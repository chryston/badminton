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ocym\Downloads\"/>
    </mc:Choice>
  </mc:AlternateContent>
  <xr:revisionPtr revIDLastSave="0" documentId="13_ncr:1_{DD2C92A8-0EA1-46A2-A30F-A314209298E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essages" sheetId="1" r:id="rId1"/>
    <sheet name="Profit &amp; Loss" sheetId="2" r:id="rId2"/>
    <sheet name="Pub List" sheetId="3" r:id="rId3"/>
    <sheet name="Member List" sheetId="4" r:id="rId4"/>
    <sheet name="Shuttle Purchase" sheetId="5" r:id="rId5"/>
    <sheet name="Shuttle Count - Ultimate (Sep 2" sheetId="6" state="hidden" r:id="rId6"/>
    <sheet name="Shuttle Count - Supreme (Nov 20" sheetId="7" state="hidden" r:id="rId7"/>
    <sheet name="Shuttle Count - Ultimate (Nov 2" sheetId="8" r:id="rId8"/>
    <sheet name="Pub List-Selection" sheetId="9" r:id="rId9"/>
    <sheet name="Court List" sheetId="10" r:id="rId10"/>
  </sheets>
  <definedNames>
    <definedName name="_xlnm._FilterDatabase" localSheetId="1" hidden="1">'Profit &amp; Loss'!$A$4:$AC$991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9" i="8" l="1"/>
  <c r="A989" i="8"/>
  <c r="B988" i="8"/>
  <c r="A988" i="8"/>
  <c r="B987" i="8"/>
  <c r="A987" i="8"/>
  <c r="B986" i="8"/>
  <c r="A986" i="8"/>
  <c r="B985" i="8"/>
  <c r="A985" i="8"/>
  <c r="B984" i="8"/>
  <c r="A984" i="8"/>
  <c r="B983" i="8"/>
  <c r="A983" i="8"/>
  <c r="B982" i="8"/>
  <c r="A982" i="8"/>
  <c r="B981" i="8"/>
  <c r="A981" i="8"/>
  <c r="B980" i="8"/>
  <c r="A980" i="8"/>
  <c r="B979" i="8"/>
  <c r="A979" i="8"/>
  <c r="B978" i="8"/>
  <c r="A978" i="8"/>
  <c r="B977" i="8"/>
  <c r="A977" i="8"/>
  <c r="B976" i="8"/>
  <c r="A976" i="8"/>
  <c r="B975" i="8"/>
  <c r="A975" i="8"/>
  <c r="B974" i="8"/>
  <c r="A974" i="8"/>
  <c r="B973" i="8"/>
  <c r="A973" i="8"/>
  <c r="B972" i="8"/>
  <c r="A972" i="8"/>
  <c r="B971" i="8"/>
  <c r="A971" i="8"/>
  <c r="B970" i="8"/>
  <c r="A970" i="8"/>
  <c r="B969" i="8"/>
  <c r="A969" i="8"/>
  <c r="B968" i="8"/>
  <c r="A968" i="8"/>
  <c r="B967" i="8"/>
  <c r="A967" i="8"/>
  <c r="B966" i="8"/>
  <c r="A966" i="8"/>
  <c r="B965" i="8"/>
  <c r="A965" i="8"/>
  <c r="B964" i="8"/>
  <c r="A964" i="8"/>
  <c r="B963" i="8"/>
  <c r="A963" i="8"/>
  <c r="B962" i="8"/>
  <c r="A962" i="8"/>
  <c r="B961" i="8"/>
  <c r="A961" i="8"/>
  <c r="B960" i="8"/>
  <c r="A960" i="8"/>
  <c r="B959" i="8"/>
  <c r="A959" i="8"/>
  <c r="B958" i="8"/>
  <c r="A958" i="8"/>
  <c r="B957" i="8"/>
  <c r="A957" i="8"/>
  <c r="B956" i="8"/>
  <c r="A956" i="8"/>
  <c r="B955" i="8"/>
  <c r="A955" i="8"/>
  <c r="B954" i="8"/>
  <c r="A954" i="8"/>
  <c r="B953" i="8"/>
  <c r="A953" i="8"/>
  <c r="B952" i="8"/>
  <c r="A952" i="8"/>
  <c r="B951" i="8"/>
  <c r="A951" i="8"/>
  <c r="B950" i="8"/>
  <c r="A950" i="8"/>
  <c r="B949" i="8"/>
  <c r="A949" i="8"/>
  <c r="B948" i="8"/>
  <c r="A948" i="8"/>
  <c r="B947" i="8"/>
  <c r="A947" i="8"/>
  <c r="B946" i="8"/>
  <c r="A946" i="8"/>
  <c r="B945" i="8"/>
  <c r="A945" i="8"/>
  <c r="B944" i="8"/>
  <c r="A944" i="8"/>
  <c r="B943" i="8"/>
  <c r="A943" i="8"/>
  <c r="B942" i="8"/>
  <c r="A942" i="8"/>
  <c r="B941" i="8"/>
  <c r="A941" i="8"/>
  <c r="B940" i="8"/>
  <c r="A940" i="8"/>
  <c r="B939" i="8"/>
  <c r="A939" i="8"/>
  <c r="B938" i="8"/>
  <c r="A938" i="8"/>
  <c r="B937" i="8"/>
  <c r="A937" i="8"/>
  <c r="B936" i="8"/>
  <c r="A936" i="8"/>
  <c r="B935" i="8"/>
  <c r="A935" i="8"/>
  <c r="B934" i="8"/>
  <c r="A934" i="8"/>
  <c r="B933" i="8"/>
  <c r="A933" i="8"/>
  <c r="B932" i="8"/>
  <c r="A932" i="8"/>
  <c r="B931" i="8"/>
  <c r="A931" i="8"/>
  <c r="B930" i="8"/>
  <c r="A930" i="8"/>
  <c r="B929" i="8"/>
  <c r="A929" i="8"/>
  <c r="B928" i="8"/>
  <c r="A928" i="8"/>
  <c r="B927" i="8"/>
  <c r="A927" i="8"/>
  <c r="B926" i="8"/>
  <c r="A926" i="8"/>
  <c r="B925" i="8"/>
  <c r="A925" i="8"/>
  <c r="B924" i="8"/>
  <c r="A924" i="8"/>
  <c r="B923" i="8"/>
  <c r="A923" i="8"/>
  <c r="B922" i="8"/>
  <c r="A922" i="8"/>
  <c r="B921" i="8"/>
  <c r="A921" i="8"/>
  <c r="B920" i="8"/>
  <c r="A920" i="8"/>
  <c r="B919" i="8"/>
  <c r="A919" i="8"/>
  <c r="B918" i="8"/>
  <c r="A918" i="8"/>
  <c r="B917" i="8"/>
  <c r="A917" i="8"/>
  <c r="B916" i="8"/>
  <c r="A916" i="8"/>
  <c r="B915" i="8"/>
  <c r="A915" i="8"/>
  <c r="B914" i="8"/>
  <c r="A914" i="8"/>
  <c r="B913" i="8"/>
  <c r="A913" i="8"/>
  <c r="B912" i="8"/>
  <c r="A912" i="8"/>
  <c r="B911" i="8"/>
  <c r="A911" i="8"/>
  <c r="B910" i="8"/>
  <c r="A910" i="8"/>
  <c r="B909" i="8"/>
  <c r="A909" i="8"/>
  <c r="B908" i="8"/>
  <c r="A908" i="8"/>
  <c r="B907" i="8"/>
  <c r="A907" i="8"/>
  <c r="B906" i="8"/>
  <c r="A906" i="8"/>
  <c r="B905" i="8"/>
  <c r="A905" i="8"/>
  <c r="B904" i="8"/>
  <c r="A904" i="8"/>
  <c r="B903" i="8"/>
  <c r="A903" i="8"/>
  <c r="B902" i="8"/>
  <c r="A902" i="8"/>
  <c r="B901" i="8"/>
  <c r="A901" i="8"/>
  <c r="B900" i="8"/>
  <c r="A900" i="8"/>
  <c r="B899" i="8"/>
  <c r="A899" i="8"/>
  <c r="B898" i="8"/>
  <c r="A898" i="8"/>
  <c r="B897" i="8"/>
  <c r="A897" i="8"/>
  <c r="B896" i="8"/>
  <c r="A896" i="8"/>
  <c r="B895" i="8"/>
  <c r="A895" i="8"/>
  <c r="B894" i="8"/>
  <c r="A894" i="8"/>
  <c r="B893" i="8"/>
  <c r="A893" i="8"/>
  <c r="B892" i="8"/>
  <c r="A892" i="8"/>
  <c r="B891" i="8"/>
  <c r="A891" i="8"/>
  <c r="B890" i="8"/>
  <c r="A890" i="8"/>
  <c r="B889" i="8"/>
  <c r="A889" i="8"/>
  <c r="B888" i="8"/>
  <c r="A888" i="8"/>
  <c r="B887" i="8"/>
  <c r="A887" i="8"/>
  <c r="B886" i="8"/>
  <c r="A886" i="8"/>
  <c r="B885" i="8"/>
  <c r="A885" i="8"/>
  <c r="B884" i="8"/>
  <c r="A884" i="8"/>
  <c r="B883" i="8"/>
  <c r="A883" i="8"/>
  <c r="B882" i="8"/>
  <c r="A882" i="8"/>
  <c r="B881" i="8"/>
  <c r="A881" i="8"/>
  <c r="B880" i="8"/>
  <c r="A880" i="8"/>
  <c r="B879" i="8"/>
  <c r="A879" i="8"/>
  <c r="B878" i="8"/>
  <c r="A878" i="8"/>
  <c r="B877" i="8"/>
  <c r="A877" i="8"/>
  <c r="B876" i="8"/>
  <c r="A876" i="8"/>
  <c r="B875" i="8"/>
  <c r="A875" i="8"/>
  <c r="B874" i="8"/>
  <c r="A874" i="8"/>
  <c r="B873" i="8"/>
  <c r="A873" i="8"/>
  <c r="B872" i="8"/>
  <c r="A872" i="8"/>
  <c r="B871" i="8"/>
  <c r="A871" i="8"/>
  <c r="B870" i="8"/>
  <c r="A870" i="8"/>
  <c r="B869" i="8"/>
  <c r="A869" i="8"/>
  <c r="B868" i="8"/>
  <c r="A868" i="8"/>
  <c r="B867" i="8"/>
  <c r="A867" i="8"/>
  <c r="B866" i="8"/>
  <c r="A866" i="8"/>
  <c r="B865" i="8"/>
  <c r="A865" i="8"/>
  <c r="B864" i="8"/>
  <c r="A864" i="8"/>
  <c r="B863" i="8"/>
  <c r="A863" i="8"/>
  <c r="B862" i="8"/>
  <c r="A862" i="8"/>
  <c r="B861" i="8"/>
  <c r="A861" i="8"/>
  <c r="B860" i="8"/>
  <c r="A860" i="8"/>
  <c r="B859" i="8"/>
  <c r="A859" i="8"/>
  <c r="B858" i="8"/>
  <c r="A858" i="8"/>
  <c r="B857" i="8"/>
  <c r="A857" i="8"/>
  <c r="B856" i="8"/>
  <c r="A856" i="8"/>
  <c r="B855" i="8"/>
  <c r="A855" i="8"/>
  <c r="B854" i="8"/>
  <c r="A854" i="8"/>
  <c r="B853" i="8"/>
  <c r="A853" i="8"/>
  <c r="B852" i="8"/>
  <c r="A852" i="8"/>
  <c r="B851" i="8"/>
  <c r="A851" i="8"/>
  <c r="B850" i="8"/>
  <c r="A850" i="8"/>
  <c r="B849" i="8"/>
  <c r="A849" i="8"/>
  <c r="B848" i="8"/>
  <c r="A848" i="8"/>
  <c r="B847" i="8"/>
  <c r="A847" i="8"/>
  <c r="B846" i="8"/>
  <c r="A846" i="8"/>
  <c r="B845" i="8"/>
  <c r="A845" i="8"/>
  <c r="B844" i="8"/>
  <c r="A844" i="8"/>
  <c r="B843" i="8"/>
  <c r="A843" i="8"/>
  <c r="B842" i="8"/>
  <c r="A842" i="8"/>
  <c r="B841" i="8"/>
  <c r="A841" i="8"/>
  <c r="B840" i="8"/>
  <c r="A840" i="8"/>
  <c r="B839" i="8"/>
  <c r="A839" i="8"/>
  <c r="B838" i="8"/>
  <c r="A838" i="8"/>
  <c r="B837" i="8"/>
  <c r="A837" i="8"/>
  <c r="B836" i="8"/>
  <c r="A836" i="8"/>
  <c r="B835" i="8"/>
  <c r="A835" i="8"/>
  <c r="B834" i="8"/>
  <c r="A834" i="8"/>
  <c r="B833" i="8"/>
  <c r="A833" i="8"/>
  <c r="B832" i="8"/>
  <c r="A832" i="8"/>
  <c r="B831" i="8"/>
  <c r="A831" i="8"/>
  <c r="B830" i="8"/>
  <c r="A830" i="8"/>
  <c r="B829" i="8"/>
  <c r="A829" i="8"/>
  <c r="B828" i="8"/>
  <c r="A828" i="8"/>
  <c r="B827" i="8"/>
  <c r="A827" i="8"/>
  <c r="B826" i="8"/>
  <c r="A826" i="8"/>
  <c r="B825" i="8"/>
  <c r="A825" i="8"/>
  <c r="B824" i="8"/>
  <c r="A824" i="8"/>
  <c r="B823" i="8"/>
  <c r="A823" i="8"/>
  <c r="B822" i="8"/>
  <c r="A822" i="8"/>
  <c r="B821" i="8"/>
  <c r="A821" i="8"/>
  <c r="B820" i="8"/>
  <c r="A820" i="8"/>
  <c r="B819" i="8"/>
  <c r="A819" i="8"/>
  <c r="B818" i="8"/>
  <c r="A818" i="8"/>
  <c r="B817" i="8"/>
  <c r="A817" i="8"/>
  <c r="B816" i="8"/>
  <c r="A816" i="8"/>
  <c r="B815" i="8"/>
  <c r="A815" i="8"/>
  <c r="B814" i="8"/>
  <c r="A814" i="8"/>
  <c r="B813" i="8"/>
  <c r="A813" i="8"/>
  <c r="B812" i="8"/>
  <c r="A812" i="8"/>
  <c r="B811" i="8"/>
  <c r="A811" i="8"/>
  <c r="B810" i="8"/>
  <c r="A810" i="8"/>
  <c r="B809" i="8"/>
  <c r="A809" i="8"/>
  <c r="B808" i="8"/>
  <c r="A808" i="8"/>
  <c r="B807" i="8"/>
  <c r="A807" i="8"/>
  <c r="B806" i="8"/>
  <c r="A806" i="8"/>
  <c r="B805" i="8"/>
  <c r="A805" i="8"/>
  <c r="B804" i="8"/>
  <c r="A804" i="8"/>
  <c r="B803" i="8"/>
  <c r="A803" i="8"/>
  <c r="B802" i="8"/>
  <c r="A802" i="8"/>
  <c r="B801" i="8"/>
  <c r="A801" i="8"/>
  <c r="B800" i="8"/>
  <c r="A800" i="8"/>
  <c r="B799" i="8"/>
  <c r="A799" i="8"/>
  <c r="B798" i="8"/>
  <c r="A798" i="8"/>
  <c r="B797" i="8"/>
  <c r="A797" i="8"/>
  <c r="B796" i="8"/>
  <c r="A796" i="8"/>
  <c r="B795" i="8"/>
  <c r="A795" i="8"/>
  <c r="B794" i="8"/>
  <c r="A794" i="8"/>
  <c r="B793" i="8"/>
  <c r="A793" i="8"/>
  <c r="B792" i="8"/>
  <c r="A792" i="8"/>
  <c r="B791" i="8"/>
  <c r="A791" i="8"/>
  <c r="B790" i="8"/>
  <c r="A790" i="8"/>
  <c r="B789" i="8"/>
  <c r="A789" i="8"/>
  <c r="B788" i="8"/>
  <c r="A788" i="8"/>
  <c r="B787" i="8"/>
  <c r="A787" i="8"/>
  <c r="B786" i="8"/>
  <c r="A786" i="8"/>
  <c r="B785" i="8"/>
  <c r="A785" i="8"/>
  <c r="B784" i="8"/>
  <c r="A784" i="8"/>
  <c r="B783" i="8"/>
  <c r="A783" i="8"/>
  <c r="B782" i="8"/>
  <c r="A782" i="8"/>
  <c r="B781" i="8"/>
  <c r="A781" i="8"/>
  <c r="B780" i="8"/>
  <c r="A780" i="8"/>
  <c r="B779" i="8"/>
  <c r="A779" i="8"/>
  <c r="B778" i="8"/>
  <c r="A778" i="8"/>
  <c r="B777" i="8"/>
  <c r="A777" i="8"/>
  <c r="B776" i="8"/>
  <c r="A776" i="8"/>
  <c r="B775" i="8"/>
  <c r="A775" i="8"/>
  <c r="B774" i="8"/>
  <c r="A774" i="8"/>
  <c r="B773" i="8"/>
  <c r="A773" i="8"/>
  <c r="B772" i="8"/>
  <c r="A772" i="8"/>
  <c r="B771" i="8"/>
  <c r="A771" i="8"/>
  <c r="B770" i="8"/>
  <c r="A770" i="8"/>
  <c r="B769" i="8"/>
  <c r="A769" i="8"/>
  <c r="B768" i="8"/>
  <c r="A768" i="8"/>
  <c r="B767" i="8"/>
  <c r="A767" i="8"/>
  <c r="B766" i="8"/>
  <c r="A766" i="8"/>
  <c r="B765" i="8"/>
  <c r="A765" i="8"/>
  <c r="B764" i="8"/>
  <c r="A764" i="8"/>
  <c r="B763" i="8"/>
  <c r="A763" i="8"/>
  <c r="B762" i="8"/>
  <c r="A762" i="8"/>
  <c r="B761" i="8"/>
  <c r="A761" i="8"/>
  <c r="B760" i="8"/>
  <c r="A760" i="8"/>
  <c r="B759" i="8"/>
  <c r="A759" i="8"/>
  <c r="B758" i="8"/>
  <c r="A758" i="8"/>
  <c r="B757" i="8"/>
  <c r="A757" i="8"/>
  <c r="B756" i="8"/>
  <c r="A756" i="8"/>
  <c r="B755" i="8"/>
  <c r="A755" i="8"/>
  <c r="B754" i="8"/>
  <c r="A754" i="8"/>
  <c r="B753" i="8"/>
  <c r="A753" i="8"/>
  <c r="B752" i="8"/>
  <c r="A752" i="8"/>
  <c r="B751" i="8"/>
  <c r="A751" i="8"/>
  <c r="B750" i="8"/>
  <c r="A750" i="8"/>
  <c r="B749" i="8"/>
  <c r="A749" i="8"/>
  <c r="B748" i="8"/>
  <c r="A748" i="8"/>
  <c r="B747" i="8"/>
  <c r="A747" i="8"/>
  <c r="B746" i="8"/>
  <c r="A746" i="8"/>
  <c r="B745" i="8"/>
  <c r="A745" i="8"/>
  <c r="B744" i="8"/>
  <c r="A744" i="8"/>
  <c r="B743" i="8"/>
  <c r="A743" i="8"/>
  <c r="B742" i="8"/>
  <c r="A742" i="8"/>
  <c r="B741" i="8"/>
  <c r="A741" i="8"/>
  <c r="B740" i="8"/>
  <c r="A740" i="8"/>
  <c r="B739" i="8"/>
  <c r="A739" i="8"/>
  <c r="B738" i="8"/>
  <c r="A738" i="8"/>
  <c r="B737" i="8"/>
  <c r="A737" i="8"/>
  <c r="B736" i="8"/>
  <c r="A736" i="8"/>
  <c r="B735" i="8"/>
  <c r="A735" i="8"/>
  <c r="B734" i="8"/>
  <c r="A734" i="8"/>
  <c r="B733" i="8"/>
  <c r="A733" i="8"/>
  <c r="B732" i="8"/>
  <c r="A732" i="8"/>
  <c r="B731" i="8"/>
  <c r="A731" i="8"/>
  <c r="B730" i="8"/>
  <c r="A730" i="8"/>
  <c r="B729" i="8"/>
  <c r="A729" i="8"/>
  <c r="B728" i="8"/>
  <c r="A728" i="8"/>
  <c r="B727" i="8"/>
  <c r="A727" i="8"/>
  <c r="B726" i="8"/>
  <c r="A726" i="8"/>
  <c r="B725" i="8"/>
  <c r="A725" i="8"/>
  <c r="B724" i="8"/>
  <c r="A724" i="8"/>
  <c r="B723" i="8"/>
  <c r="A723" i="8"/>
  <c r="B722" i="8"/>
  <c r="A722" i="8"/>
  <c r="B721" i="8"/>
  <c r="A721" i="8"/>
  <c r="B720" i="8"/>
  <c r="A720" i="8"/>
  <c r="B719" i="8"/>
  <c r="A719" i="8"/>
  <c r="B718" i="8"/>
  <c r="A718" i="8"/>
  <c r="B717" i="8"/>
  <c r="A717" i="8"/>
  <c r="B716" i="8"/>
  <c r="A716" i="8"/>
  <c r="B715" i="8"/>
  <c r="A715" i="8"/>
  <c r="B714" i="8"/>
  <c r="A714" i="8"/>
  <c r="B713" i="8"/>
  <c r="A713" i="8"/>
  <c r="B712" i="8"/>
  <c r="A712" i="8"/>
  <c r="B711" i="8"/>
  <c r="A711" i="8"/>
  <c r="B710" i="8"/>
  <c r="A710" i="8"/>
  <c r="B709" i="8"/>
  <c r="A709" i="8"/>
  <c r="B708" i="8"/>
  <c r="A708" i="8"/>
  <c r="B707" i="8"/>
  <c r="A707" i="8"/>
  <c r="B706" i="8"/>
  <c r="A706" i="8"/>
  <c r="B705" i="8"/>
  <c r="A705" i="8"/>
  <c r="B704" i="8"/>
  <c r="A704" i="8"/>
  <c r="B703" i="8"/>
  <c r="A703" i="8"/>
  <c r="B702" i="8"/>
  <c r="A702" i="8"/>
  <c r="B701" i="8"/>
  <c r="A701" i="8"/>
  <c r="B700" i="8"/>
  <c r="A700" i="8"/>
  <c r="B699" i="8"/>
  <c r="A699" i="8"/>
  <c r="B698" i="8"/>
  <c r="A698" i="8"/>
  <c r="B697" i="8"/>
  <c r="A697" i="8"/>
  <c r="B696" i="8"/>
  <c r="A696" i="8"/>
  <c r="B695" i="8"/>
  <c r="A695" i="8"/>
  <c r="B694" i="8"/>
  <c r="A694" i="8"/>
  <c r="B693" i="8"/>
  <c r="A693" i="8"/>
  <c r="B692" i="8"/>
  <c r="A692" i="8"/>
  <c r="B691" i="8"/>
  <c r="A691" i="8"/>
  <c r="B690" i="8"/>
  <c r="A690" i="8"/>
  <c r="B689" i="8"/>
  <c r="A689" i="8"/>
  <c r="B688" i="8"/>
  <c r="A688" i="8"/>
  <c r="B687" i="8"/>
  <c r="A687" i="8"/>
  <c r="B686" i="8"/>
  <c r="A686" i="8"/>
  <c r="B685" i="8"/>
  <c r="A685" i="8"/>
  <c r="B684" i="8"/>
  <c r="A684" i="8"/>
  <c r="B683" i="8"/>
  <c r="A683" i="8"/>
  <c r="B682" i="8"/>
  <c r="A682" i="8"/>
  <c r="B681" i="8"/>
  <c r="A681" i="8"/>
  <c r="B680" i="8"/>
  <c r="A680" i="8"/>
  <c r="B679" i="8"/>
  <c r="A679" i="8"/>
  <c r="B678" i="8"/>
  <c r="A678" i="8"/>
  <c r="B677" i="8"/>
  <c r="A677" i="8"/>
  <c r="B676" i="8"/>
  <c r="A676" i="8"/>
  <c r="B675" i="8"/>
  <c r="A675" i="8"/>
  <c r="B674" i="8"/>
  <c r="A674" i="8"/>
  <c r="B673" i="8"/>
  <c r="A673" i="8"/>
  <c r="B672" i="8"/>
  <c r="A672" i="8"/>
  <c r="B671" i="8"/>
  <c r="A671" i="8"/>
  <c r="B670" i="8"/>
  <c r="A670" i="8"/>
  <c r="B669" i="8"/>
  <c r="A669" i="8"/>
  <c r="B668" i="8"/>
  <c r="A668" i="8"/>
  <c r="B667" i="8"/>
  <c r="A667" i="8"/>
  <c r="B666" i="8"/>
  <c r="A666" i="8"/>
  <c r="B665" i="8"/>
  <c r="A665" i="8"/>
  <c r="B664" i="8"/>
  <c r="A664" i="8"/>
  <c r="B663" i="8"/>
  <c r="A663" i="8"/>
  <c r="B662" i="8"/>
  <c r="A662" i="8"/>
  <c r="B661" i="8"/>
  <c r="A661" i="8"/>
  <c r="B660" i="8"/>
  <c r="A660" i="8"/>
  <c r="B659" i="8"/>
  <c r="A659" i="8"/>
  <c r="B658" i="8"/>
  <c r="A658" i="8"/>
  <c r="B657" i="8"/>
  <c r="A657" i="8"/>
  <c r="B656" i="8"/>
  <c r="A656" i="8"/>
  <c r="B655" i="8"/>
  <c r="A655" i="8"/>
  <c r="B654" i="8"/>
  <c r="A654" i="8"/>
  <c r="B653" i="8"/>
  <c r="A653" i="8"/>
  <c r="B652" i="8"/>
  <c r="A652" i="8"/>
  <c r="B651" i="8"/>
  <c r="A651" i="8"/>
  <c r="B650" i="8"/>
  <c r="A650" i="8"/>
  <c r="B649" i="8"/>
  <c r="A649" i="8"/>
  <c r="B648" i="8"/>
  <c r="A648" i="8"/>
  <c r="B647" i="8"/>
  <c r="A647" i="8"/>
  <c r="B646" i="8"/>
  <c r="A646" i="8"/>
  <c r="B645" i="8"/>
  <c r="A645" i="8"/>
  <c r="B644" i="8"/>
  <c r="A644" i="8"/>
  <c r="B643" i="8"/>
  <c r="A643" i="8"/>
  <c r="B642" i="8"/>
  <c r="A642" i="8"/>
  <c r="B641" i="8"/>
  <c r="A641" i="8"/>
  <c r="B640" i="8"/>
  <c r="A640" i="8"/>
  <c r="B639" i="8"/>
  <c r="A639" i="8"/>
  <c r="B638" i="8"/>
  <c r="A638" i="8"/>
  <c r="B637" i="8"/>
  <c r="A637" i="8"/>
  <c r="B636" i="8"/>
  <c r="A636" i="8"/>
  <c r="B635" i="8"/>
  <c r="A635" i="8"/>
  <c r="B634" i="8"/>
  <c r="A634" i="8"/>
  <c r="B633" i="8"/>
  <c r="A633" i="8"/>
  <c r="B632" i="8"/>
  <c r="A632" i="8"/>
  <c r="B631" i="8"/>
  <c r="A631" i="8"/>
  <c r="B630" i="8"/>
  <c r="A630" i="8"/>
  <c r="B629" i="8"/>
  <c r="A629" i="8"/>
  <c r="B628" i="8"/>
  <c r="A628" i="8"/>
  <c r="B627" i="8"/>
  <c r="A627" i="8"/>
  <c r="B626" i="8"/>
  <c r="A626" i="8"/>
  <c r="B625" i="8"/>
  <c r="A625" i="8"/>
  <c r="B624" i="8"/>
  <c r="A624" i="8"/>
  <c r="B623" i="8"/>
  <c r="A623" i="8"/>
  <c r="B622" i="8"/>
  <c r="A622" i="8"/>
  <c r="B621" i="8"/>
  <c r="A621" i="8"/>
  <c r="B620" i="8"/>
  <c r="A620" i="8"/>
  <c r="B619" i="8"/>
  <c r="A619" i="8"/>
  <c r="B618" i="8"/>
  <c r="A618" i="8"/>
  <c r="B617" i="8"/>
  <c r="A617" i="8"/>
  <c r="B616" i="8"/>
  <c r="A616" i="8"/>
  <c r="B615" i="8"/>
  <c r="A615" i="8"/>
  <c r="B614" i="8"/>
  <c r="A614" i="8"/>
  <c r="B613" i="8"/>
  <c r="A613" i="8"/>
  <c r="B612" i="8"/>
  <c r="A612" i="8"/>
  <c r="B611" i="8"/>
  <c r="A611" i="8"/>
  <c r="B610" i="8"/>
  <c r="A610" i="8"/>
  <c r="B609" i="8"/>
  <c r="A609" i="8"/>
  <c r="B608" i="8"/>
  <c r="A608" i="8"/>
  <c r="B607" i="8"/>
  <c r="A607" i="8"/>
  <c r="B606" i="8"/>
  <c r="A606" i="8"/>
  <c r="B605" i="8"/>
  <c r="A605" i="8"/>
  <c r="B604" i="8"/>
  <c r="A604" i="8"/>
  <c r="B603" i="8"/>
  <c r="A603" i="8"/>
  <c r="B602" i="8"/>
  <c r="A602" i="8"/>
  <c r="B601" i="8"/>
  <c r="A601" i="8"/>
  <c r="B600" i="8"/>
  <c r="A600" i="8"/>
  <c r="B599" i="8"/>
  <c r="A599" i="8"/>
  <c r="B598" i="8"/>
  <c r="A598" i="8"/>
  <c r="B597" i="8"/>
  <c r="A597" i="8"/>
  <c r="B596" i="8"/>
  <c r="A596" i="8"/>
  <c r="B595" i="8"/>
  <c r="A595" i="8"/>
  <c r="B594" i="8"/>
  <c r="A594" i="8"/>
  <c r="B593" i="8"/>
  <c r="A593" i="8"/>
  <c r="B592" i="8"/>
  <c r="A592" i="8"/>
  <c r="B591" i="8"/>
  <c r="A591" i="8"/>
  <c r="B590" i="8"/>
  <c r="A590" i="8"/>
  <c r="B589" i="8"/>
  <c r="A589" i="8"/>
  <c r="B588" i="8"/>
  <c r="A588" i="8"/>
  <c r="B587" i="8"/>
  <c r="A587" i="8"/>
  <c r="B586" i="8"/>
  <c r="A586" i="8"/>
  <c r="B585" i="8"/>
  <c r="A585" i="8"/>
  <c r="B584" i="8"/>
  <c r="A584" i="8"/>
  <c r="B583" i="8"/>
  <c r="A583" i="8"/>
  <c r="B582" i="8"/>
  <c r="A582" i="8"/>
  <c r="B581" i="8"/>
  <c r="A581" i="8"/>
  <c r="B580" i="8"/>
  <c r="A580" i="8"/>
  <c r="B579" i="8"/>
  <c r="A579" i="8"/>
  <c r="B578" i="8"/>
  <c r="A578" i="8"/>
  <c r="B577" i="8"/>
  <c r="A577" i="8"/>
  <c r="B576" i="8"/>
  <c r="A576" i="8"/>
  <c r="B575" i="8"/>
  <c r="A575" i="8"/>
  <c r="B574" i="8"/>
  <c r="A574" i="8"/>
  <c r="B573" i="8"/>
  <c r="A573" i="8"/>
  <c r="B572" i="8"/>
  <c r="A572" i="8"/>
  <c r="B571" i="8"/>
  <c r="A571" i="8"/>
  <c r="B570" i="8"/>
  <c r="A570" i="8"/>
  <c r="B569" i="8"/>
  <c r="A569" i="8"/>
  <c r="B568" i="8"/>
  <c r="A568" i="8"/>
  <c r="B567" i="8"/>
  <c r="A567" i="8"/>
  <c r="B566" i="8"/>
  <c r="A566" i="8"/>
  <c r="B565" i="8"/>
  <c r="A565" i="8"/>
  <c r="B564" i="8"/>
  <c r="A564" i="8"/>
  <c r="B563" i="8"/>
  <c r="A563" i="8"/>
  <c r="B562" i="8"/>
  <c r="A562" i="8"/>
  <c r="B561" i="8"/>
  <c r="A561" i="8"/>
  <c r="B560" i="8"/>
  <c r="A560" i="8"/>
  <c r="B559" i="8"/>
  <c r="A559" i="8"/>
  <c r="B558" i="8"/>
  <c r="A558" i="8"/>
  <c r="B557" i="8"/>
  <c r="A557" i="8"/>
  <c r="B556" i="8"/>
  <c r="A556" i="8"/>
  <c r="B555" i="8"/>
  <c r="A555" i="8"/>
  <c r="B554" i="8"/>
  <c r="A554" i="8"/>
  <c r="B553" i="8"/>
  <c r="A553" i="8"/>
  <c r="B552" i="8"/>
  <c r="A552" i="8"/>
  <c r="B551" i="8"/>
  <c r="A551" i="8"/>
  <c r="B550" i="8"/>
  <c r="A550" i="8"/>
  <c r="B549" i="8"/>
  <c r="A549" i="8"/>
  <c r="B548" i="8"/>
  <c r="A548" i="8"/>
  <c r="B547" i="8"/>
  <c r="A547" i="8"/>
  <c r="B546" i="8"/>
  <c r="A546" i="8"/>
  <c r="B545" i="8"/>
  <c r="A545" i="8"/>
  <c r="B544" i="8"/>
  <c r="A544" i="8"/>
  <c r="B543" i="8"/>
  <c r="A543" i="8"/>
  <c r="B542" i="8"/>
  <c r="A542" i="8"/>
  <c r="B541" i="8"/>
  <c r="A541" i="8"/>
  <c r="B540" i="8"/>
  <c r="A540" i="8"/>
  <c r="B539" i="8"/>
  <c r="A539" i="8"/>
  <c r="B538" i="8"/>
  <c r="A538" i="8"/>
  <c r="B537" i="8"/>
  <c r="A537" i="8"/>
  <c r="B536" i="8"/>
  <c r="A536" i="8"/>
  <c r="B535" i="8"/>
  <c r="A535" i="8"/>
  <c r="B534" i="8"/>
  <c r="A534" i="8"/>
  <c r="B533" i="8"/>
  <c r="A533" i="8"/>
  <c r="B532" i="8"/>
  <c r="A532" i="8"/>
  <c r="B531" i="8"/>
  <c r="A531" i="8"/>
  <c r="B530" i="8"/>
  <c r="A530" i="8"/>
  <c r="B529" i="8"/>
  <c r="A529" i="8"/>
  <c r="B528" i="8"/>
  <c r="A528" i="8"/>
  <c r="B527" i="8"/>
  <c r="A527" i="8"/>
  <c r="B526" i="8"/>
  <c r="A526" i="8"/>
  <c r="B525" i="8"/>
  <c r="A525" i="8"/>
  <c r="B524" i="8"/>
  <c r="A524" i="8"/>
  <c r="B523" i="8"/>
  <c r="A523" i="8"/>
  <c r="B522" i="8"/>
  <c r="A522" i="8"/>
  <c r="B521" i="8"/>
  <c r="A521" i="8"/>
  <c r="B520" i="8"/>
  <c r="A520" i="8"/>
  <c r="B519" i="8"/>
  <c r="A519" i="8"/>
  <c r="B518" i="8"/>
  <c r="A518" i="8"/>
  <c r="B517" i="8"/>
  <c r="A517" i="8"/>
  <c r="B516" i="8"/>
  <c r="A516" i="8"/>
  <c r="B515" i="8"/>
  <c r="A515" i="8"/>
  <c r="B514" i="8"/>
  <c r="A514" i="8"/>
  <c r="B513" i="8"/>
  <c r="A513" i="8"/>
  <c r="B512" i="8"/>
  <c r="A512" i="8"/>
  <c r="B511" i="8"/>
  <c r="A511" i="8"/>
  <c r="B510" i="8"/>
  <c r="A510" i="8"/>
  <c r="B509" i="8"/>
  <c r="A509" i="8"/>
  <c r="B508" i="8"/>
  <c r="A508" i="8"/>
  <c r="B507" i="8"/>
  <c r="A507" i="8"/>
  <c r="B506" i="8"/>
  <c r="A506" i="8"/>
  <c r="B505" i="8"/>
  <c r="A505" i="8"/>
  <c r="B504" i="8"/>
  <c r="A504" i="8"/>
  <c r="B503" i="8"/>
  <c r="A503" i="8"/>
  <c r="B502" i="8"/>
  <c r="A502" i="8"/>
  <c r="B501" i="8"/>
  <c r="A501" i="8"/>
  <c r="B500" i="8"/>
  <c r="A500" i="8"/>
  <c r="B499" i="8"/>
  <c r="A499" i="8"/>
  <c r="B498" i="8"/>
  <c r="A498" i="8"/>
  <c r="B497" i="8"/>
  <c r="A497" i="8"/>
  <c r="B496" i="8"/>
  <c r="A496" i="8"/>
  <c r="B495" i="8"/>
  <c r="A495" i="8"/>
  <c r="B494" i="8"/>
  <c r="A494" i="8"/>
  <c r="B493" i="8"/>
  <c r="A493" i="8"/>
  <c r="B492" i="8"/>
  <c r="A492" i="8"/>
  <c r="B491" i="8"/>
  <c r="A491" i="8"/>
  <c r="B490" i="8"/>
  <c r="A490" i="8"/>
  <c r="B489" i="8"/>
  <c r="A489" i="8"/>
  <c r="B488" i="8"/>
  <c r="A488" i="8"/>
  <c r="B487" i="8"/>
  <c r="A487" i="8"/>
  <c r="B486" i="8"/>
  <c r="A486" i="8"/>
  <c r="B485" i="8"/>
  <c r="A485" i="8"/>
  <c r="B484" i="8"/>
  <c r="A484" i="8"/>
  <c r="B483" i="8"/>
  <c r="A483" i="8"/>
  <c r="B482" i="8"/>
  <c r="A482" i="8"/>
  <c r="B481" i="8"/>
  <c r="A481" i="8"/>
  <c r="B480" i="8"/>
  <c r="A480" i="8"/>
  <c r="B479" i="8"/>
  <c r="A479" i="8"/>
  <c r="B478" i="8"/>
  <c r="A478" i="8"/>
  <c r="B477" i="8"/>
  <c r="A477" i="8"/>
  <c r="B476" i="8"/>
  <c r="A476" i="8"/>
  <c r="B475" i="8"/>
  <c r="A475" i="8"/>
  <c r="B474" i="8"/>
  <c r="A474" i="8"/>
  <c r="B473" i="8"/>
  <c r="A473" i="8"/>
  <c r="B472" i="8"/>
  <c r="A472" i="8"/>
  <c r="B471" i="8"/>
  <c r="A471" i="8"/>
  <c r="B470" i="8"/>
  <c r="A470" i="8"/>
  <c r="B469" i="8"/>
  <c r="A469" i="8"/>
  <c r="B468" i="8"/>
  <c r="A468" i="8"/>
  <c r="B467" i="8"/>
  <c r="A467" i="8"/>
  <c r="B466" i="8"/>
  <c r="A466" i="8"/>
  <c r="B465" i="8"/>
  <c r="A465" i="8"/>
  <c r="B464" i="8"/>
  <c r="A464" i="8"/>
  <c r="B463" i="8"/>
  <c r="A463" i="8"/>
  <c r="B462" i="8"/>
  <c r="A462" i="8"/>
  <c r="B461" i="8"/>
  <c r="A461" i="8"/>
  <c r="B460" i="8"/>
  <c r="A460" i="8"/>
  <c r="B459" i="8"/>
  <c r="A459" i="8"/>
  <c r="B458" i="8"/>
  <c r="A458" i="8"/>
  <c r="B457" i="8"/>
  <c r="A457" i="8"/>
  <c r="B456" i="8"/>
  <c r="A456" i="8"/>
  <c r="B455" i="8"/>
  <c r="A455" i="8"/>
  <c r="B454" i="8"/>
  <c r="A454" i="8"/>
  <c r="B453" i="8"/>
  <c r="A453" i="8"/>
  <c r="B452" i="8"/>
  <c r="A452" i="8"/>
  <c r="B451" i="8"/>
  <c r="A451" i="8"/>
  <c r="B450" i="8"/>
  <c r="A450" i="8"/>
  <c r="B449" i="8"/>
  <c r="A449" i="8"/>
  <c r="B448" i="8"/>
  <c r="A448" i="8"/>
  <c r="B447" i="8"/>
  <c r="A447" i="8"/>
  <c r="B446" i="8"/>
  <c r="A446" i="8"/>
  <c r="B445" i="8"/>
  <c r="A445" i="8"/>
  <c r="B444" i="8"/>
  <c r="A444" i="8"/>
  <c r="B443" i="8"/>
  <c r="A443" i="8"/>
  <c r="B442" i="8"/>
  <c r="A442" i="8"/>
  <c r="B441" i="8"/>
  <c r="A441" i="8"/>
  <c r="B440" i="8"/>
  <c r="A440" i="8"/>
  <c r="B439" i="8"/>
  <c r="A439" i="8"/>
  <c r="B438" i="8"/>
  <c r="A438" i="8"/>
  <c r="B437" i="8"/>
  <c r="A437" i="8"/>
  <c r="B436" i="8"/>
  <c r="A436" i="8"/>
  <c r="B435" i="8"/>
  <c r="A435" i="8"/>
  <c r="B434" i="8"/>
  <c r="A434" i="8"/>
  <c r="B433" i="8"/>
  <c r="A433" i="8"/>
  <c r="B432" i="8"/>
  <c r="A432" i="8"/>
  <c r="B431" i="8"/>
  <c r="A431" i="8"/>
  <c r="B430" i="8"/>
  <c r="A430" i="8"/>
  <c r="B429" i="8"/>
  <c r="A429" i="8"/>
  <c r="B428" i="8"/>
  <c r="A428" i="8"/>
  <c r="B427" i="8"/>
  <c r="A427" i="8"/>
  <c r="B426" i="8"/>
  <c r="A426" i="8"/>
  <c r="B425" i="8"/>
  <c r="A425" i="8"/>
  <c r="B424" i="8"/>
  <c r="A424" i="8"/>
  <c r="B423" i="8"/>
  <c r="A423" i="8"/>
  <c r="B422" i="8"/>
  <c r="A422" i="8"/>
  <c r="B421" i="8"/>
  <c r="A421" i="8"/>
  <c r="B420" i="8"/>
  <c r="A420" i="8"/>
  <c r="B419" i="8"/>
  <c r="A419" i="8"/>
  <c r="B418" i="8"/>
  <c r="A418" i="8"/>
  <c r="B417" i="8"/>
  <c r="A417" i="8"/>
  <c r="B416" i="8"/>
  <c r="A416" i="8"/>
  <c r="B415" i="8"/>
  <c r="A415" i="8"/>
  <c r="B414" i="8"/>
  <c r="A414" i="8"/>
  <c r="B413" i="8"/>
  <c r="A413" i="8"/>
  <c r="B412" i="8"/>
  <c r="A412" i="8"/>
  <c r="B411" i="8"/>
  <c r="A411" i="8"/>
  <c r="B410" i="8"/>
  <c r="A410" i="8"/>
  <c r="B409" i="8"/>
  <c r="A409" i="8"/>
  <c r="B408" i="8"/>
  <c r="A408" i="8"/>
  <c r="B407" i="8"/>
  <c r="A407" i="8"/>
  <c r="B406" i="8"/>
  <c r="A406" i="8"/>
  <c r="B405" i="8"/>
  <c r="A405" i="8"/>
  <c r="B404" i="8"/>
  <c r="A404" i="8"/>
  <c r="B403" i="8"/>
  <c r="A403" i="8"/>
  <c r="B402" i="8"/>
  <c r="A402" i="8"/>
  <c r="B401" i="8"/>
  <c r="A401" i="8"/>
  <c r="B400" i="8"/>
  <c r="A400" i="8"/>
  <c r="B399" i="8"/>
  <c r="A399" i="8"/>
  <c r="B398" i="8"/>
  <c r="A398" i="8"/>
  <c r="B397" i="8"/>
  <c r="A397" i="8"/>
  <c r="B396" i="8"/>
  <c r="A396" i="8"/>
  <c r="B395" i="8"/>
  <c r="A395" i="8"/>
  <c r="B394" i="8"/>
  <c r="A394" i="8"/>
  <c r="B393" i="8"/>
  <c r="A393" i="8"/>
  <c r="B392" i="8"/>
  <c r="A392" i="8"/>
  <c r="B391" i="8"/>
  <c r="A391" i="8"/>
  <c r="B390" i="8"/>
  <c r="A390" i="8"/>
  <c r="B389" i="8"/>
  <c r="A389" i="8"/>
  <c r="B388" i="8"/>
  <c r="A388" i="8"/>
  <c r="B387" i="8"/>
  <c r="A387" i="8"/>
  <c r="B386" i="8"/>
  <c r="A386" i="8"/>
  <c r="B385" i="8"/>
  <c r="A385" i="8"/>
  <c r="B384" i="8"/>
  <c r="A384" i="8"/>
  <c r="B383" i="8"/>
  <c r="A383" i="8"/>
  <c r="B382" i="8"/>
  <c r="A382" i="8"/>
  <c r="B381" i="8"/>
  <c r="A381" i="8"/>
  <c r="B380" i="8"/>
  <c r="A380" i="8"/>
  <c r="B379" i="8"/>
  <c r="A379" i="8"/>
  <c r="B378" i="8"/>
  <c r="A378" i="8"/>
  <c r="B377" i="8"/>
  <c r="A377" i="8"/>
  <c r="B376" i="8"/>
  <c r="A376" i="8"/>
  <c r="B375" i="8"/>
  <c r="A375" i="8"/>
  <c r="B374" i="8"/>
  <c r="A374" i="8"/>
  <c r="B373" i="8"/>
  <c r="A373" i="8"/>
  <c r="B372" i="8"/>
  <c r="A372" i="8"/>
  <c r="B371" i="8"/>
  <c r="A371" i="8"/>
  <c r="B370" i="8"/>
  <c r="A370" i="8"/>
  <c r="B369" i="8"/>
  <c r="A369" i="8"/>
  <c r="B368" i="8"/>
  <c r="A368" i="8"/>
  <c r="B367" i="8"/>
  <c r="A367" i="8"/>
  <c r="B366" i="8"/>
  <c r="A366" i="8"/>
  <c r="B365" i="8"/>
  <c r="A365" i="8"/>
  <c r="B364" i="8"/>
  <c r="A364" i="8"/>
  <c r="B363" i="8"/>
  <c r="A363" i="8"/>
  <c r="B362" i="8"/>
  <c r="A362" i="8"/>
  <c r="B361" i="8"/>
  <c r="A361" i="8"/>
  <c r="B360" i="8"/>
  <c r="A360" i="8"/>
  <c r="B359" i="8"/>
  <c r="A359" i="8"/>
  <c r="B358" i="8"/>
  <c r="A358" i="8"/>
  <c r="B357" i="8"/>
  <c r="A357" i="8"/>
  <c r="B356" i="8"/>
  <c r="A356" i="8"/>
  <c r="B355" i="8"/>
  <c r="A355" i="8"/>
  <c r="B354" i="8"/>
  <c r="A354" i="8"/>
  <c r="B353" i="8"/>
  <c r="A353" i="8"/>
  <c r="B352" i="8"/>
  <c r="A352" i="8"/>
  <c r="B351" i="8"/>
  <c r="A351" i="8"/>
  <c r="B350" i="8"/>
  <c r="A350" i="8"/>
  <c r="B349" i="8"/>
  <c r="A349" i="8"/>
  <c r="B348" i="8"/>
  <c r="A348" i="8"/>
  <c r="B347" i="8"/>
  <c r="A347" i="8"/>
  <c r="B346" i="8"/>
  <c r="A346" i="8"/>
  <c r="B345" i="8"/>
  <c r="A345" i="8"/>
  <c r="B344" i="8"/>
  <c r="A344" i="8"/>
  <c r="B343" i="8"/>
  <c r="A343" i="8"/>
  <c r="B342" i="8"/>
  <c r="A342" i="8"/>
  <c r="B341" i="8"/>
  <c r="A341" i="8"/>
  <c r="B340" i="8"/>
  <c r="A340" i="8"/>
  <c r="B339" i="8"/>
  <c r="A339" i="8"/>
  <c r="B338" i="8"/>
  <c r="A338" i="8"/>
  <c r="B337" i="8"/>
  <c r="A337" i="8"/>
  <c r="B336" i="8"/>
  <c r="A336" i="8"/>
  <c r="B335" i="8"/>
  <c r="A335" i="8"/>
  <c r="B334" i="8"/>
  <c r="A334" i="8"/>
  <c r="B333" i="8"/>
  <c r="A333" i="8"/>
  <c r="B332" i="8"/>
  <c r="A332" i="8"/>
  <c r="B331" i="8"/>
  <c r="A331" i="8"/>
  <c r="B330" i="8"/>
  <c r="A330" i="8"/>
  <c r="B329" i="8"/>
  <c r="A329" i="8"/>
  <c r="B328" i="8"/>
  <c r="A328" i="8"/>
  <c r="B327" i="8"/>
  <c r="A327" i="8"/>
  <c r="B326" i="8"/>
  <c r="A326" i="8"/>
  <c r="B325" i="8"/>
  <c r="A325" i="8"/>
  <c r="B324" i="8"/>
  <c r="A324" i="8"/>
  <c r="B323" i="8"/>
  <c r="A323" i="8"/>
  <c r="B322" i="8"/>
  <c r="A322" i="8"/>
  <c r="B321" i="8"/>
  <c r="A321" i="8"/>
  <c r="B320" i="8"/>
  <c r="A320" i="8"/>
  <c r="B319" i="8"/>
  <c r="A319" i="8"/>
  <c r="B318" i="8"/>
  <c r="A318" i="8"/>
  <c r="B317" i="8"/>
  <c r="A317" i="8"/>
  <c r="B316" i="8"/>
  <c r="A316" i="8"/>
  <c r="B315" i="8"/>
  <c r="A315" i="8"/>
  <c r="B314" i="8"/>
  <c r="A314" i="8"/>
  <c r="B313" i="8"/>
  <c r="A313" i="8"/>
  <c r="B312" i="8"/>
  <c r="A312" i="8"/>
  <c r="B311" i="8"/>
  <c r="A311" i="8"/>
  <c r="B310" i="8"/>
  <c r="A310" i="8"/>
  <c r="B309" i="8"/>
  <c r="A309" i="8"/>
  <c r="B308" i="8"/>
  <c r="A308" i="8"/>
  <c r="B307" i="8"/>
  <c r="A307" i="8"/>
  <c r="B306" i="8"/>
  <c r="A306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B228" i="8"/>
  <c r="A228" i="8"/>
  <c r="B227" i="8"/>
  <c r="A227" i="8"/>
  <c r="B226" i="8"/>
  <c r="A226" i="8"/>
  <c r="B225" i="8"/>
  <c r="A225" i="8"/>
  <c r="B224" i="8"/>
  <c r="A224" i="8"/>
  <c r="B223" i="8"/>
  <c r="A223" i="8"/>
  <c r="B222" i="8"/>
  <c r="A222" i="8"/>
  <c r="B221" i="8"/>
  <c r="A221" i="8"/>
  <c r="B220" i="8"/>
  <c r="A220" i="8"/>
  <c r="B219" i="8"/>
  <c r="A219" i="8"/>
  <c r="B218" i="8"/>
  <c r="A218" i="8"/>
  <c r="B217" i="8"/>
  <c r="A217" i="8"/>
  <c r="B216" i="8"/>
  <c r="A216" i="8"/>
  <c r="B215" i="8"/>
  <c r="A215" i="8"/>
  <c r="B214" i="8"/>
  <c r="A214" i="8"/>
  <c r="B213" i="8"/>
  <c r="A213" i="8"/>
  <c r="B212" i="8"/>
  <c r="A212" i="8"/>
  <c r="B211" i="8"/>
  <c r="A211" i="8"/>
  <c r="B210" i="8"/>
  <c r="A210" i="8"/>
  <c r="B209" i="8"/>
  <c r="A209" i="8"/>
  <c r="B208" i="8"/>
  <c r="A208" i="8"/>
  <c r="B207" i="8"/>
  <c r="A207" i="8"/>
  <c r="B206" i="8"/>
  <c r="A206" i="8"/>
  <c r="B205" i="8"/>
  <c r="A205" i="8"/>
  <c r="B204" i="8"/>
  <c r="A204" i="8"/>
  <c r="B203" i="8"/>
  <c r="A203" i="8"/>
  <c r="B202" i="8"/>
  <c r="A202" i="8"/>
  <c r="B201" i="8"/>
  <c r="A201" i="8"/>
  <c r="B200" i="8"/>
  <c r="A200" i="8"/>
  <c r="B199" i="8"/>
  <c r="A199" i="8"/>
  <c r="B198" i="8"/>
  <c r="A198" i="8"/>
  <c r="B197" i="8"/>
  <c r="A197" i="8"/>
  <c r="B196" i="8"/>
  <c r="A196" i="8"/>
  <c r="B195" i="8"/>
  <c r="A195" i="8"/>
  <c r="B194" i="8"/>
  <c r="A194" i="8"/>
  <c r="B193" i="8"/>
  <c r="A193" i="8"/>
  <c r="B192" i="8"/>
  <c r="A192" i="8"/>
  <c r="B191" i="8"/>
  <c r="A191" i="8"/>
  <c r="B190" i="8"/>
  <c r="A190" i="8"/>
  <c r="B189" i="8"/>
  <c r="A189" i="8"/>
  <c r="B188" i="8"/>
  <c r="A188" i="8"/>
  <c r="B187" i="8"/>
  <c r="A187" i="8"/>
  <c r="B186" i="8"/>
  <c r="A186" i="8"/>
  <c r="B185" i="8"/>
  <c r="A185" i="8"/>
  <c r="B184" i="8"/>
  <c r="A184" i="8"/>
  <c r="B183" i="8"/>
  <c r="A183" i="8"/>
  <c r="B182" i="8"/>
  <c r="A182" i="8"/>
  <c r="B181" i="8"/>
  <c r="A181" i="8"/>
  <c r="B180" i="8"/>
  <c r="A180" i="8"/>
  <c r="B179" i="8"/>
  <c r="A179" i="8"/>
  <c r="B178" i="8"/>
  <c r="A178" i="8"/>
  <c r="B177" i="8"/>
  <c r="A177" i="8"/>
  <c r="B176" i="8"/>
  <c r="A176" i="8"/>
  <c r="B175" i="8"/>
  <c r="A175" i="8"/>
  <c r="B174" i="8"/>
  <c r="A174" i="8"/>
  <c r="B173" i="8"/>
  <c r="A173" i="8"/>
  <c r="B172" i="8"/>
  <c r="A172" i="8"/>
  <c r="B171" i="8"/>
  <c r="A171" i="8"/>
  <c r="B170" i="8"/>
  <c r="A170" i="8"/>
  <c r="B169" i="8"/>
  <c r="A169" i="8"/>
  <c r="B168" i="8"/>
  <c r="A168" i="8"/>
  <c r="B167" i="8"/>
  <c r="A167" i="8"/>
  <c r="B166" i="8"/>
  <c r="A166" i="8"/>
  <c r="B165" i="8"/>
  <c r="A165" i="8"/>
  <c r="B164" i="8"/>
  <c r="A164" i="8"/>
  <c r="B163" i="8"/>
  <c r="A163" i="8"/>
  <c r="B162" i="8"/>
  <c r="A162" i="8"/>
  <c r="B161" i="8"/>
  <c r="A161" i="8"/>
  <c r="B160" i="8"/>
  <c r="A160" i="8"/>
  <c r="B159" i="8"/>
  <c r="A159" i="8"/>
  <c r="B158" i="8"/>
  <c r="A158" i="8"/>
  <c r="B157" i="8"/>
  <c r="A157" i="8"/>
  <c r="B156" i="8"/>
  <c r="A156" i="8"/>
  <c r="B155" i="8"/>
  <c r="A155" i="8"/>
  <c r="B154" i="8"/>
  <c r="A154" i="8"/>
  <c r="B153" i="8"/>
  <c r="A153" i="8"/>
  <c r="B152" i="8"/>
  <c r="A152" i="8"/>
  <c r="B151" i="8"/>
  <c r="A151" i="8"/>
  <c r="B150" i="8"/>
  <c r="A150" i="8"/>
  <c r="B149" i="8"/>
  <c r="A149" i="8"/>
  <c r="B148" i="8"/>
  <c r="A148" i="8"/>
  <c r="B147" i="8"/>
  <c r="A147" i="8"/>
  <c r="B146" i="8"/>
  <c r="A146" i="8"/>
  <c r="B145" i="8"/>
  <c r="A145" i="8"/>
  <c r="B144" i="8"/>
  <c r="A144" i="8"/>
  <c r="B143" i="8"/>
  <c r="A143" i="8"/>
  <c r="B142" i="8"/>
  <c r="A142" i="8"/>
  <c r="B141" i="8"/>
  <c r="A141" i="8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H31" i="8"/>
  <c r="G31" i="8"/>
  <c r="G32" i="8" s="1"/>
  <c r="F31" i="8"/>
  <c r="I31" i="8" s="1"/>
  <c r="J31" i="8" s="1"/>
  <c r="E31" i="8"/>
  <c r="E32" i="8" s="1"/>
  <c r="B31" i="8"/>
  <c r="A31" i="8"/>
  <c r="G30" i="8"/>
  <c r="H30" i="8" s="1"/>
  <c r="E30" i="8"/>
  <c r="F30" i="8" s="1"/>
  <c r="I30" i="8" s="1"/>
  <c r="J30" i="8" s="1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E8" i="8"/>
  <c r="B8" i="8"/>
  <c r="A8" i="8"/>
  <c r="G7" i="8"/>
  <c r="F7" i="8"/>
  <c r="E7" i="8"/>
  <c r="B7" i="8"/>
  <c r="A7" i="8"/>
  <c r="H6" i="8"/>
  <c r="F6" i="8"/>
  <c r="I6" i="8" s="1"/>
  <c r="J6" i="8" s="1"/>
  <c r="B6" i="8"/>
  <c r="A6" i="8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G35" i="7"/>
  <c r="B35" i="7"/>
  <c r="A35" i="7"/>
  <c r="H34" i="7"/>
  <c r="B34" i="7"/>
  <c r="A34" i="7"/>
  <c r="G33" i="7"/>
  <c r="G34" i="7" s="1"/>
  <c r="B33" i="7"/>
  <c r="A33" i="7"/>
  <c r="H32" i="7"/>
  <c r="B32" i="7"/>
  <c r="A32" i="7"/>
  <c r="H31" i="7"/>
  <c r="G31" i="7"/>
  <c r="G32" i="7" s="1"/>
  <c r="E31" i="7"/>
  <c r="B31" i="7"/>
  <c r="A31" i="7"/>
  <c r="H30" i="7"/>
  <c r="G30" i="7"/>
  <c r="E30" i="7"/>
  <c r="F30" i="7" s="1"/>
  <c r="I30" i="7" s="1"/>
  <c r="J30" i="7" s="1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E9" i="7"/>
  <c r="B9" i="7"/>
  <c r="A9" i="7"/>
  <c r="G8" i="7"/>
  <c r="F8" i="7"/>
  <c r="E8" i="7"/>
  <c r="B8" i="7"/>
  <c r="A8" i="7"/>
  <c r="H7" i="7"/>
  <c r="G7" i="7"/>
  <c r="E7" i="7"/>
  <c r="F7" i="7" s="1"/>
  <c r="B7" i="7"/>
  <c r="A7" i="7"/>
  <c r="H6" i="7"/>
  <c r="F6" i="7"/>
  <c r="I6" i="7" s="1"/>
  <c r="J6" i="7" s="1"/>
  <c r="B6" i="7"/>
  <c r="A6" i="7"/>
  <c r="B989" i="6"/>
  <c r="A989" i="6"/>
  <c r="B988" i="6"/>
  <c r="A988" i="6"/>
  <c r="B987" i="6"/>
  <c r="A987" i="6"/>
  <c r="B986" i="6"/>
  <c r="A986" i="6"/>
  <c r="B985" i="6"/>
  <c r="A985" i="6"/>
  <c r="B984" i="6"/>
  <c r="A984" i="6"/>
  <c r="B983" i="6"/>
  <c r="A983" i="6"/>
  <c r="B982" i="6"/>
  <c r="A982" i="6"/>
  <c r="B981" i="6"/>
  <c r="A981" i="6"/>
  <c r="B980" i="6"/>
  <c r="A980" i="6"/>
  <c r="B979" i="6"/>
  <c r="A979" i="6"/>
  <c r="B978" i="6"/>
  <c r="A978" i="6"/>
  <c r="B977" i="6"/>
  <c r="A977" i="6"/>
  <c r="B976" i="6"/>
  <c r="A976" i="6"/>
  <c r="B975" i="6"/>
  <c r="A975" i="6"/>
  <c r="B974" i="6"/>
  <c r="A974" i="6"/>
  <c r="B973" i="6"/>
  <c r="A973" i="6"/>
  <c r="B972" i="6"/>
  <c r="A972" i="6"/>
  <c r="B971" i="6"/>
  <c r="A971" i="6"/>
  <c r="B970" i="6"/>
  <c r="A970" i="6"/>
  <c r="B969" i="6"/>
  <c r="A969" i="6"/>
  <c r="B968" i="6"/>
  <c r="A968" i="6"/>
  <c r="B967" i="6"/>
  <c r="A967" i="6"/>
  <c r="B966" i="6"/>
  <c r="A966" i="6"/>
  <c r="B965" i="6"/>
  <c r="A965" i="6"/>
  <c r="B964" i="6"/>
  <c r="A964" i="6"/>
  <c r="B963" i="6"/>
  <c r="A963" i="6"/>
  <c r="B962" i="6"/>
  <c r="A962" i="6"/>
  <c r="B961" i="6"/>
  <c r="A961" i="6"/>
  <c r="B960" i="6"/>
  <c r="A960" i="6"/>
  <c r="B959" i="6"/>
  <c r="A959" i="6"/>
  <c r="B958" i="6"/>
  <c r="A958" i="6"/>
  <c r="B957" i="6"/>
  <c r="A957" i="6"/>
  <c r="B956" i="6"/>
  <c r="A956" i="6"/>
  <c r="B955" i="6"/>
  <c r="A955" i="6"/>
  <c r="B954" i="6"/>
  <c r="A954" i="6"/>
  <c r="B953" i="6"/>
  <c r="A953" i="6"/>
  <c r="B952" i="6"/>
  <c r="A952" i="6"/>
  <c r="B951" i="6"/>
  <c r="A951" i="6"/>
  <c r="B950" i="6"/>
  <c r="A950" i="6"/>
  <c r="B949" i="6"/>
  <c r="A949" i="6"/>
  <c r="B948" i="6"/>
  <c r="A948" i="6"/>
  <c r="B947" i="6"/>
  <c r="A947" i="6"/>
  <c r="B946" i="6"/>
  <c r="A946" i="6"/>
  <c r="B945" i="6"/>
  <c r="A945" i="6"/>
  <c r="B944" i="6"/>
  <c r="A944" i="6"/>
  <c r="B943" i="6"/>
  <c r="A943" i="6"/>
  <c r="B942" i="6"/>
  <c r="A942" i="6"/>
  <c r="B941" i="6"/>
  <c r="A941" i="6"/>
  <c r="B940" i="6"/>
  <c r="A940" i="6"/>
  <c r="B939" i="6"/>
  <c r="A939" i="6"/>
  <c r="B938" i="6"/>
  <c r="A938" i="6"/>
  <c r="B937" i="6"/>
  <c r="A937" i="6"/>
  <c r="B936" i="6"/>
  <c r="A936" i="6"/>
  <c r="B935" i="6"/>
  <c r="A935" i="6"/>
  <c r="B934" i="6"/>
  <c r="A934" i="6"/>
  <c r="B933" i="6"/>
  <c r="A933" i="6"/>
  <c r="B932" i="6"/>
  <c r="A932" i="6"/>
  <c r="B931" i="6"/>
  <c r="A931" i="6"/>
  <c r="B930" i="6"/>
  <c r="A930" i="6"/>
  <c r="B929" i="6"/>
  <c r="A929" i="6"/>
  <c r="B928" i="6"/>
  <c r="A928" i="6"/>
  <c r="B927" i="6"/>
  <c r="A927" i="6"/>
  <c r="B926" i="6"/>
  <c r="A926" i="6"/>
  <c r="B925" i="6"/>
  <c r="A925" i="6"/>
  <c r="B924" i="6"/>
  <c r="A924" i="6"/>
  <c r="B923" i="6"/>
  <c r="A923" i="6"/>
  <c r="B922" i="6"/>
  <c r="A922" i="6"/>
  <c r="B921" i="6"/>
  <c r="A921" i="6"/>
  <c r="B920" i="6"/>
  <c r="A920" i="6"/>
  <c r="B919" i="6"/>
  <c r="A919" i="6"/>
  <c r="B918" i="6"/>
  <c r="A918" i="6"/>
  <c r="B917" i="6"/>
  <c r="A917" i="6"/>
  <c r="B916" i="6"/>
  <c r="A916" i="6"/>
  <c r="B915" i="6"/>
  <c r="A915" i="6"/>
  <c r="B914" i="6"/>
  <c r="A914" i="6"/>
  <c r="B913" i="6"/>
  <c r="A913" i="6"/>
  <c r="B912" i="6"/>
  <c r="A912" i="6"/>
  <c r="B911" i="6"/>
  <c r="A911" i="6"/>
  <c r="B910" i="6"/>
  <c r="A910" i="6"/>
  <c r="B909" i="6"/>
  <c r="A909" i="6"/>
  <c r="B908" i="6"/>
  <c r="A908" i="6"/>
  <c r="B907" i="6"/>
  <c r="A907" i="6"/>
  <c r="B906" i="6"/>
  <c r="A906" i="6"/>
  <c r="B905" i="6"/>
  <c r="A905" i="6"/>
  <c r="B904" i="6"/>
  <c r="A904" i="6"/>
  <c r="B903" i="6"/>
  <c r="A903" i="6"/>
  <c r="B902" i="6"/>
  <c r="A902" i="6"/>
  <c r="B901" i="6"/>
  <c r="A901" i="6"/>
  <c r="B900" i="6"/>
  <c r="A900" i="6"/>
  <c r="B899" i="6"/>
  <c r="A899" i="6"/>
  <c r="B898" i="6"/>
  <c r="A898" i="6"/>
  <c r="B897" i="6"/>
  <c r="A897" i="6"/>
  <c r="B896" i="6"/>
  <c r="A896" i="6"/>
  <c r="B895" i="6"/>
  <c r="A895" i="6"/>
  <c r="B894" i="6"/>
  <c r="A894" i="6"/>
  <c r="B893" i="6"/>
  <c r="A893" i="6"/>
  <c r="B892" i="6"/>
  <c r="A892" i="6"/>
  <c r="B891" i="6"/>
  <c r="A891" i="6"/>
  <c r="B890" i="6"/>
  <c r="A890" i="6"/>
  <c r="B889" i="6"/>
  <c r="A889" i="6"/>
  <c r="B888" i="6"/>
  <c r="A888" i="6"/>
  <c r="B887" i="6"/>
  <c r="A887" i="6"/>
  <c r="B886" i="6"/>
  <c r="A886" i="6"/>
  <c r="B885" i="6"/>
  <c r="A885" i="6"/>
  <c r="B884" i="6"/>
  <c r="A884" i="6"/>
  <c r="B883" i="6"/>
  <c r="A883" i="6"/>
  <c r="B882" i="6"/>
  <c r="A882" i="6"/>
  <c r="B881" i="6"/>
  <c r="A881" i="6"/>
  <c r="B880" i="6"/>
  <c r="A880" i="6"/>
  <c r="B879" i="6"/>
  <c r="A879" i="6"/>
  <c r="B878" i="6"/>
  <c r="A878" i="6"/>
  <c r="B877" i="6"/>
  <c r="A877" i="6"/>
  <c r="B876" i="6"/>
  <c r="A876" i="6"/>
  <c r="B875" i="6"/>
  <c r="A875" i="6"/>
  <c r="B874" i="6"/>
  <c r="A874" i="6"/>
  <c r="B873" i="6"/>
  <c r="A873" i="6"/>
  <c r="B872" i="6"/>
  <c r="A872" i="6"/>
  <c r="B871" i="6"/>
  <c r="A871" i="6"/>
  <c r="B870" i="6"/>
  <c r="A870" i="6"/>
  <c r="B869" i="6"/>
  <c r="A869" i="6"/>
  <c r="B868" i="6"/>
  <c r="A868" i="6"/>
  <c r="B867" i="6"/>
  <c r="A867" i="6"/>
  <c r="B866" i="6"/>
  <c r="A866" i="6"/>
  <c r="B865" i="6"/>
  <c r="A865" i="6"/>
  <c r="B864" i="6"/>
  <c r="A864" i="6"/>
  <c r="B863" i="6"/>
  <c r="A863" i="6"/>
  <c r="B862" i="6"/>
  <c r="A862" i="6"/>
  <c r="B861" i="6"/>
  <c r="A861" i="6"/>
  <c r="B860" i="6"/>
  <c r="A860" i="6"/>
  <c r="B859" i="6"/>
  <c r="A859" i="6"/>
  <c r="B858" i="6"/>
  <c r="A858" i="6"/>
  <c r="B857" i="6"/>
  <c r="A857" i="6"/>
  <c r="B856" i="6"/>
  <c r="A856" i="6"/>
  <c r="B855" i="6"/>
  <c r="A855" i="6"/>
  <c r="B854" i="6"/>
  <c r="A854" i="6"/>
  <c r="B853" i="6"/>
  <c r="A853" i="6"/>
  <c r="B852" i="6"/>
  <c r="A852" i="6"/>
  <c r="B851" i="6"/>
  <c r="A851" i="6"/>
  <c r="B850" i="6"/>
  <c r="A850" i="6"/>
  <c r="B849" i="6"/>
  <c r="A849" i="6"/>
  <c r="B848" i="6"/>
  <c r="A848" i="6"/>
  <c r="B847" i="6"/>
  <c r="A847" i="6"/>
  <c r="B846" i="6"/>
  <c r="A846" i="6"/>
  <c r="B845" i="6"/>
  <c r="A845" i="6"/>
  <c r="B844" i="6"/>
  <c r="A844" i="6"/>
  <c r="B843" i="6"/>
  <c r="A843" i="6"/>
  <c r="B842" i="6"/>
  <c r="A842" i="6"/>
  <c r="B841" i="6"/>
  <c r="A841" i="6"/>
  <c r="B840" i="6"/>
  <c r="A840" i="6"/>
  <c r="B839" i="6"/>
  <c r="A839" i="6"/>
  <c r="B838" i="6"/>
  <c r="A838" i="6"/>
  <c r="B837" i="6"/>
  <c r="A837" i="6"/>
  <c r="B836" i="6"/>
  <c r="A836" i="6"/>
  <c r="B835" i="6"/>
  <c r="A835" i="6"/>
  <c r="B834" i="6"/>
  <c r="A834" i="6"/>
  <c r="B833" i="6"/>
  <c r="A833" i="6"/>
  <c r="B832" i="6"/>
  <c r="A832" i="6"/>
  <c r="B831" i="6"/>
  <c r="A831" i="6"/>
  <c r="B830" i="6"/>
  <c r="A830" i="6"/>
  <c r="B829" i="6"/>
  <c r="A829" i="6"/>
  <c r="B828" i="6"/>
  <c r="A828" i="6"/>
  <c r="B827" i="6"/>
  <c r="A827" i="6"/>
  <c r="B826" i="6"/>
  <c r="A826" i="6"/>
  <c r="B825" i="6"/>
  <c r="A825" i="6"/>
  <c r="B824" i="6"/>
  <c r="A824" i="6"/>
  <c r="B823" i="6"/>
  <c r="A823" i="6"/>
  <c r="B822" i="6"/>
  <c r="A822" i="6"/>
  <c r="B821" i="6"/>
  <c r="A821" i="6"/>
  <c r="B820" i="6"/>
  <c r="A820" i="6"/>
  <c r="B819" i="6"/>
  <c r="A819" i="6"/>
  <c r="B818" i="6"/>
  <c r="A818" i="6"/>
  <c r="B817" i="6"/>
  <c r="A817" i="6"/>
  <c r="B816" i="6"/>
  <c r="A816" i="6"/>
  <c r="B815" i="6"/>
  <c r="A815" i="6"/>
  <c r="B814" i="6"/>
  <c r="A814" i="6"/>
  <c r="B813" i="6"/>
  <c r="A813" i="6"/>
  <c r="B812" i="6"/>
  <c r="A812" i="6"/>
  <c r="B811" i="6"/>
  <c r="A811" i="6"/>
  <c r="B810" i="6"/>
  <c r="A810" i="6"/>
  <c r="B809" i="6"/>
  <c r="A809" i="6"/>
  <c r="B808" i="6"/>
  <c r="A808" i="6"/>
  <c r="B807" i="6"/>
  <c r="A807" i="6"/>
  <c r="B806" i="6"/>
  <c r="A806" i="6"/>
  <c r="B805" i="6"/>
  <c r="A805" i="6"/>
  <c r="B804" i="6"/>
  <c r="A804" i="6"/>
  <c r="B803" i="6"/>
  <c r="A803" i="6"/>
  <c r="B802" i="6"/>
  <c r="A802" i="6"/>
  <c r="B801" i="6"/>
  <c r="A801" i="6"/>
  <c r="B800" i="6"/>
  <c r="A800" i="6"/>
  <c r="B799" i="6"/>
  <c r="A799" i="6"/>
  <c r="B798" i="6"/>
  <c r="A798" i="6"/>
  <c r="B797" i="6"/>
  <c r="A797" i="6"/>
  <c r="B796" i="6"/>
  <c r="A796" i="6"/>
  <c r="B795" i="6"/>
  <c r="A795" i="6"/>
  <c r="B794" i="6"/>
  <c r="A794" i="6"/>
  <c r="B793" i="6"/>
  <c r="A793" i="6"/>
  <c r="B792" i="6"/>
  <c r="A792" i="6"/>
  <c r="B791" i="6"/>
  <c r="A791" i="6"/>
  <c r="B790" i="6"/>
  <c r="A790" i="6"/>
  <c r="B789" i="6"/>
  <c r="A789" i="6"/>
  <c r="B788" i="6"/>
  <c r="A788" i="6"/>
  <c r="B787" i="6"/>
  <c r="A787" i="6"/>
  <c r="B786" i="6"/>
  <c r="A786" i="6"/>
  <c r="B785" i="6"/>
  <c r="A785" i="6"/>
  <c r="B784" i="6"/>
  <c r="A784" i="6"/>
  <c r="B783" i="6"/>
  <c r="A783" i="6"/>
  <c r="B782" i="6"/>
  <c r="A782" i="6"/>
  <c r="B781" i="6"/>
  <c r="A781" i="6"/>
  <c r="B780" i="6"/>
  <c r="A780" i="6"/>
  <c r="B779" i="6"/>
  <c r="A779" i="6"/>
  <c r="B778" i="6"/>
  <c r="A778" i="6"/>
  <c r="B777" i="6"/>
  <c r="A777" i="6"/>
  <c r="B776" i="6"/>
  <c r="A776" i="6"/>
  <c r="B775" i="6"/>
  <c r="A775" i="6"/>
  <c r="B774" i="6"/>
  <c r="A774" i="6"/>
  <c r="B773" i="6"/>
  <c r="A773" i="6"/>
  <c r="B772" i="6"/>
  <c r="A772" i="6"/>
  <c r="B771" i="6"/>
  <c r="A771" i="6"/>
  <c r="B770" i="6"/>
  <c r="A770" i="6"/>
  <c r="B769" i="6"/>
  <c r="A769" i="6"/>
  <c r="B768" i="6"/>
  <c r="A768" i="6"/>
  <c r="B767" i="6"/>
  <c r="A767" i="6"/>
  <c r="B766" i="6"/>
  <c r="A766" i="6"/>
  <c r="B765" i="6"/>
  <c r="A765" i="6"/>
  <c r="B764" i="6"/>
  <c r="A764" i="6"/>
  <c r="B763" i="6"/>
  <c r="A763" i="6"/>
  <c r="B762" i="6"/>
  <c r="A762" i="6"/>
  <c r="B761" i="6"/>
  <c r="A761" i="6"/>
  <c r="B760" i="6"/>
  <c r="A760" i="6"/>
  <c r="B759" i="6"/>
  <c r="A759" i="6"/>
  <c r="B758" i="6"/>
  <c r="A758" i="6"/>
  <c r="B757" i="6"/>
  <c r="A757" i="6"/>
  <c r="B756" i="6"/>
  <c r="A756" i="6"/>
  <c r="B755" i="6"/>
  <c r="A755" i="6"/>
  <c r="B754" i="6"/>
  <c r="A754" i="6"/>
  <c r="B753" i="6"/>
  <c r="A753" i="6"/>
  <c r="B752" i="6"/>
  <c r="A752" i="6"/>
  <c r="B751" i="6"/>
  <c r="A751" i="6"/>
  <c r="B750" i="6"/>
  <c r="A750" i="6"/>
  <c r="B749" i="6"/>
  <c r="A749" i="6"/>
  <c r="B748" i="6"/>
  <c r="A748" i="6"/>
  <c r="B747" i="6"/>
  <c r="A747" i="6"/>
  <c r="B746" i="6"/>
  <c r="A746" i="6"/>
  <c r="B745" i="6"/>
  <c r="A745" i="6"/>
  <c r="B744" i="6"/>
  <c r="A744" i="6"/>
  <c r="B743" i="6"/>
  <c r="A743" i="6"/>
  <c r="B742" i="6"/>
  <c r="A742" i="6"/>
  <c r="B741" i="6"/>
  <c r="A741" i="6"/>
  <c r="B740" i="6"/>
  <c r="A740" i="6"/>
  <c r="B739" i="6"/>
  <c r="A739" i="6"/>
  <c r="B738" i="6"/>
  <c r="A738" i="6"/>
  <c r="B737" i="6"/>
  <c r="A737" i="6"/>
  <c r="B736" i="6"/>
  <c r="A736" i="6"/>
  <c r="B735" i="6"/>
  <c r="A735" i="6"/>
  <c r="B734" i="6"/>
  <c r="A734" i="6"/>
  <c r="B733" i="6"/>
  <c r="A733" i="6"/>
  <c r="B732" i="6"/>
  <c r="A732" i="6"/>
  <c r="B731" i="6"/>
  <c r="A731" i="6"/>
  <c r="B730" i="6"/>
  <c r="A730" i="6"/>
  <c r="B729" i="6"/>
  <c r="A729" i="6"/>
  <c r="B728" i="6"/>
  <c r="A728" i="6"/>
  <c r="B727" i="6"/>
  <c r="A727" i="6"/>
  <c r="B726" i="6"/>
  <c r="A726" i="6"/>
  <c r="B725" i="6"/>
  <c r="A725" i="6"/>
  <c r="B724" i="6"/>
  <c r="A724" i="6"/>
  <c r="B723" i="6"/>
  <c r="A723" i="6"/>
  <c r="B722" i="6"/>
  <c r="A722" i="6"/>
  <c r="B721" i="6"/>
  <c r="A721" i="6"/>
  <c r="B720" i="6"/>
  <c r="A720" i="6"/>
  <c r="B719" i="6"/>
  <c r="A719" i="6"/>
  <c r="B718" i="6"/>
  <c r="A718" i="6"/>
  <c r="B717" i="6"/>
  <c r="A717" i="6"/>
  <c r="B716" i="6"/>
  <c r="A716" i="6"/>
  <c r="B715" i="6"/>
  <c r="A715" i="6"/>
  <c r="B714" i="6"/>
  <c r="A714" i="6"/>
  <c r="B713" i="6"/>
  <c r="A713" i="6"/>
  <c r="B712" i="6"/>
  <c r="A712" i="6"/>
  <c r="B711" i="6"/>
  <c r="A711" i="6"/>
  <c r="B710" i="6"/>
  <c r="A710" i="6"/>
  <c r="B709" i="6"/>
  <c r="A709" i="6"/>
  <c r="B708" i="6"/>
  <c r="A708" i="6"/>
  <c r="B707" i="6"/>
  <c r="A707" i="6"/>
  <c r="B706" i="6"/>
  <c r="A706" i="6"/>
  <c r="B705" i="6"/>
  <c r="A705" i="6"/>
  <c r="B704" i="6"/>
  <c r="A704" i="6"/>
  <c r="B703" i="6"/>
  <c r="A703" i="6"/>
  <c r="B702" i="6"/>
  <c r="A702" i="6"/>
  <c r="B701" i="6"/>
  <c r="A701" i="6"/>
  <c r="B700" i="6"/>
  <c r="A700" i="6"/>
  <c r="B699" i="6"/>
  <c r="A699" i="6"/>
  <c r="B698" i="6"/>
  <c r="A698" i="6"/>
  <c r="B697" i="6"/>
  <c r="A697" i="6"/>
  <c r="B696" i="6"/>
  <c r="A696" i="6"/>
  <c r="B695" i="6"/>
  <c r="A695" i="6"/>
  <c r="B694" i="6"/>
  <c r="A694" i="6"/>
  <c r="B693" i="6"/>
  <c r="A693" i="6"/>
  <c r="B692" i="6"/>
  <c r="A692" i="6"/>
  <c r="B691" i="6"/>
  <c r="A691" i="6"/>
  <c r="B690" i="6"/>
  <c r="A690" i="6"/>
  <c r="B689" i="6"/>
  <c r="A689" i="6"/>
  <c r="B688" i="6"/>
  <c r="A688" i="6"/>
  <c r="B687" i="6"/>
  <c r="A687" i="6"/>
  <c r="B686" i="6"/>
  <c r="A686" i="6"/>
  <c r="B685" i="6"/>
  <c r="A685" i="6"/>
  <c r="B684" i="6"/>
  <c r="A684" i="6"/>
  <c r="B683" i="6"/>
  <c r="A683" i="6"/>
  <c r="B682" i="6"/>
  <c r="A682" i="6"/>
  <c r="B681" i="6"/>
  <c r="A681" i="6"/>
  <c r="B680" i="6"/>
  <c r="A680" i="6"/>
  <c r="B679" i="6"/>
  <c r="A679" i="6"/>
  <c r="B678" i="6"/>
  <c r="A678" i="6"/>
  <c r="B677" i="6"/>
  <c r="A677" i="6"/>
  <c r="B676" i="6"/>
  <c r="A676" i="6"/>
  <c r="B675" i="6"/>
  <c r="A675" i="6"/>
  <c r="B674" i="6"/>
  <c r="A674" i="6"/>
  <c r="B673" i="6"/>
  <c r="A673" i="6"/>
  <c r="B672" i="6"/>
  <c r="A672" i="6"/>
  <c r="B671" i="6"/>
  <c r="A671" i="6"/>
  <c r="B670" i="6"/>
  <c r="A670" i="6"/>
  <c r="B669" i="6"/>
  <c r="A669" i="6"/>
  <c r="B668" i="6"/>
  <c r="A668" i="6"/>
  <c r="B667" i="6"/>
  <c r="A667" i="6"/>
  <c r="B666" i="6"/>
  <c r="A666" i="6"/>
  <c r="B665" i="6"/>
  <c r="A665" i="6"/>
  <c r="B664" i="6"/>
  <c r="A664" i="6"/>
  <c r="B663" i="6"/>
  <c r="A663" i="6"/>
  <c r="B662" i="6"/>
  <c r="A662" i="6"/>
  <c r="B661" i="6"/>
  <c r="A661" i="6"/>
  <c r="B660" i="6"/>
  <c r="A660" i="6"/>
  <c r="B659" i="6"/>
  <c r="A659" i="6"/>
  <c r="B658" i="6"/>
  <c r="A658" i="6"/>
  <c r="B657" i="6"/>
  <c r="A657" i="6"/>
  <c r="B656" i="6"/>
  <c r="A656" i="6"/>
  <c r="B655" i="6"/>
  <c r="A655" i="6"/>
  <c r="B654" i="6"/>
  <c r="A654" i="6"/>
  <c r="B653" i="6"/>
  <c r="A653" i="6"/>
  <c r="B652" i="6"/>
  <c r="A652" i="6"/>
  <c r="B651" i="6"/>
  <c r="A651" i="6"/>
  <c r="B650" i="6"/>
  <c r="A650" i="6"/>
  <c r="B649" i="6"/>
  <c r="A649" i="6"/>
  <c r="B648" i="6"/>
  <c r="A648" i="6"/>
  <c r="B647" i="6"/>
  <c r="A647" i="6"/>
  <c r="B646" i="6"/>
  <c r="A646" i="6"/>
  <c r="B645" i="6"/>
  <c r="A645" i="6"/>
  <c r="B644" i="6"/>
  <c r="A644" i="6"/>
  <c r="B643" i="6"/>
  <c r="A643" i="6"/>
  <c r="B642" i="6"/>
  <c r="A642" i="6"/>
  <c r="B641" i="6"/>
  <c r="A641" i="6"/>
  <c r="B640" i="6"/>
  <c r="A640" i="6"/>
  <c r="B639" i="6"/>
  <c r="A639" i="6"/>
  <c r="B638" i="6"/>
  <c r="A638" i="6"/>
  <c r="B637" i="6"/>
  <c r="A637" i="6"/>
  <c r="B636" i="6"/>
  <c r="A636" i="6"/>
  <c r="B635" i="6"/>
  <c r="A635" i="6"/>
  <c r="B634" i="6"/>
  <c r="A634" i="6"/>
  <c r="B633" i="6"/>
  <c r="A633" i="6"/>
  <c r="B632" i="6"/>
  <c r="A632" i="6"/>
  <c r="B631" i="6"/>
  <c r="A631" i="6"/>
  <c r="B630" i="6"/>
  <c r="A630" i="6"/>
  <c r="B629" i="6"/>
  <c r="A629" i="6"/>
  <c r="B628" i="6"/>
  <c r="A628" i="6"/>
  <c r="B627" i="6"/>
  <c r="A627" i="6"/>
  <c r="B626" i="6"/>
  <c r="A626" i="6"/>
  <c r="B625" i="6"/>
  <c r="A625" i="6"/>
  <c r="B624" i="6"/>
  <c r="A624" i="6"/>
  <c r="B623" i="6"/>
  <c r="A623" i="6"/>
  <c r="B622" i="6"/>
  <c r="A622" i="6"/>
  <c r="B621" i="6"/>
  <c r="A621" i="6"/>
  <c r="B620" i="6"/>
  <c r="A620" i="6"/>
  <c r="B619" i="6"/>
  <c r="A619" i="6"/>
  <c r="B618" i="6"/>
  <c r="A618" i="6"/>
  <c r="B617" i="6"/>
  <c r="A617" i="6"/>
  <c r="B616" i="6"/>
  <c r="A616" i="6"/>
  <c r="B615" i="6"/>
  <c r="A615" i="6"/>
  <c r="B614" i="6"/>
  <c r="A614" i="6"/>
  <c r="B613" i="6"/>
  <c r="A613" i="6"/>
  <c r="B612" i="6"/>
  <c r="A612" i="6"/>
  <c r="B611" i="6"/>
  <c r="A611" i="6"/>
  <c r="B610" i="6"/>
  <c r="A610" i="6"/>
  <c r="B609" i="6"/>
  <c r="A609" i="6"/>
  <c r="B608" i="6"/>
  <c r="A608" i="6"/>
  <c r="B607" i="6"/>
  <c r="A607" i="6"/>
  <c r="B606" i="6"/>
  <c r="A606" i="6"/>
  <c r="B605" i="6"/>
  <c r="A605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B540" i="6"/>
  <c r="A540" i="6"/>
  <c r="B539" i="6"/>
  <c r="A539" i="6"/>
  <c r="B538" i="6"/>
  <c r="A538" i="6"/>
  <c r="B537" i="6"/>
  <c r="A537" i="6"/>
  <c r="B536" i="6"/>
  <c r="A536" i="6"/>
  <c r="B535" i="6"/>
  <c r="A535" i="6"/>
  <c r="B534" i="6"/>
  <c r="A534" i="6"/>
  <c r="B533" i="6"/>
  <c r="A533" i="6"/>
  <c r="B532" i="6"/>
  <c r="A532" i="6"/>
  <c r="B531" i="6"/>
  <c r="A531" i="6"/>
  <c r="B530" i="6"/>
  <c r="A530" i="6"/>
  <c r="B529" i="6"/>
  <c r="A529" i="6"/>
  <c r="B528" i="6"/>
  <c r="A528" i="6"/>
  <c r="B527" i="6"/>
  <c r="A527" i="6"/>
  <c r="B526" i="6"/>
  <c r="A526" i="6"/>
  <c r="B525" i="6"/>
  <c r="A525" i="6"/>
  <c r="B524" i="6"/>
  <c r="A524" i="6"/>
  <c r="B523" i="6"/>
  <c r="A523" i="6"/>
  <c r="B522" i="6"/>
  <c r="A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7" i="6"/>
  <c r="A507" i="6"/>
  <c r="B506" i="6"/>
  <c r="A506" i="6"/>
  <c r="B505" i="6"/>
  <c r="A505" i="6"/>
  <c r="B504" i="6"/>
  <c r="A504" i="6"/>
  <c r="B503" i="6"/>
  <c r="A503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41" i="6"/>
  <c r="A341" i="6"/>
  <c r="B340" i="6"/>
  <c r="A340" i="6"/>
  <c r="B339" i="6"/>
  <c r="A339" i="6"/>
  <c r="B338" i="6"/>
  <c r="A338" i="6"/>
  <c r="B337" i="6"/>
  <c r="A337" i="6"/>
  <c r="B336" i="6"/>
  <c r="A336" i="6"/>
  <c r="B335" i="6"/>
  <c r="A335" i="6"/>
  <c r="B334" i="6"/>
  <c r="A334" i="6"/>
  <c r="B333" i="6"/>
  <c r="A333" i="6"/>
  <c r="B332" i="6"/>
  <c r="A332" i="6"/>
  <c r="B331" i="6"/>
  <c r="A331" i="6"/>
  <c r="B330" i="6"/>
  <c r="A330" i="6"/>
  <c r="B329" i="6"/>
  <c r="A329" i="6"/>
  <c r="B328" i="6"/>
  <c r="A328" i="6"/>
  <c r="B327" i="6"/>
  <c r="A327" i="6"/>
  <c r="B326" i="6"/>
  <c r="A326" i="6"/>
  <c r="B325" i="6"/>
  <c r="A325" i="6"/>
  <c r="B324" i="6"/>
  <c r="A324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B240" i="6"/>
  <c r="A240" i="6"/>
  <c r="B239" i="6"/>
  <c r="A239" i="6"/>
  <c r="B238" i="6"/>
  <c r="A238" i="6"/>
  <c r="B237" i="6"/>
  <c r="A237" i="6"/>
  <c r="B236" i="6"/>
  <c r="A236" i="6"/>
  <c r="B235" i="6"/>
  <c r="A235" i="6"/>
  <c r="B234" i="6"/>
  <c r="A234" i="6"/>
  <c r="B233" i="6"/>
  <c r="A233" i="6"/>
  <c r="B232" i="6"/>
  <c r="A232" i="6"/>
  <c r="B231" i="6"/>
  <c r="A231" i="6"/>
  <c r="B230" i="6"/>
  <c r="A230" i="6"/>
  <c r="B229" i="6"/>
  <c r="A229" i="6"/>
  <c r="B228" i="6"/>
  <c r="A228" i="6"/>
  <c r="B227" i="6"/>
  <c r="A227" i="6"/>
  <c r="B226" i="6"/>
  <c r="A226" i="6"/>
  <c r="B225" i="6"/>
  <c r="A225" i="6"/>
  <c r="B224" i="6"/>
  <c r="A224" i="6"/>
  <c r="B223" i="6"/>
  <c r="A223" i="6"/>
  <c r="B222" i="6"/>
  <c r="A222" i="6"/>
  <c r="B221" i="6"/>
  <c r="A221" i="6"/>
  <c r="B220" i="6"/>
  <c r="A220" i="6"/>
  <c r="B219" i="6"/>
  <c r="A219" i="6"/>
  <c r="B218" i="6"/>
  <c r="A218" i="6"/>
  <c r="B217" i="6"/>
  <c r="A217" i="6"/>
  <c r="B216" i="6"/>
  <c r="A216" i="6"/>
  <c r="B215" i="6"/>
  <c r="A215" i="6"/>
  <c r="B214" i="6"/>
  <c r="A214" i="6"/>
  <c r="B213" i="6"/>
  <c r="A213" i="6"/>
  <c r="B212" i="6"/>
  <c r="A212" i="6"/>
  <c r="B211" i="6"/>
  <c r="A211" i="6"/>
  <c r="B210" i="6"/>
  <c r="A21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M6" i="6"/>
  <c r="K6" i="6"/>
  <c r="J6" i="6"/>
  <c r="I6" i="6"/>
  <c r="I7" i="6" s="1"/>
  <c r="G6" i="6"/>
  <c r="B6" i="6"/>
  <c r="A6" i="6"/>
  <c r="H11" i="5"/>
  <c r="F11" i="5"/>
  <c r="C11" i="5"/>
  <c r="B11" i="5"/>
  <c r="F10" i="5"/>
  <c r="C10" i="5"/>
  <c r="H9" i="5"/>
  <c r="F9" i="5"/>
  <c r="B9" i="5"/>
  <c r="C9" i="5" s="1"/>
  <c r="H8" i="5"/>
  <c r="F8" i="5"/>
  <c r="C8" i="5"/>
  <c r="B8" i="5"/>
  <c r="J7" i="5"/>
  <c r="C7" i="5"/>
  <c r="J6" i="5"/>
  <c r="C6" i="5"/>
  <c r="L5" i="5"/>
  <c r="J5" i="5"/>
  <c r="H5" i="5"/>
  <c r="F5" i="5"/>
  <c r="C5" i="5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S991" i="2"/>
  <c r="P991" i="2"/>
  <c r="O991" i="2"/>
  <c r="Q991" i="2" s="1"/>
  <c r="V991" i="2" s="1"/>
  <c r="M991" i="2"/>
  <c r="L991" i="2"/>
  <c r="N991" i="2" s="1"/>
  <c r="J991" i="2"/>
  <c r="G991" i="2"/>
  <c r="S990" i="2"/>
  <c r="P990" i="2"/>
  <c r="U990" i="2" s="1"/>
  <c r="O990" i="2"/>
  <c r="M990" i="2"/>
  <c r="N990" i="2" s="1"/>
  <c r="L990" i="2"/>
  <c r="J990" i="2"/>
  <c r="G990" i="2"/>
  <c r="S989" i="2"/>
  <c r="P989" i="2"/>
  <c r="O989" i="2"/>
  <c r="Q989" i="2" s="1"/>
  <c r="V989" i="2" s="1"/>
  <c r="M989" i="2"/>
  <c r="L989" i="2"/>
  <c r="J989" i="2"/>
  <c r="AA989" i="2" s="1"/>
  <c r="G989" i="2"/>
  <c r="U988" i="2"/>
  <c r="S988" i="2"/>
  <c r="P988" i="2"/>
  <c r="O988" i="2"/>
  <c r="Q988" i="2" s="1"/>
  <c r="V988" i="2" s="1"/>
  <c r="M988" i="2"/>
  <c r="L988" i="2"/>
  <c r="N988" i="2" s="1"/>
  <c r="G988" i="2"/>
  <c r="J988" i="2" s="1"/>
  <c r="S987" i="2"/>
  <c r="P987" i="2"/>
  <c r="U987" i="2" s="1"/>
  <c r="O987" i="2"/>
  <c r="M987" i="2"/>
  <c r="L987" i="2"/>
  <c r="N987" i="2" s="1"/>
  <c r="W987" i="2" s="1"/>
  <c r="J987" i="2"/>
  <c r="AA987" i="2" s="1"/>
  <c r="G987" i="2"/>
  <c r="W986" i="2"/>
  <c r="X986" i="2" s="1"/>
  <c r="V986" i="2"/>
  <c r="Z986" i="2" s="1"/>
  <c r="U986" i="2"/>
  <c r="S986" i="2"/>
  <c r="Q986" i="2"/>
  <c r="P986" i="2"/>
  <c r="O986" i="2"/>
  <c r="N986" i="2"/>
  <c r="M986" i="2"/>
  <c r="L986" i="2"/>
  <c r="J986" i="2"/>
  <c r="AA986" i="2" s="1"/>
  <c r="G986" i="2"/>
  <c r="X985" i="2"/>
  <c r="W985" i="2"/>
  <c r="V985" i="2"/>
  <c r="Z985" i="2" s="1"/>
  <c r="U985" i="2"/>
  <c r="S985" i="2"/>
  <c r="P985" i="2"/>
  <c r="O985" i="2"/>
  <c r="Q985" i="2" s="1"/>
  <c r="M985" i="2"/>
  <c r="N985" i="2" s="1"/>
  <c r="L985" i="2"/>
  <c r="J985" i="2"/>
  <c r="AA985" i="2" s="1"/>
  <c r="G985" i="2"/>
  <c r="V984" i="2"/>
  <c r="U984" i="2"/>
  <c r="S984" i="2"/>
  <c r="P984" i="2"/>
  <c r="O984" i="2"/>
  <c r="Q984" i="2" s="1"/>
  <c r="M984" i="2"/>
  <c r="N984" i="2" s="1"/>
  <c r="L984" i="2"/>
  <c r="J984" i="2"/>
  <c r="AA984" i="2" s="1"/>
  <c r="G984" i="2"/>
  <c r="U983" i="2"/>
  <c r="S983" i="2"/>
  <c r="P983" i="2"/>
  <c r="O983" i="2"/>
  <c r="Q983" i="2" s="1"/>
  <c r="V983" i="2" s="1"/>
  <c r="M983" i="2"/>
  <c r="L983" i="2"/>
  <c r="N983" i="2" s="1"/>
  <c r="G983" i="2"/>
  <c r="J983" i="2" s="1"/>
  <c r="Z982" i="2"/>
  <c r="S982" i="2"/>
  <c r="P982" i="2"/>
  <c r="U982" i="2" s="1"/>
  <c r="O982" i="2"/>
  <c r="Q982" i="2" s="1"/>
  <c r="V982" i="2" s="1"/>
  <c r="M982" i="2"/>
  <c r="L982" i="2"/>
  <c r="J982" i="2"/>
  <c r="AA982" i="2" s="1"/>
  <c r="G982" i="2"/>
  <c r="AA981" i="2"/>
  <c r="S981" i="2"/>
  <c r="P981" i="2"/>
  <c r="U981" i="2" s="1"/>
  <c r="O981" i="2"/>
  <c r="N981" i="2"/>
  <c r="M981" i="2"/>
  <c r="L981" i="2"/>
  <c r="G981" i="2"/>
  <c r="J981" i="2" s="1"/>
  <c r="U980" i="2"/>
  <c r="S980" i="2"/>
  <c r="P980" i="2"/>
  <c r="O980" i="2"/>
  <c r="Q980" i="2" s="1"/>
  <c r="V980" i="2" s="1"/>
  <c r="M980" i="2"/>
  <c r="L980" i="2"/>
  <c r="G980" i="2"/>
  <c r="J980" i="2" s="1"/>
  <c r="Z979" i="2"/>
  <c r="S979" i="2"/>
  <c r="P979" i="2"/>
  <c r="U979" i="2" s="1"/>
  <c r="O979" i="2"/>
  <c r="Q979" i="2" s="1"/>
  <c r="V979" i="2" s="1"/>
  <c r="N979" i="2"/>
  <c r="M979" i="2"/>
  <c r="L979" i="2"/>
  <c r="G979" i="2"/>
  <c r="J979" i="2" s="1"/>
  <c r="U978" i="2"/>
  <c r="S978" i="2"/>
  <c r="Q978" i="2"/>
  <c r="V978" i="2" s="1"/>
  <c r="P978" i="2"/>
  <c r="O978" i="2"/>
  <c r="M978" i="2"/>
  <c r="L978" i="2"/>
  <c r="N978" i="2" s="1"/>
  <c r="G978" i="2"/>
  <c r="J978" i="2" s="1"/>
  <c r="S977" i="2"/>
  <c r="P977" i="2"/>
  <c r="U977" i="2" s="1"/>
  <c r="O977" i="2"/>
  <c r="M977" i="2"/>
  <c r="L977" i="2"/>
  <c r="G977" i="2"/>
  <c r="J977" i="2" s="1"/>
  <c r="U976" i="2"/>
  <c r="S976" i="2"/>
  <c r="Q976" i="2"/>
  <c r="V976" i="2" s="1"/>
  <c r="P976" i="2"/>
  <c r="O976" i="2"/>
  <c r="N976" i="2"/>
  <c r="M976" i="2"/>
  <c r="L976" i="2"/>
  <c r="J976" i="2"/>
  <c r="G976" i="2"/>
  <c r="S975" i="2"/>
  <c r="P975" i="2"/>
  <c r="U975" i="2" s="1"/>
  <c r="O975" i="2"/>
  <c r="Q975" i="2" s="1"/>
  <c r="V975" i="2" s="1"/>
  <c r="M975" i="2"/>
  <c r="L975" i="2"/>
  <c r="N975" i="2" s="1"/>
  <c r="J975" i="2"/>
  <c r="AA975" i="2" s="1"/>
  <c r="G975" i="2"/>
  <c r="W974" i="2"/>
  <c r="U974" i="2"/>
  <c r="S974" i="2"/>
  <c r="P974" i="2"/>
  <c r="O974" i="2"/>
  <c r="Q974" i="2" s="1"/>
  <c r="V974" i="2" s="1"/>
  <c r="N974" i="2"/>
  <c r="M974" i="2"/>
  <c r="L974" i="2"/>
  <c r="G974" i="2"/>
  <c r="J974" i="2" s="1"/>
  <c r="AA974" i="2" s="1"/>
  <c r="V973" i="2"/>
  <c r="Z973" i="2" s="1"/>
  <c r="S973" i="2"/>
  <c r="Q973" i="2"/>
  <c r="P973" i="2"/>
  <c r="U973" i="2" s="1"/>
  <c r="O973" i="2"/>
  <c r="N973" i="2"/>
  <c r="M973" i="2"/>
  <c r="L973" i="2"/>
  <c r="G973" i="2"/>
  <c r="J973" i="2" s="1"/>
  <c r="AA972" i="2"/>
  <c r="S972" i="2"/>
  <c r="P972" i="2"/>
  <c r="O972" i="2"/>
  <c r="Q972" i="2" s="1"/>
  <c r="V972" i="2" s="1"/>
  <c r="N972" i="2"/>
  <c r="W972" i="2" s="1"/>
  <c r="M972" i="2"/>
  <c r="L972" i="2"/>
  <c r="J972" i="2"/>
  <c r="G972" i="2"/>
  <c r="Z971" i="2"/>
  <c r="S971" i="2"/>
  <c r="U971" i="2" s="1"/>
  <c r="P971" i="2"/>
  <c r="O971" i="2"/>
  <c r="Q971" i="2" s="1"/>
  <c r="V971" i="2" s="1"/>
  <c r="M971" i="2"/>
  <c r="L971" i="2"/>
  <c r="N971" i="2" s="1"/>
  <c r="G971" i="2"/>
  <c r="J971" i="2" s="1"/>
  <c r="AA970" i="2"/>
  <c r="S970" i="2"/>
  <c r="U970" i="2" s="1"/>
  <c r="Q970" i="2"/>
  <c r="V970" i="2" s="1"/>
  <c r="P970" i="2"/>
  <c r="O970" i="2"/>
  <c r="M970" i="2"/>
  <c r="N970" i="2" s="1"/>
  <c r="L970" i="2"/>
  <c r="J970" i="2"/>
  <c r="G970" i="2"/>
  <c r="S969" i="2"/>
  <c r="U969" i="2" s="1"/>
  <c r="Q969" i="2"/>
  <c r="V969" i="2" s="1"/>
  <c r="P969" i="2"/>
  <c r="O969" i="2"/>
  <c r="M969" i="2"/>
  <c r="L969" i="2"/>
  <c r="N969" i="2" s="1"/>
  <c r="G969" i="2"/>
  <c r="J969" i="2" s="1"/>
  <c r="AA969" i="2" s="1"/>
  <c r="V968" i="2"/>
  <c r="Z968" i="2" s="1"/>
  <c r="U968" i="2"/>
  <c r="S968" i="2"/>
  <c r="P968" i="2"/>
  <c r="O968" i="2"/>
  <c r="Q968" i="2" s="1"/>
  <c r="M968" i="2"/>
  <c r="N968" i="2" s="1"/>
  <c r="L968" i="2"/>
  <c r="J968" i="2"/>
  <c r="G968" i="2"/>
  <c r="X967" i="2"/>
  <c r="W967" i="2"/>
  <c r="V967" i="2"/>
  <c r="Z967" i="2" s="1"/>
  <c r="U967" i="2"/>
  <c r="S967" i="2"/>
  <c r="P967" i="2"/>
  <c r="O967" i="2"/>
  <c r="Q967" i="2" s="1"/>
  <c r="M967" i="2"/>
  <c r="L967" i="2"/>
  <c r="N967" i="2" s="1"/>
  <c r="G967" i="2"/>
  <c r="J967" i="2" s="1"/>
  <c r="AA967" i="2" s="1"/>
  <c r="V966" i="2"/>
  <c r="Z966" i="2" s="1"/>
  <c r="S966" i="2"/>
  <c r="P966" i="2"/>
  <c r="U966" i="2" s="1"/>
  <c r="O966" i="2"/>
  <c r="Q966" i="2" s="1"/>
  <c r="M966" i="2"/>
  <c r="L966" i="2"/>
  <c r="J966" i="2"/>
  <c r="AA966" i="2" s="1"/>
  <c r="G966" i="2"/>
  <c r="W965" i="2"/>
  <c r="S965" i="2"/>
  <c r="P965" i="2"/>
  <c r="O965" i="2"/>
  <c r="N965" i="2"/>
  <c r="M965" i="2"/>
  <c r="L965" i="2"/>
  <c r="G965" i="2"/>
  <c r="J965" i="2" s="1"/>
  <c r="AA965" i="2" s="1"/>
  <c r="U964" i="2"/>
  <c r="S964" i="2"/>
  <c r="P964" i="2"/>
  <c r="O964" i="2"/>
  <c r="Q964" i="2" s="1"/>
  <c r="V964" i="2" s="1"/>
  <c r="M964" i="2"/>
  <c r="L964" i="2"/>
  <c r="N964" i="2" s="1"/>
  <c r="G964" i="2"/>
  <c r="J964" i="2" s="1"/>
  <c r="AA963" i="2"/>
  <c r="Z963" i="2"/>
  <c r="S963" i="2"/>
  <c r="P963" i="2"/>
  <c r="O963" i="2"/>
  <c r="Q963" i="2" s="1"/>
  <c r="V963" i="2" s="1"/>
  <c r="N963" i="2"/>
  <c r="M963" i="2"/>
  <c r="L963" i="2"/>
  <c r="G963" i="2"/>
  <c r="J963" i="2" s="1"/>
  <c r="W963" i="2" s="1"/>
  <c r="AA962" i="2"/>
  <c r="U962" i="2"/>
  <c r="S962" i="2"/>
  <c r="Q962" i="2"/>
  <c r="V962" i="2" s="1"/>
  <c r="P962" i="2"/>
  <c r="O962" i="2"/>
  <c r="M962" i="2"/>
  <c r="L962" i="2"/>
  <c r="N962" i="2" s="1"/>
  <c r="J962" i="2"/>
  <c r="W962" i="2" s="1"/>
  <c r="G962" i="2"/>
  <c r="S961" i="2"/>
  <c r="P961" i="2"/>
  <c r="O961" i="2"/>
  <c r="M961" i="2"/>
  <c r="L961" i="2"/>
  <c r="J961" i="2"/>
  <c r="G961" i="2"/>
  <c r="U960" i="2"/>
  <c r="S960" i="2"/>
  <c r="Q960" i="2"/>
  <c r="V960" i="2" s="1"/>
  <c r="P960" i="2"/>
  <c r="O960" i="2"/>
  <c r="M960" i="2"/>
  <c r="L960" i="2"/>
  <c r="N960" i="2" s="1"/>
  <c r="G960" i="2"/>
  <c r="J960" i="2" s="1"/>
  <c r="V959" i="2"/>
  <c r="Z959" i="2" s="1"/>
  <c r="S959" i="2"/>
  <c r="P959" i="2"/>
  <c r="U959" i="2" s="1"/>
  <c r="O959" i="2"/>
  <c r="Q959" i="2" s="1"/>
  <c r="N959" i="2"/>
  <c r="M959" i="2"/>
  <c r="L959" i="2"/>
  <c r="J959" i="2"/>
  <c r="G959" i="2"/>
  <c r="S958" i="2"/>
  <c r="P958" i="2"/>
  <c r="U958" i="2" s="1"/>
  <c r="O958" i="2"/>
  <c r="Q958" i="2" s="1"/>
  <c r="V958" i="2" s="1"/>
  <c r="N958" i="2"/>
  <c r="M958" i="2"/>
  <c r="L958" i="2"/>
  <c r="G958" i="2"/>
  <c r="J958" i="2" s="1"/>
  <c r="Z957" i="2"/>
  <c r="V957" i="2"/>
  <c r="S957" i="2"/>
  <c r="Q957" i="2"/>
  <c r="P957" i="2"/>
  <c r="U957" i="2" s="1"/>
  <c r="O957" i="2"/>
  <c r="M957" i="2"/>
  <c r="N957" i="2" s="1"/>
  <c r="L957" i="2"/>
  <c r="G957" i="2"/>
  <c r="J957" i="2" s="1"/>
  <c r="AA956" i="2"/>
  <c r="W956" i="2"/>
  <c r="S956" i="2"/>
  <c r="Q956" i="2"/>
  <c r="V956" i="2" s="1"/>
  <c r="P956" i="2"/>
  <c r="O956" i="2"/>
  <c r="N956" i="2"/>
  <c r="M956" i="2"/>
  <c r="L956" i="2"/>
  <c r="J956" i="2"/>
  <c r="G956" i="2"/>
  <c r="S955" i="2"/>
  <c r="P955" i="2"/>
  <c r="U955" i="2" s="1"/>
  <c r="O955" i="2"/>
  <c r="Q955" i="2" s="1"/>
  <c r="V955" i="2" s="1"/>
  <c r="M955" i="2"/>
  <c r="L955" i="2"/>
  <c r="N955" i="2" s="1"/>
  <c r="G955" i="2"/>
  <c r="J955" i="2" s="1"/>
  <c r="U954" i="2"/>
  <c r="S954" i="2"/>
  <c r="P954" i="2"/>
  <c r="Q954" i="2" s="1"/>
  <c r="V954" i="2" s="1"/>
  <c r="O954" i="2"/>
  <c r="M954" i="2"/>
  <c r="N954" i="2" s="1"/>
  <c r="L954" i="2"/>
  <c r="J954" i="2"/>
  <c r="G954" i="2"/>
  <c r="U953" i="2"/>
  <c r="S953" i="2"/>
  <c r="P953" i="2"/>
  <c r="Q953" i="2" s="1"/>
  <c r="V953" i="2" s="1"/>
  <c r="O953" i="2"/>
  <c r="M953" i="2"/>
  <c r="L953" i="2"/>
  <c r="N953" i="2" s="1"/>
  <c r="G953" i="2"/>
  <c r="J953" i="2" s="1"/>
  <c r="AA952" i="2"/>
  <c r="V952" i="2"/>
  <c r="Z952" i="2" s="1"/>
  <c r="U952" i="2"/>
  <c r="S952" i="2"/>
  <c r="Q952" i="2"/>
  <c r="P952" i="2"/>
  <c r="O952" i="2"/>
  <c r="M952" i="2"/>
  <c r="N952" i="2" s="1"/>
  <c r="W952" i="2" s="1"/>
  <c r="L952" i="2"/>
  <c r="J952" i="2"/>
  <c r="G952" i="2"/>
  <c r="V951" i="2"/>
  <c r="Z951" i="2" s="1"/>
  <c r="S951" i="2"/>
  <c r="U951" i="2" s="1"/>
  <c r="P951" i="2"/>
  <c r="Q951" i="2" s="1"/>
  <c r="O951" i="2"/>
  <c r="M951" i="2"/>
  <c r="L951" i="2"/>
  <c r="N951" i="2" s="1"/>
  <c r="W951" i="2" s="1"/>
  <c r="X951" i="2" s="1"/>
  <c r="G951" i="2"/>
  <c r="J951" i="2" s="1"/>
  <c r="AA951" i="2" s="1"/>
  <c r="S950" i="2"/>
  <c r="U950" i="2" s="1"/>
  <c r="P950" i="2"/>
  <c r="Q950" i="2" s="1"/>
  <c r="V950" i="2" s="1"/>
  <c r="O950" i="2"/>
  <c r="M950" i="2"/>
  <c r="L950" i="2"/>
  <c r="J950" i="2"/>
  <c r="AA950" i="2" s="1"/>
  <c r="G950" i="2"/>
  <c r="AA949" i="2"/>
  <c r="W949" i="2"/>
  <c r="S949" i="2"/>
  <c r="Q949" i="2"/>
  <c r="V949" i="2" s="1"/>
  <c r="P949" i="2"/>
  <c r="O949" i="2"/>
  <c r="N949" i="2"/>
  <c r="M949" i="2"/>
  <c r="L949" i="2"/>
  <c r="G949" i="2"/>
  <c r="J949" i="2" s="1"/>
  <c r="U948" i="2"/>
  <c r="S948" i="2"/>
  <c r="P948" i="2"/>
  <c r="O948" i="2"/>
  <c r="Q948" i="2" s="1"/>
  <c r="V948" i="2" s="1"/>
  <c r="M948" i="2"/>
  <c r="L948" i="2"/>
  <c r="G948" i="2"/>
  <c r="J948" i="2" s="1"/>
  <c r="AA948" i="2" s="1"/>
  <c r="V947" i="2"/>
  <c r="U947" i="2"/>
  <c r="S947" i="2"/>
  <c r="P947" i="2"/>
  <c r="O947" i="2"/>
  <c r="Q947" i="2" s="1"/>
  <c r="N947" i="2"/>
  <c r="M947" i="2"/>
  <c r="L947" i="2"/>
  <c r="J947" i="2"/>
  <c r="AA947" i="2" s="1"/>
  <c r="G947" i="2"/>
  <c r="U946" i="2"/>
  <c r="S946" i="2"/>
  <c r="P946" i="2"/>
  <c r="O946" i="2"/>
  <c r="Q946" i="2" s="1"/>
  <c r="V946" i="2" s="1"/>
  <c r="M946" i="2"/>
  <c r="L946" i="2"/>
  <c r="N946" i="2" s="1"/>
  <c r="G946" i="2"/>
  <c r="J946" i="2" s="1"/>
  <c r="S945" i="2"/>
  <c r="P945" i="2"/>
  <c r="O945" i="2"/>
  <c r="M945" i="2"/>
  <c r="L945" i="2"/>
  <c r="N945" i="2" s="1"/>
  <c r="J945" i="2"/>
  <c r="G945" i="2"/>
  <c r="U944" i="2"/>
  <c r="S944" i="2"/>
  <c r="Q944" i="2"/>
  <c r="V944" i="2" s="1"/>
  <c r="P944" i="2"/>
  <c r="O944" i="2"/>
  <c r="N944" i="2"/>
  <c r="M944" i="2"/>
  <c r="L944" i="2"/>
  <c r="J944" i="2"/>
  <c r="G944" i="2"/>
  <c r="S943" i="2"/>
  <c r="P943" i="2"/>
  <c r="U943" i="2" s="1"/>
  <c r="O943" i="2"/>
  <c r="Q943" i="2" s="1"/>
  <c r="V943" i="2" s="1"/>
  <c r="N943" i="2"/>
  <c r="M943" i="2"/>
  <c r="L943" i="2"/>
  <c r="G943" i="2"/>
  <c r="J943" i="2" s="1"/>
  <c r="Z942" i="2"/>
  <c r="U942" i="2"/>
  <c r="S942" i="2"/>
  <c r="P942" i="2"/>
  <c r="O942" i="2"/>
  <c r="Q942" i="2" s="1"/>
  <c r="V942" i="2" s="1"/>
  <c r="M942" i="2"/>
  <c r="L942" i="2"/>
  <c r="J942" i="2"/>
  <c r="G942" i="2"/>
  <c r="S941" i="2"/>
  <c r="P941" i="2"/>
  <c r="U941" i="2" s="1"/>
  <c r="O941" i="2"/>
  <c r="Q941" i="2" s="1"/>
  <c r="V941" i="2" s="1"/>
  <c r="M941" i="2"/>
  <c r="L941" i="2"/>
  <c r="N941" i="2" s="1"/>
  <c r="G941" i="2"/>
  <c r="J941" i="2" s="1"/>
  <c r="AA940" i="2"/>
  <c r="W940" i="2"/>
  <c r="S940" i="2"/>
  <c r="Q940" i="2"/>
  <c r="V940" i="2" s="1"/>
  <c r="P940" i="2"/>
  <c r="O940" i="2"/>
  <c r="M940" i="2"/>
  <c r="L940" i="2"/>
  <c r="N940" i="2" s="1"/>
  <c r="G940" i="2"/>
  <c r="J940" i="2" s="1"/>
  <c r="S939" i="2"/>
  <c r="P939" i="2"/>
  <c r="U939" i="2" s="1"/>
  <c r="O939" i="2"/>
  <c r="Q939" i="2" s="1"/>
  <c r="V939" i="2" s="1"/>
  <c r="N939" i="2"/>
  <c r="M939" i="2"/>
  <c r="L939" i="2"/>
  <c r="G939" i="2"/>
  <c r="J939" i="2" s="1"/>
  <c r="S938" i="2"/>
  <c r="Q938" i="2"/>
  <c r="V938" i="2" s="1"/>
  <c r="P938" i="2"/>
  <c r="O938" i="2"/>
  <c r="M938" i="2"/>
  <c r="L938" i="2"/>
  <c r="N938" i="2" s="1"/>
  <c r="J938" i="2"/>
  <c r="AA938" i="2" s="1"/>
  <c r="G938" i="2"/>
  <c r="S937" i="2"/>
  <c r="P937" i="2"/>
  <c r="U937" i="2" s="1"/>
  <c r="O937" i="2"/>
  <c r="M937" i="2"/>
  <c r="N937" i="2" s="1"/>
  <c r="L937" i="2"/>
  <c r="G937" i="2"/>
  <c r="J937" i="2" s="1"/>
  <c r="V936" i="2"/>
  <c r="Z936" i="2" s="1"/>
  <c r="S936" i="2"/>
  <c r="U936" i="2" s="1"/>
  <c r="Q936" i="2"/>
  <c r="P936" i="2"/>
  <c r="O936" i="2"/>
  <c r="M936" i="2"/>
  <c r="N936" i="2" s="1"/>
  <c r="L936" i="2"/>
  <c r="J936" i="2"/>
  <c r="G936" i="2"/>
  <c r="U935" i="2"/>
  <c r="S935" i="2"/>
  <c r="P935" i="2"/>
  <c r="Q935" i="2" s="1"/>
  <c r="V935" i="2" s="1"/>
  <c r="Z935" i="2" s="1"/>
  <c r="O935" i="2"/>
  <c r="M935" i="2"/>
  <c r="L935" i="2"/>
  <c r="N935" i="2" s="1"/>
  <c r="G935" i="2"/>
  <c r="J935" i="2" s="1"/>
  <c r="V934" i="2"/>
  <c r="U934" i="2"/>
  <c r="S934" i="2"/>
  <c r="Q934" i="2"/>
  <c r="P934" i="2"/>
  <c r="O934" i="2"/>
  <c r="M934" i="2"/>
  <c r="L934" i="2"/>
  <c r="J934" i="2"/>
  <c r="AA934" i="2" s="1"/>
  <c r="G934" i="2"/>
  <c r="AA933" i="2"/>
  <c r="W933" i="2"/>
  <c r="V933" i="2"/>
  <c r="U933" i="2"/>
  <c r="S933" i="2"/>
  <c r="P933" i="2"/>
  <c r="Q933" i="2" s="1"/>
  <c r="O933" i="2"/>
  <c r="N933" i="2"/>
  <c r="M933" i="2"/>
  <c r="L933" i="2"/>
  <c r="G933" i="2"/>
  <c r="J933" i="2" s="1"/>
  <c r="AA932" i="2"/>
  <c r="V932" i="2"/>
  <c r="Z932" i="2" s="1"/>
  <c r="U932" i="2"/>
  <c r="S932" i="2"/>
  <c r="Q932" i="2"/>
  <c r="P932" i="2"/>
  <c r="O932" i="2"/>
  <c r="M932" i="2"/>
  <c r="L932" i="2"/>
  <c r="G932" i="2"/>
  <c r="J932" i="2" s="1"/>
  <c r="W931" i="2"/>
  <c r="U931" i="2"/>
  <c r="S931" i="2"/>
  <c r="P931" i="2"/>
  <c r="O931" i="2"/>
  <c r="N931" i="2"/>
  <c r="M931" i="2"/>
  <c r="L931" i="2"/>
  <c r="J931" i="2"/>
  <c r="AA931" i="2" s="1"/>
  <c r="G931" i="2"/>
  <c r="Z930" i="2"/>
  <c r="W930" i="2"/>
  <c r="V930" i="2"/>
  <c r="X930" i="2" s="1"/>
  <c r="U930" i="2"/>
  <c r="S930" i="2"/>
  <c r="P930" i="2"/>
  <c r="O930" i="2"/>
  <c r="Q930" i="2" s="1"/>
  <c r="M930" i="2"/>
  <c r="L930" i="2"/>
  <c r="N930" i="2" s="1"/>
  <c r="J930" i="2"/>
  <c r="AA930" i="2" s="1"/>
  <c r="G930" i="2"/>
  <c r="W929" i="2"/>
  <c r="S929" i="2"/>
  <c r="P929" i="2"/>
  <c r="O929" i="2"/>
  <c r="M929" i="2"/>
  <c r="L929" i="2"/>
  <c r="N929" i="2" s="1"/>
  <c r="G929" i="2"/>
  <c r="J929" i="2" s="1"/>
  <c r="AA929" i="2" s="1"/>
  <c r="W928" i="2"/>
  <c r="U928" i="2"/>
  <c r="S928" i="2"/>
  <c r="Q928" i="2"/>
  <c r="V928" i="2" s="1"/>
  <c r="P928" i="2"/>
  <c r="O928" i="2"/>
  <c r="M928" i="2"/>
  <c r="L928" i="2"/>
  <c r="N928" i="2" s="1"/>
  <c r="G928" i="2"/>
  <c r="J928" i="2" s="1"/>
  <c r="AA928" i="2" s="1"/>
  <c r="V927" i="2"/>
  <c r="Z927" i="2" s="1"/>
  <c r="S927" i="2"/>
  <c r="P927" i="2"/>
  <c r="U927" i="2" s="1"/>
  <c r="O927" i="2"/>
  <c r="Q927" i="2" s="1"/>
  <c r="N927" i="2"/>
  <c r="M927" i="2"/>
  <c r="L927" i="2"/>
  <c r="G927" i="2"/>
  <c r="J927" i="2" s="1"/>
  <c r="S926" i="2"/>
  <c r="P926" i="2"/>
  <c r="U926" i="2" s="1"/>
  <c r="O926" i="2"/>
  <c r="M926" i="2"/>
  <c r="N926" i="2" s="1"/>
  <c r="L926" i="2"/>
  <c r="J926" i="2"/>
  <c r="G926" i="2"/>
  <c r="S925" i="2"/>
  <c r="P925" i="2"/>
  <c r="U925" i="2" s="1"/>
  <c r="O925" i="2"/>
  <c r="Q925" i="2" s="1"/>
  <c r="V925" i="2" s="1"/>
  <c r="M925" i="2"/>
  <c r="N925" i="2" s="1"/>
  <c r="L925" i="2"/>
  <c r="G925" i="2"/>
  <c r="J925" i="2" s="1"/>
  <c r="S924" i="2"/>
  <c r="Q924" i="2"/>
  <c r="V924" i="2" s="1"/>
  <c r="P924" i="2"/>
  <c r="U924" i="2" s="1"/>
  <c r="O924" i="2"/>
  <c r="M924" i="2"/>
  <c r="L924" i="2"/>
  <c r="N924" i="2" s="1"/>
  <c r="G924" i="2"/>
  <c r="J924" i="2" s="1"/>
  <c r="U923" i="2"/>
  <c r="S923" i="2"/>
  <c r="P923" i="2"/>
  <c r="Q923" i="2" s="1"/>
  <c r="V923" i="2" s="1"/>
  <c r="Z923" i="2" s="1"/>
  <c r="O923" i="2"/>
  <c r="N923" i="2"/>
  <c r="M923" i="2"/>
  <c r="L923" i="2"/>
  <c r="J923" i="2"/>
  <c r="G923" i="2"/>
  <c r="AA922" i="2"/>
  <c r="S922" i="2"/>
  <c r="U922" i="2" s="1"/>
  <c r="Q922" i="2"/>
  <c r="V922" i="2" s="1"/>
  <c r="P922" i="2"/>
  <c r="O922" i="2"/>
  <c r="M922" i="2"/>
  <c r="N922" i="2" s="1"/>
  <c r="L922" i="2"/>
  <c r="J922" i="2"/>
  <c r="G922" i="2"/>
  <c r="U921" i="2"/>
  <c r="S921" i="2"/>
  <c r="Q921" i="2"/>
  <c r="V921" i="2" s="1"/>
  <c r="P921" i="2"/>
  <c r="O921" i="2"/>
  <c r="N921" i="2"/>
  <c r="M921" i="2"/>
  <c r="L921" i="2"/>
  <c r="G921" i="2"/>
  <c r="J921" i="2" s="1"/>
  <c r="AA921" i="2" s="1"/>
  <c r="S920" i="2"/>
  <c r="P920" i="2"/>
  <c r="U920" i="2" s="1"/>
  <c r="O920" i="2"/>
  <c r="Q920" i="2" s="1"/>
  <c r="V920" i="2" s="1"/>
  <c r="M920" i="2"/>
  <c r="N920" i="2" s="1"/>
  <c r="L920" i="2"/>
  <c r="J920" i="2"/>
  <c r="G920" i="2"/>
  <c r="S919" i="2"/>
  <c r="P919" i="2"/>
  <c r="U919" i="2" s="1"/>
  <c r="O919" i="2"/>
  <c r="Q919" i="2" s="1"/>
  <c r="V919" i="2" s="1"/>
  <c r="M919" i="2"/>
  <c r="L919" i="2"/>
  <c r="N919" i="2" s="1"/>
  <c r="G919" i="2"/>
  <c r="J919" i="2" s="1"/>
  <c r="U918" i="2"/>
  <c r="S918" i="2"/>
  <c r="P918" i="2"/>
  <c r="O918" i="2"/>
  <c r="Q918" i="2" s="1"/>
  <c r="V918" i="2" s="1"/>
  <c r="M918" i="2"/>
  <c r="L918" i="2"/>
  <c r="N918" i="2" s="1"/>
  <c r="J918" i="2"/>
  <c r="G918" i="2"/>
  <c r="AA917" i="2"/>
  <c r="Z917" i="2"/>
  <c r="V917" i="2"/>
  <c r="S917" i="2"/>
  <c r="U917" i="2" s="1"/>
  <c r="Q917" i="2"/>
  <c r="P917" i="2"/>
  <c r="O917" i="2"/>
  <c r="M917" i="2"/>
  <c r="L917" i="2"/>
  <c r="N917" i="2" s="1"/>
  <c r="G917" i="2"/>
  <c r="J917" i="2" s="1"/>
  <c r="W917" i="2" s="1"/>
  <c r="AA916" i="2"/>
  <c r="Z916" i="2"/>
  <c r="V916" i="2"/>
  <c r="X916" i="2" s="1"/>
  <c r="S916" i="2"/>
  <c r="U916" i="2" s="1"/>
  <c r="Q916" i="2"/>
  <c r="P916" i="2"/>
  <c r="O916" i="2"/>
  <c r="M916" i="2"/>
  <c r="L916" i="2"/>
  <c r="N916" i="2" s="1"/>
  <c r="J916" i="2"/>
  <c r="W916" i="2" s="1"/>
  <c r="G916" i="2"/>
  <c r="S915" i="2"/>
  <c r="P915" i="2"/>
  <c r="U915" i="2" s="1"/>
  <c r="O915" i="2"/>
  <c r="M915" i="2"/>
  <c r="L915" i="2"/>
  <c r="N915" i="2" s="1"/>
  <c r="G915" i="2"/>
  <c r="J915" i="2" s="1"/>
  <c r="Z914" i="2"/>
  <c r="V914" i="2"/>
  <c r="U914" i="2"/>
  <c r="S914" i="2"/>
  <c r="Q914" i="2"/>
  <c r="P914" i="2"/>
  <c r="O914" i="2"/>
  <c r="M914" i="2"/>
  <c r="L914" i="2"/>
  <c r="N914" i="2" s="1"/>
  <c r="G914" i="2"/>
  <c r="J914" i="2" s="1"/>
  <c r="S913" i="2"/>
  <c r="P913" i="2"/>
  <c r="U913" i="2" s="1"/>
  <c r="O913" i="2"/>
  <c r="M913" i="2"/>
  <c r="L913" i="2"/>
  <c r="N913" i="2" s="1"/>
  <c r="G913" i="2"/>
  <c r="J913" i="2" s="1"/>
  <c r="Z912" i="2"/>
  <c r="U912" i="2"/>
  <c r="S912" i="2"/>
  <c r="P912" i="2"/>
  <c r="O912" i="2"/>
  <c r="Q912" i="2" s="1"/>
  <c r="V912" i="2" s="1"/>
  <c r="M912" i="2"/>
  <c r="L912" i="2"/>
  <c r="N912" i="2" s="1"/>
  <c r="G912" i="2"/>
  <c r="J912" i="2" s="1"/>
  <c r="AA911" i="2"/>
  <c r="S911" i="2"/>
  <c r="P911" i="2"/>
  <c r="U911" i="2" s="1"/>
  <c r="O911" i="2"/>
  <c r="M911" i="2"/>
  <c r="N911" i="2" s="1"/>
  <c r="L911" i="2"/>
  <c r="J911" i="2"/>
  <c r="G911" i="2"/>
  <c r="U910" i="2"/>
  <c r="S910" i="2"/>
  <c r="P910" i="2"/>
  <c r="O910" i="2"/>
  <c r="Q910" i="2" s="1"/>
  <c r="V910" i="2" s="1"/>
  <c r="M910" i="2"/>
  <c r="L910" i="2"/>
  <c r="N910" i="2" s="1"/>
  <c r="G910" i="2"/>
  <c r="J910" i="2" s="1"/>
  <c r="AA909" i="2"/>
  <c r="S909" i="2"/>
  <c r="Q909" i="2"/>
  <c r="V909" i="2" s="1"/>
  <c r="P909" i="2"/>
  <c r="O909" i="2"/>
  <c r="M909" i="2"/>
  <c r="N909" i="2" s="1"/>
  <c r="L909" i="2"/>
  <c r="J909" i="2"/>
  <c r="G909" i="2"/>
  <c r="W908" i="2"/>
  <c r="S908" i="2"/>
  <c r="U908" i="2" s="1"/>
  <c r="Q908" i="2"/>
  <c r="V908" i="2" s="1"/>
  <c r="P908" i="2"/>
  <c r="O908" i="2"/>
  <c r="N908" i="2"/>
  <c r="M908" i="2"/>
  <c r="L908" i="2"/>
  <c r="J908" i="2"/>
  <c r="AA908" i="2" s="1"/>
  <c r="G908" i="2"/>
  <c r="S907" i="2"/>
  <c r="P907" i="2"/>
  <c r="U907" i="2" s="1"/>
  <c r="O907" i="2"/>
  <c r="Q907" i="2" s="1"/>
  <c r="V907" i="2" s="1"/>
  <c r="M907" i="2"/>
  <c r="L907" i="2"/>
  <c r="J907" i="2"/>
  <c r="G907" i="2"/>
  <c r="S906" i="2"/>
  <c r="P906" i="2"/>
  <c r="U906" i="2" s="1"/>
  <c r="O906" i="2"/>
  <c r="M906" i="2"/>
  <c r="L906" i="2"/>
  <c r="N906" i="2" s="1"/>
  <c r="J906" i="2"/>
  <c r="G906" i="2"/>
  <c r="U905" i="2"/>
  <c r="S905" i="2"/>
  <c r="P905" i="2"/>
  <c r="O905" i="2"/>
  <c r="Q905" i="2" s="1"/>
  <c r="V905" i="2" s="1"/>
  <c r="M905" i="2"/>
  <c r="L905" i="2"/>
  <c r="G905" i="2"/>
  <c r="J905" i="2" s="1"/>
  <c r="V904" i="2"/>
  <c r="Z904" i="2" s="1"/>
  <c r="S904" i="2"/>
  <c r="U904" i="2" s="1"/>
  <c r="Q904" i="2"/>
  <c r="P904" i="2"/>
  <c r="O904" i="2"/>
  <c r="M904" i="2"/>
  <c r="N904" i="2" s="1"/>
  <c r="L904" i="2"/>
  <c r="J904" i="2"/>
  <c r="W904" i="2" s="1"/>
  <c r="G904" i="2"/>
  <c r="Z903" i="2"/>
  <c r="V903" i="2"/>
  <c r="S903" i="2"/>
  <c r="U903" i="2" s="1"/>
  <c r="Q903" i="2"/>
  <c r="P903" i="2"/>
  <c r="O903" i="2"/>
  <c r="M903" i="2"/>
  <c r="L903" i="2"/>
  <c r="N903" i="2" s="1"/>
  <c r="G903" i="2"/>
  <c r="J903" i="2" s="1"/>
  <c r="Z902" i="2"/>
  <c r="V902" i="2"/>
  <c r="U902" i="2"/>
  <c r="S902" i="2"/>
  <c r="Q902" i="2"/>
  <c r="P902" i="2"/>
  <c r="O902" i="2"/>
  <c r="M902" i="2"/>
  <c r="L902" i="2"/>
  <c r="J902" i="2"/>
  <c r="AA902" i="2" s="1"/>
  <c r="G902" i="2"/>
  <c r="U901" i="2"/>
  <c r="S901" i="2"/>
  <c r="P901" i="2"/>
  <c r="Q901" i="2" s="1"/>
  <c r="V901" i="2" s="1"/>
  <c r="O901" i="2"/>
  <c r="M901" i="2"/>
  <c r="L901" i="2"/>
  <c r="N901" i="2" s="1"/>
  <c r="G901" i="2"/>
  <c r="J901" i="2" s="1"/>
  <c r="Z900" i="2"/>
  <c r="V900" i="2"/>
  <c r="U900" i="2"/>
  <c r="S900" i="2"/>
  <c r="Q900" i="2"/>
  <c r="P900" i="2"/>
  <c r="O900" i="2"/>
  <c r="M900" i="2"/>
  <c r="L900" i="2"/>
  <c r="J900" i="2"/>
  <c r="G900" i="2"/>
  <c r="U899" i="2"/>
  <c r="S899" i="2"/>
  <c r="P899" i="2"/>
  <c r="O899" i="2"/>
  <c r="M899" i="2"/>
  <c r="L899" i="2"/>
  <c r="N899" i="2" s="1"/>
  <c r="G899" i="2"/>
  <c r="J899" i="2" s="1"/>
  <c r="Z898" i="2"/>
  <c r="V898" i="2"/>
  <c r="U898" i="2"/>
  <c r="S898" i="2"/>
  <c r="Q898" i="2"/>
  <c r="P898" i="2"/>
  <c r="O898" i="2"/>
  <c r="M898" i="2"/>
  <c r="L898" i="2"/>
  <c r="G898" i="2"/>
  <c r="J898" i="2" s="1"/>
  <c r="AA898" i="2" s="1"/>
  <c r="AA897" i="2"/>
  <c r="Z897" i="2"/>
  <c r="X897" i="2"/>
  <c r="V897" i="2"/>
  <c r="S897" i="2"/>
  <c r="P897" i="2"/>
  <c r="O897" i="2"/>
  <c r="Q897" i="2" s="1"/>
  <c r="N897" i="2"/>
  <c r="M897" i="2"/>
  <c r="L897" i="2"/>
  <c r="G897" i="2"/>
  <c r="J897" i="2" s="1"/>
  <c r="W897" i="2" s="1"/>
  <c r="AA896" i="2"/>
  <c r="Z896" i="2"/>
  <c r="X896" i="2"/>
  <c r="W896" i="2"/>
  <c r="U896" i="2"/>
  <c r="S896" i="2"/>
  <c r="Q896" i="2"/>
  <c r="V896" i="2" s="1"/>
  <c r="P896" i="2"/>
  <c r="O896" i="2"/>
  <c r="N896" i="2"/>
  <c r="M896" i="2"/>
  <c r="L896" i="2"/>
  <c r="G896" i="2"/>
  <c r="J896" i="2" s="1"/>
  <c r="V895" i="2"/>
  <c r="Z895" i="2" s="1"/>
  <c r="S895" i="2"/>
  <c r="P895" i="2"/>
  <c r="O895" i="2"/>
  <c r="Q895" i="2" s="1"/>
  <c r="M895" i="2"/>
  <c r="L895" i="2"/>
  <c r="N895" i="2" s="1"/>
  <c r="G895" i="2"/>
  <c r="J895" i="2" s="1"/>
  <c r="AA895" i="2" s="1"/>
  <c r="AA894" i="2"/>
  <c r="W894" i="2"/>
  <c r="U894" i="2"/>
  <c r="S894" i="2"/>
  <c r="Q894" i="2"/>
  <c r="V894" i="2" s="1"/>
  <c r="X894" i="2" s="1"/>
  <c r="P894" i="2"/>
  <c r="O894" i="2"/>
  <c r="N894" i="2"/>
  <c r="M894" i="2"/>
  <c r="L894" i="2"/>
  <c r="J894" i="2"/>
  <c r="G894" i="2"/>
  <c r="S893" i="2"/>
  <c r="P893" i="2"/>
  <c r="O893" i="2"/>
  <c r="Q893" i="2" s="1"/>
  <c r="V893" i="2" s="1"/>
  <c r="M893" i="2"/>
  <c r="L893" i="2"/>
  <c r="N893" i="2" s="1"/>
  <c r="G893" i="2"/>
  <c r="J893" i="2" s="1"/>
  <c r="U892" i="2"/>
  <c r="S892" i="2"/>
  <c r="P892" i="2"/>
  <c r="O892" i="2"/>
  <c r="Q892" i="2" s="1"/>
  <c r="V892" i="2" s="1"/>
  <c r="M892" i="2"/>
  <c r="N892" i="2" s="1"/>
  <c r="L892" i="2"/>
  <c r="G892" i="2"/>
  <c r="J892" i="2" s="1"/>
  <c r="S891" i="2"/>
  <c r="P891" i="2"/>
  <c r="U891" i="2" s="1"/>
  <c r="O891" i="2"/>
  <c r="Q891" i="2" s="1"/>
  <c r="V891" i="2" s="1"/>
  <c r="M891" i="2"/>
  <c r="L891" i="2"/>
  <c r="N891" i="2" s="1"/>
  <c r="J891" i="2"/>
  <c r="G891" i="2"/>
  <c r="U890" i="2"/>
  <c r="S890" i="2"/>
  <c r="P890" i="2"/>
  <c r="O890" i="2"/>
  <c r="Q890" i="2" s="1"/>
  <c r="V890" i="2" s="1"/>
  <c r="M890" i="2"/>
  <c r="L890" i="2"/>
  <c r="N890" i="2" s="1"/>
  <c r="J890" i="2"/>
  <c r="G890" i="2"/>
  <c r="U889" i="2"/>
  <c r="S889" i="2"/>
  <c r="P889" i="2"/>
  <c r="O889" i="2"/>
  <c r="Q889" i="2" s="1"/>
  <c r="V889" i="2" s="1"/>
  <c r="M889" i="2"/>
  <c r="L889" i="2"/>
  <c r="N889" i="2" s="1"/>
  <c r="G889" i="2"/>
  <c r="J889" i="2" s="1"/>
  <c r="AA889" i="2" s="1"/>
  <c r="V888" i="2"/>
  <c r="Z888" i="2" s="1"/>
  <c r="U888" i="2"/>
  <c r="S888" i="2"/>
  <c r="Q888" i="2"/>
  <c r="P888" i="2"/>
  <c r="O888" i="2"/>
  <c r="N888" i="2"/>
  <c r="M888" i="2"/>
  <c r="L888" i="2"/>
  <c r="J888" i="2"/>
  <c r="G888" i="2"/>
  <c r="Z887" i="2"/>
  <c r="V887" i="2"/>
  <c r="U887" i="2"/>
  <c r="S887" i="2"/>
  <c r="Q887" i="2"/>
  <c r="P887" i="2"/>
  <c r="O887" i="2"/>
  <c r="M887" i="2"/>
  <c r="L887" i="2"/>
  <c r="N887" i="2" s="1"/>
  <c r="G887" i="2"/>
  <c r="J887" i="2" s="1"/>
  <c r="AA886" i="2"/>
  <c r="Z886" i="2"/>
  <c r="X886" i="2"/>
  <c r="W886" i="2"/>
  <c r="S886" i="2"/>
  <c r="U886" i="2" s="1"/>
  <c r="P886" i="2"/>
  <c r="O886" i="2"/>
  <c r="Q886" i="2" s="1"/>
  <c r="V886" i="2" s="1"/>
  <c r="M886" i="2"/>
  <c r="L886" i="2"/>
  <c r="N886" i="2" s="1"/>
  <c r="J886" i="2"/>
  <c r="G886" i="2"/>
  <c r="AA885" i="2"/>
  <c r="X885" i="2"/>
  <c r="W885" i="2"/>
  <c r="S885" i="2"/>
  <c r="U885" i="2" s="1"/>
  <c r="P885" i="2"/>
  <c r="Q885" i="2" s="1"/>
  <c r="V885" i="2" s="1"/>
  <c r="Z885" i="2" s="1"/>
  <c r="O885" i="2"/>
  <c r="M885" i="2"/>
  <c r="L885" i="2"/>
  <c r="N885" i="2" s="1"/>
  <c r="G885" i="2"/>
  <c r="J885" i="2" s="1"/>
  <c r="S884" i="2"/>
  <c r="U884" i="2" s="1"/>
  <c r="P884" i="2"/>
  <c r="O884" i="2"/>
  <c r="Q884" i="2" s="1"/>
  <c r="V884" i="2" s="1"/>
  <c r="M884" i="2"/>
  <c r="L884" i="2"/>
  <c r="N884" i="2" s="1"/>
  <c r="G884" i="2"/>
  <c r="J884" i="2" s="1"/>
  <c r="Z883" i="2"/>
  <c r="V883" i="2"/>
  <c r="S883" i="2"/>
  <c r="U883" i="2" s="1"/>
  <c r="P883" i="2"/>
  <c r="O883" i="2"/>
  <c r="Q883" i="2" s="1"/>
  <c r="N883" i="2"/>
  <c r="M883" i="2"/>
  <c r="L883" i="2"/>
  <c r="G883" i="2"/>
  <c r="J883" i="2" s="1"/>
  <c r="AA882" i="2"/>
  <c r="Z882" i="2"/>
  <c r="U882" i="2"/>
  <c r="S882" i="2"/>
  <c r="P882" i="2"/>
  <c r="O882" i="2"/>
  <c r="Q882" i="2" s="1"/>
  <c r="V882" i="2" s="1"/>
  <c r="M882" i="2"/>
  <c r="L882" i="2"/>
  <c r="N882" i="2" s="1"/>
  <c r="G882" i="2"/>
  <c r="J882" i="2" s="1"/>
  <c r="W882" i="2" s="1"/>
  <c r="AA881" i="2"/>
  <c r="W881" i="2"/>
  <c r="S881" i="2"/>
  <c r="P881" i="2"/>
  <c r="U881" i="2" s="1"/>
  <c r="O881" i="2"/>
  <c r="M881" i="2"/>
  <c r="N881" i="2" s="1"/>
  <c r="L881" i="2"/>
  <c r="J881" i="2"/>
  <c r="G881" i="2"/>
  <c r="AA880" i="2"/>
  <c r="Z880" i="2"/>
  <c r="X880" i="2"/>
  <c r="W880" i="2"/>
  <c r="U880" i="2"/>
  <c r="S880" i="2"/>
  <c r="Q880" i="2"/>
  <c r="V880" i="2" s="1"/>
  <c r="P880" i="2"/>
  <c r="O880" i="2"/>
  <c r="M880" i="2"/>
  <c r="N880" i="2" s="1"/>
  <c r="L880" i="2"/>
  <c r="J880" i="2"/>
  <c r="G880" i="2"/>
  <c r="AA879" i="2"/>
  <c r="S879" i="2"/>
  <c r="P879" i="2"/>
  <c r="O879" i="2"/>
  <c r="N879" i="2"/>
  <c r="M879" i="2"/>
  <c r="L879" i="2"/>
  <c r="J879" i="2"/>
  <c r="G879" i="2"/>
  <c r="S878" i="2"/>
  <c r="P878" i="2"/>
  <c r="O878" i="2"/>
  <c r="M878" i="2"/>
  <c r="N878" i="2" s="1"/>
  <c r="L878" i="2"/>
  <c r="G878" i="2"/>
  <c r="J878" i="2" s="1"/>
  <c r="S877" i="2"/>
  <c r="P877" i="2"/>
  <c r="U877" i="2" s="1"/>
  <c r="O877" i="2"/>
  <c r="N877" i="2"/>
  <c r="M877" i="2"/>
  <c r="L877" i="2"/>
  <c r="J877" i="2"/>
  <c r="G877" i="2"/>
  <c r="S876" i="2"/>
  <c r="Q876" i="2"/>
  <c r="V876" i="2" s="1"/>
  <c r="P876" i="2"/>
  <c r="O876" i="2"/>
  <c r="N876" i="2"/>
  <c r="M876" i="2"/>
  <c r="L876" i="2"/>
  <c r="J876" i="2"/>
  <c r="AA876" i="2" s="1"/>
  <c r="G876" i="2"/>
  <c r="S875" i="2"/>
  <c r="P875" i="2"/>
  <c r="U875" i="2" s="1"/>
  <c r="O875" i="2"/>
  <c r="Q875" i="2" s="1"/>
  <c r="V875" i="2" s="1"/>
  <c r="M875" i="2"/>
  <c r="L875" i="2"/>
  <c r="N875" i="2" s="1"/>
  <c r="J875" i="2"/>
  <c r="G875" i="2"/>
  <c r="W874" i="2"/>
  <c r="S874" i="2"/>
  <c r="U874" i="2" s="1"/>
  <c r="P874" i="2"/>
  <c r="O874" i="2"/>
  <c r="Q874" i="2" s="1"/>
  <c r="V874" i="2" s="1"/>
  <c r="N874" i="2"/>
  <c r="M874" i="2"/>
  <c r="L874" i="2"/>
  <c r="J874" i="2"/>
  <c r="AA874" i="2" s="1"/>
  <c r="G874" i="2"/>
  <c r="Z873" i="2"/>
  <c r="V873" i="2"/>
  <c r="S873" i="2"/>
  <c r="U873" i="2" s="1"/>
  <c r="Q873" i="2"/>
  <c r="P873" i="2"/>
  <c r="O873" i="2"/>
  <c r="M873" i="2"/>
  <c r="L873" i="2"/>
  <c r="J873" i="2"/>
  <c r="G873" i="2"/>
  <c r="U872" i="2"/>
  <c r="S872" i="2"/>
  <c r="P872" i="2"/>
  <c r="Q872" i="2" s="1"/>
  <c r="V872" i="2" s="1"/>
  <c r="Z872" i="2" s="1"/>
  <c r="O872" i="2"/>
  <c r="M872" i="2"/>
  <c r="L872" i="2"/>
  <c r="N872" i="2" s="1"/>
  <c r="J872" i="2"/>
  <c r="W872" i="2" s="1"/>
  <c r="X872" i="2" s="1"/>
  <c r="G872" i="2"/>
  <c r="Z871" i="2"/>
  <c r="U871" i="2"/>
  <c r="S871" i="2"/>
  <c r="P871" i="2"/>
  <c r="Q871" i="2" s="1"/>
  <c r="V871" i="2" s="1"/>
  <c r="O871" i="2"/>
  <c r="M871" i="2"/>
  <c r="L871" i="2"/>
  <c r="G871" i="2"/>
  <c r="J871" i="2" s="1"/>
  <c r="S870" i="2"/>
  <c r="U870" i="2" s="1"/>
  <c r="P870" i="2"/>
  <c r="O870" i="2"/>
  <c r="Q870" i="2" s="1"/>
  <c r="V870" i="2" s="1"/>
  <c r="M870" i="2"/>
  <c r="N870" i="2" s="1"/>
  <c r="W870" i="2" s="1"/>
  <c r="L870" i="2"/>
  <c r="J870" i="2"/>
  <c r="AA870" i="2" s="1"/>
  <c r="G870" i="2"/>
  <c r="U869" i="2"/>
  <c r="S869" i="2"/>
  <c r="P869" i="2"/>
  <c r="Q869" i="2" s="1"/>
  <c r="V869" i="2" s="1"/>
  <c r="Z869" i="2" s="1"/>
  <c r="O869" i="2"/>
  <c r="M869" i="2"/>
  <c r="L869" i="2"/>
  <c r="N869" i="2" s="1"/>
  <c r="G869" i="2"/>
  <c r="J869" i="2" s="1"/>
  <c r="Z868" i="2"/>
  <c r="U868" i="2"/>
  <c r="S868" i="2"/>
  <c r="P868" i="2"/>
  <c r="Q868" i="2" s="1"/>
  <c r="V868" i="2" s="1"/>
  <c r="O868" i="2"/>
  <c r="M868" i="2"/>
  <c r="L868" i="2"/>
  <c r="N868" i="2" s="1"/>
  <c r="G868" i="2"/>
  <c r="J868" i="2" s="1"/>
  <c r="AA867" i="2"/>
  <c r="Z867" i="2"/>
  <c r="X867" i="2"/>
  <c r="U867" i="2"/>
  <c r="S867" i="2"/>
  <c r="P867" i="2"/>
  <c r="Q867" i="2" s="1"/>
  <c r="V867" i="2" s="1"/>
  <c r="O867" i="2"/>
  <c r="M867" i="2"/>
  <c r="L867" i="2"/>
  <c r="N867" i="2" s="1"/>
  <c r="J867" i="2"/>
  <c r="W867" i="2" s="1"/>
  <c r="G867" i="2"/>
  <c r="AA866" i="2"/>
  <c r="Z866" i="2"/>
  <c r="V866" i="2"/>
  <c r="S866" i="2"/>
  <c r="U866" i="2" s="1"/>
  <c r="Q866" i="2"/>
  <c r="P866" i="2"/>
  <c r="O866" i="2"/>
  <c r="M866" i="2"/>
  <c r="L866" i="2"/>
  <c r="N866" i="2" s="1"/>
  <c r="J866" i="2"/>
  <c r="G866" i="2"/>
  <c r="S865" i="2"/>
  <c r="U865" i="2" s="1"/>
  <c r="P865" i="2"/>
  <c r="O865" i="2"/>
  <c r="Q865" i="2" s="1"/>
  <c r="V865" i="2" s="1"/>
  <c r="M865" i="2"/>
  <c r="N865" i="2" s="1"/>
  <c r="W865" i="2" s="1"/>
  <c r="L865" i="2"/>
  <c r="J865" i="2"/>
  <c r="AA865" i="2" s="1"/>
  <c r="G865" i="2"/>
  <c r="S864" i="2"/>
  <c r="P864" i="2"/>
  <c r="U864" i="2" s="1"/>
  <c r="O864" i="2"/>
  <c r="M864" i="2"/>
  <c r="L864" i="2"/>
  <c r="N864" i="2" s="1"/>
  <c r="G864" i="2"/>
  <c r="J864" i="2" s="1"/>
  <c r="S863" i="2"/>
  <c r="Q863" i="2"/>
  <c r="V863" i="2" s="1"/>
  <c r="P863" i="2"/>
  <c r="U863" i="2" s="1"/>
  <c r="O863" i="2"/>
  <c r="N863" i="2"/>
  <c r="M863" i="2"/>
  <c r="L863" i="2"/>
  <c r="J863" i="2"/>
  <c r="G863" i="2"/>
  <c r="S862" i="2"/>
  <c r="P862" i="2"/>
  <c r="U862" i="2" s="1"/>
  <c r="O862" i="2"/>
  <c r="Q862" i="2" s="1"/>
  <c r="V862" i="2" s="1"/>
  <c r="N862" i="2"/>
  <c r="M862" i="2"/>
  <c r="L862" i="2"/>
  <c r="J862" i="2"/>
  <c r="G862" i="2"/>
  <c r="AA861" i="2"/>
  <c r="U861" i="2"/>
  <c r="S861" i="2"/>
  <c r="P861" i="2"/>
  <c r="Q861" i="2" s="1"/>
  <c r="V861" i="2" s="1"/>
  <c r="O861" i="2"/>
  <c r="M861" i="2"/>
  <c r="L861" i="2"/>
  <c r="N861" i="2" s="1"/>
  <c r="J861" i="2"/>
  <c r="G861" i="2"/>
  <c r="V860" i="2"/>
  <c r="S860" i="2"/>
  <c r="U860" i="2" s="1"/>
  <c r="P860" i="2"/>
  <c r="O860" i="2"/>
  <c r="Q860" i="2" s="1"/>
  <c r="N860" i="2"/>
  <c r="M860" i="2"/>
  <c r="L860" i="2"/>
  <c r="G860" i="2"/>
  <c r="J860" i="2" s="1"/>
  <c r="W859" i="2"/>
  <c r="S859" i="2"/>
  <c r="U859" i="2" s="1"/>
  <c r="Q859" i="2"/>
  <c r="V859" i="2" s="1"/>
  <c r="P859" i="2"/>
  <c r="O859" i="2"/>
  <c r="N859" i="2"/>
  <c r="M859" i="2"/>
  <c r="L859" i="2"/>
  <c r="J859" i="2"/>
  <c r="AA859" i="2" s="1"/>
  <c r="G859" i="2"/>
  <c r="S858" i="2"/>
  <c r="P858" i="2"/>
  <c r="U858" i="2" s="1"/>
  <c r="O858" i="2"/>
  <c r="Q858" i="2" s="1"/>
  <c r="V858" i="2" s="1"/>
  <c r="M858" i="2"/>
  <c r="L858" i="2"/>
  <c r="N858" i="2" s="1"/>
  <c r="G858" i="2"/>
  <c r="J858" i="2" s="1"/>
  <c r="U857" i="2"/>
  <c r="S857" i="2"/>
  <c r="P857" i="2"/>
  <c r="Q857" i="2" s="1"/>
  <c r="V857" i="2" s="1"/>
  <c r="O857" i="2"/>
  <c r="M857" i="2"/>
  <c r="N857" i="2" s="1"/>
  <c r="L857" i="2"/>
  <c r="G857" i="2"/>
  <c r="J857" i="2" s="1"/>
  <c r="Z856" i="2"/>
  <c r="W856" i="2"/>
  <c r="X856" i="2" s="1"/>
  <c r="U856" i="2"/>
  <c r="S856" i="2"/>
  <c r="P856" i="2"/>
  <c r="Q856" i="2" s="1"/>
  <c r="V856" i="2" s="1"/>
  <c r="O856" i="2"/>
  <c r="N856" i="2"/>
  <c r="M856" i="2"/>
  <c r="L856" i="2"/>
  <c r="J856" i="2"/>
  <c r="AA856" i="2" s="1"/>
  <c r="G856" i="2"/>
  <c r="AA855" i="2"/>
  <c r="Z855" i="2"/>
  <c r="W855" i="2"/>
  <c r="X855" i="2" s="1"/>
  <c r="V855" i="2"/>
  <c r="U855" i="2"/>
  <c r="S855" i="2"/>
  <c r="Q855" i="2"/>
  <c r="P855" i="2"/>
  <c r="O855" i="2"/>
  <c r="M855" i="2"/>
  <c r="L855" i="2"/>
  <c r="N855" i="2" s="1"/>
  <c r="G855" i="2"/>
  <c r="J855" i="2" s="1"/>
  <c r="AA854" i="2"/>
  <c r="Z854" i="2"/>
  <c r="W854" i="2"/>
  <c r="V854" i="2"/>
  <c r="X854" i="2" s="1"/>
  <c r="S854" i="2"/>
  <c r="U854" i="2" s="1"/>
  <c r="P854" i="2"/>
  <c r="Q854" i="2" s="1"/>
  <c r="O854" i="2"/>
  <c r="M854" i="2"/>
  <c r="N854" i="2" s="1"/>
  <c r="L854" i="2"/>
  <c r="G854" i="2"/>
  <c r="J854" i="2" s="1"/>
  <c r="W853" i="2"/>
  <c r="X853" i="2" s="1"/>
  <c r="V853" i="2"/>
  <c r="Z853" i="2" s="1"/>
  <c r="U853" i="2"/>
  <c r="S853" i="2"/>
  <c r="Q853" i="2"/>
  <c r="P853" i="2"/>
  <c r="O853" i="2"/>
  <c r="N853" i="2"/>
  <c r="M853" i="2"/>
  <c r="L853" i="2"/>
  <c r="G853" i="2"/>
  <c r="J853" i="2" s="1"/>
  <c r="AA853" i="2" s="1"/>
  <c r="AA852" i="2"/>
  <c r="X852" i="2"/>
  <c r="W852" i="2"/>
  <c r="V852" i="2"/>
  <c r="Z852" i="2" s="1"/>
  <c r="S852" i="2"/>
  <c r="P852" i="2"/>
  <c r="O852" i="2"/>
  <c r="Q852" i="2" s="1"/>
  <c r="M852" i="2"/>
  <c r="L852" i="2"/>
  <c r="N852" i="2" s="1"/>
  <c r="J852" i="2"/>
  <c r="G852" i="2"/>
  <c r="U851" i="2"/>
  <c r="S851" i="2"/>
  <c r="Q851" i="2"/>
  <c r="V851" i="2" s="1"/>
  <c r="P851" i="2"/>
  <c r="O851" i="2"/>
  <c r="M851" i="2"/>
  <c r="L851" i="2"/>
  <c r="G851" i="2"/>
  <c r="J851" i="2" s="1"/>
  <c r="S850" i="2"/>
  <c r="U850" i="2" s="1"/>
  <c r="Q850" i="2"/>
  <c r="V850" i="2" s="1"/>
  <c r="P850" i="2"/>
  <c r="O850" i="2"/>
  <c r="N850" i="2"/>
  <c r="M850" i="2"/>
  <c r="L850" i="2"/>
  <c r="G850" i="2"/>
  <c r="J850" i="2" s="1"/>
  <c r="S849" i="2"/>
  <c r="U849" i="2" s="1"/>
  <c r="P849" i="2"/>
  <c r="O849" i="2"/>
  <c r="Q849" i="2" s="1"/>
  <c r="V849" i="2" s="1"/>
  <c r="M849" i="2"/>
  <c r="L849" i="2"/>
  <c r="N849" i="2" s="1"/>
  <c r="G849" i="2"/>
  <c r="J849" i="2" s="1"/>
  <c r="S848" i="2"/>
  <c r="P848" i="2"/>
  <c r="U848" i="2" s="1"/>
  <c r="O848" i="2"/>
  <c r="Q848" i="2" s="1"/>
  <c r="V848" i="2" s="1"/>
  <c r="M848" i="2"/>
  <c r="N848" i="2" s="1"/>
  <c r="L848" i="2"/>
  <c r="J848" i="2"/>
  <c r="G848" i="2"/>
  <c r="S847" i="2"/>
  <c r="P847" i="2"/>
  <c r="U847" i="2" s="1"/>
  <c r="O847" i="2"/>
  <c r="M847" i="2"/>
  <c r="L847" i="2"/>
  <c r="N847" i="2" s="1"/>
  <c r="G847" i="2"/>
  <c r="J847" i="2" s="1"/>
  <c r="S846" i="2"/>
  <c r="P846" i="2"/>
  <c r="U846" i="2" s="1"/>
  <c r="O846" i="2"/>
  <c r="M846" i="2"/>
  <c r="N846" i="2" s="1"/>
  <c r="L846" i="2"/>
  <c r="G846" i="2"/>
  <c r="J846" i="2" s="1"/>
  <c r="AA845" i="2"/>
  <c r="U845" i="2"/>
  <c r="S845" i="2"/>
  <c r="P845" i="2"/>
  <c r="Q845" i="2" s="1"/>
  <c r="V845" i="2" s="1"/>
  <c r="Z845" i="2" s="1"/>
  <c r="O845" i="2"/>
  <c r="M845" i="2"/>
  <c r="N845" i="2" s="1"/>
  <c r="L845" i="2"/>
  <c r="J845" i="2"/>
  <c r="G845" i="2"/>
  <c r="V844" i="2"/>
  <c r="U844" i="2"/>
  <c r="S844" i="2"/>
  <c r="P844" i="2"/>
  <c r="Q844" i="2" s="1"/>
  <c r="O844" i="2"/>
  <c r="N844" i="2"/>
  <c r="M844" i="2"/>
  <c r="L844" i="2"/>
  <c r="G844" i="2"/>
  <c r="J844" i="2" s="1"/>
  <c r="S843" i="2"/>
  <c r="P843" i="2"/>
  <c r="O843" i="2"/>
  <c r="M843" i="2"/>
  <c r="N843" i="2" s="1"/>
  <c r="L843" i="2"/>
  <c r="J843" i="2"/>
  <c r="AA843" i="2" s="1"/>
  <c r="G843" i="2"/>
  <c r="S842" i="2"/>
  <c r="P842" i="2"/>
  <c r="U842" i="2" s="1"/>
  <c r="O842" i="2"/>
  <c r="N842" i="2"/>
  <c r="M842" i="2"/>
  <c r="L842" i="2"/>
  <c r="G842" i="2"/>
  <c r="J842" i="2" s="1"/>
  <c r="S841" i="2"/>
  <c r="P841" i="2"/>
  <c r="U841" i="2" s="1"/>
  <c r="O841" i="2"/>
  <c r="Q841" i="2" s="1"/>
  <c r="V841" i="2" s="1"/>
  <c r="M841" i="2"/>
  <c r="L841" i="2"/>
  <c r="N841" i="2" s="1"/>
  <c r="J841" i="2"/>
  <c r="G841" i="2"/>
  <c r="V840" i="2"/>
  <c r="Z840" i="2" s="1"/>
  <c r="U840" i="2"/>
  <c r="S840" i="2"/>
  <c r="Q840" i="2"/>
  <c r="P840" i="2"/>
  <c r="O840" i="2"/>
  <c r="M840" i="2"/>
  <c r="L840" i="2"/>
  <c r="N840" i="2" s="1"/>
  <c r="J840" i="2"/>
  <c r="G840" i="2"/>
  <c r="U839" i="2"/>
  <c r="S839" i="2"/>
  <c r="P839" i="2"/>
  <c r="O839" i="2"/>
  <c r="Q839" i="2" s="1"/>
  <c r="V839" i="2" s="1"/>
  <c r="M839" i="2"/>
  <c r="L839" i="2"/>
  <c r="G839" i="2"/>
  <c r="J839" i="2" s="1"/>
  <c r="U838" i="2"/>
  <c r="S838" i="2"/>
  <c r="P838" i="2"/>
  <c r="O838" i="2"/>
  <c r="Q838" i="2" s="1"/>
  <c r="V838" i="2" s="1"/>
  <c r="M838" i="2"/>
  <c r="N838" i="2" s="1"/>
  <c r="L838" i="2"/>
  <c r="G838" i="2"/>
  <c r="J838" i="2" s="1"/>
  <c r="S837" i="2"/>
  <c r="P837" i="2"/>
  <c r="U837" i="2" s="1"/>
  <c r="O837" i="2"/>
  <c r="Q837" i="2" s="1"/>
  <c r="V837" i="2" s="1"/>
  <c r="N837" i="2"/>
  <c r="M837" i="2"/>
  <c r="L837" i="2"/>
  <c r="J837" i="2"/>
  <c r="G837" i="2"/>
  <c r="S836" i="2"/>
  <c r="P836" i="2"/>
  <c r="U836" i="2" s="1"/>
  <c r="O836" i="2"/>
  <c r="Q836" i="2" s="1"/>
  <c r="V836" i="2" s="1"/>
  <c r="M836" i="2"/>
  <c r="L836" i="2"/>
  <c r="G836" i="2"/>
  <c r="J836" i="2" s="1"/>
  <c r="S835" i="2"/>
  <c r="P835" i="2"/>
  <c r="U835" i="2" s="1"/>
  <c r="O835" i="2"/>
  <c r="M835" i="2"/>
  <c r="L835" i="2"/>
  <c r="N835" i="2" s="1"/>
  <c r="J835" i="2"/>
  <c r="G835" i="2"/>
  <c r="S834" i="2"/>
  <c r="U834" i="2" s="1"/>
  <c r="P834" i="2"/>
  <c r="O834" i="2"/>
  <c r="Q834" i="2" s="1"/>
  <c r="V834" i="2" s="1"/>
  <c r="N834" i="2"/>
  <c r="M834" i="2"/>
  <c r="L834" i="2"/>
  <c r="G834" i="2"/>
  <c r="J834" i="2" s="1"/>
  <c r="S833" i="2"/>
  <c r="P833" i="2"/>
  <c r="U833" i="2" s="1"/>
  <c r="O833" i="2"/>
  <c r="Q833" i="2" s="1"/>
  <c r="V833" i="2" s="1"/>
  <c r="N833" i="2"/>
  <c r="M833" i="2"/>
  <c r="L833" i="2"/>
  <c r="G833" i="2"/>
  <c r="J833" i="2" s="1"/>
  <c r="S832" i="2"/>
  <c r="Q832" i="2"/>
  <c r="V832" i="2" s="1"/>
  <c r="P832" i="2"/>
  <c r="U832" i="2" s="1"/>
  <c r="O832" i="2"/>
  <c r="M832" i="2"/>
  <c r="N832" i="2" s="1"/>
  <c r="L832" i="2"/>
  <c r="J832" i="2"/>
  <c r="AA832" i="2" s="1"/>
  <c r="G832" i="2"/>
  <c r="S831" i="2"/>
  <c r="P831" i="2"/>
  <c r="U831" i="2" s="1"/>
  <c r="O831" i="2"/>
  <c r="Q831" i="2" s="1"/>
  <c r="V831" i="2" s="1"/>
  <c r="N831" i="2"/>
  <c r="M831" i="2"/>
  <c r="L831" i="2"/>
  <c r="J831" i="2"/>
  <c r="AA831" i="2" s="1"/>
  <c r="G831" i="2"/>
  <c r="S830" i="2"/>
  <c r="P830" i="2"/>
  <c r="U830" i="2" s="1"/>
  <c r="O830" i="2"/>
  <c r="Q830" i="2" s="1"/>
  <c r="V830" i="2" s="1"/>
  <c r="M830" i="2"/>
  <c r="N830" i="2" s="1"/>
  <c r="L830" i="2"/>
  <c r="J830" i="2"/>
  <c r="AA830" i="2" s="1"/>
  <c r="G830" i="2"/>
  <c r="S829" i="2"/>
  <c r="P829" i="2"/>
  <c r="U829" i="2" s="1"/>
  <c r="O829" i="2"/>
  <c r="Q829" i="2" s="1"/>
  <c r="V829" i="2" s="1"/>
  <c r="N829" i="2"/>
  <c r="M829" i="2"/>
  <c r="L829" i="2"/>
  <c r="J829" i="2"/>
  <c r="AA829" i="2" s="1"/>
  <c r="G829" i="2"/>
  <c r="S828" i="2"/>
  <c r="Q828" i="2"/>
  <c r="V828" i="2" s="1"/>
  <c r="P828" i="2"/>
  <c r="U828" i="2" s="1"/>
  <c r="O828" i="2"/>
  <c r="M828" i="2"/>
  <c r="N828" i="2" s="1"/>
  <c r="L828" i="2"/>
  <c r="J828" i="2"/>
  <c r="AA828" i="2" s="1"/>
  <c r="G828" i="2"/>
  <c r="S827" i="2"/>
  <c r="P827" i="2"/>
  <c r="U827" i="2" s="1"/>
  <c r="O827" i="2"/>
  <c r="N827" i="2"/>
  <c r="M827" i="2"/>
  <c r="L827" i="2"/>
  <c r="J827" i="2"/>
  <c r="AA827" i="2" s="1"/>
  <c r="G827" i="2"/>
  <c r="S826" i="2"/>
  <c r="P826" i="2"/>
  <c r="U826" i="2" s="1"/>
  <c r="O826" i="2"/>
  <c r="Q826" i="2" s="1"/>
  <c r="V826" i="2" s="1"/>
  <c r="M826" i="2"/>
  <c r="N826" i="2" s="1"/>
  <c r="L826" i="2"/>
  <c r="J826" i="2"/>
  <c r="AA826" i="2" s="1"/>
  <c r="G826" i="2"/>
  <c r="S825" i="2"/>
  <c r="Q825" i="2"/>
  <c r="V825" i="2" s="1"/>
  <c r="P825" i="2"/>
  <c r="U825" i="2" s="1"/>
  <c r="O825" i="2"/>
  <c r="M825" i="2"/>
  <c r="N825" i="2" s="1"/>
  <c r="L825" i="2"/>
  <c r="J825" i="2"/>
  <c r="AA825" i="2" s="1"/>
  <c r="G825" i="2"/>
  <c r="S824" i="2"/>
  <c r="P824" i="2"/>
  <c r="U824" i="2" s="1"/>
  <c r="O824" i="2"/>
  <c r="Q824" i="2" s="1"/>
  <c r="V824" i="2" s="1"/>
  <c r="M824" i="2"/>
  <c r="N824" i="2" s="1"/>
  <c r="L824" i="2"/>
  <c r="J824" i="2"/>
  <c r="AA824" i="2" s="1"/>
  <c r="G824" i="2"/>
  <c r="AA823" i="2"/>
  <c r="S823" i="2"/>
  <c r="P823" i="2"/>
  <c r="U823" i="2" s="1"/>
  <c r="O823" i="2"/>
  <c r="Q823" i="2" s="1"/>
  <c r="V823" i="2" s="1"/>
  <c r="N823" i="2"/>
  <c r="M823" i="2"/>
  <c r="L823" i="2"/>
  <c r="G823" i="2"/>
  <c r="J823" i="2" s="1"/>
  <c r="W823" i="2" s="1"/>
  <c r="AA822" i="2"/>
  <c r="S822" i="2"/>
  <c r="Q822" i="2"/>
  <c r="V822" i="2" s="1"/>
  <c r="P822" i="2"/>
  <c r="O822" i="2"/>
  <c r="N822" i="2"/>
  <c r="M822" i="2"/>
  <c r="L822" i="2"/>
  <c r="J822" i="2"/>
  <c r="G822" i="2"/>
  <c r="S821" i="2"/>
  <c r="U821" i="2" s="1"/>
  <c r="P821" i="2"/>
  <c r="Q821" i="2" s="1"/>
  <c r="V821" i="2" s="1"/>
  <c r="O821" i="2"/>
  <c r="N821" i="2"/>
  <c r="M821" i="2"/>
  <c r="L821" i="2"/>
  <c r="G821" i="2"/>
  <c r="J821" i="2" s="1"/>
  <c r="V820" i="2"/>
  <c r="U820" i="2"/>
  <c r="S820" i="2"/>
  <c r="Q820" i="2"/>
  <c r="P820" i="2"/>
  <c r="O820" i="2"/>
  <c r="M820" i="2"/>
  <c r="L820" i="2"/>
  <c r="G820" i="2"/>
  <c r="J820" i="2" s="1"/>
  <c r="W819" i="2"/>
  <c r="S819" i="2"/>
  <c r="P819" i="2"/>
  <c r="O819" i="2"/>
  <c r="N819" i="2"/>
  <c r="M819" i="2"/>
  <c r="L819" i="2"/>
  <c r="J819" i="2"/>
  <c r="AA819" i="2" s="1"/>
  <c r="G819" i="2"/>
  <c r="AA818" i="2"/>
  <c r="W818" i="2"/>
  <c r="V818" i="2"/>
  <c r="U818" i="2"/>
  <c r="S818" i="2"/>
  <c r="Q818" i="2"/>
  <c r="P818" i="2"/>
  <c r="O818" i="2"/>
  <c r="N818" i="2"/>
  <c r="M818" i="2"/>
  <c r="L818" i="2"/>
  <c r="J818" i="2"/>
  <c r="G818" i="2"/>
  <c r="X817" i="2"/>
  <c r="W817" i="2"/>
  <c r="V817" i="2"/>
  <c r="Z817" i="2" s="1"/>
  <c r="S817" i="2"/>
  <c r="U817" i="2" s="1"/>
  <c r="P817" i="2"/>
  <c r="O817" i="2"/>
  <c r="Q817" i="2" s="1"/>
  <c r="N817" i="2"/>
  <c r="M817" i="2"/>
  <c r="L817" i="2"/>
  <c r="J817" i="2"/>
  <c r="AA817" i="2" s="1"/>
  <c r="G817" i="2"/>
  <c r="X816" i="2"/>
  <c r="W816" i="2"/>
  <c r="V816" i="2"/>
  <c r="Z816" i="2" s="1"/>
  <c r="U816" i="2"/>
  <c r="S816" i="2"/>
  <c r="P816" i="2"/>
  <c r="Q816" i="2" s="1"/>
  <c r="O816" i="2"/>
  <c r="M816" i="2"/>
  <c r="N816" i="2" s="1"/>
  <c r="L816" i="2"/>
  <c r="G816" i="2"/>
  <c r="J816" i="2" s="1"/>
  <c r="AA816" i="2" s="1"/>
  <c r="S815" i="2"/>
  <c r="P815" i="2"/>
  <c r="O815" i="2"/>
  <c r="M815" i="2"/>
  <c r="N815" i="2" s="1"/>
  <c r="L815" i="2"/>
  <c r="G815" i="2"/>
  <c r="J815" i="2" s="1"/>
  <c r="X814" i="2"/>
  <c r="W814" i="2"/>
  <c r="S814" i="2"/>
  <c r="U814" i="2" s="1"/>
  <c r="P814" i="2"/>
  <c r="Q814" i="2" s="1"/>
  <c r="V814" i="2" s="1"/>
  <c r="Z814" i="2" s="1"/>
  <c r="O814" i="2"/>
  <c r="M814" i="2"/>
  <c r="N814" i="2" s="1"/>
  <c r="L814" i="2"/>
  <c r="G814" i="2"/>
  <c r="J814" i="2" s="1"/>
  <c r="AA814" i="2" s="1"/>
  <c r="V813" i="2"/>
  <c r="U813" i="2"/>
  <c r="S813" i="2"/>
  <c r="P813" i="2"/>
  <c r="Q813" i="2" s="1"/>
  <c r="O813" i="2"/>
  <c r="M813" i="2"/>
  <c r="N813" i="2" s="1"/>
  <c r="L813" i="2"/>
  <c r="G813" i="2"/>
  <c r="J813" i="2" s="1"/>
  <c r="V812" i="2"/>
  <c r="S812" i="2"/>
  <c r="U812" i="2" s="1"/>
  <c r="P812" i="2"/>
  <c r="Q812" i="2" s="1"/>
  <c r="O812" i="2"/>
  <c r="M812" i="2"/>
  <c r="N812" i="2" s="1"/>
  <c r="L812" i="2"/>
  <c r="G812" i="2"/>
  <c r="J812" i="2" s="1"/>
  <c r="X811" i="2"/>
  <c r="W811" i="2"/>
  <c r="V811" i="2"/>
  <c r="Z811" i="2" s="1"/>
  <c r="U811" i="2"/>
  <c r="S811" i="2"/>
  <c r="P811" i="2"/>
  <c r="Q811" i="2" s="1"/>
  <c r="O811" i="2"/>
  <c r="M811" i="2"/>
  <c r="N811" i="2" s="1"/>
  <c r="L811" i="2"/>
  <c r="G811" i="2"/>
  <c r="J811" i="2" s="1"/>
  <c r="AA811" i="2" s="1"/>
  <c r="S810" i="2"/>
  <c r="U810" i="2" s="1"/>
  <c r="P810" i="2"/>
  <c r="Q810" i="2" s="1"/>
  <c r="V810" i="2" s="1"/>
  <c r="O810" i="2"/>
  <c r="M810" i="2"/>
  <c r="N810" i="2" s="1"/>
  <c r="L810" i="2"/>
  <c r="G810" i="2"/>
  <c r="J810" i="2" s="1"/>
  <c r="AA810" i="2" s="1"/>
  <c r="X809" i="2"/>
  <c r="W809" i="2"/>
  <c r="V809" i="2"/>
  <c r="Z809" i="2" s="1"/>
  <c r="U809" i="2"/>
  <c r="S809" i="2"/>
  <c r="P809" i="2"/>
  <c r="Q809" i="2" s="1"/>
  <c r="O809" i="2"/>
  <c r="M809" i="2"/>
  <c r="N809" i="2" s="1"/>
  <c r="L809" i="2"/>
  <c r="G809" i="2"/>
  <c r="J809" i="2" s="1"/>
  <c r="AA809" i="2" s="1"/>
  <c r="X808" i="2"/>
  <c r="W808" i="2"/>
  <c r="V808" i="2"/>
  <c r="Z808" i="2" s="1"/>
  <c r="U808" i="2"/>
  <c r="S808" i="2"/>
  <c r="P808" i="2"/>
  <c r="Q808" i="2" s="1"/>
  <c r="O808" i="2"/>
  <c r="M808" i="2"/>
  <c r="N808" i="2" s="1"/>
  <c r="L808" i="2"/>
  <c r="J808" i="2"/>
  <c r="AA808" i="2" s="1"/>
  <c r="G808" i="2"/>
  <c r="AA807" i="2"/>
  <c r="W807" i="2"/>
  <c r="V807" i="2"/>
  <c r="Z807" i="2" s="1"/>
  <c r="U807" i="2"/>
  <c r="S807" i="2"/>
  <c r="Q807" i="2"/>
  <c r="P807" i="2"/>
  <c r="O807" i="2"/>
  <c r="N807" i="2"/>
  <c r="M807" i="2"/>
  <c r="L807" i="2"/>
  <c r="G807" i="2"/>
  <c r="J807" i="2" s="1"/>
  <c r="AA806" i="2"/>
  <c r="V806" i="2"/>
  <c r="Z806" i="2" s="1"/>
  <c r="U806" i="2"/>
  <c r="S806" i="2"/>
  <c r="Q806" i="2"/>
  <c r="P806" i="2"/>
  <c r="O806" i="2"/>
  <c r="N806" i="2"/>
  <c r="W806" i="2" s="1"/>
  <c r="M806" i="2"/>
  <c r="L806" i="2"/>
  <c r="J806" i="2"/>
  <c r="G806" i="2"/>
  <c r="S805" i="2"/>
  <c r="U805" i="2" s="1"/>
  <c r="P805" i="2"/>
  <c r="O805" i="2"/>
  <c r="Q805" i="2" s="1"/>
  <c r="V805" i="2" s="1"/>
  <c r="N805" i="2"/>
  <c r="M805" i="2"/>
  <c r="L805" i="2"/>
  <c r="G805" i="2"/>
  <c r="J805" i="2" s="1"/>
  <c r="S804" i="2"/>
  <c r="P804" i="2"/>
  <c r="O804" i="2"/>
  <c r="M804" i="2"/>
  <c r="L804" i="2"/>
  <c r="N804" i="2" s="1"/>
  <c r="G804" i="2"/>
  <c r="J804" i="2" s="1"/>
  <c r="W803" i="2"/>
  <c r="S803" i="2"/>
  <c r="P803" i="2"/>
  <c r="O803" i="2"/>
  <c r="M803" i="2"/>
  <c r="N803" i="2" s="1"/>
  <c r="L803" i="2"/>
  <c r="G803" i="2"/>
  <c r="J803" i="2" s="1"/>
  <c r="AA803" i="2" s="1"/>
  <c r="U802" i="2"/>
  <c r="S802" i="2"/>
  <c r="Q802" i="2"/>
  <c r="V802" i="2" s="1"/>
  <c r="Z802" i="2" s="1"/>
  <c r="P802" i="2"/>
  <c r="O802" i="2"/>
  <c r="M802" i="2"/>
  <c r="L802" i="2"/>
  <c r="N802" i="2" s="1"/>
  <c r="G802" i="2"/>
  <c r="J802" i="2" s="1"/>
  <c r="AA802" i="2" s="1"/>
  <c r="S801" i="2"/>
  <c r="U801" i="2" s="1"/>
  <c r="P801" i="2"/>
  <c r="O801" i="2"/>
  <c r="M801" i="2"/>
  <c r="L801" i="2"/>
  <c r="N801" i="2" s="1"/>
  <c r="G801" i="2"/>
  <c r="J801" i="2" s="1"/>
  <c r="AA800" i="2"/>
  <c r="Z800" i="2"/>
  <c r="U800" i="2"/>
  <c r="S800" i="2"/>
  <c r="P800" i="2"/>
  <c r="O800" i="2"/>
  <c r="Q800" i="2" s="1"/>
  <c r="V800" i="2" s="1"/>
  <c r="M800" i="2"/>
  <c r="L800" i="2"/>
  <c r="N800" i="2" s="1"/>
  <c r="J800" i="2"/>
  <c r="G800" i="2"/>
  <c r="AA799" i="2"/>
  <c r="S799" i="2"/>
  <c r="P799" i="2"/>
  <c r="O799" i="2"/>
  <c r="Q799" i="2" s="1"/>
  <c r="V799" i="2" s="1"/>
  <c r="M799" i="2"/>
  <c r="L799" i="2"/>
  <c r="N799" i="2" s="1"/>
  <c r="J799" i="2"/>
  <c r="G799" i="2"/>
  <c r="Z798" i="2"/>
  <c r="S798" i="2"/>
  <c r="U798" i="2" s="1"/>
  <c r="P798" i="2"/>
  <c r="O798" i="2"/>
  <c r="Q798" i="2" s="1"/>
  <c r="V798" i="2" s="1"/>
  <c r="M798" i="2"/>
  <c r="L798" i="2"/>
  <c r="N798" i="2" s="1"/>
  <c r="G798" i="2"/>
  <c r="J798" i="2" s="1"/>
  <c r="AA797" i="2"/>
  <c r="Z797" i="2"/>
  <c r="S797" i="2"/>
  <c r="U797" i="2" s="1"/>
  <c r="P797" i="2"/>
  <c r="O797" i="2"/>
  <c r="Q797" i="2" s="1"/>
  <c r="V797" i="2" s="1"/>
  <c r="M797" i="2"/>
  <c r="L797" i="2"/>
  <c r="N797" i="2" s="1"/>
  <c r="G797" i="2"/>
  <c r="J797" i="2" s="1"/>
  <c r="W797" i="2" s="1"/>
  <c r="S796" i="2"/>
  <c r="U796" i="2" s="1"/>
  <c r="P796" i="2"/>
  <c r="O796" i="2"/>
  <c r="Q796" i="2" s="1"/>
  <c r="V796" i="2" s="1"/>
  <c r="M796" i="2"/>
  <c r="L796" i="2"/>
  <c r="N796" i="2" s="1"/>
  <c r="G796" i="2"/>
  <c r="J796" i="2" s="1"/>
  <c r="S795" i="2"/>
  <c r="U795" i="2" s="1"/>
  <c r="P795" i="2"/>
  <c r="O795" i="2"/>
  <c r="Q795" i="2" s="1"/>
  <c r="V795" i="2" s="1"/>
  <c r="M795" i="2"/>
  <c r="L795" i="2"/>
  <c r="N795" i="2" s="1"/>
  <c r="G795" i="2"/>
  <c r="J795" i="2" s="1"/>
  <c r="S794" i="2"/>
  <c r="U794" i="2" s="1"/>
  <c r="P794" i="2"/>
  <c r="O794" i="2"/>
  <c r="Q794" i="2" s="1"/>
  <c r="V794" i="2" s="1"/>
  <c r="M794" i="2"/>
  <c r="L794" i="2"/>
  <c r="N794" i="2" s="1"/>
  <c r="G794" i="2"/>
  <c r="J794" i="2" s="1"/>
  <c r="S793" i="2"/>
  <c r="U793" i="2" s="1"/>
  <c r="P793" i="2"/>
  <c r="O793" i="2"/>
  <c r="Q793" i="2" s="1"/>
  <c r="V793" i="2" s="1"/>
  <c r="M793" i="2"/>
  <c r="L793" i="2"/>
  <c r="N793" i="2" s="1"/>
  <c r="G793" i="2"/>
  <c r="J793" i="2" s="1"/>
  <c r="AA792" i="2"/>
  <c r="Z792" i="2"/>
  <c r="S792" i="2"/>
  <c r="U792" i="2" s="1"/>
  <c r="P792" i="2"/>
  <c r="O792" i="2"/>
  <c r="Q792" i="2" s="1"/>
  <c r="V792" i="2" s="1"/>
  <c r="M792" i="2"/>
  <c r="L792" i="2"/>
  <c r="N792" i="2" s="1"/>
  <c r="J792" i="2"/>
  <c r="G792" i="2"/>
  <c r="AA791" i="2"/>
  <c r="U791" i="2"/>
  <c r="S791" i="2"/>
  <c r="P791" i="2"/>
  <c r="Q791" i="2" s="1"/>
  <c r="V791" i="2" s="1"/>
  <c r="O791" i="2"/>
  <c r="M791" i="2"/>
  <c r="L791" i="2"/>
  <c r="N791" i="2" s="1"/>
  <c r="G791" i="2"/>
  <c r="J791" i="2" s="1"/>
  <c r="W791" i="2" s="1"/>
  <c r="Z790" i="2"/>
  <c r="U790" i="2"/>
  <c r="S790" i="2"/>
  <c r="P790" i="2"/>
  <c r="Q790" i="2" s="1"/>
  <c r="V790" i="2" s="1"/>
  <c r="O790" i="2"/>
  <c r="N790" i="2"/>
  <c r="M790" i="2"/>
  <c r="L790" i="2"/>
  <c r="G790" i="2"/>
  <c r="J790" i="2" s="1"/>
  <c r="AA789" i="2"/>
  <c r="V789" i="2"/>
  <c r="U789" i="2"/>
  <c r="S789" i="2"/>
  <c r="P789" i="2"/>
  <c r="O789" i="2"/>
  <c r="Q789" i="2" s="1"/>
  <c r="M789" i="2"/>
  <c r="L789" i="2"/>
  <c r="N789" i="2" s="1"/>
  <c r="J789" i="2"/>
  <c r="G789" i="2"/>
  <c r="S788" i="2"/>
  <c r="P788" i="2"/>
  <c r="U788" i="2" s="1"/>
  <c r="O788" i="2"/>
  <c r="Q788" i="2" s="1"/>
  <c r="V788" i="2" s="1"/>
  <c r="M788" i="2"/>
  <c r="L788" i="2"/>
  <c r="G788" i="2"/>
  <c r="J788" i="2" s="1"/>
  <c r="S787" i="2"/>
  <c r="P787" i="2"/>
  <c r="U787" i="2" s="1"/>
  <c r="O787" i="2"/>
  <c r="M787" i="2"/>
  <c r="L787" i="2"/>
  <c r="N787" i="2" s="1"/>
  <c r="G787" i="2"/>
  <c r="J787" i="2" s="1"/>
  <c r="U786" i="2"/>
  <c r="S786" i="2"/>
  <c r="P786" i="2"/>
  <c r="O786" i="2"/>
  <c r="Q786" i="2" s="1"/>
  <c r="V786" i="2" s="1"/>
  <c r="Z786" i="2" s="1"/>
  <c r="N786" i="2"/>
  <c r="M786" i="2"/>
  <c r="L786" i="2"/>
  <c r="J786" i="2"/>
  <c r="G786" i="2"/>
  <c r="S785" i="2"/>
  <c r="P785" i="2"/>
  <c r="U785" i="2" s="1"/>
  <c r="O785" i="2"/>
  <c r="Q785" i="2" s="1"/>
  <c r="V785" i="2" s="1"/>
  <c r="M785" i="2"/>
  <c r="L785" i="2"/>
  <c r="N785" i="2" s="1"/>
  <c r="J785" i="2"/>
  <c r="G785" i="2"/>
  <c r="S784" i="2"/>
  <c r="P784" i="2"/>
  <c r="U784" i="2" s="1"/>
  <c r="O784" i="2"/>
  <c r="M784" i="2"/>
  <c r="L784" i="2"/>
  <c r="N784" i="2" s="1"/>
  <c r="G784" i="2"/>
  <c r="J784" i="2" s="1"/>
  <c r="S783" i="2"/>
  <c r="P783" i="2"/>
  <c r="U783" i="2" s="1"/>
  <c r="O783" i="2"/>
  <c r="M783" i="2"/>
  <c r="L783" i="2"/>
  <c r="N783" i="2" s="1"/>
  <c r="G783" i="2"/>
  <c r="J783" i="2" s="1"/>
  <c r="S782" i="2"/>
  <c r="P782" i="2"/>
  <c r="U782" i="2" s="1"/>
  <c r="O782" i="2"/>
  <c r="M782" i="2"/>
  <c r="L782" i="2"/>
  <c r="N782" i="2" s="1"/>
  <c r="G782" i="2"/>
  <c r="J782" i="2" s="1"/>
  <c r="S781" i="2"/>
  <c r="P781" i="2"/>
  <c r="U781" i="2" s="1"/>
  <c r="O781" i="2"/>
  <c r="N781" i="2"/>
  <c r="M781" i="2"/>
  <c r="L781" i="2"/>
  <c r="G781" i="2"/>
  <c r="J781" i="2" s="1"/>
  <c r="S780" i="2"/>
  <c r="P780" i="2"/>
  <c r="U780" i="2" s="1"/>
  <c r="O780" i="2"/>
  <c r="M780" i="2"/>
  <c r="L780" i="2"/>
  <c r="N780" i="2" s="1"/>
  <c r="G780" i="2"/>
  <c r="J780" i="2" s="1"/>
  <c r="S779" i="2"/>
  <c r="P779" i="2"/>
  <c r="U779" i="2" s="1"/>
  <c r="O779" i="2"/>
  <c r="N779" i="2"/>
  <c r="M779" i="2"/>
  <c r="L779" i="2"/>
  <c r="G779" i="2"/>
  <c r="J779" i="2" s="1"/>
  <c r="S778" i="2"/>
  <c r="P778" i="2"/>
  <c r="U778" i="2" s="1"/>
  <c r="O778" i="2"/>
  <c r="M778" i="2"/>
  <c r="L778" i="2"/>
  <c r="N778" i="2" s="1"/>
  <c r="G778" i="2"/>
  <c r="J778" i="2" s="1"/>
  <c r="S777" i="2"/>
  <c r="P777" i="2"/>
  <c r="U777" i="2" s="1"/>
  <c r="O777" i="2"/>
  <c r="N777" i="2"/>
  <c r="M777" i="2"/>
  <c r="L777" i="2"/>
  <c r="G777" i="2"/>
  <c r="J777" i="2" s="1"/>
  <c r="S776" i="2"/>
  <c r="P776" i="2"/>
  <c r="U776" i="2" s="1"/>
  <c r="O776" i="2"/>
  <c r="M776" i="2"/>
  <c r="L776" i="2"/>
  <c r="N776" i="2" s="1"/>
  <c r="J776" i="2"/>
  <c r="AA776" i="2" s="1"/>
  <c r="G776" i="2"/>
  <c r="S775" i="2"/>
  <c r="P775" i="2"/>
  <c r="U775" i="2" s="1"/>
  <c r="O775" i="2"/>
  <c r="Q775" i="2" s="1"/>
  <c r="V775" i="2" s="1"/>
  <c r="M775" i="2"/>
  <c r="N775" i="2" s="1"/>
  <c r="L775" i="2"/>
  <c r="G775" i="2"/>
  <c r="J775" i="2" s="1"/>
  <c r="AA775" i="2" s="1"/>
  <c r="U774" i="2"/>
  <c r="S774" i="2"/>
  <c r="Q774" i="2"/>
  <c r="V774" i="2" s="1"/>
  <c r="P774" i="2"/>
  <c r="O774" i="2"/>
  <c r="M774" i="2"/>
  <c r="N774" i="2" s="1"/>
  <c r="L774" i="2"/>
  <c r="J774" i="2"/>
  <c r="AA774" i="2" s="1"/>
  <c r="G774" i="2"/>
  <c r="AA773" i="2"/>
  <c r="S773" i="2"/>
  <c r="P773" i="2"/>
  <c r="O773" i="2"/>
  <c r="N773" i="2"/>
  <c r="M773" i="2"/>
  <c r="L773" i="2"/>
  <c r="J773" i="2"/>
  <c r="G773" i="2"/>
  <c r="W772" i="2"/>
  <c r="S772" i="2"/>
  <c r="Q772" i="2"/>
  <c r="V772" i="2" s="1"/>
  <c r="P772" i="2"/>
  <c r="O772" i="2"/>
  <c r="M772" i="2"/>
  <c r="L772" i="2"/>
  <c r="N772" i="2" s="1"/>
  <c r="J772" i="2"/>
  <c r="AA772" i="2" s="1"/>
  <c r="G772" i="2"/>
  <c r="U771" i="2"/>
  <c r="S771" i="2"/>
  <c r="P771" i="2"/>
  <c r="Q771" i="2" s="1"/>
  <c r="V771" i="2" s="1"/>
  <c r="O771" i="2"/>
  <c r="M771" i="2"/>
  <c r="N771" i="2" s="1"/>
  <c r="L771" i="2"/>
  <c r="G771" i="2"/>
  <c r="J771" i="2" s="1"/>
  <c r="V770" i="2"/>
  <c r="Z770" i="2" s="1"/>
  <c r="U770" i="2"/>
  <c r="S770" i="2"/>
  <c r="Q770" i="2"/>
  <c r="P770" i="2"/>
  <c r="O770" i="2"/>
  <c r="N770" i="2"/>
  <c r="M770" i="2"/>
  <c r="L770" i="2"/>
  <c r="J770" i="2"/>
  <c r="G770" i="2"/>
  <c r="S769" i="2"/>
  <c r="P769" i="2"/>
  <c r="U769" i="2" s="1"/>
  <c r="O769" i="2"/>
  <c r="N769" i="2"/>
  <c r="M769" i="2"/>
  <c r="L769" i="2"/>
  <c r="J769" i="2"/>
  <c r="AA769" i="2" s="1"/>
  <c r="G769" i="2"/>
  <c r="AA768" i="2"/>
  <c r="U768" i="2"/>
  <c r="S768" i="2"/>
  <c r="P768" i="2"/>
  <c r="O768" i="2"/>
  <c r="Q768" i="2" s="1"/>
  <c r="V768" i="2" s="1"/>
  <c r="M768" i="2"/>
  <c r="L768" i="2"/>
  <c r="N768" i="2" s="1"/>
  <c r="W768" i="2" s="1"/>
  <c r="J768" i="2"/>
  <c r="G768" i="2"/>
  <c r="S767" i="2"/>
  <c r="P767" i="2"/>
  <c r="O767" i="2"/>
  <c r="Q767" i="2" s="1"/>
  <c r="V767" i="2" s="1"/>
  <c r="M767" i="2"/>
  <c r="L767" i="2"/>
  <c r="N767" i="2" s="1"/>
  <c r="W767" i="2" s="1"/>
  <c r="J767" i="2"/>
  <c r="AA767" i="2" s="1"/>
  <c r="G767" i="2"/>
  <c r="Z766" i="2"/>
  <c r="X766" i="2"/>
  <c r="W766" i="2"/>
  <c r="U766" i="2"/>
  <c r="S766" i="2"/>
  <c r="P766" i="2"/>
  <c r="O766" i="2"/>
  <c r="Q766" i="2" s="1"/>
  <c r="V766" i="2" s="1"/>
  <c r="M766" i="2"/>
  <c r="L766" i="2"/>
  <c r="N766" i="2" s="1"/>
  <c r="J766" i="2"/>
  <c r="AA766" i="2" s="1"/>
  <c r="G766" i="2"/>
  <c r="S765" i="2"/>
  <c r="U765" i="2" s="1"/>
  <c r="Q765" i="2"/>
  <c r="V765" i="2" s="1"/>
  <c r="P765" i="2"/>
  <c r="O765" i="2"/>
  <c r="M765" i="2"/>
  <c r="L765" i="2"/>
  <c r="N765" i="2" s="1"/>
  <c r="J765" i="2"/>
  <c r="AA765" i="2" s="1"/>
  <c r="G765" i="2"/>
  <c r="U764" i="2"/>
  <c r="S764" i="2"/>
  <c r="Q764" i="2"/>
  <c r="V764" i="2" s="1"/>
  <c r="P764" i="2"/>
  <c r="O764" i="2"/>
  <c r="M764" i="2"/>
  <c r="L764" i="2"/>
  <c r="N764" i="2" s="1"/>
  <c r="W764" i="2" s="1"/>
  <c r="J764" i="2"/>
  <c r="AA764" i="2" s="1"/>
  <c r="G764" i="2"/>
  <c r="U763" i="2"/>
  <c r="S763" i="2"/>
  <c r="P763" i="2"/>
  <c r="O763" i="2"/>
  <c r="Q763" i="2" s="1"/>
  <c r="V763" i="2" s="1"/>
  <c r="M763" i="2"/>
  <c r="L763" i="2"/>
  <c r="N763" i="2" s="1"/>
  <c r="W763" i="2" s="1"/>
  <c r="J763" i="2"/>
  <c r="AA763" i="2" s="1"/>
  <c r="G763" i="2"/>
  <c r="U762" i="2"/>
  <c r="S762" i="2"/>
  <c r="P762" i="2"/>
  <c r="O762" i="2"/>
  <c r="Q762" i="2" s="1"/>
  <c r="V762" i="2" s="1"/>
  <c r="M762" i="2"/>
  <c r="L762" i="2"/>
  <c r="J762" i="2"/>
  <c r="AA762" i="2" s="1"/>
  <c r="G762" i="2"/>
  <c r="V761" i="2"/>
  <c r="S761" i="2"/>
  <c r="U761" i="2" s="1"/>
  <c r="Q761" i="2"/>
  <c r="P761" i="2"/>
  <c r="O761" i="2"/>
  <c r="M761" i="2"/>
  <c r="L761" i="2"/>
  <c r="J761" i="2"/>
  <c r="AA761" i="2" s="1"/>
  <c r="G761" i="2"/>
  <c r="AA760" i="2"/>
  <c r="S760" i="2"/>
  <c r="U760" i="2" s="1"/>
  <c r="P760" i="2"/>
  <c r="O760" i="2"/>
  <c r="Q760" i="2" s="1"/>
  <c r="V760" i="2" s="1"/>
  <c r="M760" i="2"/>
  <c r="L760" i="2"/>
  <c r="J760" i="2"/>
  <c r="G760" i="2"/>
  <c r="S759" i="2"/>
  <c r="P759" i="2"/>
  <c r="U759" i="2" s="1"/>
  <c r="O759" i="2"/>
  <c r="N759" i="2"/>
  <c r="W759" i="2" s="1"/>
  <c r="M759" i="2"/>
  <c r="L759" i="2"/>
  <c r="G759" i="2"/>
  <c r="J759" i="2" s="1"/>
  <c r="AA759" i="2" s="1"/>
  <c r="S758" i="2"/>
  <c r="P758" i="2"/>
  <c r="U758" i="2" s="1"/>
  <c r="O758" i="2"/>
  <c r="M758" i="2"/>
  <c r="N758" i="2" s="1"/>
  <c r="W758" i="2" s="1"/>
  <c r="L758" i="2"/>
  <c r="G758" i="2"/>
  <c r="J758" i="2" s="1"/>
  <c r="AA758" i="2" s="1"/>
  <c r="AA757" i="2"/>
  <c r="W757" i="2"/>
  <c r="V757" i="2"/>
  <c r="Z757" i="2" s="1"/>
  <c r="U757" i="2"/>
  <c r="S757" i="2"/>
  <c r="P757" i="2"/>
  <c r="O757" i="2"/>
  <c r="Q757" i="2" s="1"/>
  <c r="N757" i="2"/>
  <c r="M757" i="2"/>
  <c r="L757" i="2"/>
  <c r="J757" i="2"/>
  <c r="G757" i="2"/>
  <c r="AA756" i="2"/>
  <c r="S756" i="2"/>
  <c r="P756" i="2"/>
  <c r="O756" i="2"/>
  <c r="M756" i="2"/>
  <c r="L756" i="2"/>
  <c r="J756" i="2"/>
  <c r="G756" i="2"/>
  <c r="W755" i="2"/>
  <c r="S755" i="2"/>
  <c r="P755" i="2"/>
  <c r="O755" i="2"/>
  <c r="N755" i="2"/>
  <c r="M755" i="2"/>
  <c r="L755" i="2"/>
  <c r="G755" i="2"/>
  <c r="J755" i="2" s="1"/>
  <c r="AA755" i="2" s="1"/>
  <c r="W754" i="2"/>
  <c r="U754" i="2"/>
  <c r="S754" i="2"/>
  <c r="P754" i="2"/>
  <c r="O754" i="2"/>
  <c r="Q754" i="2" s="1"/>
  <c r="V754" i="2" s="1"/>
  <c r="M754" i="2"/>
  <c r="N754" i="2" s="1"/>
  <c r="L754" i="2"/>
  <c r="J754" i="2"/>
  <c r="AA754" i="2" s="1"/>
  <c r="G754" i="2"/>
  <c r="S753" i="2"/>
  <c r="P753" i="2"/>
  <c r="O753" i="2"/>
  <c r="Q753" i="2" s="1"/>
  <c r="V753" i="2" s="1"/>
  <c r="M753" i="2"/>
  <c r="N753" i="2" s="1"/>
  <c r="L753" i="2"/>
  <c r="J753" i="2"/>
  <c r="G753" i="2"/>
  <c r="S752" i="2"/>
  <c r="P752" i="2"/>
  <c r="U752" i="2" s="1"/>
  <c r="O752" i="2"/>
  <c r="M752" i="2"/>
  <c r="L752" i="2"/>
  <c r="N752" i="2" s="1"/>
  <c r="G752" i="2"/>
  <c r="J752" i="2" s="1"/>
  <c r="AA751" i="2"/>
  <c r="W751" i="2"/>
  <c r="S751" i="2"/>
  <c r="P751" i="2"/>
  <c r="U751" i="2" s="1"/>
  <c r="O751" i="2"/>
  <c r="M751" i="2"/>
  <c r="L751" i="2"/>
  <c r="N751" i="2" s="1"/>
  <c r="G751" i="2"/>
  <c r="J751" i="2" s="1"/>
  <c r="W750" i="2"/>
  <c r="S750" i="2"/>
  <c r="Q750" i="2"/>
  <c r="V750" i="2" s="1"/>
  <c r="X750" i="2" s="1"/>
  <c r="P750" i="2"/>
  <c r="O750" i="2"/>
  <c r="M750" i="2"/>
  <c r="L750" i="2"/>
  <c r="N750" i="2" s="1"/>
  <c r="G750" i="2"/>
  <c r="J750" i="2" s="1"/>
  <c r="AA750" i="2" s="1"/>
  <c r="S749" i="2"/>
  <c r="P749" i="2"/>
  <c r="U749" i="2" s="1"/>
  <c r="O749" i="2"/>
  <c r="M749" i="2"/>
  <c r="L749" i="2"/>
  <c r="N749" i="2" s="1"/>
  <c r="G749" i="2"/>
  <c r="J749" i="2" s="1"/>
  <c r="AA749" i="2" s="1"/>
  <c r="S748" i="2"/>
  <c r="P748" i="2"/>
  <c r="U748" i="2" s="1"/>
  <c r="O748" i="2"/>
  <c r="M748" i="2"/>
  <c r="L748" i="2"/>
  <c r="N748" i="2" s="1"/>
  <c r="G748" i="2"/>
  <c r="J748" i="2" s="1"/>
  <c r="AA747" i="2"/>
  <c r="S747" i="2"/>
  <c r="P747" i="2"/>
  <c r="U747" i="2" s="1"/>
  <c r="O747" i="2"/>
  <c r="M747" i="2"/>
  <c r="L747" i="2"/>
  <c r="N747" i="2" s="1"/>
  <c r="G747" i="2"/>
  <c r="J747" i="2" s="1"/>
  <c r="W747" i="2" s="1"/>
  <c r="X746" i="2"/>
  <c r="S746" i="2"/>
  <c r="Q746" i="2"/>
  <c r="V746" i="2" s="1"/>
  <c r="Z746" i="2" s="1"/>
  <c r="P746" i="2"/>
  <c r="O746" i="2"/>
  <c r="M746" i="2"/>
  <c r="L746" i="2"/>
  <c r="N746" i="2" s="1"/>
  <c r="G746" i="2"/>
  <c r="J746" i="2" s="1"/>
  <c r="W746" i="2" s="1"/>
  <c r="S745" i="2"/>
  <c r="Q745" i="2"/>
  <c r="V745" i="2" s="1"/>
  <c r="P745" i="2"/>
  <c r="U745" i="2" s="1"/>
  <c r="O745" i="2"/>
  <c r="M745" i="2"/>
  <c r="L745" i="2"/>
  <c r="N745" i="2" s="1"/>
  <c r="G745" i="2"/>
  <c r="J745" i="2" s="1"/>
  <c r="AA744" i="2"/>
  <c r="S744" i="2"/>
  <c r="P744" i="2"/>
  <c r="U744" i="2" s="1"/>
  <c r="O744" i="2"/>
  <c r="M744" i="2"/>
  <c r="L744" i="2"/>
  <c r="N744" i="2" s="1"/>
  <c r="J744" i="2"/>
  <c r="G744" i="2"/>
  <c r="AA743" i="2"/>
  <c r="Z743" i="2"/>
  <c r="S743" i="2"/>
  <c r="U743" i="2" s="1"/>
  <c r="Q743" i="2"/>
  <c r="V743" i="2" s="1"/>
  <c r="P743" i="2"/>
  <c r="O743" i="2"/>
  <c r="M743" i="2"/>
  <c r="L743" i="2"/>
  <c r="N743" i="2" s="1"/>
  <c r="W743" i="2" s="1"/>
  <c r="G743" i="2"/>
  <c r="J743" i="2" s="1"/>
  <c r="AA742" i="2"/>
  <c r="Z742" i="2"/>
  <c r="W742" i="2"/>
  <c r="S742" i="2"/>
  <c r="U742" i="2" s="1"/>
  <c r="Q742" i="2"/>
  <c r="V742" i="2" s="1"/>
  <c r="P742" i="2"/>
  <c r="O742" i="2"/>
  <c r="M742" i="2"/>
  <c r="N742" i="2" s="1"/>
  <c r="L742" i="2"/>
  <c r="G742" i="2"/>
  <c r="J742" i="2" s="1"/>
  <c r="V741" i="2"/>
  <c r="Z741" i="2" s="1"/>
  <c r="U741" i="2"/>
  <c r="S741" i="2"/>
  <c r="P741" i="2"/>
  <c r="Q741" i="2" s="1"/>
  <c r="O741" i="2"/>
  <c r="M741" i="2"/>
  <c r="L741" i="2"/>
  <c r="N741" i="2" s="1"/>
  <c r="J741" i="2"/>
  <c r="AA741" i="2" s="1"/>
  <c r="G741" i="2"/>
  <c r="U740" i="2"/>
  <c r="S740" i="2"/>
  <c r="P740" i="2"/>
  <c r="O740" i="2"/>
  <c r="Q740" i="2" s="1"/>
  <c r="V740" i="2" s="1"/>
  <c r="M740" i="2"/>
  <c r="L740" i="2"/>
  <c r="N740" i="2" s="1"/>
  <c r="J740" i="2"/>
  <c r="AA740" i="2" s="1"/>
  <c r="G740" i="2"/>
  <c r="V739" i="2"/>
  <c r="U739" i="2"/>
  <c r="S739" i="2"/>
  <c r="Q739" i="2"/>
  <c r="P739" i="2"/>
  <c r="O739" i="2"/>
  <c r="M739" i="2"/>
  <c r="L739" i="2"/>
  <c r="G739" i="2"/>
  <c r="J739" i="2" s="1"/>
  <c r="S738" i="2"/>
  <c r="U738" i="2" s="1"/>
  <c r="P738" i="2"/>
  <c r="O738" i="2"/>
  <c r="Q738" i="2" s="1"/>
  <c r="V738" i="2" s="1"/>
  <c r="M738" i="2"/>
  <c r="L738" i="2"/>
  <c r="N738" i="2" s="1"/>
  <c r="G738" i="2"/>
  <c r="J738" i="2" s="1"/>
  <c r="AA737" i="2"/>
  <c r="S737" i="2"/>
  <c r="P737" i="2"/>
  <c r="U737" i="2" s="1"/>
  <c r="O737" i="2"/>
  <c r="M737" i="2"/>
  <c r="L737" i="2"/>
  <c r="N737" i="2" s="1"/>
  <c r="J737" i="2"/>
  <c r="W737" i="2" s="1"/>
  <c r="G737" i="2"/>
  <c r="AA736" i="2"/>
  <c r="S736" i="2"/>
  <c r="Q736" i="2"/>
  <c r="V736" i="2" s="1"/>
  <c r="Z736" i="2" s="1"/>
  <c r="P736" i="2"/>
  <c r="U736" i="2" s="1"/>
  <c r="O736" i="2"/>
  <c r="M736" i="2"/>
  <c r="L736" i="2"/>
  <c r="N736" i="2" s="1"/>
  <c r="W736" i="2" s="1"/>
  <c r="X736" i="2" s="1"/>
  <c r="J736" i="2"/>
  <c r="G736" i="2"/>
  <c r="Z735" i="2"/>
  <c r="S735" i="2"/>
  <c r="Q735" i="2"/>
  <c r="V735" i="2" s="1"/>
  <c r="P735" i="2"/>
  <c r="U735" i="2" s="1"/>
  <c r="O735" i="2"/>
  <c r="M735" i="2"/>
  <c r="N735" i="2" s="1"/>
  <c r="L735" i="2"/>
  <c r="J735" i="2"/>
  <c r="G735" i="2"/>
  <c r="S734" i="2"/>
  <c r="P734" i="2"/>
  <c r="U734" i="2" s="1"/>
  <c r="O734" i="2"/>
  <c r="Q734" i="2" s="1"/>
  <c r="V734" i="2" s="1"/>
  <c r="N734" i="2"/>
  <c r="M734" i="2"/>
  <c r="L734" i="2"/>
  <c r="J734" i="2"/>
  <c r="G734" i="2"/>
  <c r="S733" i="2"/>
  <c r="P733" i="2"/>
  <c r="U733" i="2" s="1"/>
  <c r="O733" i="2"/>
  <c r="Q733" i="2" s="1"/>
  <c r="V733" i="2" s="1"/>
  <c r="M733" i="2"/>
  <c r="L733" i="2"/>
  <c r="J733" i="2"/>
  <c r="G733" i="2"/>
  <c r="S732" i="2"/>
  <c r="Q732" i="2"/>
  <c r="V732" i="2" s="1"/>
  <c r="P732" i="2"/>
  <c r="U732" i="2" s="1"/>
  <c r="O732" i="2"/>
  <c r="M732" i="2"/>
  <c r="L732" i="2"/>
  <c r="N732" i="2" s="1"/>
  <c r="W732" i="2" s="1"/>
  <c r="J732" i="2"/>
  <c r="AA732" i="2" s="1"/>
  <c r="G732" i="2"/>
  <c r="Z731" i="2"/>
  <c r="W731" i="2"/>
  <c r="X731" i="2" s="1"/>
  <c r="S731" i="2"/>
  <c r="Q731" i="2"/>
  <c r="V731" i="2" s="1"/>
  <c r="P731" i="2"/>
  <c r="U731" i="2" s="1"/>
  <c r="O731" i="2"/>
  <c r="N731" i="2"/>
  <c r="M731" i="2"/>
  <c r="L731" i="2"/>
  <c r="J731" i="2"/>
  <c r="AA731" i="2" s="1"/>
  <c r="G731" i="2"/>
  <c r="W730" i="2"/>
  <c r="X730" i="2" s="1"/>
  <c r="S730" i="2"/>
  <c r="Q730" i="2"/>
  <c r="V730" i="2" s="1"/>
  <c r="Z730" i="2" s="1"/>
  <c r="P730" i="2"/>
  <c r="U730" i="2" s="1"/>
  <c r="O730" i="2"/>
  <c r="N730" i="2"/>
  <c r="M730" i="2"/>
  <c r="L730" i="2"/>
  <c r="J730" i="2"/>
  <c r="AA730" i="2" s="1"/>
  <c r="G730" i="2"/>
  <c r="S729" i="2"/>
  <c r="Q729" i="2"/>
  <c r="V729" i="2" s="1"/>
  <c r="P729" i="2"/>
  <c r="U729" i="2" s="1"/>
  <c r="O729" i="2"/>
  <c r="M729" i="2"/>
  <c r="N729" i="2" s="1"/>
  <c r="W729" i="2" s="1"/>
  <c r="L729" i="2"/>
  <c r="J729" i="2"/>
  <c r="AA729" i="2" s="1"/>
  <c r="G729" i="2"/>
  <c r="S728" i="2"/>
  <c r="P728" i="2"/>
  <c r="U728" i="2" s="1"/>
  <c r="O728" i="2"/>
  <c r="Q728" i="2" s="1"/>
  <c r="V728" i="2" s="1"/>
  <c r="M728" i="2"/>
  <c r="L728" i="2"/>
  <c r="J728" i="2"/>
  <c r="G728" i="2"/>
  <c r="S727" i="2"/>
  <c r="P727" i="2"/>
  <c r="O727" i="2"/>
  <c r="M727" i="2"/>
  <c r="L727" i="2"/>
  <c r="N727" i="2" s="1"/>
  <c r="G727" i="2"/>
  <c r="J727" i="2" s="1"/>
  <c r="AA727" i="2" s="1"/>
  <c r="Z726" i="2"/>
  <c r="S726" i="2"/>
  <c r="P726" i="2"/>
  <c r="O726" i="2"/>
  <c r="Q726" i="2" s="1"/>
  <c r="V726" i="2" s="1"/>
  <c r="N726" i="2"/>
  <c r="M726" i="2"/>
  <c r="L726" i="2"/>
  <c r="G726" i="2"/>
  <c r="J726" i="2" s="1"/>
  <c r="S725" i="2"/>
  <c r="P725" i="2"/>
  <c r="U725" i="2" s="1"/>
  <c r="O725" i="2"/>
  <c r="Q725" i="2" s="1"/>
  <c r="V725" i="2" s="1"/>
  <c r="N725" i="2"/>
  <c r="M725" i="2"/>
  <c r="L725" i="2"/>
  <c r="J725" i="2"/>
  <c r="AA725" i="2" s="1"/>
  <c r="G725" i="2"/>
  <c r="S724" i="2"/>
  <c r="P724" i="2"/>
  <c r="U724" i="2" s="1"/>
  <c r="O724" i="2"/>
  <c r="M724" i="2"/>
  <c r="L724" i="2"/>
  <c r="J724" i="2"/>
  <c r="G724" i="2"/>
  <c r="AA723" i="2"/>
  <c r="S723" i="2"/>
  <c r="Q723" i="2"/>
  <c r="V723" i="2" s="1"/>
  <c r="P723" i="2"/>
  <c r="U723" i="2" s="1"/>
  <c r="O723" i="2"/>
  <c r="M723" i="2"/>
  <c r="L723" i="2"/>
  <c r="N723" i="2" s="1"/>
  <c r="G723" i="2"/>
  <c r="J723" i="2" s="1"/>
  <c r="AA722" i="2"/>
  <c r="W722" i="2"/>
  <c r="U722" i="2"/>
  <c r="S722" i="2"/>
  <c r="Q722" i="2"/>
  <c r="V722" i="2" s="1"/>
  <c r="P722" i="2"/>
  <c r="O722" i="2"/>
  <c r="M722" i="2"/>
  <c r="N722" i="2" s="1"/>
  <c r="L722" i="2"/>
  <c r="J722" i="2"/>
  <c r="G722" i="2"/>
  <c r="S721" i="2"/>
  <c r="P721" i="2"/>
  <c r="O721" i="2"/>
  <c r="Q721" i="2" s="1"/>
  <c r="V721" i="2" s="1"/>
  <c r="M721" i="2"/>
  <c r="N721" i="2" s="1"/>
  <c r="L721" i="2"/>
  <c r="G721" i="2"/>
  <c r="J721" i="2" s="1"/>
  <c r="U720" i="2"/>
  <c r="S720" i="2"/>
  <c r="P720" i="2"/>
  <c r="Q720" i="2" s="1"/>
  <c r="V720" i="2" s="1"/>
  <c r="O720" i="2"/>
  <c r="M720" i="2"/>
  <c r="L720" i="2"/>
  <c r="N720" i="2" s="1"/>
  <c r="J720" i="2"/>
  <c r="G720" i="2"/>
  <c r="S719" i="2"/>
  <c r="P719" i="2"/>
  <c r="U719" i="2" s="1"/>
  <c r="O719" i="2"/>
  <c r="M719" i="2"/>
  <c r="L719" i="2"/>
  <c r="N719" i="2" s="1"/>
  <c r="J719" i="2"/>
  <c r="G719" i="2"/>
  <c r="W718" i="2"/>
  <c r="U718" i="2"/>
  <c r="S718" i="2"/>
  <c r="Q718" i="2"/>
  <c r="V718" i="2" s="1"/>
  <c r="P718" i="2"/>
  <c r="O718" i="2"/>
  <c r="M718" i="2"/>
  <c r="L718" i="2"/>
  <c r="N718" i="2" s="1"/>
  <c r="J718" i="2"/>
  <c r="AA718" i="2" s="1"/>
  <c r="G718" i="2"/>
  <c r="S717" i="2"/>
  <c r="P717" i="2"/>
  <c r="O717" i="2"/>
  <c r="N717" i="2"/>
  <c r="M717" i="2"/>
  <c r="L717" i="2"/>
  <c r="J717" i="2"/>
  <c r="G717" i="2"/>
  <c r="U716" i="2"/>
  <c r="S716" i="2"/>
  <c r="P716" i="2"/>
  <c r="Q716" i="2" s="1"/>
  <c r="V716" i="2" s="1"/>
  <c r="O716" i="2"/>
  <c r="M716" i="2"/>
  <c r="L716" i="2"/>
  <c r="N716" i="2" s="1"/>
  <c r="G716" i="2"/>
  <c r="J716" i="2" s="1"/>
  <c r="U715" i="2"/>
  <c r="S715" i="2"/>
  <c r="P715" i="2"/>
  <c r="Q715" i="2" s="1"/>
  <c r="V715" i="2" s="1"/>
  <c r="O715" i="2"/>
  <c r="M715" i="2"/>
  <c r="L715" i="2"/>
  <c r="N715" i="2" s="1"/>
  <c r="J715" i="2"/>
  <c r="G715" i="2"/>
  <c r="V714" i="2"/>
  <c r="Z714" i="2" s="1"/>
  <c r="U714" i="2"/>
  <c r="S714" i="2"/>
  <c r="Q714" i="2"/>
  <c r="P714" i="2"/>
  <c r="O714" i="2"/>
  <c r="M714" i="2"/>
  <c r="L714" i="2"/>
  <c r="N714" i="2" s="1"/>
  <c r="J714" i="2"/>
  <c r="G714" i="2"/>
  <c r="U713" i="2"/>
  <c r="S713" i="2"/>
  <c r="P713" i="2"/>
  <c r="Q713" i="2" s="1"/>
  <c r="V713" i="2" s="1"/>
  <c r="O713" i="2"/>
  <c r="M713" i="2"/>
  <c r="N713" i="2" s="1"/>
  <c r="L713" i="2"/>
  <c r="J713" i="2"/>
  <c r="G713" i="2"/>
  <c r="U712" i="2"/>
  <c r="S712" i="2"/>
  <c r="P712" i="2"/>
  <c r="Q712" i="2" s="1"/>
  <c r="V712" i="2" s="1"/>
  <c r="O712" i="2"/>
  <c r="M712" i="2"/>
  <c r="L712" i="2"/>
  <c r="J712" i="2"/>
  <c r="G712" i="2"/>
  <c r="V711" i="2"/>
  <c r="U711" i="2"/>
  <c r="S711" i="2"/>
  <c r="Q711" i="2"/>
  <c r="P711" i="2"/>
  <c r="O711" i="2"/>
  <c r="M711" i="2"/>
  <c r="L711" i="2"/>
  <c r="N711" i="2" s="1"/>
  <c r="W711" i="2" s="1"/>
  <c r="G711" i="2"/>
  <c r="J711" i="2" s="1"/>
  <c r="AA711" i="2" s="1"/>
  <c r="W710" i="2"/>
  <c r="V710" i="2"/>
  <c r="U710" i="2"/>
  <c r="S710" i="2"/>
  <c r="Q710" i="2"/>
  <c r="P710" i="2"/>
  <c r="O710" i="2"/>
  <c r="M710" i="2"/>
  <c r="N710" i="2" s="1"/>
  <c r="L710" i="2"/>
  <c r="J710" i="2"/>
  <c r="AA710" i="2" s="1"/>
  <c r="G710" i="2"/>
  <c r="S709" i="2"/>
  <c r="P709" i="2"/>
  <c r="O709" i="2"/>
  <c r="Q709" i="2" s="1"/>
  <c r="V709" i="2" s="1"/>
  <c r="N709" i="2"/>
  <c r="M709" i="2"/>
  <c r="L709" i="2"/>
  <c r="G709" i="2"/>
  <c r="J709" i="2" s="1"/>
  <c r="AA709" i="2" s="1"/>
  <c r="AA708" i="2"/>
  <c r="S708" i="2"/>
  <c r="P708" i="2"/>
  <c r="U708" i="2" s="1"/>
  <c r="O708" i="2"/>
  <c r="M708" i="2"/>
  <c r="L708" i="2"/>
  <c r="N708" i="2" s="1"/>
  <c r="G708" i="2"/>
  <c r="J708" i="2" s="1"/>
  <c r="AA707" i="2"/>
  <c r="S707" i="2"/>
  <c r="P707" i="2"/>
  <c r="O707" i="2"/>
  <c r="M707" i="2"/>
  <c r="N707" i="2" s="1"/>
  <c r="W707" i="2" s="1"/>
  <c r="L707" i="2"/>
  <c r="J707" i="2"/>
  <c r="G707" i="2"/>
  <c r="S706" i="2"/>
  <c r="U706" i="2" s="1"/>
  <c r="P706" i="2"/>
  <c r="O706" i="2"/>
  <c r="Q706" i="2" s="1"/>
  <c r="V706" i="2" s="1"/>
  <c r="N706" i="2"/>
  <c r="M706" i="2"/>
  <c r="L706" i="2"/>
  <c r="G706" i="2"/>
  <c r="J706" i="2" s="1"/>
  <c r="AA705" i="2"/>
  <c r="W705" i="2"/>
  <c r="S705" i="2"/>
  <c r="P705" i="2"/>
  <c r="U705" i="2" s="1"/>
  <c r="O705" i="2"/>
  <c r="N705" i="2"/>
  <c r="M705" i="2"/>
  <c r="L705" i="2"/>
  <c r="G705" i="2"/>
  <c r="J705" i="2" s="1"/>
  <c r="AA704" i="2"/>
  <c r="W704" i="2"/>
  <c r="U704" i="2"/>
  <c r="S704" i="2"/>
  <c r="P704" i="2"/>
  <c r="O704" i="2"/>
  <c r="Q704" i="2" s="1"/>
  <c r="V704" i="2" s="1"/>
  <c r="M704" i="2"/>
  <c r="N704" i="2" s="1"/>
  <c r="L704" i="2"/>
  <c r="J704" i="2"/>
  <c r="G704" i="2"/>
  <c r="S703" i="2"/>
  <c r="P703" i="2"/>
  <c r="O703" i="2"/>
  <c r="M703" i="2"/>
  <c r="N703" i="2" s="1"/>
  <c r="L703" i="2"/>
  <c r="J703" i="2"/>
  <c r="W703" i="2" s="1"/>
  <c r="G703" i="2"/>
  <c r="Z702" i="2"/>
  <c r="U702" i="2"/>
  <c r="S702" i="2"/>
  <c r="P702" i="2"/>
  <c r="Q702" i="2" s="1"/>
  <c r="V702" i="2" s="1"/>
  <c r="O702" i="2"/>
  <c r="M702" i="2"/>
  <c r="N702" i="2" s="1"/>
  <c r="L702" i="2"/>
  <c r="J702" i="2"/>
  <c r="AA702" i="2" s="1"/>
  <c r="G702" i="2"/>
  <c r="S701" i="2"/>
  <c r="Q701" i="2"/>
  <c r="V701" i="2" s="1"/>
  <c r="P701" i="2"/>
  <c r="U701" i="2" s="1"/>
  <c r="O701" i="2"/>
  <c r="M701" i="2"/>
  <c r="N701" i="2" s="1"/>
  <c r="L701" i="2"/>
  <c r="J701" i="2"/>
  <c r="AA701" i="2" s="1"/>
  <c r="G701" i="2"/>
  <c r="S700" i="2"/>
  <c r="P700" i="2"/>
  <c r="U700" i="2" s="1"/>
  <c r="O700" i="2"/>
  <c r="Q700" i="2" s="1"/>
  <c r="V700" i="2" s="1"/>
  <c r="M700" i="2"/>
  <c r="N700" i="2" s="1"/>
  <c r="L700" i="2"/>
  <c r="J700" i="2"/>
  <c r="G700" i="2"/>
  <c r="S699" i="2"/>
  <c r="P699" i="2"/>
  <c r="U699" i="2" s="1"/>
  <c r="O699" i="2"/>
  <c r="Q699" i="2" s="1"/>
  <c r="V699" i="2" s="1"/>
  <c r="M699" i="2"/>
  <c r="N699" i="2" s="1"/>
  <c r="L699" i="2"/>
  <c r="J699" i="2"/>
  <c r="G699" i="2"/>
  <c r="U698" i="2"/>
  <c r="S698" i="2"/>
  <c r="Q698" i="2"/>
  <c r="V698" i="2" s="1"/>
  <c r="Z698" i="2" s="1"/>
  <c r="P698" i="2"/>
  <c r="O698" i="2"/>
  <c r="M698" i="2"/>
  <c r="N698" i="2" s="1"/>
  <c r="L698" i="2"/>
  <c r="J698" i="2"/>
  <c r="G698" i="2"/>
  <c r="Z697" i="2"/>
  <c r="S697" i="2"/>
  <c r="Q697" i="2"/>
  <c r="V697" i="2" s="1"/>
  <c r="P697" i="2"/>
  <c r="U697" i="2" s="1"/>
  <c r="O697" i="2"/>
  <c r="M697" i="2"/>
  <c r="N697" i="2" s="1"/>
  <c r="L697" i="2"/>
  <c r="J697" i="2"/>
  <c r="G697" i="2"/>
  <c r="AA696" i="2"/>
  <c r="Z696" i="2"/>
  <c r="W696" i="2"/>
  <c r="S696" i="2"/>
  <c r="U696" i="2" s="1"/>
  <c r="P696" i="2"/>
  <c r="O696" i="2"/>
  <c r="Q696" i="2" s="1"/>
  <c r="V696" i="2" s="1"/>
  <c r="X696" i="2" s="1"/>
  <c r="M696" i="2"/>
  <c r="N696" i="2" s="1"/>
  <c r="L696" i="2"/>
  <c r="J696" i="2"/>
  <c r="G696" i="2"/>
  <c r="AA695" i="2"/>
  <c r="V695" i="2"/>
  <c r="Z695" i="2" s="1"/>
  <c r="U695" i="2"/>
  <c r="S695" i="2"/>
  <c r="Q695" i="2"/>
  <c r="P695" i="2"/>
  <c r="O695" i="2"/>
  <c r="M695" i="2"/>
  <c r="L695" i="2"/>
  <c r="N695" i="2" s="1"/>
  <c r="G695" i="2"/>
  <c r="J695" i="2" s="1"/>
  <c r="Z694" i="2"/>
  <c r="X694" i="2"/>
  <c r="V694" i="2"/>
  <c r="S694" i="2"/>
  <c r="U694" i="2" s="1"/>
  <c r="Q694" i="2"/>
  <c r="P694" i="2"/>
  <c r="O694" i="2"/>
  <c r="N694" i="2"/>
  <c r="M694" i="2"/>
  <c r="L694" i="2"/>
  <c r="G694" i="2"/>
  <c r="J694" i="2" s="1"/>
  <c r="W694" i="2" s="1"/>
  <c r="S693" i="2"/>
  <c r="U693" i="2" s="1"/>
  <c r="Q693" i="2"/>
  <c r="V693" i="2" s="1"/>
  <c r="P693" i="2"/>
  <c r="O693" i="2"/>
  <c r="M693" i="2"/>
  <c r="L693" i="2"/>
  <c r="N693" i="2" s="1"/>
  <c r="G693" i="2"/>
  <c r="J693" i="2" s="1"/>
  <c r="U692" i="2"/>
  <c r="S692" i="2"/>
  <c r="P692" i="2"/>
  <c r="Q692" i="2" s="1"/>
  <c r="V692" i="2" s="1"/>
  <c r="O692" i="2"/>
  <c r="M692" i="2"/>
  <c r="L692" i="2"/>
  <c r="J692" i="2"/>
  <c r="AA692" i="2" s="1"/>
  <c r="G692" i="2"/>
  <c r="U691" i="2"/>
  <c r="S691" i="2"/>
  <c r="P691" i="2"/>
  <c r="Q691" i="2" s="1"/>
  <c r="V691" i="2" s="1"/>
  <c r="O691" i="2"/>
  <c r="M691" i="2"/>
  <c r="L691" i="2"/>
  <c r="N691" i="2" s="1"/>
  <c r="G691" i="2"/>
  <c r="J691" i="2" s="1"/>
  <c r="U690" i="2"/>
  <c r="S690" i="2"/>
  <c r="P690" i="2"/>
  <c r="O690" i="2"/>
  <c r="Q690" i="2" s="1"/>
  <c r="V690" i="2" s="1"/>
  <c r="M690" i="2"/>
  <c r="L690" i="2"/>
  <c r="J690" i="2"/>
  <c r="G690" i="2"/>
  <c r="S689" i="2"/>
  <c r="U689" i="2" s="1"/>
  <c r="P689" i="2"/>
  <c r="O689" i="2"/>
  <c r="Q689" i="2" s="1"/>
  <c r="V689" i="2" s="1"/>
  <c r="M689" i="2"/>
  <c r="L689" i="2"/>
  <c r="N689" i="2" s="1"/>
  <c r="G689" i="2"/>
  <c r="J689" i="2" s="1"/>
  <c r="S688" i="2"/>
  <c r="P688" i="2"/>
  <c r="U688" i="2" s="1"/>
  <c r="O688" i="2"/>
  <c r="M688" i="2"/>
  <c r="L688" i="2"/>
  <c r="N688" i="2" s="1"/>
  <c r="G688" i="2"/>
  <c r="J688" i="2" s="1"/>
  <c r="AA687" i="2"/>
  <c r="Z687" i="2"/>
  <c r="S687" i="2"/>
  <c r="P687" i="2"/>
  <c r="U687" i="2" s="1"/>
  <c r="O687" i="2"/>
  <c r="Q687" i="2" s="1"/>
  <c r="V687" i="2" s="1"/>
  <c r="N687" i="2"/>
  <c r="M687" i="2"/>
  <c r="L687" i="2"/>
  <c r="G687" i="2"/>
  <c r="J687" i="2" s="1"/>
  <c r="W687" i="2" s="1"/>
  <c r="Z686" i="2"/>
  <c r="W686" i="2"/>
  <c r="X686" i="2" s="1"/>
  <c r="S686" i="2"/>
  <c r="P686" i="2"/>
  <c r="U686" i="2" s="1"/>
  <c r="O686" i="2"/>
  <c r="Q686" i="2" s="1"/>
  <c r="V686" i="2" s="1"/>
  <c r="M686" i="2"/>
  <c r="L686" i="2"/>
  <c r="N686" i="2" s="1"/>
  <c r="J686" i="2"/>
  <c r="AA686" i="2" s="1"/>
  <c r="G686" i="2"/>
  <c r="S685" i="2"/>
  <c r="P685" i="2"/>
  <c r="U685" i="2" s="1"/>
  <c r="O685" i="2"/>
  <c r="N685" i="2"/>
  <c r="M685" i="2"/>
  <c r="L685" i="2"/>
  <c r="J685" i="2"/>
  <c r="AA685" i="2" s="1"/>
  <c r="G685" i="2"/>
  <c r="S684" i="2"/>
  <c r="P684" i="2"/>
  <c r="U684" i="2" s="1"/>
  <c r="O684" i="2"/>
  <c r="Q684" i="2" s="1"/>
  <c r="V684" i="2" s="1"/>
  <c r="N684" i="2"/>
  <c r="M684" i="2"/>
  <c r="L684" i="2"/>
  <c r="J684" i="2"/>
  <c r="G684" i="2"/>
  <c r="S683" i="2"/>
  <c r="P683" i="2"/>
  <c r="U683" i="2" s="1"/>
  <c r="O683" i="2"/>
  <c r="M683" i="2"/>
  <c r="L683" i="2"/>
  <c r="N683" i="2" s="1"/>
  <c r="J683" i="2"/>
  <c r="G683" i="2"/>
  <c r="AA682" i="2"/>
  <c r="S682" i="2"/>
  <c r="P682" i="2"/>
  <c r="U682" i="2" s="1"/>
  <c r="O682" i="2"/>
  <c r="N682" i="2"/>
  <c r="M682" i="2"/>
  <c r="L682" i="2"/>
  <c r="J682" i="2"/>
  <c r="W682" i="2" s="1"/>
  <c r="G682" i="2"/>
  <c r="S681" i="2"/>
  <c r="P681" i="2"/>
  <c r="U681" i="2" s="1"/>
  <c r="O681" i="2"/>
  <c r="M681" i="2"/>
  <c r="L681" i="2"/>
  <c r="N681" i="2" s="1"/>
  <c r="W681" i="2" s="1"/>
  <c r="J681" i="2"/>
  <c r="AA681" i="2" s="1"/>
  <c r="G681" i="2"/>
  <c r="W680" i="2"/>
  <c r="S680" i="2"/>
  <c r="P680" i="2"/>
  <c r="U680" i="2" s="1"/>
  <c r="O680" i="2"/>
  <c r="M680" i="2"/>
  <c r="N680" i="2" s="1"/>
  <c r="L680" i="2"/>
  <c r="J680" i="2"/>
  <c r="AA680" i="2" s="1"/>
  <c r="G680" i="2"/>
  <c r="S679" i="2"/>
  <c r="P679" i="2"/>
  <c r="U679" i="2" s="1"/>
  <c r="O679" i="2"/>
  <c r="Q679" i="2" s="1"/>
  <c r="V679" i="2" s="1"/>
  <c r="M679" i="2"/>
  <c r="N679" i="2" s="1"/>
  <c r="W679" i="2" s="1"/>
  <c r="L679" i="2"/>
  <c r="G679" i="2"/>
  <c r="J679" i="2" s="1"/>
  <c r="AA679" i="2" s="1"/>
  <c r="S678" i="2"/>
  <c r="P678" i="2"/>
  <c r="U678" i="2" s="1"/>
  <c r="O678" i="2"/>
  <c r="N678" i="2"/>
  <c r="M678" i="2"/>
  <c r="L678" i="2"/>
  <c r="J678" i="2"/>
  <c r="G678" i="2"/>
  <c r="Z677" i="2"/>
  <c r="S677" i="2"/>
  <c r="Q677" i="2"/>
  <c r="V677" i="2" s="1"/>
  <c r="P677" i="2"/>
  <c r="O677" i="2"/>
  <c r="M677" i="2"/>
  <c r="L677" i="2"/>
  <c r="N677" i="2" s="1"/>
  <c r="G677" i="2"/>
  <c r="J677" i="2" s="1"/>
  <c r="AA676" i="2"/>
  <c r="S676" i="2"/>
  <c r="P676" i="2"/>
  <c r="U676" i="2" s="1"/>
  <c r="O676" i="2"/>
  <c r="Q676" i="2" s="1"/>
  <c r="V676" i="2" s="1"/>
  <c r="M676" i="2"/>
  <c r="L676" i="2"/>
  <c r="G676" i="2"/>
  <c r="J676" i="2" s="1"/>
  <c r="Z675" i="2"/>
  <c r="S675" i="2"/>
  <c r="U675" i="2" s="1"/>
  <c r="Q675" i="2"/>
  <c r="V675" i="2" s="1"/>
  <c r="X675" i="2" s="1"/>
  <c r="P675" i="2"/>
  <c r="O675" i="2"/>
  <c r="N675" i="2"/>
  <c r="M675" i="2"/>
  <c r="L675" i="2"/>
  <c r="J675" i="2"/>
  <c r="W675" i="2" s="1"/>
  <c r="G675" i="2"/>
  <c r="Z674" i="2"/>
  <c r="U674" i="2"/>
  <c r="S674" i="2"/>
  <c r="Q674" i="2"/>
  <c r="V674" i="2" s="1"/>
  <c r="P674" i="2"/>
  <c r="O674" i="2"/>
  <c r="N674" i="2"/>
  <c r="M674" i="2"/>
  <c r="L674" i="2"/>
  <c r="G674" i="2"/>
  <c r="J674" i="2" s="1"/>
  <c r="U673" i="2"/>
  <c r="S673" i="2"/>
  <c r="P673" i="2"/>
  <c r="O673" i="2"/>
  <c r="N673" i="2"/>
  <c r="M673" i="2"/>
  <c r="L673" i="2"/>
  <c r="G673" i="2"/>
  <c r="J673" i="2" s="1"/>
  <c r="S672" i="2"/>
  <c r="P672" i="2"/>
  <c r="U672" i="2" s="1"/>
  <c r="O672" i="2"/>
  <c r="M672" i="2"/>
  <c r="L672" i="2"/>
  <c r="N672" i="2" s="1"/>
  <c r="G672" i="2"/>
  <c r="J672" i="2" s="1"/>
  <c r="S671" i="2"/>
  <c r="Q671" i="2"/>
  <c r="V671" i="2" s="1"/>
  <c r="P671" i="2"/>
  <c r="O671" i="2"/>
  <c r="M671" i="2"/>
  <c r="L671" i="2"/>
  <c r="J671" i="2"/>
  <c r="G671" i="2"/>
  <c r="X670" i="2"/>
  <c r="W670" i="2"/>
  <c r="S670" i="2"/>
  <c r="U670" i="2" s="1"/>
  <c r="P670" i="2"/>
  <c r="O670" i="2"/>
  <c r="Q670" i="2" s="1"/>
  <c r="V670" i="2" s="1"/>
  <c r="Z670" i="2" s="1"/>
  <c r="N670" i="2"/>
  <c r="M670" i="2"/>
  <c r="L670" i="2"/>
  <c r="G670" i="2"/>
  <c r="J670" i="2" s="1"/>
  <c r="AA670" i="2" s="1"/>
  <c r="U669" i="2"/>
  <c r="S669" i="2"/>
  <c r="Q669" i="2"/>
  <c r="V669" i="2" s="1"/>
  <c r="P669" i="2"/>
  <c r="O669" i="2"/>
  <c r="M669" i="2"/>
  <c r="L669" i="2"/>
  <c r="N669" i="2" s="1"/>
  <c r="J669" i="2"/>
  <c r="G669" i="2"/>
  <c r="S668" i="2"/>
  <c r="Q668" i="2"/>
  <c r="V668" i="2" s="1"/>
  <c r="P668" i="2"/>
  <c r="O668" i="2"/>
  <c r="N668" i="2"/>
  <c r="M668" i="2"/>
  <c r="L668" i="2"/>
  <c r="J668" i="2"/>
  <c r="AA668" i="2" s="1"/>
  <c r="G668" i="2"/>
  <c r="S667" i="2"/>
  <c r="Q667" i="2"/>
  <c r="V667" i="2" s="1"/>
  <c r="P667" i="2"/>
  <c r="U667" i="2" s="1"/>
  <c r="O667" i="2"/>
  <c r="M667" i="2"/>
  <c r="L667" i="2"/>
  <c r="N667" i="2" s="1"/>
  <c r="J667" i="2"/>
  <c r="G667" i="2"/>
  <c r="V666" i="2"/>
  <c r="U666" i="2"/>
  <c r="S666" i="2"/>
  <c r="Q666" i="2"/>
  <c r="P666" i="2"/>
  <c r="O666" i="2"/>
  <c r="N666" i="2"/>
  <c r="M666" i="2"/>
  <c r="L666" i="2"/>
  <c r="J666" i="2"/>
  <c r="G666" i="2"/>
  <c r="W665" i="2"/>
  <c r="S665" i="2"/>
  <c r="P665" i="2"/>
  <c r="U665" i="2" s="1"/>
  <c r="O665" i="2"/>
  <c r="Q665" i="2" s="1"/>
  <c r="V665" i="2" s="1"/>
  <c r="N665" i="2"/>
  <c r="M665" i="2"/>
  <c r="L665" i="2"/>
  <c r="J665" i="2"/>
  <c r="AA665" i="2" s="1"/>
  <c r="G665" i="2"/>
  <c r="AA664" i="2"/>
  <c r="W664" i="2"/>
  <c r="U664" i="2"/>
  <c r="S664" i="2"/>
  <c r="P664" i="2"/>
  <c r="Q664" i="2" s="1"/>
  <c r="V664" i="2" s="1"/>
  <c r="O664" i="2"/>
  <c r="M664" i="2"/>
  <c r="L664" i="2"/>
  <c r="N664" i="2" s="1"/>
  <c r="J664" i="2"/>
  <c r="G664" i="2"/>
  <c r="S663" i="2"/>
  <c r="Q663" i="2"/>
  <c r="V663" i="2" s="1"/>
  <c r="P663" i="2"/>
  <c r="U663" i="2" s="1"/>
  <c r="O663" i="2"/>
  <c r="N663" i="2"/>
  <c r="M663" i="2"/>
  <c r="L663" i="2"/>
  <c r="G663" i="2"/>
  <c r="J663" i="2" s="1"/>
  <c r="AA663" i="2" s="1"/>
  <c r="S662" i="2"/>
  <c r="P662" i="2"/>
  <c r="U662" i="2" s="1"/>
  <c r="O662" i="2"/>
  <c r="Q662" i="2" s="1"/>
  <c r="V662" i="2" s="1"/>
  <c r="N662" i="2"/>
  <c r="M662" i="2"/>
  <c r="L662" i="2"/>
  <c r="J662" i="2"/>
  <c r="AA662" i="2" s="1"/>
  <c r="G662" i="2"/>
  <c r="S661" i="2"/>
  <c r="P661" i="2"/>
  <c r="U661" i="2" s="1"/>
  <c r="O661" i="2"/>
  <c r="Q661" i="2" s="1"/>
  <c r="V661" i="2" s="1"/>
  <c r="N661" i="2"/>
  <c r="M661" i="2"/>
  <c r="L661" i="2"/>
  <c r="J661" i="2"/>
  <c r="G661" i="2"/>
  <c r="S660" i="2"/>
  <c r="P660" i="2"/>
  <c r="U660" i="2" s="1"/>
  <c r="O660" i="2"/>
  <c r="M660" i="2"/>
  <c r="L660" i="2"/>
  <c r="N660" i="2" s="1"/>
  <c r="J660" i="2"/>
  <c r="G660" i="2"/>
  <c r="Z659" i="2"/>
  <c r="V659" i="2"/>
  <c r="U659" i="2"/>
  <c r="S659" i="2"/>
  <c r="Q659" i="2"/>
  <c r="P659" i="2"/>
  <c r="O659" i="2"/>
  <c r="M659" i="2"/>
  <c r="L659" i="2"/>
  <c r="N659" i="2" s="1"/>
  <c r="G659" i="2"/>
  <c r="J659" i="2" s="1"/>
  <c r="AA658" i="2"/>
  <c r="S658" i="2"/>
  <c r="U658" i="2" s="1"/>
  <c r="Q658" i="2"/>
  <c r="V658" i="2" s="1"/>
  <c r="P658" i="2"/>
  <c r="O658" i="2"/>
  <c r="M658" i="2"/>
  <c r="N658" i="2" s="1"/>
  <c r="W658" i="2" s="1"/>
  <c r="L658" i="2"/>
  <c r="J658" i="2"/>
  <c r="G658" i="2"/>
  <c r="AA657" i="2"/>
  <c r="U657" i="2"/>
  <c r="S657" i="2"/>
  <c r="P657" i="2"/>
  <c r="O657" i="2"/>
  <c r="M657" i="2"/>
  <c r="N657" i="2" s="1"/>
  <c r="W657" i="2" s="1"/>
  <c r="L657" i="2"/>
  <c r="J657" i="2"/>
  <c r="G657" i="2"/>
  <c r="AA656" i="2"/>
  <c r="Z656" i="2"/>
  <c r="V656" i="2"/>
  <c r="U656" i="2"/>
  <c r="S656" i="2"/>
  <c r="Q656" i="2"/>
  <c r="P656" i="2"/>
  <c r="O656" i="2"/>
  <c r="N656" i="2"/>
  <c r="M656" i="2"/>
  <c r="L656" i="2"/>
  <c r="G656" i="2"/>
  <c r="J656" i="2" s="1"/>
  <c r="AA655" i="2"/>
  <c r="S655" i="2"/>
  <c r="Q655" i="2"/>
  <c r="V655" i="2" s="1"/>
  <c r="P655" i="2"/>
  <c r="O655" i="2"/>
  <c r="N655" i="2"/>
  <c r="M655" i="2"/>
  <c r="L655" i="2"/>
  <c r="G655" i="2"/>
  <c r="J655" i="2" s="1"/>
  <c r="W655" i="2" s="1"/>
  <c r="AA654" i="2"/>
  <c r="Z654" i="2"/>
  <c r="W654" i="2"/>
  <c r="S654" i="2"/>
  <c r="Q654" i="2"/>
  <c r="V654" i="2" s="1"/>
  <c r="X654" i="2" s="1"/>
  <c r="P654" i="2"/>
  <c r="U654" i="2" s="1"/>
  <c r="O654" i="2"/>
  <c r="N654" i="2"/>
  <c r="M654" i="2"/>
  <c r="L654" i="2"/>
  <c r="G654" i="2"/>
  <c r="J654" i="2" s="1"/>
  <c r="Z653" i="2"/>
  <c r="S653" i="2"/>
  <c r="P653" i="2"/>
  <c r="U653" i="2" s="1"/>
  <c r="O653" i="2"/>
  <c r="Q653" i="2" s="1"/>
  <c r="V653" i="2" s="1"/>
  <c r="N653" i="2"/>
  <c r="M653" i="2"/>
  <c r="L653" i="2"/>
  <c r="G653" i="2"/>
  <c r="J653" i="2" s="1"/>
  <c r="AA652" i="2"/>
  <c r="Z652" i="2"/>
  <c r="W652" i="2"/>
  <c r="S652" i="2"/>
  <c r="U652" i="2" s="1"/>
  <c r="P652" i="2"/>
  <c r="O652" i="2"/>
  <c r="Q652" i="2" s="1"/>
  <c r="V652" i="2" s="1"/>
  <c r="N652" i="2"/>
  <c r="M652" i="2"/>
  <c r="L652" i="2"/>
  <c r="G652" i="2"/>
  <c r="J652" i="2" s="1"/>
  <c r="W651" i="2"/>
  <c r="V651" i="2"/>
  <c r="U651" i="2"/>
  <c r="S651" i="2"/>
  <c r="Q651" i="2"/>
  <c r="P651" i="2"/>
  <c r="O651" i="2"/>
  <c r="N651" i="2"/>
  <c r="M651" i="2"/>
  <c r="L651" i="2"/>
  <c r="G651" i="2"/>
  <c r="J651" i="2" s="1"/>
  <c r="AA651" i="2" s="1"/>
  <c r="AA650" i="2"/>
  <c r="W650" i="2"/>
  <c r="V650" i="2"/>
  <c r="S650" i="2"/>
  <c r="U650" i="2" s="1"/>
  <c r="P650" i="2"/>
  <c r="Q650" i="2" s="1"/>
  <c r="O650" i="2"/>
  <c r="N650" i="2"/>
  <c r="M650" i="2"/>
  <c r="L650" i="2"/>
  <c r="G650" i="2"/>
  <c r="J650" i="2" s="1"/>
  <c r="W649" i="2"/>
  <c r="V649" i="2"/>
  <c r="U649" i="2"/>
  <c r="S649" i="2"/>
  <c r="Q649" i="2"/>
  <c r="P649" i="2"/>
  <c r="O649" i="2"/>
  <c r="N649" i="2"/>
  <c r="M649" i="2"/>
  <c r="L649" i="2"/>
  <c r="G649" i="2"/>
  <c r="J649" i="2" s="1"/>
  <c r="AA649" i="2" s="1"/>
  <c r="AA648" i="2"/>
  <c r="S648" i="2"/>
  <c r="P648" i="2"/>
  <c r="U648" i="2" s="1"/>
  <c r="O648" i="2"/>
  <c r="N648" i="2"/>
  <c r="W648" i="2" s="1"/>
  <c r="M648" i="2"/>
  <c r="L648" i="2"/>
  <c r="J648" i="2"/>
  <c r="G648" i="2"/>
  <c r="W647" i="2"/>
  <c r="V647" i="2"/>
  <c r="U647" i="2"/>
  <c r="S647" i="2"/>
  <c r="Q647" i="2"/>
  <c r="P647" i="2"/>
  <c r="O647" i="2"/>
  <c r="M647" i="2"/>
  <c r="N647" i="2" s="1"/>
  <c r="L647" i="2"/>
  <c r="G647" i="2"/>
  <c r="J647" i="2" s="1"/>
  <c r="AA647" i="2" s="1"/>
  <c r="S646" i="2"/>
  <c r="P646" i="2"/>
  <c r="O646" i="2"/>
  <c r="M646" i="2"/>
  <c r="N646" i="2" s="1"/>
  <c r="L646" i="2"/>
  <c r="G646" i="2"/>
  <c r="J646" i="2" s="1"/>
  <c r="S645" i="2"/>
  <c r="Q645" i="2"/>
  <c r="V645" i="2" s="1"/>
  <c r="P645" i="2"/>
  <c r="U645" i="2" s="1"/>
  <c r="O645" i="2"/>
  <c r="M645" i="2"/>
  <c r="L645" i="2"/>
  <c r="N645" i="2" s="1"/>
  <c r="G645" i="2"/>
  <c r="J645" i="2" s="1"/>
  <c r="S644" i="2"/>
  <c r="U644" i="2" s="1"/>
  <c r="Q644" i="2"/>
  <c r="V644" i="2" s="1"/>
  <c r="P644" i="2"/>
  <c r="O644" i="2"/>
  <c r="M644" i="2"/>
  <c r="L644" i="2"/>
  <c r="N644" i="2" s="1"/>
  <c r="G644" i="2"/>
  <c r="J644" i="2" s="1"/>
  <c r="V643" i="2"/>
  <c r="Z643" i="2" s="1"/>
  <c r="S643" i="2"/>
  <c r="U643" i="2" s="1"/>
  <c r="Q643" i="2"/>
  <c r="P643" i="2"/>
  <c r="O643" i="2"/>
  <c r="M643" i="2"/>
  <c r="L643" i="2"/>
  <c r="G643" i="2"/>
  <c r="J643" i="2" s="1"/>
  <c r="V642" i="2"/>
  <c r="S642" i="2"/>
  <c r="U642" i="2" s="1"/>
  <c r="Q642" i="2"/>
  <c r="P642" i="2"/>
  <c r="O642" i="2"/>
  <c r="N642" i="2"/>
  <c r="M642" i="2"/>
  <c r="L642" i="2"/>
  <c r="G642" i="2"/>
  <c r="J642" i="2" s="1"/>
  <c r="U641" i="2"/>
  <c r="S641" i="2"/>
  <c r="P641" i="2"/>
  <c r="O641" i="2"/>
  <c r="N641" i="2"/>
  <c r="M641" i="2"/>
  <c r="L641" i="2"/>
  <c r="G641" i="2"/>
  <c r="J641" i="2" s="1"/>
  <c r="AA641" i="2" s="1"/>
  <c r="V640" i="2"/>
  <c r="U640" i="2"/>
  <c r="S640" i="2"/>
  <c r="P640" i="2"/>
  <c r="O640" i="2"/>
  <c r="Q640" i="2" s="1"/>
  <c r="N640" i="2"/>
  <c r="M640" i="2"/>
  <c r="L640" i="2"/>
  <c r="G640" i="2"/>
  <c r="J640" i="2" s="1"/>
  <c r="S639" i="2"/>
  <c r="P639" i="2"/>
  <c r="O639" i="2"/>
  <c r="Q639" i="2" s="1"/>
  <c r="V639" i="2" s="1"/>
  <c r="M639" i="2"/>
  <c r="N639" i="2" s="1"/>
  <c r="W639" i="2" s="1"/>
  <c r="L639" i="2"/>
  <c r="G639" i="2"/>
  <c r="J639" i="2" s="1"/>
  <c r="AA639" i="2" s="1"/>
  <c r="U638" i="2"/>
  <c r="S638" i="2"/>
  <c r="P638" i="2"/>
  <c r="O638" i="2"/>
  <c r="Q638" i="2" s="1"/>
  <c r="V638" i="2" s="1"/>
  <c r="N638" i="2"/>
  <c r="M638" i="2"/>
  <c r="L638" i="2"/>
  <c r="J638" i="2"/>
  <c r="AA638" i="2" s="1"/>
  <c r="G638" i="2"/>
  <c r="AA637" i="2"/>
  <c r="V637" i="2"/>
  <c r="U637" i="2"/>
  <c r="S637" i="2"/>
  <c r="P637" i="2"/>
  <c r="O637" i="2"/>
  <c r="Q637" i="2" s="1"/>
  <c r="M637" i="2"/>
  <c r="N637" i="2" s="1"/>
  <c r="L637" i="2"/>
  <c r="J637" i="2"/>
  <c r="G637" i="2"/>
  <c r="U636" i="2"/>
  <c r="S636" i="2"/>
  <c r="P636" i="2"/>
  <c r="O636" i="2"/>
  <c r="Q636" i="2" s="1"/>
  <c r="V636" i="2" s="1"/>
  <c r="M636" i="2"/>
  <c r="L636" i="2"/>
  <c r="N636" i="2" s="1"/>
  <c r="G636" i="2"/>
  <c r="J636" i="2" s="1"/>
  <c r="U635" i="2"/>
  <c r="S635" i="2"/>
  <c r="P635" i="2"/>
  <c r="O635" i="2"/>
  <c r="Q635" i="2" s="1"/>
  <c r="V635" i="2" s="1"/>
  <c r="N635" i="2"/>
  <c r="M635" i="2"/>
  <c r="L635" i="2"/>
  <c r="J635" i="2"/>
  <c r="G635" i="2"/>
  <c r="U634" i="2"/>
  <c r="S634" i="2"/>
  <c r="P634" i="2"/>
  <c r="O634" i="2"/>
  <c r="Q634" i="2" s="1"/>
  <c r="V634" i="2" s="1"/>
  <c r="M634" i="2"/>
  <c r="L634" i="2"/>
  <c r="N634" i="2" s="1"/>
  <c r="J634" i="2"/>
  <c r="G634" i="2"/>
  <c r="U633" i="2"/>
  <c r="S633" i="2"/>
  <c r="P633" i="2"/>
  <c r="O633" i="2"/>
  <c r="Q633" i="2" s="1"/>
  <c r="V633" i="2" s="1"/>
  <c r="M633" i="2"/>
  <c r="L633" i="2"/>
  <c r="G633" i="2"/>
  <c r="J633" i="2" s="1"/>
  <c r="AA632" i="2"/>
  <c r="V632" i="2"/>
  <c r="Z632" i="2" s="1"/>
  <c r="U632" i="2"/>
  <c r="S632" i="2"/>
  <c r="P632" i="2"/>
  <c r="O632" i="2"/>
  <c r="Q632" i="2" s="1"/>
  <c r="N632" i="2"/>
  <c r="M632" i="2"/>
  <c r="L632" i="2"/>
  <c r="J632" i="2"/>
  <c r="G632" i="2"/>
  <c r="AA631" i="2"/>
  <c r="V631" i="2"/>
  <c r="Z631" i="2" s="1"/>
  <c r="S631" i="2"/>
  <c r="P631" i="2"/>
  <c r="U631" i="2" s="1"/>
  <c r="O631" i="2"/>
  <c r="Q631" i="2" s="1"/>
  <c r="M631" i="2"/>
  <c r="L631" i="2"/>
  <c r="N631" i="2" s="1"/>
  <c r="G631" i="2"/>
  <c r="J631" i="2" s="1"/>
  <c r="W631" i="2" s="1"/>
  <c r="S630" i="2"/>
  <c r="P630" i="2"/>
  <c r="U630" i="2" s="1"/>
  <c r="O630" i="2"/>
  <c r="Q630" i="2" s="1"/>
  <c r="V630" i="2" s="1"/>
  <c r="M630" i="2"/>
  <c r="N630" i="2" s="1"/>
  <c r="L630" i="2"/>
  <c r="J630" i="2"/>
  <c r="G630" i="2"/>
  <c r="AA629" i="2"/>
  <c r="S629" i="2"/>
  <c r="P629" i="2"/>
  <c r="U629" i="2" s="1"/>
  <c r="O629" i="2"/>
  <c r="Q629" i="2" s="1"/>
  <c r="V629" i="2" s="1"/>
  <c r="Z629" i="2" s="1"/>
  <c r="N629" i="2"/>
  <c r="M629" i="2"/>
  <c r="L629" i="2"/>
  <c r="G629" i="2"/>
  <c r="J629" i="2" s="1"/>
  <c r="W629" i="2" s="1"/>
  <c r="X629" i="2" s="1"/>
  <c r="AA628" i="2"/>
  <c r="S628" i="2"/>
  <c r="P628" i="2"/>
  <c r="O628" i="2"/>
  <c r="M628" i="2"/>
  <c r="L628" i="2"/>
  <c r="N628" i="2" s="1"/>
  <c r="J628" i="2"/>
  <c r="W628" i="2" s="1"/>
  <c r="G628" i="2"/>
  <c r="S627" i="2"/>
  <c r="Q627" i="2"/>
  <c r="V627" i="2" s="1"/>
  <c r="P627" i="2"/>
  <c r="U627" i="2" s="1"/>
  <c r="O627" i="2"/>
  <c r="N627" i="2"/>
  <c r="M627" i="2"/>
  <c r="L627" i="2"/>
  <c r="G627" i="2"/>
  <c r="J627" i="2" s="1"/>
  <c r="S626" i="2"/>
  <c r="U626" i="2" s="1"/>
  <c r="Q626" i="2"/>
  <c r="V626" i="2" s="1"/>
  <c r="P626" i="2"/>
  <c r="O626" i="2"/>
  <c r="M626" i="2"/>
  <c r="N626" i="2" s="1"/>
  <c r="L626" i="2"/>
  <c r="G626" i="2"/>
  <c r="J626" i="2" s="1"/>
  <c r="S625" i="2"/>
  <c r="P625" i="2"/>
  <c r="U625" i="2" s="1"/>
  <c r="O625" i="2"/>
  <c r="M625" i="2"/>
  <c r="N625" i="2" s="1"/>
  <c r="L625" i="2"/>
  <c r="J625" i="2"/>
  <c r="AA625" i="2" s="1"/>
  <c r="G625" i="2"/>
  <c r="S624" i="2"/>
  <c r="P624" i="2"/>
  <c r="U624" i="2" s="1"/>
  <c r="O624" i="2"/>
  <c r="Q624" i="2" s="1"/>
  <c r="V624" i="2" s="1"/>
  <c r="N624" i="2"/>
  <c r="M624" i="2"/>
  <c r="L624" i="2"/>
  <c r="G624" i="2"/>
  <c r="J624" i="2" s="1"/>
  <c r="S623" i="2"/>
  <c r="P623" i="2"/>
  <c r="U623" i="2" s="1"/>
  <c r="O623" i="2"/>
  <c r="Q623" i="2" s="1"/>
  <c r="V623" i="2" s="1"/>
  <c r="N623" i="2"/>
  <c r="M623" i="2"/>
  <c r="L623" i="2"/>
  <c r="J623" i="2"/>
  <c r="G623" i="2"/>
  <c r="S622" i="2"/>
  <c r="U622" i="2" s="1"/>
  <c r="P622" i="2"/>
  <c r="Q622" i="2" s="1"/>
  <c r="V622" i="2" s="1"/>
  <c r="O622" i="2"/>
  <c r="N622" i="2"/>
  <c r="M622" i="2"/>
  <c r="L622" i="2"/>
  <c r="J622" i="2"/>
  <c r="G622" i="2"/>
  <c r="S621" i="2"/>
  <c r="P621" i="2"/>
  <c r="U621" i="2" s="1"/>
  <c r="O621" i="2"/>
  <c r="M621" i="2"/>
  <c r="L621" i="2"/>
  <c r="N621" i="2" s="1"/>
  <c r="G621" i="2"/>
  <c r="J621" i="2" s="1"/>
  <c r="AA621" i="2" s="1"/>
  <c r="V620" i="2"/>
  <c r="S620" i="2"/>
  <c r="U620" i="2" s="1"/>
  <c r="P620" i="2"/>
  <c r="O620" i="2"/>
  <c r="Q620" i="2" s="1"/>
  <c r="N620" i="2"/>
  <c r="M620" i="2"/>
  <c r="L620" i="2"/>
  <c r="G620" i="2"/>
  <c r="J620" i="2" s="1"/>
  <c r="AA619" i="2"/>
  <c r="V619" i="2"/>
  <c r="Z619" i="2" s="1"/>
  <c r="U619" i="2"/>
  <c r="S619" i="2"/>
  <c r="P619" i="2"/>
  <c r="Q619" i="2" s="1"/>
  <c r="O619" i="2"/>
  <c r="M619" i="2"/>
  <c r="L619" i="2"/>
  <c r="N619" i="2" s="1"/>
  <c r="G619" i="2"/>
  <c r="J619" i="2" s="1"/>
  <c r="S618" i="2"/>
  <c r="P618" i="2"/>
  <c r="O618" i="2"/>
  <c r="N618" i="2"/>
  <c r="M618" i="2"/>
  <c r="L618" i="2"/>
  <c r="G618" i="2"/>
  <c r="J618" i="2" s="1"/>
  <c r="W618" i="2" s="1"/>
  <c r="S617" i="2"/>
  <c r="P617" i="2"/>
  <c r="U617" i="2" s="1"/>
  <c r="O617" i="2"/>
  <c r="N617" i="2"/>
  <c r="M617" i="2"/>
  <c r="L617" i="2"/>
  <c r="J617" i="2"/>
  <c r="G617" i="2"/>
  <c r="AA616" i="2"/>
  <c r="S616" i="2"/>
  <c r="P616" i="2"/>
  <c r="U616" i="2" s="1"/>
  <c r="O616" i="2"/>
  <c r="N616" i="2"/>
  <c r="M616" i="2"/>
  <c r="L616" i="2"/>
  <c r="J616" i="2"/>
  <c r="G616" i="2"/>
  <c r="S615" i="2"/>
  <c r="Q615" i="2"/>
  <c r="V615" i="2" s="1"/>
  <c r="P615" i="2"/>
  <c r="U615" i="2" s="1"/>
  <c r="O615" i="2"/>
  <c r="M615" i="2"/>
  <c r="L615" i="2"/>
  <c r="G615" i="2"/>
  <c r="J615" i="2" s="1"/>
  <c r="U614" i="2"/>
  <c r="S614" i="2"/>
  <c r="P614" i="2"/>
  <c r="O614" i="2"/>
  <c r="Q614" i="2" s="1"/>
  <c r="V614" i="2" s="1"/>
  <c r="M614" i="2"/>
  <c r="N614" i="2" s="1"/>
  <c r="L614" i="2"/>
  <c r="G614" i="2"/>
  <c r="J614" i="2" s="1"/>
  <c r="S613" i="2"/>
  <c r="U613" i="2" s="1"/>
  <c r="P613" i="2"/>
  <c r="Q613" i="2" s="1"/>
  <c r="V613" i="2" s="1"/>
  <c r="O613" i="2"/>
  <c r="M613" i="2"/>
  <c r="L613" i="2"/>
  <c r="N613" i="2" s="1"/>
  <c r="G613" i="2"/>
  <c r="J613" i="2" s="1"/>
  <c r="AA612" i="2"/>
  <c r="S612" i="2"/>
  <c r="U612" i="2" s="1"/>
  <c r="Q612" i="2"/>
  <c r="V612" i="2" s="1"/>
  <c r="P612" i="2"/>
  <c r="O612" i="2"/>
  <c r="M612" i="2"/>
  <c r="L612" i="2"/>
  <c r="N612" i="2" s="1"/>
  <c r="G612" i="2"/>
  <c r="J612" i="2" s="1"/>
  <c r="W611" i="2"/>
  <c r="S611" i="2"/>
  <c r="P611" i="2"/>
  <c r="U611" i="2" s="1"/>
  <c r="O611" i="2"/>
  <c r="M611" i="2"/>
  <c r="N611" i="2" s="1"/>
  <c r="L611" i="2"/>
  <c r="J611" i="2"/>
  <c r="AA611" i="2" s="1"/>
  <c r="G611" i="2"/>
  <c r="U610" i="2"/>
  <c r="S610" i="2"/>
  <c r="P610" i="2"/>
  <c r="O610" i="2"/>
  <c r="Q610" i="2" s="1"/>
  <c r="V610" i="2" s="1"/>
  <c r="M610" i="2"/>
  <c r="N610" i="2" s="1"/>
  <c r="L610" i="2"/>
  <c r="G610" i="2"/>
  <c r="J610" i="2" s="1"/>
  <c r="S609" i="2"/>
  <c r="U609" i="2" s="1"/>
  <c r="P609" i="2"/>
  <c r="O609" i="2"/>
  <c r="M609" i="2"/>
  <c r="N609" i="2" s="1"/>
  <c r="W609" i="2" s="1"/>
  <c r="L609" i="2"/>
  <c r="G609" i="2"/>
  <c r="J609" i="2" s="1"/>
  <c r="AA609" i="2" s="1"/>
  <c r="U608" i="2"/>
  <c r="S608" i="2"/>
  <c r="P608" i="2"/>
  <c r="Q608" i="2" s="1"/>
  <c r="V608" i="2" s="1"/>
  <c r="O608" i="2"/>
  <c r="M608" i="2"/>
  <c r="N608" i="2" s="1"/>
  <c r="W608" i="2" s="1"/>
  <c r="L608" i="2"/>
  <c r="J608" i="2"/>
  <c r="AA608" i="2" s="1"/>
  <c r="G608" i="2"/>
  <c r="AA607" i="2"/>
  <c r="S607" i="2"/>
  <c r="P607" i="2"/>
  <c r="O607" i="2"/>
  <c r="M607" i="2"/>
  <c r="N607" i="2" s="1"/>
  <c r="W607" i="2" s="1"/>
  <c r="L607" i="2"/>
  <c r="J607" i="2"/>
  <c r="G607" i="2"/>
  <c r="AA606" i="2"/>
  <c r="W606" i="2"/>
  <c r="X606" i="2" s="1"/>
  <c r="U606" i="2"/>
  <c r="S606" i="2"/>
  <c r="P606" i="2"/>
  <c r="O606" i="2"/>
  <c r="Q606" i="2" s="1"/>
  <c r="V606" i="2" s="1"/>
  <c r="Z606" i="2" s="1"/>
  <c r="M606" i="2"/>
  <c r="N606" i="2" s="1"/>
  <c r="L606" i="2"/>
  <c r="J606" i="2"/>
  <c r="G606" i="2"/>
  <c r="AA605" i="2"/>
  <c r="V605" i="2"/>
  <c r="Z605" i="2" s="1"/>
  <c r="U605" i="2"/>
  <c r="S605" i="2"/>
  <c r="P605" i="2"/>
  <c r="O605" i="2"/>
  <c r="Q605" i="2" s="1"/>
  <c r="M605" i="2"/>
  <c r="N605" i="2" s="1"/>
  <c r="L605" i="2"/>
  <c r="J605" i="2"/>
  <c r="G605" i="2"/>
  <c r="AA604" i="2"/>
  <c r="V604" i="2"/>
  <c r="S604" i="2"/>
  <c r="U604" i="2" s="1"/>
  <c r="P604" i="2"/>
  <c r="O604" i="2"/>
  <c r="Q604" i="2" s="1"/>
  <c r="M604" i="2"/>
  <c r="N604" i="2" s="1"/>
  <c r="W604" i="2" s="1"/>
  <c r="L604" i="2"/>
  <c r="J604" i="2"/>
  <c r="G604" i="2"/>
  <c r="AA603" i="2"/>
  <c r="S603" i="2"/>
  <c r="U603" i="2" s="1"/>
  <c r="P603" i="2"/>
  <c r="O603" i="2"/>
  <c r="Q603" i="2" s="1"/>
  <c r="V603" i="2" s="1"/>
  <c r="M603" i="2"/>
  <c r="N603" i="2" s="1"/>
  <c r="W603" i="2" s="1"/>
  <c r="L603" i="2"/>
  <c r="J603" i="2"/>
  <c r="G603" i="2"/>
  <c r="AA602" i="2"/>
  <c r="W602" i="2"/>
  <c r="V602" i="2"/>
  <c r="Z602" i="2" s="1"/>
  <c r="U602" i="2"/>
  <c r="S602" i="2"/>
  <c r="P602" i="2"/>
  <c r="O602" i="2"/>
  <c r="Q602" i="2" s="1"/>
  <c r="M602" i="2"/>
  <c r="N602" i="2" s="1"/>
  <c r="L602" i="2"/>
  <c r="J602" i="2"/>
  <c r="G602" i="2"/>
  <c r="W601" i="2"/>
  <c r="V601" i="2"/>
  <c r="Z601" i="2" s="1"/>
  <c r="U601" i="2"/>
  <c r="S601" i="2"/>
  <c r="P601" i="2"/>
  <c r="O601" i="2"/>
  <c r="Q601" i="2" s="1"/>
  <c r="M601" i="2"/>
  <c r="N601" i="2" s="1"/>
  <c r="L601" i="2"/>
  <c r="J601" i="2"/>
  <c r="AA601" i="2" s="1"/>
  <c r="G601" i="2"/>
  <c r="V600" i="2"/>
  <c r="U600" i="2"/>
  <c r="S600" i="2"/>
  <c r="P600" i="2"/>
  <c r="O600" i="2"/>
  <c r="Q600" i="2" s="1"/>
  <c r="M600" i="2"/>
  <c r="N600" i="2" s="1"/>
  <c r="W600" i="2" s="1"/>
  <c r="L600" i="2"/>
  <c r="J600" i="2"/>
  <c r="AA600" i="2" s="1"/>
  <c r="G600" i="2"/>
  <c r="AA599" i="2"/>
  <c r="W599" i="2"/>
  <c r="V599" i="2"/>
  <c r="Z599" i="2" s="1"/>
  <c r="U599" i="2"/>
  <c r="S599" i="2"/>
  <c r="Q599" i="2"/>
  <c r="P599" i="2"/>
  <c r="O599" i="2"/>
  <c r="N599" i="2"/>
  <c r="M599" i="2"/>
  <c r="L599" i="2"/>
  <c r="G599" i="2"/>
  <c r="J599" i="2" s="1"/>
  <c r="AA598" i="2"/>
  <c r="X598" i="2"/>
  <c r="W598" i="2"/>
  <c r="V598" i="2"/>
  <c r="Z598" i="2" s="1"/>
  <c r="U598" i="2"/>
  <c r="S598" i="2"/>
  <c r="Q598" i="2"/>
  <c r="P598" i="2"/>
  <c r="O598" i="2"/>
  <c r="N598" i="2"/>
  <c r="M598" i="2"/>
  <c r="L598" i="2"/>
  <c r="G598" i="2"/>
  <c r="J598" i="2" s="1"/>
  <c r="AA597" i="2"/>
  <c r="W597" i="2"/>
  <c r="V597" i="2"/>
  <c r="Z597" i="2" s="1"/>
  <c r="U597" i="2"/>
  <c r="S597" i="2"/>
  <c r="Q597" i="2"/>
  <c r="P597" i="2"/>
  <c r="O597" i="2"/>
  <c r="M597" i="2"/>
  <c r="L597" i="2"/>
  <c r="N597" i="2" s="1"/>
  <c r="J597" i="2"/>
  <c r="G597" i="2"/>
  <c r="AA596" i="2"/>
  <c r="V596" i="2"/>
  <c r="Z596" i="2" s="1"/>
  <c r="U596" i="2"/>
  <c r="S596" i="2"/>
  <c r="Q596" i="2"/>
  <c r="P596" i="2"/>
  <c r="O596" i="2"/>
  <c r="M596" i="2"/>
  <c r="L596" i="2"/>
  <c r="G596" i="2"/>
  <c r="J596" i="2" s="1"/>
  <c r="AA595" i="2"/>
  <c r="X595" i="2"/>
  <c r="W595" i="2"/>
  <c r="V595" i="2"/>
  <c r="Z595" i="2" s="1"/>
  <c r="U595" i="2"/>
  <c r="S595" i="2"/>
  <c r="Q595" i="2"/>
  <c r="P595" i="2"/>
  <c r="O595" i="2"/>
  <c r="N595" i="2"/>
  <c r="M595" i="2"/>
  <c r="L595" i="2"/>
  <c r="J595" i="2"/>
  <c r="G595" i="2"/>
  <c r="Z594" i="2"/>
  <c r="V594" i="2"/>
  <c r="S594" i="2"/>
  <c r="U594" i="2" s="1"/>
  <c r="P594" i="2"/>
  <c r="O594" i="2"/>
  <c r="Q594" i="2" s="1"/>
  <c r="M594" i="2"/>
  <c r="L594" i="2"/>
  <c r="J594" i="2"/>
  <c r="AA594" i="2" s="1"/>
  <c r="G594" i="2"/>
  <c r="V593" i="2"/>
  <c r="S593" i="2"/>
  <c r="U593" i="2" s="1"/>
  <c r="P593" i="2"/>
  <c r="O593" i="2"/>
  <c r="Q593" i="2" s="1"/>
  <c r="M593" i="2"/>
  <c r="L593" i="2"/>
  <c r="G593" i="2"/>
  <c r="J593" i="2" s="1"/>
  <c r="AA593" i="2" s="1"/>
  <c r="U592" i="2"/>
  <c r="S592" i="2"/>
  <c r="P592" i="2"/>
  <c r="O592" i="2"/>
  <c r="M592" i="2"/>
  <c r="L592" i="2"/>
  <c r="N592" i="2" s="1"/>
  <c r="G592" i="2"/>
  <c r="J592" i="2" s="1"/>
  <c r="AA591" i="2"/>
  <c r="W591" i="2"/>
  <c r="V591" i="2"/>
  <c r="Z591" i="2" s="1"/>
  <c r="S591" i="2"/>
  <c r="P591" i="2"/>
  <c r="O591" i="2"/>
  <c r="Q591" i="2" s="1"/>
  <c r="M591" i="2"/>
  <c r="L591" i="2"/>
  <c r="N591" i="2" s="1"/>
  <c r="J591" i="2"/>
  <c r="G591" i="2"/>
  <c r="W590" i="2"/>
  <c r="U590" i="2"/>
  <c r="S590" i="2"/>
  <c r="P590" i="2"/>
  <c r="O590" i="2"/>
  <c r="N590" i="2"/>
  <c r="M590" i="2"/>
  <c r="L590" i="2"/>
  <c r="G590" i="2"/>
  <c r="J590" i="2" s="1"/>
  <c r="AA590" i="2" s="1"/>
  <c r="S589" i="2"/>
  <c r="P589" i="2"/>
  <c r="O589" i="2"/>
  <c r="Q589" i="2" s="1"/>
  <c r="V589" i="2" s="1"/>
  <c r="M589" i="2"/>
  <c r="L589" i="2"/>
  <c r="N589" i="2" s="1"/>
  <c r="G589" i="2"/>
  <c r="J589" i="2" s="1"/>
  <c r="W588" i="2"/>
  <c r="S588" i="2"/>
  <c r="P588" i="2"/>
  <c r="U588" i="2" s="1"/>
  <c r="O588" i="2"/>
  <c r="Q588" i="2" s="1"/>
  <c r="V588" i="2" s="1"/>
  <c r="N588" i="2"/>
  <c r="M588" i="2"/>
  <c r="L588" i="2"/>
  <c r="J588" i="2"/>
  <c r="AA588" i="2" s="1"/>
  <c r="G588" i="2"/>
  <c r="AA587" i="2"/>
  <c r="S587" i="2"/>
  <c r="P587" i="2"/>
  <c r="O587" i="2"/>
  <c r="Q587" i="2" s="1"/>
  <c r="V587" i="2" s="1"/>
  <c r="N587" i="2"/>
  <c r="M587" i="2"/>
  <c r="L587" i="2"/>
  <c r="J587" i="2"/>
  <c r="G587" i="2"/>
  <c r="U586" i="2"/>
  <c r="S586" i="2"/>
  <c r="P586" i="2"/>
  <c r="O586" i="2"/>
  <c r="M586" i="2"/>
  <c r="L586" i="2"/>
  <c r="N586" i="2" s="1"/>
  <c r="G586" i="2"/>
  <c r="J586" i="2" s="1"/>
  <c r="S585" i="2"/>
  <c r="P585" i="2"/>
  <c r="U585" i="2" s="1"/>
  <c r="O585" i="2"/>
  <c r="Q585" i="2" s="1"/>
  <c r="V585" i="2" s="1"/>
  <c r="N585" i="2"/>
  <c r="M585" i="2"/>
  <c r="L585" i="2"/>
  <c r="J585" i="2"/>
  <c r="G585" i="2"/>
  <c r="S584" i="2"/>
  <c r="P584" i="2"/>
  <c r="U584" i="2" s="1"/>
  <c r="O584" i="2"/>
  <c r="M584" i="2"/>
  <c r="L584" i="2"/>
  <c r="N584" i="2" s="1"/>
  <c r="J584" i="2"/>
  <c r="G584" i="2"/>
  <c r="U583" i="2"/>
  <c r="S583" i="2"/>
  <c r="Q583" i="2"/>
  <c r="V583" i="2" s="1"/>
  <c r="P583" i="2"/>
  <c r="O583" i="2"/>
  <c r="M583" i="2"/>
  <c r="L583" i="2"/>
  <c r="N583" i="2" s="1"/>
  <c r="G583" i="2"/>
  <c r="J583" i="2" s="1"/>
  <c r="U582" i="2"/>
  <c r="S582" i="2"/>
  <c r="P582" i="2"/>
  <c r="O582" i="2"/>
  <c r="Q582" i="2" s="1"/>
  <c r="V582" i="2" s="1"/>
  <c r="N582" i="2"/>
  <c r="M582" i="2"/>
  <c r="L582" i="2"/>
  <c r="J582" i="2"/>
  <c r="G582" i="2"/>
  <c r="S581" i="2"/>
  <c r="P581" i="2"/>
  <c r="U581" i="2" s="1"/>
  <c r="O581" i="2"/>
  <c r="M581" i="2"/>
  <c r="L581" i="2"/>
  <c r="N581" i="2" s="1"/>
  <c r="J581" i="2"/>
  <c r="G581" i="2"/>
  <c r="S580" i="2"/>
  <c r="P580" i="2"/>
  <c r="U580" i="2" s="1"/>
  <c r="O580" i="2"/>
  <c r="M580" i="2"/>
  <c r="L580" i="2"/>
  <c r="J580" i="2"/>
  <c r="G580" i="2"/>
  <c r="Z579" i="2"/>
  <c r="U579" i="2"/>
  <c r="S579" i="2"/>
  <c r="Q579" i="2"/>
  <c r="V579" i="2" s="1"/>
  <c r="P579" i="2"/>
  <c r="O579" i="2"/>
  <c r="M579" i="2"/>
  <c r="L579" i="2"/>
  <c r="G579" i="2"/>
  <c r="J579" i="2" s="1"/>
  <c r="V578" i="2"/>
  <c r="Z578" i="2" s="1"/>
  <c r="S578" i="2"/>
  <c r="U578" i="2" s="1"/>
  <c r="Q578" i="2"/>
  <c r="P578" i="2"/>
  <c r="O578" i="2"/>
  <c r="N578" i="2"/>
  <c r="M578" i="2"/>
  <c r="L578" i="2"/>
  <c r="G578" i="2"/>
  <c r="J578" i="2" s="1"/>
  <c r="AA577" i="2"/>
  <c r="S577" i="2"/>
  <c r="P577" i="2"/>
  <c r="U577" i="2" s="1"/>
  <c r="O577" i="2"/>
  <c r="M577" i="2"/>
  <c r="L577" i="2"/>
  <c r="N577" i="2" s="1"/>
  <c r="G577" i="2"/>
  <c r="J577" i="2" s="1"/>
  <c r="AA576" i="2"/>
  <c r="Z576" i="2"/>
  <c r="S576" i="2"/>
  <c r="P576" i="2"/>
  <c r="U576" i="2" s="1"/>
  <c r="O576" i="2"/>
  <c r="Q576" i="2" s="1"/>
  <c r="V576" i="2" s="1"/>
  <c r="M576" i="2"/>
  <c r="N576" i="2" s="1"/>
  <c r="L576" i="2"/>
  <c r="J576" i="2"/>
  <c r="W576" i="2" s="1"/>
  <c r="G576" i="2"/>
  <c r="AA575" i="2"/>
  <c r="V575" i="2"/>
  <c r="Z575" i="2" s="1"/>
  <c r="S575" i="2"/>
  <c r="Q575" i="2"/>
  <c r="P575" i="2"/>
  <c r="U575" i="2" s="1"/>
  <c r="O575" i="2"/>
  <c r="M575" i="2"/>
  <c r="N575" i="2" s="1"/>
  <c r="L575" i="2"/>
  <c r="J575" i="2"/>
  <c r="G575" i="2"/>
  <c r="Z574" i="2"/>
  <c r="S574" i="2"/>
  <c r="U574" i="2" s="1"/>
  <c r="Q574" i="2"/>
  <c r="V574" i="2" s="1"/>
  <c r="P574" i="2"/>
  <c r="O574" i="2"/>
  <c r="M574" i="2"/>
  <c r="L574" i="2"/>
  <c r="N574" i="2" s="1"/>
  <c r="J574" i="2"/>
  <c r="AA574" i="2" s="1"/>
  <c r="G574" i="2"/>
  <c r="Z573" i="2"/>
  <c r="S573" i="2"/>
  <c r="P573" i="2"/>
  <c r="U573" i="2" s="1"/>
  <c r="O573" i="2"/>
  <c r="Q573" i="2" s="1"/>
  <c r="V573" i="2" s="1"/>
  <c r="M573" i="2"/>
  <c r="L573" i="2"/>
  <c r="N573" i="2" s="1"/>
  <c r="G573" i="2"/>
  <c r="J573" i="2" s="1"/>
  <c r="S572" i="2"/>
  <c r="P572" i="2"/>
  <c r="U572" i="2" s="1"/>
  <c r="O572" i="2"/>
  <c r="N572" i="2"/>
  <c r="M572" i="2"/>
  <c r="L572" i="2"/>
  <c r="J572" i="2"/>
  <c r="AA572" i="2" s="1"/>
  <c r="G572" i="2"/>
  <c r="U571" i="2"/>
  <c r="S571" i="2"/>
  <c r="Q571" i="2"/>
  <c r="V571" i="2" s="1"/>
  <c r="P571" i="2"/>
  <c r="O571" i="2"/>
  <c r="M571" i="2"/>
  <c r="L571" i="2"/>
  <c r="N571" i="2" s="1"/>
  <c r="J571" i="2"/>
  <c r="G571" i="2"/>
  <c r="U570" i="2"/>
  <c r="S570" i="2"/>
  <c r="P570" i="2"/>
  <c r="O570" i="2"/>
  <c r="Q570" i="2" s="1"/>
  <c r="V570" i="2" s="1"/>
  <c r="M570" i="2"/>
  <c r="L570" i="2"/>
  <c r="G570" i="2"/>
  <c r="J570" i="2" s="1"/>
  <c r="S569" i="2"/>
  <c r="U569" i="2" s="1"/>
  <c r="Q569" i="2"/>
  <c r="V569" i="2" s="1"/>
  <c r="P569" i="2"/>
  <c r="O569" i="2"/>
  <c r="M569" i="2"/>
  <c r="N569" i="2" s="1"/>
  <c r="L569" i="2"/>
  <c r="G569" i="2"/>
  <c r="J569" i="2" s="1"/>
  <c r="AA568" i="2"/>
  <c r="Z568" i="2"/>
  <c r="S568" i="2"/>
  <c r="P568" i="2"/>
  <c r="U568" i="2" s="1"/>
  <c r="O568" i="2"/>
  <c r="Q568" i="2" s="1"/>
  <c r="V568" i="2" s="1"/>
  <c r="X568" i="2" s="1"/>
  <c r="N568" i="2"/>
  <c r="M568" i="2"/>
  <c r="L568" i="2"/>
  <c r="J568" i="2"/>
  <c r="W568" i="2" s="1"/>
  <c r="G568" i="2"/>
  <c r="AA567" i="2"/>
  <c r="V567" i="2"/>
  <c r="S567" i="2"/>
  <c r="U567" i="2" s="1"/>
  <c r="P567" i="2"/>
  <c r="O567" i="2"/>
  <c r="Q567" i="2" s="1"/>
  <c r="N567" i="2"/>
  <c r="M567" i="2"/>
  <c r="L567" i="2"/>
  <c r="G567" i="2"/>
  <c r="J567" i="2" s="1"/>
  <c r="S566" i="2"/>
  <c r="U566" i="2" s="1"/>
  <c r="P566" i="2"/>
  <c r="O566" i="2"/>
  <c r="Q566" i="2" s="1"/>
  <c r="V566" i="2" s="1"/>
  <c r="M566" i="2"/>
  <c r="N566" i="2" s="1"/>
  <c r="L566" i="2"/>
  <c r="J566" i="2"/>
  <c r="AA566" i="2" s="1"/>
  <c r="G566" i="2"/>
  <c r="AA565" i="2"/>
  <c r="S565" i="2"/>
  <c r="U565" i="2" s="1"/>
  <c r="Q565" i="2"/>
  <c r="V565" i="2" s="1"/>
  <c r="P565" i="2"/>
  <c r="O565" i="2"/>
  <c r="M565" i="2"/>
  <c r="L565" i="2"/>
  <c r="N565" i="2" s="1"/>
  <c r="W565" i="2" s="1"/>
  <c r="J565" i="2"/>
  <c r="G565" i="2"/>
  <c r="V564" i="2"/>
  <c r="Z564" i="2" s="1"/>
  <c r="U564" i="2"/>
  <c r="S564" i="2"/>
  <c r="Q564" i="2"/>
  <c r="P564" i="2"/>
  <c r="O564" i="2"/>
  <c r="M564" i="2"/>
  <c r="L564" i="2"/>
  <c r="G564" i="2"/>
  <c r="J564" i="2" s="1"/>
  <c r="S563" i="2"/>
  <c r="P563" i="2"/>
  <c r="O563" i="2"/>
  <c r="N563" i="2"/>
  <c r="M563" i="2"/>
  <c r="L563" i="2"/>
  <c r="J563" i="2"/>
  <c r="AA563" i="2" s="1"/>
  <c r="G563" i="2"/>
  <c r="AA562" i="2"/>
  <c r="U562" i="2"/>
  <c r="S562" i="2"/>
  <c r="Q562" i="2"/>
  <c r="V562" i="2" s="1"/>
  <c r="P562" i="2"/>
  <c r="O562" i="2"/>
  <c r="M562" i="2"/>
  <c r="N562" i="2" s="1"/>
  <c r="L562" i="2"/>
  <c r="J562" i="2"/>
  <c r="W562" i="2" s="1"/>
  <c r="G562" i="2"/>
  <c r="S561" i="2"/>
  <c r="P561" i="2"/>
  <c r="U561" i="2" s="1"/>
  <c r="O561" i="2"/>
  <c r="N561" i="2"/>
  <c r="M561" i="2"/>
  <c r="L561" i="2"/>
  <c r="J561" i="2"/>
  <c r="AA561" i="2" s="1"/>
  <c r="G561" i="2"/>
  <c r="S560" i="2"/>
  <c r="P560" i="2"/>
  <c r="U560" i="2" s="1"/>
  <c r="O560" i="2"/>
  <c r="M560" i="2"/>
  <c r="L560" i="2"/>
  <c r="N560" i="2" s="1"/>
  <c r="G560" i="2"/>
  <c r="J560" i="2" s="1"/>
  <c r="AA560" i="2" s="1"/>
  <c r="S559" i="2"/>
  <c r="P559" i="2"/>
  <c r="U559" i="2" s="1"/>
  <c r="O559" i="2"/>
  <c r="N559" i="2"/>
  <c r="M559" i="2"/>
  <c r="L559" i="2"/>
  <c r="G559" i="2"/>
  <c r="J559" i="2" s="1"/>
  <c r="Z558" i="2"/>
  <c r="S558" i="2"/>
  <c r="U558" i="2" s="1"/>
  <c r="Q558" i="2"/>
  <c r="V558" i="2" s="1"/>
  <c r="P558" i="2"/>
  <c r="O558" i="2"/>
  <c r="M558" i="2"/>
  <c r="L558" i="2"/>
  <c r="N558" i="2" s="1"/>
  <c r="G558" i="2"/>
  <c r="J558" i="2" s="1"/>
  <c r="AA557" i="2"/>
  <c r="S557" i="2"/>
  <c r="P557" i="2"/>
  <c r="U557" i="2" s="1"/>
  <c r="O557" i="2"/>
  <c r="M557" i="2"/>
  <c r="L557" i="2"/>
  <c r="N557" i="2" s="1"/>
  <c r="G557" i="2"/>
  <c r="J557" i="2" s="1"/>
  <c r="AA556" i="2"/>
  <c r="W556" i="2"/>
  <c r="S556" i="2"/>
  <c r="U556" i="2" s="1"/>
  <c r="P556" i="2"/>
  <c r="O556" i="2"/>
  <c r="Q556" i="2" s="1"/>
  <c r="V556" i="2" s="1"/>
  <c r="N556" i="2"/>
  <c r="M556" i="2"/>
  <c r="L556" i="2"/>
  <c r="G556" i="2"/>
  <c r="J556" i="2" s="1"/>
  <c r="AA555" i="2"/>
  <c r="W555" i="2"/>
  <c r="V555" i="2"/>
  <c r="Z555" i="2" s="1"/>
  <c r="U555" i="2"/>
  <c r="S555" i="2"/>
  <c r="P555" i="2"/>
  <c r="O555" i="2"/>
  <c r="Q555" i="2" s="1"/>
  <c r="M555" i="2"/>
  <c r="L555" i="2"/>
  <c r="N555" i="2" s="1"/>
  <c r="G555" i="2"/>
  <c r="J555" i="2" s="1"/>
  <c r="V554" i="2"/>
  <c r="U554" i="2"/>
  <c r="S554" i="2"/>
  <c r="Q554" i="2"/>
  <c r="P554" i="2"/>
  <c r="O554" i="2"/>
  <c r="N554" i="2"/>
  <c r="M554" i="2"/>
  <c r="L554" i="2"/>
  <c r="G554" i="2"/>
  <c r="J554" i="2" s="1"/>
  <c r="AA554" i="2" s="1"/>
  <c r="S553" i="2"/>
  <c r="P553" i="2"/>
  <c r="U553" i="2" s="1"/>
  <c r="O553" i="2"/>
  <c r="Q553" i="2" s="1"/>
  <c r="V553" i="2" s="1"/>
  <c r="N553" i="2"/>
  <c r="M553" i="2"/>
  <c r="L553" i="2"/>
  <c r="G553" i="2"/>
  <c r="J553" i="2" s="1"/>
  <c r="AA553" i="2" s="1"/>
  <c r="AA552" i="2"/>
  <c r="S552" i="2"/>
  <c r="P552" i="2"/>
  <c r="U552" i="2" s="1"/>
  <c r="O552" i="2"/>
  <c r="M552" i="2"/>
  <c r="N552" i="2" s="1"/>
  <c r="W552" i="2" s="1"/>
  <c r="L552" i="2"/>
  <c r="J552" i="2"/>
  <c r="G552" i="2"/>
  <c r="S551" i="2"/>
  <c r="P551" i="2"/>
  <c r="U551" i="2" s="1"/>
  <c r="O551" i="2"/>
  <c r="N551" i="2"/>
  <c r="M551" i="2"/>
  <c r="L551" i="2"/>
  <c r="G551" i="2"/>
  <c r="J551" i="2" s="1"/>
  <c r="AA551" i="2" s="1"/>
  <c r="AA550" i="2"/>
  <c r="S550" i="2"/>
  <c r="P550" i="2"/>
  <c r="O550" i="2"/>
  <c r="Q550" i="2" s="1"/>
  <c r="V550" i="2" s="1"/>
  <c r="M550" i="2"/>
  <c r="N550" i="2" s="1"/>
  <c r="L550" i="2"/>
  <c r="J550" i="2"/>
  <c r="G550" i="2"/>
  <c r="U549" i="2"/>
  <c r="S549" i="2"/>
  <c r="Q549" i="2"/>
  <c r="V549" i="2" s="1"/>
  <c r="P549" i="2"/>
  <c r="O549" i="2"/>
  <c r="N549" i="2"/>
  <c r="M549" i="2"/>
  <c r="L549" i="2"/>
  <c r="G549" i="2"/>
  <c r="J549" i="2" s="1"/>
  <c r="AA549" i="2" s="1"/>
  <c r="S548" i="2"/>
  <c r="P548" i="2"/>
  <c r="U548" i="2" s="1"/>
  <c r="O548" i="2"/>
  <c r="Q548" i="2" s="1"/>
  <c r="V548" i="2" s="1"/>
  <c r="M548" i="2"/>
  <c r="L548" i="2"/>
  <c r="N548" i="2" s="1"/>
  <c r="G548" i="2"/>
  <c r="J548" i="2" s="1"/>
  <c r="AA548" i="2" s="1"/>
  <c r="S547" i="2"/>
  <c r="P547" i="2"/>
  <c r="O547" i="2"/>
  <c r="M547" i="2"/>
  <c r="L547" i="2"/>
  <c r="N547" i="2" s="1"/>
  <c r="J547" i="2"/>
  <c r="G547" i="2"/>
  <c r="S546" i="2"/>
  <c r="U546" i="2" s="1"/>
  <c r="Q546" i="2"/>
  <c r="V546" i="2" s="1"/>
  <c r="Z546" i="2" s="1"/>
  <c r="P546" i="2"/>
  <c r="O546" i="2"/>
  <c r="M546" i="2"/>
  <c r="L546" i="2"/>
  <c r="N546" i="2" s="1"/>
  <c r="G546" i="2"/>
  <c r="J546" i="2" s="1"/>
  <c r="U545" i="2"/>
  <c r="S545" i="2"/>
  <c r="P545" i="2"/>
  <c r="O545" i="2"/>
  <c r="N545" i="2"/>
  <c r="M545" i="2"/>
  <c r="L545" i="2"/>
  <c r="G545" i="2"/>
  <c r="J545" i="2" s="1"/>
  <c r="U544" i="2"/>
  <c r="S544" i="2"/>
  <c r="P544" i="2"/>
  <c r="O544" i="2"/>
  <c r="Q544" i="2" s="1"/>
  <c r="V544" i="2" s="1"/>
  <c r="M544" i="2"/>
  <c r="L544" i="2"/>
  <c r="N544" i="2" s="1"/>
  <c r="G544" i="2"/>
  <c r="J544" i="2" s="1"/>
  <c r="S543" i="2"/>
  <c r="P543" i="2"/>
  <c r="O543" i="2"/>
  <c r="Q543" i="2" s="1"/>
  <c r="V543" i="2" s="1"/>
  <c r="M543" i="2"/>
  <c r="L543" i="2"/>
  <c r="J543" i="2"/>
  <c r="G543" i="2"/>
  <c r="S542" i="2"/>
  <c r="U542" i="2" s="1"/>
  <c r="P542" i="2"/>
  <c r="O542" i="2"/>
  <c r="Q542" i="2" s="1"/>
  <c r="V542" i="2" s="1"/>
  <c r="M542" i="2"/>
  <c r="L542" i="2"/>
  <c r="G542" i="2"/>
  <c r="J542" i="2" s="1"/>
  <c r="V541" i="2"/>
  <c r="Z541" i="2" s="1"/>
  <c r="U541" i="2"/>
  <c r="S541" i="2"/>
  <c r="P541" i="2"/>
  <c r="O541" i="2"/>
  <c r="Q541" i="2" s="1"/>
  <c r="M541" i="2"/>
  <c r="L541" i="2"/>
  <c r="J541" i="2"/>
  <c r="G541" i="2"/>
  <c r="V540" i="2"/>
  <c r="U540" i="2"/>
  <c r="S540" i="2"/>
  <c r="P540" i="2"/>
  <c r="O540" i="2"/>
  <c r="Q540" i="2" s="1"/>
  <c r="M540" i="2"/>
  <c r="L540" i="2"/>
  <c r="N540" i="2" s="1"/>
  <c r="J540" i="2"/>
  <c r="G540" i="2"/>
  <c r="Z539" i="2"/>
  <c r="V539" i="2"/>
  <c r="S539" i="2"/>
  <c r="U539" i="2" s="1"/>
  <c r="Q539" i="2"/>
  <c r="P539" i="2"/>
  <c r="O539" i="2"/>
  <c r="M539" i="2"/>
  <c r="L539" i="2"/>
  <c r="G539" i="2"/>
  <c r="J539" i="2" s="1"/>
  <c r="S538" i="2"/>
  <c r="U538" i="2" s="1"/>
  <c r="Q538" i="2"/>
  <c r="V538" i="2" s="1"/>
  <c r="P538" i="2"/>
  <c r="O538" i="2"/>
  <c r="M538" i="2"/>
  <c r="L538" i="2"/>
  <c r="N538" i="2" s="1"/>
  <c r="G538" i="2"/>
  <c r="J538" i="2" s="1"/>
  <c r="Z537" i="2"/>
  <c r="U537" i="2"/>
  <c r="S537" i="2"/>
  <c r="Q537" i="2"/>
  <c r="V537" i="2" s="1"/>
  <c r="P537" i="2"/>
  <c r="O537" i="2"/>
  <c r="M537" i="2"/>
  <c r="L537" i="2"/>
  <c r="N537" i="2" s="1"/>
  <c r="J537" i="2"/>
  <c r="G537" i="2"/>
  <c r="AA536" i="2"/>
  <c r="Z536" i="2"/>
  <c r="U536" i="2"/>
  <c r="S536" i="2"/>
  <c r="P536" i="2"/>
  <c r="O536" i="2"/>
  <c r="Q536" i="2" s="1"/>
  <c r="V536" i="2" s="1"/>
  <c r="M536" i="2"/>
  <c r="L536" i="2"/>
  <c r="J536" i="2"/>
  <c r="G536" i="2"/>
  <c r="AA535" i="2"/>
  <c r="Z535" i="2"/>
  <c r="W535" i="2"/>
  <c r="X535" i="2" s="1"/>
  <c r="V535" i="2"/>
  <c r="U535" i="2"/>
  <c r="S535" i="2"/>
  <c r="P535" i="2"/>
  <c r="Q535" i="2" s="1"/>
  <c r="O535" i="2"/>
  <c r="N535" i="2"/>
  <c r="M535" i="2"/>
  <c r="L535" i="2"/>
  <c r="G535" i="2"/>
  <c r="J535" i="2" s="1"/>
  <c r="V534" i="2"/>
  <c r="Z534" i="2" s="1"/>
  <c r="S534" i="2"/>
  <c r="U534" i="2" s="1"/>
  <c r="P534" i="2"/>
  <c r="Q534" i="2" s="1"/>
  <c r="O534" i="2"/>
  <c r="N534" i="2"/>
  <c r="M534" i="2"/>
  <c r="L534" i="2"/>
  <c r="G534" i="2"/>
  <c r="J534" i="2" s="1"/>
  <c r="AA534" i="2" s="1"/>
  <c r="U533" i="2"/>
  <c r="S533" i="2"/>
  <c r="P533" i="2"/>
  <c r="O533" i="2"/>
  <c r="Q533" i="2" s="1"/>
  <c r="V533" i="2" s="1"/>
  <c r="N533" i="2"/>
  <c r="M533" i="2"/>
  <c r="L533" i="2"/>
  <c r="G533" i="2"/>
  <c r="J533" i="2" s="1"/>
  <c r="AA533" i="2" s="1"/>
  <c r="S532" i="2"/>
  <c r="P532" i="2"/>
  <c r="O532" i="2"/>
  <c r="M532" i="2"/>
  <c r="L532" i="2"/>
  <c r="G532" i="2"/>
  <c r="J532" i="2" s="1"/>
  <c r="AA531" i="2"/>
  <c r="W531" i="2"/>
  <c r="S531" i="2"/>
  <c r="P531" i="2"/>
  <c r="O531" i="2"/>
  <c r="M531" i="2"/>
  <c r="L531" i="2"/>
  <c r="N531" i="2" s="1"/>
  <c r="J531" i="2"/>
  <c r="G531" i="2"/>
  <c r="U530" i="2"/>
  <c r="S530" i="2"/>
  <c r="Q530" i="2"/>
  <c r="V530" i="2" s="1"/>
  <c r="Z530" i="2" s="1"/>
  <c r="P530" i="2"/>
  <c r="O530" i="2"/>
  <c r="M530" i="2"/>
  <c r="L530" i="2"/>
  <c r="N530" i="2" s="1"/>
  <c r="J530" i="2"/>
  <c r="AA530" i="2" s="1"/>
  <c r="G530" i="2"/>
  <c r="S529" i="2"/>
  <c r="P529" i="2"/>
  <c r="O529" i="2"/>
  <c r="Q529" i="2" s="1"/>
  <c r="V529" i="2" s="1"/>
  <c r="M529" i="2"/>
  <c r="L529" i="2"/>
  <c r="N529" i="2" s="1"/>
  <c r="G529" i="2"/>
  <c r="J529" i="2" s="1"/>
  <c r="S528" i="2"/>
  <c r="P528" i="2"/>
  <c r="U528" i="2" s="1"/>
  <c r="O528" i="2"/>
  <c r="Q528" i="2" s="1"/>
  <c r="V528" i="2" s="1"/>
  <c r="Z528" i="2" s="1"/>
  <c r="N528" i="2"/>
  <c r="M528" i="2"/>
  <c r="L528" i="2"/>
  <c r="J528" i="2"/>
  <c r="AA528" i="2" s="1"/>
  <c r="G528" i="2"/>
  <c r="AA527" i="2"/>
  <c r="S527" i="2"/>
  <c r="P527" i="2"/>
  <c r="U527" i="2" s="1"/>
  <c r="O527" i="2"/>
  <c r="N527" i="2"/>
  <c r="M527" i="2"/>
  <c r="L527" i="2"/>
  <c r="G527" i="2"/>
  <c r="J527" i="2" s="1"/>
  <c r="S526" i="2"/>
  <c r="P526" i="2"/>
  <c r="U526" i="2" s="1"/>
  <c r="O526" i="2"/>
  <c r="M526" i="2"/>
  <c r="L526" i="2"/>
  <c r="N526" i="2" s="1"/>
  <c r="J526" i="2"/>
  <c r="G526" i="2"/>
  <c r="V525" i="2"/>
  <c r="S525" i="2"/>
  <c r="P525" i="2"/>
  <c r="O525" i="2"/>
  <c r="Q525" i="2" s="1"/>
  <c r="M525" i="2"/>
  <c r="L525" i="2"/>
  <c r="N525" i="2" s="1"/>
  <c r="G525" i="2"/>
  <c r="J525" i="2" s="1"/>
  <c r="S524" i="2"/>
  <c r="Q524" i="2"/>
  <c r="V524" i="2" s="1"/>
  <c r="P524" i="2"/>
  <c r="U524" i="2" s="1"/>
  <c r="O524" i="2"/>
  <c r="M524" i="2"/>
  <c r="L524" i="2"/>
  <c r="N524" i="2" s="1"/>
  <c r="G524" i="2"/>
  <c r="J524" i="2" s="1"/>
  <c r="S523" i="2"/>
  <c r="P523" i="2"/>
  <c r="O523" i="2"/>
  <c r="Q523" i="2" s="1"/>
  <c r="V523" i="2" s="1"/>
  <c r="Z523" i="2" s="1"/>
  <c r="N523" i="2"/>
  <c r="M523" i="2"/>
  <c r="L523" i="2"/>
  <c r="G523" i="2"/>
  <c r="J523" i="2" s="1"/>
  <c r="S522" i="2"/>
  <c r="P522" i="2"/>
  <c r="O522" i="2"/>
  <c r="M522" i="2"/>
  <c r="L522" i="2"/>
  <c r="N522" i="2" s="1"/>
  <c r="G522" i="2"/>
  <c r="J522" i="2" s="1"/>
  <c r="W522" i="2" s="1"/>
  <c r="S521" i="2"/>
  <c r="P521" i="2"/>
  <c r="O521" i="2"/>
  <c r="N521" i="2"/>
  <c r="M521" i="2"/>
  <c r="L521" i="2"/>
  <c r="G521" i="2"/>
  <c r="J521" i="2" s="1"/>
  <c r="S520" i="2"/>
  <c r="P520" i="2"/>
  <c r="U520" i="2" s="1"/>
  <c r="O520" i="2"/>
  <c r="Q520" i="2" s="1"/>
  <c r="V520" i="2" s="1"/>
  <c r="N520" i="2"/>
  <c r="M520" i="2"/>
  <c r="L520" i="2"/>
  <c r="J520" i="2"/>
  <c r="AA520" i="2" s="1"/>
  <c r="G520" i="2"/>
  <c r="AA519" i="2"/>
  <c r="U519" i="2"/>
  <c r="S519" i="2"/>
  <c r="Q519" i="2"/>
  <c r="V519" i="2" s="1"/>
  <c r="P519" i="2"/>
  <c r="O519" i="2"/>
  <c r="M519" i="2"/>
  <c r="N519" i="2" s="1"/>
  <c r="L519" i="2"/>
  <c r="G519" i="2"/>
  <c r="J519" i="2" s="1"/>
  <c r="S518" i="2"/>
  <c r="P518" i="2"/>
  <c r="U518" i="2" s="1"/>
  <c r="O518" i="2"/>
  <c r="Q518" i="2" s="1"/>
  <c r="V518" i="2" s="1"/>
  <c r="M518" i="2"/>
  <c r="N518" i="2" s="1"/>
  <c r="L518" i="2"/>
  <c r="J518" i="2"/>
  <c r="G518" i="2"/>
  <c r="S517" i="2"/>
  <c r="P517" i="2"/>
  <c r="U517" i="2" s="1"/>
  <c r="O517" i="2"/>
  <c r="M517" i="2"/>
  <c r="L517" i="2"/>
  <c r="N517" i="2" s="1"/>
  <c r="J517" i="2"/>
  <c r="G517" i="2"/>
  <c r="AA516" i="2"/>
  <c r="V516" i="2"/>
  <c r="U516" i="2"/>
  <c r="S516" i="2"/>
  <c r="P516" i="2"/>
  <c r="O516" i="2"/>
  <c r="Q516" i="2" s="1"/>
  <c r="M516" i="2"/>
  <c r="L516" i="2"/>
  <c r="N516" i="2" s="1"/>
  <c r="G516" i="2"/>
  <c r="J516" i="2" s="1"/>
  <c r="W516" i="2" s="1"/>
  <c r="S515" i="2"/>
  <c r="U515" i="2" s="1"/>
  <c r="Q515" i="2"/>
  <c r="V515" i="2" s="1"/>
  <c r="P515" i="2"/>
  <c r="O515" i="2"/>
  <c r="M515" i="2"/>
  <c r="L515" i="2"/>
  <c r="J515" i="2"/>
  <c r="G515" i="2"/>
  <c r="V514" i="2"/>
  <c r="Z514" i="2" s="1"/>
  <c r="U514" i="2"/>
  <c r="S514" i="2"/>
  <c r="Q514" i="2"/>
  <c r="P514" i="2"/>
  <c r="O514" i="2"/>
  <c r="M514" i="2"/>
  <c r="L514" i="2"/>
  <c r="N514" i="2" s="1"/>
  <c r="G514" i="2"/>
  <c r="J514" i="2" s="1"/>
  <c r="AA513" i="2"/>
  <c r="W513" i="2"/>
  <c r="X513" i="2" s="1"/>
  <c r="U513" i="2"/>
  <c r="S513" i="2"/>
  <c r="P513" i="2"/>
  <c r="O513" i="2"/>
  <c r="Q513" i="2" s="1"/>
  <c r="V513" i="2" s="1"/>
  <c r="Z513" i="2" s="1"/>
  <c r="N513" i="2"/>
  <c r="M513" i="2"/>
  <c r="L513" i="2"/>
  <c r="G513" i="2"/>
  <c r="J513" i="2" s="1"/>
  <c r="AA512" i="2"/>
  <c r="V512" i="2"/>
  <c r="U512" i="2"/>
  <c r="S512" i="2"/>
  <c r="Q512" i="2"/>
  <c r="P512" i="2"/>
  <c r="O512" i="2"/>
  <c r="M512" i="2"/>
  <c r="N512" i="2" s="1"/>
  <c r="W512" i="2" s="1"/>
  <c r="L512" i="2"/>
  <c r="J512" i="2"/>
  <c r="G512" i="2"/>
  <c r="S511" i="2"/>
  <c r="P511" i="2"/>
  <c r="O511" i="2"/>
  <c r="M511" i="2"/>
  <c r="L511" i="2"/>
  <c r="J511" i="2"/>
  <c r="AA511" i="2" s="1"/>
  <c r="G511" i="2"/>
  <c r="S510" i="2"/>
  <c r="U510" i="2" s="1"/>
  <c r="P510" i="2"/>
  <c r="O510" i="2"/>
  <c r="Q510" i="2" s="1"/>
  <c r="V510" i="2" s="1"/>
  <c r="M510" i="2"/>
  <c r="L510" i="2"/>
  <c r="N510" i="2" s="1"/>
  <c r="J510" i="2"/>
  <c r="G510" i="2"/>
  <c r="S509" i="2"/>
  <c r="P509" i="2"/>
  <c r="U509" i="2" s="1"/>
  <c r="O509" i="2"/>
  <c r="N509" i="2"/>
  <c r="M509" i="2"/>
  <c r="L509" i="2"/>
  <c r="J509" i="2"/>
  <c r="G509" i="2"/>
  <c r="W508" i="2"/>
  <c r="U508" i="2"/>
  <c r="S508" i="2"/>
  <c r="Q508" i="2"/>
  <c r="V508" i="2" s="1"/>
  <c r="P508" i="2"/>
  <c r="O508" i="2"/>
  <c r="M508" i="2"/>
  <c r="L508" i="2"/>
  <c r="N508" i="2" s="1"/>
  <c r="J508" i="2"/>
  <c r="AA508" i="2" s="1"/>
  <c r="G508" i="2"/>
  <c r="S507" i="2"/>
  <c r="P507" i="2"/>
  <c r="U507" i="2" s="1"/>
  <c r="O507" i="2"/>
  <c r="N507" i="2"/>
  <c r="M507" i="2"/>
  <c r="L507" i="2"/>
  <c r="J507" i="2"/>
  <c r="AA507" i="2" s="1"/>
  <c r="G507" i="2"/>
  <c r="S506" i="2"/>
  <c r="Q506" i="2"/>
  <c r="V506" i="2" s="1"/>
  <c r="P506" i="2"/>
  <c r="U506" i="2" s="1"/>
  <c r="O506" i="2"/>
  <c r="N506" i="2"/>
  <c r="M506" i="2"/>
  <c r="L506" i="2"/>
  <c r="J506" i="2"/>
  <c r="G506" i="2"/>
  <c r="S505" i="2"/>
  <c r="P505" i="2"/>
  <c r="U505" i="2" s="1"/>
  <c r="O505" i="2"/>
  <c r="M505" i="2"/>
  <c r="L505" i="2"/>
  <c r="N505" i="2" s="1"/>
  <c r="J505" i="2"/>
  <c r="AA505" i="2" s="1"/>
  <c r="G505" i="2"/>
  <c r="S504" i="2"/>
  <c r="Q504" i="2"/>
  <c r="V504" i="2" s="1"/>
  <c r="P504" i="2"/>
  <c r="U504" i="2" s="1"/>
  <c r="O504" i="2"/>
  <c r="M504" i="2"/>
  <c r="N504" i="2" s="1"/>
  <c r="L504" i="2"/>
  <c r="J504" i="2"/>
  <c r="G504" i="2"/>
  <c r="S503" i="2"/>
  <c r="Q503" i="2"/>
  <c r="V503" i="2" s="1"/>
  <c r="Z503" i="2" s="1"/>
  <c r="P503" i="2"/>
  <c r="U503" i="2" s="1"/>
  <c r="O503" i="2"/>
  <c r="M503" i="2"/>
  <c r="L503" i="2"/>
  <c r="N503" i="2" s="1"/>
  <c r="W503" i="2" s="1"/>
  <c r="G503" i="2"/>
  <c r="J503" i="2" s="1"/>
  <c r="AA503" i="2" s="1"/>
  <c r="W502" i="2"/>
  <c r="S502" i="2"/>
  <c r="P502" i="2"/>
  <c r="U502" i="2" s="1"/>
  <c r="O502" i="2"/>
  <c r="M502" i="2"/>
  <c r="N502" i="2" s="1"/>
  <c r="L502" i="2"/>
  <c r="G502" i="2"/>
  <c r="J502" i="2" s="1"/>
  <c r="AA502" i="2" s="1"/>
  <c r="U501" i="2"/>
  <c r="S501" i="2"/>
  <c r="P501" i="2"/>
  <c r="O501" i="2"/>
  <c r="Q501" i="2" s="1"/>
  <c r="V501" i="2" s="1"/>
  <c r="N501" i="2"/>
  <c r="M501" i="2"/>
  <c r="L501" i="2"/>
  <c r="J501" i="2"/>
  <c r="W501" i="2" s="1"/>
  <c r="G501" i="2"/>
  <c r="S500" i="2"/>
  <c r="P500" i="2"/>
  <c r="U500" i="2" s="1"/>
  <c r="O500" i="2"/>
  <c r="M500" i="2"/>
  <c r="L500" i="2"/>
  <c r="J500" i="2"/>
  <c r="G500" i="2"/>
  <c r="W499" i="2"/>
  <c r="S499" i="2"/>
  <c r="P499" i="2"/>
  <c r="O499" i="2"/>
  <c r="N499" i="2"/>
  <c r="M499" i="2"/>
  <c r="L499" i="2"/>
  <c r="G499" i="2"/>
  <c r="J499" i="2" s="1"/>
  <c r="AA499" i="2" s="1"/>
  <c r="V498" i="2"/>
  <c r="S498" i="2"/>
  <c r="U498" i="2" s="1"/>
  <c r="P498" i="2"/>
  <c r="O498" i="2"/>
  <c r="Q498" i="2" s="1"/>
  <c r="M498" i="2"/>
  <c r="N498" i="2" s="1"/>
  <c r="L498" i="2"/>
  <c r="G498" i="2"/>
  <c r="J498" i="2" s="1"/>
  <c r="S497" i="2"/>
  <c r="P497" i="2"/>
  <c r="U497" i="2" s="1"/>
  <c r="O497" i="2"/>
  <c r="Q497" i="2" s="1"/>
  <c r="V497" i="2" s="1"/>
  <c r="M497" i="2"/>
  <c r="N497" i="2" s="1"/>
  <c r="L497" i="2"/>
  <c r="J497" i="2"/>
  <c r="G497" i="2"/>
  <c r="AA496" i="2"/>
  <c r="U496" i="2"/>
  <c r="S496" i="2"/>
  <c r="P496" i="2"/>
  <c r="Q496" i="2" s="1"/>
  <c r="V496" i="2" s="1"/>
  <c r="O496" i="2"/>
  <c r="M496" i="2"/>
  <c r="L496" i="2"/>
  <c r="N496" i="2" s="1"/>
  <c r="G496" i="2"/>
  <c r="J496" i="2" s="1"/>
  <c r="W496" i="2" s="1"/>
  <c r="S495" i="2"/>
  <c r="P495" i="2"/>
  <c r="U495" i="2" s="1"/>
  <c r="O495" i="2"/>
  <c r="M495" i="2"/>
  <c r="L495" i="2"/>
  <c r="N495" i="2" s="1"/>
  <c r="G495" i="2"/>
  <c r="J495" i="2" s="1"/>
  <c r="U494" i="2"/>
  <c r="S494" i="2"/>
  <c r="P494" i="2"/>
  <c r="Q494" i="2" s="1"/>
  <c r="V494" i="2" s="1"/>
  <c r="O494" i="2"/>
  <c r="M494" i="2"/>
  <c r="L494" i="2"/>
  <c r="N494" i="2" s="1"/>
  <c r="J494" i="2"/>
  <c r="G494" i="2"/>
  <c r="U493" i="2"/>
  <c r="S493" i="2"/>
  <c r="P493" i="2"/>
  <c r="Q493" i="2" s="1"/>
  <c r="V493" i="2" s="1"/>
  <c r="O493" i="2"/>
  <c r="M493" i="2"/>
  <c r="L493" i="2"/>
  <c r="N493" i="2" s="1"/>
  <c r="J493" i="2"/>
  <c r="G493" i="2"/>
  <c r="Z492" i="2"/>
  <c r="V492" i="2"/>
  <c r="U492" i="2"/>
  <c r="S492" i="2"/>
  <c r="P492" i="2"/>
  <c r="Q492" i="2" s="1"/>
  <c r="O492" i="2"/>
  <c r="M492" i="2"/>
  <c r="L492" i="2"/>
  <c r="N492" i="2" s="1"/>
  <c r="J492" i="2"/>
  <c r="G492" i="2"/>
  <c r="U491" i="2"/>
  <c r="S491" i="2"/>
  <c r="P491" i="2"/>
  <c r="Q491" i="2" s="1"/>
  <c r="V491" i="2" s="1"/>
  <c r="O491" i="2"/>
  <c r="M491" i="2"/>
  <c r="L491" i="2"/>
  <c r="N491" i="2" s="1"/>
  <c r="J491" i="2"/>
  <c r="G491" i="2"/>
  <c r="V490" i="2"/>
  <c r="U490" i="2"/>
  <c r="S490" i="2"/>
  <c r="P490" i="2"/>
  <c r="Q490" i="2" s="1"/>
  <c r="O490" i="2"/>
  <c r="M490" i="2"/>
  <c r="L490" i="2"/>
  <c r="N490" i="2" s="1"/>
  <c r="G490" i="2"/>
  <c r="J490" i="2" s="1"/>
  <c r="V489" i="2"/>
  <c r="U489" i="2"/>
  <c r="S489" i="2"/>
  <c r="P489" i="2"/>
  <c r="Q489" i="2" s="1"/>
  <c r="O489" i="2"/>
  <c r="M489" i="2"/>
  <c r="L489" i="2"/>
  <c r="N489" i="2" s="1"/>
  <c r="J489" i="2"/>
  <c r="G489" i="2"/>
  <c r="U488" i="2"/>
  <c r="S488" i="2"/>
  <c r="P488" i="2"/>
  <c r="Q488" i="2" s="1"/>
  <c r="V488" i="2" s="1"/>
  <c r="O488" i="2"/>
  <c r="M488" i="2"/>
  <c r="L488" i="2"/>
  <c r="N488" i="2" s="1"/>
  <c r="J488" i="2"/>
  <c r="AA488" i="2" s="1"/>
  <c r="G488" i="2"/>
  <c r="Z487" i="2"/>
  <c r="V487" i="2"/>
  <c r="U487" i="2"/>
  <c r="S487" i="2"/>
  <c r="Q487" i="2"/>
  <c r="P487" i="2"/>
  <c r="O487" i="2"/>
  <c r="M487" i="2"/>
  <c r="L487" i="2"/>
  <c r="G487" i="2"/>
  <c r="J487" i="2" s="1"/>
  <c r="AA486" i="2"/>
  <c r="U486" i="2"/>
  <c r="S486" i="2"/>
  <c r="P486" i="2"/>
  <c r="O486" i="2"/>
  <c r="Q486" i="2" s="1"/>
  <c r="V486" i="2" s="1"/>
  <c r="M486" i="2"/>
  <c r="N486" i="2" s="1"/>
  <c r="L486" i="2"/>
  <c r="G486" i="2"/>
  <c r="J486" i="2" s="1"/>
  <c r="W486" i="2" s="1"/>
  <c r="AA485" i="2"/>
  <c r="V485" i="2"/>
  <c r="U485" i="2"/>
  <c r="S485" i="2"/>
  <c r="P485" i="2"/>
  <c r="Q485" i="2" s="1"/>
  <c r="O485" i="2"/>
  <c r="M485" i="2"/>
  <c r="L485" i="2"/>
  <c r="N485" i="2" s="1"/>
  <c r="J485" i="2"/>
  <c r="G485" i="2"/>
  <c r="U484" i="2"/>
  <c r="S484" i="2"/>
  <c r="P484" i="2"/>
  <c r="O484" i="2"/>
  <c r="Q484" i="2" s="1"/>
  <c r="V484" i="2" s="1"/>
  <c r="M484" i="2"/>
  <c r="L484" i="2"/>
  <c r="N484" i="2" s="1"/>
  <c r="G484" i="2"/>
  <c r="J484" i="2" s="1"/>
  <c r="V483" i="2"/>
  <c r="U483" i="2"/>
  <c r="S483" i="2"/>
  <c r="Q483" i="2"/>
  <c r="P483" i="2"/>
  <c r="O483" i="2"/>
  <c r="M483" i="2"/>
  <c r="L483" i="2"/>
  <c r="N483" i="2" s="1"/>
  <c r="G483" i="2"/>
  <c r="J483" i="2" s="1"/>
  <c r="V482" i="2"/>
  <c r="S482" i="2"/>
  <c r="U482" i="2" s="1"/>
  <c r="P482" i="2"/>
  <c r="O482" i="2"/>
  <c r="Q482" i="2" s="1"/>
  <c r="M482" i="2"/>
  <c r="L482" i="2"/>
  <c r="N482" i="2" s="1"/>
  <c r="G482" i="2"/>
  <c r="J482" i="2" s="1"/>
  <c r="Z481" i="2"/>
  <c r="U481" i="2"/>
  <c r="S481" i="2"/>
  <c r="P481" i="2"/>
  <c r="O481" i="2"/>
  <c r="Q481" i="2" s="1"/>
  <c r="V481" i="2" s="1"/>
  <c r="M481" i="2"/>
  <c r="L481" i="2"/>
  <c r="G481" i="2"/>
  <c r="J481" i="2" s="1"/>
  <c r="AA480" i="2"/>
  <c r="U480" i="2"/>
  <c r="S480" i="2"/>
  <c r="Q480" i="2"/>
  <c r="V480" i="2" s="1"/>
  <c r="Z480" i="2" s="1"/>
  <c r="P480" i="2"/>
  <c r="O480" i="2"/>
  <c r="M480" i="2"/>
  <c r="L480" i="2"/>
  <c r="N480" i="2" s="1"/>
  <c r="J480" i="2"/>
  <c r="W480" i="2" s="1"/>
  <c r="G480" i="2"/>
  <c r="S479" i="2"/>
  <c r="Q479" i="2"/>
  <c r="V479" i="2" s="1"/>
  <c r="P479" i="2"/>
  <c r="U479" i="2" s="1"/>
  <c r="O479" i="2"/>
  <c r="M479" i="2"/>
  <c r="L479" i="2"/>
  <c r="N479" i="2" s="1"/>
  <c r="G479" i="2"/>
  <c r="J479" i="2" s="1"/>
  <c r="W479" i="2" s="1"/>
  <c r="S478" i="2"/>
  <c r="P478" i="2"/>
  <c r="U478" i="2" s="1"/>
  <c r="O478" i="2"/>
  <c r="Q478" i="2" s="1"/>
  <c r="V478" i="2" s="1"/>
  <c r="M478" i="2"/>
  <c r="L478" i="2"/>
  <c r="N478" i="2" s="1"/>
  <c r="J478" i="2"/>
  <c r="G478" i="2"/>
  <c r="U477" i="2"/>
  <c r="S477" i="2"/>
  <c r="P477" i="2"/>
  <c r="O477" i="2"/>
  <c r="Q477" i="2" s="1"/>
  <c r="V477" i="2" s="1"/>
  <c r="N477" i="2"/>
  <c r="M477" i="2"/>
  <c r="L477" i="2"/>
  <c r="G477" i="2"/>
  <c r="J477" i="2" s="1"/>
  <c r="AA476" i="2"/>
  <c r="Z476" i="2"/>
  <c r="W476" i="2"/>
  <c r="S476" i="2"/>
  <c r="Q476" i="2"/>
  <c r="V476" i="2" s="1"/>
  <c r="X476" i="2" s="1"/>
  <c r="P476" i="2"/>
  <c r="U476" i="2" s="1"/>
  <c r="O476" i="2"/>
  <c r="N476" i="2"/>
  <c r="M476" i="2"/>
  <c r="L476" i="2"/>
  <c r="J476" i="2"/>
  <c r="G476" i="2"/>
  <c r="Z475" i="2"/>
  <c r="S475" i="2"/>
  <c r="P475" i="2"/>
  <c r="U475" i="2" s="1"/>
  <c r="O475" i="2"/>
  <c r="Q475" i="2" s="1"/>
  <c r="V475" i="2" s="1"/>
  <c r="M475" i="2"/>
  <c r="L475" i="2"/>
  <c r="G475" i="2"/>
  <c r="J475" i="2" s="1"/>
  <c r="AA475" i="2" s="1"/>
  <c r="S474" i="2"/>
  <c r="P474" i="2"/>
  <c r="U474" i="2" s="1"/>
  <c r="O474" i="2"/>
  <c r="Q474" i="2" s="1"/>
  <c r="V474" i="2" s="1"/>
  <c r="M474" i="2"/>
  <c r="L474" i="2"/>
  <c r="N474" i="2" s="1"/>
  <c r="J474" i="2"/>
  <c r="AA474" i="2" s="1"/>
  <c r="G474" i="2"/>
  <c r="S473" i="2"/>
  <c r="Q473" i="2"/>
  <c r="V473" i="2" s="1"/>
  <c r="P473" i="2"/>
  <c r="U473" i="2" s="1"/>
  <c r="O473" i="2"/>
  <c r="M473" i="2"/>
  <c r="N473" i="2" s="1"/>
  <c r="L473" i="2"/>
  <c r="J473" i="2"/>
  <c r="G473" i="2"/>
  <c r="S472" i="2"/>
  <c r="Q472" i="2"/>
  <c r="V472" i="2" s="1"/>
  <c r="Z472" i="2" s="1"/>
  <c r="P472" i="2"/>
  <c r="U472" i="2" s="1"/>
  <c r="O472" i="2"/>
  <c r="M472" i="2"/>
  <c r="L472" i="2"/>
  <c r="N472" i="2" s="1"/>
  <c r="J472" i="2"/>
  <c r="AA472" i="2" s="1"/>
  <c r="G472" i="2"/>
  <c r="S471" i="2"/>
  <c r="Q471" i="2"/>
  <c r="V471" i="2" s="1"/>
  <c r="P471" i="2"/>
  <c r="O471" i="2"/>
  <c r="M471" i="2"/>
  <c r="L471" i="2"/>
  <c r="N471" i="2" s="1"/>
  <c r="G471" i="2"/>
  <c r="J471" i="2" s="1"/>
  <c r="S470" i="2"/>
  <c r="P470" i="2"/>
  <c r="U470" i="2" s="1"/>
  <c r="O470" i="2"/>
  <c r="N470" i="2"/>
  <c r="M470" i="2"/>
  <c r="L470" i="2"/>
  <c r="G470" i="2"/>
  <c r="J470" i="2" s="1"/>
  <c r="S469" i="2"/>
  <c r="Q469" i="2"/>
  <c r="V469" i="2" s="1"/>
  <c r="P469" i="2"/>
  <c r="U469" i="2" s="1"/>
  <c r="O469" i="2"/>
  <c r="M469" i="2"/>
  <c r="L469" i="2"/>
  <c r="N469" i="2" s="1"/>
  <c r="G469" i="2"/>
  <c r="J469" i="2" s="1"/>
  <c r="AA468" i="2"/>
  <c r="V468" i="2"/>
  <c r="Z468" i="2" s="1"/>
  <c r="S468" i="2"/>
  <c r="P468" i="2"/>
  <c r="U468" i="2" s="1"/>
  <c r="O468" i="2"/>
  <c r="Q468" i="2" s="1"/>
  <c r="M468" i="2"/>
  <c r="L468" i="2"/>
  <c r="N468" i="2" s="1"/>
  <c r="J468" i="2"/>
  <c r="G468" i="2"/>
  <c r="Z467" i="2"/>
  <c r="U467" i="2"/>
  <c r="S467" i="2"/>
  <c r="P467" i="2"/>
  <c r="Q467" i="2" s="1"/>
  <c r="V467" i="2" s="1"/>
  <c r="O467" i="2"/>
  <c r="N467" i="2"/>
  <c r="M467" i="2"/>
  <c r="L467" i="2"/>
  <c r="G467" i="2"/>
  <c r="J467" i="2" s="1"/>
  <c r="S466" i="2"/>
  <c r="U466" i="2" s="1"/>
  <c r="Q466" i="2"/>
  <c r="V466" i="2" s="1"/>
  <c r="P466" i="2"/>
  <c r="O466" i="2"/>
  <c r="M466" i="2"/>
  <c r="L466" i="2"/>
  <c r="J466" i="2"/>
  <c r="G466" i="2"/>
  <c r="S465" i="2"/>
  <c r="P465" i="2"/>
  <c r="U465" i="2" s="1"/>
  <c r="O465" i="2"/>
  <c r="Q465" i="2" s="1"/>
  <c r="V465" i="2" s="1"/>
  <c r="M465" i="2"/>
  <c r="L465" i="2"/>
  <c r="N465" i="2" s="1"/>
  <c r="J465" i="2"/>
  <c r="G465" i="2"/>
  <c r="Z464" i="2"/>
  <c r="U464" i="2"/>
  <c r="S464" i="2"/>
  <c r="Q464" i="2"/>
  <c r="V464" i="2" s="1"/>
  <c r="P464" i="2"/>
  <c r="O464" i="2"/>
  <c r="N464" i="2"/>
  <c r="M464" i="2"/>
  <c r="L464" i="2"/>
  <c r="G464" i="2"/>
  <c r="J464" i="2" s="1"/>
  <c r="S463" i="2"/>
  <c r="P463" i="2"/>
  <c r="U463" i="2" s="1"/>
  <c r="O463" i="2"/>
  <c r="Q463" i="2" s="1"/>
  <c r="V463" i="2" s="1"/>
  <c r="M463" i="2"/>
  <c r="L463" i="2"/>
  <c r="G463" i="2"/>
  <c r="J463" i="2" s="1"/>
  <c r="AA463" i="2" s="1"/>
  <c r="U462" i="2"/>
  <c r="S462" i="2"/>
  <c r="P462" i="2"/>
  <c r="O462" i="2"/>
  <c r="Q462" i="2" s="1"/>
  <c r="V462" i="2" s="1"/>
  <c r="N462" i="2"/>
  <c r="M462" i="2"/>
  <c r="L462" i="2"/>
  <c r="G462" i="2"/>
  <c r="J462" i="2" s="1"/>
  <c r="V461" i="2"/>
  <c r="S461" i="2"/>
  <c r="Q461" i="2"/>
  <c r="P461" i="2"/>
  <c r="O461" i="2"/>
  <c r="M461" i="2"/>
  <c r="L461" i="2"/>
  <c r="N461" i="2" s="1"/>
  <c r="J461" i="2"/>
  <c r="G461" i="2"/>
  <c r="AA460" i="2"/>
  <c r="S460" i="2"/>
  <c r="P460" i="2"/>
  <c r="O460" i="2"/>
  <c r="M460" i="2"/>
  <c r="L460" i="2"/>
  <c r="N460" i="2" s="1"/>
  <c r="J460" i="2"/>
  <c r="G460" i="2"/>
  <c r="S459" i="2"/>
  <c r="P459" i="2"/>
  <c r="U459" i="2" s="1"/>
  <c r="O459" i="2"/>
  <c r="M459" i="2"/>
  <c r="N459" i="2" s="1"/>
  <c r="L459" i="2"/>
  <c r="J459" i="2"/>
  <c r="AA459" i="2" s="1"/>
  <c r="G459" i="2"/>
  <c r="U458" i="2"/>
  <c r="S458" i="2"/>
  <c r="P458" i="2"/>
  <c r="O458" i="2"/>
  <c r="Q458" i="2" s="1"/>
  <c r="V458" i="2" s="1"/>
  <c r="Z458" i="2" s="1"/>
  <c r="M458" i="2"/>
  <c r="L458" i="2"/>
  <c r="N458" i="2" s="1"/>
  <c r="G458" i="2"/>
  <c r="J458" i="2" s="1"/>
  <c r="S457" i="2"/>
  <c r="Q457" i="2"/>
  <c r="V457" i="2" s="1"/>
  <c r="P457" i="2"/>
  <c r="U457" i="2" s="1"/>
  <c r="O457" i="2"/>
  <c r="M457" i="2"/>
  <c r="L457" i="2"/>
  <c r="N457" i="2" s="1"/>
  <c r="G457" i="2"/>
  <c r="J457" i="2" s="1"/>
  <c r="W456" i="2"/>
  <c r="U456" i="2"/>
  <c r="S456" i="2"/>
  <c r="P456" i="2"/>
  <c r="O456" i="2"/>
  <c r="Q456" i="2" s="1"/>
  <c r="V456" i="2" s="1"/>
  <c r="N456" i="2"/>
  <c r="M456" i="2"/>
  <c r="L456" i="2"/>
  <c r="J456" i="2"/>
  <c r="AA456" i="2" s="1"/>
  <c r="G456" i="2"/>
  <c r="S455" i="2"/>
  <c r="P455" i="2"/>
  <c r="U455" i="2" s="1"/>
  <c r="O455" i="2"/>
  <c r="M455" i="2"/>
  <c r="N455" i="2" s="1"/>
  <c r="W455" i="2" s="1"/>
  <c r="L455" i="2"/>
  <c r="G455" i="2"/>
  <c r="J455" i="2" s="1"/>
  <c r="AA455" i="2" s="1"/>
  <c r="S454" i="2"/>
  <c r="P454" i="2"/>
  <c r="U454" i="2" s="1"/>
  <c r="O454" i="2"/>
  <c r="N454" i="2"/>
  <c r="M454" i="2"/>
  <c r="L454" i="2"/>
  <c r="J454" i="2"/>
  <c r="AA454" i="2" s="1"/>
  <c r="G454" i="2"/>
  <c r="U453" i="2"/>
  <c r="S453" i="2"/>
  <c r="P453" i="2"/>
  <c r="O453" i="2"/>
  <c r="Q453" i="2" s="1"/>
  <c r="V453" i="2" s="1"/>
  <c r="M453" i="2"/>
  <c r="L453" i="2"/>
  <c r="N453" i="2" s="1"/>
  <c r="G453" i="2"/>
  <c r="J453" i="2" s="1"/>
  <c r="V452" i="2"/>
  <c r="Z452" i="2" s="1"/>
  <c r="S452" i="2"/>
  <c r="P452" i="2"/>
  <c r="U452" i="2" s="1"/>
  <c r="O452" i="2"/>
  <c r="Q452" i="2" s="1"/>
  <c r="M452" i="2"/>
  <c r="L452" i="2"/>
  <c r="G452" i="2"/>
  <c r="J452" i="2" s="1"/>
  <c r="AA452" i="2" s="1"/>
  <c r="S451" i="2"/>
  <c r="P451" i="2"/>
  <c r="O451" i="2"/>
  <c r="Q451" i="2" s="1"/>
  <c r="V451" i="2" s="1"/>
  <c r="N451" i="2"/>
  <c r="M451" i="2"/>
  <c r="L451" i="2"/>
  <c r="J451" i="2"/>
  <c r="AA451" i="2" s="1"/>
  <c r="G451" i="2"/>
  <c r="S450" i="2"/>
  <c r="P450" i="2"/>
  <c r="U450" i="2" s="1"/>
  <c r="O450" i="2"/>
  <c r="Q450" i="2" s="1"/>
  <c r="V450" i="2" s="1"/>
  <c r="M450" i="2"/>
  <c r="L450" i="2"/>
  <c r="N450" i="2" s="1"/>
  <c r="G450" i="2"/>
  <c r="J450" i="2" s="1"/>
  <c r="S449" i="2"/>
  <c r="U449" i="2" s="1"/>
  <c r="Q449" i="2"/>
  <c r="V449" i="2" s="1"/>
  <c r="P449" i="2"/>
  <c r="O449" i="2"/>
  <c r="M449" i="2"/>
  <c r="L449" i="2"/>
  <c r="N449" i="2" s="1"/>
  <c r="G449" i="2"/>
  <c r="J449" i="2" s="1"/>
  <c r="AA448" i="2"/>
  <c r="W448" i="2"/>
  <c r="U448" i="2"/>
  <c r="S448" i="2"/>
  <c r="P448" i="2"/>
  <c r="Q448" i="2" s="1"/>
  <c r="V448" i="2" s="1"/>
  <c r="O448" i="2"/>
  <c r="N448" i="2"/>
  <c r="M448" i="2"/>
  <c r="L448" i="2"/>
  <c r="J448" i="2"/>
  <c r="G448" i="2"/>
  <c r="V447" i="2"/>
  <c r="U447" i="2"/>
  <c r="S447" i="2"/>
  <c r="Q447" i="2"/>
  <c r="P447" i="2"/>
  <c r="O447" i="2"/>
  <c r="M447" i="2"/>
  <c r="L447" i="2"/>
  <c r="N447" i="2" s="1"/>
  <c r="G447" i="2"/>
  <c r="J447" i="2" s="1"/>
  <c r="S446" i="2"/>
  <c r="P446" i="2"/>
  <c r="U446" i="2" s="1"/>
  <c r="O446" i="2"/>
  <c r="Q446" i="2" s="1"/>
  <c r="V446" i="2" s="1"/>
  <c r="N446" i="2"/>
  <c r="M446" i="2"/>
  <c r="L446" i="2"/>
  <c r="J446" i="2"/>
  <c r="G446" i="2"/>
  <c r="U445" i="2"/>
  <c r="S445" i="2"/>
  <c r="P445" i="2"/>
  <c r="O445" i="2"/>
  <c r="Q445" i="2" s="1"/>
  <c r="V445" i="2" s="1"/>
  <c r="M445" i="2"/>
  <c r="L445" i="2"/>
  <c r="N445" i="2" s="1"/>
  <c r="G445" i="2"/>
  <c r="J445" i="2" s="1"/>
  <c r="W444" i="2"/>
  <c r="S444" i="2"/>
  <c r="P444" i="2"/>
  <c r="U444" i="2" s="1"/>
  <c r="O444" i="2"/>
  <c r="Q444" i="2" s="1"/>
  <c r="V444" i="2" s="1"/>
  <c r="N444" i="2"/>
  <c r="M444" i="2"/>
  <c r="L444" i="2"/>
  <c r="J444" i="2"/>
  <c r="AA444" i="2" s="1"/>
  <c r="G444" i="2"/>
  <c r="S443" i="2"/>
  <c r="Q443" i="2"/>
  <c r="V443" i="2" s="1"/>
  <c r="P443" i="2"/>
  <c r="U443" i="2" s="1"/>
  <c r="O443" i="2"/>
  <c r="M443" i="2"/>
  <c r="L443" i="2"/>
  <c r="N443" i="2" s="1"/>
  <c r="G443" i="2"/>
  <c r="J443" i="2" s="1"/>
  <c r="S442" i="2"/>
  <c r="P442" i="2"/>
  <c r="U442" i="2" s="1"/>
  <c r="O442" i="2"/>
  <c r="Q442" i="2" s="1"/>
  <c r="V442" i="2" s="1"/>
  <c r="M442" i="2"/>
  <c r="N442" i="2" s="1"/>
  <c r="L442" i="2"/>
  <c r="J442" i="2"/>
  <c r="G442" i="2"/>
  <c r="S441" i="2"/>
  <c r="Q441" i="2"/>
  <c r="V441" i="2" s="1"/>
  <c r="P441" i="2"/>
  <c r="U441" i="2" s="1"/>
  <c r="O441" i="2"/>
  <c r="M441" i="2"/>
  <c r="L441" i="2"/>
  <c r="N441" i="2" s="1"/>
  <c r="G441" i="2"/>
  <c r="J441" i="2" s="1"/>
  <c r="AA440" i="2"/>
  <c r="S440" i="2"/>
  <c r="P440" i="2"/>
  <c r="O440" i="2"/>
  <c r="M440" i="2"/>
  <c r="L440" i="2"/>
  <c r="N440" i="2" s="1"/>
  <c r="J440" i="2"/>
  <c r="G440" i="2"/>
  <c r="S439" i="2"/>
  <c r="P439" i="2"/>
  <c r="U439" i="2" s="1"/>
  <c r="O439" i="2"/>
  <c r="Q439" i="2" s="1"/>
  <c r="V439" i="2" s="1"/>
  <c r="N439" i="2"/>
  <c r="M439" i="2"/>
  <c r="L439" i="2"/>
  <c r="G439" i="2"/>
  <c r="J439" i="2" s="1"/>
  <c r="S438" i="2"/>
  <c r="P438" i="2"/>
  <c r="U438" i="2" s="1"/>
  <c r="O438" i="2"/>
  <c r="Q438" i="2" s="1"/>
  <c r="V438" i="2" s="1"/>
  <c r="M438" i="2"/>
  <c r="N438" i="2" s="1"/>
  <c r="L438" i="2"/>
  <c r="J438" i="2"/>
  <c r="G438" i="2"/>
  <c r="U437" i="2"/>
  <c r="S437" i="2"/>
  <c r="P437" i="2"/>
  <c r="O437" i="2"/>
  <c r="Q437" i="2" s="1"/>
  <c r="V437" i="2" s="1"/>
  <c r="M437" i="2"/>
  <c r="L437" i="2"/>
  <c r="N437" i="2" s="1"/>
  <c r="J437" i="2"/>
  <c r="G437" i="2"/>
  <c r="Z436" i="2"/>
  <c r="V436" i="2"/>
  <c r="X436" i="2" s="1"/>
  <c r="U436" i="2"/>
  <c r="S436" i="2"/>
  <c r="P436" i="2"/>
  <c r="O436" i="2"/>
  <c r="Q436" i="2" s="1"/>
  <c r="M436" i="2"/>
  <c r="L436" i="2"/>
  <c r="N436" i="2" s="1"/>
  <c r="W436" i="2" s="1"/>
  <c r="G436" i="2"/>
  <c r="J436" i="2" s="1"/>
  <c r="AA436" i="2" s="1"/>
  <c r="AA435" i="2"/>
  <c r="Z435" i="2"/>
  <c r="W435" i="2"/>
  <c r="X435" i="2" s="1"/>
  <c r="S435" i="2"/>
  <c r="U435" i="2" s="1"/>
  <c r="P435" i="2"/>
  <c r="O435" i="2"/>
  <c r="Q435" i="2" s="1"/>
  <c r="V435" i="2" s="1"/>
  <c r="N435" i="2"/>
  <c r="M435" i="2"/>
  <c r="L435" i="2"/>
  <c r="J435" i="2"/>
  <c r="G435" i="2"/>
  <c r="AA434" i="2"/>
  <c r="W434" i="2"/>
  <c r="U434" i="2"/>
  <c r="S434" i="2"/>
  <c r="P434" i="2"/>
  <c r="O434" i="2"/>
  <c r="Q434" i="2" s="1"/>
  <c r="V434" i="2" s="1"/>
  <c r="X434" i="2" s="1"/>
  <c r="M434" i="2"/>
  <c r="L434" i="2"/>
  <c r="N434" i="2" s="1"/>
  <c r="G434" i="2"/>
  <c r="J434" i="2" s="1"/>
  <c r="AA433" i="2"/>
  <c r="X433" i="2"/>
  <c r="W433" i="2"/>
  <c r="V433" i="2"/>
  <c r="Z433" i="2" s="1"/>
  <c r="U433" i="2"/>
  <c r="S433" i="2"/>
  <c r="P433" i="2"/>
  <c r="O433" i="2"/>
  <c r="Q433" i="2" s="1"/>
  <c r="M433" i="2"/>
  <c r="L433" i="2"/>
  <c r="N433" i="2" s="1"/>
  <c r="J433" i="2"/>
  <c r="G433" i="2"/>
  <c r="Z432" i="2"/>
  <c r="W432" i="2"/>
  <c r="X432" i="2" s="1"/>
  <c r="V432" i="2"/>
  <c r="U432" i="2"/>
  <c r="S432" i="2"/>
  <c r="P432" i="2"/>
  <c r="Q432" i="2" s="1"/>
  <c r="O432" i="2"/>
  <c r="M432" i="2"/>
  <c r="L432" i="2"/>
  <c r="N432" i="2" s="1"/>
  <c r="J432" i="2"/>
  <c r="AA432" i="2" s="1"/>
  <c r="G432" i="2"/>
  <c r="S431" i="2"/>
  <c r="U431" i="2" s="1"/>
  <c r="P431" i="2"/>
  <c r="O431" i="2"/>
  <c r="Q431" i="2" s="1"/>
  <c r="V431" i="2" s="1"/>
  <c r="M431" i="2"/>
  <c r="L431" i="2"/>
  <c r="G431" i="2"/>
  <c r="J431" i="2" s="1"/>
  <c r="AA431" i="2" s="1"/>
  <c r="AA430" i="2"/>
  <c r="S430" i="2"/>
  <c r="P430" i="2"/>
  <c r="U430" i="2" s="1"/>
  <c r="O430" i="2"/>
  <c r="Q430" i="2" s="1"/>
  <c r="V430" i="2" s="1"/>
  <c r="M430" i="2"/>
  <c r="L430" i="2"/>
  <c r="N430" i="2" s="1"/>
  <c r="W430" i="2" s="1"/>
  <c r="J430" i="2"/>
  <c r="G430" i="2"/>
  <c r="AA429" i="2"/>
  <c r="U429" i="2"/>
  <c r="S429" i="2"/>
  <c r="P429" i="2"/>
  <c r="O429" i="2"/>
  <c r="Q429" i="2" s="1"/>
  <c r="V429" i="2" s="1"/>
  <c r="M429" i="2"/>
  <c r="L429" i="2"/>
  <c r="N429" i="2" s="1"/>
  <c r="J429" i="2"/>
  <c r="G429" i="2"/>
  <c r="Z428" i="2"/>
  <c r="S428" i="2"/>
  <c r="P428" i="2"/>
  <c r="U428" i="2" s="1"/>
  <c r="O428" i="2"/>
  <c r="Q428" i="2" s="1"/>
  <c r="V428" i="2" s="1"/>
  <c r="M428" i="2"/>
  <c r="L428" i="2"/>
  <c r="N428" i="2" s="1"/>
  <c r="G428" i="2"/>
  <c r="J428" i="2" s="1"/>
  <c r="Z427" i="2"/>
  <c r="U427" i="2"/>
  <c r="S427" i="2"/>
  <c r="P427" i="2"/>
  <c r="O427" i="2"/>
  <c r="Q427" i="2" s="1"/>
  <c r="V427" i="2" s="1"/>
  <c r="M427" i="2"/>
  <c r="L427" i="2"/>
  <c r="G427" i="2"/>
  <c r="J427" i="2" s="1"/>
  <c r="S426" i="2"/>
  <c r="P426" i="2"/>
  <c r="O426" i="2"/>
  <c r="Q426" i="2" s="1"/>
  <c r="V426" i="2" s="1"/>
  <c r="M426" i="2"/>
  <c r="L426" i="2"/>
  <c r="N426" i="2" s="1"/>
  <c r="J426" i="2"/>
  <c r="W426" i="2" s="1"/>
  <c r="G426" i="2"/>
  <c r="Z425" i="2"/>
  <c r="U425" i="2"/>
  <c r="S425" i="2"/>
  <c r="Q425" i="2"/>
  <c r="V425" i="2" s="1"/>
  <c r="P425" i="2"/>
  <c r="O425" i="2"/>
  <c r="M425" i="2"/>
  <c r="L425" i="2"/>
  <c r="G425" i="2"/>
  <c r="J425" i="2" s="1"/>
  <c r="Z424" i="2"/>
  <c r="V424" i="2"/>
  <c r="S424" i="2"/>
  <c r="U424" i="2" s="1"/>
  <c r="Q424" i="2"/>
  <c r="P424" i="2"/>
  <c r="O424" i="2"/>
  <c r="M424" i="2"/>
  <c r="L424" i="2"/>
  <c r="N424" i="2" s="1"/>
  <c r="G424" i="2"/>
  <c r="J424" i="2" s="1"/>
  <c r="AA424" i="2" s="1"/>
  <c r="W423" i="2"/>
  <c r="U423" i="2"/>
  <c r="S423" i="2"/>
  <c r="P423" i="2"/>
  <c r="O423" i="2"/>
  <c r="Q423" i="2" s="1"/>
  <c r="V423" i="2" s="1"/>
  <c r="M423" i="2"/>
  <c r="L423" i="2"/>
  <c r="N423" i="2" s="1"/>
  <c r="J423" i="2"/>
  <c r="AA423" i="2" s="1"/>
  <c r="G423" i="2"/>
  <c r="S422" i="2"/>
  <c r="P422" i="2"/>
  <c r="U422" i="2" s="1"/>
  <c r="O422" i="2"/>
  <c r="N422" i="2"/>
  <c r="M422" i="2"/>
  <c r="L422" i="2"/>
  <c r="G422" i="2"/>
  <c r="J422" i="2" s="1"/>
  <c r="AA422" i="2" s="1"/>
  <c r="S421" i="2"/>
  <c r="P421" i="2"/>
  <c r="U421" i="2" s="1"/>
  <c r="O421" i="2"/>
  <c r="Q421" i="2" s="1"/>
  <c r="V421" i="2" s="1"/>
  <c r="Z421" i="2" s="1"/>
  <c r="M421" i="2"/>
  <c r="N421" i="2" s="1"/>
  <c r="W421" i="2" s="1"/>
  <c r="L421" i="2"/>
  <c r="J421" i="2"/>
  <c r="AA421" i="2" s="1"/>
  <c r="G421" i="2"/>
  <c r="W420" i="2"/>
  <c r="U420" i="2"/>
  <c r="S420" i="2"/>
  <c r="P420" i="2"/>
  <c r="O420" i="2"/>
  <c r="Q420" i="2" s="1"/>
  <c r="V420" i="2" s="1"/>
  <c r="M420" i="2"/>
  <c r="N420" i="2" s="1"/>
  <c r="L420" i="2"/>
  <c r="G420" i="2"/>
  <c r="J420" i="2" s="1"/>
  <c r="AA420" i="2" s="1"/>
  <c r="Z419" i="2"/>
  <c r="X419" i="2"/>
  <c r="S419" i="2"/>
  <c r="Q419" i="2"/>
  <c r="V419" i="2" s="1"/>
  <c r="P419" i="2"/>
  <c r="O419" i="2"/>
  <c r="M419" i="2"/>
  <c r="N419" i="2" s="1"/>
  <c r="W419" i="2" s="1"/>
  <c r="L419" i="2"/>
  <c r="J419" i="2"/>
  <c r="AA419" i="2" s="1"/>
  <c r="G419" i="2"/>
  <c r="AA418" i="2"/>
  <c r="X418" i="2"/>
  <c r="W418" i="2"/>
  <c r="S418" i="2"/>
  <c r="Q418" i="2"/>
  <c r="V418" i="2" s="1"/>
  <c r="Z418" i="2" s="1"/>
  <c r="P418" i="2"/>
  <c r="U418" i="2" s="1"/>
  <c r="O418" i="2"/>
  <c r="N418" i="2"/>
  <c r="M418" i="2"/>
  <c r="L418" i="2"/>
  <c r="G418" i="2"/>
  <c r="J418" i="2" s="1"/>
  <c r="AA417" i="2"/>
  <c r="V417" i="2"/>
  <c r="Z417" i="2" s="1"/>
  <c r="U417" i="2"/>
  <c r="S417" i="2"/>
  <c r="P417" i="2"/>
  <c r="O417" i="2"/>
  <c r="Q417" i="2" s="1"/>
  <c r="M417" i="2"/>
  <c r="L417" i="2"/>
  <c r="G417" i="2"/>
  <c r="J417" i="2" s="1"/>
  <c r="AA416" i="2"/>
  <c r="S416" i="2"/>
  <c r="P416" i="2"/>
  <c r="Q416" i="2" s="1"/>
  <c r="V416" i="2" s="1"/>
  <c r="O416" i="2"/>
  <c r="N416" i="2"/>
  <c r="W416" i="2" s="1"/>
  <c r="M416" i="2"/>
  <c r="L416" i="2"/>
  <c r="J416" i="2"/>
  <c r="G416" i="2"/>
  <c r="V415" i="2"/>
  <c r="Z415" i="2" s="1"/>
  <c r="S415" i="2"/>
  <c r="U415" i="2" s="1"/>
  <c r="Q415" i="2"/>
  <c r="P415" i="2"/>
  <c r="O415" i="2"/>
  <c r="M415" i="2"/>
  <c r="L415" i="2"/>
  <c r="J415" i="2"/>
  <c r="AA415" i="2" s="1"/>
  <c r="G415" i="2"/>
  <c r="W414" i="2"/>
  <c r="S414" i="2"/>
  <c r="U414" i="2" s="1"/>
  <c r="P414" i="2"/>
  <c r="O414" i="2"/>
  <c r="Q414" i="2" s="1"/>
  <c r="V414" i="2" s="1"/>
  <c r="N414" i="2"/>
  <c r="M414" i="2"/>
  <c r="L414" i="2"/>
  <c r="J414" i="2"/>
  <c r="AA414" i="2" s="1"/>
  <c r="G414" i="2"/>
  <c r="U413" i="2"/>
  <c r="S413" i="2"/>
  <c r="P413" i="2"/>
  <c r="O413" i="2"/>
  <c r="Q413" i="2" s="1"/>
  <c r="V413" i="2" s="1"/>
  <c r="N413" i="2"/>
  <c r="M413" i="2"/>
  <c r="L413" i="2"/>
  <c r="G413" i="2"/>
  <c r="J413" i="2" s="1"/>
  <c r="AA413" i="2" s="1"/>
  <c r="AA412" i="2"/>
  <c r="S412" i="2"/>
  <c r="P412" i="2"/>
  <c r="O412" i="2"/>
  <c r="Q412" i="2" s="1"/>
  <c r="V412" i="2" s="1"/>
  <c r="N412" i="2"/>
  <c r="W412" i="2" s="1"/>
  <c r="M412" i="2"/>
  <c r="L412" i="2"/>
  <c r="J412" i="2"/>
  <c r="G412" i="2"/>
  <c r="S411" i="2"/>
  <c r="P411" i="2"/>
  <c r="U411" i="2" s="1"/>
  <c r="O411" i="2"/>
  <c r="Q411" i="2" s="1"/>
  <c r="V411" i="2" s="1"/>
  <c r="M411" i="2"/>
  <c r="N411" i="2" s="1"/>
  <c r="W411" i="2" s="1"/>
  <c r="L411" i="2"/>
  <c r="J411" i="2"/>
  <c r="AA411" i="2" s="1"/>
  <c r="G411" i="2"/>
  <c r="S410" i="2"/>
  <c r="P410" i="2"/>
  <c r="O410" i="2"/>
  <c r="Q410" i="2" s="1"/>
  <c r="V410" i="2" s="1"/>
  <c r="Z410" i="2" s="1"/>
  <c r="M410" i="2"/>
  <c r="L410" i="2"/>
  <c r="N410" i="2" s="1"/>
  <c r="G410" i="2"/>
  <c r="J410" i="2" s="1"/>
  <c r="AA409" i="2"/>
  <c r="W409" i="2"/>
  <c r="S409" i="2"/>
  <c r="P409" i="2"/>
  <c r="U409" i="2" s="1"/>
  <c r="O409" i="2"/>
  <c r="Q409" i="2" s="1"/>
  <c r="V409" i="2" s="1"/>
  <c r="N409" i="2"/>
  <c r="M409" i="2"/>
  <c r="L409" i="2"/>
  <c r="J409" i="2"/>
  <c r="G409" i="2"/>
  <c r="V408" i="2"/>
  <c r="S408" i="2"/>
  <c r="Q408" i="2"/>
  <c r="P408" i="2"/>
  <c r="U408" i="2" s="1"/>
  <c r="O408" i="2"/>
  <c r="M408" i="2"/>
  <c r="L408" i="2"/>
  <c r="N408" i="2" s="1"/>
  <c r="J408" i="2"/>
  <c r="G408" i="2"/>
  <c r="S407" i="2"/>
  <c r="P407" i="2"/>
  <c r="U407" i="2" s="1"/>
  <c r="O407" i="2"/>
  <c r="Q407" i="2" s="1"/>
  <c r="V407" i="2" s="1"/>
  <c r="N407" i="2"/>
  <c r="M407" i="2"/>
  <c r="L407" i="2"/>
  <c r="J407" i="2"/>
  <c r="G407" i="2"/>
  <c r="S406" i="2"/>
  <c r="Q406" i="2"/>
  <c r="V406" i="2" s="1"/>
  <c r="P406" i="2"/>
  <c r="O406" i="2"/>
  <c r="M406" i="2"/>
  <c r="L406" i="2"/>
  <c r="N406" i="2" s="1"/>
  <c r="G406" i="2"/>
  <c r="J406" i="2" s="1"/>
  <c r="AA405" i="2"/>
  <c r="U405" i="2"/>
  <c r="S405" i="2"/>
  <c r="P405" i="2"/>
  <c r="O405" i="2"/>
  <c r="Q405" i="2" s="1"/>
  <c r="V405" i="2" s="1"/>
  <c r="N405" i="2"/>
  <c r="M405" i="2"/>
  <c r="L405" i="2"/>
  <c r="J405" i="2"/>
  <c r="G405" i="2"/>
  <c r="S404" i="2"/>
  <c r="P404" i="2"/>
  <c r="U404" i="2" s="1"/>
  <c r="O404" i="2"/>
  <c r="Q404" i="2" s="1"/>
  <c r="V404" i="2" s="1"/>
  <c r="M404" i="2"/>
  <c r="L404" i="2"/>
  <c r="N404" i="2" s="1"/>
  <c r="G404" i="2"/>
  <c r="J404" i="2" s="1"/>
  <c r="S403" i="2"/>
  <c r="P403" i="2"/>
  <c r="U403" i="2" s="1"/>
  <c r="O403" i="2"/>
  <c r="M403" i="2"/>
  <c r="N403" i="2" s="1"/>
  <c r="L403" i="2"/>
  <c r="J403" i="2"/>
  <c r="G403" i="2"/>
  <c r="U402" i="2"/>
  <c r="S402" i="2"/>
  <c r="P402" i="2"/>
  <c r="O402" i="2"/>
  <c r="Q402" i="2" s="1"/>
  <c r="V402" i="2" s="1"/>
  <c r="M402" i="2"/>
  <c r="L402" i="2"/>
  <c r="N402" i="2" s="1"/>
  <c r="G402" i="2"/>
  <c r="J402" i="2" s="1"/>
  <c r="S401" i="2"/>
  <c r="Q401" i="2"/>
  <c r="V401" i="2" s="1"/>
  <c r="P401" i="2"/>
  <c r="U401" i="2" s="1"/>
  <c r="O401" i="2"/>
  <c r="M401" i="2"/>
  <c r="L401" i="2"/>
  <c r="N401" i="2" s="1"/>
  <c r="G401" i="2"/>
  <c r="J401" i="2" s="1"/>
  <c r="AA400" i="2"/>
  <c r="Z400" i="2"/>
  <c r="U400" i="2"/>
  <c r="S400" i="2"/>
  <c r="Q400" i="2"/>
  <c r="V400" i="2" s="1"/>
  <c r="P400" i="2"/>
  <c r="O400" i="2"/>
  <c r="N400" i="2"/>
  <c r="M400" i="2"/>
  <c r="L400" i="2"/>
  <c r="G400" i="2"/>
  <c r="J400" i="2" s="1"/>
  <c r="W400" i="2" s="1"/>
  <c r="S399" i="2"/>
  <c r="U399" i="2" s="1"/>
  <c r="P399" i="2"/>
  <c r="O399" i="2"/>
  <c r="Q399" i="2" s="1"/>
  <c r="V399" i="2" s="1"/>
  <c r="M399" i="2"/>
  <c r="L399" i="2"/>
  <c r="G399" i="2"/>
  <c r="J399" i="2" s="1"/>
  <c r="S398" i="2"/>
  <c r="P398" i="2"/>
  <c r="U398" i="2" s="1"/>
  <c r="O398" i="2"/>
  <c r="M398" i="2"/>
  <c r="L398" i="2"/>
  <c r="G398" i="2"/>
  <c r="J398" i="2" s="1"/>
  <c r="V397" i="2"/>
  <c r="U397" i="2"/>
  <c r="S397" i="2"/>
  <c r="P397" i="2"/>
  <c r="O397" i="2"/>
  <c r="Q397" i="2" s="1"/>
  <c r="M397" i="2"/>
  <c r="L397" i="2"/>
  <c r="N397" i="2" s="1"/>
  <c r="G397" i="2"/>
  <c r="J397" i="2" s="1"/>
  <c r="S396" i="2"/>
  <c r="P396" i="2"/>
  <c r="U396" i="2" s="1"/>
  <c r="O396" i="2"/>
  <c r="Q396" i="2" s="1"/>
  <c r="V396" i="2" s="1"/>
  <c r="N396" i="2"/>
  <c r="M396" i="2"/>
  <c r="L396" i="2"/>
  <c r="G396" i="2"/>
  <c r="J396" i="2" s="1"/>
  <c r="U395" i="2"/>
  <c r="S395" i="2"/>
  <c r="P395" i="2"/>
  <c r="Q395" i="2" s="1"/>
  <c r="V395" i="2" s="1"/>
  <c r="O395" i="2"/>
  <c r="M395" i="2"/>
  <c r="L395" i="2"/>
  <c r="N395" i="2" s="1"/>
  <c r="J395" i="2"/>
  <c r="AA395" i="2" s="1"/>
  <c r="G395" i="2"/>
  <c r="S394" i="2"/>
  <c r="P394" i="2"/>
  <c r="O394" i="2"/>
  <c r="Q394" i="2" s="1"/>
  <c r="V394" i="2" s="1"/>
  <c r="N394" i="2"/>
  <c r="M394" i="2"/>
  <c r="L394" i="2"/>
  <c r="J394" i="2"/>
  <c r="G394" i="2"/>
  <c r="S393" i="2"/>
  <c r="U393" i="2" s="1"/>
  <c r="P393" i="2"/>
  <c r="O393" i="2"/>
  <c r="Q393" i="2" s="1"/>
  <c r="V393" i="2" s="1"/>
  <c r="M393" i="2"/>
  <c r="L393" i="2"/>
  <c r="N393" i="2" s="1"/>
  <c r="G393" i="2"/>
  <c r="J393" i="2" s="1"/>
  <c r="AA392" i="2"/>
  <c r="S392" i="2"/>
  <c r="P392" i="2"/>
  <c r="O392" i="2"/>
  <c r="M392" i="2"/>
  <c r="L392" i="2"/>
  <c r="N392" i="2" s="1"/>
  <c r="J392" i="2"/>
  <c r="G392" i="2"/>
  <c r="U391" i="2"/>
  <c r="S391" i="2"/>
  <c r="P391" i="2"/>
  <c r="O391" i="2"/>
  <c r="Q391" i="2" s="1"/>
  <c r="V391" i="2" s="1"/>
  <c r="M391" i="2"/>
  <c r="L391" i="2"/>
  <c r="G391" i="2"/>
  <c r="J391" i="2" s="1"/>
  <c r="Z390" i="2"/>
  <c r="W390" i="2"/>
  <c r="V390" i="2"/>
  <c r="U390" i="2"/>
  <c r="S390" i="2"/>
  <c r="P390" i="2"/>
  <c r="O390" i="2"/>
  <c r="Q390" i="2" s="1"/>
  <c r="M390" i="2"/>
  <c r="L390" i="2"/>
  <c r="N390" i="2" s="1"/>
  <c r="J390" i="2"/>
  <c r="AA390" i="2" s="1"/>
  <c r="G390" i="2"/>
  <c r="W389" i="2"/>
  <c r="S389" i="2"/>
  <c r="U389" i="2" s="1"/>
  <c r="Q389" i="2"/>
  <c r="V389" i="2" s="1"/>
  <c r="P389" i="2"/>
  <c r="O389" i="2"/>
  <c r="M389" i="2"/>
  <c r="N389" i="2" s="1"/>
  <c r="L389" i="2"/>
  <c r="J389" i="2"/>
  <c r="AA389" i="2" s="1"/>
  <c r="G389" i="2"/>
  <c r="V388" i="2"/>
  <c r="S388" i="2"/>
  <c r="U388" i="2" s="1"/>
  <c r="Q388" i="2"/>
  <c r="P388" i="2"/>
  <c r="O388" i="2"/>
  <c r="M388" i="2"/>
  <c r="N388" i="2" s="1"/>
  <c r="L388" i="2"/>
  <c r="G388" i="2"/>
  <c r="J388" i="2" s="1"/>
  <c r="AA388" i="2" s="1"/>
  <c r="AA387" i="2"/>
  <c r="S387" i="2"/>
  <c r="P387" i="2"/>
  <c r="O387" i="2"/>
  <c r="M387" i="2"/>
  <c r="N387" i="2" s="1"/>
  <c r="W387" i="2" s="1"/>
  <c r="L387" i="2"/>
  <c r="J387" i="2"/>
  <c r="G387" i="2"/>
  <c r="S386" i="2"/>
  <c r="U386" i="2" s="1"/>
  <c r="Q386" i="2"/>
  <c r="V386" i="2" s="1"/>
  <c r="P386" i="2"/>
  <c r="O386" i="2"/>
  <c r="N386" i="2"/>
  <c r="M386" i="2"/>
  <c r="L386" i="2"/>
  <c r="G386" i="2"/>
  <c r="J386" i="2" s="1"/>
  <c r="AA386" i="2" s="1"/>
  <c r="Z385" i="2"/>
  <c r="S385" i="2"/>
  <c r="U385" i="2" s="1"/>
  <c r="Q385" i="2"/>
  <c r="V385" i="2" s="1"/>
  <c r="P385" i="2"/>
  <c r="O385" i="2"/>
  <c r="M385" i="2"/>
  <c r="L385" i="2"/>
  <c r="N385" i="2" s="1"/>
  <c r="G385" i="2"/>
  <c r="J385" i="2" s="1"/>
  <c r="S384" i="2"/>
  <c r="U384" i="2" s="1"/>
  <c r="Q384" i="2"/>
  <c r="V384" i="2" s="1"/>
  <c r="P384" i="2"/>
  <c r="O384" i="2"/>
  <c r="N384" i="2"/>
  <c r="M384" i="2"/>
  <c r="L384" i="2"/>
  <c r="J384" i="2"/>
  <c r="G384" i="2"/>
  <c r="Z383" i="2"/>
  <c r="S383" i="2"/>
  <c r="U383" i="2" s="1"/>
  <c r="P383" i="2"/>
  <c r="O383" i="2"/>
  <c r="Q383" i="2" s="1"/>
  <c r="V383" i="2" s="1"/>
  <c r="M383" i="2"/>
  <c r="L383" i="2"/>
  <c r="G383" i="2"/>
  <c r="J383" i="2" s="1"/>
  <c r="S382" i="2"/>
  <c r="U382" i="2" s="1"/>
  <c r="P382" i="2"/>
  <c r="O382" i="2"/>
  <c r="M382" i="2"/>
  <c r="N382" i="2" s="1"/>
  <c r="L382" i="2"/>
  <c r="G382" i="2"/>
  <c r="J382" i="2" s="1"/>
  <c r="U381" i="2"/>
  <c r="S381" i="2"/>
  <c r="P381" i="2"/>
  <c r="O381" i="2"/>
  <c r="Q381" i="2" s="1"/>
  <c r="V381" i="2" s="1"/>
  <c r="Z381" i="2" s="1"/>
  <c r="M381" i="2"/>
  <c r="L381" i="2"/>
  <c r="N381" i="2" s="1"/>
  <c r="G381" i="2"/>
  <c r="J381" i="2" s="1"/>
  <c r="S380" i="2"/>
  <c r="P380" i="2"/>
  <c r="O380" i="2"/>
  <c r="M380" i="2"/>
  <c r="N380" i="2" s="1"/>
  <c r="L380" i="2"/>
  <c r="G380" i="2"/>
  <c r="J380" i="2" s="1"/>
  <c r="AA379" i="2"/>
  <c r="Z379" i="2"/>
  <c r="U379" i="2"/>
  <c r="S379" i="2"/>
  <c r="Q379" i="2"/>
  <c r="V379" i="2" s="1"/>
  <c r="P379" i="2"/>
  <c r="O379" i="2"/>
  <c r="M379" i="2"/>
  <c r="N379" i="2" s="1"/>
  <c r="L379" i="2"/>
  <c r="G379" i="2"/>
  <c r="J379" i="2" s="1"/>
  <c r="W379" i="2" s="1"/>
  <c r="AA378" i="2"/>
  <c r="S378" i="2"/>
  <c r="Q378" i="2"/>
  <c r="V378" i="2" s="1"/>
  <c r="X378" i="2" s="1"/>
  <c r="P378" i="2"/>
  <c r="U378" i="2" s="1"/>
  <c r="O378" i="2"/>
  <c r="M378" i="2"/>
  <c r="L378" i="2"/>
  <c r="N378" i="2" s="1"/>
  <c r="G378" i="2"/>
  <c r="J378" i="2" s="1"/>
  <c r="W378" i="2" s="1"/>
  <c r="Z377" i="2"/>
  <c r="W377" i="2"/>
  <c r="U377" i="2"/>
  <c r="S377" i="2"/>
  <c r="Q377" i="2"/>
  <c r="V377" i="2" s="1"/>
  <c r="P377" i="2"/>
  <c r="O377" i="2"/>
  <c r="M377" i="2"/>
  <c r="L377" i="2"/>
  <c r="N377" i="2" s="1"/>
  <c r="J377" i="2"/>
  <c r="AA377" i="2" s="1"/>
  <c r="G377" i="2"/>
  <c r="V376" i="2"/>
  <c r="S376" i="2"/>
  <c r="Q376" i="2"/>
  <c r="P376" i="2"/>
  <c r="U376" i="2" s="1"/>
  <c r="O376" i="2"/>
  <c r="N376" i="2"/>
  <c r="M376" i="2"/>
  <c r="L376" i="2"/>
  <c r="G376" i="2"/>
  <c r="J376" i="2" s="1"/>
  <c r="W376" i="2" s="1"/>
  <c r="AA375" i="2"/>
  <c r="U375" i="2"/>
  <c r="S375" i="2"/>
  <c r="Q375" i="2"/>
  <c r="V375" i="2" s="1"/>
  <c r="P375" i="2"/>
  <c r="O375" i="2"/>
  <c r="N375" i="2"/>
  <c r="M375" i="2"/>
  <c r="L375" i="2"/>
  <c r="G375" i="2"/>
  <c r="J375" i="2" s="1"/>
  <c r="S374" i="2"/>
  <c r="P374" i="2"/>
  <c r="U374" i="2" s="1"/>
  <c r="O374" i="2"/>
  <c r="M374" i="2"/>
  <c r="L374" i="2"/>
  <c r="N374" i="2" s="1"/>
  <c r="G374" i="2"/>
  <c r="J374" i="2" s="1"/>
  <c r="S373" i="2"/>
  <c r="Q373" i="2"/>
  <c r="V373" i="2" s="1"/>
  <c r="P373" i="2"/>
  <c r="O373" i="2"/>
  <c r="M373" i="2"/>
  <c r="L373" i="2"/>
  <c r="N373" i="2" s="1"/>
  <c r="W373" i="2" s="1"/>
  <c r="J373" i="2"/>
  <c r="AA373" i="2" s="1"/>
  <c r="G373" i="2"/>
  <c r="W372" i="2"/>
  <c r="U372" i="2"/>
  <c r="S372" i="2"/>
  <c r="P372" i="2"/>
  <c r="O372" i="2"/>
  <c r="Q372" i="2" s="1"/>
  <c r="V372" i="2" s="1"/>
  <c r="N372" i="2"/>
  <c r="M372" i="2"/>
  <c r="L372" i="2"/>
  <c r="G372" i="2"/>
  <c r="J372" i="2" s="1"/>
  <c r="AA372" i="2" s="1"/>
  <c r="V371" i="2"/>
  <c r="S371" i="2"/>
  <c r="P371" i="2"/>
  <c r="U371" i="2" s="1"/>
  <c r="O371" i="2"/>
  <c r="Q371" i="2" s="1"/>
  <c r="N371" i="2"/>
  <c r="M371" i="2"/>
  <c r="L371" i="2"/>
  <c r="J371" i="2"/>
  <c r="G371" i="2"/>
  <c r="S370" i="2"/>
  <c r="P370" i="2"/>
  <c r="U370" i="2" s="1"/>
  <c r="O370" i="2"/>
  <c r="Q370" i="2" s="1"/>
  <c r="V370" i="2" s="1"/>
  <c r="M370" i="2"/>
  <c r="L370" i="2"/>
  <c r="N370" i="2" s="1"/>
  <c r="G370" i="2"/>
  <c r="J370" i="2" s="1"/>
  <c r="U369" i="2"/>
  <c r="S369" i="2"/>
  <c r="Q369" i="2"/>
  <c r="V369" i="2" s="1"/>
  <c r="P369" i="2"/>
  <c r="O369" i="2"/>
  <c r="M369" i="2"/>
  <c r="L369" i="2"/>
  <c r="N369" i="2" s="1"/>
  <c r="G369" i="2"/>
  <c r="J369" i="2" s="1"/>
  <c r="W368" i="2"/>
  <c r="V368" i="2"/>
  <c r="U368" i="2"/>
  <c r="S368" i="2"/>
  <c r="P368" i="2"/>
  <c r="Q368" i="2" s="1"/>
  <c r="O368" i="2"/>
  <c r="N368" i="2"/>
  <c r="M368" i="2"/>
  <c r="L368" i="2"/>
  <c r="J368" i="2"/>
  <c r="AA368" i="2" s="1"/>
  <c r="G368" i="2"/>
  <c r="W367" i="2"/>
  <c r="S367" i="2"/>
  <c r="U367" i="2" s="1"/>
  <c r="Q367" i="2"/>
  <c r="V367" i="2" s="1"/>
  <c r="P367" i="2"/>
  <c r="O367" i="2"/>
  <c r="M367" i="2"/>
  <c r="L367" i="2"/>
  <c r="N367" i="2" s="1"/>
  <c r="J367" i="2"/>
  <c r="AA367" i="2" s="1"/>
  <c r="G367" i="2"/>
  <c r="S366" i="2"/>
  <c r="P366" i="2"/>
  <c r="U366" i="2" s="1"/>
  <c r="O366" i="2"/>
  <c r="N366" i="2"/>
  <c r="M366" i="2"/>
  <c r="L366" i="2"/>
  <c r="J366" i="2"/>
  <c r="AA366" i="2" s="1"/>
  <c r="G366" i="2"/>
  <c r="U365" i="2"/>
  <c r="S365" i="2"/>
  <c r="P365" i="2"/>
  <c r="O365" i="2"/>
  <c r="Q365" i="2" s="1"/>
  <c r="V365" i="2" s="1"/>
  <c r="M365" i="2"/>
  <c r="L365" i="2"/>
  <c r="N365" i="2" s="1"/>
  <c r="G365" i="2"/>
  <c r="J365" i="2" s="1"/>
  <c r="V364" i="2"/>
  <c r="Z364" i="2" s="1"/>
  <c r="S364" i="2"/>
  <c r="P364" i="2"/>
  <c r="O364" i="2"/>
  <c r="Q364" i="2" s="1"/>
  <c r="M364" i="2"/>
  <c r="L364" i="2"/>
  <c r="J364" i="2"/>
  <c r="AA364" i="2" s="1"/>
  <c r="G364" i="2"/>
  <c r="W363" i="2"/>
  <c r="S363" i="2"/>
  <c r="P363" i="2"/>
  <c r="U363" i="2" s="1"/>
  <c r="O363" i="2"/>
  <c r="Q363" i="2" s="1"/>
  <c r="V363" i="2" s="1"/>
  <c r="N363" i="2"/>
  <c r="M363" i="2"/>
  <c r="L363" i="2"/>
  <c r="J363" i="2"/>
  <c r="AA363" i="2" s="1"/>
  <c r="G363" i="2"/>
  <c r="S362" i="2"/>
  <c r="Q362" i="2"/>
  <c r="V362" i="2" s="1"/>
  <c r="P362" i="2"/>
  <c r="O362" i="2"/>
  <c r="M362" i="2"/>
  <c r="L362" i="2"/>
  <c r="N362" i="2" s="1"/>
  <c r="J362" i="2"/>
  <c r="G362" i="2"/>
  <c r="S361" i="2"/>
  <c r="P361" i="2"/>
  <c r="U361" i="2" s="1"/>
  <c r="O361" i="2"/>
  <c r="Q361" i="2" s="1"/>
  <c r="V361" i="2" s="1"/>
  <c r="M361" i="2"/>
  <c r="N361" i="2" s="1"/>
  <c r="L361" i="2"/>
  <c r="J361" i="2"/>
  <c r="G361" i="2"/>
  <c r="S360" i="2"/>
  <c r="Q360" i="2"/>
  <c r="V360" i="2" s="1"/>
  <c r="P360" i="2"/>
  <c r="O360" i="2"/>
  <c r="M360" i="2"/>
  <c r="L360" i="2"/>
  <c r="N360" i="2" s="1"/>
  <c r="G360" i="2"/>
  <c r="J360" i="2" s="1"/>
  <c r="AA359" i="2"/>
  <c r="U359" i="2"/>
  <c r="S359" i="2"/>
  <c r="Q359" i="2"/>
  <c r="V359" i="2" s="1"/>
  <c r="P359" i="2"/>
  <c r="O359" i="2"/>
  <c r="N359" i="2"/>
  <c r="M359" i="2"/>
  <c r="L359" i="2"/>
  <c r="G359" i="2"/>
  <c r="J359" i="2" s="1"/>
  <c r="S358" i="2"/>
  <c r="P358" i="2"/>
  <c r="U358" i="2" s="1"/>
  <c r="O358" i="2"/>
  <c r="M358" i="2"/>
  <c r="N358" i="2" s="1"/>
  <c r="L358" i="2"/>
  <c r="G358" i="2"/>
  <c r="J358" i="2" s="1"/>
  <c r="AA357" i="2"/>
  <c r="U357" i="2"/>
  <c r="S357" i="2"/>
  <c r="Q357" i="2"/>
  <c r="V357" i="2" s="1"/>
  <c r="P357" i="2"/>
  <c r="O357" i="2"/>
  <c r="N357" i="2"/>
  <c r="M357" i="2"/>
  <c r="L357" i="2"/>
  <c r="J357" i="2"/>
  <c r="G357" i="2"/>
  <c r="U356" i="2"/>
  <c r="S356" i="2"/>
  <c r="P356" i="2"/>
  <c r="O356" i="2"/>
  <c r="Q356" i="2" s="1"/>
  <c r="V356" i="2" s="1"/>
  <c r="M356" i="2"/>
  <c r="L356" i="2"/>
  <c r="N356" i="2" s="1"/>
  <c r="G356" i="2"/>
  <c r="J356" i="2" s="1"/>
  <c r="AA355" i="2"/>
  <c r="W355" i="2"/>
  <c r="S355" i="2"/>
  <c r="P355" i="2"/>
  <c r="O355" i="2"/>
  <c r="M355" i="2"/>
  <c r="N355" i="2" s="1"/>
  <c r="L355" i="2"/>
  <c r="J355" i="2"/>
  <c r="G355" i="2"/>
  <c r="AA354" i="2"/>
  <c r="Z354" i="2"/>
  <c r="U354" i="2"/>
  <c r="S354" i="2"/>
  <c r="Q354" i="2"/>
  <c r="V354" i="2" s="1"/>
  <c r="X354" i="2" s="1"/>
  <c r="P354" i="2"/>
  <c r="O354" i="2"/>
  <c r="M354" i="2"/>
  <c r="L354" i="2"/>
  <c r="N354" i="2" s="1"/>
  <c r="G354" i="2"/>
  <c r="J354" i="2" s="1"/>
  <c r="W354" i="2" s="1"/>
  <c r="Z353" i="2"/>
  <c r="S353" i="2"/>
  <c r="U353" i="2" s="1"/>
  <c r="Q353" i="2"/>
  <c r="V353" i="2" s="1"/>
  <c r="P353" i="2"/>
  <c r="O353" i="2"/>
  <c r="M353" i="2"/>
  <c r="N353" i="2" s="1"/>
  <c r="L353" i="2"/>
  <c r="G353" i="2"/>
  <c r="J353" i="2" s="1"/>
  <c r="AA352" i="2"/>
  <c r="Z352" i="2"/>
  <c r="X352" i="2"/>
  <c r="W352" i="2"/>
  <c r="S352" i="2"/>
  <c r="U352" i="2" s="1"/>
  <c r="Q352" i="2"/>
  <c r="V352" i="2" s="1"/>
  <c r="P352" i="2"/>
  <c r="O352" i="2"/>
  <c r="N352" i="2"/>
  <c r="M352" i="2"/>
  <c r="L352" i="2"/>
  <c r="G352" i="2"/>
  <c r="J352" i="2" s="1"/>
  <c r="Z351" i="2"/>
  <c r="S351" i="2"/>
  <c r="U351" i="2" s="1"/>
  <c r="P351" i="2"/>
  <c r="O351" i="2"/>
  <c r="Q351" i="2" s="1"/>
  <c r="V351" i="2" s="1"/>
  <c r="M351" i="2"/>
  <c r="L351" i="2"/>
  <c r="N351" i="2" s="1"/>
  <c r="J351" i="2"/>
  <c r="G351" i="2"/>
  <c r="S350" i="2"/>
  <c r="U350" i="2" s="1"/>
  <c r="P350" i="2"/>
  <c r="O350" i="2"/>
  <c r="Q350" i="2" s="1"/>
  <c r="V350" i="2" s="1"/>
  <c r="M350" i="2"/>
  <c r="L350" i="2"/>
  <c r="N350" i="2" s="1"/>
  <c r="J350" i="2"/>
  <c r="AA350" i="2" s="1"/>
  <c r="G350" i="2"/>
  <c r="AA349" i="2"/>
  <c r="Z349" i="2"/>
  <c r="U349" i="2"/>
  <c r="S349" i="2"/>
  <c r="P349" i="2"/>
  <c r="O349" i="2"/>
  <c r="Q349" i="2" s="1"/>
  <c r="V349" i="2" s="1"/>
  <c r="N349" i="2"/>
  <c r="M349" i="2"/>
  <c r="L349" i="2"/>
  <c r="J349" i="2"/>
  <c r="W349" i="2" s="1"/>
  <c r="G349" i="2"/>
  <c r="Z348" i="2"/>
  <c r="S348" i="2"/>
  <c r="P348" i="2"/>
  <c r="O348" i="2"/>
  <c r="Q348" i="2" s="1"/>
  <c r="V348" i="2" s="1"/>
  <c r="M348" i="2"/>
  <c r="L348" i="2"/>
  <c r="N348" i="2" s="1"/>
  <c r="G348" i="2"/>
  <c r="J348" i="2" s="1"/>
  <c r="S347" i="2"/>
  <c r="P347" i="2"/>
  <c r="U347" i="2" s="1"/>
  <c r="O347" i="2"/>
  <c r="Q347" i="2" s="1"/>
  <c r="V347" i="2" s="1"/>
  <c r="N347" i="2"/>
  <c r="M347" i="2"/>
  <c r="L347" i="2"/>
  <c r="G347" i="2"/>
  <c r="J347" i="2" s="1"/>
  <c r="AA346" i="2"/>
  <c r="S346" i="2"/>
  <c r="P346" i="2"/>
  <c r="U346" i="2" s="1"/>
  <c r="O346" i="2"/>
  <c r="M346" i="2"/>
  <c r="L346" i="2"/>
  <c r="N346" i="2" s="1"/>
  <c r="J346" i="2"/>
  <c r="G346" i="2"/>
  <c r="Z345" i="2"/>
  <c r="U345" i="2"/>
  <c r="S345" i="2"/>
  <c r="P345" i="2"/>
  <c r="O345" i="2"/>
  <c r="Q345" i="2" s="1"/>
  <c r="V345" i="2" s="1"/>
  <c r="M345" i="2"/>
  <c r="L345" i="2"/>
  <c r="G345" i="2"/>
  <c r="J345" i="2" s="1"/>
  <c r="AA345" i="2" s="1"/>
  <c r="U344" i="2"/>
  <c r="S344" i="2"/>
  <c r="P344" i="2"/>
  <c r="O344" i="2"/>
  <c r="Q344" i="2" s="1"/>
  <c r="V344" i="2" s="1"/>
  <c r="N344" i="2"/>
  <c r="M344" i="2"/>
  <c r="L344" i="2"/>
  <c r="J344" i="2"/>
  <c r="AA344" i="2" s="1"/>
  <c r="G344" i="2"/>
  <c r="S343" i="2"/>
  <c r="U343" i="2" s="1"/>
  <c r="Q343" i="2"/>
  <c r="V343" i="2" s="1"/>
  <c r="P343" i="2"/>
  <c r="O343" i="2"/>
  <c r="M343" i="2"/>
  <c r="L343" i="2"/>
  <c r="N343" i="2" s="1"/>
  <c r="G343" i="2"/>
  <c r="J343" i="2" s="1"/>
  <c r="U342" i="2"/>
  <c r="S342" i="2"/>
  <c r="P342" i="2"/>
  <c r="Q342" i="2" s="1"/>
  <c r="V342" i="2" s="1"/>
  <c r="O342" i="2"/>
  <c r="M342" i="2"/>
  <c r="L342" i="2"/>
  <c r="N342" i="2" s="1"/>
  <c r="G342" i="2"/>
  <c r="J342" i="2" s="1"/>
  <c r="AA341" i="2"/>
  <c r="S341" i="2"/>
  <c r="Q341" i="2"/>
  <c r="V341" i="2" s="1"/>
  <c r="Z341" i="2" s="1"/>
  <c r="P341" i="2"/>
  <c r="U341" i="2" s="1"/>
  <c r="O341" i="2"/>
  <c r="M341" i="2"/>
  <c r="L341" i="2"/>
  <c r="N341" i="2" s="1"/>
  <c r="J341" i="2"/>
  <c r="W341" i="2" s="1"/>
  <c r="G341" i="2"/>
  <c r="X340" i="2"/>
  <c r="W340" i="2"/>
  <c r="S340" i="2"/>
  <c r="Q340" i="2"/>
  <c r="V340" i="2" s="1"/>
  <c r="Z340" i="2" s="1"/>
  <c r="P340" i="2"/>
  <c r="U340" i="2" s="1"/>
  <c r="O340" i="2"/>
  <c r="M340" i="2"/>
  <c r="L340" i="2"/>
  <c r="N340" i="2" s="1"/>
  <c r="G340" i="2"/>
  <c r="J340" i="2" s="1"/>
  <c r="AA340" i="2" s="1"/>
  <c r="V339" i="2"/>
  <c r="X339" i="2" s="1"/>
  <c r="S339" i="2"/>
  <c r="U339" i="2" s="1"/>
  <c r="Q339" i="2"/>
  <c r="P339" i="2"/>
  <c r="O339" i="2"/>
  <c r="N339" i="2"/>
  <c r="W339" i="2" s="1"/>
  <c r="M339" i="2"/>
  <c r="L339" i="2"/>
  <c r="J339" i="2"/>
  <c r="AA339" i="2" s="1"/>
  <c r="G339" i="2"/>
  <c r="Z338" i="2"/>
  <c r="X338" i="2"/>
  <c r="W338" i="2"/>
  <c r="V338" i="2"/>
  <c r="S338" i="2"/>
  <c r="U338" i="2" s="1"/>
  <c r="Q338" i="2"/>
  <c r="P338" i="2"/>
  <c r="O338" i="2"/>
  <c r="M338" i="2"/>
  <c r="L338" i="2"/>
  <c r="N338" i="2" s="1"/>
  <c r="G338" i="2"/>
  <c r="J338" i="2" s="1"/>
  <c r="AA338" i="2" s="1"/>
  <c r="S337" i="2"/>
  <c r="P337" i="2"/>
  <c r="U337" i="2" s="1"/>
  <c r="O337" i="2"/>
  <c r="M337" i="2"/>
  <c r="N337" i="2" s="1"/>
  <c r="L337" i="2"/>
  <c r="G337" i="2"/>
  <c r="J337" i="2" s="1"/>
  <c r="AA336" i="2"/>
  <c r="S336" i="2"/>
  <c r="P336" i="2"/>
  <c r="U336" i="2" s="1"/>
  <c r="O336" i="2"/>
  <c r="N336" i="2"/>
  <c r="M336" i="2"/>
  <c r="L336" i="2"/>
  <c r="J336" i="2"/>
  <c r="W336" i="2" s="1"/>
  <c r="G336" i="2"/>
  <c r="AA335" i="2"/>
  <c r="W335" i="2"/>
  <c r="S335" i="2"/>
  <c r="U335" i="2" s="1"/>
  <c r="Q335" i="2"/>
  <c r="V335" i="2" s="1"/>
  <c r="P335" i="2"/>
  <c r="O335" i="2"/>
  <c r="M335" i="2"/>
  <c r="L335" i="2"/>
  <c r="N335" i="2" s="1"/>
  <c r="J335" i="2"/>
  <c r="G335" i="2"/>
  <c r="AA334" i="2"/>
  <c r="W334" i="2"/>
  <c r="S334" i="2"/>
  <c r="U334" i="2" s="1"/>
  <c r="P334" i="2"/>
  <c r="Q334" i="2" s="1"/>
  <c r="V334" i="2" s="1"/>
  <c r="O334" i="2"/>
  <c r="N334" i="2"/>
  <c r="M334" i="2"/>
  <c r="L334" i="2"/>
  <c r="J334" i="2"/>
  <c r="G334" i="2"/>
  <c r="AA333" i="2"/>
  <c r="W333" i="2"/>
  <c r="U333" i="2"/>
  <c r="S333" i="2"/>
  <c r="Q333" i="2"/>
  <c r="V333" i="2" s="1"/>
  <c r="P333" i="2"/>
  <c r="O333" i="2"/>
  <c r="M333" i="2"/>
  <c r="L333" i="2"/>
  <c r="N333" i="2" s="1"/>
  <c r="G333" i="2"/>
  <c r="J333" i="2" s="1"/>
  <c r="V332" i="2"/>
  <c r="S332" i="2"/>
  <c r="P332" i="2"/>
  <c r="U332" i="2" s="1"/>
  <c r="O332" i="2"/>
  <c r="Q332" i="2" s="1"/>
  <c r="M332" i="2"/>
  <c r="N332" i="2" s="1"/>
  <c r="L332" i="2"/>
  <c r="J332" i="2"/>
  <c r="G332" i="2"/>
  <c r="S331" i="2"/>
  <c r="Q331" i="2"/>
  <c r="V331" i="2" s="1"/>
  <c r="P331" i="2"/>
  <c r="U331" i="2" s="1"/>
  <c r="O331" i="2"/>
  <c r="M331" i="2"/>
  <c r="N331" i="2" s="1"/>
  <c r="L331" i="2"/>
  <c r="J331" i="2"/>
  <c r="G331" i="2"/>
  <c r="S330" i="2"/>
  <c r="P330" i="2"/>
  <c r="U330" i="2" s="1"/>
  <c r="O330" i="2"/>
  <c r="Q330" i="2" s="1"/>
  <c r="V330" i="2" s="1"/>
  <c r="N330" i="2"/>
  <c r="M330" i="2"/>
  <c r="L330" i="2"/>
  <c r="G330" i="2"/>
  <c r="J330" i="2" s="1"/>
  <c r="AA329" i="2"/>
  <c r="Z329" i="2"/>
  <c r="S329" i="2"/>
  <c r="Q329" i="2"/>
  <c r="V329" i="2" s="1"/>
  <c r="P329" i="2"/>
  <c r="O329" i="2"/>
  <c r="M329" i="2"/>
  <c r="N329" i="2" s="1"/>
  <c r="W329" i="2" s="1"/>
  <c r="L329" i="2"/>
  <c r="G329" i="2"/>
  <c r="J329" i="2" s="1"/>
  <c r="Z328" i="2"/>
  <c r="U328" i="2"/>
  <c r="S328" i="2"/>
  <c r="P328" i="2"/>
  <c r="O328" i="2"/>
  <c r="Q328" i="2" s="1"/>
  <c r="V328" i="2" s="1"/>
  <c r="N328" i="2"/>
  <c r="M328" i="2"/>
  <c r="L328" i="2"/>
  <c r="G328" i="2"/>
  <c r="J328" i="2" s="1"/>
  <c r="W327" i="2"/>
  <c r="U327" i="2"/>
  <c r="S327" i="2"/>
  <c r="P327" i="2"/>
  <c r="O327" i="2"/>
  <c r="Q327" i="2" s="1"/>
  <c r="V327" i="2" s="1"/>
  <c r="N327" i="2"/>
  <c r="M327" i="2"/>
  <c r="L327" i="2"/>
  <c r="J327" i="2"/>
  <c r="AA327" i="2" s="1"/>
  <c r="G327" i="2"/>
  <c r="S326" i="2"/>
  <c r="P326" i="2"/>
  <c r="U326" i="2" s="1"/>
  <c r="O326" i="2"/>
  <c r="Q326" i="2" s="1"/>
  <c r="V326" i="2" s="1"/>
  <c r="M326" i="2"/>
  <c r="L326" i="2"/>
  <c r="N326" i="2" s="1"/>
  <c r="J326" i="2"/>
  <c r="G326" i="2"/>
  <c r="S325" i="2"/>
  <c r="Q325" i="2"/>
  <c r="V325" i="2" s="1"/>
  <c r="P325" i="2"/>
  <c r="U325" i="2" s="1"/>
  <c r="O325" i="2"/>
  <c r="M325" i="2"/>
  <c r="L325" i="2"/>
  <c r="N325" i="2" s="1"/>
  <c r="W325" i="2" s="1"/>
  <c r="J325" i="2"/>
  <c r="AA325" i="2" s="1"/>
  <c r="G325" i="2"/>
  <c r="W324" i="2"/>
  <c r="S324" i="2"/>
  <c r="U324" i="2" s="1"/>
  <c r="Q324" i="2"/>
  <c r="V324" i="2" s="1"/>
  <c r="P324" i="2"/>
  <c r="O324" i="2"/>
  <c r="N324" i="2"/>
  <c r="M324" i="2"/>
  <c r="L324" i="2"/>
  <c r="G324" i="2"/>
  <c r="J324" i="2" s="1"/>
  <c r="AA324" i="2" s="1"/>
  <c r="S323" i="2"/>
  <c r="Q323" i="2"/>
  <c r="V323" i="2" s="1"/>
  <c r="P323" i="2"/>
  <c r="U323" i="2" s="1"/>
  <c r="O323" i="2"/>
  <c r="N323" i="2"/>
  <c r="M323" i="2"/>
  <c r="L323" i="2"/>
  <c r="J323" i="2"/>
  <c r="AA323" i="2" s="1"/>
  <c r="G323" i="2"/>
  <c r="S322" i="2"/>
  <c r="P322" i="2"/>
  <c r="U322" i="2" s="1"/>
  <c r="O322" i="2"/>
  <c r="Q322" i="2" s="1"/>
  <c r="V322" i="2" s="1"/>
  <c r="N322" i="2"/>
  <c r="M322" i="2"/>
  <c r="L322" i="2"/>
  <c r="G322" i="2"/>
  <c r="J322" i="2" s="1"/>
  <c r="S321" i="2"/>
  <c r="Q321" i="2"/>
  <c r="V321" i="2" s="1"/>
  <c r="P321" i="2"/>
  <c r="U321" i="2" s="1"/>
  <c r="O321" i="2"/>
  <c r="M321" i="2"/>
  <c r="N321" i="2" s="1"/>
  <c r="L321" i="2"/>
  <c r="J321" i="2"/>
  <c r="G321" i="2"/>
  <c r="AA320" i="2"/>
  <c r="U320" i="2"/>
  <c r="S320" i="2"/>
  <c r="Q320" i="2"/>
  <c r="V320" i="2" s="1"/>
  <c r="P320" i="2"/>
  <c r="O320" i="2"/>
  <c r="N320" i="2"/>
  <c r="W320" i="2" s="1"/>
  <c r="M320" i="2"/>
  <c r="L320" i="2"/>
  <c r="J320" i="2"/>
  <c r="G320" i="2"/>
  <c r="S319" i="2"/>
  <c r="U319" i="2" s="1"/>
  <c r="Q319" i="2"/>
  <c r="V319" i="2" s="1"/>
  <c r="Z319" i="2" s="1"/>
  <c r="P319" i="2"/>
  <c r="O319" i="2"/>
  <c r="M319" i="2"/>
  <c r="L319" i="2"/>
  <c r="G319" i="2"/>
  <c r="J319" i="2" s="1"/>
  <c r="S318" i="2"/>
  <c r="P318" i="2"/>
  <c r="O318" i="2"/>
  <c r="M318" i="2"/>
  <c r="L318" i="2"/>
  <c r="N318" i="2" s="1"/>
  <c r="G318" i="2"/>
  <c r="J318" i="2" s="1"/>
  <c r="U317" i="2"/>
  <c r="S317" i="2"/>
  <c r="Q317" i="2"/>
  <c r="V317" i="2" s="1"/>
  <c r="P317" i="2"/>
  <c r="O317" i="2"/>
  <c r="M317" i="2"/>
  <c r="L317" i="2"/>
  <c r="G317" i="2"/>
  <c r="J317" i="2" s="1"/>
  <c r="V316" i="2"/>
  <c r="S316" i="2"/>
  <c r="P316" i="2"/>
  <c r="O316" i="2"/>
  <c r="Q316" i="2" s="1"/>
  <c r="N316" i="2"/>
  <c r="M316" i="2"/>
  <c r="L316" i="2"/>
  <c r="G316" i="2"/>
  <c r="J316" i="2" s="1"/>
  <c r="AA316" i="2" s="1"/>
  <c r="S315" i="2"/>
  <c r="Q315" i="2"/>
  <c r="V315" i="2" s="1"/>
  <c r="P315" i="2"/>
  <c r="U315" i="2" s="1"/>
  <c r="O315" i="2"/>
  <c r="N315" i="2"/>
  <c r="M315" i="2"/>
  <c r="L315" i="2"/>
  <c r="G315" i="2"/>
  <c r="J315" i="2" s="1"/>
  <c r="S314" i="2"/>
  <c r="P314" i="2"/>
  <c r="U314" i="2" s="1"/>
  <c r="O314" i="2"/>
  <c r="Q314" i="2" s="1"/>
  <c r="V314" i="2" s="1"/>
  <c r="M314" i="2"/>
  <c r="L314" i="2"/>
  <c r="G314" i="2"/>
  <c r="J314" i="2" s="1"/>
  <c r="S313" i="2"/>
  <c r="Q313" i="2"/>
  <c r="V313" i="2" s="1"/>
  <c r="P313" i="2"/>
  <c r="U313" i="2" s="1"/>
  <c r="O313" i="2"/>
  <c r="M313" i="2"/>
  <c r="L313" i="2"/>
  <c r="N313" i="2" s="1"/>
  <c r="J313" i="2"/>
  <c r="G313" i="2"/>
  <c r="AA312" i="2"/>
  <c r="S312" i="2"/>
  <c r="P312" i="2"/>
  <c r="U312" i="2" s="1"/>
  <c r="O312" i="2"/>
  <c r="M312" i="2"/>
  <c r="L312" i="2"/>
  <c r="N312" i="2" s="1"/>
  <c r="J312" i="2"/>
  <c r="G312" i="2"/>
  <c r="S311" i="2"/>
  <c r="P311" i="2"/>
  <c r="U311" i="2" s="1"/>
  <c r="O311" i="2"/>
  <c r="Q311" i="2" s="1"/>
  <c r="V311" i="2" s="1"/>
  <c r="M311" i="2"/>
  <c r="N311" i="2" s="1"/>
  <c r="L311" i="2"/>
  <c r="G311" i="2"/>
  <c r="J311" i="2" s="1"/>
  <c r="S310" i="2"/>
  <c r="P310" i="2"/>
  <c r="U310" i="2" s="1"/>
  <c r="O310" i="2"/>
  <c r="M310" i="2"/>
  <c r="L310" i="2"/>
  <c r="N310" i="2" s="1"/>
  <c r="G310" i="2"/>
  <c r="J310" i="2" s="1"/>
  <c r="AA309" i="2"/>
  <c r="V309" i="2"/>
  <c r="Z309" i="2" s="1"/>
  <c r="U309" i="2"/>
  <c r="S309" i="2"/>
  <c r="P309" i="2"/>
  <c r="O309" i="2"/>
  <c r="Q309" i="2" s="1"/>
  <c r="M309" i="2"/>
  <c r="L309" i="2"/>
  <c r="J309" i="2"/>
  <c r="G309" i="2"/>
  <c r="Z308" i="2"/>
  <c r="V308" i="2"/>
  <c r="U308" i="2"/>
  <c r="S308" i="2"/>
  <c r="P308" i="2"/>
  <c r="O308" i="2"/>
  <c r="Q308" i="2" s="1"/>
  <c r="M308" i="2"/>
  <c r="L308" i="2"/>
  <c r="N308" i="2" s="1"/>
  <c r="G308" i="2"/>
  <c r="J308" i="2" s="1"/>
  <c r="AA307" i="2"/>
  <c r="W307" i="2"/>
  <c r="U307" i="2"/>
  <c r="S307" i="2"/>
  <c r="P307" i="2"/>
  <c r="O307" i="2"/>
  <c r="Q307" i="2" s="1"/>
  <c r="V307" i="2" s="1"/>
  <c r="Z307" i="2" s="1"/>
  <c r="N307" i="2"/>
  <c r="M307" i="2"/>
  <c r="L307" i="2"/>
  <c r="J307" i="2"/>
  <c r="G307" i="2"/>
  <c r="AA306" i="2"/>
  <c r="Z306" i="2"/>
  <c r="X306" i="2"/>
  <c r="W306" i="2"/>
  <c r="U306" i="2"/>
  <c r="S306" i="2"/>
  <c r="P306" i="2"/>
  <c r="O306" i="2"/>
  <c r="Q306" i="2" s="1"/>
  <c r="V306" i="2" s="1"/>
  <c r="M306" i="2"/>
  <c r="L306" i="2"/>
  <c r="N306" i="2" s="1"/>
  <c r="G306" i="2"/>
  <c r="J306" i="2" s="1"/>
  <c r="Z305" i="2"/>
  <c r="W305" i="2"/>
  <c r="X305" i="2" s="1"/>
  <c r="V305" i="2"/>
  <c r="U305" i="2"/>
  <c r="S305" i="2"/>
  <c r="P305" i="2"/>
  <c r="O305" i="2"/>
  <c r="Q305" i="2" s="1"/>
  <c r="M305" i="2"/>
  <c r="N305" i="2" s="1"/>
  <c r="L305" i="2"/>
  <c r="J305" i="2"/>
  <c r="AA305" i="2" s="1"/>
  <c r="G305" i="2"/>
  <c r="W304" i="2"/>
  <c r="U304" i="2"/>
  <c r="S304" i="2"/>
  <c r="P304" i="2"/>
  <c r="Q304" i="2" s="1"/>
  <c r="V304" i="2" s="1"/>
  <c r="O304" i="2"/>
  <c r="M304" i="2"/>
  <c r="L304" i="2"/>
  <c r="N304" i="2" s="1"/>
  <c r="J304" i="2"/>
  <c r="AA304" i="2" s="1"/>
  <c r="G304" i="2"/>
  <c r="U303" i="2"/>
  <c r="S303" i="2"/>
  <c r="P303" i="2"/>
  <c r="O303" i="2"/>
  <c r="Q303" i="2" s="1"/>
  <c r="V303" i="2" s="1"/>
  <c r="M303" i="2"/>
  <c r="L303" i="2"/>
  <c r="G303" i="2"/>
  <c r="J303" i="2" s="1"/>
  <c r="V302" i="2"/>
  <c r="Z302" i="2" s="1"/>
  <c r="S302" i="2"/>
  <c r="P302" i="2"/>
  <c r="Q302" i="2" s="1"/>
  <c r="O302" i="2"/>
  <c r="M302" i="2"/>
  <c r="L302" i="2"/>
  <c r="N302" i="2" s="1"/>
  <c r="W302" i="2" s="1"/>
  <c r="J302" i="2"/>
  <c r="AA302" i="2" s="1"/>
  <c r="G302" i="2"/>
  <c r="U301" i="2"/>
  <c r="S301" i="2"/>
  <c r="P301" i="2"/>
  <c r="O301" i="2"/>
  <c r="Q301" i="2" s="1"/>
  <c r="V301" i="2" s="1"/>
  <c r="M301" i="2"/>
  <c r="L301" i="2"/>
  <c r="N301" i="2" s="1"/>
  <c r="J301" i="2"/>
  <c r="G301" i="2"/>
  <c r="AA300" i="2"/>
  <c r="Z300" i="2"/>
  <c r="S300" i="2"/>
  <c r="P300" i="2"/>
  <c r="U300" i="2" s="1"/>
  <c r="O300" i="2"/>
  <c r="Q300" i="2" s="1"/>
  <c r="V300" i="2" s="1"/>
  <c r="M300" i="2"/>
  <c r="L300" i="2"/>
  <c r="N300" i="2" s="1"/>
  <c r="G300" i="2"/>
  <c r="J300" i="2" s="1"/>
  <c r="W300" i="2" s="1"/>
  <c r="Z299" i="2"/>
  <c r="U299" i="2"/>
  <c r="S299" i="2"/>
  <c r="P299" i="2"/>
  <c r="O299" i="2"/>
  <c r="Q299" i="2" s="1"/>
  <c r="V299" i="2" s="1"/>
  <c r="M299" i="2"/>
  <c r="L299" i="2"/>
  <c r="J299" i="2"/>
  <c r="G299" i="2"/>
  <c r="AA298" i="2"/>
  <c r="S298" i="2"/>
  <c r="P298" i="2"/>
  <c r="O298" i="2"/>
  <c r="Q298" i="2" s="1"/>
  <c r="V298" i="2" s="1"/>
  <c r="M298" i="2"/>
  <c r="L298" i="2"/>
  <c r="N298" i="2" s="1"/>
  <c r="J298" i="2"/>
  <c r="W298" i="2" s="1"/>
  <c r="G298" i="2"/>
  <c r="AA297" i="2"/>
  <c r="Z297" i="2"/>
  <c r="U297" i="2"/>
  <c r="S297" i="2"/>
  <c r="Q297" i="2"/>
  <c r="V297" i="2" s="1"/>
  <c r="P297" i="2"/>
  <c r="O297" i="2"/>
  <c r="M297" i="2"/>
  <c r="L297" i="2"/>
  <c r="G297" i="2"/>
  <c r="J297" i="2" s="1"/>
  <c r="S296" i="2"/>
  <c r="U296" i="2" s="1"/>
  <c r="Q296" i="2"/>
  <c r="V296" i="2" s="1"/>
  <c r="P296" i="2"/>
  <c r="O296" i="2"/>
  <c r="M296" i="2"/>
  <c r="L296" i="2"/>
  <c r="N296" i="2" s="1"/>
  <c r="G296" i="2"/>
  <c r="J296" i="2" s="1"/>
  <c r="AA296" i="2" s="1"/>
  <c r="W295" i="2"/>
  <c r="U295" i="2"/>
  <c r="S295" i="2"/>
  <c r="Q295" i="2"/>
  <c r="V295" i="2" s="1"/>
  <c r="P295" i="2"/>
  <c r="O295" i="2"/>
  <c r="M295" i="2"/>
  <c r="L295" i="2"/>
  <c r="N295" i="2" s="1"/>
  <c r="J295" i="2"/>
  <c r="AA295" i="2" s="1"/>
  <c r="G295" i="2"/>
  <c r="S294" i="2"/>
  <c r="P294" i="2"/>
  <c r="U294" i="2" s="1"/>
  <c r="O294" i="2"/>
  <c r="Q294" i="2" s="1"/>
  <c r="V294" i="2" s="1"/>
  <c r="N294" i="2"/>
  <c r="M294" i="2"/>
  <c r="L294" i="2"/>
  <c r="G294" i="2"/>
  <c r="J294" i="2" s="1"/>
  <c r="AA294" i="2" s="1"/>
  <c r="AA293" i="2"/>
  <c r="S293" i="2"/>
  <c r="P293" i="2"/>
  <c r="U293" i="2" s="1"/>
  <c r="O293" i="2"/>
  <c r="Q293" i="2" s="1"/>
  <c r="V293" i="2" s="1"/>
  <c r="M293" i="2"/>
  <c r="N293" i="2" s="1"/>
  <c r="W293" i="2" s="1"/>
  <c r="L293" i="2"/>
  <c r="J293" i="2"/>
  <c r="G293" i="2"/>
  <c r="S292" i="2"/>
  <c r="P292" i="2"/>
  <c r="U292" i="2" s="1"/>
  <c r="O292" i="2"/>
  <c r="Q292" i="2" s="1"/>
  <c r="V292" i="2" s="1"/>
  <c r="M292" i="2"/>
  <c r="N292" i="2" s="1"/>
  <c r="W292" i="2" s="1"/>
  <c r="L292" i="2"/>
  <c r="G292" i="2"/>
  <c r="J292" i="2" s="1"/>
  <c r="AA292" i="2" s="1"/>
  <c r="U291" i="2"/>
  <c r="S291" i="2"/>
  <c r="Q291" i="2"/>
  <c r="V291" i="2" s="1"/>
  <c r="Z291" i="2" s="1"/>
  <c r="P291" i="2"/>
  <c r="O291" i="2"/>
  <c r="M291" i="2"/>
  <c r="N291" i="2" s="1"/>
  <c r="W291" i="2" s="1"/>
  <c r="L291" i="2"/>
  <c r="J291" i="2"/>
  <c r="AA291" i="2" s="1"/>
  <c r="G291" i="2"/>
  <c r="AA290" i="2"/>
  <c r="X290" i="2"/>
  <c r="W290" i="2"/>
  <c r="S290" i="2"/>
  <c r="Q290" i="2"/>
  <c r="V290" i="2" s="1"/>
  <c r="Z290" i="2" s="1"/>
  <c r="P290" i="2"/>
  <c r="O290" i="2"/>
  <c r="N290" i="2"/>
  <c r="M290" i="2"/>
  <c r="L290" i="2"/>
  <c r="G290" i="2"/>
  <c r="J290" i="2" s="1"/>
  <c r="AA289" i="2"/>
  <c r="V289" i="2"/>
  <c r="U289" i="2"/>
  <c r="S289" i="2"/>
  <c r="P289" i="2"/>
  <c r="O289" i="2"/>
  <c r="Q289" i="2" s="1"/>
  <c r="M289" i="2"/>
  <c r="L289" i="2"/>
  <c r="G289" i="2"/>
  <c r="J289" i="2" s="1"/>
  <c r="AA288" i="2"/>
  <c r="W288" i="2"/>
  <c r="S288" i="2"/>
  <c r="P288" i="2"/>
  <c r="Q288" i="2" s="1"/>
  <c r="V288" i="2" s="1"/>
  <c r="O288" i="2"/>
  <c r="N288" i="2"/>
  <c r="M288" i="2"/>
  <c r="L288" i="2"/>
  <c r="J288" i="2"/>
  <c r="G288" i="2"/>
  <c r="V287" i="2"/>
  <c r="U287" i="2"/>
  <c r="S287" i="2"/>
  <c r="Q287" i="2"/>
  <c r="P287" i="2"/>
  <c r="O287" i="2"/>
  <c r="M287" i="2"/>
  <c r="L287" i="2"/>
  <c r="J287" i="2"/>
  <c r="AA287" i="2" s="1"/>
  <c r="G287" i="2"/>
  <c r="U286" i="2"/>
  <c r="S286" i="2"/>
  <c r="P286" i="2"/>
  <c r="O286" i="2"/>
  <c r="N286" i="2"/>
  <c r="W286" i="2" s="1"/>
  <c r="M286" i="2"/>
  <c r="L286" i="2"/>
  <c r="J286" i="2"/>
  <c r="AA286" i="2" s="1"/>
  <c r="G286" i="2"/>
  <c r="U285" i="2"/>
  <c r="S285" i="2"/>
  <c r="P285" i="2"/>
  <c r="O285" i="2"/>
  <c r="Q285" i="2" s="1"/>
  <c r="V285" i="2" s="1"/>
  <c r="N285" i="2"/>
  <c r="M285" i="2"/>
  <c r="L285" i="2"/>
  <c r="G285" i="2"/>
  <c r="J285" i="2" s="1"/>
  <c r="AA284" i="2"/>
  <c r="V284" i="2"/>
  <c r="S284" i="2"/>
  <c r="P284" i="2"/>
  <c r="U284" i="2" s="1"/>
  <c r="O284" i="2"/>
  <c r="Q284" i="2" s="1"/>
  <c r="N284" i="2"/>
  <c r="W284" i="2" s="1"/>
  <c r="M284" i="2"/>
  <c r="L284" i="2"/>
  <c r="J284" i="2"/>
  <c r="G284" i="2"/>
  <c r="Z283" i="2"/>
  <c r="S283" i="2"/>
  <c r="Q283" i="2"/>
  <c r="V283" i="2" s="1"/>
  <c r="P283" i="2"/>
  <c r="U283" i="2" s="1"/>
  <c r="O283" i="2"/>
  <c r="N283" i="2"/>
  <c r="M283" i="2"/>
  <c r="L283" i="2"/>
  <c r="G283" i="2"/>
  <c r="J283" i="2" s="1"/>
  <c r="S282" i="2"/>
  <c r="P282" i="2"/>
  <c r="O282" i="2"/>
  <c r="Q282" i="2" s="1"/>
  <c r="V282" i="2" s="1"/>
  <c r="Z282" i="2" s="1"/>
  <c r="M282" i="2"/>
  <c r="L282" i="2"/>
  <c r="N282" i="2" s="1"/>
  <c r="G282" i="2"/>
  <c r="J282" i="2" s="1"/>
  <c r="AA281" i="2"/>
  <c r="W281" i="2"/>
  <c r="U281" i="2"/>
  <c r="S281" i="2"/>
  <c r="P281" i="2"/>
  <c r="O281" i="2"/>
  <c r="Q281" i="2" s="1"/>
  <c r="V281" i="2" s="1"/>
  <c r="N281" i="2"/>
  <c r="M281" i="2"/>
  <c r="L281" i="2"/>
  <c r="J281" i="2"/>
  <c r="G281" i="2"/>
  <c r="S280" i="2"/>
  <c r="P280" i="2"/>
  <c r="U280" i="2" s="1"/>
  <c r="O280" i="2"/>
  <c r="M280" i="2"/>
  <c r="L280" i="2"/>
  <c r="N280" i="2" s="1"/>
  <c r="J280" i="2"/>
  <c r="G280" i="2"/>
  <c r="S279" i="2"/>
  <c r="Q279" i="2"/>
  <c r="V279" i="2" s="1"/>
  <c r="P279" i="2"/>
  <c r="U279" i="2" s="1"/>
  <c r="O279" i="2"/>
  <c r="M279" i="2"/>
  <c r="L279" i="2"/>
  <c r="N279" i="2" s="1"/>
  <c r="G279" i="2"/>
  <c r="J279" i="2" s="1"/>
  <c r="S278" i="2"/>
  <c r="Q278" i="2"/>
  <c r="V278" i="2" s="1"/>
  <c r="P278" i="2"/>
  <c r="O278" i="2"/>
  <c r="M278" i="2"/>
  <c r="L278" i="2"/>
  <c r="N278" i="2" s="1"/>
  <c r="G278" i="2"/>
  <c r="J278" i="2" s="1"/>
  <c r="AA277" i="2"/>
  <c r="U277" i="2"/>
  <c r="S277" i="2"/>
  <c r="Q277" i="2"/>
  <c r="V277" i="2" s="1"/>
  <c r="P277" i="2"/>
  <c r="O277" i="2"/>
  <c r="M277" i="2"/>
  <c r="N277" i="2" s="1"/>
  <c r="L277" i="2"/>
  <c r="J277" i="2"/>
  <c r="G277" i="2"/>
  <c r="Z276" i="2"/>
  <c r="U276" i="2"/>
  <c r="S276" i="2"/>
  <c r="P276" i="2"/>
  <c r="O276" i="2"/>
  <c r="Q276" i="2" s="1"/>
  <c r="V276" i="2" s="1"/>
  <c r="N276" i="2"/>
  <c r="M276" i="2"/>
  <c r="L276" i="2"/>
  <c r="G276" i="2"/>
  <c r="J276" i="2" s="1"/>
  <c r="S275" i="2"/>
  <c r="P275" i="2"/>
  <c r="U275" i="2" s="1"/>
  <c r="O275" i="2"/>
  <c r="M275" i="2"/>
  <c r="N275" i="2" s="1"/>
  <c r="L275" i="2"/>
  <c r="J275" i="2"/>
  <c r="AA275" i="2" s="1"/>
  <c r="G275" i="2"/>
  <c r="U274" i="2"/>
  <c r="S274" i="2"/>
  <c r="P274" i="2"/>
  <c r="O274" i="2"/>
  <c r="Q274" i="2" s="1"/>
  <c r="V274" i="2" s="1"/>
  <c r="M274" i="2"/>
  <c r="L274" i="2"/>
  <c r="N274" i="2" s="1"/>
  <c r="G274" i="2"/>
  <c r="J274" i="2" s="1"/>
  <c r="AA273" i="2"/>
  <c r="Z273" i="2"/>
  <c r="S273" i="2"/>
  <c r="Q273" i="2"/>
  <c r="V273" i="2" s="1"/>
  <c r="X273" i="2" s="1"/>
  <c r="P273" i="2"/>
  <c r="U273" i="2" s="1"/>
  <c r="O273" i="2"/>
  <c r="M273" i="2"/>
  <c r="N273" i="2" s="1"/>
  <c r="L273" i="2"/>
  <c r="G273" i="2"/>
  <c r="J273" i="2" s="1"/>
  <c r="W273" i="2" s="1"/>
  <c r="AA272" i="2"/>
  <c r="U272" i="2"/>
  <c r="S272" i="2"/>
  <c r="Q272" i="2"/>
  <c r="V272" i="2" s="1"/>
  <c r="P272" i="2"/>
  <c r="O272" i="2"/>
  <c r="N272" i="2"/>
  <c r="M272" i="2"/>
  <c r="L272" i="2"/>
  <c r="J272" i="2"/>
  <c r="G272" i="2"/>
  <c r="S271" i="2"/>
  <c r="U271" i="2" s="1"/>
  <c r="Q271" i="2"/>
  <c r="V271" i="2" s="1"/>
  <c r="P271" i="2"/>
  <c r="O271" i="2"/>
  <c r="M271" i="2"/>
  <c r="L271" i="2"/>
  <c r="G271" i="2"/>
  <c r="J271" i="2" s="1"/>
  <c r="AA270" i="2"/>
  <c r="S270" i="2"/>
  <c r="P270" i="2"/>
  <c r="O270" i="2"/>
  <c r="M270" i="2"/>
  <c r="L270" i="2"/>
  <c r="N270" i="2" s="1"/>
  <c r="G270" i="2"/>
  <c r="J270" i="2" s="1"/>
  <c r="V269" i="2"/>
  <c r="U269" i="2"/>
  <c r="S269" i="2"/>
  <c r="P269" i="2"/>
  <c r="O269" i="2"/>
  <c r="Q269" i="2" s="1"/>
  <c r="M269" i="2"/>
  <c r="L269" i="2"/>
  <c r="N269" i="2" s="1"/>
  <c r="G269" i="2"/>
  <c r="J269" i="2" s="1"/>
  <c r="S268" i="2"/>
  <c r="P268" i="2"/>
  <c r="U268" i="2" s="1"/>
  <c r="O268" i="2"/>
  <c r="Q268" i="2" s="1"/>
  <c r="V268" i="2" s="1"/>
  <c r="M268" i="2"/>
  <c r="N268" i="2" s="1"/>
  <c r="W268" i="2" s="1"/>
  <c r="L268" i="2"/>
  <c r="G268" i="2"/>
  <c r="J268" i="2" s="1"/>
  <c r="AA268" i="2" s="1"/>
  <c r="S267" i="2"/>
  <c r="P267" i="2"/>
  <c r="U267" i="2" s="1"/>
  <c r="O267" i="2"/>
  <c r="M267" i="2"/>
  <c r="L267" i="2"/>
  <c r="N267" i="2" s="1"/>
  <c r="G267" i="2"/>
  <c r="J267" i="2" s="1"/>
  <c r="S266" i="2"/>
  <c r="P266" i="2"/>
  <c r="O266" i="2"/>
  <c r="Q266" i="2" s="1"/>
  <c r="V266" i="2" s="1"/>
  <c r="M266" i="2"/>
  <c r="L266" i="2"/>
  <c r="N266" i="2" s="1"/>
  <c r="J266" i="2"/>
  <c r="G266" i="2"/>
  <c r="U265" i="2"/>
  <c r="S265" i="2"/>
  <c r="P265" i="2"/>
  <c r="O265" i="2"/>
  <c r="Q265" i="2" s="1"/>
  <c r="V265" i="2" s="1"/>
  <c r="Z265" i="2" s="1"/>
  <c r="M265" i="2"/>
  <c r="L265" i="2"/>
  <c r="N265" i="2" s="1"/>
  <c r="G265" i="2"/>
  <c r="J265" i="2" s="1"/>
  <c r="S264" i="2"/>
  <c r="P264" i="2"/>
  <c r="U264" i="2" s="1"/>
  <c r="O264" i="2"/>
  <c r="M264" i="2"/>
  <c r="L264" i="2"/>
  <c r="N264" i="2" s="1"/>
  <c r="G264" i="2"/>
  <c r="J264" i="2" s="1"/>
  <c r="W264" i="2" s="1"/>
  <c r="U263" i="2"/>
  <c r="S263" i="2"/>
  <c r="P263" i="2"/>
  <c r="O263" i="2"/>
  <c r="Q263" i="2" s="1"/>
  <c r="V263" i="2" s="1"/>
  <c r="M263" i="2"/>
  <c r="L263" i="2"/>
  <c r="G263" i="2"/>
  <c r="J263" i="2" s="1"/>
  <c r="V262" i="2"/>
  <c r="Z262" i="2" s="1"/>
  <c r="U262" i="2"/>
  <c r="S262" i="2"/>
  <c r="P262" i="2"/>
  <c r="O262" i="2"/>
  <c r="Q262" i="2" s="1"/>
  <c r="M262" i="2"/>
  <c r="L262" i="2"/>
  <c r="N262" i="2" s="1"/>
  <c r="J262" i="2"/>
  <c r="AA262" i="2" s="1"/>
  <c r="G262" i="2"/>
  <c r="V261" i="2"/>
  <c r="Z261" i="2" s="1"/>
  <c r="U261" i="2"/>
  <c r="S261" i="2"/>
  <c r="Q261" i="2"/>
  <c r="P261" i="2"/>
  <c r="O261" i="2"/>
  <c r="M261" i="2"/>
  <c r="N261" i="2" s="1"/>
  <c r="L261" i="2"/>
  <c r="J261" i="2"/>
  <c r="G261" i="2"/>
  <c r="S260" i="2"/>
  <c r="U260" i="2" s="1"/>
  <c r="Q260" i="2"/>
  <c r="V260" i="2" s="1"/>
  <c r="P260" i="2"/>
  <c r="O260" i="2"/>
  <c r="M260" i="2"/>
  <c r="N260" i="2" s="1"/>
  <c r="W260" i="2" s="1"/>
  <c r="L260" i="2"/>
  <c r="G260" i="2"/>
  <c r="J260" i="2" s="1"/>
  <c r="AA260" i="2" s="1"/>
  <c r="AA259" i="2"/>
  <c r="W259" i="2"/>
  <c r="S259" i="2"/>
  <c r="P259" i="2"/>
  <c r="U259" i="2" s="1"/>
  <c r="O259" i="2"/>
  <c r="N259" i="2"/>
  <c r="M259" i="2"/>
  <c r="L259" i="2"/>
  <c r="J259" i="2"/>
  <c r="G259" i="2"/>
  <c r="AA258" i="2"/>
  <c r="V258" i="2"/>
  <c r="X258" i="2" s="1"/>
  <c r="S258" i="2"/>
  <c r="U258" i="2" s="1"/>
  <c r="Q258" i="2"/>
  <c r="P258" i="2"/>
  <c r="O258" i="2"/>
  <c r="N258" i="2"/>
  <c r="M258" i="2"/>
  <c r="L258" i="2"/>
  <c r="G258" i="2"/>
  <c r="J258" i="2" s="1"/>
  <c r="W258" i="2" s="1"/>
  <c r="AA257" i="2"/>
  <c r="S257" i="2"/>
  <c r="U257" i="2" s="1"/>
  <c r="Q257" i="2"/>
  <c r="V257" i="2" s="1"/>
  <c r="P257" i="2"/>
  <c r="O257" i="2"/>
  <c r="M257" i="2"/>
  <c r="L257" i="2"/>
  <c r="N257" i="2" s="1"/>
  <c r="G257" i="2"/>
  <c r="J257" i="2" s="1"/>
  <c r="U256" i="2"/>
  <c r="S256" i="2"/>
  <c r="Q256" i="2"/>
  <c r="V256" i="2" s="1"/>
  <c r="P256" i="2"/>
  <c r="O256" i="2"/>
  <c r="N256" i="2"/>
  <c r="M256" i="2"/>
  <c r="L256" i="2"/>
  <c r="G256" i="2"/>
  <c r="J256" i="2" s="1"/>
  <c r="W256" i="2" s="1"/>
  <c r="AA255" i="2"/>
  <c r="S255" i="2"/>
  <c r="U255" i="2" s="1"/>
  <c r="P255" i="2"/>
  <c r="O255" i="2"/>
  <c r="Q255" i="2" s="1"/>
  <c r="V255" i="2" s="1"/>
  <c r="M255" i="2"/>
  <c r="L255" i="2"/>
  <c r="J255" i="2"/>
  <c r="G255" i="2"/>
  <c r="Z254" i="2"/>
  <c r="V254" i="2"/>
  <c r="X254" i="2" s="1"/>
  <c r="U254" i="2"/>
  <c r="S254" i="2"/>
  <c r="P254" i="2"/>
  <c r="Q254" i="2" s="1"/>
  <c r="O254" i="2"/>
  <c r="M254" i="2"/>
  <c r="N254" i="2" s="1"/>
  <c r="L254" i="2"/>
  <c r="G254" i="2"/>
  <c r="J254" i="2" s="1"/>
  <c r="W254" i="2" s="1"/>
  <c r="Z253" i="2"/>
  <c r="U253" i="2"/>
  <c r="S253" i="2"/>
  <c r="P253" i="2"/>
  <c r="O253" i="2"/>
  <c r="Q253" i="2" s="1"/>
  <c r="V253" i="2" s="1"/>
  <c r="M253" i="2"/>
  <c r="L253" i="2"/>
  <c r="N253" i="2" s="1"/>
  <c r="J253" i="2"/>
  <c r="G253" i="2"/>
  <c r="S252" i="2"/>
  <c r="P252" i="2"/>
  <c r="O252" i="2"/>
  <c r="M252" i="2"/>
  <c r="N252" i="2" s="1"/>
  <c r="L252" i="2"/>
  <c r="J252" i="2"/>
  <c r="G252" i="2"/>
  <c r="Z251" i="2"/>
  <c r="W251" i="2"/>
  <c r="X251" i="2" s="1"/>
  <c r="U251" i="2"/>
  <c r="S251" i="2"/>
  <c r="Q251" i="2"/>
  <c r="V251" i="2" s="1"/>
  <c r="P251" i="2"/>
  <c r="O251" i="2"/>
  <c r="M251" i="2"/>
  <c r="N251" i="2" s="1"/>
  <c r="L251" i="2"/>
  <c r="J251" i="2"/>
  <c r="AA251" i="2" s="1"/>
  <c r="G251" i="2"/>
  <c r="AA250" i="2"/>
  <c r="S250" i="2"/>
  <c r="Q250" i="2"/>
  <c r="V250" i="2" s="1"/>
  <c r="P250" i="2"/>
  <c r="O250" i="2"/>
  <c r="M250" i="2"/>
  <c r="L250" i="2"/>
  <c r="N250" i="2" s="1"/>
  <c r="G250" i="2"/>
  <c r="J250" i="2" s="1"/>
  <c r="AA249" i="2"/>
  <c r="W249" i="2"/>
  <c r="U249" i="2"/>
  <c r="S249" i="2"/>
  <c r="P249" i="2"/>
  <c r="O249" i="2"/>
  <c r="M249" i="2"/>
  <c r="L249" i="2"/>
  <c r="N249" i="2" s="1"/>
  <c r="J249" i="2"/>
  <c r="G249" i="2"/>
  <c r="AA248" i="2"/>
  <c r="V248" i="2"/>
  <c r="S248" i="2"/>
  <c r="U248" i="2" s="1"/>
  <c r="Q248" i="2"/>
  <c r="P248" i="2"/>
  <c r="O248" i="2"/>
  <c r="N248" i="2"/>
  <c r="M248" i="2"/>
  <c r="L248" i="2"/>
  <c r="G248" i="2"/>
  <c r="J248" i="2" s="1"/>
  <c r="S247" i="2"/>
  <c r="U247" i="2" s="1"/>
  <c r="Q247" i="2"/>
  <c r="V247" i="2" s="1"/>
  <c r="P247" i="2"/>
  <c r="O247" i="2"/>
  <c r="N247" i="2"/>
  <c r="M247" i="2"/>
  <c r="L247" i="2"/>
  <c r="G247" i="2"/>
  <c r="J247" i="2" s="1"/>
  <c r="AA247" i="2" s="1"/>
  <c r="S246" i="2"/>
  <c r="P246" i="2"/>
  <c r="U246" i="2" s="1"/>
  <c r="O246" i="2"/>
  <c r="N246" i="2"/>
  <c r="W246" i="2" s="1"/>
  <c r="M246" i="2"/>
  <c r="L246" i="2"/>
  <c r="J246" i="2"/>
  <c r="AA246" i="2" s="1"/>
  <c r="G246" i="2"/>
  <c r="U245" i="2"/>
  <c r="S245" i="2"/>
  <c r="P245" i="2"/>
  <c r="O245" i="2"/>
  <c r="Q245" i="2" s="1"/>
  <c r="V245" i="2" s="1"/>
  <c r="M245" i="2"/>
  <c r="L245" i="2"/>
  <c r="N245" i="2" s="1"/>
  <c r="J245" i="2"/>
  <c r="G245" i="2"/>
  <c r="W244" i="2"/>
  <c r="S244" i="2"/>
  <c r="P244" i="2"/>
  <c r="O244" i="2"/>
  <c r="M244" i="2"/>
  <c r="L244" i="2"/>
  <c r="N244" i="2" s="1"/>
  <c r="G244" i="2"/>
  <c r="J244" i="2" s="1"/>
  <c r="AA244" i="2" s="1"/>
  <c r="S243" i="2"/>
  <c r="P243" i="2"/>
  <c r="U243" i="2" s="1"/>
  <c r="O243" i="2"/>
  <c r="M243" i="2"/>
  <c r="N243" i="2" s="1"/>
  <c r="L243" i="2"/>
  <c r="J243" i="2"/>
  <c r="G243" i="2"/>
  <c r="S242" i="2"/>
  <c r="P242" i="2"/>
  <c r="O242" i="2"/>
  <c r="Q242" i="2" s="1"/>
  <c r="V242" i="2" s="1"/>
  <c r="N242" i="2"/>
  <c r="M242" i="2"/>
  <c r="L242" i="2"/>
  <c r="G242" i="2"/>
  <c r="J242" i="2" s="1"/>
  <c r="AA242" i="2" s="1"/>
  <c r="W241" i="2"/>
  <c r="S241" i="2"/>
  <c r="P241" i="2"/>
  <c r="U241" i="2" s="1"/>
  <c r="O241" i="2"/>
  <c r="Q241" i="2" s="1"/>
  <c r="V241" i="2" s="1"/>
  <c r="M241" i="2"/>
  <c r="N241" i="2" s="1"/>
  <c r="L241" i="2"/>
  <c r="J241" i="2"/>
  <c r="AA241" i="2" s="1"/>
  <c r="G241" i="2"/>
  <c r="S240" i="2"/>
  <c r="P240" i="2"/>
  <c r="U240" i="2" s="1"/>
  <c r="O240" i="2"/>
  <c r="M240" i="2"/>
  <c r="L240" i="2"/>
  <c r="N240" i="2" s="1"/>
  <c r="W240" i="2" s="1"/>
  <c r="J240" i="2"/>
  <c r="AA240" i="2" s="1"/>
  <c r="G240" i="2"/>
  <c r="V239" i="2"/>
  <c r="Z239" i="2" s="1"/>
  <c r="U239" i="2"/>
  <c r="S239" i="2"/>
  <c r="Q239" i="2"/>
  <c r="P239" i="2"/>
  <c r="O239" i="2"/>
  <c r="M239" i="2"/>
  <c r="L239" i="2"/>
  <c r="J239" i="2"/>
  <c r="AA239" i="2" s="1"/>
  <c r="G239" i="2"/>
  <c r="W238" i="2"/>
  <c r="V238" i="2"/>
  <c r="X238" i="2" s="1"/>
  <c r="U238" i="2"/>
  <c r="S238" i="2"/>
  <c r="P238" i="2"/>
  <c r="Q238" i="2" s="1"/>
  <c r="O238" i="2"/>
  <c r="M238" i="2"/>
  <c r="L238" i="2"/>
  <c r="N238" i="2" s="1"/>
  <c r="J238" i="2"/>
  <c r="AA238" i="2" s="1"/>
  <c r="G238" i="2"/>
  <c r="U237" i="2"/>
  <c r="S237" i="2"/>
  <c r="P237" i="2"/>
  <c r="O237" i="2"/>
  <c r="Q237" i="2" s="1"/>
  <c r="V237" i="2" s="1"/>
  <c r="M237" i="2"/>
  <c r="N237" i="2" s="1"/>
  <c r="W237" i="2" s="1"/>
  <c r="L237" i="2"/>
  <c r="J237" i="2"/>
  <c r="AA237" i="2" s="1"/>
  <c r="G237" i="2"/>
  <c r="AA236" i="2"/>
  <c r="S236" i="2"/>
  <c r="P236" i="2"/>
  <c r="O236" i="2"/>
  <c r="Q236" i="2" s="1"/>
  <c r="V236" i="2" s="1"/>
  <c r="N236" i="2"/>
  <c r="M236" i="2"/>
  <c r="L236" i="2"/>
  <c r="J236" i="2"/>
  <c r="G236" i="2"/>
  <c r="U235" i="2"/>
  <c r="S235" i="2"/>
  <c r="P235" i="2"/>
  <c r="O235" i="2"/>
  <c r="Q235" i="2" s="1"/>
  <c r="V235" i="2" s="1"/>
  <c r="Z235" i="2" s="1"/>
  <c r="N235" i="2"/>
  <c r="W235" i="2" s="1"/>
  <c r="X235" i="2" s="1"/>
  <c r="M235" i="2"/>
  <c r="L235" i="2"/>
  <c r="J235" i="2"/>
  <c r="AA235" i="2" s="1"/>
  <c r="G235" i="2"/>
  <c r="S234" i="2"/>
  <c r="P234" i="2"/>
  <c r="U234" i="2" s="1"/>
  <c r="O234" i="2"/>
  <c r="Q234" i="2" s="1"/>
  <c r="V234" i="2" s="1"/>
  <c r="N234" i="2"/>
  <c r="M234" i="2"/>
  <c r="L234" i="2"/>
  <c r="G234" i="2"/>
  <c r="J234" i="2" s="1"/>
  <c r="U233" i="2"/>
  <c r="S233" i="2"/>
  <c r="P233" i="2"/>
  <c r="O233" i="2"/>
  <c r="Q233" i="2" s="1"/>
  <c r="V233" i="2" s="1"/>
  <c r="M233" i="2"/>
  <c r="N233" i="2" s="1"/>
  <c r="L233" i="2"/>
  <c r="G233" i="2"/>
  <c r="J233" i="2" s="1"/>
  <c r="S232" i="2"/>
  <c r="Q232" i="2"/>
  <c r="V232" i="2" s="1"/>
  <c r="P232" i="2"/>
  <c r="U232" i="2" s="1"/>
  <c r="O232" i="2"/>
  <c r="M232" i="2"/>
  <c r="N232" i="2" s="1"/>
  <c r="L232" i="2"/>
  <c r="G232" i="2"/>
  <c r="J232" i="2" s="1"/>
  <c r="U231" i="2"/>
  <c r="S231" i="2"/>
  <c r="P231" i="2"/>
  <c r="O231" i="2"/>
  <c r="Q231" i="2" s="1"/>
  <c r="V231" i="2" s="1"/>
  <c r="M231" i="2"/>
  <c r="L231" i="2"/>
  <c r="N231" i="2" s="1"/>
  <c r="G231" i="2"/>
  <c r="J231" i="2" s="1"/>
  <c r="S230" i="2"/>
  <c r="P230" i="2"/>
  <c r="U230" i="2" s="1"/>
  <c r="O230" i="2"/>
  <c r="N230" i="2"/>
  <c r="W230" i="2" s="1"/>
  <c r="M230" i="2"/>
  <c r="L230" i="2"/>
  <c r="G230" i="2"/>
  <c r="J230" i="2" s="1"/>
  <c r="AA230" i="2" s="1"/>
  <c r="AA229" i="2"/>
  <c r="U229" i="2"/>
  <c r="S229" i="2"/>
  <c r="P229" i="2"/>
  <c r="O229" i="2"/>
  <c r="Q229" i="2" s="1"/>
  <c r="V229" i="2" s="1"/>
  <c r="Z229" i="2" s="1"/>
  <c r="M229" i="2"/>
  <c r="N229" i="2" s="1"/>
  <c r="W229" i="2" s="1"/>
  <c r="L229" i="2"/>
  <c r="J229" i="2"/>
  <c r="G229" i="2"/>
  <c r="S228" i="2"/>
  <c r="U228" i="2" s="1"/>
  <c r="Q228" i="2"/>
  <c r="V228" i="2" s="1"/>
  <c r="Z228" i="2" s="1"/>
  <c r="P228" i="2"/>
  <c r="O228" i="2"/>
  <c r="M228" i="2"/>
  <c r="L228" i="2"/>
  <c r="N228" i="2" s="1"/>
  <c r="W228" i="2" s="1"/>
  <c r="X228" i="2" s="1"/>
  <c r="G228" i="2"/>
  <c r="J228" i="2" s="1"/>
  <c r="AA228" i="2" s="1"/>
  <c r="W227" i="2"/>
  <c r="V227" i="2"/>
  <c r="U227" i="2"/>
  <c r="S227" i="2"/>
  <c r="P227" i="2"/>
  <c r="Q227" i="2" s="1"/>
  <c r="O227" i="2"/>
  <c r="M227" i="2"/>
  <c r="N227" i="2" s="1"/>
  <c r="L227" i="2"/>
  <c r="J227" i="2"/>
  <c r="AA227" i="2" s="1"/>
  <c r="G227" i="2"/>
  <c r="S226" i="2"/>
  <c r="U226" i="2" s="1"/>
  <c r="P226" i="2"/>
  <c r="O226" i="2"/>
  <c r="Q226" i="2" s="1"/>
  <c r="V226" i="2" s="1"/>
  <c r="M226" i="2"/>
  <c r="L226" i="2"/>
  <c r="N226" i="2" s="1"/>
  <c r="G226" i="2"/>
  <c r="J226" i="2" s="1"/>
  <c r="AA226" i="2" s="1"/>
  <c r="V225" i="2"/>
  <c r="S225" i="2"/>
  <c r="U225" i="2" s="1"/>
  <c r="Q225" i="2"/>
  <c r="P225" i="2"/>
  <c r="O225" i="2"/>
  <c r="M225" i="2"/>
  <c r="N225" i="2" s="1"/>
  <c r="L225" i="2"/>
  <c r="G225" i="2"/>
  <c r="J225" i="2" s="1"/>
  <c r="V224" i="2"/>
  <c r="Z224" i="2" s="1"/>
  <c r="U224" i="2"/>
  <c r="S224" i="2"/>
  <c r="Q224" i="2"/>
  <c r="P224" i="2"/>
  <c r="O224" i="2"/>
  <c r="M224" i="2"/>
  <c r="L224" i="2"/>
  <c r="N224" i="2" s="1"/>
  <c r="J224" i="2"/>
  <c r="G224" i="2"/>
  <c r="S223" i="2"/>
  <c r="U223" i="2" s="1"/>
  <c r="Q223" i="2"/>
  <c r="V223" i="2" s="1"/>
  <c r="P223" i="2"/>
  <c r="O223" i="2"/>
  <c r="M223" i="2"/>
  <c r="L223" i="2"/>
  <c r="N223" i="2" s="1"/>
  <c r="G223" i="2"/>
  <c r="J223" i="2" s="1"/>
  <c r="AA223" i="2" s="1"/>
  <c r="V222" i="2"/>
  <c r="S222" i="2"/>
  <c r="P222" i="2"/>
  <c r="Q222" i="2" s="1"/>
  <c r="O222" i="2"/>
  <c r="M222" i="2"/>
  <c r="L222" i="2"/>
  <c r="N222" i="2" s="1"/>
  <c r="J222" i="2"/>
  <c r="AA222" i="2" s="1"/>
  <c r="G222" i="2"/>
  <c r="W221" i="2"/>
  <c r="U221" i="2"/>
  <c r="S221" i="2"/>
  <c r="Q221" i="2"/>
  <c r="V221" i="2" s="1"/>
  <c r="P221" i="2"/>
  <c r="O221" i="2"/>
  <c r="N221" i="2"/>
  <c r="M221" i="2"/>
  <c r="L221" i="2"/>
  <c r="J221" i="2"/>
  <c r="AA221" i="2" s="1"/>
  <c r="G221" i="2"/>
  <c r="S220" i="2"/>
  <c r="P220" i="2"/>
  <c r="O220" i="2"/>
  <c r="Q220" i="2" s="1"/>
  <c r="V220" i="2" s="1"/>
  <c r="M220" i="2"/>
  <c r="L220" i="2"/>
  <c r="N220" i="2" s="1"/>
  <c r="G220" i="2"/>
  <c r="J220" i="2" s="1"/>
  <c r="S219" i="2"/>
  <c r="Q219" i="2"/>
  <c r="V219" i="2" s="1"/>
  <c r="P219" i="2"/>
  <c r="U219" i="2" s="1"/>
  <c r="O219" i="2"/>
  <c r="M219" i="2"/>
  <c r="N219" i="2" s="1"/>
  <c r="L219" i="2"/>
  <c r="G219" i="2"/>
  <c r="J219" i="2" s="1"/>
  <c r="AA219" i="2" s="1"/>
  <c r="S218" i="2"/>
  <c r="Q218" i="2"/>
  <c r="V218" i="2" s="1"/>
  <c r="P218" i="2"/>
  <c r="O218" i="2"/>
  <c r="M218" i="2"/>
  <c r="N218" i="2" s="1"/>
  <c r="L218" i="2"/>
  <c r="J218" i="2"/>
  <c r="G218" i="2"/>
  <c r="S217" i="2"/>
  <c r="P217" i="2"/>
  <c r="U217" i="2" s="1"/>
  <c r="O217" i="2"/>
  <c r="Q217" i="2" s="1"/>
  <c r="V217" i="2" s="1"/>
  <c r="M217" i="2"/>
  <c r="L217" i="2"/>
  <c r="N217" i="2" s="1"/>
  <c r="G217" i="2"/>
  <c r="J217" i="2" s="1"/>
  <c r="U216" i="2"/>
  <c r="S216" i="2"/>
  <c r="P216" i="2"/>
  <c r="O216" i="2"/>
  <c r="Q216" i="2" s="1"/>
  <c r="V216" i="2" s="1"/>
  <c r="M216" i="2"/>
  <c r="L216" i="2"/>
  <c r="N216" i="2" s="1"/>
  <c r="G216" i="2"/>
  <c r="J216" i="2" s="1"/>
  <c r="AA215" i="2"/>
  <c r="S215" i="2"/>
  <c r="P215" i="2"/>
  <c r="O215" i="2"/>
  <c r="Q215" i="2" s="1"/>
  <c r="V215" i="2" s="1"/>
  <c r="M215" i="2"/>
  <c r="N215" i="2" s="1"/>
  <c r="L215" i="2"/>
  <c r="G215" i="2"/>
  <c r="J215" i="2" s="1"/>
  <c r="S214" i="2"/>
  <c r="P214" i="2"/>
  <c r="U214" i="2" s="1"/>
  <c r="O214" i="2"/>
  <c r="Q214" i="2" s="1"/>
  <c r="V214" i="2" s="1"/>
  <c r="M214" i="2"/>
  <c r="L214" i="2"/>
  <c r="N214" i="2" s="1"/>
  <c r="J214" i="2"/>
  <c r="AA214" i="2" s="1"/>
  <c r="G214" i="2"/>
  <c r="S213" i="2"/>
  <c r="P213" i="2"/>
  <c r="U213" i="2" s="1"/>
  <c r="O213" i="2"/>
  <c r="N213" i="2"/>
  <c r="M213" i="2"/>
  <c r="L213" i="2"/>
  <c r="J213" i="2"/>
  <c r="G213" i="2"/>
  <c r="V212" i="2"/>
  <c r="S212" i="2"/>
  <c r="P212" i="2"/>
  <c r="U212" i="2" s="1"/>
  <c r="O212" i="2"/>
  <c r="Q212" i="2" s="1"/>
  <c r="N212" i="2"/>
  <c r="M212" i="2"/>
  <c r="L212" i="2"/>
  <c r="G212" i="2"/>
  <c r="J212" i="2" s="1"/>
  <c r="V211" i="2"/>
  <c r="Z211" i="2" s="1"/>
  <c r="U211" i="2"/>
  <c r="S211" i="2"/>
  <c r="P211" i="2"/>
  <c r="O211" i="2"/>
  <c r="Q211" i="2" s="1"/>
  <c r="M211" i="2"/>
  <c r="N211" i="2" s="1"/>
  <c r="L211" i="2"/>
  <c r="J211" i="2"/>
  <c r="AA211" i="2" s="1"/>
  <c r="G211" i="2"/>
  <c r="S210" i="2"/>
  <c r="P210" i="2"/>
  <c r="U210" i="2" s="1"/>
  <c r="O210" i="2"/>
  <c r="N210" i="2"/>
  <c r="M210" i="2"/>
  <c r="L210" i="2"/>
  <c r="G210" i="2"/>
  <c r="J210" i="2" s="1"/>
  <c r="AA210" i="2" s="1"/>
  <c r="S209" i="2"/>
  <c r="P209" i="2"/>
  <c r="U209" i="2" s="1"/>
  <c r="O209" i="2"/>
  <c r="Q209" i="2" s="1"/>
  <c r="V209" i="2" s="1"/>
  <c r="M209" i="2"/>
  <c r="N209" i="2" s="1"/>
  <c r="L209" i="2"/>
  <c r="J209" i="2"/>
  <c r="AA209" i="2" s="1"/>
  <c r="G209" i="2"/>
  <c r="AA208" i="2"/>
  <c r="S208" i="2"/>
  <c r="P208" i="2"/>
  <c r="O208" i="2"/>
  <c r="N208" i="2"/>
  <c r="M208" i="2"/>
  <c r="L208" i="2"/>
  <c r="G208" i="2"/>
  <c r="J208" i="2" s="1"/>
  <c r="W208" i="2" s="1"/>
  <c r="W207" i="2"/>
  <c r="S207" i="2"/>
  <c r="U207" i="2" s="1"/>
  <c r="Q207" i="2"/>
  <c r="V207" i="2" s="1"/>
  <c r="Z207" i="2" s="1"/>
  <c r="P207" i="2"/>
  <c r="O207" i="2"/>
  <c r="M207" i="2"/>
  <c r="L207" i="2"/>
  <c r="N207" i="2" s="1"/>
  <c r="J207" i="2"/>
  <c r="AA207" i="2" s="1"/>
  <c r="G207" i="2"/>
  <c r="S206" i="2"/>
  <c r="P206" i="2"/>
  <c r="O206" i="2"/>
  <c r="M206" i="2"/>
  <c r="N206" i="2" s="1"/>
  <c r="L206" i="2"/>
  <c r="J206" i="2"/>
  <c r="W206" i="2" s="1"/>
  <c r="G206" i="2"/>
  <c r="U205" i="2"/>
  <c r="S205" i="2"/>
  <c r="P205" i="2"/>
  <c r="O205" i="2"/>
  <c r="Q205" i="2" s="1"/>
  <c r="V205" i="2" s="1"/>
  <c r="M205" i="2"/>
  <c r="L205" i="2"/>
  <c r="N205" i="2" s="1"/>
  <c r="G205" i="2"/>
  <c r="J205" i="2" s="1"/>
  <c r="S204" i="2"/>
  <c r="P204" i="2"/>
  <c r="U204" i="2" s="1"/>
  <c r="O204" i="2"/>
  <c r="M204" i="2"/>
  <c r="N204" i="2" s="1"/>
  <c r="L204" i="2"/>
  <c r="G204" i="2"/>
  <c r="J204" i="2" s="1"/>
  <c r="AA203" i="2"/>
  <c r="Z203" i="2"/>
  <c r="S203" i="2"/>
  <c r="P203" i="2"/>
  <c r="U203" i="2" s="1"/>
  <c r="O203" i="2"/>
  <c r="Q203" i="2" s="1"/>
  <c r="V203" i="2" s="1"/>
  <c r="M203" i="2"/>
  <c r="N203" i="2" s="1"/>
  <c r="L203" i="2"/>
  <c r="J203" i="2"/>
  <c r="G203" i="2"/>
  <c r="S202" i="2"/>
  <c r="P202" i="2"/>
  <c r="U202" i="2" s="1"/>
  <c r="O202" i="2"/>
  <c r="Q202" i="2" s="1"/>
  <c r="V202" i="2" s="1"/>
  <c r="M202" i="2"/>
  <c r="L202" i="2"/>
  <c r="N202" i="2" s="1"/>
  <c r="G202" i="2"/>
  <c r="J202" i="2" s="1"/>
  <c r="S201" i="2"/>
  <c r="U201" i="2" s="1"/>
  <c r="P201" i="2"/>
  <c r="O201" i="2"/>
  <c r="Q201" i="2" s="1"/>
  <c r="V201" i="2" s="1"/>
  <c r="M201" i="2"/>
  <c r="L201" i="2"/>
  <c r="N201" i="2" s="1"/>
  <c r="G201" i="2"/>
  <c r="J201" i="2" s="1"/>
  <c r="AA201" i="2" s="1"/>
  <c r="AA200" i="2"/>
  <c r="Z200" i="2"/>
  <c r="V200" i="2"/>
  <c r="U200" i="2"/>
  <c r="S200" i="2"/>
  <c r="Q200" i="2"/>
  <c r="P200" i="2"/>
  <c r="O200" i="2"/>
  <c r="M200" i="2"/>
  <c r="L200" i="2"/>
  <c r="G200" i="2"/>
  <c r="J200" i="2" s="1"/>
  <c r="W199" i="2"/>
  <c r="S199" i="2"/>
  <c r="P199" i="2"/>
  <c r="U199" i="2" s="1"/>
  <c r="O199" i="2"/>
  <c r="M199" i="2"/>
  <c r="L199" i="2"/>
  <c r="N199" i="2" s="1"/>
  <c r="G199" i="2"/>
  <c r="J199" i="2" s="1"/>
  <c r="AA199" i="2" s="1"/>
  <c r="S198" i="2"/>
  <c r="P198" i="2"/>
  <c r="U198" i="2" s="1"/>
  <c r="O198" i="2"/>
  <c r="Q198" i="2" s="1"/>
  <c r="V198" i="2" s="1"/>
  <c r="M198" i="2"/>
  <c r="L198" i="2"/>
  <c r="N198" i="2" s="1"/>
  <c r="J198" i="2"/>
  <c r="G198" i="2"/>
  <c r="AA197" i="2"/>
  <c r="S197" i="2"/>
  <c r="P197" i="2"/>
  <c r="U197" i="2" s="1"/>
  <c r="O197" i="2"/>
  <c r="N197" i="2"/>
  <c r="W197" i="2" s="1"/>
  <c r="M197" i="2"/>
  <c r="L197" i="2"/>
  <c r="J197" i="2"/>
  <c r="G197" i="2"/>
  <c r="S196" i="2"/>
  <c r="P196" i="2"/>
  <c r="U196" i="2" s="1"/>
  <c r="O196" i="2"/>
  <c r="N196" i="2"/>
  <c r="W196" i="2" s="1"/>
  <c r="M196" i="2"/>
  <c r="L196" i="2"/>
  <c r="G196" i="2"/>
  <c r="J196" i="2" s="1"/>
  <c r="AA196" i="2" s="1"/>
  <c r="AA195" i="2"/>
  <c r="U195" i="2"/>
  <c r="S195" i="2"/>
  <c r="Q195" i="2"/>
  <c r="V195" i="2" s="1"/>
  <c r="P195" i="2"/>
  <c r="O195" i="2"/>
  <c r="N195" i="2"/>
  <c r="W195" i="2" s="1"/>
  <c r="M195" i="2"/>
  <c r="L195" i="2"/>
  <c r="J195" i="2"/>
  <c r="G195" i="2"/>
  <c r="AA194" i="2"/>
  <c r="S194" i="2"/>
  <c r="P194" i="2"/>
  <c r="U194" i="2" s="1"/>
  <c r="O194" i="2"/>
  <c r="Q194" i="2" s="1"/>
  <c r="V194" i="2" s="1"/>
  <c r="Z194" i="2" s="1"/>
  <c r="N194" i="2"/>
  <c r="W194" i="2" s="1"/>
  <c r="M194" i="2"/>
  <c r="L194" i="2"/>
  <c r="G194" i="2"/>
  <c r="J194" i="2" s="1"/>
  <c r="U193" i="2"/>
  <c r="S193" i="2"/>
  <c r="Q193" i="2"/>
  <c r="V193" i="2" s="1"/>
  <c r="P193" i="2"/>
  <c r="O193" i="2"/>
  <c r="M193" i="2"/>
  <c r="N193" i="2" s="1"/>
  <c r="L193" i="2"/>
  <c r="G193" i="2"/>
  <c r="J193" i="2" s="1"/>
  <c r="AA193" i="2" s="1"/>
  <c r="Z192" i="2"/>
  <c r="V192" i="2"/>
  <c r="S192" i="2"/>
  <c r="U192" i="2" s="1"/>
  <c r="Q192" i="2"/>
  <c r="P192" i="2"/>
  <c r="O192" i="2"/>
  <c r="N192" i="2"/>
  <c r="M192" i="2"/>
  <c r="L192" i="2"/>
  <c r="G192" i="2"/>
  <c r="J192" i="2" s="1"/>
  <c r="AA192" i="2" s="1"/>
  <c r="AA191" i="2"/>
  <c r="Z191" i="2"/>
  <c r="V191" i="2"/>
  <c r="U191" i="2"/>
  <c r="S191" i="2"/>
  <c r="Q191" i="2"/>
  <c r="P191" i="2"/>
  <c r="O191" i="2"/>
  <c r="M191" i="2"/>
  <c r="L191" i="2"/>
  <c r="G191" i="2"/>
  <c r="J191" i="2" s="1"/>
  <c r="AA190" i="2"/>
  <c r="Z190" i="2"/>
  <c r="V190" i="2"/>
  <c r="S190" i="2"/>
  <c r="U190" i="2" s="1"/>
  <c r="P190" i="2"/>
  <c r="Q190" i="2" s="1"/>
  <c r="O190" i="2"/>
  <c r="N190" i="2"/>
  <c r="M190" i="2"/>
  <c r="L190" i="2"/>
  <c r="G190" i="2"/>
  <c r="J190" i="2" s="1"/>
  <c r="W190" i="2" s="1"/>
  <c r="X190" i="2" s="1"/>
  <c r="W189" i="2"/>
  <c r="V189" i="2"/>
  <c r="Z189" i="2" s="1"/>
  <c r="U189" i="2"/>
  <c r="S189" i="2"/>
  <c r="Q189" i="2"/>
  <c r="P189" i="2"/>
  <c r="O189" i="2"/>
  <c r="M189" i="2"/>
  <c r="L189" i="2"/>
  <c r="N189" i="2" s="1"/>
  <c r="J189" i="2"/>
  <c r="AA189" i="2" s="1"/>
  <c r="G189" i="2"/>
  <c r="S188" i="2"/>
  <c r="P188" i="2"/>
  <c r="U188" i="2" s="1"/>
  <c r="O188" i="2"/>
  <c r="N188" i="2"/>
  <c r="W188" i="2" s="1"/>
  <c r="M188" i="2"/>
  <c r="L188" i="2"/>
  <c r="G188" i="2"/>
  <c r="J188" i="2" s="1"/>
  <c r="AA188" i="2" s="1"/>
  <c r="U187" i="2"/>
  <c r="S187" i="2"/>
  <c r="P187" i="2"/>
  <c r="O187" i="2"/>
  <c r="Q187" i="2" s="1"/>
  <c r="V187" i="2" s="1"/>
  <c r="N187" i="2"/>
  <c r="M187" i="2"/>
  <c r="L187" i="2"/>
  <c r="G187" i="2"/>
  <c r="J187" i="2" s="1"/>
  <c r="AA186" i="2"/>
  <c r="S186" i="2"/>
  <c r="P186" i="2"/>
  <c r="U186" i="2" s="1"/>
  <c r="O186" i="2"/>
  <c r="N186" i="2"/>
  <c r="M186" i="2"/>
  <c r="L186" i="2"/>
  <c r="G186" i="2"/>
  <c r="J186" i="2" s="1"/>
  <c r="AA185" i="2"/>
  <c r="W185" i="2"/>
  <c r="U185" i="2"/>
  <c r="S185" i="2"/>
  <c r="Q185" i="2"/>
  <c r="V185" i="2" s="1"/>
  <c r="P185" i="2"/>
  <c r="O185" i="2"/>
  <c r="N185" i="2"/>
  <c r="M185" i="2"/>
  <c r="L185" i="2"/>
  <c r="J185" i="2"/>
  <c r="G185" i="2"/>
  <c r="S184" i="2"/>
  <c r="U184" i="2" s="1"/>
  <c r="Q184" i="2"/>
  <c r="V184" i="2" s="1"/>
  <c r="P184" i="2"/>
  <c r="O184" i="2"/>
  <c r="N184" i="2"/>
  <c r="M184" i="2"/>
  <c r="L184" i="2"/>
  <c r="J184" i="2"/>
  <c r="AA184" i="2" s="1"/>
  <c r="G184" i="2"/>
  <c r="S183" i="2"/>
  <c r="P183" i="2"/>
  <c r="U183" i="2" s="1"/>
  <c r="O183" i="2"/>
  <c r="Q183" i="2" s="1"/>
  <c r="V183" i="2" s="1"/>
  <c r="M183" i="2"/>
  <c r="N183" i="2" s="1"/>
  <c r="L183" i="2"/>
  <c r="G183" i="2"/>
  <c r="J183" i="2" s="1"/>
  <c r="S182" i="2"/>
  <c r="Q182" i="2"/>
  <c r="V182" i="2" s="1"/>
  <c r="P182" i="2"/>
  <c r="O182" i="2"/>
  <c r="M182" i="2"/>
  <c r="N182" i="2" s="1"/>
  <c r="L182" i="2"/>
  <c r="G182" i="2"/>
  <c r="J182" i="2" s="1"/>
  <c r="S181" i="2"/>
  <c r="P181" i="2"/>
  <c r="O181" i="2"/>
  <c r="M181" i="2"/>
  <c r="L181" i="2"/>
  <c r="N181" i="2" s="1"/>
  <c r="J181" i="2"/>
  <c r="G181" i="2"/>
  <c r="S180" i="2"/>
  <c r="P180" i="2"/>
  <c r="O180" i="2"/>
  <c r="Q180" i="2" s="1"/>
  <c r="V180" i="2" s="1"/>
  <c r="M180" i="2"/>
  <c r="L180" i="2"/>
  <c r="N180" i="2" s="1"/>
  <c r="G180" i="2"/>
  <c r="J180" i="2" s="1"/>
  <c r="S179" i="2"/>
  <c r="P179" i="2"/>
  <c r="U179" i="2" s="1"/>
  <c r="O179" i="2"/>
  <c r="N179" i="2"/>
  <c r="M179" i="2"/>
  <c r="L179" i="2"/>
  <c r="J179" i="2"/>
  <c r="G179" i="2"/>
  <c r="S178" i="2"/>
  <c r="P178" i="2"/>
  <c r="U178" i="2" s="1"/>
  <c r="O178" i="2"/>
  <c r="Q178" i="2" s="1"/>
  <c r="V178" i="2" s="1"/>
  <c r="M178" i="2"/>
  <c r="L178" i="2"/>
  <c r="N178" i="2" s="1"/>
  <c r="G178" i="2"/>
  <c r="J178" i="2" s="1"/>
  <c r="Z177" i="2"/>
  <c r="S177" i="2"/>
  <c r="Q177" i="2"/>
  <c r="V177" i="2" s="1"/>
  <c r="P177" i="2"/>
  <c r="O177" i="2"/>
  <c r="M177" i="2"/>
  <c r="N177" i="2" s="1"/>
  <c r="L177" i="2"/>
  <c r="G177" i="2"/>
  <c r="J177" i="2" s="1"/>
  <c r="AA176" i="2"/>
  <c r="S176" i="2"/>
  <c r="Q176" i="2"/>
  <c r="V176" i="2" s="1"/>
  <c r="P176" i="2"/>
  <c r="O176" i="2"/>
  <c r="N176" i="2"/>
  <c r="M176" i="2"/>
  <c r="L176" i="2"/>
  <c r="G176" i="2"/>
  <c r="J176" i="2" s="1"/>
  <c r="W176" i="2" s="1"/>
  <c r="AA175" i="2"/>
  <c r="S175" i="2"/>
  <c r="U175" i="2" s="1"/>
  <c r="P175" i="2"/>
  <c r="O175" i="2"/>
  <c r="Q175" i="2" s="1"/>
  <c r="V175" i="2" s="1"/>
  <c r="M175" i="2"/>
  <c r="L175" i="2"/>
  <c r="N175" i="2" s="1"/>
  <c r="W175" i="2" s="1"/>
  <c r="J175" i="2"/>
  <c r="G175" i="2"/>
  <c r="U174" i="2"/>
  <c r="S174" i="2"/>
  <c r="P174" i="2"/>
  <c r="O174" i="2"/>
  <c r="Q174" i="2" s="1"/>
  <c r="V174" i="2" s="1"/>
  <c r="M174" i="2"/>
  <c r="L174" i="2"/>
  <c r="N174" i="2" s="1"/>
  <c r="G174" i="2"/>
  <c r="J174" i="2" s="1"/>
  <c r="U173" i="2"/>
  <c r="S173" i="2"/>
  <c r="P173" i="2"/>
  <c r="O173" i="2"/>
  <c r="Q173" i="2" s="1"/>
  <c r="V173" i="2" s="1"/>
  <c r="M173" i="2"/>
  <c r="N173" i="2" s="1"/>
  <c r="L173" i="2"/>
  <c r="G173" i="2"/>
  <c r="J173" i="2" s="1"/>
  <c r="S172" i="2"/>
  <c r="P172" i="2"/>
  <c r="U172" i="2" s="1"/>
  <c r="O172" i="2"/>
  <c r="M172" i="2"/>
  <c r="N172" i="2" s="1"/>
  <c r="L172" i="2"/>
  <c r="G172" i="2"/>
  <c r="J172" i="2" s="1"/>
  <c r="S171" i="2"/>
  <c r="P171" i="2"/>
  <c r="U171" i="2" s="1"/>
  <c r="O171" i="2"/>
  <c r="Q171" i="2" s="1"/>
  <c r="V171" i="2" s="1"/>
  <c r="M171" i="2"/>
  <c r="L171" i="2"/>
  <c r="N171" i="2" s="1"/>
  <c r="G171" i="2"/>
  <c r="J171" i="2" s="1"/>
  <c r="AA171" i="2" s="1"/>
  <c r="S170" i="2"/>
  <c r="P170" i="2"/>
  <c r="U170" i="2" s="1"/>
  <c r="O170" i="2"/>
  <c r="Q170" i="2" s="1"/>
  <c r="V170" i="2" s="1"/>
  <c r="M170" i="2"/>
  <c r="N170" i="2" s="1"/>
  <c r="L170" i="2"/>
  <c r="J170" i="2"/>
  <c r="G170" i="2"/>
  <c r="S169" i="2"/>
  <c r="P169" i="2"/>
  <c r="U169" i="2" s="1"/>
  <c r="O169" i="2"/>
  <c r="M169" i="2"/>
  <c r="L169" i="2"/>
  <c r="N169" i="2" s="1"/>
  <c r="G169" i="2"/>
  <c r="J169" i="2" s="1"/>
  <c r="AA168" i="2"/>
  <c r="S168" i="2"/>
  <c r="Q168" i="2"/>
  <c r="V168" i="2" s="1"/>
  <c r="Z168" i="2" s="1"/>
  <c r="P168" i="2"/>
  <c r="U168" i="2" s="1"/>
  <c r="O168" i="2"/>
  <c r="M168" i="2"/>
  <c r="N168" i="2" s="1"/>
  <c r="L168" i="2"/>
  <c r="G168" i="2"/>
  <c r="J168" i="2" s="1"/>
  <c r="W168" i="2" s="1"/>
  <c r="X168" i="2" s="1"/>
  <c r="AA167" i="2"/>
  <c r="W167" i="2"/>
  <c r="S167" i="2"/>
  <c r="P167" i="2"/>
  <c r="U167" i="2" s="1"/>
  <c r="O167" i="2"/>
  <c r="N167" i="2"/>
  <c r="M167" i="2"/>
  <c r="L167" i="2"/>
  <c r="G167" i="2"/>
  <c r="J167" i="2" s="1"/>
  <c r="U166" i="2"/>
  <c r="S166" i="2"/>
  <c r="P166" i="2"/>
  <c r="O166" i="2"/>
  <c r="Q166" i="2" s="1"/>
  <c r="V166" i="2" s="1"/>
  <c r="M166" i="2"/>
  <c r="L166" i="2"/>
  <c r="N166" i="2" s="1"/>
  <c r="G166" i="2"/>
  <c r="J166" i="2" s="1"/>
  <c r="U165" i="2"/>
  <c r="S165" i="2"/>
  <c r="P165" i="2"/>
  <c r="O165" i="2"/>
  <c r="Q165" i="2" s="1"/>
  <c r="V165" i="2" s="1"/>
  <c r="Z165" i="2" s="1"/>
  <c r="M165" i="2"/>
  <c r="L165" i="2"/>
  <c r="N165" i="2" s="1"/>
  <c r="J165" i="2"/>
  <c r="G165" i="2"/>
  <c r="W164" i="2"/>
  <c r="S164" i="2"/>
  <c r="U164" i="2" s="1"/>
  <c r="P164" i="2"/>
  <c r="O164" i="2"/>
  <c r="Q164" i="2" s="1"/>
  <c r="V164" i="2" s="1"/>
  <c r="X164" i="2" s="1"/>
  <c r="N164" i="2"/>
  <c r="M164" i="2"/>
  <c r="L164" i="2"/>
  <c r="G164" i="2"/>
  <c r="J164" i="2" s="1"/>
  <c r="AA164" i="2" s="1"/>
  <c r="U163" i="2"/>
  <c r="S163" i="2"/>
  <c r="Q163" i="2"/>
  <c r="V163" i="2" s="1"/>
  <c r="Z163" i="2" s="1"/>
  <c r="P163" i="2"/>
  <c r="O163" i="2"/>
  <c r="M163" i="2"/>
  <c r="N163" i="2" s="1"/>
  <c r="L163" i="2"/>
  <c r="J163" i="2"/>
  <c r="W163" i="2" s="1"/>
  <c r="G163" i="2"/>
  <c r="U162" i="2"/>
  <c r="S162" i="2"/>
  <c r="P162" i="2"/>
  <c r="O162" i="2"/>
  <c r="Q162" i="2" s="1"/>
  <c r="V162" i="2" s="1"/>
  <c r="Z162" i="2" s="1"/>
  <c r="M162" i="2"/>
  <c r="L162" i="2"/>
  <c r="N162" i="2" s="1"/>
  <c r="G162" i="2"/>
  <c r="J162" i="2" s="1"/>
  <c r="Z161" i="2"/>
  <c r="S161" i="2"/>
  <c r="U161" i="2" s="1"/>
  <c r="P161" i="2"/>
  <c r="O161" i="2"/>
  <c r="Q161" i="2" s="1"/>
  <c r="V161" i="2" s="1"/>
  <c r="M161" i="2"/>
  <c r="N161" i="2" s="1"/>
  <c r="L161" i="2"/>
  <c r="G161" i="2"/>
  <c r="J161" i="2" s="1"/>
  <c r="S160" i="2"/>
  <c r="U160" i="2" s="1"/>
  <c r="P160" i="2"/>
  <c r="Q160" i="2" s="1"/>
  <c r="V160" i="2" s="1"/>
  <c r="O160" i="2"/>
  <c r="M160" i="2"/>
  <c r="L160" i="2"/>
  <c r="N160" i="2" s="1"/>
  <c r="G160" i="2"/>
  <c r="J160" i="2" s="1"/>
  <c r="AA159" i="2"/>
  <c r="W159" i="2"/>
  <c r="V159" i="2"/>
  <c r="X159" i="2" s="1"/>
  <c r="U159" i="2"/>
  <c r="S159" i="2"/>
  <c r="P159" i="2"/>
  <c r="O159" i="2"/>
  <c r="Q159" i="2" s="1"/>
  <c r="M159" i="2"/>
  <c r="L159" i="2"/>
  <c r="N159" i="2" s="1"/>
  <c r="J159" i="2"/>
  <c r="G159" i="2"/>
  <c r="Z158" i="2"/>
  <c r="V158" i="2"/>
  <c r="U158" i="2"/>
  <c r="S158" i="2"/>
  <c r="P158" i="2"/>
  <c r="Q158" i="2" s="1"/>
  <c r="O158" i="2"/>
  <c r="M158" i="2"/>
  <c r="L158" i="2"/>
  <c r="N158" i="2" s="1"/>
  <c r="G158" i="2"/>
  <c r="J158" i="2" s="1"/>
  <c r="AA157" i="2"/>
  <c r="W157" i="2"/>
  <c r="V157" i="2"/>
  <c r="Z157" i="2" s="1"/>
  <c r="U157" i="2"/>
  <c r="S157" i="2"/>
  <c r="P157" i="2"/>
  <c r="O157" i="2"/>
  <c r="Q157" i="2" s="1"/>
  <c r="M157" i="2"/>
  <c r="L157" i="2"/>
  <c r="N157" i="2" s="1"/>
  <c r="J157" i="2"/>
  <c r="G157" i="2"/>
  <c r="W156" i="2"/>
  <c r="S156" i="2"/>
  <c r="P156" i="2"/>
  <c r="U156" i="2" s="1"/>
  <c r="O156" i="2"/>
  <c r="M156" i="2"/>
  <c r="L156" i="2"/>
  <c r="N156" i="2" s="1"/>
  <c r="G156" i="2"/>
  <c r="J156" i="2" s="1"/>
  <c r="AA156" i="2" s="1"/>
  <c r="U155" i="2"/>
  <c r="S155" i="2"/>
  <c r="P155" i="2"/>
  <c r="O155" i="2"/>
  <c r="Q155" i="2" s="1"/>
  <c r="V155" i="2" s="1"/>
  <c r="Z155" i="2" s="1"/>
  <c r="M155" i="2"/>
  <c r="L155" i="2"/>
  <c r="N155" i="2" s="1"/>
  <c r="G155" i="2"/>
  <c r="J155" i="2" s="1"/>
  <c r="AA155" i="2" s="1"/>
  <c r="S154" i="2"/>
  <c r="Q154" i="2"/>
  <c r="V154" i="2" s="1"/>
  <c r="P154" i="2"/>
  <c r="O154" i="2"/>
  <c r="M154" i="2"/>
  <c r="L154" i="2"/>
  <c r="G154" i="2"/>
  <c r="J154" i="2" s="1"/>
  <c r="W153" i="2"/>
  <c r="S153" i="2"/>
  <c r="P153" i="2"/>
  <c r="U153" i="2" s="1"/>
  <c r="O153" i="2"/>
  <c r="M153" i="2"/>
  <c r="L153" i="2"/>
  <c r="N153" i="2" s="1"/>
  <c r="G153" i="2"/>
  <c r="J153" i="2" s="1"/>
  <c r="AA153" i="2" s="1"/>
  <c r="S152" i="2"/>
  <c r="P152" i="2"/>
  <c r="U152" i="2" s="1"/>
  <c r="O152" i="2"/>
  <c r="Q152" i="2" s="1"/>
  <c r="V152" i="2" s="1"/>
  <c r="M152" i="2"/>
  <c r="L152" i="2"/>
  <c r="N152" i="2" s="1"/>
  <c r="J152" i="2"/>
  <c r="G152" i="2"/>
  <c r="S151" i="2"/>
  <c r="P151" i="2"/>
  <c r="U151" i="2" s="1"/>
  <c r="O151" i="2"/>
  <c r="Q151" i="2" s="1"/>
  <c r="V151" i="2" s="1"/>
  <c r="N151" i="2"/>
  <c r="M151" i="2"/>
  <c r="L151" i="2"/>
  <c r="G151" i="2"/>
  <c r="J151" i="2" s="1"/>
  <c r="W151" i="2" s="1"/>
  <c r="Z150" i="2"/>
  <c r="V150" i="2"/>
  <c r="S150" i="2"/>
  <c r="Q150" i="2"/>
  <c r="P150" i="2"/>
  <c r="U150" i="2" s="1"/>
  <c r="O150" i="2"/>
  <c r="M150" i="2"/>
  <c r="N150" i="2" s="1"/>
  <c r="W150" i="2" s="1"/>
  <c r="X150" i="2" s="1"/>
  <c r="L150" i="2"/>
  <c r="G150" i="2"/>
  <c r="J150" i="2" s="1"/>
  <c r="AA150" i="2" s="1"/>
  <c r="AA149" i="2"/>
  <c r="W149" i="2"/>
  <c r="U149" i="2"/>
  <c r="S149" i="2"/>
  <c r="Q149" i="2"/>
  <c r="V149" i="2" s="1"/>
  <c r="P149" i="2"/>
  <c r="O149" i="2"/>
  <c r="N149" i="2"/>
  <c r="M149" i="2"/>
  <c r="L149" i="2"/>
  <c r="J149" i="2"/>
  <c r="G149" i="2"/>
  <c r="W148" i="2"/>
  <c r="S148" i="2"/>
  <c r="U148" i="2" s="1"/>
  <c r="P148" i="2"/>
  <c r="O148" i="2"/>
  <c r="Q148" i="2" s="1"/>
  <c r="V148" i="2" s="1"/>
  <c r="M148" i="2"/>
  <c r="L148" i="2"/>
  <c r="N148" i="2" s="1"/>
  <c r="G148" i="2"/>
  <c r="J148" i="2" s="1"/>
  <c r="AA148" i="2" s="1"/>
  <c r="S147" i="2"/>
  <c r="P147" i="2"/>
  <c r="U147" i="2" s="1"/>
  <c r="O147" i="2"/>
  <c r="Q147" i="2" s="1"/>
  <c r="V147" i="2" s="1"/>
  <c r="M147" i="2"/>
  <c r="N147" i="2" s="1"/>
  <c r="L147" i="2"/>
  <c r="J147" i="2"/>
  <c r="AA147" i="2" s="1"/>
  <c r="G147" i="2"/>
  <c r="S146" i="2"/>
  <c r="P146" i="2"/>
  <c r="U146" i="2" s="1"/>
  <c r="O146" i="2"/>
  <c r="M146" i="2"/>
  <c r="L146" i="2"/>
  <c r="N146" i="2" s="1"/>
  <c r="W146" i="2" s="1"/>
  <c r="G146" i="2"/>
  <c r="J146" i="2" s="1"/>
  <c r="AA146" i="2" s="1"/>
  <c r="S145" i="2"/>
  <c r="P145" i="2"/>
  <c r="U145" i="2" s="1"/>
  <c r="O145" i="2"/>
  <c r="M145" i="2"/>
  <c r="N145" i="2" s="1"/>
  <c r="L145" i="2"/>
  <c r="J145" i="2"/>
  <c r="G145" i="2"/>
  <c r="S144" i="2"/>
  <c r="P144" i="2"/>
  <c r="Q144" i="2" s="1"/>
  <c r="V144" i="2" s="1"/>
  <c r="O144" i="2"/>
  <c r="M144" i="2"/>
  <c r="L144" i="2"/>
  <c r="N144" i="2" s="1"/>
  <c r="W144" i="2" s="1"/>
  <c r="J144" i="2"/>
  <c r="AA144" i="2" s="1"/>
  <c r="G144" i="2"/>
  <c r="AA143" i="2"/>
  <c r="X143" i="2"/>
  <c r="W143" i="2"/>
  <c r="V143" i="2"/>
  <c r="Z143" i="2" s="1"/>
  <c r="U143" i="2"/>
  <c r="S143" i="2"/>
  <c r="P143" i="2"/>
  <c r="O143" i="2"/>
  <c r="Q143" i="2" s="1"/>
  <c r="M143" i="2"/>
  <c r="L143" i="2"/>
  <c r="N143" i="2" s="1"/>
  <c r="J143" i="2"/>
  <c r="G143" i="2"/>
  <c r="AA142" i="2"/>
  <c r="W142" i="2"/>
  <c r="U142" i="2"/>
  <c r="S142" i="2"/>
  <c r="P142" i="2"/>
  <c r="Q142" i="2" s="1"/>
  <c r="V142" i="2" s="1"/>
  <c r="O142" i="2"/>
  <c r="M142" i="2"/>
  <c r="L142" i="2"/>
  <c r="N142" i="2" s="1"/>
  <c r="J142" i="2"/>
  <c r="G142" i="2"/>
  <c r="AA141" i="2"/>
  <c r="W141" i="2"/>
  <c r="V141" i="2"/>
  <c r="Z141" i="2" s="1"/>
  <c r="U141" i="2"/>
  <c r="S141" i="2"/>
  <c r="Q141" i="2"/>
  <c r="P141" i="2"/>
  <c r="O141" i="2"/>
  <c r="N141" i="2"/>
  <c r="M141" i="2"/>
  <c r="L141" i="2"/>
  <c r="J141" i="2"/>
  <c r="G141" i="2"/>
  <c r="AA140" i="2"/>
  <c r="W140" i="2"/>
  <c r="S140" i="2"/>
  <c r="P140" i="2"/>
  <c r="U140" i="2" s="1"/>
  <c r="O140" i="2"/>
  <c r="N140" i="2"/>
  <c r="M140" i="2"/>
  <c r="L140" i="2"/>
  <c r="J140" i="2"/>
  <c r="G140" i="2"/>
  <c r="AA139" i="2"/>
  <c r="S139" i="2"/>
  <c r="P139" i="2"/>
  <c r="U139" i="2" s="1"/>
  <c r="O139" i="2"/>
  <c r="Q139" i="2" s="1"/>
  <c r="V139" i="2" s="1"/>
  <c r="M139" i="2"/>
  <c r="N139" i="2" s="1"/>
  <c r="W139" i="2" s="1"/>
  <c r="L139" i="2"/>
  <c r="J139" i="2"/>
  <c r="G139" i="2"/>
  <c r="S138" i="2"/>
  <c r="P138" i="2"/>
  <c r="U138" i="2" s="1"/>
  <c r="O138" i="2"/>
  <c r="Q138" i="2" s="1"/>
  <c r="V138" i="2" s="1"/>
  <c r="M138" i="2"/>
  <c r="L138" i="2"/>
  <c r="N138" i="2" s="1"/>
  <c r="J138" i="2"/>
  <c r="G138" i="2"/>
  <c r="Z137" i="2"/>
  <c r="W137" i="2"/>
  <c r="S137" i="2"/>
  <c r="Q137" i="2"/>
  <c r="V137" i="2" s="1"/>
  <c r="P137" i="2"/>
  <c r="U137" i="2" s="1"/>
  <c r="O137" i="2"/>
  <c r="N137" i="2"/>
  <c r="M137" i="2"/>
  <c r="L137" i="2"/>
  <c r="J137" i="2"/>
  <c r="AA137" i="2" s="1"/>
  <c r="G137" i="2"/>
  <c r="S136" i="2"/>
  <c r="P136" i="2"/>
  <c r="U136" i="2" s="1"/>
  <c r="O136" i="2"/>
  <c r="Q136" i="2" s="1"/>
  <c r="V136" i="2" s="1"/>
  <c r="M136" i="2"/>
  <c r="L136" i="2"/>
  <c r="N136" i="2" s="1"/>
  <c r="G136" i="2"/>
  <c r="J136" i="2" s="1"/>
  <c r="S135" i="2"/>
  <c r="P135" i="2"/>
  <c r="O135" i="2"/>
  <c r="Q135" i="2" s="1"/>
  <c r="V135" i="2" s="1"/>
  <c r="M135" i="2"/>
  <c r="L135" i="2"/>
  <c r="N135" i="2" s="1"/>
  <c r="G135" i="2"/>
  <c r="J135" i="2" s="1"/>
  <c r="U134" i="2"/>
  <c r="S134" i="2"/>
  <c r="P134" i="2"/>
  <c r="O134" i="2"/>
  <c r="Q134" i="2" s="1"/>
  <c r="V134" i="2" s="1"/>
  <c r="M134" i="2"/>
  <c r="N134" i="2" s="1"/>
  <c r="L134" i="2"/>
  <c r="J134" i="2"/>
  <c r="G134" i="2"/>
  <c r="S133" i="2"/>
  <c r="P133" i="2"/>
  <c r="O133" i="2"/>
  <c r="Q133" i="2" s="1"/>
  <c r="V133" i="2" s="1"/>
  <c r="Z133" i="2" s="1"/>
  <c r="N133" i="2"/>
  <c r="M133" i="2"/>
  <c r="L133" i="2"/>
  <c r="J133" i="2"/>
  <c r="G133" i="2"/>
  <c r="Z132" i="2"/>
  <c r="S132" i="2"/>
  <c r="P132" i="2"/>
  <c r="O132" i="2"/>
  <c r="Q132" i="2" s="1"/>
  <c r="V132" i="2" s="1"/>
  <c r="M132" i="2"/>
  <c r="N132" i="2" s="1"/>
  <c r="L132" i="2"/>
  <c r="G132" i="2"/>
  <c r="J132" i="2" s="1"/>
  <c r="AA131" i="2"/>
  <c r="S131" i="2"/>
  <c r="Q131" i="2"/>
  <c r="V131" i="2" s="1"/>
  <c r="Z131" i="2" s="1"/>
  <c r="P131" i="2"/>
  <c r="U131" i="2" s="1"/>
  <c r="O131" i="2"/>
  <c r="M131" i="2"/>
  <c r="N131" i="2" s="1"/>
  <c r="W131" i="2" s="1"/>
  <c r="L131" i="2"/>
  <c r="J131" i="2"/>
  <c r="G131" i="2"/>
  <c r="S130" i="2"/>
  <c r="P130" i="2"/>
  <c r="U130" i="2" s="1"/>
  <c r="O130" i="2"/>
  <c r="Q130" i="2" s="1"/>
  <c r="V130" i="2" s="1"/>
  <c r="Z130" i="2" s="1"/>
  <c r="M130" i="2"/>
  <c r="L130" i="2"/>
  <c r="N130" i="2" s="1"/>
  <c r="G130" i="2"/>
  <c r="J130" i="2" s="1"/>
  <c r="S129" i="2"/>
  <c r="P129" i="2"/>
  <c r="U129" i="2" s="1"/>
  <c r="O129" i="2"/>
  <c r="M129" i="2"/>
  <c r="N129" i="2" s="1"/>
  <c r="L129" i="2"/>
  <c r="G129" i="2"/>
  <c r="J129" i="2" s="1"/>
  <c r="AA128" i="2"/>
  <c r="S128" i="2"/>
  <c r="P128" i="2"/>
  <c r="O128" i="2"/>
  <c r="M128" i="2"/>
  <c r="L128" i="2"/>
  <c r="N128" i="2" s="1"/>
  <c r="G128" i="2"/>
  <c r="J128" i="2" s="1"/>
  <c r="U127" i="2"/>
  <c r="S127" i="2"/>
  <c r="P127" i="2"/>
  <c r="O127" i="2"/>
  <c r="Q127" i="2" s="1"/>
  <c r="V127" i="2" s="1"/>
  <c r="M127" i="2"/>
  <c r="L127" i="2"/>
  <c r="N127" i="2" s="1"/>
  <c r="G127" i="2"/>
  <c r="J127" i="2" s="1"/>
  <c r="AA127" i="2" s="1"/>
  <c r="U126" i="2"/>
  <c r="S126" i="2"/>
  <c r="P126" i="2"/>
  <c r="Q126" i="2" s="1"/>
  <c r="V126" i="2" s="1"/>
  <c r="O126" i="2"/>
  <c r="M126" i="2"/>
  <c r="L126" i="2"/>
  <c r="N126" i="2" s="1"/>
  <c r="G126" i="2"/>
  <c r="J126" i="2" s="1"/>
  <c r="U125" i="2"/>
  <c r="S125" i="2"/>
  <c r="Q125" i="2"/>
  <c r="V125" i="2" s="1"/>
  <c r="P125" i="2"/>
  <c r="O125" i="2"/>
  <c r="N125" i="2"/>
  <c r="M125" i="2"/>
  <c r="L125" i="2"/>
  <c r="J125" i="2"/>
  <c r="G125" i="2"/>
  <c r="S124" i="2"/>
  <c r="P124" i="2"/>
  <c r="U124" i="2" s="1"/>
  <c r="O124" i="2"/>
  <c r="M124" i="2"/>
  <c r="L124" i="2"/>
  <c r="N124" i="2" s="1"/>
  <c r="G124" i="2"/>
  <c r="J124" i="2" s="1"/>
  <c r="S123" i="2"/>
  <c r="P123" i="2"/>
  <c r="U123" i="2" s="1"/>
  <c r="O123" i="2"/>
  <c r="Q123" i="2" s="1"/>
  <c r="V123" i="2" s="1"/>
  <c r="M123" i="2"/>
  <c r="L123" i="2"/>
  <c r="N123" i="2" s="1"/>
  <c r="G123" i="2"/>
  <c r="J123" i="2" s="1"/>
  <c r="W123" i="2" s="1"/>
  <c r="AA122" i="2"/>
  <c r="S122" i="2"/>
  <c r="P122" i="2"/>
  <c r="U122" i="2" s="1"/>
  <c r="O122" i="2"/>
  <c r="Q122" i="2" s="1"/>
  <c r="V122" i="2" s="1"/>
  <c r="M122" i="2"/>
  <c r="L122" i="2"/>
  <c r="N122" i="2" s="1"/>
  <c r="G122" i="2"/>
  <c r="J122" i="2" s="1"/>
  <c r="S121" i="2"/>
  <c r="P121" i="2"/>
  <c r="U121" i="2" s="1"/>
  <c r="O121" i="2"/>
  <c r="Q121" i="2" s="1"/>
  <c r="V121" i="2" s="1"/>
  <c r="M121" i="2"/>
  <c r="N121" i="2" s="1"/>
  <c r="W121" i="2" s="1"/>
  <c r="L121" i="2"/>
  <c r="J121" i="2"/>
  <c r="AA121" i="2" s="1"/>
  <c r="G121" i="2"/>
  <c r="U120" i="2"/>
  <c r="S120" i="2"/>
  <c r="P120" i="2"/>
  <c r="O120" i="2"/>
  <c r="Q120" i="2" s="1"/>
  <c r="V120" i="2" s="1"/>
  <c r="Z120" i="2" s="1"/>
  <c r="M120" i="2"/>
  <c r="L120" i="2"/>
  <c r="N120" i="2" s="1"/>
  <c r="G120" i="2"/>
  <c r="J120" i="2" s="1"/>
  <c r="S119" i="2"/>
  <c r="U119" i="2" s="1"/>
  <c r="P119" i="2"/>
  <c r="O119" i="2"/>
  <c r="Q119" i="2" s="1"/>
  <c r="V119" i="2" s="1"/>
  <c r="M119" i="2"/>
  <c r="L119" i="2"/>
  <c r="N119" i="2" s="1"/>
  <c r="G119" i="2"/>
  <c r="J119" i="2" s="1"/>
  <c r="V118" i="2"/>
  <c r="Z118" i="2" s="1"/>
  <c r="U118" i="2"/>
  <c r="S118" i="2"/>
  <c r="Q118" i="2"/>
  <c r="P118" i="2"/>
  <c r="O118" i="2"/>
  <c r="M118" i="2"/>
  <c r="L118" i="2"/>
  <c r="N118" i="2" s="1"/>
  <c r="G118" i="2"/>
  <c r="J118" i="2" s="1"/>
  <c r="AA117" i="2"/>
  <c r="W117" i="2"/>
  <c r="V117" i="2"/>
  <c r="Z117" i="2" s="1"/>
  <c r="S117" i="2"/>
  <c r="U117" i="2" s="1"/>
  <c r="Q117" i="2"/>
  <c r="P117" i="2"/>
  <c r="O117" i="2"/>
  <c r="M117" i="2"/>
  <c r="L117" i="2"/>
  <c r="N117" i="2" s="1"/>
  <c r="J117" i="2"/>
  <c r="G117" i="2"/>
  <c r="W116" i="2"/>
  <c r="S116" i="2"/>
  <c r="U116" i="2" s="1"/>
  <c r="Q116" i="2"/>
  <c r="V116" i="2" s="1"/>
  <c r="P116" i="2"/>
  <c r="O116" i="2"/>
  <c r="M116" i="2"/>
  <c r="L116" i="2"/>
  <c r="N116" i="2" s="1"/>
  <c r="G116" i="2"/>
  <c r="J116" i="2" s="1"/>
  <c r="AA116" i="2" s="1"/>
  <c r="S115" i="2"/>
  <c r="P115" i="2"/>
  <c r="U115" i="2" s="1"/>
  <c r="O115" i="2"/>
  <c r="Q115" i="2" s="1"/>
  <c r="V115" i="2" s="1"/>
  <c r="M115" i="2"/>
  <c r="N115" i="2" s="1"/>
  <c r="W115" i="2" s="1"/>
  <c r="L115" i="2"/>
  <c r="J115" i="2"/>
  <c r="AA115" i="2" s="1"/>
  <c r="G115" i="2"/>
  <c r="AA114" i="2"/>
  <c r="W114" i="2"/>
  <c r="S114" i="2"/>
  <c r="P114" i="2"/>
  <c r="Q114" i="2" s="1"/>
  <c r="V114" i="2" s="1"/>
  <c r="O114" i="2"/>
  <c r="M114" i="2"/>
  <c r="L114" i="2"/>
  <c r="N114" i="2" s="1"/>
  <c r="G114" i="2"/>
  <c r="J114" i="2" s="1"/>
  <c r="AA113" i="2"/>
  <c r="W113" i="2"/>
  <c r="S113" i="2"/>
  <c r="P113" i="2"/>
  <c r="U113" i="2" s="1"/>
  <c r="O113" i="2"/>
  <c r="M113" i="2"/>
  <c r="N113" i="2" s="1"/>
  <c r="L113" i="2"/>
  <c r="J113" i="2"/>
  <c r="G113" i="2"/>
  <c r="AA112" i="2"/>
  <c r="V112" i="2"/>
  <c r="Z112" i="2" s="1"/>
  <c r="U112" i="2"/>
  <c r="S112" i="2"/>
  <c r="Q112" i="2"/>
  <c r="P112" i="2"/>
  <c r="O112" i="2"/>
  <c r="M112" i="2"/>
  <c r="L112" i="2"/>
  <c r="N112" i="2" s="1"/>
  <c r="W112" i="2" s="1"/>
  <c r="G112" i="2"/>
  <c r="J112" i="2" s="1"/>
  <c r="AA111" i="2"/>
  <c r="W111" i="2"/>
  <c r="V111" i="2"/>
  <c r="Z111" i="2" s="1"/>
  <c r="S111" i="2"/>
  <c r="U111" i="2" s="1"/>
  <c r="Q111" i="2"/>
  <c r="P111" i="2"/>
  <c r="O111" i="2"/>
  <c r="M111" i="2"/>
  <c r="L111" i="2"/>
  <c r="N111" i="2" s="1"/>
  <c r="G111" i="2"/>
  <c r="J111" i="2" s="1"/>
  <c r="W110" i="2"/>
  <c r="S110" i="2"/>
  <c r="P110" i="2"/>
  <c r="U110" i="2" s="1"/>
  <c r="O110" i="2"/>
  <c r="M110" i="2"/>
  <c r="L110" i="2"/>
  <c r="N110" i="2" s="1"/>
  <c r="G110" i="2"/>
  <c r="J110" i="2" s="1"/>
  <c r="AA110" i="2" s="1"/>
  <c r="U109" i="2"/>
  <c r="S109" i="2"/>
  <c r="Q109" i="2"/>
  <c r="V109" i="2" s="1"/>
  <c r="Z109" i="2" s="1"/>
  <c r="P109" i="2"/>
  <c r="O109" i="2"/>
  <c r="M109" i="2"/>
  <c r="L109" i="2"/>
  <c r="N109" i="2" s="1"/>
  <c r="G109" i="2"/>
  <c r="J109" i="2" s="1"/>
  <c r="AA108" i="2"/>
  <c r="S108" i="2"/>
  <c r="P108" i="2"/>
  <c r="O108" i="2"/>
  <c r="M108" i="2"/>
  <c r="L108" i="2"/>
  <c r="N108" i="2" s="1"/>
  <c r="G108" i="2"/>
  <c r="J108" i="2" s="1"/>
  <c r="W108" i="2" s="1"/>
  <c r="AA107" i="2"/>
  <c r="S107" i="2"/>
  <c r="P107" i="2"/>
  <c r="U107" i="2" s="1"/>
  <c r="O107" i="2"/>
  <c r="M107" i="2"/>
  <c r="L107" i="2"/>
  <c r="N107" i="2" s="1"/>
  <c r="G107" i="2"/>
  <c r="J107" i="2" s="1"/>
  <c r="W107" i="2" s="1"/>
  <c r="S106" i="2"/>
  <c r="P106" i="2"/>
  <c r="O106" i="2"/>
  <c r="Q106" i="2" s="1"/>
  <c r="V106" i="2" s="1"/>
  <c r="M106" i="2"/>
  <c r="L106" i="2"/>
  <c r="N106" i="2" s="1"/>
  <c r="J106" i="2"/>
  <c r="W106" i="2" s="1"/>
  <c r="G106" i="2"/>
  <c r="AA105" i="2"/>
  <c r="Z105" i="2"/>
  <c r="W105" i="2"/>
  <c r="U105" i="2"/>
  <c r="S105" i="2"/>
  <c r="Q105" i="2"/>
  <c r="V105" i="2" s="1"/>
  <c r="P105" i="2"/>
  <c r="O105" i="2"/>
  <c r="N105" i="2"/>
  <c r="M105" i="2"/>
  <c r="L105" i="2"/>
  <c r="G105" i="2"/>
  <c r="J105" i="2" s="1"/>
  <c r="AA104" i="2"/>
  <c r="U104" i="2"/>
  <c r="S104" i="2"/>
  <c r="Q104" i="2"/>
  <c r="V104" i="2" s="1"/>
  <c r="P104" i="2"/>
  <c r="O104" i="2"/>
  <c r="N104" i="2"/>
  <c r="M104" i="2"/>
  <c r="L104" i="2"/>
  <c r="G104" i="2"/>
  <c r="J104" i="2" s="1"/>
  <c r="S103" i="2"/>
  <c r="P103" i="2"/>
  <c r="U103" i="2" s="1"/>
  <c r="O103" i="2"/>
  <c r="N103" i="2"/>
  <c r="M103" i="2"/>
  <c r="L103" i="2"/>
  <c r="G103" i="2"/>
  <c r="J103" i="2" s="1"/>
  <c r="S102" i="2"/>
  <c r="P102" i="2"/>
  <c r="U102" i="2" s="1"/>
  <c r="O102" i="2"/>
  <c r="Q102" i="2" s="1"/>
  <c r="V102" i="2" s="1"/>
  <c r="Z102" i="2" s="1"/>
  <c r="M102" i="2"/>
  <c r="L102" i="2"/>
  <c r="N102" i="2" s="1"/>
  <c r="J102" i="2"/>
  <c r="G102" i="2"/>
  <c r="V101" i="2"/>
  <c r="Z101" i="2" s="1"/>
  <c r="U101" i="2"/>
  <c r="S101" i="2"/>
  <c r="P101" i="2"/>
  <c r="O101" i="2"/>
  <c r="Q101" i="2" s="1"/>
  <c r="M101" i="2"/>
  <c r="L101" i="2"/>
  <c r="N101" i="2" s="1"/>
  <c r="J101" i="2"/>
  <c r="G101" i="2"/>
  <c r="S100" i="2"/>
  <c r="U100" i="2" s="1"/>
  <c r="P100" i="2"/>
  <c r="O100" i="2"/>
  <c r="Q100" i="2" s="1"/>
  <c r="V100" i="2" s="1"/>
  <c r="N100" i="2"/>
  <c r="M100" i="2"/>
  <c r="L100" i="2"/>
  <c r="G100" i="2"/>
  <c r="J100" i="2" s="1"/>
  <c r="U99" i="2"/>
  <c r="S99" i="2"/>
  <c r="P99" i="2"/>
  <c r="O99" i="2"/>
  <c r="Q99" i="2" s="1"/>
  <c r="V99" i="2" s="1"/>
  <c r="M99" i="2"/>
  <c r="N99" i="2" s="1"/>
  <c r="L99" i="2"/>
  <c r="J99" i="2"/>
  <c r="G99" i="2"/>
  <c r="U98" i="2"/>
  <c r="S98" i="2"/>
  <c r="P98" i="2"/>
  <c r="O98" i="2"/>
  <c r="N98" i="2"/>
  <c r="M98" i="2"/>
  <c r="L98" i="2"/>
  <c r="G98" i="2"/>
  <c r="J98" i="2" s="1"/>
  <c r="S97" i="2"/>
  <c r="U97" i="2" s="1"/>
  <c r="P97" i="2"/>
  <c r="O97" i="2"/>
  <c r="Q97" i="2" s="1"/>
  <c r="V97" i="2" s="1"/>
  <c r="M97" i="2"/>
  <c r="N97" i="2" s="1"/>
  <c r="L97" i="2"/>
  <c r="G97" i="2"/>
  <c r="J97" i="2" s="1"/>
  <c r="S96" i="2"/>
  <c r="P96" i="2"/>
  <c r="U96" i="2" s="1"/>
  <c r="O96" i="2"/>
  <c r="N96" i="2"/>
  <c r="M96" i="2"/>
  <c r="L96" i="2"/>
  <c r="J96" i="2"/>
  <c r="G96" i="2"/>
  <c r="U95" i="2"/>
  <c r="S95" i="2"/>
  <c r="Q95" i="2"/>
  <c r="V95" i="2" s="1"/>
  <c r="P95" i="2"/>
  <c r="O95" i="2"/>
  <c r="M95" i="2"/>
  <c r="L95" i="2"/>
  <c r="G95" i="2"/>
  <c r="J95" i="2" s="1"/>
  <c r="S94" i="2"/>
  <c r="P94" i="2"/>
  <c r="O94" i="2"/>
  <c r="M94" i="2"/>
  <c r="N94" i="2" s="1"/>
  <c r="L94" i="2"/>
  <c r="J94" i="2"/>
  <c r="G94" i="2"/>
  <c r="V93" i="2"/>
  <c r="U93" i="2"/>
  <c r="S93" i="2"/>
  <c r="Q93" i="2"/>
  <c r="P93" i="2"/>
  <c r="O93" i="2"/>
  <c r="M93" i="2"/>
  <c r="L93" i="2"/>
  <c r="N93" i="2" s="1"/>
  <c r="J93" i="2"/>
  <c r="AA93" i="2" s="1"/>
  <c r="G93" i="2"/>
  <c r="S92" i="2"/>
  <c r="P92" i="2"/>
  <c r="O92" i="2"/>
  <c r="M92" i="2"/>
  <c r="L92" i="2"/>
  <c r="N92" i="2" s="1"/>
  <c r="G92" i="2"/>
  <c r="J92" i="2" s="1"/>
  <c r="AA92" i="2" s="1"/>
  <c r="U91" i="2"/>
  <c r="S91" i="2"/>
  <c r="P91" i="2"/>
  <c r="O91" i="2"/>
  <c r="Q91" i="2" s="1"/>
  <c r="V91" i="2" s="1"/>
  <c r="M91" i="2"/>
  <c r="N91" i="2" s="1"/>
  <c r="W91" i="2" s="1"/>
  <c r="L91" i="2"/>
  <c r="J91" i="2"/>
  <c r="AA91" i="2" s="1"/>
  <c r="G91" i="2"/>
  <c r="S90" i="2"/>
  <c r="P90" i="2"/>
  <c r="U90" i="2" s="1"/>
  <c r="O90" i="2"/>
  <c r="Q90" i="2" s="1"/>
  <c r="V90" i="2" s="1"/>
  <c r="M90" i="2"/>
  <c r="L90" i="2"/>
  <c r="N90" i="2" s="1"/>
  <c r="G90" i="2"/>
  <c r="J90" i="2" s="1"/>
  <c r="S89" i="2"/>
  <c r="Q89" i="2"/>
  <c r="V89" i="2" s="1"/>
  <c r="P89" i="2"/>
  <c r="O89" i="2"/>
  <c r="N89" i="2"/>
  <c r="M89" i="2"/>
  <c r="L89" i="2"/>
  <c r="G89" i="2"/>
  <c r="J89" i="2" s="1"/>
  <c r="AA88" i="2"/>
  <c r="U88" i="2"/>
  <c r="S88" i="2"/>
  <c r="P88" i="2"/>
  <c r="O88" i="2"/>
  <c r="Q88" i="2" s="1"/>
  <c r="V88" i="2" s="1"/>
  <c r="M88" i="2"/>
  <c r="N88" i="2" s="1"/>
  <c r="L88" i="2"/>
  <c r="G88" i="2"/>
  <c r="J88" i="2" s="1"/>
  <c r="S87" i="2"/>
  <c r="P87" i="2"/>
  <c r="U87" i="2" s="1"/>
  <c r="O87" i="2"/>
  <c r="M87" i="2"/>
  <c r="L87" i="2"/>
  <c r="N87" i="2" s="1"/>
  <c r="G87" i="2"/>
  <c r="J87" i="2" s="1"/>
  <c r="Z86" i="2"/>
  <c r="S86" i="2"/>
  <c r="P86" i="2"/>
  <c r="U86" i="2" s="1"/>
  <c r="O86" i="2"/>
  <c r="Q86" i="2" s="1"/>
  <c r="V86" i="2" s="1"/>
  <c r="M86" i="2"/>
  <c r="N86" i="2" s="1"/>
  <c r="L86" i="2"/>
  <c r="G86" i="2"/>
  <c r="J86" i="2" s="1"/>
  <c r="W85" i="2"/>
  <c r="V85" i="2"/>
  <c r="Z85" i="2" s="1"/>
  <c r="S85" i="2"/>
  <c r="P85" i="2"/>
  <c r="U85" i="2" s="1"/>
  <c r="O85" i="2"/>
  <c r="Q85" i="2" s="1"/>
  <c r="M85" i="2"/>
  <c r="L85" i="2"/>
  <c r="N85" i="2" s="1"/>
  <c r="J85" i="2"/>
  <c r="AA85" i="2" s="1"/>
  <c r="G85" i="2"/>
  <c r="S84" i="2"/>
  <c r="P84" i="2"/>
  <c r="U84" i="2" s="1"/>
  <c r="O84" i="2"/>
  <c r="M84" i="2"/>
  <c r="N84" i="2" s="1"/>
  <c r="W84" i="2" s="1"/>
  <c r="L84" i="2"/>
  <c r="G84" i="2"/>
  <c r="J84" i="2" s="1"/>
  <c r="AA84" i="2" s="1"/>
  <c r="AA83" i="2"/>
  <c r="U83" i="2"/>
  <c r="S83" i="2"/>
  <c r="P83" i="2"/>
  <c r="O83" i="2"/>
  <c r="Q83" i="2" s="1"/>
  <c r="V83" i="2" s="1"/>
  <c r="M83" i="2"/>
  <c r="N83" i="2" s="1"/>
  <c r="W83" i="2" s="1"/>
  <c r="L83" i="2"/>
  <c r="J83" i="2"/>
  <c r="G83" i="2"/>
  <c r="AA82" i="2"/>
  <c r="S82" i="2"/>
  <c r="P82" i="2"/>
  <c r="U82" i="2" s="1"/>
  <c r="O82" i="2"/>
  <c r="M82" i="2"/>
  <c r="L82" i="2"/>
  <c r="N82" i="2" s="1"/>
  <c r="W82" i="2" s="1"/>
  <c r="G82" i="2"/>
  <c r="J82" i="2" s="1"/>
  <c r="AA81" i="2"/>
  <c r="W81" i="2"/>
  <c r="S81" i="2"/>
  <c r="P81" i="2"/>
  <c r="U81" i="2" s="1"/>
  <c r="O81" i="2"/>
  <c r="M81" i="2"/>
  <c r="N81" i="2" s="1"/>
  <c r="L81" i="2"/>
  <c r="J81" i="2"/>
  <c r="G81" i="2"/>
  <c r="S80" i="2"/>
  <c r="P80" i="2"/>
  <c r="O80" i="2"/>
  <c r="M80" i="2"/>
  <c r="L80" i="2"/>
  <c r="N80" i="2" s="1"/>
  <c r="G80" i="2"/>
  <c r="J80" i="2" s="1"/>
  <c r="U79" i="2"/>
  <c r="S79" i="2"/>
  <c r="P79" i="2"/>
  <c r="O79" i="2"/>
  <c r="Q79" i="2" s="1"/>
  <c r="V79" i="2" s="1"/>
  <c r="M79" i="2"/>
  <c r="L79" i="2"/>
  <c r="N79" i="2" s="1"/>
  <c r="G79" i="2"/>
  <c r="J79" i="2" s="1"/>
  <c r="AA78" i="2"/>
  <c r="W78" i="2"/>
  <c r="S78" i="2"/>
  <c r="P78" i="2"/>
  <c r="O78" i="2"/>
  <c r="N78" i="2"/>
  <c r="M78" i="2"/>
  <c r="L78" i="2"/>
  <c r="J78" i="2"/>
  <c r="G78" i="2"/>
  <c r="AA77" i="2"/>
  <c r="Z77" i="2"/>
  <c r="U77" i="2"/>
  <c r="S77" i="2"/>
  <c r="P77" i="2"/>
  <c r="O77" i="2"/>
  <c r="Q77" i="2" s="1"/>
  <c r="V77" i="2" s="1"/>
  <c r="N77" i="2"/>
  <c r="M77" i="2"/>
  <c r="L77" i="2"/>
  <c r="J77" i="2"/>
  <c r="G77" i="2"/>
  <c r="S76" i="2"/>
  <c r="P76" i="2"/>
  <c r="U76" i="2" s="1"/>
  <c r="O76" i="2"/>
  <c r="M76" i="2"/>
  <c r="L76" i="2"/>
  <c r="N76" i="2" s="1"/>
  <c r="G76" i="2"/>
  <c r="J76" i="2" s="1"/>
  <c r="S75" i="2"/>
  <c r="P75" i="2"/>
  <c r="U75" i="2" s="1"/>
  <c r="O75" i="2"/>
  <c r="M75" i="2"/>
  <c r="N75" i="2" s="1"/>
  <c r="L75" i="2"/>
  <c r="G75" i="2"/>
  <c r="J75" i="2" s="1"/>
  <c r="AA75" i="2" s="1"/>
  <c r="AA74" i="2"/>
  <c r="V74" i="2"/>
  <c r="Z74" i="2" s="1"/>
  <c r="S74" i="2"/>
  <c r="P74" i="2"/>
  <c r="U74" i="2" s="1"/>
  <c r="O74" i="2"/>
  <c r="Q74" i="2" s="1"/>
  <c r="M74" i="2"/>
  <c r="L74" i="2"/>
  <c r="G74" i="2"/>
  <c r="J74" i="2" s="1"/>
  <c r="Z73" i="2"/>
  <c r="W73" i="2"/>
  <c r="U73" i="2"/>
  <c r="S73" i="2"/>
  <c r="P73" i="2"/>
  <c r="O73" i="2"/>
  <c r="Q73" i="2" s="1"/>
  <c r="V73" i="2" s="1"/>
  <c r="N73" i="2"/>
  <c r="M73" i="2"/>
  <c r="L73" i="2"/>
  <c r="J73" i="2"/>
  <c r="AA73" i="2" s="1"/>
  <c r="G73" i="2"/>
  <c r="S72" i="2"/>
  <c r="U72" i="2" s="1"/>
  <c r="Q72" i="2"/>
  <c r="V72" i="2" s="1"/>
  <c r="P72" i="2"/>
  <c r="O72" i="2"/>
  <c r="M72" i="2"/>
  <c r="L72" i="2"/>
  <c r="J72" i="2"/>
  <c r="G72" i="2"/>
  <c r="S71" i="2"/>
  <c r="Q71" i="2"/>
  <c r="V71" i="2" s="1"/>
  <c r="P71" i="2"/>
  <c r="O71" i="2"/>
  <c r="M71" i="2"/>
  <c r="L71" i="2"/>
  <c r="N71" i="2" s="1"/>
  <c r="G71" i="2"/>
  <c r="J71" i="2" s="1"/>
  <c r="AA71" i="2" s="1"/>
  <c r="Z70" i="2"/>
  <c r="W70" i="2"/>
  <c r="X70" i="2" s="1"/>
  <c r="S70" i="2"/>
  <c r="P70" i="2"/>
  <c r="U70" i="2" s="1"/>
  <c r="O70" i="2"/>
  <c r="Q70" i="2" s="1"/>
  <c r="V70" i="2" s="1"/>
  <c r="M70" i="2"/>
  <c r="L70" i="2"/>
  <c r="N70" i="2" s="1"/>
  <c r="J70" i="2"/>
  <c r="AA70" i="2" s="1"/>
  <c r="G70" i="2"/>
  <c r="AA69" i="2"/>
  <c r="W69" i="2"/>
  <c r="S69" i="2"/>
  <c r="P69" i="2"/>
  <c r="Q69" i="2" s="1"/>
  <c r="V69" i="2" s="1"/>
  <c r="O69" i="2"/>
  <c r="N69" i="2"/>
  <c r="M69" i="2"/>
  <c r="L69" i="2"/>
  <c r="J69" i="2"/>
  <c r="G69" i="2"/>
  <c r="W68" i="2"/>
  <c r="S68" i="2"/>
  <c r="U68" i="2" s="1"/>
  <c r="P68" i="2"/>
  <c r="O68" i="2"/>
  <c r="Q68" i="2" s="1"/>
  <c r="V68" i="2" s="1"/>
  <c r="N68" i="2"/>
  <c r="M68" i="2"/>
  <c r="L68" i="2"/>
  <c r="G68" i="2"/>
  <c r="J68" i="2" s="1"/>
  <c r="AA68" i="2" s="1"/>
  <c r="AA67" i="2"/>
  <c r="S67" i="2"/>
  <c r="P67" i="2"/>
  <c r="U67" i="2" s="1"/>
  <c r="O67" i="2"/>
  <c r="M67" i="2"/>
  <c r="N67" i="2" s="1"/>
  <c r="W67" i="2" s="1"/>
  <c r="L67" i="2"/>
  <c r="J67" i="2"/>
  <c r="G67" i="2"/>
  <c r="Z66" i="2"/>
  <c r="X66" i="2"/>
  <c r="W66" i="2"/>
  <c r="V66" i="2"/>
  <c r="S66" i="2"/>
  <c r="Q66" i="2"/>
  <c r="P66" i="2"/>
  <c r="U66" i="2" s="1"/>
  <c r="O66" i="2"/>
  <c r="N66" i="2"/>
  <c r="M66" i="2"/>
  <c r="L66" i="2"/>
  <c r="G66" i="2"/>
  <c r="J66" i="2" s="1"/>
  <c r="AA66" i="2" s="1"/>
  <c r="AA65" i="2"/>
  <c r="U65" i="2"/>
  <c r="S65" i="2"/>
  <c r="P65" i="2"/>
  <c r="O65" i="2"/>
  <c r="Q65" i="2" s="1"/>
  <c r="V65" i="2" s="1"/>
  <c r="M65" i="2"/>
  <c r="L65" i="2"/>
  <c r="N65" i="2" s="1"/>
  <c r="G65" i="2"/>
  <c r="J65" i="2" s="1"/>
  <c r="W65" i="2" s="1"/>
  <c r="W64" i="2"/>
  <c r="X64" i="2" s="1"/>
  <c r="V64" i="2"/>
  <c r="Z64" i="2" s="1"/>
  <c r="U64" i="2"/>
  <c r="S64" i="2"/>
  <c r="Q64" i="2"/>
  <c r="P64" i="2"/>
  <c r="O64" i="2"/>
  <c r="M64" i="2"/>
  <c r="L64" i="2"/>
  <c r="N64" i="2" s="1"/>
  <c r="J64" i="2"/>
  <c r="AA64" i="2" s="1"/>
  <c r="G64" i="2"/>
  <c r="W63" i="2"/>
  <c r="U63" i="2"/>
  <c r="S63" i="2"/>
  <c r="Q63" i="2"/>
  <c r="V63" i="2" s="1"/>
  <c r="P63" i="2"/>
  <c r="O63" i="2"/>
  <c r="M63" i="2"/>
  <c r="L63" i="2"/>
  <c r="N63" i="2" s="1"/>
  <c r="G63" i="2"/>
  <c r="J63" i="2" s="1"/>
  <c r="AA63" i="2" s="1"/>
  <c r="S62" i="2"/>
  <c r="P62" i="2"/>
  <c r="U62" i="2" s="1"/>
  <c r="O62" i="2"/>
  <c r="M62" i="2"/>
  <c r="L62" i="2"/>
  <c r="N62" i="2" s="1"/>
  <c r="G62" i="2"/>
  <c r="J62" i="2" s="1"/>
  <c r="AA62" i="2" s="1"/>
  <c r="V61" i="2"/>
  <c r="U61" i="2"/>
  <c r="S61" i="2"/>
  <c r="Q61" i="2"/>
  <c r="P61" i="2"/>
  <c r="O61" i="2"/>
  <c r="M61" i="2"/>
  <c r="L61" i="2"/>
  <c r="N61" i="2" s="1"/>
  <c r="G61" i="2"/>
  <c r="J61" i="2" s="1"/>
  <c r="V60" i="2"/>
  <c r="S60" i="2"/>
  <c r="Q60" i="2"/>
  <c r="P60" i="2"/>
  <c r="O60" i="2"/>
  <c r="M60" i="2"/>
  <c r="L60" i="2"/>
  <c r="G60" i="2"/>
  <c r="J60" i="2" s="1"/>
  <c r="S59" i="2"/>
  <c r="U59" i="2" s="1"/>
  <c r="Q59" i="2"/>
  <c r="V59" i="2" s="1"/>
  <c r="Z59" i="2" s="1"/>
  <c r="P59" i="2"/>
  <c r="O59" i="2"/>
  <c r="M59" i="2"/>
  <c r="L59" i="2"/>
  <c r="N59" i="2" s="1"/>
  <c r="G59" i="2"/>
  <c r="J59" i="2" s="1"/>
  <c r="S58" i="2"/>
  <c r="U58" i="2" s="1"/>
  <c r="Q58" i="2"/>
  <c r="V58" i="2" s="1"/>
  <c r="P58" i="2"/>
  <c r="O58" i="2"/>
  <c r="N58" i="2"/>
  <c r="J58" i="2"/>
  <c r="W58" i="2" s="1"/>
  <c r="G58" i="2"/>
  <c r="AA57" i="2"/>
  <c r="Z57" i="2"/>
  <c r="X57" i="2"/>
  <c r="S57" i="2"/>
  <c r="P57" i="2"/>
  <c r="U57" i="2" s="1"/>
  <c r="O57" i="2"/>
  <c r="Q57" i="2" s="1"/>
  <c r="V57" i="2" s="1"/>
  <c r="M57" i="2"/>
  <c r="N57" i="2" s="1"/>
  <c r="L57" i="2"/>
  <c r="J57" i="2"/>
  <c r="W57" i="2" s="1"/>
  <c r="G57" i="2"/>
  <c r="AA56" i="2"/>
  <c r="Z56" i="2"/>
  <c r="V56" i="2"/>
  <c r="S56" i="2"/>
  <c r="Q56" i="2"/>
  <c r="P56" i="2"/>
  <c r="U56" i="2" s="1"/>
  <c r="O56" i="2"/>
  <c r="M56" i="2"/>
  <c r="N56" i="2" s="1"/>
  <c r="L56" i="2"/>
  <c r="J56" i="2"/>
  <c r="G56" i="2"/>
  <c r="AA55" i="2"/>
  <c r="W55" i="2"/>
  <c r="S55" i="2"/>
  <c r="P55" i="2"/>
  <c r="U55" i="2" s="1"/>
  <c r="O55" i="2"/>
  <c r="M55" i="2"/>
  <c r="N55" i="2" s="1"/>
  <c r="L55" i="2"/>
  <c r="J55" i="2"/>
  <c r="G55" i="2"/>
  <c r="AA54" i="2"/>
  <c r="W54" i="2"/>
  <c r="S54" i="2"/>
  <c r="U54" i="2" s="1"/>
  <c r="P54" i="2"/>
  <c r="O54" i="2"/>
  <c r="Q54" i="2" s="1"/>
  <c r="V54" i="2" s="1"/>
  <c r="N54" i="2"/>
  <c r="J54" i="2"/>
  <c r="G54" i="2"/>
  <c r="AA53" i="2"/>
  <c r="S53" i="2"/>
  <c r="P53" i="2"/>
  <c r="U53" i="2" s="1"/>
  <c r="O53" i="2"/>
  <c r="M53" i="2"/>
  <c r="N53" i="2" s="1"/>
  <c r="W53" i="2" s="1"/>
  <c r="L53" i="2"/>
  <c r="J53" i="2"/>
  <c r="G53" i="2"/>
  <c r="AA52" i="2"/>
  <c r="S52" i="2"/>
  <c r="P52" i="2"/>
  <c r="U52" i="2" s="1"/>
  <c r="O52" i="2"/>
  <c r="M52" i="2"/>
  <c r="N52" i="2" s="1"/>
  <c r="W52" i="2" s="1"/>
  <c r="L52" i="2"/>
  <c r="J52" i="2"/>
  <c r="G52" i="2"/>
  <c r="AA51" i="2"/>
  <c r="S51" i="2"/>
  <c r="P51" i="2"/>
  <c r="U51" i="2" s="1"/>
  <c r="O51" i="2"/>
  <c r="M51" i="2"/>
  <c r="N51" i="2" s="1"/>
  <c r="W51" i="2" s="1"/>
  <c r="L51" i="2"/>
  <c r="J51" i="2"/>
  <c r="G51" i="2"/>
  <c r="S50" i="2"/>
  <c r="P50" i="2"/>
  <c r="U50" i="2" s="1"/>
  <c r="O50" i="2"/>
  <c r="Q50" i="2" s="1"/>
  <c r="V50" i="2" s="1"/>
  <c r="M50" i="2"/>
  <c r="N50" i="2" s="1"/>
  <c r="W50" i="2" s="1"/>
  <c r="L50" i="2"/>
  <c r="J50" i="2"/>
  <c r="AA50" i="2" s="1"/>
  <c r="G50" i="2"/>
  <c r="AA49" i="2"/>
  <c r="W49" i="2"/>
  <c r="S49" i="2"/>
  <c r="U49" i="2" s="1"/>
  <c r="P49" i="2"/>
  <c r="O49" i="2"/>
  <c r="Q49" i="2" s="1"/>
  <c r="V49" i="2" s="1"/>
  <c r="N49" i="2"/>
  <c r="J49" i="2"/>
  <c r="G49" i="2"/>
  <c r="S48" i="2"/>
  <c r="P48" i="2"/>
  <c r="U48" i="2" s="1"/>
  <c r="O48" i="2"/>
  <c r="Q48" i="2" s="1"/>
  <c r="V48" i="2" s="1"/>
  <c r="M48" i="2"/>
  <c r="N48" i="2" s="1"/>
  <c r="L48" i="2"/>
  <c r="J48" i="2"/>
  <c r="G48" i="2"/>
  <c r="S47" i="2"/>
  <c r="P47" i="2"/>
  <c r="U47" i="2" s="1"/>
  <c r="O47" i="2"/>
  <c r="Q47" i="2" s="1"/>
  <c r="V47" i="2" s="1"/>
  <c r="M47" i="2"/>
  <c r="L47" i="2"/>
  <c r="N47" i="2" s="1"/>
  <c r="J47" i="2"/>
  <c r="G47" i="2"/>
  <c r="Z46" i="2"/>
  <c r="V46" i="2"/>
  <c r="S46" i="2"/>
  <c r="Q46" i="2"/>
  <c r="P46" i="2"/>
  <c r="U46" i="2" s="1"/>
  <c r="O46" i="2"/>
  <c r="M46" i="2"/>
  <c r="L46" i="2"/>
  <c r="N46" i="2" s="1"/>
  <c r="W46" i="2" s="1"/>
  <c r="X46" i="2" s="1"/>
  <c r="G46" i="2"/>
  <c r="J46" i="2" s="1"/>
  <c r="AA46" i="2" s="1"/>
  <c r="W45" i="2"/>
  <c r="V45" i="2"/>
  <c r="X45" i="2" s="1"/>
  <c r="U45" i="2"/>
  <c r="S45" i="2"/>
  <c r="Q45" i="2"/>
  <c r="P45" i="2"/>
  <c r="O45" i="2"/>
  <c r="N45" i="2"/>
  <c r="M45" i="2"/>
  <c r="L45" i="2"/>
  <c r="J45" i="2"/>
  <c r="AA45" i="2" s="1"/>
  <c r="G45" i="2"/>
  <c r="AA44" i="2"/>
  <c r="S44" i="2"/>
  <c r="U44" i="2" s="1"/>
  <c r="P44" i="2"/>
  <c r="Q44" i="2" s="1"/>
  <c r="V44" i="2" s="1"/>
  <c r="O44" i="2"/>
  <c r="L44" i="2"/>
  <c r="J44" i="2"/>
  <c r="G44" i="2"/>
  <c r="AA43" i="2"/>
  <c r="S43" i="2"/>
  <c r="P43" i="2"/>
  <c r="U43" i="2" s="1"/>
  <c r="O43" i="2"/>
  <c r="Q43" i="2" s="1"/>
  <c r="V43" i="2" s="1"/>
  <c r="M43" i="2"/>
  <c r="L43" i="2"/>
  <c r="G43" i="2"/>
  <c r="J43" i="2" s="1"/>
  <c r="S42" i="2"/>
  <c r="P42" i="2"/>
  <c r="U42" i="2" s="1"/>
  <c r="O42" i="2"/>
  <c r="N42" i="2"/>
  <c r="J42" i="2"/>
  <c r="AA42" i="2" s="1"/>
  <c r="G42" i="2"/>
  <c r="V41" i="2"/>
  <c r="S41" i="2"/>
  <c r="Q41" i="2"/>
  <c r="P41" i="2"/>
  <c r="U41" i="2" s="1"/>
  <c r="O41" i="2"/>
  <c r="J41" i="2"/>
  <c r="G41" i="2"/>
  <c r="S40" i="2"/>
  <c r="U40" i="2" s="1"/>
  <c r="Q40" i="2"/>
  <c r="V40" i="2" s="1"/>
  <c r="P40" i="2"/>
  <c r="O40" i="2"/>
  <c r="L40" i="2"/>
  <c r="G40" i="2"/>
  <c r="J40" i="2" s="1"/>
  <c r="S39" i="2"/>
  <c r="P39" i="2"/>
  <c r="U39" i="2" s="1"/>
  <c r="O39" i="2"/>
  <c r="Q39" i="2" s="1"/>
  <c r="V39" i="2" s="1"/>
  <c r="M39" i="2"/>
  <c r="L39" i="2"/>
  <c r="N39" i="2" s="1"/>
  <c r="G39" i="2"/>
  <c r="J39" i="2" s="1"/>
  <c r="S38" i="2"/>
  <c r="U38" i="2" s="1"/>
  <c r="Q38" i="2"/>
  <c r="V38" i="2" s="1"/>
  <c r="P38" i="2"/>
  <c r="O38" i="2"/>
  <c r="M38" i="2"/>
  <c r="N38" i="2" s="1"/>
  <c r="L38" i="2"/>
  <c r="G38" i="2"/>
  <c r="J38" i="2" s="1"/>
  <c r="U37" i="2"/>
  <c r="S37" i="2"/>
  <c r="P37" i="2"/>
  <c r="O37" i="2"/>
  <c r="Q37" i="2" s="1"/>
  <c r="V37" i="2" s="1"/>
  <c r="M37" i="2"/>
  <c r="L37" i="2"/>
  <c r="N37" i="2" s="1"/>
  <c r="J37" i="2"/>
  <c r="G37" i="2"/>
  <c r="S36" i="2"/>
  <c r="P36" i="2"/>
  <c r="U36" i="2" s="1"/>
  <c r="O36" i="2"/>
  <c r="M36" i="2"/>
  <c r="L36" i="2"/>
  <c r="N36" i="2" s="1"/>
  <c r="J36" i="2"/>
  <c r="AA36" i="2" s="1"/>
  <c r="G36" i="2"/>
  <c r="W35" i="2"/>
  <c r="V35" i="2"/>
  <c r="X35" i="2" s="1"/>
  <c r="U35" i="2"/>
  <c r="S35" i="2"/>
  <c r="Q35" i="2"/>
  <c r="P35" i="2"/>
  <c r="O35" i="2"/>
  <c r="N35" i="2"/>
  <c r="M35" i="2"/>
  <c r="L35" i="2"/>
  <c r="J35" i="2"/>
  <c r="AA35" i="2" s="1"/>
  <c r="G35" i="2"/>
  <c r="AA34" i="2"/>
  <c r="W34" i="2"/>
  <c r="S34" i="2"/>
  <c r="P34" i="2"/>
  <c r="O34" i="2"/>
  <c r="M34" i="2"/>
  <c r="L34" i="2"/>
  <c r="N34" i="2" s="1"/>
  <c r="J34" i="2"/>
  <c r="G34" i="2"/>
  <c r="AA33" i="2"/>
  <c r="S33" i="2"/>
  <c r="P33" i="2"/>
  <c r="U33" i="2" s="1"/>
  <c r="O33" i="2"/>
  <c r="Q33" i="2" s="1"/>
  <c r="V33" i="2" s="1"/>
  <c r="M33" i="2"/>
  <c r="N33" i="2" s="1"/>
  <c r="W33" i="2" s="1"/>
  <c r="L33" i="2"/>
  <c r="J33" i="2"/>
  <c r="G33" i="2"/>
  <c r="S32" i="2"/>
  <c r="P32" i="2"/>
  <c r="U32" i="2" s="1"/>
  <c r="O32" i="2"/>
  <c r="Q32" i="2" s="1"/>
  <c r="V32" i="2" s="1"/>
  <c r="N32" i="2"/>
  <c r="G32" i="2"/>
  <c r="J32" i="2" s="1"/>
  <c r="S31" i="2"/>
  <c r="U31" i="2" s="1"/>
  <c r="P31" i="2"/>
  <c r="O31" i="2"/>
  <c r="Q31" i="2" s="1"/>
  <c r="V31" i="2" s="1"/>
  <c r="N31" i="2"/>
  <c r="J31" i="2"/>
  <c r="G31" i="2"/>
  <c r="S30" i="2"/>
  <c r="P30" i="2"/>
  <c r="U30" i="2" s="1"/>
  <c r="O30" i="2"/>
  <c r="Q30" i="2" s="1"/>
  <c r="V30" i="2" s="1"/>
  <c r="M30" i="2"/>
  <c r="L30" i="2"/>
  <c r="N30" i="2" s="1"/>
  <c r="G30" i="2"/>
  <c r="J30" i="2" s="1"/>
  <c r="W30" i="2" s="1"/>
  <c r="S29" i="2"/>
  <c r="P29" i="2"/>
  <c r="O29" i="2"/>
  <c r="Q29" i="2" s="1"/>
  <c r="V29" i="2" s="1"/>
  <c r="M29" i="2"/>
  <c r="L29" i="2"/>
  <c r="N29" i="2" s="1"/>
  <c r="J29" i="2"/>
  <c r="AA29" i="2" s="1"/>
  <c r="G29" i="2"/>
  <c r="AA28" i="2"/>
  <c r="S28" i="2"/>
  <c r="P28" i="2"/>
  <c r="U28" i="2" s="1"/>
  <c r="O28" i="2"/>
  <c r="M28" i="2"/>
  <c r="L28" i="2"/>
  <c r="N28" i="2" s="1"/>
  <c r="J28" i="2"/>
  <c r="G28" i="2"/>
  <c r="S27" i="2"/>
  <c r="P27" i="2"/>
  <c r="O27" i="2"/>
  <c r="M27" i="2"/>
  <c r="L27" i="2"/>
  <c r="N27" i="2" s="1"/>
  <c r="G27" i="2"/>
  <c r="J27" i="2" s="1"/>
  <c r="S26" i="2"/>
  <c r="P26" i="2"/>
  <c r="O26" i="2"/>
  <c r="Q26" i="2" s="1"/>
  <c r="V26" i="2" s="1"/>
  <c r="M26" i="2"/>
  <c r="L26" i="2"/>
  <c r="N26" i="2" s="1"/>
  <c r="G26" i="2"/>
  <c r="J26" i="2" s="1"/>
  <c r="W26" i="2" s="1"/>
  <c r="AA25" i="2"/>
  <c r="S25" i="2"/>
  <c r="P25" i="2"/>
  <c r="U25" i="2" s="1"/>
  <c r="O25" i="2"/>
  <c r="M25" i="2"/>
  <c r="L25" i="2"/>
  <c r="N25" i="2" s="1"/>
  <c r="J25" i="2"/>
  <c r="G25" i="2"/>
  <c r="S24" i="2"/>
  <c r="P24" i="2"/>
  <c r="U24" i="2" s="1"/>
  <c r="O24" i="2"/>
  <c r="Q24" i="2" s="1"/>
  <c r="V24" i="2" s="1"/>
  <c r="M24" i="2"/>
  <c r="L24" i="2"/>
  <c r="N24" i="2" s="1"/>
  <c r="G24" i="2"/>
  <c r="J24" i="2" s="1"/>
  <c r="S23" i="2"/>
  <c r="P23" i="2"/>
  <c r="O23" i="2"/>
  <c r="M23" i="2"/>
  <c r="L23" i="2"/>
  <c r="J23" i="2"/>
  <c r="G23" i="2"/>
  <c r="AA22" i="2"/>
  <c r="W22" i="2"/>
  <c r="S22" i="2"/>
  <c r="U22" i="2" s="1"/>
  <c r="Q22" i="2"/>
  <c r="V22" i="2" s="1"/>
  <c r="P22" i="2"/>
  <c r="O22" i="2"/>
  <c r="M22" i="2"/>
  <c r="N22" i="2" s="1"/>
  <c r="L22" i="2"/>
  <c r="G22" i="2"/>
  <c r="J22" i="2" s="1"/>
  <c r="S21" i="2"/>
  <c r="P21" i="2"/>
  <c r="U21" i="2" s="1"/>
  <c r="O21" i="2"/>
  <c r="Q21" i="2" s="1"/>
  <c r="V21" i="2" s="1"/>
  <c r="M21" i="2"/>
  <c r="N21" i="2" s="1"/>
  <c r="L21" i="2"/>
  <c r="G21" i="2"/>
  <c r="J21" i="2" s="1"/>
  <c r="AA21" i="2" s="1"/>
  <c r="S20" i="2"/>
  <c r="U20" i="2" s="1"/>
  <c r="P20" i="2"/>
  <c r="O20" i="2"/>
  <c r="Q20" i="2" s="1"/>
  <c r="V20" i="2" s="1"/>
  <c r="M20" i="2"/>
  <c r="L20" i="2"/>
  <c r="N20" i="2" s="1"/>
  <c r="G20" i="2"/>
  <c r="J20" i="2" s="1"/>
  <c r="AB19" i="2"/>
  <c r="S19" i="2"/>
  <c r="Q19" i="2"/>
  <c r="V19" i="2" s="1"/>
  <c r="P19" i="2"/>
  <c r="O19" i="2"/>
  <c r="M19" i="2"/>
  <c r="N19" i="2" s="1"/>
  <c r="W19" i="2" s="1"/>
  <c r="L19" i="2"/>
  <c r="G19" i="2"/>
  <c r="J19" i="2" s="1"/>
  <c r="AA19" i="2" s="1"/>
  <c r="AA18" i="2"/>
  <c r="U18" i="2"/>
  <c r="S18" i="2"/>
  <c r="P18" i="2"/>
  <c r="O18" i="2"/>
  <c r="Q18" i="2" s="1"/>
  <c r="V18" i="2" s="1"/>
  <c r="Z18" i="2" s="1"/>
  <c r="M18" i="2"/>
  <c r="N18" i="2" s="1"/>
  <c r="W18" i="2" s="1"/>
  <c r="L18" i="2"/>
  <c r="J18" i="2"/>
  <c r="G18" i="2"/>
  <c r="AA17" i="2"/>
  <c r="S17" i="2"/>
  <c r="P17" i="2"/>
  <c r="U17" i="2" s="1"/>
  <c r="O17" i="2"/>
  <c r="Q17" i="2" s="1"/>
  <c r="V17" i="2" s="1"/>
  <c r="M17" i="2"/>
  <c r="N17" i="2" s="1"/>
  <c r="W17" i="2" s="1"/>
  <c r="L17" i="2"/>
  <c r="J17" i="2"/>
  <c r="G17" i="2"/>
  <c r="Z16" i="2"/>
  <c r="U16" i="2"/>
  <c r="S16" i="2"/>
  <c r="P16" i="2"/>
  <c r="O16" i="2"/>
  <c r="Q16" i="2" s="1"/>
  <c r="V16" i="2" s="1"/>
  <c r="N16" i="2"/>
  <c r="M16" i="2"/>
  <c r="L16" i="2"/>
  <c r="G16" i="2"/>
  <c r="J16" i="2" s="1"/>
  <c r="AA15" i="2"/>
  <c r="Z15" i="2"/>
  <c r="W15" i="2"/>
  <c r="X15" i="2" s="1"/>
  <c r="S15" i="2"/>
  <c r="Q15" i="2"/>
  <c r="V15" i="2" s="1"/>
  <c r="P15" i="2"/>
  <c r="O15" i="2"/>
  <c r="N15" i="2"/>
  <c r="M15" i="2"/>
  <c r="L15" i="2"/>
  <c r="G15" i="2"/>
  <c r="J15" i="2" s="1"/>
  <c r="AA14" i="2"/>
  <c r="Z14" i="2"/>
  <c r="W14" i="2"/>
  <c r="X14" i="2" s="1"/>
  <c r="S14" i="2"/>
  <c r="U14" i="2" s="1"/>
  <c r="P14" i="2"/>
  <c r="O14" i="2"/>
  <c r="Q14" i="2" s="1"/>
  <c r="V14" i="2" s="1"/>
  <c r="N14" i="2"/>
  <c r="M14" i="2"/>
  <c r="L14" i="2"/>
  <c r="G14" i="2"/>
  <c r="J14" i="2" s="1"/>
  <c r="S13" i="2"/>
  <c r="P13" i="2"/>
  <c r="Q13" i="2" s="1"/>
  <c r="V13" i="2" s="1"/>
  <c r="O13" i="2"/>
  <c r="N13" i="2"/>
  <c r="M13" i="2"/>
  <c r="L13" i="2"/>
  <c r="G13" i="2"/>
  <c r="J13" i="2" s="1"/>
  <c r="AA13" i="2" s="1"/>
  <c r="AA12" i="2"/>
  <c r="S12" i="2"/>
  <c r="P12" i="2"/>
  <c r="U12" i="2" s="1"/>
  <c r="O12" i="2"/>
  <c r="Q12" i="2" s="1"/>
  <c r="V12" i="2" s="1"/>
  <c r="N12" i="2"/>
  <c r="M12" i="2"/>
  <c r="L12" i="2"/>
  <c r="G12" i="2"/>
  <c r="J12" i="2" s="1"/>
  <c r="W12" i="2" s="1"/>
  <c r="S11" i="2"/>
  <c r="P11" i="2"/>
  <c r="U11" i="2" s="1"/>
  <c r="O11" i="2"/>
  <c r="Q11" i="2" s="1"/>
  <c r="V11" i="2" s="1"/>
  <c r="N11" i="2"/>
  <c r="W11" i="2" s="1"/>
  <c r="M11" i="2"/>
  <c r="L11" i="2"/>
  <c r="G11" i="2"/>
  <c r="J11" i="2" s="1"/>
  <c r="AA11" i="2" s="1"/>
  <c r="AA10" i="2"/>
  <c r="S10" i="2"/>
  <c r="U10" i="2" s="1"/>
  <c r="P10" i="2"/>
  <c r="O10" i="2"/>
  <c r="Q10" i="2" s="1"/>
  <c r="V10" i="2" s="1"/>
  <c r="N10" i="2"/>
  <c r="M10" i="2"/>
  <c r="L10" i="2"/>
  <c r="G10" i="2"/>
  <c r="J10" i="2" s="1"/>
  <c r="W10" i="2" s="1"/>
  <c r="W9" i="2"/>
  <c r="S9" i="2"/>
  <c r="U9" i="2" s="1"/>
  <c r="P9" i="2"/>
  <c r="Q9" i="2" s="1"/>
  <c r="V9" i="2" s="1"/>
  <c r="O9" i="2"/>
  <c r="N9" i="2"/>
  <c r="M9" i="2"/>
  <c r="L9" i="2"/>
  <c r="G9" i="2"/>
  <c r="J9" i="2" s="1"/>
  <c r="AA9" i="2" s="1"/>
  <c r="AA8" i="2"/>
  <c r="W8" i="2"/>
  <c r="S8" i="2"/>
  <c r="P8" i="2"/>
  <c r="U8" i="2" s="1"/>
  <c r="O8" i="2"/>
  <c r="Q8" i="2" s="1"/>
  <c r="V8" i="2" s="1"/>
  <c r="N8" i="2"/>
  <c r="M8" i="2"/>
  <c r="L8" i="2"/>
  <c r="J8" i="2"/>
  <c r="G8" i="2"/>
  <c r="W7" i="2"/>
  <c r="S7" i="2"/>
  <c r="P7" i="2"/>
  <c r="U7" i="2" s="1"/>
  <c r="O7" i="2"/>
  <c r="Q7" i="2" s="1"/>
  <c r="V7" i="2" s="1"/>
  <c r="N7" i="2"/>
  <c r="M7" i="2"/>
  <c r="L7" i="2"/>
  <c r="G7" i="2"/>
  <c r="J7" i="2" s="1"/>
  <c r="AA7" i="2" s="1"/>
  <c r="AA6" i="2"/>
  <c r="S6" i="2"/>
  <c r="P6" i="2"/>
  <c r="U6" i="2" s="1"/>
  <c r="O6" i="2"/>
  <c r="Q6" i="2" s="1"/>
  <c r="V6" i="2" s="1"/>
  <c r="N6" i="2"/>
  <c r="M6" i="2"/>
  <c r="L6" i="2"/>
  <c r="J6" i="2"/>
  <c r="W6" i="2" s="1"/>
  <c r="G6" i="2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Z257" i="2" l="1"/>
  <c r="Z362" i="2"/>
  <c r="Z72" i="2"/>
  <c r="AA89" i="2"/>
  <c r="W89" i="2"/>
  <c r="Z372" i="2"/>
  <c r="X372" i="2"/>
  <c r="Z10" i="2"/>
  <c r="X10" i="2"/>
  <c r="W27" i="2"/>
  <c r="AA27" i="2"/>
  <c r="Z48" i="2"/>
  <c r="X48" i="2"/>
  <c r="W119" i="2"/>
  <c r="AA119" i="2"/>
  <c r="Z151" i="2"/>
  <c r="X151" i="2"/>
  <c r="Z311" i="2"/>
  <c r="AA380" i="2"/>
  <c r="W380" i="2"/>
  <c r="W428" i="2"/>
  <c r="AA428" i="2"/>
  <c r="AA521" i="2"/>
  <c r="W521" i="2"/>
  <c r="W32" i="2"/>
  <c r="X32" i="2" s="1"/>
  <c r="AA32" i="2"/>
  <c r="Z115" i="2"/>
  <c r="X115" i="2"/>
  <c r="W124" i="2"/>
  <c r="AA124" i="2"/>
  <c r="W126" i="2"/>
  <c r="AA126" i="2"/>
  <c r="W158" i="2"/>
  <c r="X158" i="2" s="1"/>
  <c r="AA158" i="2"/>
  <c r="W204" i="2"/>
  <c r="AA204" i="2"/>
  <c r="Z214" i="2"/>
  <c r="X214" i="2"/>
  <c r="AA225" i="2"/>
  <c r="W225" i="2"/>
  <c r="X225" i="2" s="1"/>
  <c r="AA318" i="2"/>
  <c r="W318" i="2"/>
  <c r="Z542" i="2"/>
  <c r="X542" i="2"/>
  <c r="Z370" i="2"/>
  <c r="Z463" i="2"/>
  <c r="AA60" i="2"/>
  <c r="Z479" i="2"/>
  <c r="X479" i="2"/>
  <c r="Z91" i="2"/>
  <c r="X91" i="2"/>
  <c r="X176" i="2"/>
  <c r="Z176" i="2"/>
  <c r="Z195" i="2"/>
  <c r="X195" i="2"/>
  <c r="AA569" i="2"/>
  <c r="W569" i="2"/>
  <c r="X569" i="2" s="1"/>
  <c r="Z20" i="2"/>
  <c r="Z32" i="2"/>
  <c r="Z40" i="2"/>
  <c r="Z69" i="2"/>
  <c r="X69" i="2"/>
  <c r="W79" i="2"/>
  <c r="AA79" i="2"/>
  <c r="X148" i="2"/>
  <c r="Z148" i="2"/>
  <c r="W173" i="2"/>
  <c r="X173" i="2" s="1"/>
  <c r="AA173" i="2"/>
  <c r="Z187" i="2"/>
  <c r="X187" i="2"/>
  <c r="AA314" i="2"/>
  <c r="Z361" i="2"/>
  <c r="W397" i="2"/>
  <c r="AA397" i="2"/>
  <c r="Z407" i="2"/>
  <c r="Z451" i="2"/>
  <c r="AA458" i="2"/>
  <c r="W458" i="2"/>
  <c r="X458" i="2" s="1"/>
  <c r="AA24" i="2"/>
  <c r="W24" i="2"/>
  <c r="X24" i="2" s="1"/>
  <c r="Z39" i="2"/>
  <c r="X39" i="2"/>
  <c r="Z226" i="2"/>
  <c r="Z6" i="2"/>
  <c r="AC6" i="2" s="1"/>
  <c r="X6" i="2"/>
  <c r="Y6" i="2" s="1"/>
  <c r="Z44" i="2"/>
  <c r="X54" i="2"/>
  <c r="Z54" i="2"/>
  <c r="Z147" i="2"/>
  <c r="X147" i="2"/>
  <c r="Z193" i="2"/>
  <c r="X193" i="2"/>
  <c r="X8" i="2"/>
  <c r="Z8" i="2"/>
  <c r="Z149" i="2"/>
  <c r="X149" i="2"/>
  <c r="AA233" i="2"/>
  <c r="W233" i="2"/>
  <c r="W87" i="2"/>
  <c r="AA87" i="2"/>
  <c r="Z183" i="2"/>
  <c r="Z250" i="2"/>
  <c r="AA20" i="2"/>
  <c r="W20" i="2"/>
  <c r="X20" i="2" s="1"/>
  <c r="Z29" i="2"/>
  <c r="Z237" i="2"/>
  <c r="X237" i="2"/>
  <c r="Z83" i="2"/>
  <c r="X83" i="2"/>
  <c r="Z100" i="2"/>
  <c r="Z104" i="2"/>
  <c r="Z139" i="2"/>
  <c r="X139" i="2"/>
  <c r="Z142" i="2"/>
  <c r="X142" i="2"/>
  <c r="Z170" i="2"/>
  <c r="X170" i="2"/>
  <c r="W269" i="2"/>
  <c r="AA269" i="2"/>
  <c r="Z293" i="2"/>
  <c r="X293" i="2"/>
  <c r="X367" i="2"/>
  <c r="Z367" i="2"/>
  <c r="Z399" i="2"/>
  <c r="Z474" i="2"/>
  <c r="X65" i="2"/>
  <c r="Z65" i="2"/>
  <c r="Z99" i="2"/>
  <c r="Z285" i="2"/>
  <c r="X285" i="2"/>
  <c r="Z26" i="2"/>
  <c r="X26" i="2"/>
  <c r="Z97" i="2"/>
  <c r="Z138" i="2"/>
  <c r="X138" i="2"/>
  <c r="Z178" i="2"/>
  <c r="AA382" i="2"/>
  <c r="W382" i="2"/>
  <c r="Z768" i="2"/>
  <c r="X768" i="2"/>
  <c r="X12" i="2"/>
  <c r="Z12" i="2"/>
  <c r="Z218" i="2"/>
  <c r="X218" i="2"/>
  <c r="Z296" i="2"/>
  <c r="X296" i="2"/>
  <c r="Z24" i="2"/>
  <c r="Z50" i="2"/>
  <c r="X50" i="2"/>
  <c r="Z95" i="2"/>
  <c r="Z304" i="2"/>
  <c r="X304" i="2"/>
  <c r="AA38" i="2"/>
  <c r="W38" i="2"/>
  <c r="AA135" i="2"/>
  <c r="W135" i="2"/>
  <c r="AA166" i="2"/>
  <c r="W166" i="2"/>
  <c r="W177" i="2"/>
  <c r="X177" i="2" s="1"/>
  <c r="AA177" i="2"/>
  <c r="W202" i="2"/>
  <c r="X202" i="2" s="1"/>
  <c r="AA202" i="2"/>
  <c r="AA217" i="2"/>
  <c r="W217" i="2"/>
  <c r="X217" i="2" s="1"/>
  <c r="X7" i="2"/>
  <c r="Z7" i="2"/>
  <c r="Z43" i="2"/>
  <c r="X58" i="2"/>
  <c r="Z58" i="2"/>
  <c r="W90" i="2"/>
  <c r="AA90" i="2"/>
  <c r="Z135" i="2"/>
  <c r="X135" i="2"/>
  <c r="W160" i="2"/>
  <c r="AA160" i="2"/>
  <c r="Z166" i="2"/>
  <c r="X166" i="2"/>
  <c r="Z175" i="2"/>
  <c r="X175" i="2"/>
  <c r="AA182" i="2"/>
  <c r="W182" i="2"/>
  <c r="Z202" i="2"/>
  <c r="Z223" i="2"/>
  <c r="Z241" i="2"/>
  <c r="X241" i="2"/>
  <c r="Z49" i="2"/>
  <c r="X49" i="2"/>
  <c r="AA61" i="2"/>
  <c r="W61" i="2"/>
  <c r="X61" i="2" s="1"/>
  <c r="Z79" i="2"/>
  <c r="X79" i="2"/>
  <c r="W120" i="2"/>
  <c r="X120" i="2" s="1"/>
  <c r="AA120" i="2"/>
  <c r="W129" i="2"/>
  <c r="AA129" i="2"/>
  <c r="Z154" i="2"/>
  <c r="AA279" i="2"/>
  <c r="W279" i="2"/>
  <c r="Z326" i="2"/>
  <c r="Z11" i="2"/>
  <c r="X11" i="2"/>
  <c r="Z13" i="2"/>
  <c r="W59" i="2"/>
  <c r="X59" i="2" s="1"/>
  <c r="AA59" i="2"/>
  <c r="AA118" i="2"/>
  <c r="W118" i="2"/>
  <c r="X118" i="2" s="1"/>
  <c r="Z122" i="2"/>
  <c r="Z152" i="2"/>
  <c r="Z198" i="2"/>
  <c r="AA205" i="2"/>
  <c r="W205" i="2"/>
  <c r="AA220" i="2"/>
  <c r="W220" i="2"/>
  <c r="W343" i="2"/>
  <c r="AA343" i="2"/>
  <c r="Z456" i="2"/>
  <c r="X456" i="2"/>
  <c r="Z9" i="2"/>
  <c r="X9" i="2"/>
  <c r="Z30" i="2"/>
  <c r="X30" i="2"/>
  <c r="W76" i="2"/>
  <c r="AA76" i="2"/>
  <c r="AA86" i="2"/>
  <c r="W86" i="2"/>
  <c r="Z88" i="2"/>
  <c r="Z90" i="2"/>
  <c r="X90" i="2"/>
  <c r="Z106" i="2"/>
  <c r="X106" i="2"/>
  <c r="X556" i="2"/>
  <c r="Z556" i="2"/>
  <c r="AA633" i="2"/>
  <c r="W633" i="2"/>
  <c r="X633" i="2" s="1"/>
  <c r="Z21" i="2"/>
  <c r="Z68" i="2"/>
  <c r="X68" i="2"/>
  <c r="W109" i="2"/>
  <c r="X109" i="2" s="1"/>
  <c r="AA109" i="2"/>
  <c r="Z114" i="2"/>
  <c r="X114" i="2"/>
  <c r="Z116" i="2"/>
  <c r="X116" i="2"/>
  <c r="Z160" i="2"/>
  <c r="X160" i="2"/>
  <c r="Z184" i="2"/>
  <c r="X184" i="2"/>
  <c r="Z234" i="2"/>
  <c r="X234" i="2"/>
  <c r="Z395" i="2"/>
  <c r="W483" i="2"/>
  <c r="AA483" i="2"/>
  <c r="AA738" i="2"/>
  <c r="W738" i="2"/>
  <c r="Z33" i="2"/>
  <c r="X33" i="2"/>
  <c r="Z63" i="2"/>
  <c r="X63" i="2"/>
  <c r="AA80" i="2"/>
  <c r="W80" i="2"/>
  <c r="AA95" i="2"/>
  <c r="W95" i="2"/>
  <c r="X95" i="2" s="1"/>
  <c r="AA97" i="2"/>
  <c r="W97" i="2"/>
  <c r="X97" i="2" s="1"/>
  <c r="Z144" i="2"/>
  <c r="X144" i="2"/>
  <c r="W169" i="2"/>
  <c r="AA169" i="2"/>
  <c r="Z171" i="2"/>
  <c r="AA174" i="2"/>
  <c r="W174" i="2"/>
  <c r="Z205" i="2"/>
  <c r="X205" i="2"/>
  <c r="Z209" i="2"/>
  <c r="X209" i="2"/>
  <c r="X220" i="2"/>
  <c r="W265" i="2"/>
  <c r="X265" i="2" s="1"/>
  <c r="AA265" i="2"/>
  <c r="Z391" i="2"/>
  <c r="Z404" i="2"/>
  <c r="Z423" i="2"/>
  <c r="X423" i="2"/>
  <c r="Z488" i="2"/>
  <c r="Z775" i="2"/>
  <c r="X17" i="2"/>
  <c r="Z17" i="2"/>
  <c r="X127" i="2"/>
  <c r="Z127" i="2"/>
  <c r="Z136" i="2"/>
  <c r="X136" i="2"/>
  <c r="W161" i="2"/>
  <c r="X161" i="2" s="1"/>
  <c r="AA161" i="2"/>
  <c r="Z180" i="2"/>
  <c r="W216" i="2"/>
  <c r="AA216" i="2"/>
  <c r="Z431" i="2"/>
  <c r="Z664" i="2"/>
  <c r="X664" i="2"/>
  <c r="Z679" i="2"/>
  <c r="X679" i="2"/>
  <c r="Z60" i="2"/>
  <c r="N72" i="2"/>
  <c r="W72" i="2" s="1"/>
  <c r="X72" i="2" s="1"/>
  <c r="Q103" i="2"/>
  <c r="V103" i="2" s="1"/>
  <c r="W130" i="2"/>
  <c r="X130" i="2" s="1"/>
  <c r="AA130" i="2"/>
  <c r="W133" i="2"/>
  <c r="X133" i="2" s="1"/>
  <c r="Q145" i="2"/>
  <c r="V145" i="2" s="1"/>
  <c r="W178" i="2"/>
  <c r="X178" i="2" s="1"/>
  <c r="Q179" i="2"/>
  <c r="V179" i="2" s="1"/>
  <c r="W181" i="2"/>
  <c r="X185" i="2"/>
  <c r="Q188" i="2"/>
  <c r="V188" i="2" s="1"/>
  <c r="Q199" i="2"/>
  <c r="V199" i="2" s="1"/>
  <c r="U215" i="2"/>
  <c r="Q230" i="2"/>
  <c r="V230" i="2" s="1"/>
  <c r="W232" i="2"/>
  <c r="AA232" i="2"/>
  <c r="AA245" i="2"/>
  <c r="W245" i="2"/>
  <c r="X245" i="2" s="1"/>
  <c r="Z258" i="2"/>
  <c r="U329" i="2"/>
  <c r="Z357" i="2"/>
  <c r="Z371" i="2"/>
  <c r="U387" i="2"/>
  <c r="Q387" i="2"/>
  <c r="V387" i="2" s="1"/>
  <c r="Z394" i="2"/>
  <c r="N398" i="2"/>
  <c r="W398" i="2" s="1"/>
  <c r="Z405" i="2"/>
  <c r="Q422" i="2"/>
  <c r="V422" i="2" s="1"/>
  <c r="Z446" i="2"/>
  <c r="AA450" i="2"/>
  <c r="W450" i="2"/>
  <c r="AA495" i="2"/>
  <c r="W495" i="2"/>
  <c r="Z510" i="2"/>
  <c r="Z515" i="2"/>
  <c r="AA542" i="2"/>
  <c r="W542" i="2"/>
  <c r="W558" i="2"/>
  <c r="X558" i="2" s="1"/>
  <c r="AA558" i="2"/>
  <c r="Z567" i="2"/>
  <c r="X567" i="2"/>
  <c r="AA614" i="2"/>
  <c r="W614" i="2"/>
  <c r="W620" i="2"/>
  <c r="AA620" i="2"/>
  <c r="X652" i="2"/>
  <c r="X655" i="2"/>
  <c r="Z655" i="2"/>
  <c r="Z669" i="2"/>
  <c r="Z689" i="2"/>
  <c r="Z720" i="2"/>
  <c r="Q724" i="2"/>
  <c r="V724" i="2" s="1"/>
  <c r="Z22" i="2"/>
  <c r="X22" i="2"/>
  <c r="AA37" i="2"/>
  <c r="W37" i="2"/>
  <c r="AA172" i="2"/>
  <c r="W172" i="2"/>
  <c r="Z215" i="2"/>
  <c r="AA398" i="2"/>
  <c r="Z442" i="2"/>
  <c r="W461" i="2"/>
  <c r="AA461" i="2"/>
  <c r="Z565" i="2"/>
  <c r="X565" i="2"/>
  <c r="AA683" i="2"/>
  <c r="W683" i="2"/>
  <c r="Z844" i="2"/>
  <c r="Q25" i="2"/>
  <c r="V25" i="2" s="1"/>
  <c r="Q28" i="2"/>
  <c r="V28" i="2" s="1"/>
  <c r="W162" i="2"/>
  <c r="AA183" i="2"/>
  <c r="W183" i="2"/>
  <c r="X183" i="2" s="1"/>
  <c r="Z227" i="2"/>
  <c r="X227" i="2"/>
  <c r="Z289" i="2"/>
  <c r="X289" i="2"/>
  <c r="AA326" i="2"/>
  <c r="W326" i="2"/>
  <c r="X326" i="2" s="1"/>
  <c r="W481" i="2"/>
  <c r="X481" i="2" s="1"/>
  <c r="AA481" i="2"/>
  <c r="AA497" i="2"/>
  <c r="W497" i="2"/>
  <c r="Q94" i="2"/>
  <c r="V94" i="2" s="1"/>
  <c r="U94" i="2"/>
  <c r="X131" i="2"/>
  <c r="Q243" i="2"/>
  <c r="V243" i="2" s="1"/>
  <c r="Q280" i="2"/>
  <c r="V280" i="2" s="1"/>
  <c r="Z315" i="2"/>
  <c r="W402" i="2"/>
  <c r="AA402" i="2"/>
  <c r="Z429" i="2"/>
  <c r="X429" i="2"/>
  <c r="AA439" i="2"/>
  <c r="W439" i="2"/>
  <c r="X439" i="2" s="1"/>
  <c r="Z491" i="2"/>
  <c r="AA39" i="2"/>
  <c r="W39" i="2"/>
  <c r="Z248" i="2"/>
  <c r="Z313" i="2"/>
  <c r="AA384" i="2"/>
  <c r="W384" i="2"/>
  <c r="W441" i="2"/>
  <c r="X441" i="2" s="1"/>
  <c r="AA441" i="2"/>
  <c r="W790" i="2"/>
  <c r="AA790" i="2"/>
  <c r="U13" i="2"/>
  <c r="Z217" i="2"/>
  <c r="Z378" i="2"/>
  <c r="W393" i="2"/>
  <c r="AA393" i="2"/>
  <c r="W509" i="2"/>
  <c r="AA509" i="2"/>
  <c r="AA537" i="2"/>
  <c r="W537" i="2"/>
  <c r="U618" i="2"/>
  <c r="Q618" i="2"/>
  <c r="V618" i="2" s="1"/>
  <c r="X741" i="2"/>
  <c r="Z232" i="2"/>
  <c r="X232" i="2"/>
  <c r="Z238" i="2"/>
  <c r="W353" i="2"/>
  <c r="AA353" i="2"/>
  <c r="Z416" i="2"/>
  <c r="X416" i="2"/>
  <c r="U646" i="2"/>
  <c r="Q646" i="2"/>
  <c r="V646" i="2" s="1"/>
  <c r="X18" i="2"/>
  <c r="Q42" i="2"/>
  <c r="V42" i="2" s="1"/>
  <c r="X123" i="2"/>
  <c r="W155" i="2"/>
  <c r="X155" i="2" s="1"/>
  <c r="X194" i="2"/>
  <c r="X201" i="2"/>
  <c r="Z220" i="2"/>
  <c r="Q267" i="2"/>
  <c r="V267" i="2" s="1"/>
  <c r="W274" i="2"/>
  <c r="AA274" i="2"/>
  <c r="U288" i="2"/>
  <c r="AA303" i="2"/>
  <c r="AA332" i="2"/>
  <c r="W332" i="2"/>
  <c r="Z339" i="2"/>
  <c r="Z368" i="2"/>
  <c r="X368" i="2"/>
  <c r="X402" i="2"/>
  <c r="Z402" i="2"/>
  <c r="AA406" i="2"/>
  <c r="W406" i="2"/>
  <c r="X406" i="2" s="1"/>
  <c r="Z411" i="2"/>
  <c r="X411" i="2"/>
  <c r="Z413" i="2"/>
  <c r="Z437" i="2"/>
  <c r="Z439" i="2"/>
  <c r="AA473" i="2"/>
  <c r="W473" i="2"/>
  <c r="X473" i="2" s="1"/>
  <c r="W478" i="2"/>
  <c r="X478" i="2" s="1"/>
  <c r="AA478" i="2"/>
  <c r="Z553" i="2"/>
  <c r="X553" i="2"/>
  <c r="X601" i="2"/>
  <c r="Z610" i="2"/>
  <c r="Z699" i="2"/>
  <c r="Z701" i="2"/>
  <c r="Z709" i="2"/>
  <c r="Z745" i="2"/>
  <c r="X745" i="2"/>
  <c r="Z824" i="2"/>
  <c r="Z892" i="2"/>
  <c r="X892" i="2"/>
  <c r="Z972" i="2"/>
  <c r="X972" i="2"/>
  <c r="Z134" i="2"/>
  <c r="Z182" i="2"/>
  <c r="X182" i="2"/>
  <c r="Z268" i="2"/>
  <c r="X268" i="2"/>
  <c r="AA308" i="2"/>
  <c r="W308" i="2"/>
  <c r="X308" i="2" s="1"/>
  <c r="Z438" i="2"/>
  <c r="X508" i="2"/>
  <c r="Z508" i="2"/>
  <c r="Z548" i="2"/>
  <c r="X548" i="2"/>
  <c r="AA666" i="2"/>
  <c r="W666" i="2"/>
  <c r="Z693" i="2"/>
  <c r="AA47" i="2"/>
  <c r="W47" i="2"/>
  <c r="X47" i="2" s="1"/>
  <c r="AA102" i="2"/>
  <c r="W102" i="2"/>
  <c r="AA356" i="2"/>
  <c r="W356" i="2"/>
  <c r="X457" i="2"/>
  <c r="Z466" i="2"/>
  <c r="W493" i="2"/>
  <c r="AA493" i="2"/>
  <c r="AA99" i="2"/>
  <c r="W99" i="2"/>
  <c r="X99" i="2" s="1"/>
  <c r="Q270" i="2"/>
  <c r="V270" i="2" s="1"/>
  <c r="U270" i="2"/>
  <c r="W282" i="2"/>
  <c r="AA282" i="2"/>
  <c r="AA404" i="2"/>
  <c r="W404" i="2"/>
  <c r="X404" i="2" s="1"/>
  <c r="Z45" i="2"/>
  <c r="X157" i="2"/>
  <c r="Z159" i="2"/>
  <c r="X189" i="2"/>
  <c r="AA253" i="2"/>
  <c r="W253" i="2"/>
  <c r="X253" i="2" s="1"/>
  <c r="Z317" i="2"/>
  <c r="AA437" i="2"/>
  <c r="W437" i="2"/>
  <c r="X437" i="2" s="1"/>
  <c r="AA610" i="2"/>
  <c r="W610" i="2"/>
  <c r="X610" i="2" s="1"/>
  <c r="W941" i="2"/>
  <c r="AA941" i="2"/>
  <c r="AA16" i="2"/>
  <c r="W16" i="2"/>
  <c r="X16" i="2" s="1"/>
  <c r="Q53" i="2"/>
  <c r="V53" i="2" s="1"/>
  <c r="U69" i="2"/>
  <c r="Z260" i="2"/>
  <c r="X260" i="2"/>
  <c r="W301" i="2"/>
  <c r="X301" i="2" s="1"/>
  <c r="AA358" i="2"/>
  <c r="W358" i="2"/>
  <c r="X409" i="2"/>
  <c r="Z409" i="2"/>
  <c r="X426" i="2"/>
  <c r="AA445" i="2"/>
  <c r="W445" i="2"/>
  <c r="AA532" i="2"/>
  <c r="AA539" i="2"/>
  <c r="Z47" i="2"/>
  <c r="Q52" i="2"/>
  <c r="V52" i="2" s="1"/>
  <c r="AA374" i="2"/>
  <c r="W374" i="2"/>
  <c r="AA465" i="2"/>
  <c r="W465" i="2"/>
  <c r="X465" i="2" s="1"/>
  <c r="X540" i="2"/>
  <c r="Z540" i="2"/>
  <c r="W23" i="2"/>
  <c r="Q51" i="2"/>
  <c r="V51" i="2" s="1"/>
  <c r="W21" i="2"/>
  <c r="X21" i="2" s="1"/>
  <c r="N23" i="2"/>
  <c r="AA30" i="2"/>
  <c r="W62" i="2"/>
  <c r="Q67" i="2"/>
  <c r="V67" i="2" s="1"/>
  <c r="W75" i="2"/>
  <c r="Q87" i="2"/>
  <c r="V87" i="2" s="1"/>
  <c r="N95" i="2"/>
  <c r="Q96" i="2"/>
  <c r="V96" i="2" s="1"/>
  <c r="AA101" i="2"/>
  <c r="W101" i="2"/>
  <c r="X101" i="2" s="1"/>
  <c r="Q113" i="2"/>
  <c r="V113" i="2" s="1"/>
  <c r="U114" i="2"/>
  <c r="W122" i="2"/>
  <c r="X122" i="2" s="1"/>
  <c r="U144" i="2"/>
  <c r="X163" i="2"/>
  <c r="AA181" i="2"/>
  <c r="W211" i="2"/>
  <c r="W223" i="2"/>
  <c r="X223" i="2" s="1"/>
  <c r="W226" i="2"/>
  <c r="X226" i="2" s="1"/>
  <c r="Q240" i="2"/>
  <c r="V240" i="2" s="1"/>
  <c r="Z247" i="2"/>
  <c r="AA276" i="2"/>
  <c r="W276" i="2"/>
  <c r="X276" i="2" s="1"/>
  <c r="Z277" i="2"/>
  <c r="X277" i="2"/>
  <c r="Q312" i="2"/>
  <c r="V312" i="2" s="1"/>
  <c r="N314" i="2"/>
  <c r="W314" i="2" s="1"/>
  <c r="X314" i="2" s="1"/>
  <c r="AA337" i="2"/>
  <c r="W337" i="2"/>
  <c r="X393" i="2"/>
  <c r="U416" i="2"/>
  <c r="AA425" i="2"/>
  <c r="Z426" i="2"/>
  <c r="Z443" i="2"/>
  <c r="Z445" i="2"/>
  <c r="X445" i="2"/>
  <c r="AA462" i="2"/>
  <c r="W462" i="2"/>
  <c r="X462" i="2" s="1"/>
  <c r="AA469" i="2"/>
  <c r="W469" i="2"/>
  <c r="AA498" i="2"/>
  <c r="W498" i="2"/>
  <c r="Z518" i="2"/>
  <c r="U522" i="2"/>
  <c r="Q551" i="2"/>
  <c r="V551" i="2" s="1"/>
  <c r="Z603" i="2"/>
  <c r="X603" i="2"/>
  <c r="Z608" i="2"/>
  <c r="X608" i="2"/>
  <c r="Z638" i="2"/>
  <c r="Z661" i="2"/>
  <c r="U709" i="2"/>
  <c r="Z734" i="2"/>
  <c r="Z761" i="2"/>
  <c r="Z822" i="2"/>
  <c r="Z939" i="2"/>
  <c r="Z955" i="2"/>
  <c r="Z970" i="2"/>
  <c r="AA72" i="2"/>
  <c r="AA98" i="2"/>
  <c r="W98" i="2"/>
  <c r="X105" i="2"/>
  <c r="W125" i="2"/>
  <c r="AA125" i="2"/>
  <c r="Z174" i="2"/>
  <c r="X174" i="2"/>
  <c r="AA178" i="2"/>
  <c r="W186" i="2"/>
  <c r="AA206" i="2"/>
  <c r="W210" i="2"/>
  <c r="X211" i="2"/>
  <c r="AA213" i="2"/>
  <c r="W213" i="2"/>
  <c r="Z219" i="2"/>
  <c r="X219" i="2"/>
  <c r="W236" i="2"/>
  <c r="X236" i="2" s="1"/>
  <c r="AA254" i="2"/>
  <c r="X256" i="2"/>
  <c r="Z256" i="2"/>
  <c r="Z301" i="2"/>
  <c r="Z365" i="2"/>
  <c r="AA426" i="2"/>
  <c r="X428" i="2"/>
  <c r="AA453" i="2"/>
  <c r="W453" i="2"/>
  <c r="Z465" i="2"/>
  <c r="X467" i="2"/>
  <c r="Z520" i="2"/>
  <c r="X520" i="2"/>
  <c r="X524" i="2"/>
  <c r="Z524" i="2"/>
  <c r="Z549" i="2"/>
  <c r="Z583" i="2"/>
  <c r="Z644" i="2"/>
  <c r="U707" i="2"/>
  <c r="Q707" i="2"/>
  <c r="V707" i="2" s="1"/>
  <c r="AA721" i="2"/>
  <c r="W721" i="2"/>
  <c r="X721" i="2" s="1"/>
  <c r="Z738" i="2"/>
  <c r="X738" i="2"/>
  <c r="Z740" i="2"/>
  <c r="X740" i="2"/>
  <c r="Z805" i="2"/>
  <c r="AA812" i="2"/>
  <c r="W812" i="2"/>
  <c r="Z820" i="2"/>
  <c r="Z19" i="2"/>
  <c r="X19" i="2"/>
  <c r="W275" i="2"/>
  <c r="Z292" i="2"/>
  <c r="X292" i="2"/>
  <c r="X376" i="2"/>
  <c r="Z376" i="2"/>
  <c r="Z444" i="2"/>
  <c r="X444" i="2"/>
  <c r="Z484" i="2"/>
  <c r="Z691" i="2"/>
  <c r="AA96" i="2"/>
  <c r="W96" i="2"/>
  <c r="X111" i="2"/>
  <c r="X121" i="2"/>
  <c r="Z121" i="2"/>
  <c r="W267" i="2"/>
  <c r="AA267" i="2"/>
  <c r="Z477" i="2"/>
  <c r="X477" i="2"/>
  <c r="Z486" i="2"/>
  <c r="X486" i="2"/>
  <c r="U755" i="2"/>
  <c r="Q755" i="2"/>
  <c r="V755" i="2" s="1"/>
  <c r="Z35" i="2"/>
  <c r="AA187" i="2"/>
  <c r="W187" i="2"/>
  <c r="X207" i="2"/>
  <c r="Z389" i="2"/>
  <c r="X389" i="2"/>
  <c r="AA443" i="2"/>
  <c r="W443" i="2"/>
  <c r="X443" i="2" s="1"/>
  <c r="Z489" i="2"/>
  <c r="Z554" i="2"/>
  <c r="X554" i="2"/>
  <c r="Z37" i="2"/>
  <c r="X37" i="2"/>
  <c r="X141" i="2"/>
  <c r="Z245" i="2"/>
  <c r="Z457" i="2"/>
  <c r="W467" i="2"/>
  <c r="AA467" i="2"/>
  <c r="X604" i="2"/>
  <c r="Z604" i="2"/>
  <c r="Z288" i="2"/>
  <c r="X288" i="2"/>
  <c r="AA310" i="2"/>
  <c r="W310" i="2"/>
  <c r="AA321" i="2"/>
  <c r="W321" i="2"/>
  <c r="Q336" i="2"/>
  <c r="V336" i="2" s="1"/>
  <c r="Z363" i="2"/>
  <c r="X363" i="2"/>
  <c r="X497" i="2"/>
  <c r="Z497" i="2"/>
  <c r="U80" i="2"/>
  <c r="Q80" i="2"/>
  <c r="V80" i="2" s="1"/>
  <c r="X85" i="2"/>
  <c r="X117" i="2"/>
  <c r="W330" i="2"/>
  <c r="X330" i="2" s="1"/>
  <c r="AA330" i="2"/>
  <c r="AA490" i="2"/>
  <c r="W490" i="2"/>
  <c r="X490" i="2" s="1"/>
  <c r="AA165" i="2"/>
  <c r="W165" i="2"/>
  <c r="X165" i="2" s="1"/>
  <c r="U26" i="2"/>
  <c r="U29" i="2"/>
  <c r="W56" i="2"/>
  <c r="X56" i="2" s="1"/>
  <c r="U71" i="2"/>
  <c r="Q82" i="2"/>
  <c r="V82" i="2" s="1"/>
  <c r="Q92" i="2"/>
  <c r="V92" i="2" s="1"/>
  <c r="Z93" i="2"/>
  <c r="X126" i="2"/>
  <c r="Z126" i="2"/>
  <c r="U132" i="2"/>
  <c r="AA133" i="2"/>
  <c r="U135" i="2"/>
  <c r="X162" i="2"/>
  <c r="U180" i="2"/>
  <c r="W193" i="2"/>
  <c r="W214" i="2"/>
  <c r="Z216" i="2"/>
  <c r="X216" i="2"/>
  <c r="W218" i="2"/>
  <c r="AA218" i="2"/>
  <c r="X229" i="2"/>
  <c r="Z231" i="2"/>
  <c r="Z242" i="2"/>
  <c r="X242" i="2"/>
  <c r="W247" i="2"/>
  <c r="X247" i="2" s="1"/>
  <c r="Q249" i="2"/>
  <c r="V249" i="2" s="1"/>
  <c r="Z272" i="2"/>
  <c r="X282" i="2"/>
  <c r="U290" i="2"/>
  <c r="X291" i="2"/>
  <c r="AA299" i="2"/>
  <c r="Z303" i="2"/>
  <c r="Z314" i="2"/>
  <c r="Z335" i="2"/>
  <c r="X335" i="2"/>
  <c r="X341" i="2"/>
  <c r="Z343" i="2"/>
  <c r="X343" i="2"/>
  <c r="W347" i="2"/>
  <c r="X347" i="2" s="1"/>
  <c r="AA347" i="2"/>
  <c r="AA369" i="2"/>
  <c r="W369" i="2"/>
  <c r="X369" i="2" s="1"/>
  <c r="Q374" i="2"/>
  <c r="V374" i="2" s="1"/>
  <c r="Z386" i="2"/>
  <c r="AA391" i="2"/>
  <c r="X421" i="2"/>
  <c r="Z434" i="2"/>
  <c r="AA449" i="2"/>
  <c r="W449" i="2"/>
  <c r="AA464" i="2"/>
  <c r="W464" i="2"/>
  <c r="AA494" i="2"/>
  <c r="W494" i="2"/>
  <c r="X494" i="2" s="1"/>
  <c r="Z516" i="2"/>
  <c r="X516" i="2"/>
  <c r="X530" i="2"/>
  <c r="W578" i="2"/>
  <c r="X578" i="2" s="1"/>
  <c r="AA578" i="2"/>
  <c r="Z593" i="2"/>
  <c r="AA635" i="2"/>
  <c r="W635" i="2"/>
  <c r="Z870" i="2"/>
  <c r="X870" i="2"/>
  <c r="Z38" i="2"/>
  <c r="X38" i="2"/>
  <c r="Z414" i="2"/>
  <c r="X414" i="2"/>
  <c r="Z504" i="2"/>
  <c r="X504" i="2"/>
  <c r="Z662" i="2"/>
  <c r="X662" i="2"/>
  <c r="Z667" i="2"/>
  <c r="W796" i="2"/>
  <c r="AA796" i="2"/>
  <c r="Z41" i="2"/>
  <c r="Z263" i="2"/>
  <c r="Z278" i="2"/>
  <c r="Z294" i="2"/>
  <c r="AA365" i="2"/>
  <c r="W365" i="2"/>
  <c r="X365" i="2" s="1"/>
  <c r="Z544" i="2"/>
  <c r="X544" i="2"/>
  <c r="AA646" i="2"/>
  <c r="W646" i="2"/>
  <c r="AA198" i="2"/>
  <c r="W198" i="2"/>
  <c r="X198" i="2" s="1"/>
  <c r="W348" i="2"/>
  <c r="AA348" i="2"/>
  <c r="W138" i="2"/>
  <c r="AA138" i="2"/>
  <c r="Z164" i="2"/>
  <c r="Z333" i="2"/>
  <c r="X333" i="2"/>
  <c r="Z375" i="2"/>
  <c r="X375" i="2"/>
  <c r="Z450" i="2"/>
  <c r="X450" i="2"/>
  <c r="U27" i="2"/>
  <c r="Q27" i="2"/>
  <c r="V27" i="2" s="1"/>
  <c r="U181" i="2"/>
  <c r="Q181" i="2"/>
  <c r="V181" i="2" s="1"/>
  <c r="Q206" i="2"/>
  <c r="V206" i="2" s="1"/>
  <c r="U206" i="2"/>
  <c r="Z331" i="2"/>
  <c r="X102" i="2"/>
  <c r="Z185" i="2"/>
  <c r="Z212" i="2"/>
  <c r="W231" i="2"/>
  <c r="X231" i="2" s="1"/>
  <c r="Z356" i="2"/>
  <c r="X356" i="2"/>
  <c r="W399" i="2"/>
  <c r="X399" i="2" s="1"/>
  <c r="X493" i="2"/>
  <c r="Z493" i="2"/>
  <c r="U23" i="2"/>
  <c r="Q23" i="2"/>
  <c r="V23" i="2" s="1"/>
  <c r="W25" i="2"/>
  <c r="W28" i="2"/>
  <c r="AA31" i="2"/>
  <c r="W31" i="2"/>
  <c r="AA41" i="2"/>
  <c r="W42" i="2"/>
  <c r="N60" i="2"/>
  <c r="W60" i="2" s="1"/>
  <c r="X60" i="2" s="1"/>
  <c r="Z71" i="2"/>
  <c r="X71" i="2"/>
  <c r="W77" i="2"/>
  <c r="X77" i="2" s="1"/>
  <c r="U92" i="2"/>
  <c r="W93" i="2"/>
  <c r="X93" i="2" s="1"/>
  <c r="AA103" i="2"/>
  <c r="W103" i="2"/>
  <c r="Z123" i="2"/>
  <c r="W128" i="2"/>
  <c r="AA163" i="2"/>
  <c r="W179" i="2"/>
  <c r="AA179" i="2"/>
  <c r="W201" i="2"/>
  <c r="U208" i="2"/>
  <c r="Q208" i="2"/>
  <c r="V208" i="2" s="1"/>
  <c r="W209" i="2"/>
  <c r="U222" i="2"/>
  <c r="AA224" i="2"/>
  <c r="W224" i="2"/>
  <c r="X224" i="2" s="1"/>
  <c r="W255" i="2"/>
  <c r="X255" i="2" s="1"/>
  <c r="W266" i="2"/>
  <c r="X266" i="2" s="1"/>
  <c r="AA266" i="2"/>
  <c r="X274" i="2"/>
  <c r="Z274" i="2"/>
  <c r="Z279" i="2"/>
  <c r="X279" i="2"/>
  <c r="Z350" i="2"/>
  <c r="X353" i="2"/>
  <c r="W359" i="2"/>
  <c r="Z360" i="2"/>
  <c r="U362" i="2"/>
  <c r="N364" i="2"/>
  <c r="W364" i="2" s="1"/>
  <c r="Z393" i="2"/>
  <c r="W401" i="2"/>
  <c r="X401" i="2" s="1"/>
  <c r="AA401" i="2"/>
  <c r="AA427" i="2"/>
  <c r="Z471" i="2"/>
  <c r="W525" i="2"/>
  <c r="X525" i="2" s="1"/>
  <c r="AA525" i="2"/>
  <c r="W529" i="2"/>
  <c r="AA529" i="2"/>
  <c r="Q572" i="2"/>
  <c r="V572" i="2" s="1"/>
  <c r="AA613" i="2"/>
  <c r="W613" i="2"/>
  <c r="X613" i="2" s="1"/>
  <c r="Q625" i="2"/>
  <c r="V625" i="2" s="1"/>
  <c r="N633" i="2"/>
  <c r="Z642" i="2"/>
  <c r="X642" i="2"/>
  <c r="AA645" i="2"/>
  <c r="W645" i="2"/>
  <c r="X645" i="2" s="1"/>
  <c r="X651" i="2"/>
  <c r="Z651" i="2"/>
  <c r="Z713" i="2"/>
  <c r="AA719" i="2"/>
  <c r="W719" i="2"/>
  <c r="W36" i="2"/>
  <c r="AA48" i="2"/>
  <c r="W48" i="2"/>
  <c r="AA58" i="2"/>
  <c r="W88" i="2"/>
  <c r="X88" i="2" s="1"/>
  <c r="AA100" i="2"/>
  <c r="W100" i="2"/>
  <c r="X100" i="2" s="1"/>
  <c r="AA106" i="2"/>
  <c r="Z119" i="2"/>
  <c r="X119" i="2"/>
  <c r="AA123" i="2"/>
  <c r="AA134" i="2"/>
  <c r="W134" i="2"/>
  <c r="X134" i="2" s="1"/>
  <c r="W147" i="2"/>
  <c r="AA151" i="2"/>
  <c r="W170" i="2"/>
  <c r="AA170" i="2"/>
  <c r="W192" i="2"/>
  <c r="X192" i="2" s="1"/>
  <c r="W215" i="2"/>
  <c r="X215" i="2" s="1"/>
  <c r="W219" i="2"/>
  <c r="Z222" i="2"/>
  <c r="X222" i="2"/>
  <c r="AA252" i="2"/>
  <c r="W252" i="2"/>
  <c r="AA256" i="2"/>
  <c r="W262" i="2"/>
  <c r="X262" i="2" s="1"/>
  <c r="Z271" i="2"/>
  <c r="Z287" i="2"/>
  <c r="Z295" i="2"/>
  <c r="X295" i="2"/>
  <c r="X298" i="2"/>
  <c r="Z298" i="2"/>
  <c r="X307" i="2"/>
  <c r="AA311" i="2"/>
  <c r="W311" i="2"/>
  <c r="X311" i="2" s="1"/>
  <c r="Z316" i="2"/>
  <c r="Z323" i="2"/>
  <c r="AA381" i="2"/>
  <c r="W381" i="2"/>
  <c r="X381" i="2" s="1"/>
  <c r="AA383" i="2"/>
  <c r="Z388" i="2"/>
  <c r="W442" i="2"/>
  <c r="X442" i="2" s="1"/>
  <c r="AA442" i="2"/>
  <c r="Z447" i="2"/>
  <c r="X447" i="2"/>
  <c r="Z453" i="2"/>
  <c r="X453" i="2"/>
  <c r="Z462" i="2"/>
  <c r="AA515" i="2"/>
  <c r="AA582" i="2"/>
  <c r="W582" i="2"/>
  <c r="Z600" i="2"/>
  <c r="X600" i="2"/>
  <c r="Z627" i="2"/>
  <c r="Z721" i="2"/>
  <c r="Z729" i="2"/>
  <c r="X729" i="2"/>
  <c r="W13" i="2"/>
  <c r="X13" i="2" s="1"/>
  <c r="W29" i="2"/>
  <c r="X29" i="2" s="1"/>
  <c r="Z31" i="2"/>
  <c r="X31" i="2"/>
  <c r="Z61" i="2"/>
  <c r="W71" i="2"/>
  <c r="Q98" i="2"/>
  <c r="V98" i="2" s="1"/>
  <c r="U108" i="2"/>
  <c r="Q146" i="2"/>
  <c r="V146" i="2" s="1"/>
  <c r="Q153" i="2"/>
  <c r="V153" i="2" s="1"/>
  <c r="AA162" i="2"/>
  <c r="W171" i="2"/>
  <c r="X171" i="2" s="1"/>
  <c r="Q186" i="2"/>
  <c r="V186" i="2" s="1"/>
  <c r="Q197" i="2"/>
  <c r="V197" i="2" s="1"/>
  <c r="Z201" i="2"/>
  <c r="AA212" i="2"/>
  <c r="W212" i="2"/>
  <c r="X212" i="2" s="1"/>
  <c r="Q213" i="2"/>
  <c r="V213" i="2" s="1"/>
  <c r="W222" i="2"/>
  <c r="Z236" i="2"/>
  <c r="Q246" i="2"/>
  <c r="V246" i="2" s="1"/>
  <c r="X269" i="2"/>
  <c r="Z269" i="2"/>
  <c r="Z284" i="2"/>
  <c r="X284" i="2"/>
  <c r="Q286" i="2"/>
  <c r="V286" i="2" s="1"/>
  <c r="AA301" i="2"/>
  <c r="AA315" i="2"/>
  <c r="W315" i="2"/>
  <c r="X315" i="2" s="1"/>
  <c r="W316" i="2"/>
  <c r="X316" i="2" s="1"/>
  <c r="Q318" i="2"/>
  <c r="V318" i="2" s="1"/>
  <c r="U318" i="2"/>
  <c r="AA322" i="2"/>
  <c r="W322" i="2"/>
  <c r="Z332" i="2"/>
  <c r="X332" i="2"/>
  <c r="Q337" i="2"/>
  <c r="V337" i="2" s="1"/>
  <c r="AA342" i="2"/>
  <c r="W342" i="2"/>
  <c r="W392" i="2"/>
  <c r="W394" i="2"/>
  <c r="X394" i="2" s="1"/>
  <c r="AA394" i="2"/>
  <c r="AA446" i="2"/>
  <c r="W446" i="2"/>
  <c r="X446" i="2" s="1"/>
  <c r="U451" i="2"/>
  <c r="Q455" i="2"/>
  <c r="V455" i="2" s="1"/>
  <c r="AA457" i="2"/>
  <c r="W457" i="2"/>
  <c r="Z473" i="2"/>
  <c r="N515" i="2"/>
  <c r="W515" i="2" s="1"/>
  <c r="X515" i="2" s="1"/>
  <c r="W517" i="2"/>
  <c r="AA517" i="2"/>
  <c r="W523" i="2"/>
  <c r="AA523" i="2"/>
  <c r="Q559" i="2"/>
  <c r="V559" i="2" s="1"/>
  <c r="AA584" i="2"/>
  <c r="W584" i="2"/>
  <c r="AA592" i="2"/>
  <c r="W592" i="2"/>
  <c r="Z623" i="2"/>
  <c r="X623" i="2"/>
  <c r="Z810" i="2"/>
  <c r="W925" i="2"/>
  <c r="AA925" i="2"/>
  <c r="AA26" i="2"/>
  <c r="U34" i="2"/>
  <c r="X86" i="2"/>
  <c r="X89" i="2"/>
  <c r="Z89" i="2"/>
  <c r="W92" i="2"/>
  <c r="AA94" i="2"/>
  <c r="W94" i="2"/>
  <c r="X112" i="2"/>
  <c r="AA145" i="2"/>
  <c r="W145" i="2"/>
  <c r="AA154" i="2"/>
  <c r="Z173" i="2"/>
  <c r="W184" i="2"/>
  <c r="W203" i="2"/>
  <c r="X203" i="2" s="1"/>
  <c r="Z225" i="2"/>
  <c r="X233" i="2"/>
  <c r="Z233" i="2"/>
  <c r="AA243" i="2"/>
  <c r="W243" i="2"/>
  <c r="Z255" i="2"/>
  <c r="AA264" i="2"/>
  <c r="AA271" i="2"/>
  <c r="W280" i="2"/>
  <c r="AA280" i="2"/>
  <c r="AA331" i="2"/>
  <c r="W331" i="2"/>
  <c r="X331" i="2" s="1"/>
  <c r="Z347" i="2"/>
  <c r="AA361" i="2"/>
  <c r="W361" i="2"/>
  <c r="X361" i="2" s="1"/>
  <c r="W375" i="2"/>
  <c r="AA399" i="2"/>
  <c r="Z420" i="2"/>
  <c r="X420" i="2"/>
  <c r="X498" i="2"/>
  <c r="AA510" i="2"/>
  <c r="W510" i="2"/>
  <c r="X510" i="2" s="1"/>
  <c r="AA580" i="2"/>
  <c r="AA671" i="2"/>
  <c r="W671" i="2"/>
  <c r="X671" i="2" s="1"/>
  <c r="AA689" i="2"/>
  <c r="W689" i="2"/>
  <c r="X689" i="2" s="1"/>
  <c r="Z771" i="2"/>
  <c r="AA793" i="2"/>
  <c r="W793" i="2"/>
  <c r="AA900" i="2"/>
  <c r="U19" i="2"/>
  <c r="AA23" i="2"/>
  <c r="Q34" i="2"/>
  <c r="V34" i="2" s="1"/>
  <c r="AA40" i="2"/>
  <c r="W40" i="2"/>
  <c r="X40" i="2" s="1"/>
  <c r="Q55" i="2"/>
  <c r="V55" i="2" s="1"/>
  <c r="X73" i="2"/>
  <c r="Q81" i="2"/>
  <c r="V81" i="2" s="1"/>
  <c r="X125" i="2"/>
  <c r="Z125" i="2"/>
  <c r="W127" i="2"/>
  <c r="U128" i="2"/>
  <c r="Q128" i="2"/>
  <c r="V128" i="2" s="1"/>
  <c r="W136" i="2"/>
  <c r="AA136" i="2"/>
  <c r="X137" i="2"/>
  <c r="Q140" i="2"/>
  <c r="V140" i="2" s="1"/>
  <c r="W152" i="2"/>
  <c r="X152" i="2" s="1"/>
  <c r="AA152" i="2"/>
  <c r="Q167" i="2"/>
  <c r="V167" i="2" s="1"/>
  <c r="U176" i="2"/>
  <c r="U182" i="2"/>
  <c r="Q196" i="2"/>
  <c r="V196" i="2" s="1"/>
  <c r="U218" i="2"/>
  <c r="Z221" i="2"/>
  <c r="X221" i="2"/>
  <c r="AA231" i="2"/>
  <c r="AA263" i="2"/>
  <c r="Z266" i="2"/>
  <c r="W270" i="2"/>
  <c r="AA285" i="2"/>
  <c r="W285" i="2"/>
  <c r="W313" i="2"/>
  <c r="X313" i="2" s="1"/>
  <c r="AA313" i="2"/>
  <c r="AA317" i="2"/>
  <c r="W317" i="2"/>
  <c r="X317" i="2" s="1"/>
  <c r="Z327" i="2"/>
  <c r="X327" i="2"/>
  <c r="Z334" i="2"/>
  <c r="X334" i="2"/>
  <c r="Q366" i="2"/>
  <c r="V366" i="2" s="1"/>
  <c r="Z369" i="2"/>
  <c r="X390" i="2"/>
  <c r="W396" i="2"/>
  <c r="AA396" i="2"/>
  <c r="X397" i="2"/>
  <c r="Z397" i="2"/>
  <c r="Z412" i="2"/>
  <c r="X412" i="2"/>
  <c r="X415" i="2"/>
  <c r="W470" i="2"/>
  <c r="AA470" i="2"/>
  <c r="X480" i="2"/>
  <c r="AA491" i="2"/>
  <c r="W491" i="2"/>
  <c r="X491" i="2" s="1"/>
  <c r="Z498" i="2"/>
  <c r="AA544" i="2"/>
  <c r="W544" i="2"/>
  <c r="U563" i="2"/>
  <c r="Q563" i="2"/>
  <c r="V563" i="2" s="1"/>
  <c r="X619" i="2"/>
  <c r="AA712" i="2"/>
  <c r="W712" i="2"/>
  <c r="X712" i="2" s="1"/>
  <c r="Z861" i="2"/>
  <c r="X861" i="2"/>
  <c r="Z754" i="2"/>
  <c r="X754" i="2"/>
  <c r="W798" i="2"/>
  <c r="AA798" i="2"/>
  <c r="W804" i="2"/>
  <c r="AA804" i="2"/>
  <c r="AA988" i="2"/>
  <c r="W988" i="2"/>
  <c r="Q78" i="2"/>
  <c r="V78" i="2" s="1"/>
  <c r="U78" i="2"/>
  <c r="U242" i="2"/>
  <c r="AA319" i="2"/>
  <c r="W319" i="2"/>
  <c r="X319" i="2" s="1"/>
  <c r="W360" i="2"/>
  <c r="X360" i="2" s="1"/>
  <c r="AA360" i="2"/>
  <c r="Z396" i="2"/>
  <c r="X396" i="2"/>
  <c r="W403" i="2"/>
  <c r="AA403" i="2"/>
  <c r="Z406" i="2"/>
  <c r="W410" i="2"/>
  <c r="X410" i="2" s="1"/>
  <c r="AA410" i="2"/>
  <c r="AA466" i="2"/>
  <c r="Z478" i="2"/>
  <c r="AA487" i="2"/>
  <c r="W487" i="2"/>
  <c r="Z501" i="2"/>
  <c r="X501" i="2"/>
  <c r="Q527" i="2"/>
  <c r="V527" i="2" s="1"/>
  <c r="X537" i="2"/>
  <c r="X573" i="2"/>
  <c r="Z582" i="2"/>
  <c r="X582" i="2"/>
  <c r="Z639" i="2"/>
  <c r="X639" i="2"/>
  <c r="W653" i="2"/>
  <c r="X653" i="2" s="1"/>
  <c r="AA653" i="2"/>
  <c r="AA672" i="2"/>
  <c r="W672" i="2"/>
  <c r="Z704" i="2"/>
  <c r="X704" i="2"/>
  <c r="Z715" i="2"/>
  <c r="X715" i="2"/>
  <c r="U717" i="2"/>
  <c r="Q717" i="2"/>
  <c r="V717" i="2" s="1"/>
  <c r="W748" i="2"/>
  <c r="AA748" i="2"/>
  <c r="X763" i="2"/>
  <c r="Z763" i="2"/>
  <c r="AA788" i="2"/>
  <c r="X791" i="2"/>
  <c r="Z791" i="2"/>
  <c r="X793" i="2"/>
  <c r="Z793" i="2"/>
  <c r="Z829" i="2"/>
  <c r="X829" i="2"/>
  <c r="U15" i="2"/>
  <c r="Q36" i="2"/>
  <c r="V36" i="2" s="1"/>
  <c r="Q107" i="2"/>
  <c r="V107" i="2" s="1"/>
  <c r="Q124" i="2"/>
  <c r="V124" i="2" s="1"/>
  <c r="Q129" i="2"/>
  <c r="V129" i="2" s="1"/>
  <c r="Q169" i="2"/>
  <c r="V169" i="2" s="1"/>
  <c r="U177" i="2"/>
  <c r="AA180" i="2"/>
  <c r="W180" i="2"/>
  <c r="X180" i="2" s="1"/>
  <c r="U220" i="2"/>
  <c r="Q259" i="2"/>
  <c r="V259" i="2" s="1"/>
  <c r="N317" i="2"/>
  <c r="Z330" i="2"/>
  <c r="Z342" i="2"/>
  <c r="X342" i="2"/>
  <c r="Q358" i="2"/>
  <c r="V358" i="2" s="1"/>
  <c r="AA370" i="2"/>
  <c r="W370" i="2"/>
  <c r="X370" i="2" s="1"/>
  <c r="X379" i="2"/>
  <c r="Z384" i="2"/>
  <c r="X384" i="2"/>
  <c r="Z430" i="2"/>
  <c r="X430" i="2"/>
  <c r="AA447" i="2"/>
  <c r="W447" i="2"/>
  <c r="Z448" i="2"/>
  <c r="X448" i="2"/>
  <c r="N466" i="2"/>
  <c r="W466" i="2" s="1"/>
  <c r="X466" i="2" s="1"/>
  <c r="N487" i="2"/>
  <c r="X519" i="2"/>
  <c r="Z519" i="2"/>
  <c r="Z529" i="2"/>
  <c r="X529" i="2"/>
  <c r="W541" i="2"/>
  <c r="X541" i="2" s="1"/>
  <c r="AA541" i="2"/>
  <c r="Z614" i="2"/>
  <c r="X614" i="2"/>
  <c r="Q616" i="2"/>
  <c r="V616" i="2" s="1"/>
  <c r="W630" i="2"/>
  <c r="AA630" i="2"/>
  <c r="AA643" i="2"/>
  <c r="Z725" i="2"/>
  <c r="AA733" i="2"/>
  <c r="N788" i="2"/>
  <c r="W788" i="2" s="1"/>
  <c r="X788" i="2" s="1"/>
  <c r="Z857" i="2"/>
  <c r="X857" i="2"/>
  <c r="Z859" i="2"/>
  <c r="X859" i="2"/>
  <c r="X865" i="2"/>
  <c r="Z865" i="2"/>
  <c r="AA983" i="2"/>
  <c r="W983" i="2"/>
  <c r="W104" i="2"/>
  <c r="X104" i="2" s="1"/>
  <c r="U106" i="2"/>
  <c r="AA132" i="2"/>
  <c r="W132" i="2"/>
  <c r="X132" i="2" s="1"/>
  <c r="Q210" i="2"/>
  <c r="V210" i="2" s="1"/>
  <c r="W234" i="2"/>
  <c r="AA234" i="2"/>
  <c r="U244" i="2"/>
  <c r="W257" i="2"/>
  <c r="X257" i="2" s="1"/>
  <c r="AA261" i="2"/>
  <c r="W261" i="2"/>
  <c r="X261" i="2" s="1"/>
  <c r="X281" i="2"/>
  <c r="Z281" i="2"/>
  <c r="Z322" i="2"/>
  <c r="X322" i="2"/>
  <c r="Z344" i="2"/>
  <c r="X344" i="2"/>
  <c r="X349" i="2"/>
  <c r="W351" i="2"/>
  <c r="X351" i="2" s="1"/>
  <c r="AA351" i="2"/>
  <c r="W357" i="2"/>
  <c r="X357" i="2" s="1"/>
  <c r="U373" i="2"/>
  <c r="Z401" i="2"/>
  <c r="AA407" i="2"/>
  <c r="W407" i="2"/>
  <c r="X407" i="2" s="1"/>
  <c r="U419" i="2"/>
  <c r="X464" i="2"/>
  <c r="AA482" i="2"/>
  <c r="W482" i="2"/>
  <c r="Z512" i="2"/>
  <c r="X512" i="2"/>
  <c r="AA514" i="2"/>
  <c r="W514" i="2"/>
  <c r="U521" i="2"/>
  <c r="Q521" i="2"/>
  <c r="V521" i="2" s="1"/>
  <c r="Z525" i="2"/>
  <c r="Z533" i="2"/>
  <c r="X533" i="2"/>
  <c r="AA579" i="2"/>
  <c r="W579" i="2"/>
  <c r="X579" i="2" s="1"/>
  <c r="Z663" i="2"/>
  <c r="X668" i="2"/>
  <c r="Z668" i="2"/>
  <c r="Q672" i="2"/>
  <c r="V672" i="2" s="1"/>
  <c r="AA690" i="2"/>
  <c r="N712" i="2"/>
  <c r="AA716" i="2"/>
  <c r="W716" i="2"/>
  <c r="AA728" i="2"/>
  <c r="Z765" i="2"/>
  <c r="Z788" i="2"/>
  <c r="W794" i="2"/>
  <c r="X794" i="2" s="1"/>
  <c r="AA794" i="2"/>
  <c r="X796" i="2"/>
  <c r="Z796" i="2"/>
  <c r="AA847" i="2"/>
  <c r="W847" i="2"/>
  <c r="N43" i="2"/>
  <c r="W43" i="2" s="1"/>
  <c r="X43" i="2" s="1"/>
  <c r="N74" i="2"/>
  <c r="W74" i="2" s="1"/>
  <c r="X74" i="2" s="1"/>
  <c r="Q75" i="2"/>
  <c r="V75" i="2" s="1"/>
  <c r="Q84" i="2"/>
  <c r="V84" i="2" s="1"/>
  <c r="U89" i="2"/>
  <c r="U133" i="2"/>
  <c r="N154" i="2"/>
  <c r="W154" i="2" s="1"/>
  <c r="X154" i="2" s="1"/>
  <c r="Q172" i="2"/>
  <c r="V172" i="2" s="1"/>
  <c r="N200" i="2"/>
  <c r="W200" i="2" s="1"/>
  <c r="X200" i="2" s="1"/>
  <c r="Q244" i="2"/>
  <c r="V244" i="2" s="1"/>
  <c r="AA278" i="2"/>
  <c r="W278" i="2"/>
  <c r="X278" i="2" s="1"/>
  <c r="AA283" i="2"/>
  <c r="W283" i="2"/>
  <c r="X283" i="2" s="1"/>
  <c r="X300" i="2"/>
  <c r="Z373" i="2"/>
  <c r="X373" i="2"/>
  <c r="AA385" i="2"/>
  <c r="W385" i="2"/>
  <c r="X385" i="2" s="1"/>
  <c r="Z408" i="2"/>
  <c r="W429" i="2"/>
  <c r="AA438" i="2"/>
  <c r="W438" i="2"/>
  <c r="X438" i="2" s="1"/>
  <c r="Q454" i="2"/>
  <c r="V454" i="2" s="1"/>
  <c r="Q459" i="2"/>
  <c r="V459" i="2" s="1"/>
  <c r="W477" i="2"/>
  <c r="AA477" i="2"/>
  <c r="W484" i="2"/>
  <c r="X484" i="2" s="1"/>
  <c r="AA484" i="2"/>
  <c r="Z485" i="2"/>
  <c r="Q507" i="2"/>
  <c r="V507" i="2" s="1"/>
  <c r="U547" i="2"/>
  <c r="Q547" i="2"/>
  <c r="V547" i="2" s="1"/>
  <c r="W589" i="2"/>
  <c r="AA589" i="2"/>
  <c r="W627" i="2"/>
  <c r="X627" i="2" s="1"/>
  <c r="AA627" i="2"/>
  <c r="X630" i="2"/>
  <c r="Z630" i="2"/>
  <c r="AA640" i="2"/>
  <c r="W640" i="2"/>
  <c r="X640" i="2" s="1"/>
  <c r="X674" i="2"/>
  <c r="N690" i="2"/>
  <c r="W690" i="2" s="1"/>
  <c r="X690" i="2" s="1"/>
  <c r="N728" i="2"/>
  <c r="W728" i="2" s="1"/>
  <c r="X728" i="2" s="1"/>
  <c r="W839" i="2"/>
  <c r="AA839" i="2"/>
  <c r="AA500" i="2"/>
  <c r="AA504" i="2"/>
  <c r="W504" i="2"/>
  <c r="Q511" i="2"/>
  <c r="V511" i="2" s="1"/>
  <c r="AA518" i="2"/>
  <c r="W518" i="2"/>
  <c r="X518" i="2" s="1"/>
  <c r="W538" i="2"/>
  <c r="X538" i="2" s="1"/>
  <c r="AA538" i="2"/>
  <c r="Z566" i="2"/>
  <c r="X566" i="2"/>
  <c r="AA570" i="2"/>
  <c r="W570" i="2"/>
  <c r="X570" i="2" s="1"/>
  <c r="AA615" i="2"/>
  <c r="Z760" i="2"/>
  <c r="N839" i="2"/>
  <c r="W914" i="2"/>
  <c r="AA914" i="2"/>
  <c r="Z496" i="2"/>
  <c r="X496" i="2"/>
  <c r="U511" i="2"/>
  <c r="W524" i="2"/>
  <c r="AA524" i="2"/>
  <c r="AA526" i="2"/>
  <c r="W526" i="2"/>
  <c r="W550" i="2"/>
  <c r="X550" i="2" s="1"/>
  <c r="N615" i="2"/>
  <c r="W615" i="2" s="1"/>
  <c r="X615" i="2" s="1"/>
  <c r="AA623" i="2"/>
  <c r="W623" i="2"/>
  <c r="Z650" i="2"/>
  <c r="X650" i="2"/>
  <c r="AA673" i="2"/>
  <c r="W673" i="2"/>
  <c r="AA688" i="2"/>
  <c r="W688" i="2"/>
  <c r="AA699" i="2"/>
  <c r="W699" i="2"/>
  <c r="X699" i="2" s="1"/>
  <c r="Z710" i="2"/>
  <c r="X710" i="2"/>
  <c r="W724" i="2"/>
  <c r="AA724" i="2"/>
  <c r="Z728" i="2"/>
  <c r="AA841" i="2"/>
  <c r="W841" i="2"/>
  <c r="Z587" i="2"/>
  <c r="Z589" i="2"/>
  <c r="X589" i="2"/>
  <c r="Z645" i="2"/>
  <c r="Z647" i="2"/>
  <c r="X647" i="2"/>
  <c r="AA777" i="2"/>
  <c r="W777" i="2"/>
  <c r="Z813" i="2"/>
  <c r="X813" i="2"/>
  <c r="Z830" i="2"/>
  <c r="W912" i="2"/>
  <c r="X912" i="2" s="1"/>
  <c r="AA912" i="2"/>
  <c r="AA546" i="2"/>
  <c r="W546" i="2"/>
  <c r="X546" i="2" s="1"/>
  <c r="Q561" i="2"/>
  <c r="V561" i="2" s="1"/>
  <c r="Z570" i="2"/>
  <c r="Z585" i="2"/>
  <c r="U587" i="2"/>
  <c r="U589" i="2"/>
  <c r="X658" i="2"/>
  <c r="Z658" i="2"/>
  <c r="X684" i="2"/>
  <c r="Z684" i="2"/>
  <c r="X697" i="2"/>
  <c r="U822" i="2"/>
  <c r="Z826" i="2"/>
  <c r="Q76" i="2"/>
  <c r="V76" i="2" s="1"/>
  <c r="Q204" i="2"/>
  <c r="V204" i="2" s="1"/>
  <c r="U236" i="2"/>
  <c r="W250" i="2"/>
  <c r="X250" i="2" s="1"/>
  <c r="U266" i="2"/>
  <c r="Q275" i="2"/>
  <c r="V275" i="2" s="1"/>
  <c r="N299" i="2"/>
  <c r="W299" i="2" s="1"/>
  <c r="X299" i="2" s="1"/>
  <c r="N309" i="2"/>
  <c r="W309" i="2" s="1"/>
  <c r="Q310" i="2"/>
  <c r="V310" i="2" s="1"/>
  <c r="U394" i="2"/>
  <c r="Q398" i="2"/>
  <c r="V398" i="2" s="1"/>
  <c r="Q403" i="2"/>
  <c r="V403" i="2" s="1"/>
  <c r="U412" i="2"/>
  <c r="N427" i="2"/>
  <c r="W427" i="2" s="1"/>
  <c r="X427" i="2" s="1"/>
  <c r="Q470" i="2"/>
  <c r="V470" i="2" s="1"/>
  <c r="W474" i="2"/>
  <c r="X474" i="2" s="1"/>
  <c r="AA506" i="2"/>
  <c r="W506" i="2"/>
  <c r="X506" i="2" s="1"/>
  <c r="AA522" i="2"/>
  <c r="W530" i="2"/>
  <c r="N532" i="2"/>
  <c r="W532" i="2" s="1"/>
  <c r="W534" i="2"/>
  <c r="X534" i="2" s="1"/>
  <c r="N541" i="2"/>
  <c r="AA571" i="2"/>
  <c r="W571" i="2"/>
  <c r="X571" i="2" s="1"/>
  <c r="W577" i="2"/>
  <c r="N580" i="2"/>
  <c r="W580" i="2" s="1"/>
  <c r="AA586" i="2"/>
  <c r="W586" i="2"/>
  <c r="Z633" i="2"/>
  <c r="W641" i="2"/>
  <c r="N671" i="2"/>
  <c r="AA678" i="2"/>
  <c r="W678" i="2"/>
  <c r="Z712" i="2"/>
  <c r="W752" i="2"/>
  <c r="AA752" i="2"/>
  <c r="AA821" i="2"/>
  <c r="W821" i="2"/>
  <c r="X821" i="2" s="1"/>
  <c r="Z839" i="2"/>
  <c r="X839" i="2"/>
  <c r="AA858" i="2"/>
  <c r="W858" i="2"/>
  <c r="X858" i="2" s="1"/>
  <c r="Z921" i="2"/>
  <c r="M44" i="2"/>
  <c r="N44" i="2" s="1"/>
  <c r="W44" i="2" s="1"/>
  <c r="X44" i="2" s="1"/>
  <c r="N41" i="2"/>
  <c r="W41" i="2" s="1"/>
  <c r="X41" i="2" s="1"/>
  <c r="M40" i="2"/>
  <c r="N40" i="2" s="1"/>
  <c r="Q156" i="2"/>
  <c r="V156" i="2" s="1"/>
  <c r="W242" i="2"/>
  <c r="X302" i="2"/>
  <c r="W366" i="2"/>
  <c r="AA376" i="2"/>
  <c r="W388" i="2"/>
  <c r="X388" i="2" s="1"/>
  <c r="W413" i="2"/>
  <c r="X413" i="2" s="1"/>
  <c r="W459" i="2"/>
  <c r="Q500" i="2"/>
  <c r="V500" i="2" s="1"/>
  <c r="U529" i="2"/>
  <c r="Z538" i="2"/>
  <c r="Q580" i="2"/>
  <c r="V580" i="2" s="1"/>
  <c r="W624" i="2"/>
  <c r="AA624" i="2"/>
  <c r="AA626" i="2"/>
  <c r="W626" i="2"/>
  <c r="W632" i="2"/>
  <c r="Z635" i="2"/>
  <c r="X635" i="2"/>
  <c r="AA642" i="2"/>
  <c r="W642" i="2"/>
  <c r="AA660" i="2"/>
  <c r="W660" i="2"/>
  <c r="Q673" i="2"/>
  <c r="V673" i="2" s="1"/>
  <c r="AA706" i="2"/>
  <c r="W706" i="2"/>
  <c r="W708" i="2"/>
  <c r="U721" i="2"/>
  <c r="N733" i="2"/>
  <c r="W733" i="2" s="1"/>
  <c r="X733" i="2" s="1"/>
  <c r="Z794" i="2"/>
  <c r="AA833" i="2"/>
  <c r="W833" i="2"/>
  <c r="Z841" i="2"/>
  <c r="X841" i="2"/>
  <c r="U843" i="2"/>
  <c r="Q843" i="2"/>
  <c r="V843" i="2" s="1"/>
  <c r="N191" i="2"/>
  <c r="W191" i="2" s="1"/>
  <c r="X191" i="2" s="1"/>
  <c r="U282" i="2"/>
  <c r="W294" i="2"/>
  <c r="X294" i="2" s="1"/>
  <c r="W328" i="2"/>
  <c r="X328" i="2" s="1"/>
  <c r="AA328" i="2"/>
  <c r="U410" i="2"/>
  <c r="W422" i="2"/>
  <c r="AA479" i="2"/>
  <c r="W533" i="2"/>
  <c r="AA543" i="2"/>
  <c r="Z550" i="2"/>
  <c r="W573" i="2"/>
  <c r="AA573" i="2"/>
  <c r="AA622" i="2"/>
  <c r="W622" i="2"/>
  <c r="X622" i="2" s="1"/>
  <c r="W656" i="2"/>
  <c r="X656" i="2" s="1"/>
  <c r="Z676" i="2"/>
  <c r="Z690" i="2"/>
  <c r="Z762" i="2"/>
  <c r="Z837" i="2"/>
  <c r="Z858" i="2"/>
  <c r="W864" i="2"/>
  <c r="AA864" i="2"/>
  <c r="AA887" i="2"/>
  <c r="W887" i="2"/>
  <c r="X887" i="2" s="1"/>
  <c r="U60" i="2"/>
  <c r="Q62" i="2"/>
  <c r="V62" i="2" s="1"/>
  <c r="Q108" i="2"/>
  <c r="V108" i="2" s="1"/>
  <c r="Q110" i="2"/>
  <c r="V110" i="2" s="1"/>
  <c r="U154" i="2"/>
  <c r="N239" i="2"/>
  <c r="W239" i="2" s="1"/>
  <c r="X239" i="2" s="1"/>
  <c r="W248" i="2"/>
  <c r="X248" i="2" s="1"/>
  <c r="U250" i="2"/>
  <c r="N263" i="2"/>
  <c r="W263" i="2" s="1"/>
  <c r="X263" i="2" s="1"/>
  <c r="Q264" i="2"/>
  <c r="V264" i="2" s="1"/>
  <c r="W272" i="2"/>
  <c r="X272" i="2" s="1"/>
  <c r="W277" i="2"/>
  <c r="N289" i="2"/>
  <c r="W289" i="2" s="1"/>
  <c r="N297" i="2"/>
  <c r="W297" i="2" s="1"/>
  <c r="X297" i="2" s="1"/>
  <c r="X348" i="2"/>
  <c r="U355" i="2"/>
  <c r="Q355" i="2"/>
  <c r="V355" i="2" s="1"/>
  <c r="U364" i="2"/>
  <c r="W386" i="2"/>
  <c r="X386" i="2" s="1"/>
  <c r="W405" i="2"/>
  <c r="X405" i="2" s="1"/>
  <c r="N425" i="2"/>
  <c r="W425" i="2" s="1"/>
  <c r="X425" i="2" s="1"/>
  <c r="N452" i="2"/>
  <c r="W452" i="2" s="1"/>
  <c r="X452" i="2" s="1"/>
  <c r="W454" i="2"/>
  <c r="U461" i="2"/>
  <c r="N475" i="2"/>
  <c r="W475" i="2" s="1"/>
  <c r="X475" i="2" s="1"/>
  <c r="Z483" i="2"/>
  <c r="X483" i="2"/>
  <c r="Z494" i="2"/>
  <c r="AA501" i="2"/>
  <c r="N543" i="2"/>
  <c r="W543" i="2" s="1"/>
  <c r="X543" i="2" s="1"/>
  <c r="AA545" i="2"/>
  <c r="W545" i="2"/>
  <c r="U550" i="2"/>
  <c r="Q560" i="2"/>
  <c r="V560" i="2" s="1"/>
  <c r="Q586" i="2"/>
  <c r="V586" i="2" s="1"/>
  <c r="X599" i="2"/>
  <c r="Z613" i="2"/>
  <c r="AA618" i="2"/>
  <c r="Z640" i="2"/>
  <c r="Z671" i="2"/>
  <c r="Q678" i="2"/>
  <c r="V678" i="2" s="1"/>
  <c r="Q680" i="2"/>
  <c r="V680" i="2" s="1"/>
  <c r="Z692" i="2"/>
  <c r="AA698" i="2"/>
  <c r="W698" i="2"/>
  <c r="X698" i="2" s="1"/>
  <c r="Z733" i="2"/>
  <c r="AA739" i="2"/>
  <c r="Z750" i="2"/>
  <c r="Z767" i="2"/>
  <c r="X767" i="2"/>
  <c r="U772" i="2"/>
  <c r="U819" i="2"/>
  <c r="Q819" i="2"/>
  <c r="V819" i="2" s="1"/>
  <c r="AA960" i="2"/>
  <c r="W960" i="2"/>
  <c r="U278" i="2"/>
  <c r="W296" i="2"/>
  <c r="W346" i="2"/>
  <c r="U360" i="2"/>
  <c r="N391" i="2"/>
  <c r="W391" i="2" s="1"/>
  <c r="X391" i="2" s="1"/>
  <c r="U406" i="2"/>
  <c r="N417" i="2"/>
  <c r="W417" i="2" s="1"/>
  <c r="X417" i="2" s="1"/>
  <c r="W424" i="2"/>
  <c r="X424" i="2" s="1"/>
  <c r="W440" i="2"/>
  <c r="Z449" i="2"/>
  <c r="X449" i="2"/>
  <c r="W460" i="2"/>
  <c r="N463" i="2"/>
  <c r="W463" i="2" s="1"/>
  <c r="X463" i="2" s="1"/>
  <c r="W468" i="2"/>
  <c r="X468" i="2" s="1"/>
  <c r="W471" i="2"/>
  <c r="X471" i="2" s="1"/>
  <c r="AA471" i="2"/>
  <c r="N481" i="2"/>
  <c r="W485" i="2"/>
  <c r="X485" i="2" s="1"/>
  <c r="X487" i="2"/>
  <c r="AA489" i="2"/>
  <c r="W489" i="2"/>
  <c r="X489" i="2" s="1"/>
  <c r="Q517" i="2"/>
  <c r="V517" i="2" s="1"/>
  <c r="Q526" i="2"/>
  <c r="V526" i="2" s="1"/>
  <c r="AA540" i="2"/>
  <c r="W540" i="2"/>
  <c r="AA564" i="2"/>
  <c r="W564" i="2"/>
  <c r="X564" i="2" s="1"/>
  <c r="N579" i="2"/>
  <c r="W612" i="2"/>
  <c r="Z615" i="2"/>
  <c r="W619" i="2"/>
  <c r="AA634" i="2"/>
  <c r="W634" i="2"/>
  <c r="Q660" i="2"/>
  <c r="V660" i="2" s="1"/>
  <c r="U668" i="2"/>
  <c r="Q685" i="2"/>
  <c r="V685" i="2" s="1"/>
  <c r="AA700" i="2"/>
  <c r="W700" i="2"/>
  <c r="X700" i="2" s="1"/>
  <c r="N739" i="2"/>
  <c r="W739" i="2" s="1"/>
  <c r="X739" i="2" s="1"/>
  <c r="Z772" i="2"/>
  <c r="X772" i="2"/>
  <c r="AA785" i="2"/>
  <c r="W785" i="2"/>
  <c r="X785" i="2" s="1"/>
  <c r="AA787" i="2"/>
  <c r="W787" i="2"/>
  <c r="Z821" i="2"/>
  <c r="Z823" i="2"/>
  <c r="X823" i="2"/>
  <c r="AA875" i="2"/>
  <c r="W875" i="2"/>
  <c r="X875" i="2" s="1"/>
  <c r="Z908" i="2"/>
  <c r="X908" i="2"/>
  <c r="X910" i="2"/>
  <c r="Z910" i="2"/>
  <c r="Z950" i="2"/>
  <c r="W312" i="2"/>
  <c r="Z321" i="2"/>
  <c r="X321" i="2"/>
  <c r="Z325" i="2"/>
  <c r="X325" i="2"/>
  <c r="X329" i="2"/>
  <c r="W362" i="2"/>
  <c r="X362" i="2" s="1"/>
  <c r="AA362" i="2"/>
  <c r="U392" i="2"/>
  <c r="Q392" i="2"/>
  <c r="V392" i="2" s="1"/>
  <c r="W395" i="2"/>
  <c r="X395" i="2" s="1"/>
  <c r="W408" i="2"/>
  <c r="X408" i="2" s="1"/>
  <c r="AA408" i="2"/>
  <c r="Z441" i="2"/>
  <c r="X469" i="2"/>
  <c r="AA492" i="2"/>
  <c r="W492" i="2"/>
  <c r="X492" i="2" s="1"/>
  <c r="Z506" i="2"/>
  <c r="W519" i="2"/>
  <c r="Z571" i="2"/>
  <c r="AA581" i="2"/>
  <c r="W581" i="2"/>
  <c r="X620" i="2"/>
  <c r="Z620" i="2"/>
  <c r="Z624" i="2"/>
  <c r="X624" i="2"/>
  <c r="AA636" i="2"/>
  <c r="W636" i="2"/>
  <c r="Z649" i="2"/>
  <c r="X649" i="2"/>
  <c r="AA659" i="2"/>
  <c r="W659" i="2"/>
  <c r="X659" i="2" s="1"/>
  <c r="Z665" i="2"/>
  <c r="X665" i="2"/>
  <c r="W674" i="2"/>
  <c r="AA674" i="2"/>
  <c r="W677" i="2"/>
  <c r="X677" i="2" s="1"/>
  <c r="AA677" i="2"/>
  <c r="Z706" i="2"/>
  <c r="X706" i="2"/>
  <c r="X716" i="2"/>
  <c r="Z716" i="2"/>
  <c r="Z723" i="2"/>
  <c r="AA783" i="2"/>
  <c r="W783" i="2"/>
  <c r="AA815" i="2"/>
  <c r="W815" i="2"/>
  <c r="Z833" i="2"/>
  <c r="X833" i="2"/>
  <c r="W838" i="2"/>
  <c r="X838" i="2" s="1"/>
  <c r="AA838" i="2"/>
  <c r="W943" i="2"/>
  <c r="X943" i="2" s="1"/>
  <c r="AA943" i="2"/>
  <c r="Z461" i="2"/>
  <c r="X461" i="2"/>
  <c r="X482" i="2"/>
  <c r="Z490" i="2"/>
  <c r="Q509" i="2"/>
  <c r="V509" i="2" s="1"/>
  <c r="AA547" i="2"/>
  <c r="W547" i="2"/>
  <c r="Q552" i="2"/>
  <c r="V552" i="2" s="1"/>
  <c r="Z562" i="2"/>
  <c r="X562" i="2"/>
  <c r="AA583" i="2"/>
  <c r="W583" i="2"/>
  <c r="X583" i="2" s="1"/>
  <c r="X588" i="2"/>
  <c r="Z588" i="2"/>
  <c r="Q617" i="2"/>
  <c r="V617" i="2" s="1"/>
  <c r="X626" i="2"/>
  <c r="Z626" i="2"/>
  <c r="Z637" i="2"/>
  <c r="AA644" i="2"/>
  <c r="W644" i="2"/>
  <c r="X644" i="2" s="1"/>
  <c r="Q648" i="2"/>
  <c r="V648" i="2" s="1"/>
  <c r="AA667" i="2"/>
  <c r="W667" i="2"/>
  <c r="X667" i="2" s="1"/>
  <c r="AA691" i="2"/>
  <c r="W691" i="2"/>
  <c r="X691" i="2" s="1"/>
  <c r="Q708" i="2"/>
  <c r="V708" i="2" s="1"/>
  <c r="AA720" i="2"/>
  <c r="W720" i="2"/>
  <c r="X720" i="2" s="1"/>
  <c r="W753" i="2"/>
  <c r="AA753" i="2"/>
  <c r="X764" i="2"/>
  <c r="Z764" i="2"/>
  <c r="W795" i="2"/>
  <c r="AA795" i="2"/>
  <c r="Z831" i="2"/>
  <c r="Z850" i="2"/>
  <c r="X862" i="2"/>
  <c r="Z862" i="2"/>
  <c r="X309" i="2"/>
  <c r="X364" i="2"/>
  <c r="AA371" i="2"/>
  <c r="W371" i="2"/>
  <c r="X371" i="2" s="1"/>
  <c r="W451" i="2"/>
  <c r="X451" i="2" s="1"/>
  <c r="U499" i="2"/>
  <c r="Q499" i="2"/>
  <c r="V499" i="2" s="1"/>
  <c r="X503" i="2"/>
  <c r="X514" i="2"/>
  <c r="X523" i="2"/>
  <c r="X555" i="2"/>
  <c r="X597" i="2"/>
  <c r="Z622" i="2"/>
  <c r="AA693" i="2"/>
  <c r="W693" i="2"/>
  <c r="X693" i="2" s="1"/>
  <c r="Z700" i="2"/>
  <c r="Q749" i="2"/>
  <c r="V749" i="2" s="1"/>
  <c r="AA771" i="2"/>
  <c r="W771" i="2"/>
  <c r="X771" i="2" s="1"/>
  <c r="W781" i="2"/>
  <c r="AA781" i="2"/>
  <c r="Z785" i="2"/>
  <c r="Z799" i="2"/>
  <c r="W801" i="2"/>
  <c r="AA801" i="2"/>
  <c r="AA805" i="2"/>
  <c r="W805" i="2"/>
  <c r="X805" i="2" s="1"/>
  <c r="Q827" i="2"/>
  <c r="V827" i="2" s="1"/>
  <c r="AA836" i="2"/>
  <c r="Z848" i="2"/>
  <c r="W868" i="2"/>
  <c r="X868" i="2" s="1"/>
  <c r="AA868" i="2"/>
  <c r="N271" i="2"/>
  <c r="W271" i="2" s="1"/>
  <c r="X271" i="2" s="1"/>
  <c r="N303" i="2"/>
  <c r="W303" i="2" s="1"/>
  <c r="X303" i="2" s="1"/>
  <c r="U316" i="2"/>
  <c r="N319" i="2"/>
  <c r="W323" i="2"/>
  <c r="X323" i="2" s="1"/>
  <c r="N345" i="2"/>
  <c r="W345" i="2" s="1"/>
  <c r="X345" i="2" s="1"/>
  <c r="Q346" i="2"/>
  <c r="V346" i="2" s="1"/>
  <c r="N399" i="2"/>
  <c r="N431" i="2"/>
  <c r="W431" i="2" s="1"/>
  <c r="X431" i="2" s="1"/>
  <c r="Q440" i="2"/>
  <c r="V440" i="2" s="1"/>
  <c r="Q460" i="2"/>
  <c r="V460" i="2" s="1"/>
  <c r="Z469" i="2"/>
  <c r="X472" i="2"/>
  <c r="Z482" i="2"/>
  <c r="Q502" i="2"/>
  <c r="V502" i="2" s="1"/>
  <c r="AA559" i="2"/>
  <c r="W559" i="2"/>
  <c r="N570" i="2"/>
  <c r="X576" i="2"/>
  <c r="AA585" i="2"/>
  <c r="W585" i="2"/>
  <c r="X585" i="2" s="1"/>
  <c r="W587" i="2"/>
  <c r="X587" i="2" s="1"/>
  <c r="X591" i="2"/>
  <c r="X602" i="2"/>
  <c r="Z634" i="2"/>
  <c r="X634" i="2"/>
  <c r="AA661" i="2"/>
  <c r="W661" i="2"/>
  <c r="X661" i="2" s="1"/>
  <c r="AA684" i="2"/>
  <c r="W684" i="2"/>
  <c r="X687" i="2"/>
  <c r="AA697" i="2"/>
  <c r="W697" i="2"/>
  <c r="AA715" i="2"/>
  <c r="W715" i="2"/>
  <c r="Z718" i="2"/>
  <c r="X718" i="2"/>
  <c r="X757" i="2"/>
  <c r="AA851" i="2"/>
  <c r="W851" i="2"/>
  <c r="X851" i="2" s="1"/>
  <c r="Z901" i="2"/>
  <c r="X901" i="2"/>
  <c r="AA905" i="2"/>
  <c r="W905" i="2"/>
  <c r="X905" i="2" s="1"/>
  <c r="N907" i="2"/>
  <c r="Z933" i="2"/>
  <c r="X933" i="2"/>
  <c r="Z320" i="2"/>
  <c r="X320" i="2"/>
  <c r="Z324" i="2"/>
  <c r="X324" i="2"/>
  <c r="W344" i="2"/>
  <c r="W350" i="2"/>
  <c r="X350" i="2" s="1"/>
  <c r="Z359" i="2"/>
  <c r="X359" i="2"/>
  <c r="X377" i="2"/>
  <c r="X400" i="2"/>
  <c r="U440" i="2"/>
  <c r="U460" i="2"/>
  <c r="U471" i="2"/>
  <c r="W488" i="2"/>
  <c r="X488" i="2" s="1"/>
  <c r="Q505" i="2"/>
  <c r="V505" i="2" s="1"/>
  <c r="N511" i="2"/>
  <c r="W511" i="2" s="1"/>
  <c r="Q522" i="2"/>
  <c r="V522" i="2" s="1"/>
  <c r="W527" i="2"/>
  <c r="N542" i="2"/>
  <c r="Z543" i="2"/>
  <c r="Z612" i="2"/>
  <c r="X612" i="2"/>
  <c r="W621" i="2"/>
  <c r="X636" i="2"/>
  <c r="Z636" i="2"/>
  <c r="W744" i="2"/>
  <c r="Z753" i="2"/>
  <c r="X753" i="2"/>
  <c r="AA779" i="2"/>
  <c r="W779" i="2"/>
  <c r="N905" i="2"/>
  <c r="N255" i="2"/>
  <c r="U348" i="2"/>
  <c r="N383" i="2"/>
  <c r="W383" i="2" s="1"/>
  <c r="X383" i="2" s="1"/>
  <c r="W472" i="2"/>
  <c r="N539" i="2"/>
  <c r="W539" i="2" s="1"/>
  <c r="X539" i="2" s="1"/>
  <c r="W554" i="2"/>
  <c r="W557" i="2"/>
  <c r="Q581" i="2"/>
  <c r="V581" i="2" s="1"/>
  <c r="Q584" i="2"/>
  <c r="V584" i="2" s="1"/>
  <c r="W638" i="2"/>
  <c r="X638" i="2" s="1"/>
  <c r="W663" i="2"/>
  <c r="X663" i="2" s="1"/>
  <c r="AA675" i="2"/>
  <c r="AA703" i="2"/>
  <c r="W709" i="2"/>
  <c r="X709" i="2" s="1"/>
  <c r="W723" i="2"/>
  <c r="X723" i="2" s="1"/>
  <c r="W740" i="2"/>
  <c r="AA746" i="2"/>
  <c r="U753" i="2"/>
  <c r="Q759" i="2"/>
  <c r="V759" i="2" s="1"/>
  <c r="W769" i="2"/>
  <c r="Q777" i="2"/>
  <c r="V777" i="2" s="1"/>
  <c r="Q779" i="2"/>
  <c r="V779" i="2" s="1"/>
  <c r="Q781" i="2"/>
  <c r="V781" i="2" s="1"/>
  <c r="Q783" i="2"/>
  <c r="V783" i="2" s="1"/>
  <c r="AA849" i="2"/>
  <c r="W849" i="2"/>
  <c r="Q937" i="2"/>
  <c r="V937" i="2" s="1"/>
  <c r="U965" i="2"/>
  <c r="Q965" i="2"/>
  <c r="V965" i="2" s="1"/>
  <c r="W507" i="2"/>
  <c r="W553" i="2"/>
  <c r="W563" i="2"/>
  <c r="W567" i="2"/>
  <c r="W572" i="2"/>
  <c r="W668" i="2"/>
  <c r="Q683" i="2"/>
  <c r="V683" i="2" s="1"/>
  <c r="AA694" i="2"/>
  <c r="Z739" i="2"/>
  <c r="X807" i="2"/>
  <c r="W810" i="2"/>
  <c r="X810" i="2" s="1"/>
  <c r="AA834" i="2"/>
  <c r="W834" i="2"/>
  <c r="X834" i="2" s="1"/>
  <c r="X882" i="2"/>
  <c r="AA884" i="2"/>
  <c r="W884" i="2"/>
  <c r="Q252" i="2"/>
  <c r="V252" i="2" s="1"/>
  <c r="U298" i="2"/>
  <c r="Q380" i="2"/>
  <c r="V380" i="2" s="1"/>
  <c r="Q382" i="2"/>
  <c r="V382" i="2" s="1"/>
  <c r="U426" i="2"/>
  <c r="Q495" i="2"/>
  <c r="V495" i="2" s="1"/>
  <c r="U525" i="2"/>
  <c r="N536" i="2"/>
  <c r="W536" i="2" s="1"/>
  <c r="X536" i="2" s="1"/>
  <c r="W548" i="2"/>
  <c r="W549" i="2"/>
  <c r="X549" i="2" s="1"/>
  <c r="W551" i="2"/>
  <c r="W561" i="2"/>
  <c r="W575" i="2"/>
  <c r="X575" i="2" s="1"/>
  <c r="Q657" i="2"/>
  <c r="V657" i="2" s="1"/>
  <c r="W662" i="2"/>
  <c r="N676" i="2"/>
  <c r="W676" i="2" s="1"/>
  <c r="X676" i="2" s="1"/>
  <c r="U677" i="2"/>
  <c r="Q688" i="2"/>
  <c r="V688" i="2" s="1"/>
  <c r="Q744" i="2"/>
  <c r="V744" i="2" s="1"/>
  <c r="Q748" i="2"/>
  <c r="V748" i="2" s="1"/>
  <c r="Q752" i="2"/>
  <c r="V752" i="2" s="1"/>
  <c r="N762" i="2"/>
  <c r="W762" i="2" s="1"/>
  <c r="X762" i="2" s="1"/>
  <c r="AA770" i="2"/>
  <c r="W770" i="2"/>
  <c r="X770" i="2" s="1"/>
  <c r="W789" i="2"/>
  <c r="X789" i="2" s="1"/>
  <c r="X790" i="2"/>
  <c r="X798" i="2"/>
  <c r="N836" i="2"/>
  <c r="W836" i="2" s="1"/>
  <c r="X836" i="2" s="1"/>
  <c r="AA878" i="2"/>
  <c r="W878" i="2"/>
  <c r="Z905" i="2"/>
  <c r="Z907" i="2"/>
  <c r="AA920" i="2"/>
  <c r="W920" i="2"/>
  <c r="U949" i="2"/>
  <c r="AA977" i="2"/>
  <c r="Q990" i="2"/>
  <c r="V990" i="2" s="1"/>
  <c r="U252" i="2"/>
  <c r="N287" i="2"/>
  <c r="W287" i="2" s="1"/>
  <c r="X287" i="2" s="1"/>
  <c r="U302" i="2"/>
  <c r="U380" i="2"/>
  <c r="N415" i="2"/>
  <c r="W415" i="2" s="1"/>
  <c r="W505" i="2"/>
  <c r="W560" i="2"/>
  <c r="W566" i="2"/>
  <c r="Q577" i="2"/>
  <c r="V577" i="2" s="1"/>
  <c r="N594" i="2"/>
  <c r="W594" i="2" s="1"/>
  <c r="X594" i="2" s="1"/>
  <c r="W605" i="2"/>
  <c r="X605" i="2" s="1"/>
  <c r="U655" i="2"/>
  <c r="U671" i="2"/>
  <c r="W695" i="2"/>
  <c r="X695" i="2" s="1"/>
  <c r="Q705" i="2"/>
  <c r="V705" i="2" s="1"/>
  <c r="Q727" i="2"/>
  <c r="V727" i="2" s="1"/>
  <c r="Q758" i="2"/>
  <c r="V758" i="2" s="1"/>
  <c r="W773" i="2"/>
  <c r="AA778" i="2"/>
  <c r="W778" i="2"/>
  <c r="AA780" i="2"/>
  <c r="W780" i="2"/>
  <c r="AA782" i="2"/>
  <c r="W782" i="2"/>
  <c r="AA784" i="2"/>
  <c r="W784" i="2"/>
  <c r="W792" i="2"/>
  <c r="W800" i="2"/>
  <c r="X806" i="2"/>
  <c r="AA840" i="2"/>
  <c r="W840" i="2"/>
  <c r="AA842" i="2"/>
  <c r="W842" i="2"/>
  <c r="X849" i="2"/>
  <c r="Z849" i="2"/>
  <c r="Z851" i="2"/>
  <c r="Z949" i="2"/>
  <c r="X949" i="2"/>
  <c r="W964" i="2"/>
  <c r="X964" i="2" s="1"/>
  <c r="AA964" i="2"/>
  <c r="Z983" i="2"/>
  <c r="X983" i="2"/>
  <c r="W574" i="2"/>
  <c r="X574" i="2" s="1"/>
  <c r="N593" i="2"/>
  <c r="W593" i="2" s="1"/>
  <c r="X593" i="2" s="1"/>
  <c r="W669" i="2"/>
  <c r="X669" i="2" s="1"/>
  <c r="AA669" i="2"/>
  <c r="Q682" i="2"/>
  <c r="V682" i="2" s="1"/>
  <c r="AA714" i="2"/>
  <c r="W714" i="2"/>
  <c r="X714" i="2" s="1"/>
  <c r="AA726" i="2"/>
  <c r="W726" i="2"/>
  <c r="X726" i="2" s="1"/>
  <c r="U727" i="2"/>
  <c r="W741" i="2"/>
  <c r="X743" i="2"/>
  <c r="X795" i="2"/>
  <c r="U804" i="2"/>
  <c r="Q804" i="2"/>
  <c r="V804" i="2" s="1"/>
  <c r="X812" i="2"/>
  <c r="Z812" i="2"/>
  <c r="AA820" i="2"/>
  <c r="W820" i="2"/>
  <c r="X820" i="2" s="1"/>
  <c r="Z828" i="2"/>
  <c r="Z836" i="2"/>
  <c r="Z838" i="2"/>
  <c r="Z884" i="2"/>
  <c r="X884" i="2"/>
  <c r="AA918" i="2"/>
  <c r="W918" i="2"/>
  <c r="AA924" i="2"/>
  <c r="W924" i="2"/>
  <c r="W936" i="2"/>
  <c r="X936" i="2" s="1"/>
  <c r="AA936" i="2"/>
  <c r="Z958" i="2"/>
  <c r="Q557" i="2"/>
  <c r="V557" i="2" s="1"/>
  <c r="Q621" i="2"/>
  <c r="V621" i="2" s="1"/>
  <c r="X732" i="2"/>
  <c r="AA786" i="2"/>
  <c r="W786" i="2"/>
  <c r="X786" i="2" s="1"/>
  <c r="Z818" i="2"/>
  <c r="X818" i="2"/>
  <c r="Z834" i="2"/>
  <c r="Z860" i="2"/>
  <c r="W869" i="2"/>
  <c r="AA869" i="2"/>
  <c r="AA891" i="2"/>
  <c r="W891" i="2"/>
  <c r="X891" i="2" s="1"/>
  <c r="W899" i="2"/>
  <c r="AA899" i="2"/>
  <c r="Z920" i="2"/>
  <c r="X920" i="2"/>
  <c r="AA946" i="2"/>
  <c r="W946" i="2"/>
  <c r="Z947" i="2"/>
  <c r="X947" i="2"/>
  <c r="X962" i="2"/>
  <c r="Z962" i="2"/>
  <c r="Z975" i="2"/>
  <c r="U523" i="2"/>
  <c r="Q532" i="2"/>
  <c r="V532" i="2" s="1"/>
  <c r="Q609" i="2"/>
  <c r="V609" i="2" s="1"/>
  <c r="Q611" i="2"/>
  <c r="V611" i="2" s="1"/>
  <c r="Z666" i="2"/>
  <c r="X666" i="2"/>
  <c r="W702" i="2"/>
  <c r="X702" i="2" s="1"/>
  <c r="Q719" i="2"/>
  <c r="V719" i="2" s="1"/>
  <c r="AA735" i="2"/>
  <c r="W735" i="2"/>
  <c r="X735" i="2" s="1"/>
  <c r="Q747" i="2"/>
  <c r="V747" i="2" s="1"/>
  <c r="Q751" i="2"/>
  <c r="V751" i="2" s="1"/>
  <c r="Q756" i="2"/>
  <c r="V756" i="2" s="1"/>
  <c r="N761" i="2"/>
  <c r="W761" i="2" s="1"/>
  <c r="X761" i="2" s="1"/>
  <c r="X792" i="2"/>
  <c r="X800" i="2"/>
  <c r="W850" i="2"/>
  <c r="X850" i="2" s="1"/>
  <c r="AA850" i="2"/>
  <c r="AA857" i="2"/>
  <c r="W857" i="2"/>
  <c r="U878" i="2"/>
  <c r="Q878" i="2"/>
  <c r="V878" i="2" s="1"/>
  <c r="Z893" i="2"/>
  <c r="X893" i="2"/>
  <c r="Z909" i="2"/>
  <c r="W913" i="2"/>
  <c r="AA913" i="2"/>
  <c r="W520" i="2"/>
  <c r="W528" i="2"/>
  <c r="X528" i="2" s="1"/>
  <c r="U532" i="2"/>
  <c r="N564" i="2"/>
  <c r="Q592" i="2"/>
  <c r="V592" i="2" s="1"/>
  <c r="AA617" i="2"/>
  <c r="W617" i="2"/>
  <c r="X631" i="2"/>
  <c r="X632" i="2"/>
  <c r="N643" i="2"/>
  <c r="W643" i="2" s="1"/>
  <c r="X643" i="2" s="1"/>
  <c r="Q681" i="2"/>
  <c r="V681" i="2" s="1"/>
  <c r="W685" i="2"/>
  <c r="X742" i="2"/>
  <c r="U756" i="2"/>
  <c r="Z774" i="2"/>
  <c r="Q776" i="2"/>
  <c r="V776" i="2" s="1"/>
  <c r="Q778" i="2"/>
  <c r="V778" i="2" s="1"/>
  <c r="Q780" i="2"/>
  <c r="V780" i="2" s="1"/>
  <c r="Q782" i="2"/>
  <c r="V782" i="2" s="1"/>
  <c r="Q784" i="2"/>
  <c r="V784" i="2" s="1"/>
  <c r="Z795" i="2"/>
  <c r="W813" i="2"/>
  <c r="AA813" i="2"/>
  <c r="W822" i="2"/>
  <c r="X822" i="2" s="1"/>
  <c r="Q842" i="2"/>
  <c r="V842" i="2" s="1"/>
  <c r="U876" i="2"/>
  <c r="Z889" i="2"/>
  <c r="X889" i="2"/>
  <c r="W915" i="2"/>
  <c r="AA915" i="2"/>
  <c r="Q926" i="2"/>
  <c r="V926" i="2" s="1"/>
  <c r="Z928" i="2"/>
  <c r="X928" i="2"/>
  <c r="AA957" i="2"/>
  <c r="W957" i="2"/>
  <c r="X957" i="2" s="1"/>
  <c r="U607" i="2"/>
  <c r="W625" i="2"/>
  <c r="U628" i="2"/>
  <c r="W637" i="2"/>
  <c r="X637" i="2" s="1"/>
  <c r="W701" i="2"/>
  <c r="X701" i="2" s="1"/>
  <c r="U703" i="2"/>
  <c r="Z711" i="2"/>
  <c r="X711" i="2"/>
  <c r="AA713" i="2"/>
  <c r="W713" i="2"/>
  <c r="X713" i="2" s="1"/>
  <c r="W717" i="2"/>
  <c r="AA717" i="2"/>
  <c r="W725" i="2"/>
  <c r="X725" i="2" s="1"/>
  <c r="U773" i="2"/>
  <c r="X797" i="2"/>
  <c r="W802" i="2"/>
  <c r="X802" i="2" s="1"/>
  <c r="Z832" i="2"/>
  <c r="X832" i="2"/>
  <c r="AA837" i="2"/>
  <c r="W837" i="2"/>
  <c r="X837" i="2" s="1"/>
  <c r="AA846" i="2"/>
  <c r="W846" i="2"/>
  <c r="W848" i="2"/>
  <c r="X848" i="2" s="1"/>
  <c r="AA848" i="2"/>
  <c r="W861" i="2"/>
  <c r="AA873" i="2"/>
  <c r="Z876" i="2"/>
  <c r="AA883" i="2"/>
  <c r="W883" i="2"/>
  <c r="X883" i="2" s="1"/>
  <c r="Z891" i="2"/>
  <c r="W898" i="2"/>
  <c r="X898" i="2" s="1"/>
  <c r="W901" i="2"/>
  <c r="AA901" i="2"/>
  <c r="Z922" i="2"/>
  <c r="X922" i="2"/>
  <c r="Z934" i="2"/>
  <c r="X934" i="2"/>
  <c r="Z946" i="2"/>
  <c r="X946" i="2"/>
  <c r="W978" i="2"/>
  <c r="AA978" i="2"/>
  <c r="U531" i="2"/>
  <c r="Q531" i="2"/>
  <c r="V531" i="2" s="1"/>
  <c r="Z569" i="2"/>
  <c r="Q590" i="2"/>
  <c r="V590" i="2" s="1"/>
  <c r="U591" i="2"/>
  <c r="Q607" i="2"/>
  <c r="V607" i="2" s="1"/>
  <c r="W616" i="2"/>
  <c r="Q628" i="2"/>
  <c r="V628" i="2" s="1"/>
  <c r="Q703" i="2"/>
  <c r="V703" i="2" s="1"/>
  <c r="Z722" i="2"/>
  <c r="X722" i="2"/>
  <c r="U726" i="2"/>
  <c r="Z732" i="2"/>
  <c r="AA734" i="2"/>
  <c r="W734" i="2"/>
  <c r="X734" i="2" s="1"/>
  <c r="AA745" i="2"/>
  <c r="W745" i="2"/>
  <c r="U746" i="2"/>
  <c r="W749" i="2"/>
  <c r="U750" i="2"/>
  <c r="N760" i="2"/>
  <c r="W760" i="2" s="1"/>
  <c r="X760" i="2" s="1"/>
  <c r="Q773" i="2"/>
  <c r="V773" i="2" s="1"/>
  <c r="Z789" i="2"/>
  <c r="W799" i="2"/>
  <c r="X799" i="2" s="1"/>
  <c r="U803" i="2"/>
  <c r="Q803" i="2"/>
  <c r="V803" i="2" s="1"/>
  <c r="Z825" i="2"/>
  <c r="AA835" i="2"/>
  <c r="W835" i="2"/>
  <c r="N873" i="2"/>
  <c r="W873" i="2" s="1"/>
  <c r="X873" i="2" s="1"/>
  <c r="W888" i="2"/>
  <c r="X888" i="2" s="1"/>
  <c r="AA888" i="2"/>
  <c r="AA910" i="2"/>
  <c r="W910" i="2"/>
  <c r="Z948" i="2"/>
  <c r="Z953" i="2"/>
  <c r="N692" i="2"/>
  <c r="W692" i="2" s="1"/>
  <c r="X692" i="2" s="1"/>
  <c r="Q737" i="2"/>
  <c r="V737" i="2" s="1"/>
  <c r="W893" i="2"/>
  <c r="AA893" i="2"/>
  <c r="X918" i="2"/>
  <c r="W927" i="2"/>
  <c r="X927" i="2" s="1"/>
  <c r="AA927" i="2"/>
  <c r="Z944" i="2"/>
  <c r="Q835" i="2"/>
  <c r="V835" i="2" s="1"/>
  <c r="W877" i="2"/>
  <c r="AA877" i="2"/>
  <c r="X941" i="2"/>
  <c r="W980" i="2"/>
  <c r="X980" i="2" s="1"/>
  <c r="AA980" i="2"/>
  <c r="N596" i="2"/>
  <c r="W596" i="2" s="1"/>
  <c r="X596" i="2" s="1"/>
  <c r="U639" i="2"/>
  <c r="Q641" i="2"/>
  <c r="V641" i="2" s="1"/>
  <c r="Q787" i="2"/>
  <c r="V787" i="2" s="1"/>
  <c r="W830" i="2"/>
  <c r="X830" i="2" s="1"/>
  <c r="W831" i="2"/>
  <c r="X831" i="2" s="1"/>
  <c r="AA860" i="2"/>
  <c r="W860" i="2"/>
  <c r="X860" i="2" s="1"/>
  <c r="Q864" i="2"/>
  <c r="V864" i="2" s="1"/>
  <c r="W889" i="2"/>
  <c r="Z964" i="2"/>
  <c r="N980" i="2"/>
  <c r="W774" i="2"/>
  <c r="X774" i="2" s="1"/>
  <c r="W775" i="2"/>
  <c r="X775" i="2" s="1"/>
  <c r="W824" i="2"/>
  <c r="X824" i="2" s="1"/>
  <c r="W825" i="2"/>
  <c r="X825" i="2" s="1"/>
  <c r="W826" i="2"/>
  <c r="X826" i="2" s="1"/>
  <c r="W827" i="2"/>
  <c r="W828" i="2"/>
  <c r="X828" i="2" s="1"/>
  <c r="W832" i="2"/>
  <c r="W843" i="2"/>
  <c r="AA863" i="2"/>
  <c r="W863" i="2"/>
  <c r="X863" i="2" s="1"/>
  <c r="X869" i="2"/>
  <c r="Z875" i="2"/>
  <c r="AA935" i="2"/>
  <c r="W935" i="2"/>
  <c r="X935" i="2" s="1"/>
  <c r="W954" i="2"/>
  <c r="AA954" i="2"/>
  <c r="W961" i="2"/>
  <c r="AA961" i="2"/>
  <c r="N500" i="2"/>
  <c r="W500" i="2" s="1"/>
  <c r="U543" i="2"/>
  <c r="Q545" i="2"/>
  <c r="V545" i="2" s="1"/>
  <c r="W727" i="2"/>
  <c r="N756" i="2"/>
  <c r="W756" i="2" s="1"/>
  <c r="W776" i="2"/>
  <c r="U799" i="2"/>
  <c r="Q801" i="2"/>
  <c r="V801" i="2" s="1"/>
  <c r="W845" i="2"/>
  <c r="X845" i="2" s="1"/>
  <c r="Q847" i="2"/>
  <c r="V847" i="2" s="1"/>
  <c r="AA871" i="2"/>
  <c r="U893" i="2"/>
  <c r="AA906" i="2"/>
  <c r="W906" i="2"/>
  <c r="U909" i="2"/>
  <c r="X914" i="2"/>
  <c r="Z918" i="2"/>
  <c r="U938" i="2"/>
  <c r="Z941" i="2"/>
  <c r="AA945" i="2"/>
  <c r="W945" i="2"/>
  <c r="N961" i="2"/>
  <c r="Z969" i="2"/>
  <c r="Z978" i="2"/>
  <c r="X978" i="2"/>
  <c r="Z980" i="2"/>
  <c r="N989" i="2"/>
  <c r="W989" i="2" s="1"/>
  <c r="X989" i="2" s="1"/>
  <c r="W765" i="2"/>
  <c r="X765" i="2" s="1"/>
  <c r="W866" i="2"/>
  <c r="X866" i="2" s="1"/>
  <c r="N871" i="2"/>
  <c r="W871" i="2" s="1"/>
  <c r="X871" i="2" s="1"/>
  <c r="AA890" i="2"/>
  <c r="W890" i="2"/>
  <c r="X890" i="2" s="1"/>
  <c r="AA903" i="2"/>
  <c r="W903" i="2"/>
  <c r="X903" i="2" s="1"/>
  <c r="AA919" i="2"/>
  <c r="W919" i="2"/>
  <c r="Z925" i="2"/>
  <c r="X925" i="2"/>
  <c r="Z938" i="2"/>
  <c r="X938" i="2"/>
  <c r="Z976" i="2"/>
  <c r="AA844" i="2"/>
  <c r="W844" i="2"/>
  <c r="X844" i="2" s="1"/>
  <c r="Z894" i="2"/>
  <c r="Z943" i="2"/>
  <c r="Q961" i="2"/>
  <c r="V961" i="2" s="1"/>
  <c r="Q846" i="2"/>
  <c r="V846" i="2" s="1"/>
  <c r="Q877" i="2"/>
  <c r="V877" i="2" s="1"/>
  <c r="AA892" i="2"/>
  <c r="W892" i="2"/>
  <c r="U929" i="2"/>
  <c r="AA937" i="2"/>
  <c r="W937" i="2"/>
  <c r="AA939" i="2"/>
  <c r="W939" i="2"/>
  <c r="X939" i="2" s="1"/>
  <c r="Q945" i="2"/>
  <c r="V945" i="2" s="1"/>
  <c r="X952" i="2"/>
  <c r="Z954" i="2"/>
  <c r="X954" i="2"/>
  <c r="U961" i="2"/>
  <c r="AA968" i="2"/>
  <c r="W968" i="2"/>
  <c r="X968" i="2" s="1"/>
  <c r="N820" i="2"/>
  <c r="X840" i="2"/>
  <c r="N851" i="2"/>
  <c r="W895" i="2"/>
  <c r="X895" i="2" s="1"/>
  <c r="Q906" i="2"/>
  <c r="V906" i="2" s="1"/>
  <c r="X917" i="2"/>
  <c r="AA942" i="2"/>
  <c r="U945" i="2"/>
  <c r="AA958" i="2"/>
  <c r="W958" i="2"/>
  <c r="X958" i="2" s="1"/>
  <c r="W979" i="2"/>
  <c r="X979" i="2" s="1"/>
  <c r="AA979" i="2"/>
  <c r="U815" i="2"/>
  <c r="W829" i="2"/>
  <c r="AA862" i="2"/>
  <c r="W862" i="2"/>
  <c r="Z863" i="2"/>
  <c r="AA872" i="2"/>
  <c r="Z890" i="2"/>
  <c r="Z919" i="2"/>
  <c r="X919" i="2"/>
  <c r="AA926" i="2"/>
  <c r="W926" i="2"/>
  <c r="N942" i="2"/>
  <c r="W942" i="2" s="1"/>
  <c r="X942" i="2" s="1"/>
  <c r="AA953" i="2"/>
  <c r="W953" i="2"/>
  <c r="X953" i="2" s="1"/>
  <c r="N724" i="2"/>
  <c r="U767" i="2"/>
  <c r="Q769" i="2"/>
  <c r="V769" i="2" s="1"/>
  <c r="Q815" i="2"/>
  <c r="V815" i="2" s="1"/>
  <c r="U852" i="2"/>
  <c r="Z874" i="2"/>
  <c r="X874" i="2"/>
  <c r="AA904" i="2"/>
  <c r="AA944" i="2"/>
  <c r="W944" i="2"/>
  <c r="X944" i="2" s="1"/>
  <c r="Z956" i="2"/>
  <c r="X956" i="2"/>
  <c r="Z984" i="2"/>
  <c r="X984" i="2"/>
  <c r="N977" i="2"/>
  <c r="W977" i="2" s="1"/>
  <c r="AA991" i="2"/>
  <c r="W991" i="2"/>
  <c r="N898" i="2"/>
  <c r="N900" i="2"/>
  <c r="W900" i="2" s="1"/>
  <c r="X900" i="2" s="1"/>
  <c r="N902" i="2"/>
  <c r="W902" i="2" s="1"/>
  <c r="X902" i="2" s="1"/>
  <c r="W921" i="2"/>
  <c r="X921" i="2" s="1"/>
  <c r="W947" i="2"/>
  <c r="AA971" i="2"/>
  <c r="W971" i="2"/>
  <c r="X971" i="2" s="1"/>
  <c r="U972" i="2"/>
  <c r="Q977" i="2"/>
  <c r="V977" i="2" s="1"/>
  <c r="W984" i="2"/>
  <c r="W876" i="2"/>
  <c r="X876" i="2" s="1"/>
  <c r="W911" i="2"/>
  <c r="AA923" i="2"/>
  <c r="W923" i="2"/>
  <c r="X923" i="2" s="1"/>
  <c r="W969" i="2"/>
  <c r="X969" i="2" s="1"/>
  <c r="Z989" i="2"/>
  <c r="Q915" i="2"/>
  <c r="V915" i="2" s="1"/>
  <c r="N934" i="2"/>
  <c r="W934" i="2" s="1"/>
  <c r="N982" i="2"/>
  <c r="W982" i="2" s="1"/>
  <c r="X982" i="2" s="1"/>
  <c r="U989" i="2"/>
  <c r="W879" i="2"/>
  <c r="Q899" i="2"/>
  <c r="V899" i="2" s="1"/>
  <c r="Q913" i="2"/>
  <c r="V913" i="2" s="1"/>
  <c r="N932" i="2"/>
  <c r="W932" i="2" s="1"/>
  <c r="X932" i="2" s="1"/>
  <c r="AA976" i="2"/>
  <c r="W976" i="2"/>
  <c r="X976" i="2" s="1"/>
  <c r="W909" i="2"/>
  <c r="X909" i="2" s="1"/>
  <c r="W922" i="2"/>
  <c r="Z924" i="2"/>
  <c r="X924" i="2"/>
  <c r="AA959" i="2"/>
  <c r="W959" i="2"/>
  <c r="X959" i="2" s="1"/>
  <c r="Z960" i="2"/>
  <c r="X960" i="2"/>
  <c r="X963" i="2"/>
  <c r="Z974" i="2"/>
  <c r="X974" i="2"/>
  <c r="Q881" i="2"/>
  <c r="V881" i="2" s="1"/>
  <c r="U897" i="2"/>
  <c r="Q911" i="2"/>
  <c r="V911" i="2" s="1"/>
  <c r="U963" i="2"/>
  <c r="W970" i="2"/>
  <c r="X970" i="2" s="1"/>
  <c r="W981" i="2"/>
  <c r="I8" i="6"/>
  <c r="J7" i="6"/>
  <c r="N950" i="2"/>
  <c r="W950" i="2" s="1"/>
  <c r="X950" i="2" s="1"/>
  <c r="N966" i="2"/>
  <c r="W966" i="2" s="1"/>
  <c r="X966" i="2" s="1"/>
  <c r="AA973" i="2"/>
  <c r="W973" i="2"/>
  <c r="X973" i="2" s="1"/>
  <c r="Q879" i="2"/>
  <c r="V879" i="2" s="1"/>
  <c r="U895" i="2"/>
  <c r="Q931" i="2"/>
  <c r="V931" i="2" s="1"/>
  <c r="U940" i="2"/>
  <c r="N948" i="2"/>
  <c r="W948" i="2" s="1"/>
  <c r="X948" i="2" s="1"/>
  <c r="AA955" i="2"/>
  <c r="W955" i="2"/>
  <c r="X955" i="2" s="1"/>
  <c r="K7" i="6"/>
  <c r="L6" i="6"/>
  <c r="U879" i="2"/>
  <c r="X904" i="2"/>
  <c r="AA907" i="2"/>
  <c r="W907" i="2"/>
  <c r="X907" i="2" s="1"/>
  <c r="Q929" i="2"/>
  <c r="V929" i="2" s="1"/>
  <c r="W938" i="2"/>
  <c r="Z940" i="2"/>
  <c r="X940" i="2"/>
  <c r="U956" i="2"/>
  <c r="Z988" i="2"/>
  <c r="X988" i="2"/>
  <c r="M7" i="6"/>
  <c r="N6" i="6"/>
  <c r="W975" i="2"/>
  <c r="X975" i="2" s="1"/>
  <c r="Z991" i="2"/>
  <c r="X991" i="2"/>
  <c r="Q981" i="2"/>
  <c r="V981" i="2" s="1"/>
  <c r="Q987" i="2"/>
  <c r="V987" i="2" s="1"/>
  <c r="AA990" i="2"/>
  <c r="W990" i="2"/>
  <c r="U991" i="2"/>
  <c r="G7" i="6"/>
  <c r="H6" i="6"/>
  <c r="O6" i="6" s="1"/>
  <c r="P6" i="6" s="1"/>
  <c r="G9" i="7"/>
  <c r="H8" i="7"/>
  <c r="I8" i="7" s="1"/>
  <c r="J8" i="7" s="1"/>
  <c r="F9" i="7"/>
  <c r="E10" i="7"/>
  <c r="F31" i="7"/>
  <c r="I31" i="7" s="1"/>
  <c r="J31" i="7" s="1"/>
  <c r="E32" i="7"/>
  <c r="H35" i="7"/>
  <c r="G37" i="7"/>
  <c r="I7" i="7"/>
  <c r="J7" i="7" s="1"/>
  <c r="H33" i="7"/>
  <c r="H32" i="8"/>
  <c r="G33" i="8"/>
  <c r="G8" i="8"/>
  <c r="H7" i="8"/>
  <c r="I7" i="8" s="1"/>
  <c r="J7" i="8" s="1"/>
  <c r="F8" i="8"/>
  <c r="E9" i="8"/>
  <c r="F32" i="8"/>
  <c r="E33" i="8"/>
  <c r="I32" i="8"/>
  <c r="J32" i="8" s="1"/>
  <c r="Z673" i="2" l="1"/>
  <c r="X673" i="2"/>
  <c r="Z196" i="2"/>
  <c r="X196" i="2"/>
  <c r="X312" i="2"/>
  <c r="Z312" i="2"/>
  <c r="Z586" i="2"/>
  <c r="X586" i="2"/>
  <c r="Z685" i="2"/>
  <c r="X685" i="2"/>
  <c r="Z392" i="2"/>
  <c r="X392" i="2"/>
  <c r="Z310" i="2"/>
  <c r="X310" i="2"/>
  <c r="Z96" i="2"/>
  <c r="X96" i="2"/>
  <c r="H9" i="7"/>
  <c r="I9" i="7" s="1"/>
  <c r="J9" i="7" s="1"/>
  <c r="G10" i="7"/>
  <c r="Z899" i="2"/>
  <c r="X899" i="2"/>
  <c r="Z609" i="2"/>
  <c r="X609" i="2"/>
  <c r="X705" i="2"/>
  <c r="Z705" i="2"/>
  <c r="X781" i="2"/>
  <c r="Z781" i="2"/>
  <c r="X346" i="2"/>
  <c r="Z346" i="2"/>
  <c r="Z708" i="2"/>
  <c r="X708" i="2"/>
  <c r="Z454" i="2"/>
  <c r="X454" i="2"/>
  <c r="X358" i="2"/>
  <c r="Z358" i="2"/>
  <c r="Z625" i="2"/>
  <c r="X625" i="2"/>
  <c r="Z230" i="2"/>
  <c r="X230" i="2"/>
  <c r="X110" i="2"/>
  <c r="Z110" i="2"/>
  <c r="X169" i="2"/>
  <c r="Z169" i="2"/>
  <c r="Z422" i="2"/>
  <c r="X422" i="2"/>
  <c r="Z787" i="2"/>
  <c r="X787" i="2"/>
  <c r="Z403" i="2"/>
  <c r="X403" i="2"/>
  <c r="Z318" i="2"/>
  <c r="X318" i="2"/>
  <c r="Z113" i="2"/>
  <c r="X113" i="2"/>
  <c r="Z103" i="2"/>
  <c r="X103" i="2"/>
  <c r="X878" i="2"/>
  <c r="Z878" i="2"/>
  <c r="Z717" i="2"/>
  <c r="X717" i="2"/>
  <c r="Z827" i="2"/>
  <c r="X827" i="2"/>
  <c r="Z355" i="2"/>
  <c r="X355" i="2"/>
  <c r="Z197" i="2"/>
  <c r="X197" i="2"/>
  <c r="X881" i="2"/>
  <c r="Z881" i="2"/>
  <c r="Z611" i="2"/>
  <c r="X611" i="2"/>
  <c r="Z727" i="2"/>
  <c r="X727" i="2"/>
  <c r="Z660" i="2"/>
  <c r="X660" i="2"/>
  <c r="Z459" i="2"/>
  <c r="X459" i="2"/>
  <c r="X779" i="2"/>
  <c r="Z779" i="2"/>
  <c r="Z140" i="2"/>
  <c r="X140" i="2"/>
  <c r="Z286" i="2"/>
  <c r="X286" i="2"/>
  <c r="Z87" i="2"/>
  <c r="X87" i="2"/>
  <c r="Z592" i="2"/>
  <c r="X592" i="2"/>
  <c r="Z532" i="2"/>
  <c r="X532" i="2"/>
  <c r="Z752" i="2"/>
  <c r="X752" i="2"/>
  <c r="Z683" i="2"/>
  <c r="X683" i="2"/>
  <c r="Z777" i="2"/>
  <c r="X777" i="2"/>
  <c r="Z680" i="2"/>
  <c r="X680" i="2"/>
  <c r="Z275" i="2"/>
  <c r="X275" i="2"/>
  <c r="Z563" i="2"/>
  <c r="X563" i="2"/>
  <c r="Z559" i="2"/>
  <c r="X559" i="2"/>
  <c r="X153" i="2"/>
  <c r="Z153" i="2"/>
  <c r="X208" i="2"/>
  <c r="Z208" i="2"/>
  <c r="Z80" i="2"/>
  <c r="X80" i="2"/>
  <c r="Z240" i="2"/>
  <c r="X240" i="2"/>
  <c r="X280" i="2"/>
  <c r="Z280" i="2"/>
  <c r="Z199" i="2"/>
  <c r="X199" i="2"/>
  <c r="X526" i="2"/>
  <c r="Z526" i="2"/>
  <c r="X129" i="2"/>
  <c r="Z129" i="2"/>
  <c r="Z455" i="2"/>
  <c r="X455" i="2"/>
  <c r="Z641" i="2"/>
  <c r="X641" i="2"/>
  <c r="Z560" i="2"/>
  <c r="X560" i="2"/>
  <c r="X398" i="2"/>
  <c r="Z398" i="2"/>
  <c r="F9" i="8"/>
  <c r="E10" i="8"/>
  <c r="Z945" i="2"/>
  <c r="X945" i="2"/>
  <c r="Z682" i="2"/>
  <c r="X682" i="2"/>
  <c r="X843" i="2"/>
  <c r="Z843" i="2"/>
  <c r="X107" i="2"/>
  <c r="Z107" i="2"/>
  <c r="Z628" i="2"/>
  <c r="X628" i="2"/>
  <c r="X990" i="2"/>
  <c r="Z990" i="2"/>
  <c r="Z581" i="2"/>
  <c r="X581" i="2"/>
  <c r="Z244" i="2"/>
  <c r="X244" i="2"/>
  <c r="X186" i="2"/>
  <c r="Z186" i="2"/>
  <c r="X495" i="2"/>
  <c r="Z495" i="2"/>
  <c r="Z707" i="2"/>
  <c r="X707" i="2"/>
  <c r="Z52" i="2"/>
  <c r="X52" i="2"/>
  <c r="X387" i="2"/>
  <c r="Z387" i="2"/>
  <c r="Z879" i="2"/>
  <c r="X879" i="2"/>
  <c r="Z847" i="2"/>
  <c r="X847" i="2"/>
  <c r="Z590" i="2"/>
  <c r="X590" i="2"/>
  <c r="Z784" i="2"/>
  <c r="X784" i="2"/>
  <c r="Z804" i="2"/>
  <c r="X804" i="2"/>
  <c r="X748" i="2"/>
  <c r="Z748" i="2"/>
  <c r="Z382" i="2"/>
  <c r="X382" i="2"/>
  <c r="Z678" i="2"/>
  <c r="X678" i="2"/>
  <c r="Z156" i="2"/>
  <c r="X156" i="2"/>
  <c r="Z210" i="2"/>
  <c r="X210" i="2"/>
  <c r="Z146" i="2"/>
  <c r="X146" i="2"/>
  <c r="X572" i="2"/>
  <c r="Z572" i="2"/>
  <c r="X92" i="2"/>
  <c r="Z92" i="2"/>
  <c r="Z551" i="2"/>
  <c r="X551" i="2"/>
  <c r="Z67" i="2"/>
  <c r="X67" i="2"/>
  <c r="X53" i="2"/>
  <c r="Z53" i="2"/>
  <c r="Z646" i="2"/>
  <c r="X646" i="2"/>
  <c r="Z243" i="2"/>
  <c r="X243" i="2"/>
  <c r="Z188" i="2"/>
  <c r="X188" i="2"/>
  <c r="X267" i="2"/>
  <c r="Z267" i="2"/>
  <c r="Z803" i="2"/>
  <c r="X803" i="2"/>
  <c r="X460" i="2"/>
  <c r="Z460" i="2"/>
  <c r="Z911" i="2"/>
  <c r="X911" i="2"/>
  <c r="X249" i="2"/>
  <c r="Z249" i="2"/>
  <c r="Z167" i="2"/>
  <c r="X167" i="2"/>
  <c r="Z618" i="2"/>
  <c r="X618" i="2"/>
  <c r="X913" i="2"/>
  <c r="Z913" i="2"/>
  <c r="X783" i="2"/>
  <c r="Z783" i="2"/>
  <c r="Z931" i="2"/>
  <c r="X931" i="2"/>
  <c r="Z172" i="2"/>
  <c r="X172" i="2"/>
  <c r="Z42" i="2"/>
  <c r="X42" i="2"/>
  <c r="G34" i="8"/>
  <c r="H33" i="8"/>
  <c r="X782" i="2"/>
  <c r="Z782" i="2"/>
  <c r="Z744" i="2"/>
  <c r="X744" i="2"/>
  <c r="Z380" i="2"/>
  <c r="X380" i="2"/>
  <c r="Z759" i="2"/>
  <c r="X759" i="2"/>
  <c r="Z552" i="2"/>
  <c r="X552" i="2"/>
  <c r="Z819" i="2"/>
  <c r="X819" i="2"/>
  <c r="Z511" i="2"/>
  <c r="X511" i="2"/>
  <c r="X78" i="2"/>
  <c r="Z78" i="2"/>
  <c r="X82" i="2"/>
  <c r="Z82" i="2"/>
  <c r="Z737" i="2"/>
  <c r="X737" i="2"/>
  <c r="X527" i="2"/>
  <c r="Z527" i="2"/>
  <c r="X557" i="2"/>
  <c r="Z557" i="2"/>
  <c r="Z34" i="2"/>
  <c r="X34" i="2"/>
  <c r="H7" i="6"/>
  <c r="O7" i="6" s="1"/>
  <c r="P7" i="6" s="1"/>
  <c r="G8" i="6"/>
  <c r="X915" i="2"/>
  <c r="Z915" i="2"/>
  <c r="Z815" i="2"/>
  <c r="X815" i="2"/>
  <c r="X801" i="2"/>
  <c r="Z801" i="2"/>
  <c r="Z835" i="2"/>
  <c r="X835" i="2"/>
  <c r="Z531" i="2"/>
  <c r="X531" i="2"/>
  <c r="X780" i="2"/>
  <c r="Z780" i="2"/>
  <c r="Z688" i="2"/>
  <c r="X688" i="2"/>
  <c r="Z264" i="2"/>
  <c r="X264" i="2"/>
  <c r="Z84" i="2"/>
  <c r="X84" i="2"/>
  <c r="Z521" i="2"/>
  <c r="X521" i="2"/>
  <c r="Z128" i="2"/>
  <c r="X128" i="2"/>
  <c r="Z98" i="2"/>
  <c r="X98" i="2"/>
  <c r="E11" i="7"/>
  <c r="F10" i="7"/>
  <c r="X937" i="2"/>
  <c r="Z937" i="2"/>
  <c r="Z621" i="2"/>
  <c r="X621" i="2"/>
  <c r="X440" i="2"/>
  <c r="Z440" i="2"/>
  <c r="Z584" i="2"/>
  <c r="X584" i="2"/>
  <c r="Z977" i="2"/>
  <c r="X977" i="2"/>
  <c r="Z607" i="2"/>
  <c r="X607" i="2"/>
  <c r="Z929" i="2"/>
  <c r="X929" i="2"/>
  <c r="Z769" i="2"/>
  <c r="X769" i="2"/>
  <c r="Z877" i="2"/>
  <c r="X877" i="2"/>
  <c r="Z778" i="2"/>
  <c r="X778" i="2"/>
  <c r="X756" i="2"/>
  <c r="Z756" i="2"/>
  <c r="X577" i="2"/>
  <c r="Z577" i="2"/>
  <c r="Z252" i="2"/>
  <c r="X252" i="2"/>
  <c r="Z648" i="2"/>
  <c r="X648" i="2"/>
  <c r="Z204" i="2"/>
  <c r="X204" i="2"/>
  <c r="Z561" i="2"/>
  <c r="X561" i="2"/>
  <c r="Z547" i="2"/>
  <c r="X547" i="2"/>
  <c r="Z75" i="2"/>
  <c r="X75" i="2"/>
  <c r="X259" i="2"/>
  <c r="Z259" i="2"/>
  <c r="Z337" i="2"/>
  <c r="X337" i="2"/>
  <c r="Z246" i="2"/>
  <c r="X246" i="2"/>
  <c r="Z28" i="2"/>
  <c r="X28" i="2"/>
  <c r="X179" i="2"/>
  <c r="Z179" i="2"/>
  <c r="K8" i="6"/>
  <c r="L7" i="6"/>
  <c r="Z517" i="2"/>
  <c r="X517" i="2"/>
  <c r="X55" i="2"/>
  <c r="Z55" i="2"/>
  <c r="Z617" i="2"/>
  <c r="X617" i="2"/>
  <c r="M8" i="6"/>
  <c r="N7" i="6"/>
  <c r="G36" i="7"/>
  <c r="H37" i="7"/>
  <c r="X846" i="2"/>
  <c r="Z846" i="2"/>
  <c r="Z864" i="2"/>
  <c r="X864" i="2"/>
  <c r="Z776" i="2"/>
  <c r="X776" i="2"/>
  <c r="X751" i="2"/>
  <c r="Z751" i="2"/>
  <c r="Z522" i="2"/>
  <c r="X522" i="2"/>
  <c r="X499" i="2"/>
  <c r="Z499" i="2"/>
  <c r="Z580" i="2"/>
  <c r="X580" i="2"/>
  <c r="Z76" i="2"/>
  <c r="X76" i="2"/>
  <c r="Z366" i="2"/>
  <c r="X366" i="2"/>
  <c r="Z206" i="2"/>
  <c r="X206" i="2"/>
  <c r="Z94" i="2"/>
  <c r="X94" i="2"/>
  <c r="Z25" i="2"/>
  <c r="X25" i="2"/>
  <c r="Y7" i="2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Z719" i="2"/>
  <c r="X719" i="2"/>
  <c r="Z681" i="2"/>
  <c r="X681" i="2"/>
  <c r="X124" i="2"/>
  <c r="Z124" i="2"/>
  <c r="X724" i="2"/>
  <c r="Z724" i="2"/>
  <c r="Z842" i="2"/>
  <c r="X842" i="2"/>
  <c r="I8" i="8"/>
  <c r="J8" i="8" s="1"/>
  <c r="X926" i="2"/>
  <c r="Z926" i="2"/>
  <c r="X747" i="2"/>
  <c r="Z747" i="2"/>
  <c r="X502" i="2"/>
  <c r="Z502" i="2"/>
  <c r="Z509" i="2"/>
  <c r="X509" i="2"/>
  <c r="Z507" i="2"/>
  <c r="X507" i="2"/>
  <c r="Z181" i="2"/>
  <c r="X181" i="2"/>
  <c r="Z51" i="2"/>
  <c r="X51" i="2"/>
  <c r="X145" i="2"/>
  <c r="Z145" i="2"/>
  <c r="AC7" i="2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C54" i="2" s="1"/>
  <c r="AC55" i="2" s="1"/>
  <c r="AC56" i="2" s="1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AC154" i="2" s="1"/>
  <c r="AC155" i="2" s="1"/>
  <c r="AC156" i="2" s="1"/>
  <c r="AC157" i="2" s="1"/>
  <c r="AC158" i="2" s="1"/>
  <c r="AC159" i="2" s="1"/>
  <c r="AC160" i="2" s="1"/>
  <c r="AC161" i="2" s="1"/>
  <c r="AC162" i="2" s="1"/>
  <c r="AC163" i="2" s="1"/>
  <c r="AC164" i="2" s="1"/>
  <c r="AC165" i="2" s="1"/>
  <c r="AC166" i="2" s="1"/>
  <c r="AC167" i="2" s="1"/>
  <c r="AC168" i="2" s="1"/>
  <c r="AC169" i="2" s="1"/>
  <c r="AC170" i="2" s="1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AC183" i="2" s="1"/>
  <c r="AC184" i="2" s="1"/>
  <c r="AC185" i="2" s="1"/>
  <c r="AC186" i="2" s="1"/>
  <c r="AC187" i="2" s="1"/>
  <c r="AC188" i="2" s="1"/>
  <c r="AC189" i="2" s="1"/>
  <c r="AC190" i="2" s="1"/>
  <c r="AC191" i="2" s="1"/>
  <c r="AC192" i="2" s="1"/>
  <c r="AC193" i="2" s="1"/>
  <c r="AC194" i="2" s="1"/>
  <c r="AC195" i="2" s="1"/>
  <c r="AC196" i="2" s="1"/>
  <c r="AC197" i="2" s="1"/>
  <c r="AC198" i="2" s="1"/>
  <c r="AC199" i="2" s="1"/>
  <c r="AC200" i="2" s="1"/>
  <c r="AC201" i="2" s="1"/>
  <c r="AC202" i="2" s="1"/>
  <c r="AC203" i="2" s="1"/>
  <c r="AC204" i="2" s="1"/>
  <c r="AC205" i="2" s="1"/>
  <c r="AC206" i="2" s="1"/>
  <c r="AC207" i="2" s="1"/>
  <c r="AC208" i="2" s="1"/>
  <c r="AC209" i="2" s="1"/>
  <c r="AC210" i="2" s="1"/>
  <c r="AC211" i="2" s="1"/>
  <c r="AC212" i="2" s="1"/>
  <c r="AC213" i="2" s="1"/>
  <c r="AC214" i="2" s="1"/>
  <c r="AC215" i="2" s="1"/>
  <c r="AC216" i="2" s="1"/>
  <c r="AC217" i="2" s="1"/>
  <c r="AC218" i="2" s="1"/>
  <c r="AC219" i="2" s="1"/>
  <c r="AC220" i="2" s="1"/>
  <c r="AC221" i="2" s="1"/>
  <c r="AC222" i="2" s="1"/>
  <c r="AC223" i="2" s="1"/>
  <c r="AC224" i="2" s="1"/>
  <c r="AC225" i="2" s="1"/>
  <c r="AC226" i="2" s="1"/>
  <c r="AC227" i="2" s="1"/>
  <c r="AC228" i="2" s="1"/>
  <c r="AC229" i="2" s="1"/>
  <c r="AC230" i="2" s="1"/>
  <c r="AC231" i="2" s="1"/>
  <c r="AC232" i="2" s="1"/>
  <c r="AC233" i="2" s="1"/>
  <c r="AC234" i="2" s="1"/>
  <c r="AC235" i="2" s="1"/>
  <c r="AC236" i="2" s="1"/>
  <c r="AC237" i="2" s="1"/>
  <c r="AC238" i="2" s="1"/>
  <c r="AC239" i="2" s="1"/>
  <c r="AC240" i="2" s="1"/>
  <c r="AC241" i="2" s="1"/>
  <c r="AC242" i="2" s="1"/>
  <c r="AC243" i="2" s="1"/>
  <c r="AC244" i="2" s="1"/>
  <c r="AC245" i="2" s="1"/>
  <c r="AC246" i="2" s="1"/>
  <c r="AC247" i="2" s="1"/>
  <c r="AC248" i="2" s="1"/>
  <c r="AC249" i="2" s="1"/>
  <c r="AC250" i="2" s="1"/>
  <c r="AC251" i="2" s="1"/>
  <c r="AC252" i="2" s="1"/>
  <c r="AC253" i="2" s="1"/>
  <c r="AC254" i="2" s="1"/>
  <c r="AC255" i="2" s="1"/>
  <c r="AC256" i="2" s="1"/>
  <c r="AC257" i="2" s="1"/>
  <c r="AC258" i="2" s="1"/>
  <c r="AC259" i="2" s="1"/>
  <c r="AC260" i="2" s="1"/>
  <c r="AC261" i="2" s="1"/>
  <c r="AC262" i="2" s="1"/>
  <c r="AC263" i="2" s="1"/>
  <c r="AC264" i="2" s="1"/>
  <c r="AC265" i="2" s="1"/>
  <c r="AC266" i="2" s="1"/>
  <c r="AC267" i="2" s="1"/>
  <c r="AC268" i="2" s="1"/>
  <c r="AC269" i="2" s="1"/>
  <c r="AC270" i="2" s="1"/>
  <c r="AC271" i="2" s="1"/>
  <c r="AC272" i="2" s="1"/>
  <c r="AC273" i="2" s="1"/>
  <c r="AC274" i="2" s="1"/>
  <c r="AC275" i="2" s="1"/>
  <c r="AC276" i="2" s="1"/>
  <c r="AC277" i="2" s="1"/>
  <c r="AC278" i="2" s="1"/>
  <c r="AC279" i="2" s="1"/>
  <c r="AC280" i="2" s="1"/>
  <c r="AC281" i="2" s="1"/>
  <c r="AC282" i="2" s="1"/>
  <c r="AC283" i="2" s="1"/>
  <c r="AC284" i="2" s="1"/>
  <c r="AC285" i="2" s="1"/>
  <c r="AC286" i="2" s="1"/>
  <c r="AC287" i="2" s="1"/>
  <c r="AC288" i="2" s="1"/>
  <c r="AC289" i="2" s="1"/>
  <c r="AC290" i="2" s="1"/>
  <c r="AC291" i="2" s="1"/>
  <c r="AC292" i="2" s="1"/>
  <c r="AC293" i="2" s="1"/>
  <c r="AC294" i="2" s="1"/>
  <c r="AC295" i="2" s="1"/>
  <c r="AC296" i="2" s="1"/>
  <c r="AC297" i="2" s="1"/>
  <c r="AC298" i="2" s="1"/>
  <c r="AC299" i="2" s="1"/>
  <c r="AC300" i="2" s="1"/>
  <c r="AC301" i="2" s="1"/>
  <c r="AC302" i="2" s="1"/>
  <c r="AC303" i="2" s="1"/>
  <c r="AC304" i="2" s="1"/>
  <c r="AC305" i="2" s="1"/>
  <c r="AC306" i="2" s="1"/>
  <c r="AC307" i="2" s="1"/>
  <c r="AC308" i="2" s="1"/>
  <c r="AC309" i="2" s="1"/>
  <c r="AC310" i="2" s="1"/>
  <c r="AC311" i="2" s="1"/>
  <c r="AC312" i="2" s="1"/>
  <c r="AC313" i="2" s="1"/>
  <c r="AC314" i="2" s="1"/>
  <c r="AC315" i="2" s="1"/>
  <c r="AC316" i="2" s="1"/>
  <c r="AC317" i="2" s="1"/>
  <c r="AC318" i="2" s="1"/>
  <c r="AC319" i="2" s="1"/>
  <c r="AC320" i="2" s="1"/>
  <c r="AC321" i="2" s="1"/>
  <c r="AC322" i="2" s="1"/>
  <c r="AC323" i="2" s="1"/>
  <c r="AC324" i="2" s="1"/>
  <c r="AC325" i="2" s="1"/>
  <c r="AC326" i="2" s="1"/>
  <c r="AC327" i="2" s="1"/>
  <c r="AC328" i="2" s="1"/>
  <c r="AC329" i="2" s="1"/>
  <c r="AC330" i="2" s="1"/>
  <c r="AC331" i="2" s="1"/>
  <c r="AC332" i="2" s="1"/>
  <c r="AC333" i="2" s="1"/>
  <c r="AC334" i="2" s="1"/>
  <c r="AC335" i="2" s="1"/>
  <c r="AC336" i="2" s="1"/>
  <c r="AC337" i="2" s="1"/>
  <c r="AC338" i="2" s="1"/>
  <c r="AC339" i="2" s="1"/>
  <c r="AC340" i="2" s="1"/>
  <c r="AC341" i="2" s="1"/>
  <c r="AC342" i="2" s="1"/>
  <c r="AC343" i="2" s="1"/>
  <c r="AC344" i="2" s="1"/>
  <c r="AC345" i="2" s="1"/>
  <c r="AC346" i="2" s="1"/>
  <c r="AC347" i="2" s="1"/>
  <c r="AC348" i="2" s="1"/>
  <c r="AC349" i="2" s="1"/>
  <c r="AC350" i="2" s="1"/>
  <c r="AC351" i="2" s="1"/>
  <c r="AC352" i="2" s="1"/>
  <c r="AC353" i="2" s="1"/>
  <c r="AC354" i="2" s="1"/>
  <c r="AC355" i="2" s="1"/>
  <c r="AC356" i="2" s="1"/>
  <c r="AC357" i="2" s="1"/>
  <c r="AC358" i="2" s="1"/>
  <c r="AC359" i="2" s="1"/>
  <c r="AC360" i="2" s="1"/>
  <c r="AC361" i="2" s="1"/>
  <c r="AC362" i="2" s="1"/>
  <c r="AC363" i="2" s="1"/>
  <c r="AC364" i="2" s="1"/>
  <c r="AC365" i="2" s="1"/>
  <c r="AC366" i="2" s="1"/>
  <c r="AC367" i="2" s="1"/>
  <c r="AC368" i="2" s="1"/>
  <c r="AC369" i="2" s="1"/>
  <c r="AC370" i="2" s="1"/>
  <c r="AC371" i="2" s="1"/>
  <c r="AC372" i="2" s="1"/>
  <c r="AC373" i="2" s="1"/>
  <c r="AC374" i="2" s="1"/>
  <c r="AC375" i="2" s="1"/>
  <c r="AC376" i="2" s="1"/>
  <c r="AC377" i="2" s="1"/>
  <c r="AC378" i="2" s="1"/>
  <c r="AC379" i="2" s="1"/>
  <c r="AC380" i="2" s="1"/>
  <c r="AC381" i="2" s="1"/>
  <c r="AC382" i="2" s="1"/>
  <c r="AC383" i="2" s="1"/>
  <c r="AC384" i="2" s="1"/>
  <c r="AC385" i="2" s="1"/>
  <c r="AC386" i="2" s="1"/>
  <c r="AC387" i="2" s="1"/>
  <c r="AC388" i="2" s="1"/>
  <c r="AC389" i="2" s="1"/>
  <c r="AC390" i="2" s="1"/>
  <c r="AC391" i="2" s="1"/>
  <c r="AC392" i="2" s="1"/>
  <c r="AC393" i="2" s="1"/>
  <c r="AC394" i="2" s="1"/>
  <c r="AC395" i="2" s="1"/>
  <c r="AC396" i="2" s="1"/>
  <c r="AC397" i="2" s="1"/>
  <c r="AC398" i="2" s="1"/>
  <c r="AC399" i="2" s="1"/>
  <c r="AC400" i="2" s="1"/>
  <c r="AC401" i="2" s="1"/>
  <c r="AC402" i="2" s="1"/>
  <c r="AC403" i="2" s="1"/>
  <c r="AC404" i="2" s="1"/>
  <c r="AC405" i="2" s="1"/>
  <c r="AC406" i="2" s="1"/>
  <c r="AC407" i="2" s="1"/>
  <c r="AC408" i="2" s="1"/>
  <c r="AC409" i="2" s="1"/>
  <c r="AC410" i="2" s="1"/>
  <c r="AC411" i="2" s="1"/>
  <c r="AC412" i="2" s="1"/>
  <c r="AC413" i="2" s="1"/>
  <c r="AC414" i="2" s="1"/>
  <c r="AC415" i="2" s="1"/>
  <c r="AC416" i="2" s="1"/>
  <c r="AC417" i="2" s="1"/>
  <c r="AC418" i="2" s="1"/>
  <c r="AC419" i="2" s="1"/>
  <c r="AC420" i="2" s="1"/>
  <c r="AC421" i="2" s="1"/>
  <c r="AC422" i="2" s="1"/>
  <c r="AC423" i="2" s="1"/>
  <c r="AC424" i="2" s="1"/>
  <c r="AC425" i="2" s="1"/>
  <c r="AC426" i="2" s="1"/>
  <c r="AC427" i="2" s="1"/>
  <c r="AC428" i="2" s="1"/>
  <c r="AC429" i="2" s="1"/>
  <c r="AC430" i="2" s="1"/>
  <c r="AC431" i="2" s="1"/>
  <c r="AC432" i="2" s="1"/>
  <c r="AC433" i="2" s="1"/>
  <c r="AC434" i="2" s="1"/>
  <c r="AC435" i="2" s="1"/>
  <c r="AC436" i="2" s="1"/>
  <c r="AC437" i="2" s="1"/>
  <c r="AC438" i="2" s="1"/>
  <c r="AC439" i="2" s="1"/>
  <c r="AC440" i="2" s="1"/>
  <c r="AC441" i="2" s="1"/>
  <c r="AC442" i="2" s="1"/>
  <c r="AC443" i="2" s="1"/>
  <c r="AC444" i="2" s="1"/>
  <c r="AC445" i="2" s="1"/>
  <c r="AC446" i="2" s="1"/>
  <c r="AC447" i="2" s="1"/>
  <c r="AC448" i="2" s="1"/>
  <c r="AC449" i="2" s="1"/>
  <c r="AC450" i="2" s="1"/>
  <c r="AC451" i="2" s="1"/>
  <c r="AC452" i="2" s="1"/>
  <c r="AC453" i="2" s="1"/>
  <c r="AC454" i="2" s="1"/>
  <c r="AC455" i="2" s="1"/>
  <c r="AC456" i="2" s="1"/>
  <c r="AC457" i="2" s="1"/>
  <c r="AC458" i="2" s="1"/>
  <c r="AC459" i="2" s="1"/>
  <c r="AC460" i="2" s="1"/>
  <c r="AC461" i="2" s="1"/>
  <c r="AC462" i="2" s="1"/>
  <c r="AC463" i="2" s="1"/>
  <c r="AC464" i="2" s="1"/>
  <c r="AC465" i="2" s="1"/>
  <c r="AC466" i="2" s="1"/>
  <c r="AC467" i="2" s="1"/>
  <c r="AC468" i="2" s="1"/>
  <c r="AC469" i="2" s="1"/>
  <c r="AC470" i="2" s="1"/>
  <c r="AC471" i="2" s="1"/>
  <c r="AC472" i="2" s="1"/>
  <c r="AC473" i="2" s="1"/>
  <c r="AC474" i="2" s="1"/>
  <c r="AC475" i="2" s="1"/>
  <c r="AC476" i="2" s="1"/>
  <c r="AC477" i="2" s="1"/>
  <c r="AC478" i="2" s="1"/>
  <c r="AC479" i="2" s="1"/>
  <c r="AC480" i="2" s="1"/>
  <c r="AC481" i="2" s="1"/>
  <c r="AC482" i="2" s="1"/>
  <c r="AC483" i="2" s="1"/>
  <c r="AC484" i="2" s="1"/>
  <c r="AC485" i="2" s="1"/>
  <c r="AC486" i="2" s="1"/>
  <c r="AC487" i="2" s="1"/>
  <c r="AC488" i="2" s="1"/>
  <c r="AC489" i="2" s="1"/>
  <c r="AC490" i="2" s="1"/>
  <c r="AC491" i="2" s="1"/>
  <c r="AC492" i="2" s="1"/>
  <c r="AC493" i="2" s="1"/>
  <c r="AC494" i="2" s="1"/>
  <c r="AC495" i="2" s="1"/>
  <c r="AC496" i="2" s="1"/>
  <c r="AC497" i="2" s="1"/>
  <c r="AC498" i="2" s="1"/>
  <c r="AC499" i="2" s="1"/>
  <c r="AC500" i="2" s="1"/>
  <c r="AC501" i="2" s="1"/>
  <c r="AC502" i="2" s="1"/>
  <c r="AC503" i="2" s="1"/>
  <c r="AC504" i="2" s="1"/>
  <c r="AC505" i="2" s="1"/>
  <c r="AC506" i="2" s="1"/>
  <c r="AC507" i="2" s="1"/>
  <c r="AC508" i="2" s="1"/>
  <c r="AC509" i="2" s="1"/>
  <c r="AC510" i="2" s="1"/>
  <c r="AC511" i="2" s="1"/>
  <c r="AC512" i="2" s="1"/>
  <c r="AC513" i="2" s="1"/>
  <c r="AC514" i="2" s="1"/>
  <c r="AC515" i="2" s="1"/>
  <c r="AC516" i="2" s="1"/>
  <c r="AC517" i="2" s="1"/>
  <c r="AC518" i="2" s="1"/>
  <c r="AC519" i="2" s="1"/>
  <c r="AC520" i="2" s="1"/>
  <c r="AC521" i="2" s="1"/>
  <c r="AC522" i="2" s="1"/>
  <c r="AC523" i="2" s="1"/>
  <c r="AC524" i="2" s="1"/>
  <c r="AC525" i="2" s="1"/>
  <c r="AC526" i="2" s="1"/>
  <c r="AC527" i="2" s="1"/>
  <c r="AC528" i="2" s="1"/>
  <c r="AC529" i="2" s="1"/>
  <c r="AC530" i="2" s="1"/>
  <c r="AC531" i="2" s="1"/>
  <c r="AC532" i="2" s="1"/>
  <c r="AC533" i="2" s="1"/>
  <c r="AC534" i="2" s="1"/>
  <c r="AC535" i="2" s="1"/>
  <c r="AC536" i="2" s="1"/>
  <c r="AC537" i="2" s="1"/>
  <c r="AC538" i="2" s="1"/>
  <c r="AC539" i="2" s="1"/>
  <c r="AC540" i="2" s="1"/>
  <c r="AC541" i="2" s="1"/>
  <c r="AC542" i="2" s="1"/>
  <c r="AC543" i="2" s="1"/>
  <c r="AC544" i="2" s="1"/>
  <c r="AC545" i="2" s="1"/>
  <c r="AC546" i="2" s="1"/>
  <c r="AC547" i="2" s="1"/>
  <c r="AC548" i="2" s="1"/>
  <c r="AC549" i="2" s="1"/>
  <c r="AC550" i="2" s="1"/>
  <c r="AC551" i="2" s="1"/>
  <c r="AC552" i="2" s="1"/>
  <c r="AC553" i="2" s="1"/>
  <c r="AC554" i="2" s="1"/>
  <c r="AC555" i="2" s="1"/>
  <c r="AC556" i="2" s="1"/>
  <c r="AC557" i="2" s="1"/>
  <c r="AC558" i="2" s="1"/>
  <c r="AC559" i="2" s="1"/>
  <c r="AC560" i="2" s="1"/>
  <c r="AC561" i="2" s="1"/>
  <c r="AC562" i="2" s="1"/>
  <c r="AC563" i="2" s="1"/>
  <c r="AC564" i="2" s="1"/>
  <c r="AC565" i="2" s="1"/>
  <c r="AC566" i="2" s="1"/>
  <c r="AC567" i="2" s="1"/>
  <c r="AC568" i="2" s="1"/>
  <c r="AC569" i="2" s="1"/>
  <c r="AC570" i="2" s="1"/>
  <c r="AC571" i="2" s="1"/>
  <c r="AC572" i="2" s="1"/>
  <c r="AC573" i="2" s="1"/>
  <c r="AC574" i="2" s="1"/>
  <c r="AC575" i="2" s="1"/>
  <c r="AC576" i="2" s="1"/>
  <c r="AC577" i="2" s="1"/>
  <c r="AC578" i="2" s="1"/>
  <c r="AC579" i="2" s="1"/>
  <c r="AC580" i="2" s="1"/>
  <c r="AC581" i="2" s="1"/>
  <c r="AC582" i="2" s="1"/>
  <c r="AC583" i="2" s="1"/>
  <c r="AC584" i="2" s="1"/>
  <c r="AC585" i="2" s="1"/>
  <c r="AC586" i="2" s="1"/>
  <c r="AC587" i="2" s="1"/>
  <c r="AC588" i="2" s="1"/>
  <c r="AC589" i="2" s="1"/>
  <c r="AC590" i="2" s="1"/>
  <c r="AC591" i="2" s="1"/>
  <c r="AC592" i="2" s="1"/>
  <c r="AC593" i="2" s="1"/>
  <c r="AC594" i="2" s="1"/>
  <c r="AC595" i="2" s="1"/>
  <c r="AC596" i="2" s="1"/>
  <c r="AC597" i="2" s="1"/>
  <c r="AC598" i="2" s="1"/>
  <c r="AC599" i="2" s="1"/>
  <c r="AC600" i="2" s="1"/>
  <c r="AC601" i="2" s="1"/>
  <c r="AC602" i="2" s="1"/>
  <c r="AC603" i="2" s="1"/>
  <c r="AC604" i="2" s="1"/>
  <c r="AC605" i="2" s="1"/>
  <c r="AC606" i="2" s="1"/>
  <c r="AC607" i="2" s="1"/>
  <c r="AC608" i="2" s="1"/>
  <c r="AC609" i="2" s="1"/>
  <c r="AC610" i="2" s="1"/>
  <c r="AC611" i="2" s="1"/>
  <c r="AC612" i="2" s="1"/>
  <c r="AC613" i="2" s="1"/>
  <c r="AC614" i="2" s="1"/>
  <c r="AC615" i="2" s="1"/>
  <c r="AC616" i="2" s="1"/>
  <c r="AC617" i="2" s="1"/>
  <c r="AC618" i="2" s="1"/>
  <c r="AC619" i="2" s="1"/>
  <c r="AC620" i="2" s="1"/>
  <c r="AC621" i="2" s="1"/>
  <c r="AC622" i="2" s="1"/>
  <c r="AC623" i="2" s="1"/>
  <c r="AC624" i="2" s="1"/>
  <c r="AC625" i="2" s="1"/>
  <c r="AC626" i="2" s="1"/>
  <c r="AC627" i="2" s="1"/>
  <c r="AC628" i="2" s="1"/>
  <c r="AC629" i="2" s="1"/>
  <c r="AC630" i="2" s="1"/>
  <c r="AC631" i="2" s="1"/>
  <c r="AC632" i="2" s="1"/>
  <c r="AC633" i="2" s="1"/>
  <c r="AC634" i="2" s="1"/>
  <c r="AC635" i="2" s="1"/>
  <c r="AC636" i="2" s="1"/>
  <c r="AC637" i="2" s="1"/>
  <c r="AC638" i="2" s="1"/>
  <c r="AC639" i="2" s="1"/>
  <c r="AC640" i="2" s="1"/>
  <c r="AC641" i="2" s="1"/>
  <c r="AC642" i="2" s="1"/>
  <c r="AC643" i="2" s="1"/>
  <c r="AC644" i="2" s="1"/>
  <c r="AC645" i="2" s="1"/>
  <c r="AC646" i="2" s="1"/>
  <c r="AC647" i="2" s="1"/>
  <c r="AC648" i="2" s="1"/>
  <c r="AC649" i="2" s="1"/>
  <c r="AC650" i="2" s="1"/>
  <c r="AC651" i="2" s="1"/>
  <c r="AC652" i="2" s="1"/>
  <c r="AC653" i="2" s="1"/>
  <c r="AC654" i="2" s="1"/>
  <c r="AC655" i="2" s="1"/>
  <c r="AC656" i="2" s="1"/>
  <c r="AC657" i="2" s="1"/>
  <c r="AC658" i="2" s="1"/>
  <c r="AC659" i="2" s="1"/>
  <c r="AC660" i="2" s="1"/>
  <c r="AC661" i="2" s="1"/>
  <c r="AC662" i="2" s="1"/>
  <c r="AC663" i="2" s="1"/>
  <c r="AC664" i="2" s="1"/>
  <c r="AC665" i="2" s="1"/>
  <c r="AC666" i="2" s="1"/>
  <c r="AC667" i="2" s="1"/>
  <c r="AC668" i="2" s="1"/>
  <c r="AC669" i="2" s="1"/>
  <c r="AC670" i="2" s="1"/>
  <c r="AC671" i="2" s="1"/>
  <c r="AC672" i="2" s="1"/>
  <c r="AC673" i="2" s="1"/>
  <c r="AC674" i="2" s="1"/>
  <c r="AC675" i="2" s="1"/>
  <c r="AC676" i="2" s="1"/>
  <c r="AC677" i="2" s="1"/>
  <c r="AC678" i="2" s="1"/>
  <c r="AC679" i="2" s="1"/>
  <c r="AC680" i="2" s="1"/>
  <c r="AC681" i="2" s="1"/>
  <c r="AC682" i="2" s="1"/>
  <c r="AC683" i="2" s="1"/>
  <c r="AC684" i="2" s="1"/>
  <c r="AC685" i="2" s="1"/>
  <c r="AC686" i="2" s="1"/>
  <c r="AC687" i="2" s="1"/>
  <c r="AC688" i="2" s="1"/>
  <c r="AC689" i="2" s="1"/>
  <c r="AC690" i="2" s="1"/>
  <c r="AC691" i="2" s="1"/>
  <c r="AC692" i="2" s="1"/>
  <c r="AC693" i="2" s="1"/>
  <c r="AC694" i="2" s="1"/>
  <c r="AC695" i="2" s="1"/>
  <c r="AC696" i="2" s="1"/>
  <c r="AC697" i="2" s="1"/>
  <c r="AC698" i="2" s="1"/>
  <c r="AC699" i="2" s="1"/>
  <c r="AC700" i="2" s="1"/>
  <c r="AC701" i="2" s="1"/>
  <c r="AC702" i="2" s="1"/>
  <c r="AC703" i="2" s="1"/>
  <c r="AC704" i="2" s="1"/>
  <c r="AC705" i="2" s="1"/>
  <c r="AC706" i="2" s="1"/>
  <c r="AC707" i="2" s="1"/>
  <c r="AC708" i="2" s="1"/>
  <c r="AC709" i="2" s="1"/>
  <c r="AC710" i="2" s="1"/>
  <c r="AC711" i="2" s="1"/>
  <c r="AC712" i="2" s="1"/>
  <c r="AC713" i="2" s="1"/>
  <c r="AC714" i="2" s="1"/>
  <c r="AC715" i="2" s="1"/>
  <c r="AC716" i="2" s="1"/>
  <c r="AC717" i="2" s="1"/>
  <c r="AC718" i="2" s="1"/>
  <c r="AC719" i="2" s="1"/>
  <c r="AC720" i="2" s="1"/>
  <c r="AC721" i="2" s="1"/>
  <c r="AC722" i="2" s="1"/>
  <c r="AC723" i="2" s="1"/>
  <c r="AC724" i="2" s="1"/>
  <c r="AC725" i="2" s="1"/>
  <c r="AC726" i="2" s="1"/>
  <c r="AC727" i="2" s="1"/>
  <c r="AC728" i="2" s="1"/>
  <c r="AC729" i="2" s="1"/>
  <c r="AC730" i="2" s="1"/>
  <c r="AC731" i="2" s="1"/>
  <c r="AC732" i="2" s="1"/>
  <c r="AC733" i="2" s="1"/>
  <c r="AC734" i="2" s="1"/>
  <c r="AC735" i="2" s="1"/>
  <c r="AC736" i="2" s="1"/>
  <c r="AC737" i="2" s="1"/>
  <c r="AC738" i="2" s="1"/>
  <c r="AC739" i="2" s="1"/>
  <c r="AC740" i="2" s="1"/>
  <c r="AC741" i="2" s="1"/>
  <c r="AC742" i="2" s="1"/>
  <c r="AC743" i="2" s="1"/>
  <c r="AC744" i="2" s="1"/>
  <c r="AC745" i="2" s="1"/>
  <c r="AC746" i="2" s="1"/>
  <c r="AC747" i="2" s="1"/>
  <c r="AC748" i="2" s="1"/>
  <c r="AC749" i="2" s="1"/>
  <c r="AC750" i="2" s="1"/>
  <c r="AC751" i="2" s="1"/>
  <c r="AC752" i="2" s="1"/>
  <c r="AC753" i="2" s="1"/>
  <c r="AC754" i="2" s="1"/>
  <c r="AC755" i="2" s="1"/>
  <c r="AC756" i="2" s="1"/>
  <c r="AC757" i="2" s="1"/>
  <c r="AC758" i="2" s="1"/>
  <c r="AC759" i="2" s="1"/>
  <c r="AC760" i="2" s="1"/>
  <c r="AC761" i="2" s="1"/>
  <c r="AC762" i="2" s="1"/>
  <c r="AC763" i="2" s="1"/>
  <c r="AC764" i="2" s="1"/>
  <c r="AC765" i="2" s="1"/>
  <c r="AC766" i="2" s="1"/>
  <c r="AC767" i="2" s="1"/>
  <c r="AC768" i="2" s="1"/>
  <c r="AC769" i="2" s="1"/>
  <c r="AC770" i="2" s="1"/>
  <c r="AC771" i="2" s="1"/>
  <c r="AC772" i="2" s="1"/>
  <c r="AC773" i="2" s="1"/>
  <c r="AC774" i="2" s="1"/>
  <c r="AC775" i="2" s="1"/>
  <c r="AC776" i="2" s="1"/>
  <c r="AC777" i="2" s="1"/>
  <c r="AC778" i="2" s="1"/>
  <c r="AC779" i="2" s="1"/>
  <c r="AC780" i="2" s="1"/>
  <c r="AC781" i="2" s="1"/>
  <c r="AC782" i="2" s="1"/>
  <c r="AC783" i="2" s="1"/>
  <c r="AC784" i="2" s="1"/>
  <c r="AC785" i="2" s="1"/>
  <c r="AC786" i="2" s="1"/>
  <c r="AC787" i="2" s="1"/>
  <c r="AC788" i="2" s="1"/>
  <c r="AC789" i="2" s="1"/>
  <c r="AC790" i="2" s="1"/>
  <c r="AC791" i="2" s="1"/>
  <c r="AC792" i="2" s="1"/>
  <c r="AC793" i="2" s="1"/>
  <c r="AC794" i="2" s="1"/>
  <c r="AC795" i="2" s="1"/>
  <c r="AC796" i="2" s="1"/>
  <c r="AC797" i="2" s="1"/>
  <c r="AC798" i="2" s="1"/>
  <c r="AC799" i="2" s="1"/>
  <c r="AC800" i="2" s="1"/>
  <c r="AC801" i="2" s="1"/>
  <c r="AC802" i="2" s="1"/>
  <c r="AC803" i="2" s="1"/>
  <c r="AC804" i="2" s="1"/>
  <c r="AC805" i="2" s="1"/>
  <c r="AC806" i="2" s="1"/>
  <c r="AC807" i="2" s="1"/>
  <c r="AC808" i="2" s="1"/>
  <c r="AC809" i="2" s="1"/>
  <c r="AC810" i="2" s="1"/>
  <c r="AC811" i="2" s="1"/>
  <c r="AC812" i="2" s="1"/>
  <c r="AC813" i="2" s="1"/>
  <c r="AC814" i="2" s="1"/>
  <c r="AC815" i="2" s="1"/>
  <c r="AC816" i="2" s="1"/>
  <c r="AC817" i="2" s="1"/>
  <c r="AC818" i="2" s="1"/>
  <c r="AC819" i="2" s="1"/>
  <c r="AC820" i="2" s="1"/>
  <c r="AC821" i="2" s="1"/>
  <c r="AC822" i="2" s="1"/>
  <c r="AC823" i="2" s="1"/>
  <c r="AC824" i="2" s="1"/>
  <c r="AC825" i="2" s="1"/>
  <c r="AC826" i="2" s="1"/>
  <c r="AC827" i="2" s="1"/>
  <c r="AC828" i="2" s="1"/>
  <c r="AC829" i="2" s="1"/>
  <c r="AC830" i="2" s="1"/>
  <c r="AC831" i="2" s="1"/>
  <c r="AC832" i="2" s="1"/>
  <c r="AC833" i="2" s="1"/>
  <c r="AC834" i="2" s="1"/>
  <c r="AC835" i="2" s="1"/>
  <c r="AC836" i="2" s="1"/>
  <c r="AC837" i="2" s="1"/>
  <c r="AC838" i="2" s="1"/>
  <c r="AC839" i="2" s="1"/>
  <c r="AC840" i="2" s="1"/>
  <c r="AC841" i="2" s="1"/>
  <c r="AC842" i="2" s="1"/>
  <c r="AC843" i="2" s="1"/>
  <c r="AC844" i="2" s="1"/>
  <c r="AC845" i="2" s="1"/>
  <c r="AC846" i="2" s="1"/>
  <c r="AC847" i="2" s="1"/>
  <c r="AC848" i="2" s="1"/>
  <c r="AC849" i="2" s="1"/>
  <c r="AC850" i="2" s="1"/>
  <c r="AC851" i="2" s="1"/>
  <c r="AC852" i="2" s="1"/>
  <c r="AC853" i="2" s="1"/>
  <c r="AC854" i="2" s="1"/>
  <c r="AC855" i="2" s="1"/>
  <c r="AC856" i="2" s="1"/>
  <c r="AC857" i="2" s="1"/>
  <c r="AC858" i="2" s="1"/>
  <c r="AC859" i="2" s="1"/>
  <c r="AC860" i="2" s="1"/>
  <c r="AC861" i="2" s="1"/>
  <c r="AC862" i="2" s="1"/>
  <c r="AC863" i="2" s="1"/>
  <c r="AC864" i="2" s="1"/>
  <c r="AC865" i="2" s="1"/>
  <c r="AC866" i="2" s="1"/>
  <c r="AC867" i="2" s="1"/>
  <c r="AC868" i="2" s="1"/>
  <c r="AC869" i="2" s="1"/>
  <c r="AC870" i="2" s="1"/>
  <c r="AC871" i="2" s="1"/>
  <c r="AC872" i="2" s="1"/>
  <c r="AC873" i="2" s="1"/>
  <c r="AC874" i="2" s="1"/>
  <c r="AC875" i="2" s="1"/>
  <c r="AC876" i="2" s="1"/>
  <c r="AC877" i="2" s="1"/>
  <c r="AC878" i="2" s="1"/>
  <c r="AC879" i="2" s="1"/>
  <c r="AC880" i="2" s="1"/>
  <c r="AC881" i="2" s="1"/>
  <c r="AC882" i="2" s="1"/>
  <c r="AC883" i="2" s="1"/>
  <c r="AC884" i="2" s="1"/>
  <c r="AC885" i="2" s="1"/>
  <c r="AC886" i="2" s="1"/>
  <c r="AC887" i="2" s="1"/>
  <c r="AC888" i="2" s="1"/>
  <c r="AC889" i="2" s="1"/>
  <c r="AC890" i="2" s="1"/>
  <c r="AC891" i="2" s="1"/>
  <c r="AC892" i="2" s="1"/>
  <c r="AC893" i="2" s="1"/>
  <c r="AC894" i="2" s="1"/>
  <c r="AC895" i="2" s="1"/>
  <c r="AC896" i="2" s="1"/>
  <c r="AC897" i="2" s="1"/>
  <c r="AC898" i="2" s="1"/>
  <c r="AC899" i="2" s="1"/>
  <c r="AC900" i="2" s="1"/>
  <c r="AC901" i="2" s="1"/>
  <c r="AC902" i="2" s="1"/>
  <c r="AC903" i="2" s="1"/>
  <c r="AC904" i="2" s="1"/>
  <c r="AC905" i="2" s="1"/>
  <c r="AC906" i="2" s="1"/>
  <c r="AC907" i="2" s="1"/>
  <c r="AC908" i="2" s="1"/>
  <c r="AC909" i="2" s="1"/>
  <c r="AC910" i="2" s="1"/>
  <c r="AC911" i="2" s="1"/>
  <c r="AC912" i="2" s="1"/>
  <c r="AC913" i="2" s="1"/>
  <c r="AC914" i="2" s="1"/>
  <c r="AC915" i="2" s="1"/>
  <c r="AC916" i="2" s="1"/>
  <c r="AC917" i="2" s="1"/>
  <c r="AC918" i="2" s="1"/>
  <c r="AC919" i="2" s="1"/>
  <c r="AC920" i="2" s="1"/>
  <c r="AC921" i="2" s="1"/>
  <c r="AC922" i="2" s="1"/>
  <c r="AC923" i="2" s="1"/>
  <c r="AC924" i="2" s="1"/>
  <c r="AC925" i="2" s="1"/>
  <c r="AC926" i="2" s="1"/>
  <c r="AC927" i="2" s="1"/>
  <c r="AC928" i="2" s="1"/>
  <c r="AC929" i="2" s="1"/>
  <c r="AC930" i="2" s="1"/>
  <c r="AC931" i="2" s="1"/>
  <c r="AC932" i="2" s="1"/>
  <c r="AC933" i="2" s="1"/>
  <c r="AC934" i="2" s="1"/>
  <c r="AC935" i="2" s="1"/>
  <c r="AC936" i="2" s="1"/>
  <c r="AC937" i="2" s="1"/>
  <c r="AC938" i="2" s="1"/>
  <c r="AC939" i="2" s="1"/>
  <c r="AC940" i="2" s="1"/>
  <c r="AC941" i="2" s="1"/>
  <c r="AC942" i="2" s="1"/>
  <c r="AC943" i="2" s="1"/>
  <c r="AC944" i="2" s="1"/>
  <c r="AC945" i="2" s="1"/>
  <c r="AC946" i="2" s="1"/>
  <c r="AC947" i="2" s="1"/>
  <c r="AC948" i="2" s="1"/>
  <c r="AC949" i="2" s="1"/>
  <c r="AC950" i="2" s="1"/>
  <c r="AC951" i="2" s="1"/>
  <c r="AC952" i="2" s="1"/>
  <c r="AC953" i="2" s="1"/>
  <c r="AC954" i="2" s="1"/>
  <c r="AC955" i="2" s="1"/>
  <c r="AC956" i="2" s="1"/>
  <c r="AC957" i="2" s="1"/>
  <c r="AC958" i="2" s="1"/>
  <c r="AC959" i="2" s="1"/>
  <c r="AC960" i="2" s="1"/>
  <c r="AC961" i="2" s="1"/>
  <c r="AC962" i="2" s="1"/>
  <c r="AC963" i="2" s="1"/>
  <c r="AC964" i="2" s="1"/>
  <c r="AC965" i="2" s="1"/>
  <c r="AC966" i="2" s="1"/>
  <c r="AC967" i="2" s="1"/>
  <c r="AC968" i="2" s="1"/>
  <c r="AC969" i="2" s="1"/>
  <c r="AC970" i="2" s="1"/>
  <c r="AC971" i="2" s="1"/>
  <c r="AC972" i="2" s="1"/>
  <c r="AC973" i="2" s="1"/>
  <c r="AC974" i="2" s="1"/>
  <c r="AC975" i="2" s="1"/>
  <c r="AC976" i="2" s="1"/>
  <c r="AC977" i="2" s="1"/>
  <c r="AC978" i="2" s="1"/>
  <c r="AC979" i="2" s="1"/>
  <c r="AC980" i="2" s="1"/>
  <c r="AC981" i="2" s="1"/>
  <c r="AC982" i="2" s="1"/>
  <c r="AC983" i="2" s="1"/>
  <c r="AC984" i="2" s="1"/>
  <c r="AC985" i="2" s="1"/>
  <c r="AC986" i="2" s="1"/>
  <c r="AC987" i="2" s="1"/>
  <c r="AC988" i="2" s="1"/>
  <c r="AC989" i="2" s="1"/>
  <c r="AC990" i="2" s="1"/>
  <c r="AC991" i="2" s="1"/>
  <c r="Z108" i="2"/>
  <c r="X108" i="2"/>
  <c r="Z703" i="2"/>
  <c r="X703" i="2"/>
  <c r="X758" i="2"/>
  <c r="Z758" i="2"/>
  <c r="Z36" i="2"/>
  <c r="X36" i="2"/>
  <c r="H8" i="8"/>
  <c r="G9" i="8"/>
  <c r="Z906" i="2"/>
  <c r="X906" i="2"/>
  <c r="Z773" i="2"/>
  <c r="X773" i="2"/>
  <c r="E33" i="7"/>
  <c r="I32" i="7"/>
  <c r="J32" i="7" s="1"/>
  <c r="F32" i="7"/>
  <c r="Z987" i="2"/>
  <c r="X987" i="2"/>
  <c r="I9" i="6"/>
  <c r="J8" i="6"/>
  <c r="Z961" i="2"/>
  <c r="X961" i="2"/>
  <c r="X657" i="2"/>
  <c r="Z657" i="2"/>
  <c r="Z505" i="2"/>
  <c r="X505" i="2"/>
  <c r="X470" i="2"/>
  <c r="Z470" i="2"/>
  <c r="Z616" i="2"/>
  <c r="X616" i="2"/>
  <c r="Z336" i="2"/>
  <c r="X336" i="2"/>
  <c r="X755" i="2"/>
  <c r="Z755" i="2"/>
  <c r="X749" i="2"/>
  <c r="Z749" i="2"/>
  <c r="X500" i="2"/>
  <c r="Z500" i="2"/>
  <c r="F33" i="8"/>
  <c r="E34" i="8"/>
  <c r="I33" i="8"/>
  <c r="J33" i="8" s="1"/>
  <c r="Z62" i="2"/>
  <c r="X62" i="2"/>
  <c r="Z981" i="2"/>
  <c r="X981" i="2"/>
  <c r="Z545" i="2"/>
  <c r="X545" i="2"/>
  <c r="Z965" i="2"/>
  <c r="X965" i="2"/>
  <c r="Z672" i="2"/>
  <c r="X672" i="2"/>
  <c r="Z81" i="2"/>
  <c r="X81" i="2"/>
  <c r="Z213" i="2"/>
  <c r="X213" i="2"/>
  <c r="X23" i="2"/>
  <c r="Z23" i="2"/>
  <c r="X27" i="2"/>
  <c r="Z27" i="2"/>
  <c r="Z374" i="2"/>
  <c r="X374" i="2"/>
  <c r="X270" i="2"/>
  <c r="Z270" i="2"/>
  <c r="G38" i="7" l="1"/>
  <c r="H36" i="7"/>
  <c r="F34" i="8"/>
  <c r="I34" i="8" s="1"/>
  <c r="J34" i="8" s="1"/>
  <c r="E35" i="8"/>
  <c r="G10" i="8"/>
  <c r="H9" i="8"/>
  <c r="I9" i="8" s="1"/>
  <c r="J9" i="8" s="1"/>
  <c r="H34" i="8"/>
  <c r="G35" i="8"/>
  <c r="M9" i="6"/>
  <c r="N8" i="6"/>
  <c r="F10" i="8"/>
  <c r="E11" i="8"/>
  <c r="G9" i="6"/>
  <c r="H8" i="6"/>
  <c r="O8" i="6" s="1"/>
  <c r="P8" i="6" s="1"/>
  <c r="I10" i="6"/>
  <c r="J9" i="6"/>
  <c r="E34" i="7"/>
  <c r="F33" i="7"/>
  <c r="I33" i="7" s="1"/>
  <c r="J33" i="7" s="1"/>
  <c r="Y28" i="2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Y351" i="2" s="1"/>
  <c r="Y352" i="2" s="1"/>
  <c r="Y353" i="2" s="1"/>
  <c r="Y354" i="2" s="1"/>
  <c r="Y355" i="2" s="1"/>
  <c r="Y356" i="2" s="1"/>
  <c r="Y357" i="2" s="1"/>
  <c r="Y358" i="2" s="1"/>
  <c r="Y359" i="2" s="1"/>
  <c r="Y360" i="2" s="1"/>
  <c r="Y361" i="2" s="1"/>
  <c r="Y362" i="2" s="1"/>
  <c r="Y363" i="2" s="1"/>
  <c r="Y364" i="2" s="1"/>
  <c r="Y365" i="2" s="1"/>
  <c r="Y366" i="2" s="1"/>
  <c r="Y367" i="2" s="1"/>
  <c r="Y368" i="2" s="1"/>
  <c r="Y369" i="2" s="1"/>
  <c r="Y370" i="2" s="1"/>
  <c r="Y371" i="2" s="1"/>
  <c r="Y372" i="2" s="1"/>
  <c r="Y373" i="2" s="1"/>
  <c r="Y374" i="2" s="1"/>
  <c r="Y375" i="2" s="1"/>
  <c r="Y376" i="2" s="1"/>
  <c r="Y377" i="2" s="1"/>
  <c r="Y378" i="2" s="1"/>
  <c r="Y379" i="2" s="1"/>
  <c r="Y380" i="2" s="1"/>
  <c r="Y381" i="2" s="1"/>
  <c r="Y382" i="2" s="1"/>
  <c r="Y383" i="2" s="1"/>
  <c r="Y384" i="2" s="1"/>
  <c r="Y385" i="2" s="1"/>
  <c r="Y386" i="2" s="1"/>
  <c r="Y387" i="2" s="1"/>
  <c r="Y388" i="2" s="1"/>
  <c r="Y389" i="2" s="1"/>
  <c r="Y390" i="2" s="1"/>
  <c r="Y391" i="2" s="1"/>
  <c r="Y392" i="2" s="1"/>
  <c r="Y393" i="2" s="1"/>
  <c r="Y394" i="2" s="1"/>
  <c r="Y395" i="2" s="1"/>
  <c r="Y396" i="2" s="1"/>
  <c r="Y397" i="2" s="1"/>
  <c r="Y398" i="2" s="1"/>
  <c r="Y399" i="2" s="1"/>
  <c r="Y400" i="2" s="1"/>
  <c r="Y401" i="2" s="1"/>
  <c r="Y402" i="2" s="1"/>
  <c r="Y403" i="2" s="1"/>
  <c r="Y404" i="2" s="1"/>
  <c r="Y405" i="2" s="1"/>
  <c r="Y406" i="2" s="1"/>
  <c r="Y407" i="2" s="1"/>
  <c r="Y408" i="2" s="1"/>
  <c r="Y409" i="2" s="1"/>
  <c r="Y410" i="2" s="1"/>
  <c r="Y411" i="2" s="1"/>
  <c r="Y412" i="2" s="1"/>
  <c r="Y413" i="2" s="1"/>
  <c r="Y414" i="2" s="1"/>
  <c r="Y415" i="2" s="1"/>
  <c r="Y416" i="2" s="1"/>
  <c r="Y417" i="2" s="1"/>
  <c r="Y418" i="2" s="1"/>
  <c r="Y419" i="2" s="1"/>
  <c r="Y420" i="2" s="1"/>
  <c r="Y421" i="2" s="1"/>
  <c r="Y422" i="2" s="1"/>
  <c r="Y423" i="2" s="1"/>
  <c r="Y424" i="2" s="1"/>
  <c r="Y425" i="2" s="1"/>
  <c r="Y426" i="2" s="1"/>
  <c r="Y427" i="2" s="1"/>
  <c r="Y428" i="2" s="1"/>
  <c r="Y429" i="2" s="1"/>
  <c r="Y430" i="2" s="1"/>
  <c r="Y431" i="2" s="1"/>
  <c r="Y432" i="2" s="1"/>
  <c r="Y433" i="2" s="1"/>
  <c r="Y434" i="2" s="1"/>
  <c r="Y435" i="2" s="1"/>
  <c r="Y436" i="2" s="1"/>
  <c r="Y437" i="2" s="1"/>
  <c r="Y438" i="2" s="1"/>
  <c r="Y439" i="2" s="1"/>
  <c r="Y440" i="2" s="1"/>
  <c r="Y441" i="2" s="1"/>
  <c r="Y442" i="2" s="1"/>
  <c r="Y443" i="2" s="1"/>
  <c r="Y444" i="2" s="1"/>
  <c r="Y445" i="2" s="1"/>
  <c r="Y446" i="2" s="1"/>
  <c r="Y447" i="2" s="1"/>
  <c r="Y448" i="2" s="1"/>
  <c r="Y449" i="2" s="1"/>
  <c r="Y450" i="2" s="1"/>
  <c r="Y451" i="2" s="1"/>
  <c r="Y452" i="2" s="1"/>
  <c r="Y453" i="2" s="1"/>
  <c r="Y454" i="2" s="1"/>
  <c r="Y455" i="2" s="1"/>
  <c r="Y456" i="2" s="1"/>
  <c r="Y457" i="2" s="1"/>
  <c r="Y458" i="2" s="1"/>
  <c r="Y459" i="2" s="1"/>
  <c r="Y460" i="2" s="1"/>
  <c r="Y461" i="2" s="1"/>
  <c r="Y462" i="2" s="1"/>
  <c r="Y463" i="2" s="1"/>
  <c r="Y464" i="2" s="1"/>
  <c r="Y465" i="2" s="1"/>
  <c r="Y466" i="2" s="1"/>
  <c r="Y467" i="2" s="1"/>
  <c r="Y468" i="2" s="1"/>
  <c r="Y469" i="2" s="1"/>
  <c r="Y470" i="2" s="1"/>
  <c r="Y471" i="2" s="1"/>
  <c r="Y472" i="2" s="1"/>
  <c r="Y473" i="2" s="1"/>
  <c r="Y474" i="2" s="1"/>
  <c r="Y475" i="2" s="1"/>
  <c r="Y476" i="2" s="1"/>
  <c r="Y477" i="2" s="1"/>
  <c r="Y478" i="2" s="1"/>
  <c r="Y479" i="2" s="1"/>
  <c r="Y480" i="2" s="1"/>
  <c r="Y481" i="2" s="1"/>
  <c r="Y482" i="2" s="1"/>
  <c r="Y483" i="2" s="1"/>
  <c r="Y484" i="2" s="1"/>
  <c r="Y485" i="2" s="1"/>
  <c r="Y486" i="2" s="1"/>
  <c r="Y487" i="2" s="1"/>
  <c r="Y488" i="2" s="1"/>
  <c r="Y489" i="2" s="1"/>
  <c r="Y490" i="2" s="1"/>
  <c r="Y491" i="2" s="1"/>
  <c r="Y492" i="2" s="1"/>
  <c r="Y493" i="2" s="1"/>
  <c r="Y494" i="2" s="1"/>
  <c r="Y495" i="2" s="1"/>
  <c r="Y496" i="2" s="1"/>
  <c r="Y497" i="2" s="1"/>
  <c r="Y498" i="2" s="1"/>
  <c r="Y499" i="2" s="1"/>
  <c r="Y500" i="2" s="1"/>
  <c r="Y501" i="2" s="1"/>
  <c r="Y502" i="2" s="1"/>
  <c r="Y503" i="2" s="1"/>
  <c r="Y504" i="2" s="1"/>
  <c r="Y505" i="2" s="1"/>
  <c r="Y506" i="2" s="1"/>
  <c r="Y507" i="2" s="1"/>
  <c r="Y508" i="2" s="1"/>
  <c r="Y509" i="2" s="1"/>
  <c r="Y510" i="2" s="1"/>
  <c r="Y511" i="2" s="1"/>
  <c r="Y512" i="2" s="1"/>
  <c r="Y513" i="2" s="1"/>
  <c r="Y514" i="2" s="1"/>
  <c r="Y515" i="2" s="1"/>
  <c r="Y516" i="2" s="1"/>
  <c r="Y517" i="2" s="1"/>
  <c r="Y518" i="2" s="1"/>
  <c r="Y519" i="2" s="1"/>
  <c r="Y520" i="2" s="1"/>
  <c r="Y521" i="2" s="1"/>
  <c r="Y522" i="2" s="1"/>
  <c r="Y523" i="2" s="1"/>
  <c r="Y524" i="2" s="1"/>
  <c r="Y525" i="2" s="1"/>
  <c r="Y526" i="2" s="1"/>
  <c r="Y527" i="2" s="1"/>
  <c r="Y528" i="2" s="1"/>
  <c r="Y529" i="2" s="1"/>
  <c r="Y530" i="2" s="1"/>
  <c r="Y531" i="2" s="1"/>
  <c r="Y532" i="2" s="1"/>
  <c r="Y533" i="2" s="1"/>
  <c r="Y534" i="2" s="1"/>
  <c r="Y535" i="2" s="1"/>
  <c r="Y536" i="2" s="1"/>
  <c r="Y537" i="2" s="1"/>
  <c r="Y538" i="2" s="1"/>
  <c r="Y539" i="2" s="1"/>
  <c r="Y540" i="2" s="1"/>
  <c r="Y541" i="2" s="1"/>
  <c r="Y542" i="2" s="1"/>
  <c r="Y543" i="2" s="1"/>
  <c r="Y544" i="2" s="1"/>
  <c r="Y545" i="2" s="1"/>
  <c r="Y546" i="2" s="1"/>
  <c r="Y547" i="2" s="1"/>
  <c r="Y548" i="2" s="1"/>
  <c r="Y549" i="2" s="1"/>
  <c r="Y550" i="2" s="1"/>
  <c r="Y551" i="2" s="1"/>
  <c r="Y552" i="2" s="1"/>
  <c r="Y553" i="2" s="1"/>
  <c r="Y554" i="2" s="1"/>
  <c r="Y555" i="2" s="1"/>
  <c r="Y556" i="2" s="1"/>
  <c r="Y557" i="2" s="1"/>
  <c r="Y558" i="2" s="1"/>
  <c r="Y559" i="2" s="1"/>
  <c r="Y560" i="2" s="1"/>
  <c r="Y561" i="2" s="1"/>
  <c r="Y562" i="2" s="1"/>
  <c r="Y563" i="2" s="1"/>
  <c r="Y564" i="2" s="1"/>
  <c r="Y565" i="2" s="1"/>
  <c r="Y566" i="2" s="1"/>
  <c r="Y567" i="2" s="1"/>
  <c r="Y568" i="2" s="1"/>
  <c r="Y569" i="2" s="1"/>
  <c r="Y570" i="2" s="1"/>
  <c r="Y571" i="2" s="1"/>
  <c r="Y572" i="2" s="1"/>
  <c r="Y573" i="2" s="1"/>
  <c r="Y574" i="2" s="1"/>
  <c r="Y575" i="2" s="1"/>
  <c r="Y576" i="2" s="1"/>
  <c r="Y577" i="2" s="1"/>
  <c r="Y578" i="2" s="1"/>
  <c r="Y579" i="2" s="1"/>
  <c r="Y580" i="2" s="1"/>
  <c r="Y581" i="2" s="1"/>
  <c r="Y582" i="2" s="1"/>
  <c r="Y583" i="2" s="1"/>
  <c r="Y584" i="2" s="1"/>
  <c r="Y585" i="2" s="1"/>
  <c r="Y586" i="2" s="1"/>
  <c r="Y587" i="2" s="1"/>
  <c r="Y588" i="2" s="1"/>
  <c r="Y589" i="2" s="1"/>
  <c r="Y590" i="2" s="1"/>
  <c r="Y591" i="2" s="1"/>
  <c r="Y592" i="2" s="1"/>
  <c r="Y593" i="2" s="1"/>
  <c r="Y594" i="2" s="1"/>
  <c r="Y595" i="2" s="1"/>
  <c r="Y596" i="2" s="1"/>
  <c r="Y597" i="2" s="1"/>
  <c r="Y598" i="2" s="1"/>
  <c r="Y599" i="2" s="1"/>
  <c r="Y600" i="2" s="1"/>
  <c r="Y601" i="2" s="1"/>
  <c r="Y602" i="2" s="1"/>
  <c r="Y603" i="2" s="1"/>
  <c r="Y604" i="2" s="1"/>
  <c r="Y605" i="2" s="1"/>
  <c r="Y606" i="2" s="1"/>
  <c r="Y607" i="2" s="1"/>
  <c r="Y608" i="2" s="1"/>
  <c r="Y609" i="2" s="1"/>
  <c r="Y610" i="2" s="1"/>
  <c r="Y611" i="2" s="1"/>
  <c r="Y612" i="2" s="1"/>
  <c r="Y613" i="2" s="1"/>
  <c r="Y614" i="2" s="1"/>
  <c r="Y615" i="2" s="1"/>
  <c r="Y616" i="2" s="1"/>
  <c r="Y617" i="2" s="1"/>
  <c r="Y618" i="2" s="1"/>
  <c r="Y619" i="2" s="1"/>
  <c r="Y620" i="2" s="1"/>
  <c r="Y621" i="2" s="1"/>
  <c r="Y622" i="2" s="1"/>
  <c r="Y623" i="2" s="1"/>
  <c r="Y624" i="2" s="1"/>
  <c r="Y625" i="2" s="1"/>
  <c r="Y626" i="2" s="1"/>
  <c r="Y627" i="2" s="1"/>
  <c r="Y628" i="2" s="1"/>
  <c r="Y629" i="2" s="1"/>
  <c r="Y630" i="2" s="1"/>
  <c r="Y631" i="2" s="1"/>
  <c r="Y632" i="2" s="1"/>
  <c r="Y633" i="2" s="1"/>
  <c r="Y634" i="2" s="1"/>
  <c r="Y635" i="2" s="1"/>
  <c r="Y636" i="2" s="1"/>
  <c r="Y637" i="2" s="1"/>
  <c r="Y638" i="2" s="1"/>
  <c r="Y639" i="2" s="1"/>
  <c r="Y640" i="2" s="1"/>
  <c r="Y641" i="2" s="1"/>
  <c r="Y642" i="2" s="1"/>
  <c r="Y643" i="2" s="1"/>
  <c r="Y644" i="2" s="1"/>
  <c r="Y645" i="2" s="1"/>
  <c r="Y646" i="2" s="1"/>
  <c r="Y647" i="2" s="1"/>
  <c r="Y648" i="2" s="1"/>
  <c r="Y649" i="2" s="1"/>
  <c r="Y650" i="2" s="1"/>
  <c r="Y651" i="2" s="1"/>
  <c r="Y652" i="2" s="1"/>
  <c r="Y653" i="2" s="1"/>
  <c r="Y654" i="2" s="1"/>
  <c r="Y655" i="2" s="1"/>
  <c r="Y656" i="2" s="1"/>
  <c r="Y657" i="2" s="1"/>
  <c r="Y658" i="2" s="1"/>
  <c r="Y659" i="2" s="1"/>
  <c r="Y660" i="2" s="1"/>
  <c r="Y661" i="2" s="1"/>
  <c r="Y662" i="2" s="1"/>
  <c r="Y663" i="2" s="1"/>
  <c r="Y664" i="2" s="1"/>
  <c r="Y665" i="2" s="1"/>
  <c r="Y666" i="2" s="1"/>
  <c r="Y667" i="2" s="1"/>
  <c r="Y668" i="2" s="1"/>
  <c r="Y669" i="2" s="1"/>
  <c r="Y670" i="2" s="1"/>
  <c r="Y671" i="2" s="1"/>
  <c r="Y672" i="2" s="1"/>
  <c r="Y673" i="2" s="1"/>
  <c r="Y674" i="2" s="1"/>
  <c r="Y675" i="2" s="1"/>
  <c r="Y676" i="2" s="1"/>
  <c r="Y677" i="2" s="1"/>
  <c r="Y678" i="2" s="1"/>
  <c r="Y679" i="2" s="1"/>
  <c r="Y680" i="2" s="1"/>
  <c r="Y681" i="2" s="1"/>
  <c r="Y682" i="2" s="1"/>
  <c r="Y683" i="2" s="1"/>
  <c r="Y684" i="2" s="1"/>
  <c r="Y685" i="2" s="1"/>
  <c r="Y686" i="2" s="1"/>
  <c r="Y687" i="2" s="1"/>
  <c r="Y688" i="2" s="1"/>
  <c r="Y689" i="2" s="1"/>
  <c r="Y690" i="2" s="1"/>
  <c r="Y691" i="2" s="1"/>
  <c r="Y692" i="2" s="1"/>
  <c r="Y693" i="2" s="1"/>
  <c r="Y694" i="2" s="1"/>
  <c r="Y695" i="2" s="1"/>
  <c r="Y696" i="2" s="1"/>
  <c r="Y697" i="2" s="1"/>
  <c r="Y698" i="2" s="1"/>
  <c r="Y699" i="2" s="1"/>
  <c r="Y700" i="2" s="1"/>
  <c r="Y701" i="2" s="1"/>
  <c r="Y702" i="2" s="1"/>
  <c r="Y703" i="2" s="1"/>
  <c r="Y704" i="2" s="1"/>
  <c r="Y705" i="2" s="1"/>
  <c r="Y706" i="2" s="1"/>
  <c r="Y707" i="2" s="1"/>
  <c r="Y708" i="2" s="1"/>
  <c r="Y709" i="2" s="1"/>
  <c r="Y710" i="2" s="1"/>
  <c r="Y711" i="2" s="1"/>
  <c r="Y712" i="2" s="1"/>
  <c r="Y713" i="2" s="1"/>
  <c r="Y714" i="2" s="1"/>
  <c r="Y715" i="2" s="1"/>
  <c r="Y716" i="2" s="1"/>
  <c r="Y717" i="2" s="1"/>
  <c r="Y718" i="2" s="1"/>
  <c r="Y719" i="2" s="1"/>
  <c r="Y720" i="2" s="1"/>
  <c r="Y721" i="2" s="1"/>
  <c r="Y722" i="2" s="1"/>
  <c r="Y723" i="2" s="1"/>
  <c r="Y724" i="2" s="1"/>
  <c r="Y725" i="2" s="1"/>
  <c r="Y726" i="2" s="1"/>
  <c r="Y727" i="2" s="1"/>
  <c r="Y728" i="2" s="1"/>
  <c r="Y729" i="2" s="1"/>
  <c r="Y730" i="2" s="1"/>
  <c r="Y731" i="2" s="1"/>
  <c r="Y732" i="2" s="1"/>
  <c r="Y733" i="2" s="1"/>
  <c r="Y734" i="2" s="1"/>
  <c r="Y735" i="2" s="1"/>
  <c r="Y736" i="2" s="1"/>
  <c r="Y737" i="2" s="1"/>
  <c r="Y738" i="2" s="1"/>
  <c r="Y739" i="2" s="1"/>
  <c r="Y740" i="2" s="1"/>
  <c r="Y741" i="2" s="1"/>
  <c r="Y742" i="2" s="1"/>
  <c r="Y743" i="2" s="1"/>
  <c r="Y744" i="2" s="1"/>
  <c r="Y745" i="2" s="1"/>
  <c r="Y746" i="2" s="1"/>
  <c r="Y747" i="2" s="1"/>
  <c r="Y748" i="2" s="1"/>
  <c r="Y749" i="2" s="1"/>
  <c r="Y750" i="2" s="1"/>
  <c r="Y751" i="2" s="1"/>
  <c r="Y752" i="2" s="1"/>
  <c r="Y753" i="2" s="1"/>
  <c r="Y754" i="2" s="1"/>
  <c r="Y755" i="2" s="1"/>
  <c r="Y756" i="2" s="1"/>
  <c r="Y757" i="2" s="1"/>
  <c r="Y758" i="2" s="1"/>
  <c r="Y759" i="2" s="1"/>
  <c r="Y760" i="2" s="1"/>
  <c r="Y761" i="2" s="1"/>
  <c r="Y762" i="2" s="1"/>
  <c r="Y763" i="2" s="1"/>
  <c r="Y764" i="2" s="1"/>
  <c r="Y765" i="2" s="1"/>
  <c r="Y766" i="2" s="1"/>
  <c r="Y767" i="2" s="1"/>
  <c r="Y768" i="2" s="1"/>
  <c r="Y769" i="2" s="1"/>
  <c r="Y770" i="2" s="1"/>
  <c r="Y771" i="2" s="1"/>
  <c r="Y772" i="2" s="1"/>
  <c r="Y773" i="2" s="1"/>
  <c r="Y774" i="2" s="1"/>
  <c r="Y775" i="2" s="1"/>
  <c r="Y776" i="2" s="1"/>
  <c r="Y777" i="2" s="1"/>
  <c r="Y778" i="2" s="1"/>
  <c r="Y779" i="2" s="1"/>
  <c r="Y780" i="2" s="1"/>
  <c r="Y781" i="2" s="1"/>
  <c r="Y782" i="2" s="1"/>
  <c r="Y783" i="2" s="1"/>
  <c r="Y784" i="2" s="1"/>
  <c r="Y785" i="2" s="1"/>
  <c r="Y786" i="2" s="1"/>
  <c r="Y787" i="2" s="1"/>
  <c r="Y788" i="2" s="1"/>
  <c r="Y789" i="2" s="1"/>
  <c r="Y790" i="2" s="1"/>
  <c r="Y791" i="2" s="1"/>
  <c r="Y792" i="2" s="1"/>
  <c r="Y793" i="2" s="1"/>
  <c r="Y794" i="2" s="1"/>
  <c r="Y795" i="2" s="1"/>
  <c r="Y796" i="2" s="1"/>
  <c r="Y797" i="2" s="1"/>
  <c r="Y798" i="2" s="1"/>
  <c r="Y799" i="2" s="1"/>
  <c r="Y800" i="2" s="1"/>
  <c r="Y801" i="2" s="1"/>
  <c r="Y802" i="2" s="1"/>
  <c r="Y803" i="2" s="1"/>
  <c r="Y804" i="2" s="1"/>
  <c r="Y805" i="2" s="1"/>
  <c r="Y806" i="2" s="1"/>
  <c r="Y807" i="2" s="1"/>
  <c r="Y808" i="2" s="1"/>
  <c r="Y809" i="2" s="1"/>
  <c r="Y810" i="2" s="1"/>
  <c r="Y811" i="2" s="1"/>
  <c r="Y812" i="2" s="1"/>
  <c r="Y813" i="2" s="1"/>
  <c r="Y814" i="2" s="1"/>
  <c r="Y815" i="2" s="1"/>
  <c r="Y816" i="2" s="1"/>
  <c r="Y817" i="2" s="1"/>
  <c r="Y818" i="2" s="1"/>
  <c r="Y819" i="2" s="1"/>
  <c r="Y820" i="2" s="1"/>
  <c r="Y821" i="2" s="1"/>
  <c r="Y822" i="2" s="1"/>
  <c r="Y823" i="2" s="1"/>
  <c r="Y824" i="2" s="1"/>
  <c r="Y825" i="2" s="1"/>
  <c r="Y826" i="2" s="1"/>
  <c r="Y827" i="2" s="1"/>
  <c r="Y828" i="2" s="1"/>
  <c r="Y829" i="2" s="1"/>
  <c r="Y830" i="2" s="1"/>
  <c r="Y831" i="2" s="1"/>
  <c r="Y832" i="2" s="1"/>
  <c r="Y833" i="2" s="1"/>
  <c r="Y834" i="2" s="1"/>
  <c r="Y835" i="2" s="1"/>
  <c r="Y836" i="2" s="1"/>
  <c r="Y837" i="2" s="1"/>
  <c r="Y838" i="2" s="1"/>
  <c r="Y839" i="2" s="1"/>
  <c r="Y840" i="2" s="1"/>
  <c r="Y841" i="2" s="1"/>
  <c r="Y842" i="2" s="1"/>
  <c r="Y843" i="2" s="1"/>
  <c r="Y844" i="2" s="1"/>
  <c r="Y845" i="2" s="1"/>
  <c r="Y846" i="2" s="1"/>
  <c r="Y847" i="2" s="1"/>
  <c r="Y848" i="2" s="1"/>
  <c r="Y849" i="2" s="1"/>
  <c r="Y850" i="2" s="1"/>
  <c r="Y851" i="2" s="1"/>
  <c r="Y852" i="2" s="1"/>
  <c r="Y853" i="2" s="1"/>
  <c r="Y854" i="2" s="1"/>
  <c r="Y855" i="2" s="1"/>
  <c r="Y856" i="2" s="1"/>
  <c r="Y857" i="2" s="1"/>
  <c r="Y858" i="2" s="1"/>
  <c r="Y859" i="2" s="1"/>
  <c r="Y860" i="2" s="1"/>
  <c r="Y861" i="2" s="1"/>
  <c r="Y862" i="2" s="1"/>
  <c r="Y863" i="2" s="1"/>
  <c r="Y864" i="2" s="1"/>
  <c r="Y865" i="2" s="1"/>
  <c r="Y866" i="2" s="1"/>
  <c r="Y867" i="2" s="1"/>
  <c r="Y868" i="2" s="1"/>
  <c r="Y869" i="2" s="1"/>
  <c r="Y870" i="2" s="1"/>
  <c r="Y871" i="2" s="1"/>
  <c r="Y872" i="2" s="1"/>
  <c r="Y873" i="2" s="1"/>
  <c r="Y874" i="2" s="1"/>
  <c r="Y875" i="2" s="1"/>
  <c r="Y876" i="2" s="1"/>
  <c r="Y877" i="2" s="1"/>
  <c r="Y878" i="2" s="1"/>
  <c r="Y879" i="2" s="1"/>
  <c r="Y880" i="2" s="1"/>
  <c r="Y881" i="2" s="1"/>
  <c r="Y882" i="2" s="1"/>
  <c r="Y883" i="2" s="1"/>
  <c r="Y884" i="2" s="1"/>
  <c r="Y885" i="2" s="1"/>
  <c r="Y886" i="2" s="1"/>
  <c r="Y887" i="2" s="1"/>
  <c r="Y888" i="2" s="1"/>
  <c r="Y889" i="2" s="1"/>
  <c r="Y890" i="2" s="1"/>
  <c r="Y891" i="2" s="1"/>
  <c r="Y892" i="2" s="1"/>
  <c r="Y893" i="2" s="1"/>
  <c r="Y894" i="2" s="1"/>
  <c r="Y895" i="2" s="1"/>
  <c r="Y896" i="2" s="1"/>
  <c r="Y897" i="2" s="1"/>
  <c r="Y898" i="2" s="1"/>
  <c r="Y899" i="2" s="1"/>
  <c r="Y900" i="2" s="1"/>
  <c r="Y901" i="2" s="1"/>
  <c r="Y902" i="2" s="1"/>
  <c r="Y903" i="2" s="1"/>
  <c r="Y904" i="2" s="1"/>
  <c r="Y905" i="2" s="1"/>
  <c r="Y906" i="2" s="1"/>
  <c r="Y907" i="2" s="1"/>
  <c r="Y908" i="2" s="1"/>
  <c r="Y909" i="2" s="1"/>
  <c r="Y910" i="2" s="1"/>
  <c r="Y911" i="2" s="1"/>
  <c r="Y912" i="2" s="1"/>
  <c r="Y913" i="2" s="1"/>
  <c r="Y914" i="2" s="1"/>
  <c r="Y915" i="2" s="1"/>
  <c r="Y916" i="2" s="1"/>
  <c r="Y917" i="2" s="1"/>
  <c r="Y918" i="2" s="1"/>
  <c r="Y919" i="2" s="1"/>
  <c r="Y920" i="2" s="1"/>
  <c r="Y921" i="2" s="1"/>
  <c r="Y922" i="2" s="1"/>
  <c r="Y923" i="2" s="1"/>
  <c r="Y924" i="2" s="1"/>
  <c r="Y925" i="2" s="1"/>
  <c r="Y926" i="2" s="1"/>
  <c r="Y927" i="2" s="1"/>
  <c r="Y928" i="2" s="1"/>
  <c r="Y929" i="2" s="1"/>
  <c r="Y930" i="2" s="1"/>
  <c r="Y931" i="2" s="1"/>
  <c r="Y932" i="2" s="1"/>
  <c r="Y933" i="2" s="1"/>
  <c r="Y934" i="2" s="1"/>
  <c r="Y935" i="2" s="1"/>
  <c r="Y936" i="2" s="1"/>
  <c r="Y937" i="2" s="1"/>
  <c r="Y938" i="2" s="1"/>
  <c r="Y939" i="2" s="1"/>
  <c r="Y940" i="2" s="1"/>
  <c r="Y941" i="2" s="1"/>
  <c r="Y942" i="2" s="1"/>
  <c r="Y943" i="2" s="1"/>
  <c r="Y944" i="2" s="1"/>
  <c r="Y945" i="2" s="1"/>
  <c r="Y946" i="2" s="1"/>
  <c r="Y947" i="2" s="1"/>
  <c r="Y948" i="2" s="1"/>
  <c r="Y949" i="2" s="1"/>
  <c r="Y950" i="2" s="1"/>
  <c r="Y951" i="2" s="1"/>
  <c r="Y952" i="2" s="1"/>
  <c r="Y953" i="2" s="1"/>
  <c r="Y954" i="2" s="1"/>
  <c r="Y955" i="2" s="1"/>
  <c r="Y956" i="2" s="1"/>
  <c r="Y957" i="2" s="1"/>
  <c r="Y958" i="2" s="1"/>
  <c r="Y959" i="2" s="1"/>
  <c r="Y960" i="2" s="1"/>
  <c r="Y961" i="2" s="1"/>
  <c r="Y962" i="2" s="1"/>
  <c r="Y963" i="2" s="1"/>
  <c r="Y964" i="2" s="1"/>
  <c r="Y965" i="2" s="1"/>
  <c r="Y966" i="2" s="1"/>
  <c r="Y967" i="2" s="1"/>
  <c r="Y968" i="2" s="1"/>
  <c r="Y969" i="2" s="1"/>
  <c r="Y970" i="2" s="1"/>
  <c r="Y971" i="2" s="1"/>
  <c r="Y972" i="2" s="1"/>
  <c r="Y973" i="2" s="1"/>
  <c r="Y974" i="2" s="1"/>
  <c r="Y975" i="2" s="1"/>
  <c r="Y976" i="2" s="1"/>
  <c r="Y977" i="2" s="1"/>
  <c r="Y978" i="2" s="1"/>
  <c r="Y979" i="2" s="1"/>
  <c r="Y980" i="2" s="1"/>
  <c r="Y981" i="2" s="1"/>
  <c r="Y982" i="2" s="1"/>
  <c r="Y983" i="2" s="1"/>
  <c r="Y984" i="2" s="1"/>
  <c r="Y985" i="2" s="1"/>
  <c r="Y986" i="2" s="1"/>
  <c r="Y987" i="2" s="1"/>
  <c r="Y988" i="2" s="1"/>
  <c r="Y989" i="2" s="1"/>
  <c r="Y990" i="2" s="1"/>
  <c r="Y991" i="2" s="1"/>
  <c r="L8" i="6"/>
  <c r="K9" i="6"/>
  <c r="F11" i="7"/>
  <c r="E12" i="7"/>
  <c r="G11" i="7"/>
  <c r="H10" i="7"/>
  <c r="I10" i="7" s="1"/>
  <c r="J10" i="7" s="1"/>
  <c r="E12" i="8" l="1"/>
  <c r="F11" i="8"/>
  <c r="E13" i="7"/>
  <c r="F12" i="7"/>
  <c r="H11" i="7"/>
  <c r="I11" i="7" s="1"/>
  <c r="J11" i="7" s="1"/>
  <c r="G12" i="7"/>
  <c r="M10" i="6"/>
  <c r="N9" i="6"/>
  <c r="H10" i="8"/>
  <c r="I10" i="8" s="1"/>
  <c r="J10" i="8" s="1"/>
  <c r="G11" i="8"/>
  <c r="E35" i="7"/>
  <c r="I34" i="7"/>
  <c r="J34" i="7" s="1"/>
  <c r="F34" i="7"/>
  <c r="F35" i="8"/>
  <c r="I35" i="8" s="1"/>
  <c r="J35" i="8" s="1"/>
  <c r="E37" i="8"/>
  <c r="H9" i="6"/>
  <c r="O9" i="6" s="1"/>
  <c r="P9" i="6" s="1"/>
  <c r="G10" i="6"/>
  <c r="H35" i="8"/>
  <c r="G37" i="8"/>
  <c r="I11" i="6"/>
  <c r="J10" i="6"/>
  <c r="K10" i="6"/>
  <c r="L9" i="6"/>
  <c r="G39" i="7"/>
  <c r="H38" i="7"/>
  <c r="G12" i="8" l="1"/>
  <c r="H11" i="8"/>
  <c r="I11" i="8" s="1"/>
  <c r="J11" i="8" s="1"/>
  <c r="L10" i="6"/>
  <c r="K11" i="6"/>
  <c r="N10" i="6"/>
  <c r="M11" i="6"/>
  <c r="F12" i="8"/>
  <c r="E13" i="8"/>
  <c r="G40" i="7"/>
  <c r="H39" i="7"/>
  <c r="I12" i="6"/>
  <c r="J11" i="6"/>
  <c r="G36" i="8"/>
  <c r="H37" i="8"/>
  <c r="F35" i="7"/>
  <c r="I35" i="7" s="1"/>
  <c r="J35" i="7" s="1"/>
  <c r="E37" i="7"/>
  <c r="G13" i="7"/>
  <c r="H12" i="7"/>
  <c r="I12" i="7" s="1"/>
  <c r="J12" i="7" s="1"/>
  <c r="G11" i="6"/>
  <c r="H10" i="6"/>
  <c r="O10" i="6" s="1"/>
  <c r="P10" i="6" s="1"/>
  <c r="F13" i="7"/>
  <c r="E14" i="7"/>
  <c r="F37" i="8"/>
  <c r="I37" i="8" s="1"/>
  <c r="J37" i="8" s="1"/>
  <c r="E36" i="8"/>
  <c r="E14" i="8" l="1"/>
  <c r="F13" i="8"/>
  <c r="H11" i="6"/>
  <c r="G12" i="6"/>
  <c r="F14" i="7"/>
  <c r="E15" i="7"/>
  <c r="F36" i="8"/>
  <c r="E38" i="8"/>
  <c r="I36" i="8"/>
  <c r="J36" i="8" s="1"/>
  <c r="K12" i="6"/>
  <c r="L11" i="6"/>
  <c r="O11" i="6" s="1"/>
  <c r="P11" i="6" s="1"/>
  <c r="H13" i="7"/>
  <c r="I13" i="7" s="1"/>
  <c r="J13" i="7" s="1"/>
  <c r="G14" i="7"/>
  <c r="H36" i="8"/>
  <c r="G38" i="8"/>
  <c r="J12" i="6"/>
  <c r="I13" i="6"/>
  <c r="H40" i="7"/>
  <c r="G41" i="7"/>
  <c r="M12" i="6"/>
  <c r="N11" i="6"/>
  <c r="F37" i="7"/>
  <c r="I37" i="7" s="1"/>
  <c r="J37" i="7" s="1"/>
  <c r="E36" i="7"/>
  <c r="H12" i="8"/>
  <c r="I12" i="8" s="1"/>
  <c r="J12" i="8" s="1"/>
  <c r="G13" i="8"/>
  <c r="E38" i="7" l="1"/>
  <c r="F36" i="7"/>
  <c r="I36" i="7" s="1"/>
  <c r="J36" i="7" s="1"/>
  <c r="F15" i="7"/>
  <c r="E16" i="7"/>
  <c r="G42" i="7"/>
  <c r="H41" i="7"/>
  <c r="F38" i="8"/>
  <c r="E39" i="8"/>
  <c r="I38" i="8"/>
  <c r="J38" i="8" s="1"/>
  <c r="H12" i="6"/>
  <c r="O12" i="6" s="1"/>
  <c r="P12" i="6" s="1"/>
  <c r="G13" i="6"/>
  <c r="G14" i="8"/>
  <c r="H13" i="8"/>
  <c r="I13" i="8" s="1"/>
  <c r="J13" i="8" s="1"/>
  <c r="L12" i="6"/>
  <c r="K13" i="6"/>
  <c r="M13" i="6"/>
  <c r="N12" i="6"/>
  <c r="I14" i="6"/>
  <c r="J13" i="6"/>
  <c r="H38" i="8"/>
  <c r="G39" i="8"/>
  <c r="F14" i="8"/>
  <c r="E15" i="8"/>
  <c r="G15" i="7"/>
  <c r="H14" i="7"/>
  <c r="I14" i="7" s="1"/>
  <c r="J14" i="7" s="1"/>
  <c r="G43" i="7" l="1"/>
  <c r="H42" i="7"/>
  <c r="H15" i="7"/>
  <c r="I15" i="7" s="1"/>
  <c r="J15" i="7" s="1"/>
  <c r="G16" i="7"/>
  <c r="I15" i="6"/>
  <c r="J14" i="6"/>
  <c r="G40" i="8"/>
  <c r="H39" i="8"/>
  <c r="E17" i="7"/>
  <c r="F16" i="7"/>
  <c r="G14" i="6"/>
  <c r="H13" i="6"/>
  <c r="O13" i="6" s="1"/>
  <c r="P13" i="6" s="1"/>
  <c r="H14" i="8"/>
  <c r="I14" i="8" s="1"/>
  <c r="J14" i="8" s="1"/>
  <c r="G15" i="8"/>
  <c r="E16" i="8"/>
  <c r="F15" i="8"/>
  <c r="E40" i="8"/>
  <c r="F39" i="8"/>
  <c r="I39" i="8" s="1"/>
  <c r="J39" i="8" s="1"/>
  <c r="N13" i="6"/>
  <c r="M14" i="6"/>
  <c r="L13" i="6"/>
  <c r="K14" i="6"/>
  <c r="F38" i="7"/>
  <c r="I38" i="7" s="1"/>
  <c r="J38" i="7" s="1"/>
  <c r="E39" i="7"/>
  <c r="G15" i="6" l="1"/>
  <c r="H14" i="6"/>
  <c r="F17" i="7"/>
  <c r="E18" i="7"/>
  <c r="M15" i="6"/>
  <c r="N14" i="6"/>
  <c r="I16" i="6"/>
  <c r="J15" i="6"/>
  <c r="K15" i="6"/>
  <c r="L14" i="6"/>
  <c r="O14" i="6" s="1"/>
  <c r="P14" i="6" s="1"/>
  <c r="H40" i="8"/>
  <c r="I40" i="8" s="1"/>
  <c r="J40" i="8" s="1"/>
  <c r="G41" i="8"/>
  <c r="F40" i="8"/>
  <c r="E41" i="8"/>
  <c r="F16" i="8"/>
  <c r="E17" i="8"/>
  <c r="F39" i="7"/>
  <c r="E40" i="7"/>
  <c r="I39" i="7"/>
  <c r="J39" i="7" s="1"/>
  <c r="G17" i="7"/>
  <c r="H16" i="7"/>
  <c r="I16" i="7" s="1"/>
  <c r="J16" i="7" s="1"/>
  <c r="G16" i="8"/>
  <c r="H15" i="8"/>
  <c r="I15" i="8" s="1"/>
  <c r="J15" i="8" s="1"/>
  <c r="G44" i="7"/>
  <c r="H43" i="7"/>
  <c r="H17" i="7" l="1"/>
  <c r="G18" i="7"/>
  <c r="H16" i="8"/>
  <c r="G17" i="8"/>
  <c r="K16" i="6"/>
  <c r="L15" i="6"/>
  <c r="E41" i="7"/>
  <c r="I40" i="7"/>
  <c r="J40" i="7" s="1"/>
  <c r="F40" i="7"/>
  <c r="I16" i="8"/>
  <c r="J16" i="8" s="1"/>
  <c r="E18" i="8"/>
  <c r="F17" i="8"/>
  <c r="G42" i="8"/>
  <c r="H41" i="8"/>
  <c r="I41" i="8" s="1"/>
  <c r="J41" i="8" s="1"/>
  <c r="H44" i="7"/>
  <c r="G45" i="7"/>
  <c r="I17" i="6"/>
  <c r="J16" i="6"/>
  <c r="M16" i="6"/>
  <c r="N15" i="6"/>
  <c r="I17" i="7"/>
  <c r="J17" i="7" s="1"/>
  <c r="E19" i="7"/>
  <c r="F18" i="7"/>
  <c r="E42" i="8"/>
  <c r="F41" i="8"/>
  <c r="H15" i="6"/>
  <c r="O15" i="6"/>
  <c r="P15" i="6" s="1"/>
  <c r="G16" i="6"/>
  <c r="G17" i="6" l="1"/>
  <c r="H16" i="6"/>
  <c r="O16" i="6" s="1"/>
  <c r="P16" i="6" s="1"/>
  <c r="F19" i="7"/>
  <c r="E20" i="7"/>
  <c r="H42" i="8"/>
  <c r="G43" i="8"/>
  <c r="F18" i="8"/>
  <c r="E19" i="8"/>
  <c r="F42" i="8"/>
  <c r="I42" i="8" s="1"/>
  <c r="J42" i="8" s="1"/>
  <c r="E43" i="8"/>
  <c r="E42" i="7"/>
  <c r="F41" i="7"/>
  <c r="I41" i="7" s="1"/>
  <c r="J41" i="7" s="1"/>
  <c r="L16" i="6"/>
  <c r="K17" i="6"/>
  <c r="M17" i="6"/>
  <c r="N16" i="6"/>
  <c r="G18" i="8"/>
  <c r="H17" i="8"/>
  <c r="I17" i="8" s="1"/>
  <c r="J17" i="8" s="1"/>
  <c r="J17" i="6"/>
  <c r="I18" i="6"/>
  <c r="G19" i="7"/>
  <c r="H18" i="7"/>
  <c r="I18" i="7" s="1"/>
  <c r="J18" i="7" s="1"/>
  <c r="G46" i="7"/>
  <c r="H45" i="7"/>
  <c r="F43" i="8" l="1"/>
  <c r="I43" i="8" s="1"/>
  <c r="J43" i="8" s="1"/>
  <c r="E44" i="8"/>
  <c r="H19" i="7"/>
  <c r="I19" i="7" s="1"/>
  <c r="J19" i="7" s="1"/>
  <c r="G20" i="7"/>
  <c r="E21" i="7"/>
  <c r="F20" i="7"/>
  <c r="H18" i="8"/>
  <c r="I18" i="8" s="1"/>
  <c r="J18" i="8" s="1"/>
  <c r="G19" i="8"/>
  <c r="N17" i="6"/>
  <c r="M18" i="6"/>
  <c r="F19" i="8"/>
  <c r="E20" i="8"/>
  <c r="H46" i="7"/>
  <c r="G47" i="7"/>
  <c r="I19" i="6"/>
  <c r="J18" i="6"/>
  <c r="G44" i="8"/>
  <c r="H43" i="8"/>
  <c r="L17" i="6"/>
  <c r="K18" i="6"/>
  <c r="H17" i="6"/>
  <c r="O17" i="6" s="1"/>
  <c r="P17" i="6" s="1"/>
  <c r="G18" i="6"/>
  <c r="F42" i="7"/>
  <c r="I42" i="7" s="1"/>
  <c r="J42" i="7" s="1"/>
  <c r="E43" i="7"/>
  <c r="F20" i="8" l="1"/>
  <c r="E21" i="8"/>
  <c r="E44" i="7"/>
  <c r="F43" i="7"/>
  <c r="I43" i="7" s="1"/>
  <c r="J43" i="7" s="1"/>
  <c r="G20" i="8"/>
  <c r="H19" i="8"/>
  <c r="I19" i="8" s="1"/>
  <c r="J19" i="8" s="1"/>
  <c r="N18" i="6"/>
  <c r="M19" i="6"/>
  <c r="K19" i="6"/>
  <c r="L18" i="6"/>
  <c r="F21" i="7"/>
  <c r="E22" i="7"/>
  <c r="G21" i="7"/>
  <c r="H20" i="7"/>
  <c r="I20" i="7" s="1"/>
  <c r="J20" i="7" s="1"/>
  <c r="I20" i="6"/>
  <c r="J19" i="6"/>
  <c r="F44" i="8"/>
  <c r="I44" i="8" s="1"/>
  <c r="J44" i="8" s="1"/>
  <c r="E45" i="8"/>
  <c r="H44" i="8"/>
  <c r="G45" i="8"/>
  <c r="G48" i="7"/>
  <c r="H47" i="7"/>
  <c r="G19" i="6"/>
  <c r="H18" i="6"/>
  <c r="O18" i="6" s="1"/>
  <c r="P18" i="6" s="1"/>
  <c r="H20" i="8" l="1"/>
  <c r="I20" i="8" s="1"/>
  <c r="J20" i="8" s="1"/>
  <c r="G21" i="8"/>
  <c r="H19" i="6"/>
  <c r="O19" i="6" s="1"/>
  <c r="P19" i="6" s="1"/>
  <c r="G20" i="6"/>
  <c r="F44" i="7"/>
  <c r="I44" i="7"/>
  <c r="J44" i="7" s="1"/>
  <c r="E45" i="7"/>
  <c r="F45" i="8"/>
  <c r="I45" i="8" s="1"/>
  <c r="J45" i="8" s="1"/>
  <c r="E46" i="8"/>
  <c r="F21" i="8"/>
  <c r="E22" i="8"/>
  <c r="K20" i="6"/>
  <c r="L19" i="6"/>
  <c r="G46" i="8"/>
  <c r="H45" i="8"/>
  <c r="M20" i="6"/>
  <c r="N19" i="6"/>
  <c r="J20" i="6"/>
  <c r="I21" i="6"/>
  <c r="H21" i="7"/>
  <c r="I21" i="7" s="1"/>
  <c r="J21" i="7" s="1"/>
  <c r="G22" i="7"/>
  <c r="H48" i="7"/>
  <c r="G49" i="7"/>
  <c r="F22" i="7"/>
  <c r="E23" i="7"/>
  <c r="F46" i="8" l="1"/>
  <c r="I46" i="8" s="1"/>
  <c r="J46" i="8" s="1"/>
  <c r="E47" i="8"/>
  <c r="F23" i="7"/>
  <c r="E24" i="7"/>
  <c r="G23" i="7"/>
  <c r="H22" i="7"/>
  <c r="I22" i="7" s="1"/>
  <c r="J22" i="7" s="1"/>
  <c r="E46" i="7"/>
  <c r="F45" i="7"/>
  <c r="I45" i="7" s="1"/>
  <c r="J45" i="7" s="1"/>
  <c r="M21" i="6"/>
  <c r="N20" i="6"/>
  <c r="H46" i="8"/>
  <c r="G47" i="8"/>
  <c r="F22" i="8"/>
  <c r="E23" i="8"/>
  <c r="G50" i="7"/>
  <c r="H49" i="7"/>
  <c r="I22" i="6"/>
  <c r="J21" i="6"/>
  <c r="G21" i="6"/>
  <c r="H20" i="6"/>
  <c r="O20" i="6" s="1"/>
  <c r="P20" i="6" s="1"/>
  <c r="H21" i="8"/>
  <c r="I21" i="8" s="1"/>
  <c r="J21" i="8" s="1"/>
  <c r="G22" i="8"/>
  <c r="L20" i="6"/>
  <c r="K21" i="6"/>
  <c r="K22" i="6" l="1"/>
  <c r="L21" i="6"/>
  <c r="G22" i="6"/>
  <c r="H21" i="6"/>
  <c r="O21" i="6" s="1"/>
  <c r="P21" i="6" s="1"/>
  <c r="H23" i="7"/>
  <c r="I23" i="7" s="1"/>
  <c r="J23" i="7" s="1"/>
  <c r="G24" i="7"/>
  <c r="H22" i="8"/>
  <c r="I22" i="8" s="1"/>
  <c r="J22" i="8" s="1"/>
  <c r="G23" i="8"/>
  <c r="F46" i="7"/>
  <c r="I46" i="7" s="1"/>
  <c r="J46" i="7" s="1"/>
  <c r="E47" i="7"/>
  <c r="I23" i="6"/>
  <c r="J22" i="6"/>
  <c r="F24" i="7"/>
  <c r="E25" i="7"/>
  <c r="G48" i="8"/>
  <c r="H47" i="8"/>
  <c r="H50" i="7"/>
  <c r="G51" i="7"/>
  <c r="F47" i="8"/>
  <c r="I47" i="8" s="1"/>
  <c r="J47" i="8" s="1"/>
  <c r="E48" i="8"/>
  <c r="M22" i="6"/>
  <c r="N21" i="6"/>
  <c r="E24" i="8"/>
  <c r="F23" i="8"/>
  <c r="N22" i="6" l="1"/>
  <c r="M23" i="6"/>
  <c r="H23" i="8"/>
  <c r="I23" i="8" s="1"/>
  <c r="J23" i="8" s="1"/>
  <c r="G24" i="8"/>
  <c r="I24" i="6"/>
  <c r="J23" i="6"/>
  <c r="G25" i="7"/>
  <c r="H24" i="7"/>
  <c r="I24" i="7" s="1"/>
  <c r="J24" i="7" s="1"/>
  <c r="G23" i="6"/>
  <c r="H22" i="6"/>
  <c r="O22" i="6" s="1"/>
  <c r="P22" i="6" s="1"/>
  <c r="F25" i="7"/>
  <c r="E26" i="7"/>
  <c r="L22" i="6"/>
  <c r="K23" i="6"/>
  <c r="F47" i="7"/>
  <c r="I47" i="7" s="1"/>
  <c r="J47" i="7" s="1"/>
  <c r="E48" i="7"/>
  <c r="F48" i="8"/>
  <c r="I48" i="8" s="1"/>
  <c r="J48" i="8" s="1"/>
  <c r="E49" i="8"/>
  <c r="G52" i="7"/>
  <c r="H51" i="7"/>
  <c r="H48" i="8"/>
  <c r="G49" i="8"/>
  <c r="F24" i="8"/>
  <c r="E25" i="8"/>
  <c r="H52" i="7" l="1"/>
  <c r="G53" i="7"/>
  <c r="H25" i="7"/>
  <c r="I25" i="7" s="1"/>
  <c r="J25" i="7" s="1"/>
  <c r="G26" i="7"/>
  <c r="G50" i="8"/>
  <c r="H49" i="8"/>
  <c r="E26" i="8"/>
  <c r="F25" i="8"/>
  <c r="E50" i="8"/>
  <c r="F49" i="8"/>
  <c r="I49" i="8" s="1"/>
  <c r="J49" i="8" s="1"/>
  <c r="J24" i="6"/>
  <c r="I25" i="6"/>
  <c r="H24" i="8"/>
  <c r="I24" i="8" s="1"/>
  <c r="J24" i="8" s="1"/>
  <c r="G25" i="8"/>
  <c r="F48" i="7"/>
  <c r="I48" i="7" s="1"/>
  <c r="J48" i="7" s="1"/>
  <c r="E49" i="7"/>
  <c r="M24" i="6"/>
  <c r="N23" i="6"/>
  <c r="K24" i="6"/>
  <c r="L23" i="6"/>
  <c r="E27" i="7"/>
  <c r="F26" i="7"/>
  <c r="H23" i="6"/>
  <c r="G24" i="6"/>
  <c r="O23" i="6"/>
  <c r="P23" i="6" s="1"/>
  <c r="F27" i="7" l="1"/>
  <c r="E28" i="7"/>
  <c r="F26" i="8"/>
  <c r="E27" i="8"/>
  <c r="H50" i="8"/>
  <c r="G51" i="8"/>
  <c r="F50" i="8"/>
  <c r="I50" i="8"/>
  <c r="J50" i="8" s="1"/>
  <c r="E51" i="8"/>
  <c r="G27" i="7"/>
  <c r="H26" i="7"/>
  <c r="I26" i="7" s="1"/>
  <c r="J26" i="7" s="1"/>
  <c r="M25" i="6"/>
  <c r="N24" i="6"/>
  <c r="E50" i="7"/>
  <c r="F49" i="7"/>
  <c r="I49" i="7" s="1"/>
  <c r="J49" i="7" s="1"/>
  <c r="H24" i="6"/>
  <c r="O24" i="6" s="1"/>
  <c r="P24" i="6" s="1"/>
  <c r="G25" i="6"/>
  <c r="L24" i="6"/>
  <c r="K25" i="6"/>
  <c r="G54" i="7"/>
  <c r="H53" i="7"/>
  <c r="J25" i="6"/>
  <c r="I26" i="6"/>
  <c r="G26" i="8"/>
  <c r="H25" i="8"/>
  <c r="I25" i="8" s="1"/>
  <c r="J25" i="8" s="1"/>
  <c r="N25" i="6" l="1"/>
  <c r="M26" i="6"/>
  <c r="E52" i="8"/>
  <c r="F51" i="8"/>
  <c r="F50" i="7"/>
  <c r="I50" i="7" s="1"/>
  <c r="J50" i="7" s="1"/>
  <c r="E51" i="7"/>
  <c r="H26" i="8"/>
  <c r="I26" i="8" s="1"/>
  <c r="J26" i="8" s="1"/>
  <c r="G27" i="8"/>
  <c r="I27" i="6"/>
  <c r="J26" i="6"/>
  <c r="H54" i="7"/>
  <c r="G55" i="7"/>
  <c r="G52" i="8"/>
  <c r="H51" i="8"/>
  <c r="I51" i="8" s="1"/>
  <c r="J51" i="8" s="1"/>
  <c r="H27" i="7"/>
  <c r="I27" i="7" s="1"/>
  <c r="J27" i="7" s="1"/>
  <c r="G28" i="7"/>
  <c r="L25" i="6"/>
  <c r="K26" i="6"/>
  <c r="E28" i="8"/>
  <c r="F27" i="8"/>
  <c r="E29" i="7"/>
  <c r="F28" i="7"/>
  <c r="G26" i="6"/>
  <c r="H25" i="6"/>
  <c r="O25" i="6" s="1"/>
  <c r="P25" i="6" s="1"/>
  <c r="G28" i="8" l="1"/>
  <c r="H27" i="8"/>
  <c r="I27" i="8" s="1"/>
  <c r="J27" i="8" s="1"/>
  <c r="E52" i="7"/>
  <c r="F51" i="7"/>
  <c r="I51" i="7" s="1"/>
  <c r="J51" i="7" s="1"/>
  <c r="F29" i="7"/>
  <c r="I29" i="7" s="1"/>
  <c r="J29" i="7" s="1"/>
  <c r="F28" i="8"/>
  <c r="E29" i="8"/>
  <c r="F52" i="8"/>
  <c r="I52" i="8" s="1"/>
  <c r="J52" i="8" s="1"/>
  <c r="E53" i="8"/>
  <c r="I28" i="6"/>
  <c r="J27" i="6"/>
  <c r="G29" i="7"/>
  <c r="H29" i="7" s="1"/>
  <c r="H28" i="7"/>
  <c r="I28" i="7" s="1"/>
  <c r="J28" i="7" s="1"/>
  <c r="M27" i="6"/>
  <c r="N26" i="6"/>
  <c r="G56" i="7"/>
  <c r="H55" i="7"/>
  <c r="G27" i="6"/>
  <c r="H26" i="6"/>
  <c r="O26" i="6" s="1"/>
  <c r="P26" i="6" s="1"/>
  <c r="K27" i="6"/>
  <c r="L26" i="6"/>
  <c r="H52" i="8"/>
  <c r="G53" i="8"/>
  <c r="E54" i="8" l="1"/>
  <c r="F53" i="8"/>
  <c r="I53" i="8" s="1"/>
  <c r="J53" i="8" s="1"/>
  <c r="F29" i="8"/>
  <c r="I29" i="8" s="1"/>
  <c r="J29" i="8" s="1"/>
  <c r="H27" i="6"/>
  <c r="O27" i="6" s="1"/>
  <c r="P27" i="6" s="1"/>
  <c r="G28" i="6"/>
  <c r="I29" i="6"/>
  <c r="J28" i="6"/>
  <c r="F52" i="7"/>
  <c r="I52" i="7" s="1"/>
  <c r="J52" i="7" s="1"/>
  <c r="E53" i="7"/>
  <c r="G54" i="8"/>
  <c r="H53" i="8"/>
  <c r="M28" i="6"/>
  <c r="N27" i="6"/>
  <c r="H28" i="8"/>
  <c r="I28" i="8" s="1"/>
  <c r="J28" i="8" s="1"/>
  <c r="G29" i="8"/>
  <c r="H29" i="8" s="1"/>
  <c r="K28" i="6"/>
  <c r="L27" i="6"/>
  <c r="G57" i="7"/>
  <c r="H56" i="7"/>
  <c r="F53" i="7" l="1"/>
  <c r="I53" i="7" s="1"/>
  <c r="J53" i="7" s="1"/>
  <c r="E54" i="7"/>
  <c r="H54" i="8"/>
  <c r="G55" i="8"/>
  <c r="J29" i="6"/>
  <c r="I30" i="6"/>
  <c r="G29" i="6"/>
  <c r="H28" i="6"/>
  <c r="O28" i="6" s="1"/>
  <c r="P28" i="6" s="1"/>
  <c r="G58" i="7"/>
  <c r="H57" i="7"/>
  <c r="L28" i="6"/>
  <c r="K29" i="6"/>
  <c r="F54" i="8"/>
  <c r="I54" i="8" s="1"/>
  <c r="J54" i="8" s="1"/>
  <c r="E55" i="8"/>
  <c r="M29" i="6"/>
  <c r="N28" i="6"/>
  <c r="F55" i="8" l="1"/>
  <c r="I55" i="8" s="1"/>
  <c r="J55" i="8" s="1"/>
  <c r="E56" i="8"/>
  <c r="G59" i="7"/>
  <c r="H58" i="7"/>
  <c r="H29" i="6"/>
  <c r="G30" i="6"/>
  <c r="K30" i="6"/>
  <c r="L29" i="6"/>
  <c r="O29" i="6" s="1"/>
  <c r="P29" i="6" s="1"/>
  <c r="I31" i="6"/>
  <c r="J30" i="6"/>
  <c r="G56" i="8"/>
  <c r="H55" i="8"/>
  <c r="M30" i="6"/>
  <c r="N29" i="6"/>
  <c r="E55" i="7"/>
  <c r="F54" i="7"/>
  <c r="I54" i="7" s="1"/>
  <c r="J54" i="7" s="1"/>
  <c r="I32" i="6" l="1"/>
  <c r="J31" i="6"/>
  <c r="N30" i="6"/>
  <c r="M31" i="6"/>
  <c r="L30" i="6"/>
  <c r="K31" i="6"/>
  <c r="G31" i="6"/>
  <c r="H30" i="6"/>
  <c r="O30" i="6" s="1"/>
  <c r="P30" i="6" s="1"/>
  <c r="H56" i="8"/>
  <c r="G57" i="8"/>
  <c r="G60" i="7"/>
  <c r="H59" i="7"/>
  <c r="F56" i="8"/>
  <c r="I56" i="8" s="1"/>
  <c r="J56" i="8" s="1"/>
  <c r="E57" i="8"/>
  <c r="E56" i="7"/>
  <c r="F55" i="7"/>
  <c r="I55" i="7" s="1"/>
  <c r="J55" i="7" s="1"/>
  <c r="G58" i="8" l="1"/>
  <c r="H57" i="8"/>
  <c r="G61" i="7"/>
  <c r="H60" i="7"/>
  <c r="H31" i="6"/>
  <c r="O31" i="6" s="1"/>
  <c r="P31" i="6" s="1"/>
  <c r="G32" i="6"/>
  <c r="K32" i="6"/>
  <c r="L31" i="6"/>
  <c r="M32" i="6"/>
  <c r="N31" i="6"/>
  <c r="F57" i="8"/>
  <c r="I57" i="8" s="1"/>
  <c r="J57" i="8" s="1"/>
  <c r="E58" i="8"/>
  <c r="E57" i="7"/>
  <c r="I56" i="7"/>
  <c r="J56" i="7" s="1"/>
  <c r="F56" i="7"/>
  <c r="J32" i="6"/>
  <c r="I33" i="6"/>
  <c r="F58" i="8" l="1"/>
  <c r="E59" i="8"/>
  <c r="M33" i="6"/>
  <c r="N32" i="6"/>
  <c r="L32" i="6"/>
  <c r="K33" i="6"/>
  <c r="E58" i="7"/>
  <c r="F57" i="7"/>
  <c r="I57" i="7" s="1"/>
  <c r="J57" i="7" s="1"/>
  <c r="I34" i="6"/>
  <c r="J33" i="6"/>
  <c r="G62" i="7"/>
  <c r="H61" i="7"/>
  <c r="H32" i="6"/>
  <c r="O32" i="6" s="1"/>
  <c r="P32" i="6" s="1"/>
  <c r="G33" i="6"/>
  <c r="H58" i="8"/>
  <c r="I58" i="8" s="1"/>
  <c r="J58" i="8" s="1"/>
  <c r="G59" i="8"/>
  <c r="G63" i="7" l="1"/>
  <c r="H62" i="7"/>
  <c r="I35" i="6"/>
  <c r="J34" i="6"/>
  <c r="E59" i="7"/>
  <c r="F58" i="7"/>
  <c r="I58" i="7" s="1"/>
  <c r="J58" i="7" s="1"/>
  <c r="K34" i="6"/>
  <c r="L33" i="6"/>
  <c r="N33" i="6"/>
  <c r="M34" i="6"/>
  <c r="G60" i="8"/>
  <c r="H59" i="8"/>
  <c r="E60" i="8"/>
  <c r="F59" i="8"/>
  <c r="I59" i="8" s="1"/>
  <c r="J59" i="8" s="1"/>
  <c r="G34" i="6"/>
  <c r="H33" i="6"/>
  <c r="O33" i="6" s="1"/>
  <c r="P33" i="6" s="1"/>
  <c r="L34" i="6" l="1"/>
  <c r="K35" i="6"/>
  <c r="F60" i="8"/>
  <c r="I60" i="8" s="1"/>
  <c r="J60" i="8" s="1"/>
  <c r="E61" i="8"/>
  <c r="H60" i="8"/>
  <c r="G61" i="8"/>
  <c r="I37" i="6"/>
  <c r="J35" i="6"/>
  <c r="M35" i="6"/>
  <c r="N34" i="6"/>
  <c r="F59" i="7"/>
  <c r="I59" i="7" s="1"/>
  <c r="J59" i="7" s="1"/>
  <c r="E60" i="7"/>
  <c r="G35" i="6"/>
  <c r="H34" i="6"/>
  <c r="O34" i="6" s="1"/>
  <c r="P34" i="6" s="1"/>
  <c r="G64" i="7"/>
  <c r="H63" i="7"/>
  <c r="M37" i="6" l="1"/>
  <c r="N35" i="6"/>
  <c r="H35" i="6"/>
  <c r="O35" i="6" s="1"/>
  <c r="P35" i="6" s="1"/>
  <c r="G37" i="6"/>
  <c r="I36" i="6"/>
  <c r="J37" i="6"/>
  <c r="G62" i="8"/>
  <c r="H61" i="8"/>
  <c r="E61" i="7"/>
  <c r="F60" i="7"/>
  <c r="I60" i="7" s="1"/>
  <c r="J60" i="7" s="1"/>
  <c r="E62" i="8"/>
  <c r="F61" i="8"/>
  <c r="I61" i="8" s="1"/>
  <c r="J61" i="8" s="1"/>
  <c r="G65" i="7"/>
  <c r="H64" i="7"/>
  <c r="K37" i="6"/>
  <c r="L35" i="6"/>
  <c r="F61" i="7" l="1"/>
  <c r="I61" i="7" s="1"/>
  <c r="J61" i="7" s="1"/>
  <c r="E62" i="7"/>
  <c r="H62" i="8"/>
  <c r="G63" i="8"/>
  <c r="I38" i="6"/>
  <c r="J36" i="6"/>
  <c r="G36" i="6"/>
  <c r="H37" i="6"/>
  <c r="O37" i="6" s="1"/>
  <c r="P37" i="6" s="1"/>
  <c r="G66" i="7"/>
  <c r="H65" i="7"/>
  <c r="F62" i="8"/>
  <c r="I62" i="8" s="1"/>
  <c r="J62" i="8" s="1"/>
  <c r="E63" i="8"/>
  <c r="K36" i="6"/>
  <c r="L37" i="6"/>
  <c r="M36" i="6"/>
  <c r="N37" i="6"/>
  <c r="L36" i="6" l="1"/>
  <c r="K38" i="6"/>
  <c r="H36" i="6"/>
  <c r="G38" i="6"/>
  <c r="O36" i="6"/>
  <c r="P36" i="6" s="1"/>
  <c r="E64" i="8"/>
  <c r="F63" i="8"/>
  <c r="I63" i="8" s="1"/>
  <c r="J63" i="8" s="1"/>
  <c r="I39" i="6"/>
  <c r="J38" i="6"/>
  <c r="G64" i="8"/>
  <c r="H63" i="8"/>
  <c r="G67" i="7"/>
  <c r="H66" i="7"/>
  <c r="I62" i="7"/>
  <c r="J62" i="7" s="1"/>
  <c r="E63" i="7"/>
  <c r="F62" i="7"/>
  <c r="M38" i="6"/>
  <c r="N36" i="6"/>
  <c r="G68" i="7" l="1"/>
  <c r="H67" i="7"/>
  <c r="F63" i="7"/>
  <c r="I63" i="7" s="1"/>
  <c r="J63" i="7" s="1"/>
  <c r="E64" i="7"/>
  <c r="H64" i="8"/>
  <c r="G65" i="8"/>
  <c r="M39" i="6"/>
  <c r="N38" i="6"/>
  <c r="I40" i="6"/>
  <c r="J39" i="6"/>
  <c r="F64" i="8"/>
  <c r="I64" i="8" s="1"/>
  <c r="J64" i="8" s="1"/>
  <c r="E65" i="8"/>
  <c r="G39" i="6"/>
  <c r="O38" i="6"/>
  <c r="P38" i="6" s="1"/>
  <c r="H38" i="6"/>
  <c r="K39" i="6"/>
  <c r="L38" i="6"/>
  <c r="F65" i="8" l="1"/>
  <c r="I65" i="8" s="1"/>
  <c r="J65" i="8" s="1"/>
  <c r="E66" i="8"/>
  <c r="M40" i="6"/>
  <c r="N39" i="6"/>
  <c r="I41" i="6"/>
  <c r="J40" i="6"/>
  <c r="G66" i="8"/>
  <c r="H65" i="8"/>
  <c r="E65" i="7"/>
  <c r="F64" i="7"/>
  <c r="I64" i="7" s="1"/>
  <c r="J64" i="7" s="1"/>
  <c r="H39" i="6"/>
  <c r="G40" i="6"/>
  <c r="O39" i="6"/>
  <c r="P39" i="6" s="1"/>
  <c r="K40" i="6"/>
  <c r="L39" i="6"/>
  <c r="G69" i="7"/>
  <c r="H68" i="7"/>
  <c r="G41" i="6" l="1"/>
  <c r="H40" i="6"/>
  <c r="O40" i="6" s="1"/>
  <c r="P40" i="6" s="1"/>
  <c r="F65" i="7"/>
  <c r="I65" i="7" s="1"/>
  <c r="J65" i="7" s="1"/>
  <c r="E66" i="7"/>
  <c r="H66" i="8"/>
  <c r="G67" i="8"/>
  <c r="L40" i="6"/>
  <c r="K41" i="6"/>
  <c r="I42" i="6"/>
  <c r="J41" i="6"/>
  <c r="M41" i="6"/>
  <c r="N40" i="6"/>
  <c r="G70" i="7"/>
  <c r="H69" i="7"/>
  <c r="F66" i="8"/>
  <c r="I66" i="8" s="1"/>
  <c r="J66" i="8" s="1"/>
  <c r="E67" i="8"/>
  <c r="G71" i="7" l="1"/>
  <c r="H70" i="7"/>
  <c r="M42" i="6"/>
  <c r="N41" i="6"/>
  <c r="K42" i="6"/>
  <c r="L41" i="6"/>
  <c r="G68" i="8"/>
  <c r="H67" i="8"/>
  <c r="I43" i="6"/>
  <c r="J42" i="6"/>
  <c r="E67" i="7"/>
  <c r="F66" i="7"/>
  <c r="I66" i="7" s="1"/>
  <c r="J66" i="7" s="1"/>
  <c r="I67" i="8"/>
  <c r="J67" i="8" s="1"/>
  <c r="F67" i="8"/>
  <c r="E68" i="8"/>
  <c r="H41" i="6"/>
  <c r="O41" i="6" s="1"/>
  <c r="P41" i="6" s="1"/>
  <c r="G42" i="6"/>
  <c r="F67" i="7" l="1"/>
  <c r="I67" i="7" s="1"/>
  <c r="J67" i="7" s="1"/>
  <c r="E68" i="7"/>
  <c r="I44" i="6"/>
  <c r="J43" i="6"/>
  <c r="H68" i="8"/>
  <c r="G69" i="8"/>
  <c r="L42" i="6"/>
  <c r="K43" i="6"/>
  <c r="F68" i="8"/>
  <c r="I68" i="8" s="1"/>
  <c r="J68" i="8" s="1"/>
  <c r="E69" i="8"/>
  <c r="G43" i="6"/>
  <c r="H42" i="6"/>
  <c r="O42" i="6" s="1"/>
  <c r="P42" i="6" s="1"/>
  <c r="N42" i="6"/>
  <c r="M43" i="6"/>
  <c r="G72" i="7"/>
  <c r="H71" i="7"/>
  <c r="H43" i="6" l="1"/>
  <c r="O43" i="6" s="1"/>
  <c r="P43" i="6" s="1"/>
  <c r="G44" i="6"/>
  <c r="E70" i="8"/>
  <c r="F69" i="8"/>
  <c r="I69" i="8" s="1"/>
  <c r="J69" i="8" s="1"/>
  <c r="K44" i="6"/>
  <c r="L43" i="6"/>
  <c r="G70" i="8"/>
  <c r="H69" i="8"/>
  <c r="J44" i="6"/>
  <c r="I45" i="6"/>
  <c r="F68" i="7"/>
  <c r="I68" i="7" s="1"/>
  <c r="J68" i="7" s="1"/>
  <c r="E69" i="7"/>
  <c r="G73" i="7"/>
  <c r="H72" i="7"/>
  <c r="M44" i="6"/>
  <c r="N43" i="6"/>
  <c r="E70" i="7" l="1"/>
  <c r="F69" i="7"/>
  <c r="I69" i="7" s="1"/>
  <c r="J69" i="7" s="1"/>
  <c r="H70" i="8"/>
  <c r="G71" i="8"/>
  <c r="L44" i="6"/>
  <c r="K45" i="6"/>
  <c r="F70" i="8"/>
  <c r="I70" i="8" s="1"/>
  <c r="J70" i="8" s="1"/>
  <c r="E71" i="8"/>
  <c r="G74" i="7"/>
  <c r="H73" i="7"/>
  <c r="I46" i="6"/>
  <c r="J45" i="6"/>
  <c r="M45" i="6"/>
  <c r="N44" i="6"/>
  <c r="H44" i="6"/>
  <c r="O44" i="6" s="1"/>
  <c r="P44" i="6" s="1"/>
  <c r="G45" i="6"/>
  <c r="N45" i="6" l="1"/>
  <c r="M46" i="6"/>
  <c r="I47" i="6"/>
  <c r="J46" i="6"/>
  <c r="L45" i="6"/>
  <c r="K46" i="6"/>
  <c r="E71" i="7"/>
  <c r="F70" i="7"/>
  <c r="I70" i="7" s="1"/>
  <c r="J70" i="7" s="1"/>
  <c r="H74" i="7"/>
  <c r="G75" i="7"/>
  <c r="E72" i="8"/>
  <c r="F71" i="8"/>
  <c r="I71" i="8" s="1"/>
  <c r="J71" i="8" s="1"/>
  <c r="G72" i="8"/>
  <c r="H71" i="8"/>
  <c r="G46" i="6"/>
  <c r="H45" i="6"/>
  <c r="O45" i="6" s="1"/>
  <c r="P45" i="6" s="1"/>
  <c r="F72" i="8" l="1"/>
  <c r="I72" i="8" s="1"/>
  <c r="J72" i="8" s="1"/>
  <c r="E73" i="8"/>
  <c r="F71" i="7"/>
  <c r="I71" i="7" s="1"/>
  <c r="J71" i="7" s="1"/>
  <c r="E72" i="7"/>
  <c r="G76" i="7"/>
  <c r="H75" i="7"/>
  <c r="K47" i="6"/>
  <c r="L46" i="6"/>
  <c r="H72" i="8"/>
  <c r="G73" i="8"/>
  <c r="I48" i="6"/>
  <c r="J47" i="6"/>
  <c r="G47" i="6"/>
  <c r="H46" i="6"/>
  <c r="O46" i="6" s="1"/>
  <c r="P46" i="6" s="1"/>
  <c r="M47" i="6"/>
  <c r="N46" i="6"/>
  <c r="K48" i="6" l="1"/>
  <c r="L47" i="6"/>
  <c r="H76" i="7"/>
  <c r="G77" i="7"/>
  <c r="H47" i="6"/>
  <c r="O47" i="6"/>
  <c r="P47" i="6" s="1"/>
  <c r="G48" i="6"/>
  <c r="E73" i="7"/>
  <c r="F72" i="7"/>
  <c r="I72" i="7"/>
  <c r="J72" i="7" s="1"/>
  <c r="E74" i="8"/>
  <c r="F73" i="8"/>
  <c r="I73" i="8" s="1"/>
  <c r="J73" i="8" s="1"/>
  <c r="I49" i="6"/>
  <c r="J48" i="6"/>
  <c r="G74" i="8"/>
  <c r="H73" i="8"/>
  <c r="M48" i="6"/>
  <c r="N47" i="6"/>
  <c r="J49" i="6" l="1"/>
  <c r="I50" i="6"/>
  <c r="E74" i="7"/>
  <c r="F73" i="7"/>
  <c r="I73" i="7" s="1"/>
  <c r="J73" i="7" s="1"/>
  <c r="F74" i="8"/>
  <c r="I74" i="8" s="1"/>
  <c r="J74" i="8" s="1"/>
  <c r="E75" i="8"/>
  <c r="G49" i="6"/>
  <c r="O48" i="6"/>
  <c r="P48" i="6" s="1"/>
  <c r="H48" i="6"/>
  <c r="H74" i="8"/>
  <c r="G75" i="8"/>
  <c r="G78" i="7"/>
  <c r="H77" i="7"/>
  <c r="M49" i="6"/>
  <c r="N48" i="6"/>
  <c r="L48" i="6"/>
  <c r="K49" i="6"/>
  <c r="H49" i="6" l="1"/>
  <c r="O49" i="6" s="1"/>
  <c r="P49" i="6" s="1"/>
  <c r="G50" i="6"/>
  <c r="H78" i="7"/>
  <c r="G79" i="7"/>
  <c r="F75" i="8"/>
  <c r="I75" i="8" s="1"/>
  <c r="J75" i="8" s="1"/>
  <c r="E76" i="8"/>
  <c r="N49" i="6"/>
  <c r="M50" i="6"/>
  <c r="G76" i="8"/>
  <c r="H75" i="8"/>
  <c r="L49" i="6"/>
  <c r="K50" i="6"/>
  <c r="F74" i="7"/>
  <c r="I74" i="7" s="1"/>
  <c r="J74" i="7" s="1"/>
  <c r="E75" i="7"/>
  <c r="I51" i="6"/>
  <c r="J50" i="6"/>
  <c r="H76" i="8" l="1"/>
  <c r="G77" i="8"/>
  <c r="N50" i="6"/>
  <c r="M51" i="6"/>
  <c r="F76" i="8"/>
  <c r="I76" i="8" s="1"/>
  <c r="J76" i="8" s="1"/>
  <c r="E77" i="8"/>
  <c r="G80" i="7"/>
  <c r="H79" i="7"/>
  <c r="G51" i="6"/>
  <c r="H50" i="6"/>
  <c r="O50" i="6" s="1"/>
  <c r="P50" i="6" s="1"/>
  <c r="E76" i="7"/>
  <c r="F75" i="7"/>
  <c r="I75" i="7" s="1"/>
  <c r="J75" i="7" s="1"/>
  <c r="K51" i="6"/>
  <c r="L50" i="6"/>
  <c r="I52" i="6"/>
  <c r="J51" i="6"/>
  <c r="K52" i="6" l="1"/>
  <c r="L51" i="6"/>
  <c r="F76" i="7"/>
  <c r="I76" i="7" s="1"/>
  <c r="J76" i="7" s="1"/>
  <c r="E77" i="7"/>
  <c r="H80" i="7"/>
  <c r="G81" i="7"/>
  <c r="H51" i="6"/>
  <c r="O51" i="6" s="1"/>
  <c r="P51" i="6" s="1"/>
  <c r="G52" i="6"/>
  <c r="F77" i="8"/>
  <c r="I77" i="8" s="1"/>
  <c r="J77" i="8" s="1"/>
  <c r="E78" i="8"/>
  <c r="M52" i="6"/>
  <c r="N51" i="6"/>
  <c r="J52" i="6"/>
  <c r="I53" i="6"/>
  <c r="G78" i="8"/>
  <c r="H77" i="8"/>
  <c r="F78" i="8" l="1"/>
  <c r="I78" i="8" s="1"/>
  <c r="J78" i="8" s="1"/>
  <c r="E79" i="8"/>
  <c r="G53" i="6"/>
  <c r="H52" i="6"/>
  <c r="O52" i="6" s="1"/>
  <c r="P52" i="6" s="1"/>
  <c r="G82" i="7"/>
  <c r="H81" i="7"/>
  <c r="M53" i="6"/>
  <c r="N52" i="6"/>
  <c r="E78" i="7"/>
  <c r="F77" i="7"/>
  <c r="I77" i="7" s="1"/>
  <c r="J77" i="7" s="1"/>
  <c r="H78" i="8"/>
  <c r="G79" i="8"/>
  <c r="I54" i="6"/>
  <c r="J53" i="6"/>
  <c r="L52" i="6"/>
  <c r="K53" i="6"/>
  <c r="F78" i="7" l="1"/>
  <c r="I78" i="7" s="1"/>
  <c r="J78" i="7" s="1"/>
  <c r="E79" i="7"/>
  <c r="M54" i="6"/>
  <c r="N53" i="6"/>
  <c r="H82" i="7"/>
  <c r="G83" i="7"/>
  <c r="G54" i="6"/>
  <c r="H53" i="6"/>
  <c r="O53" i="6" s="1"/>
  <c r="P53" i="6" s="1"/>
  <c r="I55" i="6"/>
  <c r="J54" i="6"/>
  <c r="G80" i="8"/>
  <c r="H79" i="8"/>
  <c r="I79" i="8" s="1"/>
  <c r="J79" i="8" s="1"/>
  <c r="K54" i="6"/>
  <c r="L53" i="6"/>
  <c r="F79" i="8"/>
  <c r="E80" i="8"/>
  <c r="H80" i="8" l="1"/>
  <c r="G81" i="8"/>
  <c r="I56" i="6"/>
  <c r="J55" i="6"/>
  <c r="G55" i="6"/>
  <c r="H54" i="6"/>
  <c r="O54" i="6" s="1"/>
  <c r="P54" i="6" s="1"/>
  <c r="L54" i="6"/>
  <c r="K55" i="6"/>
  <c r="G84" i="7"/>
  <c r="H83" i="7"/>
  <c r="N54" i="6"/>
  <c r="M55" i="6"/>
  <c r="F80" i="8"/>
  <c r="I80" i="8" s="1"/>
  <c r="J80" i="8" s="1"/>
  <c r="E81" i="8"/>
  <c r="F79" i="7"/>
  <c r="I79" i="7" s="1"/>
  <c r="J79" i="7" s="1"/>
  <c r="E80" i="7"/>
  <c r="M56" i="6" l="1"/>
  <c r="N55" i="6"/>
  <c r="G85" i="7"/>
  <c r="H84" i="7"/>
  <c r="K56" i="6"/>
  <c r="L55" i="6"/>
  <c r="H55" i="6"/>
  <c r="O55" i="6" s="1"/>
  <c r="P55" i="6" s="1"/>
  <c r="G56" i="6"/>
  <c r="E82" i="8"/>
  <c r="F81" i="8"/>
  <c r="I81" i="8" s="1"/>
  <c r="J81" i="8" s="1"/>
  <c r="F80" i="7"/>
  <c r="I80" i="7" s="1"/>
  <c r="J80" i="7" s="1"/>
  <c r="E81" i="7"/>
  <c r="J56" i="6"/>
  <c r="I57" i="6"/>
  <c r="G82" i="8"/>
  <c r="H81" i="8"/>
  <c r="F82" i="8" l="1"/>
  <c r="I82" i="8" s="1"/>
  <c r="J82" i="8" s="1"/>
  <c r="E83" i="8"/>
  <c r="H56" i="6"/>
  <c r="O56" i="6" s="1"/>
  <c r="P56" i="6" s="1"/>
  <c r="G57" i="6"/>
  <c r="E82" i="7"/>
  <c r="F81" i="7"/>
  <c r="I81" i="7" s="1"/>
  <c r="J81" i="7" s="1"/>
  <c r="G86" i="7"/>
  <c r="H85" i="7"/>
  <c r="L56" i="6"/>
  <c r="K57" i="6"/>
  <c r="H82" i="8"/>
  <c r="G83" i="8"/>
  <c r="J57" i="6"/>
  <c r="I58" i="6"/>
  <c r="M57" i="6"/>
  <c r="N56" i="6"/>
  <c r="H86" i="7" l="1"/>
  <c r="G87" i="7"/>
  <c r="E83" i="7"/>
  <c r="F82" i="7"/>
  <c r="I82" i="7" s="1"/>
  <c r="J82" i="7" s="1"/>
  <c r="G84" i="8"/>
  <c r="H83" i="8"/>
  <c r="L57" i="6"/>
  <c r="K58" i="6"/>
  <c r="E84" i="8"/>
  <c r="F83" i="8"/>
  <c r="I83" i="8" s="1"/>
  <c r="J83" i="8" s="1"/>
  <c r="G58" i="6"/>
  <c r="H57" i="6"/>
  <c r="O57" i="6" s="1"/>
  <c r="P57" i="6" s="1"/>
  <c r="N57" i="6"/>
  <c r="M58" i="6"/>
  <c r="I59" i="6"/>
  <c r="J58" i="6"/>
  <c r="K59" i="6" l="1"/>
  <c r="L58" i="6"/>
  <c r="F84" i="8"/>
  <c r="E85" i="8"/>
  <c r="G59" i="6"/>
  <c r="H58" i="6"/>
  <c r="O58" i="6" s="1"/>
  <c r="P58" i="6" s="1"/>
  <c r="F83" i="7"/>
  <c r="I83" i="7" s="1"/>
  <c r="J83" i="7" s="1"/>
  <c r="E84" i="7"/>
  <c r="I60" i="6"/>
  <c r="J59" i="6"/>
  <c r="G88" i="7"/>
  <c r="H87" i="7"/>
  <c r="H84" i="8"/>
  <c r="I84" i="8" s="1"/>
  <c r="J84" i="8" s="1"/>
  <c r="G85" i="8"/>
  <c r="M59" i="6"/>
  <c r="N58" i="6"/>
  <c r="I61" i="6" l="1"/>
  <c r="J60" i="6"/>
  <c r="H88" i="7"/>
  <c r="G89" i="7"/>
  <c r="F84" i="7"/>
  <c r="I84" i="7" s="1"/>
  <c r="J84" i="7" s="1"/>
  <c r="E85" i="7"/>
  <c r="H59" i="6"/>
  <c r="O59" i="6" s="1"/>
  <c r="P59" i="6" s="1"/>
  <c r="G60" i="6"/>
  <c r="E86" i="8"/>
  <c r="F85" i="8"/>
  <c r="I85" i="8" s="1"/>
  <c r="J85" i="8" s="1"/>
  <c r="M60" i="6"/>
  <c r="N59" i="6"/>
  <c r="G86" i="8"/>
  <c r="H85" i="8"/>
  <c r="K60" i="6"/>
  <c r="L59" i="6"/>
  <c r="G61" i="6" l="1"/>
  <c r="H60" i="6"/>
  <c r="O60" i="6" s="1"/>
  <c r="P60" i="6" s="1"/>
  <c r="F86" i="8"/>
  <c r="I86" i="8" s="1"/>
  <c r="J86" i="8" s="1"/>
  <c r="E87" i="8"/>
  <c r="E86" i="7"/>
  <c r="F85" i="7"/>
  <c r="I85" i="7" s="1"/>
  <c r="J85" i="7" s="1"/>
  <c r="H86" i="8"/>
  <c r="G87" i="8"/>
  <c r="G90" i="7"/>
  <c r="H89" i="7"/>
  <c r="M61" i="6"/>
  <c r="N60" i="6"/>
  <c r="L60" i="6"/>
  <c r="K61" i="6"/>
  <c r="J61" i="6"/>
  <c r="I62" i="6"/>
  <c r="G88" i="8" l="1"/>
  <c r="H87" i="8"/>
  <c r="N61" i="6"/>
  <c r="M62" i="6"/>
  <c r="F86" i="7"/>
  <c r="I86" i="7" s="1"/>
  <c r="J86" i="7" s="1"/>
  <c r="E87" i="7"/>
  <c r="G91" i="7"/>
  <c r="H90" i="7"/>
  <c r="F87" i="8"/>
  <c r="I87" i="8" s="1"/>
  <c r="J87" i="8" s="1"/>
  <c r="E88" i="8"/>
  <c r="I63" i="6"/>
  <c r="J62" i="6"/>
  <c r="K62" i="6"/>
  <c r="L61" i="6"/>
  <c r="H61" i="6"/>
  <c r="O61" i="6" s="1"/>
  <c r="P61" i="6" s="1"/>
  <c r="G62" i="6"/>
  <c r="K63" i="6" l="1"/>
  <c r="L62" i="6"/>
  <c r="F88" i="8"/>
  <c r="I88" i="8" s="1"/>
  <c r="J88" i="8" s="1"/>
  <c r="E89" i="8"/>
  <c r="G92" i="7"/>
  <c r="H91" i="7"/>
  <c r="G63" i="6"/>
  <c r="H62" i="6"/>
  <c r="O62" i="6" s="1"/>
  <c r="P62" i="6" s="1"/>
  <c r="J63" i="6"/>
  <c r="I64" i="6"/>
  <c r="E88" i="7"/>
  <c r="I87" i="7"/>
  <c r="J87" i="7" s="1"/>
  <c r="F87" i="7"/>
  <c r="N62" i="6"/>
  <c r="M63" i="6"/>
  <c r="H88" i="8"/>
  <c r="G89" i="8"/>
  <c r="I65" i="6" l="1"/>
  <c r="J64" i="6"/>
  <c r="H63" i="6"/>
  <c r="O63" i="6" s="1"/>
  <c r="P63" i="6" s="1"/>
  <c r="G64" i="6"/>
  <c r="G93" i="7"/>
  <c r="H92" i="7"/>
  <c r="E89" i="7"/>
  <c r="F88" i="7"/>
  <c r="I88" i="7" s="1"/>
  <c r="J88" i="7" s="1"/>
  <c r="F89" i="8"/>
  <c r="I89" i="8" s="1"/>
  <c r="J89" i="8" s="1"/>
  <c r="E90" i="8"/>
  <c r="G90" i="8"/>
  <c r="H89" i="8"/>
  <c r="M64" i="6"/>
  <c r="N63" i="6"/>
  <c r="K64" i="6"/>
  <c r="L63" i="6"/>
  <c r="N64" i="6" l="1"/>
  <c r="M65" i="6"/>
  <c r="H90" i="8"/>
  <c r="G91" i="8"/>
  <c r="F89" i="7"/>
  <c r="I89" i="7" s="1"/>
  <c r="J89" i="7" s="1"/>
  <c r="E90" i="7"/>
  <c r="G94" i="7"/>
  <c r="H93" i="7"/>
  <c r="G65" i="6"/>
  <c r="H64" i="6"/>
  <c r="F90" i="8"/>
  <c r="E91" i="8"/>
  <c r="I90" i="8"/>
  <c r="J90" i="8" s="1"/>
  <c r="L64" i="6"/>
  <c r="O64" i="6" s="1"/>
  <c r="P64" i="6" s="1"/>
  <c r="K65" i="6"/>
  <c r="I66" i="6"/>
  <c r="J65" i="6"/>
  <c r="G95" i="7" l="1"/>
  <c r="H94" i="7"/>
  <c r="E91" i="7"/>
  <c r="F90" i="7"/>
  <c r="I90" i="7" s="1"/>
  <c r="J90" i="7" s="1"/>
  <c r="G66" i="6"/>
  <c r="H65" i="6"/>
  <c r="O65" i="6" s="1"/>
  <c r="P65" i="6" s="1"/>
  <c r="G92" i="8"/>
  <c r="H91" i="8"/>
  <c r="E92" i="8"/>
  <c r="F91" i="8"/>
  <c r="I91" i="8" s="1"/>
  <c r="J91" i="8" s="1"/>
  <c r="J66" i="6"/>
  <c r="I67" i="6"/>
  <c r="M66" i="6"/>
  <c r="N65" i="6"/>
  <c r="K66" i="6"/>
  <c r="L65" i="6"/>
  <c r="H92" i="8" l="1"/>
  <c r="G93" i="8"/>
  <c r="M67" i="6"/>
  <c r="N66" i="6"/>
  <c r="F92" i="8"/>
  <c r="I92" i="8" s="1"/>
  <c r="J92" i="8" s="1"/>
  <c r="E93" i="8"/>
  <c r="J67" i="6"/>
  <c r="I68" i="6"/>
  <c r="H66" i="6"/>
  <c r="G67" i="6"/>
  <c r="F91" i="7"/>
  <c r="E92" i="7"/>
  <c r="I91" i="7"/>
  <c r="J91" i="7" s="1"/>
  <c r="L66" i="6"/>
  <c r="O66" i="6" s="1"/>
  <c r="P66" i="6" s="1"/>
  <c r="K67" i="6"/>
  <c r="G96" i="7"/>
  <c r="H95" i="7"/>
  <c r="E93" i="7" l="1"/>
  <c r="F92" i="7"/>
  <c r="I92" i="7" s="1"/>
  <c r="J92" i="7" s="1"/>
  <c r="J68" i="6"/>
  <c r="I69" i="6"/>
  <c r="E94" i="8"/>
  <c r="F93" i="8"/>
  <c r="I93" i="8" s="1"/>
  <c r="J93" i="8" s="1"/>
  <c r="N67" i="6"/>
  <c r="M68" i="6"/>
  <c r="G68" i="6"/>
  <c r="H67" i="6"/>
  <c r="O67" i="6" s="1"/>
  <c r="P67" i="6" s="1"/>
  <c r="G97" i="7"/>
  <c r="H96" i="7"/>
  <c r="G94" i="8"/>
  <c r="H93" i="8"/>
  <c r="L67" i="6"/>
  <c r="K68" i="6"/>
  <c r="G69" i="6" l="1"/>
  <c r="H68" i="6"/>
  <c r="O68" i="6" s="1"/>
  <c r="P68" i="6" s="1"/>
  <c r="N68" i="6"/>
  <c r="M69" i="6"/>
  <c r="H94" i="8"/>
  <c r="I94" i="8" s="1"/>
  <c r="J94" i="8" s="1"/>
  <c r="G95" i="8"/>
  <c r="G98" i="7"/>
  <c r="H97" i="7"/>
  <c r="F94" i="8"/>
  <c r="E95" i="8"/>
  <c r="I70" i="6"/>
  <c r="J69" i="6"/>
  <c r="L68" i="6"/>
  <c r="K69" i="6"/>
  <c r="F93" i="7"/>
  <c r="I93" i="7" s="1"/>
  <c r="J93" i="7" s="1"/>
  <c r="E94" i="7"/>
  <c r="G99" i="7" l="1"/>
  <c r="H98" i="7"/>
  <c r="E96" i="8"/>
  <c r="F95" i="8"/>
  <c r="I95" i="8" s="1"/>
  <c r="J95" i="8" s="1"/>
  <c r="G96" i="8"/>
  <c r="H95" i="8"/>
  <c r="J70" i="6"/>
  <c r="I71" i="6"/>
  <c r="M70" i="6"/>
  <c r="N69" i="6"/>
  <c r="K70" i="6"/>
  <c r="L69" i="6"/>
  <c r="O69" i="6" s="1"/>
  <c r="P69" i="6" s="1"/>
  <c r="F94" i="7"/>
  <c r="I94" i="7" s="1"/>
  <c r="J94" i="7" s="1"/>
  <c r="E95" i="7"/>
  <c r="H69" i="6"/>
  <c r="G70" i="6"/>
  <c r="F95" i="7" l="1"/>
  <c r="I95" i="7" s="1"/>
  <c r="J95" i="7" s="1"/>
  <c r="E96" i="7"/>
  <c r="I72" i="6"/>
  <c r="J71" i="6"/>
  <c r="M71" i="6"/>
  <c r="N70" i="6"/>
  <c r="H96" i="8"/>
  <c r="G97" i="8"/>
  <c r="F96" i="8"/>
  <c r="I96" i="8" s="1"/>
  <c r="J96" i="8" s="1"/>
  <c r="E97" i="8"/>
  <c r="L70" i="6"/>
  <c r="K71" i="6"/>
  <c r="H70" i="6"/>
  <c r="O70" i="6" s="1"/>
  <c r="P70" i="6" s="1"/>
  <c r="G71" i="6"/>
  <c r="G100" i="7"/>
  <c r="H99" i="7"/>
  <c r="G98" i="8" l="1"/>
  <c r="H97" i="8"/>
  <c r="L71" i="6"/>
  <c r="K72" i="6"/>
  <c r="F97" i="8"/>
  <c r="I97" i="8" s="1"/>
  <c r="J97" i="8" s="1"/>
  <c r="E98" i="8"/>
  <c r="N71" i="6"/>
  <c r="M72" i="6"/>
  <c r="G72" i="6"/>
  <c r="H71" i="6"/>
  <c r="O71" i="6" s="1"/>
  <c r="P71" i="6" s="1"/>
  <c r="I73" i="6"/>
  <c r="J72" i="6"/>
  <c r="G101" i="7"/>
  <c r="H100" i="7"/>
  <c r="E97" i="7"/>
  <c r="F96" i="7"/>
  <c r="I96" i="7" s="1"/>
  <c r="J96" i="7" s="1"/>
  <c r="G102" i="7" l="1"/>
  <c r="H101" i="7"/>
  <c r="J73" i="6"/>
  <c r="I74" i="6"/>
  <c r="G73" i="6"/>
  <c r="H72" i="6"/>
  <c r="O72" i="6" s="1"/>
  <c r="P72" i="6" s="1"/>
  <c r="M73" i="6"/>
  <c r="N72" i="6"/>
  <c r="F98" i="8"/>
  <c r="I98" i="8" s="1"/>
  <c r="J98" i="8" s="1"/>
  <c r="E99" i="8"/>
  <c r="K73" i="6"/>
  <c r="L72" i="6"/>
  <c r="I97" i="7"/>
  <c r="J97" i="7" s="1"/>
  <c r="E98" i="7"/>
  <c r="F97" i="7"/>
  <c r="H98" i="8"/>
  <c r="G99" i="8"/>
  <c r="E99" i="7" l="1"/>
  <c r="F98" i="7"/>
  <c r="I98" i="7" s="1"/>
  <c r="J98" i="7" s="1"/>
  <c r="N73" i="6"/>
  <c r="M74" i="6"/>
  <c r="K74" i="6"/>
  <c r="L73" i="6"/>
  <c r="F99" i="8"/>
  <c r="I99" i="8" s="1"/>
  <c r="J99" i="8" s="1"/>
  <c r="E100" i="8"/>
  <c r="H73" i="6"/>
  <c r="O73" i="6" s="1"/>
  <c r="P73" i="6" s="1"/>
  <c r="G74" i="6"/>
  <c r="I75" i="6"/>
  <c r="J74" i="6"/>
  <c r="G100" i="8"/>
  <c r="H99" i="8"/>
  <c r="G103" i="7"/>
  <c r="H102" i="7"/>
  <c r="F100" i="8" l="1"/>
  <c r="I100" i="8" s="1"/>
  <c r="J100" i="8" s="1"/>
  <c r="E101" i="8"/>
  <c r="H100" i="8"/>
  <c r="G101" i="8"/>
  <c r="I76" i="6"/>
  <c r="J75" i="6"/>
  <c r="G75" i="6"/>
  <c r="H74" i="6"/>
  <c r="O74" i="6" s="1"/>
  <c r="P74" i="6" s="1"/>
  <c r="L74" i="6"/>
  <c r="K75" i="6"/>
  <c r="N74" i="6"/>
  <c r="M75" i="6"/>
  <c r="G104" i="7"/>
  <c r="H103" i="7"/>
  <c r="F99" i="7"/>
  <c r="I99" i="7" s="1"/>
  <c r="J99" i="7" s="1"/>
  <c r="E100" i="7"/>
  <c r="G102" i="8" l="1"/>
  <c r="H101" i="8"/>
  <c r="G76" i="6"/>
  <c r="H75" i="6"/>
  <c r="O75" i="6" s="1"/>
  <c r="P75" i="6" s="1"/>
  <c r="E102" i="8"/>
  <c r="F101" i="8"/>
  <c r="I101" i="8" s="1"/>
  <c r="J101" i="8" s="1"/>
  <c r="G105" i="7"/>
  <c r="H104" i="7"/>
  <c r="N75" i="6"/>
  <c r="M76" i="6"/>
  <c r="L75" i="6"/>
  <c r="K76" i="6"/>
  <c r="I77" i="6"/>
  <c r="J76" i="6"/>
  <c r="E101" i="7"/>
  <c r="F100" i="7"/>
  <c r="I100" i="7" s="1"/>
  <c r="J100" i="7" s="1"/>
  <c r="J77" i="6" l="1"/>
  <c r="I78" i="6"/>
  <c r="M77" i="6"/>
  <c r="N76" i="6"/>
  <c r="G106" i="7"/>
  <c r="H105" i="7"/>
  <c r="K77" i="6"/>
  <c r="L76" i="6"/>
  <c r="G77" i="6"/>
  <c r="H76" i="6"/>
  <c r="O76" i="6" s="1"/>
  <c r="P76" i="6" s="1"/>
  <c r="F102" i="8"/>
  <c r="E103" i="8"/>
  <c r="I102" i="8"/>
  <c r="J102" i="8" s="1"/>
  <c r="E102" i="7"/>
  <c r="F101" i="7"/>
  <c r="I101" i="7" s="1"/>
  <c r="J101" i="7" s="1"/>
  <c r="H102" i="8"/>
  <c r="G103" i="8"/>
  <c r="F102" i="7" l="1"/>
  <c r="I102" i="7" s="1"/>
  <c r="J102" i="7" s="1"/>
  <c r="E103" i="7"/>
  <c r="E104" i="8"/>
  <c r="F103" i="8"/>
  <c r="I103" i="8" s="1"/>
  <c r="J103" i="8" s="1"/>
  <c r="H77" i="6"/>
  <c r="O77" i="6" s="1"/>
  <c r="P77" i="6" s="1"/>
  <c r="G78" i="6"/>
  <c r="K78" i="6"/>
  <c r="L77" i="6"/>
  <c r="G107" i="7"/>
  <c r="H106" i="7"/>
  <c r="G104" i="8"/>
  <c r="H103" i="8"/>
  <c r="N77" i="6"/>
  <c r="M78" i="6"/>
  <c r="I79" i="6"/>
  <c r="J78" i="6"/>
  <c r="G108" i="7" l="1"/>
  <c r="H107" i="7"/>
  <c r="H104" i="8"/>
  <c r="G105" i="8"/>
  <c r="G79" i="6"/>
  <c r="H78" i="6"/>
  <c r="O78" i="6" s="1"/>
  <c r="P78" i="6" s="1"/>
  <c r="L78" i="6"/>
  <c r="K79" i="6"/>
  <c r="E104" i="7"/>
  <c r="F103" i="7"/>
  <c r="I103" i="7" s="1"/>
  <c r="J103" i="7" s="1"/>
  <c r="F104" i="8"/>
  <c r="I104" i="8" s="1"/>
  <c r="J104" i="8" s="1"/>
  <c r="E105" i="8"/>
  <c r="J79" i="6"/>
  <c r="I80" i="6"/>
  <c r="N78" i="6"/>
  <c r="M79" i="6"/>
  <c r="K80" i="6" l="1"/>
  <c r="L79" i="6"/>
  <c r="E106" i="8"/>
  <c r="F105" i="8"/>
  <c r="I105" i="8" s="1"/>
  <c r="J105" i="8" s="1"/>
  <c r="O79" i="6"/>
  <c r="P79" i="6" s="1"/>
  <c r="H79" i="6"/>
  <c r="G80" i="6"/>
  <c r="F104" i="7"/>
  <c r="I104" i="7" s="1"/>
  <c r="J104" i="7" s="1"/>
  <c r="E105" i="7"/>
  <c r="G106" i="8"/>
  <c r="H105" i="8"/>
  <c r="M80" i="6"/>
  <c r="N79" i="6"/>
  <c r="J80" i="6"/>
  <c r="I81" i="6"/>
  <c r="G109" i="7"/>
  <c r="H108" i="7"/>
  <c r="M81" i="6" l="1"/>
  <c r="N80" i="6"/>
  <c r="G81" i="6"/>
  <c r="H80" i="6"/>
  <c r="O80" i="6" s="1"/>
  <c r="P80" i="6" s="1"/>
  <c r="E106" i="7"/>
  <c r="F105" i="7"/>
  <c r="I105" i="7" s="1"/>
  <c r="J105" i="7" s="1"/>
  <c r="H106" i="8"/>
  <c r="G107" i="8"/>
  <c r="F106" i="8"/>
  <c r="I106" i="8" s="1"/>
  <c r="J106" i="8" s="1"/>
  <c r="E107" i="8"/>
  <c r="G110" i="7"/>
  <c r="H109" i="7"/>
  <c r="I82" i="6"/>
  <c r="J81" i="6"/>
  <c r="L80" i="6"/>
  <c r="K81" i="6"/>
  <c r="I83" i="6" l="1"/>
  <c r="J82" i="6"/>
  <c r="H110" i="7"/>
  <c r="G111" i="7"/>
  <c r="F107" i="8"/>
  <c r="I107" i="8" s="1"/>
  <c r="J107" i="8" s="1"/>
  <c r="E108" i="8"/>
  <c r="G108" i="8"/>
  <c r="H107" i="8"/>
  <c r="E107" i="7"/>
  <c r="F106" i="7"/>
  <c r="I106" i="7" s="1"/>
  <c r="J106" i="7" s="1"/>
  <c r="K82" i="6"/>
  <c r="L81" i="6"/>
  <c r="O81" i="6"/>
  <c r="P81" i="6" s="1"/>
  <c r="H81" i="6"/>
  <c r="G82" i="6"/>
  <c r="M82" i="6"/>
  <c r="N81" i="6"/>
  <c r="E108" i="7" l="1"/>
  <c r="F107" i="7"/>
  <c r="I107" i="7" s="1"/>
  <c r="J107" i="7" s="1"/>
  <c r="H108" i="8"/>
  <c r="G109" i="8"/>
  <c r="F108" i="8"/>
  <c r="I108" i="8" s="1"/>
  <c r="J108" i="8" s="1"/>
  <c r="E109" i="8"/>
  <c r="L82" i="6"/>
  <c r="K83" i="6"/>
  <c r="G112" i="7"/>
  <c r="H111" i="7"/>
  <c r="N82" i="6"/>
  <c r="M83" i="6"/>
  <c r="H82" i="6"/>
  <c r="O82" i="6" s="1"/>
  <c r="P82" i="6" s="1"/>
  <c r="G83" i="6"/>
  <c r="J83" i="6"/>
  <c r="I84" i="6"/>
  <c r="K84" i="6" l="1"/>
  <c r="L83" i="6"/>
  <c r="H112" i="7"/>
  <c r="G113" i="7"/>
  <c r="M84" i="6"/>
  <c r="N83" i="6"/>
  <c r="F109" i="8"/>
  <c r="I109" i="8" s="1"/>
  <c r="J109" i="8" s="1"/>
  <c r="E110" i="8"/>
  <c r="G110" i="8"/>
  <c r="H109" i="8"/>
  <c r="J84" i="6"/>
  <c r="I85" i="6"/>
  <c r="H83" i="6"/>
  <c r="O83" i="6" s="1"/>
  <c r="P83" i="6" s="1"/>
  <c r="G84" i="6"/>
  <c r="F108" i="7"/>
  <c r="E109" i="7"/>
  <c r="I108" i="7"/>
  <c r="J108" i="7" s="1"/>
  <c r="F110" i="8" l="1"/>
  <c r="E111" i="8"/>
  <c r="H110" i="8"/>
  <c r="I110" i="8" s="1"/>
  <c r="J110" i="8" s="1"/>
  <c r="G111" i="8"/>
  <c r="G85" i="6"/>
  <c r="H84" i="6"/>
  <c r="O84" i="6" s="1"/>
  <c r="P84" i="6" s="1"/>
  <c r="I86" i="6"/>
  <c r="J85" i="6"/>
  <c r="N84" i="6"/>
  <c r="M85" i="6"/>
  <c r="G114" i="7"/>
  <c r="H113" i="7"/>
  <c r="E110" i="7"/>
  <c r="F109" i="7"/>
  <c r="I109" i="7" s="1"/>
  <c r="J109" i="7" s="1"/>
  <c r="L84" i="6"/>
  <c r="K85" i="6"/>
  <c r="M86" i="6" l="1"/>
  <c r="N85" i="6"/>
  <c r="I87" i="6"/>
  <c r="J86" i="6"/>
  <c r="F110" i="7"/>
  <c r="I110" i="7" s="1"/>
  <c r="J110" i="7" s="1"/>
  <c r="E111" i="7"/>
  <c r="H114" i="7"/>
  <c r="G115" i="7"/>
  <c r="G86" i="6"/>
  <c r="H85" i="6"/>
  <c r="O85" i="6" s="1"/>
  <c r="P85" i="6" s="1"/>
  <c r="G112" i="8"/>
  <c r="H111" i="8"/>
  <c r="K86" i="6"/>
  <c r="L85" i="6"/>
  <c r="F111" i="8"/>
  <c r="I111" i="8" s="1"/>
  <c r="J111" i="8" s="1"/>
  <c r="E112" i="8"/>
  <c r="H112" i="8" l="1"/>
  <c r="G113" i="8"/>
  <c r="K87" i="6"/>
  <c r="L86" i="6"/>
  <c r="O86" i="6" s="1"/>
  <c r="P86" i="6" s="1"/>
  <c r="H86" i="6"/>
  <c r="G87" i="6"/>
  <c r="G116" i="7"/>
  <c r="H115" i="7"/>
  <c r="E112" i="7"/>
  <c r="F111" i="7"/>
  <c r="I111" i="7" s="1"/>
  <c r="J111" i="7" s="1"/>
  <c r="F112" i="8"/>
  <c r="I112" i="8" s="1"/>
  <c r="J112" i="8" s="1"/>
  <c r="E113" i="8"/>
  <c r="I88" i="6"/>
  <c r="J87" i="6"/>
  <c r="M87" i="6"/>
  <c r="N86" i="6"/>
  <c r="J88" i="6" l="1"/>
  <c r="I89" i="6"/>
  <c r="G117" i="7"/>
  <c r="H116" i="7"/>
  <c r="L87" i="6"/>
  <c r="K88" i="6"/>
  <c r="E114" i="8"/>
  <c r="F113" i="8"/>
  <c r="I113" i="8" s="1"/>
  <c r="J113" i="8" s="1"/>
  <c r="N87" i="6"/>
  <c r="M88" i="6"/>
  <c r="G114" i="8"/>
  <c r="H113" i="8"/>
  <c r="F112" i="7"/>
  <c r="I112" i="7" s="1"/>
  <c r="J112" i="7" s="1"/>
  <c r="E113" i="7"/>
  <c r="G88" i="6"/>
  <c r="H87" i="6"/>
  <c r="O87" i="6" s="1"/>
  <c r="P87" i="6" s="1"/>
  <c r="E114" i="7" l="1"/>
  <c r="F113" i="7"/>
  <c r="I113" i="7" s="1"/>
  <c r="J113" i="7" s="1"/>
  <c r="H114" i="8"/>
  <c r="G115" i="8"/>
  <c r="N88" i="6"/>
  <c r="M89" i="6"/>
  <c r="F114" i="8"/>
  <c r="I114" i="8" s="1"/>
  <c r="J114" i="8" s="1"/>
  <c r="E115" i="8"/>
  <c r="K89" i="6"/>
  <c r="L88" i="6"/>
  <c r="G118" i="7"/>
  <c r="H117" i="7"/>
  <c r="G89" i="6"/>
  <c r="H88" i="6"/>
  <c r="O88" i="6" s="1"/>
  <c r="P88" i="6" s="1"/>
  <c r="I90" i="6"/>
  <c r="J89" i="6"/>
  <c r="G90" i="6" l="1"/>
  <c r="H89" i="6"/>
  <c r="O89" i="6" s="1"/>
  <c r="P89" i="6" s="1"/>
  <c r="E116" i="8"/>
  <c r="F115" i="8"/>
  <c r="I115" i="8" s="1"/>
  <c r="J115" i="8" s="1"/>
  <c r="N89" i="6"/>
  <c r="M90" i="6"/>
  <c r="G116" i="8"/>
  <c r="H115" i="8"/>
  <c r="K90" i="6"/>
  <c r="L89" i="6"/>
  <c r="H118" i="7"/>
  <c r="G119" i="7"/>
  <c r="J90" i="6"/>
  <c r="I91" i="6"/>
  <c r="E115" i="7"/>
  <c r="F114" i="7"/>
  <c r="I114" i="7" s="1"/>
  <c r="J114" i="7" s="1"/>
  <c r="H116" i="8" l="1"/>
  <c r="G117" i="8"/>
  <c r="G120" i="7"/>
  <c r="H119" i="7"/>
  <c r="L90" i="6"/>
  <c r="K91" i="6"/>
  <c r="M91" i="6"/>
  <c r="N90" i="6"/>
  <c r="J91" i="6"/>
  <c r="I92" i="6"/>
  <c r="F116" i="8"/>
  <c r="I116" i="8" s="1"/>
  <c r="J116" i="8" s="1"/>
  <c r="E117" i="8"/>
  <c r="F115" i="7"/>
  <c r="I115" i="7" s="1"/>
  <c r="J115" i="7" s="1"/>
  <c r="E116" i="7"/>
  <c r="G91" i="6"/>
  <c r="H90" i="6"/>
  <c r="O90" i="6" s="1"/>
  <c r="P90" i="6" s="1"/>
  <c r="I93" i="6" l="1"/>
  <c r="J92" i="6"/>
  <c r="N91" i="6"/>
  <c r="M92" i="6"/>
  <c r="F116" i="7"/>
  <c r="I116" i="7" s="1"/>
  <c r="J116" i="7" s="1"/>
  <c r="E117" i="7"/>
  <c r="H120" i="7"/>
  <c r="G121" i="7"/>
  <c r="G118" i="8"/>
  <c r="H117" i="8"/>
  <c r="F117" i="8"/>
  <c r="E118" i="8"/>
  <c r="I117" i="8"/>
  <c r="J117" i="8" s="1"/>
  <c r="L91" i="6"/>
  <c r="K92" i="6"/>
  <c r="H91" i="6"/>
  <c r="O91" i="6" s="1"/>
  <c r="P91" i="6" s="1"/>
  <c r="G92" i="6"/>
  <c r="K93" i="6" l="1"/>
  <c r="L92" i="6"/>
  <c r="H118" i="8"/>
  <c r="G119" i="8"/>
  <c r="F118" i="8"/>
  <c r="I118" i="8" s="1"/>
  <c r="J118" i="8" s="1"/>
  <c r="E119" i="8"/>
  <c r="G122" i="7"/>
  <c r="H121" i="7"/>
  <c r="E118" i="7"/>
  <c r="F117" i="7"/>
  <c r="I117" i="7" s="1"/>
  <c r="J117" i="7" s="1"/>
  <c r="M93" i="6"/>
  <c r="N92" i="6"/>
  <c r="G93" i="6"/>
  <c r="O92" i="6"/>
  <c r="P92" i="6" s="1"/>
  <c r="H92" i="6"/>
  <c r="J93" i="6"/>
  <c r="I94" i="6"/>
  <c r="E119" i="7" l="1"/>
  <c r="F118" i="7"/>
  <c r="I118" i="7" s="1"/>
  <c r="J118" i="7" s="1"/>
  <c r="H122" i="7"/>
  <c r="G123" i="7"/>
  <c r="F119" i="8"/>
  <c r="I119" i="8" s="1"/>
  <c r="J119" i="8" s="1"/>
  <c r="E120" i="8"/>
  <c r="G120" i="8"/>
  <c r="H119" i="8"/>
  <c r="H93" i="6"/>
  <c r="O93" i="6" s="1"/>
  <c r="P93" i="6" s="1"/>
  <c r="G94" i="6"/>
  <c r="J94" i="6"/>
  <c r="I95" i="6"/>
  <c r="M94" i="6"/>
  <c r="N93" i="6"/>
  <c r="K94" i="6"/>
  <c r="L93" i="6"/>
  <c r="J95" i="6" l="1"/>
  <c r="I96" i="6"/>
  <c r="H120" i="8"/>
  <c r="G121" i="8"/>
  <c r="F120" i="8"/>
  <c r="I120" i="8" s="1"/>
  <c r="J120" i="8" s="1"/>
  <c r="E121" i="8"/>
  <c r="G124" i="7"/>
  <c r="H123" i="7"/>
  <c r="N94" i="6"/>
  <c r="M95" i="6"/>
  <c r="G95" i="6"/>
  <c r="H94" i="6"/>
  <c r="O94" i="6" s="1"/>
  <c r="P94" i="6" s="1"/>
  <c r="K95" i="6"/>
  <c r="L94" i="6"/>
  <c r="E120" i="7"/>
  <c r="F119" i="7"/>
  <c r="I119" i="7" s="1"/>
  <c r="J119" i="7" s="1"/>
  <c r="K96" i="6" l="1"/>
  <c r="L95" i="6"/>
  <c r="G96" i="6"/>
  <c r="H95" i="6"/>
  <c r="O95" i="6" s="1"/>
  <c r="P95" i="6" s="1"/>
  <c r="M96" i="6"/>
  <c r="N95" i="6"/>
  <c r="G125" i="7"/>
  <c r="H124" i="7"/>
  <c r="F121" i="8"/>
  <c r="I121" i="8" s="1"/>
  <c r="J121" i="8" s="1"/>
  <c r="E122" i="8"/>
  <c r="G122" i="8"/>
  <c r="H121" i="8"/>
  <c r="I97" i="6"/>
  <c r="J96" i="6"/>
  <c r="E121" i="7"/>
  <c r="F120" i="7"/>
  <c r="I120" i="7" s="1"/>
  <c r="J120" i="7" s="1"/>
  <c r="H122" i="8" l="1"/>
  <c r="G123" i="8"/>
  <c r="F122" i="8"/>
  <c r="I122" i="8" s="1"/>
  <c r="J122" i="8" s="1"/>
  <c r="E123" i="8"/>
  <c r="G126" i="7"/>
  <c r="H125" i="7"/>
  <c r="G97" i="6"/>
  <c r="H96" i="6"/>
  <c r="O96" i="6" s="1"/>
  <c r="P96" i="6" s="1"/>
  <c r="I98" i="6"/>
  <c r="J97" i="6"/>
  <c r="M97" i="6"/>
  <c r="N96" i="6"/>
  <c r="F121" i="7"/>
  <c r="I121" i="7" s="1"/>
  <c r="J121" i="7" s="1"/>
  <c r="E122" i="7"/>
  <c r="K97" i="6"/>
  <c r="L96" i="6"/>
  <c r="H97" i="6" l="1"/>
  <c r="O97" i="6" s="1"/>
  <c r="P97" i="6" s="1"/>
  <c r="G98" i="6"/>
  <c r="G127" i="7"/>
  <c r="H126" i="7"/>
  <c r="J98" i="6"/>
  <c r="I99" i="6"/>
  <c r="F123" i="8"/>
  <c r="I123" i="8" s="1"/>
  <c r="J123" i="8" s="1"/>
  <c r="E124" i="8"/>
  <c r="K98" i="6"/>
  <c r="L97" i="6"/>
  <c r="G124" i="8"/>
  <c r="H123" i="8"/>
  <c r="M98" i="6"/>
  <c r="N97" i="6"/>
  <c r="E123" i="7"/>
  <c r="F122" i="7"/>
  <c r="I122" i="7" s="1"/>
  <c r="J122" i="7" s="1"/>
  <c r="F124" i="8" l="1"/>
  <c r="I124" i="8" s="1"/>
  <c r="J124" i="8" s="1"/>
  <c r="E125" i="8"/>
  <c r="H124" i="8"/>
  <c r="G125" i="8"/>
  <c r="N98" i="6"/>
  <c r="M99" i="6"/>
  <c r="I100" i="6"/>
  <c r="J99" i="6"/>
  <c r="L98" i="6"/>
  <c r="K99" i="6"/>
  <c r="G128" i="7"/>
  <c r="H127" i="7"/>
  <c r="G99" i="6"/>
  <c r="H98" i="6"/>
  <c r="O98" i="6" s="1"/>
  <c r="P98" i="6" s="1"/>
  <c r="F123" i="7"/>
  <c r="I123" i="7" s="1"/>
  <c r="J123" i="7" s="1"/>
  <c r="E124" i="7"/>
  <c r="G100" i="6" l="1"/>
  <c r="H99" i="6"/>
  <c r="O99" i="6" s="1"/>
  <c r="P99" i="6" s="1"/>
  <c r="K100" i="6"/>
  <c r="L99" i="6"/>
  <c r="J100" i="6"/>
  <c r="I101" i="6"/>
  <c r="M100" i="6"/>
  <c r="N99" i="6"/>
  <c r="G129" i="7"/>
  <c r="H128" i="7"/>
  <c r="G126" i="8"/>
  <c r="H125" i="8"/>
  <c r="E125" i="7"/>
  <c r="F124" i="7"/>
  <c r="I124" i="7" s="1"/>
  <c r="J124" i="7" s="1"/>
  <c r="F125" i="8"/>
  <c r="I125" i="8" s="1"/>
  <c r="J125" i="8" s="1"/>
  <c r="E126" i="8"/>
  <c r="H126" i="8" l="1"/>
  <c r="G127" i="8"/>
  <c r="G130" i="7"/>
  <c r="H129" i="7"/>
  <c r="N100" i="6"/>
  <c r="M101" i="6"/>
  <c r="I102" i="6"/>
  <c r="J101" i="6"/>
  <c r="L100" i="6"/>
  <c r="K101" i="6"/>
  <c r="F125" i="7"/>
  <c r="I125" i="7"/>
  <c r="J125" i="7" s="1"/>
  <c r="E126" i="7"/>
  <c r="F126" i="8"/>
  <c r="E127" i="8"/>
  <c r="I126" i="8"/>
  <c r="J126" i="8" s="1"/>
  <c r="G101" i="6"/>
  <c r="H100" i="6"/>
  <c r="O100" i="6" s="1"/>
  <c r="P100" i="6" s="1"/>
  <c r="F127" i="8" l="1"/>
  <c r="E128" i="8"/>
  <c r="E127" i="7"/>
  <c r="I126" i="7"/>
  <c r="J126" i="7" s="1"/>
  <c r="F126" i="7"/>
  <c r="I103" i="6"/>
  <c r="J102" i="6"/>
  <c r="K102" i="6"/>
  <c r="L101" i="6"/>
  <c r="N101" i="6"/>
  <c r="M102" i="6"/>
  <c r="G131" i="7"/>
  <c r="H130" i="7"/>
  <c r="G128" i="8"/>
  <c r="H127" i="8"/>
  <c r="I127" i="8" s="1"/>
  <c r="J127" i="8" s="1"/>
  <c r="G102" i="6"/>
  <c r="H101" i="6"/>
  <c r="O101" i="6" s="1"/>
  <c r="P101" i="6" s="1"/>
  <c r="G132" i="7" l="1"/>
  <c r="H131" i="7"/>
  <c r="L102" i="6"/>
  <c r="K103" i="6"/>
  <c r="I104" i="6"/>
  <c r="J103" i="6"/>
  <c r="N102" i="6"/>
  <c r="M103" i="6"/>
  <c r="F127" i="7"/>
  <c r="E128" i="7"/>
  <c r="I127" i="7"/>
  <c r="J127" i="7" s="1"/>
  <c r="G103" i="6"/>
  <c r="H102" i="6"/>
  <c r="O102" i="6"/>
  <c r="P102" i="6" s="1"/>
  <c r="F128" i="8"/>
  <c r="I128" i="8" s="1"/>
  <c r="J128" i="8" s="1"/>
  <c r="E129" i="8"/>
  <c r="H128" i="8"/>
  <c r="G129" i="8"/>
  <c r="M104" i="6" l="1"/>
  <c r="N103" i="6"/>
  <c r="H103" i="6"/>
  <c r="O103" i="6" s="1"/>
  <c r="P103" i="6" s="1"/>
  <c r="G104" i="6"/>
  <c r="E129" i="7"/>
  <c r="F128" i="7"/>
  <c r="I128" i="7" s="1"/>
  <c r="J128" i="7" s="1"/>
  <c r="J104" i="6"/>
  <c r="I105" i="6"/>
  <c r="K104" i="6"/>
  <c r="L103" i="6"/>
  <c r="G130" i="8"/>
  <c r="H129" i="8"/>
  <c r="F129" i="8"/>
  <c r="I129" i="8" s="1"/>
  <c r="J129" i="8" s="1"/>
  <c r="E130" i="8"/>
  <c r="G133" i="7"/>
  <c r="H132" i="7"/>
  <c r="F130" i="8" l="1"/>
  <c r="I130" i="8" s="1"/>
  <c r="J130" i="8" s="1"/>
  <c r="E131" i="8"/>
  <c r="I106" i="6"/>
  <c r="J105" i="6"/>
  <c r="E130" i="7"/>
  <c r="F129" i="7"/>
  <c r="I129" i="7" s="1"/>
  <c r="J129" i="7" s="1"/>
  <c r="L104" i="6"/>
  <c r="K105" i="6"/>
  <c r="G105" i="6"/>
  <c r="H104" i="6"/>
  <c r="O104" i="6" s="1"/>
  <c r="P104" i="6" s="1"/>
  <c r="H130" i="8"/>
  <c r="G131" i="8"/>
  <c r="G134" i="7"/>
  <c r="H133" i="7"/>
  <c r="N104" i="6"/>
  <c r="M105" i="6"/>
  <c r="H134" i="7" l="1"/>
  <c r="G135" i="7"/>
  <c r="K106" i="6"/>
  <c r="L105" i="6"/>
  <c r="G132" i="8"/>
  <c r="H131" i="8"/>
  <c r="G106" i="6"/>
  <c r="H105" i="6"/>
  <c r="O105" i="6" s="1"/>
  <c r="P105" i="6" s="1"/>
  <c r="E131" i="7"/>
  <c r="F130" i="7"/>
  <c r="I130" i="7" s="1"/>
  <c r="J130" i="7" s="1"/>
  <c r="I107" i="6"/>
  <c r="J106" i="6"/>
  <c r="N105" i="6"/>
  <c r="M106" i="6"/>
  <c r="F131" i="8"/>
  <c r="I131" i="8" s="1"/>
  <c r="J131" i="8" s="1"/>
  <c r="E132" i="8"/>
  <c r="F131" i="7" l="1"/>
  <c r="I131" i="7" s="1"/>
  <c r="J131" i="7" s="1"/>
  <c r="E132" i="7"/>
  <c r="M107" i="6"/>
  <c r="N106" i="6"/>
  <c r="J107" i="6"/>
  <c r="I108" i="6"/>
  <c r="H106" i="6"/>
  <c r="G107" i="6"/>
  <c r="H132" i="8"/>
  <c r="G133" i="8"/>
  <c r="F132" i="8"/>
  <c r="I132" i="8" s="1"/>
  <c r="J132" i="8" s="1"/>
  <c r="E133" i="8"/>
  <c r="K107" i="6"/>
  <c r="L106" i="6"/>
  <c r="O106" i="6" s="1"/>
  <c r="P106" i="6" s="1"/>
  <c r="G136" i="7"/>
  <c r="H135" i="7"/>
  <c r="H107" i="6" l="1"/>
  <c r="O107" i="6" s="1"/>
  <c r="P107" i="6" s="1"/>
  <c r="G108" i="6"/>
  <c r="I109" i="6"/>
  <c r="J108" i="6"/>
  <c r="F133" i="8"/>
  <c r="I133" i="8" s="1"/>
  <c r="J133" i="8" s="1"/>
  <c r="E134" i="8"/>
  <c r="G134" i="8"/>
  <c r="H133" i="8"/>
  <c r="M108" i="6"/>
  <c r="N107" i="6"/>
  <c r="E133" i="7"/>
  <c r="F132" i="7"/>
  <c r="I132" i="7" s="1"/>
  <c r="J132" i="7" s="1"/>
  <c r="H136" i="7"/>
  <c r="G137" i="7"/>
  <c r="L107" i="6"/>
  <c r="K108" i="6"/>
  <c r="M109" i="6" l="1"/>
  <c r="N108" i="6"/>
  <c r="H134" i="8"/>
  <c r="G135" i="8"/>
  <c r="F134" i="8"/>
  <c r="I134" i="8" s="1"/>
  <c r="J134" i="8" s="1"/>
  <c r="E135" i="8"/>
  <c r="F133" i="7"/>
  <c r="I133" i="7" s="1"/>
  <c r="J133" i="7" s="1"/>
  <c r="E134" i="7"/>
  <c r="I110" i="6"/>
  <c r="J109" i="6"/>
  <c r="K109" i="6"/>
  <c r="L108" i="6"/>
  <c r="G109" i="6"/>
  <c r="O108" i="6"/>
  <c r="P108" i="6" s="1"/>
  <c r="H108" i="6"/>
  <c r="G138" i="7"/>
  <c r="H137" i="7"/>
  <c r="J110" i="6" l="1"/>
  <c r="I111" i="6"/>
  <c r="F134" i="7"/>
  <c r="I134" i="7" s="1"/>
  <c r="J134" i="7" s="1"/>
  <c r="E135" i="7"/>
  <c r="F135" i="8"/>
  <c r="I135" i="8" s="1"/>
  <c r="J135" i="8" s="1"/>
  <c r="E136" i="8"/>
  <c r="K110" i="6"/>
  <c r="L109" i="6"/>
  <c r="G136" i="8"/>
  <c r="H135" i="8"/>
  <c r="H109" i="6"/>
  <c r="O109" i="6" s="1"/>
  <c r="P109" i="6" s="1"/>
  <c r="G110" i="6"/>
  <c r="H138" i="7"/>
  <c r="G139" i="7"/>
  <c r="N109" i="6"/>
  <c r="M110" i="6"/>
  <c r="H110" i="6" l="1"/>
  <c r="O110" i="6" s="1"/>
  <c r="P110" i="6" s="1"/>
  <c r="G111" i="6"/>
  <c r="H136" i="8"/>
  <c r="I136" i="8" s="1"/>
  <c r="J136" i="8" s="1"/>
  <c r="G137" i="8"/>
  <c r="K111" i="6"/>
  <c r="L110" i="6"/>
  <c r="F136" i="8"/>
  <c r="E137" i="8"/>
  <c r="E136" i="7"/>
  <c r="F135" i="7"/>
  <c r="I135" i="7" s="1"/>
  <c r="J135" i="7" s="1"/>
  <c r="M111" i="6"/>
  <c r="N110" i="6"/>
  <c r="J111" i="6"/>
  <c r="I112" i="6"/>
  <c r="G140" i="7"/>
  <c r="H139" i="7"/>
  <c r="F137" i="8" l="1"/>
  <c r="I137" i="8" s="1"/>
  <c r="J137" i="8" s="1"/>
  <c r="E138" i="8"/>
  <c r="F136" i="7"/>
  <c r="I136" i="7" s="1"/>
  <c r="J136" i="7" s="1"/>
  <c r="E137" i="7"/>
  <c r="N111" i="6"/>
  <c r="M112" i="6"/>
  <c r="G138" i="8"/>
  <c r="H137" i="8"/>
  <c r="L111" i="6"/>
  <c r="K112" i="6"/>
  <c r="H111" i="6"/>
  <c r="O111" i="6" s="1"/>
  <c r="P111" i="6" s="1"/>
  <c r="G112" i="6"/>
  <c r="G141" i="7"/>
  <c r="H140" i="7"/>
  <c r="I113" i="6"/>
  <c r="J112" i="6"/>
  <c r="G142" i="7" l="1"/>
  <c r="H141" i="7"/>
  <c r="K113" i="6"/>
  <c r="L112" i="6"/>
  <c r="H138" i="8"/>
  <c r="G139" i="8"/>
  <c r="M113" i="6"/>
  <c r="N112" i="6"/>
  <c r="G113" i="6"/>
  <c r="H112" i="6"/>
  <c r="O112" i="6" s="1"/>
  <c r="P112" i="6" s="1"/>
  <c r="E138" i="7"/>
  <c r="F137" i="7"/>
  <c r="I137" i="7" s="1"/>
  <c r="J137" i="7" s="1"/>
  <c r="F138" i="8"/>
  <c r="I138" i="8" s="1"/>
  <c r="J138" i="8" s="1"/>
  <c r="E139" i="8"/>
  <c r="J113" i="6"/>
  <c r="I114" i="6"/>
  <c r="F138" i="7" l="1"/>
  <c r="I138" i="7" s="1"/>
  <c r="J138" i="7" s="1"/>
  <c r="E139" i="7"/>
  <c r="H113" i="6"/>
  <c r="O113" i="6" s="1"/>
  <c r="P113" i="6" s="1"/>
  <c r="G114" i="6"/>
  <c r="M114" i="6"/>
  <c r="N113" i="6"/>
  <c r="G140" i="8"/>
  <c r="H139" i="8"/>
  <c r="I115" i="6"/>
  <c r="J114" i="6"/>
  <c r="K114" i="6"/>
  <c r="L113" i="6"/>
  <c r="F139" i="8"/>
  <c r="I139" i="8" s="1"/>
  <c r="J139" i="8" s="1"/>
  <c r="E140" i="8"/>
  <c r="H142" i="7"/>
  <c r="G143" i="7"/>
  <c r="F140" i="8" l="1"/>
  <c r="I140" i="8" s="1"/>
  <c r="J140" i="8" s="1"/>
  <c r="E141" i="8"/>
  <c r="L114" i="6"/>
  <c r="K115" i="6"/>
  <c r="N114" i="6"/>
  <c r="M115" i="6"/>
  <c r="H140" i="8"/>
  <c r="G141" i="8"/>
  <c r="G115" i="6"/>
  <c r="H114" i="6"/>
  <c r="O114" i="6" s="1"/>
  <c r="P114" i="6" s="1"/>
  <c r="G144" i="7"/>
  <c r="H143" i="7"/>
  <c r="E140" i="7"/>
  <c r="F139" i="7"/>
  <c r="I139" i="7" s="1"/>
  <c r="J139" i="7" s="1"/>
  <c r="J115" i="6"/>
  <c r="I116" i="6"/>
  <c r="F140" i="7" l="1"/>
  <c r="I140" i="7" s="1"/>
  <c r="J140" i="7" s="1"/>
  <c r="E141" i="7"/>
  <c r="G116" i="6"/>
  <c r="H115" i="6"/>
  <c r="O115" i="6" s="1"/>
  <c r="P115" i="6" s="1"/>
  <c r="G142" i="8"/>
  <c r="H141" i="8"/>
  <c r="H144" i="7"/>
  <c r="G145" i="7"/>
  <c r="N115" i="6"/>
  <c r="M116" i="6"/>
  <c r="K116" i="6"/>
  <c r="L115" i="6"/>
  <c r="I117" i="6"/>
  <c r="J116" i="6"/>
  <c r="F141" i="8"/>
  <c r="I141" i="8" s="1"/>
  <c r="J141" i="8" s="1"/>
  <c r="E142" i="8"/>
  <c r="J117" i="6" l="1"/>
  <c r="I118" i="6"/>
  <c r="H142" i="8"/>
  <c r="G143" i="8"/>
  <c r="K117" i="6"/>
  <c r="L116" i="6"/>
  <c r="G117" i="6"/>
  <c r="H116" i="6"/>
  <c r="O116" i="6" s="1"/>
  <c r="P116" i="6" s="1"/>
  <c r="G146" i="7"/>
  <c r="H145" i="7"/>
  <c r="M117" i="6"/>
  <c r="N116" i="6"/>
  <c r="F142" i="8"/>
  <c r="I142" i="8" s="1"/>
  <c r="J142" i="8" s="1"/>
  <c r="E143" i="8"/>
  <c r="E142" i="7"/>
  <c r="F141" i="7"/>
  <c r="I141" i="7" s="1"/>
  <c r="J141" i="7" s="1"/>
  <c r="F143" i="8" l="1"/>
  <c r="I143" i="8" s="1"/>
  <c r="J143" i="8" s="1"/>
  <c r="E144" i="8"/>
  <c r="H146" i="7"/>
  <c r="G147" i="7"/>
  <c r="H117" i="6"/>
  <c r="O117" i="6" s="1"/>
  <c r="P117" i="6" s="1"/>
  <c r="G118" i="6"/>
  <c r="M118" i="6"/>
  <c r="N117" i="6"/>
  <c r="K118" i="6"/>
  <c r="L117" i="6"/>
  <c r="G144" i="8"/>
  <c r="H143" i="8"/>
  <c r="I119" i="6"/>
  <c r="J118" i="6"/>
  <c r="F142" i="7"/>
  <c r="I142" i="7" s="1"/>
  <c r="J142" i="7" s="1"/>
  <c r="E143" i="7"/>
  <c r="L118" i="6" l="1"/>
  <c r="K119" i="6"/>
  <c r="H144" i="8"/>
  <c r="G145" i="8"/>
  <c r="N118" i="6"/>
  <c r="M119" i="6"/>
  <c r="G119" i="6"/>
  <c r="H118" i="6"/>
  <c r="O118" i="6" s="1"/>
  <c r="P118" i="6" s="1"/>
  <c r="G148" i="7"/>
  <c r="H147" i="7"/>
  <c r="I120" i="6"/>
  <c r="J119" i="6"/>
  <c r="F144" i="8"/>
  <c r="I144" i="8" s="1"/>
  <c r="J144" i="8" s="1"/>
  <c r="E145" i="8"/>
  <c r="F143" i="7"/>
  <c r="I143" i="7" s="1"/>
  <c r="J143" i="7" s="1"/>
  <c r="E144" i="7"/>
  <c r="G149" i="7" l="1"/>
  <c r="H148" i="7"/>
  <c r="H119" i="6"/>
  <c r="O119" i="6" s="1"/>
  <c r="P119" i="6" s="1"/>
  <c r="G120" i="6"/>
  <c r="F145" i="8"/>
  <c r="I145" i="8" s="1"/>
  <c r="J145" i="8" s="1"/>
  <c r="E146" i="8"/>
  <c r="J120" i="6"/>
  <c r="I121" i="6"/>
  <c r="M120" i="6"/>
  <c r="N119" i="6"/>
  <c r="G146" i="8"/>
  <c r="H145" i="8"/>
  <c r="F144" i="7"/>
  <c r="I144" i="7" s="1"/>
  <c r="J144" i="7" s="1"/>
  <c r="E145" i="7"/>
  <c r="K120" i="6"/>
  <c r="L119" i="6"/>
  <c r="M121" i="6" l="1"/>
  <c r="N120" i="6"/>
  <c r="I122" i="6"/>
  <c r="J121" i="6"/>
  <c r="F146" i="8"/>
  <c r="I146" i="8" s="1"/>
  <c r="J146" i="8" s="1"/>
  <c r="E147" i="8"/>
  <c r="G121" i="6"/>
  <c r="H120" i="6"/>
  <c r="O120" i="6" s="1"/>
  <c r="P120" i="6" s="1"/>
  <c r="H146" i="8"/>
  <c r="G147" i="8"/>
  <c r="K121" i="6"/>
  <c r="L120" i="6"/>
  <c r="E146" i="7"/>
  <c r="F145" i="7"/>
  <c r="I145" i="7" s="1"/>
  <c r="J145" i="7" s="1"/>
  <c r="G150" i="7"/>
  <c r="H149" i="7"/>
  <c r="K122" i="6" l="1"/>
  <c r="L121" i="6"/>
  <c r="H121" i="6"/>
  <c r="O121" i="6" s="1"/>
  <c r="P121" i="6" s="1"/>
  <c r="G122" i="6"/>
  <c r="H150" i="7"/>
  <c r="G151" i="7"/>
  <c r="F146" i="7"/>
  <c r="I146" i="7" s="1"/>
  <c r="J146" i="7" s="1"/>
  <c r="E147" i="7"/>
  <c r="G148" i="8"/>
  <c r="H147" i="8"/>
  <c r="F147" i="8"/>
  <c r="E148" i="8"/>
  <c r="I147" i="8"/>
  <c r="J147" i="8" s="1"/>
  <c r="I123" i="6"/>
  <c r="J122" i="6"/>
  <c r="N121" i="6"/>
  <c r="M122" i="6"/>
  <c r="H148" i="8" l="1"/>
  <c r="G149" i="8"/>
  <c r="F147" i="7"/>
  <c r="I147" i="7" s="1"/>
  <c r="J147" i="7" s="1"/>
  <c r="E148" i="7"/>
  <c r="I124" i="6"/>
  <c r="J123" i="6"/>
  <c r="G152" i="7"/>
  <c r="H151" i="7"/>
  <c r="G123" i="6"/>
  <c r="H122" i="6"/>
  <c r="O122" i="6" s="1"/>
  <c r="P122" i="6" s="1"/>
  <c r="F148" i="8"/>
  <c r="E149" i="8"/>
  <c r="I148" i="8"/>
  <c r="J148" i="8" s="1"/>
  <c r="N122" i="6"/>
  <c r="M123" i="6"/>
  <c r="L122" i="6"/>
  <c r="K123" i="6"/>
  <c r="F149" i="8" l="1"/>
  <c r="E150" i="8"/>
  <c r="G153" i="7"/>
  <c r="H152" i="7"/>
  <c r="H123" i="6"/>
  <c r="O123" i="6" s="1"/>
  <c r="P123" i="6" s="1"/>
  <c r="G124" i="6"/>
  <c r="J124" i="6"/>
  <c r="I125" i="6"/>
  <c r="F148" i="7"/>
  <c r="I148" i="7" s="1"/>
  <c r="J148" i="7" s="1"/>
  <c r="E149" i="7"/>
  <c r="G150" i="8"/>
  <c r="H149" i="8"/>
  <c r="I149" i="8" s="1"/>
  <c r="J149" i="8" s="1"/>
  <c r="L123" i="6"/>
  <c r="K124" i="6"/>
  <c r="M124" i="6"/>
  <c r="N123" i="6"/>
  <c r="F149" i="7" l="1"/>
  <c r="I149" i="7" s="1"/>
  <c r="J149" i="7" s="1"/>
  <c r="E150" i="7"/>
  <c r="I126" i="6"/>
  <c r="J125" i="6"/>
  <c r="G125" i="6"/>
  <c r="H124" i="6"/>
  <c r="O124" i="6" s="1"/>
  <c r="P124" i="6" s="1"/>
  <c r="G154" i="7"/>
  <c r="H153" i="7"/>
  <c r="N124" i="6"/>
  <c r="M125" i="6"/>
  <c r="F150" i="8"/>
  <c r="I150" i="8" s="1"/>
  <c r="J150" i="8" s="1"/>
  <c r="E151" i="8"/>
  <c r="H150" i="8"/>
  <c r="G151" i="8"/>
  <c r="L124" i="6"/>
  <c r="K125" i="6"/>
  <c r="G155" i="7" l="1"/>
  <c r="H154" i="7"/>
  <c r="F151" i="8"/>
  <c r="I151" i="8" s="1"/>
  <c r="J151" i="8" s="1"/>
  <c r="E152" i="8"/>
  <c r="M126" i="6"/>
  <c r="N125" i="6"/>
  <c r="G126" i="6"/>
  <c r="H125" i="6"/>
  <c r="O125" i="6" s="1"/>
  <c r="P125" i="6" s="1"/>
  <c r="J126" i="6"/>
  <c r="I127" i="6"/>
  <c r="K126" i="6"/>
  <c r="L125" i="6"/>
  <c r="F150" i="7"/>
  <c r="I150" i="7" s="1"/>
  <c r="J150" i="7" s="1"/>
  <c r="E151" i="7"/>
  <c r="G152" i="8"/>
  <c r="H151" i="8"/>
  <c r="J127" i="6" l="1"/>
  <c r="I128" i="6"/>
  <c r="H126" i="6"/>
  <c r="G127" i="6"/>
  <c r="F152" i="8"/>
  <c r="E153" i="8"/>
  <c r="E152" i="7"/>
  <c r="F151" i="7"/>
  <c r="I151" i="7" s="1"/>
  <c r="J151" i="7" s="1"/>
  <c r="L126" i="6"/>
  <c r="O126" i="6" s="1"/>
  <c r="P126" i="6" s="1"/>
  <c r="K127" i="6"/>
  <c r="M127" i="6"/>
  <c r="N126" i="6"/>
  <c r="H152" i="8"/>
  <c r="I152" i="8" s="1"/>
  <c r="J152" i="8" s="1"/>
  <c r="G153" i="8"/>
  <c r="G156" i="7"/>
  <c r="H155" i="7"/>
  <c r="N127" i="6" l="1"/>
  <c r="M128" i="6"/>
  <c r="F153" i="8"/>
  <c r="I153" i="8" s="1"/>
  <c r="J153" i="8" s="1"/>
  <c r="E154" i="8"/>
  <c r="L127" i="6"/>
  <c r="K128" i="6"/>
  <c r="H127" i="6"/>
  <c r="O127" i="6" s="1"/>
  <c r="P127" i="6" s="1"/>
  <c r="G128" i="6"/>
  <c r="F152" i="7"/>
  <c r="I152" i="7" s="1"/>
  <c r="J152" i="7" s="1"/>
  <c r="E153" i="7"/>
  <c r="G157" i="7"/>
  <c r="H156" i="7"/>
  <c r="I129" i="6"/>
  <c r="J128" i="6"/>
  <c r="G154" i="8"/>
  <c r="H153" i="8"/>
  <c r="F153" i="7" l="1"/>
  <c r="I153" i="7" s="1"/>
  <c r="J153" i="7" s="1"/>
  <c r="E154" i="7"/>
  <c r="G129" i="6"/>
  <c r="H128" i="6"/>
  <c r="O128" i="6" s="1"/>
  <c r="P128" i="6" s="1"/>
  <c r="K129" i="6"/>
  <c r="L128" i="6"/>
  <c r="J129" i="6"/>
  <c r="I130" i="6"/>
  <c r="F154" i="8"/>
  <c r="I154" i="8" s="1"/>
  <c r="J154" i="8" s="1"/>
  <c r="E155" i="8"/>
  <c r="G158" i="7"/>
  <c r="H157" i="7"/>
  <c r="N128" i="6"/>
  <c r="M129" i="6"/>
  <c r="H154" i="8"/>
  <c r="G155" i="8"/>
  <c r="I131" i="6" l="1"/>
  <c r="J130" i="6"/>
  <c r="G159" i="7"/>
  <c r="H158" i="7"/>
  <c r="K130" i="6"/>
  <c r="L129" i="6"/>
  <c r="F155" i="8"/>
  <c r="E156" i="8"/>
  <c r="H129" i="6"/>
  <c r="O129" i="6" s="1"/>
  <c r="P129" i="6" s="1"/>
  <c r="G130" i="6"/>
  <c r="G156" i="8"/>
  <c r="H155" i="8"/>
  <c r="I155" i="8" s="1"/>
  <c r="J155" i="8" s="1"/>
  <c r="F154" i="7"/>
  <c r="I154" i="7" s="1"/>
  <c r="J154" i="7" s="1"/>
  <c r="E155" i="7"/>
  <c r="M130" i="6"/>
  <c r="N129" i="6"/>
  <c r="H156" i="8" l="1"/>
  <c r="G157" i="8"/>
  <c r="H130" i="6"/>
  <c r="G131" i="6"/>
  <c r="I156" i="8"/>
  <c r="J156" i="8" s="1"/>
  <c r="F156" i="8"/>
  <c r="E157" i="8"/>
  <c r="L130" i="6"/>
  <c r="O130" i="6" s="1"/>
  <c r="P130" i="6" s="1"/>
  <c r="K131" i="6"/>
  <c r="G160" i="7"/>
  <c r="H159" i="7"/>
  <c r="N130" i="6"/>
  <c r="M131" i="6"/>
  <c r="F155" i="7"/>
  <c r="I155" i="7" s="1"/>
  <c r="J155" i="7" s="1"/>
  <c r="E156" i="7"/>
  <c r="I132" i="6"/>
  <c r="J131" i="6"/>
  <c r="H160" i="7" l="1"/>
  <c r="G161" i="7"/>
  <c r="F157" i="8"/>
  <c r="E158" i="8"/>
  <c r="F156" i="7"/>
  <c r="I156" i="7" s="1"/>
  <c r="J156" i="7" s="1"/>
  <c r="E157" i="7"/>
  <c r="M132" i="6"/>
  <c r="N131" i="6"/>
  <c r="L131" i="6"/>
  <c r="K132" i="6"/>
  <c r="H131" i="6"/>
  <c r="O131" i="6" s="1"/>
  <c r="P131" i="6" s="1"/>
  <c r="G132" i="6"/>
  <c r="J132" i="6"/>
  <c r="I133" i="6"/>
  <c r="G158" i="8"/>
  <c r="H157" i="8"/>
  <c r="I157" i="8" s="1"/>
  <c r="J157" i="8" s="1"/>
  <c r="L132" i="6" l="1"/>
  <c r="K133" i="6"/>
  <c r="N132" i="6"/>
  <c r="M133" i="6"/>
  <c r="F157" i="7"/>
  <c r="I157" i="7" s="1"/>
  <c r="J157" i="7" s="1"/>
  <c r="E158" i="7"/>
  <c r="G133" i="6"/>
  <c r="H132" i="6"/>
  <c r="O132" i="6" s="1"/>
  <c r="P132" i="6" s="1"/>
  <c r="F158" i="8"/>
  <c r="I158" i="8" s="1"/>
  <c r="J158" i="8" s="1"/>
  <c r="E159" i="8"/>
  <c r="H158" i="8"/>
  <c r="G159" i="8"/>
  <c r="G162" i="7"/>
  <c r="H161" i="7"/>
  <c r="J133" i="6"/>
  <c r="I134" i="6"/>
  <c r="G160" i="8" l="1"/>
  <c r="H159" i="8"/>
  <c r="H133" i="6"/>
  <c r="O133" i="6" s="1"/>
  <c r="P133" i="6" s="1"/>
  <c r="G134" i="6"/>
  <c r="F159" i="8"/>
  <c r="I159" i="8" s="1"/>
  <c r="J159" i="8" s="1"/>
  <c r="E160" i="8"/>
  <c r="F158" i="7"/>
  <c r="E159" i="7"/>
  <c r="I158" i="7"/>
  <c r="J158" i="7" s="1"/>
  <c r="N133" i="6"/>
  <c r="M134" i="6"/>
  <c r="H162" i="7"/>
  <c r="G163" i="7"/>
  <c r="I135" i="6"/>
  <c r="J134" i="6"/>
  <c r="K134" i="6"/>
  <c r="L133" i="6"/>
  <c r="E160" i="7" l="1"/>
  <c r="F159" i="7"/>
  <c r="I159" i="7" s="1"/>
  <c r="J159" i="7" s="1"/>
  <c r="J135" i="6"/>
  <c r="I136" i="6"/>
  <c r="G164" i="7"/>
  <c r="H163" i="7"/>
  <c r="M135" i="6"/>
  <c r="N134" i="6"/>
  <c r="F160" i="8"/>
  <c r="I160" i="8" s="1"/>
  <c r="J160" i="8" s="1"/>
  <c r="E161" i="8"/>
  <c r="H134" i="6"/>
  <c r="O134" i="6" s="1"/>
  <c r="P134" i="6" s="1"/>
  <c r="G135" i="6"/>
  <c r="K135" i="6"/>
  <c r="L134" i="6"/>
  <c r="H160" i="8"/>
  <c r="G161" i="8"/>
  <c r="H135" i="6" l="1"/>
  <c r="O135" i="6" s="1"/>
  <c r="P135" i="6" s="1"/>
  <c r="G136" i="6"/>
  <c r="F161" i="8"/>
  <c r="I161" i="8" s="1"/>
  <c r="J161" i="8" s="1"/>
  <c r="E162" i="8"/>
  <c r="M136" i="6"/>
  <c r="N135" i="6"/>
  <c r="L135" i="6"/>
  <c r="K136" i="6"/>
  <c r="H164" i="7"/>
  <c r="G165" i="7"/>
  <c r="I137" i="6"/>
  <c r="J136" i="6"/>
  <c r="G162" i="8"/>
  <c r="H161" i="8"/>
  <c r="F160" i="7"/>
  <c r="I160" i="7"/>
  <c r="J160" i="7" s="1"/>
  <c r="E161" i="7"/>
  <c r="H162" i="8" l="1"/>
  <c r="G163" i="8"/>
  <c r="I138" i="6"/>
  <c r="J137" i="6"/>
  <c r="L136" i="6"/>
  <c r="K137" i="6"/>
  <c r="N136" i="6"/>
  <c r="M137" i="6"/>
  <c r="E163" i="8"/>
  <c r="F162" i="8"/>
  <c r="I162" i="8" s="1"/>
  <c r="J162" i="8" s="1"/>
  <c r="E162" i="7"/>
  <c r="I161" i="7"/>
  <c r="J161" i="7" s="1"/>
  <c r="F161" i="7"/>
  <c r="G137" i="6"/>
  <c r="H136" i="6"/>
  <c r="O136" i="6" s="1"/>
  <c r="P136" i="6" s="1"/>
  <c r="G166" i="7"/>
  <c r="H165" i="7"/>
  <c r="F163" i="8" l="1"/>
  <c r="E164" i="8"/>
  <c r="M138" i="6"/>
  <c r="N137" i="6"/>
  <c r="H137" i="6"/>
  <c r="O137" i="6" s="1"/>
  <c r="P137" i="6" s="1"/>
  <c r="G138" i="6"/>
  <c r="F162" i="7"/>
  <c r="I162" i="7" s="1"/>
  <c r="J162" i="7" s="1"/>
  <c r="E163" i="7"/>
  <c r="K138" i="6"/>
  <c r="L137" i="6"/>
  <c r="J138" i="6"/>
  <c r="I139" i="6"/>
  <c r="H166" i="7"/>
  <c r="G167" i="7"/>
  <c r="G164" i="8"/>
  <c r="H163" i="8"/>
  <c r="I163" i="8" s="1"/>
  <c r="J163" i="8" s="1"/>
  <c r="J139" i="6" l="1"/>
  <c r="I140" i="6"/>
  <c r="H138" i="6"/>
  <c r="O138" i="6" s="1"/>
  <c r="P138" i="6" s="1"/>
  <c r="G139" i="6"/>
  <c r="L138" i="6"/>
  <c r="K139" i="6"/>
  <c r="M139" i="6"/>
  <c r="N138" i="6"/>
  <c r="H164" i="8"/>
  <c r="G165" i="8"/>
  <c r="E165" i="8"/>
  <c r="I164" i="8"/>
  <c r="J164" i="8" s="1"/>
  <c r="F164" i="8"/>
  <c r="F163" i="7"/>
  <c r="I163" i="7" s="1"/>
  <c r="J163" i="7" s="1"/>
  <c r="E164" i="7"/>
  <c r="G168" i="7"/>
  <c r="H167" i="7"/>
  <c r="G166" i="8" l="1"/>
  <c r="H165" i="8"/>
  <c r="M140" i="6"/>
  <c r="N139" i="6"/>
  <c r="L139" i="6"/>
  <c r="K140" i="6"/>
  <c r="F165" i="8"/>
  <c r="I165" i="8" s="1"/>
  <c r="J165" i="8" s="1"/>
  <c r="E166" i="8"/>
  <c r="G140" i="6"/>
  <c r="H139" i="6"/>
  <c r="O139" i="6" s="1"/>
  <c r="P139" i="6" s="1"/>
  <c r="H168" i="7"/>
  <c r="G169" i="7"/>
  <c r="I141" i="6"/>
  <c r="J140" i="6"/>
  <c r="F164" i="7"/>
  <c r="I164" i="7" s="1"/>
  <c r="J164" i="7" s="1"/>
  <c r="E165" i="7"/>
  <c r="J141" i="6" l="1"/>
  <c r="I142" i="6"/>
  <c r="E167" i="8"/>
  <c r="F166" i="8"/>
  <c r="I166" i="8" s="1"/>
  <c r="J166" i="8" s="1"/>
  <c r="G170" i="7"/>
  <c r="H169" i="7"/>
  <c r="G141" i="6"/>
  <c r="H140" i="6"/>
  <c r="O140" i="6" s="1"/>
  <c r="P140" i="6" s="1"/>
  <c r="K141" i="6"/>
  <c r="L140" i="6"/>
  <c r="E166" i="7"/>
  <c r="F165" i="7"/>
  <c r="I165" i="7" s="1"/>
  <c r="J165" i="7" s="1"/>
  <c r="M141" i="6"/>
  <c r="N140" i="6"/>
  <c r="H166" i="8"/>
  <c r="G167" i="8"/>
  <c r="K142" i="6" l="1"/>
  <c r="L141" i="6"/>
  <c r="H141" i="6"/>
  <c r="O141" i="6" s="1"/>
  <c r="P141" i="6" s="1"/>
  <c r="G142" i="6"/>
  <c r="G171" i="7"/>
  <c r="H170" i="7"/>
  <c r="M142" i="6"/>
  <c r="N141" i="6"/>
  <c r="F166" i="7"/>
  <c r="I166" i="7" s="1"/>
  <c r="J166" i="7" s="1"/>
  <c r="E167" i="7"/>
  <c r="G168" i="8"/>
  <c r="H167" i="8"/>
  <c r="F167" i="8"/>
  <c r="I167" i="8" s="1"/>
  <c r="J167" i="8" s="1"/>
  <c r="E168" i="8"/>
  <c r="I143" i="6"/>
  <c r="J142" i="6"/>
  <c r="N142" i="6" l="1"/>
  <c r="M143" i="6"/>
  <c r="E168" i="7"/>
  <c r="F167" i="7"/>
  <c r="I167" i="7" s="1"/>
  <c r="J167" i="7" s="1"/>
  <c r="G172" i="7"/>
  <c r="H171" i="7"/>
  <c r="H168" i="8"/>
  <c r="G169" i="8"/>
  <c r="H142" i="6"/>
  <c r="G143" i="6"/>
  <c r="O142" i="6"/>
  <c r="P142" i="6" s="1"/>
  <c r="E169" i="8"/>
  <c r="F168" i="8"/>
  <c r="I168" i="8" s="1"/>
  <c r="J168" i="8" s="1"/>
  <c r="J143" i="6"/>
  <c r="I144" i="6"/>
  <c r="L142" i="6"/>
  <c r="K143" i="6"/>
  <c r="G170" i="8" l="1"/>
  <c r="H169" i="8"/>
  <c r="G173" i="7"/>
  <c r="H172" i="7"/>
  <c r="H143" i="6"/>
  <c r="O143" i="6" s="1"/>
  <c r="P143" i="6" s="1"/>
  <c r="G144" i="6"/>
  <c r="F168" i="7"/>
  <c r="I168" i="7" s="1"/>
  <c r="J168" i="7" s="1"/>
  <c r="E169" i="7"/>
  <c r="M144" i="6"/>
  <c r="N143" i="6"/>
  <c r="F169" i="8"/>
  <c r="I169" i="8" s="1"/>
  <c r="J169" i="8" s="1"/>
  <c r="E170" i="8"/>
  <c r="L143" i="6"/>
  <c r="K144" i="6"/>
  <c r="J144" i="6"/>
  <c r="I145" i="6"/>
  <c r="E171" i="8" l="1"/>
  <c r="F170" i="8"/>
  <c r="I170" i="8" s="1"/>
  <c r="J170" i="8" s="1"/>
  <c r="G145" i="6"/>
  <c r="H144" i="6"/>
  <c r="O144" i="6" s="1"/>
  <c r="P144" i="6" s="1"/>
  <c r="F169" i="7"/>
  <c r="I169" i="7" s="1"/>
  <c r="J169" i="7" s="1"/>
  <c r="E170" i="7"/>
  <c r="N144" i="6"/>
  <c r="M145" i="6"/>
  <c r="J145" i="6"/>
  <c r="I146" i="6"/>
  <c r="G174" i="7"/>
  <c r="H173" i="7"/>
  <c r="L144" i="6"/>
  <c r="K145" i="6"/>
  <c r="G171" i="8"/>
  <c r="H170" i="8"/>
  <c r="N145" i="6" l="1"/>
  <c r="M146" i="6"/>
  <c r="F170" i="7"/>
  <c r="E171" i="7"/>
  <c r="I170" i="7"/>
  <c r="J170" i="7" s="1"/>
  <c r="H174" i="7"/>
  <c r="G175" i="7"/>
  <c r="I147" i="6"/>
  <c r="J146" i="6"/>
  <c r="G146" i="6"/>
  <c r="H145" i="6"/>
  <c r="O145" i="6" s="1"/>
  <c r="P145" i="6" s="1"/>
  <c r="G172" i="8"/>
  <c r="H171" i="8"/>
  <c r="K146" i="6"/>
  <c r="L145" i="6"/>
  <c r="F171" i="8"/>
  <c r="I171" i="8" s="1"/>
  <c r="J171" i="8" s="1"/>
  <c r="E172" i="8"/>
  <c r="H146" i="6" l="1"/>
  <c r="O146" i="6" s="1"/>
  <c r="P146" i="6" s="1"/>
  <c r="G147" i="6"/>
  <c r="J147" i="6"/>
  <c r="I148" i="6"/>
  <c r="K147" i="6"/>
  <c r="L146" i="6"/>
  <c r="G176" i="7"/>
  <c r="H175" i="7"/>
  <c r="G173" i="8"/>
  <c r="H172" i="8"/>
  <c r="F171" i="7"/>
  <c r="I171" i="7" s="1"/>
  <c r="J171" i="7" s="1"/>
  <c r="E172" i="7"/>
  <c r="E173" i="8"/>
  <c r="F172" i="8"/>
  <c r="I172" i="8" s="1"/>
  <c r="J172" i="8" s="1"/>
  <c r="M147" i="6"/>
  <c r="N146" i="6"/>
  <c r="H173" i="8" l="1"/>
  <c r="G174" i="8"/>
  <c r="H176" i="7"/>
  <c r="G177" i="7"/>
  <c r="F173" i="8"/>
  <c r="I173" i="8" s="1"/>
  <c r="J173" i="8" s="1"/>
  <c r="E174" i="8"/>
  <c r="L147" i="6"/>
  <c r="K148" i="6"/>
  <c r="F172" i="7"/>
  <c r="I172" i="7" s="1"/>
  <c r="J172" i="7" s="1"/>
  <c r="E173" i="7"/>
  <c r="I149" i="6"/>
  <c r="J148" i="6"/>
  <c r="N147" i="6"/>
  <c r="M148" i="6"/>
  <c r="O147" i="6"/>
  <c r="P147" i="6" s="1"/>
  <c r="H147" i="6"/>
  <c r="G148" i="6"/>
  <c r="G149" i="6" l="1"/>
  <c r="H148" i="6"/>
  <c r="O148" i="6" s="1"/>
  <c r="P148" i="6" s="1"/>
  <c r="N148" i="6"/>
  <c r="M149" i="6"/>
  <c r="I150" i="6"/>
  <c r="J149" i="6"/>
  <c r="F173" i="7"/>
  <c r="I173" i="7" s="1"/>
  <c r="J173" i="7" s="1"/>
  <c r="E174" i="7"/>
  <c r="K149" i="6"/>
  <c r="L148" i="6"/>
  <c r="E175" i="8"/>
  <c r="F174" i="8"/>
  <c r="I174" i="8" s="1"/>
  <c r="J174" i="8" s="1"/>
  <c r="G178" i="7"/>
  <c r="H177" i="7"/>
  <c r="G175" i="8"/>
  <c r="H174" i="8"/>
  <c r="H178" i="7" l="1"/>
  <c r="G179" i="7"/>
  <c r="F174" i="7"/>
  <c r="I174" i="7" s="1"/>
  <c r="J174" i="7" s="1"/>
  <c r="E175" i="7"/>
  <c r="F175" i="8"/>
  <c r="I175" i="8" s="1"/>
  <c r="J175" i="8" s="1"/>
  <c r="E176" i="8"/>
  <c r="K150" i="6"/>
  <c r="L149" i="6"/>
  <c r="O149" i="6" s="1"/>
  <c r="P149" i="6" s="1"/>
  <c r="I151" i="6"/>
  <c r="J150" i="6"/>
  <c r="M150" i="6"/>
  <c r="N149" i="6"/>
  <c r="H175" i="8"/>
  <c r="G176" i="8"/>
  <c r="H149" i="6"/>
  <c r="G150" i="6"/>
  <c r="N150" i="6" l="1"/>
  <c r="M151" i="6"/>
  <c r="I152" i="6"/>
  <c r="J151" i="6"/>
  <c r="L150" i="6"/>
  <c r="K151" i="6"/>
  <c r="E177" i="8"/>
  <c r="F176" i="8"/>
  <c r="I176" i="8" s="1"/>
  <c r="J176" i="8" s="1"/>
  <c r="G177" i="8"/>
  <c r="H176" i="8"/>
  <c r="H150" i="6"/>
  <c r="O150" i="6" s="1"/>
  <c r="P150" i="6" s="1"/>
  <c r="G151" i="6"/>
  <c r="G180" i="7"/>
  <c r="H179" i="7"/>
  <c r="E176" i="7"/>
  <c r="F175" i="7"/>
  <c r="I175" i="7" s="1"/>
  <c r="J175" i="7" s="1"/>
  <c r="H177" i="8" l="1"/>
  <c r="G178" i="8"/>
  <c r="F177" i="8"/>
  <c r="I177" i="8" s="1"/>
  <c r="J177" i="8" s="1"/>
  <c r="E178" i="8"/>
  <c r="H180" i="7"/>
  <c r="G181" i="7"/>
  <c r="J152" i="6"/>
  <c r="I153" i="6"/>
  <c r="M152" i="6"/>
  <c r="N151" i="6"/>
  <c r="H151" i="6"/>
  <c r="G152" i="6"/>
  <c r="L151" i="6"/>
  <c r="O151" i="6" s="1"/>
  <c r="P151" i="6" s="1"/>
  <c r="K152" i="6"/>
  <c r="F176" i="7"/>
  <c r="I176" i="7" s="1"/>
  <c r="J176" i="7" s="1"/>
  <c r="E177" i="7"/>
  <c r="G153" i="6" l="1"/>
  <c r="H152" i="6"/>
  <c r="O152" i="6" s="1"/>
  <c r="P152" i="6" s="1"/>
  <c r="M153" i="6"/>
  <c r="N152" i="6"/>
  <c r="J153" i="6"/>
  <c r="I154" i="6"/>
  <c r="K153" i="6"/>
  <c r="L152" i="6"/>
  <c r="G182" i="7"/>
  <c r="H181" i="7"/>
  <c r="E179" i="8"/>
  <c r="F178" i="8"/>
  <c r="I178" i="8" s="1"/>
  <c r="J178" i="8" s="1"/>
  <c r="E178" i="7"/>
  <c r="F177" i="7"/>
  <c r="I177" i="7" s="1"/>
  <c r="J177" i="7" s="1"/>
  <c r="G179" i="8"/>
  <c r="H178" i="8"/>
  <c r="F179" i="8" l="1"/>
  <c r="I179" i="8" s="1"/>
  <c r="J179" i="8" s="1"/>
  <c r="E180" i="8"/>
  <c r="H182" i="7"/>
  <c r="G183" i="7"/>
  <c r="K154" i="6"/>
  <c r="L153" i="6"/>
  <c r="I155" i="6"/>
  <c r="J154" i="6"/>
  <c r="N153" i="6"/>
  <c r="M154" i="6"/>
  <c r="F178" i="7"/>
  <c r="E179" i="7"/>
  <c r="I178" i="7"/>
  <c r="J178" i="7" s="1"/>
  <c r="H179" i="8"/>
  <c r="G180" i="8"/>
  <c r="H153" i="6"/>
  <c r="O153" i="6" s="1"/>
  <c r="P153" i="6" s="1"/>
  <c r="G154" i="6"/>
  <c r="J155" i="6" l="1"/>
  <c r="I156" i="6"/>
  <c r="E180" i="7"/>
  <c r="F179" i="7"/>
  <c r="I179" i="7" s="1"/>
  <c r="J179" i="7" s="1"/>
  <c r="M155" i="6"/>
  <c r="N154" i="6"/>
  <c r="L154" i="6"/>
  <c r="K155" i="6"/>
  <c r="G181" i="8"/>
  <c r="H180" i="8"/>
  <c r="G184" i="7"/>
  <c r="H183" i="7"/>
  <c r="H154" i="6"/>
  <c r="G155" i="6"/>
  <c r="O154" i="6"/>
  <c r="P154" i="6" s="1"/>
  <c r="E181" i="8"/>
  <c r="F180" i="8"/>
  <c r="I180" i="8" s="1"/>
  <c r="J180" i="8" s="1"/>
  <c r="H181" i="8" l="1"/>
  <c r="G182" i="8"/>
  <c r="L155" i="6"/>
  <c r="K156" i="6"/>
  <c r="G185" i="7"/>
  <c r="H184" i="7"/>
  <c r="N155" i="6"/>
  <c r="M156" i="6"/>
  <c r="F180" i="7"/>
  <c r="I180" i="7" s="1"/>
  <c r="J180" i="7" s="1"/>
  <c r="E181" i="7"/>
  <c r="H155" i="6"/>
  <c r="O155" i="6" s="1"/>
  <c r="P155" i="6" s="1"/>
  <c r="G156" i="6"/>
  <c r="I157" i="6"/>
  <c r="J156" i="6"/>
  <c r="F181" i="8"/>
  <c r="I181" i="8" s="1"/>
  <c r="J181" i="8" s="1"/>
  <c r="E182" i="8"/>
  <c r="M157" i="6" l="1"/>
  <c r="N156" i="6"/>
  <c r="G157" i="6"/>
  <c r="H156" i="6"/>
  <c r="O156" i="6" s="1"/>
  <c r="P156" i="6" s="1"/>
  <c r="G186" i="7"/>
  <c r="H185" i="7"/>
  <c r="K157" i="6"/>
  <c r="L156" i="6"/>
  <c r="J157" i="6"/>
  <c r="I158" i="6"/>
  <c r="E182" i="7"/>
  <c r="F181" i="7"/>
  <c r="I181" i="7" s="1"/>
  <c r="J181" i="7" s="1"/>
  <c r="E183" i="8"/>
  <c r="F182" i="8"/>
  <c r="G183" i="8"/>
  <c r="H182" i="8"/>
  <c r="I182" i="8" s="1"/>
  <c r="J182" i="8" s="1"/>
  <c r="K158" i="6" l="1"/>
  <c r="L157" i="6"/>
  <c r="F183" i="8"/>
  <c r="E184" i="8"/>
  <c r="F182" i="7"/>
  <c r="I182" i="7" s="1"/>
  <c r="J182" i="7" s="1"/>
  <c r="E183" i="7"/>
  <c r="I159" i="6"/>
  <c r="J158" i="6"/>
  <c r="G187" i="7"/>
  <c r="H186" i="7"/>
  <c r="H157" i="6"/>
  <c r="G158" i="6"/>
  <c r="O157" i="6"/>
  <c r="P157" i="6" s="1"/>
  <c r="H183" i="8"/>
  <c r="I183" i="8" s="1"/>
  <c r="J183" i="8" s="1"/>
  <c r="G184" i="8"/>
  <c r="M158" i="6"/>
  <c r="N157" i="6"/>
  <c r="G188" i="7" l="1"/>
  <c r="H187" i="7"/>
  <c r="I160" i="6"/>
  <c r="J159" i="6"/>
  <c r="F183" i="7"/>
  <c r="I183" i="7" s="1"/>
  <c r="J183" i="7" s="1"/>
  <c r="E184" i="7"/>
  <c r="H158" i="6"/>
  <c r="O158" i="6" s="1"/>
  <c r="P158" i="6" s="1"/>
  <c r="G159" i="6"/>
  <c r="E185" i="8"/>
  <c r="F184" i="8"/>
  <c r="I184" i="8" s="1"/>
  <c r="J184" i="8" s="1"/>
  <c r="M159" i="6"/>
  <c r="N158" i="6"/>
  <c r="G185" i="8"/>
  <c r="H184" i="8"/>
  <c r="L158" i="6"/>
  <c r="K159" i="6"/>
  <c r="M160" i="6" l="1"/>
  <c r="N159" i="6"/>
  <c r="F185" i="8"/>
  <c r="I185" i="8" s="1"/>
  <c r="J185" i="8" s="1"/>
  <c r="E186" i="8"/>
  <c r="O159" i="6"/>
  <c r="P159" i="6" s="1"/>
  <c r="G160" i="6"/>
  <c r="H159" i="6"/>
  <c r="F184" i="7"/>
  <c r="E185" i="7"/>
  <c r="I184" i="7"/>
  <c r="J184" i="7" s="1"/>
  <c r="G186" i="8"/>
  <c r="H185" i="8"/>
  <c r="L159" i="6"/>
  <c r="K160" i="6"/>
  <c r="J160" i="6"/>
  <c r="I161" i="6"/>
  <c r="G189" i="7"/>
  <c r="H188" i="7"/>
  <c r="L160" i="6" l="1"/>
  <c r="K161" i="6"/>
  <c r="F185" i="7"/>
  <c r="I185" i="7" s="1"/>
  <c r="J185" i="7" s="1"/>
  <c r="E186" i="7"/>
  <c r="G187" i="8"/>
  <c r="H186" i="8"/>
  <c r="G161" i="6"/>
  <c r="H160" i="6"/>
  <c r="O160" i="6" s="1"/>
  <c r="P160" i="6" s="1"/>
  <c r="F186" i="8"/>
  <c r="E187" i="8"/>
  <c r="I186" i="8"/>
  <c r="J186" i="8" s="1"/>
  <c r="G190" i="7"/>
  <c r="H189" i="7"/>
  <c r="I162" i="6"/>
  <c r="J161" i="6"/>
  <c r="M161" i="6"/>
  <c r="N160" i="6"/>
  <c r="F187" i="8" l="1"/>
  <c r="I187" i="8" s="1"/>
  <c r="J187" i="8" s="1"/>
  <c r="E188" i="8"/>
  <c r="H161" i="6"/>
  <c r="G162" i="6"/>
  <c r="O161" i="6"/>
  <c r="P161" i="6" s="1"/>
  <c r="H190" i="7"/>
  <c r="G191" i="7"/>
  <c r="G188" i="8"/>
  <c r="H187" i="8"/>
  <c r="J162" i="6"/>
  <c r="I163" i="6"/>
  <c r="F186" i="7"/>
  <c r="I186" i="7" s="1"/>
  <c r="J186" i="7" s="1"/>
  <c r="E187" i="7"/>
  <c r="M162" i="6"/>
  <c r="N161" i="6"/>
  <c r="K162" i="6"/>
  <c r="L161" i="6"/>
  <c r="H188" i="8" l="1"/>
  <c r="G189" i="8"/>
  <c r="F187" i="7"/>
  <c r="I187" i="7" s="1"/>
  <c r="J187" i="7" s="1"/>
  <c r="E188" i="7"/>
  <c r="G192" i="7"/>
  <c r="H191" i="7"/>
  <c r="J163" i="6"/>
  <c r="I164" i="6"/>
  <c r="H162" i="6"/>
  <c r="G163" i="6"/>
  <c r="M163" i="6"/>
  <c r="N162" i="6"/>
  <c r="L162" i="6"/>
  <c r="O162" i="6" s="1"/>
  <c r="P162" i="6" s="1"/>
  <c r="K163" i="6"/>
  <c r="F188" i="8"/>
  <c r="I188" i="8" s="1"/>
  <c r="J188" i="8" s="1"/>
  <c r="E189" i="8"/>
  <c r="G164" i="6" l="1"/>
  <c r="H163" i="6"/>
  <c r="O163" i="6" s="1"/>
  <c r="P163" i="6" s="1"/>
  <c r="J164" i="6"/>
  <c r="I165" i="6"/>
  <c r="L163" i="6"/>
  <c r="K164" i="6"/>
  <c r="N163" i="6"/>
  <c r="M164" i="6"/>
  <c r="F188" i="7"/>
  <c r="E189" i="7"/>
  <c r="I188" i="7"/>
  <c r="J188" i="7" s="1"/>
  <c r="G190" i="8"/>
  <c r="H189" i="8"/>
  <c r="G193" i="7"/>
  <c r="H192" i="7"/>
  <c r="F189" i="8"/>
  <c r="I189" i="8" s="1"/>
  <c r="J189" i="8" s="1"/>
  <c r="E190" i="8"/>
  <c r="H190" i="8" l="1"/>
  <c r="G191" i="8"/>
  <c r="F189" i="7"/>
  <c r="I189" i="7" s="1"/>
  <c r="J189" i="7" s="1"/>
  <c r="E190" i="7"/>
  <c r="G194" i="7"/>
  <c r="H193" i="7"/>
  <c r="M165" i="6"/>
  <c r="N164" i="6"/>
  <c r="K165" i="6"/>
  <c r="L164" i="6"/>
  <c r="J165" i="6"/>
  <c r="I166" i="6"/>
  <c r="F190" i="8"/>
  <c r="I190" i="8" s="1"/>
  <c r="J190" i="8" s="1"/>
  <c r="E191" i="8"/>
  <c r="G165" i="6"/>
  <c r="H164" i="6"/>
  <c r="O164" i="6" s="1"/>
  <c r="P164" i="6" s="1"/>
  <c r="M166" i="6" l="1"/>
  <c r="N165" i="6"/>
  <c r="J166" i="6"/>
  <c r="I167" i="6"/>
  <c r="K166" i="6"/>
  <c r="L165" i="6"/>
  <c r="H194" i="7"/>
  <c r="G195" i="7"/>
  <c r="F190" i="7"/>
  <c r="I190" i="7" s="1"/>
  <c r="J190" i="7" s="1"/>
  <c r="E191" i="7"/>
  <c r="F191" i="8"/>
  <c r="E192" i="8"/>
  <c r="G192" i="8"/>
  <c r="H191" i="8"/>
  <c r="I191" i="8" s="1"/>
  <c r="J191" i="8" s="1"/>
  <c r="H165" i="6"/>
  <c r="O165" i="6" s="1"/>
  <c r="P165" i="6" s="1"/>
  <c r="G166" i="6"/>
  <c r="E192" i="7" l="1"/>
  <c r="F191" i="7"/>
  <c r="I191" i="7" s="1"/>
  <c r="J191" i="7" s="1"/>
  <c r="G196" i="7"/>
  <c r="H195" i="7"/>
  <c r="H192" i="8"/>
  <c r="G193" i="8"/>
  <c r="E193" i="8"/>
  <c r="F192" i="8"/>
  <c r="I192" i="8" s="1"/>
  <c r="J192" i="8" s="1"/>
  <c r="L166" i="6"/>
  <c r="K167" i="6"/>
  <c r="I168" i="6"/>
  <c r="J167" i="6"/>
  <c r="H166" i="6"/>
  <c r="O166" i="6" s="1"/>
  <c r="P166" i="6" s="1"/>
  <c r="G167" i="6"/>
  <c r="N166" i="6"/>
  <c r="M167" i="6"/>
  <c r="L167" i="6" l="1"/>
  <c r="K168" i="6"/>
  <c r="J168" i="6"/>
  <c r="I169" i="6"/>
  <c r="F193" i="8"/>
  <c r="I193" i="8" s="1"/>
  <c r="J193" i="8" s="1"/>
  <c r="E194" i="8"/>
  <c r="G194" i="8"/>
  <c r="H193" i="8"/>
  <c r="H196" i="7"/>
  <c r="G197" i="7"/>
  <c r="H167" i="6"/>
  <c r="O167" i="6" s="1"/>
  <c r="P167" i="6" s="1"/>
  <c r="G168" i="6"/>
  <c r="N167" i="6"/>
  <c r="M168" i="6"/>
  <c r="F192" i="7"/>
  <c r="I192" i="7" s="1"/>
  <c r="J192" i="7" s="1"/>
  <c r="E193" i="7"/>
  <c r="G198" i="7" l="1"/>
  <c r="H197" i="7"/>
  <c r="G195" i="8"/>
  <c r="H194" i="8"/>
  <c r="G169" i="6"/>
  <c r="H168" i="6"/>
  <c r="N168" i="6"/>
  <c r="M169" i="6"/>
  <c r="E195" i="8"/>
  <c r="I194" i="8"/>
  <c r="J194" i="8" s="1"/>
  <c r="F194" i="8"/>
  <c r="I170" i="6"/>
  <c r="J169" i="6"/>
  <c r="E194" i="7"/>
  <c r="I193" i="7"/>
  <c r="J193" i="7" s="1"/>
  <c r="F193" i="7"/>
  <c r="K169" i="6"/>
  <c r="L168" i="6"/>
  <c r="O168" i="6" s="1"/>
  <c r="P168" i="6" s="1"/>
  <c r="M170" i="6" l="1"/>
  <c r="N169" i="6"/>
  <c r="F195" i="8"/>
  <c r="I195" i="8" s="1"/>
  <c r="J195" i="8" s="1"/>
  <c r="E196" i="8"/>
  <c r="F194" i="7"/>
  <c r="I194" i="7" s="1"/>
  <c r="J194" i="7" s="1"/>
  <c r="E195" i="7"/>
  <c r="H169" i="6"/>
  <c r="O169" i="6" s="1"/>
  <c r="P169" i="6" s="1"/>
  <c r="G170" i="6"/>
  <c r="G196" i="8"/>
  <c r="H195" i="8"/>
  <c r="K170" i="6"/>
  <c r="L169" i="6"/>
  <c r="J170" i="6"/>
  <c r="I171" i="6"/>
  <c r="H198" i="7"/>
  <c r="G199" i="7"/>
  <c r="L170" i="6" l="1"/>
  <c r="K171" i="6"/>
  <c r="H170" i="6"/>
  <c r="O170" i="6" s="1"/>
  <c r="P170" i="6" s="1"/>
  <c r="G171" i="6"/>
  <c r="G200" i="7"/>
  <c r="H199" i="7"/>
  <c r="E196" i="7"/>
  <c r="F195" i="7"/>
  <c r="I195" i="7" s="1"/>
  <c r="J195" i="7" s="1"/>
  <c r="G197" i="8"/>
  <c r="H196" i="8"/>
  <c r="E197" i="8"/>
  <c r="I196" i="8"/>
  <c r="J196" i="8" s="1"/>
  <c r="F196" i="8"/>
  <c r="I172" i="6"/>
  <c r="J171" i="6"/>
  <c r="M171" i="6"/>
  <c r="N170" i="6"/>
  <c r="H197" i="8" l="1"/>
  <c r="G198" i="8"/>
  <c r="F197" i="8"/>
  <c r="I197" i="8"/>
  <c r="J197" i="8" s="1"/>
  <c r="E198" i="8"/>
  <c r="F196" i="7"/>
  <c r="I196" i="7"/>
  <c r="J196" i="7" s="1"/>
  <c r="E197" i="7"/>
  <c r="G201" i="7"/>
  <c r="H200" i="7"/>
  <c r="G172" i="6"/>
  <c r="H171" i="6"/>
  <c r="O171" i="6" s="1"/>
  <c r="P171" i="6" s="1"/>
  <c r="M172" i="6"/>
  <c r="N171" i="6"/>
  <c r="L171" i="6"/>
  <c r="K172" i="6"/>
  <c r="I173" i="6"/>
  <c r="J172" i="6"/>
  <c r="M173" i="6" l="1"/>
  <c r="N172" i="6"/>
  <c r="E199" i="8"/>
  <c r="F198" i="8"/>
  <c r="I198" i="8" s="1"/>
  <c r="J198" i="8" s="1"/>
  <c r="G173" i="6"/>
  <c r="H172" i="6"/>
  <c r="O172" i="6" s="1"/>
  <c r="P172" i="6" s="1"/>
  <c r="G202" i="7"/>
  <c r="H201" i="7"/>
  <c r="E198" i="7"/>
  <c r="F197" i="7"/>
  <c r="I197" i="7" s="1"/>
  <c r="J197" i="7" s="1"/>
  <c r="I174" i="6"/>
  <c r="J173" i="6"/>
  <c r="G199" i="8"/>
  <c r="H198" i="8"/>
  <c r="K173" i="6"/>
  <c r="L172" i="6"/>
  <c r="G203" i="7" l="1"/>
  <c r="H202" i="7"/>
  <c r="H199" i="8"/>
  <c r="G200" i="8"/>
  <c r="H173" i="6"/>
  <c r="O173" i="6" s="1"/>
  <c r="P173" i="6" s="1"/>
  <c r="G174" i="6"/>
  <c r="F199" i="8"/>
  <c r="I199" i="8" s="1"/>
  <c r="J199" i="8" s="1"/>
  <c r="E200" i="8"/>
  <c r="K174" i="6"/>
  <c r="L173" i="6"/>
  <c r="I175" i="6"/>
  <c r="J174" i="6"/>
  <c r="F198" i="7"/>
  <c r="I198" i="7" s="1"/>
  <c r="J198" i="7" s="1"/>
  <c r="E199" i="7"/>
  <c r="N173" i="6"/>
  <c r="M174" i="6"/>
  <c r="J175" i="6" l="1"/>
  <c r="I176" i="6"/>
  <c r="L174" i="6"/>
  <c r="K175" i="6"/>
  <c r="F199" i="7"/>
  <c r="I199" i="7" s="1"/>
  <c r="J199" i="7" s="1"/>
  <c r="E200" i="7"/>
  <c r="E201" i="8"/>
  <c r="F200" i="8"/>
  <c r="I200" i="8" s="1"/>
  <c r="J200" i="8" s="1"/>
  <c r="G201" i="8"/>
  <c r="H200" i="8"/>
  <c r="H174" i="6"/>
  <c r="O174" i="6" s="1"/>
  <c r="P174" i="6" s="1"/>
  <c r="G175" i="6"/>
  <c r="M175" i="6"/>
  <c r="N174" i="6"/>
  <c r="G204" i="7"/>
  <c r="H203" i="7"/>
  <c r="H201" i="8" l="1"/>
  <c r="G202" i="8"/>
  <c r="F201" i="8"/>
  <c r="I201" i="8" s="1"/>
  <c r="J201" i="8" s="1"/>
  <c r="E202" i="8"/>
  <c r="H175" i="6"/>
  <c r="O175" i="6" s="1"/>
  <c r="P175" i="6" s="1"/>
  <c r="G176" i="6"/>
  <c r="F200" i="7"/>
  <c r="I200" i="7" s="1"/>
  <c r="J200" i="7" s="1"/>
  <c r="E201" i="7"/>
  <c r="L175" i="6"/>
  <c r="K176" i="6"/>
  <c r="G205" i="7"/>
  <c r="H204" i="7"/>
  <c r="J176" i="6"/>
  <c r="I177" i="6"/>
  <c r="N175" i="6"/>
  <c r="M176" i="6"/>
  <c r="G206" i="7" l="1"/>
  <c r="H205" i="7"/>
  <c r="F201" i="7"/>
  <c r="I201" i="7" s="1"/>
  <c r="J201" i="7" s="1"/>
  <c r="E202" i="7"/>
  <c r="G177" i="6"/>
  <c r="H176" i="6"/>
  <c r="O176" i="6" s="1"/>
  <c r="P176" i="6" s="1"/>
  <c r="M177" i="6"/>
  <c r="N176" i="6"/>
  <c r="L176" i="6"/>
  <c r="K177" i="6"/>
  <c r="F202" i="8"/>
  <c r="E203" i="8"/>
  <c r="I202" i="8"/>
  <c r="J202" i="8" s="1"/>
  <c r="G203" i="8"/>
  <c r="H202" i="8"/>
  <c r="I178" i="6"/>
  <c r="J177" i="6"/>
  <c r="M178" i="6" l="1"/>
  <c r="N177" i="6"/>
  <c r="H203" i="8"/>
  <c r="G204" i="8"/>
  <c r="K178" i="6"/>
  <c r="L177" i="6"/>
  <c r="H177" i="6"/>
  <c r="O177" i="6" s="1"/>
  <c r="P177" i="6" s="1"/>
  <c r="G178" i="6"/>
  <c r="F202" i="7"/>
  <c r="E203" i="7"/>
  <c r="I202" i="7"/>
  <c r="J202" i="7" s="1"/>
  <c r="F203" i="8"/>
  <c r="I203" i="8" s="1"/>
  <c r="J203" i="8" s="1"/>
  <c r="E204" i="8"/>
  <c r="J178" i="6"/>
  <c r="I179" i="6"/>
  <c r="H206" i="7"/>
  <c r="G207" i="7"/>
  <c r="F204" i="8" l="1"/>
  <c r="I204" i="8" s="1"/>
  <c r="J204" i="8" s="1"/>
  <c r="E205" i="8"/>
  <c r="F203" i="7"/>
  <c r="I203" i="7" s="1"/>
  <c r="J203" i="7" s="1"/>
  <c r="E204" i="7"/>
  <c r="H178" i="6"/>
  <c r="G179" i="6"/>
  <c r="L178" i="6"/>
  <c r="O178" i="6" s="1"/>
  <c r="P178" i="6" s="1"/>
  <c r="K179" i="6"/>
  <c r="H204" i="8"/>
  <c r="G205" i="8"/>
  <c r="H207" i="7"/>
  <c r="G208" i="7"/>
  <c r="I180" i="6"/>
  <c r="J179" i="6"/>
  <c r="N178" i="6"/>
  <c r="M179" i="6"/>
  <c r="H179" i="6" l="1"/>
  <c r="O179" i="6" s="1"/>
  <c r="P179" i="6" s="1"/>
  <c r="G180" i="6"/>
  <c r="H208" i="7"/>
  <c r="G209" i="7"/>
  <c r="J180" i="6"/>
  <c r="I181" i="6"/>
  <c r="F204" i="7"/>
  <c r="I204" i="7" s="1"/>
  <c r="J204" i="7" s="1"/>
  <c r="E205" i="7"/>
  <c r="G206" i="8"/>
  <c r="H205" i="8"/>
  <c r="I205" i="8" s="1"/>
  <c r="J205" i="8" s="1"/>
  <c r="L179" i="6"/>
  <c r="K180" i="6"/>
  <c r="M180" i="6"/>
  <c r="N179" i="6"/>
  <c r="F205" i="8"/>
  <c r="E206" i="8"/>
  <c r="N180" i="6" l="1"/>
  <c r="M181" i="6"/>
  <c r="F205" i="7"/>
  <c r="I205" i="7" s="1"/>
  <c r="J205" i="7" s="1"/>
  <c r="E206" i="7"/>
  <c r="K181" i="6"/>
  <c r="L180" i="6"/>
  <c r="H206" i="8"/>
  <c r="G207" i="8"/>
  <c r="I182" i="6"/>
  <c r="J181" i="6"/>
  <c r="G210" i="7"/>
  <c r="H209" i="7"/>
  <c r="E207" i="8"/>
  <c r="F206" i="8"/>
  <c r="I206" i="8" s="1"/>
  <c r="J206" i="8" s="1"/>
  <c r="G181" i="6"/>
  <c r="H180" i="6"/>
  <c r="O180" i="6" s="1"/>
  <c r="P180" i="6" s="1"/>
  <c r="F207" i="8" l="1"/>
  <c r="I207" i="8" s="1"/>
  <c r="J207" i="8" s="1"/>
  <c r="E208" i="8"/>
  <c r="G208" i="8"/>
  <c r="H207" i="8"/>
  <c r="H210" i="7"/>
  <c r="G211" i="7"/>
  <c r="J182" i="6"/>
  <c r="I183" i="6"/>
  <c r="K182" i="6"/>
  <c r="L181" i="6"/>
  <c r="F206" i="7"/>
  <c r="I206" i="7" s="1"/>
  <c r="J206" i="7" s="1"/>
  <c r="E207" i="7"/>
  <c r="M182" i="6"/>
  <c r="N181" i="6"/>
  <c r="H181" i="6"/>
  <c r="O181" i="6" s="1"/>
  <c r="P181" i="6" s="1"/>
  <c r="G182" i="6"/>
  <c r="M183" i="6" l="1"/>
  <c r="N182" i="6"/>
  <c r="L182" i="6"/>
  <c r="K183" i="6"/>
  <c r="I184" i="6"/>
  <c r="J183" i="6"/>
  <c r="G212" i="7"/>
  <c r="H211" i="7"/>
  <c r="F207" i="7"/>
  <c r="I207" i="7" s="1"/>
  <c r="J207" i="7" s="1"/>
  <c r="E208" i="7"/>
  <c r="G209" i="8"/>
  <c r="H208" i="8"/>
  <c r="I208" i="8" s="1"/>
  <c r="J208" i="8" s="1"/>
  <c r="H182" i="6"/>
  <c r="O182" i="6" s="1"/>
  <c r="P182" i="6" s="1"/>
  <c r="G183" i="6"/>
  <c r="E209" i="8"/>
  <c r="F208" i="8"/>
  <c r="G184" i="6" l="1"/>
  <c r="H183" i="6"/>
  <c r="O183" i="6" s="1"/>
  <c r="P183" i="6" s="1"/>
  <c r="H209" i="8"/>
  <c r="G210" i="8"/>
  <c r="F208" i="7"/>
  <c r="I208" i="7" s="1"/>
  <c r="J208" i="7" s="1"/>
  <c r="E209" i="7"/>
  <c r="H212" i="7"/>
  <c r="G213" i="7"/>
  <c r="I185" i="6"/>
  <c r="J184" i="6"/>
  <c r="L183" i="6"/>
  <c r="K184" i="6"/>
  <c r="F209" i="8"/>
  <c r="I209" i="8" s="1"/>
  <c r="J209" i="8" s="1"/>
  <c r="E210" i="8"/>
  <c r="N183" i="6"/>
  <c r="M184" i="6"/>
  <c r="K185" i="6" l="1"/>
  <c r="L184" i="6"/>
  <c r="J185" i="6"/>
  <c r="I186" i="6"/>
  <c r="H213" i="7"/>
  <c r="G214" i="7"/>
  <c r="F209" i="7"/>
  <c r="E210" i="7"/>
  <c r="I209" i="7"/>
  <c r="J209" i="7" s="1"/>
  <c r="G211" i="8"/>
  <c r="H210" i="8"/>
  <c r="G185" i="6"/>
  <c r="H184" i="6"/>
  <c r="O184" i="6" s="1"/>
  <c r="P184" i="6" s="1"/>
  <c r="M185" i="6"/>
  <c r="N184" i="6"/>
  <c r="E211" i="8"/>
  <c r="F210" i="8"/>
  <c r="I210" i="8" s="1"/>
  <c r="J210" i="8" s="1"/>
  <c r="N185" i="6" l="1"/>
  <c r="M186" i="6"/>
  <c r="H211" i="8"/>
  <c r="G212" i="8"/>
  <c r="I210" i="7"/>
  <c r="J210" i="7" s="1"/>
  <c r="E211" i="7"/>
  <c r="F210" i="7"/>
  <c r="H185" i="6"/>
  <c r="G186" i="6"/>
  <c r="G215" i="7"/>
  <c r="H214" i="7"/>
  <c r="J186" i="6"/>
  <c r="I187" i="6"/>
  <c r="F211" i="8"/>
  <c r="E212" i="8"/>
  <c r="I211" i="8"/>
  <c r="J211" i="8" s="1"/>
  <c r="K186" i="6"/>
  <c r="L185" i="6"/>
  <c r="O185" i="6" s="1"/>
  <c r="P185" i="6" s="1"/>
  <c r="G216" i="7" l="1"/>
  <c r="H215" i="7"/>
  <c r="J187" i="6"/>
  <c r="I188" i="6"/>
  <c r="H186" i="6"/>
  <c r="O186" i="6" s="1"/>
  <c r="P186" i="6" s="1"/>
  <c r="G187" i="6"/>
  <c r="F211" i="7"/>
  <c r="I211" i="7" s="1"/>
  <c r="J211" i="7" s="1"/>
  <c r="E212" i="7"/>
  <c r="G213" i="8"/>
  <c r="H212" i="8"/>
  <c r="E213" i="8"/>
  <c r="F212" i="8"/>
  <c r="I212" i="8" s="1"/>
  <c r="J212" i="8" s="1"/>
  <c r="L186" i="6"/>
  <c r="K187" i="6"/>
  <c r="M187" i="6"/>
  <c r="N186" i="6"/>
  <c r="E213" i="7" l="1"/>
  <c r="F212" i="7"/>
  <c r="I212" i="7" s="1"/>
  <c r="J212" i="7" s="1"/>
  <c r="G214" i="8"/>
  <c r="H213" i="8"/>
  <c r="I213" i="8" s="1"/>
  <c r="J213" i="8" s="1"/>
  <c r="H187" i="6"/>
  <c r="O187" i="6" s="1"/>
  <c r="P187" i="6" s="1"/>
  <c r="G188" i="6"/>
  <c r="F213" i="8"/>
  <c r="E214" i="8"/>
  <c r="I189" i="6"/>
  <c r="J188" i="6"/>
  <c r="N187" i="6"/>
  <c r="M188" i="6"/>
  <c r="L187" i="6"/>
  <c r="K188" i="6"/>
  <c r="G217" i="7"/>
  <c r="H216" i="7"/>
  <c r="J189" i="6" l="1"/>
  <c r="I190" i="6"/>
  <c r="F214" i="8"/>
  <c r="I214" i="8" s="1"/>
  <c r="J214" i="8" s="1"/>
  <c r="E215" i="8"/>
  <c r="G189" i="6"/>
  <c r="H188" i="6"/>
  <c r="O188" i="6" s="1"/>
  <c r="P188" i="6" s="1"/>
  <c r="N188" i="6"/>
  <c r="M189" i="6"/>
  <c r="G215" i="8"/>
  <c r="H214" i="8"/>
  <c r="H217" i="7"/>
  <c r="G218" i="7"/>
  <c r="K189" i="6"/>
  <c r="L188" i="6"/>
  <c r="F213" i="7"/>
  <c r="I213" i="7" s="1"/>
  <c r="J213" i="7" s="1"/>
  <c r="E214" i="7"/>
  <c r="G216" i="8" l="1"/>
  <c r="H215" i="8"/>
  <c r="G219" i="7"/>
  <c r="H218" i="7"/>
  <c r="K190" i="6"/>
  <c r="L189" i="6"/>
  <c r="M190" i="6"/>
  <c r="N189" i="6"/>
  <c r="H189" i="6"/>
  <c r="O189" i="6" s="1"/>
  <c r="P189" i="6" s="1"/>
  <c r="G190" i="6"/>
  <c r="F215" i="8"/>
  <c r="I215" i="8" s="1"/>
  <c r="J215" i="8" s="1"/>
  <c r="E216" i="8"/>
  <c r="E215" i="7"/>
  <c r="I214" i="7"/>
  <c r="J214" i="7" s="1"/>
  <c r="F214" i="7"/>
  <c r="J190" i="6"/>
  <c r="I191" i="6"/>
  <c r="F215" i="7" l="1"/>
  <c r="E216" i="7"/>
  <c r="I215" i="7"/>
  <c r="J215" i="7" s="1"/>
  <c r="H190" i="6"/>
  <c r="O190" i="6" s="1"/>
  <c r="P190" i="6" s="1"/>
  <c r="G191" i="6"/>
  <c r="N190" i="6"/>
  <c r="M191" i="6"/>
  <c r="E217" i="8"/>
  <c r="F216" i="8"/>
  <c r="I216" i="8" s="1"/>
  <c r="J216" i="8" s="1"/>
  <c r="L190" i="6"/>
  <c r="K191" i="6"/>
  <c r="I192" i="6"/>
  <c r="J191" i="6"/>
  <c r="H219" i="7"/>
  <c r="G220" i="7"/>
  <c r="G217" i="8"/>
  <c r="H216" i="8"/>
  <c r="L191" i="6" l="1"/>
  <c r="K192" i="6"/>
  <c r="F217" i="8"/>
  <c r="I217" i="8" s="1"/>
  <c r="J217" i="8" s="1"/>
  <c r="E218" i="8"/>
  <c r="N191" i="6"/>
  <c r="M192" i="6"/>
  <c r="J192" i="6"/>
  <c r="I193" i="6"/>
  <c r="G192" i="6"/>
  <c r="H191" i="6"/>
  <c r="O191" i="6" s="1"/>
  <c r="P191" i="6" s="1"/>
  <c r="G218" i="8"/>
  <c r="H217" i="8"/>
  <c r="E217" i="7"/>
  <c r="F216" i="7"/>
  <c r="I216" i="7" s="1"/>
  <c r="J216" i="7" s="1"/>
  <c r="G221" i="7"/>
  <c r="H220" i="7"/>
  <c r="G193" i="6" l="1"/>
  <c r="H192" i="6"/>
  <c r="O192" i="6" s="1"/>
  <c r="P192" i="6" s="1"/>
  <c r="I194" i="6"/>
  <c r="J193" i="6"/>
  <c r="F217" i="7"/>
  <c r="I217" i="7" s="1"/>
  <c r="J217" i="7" s="1"/>
  <c r="E218" i="7"/>
  <c r="G219" i="8"/>
  <c r="H218" i="8"/>
  <c r="N192" i="6"/>
  <c r="M193" i="6"/>
  <c r="E219" i="8"/>
  <c r="F218" i="8"/>
  <c r="I218" i="8" s="1"/>
  <c r="J218" i="8" s="1"/>
  <c r="H221" i="7"/>
  <c r="G222" i="7"/>
  <c r="L192" i="6"/>
  <c r="K193" i="6"/>
  <c r="F219" i="8" l="1"/>
  <c r="I219" i="8" s="1"/>
  <c r="J219" i="8" s="1"/>
  <c r="E220" i="8"/>
  <c r="M194" i="6"/>
  <c r="N193" i="6"/>
  <c r="G220" i="8"/>
  <c r="H219" i="8"/>
  <c r="E219" i="7"/>
  <c r="F218" i="7"/>
  <c r="I218" i="7" s="1"/>
  <c r="J218" i="7" s="1"/>
  <c r="J194" i="6"/>
  <c r="I195" i="6"/>
  <c r="K194" i="6"/>
  <c r="L193" i="6"/>
  <c r="G223" i="7"/>
  <c r="H222" i="7"/>
  <c r="H193" i="6"/>
  <c r="O193" i="6" s="1"/>
  <c r="P193" i="6" s="1"/>
  <c r="G194" i="6"/>
  <c r="G224" i="7" l="1"/>
  <c r="H223" i="7"/>
  <c r="L194" i="6"/>
  <c r="K195" i="6"/>
  <c r="F219" i="7"/>
  <c r="I219" i="7" s="1"/>
  <c r="J219" i="7" s="1"/>
  <c r="E220" i="7"/>
  <c r="G221" i="8"/>
  <c r="H220" i="8"/>
  <c r="N194" i="6"/>
  <c r="M195" i="6"/>
  <c r="I196" i="6"/>
  <c r="J195" i="6"/>
  <c r="H194" i="6"/>
  <c r="G195" i="6"/>
  <c r="O194" i="6"/>
  <c r="P194" i="6" s="1"/>
  <c r="E221" i="8"/>
  <c r="F220" i="8"/>
  <c r="I220" i="8" s="1"/>
  <c r="J220" i="8" s="1"/>
  <c r="N195" i="6" l="1"/>
  <c r="M196" i="6"/>
  <c r="G222" i="8"/>
  <c r="H221" i="8"/>
  <c r="I221" i="8" s="1"/>
  <c r="J221" i="8" s="1"/>
  <c r="E221" i="7"/>
  <c r="F220" i="7"/>
  <c r="I220" i="7" s="1"/>
  <c r="J220" i="7" s="1"/>
  <c r="L195" i="6"/>
  <c r="K196" i="6"/>
  <c r="G196" i="6"/>
  <c r="H195" i="6"/>
  <c r="O195" i="6" s="1"/>
  <c r="P195" i="6" s="1"/>
  <c r="J196" i="6"/>
  <c r="I197" i="6"/>
  <c r="F221" i="8"/>
  <c r="E222" i="8"/>
  <c r="G225" i="7"/>
  <c r="H224" i="7"/>
  <c r="K197" i="6" l="1"/>
  <c r="L196" i="6"/>
  <c r="G197" i="6"/>
  <c r="H196" i="6"/>
  <c r="O196" i="6" s="1"/>
  <c r="P196" i="6" s="1"/>
  <c r="E223" i="8"/>
  <c r="F222" i="8"/>
  <c r="J197" i="6"/>
  <c r="I198" i="6"/>
  <c r="F221" i="7"/>
  <c r="I221" i="7" s="1"/>
  <c r="J221" i="7" s="1"/>
  <c r="E222" i="7"/>
  <c r="G223" i="8"/>
  <c r="H222" i="8"/>
  <c r="I222" i="8" s="1"/>
  <c r="J222" i="8" s="1"/>
  <c r="G226" i="7"/>
  <c r="H225" i="7"/>
  <c r="M197" i="6"/>
  <c r="N196" i="6"/>
  <c r="F222" i="7" l="1"/>
  <c r="I222" i="7" s="1"/>
  <c r="J222" i="7" s="1"/>
  <c r="E223" i="7"/>
  <c r="J198" i="6"/>
  <c r="I199" i="6"/>
  <c r="H223" i="8"/>
  <c r="G224" i="8"/>
  <c r="G227" i="7"/>
  <c r="H226" i="7"/>
  <c r="F223" i="8"/>
  <c r="I223" i="8" s="1"/>
  <c r="J223" i="8" s="1"/>
  <c r="E224" i="8"/>
  <c r="H197" i="6"/>
  <c r="O197" i="6"/>
  <c r="P197" i="6" s="1"/>
  <c r="G198" i="6"/>
  <c r="N197" i="6"/>
  <c r="M198" i="6"/>
  <c r="K198" i="6"/>
  <c r="L197" i="6"/>
  <c r="G228" i="7" l="1"/>
  <c r="H227" i="7"/>
  <c r="G225" i="8"/>
  <c r="H224" i="8"/>
  <c r="H198" i="6"/>
  <c r="O198" i="6" s="1"/>
  <c r="P198" i="6" s="1"/>
  <c r="G199" i="6"/>
  <c r="J199" i="6"/>
  <c r="I200" i="6"/>
  <c r="E225" i="8"/>
  <c r="F224" i="8"/>
  <c r="I224" i="8" s="1"/>
  <c r="J224" i="8" s="1"/>
  <c r="L198" i="6"/>
  <c r="K199" i="6"/>
  <c r="F223" i="7"/>
  <c r="I223" i="7"/>
  <c r="J223" i="7" s="1"/>
  <c r="E224" i="7"/>
  <c r="M199" i="6"/>
  <c r="N198" i="6"/>
  <c r="L199" i="6" l="1"/>
  <c r="K200" i="6"/>
  <c r="F225" i="8"/>
  <c r="I225" i="8" s="1"/>
  <c r="J225" i="8" s="1"/>
  <c r="E226" i="8"/>
  <c r="I201" i="6"/>
  <c r="J200" i="6"/>
  <c r="H199" i="6"/>
  <c r="O199" i="6" s="1"/>
  <c r="P199" i="6" s="1"/>
  <c r="G200" i="6"/>
  <c r="H225" i="8"/>
  <c r="G226" i="8"/>
  <c r="N199" i="6"/>
  <c r="M200" i="6"/>
  <c r="E225" i="7"/>
  <c r="F224" i="7"/>
  <c r="I224" i="7" s="1"/>
  <c r="J224" i="7" s="1"/>
  <c r="G229" i="7"/>
  <c r="H228" i="7"/>
  <c r="F225" i="7" l="1"/>
  <c r="I225" i="7" s="1"/>
  <c r="J225" i="7" s="1"/>
  <c r="E226" i="7"/>
  <c r="G227" i="8"/>
  <c r="H226" i="8"/>
  <c r="G201" i="6"/>
  <c r="H200" i="6"/>
  <c r="O200" i="6" s="1"/>
  <c r="P200" i="6" s="1"/>
  <c r="N200" i="6"/>
  <c r="M201" i="6"/>
  <c r="E227" i="8"/>
  <c r="F226" i="8"/>
  <c r="I226" i="8" s="1"/>
  <c r="J226" i="8" s="1"/>
  <c r="J201" i="6"/>
  <c r="I202" i="6"/>
  <c r="G230" i="7"/>
  <c r="H229" i="7"/>
  <c r="K201" i="6"/>
  <c r="L200" i="6"/>
  <c r="J202" i="6" l="1"/>
  <c r="I203" i="6"/>
  <c r="F227" i="8"/>
  <c r="I227" i="8" s="1"/>
  <c r="J227" i="8" s="1"/>
  <c r="E228" i="8"/>
  <c r="M202" i="6"/>
  <c r="N201" i="6"/>
  <c r="G231" i="7"/>
  <c r="H230" i="7"/>
  <c r="H201" i="6"/>
  <c r="O201" i="6" s="1"/>
  <c r="P201" i="6" s="1"/>
  <c r="G202" i="6"/>
  <c r="G228" i="8"/>
  <c r="H227" i="8"/>
  <c r="E227" i="7"/>
  <c r="I226" i="7"/>
  <c r="J226" i="7" s="1"/>
  <c r="F226" i="7"/>
  <c r="K202" i="6"/>
  <c r="L201" i="6"/>
  <c r="G229" i="8" l="1"/>
  <c r="H228" i="8"/>
  <c r="H202" i="6"/>
  <c r="O202" i="6" s="1"/>
  <c r="P202" i="6" s="1"/>
  <c r="G203" i="6"/>
  <c r="G232" i="7"/>
  <c r="H231" i="7"/>
  <c r="N202" i="6"/>
  <c r="M203" i="6"/>
  <c r="F228" i="8"/>
  <c r="I228" i="8" s="1"/>
  <c r="J228" i="8" s="1"/>
  <c r="E229" i="8"/>
  <c r="L202" i="6"/>
  <c r="K203" i="6"/>
  <c r="I204" i="6"/>
  <c r="J203" i="6"/>
  <c r="F227" i="7"/>
  <c r="E228" i="7"/>
  <c r="I227" i="7"/>
  <c r="J227" i="7" s="1"/>
  <c r="J204" i="6" l="1"/>
  <c r="I205" i="6"/>
  <c r="F229" i="8"/>
  <c r="I229" i="8" s="1"/>
  <c r="J229" i="8" s="1"/>
  <c r="E230" i="8"/>
  <c r="N203" i="6"/>
  <c r="M204" i="6"/>
  <c r="L203" i="6"/>
  <c r="K204" i="6"/>
  <c r="G233" i="7"/>
  <c r="H232" i="7"/>
  <c r="H203" i="6"/>
  <c r="O203" i="6" s="1"/>
  <c r="P203" i="6" s="1"/>
  <c r="G204" i="6"/>
  <c r="F228" i="7"/>
  <c r="I228" i="7" s="1"/>
  <c r="J228" i="7" s="1"/>
  <c r="E229" i="7"/>
  <c r="G230" i="8"/>
  <c r="H229" i="8"/>
  <c r="G205" i="6" l="1"/>
  <c r="H204" i="6"/>
  <c r="O204" i="6" s="1"/>
  <c r="P204" i="6" s="1"/>
  <c r="L204" i="6"/>
  <c r="K205" i="6"/>
  <c r="G234" i="7"/>
  <c r="H233" i="7"/>
  <c r="N204" i="6"/>
  <c r="M205" i="6"/>
  <c r="F229" i="7"/>
  <c r="I229" i="7"/>
  <c r="J229" i="7" s="1"/>
  <c r="E230" i="7"/>
  <c r="F230" i="8"/>
  <c r="I230" i="8" s="1"/>
  <c r="J230" i="8" s="1"/>
  <c r="E231" i="8"/>
  <c r="G231" i="8"/>
  <c r="H230" i="8"/>
  <c r="I206" i="6"/>
  <c r="J205" i="6"/>
  <c r="M206" i="6" l="1"/>
  <c r="N205" i="6"/>
  <c r="G232" i="8"/>
  <c r="H231" i="8"/>
  <c r="F231" i="8"/>
  <c r="I231" i="8" s="1"/>
  <c r="J231" i="8" s="1"/>
  <c r="E232" i="8"/>
  <c r="E231" i="7"/>
  <c r="F230" i="7"/>
  <c r="I230" i="7" s="1"/>
  <c r="J230" i="7" s="1"/>
  <c r="G235" i="7"/>
  <c r="H234" i="7"/>
  <c r="K206" i="6"/>
  <c r="L205" i="6"/>
  <c r="J206" i="6"/>
  <c r="I207" i="6"/>
  <c r="H205" i="6"/>
  <c r="O205" i="6" s="1"/>
  <c r="P205" i="6" s="1"/>
  <c r="G206" i="6"/>
  <c r="L206" i="6" l="1"/>
  <c r="K207" i="6"/>
  <c r="F231" i="7"/>
  <c r="I231" i="7" s="1"/>
  <c r="J231" i="7" s="1"/>
  <c r="E232" i="7"/>
  <c r="G236" i="7"/>
  <c r="H235" i="7"/>
  <c r="E233" i="8"/>
  <c r="F232" i="8"/>
  <c r="I232" i="8" s="1"/>
  <c r="J232" i="8" s="1"/>
  <c r="G233" i="8"/>
  <c r="H232" i="8"/>
  <c r="H206" i="6"/>
  <c r="O206" i="6" s="1"/>
  <c r="P206" i="6" s="1"/>
  <c r="G207" i="6"/>
  <c r="I208" i="6"/>
  <c r="J207" i="6"/>
  <c r="N206" i="6"/>
  <c r="M207" i="6"/>
  <c r="J208" i="6" l="1"/>
  <c r="I209" i="6"/>
  <c r="F233" i="8"/>
  <c r="I233" i="8" s="1"/>
  <c r="J233" i="8" s="1"/>
  <c r="E234" i="8"/>
  <c r="G237" i="7"/>
  <c r="H236" i="7"/>
  <c r="G234" i="8"/>
  <c r="H233" i="8"/>
  <c r="F232" i="7"/>
  <c r="I232" i="7" s="1"/>
  <c r="J232" i="7" s="1"/>
  <c r="E233" i="7"/>
  <c r="N207" i="6"/>
  <c r="M208" i="6"/>
  <c r="L207" i="6"/>
  <c r="O207" i="6" s="1"/>
  <c r="P207" i="6" s="1"/>
  <c r="K208" i="6"/>
  <c r="G208" i="6"/>
  <c r="H207" i="6"/>
  <c r="G235" i="8" l="1"/>
  <c r="H234" i="8"/>
  <c r="F233" i="7"/>
  <c r="I233" i="7" s="1"/>
  <c r="J233" i="7" s="1"/>
  <c r="E234" i="7"/>
  <c r="H237" i="7"/>
  <c r="G238" i="7"/>
  <c r="M209" i="6"/>
  <c r="N208" i="6"/>
  <c r="F234" i="8"/>
  <c r="I234" i="8" s="1"/>
  <c r="J234" i="8" s="1"/>
  <c r="E235" i="8"/>
  <c r="K209" i="6"/>
  <c r="L208" i="6"/>
  <c r="G209" i="6"/>
  <c r="H208" i="6"/>
  <c r="O208" i="6" s="1"/>
  <c r="P208" i="6" s="1"/>
  <c r="J209" i="6"/>
  <c r="I210" i="6"/>
  <c r="K210" i="6" l="1"/>
  <c r="L209" i="6"/>
  <c r="N209" i="6"/>
  <c r="M210" i="6"/>
  <c r="G239" i="7"/>
  <c r="H238" i="7"/>
  <c r="F235" i="8"/>
  <c r="E236" i="8"/>
  <c r="I234" i="7"/>
  <c r="J234" i="7" s="1"/>
  <c r="E235" i="7"/>
  <c r="F234" i="7"/>
  <c r="J210" i="6"/>
  <c r="I211" i="6"/>
  <c r="H209" i="6"/>
  <c r="O209" i="6" s="1"/>
  <c r="P209" i="6" s="1"/>
  <c r="G210" i="6"/>
  <c r="G236" i="8"/>
  <c r="H235" i="8"/>
  <c r="I235" i="8" s="1"/>
  <c r="J235" i="8" s="1"/>
  <c r="F235" i="7" l="1"/>
  <c r="I235" i="7" s="1"/>
  <c r="J235" i="7" s="1"/>
  <c r="E236" i="7"/>
  <c r="E237" i="8"/>
  <c r="F236" i="8"/>
  <c r="I236" i="8" s="1"/>
  <c r="J236" i="8" s="1"/>
  <c r="H239" i="7"/>
  <c r="G240" i="7"/>
  <c r="M211" i="6"/>
  <c r="N210" i="6"/>
  <c r="J211" i="6"/>
  <c r="I212" i="6"/>
  <c r="G237" i="8"/>
  <c r="H236" i="8"/>
  <c r="H210" i="6"/>
  <c r="G211" i="6"/>
  <c r="L210" i="6"/>
  <c r="O210" i="6" s="1"/>
  <c r="P210" i="6" s="1"/>
  <c r="K211" i="6"/>
  <c r="N211" i="6" l="1"/>
  <c r="M212" i="6"/>
  <c r="G241" i="7"/>
  <c r="H240" i="7"/>
  <c r="H211" i="6"/>
  <c r="O211" i="6" s="1"/>
  <c r="P211" i="6" s="1"/>
  <c r="G212" i="6"/>
  <c r="G238" i="8"/>
  <c r="H237" i="8"/>
  <c r="I237" i="8" s="1"/>
  <c r="J237" i="8" s="1"/>
  <c r="F237" i="8"/>
  <c r="E238" i="8"/>
  <c r="I213" i="6"/>
  <c r="J212" i="6"/>
  <c r="L211" i="6"/>
  <c r="K212" i="6"/>
  <c r="E237" i="7"/>
  <c r="F236" i="7"/>
  <c r="I236" i="7" s="1"/>
  <c r="J236" i="7" s="1"/>
  <c r="E239" i="8" l="1"/>
  <c r="F238" i="8"/>
  <c r="I238" i="8" s="1"/>
  <c r="J238" i="8" s="1"/>
  <c r="J213" i="6"/>
  <c r="I214" i="6"/>
  <c r="G239" i="8"/>
  <c r="H238" i="8"/>
  <c r="G213" i="6"/>
  <c r="H212" i="6"/>
  <c r="O212" i="6" s="1"/>
  <c r="P212" i="6" s="1"/>
  <c r="G242" i="7"/>
  <c r="H241" i="7"/>
  <c r="M213" i="6"/>
  <c r="N212" i="6"/>
  <c r="K213" i="6"/>
  <c r="L212" i="6"/>
  <c r="F237" i="7"/>
  <c r="I237" i="7" s="1"/>
  <c r="J237" i="7" s="1"/>
  <c r="E238" i="7"/>
  <c r="K214" i="6" l="1"/>
  <c r="L213" i="6"/>
  <c r="G243" i="7"/>
  <c r="H242" i="7"/>
  <c r="H213" i="6"/>
  <c r="O213" i="6" s="1"/>
  <c r="P213" i="6" s="1"/>
  <c r="G214" i="6"/>
  <c r="H239" i="8"/>
  <c r="I239" i="8" s="1"/>
  <c r="J239" i="8" s="1"/>
  <c r="G240" i="8"/>
  <c r="J214" i="6"/>
  <c r="I215" i="6"/>
  <c r="E239" i="7"/>
  <c r="F238" i="7"/>
  <c r="I238" i="7" s="1"/>
  <c r="J238" i="7" s="1"/>
  <c r="M214" i="6"/>
  <c r="N213" i="6"/>
  <c r="F239" i="8"/>
  <c r="E240" i="8"/>
  <c r="N214" i="6" l="1"/>
  <c r="M215" i="6"/>
  <c r="G241" i="8"/>
  <c r="H240" i="8"/>
  <c r="H214" i="6"/>
  <c r="O214" i="6" s="1"/>
  <c r="P214" i="6" s="1"/>
  <c r="G215" i="6"/>
  <c r="I216" i="6"/>
  <c r="J215" i="6"/>
  <c r="E241" i="8"/>
  <c r="F240" i="8"/>
  <c r="I240" i="8" s="1"/>
  <c r="J240" i="8" s="1"/>
  <c r="G244" i="7"/>
  <c r="H243" i="7"/>
  <c r="F239" i="7"/>
  <c r="I239" i="7" s="1"/>
  <c r="J239" i="7" s="1"/>
  <c r="E240" i="7"/>
  <c r="L214" i="6"/>
  <c r="K215" i="6"/>
  <c r="F241" i="8" l="1"/>
  <c r="I241" i="8" s="1"/>
  <c r="J241" i="8" s="1"/>
  <c r="E242" i="8"/>
  <c r="J216" i="6"/>
  <c r="I217" i="6"/>
  <c r="G245" i="7"/>
  <c r="H244" i="7"/>
  <c r="H215" i="6"/>
  <c r="O215" i="6" s="1"/>
  <c r="P215" i="6" s="1"/>
  <c r="G216" i="6"/>
  <c r="L215" i="6"/>
  <c r="K216" i="6"/>
  <c r="G242" i="8"/>
  <c r="H241" i="8"/>
  <c r="N215" i="6"/>
  <c r="M216" i="6"/>
  <c r="F240" i="7"/>
  <c r="I240" i="7" s="1"/>
  <c r="J240" i="7" s="1"/>
  <c r="E241" i="7"/>
  <c r="L216" i="6" l="1"/>
  <c r="K217" i="6"/>
  <c r="G217" i="6"/>
  <c r="H216" i="6"/>
  <c r="O216" i="6" s="1"/>
  <c r="P216" i="6" s="1"/>
  <c r="G246" i="7"/>
  <c r="H245" i="7"/>
  <c r="G243" i="8"/>
  <c r="H242" i="8"/>
  <c r="I218" i="6"/>
  <c r="J217" i="6"/>
  <c r="F241" i="7"/>
  <c r="I241" i="7" s="1"/>
  <c r="J241" i="7" s="1"/>
  <c r="E242" i="7"/>
  <c r="I242" i="8"/>
  <c r="J242" i="8" s="1"/>
  <c r="F242" i="8"/>
  <c r="E243" i="8"/>
  <c r="N216" i="6"/>
  <c r="M217" i="6"/>
  <c r="F242" i="7" l="1"/>
  <c r="I242" i="7" s="1"/>
  <c r="J242" i="7" s="1"/>
  <c r="E243" i="7"/>
  <c r="J218" i="6"/>
  <c r="I219" i="6"/>
  <c r="G244" i="8"/>
  <c r="H243" i="8"/>
  <c r="G247" i="7"/>
  <c r="H246" i="7"/>
  <c r="M218" i="6"/>
  <c r="N217" i="6"/>
  <c r="H217" i="6"/>
  <c r="O217" i="6" s="1"/>
  <c r="P217" i="6" s="1"/>
  <c r="G218" i="6"/>
  <c r="K218" i="6"/>
  <c r="L217" i="6"/>
  <c r="F243" i="8"/>
  <c r="I243" i="8" s="1"/>
  <c r="J243" i="8" s="1"/>
  <c r="E244" i="8"/>
  <c r="L218" i="6" l="1"/>
  <c r="K219" i="6"/>
  <c r="N218" i="6"/>
  <c r="M219" i="6"/>
  <c r="G248" i="7"/>
  <c r="H247" i="7"/>
  <c r="G245" i="8"/>
  <c r="H244" i="8"/>
  <c r="H218" i="6"/>
  <c r="O218" i="6" s="1"/>
  <c r="P218" i="6" s="1"/>
  <c r="G219" i="6"/>
  <c r="I220" i="6"/>
  <c r="J219" i="6"/>
  <c r="E245" i="8"/>
  <c r="F244" i="8"/>
  <c r="I244" i="8" s="1"/>
  <c r="J244" i="8" s="1"/>
  <c r="F243" i="7"/>
  <c r="I243" i="7" s="1"/>
  <c r="J243" i="7" s="1"/>
  <c r="E244" i="7"/>
  <c r="F245" i="8" l="1"/>
  <c r="I245" i="8" s="1"/>
  <c r="J245" i="8" s="1"/>
  <c r="E246" i="8"/>
  <c r="J220" i="6"/>
  <c r="I221" i="6"/>
  <c r="O219" i="6"/>
  <c r="P219" i="6" s="1"/>
  <c r="G220" i="6"/>
  <c r="H219" i="6"/>
  <c r="G246" i="8"/>
  <c r="H245" i="8"/>
  <c r="G249" i="7"/>
  <c r="H248" i="7"/>
  <c r="N219" i="6"/>
  <c r="M220" i="6"/>
  <c r="F244" i="7"/>
  <c r="I244" i="7" s="1"/>
  <c r="J244" i="7" s="1"/>
  <c r="E245" i="7"/>
  <c r="L219" i="6"/>
  <c r="K220" i="6"/>
  <c r="M221" i="6" l="1"/>
  <c r="N220" i="6"/>
  <c r="G250" i="7"/>
  <c r="H249" i="7"/>
  <c r="G247" i="8"/>
  <c r="H246" i="8"/>
  <c r="I246" i="8" s="1"/>
  <c r="J246" i="8" s="1"/>
  <c r="G221" i="6"/>
  <c r="H220" i="6"/>
  <c r="O220" i="6" s="1"/>
  <c r="P220" i="6" s="1"/>
  <c r="I222" i="6"/>
  <c r="J221" i="6"/>
  <c r="L220" i="6"/>
  <c r="K221" i="6"/>
  <c r="E247" i="8"/>
  <c r="F246" i="8"/>
  <c r="F245" i="7"/>
  <c r="I245" i="7" s="1"/>
  <c r="J245" i="7" s="1"/>
  <c r="E246" i="7"/>
  <c r="E247" i="7" l="1"/>
  <c r="F246" i="7"/>
  <c r="I246" i="7" s="1"/>
  <c r="J246" i="7" s="1"/>
  <c r="F247" i="8"/>
  <c r="I247" i="8" s="1"/>
  <c r="J247" i="8" s="1"/>
  <c r="E248" i="8"/>
  <c r="J222" i="6"/>
  <c r="I223" i="6"/>
  <c r="H221" i="6"/>
  <c r="O221" i="6" s="1"/>
  <c r="P221" i="6" s="1"/>
  <c r="G222" i="6"/>
  <c r="K222" i="6"/>
  <c r="L221" i="6"/>
  <c r="G248" i="8"/>
  <c r="H247" i="8"/>
  <c r="G251" i="7"/>
  <c r="H250" i="7"/>
  <c r="N221" i="6"/>
  <c r="M222" i="6"/>
  <c r="L222" i="6" l="1"/>
  <c r="K223" i="6"/>
  <c r="H222" i="6"/>
  <c r="O222" i="6" s="1"/>
  <c r="P222" i="6" s="1"/>
  <c r="G223" i="6"/>
  <c r="J223" i="6"/>
  <c r="I224" i="6"/>
  <c r="G252" i="7"/>
  <c r="H251" i="7"/>
  <c r="G249" i="8"/>
  <c r="H248" i="8"/>
  <c r="E249" i="8"/>
  <c r="F248" i="8"/>
  <c r="I248" i="8" s="1"/>
  <c r="J248" i="8" s="1"/>
  <c r="M223" i="6"/>
  <c r="N222" i="6"/>
  <c r="F247" i="7"/>
  <c r="I247" i="7" s="1"/>
  <c r="J247" i="7" s="1"/>
  <c r="E248" i="7"/>
  <c r="F249" i="8" l="1"/>
  <c r="E250" i="8"/>
  <c r="G253" i="7"/>
  <c r="H252" i="7"/>
  <c r="N223" i="6"/>
  <c r="M224" i="6"/>
  <c r="G250" i="8"/>
  <c r="H249" i="8"/>
  <c r="I249" i="8" s="1"/>
  <c r="J249" i="8" s="1"/>
  <c r="I225" i="6"/>
  <c r="J224" i="6"/>
  <c r="G224" i="6"/>
  <c r="H223" i="6"/>
  <c r="O223" i="6" s="1"/>
  <c r="P223" i="6" s="1"/>
  <c r="E249" i="7"/>
  <c r="F248" i="7"/>
  <c r="I248" i="7" s="1"/>
  <c r="J248" i="7" s="1"/>
  <c r="L223" i="6"/>
  <c r="K224" i="6"/>
  <c r="F249" i="7" l="1"/>
  <c r="I249" i="7" s="1"/>
  <c r="J249" i="7" s="1"/>
  <c r="E250" i="7"/>
  <c r="G225" i="6"/>
  <c r="H224" i="6"/>
  <c r="O224" i="6" s="1"/>
  <c r="P224" i="6" s="1"/>
  <c r="J225" i="6"/>
  <c r="I226" i="6"/>
  <c r="G251" i="8"/>
  <c r="H250" i="8"/>
  <c r="M225" i="6"/>
  <c r="N224" i="6"/>
  <c r="H253" i="7"/>
  <c r="G254" i="7"/>
  <c r="K225" i="6"/>
  <c r="L224" i="6"/>
  <c r="E251" i="8"/>
  <c r="F250" i="8"/>
  <c r="I250" i="8" s="1"/>
  <c r="J250" i="8" s="1"/>
  <c r="H251" i="8" l="1"/>
  <c r="G252" i="8"/>
  <c r="K226" i="6"/>
  <c r="L225" i="6"/>
  <c r="J226" i="6"/>
  <c r="I227" i="6"/>
  <c r="G255" i="7"/>
  <c r="H254" i="7"/>
  <c r="H225" i="6"/>
  <c r="O225" i="6" s="1"/>
  <c r="P225" i="6" s="1"/>
  <c r="G226" i="6"/>
  <c r="N225" i="6"/>
  <c r="M226" i="6"/>
  <c r="F250" i="7"/>
  <c r="I250" i="7" s="1"/>
  <c r="J250" i="7" s="1"/>
  <c r="E251" i="7"/>
  <c r="F251" i="8"/>
  <c r="I251" i="8" s="1"/>
  <c r="J251" i="8" s="1"/>
  <c r="E252" i="8"/>
  <c r="H226" i="6" l="1"/>
  <c r="G227" i="6"/>
  <c r="F251" i="7"/>
  <c r="I251" i="7" s="1"/>
  <c r="J251" i="7" s="1"/>
  <c r="E252" i="7"/>
  <c r="N226" i="6"/>
  <c r="M227" i="6"/>
  <c r="H255" i="7"/>
  <c r="G256" i="7"/>
  <c r="J227" i="6"/>
  <c r="I228" i="6"/>
  <c r="E253" i="8"/>
  <c r="F252" i="8"/>
  <c r="I252" i="8" s="1"/>
  <c r="J252" i="8" s="1"/>
  <c r="L226" i="6"/>
  <c r="O226" i="6" s="1"/>
  <c r="P226" i="6" s="1"/>
  <c r="K227" i="6"/>
  <c r="G253" i="8"/>
  <c r="H252" i="8"/>
  <c r="I229" i="6" l="1"/>
  <c r="J228" i="6"/>
  <c r="N227" i="6"/>
  <c r="M228" i="6"/>
  <c r="G257" i="7"/>
  <c r="H256" i="7"/>
  <c r="E253" i="7"/>
  <c r="F252" i="7"/>
  <c r="I252" i="7" s="1"/>
  <c r="J252" i="7" s="1"/>
  <c r="F253" i="8"/>
  <c r="I253" i="8" s="1"/>
  <c r="J253" i="8" s="1"/>
  <c r="E254" i="8"/>
  <c r="H253" i="8"/>
  <c r="G254" i="8"/>
  <c r="H227" i="6"/>
  <c r="O227" i="6" s="1"/>
  <c r="P227" i="6" s="1"/>
  <c r="G228" i="6"/>
  <c r="L227" i="6"/>
  <c r="K228" i="6"/>
  <c r="L228" i="6" l="1"/>
  <c r="K229" i="6"/>
  <c r="G255" i="8"/>
  <c r="H254" i="8"/>
  <c r="E255" i="8"/>
  <c r="F254" i="8"/>
  <c r="I254" i="8" s="1"/>
  <c r="J254" i="8" s="1"/>
  <c r="F253" i="7"/>
  <c r="I253" i="7" s="1"/>
  <c r="J253" i="7" s="1"/>
  <c r="E254" i="7"/>
  <c r="G258" i="7"/>
  <c r="H257" i="7"/>
  <c r="N228" i="6"/>
  <c r="M229" i="6"/>
  <c r="G229" i="6"/>
  <c r="H228" i="6"/>
  <c r="O228" i="6" s="1"/>
  <c r="P228" i="6" s="1"/>
  <c r="I230" i="6"/>
  <c r="J229" i="6"/>
  <c r="M230" i="6" l="1"/>
  <c r="N229" i="6"/>
  <c r="G259" i="7"/>
  <c r="H258" i="7"/>
  <c r="E255" i="7"/>
  <c r="I254" i="7"/>
  <c r="J254" i="7" s="1"/>
  <c r="F254" i="7"/>
  <c r="H229" i="6"/>
  <c r="O229" i="6" s="1"/>
  <c r="P229" i="6" s="1"/>
  <c r="G230" i="6"/>
  <c r="F255" i="8"/>
  <c r="E256" i="8"/>
  <c r="I255" i="8"/>
  <c r="J255" i="8" s="1"/>
  <c r="G256" i="8"/>
  <c r="H255" i="8"/>
  <c r="J230" i="6"/>
  <c r="I231" i="6"/>
  <c r="K230" i="6"/>
  <c r="L229" i="6"/>
  <c r="G257" i="8" l="1"/>
  <c r="H256" i="8"/>
  <c r="H230" i="6"/>
  <c r="O230" i="6"/>
  <c r="P230" i="6" s="1"/>
  <c r="G231" i="6"/>
  <c r="F255" i="7"/>
  <c r="I255" i="7" s="1"/>
  <c r="J255" i="7" s="1"/>
  <c r="E256" i="7"/>
  <c r="H259" i="7"/>
  <c r="G260" i="7"/>
  <c r="E257" i="8"/>
  <c r="F256" i="8"/>
  <c r="I256" i="8" s="1"/>
  <c r="J256" i="8" s="1"/>
  <c r="L230" i="6"/>
  <c r="K231" i="6"/>
  <c r="I232" i="6"/>
  <c r="J231" i="6"/>
  <c r="N230" i="6"/>
  <c r="M231" i="6"/>
  <c r="L231" i="6" l="1"/>
  <c r="K232" i="6"/>
  <c r="F257" i="8"/>
  <c r="I257" i="8" s="1"/>
  <c r="J257" i="8" s="1"/>
  <c r="E258" i="8"/>
  <c r="G261" i="7"/>
  <c r="H260" i="7"/>
  <c r="F256" i="7"/>
  <c r="I256" i="7" s="1"/>
  <c r="J256" i="7" s="1"/>
  <c r="E257" i="7"/>
  <c r="J232" i="6"/>
  <c r="I233" i="6"/>
  <c r="G232" i="6"/>
  <c r="H231" i="6"/>
  <c r="O231" i="6" s="1"/>
  <c r="P231" i="6" s="1"/>
  <c r="N231" i="6"/>
  <c r="M232" i="6"/>
  <c r="H257" i="8"/>
  <c r="G258" i="8"/>
  <c r="I234" i="6" l="1"/>
  <c r="J233" i="6"/>
  <c r="F257" i="7"/>
  <c r="I257" i="7" s="1"/>
  <c r="J257" i="7" s="1"/>
  <c r="E258" i="7"/>
  <c r="G262" i="7"/>
  <c r="H261" i="7"/>
  <c r="E259" i="8"/>
  <c r="F258" i="8"/>
  <c r="I258" i="8" s="1"/>
  <c r="J258" i="8" s="1"/>
  <c r="L232" i="6"/>
  <c r="K233" i="6"/>
  <c r="G233" i="6"/>
  <c r="H232" i="6"/>
  <c r="O232" i="6" s="1"/>
  <c r="P232" i="6" s="1"/>
  <c r="G259" i="8"/>
  <c r="H258" i="8"/>
  <c r="M233" i="6"/>
  <c r="N232" i="6"/>
  <c r="K234" i="6" l="1"/>
  <c r="L233" i="6"/>
  <c r="F259" i="8"/>
  <c r="I259" i="8" s="1"/>
  <c r="J259" i="8" s="1"/>
  <c r="E260" i="8"/>
  <c r="G263" i="7"/>
  <c r="H262" i="7"/>
  <c r="G260" i="8"/>
  <c r="H259" i="8"/>
  <c r="F258" i="7"/>
  <c r="I258" i="7" s="1"/>
  <c r="J258" i="7" s="1"/>
  <c r="E259" i="7"/>
  <c r="H233" i="6"/>
  <c r="O233" i="6" s="1"/>
  <c r="P233" i="6" s="1"/>
  <c r="G234" i="6"/>
  <c r="N233" i="6"/>
  <c r="M234" i="6"/>
  <c r="J234" i="6"/>
  <c r="I235" i="6"/>
  <c r="H234" i="6" l="1"/>
  <c r="O234" i="6" s="1"/>
  <c r="P234" i="6" s="1"/>
  <c r="G235" i="6"/>
  <c r="F259" i="7"/>
  <c r="I259" i="7" s="1"/>
  <c r="J259" i="7" s="1"/>
  <c r="E260" i="7"/>
  <c r="G261" i="8"/>
  <c r="H260" i="8"/>
  <c r="G264" i="7"/>
  <c r="H263" i="7"/>
  <c r="E261" i="8"/>
  <c r="I260" i="8"/>
  <c r="J260" i="8" s="1"/>
  <c r="F260" i="8"/>
  <c r="J235" i="6"/>
  <c r="I236" i="6"/>
  <c r="M235" i="6"/>
  <c r="N234" i="6"/>
  <c r="L234" i="6"/>
  <c r="K235" i="6"/>
  <c r="G265" i="7" l="1"/>
  <c r="H264" i="7"/>
  <c r="H261" i="8"/>
  <c r="G262" i="8"/>
  <c r="F261" i="8"/>
  <c r="I261" i="8" s="1"/>
  <c r="J261" i="8" s="1"/>
  <c r="E262" i="8"/>
  <c r="I237" i="6"/>
  <c r="J236" i="6"/>
  <c r="F260" i="7"/>
  <c r="I260" i="7"/>
  <c r="J260" i="7" s="1"/>
  <c r="E261" i="7"/>
  <c r="L235" i="6"/>
  <c r="O235" i="6" s="1"/>
  <c r="P235" i="6" s="1"/>
  <c r="K236" i="6"/>
  <c r="G236" i="6"/>
  <c r="H235" i="6"/>
  <c r="N235" i="6"/>
  <c r="M236" i="6"/>
  <c r="J237" i="6" l="1"/>
  <c r="I238" i="6"/>
  <c r="G237" i="6"/>
  <c r="H236" i="6"/>
  <c r="O236" i="6" s="1"/>
  <c r="P236" i="6" s="1"/>
  <c r="K237" i="6"/>
  <c r="L236" i="6"/>
  <c r="E263" i="8"/>
  <c r="F262" i="8"/>
  <c r="I262" i="8" s="1"/>
  <c r="J262" i="8" s="1"/>
  <c r="F261" i="7"/>
  <c r="I261" i="7" s="1"/>
  <c r="J261" i="7" s="1"/>
  <c r="E262" i="7"/>
  <c r="G263" i="8"/>
  <c r="H262" i="8"/>
  <c r="M237" i="6"/>
  <c r="N236" i="6"/>
  <c r="G266" i="7"/>
  <c r="H265" i="7"/>
  <c r="N237" i="6" l="1"/>
  <c r="M238" i="6"/>
  <c r="G264" i="8"/>
  <c r="H263" i="8"/>
  <c r="F263" i="8"/>
  <c r="I263" i="8" s="1"/>
  <c r="J263" i="8" s="1"/>
  <c r="E264" i="8"/>
  <c r="E263" i="7"/>
  <c r="F262" i="7"/>
  <c r="I262" i="7" s="1"/>
  <c r="J262" i="7" s="1"/>
  <c r="K238" i="6"/>
  <c r="L237" i="6"/>
  <c r="H237" i="6"/>
  <c r="O237" i="6" s="1"/>
  <c r="P237" i="6" s="1"/>
  <c r="G238" i="6"/>
  <c r="G267" i="7"/>
  <c r="H266" i="7"/>
  <c r="J238" i="6"/>
  <c r="I239" i="6"/>
  <c r="G268" i="7" l="1"/>
  <c r="H267" i="7"/>
  <c r="F263" i="7"/>
  <c r="I263" i="7" s="1"/>
  <c r="J263" i="7" s="1"/>
  <c r="E264" i="7"/>
  <c r="H238" i="6"/>
  <c r="O238" i="6" s="1"/>
  <c r="P238" i="6" s="1"/>
  <c r="G239" i="6"/>
  <c r="L238" i="6"/>
  <c r="K239" i="6"/>
  <c r="E265" i="8"/>
  <c r="F264" i="8"/>
  <c r="I264" i="8" s="1"/>
  <c r="J264" i="8" s="1"/>
  <c r="J239" i="6"/>
  <c r="I240" i="6"/>
  <c r="G265" i="8"/>
  <c r="H264" i="8"/>
  <c r="N238" i="6"/>
  <c r="M239" i="6"/>
  <c r="F265" i="8" l="1"/>
  <c r="I265" i="8" s="1"/>
  <c r="J265" i="8" s="1"/>
  <c r="E266" i="8"/>
  <c r="G266" i="8"/>
  <c r="H265" i="8"/>
  <c r="I241" i="6"/>
  <c r="J240" i="6"/>
  <c r="L239" i="6"/>
  <c r="K240" i="6"/>
  <c r="H239" i="6"/>
  <c r="O239" i="6" s="1"/>
  <c r="P239" i="6" s="1"/>
  <c r="G240" i="6"/>
  <c r="E265" i="7"/>
  <c r="F264" i="7"/>
  <c r="I264" i="7" s="1"/>
  <c r="J264" i="7" s="1"/>
  <c r="N239" i="6"/>
  <c r="M240" i="6"/>
  <c r="G269" i="7"/>
  <c r="H268" i="7"/>
  <c r="G241" i="6" l="1"/>
  <c r="H240" i="6"/>
  <c r="O240" i="6" s="1"/>
  <c r="P240" i="6" s="1"/>
  <c r="L240" i="6"/>
  <c r="K241" i="6"/>
  <c r="F265" i="7"/>
  <c r="I265" i="7" s="1"/>
  <c r="J265" i="7" s="1"/>
  <c r="E266" i="7"/>
  <c r="J241" i="6"/>
  <c r="I242" i="6"/>
  <c r="G267" i="8"/>
  <c r="H266" i="8"/>
  <c r="H269" i="7"/>
  <c r="G270" i="7"/>
  <c r="E267" i="8"/>
  <c r="F266" i="8"/>
  <c r="I266" i="8" s="1"/>
  <c r="J266" i="8" s="1"/>
  <c r="N240" i="6"/>
  <c r="M241" i="6"/>
  <c r="F267" i="8" l="1"/>
  <c r="I267" i="8" s="1"/>
  <c r="J267" i="8" s="1"/>
  <c r="E268" i="8"/>
  <c r="G271" i="7"/>
  <c r="H270" i="7"/>
  <c r="G268" i="8"/>
  <c r="H267" i="8"/>
  <c r="J242" i="6"/>
  <c r="I243" i="6"/>
  <c r="F266" i="7"/>
  <c r="I266" i="7" s="1"/>
  <c r="J266" i="7" s="1"/>
  <c r="E267" i="7"/>
  <c r="K242" i="6"/>
  <c r="L241" i="6"/>
  <c r="M242" i="6"/>
  <c r="N241" i="6"/>
  <c r="H241" i="6"/>
  <c r="O241" i="6" s="1"/>
  <c r="P241" i="6" s="1"/>
  <c r="G242" i="6"/>
  <c r="I244" i="6" l="1"/>
  <c r="J243" i="6"/>
  <c r="N242" i="6"/>
  <c r="M243" i="6"/>
  <c r="F267" i="7"/>
  <c r="I267" i="7" s="1"/>
  <c r="J267" i="7" s="1"/>
  <c r="E268" i="7"/>
  <c r="L242" i="6"/>
  <c r="K243" i="6"/>
  <c r="H271" i="7"/>
  <c r="G272" i="7"/>
  <c r="G269" i="8"/>
  <c r="H268" i="8"/>
  <c r="H242" i="6"/>
  <c r="O242" i="6" s="1"/>
  <c r="P242" i="6" s="1"/>
  <c r="G243" i="6"/>
  <c r="E269" i="8"/>
  <c r="F268" i="8"/>
  <c r="I268" i="8" s="1"/>
  <c r="J268" i="8" s="1"/>
  <c r="G273" i="7" l="1"/>
  <c r="H272" i="7"/>
  <c r="H269" i="8"/>
  <c r="G270" i="8"/>
  <c r="O243" i="6"/>
  <c r="P243" i="6" s="1"/>
  <c r="G244" i="6"/>
  <c r="H243" i="6"/>
  <c r="L243" i="6"/>
  <c r="K244" i="6"/>
  <c r="E269" i="7"/>
  <c r="F268" i="7"/>
  <c r="I268" i="7" s="1"/>
  <c r="J268" i="7" s="1"/>
  <c r="N243" i="6"/>
  <c r="M244" i="6"/>
  <c r="F269" i="8"/>
  <c r="I269" i="8" s="1"/>
  <c r="J269" i="8" s="1"/>
  <c r="E270" i="8"/>
  <c r="J244" i="6"/>
  <c r="I245" i="6"/>
  <c r="F269" i="7" l="1"/>
  <c r="I269" i="7" s="1"/>
  <c r="J269" i="7" s="1"/>
  <c r="E270" i="7"/>
  <c r="N244" i="6"/>
  <c r="M245" i="6"/>
  <c r="L244" i="6"/>
  <c r="K245" i="6"/>
  <c r="G245" i="6"/>
  <c r="H244" i="6"/>
  <c r="O244" i="6" s="1"/>
  <c r="P244" i="6" s="1"/>
  <c r="G271" i="8"/>
  <c r="H270" i="8"/>
  <c r="I246" i="6"/>
  <c r="J245" i="6"/>
  <c r="E271" i="8"/>
  <c r="F270" i="8"/>
  <c r="I270" i="8" s="1"/>
  <c r="J270" i="8" s="1"/>
  <c r="H273" i="7"/>
  <c r="G274" i="7"/>
  <c r="H245" i="6" l="1"/>
  <c r="O245" i="6" s="1"/>
  <c r="P245" i="6" s="1"/>
  <c r="G246" i="6"/>
  <c r="K246" i="6"/>
  <c r="L245" i="6"/>
  <c r="F271" i="8"/>
  <c r="I271" i="8" s="1"/>
  <c r="J271" i="8" s="1"/>
  <c r="E272" i="8"/>
  <c r="M246" i="6"/>
  <c r="N245" i="6"/>
  <c r="J246" i="6"/>
  <c r="I247" i="6"/>
  <c r="H271" i="8"/>
  <c r="G272" i="8"/>
  <c r="G275" i="7"/>
  <c r="H274" i="7"/>
  <c r="E271" i="7"/>
  <c r="F270" i="7"/>
  <c r="I270" i="7" s="1"/>
  <c r="J270" i="7" s="1"/>
  <c r="I248" i="6" l="1"/>
  <c r="J247" i="6"/>
  <c r="G273" i="8"/>
  <c r="H272" i="8"/>
  <c r="M247" i="6"/>
  <c r="N246" i="6"/>
  <c r="E273" i="8"/>
  <c r="F272" i="8"/>
  <c r="I272" i="8" s="1"/>
  <c r="J272" i="8" s="1"/>
  <c r="G276" i="7"/>
  <c r="H275" i="7"/>
  <c r="L246" i="6"/>
  <c r="K247" i="6"/>
  <c r="H246" i="6"/>
  <c r="O246" i="6" s="1"/>
  <c r="P246" i="6" s="1"/>
  <c r="G247" i="6"/>
  <c r="F271" i="7"/>
  <c r="I271" i="7" s="1"/>
  <c r="J271" i="7" s="1"/>
  <c r="E272" i="7"/>
  <c r="G248" i="6" l="1"/>
  <c r="H247" i="6"/>
  <c r="O247" i="6" s="1"/>
  <c r="P247" i="6" s="1"/>
  <c r="F273" i="8"/>
  <c r="I273" i="8" s="1"/>
  <c r="J273" i="8" s="1"/>
  <c r="E274" i="8"/>
  <c r="N247" i="6"/>
  <c r="M248" i="6"/>
  <c r="L247" i="6"/>
  <c r="K248" i="6"/>
  <c r="G277" i="7"/>
  <c r="H276" i="7"/>
  <c r="H273" i="8"/>
  <c r="G274" i="8"/>
  <c r="I272" i="7"/>
  <c r="J272" i="7" s="1"/>
  <c r="F272" i="7"/>
  <c r="E273" i="7"/>
  <c r="I249" i="6"/>
  <c r="J248" i="6"/>
  <c r="K249" i="6" l="1"/>
  <c r="L248" i="6"/>
  <c r="M249" i="6"/>
  <c r="N248" i="6"/>
  <c r="G275" i="8"/>
  <c r="H274" i="8"/>
  <c r="G278" i="7"/>
  <c r="H277" i="7"/>
  <c r="J249" i="6"/>
  <c r="I250" i="6"/>
  <c r="G249" i="6"/>
  <c r="H248" i="6"/>
  <c r="O248" i="6"/>
  <c r="P248" i="6" s="1"/>
  <c r="E275" i="8"/>
  <c r="F274" i="8"/>
  <c r="I274" i="8" s="1"/>
  <c r="J274" i="8" s="1"/>
  <c r="F273" i="7"/>
  <c r="I273" i="7"/>
  <c r="J273" i="7" s="1"/>
  <c r="E274" i="7"/>
  <c r="H249" i="6" l="1"/>
  <c r="O249" i="6" s="1"/>
  <c r="P249" i="6" s="1"/>
  <c r="G250" i="6"/>
  <c r="G279" i="7"/>
  <c r="H278" i="7"/>
  <c r="G276" i="8"/>
  <c r="H275" i="8"/>
  <c r="F275" i="8"/>
  <c r="I275" i="8" s="1"/>
  <c r="J275" i="8" s="1"/>
  <c r="E276" i="8"/>
  <c r="J250" i="6"/>
  <c r="I251" i="6"/>
  <c r="E275" i="7"/>
  <c r="F274" i="7"/>
  <c r="I274" i="7" s="1"/>
  <c r="J274" i="7" s="1"/>
  <c r="N249" i="6"/>
  <c r="M250" i="6"/>
  <c r="K250" i="6"/>
  <c r="L249" i="6"/>
  <c r="M251" i="6" l="1"/>
  <c r="N250" i="6"/>
  <c r="E277" i="8"/>
  <c r="F276" i="8"/>
  <c r="I276" i="8" s="1"/>
  <c r="J276" i="8" s="1"/>
  <c r="F275" i="7"/>
  <c r="I275" i="7" s="1"/>
  <c r="J275" i="7" s="1"/>
  <c r="E276" i="7"/>
  <c r="G280" i="7"/>
  <c r="H279" i="7"/>
  <c r="H250" i="6"/>
  <c r="G251" i="6"/>
  <c r="J251" i="6"/>
  <c r="I252" i="6"/>
  <c r="G277" i="8"/>
  <c r="H276" i="8"/>
  <c r="L250" i="6"/>
  <c r="O250" i="6" s="1"/>
  <c r="P250" i="6" s="1"/>
  <c r="K251" i="6"/>
  <c r="G278" i="8" l="1"/>
  <c r="H277" i="8"/>
  <c r="H251" i="6"/>
  <c r="O251" i="6" s="1"/>
  <c r="P251" i="6" s="1"/>
  <c r="G252" i="6"/>
  <c r="G281" i="7"/>
  <c r="H280" i="7"/>
  <c r="F276" i="7"/>
  <c r="I276" i="7"/>
  <c r="J276" i="7" s="1"/>
  <c r="E277" i="7"/>
  <c r="I253" i="6"/>
  <c r="J252" i="6"/>
  <c r="L251" i="6"/>
  <c r="K252" i="6"/>
  <c r="F277" i="8"/>
  <c r="I277" i="8" s="1"/>
  <c r="J277" i="8" s="1"/>
  <c r="E278" i="8"/>
  <c r="N251" i="6"/>
  <c r="M252" i="6"/>
  <c r="F277" i="7" l="1"/>
  <c r="I277" i="7" s="1"/>
  <c r="J277" i="7" s="1"/>
  <c r="E278" i="7"/>
  <c r="K253" i="6"/>
  <c r="L252" i="6"/>
  <c r="J253" i="6"/>
  <c r="I254" i="6"/>
  <c r="G282" i="7"/>
  <c r="H281" i="7"/>
  <c r="G253" i="6"/>
  <c r="H252" i="6"/>
  <c r="O252" i="6" s="1"/>
  <c r="P252" i="6" s="1"/>
  <c r="N252" i="6"/>
  <c r="M253" i="6"/>
  <c r="E279" i="8"/>
  <c r="F278" i="8"/>
  <c r="I278" i="8" s="1"/>
  <c r="J278" i="8" s="1"/>
  <c r="G279" i="8"/>
  <c r="H278" i="8"/>
  <c r="M254" i="6" l="1"/>
  <c r="N253" i="6"/>
  <c r="F279" i="8"/>
  <c r="I279" i="8" s="1"/>
  <c r="J279" i="8" s="1"/>
  <c r="E280" i="8"/>
  <c r="H253" i="6"/>
  <c r="O253" i="6" s="1"/>
  <c r="P253" i="6" s="1"/>
  <c r="G254" i="6"/>
  <c r="G283" i="7"/>
  <c r="H282" i="7"/>
  <c r="J254" i="6"/>
  <c r="I255" i="6"/>
  <c r="K254" i="6"/>
  <c r="L253" i="6"/>
  <c r="G280" i="8"/>
  <c r="H279" i="8"/>
  <c r="E279" i="7"/>
  <c r="F278" i="7"/>
  <c r="I278" i="7" s="1"/>
  <c r="J278" i="7" s="1"/>
  <c r="I256" i="6" l="1"/>
  <c r="J255" i="6"/>
  <c r="L254" i="6"/>
  <c r="K255" i="6"/>
  <c r="G284" i="7"/>
  <c r="H283" i="7"/>
  <c r="H254" i="6"/>
  <c r="O254" i="6" s="1"/>
  <c r="P254" i="6" s="1"/>
  <c r="G255" i="6"/>
  <c r="E281" i="8"/>
  <c r="I280" i="8"/>
  <c r="J280" i="8" s="1"/>
  <c r="F280" i="8"/>
  <c r="G281" i="8"/>
  <c r="H280" i="8"/>
  <c r="F279" i="7"/>
  <c r="I279" i="7" s="1"/>
  <c r="J279" i="7" s="1"/>
  <c r="E280" i="7"/>
  <c r="N254" i="6"/>
  <c r="M255" i="6"/>
  <c r="H281" i="8" l="1"/>
  <c r="G282" i="8"/>
  <c r="F281" i="8"/>
  <c r="I281" i="8" s="1"/>
  <c r="J281" i="8" s="1"/>
  <c r="E282" i="8"/>
  <c r="G256" i="6"/>
  <c r="H255" i="6"/>
  <c r="O255" i="6" s="1"/>
  <c r="P255" i="6" s="1"/>
  <c r="G285" i="7"/>
  <c r="H284" i="7"/>
  <c r="L255" i="6"/>
  <c r="K256" i="6"/>
  <c r="N255" i="6"/>
  <c r="M256" i="6"/>
  <c r="F280" i="7"/>
  <c r="I280" i="7" s="1"/>
  <c r="J280" i="7" s="1"/>
  <c r="E281" i="7"/>
  <c r="J256" i="6"/>
  <c r="I257" i="6"/>
  <c r="H285" i="7" l="1"/>
  <c r="G286" i="7"/>
  <c r="G257" i="6"/>
  <c r="H256" i="6"/>
  <c r="O256" i="6" s="1"/>
  <c r="P256" i="6" s="1"/>
  <c r="L256" i="6"/>
  <c r="K257" i="6"/>
  <c r="E283" i="8"/>
  <c r="F282" i="8"/>
  <c r="I282" i="8" s="1"/>
  <c r="J282" i="8" s="1"/>
  <c r="G283" i="8"/>
  <c r="H282" i="8"/>
  <c r="N256" i="6"/>
  <c r="M257" i="6"/>
  <c r="I258" i="6"/>
  <c r="J257" i="6"/>
  <c r="F281" i="7"/>
  <c r="I281" i="7" s="1"/>
  <c r="J281" i="7" s="1"/>
  <c r="E282" i="7"/>
  <c r="J258" i="6" l="1"/>
  <c r="I259" i="6"/>
  <c r="F283" i="8"/>
  <c r="I283" i="8" s="1"/>
  <c r="J283" i="8" s="1"/>
  <c r="E284" i="8"/>
  <c r="K258" i="6"/>
  <c r="L257" i="6"/>
  <c r="H283" i="8"/>
  <c r="G284" i="8"/>
  <c r="M258" i="6"/>
  <c r="N257" i="6"/>
  <c r="H257" i="6"/>
  <c r="G258" i="6"/>
  <c r="O257" i="6"/>
  <c r="P257" i="6" s="1"/>
  <c r="F282" i="7"/>
  <c r="I282" i="7" s="1"/>
  <c r="J282" i="7" s="1"/>
  <c r="E283" i="7"/>
  <c r="G287" i="7"/>
  <c r="H286" i="7"/>
  <c r="N258" i="6" l="1"/>
  <c r="M259" i="6"/>
  <c r="L258" i="6"/>
  <c r="O258" i="6" s="1"/>
  <c r="P258" i="6" s="1"/>
  <c r="K259" i="6"/>
  <c r="E285" i="8"/>
  <c r="F284" i="8"/>
  <c r="I284" i="8" s="1"/>
  <c r="J284" i="8" s="1"/>
  <c r="H258" i="6"/>
  <c r="G259" i="6"/>
  <c r="G285" i="8"/>
  <c r="H284" i="8"/>
  <c r="G288" i="7"/>
  <c r="H287" i="7"/>
  <c r="I260" i="6"/>
  <c r="J259" i="6"/>
  <c r="F283" i="7"/>
  <c r="I283" i="7" s="1"/>
  <c r="J283" i="7" s="1"/>
  <c r="E284" i="7"/>
  <c r="G260" i="6" l="1"/>
  <c r="H259" i="6"/>
  <c r="O259" i="6" s="1"/>
  <c r="P259" i="6" s="1"/>
  <c r="G289" i="7"/>
  <c r="H288" i="7"/>
  <c r="H285" i="8"/>
  <c r="G286" i="8"/>
  <c r="F285" i="8"/>
  <c r="I285" i="8" s="1"/>
  <c r="J285" i="8" s="1"/>
  <c r="E286" i="8"/>
  <c r="L259" i="6"/>
  <c r="K260" i="6"/>
  <c r="J260" i="6"/>
  <c r="I261" i="6"/>
  <c r="E285" i="7"/>
  <c r="F284" i="7"/>
  <c r="I284" i="7" s="1"/>
  <c r="J284" i="7" s="1"/>
  <c r="N259" i="6"/>
  <c r="M260" i="6"/>
  <c r="F285" i="7" l="1"/>
  <c r="I285" i="7" s="1"/>
  <c r="J285" i="7" s="1"/>
  <c r="E286" i="7"/>
  <c r="K261" i="6"/>
  <c r="L260" i="6"/>
  <c r="E287" i="8"/>
  <c r="F286" i="8"/>
  <c r="I286" i="8" s="1"/>
  <c r="J286" i="8" s="1"/>
  <c r="G287" i="8"/>
  <c r="H286" i="8"/>
  <c r="J261" i="6"/>
  <c r="I262" i="6"/>
  <c r="H289" i="7"/>
  <c r="G290" i="7"/>
  <c r="M261" i="6"/>
  <c r="N260" i="6"/>
  <c r="G261" i="6"/>
  <c r="H260" i="6"/>
  <c r="O260" i="6" s="1"/>
  <c r="P260" i="6" s="1"/>
  <c r="N261" i="6" l="1"/>
  <c r="M262" i="6"/>
  <c r="J262" i="6"/>
  <c r="I263" i="6"/>
  <c r="G291" i="7"/>
  <c r="H290" i="7"/>
  <c r="G288" i="8"/>
  <c r="H287" i="8"/>
  <c r="F287" i="8"/>
  <c r="E288" i="8"/>
  <c r="I287" i="8"/>
  <c r="J287" i="8" s="1"/>
  <c r="K262" i="6"/>
  <c r="L261" i="6"/>
  <c r="E287" i="7"/>
  <c r="F286" i="7"/>
  <c r="I286" i="7" s="1"/>
  <c r="J286" i="7" s="1"/>
  <c r="H261" i="6"/>
  <c r="O261" i="6" s="1"/>
  <c r="P261" i="6" s="1"/>
  <c r="G262" i="6"/>
  <c r="L262" i="6" l="1"/>
  <c r="K263" i="6"/>
  <c r="G289" i="8"/>
  <c r="H288" i="8"/>
  <c r="I288" i="8" s="1"/>
  <c r="J288" i="8" s="1"/>
  <c r="G292" i="7"/>
  <c r="H291" i="7"/>
  <c r="J263" i="6"/>
  <c r="I264" i="6"/>
  <c r="F287" i="7"/>
  <c r="I287" i="7" s="1"/>
  <c r="J287" i="7" s="1"/>
  <c r="E288" i="7"/>
  <c r="E289" i="8"/>
  <c r="F288" i="8"/>
  <c r="H262" i="6"/>
  <c r="O262" i="6" s="1"/>
  <c r="P262" i="6" s="1"/>
  <c r="G263" i="6"/>
  <c r="M263" i="6"/>
  <c r="N262" i="6"/>
  <c r="H263" i="6" l="1"/>
  <c r="O263" i="6" s="1"/>
  <c r="P263" i="6" s="1"/>
  <c r="G264" i="6"/>
  <c r="I265" i="6"/>
  <c r="J264" i="6"/>
  <c r="F289" i="8"/>
  <c r="I289" i="8" s="1"/>
  <c r="J289" i="8" s="1"/>
  <c r="E290" i="8"/>
  <c r="G293" i="7"/>
  <c r="H292" i="7"/>
  <c r="E289" i="7"/>
  <c r="F288" i="7"/>
  <c r="I288" i="7" s="1"/>
  <c r="J288" i="7" s="1"/>
  <c r="H289" i="8"/>
  <c r="G290" i="8"/>
  <c r="N263" i="6"/>
  <c r="M264" i="6"/>
  <c r="L263" i="6"/>
  <c r="K264" i="6"/>
  <c r="G291" i="8" l="1"/>
  <c r="H290" i="8"/>
  <c r="E291" i="8"/>
  <c r="F290" i="8"/>
  <c r="I290" i="8" s="1"/>
  <c r="J290" i="8" s="1"/>
  <c r="F289" i="7"/>
  <c r="I289" i="7" s="1"/>
  <c r="J289" i="7" s="1"/>
  <c r="E290" i="7"/>
  <c r="G294" i="7"/>
  <c r="H293" i="7"/>
  <c r="J265" i="6"/>
  <c r="I266" i="6"/>
  <c r="K265" i="6"/>
  <c r="L264" i="6"/>
  <c r="O264" i="6" s="1"/>
  <c r="P264" i="6" s="1"/>
  <c r="G265" i="6"/>
  <c r="H264" i="6"/>
  <c r="N264" i="6"/>
  <c r="M265" i="6"/>
  <c r="H265" i="6" l="1"/>
  <c r="O265" i="6" s="1"/>
  <c r="P265" i="6" s="1"/>
  <c r="G266" i="6"/>
  <c r="J266" i="6"/>
  <c r="I267" i="6"/>
  <c r="G295" i="7"/>
  <c r="H294" i="7"/>
  <c r="E291" i="7"/>
  <c r="F290" i="7"/>
  <c r="I290" i="7" s="1"/>
  <c r="J290" i="7" s="1"/>
  <c r="K266" i="6"/>
  <c r="L265" i="6"/>
  <c r="M266" i="6"/>
  <c r="N265" i="6"/>
  <c r="F291" i="8"/>
  <c r="I291" i="8" s="1"/>
  <c r="J291" i="8" s="1"/>
  <c r="E292" i="8"/>
  <c r="G292" i="8"/>
  <c r="H291" i="8"/>
  <c r="F291" i="7" l="1"/>
  <c r="I291" i="7" s="1"/>
  <c r="J291" i="7" s="1"/>
  <c r="E292" i="7"/>
  <c r="N266" i="6"/>
  <c r="M267" i="6"/>
  <c r="E293" i="8"/>
  <c r="F292" i="8"/>
  <c r="I292" i="8" s="1"/>
  <c r="J292" i="8" s="1"/>
  <c r="G296" i="7"/>
  <c r="H295" i="7"/>
  <c r="L266" i="6"/>
  <c r="O266" i="6" s="1"/>
  <c r="P266" i="6" s="1"/>
  <c r="K267" i="6"/>
  <c r="I268" i="6"/>
  <c r="J267" i="6"/>
  <c r="G293" i="8"/>
  <c r="H292" i="8"/>
  <c r="H266" i="6"/>
  <c r="G267" i="6"/>
  <c r="G297" i="7" l="1"/>
  <c r="H296" i="7"/>
  <c r="F293" i="8"/>
  <c r="I293" i="8" s="1"/>
  <c r="J293" i="8" s="1"/>
  <c r="E294" i="8"/>
  <c r="H293" i="8"/>
  <c r="G294" i="8"/>
  <c r="J268" i="6"/>
  <c r="I269" i="6"/>
  <c r="L267" i="6"/>
  <c r="K268" i="6"/>
  <c r="N267" i="6"/>
  <c r="M268" i="6"/>
  <c r="H267" i="6"/>
  <c r="O267" i="6" s="1"/>
  <c r="P267" i="6" s="1"/>
  <c r="G268" i="6"/>
  <c r="F292" i="7"/>
  <c r="I292" i="7"/>
  <c r="J292" i="7" s="1"/>
  <c r="E293" i="7"/>
  <c r="G269" i="6" l="1"/>
  <c r="H268" i="6"/>
  <c r="O268" i="6" s="1"/>
  <c r="P268" i="6" s="1"/>
  <c r="N268" i="6"/>
  <c r="M269" i="6"/>
  <c r="L268" i="6"/>
  <c r="K269" i="6"/>
  <c r="G295" i="8"/>
  <c r="H294" i="8"/>
  <c r="I270" i="6"/>
  <c r="J269" i="6"/>
  <c r="E295" i="8"/>
  <c r="I294" i="8"/>
  <c r="J294" i="8" s="1"/>
  <c r="F294" i="8"/>
  <c r="F293" i="7"/>
  <c r="I293" i="7" s="1"/>
  <c r="J293" i="7" s="1"/>
  <c r="E294" i="7"/>
  <c r="H297" i="7"/>
  <c r="G298" i="7"/>
  <c r="E295" i="7" l="1"/>
  <c r="F294" i="7"/>
  <c r="I294" i="7" s="1"/>
  <c r="J294" i="7" s="1"/>
  <c r="H295" i="8"/>
  <c r="I295" i="8" s="1"/>
  <c r="J295" i="8" s="1"/>
  <c r="G296" i="8"/>
  <c r="K270" i="6"/>
  <c r="L269" i="6"/>
  <c r="F295" i="8"/>
  <c r="E296" i="8"/>
  <c r="J270" i="6"/>
  <c r="I271" i="6"/>
  <c r="M270" i="6"/>
  <c r="N269" i="6"/>
  <c r="G299" i="7"/>
  <c r="H298" i="7"/>
  <c r="H269" i="6"/>
  <c r="O269" i="6" s="1"/>
  <c r="P269" i="6" s="1"/>
  <c r="G270" i="6"/>
  <c r="N270" i="6" l="1"/>
  <c r="M271" i="6"/>
  <c r="I272" i="6"/>
  <c r="J271" i="6"/>
  <c r="E297" i="8"/>
  <c r="F296" i="8"/>
  <c r="I296" i="8" s="1"/>
  <c r="J296" i="8" s="1"/>
  <c r="G300" i="7"/>
  <c r="H299" i="7"/>
  <c r="L270" i="6"/>
  <c r="K271" i="6"/>
  <c r="G297" i="8"/>
  <c r="H296" i="8"/>
  <c r="H270" i="6"/>
  <c r="O270" i="6" s="1"/>
  <c r="P270" i="6" s="1"/>
  <c r="G271" i="6"/>
  <c r="F295" i="7"/>
  <c r="I295" i="7" s="1"/>
  <c r="J295" i="7" s="1"/>
  <c r="E296" i="7"/>
  <c r="G272" i="6" l="1"/>
  <c r="H271" i="6"/>
  <c r="O271" i="6" s="1"/>
  <c r="P271" i="6" s="1"/>
  <c r="G301" i="7"/>
  <c r="H300" i="7"/>
  <c r="G298" i="8"/>
  <c r="H297" i="8"/>
  <c r="F297" i="8"/>
  <c r="I297" i="8" s="1"/>
  <c r="J297" i="8" s="1"/>
  <c r="E298" i="8"/>
  <c r="J272" i="6"/>
  <c r="I273" i="6"/>
  <c r="L271" i="6"/>
  <c r="K272" i="6"/>
  <c r="F296" i="7"/>
  <c r="I296" i="7" s="1"/>
  <c r="J296" i="7" s="1"/>
  <c r="E297" i="7"/>
  <c r="N271" i="6"/>
  <c r="M272" i="6"/>
  <c r="G299" i="8" l="1"/>
  <c r="H298" i="8"/>
  <c r="K273" i="6"/>
  <c r="L272" i="6"/>
  <c r="H301" i="7"/>
  <c r="G302" i="7"/>
  <c r="G273" i="6"/>
  <c r="H272" i="6"/>
  <c r="O272" i="6" s="1"/>
  <c r="P272" i="6" s="1"/>
  <c r="J273" i="6"/>
  <c r="I274" i="6"/>
  <c r="E299" i="8"/>
  <c r="F298" i="8"/>
  <c r="I298" i="8" s="1"/>
  <c r="J298" i="8" s="1"/>
  <c r="M273" i="6"/>
  <c r="N272" i="6"/>
  <c r="F297" i="7"/>
  <c r="I297" i="7" s="1"/>
  <c r="J297" i="7" s="1"/>
  <c r="E298" i="7"/>
  <c r="F299" i="8" l="1"/>
  <c r="I299" i="8" s="1"/>
  <c r="J299" i="8" s="1"/>
  <c r="E300" i="8"/>
  <c r="J274" i="6"/>
  <c r="I275" i="6"/>
  <c r="H273" i="6"/>
  <c r="O273" i="6" s="1"/>
  <c r="P273" i="6" s="1"/>
  <c r="G274" i="6"/>
  <c r="G303" i="7"/>
  <c r="H302" i="7"/>
  <c r="N273" i="6"/>
  <c r="M274" i="6"/>
  <c r="K274" i="6"/>
  <c r="L273" i="6"/>
  <c r="E299" i="7"/>
  <c r="F298" i="7"/>
  <c r="I298" i="7" s="1"/>
  <c r="J298" i="7" s="1"/>
  <c r="G300" i="8"/>
  <c r="H299" i="8"/>
  <c r="F299" i="7" l="1"/>
  <c r="I299" i="7" s="1"/>
  <c r="J299" i="7" s="1"/>
  <c r="E300" i="7"/>
  <c r="H274" i="6"/>
  <c r="O274" i="6" s="1"/>
  <c r="P274" i="6" s="1"/>
  <c r="G275" i="6"/>
  <c r="L274" i="6"/>
  <c r="K275" i="6"/>
  <c r="G304" i="7"/>
  <c r="H303" i="7"/>
  <c r="M275" i="6"/>
  <c r="N274" i="6"/>
  <c r="J275" i="6"/>
  <c r="I276" i="6"/>
  <c r="G301" i="8"/>
  <c r="H300" i="8"/>
  <c r="E301" i="8"/>
  <c r="F300" i="8"/>
  <c r="I300" i="8" s="1"/>
  <c r="J300" i="8" s="1"/>
  <c r="L275" i="6" l="1"/>
  <c r="K276" i="6"/>
  <c r="N275" i="6"/>
  <c r="M276" i="6"/>
  <c r="G305" i="7"/>
  <c r="H304" i="7"/>
  <c r="H301" i="8"/>
  <c r="G302" i="8"/>
  <c r="H275" i="6"/>
  <c r="O275" i="6" s="1"/>
  <c r="P275" i="6" s="1"/>
  <c r="G276" i="6"/>
  <c r="I277" i="6"/>
  <c r="J276" i="6"/>
  <c r="E301" i="7"/>
  <c r="F300" i="7"/>
  <c r="I300" i="7" s="1"/>
  <c r="J300" i="7" s="1"/>
  <c r="F301" i="8"/>
  <c r="I301" i="8" s="1"/>
  <c r="J301" i="8" s="1"/>
  <c r="E302" i="8"/>
  <c r="G303" i="8" l="1"/>
  <c r="H302" i="8"/>
  <c r="H305" i="7"/>
  <c r="G306" i="7"/>
  <c r="J277" i="6"/>
  <c r="I278" i="6"/>
  <c r="G277" i="6"/>
  <c r="H276" i="6"/>
  <c r="O276" i="6" s="1"/>
  <c r="P276" i="6" s="1"/>
  <c r="M277" i="6"/>
  <c r="N276" i="6"/>
  <c r="F301" i="7"/>
  <c r="I301" i="7" s="1"/>
  <c r="J301" i="7" s="1"/>
  <c r="E302" i="7"/>
  <c r="E303" i="8"/>
  <c r="I302" i="8"/>
  <c r="J302" i="8" s="1"/>
  <c r="F302" i="8"/>
  <c r="K277" i="6"/>
  <c r="L276" i="6"/>
  <c r="F303" i="8" l="1"/>
  <c r="I303" i="8" s="1"/>
  <c r="J303" i="8" s="1"/>
  <c r="E304" i="8"/>
  <c r="M278" i="6"/>
  <c r="N277" i="6"/>
  <c r="H277" i="6"/>
  <c r="O277" i="6" s="1"/>
  <c r="P277" i="6" s="1"/>
  <c r="G278" i="6"/>
  <c r="J278" i="6"/>
  <c r="I279" i="6"/>
  <c r="E303" i="7"/>
  <c r="F302" i="7"/>
  <c r="I302" i="7" s="1"/>
  <c r="J302" i="7" s="1"/>
  <c r="G307" i="7"/>
  <c r="H306" i="7"/>
  <c r="K278" i="6"/>
  <c r="L277" i="6"/>
  <c r="G304" i="8"/>
  <c r="H303" i="8"/>
  <c r="G308" i="7" l="1"/>
  <c r="H307" i="7"/>
  <c r="F303" i="7"/>
  <c r="I303" i="7" s="1"/>
  <c r="J303" i="7" s="1"/>
  <c r="E304" i="7"/>
  <c r="I280" i="6"/>
  <c r="J279" i="6"/>
  <c r="H278" i="6"/>
  <c r="G279" i="6"/>
  <c r="L278" i="6"/>
  <c r="O278" i="6" s="1"/>
  <c r="P278" i="6" s="1"/>
  <c r="K279" i="6"/>
  <c r="N278" i="6"/>
  <c r="M279" i="6"/>
  <c r="G305" i="8"/>
  <c r="H304" i="8"/>
  <c r="E305" i="8"/>
  <c r="F304" i="8"/>
  <c r="I304" i="8" s="1"/>
  <c r="J304" i="8" s="1"/>
  <c r="H279" i="6" l="1"/>
  <c r="O279" i="6" s="1"/>
  <c r="P279" i="6" s="1"/>
  <c r="G280" i="6"/>
  <c r="N279" i="6"/>
  <c r="M280" i="6"/>
  <c r="L279" i="6"/>
  <c r="K280" i="6"/>
  <c r="H305" i="8"/>
  <c r="G306" i="8"/>
  <c r="J280" i="6"/>
  <c r="I281" i="6"/>
  <c r="F304" i="7"/>
  <c r="I304" i="7" s="1"/>
  <c r="J304" i="7" s="1"/>
  <c r="E305" i="7"/>
  <c r="F305" i="8"/>
  <c r="I305" i="8" s="1"/>
  <c r="J305" i="8" s="1"/>
  <c r="E306" i="8"/>
  <c r="G309" i="7"/>
  <c r="H308" i="7"/>
  <c r="G307" i="8" l="1"/>
  <c r="H306" i="8"/>
  <c r="L280" i="6"/>
  <c r="K281" i="6"/>
  <c r="N280" i="6"/>
  <c r="M281" i="6"/>
  <c r="G281" i="6"/>
  <c r="H280" i="6"/>
  <c r="O280" i="6" s="1"/>
  <c r="P280" i="6" s="1"/>
  <c r="F305" i="7"/>
  <c r="I305" i="7" s="1"/>
  <c r="J305" i="7" s="1"/>
  <c r="E306" i="7"/>
  <c r="I282" i="6"/>
  <c r="J281" i="6"/>
  <c r="G310" i="7"/>
  <c r="H309" i="7"/>
  <c r="E307" i="8"/>
  <c r="F306" i="8"/>
  <c r="I306" i="8" s="1"/>
  <c r="J306" i="8" s="1"/>
  <c r="G311" i="7" l="1"/>
  <c r="H310" i="7"/>
  <c r="J282" i="6"/>
  <c r="I283" i="6"/>
  <c r="H281" i="6"/>
  <c r="O281" i="6" s="1"/>
  <c r="P281" i="6" s="1"/>
  <c r="G282" i="6"/>
  <c r="F306" i="7"/>
  <c r="I306" i="7" s="1"/>
  <c r="J306" i="7" s="1"/>
  <c r="E307" i="7"/>
  <c r="M282" i="6"/>
  <c r="N281" i="6"/>
  <c r="K282" i="6"/>
  <c r="L281" i="6"/>
  <c r="F307" i="8"/>
  <c r="E308" i="8"/>
  <c r="H307" i="8"/>
  <c r="I307" i="8" s="1"/>
  <c r="J307" i="8" s="1"/>
  <c r="G308" i="8"/>
  <c r="E309" i="8" l="1"/>
  <c r="F308" i="8"/>
  <c r="I308" i="8" s="1"/>
  <c r="J308" i="8" s="1"/>
  <c r="L282" i="6"/>
  <c r="K283" i="6"/>
  <c r="N282" i="6"/>
  <c r="M283" i="6"/>
  <c r="F307" i="7"/>
  <c r="E308" i="7"/>
  <c r="I307" i="7"/>
  <c r="J307" i="7" s="1"/>
  <c r="G309" i="8"/>
  <c r="H308" i="8"/>
  <c r="H282" i="6"/>
  <c r="O282" i="6" s="1"/>
  <c r="P282" i="6" s="1"/>
  <c r="G283" i="6"/>
  <c r="I284" i="6"/>
  <c r="J283" i="6"/>
  <c r="G312" i="7"/>
  <c r="H311" i="7"/>
  <c r="G310" i="8" l="1"/>
  <c r="H309" i="8"/>
  <c r="F308" i="7"/>
  <c r="I308" i="7" s="1"/>
  <c r="J308" i="7" s="1"/>
  <c r="E309" i="7"/>
  <c r="J284" i="6"/>
  <c r="I285" i="6"/>
  <c r="G284" i="6"/>
  <c r="H283" i="6"/>
  <c r="O283" i="6" s="1"/>
  <c r="P283" i="6" s="1"/>
  <c r="N283" i="6"/>
  <c r="M284" i="6"/>
  <c r="L283" i="6"/>
  <c r="K284" i="6"/>
  <c r="G313" i="7"/>
  <c r="H312" i="7"/>
  <c r="F309" i="8"/>
  <c r="E310" i="8"/>
  <c r="I309" i="8"/>
  <c r="J309" i="8" s="1"/>
  <c r="M285" i="6" l="1"/>
  <c r="N284" i="6"/>
  <c r="G285" i="6"/>
  <c r="H284" i="6"/>
  <c r="O284" i="6" s="1"/>
  <c r="P284" i="6" s="1"/>
  <c r="G314" i="7"/>
  <c r="H313" i="7"/>
  <c r="I286" i="6"/>
  <c r="J285" i="6"/>
  <c r="L284" i="6"/>
  <c r="K285" i="6"/>
  <c r="F309" i="7"/>
  <c r="E310" i="7"/>
  <c r="I309" i="7"/>
  <c r="J309" i="7" s="1"/>
  <c r="E311" i="8"/>
  <c r="F310" i="8"/>
  <c r="I310" i="8" s="1"/>
  <c r="J310" i="8" s="1"/>
  <c r="G311" i="8"/>
  <c r="H310" i="8"/>
  <c r="K286" i="6" l="1"/>
  <c r="L285" i="6"/>
  <c r="J286" i="6"/>
  <c r="I287" i="6"/>
  <c r="F310" i="7"/>
  <c r="I310" i="7" s="1"/>
  <c r="J310" i="7" s="1"/>
  <c r="E311" i="7"/>
  <c r="F311" i="8"/>
  <c r="I311" i="8" s="1"/>
  <c r="J311" i="8" s="1"/>
  <c r="E312" i="8"/>
  <c r="H285" i="6"/>
  <c r="G286" i="6"/>
  <c r="O285" i="6"/>
  <c r="P285" i="6" s="1"/>
  <c r="G315" i="7"/>
  <c r="H314" i="7"/>
  <c r="G312" i="8"/>
  <c r="H311" i="8"/>
  <c r="N285" i="6"/>
  <c r="M286" i="6"/>
  <c r="E313" i="8" l="1"/>
  <c r="F312" i="8"/>
  <c r="I312" i="8" s="1"/>
  <c r="J312" i="8" s="1"/>
  <c r="G313" i="8"/>
  <c r="H312" i="8"/>
  <c r="H286" i="6"/>
  <c r="O286" i="6" s="1"/>
  <c r="P286" i="6" s="1"/>
  <c r="G287" i="6"/>
  <c r="F311" i="7"/>
  <c r="I311" i="7" s="1"/>
  <c r="J311" i="7" s="1"/>
  <c r="E312" i="7"/>
  <c r="J287" i="6"/>
  <c r="I288" i="6"/>
  <c r="G316" i="7"/>
  <c r="H315" i="7"/>
  <c r="M287" i="6"/>
  <c r="N286" i="6"/>
  <c r="L286" i="6"/>
  <c r="K287" i="6"/>
  <c r="G317" i="7" l="1"/>
  <c r="H316" i="7"/>
  <c r="G288" i="6"/>
  <c r="H287" i="6"/>
  <c r="O287" i="6" s="1"/>
  <c r="P287" i="6" s="1"/>
  <c r="I289" i="6"/>
  <c r="J288" i="6"/>
  <c r="E313" i="7"/>
  <c r="F312" i="7"/>
  <c r="I312" i="7" s="1"/>
  <c r="J312" i="7" s="1"/>
  <c r="H313" i="8"/>
  <c r="I313" i="8" s="1"/>
  <c r="J313" i="8" s="1"/>
  <c r="G314" i="8"/>
  <c r="N287" i="6"/>
  <c r="M288" i="6"/>
  <c r="L287" i="6"/>
  <c r="K288" i="6"/>
  <c r="F313" i="8"/>
  <c r="E314" i="8"/>
  <c r="F313" i="7" l="1"/>
  <c r="I313" i="7" s="1"/>
  <c r="J313" i="7" s="1"/>
  <c r="E314" i="7"/>
  <c r="K289" i="6"/>
  <c r="L288" i="6"/>
  <c r="M289" i="6"/>
  <c r="N288" i="6"/>
  <c r="G315" i="8"/>
  <c r="H314" i="8"/>
  <c r="J289" i="6"/>
  <c r="I290" i="6"/>
  <c r="G289" i="6"/>
  <c r="H288" i="6"/>
  <c r="O288" i="6" s="1"/>
  <c r="P288" i="6" s="1"/>
  <c r="E315" i="8"/>
  <c r="F314" i="8"/>
  <c r="I314" i="8" s="1"/>
  <c r="J314" i="8" s="1"/>
  <c r="H317" i="7"/>
  <c r="G318" i="7"/>
  <c r="H315" i="8" l="1"/>
  <c r="G316" i="8"/>
  <c r="F315" i="8"/>
  <c r="I315" i="8" s="1"/>
  <c r="J315" i="8" s="1"/>
  <c r="E316" i="8"/>
  <c r="J290" i="6"/>
  <c r="I291" i="6"/>
  <c r="N289" i="6"/>
  <c r="M290" i="6"/>
  <c r="K290" i="6"/>
  <c r="L289" i="6"/>
  <c r="H289" i="6"/>
  <c r="O289" i="6" s="1"/>
  <c r="P289" i="6" s="1"/>
  <c r="G290" i="6"/>
  <c r="G319" i="7"/>
  <c r="H318" i="7"/>
  <c r="E315" i="7"/>
  <c r="F314" i="7"/>
  <c r="I314" i="7" s="1"/>
  <c r="J314" i="7" s="1"/>
  <c r="H319" i="7" l="1"/>
  <c r="G320" i="7"/>
  <c r="L290" i="6"/>
  <c r="K291" i="6"/>
  <c r="N290" i="6"/>
  <c r="M291" i="6"/>
  <c r="J291" i="6"/>
  <c r="I292" i="6"/>
  <c r="H290" i="6"/>
  <c r="O290" i="6" s="1"/>
  <c r="P290" i="6" s="1"/>
  <c r="G291" i="6"/>
  <c r="E317" i="8"/>
  <c r="I316" i="8"/>
  <c r="J316" i="8" s="1"/>
  <c r="F316" i="8"/>
  <c r="F315" i="7"/>
  <c r="I315" i="7" s="1"/>
  <c r="J315" i="7" s="1"/>
  <c r="E316" i="7"/>
  <c r="G317" i="8"/>
  <c r="H316" i="8"/>
  <c r="H291" i="6" l="1"/>
  <c r="O291" i="6" s="1"/>
  <c r="P291" i="6" s="1"/>
  <c r="G292" i="6"/>
  <c r="I293" i="6"/>
  <c r="J292" i="6"/>
  <c r="F317" i="8"/>
  <c r="I317" i="8" s="1"/>
  <c r="J317" i="8" s="1"/>
  <c r="E318" i="8"/>
  <c r="E317" i="7"/>
  <c r="F316" i="7"/>
  <c r="I316" i="7" s="1"/>
  <c r="J316" i="7" s="1"/>
  <c r="N291" i="6"/>
  <c r="M292" i="6"/>
  <c r="L291" i="6"/>
  <c r="K292" i="6"/>
  <c r="H317" i="8"/>
  <c r="G318" i="8"/>
  <c r="G321" i="7"/>
  <c r="H320" i="7"/>
  <c r="N292" i="6" l="1"/>
  <c r="M293" i="6"/>
  <c r="F317" i="7"/>
  <c r="I317" i="7" s="1"/>
  <c r="J317" i="7" s="1"/>
  <c r="E318" i="7"/>
  <c r="E319" i="8"/>
  <c r="F318" i="8"/>
  <c r="I318" i="8" s="1"/>
  <c r="J318" i="8" s="1"/>
  <c r="I294" i="6"/>
  <c r="J293" i="6"/>
  <c r="G293" i="6"/>
  <c r="H292" i="6"/>
  <c r="O292" i="6" s="1"/>
  <c r="P292" i="6" s="1"/>
  <c r="L292" i="6"/>
  <c r="K293" i="6"/>
  <c r="G322" i="7"/>
  <c r="H321" i="7"/>
  <c r="G319" i="8"/>
  <c r="H318" i="8"/>
  <c r="G323" i="7" l="1"/>
  <c r="H322" i="7"/>
  <c r="H293" i="6"/>
  <c r="O293" i="6" s="1"/>
  <c r="P293" i="6" s="1"/>
  <c r="G294" i="6"/>
  <c r="J294" i="6"/>
  <c r="I295" i="6"/>
  <c r="F319" i="8"/>
  <c r="E320" i="8"/>
  <c r="E319" i="7"/>
  <c r="I318" i="7"/>
  <c r="J318" i="7" s="1"/>
  <c r="F318" i="7"/>
  <c r="K294" i="6"/>
  <c r="L293" i="6"/>
  <c r="G320" i="8"/>
  <c r="H319" i="8"/>
  <c r="I319" i="8" s="1"/>
  <c r="J319" i="8" s="1"/>
  <c r="M294" i="6"/>
  <c r="N293" i="6"/>
  <c r="F319" i="7" l="1"/>
  <c r="I319" i="7" s="1"/>
  <c r="J319" i="7" s="1"/>
  <c r="E320" i="7"/>
  <c r="E321" i="8"/>
  <c r="F320" i="8"/>
  <c r="I320" i="8" s="1"/>
  <c r="J320" i="8" s="1"/>
  <c r="G321" i="8"/>
  <c r="H320" i="8"/>
  <c r="L294" i="6"/>
  <c r="K295" i="6"/>
  <c r="I296" i="6"/>
  <c r="J295" i="6"/>
  <c r="H294" i="6"/>
  <c r="O294" i="6" s="1"/>
  <c r="P294" i="6" s="1"/>
  <c r="G295" i="6"/>
  <c r="N294" i="6"/>
  <c r="M295" i="6"/>
  <c r="G324" i="7"/>
  <c r="H323" i="7"/>
  <c r="J296" i="6" l="1"/>
  <c r="I297" i="6"/>
  <c r="G322" i="8"/>
  <c r="H321" i="8"/>
  <c r="I321" i="8" s="1"/>
  <c r="J321" i="8" s="1"/>
  <c r="O295" i="6"/>
  <c r="P295" i="6" s="1"/>
  <c r="G296" i="6"/>
  <c r="H295" i="6"/>
  <c r="L295" i="6"/>
  <c r="K296" i="6"/>
  <c r="F321" i="8"/>
  <c r="E322" i="8"/>
  <c r="E321" i="7"/>
  <c r="F320" i="7"/>
  <c r="I320" i="7" s="1"/>
  <c r="J320" i="7" s="1"/>
  <c r="G325" i="7"/>
  <c r="H324" i="7"/>
  <c r="N295" i="6"/>
  <c r="M296" i="6"/>
  <c r="G326" i="7" l="1"/>
  <c r="H325" i="7"/>
  <c r="E323" i="8"/>
  <c r="F322" i="8"/>
  <c r="I322" i="8" s="1"/>
  <c r="J322" i="8" s="1"/>
  <c r="L296" i="6"/>
  <c r="K297" i="6"/>
  <c r="F321" i="7"/>
  <c r="I321" i="7" s="1"/>
  <c r="J321" i="7" s="1"/>
  <c r="E322" i="7"/>
  <c r="G297" i="6"/>
  <c r="H296" i="6"/>
  <c r="O296" i="6" s="1"/>
  <c r="P296" i="6" s="1"/>
  <c r="M297" i="6"/>
  <c r="N296" i="6"/>
  <c r="G323" i="8"/>
  <c r="H322" i="8"/>
  <c r="I298" i="6"/>
  <c r="J297" i="6"/>
  <c r="N297" i="6" l="1"/>
  <c r="M298" i="6"/>
  <c r="H297" i="6"/>
  <c r="O297" i="6" s="1"/>
  <c r="P297" i="6" s="1"/>
  <c r="G298" i="6"/>
  <c r="F322" i="7"/>
  <c r="I322" i="7" s="1"/>
  <c r="J322" i="7" s="1"/>
  <c r="E323" i="7"/>
  <c r="K298" i="6"/>
  <c r="L297" i="6"/>
  <c r="F323" i="8"/>
  <c r="E324" i="8"/>
  <c r="G324" i="8"/>
  <c r="H323" i="8"/>
  <c r="I323" i="8" s="1"/>
  <c r="J323" i="8" s="1"/>
  <c r="J298" i="6"/>
  <c r="I299" i="6"/>
  <c r="G327" i="7"/>
  <c r="H326" i="7"/>
  <c r="G325" i="8" l="1"/>
  <c r="H324" i="8"/>
  <c r="E325" i="8"/>
  <c r="F324" i="8"/>
  <c r="I324" i="8" s="1"/>
  <c r="J324" i="8" s="1"/>
  <c r="L298" i="6"/>
  <c r="K299" i="6"/>
  <c r="F323" i="7"/>
  <c r="E324" i="7"/>
  <c r="I323" i="7"/>
  <c r="J323" i="7" s="1"/>
  <c r="H298" i="6"/>
  <c r="O298" i="6" s="1"/>
  <c r="P298" i="6" s="1"/>
  <c r="G299" i="6"/>
  <c r="G328" i="7"/>
  <c r="H327" i="7"/>
  <c r="M299" i="6"/>
  <c r="N298" i="6"/>
  <c r="J299" i="6"/>
  <c r="I300" i="6"/>
  <c r="N299" i="6" l="1"/>
  <c r="M300" i="6"/>
  <c r="F324" i="7"/>
  <c r="I324" i="7" s="1"/>
  <c r="J324" i="7" s="1"/>
  <c r="E325" i="7"/>
  <c r="L299" i="6"/>
  <c r="K300" i="6"/>
  <c r="G300" i="6"/>
  <c r="H299" i="6"/>
  <c r="O299" i="6" s="1"/>
  <c r="P299" i="6" s="1"/>
  <c r="I301" i="6"/>
  <c r="J300" i="6"/>
  <c r="F325" i="8"/>
  <c r="I325" i="8" s="1"/>
  <c r="J325" i="8" s="1"/>
  <c r="E326" i="8"/>
  <c r="G329" i="7"/>
  <c r="H328" i="7"/>
  <c r="H325" i="8"/>
  <c r="G326" i="8"/>
  <c r="G330" i="7" l="1"/>
  <c r="H329" i="7"/>
  <c r="E327" i="8"/>
  <c r="F326" i="8"/>
  <c r="I326" i="8" s="1"/>
  <c r="J326" i="8" s="1"/>
  <c r="J301" i="6"/>
  <c r="I302" i="6"/>
  <c r="G301" i="6"/>
  <c r="H300" i="6"/>
  <c r="K301" i="6"/>
  <c r="L300" i="6"/>
  <c r="O300" i="6" s="1"/>
  <c r="P300" i="6" s="1"/>
  <c r="F325" i="7"/>
  <c r="E326" i="7"/>
  <c r="I325" i="7"/>
  <c r="J325" i="7" s="1"/>
  <c r="G327" i="8"/>
  <c r="H326" i="8"/>
  <c r="M301" i="6"/>
  <c r="N300" i="6"/>
  <c r="K302" i="6" l="1"/>
  <c r="L301" i="6"/>
  <c r="H301" i="6"/>
  <c r="O301" i="6" s="1"/>
  <c r="P301" i="6" s="1"/>
  <c r="G302" i="6"/>
  <c r="G328" i="8"/>
  <c r="H327" i="8"/>
  <c r="E327" i="7"/>
  <c r="F326" i="7"/>
  <c r="I326" i="7" s="1"/>
  <c r="J326" i="7" s="1"/>
  <c r="J302" i="6"/>
  <c r="I303" i="6"/>
  <c r="F327" i="8"/>
  <c r="I327" i="8" s="1"/>
  <c r="J327" i="8" s="1"/>
  <c r="E328" i="8"/>
  <c r="N301" i="6"/>
  <c r="M302" i="6"/>
  <c r="G331" i="7"/>
  <c r="H330" i="7"/>
  <c r="J303" i="6" l="1"/>
  <c r="I304" i="6"/>
  <c r="F327" i="7"/>
  <c r="I327" i="7" s="1"/>
  <c r="J327" i="7" s="1"/>
  <c r="E328" i="7"/>
  <c r="E329" i="8"/>
  <c r="F328" i="8"/>
  <c r="I328" i="8" s="1"/>
  <c r="J328" i="8" s="1"/>
  <c r="G329" i="8"/>
  <c r="H328" i="8"/>
  <c r="H302" i="6"/>
  <c r="G303" i="6"/>
  <c r="O302" i="6"/>
  <c r="P302" i="6" s="1"/>
  <c r="G332" i="7"/>
  <c r="H331" i="7"/>
  <c r="M303" i="6"/>
  <c r="N302" i="6"/>
  <c r="L302" i="6"/>
  <c r="K303" i="6"/>
  <c r="N303" i="6" l="1"/>
  <c r="M304" i="6"/>
  <c r="G333" i="7"/>
  <c r="H332" i="7"/>
  <c r="H303" i="6"/>
  <c r="O303" i="6" s="1"/>
  <c r="P303" i="6" s="1"/>
  <c r="G304" i="6"/>
  <c r="H329" i="8"/>
  <c r="G330" i="8"/>
  <c r="F329" i="8"/>
  <c r="I329" i="8" s="1"/>
  <c r="J329" i="8" s="1"/>
  <c r="E330" i="8"/>
  <c r="E329" i="7"/>
  <c r="F328" i="7"/>
  <c r="I328" i="7" s="1"/>
  <c r="J328" i="7" s="1"/>
  <c r="I305" i="6"/>
  <c r="J304" i="6"/>
  <c r="L303" i="6"/>
  <c r="K304" i="6"/>
  <c r="E331" i="8" l="1"/>
  <c r="F330" i="8"/>
  <c r="I330" i="8" s="1"/>
  <c r="J330" i="8" s="1"/>
  <c r="G331" i="8"/>
  <c r="H330" i="8"/>
  <c r="J305" i="6"/>
  <c r="I306" i="6"/>
  <c r="F329" i="7"/>
  <c r="E330" i="7"/>
  <c r="I329" i="7"/>
  <c r="J329" i="7" s="1"/>
  <c r="G305" i="6"/>
  <c r="H304" i="6"/>
  <c r="O304" i="6" s="1"/>
  <c r="P304" i="6" s="1"/>
  <c r="L304" i="6"/>
  <c r="K305" i="6"/>
  <c r="H333" i="7"/>
  <c r="G334" i="7"/>
  <c r="N304" i="6"/>
  <c r="M305" i="6"/>
  <c r="H305" i="6" l="1"/>
  <c r="O305" i="6" s="1"/>
  <c r="P305" i="6" s="1"/>
  <c r="G306" i="6"/>
  <c r="F330" i="7"/>
  <c r="I330" i="7" s="1"/>
  <c r="J330" i="7" s="1"/>
  <c r="E331" i="7"/>
  <c r="J306" i="6"/>
  <c r="I307" i="6"/>
  <c r="G332" i="8"/>
  <c r="H331" i="8"/>
  <c r="K306" i="6"/>
  <c r="L305" i="6"/>
  <c r="M306" i="6"/>
  <c r="N305" i="6"/>
  <c r="G335" i="7"/>
  <c r="H334" i="7"/>
  <c r="F331" i="8"/>
  <c r="I331" i="8" s="1"/>
  <c r="J331" i="8" s="1"/>
  <c r="E332" i="8"/>
  <c r="G333" i="8" l="1"/>
  <c r="H332" i="8"/>
  <c r="I308" i="6"/>
  <c r="J307" i="6"/>
  <c r="H335" i="7"/>
  <c r="G336" i="7"/>
  <c r="L306" i="6"/>
  <c r="K307" i="6"/>
  <c r="N306" i="6"/>
  <c r="M307" i="6"/>
  <c r="F331" i="7"/>
  <c r="I331" i="7" s="1"/>
  <c r="J331" i="7" s="1"/>
  <c r="E332" i="7"/>
  <c r="E333" i="8"/>
  <c r="F332" i="8"/>
  <c r="I332" i="8" s="1"/>
  <c r="J332" i="8" s="1"/>
  <c r="H306" i="6"/>
  <c r="O306" i="6"/>
  <c r="P306" i="6" s="1"/>
  <c r="G307" i="6"/>
  <c r="L307" i="6" l="1"/>
  <c r="K308" i="6"/>
  <c r="F333" i="8"/>
  <c r="I333" i="8" s="1"/>
  <c r="J333" i="8" s="1"/>
  <c r="E334" i="8"/>
  <c r="E333" i="7"/>
  <c r="F332" i="7"/>
  <c r="I332" i="7" s="1"/>
  <c r="J332" i="7" s="1"/>
  <c r="N307" i="6"/>
  <c r="M308" i="6"/>
  <c r="G337" i="7"/>
  <c r="H336" i="7"/>
  <c r="G308" i="6"/>
  <c r="H307" i="6"/>
  <c r="O307" i="6" s="1"/>
  <c r="P307" i="6" s="1"/>
  <c r="J308" i="6"/>
  <c r="I309" i="6"/>
  <c r="G334" i="8"/>
  <c r="H333" i="8"/>
  <c r="G338" i="7" l="1"/>
  <c r="H337" i="7"/>
  <c r="N308" i="6"/>
  <c r="M309" i="6"/>
  <c r="G309" i="6"/>
  <c r="H308" i="6"/>
  <c r="O308" i="6" s="1"/>
  <c r="P308" i="6" s="1"/>
  <c r="F333" i="7"/>
  <c r="E334" i="7"/>
  <c r="I333" i="7"/>
  <c r="J333" i="7" s="1"/>
  <c r="E335" i="8"/>
  <c r="F334" i="8"/>
  <c r="I334" i="8" s="1"/>
  <c r="J334" i="8" s="1"/>
  <c r="G335" i="8"/>
  <c r="H334" i="8"/>
  <c r="L308" i="6"/>
  <c r="K309" i="6"/>
  <c r="I310" i="6"/>
  <c r="J309" i="6"/>
  <c r="E335" i="7" l="1"/>
  <c r="F334" i="7"/>
  <c r="I334" i="7" s="1"/>
  <c r="J334" i="7" s="1"/>
  <c r="H335" i="8"/>
  <c r="G336" i="8"/>
  <c r="F335" i="8"/>
  <c r="I335" i="8" s="1"/>
  <c r="J335" i="8" s="1"/>
  <c r="E336" i="8"/>
  <c r="H309" i="6"/>
  <c r="O309" i="6" s="1"/>
  <c r="P309" i="6" s="1"/>
  <c r="G310" i="6"/>
  <c r="M310" i="6"/>
  <c r="N309" i="6"/>
  <c r="J310" i="6"/>
  <c r="I311" i="6"/>
  <c r="K310" i="6"/>
  <c r="L309" i="6"/>
  <c r="G339" i="7"/>
  <c r="H338" i="7"/>
  <c r="L310" i="6" l="1"/>
  <c r="K311" i="6"/>
  <c r="M311" i="6"/>
  <c r="N310" i="6"/>
  <c r="H310" i="6"/>
  <c r="O310" i="6" s="1"/>
  <c r="P310" i="6" s="1"/>
  <c r="G311" i="6"/>
  <c r="E337" i="8"/>
  <c r="F336" i="8"/>
  <c r="I336" i="8" s="1"/>
  <c r="J336" i="8" s="1"/>
  <c r="G337" i="8"/>
  <c r="H336" i="8"/>
  <c r="G340" i="7"/>
  <c r="H339" i="7"/>
  <c r="I312" i="6"/>
  <c r="J311" i="6"/>
  <c r="F335" i="7"/>
  <c r="I335" i="7" s="1"/>
  <c r="J335" i="7" s="1"/>
  <c r="E336" i="7"/>
  <c r="G338" i="8" l="1"/>
  <c r="H337" i="8"/>
  <c r="F337" i="8"/>
  <c r="I337" i="8" s="1"/>
  <c r="J337" i="8" s="1"/>
  <c r="E338" i="8"/>
  <c r="G312" i="6"/>
  <c r="H311" i="6"/>
  <c r="I313" i="6"/>
  <c r="J312" i="6"/>
  <c r="E337" i="7"/>
  <c r="F336" i="7"/>
  <c r="I336" i="7" s="1"/>
  <c r="J336" i="7" s="1"/>
  <c r="N311" i="6"/>
  <c r="M312" i="6"/>
  <c r="G341" i="7"/>
  <c r="H340" i="7"/>
  <c r="L311" i="6"/>
  <c r="O311" i="6" s="1"/>
  <c r="P311" i="6" s="1"/>
  <c r="K312" i="6"/>
  <c r="J313" i="6" l="1"/>
  <c r="I314" i="6"/>
  <c r="M313" i="6"/>
  <c r="N312" i="6"/>
  <c r="F337" i="7"/>
  <c r="I337" i="7" s="1"/>
  <c r="J337" i="7" s="1"/>
  <c r="E338" i="7"/>
  <c r="G313" i="6"/>
  <c r="H312" i="6"/>
  <c r="O312" i="6" s="1"/>
  <c r="P312" i="6" s="1"/>
  <c r="G342" i="7"/>
  <c r="H341" i="7"/>
  <c r="E339" i="8"/>
  <c r="F338" i="8"/>
  <c r="I338" i="8" s="1"/>
  <c r="J338" i="8" s="1"/>
  <c r="K313" i="6"/>
  <c r="L312" i="6"/>
  <c r="G339" i="8"/>
  <c r="H338" i="8"/>
  <c r="G343" i="7" l="1"/>
  <c r="H342" i="7"/>
  <c r="H313" i="6"/>
  <c r="O313" i="6" s="1"/>
  <c r="P313" i="6" s="1"/>
  <c r="G314" i="6"/>
  <c r="F338" i="7"/>
  <c r="I338" i="7" s="1"/>
  <c r="J338" i="7" s="1"/>
  <c r="E339" i="7"/>
  <c r="F339" i="8"/>
  <c r="E340" i="8"/>
  <c r="N313" i="6"/>
  <c r="M314" i="6"/>
  <c r="K314" i="6"/>
  <c r="L313" i="6"/>
  <c r="G340" i="8"/>
  <c r="H339" i="8"/>
  <c r="I339" i="8" s="1"/>
  <c r="J339" i="8" s="1"/>
  <c r="J314" i="6"/>
  <c r="I315" i="6"/>
  <c r="J315" i="6" l="1"/>
  <c r="I316" i="6"/>
  <c r="G341" i="8"/>
  <c r="H340" i="8"/>
  <c r="M315" i="6"/>
  <c r="N314" i="6"/>
  <c r="E341" i="8"/>
  <c r="F340" i="8"/>
  <c r="I340" i="8" s="1"/>
  <c r="J340" i="8" s="1"/>
  <c r="L314" i="6"/>
  <c r="K315" i="6"/>
  <c r="F339" i="7"/>
  <c r="E340" i="7"/>
  <c r="I339" i="7"/>
  <c r="J339" i="7" s="1"/>
  <c r="H314" i="6"/>
  <c r="O314" i="6" s="1"/>
  <c r="P314" i="6" s="1"/>
  <c r="G315" i="6"/>
  <c r="G344" i="7"/>
  <c r="H343" i="7"/>
  <c r="F340" i="7" l="1"/>
  <c r="I340" i="7" s="1"/>
  <c r="J340" i="7" s="1"/>
  <c r="E341" i="7"/>
  <c r="H315" i="6"/>
  <c r="O315" i="6" s="1"/>
  <c r="P315" i="6" s="1"/>
  <c r="G316" i="6"/>
  <c r="F341" i="8"/>
  <c r="I341" i="8" s="1"/>
  <c r="J341" i="8" s="1"/>
  <c r="E342" i="8"/>
  <c r="L315" i="6"/>
  <c r="K316" i="6"/>
  <c r="N315" i="6"/>
  <c r="M316" i="6"/>
  <c r="G342" i="8"/>
  <c r="H341" i="8"/>
  <c r="G345" i="7"/>
  <c r="H344" i="7"/>
  <c r="I317" i="6"/>
  <c r="J316" i="6"/>
  <c r="K317" i="6" l="1"/>
  <c r="L316" i="6"/>
  <c r="E343" i="8"/>
  <c r="F342" i="8"/>
  <c r="I342" i="8" s="1"/>
  <c r="J342" i="8" s="1"/>
  <c r="G343" i="8"/>
  <c r="H342" i="8"/>
  <c r="F341" i="7"/>
  <c r="E342" i="7"/>
  <c r="I341" i="7"/>
  <c r="J341" i="7" s="1"/>
  <c r="G346" i="7"/>
  <c r="H345" i="7"/>
  <c r="N316" i="6"/>
  <c r="M317" i="6"/>
  <c r="G317" i="6"/>
  <c r="O316" i="6"/>
  <c r="P316" i="6" s="1"/>
  <c r="H316" i="6"/>
  <c r="J317" i="6"/>
  <c r="I318" i="6"/>
  <c r="M318" i="6" l="1"/>
  <c r="N317" i="6"/>
  <c r="H343" i="8"/>
  <c r="G344" i="8"/>
  <c r="E343" i="7"/>
  <c r="F342" i="7"/>
  <c r="I342" i="7" s="1"/>
  <c r="J342" i="7" s="1"/>
  <c r="J318" i="6"/>
  <c r="I319" i="6"/>
  <c r="F343" i="8"/>
  <c r="I343" i="8" s="1"/>
  <c r="J343" i="8" s="1"/>
  <c r="E344" i="8"/>
  <c r="H317" i="6"/>
  <c r="G318" i="6"/>
  <c r="O317" i="6"/>
  <c r="P317" i="6" s="1"/>
  <c r="G347" i="7"/>
  <c r="H346" i="7"/>
  <c r="K318" i="6"/>
  <c r="L317" i="6"/>
  <c r="G348" i="7" l="1"/>
  <c r="H347" i="7"/>
  <c r="I320" i="6"/>
  <c r="J319" i="6"/>
  <c r="F343" i="7"/>
  <c r="I343" i="7" s="1"/>
  <c r="J343" i="7" s="1"/>
  <c r="E344" i="7"/>
  <c r="H318" i="6"/>
  <c r="O318" i="6" s="1"/>
  <c r="P318" i="6" s="1"/>
  <c r="G319" i="6"/>
  <c r="E345" i="8"/>
  <c r="F344" i="8"/>
  <c r="I344" i="8" s="1"/>
  <c r="J344" i="8" s="1"/>
  <c r="G345" i="8"/>
  <c r="H344" i="8"/>
  <c r="L318" i="6"/>
  <c r="K319" i="6"/>
  <c r="N318" i="6"/>
  <c r="M319" i="6"/>
  <c r="F345" i="8" l="1"/>
  <c r="I345" i="8"/>
  <c r="J345" i="8" s="1"/>
  <c r="E346" i="8"/>
  <c r="G320" i="6"/>
  <c r="H319" i="6"/>
  <c r="O319" i="6" s="1"/>
  <c r="P319" i="6" s="1"/>
  <c r="E345" i="7"/>
  <c r="F344" i="7"/>
  <c r="I344" i="7" s="1"/>
  <c r="J344" i="7" s="1"/>
  <c r="H345" i="8"/>
  <c r="G346" i="8"/>
  <c r="N319" i="6"/>
  <c r="M320" i="6"/>
  <c r="J320" i="6"/>
  <c r="I321" i="6"/>
  <c r="L319" i="6"/>
  <c r="K320" i="6"/>
  <c r="G349" i="7"/>
  <c r="H348" i="7"/>
  <c r="G347" i="8" l="1"/>
  <c r="H346" i="8"/>
  <c r="F345" i="7"/>
  <c r="E346" i="7"/>
  <c r="I345" i="7"/>
  <c r="J345" i="7" s="1"/>
  <c r="N320" i="6"/>
  <c r="M321" i="6"/>
  <c r="I322" i="6"/>
  <c r="J321" i="6"/>
  <c r="G321" i="6"/>
  <c r="H320" i="6"/>
  <c r="O320" i="6" s="1"/>
  <c r="P320" i="6" s="1"/>
  <c r="E347" i="8"/>
  <c r="F346" i="8"/>
  <c r="I346" i="8" s="1"/>
  <c r="J346" i="8" s="1"/>
  <c r="H349" i="7"/>
  <c r="G350" i="7"/>
  <c r="L320" i="6"/>
  <c r="K321" i="6"/>
  <c r="F347" i="8" l="1"/>
  <c r="E348" i="8"/>
  <c r="H321" i="6"/>
  <c r="G322" i="6"/>
  <c r="J322" i="6"/>
  <c r="I323" i="6"/>
  <c r="M322" i="6"/>
  <c r="N321" i="6"/>
  <c r="F346" i="7"/>
  <c r="I346" i="7" s="1"/>
  <c r="J346" i="7" s="1"/>
  <c r="E347" i="7"/>
  <c r="K322" i="6"/>
  <c r="L321" i="6"/>
  <c r="O321" i="6" s="1"/>
  <c r="P321" i="6" s="1"/>
  <c r="G351" i="7"/>
  <c r="H350" i="7"/>
  <c r="G348" i="8"/>
  <c r="H347" i="8"/>
  <c r="I347" i="8" s="1"/>
  <c r="J347" i="8" s="1"/>
  <c r="F347" i="7" l="1"/>
  <c r="I347" i="7" s="1"/>
  <c r="J347" i="7" s="1"/>
  <c r="E348" i="7"/>
  <c r="H351" i="7"/>
  <c r="G352" i="7"/>
  <c r="I324" i="6"/>
  <c r="J323" i="6"/>
  <c r="L322" i="6"/>
  <c r="K323" i="6"/>
  <c r="N322" i="6"/>
  <c r="M323" i="6"/>
  <c r="E349" i="8"/>
  <c r="F348" i="8"/>
  <c r="I348" i="8" s="1"/>
  <c r="J348" i="8" s="1"/>
  <c r="H322" i="6"/>
  <c r="O322" i="6" s="1"/>
  <c r="P322" i="6" s="1"/>
  <c r="G323" i="6"/>
  <c r="G349" i="8"/>
  <c r="H348" i="8"/>
  <c r="G324" i="6" l="1"/>
  <c r="H323" i="6"/>
  <c r="O323" i="6" s="1"/>
  <c r="P323" i="6" s="1"/>
  <c r="F349" i="8"/>
  <c r="I349" i="8" s="1"/>
  <c r="J349" i="8" s="1"/>
  <c r="E350" i="8"/>
  <c r="N323" i="6"/>
  <c r="M324" i="6"/>
  <c r="L323" i="6"/>
  <c r="K324" i="6"/>
  <c r="G353" i="7"/>
  <c r="H352" i="7"/>
  <c r="J324" i="6"/>
  <c r="I325" i="6"/>
  <c r="G350" i="8"/>
  <c r="H349" i="8"/>
  <c r="E349" i="7"/>
  <c r="F348" i="7"/>
  <c r="I348" i="7" s="1"/>
  <c r="J348" i="7" s="1"/>
  <c r="K325" i="6" l="1"/>
  <c r="L324" i="6"/>
  <c r="M325" i="6"/>
  <c r="N324" i="6"/>
  <c r="H353" i="7"/>
  <c r="G354" i="7"/>
  <c r="G351" i="8"/>
  <c r="H350" i="8"/>
  <c r="I350" i="8" s="1"/>
  <c r="J350" i="8" s="1"/>
  <c r="J325" i="6"/>
  <c r="I326" i="6"/>
  <c r="E351" i="8"/>
  <c r="F350" i="8"/>
  <c r="G325" i="6"/>
  <c r="H324" i="6"/>
  <c r="O324" i="6"/>
  <c r="P324" i="6" s="1"/>
  <c r="F349" i="7"/>
  <c r="E350" i="7"/>
  <c r="I349" i="7"/>
  <c r="J349" i="7" s="1"/>
  <c r="H325" i="6" l="1"/>
  <c r="O325" i="6" s="1"/>
  <c r="P325" i="6" s="1"/>
  <c r="G326" i="6"/>
  <c r="F351" i="8"/>
  <c r="I351" i="8" s="1"/>
  <c r="J351" i="8" s="1"/>
  <c r="E352" i="8"/>
  <c r="J326" i="6"/>
  <c r="I327" i="6"/>
  <c r="G352" i="8"/>
  <c r="H351" i="8"/>
  <c r="G355" i="7"/>
  <c r="H354" i="7"/>
  <c r="N325" i="6"/>
  <c r="M326" i="6"/>
  <c r="E351" i="7"/>
  <c r="F350" i="7"/>
  <c r="I350" i="7" s="1"/>
  <c r="J350" i="7" s="1"/>
  <c r="K326" i="6"/>
  <c r="L325" i="6"/>
  <c r="G353" i="8" l="1"/>
  <c r="H352" i="8"/>
  <c r="G356" i="7"/>
  <c r="H355" i="7"/>
  <c r="J327" i="6"/>
  <c r="I328" i="6"/>
  <c r="M327" i="6"/>
  <c r="N326" i="6"/>
  <c r="E353" i="8"/>
  <c r="F352" i="8"/>
  <c r="I352" i="8" s="1"/>
  <c r="J352" i="8" s="1"/>
  <c r="F351" i="7"/>
  <c r="I351" i="7"/>
  <c r="J351" i="7" s="1"/>
  <c r="E352" i="7"/>
  <c r="H326" i="6"/>
  <c r="O326" i="6" s="1"/>
  <c r="P326" i="6" s="1"/>
  <c r="G327" i="6"/>
  <c r="L326" i="6"/>
  <c r="K327" i="6"/>
  <c r="E353" i="7" l="1"/>
  <c r="F352" i="7"/>
  <c r="I352" i="7" s="1"/>
  <c r="J352" i="7" s="1"/>
  <c r="H327" i="6"/>
  <c r="O327" i="6" s="1"/>
  <c r="P327" i="6" s="1"/>
  <c r="G328" i="6"/>
  <c r="F353" i="8"/>
  <c r="I353" i="8" s="1"/>
  <c r="J353" i="8" s="1"/>
  <c r="E354" i="8"/>
  <c r="N327" i="6"/>
  <c r="M328" i="6"/>
  <c r="I329" i="6"/>
  <c r="J328" i="6"/>
  <c r="L327" i="6"/>
  <c r="K328" i="6"/>
  <c r="G357" i="7"/>
  <c r="H356" i="7"/>
  <c r="H353" i="8"/>
  <c r="G354" i="8"/>
  <c r="G358" i="7" l="1"/>
  <c r="H357" i="7"/>
  <c r="E355" i="8"/>
  <c r="F354" i="8"/>
  <c r="I354" i="8" s="1"/>
  <c r="J354" i="8" s="1"/>
  <c r="N328" i="6"/>
  <c r="M329" i="6"/>
  <c r="I330" i="6"/>
  <c r="J329" i="6"/>
  <c r="K329" i="6"/>
  <c r="L328" i="6"/>
  <c r="O328" i="6" s="1"/>
  <c r="P328" i="6" s="1"/>
  <c r="G329" i="6"/>
  <c r="H328" i="6"/>
  <c r="G355" i="8"/>
  <c r="H354" i="8"/>
  <c r="F353" i="7"/>
  <c r="I353" i="7" s="1"/>
  <c r="J353" i="7" s="1"/>
  <c r="E354" i="7"/>
  <c r="K330" i="6" l="1"/>
  <c r="L329" i="6"/>
  <c r="H329" i="6"/>
  <c r="O329" i="6" s="1"/>
  <c r="P329" i="6" s="1"/>
  <c r="G330" i="6"/>
  <c r="I331" i="6"/>
  <c r="J330" i="6"/>
  <c r="M330" i="6"/>
  <c r="N329" i="6"/>
  <c r="H355" i="8"/>
  <c r="G356" i="8"/>
  <c r="F354" i="7"/>
  <c r="E355" i="7"/>
  <c r="I354" i="7"/>
  <c r="J354" i="7" s="1"/>
  <c r="F355" i="8"/>
  <c r="I355" i="8" s="1"/>
  <c r="J355" i="8" s="1"/>
  <c r="E356" i="8"/>
  <c r="G359" i="7"/>
  <c r="H358" i="7"/>
  <c r="N330" i="6" l="1"/>
  <c r="M331" i="6"/>
  <c r="G357" i="8"/>
  <c r="H356" i="8"/>
  <c r="I356" i="8" s="1"/>
  <c r="J356" i="8" s="1"/>
  <c r="F355" i="7"/>
  <c r="I355" i="7" s="1"/>
  <c r="J355" i="7" s="1"/>
  <c r="E356" i="7"/>
  <c r="I332" i="6"/>
  <c r="J331" i="6"/>
  <c r="H330" i="6"/>
  <c r="O330" i="6" s="1"/>
  <c r="P330" i="6" s="1"/>
  <c r="G331" i="6"/>
  <c r="G360" i="7"/>
  <c r="H359" i="7"/>
  <c r="E357" i="8"/>
  <c r="F356" i="8"/>
  <c r="L330" i="6"/>
  <c r="K331" i="6"/>
  <c r="H331" i="6" l="1"/>
  <c r="G332" i="6"/>
  <c r="I333" i="6"/>
  <c r="J332" i="6"/>
  <c r="F356" i="7"/>
  <c r="I356" i="7" s="1"/>
  <c r="J356" i="7" s="1"/>
  <c r="E357" i="7"/>
  <c r="G361" i="7"/>
  <c r="H360" i="7"/>
  <c r="L331" i="6"/>
  <c r="O331" i="6" s="1"/>
  <c r="P331" i="6" s="1"/>
  <c r="K332" i="6"/>
  <c r="H357" i="8"/>
  <c r="I357" i="8" s="1"/>
  <c r="J357" i="8" s="1"/>
  <c r="G358" i="8"/>
  <c r="N331" i="6"/>
  <c r="M332" i="6"/>
  <c r="F357" i="8"/>
  <c r="E358" i="8"/>
  <c r="H361" i="7" l="1"/>
  <c r="G362" i="7"/>
  <c r="G359" i="8"/>
  <c r="H358" i="8"/>
  <c r="I358" i="8" s="1"/>
  <c r="J358" i="8" s="1"/>
  <c r="F357" i="7"/>
  <c r="E358" i="7"/>
  <c r="I357" i="7"/>
  <c r="J357" i="7" s="1"/>
  <c r="N332" i="6"/>
  <c r="M333" i="6"/>
  <c r="G333" i="6"/>
  <c r="H332" i="6"/>
  <c r="O332" i="6" s="1"/>
  <c r="P332" i="6" s="1"/>
  <c r="K333" i="6"/>
  <c r="L332" i="6"/>
  <c r="J333" i="6"/>
  <c r="I334" i="6"/>
  <c r="E359" i="8"/>
  <c r="F358" i="8"/>
  <c r="K334" i="6" l="1"/>
  <c r="L333" i="6"/>
  <c r="J334" i="6"/>
  <c r="I335" i="6"/>
  <c r="G334" i="6"/>
  <c r="O333" i="6"/>
  <c r="P333" i="6" s="1"/>
  <c r="H333" i="6"/>
  <c r="M334" i="6"/>
  <c r="N333" i="6"/>
  <c r="E359" i="7"/>
  <c r="F358" i="7"/>
  <c r="I358" i="7" s="1"/>
  <c r="J358" i="7" s="1"/>
  <c r="G360" i="8"/>
  <c r="H359" i="8"/>
  <c r="I359" i="8" s="1"/>
  <c r="J359" i="8" s="1"/>
  <c r="G363" i="7"/>
  <c r="H362" i="7"/>
  <c r="F359" i="8"/>
  <c r="E360" i="8"/>
  <c r="G361" i="8" l="1"/>
  <c r="H360" i="8"/>
  <c r="N334" i="6"/>
  <c r="M335" i="6"/>
  <c r="F359" i="7"/>
  <c r="I359" i="7"/>
  <c r="J359" i="7" s="1"/>
  <c r="E360" i="7"/>
  <c r="G364" i="7"/>
  <c r="H363" i="7"/>
  <c r="H334" i="6"/>
  <c r="O334" i="6" s="1"/>
  <c r="P334" i="6" s="1"/>
  <c r="G335" i="6"/>
  <c r="I336" i="6"/>
  <c r="J335" i="6"/>
  <c r="E361" i="8"/>
  <c r="I360" i="8"/>
  <c r="J360" i="8" s="1"/>
  <c r="F360" i="8"/>
  <c r="L334" i="6"/>
  <c r="K335" i="6"/>
  <c r="E361" i="7" l="1"/>
  <c r="F360" i="7"/>
  <c r="I360" i="7" s="1"/>
  <c r="J360" i="7" s="1"/>
  <c r="F361" i="8"/>
  <c r="I361" i="8" s="1"/>
  <c r="J361" i="8" s="1"/>
  <c r="E362" i="8"/>
  <c r="G336" i="6"/>
  <c r="H335" i="6"/>
  <c r="O335" i="6" s="1"/>
  <c r="P335" i="6" s="1"/>
  <c r="G365" i="7"/>
  <c r="H364" i="7"/>
  <c r="M336" i="6"/>
  <c r="N335" i="6"/>
  <c r="L335" i="6"/>
  <c r="K336" i="6"/>
  <c r="J336" i="6"/>
  <c r="I337" i="6"/>
  <c r="G362" i="8"/>
  <c r="H361" i="8"/>
  <c r="M337" i="6" l="1"/>
  <c r="N336" i="6"/>
  <c r="H336" i="6"/>
  <c r="O336" i="6" s="1"/>
  <c r="P336" i="6" s="1"/>
  <c r="G337" i="6"/>
  <c r="L336" i="6"/>
  <c r="K337" i="6"/>
  <c r="H365" i="7"/>
  <c r="G366" i="7"/>
  <c r="E363" i="8"/>
  <c r="F362" i="8"/>
  <c r="I362" i="8" s="1"/>
  <c r="J362" i="8" s="1"/>
  <c r="G363" i="8"/>
  <c r="H362" i="8"/>
  <c r="F361" i="7"/>
  <c r="I361" i="7" s="1"/>
  <c r="J361" i="7" s="1"/>
  <c r="E362" i="7"/>
  <c r="J337" i="6"/>
  <c r="I338" i="6"/>
  <c r="F363" i="8" l="1"/>
  <c r="I363" i="8" s="1"/>
  <c r="J363" i="8" s="1"/>
  <c r="E364" i="8"/>
  <c r="L337" i="6"/>
  <c r="K338" i="6"/>
  <c r="I362" i="7"/>
  <c r="J362" i="7" s="1"/>
  <c r="F362" i="7"/>
  <c r="E363" i="7"/>
  <c r="G364" i="8"/>
  <c r="H363" i="8"/>
  <c r="G367" i="7"/>
  <c r="H366" i="7"/>
  <c r="G338" i="6"/>
  <c r="H337" i="6"/>
  <c r="O337" i="6" s="1"/>
  <c r="P337" i="6" s="1"/>
  <c r="J338" i="6"/>
  <c r="I339" i="6"/>
  <c r="N337" i="6"/>
  <c r="M338" i="6"/>
  <c r="F363" i="7" l="1"/>
  <c r="E364" i="7"/>
  <c r="I363" i="7"/>
  <c r="J363" i="7" s="1"/>
  <c r="H338" i="6"/>
  <c r="G339" i="6"/>
  <c r="O338" i="6"/>
  <c r="P338" i="6" s="1"/>
  <c r="H367" i="7"/>
  <c r="G368" i="7"/>
  <c r="G365" i="8"/>
  <c r="H364" i="8"/>
  <c r="L338" i="6"/>
  <c r="K339" i="6"/>
  <c r="M339" i="6"/>
  <c r="N338" i="6"/>
  <c r="E365" i="8"/>
  <c r="F364" i="8"/>
  <c r="I364" i="8" s="1"/>
  <c r="J364" i="8" s="1"/>
  <c r="J339" i="6"/>
  <c r="I340" i="6"/>
  <c r="J340" i="6" l="1"/>
  <c r="I341" i="6"/>
  <c r="F365" i="8"/>
  <c r="I365" i="8" s="1"/>
  <c r="J365" i="8" s="1"/>
  <c r="E366" i="8"/>
  <c r="N339" i="6"/>
  <c r="M340" i="6"/>
  <c r="L339" i="6"/>
  <c r="K340" i="6"/>
  <c r="H365" i="8"/>
  <c r="G366" i="8"/>
  <c r="G369" i="7"/>
  <c r="H368" i="7"/>
  <c r="G340" i="6"/>
  <c r="H339" i="6"/>
  <c r="O339" i="6" s="1"/>
  <c r="P339" i="6" s="1"/>
  <c r="E365" i="7"/>
  <c r="F364" i="7"/>
  <c r="I364" i="7" s="1"/>
  <c r="J364" i="7" s="1"/>
  <c r="H369" i="7" l="1"/>
  <c r="G370" i="7"/>
  <c r="L340" i="6"/>
  <c r="K341" i="6"/>
  <c r="H340" i="6"/>
  <c r="O340" i="6" s="1"/>
  <c r="P340" i="6" s="1"/>
  <c r="G341" i="6"/>
  <c r="G367" i="8"/>
  <c r="H366" i="8"/>
  <c r="M341" i="6"/>
  <c r="N340" i="6"/>
  <c r="E367" i="8"/>
  <c r="F366" i="8"/>
  <c r="I366" i="8"/>
  <c r="J366" i="8" s="1"/>
  <c r="J341" i="6"/>
  <c r="I342" i="6"/>
  <c r="F365" i="7"/>
  <c r="I365" i="7" s="1"/>
  <c r="J365" i="7" s="1"/>
  <c r="E366" i="7"/>
  <c r="F367" i="8" l="1"/>
  <c r="I367" i="8" s="1"/>
  <c r="J367" i="8" s="1"/>
  <c r="E368" i="8"/>
  <c r="H367" i="8"/>
  <c r="G368" i="8"/>
  <c r="N341" i="6"/>
  <c r="M342" i="6"/>
  <c r="I343" i="6"/>
  <c r="J342" i="6"/>
  <c r="L341" i="6"/>
  <c r="K342" i="6"/>
  <c r="G342" i="6"/>
  <c r="H341" i="6"/>
  <c r="O341" i="6" s="1"/>
  <c r="P341" i="6" s="1"/>
  <c r="E367" i="7"/>
  <c r="F366" i="7"/>
  <c r="I366" i="7" s="1"/>
  <c r="J366" i="7" s="1"/>
  <c r="G371" i="7"/>
  <c r="H370" i="7"/>
  <c r="K343" i="6" l="1"/>
  <c r="L342" i="6"/>
  <c r="H342" i="6"/>
  <c r="O342" i="6" s="1"/>
  <c r="P342" i="6" s="1"/>
  <c r="G343" i="6"/>
  <c r="J343" i="6"/>
  <c r="I344" i="6"/>
  <c r="M343" i="6"/>
  <c r="N342" i="6"/>
  <c r="F367" i="7"/>
  <c r="I367" i="7" s="1"/>
  <c r="J367" i="7" s="1"/>
  <c r="E368" i="7"/>
  <c r="G369" i="8"/>
  <c r="H368" i="8"/>
  <c r="I368" i="8" s="1"/>
  <c r="J368" i="8" s="1"/>
  <c r="G372" i="7"/>
  <c r="H371" i="7"/>
  <c r="E369" i="8"/>
  <c r="F368" i="8"/>
  <c r="M344" i="6" l="1"/>
  <c r="N343" i="6"/>
  <c r="I345" i="6"/>
  <c r="J344" i="6"/>
  <c r="E369" i="7"/>
  <c r="F368" i="7"/>
  <c r="I368" i="7" s="1"/>
  <c r="J368" i="7" s="1"/>
  <c r="G373" i="7"/>
  <c r="H372" i="7"/>
  <c r="G370" i="8"/>
  <c r="H369" i="8"/>
  <c r="H343" i="6"/>
  <c r="O343" i="6" s="1"/>
  <c r="P343" i="6" s="1"/>
  <c r="G344" i="6"/>
  <c r="F369" i="8"/>
  <c r="I369" i="8" s="1"/>
  <c r="J369" i="8" s="1"/>
  <c r="E370" i="8"/>
  <c r="L343" i="6"/>
  <c r="K344" i="6"/>
  <c r="G371" i="8" l="1"/>
  <c r="H370" i="8"/>
  <c r="G345" i="6"/>
  <c r="H344" i="6"/>
  <c r="O344" i="6" s="1"/>
  <c r="P344" i="6" s="1"/>
  <c r="E371" i="8"/>
  <c r="F370" i="8"/>
  <c r="I370" i="8" s="1"/>
  <c r="J370" i="8" s="1"/>
  <c r="F369" i="7"/>
  <c r="I369" i="7" s="1"/>
  <c r="J369" i="7" s="1"/>
  <c r="E370" i="7"/>
  <c r="G374" i="7"/>
  <c r="H373" i="7"/>
  <c r="K345" i="6"/>
  <c r="L344" i="6"/>
  <c r="I346" i="6"/>
  <c r="J345" i="6"/>
  <c r="N344" i="6"/>
  <c r="M345" i="6"/>
  <c r="I347" i="6" l="1"/>
  <c r="J346" i="6"/>
  <c r="E371" i="7"/>
  <c r="F370" i="7"/>
  <c r="I370" i="7" s="1"/>
  <c r="J370" i="7" s="1"/>
  <c r="M346" i="6"/>
  <c r="N345" i="6"/>
  <c r="L345" i="6"/>
  <c r="K346" i="6"/>
  <c r="G375" i="7"/>
  <c r="H374" i="7"/>
  <c r="F371" i="8"/>
  <c r="I371" i="8" s="1"/>
  <c r="J371" i="8" s="1"/>
  <c r="E372" i="8"/>
  <c r="G346" i="6"/>
  <c r="H345" i="6"/>
  <c r="O345" i="6" s="1"/>
  <c r="P345" i="6" s="1"/>
  <c r="G372" i="8"/>
  <c r="H371" i="8"/>
  <c r="G376" i="7" l="1"/>
  <c r="H375" i="7"/>
  <c r="K347" i="6"/>
  <c r="L346" i="6"/>
  <c r="H346" i="6"/>
  <c r="G347" i="6"/>
  <c r="O346" i="6"/>
  <c r="P346" i="6" s="1"/>
  <c r="E373" i="8"/>
  <c r="F372" i="8"/>
  <c r="I372" i="8" s="1"/>
  <c r="J372" i="8" s="1"/>
  <c r="F371" i="7"/>
  <c r="E372" i="7"/>
  <c r="I371" i="7"/>
  <c r="J371" i="7" s="1"/>
  <c r="M347" i="6"/>
  <c r="N346" i="6"/>
  <c r="G373" i="8"/>
  <c r="H372" i="8"/>
  <c r="J347" i="6"/>
  <c r="I348" i="6"/>
  <c r="G374" i="8" l="1"/>
  <c r="H373" i="8"/>
  <c r="N347" i="6"/>
  <c r="M348" i="6"/>
  <c r="H347" i="6"/>
  <c r="O347" i="6" s="1"/>
  <c r="P347" i="6" s="1"/>
  <c r="G348" i="6"/>
  <c r="I349" i="6"/>
  <c r="J348" i="6"/>
  <c r="F372" i="7"/>
  <c r="I372" i="7" s="1"/>
  <c r="J372" i="7" s="1"/>
  <c r="E373" i="7"/>
  <c r="F373" i="8"/>
  <c r="I373" i="8" s="1"/>
  <c r="J373" i="8" s="1"/>
  <c r="E374" i="8"/>
  <c r="L347" i="6"/>
  <c r="K348" i="6"/>
  <c r="G377" i="7"/>
  <c r="H376" i="7"/>
  <c r="F373" i="7" l="1"/>
  <c r="E374" i="7"/>
  <c r="I373" i="7"/>
  <c r="J373" i="7" s="1"/>
  <c r="I350" i="6"/>
  <c r="J349" i="6"/>
  <c r="G349" i="6"/>
  <c r="H348" i="6"/>
  <c r="E375" i="8"/>
  <c r="F374" i="8"/>
  <c r="I374" i="8" s="1"/>
  <c r="J374" i="8" s="1"/>
  <c r="N348" i="6"/>
  <c r="M349" i="6"/>
  <c r="H377" i="7"/>
  <c r="G378" i="7"/>
  <c r="L348" i="6"/>
  <c r="O348" i="6" s="1"/>
  <c r="P348" i="6" s="1"/>
  <c r="K349" i="6"/>
  <c r="G375" i="8"/>
  <c r="H374" i="8"/>
  <c r="G379" i="7" l="1"/>
  <c r="H378" i="7"/>
  <c r="G350" i="6"/>
  <c r="H349" i="6"/>
  <c r="M350" i="6"/>
  <c r="N349" i="6"/>
  <c r="F375" i="8"/>
  <c r="E376" i="8"/>
  <c r="J350" i="6"/>
  <c r="I351" i="6"/>
  <c r="H375" i="8"/>
  <c r="I375" i="8" s="1"/>
  <c r="J375" i="8" s="1"/>
  <c r="G376" i="8"/>
  <c r="E375" i="7"/>
  <c r="I374" i="7"/>
  <c r="J374" i="7" s="1"/>
  <c r="F374" i="7"/>
  <c r="K350" i="6"/>
  <c r="L349" i="6"/>
  <c r="O349" i="6" s="1"/>
  <c r="P349" i="6" s="1"/>
  <c r="F375" i="7" l="1"/>
  <c r="I375" i="7"/>
  <c r="J375" i="7" s="1"/>
  <c r="E376" i="7"/>
  <c r="I352" i="6"/>
  <c r="J351" i="6"/>
  <c r="E377" i="8"/>
  <c r="F376" i="8"/>
  <c r="I376" i="8" s="1"/>
  <c r="J376" i="8" s="1"/>
  <c r="L350" i="6"/>
  <c r="K351" i="6"/>
  <c r="G377" i="8"/>
  <c r="H376" i="8"/>
  <c r="M351" i="6"/>
  <c r="N350" i="6"/>
  <c r="H350" i="6"/>
  <c r="O350" i="6" s="1"/>
  <c r="P350" i="6" s="1"/>
  <c r="G351" i="6"/>
  <c r="G380" i="7"/>
  <c r="H379" i="7"/>
  <c r="M352" i="6" l="1"/>
  <c r="N351" i="6"/>
  <c r="H377" i="8"/>
  <c r="G378" i="8"/>
  <c r="L351" i="6"/>
  <c r="K352" i="6"/>
  <c r="I353" i="6"/>
  <c r="J352" i="6"/>
  <c r="G381" i="7"/>
  <c r="H380" i="7"/>
  <c r="F377" i="8"/>
  <c r="I377" i="8" s="1"/>
  <c r="J377" i="8" s="1"/>
  <c r="E378" i="8"/>
  <c r="E377" i="7"/>
  <c r="F376" i="7"/>
  <c r="I376" i="7" s="1"/>
  <c r="J376" i="7" s="1"/>
  <c r="G352" i="6"/>
  <c r="H351" i="6"/>
  <c r="O351" i="6" s="1"/>
  <c r="P351" i="6" s="1"/>
  <c r="E379" i="8" l="1"/>
  <c r="F378" i="8"/>
  <c r="I378" i="8" s="1"/>
  <c r="J378" i="8" s="1"/>
  <c r="H381" i="7"/>
  <c r="G382" i="7"/>
  <c r="G379" i="8"/>
  <c r="H378" i="8"/>
  <c r="F377" i="7"/>
  <c r="E378" i="7"/>
  <c r="I377" i="7"/>
  <c r="J377" i="7" s="1"/>
  <c r="J353" i="6"/>
  <c r="I354" i="6"/>
  <c r="L352" i="6"/>
  <c r="O352" i="6" s="1"/>
  <c r="P352" i="6" s="1"/>
  <c r="K353" i="6"/>
  <c r="H352" i="6"/>
  <c r="G353" i="6"/>
  <c r="N352" i="6"/>
  <c r="M353" i="6"/>
  <c r="J354" i="6" l="1"/>
  <c r="I355" i="6"/>
  <c r="E379" i="7"/>
  <c r="F378" i="7"/>
  <c r="I378" i="7" s="1"/>
  <c r="J378" i="7" s="1"/>
  <c r="G383" i="7"/>
  <c r="H382" i="7"/>
  <c r="M354" i="6"/>
  <c r="N353" i="6"/>
  <c r="K354" i="6"/>
  <c r="L353" i="6"/>
  <c r="G380" i="8"/>
  <c r="H379" i="8"/>
  <c r="I379" i="8" s="1"/>
  <c r="J379" i="8" s="1"/>
  <c r="H353" i="6"/>
  <c r="O353" i="6" s="1"/>
  <c r="P353" i="6" s="1"/>
  <c r="G354" i="6"/>
  <c r="F379" i="8"/>
  <c r="E380" i="8"/>
  <c r="H354" i="6" l="1"/>
  <c r="G355" i="6"/>
  <c r="I356" i="6"/>
  <c r="J355" i="6"/>
  <c r="G381" i="8"/>
  <c r="H380" i="8"/>
  <c r="L354" i="6"/>
  <c r="O354" i="6" s="1"/>
  <c r="P354" i="6" s="1"/>
  <c r="K355" i="6"/>
  <c r="N354" i="6"/>
  <c r="M355" i="6"/>
  <c r="G384" i="7"/>
  <c r="H383" i="7"/>
  <c r="F379" i="7"/>
  <c r="E380" i="7"/>
  <c r="I379" i="7"/>
  <c r="J379" i="7" s="1"/>
  <c r="E381" i="8"/>
  <c r="F380" i="8"/>
  <c r="I380" i="8" s="1"/>
  <c r="J380" i="8" s="1"/>
  <c r="G385" i="7" l="1"/>
  <c r="H384" i="7"/>
  <c r="E381" i="7"/>
  <c r="F380" i="7"/>
  <c r="I380" i="7"/>
  <c r="J380" i="7" s="1"/>
  <c r="N355" i="6"/>
  <c r="M356" i="6"/>
  <c r="L355" i="6"/>
  <c r="K356" i="6"/>
  <c r="G382" i="8"/>
  <c r="H381" i="8"/>
  <c r="I381" i="8" s="1"/>
  <c r="J381" i="8" s="1"/>
  <c r="I357" i="6"/>
  <c r="J356" i="6"/>
  <c r="G356" i="6"/>
  <c r="H355" i="6"/>
  <c r="O355" i="6" s="1"/>
  <c r="P355" i="6" s="1"/>
  <c r="F381" i="8"/>
  <c r="E382" i="8"/>
  <c r="H356" i="6" l="1"/>
  <c r="G357" i="6"/>
  <c r="I358" i="6"/>
  <c r="J357" i="6"/>
  <c r="G383" i="8"/>
  <c r="H382" i="8"/>
  <c r="K357" i="6"/>
  <c r="L356" i="6"/>
  <c r="O356" i="6" s="1"/>
  <c r="P356" i="6" s="1"/>
  <c r="M357" i="6"/>
  <c r="N356" i="6"/>
  <c r="F381" i="7"/>
  <c r="E382" i="7"/>
  <c r="I381" i="7"/>
  <c r="J381" i="7" s="1"/>
  <c r="E383" i="8"/>
  <c r="I382" i="8"/>
  <c r="J382" i="8" s="1"/>
  <c r="F382" i="8"/>
  <c r="H385" i="7"/>
  <c r="G386" i="7"/>
  <c r="E383" i="7" l="1"/>
  <c r="F382" i="7"/>
  <c r="I382" i="7" s="1"/>
  <c r="J382" i="7" s="1"/>
  <c r="L357" i="6"/>
  <c r="K358" i="6"/>
  <c r="G358" i="6"/>
  <c r="O357" i="6"/>
  <c r="P357" i="6" s="1"/>
  <c r="H357" i="6"/>
  <c r="F383" i="8"/>
  <c r="E384" i="8"/>
  <c r="I383" i="8"/>
  <c r="J383" i="8" s="1"/>
  <c r="N357" i="6"/>
  <c r="M358" i="6"/>
  <c r="G384" i="8"/>
  <c r="H383" i="8"/>
  <c r="I359" i="6"/>
  <c r="J358" i="6"/>
  <c r="G387" i="7"/>
  <c r="H386" i="7"/>
  <c r="G385" i="8" l="1"/>
  <c r="H384" i="8"/>
  <c r="I360" i="6"/>
  <c r="J359" i="6"/>
  <c r="N358" i="6"/>
  <c r="M359" i="6"/>
  <c r="K359" i="6"/>
  <c r="L358" i="6"/>
  <c r="E385" i="8"/>
  <c r="F384" i="8"/>
  <c r="I384" i="8" s="1"/>
  <c r="J384" i="8" s="1"/>
  <c r="H358" i="6"/>
  <c r="O358" i="6" s="1"/>
  <c r="P358" i="6" s="1"/>
  <c r="G359" i="6"/>
  <c r="G388" i="7"/>
  <c r="H387" i="7"/>
  <c r="F383" i="7"/>
  <c r="I383" i="7"/>
  <c r="J383" i="7" s="1"/>
  <c r="E384" i="7"/>
  <c r="G389" i="7" l="1"/>
  <c r="H388" i="7"/>
  <c r="G360" i="6"/>
  <c r="H359" i="6"/>
  <c r="O359" i="6" s="1"/>
  <c r="P359" i="6" s="1"/>
  <c r="F385" i="8"/>
  <c r="E386" i="8"/>
  <c r="I385" i="8"/>
  <c r="J385" i="8" s="1"/>
  <c r="L359" i="6"/>
  <c r="K360" i="6"/>
  <c r="N359" i="6"/>
  <c r="M360" i="6"/>
  <c r="E385" i="7"/>
  <c r="I384" i="7"/>
  <c r="J384" i="7" s="1"/>
  <c r="F384" i="7"/>
  <c r="J360" i="6"/>
  <c r="I361" i="6"/>
  <c r="H385" i="8"/>
  <c r="G386" i="8"/>
  <c r="F385" i="7" l="1"/>
  <c r="I385" i="7" s="1"/>
  <c r="J385" i="7" s="1"/>
  <c r="E386" i="7"/>
  <c r="K361" i="6"/>
  <c r="L360" i="6"/>
  <c r="G361" i="6"/>
  <c r="H360" i="6"/>
  <c r="O360" i="6" s="1"/>
  <c r="P360" i="6" s="1"/>
  <c r="M361" i="6"/>
  <c r="N360" i="6"/>
  <c r="E387" i="8"/>
  <c r="F386" i="8"/>
  <c r="I386" i="8" s="1"/>
  <c r="J386" i="8" s="1"/>
  <c r="G387" i="8"/>
  <c r="H386" i="8"/>
  <c r="J361" i="6"/>
  <c r="I362" i="6"/>
  <c r="G390" i="7"/>
  <c r="H389" i="7"/>
  <c r="H387" i="8" l="1"/>
  <c r="G388" i="8"/>
  <c r="N361" i="6"/>
  <c r="M362" i="6"/>
  <c r="E387" i="7"/>
  <c r="F386" i="7"/>
  <c r="I386" i="7" s="1"/>
  <c r="J386" i="7" s="1"/>
  <c r="G391" i="7"/>
  <c r="H390" i="7"/>
  <c r="F387" i="8"/>
  <c r="I387" i="8" s="1"/>
  <c r="J387" i="8" s="1"/>
  <c r="E388" i="8"/>
  <c r="H361" i="6"/>
  <c r="O361" i="6" s="1"/>
  <c r="P361" i="6" s="1"/>
  <c r="G362" i="6"/>
  <c r="L361" i="6"/>
  <c r="K362" i="6"/>
  <c r="I363" i="6"/>
  <c r="J362" i="6"/>
  <c r="H362" i="6" l="1"/>
  <c r="G363" i="6"/>
  <c r="J363" i="6"/>
  <c r="I364" i="6"/>
  <c r="G389" i="8"/>
  <c r="H388" i="8"/>
  <c r="E389" i="8"/>
  <c r="F388" i="8"/>
  <c r="I388" i="8" s="1"/>
  <c r="J388" i="8" s="1"/>
  <c r="G392" i="7"/>
  <c r="H391" i="7"/>
  <c r="F387" i="7"/>
  <c r="E388" i="7"/>
  <c r="I387" i="7"/>
  <c r="J387" i="7" s="1"/>
  <c r="M363" i="6"/>
  <c r="N362" i="6"/>
  <c r="K363" i="6"/>
  <c r="L362" i="6"/>
  <c r="O362" i="6" s="1"/>
  <c r="P362" i="6" s="1"/>
  <c r="G393" i="7" l="1"/>
  <c r="H392" i="7"/>
  <c r="M364" i="6"/>
  <c r="N363" i="6"/>
  <c r="J364" i="6"/>
  <c r="I365" i="6"/>
  <c r="F388" i="7"/>
  <c r="I388" i="7" s="1"/>
  <c r="J388" i="7" s="1"/>
  <c r="E389" i="7"/>
  <c r="F389" i="8"/>
  <c r="I389" i="8" s="1"/>
  <c r="J389" i="8" s="1"/>
  <c r="E390" i="8"/>
  <c r="H389" i="8"/>
  <c r="G390" i="8"/>
  <c r="L363" i="6"/>
  <c r="K364" i="6"/>
  <c r="H363" i="6"/>
  <c r="O363" i="6" s="1"/>
  <c r="P363" i="6" s="1"/>
  <c r="G364" i="6"/>
  <c r="F389" i="7" l="1"/>
  <c r="I389" i="7" s="1"/>
  <c r="J389" i="7" s="1"/>
  <c r="E390" i="7"/>
  <c r="G391" i="8"/>
  <c r="H390" i="8"/>
  <c r="L364" i="6"/>
  <c r="K365" i="6"/>
  <c r="E391" i="8"/>
  <c r="F390" i="8"/>
  <c r="I390" i="8" s="1"/>
  <c r="J390" i="8" s="1"/>
  <c r="J365" i="6"/>
  <c r="I366" i="6"/>
  <c r="N364" i="6"/>
  <c r="M365" i="6"/>
  <c r="G365" i="6"/>
  <c r="H364" i="6"/>
  <c r="O364" i="6" s="1"/>
  <c r="P364" i="6" s="1"/>
  <c r="H393" i="7"/>
  <c r="G394" i="7"/>
  <c r="J366" i="6" l="1"/>
  <c r="I367" i="6"/>
  <c r="F391" i="8"/>
  <c r="I391" i="8" s="1"/>
  <c r="J391" i="8" s="1"/>
  <c r="E392" i="8"/>
  <c r="K366" i="6"/>
  <c r="L365" i="6"/>
  <c r="M366" i="6"/>
  <c r="N365" i="6"/>
  <c r="G392" i="8"/>
  <c r="H391" i="8"/>
  <c r="G395" i="7"/>
  <c r="H394" i="7"/>
  <c r="G366" i="6"/>
  <c r="H365" i="6"/>
  <c r="O365" i="6" s="1"/>
  <c r="P365" i="6" s="1"/>
  <c r="E391" i="7"/>
  <c r="F390" i="7"/>
  <c r="I390" i="7" s="1"/>
  <c r="J390" i="7" s="1"/>
  <c r="H366" i="6" l="1"/>
  <c r="O366" i="6" s="1"/>
  <c r="P366" i="6" s="1"/>
  <c r="G367" i="6"/>
  <c r="G393" i="8"/>
  <c r="H392" i="8"/>
  <c r="M367" i="6"/>
  <c r="N366" i="6"/>
  <c r="G396" i="7"/>
  <c r="H395" i="7"/>
  <c r="K367" i="6"/>
  <c r="L366" i="6"/>
  <c r="E393" i="8"/>
  <c r="F392" i="8"/>
  <c r="I392" i="8" s="1"/>
  <c r="J392" i="8" s="1"/>
  <c r="J367" i="6"/>
  <c r="I368" i="6"/>
  <c r="F391" i="7"/>
  <c r="I391" i="7" s="1"/>
  <c r="J391" i="7" s="1"/>
  <c r="E392" i="7"/>
  <c r="L367" i="6" l="1"/>
  <c r="K368" i="6"/>
  <c r="J368" i="6"/>
  <c r="I369" i="6"/>
  <c r="G397" i="7"/>
  <c r="H396" i="7"/>
  <c r="F393" i="8"/>
  <c r="E394" i="8"/>
  <c r="I393" i="8"/>
  <c r="J393" i="8" s="1"/>
  <c r="G394" i="8"/>
  <c r="H393" i="8"/>
  <c r="H367" i="6"/>
  <c r="G368" i="6"/>
  <c r="O367" i="6"/>
  <c r="P367" i="6" s="1"/>
  <c r="M368" i="6"/>
  <c r="N367" i="6"/>
  <c r="E393" i="7"/>
  <c r="F392" i="7"/>
  <c r="I392" i="7" s="1"/>
  <c r="J392" i="7" s="1"/>
  <c r="G395" i="8" l="1"/>
  <c r="H394" i="8"/>
  <c r="E395" i="8"/>
  <c r="F394" i="8"/>
  <c r="I394" i="8" s="1"/>
  <c r="J394" i="8" s="1"/>
  <c r="N368" i="6"/>
  <c r="M369" i="6"/>
  <c r="H368" i="6"/>
  <c r="O368" i="6" s="1"/>
  <c r="P368" i="6" s="1"/>
  <c r="G369" i="6"/>
  <c r="H397" i="7"/>
  <c r="G398" i="7"/>
  <c r="I370" i="6"/>
  <c r="J369" i="6"/>
  <c r="F393" i="7"/>
  <c r="I393" i="7" s="1"/>
  <c r="J393" i="7" s="1"/>
  <c r="E394" i="7"/>
  <c r="L368" i="6"/>
  <c r="K369" i="6"/>
  <c r="G399" i="7" l="1"/>
  <c r="H398" i="7"/>
  <c r="J370" i="6"/>
  <c r="I371" i="6"/>
  <c r="G370" i="6"/>
  <c r="H369" i="6"/>
  <c r="M370" i="6"/>
  <c r="N369" i="6"/>
  <c r="K370" i="6"/>
  <c r="L369" i="6"/>
  <c r="O369" i="6" s="1"/>
  <c r="P369" i="6" s="1"/>
  <c r="F395" i="8"/>
  <c r="E396" i="8"/>
  <c r="I394" i="7"/>
  <c r="J394" i="7" s="1"/>
  <c r="E395" i="7"/>
  <c r="F394" i="7"/>
  <c r="G396" i="8"/>
  <c r="H395" i="8"/>
  <c r="I395" i="8" s="1"/>
  <c r="J395" i="8" s="1"/>
  <c r="K371" i="6" l="1"/>
  <c r="L370" i="6"/>
  <c r="F395" i="7"/>
  <c r="I395" i="7" s="1"/>
  <c r="J395" i="7" s="1"/>
  <c r="E396" i="7"/>
  <c r="N370" i="6"/>
  <c r="M371" i="6"/>
  <c r="E397" i="8"/>
  <c r="I396" i="8"/>
  <c r="J396" i="8" s="1"/>
  <c r="F396" i="8"/>
  <c r="H370" i="6"/>
  <c r="O370" i="6" s="1"/>
  <c r="P370" i="6" s="1"/>
  <c r="G371" i="6"/>
  <c r="I372" i="6"/>
  <c r="J371" i="6"/>
  <c r="G397" i="8"/>
  <c r="H396" i="8"/>
  <c r="G400" i="7"/>
  <c r="H399" i="7"/>
  <c r="I373" i="6" l="1"/>
  <c r="J372" i="6"/>
  <c r="F397" i="8"/>
  <c r="I397" i="8" s="1"/>
  <c r="J397" i="8" s="1"/>
  <c r="E398" i="8"/>
  <c r="N371" i="6"/>
  <c r="M372" i="6"/>
  <c r="H397" i="8"/>
  <c r="G398" i="8"/>
  <c r="G372" i="6"/>
  <c r="H371" i="6"/>
  <c r="O371" i="6" s="1"/>
  <c r="P371" i="6" s="1"/>
  <c r="E397" i="7"/>
  <c r="F396" i="7"/>
  <c r="I396" i="7"/>
  <c r="J396" i="7" s="1"/>
  <c r="G401" i="7"/>
  <c r="H400" i="7"/>
  <c r="L371" i="6"/>
  <c r="K372" i="6"/>
  <c r="F397" i="7" l="1"/>
  <c r="I397" i="7" s="1"/>
  <c r="J397" i="7" s="1"/>
  <c r="E398" i="7"/>
  <c r="G399" i="8"/>
  <c r="H398" i="8"/>
  <c r="H401" i="7"/>
  <c r="G402" i="7"/>
  <c r="M373" i="6"/>
  <c r="N372" i="6"/>
  <c r="E399" i="8"/>
  <c r="F398" i="8"/>
  <c r="I398" i="8" s="1"/>
  <c r="J398" i="8" s="1"/>
  <c r="G373" i="6"/>
  <c r="H372" i="6"/>
  <c r="O372" i="6" s="1"/>
  <c r="P372" i="6" s="1"/>
  <c r="K373" i="6"/>
  <c r="L372" i="6"/>
  <c r="I374" i="6"/>
  <c r="J373" i="6"/>
  <c r="F399" i="8" l="1"/>
  <c r="I399" i="8" s="1"/>
  <c r="J399" i="8" s="1"/>
  <c r="E400" i="8"/>
  <c r="L373" i="6"/>
  <c r="K374" i="6"/>
  <c r="M374" i="6"/>
  <c r="N373" i="6"/>
  <c r="G403" i="7"/>
  <c r="H402" i="7"/>
  <c r="H399" i="8"/>
  <c r="G400" i="8"/>
  <c r="H373" i="6"/>
  <c r="O373" i="6" s="1"/>
  <c r="P373" i="6" s="1"/>
  <c r="G374" i="6"/>
  <c r="J374" i="6"/>
  <c r="I375" i="6"/>
  <c r="E399" i="7"/>
  <c r="F398" i="7"/>
  <c r="I398" i="7" s="1"/>
  <c r="J398" i="7" s="1"/>
  <c r="J375" i="6" l="1"/>
  <c r="I376" i="6"/>
  <c r="H374" i="6"/>
  <c r="O374" i="6" s="1"/>
  <c r="P374" i="6" s="1"/>
  <c r="G375" i="6"/>
  <c r="G401" i="8"/>
  <c r="H400" i="8"/>
  <c r="N374" i="6"/>
  <c r="M375" i="6"/>
  <c r="E401" i="8"/>
  <c r="F400" i="8"/>
  <c r="I400" i="8" s="1"/>
  <c r="J400" i="8" s="1"/>
  <c r="G404" i="7"/>
  <c r="H403" i="7"/>
  <c r="L374" i="6"/>
  <c r="K375" i="6"/>
  <c r="F399" i="7"/>
  <c r="I399" i="7" s="1"/>
  <c r="J399" i="7" s="1"/>
  <c r="E400" i="7"/>
  <c r="N375" i="6" l="1"/>
  <c r="M376" i="6"/>
  <c r="F401" i="8"/>
  <c r="I401" i="8" s="1"/>
  <c r="J401" i="8" s="1"/>
  <c r="E402" i="8"/>
  <c r="G402" i="8"/>
  <c r="H401" i="8"/>
  <c r="G376" i="6"/>
  <c r="H375" i="6"/>
  <c r="O375" i="6" s="1"/>
  <c r="P375" i="6" s="1"/>
  <c r="G405" i="7"/>
  <c r="H404" i="7"/>
  <c r="E401" i="7"/>
  <c r="F400" i="7"/>
  <c r="I400" i="7" s="1"/>
  <c r="J400" i="7" s="1"/>
  <c r="I377" i="6"/>
  <c r="J376" i="6"/>
  <c r="L375" i="6"/>
  <c r="K376" i="6"/>
  <c r="F401" i="7" l="1"/>
  <c r="I401" i="7" s="1"/>
  <c r="J401" i="7" s="1"/>
  <c r="E402" i="7"/>
  <c r="G377" i="6"/>
  <c r="H376" i="6"/>
  <c r="O376" i="6" s="1"/>
  <c r="P376" i="6" s="1"/>
  <c r="J377" i="6"/>
  <c r="I378" i="6"/>
  <c r="G406" i="7"/>
  <c r="H405" i="7"/>
  <c r="G403" i="8"/>
  <c r="H402" i="8"/>
  <c r="E403" i="8"/>
  <c r="F402" i="8"/>
  <c r="I402" i="8" s="1"/>
  <c r="J402" i="8" s="1"/>
  <c r="K377" i="6"/>
  <c r="L376" i="6"/>
  <c r="M377" i="6"/>
  <c r="N376" i="6"/>
  <c r="L377" i="6" l="1"/>
  <c r="K378" i="6"/>
  <c r="G407" i="7"/>
  <c r="H406" i="7"/>
  <c r="I379" i="6"/>
  <c r="J378" i="6"/>
  <c r="F403" i="8"/>
  <c r="I403" i="8" s="1"/>
  <c r="J403" i="8" s="1"/>
  <c r="E404" i="8"/>
  <c r="H377" i="6"/>
  <c r="O377" i="6" s="1"/>
  <c r="P377" i="6" s="1"/>
  <c r="G378" i="6"/>
  <c r="E403" i="7"/>
  <c r="I402" i="7"/>
  <c r="J402" i="7" s="1"/>
  <c r="F402" i="7"/>
  <c r="G404" i="8"/>
  <c r="H403" i="8"/>
  <c r="M378" i="6"/>
  <c r="N377" i="6"/>
  <c r="F403" i="7" l="1"/>
  <c r="I403" i="7" s="1"/>
  <c r="J403" i="7" s="1"/>
  <c r="E404" i="7"/>
  <c r="H378" i="6"/>
  <c r="O378" i="6" s="1"/>
  <c r="P378" i="6" s="1"/>
  <c r="G379" i="6"/>
  <c r="E405" i="8"/>
  <c r="F404" i="8"/>
  <c r="I404" i="8" s="1"/>
  <c r="J404" i="8" s="1"/>
  <c r="I380" i="6"/>
  <c r="J379" i="6"/>
  <c r="G408" i="7"/>
  <c r="H407" i="7"/>
  <c r="G405" i="8"/>
  <c r="H404" i="8"/>
  <c r="M379" i="6"/>
  <c r="N378" i="6"/>
  <c r="K379" i="6"/>
  <c r="L378" i="6"/>
  <c r="H405" i="8" l="1"/>
  <c r="G406" i="8"/>
  <c r="G409" i="7"/>
  <c r="H408" i="7"/>
  <c r="J380" i="6"/>
  <c r="I381" i="6"/>
  <c r="F405" i="8"/>
  <c r="I405" i="8" s="1"/>
  <c r="J405" i="8" s="1"/>
  <c r="E406" i="8"/>
  <c r="H379" i="6"/>
  <c r="O379" i="6" s="1"/>
  <c r="P379" i="6" s="1"/>
  <c r="G380" i="6"/>
  <c r="M380" i="6"/>
  <c r="N379" i="6"/>
  <c r="L379" i="6"/>
  <c r="K380" i="6"/>
  <c r="F404" i="7"/>
  <c r="I404" i="7" s="1"/>
  <c r="J404" i="7" s="1"/>
  <c r="E405" i="7"/>
  <c r="K381" i="6" l="1"/>
  <c r="L380" i="6"/>
  <c r="E407" i="8"/>
  <c r="F406" i="8"/>
  <c r="I406" i="8" s="1"/>
  <c r="J406" i="8" s="1"/>
  <c r="H380" i="6"/>
  <c r="O380" i="6" s="1"/>
  <c r="P380" i="6" s="1"/>
  <c r="G381" i="6"/>
  <c r="I382" i="6"/>
  <c r="J381" i="6"/>
  <c r="M381" i="6"/>
  <c r="N380" i="6"/>
  <c r="H409" i="7"/>
  <c r="G410" i="7"/>
  <c r="F405" i="7"/>
  <c r="I405" i="7" s="1"/>
  <c r="J405" i="7" s="1"/>
  <c r="E406" i="7"/>
  <c r="G407" i="8"/>
  <c r="H406" i="8"/>
  <c r="N381" i="6" l="1"/>
  <c r="M382" i="6"/>
  <c r="I383" i="6"/>
  <c r="J382" i="6"/>
  <c r="I406" i="7"/>
  <c r="J406" i="7" s="1"/>
  <c r="F406" i="7"/>
  <c r="E407" i="7"/>
  <c r="H381" i="6"/>
  <c r="O381" i="6" s="1"/>
  <c r="P381" i="6" s="1"/>
  <c r="G382" i="6"/>
  <c r="F407" i="8"/>
  <c r="I407" i="8" s="1"/>
  <c r="J407" i="8" s="1"/>
  <c r="E408" i="8"/>
  <c r="G411" i="7"/>
  <c r="H410" i="7"/>
  <c r="H407" i="8"/>
  <c r="G408" i="8"/>
  <c r="K382" i="6"/>
  <c r="L381" i="6"/>
  <c r="H382" i="6" l="1"/>
  <c r="G383" i="6"/>
  <c r="H411" i="7"/>
  <c r="G412" i="7"/>
  <c r="E409" i="8"/>
  <c r="F408" i="8"/>
  <c r="F407" i="7"/>
  <c r="I407" i="7" s="1"/>
  <c r="J407" i="7" s="1"/>
  <c r="E408" i="7"/>
  <c r="I384" i="6"/>
  <c r="J383" i="6"/>
  <c r="L382" i="6"/>
  <c r="O382" i="6" s="1"/>
  <c r="P382" i="6" s="1"/>
  <c r="K383" i="6"/>
  <c r="N382" i="6"/>
  <c r="M383" i="6"/>
  <c r="G409" i="8"/>
  <c r="H408" i="8"/>
  <c r="I408" i="8" s="1"/>
  <c r="J408" i="8" s="1"/>
  <c r="F409" i="8" l="1"/>
  <c r="I409" i="8" s="1"/>
  <c r="J409" i="8" s="1"/>
  <c r="E410" i="8"/>
  <c r="J384" i="6"/>
  <c r="I385" i="6"/>
  <c r="G413" i="7"/>
  <c r="H412" i="7"/>
  <c r="H383" i="6"/>
  <c r="G384" i="6"/>
  <c r="L383" i="6"/>
  <c r="O383" i="6" s="1"/>
  <c r="P383" i="6" s="1"/>
  <c r="K384" i="6"/>
  <c r="E409" i="7"/>
  <c r="F408" i="7"/>
  <c r="I408" i="7" s="1"/>
  <c r="J408" i="7" s="1"/>
  <c r="G410" i="8"/>
  <c r="H409" i="8"/>
  <c r="M384" i="6"/>
  <c r="N383" i="6"/>
  <c r="G411" i="8" l="1"/>
  <c r="H410" i="8"/>
  <c r="L384" i="6"/>
  <c r="K385" i="6"/>
  <c r="G385" i="6"/>
  <c r="O384" i="6"/>
  <c r="P384" i="6" s="1"/>
  <c r="H384" i="6"/>
  <c r="F409" i="7"/>
  <c r="I409" i="7" s="1"/>
  <c r="J409" i="7" s="1"/>
  <c r="E410" i="7"/>
  <c r="H413" i="7"/>
  <c r="G414" i="7"/>
  <c r="I386" i="6"/>
  <c r="J385" i="6"/>
  <c r="E411" i="8"/>
  <c r="F410" i="8"/>
  <c r="I410" i="8" s="1"/>
  <c r="J410" i="8" s="1"/>
  <c r="N384" i="6"/>
  <c r="M385" i="6"/>
  <c r="E411" i="7" l="1"/>
  <c r="F410" i="7"/>
  <c r="I410" i="7" s="1"/>
  <c r="J410" i="7" s="1"/>
  <c r="G412" i="8"/>
  <c r="H411" i="8"/>
  <c r="J386" i="6"/>
  <c r="I387" i="6"/>
  <c r="G415" i="7"/>
  <c r="H414" i="7"/>
  <c r="F411" i="8"/>
  <c r="I411" i="8" s="1"/>
  <c r="J411" i="8" s="1"/>
  <c r="E412" i="8"/>
  <c r="G386" i="6"/>
  <c r="H385" i="6"/>
  <c r="O385" i="6" s="1"/>
  <c r="P385" i="6" s="1"/>
  <c r="K386" i="6"/>
  <c r="L385" i="6"/>
  <c r="M386" i="6"/>
  <c r="N385" i="6"/>
  <c r="L386" i="6" l="1"/>
  <c r="K387" i="6"/>
  <c r="G416" i="7"/>
  <c r="H415" i="7"/>
  <c r="E413" i="8"/>
  <c r="F412" i="8"/>
  <c r="J387" i="6"/>
  <c r="I388" i="6"/>
  <c r="H386" i="6"/>
  <c r="O386" i="6"/>
  <c r="P386" i="6" s="1"/>
  <c r="G387" i="6"/>
  <c r="G413" i="8"/>
  <c r="H412" i="8"/>
  <c r="I412" i="8" s="1"/>
  <c r="J412" i="8" s="1"/>
  <c r="M387" i="6"/>
  <c r="N386" i="6"/>
  <c r="F411" i="7"/>
  <c r="I411" i="7" s="1"/>
  <c r="J411" i="7" s="1"/>
  <c r="E412" i="7"/>
  <c r="I389" i="6" l="1"/>
  <c r="J388" i="6"/>
  <c r="N387" i="6"/>
  <c r="M388" i="6"/>
  <c r="H413" i="8"/>
  <c r="G414" i="8"/>
  <c r="F413" i="8"/>
  <c r="I413" i="8" s="1"/>
  <c r="J413" i="8" s="1"/>
  <c r="E414" i="8"/>
  <c r="G417" i="7"/>
  <c r="H416" i="7"/>
  <c r="H387" i="6"/>
  <c r="O387" i="6"/>
  <c r="P387" i="6" s="1"/>
  <c r="G388" i="6"/>
  <c r="E413" i="7"/>
  <c r="F412" i="7"/>
  <c r="I412" i="7" s="1"/>
  <c r="J412" i="7" s="1"/>
  <c r="L387" i="6"/>
  <c r="K388" i="6"/>
  <c r="H417" i="7" l="1"/>
  <c r="G418" i="7"/>
  <c r="E415" i="8"/>
  <c r="F414" i="8"/>
  <c r="I414" i="8" s="1"/>
  <c r="J414" i="8" s="1"/>
  <c r="G415" i="8"/>
  <c r="H414" i="8"/>
  <c r="F413" i="7"/>
  <c r="I413" i="7" s="1"/>
  <c r="J413" i="7" s="1"/>
  <c r="E414" i="7"/>
  <c r="G389" i="6"/>
  <c r="H388" i="6"/>
  <c r="N388" i="6"/>
  <c r="M389" i="6"/>
  <c r="L388" i="6"/>
  <c r="O388" i="6" s="1"/>
  <c r="P388" i="6" s="1"/>
  <c r="K389" i="6"/>
  <c r="I390" i="6"/>
  <c r="J389" i="6"/>
  <c r="E415" i="7" l="1"/>
  <c r="F414" i="7"/>
  <c r="I414" i="7" s="1"/>
  <c r="J414" i="7" s="1"/>
  <c r="H389" i="6"/>
  <c r="O389" i="6" s="1"/>
  <c r="P389" i="6" s="1"/>
  <c r="G390" i="6"/>
  <c r="M390" i="6"/>
  <c r="N389" i="6"/>
  <c r="H415" i="8"/>
  <c r="G416" i="8"/>
  <c r="F415" i="8"/>
  <c r="I415" i="8" s="1"/>
  <c r="J415" i="8" s="1"/>
  <c r="E416" i="8"/>
  <c r="J390" i="6"/>
  <c r="I391" i="6"/>
  <c r="G419" i="7"/>
  <c r="H418" i="7"/>
  <c r="K390" i="6"/>
  <c r="L389" i="6"/>
  <c r="G417" i="8" l="1"/>
  <c r="H416" i="8"/>
  <c r="I392" i="6"/>
  <c r="J391" i="6"/>
  <c r="E417" i="8"/>
  <c r="F416" i="8"/>
  <c r="I416" i="8" s="1"/>
  <c r="J416" i="8" s="1"/>
  <c r="N390" i="6"/>
  <c r="M391" i="6"/>
  <c r="H390" i="6"/>
  <c r="O390" i="6" s="1"/>
  <c r="P390" i="6" s="1"/>
  <c r="G391" i="6"/>
  <c r="L390" i="6"/>
  <c r="K391" i="6"/>
  <c r="H419" i="7"/>
  <c r="G420" i="7"/>
  <c r="F415" i="7"/>
  <c r="I415" i="7" s="1"/>
  <c r="J415" i="7" s="1"/>
  <c r="E416" i="7"/>
  <c r="G421" i="7" l="1"/>
  <c r="H420" i="7"/>
  <c r="M392" i="6"/>
  <c r="N391" i="6"/>
  <c r="L391" i="6"/>
  <c r="K392" i="6"/>
  <c r="H391" i="6"/>
  <c r="O391" i="6" s="1"/>
  <c r="P391" i="6" s="1"/>
  <c r="G392" i="6"/>
  <c r="F417" i="8"/>
  <c r="I417" i="8" s="1"/>
  <c r="J417" i="8" s="1"/>
  <c r="E418" i="8"/>
  <c r="E417" i="7"/>
  <c r="F416" i="7"/>
  <c r="I416" i="7" s="1"/>
  <c r="J416" i="7" s="1"/>
  <c r="J392" i="6"/>
  <c r="I393" i="6"/>
  <c r="G418" i="8"/>
  <c r="H417" i="8"/>
  <c r="F417" i="7" l="1"/>
  <c r="I417" i="7" s="1"/>
  <c r="J417" i="7" s="1"/>
  <c r="E418" i="7"/>
  <c r="H392" i="6"/>
  <c r="O392" i="6" s="1"/>
  <c r="P392" i="6" s="1"/>
  <c r="G393" i="6"/>
  <c r="F418" i="8"/>
  <c r="I418" i="8" s="1"/>
  <c r="J418" i="8" s="1"/>
  <c r="E419" i="8"/>
  <c r="L392" i="6"/>
  <c r="K393" i="6"/>
  <c r="M393" i="6"/>
  <c r="N392" i="6"/>
  <c r="G419" i="8"/>
  <c r="H418" i="8"/>
  <c r="I394" i="6"/>
  <c r="J393" i="6"/>
  <c r="G422" i="7"/>
  <c r="H421" i="7"/>
  <c r="K394" i="6" l="1"/>
  <c r="L393" i="6"/>
  <c r="F419" i="8"/>
  <c r="I419" i="8" s="1"/>
  <c r="J419" i="8" s="1"/>
  <c r="E420" i="8"/>
  <c r="I395" i="6"/>
  <c r="J394" i="6"/>
  <c r="N393" i="6"/>
  <c r="M394" i="6"/>
  <c r="E419" i="7"/>
  <c r="F418" i="7"/>
  <c r="I418" i="7" s="1"/>
  <c r="J418" i="7" s="1"/>
  <c r="H419" i="8"/>
  <c r="G420" i="8"/>
  <c r="O393" i="6"/>
  <c r="P393" i="6" s="1"/>
  <c r="G394" i="6"/>
  <c r="H393" i="6"/>
  <c r="G423" i="7"/>
  <c r="H422" i="7"/>
  <c r="F419" i="7" l="1"/>
  <c r="I419" i="7" s="1"/>
  <c r="J419" i="7" s="1"/>
  <c r="E420" i="7"/>
  <c r="N394" i="6"/>
  <c r="M395" i="6"/>
  <c r="H394" i="6"/>
  <c r="O394" i="6" s="1"/>
  <c r="P394" i="6" s="1"/>
  <c r="G395" i="6"/>
  <c r="G421" i="8"/>
  <c r="H420" i="8"/>
  <c r="J395" i="6"/>
  <c r="I396" i="6"/>
  <c r="E421" i="8"/>
  <c r="F420" i="8"/>
  <c r="I420" i="8" s="1"/>
  <c r="J420" i="8" s="1"/>
  <c r="G424" i="7"/>
  <c r="H423" i="7"/>
  <c r="L394" i="6"/>
  <c r="K395" i="6"/>
  <c r="G425" i="7" l="1"/>
  <c r="H424" i="7"/>
  <c r="J396" i="6"/>
  <c r="I397" i="6"/>
  <c r="H421" i="8"/>
  <c r="G422" i="8"/>
  <c r="H395" i="6"/>
  <c r="G396" i="6"/>
  <c r="E422" i="8"/>
  <c r="F421" i="8"/>
  <c r="I421" i="8" s="1"/>
  <c r="J421" i="8" s="1"/>
  <c r="M396" i="6"/>
  <c r="N395" i="6"/>
  <c r="L395" i="6"/>
  <c r="O395" i="6" s="1"/>
  <c r="P395" i="6" s="1"/>
  <c r="K396" i="6"/>
  <c r="F420" i="7"/>
  <c r="E421" i="7"/>
  <c r="I420" i="7"/>
  <c r="J420" i="7" s="1"/>
  <c r="E423" i="8" l="1"/>
  <c r="F422" i="8"/>
  <c r="I422" i="8" s="1"/>
  <c r="J422" i="8" s="1"/>
  <c r="H396" i="6"/>
  <c r="O396" i="6" s="1"/>
  <c r="P396" i="6" s="1"/>
  <c r="G397" i="6"/>
  <c r="N396" i="6"/>
  <c r="M397" i="6"/>
  <c r="G423" i="8"/>
  <c r="H422" i="8"/>
  <c r="I398" i="6"/>
  <c r="J397" i="6"/>
  <c r="L396" i="6"/>
  <c r="K397" i="6"/>
  <c r="F421" i="7"/>
  <c r="I421" i="7" s="1"/>
  <c r="J421" i="7" s="1"/>
  <c r="E422" i="7"/>
  <c r="H425" i="7"/>
  <c r="G426" i="7"/>
  <c r="F422" i="7" l="1"/>
  <c r="I422" i="7" s="1"/>
  <c r="J422" i="7" s="1"/>
  <c r="E423" i="7"/>
  <c r="K398" i="6"/>
  <c r="L397" i="6"/>
  <c r="J398" i="6"/>
  <c r="I399" i="6"/>
  <c r="H423" i="8"/>
  <c r="G424" i="8"/>
  <c r="M398" i="6"/>
  <c r="N397" i="6"/>
  <c r="G398" i="6"/>
  <c r="H397" i="6"/>
  <c r="O397" i="6" s="1"/>
  <c r="P397" i="6" s="1"/>
  <c r="G427" i="7"/>
  <c r="H426" i="7"/>
  <c r="F423" i="8"/>
  <c r="I423" i="8" s="1"/>
  <c r="J423" i="8" s="1"/>
  <c r="E424" i="8"/>
  <c r="G425" i="8" l="1"/>
  <c r="H424" i="8"/>
  <c r="M399" i="6"/>
  <c r="N398" i="6"/>
  <c r="I400" i="6"/>
  <c r="J399" i="6"/>
  <c r="H427" i="7"/>
  <c r="G428" i="7"/>
  <c r="H398" i="6"/>
  <c r="O398" i="6" s="1"/>
  <c r="P398" i="6" s="1"/>
  <c r="G399" i="6"/>
  <c r="L398" i="6"/>
  <c r="K399" i="6"/>
  <c r="F424" i="8"/>
  <c r="I424" i="8"/>
  <c r="J424" i="8" s="1"/>
  <c r="E425" i="8"/>
  <c r="F423" i="7"/>
  <c r="I423" i="7" s="1"/>
  <c r="J423" i="7" s="1"/>
  <c r="E424" i="7"/>
  <c r="E426" i="8" l="1"/>
  <c r="F425" i="8"/>
  <c r="I425" i="8" s="1"/>
  <c r="J425" i="8" s="1"/>
  <c r="L399" i="6"/>
  <c r="K400" i="6"/>
  <c r="H399" i="6"/>
  <c r="O399" i="6" s="1"/>
  <c r="P399" i="6" s="1"/>
  <c r="G400" i="6"/>
  <c r="G429" i="7"/>
  <c r="H428" i="7"/>
  <c r="I401" i="6"/>
  <c r="J400" i="6"/>
  <c r="N399" i="6"/>
  <c r="M400" i="6"/>
  <c r="I424" i="7"/>
  <c r="J424" i="7" s="1"/>
  <c r="E425" i="7"/>
  <c r="F424" i="7"/>
  <c r="G426" i="8"/>
  <c r="H425" i="8"/>
  <c r="H429" i="7" l="1"/>
  <c r="G430" i="7"/>
  <c r="F425" i="7"/>
  <c r="I425" i="7" s="1"/>
  <c r="J425" i="7" s="1"/>
  <c r="E426" i="7"/>
  <c r="G401" i="6"/>
  <c r="H400" i="6"/>
  <c r="O400" i="6"/>
  <c r="P400" i="6" s="1"/>
  <c r="J401" i="6"/>
  <c r="I402" i="6"/>
  <c r="L400" i="6"/>
  <c r="K401" i="6"/>
  <c r="G427" i="8"/>
  <c r="H426" i="8"/>
  <c r="M401" i="6"/>
  <c r="N400" i="6"/>
  <c r="E427" i="8"/>
  <c r="F426" i="8"/>
  <c r="I426" i="8" s="1"/>
  <c r="J426" i="8" s="1"/>
  <c r="K402" i="6" l="1"/>
  <c r="L401" i="6"/>
  <c r="G428" i="8"/>
  <c r="H427" i="8"/>
  <c r="J402" i="6"/>
  <c r="I403" i="6"/>
  <c r="M402" i="6"/>
  <c r="N401" i="6"/>
  <c r="G402" i="6"/>
  <c r="H401" i="6"/>
  <c r="O401" i="6" s="1"/>
  <c r="P401" i="6" s="1"/>
  <c r="E427" i="7"/>
  <c r="F426" i="7"/>
  <c r="I426" i="7" s="1"/>
  <c r="J426" i="7" s="1"/>
  <c r="G431" i="7"/>
  <c r="H430" i="7"/>
  <c r="F427" i="8"/>
  <c r="I427" i="8" s="1"/>
  <c r="J427" i="8" s="1"/>
  <c r="E428" i="8"/>
  <c r="F427" i="7" l="1"/>
  <c r="I427" i="7" s="1"/>
  <c r="J427" i="7" s="1"/>
  <c r="E428" i="7"/>
  <c r="H402" i="6"/>
  <c r="O402" i="6" s="1"/>
  <c r="P402" i="6" s="1"/>
  <c r="G403" i="6"/>
  <c r="M403" i="6"/>
  <c r="N402" i="6"/>
  <c r="G432" i="7"/>
  <c r="H431" i="7"/>
  <c r="I404" i="6"/>
  <c r="J403" i="6"/>
  <c r="F428" i="8"/>
  <c r="I428" i="8" s="1"/>
  <c r="J428" i="8" s="1"/>
  <c r="E429" i="8"/>
  <c r="H428" i="8"/>
  <c r="G429" i="8"/>
  <c r="K403" i="6"/>
  <c r="L402" i="6"/>
  <c r="E430" i="8" l="1"/>
  <c r="F429" i="8"/>
  <c r="I429" i="8" s="1"/>
  <c r="J429" i="8" s="1"/>
  <c r="J404" i="6"/>
  <c r="I405" i="6"/>
  <c r="G433" i="7"/>
  <c r="H432" i="7"/>
  <c r="M404" i="6"/>
  <c r="N403" i="6"/>
  <c r="H403" i="6"/>
  <c r="G404" i="6"/>
  <c r="L403" i="6"/>
  <c r="O403" i="6" s="1"/>
  <c r="P403" i="6" s="1"/>
  <c r="K404" i="6"/>
  <c r="E429" i="7"/>
  <c r="I428" i="7"/>
  <c r="J428" i="7" s="1"/>
  <c r="F428" i="7"/>
  <c r="G430" i="8"/>
  <c r="H429" i="8"/>
  <c r="F429" i="7" l="1"/>
  <c r="I429" i="7" s="1"/>
  <c r="J429" i="7" s="1"/>
  <c r="E430" i="7"/>
  <c r="M405" i="6"/>
  <c r="N404" i="6"/>
  <c r="H404" i="6"/>
  <c r="O404" i="6" s="1"/>
  <c r="P404" i="6" s="1"/>
  <c r="G405" i="6"/>
  <c r="H433" i="7"/>
  <c r="G434" i="7"/>
  <c r="I406" i="6"/>
  <c r="J405" i="6"/>
  <c r="H430" i="8"/>
  <c r="G431" i="8"/>
  <c r="L404" i="6"/>
  <c r="K405" i="6"/>
  <c r="E431" i="8"/>
  <c r="F430" i="8"/>
  <c r="I430" i="8" s="1"/>
  <c r="J430" i="8" s="1"/>
  <c r="G435" i="7" l="1"/>
  <c r="H434" i="7"/>
  <c r="J406" i="6"/>
  <c r="I407" i="6"/>
  <c r="O405" i="6"/>
  <c r="P405" i="6" s="1"/>
  <c r="G406" i="6"/>
  <c r="H405" i="6"/>
  <c r="L405" i="6"/>
  <c r="K406" i="6"/>
  <c r="G432" i="8"/>
  <c r="H431" i="8"/>
  <c r="I431" i="8" s="1"/>
  <c r="J431" i="8" s="1"/>
  <c r="N405" i="6"/>
  <c r="M406" i="6"/>
  <c r="E432" i="8"/>
  <c r="F431" i="8"/>
  <c r="E431" i="7"/>
  <c r="F430" i="7"/>
  <c r="I430" i="7" s="1"/>
  <c r="J430" i="7" s="1"/>
  <c r="H432" i="8" l="1"/>
  <c r="G433" i="8"/>
  <c r="K407" i="6"/>
  <c r="L406" i="6"/>
  <c r="H406" i="6"/>
  <c r="O406" i="6" s="1"/>
  <c r="P406" i="6" s="1"/>
  <c r="G407" i="6"/>
  <c r="F432" i="8"/>
  <c r="I432" i="8" s="1"/>
  <c r="J432" i="8" s="1"/>
  <c r="E433" i="8"/>
  <c r="M407" i="6"/>
  <c r="N406" i="6"/>
  <c r="J407" i="6"/>
  <c r="I408" i="6"/>
  <c r="F431" i="7"/>
  <c r="I431" i="7" s="1"/>
  <c r="J431" i="7" s="1"/>
  <c r="E432" i="7"/>
  <c r="H435" i="7"/>
  <c r="G436" i="7"/>
  <c r="I409" i="6" l="1"/>
  <c r="J408" i="6"/>
  <c r="N407" i="6"/>
  <c r="M408" i="6"/>
  <c r="E434" i="8"/>
  <c r="F433" i="8"/>
  <c r="I433" i="8" s="1"/>
  <c r="J433" i="8" s="1"/>
  <c r="H407" i="6"/>
  <c r="O407" i="6" s="1"/>
  <c r="P407" i="6" s="1"/>
  <c r="G408" i="6"/>
  <c r="G437" i="7"/>
  <c r="H436" i="7"/>
  <c r="L407" i="6"/>
  <c r="K408" i="6"/>
  <c r="G434" i="8"/>
  <c r="H433" i="8"/>
  <c r="E433" i="7"/>
  <c r="F432" i="7"/>
  <c r="I432" i="7" s="1"/>
  <c r="J432" i="7" s="1"/>
  <c r="G438" i="7" l="1"/>
  <c r="H437" i="7"/>
  <c r="G409" i="6"/>
  <c r="H408" i="6"/>
  <c r="O408" i="6" s="1"/>
  <c r="P408" i="6" s="1"/>
  <c r="K409" i="6"/>
  <c r="L408" i="6"/>
  <c r="H434" i="8"/>
  <c r="G435" i="8"/>
  <c r="E435" i="8"/>
  <c r="I434" i="8"/>
  <c r="J434" i="8" s="1"/>
  <c r="F434" i="8"/>
  <c r="N408" i="6"/>
  <c r="M409" i="6"/>
  <c r="F433" i="7"/>
  <c r="I433" i="7"/>
  <c r="J433" i="7" s="1"/>
  <c r="E434" i="7"/>
  <c r="I410" i="6"/>
  <c r="J409" i="6"/>
  <c r="M410" i="6" l="1"/>
  <c r="N409" i="6"/>
  <c r="G436" i="8"/>
  <c r="H435" i="8"/>
  <c r="I435" i="8" s="1"/>
  <c r="J435" i="8" s="1"/>
  <c r="E436" i="8"/>
  <c r="F435" i="8"/>
  <c r="K410" i="6"/>
  <c r="L409" i="6"/>
  <c r="H409" i="6"/>
  <c r="O409" i="6" s="1"/>
  <c r="P409" i="6" s="1"/>
  <c r="G410" i="6"/>
  <c r="I411" i="6"/>
  <c r="J410" i="6"/>
  <c r="E435" i="7"/>
  <c r="I434" i="7"/>
  <c r="J434" i="7" s="1"/>
  <c r="F434" i="7"/>
  <c r="G439" i="7"/>
  <c r="H438" i="7"/>
  <c r="F435" i="7" l="1"/>
  <c r="I435" i="7" s="1"/>
  <c r="J435" i="7" s="1"/>
  <c r="E436" i="7"/>
  <c r="L410" i="6"/>
  <c r="K411" i="6"/>
  <c r="J411" i="6"/>
  <c r="I412" i="6"/>
  <c r="H410" i="6"/>
  <c r="O410" i="6" s="1"/>
  <c r="P410" i="6" s="1"/>
  <c r="G411" i="6"/>
  <c r="E437" i="8"/>
  <c r="F436" i="8"/>
  <c r="I436" i="8" s="1"/>
  <c r="J436" i="8" s="1"/>
  <c r="H436" i="8"/>
  <c r="G437" i="8"/>
  <c r="G440" i="7"/>
  <c r="H439" i="7"/>
  <c r="M411" i="6"/>
  <c r="N410" i="6"/>
  <c r="F437" i="8" l="1"/>
  <c r="I437" i="8" s="1"/>
  <c r="J437" i="8" s="1"/>
  <c r="E438" i="8"/>
  <c r="G412" i="6"/>
  <c r="H411" i="6"/>
  <c r="O411" i="6" s="1"/>
  <c r="P411" i="6" s="1"/>
  <c r="G441" i="7"/>
  <c r="H440" i="7"/>
  <c r="I413" i="6"/>
  <c r="J412" i="6"/>
  <c r="L411" i="6"/>
  <c r="K412" i="6"/>
  <c r="N411" i="6"/>
  <c r="M412" i="6"/>
  <c r="F436" i="7"/>
  <c r="I436" i="7" s="1"/>
  <c r="J436" i="7" s="1"/>
  <c r="E437" i="7"/>
  <c r="G438" i="8"/>
  <c r="H437" i="8"/>
  <c r="I414" i="6" l="1"/>
  <c r="J413" i="6"/>
  <c r="F437" i="7"/>
  <c r="I437" i="7" s="1"/>
  <c r="J437" i="7" s="1"/>
  <c r="E438" i="7"/>
  <c r="M413" i="6"/>
  <c r="N412" i="6"/>
  <c r="H441" i="7"/>
  <c r="G442" i="7"/>
  <c r="K413" i="6"/>
  <c r="L412" i="6"/>
  <c r="G413" i="6"/>
  <c r="H412" i="6"/>
  <c r="O412" i="6" s="1"/>
  <c r="P412" i="6" s="1"/>
  <c r="G439" i="8"/>
  <c r="H438" i="8"/>
  <c r="E439" i="8"/>
  <c r="F438" i="8"/>
  <c r="I438" i="8" s="1"/>
  <c r="J438" i="8" s="1"/>
  <c r="L413" i="6" l="1"/>
  <c r="K414" i="6"/>
  <c r="G443" i="7"/>
  <c r="H442" i="7"/>
  <c r="G440" i="8"/>
  <c r="H439" i="8"/>
  <c r="G414" i="6"/>
  <c r="H413" i="6"/>
  <c r="O413" i="6" s="1"/>
  <c r="P413" i="6" s="1"/>
  <c r="N413" i="6"/>
  <c r="M414" i="6"/>
  <c r="F438" i="7"/>
  <c r="I438" i="7" s="1"/>
  <c r="J438" i="7" s="1"/>
  <c r="E439" i="7"/>
  <c r="F439" i="8"/>
  <c r="I439" i="8" s="1"/>
  <c r="J439" i="8" s="1"/>
  <c r="E440" i="8"/>
  <c r="I415" i="6"/>
  <c r="J414" i="6"/>
  <c r="M415" i="6" l="1"/>
  <c r="N414" i="6"/>
  <c r="E441" i="8"/>
  <c r="F440" i="8"/>
  <c r="I440" i="8" s="1"/>
  <c r="J440" i="8" s="1"/>
  <c r="O414" i="6"/>
  <c r="P414" i="6" s="1"/>
  <c r="H414" i="6"/>
  <c r="G415" i="6"/>
  <c r="F439" i="7"/>
  <c r="I439" i="7" s="1"/>
  <c r="J439" i="7" s="1"/>
  <c r="E440" i="7"/>
  <c r="G441" i="8"/>
  <c r="H440" i="8"/>
  <c r="H443" i="7"/>
  <c r="G444" i="7"/>
  <c r="J415" i="6"/>
  <c r="I416" i="6"/>
  <c r="L414" i="6"/>
  <c r="K415" i="6"/>
  <c r="G416" i="6" l="1"/>
  <c r="H415" i="6"/>
  <c r="O415" i="6" s="1"/>
  <c r="P415" i="6" s="1"/>
  <c r="E441" i="7"/>
  <c r="F440" i="7"/>
  <c r="I440" i="7" s="1"/>
  <c r="J440" i="7" s="1"/>
  <c r="H441" i="8"/>
  <c r="G442" i="8"/>
  <c r="L415" i="6"/>
  <c r="K416" i="6"/>
  <c r="F441" i="8"/>
  <c r="E442" i="8"/>
  <c r="I441" i="8"/>
  <c r="J441" i="8" s="1"/>
  <c r="G445" i="7"/>
  <c r="H444" i="7"/>
  <c r="I417" i="6"/>
  <c r="J416" i="6"/>
  <c r="M416" i="6"/>
  <c r="N415" i="6"/>
  <c r="K417" i="6" l="1"/>
  <c r="L416" i="6"/>
  <c r="G443" i="8"/>
  <c r="H442" i="8"/>
  <c r="I442" i="8" s="1"/>
  <c r="J442" i="8" s="1"/>
  <c r="E443" i="8"/>
  <c r="F442" i="8"/>
  <c r="F441" i="7"/>
  <c r="I441" i="7" s="1"/>
  <c r="J441" i="7" s="1"/>
  <c r="E442" i="7"/>
  <c r="H445" i="7"/>
  <c r="G446" i="7"/>
  <c r="M417" i="6"/>
  <c r="N416" i="6"/>
  <c r="J417" i="6"/>
  <c r="I418" i="6"/>
  <c r="H416" i="6"/>
  <c r="O416" i="6" s="1"/>
  <c r="P416" i="6" s="1"/>
  <c r="G417" i="6"/>
  <c r="N417" i="6" l="1"/>
  <c r="M418" i="6"/>
  <c r="E443" i="7"/>
  <c r="F442" i="7"/>
  <c r="I442" i="7" s="1"/>
  <c r="J442" i="7" s="1"/>
  <c r="F443" i="8"/>
  <c r="I443" i="8" s="1"/>
  <c r="J443" i="8" s="1"/>
  <c r="E444" i="8"/>
  <c r="G418" i="6"/>
  <c r="H417" i="6"/>
  <c r="O417" i="6" s="1"/>
  <c r="P417" i="6" s="1"/>
  <c r="H443" i="8"/>
  <c r="G444" i="8"/>
  <c r="J418" i="6"/>
  <c r="I419" i="6"/>
  <c r="G447" i="7"/>
  <c r="H446" i="7"/>
  <c r="K418" i="6"/>
  <c r="L417" i="6"/>
  <c r="G419" i="6" l="1"/>
  <c r="H418" i="6"/>
  <c r="O418" i="6" s="1"/>
  <c r="P418" i="6" s="1"/>
  <c r="E445" i="8"/>
  <c r="F444" i="8"/>
  <c r="I444" i="8" s="1"/>
  <c r="J444" i="8" s="1"/>
  <c r="I420" i="6"/>
  <c r="J419" i="6"/>
  <c r="G448" i="7"/>
  <c r="H447" i="7"/>
  <c r="F443" i="7"/>
  <c r="I443" i="7" s="1"/>
  <c r="J443" i="7" s="1"/>
  <c r="E444" i="7"/>
  <c r="G445" i="8"/>
  <c r="H444" i="8"/>
  <c r="L418" i="6"/>
  <c r="K419" i="6"/>
  <c r="M419" i="6"/>
  <c r="N418" i="6"/>
  <c r="G449" i="7" l="1"/>
  <c r="H448" i="7"/>
  <c r="I421" i="6"/>
  <c r="J420" i="6"/>
  <c r="E445" i="7"/>
  <c r="I444" i="7"/>
  <c r="J444" i="7" s="1"/>
  <c r="F444" i="7"/>
  <c r="E446" i="8"/>
  <c r="F445" i="8"/>
  <c r="I445" i="8" s="1"/>
  <c r="J445" i="8" s="1"/>
  <c r="N419" i="6"/>
  <c r="M420" i="6"/>
  <c r="G420" i="6"/>
  <c r="H419" i="6"/>
  <c r="O419" i="6" s="1"/>
  <c r="P419" i="6" s="1"/>
  <c r="H445" i="8"/>
  <c r="G446" i="8"/>
  <c r="L419" i="6"/>
  <c r="K420" i="6"/>
  <c r="M421" i="6" l="1"/>
  <c r="N420" i="6"/>
  <c r="E447" i="8"/>
  <c r="F446" i="8"/>
  <c r="I446" i="8" s="1"/>
  <c r="J446" i="8" s="1"/>
  <c r="H420" i="6"/>
  <c r="O420" i="6" s="1"/>
  <c r="P420" i="6" s="1"/>
  <c r="G421" i="6"/>
  <c r="F445" i="7"/>
  <c r="I445" i="7" s="1"/>
  <c r="J445" i="7" s="1"/>
  <c r="E446" i="7"/>
  <c r="K421" i="6"/>
  <c r="L420" i="6"/>
  <c r="J421" i="6"/>
  <c r="I422" i="6"/>
  <c r="G447" i="8"/>
  <c r="H446" i="8"/>
  <c r="G450" i="7"/>
  <c r="H449" i="7"/>
  <c r="E447" i="7" l="1"/>
  <c r="F446" i="7"/>
  <c r="I446" i="7" s="1"/>
  <c r="J446" i="7" s="1"/>
  <c r="G422" i="6"/>
  <c r="H421" i="6"/>
  <c r="O421" i="6" s="1"/>
  <c r="P421" i="6" s="1"/>
  <c r="H447" i="8"/>
  <c r="G448" i="8"/>
  <c r="I423" i="6"/>
  <c r="J422" i="6"/>
  <c r="L421" i="6"/>
  <c r="K422" i="6"/>
  <c r="F447" i="8"/>
  <c r="I447" i="8" s="1"/>
  <c r="J447" i="8" s="1"/>
  <c r="E448" i="8"/>
  <c r="G451" i="7"/>
  <c r="H450" i="7"/>
  <c r="N421" i="6"/>
  <c r="M422" i="6"/>
  <c r="J423" i="6" l="1"/>
  <c r="I424" i="6"/>
  <c r="G449" i="8"/>
  <c r="H448" i="8"/>
  <c r="H451" i="7"/>
  <c r="G452" i="7"/>
  <c r="E449" i="8"/>
  <c r="F448" i="8"/>
  <c r="I448" i="8" s="1"/>
  <c r="J448" i="8" s="1"/>
  <c r="K423" i="6"/>
  <c r="L422" i="6"/>
  <c r="G423" i="6"/>
  <c r="H422" i="6"/>
  <c r="O422" i="6" s="1"/>
  <c r="P422" i="6" s="1"/>
  <c r="N422" i="6"/>
  <c r="M423" i="6"/>
  <c r="F447" i="7"/>
  <c r="I447" i="7" s="1"/>
  <c r="J447" i="7" s="1"/>
  <c r="E448" i="7"/>
  <c r="N423" i="6" l="1"/>
  <c r="M424" i="6"/>
  <c r="G424" i="6"/>
  <c r="H423" i="6"/>
  <c r="O423" i="6" s="1"/>
  <c r="P423" i="6" s="1"/>
  <c r="L423" i="6"/>
  <c r="K424" i="6"/>
  <c r="E450" i="8"/>
  <c r="F449" i="8"/>
  <c r="I449" i="8" s="1"/>
  <c r="J449" i="8" s="1"/>
  <c r="G453" i="7"/>
  <c r="H452" i="7"/>
  <c r="E449" i="7"/>
  <c r="F448" i="7"/>
  <c r="I448" i="7" s="1"/>
  <c r="J448" i="7" s="1"/>
  <c r="G450" i="8"/>
  <c r="H449" i="8"/>
  <c r="J424" i="6"/>
  <c r="I425" i="6"/>
  <c r="G451" i="8" l="1"/>
  <c r="H450" i="8"/>
  <c r="E451" i="8"/>
  <c r="F450" i="8"/>
  <c r="I450" i="8" s="1"/>
  <c r="J450" i="8" s="1"/>
  <c r="F449" i="7"/>
  <c r="I449" i="7" s="1"/>
  <c r="J449" i="7" s="1"/>
  <c r="E450" i="7"/>
  <c r="G454" i="7"/>
  <c r="H453" i="7"/>
  <c r="K425" i="6"/>
  <c r="L424" i="6"/>
  <c r="I426" i="6"/>
  <c r="J425" i="6"/>
  <c r="H424" i="6"/>
  <c r="O424" i="6" s="1"/>
  <c r="P424" i="6" s="1"/>
  <c r="G425" i="6"/>
  <c r="M425" i="6"/>
  <c r="N424" i="6"/>
  <c r="G455" i="7" l="1"/>
  <c r="H454" i="7"/>
  <c r="K426" i="6"/>
  <c r="L425" i="6"/>
  <c r="E451" i="7"/>
  <c r="I450" i="7"/>
  <c r="J450" i="7" s="1"/>
  <c r="F450" i="7"/>
  <c r="H425" i="6"/>
  <c r="O425" i="6" s="1"/>
  <c r="P425" i="6" s="1"/>
  <c r="G426" i="6"/>
  <c r="J426" i="6"/>
  <c r="I427" i="6"/>
  <c r="E452" i="8"/>
  <c r="F451" i="8"/>
  <c r="I451" i="8" s="1"/>
  <c r="J451" i="8" s="1"/>
  <c r="M426" i="6"/>
  <c r="N425" i="6"/>
  <c r="G452" i="8"/>
  <c r="H451" i="8"/>
  <c r="J427" i="6" l="1"/>
  <c r="I428" i="6"/>
  <c r="H426" i="6"/>
  <c r="O426" i="6" s="1"/>
  <c r="P426" i="6" s="1"/>
  <c r="G427" i="6"/>
  <c r="N426" i="6"/>
  <c r="M427" i="6"/>
  <c r="F452" i="8"/>
  <c r="I452" i="8" s="1"/>
  <c r="J452" i="8" s="1"/>
  <c r="E453" i="8"/>
  <c r="F451" i="7"/>
  <c r="I451" i="7" s="1"/>
  <c r="J451" i="7" s="1"/>
  <c r="E452" i="7"/>
  <c r="K427" i="6"/>
  <c r="L426" i="6"/>
  <c r="H452" i="8"/>
  <c r="G453" i="8"/>
  <c r="G456" i="7"/>
  <c r="H455" i="7"/>
  <c r="K428" i="6" l="1"/>
  <c r="L427" i="6"/>
  <c r="F452" i="7"/>
  <c r="I452" i="7" s="1"/>
  <c r="J452" i="7" s="1"/>
  <c r="E453" i="7"/>
  <c r="E454" i="8"/>
  <c r="F453" i="8"/>
  <c r="I453" i="8" s="1"/>
  <c r="J453" i="8" s="1"/>
  <c r="M428" i="6"/>
  <c r="N427" i="6"/>
  <c r="G428" i="6"/>
  <c r="H427" i="6"/>
  <c r="O427" i="6" s="1"/>
  <c r="P427" i="6" s="1"/>
  <c r="G457" i="7"/>
  <c r="H456" i="7"/>
  <c r="J428" i="6"/>
  <c r="I429" i="6"/>
  <c r="G454" i="8"/>
  <c r="H453" i="8"/>
  <c r="H457" i="7" l="1"/>
  <c r="G458" i="7"/>
  <c r="N428" i="6"/>
  <c r="M429" i="6"/>
  <c r="H428" i="6"/>
  <c r="O428" i="6" s="1"/>
  <c r="P428" i="6" s="1"/>
  <c r="G429" i="6"/>
  <c r="E455" i="8"/>
  <c r="F454" i="8"/>
  <c r="I454" i="8" s="1"/>
  <c r="J454" i="8" s="1"/>
  <c r="F453" i="7"/>
  <c r="E454" i="7"/>
  <c r="I453" i="7"/>
  <c r="J453" i="7" s="1"/>
  <c r="H454" i="8"/>
  <c r="G455" i="8"/>
  <c r="I430" i="6"/>
  <c r="J429" i="6"/>
  <c r="K429" i="6"/>
  <c r="L428" i="6"/>
  <c r="I431" i="6" l="1"/>
  <c r="J430" i="6"/>
  <c r="F454" i="7"/>
  <c r="I454" i="7" s="1"/>
  <c r="J454" i="7" s="1"/>
  <c r="E455" i="7"/>
  <c r="G456" i="8"/>
  <c r="H455" i="8"/>
  <c r="I455" i="8" s="1"/>
  <c r="J455" i="8" s="1"/>
  <c r="E456" i="8"/>
  <c r="F455" i="8"/>
  <c r="G430" i="6"/>
  <c r="H429" i="6"/>
  <c r="O429" i="6" s="1"/>
  <c r="P429" i="6" s="1"/>
  <c r="M430" i="6"/>
  <c r="N429" i="6"/>
  <c r="K430" i="6"/>
  <c r="L429" i="6"/>
  <c r="G459" i="7"/>
  <c r="H458" i="7"/>
  <c r="K431" i="6" l="1"/>
  <c r="L430" i="6"/>
  <c r="M431" i="6"/>
  <c r="N430" i="6"/>
  <c r="E457" i="8"/>
  <c r="F456" i="8"/>
  <c r="G457" i="8"/>
  <c r="H456" i="8"/>
  <c r="I456" i="8" s="1"/>
  <c r="J456" i="8" s="1"/>
  <c r="H430" i="6"/>
  <c r="O430" i="6" s="1"/>
  <c r="P430" i="6" s="1"/>
  <c r="G431" i="6"/>
  <c r="F455" i="7"/>
  <c r="I455" i="7" s="1"/>
  <c r="J455" i="7" s="1"/>
  <c r="E456" i="7"/>
  <c r="H459" i="7"/>
  <c r="G460" i="7"/>
  <c r="I432" i="6"/>
  <c r="J431" i="6"/>
  <c r="G458" i="8" l="1"/>
  <c r="H457" i="8"/>
  <c r="G432" i="6"/>
  <c r="H431" i="6"/>
  <c r="O431" i="6" s="1"/>
  <c r="P431" i="6" s="1"/>
  <c r="I456" i="7"/>
  <c r="J456" i="7" s="1"/>
  <c r="E457" i="7"/>
  <c r="F456" i="7"/>
  <c r="F457" i="8"/>
  <c r="I457" i="8" s="1"/>
  <c r="J457" i="8" s="1"/>
  <c r="E458" i="8"/>
  <c r="M432" i="6"/>
  <c r="N431" i="6"/>
  <c r="J432" i="6"/>
  <c r="I433" i="6"/>
  <c r="G461" i="7"/>
  <c r="H460" i="7"/>
  <c r="L431" i="6"/>
  <c r="K432" i="6"/>
  <c r="H461" i="7" l="1"/>
  <c r="G462" i="7"/>
  <c r="E459" i="8"/>
  <c r="F458" i="8"/>
  <c r="I458" i="8" s="1"/>
  <c r="J458" i="8" s="1"/>
  <c r="F457" i="7"/>
  <c r="I457" i="7" s="1"/>
  <c r="J457" i="7" s="1"/>
  <c r="E458" i="7"/>
  <c r="I434" i="6"/>
  <c r="J433" i="6"/>
  <c r="N432" i="6"/>
  <c r="M433" i="6"/>
  <c r="K433" i="6"/>
  <c r="L432" i="6"/>
  <c r="H432" i="6"/>
  <c r="O432" i="6" s="1"/>
  <c r="P432" i="6" s="1"/>
  <c r="G433" i="6"/>
  <c r="G459" i="8"/>
  <c r="H458" i="8"/>
  <c r="M434" i="6" l="1"/>
  <c r="N433" i="6"/>
  <c r="E459" i="7"/>
  <c r="F458" i="7"/>
  <c r="I458" i="7" s="1"/>
  <c r="J458" i="7" s="1"/>
  <c r="I435" i="6"/>
  <c r="J434" i="6"/>
  <c r="K434" i="6"/>
  <c r="L433" i="6"/>
  <c r="F459" i="8"/>
  <c r="I459" i="8"/>
  <c r="J459" i="8" s="1"/>
  <c r="E460" i="8"/>
  <c r="H459" i="8"/>
  <c r="G460" i="8"/>
  <c r="G463" i="7"/>
  <c r="H462" i="7"/>
  <c r="G434" i="6"/>
  <c r="H433" i="6"/>
  <c r="O433" i="6" s="1"/>
  <c r="P433" i="6" s="1"/>
  <c r="G461" i="8" l="1"/>
  <c r="H460" i="8"/>
  <c r="K435" i="6"/>
  <c r="L434" i="6"/>
  <c r="J435" i="6"/>
  <c r="I436" i="6"/>
  <c r="G464" i="7"/>
  <c r="H463" i="7"/>
  <c r="F459" i="7"/>
  <c r="I459" i="7"/>
  <c r="J459" i="7" s="1"/>
  <c r="E460" i="7"/>
  <c r="E461" i="8"/>
  <c r="F460" i="8"/>
  <c r="I460" i="8" s="1"/>
  <c r="J460" i="8" s="1"/>
  <c r="G435" i="6"/>
  <c r="H434" i="6"/>
  <c r="O434" i="6" s="1"/>
  <c r="P434" i="6" s="1"/>
  <c r="M435" i="6"/>
  <c r="N434" i="6"/>
  <c r="G436" i="6" l="1"/>
  <c r="H435" i="6"/>
  <c r="O435" i="6" s="1"/>
  <c r="P435" i="6" s="1"/>
  <c r="F461" i="8"/>
  <c r="I461" i="8" s="1"/>
  <c r="J461" i="8" s="1"/>
  <c r="E462" i="8"/>
  <c r="E461" i="7"/>
  <c r="F460" i="7"/>
  <c r="I460" i="7" s="1"/>
  <c r="J460" i="7" s="1"/>
  <c r="G465" i="7"/>
  <c r="H464" i="7"/>
  <c r="I437" i="6"/>
  <c r="J436" i="6"/>
  <c r="L435" i="6"/>
  <c r="K436" i="6"/>
  <c r="N435" i="6"/>
  <c r="M436" i="6"/>
  <c r="H461" i="8"/>
  <c r="G462" i="8"/>
  <c r="J437" i="6" l="1"/>
  <c r="I438" i="6"/>
  <c r="G466" i="7"/>
  <c r="H465" i="7"/>
  <c r="F461" i="7"/>
  <c r="I461" i="7" s="1"/>
  <c r="J461" i="7" s="1"/>
  <c r="E462" i="7"/>
  <c r="E463" i="8"/>
  <c r="F462" i="8"/>
  <c r="I462" i="8" s="1"/>
  <c r="J462" i="8" s="1"/>
  <c r="K437" i="6"/>
  <c r="L436" i="6"/>
  <c r="G463" i="8"/>
  <c r="H462" i="8"/>
  <c r="M437" i="6"/>
  <c r="N436" i="6"/>
  <c r="G437" i="6"/>
  <c r="H436" i="6"/>
  <c r="O436" i="6" s="1"/>
  <c r="P436" i="6" s="1"/>
  <c r="K438" i="6" l="1"/>
  <c r="L437" i="6"/>
  <c r="F463" i="8"/>
  <c r="E464" i="8"/>
  <c r="E463" i="7"/>
  <c r="F462" i="7"/>
  <c r="I462" i="7" s="1"/>
  <c r="J462" i="7" s="1"/>
  <c r="H463" i="8"/>
  <c r="I463" i="8" s="1"/>
  <c r="J463" i="8" s="1"/>
  <c r="G464" i="8"/>
  <c r="G467" i="7"/>
  <c r="H466" i="7"/>
  <c r="M438" i="6"/>
  <c r="N437" i="6"/>
  <c r="J438" i="6"/>
  <c r="I439" i="6"/>
  <c r="O437" i="6"/>
  <c r="P437" i="6" s="1"/>
  <c r="H437" i="6"/>
  <c r="G438" i="6"/>
  <c r="I440" i="6" l="1"/>
  <c r="J439" i="6"/>
  <c r="N438" i="6"/>
  <c r="M439" i="6"/>
  <c r="G468" i="7"/>
  <c r="H467" i="7"/>
  <c r="G465" i="8"/>
  <c r="H464" i="8"/>
  <c r="F463" i="7"/>
  <c r="I463" i="7"/>
  <c r="J463" i="7" s="1"/>
  <c r="E464" i="7"/>
  <c r="F464" i="8"/>
  <c r="I464" i="8" s="1"/>
  <c r="J464" i="8" s="1"/>
  <c r="E465" i="8"/>
  <c r="G439" i="6"/>
  <c r="H438" i="6"/>
  <c r="O438" i="6" s="1"/>
  <c r="P438" i="6" s="1"/>
  <c r="L438" i="6"/>
  <c r="K439" i="6"/>
  <c r="G440" i="6" l="1"/>
  <c r="H439" i="6"/>
  <c r="O439" i="6" s="1"/>
  <c r="P439" i="6" s="1"/>
  <c r="E466" i="8"/>
  <c r="F465" i="8"/>
  <c r="I465" i="8" s="1"/>
  <c r="J465" i="8" s="1"/>
  <c r="E465" i="7"/>
  <c r="F464" i="7"/>
  <c r="I464" i="7" s="1"/>
  <c r="J464" i="7" s="1"/>
  <c r="H465" i="8"/>
  <c r="G466" i="8"/>
  <c r="G469" i="7"/>
  <c r="H468" i="7"/>
  <c r="N439" i="6"/>
  <c r="M440" i="6"/>
  <c r="K440" i="6"/>
  <c r="L439" i="6"/>
  <c r="J440" i="6"/>
  <c r="I441" i="6"/>
  <c r="G470" i="7" l="1"/>
  <c r="H469" i="7"/>
  <c r="F465" i="7"/>
  <c r="I465" i="7" s="1"/>
  <c r="J465" i="7" s="1"/>
  <c r="E466" i="7"/>
  <c r="H466" i="8"/>
  <c r="G467" i="8"/>
  <c r="M441" i="6"/>
  <c r="N440" i="6"/>
  <c r="K441" i="6"/>
  <c r="L440" i="6"/>
  <c r="F466" i="8"/>
  <c r="I466" i="8" s="1"/>
  <c r="J466" i="8" s="1"/>
  <c r="E467" i="8"/>
  <c r="J441" i="6"/>
  <c r="I442" i="6"/>
  <c r="H440" i="6"/>
  <c r="O440" i="6" s="1"/>
  <c r="P440" i="6" s="1"/>
  <c r="G441" i="6"/>
  <c r="L441" i="6" l="1"/>
  <c r="K442" i="6"/>
  <c r="M442" i="6"/>
  <c r="N441" i="6"/>
  <c r="H441" i="6"/>
  <c r="O441" i="6" s="1"/>
  <c r="P441" i="6" s="1"/>
  <c r="G442" i="6"/>
  <c r="J442" i="6"/>
  <c r="I443" i="6"/>
  <c r="E468" i="8"/>
  <c r="F467" i="8"/>
  <c r="I467" i="8" s="1"/>
  <c r="J467" i="8" s="1"/>
  <c r="G468" i="8"/>
  <c r="H467" i="8"/>
  <c r="E467" i="7"/>
  <c r="F466" i="7"/>
  <c r="I466" i="7" s="1"/>
  <c r="J466" i="7" s="1"/>
  <c r="G471" i="7"/>
  <c r="H470" i="7"/>
  <c r="G469" i="8" l="1"/>
  <c r="H468" i="8"/>
  <c r="F467" i="7"/>
  <c r="E468" i="7"/>
  <c r="I467" i="7"/>
  <c r="J467" i="7" s="1"/>
  <c r="I468" i="8"/>
  <c r="J468" i="8" s="1"/>
  <c r="E469" i="8"/>
  <c r="F468" i="8"/>
  <c r="I444" i="6"/>
  <c r="J443" i="6"/>
  <c r="M443" i="6"/>
  <c r="N442" i="6"/>
  <c r="H442" i="6"/>
  <c r="O442" i="6" s="1"/>
  <c r="P442" i="6" s="1"/>
  <c r="G443" i="6"/>
  <c r="G472" i="7"/>
  <c r="H471" i="7"/>
  <c r="K443" i="6"/>
  <c r="L442" i="6"/>
  <c r="G444" i="6" l="1"/>
  <c r="H443" i="6"/>
  <c r="O443" i="6" s="1"/>
  <c r="P443" i="6" s="1"/>
  <c r="G473" i="7"/>
  <c r="H472" i="7"/>
  <c r="N443" i="6"/>
  <c r="M444" i="6"/>
  <c r="I445" i="6"/>
  <c r="J444" i="6"/>
  <c r="E470" i="8"/>
  <c r="F469" i="8"/>
  <c r="I469" i="8" s="1"/>
  <c r="J469" i="8" s="1"/>
  <c r="F468" i="7"/>
  <c r="I468" i="7" s="1"/>
  <c r="J468" i="7" s="1"/>
  <c r="E469" i="7"/>
  <c r="K444" i="6"/>
  <c r="L443" i="6"/>
  <c r="G470" i="8"/>
  <c r="H469" i="8"/>
  <c r="E471" i="8" l="1"/>
  <c r="F470" i="8"/>
  <c r="I470" i="8" s="1"/>
  <c r="J470" i="8" s="1"/>
  <c r="I446" i="6"/>
  <c r="J445" i="6"/>
  <c r="F469" i="7"/>
  <c r="I469" i="7" s="1"/>
  <c r="J469" i="7" s="1"/>
  <c r="E470" i="7"/>
  <c r="M445" i="6"/>
  <c r="N444" i="6"/>
  <c r="H473" i="7"/>
  <c r="G474" i="7"/>
  <c r="G471" i="8"/>
  <c r="H470" i="8"/>
  <c r="K445" i="6"/>
  <c r="L444" i="6"/>
  <c r="G445" i="6"/>
  <c r="H444" i="6"/>
  <c r="O444" i="6" s="1"/>
  <c r="P444" i="6" s="1"/>
  <c r="G475" i="7" l="1"/>
  <c r="H474" i="7"/>
  <c r="N445" i="6"/>
  <c r="M446" i="6"/>
  <c r="F470" i="7"/>
  <c r="I470" i="7" s="1"/>
  <c r="J470" i="7" s="1"/>
  <c r="E471" i="7"/>
  <c r="I447" i="6"/>
  <c r="J446" i="6"/>
  <c r="F471" i="8"/>
  <c r="I471" i="8" s="1"/>
  <c r="J471" i="8" s="1"/>
  <c r="E472" i="8"/>
  <c r="L445" i="6"/>
  <c r="K446" i="6"/>
  <c r="G472" i="8"/>
  <c r="H471" i="8"/>
  <c r="H445" i="6"/>
  <c r="O445" i="6" s="1"/>
  <c r="P445" i="6" s="1"/>
  <c r="G446" i="6"/>
  <c r="K447" i="6" l="1"/>
  <c r="L446" i="6"/>
  <c r="G473" i="8"/>
  <c r="H472" i="8"/>
  <c r="F472" i="8"/>
  <c r="I472" i="8" s="1"/>
  <c r="J472" i="8" s="1"/>
  <c r="E473" i="8"/>
  <c r="I448" i="6"/>
  <c r="J447" i="6"/>
  <c r="F471" i="7"/>
  <c r="E472" i="7"/>
  <c r="I471" i="7"/>
  <c r="J471" i="7" s="1"/>
  <c r="M447" i="6"/>
  <c r="N446" i="6"/>
  <c r="O446" i="6"/>
  <c r="P446" i="6" s="1"/>
  <c r="G447" i="6"/>
  <c r="H446" i="6"/>
  <c r="G476" i="7"/>
  <c r="H475" i="7"/>
  <c r="E473" i="7" l="1"/>
  <c r="F472" i="7"/>
  <c r="I472" i="7" s="1"/>
  <c r="J472" i="7" s="1"/>
  <c r="M448" i="6"/>
  <c r="N447" i="6"/>
  <c r="J448" i="6"/>
  <c r="I449" i="6"/>
  <c r="E474" i="8"/>
  <c r="F473" i="8"/>
  <c r="I473" i="8" s="1"/>
  <c r="J473" i="8" s="1"/>
  <c r="H473" i="8"/>
  <c r="G474" i="8"/>
  <c r="G477" i="7"/>
  <c r="H476" i="7"/>
  <c r="G448" i="6"/>
  <c r="O447" i="6"/>
  <c r="P447" i="6" s="1"/>
  <c r="H447" i="6"/>
  <c r="K448" i="6"/>
  <c r="L447" i="6"/>
  <c r="G449" i="6" l="1"/>
  <c r="H448" i="6"/>
  <c r="O448" i="6" s="1"/>
  <c r="P448" i="6" s="1"/>
  <c r="H477" i="7"/>
  <c r="G478" i="7"/>
  <c r="I474" i="8"/>
  <c r="J474" i="8" s="1"/>
  <c r="F474" i="8"/>
  <c r="E475" i="8"/>
  <c r="I450" i="6"/>
  <c r="J449" i="6"/>
  <c r="H474" i="8"/>
  <c r="G475" i="8"/>
  <c r="N448" i="6"/>
  <c r="M449" i="6"/>
  <c r="K449" i="6"/>
  <c r="L448" i="6"/>
  <c r="F473" i="7"/>
  <c r="I473" i="7" s="1"/>
  <c r="J473" i="7" s="1"/>
  <c r="E474" i="7"/>
  <c r="J450" i="6" l="1"/>
  <c r="I451" i="6"/>
  <c r="E476" i="8"/>
  <c r="F475" i="8"/>
  <c r="I475" i="8" s="1"/>
  <c r="J475" i="8" s="1"/>
  <c r="K450" i="6"/>
  <c r="L449" i="6"/>
  <c r="M450" i="6"/>
  <c r="N449" i="6"/>
  <c r="G479" i="7"/>
  <c r="H478" i="7"/>
  <c r="G476" i="8"/>
  <c r="H475" i="8"/>
  <c r="E475" i="7"/>
  <c r="F474" i="7"/>
  <c r="I474" i="7" s="1"/>
  <c r="J474" i="7" s="1"/>
  <c r="G450" i="6"/>
  <c r="H449" i="6"/>
  <c r="O449" i="6" s="1"/>
  <c r="P449" i="6" s="1"/>
  <c r="F475" i="7" l="1"/>
  <c r="E476" i="7"/>
  <c r="I475" i="7"/>
  <c r="J475" i="7" s="1"/>
  <c r="N450" i="6"/>
  <c r="M451" i="6"/>
  <c r="G480" i="7"/>
  <c r="H479" i="7"/>
  <c r="L450" i="6"/>
  <c r="K451" i="6"/>
  <c r="E477" i="8"/>
  <c r="F476" i="8"/>
  <c r="I476" i="8" s="1"/>
  <c r="J476" i="8" s="1"/>
  <c r="J451" i="6"/>
  <c r="I452" i="6"/>
  <c r="H476" i="8"/>
  <c r="G477" i="8"/>
  <c r="G451" i="6"/>
  <c r="H450" i="6"/>
  <c r="O450" i="6" s="1"/>
  <c r="P450" i="6" s="1"/>
  <c r="E478" i="8" l="1"/>
  <c r="F477" i="8"/>
  <c r="I477" i="8" s="1"/>
  <c r="J477" i="8" s="1"/>
  <c r="L451" i="6"/>
  <c r="K452" i="6"/>
  <c r="J452" i="6"/>
  <c r="I453" i="6"/>
  <c r="G478" i="8"/>
  <c r="H477" i="8"/>
  <c r="G481" i="7"/>
  <c r="H480" i="7"/>
  <c r="M452" i="6"/>
  <c r="N451" i="6"/>
  <c r="G452" i="6"/>
  <c r="H451" i="6"/>
  <c r="O451" i="6" s="1"/>
  <c r="P451" i="6" s="1"/>
  <c r="E477" i="7"/>
  <c r="F476" i="7"/>
  <c r="I476" i="7" s="1"/>
  <c r="J476" i="7" s="1"/>
  <c r="M453" i="6" l="1"/>
  <c r="N452" i="6"/>
  <c r="H481" i="7"/>
  <c r="G482" i="7"/>
  <c r="G479" i="8"/>
  <c r="H478" i="8"/>
  <c r="J453" i="6"/>
  <c r="I454" i="6"/>
  <c r="H452" i="6"/>
  <c r="O452" i="6" s="1"/>
  <c r="P452" i="6" s="1"/>
  <c r="G453" i="6"/>
  <c r="K453" i="6"/>
  <c r="L452" i="6"/>
  <c r="F477" i="7"/>
  <c r="I477" i="7"/>
  <c r="J477" i="7" s="1"/>
  <c r="E478" i="7"/>
  <c r="E479" i="8"/>
  <c r="F478" i="8"/>
  <c r="I478" i="8" s="1"/>
  <c r="J478" i="8" s="1"/>
  <c r="H453" i="6" l="1"/>
  <c r="O453" i="6" s="1"/>
  <c r="P453" i="6" s="1"/>
  <c r="G454" i="6"/>
  <c r="E479" i="7"/>
  <c r="F478" i="7"/>
  <c r="I478" i="7" s="1"/>
  <c r="J478" i="7" s="1"/>
  <c r="J454" i="6"/>
  <c r="I455" i="6"/>
  <c r="L453" i="6"/>
  <c r="K454" i="6"/>
  <c r="H479" i="8"/>
  <c r="G480" i="8"/>
  <c r="G483" i="7"/>
  <c r="H482" i="7"/>
  <c r="F479" i="8"/>
  <c r="I479" i="8" s="1"/>
  <c r="J479" i="8" s="1"/>
  <c r="E480" i="8"/>
  <c r="N453" i="6"/>
  <c r="M454" i="6"/>
  <c r="G484" i="7" l="1"/>
  <c r="H483" i="7"/>
  <c r="G481" i="8"/>
  <c r="H480" i="8"/>
  <c r="K455" i="6"/>
  <c r="L454" i="6"/>
  <c r="J455" i="6"/>
  <c r="I456" i="6"/>
  <c r="H454" i="6"/>
  <c r="O454" i="6" s="1"/>
  <c r="P454" i="6" s="1"/>
  <c r="G455" i="6"/>
  <c r="F479" i="7"/>
  <c r="I479" i="7"/>
  <c r="J479" i="7" s="1"/>
  <c r="E480" i="7"/>
  <c r="M455" i="6"/>
  <c r="N454" i="6"/>
  <c r="E481" i="8"/>
  <c r="F480" i="8"/>
  <c r="I480" i="8" s="1"/>
  <c r="J480" i="8" s="1"/>
  <c r="I457" i="6" l="1"/>
  <c r="J456" i="6"/>
  <c r="N455" i="6"/>
  <c r="M456" i="6"/>
  <c r="L455" i="6"/>
  <c r="K456" i="6"/>
  <c r="H481" i="8"/>
  <c r="G482" i="8"/>
  <c r="E481" i="7"/>
  <c r="F480" i="7"/>
  <c r="I480" i="7" s="1"/>
  <c r="J480" i="7" s="1"/>
  <c r="G456" i="6"/>
  <c r="H455" i="6"/>
  <c r="O455" i="6" s="1"/>
  <c r="P455" i="6" s="1"/>
  <c r="I481" i="8"/>
  <c r="J481" i="8" s="1"/>
  <c r="E482" i="8"/>
  <c r="F481" i="8"/>
  <c r="G485" i="7"/>
  <c r="H484" i="7"/>
  <c r="F482" i="8" l="1"/>
  <c r="I482" i="8" s="1"/>
  <c r="J482" i="8" s="1"/>
  <c r="E483" i="8"/>
  <c r="G457" i="6"/>
  <c r="H456" i="6"/>
  <c r="O456" i="6" s="1"/>
  <c r="P456" i="6" s="1"/>
  <c r="F481" i="7"/>
  <c r="I481" i="7" s="1"/>
  <c r="J481" i="7" s="1"/>
  <c r="E482" i="7"/>
  <c r="G483" i="8"/>
  <c r="H482" i="8"/>
  <c r="K457" i="6"/>
  <c r="L456" i="6"/>
  <c r="N456" i="6"/>
  <c r="M457" i="6"/>
  <c r="G486" i="7"/>
  <c r="H485" i="7"/>
  <c r="I458" i="6"/>
  <c r="J457" i="6"/>
  <c r="G487" i="7" l="1"/>
  <c r="H486" i="7"/>
  <c r="M458" i="6"/>
  <c r="N457" i="6"/>
  <c r="G484" i="8"/>
  <c r="H483" i="8"/>
  <c r="I483" i="8" s="1"/>
  <c r="J483" i="8" s="1"/>
  <c r="E483" i="7"/>
  <c r="F482" i="7"/>
  <c r="I482" i="7" s="1"/>
  <c r="J482" i="7" s="1"/>
  <c r="K458" i="6"/>
  <c r="L457" i="6"/>
  <c r="H457" i="6"/>
  <c r="O457" i="6" s="1"/>
  <c r="P457" i="6" s="1"/>
  <c r="G458" i="6"/>
  <c r="E484" i="8"/>
  <c r="F483" i="8"/>
  <c r="J458" i="6"/>
  <c r="I459" i="6"/>
  <c r="F484" i="8" l="1"/>
  <c r="I484" i="8" s="1"/>
  <c r="J484" i="8" s="1"/>
  <c r="E485" i="8"/>
  <c r="F483" i="7"/>
  <c r="I483" i="7" s="1"/>
  <c r="J483" i="7" s="1"/>
  <c r="E484" i="7"/>
  <c r="H484" i="8"/>
  <c r="G485" i="8"/>
  <c r="I460" i="6"/>
  <c r="J459" i="6"/>
  <c r="N458" i="6"/>
  <c r="M459" i="6"/>
  <c r="G459" i="6"/>
  <c r="H458" i="6"/>
  <c r="O458" i="6" s="1"/>
  <c r="P458" i="6" s="1"/>
  <c r="K459" i="6"/>
  <c r="L458" i="6"/>
  <c r="G488" i="7"/>
  <c r="H487" i="7"/>
  <c r="I461" i="6" l="1"/>
  <c r="J460" i="6"/>
  <c r="G486" i="8"/>
  <c r="H485" i="8"/>
  <c r="I485" i="8" s="1"/>
  <c r="J485" i="8" s="1"/>
  <c r="K460" i="6"/>
  <c r="L459" i="6"/>
  <c r="G460" i="6"/>
  <c r="H459" i="6"/>
  <c r="O459" i="6" s="1"/>
  <c r="P459" i="6" s="1"/>
  <c r="N459" i="6"/>
  <c r="M460" i="6"/>
  <c r="F484" i="7"/>
  <c r="I484" i="7" s="1"/>
  <c r="J484" i="7" s="1"/>
  <c r="E485" i="7"/>
  <c r="E486" i="8"/>
  <c r="F485" i="8"/>
  <c r="G489" i="7"/>
  <c r="H488" i="7"/>
  <c r="E487" i="8" l="1"/>
  <c r="F486" i="8"/>
  <c r="I486" i="8" s="1"/>
  <c r="J486" i="8" s="1"/>
  <c r="N460" i="6"/>
  <c r="M461" i="6"/>
  <c r="G461" i="6"/>
  <c r="H460" i="6"/>
  <c r="O460" i="6" s="1"/>
  <c r="P460" i="6" s="1"/>
  <c r="F485" i="7"/>
  <c r="I485" i="7" s="1"/>
  <c r="J485" i="7" s="1"/>
  <c r="E486" i="7"/>
  <c r="K461" i="6"/>
  <c r="L460" i="6"/>
  <c r="G487" i="8"/>
  <c r="H486" i="8"/>
  <c r="G490" i="7"/>
  <c r="H489" i="7"/>
  <c r="I462" i="6"/>
  <c r="J461" i="6"/>
  <c r="G488" i="8" l="1"/>
  <c r="H487" i="8"/>
  <c r="L461" i="6"/>
  <c r="K462" i="6"/>
  <c r="I486" i="7"/>
  <c r="J486" i="7" s="1"/>
  <c r="E487" i="7"/>
  <c r="F486" i="7"/>
  <c r="G462" i="6"/>
  <c r="H461" i="6"/>
  <c r="O461" i="6" s="1"/>
  <c r="P461" i="6" s="1"/>
  <c r="M462" i="6"/>
  <c r="N461" i="6"/>
  <c r="J462" i="6"/>
  <c r="I463" i="6"/>
  <c r="E488" i="8"/>
  <c r="F487" i="8"/>
  <c r="I487" i="8" s="1"/>
  <c r="J487" i="8" s="1"/>
  <c r="G491" i="7"/>
  <c r="H490" i="7"/>
  <c r="H462" i="6" l="1"/>
  <c r="O462" i="6" s="1"/>
  <c r="P462" i="6" s="1"/>
  <c r="G463" i="6"/>
  <c r="J463" i="6"/>
  <c r="I464" i="6"/>
  <c r="N462" i="6"/>
  <c r="M463" i="6"/>
  <c r="F487" i="7"/>
  <c r="I487" i="7" s="1"/>
  <c r="J487" i="7" s="1"/>
  <c r="E488" i="7"/>
  <c r="L462" i="6"/>
  <c r="K463" i="6"/>
  <c r="F488" i="8"/>
  <c r="I488" i="8" s="1"/>
  <c r="J488" i="8" s="1"/>
  <c r="E489" i="8"/>
  <c r="G492" i="7"/>
  <c r="H491" i="7"/>
  <c r="G489" i="8"/>
  <c r="H488" i="8"/>
  <c r="G493" i="7" l="1"/>
  <c r="H492" i="7"/>
  <c r="K464" i="6"/>
  <c r="L463" i="6"/>
  <c r="E489" i="7"/>
  <c r="F488" i="7"/>
  <c r="I488" i="7" s="1"/>
  <c r="J488" i="7" s="1"/>
  <c r="F489" i="8"/>
  <c r="I489" i="8" s="1"/>
  <c r="J489" i="8" s="1"/>
  <c r="E490" i="8"/>
  <c r="N463" i="6"/>
  <c r="M464" i="6"/>
  <c r="J464" i="6"/>
  <c r="I465" i="6"/>
  <c r="G464" i="6"/>
  <c r="O463" i="6"/>
  <c r="P463" i="6" s="1"/>
  <c r="H463" i="6"/>
  <c r="G490" i="8"/>
  <c r="H489" i="8"/>
  <c r="H464" i="6" l="1"/>
  <c r="O464" i="6" s="1"/>
  <c r="P464" i="6" s="1"/>
  <c r="G465" i="6"/>
  <c r="J465" i="6"/>
  <c r="I466" i="6"/>
  <c r="M465" i="6"/>
  <c r="N464" i="6"/>
  <c r="F490" i="8"/>
  <c r="I490" i="8" s="1"/>
  <c r="J490" i="8" s="1"/>
  <c r="E491" i="8"/>
  <c r="F489" i="7"/>
  <c r="I489" i="7" s="1"/>
  <c r="J489" i="7" s="1"/>
  <c r="E490" i="7"/>
  <c r="K465" i="6"/>
  <c r="L464" i="6"/>
  <c r="H490" i="8"/>
  <c r="G491" i="8"/>
  <c r="H493" i="7"/>
  <c r="G494" i="7"/>
  <c r="E492" i="8" l="1"/>
  <c r="F491" i="8"/>
  <c r="I491" i="8" s="1"/>
  <c r="J491" i="8" s="1"/>
  <c r="L465" i="6"/>
  <c r="K466" i="6"/>
  <c r="E491" i="7"/>
  <c r="F490" i="7"/>
  <c r="I490" i="7" s="1"/>
  <c r="J490" i="7" s="1"/>
  <c r="M466" i="6"/>
  <c r="N465" i="6"/>
  <c r="I467" i="6"/>
  <c r="J466" i="6"/>
  <c r="G495" i="7"/>
  <c r="H494" i="7"/>
  <c r="H465" i="6"/>
  <c r="O465" i="6" s="1"/>
  <c r="P465" i="6" s="1"/>
  <c r="G466" i="6"/>
  <c r="G492" i="8"/>
  <c r="H491" i="8"/>
  <c r="N466" i="6" l="1"/>
  <c r="M467" i="6"/>
  <c r="H495" i="7"/>
  <c r="G496" i="7"/>
  <c r="I468" i="6"/>
  <c r="J467" i="6"/>
  <c r="K467" i="6"/>
  <c r="L466" i="6"/>
  <c r="H492" i="8"/>
  <c r="G493" i="8"/>
  <c r="F491" i="7"/>
  <c r="I491" i="7" s="1"/>
  <c r="J491" i="7" s="1"/>
  <c r="E492" i="7"/>
  <c r="G467" i="6"/>
  <c r="H466" i="6"/>
  <c r="O466" i="6" s="1"/>
  <c r="P466" i="6" s="1"/>
  <c r="E493" i="8"/>
  <c r="F492" i="8"/>
  <c r="I492" i="8" s="1"/>
  <c r="J492" i="8" s="1"/>
  <c r="G468" i="6" l="1"/>
  <c r="H467" i="6"/>
  <c r="O467" i="6" s="1"/>
  <c r="P467" i="6" s="1"/>
  <c r="E493" i="7"/>
  <c r="F492" i="7"/>
  <c r="I492" i="7" s="1"/>
  <c r="J492" i="7" s="1"/>
  <c r="G494" i="8"/>
  <c r="H493" i="8"/>
  <c r="K468" i="6"/>
  <c r="L467" i="6"/>
  <c r="I469" i="6"/>
  <c r="J468" i="6"/>
  <c r="G497" i="7"/>
  <c r="H496" i="7"/>
  <c r="E494" i="8"/>
  <c r="F493" i="8"/>
  <c r="I493" i="8" s="1"/>
  <c r="J493" i="8" s="1"/>
  <c r="M468" i="6"/>
  <c r="N467" i="6"/>
  <c r="J469" i="6" l="1"/>
  <c r="I470" i="6"/>
  <c r="K469" i="6"/>
  <c r="L468" i="6"/>
  <c r="G498" i="7"/>
  <c r="H497" i="7"/>
  <c r="G495" i="8"/>
  <c r="H494" i="8"/>
  <c r="E495" i="8"/>
  <c r="F494" i="8"/>
  <c r="I494" i="8" s="1"/>
  <c r="J494" i="8" s="1"/>
  <c r="F493" i="7"/>
  <c r="I493" i="7" s="1"/>
  <c r="J493" i="7" s="1"/>
  <c r="E494" i="7"/>
  <c r="M469" i="6"/>
  <c r="N468" i="6"/>
  <c r="G469" i="6"/>
  <c r="H468" i="6"/>
  <c r="O468" i="6" s="1"/>
  <c r="P468" i="6" s="1"/>
  <c r="F495" i="8" l="1"/>
  <c r="I495" i="8" s="1"/>
  <c r="J495" i="8" s="1"/>
  <c r="E496" i="8"/>
  <c r="N469" i="6"/>
  <c r="M470" i="6"/>
  <c r="E495" i="7"/>
  <c r="F494" i="7"/>
  <c r="I494" i="7" s="1"/>
  <c r="J494" i="7" s="1"/>
  <c r="H495" i="8"/>
  <c r="G496" i="8"/>
  <c r="G499" i="7"/>
  <c r="H498" i="7"/>
  <c r="K470" i="6"/>
  <c r="L469" i="6"/>
  <c r="I471" i="6"/>
  <c r="J470" i="6"/>
  <c r="H469" i="6"/>
  <c r="O469" i="6" s="1"/>
  <c r="P469" i="6" s="1"/>
  <c r="G470" i="6"/>
  <c r="G497" i="8" l="1"/>
  <c r="H496" i="8"/>
  <c r="K471" i="6"/>
  <c r="L470" i="6"/>
  <c r="G500" i="7"/>
  <c r="H499" i="7"/>
  <c r="F495" i="7"/>
  <c r="I495" i="7" s="1"/>
  <c r="J495" i="7" s="1"/>
  <c r="E496" i="7"/>
  <c r="N470" i="6"/>
  <c r="M471" i="6"/>
  <c r="E497" i="8"/>
  <c r="F496" i="8"/>
  <c r="I496" i="8" s="1"/>
  <c r="J496" i="8" s="1"/>
  <c r="I472" i="6"/>
  <c r="J471" i="6"/>
  <c r="G471" i="6"/>
  <c r="H470" i="6"/>
  <c r="O470" i="6" s="1"/>
  <c r="P470" i="6" s="1"/>
  <c r="J472" i="6" l="1"/>
  <c r="I473" i="6"/>
  <c r="E498" i="8"/>
  <c r="F497" i="8"/>
  <c r="I497" i="8" s="1"/>
  <c r="J497" i="8" s="1"/>
  <c r="M472" i="6"/>
  <c r="N471" i="6"/>
  <c r="E497" i="7"/>
  <c r="F496" i="7"/>
  <c r="I496" i="7" s="1"/>
  <c r="J496" i="7" s="1"/>
  <c r="G501" i="7"/>
  <c r="H500" i="7"/>
  <c r="K472" i="6"/>
  <c r="L471" i="6"/>
  <c r="O471" i="6" s="1"/>
  <c r="P471" i="6" s="1"/>
  <c r="G472" i="6"/>
  <c r="H471" i="6"/>
  <c r="H497" i="8"/>
  <c r="G498" i="8"/>
  <c r="G502" i="7" l="1"/>
  <c r="H501" i="7"/>
  <c r="F497" i="7"/>
  <c r="I497" i="7" s="1"/>
  <c r="J497" i="7" s="1"/>
  <c r="E498" i="7"/>
  <c r="K473" i="6"/>
  <c r="L472" i="6"/>
  <c r="H472" i="6"/>
  <c r="O472" i="6" s="1"/>
  <c r="P472" i="6" s="1"/>
  <c r="G473" i="6"/>
  <c r="N472" i="6"/>
  <c r="M473" i="6"/>
  <c r="E499" i="8"/>
  <c r="F498" i="8"/>
  <c r="I498" i="8" s="1"/>
  <c r="J498" i="8" s="1"/>
  <c r="I474" i="6"/>
  <c r="J473" i="6"/>
  <c r="G499" i="8"/>
  <c r="H498" i="8"/>
  <c r="E500" i="8" l="1"/>
  <c r="F499" i="8"/>
  <c r="I499" i="8" s="1"/>
  <c r="J499" i="8" s="1"/>
  <c r="M474" i="6"/>
  <c r="N473" i="6"/>
  <c r="G474" i="6"/>
  <c r="H473" i="6"/>
  <c r="O473" i="6" s="1"/>
  <c r="P473" i="6" s="1"/>
  <c r="K474" i="6"/>
  <c r="L473" i="6"/>
  <c r="J474" i="6"/>
  <c r="I475" i="6"/>
  <c r="F498" i="7"/>
  <c r="I498" i="7" s="1"/>
  <c r="J498" i="7" s="1"/>
  <c r="E499" i="7"/>
  <c r="G500" i="8"/>
  <c r="H499" i="8"/>
  <c r="G503" i="7"/>
  <c r="H502" i="7"/>
  <c r="H500" i="8" l="1"/>
  <c r="G501" i="8"/>
  <c r="F499" i="7"/>
  <c r="I499" i="7" s="1"/>
  <c r="J499" i="7" s="1"/>
  <c r="E500" i="7"/>
  <c r="J475" i="6"/>
  <c r="I476" i="6"/>
  <c r="K475" i="6"/>
  <c r="L474" i="6"/>
  <c r="H474" i="6"/>
  <c r="O474" i="6" s="1"/>
  <c r="P474" i="6" s="1"/>
  <c r="G475" i="6"/>
  <c r="M475" i="6"/>
  <c r="N474" i="6"/>
  <c r="G504" i="7"/>
  <c r="H503" i="7"/>
  <c r="F500" i="8"/>
  <c r="I500" i="8" s="1"/>
  <c r="J500" i="8" s="1"/>
  <c r="E501" i="8"/>
  <c r="G505" i="7" l="1"/>
  <c r="H504" i="7"/>
  <c r="L475" i="6"/>
  <c r="K476" i="6"/>
  <c r="I477" i="6"/>
  <c r="J476" i="6"/>
  <c r="N475" i="6"/>
  <c r="M476" i="6"/>
  <c r="F500" i="7"/>
  <c r="I500" i="7" s="1"/>
  <c r="J500" i="7" s="1"/>
  <c r="E501" i="7"/>
  <c r="G502" i="8"/>
  <c r="H501" i="8"/>
  <c r="G476" i="6"/>
  <c r="O475" i="6"/>
  <c r="P475" i="6" s="1"/>
  <c r="H475" i="6"/>
  <c r="E502" i="8"/>
  <c r="F501" i="8"/>
  <c r="I501" i="8" s="1"/>
  <c r="J501" i="8" s="1"/>
  <c r="M477" i="6" l="1"/>
  <c r="N476" i="6"/>
  <c r="F501" i="7"/>
  <c r="I501" i="7" s="1"/>
  <c r="J501" i="7" s="1"/>
  <c r="E502" i="7"/>
  <c r="J477" i="6"/>
  <c r="I478" i="6"/>
  <c r="K477" i="6"/>
  <c r="L476" i="6"/>
  <c r="G477" i="6"/>
  <c r="H476" i="6"/>
  <c r="O476" i="6" s="1"/>
  <c r="P476" i="6" s="1"/>
  <c r="H502" i="8"/>
  <c r="G503" i="8"/>
  <c r="E503" i="8"/>
  <c r="F502" i="8"/>
  <c r="I502" i="8" s="1"/>
  <c r="J502" i="8" s="1"/>
  <c r="G506" i="7"/>
  <c r="H505" i="7"/>
  <c r="G504" i="8" l="1"/>
  <c r="H503" i="8"/>
  <c r="L477" i="6"/>
  <c r="K478" i="6"/>
  <c r="H477" i="6"/>
  <c r="O477" i="6" s="1"/>
  <c r="P477" i="6" s="1"/>
  <c r="G478" i="6"/>
  <c r="J478" i="6"/>
  <c r="I479" i="6"/>
  <c r="E503" i="7"/>
  <c r="F502" i="7"/>
  <c r="I502" i="7" s="1"/>
  <c r="J502" i="7" s="1"/>
  <c r="E504" i="8"/>
  <c r="F503" i="8"/>
  <c r="I503" i="8" s="1"/>
  <c r="J503" i="8" s="1"/>
  <c r="G507" i="7"/>
  <c r="H506" i="7"/>
  <c r="N477" i="6"/>
  <c r="M478" i="6"/>
  <c r="G508" i="7" l="1"/>
  <c r="H507" i="7"/>
  <c r="M479" i="6"/>
  <c r="N478" i="6"/>
  <c r="F504" i="8"/>
  <c r="I504" i="8" s="1"/>
  <c r="J504" i="8" s="1"/>
  <c r="E505" i="8"/>
  <c r="F503" i="7"/>
  <c r="E504" i="7"/>
  <c r="I503" i="7"/>
  <c r="J503" i="7" s="1"/>
  <c r="J479" i="6"/>
  <c r="I480" i="6"/>
  <c r="H478" i="6"/>
  <c r="O478" i="6" s="1"/>
  <c r="P478" i="6" s="1"/>
  <c r="G479" i="6"/>
  <c r="L478" i="6"/>
  <c r="K479" i="6"/>
  <c r="G505" i="8"/>
  <c r="H504" i="8"/>
  <c r="G480" i="6" l="1"/>
  <c r="H479" i="6"/>
  <c r="O479" i="6" s="1"/>
  <c r="P479" i="6" s="1"/>
  <c r="F504" i="7"/>
  <c r="I504" i="7" s="1"/>
  <c r="J504" i="7" s="1"/>
  <c r="E505" i="7"/>
  <c r="F505" i="8"/>
  <c r="I505" i="8" s="1"/>
  <c r="J505" i="8" s="1"/>
  <c r="E506" i="8"/>
  <c r="G506" i="8"/>
  <c r="H505" i="8"/>
  <c r="J480" i="6"/>
  <c r="I481" i="6"/>
  <c r="M480" i="6"/>
  <c r="N479" i="6"/>
  <c r="L479" i="6"/>
  <c r="K480" i="6"/>
  <c r="G509" i="7"/>
  <c r="H508" i="7"/>
  <c r="N480" i="6" l="1"/>
  <c r="M481" i="6"/>
  <c r="J481" i="6"/>
  <c r="I482" i="6"/>
  <c r="H506" i="8"/>
  <c r="G507" i="8"/>
  <c r="E507" i="8"/>
  <c r="F506" i="8"/>
  <c r="I506" i="8" s="1"/>
  <c r="J506" i="8" s="1"/>
  <c r="F505" i="7"/>
  <c r="I505" i="7" s="1"/>
  <c r="J505" i="7" s="1"/>
  <c r="E506" i="7"/>
  <c r="H509" i="7"/>
  <c r="G510" i="7"/>
  <c r="K481" i="6"/>
  <c r="L480" i="6"/>
  <c r="G481" i="6"/>
  <c r="H480" i="6"/>
  <c r="O480" i="6" s="1"/>
  <c r="P480" i="6" s="1"/>
  <c r="G511" i="7" l="1"/>
  <c r="H510" i="7"/>
  <c r="E507" i="7"/>
  <c r="F506" i="7"/>
  <c r="I506" i="7" s="1"/>
  <c r="J506" i="7" s="1"/>
  <c r="K482" i="6"/>
  <c r="L481" i="6"/>
  <c r="E508" i="8"/>
  <c r="F507" i="8"/>
  <c r="I507" i="8" s="1"/>
  <c r="J507" i="8" s="1"/>
  <c r="G508" i="8"/>
  <c r="H507" i="8"/>
  <c r="J482" i="6"/>
  <c r="I483" i="6"/>
  <c r="M482" i="6"/>
  <c r="N481" i="6"/>
  <c r="H481" i="6"/>
  <c r="O481" i="6" s="1"/>
  <c r="P481" i="6" s="1"/>
  <c r="G482" i="6"/>
  <c r="H508" i="8" l="1"/>
  <c r="G509" i="8"/>
  <c r="E509" i="8"/>
  <c r="F508" i="8"/>
  <c r="I508" i="8" s="1"/>
  <c r="J508" i="8" s="1"/>
  <c r="N482" i="6"/>
  <c r="M483" i="6"/>
  <c r="I484" i="6"/>
  <c r="J483" i="6"/>
  <c r="L482" i="6"/>
  <c r="K483" i="6"/>
  <c r="F507" i="7"/>
  <c r="E508" i="7"/>
  <c r="I507" i="7"/>
  <c r="J507" i="7" s="1"/>
  <c r="O482" i="6"/>
  <c r="P482" i="6" s="1"/>
  <c r="H482" i="6"/>
  <c r="G483" i="6"/>
  <c r="G512" i="7"/>
  <c r="H511" i="7"/>
  <c r="E509" i="7" l="1"/>
  <c r="F508" i="7"/>
  <c r="I508" i="7" s="1"/>
  <c r="J508" i="7" s="1"/>
  <c r="K484" i="6"/>
  <c r="L483" i="6"/>
  <c r="I485" i="6"/>
  <c r="J484" i="6"/>
  <c r="M484" i="6"/>
  <c r="N483" i="6"/>
  <c r="E510" i="8"/>
  <c r="F509" i="8"/>
  <c r="I509" i="8" s="1"/>
  <c r="J509" i="8" s="1"/>
  <c r="G513" i="7"/>
  <c r="H512" i="7"/>
  <c r="G510" i="8"/>
  <c r="H509" i="8"/>
  <c r="G484" i="6"/>
  <c r="H483" i="6"/>
  <c r="O483" i="6" s="1"/>
  <c r="P483" i="6" s="1"/>
  <c r="G511" i="8" l="1"/>
  <c r="H510" i="8"/>
  <c r="M485" i="6"/>
  <c r="N484" i="6"/>
  <c r="E511" i="8"/>
  <c r="F510" i="8"/>
  <c r="I510" i="8" s="1"/>
  <c r="J510" i="8" s="1"/>
  <c r="I486" i="6"/>
  <c r="J485" i="6"/>
  <c r="K485" i="6"/>
  <c r="L484" i="6"/>
  <c r="G514" i="7"/>
  <c r="H513" i="7"/>
  <c r="H484" i="6"/>
  <c r="O484" i="6" s="1"/>
  <c r="P484" i="6" s="1"/>
  <c r="G485" i="6"/>
  <c r="F509" i="7"/>
  <c r="I509" i="7" s="1"/>
  <c r="J509" i="7" s="1"/>
  <c r="E510" i="7"/>
  <c r="G486" i="6" l="1"/>
  <c r="H485" i="6"/>
  <c r="O485" i="6" s="1"/>
  <c r="P485" i="6" s="1"/>
  <c r="I487" i="6"/>
  <c r="J486" i="6"/>
  <c r="F511" i="8"/>
  <c r="I511" i="8" s="1"/>
  <c r="J511" i="8" s="1"/>
  <c r="E512" i="8"/>
  <c r="E511" i="7"/>
  <c r="F510" i="7"/>
  <c r="I510" i="7" s="1"/>
  <c r="J510" i="7" s="1"/>
  <c r="N485" i="6"/>
  <c r="M486" i="6"/>
  <c r="L485" i="6"/>
  <c r="K486" i="6"/>
  <c r="G515" i="7"/>
  <c r="H514" i="7"/>
  <c r="G512" i="8"/>
  <c r="H511" i="8"/>
  <c r="F511" i="7" l="1"/>
  <c r="I511" i="7" s="1"/>
  <c r="J511" i="7" s="1"/>
  <c r="E512" i="7"/>
  <c r="K487" i="6"/>
  <c r="L486" i="6"/>
  <c r="O486" i="6" s="1"/>
  <c r="P486" i="6" s="1"/>
  <c r="E513" i="8"/>
  <c r="F512" i="8"/>
  <c r="I512" i="8" s="1"/>
  <c r="J512" i="8" s="1"/>
  <c r="N486" i="6"/>
  <c r="M487" i="6"/>
  <c r="J487" i="6"/>
  <c r="I488" i="6"/>
  <c r="G516" i="7"/>
  <c r="H515" i="7"/>
  <c r="G513" i="8"/>
  <c r="H512" i="8"/>
  <c r="G487" i="6"/>
  <c r="H486" i="6"/>
  <c r="G517" i="7" l="1"/>
  <c r="H516" i="7"/>
  <c r="J488" i="6"/>
  <c r="I489" i="6"/>
  <c r="N487" i="6"/>
  <c r="M488" i="6"/>
  <c r="F513" i="8"/>
  <c r="I513" i="8" s="1"/>
  <c r="J513" i="8" s="1"/>
  <c r="E514" i="8"/>
  <c r="L487" i="6"/>
  <c r="K488" i="6"/>
  <c r="H513" i="8"/>
  <c r="G514" i="8"/>
  <c r="F512" i="7"/>
  <c r="I512" i="7" s="1"/>
  <c r="J512" i="7" s="1"/>
  <c r="E513" i="7"/>
  <c r="G488" i="6"/>
  <c r="H487" i="6"/>
  <c r="O487" i="6" s="1"/>
  <c r="P487" i="6" s="1"/>
  <c r="G515" i="8" l="1"/>
  <c r="H514" i="8"/>
  <c r="M489" i="6"/>
  <c r="N488" i="6"/>
  <c r="K489" i="6"/>
  <c r="L488" i="6"/>
  <c r="F513" i="7"/>
  <c r="I513" i="7" s="1"/>
  <c r="J513" i="7" s="1"/>
  <c r="E514" i="7"/>
  <c r="E515" i="8"/>
  <c r="F514" i="8"/>
  <c r="I514" i="8" s="1"/>
  <c r="J514" i="8" s="1"/>
  <c r="J489" i="6"/>
  <c r="I490" i="6"/>
  <c r="H488" i="6"/>
  <c r="O488" i="6" s="1"/>
  <c r="P488" i="6" s="1"/>
  <c r="G489" i="6"/>
  <c r="G518" i="7"/>
  <c r="H517" i="7"/>
  <c r="H489" i="6" l="1"/>
  <c r="O489" i="6" s="1"/>
  <c r="P489" i="6" s="1"/>
  <c r="G490" i="6"/>
  <c r="E515" i="7"/>
  <c r="F514" i="7"/>
  <c r="I514" i="7" s="1"/>
  <c r="J514" i="7" s="1"/>
  <c r="I491" i="6"/>
  <c r="J490" i="6"/>
  <c r="E516" i="8"/>
  <c r="F515" i="8"/>
  <c r="I515" i="8" s="1"/>
  <c r="J515" i="8" s="1"/>
  <c r="L489" i="6"/>
  <c r="K490" i="6"/>
  <c r="N489" i="6"/>
  <c r="M490" i="6"/>
  <c r="G519" i="7"/>
  <c r="H518" i="7"/>
  <c r="G516" i="8"/>
  <c r="H515" i="8"/>
  <c r="H519" i="7" l="1"/>
  <c r="G520" i="7"/>
  <c r="N490" i="6"/>
  <c r="M491" i="6"/>
  <c r="L490" i="6"/>
  <c r="O490" i="6" s="1"/>
  <c r="P490" i="6" s="1"/>
  <c r="K491" i="6"/>
  <c r="F516" i="8"/>
  <c r="I516" i="8" s="1"/>
  <c r="J516" i="8" s="1"/>
  <c r="E517" i="8"/>
  <c r="J491" i="6"/>
  <c r="I492" i="6"/>
  <c r="F515" i="7"/>
  <c r="E516" i="7"/>
  <c r="I515" i="7"/>
  <c r="J515" i="7" s="1"/>
  <c r="G491" i="6"/>
  <c r="H490" i="6"/>
  <c r="H516" i="8"/>
  <c r="G517" i="8"/>
  <c r="G492" i="6" l="1"/>
  <c r="H491" i="6"/>
  <c r="O491" i="6" s="1"/>
  <c r="P491" i="6" s="1"/>
  <c r="F516" i="7"/>
  <c r="I516" i="7" s="1"/>
  <c r="J516" i="7" s="1"/>
  <c r="E517" i="7"/>
  <c r="J492" i="6"/>
  <c r="I493" i="6"/>
  <c r="E518" i="8"/>
  <c r="F517" i="8"/>
  <c r="I517" i="8" s="1"/>
  <c r="J517" i="8" s="1"/>
  <c r="K492" i="6"/>
  <c r="L491" i="6"/>
  <c r="M492" i="6"/>
  <c r="N491" i="6"/>
  <c r="G518" i="8"/>
  <c r="H517" i="8"/>
  <c r="G521" i="7"/>
  <c r="H520" i="7"/>
  <c r="N492" i="6" l="1"/>
  <c r="M493" i="6"/>
  <c r="I494" i="6"/>
  <c r="J493" i="6"/>
  <c r="H521" i="7"/>
  <c r="G522" i="7"/>
  <c r="E519" i="8"/>
  <c r="F518" i="8"/>
  <c r="I518" i="8" s="1"/>
  <c r="J518" i="8" s="1"/>
  <c r="H518" i="8"/>
  <c r="G519" i="8"/>
  <c r="K493" i="6"/>
  <c r="L492" i="6"/>
  <c r="F517" i="7"/>
  <c r="I517" i="7" s="1"/>
  <c r="J517" i="7" s="1"/>
  <c r="E518" i="7"/>
  <c r="H492" i="6"/>
  <c r="O492" i="6" s="1"/>
  <c r="P492" i="6" s="1"/>
  <c r="G493" i="6"/>
  <c r="G520" i="8" l="1"/>
  <c r="H519" i="8"/>
  <c r="K494" i="6"/>
  <c r="L493" i="6"/>
  <c r="E520" i="8"/>
  <c r="I519" i="8"/>
  <c r="J519" i="8" s="1"/>
  <c r="F519" i="8"/>
  <c r="F518" i="7"/>
  <c r="I518" i="7" s="1"/>
  <c r="J518" i="7" s="1"/>
  <c r="E519" i="7"/>
  <c r="G523" i="7"/>
  <c r="H522" i="7"/>
  <c r="G494" i="6"/>
  <c r="O493" i="6"/>
  <c r="P493" i="6" s="1"/>
  <c r="H493" i="6"/>
  <c r="I495" i="6"/>
  <c r="J494" i="6"/>
  <c r="M494" i="6"/>
  <c r="N493" i="6"/>
  <c r="H494" i="6" l="1"/>
  <c r="O494" i="6" s="1"/>
  <c r="P494" i="6" s="1"/>
  <c r="G495" i="6"/>
  <c r="F519" i="7"/>
  <c r="I519" i="7" s="1"/>
  <c r="J519" i="7" s="1"/>
  <c r="E520" i="7"/>
  <c r="I496" i="6"/>
  <c r="J495" i="6"/>
  <c r="H523" i="7"/>
  <c r="G524" i="7"/>
  <c r="F520" i="8"/>
  <c r="I520" i="8" s="1"/>
  <c r="J520" i="8" s="1"/>
  <c r="E521" i="8"/>
  <c r="K495" i="6"/>
  <c r="L494" i="6"/>
  <c r="M495" i="6"/>
  <c r="N494" i="6"/>
  <c r="G521" i="8"/>
  <c r="H520" i="8"/>
  <c r="K496" i="6" l="1"/>
  <c r="L495" i="6"/>
  <c r="F521" i="8"/>
  <c r="I521" i="8" s="1"/>
  <c r="J521" i="8" s="1"/>
  <c r="E522" i="8"/>
  <c r="G525" i="7"/>
  <c r="H524" i="7"/>
  <c r="J496" i="6"/>
  <c r="I497" i="6"/>
  <c r="I520" i="7"/>
  <c r="J520" i="7" s="1"/>
  <c r="E521" i="7"/>
  <c r="F520" i="7"/>
  <c r="G496" i="6"/>
  <c r="H495" i="6"/>
  <c r="O495" i="6" s="1"/>
  <c r="P495" i="6" s="1"/>
  <c r="N495" i="6"/>
  <c r="M496" i="6"/>
  <c r="G522" i="8"/>
  <c r="H521" i="8"/>
  <c r="F521" i="7" l="1"/>
  <c r="I521" i="7" s="1"/>
  <c r="J521" i="7" s="1"/>
  <c r="E522" i="7"/>
  <c r="I498" i="6"/>
  <c r="J497" i="6"/>
  <c r="H496" i="6"/>
  <c r="O496" i="6" s="1"/>
  <c r="P496" i="6" s="1"/>
  <c r="G497" i="6"/>
  <c r="H525" i="7"/>
  <c r="G526" i="7"/>
  <c r="E523" i="8"/>
  <c r="F522" i="8"/>
  <c r="I522" i="8" s="1"/>
  <c r="J522" i="8" s="1"/>
  <c r="H522" i="8"/>
  <c r="G523" i="8"/>
  <c r="N496" i="6"/>
  <c r="M497" i="6"/>
  <c r="K497" i="6"/>
  <c r="L496" i="6"/>
  <c r="E524" i="8" l="1"/>
  <c r="F523" i="8"/>
  <c r="I523" i="8" s="1"/>
  <c r="J523" i="8" s="1"/>
  <c r="G527" i="7"/>
  <c r="H526" i="7"/>
  <c r="H523" i="8"/>
  <c r="G524" i="8"/>
  <c r="G498" i="6"/>
  <c r="H497" i="6"/>
  <c r="O497" i="6" s="1"/>
  <c r="P497" i="6" s="1"/>
  <c r="I499" i="6"/>
  <c r="J498" i="6"/>
  <c r="K498" i="6"/>
  <c r="L497" i="6"/>
  <c r="E523" i="7"/>
  <c r="I522" i="7"/>
  <c r="J522" i="7" s="1"/>
  <c r="F522" i="7"/>
  <c r="N497" i="6"/>
  <c r="M498" i="6"/>
  <c r="J499" i="6" l="1"/>
  <c r="I500" i="6"/>
  <c r="F523" i="7"/>
  <c r="I523" i="7" s="1"/>
  <c r="J523" i="7" s="1"/>
  <c r="E524" i="7"/>
  <c r="O498" i="6"/>
  <c r="P498" i="6" s="1"/>
  <c r="G499" i="6"/>
  <c r="H498" i="6"/>
  <c r="G525" i="8"/>
  <c r="H524" i="8"/>
  <c r="M499" i="6"/>
  <c r="N498" i="6"/>
  <c r="K499" i="6"/>
  <c r="L498" i="6"/>
  <c r="H527" i="7"/>
  <c r="G528" i="7"/>
  <c r="E525" i="8"/>
  <c r="F524" i="8"/>
  <c r="I524" i="8" s="1"/>
  <c r="J524" i="8" s="1"/>
  <c r="G526" i="8" l="1"/>
  <c r="H525" i="8"/>
  <c r="I525" i="8" s="1"/>
  <c r="J525" i="8" s="1"/>
  <c r="G529" i="7"/>
  <c r="H528" i="7"/>
  <c r="N499" i="6"/>
  <c r="M500" i="6"/>
  <c r="L499" i="6"/>
  <c r="K500" i="6"/>
  <c r="G500" i="6"/>
  <c r="H499" i="6"/>
  <c r="O499" i="6" s="1"/>
  <c r="P499" i="6" s="1"/>
  <c r="E525" i="7"/>
  <c r="I524" i="7"/>
  <c r="J524" i="7" s="1"/>
  <c r="F524" i="7"/>
  <c r="E526" i="8"/>
  <c r="F525" i="8"/>
  <c r="I501" i="6"/>
  <c r="J500" i="6"/>
  <c r="F525" i="7" l="1"/>
  <c r="I525" i="7" s="1"/>
  <c r="J525" i="7" s="1"/>
  <c r="E526" i="7"/>
  <c r="G501" i="6"/>
  <c r="H500" i="6"/>
  <c r="O500" i="6" s="1"/>
  <c r="P500" i="6" s="1"/>
  <c r="E527" i="8"/>
  <c r="F526" i="8"/>
  <c r="I526" i="8" s="1"/>
  <c r="J526" i="8" s="1"/>
  <c r="K501" i="6"/>
  <c r="L500" i="6"/>
  <c r="M501" i="6"/>
  <c r="N500" i="6"/>
  <c r="G530" i="7"/>
  <c r="H529" i="7"/>
  <c r="J501" i="6"/>
  <c r="I502" i="6"/>
  <c r="G527" i="8"/>
  <c r="H526" i="8"/>
  <c r="F527" i="8" l="1"/>
  <c r="I527" i="8" s="1"/>
  <c r="J527" i="8" s="1"/>
  <c r="E528" i="8"/>
  <c r="L501" i="6"/>
  <c r="K502" i="6"/>
  <c r="M502" i="6"/>
  <c r="N501" i="6"/>
  <c r="H501" i="6"/>
  <c r="O501" i="6" s="1"/>
  <c r="P501" i="6" s="1"/>
  <c r="G502" i="6"/>
  <c r="F526" i="7"/>
  <c r="I526" i="7" s="1"/>
  <c r="J526" i="7" s="1"/>
  <c r="E527" i="7"/>
  <c r="G531" i="7"/>
  <c r="H530" i="7"/>
  <c r="G528" i="8"/>
  <c r="H527" i="8"/>
  <c r="J502" i="6"/>
  <c r="I503" i="6"/>
  <c r="F527" i="7" l="1"/>
  <c r="I527" i="7" s="1"/>
  <c r="J527" i="7" s="1"/>
  <c r="E528" i="7"/>
  <c r="G503" i="6"/>
  <c r="H502" i="6"/>
  <c r="O502" i="6" s="1"/>
  <c r="P502" i="6" s="1"/>
  <c r="G529" i="8"/>
  <c r="H528" i="8"/>
  <c r="G532" i="7"/>
  <c r="H531" i="7"/>
  <c r="L502" i="6"/>
  <c r="K503" i="6"/>
  <c r="N502" i="6"/>
  <c r="M503" i="6"/>
  <c r="I504" i="6"/>
  <c r="J503" i="6"/>
  <c r="E529" i="8"/>
  <c r="F528" i="8"/>
  <c r="I528" i="8" s="1"/>
  <c r="J528" i="8" s="1"/>
  <c r="M504" i="6" l="1"/>
  <c r="N503" i="6"/>
  <c r="K504" i="6"/>
  <c r="L503" i="6"/>
  <c r="G533" i="7"/>
  <c r="H532" i="7"/>
  <c r="H529" i="8"/>
  <c r="G530" i="8"/>
  <c r="G504" i="6"/>
  <c r="H503" i="6"/>
  <c r="O503" i="6" s="1"/>
  <c r="P503" i="6" s="1"/>
  <c r="J504" i="6"/>
  <c r="I505" i="6"/>
  <c r="F528" i="7"/>
  <c r="I528" i="7" s="1"/>
  <c r="J528" i="7" s="1"/>
  <c r="E529" i="7"/>
  <c r="I529" i="8"/>
  <c r="J529" i="8" s="1"/>
  <c r="F529" i="8"/>
  <c r="E530" i="8"/>
  <c r="H504" i="6" l="1"/>
  <c r="O504" i="6" s="1"/>
  <c r="P504" i="6" s="1"/>
  <c r="G505" i="6"/>
  <c r="G531" i="8"/>
  <c r="H530" i="8"/>
  <c r="F529" i="7"/>
  <c r="I529" i="7" s="1"/>
  <c r="J529" i="7" s="1"/>
  <c r="E530" i="7"/>
  <c r="J505" i="6"/>
  <c r="I506" i="6"/>
  <c r="G534" i="7"/>
  <c r="H533" i="7"/>
  <c r="E531" i="8"/>
  <c r="F530" i="8"/>
  <c r="I530" i="8" s="1"/>
  <c r="J530" i="8" s="1"/>
  <c r="K505" i="6"/>
  <c r="L504" i="6"/>
  <c r="N504" i="6"/>
  <c r="M505" i="6"/>
  <c r="G535" i="7" l="1"/>
  <c r="H534" i="7"/>
  <c r="I507" i="6"/>
  <c r="J506" i="6"/>
  <c r="F530" i="7"/>
  <c r="I530" i="7" s="1"/>
  <c r="J530" i="7" s="1"/>
  <c r="E531" i="7"/>
  <c r="L505" i="6"/>
  <c r="K506" i="6"/>
  <c r="E532" i="8"/>
  <c r="F531" i="8"/>
  <c r="I531" i="8" s="1"/>
  <c r="J531" i="8" s="1"/>
  <c r="G532" i="8"/>
  <c r="H531" i="8"/>
  <c r="N505" i="6"/>
  <c r="M506" i="6"/>
  <c r="G506" i="6"/>
  <c r="H505" i="6"/>
  <c r="O505" i="6" s="1"/>
  <c r="P505" i="6" s="1"/>
  <c r="L506" i="6" l="1"/>
  <c r="K507" i="6"/>
  <c r="G533" i="8"/>
  <c r="H532" i="8"/>
  <c r="F532" i="8"/>
  <c r="I532" i="8" s="1"/>
  <c r="J532" i="8" s="1"/>
  <c r="E533" i="8"/>
  <c r="N506" i="6"/>
  <c r="M507" i="6"/>
  <c r="F531" i="7"/>
  <c r="I531" i="7" s="1"/>
  <c r="J531" i="7" s="1"/>
  <c r="E532" i="7"/>
  <c r="J507" i="6"/>
  <c r="I508" i="6"/>
  <c r="G507" i="6"/>
  <c r="H506" i="6"/>
  <c r="O506" i="6" s="1"/>
  <c r="P506" i="6" s="1"/>
  <c r="H535" i="7"/>
  <c r="G536" i="7"/>
  <c r="J508" i="6" l="1"/>
  <c r="I509" i="6"/>
  <c r="F532" i="7"/>
  <c r="E533" i="7"/>
  <c r="I532" i="7"/>
  <c r="J532" i="7" s="1"/>
  <c r="M508" i="6"/>
  <c r="N507" i="6"/>
  <c r="E534" i="8"/>
  <c r="F533" i="8"/>
  <c r="I533" i="8" s="1"/>
  <c r="J533" i="8" s="1"/>
  <c r="G508" i="6"/>
  <c r="H507" i="6"/>
  <c r="O507" i="6"/>
  <c r="P507" i="6" s="1"/>
  <c r="G537" i="7"/>
  <c r="H536" i="7"/>
  <c r="G534" i="8"/>
  <c r="H533" i="8"/>
  <c r="K508" i="6"/>
  <c r="L507" i="6"/>
  <c r="H534" i="8" l="1"/>
  <c r="G535" i="8"/>
  <c r="H537" i="7"/>
  <c r="G538" i="7"/>
  <c r="H508" i="6"/>
  <c r="O508" i="6" s="1"/>
  <c r="P508" i="6" s="1"/>
  <c r="G509" i="6"/>
  <c r="F534" i="8"/>
  <c r="I534" i="8" s="1"/>
  <c r="J534" i="8" s="1"/>
  <c r="E535" i="8"/>
  <c r="N508" i="6"/>
  <c r="M509" i="6"/>
  <c r="F533" i="7"/>
  <c r="I533" i="7" s="1"/>
  <c r="J533" i="7" s="1"/>
  <c r="E534" i="7"/>
  <c r="K509" i="6"/>
  <c r="L508" i="6"/>
  <c r="I510" i="6"/>
  <c r="J509" i="6"/>
  <c r="L509" i="6" l="1"/>
  <c r="K510" i="6"/>
  <c r="E536" i="8"/>
  <c r="F535" i="8"/>
  <c r="I535" i="8" s="1"/>
  <c r="J535" i="8" s="1"/>
  <c r="F534" i="7"/>
  <c r="I534" i="7" s="1"/>
  <c r="J534" i="7" s="1"/>
  <c r="E535" i="7"/>
  <c r="M510" i="6"/>
  <c r="N509" i="6"/>
  <c r="H509" i="6"/>
  <c r="G510" i="6"/>
  <c r="O509" i="6"/>
  <c r="P509" i="6" s="1"/>
  <c r="G539" i="7"/>
  <c r="H538" i="7"/>
  <c r="J510" i="6"/>
  <c r="I511" i="6"/>
  <c r="G536" i="8"/>
  <c r="H535" i="8"/>
  <c r="N510" i="6" l="1"/>
  <c r="M511" i="6"/>
  <c r="F535" i="7"/>
  <c r="E536" i="7"/>
  <c r="I535" i="7"/>
  <c r="J535" i="7" s="1"/>
  <c r="F536" i="8"/>
  <c r="I536" i="8" s="1"/>
  <c r="J536" i="8" s="1"/>
  <c r="E537" i="8"/>
  <c r="G537" i="8"/>
  <c r="H536" i="8"/>
  <c r="L510" i="6"/>
  <c r="K511" i="6"/>
  <c r="H539" i="7"/>
  <c r="G540" i="7"/>
  <c r="H510" i="6"/>
  <c r="O510" i="6" s="1"/>
  <c r="P510" i="6" s="1"/>
  <c r="G511" i="6"/>
  <c r="I512" i="6"/>
  <c r="J511" i="6"/>
  <c r="G538" i="8" l="1"/>
  <c r="H537" i="8"/>
  <c r="F537" i="8"/>
  <c r="I537" i="8" s="1"/>
  <c r="J537" i="8" s="1"/>
  <c r="E538" i="8"/>
  <c r="G541" i="7"/>
  <c r="H540" i="7"/>
  <c r="L511" i="6"/>
  <c r="K512" i="6"/>
  <c r="I536" i="7"/>
  <c r="J536" i="7" s="1"/>
  <c r="E537" i="7"/>
  <c r="F536" i="7"/>
  <c r="I513" i="6"/>
  <c r="J512" i="6"/>
  <c r="N511" i="6"/>
  <c r="M512" i="6"/>
  <c r="G512" i="6"/>
  <c r="H511" i="6"/>
  <c r="O511" i="6" s="1"/>
  <c r="P511" i="6" s="1"/>
  <c r="K513" i="6" l="1"/>
  <c r="L512" i="6"/>
  <c r="N512" i="6"/>
  <c r="M513" i="6"/>
  <c r="F537" i="7"/>
  <c r="I537" i="7" s="1"/>
  <c r="J537" i="7" s="1"/>
  <c r="E538" i="7"/>
  <c r="J513" i="6"/>
  <c r="I514" i="6"/>
  <c r="E539" i="8"/>
  <c r="F538" i="8"/>
  <c r="I538" i="8" s="1"/>
  <c r="J538" i="8" s="1"/>
  <c r="H541" i="7"/>
  <c r="G542" i="7"/>
  <c r="H512" i="6"/>
  <c r="O512" i="6" s="1"/>
  <c r="P512" i="6" s="1"/>
  <c r="G513" i="6"/>
  <c r="H538" i="8"/>
  <c r="G539" i="8"/>
  <c r="J514" i="6" l="1"/>
  <c r="I515" i="6"/>
  <c r="E540" i="8"/>
  <c r="F539" i="8"/>
  <c r="I539" i="8" s="1"/>
  <c r="J539" i="8" s="1"/>
  <c r="G543" i="7"/>
  <c r="H542" i="7"/>
  <c r="E539" i="7"/>
  <c r="I538" i="7"/>
  <c r="J538" i="7" s="1"/>
  <c r="F538" i="7"/>
  <c r="M514" i="6"/>
  <c r="N513" i="6"/>
  <c r="H539" i="8"/>
  <c r="G540" i="8"/>
  <c r="H513" i="6"/>
  <c r="O513" i="6" s="1"/>
  <c r="P513" i="6" s="1"/>
  <c r="G514" i="6"/>
  <c r="L513" i="6"/>
  <c r="K514" i="6"/>
  <c r="H514" i="6" l="1"/>
  <c r="O514" i="6" s="1"/>
  <c r="P514" i="6" s="1"/>
  <c r="G515" i="6"/>
  <c r="N514" i="6"/>
  <c r="M515" i="6"/>
  <c r="F539" i="7"/>
  <c r="I539" i="7" s="1"/>
  <c r="J539" i="7" s="1"/>
  <c r="E540" i="7"/>
  <c r="G544" i="7"/>
  <c r="H543" i="7"/>
  <c r="G541" i="8"/>
  <c r="H540" i="8"/>
  <c r="L514" i="6"/>
  <c r="K515" i="6"/>
  <c r="E541" i="8"/>
  <c r="F540" i="8"/>
  <c r="I540" i="8" s="1"/>
  <c r="J540" i="8" s="1"/>
  <c r="I516" i="6"/>
  <c r="J515" i="6"/>
  <c r="G542" i="8" l="1"/>
  <c r="H541" i="8"/>
  <c r="E542" i="8"/>
  <c r="F541" i="8"/>
  <c r="I541" i="8" s="1"/>
  <c r="J541" i="8" s="1"/>
  <c r="G545" i="7"/>
  <c r="H544" i="7"/>
  <c r="E541" i="7"/>
  <c r="F540" i="7"/>
  <c r="I540" i="7" s="1"/>
  <c r="J540" i="7" s="1"/>
  <c r="M516" i="6"/>
  <c r="N515" i="6"/>
  <c r="G516" i="6"/>
  <c r="H515" i="6"/>
  <c r="O515" i="6" s="1"/>
  <c r="P515" i="6" s="1"/>
  <c r="K516" i="6"/>
  <c r="L515" i="6"/>
  <c r="J516" i="6"/>
  <c r="I517" i="6"/>
  <c r="N516" i="6" l="1"/>
  <c r="M517" i="6"/>
  <c r="F541" i="7"/>
  <c r="E542" i="7"/>
  <c r="I541" i="7"/>
  <c r="J541" i="7" s="1"/>
  <c r="K517" i="6"/>
  <c r="L516" i="6"/>
  <c r="H516" i="6"/>
  <c r="O516" i="6" s="1"/>
  <c r="P516" i="6" s="1"/>
  <c r="G517" i="6"/>
  <c r="G546" i="7"/>
  <c r="H545" i="7"/>
  <c r="I518" i="6"/>
  <c r="J517" i="6"/>
  <c r="E543" i="8"/>
  <c r="F542" i="8"/>
  <c r="I542" i="8" s="1"/>
  <c r="J542" i="8" s="1"/>
  <c r="G543" i="8"/>
  <c r="H542" i="8"/>
  <c r="G547" i="7" l="1"/>
  <c r="H546" i="7"/>
  <c r="G518" i="6"/>
  <c r="H517" i="6"/>
  <c r="O517" i="6" s="1"/>
  <c r="P517" i="6" s="1"/>
  <c r="F543" i="8"/>
  <c r="I543" i="8" s="1"/>
  <c r="J543" i="8" s="1"/>
  <c r="E544" i="8"/>
  <c r="L517" i="6"/>
  <c r="K518" i="6"/>
  <c r="F542" i="7"/>
  <c r="E543" i="7"/>
  <c r="I542" i="7"/>
  <c r="J542" i="7" s="1"/>
  <c r="J518" i="6"/>
  <c r="I519" i="6"/>
  <c r="G544" i="8"/>
  <c r="H543" i="8"/>
  <c r="N517" i="6"/>
  <c r="M518" i="6"/>
  <c r="J519" i="6" l="1"/>
  <c r="I520" i="6"/>
  <c r="F543" i="7"/>
  <c r="I543" i="7" s="1"/>
  <c r="J543" i="7" s="1"/>
  <c r="E544" i="7"/>
  <c r="K519" i="6"/>
  <c r="L518" i="6"/>
  <c r="E545" i="8"/>
  <c r="F544" i="8"/>
  <c r="I544" i="8" s="1"/>
  <c r="J544" i="8" s="1"/>
  <c r="G545" i="8"/>
  <c r="H544" i="8"/>
  <c r="M519" i="6"/>
  <c r="N518" i="6"/>
  <c r="H518" i="6"/>
  <c r="O518" i="6" s="1"/>
  <c r="P518" i="6" s="1"/>
  <c r="G519" i="6"/>
  <c r="G548" i="7"/>
  <c r="H547" i="7"/>
  <c r="F545" i="8" l="1"/>
  <c r="I545" i="8" s="1"/>
  <c r="J545" i="8" s="1"/>
  <c r="E546" i="8"/>
  <c r="N519" i="6"/>
  <c r="M520" i="6"/>
  <c r="H545" i="8"/>
  <c r="G546" i="8"/>
  <c r="F544" i="7"/>
  <c r="I544" i="7" s="1"/>
  <c r="J544" i="7" s="1"/>
  <c r="E545" i="7"/>
  <c r="L519" i="6"/>
  <c r="K520" i="6"/>
  <c r="G549" i="7"/>
  <c r="H548" i="7"/>
  <c r="J520" i="6"/>
  <c r="I521" i="6"/>
  <c r="G520" i="6"/>
  <c r="H519" i="6"/>
  <c r="O519" i="6" s="1"/>
  <c r="P519" i="6" s="1"/>
  <c r="J521" i="6" l="1"/>
  <c r="I522" i="6"/>
  <c r="G550" i="7"/>
  <c r="H549" i="7"/>
  <c r="K521" i="6"/>
  <c r="L520" i="6"/>
  <c r="F545" i="7"/>
  <c r="I545" i="7" s="1"/>
  <c r="J545" i="7" s="1"/>
  <c r="E546" i="7"/>
  <c r="G547" i="8"/>
  <c r="H546" i="8"/>
  <c r="N520" i="6"/>
  <c r="M521" i="6"/>
  <c r="E547" i="8"/>
  <c r="F546" i="8"/>
  <c r="I546" i="8" s="1"/>
  <c r="J546" i="8" s="1"/>
  <c r="H520" i="6"/>
  <c r="O520" i="6" s="1"/>
  <c r="P520" i="6" s="1"/>
  <c r="G521" i="6"/>
  <c r="N521" i="6" l="1"/>
  <c r="M522" i="6"/>
  <c r="H547" i="8"/>
  <c r="G548" i="8"/>
  <c r="I547" i="8"/>
  <c r="J547" i="8" s="1"/>
  <c r="E548" i="8"/>
  <c r="F547" i="8"/>
  <c r="F546" i="7"/>
  <c r="I546" i="7" s="1"/>
  <c r="J546" i="7" s="1"/>
  <c r="E547" i="7"/>
  <c r="L521" i="6"/>
  <c r="O521" i="6" s="1"/>
  <c r="P521" i="6" s="1"/>
  <c r="K522" i="6"/>
  <c r="G551" i="7"/>
  <c r="H550" i="7"/>
  <c r="G522" i="6"/>
  <c r="H521" i="6"/>
  <c r="J522" i="6"/>
  <c r="I523" i="6"/>
  <c r="F547" i="7" l="1"/>
  <c r="I547" i="7" s="1"/>
  <c r="J547" i="7" s="1"/>
  <c r="E548" i="7"/>
  <c r="F548" i="8"/>
  <c r="I548" i="8" s="1"/>
  <c r="J548" i="8" s="1"/>
  <c r="E549" i="8"/>
  <c r="H551" i="7"/>
  <c r="G552" i="7"/>
  <c r="G549" i="8"/>
  <c r="H548" i="8"/>
  <c r="M523" i="6"/>
  <c r="N522" i="6"/>
  <c r="H522" i="6"/>
  <c r="O522" i="6" s="1"/>
  <c r="P522" i="6" s="1"/>
  <c r="G523" i="6"/>
  <c r="L522" i="6"/>
  <c r="K523" i="6"/>
  <c r="I524" i="6"/>
  <c r="J523" i="6"/>
  <c r="G524" i="6" l="1"/>
  <c r="H523" i="6"/>
  <c r="O523" i="6" s="1"/>
  <c r="P523" i="6" s="1"/>
  <c r="N523" i="6"/>
  <c r="M524" i="6"/>
  <c r="G553" i="7"/>
  <c r="H552" i="7"/>
  <c r="E550" i="8"/>
  <c r="F549" i="8"/>
  <c r="I549" i="8" s="1"/>
  <c r="J549" i="8" s="1"/>
  <c r="G550" i="8"/>
  <c r="H549" i="8"/>
  <c r="I525" i="6"/>
  <c r="J524" i="6"/>
  <c r="F548" i="7"/>
  <c r="I548" i="7" s="1"/>
  <c r="J548" i="7" s="1"/>
  <c r="E549" i="7"/>
  <c r="L523" i="6"/>
  <c r="K524" i="6"/>
  <c r="H550" i="8" l="1"/>
  <c r="G551" i="8"/>
  <c r="F550" i="8"/>
  <c r="I550" i="8" s="1"/>
  <c r="J550" i="8" s="1"/>
  <c r="E551" i="8"/>
  <c r="H553" i="7"/>
  <c r="G554" i="7"/>
  <c r="M525" i="6"/>
  <c r="N524" i="6"/>
  <c r="J525" i="6"/>
  <c r="I526" i="6"/>
  <c r="K525" i="6"/>
  <c r="L524" i="6"/>
  <c r="F549" i="7"/>
  <c r="I549" i="7" s="1"/>
  <c r="J549" i="7" s="1"/>
  <c r="E550" i="7"/>
  <c r="H524" i="6"/>
  <c r="O524" i="6" s="1"/>
  <c r="P524" i="6" s="1"/>
  <c r="G525" i="6"/>
  <c r="I527" i="6" l="1"/>
  <c r="J526" i="6"/>
  <c r="E551" i="7"/>
  <c r="F550" i="7"/>
  <c r="I550" i="7" s="1"/>
  <c r="J550" i="7" s="1"/>
  <c r="N525" i="6"/>
  <c r="M526" i="6"/>
  <c r="G555" i="7"/>
  <c r="H554" i="7"/>
  <c r="E552" i="8"/>
  <c r="F551" i="8"/>
  <c r="I551" i="8" s="1"/>
  <c r="J551" i="8" s="1"/>
  <c r="L525" i="6"/>
  <c r="K526" i="6"/>
  <c r="H525" i="6"/>
  <c r="O525" i="6" s="1"/>
  <c r="P525" i="6" s="1"/>
  <c r="G526" i="6"/>
  <c r="G552" i="8"/>
  <c r="H551" i="8"/>
  <c r="K527" i="6" l="1"/>
  <c r="L526" i="6"/>
  <c r="F552" i="8"/>
  <c r="I552" i="8" s="1"/>
  <c r="J552" i="8" s="1"/>
  <c r="E553" i="8"/>
  <c r="H555" i="7"/>
  <c r="G556" i="7"/>
  <c r="G527" i="6"/>
  <c r="H526" i="6"/>
  <c r="O526" i="6" s="1"/>
  <c r="P526" i="6" s="1"/>
  <c r="N526" i="6"/>
  <c r="M527" i="6"/>
  <c r="F551" i="7"/>
  <c r="E552" i="7"/>
  <c r="I551" i="7"/>
  <c r="J551" i="7" s="1"/>
  <c r="G553" i="8"/>
  <c r="H552" i="8"/>
  <c r="J527" i="6"/>
  <c r="I528" i="6"/>
  <c r="G554" i="8" l="1"/>
  <c r="H553" i="8"/>
  <c r="E553" i="7"/>
  <c r="F552" i="7"/>
  <c r="I552" i="7" s="1"/>
  <c r="J552" i="7" s="1"/>
  <c r="M528" i="6"/>
  <c r="N527" i="6"/>
  <c r="G528" i="6"/>
  <c r="H527" i="6"/>
  <c r="O527" i="6" s="1"/>
  <c r="P527" i="6" s="1"/>
  <c r="G557" i="7"/>
  <c r="H556" i="7"/>
  <c r="F553" i="8"/>
  <c r="I553" i="8" s="1"/>
  <c r="J553" i="8" s="1"/>
  <c r="E554" i="8"/>
  <c r="J528" i="6"/>
  <c r="I529" i="6"/>
  <c r="L527" i="6"/>
  <c r="K528" i="6"/>
  <c r="H528" i="6" l="1"/>
  <c r="O528" i="6" s="1"/>
  <c r="P528" i="6" s="1"/>
  <c r="G529" i="6"/>
  <c r="H557" i="7"/>
  <c r="G558" i="7"/>
  <c r="N528" i="6"/>
  <c r="M529" i="6"/>
  <c r="E555" i="8"/>
  <c r="F554" i="8"/>
  <c r="I554" i="8" s="1"/>
  <c r="J554" i="8" s="1"/>
  <c r="K529" i="6"/>
  <c r="L528" i="6"/>
  <c r="F553" i="7"/>
  <c r="I553" i="7"/>
  <c r="J553" i="7" s="1"/>
  <c r="E554" i="7"/>
  <c r="J529" i="6"/>
  <c r="I530" i="6"/>
  <c r="H554" i="8"/>
  <c r="G555" i="8"/>
  <c r="F555" i="8" l="1"/>
  <c r="I555" i="8" s="1"/>
  <c r="J555" i="8" s="1"/>
  <c r="E556" i="8"/>
  <c r="N529" i="6"/>
  <c r="M530" i="6"/>
  <c r="L529" i="6"/>
  <c r="O529" i="6" s="1"/>
  <c r="P529" i="6" s="1"/>
  <c r="K530" i="6"/>
  <c r="H555" i="8"/>
  <c r="G556" i="8"/>
  <c r="E555" i="7"/>
  <c r="F554" i="7"/>
  <c r="I554" i="7" s="1"/>
  <c r="J554" i="7" s="1"/>
  <c r="G530" i="6"/>
  <c r="H529" i="6"/>
  <c r="G559" i="7"/>
  <c r="H558" i="7"/>
  <c r="I531" i="6"/>
  <c r="J530" i="6"/>
  <c r="F555" i="7" l="1"/>
  <c r="I555" i="7" s="1"/>
  <c r="J555" i="7" s="1"/>
  <c r="E556" i="7"/>
  <c r="G557" i="8"/>
  <c r="H556" i="8"/>
  <c r="K531" i="6"/>
  <c r="L530" i="6"/>
  <c r="G560" i="7"/>
  <c r="H559" i="7"/>
  <c r="H530" i="6"/>
  <c r="O530" i="6" s="1"/>
  <c r="P530" i="6" s="1"/>
  <c r="G531" i="6"/>
  <c r="M531" i="6"/>
  <c r="N530" i="6"/>
  <c r="E557" i="8"/>
  <c r="F556" i="8"/>
  <c r="I556" i="8" s="1"/>
  <c r="J556" i="8" s="1"/>
  <c r="J531" i="6"/>
  <c r="I532" i="6"/>
  <c r="E558" i="8" l="1"/>
  <c r="F557" i="8"/>
  <c r="I557" i="8" s="1"/>
  <c r="J557" i="8" s="1"/>
  <c r="G532" i="6"/>
  <c r="H531" i="6"/>
  <c r="O531" i="6" s="1"/>
  <c r="P531" i="6" s="1"/>
  <c r="G561" i="7"/>
  <c r="H560" i="7"/>
  <c r="N531" i="6"/>
  <c r="M532" i="6"/>
  <c r="L531" i="6"/>
  <c r="K532" i="6"/>
  <c r="G558" i="8"/>
  <c r="H557" i="8"/>
  <c r="I533" i="6"/>
  <c r="J532" i="6"/>
  <c r="E557" i="7"/>
  <c r="F556" i="7"/>
  <c r="I556" i="7"/>
  <c r="J556" i="7" s="1"/>
  <c r="K533" i="6" l="1"/>
  <c r="L532" i="6"/>
  <c r="J533" i="6"/>
  <c r="I534" i="6"/>
  <c r="M533" i="6"/>
  <c r="N532" i="6"/>
  <c r="G562" i="7"/>
  <c r="H561" i="7"/>
  <c r="H532" i="6"/>
  <c r="O532" i="6" s="1"/>
  <c r="P532" i="6" s="1"/>
  <c r="G533" i="6"/>
  <c r="G559" i="8"/>
  <c r="H558" i="8"/>
  <c r="F557" i="7"/>
  <c r="E558" i="7"/>
  <c r="I557" i="7"/>
  <c r="J557" i="7" s="1"/>
  <c r="E559" i="8"/>
  <c r="F558" i="8"/>
  <c r="I558" i="8" s="1"/>
  <c r="J558" i="8" s="1"/>
  <c r="F558" i="7" l="1"/>
  <c r="I558" i="7" s="1"/>
  <c r="J558" i="7" s="1"/>
  <c r="E559" i="7"/>
  <c r="G563" i="7"/>
  <c r="H562" i="7"/>
  <c r="H533" i="6"/>
  <c r="O533" i="6" s="1"/>
  <c r="P533" i="6" s="1"/>
  <c r="G534" i="6"/>
  <c r="M534" i="6"/>
  <c r="N533" i="6"/>
  <c r="G560" i="8"/>
  <c r="H559" i="8"/>
  <c r="J534" i="6"/>
  <c r="I535" i="6"/>
  <c r="F559" i="8"/>
  <c r="I559" i="8" s="1"/>
  <c r="J559" i="8" s="1"/>
  <c r="E560" i="8"/>
  <c r="L533" i="6"/>
  <c r="K534" i="6"/>
  <c r="E561" i="8" l="1"/>
  <c r="F560" i="8"/>
  <c r="I560" i="8" s="1"/>
  <c r="J560" i="8" s="1"/>
  <c r="I536" i="6"/>
  <c r="J535" i="6"/>
  <c r="G561" i="8"/>
  <c r="H560" i="8"/>
  <c r="G535" i="6"/>
  <c r="H534" i="6"/>
  <c r="O534" i="6" s="1"/>
  <c r="P534" i="6" s="1"/>
  <c r="N534" i="6"/>
  <c r="M535" i="6"/>
  <c r="G564" i="7"/>
  <c r="H563" i="7"/>
  <c r="L534" i="6"/>
  <c r="K535" i="6"/>
  <c r="F559" i="7"/>
  <c r="E560" i="7"/>
  <c r="I559" i="7"/>
  <c r="J559" i="7" s="1"/>
  <c r="L535" i="6" l="1"/>
  <c r="K536" i="6"/>
  <c r="G536" i="6"/>
  <c r="H535" i="6"/>
  <c r="O535" i="6" s="1"/>
  <c r="P535" i="6" s="1"/>
  <c r="N535" i="6"/>
  <c r="M536" i="6"/>
  <c r="G565" i="7"/>
  <c r="H564" i="7"/>
  <c r="J536" i="6"/>
  <c r="I537" i="6"/>
  <c r="F560" i="7"/>
  <c r="I560" i="7" s="1"/>
  <c r="J560" i="7" s="1"/>
  <c r="E561" i="7"/>
  <c r="F561" i="8"/>
  <c r="I561" i="8" s="1"/>
  <c r="J561" i="8" s="1"/>
  <c r="E562" i="8"/>
  <c r="H561" i="8"/>
  <c r="G562" i="8"/>
  <c r="J537" i="6" l="1"/>
  <c r="I538" i="6"/>
  <c r="G566" i="7"/>
  <c r="H565" i="7"/>
  <c r="M537" i="6"/>
  <c r="N536" i="6"/>
  <c r="F561" i="7"/>
  <c r="I561" i="7" s="1"/>
  <c r="J561" i="7" s="1"/>
  <c r="E562" i="7"/>
  <c r="G563" i="8"/>
  <c r="H562" i="8"/>
  <c r="H536" i="6"/>
  <c r="O536" i="6" s="1"/>
  <c r="P536" i="6" s="1"/>
  <c r="G537" i="6"/>
  <c r="K537" i="6"/>
  <c r="L536" i="6"/>
  <c r="E563" i="8"/>
  <c r="F562" i="8"/>
  <c r="I562" i="8" s="1"/>
  <c r="J562" i="8" s="1"/>
  <c r="H537" i="6" l="1"/>
  <c r="O537" i="6" s="1"/>
  <c r="P537" i="6" s="1"/>
  <c r="G538" i="6"/>
  <c r="H563" i="8"/>
  <c r="G564" i="8"/>
  <c r="I562" i="7"/>
  <c r="J562" i="7" s="1"/>
  <c r="F562" i="7"/>
  <c r="E563" i="7"/>
  <c r="L537" i="6"/>
  <c r="K538" i="6"/>
  <c r="N537" i="6"/>
  <c r="M538" i="6"/>
  <c r="G567" i="7"/>
  <c r="H566" i="7"/>
  <c r="E564" i="8"/>
  <c r="F563" i="8"/>
  <c r="I563" i="8" s="1"/>
  <c r="J563" i="8" s="1"/>
  <c r="I539" i="6"/>
  <c r="J538" i="6"/>
  <c r="F563" i="7" l="1"/>
  <c r="I563" i="7" s="1"/>
  <c r="J563" i="7" s="1"/>
  <c r="E564" i="7"/>
  <c r="E565" i="8"/>
  <c r="F564" i="8"/>
  <c r="I564" i="8" s="1"/>
  <c r="J564" i="8" s="1"/>
  <c r="H567" i="7"/>
  <c r="G568" i="7"/>
  <c r="K539" i="6"/>
  <c r="L538" i="6"/>
  <c r="M539" i="6"/>
  <c r="N538" i="6"/>
  <c r="G565" i="8"/>
  <c r="H564" i="8"/>
  <c r="G539" i="6"/>
  <c r="H538" i="6"/>
  <c r="O538" i="6" s="1"/>
  <c r="P538" i="6" s="1"/>
  <c r="J539" i="6"/>
  <c r="I540" i="6"/>
  <c r="L539" i="6" l="1"/>
  <c r="K540" i="6"/>
  <c r="G569" i="7"/>
  <c r="H568" i="7"/>
  <c r="G540" i="6"/>
  <c r="H539" i="6"/>
  <c r="O539" i="6" s="1"/>
  <c r="P539" i="6" s="1"/>
  <c r="E566" i="8"/>
  <c r="F565" i="8"/>
  <c r="I565" i="8" s="1"/>
  <c r="J565" i="8" s="1"/>
  <c r="G566" i="8"/>
  <c r="H565" i="8"/>
  <c r="N539" i="6"/>
  <c r="M540" i="6"/>
  <c r="I541" i="6"/>
  <c r="J540" i="6"/>
  <c r="F564" i="7"/>
  <c r="I564" i="7" s="1"/>
  <c r="J564" i="7" s="1"/>
  <c r="E565" i="7"/>
  <c r="N540" i="6" l="1"/>
  <c r="M541" i="6"/>
  <c r="F566" i="8"/>
  <c r="I566" i="8" s="1"/>
  <c r="J566" i="8" s="1"/>
  <c r="E567" i="8"/>
  <c r="H540" i="6"/>
  <c r="O540" i="6" s="1"/>
  <c r="P540" i="6" s="1"/>
  <c r="G541" i="6"/>
  <c r="H566" i="8"/>
  <c r="G567" i="8"/>
  <c r="F565" i="7"/>
  <c r="E566" i="7"/>
  <c r="I565" i="7"/>
  <c r="J565" i="7" s="1"/>
  <c r="H569" i="7"/>
  <c r="G570" i="7"/>
  <c r="K541" i="6"/>
  <c r="L540" i="6"/>
  <c r="I542" i="6"/>
  <c r="J541" i="6"/>
  <c r="L541" i="6" l="1"/>
  <c r="K542" i="6"/>
  <c r="E567" i="7"/>
  <c r="F566" i="7"/>
  <c r="I566" i="7" s="1"/>
  <c r="J566" i="7" s="1"/>
  <c r="G568" i="8"/>
  <c r="H567" i="8"/>
  <c r="H541" i="6"/>
  <c r="O541" i="6" s="1"/>
  <c r="P541" i="6" s="1"/>
  <c r="G542" i="6"/>
  <c r="G571" i="7"/>
  <c r="H570" i="7"/>
  <c r="N541" i="6"/>
  <c r="M542" i="6"/>
  <c r="E568" i="8"/>
  <c r="F567" i="8"/>
  <c r="I567" i="8" s="1"/>
  <c r="J567" i="8" s="1"/>
  <c r="J542" i="6"/>
  <c r="I543" i="6"/>
  <c r="H542" i="6" l="1"/>
  <c r="O542" i="6" s="1"/>
  <c r="P542" i="6" s="1"/>
  <c r="G543" i="6"/>
  <c r="N542" i="6"/>
  <c r="M543" i="6"/>
  <c r="H571" i="7"/>
  <c r="G572" i="7"/>
  <c r="G569" i="8"/>
  <c r="H568" i="8"/>
  <c r="F568" i="8"/>
  <c r="I568" i="8" s="1"/>
  <c r="J568" i="8" s="1"/>
  <c r="E569" i="8"/>
  <c r="J543" i="6"/>
  <c r="I544" i="6"/>
  <c r="F567" i="7"/>
  <c r="I567" i="7" s="1"/>
  <c r="J567" i="7" s="1"/>
  <c r="E568" i="7"/>
  <c r="K543" i="6"/>
  <c r="L542" i="6"/>
  <c r="F569" i="8" l="1"/>
  <c r="E570" i="8"/>
  <c r="G570" i="8"/>
  <c r="H569" i="8"/>
  <c r="I569" i="8" s="1"/>
  <c r="J569" i="8" s="1"/>
  <c r="G573" i="7"/>
  <c r="H572" i="7"/>
  <c r="I545" i="6"/>
  <c r="J544" i="6"/>
  <c r="N543" i="6"/>
  <c r="M544" i="6"/>
  <c r="G544" i="6"/>
  <c r="H543" i="6"/>
  <c r="O543" i="6" s="1"/>
  <c r="P543" i="6" s="1"/>
  <c r="E569" i="7"/>
  <c r="I568" i="7"/>
  <c r="J568" i="7" s="1"/>
  <c r="F568" i="7"/>
  <c r="L543" i="6"/>
  <c r="K544" i="6"/>
  <c r="F569" i="7" l="1"/>
  <c r="I569" i="7" s="1"/>
  <c r="J569" i="7" s="1"/>
  <c r="E570" i="7"/>
  <c r="J545" i="6"/>
  <c r="I546" i="6"/>
  <c r="M545" i="6"/>
  <c r="N544" i="6"/>
  <c r="H544" i="6"/>
  <c r="O544" i="6" s="1"/>
  <c r="P544" i="6" s="1"/>
  <c r="G545" i="6"/>
  <c r="H573" i="7"/>
  <c r="G574" i="7"/>
  <c r="H570" i="8"/>
  <c r="G571" i="8"/>
  <c r="E571" i="8"/>
  <c r="F570" i="8"/>
  <c r="I570" i="8" s="1"/>
  <c r="J570" i="8" s="1"/>
  <c r="K545" i="6"/>
  <c r="L544" i="6"/>
  <c r="F571" i="8" l="1"/>
  <c r="I571" i="8"/>
  <c r="J571" i="8" s="1"/>
  <c r="E572" i="8"/>
  <c r="G575" i="7"/>
  <c r="H574" i="7"/>
  <c r="H545" i="6"/>
  <c r="O545" i="6" s="1"/>
  <c r="P545" i="6" s="1"/>
  <c r="G546" i="6"/>
  <c r="H571" i="8"/>
  <c r="G572" i="8"/>
  <c r="N545" i="6"/>
  <c r="M546" i="6"/>
  <c r="I547" i="6"/>
  <c r="J546" i="6"/>
  <c r="E571" i="7"/>
  <c r="F570" i="7"/>
  <c r="I570" i="7" s="1"/>
  <c r="J570" i="7" s="1"/>
  <c r="L545" i="6"/>
  <c r="K546" i="6"/>
  <c r="N546" i="6" l="1"/>
  <c r="M547" i="6"/>
  <c r="G573" i="8"/>
  <c r="H572" i="8"/>
  <c r="G547" i="6"/>
  <c r="H546" i="6"/>
  <c r="F571" i="7"/>
  <c r="I571" i="7" s="1"/>
  <c r="J571" i="7" s="1"/>
  <c r="E572" i="7"/>
  <c r="G576" i="7"/>
  <c r="H575" i="7"/>
  <c r="J547" i="6"/>
  <c r="I548" i="6"/>
  <c r="L546" i="6"/>
  <c r="O546" i="6" s="1"/>
  <c r="P546" i="6" s="1"/>
  <c r="K547" i="6"/>
  <c r="E573" i="8"/>
  <c r="F572" i="8"/>
  <c r="I572" i="8" s="1"/>
  <c r="J572" i="8" s="1"/>
  <c r="K548" i="6" l="1"/>
  <c r="L547" i="6"/>
  <c r="E573" i="7"/>
  <c r="F572" i="7"/>
  <c r="I572" i="7" s="1"/>
  <c r="J572" i="7" s="1"/>
  <c r="G577" i="7"/>
  <c r="H576" i="7"/>
  <c r="G548" i="6"/>
  <c r="H547" i="6"/>
  <c r="O547" i="6" s="1"/>
  <c r="P547" i="6" s="1"/>
  <c r="J548" i="6"/>
  <c r="I549" i="6"/>
  <c r="H573" i="8"/>
  <c r="G574" i="8"/>
  <c r="E574" i="8"/>
  <c r="F573" i="8"/>
  <c r="I573" i="8" s="1"/>
  <c r="J573" i="8" s="1"/>
  <c r="M548" i="6"/>
  <c r="N547" i="6"/>
  <c r="H548" i="6" l="1"/>
  <c r="O548" i="6" s="1"/>
  <c r="P548" i="6" s="1"/>
  <c r="G549" i="6"/>
  <c r="E575" i="8"/>
  <c r="F574" i="8"/>
  <c r="I574" i="8" s="1"/>
  <c r="J574" i="8" s="1"/>
  <c r="G575" i="8"/>
  <c r="H574" i="8"/>
  <c r="I550" i="6"/>
  <c r="J549" i="6"/>
  <c r="G578" i="7"/>
  <c r="H577" i="7"/>
  <c r="N548" i="6"/>
  <c r="M549" i="6"/>
  <c r="F573" i="7"/>
  <c r="I573" i="7" s="1"/>
  <c r="J573" i="7" s="1"/>
  <c r="E574" i="7"/>
  <c r="K549" i="6"/>
  <c r="L548" i="6"/>
  <c r="G579" i="7" l="1"/>
  <c r="H578" i="7"/>
  <c r="J550" i="6"/>
  <c r="I551" i="6"/>
  <c r="N549" i="6"/>
  <c r="M550" i="6"/>
  <c r="G576" i="8"/>
  <c r="H575" i="8"/>
  <c r="F574" i="7"/>
  <c r="E575" i="7"/>
  <c r="I574" i="7"/>
  <c r="J574" i="7" s="1"/>
  <c r="F575" i="8"/>
  <c r="E576" i="8"/>
  <c r="I575" i="8"/>
  <c r="J575" i="8" s="1"/>
  <c r="L549" i="6"/>
  <c r="K550" i="6"/>
  <c r="G550" i="6"/>
  <c r="H549" i="6"/>
  <c r="O549" i="6" s="1"/>
  <c r="P549" i="6" s="1"/>
  <c r="F575" i="7" l="1"/>
  <c r="I575" i="7" s="1"/>
  <c r="J575" i="7" s="1"/>
  <c r="E576" i="7"/>
  <c r="E577" i="8"/>
  <c r="F576" i="8"/>
  <c r="I576" i="8" s="1"/>
  <c r="J576" i="8" s="1"/>
  <c r="G577" i="8"/>
  <c r="H576" i="8"/>
  <c r="N550" i="6"/>
  <c r="M551" i="6"/>
  <c r="J551" i="6"/>
  <c r="I552" i="6"/>
  <c r="K551" i="6"/>
  <c r="L550" i="6"/>
  <c r="H550" i="6"/>
  <c r="O550" i="6" s="1"/>
  <c r="P550" i="6" s="1"/>
  <c r="G551" i="6"/>
  <c r="G580" i="7"/>
  <c r="H579" i="7"/>
  <c r="J552" i="6" l="1"/>
  <c r="I553" i="6"/>
  <c r="H577" i="8"/>
  <c r="G578" i="8"/>
  <c r="F577" i="8"/>
  <c r="I577" i="8" s="1"/>
  <c r="J577" i="8" s="1"/>
  <c r="E578" i="8"/>
  <c r="L551" i="6"/>
  <c r="K552" i="6"/>
  <c r="M552" i="6"/>
  <c r="N551" i="6"/>
  <c r="G581" i="7"/>
  <c r="H580" i="7"/>
  <c r="F576" i="7"/>
  <c r="I576" i="7" s="1"/>
  <c r="J576" i="7" s="1"/>
  <c r="E577" i="7"/>
  <c r="G552" i="6"/>
  <c r="H551" i="6"/>
  <c r="O551" i="6" s="1"/>
  <c r="P551" i="6" s="1"/>
  <c r="N552" i="6" l="1"/>
  <c r="M553" i="6"/>
  <c r="K553" i="6"/>
  <c r="L552" i="6"/>
  <c r="G582" i="7"/>
  <c r="H581" i="7"/>
  <c r="E579" i="8"/>
  <c r="F578" i="8"/>
  <c r="I578" i="8" s="1"/>
  <c r="J578" i="8" s="1"/>
  <c r="G579" i="8"/>
  <c r="H578" i="8"/>
  <c r="F577" i="7"/>
  <c r="I577" i="7" s="1"/>
  <c r="J577" i="7" s="1"/>
  <c r="E578" i="7"/>
  <c r="I554" i="6"/>
  <c r="J553" i="6"/>
  <c r="H552" i="6"/>
  <c r="O552" i="6" s="1"/>
  <c r="P552" i="6" s="1"/>
  <c r="G553" i="6"/>
  <c r="G580" i="8" l="1"/>
  <c r="H579" i="8"/>
  <c r="E580" i="8"/>
  <c r="F579" i="8"/>
  <c r="I579" i="8" s="1"/>
  <c r="J579" i="8" s="1"/>
  <c r="J554" i="6"/>
  <c r="I555" i="6"/>
  <c r="I578" i="7"/>
  <c r="J578" i="7" s="1"/>
  <c r="F578" i="7"/>
  <c r="E579" i="7"/>
  <c r="G583" i="7"/>
  <c r="H582" i="7"/>
  <c r="G554" i="6"/>
  <c r="H553" i="6"/>
  <c r="L553" i="6"/>
  <c r="O553" i="6" s="1"/>
  <c r="P553" i="6" s="1"/>
  <c r="K554" i="6"/>
  <c r="M554" i="6"/>
  <c r="N553" i="6"/>
  <c r="F579" i="7" l="1"/>
  <c r="I579" i="7" s="1"/>
  <c r="J579" i="7" s="1"/>
  <c r="E580" i="7"/>
  <c r="H554" i="6"/>
  <c r="O554" i="6" s="1"/>
  <c r="P554" i="6" s="1"/>
  <c r="G555" i="6"/>
  <c r="H583" i="7"/>
  <c r="G584" i="7"/>
  <c r="I556" i="6"/>
  <c r="J555" i="6"/>
  <c r="F580" i="8"/>
  <c r="I580" i="8" s="1"/>
  <c r="J580" i="8" s="1"/>
  <c r="E581" i="8"/>
  <c r="N554" i="6"/>
  <c r="M555" i="6"/>
  <c r="L554" i="6"/>
  <c r="K555" i="6"/>
  <c r="H580" i="8"/>
  <c r="G581" i="8"/>
  <c r="J556" i="6" l="1"/>
  <c r="I557" i="6"/>
  <c r="G585" i="7"/>
  <c r="H584" i="7"/>
  <c r="E582" i="8"/>
  <c r="F581" i="8"/>
  <c r="K556" i="6"/>
  <c r="L555" i="6"/>
  <c r="G556" i="6"/>
  <c r="H555" i="6"/>
  <c r="O555" i="6" s="1"/>
  <c r="P555" i="6" s="1"/>
  <c r="N555" i="6"/>
  <c r="M556" i="6"/>
  <c r="G582" i="8"/>
  <c r="H581" i="8"/>
  <c r="I581" i="8" s="1"/>
  <c r="J581" i="8" s="1"/>
  <c r="E581" i="7"/>
  <c r="F580" i="7"/>
  <c r="I580" i="7" s="1"/>
  <c r="J580" i="7" s="1"/>
  <c r="H556" i="6" l="1"/>
  <c r="O556" i="6" s="1"/>
  <c r="P556" i="6" s="1"/>
  <c r="G557" i="6"/>
  <c r="H582" i="8"/>
  <c r="G583" i="8"/>
  <c r="K557" i="6"/>
  <c r="L556" i="6"/>
  <c r="M557" i="6"/>
  <c r="N556" i="6"/>
  <c r="E583" i="8"/>
  <c r="F582" i="8"/>
  <c r="I582" i="8" s="1"/>
  <c r="J582" i="8" s="1"/>
  <c r="H585" i="7"/>
  <c r="G586" i="7"/>
  <c r="J557" i="6"/>
  <c r="I558" i="6"/>
  <c r="F581" i="7"/>
  <c r="I581" i="7" s="1"/>
  <c r="J581" i="7" s="1"/>
  <c r="E582" i="7"/>
  <c r="E583" i="7" l="1"/>
  <c r="F582" i="7"/>
  <c r="I582" i="7" s="1"/>
  <c r="J582" i="7" s="1"/>
  <c r="J558" i="6"/>
  <c r="I559" i="6"/>
  <c r="E584" i="8"/>
  <c r="F583" i="8"/>
  <c r="I583" i="8" s="1"/>
  <c r="J583" i="8" s="1"/>
  <c r="N557" i="6"/>
  <c r="M558" i="6"/>
  <c r="G587" i="7"/>
  <c r="H586" i="7"/>
  <c r="L557" i="6"/>
  <c r="K558" i="6"/>
  <c r="G584" i="8"/>
  <c r="H583" i="8"/>
  <c r="H557" i="6"/>
  <c r="O557" i="6" s="1"/>
  <c r="P557" i="6" s="1"/>
  <c r="G558" i="6"/>
  <c r="G585" i="8" l="1"/>
  <c r="H584" i="8"/>
  <c r="L558" i="6"/>
  <c r="K559" i="6"/>
  <c r="N558" i="6"/>
  <c r="M559" i="6"/>
  <c r="F584" i="8"/>
  <c r="I584" i="8" s="1"/>
  <c r="J584" i="8" s="1"/>
  <c r="E585" i="8"/>
  <c r="H587" i="7"/>
  <c r="G588" i="7"/>
  <c r="I560" i="6"/>
  <c r="J559" i="6"/>
  <c r="G559" i="6"/>
  <c r="H558" i="6"/>
  <c r="O558" i="6" s="1"/>
  <c r="P558" i="6" s="1"/>
  <c r="F583" i="7"/>
  <c r="I583" i="7"/>
  <c r="J583" i="7" s="1"/>
  <c r="E584" i="7"/>
  <c r="G589" i="7" l="1"/>
  <c r="H588" i="7"/>
  <c r="F585" i="8"/>
  <c r="I585" i="8" s="1"/>
  <c r="J585" i="8" s="1"/>
  <c r="E586" i="8"/>
  <c r="J560" i="6"/>
  <c r="I561" i="6"/>
  <c r="M560" i="6"/>
  <c r="N559" i="6"/>
  <c r="K560" i="6"/>
  <c r="L559" i="6"/>
  <c r="E585" i="7"/>
  <c r="F584" i="7"/>
  <c r="I584" i="7" s="1"/>
  <c r="J584" i="7" s="1"/>
  <c r="G560" i="6"/>
  <c r="H559" i="6"/>
  <c r="O559" i="6" s="1"/>
  <c r="P559" i="6" s="1"/>
  <c r="G586" i="8"/>
  <c r="H585" i="8"/>
  <c r="K561" i="6" l="1"/>
  <c r="L560" i="6"/>
  <c r="N560" i="6"/>
  <c r="M561" i="6"/>
  <c r="I562" i="6"/>
  <c r="J561" i="6"/>
  <c r="F585" i="7"/>
  <c r="I585" i="7"/>
  <c r="J585" i="7" s="1"/>
  <c r="E586" i="7"/>
  <c r="H560" i="6"/>
  <c r="O560" i="6" s="1"/>
  <c r="P560" i="6" s="1"/>
  <c r="G561" i="6"/>
  <c r="E587" i="8"/>
  <c r="F586" i="8"/>
  <c r="I586" i="8" s="1"/>
  <c r="J586" i="8" s="1"/>
  <c r="H586" i="8"/>
  <c r="G587" i="8"/>
  <c r="G590" i="7"/>
  <c r="H589" i="7"/>
  <c r="E587" i="7" l="1"/>
  <c r="F586" i="7"/>
  <c r="I586" i="7" s="1"/>
  <c r="J586" i="7" s="1"/>
  <c r="F587" i="8"/>
  <c r="I587" i="8" s="1"/>
  <c r="J587" i="8" s="1"/>
  <c r="E588" i="8"/>
  <c r="G562" i="6"/>
  <c r="H561" i="6"/>
  <c r="O561" i="6" s="1"/>
  <c r="P561" i="6" s="1"/>
  <c r="J562" i="6"/>
  <c r="I563" i="6"/>
  <c r="N561" i="6"/>
  <c r="M562" i="6"/>
  <c r="G591" i="7"/>
  <c r="H590" i="7"/>
  <c r="G588" i="8"/>
  <c r="H587" i="8"/>
  <c r="L561" i="6"/>
  <c r="K562" i="6"/>
  <c r="J563" i="6" l="1"/>
  <c r="I564" i="6"/>
  <c r="K563" i="6"/>
  <c r="L562" i="6"/>
  <c r="O562" i="6" s="1"/>
  <c r="P562" i="6" s="1"/>
  <c r="H588" i="8"/>
  <c r="G589" i="8"/>
  <c r="G592" i="7"/>
  <c r="H591" i="7"/>
  <c r="H562" i="6"/>
  <c r="G563" i="6"/>
  <c r="M563" i="6"/>
  <c r="N562" i="6"/>
  <c r="E589" i="8"/>
  <c r="F588" i="8"/>
  <c r="I588" i="8" s="1"/>
  <c r="J588" i="8" s="1"/>
  <c r="F587" i="7"/>
  <c r="I587" i="7" s="1"/>
  <c r="J587" i="7" s="1"/>
  <c r="E588" i="7"/>
  <c r="E590" i="8" l="1"/>
  <c r="F589" i="8"/>
  <c r="I589" i="8" s="1"/>
  <c r="J589" i="8" s="1"/>
  <c r="G593" i="7"/>
  <c r="H592" i="7"/>
  <c r="N563" i="6"/>
  <c r="M564" i="6"/>
  <c r="L563" i="6"/>
  <c r="K564" i="6"/>
  <c r="G564" i="6"/>
  <c r="H563" i="6"/>
  <c r="O563" i="6" s="1"/>
  <c r="P563" i="6" s="1"/>
  <c r="H589" i="8"/>
  <c r="G590" i="8"/>
  <c r="E589" i="7"/>
  <c r="I588" i="7"/>
  <c r="J588" i="7" s="1"/>
  <c r="F588" i="7"/>
  <c r="J564" i="6"/>
  <c r="I565" i="6"/>
  <c r="F589" i="7" l="1"/>
  <c r="I589" i="7" s="1"/>
  <c r="J589" i="7" s="1"/>
  <c r="E590" i="7"/>
  <c r="G591" i="8"/>
  <c r="H590" i="8"/>
  <c r="H564" i="6"/>
  <c r="O564" i="6" s="1"/>
  <c r="P564" i="6" s="1"/>
  <c r="G565" i="6"/>
  <c r="K565" i="6"/>
  <c r="L564" i="6"/>
  <c r="M565" i="6"/>
  <c r="N564" i="6"/>
  <c r="G594" i="7"/>
  <c r="H593" i="7"/>
  <c r="I566" i="6"/>
  <c r="J565" i="6"/>
  <c r="E591" i="8"/>
  <c r="F590" i="8"/>
  <c r="I590" i="8" s="1"/>
  <c r="J590" i="8" s="1"/>
  <c r="G595" i="7" l="1"/>
  <c r="H594" i="7"/>
  <c r="M566" i="6"/>
  <c r="N565" i="6"/>
  <c r="L565" i="6"/>
  <c r="O565" i="6" s="1"/>
  <c r="P565" i="6" s="1"/>
  <c r="K566" i="6"/>
  <c r="H565" i="6"/>
  <c r="G566" i="6"/>
  <c r="H591" i="8"/>
  <c r="G592" i="8"/>
  <c r="J566" i="6"/>
  <c r="I567" i="6"/>
  <c r="F591" i="8"/>
  <c r="I591" i="8" s="1"/>
  <c r="J591" i="8" s="1"/>
  <c r="E592" i="8"/>
  <c r="F590" i="7"/>
  <c r="E591" i="7"/>
  <c r="I590" i="7"/>
  <c r="J590" i="7" s="1"/>
  <c r="I568" i="6" l="1"/>
  <c r="J567" i="6"/>
  <c r="E593" i="8"/>
  <c r="F592" i="8"/>
  <c r="I592" i="8" s="1"/>
  <c r="J592" i="8" s="1"/>
  <c r="H566" i="6"/>
  <c r="O566" i="6" s="1"/>
  <c r="P566" i="6" s="1"/>
  <c r="G567" i="6"/>
  <c r="K567" i="6"/>
  <c r="L566" i="6"/>
  <c r="N566" i="6"/>
  <c r="M567" i="6"/>
  <c r="G593" i="8"/>
  <c r="H592" i="8"/>
  <c r="F591" i="7"/>
  <c r="I591" i="7" s="1"/>
  <c r="J591" i="7" s="1"/>
  <c r="E592" i="7"/>
  <c r="G596" i="7"/>
  <c r="H595" i="7"/>
  <c r="K568" i="6" l="1"/>
  <c r="L567" i="6"/>
  <c r="G568" i="6"/>
  <c r="H567" i="6"/>
  <c r="O567" i="6" s="1"/>
  <c r="P567" i="6" s="1"/>
  <c r="H593" i="8"/>
  <c r="G594" i="8"/>
  <c r="F592" i="7"/>
  <c r="I592" i="7" s="1"/>
  <c r="J592" i="7" s="1"/>
  <c r="E593" i="7"/>
  <c r="E594" i="8"/>
  <c r="F593" i="8"/>
  <c r="I593" i="8" s="1"/>
  <c r="J593" i="8" s="1"/>
  <c r="N567" i="6"/>
  <c r="M568" i="6"/>
  <c r="G597" i="7"/>
  <c r="H596" i="7"/>
  <c r="J568" i="6"/>
  <c r="I569" i="6"/>
  <c r="G598" i="7" l="1"/>
  <c r="H597" i="7"/>
  <c r="H594" i="8"/>
  <c r="G595" i="8"/>
  <c r="F594" i="8"/>
  <c r="I594" i="8" s="1"/>
  <c r="J594" i="8" s="1"/>
  <c r="E595" i="8"/>
  <c r="F593" i="7"/>
  <c r="I593" i="7" s="1"/>
  <c r="J593" i="7" s="1"/>
  <c r="E594" i="7"/>
  <c r="I570" i="6"/>
  <c r="J569" i="6"/>
  <c r="H568" i="6"/>
  <c r="G569" i="6"/>
  <c r="O568" i="6"/>
  <c r="P568" i="6" s="1"/>
  <c r="M569" i="6"/>
  <c r="N568" i="6"/>
  <c r="K569" i="6"/>
  <c r="L568" i="6"/>
  <c r="F594" i="7" l="1"/>
  <c r="I594" i="7" s="1"/>
  <c r="J594" i="7" s="1"/>
  <c r="E595" i="7"/>
  <c r="E596" i="8"/>
  <c r="F595" i="8"/>
  <c r="I595" i="8" s="1"/>
  <c r="J595" i="8" s="1"/>
  <c r="G570" i="6"/>
  <c r="H569" i="6"/>
  <c r="O569" i="6" s="1"/>
  <c r="P569" i="6" s="1"/>
  <c r="N569" i="6"/>
  <c r="M570" i="6"/>
  <c r="I571" i="6"/>
  <c r="J570" i="6"/>
  <c r="G596" i="8"/>
  <c r="H595" i="8"/>
  <c r="L569" i="6"/>
  <c r="K570" i="6"/>
  <c r="G599" i="7"/>
  <c r="H598" i="7"/>
  <c r="I572" i="6" l="1"/>
  <c r="J571" i="6"/>
  <c r="G571" i="6"/>
  <c r="H570" i="6"/>
  <c r="O570" i="6" s="1"/>
  <c r="P570" i="6" s="1"/>
  <c r="M571" i="6"/>
  <c r="N570" i="6"/>
  <c r="F596" i="8"/>
  <c r="I596" i="8" s="1"/>
  <c r="J596" i="8" s="1"/>
  <c r="E597" i="8"/>
  <c r="H596" i="8"/>
  <c r="G597" i="8"/>
  <c r="F595" i="7"/>
  <c r="I595" i="7" s="1"/>
  <c r="J595" i="7" s="1"/>
  <c r="E596" i="7"/>
  <c r="H599" i="7"/>
  <c r="G600" i="7"/>
  <c r="K571" i="6"/>
  <c r="L570" i="6"/>
  <c r="E598" i="8" l="1"/>
  <c r="F597" i="8"/>
  <c r="I597" i="8" s="1"/>
  <c r="J597" i="8" s="1"/>
  <c r="M572" i="6"/>
  <c r="N571" i="6"/>
  <c r="H597" i="8"/>
  <c r="G598" i="8"/>
  <c r="H571" i="6"/>
  <c r="O571" i="6" s="1"/>
  <c r="P571" i="6" s="1"/>
  <c r="G572" i="6"/>
  <c r="E597" i="7"/>
  <c r="F596" i="7"/>
  <c r="I596" i="7" s="1"/>
  <c r="J596" i="7" s="1"/>
  <c r="L571" i="6"/>
  <c r="K572" i="6"/>
  <c r="G601" i="7"/>
  <c r="H600" i="7"/>
  <c r="I573" i="6"/>
  <c r="J572" i="6"/>
  <c r="K573" i="6" l="1"/>
  <c r="L572" i="6"/>
  <c r="H601" i="7"/>
  <c r="G602" i="7"/>
  <c r="F597" i="7"/>
  <c r="I597" i="7" s="1"/>
  <c r="J597" i="7" s="1"/>
  <c r="E598" i="7"/>
  <c r="H572" i="6"/>
  <c r="G573" i="6"/>
  <c r="O572" i="6"/>
  <c r="P572" i="6" s="1"/>
  <c r="H598" i="8"/>
  <c r="G599" i="8"/>
  <c r="N572" i="6"/>
  <c r="M573" i="6"/>
  <c r="J573" i="6"/>
  <c r="I574" i="6"/>
  <c r="E599" i="8"/>
  <c r="F598" i="8"/>
  <c r="I598" i="8" s="1"/>
  <c r="J598" i="8" s="1"/>
  <c r="G574" i="6" l="1"/>
  <c r="H573" i="6"/>
  <c r="O573" i="6" s="1"/>
  <c r="P573" i="6" s="1"/>
  <c r="J574" i="6"/>
  <c r="I575" i="6"/>
  <c r="E599" i="7"/>
  <c r="F598" i="7"/>
  <c r="I598" i="7" s="1"/>
  <c r="J598" i="7" s="1"/>
  <c r="M574" i="6"/>
  <c r="N573" i="6"/>
  <c r="G603" i="7"/>
  <c r="H602" i="7"/>
  <c r="G600" i="8"/>
  <c r="H599" i="8"/>
  <c r="I599" i="8" s="1"/>
  <c r="J599" i="8" s="1"/>
  <c r="E600" i="8"/>
  <c r="F599" i="8"/>
  <c r="L573" i="6"/>
  <c r="K574" i="6"/>
  <c r="H603" i="7" l="1"/>
  <c r="G604" i="7"/>
  <c r="N574" i="6"/>
  <c r="M575" i="6"/>
  <c r="H600" i="8"/>
  <c r="G601" i="8"/>
  <c r="F599" i="7"/>
  <c r="I599" i="7" s="1"/>
  <c r="J599" i="7" s="1"/>
  <c r="E600" i="7"/>
  <c r="I576" i="6"/>
  <c r="J575" i="6"/>
  <c r="E601" i="8"/>
  <c r="F600" i="8"/>
  <c r="I600" i="8" s="1"/>
  <c r="J600" i="8" s="1"/>
  <c r="K575" i="6"/>
  <c r="L574" i="6"/>
  <c r="H574" i="6"/>
  <c r="O574" i="6" s="1"/>
  <c r="P574" i="6" s="1"/>
  <c r="G575" i="6"/>
  <c r="L575" i="6" l="1"/>
  <c r="K576" i="6"/>
  <c r="F601" i="8"/>
  <c r="I601" i="8" s="1"/>
  <c r="J601" i="8" s="1"/>
  <c r="E602" i="8"/>
  <c r="E601" i="7"/>
  <c r="F600" i="7"/>
  <c r="I600" i="7" s="1"/>
  <c r="J600" i="7" s="1"/>
  <c r="G602" i="8"/>
  <c r="H601" i="8"/>
  <c r="J576" i="6"/>
  <c r="I577" i="6"/>
  <c r="M576" i="6"/>
  <c r="N575" i="6"/>
  <c r="G576" i="6"/>
  <c r="O575" i="6"/>
  <c r="P575" i="6" s="1"/>
  <c r="H575" i="6"/>
  <c r="G605" i="7"/>
  <c r="H604" i="7"/>
  <c r="G603" i="8" l="1"/>
  <c r="H602" i="8"/>
  <c r="M577" i="6"/>
  <c r="N576" i="6"/>
  <c r="I578" i="6"/>
  <c r="J577" i="6"/>
  <c r="F601" i="7"/>
  <c r="I601" i="7" s="1"/>
  <c r="J601" i="7" s="1"/>
  <c r="E602" i="7"/>
  <c r="E603" i="8"/>
  <c r="F602" i="8"/>
  <c r="I602" i="8" s="1"/>
  <c r="J602" i="8" s="1"/>
  <c r="G606" i="7"/>
  <c r="H605" i="7"/>
  <c r="K577" i="6"/>
  <c r="L576" i="6"/>
  <c r="O576" i="6" s="1"/>
  <c r="P576" i="6" s="1"/>
  <c r="H576" i="6"/>
  <c r="G577" i="6"/>
  <c r="G607" i="7" l="1"/>
  <c r="H606" i="7"/>
  <c r="F603" i="8"/>
  <c r="I603" i="8" s="1"/>
  <c r="J603" i="8" s="1"/>
  <c r="E604" i="8"/>
  <c r="L577" i="6"/>
  <c r="O577" i="6" s="1"/>
  <c r="P577" i="6" s="1"/>
  <c r="K578" i="6"/>
  <c r="J578" i="6"/>
  <c r="I579" i="6"/>
  <c r="G578" i="6"/>
  <c r="H577" i="6"/>
  <c r="N577" i="6"/>
  <c r="M578" i="6"/>
  <c r="E603" i="7"/>
  <c r="I602" i="7"/>
  <c r="J602" i="7" s="1"/>
  <c r="F602" i="7"/>
  <c r="H603" i="8"/>
  <c r="G604" i="8"/>
  <c r="F603" i="7" l="1"/>
  <c r="I603" i="7" s="1"/>
  <c r="J603" i="7" s="1"/>
  <c r="E604" i="7"/>
  <c r="H578" i="6"/>
  <c r="O578" i="6" s="1"/>
  <c r="P578" i="6" s="1"/>
  <c r="G579" i="6"/>
  <c r="J579" i="6"/>
  <c r="I580" i="6"/>
  <c r="K579" i="6"/>
  <c r="L578" i="6"/>
  <c r="E605" i="8"/>
  <c r="F604" i="8"/>
  <c r="I604" i="8" s="1"/>
  <c r="J604" i="8" s="1"/>
  <c r="M579" i="6"/>
  <c r="N578" i="6"/>
  <c r="G605" i="8"/>
  <c r="H604" i="8"/>
  <c r="G608" i="7"/>
  <c r="H607" i="7"/>
  <c r="K580" i="6" l="1"/>
  <c r="L579" i="6"/>
  <c r="J580" i="6"/>
  <c r="I581" i="6"/>
  <c r="N579" i="6"/>
  <c r="M580" i="6"/>
  <c r="E606" i="8"/>
  <c r="F605" i="8"/>
  <c r="I605" i="8" s="1"/>
  <c r="J605" i="8" s="1"/>
  <c r="H605" i="8"/>
  <c r="G606" i="8"/>
  <c r="G580" i="6"/>
  <c r="H579" i="6"/>
  <c r="O579" i="6" s="1"/>
  <c r="P579" i="6" s="1"/>
  <c r="G609" i="7"/>
  <c r="H608" i="7"/>
  <c r="E605" i="7"/>
  <c r="F604" i="7"/>
  <c r="I604" i="7" s="1"/>
  <c r="J604" i="7" s="1"/>
  <c r="F606" i="8" l="1"/>
  <c r="I606" i="8" s="1"/>
  <c r="J606" i="8" s="1"/>
  <c r="E607" i="8"/>
  <c r="G610" i="7"/>
  <c r="H609" i="7"/>
  <c r="M581" i="6"/>
  <c r="N580" i="6"/>
  <c r="I582" i="6"/>
  <c r="J581" i="6"/>
  <c r="H580" i="6"/>
  <c r="O580" i="6" s="1"/>
  <c r="P580" i="6" s="1"/>
  <c r="G581" i="6"/>
  <c r="G607" i="8"/>
  <c r="H606" i="8"/>
  <c r="F605" i="7"/>
  <c r="I605" i="7" s="1"/>
  <c r="J605" i="7" s="1"/>
  <c r="E606" i="7"/>
  <c r="L580" i="6"/>
  <c r="K581" i="6"/>
  <c r="F606" i="7" l="1"/>
  <c r="I606" i="7" s="1"/>
  <c r="J606" i="7" s="1"/>
  <c r="E607" i="7"/>
  <c r="H581" i="6"/>
  <c r="G582" i="6"/>
  <c r="J582" i="6"/>
  <c r="I583" i="6"/>
  <c r="H607" i="8"/>
  <c r="I607" i="8" s="1"/>
  <c r="J607" i="8" s="1"/>
  <c r="G608" i="8"/>
  <c r="M582" i="6"/>
  <c r="N581" i="6"/>
  <c r="G611" i="7"/>
  <c r="H610" i="7"/>
  <c r="L581" i="6"/>
  <c r="O581" i="6" s="1"/>
  <c r="P581" i="6" s="1"/>
  <c r="K582" i="6"/>
  <c r="E608" i="8"/>
  <c r="F607" i="8"/>
  <c r="J583" i="6" l="1"/>
  <c r="I584" i="6"/>
  <c r="G612" i="7"/>
  <c r="H611" i="7"/>
  <c r="G609" i="8"/>
  <c r="H608" i="8"/>
  <c r="L582" i="6"/>
  <c r="K583" i="6"/>
  <c r="N582" i="6"/>
  <c r="M583" i="6"/>
  <c r="H582" i="6"/>
  <c r="O582" i="6" s="1"/>
  <c r="P582" i="6" s="1"/>
  <c r="G583" i="6"/>
  <c r="F608" i="8"/>
  <c r="I608" i="8" s="1"/>
  <c r="J608" i="8" s="1"/>
  <c r="E609" i="8"/>
  <c r="F607" i="7"/>
  <c r="I607" i="7" s="1"/>
  <c r="J607" i="7" s="1"/>
  <c r="E608" i="7"/>
  <c r="E610" i="8" l="1"/>
  <c r="F609" i="8"/>
  <c r="I609" i="8" s="1"/>
  <c r="J609" i="8" s="1"/>
  <c r="L583" i="6"/>
  <c r="K584" i="6"/>
  <c r="H583" i="6"/>
  <c r="O583" i="6" s="1"/>
  <c r="P583" i="6" s="1"/>
  <c r="G584" i="6"/>
  <c r="G610" i="8"/>
  <c r="H609" i="8"/>
  <c r="G613" i="7"/>
  <c r="H612" i="7"/>
  <c r="N583" i="6"/>
  <c r="M584" i="6"/>
  <c r="F608" i="7"/>
  <c r="I608" i="7" s="1"/>
  <c r="J608" i="7" s="1"/>
  <c r="E609" i="7"/>
  <c r="I585" i="6"/>
  <c r="J584" i="6"/>
  <c r="N584" i="6" l="1"/>
  <c r="M585" i="6"/>
  <c r="H610" i="8"/>
  <c r="G611" i="8"/>
  <c r="H584" i="6"/>
  <c r="O584" i="6" s="1"/>
  <c r="P584" i="6" s="1"/>
  <c r="G585" i="6"/>
  <c r="K585" i="6"/>
  <c r="L584" i="6"/>
  <c r="J585" i="6"/>
  <c r="I586" i="6"/>
  <c r="F610" i="8"/>
  <c r="I610" i="8" s="1"/>
  <c r="J610" i="8" s="1"/>
  <c r="E611" i="8"/>
  <c r="G614" i="7"/>
  <c r="H613" i="7"/>
  <c r="F609" i="7"/>
  <c r="I609" i="7" s="1"/>
  <c r="J609" i="7" s="1"/>
  <c r="E610" i="7"/>
  <c r="I587" i="6" l="1"/>
  <c r="J586" i="6"/>
  <c r="L585" i="6"/>
  <c r="K586" i="6"/>
  <c r="E612" i="8"/>
  <c r="F611" i="8"/>
  <c r="G615" i="7"/>
  <c r="H614" i="7"/>
  <c r="H585" i="6"/>
  <c r="O585" i="6" s="1"/>
  <c r="P585" i="6" s="1"/>
  <c r="G586" i="6"/>
  <c r="G612" i="8"/>
  <c r="H611" i="8"/>
  <c r="I611" i="8" s="1"/>
  <c r="J611" i="8" s="1"/>
  <c r="I610" i="7"/>
  <c r="J610" i="7" s="1"/>
  <c r="F610" i="7"/>
  <c r="E611" i="7"/>
  <c r="M586" i="6"/>
  <c r="N585" i="6"/>
  <c r="H615" i="7" l="1"/>
  <c r="G616" i="7"/>
  <c r="G613" i="8"/>
  <c r="H612" i="8"/>
  <c r="G587" i="6"/>
  <c r="H586" i="6"/>
  <c r="E613" i="8"/>
  <c r="F612" i="8"/>
  <c r="I612" i="8" s="1"/>
  <c r="J612" i="8" s="1"/>
  <c r="L586" i="6"/>
  <c r="O586" i="6" s="1"/>
  <c r="P586" i="6" s="1"/>
  <c r="K587" i="6"/>
  <c r="N586" i="6"/>
  <c r="M587" i="6"/>
  <c r="F611" i="7"/>
  <c r="I611" i="7" s="1"/>
  <c r="J611" i="7" s="1"/>
  <c r="E612" i="7"/>
  <c r="I588" i="6"/>
  <c r="J587" i="6"/>
  <c r="E613" i="7" l="1"/>
  <c r="F612" i="7"/>
  <c r="I612" i="7" s="1"/>
  <c r="J612" i="7" s="1"/>
  <c r="F613" i="8"/>
  <c r="I613" i="8" s="1"/>
  <c r="J613" i="8" s="1"/>
  <c r="E614" i="8"/>
  <c r="M588" i="6"/>
  <c r="N587" i="6"/>
  <c r="K588" i="6"/>
  <c r="L587" i="6"/>
  <c r="G588" i="6"/>
  <c r="H587" i="6"/>
  <c r="O587" i="6" s="1"/>
  <c r="P587" i="6" s="1"/>
  <c r="G614" i="8"/>
  <c r="H613" i="8"/>
  <c r="J588" i="6"/>
  <c r="I589" i="6"/>
  <c r="G617" i="7"/>
  <c r="H616" i="7"/>
  <c r="L588" i="6" l="1"/>
  <c r="K589" i="6"/>
  <c r="M589" i="6"/>
  <c r="N588" i="6"/>
  <c r="G615" i="8"/>
  <c r="H614" i="8"/>
  <c r="H588" i="6"/>
  <c r="O588" i="6" s="1"/>
  <c r="P588" i="6" s="1"/>
  <c r="G589" i="6"/>
  <c r="E615" i="8"/>
  <c r="F614" i="8"/>
  <c r="I614" i="8" s="1"/>
  <c r="J614" i="8" s="1"/>
  <c r="H617" i="7"/>
  <c r="G618" i="7"/>
  <c r="J589" i="6"/>
  <c r="I590" i="6"/>
  <c r="F613" i="7"/>
  <c r="I613" i="7" s="1"/>
  <c r="J613" i="7" s="1"/>
  <c r="E614" i="7"/>
  <c r="F615" i="8" l="1"/>
  <c r="I615" i="8" s="1"/>
  <c r="J615" i="8" s="1"/>
  <c r="E616" i="8"/>
  <c r="G619" i="7"/>
  <c r="H618" i="7"/>
  <c r="H589" i="6"/>
  <c r="G590" i="6"/>
  <c r="H615" i="8"/>
  <c r="G616" i="8"/>
  <c r="N589" i="6"/>
  <c r="M590" i="6"/>
  <c r="E615" i="7"/>
  <c r="F614" i="7"/>
  <c r="I614" i="7" s="1"/>
  <c r="J614" i="7" s="1"/>
  <c r="L589" i="6"/>
  <c r="O589" i="6" s="1"/>
  <c r="P589" i="6" s="1"/>
  <c r="K590" i="6"/>
  <c r="I591" i="6"/>
  <c r="J590" i="6"/>
  <c r="G591" i="6" l="1"/>
  <c r="H590" i="6"/>
  <c r="O590" i="6" s="1"/>
  <c r="P590" i="6" s="1"/>
  <c r="G617" i="8"/>
  <c r="H616" i="8"/>
  <c r="M591" i="6"/>
  <c r="N590" i="6"/>
  <c r="F615" i="7"/>
  <c r="I615" i="7"/>
  <c r="J615" i="7" s="1"/>
  <c r="E616" i="7"/>
  <c r="G620" i="7"/>
  <c r="H619" i="7"/>
  <c r="E617" i="8"/>
  <c r="F616" i="8"/>
  <c r="I616" i="8" s="1"/>
  <c r="J616" i="8" s="1"/>
  <c r="I592" i="6"/>
  <c r="J591" i="6"/>
  <c r="L590" i="6"/>
  <c r="K591" i="6"/>
  <c r="J592" i="6" l="1"/>
  <c r="I593" i="6"/>
  <c r="E617" i="7"/>
  <c r="F616" i="7"/>
  <c r="I616" i="7" s="1"/>
  <c r="J616" i="7" s="1"/>
  <c r="M592" i="6"/>
  <c r="N591" i="6"/>
  <c r="H620" i="7"/>
  <c r="G621" i="7"/>
  <c r="H617" i="8"/>
  <c r="G618" i="8"/>
  <c r="E618" i="8"/>
  <c r="F617" i="8"/>
  <c r="I617" i="8" s="1"/>
  <c r="J617" i="8" s="1"/>
  <c r="K592" i="6"/>
  <c r="L591" i="6"/>
  <c r="H591" i="6"/>
  <c r="O591" i="6" s="1"/>
  <c r="P591" i="6" s="1"/>
  <c r="G592" i="6"/>
  <c r="G619" i="8" l="1"/>
  <c r="H618" i="8"/>
  <c r="G622" i="7"/>
  <c r="H621" i="7"/>
  <c r="I618" i="8"/>
  <c r="J618" i="8" s="1"/>
  <c r="F618" i="8"/>
  <c r="E619" i="8"/>
  <c r="L592" i="6"/>
  <c r="K593" i="6"/>
  <c r="N592" i="6"/>
  <c r="M593" i="6"/>
  <c r="E618" i="7"/>
  <c r="F617" i="7"/>
  <c r="I617" i="7" s="1"/>
  <c r="J617" i="7" s="1"/>
  <c r="H592" i="6"/>
  <c r="O592" i="6" s="1"/>
  <c r="P592" i="6" s="1"/>
  <c r="G593" i="6"/>
  <c r="I594" i="6"/>
  <c r="J593" i="6"/>
  <c r="G594" i="6" l="1"/>
  <c r="H593" i="6"/>
  <c r="O593" i="6" s="1"/>
  <c r="P593" i="6" s="1"/>
  <c r="E619" i="7"/>
  <c r="F618" i="7"/>
  <c r="I618" i="7" s="1"/>
  <c r="J618" i="7" s="1"/>
  <c r="N593" i="6"/>
  <c r="M594" i="6"/>
  <c r="L593" i="6"/>
  <c r="K594" i="6"/>
  <c r="E620" i="8"/>
  <c r="F619" i="8"/>
  <c r="I619" i="8" s="1"/>
  <c r="J619" i="8" s="1"/>
  <c r="G623" i="7"/>
  <c r="H622" i="7"/>
  <c r="I595" i="6"/>
  <c r="J594" i="6"/>
  <c r="G620" i="8"/>
  <c r="H619" i="8"/>
  <c r="G624" i="7" l="1"/>
  <c r="H623" i="7"/>
  <c r="J595" i="6"/>
  <c r="I596" i="6"/>
  <c r="M595" i="6"/>
  <c r="N594" i="6"/>
  <c r="K595" i="6"/>
  <c r="L594" i="6"/>
  <c r="E620" i="7"/>
  <c r="F619" i="7"/>
  <c r="I619" i="7" s="1"/>
  <c r="J619" i="7" s="1"/>
  <c r="F620" i="8"/>
  <c r="I620" i="8" s="1"/>
  <c r="J620" i="8" s="1"/>
  <c r="E621" i="8"/>
  <c r="H620" i="8"/>
  <c r="G621" i="8"/>
  <c r="G595" i="6"/>
  <c r="H594" i="6"/>
  <c r="O594" i="6" s="1"/>
  <c r="P594" i="6" s="1"/>
  <c r="H621" i="8" l="1"/>
  <c r="G622" i="8"/>
  <c r="E621" i="7"/>
  <c r="F620" i="7"/>
  <c r="I620" i="7" s="1"/>
  <c r="J620" i="7" s="1"/>
  <c r="L595" i="6"/>
  <c r="O595" i="6" s="1"/>
  <c r="P595" i="6" s="1"/>
  <c r="K596" i="6"/>
  <c r="I597" i="6"/>
  <c r="J596" i="6"/>
  <c r="E622" i="8"/>
  <c r="F621" i="8"/>
  <c r="I621" i="8" s="1"/>
  <c r="J621" i="8" s="1"/>
  <c r="N595" i="6"/>
  <c r="M596" i="6"/>
  <c r="G596" i="6"/>
  <c r="H595" i="6"/>
  <c r="G625" i="7"/>
  <c r="H624" i="7"/>
  <c r="I598" i="6" l="1"/>
  <c r="J597" i="6"/>
  <c r="E623" i="8"/>
  <c r="F622" i="8"/>
  <c r="I622" i="8" s="1"/>
  <c r="J622" i="8" s="1"/>
  <c r="L596" i="6"/>
  <c r="K597" i="6"/>
  <c r="H596" i="6"/>
  <c r="O596" i="6" s="1"/>
  <c r="P596" i="6" s="1"/>
  <c r="G597" i="6"/>
  <c r="E622" i="7"/>
  <c r="F621" i="7"/>
  <c r="I621" i="7" s="1"/>
  <c r="J621" i="7" s="1"/>
  <c r="N596" i="6"/>
  <c r="M597" i="6"/>
  <c r="G626" i="7"/>
  <c r="H625" i="7"/>
  <c r="G623" i="8"/>
  <c r="H622" i="8"/>
  <c r="G598" i="6" l="1"/>
  <c r="H597" i="6"/>
  <c r="O597" i="6" s="1"/>
  <c r="P597" i="6" s="1"/>
  <c r="E623" i="7"/>
  <c r="F622" i="7"/>
  <c r="I622" i="7" s="1"/>
  <c r="J622" i="7" s="1"/>
  <c r="H626" i="7"/>
  <c r="G627" i="7"/>
  <c r="N597" i="6"/>
  <c r="M598" i="6"/>
  <c r="L597" i="6"/>
  <c r="K598" i="6"/>
  <c r="F623" i="8"/>
  <c r="I623" i="8" s="1"/>
  <c r="J623" i="8" s="1"/>
  <c r="E624" i="8"/>
  <c r="H623" i="8"/>
  <c r="G624" i="8"/>
  <c r="J598" i="6"/>
  <c r="I599" i="6"/>
  <c r="M599" i="6" l="1"/>
  <c r="N598" i="6"/>
  <c r="G628" i="7"/>
  <c r="H627" i="7"/>
  <c r="E625" i="8"/>
  <c r="I624" i="8"/>
  <c r="J624" i="8" s="1"/>
  <c r="F624" i="8"/>
  <c r="E624" i="7"/>
  <c r="F623" i="7"/>
  <c r="I623" i="7"/>
  <c r="J623" i="7" s="1"/>
  <c r="K599" i="6"/>
  <c r="L598" i="6"/>
  <c r="J599" i="6"/>
  <c r="I600" i="6"/>
  <c r="H624" i="8"/>
  <c r="G625" i="8"/>
  <c r="H598" i="6"/>
  <c r="O598" i="6" s="1"/>
  <c r="P598" i="6" s="1"/>
  <c r="G599" i="6"/>
  <c r="L599" i="6" l="1"/>
  <c r="K600" i="6"/>
  <c r="E625" i="7"/>
  <c r="F624" i="7"/>
  <c r="I624" i="7" s="1"/>
  <c r="J624" i="7" s="1"/>
  <c r="H625" i="8"/>
  <c r="G626" i="8"/>
  <c r="E626" i="8"/>
  <c r="F625" i="8"/>
  <c r="I625" i="8" s="1"/>
  <c r="J625" i="8" s="1"/>
  <c r="H599" i="6"/>
  <c r="O599" i="6" s="1"/>
  <c r="P599" i="6" s="1"/>
  <c r="G600" i="6"/>
  <c r="H628" i="7"/>
  <c r="G629" i="7"/>
  <c r="I601" i="6"/>
  <c r="J600" i="6"/>
  <c r="N599" i="6"/>
  <c r="M600" i="6"/>
  <c r="H626" i="8" l="1"/>
  <c r="G627" i="8"/>
  <c r="H600" i="6"/>
  <c r="G601" i="6"/>
  <c r="G630" i="7"/>
  <c r="H629" i="7"/>
  <c r="N600" i="6"/>
  <c r="M601" i="6"/>
  <c r="E626" i="7"/>
  <c r="F625" i="7"/>
  <c r="I625" i="7" s="1"/>
  <c r="J625" i="7" s="1"/>
  <c r="J601" i="6"/>
  <c r="I602" i="6"/>
  <c r="E627" i="8"/>
  <c r="F626" i="8"/>
  <c r="I626" i="8" s="1"/>
  <c r="J626" i="8" s="1"/>
  <c r="K601" i="6"/>
  <c r="L600" i="6"/>
  <c r="O600" i="6" s="1"/>
  <c r="P600" i="6" s="1"/>
  <c r="F627" i="8" l="1"/>
  <c r="I627" i="8" s="1"/>
  <c r="J627" i="8" s="1"/>
  <c r="E628" i="8"/>
  <c r="J602" i="6"/>
  <c r="I603" i="6"/>
  <c r="G602" i="6"/>
  <c r="H601" i="6"/>
  <c r="O601" i="6" s="1"/>
  <c r="P601" i="6" s="1"/>
  <c r="E627" i="7"/>
  <c r="F626" i="7"/>
  <c r="I626" i="7" s="1"/>
  <c r="J626" i="7" s="1"/>
  <c r="M602" i="6"/>
  <c r="N601" i="6"/>
  <c r="G631" i="7"/>
  <c r="H630" i="7"/>
  <c r="L601" i="6"/>
  <c r="K602" i="6"/>
  <c r="G628" i="8"/>
  <c r="H627" i="8"/>
  <c r="M603" i="6" l="1"/>
  <c r="N602" i="6"/>
  <c r="E628" i="7"/>
  <c r="F627" i="7"/>
  <c r="I627" i="7" s="1"/>
  <c r="J627" i="7" s="1"/>
  <c r="H631" i="7"/>
  <c r="G632" i="7"/>
  <c r="H602" i="6"/>
  <c r="O602" i="6" s="1"/>
  <c r="P602" i="6" s="1"/>
  <c r="G603" i="6"/>
  <c r="I604" i="6"/>
  <c r="J603" i="6"/>
  <c r="H628" i="8"/>
  <c r="G629" i="8"/>
  <c r="E629" i="8"/>
  <c r="F628" i="8"/>
  <c r="I628" i="8" s="1"/>
  <c r="J628" i="8" s="1"/>
  <c r="L602" i="6"/>
  <c r="K603" i="6"/>
  <c r="E630" i="8" l="1"/>
  <c r="F629" i="8"/>
  <c r="I629" i="8" s="1"/>
  <c r="J629" i="8" s="1"/>
  <c r="H629" i="8"/>
  <c r="G630" i="8"/>
  <c r="I605" i="6"/>
  <c r="J604" i="6"/>
  <c r="H603" i="6"/>
  <c r="O603" i="6" s="1"/>
  <c r="P603" i="6" s="1"/>
  <c r="G604" i="6"/>
  <c r="G633" i="7"/>
  <c r="H632" i="7"/>
  <c r="K604" i="6"/>
  <c r="L603" i="6"/>
  <c r="E629" i="7"/>
  <c r="I628" i="7"/>
  <c r="J628" i="7" s="1"/>
  <c r="F628" i="7"/>
  <c r="M604" i="6"/>
  <c r="N603" i="6"/>
  <c r="K605" i="6" l="1"/>
  <c r="L604" i="6"/>
  <c r="H633" i="7"/>
  <c r="G634" i="7"/>
  <c r="H604" i="6"/>
  <c r="O604" i="6"/>
  <c r="P604" i="6" s="1"/>
  <c r="G605" i="6"/>
  <c r="E630" i="7"/>
  <c r="F629" i="7"/>
  <c r="I629" i="7" s="1"/>
  <c r="J629" i="7" s="1"/>
  <c r="J605" i="6"/>
  <c r="I606" i="6"/>
  <c r="H630" i="8"/>
  <c r="G631" i="8"/>
  <c r="N604" i="6"/>
  <c r="M605" i="6"/>
  <c r="E631" i="8"/>
  <c r="F630" i="8"/>
  <c r="I630" i="8" s="1"/>
  <c r="J630" i="8" s="1"/>
  <c r="E631" i="7" l="1"/>
  <c r="F630" i="7"/>
  <c r="I630" i="7" s="1"/>
  <c r="J630" i="7" s="1"/>
  <c r="M606" i="6"/>
  <c r="N605" i="6"/>
  <c r="H605" i="6"/>
  <c r="O605" i="6" s="1"/>
  <c r="P605" i="6" s="1"/>
  <c r="G606" i="6"/>
  <c r="I607" i="6"/>
  <c r="J606" i="6"/>
  <c r="H631" i="8"/>
  <c r="G632" i="8"/>
  <c r="G635" i="7"/>
  <c r="H634" i="7"/>
  <c r="E632" i="8"/>
  <c r="F631" i="8"/>
  <c r="I631" i="8" s="1"/>
  <c r="J631" i="8" s="1"/>
  <c r="L605" i="6"/>
  <c r="K606" i="6"/>
  <c r="E633" i="8" l="1"/>
  <c r="F632" i="8"/>
  <c r="I632" i="8" s="1"/>
  <c r="J632" i="8" s="1"/>
  <c r="I608" i="6"/>
  <c r="J607" i="6"/>
  <c r="H632" i="8"/>
  <c r="G633" i="8"/>
  <c r="G607" i="6"/>
  <c r="H606" i="6"/>
  <c r="O606" i="6" s="1"/>
  <c r="P606" i="6" s="1"/>
  <c r="N606" i="6"/>
  <c r="M607" i="6"/>
  <c r="G636" i="7"/>
  <c r="H635" i="7"/>
  <c r="L606" i="6"/>
  <c r="K607" i="6"/>
  <c r="F631" i="7"/>
  <c r="I631" i="7" s="1"/>
  <c r="J631" i="7" s="1"/>
  <c r="E632" i="7"/>
  <c r="M608" i="6" l="1"/>
  <c r="N607" i="6"/>
  <c r="H636" i="7"/>
  <c r="G637" i="7"/>
  <c r="G608" i="6"/>
  <c r="H607" i="6"/>
  <c r="O607" i="6" s="1"/>
  <c r="P607" i="6" s="1"/>
  <c r="H633" i="8"/>
  <c r="G634" i="8"/>
  <c r="I609" i="6"/>
  <c r="J608" i="6"/>
  <c r="L607" i="6"/>
  <c r="K608" i="6"/>
  <c r="E633" i="7"/>
  <c r="I632" i="7"/>
  <c r="J632" i="7" s="1"/>
  <c r="F632" i="7"/>
  <c r="E634" i="8"/>
  <c r="F633" i="8"/>
  <c r="I633" i="8" s="1"/>
  <c r="J633" i="8" s="1"/>
  <c r="I610" i="6" l="1"/>
  <c r="J609" i="6"/>
  <c r="H634" i="8"/>
  <c r="G635" i="8"/>
  <c r="F633" i="7"/>
  <c r="I633" i="7" s="1"/>
  <c r="J633" i="7" s="1"/>
  <c r="E634" i="7"/>
  <c r="H608" i="6"/>
  <c r="O608" i="6" s="1"/>
  <c r="P608" i="6" s="1"/>
  <c r="G609" i="6"/>
  <c r="G638" i="7"/>
  <c r="H637" i="7"/>
  <c r="K609" i="6"/>
  <c r="L608" i="6"/>
  <c r="F634" i="8"/>
  <c r="I634" i="8" s="1"/>
  <c r="J634" i="8" s="1"/>
  <c r="E635" i="8"/>
  <c r="M609" i="6"/>
  <c r="N608" i="6"/>
  <c r="E636" i="8" l="1"/>
  <c r="F635" i="8"/>
  <c r="I635" i="8" s="1"/>
  <c r="J635" i="8" s="1"/>
  <c r="L609" i="6"/>
  <c r="K610" i="6"/>
  <c r="H638" i="7"/>
  <c r="G639" i="7"/>
  <c r="G610" i="6"/>
  <c r="H609" i="6"/>
  <c r="O609" i="6" s="1"/>
  <c r="P609" i="6" s="1"/>
  <c r="E635" i="7"/>
  <c r="F634" i="7"/>
  <c r="I634" i="7" s="1"/>
  <c r="J634" i="7" s="1"/>
  <c r="G636" i="8"/>
  <c r="H635" i="8"/>
  <c r="N609" i="6"/>
  <c r="M610" i="6"/>
  <c r="J610" i="6"/>
  <c r="I611" i="6"/>
  <c r="H636" i="8" l="1"/>
  <c r="G637" i="8"/>
  <c r="G611" i="6"/>
  <c r="H610" i="6"/>
  <c r="O610" i="6" s="1"/>
  <c r="P610" i="6" s="1"/>
  <c r="H639" i="7"/>
  <c r="G640" i="7"/>
  <c r="K611" i="6"/>
  <c r="L610" i="6"/>
  <c r="E636" i="7"/>
  <c r="F635" i="7"/>
  <c r="I635" i="7" s="1"/>
  <c r="J635" i="7" s="1"/>
  <c r="J611" i="6"/>
  <c r="I612" i="6"/>
  <c r="N610" i="6"/>
  <c r="M611" i="6"/>
  <c r="F636" i="8"/>
  <c r="I636" i="8" s="1"/>
  <c r="J636" i="8" s="1"/>
  <c r="E637" i="8"/>
  <c r="E637" i="7" l="1"/>
  <c r="F636" i="7"/>
  <c r="I636" i="7" s="1"/>
  <c r="J636" i="7" s="1"/>
  <c r="N611" i="6"/>
  <c r="M612" i="6"/>
  <c r="K612" i="6"/>
  <c r="L611" i="6"/>
  <c r="G641" i="7"/>
  <c r="H640" i="7"/>
  <c r="G612" i="6"/>
  <c r="H611" i="6"/>
  <c r="O611" i="6" s="1"/>
  <c r="P611" i="6" s="1"/>
  <c r="J612" i="6"/>
  <c r="I613" i="6"/>
  <c r="F637" i="8"/>
  <c r="I637" i="8" s="1"/>
  <c r="J637" i="8" s="1"/>
  <c r="E638" i="8"/>
  <c r="G638" i="8"/>
  <c r="H637" i="8"/>
  <c r="H612" i="6" l="1"/>
  <c r="O612" i="6" s="1"/>
  <c r="P612" i="6" s="1"/>
  <c r="G613" i="6"/>
  <c r="G642" i="7"/>
  <c r="H641" i="7"/>
  <c r="J613" i="6"/>
  <c r="I614" i="6"/>
  <c r="L612" i="6"/>
  <c r="K613" i="6"/>
  <c r="M613" i="6"/>
  <c r="N612" i="6"/>
  <c r="H638" i="8"/>
  <c r="G639" i="8"/>
  <c r="F638" i="8"/>
  <c r="I638" i="8" s="1"/>
  <c r="J638" i="8" s="1"/>
  <c r="E639" i="8"/>
  <c r="E638" i="7"/>
  <c r="F637" i="7"/>
  <c r="I637" i="7" s="1"/>
  <c r="J637" i="7" s="1"/>
  <c r="N613" i="6" l="1"/>
  <c r="M614" i="6"/>
  <c r="L613" i="6"/>
  <c r="K614" i="6"/>
  <c r="I615" i="6"/>
  <c r="J614" i="6"/>
  <c r="E640" i="8"/>
  <c r="F639" i="8"/>
  <c r="I639" i="8" s="1"/>
  <c r="J639" i="8" s="1"/>
  <c r="H642" i="7"/>
  <c r="G643" i="7"/>
  <c r="G640" i="8"/>
  <c r="H639" i="8"/>
  <c r="E639" i="7"/>
  <c r="F638" i="7"/>
  <c r="I638" i="7" s="1"/>
  <c r="J638" i="7" s="1"/>
  <c r="G614" i="6"/>
  <c r="H613" i="6"/>
  <c r="O613" i="6" s="1"/>
  <c r="P613" i="6" s="1"/>
  <c r="E640" i="7" l="1"/>
  <c r="F639" i="7"/>
  <c r="I639" i="7"/>
  <c r="J639" i="7" s="1"/>
  <c r="G644" i="7"/>
  <c r="H643" i="7"/>
  <c r="H640" i="8"/>
  <c r="G641" i="8"/>
  <c r="F640" i="8"/>
  <c r="I640" i="8" s="1"/>
  <c r="J640" i="8" s="1"/>
  <c r="E641" i="8"/>
  <c r="J615" i="6"/>
  <c r="I616" i="6"/>
  <c r="K615" i="6"/>
  <c r="L614" i="6"/>
  <c r="H614" i="6"/>
  <c r="O614" i="6" s="1"/>
  <c r="P614" i="6" s="1"/>
  <c r="G615" i="6"/>
  <c r="M615" i="6"/>
  <c r="N614" i="6"/>
  <c r="H615" i="6" l="1"/>
  <c r="O615" i="6" s="1"/>
  <c r="P615" i="6" s="1"/>
  <c r="G616" i="6"/>
  <c r="E642" i="8"/>
  <c r="F641" i="8"/>
  <c r="I641" i="8" s="1"/>
  <c r="J641" i="8" s="1"/>
  <c r="I617" i="6"/>
  <c r="J616" i="6"/>
  <c r="G642" i="8"/>
  <c r="H641" i="8"/>
  <c r="K616" i="6"/>
  <c r="L615" i="6"/>
  <c r="H644" i="7"/>
  <c r="G645" i="7"/>
  <c r="M616" i="6"/>
  <c r="N615" i="6"/>
  <c r="E641" i="7"/>
  <c r="F640" i="7"/>
  <c r="I640" i="7" s="1"/>
  <c r="J640" i="7" s="1"/>
  <c r="K617" i="6" l="1"/>
  <c r="L616" i="6"/>
  <c r="H642" i="8"/>
  <c r="G643" i="8"/>
  <c r="J617" i="6"/>
  <c r="I618" i="6"/>
  <c r="G646" i="7"/>
  <c r="H645" i="7"/>
  <c r="E643" i="8"/>
  <c r="F642" i="8"/>
  <c r="I642" i="8" s="1"/>
  <c r="J642" i="8" s="1"/>
  <c r="N616" i="6"/>
  <c r="M617" i="6"/>
  <c r="H616" i="6"/>
  <c r="O616" i="6" s="1"/>
  <c r="P616" i="6" s="1"/>
  <c r="G617" i="6"/>
  <c r="E642" i="7"/>
  <c r="F641" i="7"/>
  <c r="I641" i="7" s="1"/>
  <c r="J641" i="7" s="1"/>
  <c r="M618" i="6" l="1"/>
  <c r="N617" i="6"/>
  <c r="F643" i="8"/>
  <c r="I643" i="8" s="1"/>
  <c r="J643" i="8" s="1"/>
  <c r="E644" i="8"/>
  <c r="G647" i="7"/>
  <c r="H646" i="7"/>
  <c r="I619" i="6"/>
  <c r="J618" i="6"/>
  <c r="G618" i="6"/>
  <c r="H617" i="6"/>
  <c r="O617" i="6" s="1"/>
  <c r="P617" i="6" s="1"/>
  <c r="G644" i="8"/>
  <c r="H643" i="8"/>
  <c r="E643" i="7"/>
  <c r="I642" i="7"/>
  <c r="J642" i="7" s="1"/>
  <c r="F642" i="7"/>
  <c r="L617" i="6"/>
  <c r="K618" i="6"/>
  <c r="H618" i="6" l="1"/>
  <c r="O618" i="6" s="1"/>
  <c r="P618" i="6" s="1"/>
  <c r="G619" i="6"/>
  <c r="K619" i="6"/>
  <c r="L618" i="6"/>
  <c r="H644" i="8"/>
  <c r="I644" i="8" s="1"/>
  <c r="J644" i="8" s="1"/>
  <c r="G645" i="8"/>
  <c r="J619" i="6"/>
  <c r="I620" i="6"/>
  <c r="E644" i="7"/>
  <c r="F643" i="7"/>
  <c r="I643" i="7" s="1"/>
  <c r="J643" i="7" s="1"/>
  <c r="G648" i="7"/>
  <c r="H647" i="7"/>
  <c r="F644" i="8"/>
  <c r="E645" i="8"/>
  <c r="M619" i="6"/>
  <c r="N618" i="6"/>
  <c r="G649" i="7" l="1"/>
  <c r="H648" i="7"/>
  <c r="E646" i="8"/>
  <c r="F645" i="8"/>
  <c r="I645" i="8" s="1"/>
  <c r="J645" i="8" s="1"/>
  <c r="E645" i="7"/>
  <c r="F644" i="7"/>
  <c r="I644" i="7" s="1"/>
  <c r="J644" i="7" s="1"/>
  <c r="J620" i="6"/>
  <c r="I621" i="6"/>
  <c r="G646" i="8"/>
  <c r="H645" i="8"/>
  <c r="L619" i="6"/>
  <c r="O619" i="6" s="1"/>
  <c r="P619" i="6" s="1"/>
  <c r="K620" i="6"/>
  <c r="M620" i="6"/>
  <c r="N619" i="6"/>
  <c r="H619" i="6"/>
  <c r="G620" i="6"/>
  <c r="I622" i="6" l="1"/>
  <c r="J621" i="6"/>
  <c r="N620" i="6"/>
  <c r="M621" i="6"/>
  <c r="E646" i="7"/>
  <c r="F645" i="7"/>
  <c r="I645" i="7" s="1"/>
  <c r="J645" i="7" s="1"/>
  <c r="L620" i="6"/>
  <c r="K621" i="6"/>
  <c r="E647" i="8"/>
  <c r="F646" i="8"/>
  <c r="I646" i="8" s="1"/>
  <c r="J646" i="8" s="1"/>
  <c r="H646" i="8"/>
  <c r="G647" i="8"/>
  <c r="H620" i="6"/>
  <c r="O620" i="6" s="1"/>
  <c r="P620" i="6" s="1"/>
  <c r="G621" i="6"/>
  <c r="H649" i="7"/>
  <c r="G650" i="7"/>
  <c r="G622" i="6" l="1"/>
  <c r="H621" i="6"/>
  <c r="O621" i="6" s="1"/>
  <c r="P621" i="6" s="1"/>
  <c r="G648" i="8"/>
  <c r="H647" i="8"/>
  <c r="E648" i="8"/>
  <c r="F647" i="8"/>
  <c r="I647" i="8" s="1"/>
  <c r="J647" i="8" s="1"/>
  <c r="E647" i="7"/>
  <c r="F646" i="7"/>
  <c r="I646" i="7" s="1"/>
  <c r="J646" i="7" s="1"/>
  <c r="L621" i="6"/>
  <c r="K622" i="6"/>
  <c r="M622" i="6"/>
  <c r="N621" i="6"/>
  <c r="G651" i="7"/>
  <c r="H650" i="7"/>
  <c r="J622" i="6"/>
  <c r="I623" i="6"/>
  <c r="N622" i="6" l="1"/>
  <c r="M623" i="6"/>
  <c r="L622" i="6"/>
  <c r="K623" i="6"/>
  <c r="F647" i="7"/>
  <c r="I647" i="7" s="1"/>
  <c r="J647" i="7" s="1"/>
  <c r="E648" i="7"/>
  <c r="G652" i="7"/>
  <c r="H651" i="7"/>
  <c r="E649" i="8"/>
  <c r="F648" i="8"/>
  <c r="I648" i="8" s="1"/>
  <c r="J648" i="8" s="1"/>
  <c r="H648" i="8"/>
  <c r="G649" i="8"/>
  <c r="I624" i="6"/>
  <c r="J623" i="6"/>
  <c r="G623" i="6"/>
  <c r="H622" i="6"/>
  <c r="O622" i="6" s="1"/>
  <c r="P622" i="6" s="1"/>
  <c r="G650" i="8" l="1"/>
  <c r="H649" i="8"/>
  <c r="F649" i="8"/>
  <c r="I649" i="8" s="1"/>
  <c r="J649" i="8" s="1"/>
  <c r="E650" i="8"/>
  <c r="H652" i="7"/>
  <c r="G653" i="7"/>
  <c r="I625" i="6"/>
  <c r="J624" i="6"/>
  <c r="E649" i="7"/>
  <c r="F648" i="7"/>
  <c r="I648" i="7" s="1"/>
  <c r="J648" i="7" s="1"/>
  <c r="L623" i="6"/>
  <c r="K624" i="6"/>
  <c r="G624" i="6"/>
  <c r="H623" i="6"/>
  <c r="O623" i="6" s="1"/>
  <c r="P623" i="6" s="1"/>
  <c r="N623" i="6"/>
  <c r="M624" i="6"/>
  <c r="H624" i="6" l="1"/>
  <c r="G625" i="6"/>
  <c r="O624" i="6"/>
  <c r="P624" i="6" s="1"/>
  <c r="F649" i="7"/>
  <c r="I649" i="7" s="1"/>
  <c r="J649" i="7" s="1"/>
  <c r="E650" i="7"/>
  <c r="N624" i="6"/>
  <c r="M625" i="6"/>
  <c r="I626" i="6"/>
  <c r="J625" i="6"/>
  <c r="G654" i="7"/>
  <c r="H653" i="7"/>
  <c r="K625" i="6"/>
  <c r="L624" i="6"/>
  <c r="E651" i="8"/>
  <c r="F650" i="8"/>
  <c r="I650" i="8" s="1"/>
  <c r="J650" i="8" s="1"/>
  <c r="H650" i="8"/>
  <c r="G651" i="8"/>
  <c r="H654" i="7" l="1"/>
  <c r="G655" i="7"/>
  <c r="M626" i="6"/>
  <c r="N625" i="6"/>
  <c r="G652" i="8"/>
  <c r="H651" i="8"/>
  <c r="I651" i="8" s="1"/>
  <c r="J651" i="8" s="1"/>
  <c r="F651" i="8"/>
  <c r="E652" i="8"/>
  <c r="L625" i="6"/>
  <c r="K626" i="6"/>
  <c r="J626" i="6"/>
  <c r="I627" i="6"/>
  <c r="E651" i="7"/>
  <c r="F650" i="7"/>
  <c r="I650" i="7" s="1"/>
  <c r="J650" i="7" s="1"/>
  <c r="H625" i="6"/>
  <c r="O625" i="6" s="1"/>
  <c r="P625" i="6" s="1"/>
  <c r="G626" i="6"/>
  <c r="E652" i="7" l="1"/>
  <c r="F651" i="7"/>
  <c r="I651" i="7" s="1"/>
  <c r="J651" i="7" s="1"/>
  <c r="E653" i="8"/>
  <c r="F652" i="8"/>
  <c r="I652" i="8" s="1"/>
  <c r="J652" i="8" s="1"/>
  <c r="L626" i="6"/>
  <c r="K627" i="6"/>
  <c r="I628" i="6"/>
  <c r="J627" i="6"/>
  <c r="H652" i="8"/>
  <c r="G653" i="8"/>
  <c r="N626" i="6"/>
  <c r="M627" i="6"/>
  <c r="G627" i="6"/>
  <c r="H626" i="6"/>
  <c r="O626" i="6" s="1"/>
  <c r="P626" i="6" s="1"/>
  <c r="G656" i="7"/>
  <c r="H655" i="7"/>
  <c r="G628" i="6" l="1"/>
  <c r="H627" i="6"/>
  <c r="O627" i="6" s="1"/>
  <c r="P627" i="6" s="1"/>
  <c r="J628" i="6"/>
  <c r="I629" i="6"/>
  <c r="K628" i="6"/>
  <c r="L627" i="6"/>
  <c r="M628" i="6"/>
  <c r="N627" i="6"/>
  <c r="H653" i="8"/>
  <c r="G654" i="8"/>
  <c r="F653" i="8"/>
  <c r="I653" i="8" s="1"/>
  <c r="J653" i="8" s="1"/>
  <c r="E654" i="8"/>
  <c r="G657" i="7"/>
  <c r="H656" i="7"/>
  <c r="E653" i="7"/>
  <c r="F652" i="7"/>
  <c r="I652" i="7" s="1"/>
  <c r="J652" i="7" s="1"/>
  <c r="G658" i="7" l="1"/>
  <c r="H657" i="7"/>
  <c r="H654" i="8"/>
  <c r="G655" i="8"/>
  <c r="M629" i="6"/>
  <c r="N628" i="6"/>
  <c r="E655" i="8"/>
  <c r="F654" i="8"/>
  <c r="I654" i="8" s="1"/>
  <c r="J654" i="8" s="1"/>
  <c r="J629" i="6"/>
  <c r="I630" i="6"/>
  <c r="K629" i="6"/>
  <c r="L628" i="6"/>
  <c r="E654" i="7"/>
  <c r="F653" i="7"/>
  <c r="I653" i="7" s="1"/>
  <c r="J653" i="7" s="1"/>
  <c r="H628" i="6"/>
  <c r="G629" i="6"/>
  <c r="O628" i="6"/>
  <c r="P628" i="6" s="1"/>
  <c r="L629" i="6" l="1"/>
  <c r="K630" i="6"/>
  <c r="I631" i="6"/>
  <c r="J630" i="6"/>
  <c r="H629" i="6"/>
  <c r="O629" i="6" s="1"/>
  <c r="P629" i="6" s="1"/>
  <c r="G630" i="6"/>
  <c r="E655" i="7"/>
  <c r="I654" i="7"/>
  <c r="J654" i="7" s="1"/>
  <c r="F654" i="7"/>
  <c r="F655" i="8"/>
  <c r="I655" i="8" s="1"/>
  <c r="J655" i="8" s="1"/>
  <c r="E656" i="8"/>
  <c r="M630" i="6"/>
  <c r="N629" i="6"/>
  <c r="H655" i="8"/>
  <c r="G656" i="8"/>
  <c r="H658" i="7"/>
  <c r="G659" i="7"/>
  <c r="M631" i="6" l="1"/>
  <c r="N630" i="6"/>
  <c r="E656" i="7"/>
  <c r="F655" i="7"/>
  <c r="I655" i="7" s="1"/>
  <c r="J655" i="7" s="1"/>
  <c r="O630" i="6"/>
  <c r="P630" i="6" s="1"/>
  <c r="H630" i="6"/>
  <c r="G631" i="6"/>
  <c r="E657" i="8"/>
  <c r="F656" i="8"/>
  <c r="I656" i="8" s="1"/>
  <c r="J656" i="8" s="1"/>
  <c r="G660" i="7"/>
  <c r="H659" i="7"/>
  <c r="I632" i="6"/>
  <c r="J631" i="6"/>
  <c r="K631" i="6"/>
  <c r="L630" i="6"/>
  <c r="H656" i="8"/>
  <c r="G657" i="8"/>
  <c r="K632" i="6" l="1"/>
  <c r="L631" i="6"/>
  <c r="G661" i="7"/>
  <c r="H660" i="7"/>
  <c r="I657" i="8"/>
  <c r="J657" i="8" s="1"/>
  <c r="F657" i="8"/>
  <c r="E658" i="8"/>
  <c r="J632" i="6"/>
  <c r="I633" i="6"/>
  <c r="H631" i="6"/>
  <c r="O631" i="6" s="1"/>
  <c r="P631" i="6" s="1"/>
  <c r="G632" i="6"/>
  <c r="H657" i="8"/>
  <c r="G658" i="8"/>
  <c r="E657" i="7"/>
  <c r="F656" i="7"/>
  <c r="I656" i="7" s="1"/>
  <c r="J656" i="7" s="1"/>
  <c r="N631" i="6"/>
  <c r="M632" i="6"/>
  <c r="H658" i="8" l="1"/>
  <c r="G659" i="8"/>
  <c r="E658" i="7"/>
  <c r="F657" i="7"/>
  <c r="I657" i="7" s="1"/>
  <c r="J657" i="7" s="1"/>
  <c r="H632" i="6"/>
  <c r="O632" i="6" s="1"/>
  <c r="P632" i="6" s="1"/>
  <c r="G633" i="6"/>
  <c r="J633" i="6"/>
  <c r="I634" i="6"/>
  <c r="E659" i="8"/>
  <c r="F658" i="8"/>
  <c r="I658" i="8" s="1"/>
  <c r="J658" i="8" s="1"/>
  <c r="M633" i="6"/>
  <c r="N632" i="6"/>
  <c r="G662" i="7"/>
  <c r="H661" i="7"/>
  <c r="K633" i="6"/>
  <c r="L632" i="6"/>
  <c r="I635" i="6" l="1"/>
  <c r="J634" i="6"/>
  <c r="F659" i="8"/>
  <c r="I659" i="8" s="1"/>
  <c r="J659" i="8" s="1"/>
  <c r="E660" i="8"/>
  <c r="H662" i="7"/>
  <c r="G663" i="7"/>
  <c r="N633" i="6"/>
  <c r="M634" i="6"/>
  <c r="G634" i="6"/>
  <c r="H633" i="6"/>
  <c r="O633" i="6" s="1"/>
  <c r="P633" i="6" s="1"/>
  <c r="E659" i="7"/>
  <c r="F658" i="7"/>
  <c r="I658" i="7" s="1"/>
  <c r="J658" i="7" s="1"/>
  <c r="L633" i="6"/>
  <c r="K634" i="6"/>
  <c r="H659" i="8"/>
  <c r="G660" i="8"/>
  <c r="N634" i="6" l="1"/>
  <c r="M635" i="6"/>
  <c r="E660" i="7"/>
  <c r="F659" i="7"/>
  <c r="I659" i="7" s="1"/>
  <c r="J659" i="7" s="1"/>
  <c r="G635" i="6"/>
  <c r="H634" i="6"/>
  <c r="O634" i="6" s="1"/>
  <c r="P634" i="6" s="1"/>
  <c r="G664" i="7"/>
  <c r="H663" i="7"/>
  <c r="E661" i="8"/>
  <c r="F660" i="8"/>
  <c r="H660" i="8"/>
  <c r="I660" i="8" s="1"/>
  <c r="J660" i="8" s="1"/>
  <c r="G661" i="8"/>
  <c r="K635" i="6"/>
  <c r="L634" i="6"/>
  <c r="J635" i="6"/>
  <c r="I636" i="6"/>
  <c r="F661" i="8" l="1"/>
  <c r="I661" i="8" s="1"/>
  <c r="J661" i="8" s="1"/>
  <c r="E662" i="8"/>
  <c r="G665" i="7"/>
  <c r="H664" i="7"/>
  <c r="L635" i="6"/>
  <c r="O635" i="6" s="1"/>
  <c r="P635" i="6" s="1"/>
  <c r="K636" i="6"/>
  <c r="H635" i="6"/>
  <c r="G636" i="6"/>
  <c r="J636" i="6"/>
  <c r="I637" i="6"/>
  <c r="E661" i="7"/>
  <c r="F660" i="7"/>
  <c r="I660" i="7" s="1"/>
  <c r="J660" i="7" s="1"/>
  <c r="M636" i="6"/>
  <c r="N635" i="6"/>
  <c r="H661" i="8"/>
  <c r="G662" i="8"/>
  <c r="I638" i="6" l="1"/>
  <c r="J637" i="6"/>
  <c r="H636" i="6"/>
  <c r="O636" i="6" s="1"/>
  <c r="P636" i="6" s="1"/>
  <c r="G637" i="6"/>
  <c r="N636" i="6"/>
  <c r="M637" i="6"/>
  <c r="E662" i="7"/>
  <c r="F661" i="7"/>
  <c r="I661" i="7" s="1"/>
  <c r="J661" i="7" s="1"/>
  <c r="L636" i="6"/>
  <c r="K637" i="6"/>
  <c r="H665" i="7"/>
  <c r="G666" i="7"/>
  <c r="H662" i="8"/>
  <c r="G663" i="8"/>
  <c r="E663" i="8"/>
  <c r="F662" i="8"/>
  <c r="I662" i="8" s="1"/>
  <c r="J662" i="8" s="1"/>
  <c r="E663" i="7" l="1"/>
  <c r="F662" i="7"/>
  <c r="I662" i="7" s="1"/>
  <c r="J662" i="7" s="1"/>
  <c r="H663" i="8"/>
  <c r="G664" i="8"/>
  <c r="G667" i="7"/>
  <c r="H666" i="7"/>
  <c r="M638" i="6"/>
  <c r="N637" i="6"/>
  <c r="L637" i="6"/>
  <c r="K638" i="6"/>
  <c r="G638" i="6"/>
  <c r="H637" i="6"/>
  <c r="O637" i="6" s="1"/>
  <c r="P637" i="6" s="1"/>
  <c r="E664" i="8"/>
  <c r="F663" i="8"/>
  <c r="I663" i="8" s="1"/>
  <c r="J663" i="8" s="1"/>
  <c r="J638" i="6"/>
  <c r="I639" i="6"/>
  <c r="H638" i="6" l="1"/>
  <c r="O638" i="6" s="1"/>
  <c r="P638" i="6" s="1"/>
  <c r="G639" i="6"/>
  <c r="K639" i="6"/>
  <c r="L638" i="6"/>
  <c r="N638" i="6"/>
  <c r="M639" i="6"/>
  <c r="F664" i="8"/>
  <c r="E665" i="8"/>
  <c r="J639" i="6"/>
  <c r="I640" i="6"/>
  <c r="G668" i="7"/>
  <c r="H667" i="7"/>
  <c r="H664" i="8"/>
  <c r="I664" i="8" s="1"/>
  <c r="J664" i="8" s="1"/>
  <c r="G665" i="8"/>
  <c r="F663" i="7"/>
  <c r="I663" i="7" s="1"/>
  <c r="J663" i="7" s="1"/>
  <c r="E664" i="7"/>
  <c r="J640" i="6" l="1"/>
  <c r="I641" i="6"/>
  <c r="E666" i="8"/>
  <c r="F665" i="8"/>
  <c r="I665" i="8" s="1"/>
  <c r="J665" i="8" s="1"/>
  <c r="M640" i="6"/>
  <c r="N639" i="6"/>
  <c r="H665" i="8"/>
  <c r="G666" i="8"/>
  <c r="G669" i="7"/>
  <c r="H668" i="7"/>
  <c r="L639" i="6"/>
  <c r="O639" i="6" s="1"/>
  <c r="P639" i="6" s="1"/>
  <c r="K640" i="6"/>
  <c r="H639" i="6"/>
  <c r="G640" i="6"/>
  <c r="E665" i="7"/>
  <c r="F664" i="7"/>
  <c r="I664" i="7" s="1"/>
  <c r="J664" i="7" s="1"/>
  <c r="H640" i="6" l="1"/>
  <c r="O640" i="6" s="1"/>
  <c r="P640" i="6" s="1"/>
  <c r="G641" i="6"/>
  <c r="H666" i="8"/>
  <c r="I666" i="8" s="1"/>
  <c r="J666" i="8" s="1"/>
  <c r="G667" i="8"/>
  <c r="L640" i="6"/>
  <c r="K641" i="6"/>
  <c r="G670" i="7"/>
  <c r="H669" i="7"/>
  <c r="N640" i="6"/>
  <c r="M641" i="6"/>
  <c r="F666" i="8"/>
  <c r="E667" i="8"/>
  <c r="I642" i="6"/>
  <c r="J641" i="6"/>
  <c r="F665" i="7"/>
  <c r="I665" i="7" s="1"/>
  <c r="J665" i="7" s="1"/>
  <c r="E666" i="7"/>
  <c r="J642" i="6" l="1"/>
  <c r="I643" i="6"/>
  <c r="M642" i="6"/>
  <c r="N641" i="6"/>
  <c r="G668" i="8"/>
  <c r="H667" i="8"/>
  <c r="E668" i="8"/>
  <c r="F667" i="8"/>
  <c r="I667" i="8" s="1"/>
  <c r="J667" i="8" s="1"/>
  <c r="H670" i="7"/>
  <c r="G671" i="7"/>
  <c r="L641" i="6"/>
  <c r="K642" i="6"/>
  <c r="E667" i="7"/>
  <c r="F666" i="7"/>
  <c r="I666" i="7" s="1"/>
  <c r="J666" i="7" s="1"/>
  <c r="H641" i="6"/>
  <c r="O641" i="6" s="1"/>
  <c r="P641" i="6" s="1"/>
  <c r="G642" i="6"/>
  <c r="E668" i="7" l="1"/>
  <c r="F667" i="7"/>
  <c r="I667" i="7" s="1"/>
  <c r="J667" i="7" s="1"/>
  <c r="G672" i="7"/>
  <c r="H671" i="7"/>
  <c r="F668" i="8"/>
  <c r="I668" i="8" s="1"/>
  <c r="J668" i="8" s="1"/>
  <c r="E669" i="8"/>
  <c r="H668" i="8"/>
  <c r="G669" i="8"/>
  <c r="M643" i="6"/>
  <c r="N642" i="6"/>
  <c r="H642" i="6"/>
  <c r="O642" i="6" s="1"/>
  <c r="P642" i="6" s="1"/>
  <c r="G643" i="6"/>
  <c r="I644" i="6"/>
  <c r="J643" i="6"/>
  <c r="K643" i="6"/>
  <c r="L642" i="6"/>
  <c r="G670" i="8" l="1"/>
  <c r="H669" i="8"/>
  <c r="J644" i="6"/>
  <c r="I645" i="6"/>
  <c r="H643" i="6"/>
  <c r="O643" i="6" s="1"/>
  <c r="P643" i="6" s="1"/>
  <c r="G644" i="6"/>
  <c r="E670" i="8"/>
  <c r="F669" i="8"/>
  <c r="I669" i="8" s="1"/>
  <c r="J669" i="8" s="1"/>
  <c r="N643" i="6"/>
  <c r="M644" i="6"/>
  <c r="G673" i="7"/>
  <c r="H672" i="7"/>
  <c r="K644" i="6"/>
  <c r="L643" i="6"/>
  <c r="E669" i="7"/>
  <c r="F668" i="7"/>
  <c r="I668" i="7"/>
  <c r="J668" i="7" s="1"/>
  <c r="K645" i="6" l="1"/>
  <c r="L644" i="6"/>
  <c r="N644" i="6"/>
  <c r="M645" i="6"/>
  <c r="H644" i="6"/>
  <c r="O644" i="6" s="1"/>
  <c r="P644" i="6" s="1"/>
  <c r="G645" i="6"/>
  <c r="F670" i="8"/>
  <c r="I670" i="8" s="1"/>
  <c r="J670" i="8" s="1"/>
  <c r="E671" i="8"/>
  <c r="I646" i="6"/>
  <c r="J645" i="6"/>
  <c r="G674" i="7"/>
  <c r="H673" i="7"/>
  <c r="I669" i="7"/>
  <c r="J669" i="7" s="1"/>
  <c r="E670" i="7"/>
  <c r="F669" i="7"/>
  <c r="H670" i="8"/>
  <c r="G671" i="8"/>
  <c r="E672" i="8" l="1"/>
  <c r="F671" i="8"/>
  <c r="I671" i="8" s="1"/>
  <c r="J671" i="8" s="1"/>
  <c r="I647" i="6"/>
  <c r="J646" i="6"/>
  <c r="E671" i="7"/>
  <c r="F670" i="7"/>
  <c r="I670" i="7" s="1"/>
  <c r="J670" i="7" s="1"/>
  <c r="H674" i="7"/>
  <c r="G675" i="7"/>
  <c r="H645" i="6"/>
  <c r="O645" i="6" s="1"/>
  <c r="P645" i="6" s="1"/>
  <c r="G646" i="6"/>
  <c r="M646" i="6"/>
  <c r="N645" i="6"/>
  <c r="G672" i="8"/>
  <c r="H671" i="8"/>
  <c r="L645" i="6"/>
  <c r="K646" i="6"/>
  <c r="G676" i="7" l="1"/>
  <c r="H675" i="7"/>
  <c r="N646" i="6"/>
  <c r="M647" i="6"/>
  <c r="G647" i="6"/>
  <c r="H646" i="6"/>
  <c r="O646" i="6" s="1"/>
  <c r="P646" i="6" s="1"/>
  <c r="E672" i="7"/>
  <c r="F671" i="7"/>
  <c r="I671" i="7" s="1"/>
  <c r="J671" i="7" s="1"/>
  <c r="H672" i="8"/>
  <c r="G673" i="8"/>
  <c r="J647" i="6"/>
  <c r="I648" i="6"/>
  <c r="L646" i="6"/>
  <c r="K647" i="6"/>
  <c r="F672" i="8"/>
  <c r="I672" i="8" s="1"/>
  <c r="J672" i="8" s="1"/>
  <c r="E673" i="8"/>
  <c r="E673" i="7" l="1"/>
  <c r="F672" i="7"/>
  <c r="I672" i="7" s="1"/>
  <c r="J672" i="7" s="1"/>
  <c r="L647" i="6"/>
  <c r="K648" i="6"/>
  <c r="G674" i="8"/>
  <c r="H673" i="8"/>
  <c r="I649" i="6"/>
  <c r="J648" i="6"/>
  <c r="H647" i="6"/>
  <c r="O647" i="6" s="1"/>
  <c r="P647" i="6" s="1"/>
  <c r="G648" i="6"/>
  <c r="N647" i="6"/>
  <c r="M648" i="6"/>
  <c r="E674" i="8"/>
  <c r="F673" i="8"/>
  <c r="I673" i="8" s="1"/>
  <c r="J673" i="8" s="1"/>
  <c r="H676" i="7"/>
  <c r="G677" i="7"/>
  <c r="F674" i="8" l="1"/>
  <c r="I674" i="8" s="1"/>
  <c r="J674" i="8" s="1"/>
  <c r="E675" i="8"/>
  <c r="M649" i="6"/>
  <c r="N648" i="6"/>
  <c r="H648" i="6"/>
  <c r="O648" i="6" s="1"/>
  <c r="P648" i="6" s="1"/>
  <c r="G649" i="6"/>
  <c r="J649" i="6"/>
  <c r="I650" i="6"/>
  <c r="H674" i="8"/>
  <c r="G675" i="8"/>
  <c r="K649" i="6"/>
  <c r="L648" i="6"/>
  <c r="G678" i="7"/>
  <c r="H677" i="7"/>
  <c r="E674" i="7"/>
  <c r="F673" i="7"/>
  <c r="I673" i="7" s="1"/>
  <c r="J673" i="7" s="1"/>
  <c r="L649" i="6" l="1"/>
  <c r="K650" i="6"/>
  <c r="G679" i="7"/>
  <c r="H678" i="7"/>
  <c r="H649" i="6"/>
  <c r="O649" i="6" s="1"/>
  <c r="P649" i="6" s="1"/>
  <c r="G650" i="6"/>
  <c r="G676" i="8"/>
  <c r="H675" i="8"/>
  <c r="I651" i="6"/>
  <c r="J650" i="6"/>
  <c r="N649" i="6"/>
  <c r="M650" i="6"/>
  <c r="E676" i="8"/>
  <c r="F675" i="8"/>
  <c r="I675" i="8" s="1"/>
  <c r="J675" i="8" s="1"/>
  <c r="E675" i="7"/>
  <c r="F674" i="7"/>
  <c r="I674" i="7" s="1"/>
  <c r="J674" i="7" s="1"/>
  <c r="F676" i="8" l="1"/>
  <c r="I676" i="8" s="1"/>
  <c r="J676" i="8" s="1"/>
  <c r="E677" i="8"/>
  <c r="I652" i="6"/>
  <c r="J651" i="6"/>
  <c r="H676" i="8"/>
  <c r="G677" i="8"/>
  <c r="G651" i="6"/>
  <c r="H650" i="6"/>
  <c r="O650" i="6" s="1"/>
  <c r="P650" i="6" s="1"/>
  <c r="G680" i="7"/>
  <c r="H679" i="7"/>
  <c r="N650" i="6"/>
  <c r="M651" i="6"/>
  <c r="L650" i="6"/>
  <c r="K651" i="6"/>
  <c r="E676" i="7"/>
  <c r="F675" i="7"/>
  <c r="I675" i="7" s="1"/>
  <c r="J675" i="7" s="1"/>
  <c r="G681" i="7" l="1"/>
  <c r="H680" i="7"/>
  <c r="K652" i="6"/>
  <c r="L651" i="6"/>
  <c r="N651" i="6"/>
  <c r="M652" i="6"/>
  <c r="H651" i="6"/>
  <c r="O651" i="6" s="1"/>
  <c r="P651" i="6" s="1"/>
  <c r="G652" i="6"/>
  <c r="G678" i="8"/>
  <c r="H677" i="8"/>
  <c r="J652" i="6"/>
  <c r="I653" i="6"/>
  <c r="E678" i="8"/>
  <c r="I677" i="8"/>
  <c r="J677" i="8" s="1"/>
  <c r="F677" i="8"/>
  <c r="E677" i="7"/>
  <c r="F676" i="7"/>
  <c r="I676" i="7" s="1"/>
  <c r="J676" i="7" s="1"/>
  <c r="H678" i="8" l="1"/>
  <c r="G679" i="8"/>
  <c r="H652" i="6"/>
  <c r="O652" i="6" s="1"/>
  <c r="P652" i="6" s="1"/>
  <c r="G653" i="6"/>
  <c r="E679" i="8"/>
  <c r="F678" i="8"/>
  <c r="I678" i="8" s="1"/>
  <c r="J678" i="8" s="1"/>
  <c r="J653" i="6"/>
  <c r="I654" i="6"/>
  <c r="M653" i="6"/>
  <c r="N652" i="6"/>
  <c r="K653" i="6"/>
  <c r="L652" i="6"/>
  <c r="E678" i="7"/>
  <c r="I677" i="7"/>
  <c r="J677" i="7" s="1"/>
  <c r="F677" i="7"/>
  <c r="H681" i="7"/>
  <c r="G682" i="7"/>
  <c r="G683" i="7" l="1"/>
  <c r="H682" i="7"/>
  <c r="E679" i="7"/>
  <c r="F678" i="7"/>
  <c r="I678" i="7" s="1"/>
  <c r="J678" i="7" s="1"/>
  <c r="M654" i="6"/>
  <c r="N653" i="6"/>
  <c r="L653" i="6"/>
  <c r="K654" i="6"/>
  <c r="E680" i="8"/>
  <c r="F679" i="8"/>
  <c r="I679" i="8" s="1"/>
  <c r="J679" i="8" s="1"/>
  <c r="I655" i="6"/>
  <c r="J654" i="6"/>
  <c r="H653" i="6"/>
  <c r="O653" i="6" s="1"/>
  <c r="P653" i="6" s="1"/>
  <c r="G654" i="6"/>
  <c r="G680" i="8"/>
  <c r="H679" i="8"/>
  <c r="K655" i="6" l="1"/>
  <c r="L654" i="6"/>
  <c r="J655" i="6"/>
  <c r="I656" i="6"/>
  <c r="E681" i="8"/>
  <c r="F680" i="8"/>
  <c r="N654" i="6"/>
  <c r="M655" i="6"/>
  <c r="F679" i="7"/>
  <c r="I679" i="7" s="1"/>
  <c r="J679" i="7" s="1"/>
  <c r="E680" i="7"/>
  <c r="H680" i="8"/>
  <c r="I680" i="8" s="1"/>
  <c r="J680" i="8" s="1"/>
  <c r="G681" i="8"/>
  <c r="G655" i="6"/>
  <c r="H654" i="6"/>
  <c r="O654" i="6" s="1"/>
  <c r="P654" i="6" s="1"/>
  <c r="G684" i="7"/>
  <c r="H683" i="7"/>
  <c r="M656" i="6" l="1"/>
  <c r="N655" i="6"/>
  <c r="H655" i="6"/>
  <c r="O655" i="6" s="1"/>
  <c r="P655" i="6" s="1"/>
  <c r="G656" i="6"/>
  <c r="G682" i="8"/>
  <c r="H681" i="8"/>
  <c r="E681" i="7"/>
  <c r="F680" i="7"/>
  <c r="I680" i="7" s="1"/>
  <c r="J680" i="7" s="1"/>
  <c r="F681" i="8"/>
  <c r="I681" i="8" s="1"/>
  <c r="J681" i="8" s="1"/>
  <c r="E682" i="8"/>
  <c r="J656" i="6"/>
  <c r="I657" i="6"/>
  <c r="H684" i="7"/>
  <c r="G685" i="7"/>
  <c r="K656" i="6"/>
  <c r="L655" i="6"/>
  <c r="F681" i="7" l="1"/>
  <c r="I681" i="7" s="1"/>
  <c r="J681" i="7" s="1"/>
  <c r="E682" i="7"/>
  <c r="J657" i="6"/>
  <c r="I658" i="6"/>
  <c r="E683" i="8"/>
  <c r="F682" i="8"/>
  <c r="I682" i="8" s="1"/>
  <c r="J682" i="8" s="1"/>
  <c r="H682" i="8"/>
  <c r="G683" i="8"/>
  <c r="H656" i="6"/>
  <c r="O656" i="6" s="1"/>
  <c r="P656" i="6" s="1"/>
  <c r="G657" i="6"/>
  <c r="L656" i="6"/>
  <c r="K657" i="6"/>
  <c r="G686" i="7"/>
  <c r="H685" i="7"/>
  <c r="N656" i="6"/>
  <c r="M657" i="6"/>
  <c r="G684" i="8" l="1"/>
  <c r="H683" i="8"/>
  <c r="I683" i="8" s="1"/>
  <c r="J683" i="8" s="1"/>
  <c r="L657" i="6"/>
  <c r="O657" i="6" s="1"/>
  <c r="P657" i="6" s="1"/>
  <c r="K658" i="6"/>
  <c r="G687" i="7"/>
  <c r="H686" i="7"/>
  <c r="H657" i="6"/>
  <c r="G658" i="6"/>
  <c r="F683" i="8"/>
  <c r="E684" i="8"/>
  <c r="J658" i="6"/>
  <c r="I659" i="6"/>
  <c r="M658" i="6"/>
  <c r="N657" i="6"/>
  <c r="E683" i="7"/>
  <c r="F682" i="7"/>
  <c r="I682" i="7" s="1"/>
  <c r="J682" i="7" s="1"/>
  <c r="E685" i="8" l="1"/>
  <c r="F684" i="8"/>
  <c r="I684" i="8" s="1"/>
  <c r="J684" i="8" s="1"/>
  <c r="N658" i="6"/>
  <c r="M659" i="6"/>
  <c r="I660" i="6"/>
  <c r="J659" i="6"/>
  <c r="H658" i="6"/>
  <c r="O658" i="6" s="1"/>
  <c r="P658" i="6" s="1"/>
  <c r="G659" i="6"/>
  <c r="G688" i="7"/>
  <c r="H687" i="7"/>
  <c r="L658" i="6"/>
  <c r="K659" i="6"/>
  <c r="E684" i="7"/>
  <c r="F683" i="7"/>
  <c r="I683" i="7" s="1"/>
  <c r="J683" i="7" s="1"/>
  <c r="H684" i="8"/>
  <c r="G685" i="8"/>
  <c r="G660" i="6" l="1"/>
  <c r="H659" i="6"/>
  <c r="O659" i="6" s="1"/>
  <c r="P659" i="6" s="1"/>
  <c r="H685" i="8"/>
  <c r="G686" i="8"/>
  <c r="G689" i="7"/>
  <c r="H688" i="7"/>
  <c r="I661" i="6"/>
  <c r="J660" i="6"/>
  <c r="E685" i="7"/>
  <c r="F684" i="7"/>
  <c r="I684" i="7" s="1"/>
  <c r="J684" i="7" s="1"/>
  <c r="L659" i="6"/>
  <c r="K660" i="6"/>
  <c r="N659" i="6"/>
  <c r="M660" i="6"/>
  <c r="F685" i="8"/>
  <c r="I685" i="8" s="1"/>
  <c r="J685" i="8" s="1"/>
  <c r="E686" i="8"/>
  <c r="L660" i="6" l="1"/>
  <c r="K661" i="6"/>
  <c r="E686" i="7"/>
  <c r="F685" i="7"/>
  <c r="I685" i="7" s="1"/>
  <c r="J685" i="7" s="1"/>
  <c r="J661" i="6"/>
  <c r="I662" i="6"/>
  <c r="G690" i="7"/>
  <c r="H689" i="7"/>
  <c r="H686" i="8"/>
  <c r="G687" i="8"/>
  <c r="N660" i="6"/>
  <c r="M661" i="6"/>
  <c r="E687" i="8"/>
  <c r="F686" i="8"/>
  <c r="I686" i="8" s="1"/>
  <c r="J686" i="8" s="1"/>
  <c r="H660" i="6"/>
  <c r="O660" i="6" s="1"/>
  <c r="P660" i="6" s="1"/>
  <c r="G661" i="6"/>
  <c r="H687" i="8" l="1"/>
  <c r="G688" i="8"/>
  <c r="F687" i="8"/>
  <c r="I687" i="8" s="1"/>
  <c r="J687" i="8" s="1"/>
  <c r="E688" i="8"/>
  <c r="H690" i="7"/>
  <c r="G691" i="7"/>
  <c r="I663" i="6"/>
  <c r="J662" i="6"/>
  <c r="E687" i="7"/>
  <c r="F686" i="7"/>
  <c r="I686" i="7" s="1"/>
  <c r="J686" i="7" s="1"/>
  <c r="M662" i="6"/>
  <c r="N661" i="6"/>
  <c r="H661" i="6"/>
  <c r="O661" i="6" s="1"/>
  <c r="P661" i="6" s="1"/>
  <c r="G662" i="6"/>
  <c r="L661" i="6"/>
  <c r="K662" i="6"/>
  <c r="G663" i="6" l="1"/>
  <c r="H662" i="6"/>
  <c r="O662" i="6" s="1"/>
  <c r="P662" i="6" s="1"/>
  <c r="I664" i="6"/>
  <c r="J663" i="6"/>
  <c r="N662" i="6"/>
  <c r="M663" i="6"/>
  <c r="E688" i="7"/>
  <c r="F687" i="7"/>
  <c r="I687" i="7" s="1"/>
  <c r="J687" i="7" s="1"/>
  <c r="G692" i="7"/>
  <c r="H691" i="7"/>
  <c r="E689" i="8"/>
  <c r="F688" i="8"/>
  <c r="I688" i="8" s="1"/>
  <c r="J688" i="8" s="1"/>
  <c r="L662" i="6"/>
  <c r="K663" i="6"/>
  <c r="H688" i="8"/>
  <c r="G689" i="8"/>
  <c r="F689" i="8" l="1"/>
  <c r="I689" i="8" s="1"/>
  <c r="J689" i="8" s="1"/>
  <c r="E690" i="8"/>
  <c r="H692" i="7"/>
  <c r="G693" i="7"/>
  <c r="E689" i="7"/>
  <c r="F688" i="7"/>
  <c r="I688" i="7"/>
  <c r="J688" i="7" s="1"/>
  <c r="M664" i="6"/>
  <c r="N663" i="6"/>
  <c r="J664" i="6"/>
  <c r="I665" i="6"/>
  <c r="G664" i="6"/>
  <c r="H663" i="6"/>
  <c r="G690" i="8"/>
  <c r="H689" i="8"/>
  <c r="K664" i="6"/>
  <c r="L663" i="6"/>
  <c r="O663" i="6" s="1"/>
  <c r="P663" i="6" s="1"/>
  <c r="H664" i="6" l="1"/>
  <c r="O664" i="6" s="1"/>
  <c r="P664" i="6" s="1"/>
  <c r="G665" i="6"/>
  <c r="N664" i="6"/>
  <c r="M665" i="6"/>
  <c r="H690" i="8"/>
  <c r="G691" i="8"/>
  <c r="J665" i="6"/>
  <c r="I666" i="6"/>
  <c r="E690" i="7"/>
  <c r="F689" i="7"/>
  <c r="I689" i="7" s="1"/>
  <c r="J689" i="7" s="1"/>
  <c r="G694" i="7"/>
  <c r="H693" i="7"/>
  <c r="E691" i="8"/>
  <c r="I690" i="8"/>
  <c r="J690" i="8" s="1"/>
  <c r="F690" i="8"/>
  <c r="K665" i="6"/>
  <c r="L664" i="6"/>
  <c r="I667" i="6" l="1"/>
  <c r="J666" i="6"/>
  <c r="G692" i="8"/>
  <c r="H691" i="8"/>
  <c r="N665" i="6"/>
  <c r="M666" i="6"/>
  <c r="E691" i="7"/>
  <c r="F690" i="7"/>
  <c r="I690" i="7" s="1"/>
  <c r="J690" i="7" s="1"/>
  <c r="G695" i="7"/>
  <c r="H694" i="7"/>
  <c r="L665" i="6"/>
  <c r="K666" i="6"/>
  <c r="H665" i="6"/>
  <c r="O665" i="6" s="1"/>
  <c r="P665" i="6" s="1"/>
  <c r="G666" i="6"/>
  <c r="F691" i="8"/>
  <c r="I691" i="8" s="1"/>
  <c r="J691" i="8" s="1"/>
  <c r="E692" i="8"/>
  <c r="H666" i="6" l="1"/>
  <c r="O666" i="6" s="1"/>
  <c r="P666" i="6" s="1"/>
  <c r="G667" i="6"/>
  <c r="H695" i="7"/>
  <c r="G696" i="7"/>
  <c r="L666" i="6"/>
  <c r="K667" i="6"/>
  <c r="E692" i="7"/>
  <c r="F691" i="7"/>
  <c r="I691" i="7" s="1"/>
  <c r="J691" i="7" s="1"/>
  <c r="N666" i="6"/>
  <c r="M667" i="6"/>
  <c r="E693" i="8"/>
  <c r="F692" i="8"/>
  <c r="I692" i="8" s="1"/>
  <c r="J692" i="8" s="1"/>
  <c r="H692" i="8"/>
  <c r="G693" i="8"/>
  <c r="J667" i="6"/>
  <c r="I668" i="6"/>
  <c r="M668" i="6" l="1"/>
  <c r="N667" i="6"/>
  <c r="G694" i="8"/>
  <c r="H693" i="8"/>
  <c r="E693" i="7"/>
  <c r="I692" i="7"/>
  <c r="J692" i="7" s="1"/>
  <c r="F692" i="7"/>
  <c r="E694" i="8"/>
  <c r="F693" i="8"/>
  <c r="I693" i="8" s="1"/>
  <c r="J693" i="8" s="1"/>
  <c r="K668" i="6"/>
  <c r="L667" i="6"/>
  <c r="G697" i="7"/>
  <c r="H696" i="7"/>
  <c r="J668" i="6"/>
  <c r="I669" i="6"/>
  <c r="H667" i="6"/>
  <c r="O667" i="6" s="1"/>
  <c r="P667" i="6" s="1"/>
  <c r="G668" i="6"/>
  <c r="K669" i="6" l="1"/>
  <c r="L668" i="6"/>
  <c r="F694" i="8"/>
  <c r="I694" i="8" s="1"/>
  <c r="J694" i="8" s="1"/>
  <c r="E695" i="8"/>
  <c r="H697" i="7"/>
  <c r="G698" i="7"/>
  <c r="J669" i="6"/>
  <c r="I670" i="6"/>
  <c r="F693" i="7"/>
  <c r="E694" i="7"/>
  <c r="I693" i="7"/>
  <c r="J693" i="7" s="1"/>
  <c r="H694" i="8"/>
  <c r="G695" i="8"/>
  <c r="H668" i="6"/>
  <c r="O668" i="6"/>
  <c r="P668" i="6" s="1"/>
  <c r="G669" i="6"/>
  <c r="N668" i="6"/>
  <c r="M669" i="6"/>
  <c r="J670" i="6" l="1"/>
  <c r="I671" i="6"/>
  <c r="G696" i="8"/>
  <c r="H695" i="8"/>
  <c r="G699" i="7"/>
  <c r="H698" i="7"/>
  <c r="E695" i="7"/>
  <c r="F694" i="7"/>
  <c r="I694" i="7" s="1"/>
  <c r="J694" i="7" s="1"/>
  <c r="E696" i="8"/>
  <c r="F695" i="8"/>
  <c r="I695" i="8" s="1"/>
  <c r="J695" i="8" s="1"/>
  <c r="M670" i="6"/>
  <c r="N669" i="6"/>
  <c r="G670" i="6"/>
  <c r="H669" i="6"/>
  <c r="O669" i="6" s="1"/>
  <c r="P669" i="6" s="1"/>
  <c r="L669" i="6"/>
  <c r="K670" i="6"/>
  <c r="F696" i="8" l="1"/>
  <c r="I696" i="8" s="1"/>
  <c r="J696" i="8" s="1"/>
  <c r="E697" i="8"/>
  <c r="N670" i="6"/>
  <c r="M671" i="6"/>
  <c r="F695" i="7"/>
  <c r="I695" i="7" s="1"/>
  <c r="J695" i="7" s="1"/>
  <c r="E696" i="7"/>
  <c r="G700" i="7"/>
  <c r="H699" i="7"/>
  <c r="K671" i="6"/>
  <c r="L670" i="6"/>
  <c r="H696" i="8"/>
  <c r="G697" i="8"/>
  <c r="H670" i="6"/>
  <c r="O670" i="6" s="1"/>
  <c r="P670" i="6" s="1"/>
  <c r="G671" i="6"/>
  <c r="I672" i="6"/>
  <c r="J671" i="6"/>
  <c r="G672" i="6" l="1"/>
  <c r="H671" i="6"/>
  <c r="O671" i="6" s="1"/>
  <c r="P671" i="6" s="1"/>
  <c r="K672" i="6"/>
  <c r="L671" i="6"/>
  <c r="E697" i="7"/>
  <c r="I696" i="7"/>
  <c r="J696" i="7" s="1"/>
  <c r="F696" i="7"/>
  <c r="G701" i="7"/>
  <c r="H700" i="7"/>
  <c r="G698" i="8"/>
  <c r="H697" i="8"/>
  <c r="N671" i="6"/>
  <c r="M672" i="6"/>
  <c r="E698" i="8"/>
  <c r="F697" i="8"/>
  <c r="I697" i="8" s="1"/>
  <c r="J697" i="8" s="1"/>
  <c r="I673" i="6"/>
  <c r="J672" i="6"/>
  <c r="G702" i="7" l="1"/>
  <c r="H701" i="7"/>
  <c r="M673" i="6"/>
  <c r="N672" i="6"/>
  <c r="I697" i="7"/>
  <c r="J697" i="7" s="1"/>
  <c r="E698" i="7"/>
  <c r="F697" i="7"/>
  <c r="L672" i="6"/>
  <c r="K673" i="6"/>
  <c r="F698" i="8"/>
  <c r="I698" i="8" s="1"/>
  <c r="J698" i="8" s="1"/>
  <c r="E699" i="8"/>
  <c r="J673" i="6"/>
  <c r="I674" i="6"/>
  <c r="H672" i="6"/>
  <c r="O672" i="6" s="1"/>
  <c r="P672" i="6" s="1"/>
  <c r="G673" i="6"/>
  <c r="H698" i="8"/>
  <c r="G699" i="8"/>
  <c r="I675" i="6" l="1"/>
  <c r="J674" i="6"/>
  <c r="L673" i="6"/>
  <c r="K674" i="6"/>
  <c r="E700" i="8"/>
  <c r="F699" i="8"/>
  <c r="E699" i="7"/>
  <c r="F698" i="7"/>
  <c r="I698" i="7"/>
  <c r="J698" i="7" s="1"/>
  <c r="G700" i="8"/>
  <c r="H699" i="8"/>
  <c r="I699" i="8" s="1"/>
  <c r="J699" i="8" s="1"/>
  <c r="M674" i="6"/>
  <c r="N673" i="6"/>
  <c r="H673" i="6"/>
  <c r="O673" i="6" s="1"/>
  <c r="P673" i="6" s="1"/>
  <c r="G674" i="6"/>
  <c r="G703" i="7"/>
  <c r="H702" i="7"/>
  <c r="H674" i="6" l="1"/>
  <c r="O674" i="6" s="1"/>
  <c r="P674" i="6" s="1"/>
  <c r="G675" i="6"/>
  <c r="H700" i="8"/>
  <c r="G701" i="8"/>
  <c r="I699" i="7"/>
  <c r="J699" i="7" s="1"/>
  <c r="E700" i="7"/>
  <c r="F699" i="7"/>
  <c r="E701" i="8"/>
  <c r="F700" i="8"/>
  <c r="I700" i="8" s="1"/>
  <c r="J700" i="8" s="1"/>
  <c r="L674" i="6"/>
  <c r="K675" i="6"/>
  <c r="N674" i="6"/>
  <c r="M675" i="6"/>
  <c r="G704" i="7"/>
  <c r="H703" i="7"/>
  <c r="I676" i="6"/>
  <c r="J675" i="6"/>
  <c r="F701" i="8" l="1"/>
  <c r="I701" i="8" s="1"/>
  <c r="J701" i="8" s="1"/>
  <c r="E702" i="8"/>
  <c r="J676" i="6"/>
  <c r="I677" i="6"/>
  <c r="G705" i="7"/>
  <c r="H704" i="7"/>
  <c r="M676" i="6"/>
  <c r="N675" i="6"/>
  <c r="E701" i="7"/>
  <c r="F700" i="7"/>
  <c r="I700" i="7" s="1"/>
  <c r="J700" i="7" s="1"/>
  <c r="K676" i="6"/>
  <c r="L675" i="6"/>
  <c r="O675" i="6" s="1"/>
  <c r="P675" i="6" s="1"/>
  <c r="G702" i="8"/>
  <c r="H701" i="8"/>
  <c r="H675" i="6"/>
  <c r="G676" i="6"/>
  <c r="E702" i="7" l="1"/>
  <c r="F701" i="7"/>
  <c r="I701" i="7" s="1"/>
  <c r="J701" i="7" s="1"/>
  <c r="H702" i="8"/>
  <c r="G703" i="8"/>
  <c r="M677" i="6"/>
  <c r="N676" i="6"/>
  <c r="G706" i="7"/>
  <c r="H705" i="7"/>
  <c r="J677" i="6"/>
  <c r="I678" i="6"/>
  <c r="L676" i="6"/>
  <c r="K677" i="6"/>
  <c r="H676" i="6"/>
  <c r="O676" i="6" s="1"/>
  <c r="P676" i="6" s="1"/>
  <c r="G677" i="6"/>
  <c r="E703" i="8"/>
  <c r="F702" i="8"/>
  <c r="I702" i="8" s="1"/>
  <c r="J702" i="8" s="1"/>
  <c r="H706" i="7" l="1"/>
  <c r="G707" i="7"/>
  <c r="G678" i="6"/>
  <c r="H677" i="6"/>
  <c r="O677" i="6" s="1"/>
  <c r="P677" i="6" s="1"/>
  <c r="I679" i="6"/>
  <c r="J678" i="6"/>
  <c r="L677" i="6"/>
  <c r="K678" i="6"/>
  <c r="M678" i="6"/>
  <c r="N677" i="6"/>
  <c r="G704" i="8"/>
  <c r="H703" i="8"/>
  <c r="F703" i="8"/>
  <c r="I703" i="8" s="1"/>
  <c r="J703" i="8" s="1"/>
  <c r="E704" i="8"/>
  <c r="E703" i="7"/>
  <c r="F702" i="7"/>
  <c r="I702" i="7" s="1"/>
  <c r="J702" i="7" s="1"/>
  <c r="K679" i="6" l="1"/>
  <c r="L678" i="6"/>
  <c r="E705" i="8"/>
  <c r="F704" i="8"/>
  <c r="I704" i="8" s="1"/>
  <c r="J704" i="8" s="1"/>
  <c r="G679" i="6"/>
  <c r="H678" i="6"/>
  <c r="O678" i="6" s="1"/>
  <c r="P678" i="6" s="1"/>
  <c r="H704" i="8"/>
  <c r="G705" i="8"/>
  <c r="N678" i="6"/>
  <c r="M679" i="6"/>
  <c r="I680" i="6"/>
  <c r="J679" i="6"/>
  <c r="H707" i="7"/>
  <c r="G708" i="7"/>
  <c r="E704" i="7"/>
  <c r="F703" i="7"/>
  <c r="I703" i="7" s="1"/>
  <c r="J703" i="7" s="1"/>
  <c r="N679" i="6" l="1"/>
  <c r="M680" i="6"/>
  <c r="G706" i="8"/>
  <c r="H705" i="8"/>
  <c r="G709" i="7"/>
  <c r="H708" i="7"/>
  <c r="I681" i="6"/>
  <c r="J680" i="6"/>
  <c r="H679" i="6"/>
  <c r="O679" i="6" s="1"/>
  <c r="P679" i="6" s="1"/>
  <c r="G680" i="6"/>
  <c r="F705" i="8"/>
  <c r="I705" i="8" s="1"/>
  <c r="J705" i="8" s="1"/>
  <c r="E706" i="8"/>
  <c r="E705" i="7"/>
  <c r="F704" i="7"/>
  <c r="I704" i="7" s="1"/>
  <c r="J704" i="7" s="1"/>
  <c r="L679" i="6"/>
  <c r="K680" i="6"/>
  <c r="F705" i="7" l="1"/>
  <c r="I705" i="7" s="1"/>
  <c r="J705" i="7" s="1"/>
  <c r="E706" i="7"/>
  <c r="H680" i="6"/>
  <c r="O680" i="6" s="1"/>
  <c r="P680" i="6" s="1"/>
  <c r="G681" i="6"/>
  <c r="E707" i="8"/>
  <c r="F706" i="8"/>
  <c r="I706" i="8" s="1"/>
  <c r="J706" i="8" s="1"/>
  <c r="J681" i="6"/>
  <c r="I682" i="6"/>
  <c r="H709" i="7"/>
  <c r="G710" i="7"/>
  <c r="H706" i="8"/>
  <c r="G707" i="8"/>
  <c r="K681" i="6"/>
  <c r="L680" i="6"/>
  <c r="M681" i="6"/>
  <c r="N680" i="6"/>
  <c r="J682" i="6" l="1"/>
  <c r="I683" i="6"/>
  <c r="F707" i="8"/>
  <c r="I707" i="8" s="1"/>
  <c r="J707" i="8" s="1"/>
  <c r="E708" i="8"/>
  <c r="L681" i="6"/>
  <c r="K682" i="6"/>
  <c r="G711" i="7"/>
  <c r="H710" i="7"/>
  <c r="G682" i="6"/>
  <c r="H681" i="6"/>
  <c r="O681" i="6" s="1"/>
  <c r="P681" i="6" s="1"/>
  <c r="M682" i="6"/>
  <c r="N681" i="6"/>
  <c r="E707" i="7"/>
  <c r="F706" i="7"/>
  <c r="I706" i="7" s="1"/>
  <c r="J706" i="7" s="1"/>
  <c r="G708" i="8"/>
  <c r="H707" i="8"/>
  <c r="N682" i="6" l="1"/>
  <c r="M683" i="6"/>
  <c r="F707" i="7"/>
  <c r="I707" i="7" s="1"/>
  <c r="J707" i="7" s="1"/>
  <c r="E708" i="7"/>
  <c r="O682" i="6"/>
  <c r="P682" i="6" s="1"/>
  <c r="H682" i="6"/>
  <c r="G683" i="6"/>
  <c r="G712" i="7"/>
  <c r="H711" i="7"/>
  <c r="L682" i="6"/>
  <c r="K683" i="6"/>
  <c r="F708" i="8"/>
  <c r="E709" i="8"/>
  <c r="H708" i="8"/>
  <c r="I708" i="8" s="1"/>
  <c r="J708" i="8" s="1"/>
  <c r="G709" i="8"/>
  <c r="I684" i="6"/>
  <c r="J683" i="6"/>
  <c r="E710" i="8" l="1"/>
  <c r="F709" i="8"/>
  <c r="I709" i="8" s="1"/>
  <c r="J709" i="8" s="1"/>
  <c r="G713" i="7"/>
  <c r="H712" i="7"/>
  <c r="G684" i="6"/>
  <c r="H683" i="6"/>
  <c r="O683" i="6" s="1"/>
  <c r="P683" i="6" s="1"/>
  <c r="L683" i="6"/>
  <c r="K684" i="6"/>
  <c r="E709" i="7"/>
  <c r="F708" i="7"/>
  <c r="I708" i="7" s="1"/>
  <c r="J708" i="7" s="1"/>
  <c r="J684" i="6"/>
  <c r="I685" i="6"/>
  <c r="N683" i="6"/>
  <c r="M684" i="6"/>
  <c r="G710" i="8"/>
  <c r="H709" i="8"/>
  <c r="K685" i="6" l="1"/>
  <c r="L684" i="6"/>
  <c r="E710" i="7"/>
  <c r="F709" i="7"/>
  <c r="I709" i="7" s="1"/>
  <c r="J709" i="7" s="1"/>
  <c r="H684" i="6"/>
  <c r="O684" i="6" s="1"/>
  <c r="P684" i="6" s="1"/>
  <c r="G685" i="6"/>
  <c r="H713" i="7"/>
  <c r="G714" i="7"/>
  <c r="J685" i="6"/>
  <c r="I686" i="6"/>
  <c r="H710" i="8"/>
  <c r="I710" i="8" s="1"/>
  <c r="J710" i="8" s="1"/>
  <c r="G711" i="8"/>
  <c r="M685" i="6"/>
  <c r="N684" i="6"/>
  <c r="F710" i="8"/>
  <c r="E711" i="8"/>
  <c r="N685" i="6" l="1"/>
  <c r="M686" i="6"/>
  <c r="I687" i="6"/>
  <c r="J686" i="6"/>
  <c r="G715" i="7"/>
  <c r="H714" i="7"/>
  <c r="G686" i="6"/>
  <c r="H685" i="6"/>
  <c r="O685" i="6" s="1"/>
  <c r="P685" i="6" s="1"/>
  <c r="E712" i="8"/>
  <c r="F711" i="8"/>
  <c r="I711" i="8" s="1"/>
  <c r="J711" i="8" s="1"/>
  <c r="E711" i="7"/>
  <c r="F710" i="7"/>
  <c r="I710" i="7" s="1"/>
  <c r="J710" i="7" s="1"/>
  <c r="G712" i="8"/>
  <c r="H711" i="8"/>
  <c r="L685" i="6"/>
  <c r="K686" i="6"/>
  <c r="H712" i="8" l="1"/>
  <c r="G713" i="8"/>
  <c r="G687" i="6"/>
  <c r="H686" i="6"/>
  <c r="O686" i="6" s="1"/>
  <c r="P686" i="6" s="1"/>
  <c r="F711" i="7"/>
  <c r="I711" i="7" s="1"/>
  <c r="J711" i="7" s="1"/>
  <c r="E712" i="7"/>
  <c r="F712" i="8"/>
  <c r="I712" i="8" s="1"/>
  <c r="J712" i="8" s="1"/>
  <c r="E713" i="8"/>
  <c r="G716" i="7"/>
  <c r="H715" i="7"/>
  <c r="K687" i="6"/>
  <c r="L686" i="6"/>
  <c r="I688" i="6"/>
  <c r="J687" i="6"/>
  <c r="N686" i="6"/>
  <c r="M687" i="6"/>
  <c r="K688" i="6" l="1"/>
  <c r="L687" i="6"/>
  <c r="I689" i="6"/>
  <c r="J688" i="6"/>
  <c r="E714" i="8"/>
  <c r="F713" i="8"/>
  <c r="I713" i="8" s="1"/>
  <c r="J713" i="8" s="1"/>
  <c r="E713" i="7"/>
  <c r="F712" i="7"/>
  <c r="I712" i="7" s="1"/>
  <c r="J712" i="7" s="1"/>
  <c r="H716" i="7"/>
  <c r="G717" i="7"/>
  <c r="M688" i="6"/>
  <c r="N687" i="6"/>
  <c r="H687" i="6"/>
  <c r="O687" i="6" s="1"/>
  <c r="P687" i="6" s="1"/>
  <c r="G688" i="6"/>
  <c r="G714" i="8"/>
  <c r="H713" i="8"/>
  <c r="F713" i="7" l="1"/>
  <c r="I713" i="7" s="1"/>
  <c r="J713" i="7" s="1"/>
  <c r="E714" i="7"/>
  <c r="J689" i="6"/>
  <c r="I690" i="6"/>
  <c r="M689" i="6"/>
  <c r="N688" i="6"/>
  <c r="F714" i="8"/>
  <c r="E715" i="8"/>
  <c r="H714" i="8"/>
  <c r="I714" i="8" s="1"/>
  <c r="J714" i="8" s="1"/>
  <c r="G715" i="8"/>
  <c r="G718" i="7"/>
  <c r="H717" i="7"/>
  <c r="H688" i="6"/>
  <c r="O688" i="6" s="1"/>
  <c r="P688" i="6" s="1"/>
  <c r="G689" i="6"/>
  <c r="K689" i="6"/>
  <c r="L688" i="6"/>
  <c r="F715" i="8" l="1"/>
  <c r="I715" i="8" s="1"/>
  <c r="J715" i="8" s="1"/>
  <c r="E716" i="8"/>
  <c r="G716" i="8"/>
  <c r="H715" i="8"/>
  <c r="J690" i="6"/>
  <c r="I691" i="6"/>
  <c r="E715" i="7"/>
  <c r="F714" i="7"/>
  <c r="I714" i="7" s="1"/>
  <c r="J714" i="7" s="1"/>
  <c r="H718" i="7"/>
  <c r="G719" i="7"/>
  <c r="N689" i="6"/>
  <c r="M690" i="6"/>
  <c r="L689" i="6"/>
  <c r="K690" i="6"/>
  <c r="H689" i="6"/>
  <c r="O689" i="6" s="1"/>
  <c r="P689" i="6" s="1"/>
  <c r="G690" i="6"/>
  <c r="L690" i="6" l="1"/>
  <c r="K691" i="6"/>
  <c r="N690" i="6"/>
  <c r="M691" i="6"/>
  <c r="G720" i="7"/>
  <c r="H719" i="7"/>
  <c r="E716" i="7"/>
  <c r="F715" i="7"/>
  <c r="I715" i="7" s="1"/>
  <c r="J715" i="7" s="1"/>
  <c r="I692" i="6"/>
  <c r="J691" i="6"/>
  <c r="H716" i="8"/>
  <c r="G717" i="8"/>
  <c r="H690" i="6"/>
  <c r="G691" i="6"/>
  <c r="O690" i="6"/>
  <c r="P690" i="6" s="1"/>
  <c r="F716" i="8"/>
  <c r="I716" i="8" s="1"/>
  <c r="J716" i="8" s="1"/>
  <c r="E717" i="8"/>
  <c r="G692" i="6" l="1"/>
  <c r="H691" i="6"/>
  <c r="O691" i="6" s="1"/>
  <c r="P691" i="6" s="1"/>
  <c r="G718" i="8"/>
  <c r="H717" i="8"/>
  <c r="I693" i="6"/>
  <c r="J692" i="6"/>
  <c r="E717" i="7"/>
  <c r="F716" i="7"/>
  <c r="I716" i="7" s="1"/>
  <c r="J716" i="7" s="1"/>
  <c r="G721" i="7"/>
  <c r="H720" i="7"/>
  <c r="N691" i="6"/>
  <c r="M692" i="6"/>
  <c r="F717" i="8"/>
  <c r="I717" i="8" s="1"/>
  <c r="J717" i="8" s="1"/>
  <c r="E718" i="8"/>
  <c r="L691" i="6"/>
  <c r="K692" i="6"/>
  <c r="G722" i="7" l="1"/>
  <c r="H721" i="7"/>
  <c r="E718" i="7"/>
  <c r="F717" i="7"/>
  <c r="I717" i="7" s="1"/>
  <c r="J717" i="7" s="1"/>
  <c r="M693" i="6"/>
  <c r="N692" i="6"/>
  <c r="H718" i="8"/>
  <c r="G719" i="8"/>
  <c r="J693" i="6"/>
  <c r="I694" i="6"/>
  <c r="K693" i="6"/>
  <c r="L692" i="6"/>
  <c r="F718" i="8"/>
  <c r="I718" i="8" s="1"/>
  <c r="J718" i="8" s="1"/>
  <c r="E719" i="8"/>
  <c r="H692" i="6"/>
  <c r="O692" i="6" s="1"/>
  <c r="P692" i="6" s="1"/>
  <c r="G693" i="6"/>
  <c r="G720" i="8" l="1"/>
  <c r="H719" i="8"/>
  <c r="E720" i="8"/>
  <c r="F719" i="8"/>
  <c r="I719" i="8" s="1"/>
  <c r="J719" i="8" s="1"/>
  <c r="L693" i="6"/>
  <c r="K694" i="6"/>
  <c r="N693" i="6"/>
  <c r="M694" i="6"/>
  <c r="I695" i="6"/>
  <c r="J694" i="6"/>
  <c r="E719" i="7"/>
  <c r="F718" i="7"/>
  <c r="I718" i="7" s="1"/>
  <c r="J718" i="7" s="1"/>
  <c r="H693" i="6"/>
  <c r="O693" i="6" s="1"/>
  <c r="P693" i="6" s="1"/>
  <c r="G694" i="6"/>
  <c r="H722" i="7"/>
  <c r="G723" i="7"/>
  <c r="E720" i="7" l="1"/>
  <c r="F719" i="7"/>
  <c r="I719" i="7" s="1"/>
  <c r="J719" i="7" s="1"/>
  <c r="I696" i="6"/>
  <c r="J695" i="6"/>
  <c r="N694" i="6"/>
  <c r="M695" i="6"/>
  <c r="K695" i="6"/>
  <c r="L694" i="6"/>
  <c r="H723" i="7"/>
  <c r="G724" i="7"/>
  <c r="F720" i="8"/>
  <c r="I720" i="8" s="1"/>
  <c r="J720" i="8" s="1"/>
  <c r="E721" i="8"/>
  <c r="G695" i="6"/>
  <c r="H694" i="6"/>
  <c r="O694" i="6" s="1"/>
  <c r="P694" i="6" s="1"/>
  <c r="H720" i="8"/>
  <c r="G721" i="8"/>
  <c r="H695" i="6" l="1"/>
  <c r="O695" i="6" s="1"/>
  <c r="P695" i="6" s="1"/>
  <c r="G696" i="6"/>
  <c r="K696" i="6"/>
  <c r="L695" i="6"/>
  <c r="M696" i="6"/>
  <c r="N695" i="6"/>
  <c r="G725" i="7"/>
  <c r="H724" i="7"/>
  <c r="I697" i="6"/>
  <c r="J696" i="6"/>
  <c r="E722" i="8"/>
  <c r="F721" i="8"/>
  <c r="G722" i="8"/>
  <c r="H721" i="8"/>
  <c r="I721" i="8" s="1"/>
  <c r="J721" i="8" s="1"/>
  <c r="E721" i="7"/>
  <c r="F720" i="7"/>
  <c r="I720" i="7"/>
  <c r="J720" i="7" s="1"/>
  <c r="H725" i="7" l="1"/>
  <c r="G726" i="7"/>
  <c r="F722" i="8"/>
  <c r="I722" i="8" s="1"/>
  <c r="J722" i="8" s="1"/>
  <c r="E723" i="8"/>
  <c r="J697" i="6"/>
  <c r="I698" i="6"/>
  <c r="M697" i="6"/>
  <c r="N696" i="6"/>
  <c r="K697" i="6"/>
  <c r="L696" i="6"/>
  <c r="H722" i="8"/>
  <c r="G723" i="8"/>
  <c r="H696" i="6"/>
  <c r="O696" i="6" s="1"/>
  <c r="P696" i="6" s="1"/>
  <c r="G697" i="6"/>
  <c r="F721" i="7"/>
  <c r="I721" i="7" s="1"/>
  <c r="J721" i="7" s="1"/>
  <c r="E722" i="7"/>
  <c r="G698" i="6" l="1"/>
  <c r="H697" i="6"/>
  <c r="O697" i="6" s="1"/>
  <c r="P697" i="6" s="1"/>
  <c r="L697" i="6"/>
  <c r="K698" i="6"/>
  <c r="N697" i="6"/>
  <c r="M698" i="6"/>
  <c r="J698" i="6"/>
  <c r="I699" i="6"/>
  <c r="G724" i="8"/>
  <c r="H723" i="8"/>
  <c r="E724" i="8"/>
  <c r="F723" i="8"/>
  <c r="I723" i="8" s="1"/>
  <c r="J723" i="8" s="1"/>
  <c r="G727" i="7"/>
  <c r="H726" i="7"/>
  <c r="E723" i="7"/>
  <c r="F722" i="7"/>
  <c r="I722" i="7" s="1"/>
  <c r="J722" i="7" s="1"/>
  <c r="H724" i="8" l="1"/>
  <c r="G725" i="8"/>
  <c r="G728" i="7"/>
  <c r="H727" i="7"/>
  <c r="N698" i="6"/>
  <c r="M699" i="6"/>
  <c r="F724" i="8"/>
  <c r="I724" i="8" s="1"/>
  <c r="J724" i="8" s="1"/>
  <c r="E725" i="8"/>
  <c r="I700" i="6"/>
  <c r="J699" i="6"/>
  <c r="K699" i="6"/>
  <c r="L698" i="6"/>
  <c r="F723" i="7"/>
  <c r="E724" i="7"/>
  <c r="I723" i="7"/>
  <c r="J723" i="7" s="1"/>
  <c r="H698" i="6"/>
  <c r="O698" i="6" s="1"/>
  <c r="P698" i="6" s="1"/>
  <c r="G699" i="6"/>
  <c r="E725" i="7" l="1"/>
  <c r="F724" i="7"/>
  <c r="I724" i="7" s="1"/>
  <c r="J724" i="7" s="1"/>
  <c r="L699" i="6"/>
  <c r="K700" i="6"/>
  <c r="I701" i="6"/>
  <c r="J700" i="6"/>
  <c r="F725" i="8"/>
  <c r="I725" i="8" s="1"/>
  <c r="J725" i="8" s="1"/>
  <c r="E726" i="8"/>
  <c r="N699" i="6"/>
  <c r="M700" i="6"/>
  <c r="G729" i="7"/>
  <c r="H728" i="7"/>
  <c r="O699" i="6"/>
  <c r="P699" i="6" s="1"/>
  <c r="G700" i="6"/>
  <c r="H699" i="6"/>
  <c r="G726" i="8"/>
  <c r="H725" i="8"/>
  <c r="F726" i="8" l="1"/>
  <c r="I726" i="8" s="1"/>
  <c r="J726" i="8" s="1"/>
  <c r="E727" i="8"/>
  <c r="H700" i="6"/>
  <c r="O700" i="6" s="1"/>
  <c r="P700" i="6" s="1"/>
  <c r="G701" i="6"/>
  <c r="H729" i="7"/>
  <c r="G730" i="7"/>
  <c r="M701" i="6"/>
  <c r="N700" i="6"/>
  <c r="J701" i="6"/>
  <c r="I702" i="6"/>
  <c r="K701" i="6"/>
  <c r="L700" i="6"/>
  <c r="H726" i="8"/>
  <c r="G727" i="8"/>
  <c r="I725" i="7"/>
  <c r="J725" i="7" s="1"/>
  <c r="F725" i="7"/>
  <c r="E726" i="7"/>
  <c r="M702" i="6" l="1"/>
  <c r="N701" i="6"/>
  <c r="G728" i="8"/>
  <c r="H727" i="8"/>
  <c r="G731" i="7"/>
  <c r="H730" i="7"/>
  <c r="I703" i="6"/>
  <c r="J702" i="6"/>
  <c r="H701" i="6"/>
  <c r="G702" i="6"/>
  <c r="L701" i="6"/>
  <c r="O701" i="6" s="1"/>
  <c r="P701" i="6" s="1"/>
  <c r="K702" i="6"/>
  <c r="E727" i="7"/>
  <c r="I726" i="7"/>
  <c r="J726" i="7" s="1"/>
  <c r="F726" i="7"/>
  <c r="F727" i="8"/>
  <c r="I727" i="8" s="1"/>
  <c r="J727" i="8" s="1"/>
  <c r="E728" i="8"/>
  <c r="K703" i="6" l="1"/>
  <c r="L702" i="6"/>
  <c r="O702" i="6" s="1"/>
  <c r="P702" i="6" s="1"/>
  <c r="H731" i="7"/>
  <c r="G732" i="7"/>
  <c r="F727" i="7"/>
  <c r="E728" i="7"/>
  <c r="I727" i="7"/>
  <c r="J727" i="7" s="1"/>
  <c r="G703" i="6"/>
  <c r="H702" i="6"/>
  <c r="I704" i="6"/>
  <c r="J703" i="6"/>
  <c r="F728" i="8"/>
  <c r="I728" i="8" s="1"/>
  <c r="J728" i="8" s="1"/>
  <c r="E729" i="8"/>
  <c r="H728" i="8"/>
  <c r="G729" i="8"/>
  <c r="N702" i="6"/>
  <c r="M703" i="6"/>
  <c r="I705" i="6" l="1"/>
  <c r="J704" i="6"/>
  <c r="E730" i="8"/>
  <c r="F729" i="8"/>
  <c r="I729" i="8" s="1"/>
  <c r="J729" i="8" s="1"/>
  <c r="G704" i="6"/>
  <c r="H703" i="6"/>
  <c r="O703" i="6" s="1"/>
  <c r="P703" i="6" s="1"/>
  <c r="E729" i="7"/>
  <c r="F728" i="7"/>
  <c r="I728" i="7" s="1"/>
  <c r="J728" i="7" s="1"/>
  <c r="H732" i="7"/>
  <c r="G733" i="7"/>
  <c r="M704" i="6"/>
  <c r="N703" i="6"/>
  <c r="G730" i="8"/>
  <c r="H729" i="8"/>
  <c r="K704" i="6"/>
  <c r="L703" i="6"/>
  <c r="I729" i="7" l="1"/>
  <c r="J729" i="7" s="1"/>
  <c r="F729" i="7"/>
  <c r="E730" i="7"/>
  <c r="H730" i="8"/>
  <c r="G731" i="8"/>
  <c r="G734" i="7"/>
  <c r="H733" i="7"/>
  <c r="H704" i="6"/>
  <c r="O704" i="6" s="1"/>
  <c r="P704" i="6" s="1"/>
  <c r="G705" i="6"/>
  <c r="F730" i="8"/>
  <c r="I730" i="8" s="1"/>
  <c r="J730" i="8" s="1"/>
  <c r="E731" i="8"/>
  <c r="M705" i="6"/>
  <c r="N704" i="6"/>
  <c r="L704" i="6"/>
  <c r="K705" i="6"/>
  <c r="J705" i="6"/>
  <c r="I706" i="6"/>
  <c r="G706" i="6" l="1"/>
  <c r="H705" i="6"/>
  <c r="O705" i="6" s="1"/>
  <c r="P705" i="6" s="1"/>
  <c r="H734" i="7"/>
  <c r="G735" i="7"/>
  <c r="G732" i="8"/>
  <c r="H731" i="8"/>
  <c r="L705" i="6"/>
  <c r="K706" i="6"/>
  <c r="E732" i="8"/>
  <c r="F731" i="8"/>
  <c r="I731" i="8" s="1"/>
  <c r="J731" i="8" s="1"/>
  <c r="I707" i="6"/>
  <c r="J706" i="6"/>
  <c r="E731" i="7"/>
  <c r="F730" i="7"/>
  <c r="I730" i="7" s="1"/>
  <c r="J730" i="7" s="1"/>
  <c r="N705" i="6"/>
  <c r="M706" i="6"/>
  <c r="F731" i="7" l="1"/>
  <c r="I731" i="7" s="1"/>
  <c r="J731" i="7" s="1"/>
  <c r="E732" i="7"/>
  <c r="F732" i="8"/>
  <c r="I732" i="8"/>
  <c r="J732" i="8" s="1"/>
  <c r="E733" i="8"/>
  <c r="K707" i="6"/>
  <c r="L706" i="6"/>
  <c r="I708" i="6"/>
  <c r="J707" i="6"/>
  <c r="H732" i="8"/>
  <c r="G733" i="8"/>
  <c r="N706" i="6"/>
  <c r="M707" i="6"/>
  <c r="G736" i="7"/>
  <c r="H735" i="7"/>
  <c r="H706" i="6"/>
  <c r="O706" i="6" s="1"/>
  <c r="P706" i="6" s="1"/>
  <c r="G707" i="6"/>
  <c r="H736" i="7" l="1"/>
  <c r="G737" i="7"/>
  <c r="N707" i="6"/>
  <c r="M708" i="6"/>
  <c r="I709" i="6"/>
  <c r="J708" i="6"/>
  <c r="L707" i="6"/>
  <c r="K708" i="6"/>
  <c r="G734" i="8"/>
  <c r="H733" i="8"/>
  <c r="I733" i="8" s="1"/>
  <c r="J733" i="8" s="1"/>
  <c r="E734" i="8"/>
  <c r="F733" i="8"/>
  <c r="E733" i="7"/>
  <c r="F732" i="7"/>
  <c r="I732" i="7" s="1"/>
  <c r="J732" i="7" s="1"/>
  <c r="G708" i="6"/>
  <c r="H707" i="6"/>
  <c r="O707" i="6"/>
  <c r="P707" i="6" s="1"/>
  <c r="F734" i="8" l="1"/>
  <c r="E735" i="8"/>
  <c r="H734" i="8"/>
  <c r="I734" i="8" s="1"/>
  <c r="J734" i="8" s="1"/>
  <c r="G735" i="8"/>
  <c r="K709" i="6"/>
  <c r="L708" i="6"/>
  <c r="O708" i="6" s="1"/>
  <c r="P708" i="6" s="1"/>
  <c r="E734" i="7"/>
  <c r="F733" i="7"/>
  <c r="I733" i="7" s="1"/>
  <c r="J733" i="7" s="1"/>
  <c r="J709" i="6"/>
  <c r="I710" i="6"/>
  <c r="M709" i="6"/>
  <c r="N708" i="6"/>
  <c r="G738" i="7"/>
  <c r="H737" i="7"/>
  <c r="H708" i="6"/>
  <c r="G709" i="6"/>
  <c r="H738" i="7" l="1"/>
  <c r="G739" i="7"/>
  <c r="E735" i="7"/>
  <c r="F734" i="7"/>
  <c r="I734" i="7" s="1"/>
  <c r="J734" i="7" s="1"/>
  <c r="L709" i="6"/>
  <c r="K710" i="6"/>
  <c r="I711" i="6"/>
  <c r="J710" i="6"/>
  <c r="G736" i="8"/>
  <c r="H735" i="8"/>
  <c r="H709" i="6"/>
  <c r="O709" i="6" s="1"/>
  <c r="P709" i="6" s="1"/>
  <c r="G710" i="6"/>
  <c r="M710" i="6"/>
  <c r="N709" i="6"/>
  <c r="F735" i="8"/>
  <c r="I735" i="8" s="1"/>
  <c r="J735" i="8" s="1"/>
  <c r="E736" i="8"/>
  <c r="N710" i="6" l="1"/>
  <c r="M711" i="6"/>
  <c r="H736" i="8"/>
  <c r="G737" i="8"/>
  <c r="I712" i="6"/>
  <c r="J711" i="6"/>
  <c r="K711" i="6"/>
  <c r="L710" i="6"/>
  <c r="G711" i="6"/>
  <c r="H710" i="6"/>
  <c r="O710" i="6" s="1"/>
  <c r="P710" i="6" s="1"/>
  <c r="E736" i="7"/>
  <c r="F735" i="7"/>
  <c r="I735" i="7"/>
  <c r="J735" i="7" s="1"/>
  <c r="F736" i="8"/>
  <c r="I736" i="8" s="1"/>
  <c r="J736" i="8" s="1"/>
  <c r="E737" i="8"/>
  <c r="H739" i="7"/>
  <c r="G740" i="7"/>
  <c r="E737" i="7" l="1"/>
  <c r="F736" i="7"/>
  <c r="I736" i="7" s="1"/>
  <c r="J736" i="7" s="1"/>
  <c r="G712" i="6"/>
  <c r="H711" i="6"/>
  <c r="O711" i="6" s="1"/>
  <c r="P711" i="6" s="1"/>
  <c r="K712" i="6"/>
  <c r="L711" i="6"/>
  <c r="J712" i="6"/>
  <c r="I713" i="6"/>
  <c r="G738" i="8"/>
  <c r="H737" i="8"/>
  <c r="I737" i="8" s="1"/>
  <c r="J737" i="8" s="1"/>
  <c r="G741" i="7"/>
  <c r="H740" i="7"/>
  <c r="N711" i="6"/>
  <c r="M712" i="6"/>
  <c r="F737" i="8"/>
  <c r="E738" i="8"/>
  <c r="M713" i="6" l="1"/>
  <c r="N712" i="6"/>
  <c r="H738" i="8"/>
  <c r="G739" i="8"/>
  <c r="H741" i="7"/>
  <c r="G742" i="7"/>
  <c r="J713" i="6"/>
  <c r="I714" i="6"/>
  <c r="L712" i="6"/>
  <c r="K713" i="6"/>
  <c r="F738" i="8"/>
  <c r="I738" i="8" s="1"/>
  <c r="J738" i="8" s="1"/>
  <c r="E739" i="8"/>
  <c r="H712" i="6"/>
  <c r="G713" i="6"/>
  <c r="O712" i="6"/>
  <c r="P712" i="6" s="1"/>
  <c r="F737" i="7"/>
  <c r="E738" i="7"/>
  <c r="I737" i="7"/>
  <c r="J737" i="7" s="1"/>
  <c r="H713" i="6" l="1"/>
  <c r="O713" i="6" s="1"/>
  <c r="P713" i="6" s="1"/>
  <c r="G714" i="6"/>
  <c r="L713" i="6"/>
  <c r="K714" i="6"/>
  <c r="I715" i="6"/>
  <c r="J714" i="6"/>
  <c r="F739" i="8"/>
  <c r="I739" i="8" s="1"/>
  <c r="J739" i="8" s="1"/>
  <c r="E740" i="8"/>
  <c r="G743" i="7"/>
  <c r="H742" i="7"/>
  <c r="G740" i="8"/>
  <c r="H739" i="8"/>
  <c r="E739" i="7"/>
  <c r="F738" i="7"/>
  <c r="I738" i="7" s="1"/>
  <c r="J738" i="7" s="1"/>
  <c r="N713" i="6"/>
  <c r="M714" i="6"/>
  <c r="F740" i="8" l="1"/>
  <c r="E741" i="8"/>
  <c r="H740" i="8"/>
  <c r="I740" i="8" s="1"/>
  <c r="J740" i="8" s="1"/>
  <c r="G741" i="8"/>
  <c r="H743" i="7"/>
  <c r="G744" i="7"/>
  <c r="F739" i="7"/>
  <c r="I739" i="7" s="1"/>
  <c r="J739" i="7" s="1"/>
  <c r="E740" i="7"/>
  <c r="I716" i="6"/>
  <c r="J715" i="6"/>
  <c r="K715" i="6"/>
  <c r="L714" i="6"/>
  <c r="N714" i="6"/>
  <c r="M715" i="6"/>
  <c r="G715" i="6"/>
  <c r="H714" i="6"/>
  <c r="O714" i="6" s="1"/>
  <c r="P714" i="6" s="1"/>
  <c r="L715" i="6" l="1"/>
  <c r="K716" i="6"/>
  <c r="N715" i="6"/>
  <c r="M716" i="6"/>
  <c r="G745" i="7"/>
  <c r="H744" i="7"/>
  <c r="I717" i="6"/>
  <c r="J716" i="6"/>
  <c r="E741" i="7"/>
  <c r="F740" i="7"/>
  <c r="I740" i="7" s="1"/>
  <c r="J740" i="7" s="1"/>
  <c r="G742" i="8"/>
  <c r="H741" i="8"/>
  <c r="E742" i="8"/>
  <c r="F741" i="8"/>
  <c r="I741" i="8" s="1"/>
  <c r="J741" i="8" s="1"/>
  <c r="H715" i="6"/>
  <c r="O715" i="6" s="1"/>
  <c r="P715" i="6" s="1"/>
  <c r="G716" i="6"/>
  <c r="F742" i="8" l="1"/>
  <c r="I742" i="8" s="1"/>
  <c r="J742" i="8" s="1"/>
  <c r="E743" i="8"/>
  <c r="F741" i="7"/>
  <c r="I741" i="7" s="1"/>
  <c r="J741" i="7" s="1"/>
  <c r="E742" i="7"/>
  <c r="J717" i="6"/>
  <c r="I718" i="6"/>
  <c r="H742" i="8"/>
  <c r="G743" i="8"/>
  <c r="G746" i="7"/>
  <c r="H745" i="7"/>
  <c r="M717" i="6"/>
  <c r="N716" i="6"/>
  <c r="H716" i="6"/>
  <c r="O716" i="6" s="1"/>
  <c r="P716" i="6" s="1"/>
  <c r="G717" i="6"/>
  <c r="K717" i="6"/>
  <c r="L716" i="6"/>
  <c r="H717" i="6" l="1"/>
  <c r="O717" i="6" s="1"/>
  <c r="P717" i="6" s="1"/>
  <c r="G718" i="6"/>
  <c r="M718" i="6"/>
  <c r="N717" i="6"/>
  <c r="G744" i="8"/>
  <c r="H743" i="8"/>
  <c r="I719" i="6"/>
  <c r="J718" i="6"/>
  <c r="G747" i="7"/>
  <c r="H746" i="7"/>
  <c r="E743" i="7"/>
  <c r="F742" i="7"/>
  <c r="I742" i="7" s="1"/>
  <c r="J742" i="7" s="1"/>
  <c r="E744" i="8"/>
  <c r="I743" i="8"/>
  <c r="J743" i="8" s="1"/>
  <c r="F743" i="8"/>
  <c r="L717" i="6"/>
  <c r="K718" i="6"/>
  <c r="G748" i="7" l="1"/>
  <c r="H747" i="7"/>
  <c r="I720" i="6"/>
  <c r="J719" i="6"/>
  <c r="H744" i="8"/>
  <c r="G745" i="8"/>
  <c r="F744" i="8"/>
  <c r="I744" i="8" s="1"/>
  <c r="J744" i="8" s="1"/>
  <c r="E745" i="8"/>
  <c r="N718" i="6"/>
  <c r="M719" i="6"/>
  <c r="G719" i="6"/>
  <c r="O718" i="6"/>
  <c r="P718" i="6" s="1"/>
  <c r="H718" i="6"/>
  <c r="E744" i="7"/>
  <c r="I743" i="7"/>
  <c r="J743" i="7" s="1"/>
  <c r="F743" i="7"/>
  <c r="L718" i="6"/>
  <c r="K719" i="6"/>
  <c r="M720" i="6" l="1"/>
  <c r="N719" i="6"/>
  <c r="E746" i="8"/>
  <c r="F745" i="8"/>
  <c r="I745" i="8" s="1"/>
  <c r="J745" i="8" s="1"/>
  <c r="G746" i="8"/>
  <c r="H745" i="8"/>
  <c r="E745" i="7"/>
  <c r="F744" i="7"/>
  <c r="I744" i="7" s="1"/>
  <c r="J744" i="7" s="1"/>
  <c r="I721" i="6"/>
  <c r="J720" i="6"/>
  <c r="G720" i="6"/>
  <c r="H719" i="6"/>
  <c r="O719" i="6" s="1"/>
  <c r="P719" i="6" s="1"/>
  <c r="L719" i="6"/>
  <c r="K720" i="6"/>
  <c r="G749" i="7"/>
  <c r="H748" i="7"/>
  <c r="H720" i="6" l="1"/>
  <c r="G721" i="6"/>
  <c r="H746" i="8"/>
  <c r="G747" i="8"/>
  <c r="F746" i="8"/>
  <c r="I746" i="8" s="1"/>
  <c r="J746" i="8" s="1"/>
  <c r="E747" i="8"/>
  <c r="J721" i="6"/>
  <c r="I722" i="6"/>
  <c r="F745" i="7"/>
  <c r="I745" i="7" s="1"/>
  <c r="J745" i="7" s="1"/>
  <c r="E746" i="7"/>
  <c r="H749" i="7"/>
  <c r="G750" i="7"/>
  <c r="K721" i="6"/>
  <c r="L720" i="6"/>
  <c r="O720" i="6" s="1"/>
  <c r="P720" i="6" s="1"/>
  <c r="M721" i="6"/>
  <c r="N720" i="6"/>
  <c r="I723" i="6" l="1"/>
  <c r="J722" i="6"/>
  <c r="F747" i="8"/>
  <c r="I747" i="8" s="1"/>
  <c r="J747" i="8" s="1"/>
  <c r="E748" i="8"/>
  <c r="G751" i="7"/>
  <c r="H750" i="7"/>
  <c r="F746" i="7"/>
  <c r="I746" i="7" s="1"/>
  <c r="J746" i="7" s="1"/>
  <c r="E747" i="7"/>
  <c r="N721" i="6"/>
  <c r="M722" i="6"/>
  <c r="H721" i="6"/>
  <c r="O721" i="6" s="1"/>
  <c r="P721" i="6" s="1"/>
  <c r="G722" i="6"/>
  <c r="L721" i="6"/>
  <c r="K722" i="6"/>
  <c r="G748" i="8"/>
  <c r="H747" i="8"/>
  <c r="H722" i="6" l="1"/>
  <c r="O722" i="6" s="1"/>
  <c r="P722" i="6" s="1"/>
  <c r="G723" i="6"/>
  <c r="F747" i="7"/>
  <c r="I747" i="7" s="1"/>
  <c r="J747" i="7" s="1"/>
  <c r="E748" i="7"/>
  <c r="F748" i="8"/>
  <c r="I748" i="8" s="1"/>
  <c r="J748" i="8" s="1"/>
  <c r="E749" i="8"/>
  <c r="N722" i="6"/>
  <c r="M723" i="6"/>
  <c r="H748" i="8"/>
  <c r="G749" i="8"/>
  <c r="H751" i="7"/>
  <c r="G752" i="7"/>
  <c r="K723" i="6"/>
  <c r="L722" i="6"/>
  <c r="I724" i="6"/>
  <c r="J723" i="6"/>
  <c r="L723" i="6" l="1"/>
  <c r="K724" i="6"/>
  <c r="G750" i="8"/>
  <c r="H749" i="8"/>
  <c r="M724" i="6"/>
  <c r="N723" i="6"/>
  <c r="F749" i="8"/>
  <c r="I749" i="8" s="1"/>
  <c r="J749" i="8" s="1"/>
  <c r="E750" i="8"/>
  <c r="E749" i="7"/>
  <c r="F748" i="7"/>
  <c r="I748" i="7" s="1"/>
  <c r="J748" i="7" s="1"/>
  <c r="H723" i="6"/>
  <c r="O723" i="6" s="1"/>
  <c r="P723" i="6" s="1"/>
  <c r="G724" i="6"/>
  <c r="I725" i="6"/>
  <c r="J724" i="6"/>
  <c r="G753" i="7"/>
  <c r="H752" i="7"/>
  <c r="J725" i="6" l="1"/>
  <c r="I726" i="6"/>
  <c r="H724" i="6"/>
  <c r="O724" i="6" s="1"/>
  <c r="P724" i="6" s="1"/>
  <c r="G725" i="6"/>
  <c r="H750" i="8"/>
  <c r="G751" i="8"/>
  <c r="E750" i="7"/>
  <c r="F749" i="7"/>
  <c r="I749" i="7" s="1"/>
  <c r="J749" i="7" s="1"/>
  <c r="F750" i="8"/>
  <c r="I750" i="8" s="1"/>
  <c r="J750" i="8" s="1"/>
  <c r="E751" i="8"/>
  <c r="M725" i="6"/>
  <c r="N724" i="6"/>
  <c r="G754" i="7"/>
  <c r="H753" i="7"/>
  <c r="L724" i="6"/>
  <c r="K725" i="6"/>
  <c r="N725" i="6" l="1"/>
  <c r="M726" i="6"/>
  <c r="G752" i="8"/>
  <c r="H751" i="8"/>
  <c r="G726" i="6"/>
  <c r="H725" i="6"/>
  <c r="O725" i="6" s="1"/>
  <c r="P725" i="6" s="1"/>
  <c r="G755" i="7"/>
  <c r="H754" i="7"/>
  <c r="L725" i="6"/>
  <c r="K726" i="6"/>
  <c r="J726" i="6"/>
  <c r="I727" i="6"/>
  <c r="E752" i="8"/>
  <c r="F751" i="8"/>
  <c r="I751" i="8" s="1"/>
  <c r="J751" i="8" s="1"/>
  <c r="E751" i="7"/>
  <c r="F750" i="7"/>
  <c r="I750" i="7" s="1"/>
  <c r="J750" i="7" s="1"/>
  <c r="F752" i="8" l="1"/>
  <c r="I752" i="8" s="1"/>
  <c r="J752" i="8" s="1"/>
  <c r="E753" i="8"/>
  <c r="K727" i="6"/>
  <c r="L726" i="6"/>
  <c r="H755" i="7"/>
  <c r="G756" i="7"/>
  <c r="H752" i="8"/>
  <c r="G753" i="8"/>
  <c r="I728" i="6"/>
  <c r="J727" i="6"/>
  <c r="N726" i="6"/>
  <c r="M727" i="6"/>
  <c r="G727" i="6"/>
  <c r="H726" i="6"/>
  <c r="O726" i="6" s="1"/>
  <c r="P726" i="6" s="1"/>
  <c r="F751" i="7"/>
  <c r="I751" i="7" s="1"/>
  <c r="J751" i="7" s="1"/>
  <c r="E752" i="7"/>
  <c r="G754" i="8" l="1"/>
  <c r="H753" i="8"/>
  <c r="I729" i="6"/>
  <c r="J728" i="6"/>
  <c r="H756" i="7"/>
  <c r="G757" i="7"/>
  <c r="L727" i="6"/>
  <c r="K728" i="6"/>
  <c r="M728" i="6"/>
  <c r="N727" i="6"/>
  <c r="E753" i="7"/>
  <c r="I752" i="7"/>
  <c r="J752" i="7" s="1"/>
  <c r="F752" i="7"/>
  <c r="E754" i="8"/>
  <c r="I753" i="8"/>
  <c r="J753" i="8" s="1"/>
  <c r="F753" i="8"/>
  <c r="H727" i="6"/>
  <c r="O727" i="6" s="1"/>
  <c r="P727" i="6" s="1"/>
  <c r="G728" i="6"/>
  <c r="F754" i="8" l="1"/>
  <c r="I754" i="8" s="1"/>
  <c r="J754" i="8" s="1"/>
  <c r="E755" i="8"/>
  <c r="E754" i="7"/>
  <c r="F753" i="7"/>
  <c r="I753" i="7" s="1"/>
  <c r="J753" i="7" s="1"/>
  <c r="M729" i="6"/>
  <c r="N728" i="6"/>
  <c r="K729" i="6"/>
  <c r="L728" i="6"/>
  <c r="J729" i="6"/>
  <c r="I730" i="6"/>
  <c r="G758" i="7"/>
  <c r="H757" i="7"/>
  <c r="H728" i="6"/>
  <c r="O728" i="6" s="1"/>
  <c r="P728" i="6" s="1"/>
  <c r="G729" i="6"/>
  <c r="H754" i="8"/>
  <c r="G755" i="8"/>
  <c r="I731" i="6" l="1"/>
  <c r="J730" i="6"/>
  <c r="N729" i="6"/>
  <c r="M730" i="6"/>
  <c r="L729" i="6"/>
  <c r="K730" i="6"/>
  <c r="H758" i="7"/>
  <c r="G759" i="7"/>
  <c r="F754" i="7"/>
  <c r="I754" i="7" s="1"/>
  <c r="J754" i="7" s="1"/>
  <c r="E755" i="7"/>
  <c r="G756" i="8"/>
  <c r="H755" i="8"/>
  <c r="E756" i="8"/>
  <c r="F755" i="8"/>
  <c r="I755" i="8" s="1"/>
  <c r="J755" i="8" s="1"/>
  <c r="H729" i="6"/>
  <c r="O729" i="6" s="1"/>
  <c r="P729" i="6" s="1"/>
  <c r="G730" i="6"/>
  <c r="E756" i="7" l="1"/>
  <c r="F755" i="7"/>
  <c r="I755" i="7" s="1"/>
  <c r="J755" i="7" s="1"/>
  <c r="F756" i="8"/>
  <c r="E757" i="8"/>
  <c r="G760" i="7"/>
  <c r="H759" i="7"/>
  <c r="K731" i="6"/>
  <c r="L730" i="6"/>
  <c r="N730" i="6"/>
  <c r="M731" i="6"/>
  <c r="G731" i="6"/>
  <c r="O730" i="6"/>
  <c r="P730" i="6" s="1"/>
  <c r="H730" i="6"/>
  <c r="H756" i="8"/>
  <c r="I756" i="8" s="1"/>
  <c r="J756" i="8" s="1"/>
  <c r="G757" i="8"/>
  <c r="I732" i="6"/>
  <c r="J731" i="6"/>
  <c r="M732" i="6" l="1"/>
  <c r="N731" i="6"/>
  <c r="L731" i="6"/>
  <c r="K732" i="6"/>
  <c r="G761" i="7"/>
  <c r="H760" i="7"/>
  <c r="F757" i="8"/>
  <c r="I757" i="8" s="1"/>
  <c r="J757" i="8" s="1"/>
  <c r="E758" i="8"/>
  <c r="H731" i="6"/>
  <c r="O731" i="6" s="1"/>
  <c r="P731" i="6" s="1"/>
  <c r="G732" i="6"/>
  <c r="J732" i="6"/>
  <c r="I733" i="6"/>
  <c r="G758" i="8"/>
  <c r="H757" i="8"/>
  <c r="F756" i="7"/>
  <c r="I756" i="7" s="1"/>
  <c r="J756" i="7" s="1"/>
  <c r="E757" i="7"/>
  <c r="J733" i="6" l="1"/>
  <c r="I734" i="6"/>
  <c r="H758" i="8"/>
  <c r="G759" i="8"/>
  <c r="I758" i="8"/>
  <c r="J758" i="8" s="1"/>
  <c r="E759" i="8"/>
  <c r="F758" i="8"/>
  <c r="H761" i="7"/>
  <c r="G762" i="7"/>
  <c r="H732" i="6"/>
  <c r="G733" i="6"/>
  <c r="L732" i="6"/>
  <c r="O732" i="6" s="1"/>
  <c r="P732" i="6" s="1"/>
  <c r="K733" i="6"/>
  <c r="I757" i="7"/>
  <c r="J757" i="7" s="1"/>
  <c r="E758" i="7"/>
  <c r="F757" i="7"/>
  <c r="M733" i="6"/>
  <c r="N732" i="6"/>
  <c r="L733" i="6" l="1"/>
  <c r="K734" i="6"/>
  <c r="G763" i="7"/>
  <c r="H762" i="7"/>
  <c r="E759" i="7"/>
  <c r="F758" i="7"/>
  <c r="I758" i="7" s="1"/>
  <c r="J758" i="7" s="1"/>
  <c r="G734" i="6"/>
  <c r="H733" i="6"/>
  <c r="O733" i="6" s="1"/>
  <c r="P733" i="6" s="1"/>
  <c r="H759" i="8"/>
  <c r="G760" i="8"/>
  <c r="N733" i="6"/>
  <c r="M734" i="6"/>
  <c r="I735" i="6"/>
  <c r="J734" i="6"/>
  <c r="F759" i="8"/>
  <c r="I759" i="8" s="1"/>
  <c r="J759" i="8" s="1"/>
  <c r="E760" i="8"/>
  <c r="H760" i="8" l="1"/>
  <c r="G761" i="8"/>
  <c r="H734" i="6"/>
  <c r="G735" i="6"/>
  <c r="I736" i="6"/>
  <c r="J735" i="6"/>
  <c r="F760" i="8"/>
  <c r="I760" i="8" s="1"/>
  <c r="J760" i="8" s="1"/>
  <c r="E761" i="8"/>
  <c r="G764" i="7"/>
  <c r="H763" i="7"/>
  <c r="N734" i="6"/>
  <c r="M735" i="6"/>
  <c r="K735" i="6"/>
  <c r="L734" i="6"/>
  <c r="O734" i="6" s="1"/>
  <c r="P734" i="6" s="1"/>
  <c r="E760" i="7"/>
  <c r="F759" i="7"/>
  <c r="I759" i="7" s="1"/>
  <c r="J759" i="7" s="1"/>
  <c r="L735" i="6" l="1"/>
  <c r="K736" i="6"/>
  <c r="E762" i="8"/>
  <c r="F761" i="8"/>
  <c r="I761" i="8" s="1"/>
  <c r="J761" i="8" s="1"/>
  <c r="G765" i="7"/>
  <c r="H764" i="7"/>
  <c r="I737" i="6"/>
  <c r="J736" i="6"/>
  <c r="E761" i="7"/>
  <c r="F760" i="7"/>
  <c r="I760" i="7" s="1"/>
  <c r="J760" i="7" s="1"/>
  <c r="N735" i="6"/>
  <c r="M736" i="6"/>
  <c r="H735" i="6"/>
  <c r="O735" i="6" s="1"/>
  <c r="P735" i="6" s="1"/>
  <c r="G736" i="6"/>
  <c r="G762" i="8"/>
  <c r="H761" i="8"/>
  <c r="J737" i="6" l="1"/>
  <c r="I738" i="6"/>
  <c r="E762" i="7"/>
  <c r="F761" i="7"/>
  <c r="I761" i="7" s="1"/>
  <c r="J761" i="7" s="1"/>
  <c r="F762" i="8"/>
  <c r="I762" i="8" s="1"/>
  <c r="J762" i="8" s="1"/>
  <c r="E763" i="8"/>
  <c r="G766" i="7"/>
  <c r="H765" i="7"/>
  <c r="H762" i="8"/>
  <c r="G763" i="8"/>
  <c r="K737" i="6"/>
  <c r="L736" i="6"/>
  <c r="M737" i="6"/>
  <c r="N736" i="6"/>
  <c r="H736" i="6"/>
  <c r="O736" i="6" s="1"/>
  <c r="P736" i="6" s="1"/>
  <c r="G737" i="6"/>
  <c r="L737" i="6" l="1"/>
  <c r="K738" i="6"/>
  <c r="E764" i="8"/>
  <c r="F763" i="8"/>
  <c r="I763" i="8" s="1"/>
  <c r="J763" i="8" s="1"/>
  <c r="F762" i="7"/>
  <c r="I762" i="7" s="1"/>
  <c r="J762" i="7" s="1"/>
  <c r="E763" i="7"/>
  <c r="N737" i="6"/>
  <c r="M738" i="6"/>
  <c r="G764" i="8"/>
  <c r="H763" i="8"/>
  <c r="H737" i="6"/>
  <c r="O737" i="6"/>
  <c r="P737" i="6" s="1"/>
  <c r="G738" i="6"/>
  <c r="I739" i="6"/>
  <c r="J738" i="6"/>
  <c r="H766" i="7"/>
  <c r="G767" i="7"/>
  <c r="N738" i="6" l="1"/>
  <c r="M739" i="6"/>
  <c r="G739" i="6"/>
  <c r="H738" i="6"/>
  <c r="O738" i="6" s="1"/>
  <c r="P738" i="6" s="1"/>
  <c r="H764" i="8"/>
  <c r="G765" i="8"/>
  <c r="I763" i="7"/>
  <c r="J763" i="7" s="1"/>
  <c r="F763" i="7"/>
  <c r="E764" i="7"/>
  <c r="F764" i="8"/>
  <c r="I764" i="8" s="1"/>
  <c r="J764" i="8" s="1"/>
  <c r="E765" i="8"/>
  <c r="G768" i="7"/>
  <c r="H767" i="7"/>
  <c r="I740" i="6"/>
  <c r="J739" i="6"/>
  <c r="L738" i="6"/>
  <c r="K739" i="6"/>
  <c r="G766" i="8" l="1"/>
  <c r="H765" i="8"/>
  <c r="E766" i="8"/>
  <c r="F765" i="8"/>
  <c r="I765" i="8" s="1"/>
  <c r="J765" i="8" s="1"/>
  <c r="H739" i="6"/>
  <c r="O739" i="6" s="1"/>
  <c r="P739" i="6" s="1"/>
  <c r="G740" i="6"/>
  <c r="K740" i="6"/>
  <c r="L739" i="6"/>
  <c r="J740" i="6"/>
  <c r="I741" i="6"/>
  <c r="M740" i="6"/>
  <c r="N739" i="6"/>
  <c r="H768" i="7"/>
  <c r="G769" i="7"/>
  <c r="F764" i="7"/>
  <c r="E765" i="7"/>
  <c r="I764" i="7"/>
  <c r="J764" i="7" s="1"/>
  <c r="G770" i="7" l="1"/>
  <c r="H769" i="7"/>
  <c r="J741" i="6"/>
  <c r="I742" i="6"/>
  <c r="H740" i="6"/>
  <c r="O740" i="6" s="1"/>
  <c r="P740" i="6" s="1"/>
  <c r="G741" i="6"/>
  <c r="M741" i="6"/>
  <c r="N740" i="6"/>
  <c r="E767" i="8"/>
  <c r="F766" i="8"/>
  <c r="I766" i="8" s="1"/>
  <c r="J766" i="8" s="1"/>
  <c r="E766" i="7"/>
  <c r="F765" i="7"/>
  <c r="I765" i="7" s="1"/>
  <c r="J765" i="7" s="1"/>
  <c r="L740" i="6"/>
  <c r="K741" i="6"/>
  <c r="H766" i="8"/>
  <c r="G767" i="8"/>
  <c r="F766" i="7" l="1"/>
  <c r="I766" i="7" s="1"/>
  <c r="J766" i="7" s="1"/>
  <c r="E767" i="7"/>
  <c r="F767" i="8"/>
  <c r="I767" i="8" s="1"/>
  <c r="J767" i="8" s="1"/>
  <c r="E768" i="8"/>
  <c r="M742" i="6"/>
  <c r="N741" i="6"/>
  <c r="G742" i="6"/>
  <c r="H741" i="6"/>
  <c r="O741" i="6" s="1"/>
  <c r="P741" i="6" s="1"/>
  <c r="I743" i="6"/>
  <c r="J742" i="6"/>
  <c r="G768" i="8"/>
  <c r="H767" i="8"/>
  <c r="L741" i="6"/>
  <c r="K742" i="6"/>
  <c r="G771" i="7"/>
  <c r="H770" i="7"/>
  <c r="G769" i="8" l="1"/>
  <c r="H768" i="8"/>
  <c r="N742" i="6"/>
  <c r="M743" i="6"/>
  <c r="E769" i="8"/>
  <c r="F768" i="8"/>
  <c r="I768" i="8" s="1"/>
  <c r="J768" i="8" s="1"/>
  <c r="I744" i="6"/>
  <c r="J743" i="6"/>
  <c r="E768" i="7"/>
  <c r="F767" i="7"/>
  <c r="I767" i="7" s="1"/>
  <c r="J767" i="7" s="1"/>
  <c r="G743" i="6"/>
  <c r="O742" i="6"/>
  <c r="P742" i="6" s="1"/>
  <c r="H742" i="6"/>
  <c r="H771" i="7"/>
  <c r="G772" i="7"/>
  <c r="K743" i="6"/>
  <c r="L742" i="6"/>
  <c r="F768" i="7" l="1"/>
  <c r="I768" i="7" s="1"/>
  <c r="J768" i="7" s="1"/>
  <c r="E769" i="7"/>
  <c r="F769" i="8"/>
  <c r="I769" i="8" s="1"/>
  <c r="J769" i="8" s="1"/>
  <c r="E770" i="8"/>
  <c r="G744" i="6"/>
  <c r="H743" i="6"/>
  <c r="O743" i="6" s="1"/>
  <c r="P743" i="6" s="1"/>
  <c r="M744" i="6"/>
  <c r="N743" i="6"/>
  <c r="J744" i="6"/>
  <c r="I745" i="6"/>
  <c r="L743" i="6"/>
  <c r="K744" i="6"/>
  <c r="H772" i="7"/>
  <c r="G773" i="7"/>
  <c r="H769" i="8"/>
  <c r="G770" i="8"/>
  <c r="L744" i="6" l="1"/>
  <c r="K745" i="6"/>
  <c r="H744" i="6"/>
  <c r="G745" i="6"/>
  <c r="O744" i="6"/>
  <c r="P744" i="6" s="1"/>
  <c r="J745" i="6"/>
  <c r="I746" i="6"/>
  <c r="M745" i="6"/>
  <c r="N744" i="6"/>
  <c r="E771" i="8"/>
  <c r="F770" i="8"/>
  <c r="I770" i="8" s="1"/>
  <c r="J770" i="8" s="1"/>
  <c r="F769" i="7"/>
  <c r="E770" i="7"/>
  <c r="I769" i="7"/>
  <c r="J769" i="7" s="1"/>
  <c r="G771" i="8"/>
  <c r="H770" i="8"/>
  <c r="H773" i="7"/>
  <c r="G774" i="7"/>
  <c r="H771" i="8" l="1"/>
  <c r="G772" i="8"/>
  <c r="M746" i="6"/>
  <c r="N745" i="6"/>
  <c r="J746" i="6"/>
  <c r="I747" i="6"/>
  <c r="F771" i="8"/>
  <c r="I771" i="8" s="1"/>
  <c r="J771" i="8" s="1"/>
  <c r="E772" i="8"/>
  <c r="G746" i="6"/>
  <c r="H745" i="6"/>
  <c r="O745" i="6"/>
  <c r="P745" i="6" s="1"/>
  <c r="G775" i="7"/>
  <c r="H774" i="7"/>
  <c r="I770" i="7"/>
  <c r="J770" i="7" s="1"/>
  <c r="E771" i="7"/>
  <c r="F770" i="7"/>
  <c r="L745" i="6"/>
  <c r="K746" i="6"/>
  <c r="F772" i="8" l="1"/>
  <c r="I772" i="8" s="1"/>
  <c r="J772" i="8" s="1"/>
  <c r="E773" i="8"/>
  <c r="G747" i="6"/>
  <c r="H746" i="6"/>
  <c r="O746" i="6" s="1"/>
  <c r="P746" i="6" s="1"/>
  <c r="H775" i="7"/>
  <c r="G776" i="7"/>
  <c r="I748" i="6"/>
  <c r="J747" i="6"/>
  <c r="L746" i="6"/>
  <c r="K747" i="6"/>
  <c r="N746" i="6"/>
  <c r="M747" i="6"/>
  <c r="F771" i="7"/>
  <c r="I771" i="7" s="1"/>
  <c r="J771" i="7" s="1"/>
  <c r="E772" i="7"/>
  <c r="G773" i="8"/>
  <c r="H772" i="8"/>
  <c r="J748" i="6" l="1"/>
  <c r="I749" i="6"/>
  <c r="G748" i="6"/>
  <c r="H747" i="6"/>
  <c r="O747" i="6" s="1"/>
  <c r="P747" i="6" s="1"/>
  <c r="K748" i="6"/>
  <c r="L747" i="6"/>
  <c r="G777" i="7"/>
  <c r="H776" i="7"/>
  <c r="F773" i="8"/>
  <c r="I773" i="8" s="1"/>
  <c r="J773" i="8" s="1"/>
  <c r="E774" i="8"/>
  <c r="H773" i="8"/>
  <c r="G774" i="8"/>
  <c r="M748" i="6"/>
  <c r="N747" i="6"/>
  <c r="E773" i="7"/>
  <c r="F772" i="7"/>
  <c r="I772" i="7" s="1"/>
  <c r="J772" i="7" s="1"/>
  <c r="M749" i="6" l="1"/>
  <c r="N748" i="6"/>
  <c r="G775" i="8"/>
  <c r="H774" i="8"/>
  <c r="H748" i="6"/>
  <c r="O748" i="6" s="1"/>
  <c r="P748" i="6" s="1"/>
  <c r="G749" i="6"/>
  <c r="G778" i="7"/>
  <c r="H777" i="7"/>
  <c r="K749" i="6"/>
  <c r="L748" i="6"/>
  <c r="J749" i="6"/>
  <c r="I750" i="6"/>
  <c r="I774" i="8"/>
  <c r="J774" i="8" s="1"/>
  <c r="F774" i="8"/>
  <c r="E775" i="8"/>
  <c r="F773" i="7"/>
  <c r="I773" i="7" s="1"/>
  <c r="J773" i="7" s="1"/>
  <c r="E774" i="7"/>
  <c r="E776" i="8" l="1"/>
  <c r="F775" i="8"/>
  <c r="I775" i="8" s="1"/>
  <c r="J775" i="8" s="1"/>
  <c r="I751" i="6"/>
  <c r="J750" i="6"/>
  <c r="G779" i="7"/>
  <c r="H778" i="7"/>
  <c r="G750" i="6"/>
  <c r="H749" i="6"/>
  <c r="O749" i="6" s="1"/>
  <c r="P749" i="6" s="1"/>
  <c r="L749" i="6"/>
  <c r="K750" i="6"/>
  <c r="E775" i="7"/>
  <c r="I774" i="7"/>
  <c r="J774" i="7" s="1"/>
  <c r="F774" i="7"/>
  <c r="H775" i="8"/>
  <c r="G776" i="8"/>
  <c r="M750" i="6"/>
  <c r="N749" i="6"/>
  <c r="G780" i="7" l="1"/>
  <c r="H779" i="7"/>
  <c r="I752" i="6"/>
  <c r="J751" i="6"/>
  <c r="G751" i="6"/>
  <c r="H750" i="6"/>
  <c r="O750" i="6" s="1"/>
  <c r="P750" i="6" s="1"/>
  <c r="E776" i="7"/>
  <c r="F775" i="7"/>
  <c r="I775" i="7" s="1"/>
  <c r="J775" i="7" s="1"/>
  <c r="N750" i="6"/>
  <c r="M751" i="6"/>
  <c r="E777" i="8"/>
  <c r="F776" i="8"/>
  <c r="I776" i="8" s="1"/>
  <c r="J776" i="8" s="1"/>
  <c r="K751" i="6"/>
  <c r="L750" i="6"/>
  <c r="H776" i="8"/>
  <c r="G777" i="8"/>
  <c r="M752" i="6" l="1"/>
  <c r="N751" i="6"/>
  <c r="E777" i="7"/>
  <c r="F776" i="7"/>
  <c r="I776" i="7" s="1"/>
  <c r="J776" i="7" s="1"/>
  <c r="G752" i="6"/>
  <c r="H751" i="6"/>
  <c r="O751" i="6" s="1"/>
  <c r="P751" i="6" s="1"/>
  <c r="H777" i="8"/>
  <c r="G778" i="8"/>
  <c r="J752" i="6"/>
  <c r="I753" i="6"/>
  <c r="K752" i="6"/>
  <c r="L751" i="6"/>
  <c r="F777" i="8"/>
  <c r="I777" i="8" s="1"/>
  <c r="J777" i="8" s="1"/>
  <c r="E778" i="8"/>
  <c r="G781" i="7"/>
  <c r="H780" i="7"/>
  <c r="G779" i="8" l="1"/>
  <c r="H778" i="8"/>
  <c r="J753" i="6"/>
  <c r="I754" i="6"/>
  <c r="H752" i="6"/>
  <c r="O752" i="6"/>
  <c r="P752" i="6" s="1"/>
  <c r="G753" i="6"/>
  <c r="F777" i="7"/>
  <c r="I777" i="7" s="1"/>
  <c r="J777" i="7" s="1"/>
  <c r="E778" i="7"/>
  <c r="L752" i="6"/>
  <c r="K753" i="6"/>
  <c r="H781" i="7"/>
  <c r="G782" i="7"/>
  <c r="E779" i="8"/>
  <c r="I778" i="8"/>
  <c r="J778" i="8" s="1"/>
  <c r="F778" i="8"/>
  <c r="M753" i="6"/>
  <c r="N752" i="6"/>
  <c r="L753" i="6" l="1"/>
  <c r="K754" i="6"/>
  <c r="F778" i="7"/>
  <c r="I778" i="7" s="1"/>
  <c r="J778" i="7" s="1"/>
  <c r="E779" i="7"/>
  <c r="G754" i="6"/>
  <c r="H753" i="6"/>
  <c r="O753" i="6" s="1"/>
  <c r="P753" i="6" s="1"/>
  <c r="G783" i="7"/>
  <c r="H782" i="7"/>
  <c r="J754" i="6"/>
  <c r="I755" i="6"/>
  <c r="E780" i="8"/>
  <c r="F779" i="8"/>
  <c r="I779" i="8" s="1"/>
  <c r="J779" i="8" s="1"/>
  <c r="M754" i="6"/>
  <c r="N753" i="6"/>
  <c r="H779" i="8"/>
  <c r="G780" i="8"/>
  <c r="I756" i="6" l="1"/>
  <c r="J755" i="6"/>
  <c r="F779" i="7"/>
  <c r="I779" i="7" s="1"/>
  <c r="J779" i="7" s="1"/>
  <c r="E780" i="7"/>
  <c r="E781" i="8"/>
  <c r="F780" i="8"/>
  <c r="I780" i="8" s="1"/>
  <c r="J780" i="8" s="1"/>
  <c r="H754" i="6"/>
  <c r="G755" i="6"/>
  <c r="L754" i="6"/>
  <c r="O754" i="6" s="1"/>
  <c r="P754" i="6" s="1"/>
  <c r="K755" i="6"/>
  <c r="N754" i="6"/>
  <c r="M755" i="6"/>
  <c r="H783" i="7"/>
  <c r="G784" i="7"/>
  <c r="G781" i="8"/>
  <c r="H780" i="8"/>
  <c r="K756" i="6" l="1"/>
  <c r="L755" i="6"/>
  <c r="O755" i="6" s="1"/>
  <c r="P755" i="6" s="1"/>
  <c r="G756" i="6"/>
  <c r="H755" i="6"/>
  <c r="E782" i="8"/>
  <c r="F781" i="8"/>
  <c r="I781" i="8" s="1"/>
  <c r="J781" i="8" s="1"/>
  <c r="E781" i="7"/>
  <c r="F780" i="7"/>
  <c r="I780" i="7" s="1"/>
  <c r="J780" i="7" s="1"/>
  <c r="N755" i="6"/>
  <c r="M756" i="6"/>
  <c r="G782" i="8"/>
  <c r="H781" i="8"/>
  <c r="G785" i="7"/>
  <c r="H784" i="7"/>
  <c r="J756" i="6"/>
  <c r="I757" i="6"/>
  <c r="G786" i="7" l="1"/>
  <c r="H785" i="7"/>
  <c r="F781" i="7"/>
  <c r="I781" i="7" s="1"/>
  <c r="J781" i="7" s="1"/>
  <c r="E782" i="7"/>
  <c r="F782" i="8"/>
  <c r="I782" i="8" s="1"/>
  <c r="J782" i="8" s="1"/>
  <c r="E783" i="8"/>
  <c r="J757" i="6"/>
  <c r="I758" i="6"/>
  <c r="H756" i="6"/>
  <c r="O756" i="6" s="1"/>
  <c r="P756" i="6" s="1"/>
  <c r="G757" i="6"/>
  <c r="G783" i="8"/>
  <c r="H782" i="8"/>
  <c r="M757" i="6"/>
  <c r="N756" i="6"/>
  <c r="K757" i="6"/>
  <c r="L756" i="6"/>
  <c r="H757" i="6" l="1"/>
  <c r="O757" i="6" s="1"/>
  <c r="P757" i="6" s="1"/>
  <c r="G758" i="6"/>
  <c r="I759" i="6"/>
  <c r="J758" i="6"/>
  <c r="E784" i="8"/>
  <c r="F783" i="8"/>
  <c r="E783" i="7"/>
  <c r="F782" i="7"/>
  <c r="I782" i="7" s="1"/>
  <c r="J782" i="7" s="1"/>
  <c r="N757" i="6"/>
  <c r="M758" i="6"/>
  <c r="G784" i="8"/>
  <c r="H783" i="8"/>
  <c r="I783" i="8" s="1"/>
  <c r="J783" i="8" s="1"/>
  <c r="L757" i="6"/>
  <c r="K758" i="6"/>
  <c r="H786" i="7"/>
  <c r="G787" i="7"/>
  <c r="H784" i="8" l="1"/>
  <c r="G785" i="8"/>
  <c r="F784" i="8"/>
  <c r="I784" i="8" s="1"/>
  <c r="J784" i="8" s="1"/>
  <c r="E785" i="8"/>
  <c r="N758" i="6"/>
  <c r="M759" i="6"/>
  <c r="E784" i="7"/>
  <c r="F783" i="7"/>
  <c r="I783" i="7" s="1"/>
  <c r="J783" i="7" s="1"/>
  <c r="I760" i="6"/>
  <c r="J759" i="6"/>
  <c r="G788" i="7"/>
  <c r="H787" i="7"/>
  <c r="G759" i="6"/>
  <c r="O758" i="6"/>
  <c r="P758" i="6" s="1"/>
  <c r="H758" i="6"/>
  <c r="L758" i="6"/>
  <c r="K759" i="6"/>
  <c r="H759" i="6" l="1"/>
  <c r="O759" i="6" s="1"/>
  <c r="P759" i="6" s="1"/>
  <c r="G760" i="6"/>
  <c r="G789" i="7"/>
  <c r="H788" i="7"/>
  <c r="E785" i="7"/>
  <c r="F784" i="7"/>
  <c r="I784" i="7" s="1"/>
  <c r="J784" i="7" s="1"/>
  <c r="M760" i="6"/>
  <c r="N759" i="6"/>
  <c r="E786" i="8"/>
  <c r="F785" i="8"/>
  <c r="I785" i="8" s="1"/>
  <c r="J785" i="8" s="1"/>
  <c r="K760" i="6"/>
  <c r="L759" i="6"/>
  <c r="G786" i="8"/>
  <c r="H785" i="8"/>
  <c r="J760" i="6"/>
  <c r="I761" i="6"/>
  <c r="H786" i="8" l="1"/>
  <c r="G787" i="8"/>
  <c r="E786" i="7"/>
  <c r="F785" i="7"/>
  <c r="I785" i="7" s="1"/>
  <c r="J785" i="7" s="1"/>
  <c r="M761" i="6"/>
  <c r="N760" i="6"/>
  <c r="F786" i="8"/>
  <c r="I786" i="8" s="1"/>
  <c r="J786" i="8" s="1"/>
  <c r="E787" i="8"/>
  <c r="G790" i="7"/>
  <c r="H789" i="7"/>
  <c r="J761" i="6"/>
  <c r="I762" i="6"/>
  <c r="H760" i="6"/>
  <c r="O760" i="6" s="1"/>
  <c r="P760" i="6" s="1"/>
  <c r="G761" i="6"/>
  <c r="L760" i="6"/>
  <c r="K761" i="6"/>
  <c r="H790" i="7" l="1"/>
  <c r="G791" i="7"/>
  <c r="J762" i="6"/>
  <c r="I763" i="6"/>
  <c r="F787" i="8"/>
  <c r="E788" i="8"/>
  <c r="M762" i="6"/>
  <c r="N761" i="6"/>
  <c r="L761" i="6"/>
  <c r="K762" i="6"/>
  <c r="F786" i="7"/>
  <c r="I786" i="7" s="1"/>
  <c r="J786" i="7" s="1"/>
  <c r="E787" i="7"/>
  <c r="G788" i="8"/>
  <c r="H787" i="8"/>
  <c r="I787" i="8" s="1"/>
  <c r="J787" i="8" s="1"/>
  <c r="G762" i="6"/>
  <c r="H761" i="6"/>
  <c r="O761" i="6" s="1"/>
  <c r="P761" i="6" s="1"/>
  <c r="H788" i="8" l="1"/>
  <c r="G789" i="8"/>
  <c r="N762" i="6"/>
  <c r="M763" i="6"/>
  <c r="E788" i="7"/>
  <c r="F787" i="7"/>
  <c r="I787" i="7" s="1"/>
  <c r="J787" i="7" s="1"/>
  <c r="L762" i="6"/>
  <c r="K763" i="6"/>
  <c r="F788" i="8"/>
  <c r="I788" i="8" s="1"/>
  <c r="J788" i="8" s="1"/>
  <c r="E789" i="8"/>
  <c r="I764" i="6"/>
  <c r="J763" i="6"/>
  <c r="H791" i="7"/>
  <c r="G792" i="7"/>
  <c r="H762" i="6"/>
  <c r="O762" i="6" s="1"/>
  <c r="P762" i="6" s="1"/>
  <c r="G763" i="6"/>
  <c r="H792" i="7" l="1"/>
  <c r="G793" i="7"/>
  <c r="E790" i="8"/>
  <c r="F789" i="8"/>
  <c r="I789" i="8" s="1"/>
  <c r="J789" i="8" s="1"/>
  <c r="L763" i="6"/>
  <c r="K764" i="6"/>
  <c r="I765" i="6"/>
  <c r="J764" i="6"/>
  <c r="F788" i="7"/>
  <c r="I788" i="7" s="1"/>
  <c r="J788" i="7" s="1"/>
  <c r="E789" i="7"/>
  <c r="N763" i="6"/>
  <c r="M764" i="6"/>
  <c r="O763" i="6"/>
  <c r="P763" i="6" s="1"/>
  <c r="G764" i="6"/>
  <c r="H763" i="6"/>
  <c r="G790" i="8"/>
  <c r="H789" i="8"/>
  <c r="J765" i="6" l="1"/>
  <c r="I766" i="6"/>
  <c r="K765" i="6"/>
  <c r="L764" i="6"/>
  <c r="F790" i="8"/>
  <c r="I790" i="8" s="1"/>
  <c r="J790" i="8" s="1"/>
  <c r="E791" i="8"/>
  <c r="F789" i="7"/>
  <c r="E790" i="7"/>
  <c r="I789" i="7"/>
  <c r="J789" i="7" s="1"/>
  <c r="H790" i="8"/>
  <c r="G791" i="8"/>
  <c r="G794" i="7"/>
  <c r="H793" i="7"/>
  <c r="H764" i="6"/>
  <c r="O764" i="6" s="1"/>
  <c r="P764" i="6" s="1"/>
  <c r="G765" i="6"/>
  <c r="M765" i="6"/>
  <c r="N764" i="6"/>
  <c r="E792" i="8" l="1"/>
  <c r="F791" i="8"/>
  <c r="I791" i="8" s="1"/>
  <c r="J791" i="8" s="1"/>
  <c r="G792" i="8"/>
  <c r="H791" i="8"/>
  <c r="L765" i="6"/>
  <c r="O765" i="6" s="1"/>
  <c r="P765" i="6" s="1"/>
  <c r="K766" i="6"/>
  <c r="F790" i="7"/>
  <c r="I790" i="7" s="1"/>
  <c r="J790" i="7" s="1"/>
  <c r="E791" i="7"/>
  <c r="M766" i="6"/>
  <c r="N765" i="6"/>
  <c r="J766" i="6"/>
  <c r="I767" i="6"/>
  <c r="G795" i="7"/>
  <c r="H794" i="7"/>
  <c r="H765" i="6"/>
  <c r="G766" i="6"/>
  <c r="I768" i="6" l="1"/>
  <c r="J767" i="6"/>
  <c r="N766" i="6"/>
  <c r="M767" i="6"/>
  <c r="L766" i="6"/>
  <c r="K767" i="6"/>
  <c r="G796" i="7"/>
  <c r="H795" i="7"/>
  <c r="E793" i="8"/>
  <c r="F792" i="8"/>
  <c r="F791" i="7"/>
  <c r="I791" i="7" s="1"/>
  <c r="J791" i="7" s="1"/>
  <c r="E792" i="7"/>
  <c r="H792" i="8"/>
  <c r="I792" i="8" s="1"/>
  <c r="J792" i="8" s="1"/>
  <c r="G793" i="8"/>
  <c r="G767" i="6"/>
  <c r="O766" i="6"/>
  <c r="P766" i="6" s="1"/>
  <c r="H766" i="6"/>
  <c r="E793" i="7" l="1"/>
  <c r="F792" i="7"/>
  <c r="I792" i="7" s="1"/>
  <c r="J792" i="7" s="1"/>
  <c r="G794" i="8"/>
  <c r="H793" i="8"/>
  <c r="F793" i="8"/>
  <c r="I793" i="8" s="1"/>
  <c r="J793" i="8" s="1"/>
  <c r="E794" i="8"/>
  <c r="M768" i="6"/>
  <c r="N767" i="6"/>
  <c r="H796" i="7"/>
  <c r="G797" i="7"/>
  <c r="K768" i="6"/>
  <c r="L767" i="6"/>
  <c r="G768" i="6"/>
  <c r="O767" i="6"/>
  <c r="P767" i="6" s="1"/>
  <c r="H767" i="6"/>
  <c r="J768" i="6"/>
  <c r="I769" i="6"/>
  <c r="H768" i="6" l="1"/>
  <c r="O768" i="6" s="1"/>
  <c r="P768" i="6" s="1"/>
  <c r="G769" i="6"/>
  <c r="L768" i="6"/>
  <c r="K769" i="6"/>
  <c r="I794" i="8"/>
  <c r="J794" i="8" s="1"/>
  <c r="E795" i="8"/>
  <c r="F794" i="8"/>
  <c r="E794" i="7"/>
  <c r="F793" i="7"/>
  <c r="I793" i="7" s="1"/>
  <c r="J793" i="7" s="1"/>
  <c r="H797" i="7"/>
  <c r="G798" i="7"/>
  <c r="M769" i="6"/>
  <c r="N768" i="6"/>
  <c r="G795" i="8"/>
  <c r="H794" i="8"/>
  <c r="J769" i="6"/>
  <c r="I770" i="6"/>
  <c r="G799" i="7" l="1"/>
  <c r="H798" i="7"/>
  <c r="F794" i="7"/>
  <c r="I794" i="7" s="1"/>
  <c r="J794" i="7" s="1"/>
  <c r="E795" i="7"/>
  <c r="F795" i="8"/>
  <c r="E796" i="8"/>
  <c r="L769" i="6"/>
  <c r="K770" i="6"/>
  <c r="J770" i="6"/>
  <c r="I771" i="6"/>
  <c r="H795" i="8"/>
  <c r="I795" i="8" s="1"/>
  <c r="J795" i="8" s="1"/>
  <c r="G796" i="8"/>
  <c r="M770" i="6"/>
  <c r="N769" i="6"/>
  <c r="G770" i="6"/>
  <c r="H769" i="6"/>
  <c r="O769" i="6" s="1"/>
  <c r="P769" i="6" s="1"/>
  <c r="L770" i="6" l="1"/>
  <c r="K771" i="6"/>
  <c r="E797" i="8"/>
  <c r="F796" i="8"/>
  <c r="I772" i="6"/>
  <c r="J771" i="6"/>
  <c r="N770" i="6"/>
  <c r="M771" i="6"/>
  <c r="G797" i="8"/>
  <c r="H796" i="8"/>
  <c r="I796" i="8" s="1"/>
  <c r="J796" i="8" s="1"/>
  <c r="F795" i="7"/>
  <c r="I795" i="7" s="1"/>
  <c r="J795" i="7" s="1"/>
  <c r="E796" i="7"/>
  <c r="H770" i="6"/>
  <c r="O770" i="6" s="1"/>
  <c r="P770" i="6" s="1"/>
  <c r="G771" i="6"/>
  <c r="H799" i="7"/>
  <c r="G800" i="7"/>
  <c r="E797" i="7" l="1"/>
  <c r="F796" i="7"/>
  <c r="I796" i="7" s="1"/>
  <c r="J796" i="7" s="1"/>
  <c r="N771" i="6"/>
  <c r="M772" i="6"/>
  <c r="I797" i="8"/>
  <c r="J797" i="8" s="1"/>
  <c r="F797" i="8"/>
  <c r="E798" i="8"/>
  <c r="G801" i="7"/>
  <c r="H800" i="7"/>
  <c r="L771" i="6"/>
  <c r="K772" i="6"/>
  <c r="G798" i="8"/>
  <c r="H797" i="8"/>
  <c r="J772" i="6"/>
  <c r="I773" i="6"/>
  <c r="G772" i="6"/>
  <c r="H771" i="6"/>
  <c r="O771" i="6" s="1"/>
  <c r="P771" i="6" s="1"/>
  <c r="J773" i="6" l="1"/>
  <c r="I774" i="6"/>
  <c r="L772" i="6"/>
  <c r="K773" i="6"/>
  <c r="G802" i="7"/>
  <c r="H801" i="7"/>
  <c r="E799" i="8"/>
  <c r="F798" i="8"/>
  <c r="G799" i="8"/>
  <c r="H798" i="8"/>
  <c r="I798" i="8" s="1"/>
  <c r="J798" i="8" s="1"/>
  <c r="M773" i="6"/>
  <c r="N772" i="6"/>
  <c r="I797" i="7"/>
  <c r="J797" i="7" s="1"/>
  <c r="F797" i="7"/>
  <c r="E798" i="7"/>
  <c r="H772" i="6"/>
  <c r="O772" i="6" s="1"/>
  <c r="P772" i="6" s="1"/>
  <c r="G773" i="6"/>
  <c r="E799" i="7" l="1"/>
  <c r="F798" i="7"/>
  <c r="I798" i="7" s="1"/>
  <c r="J798" i="7" s="1"/>
  <c r="F799" i="8"/>
  <c r="I799" i="8" s="1"/>
  <c r="J799" i="8" s="1"/>
  <c r="E800" i="8"/>
  <c r="H799" i="8"/>
  <c r="G800" i="8"/>
  <c r="H802" i="7"/>
  <c r="G803" i="7"/>
  <c r="L773" i="6"/>
  <c r="K774" i="6"/>
  <c r="M774" i="6"/>
  <c r="N773" i="6"/>
  <c r="H773" i="6"/>
  <c r="O773" i="6" s="1"/>
  <c r="P773" i="6" s="1"/>
  <c r="G774" i="6"/>
  <c r="J774" i="6"/>
  <c r="I775" i="6"/>
  <c r="G804" i="7" l="1"/>
  <c r="H803" i="7"/>
  <c r="N774" i="6"/>
  <c r="M775" i="6"/>
  <c r="E801" i="8"/>
  <c r="F800" i="8"/>
  <c r="F799" i="7"/>
  <c r="I799" i="7" s="1"/>
  <c r="J799" i="7" s="1"/>
  <c r="E800" i="7"/>
  <c r="H774" i="6"/>
  <c r="O774" i="6" s="1"/>
  <c r="P774" i="6" s="1"/>
  <c r="G775" i="6"/>
  <c r="L774" i="6"/>
  <c r="K775" i="6"/>
  <c r="G801" i="8"/>
  <c r="H800" i="8"/>
  <c r="I800" i="8" s="1"/>
  <c r="J800" i="8" s="1"/>
  <c r="I776" i="6"/>
  <c r="J775" i="6"/>
  <c r="K776" i="6" l="1"/>
  <c r="L775" i="6"/>
  <c r="G776" i="6"/>
  <c r="H775" i="6"/>
  <c r="O775" i="6" s="1"/>
  <c r="P775" i="6" s="1"/>
  <c r="G802" i="8"/>
  <c r="H801" i="8"/>
  <c r="E801" i="7"/>
  <c r="F800" i="7"/>
  <c r="I800" i="7" s="1"/>
  <c r="J800" i="7" s="1"/>
  <c r="E802" i="8"/>
  <c r="F801" i="8"/>
  <c r="I801" i="8" s="1"/>
  <c r="J801" i="8" s="1"/>
  <c r="M776" i="6"/>
  <c r="N775" i="6"/>
  <c r="J776" i="6"/>
  <c r="I777" i="6"/>
  <c r="H804" i="7"/>
  <c r="G805" i="7"/>
  <c r="E802" i="7" l="1"/>
  <c r="F801" i="7"/>
  <c r="I801" i="7" s="1"/>
  <c r="J801" i="7" s="1"/>
  <c r="G803" i="8"/>
  <c r="H802" i="8"/>
  <c r="E803" i="8"/>
  <c r="F802" i="8"/>
  <c r="I802" i="8" s="1"/>
  <c r="J802" i="8" s="1"/>
  <c r="G806" i="7"/>
  <c r="H805" i="7"/>
  <c r="H776" i="6"/>
  <c r="O776" i="6" s="1"/>
  <c r="P776" i="6" s="1"/>
  <c r="G777" i="6"/>
  <c r="M777" i="6"/>
  <c r="N776" i="6"/>
  <c r="J777" i="6"/>
  <c r="I778" i="6"/>
  <c r="L776" i="6"/>
  <c r="K777" i="6"/>
  <c r="G778" i="6" l="1"/>
  <c r="H777" i="6"/>
  <c r="O777" i="6" s="1"/>
  <c r="P777" i="6" s="1"/>
  <c r="E804" i="8"/>
  <c r="F803" i="8"/>
  <c r="I803" i="8" s="1"/>
  <c r="J803" i="8" s="1"/>
  <c r="N777" i="6"/>
  <c r="M778" i="6"/>
  <c r="H806" i="7"/>
  <c r="G807" i="7"/>
  <c r="G804" i="8"/>
  <c r="H803" i="8"/>
  <c r="L777" i="6"/>
  <c r="K778" i="6"/>
  <c r="J778" i="6"/>
  <c r="I779" i="6"/>
  <c r="F802" i="7"/>
  <c r="I802" i="7" s="1"/>
  <c r="J802" i="7" s="1"/>
  <c r="E803" i="7"/>
  <c r="I780" i="6" l="1"/>
  <c r="J779" i="6"/>
  <c r="N778" i="6"/>
  <c r="M779" i="6"/>
  <c r="K779" i="6"/>
  <c r="L778" i="6"/>
  <c r="O778" i="6" s="1"/>
  <c r="P778" i="6" s="1"/>
  <c r="E804" i="7"/>
  <c r="F803" i="7"/>
  <c r="I803" i="7" s="1"/>
  <c r="J803" i="7" s="1"/>
  <c r="G805" i="8"/>
  <c r="H804" i="8"/>
  <c r="I804" i="8" s="1"/>
  <c r="J804" i="8" s="1"/>
  <c r="H807" i="7"/>
  <c r="G808" i="7"/>
  <c r="E805" i="8"/>
  <c r="F804" i="8"/>
  <c r="H778" i="6"/>
  <c r="G779" i="6"/>
  <c r="F805" i="8" l="1"/>
  <c r="I805" i="8" s="1"/>
  <c r="J805" i="8" s="1"/>
  <c r="E806" i="8"/>
  <c r="F804" i="7"/>
  <c r="I804" i="7" s="1"/>
  <c r="J804" i="7" s="1"/>
  <c r="E805" i="7"/>
  <c r="H805" i="8"/>
  <c r="G806" i="8"/>
  <c r="N779" i="6"/>
  <c r="M780" i="6"/>
  <c r="H808" i="7"/>
  <c r="G809" i="7"/>
  <c r="L779" i="6"/>
  <c r="K780" i="6"/>
  <c r="H779" i="6"/>
  <c r="O779" i="6" s="1"/>
  <c r="P779" i="6" s="1"/>
  <c r="G780" i="6"/>
  <c r="J780" i="6"/>
  <c r="I781" i="6"/>
  <c r="M781" i="6" l="1"/>
  <c r="N780" i="6"/>
  <c r="K781" i="6"/>
  <c r="L780" i="6"/>
  <c r="F805" i="7"/>
  <c r="I805" i="7" s="1"/>
  <c r="J805" i="7" s="1"/>
  <c r="E806" i="7"/>
  <c r="G807" i="8"/>
  <c r="H806" i="8"/>
  <c r="J781" i="6"/>
  <c r="I782" i="6"/>
  <c r="E807" i="8"/>
  <c r="F806" i="8"/>
  <c r="I806" i="8" s="1"/>
  <c r="J806" i="8" s="1"/>
  <c r="H780" i="6"/>
  <c r="O780" i="6" s="1"/>
  <c r="P780" i="6" s="1"/>
  <c r="G781" i="6"/>
  <c r="H809" i="7"/>
  <c r="G810" i="7"/>
  <c r="G782" i="6" l="1"/>
  <c r="H781" i="6"/>
  <c r="O781" i="6" s="1"/>
  <c r="P781" i="6" s="1"/>
  <c r="G808" i="8"/>
  <c r="H807" i="8"/>
  <c r="F807" i="8"/>
  <c r="I807" i="8" s="1"/>
  <c r="J807" i="8" s="1"/>
  <c r="E808" i="8"/>
  <c r="I783" i="6"/>
  <c r="J782" i="6"/>
  <c r="F806" i="7"/>
  <c r="I806" i="7" s="1"/>
  <c r="J806" i="7" s="1"/>
  <c r="E807" i="7"/>
  <c r="G811" i="7"/>
  <c r="H810" i="7"/>
  <c r="L781" i="6"/>
  <c r="K782" i="6"/>
  <c r="M782" i="6"/>
  <c r="N781" i="6"/>
  <c r="G812" i="7" l="1"/>
  <c r="H811" i="7"/>
  <c r="E809" i="8"/>
  <c r="F808" i="8"/>
  <c r="I808" i="8" s="1"/>
  <c r="J808" i="8" s="1"/>
  <c r="F807" i="7"/>
  <c r="I807" i="7" s="1"/>
  <c r="J807" i="7" s="1"/>
  <c r="E808" i="7"/>
  <c r="G809" i="8"/>
  <c r="H808" i="8"/>
  <c r="I784" i="6"/>
  <c r="J783" i="6"/>
  <c r="N782" i="6"/>
  <c r="M783" i="6"/>
  <c r="L782" i="6"/>
  <c r="K783" i="6"/>
  <c r="G783" i="6"/>
  <c r="H782" i="6"/>
  <c r="O782" i="6" s="1"/>
  <c r="P782" i="6" s="1"/>
  <c r="N783" i="6" l="1"/>
  <c r="M784" i="6"/>
  <c r="G810" i="8"/>
  <c r="H809" i="8"/>
  <c r="E809" i="7"/>
  <c r="F808" i="7"/>
  <c r="I808" i="7" s="1"/>
  <c r="J808" i="7" s="1"/>
  <c r="L783" i="6"/>
  <c r="O783" i="6" s="1"/>
  <c r="P783" i="6" s="1"/>
  <c r="K784" i="6"/>
  <c r="F809" i="8"/>
  <c r="I809" i="8" s="1"/>
  <c r="J809" i="8" s="1"/>
  <c r="E810" i="8"/>
  <c r="I785" i="6"/>
  <c r="J784" i="6"/>
  <c r="G784" i="6"/>
  <c r="H783" i="6"/>
  <c r="H812" i="7"/>
  <c r="G813" i="7"/>
  <c r="J785" i="6" l="1"/>
  <c r="I786" i="6"/>
  <c r="K785" i="6"/>
  <c r="L784" i="6"/>
  <c r="H813" i="7"/>
  <c r="G814" i="7"/>
  <c r="G811" i="8"/>
  <c r="H810" i="8"/>
  <c r="M785" i="6"/>
  <c r="N784" i="6"/>
  <c r="H784" i="6"/>
  <c r="G785" i="6"/>
  <c r="O784" i="6"/>
  <c r="P784" i="6" s="1"/>
  <c r="E811" i="8"/>
  <c r="F810" i="8"/>
  <c r="I810" i="8" s="1"/>
  <c r="J810" i="8" s="1"/>
  <c r="E810" i="7"/>
  <c r="F809" i="7"/>
  <c r="I809" i="7" s="1"/>
  <c r="J809" i="7" s="1"/>
  <c r="G786" i="6" l="1"/>
  <c r="H785" i="6"/>
  <c r="O785" i="6" s="1"/>
  <c r="P785" i="6" s="1"/>
  <c r="E812" i="8"/>
  <c r="F811" i="8"/>
  <c r="I811" i="8" s="1"/>
  <c r="J811" i="8" s="1"/>
  <c r="N785" i="6"/>
  <c r="M786" i="6"/>
  <c r="G812" i="8"/>
  <c r="H811" i="8"/>
  <c r="L785" i="6"/>
  <c r="K786" i="6"/>
  <c r="I787" i="6"/>
  <c r="J786" i="6"/>
  <c r="G815" i="7"/>
  <c r="H814" i="7"/>
  <c r="F810" i="7"/>
  <c r="I810" i="7" s="1"/>
  <c r="J810" i="7" s="1"/>
  <c r="E811" i="7"/>
  <c r="I788" i="6" l="1"/>
  <c r="J787" i="6"/>
  <c r="N786" i="6"/>
  <c r="M787" i="6"/>
  <c r="H815" i="7"/>
  <c r="G816" i="7"/>
  <c r="K787" i="6"/>
  <c r="L786" i="6"/>
  <c r="O786" i="6" s="1"/>
  <c r="P786" i="6" s="1"/>
  <c r="G813" i="8"/>
  <c r="H812" i="8"/>
  <c r="E813" i="8"/>
  <c r="F812" i="8"/>
  <c r="I812" i="8" s="1"/>
  <c r="J812" i="8" s="1"/>
  <c r="F811" i="7"/>
  <c r="I811" i="7" s="1"/>
  <c r="J811" i="7" s="1"/>
  <c r="E812" i="7"/>
  <c r="H786" i="6"/>
  <c r="G787" i="6"/>
  <c r="E814" i="8" l="1"/>
  <c r="F813" i="8"/>
  <c r="I813" i="8" s="1"/>
  <c r="J813" i="8" s="1"/>
  <c r="G814" i="8"/>
  <c r="H813" i="8"/>
  <c r="L787" i="6"/>
  <c r="K788" i="6"/>
  <c r="N787" i="6"/>
  <c r="M788" i="6"/>
  <c r="G817" i="7"/>
  <c r="H816" i="7"/>
  <c r="F812" i="7"/>
  <c r="I812" i="7" s="1"/>
  <c r="J812" i="7" s="1"/>
  <c r="E813" i="7"/>
  <c r="H787" i="6"/>
  <c r="O787" i="6" s="1"/>
  <c r="P787" i="6" s="1"/>
  <c r="G788" i="6"/>
  <c r="I789" i="6"/>
  <c r="J788" i="6"/>
  <c r="L788" i="6" l="1"/>
  <c r="K789" i="6"/>
  <c r="F813" i="7"/>
  <c r="I813" i="7" s="1"/>
  <c r="J813" i="7" s="1"/>
  <c r="E814" i="7"/>
  <c r="G818" i="7"/>
  <c r="H817" i="7"/>
  <c r="M789" i="6"/>
  <c r="N788" i="6"/>
  <c r="G815" i="8"/>
  <c r="H814" i="8"/>
  <c r="J789" i="6"/>
  <c r="I790" i="6"/>
  <c r="E815" i="8"/>
  <c r="F814" i="8"/>
  <c r="I814" i="8" s="1"/>
  <c r="J814" i="8" s="1"/>
  <c r="H788" i="6"/>
  <c r="O788" i="6" s="1"/>
  <c r="P788" i="6" s="1"/>
  <c r="G789" i="6"/>
  <c r="J790" i="6" l="1"/>
  <c r="I791" i="6"/>
  <c r="F815" i="8"/>
  <c r="I815" i="8" s="1"/>
  <c r="J815" i="8" s="1"/>
  <c r="E816" i="8"/>
  <c r="H815" i="8"/>
  <c r="G816" i="8"/>
  <c r="N789" i="6"/>
  <c r="M790" i="6"/>
  <c r="G819" i="7"/>
  <c r="H818" i="7"/>
  <c r="I814" i="7"/>
  <c r="J814" i="7" s="1"/>
  <c r="E815" i="7"/>
  <c r="F814" i="7"/>
  <c r="G790" i="6"/>
  <c r="H789" i="6"/>
  <c r="O789" i="6" s="1"/>
  <c r="P789" i="6" s="1"/>
  <c r="L789" i="6"/>
  <c r="K790" i="6"/>
  <c r="G791" i="6" l="1"/>
  <c r="H790" i="6"/>
  <c r="N790" i="6"/>
  <c r="M791" i="6"/>
  <c r="G817" i="8"/>
  <c r="H816" i="8"/>
  <c r="E817" i="8"/>
  <c r="F816" i="8"/>
  <c r="I816" i="8" s="1"/>
  <c r="J816" i="8" s="1"/>
  <c r="G820" i="7"/>
  <c r="H819" i="7"/>
  <c r="K791" i="6"/>
  <c r="L790" i="6"/>
  <c r="O790" i="6" s="1"/>
  <c r="P790" i="6" s="1"/>
  <c r="F815" i="7"/>
  <c r="I815" i="7" s="1"/>
  <c r="J815" i="7" s="1"/>
  <c r="E816" i="7"/>
  <c r="I792" i="6"/>
  <c r="J791" i="6"/>
  <c r="L791" i="6" l="1"/>
  <c r="K792" i="6"/>
  <c r="F817" i="8"/>
  <c r="I817" i="8" s="1"/>
  <c r="J817" i="8" s="1"/>
  <c r="E818" i="8"/>
  <c r="H820" i="7"/>
  <c r="G821" i="7"/>
  <c r="N791" i="6"/>
  <c r="M792" i="6"/>
  <c r="G818" i="8"/>
  <c r="H817" i="8"/>
  <c r="I793" i="6"/>
  <c r="J792" i="6"/>
  <c r="E817" i="7"/>
  <c r="F816" i="7"/>
  <c r="I816" i="7" s="1"/>
  <c r="J816" i="7" s="1"/>
  <c r="G792" i="6"/>
  <c r="H791" i="6"/>
  <c r="O791" i="6" s="1"/>
  <c r="P791" i="6" s="1"/>
  <c r="J793" i="6" l="1"/>
  <c r="I794" i="6"/>
  <c r="M793" i="6"/>
  <c r="N792" i="6"/>
  <c r="G819" i="8"/>
  <c r="H818" i="8"/>
  <c r="G822" i="7"/>
  <c r="H821" i="7"/>
  <c r="E819" i="8"/>
  <c r="F818" i="8"/>
  <c r="I818" i="8" s="1"/>
  <c r="J818" i="8" s="1"/>
  <c r="E818" i="7"/>
  <c r="F817" i="7"/>
  <c r="I817" i="7" s="1"/>
  <c r="J817" i="7" s="1"/>
  <c r="H792" i="6"/>
  <c r="O792" i="6" s="1"/>
  <c r="P792" i="6" s="1"/>
  <c r="G793" i="6"/>
  <c r="K793" i="6"/>
  <c r="L792" i="6"/>
  <c r="H822" i="7" l="1"/>
  <c r="G823" i="7"/>
  <c r="E820" i="8"/>
  <c r="F819" i="8"/>
  <c r="I819" i="8" s="1"/>
  <c r="J819" i="8" s="1"/>
  <c r="G794" i="6"/>
  <c r="H793" i="6"/>
  <c r="O793" i="6" s="1"/>
  <c r="P793" i="6" s="1"/>
  <c r="H819" i="8"/>
  <c r="G820" i="8"/>
  <c r="N793" i="6"/>
  <c r="M794" i="6"/>
  <c r="F818" i="7"/>
  <c r="I818" i="7" s="1"/>
  <c r="J818" i="7" s="1"/>
  <c r="E819" i="7"/>
  <c r="L793" i="6"/>
  <c r="K794" i="6"/>
  <c r="I795" i="6"/>
  <c r="J794" i="6"/>
  <c r="E820" i="7" l="1"/>
  <c r="F819" i="7"/>
  <c r="I819" i="7" s="1"/>
  <c r="J819" i="7" s="1"/>
  <c r="N794" i="6"/>
  <c r="M795" i="6"/>
  <c r="G821" i="8"/>
  <c r="H820" i="8"/>
  <c r="G795" i="6"/>
  <c r="H794" i="6"/>
  <c r="O794" i="6" s="1"/>
  <c r="P794" i="6" s="1"/>
  <c r="F820" i="8"/>
  <c r="I820" i="8" s="1"/>
  <c r="J820" i="8" s="1"/>
  <c r="E821" i="8"/>
  <c r="I796" i="6"/>
  <c r="J795" i="6"/>
  <c r="H823" i="7"/>
  <c r="G824" i="7"/>
  <c r="K795" i="6"/>
  <c r="L794" i="6"/>
  <c r="H795" i="6" l="1"/>
  <c r="O795" i="6" s="1"/>
  <c r="P795" i="6" s="1"/>
  <c r="G796" i="6"/>
  <c r="H821" i="8"/>
  <c r="G822" i="8"/>
  <c r="M796" i="6"/>
  <c r="N795" i="6"/>
  <c r="J796" i="6"/>
  <c r="I797" i="6"/>
  <c r="F821" i="8"/>
  <c r="I821" i="8" s="1"/>
  <c r="J821" i="8" s="1"/>
  <c r="E822" i="8"/>
  <c r="L795" i="6"/>
  <c r="K796" i="6"/>
  <c r="H824" i="7"/>
  <c r="G825" i="7"/>
  <c r="F820" i="7"/>
  <c r="I820" i="7" s="1"/>
  <c r="J820" i="7" s="1"/>
  <c r="E821" i="7"/>
  <c r="L796" i="6" l="1"/>
  <c r="K797" i="6"/>
  <c r="F822" i="8"/>
  <c r="I822" i="8" s="1"/>
  <c r="J822" i="8" s="1"/>
  <c r="E823" i="8"/>
  <c r="H825" i="7"/>
  <c r="G826" i="7"/>
  <c r="J797" i="6"/>
  <c r="I798" i="6"/>
  <c r="M797" i="6"/>
  <c r="N796" i="6"/>
  <c r="G823" i="8"/>
  <c r="H822" i="8"/>
  <c r="E822" i="7"/>
  <c r="F821" i="7"/>
  <c r="I821" i="7" s="1"/>
  <c r="J821" i="7" s="1"/>
  <c r="H796" i="6"/>
  <c r="G797" i="6"/>
  <c r="O796" i="6"/>
  <c r="P796" i="6" s="1"/>
  <c r="I799" i="6" l="1"/>
  <c r="J798" i="6"/>
  <c r="G827" i="7"/>
  <c r="H826" i="7"/>
  <c r="F822" i="7"/>
  <c r="I822" i="7" s="1"/>
  <c r="J822" i="7" s="1"/>
  <c r="E823" i="7"/>
  <c r="E824" i="8"/>
  <c r="F823" i="8"/>
  <c r="I823" i="8" s="1"/>
  <c r="J823" i="8" s="1"/>
  <c r="N797" i="6"/>
  <c r="M798" i="6"/>
  <c r="G798" i="6"/>
  <c r="H797" i="6"/>
  <c r="O797" i="6" s="1"/>
  <c r="P797" i="6" s="1"/>
  <c r="L797" i="6"/>
  <c r="K798" i="6"/>
  <c r="G824" i="8"/>
  <c r="H823" i="8"/>
  <c r="H798" i="6" l="1"/>
  <c r="O798" i="6" s="1"/>
  <c r="P798" i="6" s="1"/>
  <c r="G799" i="6"/>
  <c r="N798" i="6"/>
  <c r="M799" i="6"/>
  <c r="E825" i="8"/>
  <c r="F824" i="8"/>
  <c r="I824" i="8" s="1"/>
  <c r="J824" i="8" s="1"/>
  <c r="F823" i="7"/>
  <c r="I823" i="7" s="1"/>
  <c r="J823" i="7" s="1"/>
  <c r="E824" i="7"/>
  <c r="G828" i="7"/>
  <c r="H827" i="7"/>
  <c r="H824" i="8"/>
  <c r="G825" i="8"/>
  <c r="K799" i="6"/>
  <c r="L798" i="6"/>
  <c r="I800" i="6"/>
  <c r="J799" i="6"/>
  <c r="E825" i="7" l="1"/>
  <c r="F824" i="7"/>
  <c r="I824" i="7" s="1"/>
  <c r="J824" i="7" s="1"/>
  <c r="L799" i="6"/>
  <c r="K800" i="6"/>
  <c r="F825" i="8"/>
  <c r="I825" i="8" s="1"/>
  <c r="J825" i="8" s="1"/>
  <c r="E826" i="8"/>
  <c r="N799" i="6"/>
  <c r="M800" i="6"/>
  <c r="H825" i="8"/>
  <c r="G826" i="8"/>
  <c r="H828" i="7"/>
  <c r="G829" i="7"/>
  <c r="I801" i="6"/>
  <c r="J800" i="6"/>
  <c r="G800" i="6"/>
  <c r="H799" i="6"/>
  <c r="O799" i="6" s="1"/>
  <c r="P799" i="6" s="1"/>
  <c r="E827" i="8" l="1"/>
  <c r="F826" i="8"/>
  <c r="I826" i="8" s="1"/>
  <c r="J826" i="8" s="1"/>
  <c r="K801" i="6"/>
  <c r="L800" i="6"/>
  <c r="H826" i="8"/>
  <c r="G827" i="8"/>
  <c r="J801" i="6"/>
  <c r="I802" i="6"/>
  <c r="H829" i="7"/>
  <c r="G830" i="7"/>
  <c r="M801" i="6"/>
  <c r="N800" i="6"/>
  <c r="H800" i="6"/>
  <c r="O800" i="6" s="1"/>
  <c r="P800" i="6" s="1"/>
  <c r="G801" i="6"/>
  <c r="E826" i="7"/>
  <c r="F825" i="7"/>
  <c r="I825" i="7" s="1"/>
  <c r="J825" i="7" s="1"/>
  <c r="H801" i="6" l="1"/>
  <c r="O801" i="6" s="1"/>
  <c r="P801" i="6" s="1"/>
  <c r="G802" i="6"/>
  <c r="N801" i="6"/>
  <c r="M802" i="6"/>
  <c r="G831" i="7"/>
  <c r="H830" i="7"/>
  <c r="I803" i="6"/>
  <c r="J802" i="6"/>
  <c r="H827" i="8"/>
  <c r="G828" i="8"/>
  <c r="L801" i="6"/>
  <c r="K802" i="6"/>
  <c r="E827" i="7"/>
  <c r="F826" i="7"/>
  <c r="I826" i="7" s="1"/>
  <c r="J826" i="7" s="1"/>
  <c r="E828" i="8"/>
  <c r="F827" i="8"/>
  <c r="I827" i="8" s="1"/>
  <c r="J827" i="8" s="1"/>
  <c r="E829" i="8" l="1"/>
  <c r="F828" i="8"/>
  <c r="I828" i="8" s="1"/>
  <c r="J828" i="8" s="1"/>
  <c r="L802" i="6"/>
  <c r="K803" i="6"/>
  <c r="I804" i="6"/>
  <c r="J803" i="6"/>
  <c r="G832" i="7"/>
  <c r="H831" i="7"/>
  <c r="N802" i="6"/>
  <c r="M803" i="6"/>
  <c r="F827" i="7"/>
  <c r="E828" i="7"/>
  <c r="I827" i="7"/>
  <c r="J827" i="7" s="1"/>
  <c r="G829" i="8"/>
  <c r="H828" i="8"/>
  <c r="G803" i="6"/>
  <c r="H802" i="6"/>
  <c r="O802" i="6" s="1"/>
  <c r="P802" i="6" s="1"/>
  <c r="H829" i="8" l="1"/>
  <c r="G830" i="8"/>
  <c r="F828" i="7"/>
  <c r="I828" i="7" s="1"/>
  <c r="J828" i="7" s="1"/>
  <c r="E829" i="7"/>
  <c r="J804" i="6"/>
  <c r="I805" i="6"/>
  <c r="N803" i="6"/>
  <c r="M804" i="6"/>
  <c r="G833" i="7"/>
  <c r="H832" i="7"/>
  <c r="K804" i="6"/>
  <c r="L803" i="6"/>
  <c r="H803" i="6"/>
  <c r="O803" i="6" s="1"/>
  <c r="P803" i="6" s="1"/>
  <c r="G804" i="6"/>
  <c r="E830" i="8"/>
  <c r="F829" i="8"/>
  <c r="I829" i="8" s="1"/>
  <c r="J829" i="8" s="1"/>
  <c r="H804" i="6" l="1"/>
  <c r="G805" i="6"/>
  <c r="G834" i="7"/>
  <c r="H833" i="7"/>
  <c r="J805" i="6"/>
  <c r="I806" i="6"/>
  <c r="F829" i="7"/>
  <c r="I829" i="7" s="1"/>
  <c r="J829" i="7" s="1"/>
  <c r="E830" i="7"/>
  <c r="G831" i="8"/>
  <c r="H830" i="8"/>
  <c r="I830" i="8" s="1"/>
  <c r="J830" i="8" s="1"/>
  <c r="L804" i="6"/>
  <c r="O804" i="6" s="1"/>
  <c r="P804" i="6" s="1"/>
  <c r="K805" i="6"/>
  <c r="M805" i="6"/>
  <c r="N804" i="6"/>
  <c r="F830" i="8"/>
  <c r="E831" i="8"/>
  <c r="N805" i="6" l="1"/>
  <c r="M806" i="6"/>
  <c r="E831" i="7"/>
  <c r="F830" i="7"/>
  <c r="I830" i="7" s="1"/>
  <c r="J830" i="7" s="1"/>
  <c r="G806" i="6"/>
  <c r="H805" i="6"/>
  <c r="O805" i="6" s="1"/>
  <c r="P805" i="6" s="1"/>
  <c r="L805" i="6"/>
  <c r="K806" i="6"/>
  <c r="G832" i="8"/>
  <c r="H831" i="8"/>
  <c r="I807" i="6"/>
  <c r="J806" i="6"/>
  <c r="H834" i="7"/>
  <c r="G835" i="7"/>
  <c r="E832" i="8"/>
  <c r="F831" i="8"/>
  <c r="I831" i="8" s="1"/>
  <c r="J831" i="8" s="1"/>
  <c r="G836" i="7" l="1"/>
  <c r="H835" i="7"/>
  <c r="H832" i="8"/>
  <c r="G833" i="8"/>
  <c r="K807" i="6"/>
  <c r="L806" i="6"/>
  <c r="F831" i="7"/>
  <c r="I831" i="7" s="1"/>
  <c r="J831" i="7" s="1"/>
  <c r="E832" i="7"/>
  <c r="G807" i="6"/>
  <c r="H806" i="6"/>
  <c r="O806" i="6" s="1"/>
  <c r="P806" i="6" s="1"/>
  <c r="I808" i="6"/>
  <c r="J807" i="6"/>
  <c r="N806" i="6"/>
  <c r="M807" i="6"/>
  <c r="F832" i="8"/>
  <c r="I832" i="8" s="1"/>
  <c r="J832" i="8" s="1"/>
  <c r="E833" i="8"/>
  <c r="I809" i="6" l="1"/>
  <c r="J808" i="6"/>
  <c r="H807" i="6"/>
  <c r="O807" i="6" s="1"/>
  <c r="P807" i="6" s="1"/>
  <c r="G808" i="6"/>
  <c r="N807" i="6"/>
  <c r="M808" i="6"/>
  <c r="E833" i="7"/>
  <c r="F832" i="7"/>
  <c r="I832" i="7" s="1"/>
  <c r="J832" i="7" s="1"/>
  <c r="L807" i="6"/>
  <c r="K808" i="6"/>
  <c r="G834" i="8"/>
  <c r="H833" i="8"/>
  <c r="I833" i="8" s="1"/>
  <c r="J833" i="8" s="1"/>
  <c r="E834" i="8"/>
  <c r="F833" i="8"/>
  <c r="H836" i="7"/>
  <c r="G837" i="7"/>
  <c r="K809" i="6" l="1"/>
  <c r="L808" i="6"/>
  <c r="F834" i="8"/>
  <c r="E835" i="8"/>
  <c r="H834" i="8"/>
  <c r="I834" i="8" s="1"/>
  <c r="J834" i="8" s="1"/>
  <c r="G835" i="8"/>
  <c r="E834" i="7"/>
  <c r="F833" i="7"/>
  <c r="I833" i="7" s="1"/>
  <c r="J833" i="7" s="1"/>
  <c r="M809" i="6"/>
  <c r="N808" i="6"/>
  <c r="G838" i="7"/>
  <c r="H837" i="7"/>
  <c r="H808" i="6"/>
  <c r="O808" i="6" s="1"/>
  <c r="P808" i="6" s="1"/>
  <c r="G809" i="6"/>
  <c r="J809" i="6"/>
  <c r="I810" i="6"/>
  <c r="I834" i="7" l="1"/>
  <c r="J834" i="7" s="1"/>
  <c r="F834" i="7"/>
  <c r="E835" i="7"/>
  <c r="G836" i="8"/>
  <c r="H835" i="8"/>
  <c r="G839" i="7"/>
  <c r="H838" i="7"/>
  <c r="E836" i="8"/>
  <c r="F835" i="8"/>
  <c r="I835" i="8" s="1"/>
  <c r="J835" i="8" s="1"/>
  <c r="J810" i="6"/>
  <c r="I811" i="6"/>
  <c r="M810" i="6"/>
  <c r="N809" i="6"/>
  <c r="H809" i="6"/>
  <c r="O809" i="6" s="1"/>
  <c r="P809" i="6" s="1"/>
  <c r="G810" i="6"/>
  <c r="L809" i="6"/>
  <c r="K810" i="6"/>
  <c r="E837" i="8" l="1"/>
  <c r="F836" i="8"/>
  <c r="I836" i="8" s="1"/>
  <c r="J836" i="8" s="1"/>
  <c r="I812" i="6"/>
  <c r="J811" i="6"/>
  <c r="G840" i="7"/>
  <c r="H839" i="7"/>
  <c r="G837" i="8"/>
  <c r="H836" i="8"/>
  <c r="N810" i="6"/>
  <c r="M811" i="6"/>
  <c r="L810" i="6"/>
  <c r="K811" i="6"/>
  <c r="E836" i="7"/>
  <c r="I835" i="7"/>
  <c r="J835" i="7" s="1"/>
  <c r="F835" i="7"/>
  <c r="G811" i="6"/>
  <c r="H810" i="6"/>
  <c r="O810" i="6" s="1"/>
  <c r="P810" i="6" s="1"/>
  <c r="F836" i="7" l="1"/>
  <c r="I836" i="7" s="1"/>
  <c r="J836" i="7" s="1"/>
  <c r="E837" i="7"/>
  <c r="M812" i="6"/>
  <c r="N811" i="6"/>
  <c r="L811" i="6"/>
  <c r="K812" i="6"/>
  <c r="H837" i="8"/>
  <c r="G838" i="8"/>
  <c r="G841" i="7"/>
  <c r="H840" i="7"/>
  <c r="G812" i="6"/>
  <c r="H811" i="6"/>
  <c r="O811" i="6" s="1"/>
  <c r="P811" i="6" s="1"/>
  <c r="F837" i="8"/>
  <c r="I837" i="8" s="1"/>
  <c r="J837" i="8" s="1"/>
  <c r="E838" i="8"/>
  <c r="J812" i="6"/>
  <c r="I813" i="6"/>
  <c r="G839" i="8" l="1"/>
  <c r="H838" i="8"/>
  <c r="G842" i="7"/>
  <c r="H841" i="7"/>
  <c r="K813" i="6"/>
  <c r="L812" i="6"/>
  <c r="H812" i="6"/>
  <c r="O812" i="6" s="1"/>
  <c r="P812" i="6" s="1"/>
  <c r="G813" i="6"/>
  <c r="M813" i="6"/>
  <c r="N812" i="6"/>
  <c r="J813" i="6"/>
  <c r="I814" i="6"/>
  <c r="F837" i="7"/>
  <c r="I837" i="7" s="1"/>
  <c r="J837" i="7" s="1"/>
  <c r="E838" i="7"/>
  <c r="F838" i="8"/>
  <c r="I838" i="8" s="1"/>
  <c r="J838" i="8" s="1"/>
  <c r="E839" i="8"/>
  <c r="I815" i="6" l="1"/>
  <c r="J814" i="6"/>
  <c r="M814" i="6"/>
  <c r="N813" i="6"/>
  <c r="H813" i="6"/>
  <c r="O813" i="6" s="1"/>
  <c r="P813" i="6" s="1"/>
  <c r="G814" i="6"/>
  <c r="E839" i="7"/>
  <c r="F838" i="7"/>
  <c r="I838" i="7" s="1"/>
  <c r="J838" i="7" s="1"/>
  <c r="H842" i="7"/>
  <c r="G843" i="7"/>
  <c r="L813" i="6"/>
  <c r="K814" i="6"/>
  <c r="I839" i="8"/>
  <c r="J839" i="8" s="1"/>
  <c r="E840" i="8"/>
  <c r="F839" i="8"/>
  <c r="H839" i="8"/>
  <c r="G840" i="8"/>
  <c r="E841" i="8" l="1"/>
  <c r="F840" i="8"/>
  <c r="G815" i="6"/>
  <c r="H814" i="6"/>
  <c r="O814" i="6" s="1"/>
  <c r="P814" i="6" s="1"/>
  <c r="F839" i="7"/>
  <c r="I839" i="7" s="1"/>
  <c r="J839" i="7" s="1"/>
  <c r="E840" i="7"/>
  <c r="K815" i="6"/>
  <c r="L814" i="6"/>
  <c r="H840" i="8"/>
  <c r="I840" i="8" s="1"/>
  <c r="J840" i="8" s="1"/>
  <c r="G841" i="8"/>
  <c r="N814" i="6"/>
  <c r="M815" i="6"/>
  <c r="G844" i="7"/>
  <c r="H843" i="7"/>
  <c r="I816" i="6"/>
  <c r="J815" i="6"/>
  <c r="L815" i="6" l="1"/>
  <c r="K816" i="6"/>
  <c r="F840" i="7"/>
  <c r="I840" i="7" s="1"/>
  <c r="J840" i="7" s="1"/>
  <c r="E841" i="7"/>
  <c r="M816" i="6"/>
  <c r="N815" i="6"/>
  <c r="H815" i="6"/>
  <c r="O815" i="6" s="1"/>
  <c r="P815" i="6" s="1"/>
  <c r="G816" i="6"/>
  <c r="G845" i="7"/>
  <c r="H844" i="7"/>
  <c r="G842" i="8"/>
  <c r="H841" i="8"/>
  <c r="I817" i="6"/>
  <c r="J816" i="6"/>
  <c r="E842" i="8"/>
  <c r="F841" i="8"/>
  <c r="I841" i="8" s="1"/>
  <c r="J841" i="8" s="1"/>
  <c r="G843" i="8" l="1"/>
  <c r="H842" i="8"/>
  <c r="E842" i="7"/>
  <c r="F841" i="7"/>
  <c r="I841" i="7" s="1"/>
  <c r="J841" i="7" s="1"/>
  <c r="J817" i="6"/>
  <c r="I818" i="6"/>
  <c r="G846" i="7"/>
  <c r="H845" i="7"/>
  <c r="H816" i="6"/>
  <c r="O816" i="6" s="1"/>
  <c r="P816" i="6" s="1"/>
  <c r="G817" i="6"/>
  <c r="M817" i="6"/>
  <c r="N816" i="6"/>
  <c r="E843" i="8"/>
  <c r="I842" i="8"/>
  <c r="J842" i="8" s="1"/>
  <c r="F842" i="8"/>
  <c r="K817" i="6"/>
  <c r="L816" i="6"/>
  <c r="H817" i="6" l="1"/>
  <c r="O817" i="6" s="1"/>
  <c r="P817" i="6" s="1"/>
  <c r="G818" i="6"/>
  <c r="F843" i="8"/>
  <c r="I843" i="8" s="1"/>
  <c r="J843" i="8" s="1"/>
  <c r="E844" i="8"/>
  <c r="H846" i="7"/>
  <c r="G847" i="7"/>
  <c r="I819" i="6"/>
  <c r="J818" i="6"/>
  <c r="F842" i="7"/>
  <c r="I842" i="7" s="1"/>
  <c r="J842" i="7" s="1"/>
  <c r="E843" i="7"/>
  <c r="K818" i="6"/>
  <c r="L817" i="6"/>
  <c r="N817" i="6"/>
  <c r="M818" i="6"/>
  <c r="G844" i="8"/>
  <c r="H843" i="8"/>
  <c r="L818" i="6" l="1"/>
  <c r="K819" i="6"/>
  <c r="I820" i="6"/>
  <c r="J819" i="6"/>
  <c r="G848" i="7"/>
  <c r="H847" i="7"/>
  <c r="E844" i="7"/>
  <c r="F843" i="7"/>
  <c r="I843" i="7" s="1"/>
  <c r="J843" i="7" s="1"/>
  <c r="E845" i="8"/>
  <c r="F844" i="8"/>
  <c r="I844" i="8" s="1"/>
  <c r="J844" i="8" s="1"/>
  <c r="G845" i="8"/>
  <c r="H844" i="8"/>
  <c r="O818" i="6"/>
  <c r="P818" i="6" s="1"/>
  <c r="G819" i="6"/>
  <c r="H818" i="6"/>
  <c r="M819" i="6"/>
  <c r="N818" i="6"/>
  <c r="H845" i="8" l="1"/>
  <c r="G846" i="8"/>
  <c r="F845" i="8"/>
  <c r="I845" i="8" s="1"/>
  <c r="J845" i="8" s="1"/>
  <c r="E846" i="8"/>
  <c r="I844" i="7"/>
  <c r="J844" i="7" s="1"/>
  <c r="E845" i="7"/>
  <c r="F844" i="7"/>
  <c r="G820" i="6"/>
  <c r="H819" i="6"/>
  <c r="O819" i="6" s="1"/>
  <c r="P819" i="6" s="1"/>
  <c r="J820" i="6"/>
  <c r="I821" i="6"/>
  <c r="G849" i="7"/>
  <c r="H848" i="7"/>
  <c r="M820" i="6"/>
  <c r="N819" i="6"/>
  <c r="K820" i="6"/>
  <c r="L819" i="6"/>
  <c r="M821" i="6" l="1"/>
  <c r="N820" i="6"/>
  <c r="H820" i="6"/>
  <c r="O820" i="6" s="1"/>
  <c r="P820" i="6" s="1"/>
  <c r="G821" i="6"/>
  <c r="E846" i="7"/>
  <c r="F845" i="7"/>
  <c r="I845" i="7" s="1"/>
  <c r="J845" i="7" s="1"/>
  <c r="F846" i="8"/>
  <c r="E847" i="8"/>
  <c r="I846" i="8"/>
  <c r="J846" i="8" s="1"/>
  <c r="G850" i="7"/>
  <c r="H849" i="7"/>
  <c r="K821" i="6"/>
  <c r="L820" i="6"/>
  <c r="G847" i="8"/>
  <c r="H846" i="8"/>
  <c r="J821" i="6"/>
  <c r="I822" i="6"/>
  <c r="G848" i="8" l="1"/>
  <c r="H847" i="8"/>
  <c r="L821" i="6"/>
  <c r="K822" i="6"/>
  <c r="E848" i="8"/>
  <c r="F847" i="8"/>
  <c r="I847" i="8" s="1"/>
  <c r="J847" i="8" s="1"/>
  <c r="E847" i="7"/>
  <c r="F846" i="7"/>
  <c r="I846" i="7" s="1"/>
  <c r="J846" i="7" s="1"/>
  <c r="G822" i="6"/>
  <c r="O821" i="6"/>
  <c r="P821" i="6" s="1"/>
  <c r="H821" i="6"/>
  <c r="I823" i="6"/>
  <c r="J822" i="6"/>
  <c r="G851" i="7"/>
  <c r="H850" i="7"/>
  <c r="N821" i="6"/>
  <c r="M822" i="6"/>
  <c r="G823" i="6" l="1"/>
  <c r="H822" i="6"/>
  <c r="O822" i="6" s="1"/>
  <c r="P822" i="6" s="1"/>
  <c r="J823" i="6"/>
  <c r="I824" i="6"/>
  <c r="E848" i="7"/>
  <c r="F847" i="7"/>
  <c r="I847" i="7" s="1"/>
  <c r="J847" i="7" s="1"/>
  <c r="K823" i="6"/>
  <c r="L822" i="6"/>
  <c r="F848" i="8"/>
  <c r="I848" i="8" s="1"/>
  <c r="J848" i="8" s="1"/>
  <c r="E849" i="8"/>
  <c r="M823" i="6"/>
  <c r="N822" i="6"/>
  <c r="G852" i="7"/>
  <c r="H851" i="7"/>
  <c r="H848" i="8"/>
  <c r="G849" i="8"/>
  <c r="N823" i="6" l="1"/>
  <c r="M824" i="6"/>
  <c r="G853" i="7"/>
  <c r="H852" i="7"/>
  <c r="E850" i="8"/>
  <c r="F849" i="8"/>
  <c r="I849" i="8" s="1"/>
  <c r="J849" i="8" s="1"/>
  <c r="L823" i="6"/>
  <c r="O823" i="6" s="1"/>
  <c r="P823" i="6" s="1"/>
  <c r="K824" i="6"/>
  <c r="I825" i="6"/>
  <c r="J824" i="6"/>
  <c r="E849" i="7"/>
  <c r="F848" i="7"/>
  <c r="I848" i="7" s="1"/>
  <c r="J848" i="7" s="1"/>
  <c r="G824" i="6"/>
  <c r="H823" i="6"/>
  <c r="G850" i="8"/>
  <c r="H849" i="8"/>
  <c r="F850" i="8" l="1"/>
  <c r="I850" i="8" s="1"/>
  <c r="J850" i="8" s="1"/>
  <c r="E851" i="8"/>
  <c r="F849" i="7"/>
  <c r="E850" i="7"/>
  <c r="I849" i="7"/>
  <c r="J849" i="7" s="1"/>
  <c r="G854" i="7"/>
  <c r="H853" i="7"/>
  <c r="G825" i="6"/>
  <c r="H824" i="6"/>
  <c r="O824" i="6" s="1"/>
  <c r="P824" i="6" s="1"/>
  <c r="J825" i="6"/>
  <c r="I826" i="6"/>
  <c r="G851" i="8"/>
  <c r="H850" i="8"/>
  <c r="N824" i="6"/>
  <c r="M825" i="6"/>
  <c r="K825" i="6"/>
  <c r="L824" i="6"/>
  <c r="J826" i="6" l="1"/>
  <c r="I827" i="6"/>
  <c r="L825" i="6"/>
  <c r="K826" i="6"/>
  <c r="H854" i="7"/>
  <c r="G855" i="7"/>
  <c r="I850" i="7"/>
  <c r="J850" i="7" s="1"/>
  <c r="E851" i="7"/>
  <c r="F850" i="7"/>
  <c r="G852" i="8"/>
  <c r="H851" i="8"/>
  <c r="G826" i="6"/>
  <c r="H825" i="6"/>
  <c r="O825" i="6" s="1"/>
  <c r="P825" i="6" s="1"/>
  <c r="F851" i="8"/>
  <c r="I851" i="8" s="1"/>
  <c r="J851" i="8" s="1"/>
  <c r="E852" i="8"/>
  <c r="N825" i="6"/>
  <c r="M826" i="6"/>
  <c r="H826" i="6" l="1"/>
  <c r="O826" i="6" s="1"/>
  <c r="P826" i="6" s="1"/>
  <c r="G827" i="6"/>
  <c r="H852" i="8"/>
  <c r="G853" i="8"/>
  <c r="G856" i="7"/>
  <c r="H855" i="7"/>
  <c r="L826" i="6"/>
  <c r="K827" i="6"/>
  <c r="M827" i="6"/>
  <c r="N826" i="6"/>
  <c r="J827" i="6"/>
  <c r="I828" i="6"/>
  <c r="F851" i="7"/>
  <c r="I851" i="7" s="1"/>
  <c r="J851" i="7" s="1"/>
  <c r="E852" i="7"/>
  <c r="E853" i="8"/>
  <c r="F852" i="8"/>
  <c r="I852" i="8"/>
  <c r="J852" i="8" s="1"/>
  <c r="J828" i="6" l="1"/>
  <c r="I829" i="6"/>
  <c r="L827" i="6"/>
  <c r="K828" i="6"/>
  <c r="I852" i="7"/>
  <c r="J852" i="7" s="1"/>
  <c r="E853" i="7"/>
  <c r="F852" i="7"/>
  <c r="N827" i="6"/>
  <c r="M828" i="6"/>
  <c r="H853" i="8"/>
  <c r="I853" i="8" s="1"/>
  <c r="J853" i="8" s="1"/>
  <c r="G854" i="8"/>
  <c r="H856" i="7"/>
  <c r="G857" i="7"/>
  <c r="G828" i="6"/>
  <c r="H827" i="6"/>
  <c r="O827" i="6"/>
  <c r="P827" i="6" s="1"/>
  <c r="E854" i="8"/>
  <c r="F853" i="8"/>
  <c r="G829" i="6" l="1"/>
  <c r="H828" i="6"/>
  <c r="O828" i="6" s="1"/>
  <c r="P828" i="6" s="1"/>
  <c r="G855" i="8"/>
  <c r="H854" i="8"/>
  <c r="E854" i="7"/>
  <c r="F853" i="7"/>
  <c r="I853" i="7" s="1"/>
  <c r="J853" i="7" s="1"/>
  <c r="N828" i="6"/>
  <c r="M829" i="6"/>
  <c r="G858" i="7"/>
  <c r="H857" i="7"/>
  <c r="K829" i="6"/>
  <c r="L828" i="6"/>
  <c r="E855" i="8"/>
  <c r="F854" i="8"/>
  <c r="I854" i="8" s="1"/>
  <c r="J854" i="8" s="1"/>
  <c r="I830" i="6"/>
  <c r="J829" i="6"/>
  <c r="E856" i="8" l="1"/>
  <c r="F855" i="8"/>
  <c r="I855" i="8" s="1"/>
  <c r="J855" i="8" s="1"/>
  <c r="K830" i="6"/>
  <c r="L829" i="6"/>
  <c r="M830" i="6"/>
  <c r="N829" i="6"/>
  <c r="F854" i="7"/>
  <c r="I854" i="7" s="1"/>
  <c r="J854" i="7" s="1"/>
  <c r="E855" i="7"/>
  <c r="G856" i="8"/>
  <c r="H855" i="8"/>
  <c r="H858" i="7"/>
  <c r="G859" i="7"/>
  <c r="J830" i="6"/>
  <c r="I831" i="6"/>
  <c r="G830" i="6"/>
  <c r="H829" i="6"/>
  <c r="O829" i="6" s="1"/>
  <c r="P829" i="6" s="1"/>
  <c r="I832" i="6" l="1"/>
  <c r="J831" i="6"/>
  <c r="G857" i="8"/>
  <c r="H856" i="8"/>
  <c r="G860" i="7"/>
  <c r="H859" i="7"/>
  <c r="E856" i="7"/>
  <c r="F855" i="7"/>
  <c r="I855" i="7" s="1"/>
  <c r="J855" i="7" s="1"/>
  <c r="L830" i="6"/>
  <c r="K831" i="6"/>
  <c r="E857" i="8"/>
  <c r="F856" i="8"/>
  <c r="I856" i="8" s="1"/>
  <c r="J856" i="8" s="1"/>
  <c r="N830" i="6"/>
  <c r="M831" i="6"/>
  <c r="H830" i="6"/>
  <c r="O830" i="6" s="1"/>
  <c r="P830" i="6" s="1"/>
  <c r="G831" i="6"/>
  <c r="N831" i="6" l="1"/>
  <c r="M832" i="6"/>
  <c r="F856" i="7"/>
  <c r="I856" i="7" s="1"/>
  <c r="J856" i="7" s="1"/>
  <c r="E857" i="7"/>
  <c r="F857" i="8"/>
  <c r="I857" i="8" s="1"/>
  <c r="J857" i="8" s="1"/>
  <c r="E858" i="8"/>
  <c r="G832" i="6"/>
  <c r="H831" i="6"/>
  <c r="O831" i="6" s="1"/>
  <c r="P831" i="6" s="1"/>
  <c r="H857" i="8"/>
  <c r="G858" i="8"/>
  <c r="G861" i="7"/>
  <c r="H860" i="7"/>
  <c r="K832" i="6"/>
  <c r="L831" i="6"/>
  <c r="I833" i="6"/>
  <c r="J832" i="6"/>
  <c r="G859" i="8" l="1"/>
  <c r="H858" i="8"/>
  <c r="G833" i="6"/>
  <c r="H832" i="6"/>
  <c r="O832" i="6" s="1"/>
  <c r="P832" i="6" s="1"/>
  <c r="G862" i="7"/>
  <c r="H861" i="7"/>
  <c r="K833" i="6"/>
  <c r="L832" i="6"/>
  <c r="E859" i="8"/>
  <c r="F858" i="8"/>
  <c r="I858" i="8" s="1"/>
  <c r="J858" i="8" s="1"/>
  <c r="E858" i="7"/>
  <c r="F857" i="7"/>
  <c r="I857" i="7" s="1"/>
  <c r="J857" i="7" s="1"/>
  <c r="J833" i="6"/>
  <c r="I834" i="6"/>
  <c r="M833" i="6"/>
  <c r="N832" i="6"/>
  <c r="E859" i="7" l="1"/>
  <c r="F858" i="7"/>
  <c r="I858" i="7" s="1"/>
  <c r="J858" i="7" s="1"/>
  <c r="E860" i="8"/>
  <c r="F859" i="8"/>
  <c r="I859" i="8" s="1"/>
  <c r="J859" i="8" s="1"/>
  <c r="L833" i="6"/>
  <c r="K834" i="6"/>
  <c r="H833" i="6"/>
  <c r="G834" i="6"/>
  <c r="O833" i="6"/>
  <c r="P833" i="6" s="1"/>
  <c r="M834" i="6"/>
  <c r="N833" i="6"/>
  <c r="H862" i="7"/>
  <c r="G863" i="7"/>
  <c r="J834" i="6"/>
  <c r="I835" i="6"/>
  <c r="G860" i="8"/>
  <c r="H859" i="8"/>
  <c r="M835" i="6" l="1"/>
  <c r="N834" i="6"/>
  <c r="K835" i="6"/>
  <c r="L834" i="6"/>
  <c r="G864" i="7"/>
  <c r="H863" i="7"/>
  <c r="F860" i="8"/>
  <c r="E861" i="8"/>
  <c r="I860" i="8"/>
  <c r="J860" i="8" s="1"/>
  <c r="I859" i="7"/>
  <c r="J859" i="7" s="1"/>
  <c r="F859" i="7"/>
  <c r="E860" i="7"/>
  <c r="H834" i="6"/>
  <c r="O834" i="6" s="1"/>
  <c r="P834" i="6" s="1"/>
  <c r="G835" i="6"/>
  <c r="G861" i="8"/>
  <c r="H860" i="8"/>
  <c r="I836" i="6"/>
  <c r="J835" i="6"/>
  <c r="G862" i="8" l="1"/>
  <c r="H861" i="8"/>
  <c r="E861" i="7"/>
  <c r="F860" i="7"/>
  <c r="I860" i="7" s="1"/>
  <c r="J860" i="7" s="1"/>
  <c r="G836" i="6"/>
  <c r="H835" i="6"/>
  <c r="O835" i="6" s="1"/>
  <c r="P835" i="6" s="1"/>
  <c r="G865" i="7"/>
  <c r="H864" i="7"/>
  <c r="E862" i="8"/>
  <c r="F861" i="8"/>
  <c r="I861" i="8" s="1"/>
  <c r="J861" i="8" s="1"/>
  <c r="K836" i="6"/>
  <c r="L835" i="6"/>
  <c r="J836" i="6"/>
  <c r="I837" i="6"/>
  <c r="N835" i="6"/>
  <c r="M836" i="6"/>
  <c r="G866" i="7" l="1"/>
  <c r="H865" i="7"/>
  <c r="M837" i="6"/>
  <c r="N836" i="6"/>
  <c r="K837" i="6"/>
  <c r="L836" i="6"/>
  <c r="F862" i="8"/>
  <c r="E863" i="8"/>
  <c r="I862" i="8"/>
  <c r="J862" i="8" s="1"/>
  <c r="G837" i="6"/>
  <c r="H836" i="6"/>
  <c r="O836" i="6" s="1"/>
  <c r="P836" i="6" s="1"/>
  <c r="E862" i="7"/>
  <c r="I861" i="7"/>
  <c r="J861" i="7" s="1"/>
  <c r="F861" i="7"/>
  <c r="J837" i="6"/>
  <c r="I838" i="6"/>
  <c r="H862" i="8"/>
  <c r="G863" i="8"/>
  <c r="F862" i="7" l="1"/>
  <c r="I862" i="7" s="1"/>
  <c r="J862" i="7" s="1"/>
  <c r="E863" i="7"/>
  <c r="L837" i="6"/>
  <c r="K838" i="6"/>
  <c r="G838" i="6"/>
  <c r="H837" i="6"/>
  <c r="O837" i="6" s="1"/>
  <c r="P837" i="6" s="1"/>
  <c r="H863" i="8"/>
  <c r="G864" i="8"/>
  <c r="N837" i="6"/>
  <c r="M838" i="6"/>
  <c r="F863" i="8"/>
  <c r="I863" i="8" s="1"/>
  <c r="J863" i="8" s="1"/>
  <c r="E864" i="8"/>
  <c r="I839" i="6"/>
  <c r="J838" i="6"/>
  <c r="G867" i="7"/>
  <c r="H866" i="7"/>
  <c r="J839" i="6" l="1"/>
  <c r="I840" i="6"/>
  <c r="H864" i="8"/>
  <c r="G865" i="8"/>
  <c r="G839" i="6"/>
  <c r="H838" i="6"/>
  <c r="O838" i="6" s="1"/>
  <c r="P838" i="6" s="1"/>
  <c r="K839" i="6"/>
  <c r="L838" i="6"/>
  <c r="E864" i="7"/>
  <c r="F863" i="7"/>
  <c r="I863" i="7" s="1"/>
  <c r="J863" i="7" s="1"/>
  <c r="G868" i="7"/>
  <c r="H867" i="7"/>
  <c r="F864" i="8"/>
  <c r="I864" i="8" s="1"/>
  <c r="J864" i="8" s="1"/>
  <c r="E865" i="8"/>
  <c r="M839" i="6"/>
  <c r="N838" i="6"/>
  <c r="L839" i="6" l="1"/>
  <c r="K840" i="6"/>
  <c r="M840" i="6"/>
  <c r="N839" i="6"/>
  <c r="J840" i="6"/>
  <c r="I841" i="6"/>
  <c r="I865" i="8"/>
  <c r="J865" i="8" s="1"/>
  <c r="E866" i="8"/>
  <c r="F865" i="8"/>
  <c r="G869" i="7"/>
  <c r="H868" i="7"/>
  <c r="E865" i="7"/>
  <c r="F864" i="7"/>
  <c r="I864" i="7" s="1"/>
  <c r="J864" i="7" s="1"/>
  <c r="G840" i="6"/>
  <c r="H839" i="6"/>
  <c r="O839" i="6" s="1"/>
  <c r="P839" i="6" s="1"/>
  <c r="G866" i="8"/>
  <c r="H865" i="8"/>
  <c r="H840" i="6" l="1"/>
  <c r="G841" i="6"/>
  <c r="G870" i="7"/>
  <c r="H869" i="7"/>
  <c r="E866" i="7"/>
  <c r="F865" i="7"/>
  <c r="I865" i="7" s="1"/>
  <c r="J865" i="7" s="1"/>
  <c r="I842" i="6"/>
  <c r="J841" i="6"/>
  <c r="N840" i="6"/>
  <c r="M841" i="6"/>
  <c r="E867" i="8"/>
  <c r="F866" i="8"/>
  <c r="I866" i="8" s="1"/>
  <c r="J866" i="8" s="1"/>
  <c r="H866" i="8"/>
  <c r="G867" i="8"/>
  <c r="K841" i="6"/>
  <c r="L840" i="6"/>
  <c r="O840" i="6" s="1"/>
  <c r="P840" i="6" s="1"/>
  <c r="J842" i="6" l="1"/>
  <c r="I843" i="6"/>
  <c r="G871" i="7"/>
  <c r="H870" i="7"/>
  <c r="F866" i="7"/>
  <c r="I866" i="7" s="1"/>
  <c r="J866" i="7" s="1"/>
  <c r="E867" i="7"/>
  <c r="K842" i="6"/>
  <c r="L841" i="6"/>
  <c r="G842" i="6"/>
  <c r="H841" i="6"/>
  <c r="O841" i="6" s="1"/>
  <c r="P841" i="6" s="1"/>
  <c r="E868" i="8"/>
  <c r="F867" i="8"/>
  <c r="I867" i="8" s="1"/>
  <c r="J867" i="8" s="1"/>
  <c r="N841" i="6"/>
  <c r="M842" i="6"/>
  <c r="G868" i="8"/>
  <c r="H867" i="8"/>
  <c r="E869" i="8" l="1"/>
  <c r="F868" i="8"/>
  <c r="I868" i="8"/>
  <c r="J868" i="8" s="1"/>
  <c r="K843" i="6"/>
  <c r="L842" i="6"/>
  <c r="E868" i="7"/>
  <c r="I867" i="7"/>
  <c r="J867" i="7" s="1"/>
  <c r="F867" i="7"/>
  <c r="O842" i="6"/>
  <c r="P842" i="6" s="1"/>
  <c r="H842" i="6"/>
  <c r="G843" i="6"/>
  <c r="G872" i="7"/>
  <c r="H871" i="7"/>
  <c r="J843" i="6"/>
  <c r="I844" i="6"/>
  <c r="G869" i="8"/>
  <c r="H868" i="8"/>
  <c r="M843" i="6"/>
  <c r="N842" i="6"/>
  <c r="G844" i="6" l="1"/>
  <c r="H843" i="6"/>
  <c r="O843" i="6" s="1"/>
  <c r="P843" i="6" s="1"/>
  <c r="G873" i="7"/>
  <c r="H872" i="7"/>
  <c r="I845" i="6"/>
  <c r="J844" i="6"/>
  <c r="H869" i="8"/>
  <c r="G870" i="8"/>
  <c r="F868" i="7"/>
  <c r="I868" i="7" s="1"/>
  <c r="J868" i="7" s="1"/>
  <c r="E869" i="7"/>
  <c r="L843" i="6"/>
  <c r="K844" i="6"/>
  <c r="M844" i="6"/>
  <c r="N843" i="6"/>
  <c r="F869" i="8"/>
  <c r="I869" i="8" s="1"/>
  <c r="J869" i="8" s="1"/>
  <c r="E870" i="8"/>
  <c r="G871" i="8" l="1"/>
  <c r="H870" i="8"/>
  <c r="K845" i="6"/>
  <c r="L844" i="6"/>
  <c r="O844" i="6" s="1"/>
  <c r="P844" i="6" s="1"/>
  <c r="M845" i="6"/>
  <c r="N844" i="6"/>
  <c r="G874" i="7"/>
  <c r="H873" i="7"/>
  <c r="E870" i="7"/>
  <c r="F869" i="7"/>
  <c r="I869" i="7" s="1"/>
  <c r="J869" i="7" s="1"/>
  <c r="E871" i="8"/>
  <c r="F870" i="8"/>
  <c r="I870" i="8" s="1"/>
  <c r="J870" i="8" s="1"/>
  <c r="I846" i="6"/>
  <c r="J845" i="6"/>
  <c r="G845" i="6"/>
  <c r="H844" i="6"/>
  <c r="F871" i="8" l="1"/>
  <c r="I871" i="8" s="1"/>
  <c r="J871" i="8" s="1"/>
  <c r="E872" i="8"/>
  <c r="G875" i="7"/>
  <c r="H874" i="7"/>
  <c r="I847" i="6"/>
  <c r="J846" i="6"/>
  <c r="M846" i="6"/>
  <c r="N845" i="6"/>
  <c r="F870" i="7"/>
  <c r="I870" i="7" s="1"/>
  <c r="J870" i="7" s="1"/>
  <c r="E871" i="7"/>
  <c r="L845" i="6"/>
  <c r="K846" i="6"/>
  <c r="G846" i="6"/>
  <c r="H845" i="6"/>
  <c r="O845" i="6" s="1"/>
  <c r="P845" i="6" s="1"/>
  <c r="H871" i="8"/>
  <c r="G872" i="8"/>
  <c r="J847" i="6" l="1"/>
  <c r="I848" i="6"/>
  <c r="F871" i="7"/>
  <c r="I871" i="7" s="1"/>
  <c r="J871" i="7" s="1"/>
  <c r="E872" i="7"/>
  <c r="G873" i="8"/>
  <c r="H872" i="8"/>
  <c r="G847" i="6"/>
  <c r="H846" i="6"/>
  <c r="O846" i="6" s="1"/>
  <c r="P846" i="6" s="1"/>
  <c r="K847" i="6"/>
  <c r="L846" i="6"/>
  <c r="M847" i="6"/>
  <c r="N846" i="6"/>
  <c r="G876" i="7"/>
  <c r="H875" i="7"/>
  <c r="E873" i="8"/>
  <c r="F872" i="8"/>
  <c r="I872" i="8" s="1"/>
  <c r="J872" i="8" s="1"/>
  <c r="H876" i="7" l="1"/>
  <c r="G877" i="7"/>
  <c r="N847" i="6"/>
  <c r="M848" i="6"/>
  <c r="G848" i="6"/>
  <c r="H847" i="6"/>
  <c r="K848" i="6"/>
  <c r="L847" i="6"/>
  <c r="O847" i="6" s="1"/>
  <c r="P847" i="6" s="1"/>
  <c r="H873" i="8"/>
  <c r="G874" i="8"/>
  <c r="I872" i="7"/>
  <c r="J872" i="7" s="1"/>
  <c r="E873" i="7"/>
  <c r="F872" i="7"/>
  <c r="J848" i="6"/>
  <c r="I849" i="6"/>
  <c r="F873" i="8"/>
  <c r="I873" i="8" s="1"/>
  <c r="J873" i="8" s="1"/>
  <c r="E874" i="8"/>
  <c r="J849" i="6" l="1"/>
  <c r="I850" i="6"/>
  <c r="K849" i="6"/>
  <c r="L848" i="6"/>
  <c r="G875" i="8"/>
  <c r="H874" i="8"/>
  <c r="G878" i="7"/>
  <c r="H877" i="7"/>
  <c r="I873" i="7"/>
  <c r="J873" i="7" s="1"/>
  <c r="F873" i="7"/>
  <c r="E874" i="7"/>
  <c r="G849" i="6"/>
  <c r="H848" i="6"/>
  <c r="O848" i="6" s="1"/>
  <c r="P848" i="6" s="1"/>
  <c r="M849" i="6"/>
  <c r="N848" i="6"/>
  <c r="E875" i="8"/>
  <c r="F874" i="8"/>
  <c r="I874" i="8" s="1"/>
  <c r="J874" i="8" s="1"/>
  <c r="H849" i="6" l="1"/>
  <c r="G850" i="6"/>
  <c r="E875" i="7"/>
  <c r="F874" i="7"/>
  <c r="I874" i="7" s="1"/>
  <c r="J874" i="7" s="1"/>
  <c r="H878" i="7"/>
  <c r="G879" i="7"/>
  <c r="G876" i="8"/>
  <c r="H875" i="8"/>
  <c r="K850" i="6"/>
  <c r="L849" i="6"/>
  <c r="O849" i="6" s="1"/>
  <c r="P849" i="6" s="1"/>
  <c r="N849" i="6"/>
  <c r="M850" i="6"/>
  <c r="I851" i="6"/>
  <c r="J850" i="6"/>
  <c r="E876" i="8"/>
  <c r="F875" i="8"/>
  <c r="I875" i="8" s="1"/>
  <c r="J875" i="8" s="1"/>
  <c r="G877" i="8" l="1"/>
  <c r="H876" i="8"/>
  <c r="J851" i="6"/>
  <c r="I852" i="6"/>
  <c r="L850" i="6"/>
  <c r="O850" i="6" s="1"/>
  <c r="P850" i="6" s="1"/>
  <c r="K851" i="6"/>
  <c r="G880" i="7"/>
  <c r="H879" i="7"/>
  <c r="E876" i="7"/>
  <c r="F875" i="7"/>
  <c r="I875" i="7" s="1"/>
  <c r="J875" i="7" s="1"/>
  <c r="F876" i="8"/>
  <c r="I876" i="8" s="1"/>
  <c r="J876" i="8" s="1"/>
  <c r="E877" i="8"/>
  <c r="G851" i="6"/>
  <c r="H850" i="6"/>
  <c r="M851" i="6"/>
  <c r="N850" i="6"/>
  <c r="G852" i="6" l="1"/>
  <c r="H851" i="6"/>
  <c r="O851" i="6" s="1"/>
  <c r="P851" i="6" s="1"/>
  <c r="F876" i="7"/>
  <c r="I876" i="7" s="1"/>
  <c r="J876" i="7" s="1"/>
  <c r="E877" i="7"/>
  <c r="E878" i="8"/>
  <c r="F877" i="8"/>
  <c r="I877" i="8" s="1"/>
  <c r="J877" i="8" s="1"/>
  <c r="G881" i="7"/>
  <c r="H880" i="7"/>
  <c r="L851" i="6"/>
  <c r="K852" i="6"/>
  <c r="I853" i="6"/>
  <c r="J852" i="6"/>
  <c r="M852" i="6"/>
  <c r="N851" i="6"/>
  <c r="G878" i="8"/>
  <c r="H877" i="8"/>
  <c r="J853" i="6" l="1"/>
  <c r="I854" i="6"/>
  <c r="K853" i="6"/>
  <c r="L852" i="6"/>
  <c r="M853" i="6"/>
  <c r="N852" i="6"/>
  <c r="G882" i="7"/>
  <c r="H881" i="7"/>
  <c r="F878" i="8"/>
  <c r="I878" i="8" s="1"/>
  <c r="J878" i="8" s="1"/>
  <c r="E879" i="8"/>
  <c r="E878" i="7"/>
  <c r="I877" i="7"/>
  <c r="J877" i="7" s="1"/>
  <c r="F877" i="7"/>
  <c r="H878" i="8"/>
  <c r="G879" i="8"/>
  <c r="G853" i="6"/>
  <c r="H852" i="6"/>
  <c r="O852" i="6" s="1"/>
  <c r="P852" i="6" s="1"/>
  <c r="K854" i="6" l="1"/>
  <c r="L853" i="6"/>
  <c r="G880" i="8"/>
  <c r="H879" i="8"/>
  <c r="E879" i="7"/>
  <c r="F878" i="7"/>
  <c r="I878" i="7" s="1"/>
  <c r="J878" i="7" s="1"/>
  <c r="E880" i="8"/>
  <c r="F879" i="8"/>
  <c r="I879" i="8" s="1"/>
  <c r="J879" i="8" s="1"/>
  <c r="H882" i="7"/>
  <c r="G883" i="7"/>
  <c r="M854" i="6"/>
  <c r="N853" i="6"/>
  <c r="G854" i="6"/>
  <c r="O853" i="6"/>
  <c r="P853" i="6" s="1"/>
  <c r="H853" i="6"/>
  <c r="J854" i="6"/>
  <c r="I855" i="6"/>
  <c r="M855" i="6" l="1"/>
  <c r="N854" i="6"/>
  <c r="G884" i="7"/>
  <c r="H883" i="7"/>
  <c r="F880" i="8"/>
  <c r="E881" i="8"/>
  <c r="F879" i="7"/>
  <c r="I879" i="7" s="1"/>
  <c r="J879" i="7" s="1"/>
  <c r="E880" i="7"/>
  <c r="I856" i="6"/>
  <c r="J855" i="6"/>
  <c r="G855" i="6"/>
  <c r="H854" i="6"/>
  <c r="O854" i="6" s="1"/>
  <c r="P854" i="6" s="1"/>
  <c r="H880" i="8"/>
  <c r="I880" i="8" s="1"/>
  <c r="J880" i="8" s="1"/>
  <c r="G881" i="8"/>
  <c r="K855" i="6"/>
  <c r="L854" i="6"/>
  <c r="G856" i="6" l="1"/>
  <c r="H855" i="6"/>
  <c r="I857" i="6"/>
  <c r="J856" i="6"/>
  <c r="E882" i="8"/>
  <c r="F881" i="8"/>
  <c r="I881" i="8" s="1"/>
  <c r="J881" i="8" s="1"/>
  <c r="E881" i="7"/>
  <c r="F880" i="7"/>
  <c r="I880" i="7" s="1"/>
  <c r="J880" i="7" s="1"/>
  <c r="G885" i="7"/>
  <c r="H884" i="7"/>
  <c r="K856" i="6"/>
  <c r="L855" i="6"/>
  <c r="O855" i="6" s="1"/>
  <c r="P855" i="6" s="1"/>
  <c r="G882" i="8"/>
  <c r="H881" i="8"/>
  <c r="M856" i="6"/>
  <c r="N855" i="6"/>
  <c r="E883" i="8" l="1"/>
  <c r="F882" i="8"/>
  <c r="I882" i="8" s="1"/>
  <c r="J882" i="8" s="1"/>
  <c r="K857" i="6"/>
  <c r="L856" i="6"/>
  <c r="F881" i="7"/>
  <c r="E882" i="7"/>
  <c r="I881" i="7"/>
  <c r="J881" i="7" s="1"/>
  <c r="J857" i="6"/>
  <c r="I858" i="6"/>
  <c r="H882" i="8"/>
  <c r="G883" i="8"/>
  <c r="G886" i="7"/>
  <c r="H885" i="7"/>
  <c r="M857" i="6"/>
  <c r="N856" i="6"/>
  <c r="G857" i="6"/>
  <c r="H856" i="6"/>
  <c r="O856" i="6" s="1"/>
  <c r="P856" i="6" s="1"/>
  <c r="J858" i="6" l="1"/>
  <c r="I859" i="6"/>
  <c r="G884" i="8"/>
  <c r="H883" i="8"/>
  <c r="F882" i="7"/>
  <c r="I882" i="7" s="1"/>
  <c r="J882" i="7" s="1"/>
  <c r="E883" i="7"/>
  <c r="G887" i="7"/>
  <c r="H886" i="7"/>
  <c r="N857" i="6"/>
  <c r="M858" i="6"/>
  <c r="L857" i="6"/>
  <c r="K858" i="6"/>
  <c r="H857" i="6"/>
  <c r="O857" i="6" s="1"/>
  <c r="P857" i="6" s="1"/>
  <c r="G858" i="6"/>
  <c r="E884" i="8"/>
  <c r="F883" i="8"/>
  <c r="I883" i="8" s="1"/>
  <c r="J883" i="8" s="1"/>
  <c r="L858" i="6" l="1"/>
  <c r="K859" i="6"/>
  <c r="F883" i="7"/>
  <c r="I883" i="7" s="1"/>
  <c r="J883" i="7" s="1"/>
  <c r="E884" i="7"/>
  <c r="J859" i="6"/>
  <c r="I860" i="6"/>
  <c r="G859" i="6"/>
  <c r="H858" i="6"/>
  <c r="O858" i="6" s="1"/>
  <c r="P858" i="6" s="1"/>
  <c r="N858" i="6"/>
  <c r="M859" i="6"/>
  <c r="G888" i="7"/>
  <c r="H887" i="7"/>
  <c r="G885" i="8"/>
  <c r="H884" i="8"/>
  <c r="E885" i="8"/>
  <c r="F884" i="8"/>
  <c r="I884" i="8" s="1"/>
  <c r="J884" i="8" s="1"/>
  <c r="F885" i="8" l="1"/>
  <c r="I885" i="8" s="1"/>
  <c r="J885" i="8" s="1"/>
  <c r="E886" i="8"/>
  <c r="G860" i="6"/>
  <c r="H859" i="6"/>
  <c r="O859" i="6" s="1"/>
  <c r="P859" i="6" s="1"/>
  <c r="J860" i="6"/>
  <c r="I861" i="6"/>
  <c r="G886" i="8"/>
  <c r="H885" i="8"/>
  <c r="H888" i="7"/>
  <c r="G889" i="7"/>
  <c r="M860" i="6"/>
  <c r="N859" i="6"/>
  <c r="I884" i="7"/>
  <c r="J884" i="7" s="1"/>
  <c r="E885" i="7"/>
  <c r="F884" i="7"/>
  <c r="K860" i="6"/>
  <c r="L859" i="6"/>
  <c r="G887" i="8" l="1"/>
  <c r="H886" i="8"/>
  <c r="I862" i="6"/>
  <c r="J861" i="6"/>
  <c r="G890" i="7"/>
  <c r="H889" i="7"/>
  <c r="H860" i="6"/>
  <c r="O860" i="6" s="1"/>
  <c r="P860" i="6" s="1"/>
  <c r="G861" i="6"/>
  <c r="E887" i="8"/>
  <c r="F886" i="8"/>
  <c r="I886" i="8" s="1"/>
  <c r="J886" i="8" s="1"/>
  <c r="F885" i="7"/>
  <c r="I885" i="7" s="1"/>
  <c r="J885" i="7" s="1"/>
  <c r="E886" i="7"/>
  <c r="N860" i="6"/>
  <c r="M861" i="6"/>
  <c r="K861" i="6"/>
  <c r="L860" i="6"/>
  <c r="H861" i="6" l="1"/>
  <c r="G862" i="6"/>
  <c r="E887" i="7"/>
  <c r="F886" i="7"/>
  <c r="I886" i="7" s="1"/>
  <c r="J886" i="7" s="1"/>
  <c r="H890" i="7"/>
  <c r="G891" i="7"/>
  <c r="K862" i="6"/>
  <c r="L861" i="6"/>
  <c r="O861" i="6" s="1"/>
  <c r="P861" i="6" s="1"/>
  <c r="F887" i="8"/>
  <c r="I887" i="8" s="1"/>
  <c r="J887" i="8" s="1"/>
  <c r="E888" i="8"/>
  <c r="I863" i="6"/>
  <c r="J862" i="6"/>
  <c r="N861" i="6"/>
  <c r="M862" i="6"/>
  <c r="H887" i="8"/>
  <c r="G888" i="8"/>
  <c r="F887" i="7" l="1"/>
  <c r="I887" i="7" s="1"/>
  <c r="J887" i="7" s="1"/>
  <c r="E888" i="7"/>
  <c r="J863" i="6"/>
  <c r="I864" i="6"/>
  <c r="E889" i="8"/>
  <c r="F888" i="8"/>
  <c r="I888" i="8" s="1"/>
  <c r="J888" i="8" s="1"/>
  <c r="K863" i="6"/>
  <c r="L862" i="6"/>
  <c r="G892" i="7"/>
  <c r="H891" i="7"/>
  <c r="G889" i="8"/>
  <c r="H888" i="8"/>
  <c r="O862" i="6"/>
  <c r="P862" i="6" s="1"/>
  <c r="G863" i="6"/>
  <c r="H862" i="6"/>
  <c r="M863" i="6"/>
  <c r="N862" i="6"/>
  <c r="G893" i="7" l="1"/>
  <c r="H892" i="7"/>
  <c r="H889" i="8"/>
  <c r="G890" i="8"/>
  <c r="J864" i="6"/>
  <c r="I865" i="6"/>
  <c r="L863" i="6"/>
  <c r="K864" i="6"/>
  <c r="F888" i="7"/>
  <c r="I888" i="7" s="1"/>
  <c r="J888" i="7" s="1"/>
  <c r="E889" i="7"/>
  <c r="G864" i="6"/>
  <c r="H863" i="6"/>
  <c r="O863" i="6" s="1"/>
  <c r="P863" i="6" s="1"/>
  <c r="F889" i="8"/>
  <c r="I889" i="8" s="1"/>
  <c r="J889" i="8" s="1"/>
  <c r="E890" i="8"/>
  <c r="M864" i="6"/>
  <c r="N863" i="6"/>
  <c r="E890" i="7" l="1"/>
  <c r="F889" i="7"/>
  <c r="I889" i="7" s="1"/>
  <c r="J889" i="7" s="1"/>
  <c r="H864" i="6"/>
  <c r="O864" i="6" s="1"/>
  <c r="P864" i="6" s="1"/>
  <c r="G865" i="6"/>
  <c r="K865" i="6"/>
  <c r="L864" i="6"/>
  <c r="I866" i="6"/>
  <c r="J865" i="6"/>
  <c r="G891" i="8"/>
  <c r="H890" i="8"/>
  <c r="M865" i="6"/>
  <c r="N864" i="6"/>
  <c r="E891" i="8"/>
  <c r="F890" i="8"/>
  <c r="I890" i="8" s="1"/>
  <c r="J890" i="8" s="1"/>
  <c r="G894" i="7"/>
  <c r="H893" i="7"/>
  <c r="M866" i="6" l="1"/>
  <c r="N865" i="6"/>
  <c r="G866" i="6"/>
  <c r="H865" i="6"/>
  <c r="E892" i="8"/>
  <c r="F891" i="8"/>
  <c r="I891" i="8" s="1"/>
  <c r="J891" i="8" s="1"/>
  <c r="H891" i="8"/>
  <c r="G892" i="8"/>
  <c r="J866" i="6"/>
  <c r="I867" i="6"/>
  <c r="K866" i="6"/>
  <c r="L865" i="6"/>
  <c r="O865" i="6" s="1"/>
  <c r="P865" i="6" s="1"/>
  <c r="G895" i="7"/>
  <c r="H894" i="7"/>
  <c r="E891" i="7"/>
  <c r="F890" i="7"/>
  <c r="I890" i="7" s="1"/>
  <c r="J890" i="7" s="1"/>
  <c r="G896" i="7" l="1"/>
  <c r="H895" i="7"/>
  <c r="G893" i="8"/>
  <c r="H892" i="8"/>
  <c r="I892" i="8" s="1"/>
  <c r="J892" i="8" s="1"/>
  <c r="L866" i="6"/>
  <c r="K867" i="6"/>
  <c r="J867" i="6"/>
  <c r="I868" i="6"/>
  <c r="F892" i="8"/>
  <c r="E893" i="8"/>
  <c r="H866" i="6"/>
  <c r="O866" i="6" s="1"/>
  <c r="P866" i="6" s="1"/>
  <c r="G867" i="6"/>
  <c r="E892" i="7"/>
  <c r="I891" i="7"/>
  <c r="J891" i="7" s="1"/>
  <c r="F891" i="7"/>
  <c r="M867" i="6"/>
  <c r="N866" i="6"/>
  <c r="G868" i="6" l="1"/>
  <c r="H867" i="6"/>
  <c r="O867" i="6" s="1"/>
  <c r="P867" i="6" s="1"/>
  <c r="I869" i="6"/>
  <c r="J868" i="6"/>
  <c r="E894" i="8"/>
  <c r="F893" i="8"/>
  <c r="I893" i="8" s="1"/>
  <c r="J893" i="8" s="1"/>
  <c r="E893" i="7"/>
  <c r="F892" i="7"/>
  <c r="I892" i="7" s="1"/>
  <c r="J892" i="7" s="1"/>
  <c r="G894" i="8"/>
  <c r="H893" i="8"/>
  <c r="L867" i="6"/>
  <c r="K868" i="6"/>
  <c r="N867" i="6"/>
  <c r="M868" i="6"/>
  <c r="H896" i="7"/>
  <c r="G897" i="7"/>
  <c r="K869" i="6" l="1"/>
  <c r="L868" i="6"/>
  <c r="H894" i="8"/>
  <c r="G895" i="8"/>
  <c r="F894" i="8"/>
  <c r="I894" i="8" s="1"/>
  <c r="J894" i="8" s="1"/>
  <c r="E895" i="8"/>
  <c r="F893" i="7"/>
  <c r="I893" i="7" s="1"/>
  <c r="J893" i="7" s="1"/>
  <c r="E894" i="7"/>
  <c r="G898" i="7"/>
  <c r="H897" i="7"/>
  <c r="J869" i="6"/>
  <c r="I870" i="6"/>
  <c r="M869" i="6"/>
  <c r="N868" i="6"/>
  <c r="G869" i="6"/>
  <c r="H868" i="6"/>
  <c r="O868" i="6"/>
  <c r="P868" i="6" s="1"/>
  <c r="I871" i="6" l="1"/>
  <c r="J870" i="6"/>
  <c r="G899" i="7"/>
  <c r="H898" i="7"/>
  <c r="G896" i="8"/>
  <c r="H895" i="8"/>
  <c r="M870" i="6"/>
  <c r="N869" i="6"/>
  <c r="E895" i="7"/>
  <c r="F894" i="7"/>
  <c r="I894" i="7" s="1"/>
  <c r="J894" i="7" s="1"/>
  <c r="E896" i="8"/>
  <c r="F895" i="8"/>
  <c r="I895" i="8" s="1"/>
  <c r="J895" i="8" s="1"/>
  <c r="G870" i="6"/>
  <c r="O869" i="6"/>
  <c r="P869" i="6" s="1"/>
  <c r="H869" i="6"/>
  <c r="K870" i="6"/>
  <c r="L869" i="6"/>
  <c r="E896" i="7" l="1"/>
  <c r="F895" i="7"/>
  <c r="I895" i="7" s="1"/>
  <c r="J895" i="7" s="1"/>
  <c r="F896" i="8"/>
  <c r="I896" i="8" s="1"/>
  <c r="J896" i="8" s="1"/>
  <c r="E897" i="8"/>
  <c r="M871" i="6"/>
  <c r="N870" i="6"/>
  <c r="G900" i="7"/>
  <c r="H899" i="7"/>
  <c r="G871" i="6"/>
  <c r="H870" i="6"/>
  <c r="O870" i="6" s="1"/>
  <c r="P870" i="6" s="1"/>
  <c r="H896" i="8"/>
  <c r="G897" i="8"/>
  <c r="K871" i="6"/>
  <c r="L870" i="6"/>
  <c r="J871" i="6"/>
  <c r="I872" i="6"/>
  <c r="G872" i="6" l="1"/>
  <c r="H871" i="6"/>
  <c r="O871" i="6" s="1"/>
  <c r="P871" i="6" s="1"/>
  <c r="G898" i="8"/>
  <c r="H897" i="8"/>
  <c r="E898" i="8"/>
  <c r="F897" i="8"/>
  <c r="I897" i="8" s="1"/>
  <c r="J897" i="8" s="1"/>
  <c r="K872" i="6"/>
  <c r="L871" i="6"/>
  <c r="M872" i="6"/>
  <c r="N871" i="6"/>
  <c r="I873" i="6"/>
  <c r="J872" i="6"/>
  <c r="G901" i="7"/>
  <c r="H900" i="7"/>
  <c r="F896" i="7"/>
  <c r="I896" i="7" s="1"/>
  <c r="J896" i="7" s="1"/>
  <c r="E897" i="7"/>
  <c r="G902" i="7" l="1"/>
  <c r="H901" i="7"/>
  <c r="M873" i="6"/>
  <c r="N872" i="6"/>
  <c r="K873" i="6"/>
  <c r="L872" i="6"/>
  <c r="O872" i="6" s="1"/>
  <c r="P872" i="6" s="1"/>
  <c r="H898" i="8"/>
  <c r="G899" i="8"/>
  <c r="J873" i="6"/>
  <c r="I874" i="6"/>
  <c r="E899" i="8"/>
  <c r="I898" i="8"/>
  <c r="J898" i="8" s="1"/>
  <c r="F898" i="8"/>
  <c r="E898" i="7"/>
  <c r="I897" i="7"/>
  <c r="J897" i="7" s="1"/>
  <c r="F897" i="7"/>
  <c r="H872" i="6"/>
  <c r="G873" i="6"/>
  <c r="F899" i="8" l="1"/>
  <c r="I899" i="8" s="1"/>
  <c r="J899" i="8" s="1"/>
  <c r="E900" i="8"/>
  <c r="F898" i="7"/>
  <c r="I898" i="7" s="1"/>
  <c r="J898" i="7" s="1"/>
  <c r="E899" i="7"/>
  <c r="H899" i="8"/>
  <c r="G900" i="8"/>
  <c r="N873" i="6"/>
  <c r="M874" i="6"/>
  <c r="L873" i="6"/>
  <c r="K874" i="6"/>
  <c r="I875" i="6"/>
  <c r="J874" i="6"/>
  <c r="G874" i="6"/>
  <c r="H873" i="6"/>
  <c r="O873" i="6" s="1"/>
  <c r="P873" i="6" s="1"/>
  <c r="G903" i="7"/>
  <c r="H902" i="7"/>
  <c r="J875" i="6" l="1"/>
  <c r="I876" i="6"/>
  <c r="G901" i="8"/>
  <c r="H900" i="8"/>
  <c r="I900" i="8" s="1"/>
  <c r="J900" i="8" s="1"/>
  <c r="G875" i="6"/>
  <c r="H874" i="6"/>
  <c r="O874" i="6" s="1"/>
  <c r="P874" i="6" s="1"/>
  <c r="F899" i="7"/>
  <c r="I899" i="7" s="1"/>
  <c r="J899" i="7" s="1"/>
  <c r="E900" i="7"/>
  <c r="K875" i="6"/>
  <c r="L874" i="6"/>
  <c r="N874" i="6"/>
  <c r="M875" i="6"/>
  <c r="E901" i="8"/>
  <c r="F900" i="8"/>
  <c r="G904" i="7"/>
  <c r="H903" i="7"/>
  <c r="M876" i="6" l="1"/>
  <c r="N875" i="6"/>
  <c r="L875" i="6"/>
  <c r="K876" i="6"/>
  <c r="G902" i="8"/>
  <c r="H901" i="8"/>
  <c r="I877" i="6"/>
  <c r="J876" i="6"/>
  <c r="F901" i="8"/>
  <c r="I901" i="8" s="1"/>
  <c r="J901" i="8" s="1"/>
  <c r="E902" i="8"/>
  <c r="F900" i="7"/>
  <c r="I900" i="7" s="1"/>
  <c r="J900" i="7" s="1"/>
  <c r="E901" i="7"/>
  <c r="G876" i="6"/>
  <c r="H875" i="6"/>
  <c r="O875" i="6" s="1"/>
  <c r="P875" i="6" s="1"/>
  <c r="G905" i="7"/>
  <c r="H904" i="7"/>
  <c r="F901" i="7" l="1"/>
  <c r="I901" i="7" s="1"/>
  <c r="J901" i="7" s="1"/>
  <c r="E902" i="7"/>
  <c r="K877" i="6"/>
  <c r="L876" i="6"/>
  <c r="H876" i="6"/>
  <c r="O876" i="6" s="1"/>
  <c r="P876" i="6" s="1"/>
  <c r="G877" i="6"/>
  <c r="E903" i="8"/>
  <c r="F902" i="8"/>
  <c r="I902" i="8" s="1"/>
  <c r="J902" i="8" s="1"/>
  <c r="I878" i="6"/>
  <c r="J877" i="6"/>
  <c r="G903" i="8"/>
  <c r="H902" i="8"/>
  <c r="G906" i="7"/>
  <c r="H905" i="7"/>
  <c r="M877" i="6"/>
  <c r="N876" i="6"/>
  <c r="J878" i="6" l="1"/>
  <c r="I879" i="6"/>
  <c r="F903" i="8"/>
  <c r="I903" i="8" s="1"/>
  <c r="J903" i="8" s="1"/>
  <c r="E904" i="8"/>
  <c r="H877" i="6"/>
  <c r="O877" i="6" s="1"/>
  <c r="P877" i="6" s="1"/>
  <c r="G878" i="6"/>
  <c r="G907" i="7"/>
  <c r="H906" i="7"/>
  <c r="E903" i="7"/>
  <c r="F902" i="7"/>
  <c r="I902" i="7" s="1"/>
  <c r="J902" i="7" s="1"/>
  <c r="H903" i="8"/>
  <c r="G904" i="8"/>
  <c r="K878" i="6"/>
  <c r="L877" i="6"/>
  <c r="N877" i="6"/>
  <c r="M878" i="6"/>
  <c r="F903" i="7" l="1"/>
  <c r="I903" i="7" s="1"/>
  <c r="J903" i="7" s="1"/>
  <c r="E904" i="7"/>
  <c r="L878" i="6"/>
  <c r="K879" i="6"/>
  <c r="E905" i="8"/>
  <c r="F904" i="8"/>
  <c r="H878" i="6"/>
  <c r="O878" i="6" s="1"/>
  <c r="P878" i="6" s="1"/>
  <c r="G879" i="6"/>
  <c r="J879" i="6"/>
  <c r="I880" i="6"/>
  <c r="G905" i="8"/>
  <c r="H904" i="8"/>
  <c r="I904" i="8" s="1"/>
  <c r="J904" i="8" s="1"/>
  <c r="G908" i="7"/>
  <c r="H907" i="7"/>
  <c r="M879" i="6"/>
  <c r="N878" i="6"/>
  <c r="H905" i="8" l="1"/>
  <c r="G906" i="8"/>
  <c r="I881" i="6"/>
  <c r="J880" i="6"/>
  <c r="K880" i="6"/>
  <c r="L879" i="6"/>
  <c r="F905" i="8"/>
  <c r="I905" i="8" s="1"/>
  <c r="J905" i="8" s="1"/>
  <c r="E906" i="8"/>
  <c r="M880" i="6"/>
  <c r="N879" i="6"/>
  <c r="F904" i="7"/>
  <c r="I904" i="7" s="1"/>
  <c r="J904" i="7" s="1"/>
  <c r="E905" i="7"/>
  <c r="G909" i="7"/>
  <c r="H908" i="7"/>
  <c r="G880" i="6"/>
  <c r="H879" i="6"/>
  <c r="O879" i="6" s="1"/>
  <c r="P879" i="6" s="1"/>
  <c r="E906" i="7" l="1"/>
  <c r="F905" i="7"/>
  <c r="I905" i="7" s="1"/>
  <c r="J905" i="7" s="1"/>
  <c r="M881" i="6"/>
  <c r="N880" i="6"/>
  <c r="G910" i="7"/>
  <c r="H909" i="7"/>
  <c r="E907" i="8"/>
  <c r="F906" i="8"/>
  <c r="I906" i="8" s="1"/>
  <c r="J906" i="8" s="1"/>
  <c r="K881" i="6"/>
  <c r="L880" i="6"/>
  <c r="J881" i="6"/>
  <c r="I882" i="6"/>
  <c r="G907" i="8"/>
  <c r="H906" i="8"/>
  <c r="G881" i="6"/>
  <c r="H880" i="6"/>
  <c r="O880" i="6" s="1"/>
  <c r="P880" i="6" s="1"/>
  <c r="I883" i="6" l="1"/>
  <c r="J882" i="6"/>
  <c r="M882" i="6"/>
  <c r="N881" i="6"/>
  <c r="E908" i="8"/>
  <c r="F907" i="8"/>
  <c r="I907" i="8" s="1"/>
  <c r="J907" i="8" s="1"/>
  <c r="L881" i="6"/>
  <c r="O881" i="6" s="1"/>
  <c r="P881" i="6" s="1"/>
  <c r="K882" i="6"/>
  <c r="H910" i="7"/>
  <c r="G911" i="7"/>
  <c r="H907" i="8"/>
  <c r="G908" i="8"/>
  <c r="E907" i="7"/>
  <c r="F906" i="7"/>
  <c r="I906" i="7" s="1"/>
  <c r="J906" i="7" s="1"/>
  <c r="H881" i="6"/>
  <c r="G882" i="6"/>
  <c r="G912" i="7" l="1"/>
  <c r="H911" i="7"/>
  <c r="G909" i="8"/>
  <c r="H908" i="8"/>
  <c r="I908" i="8" s="1"/>
  <c r="J908" i="8" s="1"/>
  <c r="E908" i="7"/>
  <c r="F907" i="7"/>
  <c r="I907" i="7" s="1"/>
  <c r="J907" i="7" s="1"/>
  <c r="K883" i="6"/>
  <c r="L882" i="6"/>
  <c r="F908" i="8"/>
  <c r="E909" i="8"/>
  <c r="N882" i="6"/>
  <c r="M883" i="6"/>
  <c r="O882" i="6"/>
  <c r="P882" i="6" s="1"/>
  <c r="G883" i="6"/>
  <c r="H882" i="6"/>
  <c r="J883" i="6"/>
  <c r="I884" i="6"/>
  <c r="G884" i="6" l="1"/>
  <c r="H883" i="6"/>
  <c r="M884" i="6"/>
  <c r="N883" i="6"/>
  <c r="E910" i="8"/>
  <c r="F909" i="8"/>
  <c r="I909" i="8" s="1"/>
  <c r="J909" i="8" s="1"/>
  <c r="K884" i="6"/>
  <c r="L883" i="6"/>
  <c r="O883" i="6" s="1"/>
  <c r="P883" i="6" s="1"/>
  <c r="E909" i="7"/>
  <c r="F908" i="7"/>
  <c r="I908" i="7" s="1"/>
  <c r="J908" i="7" s="1"/>
  <c r="J884" i="6"/>
  <c r="I885" i="6"/>
  <c r="G910" i="8"/>
  <c r="H909" i="8"/>
  <c r="G913" i="7"/>
  <c r="H912" i="7"/>
  <c r="F910" i="8" l="1"/>
  <c r="E911" i="8"/>
  <c r="N884" i="6"/>
  <c r="M885" i="6"/>
  <c r="I886" i="6"/>
  <c r="J885" i="6"/>
  <c r="K885" i="6"/>
  <c r="L884" i="6"/>
  <c r="O884" i="6" s="1"/>
  <c r="P884" i="6" s="1"/>
  <c r="G914" i="7"/>
  <c r="H913" i="7"/>
  <c r="H910" i="8"/>
  <c r="I910" i="8" s="1"/>
  <c r="J910" i="8" s="1"/>
  <c r="G911" i="8"/>
  <c r="E910" i="7"/>
  <c r="F909" i="7"/>
  <c r="I909" i="7" s="1"/>
  <c r="J909" i="7" s="1"/>
  <c r="H884" i="6"/>
  <c r="G885" i="6"/>
  <c r="K886" i="6" l="1"/>
  <c r="L885" i="6"/>
  <c r="G912" i="8"/>
  <c r="H911" i="8"/>
  <c r="I911" i="8" s="1"/>
  <c r="J911" i="8" s="1"/>
  <c r="F910" i="7"/>
  <c r="I910" i="7" s="1"/>
  <c r="J910" i="7" s="1"/>
  <c r="E911" i="7"/>
  <c r="J886" i="6"/>
  <c r="I887" i="6"/>
  <c r="G915" i="7"/>
  <c r="H914" i="7"/>
  <c r="G886" i="6"/>
  <c r="H885" i="6"/>
  <c r="O885" i="6" s="1"/>
  <c r="P885" i="6" s="1"/>
  <c r="E912" i="8"/>
  <c r="F911" i="8"/>
  <c r="N885" i="6"/>
  <c r="M886" i="6"/>
  <c r="J887" i="6" l="1"/>
  <c r="I888" i="6"/>
  <c r="E912" i="7"/>
  <c r="F911" i="7"/>
  <c r="I911" i="7"/>
  <c r="J911" i="7" s="1"/>
  <c r="F912" i="8"/>
  <c r="I912" i="8" s="1"/>
  <c r="J912" i="8" s="1"/>
  <c r="E913" i="8"/>
  <c r="H912" i="8"/>
  <c r="G913" i="8"/>
  <c r="G887" i="6"/>
  <c r="H886" i="6"/>
  <c r="O886" i="6" s="1"/>
  <c r="P886" i="6" s="1"/>
  <c r="G916" i="7"/>
  <c r="H915" i="7"/>
  <c r="M887" i="6"/>
  <c r="N886" i="6"/>
  <c r="K887" i="6"/>
  <c r="L886" i="6"/>
  <c r="H916" i="7" l="1"/>
  <c r="G917" i="7"/>
  <c r="G914" i="8"/>
  <c r="H913" i="8"/>
  <c r="E914" i="8"/>
  <c r="F913" i="8"/>
  <c r="I913" i="8" s="1"/>
  <c r="J913" i="8" s="1"/>
  <c r="J888" i="6"/>
  <c r="I889" i="6"/>
  <c r="M888" i="6"/>
  <c r="N887" i="6"/>
  <c r="G888" i="6"/>
  <c r="H887" i="6"/>
  <c r="O887" i="6"/>
  <c r="P887" i="6" s="1"/>
  <c r="I912" i="7"/>
  <c r="J912" i="7" s="1"/>
  <c r="E913" i="7"/>
  <c r="F912" i="7"/>
  <c r="L887" i="6"/>
  <c r="K888" i="6"/>
  <c r="H914" i="8" l="1"/>
  <c r="G915" i="8"/>
  <c r="F913" i="7"/>
  <c r="I913" i="7" s="1"/>
  <c r="J913" i="7" s="1"/>
  <c r="E914" i="7"/>
  <c r="H888" i="6"/>
  <c r="O888" i="6" s="1"/>
  <c r="P888" i="6" s="1"/>
  <c r="G889" i="6"/>
  <c r="N888" i="6"/>
  <c r="M889" i="6"/>
  <c r="I890" i="6"/>
  <c r="J889" i="6"/>
  <c r="E915" i="8"/>
  <c r="F914" i="8"/>
  <c r="I914" i="8" s="1"/>
  <c r="J914" i="8" s="1"/>
  <c r="K889" i="6"/>
  <c r="L888" i="6"/>
  <c r="G918" i="7"/>
  <c r="H917" i="7"/>
  <c r="K890" i="6" l="1"/>
  <c r="L889" i="6"/>
  <c r="J890" i="6"/>
  <c r="I891" i="6"/>
  <c r="G890" i="6"/>
  <c r="H889" i="6"/>
  <c r="O889" i="6" s="1"/>
  <c r="P889" i="6" s="1"/>
  <c r="H915" i="8"/>
  <c r="I915" i="8" s="1"/>
  <c r="J915" i="8" s="1"/>
  <c r="G916" i="8"/>
  <c r="F915" i="8"/>
  <c r="E916" i="8"/>
  <c r="M890" i="6"/>
  <c r="N889" i="6"/>
  <c r="I914" i="7"/>
  <c r="J914" i="7" s="1"/>
  <c r="E915" i="7"/>
  <c r="F914" i="7"/>
  <c r="H918" i="7"/>
  <c r="G919" i="7"/>
  <c r="M891" i="6" l="1"/>
  <c r="N890" i="6"/>
  <c r="G917" i="8"/>
  <c r="H916" i="8"/>
  <c r="I892" i="6"/>
  <c r="J891" i="6"/>
  <c r="I915" i="7"/>
  <c r="J915" i="7" s="1"/>
  <c r="F915" i="7"/>
  <c r="E916" i="7"/>
  <c r="E917" i="8"/>
  <c r="F916" i="8"/>
  <c r="I916" i="8" s="1"/>
  <c r="J916" i="8" s="1"/>
  <c r="H890" i="6"/>
  <c r="O890" i="6" s="1"/>
  <c r="P890" i="6" s="1"/>
  <c r="G891" i="6"/>
  <c r="G920" i="7"/>
  <c r="H919" i="7"/>
  <c r="L890" i="6"/>
  <c r="K891" i="6"/>
  <c r="F917" i="8" l="1"/>
  <c r="I917" i="8" s="1"/>
  <c r="J917" i="8" s="1"/>
  <c r="E918" i="8"/>
  <c r="G892" i="6"/>
  <c r="H891" i="6"/>
  <c r="O891" i="6" s="1"/>
  <c r="P891" i="6" s="1"/>
  <c r="F916" i="7"/>
  <c r="I916" i="7" s="1"/>
  <c r="J916" i="7" s="1"/>
  <c r="E917" i="7"/>
  <c r="J892" i="6"/>
  <c r="I893" i="6"/>
  <c r="G918" i="8"/>
  <c r="H917" i="8"/>
  <c r="H920" i="7"/>
  <c r="G921" i="7"/>
  <c r="K892" i="6"/>
  <c r="L891" i="6"/>
  <c r="M892" i="6"/>
  <c r="N891" i="6"/>
  <c r="G922" i="7" l="1"/>
  <c r="H921" i="7"/>
  <c r="J893" i="6"/>
  <c r="I894" i="6"/>
  <c r="E918" i="7"/>
  <c r="F917" i="7"/>
  <c r="I917" i="7" s="1"/>
  <c r="J917" i="7" s="1"/>
  <c r="K893" i="6"/>
  <c r="L892" i="6"/>
  <c r="G893" i="6"/>
  <c r="H892" i="6"/>
  <c r="O892" i="6" s="1"/>
  <c r="P892" i="6" s="1"/>
  <c r="E919" i="8"/>
  <c r="F918" i="8"/>
  <c r="I918" i="8"/>
  <c r="J918" i="8" s="1"/>
  <c r="G919" i="8"/>
  <c r="H918" i="8"/>
  <c r="M893" i="6"/>
  <c r="N892" i="6"/>
  <c r="H919" i="8" l="1"/>
  <c r="G920" i="8"/>
  <c r="F919" i="8"/>
  <c r="I919" i="8" s="1"/>
  <c r="J919" i="8" s="1"/>
  <c r="E920" i="8"/>
  <c r="H893" i="6"/>
  <c r="G894" i="6"/>
  <c r="L893" i="6"/>
  <c r="O893" i="6" s="1"/>
  <c r="P893" i="6" s="1"/>
  <c r="K894" i="6"/>
  <c r="E919" i="7"/>
  <c r="F918" i="7"/>
  <c r="I918" i="7" s="1"/>
  <c r="J918" i="7" s="1"/>
  <c r="J894" i="6"/>
  <c r="I895" i="6"/>
  <c r="M894" i="6"/>
  <c r="N893" i="6"/>
  <c r="H922" i="7"/>
  <c r="G923" i="7"/>
  <c r="N894" i="6" l="1"/>
  <c r="M895" i="6"/>
  <c r="I896" i="6"/>
  <c r="J895" i="6"/>
  <c r="F919" i="7"/>
  <c r="I919" i="7" s="1"/>
  <c r="J919" i="7" s="1"/>
  <c r="E920" i="7"/>
  <c r="K895" i="6"/>
  <c r="L894" i="6"/>
  <c r="G895" i="6"/>
  <c r="H894" i="6"/>
  <c r="O894" i="6" s="1"/>
  <c r="P894" i="6" s="1"/>
  <c r="E921" i="8"/>
  <c r="F920" i="8"/>
  <c r="I920" i="8" s="1"/>
  <c r="J920" i="8" s="1"/>
  <c r="G924" i="7"/>
  <c r="H923" i="7"/>
  <c r="G921" i="8"/>
  <c r="H920" i="8"/>
  <c r="G925" i="7" l="1"/>
  <c r="H924" i="7"/>
  <c r="G896" i="6"/>
  <c r="H895" i="6"/>
  <c r="O895" i="6" s="1"/>
  <c r="P895" i="6" s="1"/>
  <c r="F920" i="7"/>
  <c r="I920" i="7" s="1"/>
  <c r="J920" i="7" s="1"/>
  <c r="E921" i="7"/>
  <c r="F921" i="8"/>
  <c r="I921" i="8" s="1"/>
  <c r="J921" i="8" s="1"/>
  <c r="E922" i="8"/>
  <c r="K896" i="6"/>
  <c r="L895" i="6"/>
  <c r="J896" i="6"/>
  <c r="I897" i="6"/>
  <c r="H921" i="8"/>
  <c r="G922" i="8"/>
  <c r="N895" i="6"/>
  <c r="M896" i="6"/>
  <c r="F921" i="7" l="1"/>
  <c r="I921" i="7" s="1"/>
  <c r="J921" i="7" s="1"/>
  <c r="E922" i="7"/>
  <c r="K897" i="6"/>
  <c r="L896" i="6"/>
  <c r="E923" i="8"/>
  <c r="F922" i="8"/>
  <c r="I922" i="8" s="1"/>
  <c r="J922" i="8" s="1"/>
  <c r="H896" i="6"/>
  <c r="O896" i="6" s="1"/>
  <c r="P896" i="6" s="1"/>
  <c r="G897" i="6"/>
  <c r="I898" i="6"/>
  <c r="J897" i="6"/>
  <c r="M897" i="6"/>
  <c r="N896" i="6"/>
  <c r="G923" i="8"/>
  <c r="H922" i="8"/>
  <c r="G926" i="7"/>
  <c r="H925" i="7"/>
  <c r="I899" i="6" l="1"/>
  <c r="J898" i="6"/>
  <c r="L897" i="6"/>
  <c r="O897" i="6" s="1"/>
  <c r="P897" i="6" s="1"/>
  <c r="K898" i="6"/>
  <c r="E923" i="7"/>
  <c r="F922" i="7"/>
  <c r="I922" i="7" s="1"/>
  <c r="J922" i="7" s="1"/>
  <c r="E924" i="8"/>
  <c r="F923" i="8"/>
  <c r="I923" i="8" s="1"/>
  <c r="J923" i="8" s="1"/>
  <c r="H926" i="7"/>
  <c r="G927" i="7"/>
  <c r="H923" i="8"/>
  <c r="G924" i="8"/>
  <c r="N897" i="6"/>
  <c r="M898" i="6"/>
  <c r="H897" i="6"/>
  <c r="G898" i="6"/>
  <c r="G928" i="7" l="1"/>
  <c r="H927" i="7"/>
  <c r="F924" i="8"/>
  <c r="E925" i="8"/>
  <c r="L898" i="6"/>
  <c r="K899" i="6"/>
  <c r="G925" i="8"/>
  <c r="H924" i="8"/>
  <c r="I924" i="8" s="1"/>
  <c r="J924" i="8" s="1"/>
  <c r="E924" i="7"/>
  <c r="F923" i="7"/>
  <c r="I923" i="7" s="1"/>
  <c r="J923" i="7" s="1"/>
  <c r="M899" i="6"/>
  <c r="N898" i="6"/>
  <c r="H898" i="6"/>
  <c r="O898" i="6" s="1"/>
  <c r="P898" i="6" s="1"/>
  <c r="G899" i="6"/>
  <c r="I900" i="6"/>
  <c r="J899" i="6"/>
  <c r="E925" i="7" l="1"/>
  <c r="F924" i="7"/>
  <c r="I924" i="7" s="1"/>
  <c r="J924" i="7" s="1"/>
  <c r="L899" i="6"/>
  <c r="O899" i="6" s="1"/>
  <c r="P899" i="6" s="1"/>
  <c r="K900" i="6"/>
  <c r="G926" i="8"/>
  <c r="H925" i="8"/>
  <c r="E926" i="8"/>
  <c r="F925" i="8"/>
  <c r="I925" i="8" s="1"/>
  <c r="J925" i="8" s="1"/>
  <c r="N899" i="6"/>
  <c r="M900" i="6"/>
  <c r="I901" i="6"/>
  <c r="J900" i="6"/>
  <c r="G900" i="6"/>
  <c r="H899" i="6"/>
  <c r="G929" i="7"/>
  <c r="H928" i="7"/>
  <c r="M901" i="6" l="1"/>
  <c r="N900" i="6"/>
  <c r="H926" i="8"/>
  <c r="G927" i="8"/>
  <c r="H900" i="6"/>
  <c r="O900" i="6" s="1"/>
  <c r="P900" i="6" s="1"/>
  <c r="G901" i="6"/>
  <c r="G930" i="7"/>
  <c r="H929" i="7"/>
  <c r="F925" i="7"/>
  <c r="I925" i="7" s="1"/>
  <c r="J925" i="7" s="1"/>
  <c r="E926" i="7"/>
  <c r="I902" i="6"/>
  <c r="J901" i="6"/>
  <c r="F926" i="8"/>
  <c r="I926" i="8" s="1"/>
  <c r="J926" i="8" s="1"/>
  <c r="E927" i="8"/>
  <c r="K901" i="6"/>
  <c r="L900" i="6"/>
  <c r="H901" i="6" l="1"/>
  <c r="O901" i="6" s="1"/>
  <c r="P901" i="6" s="1"/>
  <c r="G902" i="6"/>
  <c r="E927" i="7"/>
  <c r="F926" i="7"/>
  <c r="I926" i="7" s="1"/>
  <c r="J926" i="7" s="1"/>
  <c r="L901" i="6"/>
  <c r="K902" i="6"/>
  <c r="I903" i="6"/>
  <c r="J902" i="6"/>
  <c r="H930" i="7"/>
  <c r="G931" i="7"/>
  <c r="G928" i="8"/>
  <c r="H927" i="8"/>
  <c r="I927" i="8" s="1"/>
  <c r="J927" i="8" s="1"/>
  <c r="E928" i="8"/>
  <c r="F927" i="8"/>
  <c r="N901" i="6"/>
  <c r="M902" i="6"/>
  <c r="F928" i="8" l="1"/>
  <c r="I928" i="8" s="1"/>
  <c r="J928" i="8" s="1"/>
  <c r="E929" i="8"/>
  <c r="L902" i="6"/>
  <c r="K903" i="6"/>
  <c r="G932" i="7"/>
  <c r="H931" i="7"/>
  <c r="I904" i="6"/>
  <c r="J903" i="6"/>
  <c r="I927" i="7"/>
  <c r="J927" i="7" s="1"/>
  <c r="F927" i="7"/>
  <c r="E928" i="7"/>
  <c r="N902" i="6"/>
  <c r="M903" i="6"/>
  <c r="O902" i="6"/>
  <c r="P902" i="6" s="1"/>
  <c r="G903" i="6"/>
  <c r="H902" i="6"/>
  <c r="H928" i="8"/>
  <c r="G929" i="8"/>
  <c r="E929" i="7" l="1"/>
  <c r="F928" i="7"/>
  <c r="I928" i="7" s="1"/>
  <c r="J928" i="7" s="1"/>
  <c r="J904" i="6"/>
  <c r="I905" i="6"/>
  <c r="G930" i="8"/>
  <c r="H929" i="8"/>
  <c r="E930" i="8"/>
  <c r="F929" i="8"/>
  <c r="I929" i="8" s="1"/>
  <c r="J929" i="8" s="1"/>
  <c r="K904" i="6"/>
  <c r="L903" i="6"/>
  <c r="G904" i="6"/>
  <c r="H903" i="6"/>
  <c r="O903" i="6" s="1"/>
  <c r="P903" i="6" s="1"/>
  <c r="M904" i="6"/>
  <c r="N903" i="6"/>
  <c r="G933" i="7"/>
  <c r="H932" i="7"/>
  <c r="E931" i="8" l="1"/>
  <c r="F930" i="8"/>
  <c r="I930" i="8" s="1"/>
  <c r="J930" i="8" s="1"/>
  <c r="K905" i="6"/>
  <c r="L904" i="6"/>
  <c r="I906" i="6"/>
  <c r="J905" i="6"/>
  <c r="N904" i="6"/>
  <c r="M905" i="6"/>
  <c r="G934" i="7"/>
  <c r="H933" i="7"/>
  <c r="E930" i="7"/>
  <c r="I929" i="7"/>
  <c r="J929" i="7" s="1"/>
  <c r="F929" i="7"/>
  <c r="H904" i="6"/>
  <c r="O904" i="6" s="1"/>
  <c r="P904" i="6" s="1"/>
  <c r="G905" i="6"/>
  <c r="H930" i="8"/>
  <c r="G931" i="8"/>
  <c r="H905" i="6" l="1"/>
  <c r="G906" i="6"/>
  <c r="G935" i="7"/>
  <c r="H934" i="7"/>
  <c r="J906" i="6"/>
  <c r="I907" i="6"/>
  <c r="L905" i="6"/>
  <c r="O905" i="6" s="1"/>
  <c r="P905" i="6" s="1"/>
  <c r="K906" i="6"/>
  <c r="M906" i="6"/>
  <c r="N905" i="6"/>
  <c r="G932" i="8"/>
  <c r="H931" i="8"/>
  <c r="F930" i="7"/>
  <c r="I930" i="7" s="1"/>
  <c r="J930" i="7" s="1"/>
  <c r="E931" i="7"/>
  <c r="F931" i="8"/>
  <c r="I931" i="8" s="1"/>
  <c r="J931" i="8" s="1"/>
  <c r="E932" i="8"/>
  <c r="F931" i="7" l="1"/>
  <c r="I931" i="7" s="1"/>
  <c r="J931" i="7" s="1"/>
  <c r="E932" i="7"/>
  <c r="L906" i="6"/>
  <c r="K907" i="6"/>
  <c r="I908" i="6"/>
  <c r="J907" i="6"/>
  <c r="N906" i="6"/>
  <c r="M907" i="6"/>
  <c r="G936" i="7"/>
  <c r="H935" i="7"/>
  <c r="E933" i="8"/>
  <c r="F932" i="8"/>
  <c r="I932" i="8" s="1"/>
  <c r="J932" i="8" s="1"/>
  <c r="O906" i="6"/>
  <c r="P906" i="6" s="1"/>
  <c r="G907" i="6"/>
  <c r="H906" i="6"/>
  <c r="G933" i="8"/>
  <c r="H932" i="8"/>
  <c r="G908" i="6" l="1"/>
  <c r="H907" i="6"/>
  <c r="O907" i="6" s="1"/>
  <c r="P907" i="6" s="1"/>
  <c r="F933" i="8"/>
  <c r="I933" i="8" s="1"/>
  <c r="J933" i="8" s="1"/>
  <c r="E934" i="8"/>
  <c r="J908" i="6"/>
  <c r="I909" i="6"/>
  <c r="M908" i="6"/>
  <c r="N907" i="6"/>
  <c r="K908" i="6"/>
  <c r="L907" i="6"/>
  <c r="I932" i="7"/>
  <c r="J932" i="7" s="1"/>
  <c r="E933" i="7"/>
  <c r="F932" i="7"/>
  <c r="G934" i="8"/>
  <c r="H933" i="8"/>
  <c r="G937" i="7"/>
  <c r="H936" i="7"/>
  <c r="G935" i="8" l="1"/>
  <c r="H934" i="8"/>
  <c r="F933" i="7"/>
  <c r="I933" i="7" s="1"/>
  <c r="J933" i="7" s="1"/>
  <c r="E934" i="7"/>
  <c r="N908" i="6"/>
  <c r="M909" i="6"/>
  <c r="I910" i="6"/>
  <c r="J909" i="6"/>
  <c r="K909" i="6"/>
  <c r="L908" i="6"/>
  <c r="E935" i="8"/>
  <c r="F934" i="8"/>
  <c r="I934" i="8" s="1"/>
  <c r="J934" i="8" s="1"/>
  <c r="G938" i="7"/>
  <c r="H937" i="7"/>
  <c r="H908" i="6"/>
  <c r="O908" i="6" s="1"/>
  <c r="P908" i="6" s="1"/>
  <c r="G909" i="6"/>
  <c r="I911" i="6" l="1"/>
  <c r="J910" i="6"/>
  <c r="F935" i="8"/>
  <c r="I935" i="8" s="1"/>
  <c r="J935" i="8" s="1"/>
  <c r="E936" i="8"/>
  <c r="F934" i="7"/>
  <c r="I934" i="7" s="1"/>
  <c r="J934" i="7" s="1"/>
  <c r="E935" i="7"/>
  <c r="L909" i="6"/>
  <c r="K910" i="6"/>
  <c r="M910" i="6"/>
  <c r="N909" i="6"/>
  <c r="H909" i="6"/>
  <c r="O909" i="6" s="1"/>
  <c r="P909" i="6" s="1"/>
  <c r="G910" i="6"/>
  <c r="G939" i="7"/>
  <c r="H938" i="7"/>
  <c r="H935" i="8"/>
  <c r="G936" i="8"/>
  <c r="H910" i="6" l="1"/>
  <c r="O910" i="6" s="1"/>
  <c r="P910" i="6" s="1"/>
  <c r="G911" i="6"/>
  <c r="F935" i="7"/>
  <c r="I935" i="7" s="1"/>
  <c r="J935" i="7" s="1"/>
  <c r="E936" i="7"/>
  <c r="G940" i="7"/>
  <c r="H939" i="7"/>
  <c r="N910" i="6"/>
  <c r="M911" i="6"/>
  <c r="E937" i="8"/>
  <c r="F936" i="8"/>
  <c r="I936" i="8" s="1"/>
  <c r="J936" i="8" s="1"/>
  <c r="L910" i="6"/>
  <c r="K911" i="6"/>
  <c r="G937" i="8"/>
  <c r="H936" i="8"/>
  <c r="J911" i="6"/>
  <c r="I912" i="6"/>
  <c r="M912" i="6" l="1"/>
  <c r="N911" i="6"/>
  <c r="G941" i="7"/>
  <c r="H940" i="7"/>
  <c r="F936" i="7"/>
  <c r="I936" i="7" s="1"/>
  <c r="J936" i="7" s="1"/>
  <c r="E937" i="7"/>
  <c r="H937" i="8"/>
  <c r="G938" i="8"/>
  <c r="F937" i="8"/>
  <c r="I937" i="8" s="1"/>
  <c r="J937" i="8" s="1"/>
  <c r="E938" i="8"/>
  <c r="I913" i="6"/>
  <c r="J912" i="6"/>
  <c r="G912" i="6"/>
  <c r="H911" i="6"/>
  <c r="K912" i="6"/>
  <c r="L911" i="6"/>
  <c r="O911" i="6" s="1"/>
  <c r="P911" i="6" s="1"/>
  <c r="E939" i="8" l="1"/>
  <c r="F938" i="8"/>
  <c r="I938" i="8" s="1"/>
  <c r="J938" i="8" s="1"/>
  <c r="G939" i="8"/>
  <c r="H938" i="8"/>
  <c r="I937" i="7"/>
  <c r="J937" i="7" s="1"/>
  <c r="F937" i="7"/>
  <c r="E938" i="7"/>
  <c r="H912" i="6"/>
  <c r="O912" i="6" s="1"/>
  <c r="P912" i="6" s="1"/>
  <c r="G913" i="6"/>
  <c r="J913" i="6"/>
  <c r="I914" i="6"/>
  <c r="G942" i="7"/>
  <c r="H941" i="7"/>
  <c r="K913" i="6"/>
  <c r="L912" i="6"/>
  <c r="N912" i="6"/>
  <c r="M913" i="6"/>
  <c r="I915" i="6" l="1"/>
  <c r="J914" i="6"/>
  <c r="H913" i="6"/>
  <c r="O913" i="6" s="1"/>
  <c r="P913" i="6" s="1"/>
  <c r="G914" i="6"/>
  <c r="E939" i="7"/>
  <c r="F938" i="7"/>
  <c r="I938" i="7" s="1"/>
  <c r="J938" i="7" s="1"/>
  <c r="H942" i="7"/>
  <c r="G943" i="7"/>
  <c r="H939" i="8"/>
  <c r="G940" i="8"/>
  <c r="L913" i="6"/>
  <c r="K914" i="6"/>
  <c r="N913" i="6"/>
  <c r="M914" i="6"/>
  <c r="E940" i="8"/>
  <c r="F939" i="8"/>
  <c r="I939" i="8" s="1"/>
  <c r="J939" i="8" s="1"/>
  <c r="G941" i="8" l="1"/>
  <c r="H940" i="8"/>
  <c r="G944" i="7"/>
  <c r="H943" i="7"/>
  <c r="E940" i="7"/>
  <c r="I939" i="7"/>
  <c r="J939" i="7" s="1"/>
  <c r="F939" i="7"/>
  <c r="M915" i="6"/>
  <c r="N914" i="6"/>
  <c r="L914" i="6"/>
  <c r="K915" i="6"/>
  <c r="G915" i="6"/>
  <c r="H914" i="6"/>
  <c r="O914" i="6" s="1"/>
  <c r="P914" i="6" s="1"/>
  <c r="F940" i="8"/>
  <c r="I940" i="8" s="1"/>
  <c r="J940" i="8" s="1"/>
  <c r="E941" i="8"/>
  <c r="J915" i="6"/>
  <c r="I916" i="6"/>
  <c r="N915" i="6" l="1"/>
  <c r="M916" i="6"/>
  <c r="E942" i="8"/>
  <c r="F941" i="8"/>
  <c r="I941" i="8" s="1"/>
  <c r="J941" i="8" s="1"/>
  <c r="I940" i="7"/>
  <c r="J940" i="7" s="1"/>
  <c r="F940" i="7"/>
  <c r="E941" i="7"/>
  <c r="L915" i="6"/>
  <c r="K916" i="6"/>
  <c r="I917" i="6"/>
  <c r="J916" i="6"/>
  <c r="G945" i="7"/>
  <c r="H944" i="7"/>
  <c r="G916" i="6"/>
  <c r="O915" i="6"/>
  <c r="P915" i="6" s="1"/>
  <c r="H915" i="6"/>
  <c r="G942" i="8"/>
  <c r="H941" i="8"/>
  <c r="G946" i="7" l="1"/>
  <c r="H945" i="7"/>
  <c r="E942" i="7"/>
  <c r="F941" i="7"/>
  <c r="I941" i="7" s="1"/>
  <c r="J941" i="7" s="1"/>
  <c r="H916" i="6"/>
  <c r="O916" i="6" s="1"/>
  <c r="P916" i="6" s="1"/>
  <c r="G917" i="6"/>
  <c r="K917" i="6"/>
  <c r="L916" i="6"/>
  <c r="F942" i="8"/>
  <c r="I942" i="8" s="1"/>
  <c r="J942" i="8" s="1"/>
  <c r="E943" i="8"/>
  <c r="H942" i="8"/>
  <c r="G943" i="8"/>
  <c r="M917" i="6"/>
  <c r="N916" i="6"/>
  <c r="J917" i="6"/>
  <c r="I918" i="6"/>
  <c r="G944" i="8" l="1"/>
  <c r="H943" i="8"/>
  <c r="G947" i="7"/>
  <c r="H946" i="7"/>
  <c r="E944" i="8"/>
  <c r="F943" i="8"/>
  <c r="I943" i="8" s="1"/>
  <c r="J943" i="8" s="1"/>
  <c r="L917" i="6"/>
  <c r="K918" i="6"/>
  <c r="N917" i="6"/>
  <c r="M918" i="6"/>
  <c r="H917" i="6"/>
  <c r="O917" i="6" s="1"/>
  <c r="P917" i="6" s="1"/>
  <c r="G918" i="6"/>
  <c r="I919" i="6"/>
  <c r="J918" i="6"/>
  <c r="E943" i="7"/>
  <c r="F942" i="7"/>
  <c r="I942" i="7" s="1"/>
  <c r="J942" i="7" s="1"/>
  <c r="G919" i="6" l="1"/>
  <c r="H918" i="6"/>
  <c r="O918" i="6" s="1"/>
  <c r="P918" i="6" s="1"/>
  <c r="I920" i="6"/>
  <c r="J919" i="6"/>
  <c r="N918" i="6"/>
  <c r="M919" i="6"/>
  <c r="F944" i="8"/>
  <c r="I944" i="8" s="1"/>
  <c r="J944" i="8" s="1"/>
  <c r="E945" i="8"/>
  <c r="L918" i="6"/>
  <c r="K919" i="6"/>
  <c r="G948" i="7"/>
  <c r="H947" i="7"/>
  <c r="F943" i="7"/>
  <c r="I943" i="7" s="1"/>
  <c r="J943" i="7" s="1"/>
  <c r="E944" i="7"/>
  <c r="H944" i="8"/>
  <c r="G945" i="8"/>
  <c r="K920" i="6" l="1"/>
  <c r="L919" i="6"/>
  <c r="E946" i="8"/>
  <c r="F945" i="8"/>
  <c r="I945" i="8" s="1"/>
  <c r="J945" i="8" s="1"/>
  <c r="H948" i="7"/>
  <c r="G949" i="7"/>
  <c r="M920" i="6"/>
  <c r="N919" i="6"/>
  <c r="I921" i="6"/>
  <c r="J920" i="6"/>
  <c r="G920" i="6"/>
  <c r="H919" i="6"/>
  <c r="O919" i="6" s="1"/>
  <c r="P919" i="6" s="1"/>
  <c r="G946" i="8"/>
  <c r="H945" i="8"/>
  <c r="E945" i="7"/>
  <c r="F944" i="7"/>
  <c r="I944" i="7" s="1"/>
  <c r="J944" i="7" s="1"/>
  <c r="H920" i="6" l="1"/>
  <c r="O920" i="6" s="1"/>
  <c r="P920" i="6" s="1"/>
  <c r="G921" i="6"/>
  <c r="N920" i="6"/>
  <c r="M921" i="6"/>
  <c r="G950" i="7"/>
  <c r="H949" i="7"/>
  <c r="I922" i="6"/>
  <c r="J921" i="6"/>
  <c r="E947" i="8"/>
  <c r="F946" i="8"/>
  <c r="I946" i="8" s="1"/>
  <c r="J946" i="8" s="1"/>
  <c r="H946" i="8"/>
  <c r="G947" i="8"/>
  <c r="E946" i="7"/>
  <c r="F945" i="7"/>
  <c r="I945" i="7" s="1"/>
  <c r="J945" i="7" s="1"/>
  <c r="K921" i="6"/>
  <c r="L920" i="6"/>
  <c r="G948" i="8" l="1"/>
  <c r="H947" i="8"/>
  <c r="J922" i="6"/>
  <c r="I923" i="6"/>
  <c r="F947" i="8"/>
  <c r="I947" i="8" s="1"/>
  <c r="J947" i="8" s="1"/>
  <c r="E948" i="8"/>
  <c r="H921" i="6"/>
  <c r="O921" i="6" s="1"/>
  <c r="P921" i="6" s="1"/>
  <c r="G922" i="6"/>
  <c r="G951" i="7"/>
  <c r="H950" i="7"/>
  <c r="N921" i="6"/>
  <c r="M922" i="6"/>
  <c r="L921" i="6"/>
  <c r="K922" i="6"/>
  <c r="E947" i="7"/>
  <c r="F946" i="7"/>
  <c r="I946" i="7" s="1"/>
  <c r="J946" i="7" s="1"/>
  <c r="G952" i="7" l="1"/>
  <c r="H951" i="7"/>
  <c r="H922" i="6"/>
  <c r="G923" i="6"/>
  <c r="E949" i="8"/>
  <c r="F948" i="8"/>
  <c r="I948" i="8" s="1"/>
  <c r="J948" i="8" s="1"/>
  <c r="L922" i="6"/>
  <c r="O922" i="6" s="1"/>
  <c r="P922" i="6" s="1"/>
  <c r="K923" i="6"/>
  <c r="I924" i="6"/>
  <c r="J923" i="6"/>
  <c r="M923" i="6"/>
  <c r="N922" i="6"/>
  <c r="E948" i="7"/>
  <c r="I947" i="7"/>
  <c r="J947" i="7" s="1"/>
  <c r="F947" i="7"/>
  <c r="G949" i="8"/>
  <c r="H948" i="8"/>
  <c r="E949" i="7" l="1"/>
  <c r="F948" i="7"/>
  <c r="I948" i="7" s="1"/>
  <c r="J948" i="7" s="1"/>
  <c r="N923" i="6"/>
  <c r="M924" i="6"/>
  <c r="K924" i="6"/>
  <c r="L923" i="6"/>
  <c r="F949" i="8"/>
  <c r="I949" i="8" s="1"/>
  <c r="J949" i="8" s="1"/>
  <c r="E950" i="8"/>
  <c r="G924" i="6"/>
  <c r="H923" i="6"/>
  <c r="O923" i="6" s="1"/>
  <c r="P923" i="6" s="1"/>
  <c r="I925" i="6"/>
  <c r="J924" i="6"/>
  <c r="G950" i="8"/>
  <c r="H949" i="8"/>
  <c r="H952" i="7"/>
  <c r="G953" i="7"/>
  <c r="E951" i="8" l="1"/>
  <c r="F950" i="8"/>
  <c r="I950" i="8" s="1"/>
  <c r="J950" i="8" s="1"/>
  <c r="I926" i="6"/>
  <c r="J925" i="6"/>
  <c r="H924" i="6"/>
  <c r="O924" i="6" s="1"/>
  <c r="P924" i="6" s="1"/>
  <c r="G925" i="6"/>
  <c r="K925" i="6"/>
  <c r="L924" i="6"/>
  <c r="M925" i="6"/>
  <c r="N924" i="6"/>
  <c r="G951" i="8"/>
  <c r="H950" i="8"/>
  <c r="G954" i="7"/>
  <c r="H953" i="7"/>
  <c r="E950" i="7"/>
  <c r="F949" i="7"/>
  <c r="I949" i="7" s="1"/>
  <c r="J949" i="7" s="1"/>
  <c r="G955" i="7" l="1"/>
  <c r="H954" i="7"/>
  <c r="H951" i="8"/>
  <c r="G952" i="8"/>
  <c r="L925" i="6"/>
  <c r="K926" i="6"/>
  <c r="M926" i="6"/>
  <c r="N925" i="6"/>
  <c r="H925" i="6"/>
  <c r="O925" i="6" s="1"/>
  <c r="P925" i="6" s="1"/>
  <c r="G926" i="6"/>
  <c r="J926" i="6"/>
  <c r="I927" i="6"/>
  <c r="I950" i="7"/>
  <c r="J950" i="7" s="1"/>
  <c r="E951" i="7"/>
  <c r="F950" i="7"/>
  <c r="F951" i="8"/>
  <c r="I951" i="8" s="1"/>
  <c r="J951" i="8" s="1"/>
  <c r="E952" i="8"/>
  <c r="H926" i="6" l="1"/>
  <c r="O926" i="6" s="1"/>
  <c r="P926" i="6" s="1"/>
  <c r="G927" i="6"/>
  <c r="F951" i="7"/>
  <c r="I951" i="7" s="1"/>
  <c r="J951" i="7" s="1"/>
  <c r="E952" i="7"/>
  <c r="I928" i="6"/>
  <c r="J927" i="6"/>
  <c r="M927" i="6"/>
  <c r="N926" i="6"/>
  <c r="L926" i="6"/>
  <c r="K927" i="6"/>
  <c r="G953" i="8"/>
  <c r="H952" i="8"/>
  <c r="I952" i="8" s="1"/>
  <c r="J952" i="8" s="1"/>
  <c r="E953" i="8"/>
  <c r="F952" i="8"/>
  <c r="G956" i="7"/>
  <c r="H955" i="7"/>
  <c r="F953" i="8" l="1"/>
  <c r="I953" i="8" s="1"/>
  <c r="J953" i="8" s="1"/>
  <c r="E954" i="8"/>
  <c r="H953" i="8"/>
  <c r="G954" i="8"/>
  <c r="J928" i="6"/>
  <c r="I929" i="6"/>
  <c r="M928" i="6"/>
  <c r="N927" i="6"/>
  <c r="E953" i="7"/>
  <c r="F952" i="7"/>
  <c r="I952" i="7" s="1"/>
  <c r="J952" i="7" s="1"/>
  <c r="G928" i="6"/>
  <c r="H927" i="6"/>
  <c r="L927" i="6"/>
  <c r="O927" i="6" s="1"/>
  <c r="P927" i="6" s="1"/>
  <c r="K928" i="6"/>
  <c r="G957" i="7"/>
  <c r="H956" i="7"/>
  <c r="H928" i="6" l="1"/>
  <c r="O928" i="6" s="1"/>
  <c r="P928" i="6" s="1"/>
  <c r="G929" i="6"/>
  <c r="M929" i="6"/>
  <c r="N928" i="6"/>
  <c r="F953" i="7"/>
  <c r="I953" i="7" s="1"/>
  <c r="J953" i="7" s="1"/>
  <c r="E954" i="7"/>
  <c r="J929" i="6"/>
  <c r="I930" i="6"/>
  <c r="G955" i="8"/>
  <c r="H954" i="8"/>
  <c r="E955" i="8"/>
  <c r="F954" i="8"/>
  <c r="I954" i="8" s="1"/>
  <c r="J954" i="8" s="1"/>
  <c r="G958" i="7"/>
  <c r="H957" i="7"/>
  <c r="K929" i="6"/>
  <c r="L928" i="6"/>
  <c r="H955" i="8" l="1"/>
  <c r="G956" i="8"/>
  <c r="E955" i="7"/>
  <c r="F954" i="7"/>
  <c r="I954" i="7" s="1"/>
  <c r="J954" i="7" s="1"/>
  <c r="H958" i="7"/>
  <c r="G959" i="7"/>
  <c r="I955" i="8"/>
  <c r="J955" i="8" s="1"/>
  <c r="E956" i="8"/>
  <c r="F955" i="8"/>
  <c r="I931" i="6"/>
  <c r="J930" i="6"/>
  <c r="M930" i="6"/>
  <c r="N929" i="6"/>
  <c r="H929" i="6"/>
  <c r="O929" i="6" s="1"/>
  <c r="P929" i="6" s="1"/>
  <c r="G930" i="6"/>
  <c r="L929" i="6"/>
  <c r="K930" i="6"/>
  <c r="N930" i="6" l="1"/>
  <c r="M931" i="6"/>
  <c r="F956" i="8"/>
  <c r="I956" i="8" s="1"/>
  <c r="J956" i="8" s="1"/>
  <c r="E957" i="8"/>
  <c r="G960" i="7"/>
  <c r="H959" i="7"/>
  <c r="I932" i="6"/>
  <c r="J931" i="6"/>
  <c r="F955" i="7"/>
  <c r="I955" i="7" s="1"/>
  <c r="J955" i="7" s="1"/>
  <c r="E956" i="7"/>
  <c r="L930" i="6"/>
  <c r="O930" i="6" s="1"/>
  <c r="P930" i="6" s="1"/>
  <c r="K931" i="6"/>
  <c r="G957" i="8"/>
  <c r="H956" i="8"/>
  <c r="G931" i="6"/>
  <c r="H930" i="6"/>
  <c r="E957" i="7" l="1"/>
  <c r="F956" i="7"/>
  <c r="I956" i="7" s="1"/>
  <c r="J956" i="7" s="1"/>
  <c r="J932" i="6"/>
  <c r="I933" i="6"/>
  <c r="H960" i="7"/>
  <c r="G961" i="7"/>
  <c r="E958" i="8"/>
  <c r="F957" i="8"/>
  <c r="I957" i="8" s="1"/>
  <c r="J957" i="8" s="1"/>
  <c r="G958" i="8"/>
  <c r="H957" i="8"/>
  <c r="G932" i="6"/>
  <c r="H931" i="6"/>
  <c r="O931" i="6" s="1"/>
  <c r="P931" i="6" s="1"/>
  <c r="N931" i="6"/>
  <c r="M932" i="6"/>
  <c r="K932" i="6"/>
  <c r="L931" i="6"/>
  <c r="H958" i="8" l="1"/>
  <c r="G959" i="8"/>
  <c r="F958" i="8"/>
  <c r="I958" i="8" s="1"/>
  <c r="J958" i="8" s="1"/>
  <c r="E959" i="8"/>
  <c r="H932" i="6"/>
  <c r="O932" i="6" s="1"/>
  <c r="P932" i="6" s="1"/>
  <c r="G933" i="6"/>
  <c r="G962" i="7"/>
  <c r="H961" i="7"/>
  <c r="J933" i="6"/>
  <c r="I934" i="6"/>
  <c r="K933" i="6"/>
  <c r="L932" i="6"/>
  <c r="E958" i="7"/>
  <c r="F957" i="7"/>
  <c r="I957" i="7" s="1"/>
  <c r="J957" i="7" s="1"/>
  <c r="M933" i="6"/>
  <c r="N932" i="6"/>
  <c r="F958" i="7" l="1"/>
  <c r="I958" i="7" s="1"/>
  <c r="J958" i="7" s="1"/>
  <c r="E959" i="7"/>
  <c r="I935" i="6"/>
  <c r="J934" i="6"/>
  <c r="H933" i="6"/>
  <c r="O933" i="6" s="1"/>
  <c r="P933" i="6" s="1"/>
  <c r="G934" i="6"/>
  <c r="L933" i="6"/>
  <c r="K934" i="6"/>
  <c r="G963" i="7"/>
  <c r="H962" i="7"/>
  <c r="E960" i="8"/>
  <c r="F959" i="8"/>
  <c r="I959" i="8" s="1"/>
  <c r="J959" i="8" s="1"/>
  <c r="N933" i="6"/>
  <c r="M934" i="6"/>
  <c r="G960" i="8"/>
  <c r="H959" i="8"/>
  <c r="F960" i="8" l="1"/>
  <c r="I960" i="8" s="1"/>
  <c r="J960" i="8" s="1"/>
  <c r="E961" i="8"/>
  <c r="G964" i="7"/>
  <c r="H963" i="7"/>
  <c r="G935" i="6"/>
  <c r="H934" i="6"/>
  <c r="O934" i="6" s="1"/>
  <c r="P934" i="6" s="1"/>
  <c r="L934" i="6"/>
  <c r="K935" i="6"/>
  <c r="J935" i="6"/>
  <c r="I936" i="6"/>
  <c r="E960" i="7"/>
  <c r="F959" i="7"/>
  <c r="I959" i="7"/>
  <c r="J959" i="7" s="1"/>
  <c r="H960" i="8"/>
  <c r="G961" i="8"/>
  <c r="N934" i="6"/>
  <c r="M935" i="6"/>
  <c r="E961" i="7" l="1"/>
  <c r="F960" i="7"/>
  <c r="I960" i="7" s="1"/>
  <c r="J960" i="7" s="1"/>
  <c r="G936" i="6"/>
  <c r="H935" i="6"/>
  <c r="O935" i="6" s="1"/>
  <c r="P935" i="6" s="1"/>
  <c r="L935" i="6"/>
  <c r="K936" i="6"/>
  <c r="G965" i="7"/>
  <c r="H964" i="7"/>
  <c r="N935" i="6"/>
  <c r="M936" i="6"/>
  <c r="E962" i="8"/>
  <c r="F961" i="8"/>
  <c r="I961" i="8" s="1"/>
  <c r="J961" i="8" s="1"/>
  <c r="I937" i="6"/>
  <c r="J936" i="6"/>
  <c r="G962" i="8"/>
  <c r="H961" i="8"/>
  <c r="G966" i="7" l="1"/>
  <c r="H965" i="7"/>
  <c r="K937" i="6"/>
  <c r="L936" i="6"/>
  <c r="E963" i="8"/>
  <c r="F962" i="8"/>
  <c r="I962" i="8" s="1"/>
  <c r="J962" i="8" s="1"/>
  <c r="M937" i="6"/>
  <c r="N936" i="6"/>
  <c r="H936" i="6"/>
  <c r="O936" i="6" s="1"/>
  <c r="P936" i="6" s="1"/>
  <c r="G937" i="6"/>
  <c r="J937" i="6"/>
  <c r="I938" i="6"/>
  <c r="H962" i="8"/>
  <c r="G963" i="8"/>
  <c r="E962" i="7"/>
  <c r="F961" i="7"/>
  <c r="I961" i="7" s="1"/>
  <c r="J961" i="7" s="1"/>
  <c r="G964" i="8" l="1"/>
  <c r="H963" i="8"/>
  <c r="H937" i="6"/>
  <c r="O937" i="6" s="1"/>
  <c r="P937" i="6" s="1"/>
  <c r="G938" i="6"/>
  <c r="I939" i="6"/>
  <c r="J938" i="6"/>
  <c r="N937" i="6"/>
  <c r="M938" i="6"/>
  <c r="F963" i="8"/>
  <c r="I963" i="8" s="1"/>
  <c r="J963" i="8" s="1"/>
  <c r="E964" i="8"/>
  <c r="L937" i="6"/>
  <c r="K938" i="6"/>
  <c r="E963" i="7"/>
  <c r="F962" i="7"/>
  <c r="I962" i="7" s="1"/>
  <c r="J962" i="7" s="1"/>
  <c r="G967" i="7"/>
  <c r="H966" i="7"/>
  <c r="E965" i="8" l="1"/>
  <c r="F964" i="8"/>
  <c r="I964" i="8" s="1"/>
  <c r="J964" i="8" s="1"/>
  <c r="N938" i="6"/>
  <c r="M939" i="6"/>
  <c r="F963" i="7"/>
  <c r="I963" i="7" s="1"/>
  <c r="J963" i="7" s="1"/>
  <c r="E964" i="7"/>
  <c r="I940" i="6"/>
  <c r="J939" i="6"/>
  <c r="L938" i="6"/>
  <c r="K939" i="6"/>
  <c r="G939" i="6"/>
  <c r="H938" i="6"/>
  <c r="O938" i="6" s="1"/>
  <c r="P938" i="6" s="1"/>
  <c r="G968" i="7"/>
  <c r="H967" i="7"/>
  <c r="G965" i="8"/>
  <c r="H964" i="8"/>
  <c r="I941" i="6" l="1"/>
  <c r="J940" i="6"/>
  <c r="I964" i="7"/>
  <c r="J964" i="7" s="1"/>
  <c r="E965" i="7"/>
  <c r="F964" i="7"/>
  <c r="G940" i="6"/>
  <c r="H939" i="6"/>
  <c r="O939" i="6" s="1"/>
  <c r="P939" i="6" s="1"/>
  <c r="M940" i="6"/>
  <c r="N939" i="6"/>
  <c r="L939" i="6"/>
  <c r="K940" i="6"/>
  <c r="G966" i="8"/>
  <c r="H965" i="8"/>
  <c r="G969" i="7"/>
  <c r="H968" i="7"/>
  <c r="F965" i="8"/>
  <c r="I965" i="8" s="1"/>
  <c r="J965" i="8" s="1"/>
  <c r="E966" i="8"/>
  <c r="N940" i="6" l="1"/>
  <c r="M941" i="6"/>
  <c r="K941" i="6"/>
  <c r="L940" i="6"/>
  <c r="H940" i="6"/>
  <c r="O940" i="6" s="1"/>
  <c r="P940" i="6" s="1"/>
  <c r="G941" i="6"/>
  <c r="G967" i="8"/>
  <c r="H966" i="8"/>
  <c r="F965" i="7"/>
  <c r="I965" i="7" s="1"/>
  <c r="J965" i="7" s="1"/>
  <c r="E966" i="7"/>
  <c r="G970" i="7"/>
  <c r="H969" i="7"/>
  <c r="E967" i="8"/>
  <c r="F966" i="8"/>
  <c r="I966" i="8" s="1"/>
  <c r="J966" i="8" s="1"/>
  <c r="J941" i="6"/>
  <c r="I942" i="6"/>
  <c r="F967" i="8" l="1"/>
  <c r="I967" i="8" s="1"/>
  <c r="J967" i="8" s="1"/>
  <c r="E968" i="8"/>
  <c r="H970" i="7"/>
  <c r="G971" i="7"/>
  <c r="F966" i="7"/>
  <c r="I966" i="7" s="1"/>
  <c r="J966" i="7" s="1"/>
  <c r="E967" i="7"/>
  <c r="H967" i="8"/>
  <c r="G968" i="8"/>
  <c r="H941" i="6"/>
  <c r="G942" i="6"/>
  <c r="J942" i="6"/>
  <c r="I943" i="6"/>
  <c r="L941" i="6"/>
  <c r="O941" i="6" s="1"/>
  <c r="P941" i="6" s="1"/>
  <c r="K942" i="6"/>
  <c r="M942" i="6"/>
  <c r="N941" i="6"/>
  <c r="G943" i="6" l="1"/>
  <c r="H942" i="6"/>
  <c r="O942" i="6" s="1"/>
  <c r="P942" i="6" s="1"/>
  <c r="E968" i="7"/>
  <c r="F967" i="7"/>
  <c r="I967" i="7" s="1"/>
  <c r="J967" i="7" s="1"/>
  <c r="I944" i="6"/>
  <c r="J943" i="6"/>
  <c r="G969" i="8"/>
  <c r="H968" i="8"/>
  <c r="E969" i="8"/>
  <c r="F968" i="8"/>
  <c r="I968" i="8" s="1"/>
  <c r="J968" i="8" s="1"/>
  <c r="G972" i="7"/>
  <c r="H971" i="7"/>
  <c r="N942" i="6"/>
  <c r="M943" i="6"/>
  <c r="L942" i="6"/>
  <c r="K943" i="6"/>
  <c r="F969" i="8" l="1"/>
  <c r="I969" i="8" s="1"/>
  <c r="J969" i="8" s="1"/>
  <c r="E970" i="8"/>
  <c r="H969" i="8"/>
  <c r="G970" i="8"/>
  <c r="J944" i="6"/>
  <c r="I945" i="6"/>
  <c r="G973" i="7"/>
  <c r="H972" i="7"/>
  <c r="F968" i="7"/>
  <c r="I968" i="7" s="1"/>
  <c r="J968" i="7" s="1"/>
  <c r="E969" i="7"/>
  <c r="K944" i="6"/>
  <c r="L943" i="6"/>
  <c r="O943" i="6" s="1"/>
  <c r="P943" i="6" s="1"/>
  <c r="G944" i="6"/>
  <c r="H943" i="6"/>
  <c r="N943" i="6"/>
  <c r="M944" i="6"/>
  <c r="H944" i="6" l="1"/>
  <c r="O944" i="6" s="1"/>
  <c r="P944" i="6" s="1"/>
  <c r="G945" i="6"/>
  <c r="K945" i="6"/>
  <c r="L944" i="6"/>
  <c r="G974" i="7"/>
  <c r="H973" i="7"/>
  <c r="J945" i="6"/>
  <c r="I946" i="6"/>
  <c r="E970" i="7"/>
  <c r="F969" i="7"/>
  <c r="I969" i="7" s="1"/>
  <c r="J969" i="7" s="1"/>
  <c r="G971" i="8"/>
  <c r="H970" i="8"/>
  <c r="M945" i="6"/>
  <c r="N944" i="6"/>
  <c r="E971" i="8"/>
  <c r="F970" i="8"/>
  <c r="I970" i="8" s="1"/>
  <c r="J970" i="8" s="1"/>
  <c r="H971" i="8" l="1"/>
  <c r="G972" i="8"/>
  <c r="G975" i="7"/>
  <c r="H974" i="7"/>
  <c r="L945" i="6"/>
  <c r="K946" i="6"/>
  <c r="N945" i="6"/>
  <c r="M946" i="6"/>
  <c r="I947" i="6"/>
  <c r="J946" i="6"/>
  <c r="H945" i="6"/>
  <c r="O945" i="6" s="1"/>
  <c r="P945" i="6" s="1"/>
  <c r="G946" i="6"/>
  <c r="F970" i="7"/>
  <c r="I970" i="7" s="1"/>
  <c r="J970" i="7" s="1"/>
  <c r="E971" i="7"/>
  <c r="E972" i="8"/>
  <c r="F971" i="8"/>
  <c r="I971" i="8" s="1"/>
  <c r="J971" i="8" s="1"/>
  <c r="E972" i="7" l="1"/>
  <c r="F971" i="7"/>
  <c r="I971" i="7" s="1"/>
  <c r="J971" i="7" s="1"/>
  <c r="I948" i="6"/>
  <c r="J947" i="6"/>
  <c r="N946" i="6"/>
  <c r="M947" i="6"/>
  <c r="H946" i="6"/>
  <c r="O946" i="6" s="1"/>
  <c r="P946" i="6" s="1"/>
  <c r="G947" i="6"/>
  <c r="L946" i="6"/>
  <c r="K947" i="6"/>
  <c r="G976" i="7"/>
  <c r="H975" i="7"/>
  <c r="G973" i="8"/>
  <c r="H972" i="8"/>
  <c r="F972" i="8"/>
  <c r="I972" i="8" s="1"/>
  <c r="J972" i="8" s="1"/>
  <c r="E973" i="8"/>
  <c r="G948" i="6" l="1"/>
  <c r="H947" i="6"/>
  <c r="O947" i="6" s="1"/>
  <c r="P947" i="6" s="1"/>
  <c r="N947" i="6"/>
  <c r="M948" i="6"/>
  <c r="G974" i="8"/>
  <c r="H973" i="8"/>
  <c r="G977" i="7"/>
  <c r="H976" i="7"/>
  <c r="I949" i="6"/>
  <c r="J948" i="6"/>
  <c r="E974" i="8"/>
  <c r="F973" i="8"/>
  <c r="I973" i="8" s="1"/>
  <c r="J973" i="8" s="1"/>
  <c r="L947" i="6"/>
  <c r="K948" i="6"/>
  <c r="E973" i="7"/>
  <c r="F972" i="7"/>
  <c r="I972" i="7" s="1"/>
  <c r="J972" i="7" s="1"/>
  <c r="F974" i="8" l="1"/>
  <c r="I974" i="8" s="1"/>
  <c r="J974" i="8" s="1"/>
  <c r="E975" i="8"/>
  <c r="G978" i="7"/>
  <c r="H977" i="7"/>
  <c r="M949" i="6"/>
  <c r="N948" i="6"/>
  <c r="J949" i="6"/>
  <c r="I950" i="6"/>
  <c r="H974" i="8"/>
  <c r="G975" i="8"/>
  <c r="F973" i="7"/>
  <c r="I973" i="7" s="1"/>
  <c r="J973" i="7" s="1"/>
  <c r="E974" i="7"/>
  <c r="K949" i="6"/>
  <c r="L948" i="6"/>
  <c r="H948" i="6"/>
  <c r="O948" i="6" s="1"/>
  <c r="P948" i="6" s="1"/>
  <c r="G949" i="6"/>
  <c r="L949" i="6" l="1"/>
  <c r="K950" i="6"/>
  <c r="G976" i="8"/>
  <c r="H975" i="8"/>
  <c r="E975" i="7"/>
  <c r="F974" i="7"/>
  <c r="I974" i="7" s="1"/>
  <c r="J974" i="7" s="1"/>
  <c r="G979" i="7"/>
  <c r="H978" i="7"/>
  <c r="N949" i="6"/>
  <c r="M950" i="6"/>
  <c r="I951" i="6"/>
  <c r="J950" i="6"/>
  <c r="H949" i="6"/>
  <c r="O949" i="6"/>
  <c r="P949" i="6" s="1"/>
  <c r="G950" i="6"/>
  <c r="E976" i="8"/>
  <c r="F975" i="8"/>
  <c r="I975" i="8" s="1"/>
  <c r="J975" i="8" s="1"/>
  <c r="G951" i="6" l="1"/>
  <c r="H950" i="6"/>
  <c r="O950" i="6" s="1"/>
  <c r="P950" i="6" s="1"/>
  <c r="N950" i="6"/>
  <c r="M951" i="6"/>
  <c r="J951" i="6"/>
  <c r="I952" i="6"/>
  <c r="F975" i="7"/>
  <c r="I975" i="7" s="1"/>
  <c r="J975" i="7" s="1"/>
  <c r="E976" i="7"/>
  <c r="H976" i="8"/>
  <c r="G977" i="8"/>
  <c r="F976" i="8"/>
  <c r="I976" i="8" s="1"/>
  <c r="J976" i="8" s="1"/>
  <c r="E977" i="8"/>
  <c r="L950" i="6"/>
  <c r="K951" i="6"/>
  <c r="G980" i="7"/>
  <c r="H979" i="7"/>
  <c r="E978" i="8" l="1"/>
  <c r="F977" i="8"/>
  <c r="I977" i="8" s="1"/>
  <c r="J977" i="8" s="1"/>
  <c r="I953" i="6"/>
  <c r="J952" i="6"/>
  <c r="E977" i="7"/>
  <c r="F976" i="7"/>
  <c r="I976" i="7" s="1"/>
  <c r="J976" i="7" s="1"/>
  <c r="G978" i="8"/>
  <c r="H977" i="8"/>
  <c r="N951" i="6"/>
  <c r="M952" i="6"/>
  <c r="H980" i="7"/>
  <c r="G981" i="7"/>
  <c r="G952" i="6"/>
  <c r="H951" i="6"/>
  <c r="O951" i="6" s="1"/>
  <c r="P951" i="6" s="1"/>
  <c r="K952" i="6"/>
  <c r="L951" i="6"/>
  <c r="E978" i="7" l="1"/>
  <c r="F977" i="7"/>
  <c r="I977" i="7" s="1"/>
  <c r="J977" i="7" s="1"/>
  <c r="H952" i="6"/>
  <c r="O952" i="6" s="1"/>
  <c r="P952" i="6" s="1"/>
  <c r="G953" i="6"/>
  <c r="J953" i="6"/>
  <c r="I954" i="6"/>
  <c r="N952" i="6"/>
  <c r="M953" i="6"/>
  <c r="H978" i="8"/>
  <c r="G979" i="8"/>
  <c r="G982" i="7"/>
  <c r="H981" i="7"/>
  <c r="K953" i="6"/>
  <c r="L952" i="6"/>
  <c r="E979" i="8"/>
  <c r="F978" i="8"/>
  <c r="I978" i="8" s="1"/>
  <c r="J978" i="8" s="1"/>
  <c r="H982" i="7" l="1"/>
  <c r="G983" i="7"/>
  <c r="N953" i="6"/>
  <c r="M954" i="6"/>
  <c r="G980" i="8"/>
  <c r="H979" i="8"/>
  <c r="J954" i="6"/>
  <c r="I955" i="6"/>
  <c r="L953" i="6"/>
  <c r="K954" i="6"/>
  <c r="H953" i="6"/>
  <c r="O953" i="6" s="1"/>
  <c r="P953" i="6" s="1"/>
  <c r="G954" i="6"/>
  <c r="F979" i="8"/>
  <c r="I979" i="8" s="1"/>
  <c r="J979" i="8" s="1"/>
  <c r="E980" i="8"/>
  <c r="E979" i="7"/>
  <c r="F978" i="7"/>
  <c r="I978" i="7" s="1"/>
  <c r="J978" i="7" s="1"/>
  <c r="L954" i="6" l="1"/>
  <c r="K955" i="6"/>
  <c r="E981" i="8"/>
  <c r="F980" i="8"/>
  <c r="I980" i="8" s="1"/>
  <c r="J980" i="8" s="1"/>
  <c r="G981" i="8"/>
  <c r="H980" i="8"/>
  <c r="I956" i="6"/>
  <c r="J955" i="6"/>
  <c r="N954" i="6"/>
  <c r="M955" i="6"/>
  <c r="E980" i="7"/>
  <c r="F979" i="7"/>
  <c r="I979" i="7" s="1"/>
  <c r="J979" i="7" s="1"/>
  <c r="G984" i="7"/>
  <c r="H983" i="7"/>
  <c r="H954" i="6"/>
  <c r="O954" i="6" s="1"/>
  <c r="P954" i="6" s="1"/>
  <c r="G955" i="6"/>
  <c r="G985" i="7" l="1"/>
  <c r="H984" i="7"/>
  <c r="F980" i="7"/>
  <c r="I980" i="7" s="1"/>
  <c r="J980" i="7" s="1"/>
  <c r="E981" i="7"/>
  <c r="M956" i="6"/>
  <c r="N955" i="6"/>
  <c r="J956" i="6"/>
  <c r="I957" i="6"/>
  <c r="G956" i="6"/>
  <c r="H955" i="6"/>
  <c r="O955" i="6" s="1"/>
  <c r="P955" i="6" s="1"/>
  <c r="F981" i="8"/>
  <c r="I981" i="8" s="1"/>
  <c r="J981" i="8" s="1"/>
  <c r="E982" i="8"/>
  <c r="L955" i="6"/>
  <c r="K956" i="6"/>
  <c r="G982" i="8"/>
  <c r="H981" i="8"/>
  <c r="N956" i="6" l="1"/>
  <c r="M957" i="6"/>
  <c r="H956" i="6"/>
  <c r="O956" i="6" s="1"/>
  <c r="P956" i="6" s="1"/>
  <c r="G957" i="6"/>
  <c r="J957" i="6"/>
  <c r="I958" i="6"/>
  <c r="E982" i="7"/>
  <c r="F981" i="7"/>
  <c r="I981" i="7" s="1"/>
  <c r="J981" i="7" s="1"/>
  <c r="E983" i="8"/>
  <c r="F982" i="8"/>
  <c r="I982" i="8" s="1"/>
  <c r="J982" i="8" s="1"/>
  <c r="G983" i="8"/>
  <c r="H982" i="8"/>
  <c r="K957" i="6"/>
  <c r="L956" i="6"/>
  <c r="G986" i="7"/>
  <c r="H985" i="7"/>
  <c r="F983" i="8" l="1"/>
  <c r="I983" i="8" s="1"/>
  <c r="J983" i="8" s="1"/>
  <c r="E984" i="8"/>
  <c r="L957" i="6"/>
  <c r="K958" i="6"/>
  <c r="I982" i="7"/>
  <c r="J982" i="7" s="1"/>
  <c r="E983" i="7"/>
  <c r="F982" i="7"/>
  <c r="J958" i="6"/>
  <c r="I959" i="6"/>
  <c r="H957" i="6"/>
  <c r="O957" i="6" s="1"/>
  <c r="P957" i="6" s="1"/>
  <c r="G958" i="6"/>
  <c r="H983" i="8"/>
  <c r="G984" i="8"/>
  <c r="G987" i="7"/>
  <c r="H986" i="7"/>
  <c r="N957" i="6"/>
  <c r="M958" i="6"/>
  <c r="J959" i="6" l="1"/>
  <c r="I960" i="6"/>
  <c r="F983" i="7"/>
  <c r="I983" i="7" s="1"/>
  <c r="J983" i="7" s="1"/>
  <c r="E984" i="7"/>
  <c r="G985" i="8"/>
  <c r="H984" i="8"/>
  <c r="L958" i="6"/>
  <c r="K959" i="6"/>
  <c r="G988" i="7"/>
  <c r="H987" i="7"/>
  <c r="H958" i="6"/>
  <c r="O958" i="6" s="1"/>
  <c r="P958" i="6" s="1"/>
  <c r="G959" i="6"/>
  <c r="N958" i="6"/>
  <c r="M959" i="6"/>
  <c r="E985" i="8"/>
  <c r="F984" i="8"/>
  <c r="I984" i="8" s="1"/>
  <c r="J984" i="8" s="1"/>
  <c r="N959" i="6" l="1"/>
  <c r="M960" i="6"/>
  <c r="K960" i="6"/>
  <c r="L959" i="6"/>
  <c r="O959" i="6" s="1"/>
  <c r="P959" i="6" s="1"/>
  <c r="G960" i="6"/>
  <c r="H959" i="6"/>
  <c r="H985" i="8"/>
  <c r="I985" i="8" s="1"/>
  <c r="J985" i="8" s="1"/>
  <c r="G986" i="8"/>
  <c r="G989" i="7"/>
  <c r="H989" i="7" s="1"/>
  <c r="H988" i="7"/>
  <c r="E985" i="7"/>
  <c r="F984" i="7"/>
  <c r="I984" i="7" s="1"/>
  <c r="J984" i="7" s="1"/>
  <c r="I961" i="6"/>
  <c r="J960" i="6"/>
  <c r="F985" i="8"/>
  <c r="E986" i="8"/>
  <c r="G987" i="8" l="1"/>
  <c r="H986" i="8"/>
  <c r="J961" i="6"/>
  <c r="I962" i="6"/>
  <c r="H960" i="6"/>
  <c r="O960" i="6" s="1"/>
  <c r="P960" i="6" s="1"/>
  <c r="G961" i="6"/>
  <c r="E987" i="8"/>
  <c r="F986" i="8"/>
  <c r="I986" i="8" s="1"/>
  <c r="J986" i="8" s="1"/>
  <c r="K961" i="6"/>
  <c r="L960" i="6"/>
  <c r="F985" i="7"/>
  <c r="I985" i="7" s="1"/>
  <c r="J985" i="7" s="1"/>
  <c r="E986" i="7"/>
  <c r="M961" i="6"/>
  <c r="N960" i="6"/>
  <c r="H961" i="6" l="1"/>
  <c r="O961" i="6" s="1"/>
  <c r="P961" i="6" s="1"/>
  <c r="G962" i="6"/>
  <c r="N961" i="6"/>
  <c r="M962" i="6"/>
  <c r="L961" i="6"/>
  <c r="K962" i="6"/>
  <c r="E988" i="8"/>
  <c r="F987" i="8"/>
  <c r="I987" i="8" s="1"/>
  <c r="J987" i="8" s="1"/>
  <c r="I963" i="6"/>
  <c r="J962" i="6"/>
  <c r="E987" i="7"/>
  <c r="F986" i="7"/>
  <c r="I986" i="7" s="1"/>
  <c r="J986" i="7" s="1"/>
  <c r="G988" i="8"/>
  <c r="H987" i="8"/>
  <c r="G989" i="8" l="1"/>
  <c r="H989" i="8" s="1"/>
  <c r="H988" i="8"/>
  <c r="L962" i="6"/>
  <c r="K963" i="6"/>
  <c r="E989" i="8"/>
  <c r="F988" i="8"/>
  <c r="I988" i="8" s="1"/>
  <c r="J988" i="8" s="1"/>
  <c r="F987" i="7"/>
  <c r="I987" i="7" s="1"/>
  <c r="J987" i="7" s="1"/>
  <c r="E988" i="7"/>
  <c r="I964" i="6"/>
  <c r="J963" i="6"/>
  <c r="H962" i="6"/>
  <c r="O962" i="6" s="1"/>
  <c r="P962" i="6" s="1"/>
  <c r="G963" i="6"/>
  <c r="N962" i="6"/>
  <c r="M963" i="6"/>
  <c r="E989" i="7" l="1"/>
  <c r="F988" i="7"/>
  <c r="I988" i="7" s="1"/>
  <c r="J988" i="7" s="1"/>
  <c r="G964" i="6"/>
  <c r="H963" i="6"/>
  <c r="O963" i="6" s="1"/>
  <c r="P963" i="6" s="1"/>
  <c r="J964" i="6"/>
  <c r="I965" i="6"/>
  <c r="F989" i="8"/>
  <c r="I989" i="8" s="1"/>
  <c r="J989" i="8" s="1"/>
  <c r="K964" i="6"/>
  <c r="L963" i="6"/>
  <c r="N963" i="6"/>
  <c r="M964" i="6"/>
  <c r="K965" i="6" l="1"/>
  <c r="L964" i="6"/>
  <c r="J965" i="6"/>
  <c r="I966" i="6"/>
  <c r="N964" i="6"/>
  <c r="M965" i="6"/>
  <c r="H964" i="6"/>
  <c r="O964" i="6" s="1"/>
  <c r="P964" i="6" s="1"/>
  <c r="G965" i="6"/>
  <c r="F989" i="7"/>
  <c r="I989" i="7" s="1"/>
  <c r="J989" i="7" s="1"/>
  <c r="H965" i="6" l="1"/>
  <c r="O965" i="6" s="1"/>
  <c r="P965" i="6" s="1"/>
  <c r="G966" i="6"/>
  <c r="M966" i="6"/>
  <c r="N965" i="6"/>
  <c r="J966" i="6"/>
  <c r="I967" i="6"/>
  <c r="L965" i="6"/>
  <c r="K966" i="6"/>
  <c r="L966" i="6" l="1"/>
  <c r="K967" i="6"/>
  <c r="I968" i="6"/>
  <c r="J967" i="6"/>
  <c r="N966" i="6"/>
  <c r="M967" i="6"/>
  <c r="G967" i="6"/>
  <c r="H966" i="6"/>
  <c r="O966" i="6" s="1"/>
  <c r="P966" i="6" s="1"/>
  <c r="G968" i="6" l="1"/>
  <c r="H967" i="6"/>
  <c r="O967" i="6" s="1"/>
  <c r="P967" i="6" s="1"/>
  <c r="M968" i="6"/>
  <c r="N967" i="6"/>
  <c r="J968" i="6"/>
  <c r="I969" i="6"/>
  <c r="K968" i="6"/>
  <c r="L967" i="6"/>
  <c r="J969" i="6" l="1"/>
  <c r="I970" i="6"/>
  <c r="K969" i="6"/>
  <c r="L968" i="6"/>
  <c r="N968" i="6"/>
  <c r="M969" i="6"/>
  <c r="H968" i="6"/>
  <c r="G969" i="6"/>
  <c r="O968" i="6"/>
  <c r="P968" i="6" s="1"/>
  <c r="H969" i="6" l="1"/>
  <c r="O969" i="6" s="1"/>
  <c r="P969" i="6" s="1"/>
  <c r="G970" i="6"/>
  <c r="M970" i="6"/>
  <c r="N969" i="6"/>
  <c r="L969" i="6"/>
  <c r="K970" i="6"/>
  <c r="I971" i="6"/>
  <c r="J970" i="6"/>
  <c r="I972" i="6" l="1"/>
  <c r="J971" i="6"/>
  <c r="L970" i="6"/>
  <c r="K971" i="6"/>
  <c r="N970" i="6"/>
  <c r="M971" i="6"/>
  <c r="G971" i="6"/>
  <c r="H970" i="6"/>
  <c r="O970" i="6" s="1"/>
  <c r="P970" i="6" s="1"/>
  <c r="G972" i="6" l="1"/>
  <c r="H971" i="6"/>
  <c r="O971" i="6" s="1"/>
  <c r="P971" i="6" s="1"/>
  <c r="N971" i="6"/>
  <c r="M972" i="6"/>
  <c r="K972" i="6"/>
  <c r="L971" i="6"/>
  <c r="J972" i="6"/>
  <c r="I973" i="6"/>
  <c r="M973" i="6" l="1"/>
  <c r="N972" i="6"/>
  <c r="J973" i="6"/>
  <c r="I974" i="6"/>
  <c r="K973" i="6"/>
  <c r="L972" i="6"/>
  <c r="H972" i="6"/>
  <c r="O972" i="6" s="1"/>
  <c r="P972" i="6" s="1"/>
  <c r="G973" i="6"/>
  <c r="H973" i="6" l="1"/>
  <c r="O973" i="6" s="1"/>
  <c r="P973" i="6" s="1"/>
  <c r="G974" i="6"/>
  <c r="L973" i="6"/>
  <c r="K974" i="6"/>
  <c r="I975" i="6"/>
  <c r="J974" i="6"/>
  <c r="N973" i="6"/>
  <c r="M974" i="6"/>
  <c r="N974" i="6" l="1"/>
  <c r="M975" i="6"/>
  <c r="J975" i="6"/>
  <c r="I976" i="6"/>
  <c r="L974" i="6"/>
  <c r="K975" i="6"/>
  <c r="G975" i="6"/>
  <c r="H974" i="6"/>
  <c r="O974" i="6" s="1"/>
  <c r="P974" i="6" s="1"/>
  <c r="G976" i="6" l="1"/>
  <c r="H975" i="6"/>
  <c r="J976" i="6"/>
  <c r="I977" i="6"/>
  <c r="L975" i="6"/>
  <c r="O975" i="6" s="1"/>
  <c r="P975" i="6" s="1"/>
  <c r="K976" i="6"/>
  <c r="N975" i="6"/>
  <c r="M976" i="6"/>
  <c r="K977" i="6" l="1"/>
  <c r="L976" i="6"/>
  <c r="N976" i="6"/>
  <c r="M977" i="6"/>
  <c r="J977" i="6"/>
  <c r="I978" i="6"/>
  <c r="H976" i="6"/>
  <c r="G977" i="6"/>
  <c r="O976" i="6"/>
  <c r="P976" i="6" s="1"/>
  <c r="I979" i="6" l="1"/>
  <c r="J978" i="6"/>
  <c r="H977" i="6"/>
  <c r="O977" i="6" s="1"/>
  <c r="P977" i="6" s="1"/>
  <c r="G978" i="6"/>
  <c r="M978" i="6"/>
  <c r="N977" i="6"/>
  <c r="L977" i="6"/>
  <c r="K978" i="6"/>
  <c r="G979" i="6" l="1"/>
  <c r="H978" i="6"/>
  <c r="O978" i="6" s="1"/>
  <c r="P978" i="6" s="1"/>
  <c r="L978" i="6"/>
  <c r="K979" i="6"/>
  <c r="N978" i="6"/>
  <c r="M979" i="6"/>
  <c r="I980" i="6"/>
  <c r="J979" i="6"/>
  <c r="J980" i="6" l="1"/>
  <c r="I981" i="6"/>
  <c r="M980" i="6"/>
  <c r="N979" i="6"/>
  <c r="K980" i="6"/>
  <c r="L979" i="6"/>
  <c r="G980" i="6"/>
  <c r="H979" i="6"/>
  <c r="O979" i="6" s="1"/>
  <c r="P979" i="6" s="1"/>
  <c r="H980" i="6" l="1"/>
  <c r="G981" i="6"/>
  <c r="N980" i="6"/>
  <c r="M981" i="6"/>
  <c r="J981" i="6"/>
  <c r="I982" i="6"/>
  <c r="K981" i="6"/>
  <c r="L980" i="6"/>
  <c r="O980" i="6" s="1"/>
  <c r="P980" i="6" s="1"/>
  <c r="L981" i="6" l="1"/>
  <c r="K982" i="6"/>
  <c r="J982" i="6"/>
  <c r="I983" i="6"/>
  <c r="M982" i="6"/>
  <c r="N981" i="6"/>
  <c r="H981" i="6"/>
  <c r="O981" i="6" s="1"/>
  <c r="P981" i="6" s="1"/>
  <c r="G982" i="6"/>
  <c r="L982" i="6" l="1"/>
  <c r="K983" i="6"/>
  <c r="H982" i="6"/>
  <c r="O982" i="6" s="1"/>
  <c r="P982" i="6" s="1"/>
  <c r="G983" i="6"/>
  <c r="N982" i="6"/>
  <c r="M983" i="6"/>
  <c r="I984" i="6"/>
  <c r="J983" i="6"/>
  <c r="M984" i="6" l="1"/>
  <c r="N983" i="6"/>
  <c r="G984" i="6"/>
  <c r="H983" i="6"/>
  <c r="O983" i="6" s="1"/>
  <c r="P983" i="6" s="1"/>
  <c r="K984" i="6"/>
  <c r="L983" i="6"/>
  <c r="J984" i="6"/>
  <c r="I985" i="6"/>
  <c r="J985" i="6" l="1"/>
  <c r="I986" i="6"/>
  <c r="K985" i="6"/>
  <c r="L984" i="6"/>
  <c r="O984" i="6" s="1"/>
  <c r="P984" i="6" s="1"/>
  <c r="H984" i="6"/>
  <c r="G985" i="6"/>
  <c r="N984" i="6"/>
  <c r="M985" i="6"/>
  <c r="H985" i="6" l="1"/>
  <c r="G986" i="6"/>
  <c r="L985" i="6"/>
  <c r="O985" i="6" s="1"/>
  <c r="P985" i="6" s="1"/>
  <c r="K986" i="6"/>
  <c r="I987" i="6"/>
  <c r="J986" i="6"/>
  <c r="N985" i="6"/>
  <c r="M986" i="6"/>
  <c r="N986" i="6" l="1"/>
  <c r="M987" i="6"/>
  <c r="J987" i="6"/>
  <c r="I988" i="6"/>
  <c r="L986" i="6"/>
  <c r="K987" i="6"/>
  <c r="G987" i="6"/>
  <c r="H986" i="6"/>
  <c r="O986" i="6" s="1"/>
  <c r="P986" i="6" s="1"/>
  <c r="I989" i="6" l="1"/>
  <c r="J989" i="6" s="1"/>
  <c r="J988" i="6"/>
  <c r="K988" i="6"/>
  <c r="L987" i="6"/>
  <c r="M988" i="6"/>
  <c r="N987" i="6"/>
  <c r="G988" i="6"/>
  <c r="H987" i="6"/>
  <c r="O987" i="6" s="1"/>
  <c r="P987" i="6" s="1"/>
  <c r="H988" i="6" l="1"/>
  <c r="O988" i="6" s="1"/>
  <c r="P988" i="6" s="1"/>
  <c r="G989" i="6"/>
  <c r="M989" i="6"/>
  <c r="N989" i="6" s="1"/>
  <c r="N988" i="6"/>
  <c r="K989" i="6"/>
  <c r="L989" i="6" s="1"/>
  <c r="L988" i="6"/>
  <c r="H989" i="6" l="1"/>
  <c r="O989" i="6"/>
  <c r="P989" i="6" s="1"/>
</calcChain>
</file>

<file path=xl/sharedStrings.xml><?xml version="1.0" encoding="utf-8"?>
<sst xmlns="http://schemas.openxmlformats.org/spreadsheetml/2006/main" count="1205" uniqueCount="321">
  <si>
    <t>Messages Draft</t>
  </si>
  <si>
    <t>Profit &amp; Loss</t>
  </si>
  <si>
    <t>Starting Balance as at 23 Oct 2025</t>
  </si>
  <si>
    <t>Court Details</t>
  </si>
  <si>
    <t>Shuttle Details</t>
  </si>
  <si>
    <t>Pub Details</t>
  </si>
  <si>
    <t>Members Details</t>
  </si>
  <si>
    <t>Per Game</t>
  </si>
  <si>
    <t>Overall Funds</t>
  </si>
  <si>
    <t>Date</t>
  </si>
  <si>
    <t>Day</t>
  </si>
  <si>
    <t>Start Time</t>
  </si>
  <si>
    <t>End Time</t>
  </si>
  <si>
    <t>Location</t>
  </si>
  <si>
    <t>Court No.</t>
  </si>
  <si>
    <t>Court Cost 
($ per hour)</t>
  </si>
  <si>
    <t>No. of Hours</t>
  </si>
  <si>
    <t>No. of Courts</t>
  </si>
  <si>
    <t>Total Court Cost ($)</t>
  </si>
  <si>
    <t>Shuttle Type</t>
  </si>
  <si>
    <t>No. of Shuttles Used</t>
  </si>
  <si>
    <t>Shuttle Cost ($ per shuttle)</t>
  </si>
  <si>
    <t>Total Shuttle Cost ($)</t>
  </si>
  <si>
    <t>Amount Paid by Pubs
($ per pax)</t>
  </si>
  <si>
    <t>No. of Pubs</t>
  </si>
  <si>
    <t>Total Paid by Pubs ($)</t>
  </si>
  <si>
    <t>Amount Paid by Members ($) per pax)</t>
  </si>
  <si>
    <t>No. of Members</t>
  </si>
  <si>
    <t>Total Paid by Members ($)</t>
  </si>
  <si>
    <t>Total No. of Players</t>
  </si>
  <si>
    <t>Total Amount Received ($)</t>
  </si>
  <si>
    <t>Total Cost (Court + Shuttle $)</t>
  </si>
  <si>
    <t>Profit/Loss ($ per game)</t>
  </si>
  <si>
    <t>Actual Earnings</t>
  </si>
  <si>
    <t>In Flow
(Pubs Joined)</t>
  </si>
  <si>
    <t>Out Flow
(Court Cost)</t>
  </si>
  <si>
    <t>Out Flow 
(Shuttle Purchase)</t>
  </si>
  <si>
    <t>Fund Balance
Balance</t>
  </si>
  <si>
    <t>Sat</t>
  </si>
  <si>
    <t>Siglap CC</t>
  </si>
  <si>
    <t>Ultimate (Sep 2025)</t>
  </si>
  <si>
    <t>Thurs</t>
  </si>
  <si>
    <t>Kaki Bukit CC</t>
  </si>
  <si>
    <t>Sun</t>
  </si>
  <si>
    <t>Fengshan CC</t>
  </si>
  <si>
    <t>Tues</t>
  </si>
  <si>
    <t>Wed</t>
  </si>
  <si>
    <t>Macpherson CC</t>
  </si>
  <si>
    <t>Mon</t>
  </si>
  <si>
    <t>Expo Weekday</t>
  </si>
  <si>
    <t>Changi Simei CC</t>
  </si>
  <si>
    <t>Pasir Ris SH</t>
  </si>
  <si>
    <t>1, 2 &amp; 3</t>
  </si>
  <si>
    <t>1A</t>
  </si>
  <si>
    <t>1B</t>
  </si>
  <si>
    <t>1 &amp; 2</t>
  </si>
  <si>
    <t>Fri</t>
  </si>
  <si>
    <t>1 &amp; 3</t>
  </si>
  <si>
    <t>Supreme (Nov 2025)</t>
  </si>
  <si>
    <t>Ultimate (Sep 2025)
Supreme (Nov 2025)</t>
  </si>
  <si>
    <t>10
7</t>
  </si>
  <si>
    <t>$3.45
$3.47</t>
  </si>
  <si>
    <t>2 -&gt; 3</t>
  </si>
  <si>
    <t>2
1</t>
  </si>
  <si>
    <t xml:space="preserve">1 &amp; 2 </t>
  </si>
  <si>
    <t>Supreme (Nov 2025)
Supreme (Joo Ching)</t>
  </si>
  <si>
    <t>$3.47
$3.33</t>
  </si>
  <si>
    <t>Ultimate (Sep 2025)
Supreme (Joo Ching)</t>
  </si>
  <si>
    <t>2
11</t>
  </si>
  <si>
    <t>$3.45
$3.33</t>
  </si>
  <si>
    <t>Ultimate (Nov 2025)</t>
  </si>
  <si>
    <t>Supreme (Nov 2025)
Ultimate (Nov 2025)</t>
  </si>
  <si>
    <t>7
8</t>
  </si>
  <si>
    <t>$3.47
$3.57</t>
  </si>
  <si>
    <t>Supreme (Nov 2025) 
Ultimate (Nov 2025)</t>
  </si>
  <si>
    <t>2
3</t>
  </si>
  <si>
    <t>$3.47 
$3.57</t>
  </si>
  <si>
    <t>Seng Kang SH</t>
  </si>
  <si>
    <t>1 -&gt; 3 &amp; 2</t>
  </si>
  <si>
    <t>5
6</t>
  </si>
  <si>
    <t>1 -&gt; 2</t>
  </si>
  <si>
    <t>Pub List</t>
  </si>
  <si>
    <t>Pub 1</t>
  </si>
  <si>
    <t>Pub 2</t>
  </si>
  <si>
    <t>Pub 3</t>
  </si>
  <si>
    <t>Pub 4</t>
  </si>
  <si>
    <t>Pub 5</t>
  </si>
  <si>
    <t>Pub 6</t>
  </si>
  <si>
    <t>Pub 7</t>
  </si>
  <si>
    <t>Pub 8</t>
  </si>
  <si>
    <t>Pub 9</t>
  </si>
  <si>
    <t>Pub 10</t>
  </si>
  <si>
    <t>Pub 11</t>
  </si>
  <si>
    <t>Pub 12</t>
  </si>
  <si>
    <t>Pub 13</t>
  </si>
  <si>
    <t>Pub 14</t>
  </si>
  <si>
    <t>Pub 15</t>
  </si>
  <si>
    <t>Pub 16</t>
  </si>
  <si>
    <t>Pub 17</t>
  </si>
  <si>
    <t>Pub 18</t>
  </si>
  <si>
    <t>Joo Ching</t>
  </si>
  <si>
    <t>Fish - Ban</t>
  </si>
  <si>
    <t>Fish - Nellie</t>
  </si>
  <si>
    <t>Jia Sheng</t>
  </si>
  <si>
    <t>Kurt</t>
  </si>
  <si>
    <t>Ray</t>
  </si>
  <si>
    <t>MVT</t>
  </si>
  <si>
    <t>YS</t>
  </si>
  <si>
    <t>Shannon</t>
  </si>
  <si>
    <t>Shao Heng</t>
  </si>
  <si>
    <t>Javier</t>
  </si>
  <si>
    <t>Lim Kang</t>
  </si>
  <si>
    <t>Lewis</t>
  </si>
  <si>
    <t>Kang +1</t>
  </si>
  <si>
    <t>Zenn</t>
  </si>
  <si>
    <t>Shary</t>
  </si>
  <si>
    <t>Jian Hong</t>
  </si>
  <si>
    <t>Kang Wei</t>
  </si>
  <si>
    <t>Wei Liang</t>
  </si>
  <si>
    <t>Nic</t>
  </si>
  <si>
    <t>Joey</t>
  </si>
  <si>
    <t>Brendan</t>
  </si>
  <si>
    <t>Brendan +1</t>
  </si>
  <si>
    <t>Chong Seng</t>
  </si>
  <si>
    <t>Chong Seng +1</t>
  </si>
  <si>
    <t>Ivan</t>
  </si>
  <si>
    <t>Ivan +1</t>
  </si>
  <si>
    <t>Ivan +2</t>
  </si>
  <si>
    <t>KC</t>
  </si>
  <si>
    <t>Kang Wei +1</t>
  </si>
  <si>
    <t>Kang Wei +2</t>
  </si>
  <si>
    <t>Melvin</t>
  </si>
  <si>
    <t>Melvin +1</t>
  </si>
  <si>
    <t>Marcus</t>
  </si>
  <si>
    <t>Marcus +1</t>
  </si>
  <si>
    <t>Xing Shuo</t>
  </si>
  <si>
    <t>Ben</t>
  </si>
  <si>
    <t>Sharry</t>
  </si>
  <si>
    <t>Wind Ong</t>
  </si>
  <si>
    <t>Jadon</t>
  </si>
  <si>
    <t>Jadon +1</t>
  </si>
  <si>
    <t>Kang Yee</t>
  </si>
  <si>
    <t>Kwok Kah Hao</t>
  </si>
  <si>
    <t>Wai Seng</t>
  </si>
  <si>
    <t>Dylan</t>
  </si>
  <si>
    <t>Edwin</t>
  </si>
  <si>
    <t>Eugene Lian</t>
  </si>
  <si>
    <t>Owen</t>
  </si>
  <si>
    <t>Len</t>
  </si>
  <si>
    <t>Andy</t>
  </si>
  <si>
    <t>William</t>
  </si>
  <si>
    <t>Dan</t>
  </si>
  <si>
    <t>Gerry</t>
  </si>
  <si>
    <t>Zenn Goh</t>
  </si>
  <si>
    <t>Jensen Tie</t>
  </si>
  <si>
    <t>Lai Chung Hin (Ah Lai)</t>
  </si>
  <si>
    <t>Jasper</t>
  </si>
  <si>
    <t xml:space="preserve">Alex </t>
  </si>
  <si>
    <t>Alex +1</t>
  </si>
  <si>
    <t>Alex +2</t>
  </si>
  <si>
    <t>Nobody</t>
  </si>
  <si>
    <t>Nobody +1</t>
  </si>
  <si>
    <t>Anton</t>
  </si>
  <si>
    <t>Kah Hao</t>
  </si>
  <si>
    <t>Nathan</t>
  </si>
  <si>
    <t>Steve</t>
  </si>
  <si>
    <t>Thomas</t>
  </si>
  <si>
    <t>Mike</t>
  </si>
  <si>
    <t>Foo Hin +1</t>
  </si>
  <si>
    <t>Nicholas</t>
  </si>
  <si>
    <t>Zilong</t>
  </si>
  <si>
    <t>Angel</t>
  </si>
  <si>
    <t>Robinson</t>
  </si>
  <si>
    <t>Lian</t>
  </si>
  <si>
    <t>Chong</t>
  </si>
  <si>
    <t>Chong +1</t>
  </si>
  <si>
    <t>Chong +2</t>
  </si>
  <si>
    <t>Wai Chin</t>
  </si>
  <si>
    <t>Foo Hin</t>
  </si>
  <si>
    <t>Neo BK</t>
  </si>
  <si>
    <t>Neo BK +1</t>
  </si>
  <si>
    <t>Melvin +2</t>
  </si>
  <si>
    <t>Kc</t>
  </si>
  <si>
    <t>Weng Hong</t>
  </si>
  <si>
    <t>Leon</t>
  </si>
  <si>
    <t>Joo Ching +1 (benjamin)</t>
  </si>
  <si>
    <t>Joo Ching +2 (edwin)</t>
  </si>
  <si>
    <t>Wei Nan</t>
  </si>
  <si>
    <t>Lim</t>
  </si>
  <si>
    <t>Jadon +1 (Yuuki)</t>
  </si>
  <si>
    <t>Jadon +2 (Xavier)</t>
  </si>
  <si>
    <t>Jadon +3 (Gabriel)</t>
  </si>
  <si>
    <t>Lu</t>
  </si>
  <si>
    <t>Jia Yan</t>
  </si>
  <si>
    <t>Rahul</t>
  </si>
  <si>
    <t>Jason</t>
  </si>
  <si>
    <t>Wong (Stella's husband)</t>
  </si>
  <si>
    <t>Jadon +4 (JC)</t>
  </si>
  <si>
    <t>CG</t>
  </si>
  <si>
    <t>Chong Seng +2</t>
  </si>
  <si>
    <t>Chong Seng +3</t>
  </si>
  <si>
    <t>Shao heng</t>
  </si>
  <si>
    <t>CJ</t>
  </si>
  <si>
    <t>CJ +1</t>
  </si>
  <si>
    <t>KZ</t>
  </si>
  <si>
    <t>Yun Wee</t>
  </si>
  <si>
    <t>Douglas</t>
  </si>
  <si>
    <t>Keith</t>
  </si>
  <si>
    <t>Keith +1</t>
  </si>
  <si>
    <t>Louis</t>
  </si>
  <si>
    <t>KT</t>
  </si>
  <si>
    <t>Qi Xiang</t>
  </si>
  <si>
    <t>Johnny Lee</t>
  </si>
  <si>
    <t>Nicholas Lee</t>
  </si>
  <si>
    <t>Jovina</t>
  </si>
  <si>
    <t>Calvin</t>
  </si>
  <si>
    <t>Andy +1</t>
  </si>
  <si>
    <t>Hazel</t>
  </si>
  <si>
    <t>Praveen</t>
  </si>
  <si>
    <t>Han Wei</t>
  </si>
  <si>
    <t>Kelly</t>
  </si>
  <si>
    <t>Pool Seng</t>
  </si>
  <si>
    <t>ST</t>
  </si>
  <si>
    <t>Le Quang</t>
  </si>
  <si>
    <t>Shawn</t>
  </si>
  <si>
    <t>Wai Meng</t>
  </si>
  <si>
    <t>Daniel</t>
  </si>
  <si>
    <t>Amos</t>
  </si>
  <si>
    <t>Amos +1 (Daniel)</t>
  </si>
  <si>
    <t>Ong Kai Jun +1 (Gladius)</t>
  </si>
  <si>
    <t>Ong Kai Jun</t>
  </si>
  <si>
    <t>Mere</t>
  </si>
  <si>
    <t>Irene</t>
  </si>
  <si>
    <t>Ken Goh</t>
  </si>
  <si>
    <t>Wai Co</t>
  </si>
  <si>
    <t>Alvin</t>
  </si>
  <si>
    <t>Alvin +1</t>
  </si>
  <si>
    <t>Kuang</t>
  </si>
  <si>
    <t>John Tei</t>
  </si>
  <si>
    <t>Member List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</si>
  <si>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</si>
  <si>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</si>
  <si>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</si>
  <si>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</si>
  <si>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</si>
  <si>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</si>
  <si>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</si>
  <si>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</si>
  <si>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Wei Cong</t>
  </si>
  <si>
    <t>Hui Min</t>
  </si>
  <si>
    <t>Belle</t>
  </si>
  <si>
    <t>Seet</t>
  </si>
  <si>
    <t>Yiling</t>
  </si>
  <si>
    <t>Boo</t>
  </si>
  <si>
    <t>Lionell</t>
  </si>
  <si>
    <t>Shuttle Purchase</t>
  </si>
  <si>
    <t>Shuttle Cost ($ per Tube)</t>
  </si>
  <si>
    <t>Shuttle Cost ($ per Shuttle)</t>
  </si>
  <si>
    <t>Purchased Date</t>
  </si>
  <si>
    <t>Belle &amp; Boo (No. of Shuttles)</t>
  </si>
  <si>
    <t>Seet &amp; Yiling (No. of Shuttles)</t>
  </si>
  <si>
    <t>Hui Min (No. of Shuttles)</t>
  </si>
  <si>
    <t>Wei Cong (No. of Shuttles)</t>
  </si>
  <si>
    <t>Victor</t>
  </si>
  <si>
    <t>-</t>
  </si>
  <si>
    <t>Felet</t>
  </si>
  <si>
    <t>Supreme (Joo Ching)</t>
  </si>
  <si>
    <t>Ultimate (Mar 2026)</t>
  </si>
  <si>
    <t>Shuttle Count - Ultimate (Sep 2025)</t>
  </si>
  <si>
    <t>No of Shuttles Used for Game</t>
  </si>
  <si>
    <t>Remaing No. of Shuttles</t>
  </si>
  <si>
    <t>Total Number of Remaining Shuttles</t>
  </si>
  <si>
    <t>Belle &amp; Boo</t>
  </si>
  <si>
    <t>Seet &amp; Yiling</t>
  </si>
  <si>
    <t>Shuttle Count - Supreme (Nov 2025)</t>
  </si>
  <si>
    <t>Shuttle Count - Ultimate (Nov 2025)</t>
  </si>
  <si>
    <t>Pub List - Selection</t>
  </si>
  <si>
    <t>Pubs</t>
  </si>
  <si>
    <t>Skill Level</t>
  </si>
  <si>
    <t>Toxicity Level (100 Most Toxic)</t>
  </si>
  <si>
    <t>Description</t>
  </si>
  <si>
    <t>Fish - Jun</t>
  </si>
  <si>
    <t>MB</t>
  </si>
  <si>
    <t>Xuan</t>
  </si>
  <si>
    <t>MI</t>
  </si>
  <si>
    <t>HB - LI</t>
  </si>
  <si>
    <t>Ok!</t>
  </si>
  <si>
    <t>Abit too chatty and competitive</t>
  </si>
  <si>
    <t>Doesnt seem to like to rotate</t>
  </si>
  <si>
    <t>HB</t>
  </si>
  <si>
    <t>Ok person</t>
  </si>
  <si>
    <t>LI</t>
  </si>
  <si>
    <t>Yuuki</t>
  </si>
  <si>
    <t>Nice guy</t>
  </si>
  <si>
    <t>Nice guy, malaysian, introverted</t>
  </si>
  <si>
    <t>Dont really like to play 3guys 1girl)</t>
  </si>
  <si>
    <t>Either dont really know how to play or not good at playing or dont like to play 3 guys 1 girl</t>
  </si>
  <si>
    <t>Chrystal</t>
  </si>
  <si>
    <t>Uncle, soso</t>
  </si>
  <si>
    <t>Better than jadon +1 (yuuki), but his level/playstyle depends on who he playing with</t>
  </si>
  <si>
    <t>HB-</t>
  </si>
  <si>
    <t xml:space="preserve">Cant really play </t>
  </si>
  <si>
    <t>Lady plays well</t>
  </si>
  <si>
    <t>Ahbeng</t>
  </si>
  <si>
    <t>HB HB+</t>
  </si>
  <si>
    <t>Nice chinese-indo, sweat alot but got clean his sweat</t>
  </si>
  <si>
    <t>Ok, friendly</t>
  </si>
  <si>
    <t>CSC/macpherson guy</t>
  </si>
  <si>
    <t>Bad attitude malay/chinese boy</t>
  </si>
  <si>
    <t>Ok, but run abit crazy, up pace of game</t>
  </si>
  <si>
    <t>Pattern more than badminton</t>
  </si>
  <si>
    <t>Good</t>
  </si>
  <si>
    <t>Ok</t>
  </si>
  <si>
    <t>LI above</t>
  </si>
  <si>
    <t>Like male doubles</t>
  </si>
  <si>
    <t>Kevin</t>
  </si>
  <si>
    <t>Mb</t>
  </si>
  <si>
    <t>our member, but she paid for 12 Apr 2026</t>
  </si>
  <si>
    <t>Ok, but cant run much</t>
  </si>
  <si>
    <t>Court List</t>
  </si>
  <si>
    <t>Cereza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</si>
</sst>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.00"/>
    <numFmt numFmtId="165" formatCode="hh:mm"/>
    <numFmt numFmtId="166" formatCode="dd/mm/yyyy"/>
    <numFmt numFmtId="167" formatCode="d\ mmm\ yyyy"/>
  </numFmts>
  <fonts count="8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b/>
      <u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7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7B7B7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/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B7B7B7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B7B7B7"/>
      </left>
      <right style="medium">
        <color rgb="FF000000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/>
      <bottom style="thin">
        <color rgb="FFCCCCCC"/>
      </bottom>
      <diagonal/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  <diagonal/>
    </border>
    <border>
      <left style="thin">
        <color rgb="FFB7B7B7"/>
      </left>
      <right/>
      <top style="thin">
        <color rgb="FFB7B7B7"/>
      </top>
      <bottom style="medium">
        <color rgb="FF000000"/>
      </bottom>
      <diagonal/>
    </border>
    <border>
      <left style="thin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B7B7B7"/>
      </right>
      <top/>
      <bottom style="medium">
        <color rgb="FF000000"/>
      </bottom>
      <diagonal/>
    </border>
    <border>
      <left style="thin">
        <color rgb="FFB7B7B7"/>
      </left>
      <right style="medium">
        <color rgb="FF000000"/>
      </right>
      <top/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medium">
        <color rgb="FF000000"/>
      </bottom>
      <diagonal/>
    </border>
    <border>
      <left style="thin">
        <color rgb="FFB7B7B7"/>
      </left>
      <right/>
      <top/>
      <bottom style="medium">
        <color rgb="FF000000"/>
      </bottom>
      <diagonal/>
    </border>
    <border>
      <left/>
      <right style="thin">
        <color rgb="FFB7B7B7"/>
      </right>
      <top/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999999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999999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000000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7B7B7"/>
      </bottom>
      <diagonal/>
    </border>
    <border>
      <left/>
      <right/>
      <top style="medium">
        <color rgb="FF000000"/>
      </top>
      <bottom style="thin">
        <color rgb="FFB7B7B7"/>
      </bottom>
      <diagonal/>
    </border>
    <border>
      <left/>
      <right style="medium">
        <color rgb="FF000000"/>
      </right>
      <top style="medium">
        <color rgb="FF000000"/>
      </top>
      <bottom style="thin">
        <color rgb="FFB7B7B7"/>
      </bottom>
      <diagonal/>
    </border>
    <border>
      <left style="medium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medium">
        <color rgb="FF000000"/>
      </right>
      <top style="thin">
        <color rgb="FFB7B7B7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  <diagonal/>
    </border>
    <border>
      <left style="thin">
        <color rgb="FFB7B7B7"/>
      </left>
      <right/>
      <top style="medium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  <diagonal/>
    </border>
    <border>
      <left style="thin">
        <color rgb="FFB7B7B7"/>
      </left>
      <right style="medium">
        <color rgb="FF000000"/>
      </right>
      <top style="medium">
        <color rgb="FF000000"/>
      </top>
      <bottom style="thin">
        <color rgb="FFB7B7B7"/>
      </bottom>
      <diagonal/>
    </border>
    <border>
      <left style="thin">
        <color rgb="FFB7B7B7"/>
      </left>
      <right style="medium">
        <color rgb="FF000000"/>
      </right>
      <top style="thin">
        <color rgb="FFB7B7B7"/>
      </top>
      <bottom style="thin">
        <color rgb="FFB7B7B7"/>
      </bottom>
      <diagonal/>
    </border>
    <border>
      <left style="medium">
        <color rgb="FF000000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000000"/>
      </right>
      <top style="thin">
        <color rgb="FFB7B7B7"/>
      </top>
      <bottom style="medium">
        <color rgb="FF000000"/>
      </bottom>
      <diagonal/>
    </border>
    <border>
      <left style="medium">
        <color rgb="FF000000"/>
      </left>
      <right/>
      <top style="thin">
        <color rgb="FFB7B7B7"/>
      </top>
      <bottom style="medium">
        <color rgb="FF000000"/>
      </bottom>
      <diagonal/>
    </border>
    <border>
      <left/>
      <right style="thin">
        <color rgb="FFB7B7B7"/>
      </right>
      <top style="thin">
        <color rgb="FFB7B7B7"/>
      </top>
      <bottom style="medium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14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6" fontId="2" fillId="0" borderId="24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64" fontId="2" fillId="0" borderId="34" xfId="0" applyNumberFormat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4" fillId="0" borderId="25" xfId="0" applyFont="1" applyBorder="1" applyAlignment="1">
      <alignment horizontal="center" wrapText="1"/>
    </xf>
    <xf numFmtId="0" fontId="4" fillId="0" borderId="25" xfId="0" applyFont="1" applyBorder="1" applyAlignment="1">
      <alignment horizontal="center"/>
    </xf>
    <xf numFmtId="14" fontId="2" fillId="0" borderId="25" xfId="0" applyNumberFormat="1" applyFont="1" applyBorder="1" applyAlignment="1">
      <alignment horizont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45" xfId="0" applyFont="1" applyBorder="1" applyAlignment="1">
      <alignment horizontal="center" wrapText="1"/>
    </xf>
    <xf numFmtId="164" fontId="2" fillId="0" borderId="46" xfId="0" applyNumberFormat="1" applyFont="1" applyBorder="1" applyAlignment="1">
      <alignment horizontal="center" wrapText="1"/>
    </xf>
    <xf numFmtId="0" fontId="2" fillId="0" borderId="47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 wrapText="1"/>
    </xf>
    <xf numFmtId="164" fontId="2" fillId="0" borderId="50" xfId="0" applyNumberFormat="1" applyFont="1" applyBorder="1" applyAlignment="1">
      <alignment horizontal="center" wrapText="1"/>
    </xf>
    <xf numFmtId="0" fontId="2" fillId="0" borderId="51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167" fontId="2" fillId="0" borderId="51" xfId="0" applyNumberFormat="1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/>
    <xf numFmtId="0" fontId="2" fillId="0" borderId="53" xfId="0" applyFont="1" applyBorder="1"/>
    <xf numFmtId="0" fontId="2" fillId="0" borderId="54" xfId="0" applyFont="1" applyBorder="1"/>
    <xf numFmtId="0" fontId="2" fillId="0" borderId="55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14" fontId="2" fillId="0" borderId="65" xfId="0" applyNumberFormat="1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19" xfId="0" applyFont="1" applyBorder="1"/>
    <xf numFmtId="0" fontId="2" fillId="0" borderId="17" xfId="0" applyFont="1" applyBorder="1"/>
    <xf numFmtId="0" fontId="2" fillId="0" borderId="68" xfId="0" applyFont="1" applyBorder="1"/>
    <xf numFmtId="0" fontId="2" fillId="0" borderId="69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69" xfId="0" applyFont="1" applyBorder="1"/>
    <xf numFmtId="0" fontId="2" fillId="0" borderId="26" xfId="0" applyFont="1" applyBorder="1"/>
    <xf numFmtId="0" fontId="2" fillId="0" borderId="71" xfId="0" applyFont="1" applyBorder="1" applyAlignment="1">
      <alignment horizontal="center"/>
    </xf>
    <xf numFmtId="14" fontId="2" fillId="3" borderId="24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69" xfId="0" applyFont="1" applyFill="1" applyBorder="1" applyAlignment="1">
      <alignment horizontal="center"/>
    </xf>
    <xf numFmtId="0" fontId="2" fillId="3" borderId="70" xfId="0" applyFont="1" applyFill="1" applyBorder="1" applyAlignment="1">
      <alignment horizontal="center"/>
    </xf>
    <xf numFmtId="0" fontId="2" fillId="3" borderId="69" xfId="0" applyFont="1" applyFill="1" applyBorder="1"/>
    <xf numFmtId="0" fontId="2" fillId="3" borderId="26" xfId="0" applyFont="1" applyFill="1" applyBorder="1"/>
    <xf numFmtId="0" fontId="2" fillId="3" borderId="71" xfId="0" applyFont="1" applyFill="1" applyBorder="1" applyAlignment="1">
      <alignment horizontal="center"/>
    </xf>
    <xf numFmtId="0" fontId="2" fillId="3" borderId="0" xfId="0" applyFont="1" applyFill="1"/>
    <xf numFmtId="0" fontId="2" fillId="0" borderId="72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2" xfId="0" applyFont="1" applyBorder="1"/>
    <xf numFmtId="0" fontId="2" fillId="0" borderId="32" xfId="0" applyFont="1" applyBorder="1"/>
    <xf numFmtId="0" fontId="2" fillId="0" borderId="74" xfId="0" applyFont="1" applyBorder="1" applyAlignment="1">
      <alignment horizontal="center"/>
    </xf>
    <xf numFmtId="0" fontId="4" fillId="0" borderId="25" xfId="0" applyFont="1" applyBorder="1"/>
    <xf numFmtId="0" fontId="2" fillId="0" borderId="25" xfId="0" applyFont="1" applyBorder="1"/>
    <xf numFmtId="0" fontId="6" fillId="0" borderId="25" xfId="0" applyFont="1" applyBorder="1"/>
    <xf numFmtId="0" fontId="2" fillId="0" borderId="25" xfId="0" applyFont="1" applyBorder="1" applyAlignment="1">
      <alignment horizontal="center" wrapText="1"/>
    </xf>
    <xf numFmtId="164" fontId="2" fillId="0" borderId="2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44" xfId="0" applyFont="1" applyBorder="1"/>
    <xf numFmtId="0" fontId="4" fillId="0" borderId="57" xfId="0" applyFont="1" applyBorder="1" applyAlignment="1">
      <alignment horizontal="center"/>
    </xf>
    <xf numFmtId="0" fontId="5" fillId="0" borderId="58" xfId="0" applyFont="1" applyBorder="1"/>
    <xf numFmtId="0" fontId="5" fillId="0" borderId="59" xfId="0" applyFont="1" applyBorder="1"/>
    <xf numFmtId="0" fontId="4" fillId="0" borderId="1" xfId="0" applyFont="1" applyBorder="1" applyAlignment="1">
      <alignment horizontal="center" wrapText="1"/>
    </xf>
    <xf numFmtId="0" fontId="5" fillId="0" borderId="63" xfId="0" applyFont="1" applyBorder="1"/>
    <xf numFmtId="0" fontId="5" fillId="0" borderId="6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7"/>
  <sheetViews>
    <sheetView topLeftCell="A6" zoomScale="70" zoomScaleNormal="70" workbookViewId="0">
      <selection activeCell="A6" sqref="A6"/>
    </sheetView>
  </sheetViews>
  <sheetFormatPr defaultColWidth="12.6328125" defaultRowHeight="15.75" customHeight="1" x14ac:dyDescent="0.25"/>
  <cols>
    <col min="1" max="1" width="210.7265625" bestFit="1" customWidth="1"/>
    <col min="2" max="2" width="59.90625" customWidth="1"/>
  </cols>
  <sheetData>
    <row r="1" spans="1:1" x14ac:dyDescent="0.3">
      <c r="A1" s="1" t="s">
        <v>0</v>
      </c>
    </row>
    <row r="3" spans="1:1" ht="15.75" customHeight="1" x14ac:dyDescent="0.25">
      <c r="A3" s="2" t="str">
        <f ca="1">IF('Profit &amp; Loss'!A6&gt;=TODAY(),"Looking for friendly players to join the following game: " &amp; CHAR(10) &amp; CHAR(10) &amp; "Date: " &amp; TEXT('Profit &amp; Loss'!A6,"dd mmm yyy") &amp; ", " &amp; 'Profit &amp; Loss'!B6 &amp; CHAR(10) &amp; "Time: " &amp; TEXT('Profit &amp; Loss'!C6, "hh:mm AM/PM") &amp; " - " &amp; TEXT('Profit &amp; Loss'!D6, "hh:mm AM/PM") &amp; CHAR(10) &amp; "Venue: " &amp; 'Profit &amp; Loss'!E6 &amp; CHAR(10) &amp; "Level: HB - LI" &amp; CHAR(10) &amp; "Cost: $" &amp; 'Profit &amp; Loss'!O6 &amp; " per pax" &amp; CHAR(10) &amp; "Max " &amp; 'Profit &amp; Loss'!I6*6 &amp; " pax," &amp; " (" &amp; 'Profit &amp; Loss'!I6 &amp; " courts)" &amp; CHAR(10) &amp; CHAR(10) &amp; "RSL Ultimate shuttles provided" &amp; CHAR(10) &amp; CHAR(10) &amp; "PM if interested, thank you!"," ")</f>
        <v xml:space="preserve"> </v>
      </c>
    </row>
    <row r="4" spans="1:1" ht="15.75" customHeight="1" x14ac:dyDescent="0.25">
      <c r="A4" s="2" t="str">
        <f ca="1">IF('Profit &amp; Loss'!A7&gt;=TODAY(),"Looking for friendly players to join the following game: " &amp; CHAR(10) &amp; CHAR(10) &amp; "Date: " &amp; TEXT('Profit &amp; Loss'!A7,"dd mmm yyy") &amp; ", " &amp; 'Profit &amp; Loss'!B7 &amp; CHAR(10) &amp; "Time: " &amp; TEXT('Profit &amp; Loss'!C7, "hh:mm AM/PM") &amp; " - " &amp; TEXT('Profit &amp; Loss'!D7, "hh:mm AM/PM") &amp; CHAR(10) &amp; "Venue: " &amp; 'Profit &amp; Loss'!E7 &amp; CHAR(10) &amp; "Level: HB - LI" &amp; CHAR(10) &amp; "Cost: $" &amp; 'Profit &amp; Loss'!O7 &amp; " per pax" &amp; CHAR(10) &amp; "Max " &amp; 'Profit &amp; Loss'!I7*6 &amp; " pax," &amp; " (" &amp; 'Profit &amp; Loss'!I7 &amp; " courts)" &amp; CHAR(10) &amp; CHAR(10) &amp; "RSL Ultimate shuttles provided" &amp; CHAR(10) &amp; CHAR(10) &amp; "PM if interested, thank you!"," ")</f>
        <v xml:space="preserve"> </v>
      </c>
    </row>
    <row r="5" spans="1:1" ht="15.75" customHeight="1" x14ac:dyDescent="0.25">
      <c r="A5" s="2" t="str">
        <f ca="1">IF('Profit &amp; Loss'!A8&gt;=TODAY(),"Looking for friendly players to join the following game: " &amp; CHAR(10) &amp; CHAR(10) &amp; "Date: " &amp; TEXT('Profit &amp; Loss'!A8,"dd mmm yyy") &amp; ", " &amp; 'Profit &amp; Loss'!B8 &amp; CHAR(10) &amp; "Time: " &amp; TEXT('Profit &amp; Loss'!C8, "hh:mm AM/PM") &amp; " - " &amp; TEXT('Profit &amp; Loss'!D8, "hh:mm AM/PM") &amp; CHAR(10) &amp; "Venue: " &amp; 'Profit &amp; Loss'!E8 &amp; CHAR(10) &amp; "Level: HB - LI" &amp; CHAR(10) &amp; "Cost: $" &amp; 'Profit &amp; Loss'!O8 &amp; " per pax" &amp; CHAR(10) &amp; "Max " &amp; 'Profit &amp; Loss'!I8*6 &amp; " pax," &amp; " (" &amp; 'Profit &amp; Loss'!I8 &amp; " courts)" &amp; CHAR(10) &amp; CHAR(10) &amp; "RSL Ultimate shuttles provided" &amp; CHAR(10) &amp; CHAR(10) &amp; "PM if interested, thank you!"," ")</f>
        <v xml:space="preserve"> </v>
      </c>
    </row>
    <row r="6" spans="1:1" ht="15.75" customHeight="1" x14ac:dyDescent="0.25">
      <c r="A6" s="2" t="str">
        <f ca="1">IF('Profit &amp; Loss'!A9&gt;=TODAY(),"Looking for friendly players to join the following game: " &amp; CHAR(10) &amp; CHAR(10) &amp; "Date: " &amp; TEXT('Profit &amp; Loss'!A9,"dd mmm yyy") &amp; ", " &amp; 'Profit &amp; Loss'!B9 &amp; CHAR(10) &amp; "Time: " &amp; TEXT('Profit &amp; Loss'!C9, "hh:mm AM/PM") &amp; " - " &amp; TEXT('Profit &amp; Loss'!D9, "hh:mm AM/PM") &amp; CHAR(10) &amp; "Venue: " &amp; 'Profit &amp; Loss'!E9 &amp; CHAR(10) &amp; "Level: HB - LI" &amp; CHAR(10) &amp; "Cost: $" &amp; 'Profit &amp; Loss'!O9 &amp; " per pax" &amp; CHAR(10) &amp; "Max " &amp; 'Profit &amp; Loss'!I9*6 &amp; " pax," &amp; " (" &amp; 'Profit &amp; Loss'!I9 &amp; " courts)" &amp; CHAR(10) &amp; CHAR(10) &amp; "RSL Ultimate shuttles provided" &amp; CHAR(10) &amp; CHAR(10) &amp; "PM if interested, thank you!"," ")</f>
        <v xml:space="preserve"> </v>
      </c>
    </row>
    <row r="7" spans="1:1" ht="15.75" customHeight="1" x14ac:dyDescent="0.25">
      <c r="A7" s="2" t="str">
        <f ca="1">IF('Profit &amp; Loss'!A10&gt;=TODAY(),"Looking for friendly players to join the following game: " &amp; CHAR(10) &amp; CHAR(10) &amp; "Date: " &amp; TEXT('Profit &amp; Loss'!A10,"dd mmm yyy") &amp; ", " &amp; 'Profit &amp; Loss'!B10 &amp; CHAR(10) &amp; "Time: " &amp; TEXT('Profit &amp; Loss'!C10, "hh:mm AM/PM") &amp; " - " &amp; TEXT('Profit &amp; Loss'!D10, "hh:mm AM/PM") &amp; CHAR(10) &amp; "Venue: " &amp; 'Profit &amp; Loss'!E10 &amp; CHAR(10) &amp; "Level: HB - LI" &amp; CHAR(10) &amp; "Cost: $" &amp; 'Profit &amp; Loss'!O10 &amp; " per pax" &amp; CHAR(10) &amp; "Max " &amp; 'Profit &amp; Loss'!I10*6 &amp; " pax," &amp; " (" &amp; 'Profit &amp; Loss'!I10 &amp; " courts)" &amp; CHAR(10) &amp; CHAR(10) &amp; "RSL Ultimate shuttles provided" &amp; CHAR(10) &amp; CHAR(10) &amp; "PM if interested, thank you!"," ")</f>
        <v xml:space="preserve"> </v>
      </c>
    </row>
    <row r="8" spans="1:1" ht="15.75" customHeight="1" x14ac:dyDescent="0.25">
      <c r="A8" s="2" t="str">
        <f ca="1">IF('Profit &amp; Loss'!A11&gt;=TODAY(),"Looking for friendly players to join the following game: " &amp; CHAR(10) &amp; CHAR(10) &amp; "Date: " &amp; TEXT('Profit &amp; Loss'!A11,"dd mmm yyy") &amp; ", " &amp; 'Profit &amp; Loss'!B11 &amp; CHAR(10) &amp; "Time: " &amp; TEXT('Profit &amp; Loss'!C11, "hh:mm AM/PM") &amp; " - " &amp; TEXT('Profit &amp; Loss'!D11, "hh:mm AM/PM") &amp; CHAR(10) &amp; "Venue: " &amp; 'Profit &amp; Loss'!E11 &amp; CHAR(10) &amp; "Level: HB - LI" &amp; CHAR(10) &amp; "Cost: $" &amp; 'Profit &amp; Loss'!O11 &amp; " per pax" &amp; CHAR(10) &amp; "Max " &amp; 'Profit &amp; Loss'!I11*6 &amp; " pax," &amp; " (" &amp; 'Profit &amp; Loss'!I11 &amp; " courts)" &amp; CHAR(10) &amp; CHAR(10) &amp; "RSL Ultimate shuttles provided" &amp; CHAR(10) &amp; CHAR(10) &amp; "PM if interested, thank you!"," ")</f>
        <v xml:space="preserve"> </v>
      </c>
    </row>
    <row r="9" spans="1:1" ht="15.75" customHeight="1" x14ac:dyDescent="0.25">
      <c r="A9" s="2" t="str">
        <f ca="1">IF('Profit &amp; Loss'!A12&gt;=TODAY(),"Looking for friendly players to join the following game: " &amp; CHAR(10) &amp; CHAR(10) &amp; "Date: " &amp; TEXT('Profit &amp; Loss'!A12,"dd mmm yyy") &amp; ", " &amp; 'Profit &amp; Loss'!B12 &amp; CHAR(10) &amp; "Time: " &amp; TEXT('Profit &amp; Loss'!C12, "hh:mm AM/PM") &amp; " - " &amp; TEXT('Profit &amp; Loss'!D12, "hh:mm AM/PM") &amp; CHAR(10) &amp; "Venue: " &amp; 'Profit &amp; Loss'!E12 &amp; CHAR(10) &amp; "Level: HB - LI" &amp; CHAR(10) &amp; "Cost: $" &amp; 'Profit &amp; Loss'!O12 &amp; " per pax" &amp; CHAR(10) &amp; "Max " &amp; 'Profit &amp; Loss'!I12*6 &amp; " pax," &amp; " (" &amp; 'Profit &amp; Loss'!I12 &amp; " courts)" &amp; CHAR(10) &amp; CHAR(10) &amp; "RSL Ultimate shuttles provided" &amp; CHAR(10) &amp; CHAR(10) &amp; "PM if interested, thank you!"," ")</f>
        <v xml:space="preserve"> </v>
      </c>
    </row>
    <row r="10" spans="1:1" ht="15.75" customHeight="1" x14ac:dyDescent="0.25">
      <c r="A10" s="2" t="str">
        <f ca="1">IF('Profit &amp; Loss'!A13&gt;=TODAY(),"Looking for friendly players to join the following game: " &amp; CHAR(10) &amp; CHAR(10) &amp; "Date: " &amp; TEXT('Profit &amp; Loss'!A13,"dd mmm yyy") &amp; ", " &amp; 'Profit &amp; Loss'!B13 &amp; CHAR(10) &amp; "Time: " &amp; TEXT('Profit &amp; Loss'!C13, "hh:mm AM/PM") &amp; " - " &amp; TEXT('Profit &amp; Loss'!D13, "hh:mm AM/PM") &amp; CHAR(10) &amp; "Venue: " &amp; 'Profit &amp; Loss'!E13 &amp; CHAR(10) &amp; "Level: HB - LI" &amp; CHAR(10) &amp; "Cost: $" &amp; 'Profit &amp; Loss'!O13 &amp; " per pax" &amp; CHAR(10) &amp; "Max " &amp; 'Profit &amp; Loss'!I13*6 &amp; " pax," &amp; " (" &amp; 'Profit &amp; Loss'!I13 &amp; " courts)" &amp; CHAR(10) &amp; CHAR(10) &amp; "RSL Ultimate shuttles provided" &amp; CHAR(10) &amp; CHAR(10) &amp; "PM if interested, thank you!"," ")</f>
        <v xml:space="preserve"> </v>
      </c>
    </row>
    <row r="11" spans="1:1" ht="15.75" customHeight="1" x14ac:dyDescent="0.25">
      <c r="A11" s="2" t="str">
        <f ca="1">IF('Profit &amp; Loss'!A14&gt;=TODAY(),"Looking for friendly players to join the following game: " &amp; CHAR(10) &amp; CHAR(10) &amp; "Date: " &amp; TEXT('Profit &amp; Loss'!A14,"dd mmm yyy") &amp; ", " &amp; 'Profit &amp; Loss'!B14 &amp; CHAR(10) &amp; "Time: " &amp; TEXT('Profit &amp; Loss'!C14, "hh:mm AM/PM") &amp; " - " &amp; TEXT('Profit &amp; Loss'!D14, "hh:mm AM/PM") &amp; CHAR(10) &amp; "Venue: " &amp; 'Profit &amp; Loss'!E14 &amp; CHAR(10) &amp; "Level: HB - LI" &amp; CHAR(10) &amp; "Cost: $" &amp; 'Profit &amp; Loss'!O14 &amp; " per pax" &amp; CHAR(10) &amp; "Max " &amp; 'Profit &amp; Loss'!I14*6 &amp; " pax," &amp; " (" &amp; 'Profit &amp; Loss'!I14 &amp; " courts)" &amp; CHAR(10) &amp; CHAR(10) &amp; "RSL Ultimate shuttles provided" &amp; CHAR(10) &amp; CHAR(10) &amp; "PM if interested, thank you!"," ")</f>
        <v xml:space="preserve"> </v>
      </c>
    </row>
    <row r="12" spans="1:1" ht="15.75" customHeight="1" x14ac:dyDescent="0.25">
      <c r="A12" s="2" t="str">
        <f ca="1">IF('Profit &amp; Loss'!A15&gt;=TODAY(),"Looking for friendly players to join the following game: " &amp; CHAR(10) &amp; CHAR(10) &amp; "Date: " &amp; TEXT('Profit &amp; Loss'!A15,"dd mmm yyy") &amp; ", " &amp; 'Profit &amp; Loss'!B15 &amp; CHAR(10) &amp; "Time: " &amp; TEXT('Profit &amp; Loss'!C15, "hh:mm AM/PM") &amp; " - " &amp; TEXT('Profit &amp; Loss'!D15, "hh:mm AM/PM") &amp; CHAR(10) &amp; "Venue: " &amp; 'Profit &amp; Loss'!E15 &amp; CHAR(10) &amp; "Level: HB - LI" &amp; CHAR(10) &amp; "Cost: $" &amp; 'Profit &amp; Loss'!O15 &amp; " per pax" &amp; CHAR(10) &amp; "Max " &amp; 'Profit &amp; Loss'!I15*6 &amp; " pax," &amp; " (" &amp; 'Profit &amp; Loss'!I15 &amp; " courts)" &amp; CHAR(10) &amp; CHAR(10) &amp; "RSL Ultimate shuttles provided" &amp; CHAR(10) &amp; CHAR(10) &amp; "PM if interested, thank you!"," ")</f>
        <v xml:space="preserve"> </v>
      </c>
    </row>
    <row r="13" spans="1:1" ht="15.75" customHeight="1" x14ac:dyDescent="0.25">
      <c r="A13" s="2" t="str">
        <f ca="1">IF('Profit &amp; Loss'!A16&gt;=TODAY(),"Looking for friendly players to join the following game: " &amp; CHAR(10) &amp; CHAR(10) &amp; "Date: " &amp; TEXT('Profit &amp; Loss'!A16,"dd mmm yyy") &amp; ", " &amp; 'Profit &amp; Loss'!B16 &amp; CHAR(10) &amp; "Time: " &amp; TEXT('Profit &amp; Loss'!C16, "hh:mm AM/PM") &amp; " - " &amp; TEXT('Profit &amp; Loss'!D16, "hh:mm AM/PM") &amp; CHAR(10) &amp; "Venue: " &amp; 'Profit &amp; Loss'!E16 &amp; CHAR(10) &amp; "Level: HB - LI" &amp; CHAR(10) &amp; "Cost: $" &amp; 'Profit &amp; Loss'!O16 &amp; " per pax" &amp; CHAR(10) &amp; "Max " &amp; 'Profit &amp; Loss'!I16*6 &amp; " pax," &amp; " (" &amp; 'Profit &amp; Loss'!I16 &amp; " courts)" &amp; CHAR(10) &amp; CHAR(10) &amp; "RSL Ultimate shuttles provided" &amp; CHAR(10) &amp; CHAR(10) &amp; "PM if interested, thank you!"," ")</f>
        <v xml:space="preserve"> </v>
      </c>
    </row>
    <row r="14" spans="1:1" ht="15.75" customHeight="1" x14ac:dyDescent="0.25">
      <c r="A14" s="2" t="str">
        <f ca="1">IF('Profit &amp; Loss'!A17&gt;=TODAY(),"Looking for friendly players to join the following game: " &amp; CHAR(10) &amp; CHAR(10) &amp; "Date: " &amp; TEXT('Profit &amp; Loss'!A17,"dd mmm yyy") &amp; ", " &amp; 'Profit &amp; Loss'!B17 &amp; CHAR(10) &amp; "Time: " &amp; TEXT('Profit &amp; Loss'!C17, "hh:mm AM/PM") &amp; " - " &amp; TEXT('Profit &amp; Loss'!D17, "hh:mm AM/PM") &amp; CHAR(10) &amp; "Venue: " &amp; 'Profit &amp; Loss'!E17 &amp; CHAR(10) &amp; "Level: HB - LI" &amp; CHAR(10) &amp; "Cost: $" &amp; 'Profit &amp; Loss'!O17 &amp; " per pax" &amp; CHAR(10) &amp; "Max " &amp; 'Profit &amp; Loss'!I17*6 &amp; " pax," &amp; " (" &amp; 'Profit &amp; Loss'!I17 &amp; " courts)" &amp; CHAR(10) &amp; CHAR(10) &amp; "RSL Ultimate shuttles provided" &amp; CHAR(10) &amp; CHAR(10) &amp; "PM if interested, thank you!"," ")</f>
        <v xml:space="preserve"> </v>
      </c>
    </row>
    <row r="15" spans="1:1" ht="15.75" customHeight="1" x14ac:dyDescent="0.25">
      <c r="A15" s="2" t="str">
        <f ca="1">IF('Profit &amp; Loss'!A19&gt;=TODAY(),"Looking for friendly players to join the following game: " &amp; CHAR(10) &amp; CHAR(10) &amp; "Date: " &amp; TEXT('Profit &amp; Loss'!A19,"dd mmm yyy") &amp; ", " &amp; 'Profit &amp; Loss'!B19 &amp; CHAR(10) &amp; "Time: " &amp; TEXT('Profit &amp; Loss'!C19, "hh:mm AM/PM") &amp; " - " &amp; TEXT('Profit &amp; Loss'!D19, "hh:mm AM/PM") &amp; CHAR(10) &amp; "Venue: " &amp; 'Profit &amp; Loss'!E19 &amp; CHAR(10) &amp; "Level: HB - LI" &amp; CHAR(10) &amp; "Cost: $" &amp; 'Profit &amp; Loss'!O19 &amp; " per pax" &amp; CHAR(10) &amp; "Max " &amp; 'Profit &amp; Loss'!I19*6 &amp; " pax," &amp; " (" &amp; 'Profit &amp; Loss'!I19 &amp; " courts)" &amp; CHAR(10) &amp; CHAR(10) &amp; "RSL Ultimate shuttles provided" &amp; CHAR(10) &amp; CHAR(10) &amp; "PM if interested, thank you!"," ")</f>
        <v xml:space="preserve"> </v>
      </c>
    </row>
    <row r="16" spans="1:1" ht="15.75" customHeight="1" x14ac:dyDescent="0.25">
      <c r="A16" s="2" t="str">
        <f ca="1">IF('Profit &amp; Loss'!A18&gt;=TODAY(),"Looking for friendly players to join the following game: " &amp; CHAR(10) &amp; CHAR(10) &amp; "Date: " &amp; TEXT('Profit &amp; Loss'!A18,"dd mmm yyy") &amp; ", " &amp; 'Profit &amp; Loss'!B18 &amp; CHAR(10) &amp; "Time: " &amp; TEXT('Profit &amp; Loss'!C18, "hh:mm AM/PM") &amp; " - " &amp; TEXT('Profit &amp; Loss'!D18, "hh:mm AM/PM") &amp; CHAR(10) &amp; "Venue: " &amp; 'Profit &amp; Loss'!E18 &amp; CHAR(10) &amp; "Level: HB - LI" &amp; CHAR(10) &amp; "Cost: $" &amp; 'Profit &amp; Loss'!O18 &amp; " per pax" &amp; CHAR(10) &amp; "Max " &amp; 'Profit &amp; Loss'!I18*6 &amp; " pax," &amp; " (" &amp; 'Profit &amp; Loss'!I18 &amp; " courts)" &amp; CHAR(10) &amp; CHAR(10) &amp; "RSL Ultimate shuttles provided" &amp; CHAR(10) &amp; CHAR(10) &amp; "PM if interested, thank you!"," ")</f>
        <v xml:space="preserve"> </v>
      </c>
    </row>
    <row r="17" spans="1:2" ht="15.75" customHeight="1" x14ac:dyDescent="0.25">
      <c r="A17" s="2" t="str">
        <f ca="1">IF('Profit &amp; Loss'!A20&gt;=TODAY(),"Looking for friendly players to join the following game: " &amp; CHAR(10) &amp; CHAR(10) &amp; "Date: " &amp; TEXT('Profit &amp; Loss'!A20,"dd mmm yyy") &amp; ", " &amp; 'Profit &amp; Loss'!B20 &amp; CHAR(10) &amp; "Time: " &amp; TEXT('Profit &amp; Loss'!C20, "hh:mm AM/PM") &amp; " - " &amp; TEXT('Profit &amp; Loss'!D20, "hh:mm AM/PM") &amp; CHAR(10) &amp; "Venue: " &amp; 'Profit &amp; Loss'!E20 &amp; CHAR(10) &amp; "Level: HB - LI" &amp; CHAR(10) &amp; "Cost: $" &amp; 'Profit &amp; Loss'!O20 &amp; " per pax" &amp; CHAR(10) &amp; "Max " &amp; 'Profit &amp; Loss'!I20*6 &amp; " pax," &amp; " (" &amp; 'Profit &amp; Loss'!I20 &amp; " courts)" &amp; CHAR(10) &amp; CHAR(10) &amp; "RSL Ultimate shuttles provided" &amp; CHAR(10) &amp; CHAR(10) &amp; "PM if interested, thank you!"," ")</f>
        <v xml:space="preserve"> </v>
      </c>
      <c r="B17" s="2" t="str">
        <f ca="1">IF('Profit &amp; Loss'!A20&gt;=TODAY(), "Date: " &amp; TEXT('Profit &amp; Loss'!A20,"dd mmm yyy") &amp; ", " &amp; 'Profit &amp; Loss'!B20 &amp; CHAR(10) &amp; "Time: " &amp; TEXT('Profit &amp; Loss'!C20, "hh:mm AM/PM") &amp; " - " &amp; TEXT('Profit &amp; Loss'!D20, "hh:mm AM/PM") &amp; CHAR(10) &amp; "Venue: " &amp; 'Profit &amp; Loss'!E20 &amp; CHAR(10) &amp; "Court No.: " &amp; 'Profit &amp; Loss'!F20 &amp; CHAR(10) &amp; "Level: HB - LI" &amp; CHAR(10) &amp; "Please transfer $" &amp; 'Profit &amp; Loss'!O20 &amp; " per pax to Belle (83396501)" &amp; CHAR(10) &amp; CHAR(10) &amp; IF('Profit &amp; Loss'!I20=1, "1." &amp; CHAR(10) &amp; "2." &amp; CHAR(10) &amp; "3." &amp; CHAR(10) &amp; "4." &amp; CHAR(10) &amp; "5." &amp; CHAR(10) &amp; "6." &amp; CHAR(10), IF('Profit &amp; Loss'!I20=2,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" spans="1:2" ht="15.75" customHeight="1" x14ac:dyDescent="0.25">
      <c r="A18" s="2" t="str">
        <f ca="1">IF('Profit &amp; Loss'!A21&gt;=TODAY(),"Looking for friendly players to join the following game: " &amp; CHAR(10) &amp; CHAR(10) &amp; "Date: " &amp; TEXT('Profit &amp; Loss'!A21,"dd mmm yyy") &amp; ", " &amp; 'Profit &amp; Loss'!B21 &amp; CHAR(10) &amp; "Time: " &amp; TEXT('Profit &amp; Loss'!C21, "hh:mm AM/PM") &amp; " - " &amp; TEXT('Profit &amp; Loss'!D21, "hh:mm AM/PM") &amp; CHAR(10) &amp; "Venue: " &amp; 'Profit &amp; Loss'!E21 &amp; CHAR(10) &amp; "Level: HB - LI" &amp; CHAR(10) &amp; "Cost: $" &amp; 'Profit &amp; Loss'!O21 &amp; " per pax" &amp; CHAR(10) &amp; "Max " &amp; 'Profit &amp; Loss'!I21*6 &amp; " pax," &amp; " (" &amp; 'Profit &amp; Loss'!I21 &amp; " courts)" &amp; CHAR(10) &amp; CHAR(10) &amp; "RSL Ultimate shuttles provided" &amp; CHAR(10) &amp; CHAR(10) &amp; "PM if interested, thank you!"," ")</f>
        <v xml:space="preserve"> </v>
      </c>
      <c r="B18" s="2" t="str">
        <f ca="1">IF('Profit &amp; Loss'!A21&gt;=TODAY(), "Date: " &amp; TEXT('Profit &amp; Loss'!A21,"dd mmm yyy") &amp; ", " &amp; 'Profit &amp; Loss'!B21 &amp; CHAR(10) &amp; "Time: " &amp; TEXT('Profit &amp; Loss'!C21, "hh:mm AM/PM") &amp; " - " &amp; TEXT('Profit &amp; Loss'!D21, "hh:mm AM/PM") &amp; CHAR(10) &amp; "Venue: " &amp; 'Profit &amp; Loss'!E21 &amp; CHAR(10) &amp; "Court No.: " &amp; 'Profit &amp; Loss'!F21 &amp; CHAR(10) &amp; "Level: HB - LI" &amp; CHAR(10) &amp; "Please transfer $" &amp; 'Profit &amp; Loss'!O21 &amp; " per pax to Belle (83396501)" &amp; CHAR(10) &amp; CHAR(10) &amp; IF('Profit &amp; Loss'!I21=1, "1." &amp; CHAR(10) &amp; "2." &amp; CHAR(10) &amp; "3." &amp; CHAR(10) &amp; "4." &amp; CHAR(10) &amp; "5." &amp; CHAR(10) &amp; "6." &amp; CHAR(10), IF('Profit &amp; Loss'!I21=2,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" spans="1:2" ht="15.75" customHeight="1" x14ac:dyDescent="0.25">
      <c r="A19" s="2" t="str">
        <f ca="1">IF('Profit &amp; Loss'!A22&gt;=TODAY(),"Looking for friendly players to join the following game: " &amp; CHAR(10) &amp; CHAR(10) &amp; "Date: " &amp; TEXT('Profit &amp; Loss'!A22,"dd mmm yyy") &amp; ", " &amp; 'Profit &amp; Loss'!B22 &amp; CHAR(10) &amp; "Time: " &amp; TEXT('Profit &amp; Loss'!C22, "hh:mm AM/PM") &amp; " - " &amp; TEXT('Profit &amp; Loss'!D22, "hh:mm AM/PM") &amp; CHAR(10) &amp; "Venue: " &amp; 'Profit &amp; Loss'!E22 &amp; CHAR(10) &amp; "Level: HB - LI" &amp; CHAR(10) &amp; "Cost: $" &amp; 'Profit &amp; Loss'!O22 &amp; " per pax" &amp; CHAR(10) &amp; "Max " &amp; 'Profit &amp; Loss'!I22*6 &amp; " pax," &amp; " (" &amp; 'Profit &amp; Loss'!I22 &amp; " courts)" &amp; CHAR(10) &amp; CHAR(10) &amp; "RSL Ultimate shuttles provided" &amp; CHAR(10) &amp; CHAR(10) &amp; "PM if interested, thank you!"," ")</f>
        <v xml:space="preserve"> </v>
      </c>
      <c r="B19" s="2" t="str">
        <f ca="1">IF('Profit &amp; Loss'!A22&gt;=TODAY(), "Date: " &amp; TEXT('Profit &amp; Loss'!A22,"dd mmm yyy") &amp; ", " &amp; 'Profit &amp; Loss'!B22 &amp; CHAR(10) &amp; "Time: " &amp; TEXT('Profit &amp; Loss'!C22, "hh:mm AM/PM") &amp; " - " &amp; TEXT('Profit &amp; Loss'!D22, "hh:mm AM/PM") &amp; CHAR(10) &amp; "Venue: " &amp; 'Profit &amp; Loss'!E22 &amp; CHAR(10) &amp; "Court No.: " &amp; 'Profit &amp; Loss'!F22 &amp; CHAR(10) &amp; "Level: HB - LI" &amp; CHAR(10) &amp; "Please transfer $" &amp; 'Profit &amp; Loss'!O22 &amp; " per pax to Belle (83396501)" &amp; CHAR(10) &amp; CHAR(10) &amp; IF('Profit &amp; Loss'!I22=1, "1." &amp; CHAR(10) &amp; "2." &amp; CHAR(10) &amp; "3." &amp; CHAR(10) &amp; "4." &amp; CHAR(10) &amp; "5." &amp; CHAR(10) &amp; "6." &amp; CHAR(10), IF('Profit &amp; Loss'!I22=2,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" spans="1:2" ht="15.75" customHeight="1" x14ac:dyDescent="0.25">
      <c r="A20" s="2" t="str">
        <f ca="1">IF('Profit &amp; Loss'!A23&gt;=TODAY(),"Looking for friendly players to join the following game: " &amp; CHAR(10) &amp; CHAR(10) &amp; "Date: " &amp; TEXT('Profit &amp; Loss'!A23,"dd mmm yyy") &amp; ", " &amp; 'Profit &amp; Loss'!B23 &amp; CHAR(10) &amp; "Time: " &amp; TEXT('Profit &amp; Loss'!C23, "hh:mm AM/PM") &amp; " - " &amp; TEXT('Profit &amp; Loss'!D23, "hh:mm AM/PM") &amp; CHAR(10) &amp; "Venue: " &amp; 'Profit &amp; Loss'!E23 &amp; CHAR(10) &amp; "Level: HB - LI" &amp; CHAR(10) &amp; "Cost: $" &amp; 'Profit &amp; Loss'!O23 &amp; " per pax" &amp; CHAR(10) &amp; "Max " &amp; 'Profit &amp; Loss'!I23*6 &amp; " pax," &amp; " (" &amp; 'Profit &amp; Loss'!I23 &amp; " courts)" &amp; CHAR(10) &amp; CHAR(10) &amp; "RSL Ultimate shuttles provided" &amp; CHAR(10) &amp; CHAR(10) &amp; "PM if interested, thank you!"," ")</f>
        <v xml:space="preserve"> </v>
      </c>
      <c r="B20" s="2" t="str">
        <f ca="1">IF('Profit &amp; Loss'!A23&gt;=TODAY(), "Date: " &amp; TEXT('Profit &amp; Loss'!A23,"dd mmm yyy") &amp; ", " &amp; 'Profit &amp; Loss'!B23 &amp; CHAR(10) &amp; "Time: " &amp; TEXT('Profit &amp; Loss'!C23, "hh:mm AM/PM") &amp; " - " &amp; TEXT('Profit &amp; Loss'!D23, "hh:mm AM/PM") &amp; CHAR(10) &amp; "Venue: " &amp; 'Profit &amp; Loss'!E23 &amp; CHAR(10) &amp; "Court No.: " &amp; 'Profit &amp; Loss'!F23 &amp; CHAR(10) &amp; "Level: HB - LI" &amp; CHAR(10) &amp; "Please transfer $" &amp; 'Profit &amp; Loss'!O23 &amp; " per pax to Belle (83396501)" &amp; CHAR(10) &amp; CHAR(10) &amp; IF('Profit &amp; Loss'!I23=1, "1." &amp; CHAR(10) &amp; "2." &amp; CHAR(10) &amp; "3." &amp; CHAR(10) &amp; "4." &amp; CHAR(10) &amp; "5." &amp; CHAR(10) &amp; "6." &amp; CHAR(10), IF('Profit &amp; Loss'!I23=2,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" spans="1:2" ht="15.75" customHeight="1" x14ac:dyDescent="0.25">
      <c r="A21" s="2" t="str">
        <f ca="1">IF('Profit &amp; Loss'!A24&gt;=TODAY(),"Looking for friendly players to join the following game: " &amp; CHAR(10) &amp; CHAR(10) &amp; "Date: " &amp; TEXT('Profit &amp; Loss'!A24,"dd mmm yyy") &amp; ", " &amp; 'Profit &amp; Loss'!B24 &amp; CHAR(10) &amp; "Time: " &amp; TEXT('Profit &amp; Loss'!C24, "hh:mm AM/PM") &amp; " - " &amp; TEXT('Profit &amp; Loss'!D24, "hh:mm AM/PM") &amp; CHAR(10) &amp; "Venue: " &amp; 'Profit &amp; Loss'!E24 &amp; CHAR(10) &amp; "Level: HB - LI" &amp; CHAR(10) &amp; "Cost: $" &amp; 'Profit &amp; Loss'!O24 &amp; " per pax" &amp; CHAR(10) &amp; "Max " &amp; 'Profit &amp; Loss'!I24*6 &amp; " pax," &amp; " (" &amp; 'Profit &amp; Loss'!I24 &amp; " courts)" &amp; CHAR(10) &amp; CHAR(10) &amp; "RSL Ultimate shuttles provided" &amp; CHAR(10) &amp; CHAR(10) &amp; "PM if interested, thank you!"," ")</f>
        <v xml:space="preserve"> </v>
      </c>
      <c r="B21" s="2" t="str">
        <f ca="1">IF('Profit &amp; Loss'!A24&gt;=TODAY(), "Date: " &amp; TEXT('Profit &amp; Loss'!A24,"dd mmm yyy") &amp; ", " &amp; 'Profit &amp; Loss'!B24 &amp; CHAR(10) &amp; "Time: " &amp; TEXT('Profit &amp; Loss'!C24, "hh:mm AM/PM") &amp; " - " &amp; TEXT('Profit &amp; Loss'!D24, "hh:mm AM/PM") &amp; CHAR(10) &amp; "Venue: " &amp; 'Profit &amp; Loss'!E24 &amp; CHAR(10) &amp; "Court No.: " &amp; 'Profit &amp; Loss'!F24 &amp; CHAR(10) &amp; "Level: HB - LI" &amp; CHAR(10) &amp; "Please transfer $" &amp; 'Profit &amp; Loss'!O24 &amp; " per pax to Belle (83396501)" &amp; CHAR(10) &amp; CHAR(10) &amp; IF('Profit &amp; Loss'!I24=1, "1." &amp; CHAR(10) &amp; "2." &amp; CHAR(10) &amp; "3." &amp; CHAR(10) &amp; "4." &amp; CHAR(10) &amp; "5." &amp; CHAR(10) &amp; "6." &amp; CHAR(10), IF('Profit &amp; Loss'!I24=2,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" spans="1:2" ht="15.75" customHeight="1" x14ac:dyDescent="0.25">
      <c r="A22" s="2" t="str">
        <f ca="1">IF('Profit &amp; Loss'!A25&gt;=TODAY(),"Looking for friendly players to join the following game: " &amp; CHAR(10) &amp; CHAR(10) &amp; "Date: " &amp; TEXT('Profit &amp; Loss'!A25,"dd mmm yyy") &amp; ", " &amp; 'Profit &amp; Loss'!B25 &amp; CHAR(10) &amp; "Time: " &amp; TEXT('Profit &amp; Loss'!C25, "hh:mm AM/PM") &amp; " - " &amp; TEXT('Profit &amp; Loss'!D25, "hh:mm AM/PM") &amp; CHAR(10) &amp; "Venue: " &amp; 'Profit &amp; Loss'!E25 &amp; CHAR(10) &amp; "Level: HB - LI" &amp; CHAR(10) &amp; "Cost: $" &amp; 'Profit &amp; Loss'!O25 &amp; " per pax" &amp; CHAR(10) &amp; "Max " &amp; 'Profit &amp; Loss'!I25*6 &amp; " pax," &amp; " (" &amp; 'Profit &amp; Loss'!I25 &amp; " courts)" &amp; CHAR(10) &amp; CHAR(10) &amp; "RSL Ultimate shuttles provided" &amp; CHAR(10) &amp; CHAR(10) &amp; "PM if interested, thank you!"," ")</f>
        <v xml:space="preserve"> </v>
      </c>
      <c r="B22" s="2" t="str">
        <f ca="1">IF('Profit &amp; Loss'!A25&gt;=TODAY(), "Date: " &amp; TEXT('Profit &amp; Loss'!A25,"dd mmm yyy") &amp; ", " &amp; 'Profit &amp; Loss'!B25 &amp; CHAR(10) &amp; "Time: " &amp; TEXT('Profit &amp; Loss'!C25, "hh:mm AM/PM") &amp; " - " &amp; TEXT('Profit &amp; Loss'!D25, "hh:mm AM/PM") &amp; CHAR(10) &amp; "Venue: " &amp; 'Profit &amp; Loss'!E25 &amp; CHAR(10) &amp; "Court No.: " &amp; 'Profit &amp; Loss'!F25 &amp; CHAR(10) &amp; "Level: HB - LI" &amp; CHAR(10) &amp; "Please transfer $" &amp; 'Profit &amp; Loss'!O25 &amp; " per pax to Belle (83396501)" &amp; CHAR(10) &amp; CHAR(10) &amp; IF('Profit &amp; Loss'!I25=1, "1." &amp; CHAR(10) &amp; "2." &amp; CHAR(10) &amp; "3." &amp; CHAR(10) &amp; "4." &amp; CHAR(10) &amp; "5." &amp; CHAR(10) &amp; "6." &amp; CHAR(10), IF('Profit &amp; Loss'!I25=2,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" spans="1:2" ht="15.75" customHeight="1" x14ac:dyDescent="0.25">
      <c r="A23" s="2" t="str">
        <f ca="1">IF('Profit &amp; Loss'!A26&gt;=TODAY(),"Looking for friendly players to join the following game: " &amp; CHAR(10) &amp; CHAR(10) &amp; "Date: " &amp; TEXT('Profit &amp; Loss'!A26,"dd mmm yyy") &amp; ", " &amp; 'Profit &amp; Loss'!B26 &amp; CHAR(10) &amp; "Time: " &amp; TEXT('Profit &amp; Loss'!C26, "hh:mm AM/PM") &amp; " - " &amp; TEXT('Profit &amp; Loss'!D26, "hh:mm AM/PM") &amp; CHAR(10) &amp; "Venue: " &amp; 'Profit &amp; Loss'!E26 &amp; CHAR(10) &amp; "Level: HB - LI" &amp; CHAR(10) &amp; "Cost: $" &amp; 'Profit &amp; Loss'!O26 &amp; " per pax" &amp; CHAR(10) &amp; "Max " &amp; 'Profit &amp; Loss'!I26*6 &amp; " pax," &amp; " (" &amp; 'Profit &amp; Loss'!I26 &amp; " courts)" &amp; CHAR(10) &amp; CHAR(10) &amp; "RSL Ultimate shuttles provided" &amp; CHAR(10) &amp; CHAR(10) &amp; "PM if interested, thank you!"," ")</f>
        <v xml:space="preserve"> </v>
      </c>
      <c r="B23" s="2" t="str">
        <f ca="1">IF('Profit &amp; Loss'!A26&gt;=TODAY(), "Date: " &amp; TEXT('Profit &amp; Loss'!A26,"dd mmm yyy") &amp; ", " &amp; 'Profit &amp; Loss'!B26 &amp; CHAR(10) &amp; "Time: " &amp; TEXT('Profit &amp; Loss'!C26, "hh:mm AM/PM") &amp; " - " &amp; TEXT('Profit &amp; Loss'!D26, "hh:mm AM/PM") &amp; CHAR(10) &amp; "Venue: " &amp; 'Profit &amp; Loss'!E26 &amp; CHAR(10) &amp; "Court No.: " &amp; 'Profit &amp; Loss'!F26 &amp; CHAR(10) &amp; "Level: HB - LI" &amp; CHAR(10) &amp; "Please transfer $" &amp; 'Profit &amp; Loss'!O26 &amp; " per pax to Belle (83396501)" &amp; CHAR(10) &amp; CHAR(10) &amp; IF('Profit &amp; Loss'!I26=1, "1." &amp; CHAR(10) &amp; "2." &amp; CHAR(10) &amp; "3." &amp; CHAR(10) &amp; "4." &amp; CHAR(10) &amp; "5." &amp; CHAR(10) &amp; "6." &amp; CHAR(10), IF('Profit &amp; Loss'!I26=2,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" spans="1:2" ht="15.75" customHeight="1" x14ac:dyDescent="0.25">
      <c r="A24" s="2" t="str">
        <f ca="1">IF('Profit &amp; Loss'!A27&gt;=TODAY(),"Looking for friendly players to join the following game: " &amp; CHAR(10) &amp; CHAR(10) &amp; "Date: " &amp; TEXT('Profit &amp; Loss'!A27,"dd mmm yyy") &amp; ", " &amp; 'Profit &amp; Loss'!B27 &amp; CHAR(10) &amp; "Time: " &amp; TEXT('Profit &amp; Loss'!C27, "hh:mm AM/PM") &amp; " - " &amp; TEXT('Profit &amp; Loss'!D27, "hh:mm AM/PM") &amp; CHAR(10) &amp; "Venue: " &amp; 'Profit &amp; Loss'!E27 &amp; CHAR(10) &amp; "Level: HB - LI" &amp; CHAR(10) &amp; "Cost: $" &amp; 'Profit &amp; Loss'!O27 &amp; " per pax" &amp; CHAR(10) &amp; "Max " &amp; 'Profit &amp; Loss'!I27*6 &amp; " pax," &amp; " (" &amp; 'Profit &amp; Loss'!I27 &amp; " courts)" &amp; CHAR(10) &amp; CHAR(10) &amp; "RSL Ultimate shuttles provided" &amp; CHAR(10) &amp; CHAR(10) &amp; "PM if interested, thank you!"," ")</f>
        <v xml:space="preserve"> </v>
      </c>
      <c r="B24" s="2" t="str">
        <f ca="1">IF('Profit &amp; Loss'!A27&gt;=TODAY(), "Date: " &amp; TEXT('Profit &amp; Loss'!A27,"dd mmm yyy") &amp; ", " &amp; 'Profit &amp; Loss'!B27 &amp; CHAR(10) &amp; "Time: " &amp; TEXT('Profit &amp; Loss'!C27, "hh:mm AM/PM") &amp; " - " &amp; TEXT('Profit &amp; Loss'!D27, "hh:mm AM/PM") &amp; CHAR(10) &amp; "Venue: " &amp; 'Profit &amp; Loss'!E27 &amp; CHAR(10) &amp; "Court No.: " &amp; 'Profit &amp; Loss'!F27 &amp; CHAR(10) &amp; "Level: HB - LI" &amp; CHAR(10) &amp; "Please transfer $" &amp; 'Profit &amp; Loss'!O27 &amp; " per pax to Belle (83396501)" &amp; CHAR(10) &amp; CHAR(10) &amp; IF('Profit &amp; Loss'!I27=1, "1." &amp; CHAR(10) &amp; "2." &amp; CHAR(10) &amp; "3." &amp; CHAR(10) &amp; "4." &amp; CHAR(10) &amp; "5." &amp; CHAR(10) &amp; "6." &amp; CHAR(10), IF('Profit &amp; Loss'!I27=2,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" spans="1:2" ht="15.75" customHeight="1" x14ac:dyDescent="0.25">
      <c r="A25" s="2" t="str">
        <f ca="1">IF('Profit &amp; Loss'!A28&gt;=TODAY(),"Looking for friendly players to join the following game: " &amp; CHAR(10) &amp; CHAR(10) &amp; "Date: " &amp; TEXT('Profit &amp; Loss'!A28,"dd mmm yyy") &amp; ", " &amp; 'Profit &amp; Loss'!B28 &amp; CHAR(10) &amp; "Time: " &amp; TEXT('Profit &amp; Loss'!C28, "hh:mm AM/PM") &amp; " - " &amp; TEXT('Profit &amp; Loss'!D28, "hh:mm AM/PM") &amp; CHAR(10) &amp; "Venue: " &amp; 'Profit &amp; Loss'!E28 &amp; CHAR(10) &amp; "Level: HB - LI" &amp; CHAR(10) &amp; "Cost: $" &amp; 'Profit &amp; Loss'!O28 &amp; " per pax" &amp; CHAR(10) &amp; "Max " &amp; 'Profit &amp; Loss'!I28*6 &amp; " pax," &amp; " (" &amp; 'Profit &amp; Loss'!I28 &amp; " courts)" &amp; CHAR(10) &amp; CHAR(10) &amp; "RSL Ultimate shuttles provided" &amp; CHAR(10) &amp; CHAR(10) &amp; "PM if interested, thank you!"," ")</f>
        <v xml:space="preserve"> </v>
      </c>
      <c r="B25" s="2" t="str">
        <f ca="1">IF('Profit &amp; Loss'!A28&gt;=TODAY(), "Date: " &amp; TEXT('Profit &amp; Loss'!A28,"dd mmm yyy") &amp; ", " &amp; 'Profit &amp; Loss'!B28 &amp; CHAR(10) &amp; "Time: " &amp; TEXT('Profit &amp; Loss'!C28, "hh:mm AM/PM") &amp; " - " &amp; TEXT('Profit &amp; Loss'!D28, "hh:mm AM/PM") &amp; CHAR(10) &amp; "Venue: " &amp; 'Profit &amp; Loss'!E28 &amp; CHAR(10) &amp; "Court No.: " &amp; 'Profit &amp; Loss'!F28 &amp; CHAR(10) &amp; "Level: HB - LI" &amp; CHAR(10) &amp; "Please transfer $" &amp; 'Profit &amp; Loss'!O28 &amp; " per pax to Belle (83396501)" &amp; CHAR(10) &amp; CHAR(10) &amp; IF('Profit &amp; Loss'!I28=1, "1." &amp; CHAR(10) &amp; "2." &amp; CHAR(10) &amp; "3." &amp; CHAR(10) &amp; "4." &amp; CHAR(10) &amp; "5." &amp; CHAR(10) &amp; "6." &amp; CHAR(10), IF('Profit &amp; Loss'!I28=2,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" spans="1:2" ht="15.75" customHeight="1" x14ac:dyDescent="0.25">
      <c r="A26" s="2" t="str">
        <f ca="1">IF('Profit &amp; Loss'!A29&gt;=TODAY(),"Looking for friendly players to join the following game: " &amp; CHAR(10) &amp; CHAR(10) &amp; "Date: " &amp; TEXT('Profit &amp; Loss'!A29,"dd mmm yyy") &amp; ", " &amp; 'Profit &amp; Loss'!B29 &amp; CHAR(10) &amp; "Time: " &amp; TEXT('Profit &amp; Loss'!C29, "hh:mm AM/PM") &amp; " - " &amp; TEXT('Profit &amp; Loss'!D29, "hh:mm AM/PM") &amp; CHAR(10) &amp; "Venue: " &amp; 'Profit &amp; Loss'!E29 &amp; CHAR(10) &amp; "Level: HB - LI" &amp; CHAR(10) &amp; "Cost: $" &amp; 'Profit &amp; Loss'!O29 &amp; " per pax" &amp; CHAR(10) &amp; "Max " &amp; 'Profit &amp; Loss'!I29*6 &amp; " pax," &amp; " (" &amp; 'Profit &amp; Loss'!I29 &amp; " courts)" &amp; CHAR(10) &amp; CHAR(10) &amp; "RSL Ultimate shuttles provided" &amp; CHAR(10) &amp; CHAR(10) &amp; "PM if interested, thank you!"," ")</f>
        <v xml:space="preserve"> </v>
      </c>
      <c r="B26" s="2" t="str">
        <f ca="1">IF('Profit &amp; Loss'!A29&gt;=TODAY(), "Date: " &amp; TEXT('Profit &amp; Loss'!A29,"dd mmm yyy") &amp; ", " &amp; 'Profit &amp; Loss'!B29 &amp; CHAR(10) &amp; "Time: " &amp; TEXT('Profit &amp; Loss'!C29, "hh:mm AM/PM") &amp; " - " &amp; TEXT('Profit &amp; Loss'!D29, "hh:mm AM/PM") &amp; CHAR(10) &amp; "Venue: " &amp; 'Profit &amp; Loss'!E29 &amp; CHAR(10) &amp; "Court No.: " &amp; 'Profit &amp; Loss'!F29 &amp; CHAR(10) &amp; "Level: HB - LI" &amp; CHAR(10) &amp; "Please transfer $" &amp; 'Profit &amp; Loss'!O29 &amp; " per pax to Belle (83396501)" &amp; CHAR(10) &amp; CHAR(10) &amp; IF('Profit &amp; Loss'!I29=1, "1." &amp; CHAR(10) &amp; "2." &amp; CHAR(10) &amp; "3." &amp; CHAR(10) &amp; "4." &amp; CHAR(10) &amp; "5." &amp; CHAR(10) &amp; "6." &amp; CHAR(10), IF('Profit &amp; Loss'!I29=2,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" spans="1:2" ht="15.75" customHeight="1" x14ac:dyDescent="0.25">
      <c r="A27" s="2" t="str">
        <f ca="1">IF('Profit &amp; Loss'!A30&gt;=TODAY(),"Looking for friendly players to join the following game: " &amp; CHAR(10) &amp; CHAR(10) &amp; "Date: " &amp; TEXT('Profit &amp; Loss'!A30,"dd mmm yyy") &amp; ", " &amp; 'Profit &amp; Loss'!B30 &amp; CHAR(10) &amp; "Time: " &amp; TEXT('Profit &amp; Loss'!C30, "hh:mm AM/PM") &amp; " - " &amp; TEXT('Profit &amp; Loss'!D30, "hh:mm AM/PM") &amp; CHAR(10) &amp; "Venue: " &amp; 'Profit &amp; Loss'!E30 &amp; CHAR(10) &amp; "Level: HB - LI" &amp; CHAR(10) &amp; "Cost: $" &amp; 'Profit &amp; Loss'!O30 &amp; " per pax" &amp; CHAR(10) &amp; "Max " &amp; 'Profit &amp; Loss'!I30*6 &amp; " pax," &amp; " (" &amp; 'Profit &amp; Loss'!I30 &amp; " courts)" &amp; CHAR(10) &amp; CHAR(10) &amp; "RSL Ultimate shuttles provided" &amp; CHAR(10) &amp; CHAR(10) &amp; "PM if interested, thank you!"," ")</f>
        <v xml:space="preserve"> </v>
      </c>
      <c r="B27" s="2" t="str">
        <f ca="1">IF('Profit &amp; Loss'!A30&gt;=TODAY(), "Date: " &amp; TEXT('Profit &amp; Loss'!A30,"dd mmm yyy") &amp; ", " &amp; 'Profit &amp; Loss'!B30 &amp; CHAR(10) &amp; "Time: " &amp; TEXT('Profit &amp; Loss'!C30, "hh:mm AM/PM") &amp; " - " &amp; TEXT('Profit &amp; Loss'!D30, "hh:mm AM/PM") &amp; CHAR(10) &amp; "Venue: " &amp; 'Profit &amp; Loss'!E30 &amp; CHAR(10) &amp; "Court No.: " &amp; 'Profit &amp; Loss'!F30 &amp; CHAR(10) &amp; "Level: HB - LI" &amp; CHAR(10) &amp; "Please transfer $" &amp; 'Profit &amp; Loss'!O30 &amp; " per pax to Belle (83396501)" &amp; CHAR(10) &amp; CHAR(10) &amp; IF('Profit &amp; Loss'!I30=1, "1." &amp; CHAR(10) &amp; "2." &amp; CHAR(10) &amp; "3." &amp; CHAR(10) &amp; "4." &amp; CHAR(10) &amp; "5." &amp; CHAR(10) &amp; "6." &amp; CHAR(10), IF('Profit &amp; Loss'!I30=2,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" spans="1:2" ht="12.5" x14ac:dyDescent="0.25">
      <c r="A28" s="2" t="str">
        <f ca="1">IF('Profit &amp; Loss'!A31&gt;=TODAY(),"Looking for friendly players to join the following game: " &amp; CHAR(10) &amp; CHAR(10) &amp; "Date: " &amp; TEXT('Profit &amp; Loss'!A31,"dd mmm yyy") &amp; ", " &amp; 'Profit &amp; Loss'!B31 &amp; CHAR(10) &amp; "Time: " &amp; TEXT('Profit &amp; Loss'!C31, "hh:mm AM/PM") &amp; " - " &amp; TEXT('Profit &amp; Loss'!D31, "hh:mm AM/PM") &amp; CHAR(10) &amp; "Venue: " &amp; 'Profit &amp; Loss'!E31 &amp; CHAR(10) &amp; "Level: HB - LI" &amp; CHAR(10) &amp; "Cost: $" &amp; 'Profit &amp; Loss'!O31 &amp; " per pax" &amp; CHAR(10) &amp; "Max " &amp; 'Profit &amp; Loss'!I31*6 &amp; " pax," &amp; " (" &amp; 'Profit &amp; Loss'!I31 &amp; " courts)" &amp; CHAR(10) &amp; CHAR(10) &amp; "RSL Ultimate shuttles provided" &amp; CHAR(10) &amp; CHAR(10) &amp; "PM if interested, thank you!"," ")</f>
        <v xml:space="preserve"> </v>
      </c>
      <c r="B28" s="2" t="str">
        <f ca="1">IF('Profit &amp; Loss'!A31&gt;=TODAY(), "Date: " &amp; TEXT('Profit &amp; Loss'!A31,"dd mmm yyy") &amp; ", " &amp; 'Profit &amp; Loss'!B31 &amp; CHAR(10) &amp; "Time: " &amp; TEXT('Profit &amp; Loss'!C31, "hh:mm AM/PM") &amp; " - " &amp; TEXT('Profit &amp; Loss'!D31, "hh:mm AM/PM") &amp; CHAR(10) &amp; "Venue: " &amp; 'Profit &amp; Loss'!E31 &amp; CHAR(10) &amp; "Court No.: " &amp; 'Profit &amp; Loss'!F31 &amp; CHAR(10) &amp; "Level: HB - LI" &amp; CHAR(10) &amp; "Please transfer $" &amp; 'Profit &amp; Loss'!O31 &amp; " per pax to Belle (83396501)" &amp; CHAR(10) &amp; CHAR(10) &amp; IF('Profit &amp; Loss'!I31=1, "1." &amp; CHAR(10) &amp; "2." &amp; CHAR(10) &amp; "3." &amp; CHAR(10) &amp; "4." &amp; CHAR(10) &amp; "5." &amp; CHAR(10) &amp; "6." &amp; CHAR(10), IF('Profit &amp; Loss'!I31=2,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" spans="1:2" ht="12.5" x14ac:dyDescent="0.25">
      <c r="A29" s="2" t="str">
        <f ca="1">IF('Profit &amp; Loss'!A32&gt;=TODAY(),"Looking for friendly players to join the following game: " &amp; CHAR(10) &amp; CHAR(10) &amp; "Date: " &amp; TEXT('Profit &amp; Loss'!A32,"dd mmm yyy") &amp; ", " &amp; 'Profit &amp; Loss'!B32 &amp; CHAR(10) &amp; "Time: " &amp; TEXT('Profit &amp; Loss'!C32, "hh:mm AM/PM") &amp; " - " &amp; TEXT('Profit &amp; Loss'!D32, "hh:mm AM/PM") &amp; CHAR(10) &amp; "Venue: " &amp; 'Profit &amp; Loss'!E32 &amp; CHAR(10) &amp; "Level: HB - LI" &amp; CHAR(10) &amp; "Cost: $" &amp; 'Profit &amp; Loss'!O32 &amp; " per pax" &amp; CHAR(10) &amp; "Max " &amp; 'Profit &amp; Loss'!I32*6 &amp; " pax," &amp; " (" &amp; 'Profit &amp; Loss'!I32 &amp; " courts)" &amp; CHAR(10) &amp; CHAR(10) &amp; "RSL Ultimate shuttles provided" &amp; CHAR(10) &amp; CHAR(10) &amp; "PM if interested, thank you!"," ")</f>
        <v xml:space="preserve"> </v>
      </c>
      <c r="B29" s="2" t="str">
        <f ca="1">IF('Profit &amp; Loss'!A32&gt;=TODAY(), "Date: " &amp; TEXT('Profit &amp; Loss'!A32,"dd mmm yyy") &amp; ", " &amp; 'Profit &amp; Loss'!B32 &amp; CHAR(10) &amp; "Time: " &amp; TEXT('Profit &amp; Loss'!C32, "hh:mm AM/PM") &amp; " - " &amp; TEXT('Profit &amp; Loss'!D32, "hh:mm AM/PM") &amp; CHAR(10) &amp; "Venue: " &amp; 'Profit &amp; Loss'!E32 &amp; CHAR(10) &amp; "Court No.: " &amp; 'Profit &amp; Loss'!F32 &amp; CHAR(10) &amp; "Level: HB - LI" &amp; CHAR(10) &amp; "Please transfer $" &amp; 'Profit &amp; Loss'!O32 &amp; " per pax to Belle (83396501)" &amp; CHAR(10) &amp; CHAR(10) &amp; IF('Profit &amp; Loss'!I32=1, "1." &amp; CHAR(10) &amp; "2." &amp; CHAR(10) &amp; "3." &amp; CHAR(10) &amp; "4." &amp; CHAR(10) &amp; "5." &amp; CHAR(10) &amp; "6." &amp; CHAR(10), IF('Profit &amp; Loss'!I32=2,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" spans="1:2" ht="12.5" x14ac:dyDescent="0.25">
      <c r="A30" s="2" t="str">
        <f ca="1">IF('Profit &amp; Loss'!A33&gt;=TODAY(),"Looking for friendly players to join the following game: " &amp; CHAR(10) &amp; CHAR(10) &amp; "Date: " &amp; TEXT('Profit &amp; Loss'!A33,"dd mmm yyy") &amp; ", " &amp; 'Profit &amp; Loss'!B33 &amp; CHAR(10) &amp; "Time: " &amp; TEXT('Profit &amp; Loss'!C33, "hh:mm AM/PM") &amp; " - " &amp; TEXT('Profit &amp; Loss'!D33, "hh:mm AM/PM") &amp; CHAR(10) &amp; "Venue: " &amp; 'Profit &amp; Loss'!E33 &amp; CHAR(10) &amp; "Level: HB - LI" &amp; CHAR(10) &amp; "Cost: $" &amp; 'Profit &amp; Loss'!O33 &amp; " per pax" &amp; CHAR(10) &amp; "Max " &amp; 'Profit &amp; Loss'!I33*6 &amp; " pax," &amp; " (" &amp; 'Profit &amp; Loss'!I33 &amp; " courts)" &amp; CHAR(10) &amp; CHAR(10) &amp; "RSL Ultimate shuttles provided" &amp; CHAR(10) &amp; CHAR(10) &amp; "PM if interested, thank you!"," ")</f>
        <v xml:space="preserve"> </v>
      </c>
      <c r="B30" s="2" t="str">
        <f ca="1">IF('Profit &amp; Loss'!A33&gt;=TODAY(), "Date: " &amp; TEXT('Profit &amp; Loss'!A33,"dd mmm yyy") &amp; ", " &amp; 'Profit &amp; Loss'!B33 &amp; CHAR(10) &amp; "Time: " &amp; TEXT('Profit &amp; Loss'!C33, "hh:mm AM/PM") &amp; " - " &amp; TEXT('Profit &amp; Loss'!D33, "hh:mm AM/PM") &amp; CHAR(10) &amp; "Venue: " &amp; 'Profit &amp; Loss'!E33 &amp; CHAR(10) &amp; "Court No.: " &amp; 'Profit &amp; Loss'!F33 &amp; CHAR(10) &amp; "Level: HB - LI" &amp; CHAR(10) &amp; "Please transfer $" &amp; 'Profit &amp; Loss'!O33 &amp; " per pax to Belle (83396501)" &amp; CHAR(10) &amp; CHAR(10) &amp; IF('Profit &amp; Loss'!I33=1, "1." &amp; CHAR(10) &amp; "2." &amp; CHAR(10) &amp; "3." &amp; CHAR(10) &amp; "4." &amp; CHAR(10) &amp; "5." &amp; CHAR(10) &amp; "6." &amp; CHAR(10), IF('Profit &amp; Loss'!I33=2,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" spans="1:2" ht="12.5" x14ac:dyDescent="0.25">
      <c r="A31" s="2" t="str">
        <f ca="1">IF('Profit &amp; Loss'!A34&gt;=TODAY(),"Looking for friendly players to join the following game: " &amp; CHAR(10) &amp; CHAR(10) &amp; "Date: " &amp; TEXT('Profit &amp; Loss'!A34,"dd mmm yyy") &amp; ", " &amp; 'Profit &amp; Loss'!B34 &amp; CHAR(10) &amp; "Time: " &amp; TEXT('Profit &amp; Loss'!C34, "hh:mm AM/PM") &amp; " - " &amp; TEXT('Profit &amp; Loss'!D34, "hh:mm AM/PM") &amp; CHAR(10) &amp; "Venue: " &amp; 'Profit &amp; Loss'!E34 &amp; CHAR(10) &amp; "Level: HB - LI" &amp; CHAR(10) &amp; "Cost: $" &amp; 'Profit &amp; Loss'!O34 &amp; " per pax" &amp; CHAR(10) &amp; "Max " &amp; 'Profit &amp; Loss'!I34*6 &amp; " pax," &amp; " (" &amp; 'Profit &amp; Loss'!I34 &amp; " courts)" &amp; CHAR(10) &amp; CHAR(10) &amp; "RSL Ultimate shuttles provided" &amp; CHAR(10) &amp; CHAR(10) &amp; "PM if interested, thank you!"," ")</f>
        <v xml:space="preserve"> </v>
      </c>
      <c r="B31" s="2" t="str">
        <f ca="1">IF('Profit &amp; Loss'!A34&gt;=TODAY(), "Date: " &amp; TEXT('Profit &amp; Loss'!A34,"dd mmm yyy") &amp; ", " &amp; 'Profit &amp; Loss'!B34 &amp; CHAR(10) &amp; "Time: " &amp; TEXT('Profit &amp; Loss'!C34, "hh:mm AM/PM") &amp; " - " &amp; TEXT('Profit &amp; Loss'!D34, "hh:mm AM/PM") &amp; CHAR(10) &amp; "Venue: " &amp; 'Profit &amp; Loss'!E34 &amp; CHAR(10) &amp; "Court No.: " &amp; 'Profit &amp; Loss'!F34 &amp; CHAR(10) &amp; "Level: HB - LI" &amp; CHAR(10) &amp; "Please transfer $" &amp; 'Profit &amp; Loss'!O34 &amp; " per pax to Belle (83396501)" &amp; CHAR(10) &amp; CHAR(10) &amp; IF('Profit &amp; Loss'!I34=1, "1." &amp; CHAR(10) &amp; "2." &amp; CHAR(10) &amp; "3." &amp; CHAR(10) &amp; "4." &amp; CHAR(10) &amp; "5." &amp; CHAR(10) &amp; "6." &amp; CHAR(10), IF('Profit &amp; Loss'!I34=2,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" spans="1:2" ht="12.5" x14ac:dyDescent="0.25">
      <c r="A32" s="2" t="str">
        <f ca="1">IF('Profit &amp; Loss'!A35&gt;=TODAY(),"Looking for friendly players to join the following game: " &amp; CHAR(10) &amp; CHAR(10) &amp; "Date: " &amp; TEXT('Profit &amp; Loss'!A35,"dd mmm yyy") &amp; ", " &amp; 'Profit &amp; Loss'!B35 &amp; CHAR(10) &amp; "Time: " &amp; TEXT('Profit &amp; Loss'!C35, "hh:mm AM/PM") &amp; " - " &amp; TEXT('Profit &amp; Loss'!D35, "hh:mm AM/PM") &amp; CHAR(10) &amp; "Venue: " &amp; 'Profit &amp; Loss'!E35 &amp; CHAR(10) &amp; "Level: HB - LI" &amp; CHAR(10) &amp; "Cost: $" &amp; 'Profit &amp; Loss'!O35 &amp; " per pax" &amp; CHAR(10) &amp; "Max " &amp; 'Profit &amp; Loss'!I35*6 &amp; " pax," &amp; " (" &amp; 'Profit &amp; Loss'!I35 &amp; " courts)" &amp; CHAR(10) &amp; CHAR(10) &amp; "RSL Ultimate shuttles provided" &amp; CHAR(10) &amp; CHAR(10) &amp; "PM if interested, thank you!"," ")</f>
        <v xml:space="preserve"> </v>
      </c>
      <c r="B32" s="2" t="str">
        <f ca="1">IF('Profit &amp; Loss'!A35&gt;=TODAY(), "Date: " &amp; TEXT('Profit &amp; Loss'!A35,"dd mmm yyy") &amp; ", " &amp; 'Profit &amp; Loss'!B35 &amp; CHAR(10) &amp; "Time: " &amp; TEXT('Profit &amp; Loss'!C35, "hh:mm AM/PM") &amp; " - " &amp; TEXT('Profit &amp; Loss'!D35, "hh:mm AM/PM") &amp; CHAR(10) &amp; "Venue: " &amp; 'Profit &amp; Loss'!E35 &amp; CHAR(10) &amp; "Court No.: " &amp; 'Profit &amp; Loss'!F35 &amp; CHAR(10) &amp; "Level: HB - LI" &amp; CHAR(10) &amp; "Please transfer $" &amp; 'Profit &amp; Loss'!O35 &amp; " per pax to Belle (83396501)" &amp; CHAR(10) &amp; CHAR(10) &amp; IF('Profit &amp; Loss'!I35=1, "1." &amp; CHAR(10) &amp; "2." &amp; CHAR(10) &amp; "3." &amp; CHAR(10) &amp; "4." &amp; CHAR(10) &amp; "5." &amp; CHAR(10) &amp; "6." &amp; CHAR(10), IF('Profit &amp; Loss'!I35=2,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" spans="1:2" ht="12.5" x14ac:dyDescent="0.25">
      <c r="A33" s="2" t="str">
        <f ca="1">IF('Profit &amp; Loss'!A37&gt;=TODAY(),"Looking for friendly players to join the following game: " &amp; CHAR(10) &amp; CHAR(10) &amp; "Date: " &amp; TEXT('Profit &amp; Loss'!A37,"dd mmm yyy") &amp; ", " &amp; 'Profit &amp; Loss'!B37 &amp; CHAR(10) &amp; "Time: " &amp; TEXT('Profit &amp; Loss'!C37, "hh:mm AM/PM") &amp; " - " &amp; TEXT('Profit &amp; Loss'!D37, "hh:mm AM/PM") &amp; CHAR(10) &amp; "Venue: " &amp; 'Profit &amp; Loss'!E37 &amp; CHAR(10) &amp; "Level: HB - LI" &amp; CHAR(10) &amp; "Cost: $" &amp; 'Profit &amp; Loss'!O37 &amp; " per pax" &amp; CHAR(10) &amp; "Max " &amp; 'Profit &amp; Loss'!I37*6 &amp; " pax," &amp; " (" &amp; 'Profit &amp; Loss'!I37 &amp; " courts)" &amp; CHAR(10) &amp; CHAR(10) &amp; "RSL Ultimate shuttles provided" &amp; CHAR(10) &amp; CHAR(10) &amp; "PM if interested, thank you!"," ")</f>
        <v xml:space="preserve"> </v>
      </c>
      <c r="B33" s="2" t="str">
        <f ca="1">IF('Profit &amp; Loss'!A37&gt;=TODAY(), "Date: " &amp; TEXT('Profit &amp; Loss'!A37,"dd mmm yyy") &amp; ", " &amp; 'Profit &amp; Loss'!B37 &amp; CHAR(10) &amp; "Time: " &amp; TEXT('Profit &amp; Loss'!C37, "hh:mm AM/PM") &amp; " - " &amp; TEXT('Profit &amp; Loss'!D37, "hh:mm AM/PM") &amp; CHAR(10) &amp; "Venue: " &amp; 'Profit &amp; Loss'!E37 &amp; CHAR(10) &amp; "Court No.: " &amp; 'Profit &amp; Loss'!F37 &amp; CHAR(10) &amp; "Level: HB - LI" &amp; CHAR(10) &amp; "Please transfer $" &amp; 'Profit &amp; Loss'!O37 &amp; " per pax to Belle (83396501)" &amp; CHAR(10) &amp; CHAR(10) &amp; IF('Profit &amp; Loss'!I37=1, "1." &amp; CHAR(10) &amp; "2." &amp; CHAR(10) &amp; "3." &amp; CHAR(10) &amp; "4." &amp; CHAR(10) &amp; "5." &amp; CHAR(10) &amp; "6." &amp; CHAR(10), IF('Profit &amp; Loss'!I37=2,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" spans="1:2" ht="12.5" x14ac:dyDescent="0.25">
      <c r="A34" s="2" t="str">
        <f ca="1">IF('Profit &amp; Loss'!A36&gt;=TODAY(),"Looking for friendly players to join the following game: " &amp; CHAR(10) &amp; CHAR(10) &amp; "Date: " &amp; TEXT('Profit &amp; Loss'!A36,"dd mmm yyy") &amp; ", " &amp; 'Profit &amp; Loss'!B36 &amp; CHAR(10) &amp; "Time: " &amp; TEXT('Profit &amp; Loss'!C36, "hh:mm AM/PM") &amp; " - " &amp; TEXT('Profit &amp; Loss'!D36, "hh:mm AM/PM") &amp; CHAR(10) &amp; "Venue: " &amp; 'Profit &amp; Loss'!E36 &amp; CHAR(10) &amp; "Level: HB - LI" &amp; CHAR(10) &amp; "Cost: $" &amp; 'Profit &amp; Loss'!O36 &amp; " per pax" &amp; CHAR(10) &amp; "Max " &amp; 'Profit &amp; Loss'!I36*6 &amp; " pax," &amp; " (" &amp; 'Profit &amp; Loss'!I36 &amp; " courts)" &amp; CHAR(10) &amp; CHAR(10) &amp; "RSL Ultimate shuttles provided" &amp; CHAR(10) &amp; CHAR(10) &amp; "PM if interested, thank you!"," ")</f>
        <v xml:space="preserve"> </v>
      </c>
      <c r="B34" s="2" t="str">
        <f ca="1">IF('Profit &amp; Loss'!A36&gt;=TODAY(), "Date: " &amp; TEXT('Profit &amp; Loss'!A36,"dd mmm yyy") &amp; ", " &amp; 'Profit &amp; Loss'!B36 &amp; CHAR(10) &amp; "Time: " &amp; TEXT('Profit &amp; Loss'!C36, "hh:mm AM/PM") &amp; " - " &amp; TEXT('Profit &amp; Loss'!D36, "hh:mm AM/PM") &amp; CHAR(10) &amp; "Venue: " &amp; 'Profit &amp; Loss'!E36 &amp; CHAR(10) &amp; "Court No.: " &amp; 'Profit &amp; Loss'!F36 &amp; CHAR(10) &amp; "Level: HB - LI" &amp; CHAR(10) &amp; "Please transfer $" &amp; 'Profit &amp; Loss'!O36 &amp; " per pax to Belle (83396501)" &amp; CHAR(10) &amp; CHAR(10) &amp; IF('Profit &amp; Loss'!I36=1, "1." &amp; CHAR(10) &amp; "2." &amp; CHAR(10) &amp; "3." &amp; CHAR(10) &amp; "4." &amp; CHAR(10) &amp; "5." &amp; CHAR(10) &amp; "6." &amp; CHAR(10), IF('Profit &amp; Loss'!I36=2,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" spans="1:2" ht="12.5" x14ac:dyDescent="0.25">
      <c r="A35" s="2" t="str">
        <f ca="1">IF('Profit &amp; Loss'!A38&gt;=TODAY(),"Looking for friendly players to join the following game: " &amp; CHAR(10) &amp; CHAR(10) &amp; "Date: " &amp; TEXT('Profit &amp; Loss'!A38,"dd mmm yyy") &amp; ", " &amp; 'Profit &amp; Loss'!B38 &amp; CHAR(10) &amp; "Time: " &amp; TEXT('Profit &amp; Loss'!C38, "hh:mm AM/PM") &amp; " - " &amp; TEXT('Profit &amp; Loss'!D38, "hh:mm AM/PM") &amp; CHAR(10) &amp; "Venue: " &amp; 'Profit &amp; Loss'!E38 &amp; CHAR(10) &amp; "Level: HB - LI" &amp; CHAR(10) &amp; "Cost: $" &amp; 'Profit &amp; Loss'!O38 &amp; " per pax" &amp; CHAR(10) &amp; "Max " &amp; 'Profit &amp; Loss'!I38*6 &amp; " pax," &amp; " (" &amp; 'Profit &amp; Loss'!I38 &amp; " courts)" &amp; CHAR(10) &amp; CHAR(10) &amp; "RSL Ultimate shuttles provided" &amp; CHAR(10) &amp; CHAR(10) &amp; "PM if interested, thank you!"," ")</f>
        <v xml:space="preserve"> </v>
      </c>
      <c r="B35" s="2" t="str">
        <f ca="1">IF('Profit &amp; Loss'!A38&gt;=TODAY(), "Date: " &amp; TEXT('Profit &amp; Loss'!A38,"dd mmm yyy") &amp; ", " &amp; 'Profit &amp; Loss'!B38 &amp; CHAR(10) &amp; "Time: " &amp; TEXT('Profit &amp; Loss'!C38, "hh:mm AM/PM") &amp; " - " &amp; TEXT('Profit &amp; Loss'!D38, "hh:mm AM/PM") &amp; CHAR(10) &amp; "Venue: " &amp; 'Profit &amp; Loss'!E38 &amp; CHAR(10) &amp; "Court No.: " &amp; 'Profit &amp; Loss'!F38 &amp; CHAR(10) &amp; "Level: HB - LI" &amp; CHAR(10) &amp; "Please transfer $" &amp; 'Profit &amp; Loss'!O38 &amp; " per pax to Belle (83396501)" &amp; CHAR(10) &amp; CHAR(10) &amp; IF('Profit &amp; Loss'!I38=1, "1." &amp; CHAR(10) &amp; "2." &amp; CHAR(10) &amp; "3." &amp; CHAR(10) &amp; "4." &amp; CHAR(10) &amp; "5." &amp; CHAR(10) &amp; "6." &amp; CHAR(10), IF('Profit &amp; Loss'!I38=2,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" spans="1:2" ht="12.5" x14ac:dyDescent="0.25">
      <c r="A36" s="2" t="str">
        <f ca="1">IF('Profit &amp; Loss'!A39&gt;=TODAY(),"Looking for friendly players to join the following game: " &amp; CHAR(10) &amp; CHAR(10) &amp; "Date: " &amp; TEXT('Profit &amp; Loss'!A39,"dd mmm yyy") &amp; ", " &amp; 'Profit &amp; Loss'!B39 &amp; CHAR(10) &amp; "Time: " &amp; TEXT('Profit &amp; Loss'!C39, "hh:mm AM/PM") &amp; " - " &amp; TEXT('Profit &amp; Loss'!D39, "hh:mm AM/PM") &amp; CHAR(10) &amp; "Venue: " &amp; 'Profit &amp; Loss'!E39 &amp; CHAR(10) &amp; "Level: HB - LI" &amp; CHAR(10) &amp; "Cost: $" &amp; 'Profit &amp; Loss'!O39 &amp; " per pax" &amp; CHAR(10) &amp; "Max " &amp; 'Profit &amp; Loss'!I39*6 &amp; " pax," &amp; " (" &amp; 'Profit &amp; Loss'!I39 &amp; " courts)" &amp; CHAR(10) &amp; CHAR(10) &amp; "RSL Ultimate shuttles provided" &amp; CHAR(10) &amp; CHAR(10) &amp; "PM if interested, thank you!"," ")</f>
        <v xml:space="preserve"> </v>
      </c>
      <c r="B36" s="2" t="str">
        <f ca="1">IF('Profit &amp; Loss'!A39&gt;=TODAY(), "Date: " &amp; TEXT('Profit &amp; Loss'!A39,"dd mmm yyy") &amp; ", " &amp; 'Profit &amp; Loss'!B39 &amp; CHAR(10) &amp; "Time: " &amp; TEXT('Profit &amp; Loss'!C39, "hh:mm AM/PM") &amp; " - " &amp; TEXT('Profit &amp; Loss'!D39, "hh:mm AM/PM") &amp; CHAR(10) &amp; "Venue: " &amp; 'Profit &amp; Loss'!E39 &amp; CHAR(10) &amp; "Court No.: " &amp; 'Profit &amp; Loss'!F39 &amp; CHAR(10) &amp; "Level: HB - LI" &amp; CHAR(10) &amp; "Please transfer $" &amp; 'Profit &amp; Loss'!O39 &amp; " per pax to Belle (83396501)" &amp; CHAR(10) &amp; CHAR(10) &amp; IF('Profit &amp; Loss'!I39=1, "1." &amp; CHAR(10) &amp; "2." &amp; CHAR(10) &amp; "3." &amp; CHAR(10) &amp; "4." &amp; CHAR(10) &amp; "5." &amp; CHAR(10) &amp; "6." &amp; CHAR(10), IF('Profit &amp; Loss'!I39=2,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" spans="1:2" ht="12.5" x14ac:dyDescent="0.25">
      <c r="A37" s="2" t="str">
        <f ca="1">IF('Profit &amp; Loss'!A40&gt;=TODAY(),"Looking for friendly players to join the following game: " &amp; CHAR(10) &amp; CHAR(10) &amp; "Date: " &amp; TEXT('Profit &amp; Loss'!A40,"dd mmm yyy") &amp; ", " &amp; 'Profit &amp; Loss'!B40 &amp; CHAR(10) &amp; "Time: " &amp; TEXT('Profit &amp; Loss'!C40, "hh:mm AM/PM") &amp; " - " &amp; TEXT('Profit &amp; Loss'!D40, "hh:mm AM/PM") &amp; CHAR(10) &amp; "Venue: " &amp; 'Profit &amp; Loss'!E40 &amp; CHAR(10) &amp; "Level: HB - LI" &amp; CHAR(10) &amp; "Cost: $" &amp; 'Profit &amp; Loss'!O40 &amp; " per pax" &amp; CHAR(10) &amp; "Max " &amp; 'Profit &amp; Loss'!I40*6 &amp; " pax," &amp; " (" &amp; 'Profit &amp; Loss'!I40 &amp; " courts)" &amp; CHAR(10) &amp; CHAR(10) &amp; "RSL Ultimate shuttles provided" &amp; CHAR(10) &amp; CHAR(10) &amp; "PM if interested, thank you!"," ")</f>
        <v xml:space="preserve"> </v>
      </c>
      <c r="B37" s="2" t="str">
        <f ca="1">IF('Profit &amp; Loss'!A40&gt;=TODAY(), "Date: " &amp; TEXT('Profit &amp; Loss'!A40,"dd mmm yyy") &amp; ", " &amp; 'Profit &amp; Loss'!B40 &amp; CHAR(10) &amp; "Time: " &amp; TEXT('Profit &amp; Loss'!C40, "hh:mm AM/PM") &amp; " - " &amp; TEXT('Profit &amp; Loss'!D40, "hh:mm AM/PM") &amp; CHAR(10) &amp; "Venue: " &amp; 'Profit &amp; Loss'!E40 &amp; CHAR(10) &amp; "Court No.: " &amp; 'Profit &amp; Loss'!F40 &amp; CHAR(10) &amp; "Level: HB - LI" &amp; CHAR(10) &amp; "Please transfer $" &amp; 'Profit &amp; Loss'!O40 &amp; " per pax to Belle (83396501)" &amp; CHAR(10) &amp; CHAR(10) &amp; IF('Profit &amp; Loss'!I40=1, "1." &amp; CHAR(10) &amp; "2." &amp; CHAR(10) &amp; "3." &amp; CHAR(10) &amp; "4." &amp; CHAR(10) &amp; "5." &amp; CHAR(10) &amp; "6." &amp; CHAR(10), IF('Profit &amp; Loss'!I40=2,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" spans="1:2" ht="12.5" x14ac:dyDescent="0.25">
      <c r="A38" s="2" t="str">
        <f ca="1">IF('Profit &amp; Loss'!A41&gt;=TODAY(),"Looking for friendly players to join the following game: " &amp; CHAR(10) &amp; CHAR(10) &amp; "Date: " &amp; TEXT('Profit &amp; Loss'!A41,"dd mmm yyy") &amp; ", " &amp; 'Profit &amp; Loss'!B41 &amp; CHAR(10) &amp; "Time: " &amp; TEXT('Profit &amp; Loss'!C41, "hh:mm AM/PM") &amp; " - " &amp; TEXT('Profit &amp; Loss'!D41, "hh:mm AM/PM") &amp; CHAR(10) &amp; "Venue: " &amp; 'Profit &amp; Loss'!E41 &amp; CHAR(10) &amp; "Level: HB - LI" &amp; CHAR(10) &amp; "Cost: $" &amp; 'Profit &amp; Loss'!O41 &amp; " per pax" &amp; CHAR(10) &amp; "Max " &amp; 'Profit &amp; Loss'!I41*6 &amp; " pax," &amp; " (" &amp; 'Profit &amp; Loss'!I41 &amp; " courts)" &amp; CHAR(10) &amp; CHAR(10) &amp; "RSL Ultimate shuttles provided" &amp; CHAR(10) &amp; CHAR(10) &amp; "PM if interested, thank you!"," ")</f>
        <v xml:space="preserve"> </v>
      </c>
      <c r="B38" s="2" t="str">
        <f ca="1">IF('Profit &amp; Loss'!A41&gt;=TODAY(), "Date: " &amp; TEXT('Profit &amp; Loss'!A41,"dd mmm yyy") &amp; ", " &amp; 'Profit &amp; Loss'!B41 &amp; CHAR(10) &amp; "Time: " &amp; TEXT('Profit &amp; Loss'!C41, "hh:mm AM/PM") &amp; " - " &amp; TEXT('Profit &amp; Loss'!D41, "hh:mm AM/PM") &amp; CHAR(10) &amp; "Venue: " &amp; 'Profit &amp; Loss'!E41 &amp; CHAR(10) &amp; "Court No.: " &amp; 'Profit &amp; Loss'!F41 &amp; CHAR(10) &amp; "Level: HB - LI" &amp; CHAR(10) &amp; "Please transfer $" &amp; 'Profit &amp; Loss'!O41 &amp; " per pax to Belle (83396501)" &amp; CHAR(10) &amp; CHAR(10) &amp; IF('Profit &amp; Loss'!I41=1, "1." &amp; CHAR(10) &amp; "2." &amp; CHAR(10) &amp; "3." &amp; CHAR(10) &amp; "4." &amp; CHAR(10) &amp; "5." &amp; CHAR(10) &amp; "6." &amp; CHAR(10), IF('Profit &amp; Loss'!I41=2,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" spans="1:2" ht="12.5" x14ac:dyDescent="0.25">
      <c r="A39" s="2" t="str">
        <f ca="1">IF('Profit &amp; Loss'!A42&gt;=TODAY(),"Looking for friendly players to join the following game: " &amp; CHAR(10) &amp; CHAR(10) &amp; "Date: " &amp; TEXT('Profit &amp; Loss'!A42,"dd mmm yyy") &amp; ", " &amp; 'Profit &amp; Loss'!B42 &amp; CHAR(10) &amp; "Time: " &amp; TEXT('Profit &amp; Loss'!C42, "hh:mm AM/PM") &amp; " - " &amp; TEXT('Profit &amp; Loss'!D42, "hh:mm AM/PM") &amp; CHAR(10) &amp; "Venue: " &amp; 'Profit &amp; Loss'!E42 &amp; CHAR(10) &amp; "Level: HB - LI" &amp; CHAR(10) &amp; "Cost: $" &amp; 'Profit &amp; Loss'!O42 &amp; " per pax" &amp; CHAR(10) &amp; "Max " &amp; 'Profit &amp; Loss'!I42*6 &amp; " pax," &amp; " (" &amp; 'Profit &amp; Loss'!I42 &amp; " courts)" &amp; CHAR(10) &amp; CHAR(10) &amp; "RSL Ultimate shuttles provided" &amp; CHAR(10) &amp; CHAR(10) &amp; "PM if interested, thank you!"," ")</f>
        <v xml:space="preserve"> </v>
      </c>
      <c r="B39" s="2" t="str">
        <f ca="1">IF('Profit &amp; Loss'!A42&gt;=TODAY(), "Date: " &amp; TEXT('Profit &amp; Loss'!A42,"dd mmm yyy") &amp; ", " &amp; 'Profit &amp; Loss'!B42 &amp; CHAR(10) &amp; "Time: " &amp; TEXT('Profit &amp; Loss'!C42, "hh:mm AM/PM") &amp; " - " &amp; TEXT('Profit &amp; Loss'!D42, "hh:mm AM/PM") &amp; CHAR(10) &amp; "Venue: " &amp; 'Profit &amp; Loss'!E42 &amp; CHAR(10) &amp; "Court No.: " &amp; 'Profit &amp; Loss'!F42 &amp; CHAR(10) &amp; "Level: HB - LI" &amp; CHAR(10) &amp; "Please transfer $" &amp; 'Profit &amp; Loss'!O42 &amp; " per pax to Belle (83396501)" &amp; CHAR(10) &amp; CHAR(10) &amp; IF('Profit &amp; Loss'!I42=1, "1." &amp; CHAR(10) &amp; "2." &amp; CHAR(10) &amp; "3." &amp; CHAR(10) &amp; "4." &amp; CHAR(10) &amp; "5." &amp; CHAR(10) &amp; "6." &amp; CHAR(10), IF('Profit &amp; Loss'!I42=2,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" spans="1:2" ht="12.5" x14ac:dyDescent="0.25">
      <c r="A40" s="2" t="str">
        <f ca="1">IF('Profit &amp; Loss'!A43&gt;=TODAY(),"Looking for friendly players to join the following game: " &amp; CHAR(10) &amp; CHAR(10) &amp; "Date: " &amp; TEXT('Profit &amp; Loss'!A43,"dd mmm yyy") &amp; ", " &amp; 'Profit &amp; Loss'!B43 &amp; CHAR(10) &amp; "Time: " &amp; TEXT('Profit &amp; Loss'!C43, "hh:mm AM/PM") &amp; " - " &amp; TEXT('Profit &amp; Loss'!D43, "hh:mm AM/PM") &amp; CHAR(10) &amp; "Venue: " &amp; 'Profit &amp; Loss'!E43 &amp; CHAR(10) &amp; "Level: HB - LI" &amp; CHAR(10) &amp; "Cost: $" &amp; 'Profit &amp; Loss'!O43 &amp; " per pax" &amp; CHAR(10) &amp; "Max " &amp; 'Profit &amp; Loss'!I43*6 &amp; " pax," &amp; " (" &amp; 'Profit &amp; Loss'!I43 &amp; " courts)" &amp; CHAR(10) &amp; CHAR(10) &amp; "RSL Ultimate shuttles provided" &amp; CHAR(10) &amp; CHAR(10) &amp; "PM if interested, thank you!"," ")</f>
        <v xml:space="preserve"> </v>
      </c>
      <c r="B40" s="2" t="str">
        <f ca="1">IF('Profit &amp; Loss'!A43&gt;=TODAY(), "Date: " &amp; TEXT('Profit &amp; Loss'!A43,"dd mmm yyy") &amp; ", " &amp; 'Profit &amp; Loss'!B43 &amp; CHAR(10) &amp; "Time: " &amp; TEXT('Profit &amp; Loss'!C43, "hh:mm AM/PM") &amp; " - " &amp; TEXT('Profit &amp; Loss'!D43, "hh:mm AM/PM") &amp; CHAR(10) &amp; "Venue: " &amp; 'Profit &amp; Loss'!E43 &amp; CHAR(10) &amp; "Court No.: " &amp; 'Profit &amp; Loss'!F43 &amp; CHAR(10) &amp; "Level: HB - LI" &amp; CHAR(10) &amp; "Please transfer $" &amp; 'Profit &amp; Loss'!O43 &amp; " per pax to Belle (83396501)" &amp; CHAR(10) &amp; CHAR(10) &amp; IF('Profit &amp; Loss'!I43=1, "1." &amp; CHAR(10) &amp; "2." &amp; CHAR(10) &amp; "3." &amp; CHAR(10) &amp; "4." &amp; CHAR(10) &amp; "5." &amp; CHAR(10) &amp; "6." &amp; CHAR(10), IF('Profit &amp; Loss'!I43=2,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" spans="1:2" ht="12.5" x14ac:dyDescent="0.25">
      <c r="A41" s="2" t="str">
        <f ca="1">IF('Profit &amp; Loss'!A44&gt;=TODAY(),"Looking for friendly players to join the following game: " &amp; CHAR(10) &amp; CHAR(10) &amp; "Date: " &amp; TEXT('Profit &amp; Loss'!A44,"dd mmm yyy") &amp; ", " &amp; 'Profit &amp; Loss'!B44 &amp; CHAR(10) &amp; "Time: " &amp; TEXT('Profit &amp; Loss'!C44, "hh:mm AM/PM") &amp; " - " &amp; TEXT('Profit &amp; Loss'!D44, "hh:mm AM/PM") &amp; CHAR(10) &amp; "Venue: " &amp; 'Profit &amp; Loss'!E44 &amp; CHAR(10) &amp; "Level: HB - LI" &amp; CHAR(10) &amp; "Cost: $" &amp; 'Profit &amp; Loss'!O44 &amp; " per pax" &amp; CHAR(10) &amp; "Max " &amp; 'Profit &amp; Loss'!I44*6 &amp; " pax," &amp; " (" &amp; 'Profit &amp; Loss'!I44 &amp; " courts)" &amp; CHAR(10) &amp; CHAR(10) &amp; "RSL Ultimate shuttles provided" &amp; CHAR(10) &amp; CHAR(10) &amp; "PM if interested, thank you!"," ")</f>
        <v xml:space="preserve"> </v>
      </c>
      <c r="B41" s="2" t="str">
        <f ca="1">IF('Profit &amp; Loss'!A44&gt;=TODAY(), "Date: " &amp; TEXT('Profit &amp; Loss'!A44,"dd mmm yyy") &amp; ", " &amp; 'Profit &amp; Loss'!B44 &amp; CHAR(10) &amp; "Time: " &amp; TEXT('Profit &amp; Loss'!C44, "hh:mm AM/PM") &amp; " - " &amp; TEXT('Profit &amp; Loss'!D44, "hh:mm AM/PM") &amp; CHAR(10) &amp; "Venue: " &amp; 'Profit &amp; Loss'!E44 &amp; CHAR(10) &amp; "Court No.: " &amp; 'Profit &amp; Loss'!F44 &amp; CHAR(10) &amp; "Level: HB - LI" &amp; CHAR(10) &amp; "Please transfer $" &amp; 'Profit &amp; Loss'!O44 &amp; " per pax to Belle (83396501)" &amp; CHAR(10) &amp; CHAR(10) &amp; IF('Profit &amp; Loss'!I44=1, "1." &amp; CHAR(10) &amp; "2." &amp; CHAR(10) &amp; "3." &amp; CHAR(10) &amp; "4." &amp; CHAR(10) &amp; "5." &amp; CHAR(10) &amp; "6." &amp; CHAR(10), IF('Profit &amp; Loss'!I44=2,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" spans="1:2" ht="12.5" x14ac:dyDescent="0.25">
      <c r="A42" s="2" t="str">
        <f ca="1">IF('Profit &amp; Loss'!A45&gt;=TODAY(),"Looking for friendly players to join the following game: " &amp; CHAR(10) &amp; CHAR(10) &amp; "Date: " &amp; TEXT('Profit &amp; Loss'!A45,"dd mmm yyy") &amp; ", " &amp; 'Profit &amp; Loss'!B45 &amp; CHAR(10) &amp; "Time: " &amp; TEXT('Profit &amp; Loss'!C45, "hh:mm AM/PM") &amp; " - " &amp; TEXT('Profit &amp; Loss'!D45, "hh:mm AM/PM") &amp; CHAR(10) &amp; "Venue: " &amp; 'Profit &amp; Loss'!E45 &amp; CHAR(10) &amp; "Level: HB - LI" &amp; CHAR(10) &amp; "Cost: $" &amp; 'Profit &amp; Loss'!O45 &amp; " per pax" &amp; CHAR(10) &amp; "Max " &amp; 'Profit &amp; Loss'!I45*6 &amp; " pax," &amp; " (" &amp; 'Profit &amp; Loss'!I45 &amp; " courts)" &amp; CHAR(10) &amp; CHAR(10) &amp; "RSL Ultimate shuttles provided" &amp; CHAR(10) &amp; CHAR(10) &amp; "PM if interested, thank you!"," ")</f>
        <v xml:space="preserve"> </v>
      </c>
      <c r="B42" s="2" t="str">
        <f ca="1">IF('Profit &amp; Loss'!A45&gt;=TODAY(), "Date: " &amp; TEXT('Profit &amp; Loss'!A45,"dd mmm yyy") &amp; ", " &amp; 'Profit &amp; Loss'!B45 &amp; CHAR(10) &amp; "Time: " &amp; TEXT('Profit &amp; Loss'!C45, "hh:mm AM/PM") &amp; " - " &amp; TEXT('Profit &amp; Loss'!D45, "hh:mm AM/PM") &amp; CHAR(10) &amp; "Venue: " &amp; 'Profit &amp; Loss'!E45 &amp; CHAR(10) &amp; "Court No.: " &amp; 'Profit &amp; Loss'!F45 &amp; CHAR(10) &amp; "Level: HB - LI" &amp; CHAR(10) &amp; "Please transfer $" &amp; 'Profit &amp; Loss'!O45 &amp; " per pax to Belle (83396501)" &amp; CHAR(10) &amp; CHAR(10) &amp; IF('Profit &amp; Loss'!I45=1, "1." &amp; CHAR(10) &amp; "2." &amp; CHAR(10) &amp; "3." &amp; CHAR(10) &amp; "4." &amp; CHAR(10) &amp; "5." &amp; CHAR(10) &amp; "6." &amp; CHAR(10), IF('Profit &amp; Loss'!I45=2,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" spans="1:2" ht="12.5" x14ac:dyDescent="0.25">
      <c r="A43" s="2" t="str">
        <f ca="1">IF('Profit &amp; Loss'!A46&gt;=TODAY(),"Looking for friendly players to join the following game: " &amp; CHAR(10) &amp; CHAR(10) &amp; "Date: " &amp; TEXT('Profit &amp; Loss'!A46,"dd mmm yyy") &amp; ", " &amp; 'Profit &amp; Loss'!B46 &amp; CHAR(10) &amp; "Time: " &amp; TEXT('Profit &amp; Loss'!C46, "hh:mm AM/PM") &amp; " - " &amp; TEXT('Profit &amp; Loss'!D46, "hh:mm AM/PM") &amp; CHAR(10) &amp; "Venue: " &amp; 'Profit &amp; Loss'!E46 &amp; CHAR(10) &amp; "Level: HB - LI" &amp; CHAR(10) &amp; "Cost: $" &amp; 'Profit &amp; Loss'!O46 &amp; " per pax" &amp; CHAR(10) &amp; "Max " &amp; 'Profit &amp; Loss'!I46*6 &amp; " pax," &amp; " (" &amp; 'Profit &amp; Loss'!I46 &amp; " courts)" &amp; CHAR(10) &amp; CHAR(10) &amp; "RSL Ultimate shuttles provided" &amp; CHAR(10) &amp; CHAR(10) &amp; "PM if interested, thank you!"," ")</f>
        <v xml:space="preserve"> </v>
      </c>
      <c r="B43" s="2" t="str">
        <f ca="1">IF('Profit &amp; Loss'!A46&gt;=TODAY(), "Date: " &amp; TEXT('Profit &amp; Loss'!A46,"dd mmm yyy") &amp; ", " &amp; 'Profit &amp; Loss'!B46 &amp; CHAR(10) &amp; "Time: " &amp; TEXT('Profit &amp; Loss'!C46, "hh:mm AM/PM") &amp; " - " &amp; TEXT('Profit &amp; Loss'!D46, "hh:mm AM/PM") &amp; CHAR(10) &amp; "Venue: " &amp; 'Profit &amp; Loss'!E46 &amp; CHAR(10) &amp; "Court No.: " &amp; 'Profit &amp; Loss'!F46 &amp; CHAR(10) &amp; "Level: HB - LI" &amp; CHAR(10) &amp; "Please transfer $" &amp; 'Profit &amp; Loss'!O46 &amp; " per pax to Belle (83396501)" &amp; CHAR(10) &amp; CHAR(10) &amp; IF('Profit &amp; Loss'!I46=1, "1." &amp; CHAR(10) &amp; "2." &amp; CHAR(10) &amp; "3." &amp; CHAR(10) &amp; "4." &amp; CHAR(10) &amp; "5." &amp; CHAR(10) &amp; "6." &amp; CHAR(10), IF('Profit &amp; Loss'!I46=2,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" spans="1:2" ht="12.5" x14ac:dyDescent="0.25">
      <c r="A44" s="2" t="str">
        <f ca="1">IF('Profit &amp; Loss'!A47&gt;=TODAY(),"Looking for friendly players to join the following game: " &amp; CHAR(10) &amp; CHAR(10) &amp; "Date: " &amp; TEXT('Profit &amp; Loss'!A47,"dd mmm yyy") &amp; ", " &amp; 'Profit &amp; Loss'!B47 &amp; CHAR(10) &amp; "Time: " &amp; TEXT('Profit &amp; Loss'!C47, "hh:mm AM/PM") &amp; " - " &amp; TEXT('Profit &amp; Loss'!D47, "hh:mm AM/PM") &amp; CHAR(10) &amp; "Venue: " &amp; 'Profit &amp; Loss'!E47 &amp; CHAR(10) &amp; "Level: HB - LI" &amp; CHAR(10) &amp; "Cost: $" &amp; 'Profit &amp; Loss'!O47 &amp; " per pax" &amp; CHAR(10) &amp; "Max " &amp; 'Profit &amp; Loss'!I47*6 &amp; " pax," &amp; " (" &amp; 'Profit &amp; Loss'!I47 &amp; " courts)" &amp; CHAR(10) &amp; CHAR(10) &amp; "RSL Ultimate shuttles provided" &amp; CHAR(10) &amp; CHAR(10) &amp; "PM if interested, thank you!"," ")</f>
        <v xml:space="preserve"> </v>
      </c>
      <c r="B44" s="2" t="str">
        <f ca="1">IF('Profit &amp; Loss'!A47&gt;=TODAY(), "Date: " &amp; TEXT('Profit &amp; Loss'!A47,"dd mmm yyy") &amp; ", " &amp; 'Profit &amp; Loss'!B47 &amp; CHAR(10) &amp; "Time: " &amp; TEXT('Profit &amp; Loss'!C47, "hh:mm AM/PM") &amp; " - " &amp; TEXT('Profit &amp; Loss'!D47, "hh:mm AM/PM") &amp; CHAR(10) &amp; "Venue: " &amp; 'Profit &amp; Loss'!E47 &amp; CHAR(10) &amp; "Court No.: " &amp; 'Profit &amp; Loss'!F47 &amp; CHAR(10) &amp; "Level: HB - LI" &amp; CHAR(10) &amp; "Please transfer $" &amp; 'Profit &amp; Loss'!O47 &amp; " per pax to Belle (83396501)" &amp; CHAR(10) &amp; CHAR(10) &amp; IF('Profit &amp; Loss'!I47=1, "1." &amp; CHAR(10) &amp; "2." &amp; CHAR(10) &amp; "3." &amp; CHAR(10) &amp; "4." &amp; CHAR(10) &amp; "5." &amp; CHAR(10) &amp; "6." &amp; CHAR(10), IF('Profit &amp; Loss'!I47=2,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" spans="1:2" ht="12.5" x14ac:dyDescent="0.25">
      <c r="A45" s="2" t="str">
        <f ca="1">IF('Profit &amp; Loss'!A48&gt;=TODAY(),"Looking for friendly players to join the following game: " &amp; CHAR(10) &amp; CHAR(10) &amp; "Date: " &amp; TEXT('Profit &amp; Loss'!A48,"dd mmm yyy") &amp; ", " &amp; 'Profit &amp; Loss'!B48 &amp; CHAR(10) &amp; "Time: " &amp; TEXT('Profit &amp; Loss'!C48, "hh:mm AM/PM") &amp; " - " &amp; TEXT('Profit &amp; Loss'!D48, "hh:mm AM/PM") &amp; CHAR(10) &amp; "Venue: " &amp; 'Profit &amp; Loss'!E48 &amp; CHAR(10) &amp; "Level: HB - LI" &amp; CHAR(10) &amp; "Cost: $" &amp; 'Profit &amp; Loss'!O48 &amp; " per pax" &amp; CHAR(10) &amp; "Max " &amp; 'Profit &amp; Loss'!I48*6 &amp; " pax," &amp; " (" &amp; 'Profit &amp; Loss'!I48 &amp; " courts)" &amp; CHAR(10) &amp; CHAR(10) &amp; "RSL Ultimate shuttles provided" &amp; CHAR(10) &amp; CHAR(10) &amp; "PM if interested, thank you!"," ")</f>
        <v xml:space="preserve"> </v>
      </c>
      <c r="B45" s="2" t="str">
        <f ca="1">IF('Profit &amp; Loss'!A48&gt;=TODAY(), "Date: " &amp; TEXT('Profit &amp; Loss'!A48,"dd mmm yyy") &amp; ", " &amp; 'Profit &amp; Loss'!B48 &amp; CHAR(10) &amp; "Time: " &amp; TEXT('Profit &amp; Loss'!C48, "hh:mm AM/PM") &amp; " - " &amp; TEXT('Profit &amp; Loss'!D48, "hh:mm AM/PM") &amp; CHAR(10) &amp; "Venue: " &amp; 'Profit &amp; Loss'!E48 &amp; CHAR(10) &amp; "Court No.: " &amp; 'Profit &amp; Loss'!F48 &amp; CHAR(10) &amp; "Level: HB - LI" &amp; CHAR(10) &amp; "Please transfer $" &amp; 'Profit &amp; Loss'!O48 &amp; " per pax to Belle (83396501)" &amp; CHAR(10) &amp; CHAR(10) &amp; IF('Profit &amp; Loss'!I48=1, "1." &amp; CHAR(10) &amp; "2." &amp; CHAR(10) &amp; "3." &amp; CHAR(10) &amp; "4." &amp; CHAR(10) &amp; "5." &amp; CHAR(10) &amp; "6." &amp; CHAR(10), IF('Profit &amp; Loss'!I48=2,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" spans="1:2" ht="12.5" x14ac:dyDescent="0.25">
      <c r="A46" s="2" t="str">
        <f ca="1">IF('Profit &amp; Loss'!A49&gt;=TODAY(),"Looking for friendly players to join the following game: " &amp; CHAR(10) &amp; CHAR(10) &amp; "Date: " &amp; TEXT('Profit &amp; Loss'!A49,"dd mmm yyy") &amp; ", " &amp; 'Profit &amp; Loss'!B49 &amp; CHAR(10) &amp; "Time: " &amp; TEXT('Profit &amp; Loss'!C49, "hh:mm AM/PM") &amp; " - " &amp; TEXT('Profit &amp; Loss'!D49, "hh:mm AM/PM") &amp; CHAR(10) &amp; "Venue: " &amp; 'Profit &amp; Loss'!E49 &amp; CHAR(10) &amp; "Level: HB - LI" &amp; CHAR(10) &amp; "Cost: $" &amp; 'Profit &amp; Loss'!O49 &amp; " per pax" &amp; CHAR(10) &amp; "Max " &amp; 'Profit &amp; Loss'!I49*6 &amp; " pax," &amp; " (" &amp; 'Profit &amp; Loss'!I49 &amp; " courts)" &amp; CHAR(10) &amp; CHAR(10) &amp; "RSL Ultimate shuttles provided" &amp; CHAR(10) &amp; CHAR(10) &amp; "PM if interested, thank you!"," ")</f>
        <v xml:space="preserve"> </v>
      </c>
      <c r="B46" s="2" t="str">
        <f ca="1">IF('Profit &amp; Loss'!A49&gt;=TODAY(), "Date: " &amp; TEXT('Profit &amp; Loss'!A49,"dd mmm yyy") &amp; ", " &amp; 'Profit &amp; Loss'!B49 &amp; CHAR(10) &amp; "Time: " &amp; TEXT('Profit &amp; Loss'!C49, "hh:mm AM/PM") &amp; " - " &amp; TEXT('Profit &amp; Loss'!D49, "hh:mm AM/PM") &amp; CHAR(10) &amp; "Venue: " &amp; 'Profit &amp; Loss'!E49 &amp; CHAR(10) &amp; "Court No.: " &amp; 'Profit &amp; Loss'!F49 &amp; CHAR(10) &amp; "Level: HB - LI" &amp; CHAR(10) &amp; "Please transfer $" &amp; 'Profit &amp; Loss'!O49 &amp; " per pax to Belle (83396501)" &amp; CHAR(10) &amp; CHAR(10) &amp; IF('Profit &amp; Loss'!I49=1, "1." &amp; CHAR(10) &amp; "2." &amp; CHAR(10) &amp; "3." &amp; CHAR(10) &amp; "4." &amp; CHAR(10) &amp; "5." &amp; CHAR(10) &amp; "6." &amp; CHAR(10), IF('Profit &amp; Loss'!I49=2,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" spans="1:2" ht="12.5" x14ac:dyDescent="0.25">
      <c r="A47" s="2" t="str">
        <f ca="1">IF('Profit &amp; Loss'!A50&gt;=TODAY(),"Looking for friendly players to join the following game: " &amp; CHAR(10) &amp; CHAR(10) &amp; "Date: " &amp; TEXT('Profit &amp; Loss'!A50,"dd mmm yyy") &amp; ", " &amp; 'Profit &amp; Loss'!B50 &amp; CHAR(10) &amp; "Time: " &amp; TEXT('Profit &amp; Loss'!C50, "hh:mm AM/PM") &amp; " - " &amp; TEXT('Profit &amp; Loss'!D50, "hh:mm AM/PM") &amp; CHAR(10) &amp; "Venue: " &amp; 'Profit &amp; Loss'!E50 &amp; CHAR(10) &amp; "Level: HB - LI" &amp; CHAR(10) &amp; "Cost: $" &amp; 'Profit &amp; Loss'!O50 &amp; " per pax" &amp; CHAR(10) &amp; "Max " &amp; 'Profit &amp; Loss'!I50*6 &amp; " pax," &amp; " (" &amp; 'Profit &amp; Loss'!I50 &amp; " courts)" &amp; CHAR(10) &amp; CHAR(10) &amp; "RSL Ultimate shuttles provided" &amp; CHAR(10) &amp; CHAR(10) &amp; "PM if interested, thank you!"," ")</f>
        <v xml:space="preserve"> </v>
      </c>
      <c r="B47" s="2" t="str">
        <f ca="1">IF('Profit &amp; Loss'!A50&gt;=TODAY(), "Date: " &amp; TEXT('Profit &amp; Loss'!A50,"dd mmm yyy") &amp; ", " &amp; 'Profit &amp; Loss'!B50 &amp; CHAR(10) &amp; "Time: " &amp; TEXT('Profit &amp; Loss'!C50, "hh:mm AM/PM") &amp; " - " &amp; TEXT('Profit &amp; Loss'!D50, "hh:mm AM/PM") &amp; CHAR(10) &amp; "Venue: " &amp; 'Profit &amp; Loss'!E50 &amp; CHAR(10) &amp; "Court No.: " &amp; 'Profit &amp; Loss'!F50 &amp; CHAR(10) &amp; "Level: HB - LI" &amp; CHAR(10) &amp; "Please transfer $" &amp; 'Profit &amp; Loss'!O50 &amp; " per pax to Belle (83396501)" &amp; CHAR(10) &amp; CHAR(10) &amp; IF('Profit &amp; Loss'!I50=1, "1." &amp; CHAR(10) &amp; "2." &amp; CHAR(10) &amp; "3." &amp; CHAR(10) &amp; "4." &amp; CHAR(10) &amp; "5." &amp; CHAR(10) &amp; "6." &amp; CHAR(10), IF('Profit &amp; Loss'!I50=2,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" spans="1:2" ht="12.5" x14ac:dyDescent="0.25">
      <c r="A48" s="2" t="str">
        <f ca="1">IF('Profit &amp; Loss'!A51&gt;=TODAY(),"Looking for friendly players to join the following game: " &amp; CHAR(10) &amp; CHAR(10) &amp; "Date: " &amp; TEXT('Profit &amp; Loss'!A51,"dd mmm yyy") &amp; ", " &amp; 'Profit &amp; Loss'!B51 &amp; CHAR(10) &amp; "Time: " &amp; TEXT('Profit &amp; Loss'!C51, "hh:mm AM/PM") &amp; " - " &amp; TEXT('Profit &amp; Loss'!D51, "hh:mm AM/PM") &amp; CHAR(10) &amp; "Venue: " &amp; 'Profit &amp; Loss'!E51 &amp; CHAR(10) &amp; "Level: HB - LI" &amp; CHAR(10) &amp; "Cost: $" &amp; 'Profit &amp; Loss'!O51 &amp; " per pax" &amp; CHAR(10) &amp; "Max " &amp; 'Profit &amp; Loss'!I51*6 &amp; " pax," &amp; " (" &amp; 'Profit &amp; Loss'!I51 &amp; " courts)" &amp; CHAR(10) &amp; CHAR(10) &amp; "RSL Ultimate shuttles provided" &amp; CHAR(10) &amp; CHAR(10) &amp; "PM if interested, thank you!"," ")</f>
        <v xml:space="preserve"> </v>
      </c>
      <c r="B48" s="2" t="str">
        <f ca="1">IF('Profit &amp; Loss'!A51&gt;=TODAY(), "Date: " &amp; TEXT('Profit &amp; Loss'!A51,"dd mmm yyy") &amp; ", " &amp; 'Profit &amp; Loss'!B51 &amp; CHAR(10) &amp; "Time: " &amp; TEXT('Profit &amp; Loss'!C51, "hh:mm AM/PM") &amp; " - " &amp; TEXT('Profit &amp; Loss'!D51, "hh:mm AM/PM") &amp; CHAR(10) &amp; "Venue: " &amp; 'Profit &amp; Loss'!E51 &amp; CHAR(10) &amp; "Court No.: " &amp; 'Profit &amp; Loss'!F51 &amp; CHAR(10) &amp; "Level: HB - LI" &amp; CHAR(10) &amp; "Please transfer $" &amp; 'Profit &amp; Loss'!O51 &amp; " per pax to Belle (83396501)" &amp; CHAR(10) &amp; CHAR(10) &amp; IF('Profit &amp; Loss'!I51=1, "1." &amp; CHAR(10) &amp; "2." &amp; CHAR(10) &amp; "3." &amp; CHAR(10) &amp; "4." &amp; CHAR(10) &amp; "5." &amp; CHAR(10) &amp; "6." &amp; CHAR(10), IF('Profit &amp; Loss'!I51=2,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" spans="1:2" ht="12.5" x14ac:dyDescent="0.25">
      <c r="A49" s="2" t="str">
        <f ca="1">IF('Profit &amp; Loss'!A52&gt;=TODAY(),"Looking for friendly players to join the following game: " &amp; CHAR(10) &amp; CHAR(10) &amp; "Date: " &amp; TEXT('Profit &amp; Loss'!A52,"dd mmm yyy") &amp; ", " &amp; 'Profit &amp; Loss'!B52 &amp; CHAR(10) &amp; "Time: " &amp; TEXT('Profit &amp; Loss'!C52, "hh:mm AM/PM") &amp; " - " &amp; TEXT('Profit &amp; Loss'!D52, "hh:mm AM/PM") &amp; CHAR(10) &amp; "Venue: " &amp; 'Profit &amp; Loss'!E52 &amp; CHAR(10) &amp; "Level: HB - LI" &amp; CHAR(10) &amp; "Cost: $" &amp; 'Profit &amp; Loss'!O52 &amp; " per pax" &amp; CHAR(10) &amp; "Max " &amp; 'Profit &amp; Loss'!I52*6 &amp; " pax," &amp; " (" &amp; 'Profit &amp; Loss'!I52 &amp; " courts)" &amp; CHAR(10) &amp; CHAR(10) &amp; "RSL Ultimate shuttles provided" &amp; CHAR(10) &amp; CHAR(10) &amp; "PM if interested, thank you!"," ")</f>
        <v xml:space="preserve"> </v>
      </c>
      <c r="B49" s="2" t="str">
        <f ca="1">IF('Profit &amp; Loss'!A52&gt;=TODAY(), "Date: " &amp; TEXT('Profit &amp; Loss'!A52,"dd mmm yyy") &amp; ", " &amp; 'Profit &amp; Loss'!B52 &amp; CHAR(10) &amp; "Time: " &amp; TEXT('Profit &amp; Loss'!C52, "hh:mm AM/PM") &amp; " - " &amp; TEXT('Profit &amp; Loss'!D52, "hh:mm AM/PM") &amp; CHAR(10) &amp; "Venue: " &amp; 'Profit &amp; Loss'!E52 &amp; CHAR(10) &amp; "Court No.: " &amp; 'Profit &amp; Loss'!F52 &amp; CHAR(10) &amp; "Level: HB - LI" &amp; CHAR(10) &amp; "Please transfer $" &amp; 'Profit &amp; Loss'!O52 &amp; " per pax to Belle (83396501)" &amp; CHAR(10) &amp; CHAR(10) &amp; IF('Profit &amp; Loss'!I52=1, "1." &amp; CHAR(10) &amp; "2." &amp; CHAR(10) &amp; "3." &amp; CHAR(10) &amp; "4." &amp; CHAR(10) &amp; "5." &amp; CHAR(10) &amp; "6." &amp; CHAR(10), IF('Profit &amp; Loss'!I52=2,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" spans="1:2" ht="12.5" x14ac:dyDescent="0.25">
      <c r="A50" s="2" t="str">
        <f ca="1">IF('Profit &amp; Loss'!A53&gt;=TODAY(),"Looking for friendly players to join the following game: " &amp; CHAR(10) &amp; CHAR(10) &amp; "Date: " &amp; TEXT('Profit &amp; Loss'!A53,"dd mmm yyy") &amp; ", " &amp; 'Profit &amp; Loss'!B53 &amp; CHAR(10) &amp; "Time: " &amp; TEXT('Profit &amp; Loss'!C53, "hh:mm AM/PM") &amp; " - " &amp; TEXT('Profit &amp; Loss'!D53, "hh:mm AM/PM") &amp; CHAR(10) &amp; "Venue: " &amp; 'Profit &amp; Loss'!E53 &amp; CHAR(10) &amp; "Level: HB - LI" &amp; CHAR(10) &amp; "Cost: $" &amp; 'Profit &amp; Loss'!O53 &amp; " per pax" &amp; CHAR(10) &amp; "Max " &amp; 'Profit &amp; Loss'!I53*6 &amp; " pax," &amp; " (" &amp; 'Profit &amp; Loss'!I53 &amp; " courts)" &amp; CHAR(10) &amp; CHAR(10) &amp; "RSL Ultimate shuttles provided" &amp; CHAR(10) &amp; CHAR(10) &amp; "PM if interested, thank you!"," ")</f>
        <v xml:space="preserve"> </v>
      </c>
      <c r="B50" s="2" t="str">
        <f ca="1">IF('Profit &amp; Loss'!A53&gt;=TODAY(), "Date: " &amp; TEXT('Profit &amp; Loss'!A53,"dd mmm yyy") &amp; ", " &amp; 'Profit &amp; Loss'!B53 &amp; CHAR(10) &amp; "Time: " &amp; TEXT('Profit &amp; Loss'!C53, "hh:mm AM/PM") &amp; " - " &amp; TEXT('Profit &amp; Loss'!D53, "hh:mm AM/PM") &amp; CHAR(10) &amp; "Venue: " &amp; 'Profit &amp; Loss'!E53 &amp; CHAR(10) &amp; "Court No.: " &amp; 'Profit &amp; Loss'!F53 &amp; CHAR(10) &amp; "Level: HB - LI" &amp; CHAR(10) &amp; "Please transfer $" &amp; 'Profit &amp; Loss'!O53 &amp; " per pax to Belle (83396501)" &amp; CHAR(10) &amp; CHAR(10) &amp; IF('Profit &amp; Loss'!I53=1, "1." &amp; CHAR(10) &amp; "2." &amp; CHAR(10) &amp; "3." &amp; CHAR(10) &amp; "4." &amp; CHAR(10) &amp; "5." &amp; CHAR(10) &amp; "6." &amp; CHAR(10), IF('Profit &amp; Loss'!I53=2,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" spans="1:2" ht="12.5" x14ac:dyDescent="0.25">
      <c r="A51" s="2" t="str">
        <f ca="1">IF('Profit &amp; Loss'!A54&gt;=TODAY(),"Looking for friendly players to join the following game: " &amp; CHAR(10) &amp; CHAR(10) &amp; "Date: " &amp; TEXT('Profit &amp; Loss'!A54,"dd mmm yyy") &amp; ", " &amp; 'Profit &amp; Loss'!B54 &amp; CHAR(10) &amp; "Time: " &amp; TEXT('Profit &amp; Loss'!C54, "hh:mm AM/PM") &amp; " - " &amp; TEXT('Profit &amp; Loss'!D54, "hh:mm AM/PM") &amp; CHAR(10) &amp; "Venue: " &amp; 'Profit &amp; Loss'!E54 &amp; CHAR(10) &amp; "Level: HB - LI" &amp; CHAR(10) &amp; "Cost: $" &amp; 'Profit &amp; Loss'!O54 &amp; " per pax" &amp; CHAR(10) &amp; "Max " &amp; 'Profit &amp; Loss'!I54*6 &amp; " pax," &amp; " (" &amp; 'Profit &amp; Loss'!I54 &amp; " courts)" &amp; CHAR(10) &amp; CHAR(10) &amp; "RSL Ultimate shuttles provided" &amp; CHAR(10) &amp; CHAR(10) &amp; "PM if interested, thank you!"," ")</f>
        <v xml:space="preserve"> </v>
      </c>
      <c r="B51" s="2" t="str">
        <f ca="1">IF('Profit &amp; Loss'!A54&gt;=TODAY(), "Date: " &amp; TEXT('Profit &amp; Loss'!A54,"dd mmm yyy") &amp; ", " &amp; 'Profit &amp; Loss'!B54 &amp; CHAR(10) &amp; "Time: " &amp; TEXT('Profit &amp; Loss'!C54, "hh:mm AM/PM") &amp; " - " &amp; TEXT('Profit &amp; Loss'!D54, "hh:mm AM/PM") &amp; CHAR(10) &amp; "Venue: " &amp; 'Profit &amp; Loss'!E54 &amp; CHAR(10) &amp; "Court No.: " &amp; 'Profit &amp; Loss'!F54 &amp; CHAR(10) &amp; "Level: HB - LI" &amp; CHAR(10) &amp; "Please transfer $" &amp; 'Profit &amp; Loss'!O54 &amp; " per pax to Belle (83396501)" &amp; CHAR(10) &amp; CHAR(10) &amp; IF('Profit &amp; Loss'!I54=1, "1." &amp; CHAR(10) &amp; "2." &amp; CHAR(10) &amp; "3." &amp; CHAR(10) &amp; "4." &amp; CHAR(10) &amp; "5." &amp; CHAR(10) &amp; "6." &amp; CHAR(10), IF('Profit &amp; Loss'!I54=2,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" spans="1:2" ht="12.5" x14ac:dyDescent="0.25">
      <c r="A52" s="2" t="str">
        <f ca="1">IF('Profit &amp; Loss'!A55&gt;=TODAY(),"Looking for friendly players to join the following game: " &amp; CHAR(10) &amp; CHAR(10) &amp; "Date: " &amp; TEXT('Profit &amp; Loss'!A55,"dd mmm yyy") &amp; ", " &amp; 'Profit &amp; Loss'!B55 &amp; CHAR(10) &amp; "Time: " &amp; TEXT('Profit &amp; Loss'!C55, "hh:mm AM/PM") &amp; " - " &amp; TEXT('Profit &amp; Loss'!D55, "hh:mm AM/PM") &amp; CHAR(10) &amp; "Venue: " &amp; 'Profit &amp; Loss'!E55 &amp; CHAR(10) &amp; "Level: HB - LI" &amp; CHAR(10) &amp; "Cost: $" &amp; 'Profit &amp; Loss'!O55 &amp; " per pax" &amp; CHAR(10) &amp; "Max " &amp; 'Profit &amp; Loss'!I55*6 &amp; " pax," &amp; " (" &amp; 'Profit &amp; Loss'!I55 &amp; " courts)" &amp; CHAR(10) &amp; CHAR(10) &amp; "RSL Ultimate shuttles provided" &amp; CHAR(10) &amp; CHAR(10) &amp; "PM if interested, thank you!"," ")</f>
        <v xml:space="preserve"> </v>
      </c>
      <c r="B52" s="2" t="str">
        <f ca="1">IF('Profit &amp; Loss'!A55&gt;=TODAY(), "Date: " &amp; TEXT('Profit &amp; Loss'!A55,"dd mmm yyy") &amp; ", " &amp; 'Profit &amp; Loss'!B55 &amp; CHAR(10) &amp; "Time: " &amp; TEXT('Profit &amp; Loss'!C55, "hh:mm AM/PM") &amp; " - " &amp; TEXT('Profit &amp; Loss'!D55, "hh:mm AM/PM") &amp; CHAR(10) &amp; "Venue: " &amp; 'Profit &amp; Loss'!E55 &amp; CHAR(10) &amp; "Court No.: " &amp; 'Profit &amp; Loss'!F55 &amp; CHAR(10) &amp; "Level: HB - LI" &amp; CHAR(10) &amp; "Please transfer $" &amp; 'Profit &amp; Loss'!O55 &amp; " per pax to Belle (83396501)" &amp; CHAR(10) &amp; CHAR(10) &amp; IF('Profit &amp; Loss'!I55=1, "1." &amp; CHAR(10) &amp; "2." &amp; CHAR(10) &amp; "3." &amp; CHAR(10) &amp; "4." &amp; CHAR(10) &amp; "5." &amp; CHAR(10) &amp; "6." &amp; CHAR(10), IF('Profit &amp; Loss'!I55=2,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" spans="1:2" ht="12.5" x14ac:dyDescent="0.25">
      <c r="A53" s="2" t="str">
        <f ca="1">IF('Profit &amp; Loss'!A56&gt;=TODAY(),"Looking for friendly players to join the following game: " &amp; CHAR(10) &amp; CHAR(10) &amp; "Date: " &amp; TEXT('Profit &amp; Loss'!A56,"dd mmm yyy") &amp; ", " &amp; 'Profit &amp; Loss'!B56 &amp; CHAR(10) &amp; "Time: " &amp; TEXT('Profit &amp; Loss'!C56, "hh:mm AM/PM") &amp; " - " &amp; TEXT('Profit &amp; Loss'!D56, "hh:mm AM/PM") &amp; CHAR(10) &amp; "Venue: " &amp; 'Profit &amp; Loss'!E56 &amp; CHAR(10) &amp; "Level: HB - LI" &amp; CHAR(10) &amp; "Cost: $" &amp; 'Profit &amp; Loss'!O56 &amp; " per pax" &amp; CHAR(10) &amp; "Max " &amp; 'Profit &amp; Loss'!I56*6 &amp; " pax," &amp; " (" &amp; 'Profit &amp; Loss'!I56 &amp; " courts)" &amp; CHAR(10) &amp; CHAR(10) &amp; "RSL Ultimate shuttles provided" &amp; CHAR(10) &amp; CHAR(10) &amp; "PM if interested, thank you!"," ")</f>
        <v xml:space="preserve"> </v>
      </c>
      <c r="B53" s="2" t="str">
        <f ca="1">IF('Profit &amp; Loss'!A56&gt;=TODAY(), "Date: " &amp; TEXT('Profit &amp; Loss'!A56,"dd mmm yyy") &amp; ", " &amp; 'Profit &amp; Loss'!B56 &amp; CHAR(10) &amp; "Time: " &amp; TEXT('Profit &amp; Loss'!C56, "hh:mm AM/PM") &amp; " - " &amp; TEXT('Profit &amp; Loss'!D56, "hh:mm AM/PM") &amp; CHAR(10) &amp; "Venue: " &amp; 'Profit &amp; Loss'!E56 &amp; CHAR(10) &amp; "Court No.: " &amp; 'Profit &amp; Loss'!F56 &amp; CHAR(10) &amp; "Level: HB - LI" &amp; CHAR(10) &amp; "Please transfer $" &amp; 'Profit &amp; Loss'!O56 &amp; " per pax to Belle (83396501)" &amp; CHAR(10) &amp; CHAR(10) &amp; IF('Profit &amp; Loss'!I56=1, "1." &amp; CHAR(10) &amp; "2." &amp; CHAR(10) &amp; "3." &amp; CHAR(10) &amp; "4." &amp; CHAR(10) &amp; "5." &amp; CHAR(10) &amp; "6." &amp; CHAR(10), IF('Profit &amp; Loss'!I56=2,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" spans="1:2" ht="12.5" x14ac:dyDescent="0.25">
      <c r="A54" s="2" t="str">
        <f ca="1">IF('Profit &amp; Loss'!A58&gt;=TODAY(),"Looking for friendly players to join the following game: " &amp; CHAR(10) &amp; CHAR(10) &amp; "Date: " &amp; TEXT('Profit &amp; Loss'!A58,"dd mmm yyy") &amp; ", " &amp; 'Profit &amp; Loss'!B58 &amp; CHAR(10) &amp; "Time: " &amp; TEXT('Profit &amp; Loss'!C58, "hh:mm AM/PM") &amp; " - " &amp; TEXT('Profit &amp; Loss'!D58, "hh:mm AM/PM") &amp; CHAR(10) &amp; "Venue: " &amp; 'Profit &amp; Loss'!E58 &amp; CHAR(10) &amp; "Level: HB - LI" &amp; CHAR(10) &amp; "Cost: $" &amp; 'Profit &amp; Loss'!O58 &amp; " per pax" &amp; CHAR(10) &amp; "Max " &amp; 'Profit &amp; Loss'!I58*6 &amp; " pax," &amp; " (" &amp; 'Profit &amp; Loss'!I58 &amp; " courts)" &amp; CHAR(10) &amp; CHAR(10) &amp; "RSL Ultimate shuttles provided" &amp; CHAR(10) &amp; CHAR(10) &amp; "PM if interested, thank you!"," ")</f>
        <v xml:space="preserve"> </v>
      </c>
      <c r="B54" s="2" t="str">
        <f ca="1">IF('Profit &amp; Loss'!A58&gt;=TODAY(), "Date: " &amp; TEXT('Profit &amp; Loss'!A58,"dd mmm yyy") &amp; ", " &amp; 'Profit &amp; Loss'!B58 &amp; CHAR(10) &amp; "Time: " &amp; TEXT('Profit &amp; Loss'!C58, "hh:mm AM/PM") &amp; " - " &amp; TEXT('Profit &amp; Loss'!D58, "hh:mm AM/PM") &amp; CHAR(10) &amp; "Venue: " &amp; 'Profit &amp; Loss'!E58 &amp; CHAR(10) &amp; "Court No.: " &amp; 'Profit &amp; Loss'!F58 &amp; CHAR(10) &amp; "Level: HB - LI" &amp; CHAR(10) &amp; "Please transfer $" &amp; 'Profit &amp; Loss'!O58 &amp; " per pax to Belle (83396501)" &amp; CHAR(10) &amp; CHAR(10) &amp; IF('Profit &amp; Loss'!I58=1, "1." &amp; CHAR(10) &amp; "2." &amp; CHAR(10) &amp; "3." &amp; CHAR(10) &amp; "4." &amp; CHAR(10) &amp; "5." &amp; CHAR(10) &amp; "6." &amp; CHAR(10), IF('Profit &amp; Loss'!I58=2,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" spans="1:2" ht="12.5" x14ac:dyDescent="0.25">
      <c r="A55" s="2" t="str">
        <f ca="1">IF('Profit &amp; Loss'!A59&gt;=TODAY(),"Looking for friendly players to join the following game: " &amp; CHAR(10) &amp; CHAR(10) &amp; "Date: " &amp; TEXT('Profit &amp; Loss'!A59,"dd mmm yyy") &amp; ", " &amp; 'Profit &amp; Loss'!B59 &amp; CHAR(10) &amp; "Time: " &amp; TEXT('Profit &amp; Loss'!C59, "hh:mm AM/PM") &amp; " - " &amp; TEXT('Profit &amp; Loss'!D59, "hh:mm AM/PM") &amp; CHAR(10) &amp; "Venue: " &amp; 'Profit &amp; Loss'!E59 &amp; CHAR(10) &amp; "Level: HB - LI" &amp; CHAR(10) &amp; "Cost: $" &amp; 'Profit &amp; Loss'!O59 &amp; " per pax" &amp; CHAR(10) &amp; "Max " &amp; 'Profit &amp; Loss'!I59*6 &amp; " pax," &amp; " (" &amp; 'Profit &amp; Loss'!I59 &amp; " courts)" &amp; CHAR(10) &amp; CHAR(10) &amp; "RSL Ultimate shuttles provided" &amp; CHAR(10) &amp; CHAR(10) &amp; "PM if interested, thank you!"," ")</f>
        <v xml:space="preserve"> </v>
      </c>
      <c r="B55" s="2" t="str">
        <f ca="1">IF('Profit &amp; Loss'!A59&gt;=TODAY(), "Date: " &amp; TEXT('Profit &amp; Loss'!A59,"dd mmm yyy") &amp; ", " &amp; 'Profit &amp; Loss'!B59 &amp; CHAR(10) &amp; "Time: " &amp; TEXT('Profit &amp; Loss'!C59, "hh:mm AM/PM") &amp; " - " &amp; TEXT('Profit &amp; Loss'!D59, "hh:mm AM/PM") &amp; CHAR(10) &amp; "Venue: " &amp; 'Profit &amp; Loss'!E59 &amp; CHAR(10) &amp; "Court No.: " &amp; 'Profit &amp; Loss'!F59 &amp; CHAR(10) &amp; "Level: HB - LI" &amp; CHAR(10) &amp; "Please transfer $" &amp; 'Profit &amp; Loss'!O59 &amp; " per pax to Belle (83396501)" &amp; CHAR(10) &amp; CHAR(10) &amp; IF('Profit &amp; Loss'!I59=1, "1." &amp; CHAR(10) &amp; "2." &amp; CHAR(10) &amp; "3." &amp; CHAR(10) &amp; "4." &amp; CHAR(10) &amp; "5." &amp; CHAR(10) &amp; "6." &amp; CHAR(10), IF('Profit &amp; Loss'!I59=2,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" spans="1:2" ht="12.5" x14ac:dyDescent="0.25">
      <c r="A56" s="2" t="str">
        <f ca="1">IF('Profit &amp; Loss'!A57&gt;=TODAY(),"Looking for friendly players to join the following game: " &amp; CHAR(10) &amp; CHAR(10) &amp; "Date: " &amp; TEXT('Profit &amp; Loss'!A57,"dd mmm yyy") &amp; ", " &amp; 'Profit &amp; Loss'!B57 &amp; CHAR(10) &amp; "Time: " &amp; TEXT('Profit &amp; Loss'!C57, "hh:mm AM/PM") &amp; " - " &amp; TEXT('Profit &amp; Loss'!D57, "hh:mm AM/PM") &amp; CHAR(10) &amp; "Venue: " &amp; 'Profit &amp; Loss'!E57 &amp; CHAR(10) &amp; "Level: HB - LI" &amp; CHAR(10) &amp; "Cost: $" &amp; 'Profit &amp; Loss'!O57 &amp; " per pax" &amp; CHAR(10) &amp; "Max " &amp; 'Profit &amp; Loss'!I57*6 &amp; " pax," &amp; " (" &amp; 'Profit &amp; Loss'!I57 &amp; " courts)" &amp; CHAR(10) &amp; CHAR(10) &amp; "RSL Ultimate shuttles provided" &amp; CHAR(10) &amp; CHAR(10) &amp; "PM if interested, thank you!"," ")</f>
        <v xml:space="preserve"> </v>
      </c>
      <c r="B56" s="2" t="str">
        <f ca="1">IF('Profit &amp; Loss'!A57&gt;=TODAY(), "Date: " &amp; TEXT('Profit &amp; Loss'!A57,"dd mmm yyy") &amp; ", " &amp; 'Profit &amp; Loss'!B57 &amp; CHAR(10) &amp; "Time: " &amp; TEXT('Profit &amp; Loss'!C57, "hh:mm AM/PM") &amp; " - " &amp; TEXT('Profit &amp; Loss'!D57, "hh:mm AM/PM") &amp; CHAR(10) &amp; "Venue: " &amp; 'Profit &amp; Loss'!E57 &amp; CHAR(10) &amp; "Court No.: " &amp; 'Profit &amp; Loss'!F57 &amp; CHAR(10) &amp; "Level: HB - LI" &amp; CHAR(10) &amp; "Please transfer $" &amp; 'Profit &amp; Loss'!O57 &amp; " per pax to Belle (83396501)" &amp; CHAR(10) &amp; CHAR(10) &amp; IF('Profit &amp; Loss'!I57=1, "1." &amp; CHAR(10) &amp; "2." &amp; CHAR(10) &amp; "3." &amp; CHAR(10) &amp; "4." &amp; CHAR(10) &amp; "5." &amp; CHAR(10) &amp; "6." &amp; CHAR(10), IF('Profit &amp; Loss'!I57=2,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" spans="1:2" ht="12.5" x14ac:dyDescent="0.25">
      <c r="A57" s="2" t="str">
        <f ca="1">IF('Profit &amp; Loss'!A60&gt;=TODAY(),"Looking for friendly players to join the following game: " &amp; CHAR(10) &amp; CHAR(10) &amp; "Date: " &amp; TEXT('Profit &amp; Loss'!A60,"dd mmm yyy") &amp; ", " &amp; 'Profit &amp; Loss'!B60 &amp; CHAR(10) &amp; "Time: " &amp; TEXT('Profit &amp; Loss'!C60, "hh:mm AM/PM") &amp; " - " &amp; TEXT('Profit &amp; Loss'!D60, "hh:mm AM/PM") &amp; CHAR(10) &amp; "Venue: " &amp; 'Profit &amp; Loss'!E60 &amp; CHAR(10) &amp; "Level: HB - LI" &amp; CHAR(10) &amp; "Cost: $" &amp; 'Profit &amp; Loss'!O60 &amp; " per pax" &amp; CHAR(10) &amp; "Max " &amp; 'Profit &amp; Loss'!I60*6 &amp; " pax," &amp; " (" &amp; 'Profit &amp; Loss'!I60 &amp; " courts)" &amp; CHAR(10) &amp; CHAR(10) &amp; "RSL Ultimate shuttles provided" &amp; CHAR(10) &amp; CHAR(10) &amp; "PM if interested, thank you!"," ")</f>
        <v xml:space="preserve"> </v>
      </c>
      <c r="B57" s="2" t="str">
        <f ca="1">IF('Profit &amp; Loss'!A60&gt;=TODAY(), "Date: " &amp; TEXT('Profit &amp; Loss'!A60,"dd mmm yyy") &amp; ", " &amp; 'Profit &amp; Loss'!B60 &amp; CHAR(10) &amp; "Time: " &amp; TEXT('Profit &amp; Loss'!C60, "hh:mm AM/PM") &amp; " - " &amp; TEXT('Profit &amp; Loss'!D60, "hh:mm AM/PM") &amp; CHAR(10) &amp; "Venue: " &amp; 'Profit &amp; Loss'!E60 &amp; CHAR(10) &amp; "Court No.: " &amp; 'Profit &amp; Loss'!F60 &amp; CHAR(10) &amp; "Level: HB - LI" &amp; CHAR(10) &amp; "Please transfer $" &amp; 'Profit &amp; Loss'!O60 &amp; " per pax to Belle (83396501)" &amp; CHAR(10) &amp; CHAR(10) &amp; IF('Profit &amp; Loss'!I60=1, "1." &amp; CHAR(10) &amp; "2." &amp; CHAR(10) &amp; "3." &amp; CHAR(10) &amp; "4." &amp; CHAR(10) &amp; "5." &amp; CHAR(10) &amp; "6." &amp; CHAR(10), IF('Profit &amp; Loss'!I60=2,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" spans="1:2" ht="12.5" x14ac:dyDescent="0.25">
      <c r="A58" s="2" t="str">
        <f ca="1">IF('Profit &amp; Loss'!A61&gt;=TODAY(),"Looking for friendly players to join the following game: " &amp; CHAR(10) &amp; CHAR(10) &amp; "Date: " &amp; TEXT('Profit &amp; Loss'!A61,"dd mmm yyy") &amp; ", " &amp; 'Profit &amp; Loss'!B61 &amp; CHAR(10) &amp; "Time: " &amp; TEXT('Profit &amp; Loss'!C61, "hh:mm AM/PM") &amp; " - " &amp; TEXT('Profit &amp; Loss'!D61, "hh:mm AM/PM") &amp; CHAR(10) &amp; "Venue: " &amp; 'Profit &amp; Loss'!E61 &amp; CHAR(10) &amp; "Level: HB - LI" &amp; CHAR(10) &amp; "Cost: $" &amp; 'Profit &amp; Loss'!O61 &amp; " per pax" &amp; CHAR(10) &amp; "Max " &amp; 'Profit &amp; Loss'!I61*6 &amp; " pax," &amp; " (" &amp; 'Profit &amp; Loss'!I61 &amp; " courts)" &amp; CHAR(10) &amp; CHAR(10) &amp; "RSL Ultimate shuttles provided" &amp; CHAR(10) &amp; CHAR(10) &amp; "PM if interested, thank you!"," ")</f>
        <v xml:space="preserve"> </v>
      </c>
      <c r="B58" s="2" t="str">
        <f ca="1">IF('Profit &amp; Loss'!A61&gt;=TODAY(), "Date: " &amp; TEXT('Profit &amp; Loss'!A61,"dd mmm yyy") &amp; ", " &amp; 'Profit &amp; Loss'!B61 &amp; CHAR(10) &amp; "Time: " &amp; TEXT('Profit &amp; Loss'!C61, "hh:mm AM/PM") &amp; " - " &amp; TEXT('Profit &amp; Loss'!D61, "hh:mm AM/PM") &amp; CHAR(10) &amp; "Venue: " &amp; 'Profit &amp; Loss'!E61 &amp; CHAR(10) &amp; "Court No.: " &amp; 'Profit &amp; Loss'!F61 &amp; CHAR(10) &amp; "Level: HB - LI" &amp; CHAR(10) &amp; "Please transfer $" &amp; 'Profit &amp; Loss'!O61 &amp; " per pax to Belle (83396501)" &amp; CHAR(10) &amp; CHAR(10) &amp; IF('Profit &amp; Loss'!I61=1, "1." &amp; CHAR(10) &amp; "2." &amp; CHAR(10) &amp; "3." &amp; CHAR(10) &amp; "4." &amp; CHAR(10) &amp; "5." &amp; CHAR(10) &amp; "6." &amp; CHAR(10), IF('Profit &amp; Loss'!I61=2,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" spans="1:2" ht="12.5" x14ac:dyDescent="0.25">
      <c r="A59" s="2" t="str">
        <f ca="1">IF('Profit &amp; Loss'!A62&gt;=TODAY(),"Looking for friendly players to join the following game: " &amp; CHAR(10) &amp; CHAR(10) &amp; "Date: " &amp; TEXT('Profit &amp; Loss'!A62,"dd mmm yyy") &amp; ", " &amp; 'Profit &amp; Loss'!B62 &amp; CHAR(10) &amp; "Time: " &amp; TEXT('Profit &amp; Loss'!C62, "hh:mm AM/PM") &amp; " - " &amp; TEXT('Profit &amp; Loss'!D62, "hh:mm AM/PM") &amp; CHAR(10) &amp; "Venue: " &amp; 'Profit &amp; Loss'!E62 &amp; CHAR(10) &amp; "Level: HB - LI" &amp; CHAR(10) &amp; "Cost: $" &amp; 'Profit &amp; Loss'!O62 &amp; " per pax" &amp; CHAR(10) &amp; "Max " &amp; 'Profit &amp; Loss'!I62*6 &amp; " pax," &amp; " (" &amp; 'Profit &amp; Loss'!I62 &amp; " courts)" &amp; CHAR(10) &amp; CHAR(10) &amp; "RSL Ultimate shuttles provided" &amp; CHAR(10) &amp; CHAR(10) &amp; "PM if interested, thank you!"," ")</f>
        <v xml:space="preserve"> </v>
      </c>
      <c r="B59" s="2" t="str">
        <f ca="1">IF('Profit &amp; Loss'!A62&gt;=TODAY(), "Date: " &amp; TEXT('Profit &amp; Loss'!A62,"dd mmm yyy") &amp; ", " &amp; 'Profit &amp; Loss'!B62 &amp; CHAR(10) &amp; "Time: " &amp; TEXT('Profit &amp; Loss'!C62, "hh:mm AM/PM") &amp; " - " &amp; TEXT('Profit &amp; Loss'!D62, "hh:mm AM/PM") &amp; CHAR(10) &amp; "Venue: " &amp; 'Profit &amp; Loss'!E62 &amp; CHAR(10) &amp; "Court No.: " &amp; 'Profit &amp; Loss'!F62 &amp; CHAR(10) &amp; "Level: HB - LI" &amp; CHAR(10) &amp; "Please transfer $" &amp; 'Profit &amp; Loss'!O62 &amp; " per pax to Belle (83396501)" &amp; CHAR(10) &amp; CHAR(10) &amp; IF('Profit &amp; Loss'!I62=1, "1." &amp; CHAR(10) &amp; "2." &amp; CHAR(10) &amp; "3." &amp; CHAR(10) &amp; "4." &amp; CHAR(10) &amp; "5." &amp; CHAR(10) &amp; "6." &amp; CHAR(10), IF('Profit &amp; Loss'!I62=2,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" spans="1:2" ht="12.5" x14ac:dyDescent="0.25">
      <c r="A60" s="2" t="str">
        <f ca="1">IF('Profit &amp; Loss'!A63&gt;=TODAY(),"Looking for friendly players to join the following game: " &amp; CHAR(10) &amp; CHAR(10) &amp; "Date: " &amp; TEXT('Profit &amp; Loss'!A63,"dd mmm yyy") &amp; ", " &amp; 'Profit &amp; Loss'!B63 &amp; CHAR(10) &amp; "Time: " &amp; TEXT('Profit &amp; Loss'!C63, "hh:mm AM/PM") &amp; " - " &amp; TEXT('Profit &amp; Loss'!D63, "hh:mm AM/PM") &amp; CHAR(10) &amp; "Venue: " &amp; 'Profit &amp; Loss'!E63 &amp; CHAR(10) &amp; "Level: HB - LI" &amp; CHAR(10) &amp; "Cost: $" &amp; 'Profit &amp; Loss'!O63 &amp; " per pax" &amp; CHAR(10) &amp; "Max " &amp; 'Profit &amp; Loss'!I63*6 &amp; " pax," &amp; " (" &amp; 'Profit &amp; Loss'!I63 &amp; " courts)" &amp; CHAR(10) &amp; CHAR(10) &amp; "RSL Ultimate shuttles provided" &amp; CHAR(10) &amp; CHAR(10) &amp; "PM if interested, thank you!"," ")</f>
        <v xml:space="preserve"> </v>
      </c>
      <c r="B60" s="2" t="str">
        <f ca="1">IF('Profit &amp; Loss'!A63&gt;=TODAY(), "Date: " &amp; TEXT('Profit &amp; Loss'!A63,"dd mmm yyy") &amp; ", " &amp; 'Profit &amp; Loss'!B63 &amp; CHAR(10) &amp; "Time: " &amp; TEXT('Profit &amp; Loss'!C63, "hh:mm AM/PM") &amp; " - " &amp; TEXT('Profit &amp; Loss'!D63, "hh:mm AM/PM") &amp; CHAR(10) &amp; "Venue: " &amp; 'Profit &amp; Loss'!E63 &amp; CHAR(10) &amp; "Court No.: " &amp; 'Profit &amp; Loss'!F63 &amp; CHAR(10) &amp; "Level: HB - LI" &amp; CHAR(10) &amp; "Please transfer $" &amp; 'Profit &amp; Loss'!O63 &amp; " per pax to Belle (83396501)" &amp; CHAR(10) &amp; CHAR(10) &amp; IF('Profit &amp; Loss'!I63=1, "1." &amp; CHAR(10) &amp; "2." &amp; CHAR(10) &amp; "3." &amp; CHAR(10) &amp; "4." &amp; CHAR(10) &amp; "5." &amp; CHAR(10) &amp; "6." &amp; CHAR(10), IF('Profit &amp; Loss'!I63=2,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" spans="1:2" ht="12.5" x14ac:dyDescent="0.25">
      <c r="A61" s="2" t="str">
        <f ca="1">IF('Profit &amp; Loss'!A64&gt;=TODAY(),"Looking for friendly players to join the following game: " &amp; CHAR(10) &amp; CHAR(10) &amp; "Date: " &amp; TEXT('Profit &amp; Loss'!A64,"dd mmm yyy") &amp; ", " &amp; 'Profit &amp; Loss'!B64 &amp; CHAR(10) &amp; "Time: " &amp; TEXT('Profit &amp; Loss'!C64, "hh:mm AM/PM") &amp; " - " &amp; TEXT('Profit &amp; Loss'!D64, "hh:mm AM/PM") &amp; CHAR(10) &amp; "Venue: " &amp; 'Profit &amp; Loss'!E64 &amp; CHAR(10) &amp; "Level: HB - LI" &amp; CHAR(10) &amp; "Cost: $" &amp; 'Profit &amp; Loss'!O64 &amp; " per pax" &amp; CHAR(10) &amp; "Max " &amp; 'Profit &amp; Loss'!I64*6 &amp; " pax," &amp; " (" &amp; 'Profit &amp; Loss'!I64 &amp; " courts)" &amp; CHAR(10) &amp; CHAR(10) &amp; "RSL Ultimate shuttles provided" &amp; CHAR(10) &amp; CHAR(10) &amp; "PM if interested, thank you!"," ")</f>
        <v xml:space="preserve"> </v>
      </c>
      <c r="B61" s="2" t="str">
        <f ca="1">IF('Profit &amp; Loss'!A64&gt;=TODAY(), "Date: " &amp; TEXT('Profit &amp; Loss'!A64,"dd mmm yyy") &amp; ", " &amp; 'Profit &amp; Loss'!B64 &amp; CHAR(10) &amp; "Time: " &amp; TEXT('Profit &amp; Loss'!C64, "hh:mm AM/PM") &amp; " - " &amp; TEXT('Profit &amp; Loss'!D64, "hh:mm AM/PM") &amp; CHAR(10) &amp; "Venue: " &amp; 'Profit &amp; Loss'!E64 &amp; CHAR(10) &amp; "Court No.: " &amp; 'Profit &amp; Loss'!F64 &amp; CHAR(10) &amp; "Level: HB - LI" &amp; CHAR(10) &amp; "Please transfer $" &amp; 'Profit &amp; Loss'!O64 &amp; " per pax to Belle (83396501)" &amp; CHAR(10) &amp; CHAR(10) &amp; IF('Profit &amp; Loss'!I64=1, "1." &amp; CHAR(10) &amp; "2." &amp; CHAR(10) &amp; "3." &amp; CHAR(10) &amp; "4." &amp; CHAR(10) &amp; "5." &amp; CHAR(10) &amp; "6." &amp; CHAR(10), IF('Profit &amp; Loss'!I64=2,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" spans="1:2" ht="12.5" x14ac:dyDescent="0.25">
      <c r="A62" s="2" t="str">
        <f ca="1">IF('Profit &amp; Loss'!A65&gt;=TODAY(),"Looking for friendly players to join the following game: " &amp; CHAR(10) &amp; CHAR(10) &amp; "Date: " &amp; TEXT('Profit &amp; Loss'!A65,"dd mmm yyy") &amp; ", " &amp; 'Profit &amp; Loss'!B65 &amp; CHAR(10) &amp; "Time: " &amp; TEXT('Profit &amp; Loss'!C65, "hh:mm AM/PM") &amp; " - " &amp; TEXT('Profit &amp; Loss'!D65, "hh:mm AM/PM") &amp; CHAR(10) &amp; "Venue: " &amp; 'Profit &amp; Loss'!E65 &amp; CHAR(10) &amp; "Level: HB - LI" &amp; CHAR(10) &amp; "Cost: $" &amp; 'Profit &amp; Loss'!O65 &amp; " per pax" &amp; CHAR(10) &amp; "Max " &amp; 'Profit &amp; Loss'!I65*6 &amp; " pax," &amp; " (" &amp; 'Profit &amp; Loss'!I65 &amp; " courts)" &amp; CHAR(10) &amp; CHAR(10) &amp; "RSL Ultimate shuttles provided" &amp; CHAR(10) &amp; CHAR(10) &amp; "PM if interested, thank you!"," ")</f>
        <v xml:space="preserve"> </v>
      </c>
      <c r="B62" s="2" t="str">
        <f ca="1">IF('Profit &amp; Loss'!A65&gt;=TODAY(), "Date: " &amp; TEXT('Profit &amp; Loss'!A65,"dd mmm yyy") &amp; ", " &amp; 'Profit &amp; Loss'!B65 &amp; CHAR(10) &amp; "Time: " &amp; TEXT('Profit &amp; Loss'!C65, "hh:mm AM/PM") &amp; " - " &amp; TEXT('Profit &amp; Loss'!D65, "hh:mm AM/PM") &amp; CHAR(10) &amp; "Venue: " &amp; 'Profit &amp; Loss'!E65 &amp; CHAR(10) &amp; "Court No.: " &amp; 'Profit &amp; Loss'!F65 &amp; CHAR(10) &amp; "Level: HB - LI" &amp; CHAR(10) &amp; "Please transfer $" &amp; 'Profit &amp; Loss'!O65 &amp; " per pax to Belle (83396501)" &amp; CHAR(10) &amp; CHAR(10) &amp; IF('Profit &amp; Loss'!I65=1, "1." &amp; CHAR(10) &amp; "2." &amp; CHAR(10) &amp; "3." &amp; CHAR(10) &amp; "4." &amp; CHAR(10) &amp; "5." &amp; CHAR(10) &amp; "6." &amp; CHAR(10), IF('Profit &amp; Loss'!I65=2,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" spans="1:2" ht="12.5" x14ac:dyDescent="0.25">
      <c r="A63" s="2" t="str">
        <f ca="1">IF('Profit &amp; Loss'!A66&gt;=TODAY(),"Looking for friendly players to join the following game: " &amp; CHAR(10) &amp; CHAR(10) &amp; "Date: " &amp; TEXT('Profit &amp; Loss'!A66,"dd mmm yyy") &amp; ", " &amp; 'Profit &amp; Loss'!B66 &amp; CHAR(10) &amp; "Time: " &amp; TEXT('Profit &amp; Loss'!C66, "hh:mm AM/PM") &amp; " - " &amp; TEXT('Profit &amp; Loss'!D66, "hh:mm AM/PM") &amp; CHAR(10) &amp; "Venue: " &amp; 'Profit &amp; Loss'!E66 &amp; CHAR(10) &amp; "Level: HB - LI" &amp; CHAR(10) &amp; "Cost: $" &amp; 'Profit &amp; Loss'!O66 &amp; " per pax" &amp; CHAR(10) &amp; "Max " &amp; 'Profit &amp; Loss'!I66*6 &amp; " pax," &amp; " (" &amp; 'Profit &amp; Loss'!I66 &amp; " courts)" &amp; CHAR(10) &amp; CHAR(10) &amp; "RSL Ultimate shuttles provided" &amp; CHAR(10) &amp; CHAR(10) &amp; "PM if interested, thank you!"," ")</f>
        <v xml:space="preserve"> </v>
      </c>
      <c r="B63" s="2" t="str">
        <f ca="1">IF('Profit &amp; Loss'!A66&gt;=TODAY(), "Date: " &amp; TEXT('Profit &amp; Loss'!A66,"dd mmm yyy") &amp; ", " &amp; 'Profit &amp; Loss'!B66 &amp; CHAR(10) &amp; "Time: " &amp; TEXT('Profit &amp; Loss'!C66, "hh:mm AM/PM") &amp; " - " &amp; TEXT('Profit &amp; Loss'!D66, "hh:mm AM/PM") &amp; CHAR(10) &amp; "Venue: " &amp; 'Profit &amp; Loss'!E66 &amp; CHAR(10) &amp; "Court No.: " &amp; 'Profit &amp; Loss'!F66 &amp; CHAR(10) &amp; "Level: HB - LI" &amp; CHAR(10) &amp; "Please transfer $" &amp; 'Profit &amp; Loss'!O66 &amp; " per pax to Belle (83396501)" &amp; CHAR(10) &amp; CHAR(10) &amp; IF('Profit &amp; Loss'!I66=1, "1." &amp; CHAR(10) &amp; "2." &amp; CHAR(10) &amp; "3." &amp; CHAR(10) &amp; "4." &amp; CHAR(10) &amp; "5." &amp; CHAR(10) &amp; "6." &amp; CHAR(10), IF('Profit &amp; Loss'!I66=2,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" spans="1:2" ht="12.5" x14ac:dyDescent="0.25">
      <c r="A64" s="2" t="str">
        <f ca="1">IF('Profit &amp; Loss'!A67&gt;=TODAY(),"Looking for friendly players to join the following game: " &amp; CHAR(10) &amp; CHAR(10) &amp; "Date: " &amp; TEXT('Profit &amp; Loss'!A67,"dd mmm yyy") &amp; ", " &amp; 'Profit &amp; Loss'!B67 &amp; CHAR(10) &amp; "Time: " &amp; TEXT('Profit &amp; Loss'!C67, "hh:mm AM/PM") &amp; " - " &amp; TEXT('Profit &amp; Loss'!D67, "hh:mm AM/PM") &amp; CHAR(10) &amp; "Venue: " &amp; 'Profit &amp; Loss'!E67 &amp; CHAR(10) &amp; "Level: HB - LI" &amp; CHAR(10) &amp; "Cost: $" &amp; 'Profit &amp; Loss'!O67 &amp; " per pax" &amp; CHAR(10) &amp; "Max " &amp; 'Profit &amp; Loss'!I67*6 &amp; " pax," &amp; " (" &amp; 'Profit &amp; Loss'!I67 &amp; " courts)" &amp; CHAR(10) &amp; CHAR(10) &amp; "RSL Ultimate shuttles provided" &amp; CHAR(10) &amp; CHAR(10) &amp; "PM if interested, thank you!"," ")</f>
        <v xml:space="preserve"> </v>
      </c>
      <c r="B64" s="2" t="str">
        <f ca="1">IF('Profit &amp; Loss'!A67&gt;=TODAY(), "Date: " &amp; TEXT('Profit &amp; Loss'!A67,"dd mmm yyy") &amp; ", " &amp; 'Profit &amp; Loss'!B67 &amp; CHAR(10) &amp; "Time: " &amp; TEXT('Profit &amp; Loss'!C67, "hh:mm AM/PM") &amp; " - " &amp; TEXT('Profit &amp; Loss'!D67, "hh:mm AM/PM") &amp; CHAR(10) &amp; "Venue: " &amp; 'Profit &amp; Loss'!E67 &amp; CHAR(10) &amp; "Court No.: " &amp; 'Profit &amp; Loss'!F67 &amp; CHAR(10) &amp; "Level: HB - LI" &amp; CHAR(10) &amp; "Please transfer $" &amp; 'Profit &amp; Loss'!O67 &amp; " per pax to Belle (83396501)" &amp; CHAR(10) &amp; CHAR(10) &amp; IF('Profit &amp; Loss'!I67=1, "1." &amp; CHAR(10) &amp; "2." &amp; CHAR(10) &amp; "3." &amp; CHAR(10) &amp; "4." &amp; CHAR(10) &amp; "5." &amp; CHAR(10) &amp; "6." &amp; CHAR(10), IF('Profit &amp; Loss'!I67=2,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" spans="1:2" ht="12.5" x14ac:dyDescent="0.25">
      <c r="A65" s="2" t="str">
        <f ca="1">IF('Profit &amp; Loss'!A68&gt;=TODAY(),"Looking for friendly players to join the following game: " &amp; CHAR(10) &amp; CHAR(10) &amp; "Date: " &amp; TEXT('Profit &amp; Loss'!A68,"dd mmm yyy") &amp; ", " &amp; 'Profit &amp; Loss'!B68 &amp; CHAR(10) &amp; "Time: " &amp; TEXT('Profit &amp; Loss'!C68, "hh:mm AM/PM") &amp; " - " &amp; TEXT('Profit &amp; Loss'!D68, "hh:mm AM/PM") &amp; CHAR(10) &amp; "Venue: " &amp; 'Profit &amp; Loss'!E68 &amp; CHAR(10) &amp; "Level: HB - LI" &amp; CHAR(10) &amp; "Cost: $" &amp; 'Profit &amp; Loss'!O68 &amp; " per pax" &amp; CHAR(10) &amp; "Max " &amp; 'Profit &amp; Loss'!I68*6 &amp; " pax," &amp; " (" &amp; 'Profit &amp; Loss'!I68 &amp; " courts)" &amp; CHAR(10) &amp; CHAR(10) &amp; "RSL Ultimate shuttles provided" &amp; CHAR(10) &amp; CHAR(10) &amp; "PM if interested, thank you!"," ")</f>
        <v xml:space="preserve"> </v>
      </c>
      <c r="B65" s="2" t="str">
        <f ca="1">IF('Profit &amp; Loss'!A68&gt;=TODAY(), "Date: " &amp; TEXT('Profit &amp; Loss'!A68,"dd mmm yyy") &amp; ", " &amp; 'Profit &amp; Loss'!B68 &amp; CHAR(10) &amp; "Time: " &amp; TEXT('Profit &amp; Loss'!C68, "hh:mm AM/PM") &amp; " - " &amp; TEXT('Profit &amp; Loss'!D68, "hh:mm AM/PM") &amp; CHAR(10) &amp; "Venue: " &amp; 'Profit &amp; Loss'!E68 &amp; CHAR(10) &amp; "Court No.: " &amp; 'Profit &amp; Loss'!F68 &amp; CHAR(10) &amp; "Level: HB - LI" &amp; CHAR(10) &amp; "Please transfer $" &amp; 'Profit &amp; Loss'!O68 &amp; " per pax to Belle (83396501)" &amp; CHAR(10) &amp; CHAR(10) &amp; IF('Profit &amp; Loss'!I68=1, "1." &amp; CHAR(10) &amp; "2." &amp; CHAR(10) &amp; "3." &amp; CHAR(10) &amp; "4." &amp; CHAR(10) &amp; "5." &amp; CHAR(10) &amp; "6." &amp; CHAR(10), IF('Profit &amp; Loss'!I68=2,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" spans="1:2" ht="12.5" x14ac:dyDescent="0.25">
      <c r="A66" s="2" t="str">
        <f ca="1">IF('Profit &amp; Loss'!A69&gt;=TODAY(),"Looking for friendly players to join the following game: " &amp; CHAR(10) &amp; CHAR(10) &amp; "Date: " &amp; TEXT('Profit &amp; Loss'!A69,"dd mmm yyy") &amp; ", " &amp; 'Profit &amp; Loss'!B69 &amp; CHAR(10) &amp; "Time: " &amp; TEXT('Profit &amp; Loss'!C69, "hh:mm AM/PM") &amp; " - " &amp; TEXT('Profit &amp; Loss'!D69, "hh:mm AM/PM") &amp; CHAR(10) &amp; "Venue: " &amp; 'Profit &amp; Loss'!E69 &amp; CHAR(10) &amp; "Level: HB - LI" &amp; CHAR(10) &amp; "Cost: $" &amp; 'Profit &amp; Loss'!O69 &amp; " per pax" &amp; CHAR(10) &amp; "Max " &amp; 'Profit &amp; Loss'!I69*6 &amp; " pax," &amp; " (" &amp; 'Profit &amp; Loss'!I69 &amp; " courts)" &amp; CHAR(10) &amp; CHAR(10) &amp; "RSL Ultimate shuttles provided" &amp; CHAR(10) &amp; CHAR(10) &amp; "PM if interested, thank you!"," ")</f>
        <v xml:space="preserve"> </v>
      </c>
      <c r="B66" s="2" t="str">
        <f ca="1">IF('Profit &amp; Loss'!A69&gt;=TODAY(), "Date: " &amp; TEXT('Profit &amp; Loss'!A69,"dd mmm yyy") &amp; ", " &amp; 'Profit &amp; Loss'!B69 &amp; CHAR(10) &amp; "Time: " &amp; TEXT('Profit &amp; Loss'!C69, "hh:mm AM/PM") &amp; " - " &amp; TEXT('Profit &amp; Loss'!D69, "hh:mm AM/PM") &amp; CHAR(10) &amp; "Venue: " &amp; 'Profit &amp; Loss'!E69 &amp; CHAR(10) &amp; "Court No.: " &amp; 'Profit &amp; Loss'!F69 &amp; CHAR(10) &amp; "Level: HB - LI" &amp; CHAR(10) &amp; "Please transfer $" &amp; 'Profit &amp; Loss'!O69 &amp; " per pax to Belle (83396501)" &amp; CHAR(10) &amp; CHAR(10) &amp; IF('Profit &amp; Loss'!I69=1, "1." &amp; CHAR(10) &amp; "2." &amp; CHAR(10) &amp; "3." &amp; CHAR(10) &amp; "4." &amp; CHAR(10) &amp; "5." &amp; CHAR(10) &amp; "6." &amp; CHAR(10), IF('Profit &amp; Loss'!I69=2,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" spans="1:2" ht="12.5" x14ac:dyDescent="0.25">
      <c r="A67" s="2" t="str">
        <f ca="1">IF('Profit &amp; Loss'!A70&gt;=TODAY(),"Looking for friendly players to join the following game: " &amp; CHAR(10) &amp; CHAR(10) &amp; "Date: " &amp; TEXT('Profit &amp; Loss'!A70,"dd mmm yyy") &amp; ", " &amp; 'Profit &amp; Loss'!B70 &amp; CHAR(10) &amp; "Time: " &amp; TEXT('Profit &amp; Loss'!C70, "hh:mm AM/PM") &amp; " - " &amp; TEXT('Profit &amp; Loss'!D70, "hh:mm AM/PM") &amp; CHAR(10) &amp; "Venue: " &amp; 'Profit &amp; Loss'!E70 &amp; CHAR(10) &amp; "Level: HB - LI" &amp; CHAR(10) &amp; "Cost: $" &amp; 'Profit &amp; Loss'!O70 &amp; " per pax" &amp; CHAR(10) &amp; "Max " &amp; 'Profit &amp; Loss'!I70*6 &amp; " pax," &amp; " (" &amp; 'Profit &amp; Loss'!I70 &amp; " courts)" &amp; CHAR(10) &amp; CHAR(10) &amp; "RSL Ultimate shuttles provided" &amp; CHAR(10) &amp; CHAR(10) &amp; "PM if interested, thank you!"," ")</f>
        <v xml:space="preserve"> </v>
      </c>
      <c r="B67" s="2" t="str">
        <f ca="1">IF('Profit &amp; Loss'!A70&gt;=TODAY(), "Date: " &amp; TEXT('Profit &amp; Loss'!A70,"dd mmm yyy") &amp; ", " &amp; 'Profit &amp; Loss'!B70 &amp; CHAR(10) &amp; "Time: " &amp; TEXT('Profit &amp; Loss'!C70, "hh:mm AM/PM") &amp; " - " &amp; TEXT('Profit &amp; Loss'!D70, "hh:mm AM/PM") &amp; CHAR(10) &amp; "Venue: " &amp; 'Profit &amp; Loss'!E70 &amp; CHAR(10) &amp; "Court No.: " &amp; 'Profit &amp; Loss'!F70 &amp; CHAR(10) &amp; "Level: HB - LI" &amp; CHAR(10) &amp; "Please transfer $" &amp; 'Profit &amp; Loss'!O70 &amp; " per pax to Belle (83396501)" &amp; CHAR(10) &amp; CHAR(10) &amp; IF('Profit &amp; Loss'!I70=1, "1." &amp; CHAR(10) &amp; "2." &amp; CHAR(10) &amp; "3." &amp; CHAR(10) &amp; "4." &amp; CHAR(10) &amp; "5." &amp; CHAR(10) &amp; "6." &amp; CHAR(10), IF('Profit &amp; Loss'!I70=2,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" spans="1:2" ht="12.5" x14ac:dyDescent="0.25">
      <c r="A68" s="2" t="str">
        <f ca="1">IF('Profit &amp; Loss'!A71&gt;=TODAY(),"Looking for friendly players to join the following game: " &amp; CHAR(10) &amp; CHAR(10) &amp; "Date: " &amp; TEXT('Profit &amp; Loss'!A71,"dd mmm yyy") &amp; ", " &amp; 'Profit &amp; Loss'!B71 &amp; CHAR(10) &amp; "Time: " &amp; TEXT('Profit &amp; Loss'!C71, "hh:mm AM/PM") &amp; " - " &amp; TEXT('Profit &amp; Loss'!D71, "hh:mm AM/PM") &amp; CHAR(10) &amp; "Venue: " &amp; 'Profit &amp; Loss'!E71 &amp; CHAR(10) &amp; "Level: HB - LI" &amp; CHAR(10) &amp; "Cost: $" &amp; 'Profit &amp; Loss'!O71 &amp; " per pax" &amp; CHAR(10) &amp; "Max " &amp; 'Profit &amp; Loss'!I71*6 &amp; " pax," &amp; " (" &amp; 'Profit &amp; Loss'!I71 &amp; " courts)" &amp; CHAR(10) &amp; CHAR(10) &amp; "RSL Ultimate shuttles provided" &amp; CHAR(10) &amp; CHAR(10) &amp; "PM if interested, thank you!"," ")</f>
        <v>Looking for friendly players to join the following game: 
Date: 29 May 2026, Fri
Time: 07:30 pm - 09:30 pm
Venue: Fengshan CC
Level: HB - LI
Cost: $12 per pax
Max 12 pax, (2 courts)
RSL Ultimate shuttles provided
PM if interested, thank you!</v>
      </c>
      <c r="B68" s="2" t="str">
        <f ca="1">IF('Profit &amp; Loss'!A71&gt;=TODAY(), "Date: " &amp; TEXT('Profit &amp; Loss'!A71,"dd mmm yyy") &amp; ", " &amp; 'Profit &amp; Loss'!B71 &amp; CHAR(10) &amp; "Time: " &amp; TEXT('Profit &amp; Loss'!C71, "hh:mm AM/PM") &amp; " - " &amp; TEXT('Profit &amp; Loss'!D71, "hh:mm AM/PM") &amp; CHAR(10) &amp; "Venue: " &amp; 'Profit &amp; Loss'!E71 &amp; CHAR(10) &amp; "Court No.: " &amp; 'Profit &amp; Loss'!F71 &amp; CHAR(10) &amp; "Level: HB - LI" &amp; CHAR(10) &amp; "Please transfer $" &amp; 'Profit &amp; Loss'!O71 &amp; " per pax to Belle (83396501)" &amp; CHAR(10) &amp; CHAR(10) &amp; IF('Profit &amp; Loss'!I71=1, "1." &amp; CHAR(10) &amp; "2." &amp; CHAR(10) &amp; "3." &amp; CHAR(10) &amp; "4." &amp; CHAR(10) &amp; "5." &amp; CHAR(10) &amp; "6." &amp; CHAR(10), IF('Profit &amp; Loss'!I71=2,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Date: 29 May 2026, Fri
Time: 07:30 pm - 09:30 pm
Venue: Fengshan CC
Court No.: 1 &amp; 2
Level: HB - LI
Please transfer $12 per pax to Belle (83396501)
1.
2.
3.
4.
5.
6.
7.
8.
9.
10.
11.
12.
</v>
      </c>
    </row>
    <row r="69" spans="1:2" ht="12.5" x14ac:dyDescent="0.25">
      <c r="A69" s="2" t="str">
        <f ca="1">IF('Profit &amp; Loss'!A72&gt;=TODAY(),"Looking for friendly players to join the following game: " &amp; CHAR(10) &amp; CHAR(10) &amp; "Date: " &amp; TEXT('Profit &amp; Loss'!A72,"dd mmm yyy") &amp; ", " &amp; 'Profit &amp; Loss'!B72 &amp; CHAR(10) &amp; "Time: " &amp; TEXT('Profit &amp; Loss'!C72, "hh:mm AM/PM") &amp; " - " &amp; TEXT('Profit &amp; Loss'!D72, "hh:mm AM/PM") &amp; CHAR(10) &amp; "Venue: " &amp; 'Profit &amp; Loss'!E72 &amp; CHAR(10) &amp; "Level: HB - LI" &amp; CHAR(10) &amp; "Cost: $" &amp; 'Profit &amp; Loss'!O72 &amp; " per pax" &amp; CHAR(10) &amp; "Max " &amp; 'Profit &amp; Loss'!I72*6 &amp; " pax," &amp; " (" &amp; 'Profit &amp; Loss'!I72 &amp; " courts)" &amp; CHAR(10) &amp; CHAR(10) &amp; "RSL Ultimate shuttles provided" &amp; CHAR(10) &amp; CHAR(10) &amp; "PM if interested, thank you!"," ")</f>
        <v>Looking for friendly players to join the following game: 
Date: 30 May 2026, Sat
Time: 07:30 pm - 09:30 pm
Venue: Siglap CC
Level: HB - LI
Cost: $14 per pax
Max 6 pax, (1 courts)
RSL Ultimate shuttles provided
PM if interested, thank you!</v>
      </c>
      <c r="B69" s="2" t="str">
        <f ca="1">IF('Profit &amp; Loss'!A72&gt;=TODAY(), "Date: " &amp; TEXT('Profit &amp; Loss'!A72,"dd mmm yyy") &amp; ", " &amp; 'Profit &amp; Loss'!B72 &amp; CHAR(10) &amp; "Time: " &amp; TEXT('Profit &amp; Loss'!C72, "hh:mm AM/PM") &amp; " - " &amp; TEXT('Profit &amp; Loss'!D72, "hh:mm AM/PM") &amp; CHAR(10) &amp; "Venue: " &amp; 'Profit &amp; Loss'!E72 &amp; CHAR(10) &amp; "Court No.: " &amp; 'Profit &amp; Loss'!F72 &amp; CHAR(10) &amp; "Level: HB - LI" &amp; CHAR(10) &amp; "Please transfer $" &amp; 'Profit &amp; Loss'!O72 &amp; " per pax to Belle (83396501)" &amp; CHAR(10) &amp; CHAR(10) &amp; IF('Profit &amp; Loss'!I72=1, "1." &amp; CHAR(10) &amp; "2." &amp; CHAR(10) &amp; "3." &amp; CHAR(10) &amp; "4." &amp; CHAR(10) &amp; "5." &amp; CHAR(10) &amp; "6." &amp; CHAR(10), IF('Profit &amp; Loss'!I72=2,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Date: 30 May 2026, Sat
Time: 07:30 pm - 09:30 pm
Venue: Siglap CC
Court No.: 3
Level: HB - LI
Please transfer $14 per pax to Belle (83396501)
1.
2.
3.
4.
5.
6.
</v>
      </c>
    </row>
    <row r="70" spans="1:2" ht="12.5" x14ac:dyDescent="0.25">
      <c r="A70" s="2" t="str">
        <f ca="1">IF('Profit &amp; Loss'!A73&gt;=TODAY(),"Looking for friendly players to join the following game: " &amp; CHAR(10) &amp; CHAR(10) &amp; "Date: " &amp; TEXT('Profit &amp; Loss'!A73,"dd mmm yyy") &amp; ", " &amp; 'Profit &amp; Loss'!B73 &amp; CHAR(10) &amp; "Time: " &amp; TEXT('Profit &amp; Loss'!C73, "hh:mm AM/PM") &amp; " - " &amp; TEXT('Profit &amp; Loss'!D73, "hh:mm AM/PM") &amp; CHAR(10) &amp; "Venue: " &amp; 'Profit &amp; Loss'!E73 &amp; CHAR(10) &amp; "Level: HB - LI" &amp; CHAR(10) &amp; "Cost: $" &amp; 'Profit &amp; Loss'!O73 &amp; " per pax" &amp; CHAR(10) &amp; "Max " &amp; 'Profit &amp; Loss'!I73*6 &amp; " pax," &amp; " (" &amp; 'Profit &amp; Loss'!I73 &amp; " courts)" &amp; CHAR(10) &amp; CHAR(10) &amp; "RSL Ultimate shuttles provided" &amp; CHAR(10) &amp; CHAR(10) &amp; "PM if interested, thank you!"," ")</f>
        <v>Looking for friendly players to join the following game: 
Date: 07 Jun 2026, Sun
Time: 06:30 pm - 08:30 pm
Venue: Siglap CC
Level: HB - LI
Cost: $14 per pax
Max 12 pax, (2 courts)
RSL Ultimate shuttles provided
PM if interested, thank you!</v>
      </c>
      <c r="B70" s="2" t="str">
        <f ca="1">IF('Profit &amp; Loss'!A73&gt;=TODAY(), "Date: " &amp; TEXT('Profit &amp; Loss'!A73,"dd mmm yyy") &amp; ", " &amp; 'Profit &amp; Loss'!B73 &amp; CHAR(10) &amp; "Time: " &amp; TEXT('Profit &amp; Loss'!C73, "hh:mm AM/PM") &amp; " - " &amp; TEXT('Profit &amp; Loss'!D73, "hh:mm AM/PM") &amp; CHAR(10) &amp; "Venue: " &amp; 'Profit &amp; Loss'!E73 &amp; CHAR(10) &amp; "Court No.: " &amp; 'Profit &amp; Loss'!F73 &amp; CHAR(10) &amp; "Level: HB - LI" &amp; CHAR(10) &amp; "Please transfer $" &amp; 'Profit &amp; Loss'!O73 &amp; " per pax to Belle (83396501)" &amp; CHAR(10) &amp; CHAR(10) &amp; IF('Profit &amp; Loss'!I73=1, "1." &amp; CHAR(10) &amp; "2." &amp; CHAR(10) &amp; "3." &amp; CHAR(10) &amp; "4." &amp; CHAR(10) &amp; "5." &amp; CHAR(10) &amp; "6." &amp; CHAR(10), IF('Profit &amp; Loss'!I73=2,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Date: 07 Jun 2026, Sun
Time: 06:30 pm - 08:30 pm
Venue: Siglap CC
Court No.: 1 &amp; 2
Level: HB - LI
Please transfer $14 per pax to Belle (83396501)
1.
2.
3.
4.
5.
6.
7.
8.
9.
10.
11.
12.
</v>
      </c>
    </row>
    <row r="71" spans="1:2" ht="12.5" x14ac:dyDescent="0.25">
      <c r="A71" s="2" t="str">
        <f ca="1">IF('Profit &amp; Loss'!A74&gt;=TODAY(),"Looking for friendly players to join the following game: " &amp; CHAR(10) &amp; CHAR(10) &amp; "Date: " &amp; TEXT('Profit &amp; Loss'!A74,"dd mmm yyy") &amp; ", " &amp; 'Profit &amp; Loss'!B74 &amp; CHAR(10) &amp; "Time: " &amp; TEXT('Profit &amp; Loss'!C74, "hh:mm AM/PM") &amp; " - " &amp; TEXT('Profit &amp; Loss'!D74, "hh:mm AM/PM") &amp; CHAR(10) &amp; "Venue: " &amp; 'Profit &amp; Loss'!E74 &amp; CHAR(10) &amp; "Level: HB - LI" &amp; CHAR(10) &amp; "Cost: $" &amp; 'Profit &amp; Loss'!O74 &amp; " per pax" &amp; CHAR(10) &amp; "Max " &amp; 'Profit &amp; Loss'!I74*6 &amp; " pax," &amp; " (" &amp; 'Profit &amp; Loss'!I74 &amp; " courts)" &amp; CHAR(10) &amp; CHAR(10) &amp; "RSL Ultimate shuttles provided" &amp; CHAR(10) &amp; CHAR(10) &amp; "PM if interested, thank you!"," ")</f>
        <v xml:space="preserve"> </v>
      </c>
      <c r="B71" s="2" t="str">
        <f ca="1">IF('Profit &amp; Loss'!A74&gt;=TODAY(), "Date: " &amp; TEXT('Profit &amp; Loss'!A74,"dd mmm yyy") &amp; ", " &amp; 'Profit &amp; Loss'!B74 &amp; CHAR(10) &amp; "Time: " &amp; TEXT('Profit &amp; Loss'!C74, "hh:mm AM/PM") &amp; " - " &amp; TEXT('Profit &amp; Loss'!D74, "hh:mm AM/PM") &amp; CHAR(10) &amp; "Venue: " &amp; 'Profit &amp; Loss'!E74 &amp; CHAR(10) &amp; "Court No.: " &amp; 'Profit &amp; Loss'!F74 &amp; CHAR(10) &amp; "Level: HB - LI" &amp; CHAR(10) &amp; "Please transfer $" &amp; 'Profit &amp; Loss'!O74 &amp; " per pax to Belle (83396501)" &amp; CHAR(10) &amp; CHAR(10) &amp; IF('Profit &amp; Loss'!I74=1, "1." &amp; CHAR(10) &amp; "2." &amp; CHAR(10) &amp; "3." &amp; CHAR(10) &amp; "4." &amp; CHAR(10) &amp; "5." &amp; CHAR(10) &amp; "6." &amp; CHAR(10), IF('Profit &amp; Loss'!I74=2,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" spans="1:2" ht="12.5" x14ac:dyDescent="0.25">
      <c r="A72" s="2" t="str">
        <f ca="1">IF('Profit &amp; Loss'!A75&gt;=TODAY(),"Looking for friendly players to join the following game: " &amp; CHAR(10) &amp; CHAR(10) &amp; "Date: " &amp; TEXT('Profit &amp; Loss'!A75,"dd mmm yyy") &amp; ", " &amp; 'Profit &amp; Loss'!B75 &amp; CHAR(10) &amp; "Time: " &amp; TEXT('Profit &amp; Loss'!C75, "hh:mm AM/PM") &amp; " - " &amp; TEXT('Profit &amp; Loss'!D75, "hh:mm AM/PM") &amp; CHAR(10) &amp; "Venue: " &amp; 'Profit &amp; Loss'!E75 &amp; CHAR(10) &amp; "Level: HB - LI" &amp; CHAR(10) &amp; "Cost: $" &amp; 'Profit &amp; Loss'!O75 &amp; " per pax" &amp; CHAR(10) &amp; "Max " &amp; 'Profit &amp; Loss'!I75*6 &amp; " pax," &amp; " (" &amp; 'Profit &amp; Loss'!I75 &amp; " courts)" &amp; CHAR(10) &amp; CHAR(10) &amp; "RSL Ultimate shuttles provided" &amp; CHAR(10) &amp; CHAR(10) &amp; "PM if interested, thank you!"," ")</f>
        <v xml:space="preserve"> </v>
      </c>
      <c r="B72" s="2" t="str">
        <f ca="1">IF('Profit &amp; Loss'!A75&gt;=TODAY(), "Date: " &amp; TEXT('Profit &amp; Loss'!A75,"dd mmm yyy") &amp; ", " &amp; 'Profit &amp; Loss'!B75 &amp; CHAR(10) &amp; "Time: " &amp; TEXT('Profit &amp; Loss'!C75, "hh:mm AM/PM") &amp; " - " &amp; TEXT('Profit &amp; Loss'!D75, "hh:mm AM/PM") &amp; CHAR(10) &amp; "Venue: " &amp; 'Profit &amp; Loss'!E75 &amp; CHAR(10) &amp; "Court No.: " &amp; 'Profit &amp; Loss'!F75 &amp; CHAR(10) &amp; "Level: HB - LI" &amp; CHAR(10) &amp; "Please transfer $" &amp; 'Profit &amp; Loss'!O75 &amp; " per pax to Belle (83396501)" &amp; CHAR(10) &amp; CHAR(10) &amp; IF('Profit &amp; Loss'!I75=1, "1." &amp; CHAR(10) &amp; "2." &amp; CHAR(10) &amp; "3." &amp; CHAR(10) &amp; "4." &amp; CHAR(10) &amp; "5." &amp; CHAR(10) &amp; "6." &amp; CHAR(10), IF('Profit &amp; Loss'!I75=2,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" spans="1:2" ht="12.5" x14ac:dyDescent="0.25">
      <c r="A73" s="2" t="str">
        <f ca="1">IF('Profit &amp; Loss'!A76&gt;=TODAY(),"Looking for friendly players to join the following game: " &amp; CHAR(10) &amp; CHAR(10) &amp; "Date: " &amp; TEXT('Profit &amp; Loss'!A76,"dd mmm yyy") &amp; ", " &amp; 'Profit &amp; Loss'!B76 &amp; CHAR(10) &amp; "Time: " &amp; TEXT('Profit &amp; Loss'!C76, "hh:mm AM/PM") &amp; " - " &amp; TEXT('Profit &amp; Loss'!D76, "hh:mm AM/PM") &amp; CHAR(10) &amp; "Venue: " &amp; 'Profit &amp; Loss'!E76 &amp; CHAR(10) &amp; "Level: HB - LI" &amp; CHAR(10) &amp; "Cost: $" &amp; 'Profit &amp; Loss'!O76 &amp; " per pax" &amp; CHAR(10) &amp; "Max " &amp; 'Profit &amp; Loss'!I76*6 &amp; " pax," &amp; " (" &amp; 'Profit &amp; Loss'!I76 &amp; " courts)" &amp; CHAR(10) &amp; CHAR(10) &amp; "RSL Ultimate shuttles provided" &amp; CHAR(10) &amp; CHAR(10) &amp; "PM if interested, thank you!"," ")</f>
        <v xml:space="preserve"> </v>
      </c>
      <c r="B73" s="2" t="str">
        <f ca="1">IF('Profit &amp; Loss'!A76&gt;=TODAY(), "Date: " &amp; TEXT('Profit &amp; Loss'!A76,"dd mmm yyy") &amp; ", " &amp; 'Profit &amp; Loss'!B76 &amp; CHAR(10) &amp; "Time: " &amp; TEXT('Profit &amp; Loss'!C76, "hh:mm AM/PM") &amp; " - " &amp; TEXT('Profit &amp; Loss'!D76, "hh:mm AM/PM") &amp; CHAR(10) &amp; "Venue: " &amp; 'Profit &amp; Loss'!E76 &amp; CHAR(10) &amp; "Court No.: " &amp; 'Profit &amp; Loss'!F76 &amp; CHAR(10) &amp; "Level: HB - LI" &amp; CHAR(10) &amp; "Please transfer $" &amp; 'Profit &amp; Loss'!O76 &amp; " per pax to Belle (83396501)" &amp; CHAR(10) &amp; CHAR(10) &amp; IF('Profit &amp; Loss'!I76=1, "1." &amp; CHAR(10) &amp; "2." &amp; CHAR(10) &amp; "3." &amp; CHAR(10) &amp; "4." &amp; CHAR(10) &amp; "5." &amp; CHAR(10) &amp; "6." &amp; CHAR(10), IF('Profit &amp; Loss'!I76=2,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" spans="1:2" ht="12.5" x14ac:dyDescent="0.25">
      <c r="A74" s="2" t="str">
        <f ca="1">IF('Profit &amp; Loss'!A77&gt;=TODAY(),"Looking for friendly players to join the following game: " &amp; CHAR(10) &amp; CHAR(10) &amp; "Date: " &amp; TEXT('Profit &amp; Loss'!A77,"dd mmm yyy") &amp; ", " &amp; 'Profit &amp; Loss'!B77 &amp; CHAR(10) &amp; "Time: " &amp; TEXT('Profit &amp; Loss'!C77, "hh:mm AM/PM") &amp; " - " &amp; TEXT('Profit &amp; Loss'!D77, "hh:mm AM/PM") &amp; CHAR(10) &amp; "Venue: " &amp; 'Profit &amp; Loss'!E77 &amp; CHAR(10) &amp; "Level: HB - LI" &amp; CHAR(10) &amp; "Cost: $" &amp; 'Profit &amp; Loss'!O77 &amp; " per pax" &amp; CHAR(10) &amp; "Max " &amp; 'Profit &amp; Loss'!I77*6 &amp; " pax," &amp; " (" &amp; 'Profit &amp; Loss'!I77 &amp; " courts)" &amp; CHAR(10) &amp; CHAR(10) &amp; "RSL Ultimate shuttles provided" &amp; CHAR(10) &amp; CHAR(10) &amp; "PM if interested, thank you!"," ")</f>
        <v xml:space="preserve"> </v>
      </c>
      <c r="B74" s="2" t="str">
        <f ca="1">IF('Profit &amp; Loss'!A77&gt;=TODAY(), "Date: " &amp; TEXT('Profit &amp; Loss'!A77,"dd mmm yyy") &amp; ", " &amp; 'Profit &amp; Loss'!B77 &amp; CHAR(10) &amp; "Time: " &amp; TEXT('Profit &amp; Loss'!C77, "hh:mm AM/PM") &amp; " - " &amp; TEXT('Profit &amp; Loss'!D77, "hh:mm AM/PM") &amp; CHAR(10) &amp; "Venue: " &amp; 'Profit &amp; Loss'!E77 &amp; CHAR(10) &amp; "Court No.: " &amp; 'Profit &amp; Loss'!F77 &amp; CHAR(10) &amp; "Level: HB - LI" &amp; CHAR(10) &amp; "Please transfer $" &amp; 'Profit &amp; Loss'!O77 &amp; " per pax to Belle (83396501)" &amp; CHAR(10) &amp; CHAR(10) &amp; IF('Profit &amp; Loss'!I77=1, "1." &amp; CHAR(10) &amp; "2." &amp; CHAR(10) &amp; "3." &amp; CHAR(10) &amp; "4." &amp; CHAR(10) &amp; "5." &amp; CHAR(10) &amp; "6." &amp; CHAR(10), IF('Profit &amp; Loss'!I77=2,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" spans="1:2" ht="12.5" x14ac:dyDescent="0.25">
      <c r="A75" s="2" t="str">
        <f ca="1">IF('Profit &amp; Loss'!A78&gt;=TODAY(),"Looking for friendly players to join the following game: " &amp; CHAR(10) &amp; CHAR(10) &amp; "Date: " &amp; TEXT('Profit &amp; Loss'!A78,"dd mmm yyy") &amp; ", " &amp; 'Profit &amp; Loss'!B78 &amp; CHAR(10) &amp; "Time: " &amp; TEXT('Profit &amp; Loss'!C78, "hh:mm AM/PM") &amp; " - " &amp; TEXT('Profit &amp; Loss'!D78, "hh:mm AM/PM") &amp; CHAR(10) &amp; "Venue: " &amp; 'Profit &amp; Loss'!E78 &amp; CHAR(10) &amp; "Level: HB - LI" &amp; CHAR(10) &amp; "Cost: $" &amp; 'Profit &amp; Loss'!O78 &amp; " per pax" &amp; CHAR(10) &amp; "Max " &amp; 'Profit &amp; Loss'!I78*6 &amp; " pax," &amp; " (" &amp; 'Profit &amp; Loss'!I78 &amp; " courts)" &amp; CHAR(10) &amp; CHAR(10) &amp; "RSL Ultimate shuttles provided" &amp; CHAR(10) &amp; CHAR(10) &amp; "PM if interested, thank you!"," ")</f>
        <v xml:space="preserve"> </v>
      </c>
      <c r="B75" s="2" t="str">
        <f ca="1">IF('Profit &amp; Loss'!A78&gt;=TODAY(), "Date: " &amp; TEXT('Profit &amp; Loss'!A78,"dd mmm yyy") &amp; ", " &amp; 'Profit &amp; Loss'!B78 &amp; CHAR(10) &amp; "Time: " &amp; TEXT('Profit &amp; Loss'!C78, "hh:mm AM/PM") &amp; " - " &amp; TEXT('Profit &amp; Loss'!D78, "hh:mm AM/PM") &amp; CHAR(10) &amp; "Venue: " &amp; 'Profit &amp; Loss'!E78 &amp; CHAR(10) &amp; "Court No.: " &amp; 'Profit &amp; Loss'!F78 &amp; CHAR(10) &amp; "Level: HB - LI" &amp; CHAR(10) &amp; "Please transfer $" &amp; 'Profit &amp; Loss'!O78 &amp; " per pax to Belle (83396501)" &amp; CHAR(10) &amp; CHAR(10) &amp; IF('Profit &amp; Loss'!I78=1, "1." &amp; CHAR(10) &amp; "2." &amp; CHAR(10) &amp; "3." &amp; CHAR(10) &amp; "4." &amp; CHAR(10) &amp; "5." &amp; CHAR(10) &amp; "6." &amp; CHAR(10), IF('Profit &amp; Loss'!I78=2,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" spans="1:2" ht="12.5" x14ac:dyDescent="0.25">
      <c r="A76" s="2" t="str">
        <f ca="1">IF('Profit &amp; Loss'!A79&gt;=TODAY(),"Looking for friendly players to join the following game: " &amp; CHAR(10) &amp; CHAR(10) &amp; "Date: " &amp; TEXT('Profit &amp; Loss'!A79,"dd mmm yyy") &amp; ", " &amp; 'Profit &amp; Loss'!B79 &amp; CHAR(10) &amp; "Time: " &amp; TEXT('Profit &amp; Loss'!C79, "hh:mm AM/PM") &amp; " - " &amp; TEXT('Profit &amp; Loss'!D79, "hh:mm AM/PM") &amp; CHAR(10) &amp; "Venue: " &amp; 'Profit &amp; Loss'!E79 &amp; CHAR(10) &amp; "Level: HB - LI" &amp; CHAR(10) &amp; "Cost: $" &amp; 'Profit &amp; Loss'!O79 &amp; " per pax" &amp; CHAR(10) &amp; "Max " &amp; 'Profit &amp; Loss'!I79*6 &amp; " pax," &amp; " (" &amp; 'Profit &amp; Loss'!I79 &amp; " courts)" &amp; CHAR(10) &amp; CHAR(10) &amp; "RSL Ultimate shuttles provided" &amp; CHAR(10) &amp; CHAR(10) &amp; "PM if interested, thank you!"," ")</f>
        <v xml:space="preserve"> </v>
      </c>
      <c r="B76" s="2" t="str">
        <f ca="1">IF('Profit &amp; Loss'!A79&gt;=TODAY(), "Date: " &amp; TEXT('Profit &amp; Loss'!A79,"dd mmm yyy") &amp; ", " &amp; 'Profit &amp; Loss'!B79 &amp; CHAR(10) &amp; "Time: " &amp; TEXT('Profit &amp; Loss'!C79, "hh:mm AM/PM") &amp; " - " &amp; TEXT('Profit &amp; Loss'!D79, "hh:mm AM/PM") &amp; CHAR(10) &amp; "Venue: " &amp; 'Profit &amp; Loss'!E79 &amp; CHAR(10) &amp; "Court No.: " &amp; 'Profit &amp; Loss'!F79 &amp; CHAR(10) &amp; "Level: HB - LI" &amp; CHAR(10) &amp; "Please transfer $" &amp; 'Profit &amp; Loss'!O79 &amp; " per pax to Belle (83396501)" &amp; CHAR(10) &amp; CHAR(10) &amp; IF('Profit &amp; Loss'!I79=1, "1." &amp; CHAR(10) &amp; "2." &amp; CHAR(10) &amp; "3." &amp; CHAR(10) &amp; "4." &amp; CHAR(10) &amp; "5." &amp; CHAR(10) &amp; "6." &amp; CHAR(10), IF('Profit &amp; Loss'!I79=2,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" spans="1:2" ht="12.5" x14ac:dyDescent="0.25">
      <c r="A77" s="2" t="str">
        <f ca="1">IF('Profit &amp; Loss'!A80&gt;=TODAY(),"Looking for friendly players to join the following game: " &amp; CHAR(10) &amp; CHAR(10) &amp; "Date: " &amp; TEXT('Profit &amp; Loss'!A80,"dd mmm yyy") &amp; ", " &amp; 'Profit &amp; Loss'!B80 &amp; CHAR(10) &amp; "Time: " &amp; TEXT('Profit &amp; Loss'!C80, "hh:mm AM/PM") &amp; " - " &amp; TEXT('Profit &amp; Loss'!D80, "hh:mm AM/PM") &amp; CHAR(10) &amp; "Venue: " &amp; 'Profit &amp; Loss'!E80 &amp; CHAR(10) &amp; "Level: HB - LI" &amp; CHAR(10) &amp; "Cost: $" &amp; 'Profit &amp; Loss'!O80 &amp; " per pax" &amp; CHAR(10) &amp; "Max " &amp; 'Profit &amp; Loss'!I80*6 &amp; " pax," &amp; " (" &amp; 'Profit &amp; Loss'!I80 &amp; " courts)" &amp; CHAR(10) &amp; CHAR(10) &amp; "RSL Ultimate shuttles provided" &amp; CHAR(10) &amp; CHAR(10) &amp; "PM if interested, thank you!"," ")</f>
        <v xml:space="preserve"> </v>
      </c>
      <c r="B77" s="2" t="str">
        <f ca="1">IF('Profit &amp; Loss'!A80&gt;=TODAY(), "Date: " &amp; TEXT('Profit &amp; Loss'!A80,"dd mmm yyy") &amp; ", " &amp; 'Profit &amp; Loss'!B80 &amp; CHAR(10) &amp; "Time: " &amp; TEXT('Profit &amp; Loss'!C80, "hh:mm AM/PM") &amp; " - " &amp; TEXT('Profit &amp; Loss'!D80, "hh:mm AM/PM") &amp; CHAR(10) &amp; "Venue: " &amp; 'Profit &amp; Loss'!E80 &amp; CHAR(10) &amp; "Court No.: " &amp; 'Profit &amp; Loss'!F80 &amp; CHAR(10) &amp; "Level: HB - LI" &amp; CHAR(10) &amp; "Please transfer $" &amp; 'Profit &amp; Loss'!O80 &amp; " per pax to Belle (83396501)" &amp; CHAR(10) &amp; CHAR(10) &amp; IF('Profit &amp; Loss'!I80=1, "1." &amp; CHAR(10) &amp; "2." &amp; CHAR(10) &amp; "3." &amp; CHAR(10) &amp; "4." &amp; CHAR(10) &amp; "5." &amp; CHAR(10) &amp; "6." &amp; CHAR(10), IF('Profit &amp; Loss'!I80=2,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" spans="1:2" ht="12.5" x14ac:dyDescent="0.25">
      <c r="A78" s="2" t="str">
        <f ca="1">IF('Profit &amp; Loss'!A81&gt;=TODAY(),"Looking for friendly players to join the following game: " &amp; CHAR(10) &amp; CHAR(10) &amp; "Date: " &amp; TEXT('Profit &amp; Loss'!A81,"dd mmm yyy") &amp; ", " &amp; 'Profit &amp; Loss'!B81 &amp; CHAR(10) &amp; "Time: " &amp; TEXT('Profit &amp; Loss'!C81, "hh:mm AM/PM") &amp; " - " &amp; TEXT('Profit &amp; Loss'!D81, "hh:mm AM/PM") &amp; CHAR(10) &amp; "Venue: " &amp; 'Profit &amp; Loss'!E81 &amp; CHAR(10) &amp; "Level: HB - LI" &amp; CHAR(10) &amp; "Cost: $" &amp; 'Profit &amp; Loss'!O81 &amp; " per pax" &amp; CHAR(10) &amp; "Max " &amp; 'Profit &amp; Loss'!I81*6 &amp; " pax," &amp; " (" &amp; 'Profit &amp; Loss'!I81 &amp; " courts)" &amp; CHAR(10) &amp; CHAR(10) &amp; "RSL Ultimate shuttles provided" &amp; CHAR(10) &amp; CHAR(10) &amp; "PM if interested, thank you!"," ")</f>
        <v xml:space="preserve"> </v>
      </c>
      <c r="B78" s="2" t="str">
        <f ca="1">IF('Profit &amp; Loss'!A81&gt;=TODAY(), "Date: " &amp; TEXT('Profit &amp; Loss'!A81,"dd mmm yyy") &amp; ", " &amp; 'Profit &amp; Loss'!B81 &amp; CHAR(10) &amp; "Time: " &amp; TEXT('Profit &amp; Loss'!C81, "hh:mm AM/PM") &amp; " - " &amp; TEXT('Profit &amp; Loss'!D81, "hh:mm AM/PM") &amp; CHAR(10) &amp; "Venue: " &amp; 'Profit &amp; Loss'!E81 &amp; CHAR(10) &amp; "Court No.: " &amp; 'Profit &amp; Loss'!F81 &amp; CHAR(10) &amp; "Level: HB - LI" &amp; CHAR(10) &amp; "Please transfer $" &amp; 'Profit &amp; Loss'!O81 &amp; " per pax to Belle (83396501)" &amp; CHAR(10) &amp; CHAR(10) &amp; IF('Profit &amp; Loss'!I81=1, "1." &amp; CHAR(10) &amp; "2." &amp; CHAR(10) &amp; "3." &amp; CHAR(10) &amp; "4." &amp; CHAR(10) &amp; "5." &amp; CHAR(10) &amp; "6." &amp; CHAR(10), IF('Profit &amp; Loss'!I81=2,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" spans="1:2" ht="12.5" x14ac:dyDescent="0.25">
      <c r="A79" s="2" t="str">
        <f ca="1">IF('Profit &amp; Loss'!A82&gt;=TODAY(),"Looking for friendly players to join the following game: " &amp; CHAR(10) &amp; CHAR(10) &amp; "Date: " &amp; TEXT('Profit &amp; Loss'!A82,"dd mmm yyy") &amp; ", " &amp; 'Profit &amp; Loss'!B82 &amp; CHAR(10) &amp; "Time: " &amp; TEXT('Profit &amp; Loss'!C82, "hh:mm AM/PM") &amp; " - " &amp; TEXT('Profit &amp; Loss'!D82, "hh:mm AM/PM") &amp; CHAR(10) &amp; "Venue: " &amp; 'Profit &amp; Loss'!E82 &amp; CHAR(10) &amp; "Level: HB - LI" &amp; CHAR(10) &amp; "Cost: $" &amp; 'Profit &amp; Loss'!O82 &amp; " per pax" &amp; CHAR(10) &amp; "Max " &amp; 'Profit &amp; Loss'!I82*6 &amp; " pax," &amp; " (" &amp; 'Profit &amp; Loss'!I82 &amp; " courts)" &amp; CHAR(10) &amp; CHAR(10) &amp; "RSL Ultimate shuttles provided" &amp; CHAR(10) &amp; CHAR(10) &amp; "PM if interested, thank you!"," ")</f>
        <v xml:space="preserve"> </v>
      </c>
      <c r="B79" s="2" t="str">
        <f ca="1">IF('Profit &amp; Loss'!A82&gt;=TODAY(), "Date: " &amp; TEXT('Profit &amp; Loss'!A82,"dd mmm yyy") &amp; ", " &amp; 'Profit &amp; Loss'!B82 &amp; CHAR(10) &amp; "Time: " &amp; TEXT('Profit &amp; Loss'!C82, "hh:mm AM/PM") &amp; " - " &amp; TEXT('Profit &amp; Loss'!D82, "hh:mm AM/PM") &amp; CHAR(10) &amp; "Venue: " &amp; 'Profit &amp; Loss'!E82 &amp; CHAR(10) &amp; "Court No.: " &amp; 'Profit &amp; Loss'!F82 &amp; CHAR(10) &amp; "Level: HB - LI" &amp; CHAR(10) &amp; "Please transfer $" &amp; 'Profit &amp; Loss'!O82 &amp; " per pax to Belle (83396501)" &amp; CHAR(10) &amp; CHAR(10) &amp; IF('Profit &amp; Loss'!I82=1, "1." &amp; CHAR(10) &amp; "2." &amp; CHAR(10) &amp; "3." &amp; CHAR(10) &amp; "4." &amp; CHAR(10) &amp; "5." &amp; CHAR(10) &amp; "6." &amp; CHAR(10), IF('Profit &amp; Loss'!I82=2,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" spans="1:2" ht="12.5" x14ac:dyDescent="0.25">
      <c r="A80" s="2" t="str">
        <f ca="1">IF('Profit &amp; Loss'!A83&gt;=TODAY(),"Looking for friendly players to join the following game: " &amp; CHAR(10) &amp; CHAR(10) &amp; "Date: " &amp; TEXT('Profit &amp; Loss'!A83,"dd mmm yyy") &amp; ", " &amp; 'Profit &amp; Loss'!B83 &amp; CHAR(10) &amp; "Time: " &amp; TEXT('Profit &amp; Loss'!C83, "hh:mm AM/PM") &amp; " - " &amp; TEXT('Profit &amp; Loss'!D83, "hh:mm AM/PM") &amp; CHAR(10) &amp; "Venue: " &amp; 'Profit &amp; Loss'!E83 &amp; CHAR(10) &amp; "Level: HB - LI" &amp; CHAR(10) &amp; "Cost: $" &amp; 'Profit &amp; Loss'!O83 &amp; " per pax" &amp; CHAR(10) &amp; "Max " &amp; 'Profit &amp; Loss'!I83*6 &amp; " pax," &amp; " (" &amp; 'Profit &amp; Loss'!I83 &amp; " courts)" &amp; CHAR(10) &amp; CHAR(10) &amp; "RSL Ultimate shuttles provided" &amp; CHAR(10) &amp; CHAR(10) &amp; "PM if interested, thank you!"," ")</f>
        <v xml:space="preserve"> </v>
      </c>
      <c r="B80" s="2" t="str">
        <f ca="1">IF('Profit &amp; Loss'!A83&gt;=TODAY(), "Date: " &amp; TEXT('Profit &amp; Loss'!A83,"dd mmm yyy") &amp; ", " &amp; 'Profit &amp; Loss'!B83 &amp; CHAR(10) &amp; "Time: " &amp; TEXT('Profit &amp; Loss'!C83, "hh:mm AM/PM") &amp; " - " &amp; TEXT('Profit &amp; Loss'!D83, "hh:mm AM/PM") &amp; CHAR(10) &amp; "Venue: " &amp; 'Profit &amp; Loss'!E83 &amp; CHAR(10) &amp; "Court No.: " &amp; 'Profit &amp; Loss'!F83 &amp; CHAR(10) &amp; "Level: HB - LI" &amp; CHAR(10) &amp; "Please transfer $" &amp; 'Profit &amp; Loss'!O83 &amp; " per pax to Belle (83396501)" &amp; CHAR(10) &amp; CHAR(10) &amp; IF('Profit &amp; Loss'!I83=1, "1." &amp; CHAR(10) &amp; "2." &amp; CHAR(10) &amp; "3." &amp; CHAR(10) &amp; "4." &amp; CHAR(10) &amp; "5." &amp; CHAR(10) &amp; "6." &amp; CHAR(10), IF('Profit &amp; Loss'!I83=2,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" spans="1:2" ht="12.5" x14ac:dyDescent="0.25">
      <c r="A81" s="2" t="str">
        <f ca="1">IF('Profit &amp; Loss'!A84&gt;=TODAY(),"Looking for friendly players to join the following game: " &amp; CHAR(10) &amp; CHAR(10) &amp; "Date: " &amp; TEXT('Profit &amp; Loss'!A84,"dd mmm yyy") &amp; ", " &amp; 'Profit &amp; Loss'!B84 &amp; CHAR(10) &amp; "Time: " &amp; TEXT('Profit &amp; Loss'!C84, "hh:mm AM/PM") &amp; " - " &amp; TEXT('Profit &amp; Loss'!D84, "hh:mm AM/PM") &amp; CHAR(10) &amp; "Venue: " &amp; 'Profit &amp; Loss'!E84 &amp; CHAR(10) &amp; "Level: HB - LI" &amp; CHAR(10) &amp; "Cost: $" &amp; 'Profit &amp; Loss'!O84 &amp; " per pax" &amp; CHAR(10) &amp; "Max " &amp; 'Profit &amp; Loss'!I84*6 &amp; " pax," &amp; " (" &amp; 'Profit &amp; Loss'!I84 &amp; " courts)" &amp; CHAR(10) &amp; CHAR(10) &amp; "RSL Ultimate shuttles provided" &amp; CHAR(10) &amp; CHAR(10) &amp; "PM if interested, thank you!"," ")</f>
        <v xml:space="preserve"> </v>
      </c>
      <c r="B81" s="2" t="str">
        <f ca="1">IF('Profit &amp; Loss'!A84&gt;=TODAY(), "Date: " &amp; TEXT('Profit &amp; Loss'!A84,"dd mmm yyy") &amp; ", " &amp; 'Profit &amp; Loss'!B84 &amp; CHAR(10) &amp; "Time: " &amp; TEXT('Profit &amp; Loss'!C84, "hh:mm AM/PM") &amp; " - " &amp; TEXT('Profit &amp; Loss'!D84, "hh:mm AM/PM") &amp; CHAR(10) &amp; "Venue: " &amp; 'Profit &amp; Loss'!E84 &amp; CHAR(10) &amp; "Court No.: " &amp; 'Profit &amp; Loss'!F84 &amp; CHAR(10) &amp; "Level: HB - LI" &amp; CHAR(10) &amp; "Please transfer $" &amp; 'Profit &amp; Loss'!O84 &amp; " per pax to Belle (83396501)" &amp; CHAR(10) &amp; CHAR(10) &amp; IF('Profit &amp; Loss'!I84=1, "1." &amp; CHAR(10) &amp; "2." &amp; CHAR(10) &amp; "3." &amp; CHAR(10) &amp; "4." &amp; CHAR(10) &amp; "5." &amp; CHAR(10) &amp; "6." &amp; CHAR(10), IF('Profit &amp; Loss'!I84=2,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" spans="1:2" ht="12.5" x14ac:dyDescent="0.25">
      <c r="A82" s="2" t="str">
        <f ca="1">IF('Profit &amp; Loss'!A85&gt;=TODAY(),"Looking for friendly players to join the following game: " &amp; CHAR(10) &amp; CHAR(10) &amp; "Date: " &amp; TEXT('Profit &amp; Loss'!A85,"dd mmm yyy") &amp; ", " &amp; 'Profit &amp; Loss'!B85 &amp; CHAR(10) &amp; "Time: " &amp; TEXT('Profit &amp; Loss'!C85, "hh:mm AM/PM") &amp; " - " &amp; TEXT('Profit &amp; Loss'!D85, "hh:mm AM/PM") &amp; CHAR(10) &amp; "Venue: " &amp; 'Profit &amp; Loss'!E85 &amp; CHAR(10) &amp; "Level: HB - LI" &amp; CHAR(10) &amp; "Cost: $" &amp; 'Profit &amp; Loss'!O85 &amp; " per pax" &amp; CHAR(10) &amp; "Max " &amp; 'Profit &amp; Loss'!I85*6 &amp; " pax," &amp; " (" &amp; 'Profit &amp; Loss'!I85 &amp; " courts)" &amp; CHAR(10) &amp; CHAR(10) &amp; "RSL Ultimate shuttles provided" &amp; CHAR(10) &amp; CHAR(10) &amp; "PM if interested, thank you!"," ")</f>
        <v xml:space="preserve"> </v>
      </c>
      <c r="B82" s="2" t="str">
        <f ca="1">IF('Profit &amp; Loss'!A85&gt;=TODAY(), "Date: " &amp; TEXT('Profit &amp; Loss'!A85,"dd mmm yyy") &amp; ", " &amp; 'Profit &amp; Loss'!B85 &amp; CHAR(10) &amp; "Time: " &amp; TEXT('Profit &amp; Loss'!C85, "hh:mm AM/PM") &amp; " - " &amp; TEXT('Profit &amp; Loss'!D85, "hh:mm AM/PM") &amp; CHAR(10) &amp; "Venue: " &amp; 'Profit &amp; Loss'!E85 &amp; CHAR(10) &amp; "Court No.: " &amp; 'Profit &amp; Loss'!F85 &amp; CHAR(10) &amp; "Level: HB - LI" &amp; CHAR(10) &amp; "Please transfer $" &amp; 'Profit &amp; Loss'!O85 &amp; " per pax to Belle (83396501)" &amp; CHAR(10) &amp; CHAR(10) &amp; IF('Profit &amp; Loss'!I85=1, "1." &amp; CHAR(10) &amp; "2." &amp; CHAR(10) &amp; "3." &amp; CHAR(10) &amp; "4." &amp; CHAR(10) &amp; "5." &amp; CHAR(10) &amp; "6." &amp; CHAR(10), IF('Profit &amp; Loss'!I85=2,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" spans="1:2" ht="12.5" x14ac:dyDescent="0.25">
      <c r="A83" s="2" t="str">
        <f ca="1">IF('Profit &amp; Loss'!A86&gt;=TODAY(),"Looking for friendly players to join the following game: " &amp; CHAR(10) &amp; CHAR(10) &amp; "Date: " &amp; TEXT('Profit &amp; Loss'!A86,"dd mmm yyy") &amp; ", " &amp; 'Profit &amp; Loss'!B86 &amp; CHAR(10) &amp; "Time: " &amp; TEXT('Profit &amp; Loss'!C86, "hh:mm AM/PM") &amp; " - " &amp; TEXT('Profit &amp; Loss'!D86, "hh:mm AM/PM") &amp; CHAR(10) &amp; "Venue: " &amp; 'Profit &amp; Loss'!E86 &amp; CHAR(10) &amp; "Level: HB - LI" &amp; CHAR(10) &amp; "Cost: $" &amp; 'Profit &amp; Loss'!O86 &amp; " per pax" &amp; CHAR(10) &amp; "Max " &amp; 'Profit &amp; Loss'!I86*6 &amp; " pax," &amp; " (" &amp; 'Profit &amp; Loss'!I86 &amp; " courts)" &amp; CHAR(10) &amp; CHAR(10) &amp; "RSL Ultimate shuttles provided" &amp; CHAR(10) &amp; CHAR(10) &amp; "PM if interested, thank you!"," ")</f>
        <v xml:space="preserve"> </v>
      </c>
      <c r="B83" s="2" t="str">
        <f ca="1">IF('Profit &amp; Loss'!A86&gt;=TODAY(), "Date: " &amp; TEXT('Profit &amp; Loss'!A86,"dd mmm yyy") &amp; ", " &amp; 'Profit &amp; Loss'!B86 &amp; CHAR(10) &amp; "Time: " &amp; TEXT('Profit &amp; Loss'!C86, "hh:mm AM/PM") &amp; " - " &amp; TEXT('Profit &amp; Loss'!D86, "hh:mm AM/PM") &amp; CHAR(10) &amp; "Venue: " &amp; 'Profit &amp; Loss'!E86 &amp; CHAR(10) &amp; "Court No.: " &amp; 'Profit &amp; Loss'!F86 &amp; CHAR(10) &amp; "Level: HB - LI" &amp; CHAR(10) &amp; "Please transfer $" &amp; 'Profit &amp; Loss'!O86 &amp; " per pax to Belle (83396501)" &amp; CHAR(10) &amp; CHAR(10) &amp; IF('Profit &amp; Loss'!I86=1, "1." &amp; CHAR(10) &amp; "2." &amp; CHAR(10) &amp; "3." &amp; CHAR(10) &amp; "4." &amp; CHAR(10) &amp; "5." &amp; CHAR(10) &amp; "6." &amp; CHAR(10), IF('Profit &amp; Loss'!I86=2,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" spans="1:2" ht="12.5" x14ac:dyDescent="0.25">
      <c r="A84" s="2" t="str">
        <f ca="1">IF('Profit &amp; Loss'!A87&gt;=TODAY(),"Looking for friendly players to join the following game: " &amp; CHAR(10) &amp; CHAR(10) &amp; "Date: " &amp; TEXT('Profit &amp; Loss'!A87,"dd mmm yyy") &amp; ", " &amp; 'Profit &amp; Loss'!B87 &amp; CHAR(10) &amp; "Time: " &amp; TEXT('Profit &amp; Loss'!C87, "hh:mm AM/PM") &amp; " - " &amp; TEXT('Profit &amp; Loss'!D87, "hh:mm AM/PM") &amp; CHAR(10) &amp; "Venue: " &amp; 'Profit &amp; Loss'!E87 &amp; CHAR(10) &amp; "Level: HB - LI" &amp; CHAR(10) &amp; "Cost: $" &amp; 'Profit &amp; Loss'!O87 &amp; " per pax" &amp; CHAR(10) &amp; "Max " &amp; 'Profit &amp; Loss'!I87*6 &amp; " pax," &amp; " (" &amp; 'Profit &amp; Loss'!I87 &amp; " courts)" &amp; CHAR(10) &amp; CHAR(10) &amp; "RSL Ultimate shuttles provided" &amp; CHAR(10) &amp; CHAR(10) &amp; "PM if interested, thank you!"," ")</f>
        <v xml:space="preserve"> </v>
      </c>
      <c r="B84" s="2" t="str">
        <f ca="1">IF('Profit &amp; Loss'!A87&gt;=TODAY(), "Date: " &amp; TEXT('Profit &amp; Loss'!A87,"dd mmm yyy") &amp; ", " &amp; 'Profit &amp; Loss'!B87 &amp; CHAR(10) &amp; "Time: " &amp; TEXT('Profit &amp; Loss'!C87, "hh:mm AM/PM") &amp; " - " &amp; TEXT('Profit &amp; Loss'!D87, "hh:mm AM/PM") &amp; CHAR(10) &amp; "Venue: " &amp; 'Profit &amp; Loss'!E87 &amp; CHAR(10) &amp; "Court No.: " &amp; 'Profit &amp; Loss'!F87 &amp; CHAR(10) &amp; "Level: HB - LI" &amp; CHAR(10) &amp; "Please transfer $" &amp; 'Profit &amp; Loss'!O87 &amp; " per pax to Belle (83396501)" &amp; CHAR(10) &amp; CHAR(10) &amp; IF('Profit &amp; Loss'!I87=1, "1." &amp; CHAR(10) &amp; "2." &amp; CHAR(10) &amp; "3." &amp; CHAR(10) &amp; "4." &amp; CHAR(10) &amp; "5." &amp; CHAR(10) &amp; "6." &amp; CHAR(10), IF('Profit &amp; Loss'!I87=2,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" spans="1:2" ht="12.5" x14ac:dyDescent="0.25">
      <c r="A85" s="2" t="str">
        <f ca="1">IF('Profit &amp; Loss'!A88&gt;=TODAY(),"Looking for friendly players to join the following game: " &amp; CHAR(10) &amp; CHAR(10) &amp; "Date: " &amp; TEXT('Profit &amp; Loss'!A88,"dd mmm yyy") &amp; ", " &amp; 'Profit &amp; Loss'!B88 &amp; CHAR(10) &amp; "Time: " &amp; TEXT('Profit &amp; Loss'!C88, "hh:mm AM/PM") &amp; " - " &amp; TEXT('Profit &amp; Loss'!D88, "hh:mm AM/PM") &amp; CHAR(10) &amp; "Venue: " &amp; 'Profit &amp; Loss'!E88 &amp; CHAR(10) &amp; "Level: HB - LI" &amp; CHAR(10) &amp; "Cost: $" &amp; 'Profit &amp; Loss'!O88 &amp; " per pax" &amp; CHAR(10) &amp; "Max " &amp; 'Profit &amp; Loss'!I88*6 &amp; " pax," &amp; " (" &amp; 'Profit &amp; Loss'!I88 &amp; " courts)" &amp; CHAR(10) &amp; CHAR(10) &amp; "RSL Ultimate shuttles provided" &amp; CHAR(10) &amp; CHAR(10) &amp; "PM if interested, thank you!"," ")</f>
        <v xml:space="preserve"> </v>
      </c>
      <c r="B85" s="2" t="str">
        <f ca="1">IF('Profit &amp; Loss'!A88&gt;=TODAY(), "Date: " &amp; TEXT('Profit &amp; Loss'!A88,"dd mmm yyy") &amp; ", " &amp; 'Profit &amp; Loss'!B88 &amp; CHAR(10) &amp; "Time: " &amp; TEXT('Profit &amp; Loss'!C88, "hh:mm AM/PM") &amp; " - " &amp; TEXT('Profit &amp; Loss'!D88, "hh:mm AM/PM") &amp; CHAR(10) &amp; "Venue: " &amp; 'Profit &amp; Loss'!E88 &amp; CHAR(10) &amp; "Court No.: " &amp; 'Profit &amp; Loss'!F88 &amp; CHAR(10) &amp; "Level: HB - LI" &amp; CHAR(10) &amp; "Please transfer $" &amp; 'Profit &amp; Loss'!O88 &amp; " per pax to Belle (83396501)" &amp; CHAR(10) &amp; CHAR(10) &amp; IF('Profit &amp; Loss'!I88=1, "1." &amp; CHAR(10) &amp; "2." &amp; CHAR(10) &amp; "3." &amp; CHAR(10) &amp; "4." &amp; CHAR(10) &amp; "5." &amp; CHAR(10) &amp; "6." &amp; CHAR(10), IF('Profit &amp; Loss'!I88=2,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" spans="1:2" ht="12.5" x14ac:dyDescent="0.25">
      <c r="A86" s="2" t="str">
        <f ca="1">IF('Profit &amp; Loss'!A89&gt;=TODAY(),"Looking for friendly players to join the following game: " &amp; CHAR(10) &amp; CHAR(10) &amp; "Date: " &amp; TEXT('Profit &amp; Loss'!A89,"dd mmm yyy") &amp; ", " &amp; 'Profit &amp; Loss'!B89 &amp; CHAR(10) &amp; "Time: " &amp; TEXT('Profit &amp; Loss'!C89, "hh:mm AM/PM") &amp; " - " &amp; TEXT('Profit &amp; Loss'!D89, "hh:mm AM/PM") &amp; CHAR(10) &amp; "Venue: " &amp; 'Profit &amp; Loss'!E89 &amp; CHAR(10) &amp; "Level: HB - LI" &amp; CHAR(10) &amp; "Cost: $" &amp; 'Profit &amp; Loss'!O89 &amp; " per pax" &amp; CHAR(10) &amp; "Max " &amp; 'Profit &amp; Loss'!I89*6 &amp; " pax," &amp; " (" &amp; 'Profit &amp; Loss'!I89 &amp; " courts)" &amp; CHAR(10) &amp; CHAR(10) &amp; "RSL Ultimate shuttles provided" &amp; CHAR(10) &amp; CHAR(10) &amp; "PM if interested, thank you!"," ")</f>
        <v xml:space="preserve"> </v>
      </c>
      <c r="B86" s="2" t="str">
        <f ca="1">IF('Profit &amp; Loss'!A89&gt;=TODAY(), "Date: " &amp; TEXT('Profit &amp; Loss'!A89,"dd mmm yyy") &amp; ", " &amp; 'Profit &amp; Loss'!B89 &amp; CHAR(10) &amp; "Time: " &amp; TEXT('Profit &amp; Loss'!C89, "hh:mm AM/PM") &amp; " - " &amp; TEXT('Profit &amp; Loss'!D89, "hh:mm AM/PM") &amp; CHAR(10) &amp; "Venue: " &amp; 'Profit &amp; Loss'!E89 &amp; CHAR(10) &amp; "Court No.: " &amp; 'Profit &amp; Loss'!F89 &amp; CHAR(10) &amp; "Level: HB - LI" &amp; CHAR(10) &amp; "Please transfer $" &amp; 'Profit &amp; Loss'!O89 &amp; " per pax to Belle (83396501)" &amp; CHAR(10) &amp; CHAR(10) &amp; IF('Profit &amp; Loss'!I89=1, "1." &amp; CHAR(10) &amp; "2." &amp; CHAR(10) &amp; "3." &amp; CHAR(10) &amp; "4." &amp; CHAR(10) &amp; "5." &amp; CHAR(10) &amp; "6." &amp; CHAR(10), IF('Profit &amp; Loss'!I89=2,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" spans="1:2" ht="12.5" x14ac:dyDescent="0.25">
      <c r="A87" s="2" t="str">
        <f ca="1">IF('Profit &amp; Loss'!A90&gt;=TODAY(),"Looking for friendly players to join the following game: " &amp; CHAR(10) &amp; CHAR(10) &amp; "Date: " &amp; TEXT('Profit &amp; Loss'!A90,"dd mmm yyy") &amp; ", " &amp; 'Profit &amp; Loss'!B90 &amp; CHAR(10) &amp; "Time: " &amp; TEXT('Profit &amp; Loss'!C90, "hh:mm AM/PM") &amp; " - " &amp; TEXT('Profit &amp; Loss'!D90, "hh:mm AM/PM") &amp; CHAR(10) &amp; "Venue: " &amp; 'Profit &amp; Loss'!E90 &amp; CHAR(10) &amp; "Level: HB - LI" &amp; CHAR(10) &amp; "Cost: $" &amp; 'Profit &amp; Loss'!O90 &amp; " per pax" &amp; CHAR(10) &amp; "Max " &amp; 'Profit &amp; Loss'!I90*6 &amp; " pax," &amp; " (" &amp; 'Profit &amp; Loss'!I90 &amp; " courts)" &amp; CHAR(10) &amp; CHAR(10) &amp; "RSL Ultimate shuttles provided" &amp; CHAR(10) &amp; CHAR(10) &amp; "PM if interested, thank you!"," ")</f>
        <v xml:space="preserve"> </v>
      </c>
      <c r="B87" s="2" t="str">
        <f ca="1">IF('Profit &amp; Loss'!A90&gt;=TODAY(), "Date: " &amp; TEXT('Profit &amp; Loss'!A90,"dd mmm yyy") &amp; ", " &amp; 'Profit &amp; Loss'!B90 &amp; CHAR(10) &amp; "Time: " &amp; TEXT('Profit &amp; Loss'!C90, "hh:mm AM/PM") &amp; " - " &amp; TEXT('Profit &amp; Loss'!D90, "hh:mm AM/PM") &amp; CHAR(10) &amp; "Venue: " &amp; 'Profit &amp; Loss'!E90 &amp; CHAR(10) &amp; "Court No.: " &amp; 'Profit &amp; Loss'!F90 &amp; CHAR(10) &amp; "Level: HB - LI" &amp; CHAR(10) &amp; "Please transfer $" &amp; 'Profit &amp; Loss'!O90 &amp; " per pax to Belle (83396501)" &amp; CHAR(10) &amp; CHAR(10) &amp; IF('Profit &amp; Loss'!I90=1, "1." &amp; CHAR(10) &amp; "2." &amp; CHAR(10) &amp; "3." &amp; CHAR(10) &amp; "4." &amp; CHAR(10) &amp; "5." &amp; CHAR(10) &amp; "6." &amp; CHAR(10), IF('Profit &amp; Loss'!I90=2,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" spans="1:2" ht="12.5" x14ac:dyDescent="0.25">
      <c r="A88" s="2" t="str">
        <f ca="1">IF('Profit &amp; Loss'!A91&gt;=TODAY(),"Looking for friendly players to join the following game: " &amp; CHAR(10) &amp; CHAR(10) &amp; "Date: " &amp; TEXT('Profit &amp; Loss'!A91,"dd mmm yyy") &amp; ", " &amp; 'Profit &amp; Loss'!B91 &amp; CHAR(10) &amp; "Time: " &amp; TEXT('Profit &amp; Loss'!C91, "hh:mm AM/PM") &amp; " - " &amp; TEXT('Profit &amp; Loss'!D91, "hh:mm AM/PM") &amp; CHAR(10) &amp; "Venue: " &amp; 'Profit &amp; Loss'!E91 &amp; CHAR(10) &amp; "Level: HB - LI" &amp; CHAR(10) &amp; "Cost: $" &amp; 'Profit &amp; Loss'!O91 &amp; " per pax" &amp; CHAR(10) &amp; "Max " &amp; 'Profit &amp; Loss'!I91*6 &amp; " pax," &amp; " (" &amp; 'Profit &amp; Loss'!I91 &amp; " courts)" &amp; CHAR(10) &amp; CHAR(10) &amp; "RSL Ultimate shuttles provided" &amp; CHAR(10) &amp; CHAR(10) &amp; "PM if interested, thank you!"," ")</f>
        <v xml:space="preserve"> </v>
      </c>
      <c r="B88" s="2" t="str">
        <f ca="1">IF('Profit &amp; Loss'!A91&gt;=TODAY(), "Date: " &amp; TEXT('Profit &amp; Loss'!A91,"dd mmm yyy") &amp; ", " &amp; 'Profit &amp; Loss'!B91 &amp; CHAR(10) &amp; "Time: " &amp; TEXT('Profit &amp; Loss'!C91, "hh:mm AM/PM") &amp; " - " &amp; TEXT('Profit &amp; Loss'!D91, "hh:mm AM/PM") &amp; CHAR(10) &amp; "Venue: " &amp; 'Profit &amp; Loss'!E91 &amp; CHAR(10) &amp; "Court No.: " &amp; 'Profit &amp; Loss'!F91 &amp; CHAR(10) &amp; "Level: HB - LI" &amp; CHAR(10) &amp; "Please transfer $" &amp; 'Profit &amp; Loss'!O91 &amp; " per pax to Belle (83396501)" &amp; CHAR(10) &amp; CHAR(10) &amp; IF('Profit &amp; Loss'!I91=1, "1." &amp; CHAR(10) &amp; "2." &amp; CHAR(10) &amp; "3." &amp; CHAR(10) &amp; "4." &amp; CHAR(10) &amp; "5." &amp; CHAR(10) &amp; "6." &amp; CHAR(10), IF('Profit &amp; Loss'!I91=2,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" spans="1:2" ht="12.5" x14ac:dyDescent="0.25">
      <c r="A89" s="2" t="str">
        <f ca="1">IF('Profit &amp; Loss'!A92&gt;=TODAY(),"Looking for friendly players to join the following game: " &amp; CHAR(10) &amp; CHAR(10) &amp; "Date: " &amp; TEXT('Profit &amp; Loss'!A92,"dd mmm yyy") &amp; ", " &amp; 'Profit &amp; Loss'!B92 &amp; CHAR(10) &amp; "Time: " &amp; TEXT('Profit &amp; Loss'!C92, "hh:mm AM/PM") &amp; " - " &amp; TEXT('Profit &amp; Loss'!D92, "hh:mm AM/PM") &amp; CHAR(10) &amp; "Venue: " &amp; 'Profit &amp; Loss'!E92 &amp; CHAR(10) &amp; "Level: HB - LI" &amp; CHAR(10) &amp; "Cost: $" &amp; 'Profit &amp; Loss'!O92 &amp; " per pax" &amp; CHAR(10) &amp; "Max " &amp; 'Profit &amp; Loss'!I92*6 &amp; " pax," &amp; " (" &amp; 'Profit &amp; Loss'!I92 &amp; " courts)" &amp; CHAR(10) &amp; CHAR(10) &amp; "RSL Ultimate shuttles provided" &amp; CHAR(10) &amp; CHAR(10) &amp; "PM if interested, thank you!"," ")</f>
        <v xml:space="preserve"> </v>
      </c>
      <c r="B89" s="2" t="str">
        <f ca="1">IF('Profit &amp; Loss'!A92&gt;=TODAY(), "Date: " &amp; TEXT('Profit &amp; Loss'!A92,"dd mmm yyy") &amp; ", " &amp; 'Profit &amp; Loss'!B92 &amp; CHAR(10) &amp; "Time: " &amp; TEXT('Profit &amp; Loss'!C92, "hh:mm AM/PM") &amp; " - " &amp; TEXT('Profit &amp; Loss'!D92, "hh:mm AM/PM") &amp; CHAR(10) &amp; "Venue: " &amp; 'Profit &amp; Loss'!E92 &amp; CHAR(10) &amp; "Court No.: " &amp; 'Profit &amp; Loss'!F92 &amp; CHAR(10) &amp; "Level: HB - LI" &amp; CHAR(10) &amp; "Please transfer $" &amp; 'Profit &amp; Loss'!O92 &amp; " per pax to Belle (83396501)" &amp; CHAR(10) &amp; CHAR(10) &amp; IF('Profit &amp; Loss'!I92=1, "1." &amp; CHAR(10) &amp; "2." &amp; CHAR(10) &amp; "3." &amp; CHAR(10) &amp; "4." &amp; CHAR(10) &amp; "5." &amp; CHAR(10) &amp; "6." &amp; CHAR(10), IF('Profit &amp; Loss'!I92=2,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" spans="1:2" ht="12.5" x14ac:dyDescent="0.25">
      <c r="A90" s="2" t="str">
        <f ca="1">IF('Profit &amp; Loss'!A93&gt;=TODAY(),"Looking for friendly players to join the following game: " &amp; CHAR(10) &amp; CHAR(10) &amp; "Date: " &amp; TEXT('Profit &amp; Loss'!A93,"dd mmm yyy") &amp; ", " &amp; 'Profit &amp; Loss'!B93 &amp; CHAR(10) &amp; "Time: " &amp; TEXT('Profit &amp; Loss'!C93, "hh:mm AM/PM") &amp; " - " &amp; TEXT('Profit &amp; Loss'!D93, "hh:mm AM/PM") &amp; CHAR(10) &amp; "Venue: " &amp; 'Profit &amp; Loss'!E93 &amp; CHAR(10) &amp; "Level: HB - LI" &amp; CHAR(10) &amp; "Cost: $" &amp; 'Profit &amp; Loss'!O93 &amp; " per pax" &amp; CHAR(10) &amp; "Max " &amp; 'Profit &amp; Loss'!I93*6 &amp; " pax," &amp; " (" &amp; 'Profit &amp; Loss'!I93 &amp; " courts)" &amp; CHAR(10) &amp; CHAR(10) &amp; "RSL Ultimate shuttles provided" &amp; CHAR(10) &amp; CHAR(10) &amp; "PM if interested, thank you!"," ")</f>
        <v xml:space="preserve"> </v>
      </c>
      <c r="B90" s="2" t="str">
        <f ca="1">IF('Profit &amp; Loss'!A93&gt;=TODAY(), "Date: " &amp; TEXT('Profit &amp; Loss'!A93,"dd mmm yyy") &amp; ", " &amp; 'Profit &amp; Loss'!B93 &amp; CHAR(10) &amp; "Time: " &amp; TEXT('Profit &amp; Loss'!C93, "hh:mm AM/PM") &amp; " - " &amp; TEXT('Profit &amp; Loss'!D93, "hh:mm AM/PM") &amp; CHAR(10) &amp; "Venue: " &amp; 'Profit &amp; Loss'!E93 &amp; CHAR(10) &amp; "Court No.: " &amp; 'Profit &amp; Loss'!F93 &amp; CHAR(10) &amp; "Level: HB - LI" &amp; CHAR(10) &amp; "Please transfer $" &amp; 'Profit &amp; Loss'!O93 &amp; " per pax to Belle (83396501)" &amp; CHAR(10) &amp; CHAR(10) &amp; IF('Profit &amp; Loss'!I93=1, "1." &amp; CHAR(10) &amp; "2." &amp; CHAR(10) &amp; "3." &amp; CHAR(10) &amp; "4." &amp; CHAR(10) &amp; "5." &amp; CHAR(10) &amp; "6." &amp; CHAR(10), IF('Profit &amp; Loss'!I93=2,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" spans="1:2" ht="12.5" x14ac:dyDescent="0.25">
      <c r="A91" s="2" t="str">
        <f ca="1">IF('Profit &amp; Loss'!A94&gt;=TODAY(),"Looking for friendly players to join the following game: " &amp; CHAR(10) &amp; CHAR(10) &amp; "Date: " &amp; TEXT('Profit &amp; Loss'!A94,"dd mmm yyy") &amp; ", " &amp; 'Profit &amp; Loss'!B94 &amp; CHAR(10) &amp; "Time: " &amp; TEXT('Profit &amp; Loss'!C94, "hh:mm AM/PM") &amp; " - " &amp; TEXT('Profit &amp; Loss'!D94, "hh:mm AM/PM") &amp; CHAR(10) &amp; "Venue: " &amp; 'Profit &amp; Loss'!E94 &amp; CHAR(10) &amp; "Level: HB - LI" &amp; CHAR(10) &amp; "Cost: $" &amp; 'Profit &amp; Loss'!O94 &amp; " per pax" &amp; CHAR(10) &amp; "Max " &amp; 'Profit &amp; Loss'!I94*6 &amp; " pax," &amp; " (" &amp; 'Profit &amp; Loss'!I94 &amp; " courts)" &amp; CHAR(10) &amp; CHAR(10) &amp; "RSL Ultimate shuttles provided" &amp; CHAR(10) &amp; CHAR(10) &amp; "PM if interested, thank you!"," ")</f>
        <v xml:space="preserve"> </v>
      </c>
      <c r="B91" s="2" t="str">
        <f ca="1">IF('Profit &amp; Loss'!A94&gt;=TODAY(), "Date: " &amp; TEXT('Profit &amp; Loss'!A94,"dd mmm yyy") &amp; ", " &amp; 'Profit &amp; Loss'!B94 &amp; CHAR(10) &amp; "Time: " &amp; TEXT('Profit &amp; Loss'!C94, "hh:mm AM/PM") &amp; " - " &amp; TEXT('Profit &amp; Loss'!D94, "hh:mm AM/PM") &amp; CHAR(10) &amp; "Venue: " &amp; 'Profit &amp; Loss'!E94 &amp; CHAR(10) &amp; "Court No.: " &amp; 'Profit &amp; Loss'!F94 &amp; CHAR(10) &amp; "Level: HB - LI" &amp; CHAR(10) &amp; "Please transfer $" &amp; 'Profit &amp; Loss'!O94 &amp; " per pax to Belle (83396501)" &amp; CHAR(10) &amp; CHAR(10) &amp; IF('Profit &amp; Loss'!I94=1, "1." &amp; CHAR(10) &amp; "2." &amp; CHAR(10) &amp; "3." &amp; CHAR(10) &amp; "4." &amp; CHAR(10) &amp; "5." &amp; CHAR(10) &amp; "6." &amp; CHAR(10), IF('Profit &amp; Loss'!I94=2,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" spans="1:2" ht="12.5" x14ac:dyDescent="0.25">
      <c r="A92" s="2" t="str">
        <f ca="1">IF('Profit &amp; Loss'!A95&gt;=TODAY(),"Looking for friendly players to join the following game: " &amp; CHAR(10) &amp; CHAR(10) &amp; "Date: " &amp; TEXT('Profit &amp; Loss'!A95,"dd mmm yyy") &amp; ", " &amp; 'Profit &amp; Loss'!B95 &amp; CHAR(10) &amp; "Time: " &amp; TEXT('Profit &amp; Loss'!C95, "hh:mm AM/PM") &amp; " - " &amp; TEXT('Profit &amp; Loss'!D95, "hh:mm AM/PM") &amp; CHAR(10) &amp; "Venue: " &amp; 'Profit &amp; Loss'!E95 &amp; CHAR(10) &amp; "Level: HB - LI" &amp; CHAR(10) &amp; "Cost: $" &amp; 'Profit &amp; Loss'!O95 &amp; " per pax" &amp; CHAR(10) &amp; "Max " &amp; 'Profit &amp; Loss'!I95*6 &amp; " pax," &amp; " (" &amp; 'Profit &amp; Loss'!I95 &amp; " courts)" &amp; CHAR(10) &amp; CHAR(10) &amp; "RSL Ultimate shuttles provided" &amp; CHAR(10) &amp; CHAR(10) &amp; "PM if interested, thank you!"," ")</f>
        <v xml:space="preserve"> </v>
      </c>
      <c r="B92" s="2" t="str">
        <f ca="1">IF('Profit &amp; Loss'!A95&gt;=TODAY(), "Date: " &amp; TEXT('Profit &amp; Loss'!A95,"dd mmm yyy") &amp; ", " &amp; 'Profit &amp; Loss'!B95 &amp; CHAR(10) &amp; "Time: " &amp; TEXT('Profit &amp; Loss'!C95, "hh:mm AM/PM") &amp; " - " &amp; TEXT('Profit &amp; Loss'!D95, "hh:mm AM/PM") &amp; CHAR(10) &amp; "Venue: " &amp; 'Profit &amp; Loss'!E95 &amp; CHAR(10) &amp; "Court No.: " &amp; 'Profit &amp; Loss'!F95 &amp; CHAR(10) &amp; "Level: HB - LI" &amp; CHAR(10) &amp; "Please transfer $" &amp; 'Profit &amp; Loss'!O95 &amp; " per pax to Belle (83396501)" &amp; CHAR(10) &amp; CHAR(10) &amp; IF('Profit &amp; Loss'!I95=1, "1." &amp; CHAR(10) &amp; "2." &amp; CHAR(10) &amp; "3." &amp; CHAR(10) &amp; "4." &amp; CHAR(10) &amp; "5." &amp; CHAR(10) &amp; "6." &amp; CHAR(10), IF('Profit &amp; Loss'!I95=2,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" spans="1:2" ht="12.5" x14ac:dyDescent="0.25">
      <c r="A93" s="2" t="str">
        <f ca="1">IF('Profit &amp; Loss'!A96&gt;=TODAY(),"Looking for friendly players to join the following game: " &amp; CHAR(10) &amp; CHAR(10) &amp; "Date: " &amp; TEXT('Profit &amp; Loss'!A96,"dd mmm yyy") &amp; ", " &amp; 'Profit &amp; Loss'!B96 &amp; CHAR(10) &amp; "Time: " &amp; TEXT('Profit &amp; Loss'!C96, "hh:mm AM/PM") &amp; " - " &amp; TEXT('Profit &amp; Loss'!D96, "hh:mm AM/PM") &amp; CHAR(10) &amp; "Venue: " &amp; 'Profit &amp; Loss'!E96 &amp; CHAR(10) &amp; "Level: HB - LI" &amp; CHAR(10) &amp; "Cost: $" &amp; 'Profit &amp; Loss'!O96 &amp; " per pax" &amp; CHAR(10) &amp; "Max " &amp; 'Profit &amp; Loss'!I96*6 &amp; " pax," &amp; " (" &amp; 'Profit &amp; Loss'!I96 &amp; " courts)" &amp; CHAR(10) &amp; CHAR(10) &amp; "RSL Ultimate shuttles provided" &amp; CHAR(10) &amp; CHAR(10) &amp; "PM if interested, thank you!"," ")</f>
        <v xml:space="preserve"> </v>
      </c>
      <c r="B93" s="2" t="str">
        <f ca="1">IF('Profit &amp; Loss'!A96&gt;=TODAY(), "Date: " &amp; TEXT('Profit &amp; Loss'!A96,"dd mmm yyy") &amp; ", " &amp; 'Profit &amp; Loss'!B96 &amp; CHAR(10) &amp; "Time: " &amp; TEXT('Profit &amp; Loss'!C96, "hh:mm AM/PM") &amp; " - " &amp; TEXT('Profit &amp; Loss'!D96, "hh:mm AM/PM") &amp; CHAR(10) &amp; "Venue: " &amp; 'Profit &amp; Loss'!E96 &amp; CHAR(10) &amp; "Court No.: " &amp; 'Profit &amp; Loss'!F96 &amp; CHAR(10) &amp; "Level: HB - LI" &amp; CHAR(10) &amp; "Please transfer $" &amp; 'Profit &amp; Loss'!O96 &amp; " per pax to Belle (83396501)" &amp; CHAR(10) &amp; CHAR(10) &amp; IF('Profit &amp; Loss'!I96=1, "1." &amp; CHAR(10) &amp; "2." &amp; CHAR(10) &amp; "3." &amp; CHAR(10) &amp; "4." &amp; CHAR(10) &amp; "5." &amp; CHAR(10) &amp; "6." &amp; CHAR(10), IF('Profit &amp; Loss'!I96=2,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" spans="1:2" ht="12.5" x14ac:dyDescent="0.25">
      <c r="A94" s="2" t="str">
        <f ca="1">IF('Profit &amp; Loss'!A97&gt;=TODAY(),"Looking for friendly players to join the following game: " &amp; CHAR(10) &amp; CHAR(10) &amp; "Date: " &amp; TEXT('Profit &amp; Loss'!A97,"dd mmm yyy") &amp; ", " &amp; 'Profit &amp; Loss'!B97 &amp; CHAR(10) &amp; "Time: " &amp; TEXT('Profit &amp; Loss'!C97, "hh:mm AM/PM") &amp; " - " &amp; TEXT('Profit &amp; Loss'!D97, "hh:mm AM/PM") &amp; CHAR(10) &amp; "Venue: " &amp; 'Profit &amp; Loss'!E97 &amp; CHAR(10) &amp; "Level: HB - LI" &amp; CHAR(10) &amp; "Cost: $" &amp; 'Profit &amp; Loss'!O97 &amp; " per pax" &amp; CHAR(10) &amp; "Max " &amp; 'Profit &amp; Loss'!I97*6 &amp; " pax," &amp; " (" &amp; 'Profit &amp; Loss'!I97 &amp; " courts)" &amp; CHAR(10) &amp; CHAR(10) &amp; "RSL Ultimate shuttles provided" &amp; CHAR(10) &amp; CHAR(10) &amp; "PM if interested, thank you!"," ")</f>
        <v xml:space="preserve"> </v>
      </c>
      <c r="B94" s="2" t="str">
        <f ca="1">IF('Profit &amp; Loss'!A97&gt;=TODAY(), "Date: " &amp; TEXT('Profit &amp; Loss'!A97,"dd mmm yyy") &amp; ", " &amp; 'Profit &amp; Loss'!B97 &amp; CHAR(10) &amp; "Time: " &amp; TEXT('Profit &amp; Loss'!C97, "hh:mm AM/PM") &amp; " - " &amp; TEXT('Profit &amp; Loss'!D97, "hh:mm AM/PM") &amp; CHAR(10) &amp; "Venue: " &amp; 'Profit &amp; Loss'!E97 &amp; CHAR(10) &amp; "Court No.: " &amp; 'Profit &amp; Loss'!F97 &amp; CHAR(10) &amp; "Level: HB - LI" &amp; CHAR(10) &amp; "Please transfer $" &amp; 'Profit &amp; Loss'!O97 &amp; " per pax to Belle (83396501)" &amp; CHAR(10) &amp; CHAR(10) &amp; IF('Profit &amp; Loss'!I97=1, "1." &amp; CHAR(10) &amp; "2." &amp; CHAR(10) &amp; "3." &amp; CHAR(10) &amp; "4." &amp; CHAR(10) &amp; "5." &amp; CHAR(10) &amp; "6." &amp; CHAR(10), IF('Profit &amp; Loss'!I97=2,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" spans="1:2" ht="12.5" x14ac:dyDescent="0.25">
      <c r="A95" s="2" t="str">
        <f ca="1">IF('Profit &amp; Loss'!A98&gt;=TODAY(),"Looking for friendly players to join the following game: " &amp; CHAR(10) &amp; CHAR(10) &amp; "Date: " &amp; TEXT('Profit &amp; Loss'!A98,"dd mmm yyy") &amp; ", " &amp; 'Profit &amp; Loss'!B98 &amp; CHAR(10) &amp; "Time: " &amp; TEXT('Profit &amp; Loss'!C98, "hh:mm AM/PM") &amp; " - " &amp; TEXT('Profit &amp; Loss'!D98, "hh:mm AM/PM") &amp; CHAR(10) &amp; "Venue: " &amp; 'Profit &amp; Loss'!E98 &amp; CHAR(10) &amp; "Level: HB - LI" &amp; CHAR(10) &amp; "Cost: $" &amp; 'Profit &amp; Loss'!O98 &amp; " per pax" &amp; CHAR(10) &amp; "Max " &amp; 'Profit &amp; Loss'!I98*6 &amp; " pax," &amp; " (" &amp; 'Profit &amp; Loss'!I98 &amp; " courts)" &amp; CHAR(10) &amp; CHAR(10) &amp; "RSL Ultimate shuttles provided" &amp; CHAR(10) &amp; CHAR(10) &amp; "PM if interested, thank you!"," ")</f>
        <v xml:space="preserve"> </v>
      </c>
      <c r="B95" s="2" t="str">
        <f ca="1">IF('Profit &amp; Loss'!A98&gt;=TODAY(), "Date: " &amp; TEXT('Profit &amp; Loss'!A98,"dd mmm yyy") &amp; ", " &amp; 'Profit &amp; Loss'!B98 &amp; CHAR(10) &amp; "Time: " &amp; TEXT('Profit &amp; Loss'!C98, "hh:mm AM/PM") &amp; " - " &amp; TEXT('Profit &amp; Loss'!D98, "hh:mm AM/PM") &amp; CHAR(10) &amp; "Venue: " &amp; 'Profit &amp; Loss'!E98 &amp; CHAR(10) &amp; "Court No.: " &amp; 'Profit &amp; Loss'!F98 &amp; CHAR(10) &amp; "Level: HB - LI" &amp; CHAR(10) &amp; "Please transfer $" &amp; 'Profit &amp; Loss'!O98 &amp; " per pax to Belle (83396501)" &amp; CHAR(10) &amp; CHAR(10) &amp; IF('Profit &amp; Loss'!I98=1, "1." &amp; CHAR(10) &amp; "2." &amp; CHAR(10) &amp; "3." &amp; CHAR(10) &amp; "4." &amp; CHAR(10) &amp; "5." &amp; CHAR(10) &amp; "6." &amp; CHAR(10), IF('Profit &amp; Loss'!I98=2,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" spans="1:2" ht="12.5" x14ac:dyDescent="0.25">
      <c r="A96" s="2" t="str">
        <f ca="1">IF('Profit &amp; Loss'!A99&gt;=TODAY(),"Looking for friendly players to join the following game: " &amp; CHAR(10) &amp; CHAR(10) &amp; "Date: " &amp; TEXT('Profit &amp; Loss'!A99,"dd mmm yyy") &amp; ", " &amp; 'Profit &amp; Loss'!B99 &amp; CHAR(10) &amp; "Time: " &amp; TEXT('Profit &amp; Loss'!C99, "hh:mm AM/PM") &amp; " - " &amp; TEXT('Profit &amp; Loss'!D99, "hh:mm AM/PM") &amp; CHAR(10) &amp; "Venue: " &amp; 'Profit &amp; Loss'!E99 &amp; CHAR(10) &amp; "Level: HB - LI" &amp; CHAR(10) &amp; "Cost: $" &amp; 'Profit &amp; Loss'!O99 &amp; " per pax" &amp; CHAR(10) &amp; "Max " &amp; 'Profit &amp; Loss'!I99*6 &amp; " pax," &amp; " (" &amp; 'Profit &amp; Loss'!I99 &amp; " courts)" &amp; CHAR(10) &amp; CHAR(10) &amp; "RSL Ultimate shuttles provided" &amp; CHAR(10) &amp; CHAR(10) &amp; "PM if interested, thank you!"," ")</f>
        <v xml:space="preserve"> </v>
      </c>
      <c r="B96" s="2" t="str">
        <f ca="1">IF('Profit &amp; Loss'!A99&gt;=TODAY(), "Date: " &amp; TEXT('Profit &amp; Loss'!A99,"dd mmm yyy") &amp; ", " &amp; 'Profit &amp; Loss'!B99 &amp; CHAR(10) &amp; "Time: " &amp; TEXT('Profit &amp; Loss'!C99, "hh:mm AM/PM") &amp; " - " &amp; TEXT('Profit &amp; Loss'!D99, "hh:mm AM/PM") &amp; CHAR(10) &amp; "Venue: " &amp; 'Profit &amp; Loss'!E99 &amp; CHAR(10) &amp; "Court No.: " &amp; 'Profit &amp; Loss'!F99 &amp; CHAR(10) &amp; "Level: HB - LI" &amp; CHAR(10) &amp; "Please transfer $" &amp; 'Profit &amp; Loss'!O99 &amp; " per pax to Belle (83396501)" &amp; CHAR(10) &amp; CHAR(10) &amp; IF('Profit &amp; Loss'!I99=1, "1." &amp; CHAR(10) &amp; "2." &amp; CHAR(10) &amp; "3." &amp; CHAR(10) &amp; "4." &amp; CHAR(10) &amp; "5." &amp; CHAR(10) &amp; "6." &amp; CHAR(10), IF('Profit &amp; Loss'!I99=2,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" spans="1:2" ht="12.5" x14ac:dyDescent="0.25">
      <c r="A97" s="2" t="str">
        <f ca="1">IF('Profit &amp; Loss'!A100&gt;=TODAY(),"Looking for friendly players to join the following game: " &amp; CHAR(10) &amp; CHAR(10) &amp; "Date: " &amp; TEXT('Profit &amp; Loss'!A100,"dd mmm yyy") &amp; ", " &amp; 'Profit &amp; Loss'!B100 &amp; CHAR(10) &amp; "Time: " &amp; TEXT('Profit &amp; Loss'!C100, "hh:mm AM/PM") &amp; " - " &amp; TEXT('Profit &amp; Loss'!D100, "hh:mm AM/PM") &amp; CHAR(10) &amp; "Venue: " &amp; 'Profit &amp; Loss'!E100 &amp; CHAR(10) &amp; "Level: HB - LI" &amp; CHAR(10) &amp; "Cost: $" &amp; 'Profit &amp; Loss'!O100 &amp; " per pax" &amp; CHAR(10) &amp; "Max " &amp; 'Profit &amp; Loss'!I100*6 &amp; " pax," &amp; " (" &amp; 'Profit &amp; Loss'!I100 &amp; " courts)" &amp; CHAR(10) &amp; CHAR(10) &amp; "RSL Ultimate shuttles provided" &amp; CHAR(10) &amp; CHAR(10) &amp; "PM if interested, thank you!"," ")</f>
        <v xml:space="preserve"> </v>
      </c>
      <c r="B97" s="2" t="str">
        <f ca="1">IF('Profit &amp; Loss'!A100&gt;=TODAY(), "Date: " &amp; TEXT('Profit &amp; Loss'!A100,"dd mmm yyy") &amp; ", " &amp; 'Profit &amp; Loss'!B100 &amp; CHAR(10) &amp; "Time: " &amp; TEXT('Profit &amp; Loss'!C100, "hh:mm AM/PM") &amp; " - " &amp; TEXT('Profit &amp; Loss'!D100, "hh:mm AM/PM") &amp; CHAR(10) &amp; "Venue: " &amp; 'Profit &amp; Loss'!E100 &amp; CHAR(10) &amp; "Court No.: " &amp; 'Profit &amp; Loss'!F100 &amp; CHAR(10) &amp; "Level: HB - LI" &amp; CHAR(10) &amp; "Please transfer $" &amp; 'Profit &amp; Loss'!O100 &amp; " per pax to Belle (83396501)" &amp; CHAR(10) &amp; CHAR(10) &amp; IF('Profit &amp; Loss'!I100=1, "1." &amp; CHAR(10) &amp; "2." &amp; CHAR(10) &amp; "3." &amp; CHAR(10) &amp; "4." &amp; CHAR(10) &amp; "5." &amp; CHAR(10) &amp; "6." &amp; CHAR(10), IF('Profit &amp; Loss'!I100=2,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" spans="1:2" ht="12.5" x14ac:dyDescent="0.25">
      <c r="A98" s="2" t="str">
        <f ca="1">IF('Profit &amp; Loss'!A101&gt;=TODAY(),"Looking for friendly players to join the following game: " &amp; CHAR(10) &amp; CHAR(10) &amp; "Date: " &amp; TEXT('Profit &amp; Loss'!A101,"dd mmm yyy") &amp; ", " &amp; 'Profit &amp; Loss'!B101 &amp; CHAR(10) &amp; "Time: " &amp; TEXT('Profit &amp; Loss'!C101, "hh:mm AM/PM") &amp; " - " &amp; TEXT('Profit &amp; Loss'!D101, "hh:mm AM/PM") &amp; CHAR(10) &amp; "Venue: " &amp; 'Profit &amp; Loss'!E101 &amp; CHAR(10) &amp; "Level: HB - LI" &amp; CHAR(10) &amp; "Cost: $" &amp; 'Profit &amp; Loss'!O101 &amp; " per pax" &amp; CHAR(10) &amp; "Max " &amp; 'Profit &amp; Loss'!I101*6 &amp; " pax," &amp; " (" &amp; 'Profit &amp; Loss'!I101 &amp; " courts)" &amp; CHAR(10) &amp; CHAR(10) &amp; "RSL Ultimate shuttles provided" &amp; CHAR(10) &amp; CHAR(10) &amp; "PM if interested, thank you!"," ")</f>
        <v xml:space="preserve"> </v>
      </c>
      <c r="B98" s="2" t="str">
        <f ca="1">IF('Profit &amp; Loss'!A101&gt;=TODAY(), "Date: " &amp; TEXT('Profit &amp; Loss'!A101,"dd mmm yyy") &amp; ", " &amp; 'Profit &amp; Loss'!B101 &amp; CHAR(10) &amp; "Time: " &amp; TEXT('Profit &amp; Loss'!C101, "hh:mm AM/PM") &amp; " - " &amp; TEXT('Profit &amp; Loss'!D101, "hh:mm AM/PM") &amp; CHAR(10) &amp; "Venue: " &amp; 'Profit &amp; Loss'!E101 &amp; CHAR(10) &amp; "Court No.: " &amp; 'Profit &amp; Loss'!F101 &amp; CHAR(10) &amp; "Level: HB - LI" &amp; CHAR(10) &amp; "Please transfer $" &amp; 'Profit &amp; Loss'!O101 &amp; " per pax to Belle (83396501)" &amp; CHAR(10) &amp; CHAR(10) &amp; IF('Profit &amp; Loss'!I101=1, "1." &amp; CHAR(10) &amp; "2." &amp; CHAR(10) &amp; "3." &amp; CHAR(10) &amp; "4." &amp; CHAR(10) &amp; "5." &amp; CHAR(10) &amp; "6." &amp; CHAR(10), IF('Profit &amp; Loss'!I101=2,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" spans="1:2" ht="12.5" x14ac:dyDescent="0.25">
      <c r="A99" s="2" t="str">
        <f ca="1">IF('Profit &amp; Loss'!A102&gt;=TODAY(),"Looking for friendly players to join the following game: " &amp; CHAR(10) &amp; CHAR(10) &amp; "Date: " &amp; TEXT('Profit &amp; Loss'!A102,"dd mmm yyy") &amp; ", " &amp; 'Profit &amp; Loss'!B102 &amp; CHAR(10) &amp; "Time: " &amp; TEXT('Profit &amp; Loss'!C102, "hh:mm AM/PM") &amp; " - " &amp; TEXT('Profit &amp; Loss'!D102, "hh:mm AM/PM") &amp; CHAR(10) &amp; "Venue: " &amp; 'Profit &amp; Loss'!E102 &amp; CHAR(10) &amp; "Level: HB - LI" &amp; CHAR(10) &amp; "Cost: $" &amp; 'Profit &amp; Loss'!O102 &amp; " per pax" &amp; CHAR(10) &amp; "Max " &amp; 'Profit &amp; Loss'!I102*6 &amp; " pax," &amp; " (" &amp; 'Profit &amp; Loss'!I102 &amp; " courts)" &amp; CHAR(10) &amp; CHAR(10) &amp; "RSL Ultimate shuttles provided" &amp; CHAR(10) &amp; CHAR(10) &amp; "PM if interested, thank you!"," ")</f>
        <v xml:space="preserve"> </v>
      </c>
      <c r="B99" s="2" t="str">
        <f ca="1">IF('Profit &amp; Loss'!A102&gt;=TODAY(), "Date: " &amp; TEXT('Profit &amp; Loss'!A102,"dd mmm yyy") &amp; ", " &amp; 'Profit &amp; Loss'!B102 &amp; CHAR(10) &amp; "Time: " &amp; TEXT('Profit &amp; Loss'!C102, "hh:mm AM/PM") &amp; " - " &amp; TEXT('Profit &amp; Loss'!D102, "hh:mm AM/PM") &amp; CHAR(10) &amp; "Venue: " &amp; 'Profit &amp; Loss'!E102 &amp; CHAR(10) &amp; "Court No.: " &amp; 'Profit &amp; Loss'!F102 &amp; CHAR(10) &amp; "Level: HB - LI" &amp; CHAR(10) &amp; "Please transfer $" &amp; 'Profit &amp; Loss'!O102 &amp; " per pax to Belle (83396501)" &amp; CHAR(10) &amp; CHAR(10) &amp; IF('Profit &amp; Loss'!I102=1, "1." &amp; CHAR(10) &amp; "2." &amp; CHAR(10) &amp; "3." &amp; CHAR(10) &amp; "4." &amp; CHAR(10) &amp; "5." &amp; CHAR(10) &amp; "6." &amp; CHAR(10), IF('Profit &amp; Loss'!I102=2,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0" spans="1:2" ht="12.5" x14ac:dyDescent="0.25">
      <c r="A100" s="2" t="str">
        <f ca="1">IF('Profit &amp; Loss'!A103&gt;=TODAY(),"Looking for friendly players to join the following game: " &amp; CHAR(10) &amp; CHAR(10) &amp; "Date: " &amp; TEXT('Profit &amp; Loss'!A103,"dd mmm yyy") &amp; ", " &amp; 'Profit &amp; Loss'!B103 &amp; CHAR(10) &amp; "Time: " &amp; TEXT('Profit &amp; Loss'!C103, "hh:mm AM/PM") &amp; " - " &amp; TEXT('Profit &amp; Loss'!D103, "hh:mm AM/PM") &amp; CHAR(10) &amp; "Venue: " &amp; 'Profit &amp; Loss'!E103 &amp; CHAR(10) &amp; "Level: HB - LI" &amp; CHAR(10) &amp; "Cost: $" &amp; 'Profit &amp; Loss'!O103 &amp; " per pax" &amp; CHAR(10) &amp; "Max " &amp; 'Profit &amp; Loss'!I103*6 &amp; " pax," &amp; " (" &amp; 'Profit &amp; Loss'!I103 &amp; " courts)" &amp; CHAR(10) &amp; CHAR(10) &amp; "RSL Ultimate shuttles provided" &amp; CHAR(10) &amp; CHAR(10) &amp; "PM if interested, thank you!"," ")</f>
        <v xml:space="preserve"> </v>
      </c>
      <c r="B100" s="2" t="str">
        <f ca="1">IF('Profit &amp; Loss'!A103&gt;=TODAY(), "Date: " &amp; TEXT('Profit &amp; Loss'!A103,"dd mmm yyy") &amp; ", " &amp; 'Profit &amp; Loss'!B103 &amp; CHAR(10) &amp; "Time: " &amp; TEXT('Profit &amp; Loss'!C103, "hh:mm AM/PM") &amp; " - " &amp; TEXT('Profit &amp; Loss'!D103, "hh:mm AM/PM") &amp; CHAR(10) &amp; "Venue: " &amp; 'Profit &amp; Loss'!E103 &amp; CHAR(10) &amp; "Court No.: " &amp; 'Profit &amp; Loss'!F103 &amp; CHAR(10) &amp; "Level: HB - LI" &amp; CHAR(10) &amp; "Please transfer $" &amp; 'Profit &amp; Loss'!O103 &amp; " per pax to Belle (83396501)" &amp; CHAR(10) &amp; CHAR(10) &amp; IF('Profit &amp; Loss'!I103=1, "1." &amp; CHAR(10) &amp; "2." &amp; CHAR(10) &amp; "3." &amp; CHAR(10) &amp; "4." &amp; CHAR(10) &amp; "5." &amp; CHAR(10) &amp; "6." &amp; CHAR(10), IF('Profit &amp; Loss'!I103=2,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1" spans="1:2" ht="12.5" x14ac:dyDescent="0.25">
      <c r="A101" s="2" t="str">
        <f ca="1">IF('Profit &amp; Loss'!A104&gt;=TODAY(),"Looking for friendly players to join the following game: " &amp; CHAR(10) &amp; CHAR(10) &amp; "Date: " &amp; TEXT('Profit &amp; Loss'!A104,"dd mmm yyy") &amp; ", " &amp; 'Profit &amp; Loss'!B104 &amp; CHAR(10) &amp; "Time: " &amp; TEXT('Profit &amp; Loss'!C104, "hh:mm AM/PM") &amp; " - " &amp; TEXT('Profit &amp; Loss'!D104, "hh:mm AM/PM") &amp; CHAR(10) &amp; "Venue: " &amp; 'Profit &amp; Loss'!E104 &amp; CHAR(10) &amp; "Level: HB - LI" &amp; CHAR(10) &amp; "Cost: $" &amp; 'Profit &amp; Loss'!O104 &amp; " per pax" &amp; CHAR(10) &amp; "Max " &amp; 'Profit &amp; Loss'!I104*6 &amp; " pax," &amp; " (" &amp; 'Profit &amp; Loss'!I104 &amp; " courts)" &amp; CHAR(10) &amp; CHAR(10) &amp; "RSL Ultimate shuttles provided" &amp; CHAR(10) &amp; CHAR(10) &amp; "PM if interested, thank you!"," ")</f>
        <v xml:space="preserve"> </v>
      </c>
      <c r="B101" s="2" t="str">
        <f ca="1">IF('Profit &amp; Loss'!A104&gt;=TODAY(), "Date: " &amp; TEXT('Profit &amp; Loss'!A104,"dd mmm yyy") &amp; ", " &amp; 'Profit &amp; Loss'!B104 &amp; CHAR(10) &amp; "Time: " &amp; TEXT('Profit &amp; Loss'!C104, "hh:mm AM/PM") &amp; " - " &amp; TEXT('Profit &amp; Loss'!D104, "hh:mm AM/PM") &amp; CHAR(10) &amp; "Venue: " &amp; 'Profit &amp; Loss'!E104 &amp; CHAR(10) &amp; "Court No.: " &amp; 'Profit &amp; Loss'!F104 &amp; CHAR(10) &amp; "Level: HB - LI" &amp; CHAR(10) &amp; "Please transfer $" &amp; 'Profit &amp; Loss'!O104 &amp; " per pax to Belle (83396501)" &amp; CHAR(10) &amp; CHAR(10) &amp; IF('Profit &amp; Loss'!I104=1, "1." &amp; CHAR(10) &amp; "2." &amp; CHAR(10) &amp; "3." &amp; CHAR(10) &amp; "4." &amp; CHAR(10) &amp; "5." &amp; CHAR(10) &amp; "6." &amp; CHAR(10), IF('Profit &amp; Loss'!I104=2,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2" spans="1:2" ht="12.5" x14ac:dyDescent="0.25">
      <c r="A102" s="2" t="str">
        <f ca="1">IF('Profit &amp; Loss'!A105&gt;=TODAY(),"Looking for friendly players to join the following game: " &amp; CHAR(10) &amp; CHAR(10) &amp; "Date: " &amp; TEXT('Profit &amp; Loss'!A105,"dd mmm yyy") &amp; ", " &amp; 'Profit &amp; Loss'!B105 &amp; CHAR(10) &amp; "Time: " &amp; TEXT('Profit &amp; Loss'!C105, "hh:mm AM/PM") &amp; " - " &amp; TEXT('Profit &amp; Loss'!D105, "hh:mm AM/PM") &amp; CHAR(10) &amp; "Venue: " &amp; 'Profit &amp; Loss'!E105 &amp; CHAR(10) &amp; "Level: HB - LI" &amp; CHAR(10) &amp; "Cost: $" &amp; 'Profit &amp; Loss'!O105 &amp; " per pax" &amp; CHAR(10) &amp; "Max " &amp; 'Profit &amp; Loss'!I105*6 &amp; " pax," &amp; " (" &amp; 'Profit &amp; Loss'!I105 &amp; " courts)" &amp; CHAR(10) &amp; CHAR(10) &amp; "RSL Ultimate shuttles provided" &amp; CHAR(10) &amp; CHAR(10) &amp; "PM if interested, thank you!"," ")</f>
        <v xml:space="preserve"> </v>
      </c>
      <c r="B102" s="2" t="str">
        <f ca="1">IF('Profit &amp; Loss'!A105&gt;=TODAY(), "Date: " &amp; TEXT('Profit &amp; Loss'!A105,"dd mmm yyy") &amp; ", " &amp; 'Profit &amp; Loss'!B105 &amp; CHAR(10) &amp; "Time: " &amp; TEXT('Profit &amp; Loss'!C105, "hh:mm AM/PM") &amp; " - " &amp; TEXT('Profit &amp; Loss'!D105, "hh:mm AM/PM") &amp; CHAR(10) &amp; "Venue: " &amp; 'Profit &amp; Loss'!E105 &amp; CHAR(10) &amp; "Court No.: " &amp; 'Profit &amp; Loss'!F105 &amp; CHAR(10) &amp; "Level: HB - LI" &amp; CHAR(10) &amp; "Please transfer $" &amp; 'Profit &amp; Loss'!O105 &amp; " per pax to Belle (83396501)" &amp; CHAR(10) &amp; CHAR(10) &amp; IF('Profit &amp; Loss'!I105=1, "1." &amp; CHAR(10) &amp; "2." &amp; CHAR(10) &amp; "3." &amp; CHAR(10) &amp; "4." &amp; CHAR(10) &amp; "5." &amp; CHAR(10) &amp; "6." &amp; CHAR(10), IF('Profit &amp; Loss'!I105=2,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3" spans="1:2" ht="12.5" x14ac:dyDescent="0.25">
      <c r="A103" s="2" t="str">
        <f ca="1">IF('Profit &amp; Loss'!A106&gt;=TODAY(),"Looking for friendly players to join the following game: " &amp; CHAR(10) &amp; CHAR(10) &amp; "Date: " &amp; TEXT('Profit &amp; Loss'!A106,"dd mmm yyy") &amp; ", " &amp; 'Profit &amp; Loss'!B106 &amp; CHAR(10) &amp; "Time: " &amp; TEXT('Profit &amp; Loss'!C106, "hh:mm AM/PM") &amp; " - " &amp; TEXT('Profit &amp; Loss'!D106, "hh:mm AM/PM") &amp; CHAR(10) &amp; "Venue: " &amp; 'Profit &amp; Loss'!E106 &amp; CHAR(10) &amp; "Level: HB - LI" &amp; CHAR(10) &amp; "Cost: $" &amp; 'Profit &amp; Loss'!O106 &amp; " per pax" &amp; CHAR(10) &amp; "Max " &amp; 'Profit &amp; Loss'!I106*6 &amp; " pax," &amp; " (" &amp; 'Profit &amp; Loss'!I106 &amp; " courts)" &amp; CHAR(10) &amp; CHAR(10) &amp; "RSL Ultimate shuttles provided" &amp; CHAR(10) &amp; CHAR(10) &amp; "PM if interested, thank you!"," ")</f>
        <v xml:space="preserve"> </v>
      </c>
      <c r="B103" s="2" t="str">
        <f ca="1">IF('Profit &amp; Loss'!A106&gt;=TODAY(), "Date: " &amp; TEXT('Profit &amp; Loss'!A106,"dd mmm yyy") &amp; ", " &amp; 'Profit &amp; Loss'!B106 &amp; CHAR(10) &amp; "Time: " &amp; TEXT('Profit &amp; Loss'!C106, "hh:mm AM/PM") &amp; " - " &amp; TEXT('Profit &amp; Loss'!D106, "hh:mm AM/PM") &amp; CHAR(10) &amp; "Venue: " &amp; 'Profit &amp; Loss'!E106 &amp; CHAR(10) &amp; "Court No.: " &amp; 'Profit &amp; Loss'!F106 &amp; CHAR(10) &amp; "Level: HB - LI" &amp; CHAR(10) &amp; "Please transfer $" &amp; 'Profit &amp; Loss'!O106 &amp; " per pax to Belle (83396501)" &amp; CHAR(10) &amp; CHAR(10) &amp; IF('Profit &amp; Loss'!I106=1, "1." &amp; CHAR(10) &amp; "2." &amp; CHAR(10) &amp; "3." &amp; CHAR(10) &amp; "4." &amp; CHAR(10) &amp; "5." &amp; CHAR(10) &amp; "6." &amp; CHAR(10), IF('Profit &amp; Loss'!I106=2,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4" spans="1:2" ht="12.5" x14ac:dyDescent="0.25">
      <c r="A104" s="2" t="str">
        <f ca="1">IF('Profit &amp; Loss'!A107&gt;=TODAY(),"Looking for friendly players to join the following game: " &amp; CHAR(10) &amp; CHAR(10) &amp; "Date: " &amp; TEXT('Profit &amp; Loss'!A107,"dd mmm yyy") &amp; ", " &amp; 'Profit &amp; Loss'!B107 &amp; CHAR(10) &amp; "Time: " &amp; TEXT('Profit &amp; Loss'!C107, "hh:mm AM/PM") &amp; " - " &amp; TEXT('Profit &amp; Loss'!D107, "hh:mm AM/PM") &amp; CHAR(10) &amp; "Venue: " &amp; 'Profit &amp; Loss'!E107 &amp; CHAR(10) &amp; "Level: HB - LI" &amp; CHAR(10) &amp; "Cost: $" &amp; 'Profit &amp; Loss'!O107 &amp; " per pax" &amp; CHAR(10) &amp; "Max " &amp; 'Profit &amp; Loss'!I107*6 &amp; " pax," &amp; " (" &amp; 'Profit &amp; Loss'!I107 &amp; " courts)" &amp; CHAR(10) &amp; CHAR(10) &amp; "RSL Ultimate shuttles provided" &amp; CHAR(10) &amp; CHAR(10) &amp; "PM if interested, thank you!"," ")</f>
        <v xml:space="preserve"> </v>
      </c>
      <c r="B104" s="2" t="str">
        <f ca="1">IF('Profit &amp; Loss'!A107&gt;=TODAY(), "Date: " &amp; TEXT('Profit &amp; Loss'!A107,"dd mmm yyy") &amp; ", " &amp; 'Profit &amp; Loss'!B107 &amp; CHAR(10) &amp; "Time: " &amp; TEXT('Profit &amp; Loss'!C107, "hh:mm AM/PM") &amp; " - " &amp; TEXT('Profit &amp; Loss'!D107, "hh:mm AM/PM") &amp; CHAR(10) &amp; "Venue: " &amp; 'Profit &amp; Loss'!E107 &amp; CHAR(10) &amp; "Court No.: " &amp; 'Profit &amp; Loss'!F107 &amp; CHAR(10) &amp; "Level: HB - LI" &amp; CHAR(10) &amp; "Please transfer $" &amp; 'Profit &amp; Loss'!O107 &amp; " per pax to Belle (83396501)" &amp; CHAR(10) &amp; CHAR(10) &amp; IF('Profit &amp; Loss'!I107=1, "1." &amp; CHAR(10) &amp; "2." &amp; CHAR(10) &amp; "3." &amp; CHAR(10) &amp; "4." &amp; CHAR(10) &amp; "5." &amp; CHAR(10) &amp; "6." &amp; CHAR(10), IF('Profit &amp; Loss'!I107=2,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5" spans="1:2" ht="12.5" x14ac:dyDescent="0.25">
      <c r="A105" s="2" t="str">
        <f ca="1">IF('Profit &amp; Loss'!A108&gt;=TODAY(),"Looking for friendly players to join the following game: " &amp; CHAR(10) &amp; CHAR(10) &amp; "Date: " &amp; TEXT('Profit &amp; Loss'!A108,"dd mmm yyy") &amp; ", " &amp; 'Profit &amp; Loss'!B108 &amp; CHAR(10) &amp; "Time: " &amp; TEXT('Profit &amp; Loss'!C108, "hh:mm AM/PM") &amp; " - " &amp; TEXT('Profit &amp; Loss'!D108, "hh:mm AM/PM") &amp; CHAR(10) &amp; "Venue: " &amp; 'Profit &amp; Loss'!E108 &amp; CHAR(10) &amp; "Level: HB - LI" &amp; CHAR(10) &amp; "Cost: $" &amp; 'Profit &amp; Loss'!O108 &amp; " per pax" &amp; CHAR(10) &amp; "Max " &amp; 'Profit &amp; Loss'!I108*6 &amp; " pax," &amp; " (" &amp; 'Profit &amp; Loss'!I108 &amp; " courts)" &amp; CHAR(10) &amp; CHAR(10) &amp; "RSL Ultimate shuttles provided" &amp; CHAR(10) &amp; CHAR(10) &amp; "PM if interested, thank you!"," ")</f>
        <v xml:space="preserve"> </v>
      </c>
      <c r="B105" s="2" t="str">
        <f ca="1">IF('Profit &amp; Loss'!A108&gt;=TODAY(), "Date: " &amp; TEXT('Profit &amp; Loss'!A108,"dd mmm yyy") &amp; ", " &amp; 'Profit &amp; Loss'!B108 &amp; CHAR(10) &amp; "Time: " &amp; TEXT('Profit &amp; Loss'!C108, "hh:mm AM/PM") &amp; " - " &amp; TEXT('Profit &amp; Loss'!D108, "hh:mm AM/PM") &amp; CHAR(10) &amp; "Venue: " &amp; 'Profit &amp; Loss'!E108 &amp; CHAR(10) &amp; "Court No.: " &amp; 'Profit &amp; Loss'!F108 &amp; CHAR(10) &amp; "Level: HB - LI" &amp; CHAR(10) &amp; "Please transfer $" &amp; 'Profit &amp; Loss'!O108 &amp; " per pax to Belle (83396501)" &amp; CHAR(10) &amp; CHAR(10) &amp; IF('Profit &amp; Loss'!I108=1, "1." &amp; CHAR(10) &amp; "2." &amp; CHAR(10) &amp; "3." &amp; CHAR(10) &amp; "4." &amp; CHAR(10) &amp; "5." &amp; CHAR(10) &amp; "6." &amp; CHAR(10), IF('Profit &amp; Loss'!I108=2,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6" spans="1:2" ht="12.5" x14ac:dyDescent="0.25">
      <c r="A106" s="2" t="str">
        <f ca="1">IF('Profit &amp; Loss'!A109&gt;=TODAY(),"Looking for friendly players to join the following game: " &amp; CHAR(10) &amp; CHAR(10) &amp; "Date: " &amp; TEXT('Profit &amp; Loss'!A109,"dd mmm yyy") &amp; ", " &amp; 'Profit &amp; Loss'!B109 &amp; CHAR(10) &amp; "Time: " &amp; TEXT('Profit &amp; Loss'!C109, "hh:mm AM/PM") &amp; " - " &amp; TEXT('Profit &amp; Loss'!D109, "hh:mm AM/PM") &amp; CHAR(10) &amp; "Venue: " &amp; 'Profit &amp; Loss'!E109 &amp; CHAR(10) &amp; "Level: HB - LI" &amp; CHAR(10) &amp; "Cost: $" &amp; 'Profit &amp; Loss'!O109 &amp; " per pax" &amp; CHAR(10) &amp; "Max " &amp; 'Profit &amp; Loss'!I109*6 &amp; " pax," &amp; " (" &amp; 'Profit &amp; Loss'!I109 &amp; " courts)" &amp; CHAR(10) &amp; CHAR(10) &amp; "RSL Ultimate shuttles provided" &amp; CHAR(10) &amp; CHAR(10) &amp; "PM if interested, thank you!"," ")</f>
        <v xml:space="preserve"> </v>
      </c>
      <c r="B106" s="2" t="str">
        <f ca="1">IF('Profit &amp; Loss'!A109&gt;=TODAY(), "Date: " &amp; TEXT('Profit &amp; Loss'!A109,"dd mmm yyy") &amp; ", " &amp; 'Profit &amp; Loss'!B109 &amp; CHAR(10) &amp; "Time: " &amp; TEXT('Profit &amp; Loss'!C109, "hh:mm AM/PM") &amp; " - " &amp; TEXT('Profit &amp; Loss'!D109, "hh:mm AM/PM") &amp; CHAR(10) &amp; "Venue: " &amp; 'Profit &amp; Loss'!E109 &amp; CHAR(10) &amp; "Court No.: " &amp; 'Profit &amp; Loss'!F109 &amp; CHAR(10) &amp; "Level: HB - LI" &amp; CHAR(10) &amp; "Please transfer $" &amp; 'Profit &amp; Loss'!O109 &amp; " per pax to Belle (83396501)" &amp; CHAR(10) &amp; CHAR(10) &amp; IF('Profit &amp; Loss'!I109=1, "1." &amp; CHAR(10) &amp; "2." &amp; CHAR(10) &amp; "3." &amp; CHAR(10) &amp; "4." &amp; CHAR(10) &amp; "5." &amp; CHAR(10) &amp; "6." &amp; CHAR(10), IF('Profit &amp; Loss'!I109=2,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7" spans="1:2" ht="12.5" x14ac:dyDescent="0.25">
      <c r="A107" s="2" t="str">
        <f ca="1">IF('Profit &amp; Loss'!A110&gt;=TODAY(),"Looking for friendly players to join the following game: " &amp; CHAR(10) &amp; CHAR(10) &amp; "Date: " &amp; TEXT('Profit &amp; Loss'!A110,"dd mmm yyy") &amp; ", " &amp; 'Profit &amp; Loss'!B110 &amp; CHAR(10) &amp; "Time: " &amp; TEXT('Profit &amp; Loss'!C110, "hh:mm AM/PM") &amp; " - " &amp; TEXT('Profit &amp; Loss'!D110, "hh:mm AM/PM") &amp; CHAR(10) &amp; "Venue: " &amp; 'Profit &amp; Loss'!E110 &amp; CHAR(10) &amp; "Level: HB - LI" &amp; CHAR(10) &amp; "Cost: $" &amp; 'Profit &amp; Loss'!O110 &amp; " per pax" &amp; CHAR(10) &amp; "Max " &amp; 'Profit &amp; Loss'!I110*6 &amp; " pax," &amp; " (" &amp; 'Profit &amp; Loss'!I110 &amp; " courts)" &amp; CHAR(10) &amp; CHAR(10) &amp; "RSL Ultimate shuttles provided" &amp; CHAR(10) &amp; CHAR(10) &amp; "PM if interested, thank you!"," ")</f>
        <v xml:space="preserve"> </v>
      </c>
      <c r="B107" s="2" t="str">
        <f ca="1">IF('Profit &amp; Loss'!A110&gt;=TODAY(), "Date: " &amp; TEXT('Profit &amp; Loss'!A110,"dd mmm yyy") &amp; ", " &amp; 'Profit &amp; Loss'!B110 &amp; CHAR(10) &amp; "Time: " &amp; TEXT('Profit &amp; Loss'!C110, "hh:mm AM/PM") &amp; " - " &amp; TEXT('Profit &amp; Loss'!D110, "hh:mm AM/PM") &amp; CHAR(10) &amp; "Venue: " &amp; 'Profit &amp; Loss'!E110 &amp; CHAR(10) &amp; "Court No.: " &amp; 'Profit &amp; Loss'!F110 &amp; CHAR(10) &amp; "Level: HB - LI" &amp; CHAR(10) &amp; "Please transfer $" &amp; 'Profit &amp; Loss'!O110 &amp; " per pax to Belle (83396501)" &amp; CHAR(10) &amp; CHAR(10) &amp; IF('Profit &amp; Loss'!I110=1, "1." &amp; CHAR(10) &amp; "2." &amp; CHAR(10) &amp; "3." &amp; CHAR(10) &amp; "4." &amp; CHAR(10) &amp; "5." &amp; CHAR(10) &amp; "6." &amp; CHAR(10), IF('Profit &amp; Loss'!I110=2,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8" spans="1:2" ht="12.5" x14ac:dyDescent="0.25">
      <c r="A108" s="2" t="str">
        <f ca="1">IF('Profit &amp; Loss'!A111&gt;=TODAY(),"Looking for friendly players to join the following game: " &amp; CHAR(10) &amp; CHAR(10) &amp; "Date: " &amp; TEXT('Profit &amp; Loss'!A111,"dd mmm yyy") &amp; ", " &amp; 'Profit &amp; Loss'!B111 &amp; CHAR(10) &amp; "Time: " &amp; TEXT('Profit &amp; Loss'!C111, "hh:mm AM/PM") &amp; " - " &amp; TEXT('Profit &amp; Loss'!D111, "hh:mm AM/PM") &amp; CHAR(10) &amp; "Venue: " &amp; 'Profit &amp; Loss'!E111 &amp; CHAR(10) &amp; "Level: HB - LI" &amp; CHAR(10) &amp; "Cost: $" &amp; 'Profit &amp; Loss'!O111 &amp; " per pax" &amp; CHAR(10) &amp; "Max " &amp; 'Profit &amp; Loss'!I111*6 &amp; " pax," &amp; " (" &amp; 'Profit &amp; Loss'!I111 &amp; " courts)" &amp; CHAR(10) &amp; CHAR(10) &amp; "RSL Ultimate shuttles provided" &amp; CHAR(10) &amp; CHAR(10) &amp; "PM if interested, thank you!"," ")</f>
        <v xml:space="preserve"> </v>
      </c>
      <c r="B108" s="2" t="str">
        <f ca="1">IF('Profit &amp; Loss'!A111&gt;=TODAY(), "Date: " &amp; TEXT('Profit &amp; Loss'!A111,"dd mmm yyy") &amp; ", " &amp; 'Profit &amp; Loss'!B111 &amp; CHAR(10) &amp; "Time: " &amp; TEXT('Profit &amp; Loss'!C111, "hh:mm AM/PM") &amp; " - " &amp; TEXT('Profit &amp; Loss'!D111, "hh:mm AM/PM") &amp; CHAR(10) &amp; "Venue: " &amp; 'Profit &amp; Loss'!E111 &amp; CHAR(10) &amp; "Court No.: " &amp; 'Profit &amp; Loss'!F111 &amp; CHAR(10) &amp; "Level: HB - LI" &amp; CHAR(10) &amp; "Please transfer $" &amp; 'Profit &amp; Loss'!O111 &amp; " per pax to Belle (83396501)" &amp; CHAR(10) &amp; CHAR(10) &amp; IF('Profit &amp; Loss'!I111=1, "1." &amp; CHAR(10) &amp; "2." &amp; CHAR(10) &amp; "3." &amp; CHAR(10) &amp; "4." &amp; CHAR(10) &amp; "5." &amp; CHAR(10) &amp; "6." &amp; CHAR(10), IF('Profit &amp; Loss'!I111=2,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09" spans="1:2" ht="12.5" x14ac:dyDescent="0.25">
      <c r="A109" s="2" t="str">
        <f ca="1">IF('Profit &amp; Loss'!A112&gt;=TODAY(),"Looking for friendly players to join the following game: " &amp; CHAR(10) &amp; CHAR(10) &amp; "Date: " &amp; TEXT('Profit &amp; Loss'!A112,"dd mmm yyy") &amp; ", " &amp; 'Profit &amp; Loss'!B112 &amp; CHAR(10) &amp; "Time: " &amp; TEXT('Profit &amp; Loss'!C112, "hh:mm AM/PM") &amp; " - " &amp; TEXT('Profit &amp; Loss'!D112, "hh:mm AM/PM") &amp; CHAR(10) &amp; "Venue: " &amp; 'Profit &amp; Loss'!E112 &amp; CHAR(10) &amp; "Level: HB - LI" &amp; CHAR(10) &amp; "Cost: $" &amp; 'Profit &amp; Loss'!O112 &amp; " per pax" &amp; CHAR(10) &amp; "Max " &amp; 'Profit &amp; Loss'!I112*6 &amp; " pax," &amp; " (" &amp; 'Profit &amp; Loss'!I112 &amp; " courts)" &amp; CHAR(10) &amp; CHAR(10) &amp; "RSL Ultimate shuttles provided" &amp; CHAR(10) &amp; CHAR(10) &amp; "PM if interested, thank you!"," ")</f>
        <v xml:space="preserve"> </v>
      </c>
      <c r="B109" s="2" t="str">
        <f ca="1">IF('Profit &amp; Loss'!A112&gt;=TODAY(), "Date: " &amp; TEXT('Profit &amp; Loss'!A112,"dd mmm yyy") &amp; ", " &amp; 'Profit &amp; Loss'!B112 &amp; CHAR(10) &amp; "Time: " &amp; TEXT('Profit &amp; Loss'!C112, "hh:mm AM/PM") &amp; " - " &amp; TEXT('Profit &amp; Loss'!D112, "hh:mm AM/PM") &amp; CHAR(10) &amp; "Venue: " &amp; 'Profit &amp; Loss'!E112 &amp; CHAR(10) &amp; "Court No.: " &amp; 'Profit &amp; Loss'!F112 &amp; CHAR(10) &amp; "Level: HB - LI" &amp; CHAR(10) &amp; "Please transfer $" &amp; 'Profit &amp; Loss'!O112 &amp; " per pax to Belle (83396501)" &amp; CHAR(10) &amp; CHAR(10) &amp; IF('Profit &amp; Loss'!I112=1, "1." &amp; CHAR(10) &amp; "2." &amp; CHAR(10) &amp; "3." &amp; CHAR(10) &amp; "4." &amp; CHAR(10) &amp; "5." &amp; CHAR(10) &amp; "6." &amp; CHAR(10), IF('Profit &amp; Loss'!I112=2,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0" spans="1:2" ht="12.5" x14ac:dyDescent="0.25">
      <c r="A110" s="2" t="str">
        <f ca="1">IF('Profit &amp; Loss'!A113&gt;=TODAY(),"Looking for friendly players to join the following game: " &amp; CHAR(10) &amp; CHAR(10) &amp; "Date: " &amp; TEXT('Profit &amp; Loss'!A113,"dd mmm yyy") &amp; ", " &amp; 'Profit &amp; Loss'!B113 &amp; CHAR(10) &amp; "Time: " &amp; TEXT('Profit &amp; Loss'!C113, "hh:mm AM/PM") &amp; " - " &amp; TEXT('Profit &amp; Loss'!D113, "hh:mm AM/PM") &amp; CHAR(10) &amp; "Venue: " &amp; 'Profit &amp; Loss'!E113 &amp; CHAR(10) &amp; "Level: HB - LI" &amp; CHAR(10) &amp; "Cost: $" &amp; 'Profit &amp; Loss'!O113 &amp; " per pax" &amp; CHAR(10) &amp; "Max " &amp; 'Profit &amp; Loss'!I113*6 &amp; " pax," &amp; " (" &amp; 'Profit &amp; Loss'!I113 &amp; " courts)" &amp; CHAR(10) &amp; CHAR(10) &amp; "RSL Ultimate shuttles provided" &amp; CHAR(10) &amp; CHAR(10) &amp; "PM if interested, thank you!"," ")</f>
        <v xml:space="preserve"> </v>
      </c>
      <c r="B110" s="2" t="str">
        <f ca="1">IF('Profit &amp; Loss'!A113&gt;=TODAY(), "Date: " &amp; TEXT('Profit &amp; Loss'!A113,"dd mmm yyy") &amp; ", " &amp; 'Profit &amp; Loss'!B113 &amp; CHAR(10) &amp; "Time: " &amp; TEXT('Profit &amp; Loss'!C113, "hh:mm AM/PM") &amp; " - " &amp; TEXT('Profit &amp; Loss'!D113, "hh:mm AM/PM") &amp; CHAR(10) &amp; "Venue: " &amp; 'Profit &amp; Loss'!E113 &amp; CHAR(10) &amp; "Court No.: " &amp; 'Profit &amp; Loss'!F113 &amp; CHAR(10) &amp; "Level: HB - LI" &amp; CHAR(10) &amp; "Please transfer $" &amp; 'Profit &amp; Loss'!O113 &amp; " per pax to Belle (83396501)" &amp; CHAR(10) &amp; CHAR(10) &amp; IF('Profit &amp; Loss'!I113=1, "1." &amp; CHAR(10) &amp; "2." &amp; CHAR(10) &amp; "3." &amp; CHAR(10) &amp; "4." &amp; CHAR(10) &amp; "5." &amp; CHAR(10) &amp; "6." &amp; CHAR(10), IF('Profit &amp; Loss'!I113=2,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1" spans="1:2" ht="12.5" x14ac:dyDescent="0.25">
      <c r="A111" s="2" t="str">
        <f ca="1">IF('Profit &amp; Loss'!A114&gt;=TODAY(),"Looking for friendly players to join the following game: " &amp; CHAR(10) &amp; CHAR(10) &amp; "Date: " &amp; TEXT('Profit &amp; Loss'!A114,"dd mmm yyy") &amp; ", " &amp; 'Profit &amp; Loss'!B114 &amp; CHAR(10) &amp; "Time: " &amp; TEXT('Profit &amp; Loss'!C114, "hh:mm AM/PM") &amp; " - " &amp; TEXT('Profit &amp; Loss'!D114, "hh:mm AM/PM") &amp; CHAR(10) &amp; "Venue: " &amp; 'Profit &amp; Loss'!E114 &amp; CHAR(10) &amp; "Level: HB - LI" &amp; CHAR(10) &amp; "Cost: $" &amp; 'Profit &amp; Loss'!O114 &amp; " per pax" &amp; CHAR(10) &amp; "Max " &amp; 'Profit &amp; Loss'!I114*6 &amp; " pax," &amp; " (" &amp; 'Profit &amp; Loss'!I114 &amp; " courts)" &amp; CHAR(10) &amp; CHAR(10) &amp; "RSL Ultimate shuttles provided" &amp; CHAR(10) &amp; CHAR(10) &amp; "PM if interested, thank you!"," ")</f>
        <v xml:space="preserve"> </v>
      </c>
      <c r="B111" s="2" t="str">
        <f ca="1">IF('Profit &amp; Loss'!A114&gt;=TODAY(), "Date: " &amp; TEXT('Profit &amp; Loss'!A114,"dd mmm yyy") &amp; ", " &amp; 'Profit &amp; Loss'!B114 &amp; CHAR(10) &amp; "Time: " &amp; TEXT('Profit &amp; Loss'!C114, "hh:mm AM/PM") &amp; " - " &amp; TEXT('Profit &amp; Loss'!D114, "hh:mm AM/PM") &amp; CHAR(10) &amp; "Venue: " &amp; 'Profit &amp; Loss'!E114 &amp; CHAR(10) &amp; "Court No.: " &amp; 'Profit &amp; Loss'!F114 &amp; CHAR(10) &amp; "Level: HB - LI" &amp; CHAR(10) &amp; "Please transfer $" &amp; 'Profit &amp; Loss'!O114 &amp; " per pax to Belle (83396501)" &amp; CHAR(10) &amp; CHAR(10) &amp; IF('Profit &amp; Loss'!I114=1, "1." &amp; CHAR(10) &amp; "2." &amp; CHAR(10) &amp; "3." &amp; CHAR(10) &amp; "4." &amp; CHAR(10) &amp; "5." &amp; CHAR(10) &amp; "6." &amp; CHAR(10), IF('Profit &amp; Loss'!I114=2,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2" spans="1:2" ht="12.5" x14ac:dyDescent="0.25">
      <c r="A112" s="2" t="str">
        <f ca="1">IF('Profit &amp; Loss'!A115&gt;=TODAY(),"Looking for friendly players to join the following game: " &amp; CHAR(10) &amp; CHAR(10) &amp; "Date: " &amp; TEXT('Profit &amp; Loss'!A115,"dd mmm yyy") &amp; ", " &amp; 'Profit &amp; Loss'!B115 &amp; CHAR(10) &amp; "Time: " &amp; TEXT('Profit &amp; Loss'!C115, "hh:mm AM/PM") &amp; " - " &amp; TEXT('Profit &amp; Loss'!D115, "hh:mm AM/PM") &amp; CHAR(10) &amp; "Venue: " &amp; 'Profit &amp; Loss'!E115 &amp; CHAR(10) &amp; "Level: HB - LI" &amp; CHAR(10) &amp; "Cost: $" &amp; 'Profit &amp; Loss'!O115 &amp; " per pax" &amp; CHAR(10) &amp; "Max " &amp; 'Profit &amp; Loss'!I115*6 &amp; " pax," &amp; " (" &amp; 'Profit &amp; Loss'!I115 &amp; " courts)" &amp; CHAR(10) &amp; CHAR(10) &amp; "RSL Ultimate shuttles provided" &amp; CHAR(10) &amp; CHAR(10) &amp; "PM if interested, thank you!"," ")</f>
        <v xml:space="preserve"> </v>
      </c>
      <c r="B112" s="2" t="str">
        <f ca="1">IF('Profit &amp; Loss'!A115&gt;=TODAY(), "Date: " &amp; TEXT('Profit &amp; Loss'!A115,"dd mmm yyy") &amp; ", " &amp; 'Profit &amp; Loss'!B115 &amp; CHAR(10) &amp; "Time: " &amp; TEXT('Profit &amp; Loss'!C115, "hh:mm AM/PM") &amp; " - " &amp; TEXT('Profit &amp; Loss'!D115, "hh:mm AM/PM") &amp; CHAR(10) &amp; "Venue: " &amp; 'Profit &amp; Loss'!E115 &amp; CHAR(10) &amp; "Court No.: " &amp; 'Profit &amp; Loss'!F115 &amp; CHAR(10) &amp; "Level: HB - LI" &amp; CHAR(10) &amp; "Please transfer $" &amp; 'Profit &amp; Loss'!O115 &amp; " per pax to Belle (83396501)" &amp; CHAR(10) &amp; CHAR(10) &amp; IF('Profit &amp; Loss'!I115=1, "1." &amp; CHAR(10) &amp; "2." &amp; CHAR(10) &amp; "3." &amp; CHAR(10) &amp; "4." &amp; CHAR(10) &amp; "5." &amp; CHAR(10) &amp; "6." &amp; CHAR(10), IF('Profit &amp; Loss'!I115=2,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3" spans="1:2" ht="12.5" x14ac:dyDescent="0.25">
      <c r="A113" s="2" t="str">
        <f ca="1">IF('Profit &amp; Loss'!A116&gt;=TODAY(),"Looking for friendly players to join the following game: " &amp; CHAR(10) &amp; CHAR(10) &amp; "Date: " &amp; TEXT('Profit &amp; Loss'!A116,"dd mmm yyy") &amp; ", " &amp; 'Profit &amp; Loss'!B116 &amp; CHAR(10) &amp; "Time: " &amp; TEXT('Profit &amp; Loss'!C116, "hh:mm AM/PM") &amp; " - " &amp; TEXT('Profit &amp; Loss'!D116, "hh:mm AM/PM") &amp; CHAR(10) &amp; "Venue: " &amp; 'Profit &amp; Loss'!E116 &amp; CHAR(10) &amp; "Level: HB - LI" &amp; CHAR(10) &amp; "Cost: $" &amp; 'Profit &amp; Loss'!O116 &amp; " per pax" &amp; CHAR(10) &amp; "Max " &amp; 'Profit &amp; Loss'!I116*6 &amp; " pax," &amp; " (" &amp; 'Profit &amp; Loss'!I116 &amp; " courts)" &amp; CHAR(10) &amp; CHAR(10) &amp; "RSL Ultimate shuttles provided" &amp; CHAR(10) &amp; CHAR(10) &amp; "PM if interested, thank you!"," ")</f>
        <v xml:space="preserve"> </v>
      </c>
      <c r="B113" s="2" t="str">
        <f ca="1">IF('Profit &amp; Loss'!A116&gt;=TODAY(), "Date: " &amp; TEXT('Profit &amp; Loss'!A116,"dd mmm yyy") &amp; ", " &amp; 'Profit &amp; Loss'!B116 &amp; CHAR(10) &amp; "Time: " &amp; TEXT('Profit &amp; Loss'!C116, "hh:mm AM/PM") &amp; " - " &amp; TEXT('Profit &amp; Loss'!D116, "hh:mm AM/PM") &amp; CHAR(10) &amp; "Venue: " &amp; 'Profit &amp; Loss'!E116 &amp; CHAR(10) &amp; "Court No.: " &amp; 'Profit &amp; Loss'!F116 &amp; CHAR(10) &amp; "Level: HB - LI" &amp; CHAR(10) &amp; "Please transfer $" &amp; 'Profit &amp; Loss'!O116 &amp; " per pax to Belle (83396501)" &amp; CHAR(10) &amp; CHAR(10) &amp; IF('Profit &amp; Loss'!I116=1, "1." &amp; CHAR(10) &amp; "2." &amp; CHAR(10) &amp; "3." &amp; CHAR(10) &amp; "4." &amp; CHAR(10) &amp; "5." &amp; CHAR(10) &amp; "6." &amp; CHAR(10), IF('Profit &amp; Loss'!I116=2,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4" spans="1:2" ht="12.5" x14ac:dyDescent="0.25">
      <c r="A114" s="2" t="str">
        <f ca="1">IF('Profit &amp; Loss'!A117&gt;=TODAY(),"Looking for friendly players to join the following game: " &amp; CHAR(10) &amp; CHAR(10) &amp; "Date: " &amp; TEXT('Profit &amp; Loss'!A117,"dd mmm yyy") &amp; ", " &amp; 'Profit &amp; Loss'!B117 &amp; CHAR(10) &amp; "Time: " &amp; TEXT('Profit &amp; Loss'!C117, "hh:mm AM/PM") &amp; " - " &amp; TEXT('Profit &amp; Loss'!D117, "hh:mm AM/PM") &amp; CHAR(10) &amp; "Venue: " &amp; 'Profit &amp; Loss'!E117 &amp; CHAR(10) &amp; "Level: HB - LI" &amp; CHAR(10) &amp; "Cost: $" &amp; 'Profit &amp; Loss'!O117 &amp; " per pax" &amp; CHAR(10) &amp; "Max " &amp; 'Profit &amp; Loss'!I117*6 &amp; " pax," &amp; " (" &amp; 'Profit &amp; Loss'!I117 &amp; " courts)" &amp; CHAR(10) &amp; CHAR(10) &amp; "RSL Ultimate shuttles provided" &amp; CHAR(10) &amp; CHAR(10) &amp; "PM if interested, thank you!"," ")</f>
        <v xml:space="preserve"> </v>
      </c>
      <c r="B114" s="2" t="str">
        <f ca="1">IF('Profit &amp; Loss'!A117&gt;=TODAY(), "Date: " &amp; TEXT('Profit &amp; Loss'!A117,"dd mmm yyy") &amp; ", " &amp; 'Profit &amp; Loss'!B117 &amp; CHAR(10) &amp; "Time: " &amp; TEXT('Profit &amp; Loss'!C117, "hh:mm AM/PM") &amp; " - " &amp; TEXT('Profit &amp; Loss'!D117, "hh:mm AM/PM") &amp; CHAR(10) &amp; "Venue: " &amp; 'Profit &amp; Loss'!E117 &amp; CHAR(10) &amp; "Court No.: " &amp; 'Profit &amp; Loss'!F117 &amp; CHAR(10) &amp; "Level: HB - LI" &amp; CHAR(10) &amp; "Please transfer $" &amp; 'Profit &amp; Loss'!O117 &amp; " per pax to Belle (83396501)" &amp; CHAR(10) &amp; CHAR(10) &amp; IF('Profit &amp; Loss'!I117=1, "1." &amp; CHAR(10) &amp; "2." &amp; CHAR(10) &amp; "3." &amp; CHAR(10) &amp; "4." &amp; CHAR(10) &amp; "5." &amp; CHAR(10) &amp; "6." &amp; CHAR(10), IF('Profit &amp; Loss'!I117=2,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5" spans="1:2" ht="12.5" x14ac:dyDescent="0.25">
      <c r="A115" s="2" t="str">
        <f ca="1">IF('Profit &amp; Loss'!A118&gt;=TODAY(),"Looking for friendly players to join the following game: " &amp; CHAR(10) &amp; CHAR(10) &amp; "Date: " &amp; TEXT('Profit &amp; Loss'!A118,"dd mmm yyy") &amp; ", " &amp; 'Profit &amp; Loss'!B118 &amp; CHAR(10) &amp; "Time: " &amp; TEXT('Profit &amp; Loss'!C118, "hh:mm AM/PM") &amp; " - " &amp; TEXT('Profit &amp; Loss'!D118, "hh:mm AM/PM") &amp; CHAR(10) &amp; "Venue: " &amp; 'Profit &amp; Loss'!E118 &amp; CHAR(10) &amp; "Level: HB - LI" &amp; CHAR(10) &amp; "Cost: $" &amp; 'Profit &amp; Loss'!O118 &amp; " per pax" &amp; CHAR(10) &amp; "Max " &amp; 'Profit &amp; Loss'!I118*6 &amp; " pax," &amp; " (" &amp; 'Profit &amp; Loss'!I118 &amp; " courts)" &amp; CHAR(10) &amp; CHAR(10) &amp; "RSL Ultimate shuttles provided" &amp; CHAR(10) &amp; CHAR(10) &amp; "PM if interested, thank you!"," ")</f>
        <v xml:space="preserve"> </v>
      </c>
      <c r="B115" s="2" t="str">
        <f ca="1">IF('Profit &amp; Loss'!A118&gt;=TODAY(), "Date: " &amp; TEXT('Profit &amp; Loss'!A118,"dd mmm yyy") &amp; ", " &amp; 'Profit &amp; Loss'!B118 &amp; CHAR(10) &amp; "Time: " &amp; TEXT('Profit &amp; Loss'!C118, "hh:mm AM/PM") &amp; " - " &amp; TEXT('Profit &amp; Loss'!D118, "hh:mm AM/PM") &amp; CHAR(10) &amp; "Venue: " &amp; 'Profit &amp; Loss'!E118 &amp; CHAR(10) &amp; "Court No.: " &amp; 'Profit &amp; Loss'!F118 &amp; CHAR(10) &amp; "Level: HB - LI" &amp; CHAR(10) &amp; "Please transfer $" &amp; 'Profit &amp; Loss'!O118 &amp; " per pax to Belle (83396501)" &amp; CHAR(10) &amp; CHAR(10) &amp; IF('Profit &amp; Loss'!I118=1, "1." &amp; CHAR(10) &amp; "2." &amp; CHAR(10) &amp; "3." &amp; CHAR(10) &amp; "4." &amp; CHAR(10) &amp; "5." &amp; CHAR(10) &amp; "6." &amp; CHAR(10), IF('Profit &amp; Loss'!I118=2,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6" spans="1:2" ht="12.5" x14ac:dyDescent="0.25">
      <c r="A116" s="2" t="str">
        <f ca="1">IF('Profit &amp; Loss'!A119&gt;=TODAY(),"Looking for friendly players to join the following game: " &amp; CHAR(10) &amp; CHAR(10) &amp; "Date: " &amp; TEXT('Profit &amp; Loss'!A119,"dd mmm yyy") &amp; ", " &amp; 'Profit &amp; Loss'!B119 &amp; CHAR(10) &amp; "Time: " &amp; TEXT('Profit &amp; Loss'!C119, "hh:mm AM/PM") &amp; " - " &amp; TEXT('Profit &amp; Loss'!D119, "hh:mm AM/PM") &amp; CHAR(10) &amp; "Venue: " &amp; 'Profit &amp; Loss'!E119 &amp; CHAR(10) &amp; "Level: HB - LI" &amp; CHAR(10) &amp; "Cost: $" &amp; 'Profit &amp; Loss'!O119 &amp; " per pax" &amp; CHAR(10) &amp; "Max " &amp; 'Profit &amp; Loss'!I119*6 &amp; " pax," &amp; " (" &amp; 'Profit &amp; Loss'!I119 &amp; " courts)" &amp; CHAR(10) &amp; CHAR(10) &amp; "RSL Ultimate shuttles provided" &amp; CHAR(10) &amp; CHAR(10) &amp; "PM if interested, thank you!"," ")</f>
        <v xml:space="preserve"> </v>
      </c>
      <c r="B116" s="2" t="str">
        <f ca="1">IF('Profit &amp; Loss'!A119&gt;=TODAY(), "Date: " &amp; TEXT('Profit &amp; Loss'!A119,"dd mmm yyy") &amp; ", " &amp; 'Profit &amp; Loss'!B119 &amp; CHAR(10) &amp; "Time: " &amp; TEXT('Profit &amp; Loss'!C119, "hh:mm AM/PM") &amp; " - " &amp; TEXT('Profit &amp; Loss'!D119, "hh:mm AM/PM") &amp; CHAR(10) &amp; "Venue: " &amp; 'Profit &amp; Loss'!E119 &amp; CHAR(10) &amp; "Court No.: " &amp; 'Profit &amp; Loss'!F119 &amp; CHAR(10) &amp; "Level: HB - LI" &amp; CHAR(10) &amp; "Please transfer $" &amp; 'Profit &amp; Loss'!O119 &amp; " per pax to Belle (83396501)" &amp; CHAR(10) &amp; CHAR(10) &amp; IF('Profit &amp; Loss'!I119=1, "1." &amp; CHAR(10) &amp; "2." &amp; CHAR(10) &amp; "3." &amp; CHAR(10) &amp; "4." &amp; CHAR(10) &amp; "5." &amp; CHAR(10) &amp; "6." &amp; CHAR(10), IF('Profit &amp; Loss'!I119=2,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7" spans="1:2" ht="12.5" x14ac:dyDescent="0.25">
      <c r="A117" s="2" t="str">
        <f ca="1">IF('Profit &amp; Loss'!A120&gt;=TODAY(),"Looking for friendly players to join the following game: " &amp; CHAR(10) &amp; CHAR(10) &amp; "Date: " &amp; TEXT('Profit &amp; Loss'!A120,"dd mmm yyy") &amp; ", " &amp; 'Profit &amp; Loss'!B120 &amp; CHAR(10) &amp; "Time: " &amp; TEXT('Profit &amp; Loss'!C120, "hh:mm AM/PM") &amp; " - " &amp; TEXT('Profit &amp; Loss'!D120, "hh:mm AM/PM") &amp; CHAR(10) &amp; "Venue: " &amp; 'Profit &amp; Loss'!E120 &amp; CHAR(10) &amp; "Level: HB - LI" &amp; CHAR(10) &amp; "Cost: $" &amp; 'Profit &amp; Loss'!O120 &amp; " per pax" &amp; CHAR(10) &amp; "Max " &amp; 'Profit &amp; Loss'!I120*6 &amp; " pax," &amp; " (" &amp; 'Profit &amp; Loss'!I120 &amp; " courts)" &amp; CHAR(10) &amp; CHAR(10) &amp; "RSL Ultimate shuttles provided" &amp; CHAR(10) &amp; CHAR(10) &amp; "PM if interested, thank you!"," ")</f>
        <v xml:space="preserve"> </v>
      </c>
      <c r="B117" s="2" t="str">
        <f ca="1">IF('Profit &amp; Loss'!A120&gt;=TODAY(), "Date: " &amp; TEXT('Profit &amp; Loss'!A120,"dd mmm yyy") &amp; ", " &amp; 'Profit &amp; Loss'!B120 &amp; CHAR(10) &amp; "Time: " &amp; TEXT('Profit &amp; Loss'!C120, "hh:mm AM/PM") &amp; " - " &amp; TEXT('Profit &amp; Loss'!D120, "hh:mm AM/PM") &amp; CHAR(10) &amp; "Venue: " &amp; 'Profit &amp; Loss'!E120 &amp; CHAR(10) &amp; "Court No.: " &amp; 'Profit &amp; Loss'!F120 &amp; CHAR(10) &amp; "Level: HB - LI" &amp; CHAR(10) &amp; "Please transfer $" &amp; 'Profit &amp; Loss'!O120 &amp; " per pax to Belle (83396501)" &amp; CHAR(10) &amp; CHAR(10) &amp; IF('Profit &amp; Loss'!I120=1, "1." &amp; CHAR(10) &amp; "2." &amp; CHAR(10) &amp; "3." &amp; CHAR(10) &amp; "4." &amp; CHAR(10) &amp; "5." &amp; CHAR(10) &amp; "6." &amp; CHAR(10), IF('Profit &amp; Loss'!I120=2,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8" spans="1:2" ht="12.5" x14ac:dyDescent="0.25">
      <c r="A118" s="2" t="str">
        <f ca="1">IF('Profit &amp; Loss'!A121&gt;=TODAY(),"Looking for friendly players to join the following game: " &amp; CHAR(10) &amp; CHAR(10) &amp; "Date: " &amp; TEXT('Profit &amp; Loss'!A121,"dd mmm yyy") &amp; ", " &amp; 'Profit &amp; Loss'!B121 &amp; CHAR(10) &amp; "Time: " &amp; TEXT('Profit &amp; Loss'!C121, "hh:mm AM/PM") &amp; " - " &amp; TEXT('Profit &amp; Loss'!D121, "hh:mm AM/PM") &amp; CHAR(10) &amp; "Venue: " &amp; 'Profit &amp; Loss'!E121 &amp; CHAR(10) &amp; "Level: HB - LI" &amp; CHAR(10) &amp; "Cost: $" &amp; 'Profit &amp; Loss'!O121 &amp; " per pax" &amp; CHAR(10) &amp; "Max " &amp; 'Profit &amp; Loss'!I121*6 &amp; " pax," &amp; " (" &amp; 'Profit &amp; Loss'!I121 &amp; " courts)" &amp; CHAR(10) &amp; CHAR(10) &amp; "RSL Ultimate shuttles provided" &amp; CHAR(10) &amp; CHAR(10) &amp; "PM if interested, thank you!"," ")</f>
        <v xml:space="preserve"> </v>
      </c>
      <c r="B118" s="2" t="str">
        <f ca="1">IF('Profit &amp; Loss'!A121&gt;=TODAY(), "Date: " &amp; TEXT('Profit &amp; Loss'!A121,"dd mmm yyy") &amp; ", " &amp; 'Profit &amp; Loss'!B121 &amp; CHAR(10) &amp; "Time: " &amp; TEXT('Profit &amp; Loss'!C121, "hh:mm AM/PM") &amp; " - " &amp; TEXT('Profit &amp; Loss'!D121, "hh:mm AM/PM") &amp; CHAR(10) &amp; "Venue: " &amp; 'Profit &amp; Loss'!E121 &amp; CHAR(10) &amp; "Court No.: " &amp; 'Profit &amp; Loss'!F121 &amp; CHAR(10) &amp; "Level: HB - LI" &amp; CHAR(10) &amp; "Please transfer $" &amp; 'Profit &amp; Loss'!O121 &amp; " per pax to Belle (83396501)" &amp; CHAR(10) &amp; CHAR(10) &amp; IF('Profit &amp; Loss'!I121=1, "1." &amp; CHAR(10) &amp; "2." &amp; CHAR(10) &amp; "3." &amp; CHAR(10) &amp; "4." &amp; CHAR(10) &amp; "5." &amp; CHAR(10) &amp; "6." &amp; CHAR(10), IF('Profit &amp; Loss'!I121=2,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19" spans="1:2" ht="12.5" x14ac:dyDescent="0.25">
      <c r="A119" s="2" t="str">
        <f ca="1">IF('Profit &amp; Loss'!A122&gt;=TODAY(),"Looking for friendly players to join the following game: " &amp; CHAR(10) &amp; CHAR(10) &amp; "Date: " &amp; TEXT('Profit &amp; Loss'!A122,"dd mmm yyy") &amp; ", " &amp; 'Profit &amp; Loss'!B122 &amp; CHAR(10) &amp; "Time: " &amp; TEXT('Profit &amp; Loss'!C122, "hh:mm AM/PM") &amp; " - " &amp; TEXT('Profit &amp; Loss'!D122, "hh:mm AM/PM") &amp; CHAR(10) &amp; "Venue: " &amp; 'Profit &amp; Loss'!E122 &amp; CHAR(10) &amp; "Level: HB - LI" &amp; CHAR(10) &amp; "Cost: $" &amp; 'Profit &amp; Loss'!O122 &amp; " per pax" &amp; CHAR(10) &amp; "Max " &amp; 'Profit &amp; Loss'!I122*6 &amp; " pax," &amp; " (" &amp; 'Profit &amp; Loss'!I122 &amp; " courts)" &amp; CHAR(10) &amp; CHAR(10) &amp; "RSL Ultimate shuttles provided" &amp; CHAR(10) &amp; CHAR(10) &amp; "PM if interested, thank you!"," ")</f>
        <v xml:space="preserve"> </v>
      </c>
      <c r="B119" s="2" t="str">
        <f ca="1">IF('Profit &amp; Loss'!A122&gt;=TODAY(), "Date: " &amp; TEXT('Profit &amp; Loss'!A122,"dd mmm yyy") &amp; ", " &amp; 'Profit &amp; Loss'!B122 &amp; CHAR(10) &amp; "Time: " &amp; TEXT('Profit &amp; Loss'!C122, "hh:mm AM/PM") &amp; " - " &amp; TEXT('Profit &amp; Loss'!D122, "hh:mm AM/PM") &amp; CHAR(10) &amp; "Venue: " &amp; 'Profit &amp; Loss'!E122 &amp; CHAR(10) &amp; "Court No.: " &amp; 'Profit &amp; Loss'!F122 &amp; CHAR(10) &amp; "Level: HB - LI" &amp; CHAR(10) &amp; "Please transfer $" &amp; 'Profit &amp; Loss'!O122 &amp; " per pax to Belle (83396501)" &amp; CHAR(10) &amp; CHAR(10) &amp; IF('Profit &amp; Loss'!I122=1, "1." &amp; CHAR(10) &amp; "2." &amp; CHAR(10) &amp; "3." &amp; CHAR(10) &amp; "4." &amp; CHAR(10) &amp; "5." &amp; CHAR(10) &amp; "6." &amp; CHAR(10), IF('Profit &amp; Loss'!I122=2,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0" spans="1:2" ht="12.5" x14ac:dyDescent="0.25">
      <c r="A120" s="2" t="str">
        <f ca="1">IF('Profit &amp; Loss'!A123&gt;=TODAY(),"Looking for friendly players to join the following game: " &amp; CHAR(10) &amp; CHAR(10) &amp; "Date: " &amp; TEXT('Profit &amp; Loss'!A123,"dd mmm yyy") &amp; ", " &amp; 'Profit &amp; Loss'!B123 &amp; CHAR(10) &amp; "Time: " &amp; TEXT('Profit &amp; Loss'!C123, "hh:mm AM/PM") &amp; " - " &amp; TEXT('Profit &amp; Loss'!D123, "hh:mm AM/PM") &amp; CHAR(10) &amp; "Venue: " &amp; 'Profit &amp; Loss'!E123 &amp; CHAR(10) &amp; "Level: HB - LI" &amp; CHAR(10) &amp; "Cost: $" &amp; 'Profit &amp; Loss'!O123 &amp; " per pax" &amp; CHAR(10) &amp; "Max " &amp; 'Profit &amp; Loss'!I123*6 &amp; " pax," &amp; " (" &amp; 'Profit &amp; Loss'!I123 &amp; " courts)" &amp; CHAR(10) &amp; CHAR(10) &amp; "RSL Ultimate shuttles provided" &amp; CHAR(10) &amp; CHAR(10) &amp; "PM if interested, thank you!"," ")</f>
        <v xml:space="preserve"> </v>
      </c>
      <c r="B120" s="2" t="str">
        <f ca="1">IF('Profit &amp; Loss'!A123&gt;=TODAY(), "Date: " &amp; TEXT('Profit &amp; Loss'!A123,"dd mmm yyy") &amp; ", " &amp; 'Profit &amp; Loss'!B123 &amp; CHAR(10) &amp; "Time: " &amp; TEXT('Profit &amp; Loss'!C123, "hh:mm AM/PM") &amp; " - " &amp; TEXT('Profit &amp; Loss'!D123, "hh:mm AM/PM") &amp; CHAR(10) &amp; "Venue: " &amp; 'Profit &amp; Loss'!E123 &amp; CHAR(10) &amp; "Court No.: " &amp; 'Profit &amp; Loss'!F123 &amp; CHAR(10) &amp; "Level: HB - LI" &amp; CHAR(10) &amp; "Please transfer $" &amp; 'Profit &amp; Loss'!O123 &amp; " per pax to Belle (83396501)" &amp; CHAR(10) &amp; CHAR(10) &amp; IF('Profit &amp; Loss'!I123=1, "1." &amp; CHAR(10) &amp; "2." &amp; CHAR(10) &amp; "3." &amp; CHAR(10) &amp; "4." &amp; CHAR(10) &amp; "5." &amp; CHAR(10) &amp; "6." &amp; CHAR(10), IF('Profit &amp; Loss'!I123=2,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1" spans="1:2" ht="12.5" x14ac:dyDescent="0.25">
      <c r="A121" s="2" t="str">
        <f ca="1">IF('Profit &amp; Loss'!A124&gt;=TODAY(),"Looking for friendly players to join the following game: " &amp; CHAR(10) &amp; CHAR(10) &amp; "Date: " &amp; TEXT('Profit &amp; Loss'!A124,"dd mmm yyy") &amp; ", " &amp; 'Profit &amp; Loss'!B124 &amp; CHAR(10) &amp; "Time: " &amp; TEXT('Profit &amp; Loss'!C124, "hh:mm AM/PM") &amp; " - " &amp; TEXT('Profit &amp; Loss'!D124, "hh:mm AM/PM") &amp; CHAR(10) &amp; "Venue: " &amp; 'Profit &amp; Loss'!E124 &amp; CHAR(10) &amp; "Level: HB - LI" &amp; CHAR(10) &amp; "Cost: $" &amp; 'Profit &amp; Loss'!O124 &amp; " per pax" &amp; CHAR(10) &amp; "Max " &amp; 'Profit &amp; Loss'!I124*6 &amp; " pax," &amp; " (" &amp; 'Profit &amp; Loss'!I124 &amp; " courts)" &amp; CHAR(10) &amp; CHAR(10) &amp; "RSL Ultimate shuttles provided" &amp; CHAR(10) &amp; CHAR(10) &amp; "PM if interested, thank you!"," ")</f>
        <v xml:space="preserve"> </v>
      </c>
      <c r="B121" s="2" t="str">
        <f ca="1">IF('Profit &amp; Loss'!A124&gt;=TODAY(), "Date: " &amp; TEXT('Profit &amp; Loss'!A124,"dd mmm yyy") &amp; ", " &amp; 'Profit &amp; Loss'!B124 &amp; CHAR(10) &amp; "Time: " &amp; TEXT('Profit &amp; Loss'!C124, "hh:mm AM/PM") &amp; " - " &amp; TEXT('Profit &amp; Loss'!D124, "hh:mm AM/PM") &amp; CHAR(10) &amp; "Venue: " &amp; 'Profit &amp; Loss'!E124 &amp; CHAR(10) &amp; "Court No.: " &amp; 'Profit &amp; Loss'!F124 &amp; CHAR(10) &amp; "Level: HB - LI" &amp; CHAR(10) &amp; "Please transfer $" &amp; 'Profit &amp; Loss'!O124 &amp; " per pax to Belle (83396501)" &amp; CHAR(10) &amp; CHAR(10) &amp; IF('Profit &amp; Loss'!I124=1, "1." &amp; CHAR(10) &amp; "2." &amp; CHAR(10) &amp; "3." &amp; CHAR(10) &amp; "4." &amp; CHAR(10) &amp; "5." &amp; CHAR(10) &amp; "6." &amp; CHAR(10), IF('Profit &amp; Loss'!I124=2,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2" spans="1:2" ht="12.5" x14ac:dyDescent="0.25">
      <c r="A122" s="2" t="str">
        <f ca="1">IF('Profit &amp; Loss'!A125&gt;=TODAY(),"Looking for friendly players to join the following game: " &amp; CHAR(10) &amp; CHAR(10) &amp; "Date: " &amp; TEXT('Profit &amp; Loss'!A125,"dd mmm yyy") &amp; ", " &amp; 'Profit &amp; Loss'!B125 &amp; CHAR(10) &amp; "Time: " &amp; TEXT('Profit &amp; Loss'!C125, "hh:mm AM/PM") &amp; " - " &amp; TEXT('Profit &amp; Loss'!D125, "hh:mm AM/PM") &amp; CHAR(10) &amp; "Venue: " &amp; 'Profit &amp; Loss'!E125 &amp; CHAR(10) &amp; "Level: HB - LI" &amp; CHAR(10) &amp; "Cost: $" &amp; 'Profit &amp; Loss'!O125 &amp; " per pax" &amp; CHAR(10) &amp; "Max " &amp; 'Profit &amp; Loss'!I125*6 &amp; " pax," &amp; " (" &amp; 'Profit &amp; Loss'!I125 &amp; " courts)" &amp; CHAR(10) &amp; CHAR(10) &amp; "RSL Ultimate shuttles provided" &amp; CHAR(10) &amp; CHAR(10) &amp; "PM if interested, thank you!"," ")</f>
        <v xml:space="preserve"> </v>
      </c>
      <c r="B122" s="2" t="str">
        <f ca="1">IF('Profit &amp; Loss'!A125&gt;=TODAY(), "Date: " &amp; TEXT('Profit &amp; Loss'!A125,"dd mmm yyy") &amp; ", " &amp; 'Profit &amp; Loss'!B125 &amp; CHAR(10) &amp; "Time: " &amp; TEXT('Profit &amp; Loss'!C125, "hh:mm AM/PM") &amp; " - " &amp; TEXT('Profit &amp; Loss'!D125, "hh:mm AM/PM") &amp; CHAR(10) &amp; "Venue: " &amp; 'Profit &amp; Loss'!E125 &amp; CHAR(10) &amp; "Court No.: " &amp; 'Profit &amp; Loss'!F125 &amp; CHAR(10) &amp; "Level: HB - LI" &amp; CHAR(10) &amp; "Please transfer $" &amp; 'Profit &amp; Loss'!O125 &amp; " per pax to Belle (83396501)" &amp; CHAR(10) &amp; CHAR(10) &amp; IF('Profit &amp; Loss'!I125=1, "1." &amp; CHAR(10) &amp; "2." &amp; CHAR(10) &amp; "3." &amp; CHAR(10) &amp; "4." &amp; CHAR(10) &amp; "5." &amp; CHAR(10) &amp; "6." &amp; CHAR(10), IF('Profit &amp; Loss'!I125=2,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3" spans="1:2" ht="12.5" x14ac:dyDescent="0.25">
      <c r="A123" s="2" t="str">
        <f ca="1">IF('Profit &amp; Loss'!A126&gt;=TODAY(),"Looking for friendly players to join the following game: " &amp; CHAR(10) &amp; CHAR(10) &amp; "Date: " &amp; TEXT('Profit &amp; Loss'!A126,"dd mmm yyy") &amp; ", " &amp; 'Profit &amp; Loss'!B126 &amp; CHAR(10) &amp; "Time: " &amp; TEXT('Profit &amp; Loss'!C126, "hh:mm AM/PM") &amp; " - " &amp; TEXT('Profit &amp; Loss'!D126, "hh:mm AM/PM") &amp; CHAR(10) &amp; "Venue: " &amp; 'Profit &amp; Loss'!E126 &amp; CHAR(10) &amp; "Level: HB - LI" &amp; CHAR(10) &amp; "Cost: $" &amp; 'Profit &amp; Loss'!O126 &amp; " per pax" &amp; CHAR(10) &amp; "Max " &amp; 'Profit &amp; Loss'!I126*6 &amp; " pax," &amp; " (" &amp; 'Profit &amp; Loss'!I126 &amp; " courts)" &amp; CHAR(10) &amp; CHAR(10) &amp; "RSL Ultimate shuttles provided" &amp; CHAR(10) &amp; CHAR(10) &amp; "PM if interested, thank you!"," ")</f>
        <v xml:space="preserve"> </v>
      </c>
      <c r="B123" s="2" t="str">
        <f ca="1">IF('Profit &amp; Loss'!A126&gt;=TODAY(), "Date: " &amp; TEXT('Profit &amp; Loss'!A126,"dd mmm yyy") &amp; ", " &amp; 'Profit &amp; Loss'!B126 &amp; CHAR(10) &amp; "Time: " &amp; TEXT('Profit &amp; Loss'!C126, "hh:mm AM/PM") &amp; " - " &amp; TEXT('Profit &amp; Loss'!D126, "hh:mm AM/PM") &amp; CHAR(10) &amp; "Venue: " &amp; 'Profit &amp; Loss'!E126 &amp; CHAR(10) &amp; "Court No.: " &amp; 'Profit &amp; Loss'!F126 &amp; CHAR(10) &amp; "Level: HB - LI" &amp; CHAR(10) &amp; "Please transfer $" &amp; 'Profit &amp; Loss'!O126 &amp; " per pax to Belle (83396501)" &amp; CHAR(10) &amp; CHAR(10) &amp; IF('Profit &amp; Loss'!I126=1, "1." &amp; CHAR(10) &amp; "2." &amp; CHAR(10) &amp; "3." &amp; CHAR(10) &amp; "4." &amp; CHAR(10) &amp; "5." &amp; CHAR(10) &amp; "6." &amp; CHAR(10), IF('Profit &amp; Loss'!I126=2,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4" spans="1:2" ht="12.5" x14ac:dyDescent="0.25">
      <c r="A124" s="2" t="str">
        <f ca="1">IF('Profit &amp; Loss'!A127&gt;=TODAY(),"Looking for friendly players to join the following game: " &amp; CHAR(10) &amp; CHAR(10) &amp; "Date: " &amp; TEXT('Profit &amp; Loss'!A127,"dd mmm yyy") &amp; ", " &amp; 'Profit &amp; Loss'!B127 &amp; CHAR(10) &amp; "Time: " &amp; TEXT('Profit &amp; Loss'!C127, "hh:mm AM/PM") &amp; " - " &amp; TEXT('Profit &amp; Loss'!D127, "hh:mm AM/PM") &amp; CHAR(10) &amp; "Venue: " &amp; 'Profit &amp; Loss'!E127 &amp; CHAR(10) &amp; "Level: HB - LI" &amp; CHAR(10) &amp; "Cost: $" &amp; 'Profit &amp; Loss'!O127 &amp; " per pax" &amp; CHAR(10) &amp; "Max " &amp; 'Profit &amp; Loss'!I127*6 &amp; " pax," &amp; " (" &amp; 'Profit &amp; Loss'!I127 &amp; " courts)" &amp; CHAR(10) &amp; CHAR(10) &amp; "RSL Ultimate shuttles provided" &amp; CHAR(10) &amp; CHAR(10) &amp; "PM if interested, thank you!"," ")</f>
        <v xml:space="preserve"> </v>
      </c>
      <c r="B124" s="2" t="str">
        <f ca="1">IF('Profit &amp; Loss'!A127&gt;=TODAY(), "Date: " &amp; TEXT('Profit &amp; Loss'!A127,"dd mmm yyy") &amp; ", " &amp; 'Profit &amp; Loss'!B127 &amp; CHAR(10) &amp; "Time: " &amp; TEXT('Profit &amp; Loss'!C127, "hh:mm AM/PM") &amp; " - " &amp; TEXT('Profit &amp; Loss'!D127, "hh:mm AM/PM") &amp; CHAR(10) &amp; "Venue: " &amp; 'Profit &amp; Loss'!E127 &amp; CHAR(10) &amp; "Court No.: " &amp; 'Profit &amp; Loss'!F127 &amp; CHAR(10) &amp; "Level: HB - LI" &amp; CHAR(10) &amp; "Please transfer $" &amp; 'Profit &amp; Loss'!O127 &amp; " per pax to Belle (83396501)" &amp; CHAR(10) &amp; CHAR(10) &amp; IF('Profit &amp; Loss'!I127=1, "1." &amp; CHAR(10) &amp; "2." &amp; CHAR(10) &amp; "3." &amp; CHAR(10) &amp; "4." &amp; CHAR(10) &amp; "5." &amp; CHAR(10) &amp; "6." &amp; CHAR(10), IF('Profit &amp; Loss'!I127=2,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5" spans="1:2" ht="12.5" x14ac:dyDescent="0.25">
      <c r="A125" s="2" t="str">
        <f ca="1">IF('Profit &amp; Loss'!A128&gt;=TODAY(),"Looking for friendly players to join the following game: " &amp; CHAR(10) &amp; CHAR(10) &amp; "Date: " &amp; TEXT('Profit &amp; Loss'!A128,"dd mmm yyy") &amp; ", " &amp; 'Profit &amp; Loss'!B128 &amp; CHAR(10) &amp; "Time: " &amp; TEXT('Profit &amp; Loss'!C128, "hh:mm AM/PM") &amp; " - " &amp; TEXT('Profit &amp; Loss'!D128, "hh:mm AM/PM") &amp; CHAR(10) &amp; "Venue: " &amp; 'Profit &amp; Loss'!E128 &amp; CHAR(10) &amp; "Level: HB - LI" &amp; CHAR(10) &amp; "Cost: $" &amp; 'Profit &amp; Loss'!O128 &amp; " per pax" &amp; CHAR(10) &amp; "Max " &amp; 'Profit &amp; Loss'!I128*6 &amp; " pax," &amp; " (" &amp; 'Profit &amp; Loss'!I128 &amp; " courts)" &amp; CHAR(10) &amp; CHAR(10) &amp; "RSL Ultimate shuttles provided" &amp; CHAR(10) &amp; CHAR(10) &amp; "PM if interested, thank you!"," ")</f>
        <v xml:space="preserve"> </v>
      </c>
      <c r="B125" s="2" t="str">
        <f ca="1">IF('Profit &amp; Loss'!A128&gt;=TODAY(), "Date: " &amp; TEXT('Profit &amp; Loss'!A128,"dd mmm yyy") &amp; ", " &amp; 'Profit &amp; Loss'!B128 &amp; CHAR(10) &amp; "Time: " &amp; TEXT('Profit &amp; Loss'!C128, "hh:mm AM/PM") &amp; " - " &amp; TEXT('Profit &amp; Loss'!D128, "hh:mm AM/PM") &amp; CHAR(10) &amp; "Venue: " &amp; 'Profit &amp; Loss'!E128 &amp; CHAR(10) &amp; "Court No.: " &amp; 'Profit &amp; Loss'!F128 &amp; CHAR(10) &amp; "Level: HB - LI" &amp; CHAR(10) &amp; "Please transfer $" &amp; 'Profit &amp; Loss'!O128 &amp; " per pax to Belle (83396501)" &amp; CHAR(10) &amp; CHAR(10) &amp; IF('Profit &amp; Loss'!I128=1, "1." &amp; CHAR(10) &amp; "2." &amp; CHAR(10) &amp; "3." &amp; CHAR(10) &amp; "4." &amp; CHAR(10) &amp; "5." &amp; CHAR(10) &amp; "6." &amp; CHAR(10), IF('Profit &amp; Loss'!I128=2,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6" spans="1:2" ht="12.5" x14ac:dyDescent="0.25">
      <c r="A126" s="2" t="str">
        <f ca="1">IF('Profit &amp; Loss'!A129&gt;=TODAY(),"Looking for friendly players to join the following game: " &amp; CHAR(10) &amp; CHAR(10) &amp; "Date: " &amp; TEXT('Profit &amp; Loss'!A129,"dd mmm yyy") &amp; ", " &amp; 'Profit &amp; Loss'!B129 &amp; CHAR(10) &amp; "Time: " &amp; TEXT('Profit &amp; Loss'!C129, "hh:mm AM/PM") &amp; " - " &amp; TEXT('Profit &amp; Loss'!D129, "hh:mm AM/PM") &amp; CHAR(10) &amp; "Venue: " &amp; 'Profit &amp; Loss'!E129 &amp; CHAR(10) &amp; "Level: HB - LI" &amp; CHAR(10) &amp; "Cost: $" &amp; 'Profit &amp; Loss'!O129 &amp; " per pax" &amp; CHAR(10) &amp; "Max " &amp; 'Profit &amp; Loss'!I129*6 &amp; " pax," &amp; " (" &amp; 'Profit &amp; Loss'!I129 &amp; " courts)" &amp; CHAR(10) &amp; CHAR(10) &amp; "RSL Ultimate shuttles provided" &amp; CHAR(10) &amp; CHAR(10) &amp; "PM if interested, thank you!"," ")</f>
        <v xml:space="preserve"> </v>
      </c>
      <c r="B126" s="2" t="str">
        <f ca="1">IF('Profit &amp; Loss'!A129&gt;=TODAY(), "Date: " &amp; TEXT('Profit &amp; Loss'!A129,"dd mmm yyy") &amp; ", " &amp; 'Profit &amp; Loss'!B129 &amp; CHAR(10) &amp; "Time: " &amp; TEXT('Profit &amp; Loss'!C129, "hh:mm AM/PM") &amp; " - " &amp; TEXT('Profit &amp; Loss'!D129, "hh:mm AM/PM") &amp; CHAR(10) &amp; "Venue: " &amp; 'Profit &amp; Loss'!E129 &amp; CHAR(10) &amp; "Court No.: " &amp; 'Profit &amp; Loss'!F129 &amp; CHAR(10) &amp; "Level: HB - LI" &amp; CHAR(10) &amp; "Please transfer $" &amp; 'Profit &amp; Loss'!O129 &amp; " per pax to Belle (83396501)" &amp; CHAR(10) &amp; CHAR(10) &amp; IF('Profit &amp; Loss'!I129=1, "1." &amp; CHAR(10) &amp; "2." &amp; CHAR(10) &amp; "3." &amp; CHAR(10) &amp; "4." &amp; CHAR(10) &amp; "5." &amp; CHAR(10) &amp; "6." &amp; CHAR(10), IF('Profit &amp; Loss'!I129=2,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7" spans="1:2" ht="12.5" x14ac:dyDescent="0.25">
      <c r="A127" s="2" t="str">
        <f ca="1">IF('Profit &amp; Loss'!A130&gt;=TODAY(),"Looking for friendly players to join the following game: " &amp; CHAR(10) &amp; CHAR(10) &amp; "Date: " &amp; TEXT('Profit &amp; Loss'!A130,"dd mmm yyy") &amp; ", " &amp; 'Profit &amp; Loss'!B130 &amp; CHAR(10) &amp; "Time: " &amp; TEXT('Profit &amp; Loss'!C130, "hh:mm AM/PM") &amp; " - " &amp; TEXT('Profit &amp; Loss'!D130, "hh:mm AM/PM") &amp; CHAR(10) &amp; "Venue: " &amp; 'Profit &amp; Loss'!E130 &amp; CHAR(10) &amp; "Level: HB - LI" &amp; CHAR(10) &amp; "Cost: $" &amp; 'Profit &amp; Loss'!O130 &amp; " per pax" &amp; CHAR(10) &amp; "Max " &amp; 'Profit &amp; Loss'!I130*6 &amp; " pax," &amp; " (" &amp; 'Profit &amp; Loss'!I130 &amp; " courts)" &amp; CHAR(10) &amp; CHAR(10) &amp; "RSL Ultimate shuttles provided" &amp; CHAR(10) &amp; CHAR(10) &amp; "PM if interested, thank you!"," ")</f>
        <v xml:space="preserve"> </v>
      </c>
      <c r="B127" s="2" t="str">
        <f ca="1">IF('Profit &amp; Loss'!A130&gt;=TODAY(), "Date: " &amp; TEXT('Profit &amp; Loss'!A130,"dd mmm yyy") &amp; ", " &amp; 'Profit &amp; Loss'!B130 &amp; CHAR(10) &amp; "Time: " &amp; TEXT('Profit &amp; Loss'!C130, "hh:mm AM/PM") &amp; " - " &amp; TEXT('Profit &amp; Loss'!D130, "hh:mm AM/PM") &amp; CHAR(10) &amp; "Venue: " &amp; 'Profit &amp; Loss'!E130 &amp; CHAR(10) &amp; "Court No.: " &amp; 'Profit &amp; Loss'!F130 &amp; CHAR(10) &amp; "Level: HB - LI" &amp; CHAR(10) &amp; "Please transfer $" &amp; 'Profit &amp; Loss'!O130 &amp; " per pax to Belle (83396501)" &amp; CHAR(10) &amp; CHAR(10) &amp; IF('Profit &amp; Loss'!I130=1, "1." &amp; CHAR(10) &amp; "2." &amp; CHAR(10) &amp; "3." &amp; CHAR(10) &amp; "4." &amp; CHAR(10) &amp; "5." &amp; CHAR(10) &amp; "6." &amp; CHAR(10), IF('Profit &amp; Loss'!I130=2,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8" spans="1:2" ht="12.5" x14ac:dyDescent="0.25">
      <c r="A128" s="2" t="str">
        <f ca="1">IF('Profit &amp; Loss'!A131&gt;=TODAY(),"Looking for friendly players to join the following game: " &amp; CHAR(10) &amp; CHAR(10) &amp; "Date: " &amp; TEXT('Profit &amp; Loss'!A131,"dd mmm yyy") &amp; ", " &amp; 'Profit &amp; Loss'!B131 &amp; CHAR(10) &amp; "Time: " &amp; TEXT('Profit &amp; Loss'!C131, "hh:mm AM/PM") &amp; " - " &amp; TEXT('Profit &amp; Loss'!D131, "hh:mm AM/PM") &amp; CHAR(10) &amp; "Venue: " &amp; 'Profit &amp; Loss'!E131 &amp; CHAR(10) &amp; "Level: HB - LI" &amp; CHAR(10) &amp; "Cost: $" &amp; 'Profit &amp; Loss'!O131 &amp; " per pax" &amp; CHAR(10) &amp; "Max " &amp; 'Profit &amp; Loss'!I131*6 &amp; " pax," &amp; " (" &amp; 'Profit &amp; Loss'!I131 &amp; " courts)" &amp; CHAR(10) &amp; CHAR(10) &amp; "RSL Ultimate shuttles provided" &amp; CHAR(10) &amp; CHAR(10) &amp; "PM if interested, thank you!"," ")</f>
        <v xml:space="preserve"> </v>
      </c>
      <c r="B128" s="2" t="str">
        <f ca="1">IF('Profit &amp; Loss'!A131&gt;=TODAY(), "Date: " &amp; TEXT('Profit &amp; Loss'!A131,"dd mmm yyy") &amp; ", " &amp; 'Profit &amp; Loss'!B131 &amp; CHAR(10) &amp; "Time: " &amp; TEXT('Profit &amp; Loss'!C131, "hh:mm AM/PM") &amp; " - " &amp; TEXT('Profit &amp; Loss'!D131, "hh:mm AM/PM") &amp; CHAR(10) &amp; "Venue: " &amp; 'Profit &amp; Loss'!E131 &amp; CHAR(10) &amp; "Court No.: " &amp; 'Profit &amp; Loss'!F131 &amp; CHAR(10) &amp; "Level: HB - LI" &amp; CHAR(10) &amp; "Please transfer $" &amp; 'Profit &amp; Loss'!O131 &amp; " per pax to Belle (83396501)" &amp; CHAR(10) &amp; CHAR(10) &amp; IF('Profit &amp; Loss'!I131=1, "1." &amp; CHAR(10) &amp; "2." &amp; CHAR(10) &amp; "3." &amp; CHAR(10) &amp; "4." &amp; CHAR(10) &amp; "5." &amp; CHAR(10) &amp; "6." &amp; CHAR(10), IF('Profit &amp; Loss'!I131=2,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29" spans="1:2" ht="12.5" x14ac:dyDescent="0.25">
      <c r="A129" s="2" t="str">
        <f ca="1">IF('Profit &amp; Loss'!A132&gt;=TODAY(),"Looking for friendly players to join the following game: " &amp; CHAR(10) &amp; CHAR(10) &amp; "Date: " &amp; TEXT('Profit &amp; Loss'!A132,"dd mmm yyy") &amp; ", " &amp; 'Profit &amp; Loss'!B132 &amp; CHAR(10) &amp; "Time: " &amp; TEXT('Profit &amp; Loss'!C132, "hh:mm AM/PM") &amp; " - " &amp; TEXT('Profit &amp; Loss'!D132, "hh:mm AM/PM") &amp; CHAR(10) &amp; "Venue: " &amp; 'Profit &amp; Loss'!E132 &amp; CHAR(10) &amp; "Level: HB - LI" &amp; CHAR(10) &amp; "Cost: $" &amp; 'Profit &amp; Loss'!O132 &amp; " per pax" &amp; CHAR(10) &amp; "Max " &amp; 'Profit &amp; Loss'!I132*6 &amp; " pax," &amp; " (" &amp; 'Profit &amp; Loss'!I132 &amp; " courts)" &amp; CHAR(10) &amp; CHAR(10) &amp; "RSL Ultimate shuttles provided" &amp; CHAR(10) &amp; CHAR(10) &amp; "PM if interested, thank you!"," ")</f>
        <v xml:space="preserve"> </v>
      </c>
      <c r="B129" s="2" t="str">
        <f ca="1">IF('Profit &amp; Loss'!A132&gt;=TODAY(), "Date: " &amp; TEXT('Profit &amp; Loss'!A132,"dd mmm yyy") &amp; ", " &amp; 'Profit &amp; Loss'!B132 &amp; CHAR(10) &amp; "Time: " &amp; TEXT('Profit &amp; Loss'!C132, "hh:mm AM/PM") &amp; " - " &amp; TEXT('Profit &amp; Loss'!D132, "hh:mm AM/PM") &amp; CHAR(10) &amp; "Venue: " &amp; 'Profit &amp; Loss'!E132 &amp; CHAR(10) &amp; "Court No.: " &amp; 'Profit &amp; Loss'!F132 &amp; CHAR(10) &amp; "Level: HB - LI" &amp; CHAR(10) &amp; "Please transfer $" &amp; 'Profit &amp; Loss'!O132 &amp; " per pax to Belle (83396501)" &amp; CHAR(10) &amp; CHAR(10) &amp; IF('Profit &amp; Loss'!I132=1, "1." &amp; CHAR(10) &amp; "2." &amp; CHAR(10) &amp; "3." &amp; CHAR(10) &amp; "4." &amp; CHAR(10) &amp; "5." &amp; CHAR(10) &amp; "6." &amp; CHAR(10), IF('Profit &amp; Loss'!I132=2,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0" spans="1:2" ht="12.5" x14ac:dyDescent="0.25">
      <c r="A130" s="2" t="str">
        <f ca="1">IF('Profit &amp; Loss'!A133&gt;=TODAY(),"Looking for friendly players to join the following game: " &amp; CHAR(10) &amp; CHAR(10) &amp; "Date: " &amp; TEXT('Profit &amp; Loss'!A133,"dd mmm yyy") &amp; ", " &amp; 'Profit &amp; Loss'!B133 &amp; CHAR(10) &amp; "Time: " &amp; TEXT('Profit &amp; Loss'!C133, "hh:mm AM/PM") &amp; " - " &amp; TEXT('Profit &amp; Loss'!D133, "hh:mm AM/PM") &amp; CHAR(10) &amp; "Venue: " &amp; 'Profit &amp; Loss'!E133 &amp; CHAR(10) &amp; "Level: HB - LI" &amp; CHAR(10) &amp; "Cost: $" &amp; 'Profit &amp; Loss'!O133 &amp; " per pax" &amp; CHAR(10) &amp; "Max " &amp; 'Profit &amp; Loss'!I133*6 &amp; " pax," &amp; " (" &amp; 'Profit &amp; Loss'!I133 &amp; " courts)" &amp; CHAR(10) &amp; CHAR(10) &amp; "RSL Ultimate shuttles provided" &amp; CHAR(10) &amp; CHAR(10) &amp; "PM if interested, thank you!"," ")</f>
        <v xml:space="preserve"> </v>
      </c>
      <c r="B130" s="2" t="str">
        <f ca="1">IF('Profit &amp; Loss'!A133&gt;=TODAY(), "Date: " &amp; TEXT('Profit &amp; Loss'!A133,"dd mmm yyy") &amp; ", " &amp; 'Profit &amp; Loss'!B133 &amp; CHAR(10) &amp; "Time: " &amp; TEXT('Profit &amp; Loss'!C133, "hh:mm AM/PM") &amp; " - " &amp; TEXT('Profit &amp; Loss'!D133, "hh:mm AM/PM") &amp; CHAR(10) &amp; "Venue: " &amp; 'Profit &amp; Loss'!E133 &amp; CHAR(10) &amp; "Court No.: " &amp; 'Profit &amp; Loss'!F133 &amp; CHAR(10) &amp; "Level: HB - LI" &amp; CHAR(10) &amp; "Please transfer $" &amp; 'Profit &amp; Loss'!O133 &amp; " per pax to Belle (83396501)" &amp; CHAR(10) &amp; CHAR(10) &amp; IF('Profit &amp; Loss'!I133=1, "1." &amp; CHAR(10) &amp; "2." &amp; CHAR(10) &amp; "3." &amp; CHAR(10) &amp; "4." &amp; CHAR(10) &amp; "5." &amp; CHAR(10) &amp; "6." &amp; CHAR(10), IF('Profit &amp; Loss'!I133=2,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1" spans="1:2" ht="12.5" x14ac:dyDescent="0.25">
      <c r="A131" s="2" t="str">
        <f ca="1">IF('Profit &amp; Loss'!A134&gt;=TODAY(),"Looking for friendly players to join the following game: " &amp; CHAR(10) &amp; CHAR(10) &amp; "Date: " &amp; TEXT('Profit &amp; Loss'!A134,"dd mmm yyy") &amp; ", " &amp; 'Profit &amp; Loss'!B134 &amp; CHAR(10) &amp; "Time: " &amp; TEXT('Profit &amp; Loss'!C134, "hh:mm AM/PM") &amp; " - " &amp; TEXT('Profit &amp; Loss'!D134, "hh:mm AM/PM") &amp; CHAR(10) &amp; "Venue: " &amp; 'Profit &amp; Loss'!E134 &amp; CHAR(10) &amp; "Level: HB - LI" &amp; CHAR(10) &amp; "Cost: $" &amp; 'Profit &amp; Loss'!O134 &amp; " per pax" &amp; CHAR(10) &amp; "Max " &amp; 'Profit &amp; Loss'!I134*6 &amp; " pax," &amp; " (" &amp; 'Profit &amp; Loss'!I134 &amp; " courts)" &amp; CHAR(10) &amp; CHAR(10) &amp; "RSL Ultimate shuttles provided" &amp; CHAR(10) &amp; CHAR(10) &amp; "PM if interested, thank you!"," ")</f>
        <v xml:space="preserve"> </v>
      </c>
      <c r="B131" s="2" t="str">
        <f ca="1">IF('Profit &amp; Loss'!A134&gt;=TODAY(), "Date: " &amp; TEXT('Profit &amp; Loss'!A134,"dd mmm yyy") &amp; ", " &amp; 'Profit &amp; Loss'!B134 &amp; CHAR(10) &amp; "Time: " &amp; TEXT('Profit &amp; Loss'!C134, "hh:mm AM/PM") &amp; " - " &amp; TEXT('Profit &amp; Loss'!D134, "hh:mm AM/PM") &amp; CHAR(10) &amp; "Venue: " &amp; 'Profit &amp; Loss'!E134 &amp; CHAR(10) &amp; "Court No.: " &amp; 'Profit &amp; Loss'!F134 &amp; CHAR(10) &amp; "Level: HB - LI" &amp; CHAR(10) &amp; "Please transfer $" &amp; 'Profit &amp; Loss'!O134 &amp; " per pax to Belle (83396501)" &amp; CHAR(10) &amp; CHAR(10) &amp; IF('Profit &amp; Loss'!I134=1, "1." &amp; CHAR(10) &amp; "2." &amp; CHAR(10) &amp; "3." &amp; CHAR(10) &amp; "4." &amp; CHAR(10) &amp; "5." &amp; CHAR(10) &amp; "6." &amp; CHAR(10), IF('Profit &amp; Loss'!I134=2,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2" spans="1:2" ht="12.5" x14ac:dyDescent="0.25">
      <c r="A132" s="2" t="str">
        <f ca="1">IF('Profit &amp; Loss'!A135&gt;=TODAY(),"Looking for friendly players to join the following game: " &amp; CHAR(10) &amp; CHAR(10) &amp; "Date: " &amp; TEXT('Profit &amp; Loss'!A135,"dd mmm yyy") &amp; ", " &amp; 'Profit &amp; Loss'!B135 &amp; CHAR(10) &amp; "Time: " &amp; TEXT('Profit &amp; Loss'!C135, "hh:mm AM/PM") &amp; " - " &amp; TEXT('Profit &amp; Loss'!D135, "hh:mm AM/PM") &amp; CHAR(10) &amp; "Venue: " &amp; 'Profit &amp; Loss'!E135 &amp; CHAR(10) &amp; "Level: HB - LI" &amp; CHAR(10) &amp; "Cost: $" &amp; 'Profit &amp; Loss'!O135 &amp; " per pax" &amp; CHAR(10) &amp; "Max " &amp; 'Profit &amp; Loss'!I135*6 &amp; " pax," &amp; " (" &amp; 'Profit &amp; Loss'!I135 &amp; " courts)" &amp; CHAR(10) &amp; CHAR(10) &amp; "RSL Ultimate shuttles provided" &amp; CHAR(10) &amp; CHAR(10) &amp; "PM if interested, thank you!"," ")</f>
        <v xml:space="preserve"> </v>
      </c>
      <c r="B132" s="2" t="str">
        <f ca="1">IF('Profit &amp; Loss'!A135&gt;=TODAY(), "Date: " &amp; TEXT('Profit &amp; Loss'!A135,"dd mmm yyy") &amp; ", " &amp; 'Profit &amp; Loss'!B135 &amp; CHAR(10) &amp; "Time: " &amp; TEXT('Profit &amp; Loss'!C135, "hh:mm AM/PM") &amp; " - " &amp; TEXT('Profit &amp; Loss'!D135, "hh:mm AM/PM") &amp; CHAR(10) &amp; "Venue: " &amp; 'Profit &amp; Loss'!E135 &amp; CHAR(10) &amp; "Court No.: " &amp; 'Profit &amp; Loss'!F135 &amp; CHAR(10) &amp; "Level: HB - LI" &amp; CHAR(10) &amp; "Please transfer $" &amp; 'Profit &amp; Loss'!O135 &amp; " per pax to Belle (83396501)" &amp; CHAR(10) &amp; CHAR(10) &amp; IF('Profit &amp; Loss'!I135=1, "1." &amp; CHAR(10) &amp; "2." &amp; CHAR(10) &amp; "3." &amp; CHAR(10) &amp; "4." &amp; CHAR(10) &amp; "5." &amp; CHAR(10) &amp; "6." &amp; CHAR(10), IF('Profit &amp; Loss'!I135=2,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3" spans="1:2" ht="12.5" x14ac:dyDescent="0.25">
      <c r="A133" s="2" t="str">
        <f ca="1">IF('Profit &amp; Loss'!A136&gt;=TODAY(),"Looking for friendly players to join the following game: " &amp; CHAR(10) &amp; CHAR(10) &amp; "Date: " &amp; TEXT('Profit &amp; Loss'!A136,"dd mmm yyy") &amp; ", " &amp; 'Profit &amp; Loss'!B136 &amp; CHAR(10) &amp; "Time: " &amp; TEXT('Profit &amp; Loss'!C136, "hh:mm AM/PM") &amp; " - " &amp; TEXT('Profit &amp; Loss'!D136, "hh:mm AM/PM") &amp; CHAR(10) &amp; "Venue: " &amp; 'Profit &amp; Loss'!E136 &amp; CHAR(10) &amp; "Level: HB - LI" &amp; CHAR(10) &amp; "Cost: $" &amp; 'Profit &amp; Loss'!O136 &amp; " per pax" &amp; CHAR(10) &amp; "Max " &amp; 'Profit &amp; Loss'!I136*6 &amp; " pax," &amp; " (" &amp; 'Profit &amp; Loss'!I136 &amp; " courts)" &amp; CHAR(10) &amp; CHAR(10) &amp; "RSL Ultimate shuttles provided" &amp; CHAR(10) &amp; CHAR(10) &amp; "PM if interested, thank you!"," ")</f>
        <v xml:space="preserve"> </v>
      </c>
      <c r="B133" s="2" t="str">
        <f ca="1">IF('Profit &amp; Loss'!A136&gt;=TODAY(), "Date: " &amp; TEXT('Profit &amp; Loss'!A136,"dd mmm yyy") &amp; ", " &amp; 'Profit &amp; Loss'!B136 &amp; CHAR(10) &amp; "Time: " &amp; TEXT('Profit &amp; Loss'!C136, "hh:mm AM/PM") &amp; " - " &amp; TEXT('Profit &amp; Loss'!D136, "hh:mm AM/PM") &amp; CHAR(10) &amp; "Venue: " &amp; 'Profit &amp; Loss'!E136 &amp; CHAR(10) &amp; "Court No.: " &amp; 'Profit &amp; Loss'!F136 &amp; CHAR(10) &amp; "Level: HB - LI" &amp; CHAR(10) &amp; "Please transfer $" &amp; 'Profit &amp; Loss'!O136 &amp; " per pax to Belle (83396501)" &amp; CHAR(10) &amp; CHAR(10) &amp; IF('Profit &amp; Loss'!I136=1, "1." &amp; CHAR(10) &amp; "2." &amp; CHAR(10) &amp; "3." &amp; CHAR(10) &amp; "4." &amp; CHAR(10) &amp; "5." &amp; CHAR(10) &amp; "6." &amp; CHAR(10), IF('Profit &amp; Loss'!I136=2,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4" spans="1:2" ht="12.5" x14ac:dyDescent="0.25">
      <c r="A134" s="2" t="str">
        <f ca="1">IF('Profit &amp; Loss'!A137&gt;=TODAY(),"Looking for friendly players to join the following game: " &amp; CHAR(10) &amp; CHAR(10) &amp; "Date: " &amp; TEXT('Profit &amp; Loss'!A137,"dd mmm yyy") &amp; ", " &amp; 'Profit &amp; Loss'!B137 &amp; CHAR(10) &amp; "Time: " &amp; TEXT('Profit &amp; Loss'!C137, "hh:mm AM/PM") &amp; " - " &amp; TEXT('Profit &amp; Loss'!D137, "hh:mm AM/PM") &amp; CHAR(10) &amp; "Venue: " &amp; 'Profit &amp; Loss'!E137 &amp; CHAR(10) &amp; "Level: HB - LI" &amp; CHAR(10) &amp; "Cost: $" &amp; 'Profit &amp; Loss'!O137 &amp; " per pax" &amp; CHAR(10) &amp; "Max " &amp; 'Profit &amp; Loss'!I137*6 &amp; " pax," &amp; " (" &amp; 'Profit &amp; Loss'!I137 &amp; " courts)" &amp; CHAR(10) &amp; CHAR(10) &amp; "RSL Ultimate shuttles provided" &amp; CHAR(10) &amp; CHAR(10) &amp; "PM if interested, thank you!"," ")</f>
        <v xml:space="preserve"> </v>
      </c>
      <c r="B134" s="2" t="str">
        <f ca="1">IF('Profit &amp; Loss'!A137&gt;=TODAY(), "Date: " &amp; TEXT('Profit &amp; Loss'!A137,"dd mmm yyy") &amp; ", " &amp; 'Profit &amp; Loss'!B137 &amp; CHAR(10) &amp; "Time: " &amp; TEXT('Profit &amp; Loss'!C137, "hh:mm AM/PM") &amp; " - " &amp; TEXT('Profit &amp; Loss'!D137, "hh:mm AM/PM") &amp; CHAR(10) &amp; "Venue: " &amp; 'Profit &amp; Loss'!E137 &amp; CHAR(10) &amp; "Court No.: " &amp; 'Profit &amp; Loss'!F137 &amp; CHAR(10) &amp; "Level: HB - LI" &amp; CHAR(10) &amp; "Please transfer $" &amp; 'Profit &amp; Loss'!O137 &amp; " per pax to Belle (83396501)" &amp; CHAR(10) &amp; CHAR(10) &amp; IF('Profit &amp; Loss'!I137=1, "1." &amp; CHAR(10) &amp; "2." &amp; CHAR(10) &amp; "3." &amp; CHAR(10) &amp; "4." &amp; CHAR(10) &amp; "5." &amp; CHAR(10) &amp; "6." &amp; CHAR(10), IF('Profit &amp; Loss'!I137=2,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5" spans="1:2" ht="12.5" x14ac:dyDescent="0.25">
      <c r="A135" s="2" t="str">
        <f ca="1">IF('Profit &amp; Loss'!A138&gt;=TODAY(),"Looking for friendly players to join the following game: " &amp; CHAR(10) &amp; CHAR(10) &amp; "Date: " &amp; TEXT('Profit &amp; Loss'!A138,"dd mmm yyy") &amp; ", " &amp; 'Profit &amp; Loss'!B138 &amp; CHAR(10) &amp; "Time: " &amp; TEXT('Profit &amp; Loss'!C138, "hh:mm AM/PM") &amp; " - " &amp; TEXT('Profit &amp; Loss'!D138, "hh:mm AM/PM") &amp; CHAR(10) &amp; "Venue: " &amp; 'Profit &amp; Loss'!E138 &amp; CHAR(10) &amp; "Level: HB - LI" &amp; CHAR(10) &amp; "Cost: $" &amp; 'Profit &amp; Loss'!O138 &amp; " per pax" &amp; CHAR(10) &amp; "Max " &amp; 'Profit &amp; Loss'!I138*6 &amp; " pax," &amp; " (" &amp; 'Profit &amp; Loss'!I138 &amp; " courts)" &amp; CHAR(10) &amp; CHAR(10) &amp; "RSL Ultimate shuttles provided" &amp; CHAR(10) &amp; CHAR(10) &amp; "PM if interested, thank you!"," ")</f>
        <v xml:space="preserve"> </v>
      </c>
      <c r="B135" s="2" t="str">
        <f ca="1">IF('Profit &amp; Loss'!A138&gt;=TODAY(), "Date: " &amp; TEXT('Profit &amp; Loss'!A138,"dd mmm yyy") &amp; ", " &amp; 'Profit &amp; Loss'!B138 &amp; CHAR(10) &amp; "Time: " &amp; TEXT('Profit &amp; Loss'!C138, "hh:mm AM/PM") &amp; " - " &amp; TEXT('Profit &amp; Loss'!D138, "hh:mm AM/PM") &amp; CHAR(10) &amp; "Venue: " &amp; 'Profit &amp; Loss'!E138 &amp; CHAR(10) &amp; "Court No.: " &amp; 'Profit &amp; Loss'!F138 &amp; CHAR(10) &amp; "Level: HB - LI" &amp; CHAR(10) &amp; "Please transfer $" &amp; 'Profit &amp; Loss'!O138 &amp; " per pax to Belle (83396501)" &amp; CHAR(10) &amp; CHAR(10) &amp; IF('Profit &amp; Loss'!I138=1, "1." &amp; CHAR(10) &amp; "2." &amp; CHAR(10) &amp; "3." &amp; CHAR(10) &amp; "4." &amp; CHAR(10) &amp; "5." &amp; CHAR(10) &amp; "6." &amp; CHAR(10), IF('Profit &amp; Loss'!I138=2,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6" spans="1:2" ht="12.5" x14ac:dyDescent="0.25">
      <c r="A136" s="2" t="str">
        <f ca="1">IF('Profit &amp; Loss'!A139&gt;=TODAY(),"Looking for friendly players to join the following game: " &amp; CHAR(10) &amp; CHAR(10) &amp; "Date: " &amp; TEXT('Profit &amp; Loss'!A139,"dd mmm yyy") &amp; ", " &amp; 'Profit &amp; Loss'!B139 &amp; CHAR(10) &amp; "Time: " &amp; TEXT('Profit &amp; Loss'!C139, "hh:mm AM/PM") &amp; " - " &amp; TEXT('Profit &amp; Loss'!D139, "hh:mm AM/PM") &amp; CHAR(10) &amp; "Venue: " &amp; 'Profit &amp; Loss'!E139 &amp; CHAR(10) &amp; "Level: HB - LI" &amp; CHAR(10) &amp; "Cost: $" &amp; 'Profit &amp; Loss'!O139 &amp; " per pax" &amp; CHAR(10) &amp; "Max " &amp; 'Profit &amp; Loss'!I139*6 &amp; " pax," &amp; " (" &amp; 'Profit &amp; Loss'!I139 &amp; " courts)" &amp; CHAR(10) &amp; CHAR(10) &amp; "RSL Ultimate shuttles provided" &amp; CHAR(10) &amp; CHAR(10) &amp; "PM if interested, thank you!"," ")</f>
        <v xml:space="preserve"> </v>
      </c>
      <c r="B136" s="2" t="str">
        <f ca="1">IF('Profit &amp; Loss'!A139&gt;=TODAY(), "Date: " &amp; TEXT('Profit &amp; Loss'!A139,"dd mmm yyy") &amp; ", " &amp; 'Profit &amp; Loss'!B139 &amp; CHAR(10) &amp; "Time: " &amp; TEXT('Profit &amp; Loss'!C139, "hh:mm AM/PM") &amp; " - " &amp; TEXT('Profit &amp; Loss'!D139, "hh:mm AM/PM") &amp; CHAR(10) &amp; "Venue: " &amp; 'Profit &amp; Loss'!E139 &amp; CHAR(10) &amp; "Court No.: " &amp; 'Profit &amp; Loss'!F139 &amp; CHAR(10) &amp; "Level: HB - LI" &amp; CHAR(10) &amp; "Please transfer $" &amp; 'Profit &amp; Loss'!O139 &amp; " per pax to Belle (83396501)" &amp; CHAR(10) &amp; CHAR(10) &amp; IF('Profit &amp; Loss'!I139=1, "1." &amp; CHAR(10) &amp; "2." &amp; CHAR(10) &amp; "3." &amp; CHAR(10) &amp; "4." &amp; CHAR(10) &amp; "5." &amp; CHAR(10) &amp; "6." &amp; CHAR(10), IF('Profit &amp; Loss'!I139=2,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7" spans="1:2" ht="12.5" x14ac:dyDescent="0.25">
      <c r="A137" s="2" t="str">
        <f ca="1">IF('Profit &amp; Loss'!A140&gt;=TODAY(),"Looking for friendly players to join the following game: " &amp; CHAR(10) &amp; CHAR(10) &amp; "Date: " &amp; TEXT('Profit &amp; Loss'!A140,"dd mmm yyy") &amp; ", " &amp; 'Profit &amp; Loss'!B140 &amp; CHAR(10) &amp; "Time: " &amp; TEXT('Profit &amp; Loss'!C140, "hh:mm AM/PM") &amp; " - " &amp; TEXT('Profit &amp; Loss'!D140, "hh:mm AM/PM") &amp; CHAR(10) &amp; "Venue: " &amp; 'Profit &amp; Loss'!E140 &amp; CHAR(10) &amp; "Level: HB - LI" &amp; CHAR(10) &amp; "Cost: $" &amp; 'Profit &amp; Loss'!O140 &amp; " per pax" &amp; CHAR(10) &amp; "Max " &amp; 'Profit &amp; Loss'!I140*6 &amp; " pax," &amp; " (" &amp; 'Profit &amp; Loss'!I140 &amp; " courts)" &amp; CHAR(10) &amp; CHAR(10) &amp; "RSL Ultimate shuttles provided" &amp; CHAR(10) &amp; CHAR(10) &amp; "PM if interested, thank you!"," ")</f>
        <v xml:space="preserve"> </v>
      </c>
      <c r="B137" s="2" t="str">
        <f ca="1">IF('Profit &amp; Loss'!A140&gt;=TODAY(), "Date: " &amp; TEXT('Profit &amp; Loss'!A140,"dd mmm yyy") &amp; ", " &amp; 'Profit &amp; Loss'!B140 &amp; CHAR(10) &amp; "Time: " &amp; TEXT('Profit &amp; Loss'!C140, "hh:mm AM/PM") &amp; " - " &amp; TEXT('Profit &amp; Loss'!D140, "hh:mm AM/PM") &amp; CHAR(10) &amp; "Venue: " &amp; 'Profit &amp; Loss'!E140 &amp; CHAR(10) &amp; "Court No.: " &amp; 'Profit &amp; Loss'!F140 &amp; CHAR(10) &amp; "Level: HB - LI" &amp; CHAR(10) &amp; "Please transfer $" &amp; 'Profit &amp; Loss'!O140 &amp; " per pax to Belle (83396501)" &amp; CHAR(10) &amp; CHAR(10) &amp; IF('Profit &amp; Loss'!I140=1, "1." &amp; CHAR(10) &amp; "2." &amp; CHAR(10) &amp; "3." &amp; CHAR(10) &amp; "4." &amp; CHAR(10) &amp; "5." &amp; CHAR(10) &amp; "6." &amp; CHAR(10), IF('Profit &amp; Loss'!I140=2,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8" spans="1:2" ht="12.5" x14ac:dyDescent="0.25">
      <c r="A138" s="2" t="str">
        <f ca="1">IF('Profit &amp; Loss'!A141&gt;=TODAY(),"Looking for friendly players to join the following game: " &amp; CHAR(10) &amp; CHAR(10) &amp; "Date: " &amp; TEXT('Profit &amp; Loss'!A141,"dd mmm yyy") &amp; ", " &amp; 'Profit &amp; Loss'!B141 &amp; CHAR(10) &amp; "Time: " &amp; TEXT('Profit &amp; Loss'!C141, "hh:mm AM/PM") &amp; " - " &amp; TEXT('Profit &amp; Loss'!D141, "hh:mm AM/PM") &amp; CHAR(10) &amp; "Venue: " &amp; 'Profit &amp; Loss'!E141 &amp; CHAR(10) &amp; "Level: HB - LI" &amp; CHAR(10) &amp; "Cost: $" &amp; 'Profit &amp; Loss'!O141 &amp; " per pax" &amp; CHAR(10) &amp; "Max " &amp; 'Profit &amp; Loss'!I141*6 &amp; " pax," &amp; " (" &amp; 'Profit &amp; Loss'!I141 &amp; " courts)" &amp; CHAR(10) &amp; CHAR(10) &amp; "RSL Ultimate shuttles provided" &amp; CHAR(10) &amp; CHAR(10) &amp; "PM if interested, thank you!"," ")</f>
        <v xml:space="preserve"> </v>
      </c>
      <c r="B138" s="2" t="str">
        <f ca="1">IF('Profit &amp; Loss'!A141&gt;=TODAY(), "Date: " &amp; TEXT('Profit &amp; Loss'!A141,"dd mmm yyy") &amp; ", " &amp; 'Profit &amp; Loss'!B141 &amp; CHAR(10) &amp; "Time: " &amp; TEXT('Profit &amp; Loss'!C141, "hh:mm AM/PM") &amp; " - " &amp; TEXT('Profit &amp; Loss'!D141, "hh:mm AM/PM") &amp; CHAR(10) &amp; "Venue: " &amp; 'Profit &amp; Loss'!E141 &amp; CHAR(10) &amp; "Court No.: " &amp; 'Profit &amp; Loss'!F141 &amp; CHAR(10) &amp; "Level: HB - LI" &amp; CHAR(10) &amp; "Please transfer $" &amp; 'Profit &amp; Loss'!O141 &amp; " per pax to Belle (83396501)" &amp; CHAR(10) &amp; CHAR(10) &amp; IF('Profit &amp; Loss'!I141=1, "1." &amp; CHAR(10) &amp; "2." &amp; CHAR(10) &amp; "3." &amp; CHAR(10) &amp; "4." &amp; CHAR(10) &amp; "5." &amp; CHAR(10) &amp; "6." &amp; CHAR(10), IF('Profit &amp; Loss'!I141=2,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39" spans="1:2" ht="12.5" x14ac:dyDescent="0.25">
      <c r="A139" s="2" t="str">
        <f ca="1">IF('Profit &amp; Loss'!A142&gt;=TODAY(),"Looking for friendly players to join the following game: " &amp; CHAR(10) &amp; CHAR(10) &amp; "Date: " &amp; TEXT('Profit &amp; Loss'!A142,"dd mmm yyy") &amp; ", " &amp; 'Profit &amp; Loss'!B142 &amp; CHAR(10) &amp; "Time: " &amp; TEXT('Profit &amp; Loss'!C142, "hh:mm AM/PM") &amp; " - " &amp; TEXT('Profit &amp; Loss'!D142, "hh:mm AM/PM") &amp; CHAR(10) &amp; "Venue: " &amp; 'Profit &amp; Loss'!E142 &amp; CHAR(10) &amp; "Level: HB - LI" &amp; CHAR(10) &amp; "Cost: $" &amp; 'Profit &amp; Loss'!O142 &amp; " per pax" &amp; CHAR(10) &amp; "Max " &amp; 'Profit &amp; Loss'!I142*6 &amp; " pax," &amp; " (" &amp; 'Profit &amp; Loss'!I142 &amp; " courts)" &amp; CHAR(10) &amp; CHAR(10) &amp; "RSL Ultimate shuttles provided" &amp; CHAR(10) &amp; CHAR(10) &amp; "PM if interested, thank you!"," ")</f>
        <v xml:space="preserve"> </v>
      </c>
      <c r="B139" s="2" t="str">
        <f ca="1">IF('Profit &amp; Loss'!A142&gt;=TODAY(), "Date: " &amp; TEXT('Profit &amp; Loss'!A142,"dd mmm yyy") &amp; ", " &amp; 'Profit &amp; Loss'!B142 &amp; CHAR(10) &amp; "Time: " &amp; TEXT('Profit &amp; Loss'!C142, "hh:mm AM/PM") &amp; " - " &amp; TEXT('Profit &amp; Loss'!D142, "hh:mm AM/PM") &amp; CHAR(10) &amp; "Venue: " &amp; 'Profit &amp; Loss'!E142 &amp; CHAR(10) &amp; "Court No.: " &amp; 'Profit &amp; Loss'!F142 &amp; CHAR(10) &amp; "Level: HB - LI" &amp; CHAR(10) &amp; "Please transfer $" &amp; 'Profit &amp; Loss'!O142 &amp; " per pax to Belle (83396501)" &amp; CHAR(10) &amp; CHAR(10) &amp; IF('Profit &amp; Loss'!I142=1, "1." &amp; CHAR(10) &amp; "2." &amp; CHAR(10) &amp; "3." &amp; CHAR(10) &amp; "4." &amp; CHAR(10) &amp; "5." &amp; CHAR(10) &amp; "6." &amp; CHAR(10), IF('Profit &amp; Loss'!I142=2,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0" spans="1:2" ht="12.5" x14ac:dyDescent="0.25">
      <c r="A140" s="2" t="str">
        <f ca="1">IF('Profit &amp; Loss'!A143&gt;=TODAY(),"Looking for friendly players to join the following game: " &amp; CHAR(10) &amp; CHAR(10) &amp; "Date: " &amp; TEXT('Profit &amp; Loss'!A143,"dd mmm yyy") &amp; ", " &amp; 'Profit &amp; Loss'!B143 &amp; CHAR(10) &amp; "Time: " &amp; TEXT('Profit &amp; Loss'!C143, "hh:mm AM/PM") &amp; " - " &amp; TEXT('Profit &amp; Loss'!D143, "hh:mm AM/PM") &amp; CHAR(10) &amp; "Venue: " &amp; 'Profit &amp; Loss'!E143 &amp; CHAR(10) &amp; "Level: HB - LI" &amp; CHAR(10) &amp; "Cost: $" &amp; 'Profit &amp; Loss'!O143 &amp; " per pax" &amp; CHAR(10) &amp; "Max " &amp; 'Profit &amp; Loss'!I143*6 &amp; " pax," &amp; " (" &amp; 'Profit &amp; Loss'!I143 &amp; " courts)" &amp; CHAR(10) &amp; CHAR(10) &amp; "RSL Ultimate shuttles provided" &amp; CHAR(10) &amp; CHAR(10) &amp; "PM if interested, thank you!"," ")</f>
        <v xml:space="preserve"> </v>
      </c>
      <c r="B140" s="2" t="str">
        <f ca="1">IF('Profit &amp; Loss'!A143&gt;=TODAY(), "Date: " &amp; TEXT('Profit &amp; Loss'!A143,"dd mmm yyy") &amp; ", " &amp; 'Profit &amp; Loss'!B143 &amp; CHAR(10) &amp; "Time: " &amp; TEXT('Profit &amp; Loss'!C143, "hh:mm AM/PM") &amp; " - " &amp; TEXT('Profit &amp; Loss'!D143, "hh:mm AM/PM") &amp; CHAR(10) &amp; "Venue: " &amp; 'Profit &amp; Loss'!E143 &amp; CHAR(10) &amp; "Court No.: " &amp; 'Profit &amp; Loss'!F143 &amp; CHAR(10) &amp; "Level: HB - LI" &amp; CHAR(10) &amp; "Please transfer $" &amp; 'Profit &amp; Loss'!O143 &amp; " per pax to Belle (83396501)" &amp; CHAR(10) &amp; CHAR(10) &amp; IF('Profit &amp; Loss'!I143=1, "1." &amp; CHAR(10) &amp; "2." &amp; CHAR(10) &amp; "3." &amp; CHAR(10) &amp; "4." &amp; CHAR(10) &amp; "5." &amp; CHAR(10) &amp; "6." &amp; CHAR(10), IF('Profit &amp; Loss'!I143=2,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1" spans="1:2" ht="12.5" x14ac:dyDescent="0.25">
      <c r="A141" s="2" t="str">
        <f ca="1">IF('Profit &amp; Loss'!A144&gt;=TODAY(),"Looking for friendly players to join the following game: " &amp; CHAR(10) &amp; CHAR(10) &amp; "Date: " &amp; TEXT('Profit &amp; Loss'!A144,"dd mmm yyy") &amp; ", " &amp; 'Profit &amp; Loss'!B144 &amp; CHAR(10) &amp; "Time: " &amp; TEXT('Profit &amp; Loss'!C144, "hh:mm AM/PM") &amp; " - " &amp; TEXT('Profit &amp; Loss'!D144, "hh:mm AM/PM") &amp; CHAR(10) &amp; "Venue: " &amp; 'Profit &amp; Loss'!E144 &amp; CHAR(10) &amp; "Level: HB - LI" &amp; CHAR(10) &amp; "Cost: $" &amp; 'Profit &amp; Loss'!O144 &amp; " per pax" &amp; CHAR(10) &amp; "Max " &amp; 'Profit &amp; Loss'!I144*6 &amp; " pax," &amp; " (" &amp; 'Profit &amp; Loss'!I144 &amp; " courts)" &amp; CHAR(10) &amp; CHAR(10) &amp; "RSL Ultimate shuttles provided" &amp; CHAR(10) &amp; CHAR(10) &amp; "PM if interested, thank you!"," ")</f>
        <v xml:space="preserve"> </v>
      </c>
      <c r="B141" s="2" t="str">
        <f ca="1">IF('Profit &amp; Loss'!A144&gt;=TODAY(), "Date: " &amp; TEXT('Profit &amp; Loss'!A144,"dd mmm yyy") &amp; ", " &amp; 'Profit &amp; Loss'!B144 &amp; CHAR(10) &amp; "Time: " &amp; TEXT('Profit &amp; Loss'!C144, "hh:mm AM/PM") &amp; " - " &amp; TEXT('Profit &amp; Loss'!D144, "hh:mm AM/PM") &amp; CHAR(10) &amp; "Venue: " &amp; 'Profit &amp; Loss'!E144 &amp; CHAR(10) &amp; "Court No.: " &amp; 'Profit &amp; Loss'!F144 &amp; CHAR(10) &amp; "Level: HB - LI" &amp; CHAR(10) &amp; "Please transfer $" &amp; 'Profit &amp; Loss'!O144 &amp; " per pax to Belle (83396501)" &amp; CHAR(10) &amp; CHAR(10) &amp; IF('Profit &amp; Loss'!I144=1, "1." &amp; CHAR(10) &amp; "2." &amp; CHAR(10) &amp; "3." &amp; CHAR(10) &amp; "4." &amp; CHAR(10) &amp; "5." &amp; CHAR(10) &amp; "6." &amp; CHAR(10), IF('Profit &amp; Loss'!I144=2,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2" spans="1:2" ht="12.5" x14ac:dyDescent="0.25">
      <c r="A142" s="2" t="str">
        <f ca="1">IF('Profit &amp; Loss'!A145&gt;=TODAY(),"Looking for friendly players to join the following game: " &amp; CHAR(10) &amp; CHAR(10) &amp; "Date: " &amp; TEXT('Profit &amp; Loss'!A145,"dd mmm yyy") &amp; ", " &amp; 'Profit &amp; Loss'!B145 &amp; CHAR(10) &amp; "Time: " &amp; TEXT('Profit &amp; Loss'!C145, "hh:mm AM/PM") &amp; " - " &amp; TEXT('Profit &amp; Loss'!D145, "hh:mm AM/PM") &amp; CHAR(10) &amp; "Venue: " &amp; 'Profit &amp; Loss'!E145 &amp; CHAR(10) &amp; "Level: HB - LI" &amp; CHAR(10) &amp; "Cost: $" &amp; 'Profit &amp; Loss'!O145 &amp; " per pax" &amp; CHAR(10) &amp; "Max " &amp; 'Profit &amp; Loss'!I145*6 &amp; " pax," &amp; " (" &amp; 'Profit &amp; Loss'!I145 &amp; " courts)" &amp; CHAR(10) &amp; CHAR(10) &amp; "RSL Ultimate shuttles provided" &amp; CHAR(10) &amp; CHAR(10) &amp; "PM if interested, thank you!"," ")</f>
        <v xml:space="preserve"> </v>
      </c>
      <c r="B142" s="2" t="str">
        <f ca="1">IF('Profit &amp; Loss'!A145&gt;=TODAY(), "Date: " &amp; TEXT('Profit &amp; Loss'!A145,"dd mmm yyy") &amp; ", " &amp; 'Profit &amp; Loss'!B145 &amp; CHAR(10) &amp; "Time: " &amp; TEXT('Profit &amp; Loss'!C145, "hh:mm AM/PM") &amp; " - " &amp; TEXT('Profit &amp; Loss'!D145, "hh:mm AM/PM") &amp; CHAR(10) &amp; "Venue: " &amp; 'Profit &amp; Loss'!E145 &amp; CHAR(10) &amp; "Court No.: " &amp; 'Profit &amp; Loss'!F145 &amp; CHAR(10) &amp; "Level: HB - LI" &amp; CHAR(10) &amp; "Please transfer $" &amp; 'Profit &amp; Loss'!O145 &amp; " per pax to Belle (83396501)" &amp; CHAR(10) &amp; CHAR(10) &amp; IF('Profit &amp; Loss'!I145=1, "1." &amp; CHAR(10) &amp; "2." &amp; CHAR(10) &amp; "3." &amp; CHAR(10) &amp; "4." &amp; CHAR(10) &amp; "5." &amp; CHAR(10) &amp; "6." &amp; CHAR(10), IF('Profit &amp; Loss'!I145=2,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3" spans="1:2" ht="12.5" x14ac:dyDescent="0.25">
      <c r="A143" s="2" t="str">
        <f ca="1">IF('Profit &amp; Loss'!A146&gt;=TODAY(),"Looking for friendly players to join the following game: " &amp; CHAR(10) &amp; CHAR(10) &amp; "Date: " &amp; TEXT('Profit &amp; Loss'!A146,"dd mmm yyy") &amp; ", " &amp; 'Profit &amp; Loss'!B146 &amp; CHAR(10) &amp; "Time: " &amp; TEXT('Profit &amp; Loss'!C146, "hh:mm AM/PM") &amp; " - " &amp; TEXT('Profit &amp; Loss'!D146, "hh:mm AM/PM") &amp; CHAR(10) &amp; "Venue: " &amp; 'Profit &amp; Loss'!E146 &amp; CHAR(10) &amp; "Level: HB - LI" &amp; CHAR(10) &amp; "Cost: $" &amp; 'Profit &amp; Loss'!O146 &amp; " per pax" &amp; CHAR(10) &amp; "Max " &amp; 'Profit &amp; Loss'!I146*6 &amp; " pax," &amp; " (" &amp; 'Profit &amp; Loss'!I146 &amp; " courts)" &amp; CHAR(10) &amp; CHAR(10) &amp; "RSL Ultimate shuttles provided" &amp; CHAR(10) &amp; CHAR(10) &amp; "PM if interested, thank you!"," ")</f>
        <v xml:space="preserve"> </v>
      </c>
      <c r="B143" s="2" t="str">
        <f ca="1">IF('Profit &amp; Loss'!A146&gt;=TODAY(), "Date: " &amp; TEXT('Profit &amp; Loss'!A146,"dd mmm yyy") &amp; ", " &amp; 'Profit &amp; Loss'!B146 &amp; CHAR(10) &amp; "Time: " &amp; TEXT('Profit &amp; Loss'!C146, "hh:mm AM/PM") &amp; " - " &amp; TEXT('Profit &amp; Loss'!D146, "hh:mm AM/PM") &amp; CHAR(10) &amp; "Venue: " &amp; 'Profit &amp; Loss'!E146 &amp; CHAR(10) &amp; "Court No.: " &amp; 'Profit &amp; Loss'!F146 &amp; CHAR(10) &amp; "Level: HB - LI" &amp; CHAR(10) &amp; "Please transfer $" &amp; 'Profit &amp; Loss'!O146 &amp; " per pax to Belle (83396501)" &amp; CHAR(10) &amp; CHAR(10) &amp; IF('Profit &amp; Loss'!I146=1, "1." &amp; CHAR(10) &amp; "2." &amp; CHAR(10) &amp; "3." &amp; CHAR(10) &amp; "4." &amp; CHAR(10) &amp; "5." &amp; CHAR(10) &amp; "6." &amp; CHAR(10), IF('Profit &amp; Loss'!I146=2,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4" spans="1:2" ht="12.5" x14ac:dyDescent="0.25">
      <c r="A144" s="2" t="str">
        <f ca="1">IF('Profit &amp; Loss'!A147&gt;=TODAY(),"Looking for friendly players to join the following game: " &amp; CHAR(10) &amp; CHAR(10) &amp; "Date: " &amp; TEXT('Profit &amp; Loss'!A147,"dd mmm yyy") &amp; ", " &amp; 'Profit &amp; Loss'!B147 &amp; CHAR(10) &amp; "Time: " &amp; TEXT('Profit &amp; Loss'!C147, "hh:mm AM/PM") &amp; " - " &amp; TEXT('Profit &amp; Loss'!D147, "hh:mm AM/PM") &amp; CHAR(10) &amp; "Venue: " &amp; 'Profit &amp; Loss'!E147 &amp; CHAR(10) &amp; "Level: HB - LI" &amp; CHAR(10) &amp; "Cost: $" &amp; 'Profit &amp; Loss'!O147 &amp; " per pax" &amp; CHAR(10) &amp; "Max " &amp; 'Profit &amp; Loss'!I147*6 &amp; " pax," &amp; " (" &amp; 'Profit &amp; Loss'!I147 &amp; " courts)" &amp; CHAR(10) &amp; CHAR(10) &amp; "RSL Ultimate shuttles provided" &amp; CHAR(10) &amp; CHAR(10) &amp; "PM if interested, thank you!"," ")</f>
        <v xml:space="preserve"> </v>
      </c>
      <c r="B144" s="2" t="str">
        <f ca="1">IF('Profit &amp; Loss'!A147&gt;=TODAY(), "Date: " &amp; TEXT('Profit &amp; Loss'!A147,"dd mmm yyy") &amp; ", " &amp; 'Profit &amp; Loss'!B147 &amp; CHAR(10) &amp; "Time: " &amp; TEXT('Profit &amp; Loss'!C147, "hh:mm AM/PM") &amp; " - " &amp; TEXT('Profit &amp; Loss'!D147, "hh:mm AM/PM") &amp; CHAR(10) &amp; "Venue: " &amp; 'Profit &amp; Loss'!E147 &amp; CHAR(10) &amp; "Court No.: " &amp; 'Profit &amp; Loss'!F147 &amp; CHAR(10) &amp; "Level: HB - LI" &amp; CHAR(10) &amp; "Please transfer $" &amp; 'Profit &amp; Loss'!O147 &amp; " per pax to Belle (83396501)" &amp; CHAR(10) &amp; CHAR(10) &amp; IF('Profit &amp; Loss'!I147=1, "1." &amp; CHAR(10) &amp; "2." &amp; CHAR(10) &amp; "3." &amp; CHAR(10) &amp; "4." &amp; CHAR(10) &amp; "5." &amp; CHAR(10) &amp; "6." &amp; CHAR(10), IF('Profit &amp; Loss'!I147=2,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5" spans="1:2" ht="12.5" x14ac:dyDescent="0.25">
      <c r="A145" s="2" t="str">
        <f ca="1">IF('Profit &amp; Loss'!A148&gt;=TODAY(),"Looking for friendly players to join the following game: " &amp; CHAR(10) &amp; CHAR(10) &amp; "Date: " &amp; TEXT('Profit &amp; Loss'!A148,"dd mmm yyy") &amp; ", " &amp; 'Profit &amp; Loss'!B148 &amp; CHAR(10) &amp; "Time: " &amp; TEXT('Profit &amp; Loss'!C148, "hh:mm AM/PM") &amp; " - " &amp; TEXT('Profit &amp; Loss'!D148, "hh:mm AM/PM") &amp; CHAR(10) &amp; "Venue: " &amp; 'Profit &amp; Loss'!E148 &amp; CHAR(10) &amp; "Level: HB - LI" &amp; CHAR(10) &amp; "Cost: $" &amp; 'Profit &amp; Loss'!O148 &amp; " per pax" &amp; CHAR(10) &amp; "Max " &amp; 'Profit &amp; Loss'!I148*6 &amp; " pax," &amp; " (" &amp; 'Profit &amp; Loss'!I148 &amp; " courts)" &amp; CHAR(10) &amp; CHAR(10) &amp; "RSL Ultimate shuttles provided" &amp; CHAR(10) &amp; CHAR(10) &amp; "PM if interested, thank you!"," ")</f>
        <v xml:space="preserve"> </v>
      </c>
      <c r="B145" s="2" t="str">
        <f ca="1">IF('Profit &amp; Loss'!A148&gt;=TODAY(), "Date: " &amp; TEXT('Profit &amp; Loss'!A148,"dd mmm yyy") &amp; ", " &amp; 'Profit &amp; Loss'!B148 &amp; CHAR(10) &amp; "Time: " &amp; TEXT('Profit &amp; Loss'!C148, "hh:mm AM/PM") &amp; " - " &amp; TEXT('Profit &amp; Loss'!D148, "hh:mm AM/PM") &amp; CHAR(10) &amp; "Venue: " &amp; 'Profit &amp; Loss'!E148 &amp; CHAR(10) &amp; "Court No.: " &amp; 'Profit &amp; Loss'!F148 &amp; CHAR(10) &amp; "Level: HB - LI" &amp; CHAR(10) &amp; "Please transfer $" &amp; 'Profit &amp; Loss'!O148 &amp; " per pax to Belle (83396501)" &amp; CHAR(10) &amp; CHAR(10) &amp; IF('Profit &amp; Loss'!I148=1, "1." &amp; CHAR(10) &amp; "2." &amp; CHAR(10) &amp; "3." &amp; CHAR(10) &amp; "4." &amp; CHAR(10) &amp; "5." &amp; CHAR(10) &amp; "6." &amp; CHAR(10), IF('Profit &amp; Loss'!I148=2,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6" spans="1:2" ht="12.5" x14ac:dyDescent="0.25">
      <c r="A146" s="2" t="str">
        <f ca="1">IF('Profit &amp; Loss'!A149&gt;=TODAY(),"Looking for friendly players to join the following game: " &amp; CHAR(10) &amp; CHAR(10) &amp; "Date: " &amp; TEXT('Profit &amp; Loss'!A149,"dd mmm yyy") &amp; ", " &amp; 'Profit &amp; Loss'!B149 &amp; CHAR(10) &amp; "Time: " &amp; TEXT('Profit &amp; Loss'!C149, "hh:mm AM/PM") &amp; " - " &amp; TEXT('Profit &amp; Loss'!D149, "hh:mm AM/PM") &amp; CHAR(10) &amp; "Venue: " &amp; 'Profit &amp; Loss'!E149 &amp; CHAR(10) &amp; "Level: HB - LI" &amp; CHAR(10) &amp; "Cost: $" &amp; 'Profit &amp; Loss'!O149 &amp; " per pax" &amp; CHAR(10) &amp; "Max " &amp; 'Profit &amp; Loss'!I149*6 &amp; " pax," &amp; " (" &amp; 'Profit &amp; Loss'!I149 &amp; " courts)" &amp; CHAR(10) &amp; CHAR(10) &amp; "RSL Ultimate shuttles provided" &amp; CHAR(10) &amp; CHAR(10) &amp; "PM if interested, thank you!"," ")</f>
        <v xml:space="preserve"> </v>
      </c>
      <c r="B146" s="2" t="str">
        <f ca="1">IF('Profit &amp; Loss'!A149&gt;=TODAY(), "Date: " &amp; TEXT('Profit &amp; Loss'!A149,"dd mmm yyy") &amp; ", " &amp; 'Profit &amp; Loss'!B149 &amp; CHAR(10) &amp; "Time: " &amp; TEXT('Profit &amp; Loss'!C149, "hh:mm AM/PM") &amp; " - " &amp; TEXT('Profit &amp; Loss'!D149, "hh:mm AM/PM") &amp; CHAR(10) &amp; "Venue: " &amp; 'Profit &amp; Loss'!E149 &amp; CHAR(10) &amp; "Court No.: " &amp; 'Profit &amp; Loss'!F149 &amp; CHAR(10) &amp; "Level: HB - LI" &amp; CHAR(10) &amp; "Please transfer $" &amp; 'Profit &amp; Loss'!O149 &amp; " per pax to Belle (83396501)" &amp; CHAR(10) &amp; CHAR(10) &amp; IF('Profit &amp; Loss'!I149=1, "1." &amp; CHAR(10) &amp; "2." &amp; CHAR(10) &amp; "3." &amp; CHAR(10) &amp; "4." &amp; CHAR(10) &amp; "5." &amp; CHAR(10) &amp; "6." &amp; CHAR(10), IF('Profit &amp; Loss'!I149=2,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7" spans="1:2" ht="12.5" x14ac:dyDescent="0.25">
      <c r="A147" s="2" t="str">
        <f ca="1">IF('Profit &amp; Loss'!A150&gt;=TODAY(),"Looking for friendly players to join the following game: " &amp; CHAR(10) &amp; CHAR(10) &amp; "Date: " &amp; TEXT('Profit &amp; Loss'!A150,"dd mmm yyy") &amp; ", " &amp; 'Profit &amp; Loss'!B150 &amp; CHAR(10) &amp; "Time: " &amp; TEXT('Profit &amp; Loss'!C150, "hh:mm AM/PM") &amp; " - " &amp; TEXT('Profit &amp; Loss'!D150, "hh:mm AM/PM") &amp; CHAR(10) &amp; "Venue: " &amp; 'Profit &amp; Loss'!E150 &amp; CHAR(10) &amp; "Level: HB - LI" &amp; CHAR(10) &amp; "Cost: $" &amp; 'Profit &amp; Loss'!O150 &amp; " per pax" &amp; CHAR(10) &amp; "Max " &amp; 'Profit &amp; Loss'!I150*6 &amp; " pax," &amp; " (" &amp; 'Profit &amp; Loss'!I150 &amp; " courts)" &amp; CHAR(10) &amp; CHAR(10) &amp; "RSL Ultimate shuttles provided" &amp; CHAR(10) &amp; CHAR(10) &amp; "PM if interested, thank you!"," ")</f>
        <v xml:space="preserve"> </v>
      </c>
      <c r="B147" s="2" t="str">
        <f ca="1">IF('Profit &amp; Loss'!A150&gt;=TODAY(), "Date: " &amp; TEXT('Profit &amp; Loss'!A150,"dd mmm yyy") &amp; ", " &amp; 'Profit &amp; Loss'!B150 &amp; CHAR(10) &amp; "Time: " &amp; TEXT('Profit &amp; Loss'!C150, "hh:mm AM/PM") &amp; " - " &amp; TEXT('Profit &amp; Loss'!D150, "hh:mm AM/PM") &amp; CHAR(10) &amp; "Venue: " &amp; 'Profit &amp; Loss'!E150 &amp; CHAR(10) &amp; "Court No.: " &amp; 'Profit &amp; Loss'!F150 &amp; CHAR(10) &amp; "Level: HB - LI" &amp; CHAR(10) &amp; "Please transfer $" &amp; 'Profit &amp; Loss'!O150 &amp; " per pax to Belle (83396501)" &amp; CHAR(10) &amp; CHAR(10) &amp; IF('Profit &amp; Loss'!I150=1, "1." &amp; CHAR(10) &amp; "2." &amp; CHAR(10) &amp; "3." &amp; CHAR(10) &amp; "4." &amp; CHAR(10) &amp; "5." &amp; CHAR(10) &amp; "6." &amp; CHAR(10), IF('Profit &amp; Loss'!I150=2,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8" spans="1:2" ht="12.5" x14ac:dyDescent="0.25">
      <c r="A148" s="2" t="str">
        <f ca="1">IF('Profit &amp; Loss'!A151&gt;=TODAY(),"Looking for friendly players to join the following game: " &amp; CHAR(10) &amp; CHAR(10) &amp; "Date: " &amp; TEXT('Profit &amp; Loss'!A151,"dd mmm yyy") &amp; ", " &amp; 'Profit &amp; Loss'!B151 &amp; CHAR(10) &amp; "Time: " &amp; TEXT('Profit &amp; Loss'!C151, "hh:mm AM/PM") &amp; " - " &amp; TEXT('Profit &amp; Loss'!D151, "hh:mm AM/PM") &amp; CHAR(10) &amp; "Venue: " &amp; 'Profit &amp; Loss'!E151 &amp; CHAR(10) &amp; "Level: HB - LI" &amp; CHAR(10) &amp; "Cost: $" &amp; 'Profit &amp; Loss'!O151 &amp; " per pax" &amp; CHAR(10) &amp; "Max " &amp; 'Profit &amp; Loss'!I151*6 &amp; " pax," &amp; " (" &amp; 'Profit &amp; Loss'!I151 &amp; " courts)" &amp; CHAR(10) &amp; CHAR(10) &amp; "RSL Ultimate shuttles provided" &amp; CHAR(10) &amp; CHAR(10) &amp; "PM if interested, thank you!"," ")</f>
        <v xml:space="preserve"> </v>
      </c>
      <c r="B148" s="2" t="str">
        <f ca="1">IF('Profit &amp; Loss'!A151&gt;=TODAY(), "Date: " &amp; TEXT('Profit &amp; Loss'!A151,"dd mmm yyy") &amp; ", " &amp; 'Profit &amp; Loss'!B151 &amp; CHAR(10) &amp; "Time: " &amp; TEXT('Profit &amp; Loss'!C151, "hh:mm AM/PM") &amp; " - " &amp; TEXT('Profit &amp; Loss'!D151, "hh:mm AM/PM") &amp; CHAR(10) &amp; "Venue: " &amp; 'Profit &amp; Loss'!E151 &amp; CHAR(10) &amp; "Court No.: " &amp; 'Profit &amp; Loss'!F151 &amp; CHAR(10) &amp; "Level: HB - LI" &amp; CHAR(10) &amp; "Please transfer $" &amp; 'Profit &amp; Loss'!O151 &amp; " per pax to Belle (83396501)" &amp; CHAR(10) &amp; CHAR(10) &amp; IF('Profit &amp; Loss'!I151=1, "1." &amp; CHAR(10) &amp; "2." &amp; CHAR(10) &amp; "3." &amp; CHAR(10) &amp; "4." &amp; CHAR(10) &amp; "5." &amp; CHAR(10) &amp; "6." &amp; CHAR(10), IF('Profit &amp; Loss'!I151=2,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49" spans="1:2" ht="12.5" x14ac:dyDescent="0.25">
      <c r="A149" s="2" t="str">
        <f ca="1">IF('Profit &amp; Loss'!A152&gt;=TODAY(),"Looking for friendly players to join the following game: " &amp; CHAR(10) &amp; CHAR(10) &amp; "Date: " &amp; TEXT('Profit &amp; Loss'!A152,"dd mmm yyy") &amp; ", " &amp; 'Profit &amp; Loss'!B152 &amp; CHAR(10) &amp; "Time: " &amp; TEXT('Profit &amp; Loss'!C152, "hh:mm AM/PM") &amp; " - " &amp; TEXT('Profit &amp; Loss'!D152, "hh:mm AM/PM") &amp; CHAR(10) &amp; "Venue: " &amp; 'Profit &amp; Loss'!E152 &amp; CHAR(10) &amp; "Level: HB - LI" &amp; CHAR(10) &amp; "Cost: $" &amp; 'Profit &amp; Loss'!O152 &amp; " per pax" &amp; CHAR(10) &amp; "Max " &amp; 'Profit &amp; Loss'!I152*6 &amp; " pax," &amp; " (" &amp; 'Profit &amp; Loss'!I152 &amp; " courts)" &amp; CHAR(10) &amp; CHAR(10) &amp; "RSL Ultimate shuttles provided" &amp; CHAR(10) &amp; CHAR(10) &amp; "PM if interested, thank you!"," ")</f>
        <v xml:space="preserve"> </v>
      </c>
      <c r="B149" s="2" t="str">
        <f ca="1">IF('Profit &amp; Loss'!A152&gt;=TODAY(), "Date: " &amp; TEXT('Profit &amp; Loss'!A152,"dd mmm yyy") &amp; ", " &amp; 'Profit &amp; Loss'!B152 &amp; CHAR(10) &amp; "Time: " &amp; TEXT('Profit &amp; Loss'!C152, "hh:mm AM/PM") &amp; " - " &amp; TEXT('Profit &amp; Loss'!D152, "hh:mm AM/PM") &amp; CHAR(10) &amp; "Venue: " &amp; 'Profit &amp; Loss'!E152 &amp; CHAR(10) &amp; "Court No.: " &amp; 'Profit &amp; Loss'!F152 &amp; CHAR(10) &amp; "Level: HB - LI" &amp; CHAR(10) &amp; "Please transfer $" &amp; 'Profit &amp; Loss'!O152 &amp; " per pax to Belle (83396501)" &amp; CHAR(10) &amp; CHAR(10) &amp; IF('Profit &amp; Loss'!I152=1, "1." &amp; CHAR(10) &amp; "2." &amp; CHAR(10) &amp; "3." &amp; CHAR(10) &amp; "4." &amp; CHAR(10) &amp; "5." &amp; CHAR(10) &amp; "6." &amp; CHAR(10), IF('Profit &amp; Loss'!I152=2,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0" spans="1:2" ht="12.5" x14ac:dyDescent="0.25">
      <c r="A150" s="2" t="str">
        <f ca="1">IF('Profit &amp; Loss'!A153&gt;=TODAY(),"Looking for friendly players to join the following game: " &amp; CHAR(10) &amp; CHAR(10) &amp; "Date: " &amp; TEXT('Profit &amp; Loss'!A153,"dd mmm yyy") &amp; ", " &amp; 'Profit &amp; Loss'!B153 &amp; CHAR(10) &amp; "Time: " &amp; TEXT('Profit &amp; Loss'!C153, "hh:mm AM/PM") &amp; " - " &amp; TEXT('Profit &amp; Loss'!D153, "hh:mm AM/PM") &amp; CHAR(10) &amp; "Venue: " &amp; 'Profit &amp; Loss'!E153 &amp; CHAR(10) &amp; "Level: HB - LI" &amp; CHAR(10) &amp; "Cost: $" &amp; 'Profit &amp; Loss'!O153 &amp; " per pax" &amp; CHAR(10) &amp; "Max " &amp; 'Profit &amp; Loss'!I153*6 &amp; " pax," &amp; " (" &amp; 'Profit &amp; Loss'!I153 &amp; " courts)" &amp; CHAR(10) &amp; CHAR(10) &amp; "RSL Ultimate shuttles provided" &amp; CHAR(10) &amp; CHAR(10) &amp; "PM if interested, thank you!"," ")</f>
        <v xml:space="preserve"> </v>
      </c>
      <c r="B150" s="2" t="str">
        <f ca="1">IF('Profit &amp; Loss'!A153&gt;=TODAY(), "Date: " &amp; TEXT('Profit &amp; Loss'!A153,"dd mmm yyy") &amp; ", " &amp; 'Profit &amp; Loss'!B153 &amp; CHAR(10) &amp; "Time: " &amp; TEXT('Profit &amp; Loss'!C153, "hh:mm AM/PM") &amp; " - " &amp; TEXT('Profit &amp; Loss'!D153, "hh:mm AM/PM") &amp; CHAR(10) &amp; "Venue: " &amp; 'Profit &amp; Loss'!E153 &amp; CHAR(10) &amp; "Court No.: " &amp; 'Profit &amp; Loss'!F153 &amp; CHAR(10) &amp; "Level: HB - LI" &amp; CHAR(10) &amp; "Please transfer $" &amp; 'Profit &amp; Loss'!O153 &amp; " per pax to Belle (83396501)" &amp; CHAR(10) &amp; CHAR(10) &amp; IF('Profit &amp; Loss'!I153=1, "1." &amp; CHAR(10) &amp; "2." &amp; CHAR(10) &amp; "3." &amp; CHAR(10) &amp; "4." &amp; CHAR(10) &amp; "5." &amp; CHAR(10) &amp; "6." &amp; CHAR(10), IF('Profit &amp; Loss'!I153=2,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1" spans="1:2" ht="12.5" x14ac:dyDescent="0.25">
      <c r="A151" s="2" t="str">
        <f ca="1">IF('Profit &amp; Loss'!A154&gt;=TODAY(),"Looking for friendly players to join the following game: " &amp; CHAR(10) &amp; CHAR(10) &amp; "Date: " &amp; TEXT('Profit &amp; Loss'!A154,"dd mmm yyy") &amp; ", " &amp; 'Profit &amp; Loss'!B154 &amp; CHAR(10) &amp; "Time: " &amp; TEXT('Profit &amp; Loss'!C154, "hh:mm AM/PM") &amp; " - " &amp; TEXT('Profit &amp; Loss'!D154, "hh:mm AM/PM") &amp; CHAR(10) &amp; "Venue: " &amp; 'Profit &amp; Loss'!E154 &amp; CHAR(10) &amp; "Level: HB - LI" &amp; CHAR(10) &amp; "Cost: $" &amp; 'Profit &amp; Loss'!O154 &amp; " per pax" &amp; CHAR(10) &amp; "Max " &amp; 'Profit &amp; Loss'!I154*6 &amp; " pax," &amp; " (" &amp; 'Profit &amp; Loss'!I154 &amp; " courts)" &amp; CHAR(10) &amp; CHAR(10) &amp; "RSL Ultimate shuttles provided" &amp; CHAR(10) &amp; CHAR(10) &amp; "PM if interested, thank you!"," ")</f>
        <v xml:space="preserve"> </v>
      </c>
      <c r="B151" s="2" t="str">
        <f ca="1">IF('Profit &amp; Loss'!A154&gt;=TODAY(), "Date: " &amp; TEXT('Profit &amp; Loss'!A154,"dd mmm yyy") &amp; ", " &amp; 'Profit &amp; Loss'!B154 &amp; CHAR(10) &amp; "Time: " &amp; TEXT('Profit &amp; Loss'!C154, "hh:mm AM/PM") &amp; " - " &amp; TEXT('Profit &amp; Loss'!D154, "hh:mm AM/PM") &amp; CHAR(10) &amp; "Venue: " &amp; 'Profit &amp; Loss'!E154 &amp; CHAR(10) &amp; "Court No.: " &amp; 'Profit &amp; Loss'!F154 &amp; CHAR(10) &amp; "Level: HB - LI" &amp; CHAR(10) &amp; "Please transfer $" &amp; 'Profit &amp; Loss'!O154 &amp; " per pax to Belle (83396501)" &amp; CHAR(10) &amp; CHAR(10) &amp; IF('Profit &amp; Loss'!I154=1, "1." &amp; CHAR(10) &amp; "2." &amp; CHAR(10) &amp; "3." &amp; CHAR(10) &amp; "4." &amp; CHAR(10) &amp; "5." &amp; CHAR(10) &amp; "6." &amp; CHAR(10), IF('Profit &amp; Loss'!I154=2,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2" spans="1:2" ht="12.5" x14ac:dyDescent="0.25">
      <c r="A152" s="2" t="str">
        <f ca="1">IF('Profit &amp; Loss'!A155&gt;=TODAY(),"Looking for friendly players to join the following game: " &amp; CHAR(10) &amp; CHAR(10) &amp; "Date: " &amp; TEXT('Profit &amp; Loss'!A155,"dd mmm yyy") &amp; ", " &amp; 'Profit &amp; Loss'!B155 &amp; CHAR(10) &amp; "Time: " &amp; TEXT('Profit &amp; Loss'!C155, "hh:mm AM/PM") &amp; " - " &amp; TEXT('Profit &amp; Loss'!D155, "hh:mm AM/PM") &amp; CHAR(10) &amp; "Venue: " &amp; 'Profit &amp; Loss'!E155 &amp; CHAR(10) &amp; "Level: HB - LI" &amp; CHAR(10) &amp; "Cost: $" &amp; 'Profit &amp; Loss'!O155 &amp; " per pax" &amp; CHAR(10) &amp; "Max " &amp; 'Profit &amp; Loss'!I155*6 &amp; " pax," &amp; " (" &amp; 'Profit &amp; Loss'!I155 &amp; " courts)" &amp; CHAR(10) &amp; CHAR(10) &amp; "RSL Ultimate shuttles provided" &amp; CHAR(10) &amp; CHAR(10) &amp; "PM if interested, thank you!"," ")</f>
        <v xml:space="preserve"> </v>
      </c>
      <c r="B152" s="2" t="str">
        <f ca="1">IF('Profit &amp; Loss'!A155&gt;=TODAY(), "Date: " &amp; TEXT('Profit &amp; Loss'!A155,"dd mmm yyy") &amp; ", " &amp; 'Profit &amp; Loss'!B155 &amp; CHAR(10) &amp; "Time: " &amp; TEXT('Profit &amp; Loss'!C155, "hh:mm AM/PM") &amp; " - " &amp; TEXT('Profit &amp; Loss'!D155, "hh:mm AM/PM") &amp; CHAR(10) &amp; "Venue: " &amp; 'Profit &amp; Loss'!E155 &amp; CHAR(10) &amp; "Court No.: " &amp; 'Profit &amp; Loss'!F155 &amp; CHAR(10) &amp; "Level: HB - LI" &amp; CHAR(10) &amp; "Please transfer $" &amp; 'Profit &amp; Loss'!O155 &amp; " per pax to Belle (83396501)" &amp; CHAR(10) &amp; CHAR(10) &amp; IF('Profit &amp; Loss'!I155=1, "1." &amp; CHAR(10) &amp; "2." &amp; CHAR(10) &amp; "3." &amp; CHAR(10) &amp; "4." &amp; CHAR(10) &amp; "5." &amp; CHAR(10) &amp; "6." &amp; CHAR(10), IF('Profit &amp; Loss'!I155=2,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3" spans="1:2" ht="12.5" x14ac:dyDescent="0.25">
      <c r="A153" s="2" t="str">
        <f ca="1">IF('Profit &amp; Loss'!A156&gt;=TODAY(),"Looking for friendly players to join the following game: " &amp; CHAR(10) &amp; CHAR(10) &amp; "Date: " &amp; TEXT('Profit &amp; Loss'!A156,"dd mmm yyy") &amp; ", " &amp; 'Profit &amp; Loss'!B156 &amp; CHAR(10) &amp; "Time: " &amp; TEXT('Profit &amp; Loss'!C156, "hh:mm AM/PM") &amp; " - " &amp; TEXT('Profit &amp; Loss'!D156, "hh:mm AM/PM") &amp; CHAR(10) &amp; "Venue: " &amp; 'Profit &amp; Loss'!E156 &amp; CHAR(10) &amp; "Level: HB - LI" &amp; CHAR(10) &amp; "Cost: $" &amp; 'Profit &amp; Loss'!O156 &amp; " per pax" &amp; CHAR(10) &amp; "Max " &amp; 'Profit &amp; Loss'!I156*6 &amp; " pax," &amp; " (" &amp; 'Profit &amp; Loss'!I156 &amp; " courts)" &amp; CHAR(10) &amp; CHAR(10) &amp; "RSL Ultimate shuttles provided" &amp; CHAR(10) &amp; CHAR(10) &amp; "PM if interested, thank you!"," ")</f>
        <v xml:space="preserve"> </v>
      </c>
      <c r="B153" s="2" t="str">
        <f ca="1">IF('Profit &amp; Loss'!A156&gt;=TODAY(), "Date: " &amp; TEXT('Profit &amp; Loss'!A156,"dd mmm yyy") &amp; ", " &amp; 'Profit &amp; Loss'!B156 &amp; CHAR(10) &amp; "Time: " &amp; TEXT('Profit &amp; Loss'!C156, "hh:mm AM/PM") &amp; " - " &amp; TEXT('Profit &amp; Loss'!D156, "hh:mm AM/PM") &amp; CHAR(10) &amp; "Venue: " &amp; 'Profit &amp; Loss'!E156 &amp; CHAR(10) &amp; "Court No.: " &amp; 'Profit &amp; Loss'!F156 &amp; CHAR(10) &amp; "Level: HB - LI" &amp; CHAR(10) &amp; "Please transfer $" &amp; 'Profit &amp; Loss'!O156 &amp; " per pax to Belle (83396501)" &amp; CHAR(10) &amp; CHAR(10) &amp; IF('Profit &amp; Loss'!I156=1, "1." &amp; CHAR(10) &amp; "2." &amp; CHAR(10) &amp; "3." &amp; CHAR(10) &amp; "4." &amp; CHAR(10) &amp; "5." &amp; CHAR(10) &amp; "6." &amp; CHAR(10), IF('Profit &amp; Loss'!I156=2,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4" spans="1:2" ht="12.5" x14ac:dyDescent="0.25">
      <c r="A154" s="2" t="str">
        <f ca="1">IF('Profit &amp; Loss'!A157&gt;=TODAY(),"Looking for friendly players to join the following game: " &amp; CHAR(10) &amp; CHAR(10) &amp; "Date: " &amp; TEXT('Profit &amp; Loss'!A157,"dd mmm yyy") &amp; ", " &amp; 'Profit &amp; Loss'!B157 &amp; CHAR(10) &amp; "Time: " &amp; TEXT('Profit &amp; Loss'!C157, "hh:mm AM/PM") &amp; " - " &amp; TEXT('Profit &amp; Loss'!D157, "hh:mm AM/PM") &amp; CHAR(10) &amp; "Venue: " &amp; 'Profit &amp; Loss'!E157 &amp; CHAR(10) &amp; "Level: HB - LI" &amp; CHAR(10) &amp; "Cost: $" &amp; 'Profit &amp; Loss'!O157 &amp; " per pax" &amp; CHAR(10) &amp; "Max " &amp; 'Profit &amp; Loss'!I157*6 &amp; " pax," &amp; " (" &amp; 'Profit &amp; Loss'!I157 &amp; " courts)" &amp; CHAR(10) &amp; CHAR(10) &amp; "RSL Ultimate shuttles provided" &amp; CHAR(10) &amp; CHAR(10) &amp; "PM if interested, thank you!"," ")</f>
        <v xml:space="preserve"> </v>
      </c>
      <c r="B154" s="2" t="str">
        <f ca="1">IF('Profit &amp; Loss'!A157&gt;=TODAY(), "Date: " &amp; TEXT('Profit &amp; Loss'!A157,"dd mmm yyy") &amp; ", " &amp; 'Profit &amp; Loss'!B157 &amp; CHAR(10) &amp; "Time: " &amp; TEXT('Profit &amp; Loss'!C157, "hh:mm AM/PM") &amp; " - " &amp; TEXT('Profit &amp; Loss'!D157, "hh:mm AM/PM") &amp; CHAR(10) &amp; "Venue: " &amp; 'Profit &amp; Loss'!E157 &amp; CHAR(10) &amp; "Court No.: " &amp; 'Profit &amp; Loss'!F157 &amp; CHAR(10) &amp; "Level: HB - LI" &amp; CHAR(10) &amp; "Please transfer $" &amp; 'Profit &amp; Loss'!O157 &amp; " per pax to Belle (83396501)" &amp; CHAR(10) &amp; CHAR(10) &amp; IF('Profit &amp; Loss'!I157=1, "1." &amp; CHAR(10) &amp; "2." &amp; CHAR(10) &amp; "3." &amp; CHAR(10) &amp; "4." &amp; CHAR(10) &amp; "5." &amp; CHAR(10) &amp; "6." &amp; CHAR(10), IF('Profit &amp; Loss'!I157=2,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5" spans="1:2" ht="12.5" x14ac:dyDescent="0.25">
      <c r="A155" s="2" t="str">
        <f ca="1">IF('Profit &amp; Loss'!A158&gt;=TODAY(),"Looking for friendly players to join the following game: " &amp; CHAR(10) &amp; CHAR(10) &amp; "Date: " &amp; TEXT('Profit &amp; Loss'!A158,"dd mmm yyy") &amp; ", " &amp; 'Profit &amp; Loss'!B158 &amp; CHAR(10) &amp; "Time: " &amp; TEXT('Profit &amp; Loss'!C158, "hh:mm AM/PM") &amp; " - " &amp; TEXT('Profit &amp; Loss'!D158, "hh:mm AM/PM") &amp; CHAR(10) &amp; "Venue: " &amp; 'Profit &amp; Loss'!E158 &amp; CHAR(10) &amp; "Level: HB - LI" &amp; CHAR(10) &amp; "Cost: $" &amp; 'Profit &amp; Loss'!O158 &amp; " per pax" &amp; CHAR(10) &amp; "Max " &amp; 'Profit &amp; Loss'!I158*6 &amp; " pax," &amp; " (" &amp; 'Profit &amp; Loss'!I158 &amp; " courts)" &amp; CHAR(10) &amp; CHAR(10) &amp; "RSL Ultimate shuttles provided" &amp; CHAR(10) &amp; CHAR(10) &amp; "PM if interested, thank you!"," ")</f>
        <v xml:space="preserve"> </v>
      </c>
      <c r="B155" s="2" t="str">
        <f ca="1">IF('Profit &amp; Loss'!A158&gt;=TODAY(), "Date: " &amp; TEXT('Profit &amp; Loss'!A158,"dd mmm yyy") &amp; ", " &amp; 'Profit &amp; Loss'!B158 &amp; CHAR(10) &amp; "Time: " &amp; TEXT('Profit &amp; Loss'!C158, "hh:mm AM/PM") &amp; " - " &amp; TEXT('Profit &amp; Loss'!D158, "hh:mm AM/PM") &amp; CHAR(10) &amp; "Venue: " &amp; 'Profit &amp; Loss'!E158 &amp; CHAR(10) &amp; "Court No.: " &amp; 'Profit &amp; Loss'!F158 &amp; CHAR(10) &amp; "Level: HB - LI" &amp; CHAR(10) &amp; "Please transfer $" &amp; 'Profit &amp; Loss'!O158 &amp; " per pax to Belle (83396501)" &amp; CHAR(10) &amp; CHAR(10) &amp; IF('Profit &amp; Loss'!I158=1, "1." &amp; CHAR(10) &amp; "2." &amp; CHAR(10) &amp; "3." &amp; CHAR(10) &amp; "4." &amp; CHAR(10) &amp; "5." &amp; CHAR(10) &amp; "6." &amp; CHAR(10), IF('Profit &amp; Loss'!I158=2,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6" spans="1:2" ht="12.5" x14ac:dyDescent="0.25">
      <c r="A156" s="2" t="str">
        <f ca="1">IF('Profit &amp; Loss'!A159&gt;=TODAY(),"Looking for friendly players to join the following game: " &amp; CHAR(10) &amp; CHAR(10) &amp; "Date: " &amp; TEXT('Profit &amp; Loss'!A159,"dd mmm yyy") &amp; ", " &amp; 'Profit &amp; Loss'!B159 &amp; CHAR(10) &amp; "Time: " &amp; TEXT('Profit &amp; Loss'!C159, "hh:mm AM/PM") &amp; " - " &amp; TEXT('Profit &amp; Loss'!D159, "hh:mm AM/PM") &amp; CHAR(10) &amp; "Venue: " &amp; 'Profit &amp; Loss'!E159 &amp; CHAR(10) &amp; "Level: HB - LI" &amp; CHAR(10) &amp; "Cost: $" &amp; 'Profit &amp; Loss'!O159 &amp; " per pax" &amp; CHAR(10) &amp; "Max " &amp; 'Profit &amp; Loss'!I159*6 &amp; " pax," &amp; " (" &amp; 'Profit &amp; Loss'!I159 &amp; " courts)" &amp; CHAR(10) &amp; CHAR(10) &amp; "RSL Ultimate shuttles provided" &amp; CHAR(10) &amp; CHAR(10) &amp; "PM if interested, thank you!"," ")</f>
        <v xml:space="preserve"> </v>
      </c>
      <c r="B156" s="2" t="str">
        <f ca="1">IF('Profit &amp; Loss'!A159&gt;=TODAY(), "Date: " &amp; TEXT('Profit &amp; Loss'!A159,"dd mmm yyy") &amp; ", " &amp; 'Profit &amp; Loss'!B159 &amp; CHAR(10) &amp; "Time: " &amp; TEXT('Profit &amp; Loss'!C159, "hh:mm AM/PM") &amp; " - " &amp; TEXT('Profit &amp; Loss'!D159, "hh:mm AM/PM") &amp; CHAR(10) &amp; "Venue: " &amp; 'Profit &amp; Loss'!E159 &amp; CHAR(10) &amp; "Court No.: " &amp; 'Profit &amp; Loss'!F159 &amp; CHAR(10) &amp; "Level: HB - LI" &amp; CHAR(10) &amp; "Please transfer $" &amp; 'Profit &amp; Loss'!O159 &amp; " per pax to Belle (83396501)" &amp; CHAR(10) &amp; CHAR(10) &amp; IF('Profit &amp; Loss'!I159=1, "1." &amp; CHAR(10) &amp; "2." &amp; CHAR(10) &amp; "3." &amp; CHAR(10) &amp; "4." &amp; CHAR(10) &amp; "5." &amp; CHAR(10) &amp; "6." &amp; CHAR(10), IF('Profit &amp; Loss'!I159=2,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7" spans="1:2" ht="12.5" x14ac:dyDescent="0.25">
      <c r="A157" s="2" t="str">
        <f ca="1">IF('Profit &amp; Loss'!A160&gt;=TODAY(),"Looking for friendly players to join the following game: " &amp; CHAR(10) &amp; CHAR(10) &amp; "Date: " &amp; TEXT('Profit &amp; Loss'!A160,"dd mmm yyy") &amp; ", " &amp; 'Profit &amp; Loss'!B160 &amp; CHAR(10) &amp; "Time: " &amp; TEXT('Profit &amp; Loss'!C160, "hh:mm AM/PM") &amp; " - " &amp; TEXT('Profit &amp; Loss'!D160, "hh:mm AM/PM") &amp; CHAR(10) &amp; "Venue: " &amp; 'Profit &amp; Loss'!E160 &amp; CHAR(10) &amp; "Level: HB - LI" &amp; CHAR(10) &amp; "Cost: $" &amp; 'Profit &amp; Loss'!O160 &amp; " per pax" &amp; CHAR(10) &amp; "Max " &amp; 'Profit &amp; Loss'!I160*6 &amp; " pax," &amp; " (" &amp; 'Profit &amp; Loss'!I160 &amp; " courts)" &amp; CHAR(10) &amp; CHAR(10) &amp; "RSL Ultimate shuttles provided" &amp; CHAR(10) &amp; CHAR(10) &amp; "PM if interested, thank you!"," ")</f>
        <v xml:space="preserve"> </v>
      </c>
      <c r="B157" s="2" t="str">
        <f ca="1">IF('Profit &amp; Loss'!A160&gt;=TODAY(), "Date: " &amp; TEXT('Profit &amp; Loss'!A160,"dd mmm yyy") &amp; ", " &amp; 'Profit &amp; Loss'!B160 &amp; CHAR(10) &amp; "Time: " &amp; TEXT('Profit &amp; Loss'!C160, "hh:mm AM/PM") &amp; " - " &amp; TEXT('Profit &amp; Loss'!D160, "hh:mm AM/PM") &amp; CHAR(10) &amp; "Venue: " &amp; 'Profit &amp; Loss'!E160 &amp; CHAR(10) &amp; "Court No.: " &amp; 'Profit &amp; Loss'!F160 &amp; CHAR(10) &amp; "Level: HB - LI" &amp; CHAR(10) &amp; "Please transfer $" &amp; 'Profit &amp; Loss'!O160 &amp; " per pax to Belle (83396501)" &amp; CHAR(10) &amp; CHAR(10) &amp; IF('Profit &amp; Loss'!I160=1, "1." &amp; CHAR(10) &amp; "2." &amp; CHAR(10) &amp; "3." &amp; CHAR(10) &amp; "4." &amp; CHAR(10) &amp; "5." &amp; CHAR(10) &amp; "6." &amp; CHAR(10), IF('Profit &amp; Loss'!I160=2,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8" spans="1:2" ht="12.5" x14ac:dyDescent="0.25">
      <c r="A158" s="2" t="str">
        <f ca="1">IF('Profit &amp; Loss'!A161&gt;=TODAY(),"Looking for friendly players to join the following game: " &amp; CHAR(10) &amp; CHAR(10) &amp; "Date: " &amp; TEXT('Profit &amp; Loss'!A161,"dd mmm yyy") &amp; ", " &amp; 'Profit &amp; Loss'!B161 &amp; CHAR(10) &amp; "Time: " &amp; TEXT('Profit &amp; Loss'!C161, "hh:mm AM/PM") &amp; " - " &amp; TEXT('Profit &amp; Loss'!D161, "hh:mm AM/PM") &amp; CHAR(10) &amp; "Venue: " &amp; 'Profit &amp; Loss'!E161 &amp; CHAR(10) &amp; "Level: HB - LI" &amp; CHAR(10) &amp; "Cost: $" &amp; 'Profit &amp; Loss'!O161 &amp; " per pax" &amp; CHAR(10) &amp; "Max " &amp; 'Profit &amp; Loss'!I161*6 &amp; " pax," &amp; " (" &amp; 'Profit &amp; Loss'!I161 &amp; " courts)" &amp; CHAR(10) &amp; CHAR(10) &amp; "RSL Ultimate shuttles provided" &amp; CHAR(10) &amp; CHAR(10) &amp; "PM if interested, thank you!"," ")</f>
        <v xml:space="preserve"> </v>
      </c>
      <c r="B158" s="2" t="str">
        <f ca="1">IF('Profit &amp; Loss'!A161&gt;=TODAY(), "Date: " &amp; TEXT('Profit &amp; Loss'!A161,"dd mmm yyy") &amp; ", " &amp; 'Profit &amp; Loss'!B161 &amp; CHAR(10) &amp; "Time: " &amp; TEXT('Profit &amp; Loss'!C161, "hh:mm AM/PM") &amp; " - " &amp; TEXT('Profit &amp; Loss'!D161, "hh:mm AM/PM") &amp; CHAR(10) &amp; "Venue: " &amp; 'Profit &amp; Loss'!E161 &amp; CHAR(10) &amp; "Court No.: " &amp; 'Profit &amp; Loss'!F161 &amp; CHAR(10) &amp; "Level: HB - LI" &amp; CHAR(10) &amp; "Please transfer $" &amp; 'Profit &amp; Loss'!O161 &amp; " per pax to Belle (83396501)" &amp; CHAR(10) &amp; CHAR(10) &amp; IF('Profit &amp; Loss'!I161=1, "1." &amp; CHAR(10) &amp; "2." &amp; CHAR(10) &amp; "3." &amp; CHAR(10) &amp; "4." &amp; CHAR(10) &amp; "5." &amp; CHAR(10) &amp; "6." &amp; CHAR(10), IF('Profit &amp; Loss'!I161=2,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59" spans="1:2" ht="12.5" x14ac:dyDescent="0.25">
      <c r="A159" s="2" t="str">
        <f ca="1">IF('Profit &amp; Loss'!A162&gt;=TODAY(),"Looking for friendly players to join the following game: " &amp; CHAR(10) &amp; CHAR(10) &amp; "Date: " &amp; TEXT('Profit &amp; Loss'!A162,"dd mmm yyy") &amp; ", " &amp; 'Profit &amp; Loss'!B162 &amp; CHAR(10) &amp; "Time: " &amp; TEXT('Profit &amp; Loss'!C162, "hh:mm AM/PM") &amp; " - " &amp; TEXT('Profit &amp; Loss'!D162, "hh:mm AM/PM") &amp; CHAR(10) &amp; "Venue: " &amp; 'Profit &amp; Loss'!E162 &amp; CHAR(10) &amp; "Level: HB - LI" &amp; CHAR(10) &amp; "Cost: $" &amp; 'Profit &amp; Loss'!O162 &amp; " per pax" &amp; CHAR(10) &amp; "Max " &amp; 'Profit &amp; Loss'!I162*6 &amp; " pax," &amp; " (" &amp; 'Profit &amp; Loss'!I162 &amp; " courts)" &amp; CHAR(10) &amp; CHAR(10) &amp; "RSL Ultimate shuttles provided" &amp; CHAR(10) &amp; CHAR(10) &amp; "PM if interested, thank you!"," ")</f>
        <v xml:space="preserve"> </v>
      </c>
      <c r="B159" s="2" t="str">
        <f ca="1">IF('Profit &amp; Loss'!A162&gt;=TODAY(), "Date: " &amp; TEXT('Profit &amp; Loss'!A162,"dd mmm yyy") &amp; ", " &amp; 'Profit &amp; Loss'!B162 &amp; CHAR(10) &amp; "Time: " &amp; TEXT('Profit &amp; Loss'!C162, "hh:mm AM/PM") &amp; " - " &amp; TEXT('Profit &amp; Loss'!D162, "hh:mm AM/PM") &amp; CHAR(10) &amp; "Venue: " &amp; 'Profit &amp; Loss'!E162 &amp; CHAR(10) &amp; "Court No.: " &amp; 'Profit &amp; Loss'!F162 &amp; CHAR(10) &amp; "Level: HB - LI" &amp; CHAR(10) &amp; "Please transfer $" &amp; 'Profit &amp; Loss'!O162 &amp; " per pax to Belle (83396501)" &amp; CHAR(10) &amp; CHAR(10) &amp; IF('Profit &amp; Loss'!I162=1, "1." &amp; CHAR(10) &amp; "2." &amp; CHAR(10) &amp; "3." &amp; CHAR(10) &amp; "4." &amp; CHAR(10) &amp; "5." &amp; CHAR(10) &amp; "6." &amp; CHAR(10), IF('Profit &amp; Loss'!I162=2,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0" spans="1:2" ht="12.5" x14ac:dyDescent="0.25">
      <c r="A160" s="2" t="str">
        <f ca="1">IF('Profit &amp; Loss'!A163&gt;=TODAY(),"Looking for friendly players to join the following game: " &amp; CHAR(10) &amp; CHAR(10) &amp; "Date: " &amp; TEXT('Profit &amp; Loss'!A163,"dd mmm yyy") &amp; ", " &amp; 'Profit &amp; Loss'!B163 &amp; CHAR(10) &amp; "Time: " &amp; TEXT('Profit &amp; Loss'!C163, "hh:mm AM/PM") &amp; " - " &amp; TEXT('Profit &amp; Loss'!D163, "hh:mm AM/PM") &amp; CHAR(10) &amp; "Venue: " &amp; 'Profit &amp; Loss'!E163 &amp; CHAR(10) &amp; "Level: HB - LI" &amp; CHAR(10) &amp; "Cost: $" &amp; 'Profit &amp; Loss'!O163 &amp; " per pax" &amp; CHAR(10) &amp; "Max " &amp; 'Profit &amp; Loss'!I163*6 &amp; " pax," &amp; " (" &amp; 'Profit &amp; Loss'!I163 &amp; " courts)" &amp; CHAR(10) &amp; CHAR(10) &amp; "RSL Ultimate shuttles provided" &amp; CHAR(10) &amp; CHAR(10) &amp; "PM if interested, thank you!"," ")</f>
        <v xml:space="preserve"> </v>
      </c>
      <c r="B160" s="2" t="str">
        <f ca="1">IF('Profit &amp; Loss'!A163&gt;=TODAY(), "Date: " &amp; TEXT('Profit &amp; Loss'!A163,"dd mmm yyy") &amp; ", " &amp; 'Profit &amp; Loss'!B163 &amp; CHAR(10) &amp; "Time: " &amp; TEXT('Profit &amp; Loss'!C163, "hh:mm AM/PM") &amp; " - " &amp; TEXT('Profit &amp; Loss'!D163, "hh:mm AM/PM") &amp; CHAR(10) &amp; "Venue: " &amp; 'Profit &amp; Loss'!E163 &amp; CHAR(10) &amp; "Court No.: " &amp; 'Profit &amp; Loss'!F163 &amp; CHAR(10) &amp; "Level: HB - LI" &amp; CHAR(10) &amp; "Please transfer $" &amp; 'Profit &amp; Loss'!O163 &amp; " per pax to Belle (83396501)" &amp; CHAR(10) &amp; CHAR(10) &amp; IF('Profit &amp; Loss'!I163=1, "1." &amp; CHAR(10) &amp; "2." &amp; CHAR(10) &amp; "3." &amp; CHAR(10) &amp; "4." &amp; CHAR(10) &amp; "5." &amp; CHAR(10) &amp; "6." &amp; CHAR(10), IF('Profit &amp; Loss'!I163=2,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1" spans="1:2" ht="12.5" x14ac:dyDescent="0.25">
      <c r="A161" s="2" t="str">
        <f ca="1">IF('Profit &amp; Loss'!A164&gt;=TODAY(),"Looking for friendly players to join the following game: " &amp; CHAR(10) &amp; CHAR(10) &amp; "Date: " &amp; TEXT('Profit &amp; Loss'!A164,"dd mmm yyy") &amp; ", " &amp; 'Profit &amp; Loss'!B164 &amp; CHAR(10) &amp; "Time: " &amp; TEXT('Profit &amp; Loss'!C164, "hh:mm AM/PM") &amp; " - " &amp; TEXT('Profit &amp; Loss'!D164, "hh:mm AM/PM") &amp; CHAR(10) &amp; "Venue: " &amp; 'Profit &amp; Loss'!E164 &amp; CHAR(10) &amp; "Level: HB - LI" &amp; CHAR(10) &amp; "Cost: $" &amp; 'Profit &amp; Loss'!O164 &amp; " per pax" &amp; CHAR(10) &amp; "Max " &amp; 'Profit &amp; Loss'!I164*6 &amp; " pax," &amp; " (" &amp; 'Profit &amp; Loss'!I164 &amp; " courts)" &amp; CHAR(10) &amp; CHAR(10) &amp; "RSL Ultimate shuttles provided" &amp; CHAR(10) &amp; CHAR(10) &amp; "PM if interested, thank you!"," ")</f>
        <v xml:space="preserve"> </v>
      </c>
      <c r="B161" s="2" t="str">
        <f ca="1">IF('Profit &amp; Loss'!A164&gt;=TODAY(), "Date: " &amp; TEXT('Profit &amp; Loss'!A164,"dd mmm yyy") &amp; ", " &amp; 'Profit &amp; Loss'!B164 &amp; CHAR(10) &amp; "Time: " &amp; TEXT('Profit &amp; Loss'!C164, "hh:mm AM/PM") &amp; " - " &amp; TEXT('Profit &amp; Loss'!D164, "hh:mm AM/PM") &amp; CHAR(10) &amp; "Venue: " &amp; 'Profit &amp; Loss'!E164 &amp; CHAR(10) &amp; "Court No.: " &amp; 'Profit &amp; Loss'!F164 &amp; CHAR(10) &amp; "Level: HB - LI" &amp; CHAR(10) &amp; "Please transfer $" &amp; 'Profit &amp; Loss'!O164 &amp; " per pax to Belle (83396501)" &amp; CHAR(10) &amp; CHAR(10) &amp; IF('Profit &amp; Loss'!I164=1, "1." &amp; CHAR(10) &amp; "2." &amp; CHAR(10) &amp; "3." &amp; CHAR(10) &amp; "4." &amp; CHAR(10) &amp; "5." &amp; CHAR(10) &amp; "6." &amp; CHAR(10), IF('Profit &amp; Loss'!I164=2,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2" spans="1:2" ht="12.5" x14ac:dyDescent="0.25">
      <c r="A162" s="2" t="str">
        <f ca="1">IF('Profit &amp; Loss'!A165&gt;=TODAY(),"Looking for friendly players to join the following game: " &amp; CHAR(10) &amp; CHAR(10) &amp; "Date: " &amp; TEXT('Profit &amp; Loss'!A165,"dd mmm yyy") &amp; ", " &amp; 'Profit &amp; Loss'!B165 &amp; CHAR(10) &amp; "Time: " &amp; TEXT('Profit &amp; Loss'!C165, "hh:mm AM/PM") &amp; " - " &amp; TEXT('Profit &amp; Loss'!D165, "hh:mm AM/PM") &amp; CHAR(10) &amp; "Venue: " &amp; 'Profit &amp; Loss'!E165 &amp; CHAR(10) &amp; "Level: HB - LI" &amp; CHAR(10) &amp; "Cost: $" &amp; 'Profit &amp; Loss'!O165 &amp; " per pax" &amp; CHAR(10) &amp; "Max " &amp; 'Profit &amp; Loss'!I165*6 &amp; " pax," &amp; " (" &amp; 'Profit &amp; Loss'!I165 &amp; " courts)" &amp; CHAR(10) &amp; CHAR(10) &amp; "RSL Ultimate shuttles provided" &amp; CHAR(10) &amp; CHAR(10) &amp; "PM if interested, thank you!"," ")</f>
        <v xml:space="preserve"> </v>
      </c>
      <c r="B162" s="2" t="str">
        <f ca="1">IF('Profit &amp; Loss'!A165&gt;=TODAY(), "Date: " &amp; TEXT('Profit &amp; Loss'!A165,"dd mmm yyy") &amp; ", " &amp; 'Profit &amp; Loss'!B165 &amp; CHAR(10) &amp; "Time: " &amp; TEXT('Profit &amp; Loss'!C165, "hh:mm AM/PM") &amp; " - " &amp; TEXT('Profit &amp; Loss'!D165, "hh:mm AM/PM") &amp; CHAR(10) &amp; "Venue: " &amp; 'Profit &amp; Loss'!E165 &amp; CHAR(10) &amp; "Court No.: " &amp; 'Profit &amp; Loss'!F165 &amp; CHAR(10) &amp; "Level: HB - LI" &amp; CHAR(10) &amp; "Please transfer $" &amp; 'Profit &amp; Loss'!O165 &amp; " per pax to Belle (83396501)" &amp; CHAR(10) &amp; CHAR(10) &amp; IF('Profit &amp; Loss'!I165=1, "1." &amp; CHAR(10) &amp; "2." &amp; CHAR(10) &amp; "3." &amp; CHAR(10) &amp; "4." &amp; CHAR(10) &amp; "5." &amp; CHAR(10) &amp; "6." &amp; CHAR(10), IF('Profit &amp; Loss'!I165=2,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3" spans="1:2" ht="12.5" x14ac:dyDescent="0.25">
      <c r="A163" s="2" t="str">
        <f ca="1">IF('Profit &amp; Loss'!A166&gt;=TODAY(),"Looking for friendly players to join the following game: " &amp; CHAR(10) &amp; CHAR(10) &amp; "Date: " &amp; TEXT('Profit &amp; Loss'!A166,"dd mmm yyy") &amp; ", " &amp; 'Profit &amp; Loss'!B166 &amp; CHAR(10) &amp; "Time: " &amp; TEXT('Profit &amp; Loss'!C166, "hh:mm AM/PM") &amp; " - " &amp; TEXT('Profit &amp; Loss'!D166, "hh:mm AM/PM") &amp; CHAR(10) &amp; "Venue: " &amp; 'Profit &amp; Loss'!E166 &amp; CHAR(10) &amp; "Level: HB - LI" &amp; CHAR(10) &amp; "Cost: $" &amp; 'Profit &amp; Loss'!O166 &amp; " per pax" &amp; CHAR(10) &amp; "Max " &amp; 'Profit &amp; Loss'!I166*6 &amp; " pax," &amp; " (" &amp; 'Profit &amp; Loss'!I166 &amp; " courts)" &amp; CHAR(10) &amp; CHAR(10) &amp; "RSL Ultimate shuttles provided" &amp; CHAR(10) &amp; CHAR(10) &amp; "PM if interested, thank you!"," ")</f>
        <v xml:space="preserve"> </v>
      </c>
      <c r="B163" s="2" t="str">
        <f ca="1">IF('Profit &amp; Loss'!A166&gt;=TODAY(), "Date: " &amp; TEXT('Profit &amp; Loss'!A166,"dd mmm yyy") &amp; ", " &amp; 'Profit &amp; Loss'!B166 &amp; CHAR(10) &amp; "Time: " &amp; TEXT('Profit &amp; Loss'!C166, "hh:mm AM/PM") &amp; " - " &amp; TEXT('Profit &amp; Loss'!D166, "hh:mm AM/PM") &amp; CHAR(10) &amp; "Venue: " &amp; 'Profit &amp; Loss'!E166 &amp; CHAR(10) &amp; "Court No.: " &amp; 'Profit &amp; Loss'!F166 &amp; CHAR(10) &amp; "Level: HB - LI" &amp; CHAR(10) &amp; "Please transfer $" &amp; 'Profit &amp; Loss'!O166 &amp; " per pax to Belle (83396501)" &amp; CHAR(10) &amp; CHAR(10) &amp; IF('Profit &amp; Loss'!I166=1, "1." &amp; CHAR(10) &amp; "2." &amp; CHAR(10) &amp; "3." &amp; CHAR(10) &amp; "4." &amp; CHAR(10) &amp; "5." &amp; CHAR(10) &amp; "6." &amp; CHAR(10), IF('Profit &amp; Loss'!I166=2,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4" spans="1:2" ht="12.5" x14ac:dyDescent="0.25">
      <c r="A164" s="2" t="str">
        <f ca="1">IF('Profit &amp; Loss'!A167&gt;=TODAY(),"Looking for friendly players to join the following game: " &amp; CHAR(10) &amp; CHAR(10) &amp; "Date: " &amp; TEXT('Profit &amp; Loss'!A167,"dd mmm yyy") &amp; ", " &amp; 'Profit &amp; Loss'!B167 &amp; CHAR(10) &amp; "Time: " &amp; TEXT('Profit &amp; Loss'!C167, "hh:mm AM/PM") &amp; " - " &amp; TEXT('Profit &amp; Loss'!D167, "hh:mm AM/PM") &amp; CHAR(10) &amp; "Venue: " &amp; 'Profit &amp; Loss'!E167 &amp; CHAR(10) &amp; "Level: HB - LI" &amp; CHAR(10) &amp; "Cost: $" &amp; 'Profit &amp; Loss'!O167 &amp; " per pax" &amp; CHAR(10) &amp; "Max " &amp; 'Profit &amp; Loss'!I167*6 &amp; " pax," &amp; " (" &amp; 'Profit &amp; Loss'!I167 &amp; " courts)" &amp; CHAR(10) &amp; CHAR(10) &amp; "RSL Ultimate shuttles provided" &amp; CHAR(10) &amp; CHAR(10) &amp; "PM if interested, thank you!"," ")</f>
        <v xml:space="preserve"> </v>
      </c>
      <c r="B164" s="2" t="str">
        <f ca="1">IF('Profit &amp; Loss'!A167&gt;=TODAY(), "Date: " &amp; TEXT('Profit &amp; Loss'!A167,"dd mmm yyy") &amp; ", " &amp; 'Profit &amp; Loss'!B167 &amp; CHAR(10) &amp; "Time: " &amp; TEXT('Profit &amp; Loss'!C167, "hh:mm AM/PM") &amp; " - " &amp; TEXT('Profit &amp; Loss'!D167, "hh:mm AM/PM") &amp; CHAR(10) &amp; "Venue: " &amp; 'Profit &amp; Loss'!E167 &amp; CHAR(10) &amp; "Court No.: " &amp; 'Profit &amp; Loss'!F167 &amp; CHAR(10) &amp; "Level: HB - LI" &amp; CHAR(10) &amp; "Please transfer $" &amp; 'Profit &amp; Loss'!O167 &amp; " per pax to Belle (83396501)" &amp; CHAR(10) &amp; CHAR(10) &amp; IF('Profit &amp; Loss'!I167=1, "1." &amp; CHAR(10) &amp; "2." &amp; CHAR(10) &amp; "3." &amp; CHAR(10) &amp; "4." &amp; CHAR(10) &amp; "5." &amp; CHAR(10) &amp; "6." &amp; CHAR(10), IF('Profit &amp; Loss'!I167=2,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5" spans="1:2" ht="12.5" x14ac:dyDescent="0.25">
      <c r="A165" s="2" t="str">
        <f ca="1">IF('Profit &amp; Loss'!A168&gt;=TODAY(),"Looking for friendly players to join the following game: " &amp; CHAR(10) &amp; CHAR(10) &amp; "Date: " &amp; TEXT('Profit &amp; Loss'!A168,"dd mmm yyy") &amp; ", " &amp; 'Profit &amp; Loss'!B168 &amp; CHAR(10) &amp; "Time: " &amp; TEXT('Profit &amp; Loss'!C168, "hh:mm AM/PM") &amp; " - " &amp; TEXT('Profit &amp; Loss'!D168, "hh:mm AM/PM") &amp; CHAR(10) &amp; "Venue: " &amp; 'Profit &amp; Loss'!E168 &amp; CHAR(10) &amp; "Level: HB - LI" &amp; CHAR(10) &amp; "Cost: $" &amp; 'Profit &amp; Loss'!O168 &amp; " per pax" &amp; CHAR(10) &amp; "Max " &amp; 'Profit &amp; Loss'!I168*6 &amp; " pax," &amp; " (" &amp; 'Profit &amp; Loss'!I168 &amp; " courts)" &amp; CHAR(10) &amp; CHAR(10) &amp; "RSL Ultimate shuttles provided" &amp; CHAR(10) &amp; CHAR(10) &amp; "PM if interested, thank you!"," ")</f>
        <v xml:space="preserve"> </v>
      </c>
      <c r="B165" s="2" t="str">
        <f ca="1">IF('Profit &amp; Loss'!A168&gt;=TODAY(), "Date: " &amp; TEXT('Profit &amp; Loss'!A168,"dd mmm yyy") &amp; ", " &amp; 'Profit &amp; Loss'!B168 &amp; CHAR(10) &amp; "Time: " &amp; TEXT('Profit &amp; Loss'!C168, "hh:mm AM/PM") &amp; " - " &amp; TEXT('Profit &amp; Loss'!D168, "hh:mm AM/PM") &amp; CHAR(10) &amp; "Venue: " &amp; 'Profit &amp; Loss'!E168 &amp; CHAR(10) &amp; "Court No.: " &amp; 'Profit &amp; Loss'!F168 &amp; CHAR(10) &amp; "Level: HB - LI" &amp; CHAR(10) &amp; "Please transfer $" &amp; 'Profit &amp; Loss'!O168 &amp; " per pax to Belle (83396501)" &amp; CHAR(10) &amp; CHAR(10) &amp; IF('Profit &amp; Loss'!I168=1, "1." &amp; CHAR(10) &amp; "2." &amp; CHAR(10) &amp; "3." &amp; CHAR(10) &amp; "4." &amp; CHAR(10) &amp; "5." &amp; CHAR(10) &amp; "6." &amp; CHAR(10), IF('Profit &amp; Loss'!I168=2,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6" spans="1:2" ht="12.5" x14ac:dyDescent="0.25">
      <c r="A166" s="2" t="str">
        <f ca="1">IF('Profit &amp; Loss'!A169&gt;=TODAY(),"Looking for friendly players to join the following game: " &amp; CHAR(10) &amp; CHAR(10) &amp; "Date: " &amp; TEXT('Profit &amp; Loss'!A169,"dd mmm yyy") &amp; ", " &amp; 'Profit &amp; Loss'!B169 &amp; CHAR(10) &amp; "Time: " &amp; TEXT('Profit &amp; Loss'!C169, "hh:mm AM/PM") &amp; " - " &amp; TEXT('Profit &amp; Loss'!D169, "hh:mm AM/PM") &amp; CHAR(10) &amp; "Venue: " &amp; 'Profit &amp; Loss'!E169 &amp; CHAR(10) &amp; "Level: HB - LI" &amp; CHAR(10) &amp; "Cost: $" &amp; 'Profit &amp; Loss'!O169 &amp; " per pax" &amp; CHAR(10) &amp; "Max " &amp; 'Profit &amp; Loss'!I169*6 &amp; " pax," &amp; " (" &amp; 'Profit &amp; Loss'!I169 &amp; " courts)" &amp; CHAR(10) &amp; CHAR(10) &amp; "RSL Ultimate shuttles provided" &amp; CHAR(10) &amp; CHAR(10) &amp; "PM if interested, thank you!"," ")</f>
        <v xml:space="preserve"> </v>
      </c>
      <c r="B166" s="2" t="str">
        <f ca="1">IF('Profit &amp; Loss'!A169&gt;=TODAY(), "Date: " &amp; TEXT('Profit &amp; Loss'!A169,"dd mmm yyy") &amp; ", " &amp; 'Profit &amp; Loss'!B169 &amp; CHAR(10) &amp; "Time: " &amp; TEXT('Profit &amp; Loss'!C169, "hh:mm AM/PM") &amp; " - " &amp; TEXT('Profit &amp; Loss'!D169, "hh:mm AM/PM") &amp; CHAR(10) &amp; "Venue: " &amp; 'Profit &amp; Loss'!E169 &amp; CHAR(10) &amp; "Court No.: " &amp; 'Profit &amp; Loss'!F169 &amp; CHAR(10) &amp; "Level: HB - LI" &amp; CHAR(10) &amp; "Please transfer $" &amp; 'Profit &amp; Loss'!O169 &amp; " per pax to Belle (83396501)" &amp; CHAR(10) &amp; CHAR(10) &amp; IF('Profit &amp; Loss'!I169=1, "1." &amp; CHAR(10) &amp; "2." &amp; CHAR(10) &amp; "3." &amp; CHAR(10) &amp; "4." &amp; CHAR(10) &amp; "5." &amp; CHAR(10) &amp; "6." &amp; CHAR(10), IF('Profit &amp; Loss'!I169=2,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7" spans="1:2" ht="12.5" x14ac:dyDescent="0.25">
      <c r="A167" s="2" t="str">
        <f ca="1">IF('Profit &amp; Loss'!A170&gt;=TODAY(),"Looking for friendly players to join the following game: " &amp; CHAR(10) &amp; CHAR(10) &amp; "Date: " &amp; TEXT('Profit &amp; Loss'!A170,"dd mmm yyy") &amp; ", " &amp; 'Profit &amp; Loss'!B170 &amp; CHAR(10) &amp; "Time: " &amp; TEXT('Profit &amp; Loss'!C170, "hh:mm AM/PM") &amp; " - " &amp; TEXT('Profit &amp; Loss'!D170, "hh:mm AM/PM") &amp; CHAR(10) &amp; "Venue: " &amp; 'Profit &amp; Loss'!E170 &amp; CHAR(10) &amp; "Level: HB - LI" &amp; CHAR(10) &amp; "Cost: $" &amp; 'Profit &amp; Loss'!O170 &amp; " per pax" &amp; CHAR(10) &amp; "Max " &amp; 'Profit &amp; Loss'!I170*6 &amp; " pax," &amp; " (" &amp; 'Profit &amp; Loss'!I170 &amp; " courts)" &amp; CHAR(10) &amp; CHAR(10) &amp; "RSL Ultimate shuttles provided" &amp; CHAR(10) &amp; CHAR(10) &amp; "PM if interested, thank you!"," ")</f>
        <v xml:space="preserve"> </v>
      </c>
      <c r="B167" s="2" t="str">
        <f ca="1">IF('Profit &amp; Loss'!A170&gt;=TODAY(), "Date: " &amp; TEXT('Profit &amp; Loss'!A170,"dd mmm yyy") &amp; ", " &amp; 'Profit &amp; Loss'!B170 &amp; CHAR(10) &amp; "Time: " &amp; TEXT('Profit &amp; Loss'!C170, "hh:mm AM/PM") &amp; " - " &amp; TEXT('Profit &amp; Loss'!D170, "hh:mm AM/PM") &amp; CHAR(10) &amp; "Venue: " &amp; 'Profit &amp; Loss'!E170 &amp; CHAR(10) &amp; "Court No.: " &amp; 'Profit &amp; Loss'!F170 &amp; CHAR(10) &amp; "Level: HB - LI" &amp; CHAR(10) &amp; "Please transfer $" &amp; 'Profit &amp; Loss'!O170 &amp; " per pax to Belle (83396501)" &amp; CHAR(10) &amp; CHAR(10) &amp; IF('Profit &amp; Loss'!I170=1, "1." &amp; CHAR(10) &amp; "2." &amp; CHAR(10) &amp; "3." &amp; CHAR(10) &amp; "4." &amp; CHAR(10) &amp; "5." &amp; CHAR(10) &amp; "6." &amp; CHAR(10), IF('Profit &amp; Loss'!I170=2,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8" spans="1:2" ht="12.5" x14ac:dyDescent="0.25">
      <c r="A168" s="2" t="str">
        <f ca="1">IF('Profit &amp; Loss'!A171&gt;=TODAY(),"Looking for friendly players to join the following game: " &amp; CHAR(10) &amp; CHAR(10) &amp; "Date: " &amp; TEXT('Profit &amp; Loss'!A171,"dd mmm yyy") &amp; ", " &amp; 'Profit &amp; Loss'!B171 &amp; CHAR(10) &amp; "Time: " &amp; TEXT('Profit &amp; Loss'!C171, "hh:mm AM/PM") &amp; " - " &amp; TEXT('Profit &amp; Loss'!D171, "hh:mm AM/PM") &amp; CHAR(10) &amp; "Venue: " &amp; 'Profit &amp; Loss'!E171 &amp; CHAR(10) &amp; "Level: HB - LI" &amp; CHAR(10) &amp; "Cost: $" &amp; 'Profit &amp; Loss'!O171 &amp; " per pax" &amp; CHAR(10) &amp; "Max " &amp; 'Profit &amp; Loss'!I171*6 &amp; " pax," &amp; " (" &amp; 'Profit &amp; Loss'!I171 &amp; " courts)" &amp; CHAR(10) &amp; CHAR(10) &amp; "RSL Ultimate shuttles provided" &amp; CHAR(10) &amp; CHAR(10) &amp; "PM if interested, thank you!"," ")</f>
        <v xml:space="preserve"> </v>
      </c>
      <c r="B168" s="2" t="str">
        <f ca="1">IF('Profit &amp; Loss'!A171&gt;=TODAY(), "Date: " &amp; TEXT('Profit &amp; Loss'!A171,"dd mmm yyy") &amp; ", " &amp; 'Profit &amp; Loss'!B171 &amp; CHAR(10) &amp; "Time: " &amp; TEXT('Profit &amp; Loss'!C171, "hh:mm AM/PM") &amp; " - " &amp; TEXT('Profit &amp; Loss'!D171, "hh:mm AM/PM") &amp; CHAR(10) &amp; "Venue: " &amp; 'Profit &amp; Loss'!E171 &amp; CHAR(10) &amp; "Court No.: " &amp; 'Profit &amp; Loss'!F171 &amp; CHAR(10) &amp; "Level: HB - LI" &amp; CHAR(10) &amp; "Please transfer $" &amp; 'Profit &amp; Loss'!O171 &amp; " per pax to Belle (83396501)" &amp; CHAR(10) &amp; CHAR(10) &amp; IF('Profit &amp; Loss'!I171=1, "1." &amp; CHAR(10) &amp; "2." &amp; CHAR(10) &amp; "3." &amp; CHAR(10) &amp; "4." &amp; CHAR(10) &amp; "5." &amp; CHAR(10) &amp; "6." &amp; CHAR(10), IF('Profit &amp; Loss'!I171=2,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69" spans="1:2" ht="12.5" x14ac:dyDescent="0.25">
      <c r="A169" s="2" t="str">
        <f ca="1">IF('Profit &amp; Loss'!A172&gt;=TODAY(),"Looking for friendly players to join the following game: " &amp; CHAR(10) &amp; CHAR(10) &amp; "Date: " &amp; TEXT('Profit &amp; Loss'!A172,"dd mmm yyy") &amp; ", " &amp; 'Profit &amp; Loss'!B172 &amp; CHAR(10) &amp; "Time: " &amp; TEXT('Profit &amp; Loss'!C172, "hh:mm AM/PM") &amp; " - " &amp; TEXT('Profit &amp; Loss'!D172, "hh:mm AM/PM") &amp; CHAR(10) &amp; "Venue: " &amp; 'Profit &amp; Loss'!E172 &amp; CHAR(10) &amp; "Level: HB - LI" &amp; CHAR(10) &amp; "Cost: $" &amp; 'Profit &amp; Loss'!O172 &amp; " per pax" &amp; CHAR(10) &amp; "Max " &amp; 'Profit &amp; Loss'!I172*6 &amp; " pax," &amp; " (" &amp; 'Profit &amp; Loss'!I172 &amp; " courts)" &amp; CHAR(10) &amp; CHAR(10) &amp; "RSL Ultimate shuttles provided" &amp; CHAR(10) &amp; CHAR(10) &amp; "PM if interested, thank you!"," ")</f>
        <v xml:space="preserve"> </v>
      </c>
      <c r="B169" s="2" t="str">
        <f ca="1">IF('Profit &amp; Loss'!A172&gt;=TODAY(), "Date: " &amp; TEXT('Profit &amp; Loss'!A172,"dd mmm yyy") &amp; ", " &amp; 'Profit &amp; Loss'!B172 &amp; CHAR(10) &amp; "Time: " &amp; TEXT('Profit &amp; Loss'!C172, "hh:mm AM/PM") &amp; " - " &amp; TEXT('Profit &amp; Loss'!D172, "hh:mm AM/PM") &amp; CHAR(10) &amp; "Venue: " &amp; 'Profit &amp; Loss'!E172 &amp; CHAR(10) &amp; "Court No.: " &amp; 'Profit &amp; Loss'!F172 &amp; CHAR(10) &amp; "Level: HB - LI" &amp; CHAR(10) &amp; "Please transfer $" &amp; 'Profit &amp; Loss'!O172 &amp; " per pax to Belle (83396501)" &amp; CHAR(10) &amp; CHAR(10) &amp; IF('Profit &amp; Loss'!I172=1, "1." &amp; CHAR(10) &amp; "2." &amp; CHAR(10) &amp; "3." &amp; CHAR(10) &amp; "4." &amp; CHAR(10) &amp; "5." &amp; CHAR(10) &amp; "6." &amp; CHAR(10), IF('Profit &amp; Loss'!I172=2,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0" spans="1:2" ht="12.5" x14ac:dyDescent="0.25">
      <c r="A170" s="2" t="str">
        <f ca="1">IF('Profit &amp; Loss'!A173&gt;=TODAY(),"Looking for friendly players to join the following game: " &amp; CHAR(10) &amp; CHAR(10) &amp; "Date: " &amp; TEXT('Profit &amp; Loss'!A173,"dd mmm yyy") &amp; ", " &amp; 'Profit &amp; Loss'!B173 &amp; CHAR(10) &amp; "Time: " &amp; TEXT('Profit &amp; Loss'!C173, "hh:mm AM/PM") &amp; " - " &amp; TEXT('Profit &amp; Loss'!D173, "hh:mm AM/PM") &amp; CHAR(10) &amp; "Venue: " &amp; 'Profit &amp; Loss'!E173 &amp; CHAR(10) &amp; "Level: HB - LI" &amp; CHAR(10) &amp; "Cost: $" &amp; 'Profit &amp; Loss'!O173 &amp; " per pax" &amp; CHAR(10) &amp; "Max " &amp; 'Profit &amp; Loss'!I173*6 &amp; " pax," &amp; " (" &amp; 'Profit &amp; Loss'!I173 &amp; " courts)" &amp; CHAR(10) &amp; CHAR(10) &amp; "RSL Ultimate shuttles provided" &amp; CHAR(10) &amp; CHAR(10) &amp; "PM if interested, thank you!"," ")</f>
        <v xml:space="preserve"> </v>
      </c>
      <c r="B170" s="2" t="str">
        <f ca="1">IF('Profit &amp; Loss'!A173&gt;=TODAY(), "Date: " &amp; TEXT('Profit &amp; Loss'!A173,"dd mmm yyy") &amp; ", " &amp; 'Profit &amp; Loss'!B173 &amp; CHAR(10) &amp; "Time: " &amp; TEXT('Profit &amp; Loss'!C173, "hh:mm AM/PM") &amp; " - " &amp; TEXT('Profit &amp; Loss'!D173, "hh:mm AM/PM") &amp; CHAR(10) &amp; "Venue: " &amp; 'Profit &amp; Loss'!E173 &amp; CHAR(10) &amp; "Court No.: " &amp; 'Profit &amp; Loss'!F173 &amp; CHAR(10) &amp; "Level: HB - LI" &amp; CHAR(10) &amp; "Please transfer $" &amp; 'Profit &amp; Loss'!O173 &amp; " per pax to Belle (83396501)" &amp; CHAR(10) &amp; CHAR(10) &amp; IF('Profit &amp; Loss'!I173=1, "1." &amp; CHAR(10) &amp; "2." &amp; CHAR(10) &amp; "3." &amp; CHAR(10) &amp; "4." &amp; CHAR(10) &amp; "5." &amp; CHAR(10) &amp; "6." &amp; CHAR(10), IF('Profit &amp; Loss'!I173=2,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1" spans="1:2" ht="12.5" x14ac:dyDescent="0.25">
      <c r="A171" s="2" t="str">
        <f ca="1">IF('Profit &amp; Loss'!A174&gt;=TODAY(),"Looking for friendly players to join the following game: " &amp; CHAR(10) &amp; CHAR(10) &amp; "Date: " &amp; TEXT('Profit &amp; Loss'!A174,"dd mmm yyy") &amp; ", " &amp; 'Profit &amp; Loss'!B174 &amp; CHAR(10) &amp; "Time: " &amp; TEXT('Profit &amp; Loss'!C174, "hh:mm AM/PM") &amp; " - " &amp; TEXT('Profit &amp; Loss'!D174, "hh:mm AM/PM") &amp; CHAR(10) &amp; "Venue: " &amp; 'Profit &amp; Loss'!E174 &amp; CHAR(10) &amp; "Level: HB - LI" &amp; CHAR(10) &amp; "Cost: $" &amp; 'Profit &amp; Loss'!O174 &amp; " per pax" &amp; CHAR(10) &amp; "Max " &amp; 'Profit &amp; Loss'!I174*6 &amp; " pax," &amp; " (" &amp; 'Profit &amp; Loss'!I174 &amp; " courts)" &amp; CHAR(10) &amp; CHAR(10) &amp; "RSL Ultimate shuttles provided" &amp; CHAR(10) &amp; CHAR(10) &amp; "PM if interested, thank you!"," ")</f>
        <v xml:space="preserve"> </v>
      </c>
      <c r="B171" s="2" t="str">
        <f ca="1">IF('Profit &amp; Loss'!A174&gt;=TODAY(), "Date: " &amp; TEXT('Profit &amp; Loss'!A174,"dd mmm yyy") &amp; ", " &amp; 'Profit &amp; Loss'!B174 &amp; CHAR(10) &amp; "Time: " &amp; TEXT('Profit &amp; Loss'!C174, "hh:mm AM/PM") &amp; " - " &amp; TEXT('Profit &amp; Loss'!D174, "hh:mm AM/PM") &amp; CHAR(10) &amp; "Venue: " &amp; 'Profit &amp; Loss'!E174 &amp; CHAR(10) &amp; "Court No.: " &amp; 'Profit &amp; Loss'!F174 &amp; CHAR(10) &amp; "Level: HB - LI" &amp; CHAR(10) &amp; "Please transfer $" &amp; 'Profit &amp; Loss'!O174 &amp; " per pax to Belle (83396501)" &amp; CHAR(10) &amp; CHAR(10) &amp; IF('Profit &amp; Loss'!I174=1, "1." &amp; CHAR(10) &amp; "2." &amp; CHAR(10) &amp; "3." &amp; CHAR(10) &amp; "4." &amp; CHAR(10) &amp; "5." &amp; CHAR(10) &amp; "6." &amp; CHAR(10), IF('Profit &amp; Loss'!I174=2,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2" spans="1:2" ht="12.5" x14ac:dyDescent="0.25">
      <c r="A172" s="2" t="str">
        <f ca="1">IF('Profit &amp; Loss'!A175&gt;=TODAY(),"Looking for friendly players to join the following game: " &amp; CHAR(10) &amp; CHAR(10) &amp; "Date: " &amp; TEXT('Profit &amp; Loss'!A175,"dd mmm yyy") &amp; ", " &amp; 'Profit &amp; Loss'!B175 &amp; CHAR(10) &amp; "Time: " &amp; TEXT('Profit &amp; Loss'!C175, "hh:mm AM/PM") &amp; " - " &amp; TEXT('Profit &amp; Loss'!D175, "hh:mm AM/PM") &amp; CHAR(10) &amp; "Venue: " &amp; 'Profit &amp; Loss'!E175 &amp; CHAR(10) &amp; "Level: HB - LI" &amp; CHAR(10) &amp; "Cost: $" &amp; 'Profit &amp; Loss'!O175 &amp; " per pax" &amp; CHAR(10) &amp; "Max " &amp; 'Profit &amp; Loss'!I175*6 &amp; " pax," &amp; " (" &amp; 'Profit &amp; Loss'!I175 &amp; " courts)" &amp; CHAR(10) &amp; CHAR(10) &amp; "RSL Ultimate shuttles provided" &amp; CHAR(10) &amp; CHAR(10) &amp; "PM if interested, thank you!"," ")</f>
        <v xml:space="preserve"> </v>
      </c>
      <c r="B172" s="2" t="str">
        <f ca="1">IF('Profit &amp; Loss'!A175&gt;=TODAY(), "Date: " &amp; TEXT('Profit &amp; Loss'!A175,"dd mmm yyy") &amp; ", " &amp; 'Profit &amp; Loss'!B175 &amp; CHAR(10) &amp; "Time: " &amp; TEXT('Profit &amp; Loss'!C175, "hh:mm AM/PM") &amp; " - " &amp; TEXT('Profit &amp; Loss'!D175, "hh:mm AM/PM") &amp; CHAR(10) &amp; "Venue: " &amp; 'Profit &amp; Loss'!E175 &amp; CHAR(10) &amp; "Court No.: " &amp; 'Profit &amp; Loss'!F175 &amp; CHAR(10) &amp; "Level: HB - LI" &amp; CHAR(10) &amp; "Please transfer $" &amp; 'Profit &amp; Loss'!O175 &amp; " per pax to Belle (83396501)" &amp; CHAR(10) &amp; CHAR(10) &amp; IF('Profit &amp; Loss'!I175=1, "1." &amp; CHAR(10) &amp; "2." &amp; CHAR(10) &amp; "3." &amp; CHAR(10) &amp; "4." &amp; CHAR(10) &amp; "5." &amp; CHAR(10) &amp; "6." &amp; CHAR(10), IF('Profit &amp; Loss'!I175=2,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3" spans="1:2" ht="12.5" x14ac:dyDescent="0.25">
      <c r="A173" s="2" t="str">
        <f ca="1">IF('Profit &amp; Loss'!A176&gt;=TODAY(),"Looking for friendly players to join the following game: " &amp; CHAR(10) &amp; CHAR(10) &amp; "Date: " &amp; TEXT('Profit &amp; Loss'!A176,"dd mmm yyy") &amp; ", " &amp; 'Profit &amp; Loss'!B176 &amp; CHAR(10) &amp; "Time: " &amp; TEXT('Profit &amp; Loss'!C176, "hh:mm AM/PM") &amp; " - " &amp; TEXT('Profit &amp; Loss'!D176, "hh:mm AM/PM") &amp; CHAR(10) &amp; "Venue: " &amp; 'Profit &amp; Loss'!E176 &amp; CHAR(10) &amp; "Level: HB - LI" &amp; CHAR(10) &amp; "Cost: $" &amp; 'Profit &amp; Loss'!O176 &amp; " per pax" &amp; CHAR(10) &amp; "Max " &amp; 'Profit &amp; Loss'!I176*6 &amp; " pax," &amp; " (" &amp; 'Profit &amp; Loss'!I176 &amp; " courts)" &amp; CHAR(10) &amp; CHAR(10) &amp; "RSL Ultimate shuttles provided" &amp; CHAR(10) &amp; CHAR(10) &amp; "PM if interested, thank you!"," ")</f>
        <v xml:space="preserve"> </v>
      </c>
      <c r="B173" s="2" t="str">
        <f ca="1">IF('Profit &amp; Loss'!A176&gt;=TODAY(), "Date: " &amp; TEXT('Profit &amp; Loss'!A176,"dd mmm yyy") &amp; ", " &amp; 'Profit &amp; Loss'!B176 &amp; CHAR(10) &amp; "Time: " &amp; TEXT('Profit &amp; Loss'!C176, "hh:mm AM/PM") &amp; " - " &amp; TEXT('Profit &amp; Loss'!D176, "hh:mm AM/PM") &amp; CHAR(10) &amp; "Venue: " &amp; 'Profit &amp; Loss'!E176 &amp; CHAR(10) &amp; "Court No.: " &amp; 'Profit &amp; Loss'!F176 &amp; CHAR(10) &amp; "Level: HB - LI" &amp; CHAR(10) &amp; "Please transfer $" &amp; 'Profit &amp; Loss'!O176 &amp; " per pax to Belle (83396501)" &amp; CHAR(10) &amp; CHAR(10) &amp; IF('Profit &amp; Loss'!I176=1, "1." &amp; CHAR(10) &amp; "2." &amp; CHAR(10) &amp; "3." &amp; CHAR(10) &amp; "4." &amp; CHAR(10) &amp; "5." &amp; CHAR(10) &amp; "6." &amp; CHAR(10), IF('Profit &amp; Loss'!I176=2,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4" spans="1:2" ht="12.5" x14ac:dyDescent="0.25">
      <c r="A174" s="2" t="str">
        <f ca="1">IF('Profit &amp; Loss'!A177&gt;=TODAY(),"Looking for friendly players to join the following game: " &amp; CHAR(10) &amp; CHAR(10) &amp; "Date: " &amp; TEXT('Profit &amp; Loss'!A177,"dd mmm yyy") &amp; ", " &amp; 'Profit &amp; Loss'!B177 &amp; CHAR(10) &amp; "Time: " &amp; TEXT('Profit &amp; Loss'!C177, "hh:mm AM/PM") &amp; " - " &amp; TEXT('Profit &amp; Loss'!D177, "hh:mm AM/PM") &amp; CHAR(10) &amp; "Venue: " &amp; 'Profit &amp; Loss'!E177 &amp; CHAR(10) &amp; "Level: HB - LI" &amp; CHAR(10) &amp; "Cost: $" &amp; 'Profit &amp; Loss'!O177 &amp; " per pax" &amp; CHAR(10) &amp; "Max " &amp; 'Profit &amp; Loss'!I177*6 &amp; " pax," &amp; " (" &amp; 'Profit &amp; Loss'!I177 &amp; " courts)" &amp; CHAR(10) &amp; CHAR(10) &amp; "RSL Ultimate shuttles provided" &amp; CHAR(10) &amp; CHAR(10) &amp; "PM if interested, thank you!"," ")</f>
        <v xml:space="preserve"> </v>
      </c>
      <c r="B174" s="2" t="str">
        <f ca="1">IF('Profit &amp; Loss'!A177&gt;=TODAY(), "Date: " &amp; TEXT('Profit &amp; Loss'!A177,"dd mmm yyy") &amp; ", " &amp; 'Profit &amp; Loss'!B177 &amp; CHAR(10) &amp; "Time: " &amp; TEXT('Profit &amp; Loss'!C177, "hh:mm AM/PM") &amp; " - " &amp; TEXT('Profit &amp; Loss'!D177, "hh:mm AM/PM") &amp; CHAR(10) &amp; "Venue: " &amp; 'Profit &amp; Loss'!E177 &amp; CHAR(10) &amp; "Court No.: " &amp; 'Profit &amp; Loss'!F177 &amp; CHAR(10) &amp; "Level: HB - LI" &amp; CHAR(10) &amp; "Please transfer $" &amp; 'Profit &amp; Loss'!O177 &amp; " per pax to Belle (83396501)" &amp; CHAR(10) &amp; CHAR(10) &amp; IF('Profit &amp; Loss'!I177=1, "1." &amp; CHAR(10) &amp; "2." &amp; CHAR(10) &amp; "3." &amp; CHAR(10) &amp; "4." &amp; CHAR(10) &amp; "5." &amp; CHAR(10) &amp; "6." &amp; CHAR(10), IF('Profit &amp; Loss'!I177=2,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5" spans="1:2" ht="12.5" x14ac:dyDescent="0.25">
      <c r="A175" s="2" t="str">
        <f ca="1">IF('Profit &amp; Loss'!A178&gt;=TODAY(),"Looking for friendly players to join the following game: " &amp; CHAR(10) &amp; CHAR(10) &amp; "Date: " &amp; TEXT('Profit &amp; Loss'!A178,"dd mmm yyy") &amp; ", " &amp; 'Profit &amp; Loss'!B178 &amp; CHAR(10) &amp; "Time: " &amp; TEXT('Profit &amp; Loss'!C178, "hh:mm AM/PM") &amp; " - " &amp; TEXT('Profit &amp; Loss'!D178, "hh:mm AM/PM") &amp; CHAR(10) &amp; "Venue: " &amp; 'Profit &amp; Loss'!E178 &amp; CHAR(10) &amp; "Level: HB - LI" &amp; CHAR(10) &amp; "Cost: $" &amp; 'Profit &amp; Loss'!O178 &amp; " per pax" &amp; CHAR(10) &amp; "Max " &amp; 'Profit &amp; Loss'!I178*6 &amp; " pax," &amp; " (" &amp; 'Profit &amp; Loss'!I178 &amp; " courts)" &amp; CHAR(10) &amp; CHAR(10) &amp; "RSL Ultimate shuttles provided" &amp; CHAR(10) &amp; CHAR(10) &amp; "PM if interested, thank you!"," ")</f>
        <v xml:space="preserve"> </v>
      </c>
      <c r="B175" s="2" t="str">
        <f ca="1">IF('Profit &amp; Loss'!A178&gt;=TODAY(), "Date: " &amp; TEXT('Profit &amp; Loss'!A178,"dd mmm yyy") &amp; ", " &amp; 'Profit &amp; Loss'!B178 &amp; CHAR(10) &amp; "Time: " &amp; TEXT('Profit &amp; Loss'!C178, "hh:mm AM/PM") &amp; " - " &amp; TEXT('Profit &amp; Loss'!D178, "hh:mm AM/PM") &amp; CHAR(10) &amp; "Venue: " &amp; 'Profit &amp; Loss'!E178 &amp; CHAR(10) &amp; "Court No.: " &amp; 'Profit &amp; Loss'!F178 &amp; CHAR(10) &amp; "Level: HB - LI" &amp; CHAR(10) &amp; "Please transfer $" &amp; 'Profit &amp; Loss'!O178 &amp; " per pax to Belle (83396501)" &amp; CHAR(10) &amp; CHAR(10) &amp; IF('Profit &amp; Loss'!I178=1, "1." &amp; CHAR(10) &amp; "2." &amp; CHAR(10) &amp; "3." &amp; CHAR(10) &amp; "4." &amp; CHAR(10) &amp; "5." &amp; CHAR(10) &amp; "6." &amp; CHAR(10), IF('Profit &amp; Loss'!I178=2,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6" spans="1:2" ht="12.5" x14ac:dyDescent="0.25">
      <c r="A176" s="2" t="str">
        <f ca="1">IF('Profit &amp; Loss'!A179&gt;=TODAY(),"Looking for friendly players to join the following game: " &amp; CHAR(10) &amp; CHAR(10) &amp; "Date: " &amp; TEXT('Profit &amp; Loss'!A179,"dd mmm yyy") &amp; ", " &amp; 'Profit &amp; Loss'!B179 &amp; CHAR(10) &amp; "Time: " &amp; TEXT('Profit &amp; Loss'!C179, "hh:mm AM/PM") &amp; " - " &amp; TEXT('Profit &amp; Loss'!D179, "hh:mm AM/PM") &amp; CHAR(10) &amp; "Venue: " &amp; 'Profit &amp; Loss'!E179 &amp; CHAR(10) &amp; "Level: HB - LI" &amp; CHAR(10) &amp; "Cost: $" &amp; 'Profit &amp; Loss'!O179 &amp; " per pax" &amp; CHAR(10) &amp; "Max " &amp; 'Profit &amp; Loss'!I179*6 &amp; " pax," &amp; " (" &amp; 'Profit &amp; Loss'!I179 &amp; " courts)" &amp; CHAR(10) &amp; CHAR(10) &amp; "RSL Ultimate shuttles provided" &amp; CHAR(10) &amp; CHAR(10) &amp; "PM if interested, thank you!"," ")</f>
        <v xml:space="preserve"> </v>
      </c>
      <c r="B176" s="2" t="str">
        <f ca="1">IF('Profit &amp; Loss'!A179&gt;=TODAY(), "Date: " &amp; TEXT('Profit &amp; Loss'!A179,"dd mmm yyy") &amp; ", " &amp; 'Profit &amp; Loss'!B179 &amp; CHAR(10) &amp; "Time: " &amp; TEXT('Profit &amp; Loss'!C179, "hh:mm AM/PM") &amp; " - " &amp; TEXT('Profit &amp; Loss'!D179, "hh:mm AM/PM") &amp; CHAR(10) &amp; "Venue: " &amp; 'Profit &amp; Loss'!E179 &amp; CHAR(10) &amp; "Court No.: " &amp; 'Profit &amp; Loss'!F179 &amp; CHAR(10) &amp; "Level: HB - LI" &amp; CHAR(10) &amp; "Please transfer $" &amp; 'Profit &amp; Loss'!O179 &amp; " per pax to Belle (83396501)" &amp; CHAR(10) &amp; CHAR(10) &amp; IF('Profit &amp; Loss'!I179=1, "1." &amp; CHAR(10) &amp; "2." &amp; CHAR(10) &amp; "3." &amp; CHAR(10) &amp; "4." &amp; CHAR(10) &amp; "5." &amp; CHAR(10) &amp; "6." &amp; CHAR(10), IF('Profit &amp; Loss'!I179=2,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7" spans="1:2" ht="12.5" x14ac:dyDescent="0.25">
      <c r="A177" s="2" t="str">
        <f ca="1">IF('Profit &amp; Loss'!A180&gt;=TODAY(),"Looking for friendly players to join the following game: " &amp; CHAR(10) &amp; CHAR(10) &amp; "Date: " &amp; TEXT('Profit &amp; Loss'!A180,"dd mmm yyy") &amp; ", " &amp; 'Profit &amp; Loss'!B180 &amp; CHAR(10) &amp; "Time: " &amp; TEXT('Profit &amp; Loss'!C180, "hh:mm AM/PM") &amp; " - " &amp; TEXT('Profit &amp; Loss'!D180, "hh:mm AM/PM") &amp; CHAR(10) &amp; "Venue: " &amp; 'Profit &amp; Loss'!E180 &amp; CHAR(10) &amp; "Level: HB - LI" &amp; CHAR(10) &amp; "Cost: $" &amp; 'Profit &amp; Loss'!O180 &amp; " per pax" &amp; CHAR(10) &amp; "Max " &amp; 'Profit &amp; Loss'!I180*6 &amp; " pax," &amp; " (" &amp; 'Profit &amp; Loss'!I180 &amp; " courts)" &amp; CHAR(10) &amp; CHAR(10) &amp; "RSL Ultimate shuttles provided" &amp; CHAR(10) &amp; CHAR(10) &amp; "PM if interested, thank you!"," ")</f>
        <v xml:space="preserve"> </v>
      </c>
      <c r="B177" s="2" t="str">
        <f ca="1">IF('Profit &amp; Loss'!A180&gt;=TODAY(), "Date: " &amp; TEXT('Profit &amp; Loss'!A180,"dd mmm yyy") &amp; ", " &amp; 'Profit &amp; Loss'!B180 &amp; CHAR(10) &amp; "Time: " &amp; TEXT('Profit &amp; Loss'!C180, "hh:mm AM/PM") &amp; " - " &amp; TEXT('Profit &amp; Loss'!D180, "hh:mm AM/PM") &amp; CHAR(10) &amp; "Venue: " &amp; 'Profit &amp; Loss'!E180 &amp; CHAR(10) &amp; "Court No.: " &amp; 'Profit &amp; Loss'!F180 &amp; CHAR(10) &amp; "Level: HB - LI" &amp; CHAR(10) &amp; "Please transfer $" &amp; 'Profit &amp; Loss'!O180 &amp; " per pax to Belle (83396501)" &amp; CHAR(10) &amp; CHAR(10) &amp; IF('Profit &amp; Loss'!I180=1, "1." &amp; CHAR(10) &amp; "2." &amp; CHAR(10) &amp; "3." &amp; CHAR(10) &amp; "4." &amp; CHAR(10) &amp; "5." &amp; CHAR(10) &amp; "6." &amp; CHAR(10), IF('Profit &amp; Loss'!I180=2,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8" spans="1:2" ht="12.5" x14ac:dyDescent="0.25">
      <c r="A178" s="2" t="str">
        <f ca="1">IF('Profit &amp; Loss'!A181&gt;=TODAY(),"Looking for friendly players to join the following game: " &amp; CHAR(10) &amp; CHAR(10) &amp; "Date: " &amp; TEXT('Profit &amp; Loss'!A181,"dd mmm yyy") &amp; ", " &amp; 'Profit &amp; Loss'!B181 &amp; CHAR(10) &amp; "Time: " &amp; TEXT('Profit &amp; Loss'!C181, "hh:mm AM/PM") &amp; " - " &amp; TEXT('Profit &amp; Loss'!D181, "hh:mm AM/PM") &amp; CHAR(10) &amp; "Venue: " &amp; 'Profit &amp; Loss'!E181 &amp; CHAR(10) &amp; "Level: HB - LI" &amp; CHAR(10) &amp; "Cost: $" &amp; 'Profit &amp; Loss'!O181 &amp; " per pax" &amp; CHAR(10) &amp; "Max " &amp; 'Profit &amp; Loss'!I181*6 &amp; " pax," &amp; " (" &amp; 'Profit &amp; Loss'!I181 &amp; " courts)" &amp; CHAR(10) &amp; CHAR(10) &amp; "RSL Ultimate shuttles provided" &amp; CHAR(10) &amp; CHAR(10) &amp; "PM if interested, thank you!"," ")</f>
        <v xml:space="preserve"> </v>
      </c>
      <c r="B178" s="2" t="str">
        <f ca="1">IF('Profit &amp; Loss'!A181&gt;=TODAY(), "Date: " &amp; TEXT('Profit &amp; Loss'!A181,"dd mmm yyy") &amp; ", " &amp; 'Profit &amp; Loss'!B181 &amp; CHAR(10) &amp; "Time: " &amp; TEXT('Profit &amp; Loss'!C181, "hh:mm AM/PM") &amp; " - " &amp; TEXT('Profit &amp; Loss'!D181, "hh:mm AM/PM") &amp; CHAR(10) &amp; "Venue: " &amp; 'Profit &amp; Loss'!E181 &amp; CHAR(10) &amp; "Court No.: " &amp; 'Profit &amp; Loss'!F181 &amp; CHAR(10) &amp; "Level: HB - LI" &amp; CHAR(10) &amp; "Please transfer $" &amp; 'Profit &amp; Loss'!O181 &amp; " per pax to Belle (83396501)" &amp; CHAR(10) &amp; CHAR(10) &amp; IF('Profit &amp; Loss'!I181=1, "1." &amp; CHAR(10) &amp; "2." &amp; CHAR(10) &amp; "3." &amp; CHAR(10) &amp; "4." &amp; CHAR(10) &amp; "5." &amp; CHAR(10) &amp; "6." &amp; CHAR(10), IF('Profit &amp; Loss'!I181=2,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79" spans="1:2" ht="12.5" x14ac:dyDescent="0.25">
      <c r="A179" s="2" t="str">
        <f ca="1">IF('Profit &amp; Loss'!A182&gt;=TODAY(),"Looking for friendly players to join the following game: " &amp; CHAR(10) &amp; CHAR(10) &amp; "Date: " &amp; TEXT('Profit &amp; Loss'!A182,"dd mmm yyy") &amp; ", " &amp; 'Profit &amp; Loss'!B182 &amp; CHAR(10) &amp; "Time: " &amp; TEXT('Profit &amp; Loss'!C182, "hh:mm AM/PM") &amp; " - " &amp; TEXT('Profit &amp; Loss'!D182, "hh:mm AM/PM") &amp; CHAR(10) &amp; "Venue: " &amp; 'Profit &amp; Loss'!E182 &amp; CHAR(10) &amp; "Level: HB - LI" &amp; CHAR(10) &amp; "Cost: $" &amp; 'Profit &amp; Loss'!O182 &amp; " per pax" &amp; CHAR(10) &amp; "Max " &amp; 'Profit &amp; Loss'!I182*6 &amp; " pax," &amp; " (" &amp; 'Profit &amp; Loss'!I182 &amp; " courts)" &amp; CHAR(10) &amp; CHAR(10) &amp; "RSL Ultimate shuttles provided" &amp; CHAR(10) &amp; CHAR(10) &amp; "PM if interested, thank you!"," ")</f>
        <v xml:space="preserve"> </v>
      </c>
      <c r="B179" s="2" t="str">
        <f ca="1">IF('Profit &amp; Loss'!A182&gt;=TODAY(), "Date: " &amp; TEXT('Profit &amp; Loss'!A182,"dd mmm yyy") &amp; ", " &amp; 'Profit &amp; Loss'!B182 &amp; CHAR(10) &amp; "Time: " &amp; TEXT('Profit &amp; Loss'!C182, "hh:mm AM/PM") &amp; " - " &amp; TEXT('Profit &amp; Loss'!D182, "hh:mm AM/PM") &amp; CHAR(10) &amp; "Venue: " &amp; 'Profit &amp; Loss'!E182 &amp; CHAR(10) &amp; "Court No.: " &amp; 'Profit &amp; Loss'!F182 &amp; CHAR(10) &amp; "Level: HB - LI" &amp; CHAR(10) &amp; "Please transfer $" &amp; 'Profit &amp; Loss'!O182 &amp; " per pax to Belle (83396501)" &amp; CHAR(10) &amp; CHAR(10) &amp; IF('Profit &amp; Loss'!I182=1, "1." &amp; CHAR(10) &amp; "2." &amp; CHAR(10) &amp; "3." &amp; CHAR(10) &amp; "4." &amp; CHAR(10) &amp; "5." &amp; CHAR(10) &amp; "6." &amp; CHAR(10), IF('Profit &amp; Loss'!I182=2,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0" spans="1:2" ht="12.5" x14ac:dyDescent="0.25">
      <c r="A180" s="2" t="str">
        <f ca="1">IF('Profit &amp; Loss'!A183&gt;=TODAY(),"Looking for friendly players to join the following game: " &amp; CHAR(10) &amp; CHAR(10) &amp; "Date: " &amp; TEXT('Profit &amp; Loss'!A183,"dd mmm yyy") &amp; ", " &amp; 'Profit &amp; Loss'!B183 &amp; CHAR(10) &amp; "Time: " &amp; TEXT('Profit &amp; Loss'!C183, "hh:mm AM/PM") &amp; " - " &amp; TEXT('Profit &amp; Loss'!D183, "hh:mm AM/PM") &amp; CHAR(10) &amp; "Venue: " &amp; 'Profit &amp; Loss'!E183 &amp; CHAR(10) &amp; "Level: HB - LI" &amp; CHAR(10) &amp; "Cost: $" &amp; 'Profit &amp; Loss'!O183 &amp; " per pax" &amp; CHAR(10) &amp; "Max " &amp; 'Profit &amp; Loss'!I183*6 &amp; " pax," &amp; " (" &amp; 'Profit &amp; Loss'!I183 &amp; " courts)" &amp; CHAR(10) &amp; CHAR(10) &amp; "RSL Ultimate shuttles provided" &amp; CHAR(10) &amp; CHAR(10) &amp; "PM if interested, thank you!"," ")</f>
        <v xml:space="preserve"> </v>
      </c>
      <c r="B180" s="2" t="str">
        <f ca="1">IF('Profit &amp; Loss'!A183&gt;=TODAY(), "Date: " &amp; TEXT('Profit &amp; Loss'!A183,"dd mmm yyy") &amp; ", " &amp; 'Profit &amp; Loss'!B183 &amp; CHAR(10) &amp; "Time: " &amp; TEXT('Profit &amp; Loss'!C183, "hh:mm AM/PM") &amp; " - " &amp; TEXT('Profit &amp; Loss'!D183, "hh:mm AM/PM") &amp; CHAR(10) &amp; "Venue: " &amp; 'Profit &amp; Loss'!E183 &amp; CHAR(10) &amp; "Court No.: " &amp; 'Profit &amp; Loss'!F183 &amp; CHAR(10) &amp; "Level: HB - LI" &amp; CHAR(10) &amp; "Please transfer $" &amp; 'Profit &amp; Loss'!O183 &amp; " per pax to Belle (83396501)" &amp; CHAR(10) &amp; CHAR(10) &amp; IF('Profit &amp; Loss'!I183=1, "1." &amp; CHAR(10) &amp; "2." &amp; CHAR(10) &amp; "3." &amp; CHAR(10) &amp; "4." &amp; CHAR(10) &amp; "5." &amp; CHAR(10) &amp; "6." &amp; CHAR(10), IF('Profit &amp; Loss'!I183=2,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1" spans="1:2" ht="12.5" x14ac:dyDescent="0.25">
      <c r="A181" s="2" t="str">
        <f ca="1">IF('Profit &amp; Loss'!A184&gt;=TODAY(),"Looking for friendly players to join the following game: " &amp; CHAR(10) &amp; CHAR(10) &amp; "Date: " &amp; TEXT('Profit &amp; Loss'!A184,"dd mmm yyy") &amp; ", " &amp; 'Profit &amp; Loss'!B184 &amp; CHAR(10) &amp; "Time: " &amp; TEXT('Profit &amp; Loss'!C184, "hh:mm AM/PM") &amp; " - " &amp; TEXT('Profit &amp; Loss'!D184, "hh:mm AM/PM") &amp; CHAR(10) &amp; "Venue: " &amp; 'Profit &amp; Loss'!E184 &amp; CHAR(10) &amp; "Level: HB - LI" &amp; CHAR(10) &amp; "Cost: $" &amp; 'Profit &amp; Loss'!O184 &amp; " per pax" &amp; CHAR(10) &amp; "Max " &amp; 'Profit &amp; Loss'!I184*6 &amp; " pax," &amp; " (" &amp; 'Profit &amp; Loss'!I184 &amp; " courts)" &amp; CHAR(10) &amp; CHAR(10) &amp; "RSL Ultimate shuttles provided" &amp; CHAR(10) &amp; CHAR(10) &amp; "PM if interested, thank you!"," ")</f>
        <v xml:space="preserve"> </v>
      </c>
      <c r="B181" s="2" t="str">
        <f ca="1">IF('Profit &amp; Loss'!A184&gt;=TODAY(), "Date: " &amp; TEXT('Profit &amp; Loss'!A184,"dd mmm yyy") &amp; ", " &amp; 'Profit &amp; Loss'!B184 &amp; CHAR(10) &amp; "Time: " &amp; TEXT('Profit &amp; Loss'!C184, "hh:mm AM/PM") &amp; " - " &amp; TEXT('Profit &amp; Loss'!D184, "hh:mm AM/PM") &amp; CHAR(10) &amp; "Venue: " &amp; 'Profit &amp; Loss'!E184 &amp; CHAR(10) &amp; "Court No.: " &amp; 'Profit &amp; Loss'!F184 &amp; CHAR(10) &amp; "Level: HB - LI" &amp; CHAR(10) &amp; "Please transfer $" &amp; 'Profit &amp; Loss'!O184 &amp; " per pax to Belle (83396501)" &amp; CHAR(10) &amp; CHAR(10) &amp; IF('Profit &amp; Loss'!I184=1, "1." &amp; CHAR(10) &amp; "2." &amp; CHAR(10) &amp; "3." &amp; CHAR(10) &amp; "4." &amp; CHAR(10) &amp; "5." &amp; CHAR(10) &amp; "6." &amp; CHAR(10), IF('Profit &amp; Loss'!I184=2,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2" spans="1:2" ht="12.5" x14ac:dyDescent="0.25">
      <c r="A182" s="2" t="str">
        <f ca="1">IF('Profit &amp; Loss'!A185&gt;=TODAY(),"Looking for friendly players to join the following game: " &amp; CHAR(10) &amp; CHAR(10) &amp; "Date: " &amp; TEXT('Profit &amp; Loss'!A185,"dd mmm yyy") &amp; ", " &amp; 'Profit &amp; Loss'!B185 &amp; CHAR(10) &amp; "Time: " &amp; TEXT('Profit &amp; Loss'!C185, "hh:mm AM/PM") &amp; " - " &amp; TEXT('Profit &amp; Loss'!D185, "hh:mm AM/PM") &amp; CHAR(10) &amp; "Venue: " &amp; 'Profit &amp; Loss'!E185 &amp; CHAR(10) &amp; "Level: HB - LI" &amp; CHAR(10) &amp; "Cost: $" &amp; 'Profit &amp; Loss'!O185 &amp; " per pax" &amp; CHAR(10) &amp; "Max " &amp; 'Profit &amp; Loss'!I185*6 &amp; " pax," &amp; " (" &amp; 'Profit &amp; Loss'!I185 &amp; " courts)" &amp; CHAR(10) &amp; CHAR(10) &amp; "RSL Ultimate shuttles provided" &amp; CHAR(10) &amp; CHAR(10) &amp; "PM if interested, thank you!"," ")</f>
        <v xml:space="preserve"> </v>
      </c>
      <c r="B182" s="2" t="str">
        <f ca="1">IF('Profit &amp; Loss'!A185&gt;=TODAY(), "Date: " &amp; TEXT('Profit &amp; Loss'!A185,"dd mmm yyy") &amp; ", " &amp; 'Profit &amp; Loss'!B185 &amp; CHAR(10) &amp; "Time: " &amp; TEXT('Profit &amp; Loss'!C185, "hh:mm AM/PM") &amp; " - " &amp; TEXT('Profit &amp; Loss'!D185, "hh:mm AM/PM") &amp; CHAR(10) &amp; "Venue: " &amp; 'Profit &amp; Loss'!E185 &amp; CHAR(10) &amp; "Court No.: " &amp; 'Profit &amp; Loss'!F185 &amp; CHAR(10) &amp; "Level: HB - LI" &amp; CHAR(10) &amp; "Please transfer $" &amp; 'Profit &amp; Loss'!O185 &amp; " per pax to Belle (83396501)" &amp; CHAR(10) &amp; CHAR(10) &amp; IF('Profit &amp; Loss'!I185=1, "1." &amp; CHAR(10) &amp; "2." &amp; CHAR(10) &amp; "3." &amp; CHAR(10) &amp; "4." &amp; CHAR(10) &amp; "5." &amp; CHAR(10) &amp; "6." &amp; CHAR(10), IF('Profit &amp; Loss'!I185=2,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3" spans="1:2" ht="12.5" x14ac:dyDescent="0.25">
      <c r="A183" s="2" t="str">
        <f ca="1">IF('Profit &amp; Loss'!A186&gt;=TODAY(),"Looking for friendly players to join the following game: " &amp; CHAR(10) &amp; CHAR(10) &amp; "Date: " &amp; TEXT('Profit &amp; Loss'!A186,"dd mmm yyy") &amp; ", " &amp; 'Profit &amp; Loss'!B186 &amp; CHAR(10) &amp; "Time: " &amp; TEXT('Profit &amp; Loss'!C186, "hh:mm AM/PM") &amp; " - " &amp; TEXT('Profit &amp; Loss'!D186, "hh:mm AM/PM") &amp; CHAR(10) &amp; "Venue: " &amp; 'Profit &amp; Loss'!E186 &amp; CHAR(10) &amp; "Level: HB - LI" &amp; CHAR(10) &amp; "Cost: $" &amp; 'Profit &amp; Loss'!O186 &amp; " per pax" &amp; CHAR(10) &amp; "Max " &amp; 'Profit &amp; Loss'!I186*6 &amp; " pax," &amp; " (" &amp; 'Profit &amp; Loss'!I186 &amp; " courts)" &amp; CHAR(10) &amp; CHAR(10) &amp; "RSL Ultimate shuttles provided" &amp; CHAR(10) &amp; CHAR(10) &amp; "PM if interested, thank you!"," ")</f>
        <v xml:space="preserve"> </v>
      </c>
      <c r="B183" s="2" t="str">
        <f ca="1">IF('Profit &amp; Loss'!A186&gt;=TODAY(), "Date: " &amp; TEXT('Profit &amp; Loss'!A186,"dd mmm yyy") &amp; ", " &amp; 'Profit &amp; Loss'!B186 &amp; CHAR(10) &amp; "Time: " &amp; TEXT('Profit &amp; Loss'!C186, "hh:mm AM/PM") &amp; " - " &amp; TEXT('Profit &amp; Loss'!D186, "hh:mm AM/PM") &amp; CHAR(10) &amp; "Venue: " &amp; 'Profit &amp; Loss'!E186 &amp; CHAR(10) &amp; "Court No.: " &amp; 'Profit &amp; Loss'!F186 &amp; CHAR(10) &amp; "Level: HB - LI" &amp; CHAR(10) &amp; "Please transfer $" &amp; 'Profit &amp; Loss'!O186 &amp; " per pax to Belle (83396501)" &amp; CHAR(10) &amp; CHAR(10) &amp; IF('Profit &amp; Loss'!I186=1, "1." &amp; CHAR(10) &amp; "2." &amp; CHAR(10) &amp; "3." &amp; CHAR(10) &amp; "4." &amp; CHAR(10) &amp; "5." &amp; CHAR(10) &amp; "6." &amp; CHAR(10), IF('Profit &amp; Loss'!I186=2,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4" spans="1:2" ht="12.5" x14ac:dyDescent="0.25">
      <c r="A184" s="2" t="str">
        <f ca="1">IF('Profit &amp; Loss'!A187&gt;=TODAY(),"Looking for friendly players to join the following game: " &amp; CHAR(10) &amp; CHAR(10) &amp; "Date: " &amp; TEXT('Profit &amp; Loss'!A187,"dd mmm yyy") &amp; ", " &amp; 'Profit &amp; Loss'!B187 &amp; CHAR(10) &amp; "Time: " &amp; TEXT('Profit &amp; Loss'!C187, "hh:mm AM/PM") &amp; " - " &amp; TEXT('Profit &amp; Loss'!D187, "hh:mm AM/PM") &amp; CHAR(10) &amp; "Venue: " &amp; 'Profit &amp; Loss'!E187 &amp; CHAR(10) &amp; "Level: HB - LI" &amp; CHAR(10) &amp; "Cost: $" &amp; 'Profit &amp; Loss'!O187 &amp; " per pax" &amp; CHAR(10) &amp; "Max " &amp; 'Profit &amp; Loss'!I187*6 &amp; " pax," &amp; " (" &amp; 'Profit &amp; Loss'!I187 &amp; " courts)" &amp; CHAR(10) &amp; CHAR(10) &amp; "RSL Ultimate shuttles provided" &amp; CHAR(10) &amp; CHAR(10) &amp; "PM if interested, thank you!"," ")</f>
        <v xml:space="preserve"> </v>
      </c>
      <c r="B184" s="2" t="str">
        <f ca="1">IF('Profit &amp; Loss'!A187&gt;=TODAY(), "Date: " &amp; TEXT('Profit &amp; Loss'!A187,"dd mmm yyy") &amp; ", " &amp; 'Profit &amp; Loss'!B187 &amp; CHAR(10) &amp; "Time: " &amp; TEXT('Profit &amp; Loss'!C187, "hh:mm AM/PM") &amp; " - " &amp; TEXT('Profit &amp; Loss'!D187, "hh:mm AM/PM") &amp; CHAR(10) &amp; "Venue: " &amp; 'Profit &amp; Loss'!E187 &amp; CHAR(10) &amp; "Court No.: " &amp; 'Profit &amp; Loss'!F187 &amp; CHAR(10) &amp; "Level: HB - LI" &amp; CHAR(10) &amp; "Please transfer $" &amp; 'Profit &amp; Loss'!O187 &amp; " per pax to Belle (83396501)" &amp; CHAR(10) &amp; CHAR(10) &amp; IF('Profit &amp; Loss'!I187=1, "1." &amp; CHAR(10) &amp; "2." &amp; CHAR(10) &amp; "3." &amp; CHAR(10) &amp; "4." &amp; CHAR(10) &amp; "5." &amp; CHAR(10) &amp; "6." &amp; CHAR(10), IF('Profit &amp; Loss'!I187=2,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5" spans="1:2" ht="12.5" x14ac:dyDescent="0.25">
      <c r="A185" s="2" t="str">
        <f ca="1">IF('Profit &amp; Loss'!A188&gt;=TODAY(),"Looking for friendly players to join the following game: " &amp; CHAR(10) &amp; CHAR(10) &amp; "Date: " &amp; TEXT('Profit &amp; Loss'!A188,"dd mmm yyy") &amp; ", " &amp; 'Profit &amp; Loss'!B188 &amp; CHAR(10) &amp; "Time: " &amp; TEXT('Profit &amp; Loss'!C188, "hh:mm AM/PM") &amp; " - " &amp; TEXT('Profit &amp; Loss'!D188, "hh:mm AM/PM") &amp; CHAR(10) &amp; "Venue: " &amp; 'Profit &amp; Loss'!E188 &amp; CHAR(10) &amp; "Level: HB - LI" &amp; CHAR(10) &amp; "Cost: $" &amp; 'Profit &amp; Loss'!O188 &amp; " per pax" &amp; CHAR(10) &amp; "Max " &amp; 'Profit &amp; Loss'!I188*6 &amp; " pax," &amp; " (" &amp; 'Profit &amp; Loss'!I188 &amp; " courts)" &amp; CHAR(10) &amp; CHAR(10) &amp; "RSL Ultimate shuttles provided" &amp; CHAR(10) &amp; CHAR(10) &amp; "PM if interested, thank you!"," ")</f>
        <v xml:space="preserve"> </v>
      </c>
      <c r="B185" s="2" t="str">
        <f ca="1">IF('Profit &amp; Loss'!A188&gt;=TODAY(), "Date: " &amp; TEXT('Profit &amp; Loss'!A188,"dd mmm yyy") &amp; ", " &amp; 'Profit &amp; Loss'!B188 &amp; CHAR(10) &amp; "Time: " &amp; TEXT('Profit &amp; Loss'!C188, "hh:mm AM/PM") &amp; " - " &amp; TEXT('Profit &amp; Loss'!D188, "hh:mm AM/PM") &amp; CHAR(10) &amp; "Venue: " &amp; 'Profit &amp; Loss'!E188 &amp; CHAR(10) &amp; "Court No.: " &amp; 'Profit &amp; Loss'!F188 &amp; CHAR(10) &amp; "Level: HB - LI" &amp; CHAR(10) &amp; "Please transfer $" &amp; 'Profit &amp; Loss'!O188 &amp; " per pax to Belle (83396501)" &amp; CHAR(10) &amp; CHAR(10) &amp; IF('Profit &amp; Loss'!I188=1, "1." &amp; CHAR(10) &amp; "2." &amp; CHAR(10) &amp; "3." &amp; CHAR(10) &amp; "4." &amp; CHAR(10) &amp; "5." &amp; CHAR(10) &amp; "6." &amp; CHAR(10), IF('Profit &amp; Loss'!I188=2,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6" spans="1:2" ht="12.5" x14ac:dyDescent="0.25">
      <c r="A186" s="2" t="str">
        <f ca="1">IF('Profit &amp; Loss'!A189&gt;=TODAY(),"Looking for friendly players to join the following game: " &amp; CHAR(10) &amp; CHAR(10) &amp; "Date: " &amp; TEXT('Profit &amp; Loss'!A189,"dd mmm yyy") &amp; ", " &amp; 'Profit &amp; Loss'!B189 &amp; CHAR(10) &amp; "Time: " &amp; TEXT('Profit &amp; Loss'!C189, "hh:mm AM/PM") &amp; " - " &amp; TEXT('Profit &amp; Loss'!D189, "hh:mm AM/PM") &amp; CHAR(10) &amp; "Venue: " &amp; 'Profit &amp; Loss'!E189 &amp; CHAR(10) &amp; "Level: HB - LI" &amp; CHAR(10) &amp; "Cost: $" &amp; 'Profit &amp; Loss'!O189 &amp; " per pax" &amp; CHAR(10) &amp; "Max " &amp; 'Profit &amp; Loss'!I189*6 &amp; " pax," &amp; " (" &amp; 'Profit &amp; Loss'!I189 &amp; " courts)" &amp; CHAR(10) &amp; CHAR(10) &amp; "RSL Ultimate shuttles provided" &amp; CHAR(10) &amp; CHAR(10) &amp; "PM if interested, thank you!"," ")</f>
        <v xml:space="preserve"> </v>
      </c>
      <c r="B186" s="2" t="str">
        <f ca="1">IF('Profit &amp; Loss'!A189&gt;=TODAY(), "Date: " &amp; TEXT('Profit &amp; Loss'!A189,"dd mmm yyy") &amp; ", " &amp; 'Profit &amp; Loss'!B189 &amp; CHAR(10) &amp; "Time: " &amp; TEXT('Profit &amp; Loss'!C189, "hh:mm AM/PM") &amp; " - " &amp; TEXT('Profit &amp; Loss'!D189, "hh:mm AM/PM") &amp; CHAR(10) &amp; "Venue: " &amp; 'Profit &amp; Loss'!E189 &amp; CHAR(10) &amp; "Court No.: " &amp; 'Profit &amp; Loss'!F189 &amp; CHAR(10) &amp; "Level: HB - LI" &amp; CHAR(10) &amp; "Please transfer $" &amp; 'Profit &amp; Loss'!O189 &amp; " per pax to Belle (83396501)" &amp; CHAR(10) &amp; CHAR(10) &amp; IF('Profit &amp; Loss'!I189=1, "1." &amp; CHAR(10) &amp; "2." &amp; CHAR(10) &amp; "3." &amp; CHAR(10) &amp; "4." &amp; CHAR(10) &amp; "5." &amp; CHAR(10) &amp; "6." &amp; CHAR(10), IF('Profit &amp; Loss'!I189=2,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7" spans="1:2" ht="12.5" x14ac:dyDescent="0.25">
      <c r="A187" s="2" t="str">
        <f ca="1">IF('Profit &amp; Loss'!A190&gt;=TODAY(),"Looking for friendly players to join the following game: " &amp; CHAR(10) &amp; CHAR(10) &amp; "Date: " &amp; TEXT('Profit &amp; Loss'!A190,"dd mmm yyy") &amp; ", " &amp; 'Profit &amp; Loss'!B190 &amp; CHAR(10) &amp; "Time: " &amp; TEXT('Profit &amp; Loss'!C190, "hh:mm AM/PM") &amp; " - " &amp; TEXT('Profit &amp; Loss'!D190, "hh:mm AM/PM") &amp; CHAR(10) &amp; "Venue: " &amp; 'Profit &amp; Loss'!E190 &amp; CHAR(10) &amp; "Level: HB - LI" &amp; CHAR(10) &amp; "Cost: $" &amp; 'Profit &amp; Loss'!O190 &amp; " per pax" &amp; CHAR(10) &amp; "Max " &amp; 'Profit &amp; Loss'!I190*6 &amp; " pax," &amp; " (" &amp; 'Profit &amp; Loss'!I190 &amp; " courts)" &amp; CHAR(10) &amp; CHAR(10) &amp; "RSL Ultimate shuttles provided" &amp; CHAR(10) &amp; CHAR(10) &amp; "PM if interested, thank you!"," ")</f>
        <v xml:space="preserve"> </v>
      </c>
      <c r="B187" s="2" t="str">
        <f ca="1">IF('Profit &amp; Loss'!A190&gt;=TODAY(), "Date: " &amp; TEXT('Profit &amp; Loss'!A190,"dd mmm yyy") &amp; ", " &amp; 'Profit &amp; Loss'!B190 &amp; CHAR(10) &amp; "Time: " &amp; TEXT('Profit &amp; Loss'!C190, "hh:mm AM/PM") &amp; " - " &amp; TEXT('Profit &amp; Loss'!D190, "hh:mm AM/PM") &amp; CHAR(10) &amp; "Venue: " &amp; 'Profit &amp; Loss'!E190 &amp; CHAR(10) &amp; "Court No.: " &amp; 'Profit &amp; Loss'!F190 &amp; CHAR(10) &amp; "Level: HB - LI" &amp; CHAR(10) &amp; "Please transfer $" &amp; 'Profit &amp; Loss'!O190 &amp; " per pax to Belle (83396501)" &amp; CHAR(10) &amp; CHAR(10) &amp; IF('Profit &amp; Loss'!I190=1, "1." &amp; CHAR(10) &amp; "2." &amp; CHAR(10) &amp; "3." &amp; CHAR(10) &amp; "4." &amp; CHAR(10) &amp; "5." &amp; CHAR(10) &amp; "6." &amp; CHAR(10), IF('Profit &amp; Loss'!I190=2,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8" spans="1:2" ht="12.5" x14ac:dyDescent="0.25">
      <c r="A188" s="2" t="str">
        <f ca="1">IF('Profit &amp; Loss'!A191&gt;=TODAY(),"Looking for friendly players to join the following game: " &amp; CHAR(10) &amp; CHAR(10) &amp; "Date: " &amp; TEXT('Profit &amp; Loss'!A191,"dd mmm yyy") &amp; ", " &amp; 'Profit &amp; Loss'!B191 &amp; CHAR(10) &amp; "Time: " &amp; TEXT('Profit &amp; Loss'!C191, "hh:mm AM/PM") &amp; " - " &amp; TEXT('Profit &amp; Loss'!D191, "hh:mm AM/PM") &amp; CHAR(10) &amp; "Venue: " &amp; 'Profit &amp; Loss'!E191 &amp; CHAR(10) &amp; "Level: HB - LI" &amp; CHAR(10) &amp; "Cost: $" &amp; 'Profit &amp; Loss'!O191 &amp; " per pax" &amp; CHAR(10) &amp; "Max " &amp; 'Profit &amp; Loss'!I191*6 &amp; " pax," &amp; " (" &amp; 'Profit &amp; Loss'!I191 &amp; " courts)" &amp; CHAR(10) &amp; CHAR(10) &amp; "RSL Ultimate shuttles provided" &amp; CHAR(10) &amp; CHAR(10) &amp; "PM if interested, thank you!"," ")</f>
        <v xml:space="preserve"> </v>
      </c>
      <c r="B188" s="2" t="str">
        <f ca="1">IF('Profit &amp; Loss'!A191&gt;=TODAY(), "Date: " &amp; TEXT('Profit &amp; Loss'!A191,"dd mmm yyy") &amp; ", " &amp; 'Profit &amp; Loss'!B191 &amp; CHAR(10) &amp; "Time: " &amp; TEXT('Profit &amp; Loss'!C191, "hh:mm AM/PM") &amp; " - " &amp; TEXT('Profit &amp; Loss'!D191, "hh:mm AM/PM") &amp; CHAR(10) &amp; "Venue: " &amp; 'Profit &amp; Loss'!E191 &amp; CHAR(10) &amp; "Court No.: " &amp; 'Profit &amp; Loss'!F191 &amp; CHAR(10) &amp; "Level: HB - LI" &amp; CHAR(10) &amp; "Please transfer $" &amp; 'Profit &amp; Loss'!O191 &amp; " per pax to Belle (83396501)" &amp; CHAR(10) &amp; CHAR(10) &amp; IF('Profit &amp; Loss'!I191=1, "1." &amp; CHAR(10) &amp; "2." &amp; CHAR(10) &amp; "3." &amp; CHAR(10) &amp; "4." &amp; CHAR(10) &amp; "5." &amp; CHAR(10) &amp; "6." &amp; CHAR(10), IF('Profit &amp; Loss'!I191=2,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89" spans="1:2" ht="12.5" x14ac:dyDescent="0.25">
      <c r="A189" s="2" t="str">
        <f ca="1">IF('Profit &amp; Loss'!A192&gt;=TODAY(),"Looking for friendly players to join the following game: " &amp; CHAR(10) &amp; CHAR(10) &amp; "Date: " &amp; TEXT('Profit &amp; Loss'!A192,"dd mmm yyy") &amp; ", " &amp; 'Profit &amp; Loss'!B192 &amp; CHAR(10) &amp; "Time: " &amp; TEXT('Profit &amp; Loss'!C192, "hh:mm AM/PM") &amp; " - " &amp; TEXT('Profit &amp; Loss'!D192, "hh:mm AM/PM") &amp; CHAR(10) &amp; "Venue: " &amp; 'Profit &amp; Loss'!E192 &amp; CHAR(10) &amp; "Level: HB - LI" &amp; CHAR(10) &amp; "Cost: $" &amp; 'Profit &amp; Loss'!O192 &amp; " per pax" &amp; CHAR(10) &amp; "Max " &amp; 'Profit &amp; Loss'!I192*6 &amp; " pax," &amp; " (" &amp; 'Profit &amp; Loss'!I192 &amp; " courts)" &amp; CHAR(10) &amp; CHAR(10) &amp; "RSL Ultimate shuttles provided" &amp; CHAR(10) &amp; CHAR(10) &amp; "PM if interested, thank you!"," ")</f>
        <v xml:space="preserve"> </v>
      </c>
      <c r="B189" s="2" t="str">
        <f ca="1">IF('Profit &amp; Loss'!A192&gt;=TODAY(), "Date: " &amp; TEXT('Profit &amp; Loss'!A192,"dd mmm yyy") &amp; ", " &amp; 'Profit &amp; Loss'!B192 &amp; CHAR(10) &amp; "Time: " &amp; TEXT('Profit &amp; Loss'!C192, "hh:mm AM/PM") &amp; " - " &amp; TEXT('Profit &amp; Loss'!D192, "hh:mm AM/PM") &amp; CHAR(10) &amp; "Venue: " &amp; 'Profit &amp; Loss'!E192 &amp; CHAR(10) &amp; "Court No.: " &amp; 'Profit &amp; Loss'!F192 &amp; CHAR(10) &amp; "Level: HB - LI" &amp; CHAR(10) &amp; "Please transfer $" &amp; 'Profit &amp; Loss'!O192 &amp; " per pax to Belle (83396501)" &amp; CHAR(10) &amp; CHAR(10) &amp; IF('Profit &amp; Loss'!I192=1, "1." &amp; CHAR(10) &amp; "2." &amp; CHAR(10) &amp; "3." &amp; CHAR(10) &amp; "4." &amp; CHAR(10) &amp; "5." &amp; CHAR(10) &amp; "6." &amp; CHAR(10), IF('Profit &amp; Loss'!I192=2,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0" spans="1:2" ht="12.5" x14ac:dyDescent="0.25">
      <c r="A190" s="2" t="str">
        <f ca="1">IF('Profit &amp; Loss'!A193&gt;=TODAY(),"Looking for friendly players to join the following game: " &amp; CHAR(10) &amp; CHAR(10) &amp; "Date: " &amp; TEXT('Profit &amp; Loss'!A193,"dd mmm yyy") &amp; ", " &amp; 'Profit &amp; Loss'!B193 &amp; CHAR(10) &amp; "Time: " &amp; TEXT('Profit &amp; Loss'!C193, "hh:mm AM/PM") &amp; " - " &amp; TEXT('Profit &amp; Loss'!D193, "hh:mm AM/PM") &amp; CHAR(10) &amp; "Venue: " &amp; 'Profit &amp; Loss'!E193 &amp; CHAR(10) &amp; "Level: HB - LI" &amp; CHAR(10) &amp; "Cost: $" &amp; 'Profit &amp; Loss'!O193 &amp; " per pax" &amp; CHAR(10) &amp; "Max " &amp; 'Profit &amp; Loss'!I193*6 &amp; " pax," &amp; " (" &amp; 'Profit &amp; Loss'!I193 &amp; " courts)" &amp; CHAR(10) &amp; CHAR(10) &amp; "RSL Ultimate shuttles provided" &amp; CHAR(10) &amp; CHAR(10) &amp; "PM if interested, thank you!"," ")</f>
        <v xml:space="preserve"> </v>
      </c>
      <c r="B190" s="2" t="str">
        <f ca="1">IF('Profit &amp; Loss'!A193&gt;=TODAY(), "Date: " &amp; TEXT('Profit &amp; Loss'!A193,"dd mmm yyy") &amp; ", " &amp; 'Profit &amp; Loss'!B193 &amp; CHAR(10) &amp; "Time: " &amp; TEXT('Profit &amp; Loss'!C193, "hh:mm AM/PM") &amp; " - " &amp; TEXT('Profit &amp; Loss'!D193, "hh:mm AM/PM") &amp; CHAR(10) &amp; "Venue: " &amp; 'Profit &amp; Loss'!E193 &amp; CHAR(10) &amp; "Court No.: " &amp; 'Profit &amp; Loss'!F193 &amp; CHAR(10) &amp; "Level: HB - LI" &amp; CHAR(10) &amp; "Please transfer $" &amp; 'Profit &amp; Loss'!O193 &amp; " per pax to Belle (83396501)" &amp; CHAR(10) &amp; CHAR(10) &amp; IF('Profit &amp; Loss'!I193=1, "1." &amp; CHAR(10) &amp; "2." &amp; CHAR(10) &amp; "3." &amp; CHAR(10) &amp; "4." &amp; CHAR(10) &amp; "5." &amp; CHAR(10) &amp; "6." &amp; CHAR(10), IF('Profit &amp; Loss'!I193=2,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1" spans="1:2" ht="12.5" x14ac:dyDescent="0.25">
      <c r="A191" s="2" t="str">
        <f ca="1">IF('Profit &amp; Loss'!A194&gt;=TODAY(),"Looking for friendly players to join the following game: " &amp; CHAR(10) &amp; CHAR(10) &amp; "Date: " &amp; TEXT('Profit &amp; Loss'!A194,"dd mmm yyy") &amp; ", " &amp; 'Profit &amp; Loss'!B194 &amp; CHAR(10) &amp; "Time: " &amp; TEXT('Profit &amp; Loss'!C194, "hh:mm AM/PM") &amp; " - " &amp; TEXT('Profit &amp; Loss'!D194, "hh:mm AM/PM") &amp; CHAR(10) &amp; "Venue: " &amp; 'Profit &amp; Loss'!E194 &amp; CHAR(10) &amp; "Level: HB - LI" &amp; CHAR(10) &amp; "Cost: $" &amp; 'Profit &amp; Loss'!O194 &amp; " per pax" &amp; CHAR(10) &amp; "Max " &amp; 'Profit &amp; Loss'!I194*6 &amp; " pax," &amp; " (" &amp; 'Profit &amp; Loss'!I194 &amp; " courts)" &amp; CHAR(10) &amp; CHAR(10) &amp; "RSL Ultimate shuttles provided" &amp; CHAR(10) &amp; CHAR(10) &amp; "PM if interested, thank you!"," ")</f>
        <v xml:space="preserve"> </v>
      </c>
      <c r="B191" s="2" t="str">
        <f ca="1">IF('Profit &amp; Loss'!A194&gt;=TODAY(), "Date: " &amp; TEXT('Profit &amp; Loss'!A194,"dd mmm yyy") &amp; ", " &amp; 'Profit &amp; Loss'!B194 &amp; CHAR(10) &amp; "Time: " &amp; TEXT('Profit &amp; Loss'!C194, "hh:mm AM/PM") &amp; " - " &amp; TEXT('Profit &amp; Loss'!D194, "hh:mm AM/PM") &amp; CHAR(10) &amp; "Venue: " &amp; 'Profit &amp; Loss'!E194 &amp; CHAR(10) &amp; "Court No.: " &amp; 'Profit &amp; Loss'!F194 &amp; CHAR(10) &amp; "Level: HB - LI" &amp; CHAR(10) &amp; "Please transfer $" &amp; 'Profit &amp; Loss'!O194 &amp; " per pax to Belle (83396501)" &amp; CHAR(10) &amp; CHAR(10) &amp; IF('Profit &amp; Loss'!I194=1, "1." &amp; CHAR(10) &amp; "2." &amp; CHAR(10) &amp; "3." &amp; CHAR(10) &amp; "4." &amp; CHAR(10) &amp; "5." &amp; CHAR(10) &amp; "6." &amp; CHAR(10), IF('Profit &amp; Loss'!I194=2,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2" spans="1:2" ht="12.5" x14ac:dyDescent="0.25">
      <c r="A192" s="2" t="str">
        <f ca="1">IF('Profit &amp; Loss'!A195&gt;=TODAY(),"Looking for friendly players to join the following game: " &amp; CHAR(10) &amp; CHAR(10) &amp; "Date: " &amp; TEXT('Profit &amp; Loss'!A195,"dd mmm yyy") &amp; ", " &amp; 'Profit &amp; Loss'!B195 &amp; CHAR(10) &amp; "Time: " &amp; TEXT('Profit &amp; Loss'!C195, "hh:mm AM/PM") &amp; " - " &amp; TEXT('Profit &amp; Loss'!D195, "hh:mm AM/PM") &amp; CHAR(10) &amp; "Venue: " &amp; 'Profit &amp; Loss'!E195 &amp; CHAR(10) &amp; "Level: HB - LI" &amp; CHAR(10) &amp; "Cost: $" &amp; 'Profit &amp; Loss'!O195 &amp; " per pax" &amp; CHAR(10) &amp; "Max " &amp; 'Profit &amp; Loss'!I195*6 &amp; " pax," &amp; " (" &amp; 'Profit &amp; Loss'!I195 &amp; " courts)" &amp; CHAR(10) &amp; CHAR(10) &amp; "RSL Ultimate shuttles provided" &amp; CHAR(10) &amp; CHAR(10) &amp; "PM if interested, thank you!"," ")</f>
        <v xml:space="preserve"> </v>
      </c>
      <c r="B192" s="2" t="str">
        <f ca="1">IF('Profit &amp; Loss'!A195&gt;=TODAY(), "Date: " &amp; TEXT('Profit &amp; Loss'!A195,"dd mmm yyy") &amp; ", " &amp; 'Profit &amp; Loss'!B195 &amp; CHAR(10) &amp; "Time: " &amp; TEXT('Profit &amp; Loss'!C195, "hh:mm AM/PM") &amp; " - " &amp; TEXT('Profit &amp; Loss'!D195, "hh:mm AM/PM") &amp; CHAR(10) &amp; "Venue: " &amp; 'Profit &amp; Loss'!E195 &amp; CHAR(10) &amp; "Court No.: " &amp; 'Profit &amp; Loss'!F195 &amp; CHAR(10) &amp; "Level: HB - LI" &amp; CHAR(10) &amp; "Please transfer $" &amp; 'Profit &amp; Loss'!O195 &amp; " per pax to Belle (83396501)" &amp; CHAR(10) &amp; CHAR(10) &amp; IF('Profit &amp; Loss'!I195=1, "1." &amp; CHAR(10) &amp; "2." &amp; CHAR(10) &amp; "3." &amp; CHAR(10) &amp; "4." &amp; CHAR(10) &amp; "5." &amp; CHAR(10) &amp; "6." &amp; CHAR(10), IF('Profit &amp; Loss'!I195=2,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3" spans="1:2" ht="12.5" x14ac:dyDescent="0.25">
      <c r="A193" s="2" t="str">
        <f ca="1">IF('Profit &amp; Loss'!A196&gt;=TODAY(),"Looking for friendly players to join the following game: " &amp; CHAR(10) &amp; CHAR(10) &amp; "Date: " &amp; TEXT('Profit &amp; Loss'!A196,"dd mmm yyy") &amp; ", " &amp; 'Profit &amp; Loss'!B196 &amp; CHAR(10) &amp; "Time: " &amp; TEXT('Profit &amp; Loss'!C196, "hh:mm AM/PM") &amp; " - " &amp; TEXT('Profit &amp; Loss'!D196, "hh:mm AM/PM") &amp; CHAR(10) &amp; "Venue: " &amp; 'Profit &amp; Loss'!E196 &amp; CHAR(10) &amp; "Level: HB - LI" &amp; CHAR(10) &amp; "Cost: $" &amp; 'Profit &amp; Loss'!O196 &amp; " per pax" &amp; CHAR(10) &amp; "Max " &amp; 'Profit &amp; Loss'!I196*6 &amp; " pax," &amp; " (" &amp; 'Profit &amp; Loss'!I196 &amp; " courts)" &amp; CHAR(10) &amp; CHAR(10) &amp; "RSL Ultimate shuttles provided" &amp; CHAR(10) &amp; CHAR(10) &amp; "PM if interested, thank you!"," ")</f>
        <v xml:space="preserve"> </v>
      </c>
      <c r="B193" s="2" t="str">
        <f ca="1">IF('Profit &amp; Loss'!A196&gt;=TODAY(), "Date: " &amp; TEXT('Profit &amp; Loss'!A196,"dd mmm yyy") &amp; ", " &amp; 'Profit &amp; Loss'!B196 &amp; CHAR(10) &amp; "Time: " &amp; TEXT('Profit &amp; Loss'!C196, "hh:mm AM/PM") &amp; " - " &amp; TEXT('Profit &amp; Loss'!D196, "hh:mm AM/PM") &amp; CHAR(10) &amp; "Venue: " &amp; 'Profit &amp; Loss'!E196 &amp; CHAR(10) &amp; "Court No.: " &amp; 'Profit &amp; Loss'!F196 &amp; CHAR(10) &amp; "Level: HB - LI" &amp; CHAR(10) &amp; "Please transfer $" &amp; 'Profit &amp; Loss'!O196 &amp; " per pax to Belle (83396501)" &amp; CHAR(10) &amp; CHAR(10) &amp; IF('Profit &amp; Loss'!I196=1, "1." &amp; CHAR(10) &amp; "2." &amp; CHAR(10) &amp; "3." &amp; CHAR(10) &amp; "4." &amp; CHAR(10) &amp; "5." &amp; CHAR(10) &amp; "6." &amp; CHAR(10), IF('Profit &amp; Loss'!I196=2,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4" spans="1:2" ht="12.5" x14ac:dyDescent="0.25">
      <c r="A194" s="2" t="str">
        <f ca="1">IF('Profit &amp; Loss'!A197&gt;=TODAY(),"Looking for friendly players to join the following game: " &amp; CHAR(10) &amp; CHAR(10) &amp; "Date: " &amp; TEXT('Profit &amp; Loss'!A197,"dd mmm yyy") &amp; ", " &amp; 'Profit &amp; Loss'!B197 &amp; CHAR(10) &amp; "Time: " &amp; TEXT('Profit &amp; Loss'!C197, "hh:mm AM/PM") &amp; " - " &amp; TEXT('Profit &amp; Loss'!D197, "hh:mm AM/PM") &amp; CHAR(10) &amp; "Venue: " &amp; 'Profit &amp; Loss'!E197 &amp; CHAR(10) &amp; "Level: HB - LI" &amp; CHAR(10) &amp; "Cost: $" &amp; 'Profit &amp; Loss'!O197 &amp; " per pax" &amp; CHAR(10) &amp; "Max " &amp; 'Profit &amp; Loss'!I197*6 &amp; " pax," &amp; " (" &amp; 'Profit &amp; Loss'!I197 &amp; " courts)" &amp; CHAR(10) &amp; CHAR(10) &amp; "RSL Ultimate shuttles provided" &amp; CHAR(10) &amp; CHAR(10) &amp; "PM if interested, thank you!"," ")</f>
        <v xml:space="preserve"> </v>
      </c>
      <c r="B194" s="2" t="str">
        <f ca="1">IF('Profit &amp; Loss'!A197&gt;=TODAY(), "Date: " &amp; TEXT('Profit &amp; Loss'!A197,"dd mmm yyy") &amp; ", " &amp; 'Profit &amp; Loss'!B197 &amp; CHAR(10) &amp; "Time: " &amp; TEXT('Profit &amp; Loss'!C197, "hh:mm AM/PM") &amp; " - " &amp; TEXT('Profit &amp; Loss'!D197, "hh:mm AM/PM") &amp; CHAR(10) &amp; "Venue: " &amp; 'Profit &amp; Loss'!E197 &amp; CHAR(10) &amp; "Court No.: " &amp; 'Profit &amp; Loss'!F197 &amp; CHAR(10) &amp; "Level: HB - LI" &amp; CHAR(10) &amp; "Please transfer $" &amp; 'Profit &amp; Loss'!O197 &amp; " per pax to Belle (83396501)" &amp; CHAR(10) &amp; CHAR(10) &amp; IF('Profit &amp; Loss'!I197=1, "1." &amp; CHAR(10) &amp; "2." &amp; CHAR(10) &amp; "3." &amp; CHAR(10) &amp; "4." &amp; CHAR(10) &amp; "5." &amp; CHAR(10) &amp; "6." &amp; CHAR(10), IF('Profit &amp; Loss'!I197=2,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5" spans="1:2" ht="12.5" x14ac:dyDescent="0.25">
      <c r="A195" s="2" t="str">
        <f ca="1">IF('Profit &amp; Loss'!A198&gt;=TODAY(),"Looking for friendly players to join the following game: " &amp; CHAR(10) &amp; CHAR(10) &amp; "Date: " &amp; TEXT('Profit &amp; Loss'!A198,"dd mmm yyy") &amp; ", " &amp; 'Profit &amp; Loss'!B198 &amp; CHAR(10) &amp; "Time: " &amp; TEXT('Profit &amp; Loss'!C198, "hh:mm AM/PM") &amp; " - " &amp; TEXT('Profit &amp; Loss'!D198, "hh:mm AM/PM") &amp; CHAR(10) &amp; "Venue: " &amp; 'Profit &amp; Loss'!E198 &amp; CHAR(10) &amp; "Level: HB - LI" &amp; CHAR(10) &amp; "Cost: $" &amp; 'Profit &amp; Loss'!O198 &amp; " per pax" &amp; CHAR(10) &amp; "Max " &amp; 'Profit &amp; Loss'!I198*6 &amp; " pax," &amp; " (" &amp; 'Profit &amp; Loss'!I198 &amp; " courts)" &amp; CHAR(10) &amp; CHAR(10) &amp; "RSL Ultimate shuttles provided" &amp; CHAR(10) &amp; CHAR(10) &amp; "PM if interested, thank you!"," ")</f>
        <v xml:space="preserve"> </v>
      </c>
      <c r="B195" s="2" t="str">
        <f ca="1">IF('Profit &amp; Loss'!A198&gt;=TODAY(), "Date: " &amp; TEXT('Profit &amp; Loss'!A198,"dd mmm yyy") &amp; ", " &amp; 'Profit &amp; Loss'!B198 &amp; CHAR(10) &amp; "Time: " &amp; TEXT('Profit &amp; Loss'!C198, "hh:mm AM/PM") &amp; " - " &amp; TEXT('Profit &amp; Loss'!D198, "hh:mm AM/PM") &amp; CHAR(10) &amp; "Venue: " &amp; 'Profit &amp; Loss'!E198 &amp; CHAR(10) &amp; "Court No.: " &amp; 'Profit &amp; Loss'!F198 &amp; CHAR(10) &amp; "Level: HB - LI" &amp; CHAR(10) &amp; "Please transfer $" &amp; 'Profit &amp; Loss'!O198 &amp; " per pax to Belle (83396501)" &amp; CHAR(10) &amp; CHAR(10) &amp; IF('Profit &amp; Loss'!I198=1, "1." &amp; CHAR(10) &amp; "2." &amp; CHAR(10) &amp; "3." &amp; CHAR(10) &amp; "4." &amp; CHAR(10) &amp; "5." &amp; CHAR(10) &amp; "6." &amp; CHAR(10), IF('Profit &amp; Loss'!I198=2,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6" spans="1:2" ht="12.5" x14ac:dyDescent="0.25">
      <c r="A196" s="2" t="str">
        <f ca="1">IF('Profit &amp; Loss'!A199&gt;=TODAY(),"Looking for friendly players to join the following game: " &amp; CHAR(10) &amp; CHAR(10) &amp; "Date: " &amp; TEXT('Profit &amp; Loss'!A199,"dd mmm yyy") &amp; ", " &amp; 'Profit &amp; Loss'!B199 &amp; CHAR(10) &amp; "Time: " &amp; TEXT('Profit &amp; Loss'!C199, "hh:mm AM/PM") &amp; " - " &amp; TEXT('Profit &amp; Loss'!D199, "hh:mm AM/PM") &amp; CHAR(10) &amp; "Venue: " &amp; 'Profit &amp; Loss'!E199 &amp; CHAR(10) &amp; "Level: HB - LI" &amp; CHAR(10) &amp; "Cost: $" &amp; 'Profit &amp; Loss'!O199 &amp; " per pax" &amp; CHAR(10) &amp; "Max " &amp; 'Profit &amp; Loss'!I199*6 &amp; " pax," &amp; " (" &amp; 'Profit &amp; Loss'!I199 &amp; " courts)" &amp; CHAR(10) &amp; CHAR(10) &amp; "RSL Ultimate shuttles provided" &amp; CHAR(10) &amp; CHAR(10) &amp; "PM if interested, thank you!"," ")</f>
        <v xml:space="preserve"> </v>
      </c>
      <c r="B196" s="2" t="str">
        <f ca="1">IF('Profit &amp; Loss'!A199&gt;=TODAY(), "Date: " &amp; TEXT('Profit &amp; Loss'!A199,"dd mmm yyy") &amp; ", " &amp; 'Profit &amp; Loss'!B199 &amp; CHAR(10) &amp; "Time: " &amp; TEXT('Profit &amp; Loss'!C199, "hh:mm AM/PM") &amp; " - " &amp; TEXT('Profit &amp; Loss'!D199, "hh:mm AM/PM") &amp; CHAR(10) &amp; "Venue: " &amp; 'Profit &amp; Loss'!E199 &amp; CHAR(10) &amp; "Court No.: " &amp; 'Profit &amp; Loss'!F199 &amp; CHAR(10) &amp; "Level: HB - LI" &amp; CHAR(10) &amp; "Please transfer $" &amp; 'Profit &amp; Loss'!O199 &amp; " per pax to Belle (83396501)" &amp; CHAR(10) &amp; CHAR(10) &amp; IF('Profit &amp; Loss'!I199=1, "1." &amp; CHAR(10) &amp; "2." &amp; CHAR(10) &amp; "3." &amp; CHAR(10) &amp; "4." &amp; CHAR(10) &amp; "5." &amp; CHAR(10) &amp; "6." &amp; CHAR(10), IF('Profit &amp; Loss'!I199=2,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7" spans="1:2" ht="12.5" x14ac:dyDescent="0.25">
      <c r="A197" s="2" t="str">
        <f ca="1">IF('Profit &amp; Loss'!A200&gt;=TODAY(),"Looking for friendly players to join the following game: " &amp; CHAR(10) &amp; CHAR(10) &amp; "Date: " &amp; TEXT('Profit &amp; Loss'!A200,"dd mmm yyy") &amp; ", " &amp; 'Profit &amp; Loss'!B200 &amp; CHAR(10) &amp; "Time: " &amp; TEXT('Profit &amp; Loss'!C200, "hh:mm AM/PM") &amp; " - " &amp; TEXT('Profit &amp; Loss'!D200, "hh:mm AM/PM") &amp; CHAR(10) &amp; "Venue: " &amp; 'Profit &amp; Loss'!E200 &amp; CHAR(10) &amp; "Level: HB - LI" &amp; CHAR(10) &amp; "Cost: $" &amp; 'Profit &amp; Loss'!O200 &amp; " per pax" &amp; CHAR(10) &amp; "Max " &amp; 'Profit &amp; Loss'!I200*6 &amp; " pax," &amp; " (" &amp; 'Profit &amp; Loss'!I200 &amp; " courts)" &amp; CHAR(10) &amp; CHAR(10) &amp; "RSL Ultimate shuttles provided" &amp; CHAR(10) &amp; CHAR(10) &amp; "PM if interested, thank you!"," ")</f>
        <v xml:space="preserve"> </v>
      </c>
      <c r="B197" s="2" t="str">
        <f ca="1">IF('Profit &amp; Loss'!A200&gt;=TODAY(), "Date: " &amp; TEXT('Profit &amp; Loss'!A200,"dd mmm yyy") &amp; ", " &amp; 'Profit &amp; Loss'!B200 &amp; CHAR(10) &amp; "Time: " &amp; TEXT('Profit &amp; Loss'!C200, "hh:mm AM/PM") &amp; " - " &amp; TEXT('Profit &amp; Loss'!D200, "hh:mm AM/PM") &amp; CHAR(10) &amp; "Venue: " &amp; 'Profit &amp; Loss'!E200 &amp; CHAR(10) &amp; "Court No.: " &amp; 'Profit &amp; Loss'!F200 &amp; CHAR(10) &amp; "Level: HB - LI" &amp; CHAR(10) &amp; "Please transfer $" &amp; 'Profit &amp; Loss'!O200 &amp; " per pax to Belle (83396501)" &amp; CHAR(10) &amp; CHAR(10) &amp; IF('Profit &amp; Loss'!I200=1, "1." &amp; CHAR(10) &amp; "2." &amp; CHAR(10) &amp; "3." &amp; CHAR(10) &amp; "4." &amp; CHAR(10) &amp; "5." &amp; CHAR(10) &amp; "6." &amp; CHAR(10), IF('Profit &amp; Loss'!I200=2,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8" spans="1:2" ht="12.5" x14ac:dyDescent="0.25">
      <c r="A198" s="2" t="str">
        <f ca="1">IF('Profit &amp; Loss'!A201&gt;=TODAY(),"Looking for friendly players to join the following game: " &amp; CHAR(10) &amp; CHAR(10) &amp; "Date: " &amp; TEXT('Profit &amp; Loss'!A201,"dd mmm yyy") &amp; ", " &amp; 'Profit &amp; Loss'!B201 &amp; CHAR(10) &amp; "Time: " &amp; TEXT('Profit &amp; Loss'!C201, "hh:mm AM/PM") &amp; " - " &amp; TEXT('Profit &amp; Loss'!D201, "hh:mm AM/PM") &amp; CHAR(10) &amp; "Venue: " &amp; 'Profit &amp; Loss'!E201 &amp; CHAR(10) &amp; "Level: HB - LI" &amp; CHAR(10) &amp; "Cost: $" &amp; 'Profit &amp; Loss'!O201 &amp; " per pax" &amp; CHAR(10) &amp; "Max " &amp; 'Profit &amp; Loss'!I201*6 &amp; " pax," &amp; " (" &amp; 'Profit &amp; Loss'!I201 &amp; " courts)" &amp; CHAR(10) &amp; CHAR(10) &amp; "RSL Ultimate shuttles provided" &amp; CHAR(10) &amp; CHAR(10) &amp; "PM if interested, thank you!"," ")</f>
        <v xml:space="preserve"> </v>
      </c>
      <c r="B198" s="2" t="str">
        <f ca="1">IF('Profit &amp; Loss'!A201&gt;=TODAY(), "Date: " &amp; TEXT('Profit &amp; Loss'!A201,"dd mmm yyy") &amp; ", " &amp; 'Profit &amp; Loss'!B201 &amp; CHAR(10) &amp; "Time: " &amp; TEXT('Profit &amp; Loss'!C201, "hh:mm AM/PM") &amp; " - " &amp; TEXT('Profit &amp; Loss'!D201, "hh:mm AM/PM") &amp; CHAR(10) &amp; "Venue: " &amp; 'Profit &amp; Loss'!E201 &amp; CHAR(10) &amp; "Court No.: " &amp; 'Profit &amp; Loss'!F201 &amp; CHAR(10) &amp; "Level: HB - LI" &amp; CHAR(10) &amp; "Please transfer $" &amp; 'Profit &amp; Loss'!O201 &amp; " per pax to Belle (83396501)" &amp; CHAR(10) &amp; CHAR(10) &amp; IF('Profit &amp; Loss'!I201=1, "1." &amp; CHAR(10) &amp; "2." &amp; CHAR(10) &amp; "3." &amp; CHAR(10) &amp; "4." &amp; CHAR(10) &amp; "5." &amp; CHAR(10) &amp; "6." &amp; CHAR(10), IF('Profit &amp; Loss'!I201=2,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199" spans="1:2" ht="12.5" x14ac:dyDescent="0.25">
      <c r="A199" s="2" t="str">
        <f ca="1">IF('Profit &amp; Loss'!A202&gt;=TODAY(),"Looking for friendly players to join the following game: " &amp; CHAR(10) &amp; CHAR(10) &amp; "Date: " &amp; TEXT('Profit &amp; Loss'!A202,"dd mmm yyy") &amp; ", " &amp; 'Profit &amp; Loss'!B202 &amp; CHAR(10) &amp; "Time: " &amp; TEXT('Profit &amp; Loss'!C202, "hh:mm AM/PM") &amp; " - " &amp; TEXT('Profit &amp; Loss'!D202, "hh:mm AM/PM") &amp; CHAR(10) &amp; "Venue: " &amp; 'Profit &amp; Loss'!E202 &amp; CHAR(10) &amp; "Level: HB - LI" &amp; CHAR(10) &amp; "Cost: $" &amp; 'Profit &amp; Loss'!O202 &amp; " per pax" &amp; CHAR(10) &amp; "Max " &amp; 'Profit &amp; Loss'!I202*6 &amp; " pax," &amp; " (" &amp; 'Profit &amp; Loss'!I202 &amp; " courts)" &amp; CHAR(10) &amp; CHAR(10) &amp; "RSL Ultimate shuttles provided" &amp; CHAR(10) &amp; CHAR(10) &amp; "PM if interested, thank you!"," ")</f>
        <v xml:space="preserve"> </v>
      </c>
      <c r="B199" s="2" t="str">
        <f ca="1">IF('Profit &amp; Loss'!A202&gt;=TODAY(), "Date: " &amp; TEXT('Profit &amp; Loss'!A202,"dd mmm yyy") &amp; ", " &amp; 'Profit &amp; Loss'!B202 &amp; CHAR(10) &amp; "Time: " &amp; TEXT('Profit &amp; Loss'!C202, "hh:mm AM/PM") &amp; " - " &amp; TEXT('Profit &amp; Loss'!D202, "hh:mm AM/PM") &amp; CHAR(10) &amp; "Venue: " &amp; 'Profit &amp; Loss'!E202 &amp; CHAR(10) &amp; "Court No.: " &amp; 'Profit &amp; Loss'!F202 &amp; CHAR(10) &amp; "Level: HB - LI" &amp; CHAR(10) &amp; "Please transfer $" &amp; 'Profit &amp; Loss'!O202 &amp; " per pax to Belle (83396501)" &amp; CHAR(10) &amp; CHAR(10) &amp; IF('Profit &amp; Loss'!I202=1, "1." &amp; CHAR(10) &amp; "2." &amp; CHAR(10) &amp; "3." &amp; CHAR(10) &amp; "4." &amp; CHAR(10) &amp; "5." &amp; CHAR(10) &amp; "6." &amp; CHAR(10), IF('Profit &amp; Loss'!I202=2,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0" spans="1:2" ht="12.5" x14ac:dyDescent="0.25">
      <c r="A200" s="2" t="str">
        <f ca="1">IF('Profit &amp; Loss'!A203&gt;=TODAY(),"Looking for friendly players to join the following game: " &amp; CHAR(10) &amp; CHAR(10) &amp; "Date: " &amp; TEXT('Profit &amp; Loss'!A203,"dd mmm yyy") &amp; ", " &amp; 'Profit &amp; Loss'!B203 &amp; CHAR(10) &amp; "Time: " &amp; TEXT('Profit &amp; Loss'!C203, "hh:mm AM/PM") &amp; " - " &amp; TEXT('Profit &amp; Loss'!D203, "hh:mm AM/PM") &amp; CHAR(10) &amp; "Venue: " &amp; 'Profit &amp; Loss'!E203 &amp; CHAR(10) &amp; "Level: HB - LI" &amp; CHAR(10) &amp; "Cost: $" &amp; 'Profit &amp; Loss'!O203 &amp; " per pax" &amp; CHAR(10) &amp; "Max " &amp; 'Profit &amp; Loss'!I203*6 &amp; " pax," &amp; " (" &amp; 'Profit &amp; Loss'!I203 &amp; " courts)" &amp; CHAR(10) &amp; CHAR(10) &amp; "RSL Ultimate shuttles provided" &amp; CHAR(10) &amp; CHAR(10) &amp; "PM if interested, thank you!"," ")</f>
        <v xml:space="preserve"> </v>
      </c>
      <c r="B200" s="2" t="str">
        <f ca="1">IF('Profit &amp; Loss'!A203&gt;=TODAY(), "Date: " &amp; TEXT('Profit &amp; Loss'!A203,"dd mmm yyy") &amp; ", " &amp; 'Profit &amp; Loss'!B203 &amp; CHAR(10) &amp; "Time: " &amp; TEXT('Profit &amp; Loss'!C203, "hh:mm AM/PM") &amp; " - " &amp; TEXT('Profit &amp; Loss'!D203, "hh:mm AM/PM") &amp; CHAR(10) &amp; "Venue: " &amp; 'Profit &amp; Loss'!E203 &amp; CHAR(10) &amp; "Court No.: " &amp; 'Profit &amp; Loss'!F203 &amp; CHAR(10) &amp; "Level: HB - LI" &amp; CHAR(10) &amp; "Please transfer $" &amp; 'Profit &amp; Loss'!O203 &amp; " per pax to Belle (83396501)" &amp; CHAR(10) &amp; CHAR(10) &amp; IF('Profit &amp; Loss'!I203=1, "1." &amp; CHAR(10) &amp; "2." &amp; CHAR(10) &amp; "3." &amp; CHAR(10) &amp; "4." &amp; CHAR(10) &amp; "5." &amp; CHAR(10) &amp; "6." &amp; CHAR(10), IF('Profit &amp; Loss'!I203=2,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1" spans="1:2" ht="12.5" x14ac:dyDescent="0.25">
      <c r="A201" s="2" t="str">
        <f ca="1">IF('Profit &amp; Loss'!A204&gt;=TODAY(),"Looking for friendly players to join the following game: " &amp; CHAR(10) &amp; CHAR(10) &amp; "Date: " &amp; TEXT('Profit &amp; Loss'!A204,"dd mmm yyy") &amp; ", " &amp; 'Profit &amp; Loss'!B204 &amp; CHAR(10) &amp; "Time: " &amp; TEXT('Profit &amp; Loss'!C204, "hh:mm AM/PM") &amp; " - " &amp; TEXT('Profit &amp; Loss'!D204, "hh:mm AM/PM") &amp; CHAR(10) &amp; "Venue: " &amp; 'Profit &amp; Loss'!E204 &amp; CHAR(10) &amp; "Level: HB - LI" &amp; CHAR(10) &amp; "Cost: $" &amp; 'Profit &amp; Loss'!O204 &amp; " per pax" &amp; CHAR(10) &amp; "Max " &amp; 'Profit &amp; Loss'!I204*6 &amp; " pax," &amp; " (" &amp; 'Profit &amp; Loss'!I204 &amp; " courts)" &amp; CHAR(10) &amp; CHAR(10) &amp; "RSL Ultimate shuttles provided" &amp; CHAR(10) &amp; CHAR(10) &amp; "PM if interested, thank you!"," ")</f>
        <v xml:space="preserve"> </v>
      </c>
      <c r="B201" s="2" t="str">
        <f ca="1">IF('Profit &amp; Loss'!A204&gt;=TODAY(), "Date: " &amp; TEXT('Profit &amp; Loss'!A204,"dd mmm yyy") &amp; ", " &amp; 'Profit &amp; Loss'!B204 &amp; CHAR(10) &amp; "Time: " &amp; TEXT('Profit &amp; Loss'!C204, "hh:mm AM/PM") &amp; " - " &amp; TEXT('Profit &amp; Loss'!D204, "hh:mm AM/PM") &amp; CHAR(10) &amp; "Venue: " &amp; 'Profit &amp; Loss'!E204 &amp; CHAR(10) &amp; "Court No.: " &amp; 'Profit &amp; Loss'!F204 &amp; CHAR(10) &amp; "Level: HB - LI" &amp; CHAR(10) &amp; "Please transfer $" &amp; 'Profit &amp; Loss'!O204 &amp; " per pax to Belle (83396501)" &amp; CHAR(10) &amp; CHAR(10) &amp; IF('Profit &amp; Loss'!I204=1, "1." &amp; CHAR(10) &amp; "2." &amp; CHAR(10) &amp; "3." &amp; CHAR(10) &amp; "4." &amp; CHAR(10) &amp; "5." &amp; CHAR(10) &amp; "6." &amp; CHAR(10), IF('Profit &amp; Loss'!I204=2,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2" spans="1:2" ht="12.5" x14ac:dyDescent="0.25">
      <c r="A202" s="2" t="str">
        <f ca="1">IF('Profit &amp; Loss'!A205&gt;=TODAY(),"Looking for friendly players to join the following game: " &amp; CHAR(10) &amp; CHAR(10) &amp; "Date: " &amp; TEXT('Profit &amp; Loss'!A205,"dd mmm yyy") &amp; ", " &amp; 'Profit &amp; Loss'!B205 &amp; CHAR(10) &amp; "Time: " &amp; TEXT('Profit &amp; Loss'!C205, "hh:mm AM/PM") &amp; " - " &amp; TEXT('Profit &amp; Loss'!D205, "hh:mm AM/PM") &amp; CHAR(10) &amp; "Venue: " &amp; 'Profit &amp; Loss'!E205 &amp; CHAR(10) &amp; "Level: HB - LI" &amp; CHAR(10) &amp; "Cost: $" &amp; 'Profit &amp; Loss'!O205 &amp; " per pax" &amp; CHAR(10) &amp; "Max " &amp; 'Profit &amp; Loss'!I205*6 &amp; " pax," &amp; " (" &amp; 'Profit &amp; Loss'!I205 &amp; " courts)" &amp; CHAR(10) &amp; CHAR(10) &amp; "RSL Ultimate shuttles provided" &amp; CHAR(10) &amp; CHAR(10) &amp; "PM if interested, thank you!"," ")</f>
        <v xml:space="preserve"> </v>
      </c>
      <c r="B202" s="2" t="str">
        <f ca="1">IF('Profit &amp; Loss'!A205&gt;=TODAY(), "Date: " &amp; TEXT('Profit &amp; Loss'!A205,"dd mmm yyy") &amp; ", " &amp; 'Profit &amp; Loss'!B205 &amp; CHAR(10) &amp; "Time: " &amp; TEXT('Profit &amp; Loss'!C205, "hh:mm AM/PM") &amp; " - " &amp; TEXT('Profit &amp; Loss'!D205, "hh:mm AM/PM") &amp; CHAR(10) &amp; "Venue: " &amp; 'Profit &amp; Loss'!E205 &amp; CHAR(10) &amp; "Court No.: " &amp; 'Profit &amp; Loss'!F205 &amp; CHAR(10) &amp; "Level: HB - LI" &amp; CHAR(10) &amp; "Please transfer $" &amp; 'Profit &amp; Loss'!O205 &amp; " per pax to Belle (83396501)" &amp; CHAR(10) &amp; CHAR(10) &amp; IF('Profit &amp; Loss'!I205=1, "1." &amp; CHAR(10) &amp; "2." &amp; CHAR(10) &amp; "3." &amp; CHAR(10) &amp; "4." &amp; CHAR(10) &amp; "5." &amp; CHAR(10) &amp; "6." &amp; CHAR(10), IF('Profit &amp; Loss'!I205=2,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3" spans="1:2" ht="12.5" x14ac:dyDescent="0.25">
      <c r="A203" s="2" t="str">
        <f ca="1">IF('Profit &amp; Loss'!A206&gt;=TODAY(),"Looking for friendly players to join the following game: " &amp; CHAR(10) &amp; CHAR(10) &amp; "Date: " &amp; TEXT('Profit &amp; Loss'!A206,"dd mmm yyy") &amp; ", " &amp; 'Profit &amp; Loss'!B206 &amp; CHAR(10) &amp; "Time: " &amp; TEXT('Profit &amp; Loss'!C206, "hh:mm AM/PM") &amp; " - " &amp; TEXT('Profit &amp; Loss'!D206, "hh:mm AM/PM") &amp; CHAR(10) &amp; "Venue: " &amp; 'Profit &amp; Loss'!E206 &amp; CHAR(10) &amp; "Level: HB - LI" &amp; CHAR(10) &amp; "Cost: $" &amp; 'Profit &amp; Loss'!O206 &amp; " per pax" &amp; CHAR(10) &amp; "Max " &amp; 'Profit &amp; Loss'!I206*6 &amp; " pax," &amp; " (" &amp; 'Profit &amp; Loss'!I206 &amp; " courts)" &amp; CHAR(10) &amp; CHAR(10) &amp; "RSL Ultimate shuttles provided" &amp; CHAR(10) &amp; CHAR(10) &amp; "PM if interested, thank you!"," ")</f>
        <v xml:space="preserve"> </v>
      </c>
      <c r="B203" s="2" t="str">
        <f ca="1">IF('Profit &amp; Loss'!A206&gt;=TODAY(), "Date: " &amp; TEXT('Profit &amp; Loss'!A206,"dd mmm yyy") &amp; ", " &amp; 'Profit &amp; Loss'!B206 &amp; CHAR(10) &amp; "Time: " &amp; TEXT('Profit &amp; Loss'!C206, "hh:mm AM/PM") &amp; " - " &amp; TEXT('Profit &amp; Loss'!D206, "hh:mm AM/PM") &amp; CHAR(10) &amp; "Venue: " &amp; 'Profit &amp; Loss'!E206 &amp; CHAR(10) &amp; "Court No.: " &amp; 'Profit &amp; Loss'!F206 &amp; CHAR(10) &amp; "Level: HB - LI" &amp; CHAR(10) &amp; "Please transfer $" &amp; 'Profit &amp; Loss'!O206 &amp; " per pax to Belle (83396501)" &amp; CHAR(10) &amp; CHAR(10) &amp; IF('Profit &amp; Loss'!I206=1, "1." &amp; CHAR(10) &amp; "2." &amp; CHAR(10) &amp; "3." &amp; CHAR(10) &amp; "4." &amp; CHAR(10) &amp; "5." &amp; CHAR(10) &amp; "6." &amp; CHAR(10), IF('Profit &amp; Loss'!I206=2,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4" spans="1:2" ht="12.5" x14ac:dyDescent="0.25">
      <c r="A204" s="2" t="str">
        <f ca="1">IF('Profit &amp; Loss'!A207&gt;=TODAY(),"Looking for friendly players to join the following game: " &amp; CHAR(10) &amp; CHAR(10) &amp; "Date: " &amp; TEXT('Profit &amp; Loss'!A207,"dd mmm yyy") &amp; ", " &amp; 'Profit &amp; Loss'!B207 &amp; CHAR(10) &amp; "Time: " &amp; TEXT('Profit &amp; Loss'!C207, "hh:mm AM/PM") &amp; " - " &amp; TEXT('Profit &amp; Loss'!D207, "hh:mm AM/PM") &amp; CHAR(10) &amp; "Venue: " &amp; 'Profit &amp; Loss'!E207 &amp; CHAR(10) &amp; "Level: HB - LI" &amp; CHAR(10) &amp; "Cost: $" &amp; 'Profit &amp; Loss'!O207 &amp; " per pax" &amp; CHAR(10) &amp; "Max " &amp; 'Profit &amp; Loss'!I207*6 &amp; " pax," &amp; " (" &amp; 'Profit &amp; Loss'!I207 &amp; " courts)" &amp; CHAR(10) &amp; CHAR(10) &amp; "RSL Ultimate shuttles provided" &amp; CHAR(10) &amp; CHAR(10) &amp; "PM if interested, thank you!"," ")</f>
        <v xml:space="preserve"> </v>
      </c>
      <c r="B204" s="2" t="str">
        <f ca="1">IF('Profit &amp; Loss'!A207&gt;=TODAY(), "Date: " &amp; TEXT('Profit &amp; Loss'!A207,"dd mmm yyy") &amp; ", " &amp; 'Profit &amp; Loss'!B207 &amp; CHAR(10) &amp; "Time: " &amp; TEXT('Profit &amp; Loss'!C207, "hh:mm AM/PM") &amp; " - " &amp; TEXT('Profit &amp; Loss'!D207, "hh:mm AM/PM") &amp; CHAR(10) &amp; "Venue: " &amp; 'Profit &amp; Loss'!E207 &amp; CHAR(10) &amp; "Court No.: " &amp; 'Profit &amp; Loss'!F207 &amp; CHAR(10) &amp; "Level: HB - LI" &amp; CHAR(10) &amp; "Please transfer $" &amp; 'Profit &amp; Loss'!O207 &amp; " per pax to Belle (83396501)" &amp; CHAR(10) &amp; CHAR(10) &amp; IF('Profit &amp; Loss'!I207=1, "1." &amp; CHAR(10) &amp; "2." &amp; CHAR(10) &amp; "3." &amp; CHAR(10) &amp; "4." &amp; CHAR(10) &amp; "5." &amp; CHAR(10) &amp; "6." &amp; CHAR(10), IF('Profit &amp; Loss'!I207=2,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5" spans="1:2" ht="12.5" x14ac:dyDescent="0.25">
      <c r="A205" s="2" t="str">
        <f ca="1">IF('Profit &amp; Loss'!A208&gt;=TODAY(),"Looking for friendly players to join the following game: " &amp; CHAR(10) &amp; CHAR(10) &amp; "Date: " &amp; TEXT('Profit &amp; Loss'!A208,"dd mmm yyy") &amp; ", " &amp; 'Profit &amp; Loss'!B208 &amp; CHAR(10) &amp; "Time: " &amp; TEXT('Profit &amp; Loss'!C208, "hh:mm AM/PM") &amp; " - " &amp; TEXT('Profit &amp; Loss'!D208, "hh:mm AM/PM") &amp; CHAR(10) &amp; "Venue: " &amp; 'Profit &amp; Loss'!E208 &amp; CHAR(10) &amp; "Level: HB - LI" &amp; CHAR(10) &amp; "Cost: $" &amp; 'Profit &amp; Loss'!O208 &amp; " per pax" &amp; CHAR(10) &amp; "Max " &amp; 'Profit &amp; Loss'!I208*6 &amp; " pax," &amp; " (" &amp; 'Profit &amp; Loss'!I208 &amp; " courts)" &amp; CHAR(10) &amp; CHAR(10) &amp; "RSL Ultimate shuttles provided" &amp; CHAR(10) &amp; CHAR(10) &amp; "PM if interested, thank you!"," ")</f>
        <v xml:space="preserve"> </v>
      </c>
      <c r="B205" s="2" t="str">
        <f ca="1">IF('Profit &amp; Loss'!A208&gt;=TODAY(), "Date: " &amp; TEXT('Profit &amp; Loss'!A208,"dd mmm yyy") &amp; ", " &amp; 'Profit &amp; Loss'!B208 &amp; CHAR(10) &amp; "Time: " &amp; TEXT('Profit &amp; Loss'!C208, "hh:mm AM/PM") &amp; " - " &amp; TEXT('Profit &amp; Loss'!D208, "hh:mm AM/PM") &amp; CHAR(10) &amp; "Venue: " &amp; 'Profit &amp; Loss'!E208 &amp; CHAR(10) &amp; "Court No.: " &amp; 'Profit &amp; Loss'!F208 &amp; CHAR(10) &amp; "Level: HB - LI" &amp; CHAR(10) &amp; "Please transfer $" &amp; 'Profit &amp; Loss'!O208 &amp; " per pax to Belle (83396501)" &amp; CHAR(10) &amp; CHAR(10) &amp; IF('Profit &amp; Loss'!I208=1, "1." &amp; CHAR(10) &amp; "2." &amp; CHAR(10) &amp; "3." &amp; CHAR(10) &amp; "4." &amp; CHAR(10) &amp; "5." &amp; CHAR(10) &amp; "6." &amp; CHAR(10), IF('Profit &amp; Loss'!I208=2,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6" spans="1:2" ht="12.5" x14ac:dyDescent="0.25">
      <c r="A206" s="2" t="str">
        <f ca="1">IF('Profit &amp; Loss'!A209&gt;=TODAY(),"Looking for friendly players to join the following game: " &amp; CHAR(10) &amp; CHAR(10) &amp; "Date: " &amp; TEXT('Profit &amp; Loss'!A209,"dd mmm yyy") &amp; ", " &amp; 'Profit &amp; Loss'!B209 &amp; CHAR(10) &amp; "Time: " &amp; TEXT('Profit &amp; Loss'!C209, "hh:mm AM/PM") &amp; " - " &amp; TEXT('Profit &amp; Loss'!D209, "hh:mm AM/PM") &amp; CHAR(10) &amp; "Venue: " &amp; 'Profit &amp; Loss'!E209 &amp; CHAR(10) &amp; "Level: HB - LI" &amp; CHAR(10) &amp; "Cost: $" &amp; 'Profit &amp; Loss'!O209 &amp; " per pax" &amp; CHAR(10) &amp; "Max " &amp; 'Profit &amp; Loss'!I209*6 &amp; " pax," &amp; " (" &amp; 'Profit &amp; Loss'!I209 &amp; " courts)" &amp; CHAR(10) &amp; CHAR(10) &amp; "RSL Ultimate shuttles provided" &amp; CHAR(10) &amp; CHAR(10) &amp; "PM if interested, thank you!"," ")</f>
        <v xml:space="preserve"> </v>
      </c>
      <c r="B206" s="2" t="str">
        <f ca="1">IF('Profit &amp; Loss'!A209&gt;=TODAY(), "Date: " &amp; TEXT('Profit &amp; Loss'!A209,"dd mmm yyy") &amp; ", " &amp; 'Profit &amp; Loss'!B209 &amp; CHAR(10) &amp; "Time: " &amp; TEXT('Profit &amp; Loss'!C209, "hh:mm AM/PM") &amp; " - " &amp; TEXT('Profit &amp; Loss'!D209, "hh:mm AM/PM") &amp; CHAR(10) &amp; "Venue: " &amp; 'Profit &amp; Loss'!E209 &amp; CHAR(10) &amp; "Court No.: " &amp; 'Profit &amp; Loss'!F209 &amp; CHAR(10) &amp; "Level: HB - LI" &amp; CHAR(10) &amp; "Please transfer $" &amp; 'Profit &amp; Loss'!O209 &amp; " per pax to Belle (83396501)" &amp; CHAR(10) &amp; CHAR(10) &amp; IF('Profit &amp; Loss'!I209=1, "1." &amp; CHAR(10) &amp; "2." &amp; CHAR(10) &amp; "3." &amp; CHAR(10) &amp; "4." &amp; CHAR(10) &amp; "5." &amp; CHAR(10) &amp; "6." &amp; CHAR(10), IF('Profit &amp; Loss'!I209=2,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7" spans="1:2" ht="12.5" x14ac:dyDescent="0.25">
      <c r="A207" s="2" t="str">
        <f ca="1">IF('Profit &amp; Loss'!A210&gt;=TODAY(),"Looking for friendly players to join the following game: " &amp; CHAR(10) &amp; CHAR(10) &amp; "Date: " &amp; TEXT('Profit &amp; Loss'!A210,"dd mmm yyy") &amp; ", " &amp; 'Profit &amp; Loss'!B210 &amp; CHAR(10) &amp; "Time: " &amp; TEXT('Profit &amp; Loss'!C210, "hh:mm AM/PM") &amp; " - " &amp; TEXT('Profit &amp; Loss'!D210, "hh:mm AM/PM") &amp; CHAR(10) &amp; "Venue: " &amp; 'Profit &amp; Loss'!E210 &amp; CHAR(10) &amp; "Level: HB - LI" &amp; CHAR(10) &amp; "Cost: $" &amp; 'Profit &amp; Loss'!O210 &amp; " per pax" &amp; CHAR(10) &amp; "Max " &amp; 'Profit &amp; Loss'!I210*6 &amp; " pax," &amp; " (" &amp; 'Profit &amp; Loss'!I210 &amp; " courts)" &amp; CHAR(10) &amp; CHAR(10) &amp; "RSL Ultimate shuttles provided" &amp; CHAR(10) &amp; CHAR(10) &amp; "PM if interested, thank you!"," ")</f>
        <v xml:space="preserve"> </v>
      </c>
      <c r="B207" s="2" t="str">
        <f ca="1">IF('Profit &amp; Loss'!A210&gt;=TODAY(), "Date: " &amp; TEXT('Profit &amp; Loss'!A210,"dd mmm yyy") &amp; ", " &amp; 'Profit &amp; Loss'!B210 &amp; CHAR(10) &amp; "Time: " &amp; TEXT('Profit &amp; Loss'!C210, "hh:mm AM/PM") &amp; " - " &amp; TEXT('Profit &amp; Loss'!D210, "hh:mm AM/PM") &amp; CHAR(10) &amp; "Venue: " &amp; 'Profit &amp; Loss'!E210 &amp; CHAR(10) &amp; "Court No.: " &amp; 'Profit &amp; Loss'!F210 &amp; CHAR(10) &amp; "Level: HB - LI" &amp; CHAR(10) &amp; "Please transfer $" &amp; 'Profit &amp; Loss'!O210 &amp; " per pax to Belle (83396501)" &amp; CHAR(10) &amp; CHAR(10) &amp; IF('Profit &amp; Loss'!I210=1, "1." &amp; CHAR(10) &amp; "2." &amp; CHAR(10) &amp; "3." &amp; CHAR(10) &amp; "4." &amp; CHAR(10) &amp; "5." &amp; CHAR(10) &amp; "6." &amp; CHAR(10), IF('Profit &amp; Loss'!I210=2,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8" spans="1:2" ht="12.5" x14ac:dyDescent="0.25">
      <c r="A208" s="2" t="str">
        <f ca="1">IF('Profit &amp; Loss'!A211&gt;=TODAY(),"Looking for friendly players to join the following game: " &amp; CHAR(10) &amp; CHAR(10) &amp; "Date: " &amp; TEXT('Profit &amp; Loss'!A211,"dd mmm yyy") &amp; ", " &amp; 'Profit &amp; Loss'!B211 &amp; CHAR(10) &amp; "Time: " &amp; TEXT('Profit &amp; Loss'!C211, "hh:mm AM/PM") &amp; " - " &amp; TEXT('Profit &amp; Loss'!D211, "hh:mm AM/PM") &amp; CHAR(10) &amp; "Venue: " &amp; 'Profit &amp; Loss'!E211 &amp; CHAR(10) &amp; "Level: HB - LI" &amp; CHAR(10) &amp; "Cost: $" &amp; 'Profit &amp; Loss'!O211 &amp; " per pax" &amp; CHAR(10) &amp; "Max " &amp; 'Profit &amp; Loss'!I211*6 &amp; " pax," &amp; " (" &amp; 'Profit &amp; Loss'!I211 &amp; " courts)" &amp; CHAR(10) &amp; CHAR(10) &amp; "RSL Ultimate shuttles provided" &amp; CHAR(10) &amp; CHAR(10) &amp; "PM if interested, thank you!"," ")</f>
        <v xml:space="preserve"> </v>
      </c>
      <c r="B208" s="2" t="str">
        <f ca="1">IF('Profit &amp; Loss'!A211&gt;=TODAY(), "Date: " &amp; TEXT('Profit &amp; Loss'!A211,"dd mmm yyy") &amp; ", " &amp; 'Profit &amp; Loss'!B211 &amp; CHAR(10) &amp; "Time: " &amp; TEXT('Profit &amp; Loss'!C211, "hh:mm AM/PM") &amp; " - " &amp; TEXT('Profit &amp; Loss'!D211, "hh:mm AM/PM") &amp; CHAR(10) &amp; "Venue: " &amp; 'Profit &amp; Loss'!E211 &amp; CHAR(10) &amp; "Court No.: " &amp; 'Profit &amp; Loss'!F211 &amp; CHAR(10) &amp; "Level: HB - LI" &amp; CHAR(10) &amp; "Please transfer $" &amp; 'Profit &amp; Loss'!O211 &amp; " per pax to Belle (83396501)" &amp; CHAR(10) &amp; CHAR(10) &amp; IF('Profit &amp; Loss'!I211=1, "1." &amp; CHAR(10) &amp; "2." &amp; CHAR(10) &amp; "3." &amp; CHAR(10) &amp; "4." &amp; CHAR(10) &amp; "5." &amp; CHAR(10) &amp; "6." &amp; CHAR(10), IF('Profit &amp; Loss'!I211=2,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09" spans="1:2" ht="12.5" x14ac:dyDescent="0.25">
      <c r="A209" s="2" t="str">
        <f ca="1">IF('Profit &amp; Loss'!A212&gt;=TODAY(),"Looking for friendly players to join the following game: " &amp; CHAR(10) &amp; CHAR(10) &amp; "Date: " &amp; TEXT('Profit &amp; Loss'!A212,"dd mmm yyy") &amp; ", " &amp; 'Profit &amp; Loss'!B212 &amp; CHAR(10) &amp; "Time: " &amp; TEXT('Profit &amp; Loss'!C212, "hh:mm AM/PM") &amp; " - " &amp; TEXT('Profit &amp; Loss'!D212, "hh:mm AM/PM") &amp; CHAR(10) &amp; "Venue: " &amp; 'Profit &amp; Loss'!E212 &amp; CHAR(10) &amp; "Level: HB - LI" &amp; CHAR(10) &amp; "Cost: $" &amp; 'Profit &amp; Loss'!O212 &amp; " per pax" &amp; CHAR(10) &amp; "Max " &amp; 'Profit &amp; Loss'!I212*6 &amp; " pax," &amp; " (" &amp; 'Profit &amp; Loss'!I212 &amp; " courts)" &amp; CHAR(10) &amp; CHAR(10) &amp; "RSL Ultimate shuttles provided" &amp; CHAR(10) &amp; CHAR(10) &amp; "PM if interested, thank you!"," ")</f>
        <v xml:space="preserve"> </v>
      </c>
      <c r="B209" s="2" t="str">
        <f ca="1">IF('Profit &amp; Loss'!A212&gt;=TODAY(), "Date: " &amp; TEXT('Profit &amp; Loss'!A212,"dd mmm yyy") &amp; ", " &amp; 'Profit &amp; Loss'!B212 &amp; CHAR(10) &amp; "Time: " &amp; TEXT('Profit &amp; Loss'!C212, "hh:mm AM/PM") &amp; " - " &amp; TEXT('Profit &amp; Loss'!D212, "hh:mm AM/PM") &amp; CHAR(10) &amp; "Venue: " &amp; 'Profit &amp; Loss'!E212 &amp; CHAR(10) &amp; "Court No.: " &amp; 'Profit &amp; Loss'!F212 &amp; CHAR(10) &amp; "Level: HB - LI" &amp; CHAR(10) &amp; "Please transfer $" &amp; 'Profit &amp; Loss'!O212 &amp; " per pax to Belle (83396501)" &amp; CHAR(10) &amp; CHAR(10) &amp; IF('Profit &amp; Loss'!I212=1, "1." &amp; CHAR(10) &amp; "2." &amp; CHAR(10) &amp; "3." &amp; CHAR(10) &amp; "4." &amp; CHAR(10) &amp; "5." &amp; CHAR(10) &amp; "6." &amp; CHAR(10), IF('Profit &amp; Loss'!I212=2,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0" spans="1:2" ht="12.5" x14ac:dyDescent="0.25">
      <c r="A210" s="2" t="str">
        <f ca="1">IF('Profit &amp; Loss'!A213&gt;=TODAY(),"Looking for friendly players to join the following game: " &amp; CHAR(10) &amp; CHAR(10) &amp; "Date: " &amp; TEXT('Profit &amp; Loss'!A213,"dd mmm yyy") &amp; ", " &amp; 'Profit &amp; Loss'!B213 &amp; CHAR(10) &amp; "Time: " &amp; TEXT('Profit &amp; Loss'!C213, "hh:mm AM/PM") &amp; " - " &amp; TEXT('Profit &amp; Loss'!D213, "hh:mm AM/PM") &amp; CHAR(10) &amp; "Venue: " &amp; 'Profit &amp; Loss'!E213 &amp; CHAR(10) &amp; "Level: HB - LI" &amp; CHAR(10) &amp; "Cost: $" &amp; 'Profit &amp; Loss'!O213 &amp; " per pax" &amp; CHAR(10) &amp; "Max " &amp; 'Profit &amp; Loss'!I213*6 &amp; " pax," &amp; " (" &amp; 'Profit &amp; Loss'!I213 &amp; " courts)" &amp; CHAR(10) &amp; CHAR(10) &amp; "RSL Ultimate shuttles provided" &amp; CHAR(10) &amp; CHAR(10) &amp; "PM if interested, thank you!"," ")</f>
        <v xml:space="preserve"> </v>
      </c>
      <c r="B210" s="2" t="str">
        <f ca="1">IF('Profit &amp; Loss'!A213&gt;=TODAY(), "Date: " &amp; TEXT('Profit &amp; Loss'!A213,"dd mmm yyy") &amp; ", " &amp; 'Profit &amp; Loss'!B213 &amp; CHAR(10) &amp; "Time: " &amp; TEXT('Profit &amp; Loss'!C213, "hh:mm AM/PM") &amp; " - " &amp; TEXT('Profit &amp; Loss'!D213, "hh:mm AM/PM") &amp; CHAR(10) &amp; "Venue: " &amp; 'Profit &amp; Loss'!E213 &amp; CHAR(10) &amp; "Court No.: " &amp; 'Profit &amp; Loss'!F213 &amp; CHAR(10) &amp; "Level: HB - LI" &amp; CHAR(10) &amp; "Please transfer $" &amp; 'Profit &amp; Loss'!O213 &amp; " per pax to Belle (83396501)" &amp; CHAR(10) &amp; CHAR(10) &amp; IF('Profit &amp; Loss'!I213=1, "1." &amp; CHAR(10) &amp; "2." &amp; CHAR(10) &amp; "3." &amp; CHAR(10) &amp; "4." &amp; CHAR(10) &amp; "5." &amp; CHAR(10) &amp; "6." &amp; CHAR(10), IF('Profit &amp; Loss'!I213=2,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1" spans="1:2" ht="12.5" x14ac:dyDescent="0.25">
      <c r="A211" s="2" t="str">
        <f ca="1">IF('Profit &amp; Loss'!A214&gt;=TODAY(),"Looking for friendly players to join the following game: " &amp; CHAR(10) &amp; CHAR(10) &amp; "Date: " &amp; TEXT('Profit &amp; Loss'!A214,"dd mmm yyy") &amp; ", " &amp; 'Profit &amp; Loss'!B214 &amp; CHAR(10) &amp; "Time: " &amp; TEXT('Profit &amp; Loss'!C214, "hh:mm AM/PM") &amp; " - " &amp; TEXT('Profit &amp; Loss'!D214, "hh:mm AM/PM") &amp; CHAR(10) &amp; "Venue: " &amp; 'Profit &amp; Loss'!E214 &amp; CHAR(10) &amp; "Level: HB - LI" &amp; CHAR(10) &amp; "Cost: $" &amp; 'Profit &amp; Loss'!O214 &amp; " per pax" &amp; CHAR(10) &amp; "Max " &amp; 'Profit &amp; Loss'!I214*6 &amp; " pax," &amp; " (" &amp; 'Profit &amp; Loss'!I214 &amp; " courts)" &amp; CHAR(10) &amp; CHAR(10) &amp; "RSL Ultimate shuttles provided" &amp; CHAR(10) &amp; CHAR(10) &amp; "PM if interested, thank you!"," ")</f>
        <v xml:space="preserve"> </v>
      </c>
      <c r="B211" s="2" t="str">
        <f ca="1">IF('Profit &amp; Loss'!A214&gt;=TODAY(), "Date: " &amp; TEXT('Profit &amp; Loss'!A214,"dd mmm yyy") &amp; ", " &amp; 'Profit &amp; Loss'!B214 &amp; CHAR(10) &amp; "Time: " &amp; TEXT('Profit &amp; Loss'!C214, "hh:mm AM/PM") &amp; " - " &amp; TEXT('Profit &amp; Loss'!D214, "hh:mm AM/PM") &amp; CHAR(10) &amp; "Venue: " &amp; 'Profit &amp; Loss'!E214 &amp; CHAR(10) &amp; "Court No.: " &amp; 'Profit &amp; Loss'!F214 &amp; CHAR(10) &amp; "Level: HB - LI" &amp; CHAR(10) &amp; "Please transfer $" &amp; 'Profit &amp; Loss'!O214 &amp; " per pax to Belle (83396501)" &amp; CHAR(10) &amp; CHAR(10) &amp; IF('Profit &amp; Loss'!I214=1, "1." &amp; CHAR(10) &amp; "2." &amp; CHAR(10) &amp; "3." &amp; CHAR(10) &amp; "4." &amp; CHAR(10) &amp; "5." &amp; CHAR(10) &amp; "6." &amp; CHAR(10), IF('Profit &amp; Loss'!I214=2,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2" spans="1:2" ht="12.5" x14ac:dyDescent="0.25">
      <c r="A212" s="2" t="str">
        <f ca="1">IF('Profit &amp; Loss'!A215&gt;=TODAY(),"Looking for friendly players to join the following game: " &amp; CHAR(10) &amp; CHAR(10) &amp; "Date: " &amp; TEXT('Profit &amp; Loss'!A215,"dd mmm yyy") &amp; ", " &amp; 'Profit &amp; Loss'!B215 &amp; CHAR(10) &amp; "Time: " &amp; TEXT('Profit &amp; Loss'!C215, "hh:mm AM/PM") &amp; " - " &amp; TEXT('Profit &amp; Loss'!D215, "hh:mm AM/PM") &amp; CHAR(10) &amp; "Venue: " &amp; 'Profit &amp; Loss'!E215 &amp; CHAR(10) &amp; "Level: HB - LI" &amp; CHAR(10) &amp; "Cost: $" &amp; 'Profit &amp; Loss'!O215 &amp; " per pax" &amp; CHAR(10) &amp; "Max " &amp; 'Profit &amp; Loss'!I215*6 &amp; " pax," &amp; " (" &amp; 'Profit &amp; Loss'!I215 &amp; " courts)" &amp; CHAR(10) &amp; CHAR(10) &amp; "RSL Ultimate shuttles provided" &amp; CHAR(10) &amp; CHAR(10) &amp; "PM if interested, thank you!"," ")</f>
        <v xml:space="preserve"> </v>
      </c>
      <c r="B212" s="2" t="str">
        <f ca="1">IF('Profit &amp; Loss'!A215&gt;=TODAY(), "Date: " &amp; TEXT('Profit &amp; Loss'!A215,"dd mmm yyy") &amp; ", " &amp; 'Profit &amp; Loss'!B215 &amp; CHAR(10) &amp; "Time: " &amp; TEXT('Profit &amp; Loss'!C215, "hh:mm AM/PM") &amp; " - " &amp; TEXT('Profit &amp; Loss'!D215, "hh:mm AM/PM") &amp; CHAR(10) &amp; "Venue: " &amp; 'Profit &amp; Loss'!E215 &amp; CHAR(10) &amp; "Court No.: " &amp; 'Profit &amp; Loss'!F215 &amp; CHAR(10) &amp; "Level: HB - LI" &amp; CHAR(10) &amp; "Please transfer $" &amp; 'Profit &amp; Loss'!O215 &amp; " per pax to Belle (83396501)" &amp; CHAR(10) &amp; CHAR(10) &amp; IF('Profit &amp; Loss'!I215=1, "1." &amp; CHAR(10) &amp; "2." &amp; CHAR(10) &amp; "3." &amp; CHAR(10) &amp; "4." &amp; CHAR(10) &amp; "5." &amp; CHAR(10) &amp; "6." &amp; CHAR(10), IF('Profit &amp; Loss'!I215=2,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3" spans="1:2" ht="12.5" x14ac:dyDescent="0.25">
      <c r="A213" s="2" t="str">
        <f ca="1">IF('Profit &amp; Loss'!A216&gt;=TODAY(),"Looking for friendly players to join the following game: " &amp; CHAR(10) &amp; CHAR(10) &amp; "Date: " &amp; TEXT('Profit &amp; Loss'!A216,"dd mmm yyy") &amp; ", " &amp; 'Profit &amp; Loss'!B216 &amp; CHAR(10) &amp; "Time: " &amp; TEXT('Profit &amp; Loss'!C216, "hh:mm AM/PM") &amp; " - " &amp; TEXT('Profit &amp; Loss'!D216, "hh:mm AM/PM") &amp; CHAR(10) &amp; "Venue: " &amp; 'Profit &amp; Loss'!E216 &amp; CHAR(10) &amp; "Level: HB - LI" &amp; CHAR(10) &amp; "Cost: $" &amp; 'Profit &amp; Loss'!O216 &amp; " per pax" &amp; CHAR(10) &amp; "Max " &amp; 'Profit &amp; Loss'!I216*6 &amp; " pax," &amp; " (" &amp; 'Profit &amp; Loss'!I216 &amp; " courts)" &amp; CHAR(10) &amp; CHAR(10) &amp; "RSL Ultimate shuttles provided" &amp; CHAR(10) &amp; CHAR(10) &amp; "PM if interested, thank you!"," ")</f>
        <v xml:space="preserve"> </v>
      </c>
      <c r="B213" s="2" t="str">
        <f ca="1">IF('Profit &amp; Loss'!A216&gt;=TODAY(), "Date: " &amp; TEXT('Profit &amp; Loss'!A216,"dd mmm yyy") &amp; ", " &amp; 'Profit &amp; Loss'!B216 &amp; CHAR(10) &amp; "Time: " &amp; TEXT('Profit &amp; Loss'!C216, "hh:mm AM/PM") &amp; " - " &amp; TEXT('Profit &amp; Loss'!D216, "hh:mm AM/PM") &amp; CHAR(10) &amp; "Venue: " &amp; 'Profit &amp; Loss'!E216 &amp; CHAR(10) &amp; "Court No.: " &amp; 'Profit &amp; Loss'!F216 &amp; CHAR(10) &amp; "Level: HB - LI" &amp; CHAR(10) &amp; "Please transfer $" &amp; 'Profit &amp; Loss'!O216 &amp; " per pax to Belle (83396501)" &amp; CHAR(10) &amp; CHAR(10) &amp; IF('Profit &amp; Loss'!I216=1, "1." &amp; CHAR(10) &amp; "2." &amp; CHAR(10) &amp; "3." &amp; CHAR(10) &amp; "4." &amp; CHAR(10) &amp; "5." &amp; CHAR(10) &amp; "6." &amp; CHAR(10), IF('Profit &amp; Loss'!I216=2,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4" spans="1:2" ht="12.5" x14ac:dyDescent="0.25">
      <c r="A214" s="2" t="str">
        <f ca="1">IF('Profit &amp; Loss'!A217&gt;=TODAY(),"Looking for friendly players to join the following game: " &amp; CHAR(10) &amp; CHAR(10) &amp; "Date: " &amp; TEXT('Profit &amp; Loss'!A217,"dd mmm yyy") &amp; ", " &amp; 'Profit &amp; Loss'!B217 &amp; CHAR(10) &amp; "Time: " &amp; TEXT('Profit &amp; Loss'!C217, "hh:mm AM/PM") &amp; " - " &amp; TEXT('Profit &amp; Loss'!D217, "hh:mm AM/PM") &amp; CHAR(10) &amp; "Venue: " &amp; 'Profit &amp; Loss'!E217 &amp; CHAR(10) &amp; "Level: HB - LI" &amp; CHAR(10) &amp; "Cost: $" &amp; 'Profit &amp; Loss'!O217 &amp; " per pax" &amp; CHAR(10) &amp; "Max " &amp; 'Profit &amp; Loss'!I217*6 &amp; " pax," &amp; " (" &amp; 'Profit &amp; Loss'!I217 &amp; " courts)" &amp; CHAR(10) &amp; CHAR(10) &amp; "RSL Ultimate shuttles provided" &amp; CHAR(10) &amp; CHAR(10) &amp; "PM if interested, thank you!"," ")</f>
        <v xml:space="preserve"> </v>
      </c>
      <c r="B214" s="2" t="str">
        <f ca="1">IF('Profit &amp; Loss'!A217&gt;=TODAY(), "Date: " &amp; TEXT('Profit &amp; Loss'!A217,"dd mmm yyy") &amp; ", " &amp; 'Profit &amp; Loss'!B217 &amp; CHAR(10) &amp; "Time: " &amp; TEXT('Profit &amp; Loss'!C217, "hh:mm AM/PM") &amp; " - " &amp; TEXT('Profit &amp; Loss'!D217, "hh:mm AM/PM") &amp; CHAR(10) &amp; "Venue: " &amp; 'Profit &amp; Loss'!E217 &amp; CHAR(10) &amp; "Court No.: " &amp; 'Profit &amp; Loss'!F217 &amp; CHAR(10) &amp; "Level: HB - LI" &amp; CHAR(10) &amp; "Please transfer $" &amp; 'Profit &amp; Loss'!O217 &amp; " per pax to Belle (83396501)" &amp; CHAR(10) &amp; CHAR(10) &amp; IF('Profit &amp; Loss'!I217=1, "1." &amp; CHAR(10) &amp; "2." &amp; CHAR(10) &amp; "3." &amp; CHAR(10) &amp; "4." &amp; CHAR(10) &amp; "5." &amp; CHAR(10) &amp; "6." &amp; CHAR(10), IF('Profit &amp; Loss'!I217=2,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5" spans="1:2" ht="12.5" x14ac:dyDescent="0.25">
      <c r="A215" s="2" t="str">
        <f ca="1">IF('Profit &amp; Loss'!A218&gt;=TODAY(),"Looking for friendly players to join the following game: " &amp; CHAR(10) &amp; CHAR(10) &amp; "Date: " &amp; TEXT('Profit &amp; Loss'!A218,"dd mmm yyy") &amp; ", " &amp; 'Profit &amp; Loss'!B218 &amp; CHAR(10) &amp; "Time: " &amp; TEXT('Profit &amp; Loss'!C218, "hh:mm AM/PM") &amp; " - " &amp; TEXT('Profit &amp; Loss'!D218, "hh:mm AM/PM") &amp; CHAR(10) &amp; "Venue: " &amp; 'Profit &amp; Loss'!E218 &amp; CHAR(10) &amp; "Level: HB - LI" &amp; CHAR(10) &amp; "Cost: $" &amp; 'Profit &amp; Loss'!O218 &amp; " per pax" &amp; CHAR(10) &amp; "Max " &amp; 'Profit &amp; Loss'!I218*6 &amp; " pax," &amp; " (" &amp; 'Profit &amp; Loss'!I218 &amp; " courts)" &amp; CHAR(10) &amp; CHAR(10) &amp; "RSL Ultimate shuttles provided" &amp; CHAR(10) &amp; CHAR(10) &amp; "PM if interested, thank you!"," ")</f>
        <v xml:space="preserve"> </v>
      </c>
      <c r="B215" s="2" t="str">
        <f ca="1">IF('Profit &amp; Loss'!A218&gt;=TODAY(), "Date: " &amp; TEXT('Profit &amp; Loss'!A218,"dd mmm yyy") &amp; ", " &amp; 'Profit &amp; Loss'!B218 &amp; CHAR(10) &amp; "Time: " &amp; TEXT('Profit &amp; Loss'!C218, "hh:mm AM/PM") &amp; " - " &amp; TEXT('Profit &amp; Loss'!D218, "hh:mm AM/PM") &amp; CHAR(10) &amp; "Venue: " &amp; 'Profit &amp; Loss'!E218 &amp; CHAR(10) &amp; "Court No.: " &amp; 'Profit &amp; Loss'!F218 &amp; CHAR(10) &amp; "Level: HB - LI" &amp; CHAR(10) &amp; "Please transfer $" &amp; 'Profit &amp; Loss'!O218 &amp; " per pax to Belle (83396501)" &amp; CHAR(10) &amp; CHAR(10) &amp; IF('Profit &amp; Loss'!I218=1, "1." &amp; CHAR(10) &amp; "2." &amp; CHAR(10) &amp; "3." &amp; CHAR(10) &amp; "4." &amp; CHAR(10) &amp; "5." &amp; CHAR(10) &amp; "6." &amp; CHAR(10), IF('Profit &amp; Loss'!I218=2,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6" spans="1:2" ht="12.5" x14ac:dyDescent="0.25">
      <c r="A216" s="2" t="str">
        <f ca="1">IF('Profit &amp; Loss'!A219&gt;=TODAY(),"Looking for friendly players to join the following game: " &amp; CHAR(10) &amp; CHAR(10) &amp; "Date: " &amp; TEXT('Profit &amp; Loss'!A219,"dd mmm yyy") &amp; ", " &amp; 'Profit &amp; Loss'!B219 &amp; CHAR(10) &amp; "Time: " &amp; TEXT('Profit &amp; Loss'!C219, "hh:mm AM/PM") &amp; " - " &amp; TEXT('Profit &amp; Loss'!D219, "hh:mm AM/PM") &amp; CHAR(10) &amp; "Venue: " &amp; 'Profit &amp; Loss'!E219 &amp; CHAR(10) &amp; "Level: HB - LI" &amp; CHAR(10) &amp; "Cost: $" &amp; 'Profit &amp; Loss'!O219 &amp; " per pax" &amp; CHAR(10) &amp; "Max " &amp; 'Profit &amp; Loss'!I219*6 &amp; " pax," &amp; " (" &amp; 'Profit &amp; Loss'!I219 &amp; " courts)" &amp; CHAR(10) &amp; CHAR(10) &amp; "RSL Ultimate shuttles provided" &amp; CHAR(10) &amp; CHAR(10) &amp; "PM if interested, thank you!"," ")</f>
        <v xml:space="preserve"> </v>
      </c>
      <c r="B216" s="2" t="str">
        <f ca="1">IF('Profit &amp; Loss'!A219&gt;=TODAY(), "Date: " &amp; TEXT('Profit &amp; Loss'!A219,"dd mmm yyy") &amp; ", " &amp; 'Profit &amp; Loss'!B219 &amp; CHAR(10) &amp; "Time: " &amp; TEXT('Profit &amp; Loss'!C219, "hh:mm AM/PM") &amp; " - " &amp; TEXT('Profit &amp; Loss'!D219, "hh:mm AM/PM") &amp; CHAR(10) &amp; "Venue: " &amp; 'Profit &amp; Loss'!E219 &amp; CHAR(10) &amp; "Court No.: " &amp; 'Profit &amp; Loss'!F219 &amp; CHAR(10) &amp; "Level: HB - LI" &amp; CHAR(10) &amp; "Please transfer $" &amp; 'Profit &amp; Loss'!O219 &amp; " per pax to Belle (83396501)" &amp; CHAR(10) &amp; CHAR(10) &amp; IF('Profit &amp; Loss'!I219=1, "1." &amp; CHAR(10) &amp; "2." &amp; CHAR(10) &amp; "3." &amp; CHAR(10) &amp; "4." &amp; CHAR(10) &amp; "5." &amp; CHAR(10) &amp; "6." &amp; CHAR(10), IF('Profit &amp; Loss'!I219=2,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7" spans="1:2" ht="12.5" x14ac:dyDescent="0.25">
      <c r="A217" s="2" t="str">
        <f ca="1">IF('Profit &amp; Loss'!A220&gt;=TODAY(),"Looking for friendly players to join the following game: " &amp; CHAR(10) &amp; CHAR(10) &amp; "Date: " &amp; TEXT('Profit &amp; Loss'!A220,"dd mmm yyy") &amp; ", " &amp; 'Profit &amp; Loss'!B220 &amp; CHAR(10) &amp; "Time: " &amp; TEXT('Profit &amp; Loss'!C220, "hh:mm AM/PM") &amp; " - " &amp; TEXT('Profit &amp; Loss'!D220, "hh:mm AM/PM") &amp; CHAR(10) &amp; "Venue: " &amp; 'Profit &amp; Loss'!E220 &amp; CHAR(10) &amp; "Level: HB - LI" &amp; CHAR(10) &amp; "Cost: $" &amp; 'Profit &amp; Loss'!O220 &amp; " per pax" &amp; CHAR(10) &amp; "Max " &amp; 'Profit &amp; Loss'!I220*6 &amp; " pax," &amp; " (" &amp; 'Profit &amp; Loss'!I220 &amp; " courts)" &amp; CHAR(10) &amp; CHAR(10) &amp; "RSL Ultimate shuttles provided" &amp; CHAR(10) &amp; CHAR(10) &amp; "PM if interested, thank you!"," ")</f>
        <v xml:space="preserve"> </v>
      </c>
      <c r="B217" s="2" t="str">
        <f ca="1">IF('Profit &amp; Loss'!A220&gt;=TODAY(), "Date: " &amp; TEXT('Profit &amp; Loss'!A220,"dd mmm yyy") &amp; ", " &amp; 'Profit &amp; Loss'!B220 &amp; CHAR(10) &amp; "Time: " &amp; TEXT('Profit &amp; Loss'!C220, "hh:mm AM/PM") &amp; " - " &amp; TEXT('Profit &amp; Loss'!D220, "hh:mm AM/PM") &amp; CHAR(10) &amp; "Venue: " &amp; 'Profit &amp; Loss'!E220 &amp; CHAR(10) &amp; "Court No.: " &amp; 'Profit &amp; Loss'!F220 &amp; CHAR(10) &amp; "Level: HB - LI" &amp; CHAR(10) &amp; "Please transfer $" &amp; 'Profit &amp; Loss'!O220 &amp; " per pax to Belle (83396501)" &amp; CHAR(10) &amp; CHAR(10) &amp; IF('Profit &amp; Loss'!I220=1, "1." &amp; CHAR(10) &amp; "2." &amp; CHAR(10) &amp; "3." &amp; CHAR(10) &amp; "4." &amp; CHAR(10) &amp; "5." &amp; CHAR(10) &amp; "6." &amp; CHAR(10), IF('Profit &amp; Loss'!I220=2,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8" spans="1:2" ht="12.5" x14ac:dyDescent="0.25">
      <c r="A218" s="2" t="str">
        <f ca="1">IF('Profit &amp; Loss'!A221&gt;=TODAY(),"Looking for friendly players to join the following game: " &amp; CHAR(10) &amp; CHAR(10) &amp; "Date: " &amp; TEXT('Profit &amp; Loss'!A221,"dd mmm yyy") &amp; ", " &amp; 'Profit &amp; Loss'!B221 &amp; CHAR(10) &amp; "Time: " &amp; TEXT('Profit &amp; Loss'!C221, "hh:mm AM/PM") &amp; " - " &amp; TEXT('Profit &amp; Loss'!D221, "hh:mm AM/PM") &amp; CHAR(10) &amp; "Venue: " &amp; 'Profit &amp; Loss'!E221 &amp; CHAR(10) &amp; "Level: HB - LI" &amp; CHAR(10) &amp; "Cost: $" &amp; 'Profit &amp; Loss'!O221 &amp; " per pax" &amp; CHAR(10) &amp; "Max " &amp; 'Profit &amp; Loss'!I221*6 &amp; " pax," &amp; " (" &amp; 'Profit &amp; Loss'!I221 &amp; " courts)" &amp; CHAR(10) &amp; CHAR(10) &amp; "RSL Ultimate shuttles provided" &amp; CHAR(10) &amp; CHAR(10) &amp; "PM if interested, thank you!"," ")</f>
        <v xml:space="preserve"> </v>
      </c>
      <c r="B218" s="2" t="str">
        <f ca="1">IF('Profit &amp; Loss'!A221&gt;=TODAY(), "Date: " &amp; TEXT('Profit &amp; Loss'!A221,"dd mmm yyy") &amp; ", " &amp; 'Profit &amp; Loss'!B221 &amp; CHAR(10) &amp; "Time: " &amp; TEXT('Profit &amp; Loss'!C221, "hh:mm AM/PM") &amp; " - " &amp; TEXT('Profit &amp; Loss'!D221, "hh:mm AM/PM") &amp; CHAR(10) &amp; "Venue: " &amp; 'Profit &amp; Loss'!E221 &amp; CHAR(10) &amp; "Court No.: " &amp; 'Profit &amp; Loss'!F221 &amp; CHAR(10) &amp; "Level: HB - LI" &amp; CHAR(10) &amp; "Please transfer $" &amp; 'Profit &amp; Loss'!O221 &amp; " per pax to Belle (83396501)" &amp; CHAR(10) &amp; CHAR(10) &amp; IF('Profit &amp; Loss'!I221=1, "1." &amp; CHAR(10) &amp; "2." &amp; CHAR(10) &amp; "3." &amp; CHAR(10) &amp; "4." &amp; CHAR(10) &amp; "5." &amp; CHAR(10) &amp; "6." &amp; CHAR(10), IF('Profit &amp; Loss'!I221=2,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19" spans="1:2" ht="12.5" x14ac:dyDescent="0.25">
      <c r="A219" s="2" t="str">
        <f ca="1">IF('Profit &amp; Loss'!A222&gt;=TODAY(),"Looking for friendly players to join the following game: " &amp; CHAR(10) &amp; CHAR(10) &amp; "Date: " &amp; TEXT('Profit &amp; Loss'!A222,"dd mmm yyy") &amp; ", " &amp; 'Profit &amp; Loss'!B222 &amp; CHAR(10) &amp; "Time: " &amp; TEXT('Profit &amp; Loss'!C222, "hh:mm AM/PM") &amp; " - " &amp; TEXT('Profit &amp; Loss'!D222, "hh:mm AM/PM") &amp; CHAR(10) &amp; "Venue: " &amp; 'Profit &amp; Loss'!E222 &amp; CHAR(10) &amp; "Level: HB - LI" &amp; CHAR(10) &amp; "Cost: $" &amp; 'Profit &amp; Loss'!O222 &amp; " per pax" &amp; CHAR(10) &amp; "Max " &amp; 'Profit &amp; Loss'!I222*6 &amp; " pax," &amp; " (" &amp; 'Profit &amp; Loss'!I222 &amp; " courts)" &amp; CHAR(10) &amp; CHAR(10) &amp; "RSL Ultimate shuttles provided" &amp; CHAR(10) &amp; CHAR(10) &amp; "PM if interested, thank you!"," ")</f>
        <v xml:space="preserve"> </v>
      </c>
      <c r="B219" s="2" t="str">
        <f ca="1">IF('Profit &amp; Loss'!A222&gt;=TODAY(), "Date: " &amp; TEXT('Profit &amp; Loss'!A222,"dd mmm yyy") &amp; ", " &amp; 'Profit &amp; Loss'!B222 &amp; CHAR(10) &amp; "Time: " &amp; TEXT('Profit &amp; Loss'!C222, "hh:mm AM/PM") &amp; " - " &amp; TEXT('Profit &amp; Loss'!D222, "hh:mm AM/PM") &amp; CHAR(10) &amp; "Venue: " &amp; 'Profit &amp; Loss'!E222 &amp; CHAR(10) &amp; "Court No.: " &amp; 'Profit &amp; Loss'!F222 &amp; CHAR(10) &amp; "Level: HB - LI" &amp; CHAR(10) &amp; "Please transfer $" &amp; 'Profit &amp; Loss'!O222 &amp; " per pax to Belle (83396501)" &amp; CHAR(10) &amp; CHAR(10) &amp; IF('Profit &amp; Loss'!I222=1, "1." &amp; CHAR(10) &amp; "2." &amp; CHAR(10) &amp; "3." &amp; CHAR(10) &amp; "4." &amp; CHAR(10) &amp; "5." &amp; CHAR(10) &amp; "6." &amp; CHAR(10), IF('Profit &amp; Loss'!I222=2,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0" spans="1:2" ht="12.5" x14ac:dyDescent="0.25">
      <c r="A220" s="2" t="str">
        <f ca="1">IF('Profit &amp; Loss'!A223&gt;=TODAY(),"Looking for friendly players to join the following game: " &amp; CHAR(10) &amp; CHAR(10) &amp; "Date: " &amp; TEXT('Profit &amp; Loss'!A223,"dd mmm yyy") &amp; ", " &amp; 'Profit &amp; Loss'!B223 &amp; CHAR(10) &amp; "Time: " &amp; TEXT('Profit &amp; Loss'!C223, "hh:mm AM/PM") &amp; " - " &amp; TEXT('Profit &amp; Loss'!D223, "hh:mm AM/PM") &amp; CHAR(10) &amp; "Venue: " &amp; 'Profit &amp; Loss'!E223 &amp; CHAR(10) &amp; "Level: HB - LI" &amp; CHAR(10) &amp; "Cost: $" &amp; 'Profit &amp; Loss'!O223 &amp; " per pax" &amp; CHAR(10) &amp; "Max " &amp; 'Profit &amp; Loss'!I223*6 &amp; " pax," &amp; " (" &amp; 'Profit &amp; Loss'!I223 &amp; " courts)" &amp; CHAR(10) &amp; CHAR(10) &amp; "RSL Ultimate shuttles provided" &amp; CHAR(10) &amp; CHAR(10) &amp; "PM if interested, thank you!"," ")</f>
        <v xml:space="preserve"> </v>
      </c>
      <c r="B220" s="2" t="str">
        <f ca="1">IF('Profit &amp; Loss'!A223&gt;=TODAY(), "Date: " &amp; TEXT('Profit &amp; Loss'!A223,"dd mmm yyy") &amp; ", " &amp; 'Profit &amp; Loss'!B223 &amp; CHAR(10) &amp; "Time: " &amp; TEXT('Profit &amp; Loss'!C223, "hh:mm AM/PM") &amp; " - " &amp; TEXT('Profit &amp; Loss'!D223, "hh:mm AM/PM") &amp; CHAR(10) &amp; "Venue: " &amp; 'Profit &amp; Loss'!E223 &amp; CHAR(10) &amp; "Court No.: " &amp; 'Profit &amp; Loss'!F223 &amp; CHAR(10) &amp; "Level: HB - LI" &amp; CHAR(10) &amp; "Please transfer $" &amp; 'Profit &amp; Loss'!O223 &amp; " per pax to Belle (83396501)" &amp; CHAR(10) &amp; CHAR(10) &amp; IF('Profit &amp; Loss'!I223=1, "1." &amp; CHAR(10) &amp; "2." &amp; CHAR(10) &amp; "3." &amp; CHAR(10) &amp; "4." &amp; CHAR(10) &amp; "5." &amp; CHAR(10) &amp; "6." &amp; CHAR(10), IF('Profit &amp; Loss'!I223=2,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1" spans="1:2" ht="12.5" x14ac:dyDescent="0.25">
      <c r="A221" s="2" t="str">
        <f ca="1">IF('Profit &amp; Loss'!A224&gt;=TODAY(),"Looking for friendly players to join the following game: " &amp; CHAR(10) &amp; CHAR(10) &amp; "Date: " &amp; TEXT('Profit &amp; Loss'!A224,"dd mmm yyy") &amp; ", " &amp; 'Profit &amp; Loss'!B224 &amp; CHAR(10) &amp; "Time: " &amp; TEXT('Profit &amp; Loss'!C224, "hh:mm AM/PM") &amp; " - " &amp; TEXT('Profit &amp; Loss'!D224, "hh:mm AM/PM") &amp; CHAR(10) &amp; "Venue: " &amp; 'Profit &amp; Loss'!E224 &amp; CHAR(10) &amp; "Level: HB - LI" &amp; CHAR(10) &amp; "Cost: $" &amp; 'Profit &amp; Loss'!O224 &amp; " per pax" &amp; CHAR(10) &amp; "Max " &amp; 'Profit &amp; Loss'!I224*6 &amp; " pax," &amp; " (" &amp; 'Profit &amp; Loss'!I224 &amp; " courts)" &amp; CHAR(10) &amp; CHAR(10) &amp; "RSL Ultimate shuttles provided" &amp; CHAR(10) &amp; CHAR(10) &amp; "PM if interested, thank you!"," ")</f>
        <v xml:space="preserve"> </v>
      </c>
      <c r="B221" s="2" t="str">
        <f ca="1">IF('Profit &amp; Loss'!A224&gt;=TODAY(), "Date: " &amp; TEXT('Profit &amp; Loss'!A224,"dd mmm yyy") &amp; ", " &amp; 'Profit &amp; Loss'!B224 &amp; CHAR(10) &amp; "Time: " &amp; TEXT('Profit &amp; Loss'!C224, "hh:mm AM/PM") &amp; " - " &amp; TEXT('Profit &amp; Loss'!D224, "hh:mm AM/PM") &amp; CHAR(10) &amp; "Venue: " &amp; 'Profit &amp; Loss'!E224 &amp; CHAR(10) &amp; "Court No.: " &amp; 'Profit &amp; Loss'!F224 &amp; CHAR(10) &amp; "Level: HB - LI" &amp; CHAR(10) &amp; "Please transfer $" &amp; 'Profit &amp; Loss'!O224 &amp; " per pax to Belle (83396501)" &amp; CHAR(10) &amp; CHAR(10) &amp; IF('Profit &amp; Loss'!I224=1, "1." &amp; CHAR(10) &amp; "2." &amp; CHAR(10) &amp; "3." &amp; CHAR(10) &amp; "4." &amp; CHAR(10) &amp; "5." &amp; CHAR(10) &amp; "6." &amp; CHAR(10), IF('Profit &amp; Loss'!I224=2,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2" spans="1:2" ht="12.5" x14ac:dyDescent="0.25">
      <c r="A222" s="2" t="str">
        <f ca="1">IF('Profit &amp; Loss'!A225&gt;=TODAY(),"Looking for friendly players to join the following game: " &amp; CHAR(10) &amp; CHAR(10) &amp; "Date: " &amp; TEXT('Profit &amp; Loss'!A225,"dd mmm yyy") &amp; ", " &amp; 'Profit &amp; Loss'!B225 &amp; CHAR(10) &amp; "Time: " &amp; TEXT('Profit &amp; Loss'!C225, "hh:mm AM/PM") &amp; " - " &amp; TEXT('Profit &amp; Loss'!D225, "hh:mm AM/PM") &amp; CHAR(10) &amp; "Venue: " &amp; 'Profit &amp; Loss'!E225 &amp; CHAR(10) &amp; "Level: HB - LI" &amp; CHAR(10) &amp; "Cost: $" &amp; 'Profit &amp; Loss'!O225 &amp; " per pax" &amp; CHAR(10) &amp; "Max " &amp; 'Profit &amp; Loss'!I225*6 &amp; " pax," &amp; " (" &amp; 'Profit &amp; Loss'!I225 &amp; " courts)" &amp; CHAR(10) &amp; CHAR(10) &amp; "RSL Ultimate shuttles provided" &amp; CHAR(10) &amp; CHAR(10) &amp; "PM if interested, thank you!"," ")</f>
        <v xml:space="preserve"> </v>
      </c>
      <c r="B222" s="2" t="str">
        <f ca="1">IF('Profit &amp; Loss'!A225&gt;=TODAY(), "Date: " &amp; TEXT('Profit &amp; Loss'!A225,"dd mmm yyy") &amp; ", " &amp; 'Profit &amp; Loss'!B225 &amp; CHAR(10) &amp; "Time: " &amp; TEXT('Profit &amp; Loss'!C225, "hh:mm AM/PM") &amp; " - " &amp; TEXT('Profit &amp; Loss'!D225, "hh:mm AM/PM") &amp; CHAR(10) &amp; "Venue: " &amp; 'Profit &amp; Loss'!E225 &amp; CHAR(10) &amp; "Court No.: " &amp; 'Profit &amp; Loss'!F225 &amp; CHAR(10) &amp; "Level: HB - LI" &amp; CHAR(10) &amp; "Please transfer $" &amp; 'Profit &amp; Loss'!O225 &amp; " per pax to Belle (83396501)" &amp; CHAR(10) &amp; CHAR(10) &amp; IF('Profit &amp; Loss'!I225=1, "1." &amp; CHAR(10) &amp; "2." &amp; CHAR(10) &amp; "3." &amp; CHAR(10) &amp; "4." &amp; CHAR(10) &amp; "5." &amp; CHAR(10) &amp; "6." &amp; CHAR(10), IF('Profit &amp; Loss'!I225=2,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3" spans="1:2" ht="12.5" x14ac:dyDescent="0.25">
      <c r="A223" s="2" t="str">
        <f ca="1">IF('Profit &amp; Loss'!A226&gt;=TODAY(),"Looking for friendly players to join the following game: " &amp; CHAR(10) &amp; CHAR(10) &amp; "Date: " &amp; TEXT('Profit &amp; Loss'!A226,"dd mmm yyy") &amp; ", " &amp; 'Profit &amp; Loss'!B226 &amp; CHAR(10) &amp; "Time: " &amp; TEXT('Profit &amp; Loss'!C226, "hh:mm AM/PM") &amp; " - " &amp; TEXT('Profit &amp; Loss'!D226, "hh:mm AM/PM") &amp; CHAR(10) &amp; "Venue: " &amp; 'Profit &amp; Loss'!E226 &amp; CHAR(10) &amp; "Level: HB - LI" &amp; CHAR(10) &amp; "Cost: $" &amp; 'Profit &amp; Loss'!O226 &amp; " per pax" &amp; CHAR(10) &amp; "Max " &amp; 'Profit &amp; Loss'!I226*6 &amp; " pax," &amp; " (" &amp; 'Profit &amp; Loss'!I226 &amp; " courts)" &amp; CHAR(10) &amp; CHAR(10) &amp; "RSL Ultimate shuttles provided" &amp; CHAR(10) &amp; CHAR(10) &amp; "PM if interested, thank you!"," ")</f>
        <v xml:space="preserve"> </v>
      </c>
      <c r="B223" s="2" t="str">
        <f ca="1">IF('Profit &amp; Loss'!A226&gt;=TODAY(), "Date: " &amp; TEXT('Profit &amp; Loss'!A226,"dd mmm yyy") &amp; ", " &amp; 'Profit &amp; Loss'!B226 &amp; CHAR(10) &amp; "Time: " &amp; TEXT('Profit &amp; Loss'!C226, "hh:mm AM/PM") &amp; " - " &amp; TEXT('Profit &amp; Loss'!D226, "hh:mm AM/PM") &amp; CHAR(10) &amp; "Venue: " &amp; 'Profit &amp; Loss'!E226 &amp; CHAR(10) &amp; "Court No.: " &amp; 'Profit &amp; Loss'!F226 &amp; CHAR(10) &amp; "Level: HB - LI" &amp; CHAR(10) &amp; "Please transfer $" &amp; 'Profit &amp; Loss'!O226 &amp; " per pax to Belle (83396501)" &amp; CHAR(10) &amp; CHAR(10) &amp; IF('Profit &amp; Loss'!I226=1, "1." &amp; CHAR(10) &amp; "2." &amp; CHAR(10) &amp; "3." &amp; CHAR(10) &amp; "4." &amp; CHAR(10) &amp; "5." &amp; CHAR(10) &amp; "6." &amp; CHAR(10), IF('Profit &amp; Loss'!I226=2,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4" spans="1:2" ht="12.5" x14ac:dyDescent="0.25">
      <c r="A224" s="2" t="str">
        <f ca="1">IF('Profit &amp; Loss'!A227&gt;=TODAY(),"Looking for friendly players to join the following game: " &amp; CHAR(10) &amp; CHAR(10) &amp; "Date: " &amp; TEXT('Profit &amp; Loss'!A227,"dd mmm yyy") &amp; ", " &amp; 'Profit &amp; Loss'!B227 &amp; CHAR(10) &amp; "Time: " &amp; TEXT('Profit &amp; Loss'!C227, "hh:mm AM/PM") &amp; " - " &amp; TEXT('Profit &amp; Loss'!D227, "hh:mm AM/PM") &amp; CHAR(10) &amp; "Venue: " &amp; 'Profit &amp; Loss'!E227 &amp; CHAR(10) &amp; "Level: HB - LI" &amp; CHAR(10) &amp; "Cost: $" &amp; 'Profit &amp; Loss'!O227 &amp; " per pax" &amp; CHAR(10) &amp; "Max " &amp; 'Profit &amp; Loss'!I227*6 &amp; " pax," &amp; " (" &amp; 'Profit &amp; Loss'!I227 &amp; " courts)" &amp; CHAR(10) &amp; CHAR(10) &amp; "RSL Ultimate shuttles provided" &amp; CHAR(10) &amp; CHAR(10) &amp; "PM if interested, thank you!"," ")</f>
        <v xml:space="preserve"> </v>
      </c>
      <c r="B224" s="2" t="str">
        <f ca="1">IF('Profit &amp; Loss'!A227&gt;=TODAY(), "Date: " &amp; TEXT('Profit &amp; Loss'!A227,"dd mmm yyy") &amp; ", " &amp; 'Profit &amp; Loss'!B227 &amp; CHAR(10) &amp; "Time: " &amp; TEXT('Profit &amp; Loss'!C227, "hh:mm AM/PM") &amp; " - " &amp; TEXT('Profit &amp; Loss'!D227, "hh:mm AM/PM") &amp; CHAR(10) &amp; "Venue: " &amp; 'Profit &amp; Loss'!E227 &amp; CHAR(10) &amp; "Court No.: " &amp; 'Profit &amp; Loss'!F227 &amp; CHAR(10) &amp; "Level: HB - LI" &amp; CHAR(10) &amp; "Please transfer $" &amp; 'Profit &amp; Loss'!O227 &amp; " per pax to Belle (83396501)" &amp; CHAR(10) &amp; CHAR(10) &amp; IF('Profit &amp; Loss'!I227=1, "1." &amp; CHAR(10) &amp; "2." &amp; CHAR(10) &amp; "3." &amp; CHAR(10) &amp; "4." &amp; CHAR(10) &amp; "5." &amp; CHAR(10) &amp; "6." &amp; CHAR(10), IF('Profit &amp; Loss'!I227=2,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5" spans="1:2" ht="12.5" x14ac:dyDescent="0.25">
      <c r="A225" s="2" t="str">
        <f ca="1">IF('Profit &amp; Loss'!A228&gt;=TODAY(),"Looking for friendly players to join the following game: " &amp; CHAR(10) &amp; CHAR(10) &amp; "Date: " &amp; TEXT('Profit &amp; Loss'!A228,"dd mmm yyy") &amp; ", " &amp; 'Profit &amp; Loss'!B228 &amp; CHAR(10) &amp; "Time: " &amp; TEXT('Profit &amp; Loss'!C228, "hh:mm AM/PM") &amp; " - " &amp; TEXT('Profit &amp; Loss'!D228, "hh:mm AM/PM") &amp; CHAR(10) &amp; "Venue: " &amp; 'Profit &amp; Loss'!E228 &amp; CHAR(10) &amp; "Level: HB - LI" &amp; CHAR(10) &amp; "Cost: $" &amp; 'Profit &amp; Loss'!O228 &amp; " per pax" &amp; CHAR(10) &amp; "Max " &amp; 'Profit &amp; Loss'!I228*6 &amp; " pax," &amp; " (" &amp; 'Profit &amp; Loss'!I228 &amp; " courts)" &amp; CHAR(10) &amp; CHAR(10) &amp; "RSL Ultimate shuttles provided" &amp; CHAR(10) &amp; CHAR(10) &amp; "PM if interested, thank you!"," ")</f>
        <v xml:space="preserve"> </v>
      </c>
      <c r="B225" s="2" t="str">
        <f ca="1">IF('Profit &amp; Loss'!A228&gt;=TODAY(), "Date: " &amp; TEXT('Profit &amp; Loss'!A228,"dd mmm yyy") &amp; ", " &amp; 'Profit &amp; Loss'!B228 &amp; CHAR(10) &amp; "Time: " &amp; TEXT('Profit &amp; Loss'!C228, "hh:mm AM/PM") &amp; " - " &amp; TEXT('Profit &amp; Loss'!D228, "hh:mm AM/PM") &amp; CHAR(10) &amp; "Venue: " &amp; 'Profit &amp; Loss'!E228 &amp; CHAR(10) &amp; "Court No.: " &amp; 'Profit &amp; Loss'!F228 &amp; CHAR(10) &amp; "Level: HB - LI" &amp; CHAR(10) &amp; "Please transfer $" &amp; 'Profit &amp; Loss'!O228 &amp; " per pax to Belle (83396501)" &amp; CHAR(10) &amp; CHAR(10) &amp; IF('Profit &amp; Loss'!I228=1, "1." &amp; CHAR(10) &amp; "2." &amp; CHAR(10) &amp; "3." &amp; CHAR(10) &amp; "4." &amp; CHAR(10) &amp; "5." &amp; CHAR(10) &amp; "6." &amp; CHAR(10), IF('Profit &amp; Loss'!I228=2,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6" spans="1:2" ht="12.5" x14ac:dyDescent="0.25">
      <c r="A226" s="2" t="str">
        <f ca="1">IF('Profit &amp; Loss'!A229&gt;=TODAY(),"Looking for friendly players to join the following game: " &amp; CHAR(10) &amp; CHAR(10) &amp; "Date: " &amp; TEXT('Profit &amp; Loss'!A229,"dd mmm yyy") &amp; ", " &amp; 'Profit &amp; Loss'!B229 &amp; CHAR(10) &amp; "Time: " &amp; TEXT('Profit &amp; Loss'!C229, "hh:mm AM/PM") &amp; " - " &amp; TEXT('Profit &amp; Loss'!D229, "hh:mm AM/PM") &amp; CHAR(10) &amp; "Venue: " &amp; 'Profit &amp; Loss'!E229 &amp; CHAR(10) &amp; "Level: HB - LI" &amp; CHAR(10) &amp; "Cost: $" &amp; 'Profit &amp; Loss'!O229 &amp; " per pax" &amp; CHAR(10) &amp; "Max " &amp; 'Profit &amp; Loss'!I229*6 &amp; " pax," &amp; " (" &amp; 'Profit &amp; Loss'!I229 &amp; " courts)" &amp; CHAR(10) &amp; CHAR(10) &amp; "RSL Ultimate shuttles provided" &amp; CHAR(10) &amp; CHAR(10) &amp; "PM if interested, thank you!"," ")</f>
        <v xml:space="preserve"> </v>
      </c>
      <c r="B226" s="2" t="str">
        <f ca="1">IF('Profit &amp; Loss'!A229&gt;=TODAY(), "Date: " &amp; TEXT('Profit &amp; Loss'!A229,"dd mmm yyy") &amp; ", " &amp; 'Profit &amp; Loss'!B229 &amp; CHAR(10) &amp; "Time: " &amp; TEXT('Profit &amp; Loss'!C229, "hh:mm AM/PM") &amp; " - " &amp; TEXT('Profit &amp; Loss'!D229, "hh:mm AM/PM") &amp; CHAR(10) &amp; "Venue: " &amp; 'Profit &amp; Loss'!E229 &amp; CHAR(10) &amp; "Court No.: " &amp; 'Profit &amp; Loss'!F229 &amp; CHAR(10) &amp; "Level: HB - LI" &amp; CHAR(10) &amp; "Please transfer $" &amp; 'Profit &amp; Loss'!O229 &amp; " per pax to Belle (83396501)" &amp; CHAR(10) &amp; CHAR(10) &amp; IF('Profit &amp; Loss'!I229=1, "1." &amp; CHAR(10) &amp; "2." &amp; CHAR(10) &amp; "3." &amp; CHAR(10) &amp; "4." &amp; CHAR(10) &amp; "5." &amp; CHAR(10) &amp; "6." &amp; CHAR(10), IF('Profit &amp; Loss'!I229=2,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7" spans="1:2" ht="12.5" x14ac:dyDescent="0.25">
      <c r="A227" s="2" t="str">
        <f ca="1">IF('Profit &amp; Loss'!A230&gt;=TODAY(),"Looking for friendly players to join the following game: " &amp; CHAR(10) &amp; CHAR(10) &amp; "Date: " &amp; TEXT('Profit &amp; Loss'!A230,"dd mmm yyy") &amp; ", " &amp; 'Profit &amp; Loss'!B230 &amp; CHAR(10) &amp; "Time: " &amp; TEXT('Profit &amp; Loss'!C230, "hh:mm AM/PM") &amp; " - " &amp; TEXT('Profit &amp; Loss'!D230, "hh:mm AM/PM") &amp; CHAR(10) &amp; "Venue: " &amp; 'Profit &amp; Loss'!E230 &amp; CHAR(10) &amp; "Level: HB - LI" &amp; CHAR(10) &amp; "Cost: $" &amp; 'Profit &amp; Loss'!O230 &amp; " per pax" &amp; CHAR(10) &amp; "Max " &amp; 'Profit &amp; Loss'!I230*6 &amp; " pax," &amp; " (" &amp; 'Profit &amp; Loss'!I230 &amp; " courts)" &amp; CHAR(10) &amp; CHAR(10) &amp; "RSL Ultimate shuttles provided" &amp; CHAR(10) &amp; CHAR(10) &amp; "PM if interested, thank you!"," ")</f>
        <v xml:space="preserve"> </v>
      </c>
      <c r="B227" s="2" t="str">
        <f ca="1">IF('Profit &amp; Loss'!A230&gt;=TODAY(), "Date: " &amp; TEXT('Profit &amp; Loss'!A230,"dd mmm yyy") &amp; ", " &amp; 'Profit &amp; Loss'!B230 &amp; CHAR(10) &amp; "Time: " &amp; TEXT('Profit &amp; Loss'!C230, "hh:mm AM/PM") &amp; " - " &amp; TEXT('Profit &amp; Loss'!D230, "hh:mm AM/PM") &amp; CHAR(10) &amp; "Venue: " &amp; 'Profit &amp; Loss'!E230 &amp; CHAR(10) &amp; "Court No.: " &amp; 'Profit &amp; Loss'!F230 &amp; CHAR(10) &amp; "Level: HB - LI" &amp; CHAR(10) &amp; "Please transfer $" &amp; 'Profit &amp; Loss'!O230 &amp; " per pax to Belle (83396501)" &amp; CHAR(10) &amp; CHAR(10) &amp; IF('Profit &amp; Loss'!I230=1, "1." &amp; CHAR(10) &amp; "2." &amp; CHAR(10) &amp; "3." &amp; CHAR(10) &amp; "4." &amp; CHAR(10) &amp; "5." &amp; CHAR(10) &amp; "6." &amp; CHAR(10), IF('Profit &amp; Loss'!I230=2,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8" spans="1:2" ht="12.5" x14ac:dyDescent="0.25">
      <c r="A228" s="2" t="str">
        <f ca="1">IF('Profit &amp; Loss'!A231&gt;=TODAY(),"Looking for friendly players to join the following game: " &amp; CHAR(10) &amp; CHAR(10) &amp; "Date: " &amp; TEXT('Profit &amp; Loss'!A231,"dd mmm yyy") &amp; ", " &amp; 'Profit &amp; Loss'!B231 &amp; CHAR(10) &amp; "Time: " &amp; TEXT('Profit &amp; Loss'!C231, "hh:mm AM/PM") &amp; " - " &amp; TEXT('Profit &amp; Loss'!D231, "hh:mm AM/PM") &amp; CHAR(10) &amp; "Venue: " &amp; 'Profit &amp; Loss'!E231 &amp; CHAR(10) &amp; "Level: HB - LI" &amp; CHAR(10) &amp; "Cost: $" &amp; 'Profit &amp; Loss'!O231 &amp; " per pax" &amp; CHAR(10) &amp; "Max " &amp; 'Profit &amp; Loss'!I231*6 &amp; " pax," &amp; " (" &amp; 'Profit &amp; Loss'!I231 &amp; " courts)" &amp; CHAR(10) &amp; CHAR(10) &amp; "RSL Ultimate shuttles provided" &amp; CHAR(10) &amp; CHAR(10) &amp; "PM if interested, thank you!"," ")</f>
        <v xml:space="preserve"> </v>
      </c>
      <c r="B228" s="2" t="str">
        <f ca="1">IF('Profit &amp; Loss'!A231&gt;=TODAY(), "Date: " &amp; TEXT('Profit &amp; Loss'!A231,"dd mmm yyy") &amp; ", " &amp; 'Profit &amp; Loss'!B231 &amp; CHAR(10) &amp; "Time: " &amp; TEXT('Profit &amp; Loss'!C231, "hh:mm AM/PM") &amp; " - " &amp; TEXT('Profit &amp; Loss'!D231, "hh:mm AM/PM") &amp; CHAR(10) &amp; "Venue: " &amp; 'Profit &amp; Loss'!E231 &amp; CHAR(10) &amp; "Court No.: " &amp; 'Profit &amp; Loss'!F231 &amp; CHAR(10) &amp; "Level: HB - LI" &amp; CHAR(10) &amp; "Please transfer $" &amp; 'Profit &amp; Loss'!O231 &amp; " per pax to Belle (83396501)" &amp; CHAR(10) &amp; CHAR(10) &amp; IF('Profit &amp; Loss'!I231=1, "1." &amp; CHAR(10) &amp; "2." &amp; CHAR(10) &amp; "3." &amp; CHAR(10) &amp; "4." &amp; CHAR(10) &amp; "5." &amp; CHAR(10) &amp; "6." &amp; CHAR(10), IF('Profit &amp; Loss'!I231=2,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29" spans="1:2" ht="12.5" x14ac:dyDescent="0.25">
      <c r="A229" s="2" t="str">
        <f ca="1">IF('Profit &amp; Loss'!A232&gt;=TODAY(),"Looking for friendly players to join the following game: " &amp; CHAR(10) &amp; CHAR(10) &amp; "Date: " &amp; TEXT('Profit &amp; Loss'!A232,"dd mmm yyy") &amp; ", " &amp; 'Profit &amp; Loss'!B232 &amp; CHAR(10) &amp; "Time: " &amp; TEXT('Profit &amp; Loss'!C232, "hh:mm AM/PM") &amp; " - " &amp; TEXT('Profit &amp; Loss'!D232, "hh:mm AM/PM") &amp; CHAR(10) &amp; "Venue: " &amp; 'Profit &amp; Loss'!E232 &amp; CHAR(10) &amp; "Level: HB - LI" &amp; CHAR(10) &amp; "Cost: $" &amp; 'Profit &amp; Loss'!O232 &amp; " per pax" &amp; CHAR(10) &amp; "Max " &amp; 'Profit &amp; Loss'!I232*6 &amp; " pax," &amp; " (" &amp; 'Profit &amp; Loss'!I232 &amp; " courts)" &amp; CHAR(10) &amp; CHAR(10) &amp; "RSL Ultimate shuttles provided" &amp; CHAR(10) &amp; CHAR(10) &amp; "PM if interested, thank you!"," ")</f>
        <v xml:space="preserve"> </v>
      </c>
      <c r="B229" s="2" t="str">
        <f ca="1">IF('Profit &amp; Loss'!A232&gt;=TODAY(), "Date: " &amp; TEXT('Profit &amp; Loss'!A232,"dd mmm yyy") &amp; ", " &amp; 'Profit &amp; Loss'!B232 &amp; CHAR(10) &amp; "Time: " &amp; TEXT('Profit &amp; Loss'!C232, "hh:mm AM/PM") &amp; " - " &amp; TEXT('Profit &amp; Loss'!D232, "hh:mm AM/PM") &amp; CHAR(10) &amp; "Venue: " &amp; 'Profit &amp; Loss'!E232 &amp; CHAR(10) &amp; "Court No.: " &amp; 'Profit &amp; Loss'!F232 &amp; CHAR(10) &amp; "Level: HB - LI" &amp; CHAR(10) &amp; "Please transfer $" &amp; 'Profit &amp; Loss'!O232 &amp; " per pax to Belle (83396501)" &amp; CHAR(10) &amp; CHAR(10) &amp; IF('Profit &amp; Loss'!I232=1, "1." &amp; CHAR(10) &amp; "2." &amp; CHAR(10) &amp; "3." &amp; CHAR(10) &amp; "4." &amp; CHAR(10) &amp; "5." &amp; CHAR(10) &amp; "6." &amp; CHAR(10), IF('Profit &amp; Loss'!I232=2,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0" spans="1:2" ht="12.5" x14ac:dyDescent="0.25">
      <c r="A230" s="2" t="str">
        <f ca="1">IF('Profit &amp; Loss'!A233&gt;=TODAY(),"Looking for friendly players to join the following game: " &amp; CHAR(10) &amp; CHAR(10) &amp; "Date: " &amp; TEXT('Profit &amp; Loss'!A233,"dd mmm yyy") &amp; ", " &amp; 'Profit &amp; Loss'!B233 &amp; CHAR(10) &amp; "Time: " &amp; TEXT('Profit &amp; Loss'!C233, "hh:mm AM/PM") &amp; " - " &amp; TEXT('Profit &amp; Loss'!D233, "hh:mm AM/PM") &amp; CHAR(10) &amp; "Venue: " &amp; 'Profit &amp; Loss'!E233 &amp; CHAR(10) &amp; "Level: HB - LI" &amp; CHAR(10) &amp; "Cost: $" &amp; 'Profit &amp; Loss'!O233 &amp; " per pax" &amp; CHAR(10) &amp; "Max " &amp; 'Profit &amp; Loss'!I233*6 &amp; " pax," &amp; " (" &amp; 'Profit &amp; Loss'!I233 &amp; " courts)" &amp; CHAR(10) &amp; CHAR(10) &amp; "RSL Ultimate shuttles provided" &amp; CHAR(10) &amp; CHAR(10) &amp; "PM if interested, thank you!"," ")</f>
        <v xml:space="preserve"> </v>
      </c>
      <c r="B230" s="2" t="str">
        <f ca="1">IF('Profit &amp; Loss'!A233&gt;=TODAY(), "Date: " &amp; TEXT('Profit &amp; Loss'!A233,"dd mmm yyy") &amp; ", " &amp; 'Profit &amp; Loss'!B233 &amp; CHAR(10) &amp; "Time: " &amp; TEXT('Profit &amp; Loss'!C233, "hh:mm AM/PM") &amp; " - " &amp; TEXT('Profit &amp; Loss'!D233, "hh:mm AM/PM") &amp; CHAR(10) &amp; "Venue: " &amp; 'Profit &amp; Loss'!E233 &amp; CHAR(10) &amp; "Court No.: " &amp; 'Profit &amp; Loss'!F233 &amp; CHAR(10) &amp; "Level: HB - LI" &amp; CHAR(10) &amp; "Please transfer $" &amp; 'Profit &amp; Loss'!O233 &amp; " per pax to Belle (83396501)" &amp; CHAR(10) &amp; CHAR(10) &amp; IF('Profit &amp; Loss'!I233=1, "1." &amp; CHAR(10) &amp; "2." &amp; CHAR(10) &amp; "3." &amp; CHAR(10) &amp; "4." &amp; CHAR(10) &amp; "5." &amp; CHAR(10) &amp; "6." &amp; CHAR(10), IF('Profit &amp; Loss'!I233=2,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1" spans="1:2" ht="12.5" x14ac:dyDescent="0.25">
      <c r="A231" s="2" t="str">
        <f ca="1">IF('Profit &amp; Loss'!A234&gt;=TODAY(),"Looking for friendly players to join the following game: " &amp; CHAR(10) &amp; CHAR(10) &amp; "Date: " &amp; TEXT('Profit &amp; Loss'!A234,"dd mmm yyy") &amp; ", " &amp; 'Profit &amp; Loss'!B234 &amp; CHAR(10) &amp; "Time: " &amp; TEXT('Profit &amp; Loss'!C234, "hh:mm AM/PM") &amp; " - " &amp; TEXT('Profit &amp; Loss'!D234, "hh:mm AM/PM") &amp; CHAR(10) &amp; "Venue: " &amp; 'Profit &amp; Loss'!E234 &amp; CHAR(10) &amp; "Level: HB - LI" &amp; CHAR(10) &amp; "Cost: $" &amp; 'Profit &amp; Loss'!O234 &amp; " per pax" &amp; CHAR(10) &amp; "Max " &amp; 'Profit &amp; Loss'!I234*6 &amp; " pax," &amp; " (" &amp; 'Profit &amp; Loss'!I234 &amp; " courts)" &amp; CHAR(10) &amp; CHAR(10) &amp; "RSL Ultimate shuttles provided" &amp; CHAR(10) &amp; CHAR(10) &amp; "PM if interested, thank you!"," ")</f>
        <v xml:space="preserve"> </v>
      </c>
      <c r="B231" s="2" t="str">
        <f ca="1">IF('Profit &amp; Loss'!A234&gt;=TODAY(), "Date: " &amp; TEXT('Profit &amp; Loss'!A234,"dd mmm yyy") &amp; ", " &amp; 'Profit &amp; Loss'!B234 &amp; CHAR(10) &amp; "Time: " &amp; TEXT('Profit &amp; Loss'!C234, "hh:mm AM/PM") &amp; " - " &amp; TEXT('Profit &amp; Loss'!D234, "hh:mm AM/PM") &amp; CHAR(10) &amp; "Venue: " &amp; 'Profit &amp; Loss'!E234 &amp; CHAR(10) &amp; "Court No.: " &amp; 'Profit &amp; Loss'!F234 &amp; CHAR(10) &amp; "Level: HB - LI" &amp; CHAR(10) &amp; "Please transfer $" &amp; 'Profit &amp; Loss'!O234 &amp; " per pax to Belle (83396501)" &amp; CHAR(10) &amp; CHAR(10) &amp; IF('Profit &amp; Loss'!I234=1, "1." &amp; CHAR(10) &amp; "2." &amp; CHAR(10) &amp; "3." &amp; CHAR(10) &amp; "4." &amp; CHAR(10) &amp; "5." &amp; CHAR(10) &amp; "6." &amp; CHAR(10), IF('Profit &amp; Loss'!I234=2,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2" spans="1:2" ht="12.5" x14ac:dyDescent="0.25">
      <c r="A232" s="2" t="str">
        <f ca="1">IF('Profit &amp; Loss'!A235&gt;=TODAY(),"Looking for friendly players to join the following game: " &amp; CHAR(10) &amp; CHAR(10) &amp; "Date: " &amp; TEXT('Profit &amp; Loss'!A235,"dd mmm yyy") &amp; ", " &amp; 'Profit &amp; Loss'!B235 &amp; CHAR(10) &amp; "Time: " &amp; TEXT('Profit &amp; Loss'!C235, "hh:mm AM/PM") &amp; " - " &amp; TEXT('Profit &amp; Loss'!D235, "hh:mm AM/PM") &amp; CHAR(10) &amp; "Venue: " &amp; 'Profit &amp; Loss'!E235 &amp; CHAR(10) &amp; "Level: HB - LI" &amp; CHAR(10) &amp; "Cost: $" &amp; 'Profit &amp; Loss'!O235 &amp; " per pax" &amp; CHAR(10) &amp; "Max " &amp; 'Profit &amp; Loss'!I235*6 &amp; " pax," &amp; " (" &amp; 'Profit &amp; Loss'!I235 &amp; " courts)" &amp; CHAR(10) &amp; CHAR(10) &amp; "RSL Ultimate shuttles provided" &amp; CHAR(10) &amp; CHAR(10) &amp; "PM if interested, thank you!"," ")</f>
        <v xml:space="preserve"> </v>
      </c>
      <c r="B232" s="2" t="str">
        <f ca="1">IF('Profit &amp; Loss'!A235&gt;=TODAY(), "Date: " &amp; TEXT('Profit &amp; Loss'!A235,"dd mmm yyy") &amp; ", " &amp; 'Profit &amp; Loss'!B235 &amp; CHAR(10) &amp; "Time: " &amp; TEXT('Profit &amp; Loss'!C235, "hh:mm AM/PM") &amp; " - " &amp; TEXT('Profit &amp; Loss'!D235, "hh:mm AM/PM") &amp; CHAR(10) &amp; "Venue: " &amp; 'Profit &amp; Loss'!E235 &amp; CHAR(10) &amp; "Court No.: " &amp; 'Profit &amp; Loss'!F235 &amp; CHAR(10) &amp; "Level: HB - LI" &amp; CHAR(10) &amp; "Please transfer $" &amp; 'Profit &amp; Loss'!O235 &amp; " per pax to Belle (83396501)" &amp; CHAR(10) &amp; CHAR(10) &amp; IF('Profit &amp; Loss'!I235=1, "1." &amp; CHAR(10) &amp; "2." &amp; CHAR(10) &amp; "3." &amp; CHAR(10) &amp; "4." &amp; CHAR(10) &amp; "5." &amp; CHAR(10) &amp; "6." &amp; CHAR(10), IF('Profit &amp; Loss'!I235=2,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3" spans="1:2" ht="12.5" x14ac:dyDescent="0.25">
      <c r="A233" s="2" t="str">
        <f ca="1">IF('Profit &amp; Loss'!A236&gt;=TODAY(),"Looking for friendly players to join the following game: " &amp; CHAR(10) &amp; CHAR(10) &amp; "Date: " &amp; TEXT('Profit &amp; Loss'!A236,"dd mmm yyy") &amp; ", " &amp; 'Profit &amp; Loss'!B236 &amp; CHAR(10) &amp; "Time: " &amp; TEXT('Profit &amp; Loss'!C236, "hh:mm AM/PM") &amp; " - " &amp; TEXT('Profit &amp; Loss'!D236, "hh:mm AM/PM") &amp; CHAR(10) &amp; "Venue: " &amp; 'Profit &amp; Loss'!E236 &amp; CHAR(10) &amp; "Level: HB - LI" &amp; CHAR(10) &amp; "Cost: $" &amp; 'Profit &amp; Loss'!O236 &amp; " per pax" &amp; CHAR(10) &amp; "Max " &amp; 'Profit &amp; Loss'!I236*6 &amp; " pax," &amp; " (" &amp; 'Profit &amp; Loss'!I236 &amp; " courts)" &amp; CHAR(10) &amp; CHAR(10) &amp; "RSL Ultimate shuttles provided" &amp; CHAR(10) &amp; CHAR(10) &amp; "PM if interested, thank you!"," ")</f>
        <v xml:space="preserve"> </v>
      </c>
      <c r="B233" s="2" t="str">
        <f ca="1">IF('Profit &amp; Loss'!A236&gt;=TODAY(), "Date: " &amp; TEXT('Profit &amp; Loss'!A236,"dd mmm yyy") &amp; ", " &amp; 'Profit &amp; Loss'!B236 &amp; CHAR(10) &amp; "Time: " &amp; TEXT('Profit &amp; Loss'!C236, "hh:mm AM/PM") &amp; " - " &amp; TEXT('Profit &amp; Loss'!D236, "hh:mm AM/PM") &amp; CHAR(10) &amp; "Venue: " &amp; 'Profit &amp; Loss'!E236 &amp; CHAR(10) &amp; "Court No.: " &amp; 'Profit &amp; Loss'!F236 &amp; CHAR(10) &amp; "Level: HB - LI" &amp; CHAR(10) &amp; "Please transfer $" &amp; 'Profit &amp; Loss'!O236 &amp; " per pax to Belle (83396501)" &amp; CHAR(10) &amp; CHAR(10) &amp; IF('Profit &amp; Loss'!I236=1, "1." &amp; CHAR(10) &amp; "2." &amp; CHAR(10) &amp; "3." &amp; CHAR(10) &amp; "4." &amp; CHAR(10) &amp; "5." &amp; CHAR(10) &amp; "6." &amp; CHAR(10), IF('Profit &amp; Loss'!I236=2,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4" spans="1:2" ht="12.5" x14ac:dyDescent="0.25">
      <c r="A234" s="2" t="str">
        <f ca="1">IF('Profit &amp; Loss'!A237&gt;=TODAY(),"Looking for friendly players to join the following game: " &amp; CHAR(10) &amp; CHAR(10) &amp; "Date: " &amp; TEXT('Profit &amp; Loss'!A237,"dd mmm yyy") &amp; ", " &amp; 'Profit &amp; Loss'!B237 &amp; CHAR(10) &amp; "Time: " &amp; TEXT('Profit &amp; Loss'!C237, "hh:mm AM/PM") &amp; " - " &amp; TEXT('Profit &amp; Loss'!D237, "hh:mm AM/PM") &amp; CHAR(10) &amp; "Venue: " &amp; 'Profit &amp; Loss'!E237 &amp; CHAR(10) &amp; "Level: HB - LI" &amp; CHAR(10) &amp; "Cost: $" &amp; 'Profit &amp; Loss'!O237 &amp; " per pax" &amp; CHAR(10) &amp; "Max " &amp; 'Profit &amp; Loss'!I237*6 &amp; " pax," &amp; " (" &amp; 'Profit &amp; Loss'!I237 &amp; " courts)" &amp; CHAR(10) &amp; CHAR(10) &amp; "RSL Ultimate shuttles provided" &amp; CHAR(10) &amp; CHAR(10) &amp; "PM if interested, thank you!"," ")</f>
        <v xml:space="preserve"> </v>
      </c>
      <c r="B234" s="2" t="str">
        <f ca="1">IF('Profit &amp; Loss'!A237&gt;=TODAY(), "Date: " &amp; TEXT('Profit &amp; Loss'!A237,"dd mmm yyy") &amp; ", " &amp; 'Profit &amp; Loss'!B237 &amp; CHAR(10) &amp; "Time: " &amp; TEXT('Profit &amp; Loss'!C237, "hh:mm AM/PM") &amp; " - " &amp; TEXT('Profit &amp; Loss'!D237, "hh:mm AM/PM") &amp; CHAR(10) &amp; "Venue: " &amp; 'Profit &amp; Loss'!E237 &amp; CHAR(10) &amp; "Court No.: " &amp; 'Profit &amp; Loss'!F237 &amp; CHAR(10) &amp; "Level: HB - LI" &amp; CHAR(10) &amp; "Please transfer $" &amp; 'Profit &amp; Loss'!O237 &amp; " per pax to Belle (83396501)" &amp; CHAR(10) &amp; CHAR(10) &amp; IF('Profit &amp; Loss'!I237=1, "1." &amp; CHAR(10) &amp; "2." &amp; CHAR(10) &amp; "3." &amp; CHAR(10) &amp; "4." &amp; CHAR(10) &amp; "5." &amp; CHAR(10) &amp; "6." &amp; CHAR(10), IF('Profit &amp; Loss'!I237=2,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5" spans="1:2" ht="12.5" x14ac:dyDescent="0.25">
      <c r="A235" s="2" t="str">
        <f ca="1">IF('Profit &amp; Loss'!A238&gt;=TODAY(),"Looking for friendly players to join the following game: " &amp; CHAR(10) &amp; CHAR(10) &amp; "Date: " &amp; TEXT('Profit &amp; Loss'!A238,"dd mmm yyy") &amp; ", " &amp; 'Profit &amp; Loss'!B238 &amp; CHAR(10) &amp; "Time: " &amp; TEXT('Profit &amp; Loss'!C238, "hh:mm AM/PM") &amp; " - " &amp; TEXT('Profit &amp; Loss'!D238, "hh:mm AM/PM") &amp; CHAR(10) &amp; "Venue: " &amp; 'Profit &amp; Loss'!E238 &amp; CHAR(10) &amp; "Level: HB - LI" &amp; CHAR(10) &amp; "Cost: $" &amp; 'Profit &amp; Loss'!O238 &amp; " per pax" &amp; CHAR(10) &amp; "Max " &amp; 'Profit &amp; Loss'!I238*6 &amp; " pax," &amp; " (" &amp; 'Profit &amp; Loss'!I238 &amp; " courts)" &amp; CHAR(10) &amp; CHAR(10) &amp; "RSL Ultimate shuttles provided" &amp; CHAR(10) &amp; CHAR(10) &amp; "PM if interested, thank you!"," ")</f>
        <v xml:space="preserve"> </v>
      </c>
      <c r="B235" s="2" t="str">
        <f ca="1">IF('Profit &amp; Loss'!A238&gt;=TODAY(), "Date: " &amp; TEXT('Profit &amp; Loss'!A238,"dd mmm yyy") &amp; ", " &amp; 'Profit &amp; Loss'!B238 &amp; CHAR(10) &amp; "Time: " &amp; TEXT('Profit &amp; Loss'!C238, "hh:mm AM/PM") &amp; " - " &amp; TEXT('Profit &amp; Loss'!D238, "hh:mm AM/PM") &amp; CHAR(10) &amp; "Venue: " &amp; 'Profit &amp; Loss'!E238 &amp; CHAR(10) &amp; "Court No.: " &amp; 'Profit &amp; Loss'!F238 &amp; CHAR(10) &amp; "Level: HB - LI" &amp; CHAR(10) &amp; "Please transfer $" &amp; 'Profit &amp; Loss'!O238 &amp; " per pax to Belle (83396501)" &amp; CHAR(10) &amp; CHAR(10) &amp; IF('Profit &amp; Loss'!I238=1, "1." &amp; CHAR(10) &amp; "2." &amp; CHAR(10) &amp; "3." &amp; CHAR(10) &amp; "4." &amp; CHAR(10) &amp; "5." &amp; CHAR(10) &amp; "6." &amp; CHAR(10), IF('Profit &amp; Loss'!I238=2,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6" spans="1:2" ht="12.5" x14ac:dyDescent="0.25">
      <c r="A236" s="2" t="str">
        <f ca="1">IF('Profit &amp; Loss'!A239&gt;=TODAY(),"Looking for friendly players to join the following game: " &amp; CHAR(10) &amp; CHAR(10) &amp; "Date: " &amp; TEXT('Profit &amp; Loss'!A239,"dd mmm yyy") &amp; ", " &amp; 'Profit &amp; Loss'!B239 &amp; CHAR(10) &amp; "Time: " &amp; TEXT('Profit &amp; Loss'!C239, "hh:mm AM/PM") &amp; " - " &amp; TEXT('Profit &amp; Loss'!D239, "hh:mm AM/PM") &amp; CHAR(10) &amp; "Venue: " &amp; 'Profit &amp; Loss'!E239 &amp; CHAR(10) &amp; "Level: HB - LI" &amp; CHAR(10) &amp; "Cost: $" &amp; 'Profit &amp; Loss'!O239 &amp; " per pax" &amp; CHAR(10) &amp; "Max " &amp; 'Profit &amp; Loss'!I239*6 &amp; " pax," &amp; " (" &amp; 'Profit &amp; Loss'!I239 &amp; " courts)" &amp; CHAR(10) &amp; CHAR(10) &amp; "RSL Ultimate shuttles provided" &amp; CHAR(10) &amp; CHAR(10) &amp; "PM if interested, thank you!"," ")</f>
        <v xml:space="preserve"> </v>
      </c>
      <c r="B236" s="2" t="str">
        <f ca="1">IF('Profit &amp; Loss'!A239&gt;=TODAY(), "Date: " &amp; TEXT('Profit &amp; Loss'!A239,"dd mmm yyy") &amp; ", " &amp; 'Profit &amp; Loss'!B239 &amp; CHAR(10) &amp; "Time: " &amp; TEXT('Profit &amp; Loss'!C239, "hh:mm AM/PM") &amp; " - " &amp; TEXT('Profit &amp; Loss'!D239, "hh:mm AM/PM") &amp; CHAR(10) &amp; "Venue: " &amp; 'Profit &amp; Loss'!E239 &amp; CHAR(10) &amp; "Court No.: " &amp; 'Profit &amp; Loss'!F239 &amp; CHAR(10) &amp; "Level: HB - LI" &amp; CHAR(10) &amp; "Please transfer $" &amp; 'Profit &amp; Loss'!O239 &amp; " per pax to Belle (83396501)" &amp; CHAR(10) &amp; CHAR(10) &amp; IF('Profit &amp; Loss'!I239=1, "1." &amp; CHAR(10) &amp; "2." &amp; CHAR(10) &amp; "3." &amp; CHAR(10) &amp; "4." &amp; CHAR(10) &amp; "5." &amp; CHAR(10) &amp; "6." &amp; CHAR(10), IF('Profit &amp; Loss'!I239=2,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7" spans="1:2" ht="12.5" x14ac:dyDescent="0.25">
      <c r="A237" s="2" t="str">
        <f ca="1">IF('Profit &amp; Loss'!A240&gt;=TODAY(),"Looking for friendly players to join the following game: " &amp; CHAR(10) &amp; CHAR(10) &amp; "Date: " &amp; TEXT('Profit &amp; Loss'!A240,"dd mmm yyy") &amp; ", " &amp; 'Profit &amp; Loss'!B240 &amp; CHAR(10) &amp; "Time: " &amp; TEXT('Profit &amp; Loss'!C240, "hh:mm AM/PM") &amp; " - " &amp; TEXT('Profit &amp; Loss'!D240, "hh:mm AM/PM") &amp; CHAR(10) &amp; "Venue: " &amp; 'Profit &amp; Loss'!E240 &amp; CHAR(10) &amp; "Level: HB - LI" &amp; CHAR(10) &amp; "Cost: $" &amp; 'Profit &amp; Loss'!O240 &amp; " per pax" &amp; CHAR(10) &amp; "Max " &amp; 'Profit &amp; Loss'!I240*6 &amp; " pax," &amp; " (" &amp; 'Profit &amp; Loss'!I240 &amp; " courts)" &amp; CHAR(10) &amp; CHAR(10) &amp; "RSL Ultimate shuttles provided" &amp; CHAR(10) &amp; CHAR(10) &amp; "PM if interested, thank you!"," ")</f>
        <v xml:space="preserve"> </v>
      </c>
      <c r="B237" s="2" t="str">
        <f ca="1">IF('Profit &amp; Loss'!A240&gt;=TODAY(), "Date: " &amp; TEXT('Profit &amp; Loss'!A240,"dd mmm yyy") &amp; ", " &amp; 'Profit &amp; Loss'!B240 &amp; CHAR(10) &amp; "Time: " &amp; TEXT('Profit &amp; Loss'!C240, "hh:mm AM/PM") &amp; " - " &amp; TEXT('Profit &amp; Loss'!D240, "hh:mm AM/PM") &amp; CHAR(10) &amp; "Venue: " &amp; 'Profit &amp; Loss'!E240 &amp; CHAR(10) &amp; "Court No.: " &amp; 'Profit &amp; Loss'!F240 &amp; CHAR(10) &amp; "Level: HB - LI" &amp; CHAR(10) &amp; "Please transfer $" &amp; 'Profit &amp; Loss'!O240 &amp; " per pax to Belle (83396501)" &amp; CHAR(10) &amp; CHAR(10) &amp; IF('Profit &amp; Loss'!I240=1, "1." &amp; CHAR(10) &amp; "2." &amp; CHAR(10) &amp; "3." &amp; CHAR(10) &amp; "4." &amp; CHAR(10) &amp; "5." &amp; CHAR(10) &amp; "6." &amp; CHAR(10), IF('Profit &amp; Loss'!I240=2,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8" spans="1:2" ht="12.5" x14ac:dyDescent="0.25">
      <c r="A238" s="2" t="str">
        <f ca="1">IF('Profit &amp; Loss'!A241&gt;=TODAY(),"Looking for friendly players to join the following game: " &amp; CHAR(10) &amp; CHAR(10) &amp; "Date: " &amp; TEXT('Profit &amp; Loss'!A241,"dd mmm yyy") &amp; ", " &amp; 'Profit &amp; Loss'!B241 &amp; CHAR(10) &amp; "Time: " &amp; TEXT('Profit &amp; Loss'!C241, "hh:mm AM/PM") &amp; " - " &amp; TEXT('Profit &amp; Loss'!D241, "hh:mm AM/PM") &amp; CHAR(10) &amp; "Venue: " &amp; 'Profit &amp; Loss'!E241 &amp; CHAR(10) &amp; "Level: HB - LI" &amp; CHAR(10) &amp; "Cost: $" &amp; 'Profit &amp; Loss'!O241 &amp; " per pax" &amp; CHAR(10) &amp; "Max " &amp; 'Profit &amp; Loss'!I241*6 &amp; " pax," &amp; " (" &amp; 'Profit &amp; Loss'!I241 &amp; " courts)" &amp; CHAR(10) &amp; CHAR(10) &amp; "RSL Ultimate shuttles provided" &amp; CHAR(10) &amp; CHAR(10) &amp; "PM if interested, thank you!"," ")</f>
        <v xml:space="preserve"> </v>
      </c>
      <c r="B238" s="2" t="str">
        <f ca="1">IF('Profit &amp; Loss'!A241&gt;=TODAY(), "Date: " &amp; TEXT('Profit &amp; Loss'!A241,"dd mmm yyy") &amp; ", " &amp; 'Profit &amp; Loss'!B241 &amp; CHAR(10) &amp; "Time: " &amp; TEXT('Profit &amp; Loss'!C241, "hh:mm AM/PM") &amp; " - " &amp; TEXT('Profit &amp; Loss'!D241, "hh:mm AM/PM") &amp; CHAR(10) &amp; "Venue: " &amp; 'Profit &amp; Loss'!E241 &amp; CHAR(10) &amp; "Court No.: " &amp; 'Profit &amp; Loss'!F241 &amp; CHAR(10) &amp; "Level: HB - LI" &amp; CHAR(10) &amp; "Please transfer $" &amp; 'Profit &amp; Loss'!O241 &amp; " per pax to Belle (83396501)" &amp; CHAR(10) &amp; CHAR(10) &amp; IF('Profit &amp; Loss'!I241=1, "1." &amp; CHAR(10) &amp; "2." &amp; CHAR(10) &amp; "3." &amp; CHAR(10) &amp; "4." &amp; CHAR(10) &amp; "5." &amp; CHAR(10) &amp; "6." &amp; CHAR(10), IF('Profit &amp; Loss'!I241=2,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39" spans="1:2" ht="12.5" x14ac:dyDescent="0.25">
      <c r="A239" s="2" t="str">
        <f ca="1">IF('Profit &amp; Loss'!A242&gt;=TODAY(),"Looking for friendly players to join the following game: " &amp; CHAR(10) &amp; CHAR(10) &amp; "Date: " &amp; TEXT('Profit &amp; Loss'!A242,"dd mmm yyy") &amp; ", " &amp; 'Profit &amp; Loss'!B242 &amp; CHAR(10) &amp; "Time: " &amp; TEXT('Profit &amp; Loss'!C242, "hh:mm AM/PM") &amp; " - " &amp; TEXT('Profit &amp; Loss'!D242, "hh:mm AM/PM") &amp; CHAR(10) &amp; "Venue: " &amp; 'Profit &amp; Loss'!E242 &amp; CHAR(10) &amp; "Level: HB - LI" &amp; CHAR(10) &amp; "Cost: $" &amp; 'Profit &amp; Loss'!O242 &amp; " per pax" &amp; CHAR(10) &amp; "Max " &amp; 'Profit &amp; Loss'!I242*6 &amp; " pax," &amp; " (" &amp; 'Profit &amp; Loss'!I242 &amp; " courts)" &amp; CHAR(10) &amp; CHAR(10) &amp; "RSL Ultimate shuttles provided" &amp; CHAR(10) &amp; CHAR(10) &amp; "PM if interested, thank you!"," ")</f>
        <v xml:space="preserve"> </v>
      </c>
      <c r="B239" s="2" t="str">
        <f ca="1">IF('Profit &amp; Loss'!A242&gt;=TODAY(), "Date: " &amp; TEXT('Profit &amp; Loss'!A242,"dd mmm yyy") &amp; ", " &amp; 'Profit &amp; Loss'!B242 &amp; CHAR(10) &amp; "Time: " &amp; TEXT('Profit &amp; Loss'!C242, "hh:mm AM/PM") &amp; " - " &amp; TEXT('Profit &amp; Loss'!D242, "hh:mm AM/PM") &amp; CHAR(10) &amp; "Venue: " &amp; 'Profit &amp; Loss'!E242 &amp; CHAR(10) &amp; "Court No.: " &amp; 'Profit &amp; Loss'!F242 &amp; CHAR(10) &amp; "Level: HB - LI" &amp; CHAR(10) &amp; "Please transfer $" &amp; 'Profit &amp; Loss'!O242 &amp; " per pax to Belle (83396501)" &amp; CHAR(10) &amp; CHAR(10) &amp; IF('Profit &amp; Loss'!I242=1, "1." &amp; CHAR(10) &amp; "2." &amp; CHAR(10) &amp; "3." &amp; CHAR(10) &amp; "4." &amp; CHAR(10) &amp; "5." &amp; CHAR(10) &amp; "6." &amp; CHAR(10), IF('Profit &amp; Loss'!I242=2,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0" spans="1:2" ht="12.5" x14ac:dyDescent="0.25">
      <c r="A240" s="2" t="str">
        <f ca="1">IF('Profit &amp; Loss'!A243&gt;=TODAY(),"Looking for friendly players to join the following game: " &amp; CHAR(10) &amp; CHAR(10) &amp; "Date: " &amp; TEXT('Profit &amp; Loss'!A243,"dd mmm yyy") &amp; ", " &amp; 'Profit &amp; Loss'!B243 &amp; CHAR(10) &amp; "Time: " &amp; TEXT('Profit &amp; Loss'!C243, "hh:mm AM/PM") &amp; " - " &amp; TEXT('Profit &amp; Loss'!D243, "hh:mm AM/PM") &amp; CHAR(10) &amp; "Venue: " &amp; 'Profit &amp; Loss'!E243 &amp; CHAR(10) &amp; "Level: HB - LI" &amp; CHAR(10) &amp; "Cost: $" &amp; 'Profit &amp; Loss'!O243 &amp; " per pax" &amp; CHAR(10) &amp; "Max " &amp; 'Profit &amp; Loss'!I243*6 &amp; " pax," &amp; " (" &amp; 'Profit &amp; Loss'!I243 &amp; " courts)" &amp; CHAR(10) &amp; CHAR(10) &amp; "RSL Ultimate shuttles provided" &amp; CHAR(10) &amp; CHAR(10) &amp; "PM if interested, thank you!"," ")</f>
        <v xml:space="preserve"> </v>
      </c>
      <c r="B240" s="2" t="str">
        <f ca="1">IF('Profit &amp; Loss'!A243&gt;=TODAY(), "Date: " &amp; TEXT('Profit &amp; Loss'!A243,"dd mmm yyy") &amp; ", " &amp; 'Profit &amp; Loss'!B243 &amp; CHAR(10) &amp; "Time: " &amp; TEXT('Profit &amp; Loss'!C243, "hh:mm AM/PM") &amp; " - " &amp; TEXT('Profit &amp; Loss'!D243, "hh:mm AM/PM") &amp; CHAR(10) &amp; "Venue: " &amp; 'Profit &amp; Loss'!E243 &amp; CHAR(10) &amp; "Court No.: " &amp; 'Profit &amp; Loss'!F243 &amp; CHAR(10) &amp; "Level: HB - LI" &amp; CHAR(10) &amp; "Please transfer $" &amp; 'Profit &amp; Loss'!O243 &amp; " per pax to Belle (83396501)" &amp; CHAR(10) &amp; CHAR(10) &amp; IF('Profit &amp; Loss'!I243=1, "1." &amp; CHAR(10) &amp; "2." &amp; CHAR(10) &amp; "3." &amp; CHAR(10) &amp; "4." &amp; CHAR(10) &amp; "5." &amp; CHAR(10) &amp; "6." &amp; CHAR(10), IF('Profit &amp; Loss'!I243=2,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1" spans="1:2" ht="12.5" x14ac:dyDescent="0.25">
      <c r="A241" s="2" t="str">
        <f ca="1">IF('Profit &amp; Loss'!A244&gt;=TODAY(),"Looking for friendly players to join the following game: " &amp; CHAR(10) &amp; CHAR(10) &amp; "Date: " &amp; TEXT('Profit &amp; Loss'!A244,"dd mmm yyy") &amp; ", " &amp; 'Profit &amp; Loss'!B244 &amp; CHAR(10) &amp; "Time: " &amp; TEXT('Profit &amp; Loss'!C244, "hh:mm AM/PM") &amp; " - " &amp; TEXT('Profit &amp; Loss'!D244, "hh:mm AM/PM") &amp; CHAR(10) &amp; "Venue: " &amp; 'Profit &amp; Loss'!E244 &amp; CHAR(10) &amp; "Level: HB - LI" &amp; CHAR(10) &amp; "Cost: $" &amp; 'Profit &amp; Loss'!O244 &amp; " per pax" &amp; CHAR(10) &amp; "Max " &amp; 'Profit &amp; Loss'!I244*6 &amp; " pax," &amp; " (" &amp; 'Profit &amp; Loss'!I244 &amp; " courts)" &amp; CHAR(10) &amp; CHAR(10) &amp; "RSL Ultimate shuttles provided" &amp; CHAR(10) &amp; CHAR(10) &amp; "PM if interested, thank you!"," ")</f>
        <v xml:space="preserve"> </v>
      </c>
      <c r="B241" s="2" t="str">
        <f ca="1">IF('Profit &amp; Loss'!A244&gt;=TODAY(), "Date: " &amp; TEXT('Profit &amp; Loss'!A244,"dd mmm yyy") &amp; ", " &amp; 'Profit &amp; Loss'!B244 &amp; CHAR(10) &amp; "Time: " &amp; TEXT('Profit &amp; Loss'!C244, "hh:mm AM/PM") &amp; " - " &amp; TEXT('Profit &amp; Loss'!D244, "hh:mm AM/PM") &amp; CHAR(10) &amp; "Venue: " &amp; 'Profit &amp; Loss'!E244 &amp; CHAR(10) &amp; "Court No.: " &amp; 'Profit &amp; Loss'!F244 &amp; CHAR(10) &amp; "Level: HB - LI" &amp; CHAR(10) &amp; "Please transfer $" &amp; 'Profit &amp; Loss'!O244 &amp; " per pax to Belle (83396501)" &amp; CHAR(10) &amp; CHAR(10) &amp; IF('Profit &amp; Loss'!I244=1, "1." &amp; CHAR(10) &amp; "2." &amp; CHAR(10) &amp; "3." &amp; CHAR(10) &amp; "4." &amp; CHAR(10) &amp; "5." &amp; CHAR(10) &amp; "6." &amp; CHAR(10), IF('Profit &amp; Loss'!I244=2,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2" spans="1:2" ht="12.5" x14ac:dyDescent="0.25">
      <c r="A242" s="2" t="str">
        <f ca="1">IF('Profit &amp; Loss'!A245&gt;=TODAY(),"Looking for friendly players to join the following game: " &amp; CHAR(10) &amp; CHAR(10) &amp; "Date: " &amp; TEXT('Profit &amp; Loss'!A245,"dd mmm yyy") &amp; ", " &amp; 'Profit &amp; Loss'!B245 &amp; CHAR(10) &amp; "Time: " &amp; TEXT('Profit &amp; Loss'!C245, "hh:mm AM/PM") &amp; " - " &amp; TEXT('Profit &amp; Loss'!D245, "hh:mm AM/PM") &amp; CHAR(10) &amp; "Venue: " &amp; 'Profit &amp; Loss'!E245 &amp; CHAR(10) &amp; "Level: HB - LI" &amp; CHAR(10) &amp; "Cost: $" &amp; 'Profit &amp; Loss'!O245 &amp; " per pax" &amp; CHAR(10) &amp; "Max " &amp; 'Profit &amp; Loss'!I245*6 &amp; " pax," &amp; " (" &amp; 'Profit &amp; Loss'!I245 &amp; " courts)" &amp; CHAR(10) &amp; CHAR(10) &amp; "RSL Ultimate shuttles provided" &amp; CHAR(10) &amp; CHAR(10) &amp; "PM if interested, thank you!"," ")</f>
        <v xml:space="preserve"> </v>
      </c>
      <c r="B242" s="2" t="str">
        <f ca="1">IF('Profit &amp; Loss'!A245&gt;=TODAY(), "Date: " &amp; TEXT('Profit &amp; Loss'!A245,"dd mmm yyy") &amp; ", " &amp; 'Profit &amp; Loss'!B245 &amp; CHAR(10) &amp; "Time: " &amp; TEXT('Profit &amp; Loss'!C245, "hh:mm AM/PM") &amp; " - " &amp; TEXT('Profit &amp; Loss'!D245, "hh:mm AM/PM") &amp; CHAR(10) &amp; "Venue: " &amp; 'Profit &amp; Loss'!E245 &amp; CHAR(10) &amp; "Court No.: " &amp; 'Profit &amp; Loss'!F245 &amp; CHAR(10) &amp; "Level: HB - LI" &amp; CHAR(10) &amp; "Please transfer $" &amp; 'Profit &amp; Loss'!O245 &amp; " per pax to Belle (83396501)" &amp; CHAR(10) &amp; CHAR(10) &amp; IF('Profit &amp; Loss'!I245=1, "1." &amp; CHAR(10) &amp; "2." &amp; CHAR(10) &amp; "3." &amp; CHAR(10) &amp; "4." &amp; CHAR(10) &amp; "5." &amp; CHAR(10) &amp; "6." &amp; CHAR(10), IF('Profit &amp; Loss'!I245=2,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3" spans="1:2" ht="12.5" x14ac:dyDescent="0.25">
      <c r="A243" s="2" t="str">
        <f ca="1">IF('Profit &amp; Loss'!A246&gt;=TODAY(),"Looking for friendly players to join the following game: " &amp; CHAR(10) &amp; CHAR(10) &amp; "Date: " &amp; TEXT('Profit &amp; Loss'!A246,"dd mmm yyy") &amp; ", " &amp; 'Profit &amp; Loss'!B246 &amp; CHAR(10) &amp; "Time: " &amp; TEXT('Profit &amp; Loss'!C246, "hh:mm AM/PM") &amp; " - " &amp; TEXT('Profit &amp; Loss'!D246, "hh:mm AM/PM") &amp; CHAR(10) &amp; "Venue: " &amp; 'Profit &amp; Loss'!E246 &amp; CHAR(10) &amp; "Level: HB - LI" &amp; CHAR(10) &amp; "Cost: $" &amp; 'Profit &amp; Loss'!O246 &amp; " per pax" &amp; CHAR(10) &amp; "Max " &amp; 'Profit &amp; Loss'!I246*6 &amp; " pax," &amp; " (" &amp; 'Profit &amp; Loss'!I246 &amp; " courts)" &amp; CHAR(10) &amp; CHAR(10) &amp; "RSL Ultimate shuttles provided" &amp; CHAR(10) &amp; CHAR(10) &amp; "PM if interested, thank you!"," ")</f>
        <v xml:space="preserve"> </v>
      </c>
      <c r="B243" s="2" t="str">
        <f ca="1">IF('Profit &amp; Loss'!A246&gt;=TODAY(), "Date: " &amp; TEXT('Profit &amp; Loss'!A246,"dd mmm yyy") &amp; ", " &amp; 'Profit &amp; Loss'!B246 &amp; CHAR(10) &amp; "Time: " &amp; TEXT('Profit &amp; Loss'!C246, "hh:mm AM/PM") &amp; " - " &amp; TEXT('Profit &amp; Loss'!D246, "hh:mm AM/PM") &amp; CHAR(10) &amp; "Venue: " &amp; 'Profit &amp; Loss'!E246 &amp; CHAR(10) &amp; "Court No.: " &amp; 'Profit &amp; Loss'!F246 &amp; CHAR(10) &amp; "Level: HB - LI" &amp; CHAR(10) &amp; "Please transfer $" &amp; 'Profit &amp; Loss'!O246 &amp; " per pax to Belle (83396501)" &amp; CHAR(10) &amp; CHAR(10) &amp; IF('Profit &amp; Loss'!I246=1, "1." &amp; CHAR(10) &amp; "2." &amp; CHAR(10) &amp; "3." &amp; CHAR(10) &amp; "4." &amp; CHAR(10) &amp; "5." &amp; CHAR(10) &amp; "6." &amp; CHAR(10), IF('Profit &amp; Loss'!I246=2,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4" spans="1:2" ht="12.5" x14ac:dyDescent="0.25">
      <c r="A244" s="2" t="str">
        <f ca="1">IF('Profit &amp; Loss'!A247&gt;=TODAY(),"Looking for friendly players to join the following game: " &amp; CHAR(10) &amp; CHAR(10) &amp; "Date: " &amp; TEXT('Profit &amp; Loss'!A247,"dd mmm yyy") &amp; ", " &amp; 'Profit &amp; Loss'!B247 &amp; CHAR(10) &amp; "Time: " &amp; TEXT('Profit &amp; Loss'!C247, "hh:mm AM/PM") &amp; " - " &amp; TEXT('Profit &amp; Loss'!D247, "hh:mm AM/PM") &amp; CHAR(10) &amp; "Venue: " &amp; 'Profit &amp; Loss'!E247 &amp; CHAR(10) &amp; "Level: HB - LI" &amp; CHAR(10) &amp; "Cost: $" &amp; 'Profit &amp; Loss'!O247 &amp; " per pax" &amp; CHAR(10) &amp; "Max " &amp; 'Profit &amp; Loss'!I247*6 &amp; " pax," &amp; " (" &amp; 'Profit &amp; Loss'!I247 &amp; " courts)" &amp; CHAR(10) &amp; CHAR(10) &amp; "RSL Ultimate shuttles provided" &amp; CHAR(10) &amp; CHAR(10) &amp; "PM if interested, thank you!"," ")</f>
        <v xml:space="preserve"> </v>
      </c>
      <c r="B244" s="2" t="str">
        <f ca="1">IF('Profit &amp; Loss'!A247&gt;=TODAY(), "Date: " &amp; TEXT('Profit &amp; Loss'!A247,"dd mmm yyy") &amp; ", " &amp; 'Profit &amp; Loss'!B247 &amp; CHAR(10) &amp; "Time: " &amp; TEXT('Profit &amp; Loss'!C247, "hh:mm AM/PM") &amp; " - " &amp; TEXT('Profit &amp; Loss'!D247, "hh:mm AM/PM") &amp; CHAR(10) &amp; "Venue: " &amp; 'Profit &amp; Loss'!E247 &amp; CHAR(10) &amp; "Court No.: " &amp; 'Profit &amp; Loss'!F247 &amp; CHAR(10) &amp; "Level: HB - LI" &amp; CHAR(10) &amp; "Please transfer $" &amp; 'Profit &amp; Loss'!O247 &amp; " per pax to Belle (83396501)" &amp; CHAR(10) &amp; CHAR(10) &amp; IF('Profit &amp; Loss'!I247=1, "1." &amp; CHAR(10) &amp; "2." &amp; CHAR(10) &amp; "3." &amp; CHAR(10) &amp; "4." &amp; CHAR(10) &amp; "5." &amp; CHAR(10) &amp; "6." &amp; CHAR(10), IF('Profit &amp; Loss'!I247=2,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5" spans="1:2" ht="12.5" x14ac:dyDescent="0.25">
      <c r="A245" s="2" t="str">
        <f ca="1">IF('Profit &amp; Loss'!A248&gt;=TODAY(),"Looking for friendly players to join the following game: " &amp; CHAR(10) &amp; CHAR(10) &amp; "Date: " &amp; TEXT('Profit &amp; Loss'!A248,"dd mmm yyy") &amp; ", " &amp; 'Profit &amp; Loss'!B248 &amp; CHAR(10) &amp; "Time: " &amp; TEXT('Profit &amp; Loss'!C248, "hh:mm AM/PM") &amp; " - " &amp; TEXT('Profit &amp; Loss'!D248, "hh:mm AM/PM") &amp; CHAR(10) &amp; "Venue: " &amp; 'Profit &amp; Loss'!E248 &amp; CHAR(10) &amp; "Level: HB - LI" &amp; CHAR(10) &amp; "Cost: $" &amp; 'Profit &amp; Loss'!O248 &amp; " per pax" &amp; CHAR(10) &amp; "Max " &amp; 'Profit &amp; Loss'!I248*6 &amp; " pax," &amp; " (" &amp; 'Profit &amp; Loss'!I248 &amp; " courts)" &amp; CHAR(10) &amp; CHAR(10) &amp; "RSL Ultimate shuttles provided" &amp; CHAR(10) &amp; CHAR(10) &amp; "PM if interested, thank you!"," ")</f>
        <v xml:space="preserve"> </v>
      </c>
      <c r="B245" s="2" t="str">
        <f ca="1">IF('Profit &amp; Loss'!A248&gt;=TODAY(), "Date: " &amp; TEXT('Profit &amp; Loss'!A248,"dd mmm yyy") &amp; ", " &amp; 'Profit &amp; Loss'!B248 &amp; CHAR(10) &amp; "Time: " &amp; TEXT('Profit &amp; Loss'!C248, "hh:mm AM/PM") &amp; " - " &amp; TEXT('Profit &amp; Loss'!D248, "hh:mm AM/PM") &amp; CHAR(10) &amp; "Venue: " &amp; 'Profit &amp; Loss'!E248 &amp; CHAR(10) &amp; "Court No.: " &amp; 'Profit &amp; Loss'!F248 &amp; CHAR(10) &amp; "Level: HB - LI" &amp; CHAR(10) &amp; "Please transfer $" &amp; 'Profit &amp; Loss'!O248 &amp; " per pax to Belle (83396501)" &amp; CHAR(10) &amp; CHAR(10) &amp; IF('Profit &amp; Loss'!I248=1, "1." &amp; CHAR(10) &amp; "2." &amp; CHAR(10) &amp; "3." &amp; CHAR(10) &amp; "4." &amp; CHAR(10) &amp; "5." &amp; CHAR(10) &amp; "6." &amp; CHAR(10), IF('Profit &amp; Loss'!I248=2,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6" spans="1:2" ht="12.5" x14ac:dyDescent="0.25">
      <c r="A246" s="2" t="str">
        <f ca="1">IF('Profit &amp; Loss'!A249&gt;=TODAY(),"Looking for friendly players to join the following game: " &amp; CHAR(10) &amp; CHAR(10) &amp; "Date: " &amp; TEXT('Profit &amp; Loss'!A249,"dd mmm yyy") &amp; ", " &amp; 'Profit &amp; Loss'!B249 &amp; CHAR(10) &amp; "Time: " &amp; TEXT('Profit &amp; Loss'!C249, "hh:mm AM/PM") &amp; " - " &amp; TEXT('Profit &amp; Loss'!D249, "hh:mm AM/PM") &amp; CHAR(10) &amp; "Venue: " &amp; 'Profit &amp; Loss'!E249 &amp; CHAR(10) &amp; "Level: HB - LI" &amp; CHAR(10) &amp; "Cost: $" &amp; 'Profit &amp; Loss'!O249 &amp; " per pax" &amp; CHAR(10) &amp; "Max " &amp; 'Profit &amp; Loss'!I249*6 &amp; " pax," &amp; " (" &amp; 'Profit &amp; Loss'!I249 &amp; " courts)" &amp; CHAR(10) &amp; CHAR(10) &amp; "RSL Ultimate shuttles provided" &amp; CHAR(10) &amp; CHAR(10) &amp; "PM if interested, thank you!"," ")</f>
        <v xml:space="preserve"> </v>
      </c>
      <c r="B246" s="2" t="str">
        <f ca="1">IF('Profit &amp; Loss'!A249&gt;=TODAY(), "Date: " &amp; TEXT('Profit &amp; Loss'!A249,"dd mmm yyy") &amp; ", " &amp; 'Profit &amp; Loss'!B249 &amp; CHAR(10) &amp; "Time: " &amp; TEXT('Profit &amp; Loss'!C249, "hh:mm AM/PM") &amp; " - " &amp; TEXT('Profit &amp; Loss'!D249, "hh:mm AM/PM") &amp; CHAR(10) &amp; "Venue: " &amp; 'Profit &amp; Loss'!E249 &amp; CHAR(10) &amp; "Court No.: " &amp; 'Profit &amp; Loss'!F249 &amp; CHAR(10) &amp; "Level: HB - LI" &amp; CHAR(10) &amp; "Please transfer $" &amp; 'Profit &amp; Loss'!O249 &amp; " per pax to Belle (83396501)" &amp; CHAR(10) &amp; CHAR(10) &amp; IF('Profit &amp; Loss'!I249=1, "1." &amp; CHAR(10) &amp; "2." &amp; CHAR(10) &amp; "3." &amp; CHAR(10) &amp; "4." &amp; CHAR(10) &amp; "5." &amp; CHAR(10) &amp; "6." &amp; CHAR(10), IF('Profit &amp; Loss'!I249=2,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7" spans="1:2" ht="12.5" x14ac:dyDescent="0.25">
      <c r="A247" s="2" t="str">
        <f ca="1">IF('Profit &amp; Loss'!A250&gt;=TODAY(),"Looking for friendly players to join the following game: " &amp; CHAR(10) &amp; CHAR(10) &amp; "Date: " &amp; TEXT('Profit &amp; Loss'!A250,"dd mmm yyy") &amp; ", " &amp; 'Profit &amp; Loss'!B250 &amp; CHAR(10) &amp; "Time: " &amp; TEXT('Profit &amp; Loss'!C250, "hh:mm AM/PM") &amp; " - " &amp; TEXT('Profit &amp; Loss'!D250, "hh:mm AM/PM") &amp; CHAR(10) &amp; "Venue: " &amp; 'Profit &amp; Loss'!E250 &amp; CHAR(10) &amp; "Level: HB - LI" &amp; CHAR(10) &amp; "Cost: $" &amp; 'Profit &amp; Loss'!O250 &amp; " per pax" &amp; CHAR(10) &amp; "Max " &amp; 'Profit &amp; Loss'!I250*6 &amp; " pax," &amp; " (" &amp; 'Profit &amp; Loss'!I250 &amp; " courts)" &amp; CHAR(10) &amp; CHAR(10) &amp; "RSL Ultimate shuttles provided" &amp; CHAR(10) &amp; CHAR(10) &amp; "PM if interested, thank you!"," ")</f>
        <v xml:space="preserve"> </v>
      </c>
      <c r="B247" s="2" t="str">
        <f ca="1">IF('Profit &amp; Loss'!A250&gt;=TODAY(), "Date: " &amp; TEXT('Profit &amp; Loss'!A250,"dd mmm yyy") &amp; ", " &amp; 'Profit &amp; Loss'!B250 &amp; CHAR(10) &amp; "Time: " &amp; TEXT('Profit &amp; Loss'!C250, "hh:mm AM/PM") &amp; " - " &amp; TEXT('Profit &amp; Loss'!D250, "hh:mm AM/PM") &amp; CHAR(10) &amp; "Venue: " &amp; 'Profit &amp; Loss'!E250 &amp; CHAR(10) &amp; "Court No.: " &amp; 'Profit &amp; Loss'!F250 &amp; CHAR(10) &amp; "Level: HB - LI" &amp; CHAR(10) &amp; "Please transfer $" &amp; 'Profit &amp; Loss'!O250 &amp; " per pax to Belle (83396501)" &amp; CHAR(10) &amp; CHAR(10) &amp; IF('Profit &amp; Loss'!I250=1, "1." &amp; CHAR(10) &amp; "2." &amp; CHAR(10) &amp; "3." &amp; CHAR(10) &amp; "4." &amp; CHAR(10) &amp; "5." &amp; CHAR(10) &amp; "6." &amp; CHAR(10), IF('Profit &amp; Loss'!I250=2,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8" spans="1:2" ht="12.5" x14ac:dyDescent="0.25">
      <c r="A248" s="2" t="str">
        <f ca="1">IF('Profit &amp; Loss'!A251&gt;=TODAY(),"Looking for friendly players to join the following game: " &amp; CHAR(10) &amp; CHAR(10) &amp; "Date: " &amp; TEXT('Profit &amp; Loss'!A251,"dd mmm yyy") &amp; ", " &amp; 'Profit &amp; Loss'!B251 &amp; CHAR(10) &amp; "Time: " &amp; TEXT('Profit &amp; Loss'!C251, "hh:mm AM/PM") &amp; " - " &amp; TEXT('Profit &amp; Loss'!D251, "hh:mm AM/PM") &amp; CHAR(10) &amp; "Venue: " &amp; 'Profit &amp; Loss'!E251 &amp; CHAR(10) &amp; "Level: HB - LI" &amp; CHAR(10) &amp; "Cost: $" &amp; 'Profit &amp; Loss'!O251 &amp; " per pax" &amp; CHAR(10) &amp; "Max " &amp; 'Profit &amp; Loss'!I251*6 &amp; " pax," &amp; " (" &amp; 'Profit &amp; Loss'!I251 &amp; " courts)" &amp; CHAR(10) &amp; CHAR(10) &amp; "RSL Ultimate shuttles provided" &amp; CHAR(10) &amp; CHAR(10) &amp; "PM if interested, thank you!"," ")</f>
        <v xml:space="preserve"> </v>
      </c>
      <c r="B248" s="2" t="str">
        <f ca="1">IF('Profit &amp; Loss'!A251&gt;=TODAY(), "Date: " &amp; TEXT('Profit &amp; Loss'!A251,"dd mmm yyy") &amp; ", " &amp; 'Profit &amp; Loss'!B251 &amp; CHAR(10) &amp; "Time: " &amp; TEXT('Profit &amp; Loss'!C251, "hh:mm AM/PM") &amp; " - " &amp; TEXT('Profit &amp; Loss'!D251, "hh:mm AM/PM") &amp; CHAR(10) &amp; "Venue: " &amp; 'Profit &amp; Loss'!E251 &amp; CHAR(10) &amp; "Court No.: " &amp; 'Profit &amp; Loss'!F251 &amp; CHAR(10) &amp; "Level: HB - LI" &amp; CHAR(10) &amp; "Please transfer $" &amp; 'Profit &amp; Loss'!O251 &amp; " per pax to Belle (83396501)" &amp; CHAR(10) &amp; CHAR(10) &amp; IF('Profit &amp; Loss'!I251=1, "1." &amp; CHAR(10) &amp; "2." &amp; CHAR(10) &amp; "3." &amp; CHAR(10) &amp; "4." &amp; CHAR(10) &amp; "5." &amp; CHAR(10) &amp; "6." &amp; CHAR(10), IF('Profit &amp; Loss'!I251=2,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49" spans="1:2" ht="12.5" x14ac:dyDescent="0.25">
      <c r="A249" s="2" t="str">
        <f ca="1">IF('Profit &amp; Loss'!A252&gt;=TODAY(),"Looking for friendly players to join the following game: " &amp; CHAR(10) &amp; CHAR(10) &amp; "Date: " &amp; TEXT('Profit &amp; Loss'!A252,"dd mmm yyy") &amp; ", " &amp; 'Profit &amp; Loss'!B252 &amp; CHAR(10) &amp; "Time: " &amp; TEXT('Profit &amp; Loss'!C252, "hh:mm AM/PM") &amp; " - " &amp; TEXT('Profit &amp; Loss'!D252, "hh:mm AM/PM") &amp; CHAR(10) &amp; "Venue: " &amp; 'Profit &amp; Loss'!E252 &amp; CHAR(10) &amp; "Level: HB - LI" &amp; CHAR(10) &amp; "Cost: $" &amp; 'Profit &amp; Loss'!O252 &amp; " per pax" &amp; CHAR(10) &amp; "Max " &amp; 'Profit &amp; Loss'!I252*6 &amp; " pax," &amp; " (" &amp; 'Profit &amp; Loss'!I252 &amp; " courts)" &amp; CHAR(10) &amp; CHAR(10) &amp; "RSL Ultimate shuttles provided" &amp; CHAR(10) &amp; CHAR(10) &amp; "PM if interested, thank you!"," ")</f>
        <v xml:space="preserve"> </v>
      </c>
      <c r="B249" s="2" t="str">
        <f ca="1">IF('Profit &amp; Loss'!A252&gt;=TODAY(), "Date: " &amp; TEXT('Profit &amp; Loss'!A252,"dd mmm yyy") &amp; ", " &amp; 'Profit &amp; Loss'!B252 &amp; CHAR(10) &amp; "Time: " &amp; TEXT('Profit &amp; Loss'!C252, "hh:mm AM/PM") &amp; " - " &amp; TEXT('Profit &amp; Loss'!D252, "hh:mm AM/PM") &amp; CHAR(10) &amp; "Venue: " &amp; 'Profit &amp; Loss'!E252 &amp; CHAR(10) &amp; "Court No.: " &amp; 'Profit &amp; Loss'!F252 &amp; CHAR(10) &amp; "Level: HB - LI" &amp; CHAR(10) &amp; "Please transfer $" &amp; 'Profit &amp; Loss'!O252 &amp; " per pax to Belle (83396501)" &amp; CHAR(10) &amp; CHAR(10) &amp; IF('Profit &amp; Loss'!I252=1, "1." &amp; CHAR(10) &amp; "2." &amp; CHAR(10) &amp; "3." &amp; CHAR(10) &amp; "4." &amp; CHAR(10) &amp; "5." &amp; CHAR(10) &amp; "6." &amp; CHAR(10), IF('Profit &amp; Loss'!I252=2,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0" spans="1:2" ht="12.5" x14ac:dyDescent="0.25">
      <c r="A250" s="2" t="str">
        <f ca="1">IF('Profit &amp; Loss'!A253&gt;=TODAY(),"Looking for friendly players to join the following game: " &amp; CHAR(10) &amp; CHAR(10) &amp; "Date: " &amp; TEXT('Profit &amp; Loss'!A253,"dd mmm yyy") &amp; ", " &amp; 'Profit &amp; Loss'!B253 &amp; CHAR(10) &amp; "Time: " &amp; TEXT('Profit &amp; Loss'!C253, "hh:mm AM/PM") &amp; " - " &amp; TEXT('Profit &amp; Loss'!D253, "hh:mm AM/PM") &amp; CHAR(10) &amp; "Venue: " &amp; 'Profit &amp; Loss'!E253 &amp; CHAR(10) &amp; "Level: HB - LI" &amp; CHAR(10) &amp; "Cost: $" &amp; 'Profit &amp; Loss'!O253 &amp; " per pax" &amp; CHAR(10) &amp; "Max " &amp; 'Profit &amp; Loss'!I253*6 &amp; " pax," &amp; " (" &amp; 'Profit &amp; Loss'!I253 &amp; " courts)" &amp; CHAR(10) &amp; CHAR(10) &amp; "RSL Ultimate shuttles provided" &amp; CHAR(10) &amp; CHAR(10) &amp; "PM if interested, thank you!"," ")</f>
        <v xml:space="preserve"> </v>
      </c>
      <c r="B250" s="2" t="str">
        <f ca="1">IF('Profit &amp; Loss'!A253&gt;=TODAY(), "Date: " &amp; TEXT('Profit &amp; Loss'!A253,"dd mmm yyy") &amp; ", " &amp; 'Profit &amp; Loss'!B253 &amp; CHAR(10) &amp; "Time: " &amp; TEXT('Profit &amp; Loss'!C253, "hh:mm AM/PM") &amp; " - " &amp; TEXT('Profit &amp; Loss'!D253, "hh:mm AM/PM") &amp; CHAR(10) &amp; "Venue: " &amp; 'Profit &amp; Loss'!E253 &amp; CHAR(10) &amp; "Court No.: " &amp; 'Profit &amp; Loss'!F253 &amp; CHAR(10) &amp; "Level: HB - LI" &amp; CHAR(10) &amp; "Please transfer $" &amp; 'Profit &amp; Loss'!O253 &amp; " per pax to Belle (83396501)" &amp; CHAR(10) &amp; CHAR(10) &amp; IF('Profit &amp; Loss'!I253=1, "1." &amp; CHAR(10) &amp; "2." &amp; CHAR(10) &amp; "3." &amp; CHAR(10) &amp; "4." &amp; CHAR(10) &amp; "5." &amp; CHAR(10) &amp; "6." &amp; CHAR(10), IF('Profit &amp; Loss'!I253=2,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1" spans="1:2" ht="12.5" x14ac:dyDescent="0.25">
      <c r="A251" s="2" t="str">
        <f ca="1">IF('Profit &amp; Loss'!A254&gt;=TODAY(),"Looking for friendly players to join the following game: " &amp; CHAR(10) &amp; CHAR(10) &amp; "Date: " &amp; TEXT('Profit &amp; Loss'!A254,"dd mmm yyy") &amp; ", " &amp; 'Profit &amp; Loss'!B254 &amp; CHAR(10) &amp; "Time: " &amp; TEXT('Profit &amp; Loss'!C254, "hh:mm AM/PM") &amp; " - " &amp; TEXT('Profit &amp; Loss'!D254, "hh:mm AM/PM") &amp; CHAR(10) &amp; "Venue: " &amp; 'Profit &amp; Loss'!E254 &amp; CHAR(10) &amp; "Level: HB - LI" &amp; CHAR(10) &amp; "Cost: $" &amp; 'Profit &amp; Loss'!O254 &amp; " per pax" &amp; CHAR(10) &amp; "Max " &amp; 'Profit &amp; Loss'!I254*6 &amp; " pax," &amp; " (" &amp; 'Profit &amp; Loss'!I254 &amp; " courts)" &amp; CHAR(10) &amp; CHAR(10) &amp; "RSL Ultimate shuttles provided" &amp; CHAR(10) &amp; CHAR(10) &amp; "PM if interested, thank you!"," ")</f>
        <v xml:space="preserve"> </v>
      </c>
      <c r="B251" s="2" t="str">
        <f ca="1">IF('Profit &amp; Loss'!A254&gt;=TODAY(), "Date: " &amp; TEXT('Profit &amp; Loss'!A254,"dd mmm yyy") &amp; ", " &amp; 'Profit &amp; Loss'!B254 &amp; CHAR(10) &amp; "Time: " &amp; TEXT('Profit &amp; Loss'!C254, "hh:mm AM/PM") &amp; " - " &amp; TEXT('Profit &amp; Loss'!D254, "hh:mm AM/PM") &amp; CHAR(10) &amp; "Venue: " &amp; 'Profit &amp; Loss'!E254 &amp; CHAR(10) &amp; "Court No.: " &amp; 'Profit &amp; Loss'!F254 &amp; CHAR(10) &amp; "Level: HB - LI" &amp; CHAR(10) &amp; "Please transfer $" &amp; 'Profit &amp; Loss'!O254 &amp; " per pax to Belle (83396501)" &amp; CHAR(10) &amp; CHAR(10) &amp; IF('Profit &amp; Loss'!I254=1, "1." &amp; CHAR(10) &amp; "2." &amp; CHAR(10) &amp; "3." &amp; CHAR(10) &amp; "4." &amp; CHAR(10) &amp; "5." &amp; CHAR(10) &amp; "6." &amp; CHAR(10), IF('Profit &amp; Loss'!I254=2,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2" spans="1:2" ht="12.5" x14ac:dyDescent="0.25">
      <c r="A252" s="2" t="str">
        <f ca="1">IF('Profit &amp; Loss'!A255&gt;=TODAY(),"Looking for friendly players to join the following game: " &amp; CHAR(10) &amp; CHAR(10) &amp; "Date: " &amp; TEXT('Profit &amp; Loss'!A255,"dd mmm yyy") &amp; ", " &amp; 'Profit &amp; Loss'!B255 &amp; CHAR(10) &amp; "Time: " &amp; TEXT('Profit &amp; Loss'!C255, "hh:mm AM/PM") &amp; " - " &amp; TEXT('Profit &amp; Loss'!D255, "hh:mm AM/PM") &amp; CHAR(10) &amp; "Venue: " &amp; 'Profit &amp; Loss'!E255 &amp; CHAR(10) &amp; "Level: HB - LI" &amp; CHAR(10) &amp; "Cost: $" &amp; 'Profit &amp; Loss'!O255 &amp; " per pax" &amp; CHAR(10) &amp; "Max " &amp; 'Profit &amp; Loss'!I255*6 &amp; " pax," &amp; " (" &amp; 'Profit &amp; Loss'!I255 &amp; " courts)" &amp; CHAR(10) &amp; CHAR(10) &amp; "RSL Ultimate shuttles provided" &amp; CHAR(10) &amp; CHAR(10) &amp; "PM if interested, thank you!"," ")</f>
        <v xml:space="preserve"> </v>
      </c>
      <c r="B252" s="2" t="str">
        <f ca="1">IF('Profit &amp; Loss'!A255&gt;=TODAY(), "Date: " &amp; TEXT('Profit &amp; Loss'!A255,"dd mmm yyy") &amp; ", " &amp; 'Profit &amp; Loss'!B255 &amp; CHAR(10) &amp; "Time: " &amp; TEXT('Profit &amp; Loss'!C255, "hh:mm AM/PM") &amp; " - " &amp; TEXT('Profit &amp; Loss'!D255, "hh:mm AM/PM") &amp; CHAR(10) &amp; "Venue: " &amp; 'Profit &amp; Loss'!E255 &amp; CHAR(10) &amp; "Court No.: " &amp; 'Profit &amp; Loss'!F255 &amp; CHAR(10) &amp; "Level: HB - LI" &amp; CHAR(10) &amp; "Please transfer $" &amp; 'Profit &amp; Loss'!O255 &amp; " per pax to Belle (83396501)" &amp; CHAR(10) &amp; CHAR(10) &amp; IF('Profit &amp; Loss'!I255=1, "1." &amp; CHAR(10) &amp; "2." &amp; CHAR(10) &amp; "3." &amp; CHAR(10) &amp; "4." &amp; CHAR(10) &amp; "5." &amp; CHAR(10) &amp; "6." &amp; CHAR(10), IF('Profit &amp; Loss'!I255=2,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3" spans="1:2" ht="12.5" x14ac:dyDescent="0.25">
      <c r="A253" s="2" t="str">
        <f ca="1">IF('Profit &amp; Loss'!A256&gt;=TODAY(),"Looking for friendly players to join the following game: " &amp; CHAR(10) &amp; CHAR(10) &amp; "Date: " &amp; TEXT('Profit &amp; Loss'!A256,"dd mmm yyy") &amp; ", " &amp; 'Profit &amp; Loss'!B256 &amp; CHAR(10) &amp; "Time: " &amp; TEXT('Profit &amp; Loss'!C256, "hh:mm AM/PM") &amp; " - " &amp; TEXT('Profit &amp; Loss'!D256, "hh:mm AM/PM") &amp; CHAR(10) &amp; "Venue: " &amp; 'Profit &amp; Loss'!E256 &amp; CHAR(10) &amp; "Level: HB - LI" &amp; CHAR(10) &amp; "Cost: $" &amp; 'Profit &amp; Loss'!O256 &amp; " per pax" &amp; CHAR(10) &amp; "Max " &amp; 'Profit &amp; Loss'!I256*6 &amp; " pax," &amp; " (" &amp; 'Profit &amp; Loss'!I256 &amp; " courts)" &amp; CHAR(10) &amp; CHAR(10) &amp; "RSL Ultimate shuttles provided" &amp; CHAR(10) &amp; CHAR(10) &amp; "PM if interested, thank you!"," ")</f>
        <v xml:space="preserve"> </v>
      </c>
      <c r="B253" s="2" t="str">
        <f ca="1">IF('Profit &amp; Loss'!A256&gt;=TODAY(), "Date: " &amp; TEXT('Profit &amp; Loss'!A256,"dd mmm yyy") &amp; ", " &amp; 'Profit &amp; Loss'!B256 &amp; CHAR(10) &amp; "Time: " &amp; TEXT('Profit &amp; Loss'!C256, "hh:mm AM/PM") &amp; " - " &amp; TEXT('Profit &amp; Loss'!D256, "hh:mm AM/PM") &amp; CHAR(10) &amp; "Venue: " &amp; 'Profit &amp; Loss'!E256 &amp; CHAR(10) &amp; "Court No.: " &amp; 'Profit &amp; Loss'!F256 &amp; CHAR(10) &amp; "Level: HB - LI" &amp; CHAR(10) &amp; "Please transfer $" &amp; 'Profit &amp; Loss'!O256 &amp; " per pax to Belle (83396501)" &amp; CHAR(10) &amp; CHAR(10) &amp; IF('Profit &amp; Loss'!I256=1, "1." &amp; CHAR(10) &amp; "2." &amp; CHAR(10) &amp; "3." &amp; CHAR(10) &amp; "4." &amp; CHAR(10) &amp; "5." &amp; CHAR(10) &amp; "6." &amp; CHAR(10), IF('Profit &amp; Loss'!I256=2,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4" spans="1:2" ht="12.5" x14ac:dyDescent="0.25">
      <c r="A254" s="2" t="str">
        <f ca="1">IF('Profit &amp; Loss'!A257&gt;=TODAY(),"Looking for friendly players to join the following game: " &amp; CHAR(10) &amp; CHAR(10) &amp; "Date: " &amp; TEXT('Profit &amp; Loss'!A257,"dd mmm yyy") &amp; ", " &amp; 'Profit &amp; Loss'!B257 &amp; CHAR(10) &amp; "Time: " &amp; TEXT('Profit &amp; Loss'!C257, "hh:mm AM/PM") &amp; " - " &amp; TEXT('Profit &amp; Loss'!D257, "hh:mm AM/PM") &amp; CHAR(10) &amp; "Venue: " &amp; 'Profit &amp; Loss'!E257 &amp; CHAR(10) &amp; "Level: HB - LI" &amp; CHAR(10) &amp; "Cost: $" &amp; 'Profit &amp; Loss'!O257 &amp; " per pax" &amp; CHAR(10) &amp; "Max " &amp; 'Profit &amp; Loss'!I257*6 &amp; " pax," &amp; " (" &amp; 'Profit &amp; Loss'!I257 &amp; " courts)" &amp; CHAR(10) &amp; CHAR(10) &amp; "RSL Ultimate shuttles provided" &amp; CHAR(10) &amp; CHAR(10) &amp; "PM if interested, thank you!"," ")</f>
        <v xml:space="preserve"> </v>
      </c>
      <c r="B254" s="2" t="str">
        <f ca="1">IF('Profit &amp; Loss'!A257&gt;=TODAY(), "Date: " &amp; TEXT('Profit &amp; Loss'!A257,"dd mmm yyy") &amp; ", " &amp; 'Profit &amp; Loss'!B257 &amp; CHAR(10) &amp; "Time: " &amp; TEXT('Profit &amp; Loss'!C257, "hh:mm AM/PM") &amp; " - " &amp; TEXT('Profit &amp; Loss'!D257, "hh:mm AM/PM") &amp; CHAR(10) &amp; "Venue: " &amp; 'Profit &amp; Loss'!E257 &amp; CHAR(10) &amp; "Court No.: " &amp; 'Profit &amp; Loss'!F257 &amp; CHAR(10) &amp; "Level: HB - LI" &amp; CHAR(10) &amp; "Please transfer $" &amp; 'Profit &amp; Loss'!O257 &amp; " per pax to Belle (83396501)" &amp; CHAR(10) &amp; CHAR(10) &amp; IF('Profit &amp; Loss'!I257=1, "1." &amp; CHAR(10) &amp; "2." &amp; CHAR(10) &amp; "3." &amp; CHAR(10) &amp; "4." &amp; CHAR(10) &amp; "5." &amp; CHAR(10) &amp; "6." &amp; CHAR(10), IF('Profit &amp; Loss'!I257=2,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5" spans="1:2" ht="12.5" x14ac:dyDescent="0.25">
      <c r="A255" s="2" t="str">
        <f ca="1">IF('Profit &amp; Loss'!A258&gt;=TODAY(),"Looking for friendly players to join the following game: " &amp; CHAR(10) &amp; CHAR(10) &amp; "Date: " &amp; TEXT('Profit &amp; Loss'!A258,"dd mmm yyy") &amp; ", " &amp; 'Profit &amp; Loss'!B258 &amp; CHAR(10) &amp; "Time: " &amp; TEXT('Profit &amp; Loss'!C258, "hh:mm AM/PM") &amp; " - " &amp; TEXT('Profit &amp; Loss'!D258, "hh:mm AM/PM") &amp; CHAR(10) &amp; "Venue: " &amp; 'Profit &amp; Loss'!E258 &amp; CHAR(10) &amp; "Level: HB - LI" &amp; CHAR(10) &amp; "Cost: $" &amp; 'Profit &amp; Loss'!O258 &amp; " per pax" &amp; CHAR(10) &amp; "Max " &amp; 'Profit &amp; Loss'!I258*6 &amp; " pax," &amp; " (" &amp; 'Profit &amp; Loss'!I258 &amp; " courts)" &amp; CHAR(10) &amp; CHAR(10) &amp; "RSL Ultimate shuttles provided" &amp; CHAR(10) &amp; CHAR(10) &amp; "PM if interested, thank you!"," ")</f>
        <v xml:space="preserve"> </v>
      </c>
      <c r="B255" s="2" t="str">
        <f ca="1">IF('Profit &amp; Loss'!A258&gt;=TODAY(), "Date: " &amp; TEXT('Profit &amp; Loss'!A258,"dd mmm yyy") &amp; ", " &amp; 'Profit &amp; Loss'!B258 &amp; CHAR(10) &amp; "Time: " &amp; TEXT('Profit &amp; Loss'!C258, "hh:mm AM/PM") &amp; " - " &amp; TEXT('Profit &amp; Loss'!D258, "hh:mm AM/PM") &amp; CHAR(10) &amp; "Venue: " &amp; 'Profit &amp; Loss'!E258 &amp; CHAR(10) &amp; "Court No.: " &amp; 'Profit &amp; Loss'!F258 &amp; CHAR(10) &amp; "Level: HB - LI" &amp; CHAR(10) &amp; "Please transfer $" &amp; 'Profit &amp; Loss'!O258 &amp; " per pax to Belle (83396501)" &amp; CHAR(10) &amp; CHAR(10) &amp; IF('Profit &amp; Loss'!I258=1, "1." &amp; CHAR(10) &amp; "2." &amp; CHAR(10) &amp; "3." &amp; CHAR(10) &amp; "4." &amp; CHAR(10) &amp; "5." &amp; CHAR(10) &amp; "6." &amp; CHAR(10), IF('Profit &amp; Loss'!I258=2,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6" spans="1:2" ht="12.5" x14ac:dyDescent="0.25">
      <c r="A256" s="2" t="str">
        <f ca="1">IF('Profit &amp; Loss'!A259&gt;=TODAY(),"Looking for friendly players to join the following game: " &amp; CHAR(10) &amp; CHAR(10) &amp; "Date: " &amp; TEXT('Profit &amp; Loss'!A259,"dd mmm yyy") &amp; ", " &amp; 'Profit &amp; Loss'!B259 &amp; CHAR(10) &amp; "Time: " &amp; TEXT('Profit &amp; Loss'!C259, "hh:mm AM/PM") &amp; " - " &amp; TEXT('Profit &amp; Loss'!D259, "hh:mm AM/PM") &amp; CHAR(10) &amp; "Venue: " &amp; 'Profit &amp; Loss'!E259 &amp; CHAR(10) &amp; "Level: HB - LI" &amp; CHAR(10) &amp; "Cost: $" &amp; 'Profit &amp; Loss'!O259 &amp; " per pax" &amp; CHAR(10) &amp; "Max " &amp; 'Profit &amp; Loss'!I259*6 &amp; " pax," &amp; " (" &amp; 'Profit &amp; Loss'!I259 &amp; " courts)" &amp; CHAR(10) &amp; CHAR(10) &amp; "RSL Ultimate shuttles provided" &amp; CHAR(10) &amp; CHAR(10) &amp; "PM if interested, thank you!"," ")</f>
        <v xml:space="preserve"> </v>
      </c>
      <c r="B256" s="2" t="str">
        <f ca="1">IF('Profit &amp; Loss'!A259&gt;=TODAY(), "Date: " &amp; TEXT('Profit &amp; Loss'!A259,"dd mmm yyy") &amp; ", " &amp; 'Profit &amp; Loss'!B259 &amp; CHAR(10) &amp; "Time: " &amp; TEXT('Profit &amp; Loss'!C259, "hh:mm AM/PM") &amp; " - " &amp; TEXT('Profit &amp; Loss'!D259, "hh:mm AM/PM") &amp; CHAR(10) &amp; "Venue: " &amp; 'Profit &amp; Loss'!E259 &amp; CHAR(10) &amp; "Court No.: " &amp; 'Profit &amp; Loss'!F259 &amp; CHAR(10) &amp; "Level: HB - LI" &amp; CHAR(10) &amp; "Please transfer $" &amp; 'Profit &amp; Loss'!O259 &amp; " per pax to Belle (83396501)" &amp; CHAR(10) &amp; CHAR(10) &amp; IF('Profit &amp; Loss'!I259=1, "1." &amp; CHAR(10) &amp; "2." &amp; CHAR(10) &amp; "3." &amp; CHAR(10) &amp; "4." &amp; CHAR(10) &amp; "5." &amp; CHAR(10) &amp; "6." &amp; CHAR(10), IF('Profit &amp; Loss'!I259=2,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7" spans="1:2" ht="12.5" x14ac:dyDescent="0.25">
      <c r="A257" s="2" t="str">
        <f ca="1">IF('Profit &amp; Loss'!A260&gt;=TODAY(),"Looking for friendly players to join the following game: " &amp; CHAR(10) &amp; CHAR(10) &amp; "Date: " &amp; TEXT('Profit &amp; Loss'!A260,"dd mmm yyy") &amp; ", " &amp; 'Profit &amp; Loss'!B260 &amp; CHAR(10) &amp; "Time: " &amp; TEXT('Profit &amp; Loss'!C260, "hh:mm AM/PM") &amp; " - " &amp; TEXT('Profit &amp; Loss'!D260, "hh:mm AM/PM") &amp; CHAR(10) &amp; "Venue: " &amp; 'Profit &amp; Loss'!E260 &amp; CHAR(10) &amp; "Level: HB - LI" &amp; CHAR(10) &amp; "Cost: $" &amp; 'Profit &amp; Loss'!O260 &amp; " per pax" &amp; CHAR(10) &amp; "Max " &amp; 'Profit &amp; Loss'!I260*6 &amp; " pax," &amp; " (" &amp; 'Profit &amp; Loss'!I260 &amp; " courts)" &amp; CHAR(10) &amp; CHAR(10) &amp; "RSL Ultimate shuttles provided" &amp; CHAR(10) &amp; CHAR(10) &amp; "PM if interested, thank you!"," ")</f>
        <v xml:space="preserve"> </v>
      </c>
      <c r="B257" s="2" t="str">
        <f ca="1">IF('Profit &amp; Loss'!A260&gt;=TODAY(), "Date: " &amp; TEXT('Profit &amp; Loss'!A260,"dd mmm yyy") &amp; ", " &amp; 'Profit &amp; Loss'!B260 &amp; CHAR(10) &amp; "Time: " &amp; TEXT('Profit &amp; Loss'!C260, "hh:mm AM/PM") &amp; " - " &amp; TEXT('Profit &amp; Loss'!D260, "hh:mm AM/PM") &amp; CHAR(10) &amp; "Venue: " &amp; 'Profit &amp; Loss'!E260 &amp; CHAR(10) &amp; "Court No.: " &amp; 'Profit &amp; Loss'!F260 &amp; CHAR(10) &amp; "Level: HB - LI" &amp; CHAR(10) &amp; "Please transfer $" &amp; 'Profit &amp; Loss'!O260 &amp; " per pax to Belle (83396501)" &amp; CHAR(10) &amp; CHAR(10) &amp; IF('Profit &amp; Loss'!I260=1, "1." &amp; CHAR(10) &amp; "2." &amp; CHAR(10) &amp; "3." &amp; CHAR(10) &amp; "4." &amp; CHAR(10) &amp; "5." &amp; CHAR(10) &amp; "6." &amp; CHAR(10), IF('Profit &amp; Loss'!I260=2,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8" spans="1:2" ht="12.5" x14ac:dyDescent="0.25">
      <c r="A258" s="2" t="str">
        <f ca="1">IF('Profit &amp; Loss'!A261&gt;=TODAY(),"Looking for friendly players to join the following game: " &amp; CHAR(10) &amp; CHAR(10) &amp; "Date: " &amp; TEXT('Profit &amp; Loss'!A261,"dd mmm yyy") &amp; ", " &amp; 'Profit &amp; Loss'!B261 &amp; CHAR(10) &amp; "Time: " &amp; TEXT('Profit &amp; Loss'!C261, "hh:mm AM/PM") &amp; " - " &amp; TEXT('Profit &amp; Loss'!D261, "hh:mm AM/PM") &amp; CHAR(10) &amp; "Venue: " &amp; 'Profit &amp; Loss'!E261 &amp; CHAR(10) &amp; "Level: HB - LI" &amp; CHAR(10) &amp; "Cost: $" &amp; 'Profit &amp; Loss'!O261 &amp; " per pax" &amp; CHAR(10) &amp; "Max " &amp; 'Profit &amp; Loss'!I261*6 &amp; " pax," &amp; " (" &amp; 'Profit &amp; Loss'!I261 &amp; " courts)" &amp; CHAR(10) &amp; CHAR(10) &amp; "RSL Ultimate shuttles provided" &amp; CHAR(10) &amp; CHAR(10) &amp; "PM if interested, thank you!"," ")</f>
        <v xml:space="preserve"> </v>
      </c>
      <c r="B258" s="2" t="str">
        <f ca="1">IF('Profit &amp; Loss'!A261&gt;=TODAY(), "Date: " &amp; TEXT('Profit &amp; Loss'!A261,"dd mmm yyy") &amp; ", " &amp; 'Profit &amp; Loss'!B261 &amp; CHAR(10) &amp; "Time: " &amp; TEXT('Profit &amp; Loss'!C261, "hh:mm AM/PM") &amp; " - " &amp; TEXT('Profit &amp; Loss'!D261, "hh:mm AM/PM") &amp; CHAR(10) &amp; "Venue: " &amp; 'Profit &amp; Loss'!E261 &amp; CHAR(10) &amp; "Court No.: " &amp; 'Profit &amp; Loss'!F261 &amp; CHAR(10) &amp; "Level: HB - LI" &amp; CHAR(10) &amp; "Please transfer $" &amp; 'Profit &amp; Loss'!O261 &amp; " per pax to Belle (83396501)" &amp; CHAR(10) &amp; CHAR(10) &amp; IF('Profit &amp; Loss'!I261=1, "1." &amp; CHAR(10) &amp; "2." &amp; CHAR(10) &amp; "3." &amp; CHAR(10) &amp; "4." &amp; CHAR(10) &amp; "5." &amp; CHAR(10) &amp; "6." &amp; CHAR(10), IF('Profit &amp; Loss'!I261=2,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59" spans="1:2" ht="12.5" x14ac:dyDescent="0.25">
      <c r="A259" s="2" t="str">
        <f ca="1">IF('Profit &amp; Loss'!A262&gt;=TODAY(),"Looking for friendly players to join the following game: " &amp; CHAR(10) &amp; CHAR(10) &amp; "Date: " &amp; TEXT('Profit &amp; Loss'!A262,"dd mmm yyy") &amp; ", " &amp; 'Profit &amp; Loss'!B262 &amp; CHAR(10) &amp; "Time: " &amp; TEXT('Profit &amp; Loss'!C262, "hh:mm AM/PM") &amp; " - " &amp; TEXT('Profit &amp; Loss'!D262, "hh:mm AM/PM") &amp; CHAR(10) &amp; "Venue: " &amp; 'Profit &amp; Loss'!E262 &amp; CHAR(10) &amp; "Level: HB - LI" &amp; CHAR(10) &amp; "Cost: $" &amp; 'Profit &amp; Loss'!O262 &amp; " per pax" &amp; CHAR(10) &amp; "Max " &amp; 'Profit &amp; Loss'!I262*6 &amp; " pax," &amp; " (" &amp; 'Profit &amp; Loss'!I262 &amp; " courts)" &amp; CHAR(10) &amp; CHAR(10) &amp; "RSL Ultimate shuttles provided" &amp; CHAR(10) &amp; CHAR(10) &amp; "PM if interested, thank you!"," ")</f>
        <v xml:space="preserve"> </v>
      </c>
      <c r="B259" s="2" t="str">
        <f ca="1">IF('Profit &amp; Loss'!A262&gt;=TODAY(), "Date: " &amp; TEXT('Profit &amp; Loss'!A262,"dd mmm yyy") &amp; ", " &amp; 'Profit &amp; Loss'!B262 &amp; CHAR(10) &amp; "Time: " &amp; TEXT('Profit &amp; Loss'!C262, "hh:mm AM/PM") &amp; " - " &amp; TEXT('Profit &amp; Loss'!D262, "hh:mm AM/PM") &amp; CHAR(10) &amp; "Venue: " &amp; 'Profit &amp; Loss'!E262 &amp; CHAR(10) &amp; "Court No.: " &amp; 'Profit &amp; Loss'!F262 &amp; CHAR(10) &amp; "Level: HB - LI" &amp; CHAR(10) &amp; "Please transfer $" &amp; 'Profit &amp; Loss'!O262 &amp; " per pax to Belle (83396501)" &amp; CHAR(10) &amp; CHAR(10) &amp; IF('Profit &amp; Loss'!I262=1, "1." &amp; CHAR(10) &amp; "2." &amp; CHAR(10) &amp; "3." &amp; CHAR(10) &amp; "4." &amp; CHAR(10) &amp; "5." &amp; CHAR(10) &amp; "6." &amp; CHAR(10), IF('Profit &amp; Loss'!I262=2,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0" spans="1:2" ht="12.5" x14ac:dyDescent="0.25">
      <c r="A260" s="2" t="str">
        <f ca="1">IF('Profit &amp; Loss'!A263&gt;=TODAY(),"Looking for friendly players to join the following game: " &amp; CHAR(10) &amp; CHAR(10) &amp; "Date: " &amp; TEXT('Profit &amp; Loss'!A263,"dd mmm yyy") &amp; ", " &amp; 'Profit &amp; Loss'!B263 &amp; CHAR(10) &amp; "Time: " &amp; TEXT('Profit &amp; Loss'!C263, "hh:mm AM/PM") &amp; " - " &amp; TEXT('Profit &amp; Loss'!D263, "hh:mm AM/PM") &amp; CHAR(10) &amp; "Venue: " &amp; 'Profit &amp; Loss'!E263 &amp; CHAR(10) &amp; "Level: HB - LI" &amp; CHAR(10) &amp; "Cost: $" &amp; 'Profit &amp; Loss'!O263 &amp; " per pax" &amp; CHAR(10) &amp; "Max " &amp; 'Profit &amp; Loss'!I263*6 &amp; " pax," &amp; " (" &amp; 'Profit &amp; Loss'!I263 &amp; " courts)" &amp; CHAR(10) &amp; CHAR(10) &amp; "RSL Ultimate shuttles provided" &amp; CHAR(10) &amp; CHAR(10) &amp; "PM if interested, thank you!"," ")</f>
        <v xml:space="preserve"> </v>
      </c>
      <c r="B260" s="2" t="str">
        <f ca="1">IF('Profit &amp; Loss'!A263&gt;=TODAY(), "Date: " &amp; TEXT('Profit &amp; Loss'!A263,"dd mmm yyy") &amp; ", " &amp; 'Profit &amp; Loss'!B263 &amp; CHAR(10) &amp; "Time: " &amp; TEXT('Profit &amp; Loss'!C263, "hh:mm AM/PM") &amp; " - " &amp; TEXT('Profit &amp; Loss'!D263, "hh:mm AM/PM") &amp; CHAR(10) &amp; "Venue: " &amp; 'Profit &amp; Loss'!E263 &amp; CHAR(10) &amp; "Court No.: " &amp; 'Profit &amp; Loss'!F263 &amp; CHAR(10) &amp; "Level: HB - LI" &amp; CHAR(10) &amp; "Please transfer $" &amp; 'Profit &amp; Loss'!O263 &amp; " per pax to Belle (83396501)" &amp; CHAR(10) &amp; CHAR(10) &amp; IF('Profit &amp; Loss'!I263=1, "1." &amp; CHAR(10) &amp; "2." &amp; CHAR(10) &amp; "3." &amp; CHAR(10) &amp; "4." &amp; CHAR(10) &amp; "5." &amp; CHAR(10) &amp; "6." &amp; CHAR(10), IF('Profit &amp; Loss'!I263=2,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1" spans="1:2" ht="12.5" x14ac:dyDescent="0.25">
      <c r="A261" s="2" t="str">
        <f ca="1">IF('Profit &amp; Loss'!A264&gt;=TODAY(),"Looking for friendly players to join the following game: " &amp; CHAR(10) &amp; CHAR(10) &amp; "Date: " &amp; TEXT('Profit &amp; Loss'!A264,"dd mmm yyy") &amp; ", " &amp; 'Profit &amp; Loss'!B264 &amp; CHAR(10) &amp; "Time: " &amp; TEXT('Profit &amp; Loss'!C264, "hh:mm AM/PM") &amp; " - " &amp; TEXT('Profit &amp; Loss'!D264, "hh:mm AM/PM") &amp; CHAR(10) &amp; "Venue: " &amp; 'Profit &amp; Loss'!E264 &amp; CHAR(10) &amp; "Level: HB - LI" &amp; CHAR(10) &amp; "Cost: $" &amp; 'Profit &amp; Loss'!O264 &amp; " per pax" &amp; CHAR(10) &amp; "Max " &amp; 'Profit &amp; Loss'!I264*6 &amp; " pax," &amp; " (" &amp; 'Profit &amp; Loss'!I264 &amp; " courts)" &amp; CHAR(10) &amp; CHAR(10) &amp; "RSL Ultimate shuttles provided" &amp; CHAR(10) &amp; CHAR(10) &amp; "PM if interested, thank you!"," ")</f>
        <v xml:space="preserve"> </v>
      </c>
      <c r="B261" s="2" t="str">
        <f ca="1">IF('Profit &amp; Loss'!A264&gt;=TODAY(), "Date: " &amp; TEXT('Profit &amp; Loss'!A264,"dd mmm yyy") &amp; ", " &amp; 'Profit &amp; Loss'!B264 &amp; CHAR(10) &amp; "Time: " &amp; TEXT('Profit &amp; Loss'!C264, "hh:mm AM/PM") &amp; " - " &amp; TEXT('Profit &amp; Loss'!D264, "hh:mm AM/PM") &amp; CHAR(10) &amp; "Venue: " &amp; 'Profit &amp; Loss'!E264 &amp; CHAR(10) &amp; "Court No.: " &amp; 'Profit &amp; Loss'!F264 &amp; CHAR(10) &amp; "Level: HB - LI" &amp; CHAR(10) &amp; "Please transfer $" &amp; 'Profit &amp; Loss'!O264 &amp; " per pax to Belle (83396501)" &amp; CHAR(10) &amp; CHAR(10) &amp; IF('Profit &amp; Loss'!I264=1, "1." &amp; CHAR(10) &amp; "2." &amp; CHAR(10) &amp; "3." &amp; CHAR(10) &amp; "4." &amp; CHAR(10) &amp; "5." &amp; CHAR(10) &amp; "6." &amp; CHAR(10), IF('Profit &amp; Loss'!I264=2,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2" spans="1:2" ht="12.5" x14ac:dyDescent="0.25">
      <c r="A262" s="2" t="str">
        <f ca="1">IF('Profit &amp; Loss'!A265&gt;=TODAY(),"Looking for friendly players to join the following game: " &amp; CHAR(10) &amp; CHAR(10) &amp; "Date: " &amp; TEXT('Profit &amp; Loss'!A265,"dd mmm yyy") &amp; ", " &amp; 'Profit &amp; Loss'!B265 &amp; CHAR(10) &amp; "Time: " &amp; TEXT('Profit &amp; Loss'!C265, "hh:mm AM/PM") &amp; " - " &amp; TEXT('Profit &amp; Loss'!D265, "hh:mm AM/PM") &amp; CHAR(10) &amp; "Venue: " &amp; 'Profit &amp; Loss'!E265 &amp; CHAR(10) &amp; "Level: HB - LI" &amp; CHAR(10) &amp; "Cost: $" &amp; 'Profit &amp; Loss'!O265 &amp; " per pax" &amp; CHAR(10) &amp; "Max " &amp; 'Profit &amp; Loss'!I265*6 &amp; " pax," &amp; " (" &amp; 'Profit &amp; Loss'!I265 &amp; " courts)" &amp; CHAR(10) &amp; CHAR(10) &amp; "RSL Ultimate shuttles provided" &amp; CHAR(10) &amp; CHAR(10) &amp; "PM if interested, thank you!"," ")</f>
        <v xml:space="preserve"> </v>
      </c>
      <c r="B262" s="2" t="str">
        <f ca="1">IF('Profit &amp; Loss'!A265&gt;=TODAY(), "Date: " &amp; TEXT('Profit &amp; Loss'!A265,"dd mmm yyy") &amp; ", " &amp; 'Profit &amp; Loss'!B265 &amp; CHAR(10) &amp; "Time: " &amp; TEXT('Profit &amp; Loss'!C265, "hh:mm AM/PM") &amp; " - " &amp; TEXT('Profit &amp; Loss'!D265, "hh:mm AM/PM") &amp; CHAR(10) &amp; "Venue: " &amp; 'Profit &amp; Loss'!E265 &amp; CHAR(10) &amp; "Court No.: " &amp; 'Profit &amp; Loss'!F265 &amp; CHAR(10) &amp; "Level: HB - LI" &amp; CHAR(10) &amp; "Please transfer $" &amp; 'Profit &amp; Loss'!O265 &amp; " per pax to Belle (83396501)" &amp; CHAR(10) &amp; CHAR(10) &amp; IF('Profit &amp; Loss'!I265=1, "1." &amp; CHAR(10) &amp; "2." &amp; CHAR(10) &amp; "3." &amp; CHAR(10) &amp; "4." &amp; CHAR(10) &amp; "5." &amp; CHAR(10) &amp; "6." &amp; CHAR(10), IF('Profit &amp; Loss'!I265=2,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3" spans="1:2" ht="12.5" x14ac:dyDescent="0.25">
      <c r="A263" s="2" t="str">
        <f ca="1">IF('Profit &amp; Loss'!A266&gt;=TODAY(),"Looking for friendly players to join the following game: " &amp; CHAR(10) &amp; CHAR(10) &amp; "Date: " &amp; TEXT('Profit &amp; Loss'!A266,"dd mmm yyy") &amp; ", " &amp; 'Profit &amp; Loss'!B266 &amp; CHAR(10) &amp; "Time: " &amp; TEXT('Profit &amp; Loss'!C266, "hh:mm AM/PM") &amp; " - " &amp; TEXT('Profit &amp; Loss'!D266, "hh:mm AM/PM") &amp; CHAR(10) &amp; "Venue: " &amp; 'Profit &amp; Loss'!E266 &amp; CHAR(10) &amp; "Level: HB - LI" &amp; CHAR(10) &amp; "Cost: $" &amp; 'Profit &amp; Loss'!O266 &amp; " per pax" &amp; CHAR(10) &amp; "Max " &amp; 'Profit &amp; Loss'!I266*6 &amp; " pax," &amp; " (" &amp; 'Profit &amp; Loss'!I266 &amp; " courts)" &amp; CHAR(10) &amp; CHAR(10) &amp; "RSL Ultimate shuttles provided" &amp; CHAR(10) &amp; CHAR(10) &amp; "PM if interested, thank you!"," ")</f>
        <v xml:space="preserve"> </v>
      </c>
      <c r="B263" s="2" t="str">
        <f ca="1">IF('Profit &amp; Loss'!A266&gt;=TODAY(), "Date: " &amp; TEXT('Profit &amp; Loss'!A266,"dd mmm yyy") &amp; ", " &amp; 'Profit &amp; Loss'!B266 &amp; CHAR(10) &amp; "Time: " &amp; TEXT('Profit &amp; Loss'!C266, "hh:mm AM/PM") &amp; " - " &amp; TEXT('Profit &amp; Loss'!D266, "hh:mm AM/PM") &amp; CHAR(10) &amp; "Venue: " &amp; 'Profit &amp; Loss'!E266 &amp; CHAR(10) &amp; "Court No.: " &amp; 'Profit &amp; Loss'!F266 &amp; CHAR(10) &amp; "Level: HB - LI" &amp; CHAR(10) &amp; "Please transfer $" &amp; 'Profit &amp; Loss'!O266 &amp; " per pax to Belle (83396501)" &amp; CHAR(10) &amp; CHAR(10) &amp; IF('Profit &amp; Loss'!I266=1, "1." &amp; CHAR(10) &amp; "2." &amp; CHAR(10) &amp; "3." &amp; CHAR(10) &amp; "4." &amp; CHAR(10) &amp; "5." &amp; CHAR(10) &amp; "6." &amp; CHAR(10), IF('Profit &amp; Loss'!I266=2,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4" spans="1:2" ht="12.5" x14ac:dyDescent="0.25">
      <c r="A264" s="2" t="str">
        <f ca="1">IF('Profit &amp; Loss'!A267&gt;=TODAY(),"Looking for friendly players to join the following game: " &amp; CHAR(10) &amp; CHAR(10) &amp; "Date: " &amp; TEXT('Profit &amp; Loss'!A267,"dd mmm yyy") &amp; ", " &amp; 'Profit &amp; Loss'!B267 &amp; CHAR(10) &amp; "Time: " &amp; TEXT('Profit &amp; Loss'!C267, "hh:mm AM/PM") &amp; " - " &amp; TEXT('Profit &amp; Loss'!D267, "hh:mm AM/PM") &amp; CHAR(10) &amp; "Venue: " &amp; 'Profit &amp; Loss'!E267 &amp; CHAR(10) &amp; "Level: HB - LI" &amp; CHAR(10) &amp; "Cost: $" &amp; 'Profit &amp; Loss'!O267 &amp; " per pax" &amp; CHAR(10) &amp; "Max " &amp; 'Profit &amp; Loss'!I267*6 &amp; " pax," &amp; " (" &amp; 'Profit &amp; Loss'!I267 &amp; " courts)" &amp; CHAR(10) &amp; CHAR(10) &amp; "RSL Ultimate shuttles provided" &amp; CHAR(10) &amp; CHAR(10) &amp; "PM if interested, thank you!"," ")</f>
        <v xml:space="preserve"> </v>
      </c>
      <c r="B264" s="2" t="str">
        <f ca="1">IF('Profit &amp; Loss'!A267&gt;=TODAY(), "Date: " &amp; TEXT('Profit &amp; Loss'!A267,"dd mmm yyy") &amp; ", " &amp; 'Profit &amp; Loss'!B267 &amp; CHAR(10) &amp; "Time: " &amp; TEXT('Profit &amp; Loss'!C267, "hh:mm AM/PM") &amp; " - " &amp; TEXT('Profit &amp; Loss'!D267, "hh:mm AM/PM") &amp; CHAR(10) &amp; "Venue: " &amp; 'Profit &amp; Loss'!E267 &amp; CHAR(10) &amp; "Court No.: " &amp; 'Profit &amp; Loss'!F267 &amp; CHAR(10) &amp; "Level: HB - LI" &amp; CHAR(10) &amp; "Please transfer $" &amp; 'Profit &amp; Loss'!O267 &amp; " per pax to Belle (83396501)" &amp; CHAR(10) &amp; CHAR(10) &amp; IF('Profit &amp; Loss'!I267=1, "1." &amp; CHAR(10) &amp; "2." &amp; CHAR(10) &amp; "3." &amp; CHAR(10) &amp; "4." &amp; CHAR(10) &amp; "5." &amp; CHAR(10) &amp; "6." &amp; CHAR(10), IF('Profit &amp; Loss'!I267=2,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5" spans="1:2" ht="12.5" x14ac:dyDescent="0.25">
      <c r="A265" s="2" t="str">
        <f ca="1">IF('Profit &amp; Loss'!A268&gt;=TODAY(),"Looking for friendly players to join the following game: " &amp; CHAR(10) &amp; CHAR(10) &amp; "Date: " &amp; TEXT('Profit &amp; Loss'!A268,"dd mmm yyy") &amp; ", " &amp; 'Profit &amp; Loss'!B268 &amp; CHAR(10) &amp; "Time: " &amp; TEXT('Profit &amp; Loss'!C268, "hh:mm AM/PM") &amp; " - " &amp; TEXT('Profit &amp; Loss'!D268, "hh:mm AM/PM") &amp; CHAR(10) &amp; "Venue: " &amp; 'Profit &amp; Loss'!E268 &amp; CHAR(10) &amp; "Level: HB - LI" &amp; CHAR(10) &amp; "Cost: $" &amp; 'Profit &amp; Loss'!O268 &amp; " per pax" &amp; CHAR(10) &amp; "Max " &amp; 'Profit &amp; Loss'!I268*6 &amp; " pax," &amp; " (" &amp; 'Profit &amp; Loss'!I268 &amp; " courts)" &amp; CHAR(10) &amp; CHAR(10) &amp; "RSL Ultimate shuttles provided" &amp; CHAR(10) &amp; CHAR(10) &amp; "PM if interested, thank you!"," ")</f>
        <v xml:space="preserve"> </v>
      </c>
      <c r="B265" s="2" t="str">
        <f ca="1">IF('Profit &amp; Loss'!A268&gt;=TODAY(), "Date: " &amp; TEXT('Profit &amp; Loss'!A268,"dd mmm yyy") &amp; ", " &amp; 'Profit &amp; Loss'!B268 &amp; CHAR(10) &amp; "Time: " &amp; TEXT('Profit &amp; Loss'!C268, "hh:mm AM/PM") &amp; " - " &amp; TEXT('Profit &amp; Loss'!D268, "hh:mm AM/PM") &amp; CHAR(10) &amp; "Venue: " &amp; 'Profit &amp; Loss'!E268 &amp; CHAR(10) &amp; "Court No.: " &amp; 'Profit &amp; Loss'!F268 &amp; CHAR(10) &amp; "Level: HB - LI" &amp; CHAR(10) &amp; "Please transfer $" &amp; 'Profit &amp; Loss'!O268 &amp; " per pax to Belle (83396501)" &amp; CHAR(10) &amp; CHAR(10) &amp; IF('Profit &amp; Loss'!I268=1, "1." &amp; CHAR(10) &amp; "2." &amp; CHAR(10) &amp; "3." &amp; CHAR(10) &amp; "4." &amp; CHAR(10) &amp; "5." &amp; CHAR(10) &amp; "6." &amp; CHAR(10), IF('Profit &amp; Loss'!I268=2,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6" spans="1:2" ht="12.5" x14ac:dyDescent="0.25">
      <c r="A266" s="2" t="str">
        <f ca="1">IF('Profit &amp; Loss'!A269&gt;=TODAY(),"Looking for friendly players to join the following game: " &amp; CHAR(10) &amp; CHAR(10) &amp; "Date: " &amp; TEXT('Profit &amp; Loss'!A269,"dd mmm yyy") &amp; ", " &amp; 'Profit &amp; Loss'!B269 &amp; CHAR(10) &amp; "Time: " &amp; TEXT('Profit &amp; Loss'!C269, "hh:mm AM/PM") &amp; " - " &amp; TEXT('Profit &amp; Loss'!D269, "hh:mm AM/PM") &amp; CHAR(10) &amp; "Venue: " &amp; 'Profit &amp; Loss'!E269 &amp; CHAR(10) &amp; "Level: HB - LI" &amp; CHAR(10) &amp; "Cost: $" &amp; 'Profit &amp; Loss'!O269 &amp; " per pax" &amp; CHAR(10) &amp; "Max " &amp; 'Profit &amp; Loss'!I269*6 &amp; " pax," &amp; " (" &amp; 'Profit &amp; Loss'!I269 &amp; " courts)" &amp; CHAR(10) &amp; CHAR(10) &amp; "RSL Ultimate shuttles provided" &amp; CHAR(10) &amp; CHAR(10) &amp; "PM if interested, thank you!"," ")</f>
        <v xml:space="preserve"> </v>
      </c>
      <c r="B266" s="2" t="str">
        <f ca="1">IF('Profit &amp; Loss'!A269&gt;=TODAY(), "Date: " &amp; TEXT('Profit &amp; Loss'!A269,"dd mmm yyy") &amp; ", " &amp; 'Profit &amp; Loss'!B269 &amp; CHAR(10) &amp; "Time: " &amp; TEXT('Profit &amp; Loss'!C269, "hh:mm AM/PM") &amp; " - " &amp; TEXT('Profit &amp; Loss'!D269, "hh:mm AM/PM") &amp; CHAR(10) &amp; "Venue: " &amp; 'Profit &amp; Loss'!E269 &amp; CHAR(10) &amp; "Court No.: " &amp; 'Profit &amp; Loss'!F269 &amp; CHAR(10) &amp; "Level: HB - LI" &amp; CHAR(10) &amp; "Please transfer $" &amp; 'Profit &amp; Loss'!O269 &amp; " per pax to Belle (83396501)" &amp; CHAR(10) &amp; CHAR(10) &amp; IF('Profit &amp; Loss'!I269=1, "1." &amp; CHAR(10) &amp; "2." &amp; CHAR(10) &amp; "3." &amp; CHAR(10) &amp; "4." &amp; CHAR(10) &amp; "5." &amp; CHAR(10) &amp; "6." &amp; CHAR(10), IF('Profit &amp; Loss'!I269=2,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7" spans="1:2" ht="12.5" x14ac:dyDescent="0.25">
      <c r="A267" s="2" t="str">
        <f ca="1">IF('Profit &amp; Loss'!A270&gt;=TODAY(),"Looking for friendly players to join the following game: " &amp; CHAR(10) &amp; CHAR(10) &amp; "Date: " &amp; TEXT('Profit &amp; Loss'!A270,"dd mmm yyy") &amp; ", " &amp; 'Profit &amp; Loss'!B270 &amp; CHAR(10) &amp; "Time: " &amp; TEXT('Profit &amp; Loss'!C270, "hh:mm AM/PM") &amp; " - " &amp; TEXT('Profit &amp; Loss'!D270, "hh:mm AM/PM") &amp; CHAR(10) &amp; "Venue: " &amp; 'Profit &amp; Loss'!E270 &amp; CHAR(10) &amp; "Level: HB - LI" &amp; CHAR(10) &amp; "Cost: $" &amp; 'Profit &amp; Loss'!O270 &amp; " per pax" &amp; CHAR(10) &amp; "Max " &amp; 'Profit &amp; Loss'!I270*6 &amp; " pax," &amp; " (" &amp; 'Profit &amp; Loss'!I270 &amp; " courts)" &amp; CHAR(10) &amp; CHAR(10) &amp; "RSL Ultimate shuttles provided" &amp; CHAR(10) &amp; CHAR(10) &amp; "PM if interested, thank you!"," ")</f>
        <v xml:space="preserve"> </v>
      </c>
      <c r="B267" s="2" t="str">
        <f ca="1">IF('Profit &amp; Loss'!A270&gt;=TODAY(), "Date: " &amp; TEXT('Profit &amp; Loss'!A270,"dd mmm yyy") &amp; ", " &amp; 'Profit &amp; Loss'!B270 &amp; CHAR(10) &amp; "Time: " &amp; TEXT('Profit &amp; Loss'!C270, "hh:mm AM/PM") &amp; " - " &amp; TEXT('Profit &amp; Loss'!D270, "hh:mm AM/PM") &amp; CHAR(10) &amp; "Venue: " &amp; 'Profit &amp; Loss'!E270 &amp; CHAR(10) &amp; "Court No.: " &amp; 'Profit &amp; Loss'!F270 &amp; CHAR(10) &amp; "Level: HB - LI" &amp; CHAR(10) &amp; "Please transfer $" &amp; 'Profit &amp; Loss'!O270 &amp; " per pax to Belle (83396501)" &amp; CHAR(10) &amp; CHAR(10) &amp; IF('Profit &amp; Loss'!I270=1, "1." &amp; CHAR(10) &amp; "2." &amp; CHAR(10) &amp; "3." &amp; CHAR(10) &amp; "4." &amp; CHAR(10) &amp; "5." &amp; CHAR(10) &amp; "6." &amp; CHAR(10), IF('Profit &amp; Loss'!I270=2,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8" spans="1:2" ht="12.5" x14ac:dyDescent="0.25">
      <c r="A268" s="2" t="str">
        <f ca="1">IF('Profit &amp; Loss'!A271&gt;=TODAY(),"Looking for friendly players to join the following game: " &amp; CHAR(10) &amp; CHAR(10) &amp; "Date: " &amp; TEXT('Profit &amp; Loss'!A271,"dd mmm yyy") &amp; ", " &amp; 'Profit &amp; Loss'!B271 &amp; CHAR(10) &amp; "Time: " &amp; TEXT('Profit &amp; Loss'!C271, "hh:mm AM/PM") &amp; " - " &amp; TEXT('Profit &amp; Loss'!D271, "hh:mm AM/PM") &amp; CHAR(10) &amp; "Venue: " &amp; 'Profit &amp; Loss'!E271 &amp; CHAR(10) &amp; "Level: HB - LI" &amp; CHAR(10) &amp; "Cost: $" &amp; 'Profit &amp; Loss'!O271 &amp; " per pax" &amp; CHAR(10) &amp; "Max " &amp; 'Profit &amp; Loss'!I271*6 &amp; " pax," &amp; " (" &amp; 'Profit &amp; Loss'!I271 &amp; " courts)" &amp; CHAR(10) &amp; CHAR(10) &amp; "RSL Ultimate shuttles provided" &amp; CHAR(10) &amp; CHAR(10) &amp; "PM if interested, thank you!"," ")</f>
        <v xml:space="preserve"> </v>
      </c>
      <c r="B268" s="2" t="str">
        <f ca="1">IF('Profit &amp; Loss'!A271&gt;=TODAY(), "Date: " &amp; TEXT('Profit &amp; Loss'!A271,"dd mmm yyy") &amp; ", " &amp; 'Profit &amp; Loss'!B271 &amp; CHAR(10) &amp; "Time: " &amp; TEXT('Profit &amp; Loss'!C271, "hh:mm AM/PM") &amp; " - " &amp; TEXT('Profit &amp; Loss'!D271, "hh:mm AM/PM") &amp; CHAR(10) &amp; "Venue: " &amp; 'Profit &amp; Loss'!E271 &amp; CHAR(10) &amp; "Court No.: " &amp; 'Profit &amp; Loss'!F271 &amp; CHAR(10) &amp; "Level: HB - LI" &amp; CHAR(10) &amp; "Please transfer $" &amp; 'Profit &amp; Loss'!O271 &amp; " per pax to Belle (83396501)" &amp; CHAR(10) &amp; CHAR(10) &amp; IF('Profit &amp; Loss'!I271=1, "1." &amp; CHAR(10) &amp; "2." &amp; CHAR(10) &amp; "3." &amp; CHAR(10) &amp; "4." &amp; CHAR(10) &amp; "5." &amp; CHAR(10) &amp; "6." &amp; CHAR(10), IF('Profit &amp; Loss'!I271=2,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69" spans="1:2" ht="12.5" x14ac:dyDescent="0.25">
      <c r="A269" s="2" t="str">
        <f ca="1">IF('Profit &amp; Loss'!A272&gt;=TODAY(),"Looking for friendly players to join the following game: " &amp; CHAR(10) &amp; CHAR(10) &amp; "Date: " &amp; TEXT('Profit &amp; Loss'!A272,"dd mmm yyy") &amp; ", " &amp; 'Profit &amp; Loss'!B272 &amp; CHAR(10) &amp; "Time: " &amp; TEXT('Profit &amp; Loss'!C272, "hh:mm AM/PM") &amp; " - " &amp; TEXT('Profit &amp; Loss'!D272, "hh:mm AM/PM") &amp; CHAR(10) &amp; "Venue: " &amp; 'Profit &amp; Loss'!E272 &amp; CHAR(10) &amp; "Level: HB - LI" &amp; CHAR(10) &amp; "Cost: $" &amp; 'Profit &amp; Loss'!O272 &amp; " per pax" &amp; CHAR(10) &amp; "Max " &amp; 'Profit &amp; Loss'!I272*6 &amp; " pax," &amp; " (" &amp; 'Profit &amp; Loss'!I272 &amp; " courts)" &amp; CHAR(10) &amp; CHAR(10) &amp; "RSL Ultimate shuttles provided" &amp; CHAR(10) &amp; CHAR(10) &amp; "PM if interested, thank you!"," ")</f>
        <v xml:space="preserve"> </v>
      </c>
      <c r="B269" s="2" t="str">
        <f ca="1">IF('Profit &amp; Loss'!A272&gt;=TODAY(), "Date: " &amp; TEXT('Profit &amp; Loss'!A272,"dd mmm yyy") &amp; ", " &amp; 'Profit &amp; Loss'!B272 &amp; CHAR(10) &amp; "Time: " &amp; TEXT('Profit &amp; Loss'!C272, "hh:mm AM/PM") &amp; " - " &amp; TEXT('Profit &amp; Loss'!D272, "hh:mm AM/PM") &amp; CHAR(10) &amp; "Venue: " &amp; 'Profit &amp; Loss'!E272 &amp; CHAR(10) &amp; "Court No.: " &amp; 'Profit &amp; Loss'!F272 &amp; CHAR(10) &amp; "Level: HB - LI" &amp; CHAR(10) &amp; "Please transfer $" &amp; 'Profit &amp; Loss'!O272 &amp; " per pax to Belle (83396501)" &amp; CHAR(10) &amp; CHAR(10) &amp; IF('Profit &amp; Loss'!I272=1, "1." &amp; CHAR(10) &amp; "2." &amp; CHAR(10) &amp; "3." &amp; CHAR(10) &amp; "4." &amp; CHAR(10) &amp; "5." &amp; CHAR(10) &amp; "6." &amp; CHAR(10), IF('Profit &amp; Loss'!I272=2,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0" spans="1:2" ht="12.5" x14ac:dyDescent="0.25">
      <c r="A270" s="2" t="str">
        <f ca="1">IF('Profit &amp; Loss'!A273&gt;=TODAY(),"Looking for friendly players to join the following game: " &amp; CHAR(10) &amp; CHAR(10) &amp; "Date: " &amp; TEXT('Profit &amp; Loss'!A273,"dd mmm yyy") &amp; ", " &amp; 'Profit &amp; Loss'!B273 &amp; CHAR(10) &amp; "Time: " &amp; TEXT('Profit &amp; Loss'!C273, "hh:mm AM/PM") &amp; " - " &amp; TEXT('Profit &amp; Loss'!D273, "hh:mm AM/PM") &amp; CHAR(10) &amp; "Venue: " &amp; 'Profit &amp; Loss'!E273 &amp; CHAR(10) &amp; "Level: HB - LI" &amp; CHAR(10) &amp; "Cost: $" &amp; 'Profit &amp; Loss'!O273 &amp; " per pax" &amp; CHAR(10) &amp; "Max " &amp; 'Profit &amp; Loss'!I273*6 &amp; " pax," &amp; " (" &amp; 'Profit &amp; Loss'!I273 &amp; " courts)" &amp; CHAR(10) &amp; CHAR(10) &amp; "RSL Ultimate shuttles provided" &amp; CHAR(10) &amp; CHAR(10) &amp; "PM if interested, thank you!"," ")</f>
        <v xml:space="preserve"> </v>
      </c>
      <c r="B270" s="2" t="str">
        <f ca="1">IF('Profit &amp; Loss'!A273&gt;=TODAY(), "Date: " &amp; TEXT('Profit &amp; Loss'!A273,"dd mmm yyy") &amp; ", " &amp; 'Profit &amp; Loss'!B273 &amp; CHAR(10) &amp; "Time: " &amp; TEXT('Profit &amp; Loss'!C273, "hh:mm AM/PM") &amp; " - " &amp; TEXT('Profit &amp; Loss'!D273, "hh:mm AM/PM") &amp; CHAR(10) &amp; "Venue: " &amp; 'Profit &amp; Loss'!E273 &amp; CHAR(10) &amp; "Court No.: " &amp; 'Profit &amp; Loss'!F273 &amp; CHAR(10) &amp; "Level: HB - LI" &amp; CHAR(10) &amp; "Please transfer $" &amp; 'Profit &amp; Loss'!O273 &amp; " per pax to Belle (83396501)" &amp; CHAR(10) &amp; CHAR(10) &amp; IF('Profit &amp; Loss'!I273=1, "1." &amp; CHAR(10) &amp; "2." &amp; CHAR(10) &amp; "3." &amp; CHAR(10) &amp; "4." &amp; CHAR(10) &amp; "5." &amp; CHAR(10) &amp; "6." &amp; CHAR(10), IF('Profit &amp; Loss'!I273=2,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1" spans="1:2" ht="12.5" x14ac:dyDescent="0.25">
      <c r="A271" s="2" t="str">
        <f ca="1">IF('Profit &amp; Loss'!A274&gt;=TODAY(),"Looking for friendly players to join the following game: " &amp; CHAR(10) &amp; CHAR(10) &amp; "Date: " &amp; TEXT('Profit &amp; Loss'!A274,"dd mmm yyy") &amp; ", " &amp; 'Profit &amp; Loss'!B274 &amp; CHAR(10) &amp; "Time: " &amp; TEXT('Profit &amp; Loss'!C274, "hh:mm AM/PM") &amp; " - " &amp; TEXT('Profit &amp; Loss'!D274, "hh:mm AM/PM") &amp; CHAR(10) &amp; "Venue: " &amp; 'Profit &amp; Loss'!E274 &amp; CHAR(10) &amp; "Level: HB - LI" &amp; CHAR(10) &amp; "Cost: $" &amp; 'Profit &amp; Loss'!O274 &amp; " per pax" &amp; CHAR(10) &amp; "Max " &amp; 'Profit &amp; Loss'!I274*6 &amp; " pax," &amp; " (" &amp; 'Profit &amp; Loss'!I274 &amp; " courts)" &amp; CHAR(10) &amp; CHAR(10) &amp; "RSL Ultimate shuttles provided" &amp; CHAR(10) &amp; CHAR(10) &amp; "PM if interested, thank you!"," ")</f>
        <v xml:space="preserve"> </v>
      </c>
      <c r="B271" s="2" t="str">
        <f ca="1">IF('Profit &amp; Loss'!A274&gt;=TODAY(), "Date: " &amp; TEXT('Profit &amp; Loss'!A274,"dd mmm yyy") &amp; ", " &amp; 'Profit &amp; Loss'!B274 &amp; CHAR(10) &amp; "Time: " &amp; TEXT('Profit &amp; Loss'!C274, "hh:mm AM/PM") &amp; " - " &amp; TEXT('Profit &amp; Loss'!D274, "hh:mm AM/PM") &amp; CHAR(10) &amp; "Venue: " &amp; 'Profit &amp; Loss'!E274 &amp; CHAR(10) &amp; "Court No.: " &amp; 'Profit &amp; Loss'!F274 &amp; CHAR(10) &amp; "Level: HB - LI" &amp; CHAR(10) &amp; "Please transfer $" &amp; 'Profit &amp; Loss'!O274 &amp; " per pax to Belle (83396501)" &amp; CHAR(10) &amp; CHAR(10) &amp; IF('Profit &amp; Loss'!I274=1, "1." &amp; CHAR(10) &amp; "2." &amp; CHAR(10) &amp; "3." &amp; CHAR(10) &amp; "4." &amp; CHAR(10) &amp; "5." &amp; CHAR(10) &amp; "6." &amp; CHAR(10), IF('Profit &amp; Loss'!I274=2,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2" spans="1:2" ht="12.5" x14ac:dyDescent="0.25">
      <c r="A272" s="2" t="str">
        <f ca="1">IF('Profit &amp; Loss'!A275&gt;=TODAY(),"Looking for friendly players to join the following game: " &amp; CHAR(10) &amp; CHAR(10) &amp; "Date: " &amp; TEXT('Profit &amp; Loss'!A275,"dd mmm yyy") &amp; ", " &amp; 'Profit &amp; Loss'!B275 &amp; CHAR(10) &amp; "Time: " &amp; TEXT('Profit &amp; Loss'!C275, "hh:mm AM/PM") &amp; " - " &amp; TEXT('Profit &amp; Loss'!D275, "hh:mm AM/PM") &amp; CHAR(10) &amp; "Venue: " &amp; 'Profit &amp; Loss'!E275 &amp; CHAR(10) &amp; "Level: HB - LI" &amp; CHAR(10) &amp; "Cost: $" &amp; 'Profit &amp; Loss'!O275 &amp; " per pax" &amp; CHAR(10) &amp; "Max " &amp; 'Profit &amp; Loss'!I275*6 &amp; " pax," &amp; " (" &amp; 'Profit &amp; Loss'!I275 &amp; " courts)" &amp; CHAR(10) &amp; CHAR(10) &amp; "RSL Ultimate shuttles provided" &amp; CHAR(10) &amp; CHAR(10) &amp; "PM if interested, thank you!"," ")</f>
        <v xml:space="preserve"> </v>
      </c>
      <c r="B272" s="2" t="str">
        <f ca="1">IF('Profit &amp; Loss'!A275&gt;=TODAY(), "Date: " &amp; TEXT('Profit &amp; Loss'!A275,"dd mmm yyy") &amp; ", " &amp; 'Profit &amp; Loss'!B275 &amp; CHAR(10) &amp; "Time: " &amp; TEXT('Profit &amp; Loss'!C275, "hh:mm AM/PM") &amp; " - " &amp; TEXT('Profit &amp; Loss'!D275, "hh:mm AM/PM") &amp; CHAR(10) &amp; "Venue: " &amp; 'Profit &amp; Loss'!E275 &amp; CHAR(10) &amp; "Court No.: " &amp; 'Profit &amp; Loss'!F275 &amp; CHAR(10) &amp; "Level: HB - LI" &amp; CHAR(10) &amp; "Please transfer $" &amp; 'Profit &amp; Loss'!O275 &amp; " per pax to Belle (83396501)" &amp; CHAR(10) &amp; CHAR(10) &amp; IF('Profit &amp; Loss'!I275=1, "1." &amp; CHAR(10) &amp; "2." &amp; CHAR(10) &amp; "3." &amp; CHAR(10) &amp; "4." &amp; CHAR(10) &amp; "5." &amp; CHAR(10) &amp; "6." &amp; CHAR(10), IF('Profit &amp; Loss'!I275=2,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3" spans="1:2" ht="12.5" x14ac:dyDescent="0.25">
      <c r="A273" s="2" t="str">
        <f ca="1">IF('Profit &amp; Loss'!A276&gt;=TODAY(),"Looking for friendly players to join the following game: " &amp; CHAR(10) &amp; CHAR(10) &amp; "Date: " &amp; TEXT('Profit &amp; Loss'!A276,"dd mmm yyy") &amp; ", " &amp; 'Profit &amp; Loss'!B276 &amp; CHAR(10) &amp; "Time: " &amp; TEXT('Profit &amp; Loss'!C276, "hh:mm AM/PM") &amp; " - " &amp; TEXT('Profit &amp; Loss'!D276, "hh:mm AM/PM") &amp; CHAR(10) &amp; "Venue: " &amp; 'Profit &amp; Loss'!E276 &amp; CHAR(10) &amp; "Level: HB - LI" &amp; CHAR(10) &amp; "Cost: $" &amp; 'Profit &amp; Loss'!O276 &amp; " per pax" &amp; CHAR(10) &amp; "Max " &amp; 'Profit &amp; Loss'!I276*6 &amp; " pax," &amp; " (" &amp; 'Profit &amp; Loss'!I276 &amp; " courts)" &amp; CHAR(10) &amp; CHAR(10) &amp; "RSL Ultimate shuttles provided" &amp; CHAR(10) &amp; CHAR(10) &amp; "PM if interested, thank you!"," ")</f>
        <v xml:space="preserve"> </v>
      </c>
      <c r="B273" s="2" t="str">
        <f ca="1">IF('Profit &amp; Loss'!A276&gt;=TODAY(), "Date: " &amp; TEXT('Profit &amp; Loss'!A276,"dd mmm yyy") &amp; ", " &amp; 'Profit &amp; Loss'!B276 &amp; CHAR(10) &amp; "Time: " &amp; TEXT('Profit &amp; Loss'!C276, "hh:mm AM/PM") &amp; " - " &amp; TEXT('Profit &amp; Loss'!D276, "hh:mm AM/PM") &amp; CHAR(10) &amp; "Venue: " &amp; 'Profit &amp; Loss'!E276 &amp; CHAR(10) &amp; "Court No.: " &amp; 'Profit &amp; Loss'!F276 &amp; CHAR(10) &amp; "Level: HB - LI" &amp; CHAR(10) &amp; "Please transfer $" &amp; 'Profit &amp; Loss'!O276 &amp; " per pax to Belle (83396501)" &amp; CHAR(10) &amp; CHAR(10) &amp; IF('Profit &amp; Loss'!I276=1, "1." &amp; CHAR(10) &amp; "2." &amp; CHAR(10) &amp; "3." &amp; CHAR(10) &amp; "4." &amp; CHAR(10) &amp; "5." &amp; CHAR(10) &amp; "6." &amp; CHAR(10), IF('Profit &amp; Loss'!I276=2,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4" spans="1:2" ht="12.5" x14ac:dyDescent="0.25">
      <c r="A274" s="2" t="str">
        <f ca="1">IF('Profit &amp; Loss'!A277&gt;=TODAY(),"Looking for friendly players to join the following game: " &amp; CHAR(10) &amp; CHAR(10) &amp; "Date: " &amp; TEXT('Profit &amp; Loss'!A277,"dd mmm yyy") &amp; ", " &amp; 'Profit &amp; Loss'!B277 &amp; CHAR(10) &amp; "Time: " &amp; TEXT('Profit &amp; Loss'!C277, "hh:mm AM/PM") &amp; " - " &amp; TEXT('Profit &amp; Loss'!D277, "hh:mm AM/PM") &amp; CHAR(10) &amp; "Venue: " &amp; 'Profit &amp; Loss'!E277 &amp; CHAR(10) &amp; "Level: HB - LI" &amp; CHAR(10) &amp; "Cost: $" &amp; 'Profit &amp; Loss'!O277 &amp; " per pax" &amp; CHAR(10) &amp; "Max " &amp; 'Profit &amp; Loss'!I277*6 &amp; " pax," &amp; " (" &amp; 'Profit &amp; Loss'!I277 &amp; " courts)" &amp; CHAR(10) &amp; CHAR(10) &amp; "RSL Ultimate shuttles provided" &amp; CHAR(10) &amp; CHAR(10) &amp; "PM if interested, thank you!"," ")</f>
        <v xml:space="preserve"> </v>
      </c>
      <c r="B274" s="2" t="str">
        <f ca="1">IF('Profit &amp; Loss'!A277&gt;=TODAY(), "Date: " &amp; TEXT('Profit &amp; Loss'!A277,"dd mmm yyy") &amp; ", " &amp; 'Profit &amp; Loss'!B277 &amp; CHAR(10) &amp; "Time: " &amp; TEXT('Profit &amp; Loss'!C277, "hh:mm AM/PM") &amp; " - " &amp; TEXT('Profit &amp; Loss'!D277, "hh:mm AM/PM") &amp; CHAR(10) &amp; "Venue: " &amp; 'Profit &amp; Loss'!E277 &amp; CHAR(10) &amp; "Court No.: " &amp; 'Profit &amp; Loss'!F277 &amp; CHAR(10) &amp; "Level: HB - LI" &amp; CHAR(10) &amp; "Please transfer $" &amp; 'Profit &amp; Loss'!O277 &amp; " per pax to Belle (83396501)" &amp; CHAR(10) &amp; CHAR(10) &amp; IF('Profit &amp; Loss'!I277=1, "1." &amp; CHAR(10) &amp; "2." &amp; CHAR(10) &amp; "3." &amp; CHAR(10) &amp; "4." &amp; CHAR(10) &amp; "5." &amp; CHAR(10) &amp; "6." &amp; CHAR(10), IF('Profit &amp; Loss'!I277=2,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5" spans="1:2" ht="12.5" x14ac:dyDescent="0.25">
      <c r="A275" s="2" t="str">
        <f ca="1">IF('Profit &amp; Loss'!A278&gt;=TODAY(),"Looking for friendly players to join the following game: " &amp; CHAR(10) &amp; CHAR(10) &amp; "Date: " &amp; TEXT('Profit &amp; Loss'!A278,"dd mmm yyy") &amp; ", " &amp; 'Profit &amp; Loss'!B278 &amp; CHAR(10) &amp; "Time: " &amp; TEXT('Profit &amp; Loss'!C278, "hh:mm AM/PM") &amp; " - " &amp; TEXT('Profit &amp; Loss'!D278, "hh:mm AM/PM") &amp; CHAR(10) &amp; "Venue: " &amp; 'Profit &amp; Loss'!E278 &amp; CHAR(10) &amp; "Level: HB - LI" &amp; CHAR(10) &amp; "Cost: $" &amp; 'Profit &amp; Loss'!O278 &amp; " per pax" &amp; CHAR(10) &amp; "Max " &amp; 'Profit &amp; Loss'!I278*6 &amp; " pax," &amp; " (" &amp; 'Profit &amp; Loss'!I278 &amp; " courts)" &amp; CHAR(10) &amp; CHAR(10) &amp; "RSL Ultimate shuttles provided" &amp; CHAR(10) &amp; CHAR(10) &amp; "PM if interested, thank you!"," ")</f>
        <v xml:space="preserve"> </v>
      </c>
      <c r="B275" s="2" t="str">
        <f ca="1">IF('Profit &amp; Loss'!A278&gt;=TODAY(), "Date: " &amp; TEXT('Profit &amp; Loss'!A278,"dd mmm yyy") &amp; ", " &amp; 'Profit &amp; Loss'!B278 &amp; CHAR(10) &amp; "Time: " &amp; TEXT('Profit &amp; Loss'!C278, "hh:mm AM/PM") &amp; " - " &amp; TEXT('Profit &amp; Loss'!D278, "hh:mm AM/PM") &amp; CHAR(10) &amp; "Venue: " &amp; 'Profit &amp; Loss'!E278 &amp; CHAR(10) &amp; "Court No.: " &amp; 'Profit &amp; Loss'!F278 &amp; CHAR(10) &amp; "Level: HB - LI" &amp; CHAR(10) &amp; "Please transfer $" &amp; 'Profit &amp; Loss'!O278 &amp; " per pax to Belle (83396501)" &amp; CHAR(10) &amp; CHAR(10) &amp; IF('Profit &amp; Loss'!I278=1, "1." &amp; CHAR(10) &amp; "2." &amp; CHAR(10) &amp; "3." &amp; CHAR(10) &amp; "4." &amp; CHAR(10) &amp; "5." &amp; CHAR(10) &amp; "6." &amp; CHAR(10), IF('Profit &amp; Loss'!I278=2,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6" spans="1:2" ht="12.5" x14ac:dyDescent="0.25">
      <c r="A276" s="2" t="str">
        <f ca="1">IF('Profit &amp; Loss'!A279&gt;=TODAY(),"Looking for friendly players to join the following game: " &amp; CHAR(10) &amp; CHAR(10) &amp; "Date: " &amp; TEXT('Profit &amp; Loss'!A279,"dd mmm yyy") &amp; ", " &amp; 'Profit &amp; Loss'!B279 &amp; CHAR(10) &amp; "Time: " &amp; TEXT('Profit &amp; Loss'!C279, "hh:mm AM/PM") &amp; " - " &amp; TEXT('Profit &amp; Loss'!D279, "hh:mm AM/PM") &amp; CHAR(10) &amp; "Venue: " &amp; 'Profit &amp; Loss'!E279 &amp; CHAR(10) &amp; "Level: HB - LI" &amp; CHAR(10) &amp; "Cost: $" &amp; 'Profit &amp; Loss'!O279 &amp; " per pax" &amp; CHAR(10) &amp; "Max " &amp; 'Profit &amp; Loss'!I279*6 &amp; " pax," &amp; " (" &amp; 'Profit &amp; Loss'!I279 &amp; " courts)" &amp; CHAR(10) &amp; CHAR(10) &amp; "RSL Ultimate shuttles provided" &amp; CHAR(10) &amp; CHAR(10) &amp; "PM if interested, thank you!"," ")</f>
        <v xml:space="preserve"> </v>
      </c>
      <c r="B276" s="2" t="str">
        <f ca="1">IF('Profit &amp; Loss'!A279&gt;=TODAY(), "Date: " &amp; TEXT('Profit &amp; Loss'!A279,"dd mmm yyy") &amp; ", " &amp; 'Profit &amp; Loss'!B279 &amp; CHAR(10) &amp; "Time: " &amp; TEXT('Profit &amp; Loss'!C279, "hh:mm AM/PM") &amp; " - " &amp; TEXT('Profit &amp; Loss'!D279, "hh:mm AM/PM") &amp; CHAR(10) &amp; "Venue: " &amp; 'Profit &amp; Loss'!E279 &amp; CHAR(10) &amp; "Court No.: " &amp; 'Profit &amp; Loss'!F279 &amp; CHAR(10) &amp; "Level: HB - LI" &amp; CHAR(10) &amp; "Please transfer $" &amp; 'Profit &amp; Loss'!O279 &amp; " per pax to Belle (83396501)" &amp; CHAR(10) &amp; CHAR(10) &amp; IF('Profit &amp; Loss'!I279=1, "1." &amp; CHAR(10) &amp; "2." &amp; CHAR(10) &amp; "3." &amp; CHAR(10) &amp; "4." &amp; CHAR(10) &amp; "5." &amp; CHAR(10) &amp; "6." &amp; CHAR(10), IF('Profit &amp; Loss'!I279=2,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7" spans="1:2" ht="12.5" x14ac:dyDescent="0.25">
      <c r="A277" s="2" t="str">
        <f ca="1">IF('Profit &amp; Loss'!A280&gt;=TODAY(),"Looking for friendly players to join the following game: " &amp; CHAR(10) &amp; CHAR(10) &amp; "Date: " &amp; TEXT('Profit &amp; Loss'!A280,"dd mmm yyy") &amp; ", " &amp; 'Profit &amp; Loss'!B280 &amp; CHAR(10) &amp; "Time: " &amp; TEXT('Profit &amp; Loss'!C280, "hh:mm AM/PM") &amp; " - " &amp; TEXT('Profit &amp; Loss'!D280, "hh:mm AM/PM") &amp; CHAR(10) &amp; "Venue: " &amp; 'Profit &amp; Loss'!E280 &amp; CHAR(10) &amp; "Level: HB - LI" &amp; CHAR(10) &amp; "Cost: $" &amp; 'Profit &amp; Loss'!O280 &amp; " per pax" &amp; CHAR(10) &amp; "Max " &amp; 'Profit &amp; Loss'!I280*6 &amp; " pax," &amp; " (" &amp; 'Profit &amp; Loss'!I280 &amp; " courts)" &amp; CHAR(10) &amp; CHAR(10) &amp; "RSL Ultimate shuttles provided" &amp; CHAR(10) &amp; CHAR(10) &amp; "PM if interested, thank you!"," ")</f>
        <v xml:space="preserve"> </v>
      </c>
      <c r="B277" s="2" t="str">
        <f ca="1">IF('Profit &amp; Loss'!A280&gt;=TODAY(), "Date: " &amp; TEXT('Profit &amp; Loss'!A280,"dd mmm yyy") &amp; ", " &amp; 'Profit &amp; Loss'!B280 &amp; CHAR(10) &amp; "Time: " &amp; TEXT('Profit &amp; Loss'!C280, "hh:mm AM/PM") &amp; " - " &amp; TEXT('Profit &amp; Loss'!D280, "hh:mm AM/PM") &amp; CHAR(10) &amp; "Venue: " &amp; 'Profit &amp; Loss'!E280 &amp; CHAR(10) &amp; "Court No.: " &amp; 'Profit &amp; Loss'!F280 &amp; CHAR(10) &amp; "Level: HB - LI" &amp; CHAR(10) &amp; "Please transfer $" &amp; 'Profit &amp; Loss'!O280 &amp; " per pax to Belle (83396501)" &amp; CHAR(10) &amp; CHAR(10) &amp; IF('Profit &amp; Loss'!I280=1, "1." &amp; CHAR(10) &amp; "2." &amp; CHAR(10) &amp; "3." &amp; CHAR(10) &amp; "4." &amp; CHAR(10) &amp; "5." &amp; CHAR(10) &amp; "6." &amp; CHAR(10), IF('Profit &amp; Loss'!I280=2,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8" spans="1:2" ht="12.5" x14ac:dyDescent="0.25">
      <c r="A278" s="2" t="str">
        <f ca="1">IF('Profit &amp; Loss'!A281&gt;=TODAY(),"Looking for friendly players to join the following game: " &amp; CHAR(10) &amp; CHAR(10) &amp; "Date: " &amp; TEXT('Profit &amp; Loss'!A281,"dd mmm yyy") &amp; ", " &amp; 'Profit &amp; Loss'!B281 &amp; CHAR(10) &amp; "Time: " &amp; TEXT('Profit &amp; Loss'!C281, "hh:mm AM/PM") &amp; " - " &amp; TEXT('Profit &amp; Loss'!D281, "hh:mm AM/PM") &amp; CHAR(10) &amp; "Venue: " &amp; 'Profit &amp; Loss'!E281 &amp; CHAR(10) &amp; "Level: HB - LI" &amp; CHAR(10) &amp; "Cost: $" &amp; 'Profit &amp; Loss'!O281 &amp; " per pax" &amp; CHAR(10) &amp; "Max " &amp; 'Profit &amp; Loss'!I281*6 &amp; " pax," &amp; " (" &amp; 'Profit &amp; Loss'!I281 &amp; " courts)" &amp; CHAR(10) &amp; CHAR(10) &amp; "RSL Ultimate shuttles provided" &amp; CHAR(10) &amp; CHAR(10) &amp; "PM if interested, thank you!"," ")</f>
        <v xml:space="preserve"> </v>
      </c>
      <c r="B278" s="2" t="str">
        <f ca="1">IF('Profit &amp; Loss'!A281&gt;=TODAY(), "Date: " &amp; TEXT('Profit &amp; Loss'!A281,"dd mmm yyy") &amp; ", " &amp; 'Profit &amp; Loss'!B281 &amp; CHAR(10) &amp; "Time: " &amp; TEXT('Profit &amp; Loss'!C281, "hh:mm AM/PM") &amp; " - " &amp; TEXT('Profit &amp; Loss'!D281, "hh:mm AM/PM") &amp; CHAR(10) &amp; "Venue: " &amp; 'Profit &amp; Loss'!E281 &amp; CHAR(10) &amp; "Court No.: " &amp; 'Profit &amp; Loss'!F281 &amp; CHAR(10) &amp; "Level: HB - LI" &amp; CHAR(10) &amp; "Please transfer $" &amp; 'Profit &amp; Loss'!O281 &amp; " per pax to Belle (83396501)" &amp; CHAR(10) &amp; CHAR(10) &amp; IF('Profit &amp; Loss'!I281=1, "1." &amp; CHAR(10) &amp; "2." &amp; CHAR(10) &amp; "3." &amp; CHAR(10) &amp; "4." &amp; CHAR(10) &amp; "5." &amp; CHAR(10) &amp; "6." &amp; CHAR(10), IF('Profit &amp; Loss'!I281=2,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79" spans="1:2" ht="12.5" x14ac:dyDescent="0.25">
      <c r="A279" s="2" t="str">
        <f ca="1">IF('Profit &amp; Loss'!A282&gt;=TODAY(),"Looking for friendly players to join the following game: " &amp; CHAR(10) &amp; CHAR(10) &amp; "Date: " &amp; TEXT('Profit &amp; Loss'!A282,"dd mmm yyy") &amp; ", " &amp; 'Profit &amp; Loss'!B282 &amp; CHAR(10) &amp; "Time: " &amp; TEXT('Profit &amp; Loss'!C282, "hh:mm AM/PM") &amp; " - " &amp; TEXT('Profit &amp; Loss'!D282, "hh:mm AM/PM") &amp; CHAR(10) &amp; "Venue: " &amp; 'Profit &amp; Loss'!E282 &amp; CHAR(10) &amp; "Level: HB - LI" &amp; CHAR(10) &amp; "Cost: $" &amp; 'Profit &amp; Loss'!O282 &amp; " per pax" &amp; CHAR(10) &amp; "Max " &amp; 'Profit &amp; Loss'!I282*6 &amp; " pax," &amp; " (" &amp; 'Profit &amp; Loss'!I282 &amp; " courts)" &amp; CHAR(10) &amp; CHAR(10) &amp; "RSL Ultimate shuttles provided" &amp; CHAR(10) &amp; CHAR(10) &amp; "PM if interested, thank you!"," ")</f>
        <v xml:space="preserve"> </v>
      </c>
      <c r="B279" s="2" t="str">
        <f ca="1">IF('Profit &amp; Loss'!A282&gt;=TODAY(), "Date: " &amp; TEXT('Profit &amp; Loss'!A282,"dd mmm yyy") &amp; ", " &amp; 'Profit &amp; Loss'!B282 &amp; CHAR(10) &amp; "Time: " &amp; TEXT('Profit &amp; Loss'!C282, "hh:mm AM/PM") &amp; " - " &amp; TEXT('Profit &amp; Loss'!D282, "hh:mm AM/PM") &amp; CHAR(10) &amp; "Venue: " &amp; 'Profit &amp; Loss'!E282 &amp; CHAR(10) &amp; "Court No.: " &amp; 'Profit &amp; Loss'!F282 &amp; CHAR(10) &amp; "Level: HB - LI" &amp; CHAR(10) &amp; "Please transfer $" &amp; 'Profit &amp; Loss'!O282 &amp; " per pax to Belle (83396501)" &amp; CHAR(10) &amp; CHAR(10) &amp; IF('Profit &amp; Loss'!I282=1, "1." &amp; CHAR(10) &amp; "2." &amp; CHAR(10) &amp; "3." &amp; CHAR(10) &amp; "4." &amp; CHAR(10) &amp; "5." &amp; CHAR(10) &amp; "6." &amp; CHAR(10), IF('Profit &amp; Loss'!I282=2,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0" spans="1:2" ht="12.5" x14ac:dyDescent="0.25">
      <c r="A280" s="2" t="str">
        <f ca="1">IF('Profit &amp; Loss'!A283&gt;=TODAY(),"Looking for friendly players to join the following game: " &amp; CHAR(10) &amp; CHAR(10) &amp; "Date: " &amp; TEXT('Profit &amp; Loss'!A283,"dd mmm yyy") &amp; ", " &amp; 'Profit &amp; Loss'!B283 &amp; CHAR(10) &amp; "Time: " &amp; TEXT('Profit &amp; Loss'!C283, "hh:mm AM/PM") &amp; " - " &amp; TEXT('Profit &amp; Loss'!D283, "hh:mm AM/PM") &amp; CHAR(10) &amp; "Venue: " &amp; 'Profit &amp; Loss'!E283 &amp; CHAR(10) &amp; "Level: HB - LI" &amp; CHAR(10) &amp; "Cost: $" &amp; 'Profit &amp; Loss'!O283 &amp; " per pax" &amp; CHAR(10) &amp; "Max " &amp; 'Profit &amp; Loss'!I283*6 &amp; " pax," &amp; " (" &amp; 'Profit &amp; Loss'!I283 &amp; " courts)" &amp; CHAR(10) &amp; CHAR(10) &amp; "RSL Ultimate shuttles provided" &amp; CHAR(10) &amp; CHAR(10) &amp; "PM if interested, thank you!"," ")</f>
        <v xml:space="preserve"> </v>
      </c>
      <c r="B280" s="2" t="str">
        <f ca="1">IF('Profit &amp; Loss'!A283&gt;=TODAY(), "Date: " &amp; TEXT('Profit &amp; Loss'!A283,"dd mmm yyy") &amp; ", " &amp; 'Profit &amp; Loss'!B283 &amp; CHAR(10) &amp; "Time: " &amp; TEXT('Profit &amp; Loss'!C283, "hh:mm AM/PM") &amp; " - " &amp; TEXT('Profit &amp; Loss'!D283, "hh:mm AM/PM") &amp; CHAR(10) &amp; "Venue: " &amp; 'Profit &amp; Loss'!E283 &amp; CHAR(10) &amp; "Court No.: " &amp; 'Profit &amp; Loss'!F283 &amp; CHAR(10) &amp; "Level: HB - LI" &amp; CHAR(10) &amp; "Please transfer $" &amp; 'Profit &amp; Loss'!O283 &amp; " per pax to Belle (83396501)" &amp; CHAR(10) &amp; CHAR(10) &amp; IF('Profit &amp; Loss'!I283=1, "1." &amp; CHAR(10) &amp; "2." &amp; CHAR(10) &amp; "3." &amp; CHAR(10) &amp; "4." &amp; CHAR(10) &amp; "5." &amp; CHAR(10) &amp; "6." &amp; CHAR(10), IF('Profit &amp; Loss'!I283=2,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1" spans="1:2" ht="12.5" x14ac:dyDescent="0.25">
      <c r="A281" s="2" t="str">
        <f ca="1">IF('Profit &amp; Loss'!A284&gt;=TODAY(),"Looking for friendly players to join the following game: " &amp; CHAR(10) &amp; CHAR(10) &amp; "Date: " &amp; TEXT('Profit &amp; Loss'!A284,"dd mmm yyy") &amp; ", " &amp; 'Profit &amp; Loss'!B284 &amp; CHAR(10) &amp; "Time: " &amp; TEXT('Profit &amp; Loss'!C284, "hh:mm AM/PM") &amp; " - " &amp; TEXT('Profit &amp; Loss'!D284, "hh:mm AM/PM") &amp; CHAR(10) &amp; "Venue: " &amp; 'Profit &amp; Loss'!E284 &amp; CHAR(10) &amp; "Level: HB - LI" &amp; CHAR(10) &amp; "Cost: $" &amp; 'Profit &amp; Loss'!O284 &amp; " per pax" &amp; CHAR(10) &amp; "Max " &amp; 'Profit &amp; Loss'!I284*6 &amp; " pax," &amp; " (" &amp; 'Profit &amp; Loss'!I284 &amp; " courts)" &amp; CHAR(10) &amp; CHAR(10) &amp; "RSL Ultimate shuttles provided" &amp; CHAR(10) &amp; CHAR(10) &amp; "PM if interested, thank you!"," ")</f>
        <v xml:space="preserve"> </v>
      </c>
      <c r="B281" s="2" t="str">
        <f ca="1">IF('Profit &amp; Loss'!A284&gt;=TODAY(), "Date: " &amp; TEXT('Profit &amp; Loss'!A284,"dd mmm yyy") &amp; ", " &amp; 'Profit &amp; Loss'!B284 &amp; CHAR(10) &amp; "Time: " &amp; TEXT('Profit &amp; Loss'!C284, "hh:mm AM/PM") &amp; " - " &amp; TEXT('Profit &amp; Loss'!D284, "hh:mm AM/PM") &amp; CHAR(10) &amp; "Venue: " &amp; 'Profit &amp; Loss'!E284 &amp; CHAR(10) &amp; "Court No.: " &amp; 'Profit &amp; Loss'!F284 &amp; CHAR(10) &amp; "Level: HB - LI" &amp; CHAR(10) &amp; "Please transfer $" &amp; 'Profit &amp; Loss'!O284 &amp; " per pax to Belle (83396501)" &amp; CHAR(10) &amp; CHAR(10) &amp; IF('Profit &amp; Loss'!I284=1, "1." &amp; CHAR(10) &amp; "2." &amp; CHAR(10) &amp; "3." &amp; CHAR(10) &amp; "4." &amp; CHAR(10) &amp; "5." &amp; CHAR(10) &amp; "6." &amp; CHAR(10), IF('Profit &amp; Loss'!I284=2,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2" spans="1:2" ht="12.5" x14ac:dyDescent="0.25">
      <c r="A282" s="2" t="str">
        <f ca="1">IF('Profit &amp; Loss'!A285&gt;=TODAY(),"Looking for friendly players to join the following game: " &amp; CHAR(10) &amp; CHAR(10) &amp; "Date: " &amp; TEXT('Profit &amp; Loss'!A285,"dd mmm yyy") &amp; ", " &amp; 'Profit &amp; Loss'!B285 &amp; CHAR(10) &amp; "Time: " &amp; TEXT('Profit &amp; Loss'!C285, "hh:mm AM/PM") &amp; " - " &amp; TEXT('Profit &amp; Loss'!D285, "hh:mm AM/PM") &amp; CHAR(10) &amp; "Venue: " &amp; 'Profit &amp; Loss'!E285 &amp; CHAR(10) &amp; "Level: HB - LI" &amp; CHAR(10) &amp; "Cost: $" &amp; 'Profit &amp; Loss'!O285 &amp; " per pax" &amp; CHAR(10) &amp; "Max " &amp; 'Profit &amp; Loss'!I285*6 &amp; " pax," &amp; " (" &amp; 'Profit &amp; Loss'!I285 &amp; " courts)" &amp; CHAR(10) &amp; CHAR(10) &amp; "RSL Ultimate shuttles provided" &amp; CHAR(10) &amp; CHAR(10) &amp; "PM if interested, thank you!"," ")</f>
        <v xml:space="preserve"> </v>
      </c>
      <c r="B282" s="2" t="str">
        <f ca="1">IF('Profit &amp; Loss'!A285&gt;=TODAY(), "Date: " &amp; TEXT('Profit &amp; Loss'!A285,"dd mmm yyy") &amp; ", " &amp; 'Profit &amp; Loss'!B285 &amp; CHAR(10) &amp; "Time: " &amp; TEXT('Profit &amp; Loss'!C285, "hh:mm AM/PM") &amp; " - " &amp; TEXT('Profit &amp; Loss'!D285, "hh:mm AM/PM") &amp; CHAR(10) &amp; "Venue: " &amp; 'Profit &amp; Loss'!E285 &amp; CHAR(10) &amp; "Court No.: " &amp; 'Profit &amp; Loss'!F285 &amp; CHAR(10) &amp; "Level: HB - LI" &amp; CHAR(10) &amp; "Please transfer $" &amp; 'Profit &amp; Loss'!O285 &amp; " per pax to Belle (83396501)" &amp; CHAR(10) &amp; CHAR(10) &amp; IF('Profit &amp; Loss'!I285=1, "1." &amp; CHAR(10) &amp; "2." &amp; CHAR(10) &amp; "3." &amp; CHAR(10) &amp; "4." &amp; CHAR(10) &amp; "5." &amp; CHAR(10) &amp; "6." &amp; CHAR(10), IF('Profit &amp; Loss'!I285=2,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3" spans="1:2" ht="12.5" x14ac:dyDescent="0.25">
      <c r="A283" s="2" t="str">
        <f ca="1">IF('Profit &amp; Loss'!A286&gt;=TODAY(),"Looking for friendly players to join the following game: " &amp; CHAR(10) &amp; CHAR(10) &amp; "Date: " &amp; TEXT('Profit &amp; Loss'!A286,"dd mmm yyy") &amp; ", " &amp; 'Profit &amp; Loss'!B286 &amp; CHAR(10) &amp; "Time: " &amp; TEXT('Profit &amp; Loss'!C286, "hh:mm AM/PM") &amp; " - " &amp; TEXT('Profit &amp; Loss'!D286, "hh:mm AM/PM") &amp; CHAR(10) &amp; "Venue: " &amp; 'Profit &amp; Loss'!E286 &amp; CHAR(10) &amp; "Level: HB - LI" &amp; CHAR(10) &amp; "Cost: $" &amp; 'Profit &amp; Loss'!O286 &amp; " per pax" &amp; CHAR(10) &amp; "Max " &amp; 'Profit &amp; Loss'!I286*6 &amp; " pax," &amp; " (" &amp; 'Profit &amp; Loss'!I286 &amp; " courts)" &amp; CHAR(10) &amp; CHAR(10) &amp; "RSL Ultimate shuttles provided" &amp; CHAR(10) &amp; CHAR(10) &amp; "PM if interested, thank you!"," ")</f>
        <v xml:space="preserve"> </v>
      </c>
      <c r="B283" s="2" t="str">
        <f ca="1">IF('Profit &amp; Loss'!A286&gt;=TODAY(), "Date: " &amp; TEXT('Profit &amp; Loss'!A286,"dd mmm yyy") &amp; ", " &amp; 'Profit &amp; Loss'!B286 &amp; CHAR(10) &amp; "Time: " &amp; TEXT('Profit &amp; Loss'!C286, "hh:mm AM/PM") &amp; " - " &amp; TEXT('Profit &amp; Loss'!D286, "hh:mm AM/PM") &amp; CHAR(10) &amp; "Venue: " &amp; 'Profit &amp; Loss'!E286 &amp; CHAR(10) &amp; "Court No.: " &amp; 'Profit &amp; Loss'!F286 &amp; CHAR(10) &amp; "Level: HB - LI" &amp; CHAR(10) &amp; "Please transfer $" &amp; 'Profit &amp; Loss'!O286 &amp; " per pax to Belle (83396501)" &amp; CHAR(10) &amp; CHAR(10) &amp; IF('Profit &amp; Loss'!I286=1, "1." &amp; CHAR(10) &amp; "2." &amp; CHAR(10) &amp; "3." &amp; CHAR(10) &amp; "4." &amp; CHAR(10) &amp; "5." &amp; CHAR(10) &amp; "6." &amp; CHAR(10), IF('Profit &amp; Loss'!I286=2,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4" spans="1:2" ht="12.5" x14ac:dyDescent="0.25">
      <c r="A284" s="2" t="str">
        <f ca="1">IF('Profit &amp; Loss'!A287&gt;=TODAY(),"Looking for friendly players to join the following game: " &amp; CHAR(10) &amp; CHAR(10) &amp; "Date: " &amp; TEXT('Profit &amp; Loss'!A287,"dd mmm yyy") &amp; ", " &amp; 'Profit &amp; Loss'!B287 &amp; CHAR(10) &amp; "Time: " &amp; TEXT('Profit &amp; Loss'!C287, "hh:mm AM/PM") &amp; " - " &amp; TEXT('Profit &amp; Loss'!D287, "hh:mm AM/PM") &amp; CHAR(10) &amp; "Venue: " &amp; 'Profit &amp; Loss'!E287 &amp; CHAR(10) &amp; "Level: HB - LI" &amp; CHAR(10) &amp; "Cost: $" &amp; 'Profit &amp; Loss'!O287 &amp; " per pax" &amp; CHAR(10) &amp; "Max " &amp; 'Profit &amp; Loss'!I287*6 &amp; " pax," &amp; " (" &amp; 'Profit &amp; Loss'!I287 &amp; " courts)" &amp; CHAR(10) &amp; CHAR(10) &amp; "RSL Ultimate shuttles provided" &amp; CHAR(10) &amp; CHAR(10) &amp; "PM if interested, thank you!"," ")</f>
        <v xml:space="preserve"> </v>
      </c>
      <c r="B284" s="2" t="str">
        <f ca="1">IF('Profit &amp; Loss'!A287&gt;=TODAY(), "Date: " &amp; TEXT('Profit &amp; Loss'!A287,"dd mmm yyy") &amp; ", " &amp; 'Profit &amp; Loss'!B287 &amp; CHAR(10) &amp; "Time: " &amp; TEXT('Profit &amp; Loss'!C287, "hh:mm AM/PM") &amp; " - " &amp; TEXT('Profit &amp; Loss'!D287, "hh:mm AM/PM") &amp; CHAR(10) &amp; "Venue: " &amp; 'Profit &amp; Loss'!E287 &amp; CHAR(10) &amp; "Court No.: " &amp; 'Profit &amp; Loss'!F287 &amp; CHAR(10) &amp; "Level: HB - LI" &amp; CHAR(10) &amp; "Please transfer $" &amp; 'Profit &amp; Loss'!O287 &amp; " per pax to Belle (83396501)" &amp; CHAR(10) &amp; CHAR(10) &amp; IF('Profit &amp; Loss'!I287=1, "1." &amp; CHAR(10) &amp; "2." &amp; CHAR(10) &amp; "3." &amp; CHAR(10) &amp; "4." &amp; CHAR(10) &amp; "5." &amp; CHAR(10) &amp; "6." &amp; CHAR(10), IF('Profit &amp; Loss'!I287=2,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5" spans="1:2" ht="12.5" x14ac:dyDescent="0.25">
      <c r="A285" s="2" t="str">
        <f ca="1">IF('Profit &amp; Loss'!A288&gt;=TODAY(),"Looking for friendly players to join the following game: " &amp; CHAR(10) &amp; CHAR(10) &amp; "Date: " &amp; TEXT('Profit &amp; Loss'!A288,"dd mmm yyy") &amp; ", " &amp; 'Profit &amp; Loss'!B288 &amp; CHAR(10) &amp; "Time: " &amp; TEXT('Profit &amp; Loss'!C288, "hh:mm AM/PM") &amp; " - " &amp; TEXT('Profit &amp; Loss'!D288, "hh:mm AM/PM") &amp; CHAR(10) &amp; "Venue: " &amp; 'Profit &amp; Loss'!E288 &amp; CHAR(10) &amp; "Level: HB - LI" &amp; CHAR(10) &amp; "Cost: $" &amp; 'Profit &amp; Loss'!O288 &amp; " per pax" &amp; CHAR(10) &amp; "Max " &amp; 'Profit &amp; Loss'!I288*6 &amp; " pax," &amp; " (" &amp; 'Profit &amp; Loss'!I288 &amp; " courts)" &amp; CHAR(10) &amp; CHAR(10) &amp; "RSL Ultimate shuttles provided" &amp; CHAR(10) &amp; CHAR(10) &amp; "PM if interested, thank you!"," ")</f>
        <v xml:space="preserve"> </v>
      </c>
      <c r="B285" s="2" t="str">
        <f ca="1">IF('Profit &amp; Loss'!A288&gt;=TODAY(), "Date: " &amp; TEXT('Profit &amp; Loss'!A288,"dd mmm yyy") &amp; ", " &amp; 'Profit &amp; Loss'!B288 &amp; CHAR(10) &amp; "Time: " &amp; TEXT('Profit &amp; Loss'!C288, "hh:mm AM/PM") &amp; " - " &amp; TEXT('Profit &amp; Loss'!D288, "hh:mm AM/PM") &amp; CHAR(10) &amp; "Venue: " &amp; 'Profit &amp; Loss'!E288 &amp; CHAR(10) &amp; "Court No.: " &amp; 'Profit &amp; Loss'!F288 &amp; CHAR(10) &amp; "Level: HB - LI" &amp; CHAR(10) &amp; "Please transfer $" &amp; 'Profit &amp; Loss'!O288 &amp; " per pax to Belle (83396501)" &amp; CHAR(10) &amp; CHAR(10) &amp; IF('Profit &amp; Loss'!I288=1, "1." &amp; CHAR(10) &amp; "2." &amp; CHAR(10) &amp; "3." &amp; CHAR(10) &amp; "4." &amp; CHAR(10) &amp; "5." &amp; CHAR(10) &amp; "6." &amp; CHAR(10), IF('Profit &amp; Loss'!I288=2,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6" spans="1:2" ht="12.5" x14ac:dyDescent="0.25">
      <c r="A286" s="2" t="str">
        <f ca="1">IF('Profit &amp; Loss'!A289&gt;=TODAY(),"Looking for friendly players to join the following game: " &amp; CHAR(10) &amp; CHAR(10) &amp; "Date: " &amp; TEXT('Profit &amp; Loss'!A289,"dd mmm yyy") &amp; ", " &amp; 'Profit &amp; Loss'!B289 &amp; CHAR(10) &amp; "Time: " &amp; TEXT('Profit &amp; Loss'!C289, "hh:mm AM/PM") &amp; " - " &amp; TEXT('Profit &amp; Loss'!D289, "hh:mm AM/PM") &amp; CHAR(10) &amp; "Venue: " &amp; 'Profit &amp; Loss'!E289 &amp; CHAR(10) &amp; "Level: HB - LI" &amp; CHAR(10) &amp; "Cost: $" &amp; 'Profit &amp; Loss'!O289 &amp; " per pax" &amp; CHAR(10) &amp; "Max " &amp; 'Profit &amp; Loss'!I289*6 &amp; " pax," &amp; " (" &amp; 'Profit &amp; Loss'!I289 &amp; " courts)" &amp; CHAR(10) &amp; CHAR(10) &amp; "RSL Ultimate shuttles provided" &amp; CHAR(10) &amp; CHAR(10) &amp; "PM if interested, thank you!"," ")</f>
        <v xml:space="preserve"> </v>
      </c>
      <c r="B286" s="2" t="str">
        <f ca="1">IF('Profit &amp; Loss'!A289&gt;=TODAY(), "Date: " &amp; TEXT('Profit &amp; Loss'!A289,"dd mmm yyy") &amp; ", " &amp; 'Profit &amp; Loss'!B289 &amp; CHAR(10) &amp; "Time: " &amp; TEXT('Profit &amp; Loss'!C289, "hh:mm AM/PM") &amp; " - " &amp; TEXT('Profit &amp; Loss'!D289, "hh:mm AM/PM") &amp; CHAR(10) &amp; "Venue: " &amp; 'Profit &amp; Loss'!E289 &amp; CHAR(10) &amp; "Court No.: " &amp; 'Profit &amp; Loss'!F289 &amp; CHAR(10) &amp; "Level: HB - LI" &amp; CHAR(10) &amp; "Please transfer $" &amp; 'Profit &amp; Loss'!O289 &amp; " per pax to Belle (83396501)" &amp; CHAR(10) &amp; CHAR(10) &amp; IF('Profit &amp; Loss'!I289=1, "1." &amp; CHAR(10) &amp; "2." &amp; CHAR(10) &amp; "3." &amp; CHAR(10) &amp; "4." &amp; CHAR(10) &amp; "5." &amp; CHAR(10) &amp; "6." &amp; CHAR(10), IF('Profit &amp; Loss'!I289=2,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7" spans="1:2" ht="12.5" x14ac:dyDescent="0.25">
      <c r="A287" s="2" t="str">
        <f ca="1">IF('Profit &amp; Loss'!A290&gt;=TODAY(),"Looking for friendly players to join the following game: " &amp; CHAR(10) &amp; CHAR(10) &amp; "Date: " &amp; TEXT('Profit &amp; Loss'!A290,"dd mmm yyy") &amp; ", " &amp; 'Profit &amp; Loss'!B290 &amp; CHAR(10) &amp; "Time: " &amp; TEXT('Profit &amp; Loss'!C290, "hh:mm AM/PM") &amp; " - " &amp; TEXT('Profit &amp; Loss'!D290, "hh:mm AM/PM") &amp; CHAR(10) &amp; "Venue: " &amp; 'Profit &amp; Loss'!E290 &amp; CHAR(10) &amp; "Level: HB - LI" &amp; CHAR(10) &amp; "Cost: $" &amp; 'Profit &amp; Loss'!O290 &amp; " per pax" &amp; CHAR(10) &amp; "Max " &amp; 'Profit &amp; Loss'!I290*6 &amp; " pax," &amp; " (" &amp; 'Profit &amp; Loss'!I290 &amp; " courts)" &amp; CHAR(10) &amp; CHAR(10) &amp; "RSL Ultimate shuttles provided" &amp; CHAR(10) &amp; CHAR(10) &amp; "PM if interested, thank you!"," ")</f>
        <v xml:space="preserve"> </v>
      </c>
      <c r="B287" s="2" t="str">
        <f ca="1">IF('Profit &amp; Loss'!A290&gt;=TODAY(), "Date: " &amp; TEXT('Profit &amp; Loss'!A290,"dd mmm yyy") &amp; ", " &amp; 'Profit &amp; Loss'!B290 &amp; CHAR(10) &amp; "Time: " &amp; TEXT('Profit &amp; Loss'!C290, "hh:mm AM/PM") &amp; " - " &amp; TEXT('Profit &amp; Loss'!D290, "hh:mm AM/PM") &amp; CHAR(10) &amp; "Venue: " &amp; 'Profit &amp; Loss'!E290 &amp; CHAR(10) &amp; "Court No.: " &amp; 'Profit &amp; Loss'!F290 &amp; CHAR(10) &amp; "Level: HB - LI" &amp; CHAR(10) &amp; "Please transfer $" &amp; 'Profit &amp; Loss'!O290 &amp; " per pax to Belle (83396501)" &amp; CHAR(10) &amp; CHAR(10) &amp; IF('Profit &amp; Loss'!I290=1, "1." &amp; CHAR(10) &amp; "2." &amp; CHAR(10) &amp; "3." &amp; CHAR(10) &amp; "4." &amp; CHAR(10) &amp; "5." &amp; CHAR(10) &amp; "6." &amp; CHAR(10), IF('Profit &amp; Loss'!I290=2,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8" spans="1:2" ht="12.5" x14ac:dyDescent="0.25">
      <c r="A288" s="2" t="str">
        <f ca="1">IF('Profit &amp; Loss'!A291&gt;=TODAY(),"Looking for friendly players to join the following game: " &amp; CHAR(10) &amp; CHAR(10) &amp; "Date: " &amp; TEXT('Profit &amp; Loss'!A291,"dd mmm yyy") &amp; ", " &amp; 'Profit &amp; Loss'!B291 &amp; CHAR(10) &amp; "Time: " &amp; TEXT('Profit &amp; Loss'!C291, "hh:mm AM/PM") &amp; " - " &amp; TEXT('Profit &amp; Loss'!D291, "hh:mm AM/PM") &amp; CHAR(10) &amp; "Venue: " &amp; 'Profit &amp; Loss'!E291 &amp; CHAR(10) &amp; "Level: HB - LI" &amp; CHAR(10) &amp; "Cost: $" &amp; 'Profit &amp; Loss'!O291 &amp; " per pax" &amp; CHAR(10) &amp; "Max " &amp; 'Profit &amp; Loss'!I291*6 &amp; " pax," &amp; " (" &amp; 'Profit &amp; Loss'!I291 &amp; " courts)" &amp; CHAR(10) &amp; CHAR(10) &amp; "RSL Ultimate shuttles provided" &amp; CHAR(10) &amp; CHAR(10) &amp; "PM if interested, thank you!"," ")</f>
        <v xml:space="preserve"> </v>
      </c>
      <c r="B288" s="2" t="str">
        <f ca="1">IF('Profit &amp; Loss'!A291&gt;=TODAY(), "Date: " &amp; TEXT('Profit &amp; Loss'!A291,"dd mmm yyy") &amp; ", " &amp; 'Profit &amp; Loss'!B291 &amp; CHAR(10) &amp; "Time: " &amp; TEXT('Profit &amp; Loss'!C291, "hh:mm AM/PM") &amp; " - " &amp; TEXT('Profit &amp; Loss'!D291, "hh:mm AM/PM") &amp; CHAR(10) &amp; "Venue: " &amp; 'Profit &amp; Loss'!E291 &amp; CHAR(10) &amp; "Court No.: " &amp; 'Profit &amp; Loss'!F291 &amp; CHAR(10) &amp; "Level: HB - LI" &amp; CHAR(10) &amp; "Please transfer $" &amp; 'Profit &amp; Loss'!O291 &amp; " per pax to Belle (83396501)" &amp; CHAR(10) &amp; CHAR(10) &amp; IF('Profit &amp; Loss'!I291=1, "1." &amp; CHAR(10) &amp; "2." &amp; CHAR(10) &amp; "3." &amp; CHAR(10) &amp; "4." &amp; CHAR(10) &amp; "5." &amp; CHAR(10) &amp; "6." &amp; CHAR(10), IF('Profit &amp; Loss'!I291=2,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89" spans="1:2" ht="12.5" x14ac:dyDescent="0.25">
      <c r="A289" s="2" t="str">
        <f ca="1">IF('Profit &amp; Loss'!A292&gt;=TODAY(),"Looking for friendly players to join the following game: " &amp; CHAR(10) &amp; CHAR(10) &amp; "Date: " &amp; TEXT('Profit &amp; Loss'!A292,"dd mmm yyy") &amp; ", " &amp; 'Profit &amp; Loss'!B292 &amp; CHAR(10) &amp; "Time: " &amp; TEXT('Profit &amp; Loss'!C292, "hh:mm AM/PM") &amp; " - " &amp; TEXT('Profit &amp; Loss'!D292, "hh:mm AM/PM") &amp; CHAR(10) &amp; "Venue: " &amp; 'Profit &amp; Loss'!E292 &amp; CHAR(10) &amp; "Level: HB - LI" &amp; CHAR(10) &amp; "Cost: $" &amp; 'Profit &amp; Loss'!O292 &amp; " per pax" &amp; CHAR(10) &amp; "Max " &amp; 'Profit &amp; Loss'!I292*6 &amp; " pax," &amp; " (" &amp; 'Profit &amp; Loss'!I292 &amp; " courts)" &amp; CHAR(10) &amp; CHAR(10) &amp; "RSL Ultimate shuttles provided" &amp; CHAR(10) &amp; CHAR(10) &amp; "PM if interested, thank you!"," ")</f>
        <v xml:space="preserve"> </v>
      </c>
      <c r="B289" s="2" t="str">
        <f ca="1">IF('Profit &amp; Loss'!A292&gt;=TODAY(), "Date: " &amp; TEXT('Profit &amp; Loss'!A292,"dd mmm yyy") &amp; ", " &amp; 'Profit &amp; Loss'!B292 &amp; CHAR(10) &amp; "Time: " &amp; TEXT('Profit &amp; Loss'!C292, "hh:mm AM/PM") &amp; " - " &amp; TEXT('Profit &amp; Loss'!D292, "hh:mm AM/PM") &amp; CHAR(10) &amp; "Venue: " &amp; 'Profit &amp; Loss'!E292 &amp; CHAR(10) &amp; "Court No.: " &amp; 'Profit &amp; Loss'!F292 &amp; CHAR(10) &amp; "Level: HB - LI" &amp; CHAR(10) &amp; "Please transfer $" &amp; 'Profit &amp; Loss'!O292 &amp; " per pax to Belle (83396501)" &amp; CHAR(10) &amp; CHAR(10) &amp; IF('Profit &amp; Loss'!I292=1, "1." &amp; CHAR(10) &amp; "2." &amp; CHAR(10) &amp; "3." &amp; CHAR(10) &amp; "4." &amp; CHAR(10) &amp; "5." &amp; CHAR(10) &amp; "6." &amp; CHAR(10), IF('Profit &amp; Loss'!I292=2,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0" spans="1:2" ht="12.5" x14ac:dyDescent="0.25">
      <c r="A290" s="2" t="str">
        <f ca="1">IF('Profit &amp; Loss'!A293&gt;=TODAY(),"Looking for friendly players to join the following game: " &amp; CHAR(10) &amp; CHAR(10) &amp; "Date: " &amp; TEXT('Profit &amp; Loss'!A293,"dd mmm yyy") &amp; ", " &amp; 'Profit &amp; Loss'!B293 &amp; CHAR(10) &amp; "Time: " &amp; TEXT('Profit &amp; Loss'!C293, "hh:mm AM/PM") &amp; " - " &amp; TEXT('Profit &amp; Loss'!D293, "hh:mm AM/PM") &amp; CHAR(10) &amp; "Venue: " &amp; 'Profit &amp; Loss'!E293 &amp; CHAR(10) &amp; "Level: HB - LI" &amp; CHAR(10) &amp; "Cost: $" &amp; 'Profit &amp; Loss'!O293 &amp; " per pax" &amp; CHAR(10) &amp; "Max " &amp; 'Profit &amp; Loss'!I293*6 &amp; " pax," &amp; " (" &amp; 'Profit &amp; Loss'!I293 &amp; " courts)" &amp; CHAR(10) &amp; CHAR(10) &amp; "RSL Ultimate shuttles provided" &amp; CHAR(10) &amp; CHAR(10) &amp; "PM if interested, thank you!"," ")</f>
        <v xml:space="preserve"> </v>
      </c>
      <c r="B290" s="2" t="str">
        <f ca="1">IF('Profit &amp; Loss'!A293&gt;=TODAY(), "Date: " &amp; TEXT('Profit &amp; Loss'!A293,"dd mmm yyy") &amp; ", " &amp; 'Profit &amp; Loss'!B293 &amp; CHAR(10) &amp; "Time: " &amp; TEXT('Profit &amp; Loss'!C293, "hh:mm AM/PM") &amp; " - " &amp; TEXT('Profit &amp; Loss'!D293, "hh:mm AM/PM") &amp; CHAR(10) &amp; "Venue: " &amp; 'Profit &amp; Loss'!E293 &amp; CHAR(10) &amp; "Court No.: " &amp; 'Profit &amp; Loss'!F293 &amp; CHAR(10) &amp; "Level: HB - LI" &amp; CHAR(10) &amp; "Please transfer $" &amp; 'Profit &amp; Loss'!O293 &amp; " per pax to Belle (83396501)" &amp; CHAR(10) &amp; CHAR(10) &amp; IF('Profit &amp; Loss'!I293=1, "1." &amp; CHAR(10) &amp; "2." &amp; CHAR(10) &amp; "3." &amp; CHAR(10) &amp; "4." &amp; CHAR(10) &amp; "5." &amp; CHAR(10) &amp; "6." &amp; CHAR(10), IF('Profit &amp; Loss'!I293=2,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1" spans="1:2" ht="12.5" x14ac:dyDescent="0.25">
      <c r="A291" s="2" t="str">
        <f ca="1">IF('Profit &amp; Loss'!A294&gt;=TODAY(),"Looking for friendly players to join the following game: " &amp; CHAR(10) &amp; CHAR(10) &amp; "Date: " &amp; TEXT('Profit &amp; Loss'!A294,"dd mmm yyy") &amp; ", " &amp; 'Profit &amp; Loss'!B294 &amp; CHAR(10) &amp; "Time: " &amp; TEXT('Profit &amp; Loss'!C294, "hh:mm AM/PM") &amp; " - " &amp; TEXT('Profit &amp; Loss'!D294, "hh:mm AM/PM") &amp; CHAR(10) &amp; "Venue: " &amp; 'Profit &amp; Loss'!E294 &amp; CHAR(10) &amp; "Level: HB - LI" &amp; CHAR(10) &amp; "Cost: $" &amp; 'Profit &amp; Loss'!O294 &amp; " per pax" &amp; CHAR(10) &amp; "Max " &amp; 'Profit &amp; Loss'!I294*6 &amp; " pax," &amp; " (" &amp; 'Profit &amp; Loss'!I294 &amp; " courts)" &amp; CHAR(10) &amp; CHAR(10) &amp; "RSL Ultimate shuttles provided" &amp; CHAR(10) &amp; CHAR(10) &amp; "PM if interested, thank you!"," ")</f>
        <v xml:space="preserve"> </v>
      </c>
      <c r="B291" s="2" t="str">
        <f ca="1">IF('Profit &amp; Loss'!A294&gt;=TODAY(), "Date: " &amp; TEXT('Profit &amp; Loss'!A294,"dd mmm yyy") &amp; ", " &amp; 'Profit &amp; Loss'!B294 &amp; CHAR(10) &amp; "Time: " &amp; TEXT('Profit &amp; Loss'!C294, "hh:mm AM/PM") &amp; " - " &amp; TEXT('Profit &amp; Loss'!D294, "hh:mm AM/PM") &amp; CHAR(10) &amp; "Venue: " &amp; 'Profit &amp; Loss'!E294 &amp; CHAR(10) &amp; "Court No.: " &amp; 'Profit &amp; Loss'!F294 &amp; CHAR(10) &amp; "Level: HB - LI" &amp; CHAR(10) &amp; "Please transfer $" &amp; 'Profit &amp; Loss'!O294 &amp; " per pax to Belle (83396501)" &amp; CHAR(10) &amp; CHAR(10) &amp; IF('Profit &amp; Loss'!I294=1, "1." &amp; CHAR(10) &amp; "2." &amp; CHAR(10) &amp; "3." &amp; CHAR(10) &amp; "4." &amp; CHAR(10) &amp; "5." &amp; CHAR(10) &amp; "6." &amp; CHAR(10), IF('Profit &amp; Loss'!I294=2,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2" spans="1:2" ht="12.5" x14ac:dyDescent="0.25">
      <c r="A292" s="2" t="str">
        <f ca="1">IF('Profit &amp; Loss'!A295&gt;=TODAY(),"Looking for friendly players to join the following game: " &amp; CHAR(10) &amp; CHAR(10) &amp; "Date: " &amp; TEXT('Profit &amp; Loss'!A295,"dd mmm yyy") &amp; ", " &amp; 'Profit &amp; Loss'!B295 &amp; CHAR(10) &amp; "Time: " &amp; TEXT('Profit &amp; Loss'!C295, "hh:mm AM/PM") &amp; " - " &amp; TEXT('Profit &amp; Loss'!D295, "hh:mm AM/PM") &amp; CHAR(10) &amp; "Venue: " &amp; 'Profit &amp; Loss'!E295 &amp; CHAR(10) &amp; "Level: HB - LI" &amp; CHAR(10) &amp; "Cost: $" &amp; 'Profit &amp; Loss'!O295 &amp; " per pax" &amp; CHAR(10) &amp; "Max " &amp; 'Profit &amp; Loss'!I295*6 &amp; " pax," &amp; " (" &amp; 'Profit &amp; Loss'!I295 &amp; " courts)" &amp; CHAR(10) &amp; CHAR(10) &amp; "RSL Ultimate shuttles provided" &amp; CHAR(10) &amp; CHAR(10) &amp; "PM if interested, thank you!"," ")</f>
        <v xml:space="preserve"> </v>
      </c>
      <c r="B292" s="2" t="str">
        <f ca="1">IF('Profit &amp; Loss'!A295&gt;=TODAY(), "Date: " &amp; TEXT('Profit &amp; Loss'!A295,"dd mmm yyy") &amp; ", " &amp; 'Profit &amp; Loss'!B295 &amp; CHAR(10) &amp; "Time: " &amp; TEXT('Profit &amp; Loss'!C295, "hh:mm AM/PM") &amp; " - " &amp; TEXT('Profit &amp; Loss'!D295, "hh:mm AM/PM") &amp; CHAR(10) &amp; "Venue: " &amp; 'Profit &amp; Loss'!E295 &amp; CHAR(10) &amp; "Court No.: " &amp; 'Profit &amp; Loss'!F295 &amp; CHAR(10) &amp; "Level: HB - LI" &amp; CHAR(10) &amp; "Please transfer $" &amp; 'Profit &amp; Loss'!O295 &amp; " per pax to Belle (83396501)" &amp; CHAR(10) &amp; CHAR(10) &amp; IF('Profit &amp; Loss'!I295=1, "1." &amp; CHAR(10) &amp; "2." &amp; CHAR(10) &amp; "3." &amp; CHAR(10) &amp; "4." &amp; CHAR(10) &amp; "5." &amp; CHAR(10) &amp; "6." &amp; CHAR(10), IF('Profit &amp; Loss'!I295=2,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3" spans="1:2" ht="12.5" x14ac:dyDescent="0.25">
      <c r="A293" s="2" t="str">
        <f ca="1">IF('Profit &amp; Loss'!A296&gt;=TODAY(),"Looking for friendly players to join the following game: " &amp; CHAR(10) &amp; CHAR(10) &amp; "Date: " &amp; TEXT('Profit &amp; Loss'!A296,"dd mmm yyy") &amp; ", " &amp; 'Profit &amp; Loss'!B296 &amp; CHAR(10) &amp; "Time: " &amp; TEXT('Profit &amp; Loss'!C296, "hh:mm AM/PM") &amp; " - " &amp; TEXT('Profit &amp; Loss'!D296, "hh:mm AM/PM") &amp; CHAR(10) &amp; "Venue: " &amp; 'Profit &amp; Loss'!E296 &amp; CHAR(10) &amp; "Level: HB - LI" &amp; CHAR(10) &amp; "Cost: $" &amp; 'Profit &amp; Loss'!O296 &amp; " per pax" &amp; CHAR(10) &amp; "Max " &amp; 'Profit &amp; Loss'!I296*6 &amp; " pax," &amp; " (" &amp; 'Profit &amp; Loss'!I296 &amp; " courts)" &amp; CHAR(10) &amp; CHAR(10) &amp; "RSL Ultimate shuttles provided" &amp; CHAR(10) &amp; CHAR(10) &amp; "PM if interested, thank you!"," ")</f>
        <v xml:space="preserve"> </v>
      </c>
      <c r="B293" s="2" t="str">
        <f ca="1">IF('Profit &amp; Loss'!A296&gt;=TODAY(), "Date: " &amp; TEXT('Profit &amp; Loss'!A296,"dd mmm yyy") &amp; ", " &amp; 'Profit &amp; Loss'!B296 &amp; CHAR(10) &amp; "Time: " &amp; TEXT('Profit &amp; Loss'!C296, "hh:mm AM/PM") &amp; " - " &amp; TEXT('Profit &amp; Loss'!D296, "hh:mm AM/PM") &amp; CHAR(10) &amp; "Venue: " &amp; 'Profit &amp; Loss'!E296 &amp; CHAR(10) &amp; "Court No.: " &amp; 'Profit &amp; Loss'!F296 &amp; CHAR(10) &amp; "Level: HB - LI" &amp; CHAR(10) &amp; "Please transfer $" &amp; 'Profit &amp; Loss'!O296 &amp; " per pax to Belle (83396501)" &amp; CHAR(10) &amp; CHAR(10) &amp; IF('Profit &amp; Loss'!I296=1, "1." &amp; CHAR(10) &amp; "2." &amp; CHAR(10) &amp; "3." &amp; CHAR(10) &amp; "4." &amp; CHAR(10) &amp; "5." &amp; CHAR(10) &amp; "6." &amp; CHAR(10), IF('Profit &amp; Loss'!I296=2,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4" spans="1:2" ht="12.5" x14ac:dyDescent="0.25">
      <c r="A294" s="2" t="str">
        <f ca="1">IF('Profit &amp; Loss'!A297&gt;=TODAY(),"Looking for friendly players to join the following game: " &amp; CHAR(10) &amp; CHAR(10) &amp; "Date: " &amp; TEXT('Profit &amp; Loss'!A297,"dd mmm yyy") &amp; ", " &amp; 'Profit &amp; Loss'!B297 &amp; CHAR(10) &amp; "Time: " &amp; TEXT('Profit &amp; Loss'!C297, "hh:mm AM/PM") &amp; " - " &amp; TEXT('Profit &amp; Loss'!D297, "hh:mm AM/PM") &amp; CHAR(10) &amp; "Venue: " &amp; 'Profit &amp; Loss'!E297 &amp; CHAR(10) &amp; "Level: HB - LI" &amp; CHAR(10) &amp; "Cost: $" &amp; 'Profit &amp; Loss'!O297 &amp; " per pax" &amp; CHAR(10) &amp; "Max " &amp; 'Profit &amp; Loss'!I297*6 &amp; " pax," &amp; " (" &amp; 'Profit &amp; Loss'!I297 &amp; " courts)" &amp; CHAR(10) &amp; CHAR(10) &amp; "RSL Ultimate shuttles provided" &amp; CHAR(10) &amp; CHAR(10) &amp; "PM if interested, thank you!"," ")</f>
        <v xml:space="preserve"> </v>
      </c>
      <c r="B294" s="2" t="str">
        <f ca="1">IF('Profit &amp; Loss'!A297&gt;=TODAY(), "Date: " &amp; TEXT('Profit &amp; Loss'!A297,"dd mmm yyy") &amp; ", " &amp; 'Profit &amp; Loss'!B297 &amp; CHAR(10) &amp; "Time: " &amp; TEXT('Profit &amp; Loss'!C297, "hh:mm AM/PM") &amp; " - " &amp; TEXT('Profit &amp; Loss'!D297, "hh:mm AM/PM") &amp; CHAR(10) &amp; "Venue: " &amp; 'Profit &amp; Loss'!E297 &amp; CHAR(10) &amp; "Court No.: " &amp; 'Profit &amp; Loss'!F297 &amp; CHAR(10) &amp; "Level: HB - LI" &amp; CHAR(10) &amp; "Please transfer $" &amp; 'Profit &amp; Loss'!O297 &amp; " per pax to Belle (83396501)" &amp; CHAR(10) &amp; CHAR(10) &amp; IF('Profit &amp; Loss'!I297=1, "1." &amp; CHAR(10) &amp; "2." &amp; CHAR(10) &amp; "3." &amp; CHAR(10) &amp; "4." &amp; CHAR(10) &amp; "5." &amp; CHAR(10) &amp; "6." &amp; CHAR(10), IF('Profit &amp; Loss'!I297=2,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5" spans="1:2" ht="12.5" x14ac:dyDescent="0.25">
      <c r="A295" s="2" t="str">
        <f ca="1">IF('Profit &amp; Loss'!A298&gt;=TODAY(),"Looking for friendly players to join the following game: " &amp; CHAR(10) &amp; CHAR(10) &amp; "Date: " &amp; TEXT('Profit &amp; Loss'!A298,"dd mmm yyy") &amp; ", " &amp; 'Profit &amp; Loss'!B298 &amp; CHAR(10) &amp; "Time: " &amp; TEXT('Profit &amp; Loss'!C298, "hh:mm AM/PM") &amp; " - " &amp; TEXT('Profit &amp; Loss'!D298, "hh:mm AM/PM") &amp; CHAR(10) &amp; "Venue: " &amp; 'Profit &amp; Loss'!E298 &amp; CHAR(10) &amp; "Level: HB - LI" &amp; CHAR(10) &amp; "Cost: $" &amp; 'Profit &amp; Loss'!O298 &amp; " per pax" &amp; CHAR(10) &amp; "Max " &amp; 'Profit &amp; Loss'!I298*6 &amp; " pax," &amp; " (" &amp; 'Profit &amp; Loss'!I298 &amp; " courts)" &amp; CHAR(10) &amp; CHAR(10) &amp; "RSL Ultimate shuttles provided" &amp; CHAR(10) &amp; CHAR(10) &amp; "PM if interested, thank you!"," ")</f>
        <v xml:space="preserve"> </v>
      </c>
      <c r="B295" s="2" t="str">
        <f ca="1">IF('Profit &amp; Loss'!A298&gt;=TODAY(), "Date: " &amp; TEXT('Profit &amp; Loss'!A298,"dd mmm yyy") &amp; ", " &amp; 'Profit &amp; Loss'!B298 &amp; CHAR(10) &amp; "Time: " &amp; TEXT('Profit &amp; Loss'!C298, "hh:mm AM/PM") &amp; " - " &amp; TEXT('Profit &amp; Loss'!D298, "hh:mm AM/PM") &amp; CHAR(10) &amp; "Venue: " &amp; 'Profit &amp; Loss'!E298 &amp; CHAR(10) &amp; "Court No.: " &amp; 'Profit &amp; Loss'!F298 &amp; CHAR(10) &amp; "Level: HB - LI" &amp; CHAR(10) &amp; "Please transfer $" &amp; 'Profit &amp; Loss'!O298 &amp; " per pax to Belle (83396501)" &amp; CHAR(10) &amp; CHAR(10) &amp; IF('Profit &amp; Loss'!I298=1, "1." &amp; CHAR(10) &amp; "2." &amp; CHAR(10) &amp; "3." &amp; CHAR(10) &amp; "4." &amp; CHAR(10) &amp; "5." &amp; CHAR(10) &amp; "6." &amp; CHAR(10), IF('Profit &amp; Loss'!I298=2,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6" spans="1:2" ht="12.5" x14ac:dyDescent="0.25">
      <c r="A296" s="2" t="str">
        <f ca="1">IF('Profit &amp; Loss'!A299&gt;=TODAY(),"Looking for friendly players to join the following game: " &amp; CHAR(10) &amp; CHAR(10) &amp; "Date: " &amp; TEXT('Profit &amp; Loss'!A299,"dd mmm yyy") &amp; ", " &amp; 'Profit &amp; Loss'!B299 &amp; CHAR(10) &amp; "Time: " &amp; TEXT('Profit &amp; Loss'!C299, "hh:mm AM/PM") &amp; " - " &amp; TEXT('Profit &amp; Loss'!D299, "hh:mm AM/PM") &amp; CHAR(10) &amp; "Venue: " &amp; 'Profit &amp; Loss'!E299 &amp; CHAR(10) &amp; "Level: HB - LI" &amp; CHAR(10) &amp; "Cost: $" &amp; 'Profit &amp; Loss'!O299 &amp; " per pax" &amp; CHAR(10) &amp; "Max " &amp; 'Profit &amp; Loss'!I299*6 &amp; " pax," &amp; " (" &amp; 'Profit &amp; Loss'!I299 &amp; " courts)" &amp; CHAR(10) &amp; CHAR(10) &amp; "RSL Ultimate shuttles provided" &amp; CHAR(10) &amp; CHAR(10) &amp; "PM if interested, thank you!"," ")</f>
        <v xml:space="preserve"> </v>
      </c>
      <c r="B296" s="2" t="str">
        <f ca="1">IF('Profit &amp; Loss'!A299&gt;=TODAY(), "Date: " &amp; TEXT('Profit &amp; Loss'!A299,"dd mmm yyy") &amp; ", " &amp; 'Profit &amp; Loss'!B299 &amp; CHAR(10) &amp; "Time: " &amp; TEXT('Profit &amp; Loss'!C299, "hh:mm AM/PM") &amp; " - " &amp; TEXT('Profit &amp; Loss'!D299, "hh:mm AM/PM") &amp; CHAR(10) &amp; "Venue: " &amp; 'Profit &amp; Loss'!E299 &amp; CHAR(10) &amp; "Court No.: " &amp; 'Profit &amp; Loss'!F299 &amp; CHAR(10) &amp; "Level: HB - LI" &amp; CHAR(10) &amp; "Please transfer $" &amp; 'Profit &amp; Loss'!O299 &amp; " per pax to Belle (83396501)" &amp; CHAR(10) &amp; CHAR(10) &amp; IF('Profit &amp; Loss'!I299=1, "1." &amp; CHAR(10) &amp; "2." &amp; CHAR(10) &amp; "3." &amp; CHAR(10) &amp; "4." &amp; CHAR(10) &amp; "5." &amp; CHAR(10) &amp; "6." &amp; CHAR(10), IF('Profit &amp; Loss'!I299=2,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Loss'!I299=3,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7" spans="1:2" ht="12.5" x14ac:dyDescent="0.25">
      <c r="A297" s="2" t="str">
        <f ca="1">IF('Profit &amp; Loss'!A300&gt;=TODAY(),"Looking for friendly players to join the following game: " &amp; CHAR(10) &amp; CHAR(10) &amp; "Date: " &amp; TEXT('Profit &amp; Loss'!A300,"dd mmm yyy") &amp; ", " &amp; 'Profit &amp; Loss'!B300 &amp; CHAR(10) &amp; "Time: " &amp; TEXT('Profit &amp; Loss'!C300, "hh:mm AM/PM") &amp; " - " &amp; TEXT('Profit &amp; Loss'!D300, "hh:mm AM/PM") &amp; CHAR(10) &amp; "Venue: " &amp; 'Profit &amp; Loss'!E300 &amp; CHAR(10) &amp; "Level: HB - LI" &amp; CHAR(10) &amp; "Cost: $" &amp; 'Profit &amp; Loss'!O300 &amp; " per pax" &amp; CHAR(10) &amp; "Max " &amp; 'Profit &amp; Loss'!I300*6 &amp; " pax," &amp; " (" &amp; 'Profit &amp; Loss'!I300 &amp; " courts)" &amp; CHAR(10) &amp; CHAR(10) &amp; "RSL Ultimate shuttles provided" &amp; CHAR(10) &amp; CHAR(10) &amp; "PM if interested, thank you!"," ")</f>
        <v xml:space="preserve"> </v>
      </c>
      <c r="B297" s="2" t="str">
        <f ca="1">IF('Profit &amp; Loss'!A300&gt;=TODAY(), "Date: " &amp; TEXT('Profit &amp; Loss'!A300,"dd mmm yyy") &amp; ", " &amp; 'Profit &amp; Loss'!B300 &amp; CHAR(10) &amp; "Time: " &amp; TEXT('Profit &amp; Loss'!C300, "hh:mm AM/PM") &amp; " - " &amp; TEXT('Profit &amp; Loss'!D300, "hh:mm AM/PM") &amp; CHAR(10) &amp; "Venue: " &amp; 'Profit &amp; Loss'!E300 &amp; CHAR(10) &amp; "Court No.: " &amp; 'Profit &amp; Loss'!F300 &amp; CHAR(10) &amp; "Level: HB - LI" &amp; CHAR(10) &amp; "Please transfer $" &amp; 'Profit &amp; Loss'!O300 &amp; " per pax to Belle (83396501)" &amp; CHAR(10) &amp; CHAR(10) &amp; IF('Profit &amp; Loss'!I300=1, "1." &amp; CHAR(10) &amp; "2." &amp; CHAR(10) &amp; "3." &amp; CHAR(10) &amp; "4." &amp; CHAR(10) &amp; "5." &amp; CHAR(10) &amp; "6." &amp; CHAR(10), IF('Profit &amp; Loss'!I300=2,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8" spans="1:2" ht="12.5" x14ac:dyDescent="0.25">
      <c r="A298" s="2" t="str">
        <f ca="1">IF('Profit &amp; Loss'!A301&gt;=TODAY(),"Looking for friendly players to join the following game: " &amp; CHAR(10) &amp; CHAR(10) &amp; "Date: " &amp; TEXT('Profit &amp; Loss'!A301,"dd mmm yyy") &amp; ", " &amp; 'Profit &amp; Loss'!B301 &amp; CHAR(10) &amp; "Time: " &amp; TEXT('Profit &amp; Loss'!C301, "hh:mm AM/PM") &amp; " - " &amp; TEXT('Profit &amp; Loss'!D301, "hh:mm AM/PM") &amp; CHAR(10) &amp; "Venue: " &amp; 'Profit &amp; Loss'!E301 &amp; CHAR(10) &amp; "Level: HB - LI" &amp; CHAR(10) &amp; "Cost: $" &amp; 'Profit &amp; Loss'!O301 &amp; " per pax" &amp; CHAR(10) &amp; "Max " &amp; 'Profit &amp; Loss'!I301*6 &amp; " pax," &amp; " (" &amp; 'Profit &amp; Loss'!I301 &amp; " courts)" &amp; CHAR(10) &amp; CHAR(10) &amp; "RSL Ultimate shuttles provided" &amp; CHAR(10) &amp; CHAR(10) &amp; "PM if interested, thank you!"," ")</f>
        <v xml:space="preserve"> </v>
      </c>
      <c r="B298" s="2" t="str">
        <f ca="1">IF('Profit &amp; Loss'!A301&gt;=TODAY(), "Date: " &amp; TEXT('Profit &amp; Loss'!A301,"dd mmm yyy") &amp; ", " &amp; 'Profit &amp; Loss'!B301 &amp; CHAR(10) &amp; "Time: " &amp; TEXT('Profit &amp; Loss'!C301, "hh:mm AM/PM") &amp; " - " &amp; TEXT('Profit &amp; Loss'!D301, "hh:mm AM/PM") &amp; CHAR(10) &amp; "Venue: " &amp; 'Profit &amp; Loss'!E301 &amp; CHAR(10) &amp; "Court No.: " &amp; 'Profit &amp; Loss'!F301 &amp; CHAR(10) &amp; "Level: HB - LI" &amp; CHAR(10) &amp; "Please transfer $" &amp; 'Profit &amp; Loss'!O301 &amp; " per pax to Belle (83396501)" &amp; CHAR(10) &amp; CHAR(10) &amp; IF('Profit &amp; Loss'!I301=1, "1." &amp; CHAR(10) &amp; "2." &amp; CHAR(10) &amp; "3." &amp; CHAR(10) &amp; "4." &amp; CHAR(10) &amp; "5." &amp; CHAR(10) &amp; "6." &amp; CHAR(10), IF('Profit &amp; Loss'!I301=2,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299" spans="1:2" ht="12.5" x14ac:dyDescent="0.25">
      <c r="A299" s="2" t="str">
        <f ca="1">IF('Profit &amp; Loss'!A302&gt;=TODAY(),"Looking for friendly players to join the following game: " &amp; CHAR(10) &amp; CHAR(10) &amp; "Date: " &amp; TEXT('Profit &amp; Loss'!A302,"dd mmm yyy") &amp; ", " &amp; 'Profit &amp; Loss'!B302 &amp; CHAR(10) &amp; "Time: " &amp; TEXT('Profit &amp; Loss'!C302, "hh:mm AM/PM") &amp; " - " &amp; TEXT('Profit &amp; Loss'!D302, "hh:mm AM/PM") &amp; CHAR(10) &amp; "Venue: " &amp; 'Profit &amp; Loss'!E302 &amp; CHAR(10) &amp; "Level: HB - LI" &amp; CHAR(10) &amp; "Cost: $" &amp; 'Profit &amp; Loss'!O302 &amp; " per pax" &amp; CHAR(10) &amp; "Max " &amp; 'Profit &amp; Loss'!I302*6 &amp; " pax," &amp; " (" &amp; 'Profit &amp; Loss'!I302 &amp; " courts)" &amp; CHAR(10) &amp; CHAR(10) &amp; "RSL Ultimate shuttles provided" &amp; CHAR(10) &amp; CHAR(10) &amp; "PM if interested, thank you!"," ")</f>
        <v xml:space="preserve"> </v>
      </c>
      <c r="B299" s="2" t="str">
        <f ca="1">IF('Profit &amp; Loss'!A302&gt;=TODAY(), "Date: " &amp; TEXT('Profit &amp; Loss'!A302,"dd mmm yyy") &amp; ", " &amp; 'Profit &amp; Loss'!B302 &amp; CHAR(10) &amp; "Time: " &amp; TEXT('Profit &amp; Loss'!C302, "hh:mm AM/PM") &amp; " - " &amp; TEXT('Profit &amp; Loss'!D302, "hh:mm AM/PM") &amp; CHAR(10) &amp; "Venue: " &amp; 'Profit &amp; Loss'!E302 &amp; CHAR(10) &amp; "Court No.: " &amp; 'Profit &amp; Loss'!F302 &amp; CHAR(10) &amp; "Level: HB - LI" &amp; CHAR(10) &amp; "Please transfer $" &amp; 'Profit &amp; Loss'!O302 &amp; " per pax to Belle (83396501)" &amp; CHAR(10) &amp; CHAR(10) &amp; IF('Profit &amp; Loss'!I302=1, "1." &amp; CHAR(10) &amp; "2." &amp; CHAR(10) &amp; "3." &amp; CHAR(10) &amp; "4." &amp; CHAR(10) &amp; "5." &amp; CHAR(10) &amp; "6." &amp; CHAR(10), IF('Profit &amp; Loss'!I302=2,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0" spans="1:2" ht="12.5" x14ac:dyDescent="0.25">
      <c r="A300" s="2" t="str">
        <f ca="1">IF('Profit &amp; Loss'!A303&gt;=TODAY(),"Looking for friendly players to join the following game: " &amp; CHAR(10) &amp; CHAR(10) &amp; "Date: " &amp; TEXT('Profit &amp; Loss'!A303,"dd mmm yyy") &amp; ", " &amp; 'Profit &amp; Loss'!B303 &amp; CHAR(10) &amp; "Time: " &amp; TEXT('Profit &amp; Loss'!C303, "hh:mm AM/PM") &amp; " - " &amp; TEXT('Profit &amp; Loss'!D303, "hh:mm AM/PM") &amp; CHAR(10) &amp; "Venue: " &amp; 'Profit &amp; Loss'!E303 &amp; CHAR(10) &amp; "Level: HB - LI" &amp; CHAR(10) &amp; "Cost: $" &amp; 'Profit &amp; Loss'!O303 &amp; " per pax" &amp; CHAR(10) &amp; "Max " &amp; 'Profit &amp; Loss'!I303*6 &amp; " pax," &amp; " (" &amp; 'Profit &amp; Loss'!I303 &amp; " courts)" &amp; CHAR(10) &amp; CHAR(10) &amp; "RSL Ultimate shuttles provided" &amp; CHAR(10) &amp; CHAR(10) &amp; "PM if interested, thank you!"," ")</f>
        <v xml:space="preserve"> </v>
      </c>
      <c r="B300" s="2" t="str">
        <f ca="1">IF('Profit &amp; Loss'!A303&gt;=TODAY(), "Date: " &amp; TEXT('Profit &amp; Loss'!A303,"dd mmm yyy") &amp; ", " &amp; 'Profit &amp; Loss'!B303 &amp; CHAR(10) &amp; "Time: " &amp; TEXT('Profit &amp; Loss'!C303, "hh:mm AM/PM") &amp; " - " &amp; TEXT('Profit &amp; Loss'!D303, "hh:mm AM/PM") &amp; CHAR(10) &amp; "Venue: " &amp; 'Profit &amp; Loss'!E303 &amp; CHAR(10) &amp; "Court No.: " &amp; 'Profit &amp; Loss'!F303 &amp; CHAR(10) &amp; "Level: HB - LI" &amp; CHAR(10) &amp; "Please transfer $" &amp; 'Profit &amp; Loss'!O303 &amp; " per pax to Belle (83396501)" &amp; CHAR(10) &amp; CHAR(10) &amp; IF('Profit &amp; Loss'!I303=1, "1." &amp; CHAR(10) &amp; "2." &amp; CHAR(10) &amp; "3." &amp; CHAR(10) &amp; "4." &amp; CHAR(10) &amp; "5." &amp; CHAR(10) &amp; "6." &amp; CHAR(10), IF('Profit &amp; Loss'!I303=2,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1" spans="1:2" ht="12.5" x14ac:dyDescent="0.25">
      <c r="A301" s="2" t="str">
        <f ca="1">IF('Profit &amp; Loss'!A304&gt;=TODAY(),"Looking for friendly players to join the following game: " &amp; CHAR(10) &amp; CHAR(10) &amp; "Date: " &amp; TEXT('Profit &amp; Loss'!A304,"dd mmm yyy") &amp; ", " &amp; 'Profit &amp; Loss'!B304 &amp; CHAR(10) &amp; "Time: " &amp; TEXT('Profit &amp; Loss'!C304, "hh:mm AM/PM") &amp; " - " &amp; TEXT('Profit &amp; Loss'!D304, "hh:mm AM/PM") &amp; CHAR(10) &amp; "Venue: " &amp; 'Profit &amp; Loss'!E304 &amp; CHAR(10) &amp; "Level: HB - LI" &amp; CHAR(10) &amp; "Cost: $" &amp; 'Profit &amp; Loss'!O304 &amp; " per pax" &amp; CHAR(10) &amp; "Max " &amp; 'Profit &amp; Loss'!I304*6 &amp; " pax," &amp; " (" &amp; 'Profit &amp; Loss'!I304 &amp; " courts)" &amp; CHAR(10) &amp; CHAR(10) &amp; "RSL Ultimate shuttles provided" &amp; CHAR(10) &amp; CHAR(10) &amp; "PM if interested, thank you!"," ")</f>
        <v xml:space="preserve"> </v>
      </c>
      <c r="B301" s="2" t="str">
        <f ca="1">IF('Profit &amp; Loss'!A304&gt;=TODAY(), "Date: " &amp; TEXT('Profit &amp; Loss'!A304,"dd mmm yyy") &amp; ", " &amp; 'Profit &amp; Loss'!B304 &amp; CHAR(10) &amp; "Time: " &amp; TEXT('Profit &amp; Loss'!C304, "hh:mm AM/PM") &amp; " - " &amp; TEXT('Profit &amp; Loss'!D304, "hh:mm AM/PM") &amp; CHAR(10) &amp; "Venue: " &amp; 'Profit &amp; Loss'!E304 &amp; CHAR(10) &amp; "Court No.: " &amp; 'Profit &amp; Loss'!F304 &amp; CHAR(10) &amp; "Level: HB - LI" &amp; CHAR(10) &amp; "Please transfer $" &amp; 'Profit &amp; Loss'!O304 &amp; " per pax to Belle (83396501)" &amp; CHAR(10) &amp; CHAR(10) &amp; IF('Profit &amp; Loss'!I304=1, "1." &amp; CHAR(10) &amp; "2." &amp; CHAR(10) &amp; "3." &amp; CHAR(10) &amp; "4." &amp; CHAR(10) &amp; "5." &amp; CHAR(10) &amp; "6." &amp; CHAR(10), IF('Profit &amp; Loss'!I304=2,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2" spans="1:2" ht="12.5" x14ac:dyDescent="0.25">
      <c r="A302" s="2" t="str">
        <f ca="1">IF('Profit &amp; Loss'!A305&gt;=TODAY(),"Looking for friendly players to join the following game: " &amp; CHAR(10) &amp; CHAR(10) &amp; "Date: " &amp; TEXT('Profit &amp; Loss'!A305,"dd mmm yyy") &amp; ", " &amp; 'Profit &amp; Loss'!B305 &amp; CHAR(10) &amp; "Time: " &amp; TEXT('Profit &amp; Loss'!C305, "hh:mm AM/PM") &amp; " - " &amp; TEXT('Profit &amp; Loss'!D305, "hh:mm AM/PM") &amp; CHAR(10) &amp; "Venue: " &amp; 'Profit &amp; Loss'!E305 &amp; CHAR(10) &amp; "Level: HB - LI" &amp; CHAR(10) &amp; "Cost: $" &amp; 'Profit &amp; Loss'!O305 &amp; " per pax" &amp; CHAR(10) &amp; "Max " &amp; 'Profit &amp; Loss'!I305*6 &amp; " pax," &amp; " (" &amp; 'Profit &amp; Loss'!I305 &amp; " courts)" &amp; CHAR(10) &amp; CHAR(10) &amp; "RSL Ultimate shuttles provided" &amp; CHAR(10) &amp; CHAR(10) &amp; "PM if interested, thank you!"," ")</f>
        <v xml:space="preserve"> </v>
      </c>
      <c r="B302" s="2" t="str">
        <f ca="1">IF('Profit &amp; Loss'!A305&gt;=TODAY(), "Date: " &amp; TEXT('Profit &amp; Loss'!A305,"dd mmm yyy") &amp; ", " &amp; 'Profit &amp; Loss'!B305 &amp; CHAR(10) &amp; "Time: " &amp; TEXT('Profit &amp; Loss'!C305, "hh:mm AM/PM") &amp; " - " &amp; TEXT('Profit &amp; Loss'!D305, "hh:mm AM/PM") &amp; CHAR(10) &amp; "Venue: " &amp; 'Profit &amp; Loss'!E305 &amp; CHAR(10) &amp; "Court No.: " &amp; 'Profit &amp; Loss'!F305 &amp; CHAR(10) &amp; "Level: HB - LI" &amp; CHAR(10) &amp; "Please transfer $" &amp; 'Profit &amp; Loss'!O305 &amp; " per pax to Belle (83396501)" &amp; CHAR(10) &amp; CHAR(10) &amp; IF('Profit &amp; Loss'!I305=1, "1." &amp; CHAR(10) &amp; "2." &amp; CHAR(10) &amp; "3." &amp; CHAR(10) &amp; "4." &amp; CHAR(10) &amp; "5." &amp; CHAR(10) &amp; "6." &amp; CHAR(10), IF('Profit &amp; Loss'!I305=2,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3" spans="1:2" ht="12.5" x14ac:dyDescent="0.25">
      <c r="A303" s="2" t="str">
        <f ca="1">IF('Profit &amp; Loss'!A306&gt;=TODAY(),"Looking for friendly players to join the following game: " &amp; CHAR(10) &amp; CHAR(10) &amp; "Date: " &amp; TEXT('Profit &amp; Loss'!A306,"dd mmm yyy") &amp; ", " &amp; 'Profit &amp; Loss'!B306 &amp; CHAR(10) &amp; "Time: " &amp; TEXT('Profit &amp; Loss'!C306, "hh:mm AM/PM") &amp; " - " &amp; TEXT('Profit &amp; Loss'!D306, "hh:mm AM/PM") &amp; CHAR(10) &amp; "Venue: " &amp; 'Profit &amp; Loss'!E306 &amp; CHAR(10) &amp; "Level: HB - LI" &amp; CHAR(10) &amp; "Cost: $" &amp; 'Profit &amp; Loss'!O306 &amp; " per pax" &amp; CHAR(10) &amp; "Max " &amp; 'Profit &amp; Loss'!I306*6 &amp; " pax," &amp; " (" &amp; 'Profit &amp; Loss'!I306 &amp; " courts)" &amp; CHAR(10) &amp; CHAR(10) &amp; "RSL Ultimate shuttles provided" &amp; CHAR(10) &amp; CHAR(10) &amp; "PM if interested, thank you!"," ")</f>
        <v xml:space="preserve"> </v>
      </c>
      <c r="B303" s="2" t="str">
        <f ca="1">IF('Profit &amp; Loss'!A306&gt;=TODAY(), "Date: " &amp; TEXT('Profit &amp; Loss'!A306,"dd mmm yyy") &amp; ", " &amp; 'Profit &amp; Loss'!B306 &amp; CHAR(10) &amp; "Time: " &amp; TEXT('Profit &amp; Loss'!C306, "hh:mm AM/PM") &amp; " - " &amp; TEXT('Profit &amp; Loss'!D306, "hh:mm AM/PM") &amp; CHAR(10) &amp; "Venue: " &amp; 'Profit &amp; Loss'!E306 &amp; CHAR(10) &amp; "Court No.: " &amp; 'Profit &amp; Loss'!F306 &amp; CHAR(10) &amp; "Level: HB - LI" &amp; CHAR(10) &amp; "Please transfer $" &amp; 'Profit &amp; Loss'!O306 &amp; " per pax to Belle (83396501)" &amp; CHAR(10) &amp; CHAR(10) &amp; IF('Profit &amp; Loss'!I306=1, "1." &amp; CHAR(10) &amp; "2." &amp; CHAR(10) &amp; "3." &amp; CHAR(10) &amp; "4." &amp; CHAR(10) &amp; "5." &amp; CHAR(10) &amp; "6." &amp; CHAR(10), IF('Profit &amp; Loss'!I306=2,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4" spans="1:2" ht="12.5" x14ac:dyDescent="0.25">
      <c r="A304" s="2" t="str">
        <f ca="1">IF('Profit &amp; Loss'!A307&gt;=TODAY(),"Looking for friendly players to join the following game: " &amp; CHAR(10) &amp; CHAR(10) &amp; "Date: " &amp; TEXT('Profit &amp; Loss'!A307,"dd mmm yyy") &amp; ", " &amp; 'Profit &amp; Loss'!B307 &amp; CHAR(10) &amp; "Time: " &amp; TEXT('Profit &amp; Loss'!C307, "hh:mm AM/PM") &amp; " - " &amp; TEXT('Profit &amp; Loss'!D307, "hh:mm AM/PM") &amp; CHAR(10) &amp; "Venue: " &amp; 'Profit &amp; Loss'!E307 &amp; CHAR(10) &amp; "Level: HB - LI" &amp; CHAR(10) &amp; "Cost: $" &amp; 'Profit &amp; Loss'!O307 &amp; " per pax" &amp; CHAR(10) &amp; "Max " &amp; 'Profit &amp; Loss'!I307*6 &amp; " pax," &amp; " (" &amp; 'Profit &amp; Loss'!I307 &amp; " courts)" &amp; CHAR(10) &amp; CHAR(10) &amp; "RSL Ultimate shuttles provided" &amp; CHAR(10) &amp; CHAR(10) &amp; "PM if interested, thank you!"," ")</f>
        <v xml:space="preserve"> </v>
      </c>
      <c r="B304" s="2" t="str">
        <f ca="1">IF('Profit &amp; Loss'!A307&gt;=TODAY(), "Date: " &amp; TEXT('Profit &amp; Loss'!A307,"dd mmm yyy") &amp; ", " &amp; 'Profit &amp; Loss'!B307 &amp; CHAR(10) &amp; "Time: " &amp; TEXT('Profit &amp; Loss'!C307, "hh:mm AM/PM") &amp; " - " &amp; TEXT('Profit &amp; Loss'!D307, "hh:mm AM/PM") &amp; CHAR(10) &amp; "Venue: " &amp; 'Profit &amp; Loss'!E307 &amp; CHAR(10) &amp; "Court No.: " &amp; 'Profit &amp; Loss'!F307 &amp; CHAR(10) &amp; "Level: HB - LI" &amp; CHAR(10) &amp; "Please transfer $" &amp; 'Profit &amp; Loss'!O307 &amp; " per pax to Belle (83396501)" &amp; CHAR(10) &amp; CHAR(10) &amp; IF('Profit &amp; Loss'!I307=1, "1." &amp; CHAR(10) &amp; "2." &amp; CHAR(10) &amp; "3." &amp; CHAR(10) &amp; "4." &amp; CHAR(10) &amp; "5." &amp; CHAR(10) &amp; "6." &amp; CHAR(10), IF('Profit &amp; Loss'!I307=2,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5" spans="1:2" ht="12.5" x14ac:dyDescent="0.25">
      <c r="A305" s="2" t="str">
        <f ca="1">IF('Profit &amp; Loss'!A308&gt;=TODAY(),"Looking for friendly players to join the following game: " &amp; CHAR(10) &amp; CHAR(10) &amp; "Date: " &amp; TEXT('Profit &amp; Loss'!A308,"dd mmm yyy") &amp; ", " &amp; 'Profit &amp; Loss'!B308 &amp; CHAR(10) &amp; "Time: " &amp; TEXT('Profit &amp; Loss'!C308, "hh:mm AM/PM") &amp; " - " &amp; TEXT('Profit &amp; Loss'!D308, "hh:mm AM/PM") &amp; CHAR(10) &amp; "Venue: " &amp; 'Profit &amp; Loss'!E308 &amp; CHAR(10) &amp; "Level: HB - LI" &amp; CHAR(10) &amp; "Cost: $" &amp; 'Profit &amp; Loss'!O308 &amp; " per pax" &amp; CHAR(10) &amp; "Max " &amp; 'Profit &amp; Loss'!I308*6 &amp; " pax," &amp; " (" &amp; 'Profit &amp; Loss'!I308 &amp; " courts)" &amp; CHAR(10) &amp; CHAR(10) &amp; "RSL Ultimate shuttles provided" &amp; CHAR(10) &amp; CHAR(10) &amp; "PM if interested, thank you!"," ")</f>
        <v xml:space="preserve"> </v>
      </c>
      <c r="B305" s="2" t="str">
        <f ca="1">IF('Profit &amp; Loss'!A308&gt;=TODAY(), "Date: " &amp; TEXT('Profit &amp; Loss'!A308,"dd mmm yyy") &amp; ", " &amp; 'Profit &amp; Loss'!B308 &amp; CHAR(10) &amp; "Time: " &amp; TEXT('Profit &amp; Loss'!C308, "hh:mm AM/PM") &amp; " - " &amp; TEXT('Profit &amp; Loss'!D308, "hh:mm AM/PM") &amp; CHAR(10) &amp; "Venue: " &amp; 'Profit &amp; Loss'!E308 &amp; CHAR(10) &amp; "Court No.: " &amp; 'Profit &amp; Loss'!F308 &amp; CHAR(10) &amp; "Level: HB - LI" &amp; CHAR(10) &amp; "Please transfer $" &amp; 'Profit &amp; Loss'!O308 &amp; " per pax to Belle (83396501)" &amp; CHAR(10) &amp; CHAR(10) &amp; IF('Profit &amp; Loss'!I308=1, "1." &amp; CHAR(10) &amp; "2." &amp; CHAR(10) &amp; "3." &amp; CHAR(10) &amp; "4." &amp; CHAR(10) &amp; "5." &amp; CHAR(10) &amp; "6." &amp; CHAR(10), IF('Profit &amp; Loss'!I308=2,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6" spans="1:2" ht="12.5" x14ac:dyDescent="0.25">
      <c r="A306" s="2" t="str">
        <f ca="1">IF('Profit &amp; Loss'!A309&gt;=TODAY(),"Looking for friendly players to join the following game: " &amp; CHAR(10) &amp; CHAR(10) &amp; "Date: " &amp; TEXT('Profit &amp; Loss'!A309,"dd mmm yyy") &amp; ", " &amp; 'Profit &amp; Loss'!B309 &amp; CHAR(10) &amp; "Time: " &amp; TEXT('Profit &amp; Loss'!C309, "hh:mm AM/PM") &amp; " - " &amp; TEXT('Profit &amp; Loss'!D309, "hh:mm AM/PM") &amp; CHAR(10) &amp; "Venue: " &amp; 'Profit &amp; Loss'!E309 &amp; CHAR(10) &amp; "Level: HB - LI" &amp; CHAR(10) &amp; "Cost: $" &amp; 'Profit &amp; Loss'!O309 &amp; " per pax" &amp; CHAR(10) &amp; "Max " &amp; 'Profit &amp; Loss'!I309*6 &amp; " pax," &amp; " (" &amp; 'Profit &amp; Loss'!I309 &amp; " courts)" &amp; CHAR(10) &amp; CHAR(10) &amp; "RSL Ultimate shuttles provided" &amp; CHAR(10) &amp; CHAR(10) &amp; "PM if interested, thank you!"," ")</f>
        <v xml:space="preserve"> </v>
      </c>
      <c r="B306" s="2" t="str">
        <f ca="1">IF('Profit &amp; Loss'!A309&gt;=TODAY(), "Date: " &amp; TEXT('Profit &amp; Loss'!A309,"dd mmm yyy") &amp; ", " &amp; 'Profit &amp; Loss'!B309 &amp; CHAR(10) &amp; "Time: " &amp; TEXT('Profit &amp; Loss'!C309, "hh:mm AM/PM") &amp; " - " &amp; TEXT('Profit &amp; Loss'!D309, "hh:mm AM/PM") &amp; CHAR(10) &amp; "Venue: " &amp; 'Profit &amp; Loss'!E309 &amp; CHAR(10) &amp; "Court No.: " &amp; 'Profit &amp; Loss'!F309 &amp; CHAR(10) &amp; "Level: HB - LI" &amp; CHAR(10) &amp; "Please transfer $" &amp; 'Profit &amp; Loss'!O309 &amp; " per pax to Belle (83396501)" &amp; CHAR(10) &amp; CHAR(10) &amp; IF('Profit &amp; Loss'!I309=1, "1." &amp; CHAR(10) &amp; "2." &amp; CHAR(10) &amp; "3." &amp; CHAR(10) &amp; "4." &amp; CHAR(10) &amp; "5." &amp; CHAR(10) &amp; "6." &amp; CHAR(10), IF('Profit &amp; Loss'!I309=2,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7" spans="1:2" ht="12.5" x14ac:dyDescent="0.25">
      <c r="A307" s="2" t="str">
        <f ca="1">IF('Profit &amp; Loss'!A310&gt;=TODAY(),"Looking for friendly players to join the following game: " &amp; CHAR(10) &amp; CHAR(10) &amp; "Date: " &amp; TEXT('Profit &amp; Loss'!A310,"dd mmm yyy") &amp; ", " &amp; 'Profit &amp; Loss'!B310 &amp; CHAR(10) &amp; "Time: " &amp; TEXT('Profit &amp; Loss'!C310, "hh:mm AM/PM") &amp; " - " &amp; TEXT('Profit &amp; Loss'!D310, "hh:mm AM/PM") &amp; CHAR(10) &amp; "Venue: " &amp; 'Profit &amp; Loss'!E310 &amp; CHAR(10) &amp; "Level: HB - LI" &amp; CHAR(10) &amp; "Cost: $" &amp; 'Profit &amp; Loss'!O310 &amp; " per pax" &amp; CHAR(10) &amp; "Max " &amp; 'Profit &amp; Loss'!I310*6 &amp; " pax," &amp; " (" &amp; 'Profit &amp; Loss'!I310 &amp; " courts)" &amp; CHAR(10) &amp; CHAR(10) &amp; "RSL Ultimate shuttles provided" &amp; CHAR(10) &amp; CHAR(10) &amp; "PM if interested, thank you!"," ")</f>
        <v xml:space="preserve"> </v>
      </c>
      <c r="B307" s="2" t="str">
        <f ca="1">IF('Profit &amp; Loss'!A310&gt;=TODAY(), "Date: " &amp; TEXT('Profit &amp; Loss'!A310,"dd mmm yyy") &amp; ", " &amp; 'Profit &amp; Loss'!B310 &amp; CHAR(10) &amp; "Time: " &amp; TEXT('Profit &amp; Loss'!C310, "hh:mm AM/PM") &amp; " - " &amp; TEXT('Profit &amp; Loss'!D310, "hh:mm AM/PM") &amp; CHAR(10) &amp; "Venue: " &amp; 'Profit &amp; Loss'!E310 &amp; CHAR(10) &amp; "Court No.: " &amp; 'Profit &amp; Loss'!F310 &amp; CHAR(10) &amp; "Level: HB - LI" &amp; CHAR(10) &amp; "Please transfer $" &amp; 'Profit &amp; Loss'!O310 &amp; " per pax to Belle (83396501)" &amp; CHAR(10) &amp; CHAR(10) &amp; IF('Profit &amp; Loss'!I310=1, "1." &amp; CHAR(10) &amp; "2." &amp; CHAR(10) &amp; "3." &amp; CHAR(10) &amp; "4." &amp; CHAR(10) &amp; "5." &amp; CHAR(10) &amp; "6." &amp; CHAR(10), IF('Profit &amp; Loss'!I310=2,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8" spans="1:2" ht="12.5" x14ac:dyDescent="0.25">
      <c r="A308" s="2" t="str">
        <f ca="1">IF('Profit &amp; Loss'!A311&gt;=TODAY(),"Looking for friendly players to join the following game: " &amp; CHAR(10) &amp; CHAR(10) &amp; "Date: " &amp; TEXT('Profit &amp; Loss'!A311,"dd mmm yyy") &amp; ", " &amp; 'Profit &amp; Loss'!B311 &amp; CHAR(10) &amp; "Time: " &amp; TEXT('Profit &amp; Loss'!C311, "hh:mm AM/PM") &amp; " - " &amp; TEXT('Profit &amp; Loss'!D311, "hh:mm AM/PM") &amp; CHAR(10) &amp; "Venue: " &amp; 'Profit &amp; Loss'!E311 &amp; CHAR(10) &amp; "Level: HB - LI" &amp; CHAR(10) &amp; "Cost: $" &amp; 'Profit &amp; Loss'!O311 &amp; " per pax" &amp; CHAR(10) &amp; "Max " &amp; 'Profit &amp; Loss'!I311*6 &amp; " pax," &amp; " (" &amp; 'Profit &amp; Loss'!I311 &amp; " courts)" &amp; CHAR(10) &amp; CHAR(10) &amp; "RSL Ultimate shuttles provided" &amp; CHAR(10) &amp; CHAR(10) &amp; "PM if interested, thank you!"," ")</f>
        <v xml:space="preserve"> </v>
      </c>
      <c r="B308" s="2" t="str">
        <f ca="1">IF('Profit &amp; Loss'!A311&gt;=TODAY(), "Date: " &amp; TEXT('Profit &amp; Loss'!A311,"dd mmm yyy") &amp; ", " &amp; 'Profit &amp; Loss'!B311 &amp; CHAR(10) &amp; "Time: " &amp; TEXT('Profit &amp; Loss'!C311, "hh:mm AM/PM") &amp; " - " &amp; TEXT('Profit &amp; Loss'!D311, "hh:mm AM/PM") &amp; CHAR(10) &amp; "Venue: " &amp; 'Profit &amp; Loss'!E311 &amp; CHAR(10) &amp; "Court No.: " &amp; 'Profit &amp; Loss'!F311 &amp; CHAR(10) &amp; "Level: HB - LI" &amp; CHAR(10) &amp; "Please transfer $" &amp; 'Profit &amp; Loss'!O311 &amp; " per pax to Belle (83396501)" &amp; CHAR(10) &amp; CHAR(10) &amp; IF('Profit &amp; Loss'!I311=1, "1." &amp; CHAR(10) &amp; "2." &amp; CHAR(10) &amp; "3." &amp; CHAR(10) &amp; "4." &amp; CHAR(10) &amp; "5." &amp; CHAR(10) &amp; "6." &amp; CHAR(10), IF('Profit &amp; Loss'!I311=2,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09" spans="1:2" ht="12.5" x14ac:dyDescent="0.25">
      <c r="A309" s="2" t="str">
        <f ca="1">IF('Profit &amp; Loss'!A312&gt;=TODAY(),"Looking for friendly players to join the following game: " &amp; CHAR(10) &amp; CHAR(10) &amp; "Date: " &amp; TEXT('Profit &amp; Loss'!A312,"dd mmm yyy") &amp; ", " &amp; 'Profit &amp; Loss'!B312 &amp; CHAR(10) &amp; "Time: " &amp; TEXT('Profit &amp; Loss'!C312, "hh:mm AM/PM") &amp; " - " &amp; TEXT('Profit &amp; Loss'!D312, "hh:mm AM/PM") &amp; CHAR(10) &amp; "Venue: " &amp; 'Profit &amp; Loss'!E312 &amp; CHAR(10) &amp; "Level: HB - LI" &amp; CHAR(10) &amp; "Cost: $" &amp; 'Profit &amp; Loss'!O312 &amp; " per pax" &amp; CHAR(10) &amp; "Max " &amp; 'Profit &amp; Loss'!I312*6 &amp; " pax," &amp; " (" &amp; 'Profit &amp; Loss'!I312 &amp; " courts)" &amp; CHAR(10) &amp; CHAR(10) &amp; "RSL Ultimate shuttles provided" &amp; CHAR(10) &amp; CHAR(10) &amp; "PM if interested, thank you!"," ")</f>
        <v xml:space="preserve"> </v>
      </c>
      <c r="B309" s="2" t="str">
        <f ca="1">IF('Profit &amp; Loss'!A312&gt;=TODAY(), "Date: " &amp; TEXT('Profit &amp; Loss'!A312,"dd mmm yyy") &amp; ", " &amp; 'Profit &amp; Loss'!B312 &amp; CHAR(10) &amp; "Time: " &amp; TEXT('Profit &amp; Loss'!C312, "hh:mm AM/PM") &amp; " - " &amp; TEXT('Profit &amp; Loss'!D312, "hh:mm AM/PM") &amp; CHAR(10) &amp; "Venue: " &amp; 'Profit &amp; Loss'!E312 &amp; CHAR(10) &amp; "Court No.: " &amp; 'Profit &amp; Loss'!F312 &amp; CHAR(10) &amp; "Level: HB - LI" &amp; CHAR(10) &amp; "Please transfer $" &amp; 'Profit &amp; Loss'!O312 &amp; " per pax to Belle (83396501)" &amp; CHAR(10) &amp; CHAR(10) &amp; IF('Profit &amp; Loss'!I312=1, "1." &amp; CHAR(10) &amp; "2." &amp; CHAR(10) &amp; "3." &amp; CHAR(10) &amp; "4." &amp; CHAR(10) &amp; "5." &amp; CHAR(10) &amp; "6." &amp; CHAR(10), IF('Profit &amp; Loss'!I312=2,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0" spans="1:2" ht="12.5" x14ac:dyDescent="0.25">
      <c r="A310" s="2" t="str">
        <f ca="1">IF('Profit &amp; Loss'!A313&gt;=TODAY(),"Looking for friendly players to join the following game: " &amp; CHAR(10) &amp; CHAR(10) &amp; "Date: " &amp; TEXT('Profit &amp; Loss'!A313,"dd mmm yyy") &amp; ", " &amp; 'Profit &amp; Loss'!B313 &amp; CHAR(10) &amp; "Time: " &amp; TEXT('Profit &amp; Loss'!C313, "hh:mm AM/PM") &amp; " - " &amp; TEXT('Profit &amp; Loss'!D313, "hh:mm AM/PM") &amp; CHAR(10) &amp; "Venue: " &amp; 'Profit &amp; Loss'!E313 &amp; CHAR(10) &amp; "Level: HB - LI" &amp; CHAR(10) &amp; "Cost: $" &amp; 'Profit &amp; Loss'!O313 &amp; " per pax" &amp; CHAR(10) &amp; "Max " &amp; 'Profit &amp; Loss'!I313*6 &amp; " pax," &amp; " (" &amp; 'Profit &amp; Loss'!I313 &amp; " courts)" &amp; CHAR(10) &amp; CHAR(10) &amp; "RSL Ultimate shuttles provided" &amp; CHAR(10) &amp; CHAR(10) &amp; "PM if interested, thank you!"," ")</f>
        <v xml:space="preserve"> </v>
      </c>
      <c r="B310" s="2" t="str">
        <f ca="1">IF('Profit &amp; Loss'!A313&gt;=TODAY(), "Date: " &amp; TEXT('Profit &amp; Loss'!A313,"dd mmm yyy") &amp; ", " &amp; 'Profit &amp; Loss'!B313 &amp; CHAR(10) &amp; "Time: " &amp; TEXT('Profit &amp; Loss'!C313, "hh:mm AM/PM") &amp; " - " &amp; TEXT('Profit &amp; Loss'!D313, "hh:mm AM/PM") &amp; CHAR(10) &amp; "Venue: " &amp; 'Profit &amp; Loss'!E313 &amp; CHAR(10) &amp; "Court No.: " &amp; 'Profit &amp; Loss'!F313 &amp; CHAR(10) &amp; "Level: HB - LI" &amp; CHAR(10) &amp; "Please transfer $" &amp; 'Profit &amp; Loss'!O313 &amp; " per pax to Belle (83396501)" &amp; CHAR(10) &amp; CHAR(10) &amp; IF('Profit &amp; Loss'!I313=1, "1." &amp; CHAR(10) &amp; "2." &amp; CHAR(10) &amp; "3." &amp; CHAR(10) &amp; "4." &amp; CHAR(10) &amp; "5." &amp; CHAR(10) &amp; "6." &amp; CHAR(10), IF('Profit &amp; Loss'!I313=2,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1" spans="1:2" ht="12.5" x14ac:dyDescent="0.25">
      <c r="A311" s="2" t="str">
        <f ca="1">IF('Profit &amp; Loss'!A314&gt;=TODAY(),"Looking for friendly players to join the following game: " &amp; CHAR(10) &amp; CHAR(10) &amp; "Date: " &amp; TEXT('Profit &amp; Loss'!A314,"dd mmm yyy") &amp; ", " &amp; 'Profit &amp; Loss'!B314 &amp; CHAR(10) &amp; "Time: " &amp; TEXT('Profit &amp; Loss'!C314, "hh:mm AM/PM") &amp; " - " &amp; TEXT('Profit &amp; Loss'!D314, "hh:mm AM/PM") &amp; CHAR(10) &amp; "Venue: " &amp; 'Profit &amp; Loss'!E314 &amp; CHAR(10) &amp; "Level: HB - LI" &amp; CHAR(10) &amp; "Cost: $" &amp; 'Profit &amp; Loss'!O314 &amp; " per pax" &amp; CHAR(10) &amp; "Max " &amp; 'Profit &amp; Loss'!I314*6 &amp; " pax," &amp; " (" &amp; 'Profit &amp; Loss'!I314 &amp; " courts)" &amp; CHAR(10) &amp; CHAR(10) &amp; "RSL Ultimate shuttles provided" &amp; CHAR(10) &amp; CHAR(10) &amp; "PM if interested, thank you!"," ")</f>
        <v xml:space="preserve"> </v>
      </c>
      <c r="B311" s="2" t="str">
        <f ca="1">IF('Profit &amp; Loss'!A314&gt;=TODAY(), "Date: " &amp; TEXT('Profit &amp; Loss'!A314,"dd mmm yyy") &amp; ", " &amp; 'Profit &amp; Loss'!B314 &amp; CHAR(10) &amp; "Time: " &amp; TEXT('Profit &amp; Loss'!C314, "hh:mm AM/PM") &amp; " - " &amp; TEXT('Profit &amp; Loss'!D314, "hh:mm AM/PM") &amp; CHAR(10) &amp; "Venue: " &amp; 'Profit &amp; Loss'!E314 &amp; CHAR(10) &amp; "Court No.: " &amp; 'Profit &amp; Loss'!F314 &amp; CHAR(10) &amp; "Level: HB - LI" &amp; CHAR(10) &amp; "Please transfer $" &amp; 'Profit &amp; Loss'!O314 &amp; " per pax to Belle (83396501)" &amp; CHAR(10) &amp; CHAR(10) &amp; IF('Profit &amp; Loss'!I314=1, "1." &amp; CHAR(10) &amp; "2." &amp; CHAR(10) &amp; "3." &amp; CHAR(10) &amp; "4." &amp; CHAR(10) &amp; "5." &amp; CHAR(10) &amp; "6." &amp; CHAR(10), IF('Profit &amp; Loss'!I314=2,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2" spans="1:2" ht="12.5" x14ac:dyDescent="0.25">
      <c r="A312" s="2" t="str">
        <f ca="1">IF('Profit &amp; Loss'!A315&gt;=TODAY(),"Looking for friendly players to join the following game: " &amp; CHAR(10) &amp; CHAR(10) &amp; "Date: " &amp; TEXT('Profit &amp; Loss'!A315,"dd mmm yyy") &amp; ", " &amp; 'Profit &amp; Loss'!B315 &amp; CHAR(10) &amp; "Time: " &amp; TEXT('Profit &amp; Loss'!C315, "hh:mm AM/PM") &amp; " - " &amp; TEXT('Profit &amp; Loss'!D315, "hh:mm AM/PM") &amp; CHAR(10) &amp; "Venue: " &amp; 'Profit &amp; Loss'!E315 &amp; CHAR(10) &amp; "Level: HB - LI" &amp; CHAR(10) &amp; "Cost: $" &amp; 'Profit &amp; Loss'!O315 &amp; " per pax" &amp; CHAR(10) &amp; "Max " &amp; 'Profit &amp; Loss'!I315*6 &amp; " pax," &amp; " (" &amp; 'Profit &amp; Loss'!I315 &amp; " courts)" &amp; CHAR(10) &amp; CHAR(10) &amp; "RSL Ultimate shuttles provided" &amp; CHAR(10) &amp; CHAR(10) &amp; "PM if interested, thank you!"," ")</f>
        <v xml:space="preserve"> </v>
      </c>
      <c r="B312" s="2" t="str">
        <f ca="1">IF('Profit &amp; Loss'!A315&gt;=TODAY(), "Date: " &amp; TEXT('Profit &amp; Loss'!A315,"dd mmm yyy") &amp; ", " &amp; 'Profit &amp; Loss'!B315 &amp; CHAR(10) &amp; "Time: " &amp; TEXT('Profit &amp; Loss'!C315, "hh:mm AM/PM") &amp; " - " &amp; TEXT('Profit &amp; Loss'!D315, "hh:mm AM/PM") &amp; CHAR(10) &amp; "Venue: " &amp; 'Profit &amp; Loss'!E315 &amp; CHAR(10) &amp; "Court No.: " &amp; 'Profit &amp; Loss'!F315 &amp; CHAR(10) &amp; "Level: HB - LI" &amp; CHAR(10) &amp; "Please transfer $" &amp; 'Profit &amp; Loss'!O315 &amp; " per pax to Belle (83396501)" &amp; CHAR(10) &amp; CHAR(10) &amp; IF('Profit &amp; Loss'!I315=1, "1." &amp; CHAR(10) &amp; "2." &amp; CHAR(10) &amp; "3." &amp; CHAR(10) &amp; "4." &amp; CHAR(10) &amp; "5." &amp; CHAR(10) &amp; "6." &amp; CHAR(10), IF('Profit &amp; Loss'!I315=2,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3" spans="1:2" ht="12.5" x14ac:dyDescent="0.25">
      <c r="A313" s="2" t="str">
        <f ca="1">IF('Profit &amp; Loss'!A316&gt;=TODAY(),"Looking for friendly players to join the following game: " &amp; CHAR(10) &amp; CHAR(10) &amp; "Date: " &amp; TEXT('Profit &amp; Loss'!A316,"dd mmm yyy") &amp; ", " &amp; 'Profit &amp; Loss'!B316 &amp; CHAR(10) &amp; "Time: " &amp; TEXT('Profit &amp; Loss'!C316, "hh:mm AM/PM") &amp; " - " &amp; TEXT('Profit &amp; Loss'!D316, "hh:mm AM/PM") &amp; CHAR(10) &amp; "Venue: " &amp; 'Profit &amp; Loss'!E316 &amp; CHAR(10) &amp; "Level: HB - LI" &amp; CHAR(10) &amp; "Cost: $" &amp; 'Profit &amp; Loss'!O316 &amp; " per pax" &amp; CHAR(10) &amp; "Max " &amp; 'Profit &amp; Loss'!I316*6 &amp; " pax," &amp; " (" &amp; 'Profit &amp; Loss'!I316 &amp; " courts)" &amp; CHAR(10) &amp; CHAR(10) &amp; "RSL Ultimate shuttles provided" &amp; CHAR(10) &amp; CHAR(10) &amp; "PM if interested, thank you!"," ")</f>
        <v xml:space="preserve"> </v>
      </c>
      <c r="B313" s="2" t="str">
        <f ca="1">IF('Profit &amp; Loss'!A316&gt;=TODAY(), "Date: " &amp; TEXT('Profit &amp; Loss'!A316,"dd mmm yyy") &amp; ", " &amp; 'Profit &amp; Loss'!B316 &amp; CHAR(10) &amp; "Time: " &amp; TEXT('Profit &amp; Loss'!C316, "hh:mm AM/PM") &amp; " - " &amp; TEXT('Profit &amp; Loss'!D316, "hh:mm AM/PM") &amp; CHAR(10) &amp; "Venue: " &amp; 'Profit &amp; Loss'!E316 &amp; CHAR(10) &amp; "Court No.: " &amp; 'Profit &amp; Loss'!F316 &amp; CHAR(10) &amp; "Level: HB - LI" &amp; CHAR(10) &amp; "Please transfer $" &amp; 'Profit &amp; Loss'!O316 &amp; " per pax to Belle (83396501)" &amp; CHAR(10) &amp; CHAR(10) &amp; IF('Profit &amp; Loss'!I316=1, "1." &amp; CHAR(10) &amp; "2." &amp; CHAR(10) &amp; "3." &amp; CHAR(10) &amp; "4." &amp; CHAR(10) &amp; "5." &amp; CHAR(10) &amp; "6." &amp; CHAR(10), IF('Profit &amp; Loss'!I316=2,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4" spans="1:2" ht="12.5" x14ac:dyDescent="0.25">
      <c r="A314" s="2" t="str">
        <f ca="1">IF('Profit &amp; Loss'!A317&gt;=TODAY(),"Looking for friendly players to join the following game: " &amp; CHAR(10) &amp; CHAR(10) &amp; "Date: " &amp; TEXT('Profit &amp; Loss'!A317,"dd mmm yyy") &amp; ", " &amp; 'Profit &amp; Loss'!B317 &amp; CHAR(10) &amp; "Time: " &amp; TEXT('Profit &amp; Loss'!C317, "hh:mm AM/PM") &amp; " - " &amp; TEXT('Profit &amp; Loss'!D317, "hh:mm AM/PM") &amp; CHAR(10) &amp; "Venue: " &amp; 'Profit &amp; Loss'!E317 &amp; CHAR(10) &amp; "Level: HB - LI" &amp; CHAR(10) &amp; "Cost: $" &amp; 'Profit &amp; Loss'!O317 &amp; " per pax" &amp; CHAR(10) &amp; "Max " &amp; 'Profit &amp; Loss'!I317*6 &amp; " pax," &amp; " (" &amp; 'Profit &amp; Loss'!I317 &amp; " courts)" &amp; CHAR(10) &amp; CHAR(10) &amp; "RSL Ultimate shuttles provided" &amp; CHAR(10) &amp; CHAR(10) &amp; "PM if interested, thank you!"," ")</f>
        <v xml:space="preserve"> </v>
      </c>
      <c r="B314" s="2" t="str">
        <f ca="1">IF('Profit &amp; Loss'!A317&gt;=TODAY(), "Date: " &amp; TEXT('Profit &amp; Loss'!A317,"dd mmm yyy") &amp; ", " &amp; 'Profit &amp; Loss'!B317 &amp; CHAR(10) &amp; "Time: " &amp; TEXT('Profit &amp; Loss'!C317, "hh:mm AM/PM") &amp; " - " &amp; TEXT('Profit &amp; Loss'!D317, "hh:mm AM/PM") &amp; CHAR(10) &amp; "Venue: " &amp; 'Profit &amp; Loss'!E317 &amp; CHAR(10) &amp; "Court No.: " &amp; 'Profit &amp; Loss'!F317 &amp; CHAR(10) &amp; "Level: HB - LI" &amp; CHAR(10) &amp; "Please transfer $" &amp; 'Profit &amp; Loss'!O317 &amp; " per pax to Belle (83396501)" &amp; CHAR(10) &amp; CHAR(10) &amp; IF('Profit &amp; Loss'!I317=1, "1." &amp; CHAR(10) &amp; "2." &amp; CHAR(10) &amp; "3." &amp; CHAR(10) &amp; "4." &amp; CHAR(10) &amp; "5." &amp; CHAR(10) &amp; "6." &amp; CHAR(10), IF('Profit &amp; Loss'!I317=2,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5" spans="1:2" ht="12.5" x14ac:dyDescent="0.25">
      <c r="A315" s="2" t="str">
        <f ca="1">IF('Profit &amp; Loss'!A318&gt;=TODAY(),"Looking for friendly players to join the following game: " &amp; CHAR(10) &amp; CHAR(10) &amp; "Date: " &amp; TEXT('Profit &amp; Loss'!A318,"dd mmm yyy") &amp; ", " &amp; 'Profit &amp; Loss'!B318 &amp; CHAR(10) &amp; "Time: " &amp; TEXT('Profit &amp; Loss'!C318, "hh:mm AM/PM") &amp; " - " &amp; TEXT('Profit &amp; Loss'!D318, "hh:mm AM/PM") &amp; CHAR(10) &amp; "Venue: " &amp; 'Profit &amp; Loss'!E318 &amp; CHAR(10) &amp; "Level: HB - LI" &amp; CHAR(10) &amp; "Cost: $" &amp; 'Profit &amp; Loss'!O318 &amp; " per pax" &amp; CHAR(10) &amp; "Max " &amp; 'Profit &amp; Loss'!I318*6 &amp; " pax," &amp; " (" &amp; 'Profit &amp; Loss'!I318 &amp; " courts)" &amp; CHAR(10) &amp; CHAR(10) &amp; "RSL Ultimate shuttles provided" &amp; CHAR(10) &amp; CHAR(10) &amp; "PM if interested, thank you!"," ")</f>
        <v xml:space="preserve"> </v>
      </c>
      <c r="B315" s="2" t="str">
        <f ca="1">IF('Profit &amp; Loss'!A318&gt;=TODAY(), "Date: " &amp; TEXT('Profit &amp; Loss'!A318,"dd mmm yyy") &amp; ", " &amp; 'Profit &amp; Loss'!B318 &amp; CHAR(10) &amp; "Time: " &amp; TEXT('Profit &amp; Loss'!C318, "hh:mm AM/PM") &amp; " - " &amp; TEXT('Profit &amp; Loss'!D318, "hh:mm AM/PM") &amp; CHAR(10) &amp; "Venue: " &amp; 'Profit &amp; Loss'!E318 &amp; CHAR(10) &amp; "Court No.: " &amp; 'Profit &amp; Loss'!F318 &amp; CHAR(10) &amp; "Level: HB - LI" &amp; CHAR(10) &amp; "Please transfer $" &amp; 'Profit &amp; Loss'!O318 &amp; " per pax to Belle (83396501)" &amp; CHAR(10) &amp; CHAR(10) &amp; IF('Profit &amp; Loss'!I318=1, "1." &amp; CHAR(10) &amp; "2." &amp; CHAR(10) &amp; "3." &amp; CHAR(10) &amp; "4." &amp; CHAR(10) &amp; "5." &amp; CHAR(10) &amp; "6." &amp; CHAR(10), IF('Profit &amp; Loss'!I318=2,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6" spans="1:2" ht="12.5" x14ac:dyDescent="0.25">
      <c r="A316" s="2" t="str">
        <f ca="1">IF('Profit &amp; Loss'!A319&gt;=TODAY(),"Looking for friendly players to join the following game: " &amp; CHAR(10) &amp; CHAR(10) &amp; "Date: " &amp; TEXT('Profit &amp; Loss'!A319,"dd mmm yyy") &amp; ", " &amp; 'Profit &amp; Loss'!B319 &amp; CHAR(10) &amp; "Time: " &amp; TEXT('Profit &amp; Loss'!C319, "hh:mm AM/PM") &amp; " - " &amp; TEXT('Profit &amp; Loss'!D319, "hh:mm AM/PM") &amp; CHAR(10) &amp; "Venue: " &amp; 'Profit &amp; Loss'!E319 &amp; CHAR(10) &amp; "Level: HB - LI" &amp; CHAR(10) &amp; "Cost: $" &amp; 'Profit &amp; Loss'!O319 &amp; " per pax" &amp; CHAR(10) &amp; "Max " &amp; 'Profit &amp; Loss'!I319*6 &amp; " pax," &amp; " (" &amp; 'Profit &amp; Loss'!I319 &amp; " courts)" &amp; CHAR(10) &amp; CHAR(10) &amp; "RSL Ultimate shuttles provided" &amp; CHAR(10) &amp; CHAR(10) &amp; "PM if interested, thank you!"," ")</f>
        <v xml:space="preserve"> </v>
      </c>
      <c r="B316" s="2" t="str">
        <f ca="1">IF('Profit &amp; Loss'!A319&gt;=TODAY(), "Date: " &amp; TEXT('Profit &amp; Loss'!A319,"dd mmm yyy") &amp; ", " &amp; 'Profit &amp; Loss'!B319 &amp; CHAR(10) &amp; "Time: " &amp; TEXT('Profit &amp; Loss'!C319, "hh:mm AM/PM") &amp; " - " &amp; TEXT('Profit &amp; Loss'!D319, "hh:mm AM/PM") &amp; CHAR(10) &amp; "Venue: " &amp; 'Profit &amp; Loss'!E319 &amp; CHAR(10) &amp; "Court No.: " &amp; 'Profit &amp; Loss'!F319 &amp; CHAR(10) &amp; "Level: HB - LI" &amp; CHAR(10) &amp; "Please transfer $" &amp; 'Profit &amp; Loss'!O319 &amp; " per pax to Belle (83396501)" &amp; CHAR(10) &amp; CHAR(10) &amp; IF('Profit &amp; Loss'!I319=1, "1." &amp; CHAR(10) &amp; "2." &amp; CHAR(10) &amp; "3." &amp; CHAR(10) &amp; "4." &amp; CHAR(10) &amp; "5." &amp; CHAR(10) &amp; "6." &amp; CHAR(10), IF('Profit &amp; Loss'!I319=2,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7" spans="1:2" ht="12.5" x14ac:dyDescent="0.25">
      <c r="A317" s="2" t="str">
        <f ca="1">IF('Profit &amp; Loss'!A320&gt;=TODAY(),"Looking for friendly players to join the following game: " &amp; CHAR(10) &amp; CHAR(10) &amp; "Date: " &amp; TEXT('Profit &amp; Loss'!A320,"dd mmm yyy") &amp; ", " &amp; 'Profit &amp; Loss'!B320 &amp; CHAR(10) &amp; "Time: " &amp; TEXT('Profit &amp; Loss'!C320, "hh:mm AM/PM") &amp; " - " &amp; TEXT('Profit &amp; Loss'!D320, "hh:mm AM/PM") &amp; CHAR(10) &amp; "Venue: " &amp; 'Profit &amp; Loss'!E320 &amp; CHAR(10) &amp; "Level: HB - LI" &amp; CHAR(10) &amp; "Cost: $" &amp; 'Profit &amp; Loss'!O320 &amp; " per pax" &amp; CHAR(10) &amp; "Max " &amp; 'Profit &amp; Loss'!I320*6 &amp; " pax," &amp; " (" &amp; 'Profit &amp; Loss'!I320 &amp; " courts)" &amp; CHAR(10) &amp; CHAR(10) &amp; "RSL Ultimate shuttles provided" &amp; CHAR(10) &amp; CHAR(10) &amp; "PM if interested, thank you!"," ")</f>
        <v xml:space="preserve"> </v>
      </c>
      <c r="B317" s="2" t="str">
        <f ca="1">IF('Profit &amp; Loss'!A320&gt;=TODAY(), "Date: " &amp; TEXT('Profit &amp; Loss'!A320,"dd mmm yyy") &amp; ", " &amp; 'Profit &amp; Loss'!B320 &amp; CHAR(10) &amp; "Time: " &amp; TEXT('Profit &amp; Loss'!C320, "hh:mm AM/PM") &amp; " - " &amp; TEXT('Profit &amp; Loss'!D320, "hh:mm AM/PM") &amp; CHAR(10) &amp; "Venue: " &amp; 'Profit &amp; Loss'!E320 &amp; CHAR(10) &amp; "Court No.: " &amp; 'Profit &amp; Loss'!F320 &amp; CHAR(10) &amp; "Level: HB - LI" &amp; CHAR(10) &amp; "Please transfer $" &amp; 'Profit &amp; Loss'!O320 &amp; " per pax to Belle (83396501)" &amp; CHAR(10) &amp; CHAR(10) &amp; IF('Profit &amp; Loss'!I320=1, "1." &amp; CHAR(10) &amp; "2." &amp; CHAR(10) &amp; "3." &amp; CHAR(10) &amp; "4." &amp; CHAR(10) &amp; "5." &amp; CHAR(10) &amp; "6." &amp; CHAR(10), IF('Profit &amp; Loss'!I320=2,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8" spans="1:2" ht="12.5" x14ac:dyDescent="0.25">
      <c r="A318" s="2" t="str">
        <f ca="1">IF('Profit &amp; Loss'!A321&gt;=TODAY(),"Looking for friendly players to join the following game: " &amp; CHAR(10) &amp; CHAR(10) &amp; "Date: " &amp; TEXT('Profit &amp; Loss'!A321,"dd mmm yyy") &amp; ", " &amp; 'Profit &amp; Loss'!B321 &amp; CHAR(10) &amp; "Time: " &amp; TEXT('Profit &amp; Loss'!C321, "hh:mm AM/PM") &amp; " - " &amp; TEXT('Profit &amp; Loss'!D321, "hh:mm AM/PM") &amp; CHAR(10) &amp; "Venue: " &amp; 'Profit &amp; Loss'!E321 &amp; CHAR(10) &amp; "Level: HB - LI" &amp; CHAR(10) &amp; "Cost: $" &amp; 'Profit &amp; Loss'!O321 &amp; " per pax" &amp; CHAR(10) &amp; "Max " &amp; 'Profit &amp; Loss'!I321*6 &amp; " pax," &amp; " (" &amp; 'Profit &amp; Loss'!I321 &amp; " courts)" &amp; CHAR(10) &amp; CHAR(10) &amp; "RSL Ultimate shuttles provided" &amp; CHAR(10) &amp; CHAR(10) &amp; "PM if interested, thank you!"," ")</f>
        <v xml:space="preserve"> </v>
      </c>
      <c r="B318" s="2" t="str">
        <f ca="1">IF('Profit &amp; Loss'!A321&gt;=TODAY(), "Date: " &amp; TEXT('Profit &amp; Loss'!A321,"dd mmm yyy") &amp; ", " &amp; 'Profit &amp; Loss'!B321 &amp; CHAR(10) &amp; "Time: " &amp; TEXT('Profit &amp; Loss'!C321, "hh:mm AM/PM") &amp; " - " &amp; TEXT('Profit &amp; Loss'!D321, "hh:mm AM/PM") &amp; CHAR(10) &amp; "Venue: " &amp; 'Profit &amp; Loss'!E321 &amp; CHAR(10) &amp; "Court No.: " &amp; 'Profit &amp; Loss'!F321 &amp; CHAR(10) &amp; "Level: HB - LI" &amp; CHAR(10) &amp; "Please transfer $" &amp; 'Profit &amp; Loss'!O321 &amp; " per pax to Belle (83396501)" &amp; CHAR(10) &amp; CHAR(10) &amp; IF('Profit &amp; Loss'!I321=1, "1." &amp; CHAR(10) &amp; "2." &amp; CHAR(10) &amp; "3." &amp; CHAR(10) &amp; "4." &amp; CHAR(10) &amp; "5." &amp; CHAR(10) &amp; "6." &amp; CHAR(10), IF('Profit &amp; Loss'!I321=2,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19" spans="1:2" ht="12.5" x14ac:dyDescent="0.25">
      <c r="A319" s="2" t="str">
        <f ca="1">IF('Profit &amp; Loss'!A322&gt;=TODAY(),"Looking for friendly players to join the following game: " &amp; CHAR(10) &amp; CHAR(10) &amp; "Date: " &amp; TEXT('Profit &amp; Loss'!A322,"dd mmm yyy") &amp; ", " &amp; 'Profit &amp; Loss'!B322 &amp; CHAR(10) &amp; "Time: " &amp; TEXT('Profit &amp; Loss'!C322, "hh:mm AM/PM") &amp; " - " &amp; TEXT('Profit &amp; Loss'!D322, "hh:mm AM/PM") &amp; CHAR(10) &amp; "Venue: " &amp; 'Profit &amp; Loss'!E322 &amp; CHAR(10) &amp; "Level: HB - LI" &amp; CHAR(10) &amp; "Cost: $" &amp; 'Profit &amp; Loss'!O322 &amp; " per pax" &amp; CHAR(10) &amp; "Max " &amp; 'Profit &amp; Loss'!I322*6 &amp; " pax," &amp; " (" &amp; 'Profit &amp; Loss'!I322 &amp; " courts)" &amp; CHAR(10) &amp; CHAR(10) &amp; "RSL Ultimate shuttles provided" &amp; CHAR(10) &amp; CHAR(10) &amp; "PM if interested, thank you!"," ")</f>
        <v xml:space="preserve"> </v>
      </c>
      <c r="B319" s="2" t="str">
        <f ca="1">IF('Profit &amp; Loss'!A322&gt;=TODAY(), "Date: " &amp; TEXT('Profit &amp; Loss'!A322,"dd mmm yyy") &amp; ", " &amp; 'Profit &amp; Loss'!B322 &amp; CHAR(10) &amp; "Time: " &amp; TEXT('Profit &amp; Loss'!C322, "hh:mm AM/PM") &amp; " - " &amp; TEXT('Profit &amp; Loss'!D322, "hh:mm AM/PM") &amp; CHAR(10) &amp; "Venue: " &amp; 'Profit &amp; Loss'!E322 &amp; CHAR(10) &amp; "Court No.: " &amp; 'Profit &amp; Loss'!F322 &amp; CHAR(10) &amp; "Level: HB - LI" &amp; CHAR(10) &amp; "Please transfer $" &amp; 'Profit &amp; Loss'!O322 &amp; " per pax to Belle (83396501)" &amp; CHAR(10) &amp; CHAR(10) &amp; IF('Profit &amp; Loss'!I322=1, "1." &amp; CHAR(10) &amp; "2." &amp; CHAR(10) &amp; "3." &amp; CHAR(10) &amp; "4." &amp; CHAR(10) &amp; "5." &amp; CHAR(10) &amp; "6." &amp; CHAR(10), IF('Profit &amp; Loss'!I322=2,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0" spans="1:2" ht="12.5" x14ac:dyDescent="0.25">
      <c r="A320" s="2" t="str">
        <f ca="1">IF('Profit &amp; Loss'!A323&gt;=TODAY(),"Looking for friendly players to join the following game: " &amp; CHAR(10) &amp; CHAR(10) &amp; "Date: " &amp; TEXT('Profit &amp; Loss'!A323,"dd mmm yyy") &amp; ", " &amp; 'Profit &amp; Loss'!B323 &amp; CHAR(10) &amp; "Time: " &amp; TEXT('Profit &amp; Loss'!C323, "hh:mm AM/PM") &amp; " - " &amp; TEXT('Profit &amp; Loss'!D323, "hh:mm AM/PM") &amp; CHAR(10) &amp; "Venue: " &amp; 'Profit &amp; Loss'!E323 &amp; CHAR(10) &amp; "Level: HB - LI" &amp; CHAR(10) &amp; "Cost: $" &amp; 'Profit &amp; Loss'!O323 &amp; " per pax" &amp; CHAR(10) &amp; "Max " &amp; 'Profit &amp; Loss'!I323*6 &amp; " pax," &amp; " (" &amp; 'Profit &amp; Loss'!I323 &amp; " courts)" &amp; CHAR(10) &amp; CHAR(10) &amp; "RSL Ultimate shuttles provided" &amp; CHAR(10) &amp; CHAR(10) &amp; "PM if interested, thank you!"," ")</f>
        <v xml:space="preserve"> </v>
      </c>
      <c r="B320" s="2" t="str">
        <f ca="1">IF('Profit &amp; Loss'!A323&gt;=TODAY(), "Date: " &amp; TEXT('Profit &amp; Loss'!A323,"dd mmm yyy") &amp; ", " &amp; 'Profit &amp; Loss'!B323 &amp; CHAR(10) &amp; "Time: " &amp; TEXT('Profit &amp; Loss'!C323, "hh:mm AM/PM") &amp; " - " &amp; TEXT('Profit &amp; Loss'!D323, "hh:mm AM/PM") &amp; CHAR(10) &amp; "Venue: " &amp; 'Profit &amp; Loss'!E323 &amp; CHAR(10) &amp; "Court No.: " &amp; 'Profit &amp; Loss'!F323 &amp; CHAR(10) &amp; "Level: HB - LI" &amp; CHAR(10) &amp; "Please transfer $" &amp; 'Profit &amp; Loss'!O323 &amp; " per pax to Belle (83396501)" &amp; CHAR(10) &amp; CHAR(10) &amp; IF('Profit &amp; Loss'!I323=1, "1." &amp; CHAR(10) &amp; "2." &amp; CHAR(10) &amp; "3." &amp; CHAR(10) &amp; "4." &amp; CHAR(10) &amp; "5." &amp; CHAR(10) &amp; "6." &amp; CHAR(10), IF('Profit &amp; Loss'!I323=2,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1" spans="1:2" ht="12.5" x14ac:dyDescent="0.25">
      <c r="A321" s="2" t="str">
        <f ca="1">IF('Profit &amp; Loss'!A324&gt;=TODAY(),"Looking for friendly players to join the following game: " &amp; CHAR(10) &amp; CHAR(10) &amp; "Date: " &amp; TEXT('Profit &amp; Loss'!A324,"dd mmm yyy") &amp; ", " &amp; 'Profit &amp; Loss'!B324 &amp; CHAR(10) &amp; "Time: " &amp; TEXT('Profit &amp; Loss'!C324, "hh:mm AM/PM") &amp; " - " &amp; TEXT('Profit &amp; Loss'!D324, "hh:mm AM/PM") &amp; CHAR(10) &amp; "Venue: " &amp; 'Profit &amp; Loss'!E324 &amp; CHAR(10) &amp; "Level: HB - LI" &amp; CHAR(10) &amp; "Cost: $" &amp; 'Profit &amp; Loss'!O324 &amp; " per pax" &amp; CHAR(10) &amp; "Max " &amp; 'Profit &amp; Loss'!I324*6 &amp; " pax," &amp; " (" &amp; 'Profit &amp; Loss'!I324 &amp; " courts)" &amp; CHAR(10) &amp; CHAR(10) &amp; "RSL Ultimate shuttles provided" &amp; CHAR(10) &amp; CHAR(10) &amp; "PM if interested, thank you!"," ")</f>
        <v xml:space="preserve"> </v>
      </c>
      <c r="B321" s="2" t="str">
        <f ca="1">IF('Profit &amp; Loss'!A324&gt;=TODAY(), "Date: " &amp; TEXT('Profit &amp; Loss'!A324,"dd mmm yyy") &amp; ", " &amp; 'Profit &amp; Loss'!B324 &amp; CHAR(10) &amp; "Time: " &amp; TEXT('Profit &amp; Loss'!C324, "hh:mm AM/PM") &amp; " - " &amp; TEXT('Profit &amp; Loss'!D324, "hh:mm AM/PM") &amp; CHAR(10) &amp; "Venue: " &amp; 'Profit &amp; Loss'!E324 &amp; CHAR(10) &amp; "Court No.: " &amp; 'Profit &amp; Loss'!F324 &amp; CHAR(10) &amp; "Level: HB - LI" &amp; CHAR(10) &amp; "Please transfer $" &amp; 'Profit &amp; Loss'!O324 &amp; " per pax to Belle (83396501)" &amp; CHAR(10) &amp; CHAR(10) &amp; IF('Profit &amp; Loss'!I324=1, "1." &amp; CHAR(10) &amp; "2." &amp; CHAR(10) &amp; "3." &amp; CHAR(10) &amp; "4." &amp; CHAR(10) &amp; "5." &amp; CHAR(10) &amp; "6." &amp; CHAR(10), IF('Profit &amp; Loss'!I324=2,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2" spans="1:2" ht="12.5" x14ac:dyDescent="0.25">
      <c r="A322" s="2" t="str">
        <f ca="1">IF('Profit &amp; Loss'!A325&gt;=TODAY(),"Looking for friendly players to join the following game: " &amp; CHAR(10) &amp; CHAR(10) &amp; "Date: " &amp; TEXT('Profit &amp; Loss'!A325,"dd mmm yyy") &amp; ", " &amp; 'Profit &amp; Loss'!B325 &amp; CHAR(10) &amp; "Time: " &amp; TEXT('Profit &amp; Loss'!C325, "hh:mm AM/PM") &amp; " - " &amp; TEXT('Profit &amp; Loss'!D325, "hh:mm AM/PM") &amp; CHAR(10) &amp; "Venue: " &amp; 'Profit &amp; Loss'!E325 &amp; CHAR(10) &amp; "Level: HB - LI" &amp; CHAR(10) &amp; "Cost: $" &amp; 'Profit &amp; Loss'!O325 &amp; " per pax" &amp; CHAR(10) &amp; "Max " &amp; 'Profit &amp; Loss'!I325*6 &amp; " pax," &amp; " (" &amp; 'Profit &amp; Loss'!I325 &amp; " courts)" &amp; CHAR(10) &amp; CHAR(10) &amp; "RSL Ultimate shuttles provided" &amp; CHAR(10) &amp; CHAR(10) &amp; "PM if interested, thank you!"," ")</f>
        <v xml:space="preserve"> </v>
      </c>
      <c r="B322" s="2" t="str">
        <f ca="1">IF('Profit &amp; Loss'!A325&gt;=TODAY(), "Date: " &amp; TEXT('Profit &amp; Loss'!A325,"dd mmm yyy") &amp; ", " &amp; 'Profit &amp; Loss'!B325 &amp; CHAR(10) &amp; "Time: " &amp; TEXT('Profit &amp; Loss'!C325, "hh:mm AM/PM") &amp; " - " &amp; TEXT('Profit &amp; Loss'!D325, "hh:mm AM/PM") &amp; CHAR(10) &amp; "Venue: " &amp; 'Profit &amp; Loss'!E325 &amp; CHAR(10) &amp; "Court No.: " &amp; 'Profit &amp; Loss'!F325 &amp; CHAR(10) &amp; "Level: HB - LI" &amp; CHAR(10) &amp; "Please transfer $" &amp; 'Profit &amp; Loss'!O325 &amp; " per pax to Belle (83396501)" &amp; CHAR(10) &amp; CHAR(10) &amp; IF('Profit &amp; Loss'!I325=1, "1." &amp; CHAR(10) &amp; "2." &amp; CHAR(10) &amp; "3." &amp; CHAR(10) &amp; "4." &amp; CHAR(10) &amp; "5." &amp; CHAR(10) &amp; "6." &amp; CHAR(10), IF('Profit &amp; Loss'!I325=2,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3" spans="1:2" ht="12.5" x14ac:dyDescent="0.25">
      <c r="A323" s="2" t="str">
        <f ca="1">IF('Profit &amp; Loss'!A326&gt;=TODAY(),"Looking for friendly players to join the following game: " &amp; CHAR(10) &amp; CHAR(10) &amp; "Date: " &amp; TEXT('Profit &amp; Loss'!A326,"dd mmm yyy") &amp; ", " &amp; 'Profit &amp; Loss'!B326 &amp; CHAR(10) &amp; "Time: " &amp; TEXT('Profit &amp; Loss'!C326, "hh:mm AM/PM") &amp; " - " &amp; TEXT('Profit &amp; Loss'!D326, "hh:mm AM/PM") &amp; CHAR(10) &amp; "Venue: " &amp; 'Profit &amp; Loss'!E326 &amp; CHAR(10) &amp; "Level: HB - LI" &amp; CHAR(10) &amp; "Cost: $" &amp; 'Profit &amp; Loss'!O326 &amp; " per pax" &amp; CHAR(10) &amp; "Max " &amp; 'Profit &amp; Loss'!I326*6 &amp; " pax," &amp; " (" &amp; 'Profit &amp; Loss'!I326 &amp; " courts)" &amp; CHAR(10) &amp; CHAR(10) &amp; "RSL Ultimate shuttles provided" &amp; CHAR(10) &amp; CHAR(10) &amp; "PM if interested, thank you!"," ")</f>
        <v xml:space="preserve"> </v>
      </c>
      <c r="B323" s="2" t="str">
        <f ca="1">IF('Profit &amp; Loss'!A326&gt;=TODAY(), "Date: " &amp; TEXT('Profit &amp; Loss'!A326,"dd mmm yyy") &amp; ", " &amp; 'Profit &amp; Loss'!B326 &amp; CHAR(10) &amp; "Time: " &amp; TEXT('Profit &amp; Loss'!C326, "hh:mm AM/PM") &amp; " - " &amp; TEXT('Profit &amp; Loss'!D326, "hh:mm AM/PM") &amp; CHAR(10) &amp; "Venue: " &amp; 'Profit &amp; Loss'!E326 &amp; CHAR(10) &amp; "Court No.: " &amp; 'Profit &amp; Loss'!F326 &amp; CHAR(10) &amp; "Level: HB - LI" &amp; CHAR(10) &amp; "Please transfer $" &amp; 'Profit &amp; Loss'!O326 &amp; " per pax to Belle (83396501)" &amp; CHAR(10) &amp; CHAR(10) &amp; IF('Profit &amp; Loss'!I326=1, "1." &amp; CHAR(10) &amp; "2." &amp; CHAR(10) &amp; "3." &amp; CHAR(10) &amp; "4." &amp; CHAR(10) &amp; "5." &amp; CHAR(10) &amp; "6." &amp; CHAR(10), IF('Profit &amp; Loss'!I326=2,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4" spans="1:2" ht="12.5" x14ac:dyDescent="0.25">
      <c r="A324" s="2" t="str">
        <f ca="1">IF('Profit &amp; Loss'!A327&gt;=TODAY(),"Looking for friendly players to join the following game: " &amp; CHAR(10) &amp; CHAR(10) &amp; "Date: " &amp; TEXT('Profit &amp; Loss'!A327,"dd mmm yyy") &amp; ", " &amp; 'Profit &amp; Loss'!B327 &amp; CHAR(10) &amp; "Time: " &amp; TEXT('Profit &amp; Loss'!C327, "hh:mm AM/PM") &amp; " - " &amp; TEXT('Profit &amp; Loss'!D327, "hh:mm AM/PM") &amp; CHAR(10) &amp; "Venue: " &amp; 'Profit &amp; Loss'!E327 &amp; CHAR(10) &amp; "Level: HB - LI" &amp; CHAR(10) &amp; "Cost: $" &amp; 'Profit &amp; Loss'!O327 &amp; " per pax" &amp; CHAR(10) &amp; "Max " &amp; 'Profit &amp; Loss'!I327*6 &amp; " pax," &amp; " (" &amp; 'Profit &amp; Loss'!I327 &amp; " courts)" &amp; CHAR(10) &amp; CHAR(10) &amp; "RSL Ultimate shuttles provided" &amp; CHAR(10) &amp; CHAR(10) &amp; "PM if interested, thank you!"," ")</f>
        <v xml:space="preserve"> </v>
      </c>
      <c r="B324" s="2" t="str">
        <f ca="1">IF('Profit &amp; Loss'!A327&gt;=TODAY(), "Date: " &amp; TEXT('Profit &amp; Loss'!A327,"dd mmm yyy") &amp; ", " &amp; 'Profit &amp; Loss'!B327 &amp; CHAR(10) &amp; "Time: " &amp; TEXT('Profit &amp; Loss'!C327, "hh:mm AM/PM") &amp; " - " &amp; TEXT('Profit &amp; Loss'!D327, "hh:mm AM/PM") &amp; CHAR(10) &amp; "Venue: " &amp; 'Profit &amp; Loss'!E327 &amp; CHAR(10) &amp; "Court No.: " &amp; 'Profit &amp; Loss'!F327 &amp; CHAR(10) &amp; "Level: HB - LI" &amp; CHAR(10) &amp; "Please transfer $" &amp; 'Profit &amp; Loss'!O327 &amp; " per pax to Belle (83396501)" &amp; CHAR(10) &amp; CHAR(10) &amp; IF('Profit &amp; Loss'!I327=1, "1." &amp; CHAR(10) &amp; "2." &amp; CHAR(10) &amp; "3." &amp; CHAR(10) &amp; "4." &amp; CHAR(10) &amp; "5." &amp; CHAR(10) &amp; "6." &amp; CHAR(10), IF('Profit &amp; Loss'!I327=2,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5" spans="1:2" ht="12.5" x14ac:dyDescent="0.25">
      <c r="A325" s="2" t="str">
        <f ca="1">IF('Profit &amp; Loss'!A328&gt;=TODAY(),"Looking for friendly players to join the following game: " &amp; CHAR(10) &amp; CHAR(10) &amp; "Date: " &amp; TEXT('Profit &amp; Loss'!A328,"dd mmm yyy") &amp; ", " &amp; 'Profit &amp; Loss'!B328 &amp; CHAR(10) &amp; "Time: " &amp; TEXT('Profit &amp; Loss'!C328, "hh:mm AM/PM") &amp; " - " &amp; TEXT('Profit &amp; Loss'!D328, "hh:mm AM/PM") &amp; CHAR(10) &amp; "Venue: " &amp; 'Profit &amp; Loss'!E328 &amp; CHAR(10) &amp; "Level: HB - LI" &amp; CHAR(10) &amp; "Cost: $" &amp; 'Profit &amp; Loss'!O328 &amp; " per pax" &amp; CHAR(10) &amp; "Max " &amp; 'Profit &amp; Loss'!I328*6 &amp; " pax," &amp; " (" &amp; 'Profit &amp; Loss'!I328 &amp; " courts)" &amp; CHAR(10) &amp; CHAR(10) &amp; "RSL Ultimate shuttles provided" &amp; CHAR(10) &amp; CHAR(10) &amp; "PM if interested, thank you!"," ")</f>
        <v xml:space="preserve"> </v>
      </c>
      <c r="B325" s="2" t="str">
        <f ca="1">IF('Profit &amp; Loss'!A328&gt;=TODAY(), "Date: " &amp; TEXT('Profit &amp; Loss'!A328,"dd mmm yyy") &amp; ", " &amp; 'Profit &amp; Loss'!B328 &amp; CHAR(10) &amp; "Time: " &amp; TEXT('Profit &amp; Loss'!C328, "hh:mm AM/PM") &amp; " - " &amp; TEXT('Profit &amp; Loss'!D328, "hh:mm AM/PM") &amp; CHAR(10) &amp; "Venue: " &amp; 'Profit &amp; Loss'!E328 &amp; CHAR(10) &amp; "Court No.: " &amp; 'Profit &amp; Loss'!F328 &amp; CHAR(10) &amp; "Level: HB - LI" &amp; CHAR(10) &amp; "Please transfer $" &amp; 'Profit &amp; Loss'!O328 &amp; " per pax to Belle (83396501)" &amp; CHAR(10) &amp; CHAR(10) &amp; IF('Profit &amp; Loss'!I328=1, "1." &amp; CHAR(10) &amp; "2." &amp; CHAR(10) &amp; "3." &amp; CHAR(10) &amp; "4." &amp; CHAR(10) &amp; "5." &amp; CHAR(10) &amp; "6." &amp; CHAR(10), IF('Profit &amp; Loss'!I328=2,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6" spans="1:2" ht="12.5" x14ac:dyDescent="0.25">
      <c r="A326" s="2" t="str">
        <f ca="1">IF('Profit &amp; Loss'!A329&gt;=TODAY(),"Looking for friendly players to join the following game: " &amp; CHAR(10) &amp; CHAR(10) &amp; "Date: " &amp; TEXT('Profit &amp; Loss'!A329,"dd mmm yyy") &amp; ", " &amp; 'Profit &amp; Loss'!B329 &amp; CHAR(10) &amp; "Time: " &amp; TEXT('Profit &amp; Loss'!C329, "hh:mm AM/PM") &amp; " - " &amp; TEXT('Profit &amp; Loss'!D329, "hh:mm AM/PM") &amp; CHAR(10) &amp; "Venue: " &amp; 'Profit &amp; Loss'!E329 &amp; CHAR(10) &amp; "Level: HB - LI" &amp; CHAR(10) &amp; "Cost: $" &amp; 'Profit &amp; Loss'!O329 &amp; " per pax" &amp; CHAR(10) &amp; "Max " &amp; 'Profit &amp; Loss'!I329*6 &amp; " pax," &amp; " (" &amp; 'Profit &amp; Loss'!I329 &amp; " courts)" &amp; CHAR(10) &amp; CHAR(10) &amp; "RSL Ultimate shuttles provided" &amp; CHAR(10) &amp; CHAR(10) &amp; "PM if interested, thank you!"," ")</f>
        <v xml:space="preserve"> </v>
      </c>
      <c r="B326" s="2" t="str">
        <f ca="1">IF('Profit &amp; Loss'!A329&gt;=TODAY(), "Date: " &amp; TEXT('Profit &amp; Loss'!A329,"dd mmm yyy") &amp; ", " &amp; 'Profit &amp; Loss'!B329 &amp; CHAR(10) &amp; "Time: " &amp; TEXT('Profit &amp; Loss'!C329, "hh:mm AM/PM") &amp; " - " &amp; TEXT('Profit &amp; Loss'!D329, "hh:mm AM/PM") &amp; CHAR(10) &amp; "Venue: " &amp; 'Profit &amp; Loss'!E329 &amp; CHAR(10) &amp; "Court No.: " &amp; 'Profit &amp; Loss'!F329 &amp; CHAR(10) &amp; "Level: HB - LI" &amp; CHAR(10) &amp; "Please transfer $" &amp; 'Profit &amp; Loss'!O329 &amp; " per pax to Belle (83396501)" &amp; CHAR(10) &amp; CHAR(10) &amp; IF('Profit &amp; Loss'!I329=1, "1." &amp; CHAR(10) &amp; "2." &amp; CHAR(10) &amp; "3." &amp; CHAR(10) &amp; "4." &amp; CHAR(10) &amp; "5." &amp; CHAR(10) &amp; "6." &amp; CHAR(10), IF('Profit &amp; Loss'!I329=2,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7" spans="1:2" ht="12.5" x14ac:dyDescent="0.25">
      <c r="A327" s="2" t="str">
        <f ca="1">IF('Profit &amp; Loss'!A330&gt;=TODAY(),"Looking for friendly players to join the following game: " &amp; CHAR(10) &amp; CHAR(10) &amp; "Date: " &amp; TEXT('Profit &amp; Loss'!A330,"dd mmm yyy") &amp; ", " &amp; 'Profit &amp; Loss'!B330 &amp; CHAR(10) &amp; "Time: " &amp; TEXT('Profit &amp; Loss'!C330, "hh:mm AM/PM") &amp; " - " &amp; TEXT('Profit &amp; Loss'!D330, "hh:mm AM/PM") &amp; CHAR(10) &amp; "Venue: " &amp; 'Profit &amp; Loss'!E330 &amp; CHAR(10) &amp; "Level: HB - LI" &amp; CHAR(10) &amp; "Cost: $" &amp; 'Profit &amp; Loss'!O330 &amp; " per pax" &amp; CHAR(10) &amp; "Max " &amp; 'Profit &amp; Loss'!I330*6 &amp; " pax," &amp; " (" &amp; 'Profit &amp; Loss'!I330 &amp; " courts)" &amp; CHAR(10) &amp; CHAR(10) &amp; "RSL Ultimate shuttles provided" &amp; CHAR(10) &amp; CHAR(10) &amp; "PM if interested, thank you!"," ")</f>
        <v xml:space="preserve"> </v>
      </c>
      <c r="B327" s="2" t="str">
        <f ca="1">IF('Profit &amp; Loss'!A330&gt;=TODAY(), "Date: " &amp; TEXT('Profit &amp; Loss'!A330,"dd mmm yyy") &amp; ", " &amp; 'Profit &amp; Loss'!B330 &amp; CHAR(10) &amp; "Time: " &amp; TEXT('Profit &amp; Loss'!C330, "hh:mm AM/PM") &amp; " - " &amp; TEXT('Profit &amp; Loss'!D330, "hh:mm AM/PM") &amp; CHAR(10) &amp; "Venue: " &amp; 'Profit &amp; Loss'!E330 &amp; CHAR(10) &amp; "Court No.: " &amp; 'Profit &amp; Loss'!F330 &amp; CHAR(10) &amp; "Level: HB - LI" &amp; CHAR(10) &amp; "Please transfer $" &amp; 'Profit &amp; Loss'!O330 &amp; " per pax to Belle (83396501)" &amp; CHAR(10) &amp; CHAR(10) &amp; IF('Profit &amp; Loss'!I330=1, "1." &amp; CHAR(10) &amp; "2." &amp; CHAR(10) &amp; "3." &amp; CHAR(10) &amp; "4." &amp; CHAR(10) &amp; "5." &amp; CHAR(10) &amp; "6." &amp; CHAR(10), IF('Profit &amp; Loss'!I330=2,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8" spans="1:2" ht="12.5" x14ac:dyDescent="0.25">
      <c r="A328" s="2" t="str">
        <f ca="1">IF('Profit &amp; Loss'!A331&gt;=TODAY(),"Looking for friendly players to join the following game: " &amp; CHAR(10) &amp; CHAR(10) &amp; "Date: " &amp; TEXT('Profit &amp; Loss'!A331,"dd mmm yyy") &amp; ", " &amp; 'Profit &amp; Loss'!B331 &amp; CHAR(10) &amp; "Time: " &amp; TEXT('Profit &amp; Loss'!C331, "hh:mm AM/PM") &amp; " - " &amp; TEXT('Profit &amp; Loss'!D331, "hh:mm AM/PM") &amp; CHAR(10) &amp; "Venue: " &amp; 'Profit &amp; Loss'!E331 &amp; CHAR(10) &amp; "Level: HB - LI" &amp; CHAR(10) &amp; "Cost: $" &amp; 'Profit &amp; Loss'!O331 &amp; " per pax" &amp; CHAR(10) &amp; "Max " &amp; 'Profit &amp; Loss'!I331*6 &amp; " pax," &amp; " (" &amp; 'Profit &amp; Loss'!I331 &amp; " courts)" &amp; CHAR(10) &amp; CHAR(10) &amp; "RSL Ultimate shuttles provided" &amp; CHAR(10) &amp; CHAR(10) &amp; "PM if interested, thank you!"," ")</f>
        <v xml:space="preserve"> </v>
      </c>
      <c r="B328" s="2" t="str">
        <f ca="1">IF('Profit &amp; Loss'!A331&gt;=TODAY(), "Date: " &amp; TEXT('Profit &amp; Loss'!A331,"dd mmm yyy") &amp; ", " &amp; 'Profit &amp; Loss'!B331 &amp; CHAR(10) &amp; "Time: " &amp; TEXT('Profit &amp; Loss'!C331, "hh:mm AM/PM") &amp; " - " &amp; TEXT('Profit &amp; Loss'!D331, "hh:mm AM/PM") &amp; CHAR(10) &amp; "Venue: " &amp; 'Profit &amp; Loss'!E331 &amp; CHAR(10) &amp; "Court No.: " &amp; 'Profit &amp; Loss'!F331 &amp; CHAR(10) &amp; "Level: HB - LI" &amp; CHAR(10) &amp; "Please transfer $" &amp; 'Profit &amp; Loss'!O331 &amp; " per pax to Belle (83396501)" &amp; CHAR(10) &amp; CHAR(10) &amp; IF('Profit &amp; Loss'!I331=1, "1." &amp; CHAR(10) &amp; "2." &amp; CHAR(10) &amp; "3." &amp; CHAR(10) &amp; "4." &amp; CHAR(10) &amp; "5." &amp; CHAR(10) &amp; "6." &amp; CHAR(10), IF('Profit &amp; Loss'!I331=2,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29" spans="1:2" ht="12.5" x14ac:dyDescent="0.25">
      <c r="A329" s="2" t="str">
        <f ca="1">IF('Profit &amp; Loss'!A332&gt;=TODAY(),"Looking for friendly players to join the following game: " &amp; CHAR(10) &amp; CHAR(10) &amp; "Date: " &amp; TEXT('Profit &amp; Loss'!A332,"dd mmm yyy") &amp; ", " &amp; 'Profit &amp; Loss'!B332 &amp; CHAR(10) &amp; "Time: " &amp; TEXT('Profit &amp; Loss'!C332, "hh:mm AM/PM") &amp; " - " &amp; TEXT('Profit &amp; Loss'!D332, "hh:mm AM/PM") &amp; CHAR(10) &amp; "Venue: " &amp; 'Profit &amp; Loss'!E332 &amp; CHAR(10) &amp; "Level: HB - LI" &amp; CHAR(10) &amp; "Cost: $" &amp; 'Profit &amp; Loss'!O332 &amp; " per pax" &amp; CHAR(10) &amp; "Max " &amp; 'Profit &amp; Loss'!I332*6 &amp; " pax," &amp; " (" &amp; 'Profit &amp; Loss'!I332 &amp; " courts)" &amp; CHAR(10) &amp; CHAR(10) &amp; "RSL Ultimate shuttles provided" &amp; CHAR(10) &amp; CHAR(10) &amp; "PM if interested, thank you!"," ")</f>
        <v xml:space="preserve"> </v>
      </c>
      <c r="B329" s="2" t="str">
        <f ca="1">IF('Profit &amp; Loss'!A332&gt;=TODAY(), "Date: " &amp; TEXT('Profit &amp; Loss'!A332,"dd mmm yyy") &amp; ", " &amp; 'Profit &amp; Loss'!B332 &amp; CHAR(10) &amp; "Time: " &amp; TEXT('Profit &amp; Loss'!C332, "hh:mm AM/PM") &amp; " - " &amp; TEXT('Profit &amp; Loss'!D332, "hh:mm AM/PM") &amp; CHAR(10) &amp; "Venue: " &amp; 'Profit &amp; Loss'!E332 &amp; CHAR(10) &amp; "Court No.: " &amp; 'Profit &amp; Loss'!F332 &amp; CHAR(10) &amp; "Level: HB - LI" &amp; CHAR(10) &amp; "Please transfer $" &amp; 'Profit &amp; Loss'!O332 &amp; " per pax to Belle (83396501)" &amp; CHAR(10) &amp; CHAR(10) &amp; IF('Profit &amp; Loss'!I332=1, "1." &amp; CHAR(10) &amp; "2." &amp; CHAR(10) &amp; "3." &amp; CHAR(10) &amp; "4." &amp; CHAR(10) &amp; "5." &amp; CHAR(10) &amp; "6." &amp; CHAR(10), IF('Profit &amp; Loss'!I332=2,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0" spans="1:2" ht="12.5" x14ac:dyDescent="0.25">
      <c r="A330" s="2" t="str">
        <f ca="1">IF('Profit &amp; Loss'!A333&gt;=TODAY(),"Looking for friendly players to join the following game: " &amp; CHAR(10) &amp; CHAR(10) &amp; "Date: " &amp; TEXT('Profit &amp; Loss'!A333,"dd mmm yyy") &amp; ", " &amp; 'Profit &amp; Loss'!B333 &amp; CHAR(10) &amp; "Time: " &amp; TEXT('Profit &amp; Loss'!C333, "hh:mm AM/PM") &amp; " - " &amp; TEXT('Profit &amp; Loss'!D333, "hh:mm AM/PM") &amp; CHAR(10) &amp; "Venue: " &amp; 'Profit &amp; Loss'!E333 &amp; CHAR(10) &amp; "Level: HB - LI" &amp; CHAR(10) &amp; "Cost: $" &amp; 'Profit &amp; Loss'!O333 &amp; " per pax" &amp; CHAR(10) &amp; "Max " &amp; 'Profit &amp; Loss'!I333*6 &amp; " pax," &amp; " (" &amp; 'Profit &amp; Loss'!I333 &amp; " courts)" &amp; CHAR(10) &amp; CHAR(10) &amp; "RSL Ultimate shuttles provided" &amp; CHAR(10) &amp; CHAR(10) &amp; "PM if interested, thank you!"," ")</f>
        <v xml:space="preserve"> </v>
      </c>
      <c r="B330" s="2" t="str">
        <f ca="1">IF('Profit &amp; Loss'!A333&gt;=TODAY(), "Date: " &amp; TEXT('Profit &amp; Loss'!A333,"dd mmm yyy") &amp; ", " &amp; 'Profit &amp; Loss'!B333 &amp; CHAR(10) &amp; "Time: " &amp; TEXT('Profit &amp; Loss'!C333, "hh:mm AM/PM") &amp; " - " &amp; TEXT('Profit &amp; Loss'!D333, "hh:mm AM/PM") &amp; CHAR(10) &amp; "Venue: " &amp; 'Profit &amp; Loss'!E333 &amp; CHAR(10) &amp; "Court No.: " &amp; 'Profit &amp; Loss'!F333 &amp; CHAR(10) &amp; "Level: HB - LI" &amp; CHAR(10) &amp; "Please transfer $" &amp; 'Profit &amp; Loss'!O333 &amp; " per pax to Belle (83396501)" &amp; CHAR(10) &amp; CHAR(10) &amp; IF('Profit &amp; Loss'!I333=1, "1." &amp; CHAR(10) &amp; "2." &amp; CHAR(10) &amp; "3." &amp; CHAR(10) &amp; "4." &amp; CHAR(10) &amp; "5." &amp; CHAR(10) &amp; "6." &amp; CHAR(10), IF('Profit &amp; Loss'!I333=2,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1" spans="1:2" ht="12.5" x14ac:dyDescent="0.25">
      <c r="A331" s="2" t="str">
        <f ca="1">IF('Profit &amp; Loss'!A334&gt;=TODAY(),"Looking for friendly players to join the following game: " &amp; CHAR(10) &amp; CHAR(10) &amp; "Date: " &amp; TEXT('Profit &amp; Loss'!A334,"dd mmm yyy") &amp; ", " &amp; 'Profit &amp; Loss'!B334 &amp; CHAR(10) &amp; "Time: " &amp; TEXT('Profit &amp; Loss'!C334, "hh:mm AM/PM") &amp; " - " &amp; TEXT('Profit &amp; Loss'!D334, "hh:mm AM/PM") &amp; CHAR(10) &amp; "Venue: " &amp; 'Profit &amp; Loss'!E334 &amp; CHAR(10) &amp; "Level: HB - LI" &amp; CHAR(10) &amp; "Cost: $" &amp; 'Profit &amp; Loss'!O334 &amp; " per pax" &amp; CHAR(10) &amp; "Max " &amp; 'Profit &amp; Loss'!I334*6 &amp; " pax," &amp; " (" &amp; 'Profit &amp; Loss'!I334 &amp; " courts)" &amp; CHAR(10) &amp; CHAR(10) &amp; "RSL Ultimate shuttles provided" &amp; CHAR(10) &amp; CHAR(10) &amp; "PM if interested, thank you!"," ")</f>
        <v xml:space="preserve"> </v>
      </c>
      <c r="B331" s="2" t="str">
        <f ca="1">IF('Profit &amp; Loss'!A334&gt;=TODAY(), "Date: " &amp; TEXT('Profit &amp; Loss'!A334,"dd mmm yyy") &amp; ", " &amp; 'Profit &amp; Loss'!B334 &amp; CHAR(10) &amp; "Time: " &amp; TEXT('Profit &amp; Loss'!C334, "hh:mm AM/PM") &amp; " - " &amp; TEXT('Profit &amp; Loss'!D334, "hh:mm AM/PM") &amp; CHAR(10) &amp; "Venue: " &amp; 'Profit &amp; Loss'!E334 &amp; CHAR(10) &amp; "Court No.: " &amp; 'Profit &amp; Loss'!F334 &amp; CHAR(10) &amp; "Level: HB - LI" &amp; CHAR(10) &amp; "Please transfer $" &amp; 'Profit &amp; Loss'!O334 &amp; " per pax to Belle (83396501)" &amp; CHAR(10) &amp; CHAR(10) &amp; IF('Profit &amp; Loss'!I334=1, "1." &amp; CHAR(10) &amp; "2." &amp; CHAR(10) &amp; "3." &amp; CHAR(10) &amp; "4." &amp; CHAR(10) &amp; "5." &amp; CHAR(10) &amp; "6." &amp; CHAR(10), IF('Profit &amp; Loss'!I334=2,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2" spans="1:2" ht="12.5" x14ac:dyDescent="0.25">
      <c r="A332" s="2" t="str">
        <f ca="1">IF('Profit &amp; Loss'!A335&gt;=TODAY(),"Looking for friendly players to join the following game: " &amp; CHAR(10) &amp; CHAR(10) &amp; "Date: " &amp; TEXT('Profit &amp; Loss'!A335,"dd mmm yyy") &amp; ", " &amp; 'Profit &amp; Loss'!B335 &amp; CHAR(10) &amp; "Time: " &amp; TEXT('Profit &amp; Loss'!C335, "hh:mm AM/PM") &amp; " - " &amp; TEXT('Profit &amp; Loss'!D335, "hh:mm AM/PM") &amp; CHAR(10) &amp; "Venue: " &amp; 'Profit &amp; Loss'!E335 &amp; CHAR(10) &amp; "Level: HB - LI" &amp; CHAR(10) &amp; "Cost: $" &amp; 'Profit &amp; Loss'!O335 &amp; " per pax" &amp; CHAR(10) &amp; "Max " &amp; 'Profit &amp; Loss'!I335*6 &amp; " pax," &amp; " (" &amp; 'Profit &amp; Loss'!I335 &amp; " courts)" &amp; CHAR(10) &amp; CHAR(10) &amp; "RSL Ultimate shuttles provided" &amp; CHAR(10) &amp; CHAR(10) &amp; "PM if interested, thank you!"," ")</f>
        <v xml:space="preserve"> </v>
      </c>
      <c r="B332" s="2" t="str">
        <f ca="1">IF('Profit &amp; Loss'!A335&gt;=TODAY(), "Date: " &amp; TEXT('Profit &amp; Loss'!A335,"dd mmm yyy") &amp; ", " &amp; 'Profit &amp; Loss'!B335 &amp; CHAR(10) &amp; "Time: " &amp; TEXT('Profit &amp; Loss'!C335, "hh:mm AM/PM") &amp; " - " &amp; TEXT('Profit &amp; Loss'!D335, "hh:mm AM/PM") &amp; CHAR(10) &amp; "Venue: " &amp; 'Profit &amp; Loss'!E335 &amp; CHAR(10) &amp; "Court No.: " &amp; 'Profit &amp; Loss'!F335 &amp; CHAR(10) &amp; "Level: HB - LI" &amp; CHAR(10) &amp; "Please transfer $" &amp; 'Profit &amp; Loss'!O335 &amp; " per pax to Belle (83396501)" &amp; CHAR(10) &amp; CHAR(10) &amp; IF('Profit &amp; Loss'!I335=1, "1." &amp; CHAR(10) &amp; "2." &amp; CHAR(10) &amp; "3." &amp; CHAR(10) &amp; "4." &amp; CHAR(10) &amp; "5." &amp; CHAR(10) &amp; "6." &amp; CHAR(10), IF('Profit &amp; Loss'!I335=2,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3" spans="1:2" ht="12.5" x14ac:dyDescent="0.25">
      <c r="A333" s="2" t="str">
        <f ca="1">IF('Profit &amp; Loss'!A336&gt;=TODAY(),"Looking for friendly players to join the following game: " &amp; CHAR(10) &amp; CHAR(10) &amp; "Date: " &amp; TEXT('Profit &amp; Loss'!A336,"dd mmm yyy") &amp; ", " &amp; 'Profit &amp; Loss'!B336 &amp; CHAR(10) &amp; "Time: " &amp; TEXT('Profit &amp; Loss'!C336, "hh:mm AM/PM") &amp; " - " &amp; TEXT('Profit &amp; Loss'!D336, "hh:mm AM/PM") &amp; CHAR(10) &amp; "Venue: " &amp; 'Profit &amp; Loss'!E336 &amp; CHAR(10) &amp; "Level: HB - LI" &amp; CHAR(10) &amp; "Cost: $" &amp; 'Profit &amp; Loss'!O336 &amp; " per pax" &amp; CHAR(10) &amp; "Max " &amp; 'Profit &amp; Loss'!I336*6 &amp; " pax," &amp; " (" &amp; 'Profit &amp; Loss'!I336 &amp; " courts)" &amp; CHAR(10) &amp; CHAR(10) &amp; "RSL Ultimate shuttles provided" &amp; CHAR(10) &amp; CHAR(10) &amp; "PM if interested, thank you!"," ")</f>
        <v xml:space="preserve"> </v>
      </c>
      <c r="B333" s="2" t="str">
        <f ca="1">IF('Profit &amp; Loss'!A336&gt;=TODAY(), "Date: " &amp; TEXT('Profit &amp; Loss'!A336,"dd mmm yyy") &amp; ", " &amp; 'Profit &amp; Loss'!B336 &amp; CHAR(10) &amp; "Time: " &amp; TEXT('Profit &amp; Loss'!C336, "hh:mm AM/PM") &amp; " - " &amp; TEXT('Profit &amp; Loss'!D336, "hh:mm AM/PM") &amp; CHAR(10) &amp; "Venue: " &amp; 'Profit &amp; Loss'!E336 &amp; CHAR(10) &amp; "Court No.: " &amp; 'Profit &amp; Loss'!F336 &amp; CHAR(10) &amp; "Level: HB - LI" &amp; CHAR(10) &amp; "Please transfer $" &amp; 'Profit &amp; Loss'!O336 &amp; " per pax to Belle (83396501)" &amp; CHAR(10) &amp; CHAR(10) &amp; IF('Profit &amp; Loss'!I336=1, "1." &amp; CHAR(10) &amp; "2." &amp; CHAR(10) &amp; "3." &amp; CHAR(10) &amp; "4." &amp; CHAR(10) &amp; "5." &amp; CHAR(10) &amp; "6." &amp; CHAR(10), IF('Profit &amp; Loss'!I336=2,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4" spans="1:2" ht="12.5" x14ac:dyDescent="0.25">
      <c r="A334" s="2" t="str">
        <f ca="1">IF('Profit &amp; Loss'!A337&gt;=TODAY(),"Looking for friendly players to join the following game: " &amp; CHAR(10) &amp; CHAR(10) &amp; "Date: " &amp; TEXT('Profit &amp; Loss'!A337,"dd mmm yyy") &amp; ", " &amp; 'Profit &amp; Loss'!B337 &amp; CHAR(10) &amp; "Time: " &amp; TEXT('Profit &amp; Loss'!C337, "hh:mm AM/PM") &amp; " - " &amp; TEXT('Profit &amp; Loss'!D337, "hh:mm AM/PM") &amp; CHAR(10) &amp; "Venue: " &amp; 'Profit &amp; Loss'!E337 &amp; CHAR(10) &amp; "Level: HB - LI" &amp; CHAR(10) &amp; "Cost: $" &amp; 'Profit &amp; Loss'!O337 &amp; " per pax" &amp; CHAR(10) &amp; "Max " &amp; 'Profit &amp; Loss'!I337*6 &amp; " pax," &amp; " (" &amp; 'Profit &amp; Loss'!I337 &amp; " courts)" &amp; CHAR(10) &amp; CHAR(10) &amp; "RSL Ultimate shuttles provided" &amp; CHAR(10) &amp; CHAR(10) &amp; "PM if interested, thank you!"," ")</f>
        <v xml:space="preserve"> </v>
      </c>
      <c r="B334" s="2" t="str">
        <f ca="1">IF('Profit &amp; Loss'!A337&gt;=TODAY(), "Date: " &amp; TEXT('Profit &amp; Loss'!A337,"dd mmm yyy") &amp; ", " &amp; 'Profit &amp; Loss'!B337 &amp; CHAR(10) &amp; "Time: " &amp; TEXT('Profit &amp; Loss'!C337, "hh:mm AM/PM") &amp; " - " &amp; TEXT('Profit &amp; Loss'!D337, "hh:mm AM/PM") &amp; CHAR(10) &amp; "Venue: " &amp; 'Profit &amp; Loss'!E337 &amp; CHAR(10) &amp; "Court No.: " &amp; 'Profit &amp; Loss'!F337 &amp; CHAR(10) &amp; "Level: HB - LI" &amp; CHAR(10) &amp; "Please transfer $" &amp; 'Profit &amp; Loss'!O337 &amp; " per pax to Belle (83396501)" &amp; CHAR(10) &amp; CHAR(10) &amp; IF('Profit &amp; Loss'!I337=1, "1." &amp; CHAR(10) &amp; "2." &amp; CHAR(10) &amp; "3." &amp; CHAR(10) &amp; "4." &amp; CHAR(10) &amp; "5." &amp; CHAR(10) &amp; "6." &amp; CHAR(10), IF('Profit &amp; Loss'!I337=2,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5" spans="1:2" ht="12.5" x14ac:dyDescent="0.25">
      <c r="A335" s="2" t="str">
        <f ca="1">IF('Profit &amp; Loss'!A338&gt;=TODAY(),"Looking for friendly players to join the following game: " &amp; CHAR(10) &amp; CHAR(10) &amp; "Date: " &amp; TEXT('Profit &amp; Loss'!A338,"dd mmm yyy") &amp; ", " &amp; 'Profit &amp; Loss'!B338 &amp; CHAR(10) &amp; "Time: " &amp; TEXT('Profit &amp; Loss'!C338, "hh:mm AM/PM") &amp; " - " &amp; TEXT('Profit &amp; Loss'!D338, "hh:mm AM/PM") &amp; CHAR(10) &amp; "Venue: " &amp; 'Profit &amp; Loss'!E338 &amp; CHAR(10) &amp; "Level: HB - LI" &amp; CHAR(10) &amp; "Cost: $" &amp; 'Profit &amp; Loss'!O338 &amp; " per pax" &amp; CHAR(10) &amp; "Max " &amp; 'Profit &amp; Loss'!I338*6 &amp; " pax," &amp; " (" &amp; 'Profit &amp; Loss'!I338 &amp; " courts)" &amp; CHAR(10) &amp; CHAR(10) &amp; "RSL Ultimate shuttles provided" &amp; CHAR(10) &amp; CHAR(10) &amp; "PM if interested, thank you!"," ")</f>
        <v xml:space="preserve"> </v>
      </c>
      <c r="B335" s="2" t="str">
        <f ca="1">IF('Profit &amp; Loss'!A338&gt;=TODAY(), "Date: " &amp; TEXT('Profit &amp; Loss'!A338,"dd mmm yyy") &amp; ", " &amp; 'Profit &amp; Loss'!B338 &amp; CHAR(10) &amp; "Time: " &amp; TEXT('Profit &amp; Loss'!C338, "hh:mm AM/PM") &amp; " - " &amp; TEXT('Profit &amp; Loss'!D338, "hh:mm AM/PM") &amp; CHAR(10) &amp; "Venue: " &amp; 'Profit &amp; Loss'!E338 &amp; CHAR(10) &amp; "Court No.: " &amp; 'Profit &amp; Loss'!F338 &amp; CHAR(10) &amp; "Level: HB - LI" &amp; CHAR(10) &amp; "Please transfer $" &amp; 'Profit &amp; Loss'!O338 &amp; " per pax to Belle (83396501)" &amp; CHAR(10) &amp; CHAR(10) &amp; IF('Profit &amp; Loss'!I338=1, "1." &amp; CHAR(10) &amp; "2." &amp; CHAR(10) &amp; "3." &amp; CHAR(10) &amp; "4." &amp; CHAR(10) &amp; "5." &amp; CHAR(10) &amp; "6." &amp; CHAR(10), IF('Profit &amp; Loss'!I338=2,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6" spans="1:2" ht="12.5" x14ac:dyDescent="0.25">
      <c r="A336" s="2" t="str">
        <f ca="1">IF('Profit &amp; Loss'!A339&gt;=TODAY(),"Looking for friendly players to join the following game: " &amp; CHAR(10) &amp; CHAR(10) &amp; "Date: " &amp; TEXT('Profit &amp; Loss'!A339,"dd mmm yyy") &amp; ", " &amp; 'Profit &amp; Loss'!B339 &amp; CHAR(10) &amp; "Time: " &amp; TEXT('Profit &amp; Loss'!C339, "hh:mm AM/PM") &amp; " - " &amp; TEXT('Profit &amp; Loss'!D339, "hh:mm AM/PM") &amp; CHAR(10) &amp; "Venue: " &amp; 'Profit &amp; Loss'!E339 &amp; CHAR(10) &amp; "Level: HB - LI" &amp; CHAR(10) &amp; "Cost: $" &amp; 'Profit &amp; Loss'!O339 &amp; " per pax" &amp; CHAR(10) &amp; "Max " &amp; 'Profit &amp; Loss'!I339*6 &amp; " pax," &amp; " (" &amp; 'Profit &amp; Loss'!I339 &amp; " courts)" &amp; CHAR(10) &amp; CHAR(10) &amp; "RSL Ultimate shuttles provided" &amp; CHAR(10) &amp; CHAR(10) &amp; "PM if interested, thank you!"," ")</f>
        <v xml:space="preserve"> </v>
      </c>
      <c r="B336" s="2" t="str">
        <f ca="1">IF('Profit &amp; Loss'!A339&gt;=TODAY(), "Date: " &amp; TEXT('Profit &amp; Loss'!A339,"dd mmm yyy") &amp; ", " &amp; 'Profit &amp; Loss'!B339 &amp; CHAR(10) &amp; "Time: " &amp; TEXT('Profit &amp; Loss'!C339, "hh:mm AM/PM") &amp; " - " &amp; TEXT('Profit &amp; Loss'!D339, "hh:mm AM/PM") &amp; CHAR(10) &amp; "Venue: " &amp; 'Profit &amp; Loss'!E339 &amp; CHAR(10) &amp; "Court No.: " &amp; 'Profit &amp; Loss'!F339 &amp; CHAR(10) &amp; "Level: HB - LI" &amp; CHAR(10) &amp; "Please transfer $" &amp; 'Profit &amp; Loss'!O339 &amp; " per pax to Belle (83396501)" &amp; CHAR(10) &amp; CHAR(10) &amp; IF('Profit &amp; Loss'!I339=1, "1." &amp; CHAR(10) &amp; "2." &amp; CHAR(10) &amp; "3." &amp; CHAR(10) &amp; "4." &amp; CHAR(10) &amp; "5." &amp; CHAR(10) &amp; "6." &amp; CHAR(10), IF('Profit &amp; Loss'!I339=2,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7" spans="1:2" ht="12.5" x14ac:dyDescent="0.25">
      <c r="A337" s="2" t="str">
        <f ca="1">IF('Profit &amp; Loss'!A340&gt;=TODAY(),"Looking for friendly players to join the following game: " &amp; CHAR(10) &amp; CHAR(10) &amp; "Date: " &amp; TEXT('Profit &amp; Loss'!A340,"dd mmm yyy") &amp; ", " &amp; 'Profit &amp; Loss'!B340 &amp; CHAR(10) &amp; "Time: " &amp; TEXT('Profit &amp; Loss'!C340, "hh:mm AM/PM") &amp; " - " &amp; TEXT('Profit &amp; Loss'!D340, "hh:mm AM/PM") &amp; CHAR(10) &amp; "Venue: " &amp; 'Profit &amp; Loss'!E340 &amp; CHAR(10) &amp; "Level: HB - LI" &amp; CHAR(10) &amp; "Cost: $" &amp; 'Profit &amp; Loss'!O340 &amp; " per pax" &amp; CHAR(10) &amp; "Max " &amp; 'Profit &amp; Loss'!I340*6 &amp; " pax," &amp; " (" &amp; 'Profit &amp; Loss'!I340 &amp; " courts)" &amp; CHAR(10) &amp; CHAR(10) &amp; "RSL Ultimate shuttles provided" &amp; CHAR(10) &amp; CHAR(10) &amp; "PM if interested, thank you!"," ")</f>
        <v xml:space="preserve"> </v>
      </c>
      <c r="B337" s="2" t="str">
        <f ca="1">IF('Profit &amp; Loss'!A340&gt;=TODAY(), "Date: " &amp; TEXT('Profit &amp; Loss'!A340,"dd mmm yyy") &amp; ", " &amp; 'Profit &amp; Loss'!B340 &amp; CHAR(10) &amp; "Time: " &amp; TEXT('Profit &amp; Loss'!C340, "hh:mm AM/PM") &amp; " - " &amp; TEXT('Profit &amp; Loss'!D340, "hh:mm AM/PM") &amp; CHAR(10) &amp; "Venue: " &amp; 'Profit &amp; Loss'!E340 &amp; CHAR(10) &amp; "Court No.: " &amp; 'Profit &amp; Loss'!F340 &amp; CHAR(10) &amp; "Level: HB - LI" &amp; CHAR(10) &amp; "Please transfer $" &amp; 'Profit &amp; Loss'!O340 &amp; " per pax to Belle (83396501)" &amp; CHAR(10) &amp; CHAR(10) &amp; IF('Profit &amp; Loss'!I340=1, "1." &amp; CHAR(10) &amp; "2." &amp; CHAR(10) &amp; "3." &amp; CHAR(10) &amp; "4." &amp; CHAR(10) &amp; "5." &amp; CHAR(10) &amp; "6." &amp; CHAR(10), IF('Profit &amp; Loss'!I340=2,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8" spans="1:2" ht="12.5" x14ac:dyDescent="0.25">
      <c r="A338" s="2" t="str">
        <f ca="1">IF('Profit &amp; Loss'!A341&gt;=TODAY(),"Looking for friendly players to join the following game: " &amp; CHAR(10) &amp; CHAR(10) &amp; "Date: " &amp; TEXT('Profit &amp; Loss'!A341,"dd mmm yyy") &amp; ", " &amp; 'Profit &amp; Loss'!B341 &amp; CHAR(10) &amp; "Time: " &amp; TEXT('Profit &amp; Loss'!C341, "hh:mm AM/PM") &amp; " - " &amp; TEXT('Profit &amp; Loss'!D341, "hh:mm AM/PM") &amp; CHAR(10) &amp; "Venue: " &amp; 'Profit &amp; Loss'!E341 &amp; CHAR(10) &amp; "Level: HB - LI" &amp; CHAR(10) &amp; "Cost: $" &amp; 'Profit &amp; Loss'!O341 &amp; " per pax" &amp; CHAR(10) &amp; "Max " &amp; 'Profit &amp; Loss'!I341*6 &amp; " pax," &amp; " (" &amp; 'Profit &amp; Loss'!I341 &amp; " courts)" &amp; CHAR(10) &amp; CHAR(10) &amp; "RSL Ultimate shuttles provided" &amp; CHAR(10) &amp; CHAR(10) &amp; "PM if interested, thank you!"," ")</f>
        <v xml:space="preserve"> </v>
      </c>
      <c r="B338" s="2" t="str">
        <f ca="1">IF('Profit &amp; Loss'!A341&gt;=TODAY(), "Date: " &amp; TEXT('Profit &amp; Loss'!A341,"dd mmm yyy") &amp; ", " &amp; 'Profit &amp; Loss'!B341 &amp; CHAR(10) &amp; "Time: " &amp; TEXT('Profit &amp; Loss'!C341, "hh:mm AM/PM") &amp; " - " &amp; TEXT('Profit &amp; Loss'!D341, "hh:mm AM/PM") &amp; CHAR(10) &amp; "Venue: " &amp; 'Profit &amp; Loss'!E341 &amp; CHAR(10) &amp; "Court No.: " &amp; 'Profit &amp; Loss'!F341 &amp; CHAR(10) &amp; "Level: HB - LI" &amp; CHAR(10) &amp; "Please transfer $" &amp; 'Profit &amp; Loss'!O341 &amp; " per pax to Belle (83396501)" &amp; CHAR(10) &amp; CHAR(10) &amp; IF('Profit &amp; Loss'!I341=1, "1." &amp; CHAR(10) &amp; "2." &amp; CHAR(10) &amp; "3." &amp; CHAR(10) &amp; "4." &amp; CHAR(10) &amp; "5." &amp; CHAR(10) &amp; "6." &amp; CHAR(10), IF('Profit &amp; Loss'!I341=2,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39" spans="1:2" ht="12.5" x14ac:dyDescent="0.25">
      <c r="A339" s="2" t="str">
        <f ca="1">IF('Profit &amp; Loss'!A342&gt;=TODAY(),"Looking for friendly players to join the following game: " &amp; CHAR(10) &amp; CHAR(10) &amp; "Date: " &amp; TEXT('Profit &amp; Loss'!A342,"dd mmm yyy") &amp; ", " &amp; 'Profit &amp; Loss'!B342 &amp; CHAR(10) &amp; "Time: " &amp; TEXT('Profit &amp; Loss'!C342, "hh:mm AM/PM") &amp; " - " &amp; TEXT('Profit &amp; Loss'!D342, "hh:mm AM/PM") &amp; CHAR(10) &amp; "Venue: " &amp; 'Profit &amp; Loss'!E342 &amp; CHAR(10) &amp; "Level: HB - LI" &amp; CHAR(10) &amp; "Cost: $" &amp; 'Profit &amp; Loss'!O342 &amp; " per pax" &amp; CHAR(10) &amp; "Max " &amp; 'Profit &amp; Loss'!I342*6 &amp; " pax," &amp; " (" &amp; 'Profit &amp; Loss'!I342 &amp; " courts)" &amp; CHAR(10) &amp; CHAR(10) &amp; "RSL Ultimate shuttles provided" &amp; CHAR(10) &amp; CHAR(10) &amp; "PM if interested, thank you!"," ")</f>
        <v xml:space="preserve"> </v>
      </c>
      <c r="B339" s="2" t="str">
        <f ca="1">IF('Profit &amp; Loss'!A342&gt;=TODAY(), "Date: " &amp; TEXT('Profit &amp; Loss'!A342,"dd mmm yyy") &amp; ", " &amp; 'Profit &amp; Loss'!B342 &amp; CHAR(10) &amp; "Time: " &amp; TEXT('Profit &amp; Loss'!C342, "hh:mm AM/PM") &amp; " - " &amp; TEXT('Profit &amp; Loss'!D342, "hh:mm AM/PM") &amp; CHAR(10) &amp; "Venue: " &amp; 'Profit &amp; Loss'!E342 &amp; CHAR(10) &amp; "Court No.: " &amp; 'Profit &amp; Loss'!F342 &amp; CHAR(10) &amp; "Level: HB - LI" &amp; CHAR(10) &amp; "Please transfer $" &amp; 'Profit &amp; Loss'!O342 &amp; " per pax to Belle (83396501)" &amp; CHAR(10) &amp; CHAR(10) &amp; IF('Profit &amp; Loss'!I342=1, "1." &amp; CHAR(10) &amp; "2." &amp; CHAR(10) &amp; "3." &amp; CHAR(10) &amp; "4." &amp; CHAR(10) &amp; "5." &amp; CHAR(10) &amp; "6." &amp; CHAR(10), IF('Profit &amp; Loss'!I342=2,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0" spans="1:2" ht="12.5" x14ac:dyDescent="0.25">
      <c r="A340" s="2" t="str">
        <f ca="1">IF('Profit &amp; Loss'!A343&gt;=TODAY(),"Looking for friendly players to join the following game: " &amp; CHAR(10) &amp; CHAR(10) &amp; "Date: " &amp; TEXT('Profit &amp; Loss'!A343,"dd mmm yyy") &amp; ", " &amp; 'Profit &amp; Loss'!B343 &amp; CHAR(10) &amp; "Time: " &amp; TEXT('Profit &amp; Loss'!C343, "hh:mm AM/PM") &amp; " - " &amp; TEXT('Profit &amp; Loss'!D343, "hh:mm AM/PM") &amp; CHAR(10) &amp; "Venue: " &amp; 'Profit &amp; Loss'!E343 &amp; CHAR(10) &amp; "Level: HB - LI" &amp; CHAR(10) &amp; "Cost: $" &amp; 'Profit &amp; Loss'!O343 &amp; " per pax" &amp; CHAR(10) &amp; "Max " &amp; 'Profit &amp; Loss'!I343*6 &amp; " pax," &amp; " (" &amp; 'Profit &amp; Loss'!I343 &amp; " courts)" &amp; CHAR(10) &amp; CHAR(10) &amp; "RSL Ultimate shuttles provided" &amp; CHAR(10) &amp; CHAR(10) &amp; "PM if interested, thank you!"," ")</f>
        <v xml:space="preserve"> </v>
      </c>
      <c r="B340" s="2" t="str">
        <f ca="1">IF('Profit &amp; Loss'!A343&gt;=TODAY(), "Date: " &amp; TEXT('Profit &amp; Loss'!A343,"dd mmm yyy") &amp; ", " &amp; 'Profit &amp; Loss'!B343 &amp; CHAR(10) &amp; "Time: " &amp; TEXT('Profit &amp; Loss'!C343, "hh:mm AM/PM") &amp; " - " &amp; TEXT('Profit &amp; Loss'!D343, "hh:mm AM/PM") &amp; CHAR(10) &amp; "Venue: " &amp; 'Profit &amp; Loss'!E343 &amp; CHAR(10) &amp; "Court No.: " &amp; 'Profit &amp; Loss'!F343 &amp; CHAR(10) &amp; "Level: HB - LI" &amp; CHAR(10) &amp; "Please transfer $" &amp; 'Profit &amp; Loss'!O343 &amp; " per pax to Belle (83396501)" &amp; CHAR(10) &amp; CHAR(10) &amp; IF('Profit &amp; Loss'!I343=1, "1." &amp; CHAR(10) &amp; "2." &amp; CHAR(10) &amp; "3." &amp; CHAR(10) &amp; "4." &amp; CHAR(10) &amp; "5." &amp; CHAR(10) &amp; "6." &amp; CHAR(10), IF('Profit &amp; Loss'!I343=2,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1" spans="1:2" ht="12.5" x14ac:dyDescent="0.25">
      <c r="A341" s="2" t="str">
        <f ca="1">IF('Profit &amp; Loss'!A344&gt;=TODAY(),"Looking for friendly players to join the following game: " &amp; CHAR(10) &amp; CHAR(10) &amp; "Date: " &amp; TEXT('Profit &amp; Loss'!A344,"dd mmm yyy") &amp; ", " &amp; 'Profit &amp; Loss'!B344 &amp; CHAR(10) &amp; "Time: " &amp; TEXT('Profit &amp; Loss'!C344, "hh:mm AM/PM") &amp; " - " &amp; TEXT('Profit &amp; Loss'!D344, "hh:mm AM/PM") &amp; CHAR(10) &amp; "Venue: " &amp; 'Profit &amp; Loss'!E344 &amp; CHAR(10) &amp; "Level: HB - LI" &amp; CHAR(10) &amp; "Cost: $" &amp; 'Profit &amp; Loss'!O344 &amp; " per pax" &amp; CHAR(10) &amp; "Max " &amp; 'Profit &amp; Loss'!I344*6 &amp; " pax," &amp; " (" &amp; 'Profit &amp; Loss'!I344 &amp; " courts)" &amp; CHAR(10) &amp; CHAR(10) &amp; "RSL Ultimate shuttles provided" &amp; CHAR(10) &amp; CHAR(10) &amp; "PM if interested, thank you!"," ")</f>
        <v xml:space="preserve"> </v>
      </c>
      <c r="B341" s="2" t="str">
        <f ca="1">IF('Profit &amp; Loss'!A344&gt;=TODAY(), "Date: " &amp; TEXT('Profit &amp; Loss'!A344,"dd mmm yyy") &amp; ", " &amp; 'Profit &amp; Loss'!B344 &amp; CHAR(10) &amp; "Time: " &amp; TEXT('Profit &amp; Loss'!C344, "hh:mm AM/PM") &amp; " - " &amp; TEXT('Profit &amp; Loss'!D344, "hh:mm AM/PM") &amp; CHAR(10) &amp; "Venue: " &amp; 'Profit &amp; Loss'!E344 &amp; CHAR(10) &amp; "Court No.: " &amp; 'Profit &amp; Loss'!F344 &amp; CHAR(10) &amp; "Level: HB - LI" &amp; CHAR(10) &amp; "Please transfer $" &amp; 'Profit &amp; Loss'!O344 &amp; " per pax to Belle (83396501)" &amp; CHAR(10) &amp; CHAR(10) &amp; IF('Profit &amp; Loss'!I344=1, "1." &amp; CHAR(10) &amp; "2." &amp; CHAR(10) &amp; "3." &amp; CHAR(10) &amp; "4." &amp; CHAR(10) &amp; "5." &amp; CHAR(10) &amp; "6." &amp; CHAR(10), IF('Profit &amp; Loss'!I344=2,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2" spans="1:2" ht="12.5" x14ac:dyDescent="0.25">
      <c r="A342" s="2" t="str">
        <f ca="1">IF('Profit &amp; Loss'!A345&gt;=TODAY(),"Looking for friendly players to join the following game: " &amp; CHAR(10) &amp; CHAR(10) &amp; "Date: " &amp; TEXT('Profit &amp; Loss'!A345,"dd mmm yyy") &amp; ", " &amp; 'Profit &amp; Loss'!B345 &amp; CHAR(10) &amp; "Time: " &amp; TEXT('Profit &amp; Loss'!C345, "hh:mm AM/PM") &amp; " - " &amp; TEXT('Profit &amp; Loss'!D345, "hh:mm AM/PM") &amp; CHAR(10) &amp; "Venue: " &amp; 'Profit &amp; Loss'!E345 &amp; CHAR(10) &amp; "Level: HB - LI" &amp; CHAR(10) &amp; "Cost: $" &amp; 'Profit &amp; Loss'!O345 &amp; " per pax" &amp; CHAR(10) &amp; "Max " &amp; 'Profit &amp; Loss'!I345*6 &amp; " pax," &amp; " (" &amp; 'Profit &amp; Loss'!I345 &amp; " courts)" &amp; CHAR(10) &amp; CHAR(10) &amp; "RSL Ultimate shuttles provided" &amp; CHAR(10) &amp; CHAR(10) &amp; "PM if interested, thank you!"," ")</f>
        <v xml:space="preserve"> </v>
      </c>
      <c r="B342" s="2" t="str">
        <f ca="1">IF('Profit &amp; Loss'!A345&gt;=TODAY(), "Date: " &amp; TEXT('Profit &amp; Loss'!A345,"dd mmm yyy") &amp; ", " &amp; 'Profit &amp; Loss'!B345 &amp; CHAR(10) &amp; "Time: " &amp; TEXT('Profit &amp; Loss'!C345, "hh:mm AM/PM") &amp; " - " &amp; TEXT('Profit &amp; Loss'!D345, "hh:mm AM/PM") &amp; CHAR(10) &amp; "Venue: " &amp; 'Profit &amp; Loss'!E345 &amp; CHAR(10) &amp; "Court No.: " &amp; 'Profit &amp; Loss'!F345 &amp; CHAR(10) &amp; "Level: HB - LI" &amp; CHAR(10) &amp; "Please transfer $" &amp; 'Profit &amp; Loss'!O345 &amp; " per pax to Belle (83396501)" &amp; CHAR(10) &amp; CHAR(10) &amp; IF('Profit &amp; Loss'!I345=1, "1." &amp; CHAR(10) &amp; "2." &amp; CHAR(10) &amp; "3." &amp; CHAR(10) &amp; "4." &amp; CHAR(10) &amp; "5." &amp; CHAR(10) &amp; "6." &amp; CHAR(10), IF('Profit &amp; Loss'!I345=2,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3" spans="1:2" ht="12.5" x14ac:dyDescent="0.25">
      <c r="A343" s="2" t="str">
        <f ca="1">IF('Profit &amp; Loss'!A346&gt;=TODAY(),"Looking for friendly players to join the following game: " &amp; CHAR(10) &amp; CHAR(10) &amp; "Date: " &amp; TEXT('Profit &amp; Loss'!A346,"dd mmm yyy") &amp; ", " &amp; 'Profit &amp; Loss'!B346 &amp; CHAR(10) &amp; "Time: " &amp; TEXT('Profit &amp; Loss'!C346, "hh:mm AM/PM") &amp; " - " &amp; TEXT('Profit &amp; Loss'!D346, "hh:mm AM/PM") &amp; CHAR(10) &amp; "Venue: " &amp; 'Profit &amp; Loss'!E346 &amp; CHAR(10) &amp; "Level: HB - LI" &amp; CHAR(10) &amp; "Cost: $" &amp; 'Profit &amp; Loss'!O346 &amp; " per pax" &amp; CHAR(10) &amp; "Max " &amp; 'Profit &amp; Loss'!I346*6 &amp; " pax," &amp; " (" &amp; 'Profit &amp; Loss'!I346 &amp; " courts)" &amp; CHAR(10) &amp; CHAR(10) &amp; "RSL Ultimate shuttles provided" &amp; CHAR(10) &amp; CHAR(10) &amp; "PM if interested, thank you!"," ")</f>
        <v xml:space="preserve"> </v>
      </c>
      <c r="B343" s="2" t="str">
        <f ca="1">IF('Profit &amp; Loss'!A346&gt;=TODAY(), "Date: " &amp; TEXT('Profit &amp; Loss'!A346,"dd mmm yyy") &amp; ", " &amp; 'Profit &amp; Loss'!B346 &amp; CHAR(10) &amp; "Time: " &amp; TEXT('Profit &amp; Loss'!C346, "hh:mm AM/PM") &amp; " - " &amp; TEXT('Profit &amp; Loss'!D346, "hh:mm AM/PM") &amp; CHAR(10) &amp; "Venue: " &amp; 'Profit &amp; Loss'!E346 &amp; CHAR(10) &amp; "Court No.: " &amp; 'Profit &amp; Loss'!F346 &amp; CHAR(10) &amp; "Level: HB - LI" &amp; CHAR(10) &amp; "Please transfer $" &amp; 'Profit &amp; Loss'!O346 &amp; " per pax to Belle (83396501)" &amp; CHAR(10) &amp; CHAR(10) &amp; IF('Profit &amp; Loss'!I346=1, "1." &amp; CHAR(10) &amp; "2." &amp; CHAR(10) &amp; "3." &amp; CHAR(10) &amp; "4." &amp; CHAR(10) &amp; "5." &amp; CHAR(10) &amp; "6." &amp; CHAR(10), IF('Profit &amp; Loss'!I346=2,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4" spans="1:2" ht="12.5" x14ac:dyDescent="0.25">
      <c r="A344" s="2" t="str">
        <f ca="1">IF('Profit &amp; Loss'!A347&gt;=TODAY(),"Looking for friendly players to join the following game: " &amp; CHAR(10) &amp; CHAR(10) &amp; "Date: " &amp; TEXT('Profit &amp; Loss'!A347,"dd mmm yyy") &amp; ", " &amp; 'Profit &amp; Loss'!B347 &amp; CHAR(10) &amp; "Time: " &amp; TEXT('Profit &amp; Loss'!C347, "hh:mm AM/PM") &amp; " - " &amp; TEXT('Profit &amp; Loss'!D347, "hh:mm AM/PM") &amp; CHAR(10) &amp; "Venue: " &amp; 'Profit &amp; Loss'!E347 &amp; CHAR(10) &amp; "Level: HB - LI" &amp; CHAR(10) &amp; "Cost: $" &amp; 'Profit &amp; Loss'!O347 &amp; " per pax" &amp; CHAR(10) &amp; "Max " &amp; 'Profit &amp; Loss'!I347*6 &amp; " pax," &amp; " (" &amp; 'Profit &amp; Loss'!I347 &amp; " courts)" &amp; CHAR(10) &amp; CHAR(10) &amp; "RSL Ultimate shuttles provided" &amp; CHAR(10) &amp; CHAR(10) &amp; "PM if interested, thank you!"," ")</f>
        <v xml:space="preserve"> </v>
      </c>
      <c r="B344" s="2" t="str">
        <f ca="1">IF('Profit &amp; Loss'!A347&gt;=TODAY(), "Date: " &amp; TEXT('Profit &amp; Loss'!A347,"dd mmm yyy") &amp; ", " &amp; 'Profit &amp; Loss'!B347 &amp; CHAR(10) &amp; "Time: " &amp; TEXT('Profit &amp; Loss'!C347, "hh:mm AM/PM") &amp; " - " &amp; TEXT('Profit &amp; Loss'!D347, "hh:mm AM/PM") &amp; CHAR(10) &amp; "Venue: " &amp; 'Profit &amp; Loss'!E347 &amp; CHAR(10) &amp; "Court No.: " &amp; 'Profit &amp; Loss'!F347 &amp; CHAR(10) &amp; "Level: HB - LI" &amp; CHAR(10) &amp; "Please transfer $" &amp; 'Profit &amp; Loss'!O347 &amp; " per pax to Belle (83396501)" &amp; CHAR(10) &amp; CHAR(10) &amp; IF('Profit &amp; Loss'!I347=1, "1." &amp; CHAR(10) &amp; "2." &amp; CHAR(10) &amp; "3." &amp; CHAR(10) &amp; "4." &amp; CHAR(10) &amp; "5." &amp; CHAR(10) &amp; "6." &amp; CHAR(10), IF('Profit &amp; Loss'!I347=2,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5" spans="1:2" ht="12.5" x14ac:dyDescent="0.25">
      <c r="A345" s="2" t="str">
        <f ca="1">IF('Profit &amp; Loss'!A348&gt;=TODAY(),"Looking for friendly players to join the following game: " &amp; CHAR(10) &amp; CHAR(10) &amp; "Date: " &amp; TEXT('Profit &amp; Loss'!A348,"dd mmm yyy") &amp; ", " &amp; 'Profit &amp; Loss'!B348 &amp; CHAR(10) &amp; "Time: " &amp; TEXT('Profit &amp; Loss'!C348, "hh:mm AM/PM") &amp; " - " &amp; TEXT('Profit &amp; Loss'!D348, "hh:mm AM/PM") &amp; CHAR(10) &amp; "Venue: " &amp; 'Profit &amp; Loss'!E348 &amp; CHAR(10) &amp; "Level: HB - LI" &amp; CHAR(10) &amp; "Cost: $" &amp; 'Profit &amp; Loss'!O348 &amp; " per pax" &amp; CHAR(10) &amp; "Max " &amp; 'Profit &amp; Loss'!I348*6 &amp; " pax," &amp; " (" &amp; 'Profit &amp; Loss'!I348 &amp; " courts)" &amp; CHAR(10) &amp; CHAR(10) &amp; "RSL Ultimate shuttles provided" &amp; CHAR(10) &amp; CHAR(10) &amp; "PM if interested, thank you!"," ")</f>
        <v xml:space="preserve"> </v>
      </c>
      <c r="B345" s="2" t="str">
        <f ca="1">IF('Profit &amp; Loss'!A348&gt;=TODAY(), "Date: " &amp; TEXT('Profit &amp; Loss'!A348,"dd mmm yyy") &amp; ", " &amp; 'Profit &amp; Loss'!B348 &amp; CHAR(10) &amp; "Time: " &amp; TEXT('Profit &amp; Loss'!C348, "hh:mm AM/PM") &amp; " - " &amp; TEXT('Profit &amp; Loss'!D348, "hh:mm AM/PM") &amp; CHAR(10) &amp; "Venue: " &amp; 'Profit &amp; Loss'!E348 &amp; CHAR(10) &amp; "Court No.: " &amp; 'Profit &amp; Loss'!F348 &amp; CHAR(10) &amp; "Level: HB - LI" &amp; CHAR(10) &amp; "Please transfer $" &amp; 'Profit &amp; Loss'!O348 &amp; " per pax to Belle (83396501)" &amp; CHAR(10) &amp; CHAR(10) &amp; IF('Profit &amp; Loss'!I348=1, "1." &amp; CHAR(10) &amp; "2." &amp; CHAR(10) &amp; "3." &amp; CHAR(10) &amp; "4." &amp; CHAR(10) &amp; "5." &amp; CHAR(10) &amp; "6." &amp; CHAR(10), IF('Profit &amp; Loss'!I348=2,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6" spans="1:2" ht="12.5" x14ac:dyDescent="0.25">
      <c r="A346" s="2" t="str">
        <f ca="1">IF('Profit &amp; Loss'!A349&gt;=TODAY(),"Looking for friendly players to join the following game: " &amp; CHAR(10) &amp; CHAR(10) &amp; "Date: " &amp; TEXT('Profit &amp; Loss'!A349,"dd mmm yyy") &amp; ", " &amp; 'Profit &amp; Loss'!B349 &amp; CHAR(10) &amp; "Time: " &amp; TEXT('Profit &amp; Loss'!C349, "hh:mm AM/PM") &amp; " - " &amp; TEXT('Profit &amp; Loss'!D349, "hh:mm AM/PM") &amp; CHAR(10) &amp; "Venue: " &amp; 'Profit &amp; Loss'!E349 &amp; CHAR(10) &amp; "Level: HB - LI" &amp; CHAR(10) &amp; "Cost: $" &amp; 'Profit &amp; Loss'!O349 &amp; " per pax" &amp; CHAR(10) &amp; "Max " &amp; 'Profit &amp; Loss'!I349*6 &amp; " pax," &amp; " (" &amp; 'Profit &amp; Loss'!I349 &amp; " courts)" &amp; CHAR(10) &amp; CHAR(10) &amp; "RSL Ultimate shuttles provided" &amp; CHAR(10) &amp; CHAR(10) &amp; "PM if interested, thank you!"," ")</f>
        <v xml:space="preserve"> </v>
      </c>
      <c r="B346" s="2" t="str">
        <f ca="1">IF('Profit &amp; Loss'!A349&gt;=TODAY(), "Date: " &amp; TEXT('Profit &amp; Loss'!A349,"dd mmm yyy") &amp; ", " &amp; 'Profit &amp; Loss'!B349 &amp; CHAR(10) &amp; "Time: " &amp; TEXT('Profit &amp; Loss'!C349, "hh:mm AM/PM") &amp; " - " &amp; TEXT('Profit &amp; Loss'!D349, "hh:mm AM/PM") &amp; CHAR(10) &amp; "Venue: " &amp; 'Profit &amp; Loss'!E349 &amp; CHAR(10) &amp; "Court No.: " &amp; 'Profit &amp; Loss'!F349 &amp; CHAR(10) &amp; "Level: HB - LI" &amp; CHAR(10) &amp; "Please transfer $" &amp; 'Profit &amp; Loss'!O349 &amp; " per pax to Belle (83396501)" &amp; CHAR(10) &amp; CHAR(10) &amp; IF('Profit &amp; Loss'!I349=1, "1." &amp; CHAR(10) &amp; "2." &amp; CHAR(10) &amp; "3." &amp; CHAR(10) &amp; "4." &amp; CHAR(10) &amp; "5." &amp; CHAR(10) &amp; "6." &amp; CHAR(10), IF('Profit &amp; Loss'!I349=2,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7" spans="1:2" ht="12.5" x14ac:dyDescent="0.25">
      <c r="A347" s="2" t="str">
        <f ca="1">IF('Profit &amp; Loss'!A350&gt;=TODAY(),"Looking for friendly players to join the following game: " &amp; CHAR(10) &amp; CHAR(10) &amp; "Date: " &amp; TEXT('Profit &amp; Loss'!A350,"dd mmm yyy") &amp; ", " &amp; 'Profit &amp; Loss'!B350 &amp; CHAR(10) &amp; "Time: " &amp; TEXT('Profit &amp; Loss'!C350, "hh:mm AM/PM") &amp; " - " &amp; TEXT('Profit &amp; Loss'!D350, "hh:mm AM/PM") &amp; CHAR(10) &amp; "Venue: " &amp; 'Profit &amp; Loss'!E350 &amp; CHAR(10) &amp; "Level: HB - LI" &amp; CHAR(10) &amp; "Cost: $" &amp; 'Profit &amp; Loss'!O350 &amp; " per pax" &amp; CHAR(10) &amp; "Max " &amp; 'Profit &amp; Loss'!I350*6 &amp; " pax," &amp; " (" &amp; 'Profit &amp; Loss'!I350 &amp; " courts)" &amp; CHAR(10) &amp; CHAR(10) &amp; "RSL Ultimate shuttles provided" &amp; CHAR(10) &amp; CHAR(10) &amp; "PM if interested, thank you!"," ")</f>
        <v xml:space="preserve"> </v>
      </c>
      <c r="B347" s="2" t="str">
        <f ca="1">IF('Profit &amp; Loss'!A350&gt;=TODAY(), "Date: " &amp; TEXT('Profit &amp; Loss'!A350,"dd mmm yyy") &amp; ", " &amp; 'Profit &amp; Loss'!B350 &amp; CHAR(10) &amp; "Time: " &amp; TEXT('Profit &amp; Loss'!C350, "hh:mm AM/PM") &amp; " - " &amp; TEXT('Profit &amp; Loss'!D350, "hh:mm AM/PM") &amp; CHAR(10) &amp; "Venue: " &amp; 'Profit &amp; Loss'!E350 &amp; CHAR(10) &amp; "Court No.: " &amp; 'Profit &amp; Loss'!F350 &amp; CHAR(10) &amp; "Level: HB - LI" &amp; CHAR(10) &amp; "Please transfer $" &amp; 'Profit &amp; Loss'!O350 &amp; " per pax to Belle (83396501)" &amp; CHAR(10) &amp; CHAR(10) &amp; IF('Profit &amp; Loss'!I350=1, "1." &amp; CHAR(10) &amp; "2." &amp; CHAR(10) &amp; "3." &amp; CHAR(10) &amp; "4." &amp; CHAR(10) &amp; "5." &amp; CHAR(10) &amp; "6." &amp; CHAR(10), IF('Profit &amp; Loss'!I350=2,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8" spans="1:2" ht="12.5" x14ac:dyDescent="0.25">
      <c r="A348" s="2" t="str">
        <f ca="1">IF('Profit &amp; Loss'!A351&gt;=TODAY(),"Looking for friendly players to join the following game: " &amp; CHAR(10) &amp; CHAR(10) &amp; "Date: " &amp; TEXT('Profit &amp; Loss'!A351,"dd mmm yyy") &amp; ", " &amp; 'Profit &amp; Loss'!B351 &amp; CHAR(10) &amp; "Time: " &amp; TEXT('Profit &amp; Loss'!C351, "hh:mm AM/PM") &amp; " - " &amp; TEXT('Profit &amp; Loss'!D351, "hh:mm AM/PM") &amp; CHAR(10) &amp; "Venue: " &amp; 'Profit &amp; Loss'!E351 &amp; CHAR(10) &amp; "Level: HB - LI" &amp; CHAR(10) &amp; "Cost: $" &amp; 'Profit &amp; Loss'!O351 &amp; " per pax" &amp; CHAR(10) &amp; "Max " &amp; 'Profit &amp; Loss'!I351*6 &amp; " pax," &amp; " (" &amp; 'Profit &amp; Loss'!I351 &amp; " courts)" &amp; CHAR(10) &amp; CHAR(10) &amp; "RSL Ultimate shuttles provided" &amp; CHAR(10) &amp; CHAR(10) &amp; "PM if interested, thank you!"," ")</f>
        <v xml:space="preserve"> </v>
      </c>
      <c r="B348" s="2" t="str">
        <f ca="1">IF('Profit &amp; Loss'!A351&gt;=TODAY(), "Date: " &amp; TEXT('Profit &amp; Loss'!A351,"dd mmm yyy") &amp; ", " &amp; 'Profit &amp; Loss'!B351 &amp; CHAR(10) &amp; "Time: " &amp; TEXT('Profit &amp; Loss'!C351, "hh:mm AM/PM") &amp; " - " &amp; TEXT('Profit &amp; Loss'!D351, "hh:mm AM/PM") &amp; CHAR(10) &amp; "Venue: " &amp; 'Profit &amp; Loss'!E351 &amp; CHAR(10) &amp; "Court No.: " &amp; 'Profit &amp; Loss'!F351 &amp; CHAR(10) &amp; "Level: HB - LI" &amp; CHAR(10) &amp; "Please transfer $" &amp; 'Profit &amp; Loss'!O351 &amp; " per pax to Belle (83396501)" &amp; CHAR(10) &amp; CHAR(10) &amp; IF('Profit &amp; Loss'!I351=1, "1." &amp; CHAR(10) &amp; "2." &amp; CHAR(10) &amp; "3." &amp; CHAR(10) &amp; "4." &amp; CHAR(10) &amp; "5." &amp; CHAR(10) &amp; "6." &amp; CHAR(10), IF('Profit &amp; Loss'!I351=2,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49" spans="1:2" ht="12.5" x14ac:dyDescent="0.25">
      <c r="A349" s="2" t="str">
        <f ca="1">IF('Profit &amp; Loss'!A352&gt;=TODAY(),"Looking for friendly players to join the following game: " &amp; CHAR(10) &amp; CHAR(10) &amp; "Date: " &amp; TEXT('Profit &amp; Loss'!A352,"dd mmm yyy") &amp; ", " &amp; 'Profit &amp; Loss'!B352 &amp; CHAR(10) &amp; "Time: " &amp; TEXT('Profit &amp; Loss'!C352, "hh:mm AM/PM") &amp; " - " &amp; TEXT('Profit &amp; Loss'!D352, "hh:mm AM/PM") &amp; CHAR(10) &amp; "Venue: " &amp; 'Profit &amp; Loss'!E352 &amp; CHAR(10) &amp; "Level: HB - LI" &amp; CHAR(10) &amp; "Cost: $" &amp; 'Profit &amp; Loss'!O352 &amp; " per pax" &amp; CHAR(10) &amp; "Max " &amp; 'Profit &amp; Loss'!I352*6 &amp; " pax," &amp; " (" &amp; 'Profit &amp; Loss'!I352 &amp; " courts)" &amp; CHAR(10) &amp; CHAR(10) &amp; "RSL Ultimate shuttles provided" &amp; CHAR(10) &amp; CHAR(10) &amp; "PM if interested, thank you!"," ")</f>
        <v xml:space="preserve"> </v>
      </c>
      <c r="B349" s="2" t="str">
        <f ca="1">IF('Profit &amp; Loss'!A352&gt;=TODAY(), "Date: " &amp; TEXT('Profit &amp; Loss'!A352,"dd mmm yyy") &amp; ", " &amp; 'Profit &amp; Loss'!B352 &amp; CHAR(10) &amp; "Time: " &amp; TEXT('Profit &amp; Loss'!C352, "hh:mm AM/PM") &amp; " - " &amp; TEXT('Profit &amp; Loss'!D352, "hh:mm AM/PM") &amp; CHAR(10) &amp; "Venue: " &amp; 'Profit &amp; Loss'!E352 &amp; CHAR(10) &amp; "Court No.: " &amp; 'Profit &amp; Loss'!F352 &amp; CHAR(10) &amp; "Level: HB - LI" &amp; CHAR(10) &amp; "Please transfer $" &amp; 'Profit &amp; Loss'!O352 &amp; " per pax to Belle (83396501)" &amp; CHAR(10) &amp; CHAR(10) &amp; IF('Profit &amp; Loss'!I352=1, "1." &amp; CHAR(10) &amp; "2." &amp; CHAR(10) &amp; "3." &amp; CHAR(10) &amp; "4." &amp; CHAR(10) &amp; "5." &amp; CHAR(10) &amp; "6." &amp; CHAR(10), IF('Profit &amp; Loss'!I352=2,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0" spans="1:2" ht="12.5" x14ac:dyDescent="0.25">
      <c r="A350" s="2" t="str">
        <f ca="1">IF('Profit &amp; Loss'!A353&gt;=TODAY(),"Looking for friendly players to join the following game: " &amp; CHAR(10) &amp; CHAR(10) &amp; "Date: " &amp; TEXT('Profit &amp; Loss'!A353,"dd mmm yyy") &amp; ", " &amp; 'Profit &amp; Loss'!B353 &amp; CHAR(10) &amp; "Time: " &amp; TEXT('Profit &amp; Loss'!C353, "hh:mm AM/PM") &amp; " - " &amp; TEXT('Profit &amp; Loss'!D353, "hh:mm AM/PM") &amp; CHAR(10) &amp; "Venue: " &amp; 'Profit &amp; Loss'!E353 &amp; CHAR(10) &amp; "Level: HB - LI" &amp; CHAR(10) &amp; "Cost: $" &amp; 'Profit &amp; Loss'!O353 &amp; " per pax" &amp; CHAR(10) &amp; "Max " &amp; 'Profit &amp; Loss'!I353*6 &amp; " pax," &amp; " (" &amp; 'Profit &amp; Loss'!I353 &amp; " courts)" &amp; CHAR(10) &amp; CHAR(10) &amp; "RSL Ultimate shuttles provided" &amp; CHAR(10) &amp; CHAR(10) &amp; "PM if interested, thank you!"," ")</f>
        <v xml:space="preserve"> </v>
      </c>
      <c r="B350" s="2" t="str">
        <f ca="1">IF('Profit &amp; Loss'!A353&gt;=TODAY(), "Date: " &amp; TEXT('Profit &amp; Loss'!A353,"dd mmm yyy") &amp; ", " &amp; 'Profit &amp; Loss'!B353 &amp; CHAR(10) &amp; "Time: " &amp; TEXT('Profit &amp; Loss'!C353, "hh:mm AM/PM") &amp; " - " &amp; TEXT('Profit &amp; Loss'!D353, "hh:mm AM/PM") &amp; CHAR(10) &amp; "Venue: " &amp; 'Profit &amp; Loss'!E353 &amp; CHAR(10) &amp; "Court No.: " &amp; 'Profit &amp; Loss'!F353 &amp; CHAR(10) &amp; "Level: HB - LI" &amp; CHAR(10) &amp; "Please transfer $" &amp; 'Profit &amp; Loss'!O353 &amp; " per pax to Belle (83396501)" &amp; CHAR(10) &amp; CHAR(10) &amp; IF('Profit &amp; Loss'!I353=1, "1." &amp; CHAR(10) &amp; "2." &amp; CHAR(10) &amp; "3." &amp; CHAR(10) &amp; "4." &amp; CHAR(10) &amp; "5." &amp; CHAR(10) &amp; "6." &amp; CHAR(10), IF('Profit &amp; Loss'!I353=2,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1" spans="1:2" ht="12.5" x14ac:dyDescent="0.25">
      <c r="A351" s="2" t="str">
        <f ca="1">IF('Profit &amp; Loss'!A354&gt;=TODAY(),"Looking for friendly players to join the following game: " &amp; CHAR(10) &amp; CHAR(10) &amp; "Date: " &amp; TEXT('Profit &amp; Loss'!A354,"dd mmm yyy") &amp; ", " &amp; 'Profit &amp; Loss'!B354 &amp; CHAR(10) &amp; "Time: " &amp; TEXT('Profit &amp; Loss'!C354, "hh:mm AM/PM") &amp; " - " &amp; TEXT('Profit &amp; Loss'!D354, "hh:mm AM/PM") &amp; CHAR(10) &amp; "Venue: " &amp; 'Profit &amp; Loss'!E354 &amp; CHAR(10) &amp; "Level: HB - LI" &amp; CHAR(10) &amp; "Cost: $" &amp; 'Profit &amp; Loss'!O354 &amp; " per pax" &amp; CHAR(10) &amp; "Max " &amp; 'Profit &amp; Loss'!I354*6 &amp; " pax," &amp; " (" &amp; 'Profit &amp; Loss'!I354 &amp; " courts)" &amp; CHAR(10) &amp; CHAR(10) &amp; "RSL Ultimate shuttles provided" &amp; CHAR(10) &amp; CHAR(10) &amp; "PM if interested, thank you!"," ")</f>
        <v xml:space="preserve"> </v>
      </c>
      <c r="B351" s="2" t="str">
        <f ca="1">IF('Profit &amp; Loss'!A354&gt;=TODAY(), "Date: " &amp; TEXT('Profit &amp; Loss'!A354,"dd mmm yyy") &amp; ", " &amp; 'Profit &amp; Loss'!B354 &amp; CHAR(10) &amp; "Time: " &amp; TEXT('Profit &amp; Loss'!C354, "hh:mm AM/PM") &amp; " - " &amp; TEXT('Profit &amp; Loss'!D354, "hh:mm AM/PM") &amp; CHAR(10) &amp; "Venue: " &amp; 'Profit &amp; Loss'!E354 &amp; CHAR(10) &amp; "Court No.: " &amp; 'Profit &amp; Loss'!F354 &amp; CHAR(10) &amp; "Level: HB - LI" &amp; CHAR(10) &amp; "Please transfer $" &amp; 'Profit &amp; Loss'!O354 &amp; " per pax to Belle (83396501)" &amp; CHAR(10) &amp; CHAR(10) &amp; IF('Profit &amp; Loss'!I354=1, "1." &amp; CHAR(10) &amp; "2." &amp; CHAR(10) &amp; "3." &amp; CHAR(10) &amp; "4." &amp; CHAR(10) &amp; "5." &amp; CHAR(10) &amp; "6." &amp; CHAR(10), IF('Profit &amp; Loss'!I354=2,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2" spans="1:2" ht="12.5" x14ac:dyDescent="0.25">
      <c r="A352" s="2" t="str">
        <f ca="1">IF('Profit &amp; Loss'!A355&gt;=TODAY(),"Looking for friendly players to join the following game: " &amp; CHAR(10) &amp; CHAR(10) &amp; "Date: " &amp; TEXT('Profit &amp; Loss'!A355,"dd mmm yyy") &amp; ", " &amp; 'Profit &amp; Loss'!B355 &amp; CHAR(10) &amp; "Time: " &amp; TEXT('Profit &amp; Loss'!C355, "hh:mm AM/PM") &amp; " - " &amp; TEXT('Profit &amp; Loss'!D355, "hh:mm AM/PM") &amp; CHAR(10) &amp; "Venue: " &amp; 'Profit &amp; Loss'!E355 &amp; CHAR(10) &amp; "Level: HB - LI" &amp; CHAR(10) &amp; "Cost: $" &amp; 'Profit &amp; Loss'!O355 &amp; " per pax" &amp; CHAR(10) &amp; "Max " &amp; 'Profit &amp; Loss'!I355*6 &amp; " pax," &amp; " (" &amp; 'Profit &amp; Loss'!I355 &amp; " courts)" &amp; CHAR(10) &amp; CHAR(10) &amp; "RSL Ultimate shuttles provided" &amp; CHAR(10) &amp; CHAR(10) &amp; "PM if interested, thank you!"," ")</f>
        <v xml:space="preserve"> </v>
      </c>
      <c r="B352" s="2" t="str">
        <f ca="1">IF('Profit &amp; Loss'!A355&gt;=TODAY(), "Date: " &amp; TEXT('Profit &amp; Loss'!A355,"dd mmm yyy") &amp; ", " &amp; 'Profit &amp; Loss'!B355 &amp; CHAR(10) &amp; "Time: " &amp; TEXT('Profit &amp; Loss'!C355, "hh:mm AM/PM") &amp; " - " &amp; TEXT('Profit &amp; Loss'!D355, "hh:mm AM/PM") &amp; CHAR(10) &amp; "Venue: " &amp; 'Profit &amp; Loss'!E355 &amp; CHAR(10) &amp; "Court No.: " &amp; 'Profit &amp; Loss'!F355 &amp; CHAR(10) &amp; "Level: HB - LI" &amp; CHAR(10) &amp; "Please transfer $" &amp; 'Profit &amp; Loss'!O355 &amp; " per pax to Belle (83396501)" &amp; CHAR(10) &amp; CHAR(10) &amp; IF('Profit &amp; Loss'!I355=1, "1." &amp; CHAR(10) &amp; "2." &amp; CHAR(10) &amp; "3." &amp; CHAR(10) &amp; "4." &amp; CHAR(10) &amp; "5." &amp; CHAR(10) &amp; "6." &amp; CHAR(10), IF('Profit &amp; Loss'!I355=2,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3" spans="1:2" ht="12.5" x14ac:dyDescent="0.25">
      <c r="A353" s="2" t="str">
        <f ca="1">IF('Profit &amp; Loss'!A356&gt;=TODAY(),"Looking for friendly players to join the following game: " &amp; CHAR(10) &amp; CHAR(10) &amp; "Date: " &amp; TEXT('Profit &amp; Loss'!A356,"dd mmm yyy") &amp; ", " &amp; 'Profit &amp; Loss'!B356 &amp; CHAR(10) &amp; "Time: " &amp; TEXT('Profit &amp; Loss'!C356, "hh:mm AM/PM") &amp; " - " &amp; TEXT('Profit &amp; Loss'!D356, "hh:mm AM/PM") &amp; CHAR(10) &amp; "Venue: " &amp; 'Profit &amp; Loss'!E356 &amp; CHAR(10) &amp; "Level: HB - LI" &amp; CHAR(10) &amp; "Cost: $" &amp; 'Profit &amp; Loss'!O356 &amp; " per pax" &amp; CHAR(10) &amp; "Max " &amp; 'Profit &amp; Loss'!I356*6 &amp; " pax," &amp; " (" &amp; 'Profit &amp; Loss'!I356 &amp; " courts)" &amp; CHAR(10) &amp; CHAR(10) &amp; "RSL Ultimate shuttles provided" &amp; CHAR(10) &amp; CHAR(10) &amp; "PM if interested, thank you!"," ")</f>
        <v xml:space="preserve"> </v>
      </c>
      <c r="B353" s="2" t="str">
        <f ca="1">IF('Profit &amp; Loss'!A356&gt;=TODAY(), "Date: " &amp; TEXT('Profit &amp; Loss'!A356,"dd mmm yyy") &amp; ", " &amp; 'Profit &amp; Loss'!B356 &amp; CHAR(10) &amp; "Time: " &amp; TEXT('Profit &amp; Loss'!C356, "hh:mm AM/PM") &amp; " - " &amp; TEXT('Profit &amp; Loss'!D356, "hh:mm AM/PM") &amp; CHAR(10) &amp; "Venue: " &amp; 'Profit &amp; Loss'!E356 &amp; CHAR(10) &amp; "Court No.: " &amp; 'Profit &amp; Loss'!F356 &amp; CHAR(10) &amp; "Level: HB - LI" &amp; CHAR(10) &amp; "Please transfer $" &amp; 'Profit &amp; Loss'!O356 &amp; " per pax to Belle (83396501)" &amp; CHAR(10) &amp; CHAR(10) &amp; IF('Profit &amp; Loss'!I356=1, "1." &amp; CHAR(10) &amp; "2." &amp; CHAR(10) &amp; "3." &amp; CHAR(10) &amp; "4." &amp; CHAR(10) &amp; "5." &amp; CHAR(10) &amp; "6." &amp; CHAR(10), IF('Profit &amp; Loss'!I356=2,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4" spans="1:2" ht="12.5" x14ac:dyDescent="0.25">
      <c r="A354" s="2" t="str">
        <f ca="1">IF('Profit &amp; Loss'!A357&gt;=TODAY(),"Looking for friendly players to join the following game: " &amp; CHAR(10) &amp; CHAR(10) &amp; "Date: " &amp; TEXT('Profit &amp; Loss'!A357,"dd mmm yyy") &amp; ", " &amp; 'Profit &amp; Loss'!B357 &amp; CHAR(10) &amp; "Time: " &amp; TEXT('Profit &amp; Loss'!C357, "hh:mm AM/PM") &amp; " - " &amp; TEXT('Profit &amp; Loss'!D357, "hh:mm AM/PM") &amp; CHAR(10) &amp; "Venue: " &amp; 'Profit &amp; Loss'!E357 &amp; CHAR(10) &amp; "Level: HB - LI" &amp; CHAR(10) &amp; "Cost: $" &amp; 'Profit &amp; Loss'!O357 &amp; " per pax" &amp; CHAR(10) &amp; "Max " &amp; 'Profit &amp; Loss'!I357*6 &amp; " pax," &amp; " (" &amp; 'Profit &amp; Loss'!I357 &amp; " courts)" &amp; CHAR(10) &amp; CHAR(10) &amp; "RSL Ultimate shuttles provided" &amp; CHAR(10) &amp; CHAR(10) &amp; "PM if interested, thank you!"," ")</f>
        <v xml:space="preserve"> </v>
      </c>
      <c r="B354" s="2" t="str">
        <f ca="1">IF('Profit &amp; Loss'!A357&gt;=TODAY(), "Date: " &amp; TEXT('Profit &amp; Loss'!A357,"dd mmm yyy") &amp; ", " &amp; 'Profit &amp; Loss'!B357 &amp; CHAR(10) &amp; "Time: " &amp; TEXT('Profit &amp; Loss'!C357, "hh:mm AM/PM") &amp; " - " &amp; TEXT('Profit &amp; Loss'!D357, "hh:mm AM/PM") &amp; CHAR(10) &amp; "Venue: " &amp; 'Profit &amp; Loss'!E357 &amp; CHAR(10) &amp; "Court No.: " &amp; 'Profit &amp; Loss'!F357 &amp; CHAR(10) &amp; "Level: HB - LI" &amp; CHAR(10) &amp; "Please transfer $" &amp; 'Profit &amp; Loss'!O357 &amp; " per pax to Belle (83396501)" &amp; CHAR(10) &amp; CHAR(10) &amp; IF('Profit &amp; Loss'!I357=1, "1." &amp; CHAR(10) &amp; "2." &amp; CHAR(10) &amp; "3." &amp; CHAR(10) &amp; "4." &amp; CHAR(10) &amp; "5." &amp; CHAR(10) &amp; "6." &amp; CHAR(10), IF('Profit &amp; Loss'!I357=2,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5" spans="1:2" ht="12.5" x14ac:dyDescent="0.25">
      <c r="A355" s="2" t="str">
        <f ca="1">IF('Profit &amp; Loss'!A358&gt;=TODAY(),"Looking for friendly players to join the following game: " &amp; CHAR(10) &amp; CHAR(10) &amp; "Date: " &amp; TEXT('Profit &amp; Loss'!A358,"dd mmm yyy") &amp; ", " &amp; 'Profit &amp; Loss'!B358 &amp; CHAR(10) &amp; "Time: " &amp; TEXT('Profit &amp; Loss'!C358, "hh:mm AM/PM") &amp; " - " &amp; TEXT('Profit &amp; Loss'!D358, "hh:mm AM/PM") &amp; CHAR(10) &amp; "Venue: " &amp; 'Profit &amp; Loss'!E358 &amp; CHAR(10) &amp; "Level: HB - LI" &amp; CHAR(10) &amp; "Cost: $" &amp; 'Profit &amp; Loss'!O358 &amp; " per pax" &amp; CHAR(10) &amp; "Max " &amp; 'Profit &amp; Loss'!I358*6 &amp; " pax," &amp; " (" &amp; 'Profit &amp; Loss'!I358 &amp; " courts)" &amp; CHAR(10) &amp; CHAR(10) &amp; "RSL Ultimate shuttles provided" &amp; CHAR(10) &amp; CHAR(10) &amp; "PM if interested, thank you!"," ")</f>
        <v xml:space="preserve"> </v>
      </c>
      <c r="B355" s="2" t="str">
        <f ca="1">IF('Profit &amp; Loss'!A358&gt;=TODAY(), "Date: " &amp; TEXT('Profit &amp; Loss'!A358,"dd mmm yyy") &amp; ", " &amp; 'Profit &amp; Loss'!B358 &amp; CHAR(10) &amp; "Time: " &amp; TEXT('Profit &amp; Loss'!C358, "hh:mm AM/PM") &amp; " - " &amp; TEXT('Profit &amp; Loss'!D358, "hh:mm AM/PM") &amp; CHAR(10) &amp; "Venue: " &amp; 'Profit &amp; Loss'!E358 &amp; CHAR(10) &amp; "Court No.: " &amp; 'Profit &amp; Loss'!F358 &amp; CHAR(10) &amp; "Level: HB - LI" &amp; CHAR(10) &amp; "Please transfer $" &amp; 'Profit &amp; Loss'!O358 &amp; " per pax to Belle (83396501)" &amp; CHAR(10) &amp; CHAR(10) &amp; IF('Profit &amp; Loss'!I358=1, "1." &amp; CHAR(10) &amp; "2." &amp; CHAR(10) &amp; "3." &amp; CHAR(10) &amp; "4." &amp; CHAR(10) &amp; "5." &amp; CHAR(10) &amp; "6." &amp; CHAR(10), IF('Profit &amp; Loss'!I358=2,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6" spans="1:2" ht="12.5" x14ac:dyDescent="0.25">
      <c r="A356" s="2" t="str">
        <f ca="1">IF('Profit &amp; Loss'!A359&gt;=TODAY(),"Looking for friendly players to join the following game: " &amp; CHAR(10) &amp; CHAR(10) &amp; "Date: " &amp; TEXT('Profit &amp; Loss'!A359,"dd mmm yyy") &amp; ", " &amp; 'Profit &amp; Loss'!B359 &amp; CHAR(10) &amp; "Time: " &amp; TEXT('Profit &amp; Loss'!C359, "hh:mm AM/PM") &amp; " - " &amp; TEXT('Profit &amp; Loss'!D359, "hh:mm AM/PM") &amp; CHAR(10) &amp; "Venue: " &amp; 'Profit &amp; Loss'!E359 &amp; CHAR(10) &amp; "Level: HB - LI" &amp; CHAR(10) &amp; "Cost: $" &amp; 'Profit &amp; Loss'!O359 &amp; " per pax" &amp; CHAR(10) &amp; "Max " &amp; 'Profit &amp; Loss'!I359*6 &amp; " pax," &amp; " (" &amp; 'Profit &amp; Loss'!I359 &amp; " courts)" &amp; CHAR(10) &amp; CHAR(10) &amp; "RSL Ultimate shuttles provided" &amp; CHAR(10) &amp; CHAR(10) &amp; "PM if interested, thank you!"," ")</f>
        <v xml:space="preserve"> </v>
      </c>
      <c r="B356" s="2" t="str">
        <f ca="1">IF('Profit &amp; Loss'!A359&gt;=TODAY(), "Date: " &amp; TEXT('Profit &amp; Loss'!A359,"dd mmm yyy") &amp; ", " &amp; 'Profit &amp; Loss'!B359 &amp; CHAR(10) &amp; "Time: " &amp; TEXT('Profit &amp; Loss'!C359, "hh:mm AM/PM") &amp; " - " &amp; TEXT('Profit &amp; Loss'!D359, "hh:mm AM/PM") &amp; CHAR(10) &amp; "Venue: " &amp; 'Profit &amp; Loss'!E359 &amp; CHAR(10) &amp; "Court No.: " &amp; 'Profit &amp; Loss'!F359 &amp; CHAR(10) &amp; "Level: HB - LI" &amp; CHAR(10) &amp; "Please transfer $" &amp; 'Profit &amp; Loss'!O359 &amp; " per pax to Belle (83396501)" &amp; CHAR(10) &amp; CHAR(10) &amp; IF('Profit &amp; Loss'!I359=1, "1." &amp; CHAR(10) &amp; "2." &amp; CHAR(10) &amp; "3." &amp; CHAR(10) &amp; "4." &amp; CHAR(10) &amp; "5." &amp; CHAR(10) &amp; "6." &amp; CHAR(10), IF('Profit &amp; Loss'!I359=2,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7" spans="1:2" ht="12.5" x14ac:dyDescent="0.25">
      <c r="A357" s="2" t="str">
        <f ca="1">IF('Profit &amp; Loss'!A360&gt;=TODAY(),"Looking for friendly players to join the following game: " &amp; CHAR(10) &amp; CHAR(10) &amp; "Date: " &amp; TEXT('Profit &amp; Loss'!A360,"dd mmm yyy") &amp; ", " &amp; 'Profit &amp; Loss'!B360 &amp; CHAR(10) &amp; "Time: " &amp; TEXT('Profit &amp; Loss'!C360, "hh:mm AM/PM") &amp; " - " &amp; TEXT('Profit &amp; Loss'!D360, "hh:mm AM/PM") &amp; CHAR(10) &amp; "Venue: " &amp; 'Profit &amp; Loss'!E360 &amp; CHAR(10) &amp; "Level: HB - LI" &amp; CHAR(10) &amp; "Cost: $" &amp; 'Profit &amp; Loss'!O360 &amp; " per pax" &amp; CHAR(10) &amp; "Max " &amp; 'Profit &amp; Loss'!I360*6 &amp; " pax," &amp; " (" &amp; 'Profit &amp; Loss'!I360 &amp; " courts)" &amp; CHAR(10) &amp; CHAR(10) &amp; "RSL Ultimate shuttles provided" &amp; CHAR(10) &amp; CHAR(10) &amp; "PM if interested, thank you!"," ")</f>
        <v xml:space="preserve"> </v>
      </c>
      <c r="B357" s="2" t="str">
        <f ca="1">IF('Profit &amp; Loss'!A360&gt;=TODAY(), "Date: " &amp; TEXT('Profit &amp; Loss'!A360,"dd mmm yyy") &amp; ", " &amp; 'Profit &amp; Loss'!B360 &amp; CHAR(10) &amp; "Time: " &amp; TEXT('Profit &amp; Loss'!C360, "hh:mm AM/PM") &amp; " - " &amp; TEXT('Profit &amp; Loss'!D360, "hh:mm AM/PM") &amp; CHAR(10) &amp; "Venue: " &amp; 'Profit &amp; Loss'!E360 &amp; CHAR(10) &amp; "Court No.: " &amp; 'Profit &amp; Loss'!F360 &amp; CHAR(10) &amp; "Level: HB - LI" &amp; CHAR(10) &amp; "Please transfer $" &amp; 'Profit &amp; Loss'!O360 &amp; " per pax to Belle (83396501)" &amp; CHAR(10) &amp; CHAR(10) &amp; IF('Profit &amp; Loss'!I360=1, "1." &amp; CHAR(10) &amp; "2." &amp; CHAR(10) &amp; "3." &amp; CHAR(10) &amp; "4." &amp; CHAR(10) &amp; "5." &amp; CHAR(10) &amp; "6." &amp; CHAR(10), IF('Profit &amp; Loss'!I360=2,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8" spans="1:2" ht="12.5" x14ac:dyDescent="0.25">
      <c r="A358" s="2" t="str">
        <f ca="1">IF('Profit &amp; Loss'!A361&gt;=TODAY(),"Looking for friendly players to join the following game: " &amp; CHAR(10) &amp; CHAR(10) &amp; "Date: " &amp; TEXT('Profit &amp; Loss'!A361,"dd mmm yyy") &amp; ", " &amp; 'Profit &amp; Loss'!B361 &amp; CHAR(10) &amp; "Time: " &amp; TEXT('Profit &amp; Loss'!C361, "hh:mm AM/PM") &amp; " - " &amp; TEXT('Profit &amp; Loss'!D361, "hh:mm AM/PM") &amp; CHAR(10) &amp; "Venue: " &amp; 'Profit &amp; Loss'!E361 &amp; CHAR(10) &amp; "Level: HB - LI" &amp; CHAR(10) &amp; "Cost: $" &amp; 'Profit &amp; Loss'!O361 &amp; " per pax" &amp; CHAR(10) &amp; "Max " &amp; 'Profit &amp; Loss'!I361*6 &amp; " pax," &amp; " (" &amp; 'Profit &amp; Loss'!I361 &amp; " courts)" &amp; CHAR(10) &amp; CHAR(10) &amp; "RSL Ultimate shuttles provided" &amp; CHAR(10) &amp; CHAR(10) &amp; "PM if interested, thank you!"," ")</f>
        <v xml:space="preserve"> </v>
      </c>
      <c r="B358" s="2" t="str">
        <f ca="1">IF('Profit &amp; Loss'!A361&gt;=TODAY(), "Date: " &amp; TEXT('Profit &amp; Loss'!A361,"dd mmm yyy") &amp; ", " &amp; 'Profit &amp; Loss'!B361 &amp; CHAR(10) &amp; "Time: " &amp; TEXT('Profit &amp; Loss'!C361, "hh:mm AM/PM") &amp; " - " &amp; TEXT('Profit &amp; Loss'!D361, "hh:mm AM/PM") &amp; CHAR(10) &amp; "Venue: " &amp; 'Profit &amp; Loss'!E361 &amp; CHAR(10) &amp; "Court No.: " &amp; 'Profit &amp; Loss'!F361 &amp; CHAR(10) &amp; "Level: HB - LI" &amp; CHAR(10) &amp; "Please transfer $" &amp; 'Profit &amp; Loss'!O361 &amp; " per pax to Belle (83396501)" &amp; CHAR(10) &amp; CHAR(10) &amp; IF('Profit &amp; Loss'!I361=1, "1." &amp; CHAR(10) &amp; "2." &amp; CHAR(10) &amp; "3." &amp; CHAR(10) &amp; "4." &amp; CHAR(10) &amp; "5." &amp; CHAR(10) &amp; "6." &amp; CHAR(10), IF('Profit &amp; Loss'!I361=2,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59" spans="1:2" ht="12.5" x14ac:dyDescent="0.25">
      <c r="A359" s="2" t="str">
        <f ca="1">IF('Profit &amp; Loss'!A362&gt;=TODAY(),"Looking for friendly players to join the following game: " &amp; CHAR(10) &amp; CHAR(10) &amp; "Date: " &amp; TEXT('Profit &amp; Loss'!A362,"dd mmm yyy") &amp; ", " &amp; 'Profit &amp; Loss'!B362 &amp; CHAR(10) &amp; "Time: " &amp; TEXT('Profit &amp; Loss'!C362, "hh:mm AM/PM") &amp; " - " &amp; TEXT('Profit &amp; Loss'!D362, "hh:mm AM/PM") &amp; CHAR(10) &amp; "Venue: " &amp; 'Profit &amp; Loss'!E362 &amp; CHAR(10) &amp; "Level: HB - LI" &amp; CHAR(10) &amp; "Cost: $" &amp; 'Profit &amp; Loss'!O362 &amp; " per pax" &amp; CHAR(10) &amp; "Max " &amp; 'Profit &amp; Loss'!I362*6 &amp; " pax," &amp; " (" &amp; 'Profit &amp; Loss'!I362 &amp; " courts)" &amp; CHAR(10) &amp; CHAR(10) &amp; "RSL Ultimate shuttles provided" &amp; CHAR(10) &amp; CHAR(10) &amp; "PM if interested, thank you!"," ")</f>
        <v xml:space="preserve"> </v>
      </c>
      <c r="B359" s="2" t="str">
        <f ca="1">IF('Profit &amp; Loss'!A362&gt;=TODAY(), "Date: " &amp; TEXT('Profit &amp; Loss'!A362,"dd mmm yyy") &amp; ", " &amp; 'Profit &amp; Loss'!B362 &amp; CHAR(10) &amp; "Time: " &amp; TEXT('Profit &amp; Loss'!C362, "hh:mm AM/PM") &amp; " - " &amp; TEXT('Profit &amp; Loss'!D362, "hh:mm AM/PM") &amp; CHAR(10) &amp; "Venue: " &amp; 'Profit &amp; Loss'!E362 &amp; CHAR(10) &amp; "Court No.: " &amp; 'Profit &amp; Loss'!F362 &amp; CHAR(10) &amp; "Level: HB - LI" &amp; CHAR(10) &amp; "Please transfer $" &amp; 'Profit &amp; Loss'!O362 &amp; " per pax to Belle (83396501)" &amp; CHAR(10) &amp; CHAR(10) &amp; IF('Profit &amp; Loss'!I362=1, "1." &amp; CHAR(10) &amp; "2." &amp; CHAR(10) &amp; "3." &amp; CHAR(10) &amp; "4." &amp; CHAR(10) &amp; "5." &amp; CHAR(10) &amp; "6." &amp; CHAR(10), IF('Profit &amp; Loss'!I362=2,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0" spans="1:2" ht="12.5" x14ac:dyDescent="0.25">
      <c r="A360" s="2" t="str">
        <f ca="1">IF('Profit &amp; Loss'!A363&gt;=TODAY(),"Looking for friendly players to join the following game: " &amp; CHAR(10) &amp; CHAR(10) &amp; "Date: " &amp; TEXT('Profit &amp; Loss'!A363,"dd mmm yyy") &amp; ", " &amp; 'Profit &amp; Loss'!B363 &amp; CHAR(10) &amp; "Time: " &amp; TEXT('Profit &amp; Loss'!C363, "hh:mm AM/PM") &amp; " - " &amp; TEXT('Profit &amp; Loss'!D363, "hh:mm AM/PM") &amp; CHAR(10) &amp; "Venue: " &amp; 'Profit &amp; Loss'!E363 &amp; CHAR(10) &amp; "Level: HB - LI" &amp; CHAR(10) &amp; "Cost: $" &amp; 'Profit &amp; Loss'!O363 &amp; " per pax" &amp; CHAR(10) &amp; "Max " &amp; 'Profit &amp; Loss'!I363*6 &amp; " pax," &amp; " (" &amp; 'Profit &amp; Loss'!I363 &amp; " courts)" &amp; CHAR(10) &amp; CHAR(10) &amp; "RSL Ultimate shuttles provided" &amp; CHAR(10) &amp; CHAR(10) &amp; "PM if interested, thank you!"," ")</f>
        <v xml:space="preserve"> </v>
      </c>
      <c r="B360" s="2" t="str">
        <f ca="1">IF('Profit &amp; Loss'!A363&gt;=TODAY(), "Date: " &amp; TEXT('Profit &amp; Loss'!A363,"dd mmm yyy") &amp; ", " &amp; 'Profit &amp; Loss'!B363 &amp; CHAR(10) &amp; "Time: " &amp; TEXT('Profit &amp; Loss'!C363, "hh:mm AM/PM") &amp; " - " &amp; TEXT('Profit &amp; Loss'!D363, "hh:mm AM/PM") &amp; CHAR(10) &amp; "Venue: " &amp; 'Profit &amp; Loss'!E363 &amp; CHAR(10) &amp; "Court No.: " &amp; 'Profit &amp; Loss'!F363 &amp; CHAR(10) &amp; "Level: HB - LI" &amp; CHAR(10) &amp; "Please transfer $" &amp; 'Profit &amp; Loss'!O363 &amp; " per pax to Belle (83396501)" &amp; CHAR(10) &amp; CHAR(10) &amp; IF('Profit &amp; Loss'!I363=1, "1." &amp; CHAR(10) &amp; "2." &amp; CHAR(10) &amp; "3." &amp; CHAR(10) &amp; "4." &amp; CHAR(10) &amp; "5." &amp; CHAR(10) &amp; "6." &amp; CHAR(10), IF('Profit &amp; Loss'!I363=2,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1" spans="1:2" ht="12.5" x14ac:dyDescent="0.25">
      <c r="A361" s="2" t="str">
        <f ca="1">IF('Profit &amp; Loss'!A364&gt;=TODAY(),"Looking for friendly players to join the following game: " &amp; CHAR(10) &amp; CHAR(10) &amp; "Date: " &amp; TEXT('Profit &amp; Loss'!A364,"dd mmm yyy") &amp; ", " &amp; 'Profit &amp; Loss'!B364 &amp; CHAR(10) &amp; "Time: " &amp; TEXT('Profit &amp; Loss'!C364, "hh:mm AM/PM") &amp; " - " &amp; TEXT('Profit &amp; Loss'!D364, "hh:mm AM/PM") &amp; CHAR(10) &amp; "Venue: " &amp; 'Profit &amp; Loss'!E364 &amp; CHAR(10) &amp; "Level: HB - LI" &amp; CHAR(10) &amp; "Cost: $" &amp; 'Profit &amp; Loss'!O364 &amp; " per pax" &amp; CHAR(10) &amp; "Max " &amp; 'Profit &amp; Loss'!I364*6 &amp; " pax," &amp; " (" &amp; 'Profit &amp; Loss'!I364 &amp; " courts)" &amp; CHAR(10) &amp; CHAR(10) &amp; "RSL Ultimate shuttles provided" &amp; CHAR(10) &amp; CHAR(10) &amp; "PM if interested, thank you!"," ")</f>
        <v xml:space="preserve"> </v>
      </c>
      <c r="B361" s="2" t="str">
        <f ca="1">IF('Profit &amp; Loss'!A364&gt;=TODAY(), "Date: " &amp; TEXT('Profit &amp; Loss'!A364,"dd mmm yyy") &amp; ", " &amp; 'Profit &amp; Loss'!B364 &amp; CHAR(10) &amp; "Time: " &amp; TEXT('Profit &amp; Loss'!C364, "hh:mm AM/PM") &amp; " - " &amp; TEXT('Profit &amp; Loss'!D364, "hh:mm AM/PM") &amp; CHAR(10) &amp; "Venue: " &amp; 'Profit &amp; Loss'!E364 &amp; CHAR(10) &amp; "Court No.: " &amp; 'Profit &amp; Loss'!F364 &amp; CHAR(10) &amp; "Level: HB - LI" &amp; CHAR(10) &amp; "Please transfer $" &amp; 'Profit &amp; Loss'!O364 &amp; " per pax to Belle (83396501)" &amp; CHAR(10) &amp; CHAR(10) &amp; IF('Profit &amp; Loss'!I364=1, "1." &amp; CHAR(10) &amp; "2." &amp; CHAR(10) &amp; "3." &amp; CHAR(10) &amp; "4." &amp; CHAR(10) &amp; "5." &amp; CHAR(10) &amp; "6." &amp; CHAR(10), IF('Profit &amp; Loss'!I364=2,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2" spans="1:2" ht="12.5" x14ac:dyDescent="0.25">
      <c r="A362" s="2" t="str">
        <f ca="1">IF('Profit &amp; Loss'!A365&gt;=TODAY(),"Looking for friendly players to join the following game: " &amp; CHAR(10) &amp; CHAR(10) &amp; "Date: " &amp; TEXT('Profit &amp; Loss'!A365,"dd mmm yyy") &amp; ", " &amp; 'Profit &amp; Loss'!B365 &amp; CHAR(10) &amp; "Time: " &amp; TEXT('Profit &amp; Loss'!C365, "hh:mm AM/PM") &amp; " - " &amp; TEXT('Profit &amp; Loss'!D365, "hh:mm AM/PM") &amp; CHAR(10) &amp; "Venue: " &amp; 'Profit &amp; Loss'!E365 &amp; CHAR(10) &amp; "Level: HB - LI" &amp; CHAR(10) &amp; "Cost: $" &amp; 'Profit &amp; Loss'!O365 &amp; " per pax" &amp; CHAR(10) &amp; "Max " &amp; 'Profit &amp; Loss'!I365*6 &amp; " pax," &amp; " (" &amp; 'Profit &amp; Loss'!I365 &amp; " courts)" &amp; CHAR(10) &amp; CHAR(10) &amp; "RSL Ultimate shuttles provided" &amp; CHAR(10) &amp; CHAR(10) &amp; "PM if interested, thank you!"," ")</f>
        <v xml:space="preserve"> </v>
      </c>
      <c r="B362" s="2" t="str">
        <f ca="1">IF('Profit &amp; Loss'!A365&gt;=TODAY(), "Date: " &amp; TEXT('Profit &amp; Loss'!A365,"dd mmm yyy") &amp; ", " &amp; 'Profit &amp; Loss'!B365 &amp; CHAR(10) &amp; "Time: " &amp; TEXT('Profit &amp; Loss'!C365, "hh:mm AM/PM") &amp; " - " &amp; TEXT('Profit &amp; Loss'!D365, "hh:mm AM/PM") &amp; CHAR(10) &amp; "Venue: " &amp; 'Profit &amp; Loss'!E365 &amp; CHAR(10) &amp; "Court No.: " &amp; 'Profit &amp; Loss'!F365 &amp; CHAR(10) &amp; "Level: HB - LI" &amp; CHAR(10) &amp; "Please transfer $" &amp; 'Profit &amp; Loss'!O365 &amp; " per pax to Belle (83396501)" &amp; CHAR(10) &amp; CHAR(10) &amp; IF('Profit &amp; Loss'!I365=1, "1." &amp; CHAR(10) &amp; "2." &amp; CHAR(10) &amp; "3." &amp; CHAR(10) &amp; "4." &amp; CHAR(10) &amp; "5." &amp; CHAR(10) &amp; "6." &amp; CHAR(10), IF('Profit &amp; Loss'!I365=2,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3" spans="1:2" ht="12.5" x14ac:dyDescent="0.25">
      <c r="A363" s="2" t="str">
        <f ca="1">IF('Profit &amp; Loss'!A366&gt;=TODAY(),"Looking for friendly players to join the following game: " &amp; CHAR(10) &amp; CHAR(10) &amp; "Date: " &amp; TEXT('Profit &amp; Loss'!A366,"dd mmm yyy") &amp; ", " &amp; 'Profit &amp; Loss'!B366 &amp; CHAR(10) &amp; "Time: " &amp; TEXT('Profit &amp; Loss'!C366, "hh:mm AM/PM") &amp; " - " &amp; TEXT('Profit &amp; Loss'!D366, "hh:mm AM/PM") &amp; CHAR(10) &amp; "Venue: " &amp; 'Profit &amp; Loss'!E366 &amp; CHAR(10) &amp; "Level: HB - LI" &amp; CHAR(10) &amp; "Cost: $" &amp; 'Profit &amp; Loss'!O366 &amp; " per pax" &amp; CHAR(10) &amp; "Max " &amp; 'Profit &amp; Loss'!I366*6 &amp; " pax," &amp; " (" &amp; 'Profit &amp; Loss'!I366 &amp; " courts)" &amp; CHAR(10) &amp; CHAR(10) &amp; "RSL Ultimate shuttles provided" &amp; CHAR(10) &amp; CHAR(10) &amp; "PM if interested, thank you!"," ")</f>
        <v xml:space="preserve"> </v>
      </c>
      <c r="B363" s="2" t="str">
        <f ca="1">IF('Profit &amp; Loss'!A366&gt;=TODAY(), "Date: " &amp; TEXT('Profit &amp; Loss'!A366,"dd mmm yyy") &amp; ", " &amp; 'Profit &amp; Loss'!B366 &amp; CHAR(10) &amp; "Time: " &amp; TEXT('Profit &amp; Loss'!C366, "hh:mm AM/PM") &amp; " - " &amp; TEXT('Profit &amp; Loss'!D366, "hh:mm AM/PM") &amp; CHAR(10) &amp; "Venue: " &amp; 'Profit &amp; Loss'!E366 &amp; CHAR(10) &amp; "Court No.: " &amp; 'Profit &amp; Loss'!F366 &amp; CHAR(10) &amp; "Level: HB - LI" &amp; CHAR(10) &amp; "Please transfer $" &amp; 'Profit &amp; Loss'!O366 &amp; " per pax to Belle (83396501)" &amp; CHAR(10) &amp; CHAR(10) &amp; IF('Profit &amp; Loss'!I366=1, "1." &amp; CHAR(10) &amp; "2." &amp; CHAR(10) &amp; "3." &amp; CHAR(10) &amp; "4." &amp; CHAR(10) &amp; "5." &amp; CHAR(10) &amp; "6." &amp; CHAR(10), IF('Profit &amp; Loss'!I366=2,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4" spans="1:2" ht="12.5" x14ac:dyDescent="0.25">
      <c r="A364" s="2" t="str">
        <f ca="1">IF('Profit &amp; Loss'!A367&gt;=TODAY(),"Looking for friendly players to join the following game: " &amp; CHAR(10) &amp; CHAR(10) &amp; "Date: " &amp; TEXT('Profit &amp; Loss'!A367,"dd mmm yyy") &amp; ", " &amp; 'Profit &amp; Loss'!B367 &amp; CHAR(10) &amp; "Time: " &amp; TEXT('Profit &amp; Loss'!C367, "hh:mm AM/PM") &amp; " - " &amp; TEXT('Profit &amp; Loss'!D367, "hh:mm AM/PM") &amp; CHAR(10) &amp; "Venue: " &amp; 'Profit &amp; Loss'!E367 &amp; CHAR(10) &amp; "Level: HB - LI" &amp; CHAR(10) &amp; "Cost: $" &amp; 'Profit &amp; Loss'!O367 &amp; " per pax" &amp; CHAR(10) &amp; "Max " &amp; 'Profit &amp; Loss'!I367*6 &amp; " pax," &amp; " (" &amp; 'Profit &amp; Loss'!I367 &amp; " courts)" &amp; CHAR(10) &amp; CHAR(10) &amp; "RSL Ultimate shuttles provided" &amp; CHAR(10) &amp; CHAR(10) &amp; "PM if interested, thank you!"," ")</f>
        <v xml:space="preserve"> </v>
      </c>
      <c r="B364" s="2" t="str">
        <f ca="1">IF('Profit &amp; Loss'!A367&gt;=TODAY(), "Date: " &amp; TEXT('Profit &amp; Loss'!A367,"dd mmm yyy") &amp; ", " &amp; 'Profit &amp; Loss'!B367 &amp; CHAR(10) &amp; "Time: " &amp; TEXT('Profit &amp; Loss'!C367, "hh:mm AM/PM") &amp; " - " &amp; TEXT('Profit &amp; Loss'!D367, "hh:mm AM/PM") &amp; CHAR(10) &amp; "Venue: " &amp; 'Profit &amp; Loss'!E367 &amp; CHAR(10) &amp; "Court No.: " &amp; 'Profit &amp; Loss'!F367 &amp; CHAR(10) &amp; "Level: HB - LI" &amp; CHAR(10) &amp; "Please transfer $" &amp; 'Profit &amp; Loss'!O367 &amp; " per pax to Belle (83396501)" &amp; CHAR(10) &amp; CHAR(10) &amp; IF('Profit &amp; Loss'!I367=1, "1." &amp; CHAR(10) &amp; "2." &amp; CHAR(10) &amp; "3." &amp; CHAR(10) &amp; "4." &amp; CHAR(10) &amp; "5." &amp; CHAR(10) &amp; "6." &amp; CHAR(10), IF('Profit &amp; Loss'!I367=2,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5" spans="1:2" ht="12.5" x14ac:dyDescent="0.25">
      <c r="A365" s="2" t="str">
        <f ca="1">IF('Profit &amp; Loss'!A368&gt;=TODAY(),"Looking for friendly players to join the following game: " &amp; CHAR(10) &amp; CHAR(10) &amp; "Date: " &amp; TEXT('Profit &amp; Loss'!A368,"dd mmm yyy") &amp; ", " &amp; 'Profit &amp; Loss'!B368 &amp; CHAR(10) &amp; "Time: " &amp; TEXT('Profit &amp; Loss'!C368, "hh:mm AM/PM") &amp; " - " &amp; TEXT('Profit &amp; Loss'!D368, "hh:mm AM/PM") &amp; CHAR(10) &amp; "Venue: " &amp; 'Profit &amp; Loss'!E368 &amp; CHAR(10) &amp; "Level: HB - LI" &amp; CHAR(10) &amp; "Cost: $" &amp; 'Profit &amp; Loss'!O368 &amp; " per pax" &amp; CHAR(10) &amp; "Max " &amp; 'Profit &amp; Loss'!I368*6 &amp; " pax," &amp; " (" &amp; 'Profit &amp; Loss'!I368 &amp; " courts)" &amp; CHAR(10) &amp; CHAR(10) &amp; "RSL Ultimate shuttles provided" &amp; CHAR(10) &amp; CHAR(10) &amp; "PM if interested, thank you!"," ")</f>
        <v xml:space="preserve"> </v>
      </c>
      <c r="B365" s="2" t="str">
        <f ca="1">IF('Profit &amp; Loss'!A368&gt;=TODAY(), "Date: " &amp; TEXT('Profit &amp; Loss'!A368,"dd mmm yyy") &amp; ", " &amp; 'Profit &amp; Loss'!B368 &amp; CHAR(10) &amp; "Time: " &amp; TEXT('Profit &amp; Loss'!C368, "hh:mm AM/PM") &amp; " - " &amp; TEXT('Profit &amp; Loss'!D368, "hh:mm AM/PM") &amp; CHAR(10) &amp; "Venue: " &amp; 'Profit &amp; Loss'!E368 &amp; CHAR(10) &amp; "Court No.: " &amp; 'Profit &amp; Loss'!F368 &amp; CHAR(10) &amp; "Level: HB - LI" &amp; CHAR(10) &amp; "Please transfer $" &amp; 'Profit &amp; Loss'!O368 &amp; " per pax to Belle (83396501)" &amp; CHAR(10) &amp; CHAR(10) &amp; IF('Profit &amp; Loss'!I368=1, "1." &amp; CHAR(10) &amp; "2." &amp; CHAR(10) &amp; "3." &amp; CHAR(10) &amp; "4." &amp; CHAR(10) &amp; "5." &amp; CHAR(10) &amp; "6." &amp; CHAR(10), IF('Profit &amp; Loss'!I368=2,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6" spans="1:2" ht="12.5" x14ac:dyDescent="0.25">
      <c r="A366" s="2" t="str">
        <f ca="1">IF('Profit &amp; Loss'!A369&gt;=TODAY(),"Looking for friendly players to join the following game: " &amp; CHAR(10) &amp; CHAR(10) &amp; "Date: " &amp; TEXT('Profit &amp; Loss'!A369,"dd mmm yyy") &amp; ", " &amp; 'Profit &amp; Loss'!B369 &amp; CHAR(10) &amp; "Time: " &amp; TEXT('Profit &amp; Loss'!C369, "hh:mm AM/PM") &amp; " - " &amp; TEXT('Profit &amp; Loss'!D369, "hh:mm AM/PM") &amp; CHAR(10) &amp; "Venue: " &amp; 'Profit &amp; Loss'!E369 &amp; CHAR(10) &amp; "Level: HB - LI" &amp; CHAR(10) &amp; "Cost: $" &amp; 'Profit &amp; Loss'!O369 &amp; " per pax" &amp; CHAR(10) &amp; "Max " &amp; 'Profit &amp; Loss'!I369*6 &amp; " pax," &amp; " (" &amp; 'Profit &amp; Loss'!I369 &amp; " courts)" &amp; CHAR(10) &amp; CHAR(10) &amp; "RSL Ultimate shuttles provided" &amp; CHAR(10) &amp; CHAR(10) &amp; "PM if interested, thank you!"," ")</f>
        <v xml:space="preserve"> </v>
      </c>
      <c r="B366" s="2" t="str">
        <f ca="1">IF('Profit &amp; Loss'!A369&gt;=TODAY(), "Date: " &amp; TEXT('Profit &amp; Loss'!A369,"dd mmm yyy") &amp; ", " &amp; 'Profit &amp; Loss'!B369 &amp; CHAR(10) &amp; "Time: " &amp; TEXT('Profit &amp; Loss'!C369, "hh:mm AM/PM") &amp; " - " &amp; TEXT('Profit &amp; Loss'!D369, "hh:mm AM/PM") &amp; CHAR(10) &amp; "Venue: " &amp; 'Profit &amp; Loss'!E369 &amp; CHAR(10) &amp; "Court No.: " &amp; 'Profit &amp; Loss'!F369 &amp; CHAR(10) &amp; "Level: HB - LI" &amp; CHAR(10) &amp; "Please transfer $" &amp; 'Profit &amp; Loss'!O369 &amp; " per pax to Belle (83396501)" &amp; CHAR(10) &amp; CHAR(10) &amp; IF('Profit &amp; Loss'!I369=1, "1." &amp; CHAR(10) &amp; "2." &amp; CHAR(10) &amp; "3." &amp; CHAR(10) &amp; "4." &amp; CHAR(10) &amp; "5." &amp; CHAR(10) &amp; "6." &amp; CHAR(10), IF('Profit &amp; Loss'!I369=2,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7" spans="1:2" ht="12.5" x14ac:dyDescent="0.25">
      <c r="A367" s="2" t="str">
        <f ca="1">IF('Profit &amp; Loss'!A370&gt;=TODAY(),"Looking for friendly players to join the following game: " &amp; CHAR(10) &amp; CHAR(10) &amp; "Date: " &amp; TEXT('Profit &amp; Loss'!A370,"dd mmm yyy") &amp; ", " &amp; 'Profit &amp; Loss'!B370 &amp; CHAR(10) &amp; "Time: " &amp; TEXT('Profit &amp; Loss'!C370, "hh:mm AM/PM") &amp; " - " &amp; TEXT('Profit &amp; Loss'!D370, "hh:mm AM/PM") &amp; CHAR(10) &amp; "Venue: " &amp; 'Profit &amp; Loss'!E370 &amp; CHAR(10) &amp; "Level: HB - LI" &amp; CHAR(10) &amp; "Cost: $" &amp; 'Profit &amp; Loss'!O370 &amp; " per pax" &amp; CHAR(10) &amp; "Max " &amp; 'Profit &amp; Loss'!I370*6 &amp; " pax," &amp; " (" &amp; 'Profit &amp; Loss'!I370 &amp; " courts)" &amp; CHAR(10) &amp; CHAR(10) &amp; "RSL Ultimate shuttles provided" &amp; CHAR(10) &amp; CHAR(10) &amp; "PM if interested, thank you!"," ")</f>
        <v xml:space="preserve"> </v>
      </c>
      <c r="B367" s="2" t="str">
        <f ca="1">IF('Profit &amp; Loss'!A370&gt;=TODAY(), "Date: " &amp; TEXT('Profit &amp; Loss'!A370,"dd mmm yyy") &amp; ", " &amp; 'Profit &amp; Loss'!B370 &amp; CHAR(10) &amp; "Time: " &amp; TEXT('Profit &amp; Loss'!C370, "hh:mm AM/PM") &amp; " - " &amp; TEXT('Profit &amp; Loss'!D370, "hh:mm AM/PM") &amp; CHAR(10) &amp; "Venue: " &amp; 'Profit &amp; Loss'!E370 &amp; CHAR(10) &amp; "Court No.: " &amp; 'Profit &amp; Loss'!F370 &amp; CHAR(10) &amp; "Level: HB - LI" &amp; CHAR(10) &amp; "Please transfer $" &amp; 'Profit &amp; Loss'!O370 &amp; " per pax to Belle (83396501)" &amp; CHAR(10) &amp; CHAR(10) &amp; IF('Profit &amp; Loss'!I370=1, "1." &amp; CHAR(10) &amp; "2." &amp; CHAR(10) &amp; "3." &amp; CHAR(10) &amp; "4." &amp; CHAR(10) &amp; "5." &amp; CHAR(10) &amp; "6." &amp; CHAR(10), IF('Profit &amp; Loss'!I370=2,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8" spans="1:2" ht="12.5" x14ac:dyDescent="0.25">
      <c r="A368" s="2" t="str">
        <f ca="1">IF('Profit &amp; Loss'!A371&gt;=TODAY(),"Looking for friendly players to join the following game: " &amp; CHAR(10) &amp; CHAR(10) &amp; "Date: " &amp; TEXT('Profit &amp; Loss'!A371,"dd mmm yyy") &amp; ", " &amp; 'Profit &amp; Loss'!B371 &amp; CHAR(10) &amp; "Time: " &amp; TEXT('Profit &amp; Loss'!C371, "hh:mm AM/PM") &amp; " - " &amp; TEXT('Profit &amp; Loss'!D371, "hh:mm AM/PM") &amp; CHAR(10) &amp; "Venue: " &amp; 'Profit &amp; Loss'!E371 &amp; CHAR(10) &amp; "Level: HB - LI" &amp; CHAR(10) &amp; "Cost: $" &amp; 'Profit &amp; Loss'!O371 &amp; " per pax" &amp; CHAR(10) &amp; "Max " &amp; 'Profit &amp; Loss'!I371*6 &amp; " pax," &amp; " (" &amp; 'Profit &amp; Loss'!I371 &amp; " courts)" &amp; CHAR(10) &amp; CHAR(10) &amp; "RSL Ultimate shuttles provided" &amp; CHAR(10) &amp; CHAR(10) &amp; "PM if interested, thank you!"," ")</f>
        <v xml:space="preserve"> </v>
      </c>
      <c r="B368" s="2" t="str">
        <f ca="1">IF('Profit &amp; Loss'!A371&gt;=TODAY(), "Date: " &amp; TEXT('Profit &amp; Loss'!A371,"dd mmm yyy") &amp; ", " &amp; 'Profit &amp; Loss'!B371 &amp; CHAR(10) &amp; "Time: " &amp; TEXT('Profit &amp; Loss'!C371, "hh:mm AM/PM") &amp; " - " &amp; TEXT('Profit &amp; Loss'!D371, "hh:mm AM/PM") &amp; CHAR(10) &amp; "Venue: " &amp; 'Profit &amp; Loss'!E371 &amp; CHAR(10) &amp; "Court No.: " &amp; 'Profit &amp; Loss'!F371 &amp; CHAR(10) &amp; "Level: HB - LI" &amp; CHAR(10) &amp; "Please transfer $" &amp; 'Profit &amp; Loss'!O371 &amp; " per pax to Belle (83396501)" &amp; CHAR(10) &amp; CHAR(10) &amp; IF('Profit &amp; Loss'!I371=1, "1." &amp; CHAR(10) &amp; "2." &amp; CHAR(10) &amp; "3." &amp; CHAR(10) &amp; "4." &amp; CHAR(10) &amp; "5." &amp; CHAR(10) &amp; "6." &amp; CHAR(10), IF('Profit &amp; Loss'!I371=2,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69" spans="1:2" ht="12.5" x14ac:dyDescent="0.25">
      <c r="A369" s="2" t="str">
        <f ca="1">IF('Profit &amp; Loss'!A372&gt;=TODAY(),"Looking for friendly players to join the following game: " &amp; CHAR(10) &amp; CHAR(10) &amp; "Date: " &amp; TEXT('Profit &amp; Loss'!A372,"dd mmm yyy") &amp; ", " &amp; 'Profit &amp; Loss'!B372 &amp; CHAR(10) &amp; "Time: " &amp; TEXT('Profit &amp; Loss'!C372, "hh:mm AM/PM") &amp; " - " &amp; TEXT('Profit &amp; Loss'!D372, "hh:mm AM/PM") &amp; CHAR(10) &amp; "Venue: " &amp; 'Profit &amp; Loss'!E372 &amp; CHAR(10) &amp; "Level: HB - LI" &amp; CHAR(10) &amp; "Cost: $" &amp; 'Profit &amp; Loss'!O372 &amp; " per pax" &amp; CHAR(10) &amp; "Max " &amp; 'Profit &amp; Loss'!I372*6 &amp; " pax," &amp; " (" &amp; 'Profit &amp; Loss'!I372 &amp; " courts)" &amp; CHAR(10) &amp; CHAR(10) &amp; "RSL Ultimate shuttles provided" &amp; CHAR(10) &amp; CHAR(10) &amp; "PM if interested, thank you!"," ")</f>
        <v xml:space="preserve"> </v>
      </c>
      <c r="B369" s="2" t="str">
        <f ca="1">IF('Profit &amp; Loss'!A372&gt;=TODAY(), "Date: " &amp; TEXT('Profit &amp; Loss'!A372,"dd mmm yyy") &amp; ", " &amp; 'Profit &amp; Loss'!B372 &amp; CHAR(10) &amp; "Time: " &amp; TEXT('Profit &amp; Loss'!C372, "hh:mm AM/PM") &amp; " - " &amp; TEXT('Profit &amp; Loss'!D372, "hh:mm AM/PM") &amp; CHAR(10) &amp; "Venue: " &amp; 'Profit &amp; Loss'!E372 &amp; CHAR(10) &amp; "Court No.: " &amp; 'Profit &amp; Loss'!F372 &amp; CHAR(10) &amp; "Level: HB - LI" &amp; CHAR(10) &amp; "Please transfer $" &amp; 'Profit &amp; Loss'!O372 &amp; " per pax to Belle (83396501)" &amp; CHAR(10) &amp; CHAR(10) &amp; IF('Profit &amp; Loss'!I372=1, "1." &amp; CHAR(10) &amp; "2." &amp; CHAR(10) &amp; "3." &amp; CHAR(10) &amp; "4." &amp; CHAR(10) &amp; "5." &amp; CHAR(10) &amp; "6." &amp; CHAR(10), IF('Profit &amp; Loss'!I372=2,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0" spans="1:2" ht="12.5" x14ac:dyDescent="0.25">
      <c r="A370" s="2" t="str">
        <f ca="1">IF('Profit &amp; Loss'!A373&gt;=TODAY(),"Looking for friendly players to join the following game: " &amp; CHAR(10) &amp; CHAR(10) &amp; "Date: " &amp; TEXT('Profit &amp; Loss'!A373,"dd mmm yyy") &amp; ", " &amp; 'Profit &amp; Loss'!B373 &amp; CHAR(10) &amp; "Time: " &amp; TEXT('Profit &amp; Loss'!C373, "hh:mm AM/PM") &amp; " - " &amp; TEXT('Profit &amp; Loss'!D373, "hh:mm AM/PM") &amp; CHAR(10) &amp; "Venue: " &amp; 'Profit &amp; Loss'!E373 &amp; CHAR(10) &amp; "Level: HB - LI" &amp; CHAR(10) &amp; "Cost: $" &amp; 'Profit &amp; Loss'!O373 &amp; " per pax" &amp; CHAR(10) &amp; "Max " &amp; 'Profit &amp; Loss'!I373*6 &amp; " pax," &amp; " (" &amp; 'Profit &amp; Loss'!I373 &amp; " courts)" &amp; CHAR(10) &amp; CHAR(10) &amp; "RSL Ultimate shuttles provided" &amp; CHAR(10) &amp; CHAR(10) &amp; "PM if interested, thank you!"," ")</f>
        <v xml:space="preserve"> </v>
      </c>
      <c r="B370" s="2" t="str">
        <f ca="1">IF('Profit &amp; Loss'!A373&gt;=TODAY(), "Date: " &amp; TEXT('Profit &amp; Loss'!A373,"dd mmm yyy") &amp; ", " &amp; 'Profit &amp; Loss'!B373 &amp; CHAR(10) &amp; "Time: " &amp; TEXT('Profit &amp; Loss'!C373, "hh:mm AM/PM") &amp; " - " &amp; TEXT('Profit &amp; Loss'!D373, "hh:mm AM/PM") &amp; CHAR(10) &amp; "Venue: " &amp; 'Profit &amp; Loss'!E373 &amp; CHAR(10) &amp; "Court No.: " &amp; 'Profit &amp; Loss'!F373 &amp; CHAR(10) &amp; "Level: HB - LI" &amp; CHAR(10) &amp; "Please transfer $" &amp; 'Profit &amp; Loss'!O373 &amp; " per pax to Belle (83396501)" &amp; CHAR(10) &amp; CHAR(10) &amp; IF('Profit &amp; Loss'!I373=1, "1." &amp; CHAR(10) &amp; "2." &amp; CHAR(10) &amp; "3." &amp; CHAR(10) &amp; "4." &amp; CHAR(10) &amp; "5." &amp; CHAR(10) &amp; "6." &amp; CHAR(10), IF('Profit &amp; Loss'!I373=2,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1" spans="1:2" ht="12.5" x14ac:dyDescent="0.25">
      <c r="A371" s="2" t="str">
        <f ca="1">IF('Profit &amp; Loss'!A374&gt;=TODAY(),"Looking for friendly players to join the following game: " &amp; CHAR(10) &amp; CHAR(10) &amp; "Date: " &amp; TEXT('Profit &amp; Loss'!A374,"dd mmm yyy") &amp; ", " &amp; 'Profit &amp; Loss'!B374 &amp; CHAR(10) &amp; "Time: " &amp; TEXT('Profit &amp; Loss'!C374, "hh:mm AM/PM") &amp; " - " &amp; TEXT('Profit &amp; Loss'!D374, "hh:mm AM/PM") &amp; CHAR(10) &amp; "Venue: " &amp; 'Profit &amp; Loss'!E374 &amp; CHAR(10) &amp; "Level: HB - LI" &amp; CHAR(10) &amp; "Cost: $" &amp; 'Profit &amp; Loss'!O374 &amp; " per pax" &amp; CHAR(10) &amp; "Max " &amp; 'Profit &amp; Loss'!I374*6 &amp; " pax," &amp; " (" &amp; 'Profit &amp; Loss'!I374 &amp; " courts)" &amp; CHAR(10) &amp; CHAR(10) &amp; "RSL Ultimate shuttles provided" &amp; CHAR(10) &amp; CHAR(10) &amp; "PM if interested, thank you!"," ")</f>
        <v xml:space="preserve"> </v>
      </c>
      <c r="B371" s="2" t="str">
        <f ca="1">IF('Profit &amp; Loss'!A374&gt;=TODAY(), "Date: " &amp; TEXT('Profit &amp; Loss'!A374,"dd mmm yyy") &amp; ", " &amp; 'Profit &amp; Loss'!B374 &amp; CHAR(10) &amp; "Time: " &amp; TEXT('Profit &amp; Loss'!C374, "hh:mm AM/PM") &amp; " - " &amp; TEXT('Profit &amp; Loss'!D374, "hh:mm AM/PM") &amp; CHAR(10) &amp; "Venue: " &amp; 'Profit &amp; Loss'!E374 &amp; CHAR(10) &amp; "Court No.: " &amp; 'Profit &amp; Loss'!F374 &amp; CHAR(10) &amp; "Level: HB - LI" &amp; CHAR(10) &amp; "Please transfer $" &amp; 'Profit &amp; Loss'!O374 &amp; " per pax to Belle (83396501)" &amp; CHAR(10) &amp; CHAR(10) &amp; IF('Profit &amp; Loss'!I374=1, "1." &amp; CHAR(10) &amp; "2." &amp; CHAR(10) &amp; "3." &amp; CHAR(10) &amp; "4." &amp; CHAR(10) &amp; "5." &amp; CHAR(10) &amp; "6." &amp; CHAR(10), IF('Profit &amp; Loss'!I374=2,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2" spans="1:2" ht="12.5" x14ac:dyDescent="0.25">
      <c r="A372" s="2" t="str">
        <f ca="1">IF('Profit &amp; Loss'!A375&gt;=TODAY(),"Looking for friendly players to join the following game: " &amp; CHAR(10) &amp; CHAR(10) &amp; "Date: " &amp; TEXT('Profit &amp; Loss'!A375,"dd mmm yyy") &amp; ", " &amp; 'Profit &amp; Loss'!B375 &amp; CHAR(10) &amp; "Time: " &amp; TEXT('Profit &amp; Loss'!C375, "hh:mm AM/PM") &amp; " - " &amp; TEXT('Profit &amp; Loss'!D375, "hh:mm AM/PM") &amp; CHAR(10) &amp; "Venue: " &amp; 'Profit &amp; Loss'!E375 &amp; CHAR(10) &amp; "Level: HB - LI" &amp; CHAR(10) &amp; "Cost: $" &amp; 'Profit &amp; Loss'!O375 &amp; " per pax" &amp; CHAR(10) &amp; "Max " &amp; 'Profit &amp; Loss'!I375*6 &amp; " pax," &amp; " (" &amp; 'Profit &amp; Loss'!I375 &amp; " courts)" &amp; CHAR(10) &amp; CHAR(10) &amp; "RSL Ultimate shuttles provided" &amp; CHAR(10) &amp; CHAR(10) &amp; "PM if interested, thank you!"," ")</f>
        <v xml:space="preserve"> </v>
      </c>
      <c r="B372" s="2" t="str">
        <f ca="1">IF('Profit &amp; Loss'!A375&gt;=TODAY(), "Date: " &amp; TEXT('Profit &amp; Loss'!A375,"dd mmm yyy") &amp; ", " &amp; 'Profit &amp; Loss'!B375 &amp; CHAR(10) &amp; "Time: " &amp; TEXT('Profit &amp; Loss'!C375, "hh:mm AM/PM") &amp; " - " &amp; TEXT('Profit &amp; Loss'!D375, "hh:mm AM/PM") &amp; CHAR(10) &amp; "Venue: " &amp; 'Profit &amp; Loss'!E375 &amp; CHAR(10) &amp; "Court No.: " &amp; 'Profit &amp; Loss'!F375 &amp; CHAR(10) &amp; "Level: HB - LI" &amp; CHAR(10) &amp; "Please transfer $" &amp; 'Profit &amp; Loss'!O375 &amp; " per pax to Belle (83396501)" &amp; CHAR(10) &amp; CHAR(10) &amp; IF('Profit &amp; Loss'!I375=1, "1." &amp; CHAR(10) &amp; "2." &amp; CHAR(10) &amp; "3." &amp; CHAR(10) &amp; "4." &amp; CHAR(10) &amp; "5." &amp; CHAR(10) &amp; "6." &amp; CHAR(10), IF('Profit &amp; Loss'!I375=2,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3" spans="1:2" ht="12.5" x14ac:dyDescent="0.25">
      <c r="A373" s="2" t="str">
        <f ca="1">IF('Profit &amp; Loss'!A376&gt;=TODAY(),"Looking for friendly players to join the following game: " &amp; CHAR(10) &amp; CHAR(10) &amp; "Date: " &amp; TEXT('Profit &amp; Loss'!A376,"dd mmm yyy") &amp; ", " &amp; 'Profit &amp; Loss'!B376 &amp; CHAR(10) &amp; "Time: " &amp; TEXT('Profit &amp; Loss'!C376, "hh:mm AM/PM") &amp; " - " &amp; TEXT('Profit &amp; Loss'!D376, "hh:mm AM/PM") &amp; CHAR(10) &amp; "Venue: " &amp; 'Profit &amp; Loss'!E376 &amp; CHAR(10) &amp; "Level: HB - LI" &amp; CHAR(10) &amp; "Cost: $" &amp; 'Profit &amp; Loss'!O376 &amp; " per pax" &amp; CHAR(10) &amp; "Max " &amp; 'Profit &amp; Loss'!I376*6 &amp; " pax," &amp; " (" &amp; 'Profit &amp; Loss'!I376 &amp; " courts)" &amp; CHAR(10) &amp; CHAR(10) &amp; "RSL Ultimate shuttles provided" &amp; CHAR(10) &amp; CHAR(10) &amp; "PM if interested, thank you!"," ")</f>
        <v xml:space="preserve"> </v>
      </c>
      <c r="B373" s="2" t="str">
        <f ca="1">IF('Profit &amp; Loss'!A376&gt;=TODAY(), "Date: " &amp; TEXT('Profit &amp; Loss'!A376,"dd mmm yyy") &amp; ", " &amp; 'Profit &amp; Loss'!B376 &amp; CHAR(10) &amp; "Time: " &amp; TEXT('Profit &amp; Loss'!C376, "hh:mm AM/PM") &amp; " - " &amp; TEXT('Profit &amp; Loss'!D376, "hh:mm AM/PM") &amp; CHAR(10) &amp; "Venue: " &amp; 'Profit &amp; Loss'!E376 &amp; CHAR(10) &amp; "Court No.: " &amp; 'Profit &amp; Loss'!F376 &amp; CHAR(10) &amp; "Level: HB - LI" &amp; CHAR(10) &amp; "Please transfer $" &amp; 'Profit &amp; Loss'!O376 &amp; " per pax to Belle (83396501)" &amp; CHAR(10) &amp; CHAR(10) &amp; IF('Profit &amp; Loss'!I376=1, "1." &amp; CHAR(10) &amp; "2." &amp; CHAR(10) &amp; "3." &amp; CHAR(10) &amp; "4." &amp; CHAR(10) &amp; "5." &amp; CHAR(10) &amp; "6." &amp; CHAR(10), IF('Profit &amp; Loss'!I376=2,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4" spans="1:2" ht="12.5" x14ac:dyDescent="0.25">
      <c r="A374" s="2" t="str">
        <f ca="1">IF('Profit &amp; Loss'!A377&gt;=TODAY(),"Looking for friendly players to join the following game: " &amp; CHAR(10) &amp; CHAR(10) &amp; "Date: " &amp; TEXT('Profit &amp; Loss'!A377,"dd mmm yyy") &amp; ", " &amp; 'Profit &amp; Loss'!B377 &amp; CHAR(10) &amp; "Time: " &amp; TEXT('Profit &amp; Loss'!C377, "hh:mm AM/PM") &amp; " - " &amp; TEXT('Profit &amp; Loss'!D377, "hh:mm AM/PM") &amp; CHAR(10) &amp; "Venue: " &amp; 'Profit &amp; Loss'!E377 &amp; CHAR(10) &amp; "Level: HB - LI" &amp; CHAR(10) &amp; "Cost: $" &amp; 'Profit &amp; Loss'!O377 &amp; " per pax" &amp; CHAR(10) &amp; "Max " &amp; 'Profit &amp; Loss'!I377*6 &amp; " pax," &amp; " (" &amp; 'Profit &amp; Loss'!I377 &amp; " courts)" &amp; CHAR(10) &amp; CHAR(10) &amp; "RSL Ultimate shuttles provided" &amp; CHAR(10) &amp; CHAR(10) &amp; "PM if interested, thank you!"," ")</f>
        <v xml:space="preserve"> </v>
      </c>
      <c r="B374" s="2" t="str">
        <f ca="1">IF('Profit &amp; Loss'!A377&gt;=TODAY(), "Date: " &amp; TEXT('Profit &amp; Loss'!A377,"dd mmm yyy") &amp; ", " &amp; 'Profit &amp; Loss'!B377 &amp; CHAR(10) &amp; "Time: " &amp; TEXT('Profit &amp; Loss'!C377, "hh:mm AM/PM") &amp; " - " &amp; TEXT('Profit &amp; Loss'!D377, "hh:mm AM/PM") &amp; CHAR(10) &amp; "Venue: " &amp; 'Profit &amp; Loss'!E377 &amp; CHAR(10) &amp; "Court No.: " &amp; 'Profit &amp; Loss'!F377 &amp; CHAR(10) &amp; "Level: HB - LI" &amp; CHAR(10) &amp; "Please transfer $" &amp; 'Profit &amp; Loss'!O377 &amp; " per pax to Belle (83396501)" &amp; CHAR(10) &amp; CHAR(10) &amp; IF('Profit &amp; Loss'!I377=1, "1." &amp; CHAR(10) &amp; "2." &amp; CHAR(10) &amp; "3." &amp; CHAR(10) &amp; "4." &amp; CHAR(10) &amp; "5." &amp; CHAR(10) &amp; "6." &amp; CHAR(10), IF('Profit &amp; Loss'!I377=2,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5" spans="1:2" ht="12.5" x14ac:dyDescent="0.25">
      <c r="A375" s="2" t="str">
        <f ca="1">IF('Profit &amp; Loss'!A378&gt;=TODAY(),"Looking for friendly players to join the following game: " &amp; CHAR(10) &amp; CHAR(10) &amp; "Date: " &amp; TEXT('Profit &amp; Loss'!A378,"dd mmm yyy") &amp; ", " &amp; 'Profit &amp; Loss'!B378 &amp; CHAR(10) &amp; "Time: " &amp; TEXT('Profit &amp; Loss'!C378, "hh:mm AM/PM") &amp; " - " &amp; TEXT('Profit &amp; Loss'!D378, "hh:mm AM/PM") &amp; CHAR(10) &amp; "Venue: " &amp; 'Profit &amp; Loss'!E378 &amp; CHAR(10) &amp; "Level: HB - LI" &amp; CHAR(10) &amp; "Cost: $" &amp; 'Profit &amp; Loss'!O378 &amp; " per pax" &amp; CHAR(10) &amp; "Max " &amp; 'Profit &amp; Loss'!I378*6 &amp; " pax," &amp; " (" &amp; 'Profit &amp; Loss'!I378 &amp; " courts)" &amp; CHAR(10) &amp; CHAR(10) &amp; "RSL Ultimate shuttles provided" &amp; CHAR(10) &amp; CHAR(10) &amp; "PM if interested, thank you!"," ")</f>
        <v xml:space="preserve"> </v>
      </c>
      <c r="B375" s="2" t="str">
        <f ca="1">IF('Profit &amp; Loss'!A378&gt;=TODAY(), "Date: " &amp; TEXT('Profit &amp; Loss'!A378,"dd mmm yyy") &amp; ", " &amp; 'Profit &amp; Loss'!B378 &amp; CHAR(10) &amp; "Time: " &amp; TEXT('Profit &amp; Loss'!C378, "hh:mm AM/PM") &amp; " - " &amp; TEXT('Profit &amp; Loss'!D378, "hh:mm AM/PM") &amp; CHAR(10) &amp; "Venue: " &amp; 'Profit &amp; Loss'!E378 &amp; CHAR(10) &amp; "Court No.: " &amp; 'Profit &amp; Loss'!F378 &amp; CHAR(10) &amp; "Level: HB - LI" &amp; CHAR(10) &amp; "Please transfer $" &amp; 'Profit &amp; Loss'!O378 &amp; " per pax to Belle (83396501)" &amp; CHAR(10) &amp; CHAR(10) &amp; IF('Profit &amp; Loss'!I378=1, "1." &amp; CHAR(10) &amp; "2." &amp; CHAR(10) &amp; "3." &amp; CHAR(10) &amp; "4." &amp; CHAR(10) &amp; "5." &amp; CHAR(10) &amp; "6." &amp; CHAR(10), IF('Profit &amp; Loss'!I378=2,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6" spans="1:2" ht="12.5" x14ac:dyDescent="0.25">
      <c r="A376" s="2" t="str">
        <f ca="1">IF('Profit &amp; Loss'!A379&gt;=TODAY(),"Looking for friendly players to join the following game: " &amp; CHAR(10) &amp; CHAR(10) &amp; "Date: " &amp; TEXT('Profit &amp; Loss'!A379,"dd mmm yyy") &amp; ", " &amp; 'Profit &amp; Loss'!B379 &amp; CHAR(10) &amp; "Time: " &amp; TEXT('Profit &amp; Loss'!C379, "hh:mm AM/PM") &amp; " - " &amp; TEXT('Profit &amp; Loss'!D379, "hh:mm AM/PM") &amp; CHAR(10) &amp; "Venue: " &amp; 'Profit &amp; Loss'!E379 &amp; CHAR(10) &amp; "Level: HB - LI" &amp; CHAR(10) &amp; "Cost: $" &amp; 'Profit &amp; Loss'!O379 &amp; " per pax" &amp; CHAR(10) &amp; "Max " &amp; 'Profit &amp; Loss'!I379*6 &amp; " pax," &amp; " (" &amp; 'Profit &amp; Loss'!I379 &amp; " courts)" &amp; CHAR(10) &amp; CHAR(10) &amp; "RSL Ultimate shuttles provided" &amp; CHAR(10) &amp; CHAR(10) &amp; "PM if interested, thank you!"," ")</f>
        <v xml:space="preserve"> </v>
      </c>
      <c r="B376" s="2" t="str">
        <f ca="1">IF('Profit &amp; Loss'!A379&gt;=TODAY(), "Date: " &amp; TEXT('Profit &amp; Loss'!A379,"dd mmm yyy") &amp; ", " &amp; 'Profit &amp; Loss'!B379 &amp; CHAR(10) &amp; "Time: " &amp; TEXT('Profit &amp; Loss'!C379, "hh:mm AM/PM") &amp; " - " &amp; TEXT('Profit &amp; Loss'!D379, "hh:mm AM/PM") &amp; CHAR(10) &amp; "Venue: " &amp; 'Profit &amp; Loss'!E379 &amp; CHAR(10) &amp; "Court No.: " &amp; 'Profit &amp; Loss'!F379 &amp; CHAR(10) &amp; "Level: HB - LI" &amp; CHAR(10) &amp; "Please transfer $" &amp; 'Profit &amp; Loss'!O379 &amp; " per pax to Belle (83396501)" &amp; CHAR(10) &amp; CHAR(10) &amp; IF('Profit &amp; Loss'!I379=1, "1." &amp; CHAR(10) &amp; "2." &amp; CHAR(10) &amp; "3." &amp; CHAR(10) &amp; "4." &amp; CHAR(10) &amp; "5." &amp; CHAR(10) &amp; "6." &amp; CHAR(10), IF('Profit &amp; Loss'!I379=2,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7" spans="1:2" ht="12.5" x14ac:dyDescent="0.25">
      <c r="A377" s="2" t="str">
        <f ca="1">IF('Profit &amp; Loss'!A380&gt;=TODAY(),"Looking for friendly players to join the following game: " &amp; CHAR(10) &amp; CHAR(10) &amp; "Date: " &amp; TEXT('Profit &amp; Loss'!A380,"dd mmm yyy") &amp; ", " &amp; 'Profit &amp; Loss'!B380 &amp; CHAR(10) &amp; "Time: " &amp; TEXT('Profit &amp; Loss'!C380, "hh:mm AM/PM") &amp; " - " &amp; TEXT('Profit &amp; Loss'!D380, "hh:mm AM/PM") &amp; CHAR(10) &amp; "Venue: " &amp; 'Profit &amp; Loss'!E380 &amp; CHAR(10) &amp; "Level: HB - LI" &amp; CHAR(10) &amp; "Cost: $" &amp; 'Profit &amp; Loss'!O380 &amp; " per pax" &amp; CHAR(10) &amp; "Max " &amp; 'Profit &amp; Loss'!I380*6 &amp; " pax," &amp; " (" &amp; 'Profit &amp; Loss'!I380 &amp; " courts)" &amp; CHAR(10) &amp; CHAR(10) &amp; "RSL Ultimate shuttles provided" &amp; CHAR(10) &amp; CHAR(10) &amp; "PM if interested, thank you!"," ")</f>
        <v xml:space="preserve"> </v>
      </c>
      <c r="B377" s="2" t="str">
        <f ca="1">IF('Profit &amp; Loss'!A380&gt;=TODAY(), "Date: " &amp; TEXT('Profit &amp; Loss'!A380,"dd mmm yyy") &amp; ", " &amp; 'Profit &amp; Loss'!B380 &amp; CHAR(10) &amp; "Time: " &amp; TEXT('Profit &amp; Loss'!C380, "hh:mm AM/PM") &amp; " - " &amp; TEXT('Profit &amp; Loss'!D380, "hh:mm AM/PM") &amp; CHAR(10) &amp; "Venue: " &amp; 'Profit &amp; Loss'!E380 &amp; CHAR(10) &amp; "Court No.: " &amp; 'Profit &amp; Loss'!F380 &amp; CHAR(10) &amp; "Level: HB - LI" &amp; CHAR(10) &amp; "Please transfer $" &amp; 'Profit &amp; Loss'!O380 &amp; " per pax to Belle (83396501)" &amp; CHAR(10) &amp; CHAR(10) &amp; IF('Profit &amp; Loss'!I380=1, "1." &amp; CHAR(10) &amp; "2." &amp; CHAR(10) &amp; "3." &amp; CHAR(10) &amp; "4." &amp; CHAR(10) &amp; "5." &amp; CHAR(10) &amp; "6." &amp; CHAR(10), IF('Profit &amp; Loss'!I380=2,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8" spans="1:2" ht="12.5" x14ac:dyDescent="0.25">
      <c r="A378" s="2" t="str">
        <f ca="1">IF('Profit &amp; Loss'!A381&gt;=TODAY(),"Looking for friendly players to join the following game: " &amp; CHAR(10) &amp; CHAR(10) &amp; "Date: " &amp; TEXT('Profit &amp; Loss'!A381,"dd mmm yyy") &amp; ", " &amp; 'Profit &amp; Loss'!B381 &amp; CHAR(10) &amp; "Time: " &amp; TEXT('Profit &amp; Loss'!C381, "hh:mm AM/PM") &amp; " - " &amp; TEXT('Profit &amp; Loss'!D381, "hh:mm AM/PM") &amp; CHAR(10) &amp; "Venue: " &amp; 'Profit &amp; Loss'!E381 &amp; CHAR(10) &amp; "Level: HB - LI" &amp; CHAR(10) &amp; "Cost: $" &amp; 'Profit &amp; Loss'!O381 &amp; " per pax" &amp; CHAR(10) &amp; "Max " &amp; 'Profit &amp; Loss'!I381*6 &amp; " pax," &amp; " (" &amp; 'Profit &amp; Loss'!I381 &amp; " courts)" &amp; CHAR(10) &amp; CHAR(10) &amp; "RSL Ultimate shuttles provided" &amp; CHAR(10) &amp; CHAR(10) &amp; "PM if interested, thank you!"," ")</f>
        <v xml:space="preserve"> </v>
      </c>
      <c r="B378" s="2" t="str">
        <f ca="1">IF('Profit &amp; Loss'!A381&gt;=TODAY(), "Date: " &amp; TEXT('Profit &amp; Loss'!A381,"dd mmm yyy") &amp; ", " &amp; 'Profit &amp; Loss'!B381 &amp; CHAR(10) &amp; "Time: " &amp; TEXT('Profit &amp; Loss'!C381, "hh:mm AM/PM") &amp; " - " &amp; TEXT('Profit &amp; Loss'!D381, "hh:mm AM/PM") &amp; CHAR(10) &amp; "Venue: " &amp; 'Profit &amp; Loss'!E381 &amp; CHAR(10) &amp; "Court No.: " &amp; 'Profit &amp; Loss'!F381 &amp; CHAR(10) &amp; "Level: HB - LI" &amp; CHAR(10) &amp; "Please transfer $" &amp; 'Profit &amp; Loss'!O381 &amp; " per pax to Belle (83396501)" &amp; CHAR(10) &amp; CHAR(10) &amp; IF('Profit &amp; Loss'!I381=1, "1." &amp; CHAR(10) &amp; "2." &amp; CHAR(10) &amp; "3." &amp; CHAR(10) &amp; "4." &amp; CHAR(10) &amp; "5." &amp; CHAR(10) &amp; "6." &amp; CHAR(10), IF('Profit &amp; Loss'!I381=2,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79" spans="1:2" ht="12.5" x14ac:dyDescent="0.25">
      <c r="A379" s="2" t="str">
        <f ca="1">IF('Profit &amp; Loss'!A382&gt;=TODAY(),"Looking for friendly players to join the following game: " &amp; CHAR(10) &amp; CHAR(10) &amp; "Date: " &amp; TEXT('Profit &amp; Loss'!A382,"dd mmm yyy") &amp; ", " &amp; 'Profit &amp; Loss'!B382 &amp; CHAR(10) &amp; "Time: " &amp; TEXT('Profit &amp; Loss'!C382, "hh:mm AM/PM") &amp; " - " &amp; TEXT('Profit &amp; Loss'!D382, "hh:mm AM/PM") &amp; CHAR(10) &amp; "Venue: " &amp; 'Profit &amp; Loss'!E382 &amp; CHAR(10) &amp; "Level: HB - LI" &amp; CHAR(10) &amp; "Cost: $" &amp; 'Profit &amp; Loss'!O382 &amp; " per pax" &amp; CHAR(10) &amp; "Max " &amp; 'Profit &amp; Loss'!I382*6 &amp; " pax," &amp; " (" &amp; 'Profit &amp; Loss'!I382 &amp; " courts)" &amp; CHAR(10) &amp; CHAR(10) &amp; "RSL Ultimate shuttles provided" &amp; CHAR(10) &amp; CHAR(10) &amp; "PM if interested, thank you!"," ")</f>
        <v xml:space="preserve"> </v>
      </c>
      <c r="B379" s="2" t="str">
        <f ca="1">IF('Profit &amp; Loss'!A382&gt;=TODAY(), "Date: " &amp; TEXT('Profit &amp; Loss'!A382,"dd mmm yyy") &amp; ", " &amp; 'Profit &amp; Loss'!B382 &amp; CHAR(10) &amp; "Time: " &amp; TEXT('Profit &amp; Loss'!C382, "hh:mm AM/PM") &amp; " - " &amp; TEXT('Profit &amp; Loss'!D382, "hh:mm AM/PM") &amp; CHAR(10) &amp; "Venue: " &amp; 'Profit &amp; Loss'!E382 &amp; CHAR(10) &amp; "Court No.: " &amp; 'Profit &amp; Loss'!F382 &amp; CHAR(10) &amp; "Level: HB - LI" &amp; CHAR(10) &amp; "Please transfer $" &amp; 'Profit &amp; Loss'!O382 &amp; " per pax to Belle (83396501)" &amp; CHAR(10) &amp; CHAR(10) &amp; IF('Profit &amp; Loss'!I382=1, "1." &amp; CHAR(10) &amp; "2." &amp; CHAR(10) &amp; "3." &amp; CHAR(10) &amp; "4." &amp; CHAR(10) &amp; "5." &amp; CHAR(10) &amp; "6." &amp; CHAR(10), IF('Profit &amp; Loss'!I382=2,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0" spans="1:2" ht="12.5" x14ac:dyDescent="0.25">
      <c r="A380" s="2" t="str">
        <f ca="1">IF('Profit &amp; Loss'!A383&gt;=TODAY(),"Looking for friendly players to join the following game: " &amp; CHAR(10) &amp; CHAR(10) &amp; "Date: " &amp; TEXT('Profit &amp; Loss'!A383,"dd mmm yyy") &amp; ", " &amp; 'Profit &amp; Loss'!B383 &amp; CHAR(10) &amp; "Time: " &amp; TEXT('Profit &amp; Loss'!C383, "hh:mm AM/PM") &amp; " - " &amp; TEXT('Profit &amp; Loss'!D383, "hh:mm AM/PM") &amp; CHAR(10) &amp; "Venue: " &amp; 'Profit &amp; Loss'!E383 &amp; CHAR(10) &amp; "Level: HB - LI" &amp; CHAR(10) &amp; "Cost: $" &amp; 'Profit &amp; Loss'!O383 &amp; " per pax" &amp; CHAR(10) &amp; "Max " &amp; 'Profit &amp; Loss'!I383*6 &amp; " pax," &amp; " (" &amp; 'Profit &amp; Loss'!I383 &amp; " courts)" &amp; CHAR(10) &amp; CHAR(10) &amp; "RSL Ultimate shuttles provided" &amp; CHAR(10) &amp; CHAR(10) &amp; "PM if interested, thank you!"," ")</f>
        <v xml:space="preserve"> </v>
      </c>
      <c r="B380" s="2" t="str">
        <f ca="1">IF('Profit &amp; Loss'!A383&gt;=TODAY(), "Date: " &amp; TEXT('Profit &amp; Loss'!A383,"dd mmm yyy") &amp; ", " &amp; 'Profit &amp; Loss'!B383 &amp; CHAR(10) &amp; "Time: " &amp; TEXT('Profit &amp; Loss'!C383, "hh:mm AM/PM") &amp; " - " &amp; TEXT('Profit &amp; Loss'!D383, "hh:mm AM/PM") &amp; CHAR(10) &amp; "Venue: " &amp; 'Profit &amp; Loss'!E383 &amp; CHAR(10) &amp; "Court No.: " &amp; 'Profit &amp; Loss'!F383 &amp; CHAR(10) &amp; "Level: HB - LI" &amp; CHAR(10) &amp; "Please transfer $" &amp; 'Profit &amp; Loss'!O383 &amp; " per pax to Belle (83396501)" &amp; CHAR(10) &amp; CHAR(10) &amp; IF('Profit &amp; Loss'!I383=1, "1." &amp; CHAR(10) &amp; "2." &amp; CHAR(10) &amp; "3." &amp; CHAR(10) &amp; "4." &amp; CHAR(10) &amp; "5." &amp; CHAR(10) &amp; "6." &amp; CHAR(10), IF('Profit &amp; Loss'!I383=2,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1" spans="1:2" ht="12.5" x14ac:dyDescent="0.25">
      <c r="A381" s="2" t="str">
        <f ca="1">IF('Profit &amp; Loss'!A384&gt;=TODAY(),"Looking for friendly players to join the following game: " &amp; CHAR(10) &amp; CHAR(10) &amp; "Date: " &amp; TEXT('Profit &amp; Loss'!A384,"dd mmm yyy") &amp; ", " &amp; 'Profit &amp; Loss'!B384 &amp; CHAR(10) &amp; "Time: " &amp; TEXT('Profit &amp; Loss'!C384, "hh:mm AM/PM") &amp; " - " &amp; TEXT('Profit &amp; Loss'!D384, "hh:mm AM/PM") &amp; CHAR(10) &amp; "Venue: " &amp; 'Profit &amp; Loss'!E384 &amp; CHAR(10) &amp; "Level: HB - LI" &amp; CHAR(10) &amp; "Cost: $" &amp; 'Profit &amp; Loss'!O384 &amp; " per pax" &amp; CHAR(10) &amp; "Max " &amp; 'Profit &amp; Loss'!I384*6 &amp; " pax," &amp; " (" &amp; 'Profit &amp; Loss'!I384 &amp; " courts)" &amp; CHAR(10) &amp; CHAR(10) &amp; "RSL Ultimate shuttles provided" &amp; CHAR(10) &amp; CHAR(10) &amp; "PM if interested, thank you!"," ")</f>
        <v xml:space="preserve"> </v>
      </c>
      <c r="B381" s="2" t="str">
        <f ca="1">IF('Profit &amp; Loss'!A384&gt;=TODAY(), "Date: " &amp; TEXT('Profit &amp; Loss'!A384,"dd mmm yyy") &amp; ", " &amp; 'Profit &amp; Loss'!B384 &amp; CHAR(10) &amp; "Time: " &amp; TEXT('Profit &amp; Loss'!C384, "hh:mm AM/PM") &amp; " - " &amp; TEXT('Profit &amp; Loss'!D384, "hh:mm AM/PM") &amp; CHAR(10) &amp; "Venue: " &amp; 'Profit &amp; Loss'!E384 &amp; CHAR(10) &amp; "Court No.: " &amp; 'Profit &amp; Loss'!F384 &amp; CHAR(10) &amp; "Level: HB - LI" &amp; CHAR(10) &amp; "Please transfer $" &amp; 'Profit &amp; Loss'!O384 &amp; " per pax to Belle (83396501)" &amp; CHAR(10) &amp; CHAR(10) &amp; IF('Profit &amp; Loss'!I384=1, "1." &amp; CHAR(10) &amp; "2." &amp; CHAR(10) &amp; "3." &amp; CHAR(10) &amp; "4." &amp; CHAR(10) &amp; "5." &amp; CHAR(10) &amp; "6." &amp; CHAR(10), IF('Profit &amp; Loss'!I384=2,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2" spans="1:2" ht="12.5" x14ac:dyDescent="0.25">
      <c r="A382" s="2" t="str">
        <f ca="1">IF('Profit &amp; Loss'!A385&gt;=TODAY(),"Looking for friendly players to join the following game: " &amp; CHAR(10) &amp; CHAR(10) &amp; "Date: " &amp; TEXT('Profit &amp; Loss'!A385,"dd mmm yyy") &amp; ", " &amp; 'Profit &amp; Loss'!B385 &amp; CHAR(10) &amp; "Time: " &amp; TEXT('Profit &amp; Loss'!C385, "hh:mm AM/PM") &amp; " - " &amp; TEXT('Profit &amp; Loss'!D385, "hh:mm AM/PM") &amp; CHAR(10) &amp; "Venue: " &amp; 'Profit &amp; Loss'!E385 &amp; CHAR(10) &amp; "Level: HB - LI" &amp; CHAR(10) &amp; "Cost: $" &amp; 'Profit &amp; Loss'!O385 &amp; " per pax" &amp; CHAR(10) &amp; "Max " &amp; 'Profit &amp; Loss'!I385*6 &amp; " pax," &amp; " (" &amp; 'Profit &amp; Loss'!I385 &amp; " courts)" &amp; CHAR(10) &amp; CHAR(10) &amp; "RSL Ultimate shuttles provided" &amp; CHAR(10) &amp; CHAR(10) &amp; "PM if interested, thank you!"," ")</f>
        <v xml:space="preserve"> </v>
      </c>
      <c r="B382" s="2" t="str">
        <f ca="1">IF('Profit &amp; Loss'!A385&gt;=TODAY(), "Date: " &amp; TEXT('Profit &amp; Loss'!A385,"dd mmm yyy") &amp; ", " &amp; 'Profit &amp; Loss'!B385 &amp; CHAR(10) &amp; "Time: " &amp; TEXT('Profit &amp; Loss'!C385, "hh:mm AM/PM") &amp; " - " &amp; TEXT('Profit &amp; Loss'!D385, "hh:mm AM/PM") &amp; CHAR(10) &amp; "Venue: " &amp; 'Profit &amp; Loss'!E385 &amp; CHAR(10) &amp; "Court No.: " &amp; 'Profit &amp; Loss'!F385 &amp; CHAR(10) &amp; "Level: HB - LI" &amp; CHAR(10) &amp; "Please transfer $" &amp; 'Profit &amp; Loss'!O385 &amp; " per pax to Belle (83396501)" &amp; CHAR(10) &amp; CHAR(10) &amp; IF('Profit &amp; Loss'!I385=1, "1." &amp; CHAR(10) &amp; "2." &amp; CHAR(10) &amp; "3." &amp; CHAR(10) &amp; "4." &amp; CHAR(10) &amp; "5." &amp; CHAR(10) &amp; "6." &amp; CHAR(10), IF('Profit &amp; Loss'!I385=2,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3" spans="1:2" ht="12.5" x14ac:dyDescent="0.25">
      <c r="A383" s="2" t="str">
        <f ca="1">IF('Profit &amp; Loss'!A386&gt;=TODAY(),"Looking for friendly players to join the following game: " &amp; CHAR(10) &amp; CHAR(10) &amp; "Date: " &amp; TEXT('Profit &amp; Loss'!A386,"dd mmm yyy") &amp; ", " &amp; 'Profit &amp; Loss'!B386 &amp; CHAR(10) &amp; "Time: " &amp; TEXT('Profit &amp; Loss'!C386, "hh:mm AM/PM") &amp; " - " &amp; TEXT('Profit &amp; Loss'!D386, "hh:mm AM/PM") &amp; CHAR(10) &amp; "Venue: " &amp; 'Profit &amp; Loss'!E386 &amp; CHAR(10) &amp; "Level: HB - LI" &amp; CHAR(10) &amp; "Cost: $" &amp; 'Profit &amp; Loss'!O386 &amp; " per pax" &amp; CHAR(10) &amp; "Max " &amp; 'Profit &amp; Loss'!I386*6 &amp; " pax," &amp; " (" &amp; 'Profit &amp; Loss'!I386 &amp; " courts)" &amp; CHAR(10) &amp; CHAR(10) &amp; "RSL Ultimate shuttles provided" &amp; CHAR(10) &amp; CHAR(10) &amp; "PM if interested, thank you!"," ")</f>
        <v xml:space="preserve"> </v>
      </c>
      <c r="B383" s="2" t="str">
        <f ca="1">IF('Profit &amp; Loss'!A386&gt;=TODAY(), "Date: " &amp; TEXT('Profit &amp; Loss'!A386,"dd mmm yyy") &amp; ", " &amp; 'Profit &amp; Loss'!B386 &amp; CHAR(10) &amp; "Time: " &amp; TEXT('Profit &amp; Loss'!C386, "hh:mm AM/PM") &amp; " - " &amp; TEXT('Profit &amp; Loss'!D386, "hh:mm AM/PM") &amp; CHAR(10) &amp; "Venue: " &amp; 'Profit &amp; Loss'!E386 &amp; CHAR(10) &amp; "Court No.: " &amp; 'Profit &amp; Loss'!F386 &amp; CHAR(10) &amp; "Level: HB - LI" &amp; CHAR(10) &amp; "Please transfer $" &amp; 'Profit &amp; Loss'!O386 &amp; " per pax to Belle (83396501)" &amp; CHAR(10) &amp; CHAR(10) &amp; IF('Profit &amp; Loss'!I386=1, "1." &amp; CHAR(10) &amp; "2." &amp; CHAR(10) &amp; "3." &amp; CHAR(10) &amp; "4." &amp; CHAR(10) &amp; "5." &amp; CHAR(10) &amp; "6." &amp; CHAR(10), IF('Profit &amp; Loss'!I386=2,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4" spans="1:2" ht="12.5" x14ac:dyDescent="0.25">
      <c r="A384" s="2" t="str">
        <f ca="1">IF('Profit &amp; Loss'!A387&gt;=TODAY(),"Looking for friendly players to join the following game: " &amp; CHAR(10) &amp; CHAR(10) &amp; "Date: " &amp; TEXT('Profit &amp; Loss'!A387,"dd mmm yyy") &amp; ", " &amp; 'Profit &amp; Loss'!B387 &amp; CHAR(10) &amp; "Time: " &amp; TEXT('Profit &amp; Loss'!C387, "hh:mm AM/PM") &amp; " - " &amp; TEXT('Profit &amp; Loss'!D387, "hh:mm AM/PM") &amp; CHAR(10) &amp; "Venue: " &amp; 'Profit &amp; Loss'!E387 &amp; CHAR(10) &amp; "Level: HB - LI" &amp; CHAR(10) &amp; "Cost: $" &amp; 'Profit &amp; Loss'!O387 &amp; " per pax" &amp; CHAR(10) &amp; "Max " &amp; 'Profit &amp; Loss'!I387*6 &amp; " pax," &amp; " (" &amp; 'Profit &amp; Loss'!I387 &amp; " courts)" &amp; CHAR(10) &amp; CHAR(10) &amp; "RSL Ultimate shuttles provided" &amp; CHAR(10) &amp; CHAR(10) &amp; "PM if interested, thank you!"," ")</f>
        <v xml:space="preserve"> </v>
      </c>
      <c r="B384" s="2" t="str">
        <f ca="1">IF('Profit &amp; Loss'!A387&gt;=TODAY(), "Date: " &amp; TEXT('Profit &amp; Loss'!A387,"dd mmm yyy") &amp; ", " &amp; 'Profit &amp; Loss'!B387 &amp; CHAR(10) &amp; "Time: " &amp; TEXT('Profit &amp; Loss'!C387, "hh:mm AM/PM") &amp; " - " &amp; TEXT('Profit &amp; Loss'!D387, "hh:mm AM/PM") &amp; CHAR(10) &amp; "Venue: " &amp; 'Profit &amp; Loss'!E387 &amp; CHAR(10) &amp; "Court No.: " &amp; 'Profit &amp; Loss'!F387 &amp; CHAR(10) &amp; "Level: HB - LI" &amp; CHAR(10) &amp; "Please transfer $" &amp; 'Profit &amp; Loss'!O387 &amp; " per pax to Belle (83396501)" &amp; CHAR(10) &amp; CHAR(10) &amp; IF('Profit &amp; Loss'!I387=1, "1." &amp; CHAR(10) &amp; "2." &amp; CHAR(10) &amp; "3." &amp; CHAR(10) &amp; "4." &amp; CHAR(10) &amp; "5." &amp; CHAR(10) &amp; "6." &amp; CHAR(10), IF('Profit &amp; Loss'!I387=2,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5" spans="1:2" ht="12.5" x14ac:dyDescent="0.25">
      <c r="A385" s="2" t="str">
        <f ca="1">IF('Profit &amp; Loss'!A388&gt;=TODAY(),"Looking for friendly players to join the following game: " &amp; CHAR(10) &amp; CHAR(10) &amp; "Date: " &amp; TEXT('Profit &amp; Loss'!A388,"dd mmm yyy") &amp; ", " &amp; 'Profit &amp; Loss'!B388 &amp; CHAR(10) &amp; "Time: " &amp; TEXT('Profit &amp; Loss'!C388, "hh:mm AM/PM") &amp; " - " &amp; TEXT('Profit &amp; Loss'!D388, "hh:mm AM/PM") &amp; CHAR(10) &amp; "Venue: " &amp; 'Profit &amp; Loss'!E388 &amp; CHAR(10) &amp; "Level: HB - LI" &amp; CHAR(10) &amp; "Cost: $" &amp; 'Profit &amp; Loss'!O388 &amp; " per pax" &amp; CHAR(10) &amp; "Max " &amp; 'Profit &amp; Loss'!I388*6 &amp; " pax," &amp; " (" &amp; 'Profit &amp; Loss'!I388 &amp; " courts)" &amp; CHAR(10) &amp; CHAR(10) &amp; "RSL Ultimate shuttles provided" &amp; CHAR(10) &amp; CHAR(10) &amp; "PM if interested, thank you!"," ")</f>
        <v xml:space="preserve"> </v>
      </c>
      <c r="B385" s="2" t="str">
        <f ca="1">IF('Profit &amp; Loss'!A388&gt;=TODAY(), "Date: " &amp; TEXT('Profit &amp; Loss'!A388,"dd mmm yyy") &amp; ", " &amp; 'Profit &amp; Loss'!B388 &amp; CHAR(10) &amp; "Time: " &amp; TEXT('Profit &amp; Loss'!C388, "hh:mm AM/PM") &amp; " - " &amp; TEXT('Profit &amp; Loss'!D388, "hh:mm AM/PM") &amp; CHAR(10) &amp; "Venue: " &amp; 'Profit &amp; Loss'!E388 &amp; CHAR(10) &amp; "Court No.: " &amp; 'Profit &amp; Loss'!F388 &amp; CHAR(10) &amp; "Level: HB - LI" &amp; CHAR(10) &amp; "Please transfer $" &amp; 'Profit &amp; Loss'!O388 &amp; " per pax to Belle (83396501)" &amp; CHAR(10) &amp; CHAR(10) &amp; IF('Profit &amp; Loss'!I388=1, "1." &amp; CHAR(10) &amp; "2." &amp; CHAR(10) &amp; "3." &amp; CHAR(10) &amp; "4." &amp; CHAR(10) &amp; "5." &amp; CHAR(10) &amp; "6." &amp; CHAR(10), IF('Profit &amp; Loss'!I388=2,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6" spans="1:2" ht="12.5" x14ac:dyDescent="0.25">
      <c r="A386" s="2" t="str">
        <f ca="1">IF('Profit &amp; Loss'!A389&gt;=TODAY(),"Looking for friendly players to join the following game: " &amp; CHAR(10) &amp; CHAR(10) &amp; "Date: " &amp; TEXT('Profit &amp; Loss'!A389,"dd mmm yyy") &amp; ", " &amp; 'Profit &amp; Loss'!B389 &amp; CHAR(10) &amp; "Time: " &amp; TEXT('Profit &amp; Loss'!C389, "hh:mm AM/PM") &amp; " - " &amp; TEXT('Profit &amp; Loss'!D389, "hh:mm AM/PM") &amp; CHAR(10) &amp; "Venue: " &amp; 'Profit &amp; Loss'!E389 &amp; CHAR(10) &amp; "Level: HB - LI" &amp; CHAR(10) &amp; "Cost: $" &amp; 'Profit &amp; Loss'!O389 &amp; " per pax" &amp; CHAR(10) &amp; "Max " &amp; 'Profit &amp; Loss'!I389*6 &amp; " pax," &amp; " (" &amp; 'Profit &amp; Loss'!I389 &amp; " courts)" &amp; CHAR(10) &amp; CHAR(10) &amp; "RSL Ultimate shuttles provided" &amp; CHAR(10) &amp; CHAR(10) &amp; "PM if interested, thank you!"," ")</f>
        <v xml:space="preserve"> </v>
      </c>
      <c r="B386" s="2" t="str">
        <f ca="1">IF('Profit &amp; Loss'!A389&gt;=TODAY(), "Date: " &amp; TEXT('Profit &amp; Loss'!A389,"dd mmm yyy") &amp; ", " &amp; 'Profit &amp; Loss'!B389 &amp; CHAR(10) &amp; "Time: " &amp; TEXT('Profit &amp; Loss'!C389, "hh:mm AM/PM") &amp; " - " &amp; TEXT('Profit &amp; Loss'!D389, "hh:mm AM/PM") &amp; CHAR(10) &amp; "Venue: " &amp; 'Profit &amp; Loss'!E389 &amp; CHAR(10) &amp; "Court No.: " &amp; 'Profit &amp; Loss'!F389 &amp; CHAR(10) &amp; "Level: HB - LI" &amp; CHAR(10) &amp; "Please transfer $" &amp; 'Profit &amp; Loss'!O389 &amp; " per pax to Belle (83396501)" &amp; CHAR(10) &amp; CHAR(10) &amp; IF('Profit &amp; Loss'!I389=1, "1." &amp; CHAR(10) &amp; "2." &amp; CHAR(10) &amp; "3." &amp; CHAR(10) &amp; "4." &amp; CHAR(10) &amp; "5." &amp; CHAR(10) &amp; "6." &amp; CHAR(10), IF('Profit &amp; Loss'!I389=2,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7" spans="1:2" ht="12.5" x14ac:dyDescent="0.25">
      <c r="A387" s="2" t="str">
        <f ca="1">IF('Profit &amp; Loss'!A390&gt;=TODAY(),"Looking for friendly players to join the following game: " &amp; CHAR(10) &amp; CHAR(10) &amp; "Date: " &amp; TEXT('Profit &amp; Loss'!A390,"dd mmm yyy") &amp; ", " &amp; 'Profit &amp; Loss'!B390 &amp; CHAR(10) &amp; "Time: " &amp; TEXT('Profit &amp; Loss'!C390, "hh:mm AM/PM") &amp; " - " &amp; TEXT('Profit &amp; Loss'!D390, "hh:mm AM/PM") &amp; CHAR(10) &amp; "Venue: " &amp; 'Profit &amp; Loss'!E390 &amp; CHAR(10) &amp; "Level: HB - LI" &amp; CHAR(10) &amp; "Cost: $" &amp; 'Profit &amp; Loss'!O390 &amp; " per pax" &amp; CHAR(10) &amp; "Max " &amp; 'Profit &amp; Loss'!I390*6 &amp; " pax," &amp; " (" &amp; 'Profit &amp; Loss'!I390 &amp; " courts)" &amp; CHAR(10) &amp; CHAR(10) &amp; "RSL Ultimate shuttles provided" &amp; CHAR(10) &amp; CHAR(10) &amp; "PM if interested, thank you!"," ")</f>
        <v xml:space="preserve"> </v>
      </c>
      <c r="B387" s="2" t="str">
        <f ca="1">IF('Profit &amp; Loss'!A390&gt;=TODAY(), "Date: " &amp; TEXT('Profit &amp; Loss'!A390,"dd mmm yyy") &amp; ", " &amp; 'Profit &amp; Loss'!B390 &amp; CHAR(10) &amp; "Time: " &amp; TEXT('Profit &amp; Loss'!C390, "hh:mm AM/PM") &amp; " - " &amp; TEXT('Profit &amp; Loss'!D390, "hh:mm AM/PM") &amp; CHAR(10) &amp; "Venue: " &amp; 'Profit &amp; Loss'!E390 &amp; CHAR(10) &amp; "Court No.: " &amp; 'Profit &amp; Loss'!F390 &amp; CHAR(10) &amp; "Level: HB - LI" &amp; CHAR(10) &amp; "Please transfer $" &amp; 'Profit &amp; Loss'!O390 &amp; " per pax to Belle (83396501)" &amp; CHAR(10) &amp; CHAR(10) &amp; IF('Profit &amp; Loss'!I390=1, "1." &amp; CHAR(10) &amp; "2." &amp; CHAR(10) &amp; "3." &amp; CHAR(10) &amp; "4." &amp; CHAR(10) &amp; "5." &amp; CHAR(10) &amp; "6." &amp; CHAR(10), IF('Profit &amp; Loss'!I390=2,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8" spans="1:2" ht="12.5" x14ac:dyDescent="0.25">
      <c r="A388" s="2" t="str">
        <f ca="1">IF('Profit &amp; Loss'!A391&gt;=TODAY(),"Looking for friendly players to join the following game: " &amp; CHAR(10) &amp; CHAR(10) &amp; "Date: " &amp; TEXT('Profit &amp; Loss'!A391,"dd mmm yyy") &amp; ", " &amp; 'Profit &amp; Loss'!B391 &amp; CHAR(10) &amp; "Time: " &amp; TEXT('Profit &amp; Loss'!C391, "hh:mm AM/PM") &amp; " - " &amp; TEXT('Profit &amp; Loss'!D391, "hh:mm AM/PM") &amp; CHAR(10) &amp; "Venue: " &amp; 'Profit &amp; Loss'!E391 &amp; CHAR(10) &amp; "Level: HB - LI" &amp; CHAR(10) &amp; "Cost: $" &amp; 'Profit &amp; Loss'!O391 &amp; " per pax" &amp; CHAR(10) &amp; "Max " &amp; 'Profit &amp; Loss'!I391*6 &amp; " pax," &amp; " (" &amp; 'Profit &amp; Loss'!I391 &amp; " courts)" &amp; CHAR(10) &amp; CHAR(10) &amp; "RSL Ultimate shuttles provided" &amp; CHAR(10) &amp; CHAR(10) &amp; "PM if interested, thank you!"," ")</f>
        <v xml:space="preserve"> </v>
      </c>
      <c r="B388" s="2" t="str">
        <f ca="1">IF('Profit &amp; Loss'!A391&gt;=TODAY(), "Date: " &amp; TEXT('Profit &amp; Loss'!A391,"dd mmm yyy") &amp; ", " &amp; 'Profit &amp; Loss'!B391 &amp; CHAR(10) &amp; "Time: " &amp; TEXT('Profit &amp; Loss'!C391, "hh:mm AM/PM") &amp; " - " &amp; TEXT('Profit &amp; Loss'!D391, "hh:mm AM/PM") &amp; CHAR(10) &amp; "Venue: " &amp; 'Profit &amp; Loss'!E391 &amp; CHAR(10) &amp; "Court No.: " &amp; 'Profit &amp; Loss'!F391 &amp; CHAR(10) &amp; "Level: HB - LI" &amp; CHAR(10) &amp; "Please transfer $" &amp; 'Profit &amp; Loss'!O391 &amp; " per pax to Belle (83396501)" &amp; CHAR(10) &amp; CHAR(10) &amp; IF('Profit &amp; Loss'!I391=1, "1." &amp; CHAR(10) &amp; "2." &amp; CHAR(10) &amp; "3." &amp; CHAR(10) &amp; "4." &amp; CHAR(10) &amp; "5." &amp; CHAR(10) &amp; "6." &amp; CHAR(10), IF('Profit &amp; Loss'!I391=2,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89" spans="1:2" ht="12.5" x14ac:dyDescent="0.25">
      <c r="A389" s="2" t="str">
        <f ca="1">IF('Profit &amp; Loss'!A392&gt;=TODAY(),"Looking for friendly players to join the following game: " &amp; CHAR(10) &amp; CHAR(10) &amp; "Date: " &amp; TEXT('Profit &amp; Loss'!A392,"dd mmm yyy") &amp; ", " &amp; 'Profit &amp; Loss'!B392 &amp; CHAR(10) &amp; "Time: " &amp; TEXT('Profit &amp; Loss'!C392, "hh:mm AM/PM") &amp; " - " &amp; TEXT('Profit &amp; Loss'!D392, "hh:mm AM/PM") &amp; CHAR(10) &amp; "Venue: " &amp; 'Profit &amp; Loss'!E392 &amp; CHAR(10) &amp; "Level: HB - LI" &amp; CHAR(10) &amp; "Cost: $" &amp; 'Profit &amp; Loss'!O392 &amp; " per pax" &amp; CHAR(10) &amp; "Max " &amp; 'Profit &amp; Loss'!I392*6 &amp; " pax," &amp; " (" &amp; 'Profit &amp; Loss'!I392 &amp; " courts)" &amp; CHAR(10) &amp; CHAR(10) &amp; "RSL Ultimate shuttles provided" &amp; CHAR(10) &amp; CHAR(10) &amp; "PM if interested, thank you!"," ")</f>
        <v xml:space="preserve"> </v>
      </c>
      <c r="B389" s="2" t="str">
        <f ca="1">IF('Profit &amp; Loss'!A392&gt;=TODAY(), "Date: " &amp; TEXT('Profit &amp; Loss'!A392,"dd mmm yyy") &amp; ", " &amp; 'Profit &amp; Loss'!B392 &amp; CHAR(10) &amp; "Time: " &amp; TEXT('Profit &amp; Loss'!C392, "hh:mm AM/PM") &amp; " - " &amp; TEXT('Profit &amp; Loss'!D392, "hh:mm AM/PM") &amp; CHAR(10) &amp; "Venue: " &amp; 'Profit &amp; Loss'!E392 &amp; CHAR(10) &amp; "Court No.: " &amp; 'Profit &amp; Loss'!F392 &amp; CHAR(10) &amp; "Level: HB - LI" &amp; CHAR(10) &amp; "Please transfer $" &amp; 'Profit &amp; Loss'!O392 &amp; " per pax to Belle (83396501)" &amp; CHAR(10) &amp; CHAR(10) &amp; IF('Profit &amp; Loss'!I392=1, "1." &amp; CHAR(10) &amp; "2." &amp; CHAR(10) &amp; "3." &amp; CHAR(10) &amp; "4." &amp; CHAR(10) &amp; "5." &amp; CHAR(10) &amp; "6." &amp; CHAR(10), IF('Profit &amp; Loss'!I392=2,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0" spans="1:2" ht="12.5" x14ac:dyDescent="0.25">
      <c r="A390" s="2" t="str">
        <f ca="1">IF('Profit &amp; Loss'!A393&gt;=TODAY(),"Looking for friendly players to join the following game: " &amp; CHAR(10) &amp; CHAR(10) &amp; "Date: " &amp; TEXT('Profit &amp; Loss'!A393,"dd mmm yyy") &amp; ", " &amp; 'Profit &amp; Loss'!B393 &amp; CHAR(10) &amp; "Time: " &amp; TEXT('Profit &amp; Loss'!C393, "hh:mm AM/PM") &amp; " - " &amp; TEXT('Profit &amp; Loss'!D393, "hh:mm AM/PM") &amp; CHAR(10) &amp; "Venue: " &amp; 'Profit &amp; Loss'!E393 &amp; CHAR(10) &amp; "Level: HB - LI" &amp; CHAR(10) &amp; "Cost: $" &amp; 'Profit &amp; Loss'!O393 &amp; " per pax" &amp; CHAR(10) &amp; "Max " &amp; 'Profit &amp; Loss'!I393*6 &amp; " pax," &amp; " (" &amp; 'Profit &amp; Loss'!I393 &amp; " courts)" &amp; CHAR(10) &amp; CHAR(10) &amp; "RSL Ultimate shuttles provided" &amp; CHAR(10) &amp; CHAR(10) &amp; "PM if interested, thank you!"," ")</f>
        <v xml:space="preserve"> </v>
      </c>
      <c r="B390" s="2" t="str">
        <f ca="1">IF('Profit &amp; Loss'!A393&gt;=TODAY(), "Date: " &amp; TEXT('Profit &amp; Loss'!A393,"dd mmm yyy") &amp; ", " &amp; 'Profit &amp; Loss'!B393 &amp; CHAR(10) &amp; "Time: " &amp; TEXT('Profit &amp; Loss'!C393, "hh:mm AM/PM") &amp; " - " &amp; TEXT('Profit &amp; Loss'!D393, "hh:mm AM/PM") &amp; CHAR(10) &amp; "Venue: " &amp; 'Profit &amp; Loss'!E393 &amp; CHAR(10) &amp; "Court No.: " &amp; 'Profit &amp; Loss'!F393 &amp; CHAR(10) &amp; "Level: HB - LI" &amp; CHAR(10) &amp; "Please transfer $" &amp; 'Profit &amp; Loss'!O393 &amp; " per pax to Belle (83396501)" &amp; CHAR(10) &amp; CHAR(10) &amp; IF('Profit &amp; Loss'!I393=1, "1." &amp; CHAR(10) &amp; "2." &amp; CHAR(10) &amp; "3." &amp; CHAR(10) &amp; "4." &amp; CHAR(10) &amp; "5." &amp; CHAR(10) &amp; "6." &amp; CHAR(10), IF('Profit &amp; Loss'!I393=2,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1" spans="1:2" ht="12.5" x14ac:dyDescent="0.25">
      <c r="A391" s="2" t="str">
        <f ca="1">IF('Profit &amp; Loss'!A394&gt;=TODAY(),"Looking for friendly players to join the following game: " &amp; CHAR(10) &amp; CHAR(10) &amp; "Date: " &amp; TEXT('Profit &amp; Loss'!A394,"dd mmm yyy") &amp; ", " &amp; 'Profit &amp; Loss'!B394 &amp; CHAR(10) &amp; "Time: " &amp; TEXT('Profit &amp; Loss'!C394, "hh:mm AM/PM") &amp; " - " &amp; TEXT('Profit &amp; Loss'!D394, "hh:mm AM/PM") &amp; CHAR(10) &amp; "Venue: " &amp; 'Profit &amp; Loss'!E394 &amp; CHAR(10) &amp; "Level: HB - LI" &amp; CHAR(10) &amp; "Cost: $" &amp; 'Profit &amp; Loss'!O394 &amp; " per pax" &amp; CHAR(10) &amp; "Max " &amp; 'Profit &amp; Loss'!I394*6 &amp; " pax," &amp; " (" &amp; 'Profit &amp; Loss'!I394 &amp; " courts)" &amp; CHAR(10) &amp; CHAR(10) &amp; "RSL Ultimate shuttles provided" &amp; CHAR(10) &amp; CHAR(10) &amp; "PM if interested, thank you!"," ")</f>
        <v xml:space="preserve"> </v>
      </c>
      <c r="B391" s="2" t="str">
        <f ca="1">IF('Profit &amp; Loss'!A394&gt;=TODAY(), "Date: " &amp; TEXT('Profit &amp; Loss'!A394,"dd mmm yyy") &amp; ", " &amp; 'Profit &amp; Loss'!B394 &amp; CHAR(10) &amp; "Time: " &amp; TEXT('Profit &amp; Loss'!C394, "hh:mm AM/PM") &amp; " - " &amp; TEXT('Profit &amp; Loss'!D394, "hh:mm AM/PM") &amp; CHAR(10) &amp; "Venue: " &amp; 'Profit &amp; Loss'!E394 &amp; CHAR(10) &amp; "Court No.: " &amp; 'Profit &amp; Loss'!F394 &amp; CHAR(10) &amp; "Level: HB - LI" &amp; CHAR(10) &amp; "Please transfer $" &amp; 'Profit &amp; Loss'!O394 &amp; " per pax to Belle (83396501)" &amp; CHAR(10) &amp; CHAR(10) &amp; IF('Profit &amp; Loss'!I394=1, "1." &amp; CHAR(10) &amp; "2." &amp; CHAR(10) &amp; "3." &amp; CHAR(10) &amp; "4." &amp; CHAR(10) &amp; "5." &amp; CHAR(10) &amp; "6." &amp; CHAR(10), IF('Profit &amp; Loss'!I394=2,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2" spans="1:2" ht="12.5" x14ac:dyDescent="0.25">
      <c r="A392" s="2" t="str">
        <f ca="1">IF('Profit &amp; Loss'!A395&gt;=TODAY(),"Looking for friendly players to join the following game: " &amp; CHAR(10) &amp; CHAR(10) &amp; "Date: " &amp; TEXT('Profit &amp; Loss'!A395,"dd mmm yyy") &amp; ", " &amp; 'Profit &amp; Loss'!B395 &amp; CHAR(10) &amp; "Time: " &amp; TEXT('Profit &amp; Loss'!C395, "hh:mm AM/PM") &amp; " - " &amp; TEXT('Profit &amp; Loss'!D395, "hh:mm AM/PM") &amp; CHAR(10) &amp; "Venue: " &amp; 'Profit &amp; Loss'!E395 &amp; CHAR(10) &amp; "Level: HB - LI" &amp; CHAR(10) &amp; "Cost: $" &amp; 'Profit &amp; Loss'!O395 &amp; " per pax" &amp; CHAR(10) &amp; "Max " &amp; 'Profit &amp; Loss'!I395*6 &amp; " pax," &amp; " (" &amp; 'Profit &amp; Loss'!I395 &amp; " courts)" &amp; CHAR(10) &amp; CHAR(10) &amp; "RSL Ultimate shuttles provided" &amp; CHAR(10) &amp; CHAR(10) &amp; "PM if interested, thank you!"," ")</f>
        <v xml:space="preserve"> </v>
      </c>
      <c r="B392" s="2" t="str">
        <f ca="1">IF('Profit &amp; Loss'!A395&gt;=TODAY(), "Date: " &amp; TEXT('Profit &amp; Loss'!A395,"dd mmm yyy") &amp; ", " &amp; 'Profit &amp; Loss'!B395 &amp; CHAR(10) &amp; "Time: " &amp; TEXT('Profit &amp; Loss'!C395, "hh:mm AM/PM") &amp; " - " &amp; TEXT('Profit &amp; Loss'!D395, "hh:mm AM/PM") &amp; CHAR(10) &amp; "Venue: " &amp; 'Profit &amp; Loss'!E395 &amp; CHAR(10) &amp; "Court No.: " &amp; 'Profit &amp; Loss'!F395 &amp; CHAR(10) &amp; "Level: HB - LI" &amp; CHAR(10) &amp; "Please transfer $" &amp; 'Profit &amp; Loss'!O395 &amp; " per pax to Belle (83396501)" &amp; CHAR(10) &amp; CHAR(10) &amp; IF('Profit &amp; Loss'!I395=1, "1." &amp; CHAR(10) &amp; "2." &amp; CHAR(10) &amp; "3." &amp; CHAR(10) &amp; "4." &amp; CHAR(10) &amp; "5." &amp; CHAR(10) &amp; "6." &amp; CHAR(10), IF('Profit &amp; Loss'!I395=2,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3" spans="1:2" ht="12.5" x14ac:dyDescent="0.25">
      <c r="A393" s="2" t="str">
        <f ca="1">IF('Profit &amp; Loss'!A396&gt;=TODAY(),"Looking for friendly players to join the following game: " &amp; CHAR(10) &amp; CHAR(10) &amp; "Date: " &amp; TEXT('Profit &amp; Loss'!A396,"dd mmm yyy") &amp; ", " &amp; 'Profit &amp; Loss'!B396 &amp; CHAR(10) &amp; "Time: " &amp; TEXT('Profit &amp; Loss'!C396, "hh:mm AM/PM") &amp; " - " &amp; TEXT('Profit &amp; Loss'!D396, "hh:mm AM/PM") &amp; CHAR(10) &amp; "Venue: " &amp; 'Profit &amp; Loss'!E396 &amp; CHAR(10) &amp; "Level: HB - LI" &amp; CHAR(10) &amp; "Cost: $" &amp; 'Profit &amp; Loss'!O396 &amp; " per pax" &amp; CHAR(10) &amp; "Max " &amp; 'Profit &amp; Loss'!I396*6 &amp; " pax," &amp; " (" &amp; 'Profit &amp; Loss'!I396 &amp; " courts)" &amp; CHAR(10) &amp; CHAR(10) &amp; "RSL Ultimate shuttles provided" &amp; CHAR(10) &amp; CHAR(10) &amp; "PM if interested, thank you!"," ")</f>
        <v xml:space="preserve"> </v>
      </c>
      <c r="B393" s="2" t="str">
        <f ca="1">IF('Profit &amp; Loss'!A396&gt;=TODAY(), "Date: " &amp; TEXT('Profit &amp; Loss'!A396,"dd mmm yyy") &amp; ", " &amp; 'Profit &amp; Loss'!B396 &amp; CHAR(10) &amp; "Time: " &amp; TEXT('Profit &amp; Loss'!C396, "hh:mm AM/PM") &amp; " - " &amp; TEXT('Profit &amp; Loss'!D396, "hh:mm AM/PM") &amp; CHAR(10) &amp; "Venue: " &amp; 'Profit &amp; Loss'!E396 &amp; CHAR(10) &amp; "Court No.: " &amp; 'Profit &amp; Loss'!F396 &amp; CHAR(10) &amp; "Level: HB - LI" &amp; CHAR(10) &amp; "Please transfer $" &amp; 'Profit &amp; Loss'!O396 &amp; " per pax to Belle (83396501)" &amp; CHAR(10) &amp; CHAR(10) &amp; IF('Profit &amp; Loss'!I396=1, "1." &amp; CHAR(10) &amp; "2." &amp; CHAR(10) &amp; "3." &amp; CHAR(10) &amp; "4." &amp; CHAR(10) &amp; "5." &amp; CHAR(10) &amp; "6." &amp; CHAR(10), IF('Profit &amp; Loss'!I396=2,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4" spans="1:2" ht="12.5" x14ac:dyDescent="0.25">
      <c r="A394" s="2" t="str">
        <f ca="1">IF('Profit &amp; Loss'!A397&gt;=TODAY(),"Looking for friendly players to join the following game: " &amp; CHAR(10) &amp; CHAR(10) &amp; "Date: " &amp; TEXT('Profit &amp; Loss'!A397,"dd mmm yyy") &amp; ", " &amp; 'Profit &amp; Loss'!B397 &amp; CHAR(10) &amp; "Time: " &amp; TEXT('Profit &amp; Loss'!C397, "hh:mm AM/PM") &amp; " - " &amp; TEXT('Profit &amp; Loss'!D397, "hh:mm AM/PM") &amp; CHAR(10) &amp; "Venue: " &amp; 'Profit &amp; Loss'!E397 &amp; CHAR(10) &amp; "Level: HB - LI" &amp; CHAR(10) &amp; "Cost: $" &amp; 'Profit &amp; Loss'!O397 &amp; " per pax" &amp; CHAR(10) &amp; "Max " &amp; 'Profit &amp; Loss'!I397*6 &amp; " pax," &amp; " (" &amp; 'Profit &amp; Loss'!I397 &amp; " courts)" &amp; CHAR(10) &amp; CHAR(10) &amp; "RSL Ultimate shuttles provided" &amp; CHAR(10) &amp; CHAR(10) &amp; "PM if interested, thank you!"," ")</f>
        <v xml:space="preserve"> </v>
      </c>
      <c r="B394" s="2" t="str">
        <f ca="1">IF('Profit &amp; Loss'!A397&gt;=TODAY(), "Date: " &amp; TEXT('Profit &amp; Loss'!A397,"dd mmm yyy") &amp; ", " &amp; 'Profit &amp; Loss'!B397 &amp; CHAR(10) &amp; "Time: " &amp; TEXT('Profit &amp; Loss'!C397, "hh:mm AM/PM") &amp; " - " &amp; TEXT('Profit &amp; Loss'!D397, "hh:mm AM/PM") &amp; CHAR(10) &amp; "Venue: " &amp; 'Profit &amp; Loss'!E397 &amp; CHAR(10) &amp; "Court No.: " &amp; 'Profit &amp; Loss'!F397 &amp; CHAR(10) &amp; "Level: HB - LI" &amp; CHAR(10) &amp; "Please transfer $" &amp; 'Profit &amp; Loss'!O397 &amp; " per pax to Belle (83396501)" &amp; CHAR(10) &amp; CHAR(10) &amp; IF('Profit &amp; Loss'!I397=1, "1." &amp; CHAR(10) &amp; "2." &amp; CHAR(10) &amp; "3." &amp; CHAR(10) &amp; "4." &amp; CHAR(10) &amp; "5." &amp; CHAR(10) &amp; "6." &amp; CHAR(10), IF('Profit &amp; Loss'!I397=2,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5" spans="1:2" ht="12.5" x14ac:dyDescent="0.25">
      <c r="A395" s="2" t="str">
        <f ca="1">IF('Profit &amp; Loss'!A398&gt;=TODAY(),"Looking for friendly players to join the following game: " &amp; CHAR(10) &amp; CHAR(10) &amp; "Date: " &amp; TEXT('Profit &amp; Loss'!A398,"dd mmm yyy") &amp; ", " &amp; 'Profit &amp; Loss'!B398 &amp; CHAR(10) &amp; "Time: " &amp; TEXT('Profit &amp; Loss'!C398, "hh:mm AM/PM") &amp; " - " &amp; TEXT('Profit &amp; Loss'!D398, "hh:mm AM/PM") &amp; CHAR(10) &amp; "Venue: " &amp; 'Profit &amp; Loss'!E398 &amp; CHAR(10) &amp; "Level: HB - LI" &amp; CHAR(10) &amp; "Cost: $" &amp; 'Profit &amp; Loss'!O398 &amp; " per pax" &amp; CHAR(10) &amp; "Max " &amp; 'Profit &amp; Loss'!I398*6 &amp; " pax," &amp; " (" &amp; 'Profit &amp; Loss'!I398 &amp; " courts)" &amp; CHAR(10) &amp; CHAR(10) &amp; "RSL Ultimate shuttles provided" &amp; CHAR(10) &amp; CHAR(10) &amp; "PM if interested, thank you!"," ")</f>
        <v xml:space="preserve"> </v>
      </c>
      <c r="B395" s="2" t="str">
        <f ca="1">IF('Profit &amp; Loss'!A398&gt;=TODAY(), "Date: " &amp; TEXT('Profit &amp; Loss'!A398,"dd mmm yyy") &amp; ", " &amp; 'Profit &amp; Loss'!B398 &amp; CHAR(10) &amp; "Time: " &amp; TEXT('Profit &amp; Loss'!C398, "hh:mm AM/PM") &amp; " - " &amp; TEXT('Profit &amp; Loss'!D398, "hh:mm AM/PM") &amp; CHAR(10) &amp; "Venue: " &amp; 'Profit &amp; Loss'!E398 &amp; CHAR(10) &amp; "Court No.: " &amp; 'Profit &amp; Loss'!F398 &amp; CHAR(10) &amp; "Level: HB - LI" &amp; CHAR(10) &amp; "Please transfer $" &amp; 'Profit &amp; Loss'!O398 &amp; " per pax to Belle (83396501)" &amp; CHAR(10) &amp; CHAR(10) &amp; IF('Profit &amp; Loss'!I398=1, "1." &amp; CHAR(10) &amp; "2." &amp; CHAR(10) &amp; "3." &amp; CHAR(10) &amp; "4." &amp; CHAR(10) &amp; "5." &amp; CHAR(10) &amp; "6." &amp; CHAR(10), IF('Profit &amp; Loss'!I398=2,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6" spans="1:2" ht="12.5" x14ac:dyDescent="0.25">
      <c r="A396" s="2" t="str">
        <f ca="1">IF('Profit &amp; Loss'!A399&gt;=TODAY(),"Looking for friendly players to join the following game: " &amp; CHAR(10) &amp; CHAR(10) &amp; "Date: " &amp; TEXT('Profit &amp; Loss'!A399,"dd mmm yyy") &amp; ", " &amp; 'Profit &amp; Loss'!B399 &amp; CHAR(10) &amp; "Time: " &amp; TEXT('Profit &amp; Loss'!C399, "hh:mm AM/PM") &amp; " - " &amp; TEXT('Profit &amp; Loss'!D399, "hh:mm AM/PM") &amp; CHAR(10) &amp; "Venue: " &amp; 'Profit &amp; Loss'!E399 &amp; CHAR(10) &amp; "Level: HB - LI" &amp; CHAR(10) &amp; "Cost: $" &amp; 'Profit &amp; Loss'!O399 &amp; " per pax" &amp; CHAR(10) &amp; "Max " &amp; 'Profit &amp; Loss'!I399*6 &amp; " pax," &amp; " (" &amp; 'Profit &amp; Loss'!I399 &amp; " courts)" &amp; CHAR(10) &amp; CHAR(10) &amp; "RSL Ultimate shuttles provided" &amp; CHAR(10) &amp; CHAR(10) &amp; "PM if interested, thank you!"," ")</f>
        <v xml:space="preserve"> </v>
      </c>
      <c r="B396" s="2" t="str">
        <f ca="1">IF('Profit &amp; Loss'!A399&gt;=TODAY(), "Date: " &amp; TEXT('Profit &amp; Loss'!A399,"dd mmm yyy") &amp; ", " &amp; 'Profit &amp; Loss'!B399 &amp; CHAR(10) &amp; "Time: " &amp; TEXT('Profit &amp; Loss'!C399, "hh:mm AM/PM") &amp; " - " &amp; TEXT('Profit &amp; Loss'!D399, "hh:mm AM/PM") &amp; CHAR(10) &amp; "Venue: " &amp; 'Profit &amp; Loss'!E399 &amp; CHAR(10) &amp; "Court No.: " &amp; 'Profit &amp; Loss'!F399 &amp; CHAR(10) &amp; "Level: HB - LI" &amp; CHAR(10) &amp; "Please transfer $" &amp; 'Profit &amp; Loss'!O399 &amp; " per pax to Belle (83396501)" &amp; CHAR(10) &amp; CHAR(10) &amp; IF('Profit &amp; Loss'!I399=1, "1." &amp; CHAR(10) &amp; "2." &amp; CHAR(10) &amp; "3." &amp; CHAR(10) &amp; "4." &amp; CHAR(10) &amp; "5." &amp; CHAR(10) &amp; "6." &amp; CHAR(10), IF('Profit &amp; Loss'!I399=2,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Loss'!I399=3,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7" spans="1:2" ht="12.5" x14ac:dyDescent="0.25">
      <c r="A397" s="2" t="str">
        <f ca="1">IF('Profit &amp; Loss'!A400&gt;=TODAY(),"Looking for friendly players to join the following game: " &amp; CHAR(10) &amp; CHAR(10) &amp; "Date: " &amp; TEXT('Profit &amp; Loss'!A400,"dd mmm yyy") &amp; ", " &amp; 'Profit &amp; Loss'!B400 &amp; CHAR(10) &amp; "Time: " &amp; TEXT('Profit &amp; Loss'!C400, "hh:mm AM/PM") &amp; " - " &amp; TEXT('Profit &amp; Loss'!D400, "hh:mm AM/PM") &amp; CHAR(10) &amp; "Venue: " &amp; 'Profit &amp; Loss'!E400 &amp; CHAR(10) &amp; "Level: HB - LI" &amp; CHAR(10) &amp; "Cost: $" &amp; 'Profit &amp; Loss'!O400 &amp; " per pax" &amp; CHAR(10) &amp; "Max " &amp; 'Profit &amp; Loss'!I400*6 &amp; " pax," &amp; " (" &amp; 'Profit &amp; Loss'!I400 &amp; " courts)" &amp; CHAR(10) &amp; CHAR(10) &amp; "RSL Ultimate shuttles provided" &amp; CHAR(10) &amp; CHAR(10) &amp; "PM if interested, thank you!"," ")</f>
        <v xml:space="preserve"> </v>
      </c>
      <c r="B397" s="2" t="str">
        <f ca="1">IF('Profit &amp; Loss'!A400&gt;=TODAY(), "Date: " &amp; TEXT('Profit &amp; Loss'!A400,"dd mmm yyy") &amp; ", " &amp; 'Profit &amp; Loss'!B400 &amp; CHAR(10) &amp; "Time: " &amp; TEXT('Profit &amp; Loss'!C400, "hh:mm AM/PM") &amp; " - " &amp; TEXT('Profit &amp; Loss'!D400, "hh:mm AM/PM") &amp; CHAR(10) &amp; "Venue: " &amp; 'Profit &amp; Loss'!E400 &amp; CHAR(10) &amp; "Court No.: " &amp; 'Profit &amp; Loss'!F400 &amp; CHAR(10) &amp; "Level: HB - LI" &amp; CHAR(10) &amp; "Please transfer $" &amp; 'Profit &amp; Loss'!O400 &amp; " per pax to Belle (83396501)" &amp; CHAR(10) &amp; CHAR(10) &amp; IF('Profit &amp; Loss'!I400=1, "1." &amp; CHAR(10) &amp; "2." &amp; CHAR(10) &amp; "3." &amp; CHAR(10) &amp; "4." &amp; CHAR(10) &amp; "5." &amp; CHAR(10) &amp; "6." &amp; CHAR(10), IF('Profit &amp; Loss'!I400=2,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8" spans="1:2" ht="12.5" x14ac:dyDescent="0.25">
      <c r="A398" s="2" t="str">
        <f ca="1">IF('Profit &amp; Loss'!A401&gt;=TODAY(),"Looking for friendly players to join the following game: " &amp; CHAR(10) &amp; CHAR(10) &amp; "Date: " &amp; TEXT('Profit &amp; Loss'!A401,"dd mmm yyy") &amp; ", " &amp; 'Profit &amp; Loss'!B401 &amp; CHAR(10) &amp; "Time: " &amp; TEXT('Profit &amp; Loss'!C401, "hh:mm AM/PM") &amp; " - " &amp; TEXT('Profit &amp; Loss'!D401, "hh:mm AM/PM") &amp; CHAR(10) &amp; "Venue: " &amp; 'Profit &amp; Loss'!E401 &amp; CHAR(10) &amp; "Level: HB - LI" &amp; CHAR(10) &amp; "Cost: $" &amp; 'Profit &amp; Loss'!O401 &amp; " per pax" &amp; CHAR(10) &amp; "Max " &amp; 'Profit &amp; Loss'!I401*6 &amp; " pax," &amp; " (" &amp; 'Profit &amp; Loss'!I401 &amp; " courts)" &amp; CHAR(10) &amp; CHAR(10) &amp; "RSL Ultimate shuttles provided" &amp; CHAR(10) &amp; CHAR(10) &amp; "PM if interested, thank you!"," ")</f>
        <v xml:space="preserve"> </v>
      </c>
      <c r="B398" s="2" t="str">
        <f ca="1">IF('Profit &amp; Loss'!A401&gt;=TODAY(), "Date: " &amp; TEXT('Profit &amp; Loss'!A401,"dd mmm yyy") &amp; ", " &amp; 'Profit &amp; Loss'!B401 &amp; CHAR(10) &amp; "Time: " &amp; TEXT('Profit &amp; Loss'!C401, "hh:mm AM/PM") &amp; " - " &amp; TEXT('Profit &amp; Loss'!D401, "hh:mm AM/PM") &amp; CHAR(10) &amp; "Venue: " &amp; 'Profit &amp; Loss'!E401 &amp; CHAR(10) &amp; "Court No.: " &amp; 'Profit &amp; Loss'!F401 &amp; CHAR(10) &amp; "Level: HB - LI" &amp; CHAR(10) &amp; "Please transfer $" &amp; 'Profit &amp; Loss'!O401 &amp; " per pax to Belle (83396501)" &amp; CHAR(10) &amp; CHAR(10) &amp; IF('Profit &amp; Loss'!I401=1, "1." &amp; CHAR(10) &amp; "2." &amp; CHAR(10) &amp; "3." &amp; CHAR(10) &amp; "4." &amp; CHAR(10) &amp; "5." &amp; CHAR(10) &amp; "6." &amp; CHAR(10), IF('Profit &amp; Loss'!I401=2,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399" spans="1:2" ht="12.5" x14ac:dyDescent="0.25">
      <c r="A399" s="2" t="str">
        <f ca="1">IF('Profit &amp; Loss'!A402&gt;=TODAY(),"Looking for friendly players to join the following game: " &amp; CHAR(10) &amp; CHAR(10) &amp; "Date: " &amp; TEXT('Profit &amp; Loss'!A402,"dd mmm yyy") &amp; ", " &amp; 'Profit &amp; Loss'!B402 &amp; CHAR(10) &amp; "Time: " &amp; TEXT('Profit &amp; Loss'!C402, "hh:mm AM/PM") &amp; " - " &amp; TEXT('Profit &amp; Loss'!D402, "hh:mm AM/PM") &amp; CHAR(10) &amp; "Venue: " &amp; 'Profit &amp; Loss'!E402 &amp; CHAR(10) &amp; "Level: HB - LI" &amp; CHAR(10) &amp; "Cost: $" &amp; 'Profit &amp; Loss'!O402 &amp; " per pax" &amp; CHAR(10) &amp; "Max " &amp; 'Profit &amp; Loss'!I402*6 &amp; " pax," &amp; " (" &amp; 'Profit &amp; Loss'!I402 &amp; " courts)" &amp; CHAR(10) &amp; CHAR(10) &amp; "RSL Ultimate shuttles provided" &amp; CHAR(10) &amp; CHAR(10) &amp; "PM if interested, thank you!"," ")</f>
        <v xml:space="preserve"> </v>
      </c>
      <c r="B399" s="2" t="str">
        <f ca="1">IF('Profit &amp; Loss'!A402&gt;=TODAY(), "Date: " &amp; TEXT('Profit &amp; Loss'!A402,"dd mmm yyy") &amp; ", " &amp; 'Profit &amp; Loss'!B402 &amp; CHAR(10) &amp; "Time: " &amp; TEXT('Profit &amp; Loss'!C402, "hh:mm AM/PM") &amp; " - " &amp; TEXT('Profit &amp; Loss'!D402, "hh:mm AM/PM") &amp; CHAR(10) &amp; "Venue: " &amp; 'Profit &amp; Loss'!E402 &amp; CHAR(10) &amp; "Court No.: " &amp; 'Profit &amp; Loss'!F402 &amp; CHAR(10) &amp; "Level: HB - LI" &amp; CHAR(10) &amp; "Please transfer $" &amp; 'Profit &amp; Loss'!O402 &amp; " per pax to Belle (83396501)" &amp; CHAR(10) &amp; CHAR(10) &amp; IF('Profit &amp; Loss'!I402=1, "1." &amp; CHAR(10) &amp; "2." &amp; CHAR(10) &amp; "3." &amp; CHAR(10) &amp; "4." &amp; CHAR(10) &amp; "5." &amp; CHAR(10) &amp; "6." &amp; CHAR(10), IF('Profit &amp; Loss'!I402=2,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0" spans="1:2" ht="12.5" x14ac:dyDescent="0.25">
      <c r="A400" s="2" t="str">
        <f ca="1">IF('Profit &amp; Loss'!A403&gt;=TODAY(),"Looking for friendly players to join the following game: " &amp; CHAR(10) &amp; CHAR(10) &amp; "Date: " &amp; TEXT('Profit &amp; Loss'!A403,"dd mmm yyy") &amp; ", " &amp; 'Profit &amp; Loss'!B403 &amp; CHAR(10) &amp; "Time: " &amp; TEXT('Profit &amp; Loss'!C403, "hh:mm AM/PM") &amp; " - " &amp; TEXT('Profit &amp; Loss'!D403, "hh:mm AM/PM") &amp; CHAR(10) &amp; "Venue: " &amp; 'Profit &amp; Loss'!E403 &amp; CHAR(10) &amp; "Level: HB - LI" &amp; CHAR(10) &amp; "Cost: $" &amp; 'Profit &amp; Loss'!O403 &amp; " per pax" &amp; CHAR(10) &amp; "Max " &amp; 'Profit &amp; Loss'!I403*6 &amp; " pax," &amp; " (" &amp; 'Profit &amp; Loss'!I403 &amp; " courts)" &amp; CHAR(10) &amp; CHAR(10) &amp; "RSL Ultimate shuttles provided" &amp; CHAR(10) &amp; CHAR(10) &amp; "PM if interested, thank you!"," ")</f>
        <v xml:space="preserve"> </v>
      </c>
      <c r="B400" s="2" t="str">
        <f ca="1">IF('Profit &amp; Loss'!A403&gt;=TODAY(), "Date: " &amp; TEXT('Profit &amp; Loss'!A403,"dd mmm yyy") &amp; ", " &amp; 'Profit &amp; Loss'!B403 &amp; CHAR(10) &amp; "Time: " &amp; TEXT('Profit &amp; Loss'!C403, "hh:mm AM/PM") &amp; " - " &amp; TEXT('Profit &amp; Loss'!D403, "hh:mm AM/PM") &amp; CHAR(10) &amp; "Venue: " &amp; 'Profit &amp; Loss'!E403 &amp; CHAR(10) &amp; "Court No.: " &amp; 'Profit &amp; Loss'!F403 &amp; CHAR(10) &amp; "Level: HB - LI" &amp; CHAR(10) &amp; "Please transfer $" &amp; 'Profit &amp; Loss'!O403 &amp; " per pax to Belle (83396501)" &amp; CHAR(10) &amp; CHAR(10) &amp; IF('Profit &amp; Loss'!I403=1, "1." &amp; CHAR(10) &amp; "2." &amp; CHAR(10) &amp; "3." &amp; CHAR(10) &amp; "4." &amp; CHAR(10) &amp; "5." &amp; CHAR(10) &amp; "6." &amp; CHAR(10), IF('Profit &amp; Loss'!I403=2,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1" spans="1:2" ht="12.5" x14ac:dyDescent="0.25">
      <c r="A401" s="2" t="str">
        <f ca="1">IF('Profit &amp; Loss'!A404&gt;=TODAY(),"Looking for friendly players to join the following game: " &amp; CHAR(10) &amp; CHAR(10) &amp; "Date: " &amp; TEXT('Profit &amp; Loss'!A404,"dd mmm yyy") &amp; ", " &amp; 'Profit &amp; Loss'!B404 &amp; CHAR(10) &amp; "Time: " &amp; TEXT('Profit &amp; Loss'!C404, "hh:mm AM/PM") &amp; " - " &amp; TEXT('Profit &amp; Loss'!D404, "hh:mm AM/PM") &amp; CHAR(10) &amp; "Venue: " &amp; 'Profit &amp; Loss'!E404 &amp; CHAR(10) &amp; "Level: HB - LI" &amp; CHAR(10) &amp; "Cost: $" &amp; 'Profit &amp; Loss'!O404 &amp; " per pax" &amp; CHAR(10) &amp; "Max " &amp; 'Profit &amp; Loss'!I404*6 &amp; " pax," &amp; " (" &amp; 'Profit &amp; Loss'!I404 &amp; " courts)" &amp; CHAR(10) &amp; CHAR(10) &amp; "RSL Ultimate shuttles provided" &amp; CHAR(10) &amp; CHAR(10) &amp; "PM if interested, thank you!"," ")</f>
        <v xml:space="preserve"> </v>
      </c>
      <c r="B401" s="2" t="str">
        <f ca="1">IF('Profit &amp; Loss'!A404&gt;=TODAY(), "Date: " &amp; TEXT('Profit &amp; Loss'!A404,"dd mmm yyy") &amp; ", " &amp; 'Profit &amp; Loss'!B404 &amp; CHAR(10) &amp; "Time: " &amp; TEXT('Profit &amp; Loss'!C404, "hh:mm AM/PM") &amp; " - " &amp; TEXT('Profit &amp; Loss'!D404, "hh:mm AM/PM") &amp; CHAR(10) &amp; "Venue: " &amp; 'Profit &amp; Loss'!E404 &amp; CHAR(10) &amp; "Court No.: " &amp; 'Profit &amp; Loss'!F404 &amp; CHAR(10) &amp; "Level: HB - LI" &amp; CHAR(10) &amp; "Please transfer $" &amp; 'Profit &amp; Loss'!O404 &amp; " per pax to Belle (83396501)" &amp; CHAR(10) &amp; CHAR(10) &amp; IF('Profit &amp; Loss'!I404=1, "1." &amp; CHAR(10) &amp; "2." &amp; CHAR(10) &amp; "3." &amp; CHAR(10) &amp; "4." &amp; CHAR(10) &amp; "5." &amp; CHAR(10) &amp; "6." &amp; CHAR(10), IF('Profit &amp; Loss'!I404=2,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2" spans="1:2" ht="12.5" x14ac:dyDescent="0.25">
      <c r="A402" s="2" t="str">
        <f ca="1">IF('Profit &amp; Loss'!A405&gt;=TODAY(),"Looking for friendly players to join the following game: " &amp; CHAR(10) &amp; CHAR(10) &amp; "Date: " &amp; TEXT('Profit &amp; Loss'!A405,"dd mmm yyy") &amp; ", " &amp; 'Profit &amp; Loss'!B405 &amp; CHAR(10) &amp; "Time: " &amp; TEXT('Profit &amp; Loss'!C405, "hh:mm AM/PM") &amp; " - " &amp; TEXT('Profit &amp; Loss'!D405, "hh:mm AM/PM") &amp; CHAR(10) &amp; "Venue: " &amp; 'Profit &amp; Loss'!E405 &amp; CHAR(10) &amp; "Level: HB - LI" &amp; CHAR(10) &amp; "Cost: $" &amp; 'Profit &amp; Loss'!O405 &amp; " per pax" &amp; CHAR(10) &amp; "Max " &amp; 'Profit &amp; Loss'!I405*6 &amp; " pax," &amp; " (" &amp; 'Profit &amp; Loss'!I405 &amp; " courts)" &amp; CHAR(10) &amp; CHAR(10) &amp; "RSL Ultimate shuttles provided" &amp; CHAR(10) &amp; CHAR(10) &amp; "PM if interested, thank you!"," ")</f>
        <v xml:space="preserve"> </v>
      </c>
      <c r="B402" s="2" t="str">
        <f ca="1">IF('Profit &amp; Loss'!A405&gt;=TODAY(), "Date: " &amp; TEXT('Profit &amp; Loss'!A405,"dd mmm yyy") &amp; ", " &amp; 'Profit &amp; Loss'!B405 &amp; CHAR(10) &amp; "Time: " &amp; TEXT('Profit &amp; Loss'!C405, "hh:mm AM/PM") &amp; " - " &amp; TEXT('Profit &amp; Loss'!D405, "hh:mm AM/PM") &amp; CHAR(10) &amp; "Venue: " &amp; 'Profit &amp; Loss'!E405 &amp; CHAR(10) &amp; "Court No.: " &amp; 'Profit &amp; Loss'!F405 &amp; CHAR(10) &amp; "Level: HB - LI" &amp; CHAR(10) &amp; "Please transfer $" &amp; 'Profit &amp; Loss'!O405 &amp; " per pax to Belle (83396501)" &amp; CHAR(10) &amp; CHAR(10) &amp; IF('Profit &amp; Loss'!I405=1, "1." &amp; CHAR(10) &amp; "2." &amp; CHAR(10) &amp; "3." &amp; CHAR(10) &amp; "4." &amp; CHAR(10) &amp; "5." &amp; CHAR(10) &amp; "6." &amp; CHAR(10), IF('Profit &amp; Loss'!I405=2,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3" spans="1:2" ht="12.5" x14ac:dyDescent="0.25">
      <c r="A403" s="2" t="str">
        <f ca="1">IF('Profit &amp; Loss'!A406&gt;=TODAY(),"Looking for friendly players to join the following game: " &amp; CHAR(10) &amp; CHAR(10) &amp; "Date: " &amp; TEXT('Profit &amp; Loss'!A406,"dd mmm yyy") &amp; ", " &amp; 'Profit &amp; Loss'!B406 &amp; CHAR(10) &amp; "Time: " &amp; TEXT('Profit &amp; Loss'!C406, "hh:mm AM/PM") &amp; " - " &amp; TEXT('Profit &amp; Loss'!D406, "hh:mm AM/PM") &amp; CHAR(10) &amp; "Venue: " &amp; 'Profit &amp; Loss'!E406 &amp; CHAR(10) &amp; "Level: HB - LI" &amp; CHAR(10) &amp; "Cost: $" &amp; 'Profit &amp; Loss'!O406 &amp; " per pax" &amp; CHAR(10) &amp; "Max " &amp; 'Profit &amp; Loss'!I406*6 &amp; " pax," &amp; " (" &amp; 'Profit &amp; Loss'!I406 &amp; " courts)" &amp; CHAR(10) &amp; CHAR(10) &amp; "RSL Ultimate shuttles provided" &amp; CHAR(10) &amp; CHAR(10) &amp; "PM if interested, thank you!"," ")</f>
        <v xml:space="preserve"> </v>
      </c>
      <c r="B403" s="2" t="str">
        <f ca="1">IF('Profit &amp; Loss'!A406&gt;=TODAY(), "Date: " &amp; TEXT('Profit &amp; Loss'!A406,"dd mmm yyy") &amp; ", " &amp; 'Profit &amp; Loss'!B406 &amp; CHAR(10) &amp; "Time: " &amp; TEXT('Profit &amp; Loss'!C406, "hh:mm AM/PM") &amp; " - " &amp; TEXT('Profit &amp; Loss'!D406, "hh:mm AM/PM") &amp; CHAR(10) &amp; "Venue: " &amp; 'Profit &amp; Loss'!E406 &amp; CHAR(10) &amp; "Court No.: " &amp; 'Profit &amp; Loss'!F406 &amp; CHAR(10) &amp; "Level: HB - LI" &amp; CHAR(10) &amp; "Please transfer $" &amp; 'Profit &amp; Loss'!O406 &amp; " per pax to Belle (83396501)" &amp; CHAR(10) &amp; CHAR(10) &amp; IF('Profit &amp; Loss'!I406=1, "1." &amp; CHAR(10) &amp; "2." &amp; CHAR(10) &amp; "3." &amp; CHAR(10) &amp; "4." &amp; CHAR(10) &amp; "5." &amp; CHAR(10) &amp; "6." &amp; CHAR(10), IF('Profit &amp; Loss'!I406=2,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4" spans="1:2" ht="12.5" x14ac:dyDescent="0.25">
      <c r="A404" s="2" t="str">
        <f ca="1">IF('Profit &amp; Loss'!A407&gt;=TODAY(),"Looking for friendly players to join the following game: " &amp; CHAR(10) &amp; CHAR(10) &amp; "Date: " &amp; TEXT('Profit &amp; Loss'!A407,"dd mmm yyy") &amp; ", " &amp; 'Profit &amp; Loss'!B407 &amp; CHAR(10) &amp; "Time: " &amp; TEXT('Profit &amp; Loss'!C407, "hh:mm AM/PM") &amp; " - " &amp; TEXT('Profit &amp; Loss'!D407, "hh:mm AM/PM") &amp; CHAR(10) &amp; "Venue: " &amp; 'Profit &amp; Loss'!E407 &amp; CHAR(10) &amp; "Level: HB - LI" &amp; CHAR(10) &amp; "Cost: $" &amp; 'Profit &amp; Loss'!O407 &amp; " per pax" &amp; CHAR(10) &amp; "Max " &amp; 'Profit &amp; Loss'!I407*6 &amp; " pax," &amp; " (" &amp; 'Profit &amp; Loss'!I407 &amp; " courts)" &amp; CHAR(10) &amp; CHAR(10) &amp; "RSL Ultimate shuttles provided" &amp; CHAR(10) &amp; CHAR(10) &amp; "PM if interested, thank you!"," ")</f>
        <v xml:space="preserve"> </v>
      </c>
      <c r="B404" s="2" t="str">
        <f ca="1">IF('Profit &amp; Loss'!A407&gt;=TODAY(), "Date: " &amp; TEXT('Profit &amp; Loss'!A407,"dd mmm yyy") &amp; ", " &amp; 'Profit &amp; Loss'!B407 &amp; CHAR(10) &amp; "Time: " &amp; TEXT('Profit &amp; Loss'!C407, "hh:mm AM/PM") &amp; " - " &amp; TEXT('Profit &amp; Loss'!D407, "hh:mm AM/PM") &amp; CHAR(10) &amp; "Venue: " &amp; 'Profit &amp; Loss'!E407 &amp; CHAR(10) &amp; "Court No.: " &amp; 'Profit &amp; Loss'!F407 &amp; CHAR(10) &amp; "Level: HB - LI" &amp; CHAR(10) &amp; "Please transfer $" &amp; 'Profit &amp; Loss'!O407 &amp; " per pax to Belle (83396501)" &amp; CHAR(10) &amp; CHAR(10) &amp; IF('Profit &amp; Loss'!I407=1, "1." &amp; CHAR(10) &amp; "2." &amp; CHAR(10) &amp; "3." &amp; CHAR(10) &amp; "4." &amp; CHAR(10) &amp; "5." &amp; CHAR(10) &amp; "6." &amp; CHAR(10), IF('Profit &amp; Loss'!I407=2,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5" spans="1:2" ht="12.5" x14ac:dyDescent="0.25">
      <c r="A405" s="2" t="str">
        <f ca="1">IF('Profit &amp; Loss'!A408&gt;=TODAY(),"Looking for friendly players to join the following game: " &amp; CHAR(10) &amp; CHAR(10) &amp; "Date: " &amp; TEXT('Profit &amp; Loss'!A408,"dd mmm yyy") &amp; ", " &amp; 'Profit &amp; Loss'!B408 &amp; CHAR(10) &amp; "Time: " &amp; TEXT('Profit &amp; Loss'!C408, "hh:mm AM/PM") &amp; " - " &amp; TEXT('Profit &amp; Loss'!D408, "hh:mm AM/PM") &amp; CHAR(10) &amp; "Venue: " &amp; 'Profit &amp; Loss'!E408 &amp; CHAR(10) &amp; "Level: HB - LI" &amp; CHAR(10) &amp; "Cost: $" &amp; 'Profit &amp; Loss'!O408 &amp; " per pax" &amp; CHAR(10) &amp; "Max " &amp; 'Profit &amp; Loss'!I408*6 &amp; " pax," &amp; " (" &amp; 'Profit &amp; Loss'!I408 &amp; " courts)" &amp; CHAR(10) &amp; CHAR(10) &amp; "RSL Ultimate shuttles provided" &amp; CHAR(10) &amp; CHAR(10) &amp; "PM if interested, thank you!"," ")</f>
        <v xml:space="preserve"> </v>
      </c>
      <c r="B405" s="2" t="str">
        <f ca="1">IF('Profit &amp; Loss'!A408&gt;=TODAY(), "Date: " &amp; TEXT('Profit &amp; Loss'!A408,"dd mmm yyy") &amp; ", " &amp; 'Profit &amp; Loss'!B408 &amp; CHAR(10) &amp; "Time: " &amp; TEXT('Profit &amp; Loss'!C408, "hh:mm AM/PM") &amp; " - " &amp; TEXT('Profit &amp; Loss'!D408, "hh:mm AM/PM") &amp; CHAR(10) &amp; "Venue: " &amp; 'Profit &amp; Loss'!E408 &amp; CHAR(10) &amp; "Court No.: " &amp; 'Profit &amp; Loss'!F408 &amp; CHAR(10) &amp; "Level: HB - LI" &amp; CHAR(10) &amp; "Please transfer $" &amp; 'Profit &amp; Loss'!O408 &amp; " per pax to Belle (83396501)" &amp; CHAR(10) &amp; CHAR(10) &amp; IF('Profit &amp; Loss'!I408=1, "1." &amp; CHAR(10) &amp; "2." &amp; CHAR(10) &amp; "3." &amp; CHAR(10) &amp; "4." &amp; CHAR(10) &amp; "5." &amp; CHAR(10) &amp; "6." &amp; CHAR(10), IF('Profit &amp; Loss'!I408=2,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6" spans="1:2" ht="12.5" x14ac:dyDescent="0.25">
      <c r="A406" s="2" t="str">
        <f ca="1">IF('Profit &amp; Loss'!A409&gt;=TODAY(),"Looking for friendly players to join the following game: " &amp; CHAR(10) &amp; CHAR(10) &amp; "Date: " &amp; TEXT('Profit &amp; Loss'!A409,"dd mmm yyy") &amp; ", " &amp; 'Profit &amp; Loss'!B409 &amp; CHAR(10) &amp; "Time: " &amp; TEXT('Profit &amp; Loss'!C409, "hh:mm AM/PM") &amp; " - " &amp; TEXT('Profit &amp; Loss'!D409, "hh:mm AM/PM") &amp; CHAR(10) &amp; "Venue: " &amp; 'Profit &amp; Loss'!E409 &amp; CHAR(10) &amp; "Level: HB - LI" &amp; CHAR(10) &amp; "Cost: $" &amp; 'Profit &amp; Loss'!O409 &amp; " per pax" &amp; CHAR(10) &amp; "Max " &amp; 'Profit &amp; Loss'!I409*6 &amp; " pax," &amp; " (" &amp; 'Profit &amp; Loss'!I409 &amp; " courts)" &amp; CHAR(10) &amp; CHAR(10) &amp; "RSL Ultimate shuttles provided" &amp; CHAR(10) &amp; CHAR(10) &amp; "PM if interested, thank you!"," ")</f>
        <v xml:space="preserve"> </v>
      </c>
      <c r="B406" s="2" t="str">
        <f ca="1">IF('Profit &amp; Loss'!A409&gt;=TODAY(), "Date: " &amp; TEXT('Profit &amp; Loss'!A409,"dd mmm yyy") &amp; ", " &amp; 'Profit &amp; Loss'!B409 &amp; CHAR(10) &amp; "Time: " &amp; TEXT('Profit &amp; Loss'!C409, "hh:mm AM/PM") &amp; " - " &amp; TEXT('Profit &amp; Loss'!D409, "hh:mm AM/PM") &amp; CHAR(10) &amp; "Venue: " &amp; 'Profit &amp; Loss'!E409 &amp; CHAR(10) &amp; "Court No.: " &amp; 'Profit &amp; Loss'!F409 &amp; CHAR(10) &amp; "Level: HB - LI" &amp; CHAR(10) &amp; "Please transfer $" &amp; 'Profit &amp; Loss'!O409 &amp; " per pax to Belle (83396501)" &amp; CHAR(10) &amp; CHAR(10) &amp; IF('Profit &amp; Loss'!I409=1, "1." &amp; CHAR(10) &amp; "2." &amp; CHAR(10) &amp; "3." &amp; CHAR(10) &amp; "4." &amp; CHAR(10) &amp; "5." &amp; CHAR(10) &amp; "6." &amp; CHAR(10), IF('Profit &amp; Loss'!I409=2,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7" spans="1:2" ht="12.5" x14ac:dyDescent="0.25">
      <c r="A407" s="2" t="str">
        <f ca="1">IF('Profit &amp; Loss'!A410&gt;=TODAY(),"Looking for friendly players to join the following game: " &amp; CHAR(10) &amp; CHAR(10) &amp; "Date: " &amp; TEXT('Profit &amp; Loss'!A410,"dd mmm yyy") &amp; ", " &amp; 'Profit &amp; Loss'!B410 &amp; CHAR(10) &amp; "Time: " &amp; TEXT('Profit &amp; Loss'!C410, "hh:mm AM/PM") &amp; " - " &amp; TEXT('Profit &amp; Loss'!D410, "hh:mm AM/PM") &amp; CHAR(10) &amp; "Venue: " &amp; 'Profit &amp; Loss'!E410 &amp; CHAR(10) &amp; "Level: HB - LI" &amp; CHAR(10) &amp; "Cost: $" &amp; 'Profit &amp; Loss'!O410 &amp; " per pax" &amp; CHAR(10) &amp; "Max " &amp; 'Profit &amp; Loss'!I410*6 &amp; " pax," &amp; " (" &amp; 'Profit &amp; Loss'!I410 &amp; " courts)" &amp; CHAR(10) &amp; CHAR(10) &amp; "RSL Ultimate shuttles provided" &amp; CHAR(10) &amp; CHAR(10) &amp; "PM if interested, thank you!"," ")</f>
        <v xml:space="preserve"> </v>
      </c>
      <c r="B407" s="2" t="str">
        <f ca="1">IF('Profit &amp; Loss'!A410&gt;=TODAY(), "Date: " &amp; TEXT('Profit &amp; Loss'!A410,"dd mmm yyy") &amp; ", " &amp; 'Profit &amp; Loss'!B410 &amp; CHAR(10) &amp; "Time: " &amp; TEXT('Profit &amp; Loss'!C410, "hh:mm AM/PM") &amp; " - " &amp; TEXT('Profit &amp; Loss'!D410, "hh:mm AM/PM") &amp; CHAR(10) &amp; "Venue: " &amp; 'Profit &amp; Loss'!E410 &amp; CHAR(10) &amp; "Court No.: " &amp; 'Profit &amp; Loss'!F410 &amp; CHAR(10) &amp; "Level: HB - LI" &amp; CHAR(10) &amp; "Please transfer $" &amp; 'Profit &amp; Loss'!O410 &amp; " per pax to Belle (83396501)" &amp; CHAR(10) &amp; CHAR(10) &amp; IF('Profit &amp; Loss'!I410=1, "1." &amp; CHAR(10) &amp; "2." &amp; CHAR(10) &amp; "3." &amp; CHAR(10) &amp; "4." &amp; CHAR(10) &amp; "5." &amp; CHAR(10) &amp; "6." &amp; CHAR(10), IF('Profit &amp; Loss'!I410=2,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8" spans="1:2" ht="12.5" x14ac:dyDescent="0.25">
      <c r="A408" s="2" t="str">
        <f ca="1">IF('Profit &amp; Loss'!A411&gt;=TODAY(),"Looking for friendly players to join the following game: " &amp; CHAR(10) &amp; CHAR(10) &amp; "Date: " &amp; TEXT('Profit &amp; Loss'!A411,"dd mmm yyy") &amp; ", " &amp; 'Profit &amp; Loss'!B411 &amp; CHAR(10) &amp; "Time: " &amp; TEXT('Profit &amp; Loss'!C411, "hh:mm AM/PM") &amp; " - " &amp; TEXT('Profit &amp; Loss'!D411, "hh:mm AM/PM") &amp; CHAR(10) &amp; "Venue: " &amp; 'Profit &amp; Loss'!E411 &amp; CHAR(10) &amp; "Level: HB - LI" &amp; CHAR(10) &amp; "Cost: $" &amp; 'Profit &amp; Loss'!O411 &amp; " per pax" &amp; CHAR(10) &amp; "Max " &amp; 'Profit &amp; Loss'!I411*6 &amp; " pax," &amp; " (" &amp; 'Profit &amp; Loss'!I411 &amp; " courts)" &amp; CHAR(10) &amp; CHAR(10) &amp; "RSL Ultimate shuttles provided" &amp; CHAR(10) &amp; CHAR(10) &amp; "PM if interested, thank you!"," ")</f>
        <v xml:space="preserve"> </v>
      </c>
      <c r="B408" s="2" t="str">
        <f ca="1">IF('Profit &amp; Loss'!A411&gt;=TODAY(), "Date: " &amp; TEXT('Profit &amp; Loss'!A411,"dd mmm yyy") &amp; ", " &amp; 'Profit &amp; Loss'!B411 &amp; CHAR(10) &amp; "Time: " &amp; TEXT('Profit &amp; Loss'!C411, "hh:mm AM/PM") &amp; " - " &amp; TEXT('Profit &amp; Loss'!D411, "hh:mm AM/PM") &amp; CHAR(10) &amp; "Venue: " &amp; 'Profit &amp; Loss'!E411 &amp; CHAR(10) &amp; "Court No.: " &amp; 'Profit &amp; Loss'!F411 &amp; CHAR(10) &amp; "Level: HB - LI" &amp; CHAR(10) &amp; "Please transfer $" &amp; 'Profit &amp; Loss'!O411 &amp; " per pax to Belle (83396501)" &amp; CHAR(10) &amp; CHAR(10) &amp; IF('Profit &amp; Loss'!I411=1, "1." &amp; CHAR(10) &amp; "2." &amp; CHAR(10) &amp; "3." &amp; CHAR(10) &amp; "4." &amp; CHAR(10) &amp; "5." &amp; CHAR(10) &amp; "6." &amp; CHAR(10), IF('Profit &amp; Loss'!I411=2,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09" spans="1:2" ht="12.5" x14ac:dyDescent="0.25">
      <c r="A409" s="2" t="str">
        <f ca="1">IF('Profit &amp; Loss'!A412&gt;=TODAY(),"Looking for friendly players to join the following game: " &amp; CHAR(10) &amp; CHAR(10) &amp; "Date: " &amp; TEXT('Profit &amp; Loss'!A412,"dd mmm yyy") &amp; ", " &amp; 'Profit &amp; Loss'!B412 &amp; CHAR(10) &amp; "Time: " &amp; TEXT('Profit &amp; Loss'!C412, "hh:mm AM/PM") &amp; " - " &amp; TEXT('Profit &amp; Loss'!D412, "hh:mm AM/PM") &amp; CHAR(10) &amp; "Venue: " &amp; 'Profit &amp; Loss'!E412 &amp; CHAR(10) &amp; "Level: HB - LI" &amp; CHAR(10) &amp; "Cost: $" &amp; 'Profit &amp; Loss'!O412 &amp; " per pax" &amp; CHAR(10) &amp; "Max " &amp; 'Profit &amp; Loss'!I412*6 &amp; " pax," &amp; " (" &amp; 'Profit &amp; Loss'!I412 &amp; " courts)" &amp; CHAR(10) &amp; CHAR(10) &amp; "RSL Ultimate shuttles provided" &amp; CHAR(10) &amp; CHAR(10) &amp; "PM if interested, thank you!"," ")</f>
        <v xml:space="preserve"> </v>
      </c>
      <c r="B409" s="2" t="str">
        <f ca="1">IF('Profit &amp; Loss'!A412&gt;=TODAY(), "Date: " &amp; TEXT('Profit &amp; Loss'!A412,"dd mmm yyy") &amp; ", " &amp; 'Profit &amp; Loss'!B412 &amp; CHAR(10) &amp; "Time: " &amp; TEXT('Profit &amp; Loss'!C412, "hh:mm AM/PM") &amp; " - " &amp; TEXT('Profit &amp; Loss'!D412, "hh:mm AM/PM") &amp; CHAR(10) &amp; "Venue: " &amp; 'Profit &amp; Loss'!E412 &amp; CHAR(10) &amp; "Court No.: " &amp; 'Profit &amp; Loss'!F412 &amp; CHAR(10) &amp; "Level: HB - LI" &amp; CHAR(10) &amp; "Please transfer $" &amp; 'Profit &amp; Loss'!O412 &amp; " per pax to Belle (83396501)" &amp; CHAR(10) &amp; CHAR(10) &amp; IF('Profit &amp; Loss'!I412=1, "1." &amp; CHAR(10) &amp; "2." &amp; CHAR(10) &amp; "3." &amp; CHAR(10) &amp; "4." &amp; CHAR(10) &amp; "5." &amp; CHAR(10) &amp; "6." &amp; CHAR(10), IF('Profit &amp; Loss'!I412=2,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0" spans="1:2" ht="12.5" x14ac:dyDescent="0.25">
      <c r="A410" s="2" t="str">
        <f ca="1">IF('Profit &amp; Loss'!A413&gt;=TODAY(),"Looking for friendly players to join the following game: " &amp; CHAR(10) &amp; CHAR(10) &amp; "Date: " &amp; TEXT('Profit &amp; Loss'!A413,"dd mmm yyy") &amp; ", " &amp; 'Profit &amp; Loss'!B413 &amp; CHAR(10) &amp; "Time: " &amp; TEXT('Profit &amp; Loss'!C413, "hh:mm AM/PM") &amp; " - " &amp; TEXT('Profit &amp; Loss'!D413, "hh:mm AM/PM") &amp; CHAR(10) &amp; "Venue: " &amp; 'Profit &amp; Loss'!E413 &amp; CHAR(10) &amp; "Level: HB - LI" &amp; CHAR(10) &amp; "Cost: $" &amp; 'Profit &amp; Loss'!O413 &amp; " per pax" &amp; CHAR(10) &amp; "Max " &amp; 'Profit &amp; Loss'!I413*6 &amp; " pax," &amp; " (" &amp; 'Profit &amp; Loss'!I413 &amp; " courts)" &amp; CHAR(10) &amp; CHAR(10) &amp; "RSL Ultimate shuttles provided" &amp; CHAR(10) &amp; CHAR(10) &amp; "PM if interested, thank you!"," ")</f>
        <v xml:space="preserve"> </v>
      </c>
      <c r="B410" s="2" t="str">
        <f ca="1">IF('Profit &amp; Loss'!A413&gt;=TODAY(), "Date: " &amp; TEXT('Profit &amp; Loss'!A413,"dd mmm yyy") &amp; ", " &amp; 'Profit &amp; Loss'!B413 &amp; CHAR(10) &amp; "Time: " &amp; TEXT('Profit &amp; Loss'!C413, "hh:mm AM/PM") &amp; " - " &amp; TEXT('Profit &amp; Loss'!D413, "hh:mm AM/PM") &amp; CHAR(10) &amp; "Venue: " &amp; 'Profit &amp; Loss'!E413 &amp; CHAR(10) &amp; "Court No.: " &amp; 'Profit &amp; Loss'!F413 &amp; CHAR(10) &amp; "Level: HB - LI" &amp; CHAR(10) &amp; "Please transfer $" &amp; 'Profit &amp; Loss'!O413 &amp; " per pax to Belle (83396501)" &amp; CHAR(10) &amp; CHAR(10) &amp; IF('Profit &amp; Loss'!I413=1, "1." &amp; CHAR(10) &amp; "2." &amp; CHAR(10) &amp; "3." &amp; CHAR(10) &amp; "4." &amp; CHAR(10) &amp; "5." &amp; CHAR(10) &amp; "6." &amp; CHAR(10), IF('Profit &amp; Loss'!I413=2,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1" spans="1:2" ht="12.5" x14ac:dyDescent="0.25">
      <c r="A411" s="2" t="str">
        <f ca="1">IF('Profit &amp; Loss'!A414&gt;=TODAY(),"Looking for friendly players to join the following game: " &amp; CHAR(10) &amp; CHAR(10) &amp; "Date: " &amp; TEXT('Profit &amp; Loss'!A414,"dd mmm yyy") &amp; ", " &amp; 'Profit &amp; Loss'!B414 &amp; CHAR(10) &amp; "Time: " &amp; TEXT('Profit &amp; Loss'!C414, "hh:mm AM/PM") &amp; " - " &amp; TEXT('Profit &amp; Loss'!D414, "hh:mm AM/PM") &amp; CHAR(10) &amp; "Venue: " &amp; 'Profit &amp; Loss'!E414 &amp; CHAR(10) &amp; "Level: HB - LI" &amp; CHAR(10) &amp; "Cost: $" &amp; 'Profit &amp; Loss'!O414 &amp; " per pax" &amp; CHAR(10) &amp; "Max " &amp; 'Profit &amp; Loss'!I414*6 &amp; " pax," &amp; " (" &amp; 'Profit &amp; Loss'!I414 &amp; " courts)" &amp; CHAR(10) &amp; CHAR(10) &amp; "RSL Ultimate shuttles provided" &amp; CHAR(10) &amp; CHAR(10) &amp; "PM if interested, thank you!"," ")</f>
        <v xml:space="preserve"> </v>
      </c>
      <c r="B411" s="2" t="str">
        <f ca="1">IF('Profit &amp; Loss'!A414&gt;=TODAY(), "Date: " &amp; TEXT('Profit &amp; Loss'!A414,"dd mmm yyy") &amp; ", " &amp; 'Profit &amp; Loss'!B414 &amp; CHAR(10) &amp; "Time: " &amp; TEXT('Profit &amp; Loss'!C414, "hh:mm AM/PM") &amp; " - " &amp; TEXT('Profit &amp; Loss'!D414, "hh:mm AM/PM") &amp; CHAR(10) &amp; "Venue: " &amp; 'Profit &amp; Loss'!E414 &amp; CHAR(10) &amp; "Court No.: " &amp; 'Profit &amp; Loss'!F414 &amp; CHAR(10) &amp; "Level: HB - LI" &amp; CHAR(10) &amp; "Please transfer $" &amp; 'Profit &amp; Loss'!O414 &amp; " per pax to Belle (83396501)" &amp; CHAR(10) &amp; CHAR(10) &amp; IF('Profit &amp; Loss'!I414=1, "1." &amp; CHAR(10) &amp; "2." &amp; CHAR(10) &amp; "3." &amp; CHAR(10) &amp; "4." &amp; CHAR(10) &amp; "5." &amp; CHAR(10) &amp; "6." &amp; CHAR(10), IF('Profit &amp; Loss'!I414=2,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2" spans="1:2" ht="12.5" x14ac:dyDescent="0.25">
      <c r="A412" s="2" t="str">
        <f ca="1">IF('Profit &amp; Loss'!A415&gt;=TODAY(),"Looking for friendly players to join the following game: " &amp; CHAR(10) &amp; CHAR(10) &amp; "Date: " &amp; TEXT('Profit &amp; Loss'!A415,"dd mmm yyy") &amp; ", " &amp; 'Profit &amp; Loss'!B415 &amp; CHAR(10) &amp; "Time: " &amp; TEXT('Profit &amp; Loss'!C415, "hh:mm AM/PM") &amp; " - " &amp; TEXT('Profit &amp; Loss'!D415, "hh:mm AM/PM") &amp; CHAR(10) &amp; "Venue: " &amp; 'Profit &amp; Loss'!E415 &amp; CHAR(10) &amp; "Level: HB - LI" &amp; CHAR(10) &amp; "Cost: $" &amp; 'Profit &amp; Loss'!O415 &amp; " per pax" &amp; CHAR(10) &amp; "Max " &amp; 'Profit &amp; Loss'!I415*6 &amp; " pax," &amp; " (" &amp; 'Profit &amp; Loss'!I415 &amp; " courts)" &amp; CHAR(10) &amp; CHAR(10) &amp; "RSL Ultimate shuttles provided" &amp; CHAR(10) &amp; CHAR(10) &amp; "PM if interested, thank you!"," ")</f>
        <v xml:space="preserve"> </v>
      </c>
      <c r="B412" s="2" t="str">
        <f ca="1">IF('Profit &amp; Loss'!A415&gt;=TODAY(), "Date: " &amp; TEXT('Profit &amp; Loss'!A415,"dd mmm yyy") &amp; ", " &amp; 'Profit &amp; Loss'!B415 &amp; CHAR(10) &amp; "Time: " &amp; TEXT('Profit &amp; Loss'!C415, "hh:mm AM/PM") &amp; " - " &amp; TEXT('Profit &amp; Loss'!D415, "hh:mm AM/PM") &amp; CHAR(10) &amp; "Venue: " &amp; 'Profit &amp; Loss'!E415 &amp; CHAR(10) &amp; "Court No.: " &amp; 'Profit &amp; Loss'!F415 &amp; CHAR(10) &amp; "Level: HB - LI" &amp; CHAR(10) &amp; "Please transfer $" &amp; 'Profit &amp; Loss'!O415 &amp; " per pax to Belle (83396501)" &amp; CHAR(10) &amp; CHAR(10) &amp; IF('Profit &amp; Loss'!I415=1, "1." &amp; CHAR(10) &amp; "2." &amp; CHAR(10) &amp; "3." &amp; CHAR(10) &amp; "4." &amp; CHAR(10) &amp; "5." &amp; CHAR(10) &amp; "6." &amp; CHAR(10), IF('Profit &amp; Loss'!I415=2,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3" spans="1:2" ht="12.5" x14ac:dyDescent="0.25">
      <c r="A413" s="2" t="str">
        <f ca="1">IF('Profit &amp; Loss'!A416&gt;=TODAY(),"Looking for friendly players to join the following game: " &amp; CHAR(10) &amp; CHAR(10) &amp; "Date: " &amp; TEXT('Profit &amp; Loss'!A416,"dd mmm yyy") &amp; ", " &amp; 'Profit &amp; Loss'!B416 &amp; CHAR(10) &amp; "Time: " &amp; TEXT('Profit &amp; Loss'!C416, "hh:mm AM/PM") &amp; " - " &amp; TEXT('Profit &amp; Loss'!D416, "hh:mm AM/PM") &amp; CHAR(10) &amp; "Venue: " &amp; 'Profit &amp; Loss'!E416 &amp; CHAR(10) &amp; "Level: HB - LI" &amp; CHAR(10) &amp; "Cost: $" &amp; 'Profit &amp; Loss'!O416 &amp; " per pax" &amp; CHAR(10) &amp; "Max " &amp; 'Profit &amp; Loss'!I416*6 &amp; " pax," &amp; " (" &amp; 'Profit &amp; Loss'!I416 &amp; " courts)" &amp; CHAR(10) &amp; CHAR(10) &amp; "RSL Ultimate shuttles provided" &amp; CHAR(10) &amp; CHAR(10) &amp; "PM if interested, thank you!"," ")</f>
        <v xml:space="preserve"> </v>
      </c>
      <c r="B413" s="2" t="str">
        <f ca="1">IF('Profit &amp; Loss'!A416&gt;=TODAY(), "Date: " &amp; TEXT('Profit &amp; Loss'!A416,"dd mmm yyy") &amp; ", " &amp; 'Profit &amp; Loss'!B416 &amp; CHAR(10) &amp; "Time: " &amp; TEXT('Profit &amp; Loss'!C416, "hh:mm AM/PM") &amp; " - " &amp; TEXT('Profit &amp; Loss'!D416, "hh:mm AM/PM") &amp; CHAR(10) &amp; "Venue: " &amp; 'Profit &amp; Loss'!E416 &amp; CHAR(10) &amp; "Court No.: " &amp; 'Profit &amp; Loss'!F416 &amp; CHAR(10) &amp; "Level: HB - LI" &amp; CHAR(10) &amp; "Please transfer $" &amp; 'Profit &amp; Loss'!O416 &amp; " per pax to Belle (83396501)" &amp; CHAR(10) &amp; CHAR(10) &amp; IF('Profit &amp; Loss'!I416=1, "1." &amp; CHAR(10) &amp; "2." &amp; CHAR(10) &amp; "3." &amp; CHAR(10) &amp; "4." &amp; CHAR(10) &amp; "5." &amp; CHAR(10) &amp; "6." &amp; CHAR(10), IF('Profit &amp; Loss'!I416=2,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4" spans="1:2" ht="12.5" x14ac:dyDescent="0.25">
      <c r="A414" s="2" t="str">
        <f ca="1">IF('Profit &amp; Loss'!A417&gt;=TODAY(),"Looking for friendly players to join the following game: " &amp; CHAR(10) &amp; CHAR(10) &amp; "Date: " &amp; TEXT('Profit &amp; Loss'!A417,"dd mmm yyy") &amp; ", " &amp; 'Profit &amp; Loss'!B417 &amp; CHAR(10) &amp; "Time: " &amp; TEXT('Profit &amp; Loss'!C417, "hh:mm AM/PM") &amp; " - " &amp; TEXT('Profit &amp; Loss'!D417, "hh:mm AM/PM") &amp; CHAR(10) &amp; "Venue: " &amp; 'Profit &amp; Loss'!E417 &amp; CHAR(10) &amp; "Level: HB - LI" &amp; CHAR(10) &amp; "Cost: $" &amp; 'Profit &amp; Loss'!O417 &amp; " per pax" &amp; CHAR(10) &amp; "Max " &amp; 'Profit &amp; Loss'!I417*6 &amp; " pax," &amp; " (" &amp; 'Profit &amp; Loss'!I417 &amp; " courts)" &amp; CHAR(10) &amp; CHAR(10) &amp; "RSL Ultimate shuttles provided" &amp; CHAR(10) &amp; CHAR(10) &amp; "PM if interested, thank you!"," ")</f>
        <v xml:space="preserve"> </v>
      </c>
      <c r="B414" s="2" t="str">
        <f ca="1">IF('Profit &amp; Loss'!A417&gt;=TODAY(), "Date: " &amp; TEXT('Profit &amp; Loss'!A417,"dd mmm yyy") &amp; ", " &amp; 'Profit &amp; Loss'!B417 &amp; CHAR(10) &amp; "Time: " &amp; TEXT('Profit &amp; Loss'!C417, "hh:mm AM/PM") &amp; " - " &amp; TEXT('Profit &amp; Loss'!D417, "hh:mm AM/PM") &amp; CHAR(10) &amp; "Venue: " &amp; 'Profit &amp; Loss'!E417 &amp; CHAR(10) &amp; "Court No.: " &amp; 'Profit &amp; Loss'!F417 &amp; CHAR(10) &amp; "Level: HB - LI" &amp; CHAR(10) &amp; "Please transfer $" &amp; 'Profit &amp; Loss'!O417 &amp; " per pax to Belle (83396501)" &amp; CHAR(10) &amp; CHAR(10) &amp; IF('Profit &amp; Loss'!I417=1, "1." &amp; CHAR(10) &amp; "2." &amp; CHAR(10) &amp; "3." &amp; CHAR(10) &amp; "4." &amp; CHAR(10) &amp; "5." &amp; CHAR(10) &amp; "6." &amp; CHAR(10), IF('Profit &amp; Loss'!I417=2,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5" spans="1:2" ht="12.5" x14ac:dyDescent="0.25">
      <c r="A415" s="2" t="str">
        <f ca="1">IF('Profit &amp; Loss'!A418&gt;=TODAY(),"Looking for friendly players to join the following game: " &amp; CHAR(10) &amp; CHAR(10) &amp; "Date: " &amp; TEXT('Profit &amp; Loss'!A418,"dd mmm yyy") &amp; ", " &amp; 'Profit &amp; Loss'!B418 &amp; CHAR(10) &amp; "Time: " &amp; TEXT('Profit &amp; Loss'!C418, "hh:mm AM/PM") &amp; " - " &amp; TEXT('Profit &amp; Loss'!D418, "hh:mm AM/PM") &amp; CHAR(10) &amp; "Venue: " &amp; 'Profit &amp; Loss'!E418 &amp; CHAR(10) &amp; "Level: HB - LI" &amp; CHAR(10) &amp; "Cost: $" &amp; 'Profit &amp; Loss'!O418 &amp; " per pax" &amp; CHAR(10) &amp; "Max " &amp; 'Profit &amp; Loss'!I418*6 &amp; " pax," &amp; " (" &amp; 'Profit &amp; Loss'!I418 &amp; " courts)" &amp; CHAR(10) &amp; CHAR(10) &amp; "RSL Ultimate shuttles provided" &amp; CHAR(10) &amp; CHAR(10) &amp; "PM if interested, thank you!"," ")</f>
        <v xml:space="preserve"> </v>
      </c>
      <c r="B415" s="2" t="str">
        <f ca="1">IF('Profit &amp; Loss'!A418&gt;=TODAY(), "Date: " &amp; TEXT('Profit &amp; Loss'!A418,"dd mmm yyy") &amp; ", " &amp; 'Profit &amp; Loss'!B418 &amp; CHAR(10) &amp; "Time: " &amp; TEXT('Profit &amp; Loss'!C418, "hh:mm AM/PM") &amp; " - " &amp; TEXT('Profit &amp; Loss'!D418, "hh:mm AM/PM") &amp; CHAR(10) &amp; "Venue: " &amp; 'Profit &amp; Loss'!E418 &amp; CHAR(10) &amp; "Court No.: " &amp; 'Profit &amp; Loss'!F418 &amp; CHAR(10) &amp; "Level: HB - LI" &amp; CHAR(10) &amp; "Please transfer $" &amp; 'Profit &amp; Loss'!O418 &amp; " per pax to Belle (83396501)" &amp; CHAR(10) &amp; CHAR(10) &amp; IF('Profit &amp; Loss'!I418=1, "1." &amp; CHAR(10) &amp; "2." &amp; CHAR(10) &amp; "3." &amp; CHAR(10) &amp; "4." &amp; CHAR(10) &amp; "5." &amp; CHAR(10) &amp; "6." &amp; CHAR(10), IF('Profit &amp; Loss'!I418=2,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6" spans="1:2" ht="12.5" x14ac:dyDescent="0.25">
      <c r="A416" s="2" t="str">
        <f ca="1">IF('Profit &amp; Loss'!A419&gt;=TODAY(),"Looking for friendly players to join the following game: " &amp; CHAR(10) &amp; CHAR(10) &amp; "Date: " &amp; TEXT('Profit &amp; Loss'!A419,"dd mmm yyy") &amp; ", " &amp; 'Profit &amp; Loss'!B419 &amp; CHAR(10) &amp; "Time: " &amp; TEXT('Profit &amp; Loss'!C419, "hh:mm AM/PM") &amp; " - " &amp; TEXT('Profit &amp; Loss'!D419, "hh:mm AM/PM") &amp; CHAR(10) &amp; "Venue: " &amp; 'Profit &amp; Loss'!E419 &amp; CHAR(10) &amp; "Level: HB - LI" &amp; CHAR(10) &amp; "Cost: $" &amp; 'Profit &amp; Loss'!O419 &amp; " per pax" &amp; CHAR(10) &amp; "Max " &amp; 'Profit &amp; Loss'!I419*6 &amp; " pax," &amp; " (" &amp; 'Profit &amp; Loss'!I419 &amp; " courts)" &amp; CHAR(10) &amp; CHAR(10) &amp; "RSL Ultimate shuttles provided" &amp; CHAR(10) &amp; CHAR(10) &amp; "PM if interested, thank you!"," ")</f>
        <v xml:space="preserve"> </v>
      </c>
      <c r="B416" s="2" t="str">
        <f ca="1">IF('Profit &amp; Loss'!A419&gt;=TODAY(), "Date: " &amp; TEXT('Profit &amp; Loss'!A419,"dd mmm yyy") &amp; ", " &amp; 'Profit &amp; Loss'!B419 &amp; CHAR(10) &amp; "Time: " &amp; TEXT('Profit &amp; Loss'!C419, "hh:mm AM/PM") &amp; " - " &amp; TEXT('Profit &amp; Loss'!D419, "hh:mm AM/PM") &amp; CHAR(10) &amp; "Venue: " &amp; 'Profit &amp; Loss'!E419 &amp; CHAR(10) &amp; "Court No.: " &amp; 'Profit &amp; Loss'!F419 &amp; CHAR(10) &amp; "Level: HB - LI" &amp; CHAR(10) &amp; "Please transfer $" &amp; 'Profit &amp; Loss'!O419 &amp; " per pax to Belle (83396501)" &amp; CHAR(10) &amp; CHAR(10) &amp; IF('Profit &amp; Loss'!I419=1, "1." &amp; CHAR(10) &amp; "2." &amp; CHAR(10) &amp; "3." &amp; CHAR(10) &amp; "4." &amp; CHAR(10) &amp; "5." &amp; CHAR(10) &amp; "6." &amp; CHAR(10), IF('Profit &amp; Loss'!I419=2,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7" spans="1:2" ht="12.5" x14ac:dyDescent="0.25">
      <c r="A417" s="2" t="str">
        <f ca="1">IF('Profit &amp; Loss'!A420&gt;=TODAY(),"Looking for friendly players to join the following game: " &amp; CHAR(10) &amp; CHAR(10) &amp; "Date: " &amp; TEXT('Profit &amp; Loss'!A420,"dd mmm yyy") &amp; ", " &amp; 'Profit &amp; Loss'!B420 &amp; CHAR(10) &amp; "Time: " &amp; TEXT('Profit &amp; Loss'!C420, "hh:mm AM/PM") &amp; " - " &amp; TEXT('Profit &amp; Loss'!D420, "hh:mm AM/PM") &amp; CHAR(10) &amp; "Venue: " &amp; 'Profit &amp; Loss'!E420 &amp; CHAR(10) &amp; "Level: HB - LI" &amp; CHAR(10) &amp; "Cost: $" &amp; 'Profit &amp; Loss'!O420 &amp; " per pax" &amp; CHAR(10) &amp; "Max " &amp; 'Profit &amp; Loss'!I420*6 &amp; " pax," &amp; " (" &amp; 'Profit &amp; Loss'!I420 &amp; " courts)" &amp; CHAR(10) &amp; CHAR(10) &amp; "RSL Ultimate shuttles provided" &amp; CHAR(10) &amp; CHAR(10) &amp; "PM if interested, thank you!"," ")</f>
        <v xml:space="preserve"> </v>
      </c>
      <c r="B417" s="2" t="str">
        <f ca="1">IF('Profit &amp; Loss'!A420&gt;=TODAY(), "Date: " &amp; TEXT('Profit &amp; Loss'!A420,"dd mmm yyy") &amp; ", " &amp; 'Profit &amp; Loss'!B420 &amp; CHAR(10) &amp; "Time: " &amp; TEXT('Profit &amp; Loss'!C420, "hh:mm AM/PM") &amp; " - " &amp; TEXT('Profit &amp; Loss'!D420, "hh:mm AM/PM") &amp; CHAR(10) &amp; "Venue: " &amp; 'Profit &amp; Loss'!E420 &amp; CHAR(10) &amp; "Court No.: " &amp; 'Profit &amp; Loss'!F420 &amp; CHAR(10) &amp; "Level: HB - LI" &amp; CHAR(10) &amp; "Please transfer $" &amp; 'Profit &amp; Loss'!O420 &amp; " per pax to Belle (83396501)" &amp; CHAR(10) &amp; CHAR(10) &amp; IF('Profit &amp; Loss'!I420=1, "1." &amp; CHAR(10) &amp; "2." &amp; CHAR(10) &amp; "3." &amp; CHAR(10) &amp; "4." &amp; CHAR(10) &amp; "5." &amp; CHAR(10) &amp; "6." &amp; CHAR(10), IF('Profit &amp; Loss'!I420=2,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8" spans="1:2" ht="12.5" x14ac:dyDescent="0.25">
      <c r="A418" s="2" t="str">
        <f ca="1">IF('Profit &amp; Loss'!A421&gt;=TODAY(),"Looking for friendly players to join the following game: " &amp; CHAR(10) &amp; CHAR(10) &amp; "Date: " &amp; TEXT('Profit &amp; Loss'!A421,"dd mmm yyy") &amp; ", " &amp; 'Profit &amp; Loss'!B421 &amp; CHAR(10) &amp; "Time: " &amp; TEXT('Profit &amp; Loss'!C421, "hh:mm AM/PM") &amp; " - " &amp; TEXT('Profit &amp; Loss'!D421, "hh:mm AM/PM") &amp; CHAR(10) &amp; "Venue: " &amp; 'Profit &amp; Loss'!E421 &amp; CHAR(10) &amp; "Level: HB - LI" &amp; CHAR(10) &amp; "Cost: $" &amp; 'Profit &amp; Loss'!O421 &amp; " per pax" &amp; CHAR(10) &amp; "Max " &amp; 'Profit &amp; Loss'!I421*6 &amp; " pax," &amp; " (" &amp; 'Profit &amp; Loss'!I421 &amp; " courts)" &amp; CHAR(10) &amp; CHAR(10) &amp; "RSL Ultimate shuttles provided" &amp; CHAR(10) &amp; CHAR(10) &amp; "PM if interested, thank you!"," ")</f>
        <v xml:space="preserve"> </v>
      </c>
      <c r="B418" s="2" t="str">
        <f ca="1">IF('Profit &amp; Loss'!A421&gt;=TODAY(), "Date: " &amp; TEXT('Profit &amp; Loss'!A421,"dd mmm yyy") &amp; ", " &amp; 'Profit &amp; Loss'!B421 &amp; CHAR(10) &amp; "Time: " &amp; TEXT('Profit &amp; Loss'!C421, "hh:mm AM/PM") &amp; " - " &amp; TEXT('Profit &amp; Loss'!D421, "hh:mm AM/PM") &amp; CHAR(10) &amp; "Venue: " &amp; 'Profit &amp; Loss'!E421 &amp; CHAR(10) &amp; "Court No.: " &amp; 'Profit &amp; Loss'!F421 &amp; CHAR(10) &amp; "Level: HB - LI" &amp; CHAR(10) &amp; "Please transfer $" &amp; 'Profit &amp; Loss'!O421 &amp; " per pax to Belle (83396501)" &amp; CHAR(10) &amp; CHAR(10) &amp; IF('Profit &amp; Loss'!I421=1, "1." &amp; CHAR(10) &amp; "2." &amp; CHAR(10) &amp; "3." &amp; CHAR(10) &amp; "4." &amp; CHAR(10) &amp; "5." &amp; CHAR(10) &amp; "6." &amp; CHAR(10), IF('Profit &amp; Loss'!I421=2,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19" spans="1:2" ht="12.5" x14ac:dyDescent="0.25">
      <c r="A419" s="2" t="str">
        <f ca="1">IF('Profit &amp; Loss'!A422&gt;=TODAY(),"Looking for friendly players to join the following game: " &amp; CHAR(10) &amp; CHAR(10) &amp; "Date: " &amp; TEXT('Profit &amp; Loss'!A422,"dd mmm yyy") &amp; ", " &amp; 'Profit &amp; Loss'!B422 &amp; CHAR(10) &amp; "Time: " &amp; TEXT('Profit &amp; Loss'!C422, "hh:mm AM/PM") &amp; " - " &amp; TEXT('Profit &amp; Loss'!D422, "hh:mm AM/PM") &amp; CHAR(10) &amp; "Venue: " &amp; 'Profit &amp; Loss'!E422 &amp; CHAR(10) &amp; "Level: HB - LI" &amp; CHAR(10) &amp; "Cost: $" &amp; 'Profit &amp; Loss'!O422 &amp; " per pax" &amp; CHAR(10) &amp; "Max " &amp; 'Profit &amp; Loss'!I422*6 &amp; " pax," &amp; " (" &amp; 'Profit &amp; Loss'!I422 &amp; " courts)" &amp; CHAR(10) &amp; CHAR(10) &amp; "RSL Ultimate shuttles provided" &amp; CHAR(10) &amp; CHAR(10) &amp; "PM if interested, thank you!"," ")</f>
        <v xml:space="preserve"> </v>
      </c>
      <c r="B419" s="2" t="str">
        <f ca="1">IF('Profit &amp; Loss'!A422&gt;=TODAY(), "Date: " &amp; TEXT('Profit &amp; Loss'!A422,"dd mmm yyy") &amp; ", " &amp; 'Profit &amp; Loss'!B422 &amp; CHAR(10) &amp; "Time: " &amp; TEXT('Profit &amp; Loss'!C422, "hh:mm AM/PM") &amp; " - " &amp; TEXT('Profit &amp; Loss'!D422, "hh:mm AM/PM") &amp; CHAR(10) &amp; "Venue: " &amp; 'Profit &amp; Loss'!E422 &amp; CHAR(10) &amp; "Court No.: " &amp; 'Profit &amp; Loss'!F422 &amp; CHAR(10) &amp; "Level: HB - LI" &amp; CHAR(10) &amp; "Please transfer $" &amp; 'Profit &amp; Loss'!O422 &amp; " per pax to Belle (83396501)" &amp; CHAR(10) &amp; CHAR(10) &amp; IF('Profit &amp; Loss'!I422=1, "1." &amp; CHAR(10) &amp; "2." &amp; CHAR(10) &amp; "3." &amp; CHAR(10) &amp; "4." &amp; CHAR(10) &amp; "5." &amp; CHAR(10) &amp; "6." &amp; CHAR(10), IF('Profit &amp; Loss'!I422=2,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0" spans="1:2" ht="12.5" x14ac:dyDescent="0.25">
      <c r="A420" s="2" t="str">
        <f ca="1">IF('Profit &amp; Loss'!A423&gt;=TODAY(),"Looking for friendly players to join the following game: " &amp; CHAR(10) &amp; CHAR(10) &amp; "Date: " &amp; TEXT('Profit &amp; Loss'!A423,"dd mmm yyy") &amp; ", " &amp; 'Profit &amp; Loss'!B423 &amp; CHAR(10) &amp; "Time: " &amp; TEXT('Profit &amp; Loss'!C423, "hh:mm AM/PM") &amp; " - " &amp; TEXT('Profit &amp; Loss'!D423, "hh:mm AM/PM") &amp; CHAR(10) &amp; "Venue: " &amp; 'Profit &amp; Loss'!E423 &amp; CHAR(10) &amp; "Level: HB - LI" &amp; CHAR(10) &amp; "Cost: $" &amp; 'Profit &amp; Loss'!O423 &amp; " per pax" &amp; CHAR(10) &amp; "Max " &amp; 'Profit &amp; Loss'!I423*6 &amp; " pax," &amp; " (" &amp; 'Profit &amp; Loss'!I423 &amp; " courts)" &amp; CHAR(10) &amp; CHAR(10) &amp; "RSL Ultimate shuttles provided" &amp; CHAR(10) &amp; CHAR(10) &amp; "PM if interested, thank you!"," ")</f>
        <v xml:space="preserve"> </v>
      </c>
      <c r="B420" s="2" t="str">
        <f ca="1">IF('Profit &amp; Loss'!A423&gt;=TODAY(), "Date: " &amp; TEXT('Profit &amp; Loss'!A423,"dd mmm yyy") &amp; ", " &amp; 'Profit &amp; Loss'!B423 &amp; CHAR(10) &amp; "Time: " &amp; TEXT('Profit &amp; Loss'!C423, "hh:mm AM/PM") &amp; " - " &amp; TEXT('Profit &amp; Loss'!D423, "hh:mm AM/PM") &amp; CHAR(10) &amp; "Venue: " &amp; 'Profit &amp; Loss'!E423 &amp; CHAR(10) &amp; "Court No.: " &amp; 'Profit &amp; Loss'!F423 &amp; CHAR(10) &amp; "Level: HB - LI" &amp; CHAR(10) &amp; "Please transfer $" &amp; 'Profit &amp; Loss'!O423 &amp; " per pax to Belle (83396501)" &amp; CHAR(10) &amp; CHAR(10) &amp; IF('Profit &amp; Loss'!I423=1, "1." &amp; CHAR(10) &amp; "2." &amp; CHAR(10) &amp; "3." &amp; CHAR(10) &amp; "4." &amp; CHAR(10) &amp; "5." &amp; CHAR(10) &amp; "6." &amp; CHAR(10), IF('Profit &amp; Loss'!I423=2,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1" spans="1:2" ht="12.5" x14ac:dyDescent="0.25">
      <c r="A421" s="2" t="str">
        <f ca="1">IF('Profit &amp; Loss'!A424&gt;=TODAY(),"Looking for friendly players to join the following game: " &amp; CHAR(10) &amp; CHAR(10) &amp; "Date: " &amp; TEXT('Profit &amp; Loss'!A424,"dd mmm yyy") &amp; ", " &amp; 'Profit &amp; Loss'!B424 &amp; CHAR(10) &amp; "Time: " &amp; TEXT('Profit &amp; Loss'!C424, "hh:mm AM/PM") &amp; " - " &amp; TEXT('Profit &amp; Loss'!D424, "hh:mm AM/PM") &amp; CHAR(10) &amp; "Venue: " &amp; 'Profit &amp; Loss'!E424 &amp; CHAR(10) &amp; "Level: HB - LI" &amp; CHAR(10) &amp; "Cost: $" &amp; 'Profit &amp; Loss'!O424 &amp; " per pax" &amp; CHAR(10) &amp; "Max " &amp; 'Profit &amp; Loss'!I424*6 &amp; " pax," &amp; " (" &amp; 'Profit &amp; Loss'!I424 &amp; " courts)" &amp; CHAR(10) &amp; CHAR(10) &amp; "RSL Ultimate shuttles provided" &amp; CHAR(10) &amp; CHAR(10) &amp; "PM if interested, thank you!"," ")</f>
        <v xml:space="preserve"> </v>
      </c>
      <c r="B421" s="2" t="str">
        <f ca="1">IF('Profit &amp; Loss'!A424&gt;=TODAY(), "Date: " &amp; TEXT('Profit &amp; Loss'!A424,"dd mmm yyy") &amp; ", " &amp; 'Profit &amp; Loss'!B424 &amp; CHAR(10) &amp; "Time: " &amp; TEXT('Profit &amp; Loss'!C424, "hh:mm AM/PM") &amp; " - " &amp; TEXT('Profit &amp; Loss'!D424, "hh:mm AM/PM") &amp; CHAR(10) &amp; "Venue: " &amp; 'Profit &amp; Loss'!E424 &amp; CHAR(10) &amp; "Court No.: " &amp; 'Profit &amp; Loss'!F424 &amp; CHAR(10) &amp; "Level: HB - LI" &amp; CHAR(10) &amp; "Please transfer $" &amp; 'Profit &amp; Loss'!O424 &amp; " per pax to Belle (83396501)" &amp; CHAR(10) &amp; CHAR(10) &amp; IF('Profit &amp; Loss'!I424=1, "1." &amp; CHAR(10) &amp; "2." &amp; CHAR(10) &amp; "3." &amp; CHAR(10) &amp; "4." &amp; CHAR(10) &amp; "5." &amp; CHAR(10) &amp; "6." &amp; CHAR(10), IF('Profit &amp; Loss'!I424=2,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2" spans="1:2" ht="12.5" x14ac:dyDescent="0.25">
      <c r="A422" s="2" t="str">
        <f ca="1">IF('Profit &amp; Loss'!A425&gt;=TODAY(),"Looking for friendly players to join the following game: " &amp; CHAR(10) &amp; CHAR(10) &amp; "Date: " &amp; TEXT('Profit &amp; Loss'!A425,"dd mmm yyy") &amp; ", " &amp; 'Profit &amp; Loss'!B425 &amp; CHAR(10) &amp; "Time: " &amp; TEXT('Profit &amp; Loss'!C425, "hh:mm AM/PM") &amp; " - " &amp; TEXT('Profit &amp; Loss'!D425, "hh:mm AM/PM") &amp; CHAR(10) &amp; "Venue: " &amp; 'Profit &amp; Loss'!E425 &amp; CHAR(10) &amp; "Level: HB - LI" &amp; CHAR(10) &amp; "Cost: $" &amp; 'Profit &amp; Loss'!O425 &amp; " per pax" &amp; CHAR(10) &amp; "Max " &amp; 'Profit &amp; Loss'!I425*6 &amp; " pax," &amp; " (" &amp; 'Profit &amp; Loss'!I425 &amp; " courts)" &amp; CHAR(10) &amp; CHAR(10) &amp; "RSL Ultimate shuttles provided" &amp; CHAR(10) &amp; CHAR(10) &amp; "PM if interested, thank you!"," ")</f>
        <v xml:space="preserve"> </v>
      </c>
      <c r="B422" s="2" t="str">
        <f ca="1">IF('Profit &amp; Loss'!A425&gt;=TODAY(), "Date: " &amp; TEXT('Profit &amp; Loss'!A425,"dd mmm yyy") &amp; ", " &amp; 'Profit &amp; Loss'!B425 &amp; CHAR(10) &amp; "Time: " &amp; TEXT('Profit &amp; Loss'!C425, "hh:mm AM/PM") &amp; " - " &amp; TEXT('Profit &amp; Loss'!D425, "hh:mm AM/PM") &amp; CHAR(10) &amp; "Venue: " &amp; 'Profit &amp; Loss'!E425 &amp; CHAR(10) &amp; "Court No.: " &amp; 'Profit &amp; Loss'!F425 &amp; CHAR(10) &amp; "Level: HB - LI" &amp; CHAR(10) &amp; "Please transfer $" &amp; 'Profit &amp; Loss'!O425 &amp; " per pax to Belle (83396501)" &amp; CHAR(10) &amp; CHAR(10) &amp; IF('Profit &amp; Loss'!I425=1, "1." &amp; CHAR(10) &amp; "2." &amp; CHAR(10) &amp; "3." &amp; CHAR(10) &amp; "4." &amp; CHAR(10) &amp; "5." &amp; CHAR(10) &amp; "6." &amp; CHAR(10), IF('Profit &amp; Loss'!I425=2,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3" spans="1:2" ht="12.5" x14ac:dyDescent="0.25">
      <c r="A423" s="2" t="str">
        <f ca="1">IF('Profit &amp; Loss'!A426&gt;=TODAY(),"Looking for friendly players to join the following game: " &amp; CHAR(10) &amp; CHAR(10) &amp; "Date: " &amp; TEXT('Profit &amp; Loss'!A426,"dd mmm yyy") &amp; ", " &amp; 'Profit &amp; Loss'!B426 &amp; CHAR(10) &amp; "Time: " &amp; TEXT('Profit &amp; Loss'!C426, "hh:mm AM/PM") &amp; " - " &amp; TEXT('Profit &amp; Loss'!D426, "hh:mm AM/PM") &amp; CHAR(10) &amp; "Venue: " &amp; 'Profit &amp; Loss'!E426 &amp; CHAR(10) &amp; "Level: HB - LI" &amp; CHAR(10) &amp; "Cost: $" &amp; 'Profit &amp; Loss'!O426 &amp; " per pax" &amp; CHAR(10) &amp; "Max " &amp; 'Profit &amp; Loss'!I426*6 &amp; " pax," &amp; " (" &amp; 'Profit &amp; Loss'!I426 &amp; " courts)" &amp; CHAR(10) &amp; CHAR(10) &amp; "RSL Ultimate shuttles provided" &amp; CHAR(10) &amp; CHAR(10) &amp; "PM if interested, thank you!"," ")</f>
        <v xml:space="preserve"> </v>
      </c>
      <c r="B423" s="2" t="str">
        <f ca="1">IF('Profit &amp; Loss'!A426&gt;=TODAY(), "Date: " &amp; TEXT('Profit &amp; Loss'!A426,"dd mmm yyy") &amp; ", " &amp; 'Profit &amp; Loss'!B426 &amp; CHAR(10) &amp; "Time: " &amp; TEXT('Profit &amp; Loss'!C426, "hh:mm AM/PM") &amp; " - " &amp; TEXT('Profit &amp; Loss'!D426, "hh:mm AM/PM") &amp; CHAR(10) &amp; "Venue: " &amp; 'Profit &amp; Loss'!E426 &amp; CHAR(10) &amp; "Court No.: " &amp; 'Profit &amp; Loss'!F426 &amp; CHAR(10) &amp; "Level: HB - LI" &amp; CHAR(10) &amp; "Please transfer $" &amp; 'Profit &amp; Loss'!O426 &amp; " per pax to Belle (83396501)" &amp; CHAR(10) &amp; CHAR(10) &amp; IF('Profit &amp; Loss'!I426=1, "1." &amp; CHAR(10) &amp; "2." &amp; CHAR(10) &amp; "3." &amp; CHAR(10) &amp; "4." &amp; CHAR(10) &amp; "5." &amp; CHAR(10) &amp; "6." &amp; CHAR(10), IF('Profit &amp; Loss'!I426=2,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4" spans="1:2" ht="12.5" x14ac:dyDescent="0.25">
      <c r="A424" s="2" t="str">
        <f ca="1">IF('Profit &amp; Loss'!A427&gt;=TODAY(),"Looking for friendly players to join the following game: " &amp; CHAR(10) &amp; CHAR(10) &amp; "Date: " &amp; TEXT('Profit &amp; Loss'!A427,"dd mmm yyy") &amp; ", " &amp; 'Profit &amp; Loss'!B427 &amp; CHAR(10) &amp; "Time: " &amp; TEXT('Profit &amp; Loss'!C427, "hh:mm AM/PM") &amp; " - " &amp; TEXT('Profit &amp; Loss'!D427, "hh:mm AM/PM") &amp; CHAR(10) &amp; "Venue: " &amp; 'Profit &amp; Loss'!E427 &amp; CHAR(10) &amp; "Level: HB - LI" &amp; CHAR(10) &amp; "Cost: $" &amp; 'Profit &amp; Loss'!O427 &amp; " per pax" &amp; CHAR(10) &amp; "Max " &amp; 'Profit &amp; Loss'!I427*6 &amp; " pax," &amp; " (" &amp; 'Profit &amp; Loss'!I427 &amp; " courts)" &amp; CHAR(10) &amp; CHAR(10) &amp; "RSL Ultimate shuttles provided" &amp; CHAR(10) &amp; CHAR(10) &amp; "PM if interested, thank you!"," ")</f>
        <v xml:space="preserve"> </v>
      </c>
      <c r="B424" s="2" t="str">
        <f ca="1">IF('Profit &amp; Loss'!A427&gt;=TODAY(), "Date: " &amp; TEXT('Profit &amp; Loss'!A427,"dd mmm yyy") &amp; ", " &amp; 'Profit &amp; Loss'!B427 &amp; CHAR(10) &amp; "Time: " &amp; TEXT('Profit &amp; Loss'!C427, "hh:mm AM/PM") &amp; " - " &amp; TEXT('Profit &amp; Loss'!D427, "hh:mm AM/PM") &amp; CHAR(10) &amp; "Venue: " &amp; 'Profit &amp; Loss'!E427 &amp; CHAR(10) &amp; "Court No.: " &amp; 'Profit &amp; Loss'!F427 &amp; CHAR(10) &amp; "Level: HB - LI" &amp; CHAR(10) &amp; "Please transfer $" &amp; 'Profit &amp; Loss'!O427 &amp; " per pax to Belle (83396501)" &amp; CHAR(10) &amp; CHAR(10) &amp; IF('Profit &amp; Loss'!I427=1, "1." &amp; CHAR(10) &amp; "2." &amp; CHAR(10) &amp; "3." &amp; CHAR(10) &amp; "4." &amp; CHAR(10) &amp; "5." &amp; CHAR(10) &amp; "6." &amp; CHAR(10), IF('Profit &amp; Loss'!I427=2,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5" spans="1:2" ht="12.5" x14ac:dyDescent="0.25">
      <c r="A425" s="2" t="str">
        <f ca="1">IF('Profit &amp; Loss'!A428&gt;=TODAY(),"Looking for friendly players to join the following game: " &amp; CHAR(10) &amp; CHAR(10) &amp; "Date: " &amp; TEXT('Profit &amp; Loss'!A428,"dd mmm yyy") &amp; ", " &amp; 'Profit &amp; Loss'!B428 &amp; CHAR(10) &amp; "Time: " &amp; TEXT('Profit &amp; Loss'!C428, "hh:mm AM/PM") &amp; " - " &amp; TEXT('Profit &amp; Loss'!D428, "hh:mm AM/PM") &amp; CHAR(10) &amp; "Venue: " &amp; 'Profit &amp; Loss'!E428 &amp; CHAR(10) &amp; "Level: HB - LI" &amp; CHAR(10) &amp; "Cost: $" &amp; 'Profit &amp; Loss'!O428 &amp; " per pax" &amp; CHAR(10) &amp; "Max " &amp; 'Profit &amp; Loss'!I428*6 &amp; " pax," &amp; " (" &amp; 'Profit &amp; Loss'!I428 &amp; " courts)" &amp; CHAR(10) &amp; CHAR(10) &amp; "RSL Ultimate shuttles provided" &amp; CHAR(10) &amp; CHAR(10) &amp; "PM if interested, thank you!"," ")</f>
        <v xml:space="preserve"> </v>
      </c>
      <c r="B425" s="2" t="str">
        <f ca="1">IF('Profit &amp; Loss'!A428&gt;=TODAY(), "Date: " &amp; TEXT('Profit &amp; Loss'!A428,"dd mmm yyy") &amp; ", " &amp; 'Profit &amp; Loss'!B428 &amp; CHAR(10) &amp; "Time: " &amp; TEXT('Profit &amp; Loss'!C428, "hh:mm AM/PM") &amp; " - " &amp; TEXT('Profit &amp; Loss'!D428, "hh:mm AM/PM") &amp; CHAR(10) &amp; "Venue: " &amp; 'Profit &amp; Loss'!E428 &amp; CHAR(10) &amp; "Court No.: " &amp; 'Profit &amp; Loss'!F428 &amp; CHAR(10) &amp; "Level: HB - LI" &amp; CHAR(10) &amp; "Please transfer $" &amp; 'Profit &amp; Loss'!O428 &amp; " per pax to Belle (83396501)" &amp; CHAR(10) &amp; CHAR(10) &amp; IF('Profit &amp; Loss'!I428=1, "1." &amp; CHAR(10) &amp; "2." &amp; CHAR(10) &amp; "3." &amp; CHAR(10) &amp; "4." &amp; CHAR(10) &amp; "5." &amp; CHAR(10) &amp; "6." &amp; CHAR(10), IF('Profit &amp; Loss'!I428=2,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6" spans="1:2" ht="12.5" x14ac:dyDescent="0.25">
      <c r="A426" s="2" t="str">
        <f ca="1">IF('Profit &amp; Loss'!A429&gt;=TODAY(),"Looking for friendly players to join the following game: " &amp; CHAR(10) &amp; CHAR(10) &amp; "Date: " &amp; TEXT('Profit &amp; Loss'!A429,"dd mmm yyy") &amp; ", " &amp; 'Profit &amp; Loss'!B429 &amp; CHAR(10) &amp; "Time: " &amp; TEXT('Profit &amp; Loss'!C429, "hh:mm AM/PM") &amp; " - " &amp; TEXT('Profit &amp; Loss'!D429, "hh:mm AM/PM") &amp; CHAR(10) &amp; "Venue: " &amp; 'Profit &amp; Loss'!E429 &amp; CHAR(10) &amp; "Level: HB - LI" &amp; CHAR(10) &amp; "Cost: $" &amp; 'Profit &amp; Loss'!O429 &amp; " per pax" &amp; CHAR(10) &amp; "Max " &amp; 'Profit &amp; Loss'!I429*6 &amp; " pax," &amp; " (" &amp; 'Profit &amp; Loss'!I429 &amp; " courts)" &amp; CHAR(10) &amp; CHAR(10) &amp; "RSL Ultimate shuttles provided" &amp; CHAR(10) &amp; CHAR(10) &amp; "PM if interested, thank you!"," ")</f>
        <v xml:space="preserve"> </v>
      </c>
      <c r="B426" s="2" t="str">
        <f ca="1">IF('Profit &amp; Loss'!A429&gt;=TODAY(), "Date: " &amp; TEXT('Profit &amp; Loss'!A429,"dd mmm yyy") &amp; ", " &amp; 'Profit &amp; Loss'!B429 &amp; CHAR(10) &amp; "Time: " &amp; TEXT('Profit &amp; Loss'!C429, "hh:mm AM/PM") &amp; " - " &amp; TEXT('Profit &amp; Loss'!D429, "hh:mm AM/PM") &amp; CHAR(10) &amp; "Venue: " &amp; 'Profit &amp; Loss'!E429 &amp; CHAR(10) &amp; "Court No.: " &amp; 'Profit &amp; Loss'!F429 &amp; CHAR(10) &amp; "Level: HB - LI" &amp; CHAR(10) &amp; "Please transfer $" &amp; 'Profit &amp; Loss'!O429 &amp; " per pax to Belle (83396501)" &amp; CHAR(10) &amp; CHAR(10) &amp; IF('Profit &amp; Loss'!I429=1, "1." &amp; CHAR(10) &amp; "2." &amp; CHAR(10) &amp; "3." &amp; CHAR(10) &amp; "4." &amp; CHAR(10) &amp; "5." &amp; CHAR(10) &amp; "6." &amp; CHAR(10), IF('Profit &amp; Loss'!I429=2,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7" spans="1:2" ht="12.5" x14ac:dyDescent="0.25">
      <c r="A427" s="2" t="str">
        <f ca="1">IF('Profit &amp; Loss'!A430&gt;=TODAY(),"Looking for friendly players to join the following game: " &amp; CHAR(10) &amp; CHAR(10) &amp; "Date: " &amp; TEXT('Profit &amp; Loss'!A430,"dd mmm yyy") &amp; ", " &amp; 'Profit &amp; Loss'!B430 &amp; CHAR(10) &amp; "Time: " &amp; TEXT('Profit &amp; Loss'!C430, "hh:mm AM/PM") &amp; " - " &amp; TEXT('Profit &amp; Loss'!D430, "hh:mm AM/PM") &amp; CHAR(10) &amp; "Venue: " &amp; 'Profit &amp; Loss'!E430 &amp; CHAR(10) &amp; "Level: HB - LI" &amp; CHAR(10) &amp; "Cost: $" &amp; 'Profit &amp; Loss'!O430 &amp; " per pax" &amp; CHAR(10) &amp; "Max " &amp; 'Profit &amp; Loss'!I430*6 &amp; " pax," &amp; " (" &amp; 'Profit &amp; Loss'!I430 &amp; " courts)" &amp; CHAR(10) &amp; CHAR(10) &amp; "RSL Ultimate shuttles provided" &amp; CHAR(10) &amp; CHAR(10) &amp; "PM if interested, thank you!"," ")</f>
        <v xml:space="preserve"> </v>
      </c>
      <c r="B427" s="2" t="str">
        <f ca="1">IF('Profit &amp; Loss'!A430&gt;=TODAY(), "Date: " &amp; TEXT('Profit &amp; Loss'!A430,"dd mmm yyy") &amp; ", " &amp; 'Profit &amp; Loss'!B430 &amp; CHAR(10) &amp; "Time: " &amp; TEXT('Profit &amp; Loss'!C430, "hh:mm AM/PM") &amp; " - " &amp; TEXT('Profit &amp; Loss'!D430, "hh:mm AM/PM") &amp; CHAR(10) &amp; "Venue: " &amp; 'Profit &amp; Loss'!E430 &amp; CHAR(10) &amp; "Court No.: " &amp; 'Profit &amp; Loss'!F430 &amp; CHAR(10) &amp; "Level: HB - LI" &amp; CHAR(10) &amp; "Please transfer $" &amp; 'Profit &amp; Loss'!O430 &amp; " per pax to Belle (83396501)" &amp; CHAR(10) &amp; CHAR(10) &amp; IF('Profit &amp; Loss'!I430=1, "1." &amp; CHAR(10) &amp; "2." &amp; CHAR(10) &amp; "3." &amp; CHAR(10) &amp; "4." &amp; CHAR(10) &amp; "5." &amp; CHAR(10) &amp; "6." &amp; CHAR(10), IF('Profit &amp; Loss'!I430=2,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8" spans="1:2" ht="12.5" x14ac:dyDescent="0.25">
      <c r="A428" s="2" t="str">
        <f ca="1">IF('Profit &amp; Loss'!A431&gt;=TODAY(),"Looking for friendly players to join the following game: " &amp; CHAR(10) &amp; CHAR(10) &amp; "Date: " &amp; TEXT('Profit &amp; Loss'!A431,"dd mmm yyy") &amp; ", " &amp; 'Profit &amp; Loss'!B431 &amp; CHAR(10) &amp; "Time: " &amp; TEXT('Profit &amp; Loss'!C431, "hh:mm AM/PM") &amp; " - " &amp; TEXT('Profit &amp; Loss'!D431, "hh:mm AM/PM") &amp; CHAR(10) &amp; "Venue: " &amp; 'Profit &amp; Loss'!E431 &amp; CHAR(10) &amp; "Level: HB - LI" &amp; CHAR(10) &amp; "Cost: $" &amp; 'Profit &amp; Loss'!O431 &amp; " per pax" &amp; CHAR(10) &amp; "Max " &amp; 'Profit &amp; Loss'!I431*6 &amp; " pax," &amp; " (" &amp; 'Profit &amp; Loss'!I431 &amp; " courts)" &amp; CHAR(10) &amp; CHAR(10) &amp; "RSL Ultimate shuttles provided" &amp; CHAR(10) &amp; CHAR(10) &amp; "PM if interested, thank you!"," ")</f>
        <v xml:space="preserve"> </v>
      </c>
      <c r="B428" s="2" t="str">
        <f ca="1">IF('Profit &amp; Loss'!A431&gt;=TODAY(), "Date: " &amp; TEXT('Profit &amp; Loss'!A431,"dd mmm yyy") &amp; ", " &amp; 'Profit &amp; Loss'!B431 &amp; CHAR(10) &amp; "Time: " &amp; TEXT('Profit &amp; Loss'!C431, "hh:mm AM/PM") &amp; " - " &amp; TEXT('Profit &amp; Loss'!D431, "hh:mm AM/PM") &amp; CHAR(10) &amp; "Venue: " &amp; 'Profit &amp; Loss'!E431 &amp; CHAR(10) &amp; "Court No.: " &amp; 'Profit &amp; Loss'!F431 &amp; CHAR(10) &amp; "Level: HB - LI" &amp; CHAR(10) &amp; "Please transfer $" &amp; 'Profit &amp; Loss'!O431 &amp; " per pax to Belle (83396501)" &amp; CHAR(10) &amp; CHAR(10) &amp; IF('Profit &amp; Loss'!I431=1, "1." &amp; CHAR(10) &amp; "2." &amp; CHAR(10) &amp; "3." &amp; CHAR(10) &amp; "4." &amp; CHAR(10) &amp; "5." &amp; CHAR(10) &amp; "6." &amp; CHAR(10), IF('Profit &amp; Loss'!I431=2,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29" spans="1:2" ht="12.5" x14ac:dyDescent="0.25">
      <c r="A429" s="2" t="str">
        <f ca="1">IF('Profit &amp; Loss'!A432&gt;=TODAY(),"Looking for friendly players to join the following game: " &amp; CHAR(10) &amp; CHAR(10) &amp; "Date: " &amp; TEXT('Profit &amp; Loss'!A432,"dd mmm yyy") &amp; ", " &amp; 'Profit &amp; Loss'!B432 &amp; CHAR(10) &amp; "Time: " &amp; TEXT('Profit &amp; Loss'!C432, "hh:mm AM/PM") &amp; " - " &amp; TEXT('Profit &amp; Loss'!D432, "hh:mm AM/PM") &amp; CHAR(10) &amp; "Venue: " &amp; 'Profit &amp; Loss'!E432 &amp; CHAR(10) &amp; "Level: HB - LI" &amp; CHAR(10) &amp; "Cost: $" &amp; 'Profit &amp; Loss'!O432 &amp; " per pax" &amp; CHAR(10) &amp; "Max " &amp; 'Profit &amp; Loss'!I432*6 &amp; " pax," &amp; " (" &amp; 'Profit &amp; Loss'!I432 &amp; " courts)" &amp; CHAR(10) &amp; CHAR(10) &amp; "RSL Ultimate shuttles provided" &amp; CHAR(10) &amp; CHAR(10) &amp; "PM if interested, thank you!"," ")</f>
        <v xml:space="preserve"> </v>
      </c>
      <c r="B429" s="2" t="str">
        <f ca="1">IF('Profit &amp; Loss'!A432&gt;=TODAY(), "Date: " &amp; TEXT('Profit &amp; Loss'!A432,"dd mmm yyy") &amp; ", " &amp; 'Profit &amp; Loss'!B432 &amp; CHAR(10) &amp; "Time: " &amp; TEXT('Profit &amp; Loss'!C432, "hh:mm AM/PM") &amp; " - " &amp; TEXT('Profit &amp; Loss'!D432, "hh:mm AM/PM") &amp; CHAR(10) &amp; "Venue: " &amp; 'Profit &amp; Loss'!E432 &amp; CHAR(10) &amp; "Court No.: " &amp; 'Profit &amp; Loss'!F432 &amp; CHAR(10) &amp; "Level: HB - LI" &amp; CHAR(10) &amp; "Please transfer $" &amp; 'Profit &amp; Loss'!O432 &amp; " per pax to Belle (83396501)" &amp; CHAR(10) &amp; CHAR(10) &amp; IF('Profit &amp; Loss'!I432=1, "1." &amp; CHAR(10) &amp; "2." &amp; CHAR(10) &amp; "3." &amp; CHAR(10) &amp; "4." &amp; CHAR(10) &amp; "5." &amp; CHAR(10) &amp; "6." &amp; CHAR(10), IF('Profit &amp; Loss'!I432=2,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0" spans="1:2" ht="12.5" x14ac:dyDescent="0.25">
      <c r="A430" s="2" t="str">
        <f ca="1">IF('Profit &amp; Loss'!A433&gt;=TODAY(),"Looking for friendly players to join the following game: " &amp; CHAR(10) &amp; CHAR(10) &amp; "Date: " &amp; TEXT('Profit &amp; Loss'!A433,"dd mmm yyy") &amp; ", " &amp; 'Profit &amp; Loss'!B433 &amp; CHAR(10) &amp; "Time: " &amp; TEXT('Profit &amp; Loss'!C433, "hh:mm AM/PM") &amp; " - " &amp; TEXT('Profit &amp; Loss'!D433, "hh:mm AM/PM") &amp; CHAR(10) &amp; "Venue: " &amp; 'Profit &amp; Loss'!E433 &amp; CHAR(10) &amp; "Level: HB - LI" &amp; CHAR(10) &amp; "Cost: $" &amp; 'Profit &amp; Loss'!O433 &amp; " per pax" &amp; CHAR(10) &amp; "Max " &amp; 'Profit &amp; Loss'!I433*6 &amp; " pax," &amp; " (" &amp; 'Profit &amp; Loss'!I433 &amp; " courts)" &amp; CHAR(10) &amp; CHAR(10) &amp; "RSL Ultimate shuttles provided" &amp; CHAR(10) &amp; CHAR(10) &amp; "PM if interested, thank you!"," ")</f>
        <v xml:space="preserve"> </v>
      </c>
      <c r="B430" s="2" t="str">
        <f ca="1">IF('Profit &amp; Loss'!A433&gt;=TODAY(), "Date: " &amp; TEXT('Profit &amp; Loss'!A433,"dd mmm yyy") &amp; ", " &amp; 'Profit &amp; Loss'!B433 &amp; CHAR(10) &amp; "Time: " &amp; TEXT('Profit &amp; Loss'!C433, "hh:mm AM/PM") &amp; " - " &amp; TEXT('Profit &amp; Loss'!D433, "hh:mm AM/PM") &amp; CHAR(10) &amp; "Venue: " &amp; 'Profit &amp; Loss'!E433 &amp; CHAR(10) &amp; "Court No.: " &amp; 'Profit &amp; Loss'!F433 &amp; CHAR(10) &amp; "Level: HB - LI" &amp; CHAR(10) &amp; "Please transfer $" &amp; 'Profit &amp; Loss'!O433 &amp; " per pax to Belle (83396501)" &amp; CHAR(10) &amp; CHAR(10) &amp; IF('Profit &amp; Loss'!I433=1, "1." &amp; CHAR(10) &amp; "2." &amp; CHAR(10) &amp; "3." &amp; CHAR(10) &amp; "4." &amp; CHAR(10) &amp; "5." &amp; CHAR(10) &amp; "6." &amp; CHAR(10), IF('Profit &amp; Loss'!I433=2,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1" spans="1:2" ht="12.5" x14ac:dyDescent="0.25">
      <c r="A431" s="2" t="str">
        <f ca="1">IF('Profit &amp; Loss'!A434&gt;=TODAY(),"Looking for friendly players to join the following game: " &amp; CHAR(10) &amp; CHAR(10) &amp; "Date: " &amp; TEXT('Profit &amp; Loss'!A434,"dd mmm yyy") &amp; ", " &amp; 'Profit &amp; Loss'!B434 &amp; CHAR(10) &amp; "Time: " &amp; TEXT('Profit &amp; Loss'!C434, "hh:mm AM/PM") &amp; " - " &amp; TEXT('Profit &amp; Loss'!D434, "hh:mm AM/PM") &amp; CHAR(10) &amp; "Venue: " &amp; 'Profit &amp; Loss'!E434 &amp; CHAR(10) &amp; "Level: HB - LI" &amp; CHAR(10) &amp; "Cost: $" &amp; 'Profit &amp; Loss'!O434 &amp; " per pax" &amp; CHAR(10) &amp; "Max " &amp; 'Profit &amp; Loss'!I434*6 &amp; " pax," &amp; " (" &amp; 'Profit &amp; Loss'!I434 &amp; " courts)" &amp; CHAR(10) &amp; CHAR(10) &amp; "RSL Ultimate shuttles provided" &amp; CHAR(10) &amp; CHAR(10) &amp; "PM if interested, thank you!"," ")</f>
        <v xml:space="preserve"> </v>
      </c>
      <c r="B431" s="2" t="str">
        <f ca="1">IF('Profit &amp; Loss'!A434&gt;=TODAY(), "Date: " &amp; TEXT('Profit &amp; Loss'!A434,"dd mmm yyy") &amp; ", " &amp; 'Profit &amp; Loss'!B434 &amp; CHAR(10) &amp; "Time: " &amp; TEXT('Profit &amp; Loss'!C434, "hh:mm AM/PM") &amp; " - " &amp; TEXT('Profit &amp; Loss'!D434, "hh:mm AM/PM") &amp; CHAR(10) &amp; "Venue: " &amp; 'Profit &amp; Loss'!E434 &amp; CHAR(10) &amp; "Court No.: " &amp; 'Profit &amp; Loss'!F434 &amp; CHAR(10) &amp; "Level: HB - LI" &amp; CHAR(10) &amp; "Please transfer $" &amp; 'Profit &amp; Loss'!O434 &amp; " per pax to Belle (83396501)" &amp; CHAR(10) &amp; CHAR(10) &amp; IF('Profit &amp; Loss'!I434=1, "1." &amp; CHAR(10) &amp; "2." &amp; CHAR(10) &amp; "3." &amp; CHAR(10) &amp; "4." &amp; CHAR(10) &amp; "5." &amp; CHAR(10) &amp; "6." &amp; CHAR(10), IF('Profit &amp; Loss'!I434=2,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2" spans="1:2" ht="12.5" x14ac:dyDescent="0.25">
      <c r="A432" s="2" t="str">
        <f ca="1">IF('Profit &amp; Loss'!A435&gt;=TODAY(),"Looking for friendly players to join the following game: " &amp; CHAR(10) &amp; CHAR(10) &amp; "Date: " &amp; TEXT('Profit &amp; Loss'!A435,"dd mmm yyy") &amp; ", " &amp; 'Profit &amp; Loss'!B435 &amp; CHAR(10) &amp; "Time: " &amp; TEXT('Profit &amp; Loss'!C435, "hh:mm AM/PM") &amp; " - " &amp; TEXT('Profit &amp; Loss'!D435, "hh:mm AM/PM") &amp; CHAR(10) &amp; "Venue: " &amp; 'Profit &amp; Loss'!E435 &amp; CHAR(10) &amp; "Level: HB - LI" &amp; CHAR(10) &amp; "Cost: $" &amp; 'Profit &amp; Loss'!O435 &amp; " per pax" &amp; CHAR(10) &amp; "Max " &amp; 'Profit &amp; Loss'!I435*6 &amp; " pax," &amp; " (" &amp; 'Profit &amp; Loss'!I435 &amp; " courts)" &amp; CHAR(10) &amp; CHAR(10) &amp; "RSL Ultimate shuttles provided" &amp; CHAR(10) &amp; CHAR(10) &amp; "PM if interested, thank you!"," ")</f>
        <v xml:space="preserve"> </v>
      </c>
      <c r="B432" s="2" t="str">
        <f ca="1">IF('Profit &amp; Loss'!A435&gt;=TODAY(), "Date: " &amp; TEXT('Profit &amp; Loss'!A435,"dd mmm yyy") &amp; ", " &amp; 'Profit &amp; Loss'!B435 &amp; CHAR(10) &amp; "Time: " &amp; TEXT('Profit &amp; Loss'!C435, "hh:mm AM/PM") &amp; " - " &amp; TEXT('Profit &amp; Loss'!D435, "hh:mm AM/PM") &amp; CHAR(10) &amp; "Venue: " &amp; 'Profit &amp; Loss'!E435 &amp; CHAR(10) &amp; "Court No.: " &amp; 'Profit &amp; Loss'!F435 &amp; CHAR(10) &amp; "Level: HB - LI" &amp; CHAR(10) &amp; "Please transfer $" &amp; 'Profit &amp; Loss'!O435 &amp; " per pax to Belle (83396501)" &amp; CHAR(10) &amp; CHAR(10) &amp; IF('Profit &amp; Loss'!I435=1, "1." &amp; CHAR(10) &amp; "2." &amp; CHAR(10) &amp; "3." &amp; CHAR(10) &amp; "4." &amp; CHAR(10) &amp; "5." &amp; CHAR(10) &amp; "6." &amp; CHAR(10), IF('Profit &amp; Loss'!I435=2,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3" spans="1:2" ht="12.5" x14ac:dyDescent="0.25">
      <c r="A433" s="2" t="str">
        <f ca="1">IF('Profit &amp; Loss'!A436&gt;=TODAY(),"Looking for friendly players to join the following game: " &amp; CHAR(10) &amp; CHAR(10) &amp; "Date: " &amp; TEXT('Profit &amp; Loss'!A436,"dd mmm yyy") &amp; ", " &amp; 'Profit &amp; Loss'!B436 &amp; CHAR(10) &amp; "Time: " &amp; TEXT('Profit &amp; Loss'!C436, "hh:mm AM/PM") &amp; " - " &amp; TEXT('Profit &amp; Loss'!D436, "hh:mm AM/PM") &amp; CHAR(10) &amp; "Venue: " &amp; 'Profit &amp; Loss'!E436 &amp; CHAR(10) &amp; "Level: HB - LI" &amp; CHAR(10) &amp; "Cost: $" &amp; 'Profit &amp; Loss'!O436 &amp; " per pax" &amp; CHAR(10) &amp; "Max " &amp; 'Profit &amp; Loss'!I436*6 &amp; " pax," &amp; " (" &amp; 'Profit &amp; Loss'!I436 &amp; " courts)" &amp; CHAR(10) &amp; CHAR(10) &amp; "RSL Ultimate shuttles provided" &amp; CHAR(10) &amp; CHAR(10) &amp; "PM if interested, thank you!"," ")</f>
        <v xml:space="preserve"> </v>
      </c>
      <c r="B433" s="2" t="str">
        <f ca="1">IF('Profit &amp; Loss'!A436&gt;=TODAY(), "Date: " &amp; TEXT('Profit &amp; Loss'!A436,"dd mmm yyy") &amp; ", " &amp; 'Profit &amp; Loss'!B436 &amp; CHAR(10) &amp; "Time: " &amp; TEXT('Profit &amp; Loss'!C436, "hh:mm AM/PM") &amp; " - " &amp; TEXT('Profit &amp; Loss'!D436, "hh:mm AM/PM") &amp; CHAR(10) &amp; "Venue: " &amp; 'Profit &amp; Loss'!E436 &amp; CHAR(10) &amp; "Court No.: " &amp; 'Profit &amp; Loss'!F436 &amp; CHAR(10) &amp; "Level: HB - LI" &amp; CHAR(10) &amp; "Please transfer $" &amp; 'Profit &amp; Loss'!O436 &amp; " per pax to Belle (83396501)" &amp; CHAR(10) &amp; CHAR(10) &amp; IF('Profit &amp; Loss'!I436=1, "1." &amp; CHAR(10) &amp; "2." &amp; CHAR(10) &amp; "3." &amp; CHAR(10) &amp; "4." &amp; CHAR(10) &amp; "5." &amp; CHAR(10) &amp; "6." &amp; CHAR(10), IF('Profit &amp; Loss'!I436=2,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4" spans="1:2" ht="12.5" x14ac:dyDescent="0.25">
      <c r="A434" s="2" t="str">
        <f ca="1">IF('Profit &amp; Loss'!A437&gt;=TODAY(),"Looking for friendly players to join the following game: " &amp; CHAR(10) &amp; CHAR(10) &amp; "Date: " &amp; TEXT('Profit &amp; Loss'!A437,"dd mmm yyy") &amp; ", " &amp; 'Profit &amp; Loss'!B437 &amp; CHAR(10) &amp; "Time: " &amp; TEXT('Profit &amp; Loss'!C437, "hh:mm AM/PM") &amp; " - " &amp; TEXT('Profit &amp; Loss'!D437, "hh:mm AM/PM") &amp; CHAR(10) &amp; "Venue: " &amp; 'Profit &amp; Loss'!E437 &amp; CHAR(10) &amp; "Level: HB - LI" &amp; CHAR(10) &amp; "Cost: $" &amp; 'Profit &amp; Loss'!O437 &amp; " per pax" &amp; CHAR(10) &amp; "Max " &amp; 'Profit &amp; Loss'!I437*6 &amp; " pax," &amp; " (" &amp; 'Profit &amp; Loss'!I437 &amp; " courts)" &amp; CHAR(10) &amp; CHAR(10) &amp; "RSL Ultimate shuttles provided" &amp; CHAR(10) &amp; CHAR(10) &amp; "PM if interested, thank you!"," ")</f>
        <v xml:space="preserve"> </v>
      </c>
      <c r="B434" s="2" t="str">
        <f ca="1">IF('Profit &amp; Loss'!A437&gt;=TODAY(), "Date: " &amp; TEXT('Profit &amp; Loss'!A437,"dd mmm yyy") &amp; ", " &amp; 'Profit &amp; Loss'!B437 &amp; CHAR(10) &amp; "Time: " &amp; TEXT('Profit &amp; Loss'!C437, "hh:mm AM/PM") &amp; " - " &amp; TEXT('Profit &amp; Loss'!D437, "hh:mm AM/PM") &amp; CHAR(10) &amp; "Venue: " &amp; 'Profit &amp; Loss'!E437 &amp; CHAR(10) &amp; "Court No.: " &amp; 'Profit &amp; Loss'!F437 &amp; CHAR(10) &amp; "Level: HB - LI" &amp; CHAR(10) &amp; "Please transfer $" &amp; 'Profit &amp; Loss'!O437 &amp; " per pax to Belle (83396501)" &amp; CHAR(10) &amp; CHAR(10) &amp; IF('Profit &amp; Loss'!I437=1, "1." &amp; CHAR(10) &amp; "2." &amp; CHAR(10) &amp; "3." &amp; CHAR(10) &amp; "4." &amp; CHAR(10) &amp; "5." &amp; CHAR(10) &amp; "6." &amp; CHAR(10), IF('Profit &amp; Loss'!I437=2,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5" spans="1:2" ht="12.5" x14ac:dyDescent="0.25">
      <c r="A435" s="2" t="str">
        <f ca="1">IF('Profit &amp; Loss'!A438&gt;=TODAY(),"Looking for friendly players to join the following game: " &amp; CHAR(10) &amp; CHAR(10) &amp; "Date: " &amp; TEXT('Profit &amp; Loss'!A438,"dd mmm yyy") &amp; ", " &amp; 'Profit &amp; Loss'!B438 &amp; CHAR(10) &amp; "Time: " &amp; TEXT('Profit &amp; Loss'!C438, "hh:mm AM/PM") &amp; " - " &amp; TEXT('Profit &amp; Loss'!D438, "hh:mm AM/PM") &amp; CHAR(10) &amp; "Venue: " &amp; 'Profit &amp; Loss'!E438 &amp; CHAR(10) &amp; "Level: HB - LI" &amp; CHAR(10) &amp; "Cost: $" &amp; 'Profit &amp; Loss'!O438 &amp; " per pax" &amp; CHAR(10) &amp; "Max " &amp; 'Profit &amp; Loss'!I438*6 &amp; " pax," &amp; " (" &amp; 'Profit &amp; Loss'!I438 &amp; " courts)" &amp; CHAR(10) &amp; CHAR(10) &amp; "RSL Ultimate shuttles provided" &amp; CHAR(10) &amp; CHAR(10) &amp; "PM if interested, thank you!"," ")</f>
        <v xml:space="preserve"> </v>
      </c>
      <c r="B435" s="2" t="str">
        <f ca="1">IF('Profit &amp; Loss'!A438&gt;=TODAY(), "Date: " &amp; TEXT('Profit &amp; Loss'!A438,"dd mmm yyy") &amp; ", " &amp; 'Profit &amp; Loss'!B438 &amp; CHAR(10) &amp; "Time: " &amp; TEXT('Profit &amp; Loss'!C438, "hh:mm AM/PM") &amp; " - " &amp; TEXT('Profit &amp; Loss'!D438, "hh:mm AM/PM") &amp; CHAR(10) &amp; "Venue: " &amp; 'Profit &amp; Loss'!E438 &amp; CHAR(10) &amp; "Court No.: " &amp; 'Profit &amp; Loss'!F438 &amp; CHAR(10) &amp; "Level: HB - LI" &amp; CHAR(10) &amp; "Please transfer $" &amp; 'Profit &amp; Loss'!O438 &amp; " per pax to Belle (83396501)" &amp; CHAR(10) &amp; CHAR(10) &amp; IF('Profit &amp; Loss'!I438=1, "1." &amp; CHAR(10) &amp; "2." &amp; CHAR(10) &amp; "3." &amp; CHAR(10) &amp; "4." &amp; CHAR(10) &amp; "5." &amp; CHAR(10) &amp; "6." &amp; CHAR(10), IF('Profit &amp; Loss'!I438=2,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6" spans="1:2" ht="12.5" x14ac:dyDescent="0.25">
      <c r="A436" s="2" t="str">
        <f ca="1">IF('Profit &amp; Loss'!A439&gt;=TODAY(),"Looking for friendly players to join the following game: " &amp; CHAR(10) &amp; CHAR(10) &amp; "Date: " &amp; TEXT('Profit &amp; Loss'!A439,"dd mmm yyy") &amp; ", " &amp; 'Profit &amp; Loss'!B439 &amp; CHAR(10) &amp; "Time: " &amp; TEXT('Profit &amp; Loss'!C439, "hh:mm AM/PM") &amp; " - " &amp; TEXT('Profit &amp; Loss'!D439, "hh:mm AM/PM") &amp; CHAR(10) &amp; "Venue: " &amp; 'Profit &amp; Loss'!E439 &amp; CHAR(10) &amp; "Level: HB - LI" &amp; CHAR(10) &amp; "Cost: $" &amp; 'Profit &amp; Loss'!O439 &amp; " per pax" &amp; CHAR(10) &amp; "Max " &amp; 'Profit &amp; Loss'!I439*6 &amp; " pax," &amp; " (" &amp; 'Profit &amp; Loss'!I439 &amp; " courts)" &amp; CHAR(10) &amp; CHAR(10) &amp; "RSL Ultimate shuttles provided" &amp; CHAR(10) &amp; CHAR(10) &amp; "PM if interested, thank you!"," ")</f>
        <v xml:space="preserve"> </v>
      </c>
      <c r="B436" s="2" t="str">
        <f ca="1">IF('Profit &amp; Loss'!A439&gt;=TODAY(), "Date: " &amp; TEXT('Profit &amp; Loss'!A439,"dd mmm yyy") &amp; ", " &amp; 'Profit &amp; Loss'!B439 &amp; CHAR(10) &amp; "Time: " &amp; TEXT('Profit &amp; Loss'!C439, "hh:mm AM/PM") &amp; " - " &amp; TEXT('Profit &amp; Loss'!D439, "hh:mm AM/PM") &amp; CHAR(10) &amp; "Venue: " &amp; 'Profit &amp; Loss'!E439 &amp; CHAR(10) &amp; "Court No.: " &amp; 'Profit &amp; Loss'!F439 &amp; CHAR(10) &amp; "Level: HB - LI" &amp; CHAR(10) &amp; "Please transfer $" &amp; 'Profit &amp; Loss'!O439 &amp; " per pax to Belle (83396501)" &amp; CHAR(10) &amp; CHAR(10) &amp; IF('Profit &amp; Loss'!I439=1, "1." &amp; CHAR(10) &amp; "2." &amp; CHAR(10) &amp; "3." &amp; CHAR(10) &amp; "4." &amp; CHAR(10) &amp; "5." &amp; CHAR(10) &amp; "6." &amp; CHAR(10), IF('Profit &amp; Loss'!I439=2,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7" spans="1:2" ht="12.5" x14ac:dyDescent="0.25">
      <c r="A437" s="2" t="str">
        <f ca="1">IF('Profit &amp; Loss'!A440&gt;=TODAY(),"Looking for friendly players to join the following game: " &amp; CHAR(10) &amp; CHAR(10) &amp; "Date: " &amp; TEXT('Profit &amp; Loss'!A440,"dd mmm yyy") &amp; ", " &amp; 'Profit &amp; Loss'!B440 &amp; CHAR(10) &amp; "Time: " &amp; TEXT('Profit &amp; Loss'!C440, "hh:mm AM/PM") &amp; " - " &amp; TEXT('Profit &amp; Loss'!D440, "hh:mm AM/PM") &amp; CHAR(10) &amp; "Venue: " &amp; 'Profit &amp; Loss'!E440 &amp; CHAR(10) &amp; "Level: HB - LI" &amp; CHAR(10) &amp; "Cost: $" &amp; 'Profit &amp; Loss'!O440 &amp; " per pax" &amp; CHAR(10) &amp; "Max " &amp; 'Profit &amp; Loss'!I440*6 &amp; " pax," &amp; " (" &amp; 'Profit &amp; Loss'!I440 &amp; " courts)" &amp; CHAR(10) &amp; CHAR(10) &amp; "RSL Ultimate shuttles provided" &amp; CHAR(10) &amp; CHAR(10) &amp; "PM if interested, thank you!"," ")</f>
        <v xml:space="preserve"> </v>
      </c>
      <c r="B437" s="2" t="str">
        <f ca="1">IF('Profit &amp; Loss'!A440&gt;=TODAY(), "Date: " &amp; TEXT('Profit &amp; Loss'!A440,"dd mmm yyy") &amp; ", " &amp; 'Profit &amp; Loss'!B440 &amp; CHAR(10) &amp; "Time: " &amp; TEXT('Profit &amp; Loss'!C440, "hh:mm AM/PM") &amp; " - " &amp; TEXT('Profit &amp; Loss'!D440, "hh:mm AM/PM") &amp; CHAR(10) &amp; "Venue: " &amp; 'Profit &amp; Loss'!E440 &amp; CHAR(10) &amp; "Court No.: " &amp; 'Profit &amp; Loss'!F440 &amp; CHAR(10) &amp; "Level: HB - LI" &amp; CHAR(10) &amp; "Please transfer $" &amp; 'Profit &amp; Loss'!O440 &amp; " per pax to Belle (83396501)" &amp; CHAR(10) &amp; CHAR(10) &amp; IF('Profit &amp; Loss'!I440=1, "1." &amp; CHAR(10) &amp; "2." &amp; CHAR(10) &amp; "3." &amp; CHAR(10) &amp; "4." &amp; CHAR(10) &amp; "5." &amp; CHAR(10) &amp; "6." &amp; CHAR(10), IF('Profit &amp; Loss'!I440=2,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8" spans="1:2" ht="12.5" x14ac:dyDescent="0.25">
      <c r="A438" s="2" t="str">
        <f ca="1">IF('Profit &amp; Loss'!A441&gt;=TODAY(),"Looking for friendly players to join the following game: " &amp; CHAR(10) &amp; CHAR(10) &amp; "Date: " &amp; TEXT('Profit &amp; Loss'!A441,"dd mmm yyy") &amp; ", " &amp; 'Profit &amp; Loss'!B441 &amp; CHAR(10) &amp; "Time: " &amp; TEXT('Profit &amp; Loss'!C441, "hh:mm AM/PM") &amp; " - " &amp; TEXT('Profit &amp; Loss'!D441, "hh:mm AM/PM") &amp; CHAR(10) &amp; "Venue: " &amp; 'Profit &amp; Loss'!E441 &amp; CHAR(10) &amp; "Level: HB - LI" &amp; CHAR(10) &amp; "Cost: $" &amp; 'Profit &amp; Loss'!O441 &amp; " per pax" &amp; CHAR(10) &amp; "Max " &amp; 'Profit &amp; Loss'!I441*6 &amp; " pax," &amp; " (" &amp; 'Profit &amp; Loss'!I441 &amp; " courts)" &amp; CHAR(10) &amp; CHAR(10) &amp; "RSL Ultimate shuttles provided" &amp; CHAR(10) &amp; CHAR(10) &amp; "PM if interested, thank you!"," ")</f>
        <v xml:space="preserve"> </v>
      </c>
      <c r="B438" s="2" t="str">
        <f ca="1">IF('Profit &amp; Loss'!A441&gt;=TODAY(), "Date: " &amp; TEXT('Profit &amp; Loss'!A441,"dd mmm yyy") &amp; ", " &amp; 'Profit &amp; Loss'!B441 &amp; CHAR(10) &amp; "Time: " &amp; TEXT('Profit &amp; Loss'!C441, "hh:mm AM/PM") &amp; " - " &amp; TEXT('Profit &amp; Loss'!D441, "hh:mm AM/PM") &amp; CHAR(10) &amp; "Venue: " &amp; 'Profit &amp; Loss'!E441 &amp; CHAR(10) &amp; "Court No.: " &amp; 'Profit &amp; Loss'!F441 &amp; CHAR(10) &amp; "Level: HB - LI" &amp; CHAR(10) &amp; "Please transfer $" &amp; 'Profit &amp; Loss'!O441 &amp; " per pax to Belle (83396501)" &amp; CHAR(10) &amp; CHAR(10) &amp; IF('Profit &amp; Loss'!I441=1, "1." &amp; CHAR(10) &amp; "2." &amp; CHAR(10) &amp; "3." &amp; CHAR(10) &amp; "4." &amp; CHAR(10) &amp; "5." &amp; CHAR(10) &amp; "6." &amp; CHAR(10), IF('Profit &amp; Loss'!I441=2,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39" spans="1:2" ht="12.5" x14ac:dyDescent="0.25">
      <c r="A439" s="2" t="str">
        <f ca="1">IF('Profit &amp; Loss'!A442&gt;=TODAY(),"Looking for friendly players to join the following game: " &amp; CHAR(10) &amp; CHAR(10) &amp; "Date: " &amp; TEXT('Profit &amp; Loss'!A442,"dd mmm yyy") &amp; ", " &amp; 'Profit &amp; Loss'!B442 &amp; CHAR(10) &amp; "Time: " &amp; TEXT('Profit &amp; Loss'!C442, "hh:mm AM/PM") &amp; " - " &amp; TEXT('Profit &amp; Loss'!D442, "hh:mm AM/PM") &amp; CHAR(10) &amp; "Venue: " &amp; 'Profit &amp; Loss'!E442 &amp; CHAR(10) &amp; "Level: HB - LI" &amp; CHAR(10) &amp; "Cost: $" &amp; 'Profit &amp; Loss'!O442 &amp; " per pax" &amp; CHAR(10) &amp; "Max " &amp; 'Profit &amp; Loss'!I442*6 &amp; " pax," &amp; " (" &amp; 'Profit &amp; Loss'!I442 &amp; " courts)" &amp; CHAR(10) &amp; CHAR(10) &amp; "RSL Ultimate shuttles provided" &amp; CHAR(10) &amp; CHAR(10) &amp; "PM if interested, thank you!"," ")</f>
        <v xml:space="preserve"> </v>
      </c>
      <c r="B439" s="2" t="str">
        <f ca="1">IF('Profit &amp; Loss'!A442&gt;=TODAY(), "Date: " &amp; TEXT('Profit &amp; Loss'!A442,"dd mmm yyy") &amp; ", " &amp; 'Profit &amp; Loss'!B442 &amp; CHAR(10) &amp; "Time: " &amp; TEXT('Profit &amp; Loss'!C442, "hh:mm AM/PM") &amp; " - " &amp; TEXT('Profit &amp; Loss'!D442, "hh:mm AM/PM") &amp; CHAR(10) &amp; "Venue: " &amp; 'Profit &amp; Loss'!E442 &amp; CHAR(10) &amp; "Court No.: " &amp; 'Profit &amp; Loss'!F442 &amp; CHAR(10) &amp; "Level: HB - LI" &amp; CHAR(10) &amp; "Please transfer $" &amp; 'Profit &amp; Loss'!O442 &amp; " per pax to Belle (83396501)" &amp; CHAR(10) &amp; CHAR(10) &amp; IF('Profit &amp; Loss'!I442=1, "1." &amp; CHAR(10) &amp; "2." &amp; CHAR(10) &amp; "3." &amp; CHAR(10) &amp; "4." &amp; CHAR(10) &amp; "5." &amp; CHAR(10) &amp; "6." &amp; CHAR(10), IF('Profit &amp; Loss'!I442=2,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0" spans="1:2" ht="12.5" x14ac:dyDescent="0.25">
      <c r="A440" s="2" t="str">
        <f ca="1">IF('Profit &amp; Loss'!A443&gt;=TODAY(),"Looking for friendly players to join the following game: " &amp; CHAR(10) &amp; CHAR(10) &amp; "Date: " &amp; TEXT('Profit &amp; Loss'!A443,"dd mmm yyy") &amp; ", " &amp; 'Profit &amp; Loss'!B443 &amp; CHAR(10) &amp; "Time: " &amp; TEXT('Profit &amp; Loss'!C443, "hh:mm AM/PM") &amp; " - " &amp; TEXT('Profit &amp; Loss'!D443, "hh:mm AM/PM") &amp; CHAR(10) &amp; "Venue: " &amp; 'Profit &amp; Loss'!E443 &amp; CHAR(10) &amp; "Level: HB - LI" &amp; CHAR(10) &amp; "Cost: $" &amp; 'Profit &amp; Loss'!O443 &amp; " per pax" &amp; CHAR(10) &amp; "Max " &amp; 'Profit &amp; Loss'!I443*6 &amp; " pax," &amp; " (" &amp; 'Profit &amp; Loss'!I443 &amp; " courts)" &amp; CHAR(10) &amp; CHAR(10) &amp; "RSL Ultimate shuttles provided" &amp; CHAR(10) &amp; CHAR(10) &amp; "PM if interested, thank you!"," ")</f>
        <v xml:space="preserve"> </v>
      </c>
      <c r="B440" s="2" t="str">
        <f ca="1">IF('Profit &amp; Loss'!A443&gt;=TODAY(), "Date: " &amp; TEXT('Profit &amp; Loss'!A443,"dd mmm yyy") &amp; ", " &amp; 'Profit &amp; Loss'!B443 &amp; CHAR(10) &amp; "Time: " &amp; TEXT('Profit &amp; Loss'!C443, "hh:mm AM/PM") &amp; " - " &amp; TEXT('Profit &amp; Loss'!D443, "hh:mm AM/PM") &amp; CHAR(10) &amp; "Venue: " &amp; 'Profit &amp; Loss'!E443 &amp; CHAR(10) &amp; "Court No.: " &amp; 'Profit &amp; Loss'!F443 &amp; CHAR(10) &amp; "Level: HB - LI" &amp; CHAR(10) &amp; "Please transfer $" &amp; 'Profit &amp; Loss'!O443 &amp; " per pax to Belle (83396501)" &amp; CHAR(10) &amp; CHAR(10) &amp; IF('Profit &amp; Loss'!I443=1, "1." &amp; CHAR(10) &amp; "2." &amp; CHAR(10) &amp; "3." &amp; CHAR(10) &amp; "4." &amp; CHAR(10) &amp; "5." &amp; CHAR(10) &amp; "6." &amp; CHAR(10), IF('Profit &amp; Loss'!I443=2,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1" spans="1:2" ht="12.5" x14ac:dyDescent="0.25">
      <c r="A441" s="2" t="str">
        <f ca="1">IF('Profit &amp; Loss'!A444&gt;=TODAY(),"Looking for friendly players to join the following game: " &amp; CHAR(10) &amp; CHAR(10) &amp; "Date: " &amp; TEXT('Profit &amp; Loss'!A444,"dd mmm yyy") &amp; ", " &amp; 'Profit &amp; Loss'!B444 &amp; CHAR(10) &amp; "Time: " &amp; TEXT('Profit &amp; Loss'!C444, "hh:mm AM/PM") &amp; " - " &amp; TEXT('Profit &amp; Loss'!D444, "hh:mm AM/PM") &amp; CHAR(10) &amp; "Venue: " &amp; 'Profit &amp; Loss'!E444 &amp; CHAR(10) &amp; "Level: HB - LI" &amp; CHAR(10) &amp; "Cost: $" &amp; 'Profit &amp; Loss'!O444 &amp; " per pax" &amp; CHAR(10) &amp; "Max " &amp; 'Profit &amp; Loss'!I444*6 &amp; " pax," &amp; " (" &amp; 'Profit &amp; Loss'!I444 &amp; " courts)" &amp; CHAR(10) &amp; CHAR(10) &amp; "RSL Ultimate shuttles provided" &amp; CHAR(10) &amp; CHAR(10) &amp; "PM if interested, thank you!"," ")</f>
        <v xml:space="preserve"> </v>
      </c>
      <c r="B441" s="2" t="str">
        <f ca="1">IF('Profit &amp; Loss'!A444&gt;=TODAY(), "Date: " &amp; TEXT('Profit &amp; Loss'!A444,"dd mmm yyy") &amp; ", " &amp; 'Profit &amp; Loss'!B444 &amp; CHAR(10) &amp; "Time: " &amp; TEXT('Profit &amp; Loss'!C444, "hh:mm AM/PM") &amp; " - " &amp; TEXT('Profit &amp; Loss'!D444, "hh:mm AM/PM") &amp; CHAR(10) &amp; "Venue: " &amp; 'Profit &amp; Loss'!E444 &amp; CHAR(10) &amp; "Court No.: " &amp; 'Profit &amp; Loss'!F444 &amp; CHAR(10) &amp; "Level: HB - LI" &amp; CHAR(10) &amp; "Please transfer $" &amp; 'Profit &amp; Loss'!O444 &amp; " per pax to Belle (83396501)" &amp; CHAR(10) &amp; CHAR(10) &amp; IF('Profit &amp; Loss'!I444=1, "1." &amp; CHAR(10) &amp; "2." &amp; CHAR(10) &amp; "3." &amp; CHAR(10) &amp; "4." &amp; CHAR(10) &amp; "5." &amp; CHAR(10) &amp; "6." &amp; CHAR(10), IF('Profit &amp; Loss'!I444=2,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2" spans="1:2" ht="12.5" x14ac:dyDescent="0.25">
      <c r="A442" s="2" t="str">
        <f ca="1">IF('Profit &amp; Loss'!A445&gt;=TODAY(),"Looking for friendly players to join the following game: " &amp; CHAR(10) &amp; CHAR(10) &amp; "Date: " &amp; TEXT('Profit &amp; Loss'!A445,"dd mmm yyy") &amp; ", " &amp; 'Profit &amp; Loss'!B445 &amp; CHAR(10) &amp; "Time: " &amp; TEXT('Profit &amp; Loss'!C445, "hh:mm AM/PM") &amp; " - " &amp; TEXT('Profit &amp; Loss'!D445, "hh:mm AM/PM") &amp; CHAR(10) &amp; "Venue: " &amp; 'Profit &amp; Loss'!E445 &amp; CHAR(10) &amp; "Level: HB - LI" &amp; CHAR(10) &amp; "Cost: $" &amp; 'Profit &amp; Loss'!O445 &amp; " per pax" &amp; CHAR(10) &amp; "Max " &amp; 'Profit &amp; Loss'!I445*6 &amp; " pax," &amp; " (" &amp; 'Profit &amp; Loss'!I445 &amp; " courts)" &amp; CHAR(10) &amp; CHAR(10) &amp; "RSL Ultimate shuttles provided" &amp; CHAR(10) &amp; CHAR(10) &amp; "PM if interested, thank you!"," ")</f>
        <v xml:space="preserve"> </v>
      </c>
      <c r="B442" s="2" t="str">
        <f ca="1">IF('Profit &amp; Loss'!A445&gt;=TODAY(), "Date: " &amp; TEXT('Profit &amp; Loss'!A445,"dd mmm yyy") &amp; ", " &amp; 'Profit &amp; Loss'!B445 &amp; CHAR(10) &amp; "Time: " &amp; TEXT('Profit &amp; Loss'!C445, "hh:mm AM/PM") &amp; " - " &amp; TEXT('Profit &amp; Loss'!D445, "hh:mm AM/PM") &amp; CHAR(10) &amp; "Venue: " &amp; 'Profit &amp; Loss'!E445 &amp; CHAR(10) &amp; "Court No.: " &amp; 'Profit &amp; Loss'!F445 &amp; CHAR(10) &amp; "Level: HB - LI" &amp; CHAR(10) &amp; "Please transfer $" &amp; 'Profit &amp; Loss'!O445 &amp; " per pax to Belle (83396501)" &amp; CHAR(10) &amp; CHAR(10) &amp; IF('Profit &amp; Loss'!I445=1, "1." &amp; CHAR(10) &amp; "2." &amp; CHAR(10) &amp; "3." &amp; CHAR(10) &amp; "4." &amp; CHAR(10) &amp; "5." &amp; CHAR(10) &amp; "6." &amp; CHAR(10), IF('Profit &amp; Loss'!I445=2,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3" spans="1:2" ht="12.5" x14ac:dyDescent="0.25">
      <c r="A443" s="2" t="str">
        <f ca="1">IF('Profit &amp; Loss'!A446&gt;=TODAY(),"Looking for friendly players to join the following game: " &amp; CHAR(10) &amp; CHAR(10) &amp; "Date: " &amp; TEXT('Profit &amp; Loss'!A446,"dd mmm yyy") &amp; ", " &amp; 'Profit &amp; Loss'!B446 &amp; CHAR(10) &amp; "Time: " &amp; TEXT('Profit &amp; Loss'!C446, "hh:mm AM/PM") &amp; " - " &amp; TEXT('Profit &amp; Loss'!D446, "hh:mm AM/PM") &amp; CHAR(10) &amp; "Venue: " &amp; 'Profit &amp; Loss'!E446 &amp; CHAR(10) &amp; "Level: HB - LI" &amp; CHAR(10) &amp; "Cost: $" &amp; 'Profit &amp; Loss'!O446 &amp; " per pax" &amp; CHAR(10) &amp; "Max " &amp; 'Profit &amp; Loss'!I446*6 &amp; " pax," &amp; " (" &amp; 'Profit &amp; Loss'!I446 &amp; " courts)" &amp; CHAR(10) &amp; CHAR(10) &amp; "RSL Ultimate shuttles provided" &amp; CHAR(10) &amp; CHAR(10) &amp; "PM if interested, thank you!"," ")</f>
        <v xml:space="preserve"> </v>
      </c>
      <c r="B443" s="2" t="str">
        <f ca="1">IF('Profit &amp; Loss'!A446&gt;=TODAY(), "Date: " &amp; TEXT('Profit &amp; Loss'!A446,"dd mmm yyy") &amp; ", " &amp; 'Profit &amp; Loss'!B446 &amp; CHAR(10) &amp; "Time: " &amp; TEXT('Profit &amp; Loss'!C446, "hh:mm AM/PM") &amp; " - " &amp; TEXT('Profit &amp; Loss'!D446, "hh:mm AM/PM") &amp; CHAR(10) &amp; "Venue: " &amp; 'Profit &amp; Loss'!E446 &amp; CHAR(10) &amp; "Court No.: " &amp; 'Profit &amp; Loss'!F446 &amp; CHAR(10) &amp; "Level: HB - LI" &amp; CHAR(10) &amp; "Please transfer $" &amp; 'Profit &amp; Loss'!O446 &amp; " per pax to Belle (83396501)" &amp; CHAR(10) &amp; CHAR(10) &amp; IF('Profit &amp; Loss'!I446=1, "1." &amp; CHAR(10) &amp; "2." &amp; CHAR(10) &amp; "3." &amp; CHAR(10) &amp; "4." &amp; CHAR(10) &amp; "5." &amp; CHAR(10) &amp; "6." &amp; CHAR(10), IF('Profit &amp; Loss'!I446=2,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4" spans="1:2" ht="12.5" x14ac:dyDescent="0.25">
      <c r="A444" s="2" t="str">
        <f ca="1">IF('Profit &amp; Loss'!A447&gt;=TODAY(),"Looking for friendly players to join the following game: " &amp; CHAR(10) &amp; CHAR(10) &amp; "Date: " &amp; TEXT('Profit &amp; Loss'!A447,"dd mmm yyy") &amp; ", " &amp; 'Profit &amp; Loss'!B447 &amp; CHAR(10) &amp; "Time: " &amp; TEXT('Profit &amp; Loss'!C447, "hh:mm AM/PM") &amp; " - " &amp; TEXT('Profit &amp; Loss'!D447, "hh:mm AM/PM") &amp; CHAR(10) &amp; "Venue: " &amp; 'Profit &amp; Loss'!E447 &amp; CHAR(10) &amp; "Level: HB - LI" &amp; CHAR(10) &amp; "Cost: $" &amp; 'Profit &amp; Loss'!O447 &amp; " per pax" &amp; CHAR(10) &amp; "Max " &amp; 'Profit &amp; Loss'!I447*6 &amp; " pax," &amp; " (" &amp; 'Profit &amp; Loss'!I447 &amp; " courts)" &amp; CHAR(10) &amp; CHAR(10) &amp; "RSL Ultimate shuttles provided" &amp; CHAR(10) &amp; CHAR(10) &amp; "PM if interested, thank you!"," ")</f>
        <v xml:space="preserve"> </v>
      </c>
      <c r="B444" s="2" t="str">
        <f ca="1">IF('Profit &amp; Loss'!A447&gt;=TODAY(), "Date: " &amp; TEXT('Profit &amp; Loss'!A447,"dd mmm yyy") &amp; ", " &amp; 'Profit &amp; Loss'!B447 &amp; CHAR(10) &amp; "Time: " &amp; TEXT('Profit &amp; Loss'!C447, "hh:mm AM/PM") &amp; " - " &amp; TEXT('Profit &amp; Loss'!D447, "hh:mm AM/PM") &amp; CHAR(10) &amp; "Venue: " &amp; 'Profit &amp; Loss'!E447 &amp; CHAR(10) &amp; "Court No.: " &amp; 'Profit &amp; Loss'!F447 &amp; CHAR(10) &amp; "Level: HB - LI" &amp; CHAR(10) &amp; "Please transfer $" &amp; 'Profit &amp; Loss'!O447 &amp; " per pax to Belle (83396501)" &amp; CHAR(10) &amp; CHAR(10) &amp; IF('Profit &amp; Loss'!I447=1, "1." &amp; CHAR(10) &amp; "2." &amp; CHAR(10) &amp; "3." &amp; CHAR(10) &amp; "4." &amp; CHAR(10) &amp; "5." &amp; CHAR(10) &amp; "6." &amp; CHAR(10), IF('Profit &amp; Loss'!I447=2,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5" spans="1:2" ht="12.5" x14ac:dyDescent="0.25">
      <c r="A445" s="2" t="str">
        <f ca="1">IF('Profit &amp; Loss'!A448&gt;=TODAY(),"Looking for friendly players to join the following game: " &amp; CHAR(10) &amp; CHAR(10) &amp; "Date: " &amp; TEXT('Profit &amp; Loss'!A448,"dd mmm yyy") &amp; ", " &amp; 'Profit &amp; Loss'!B448 &amp; CHAR(10) &amp; "Time: " &amp; TEXT('Profit &amp; Loss'!C448, "hh:mm AM/PM") &amp; " - " &amp; TEXT('Profit &amp; Loss'!D448, "hh:mm AM/PM") &amp; CHAR(10) &amp; "Venue: " &amp; 'Profit &amp; Loss'!E448 &amp; CHAR(10) &amp; "Level: HB - LI" &amp; CHAR(10) &amp; "Cost: $" &amp; 'Profit &amp; Loss'!O448 &amp; " per pax" &amp; CHAR(10) &amp; "Max " &amp; 'Profit &amp; Loss'!I448*6 &amp; " pax," &amp; " (" &amp; 'Profit &amp; Loss'!I448 &amp; " courts)" &amp; CHAR(10) &amp; CHAR(10) &amp; "RSL Ultimate shuttles provided" &amp; CHAR(10) &amp; CHAR(10) &amp; "PM if interested, thank you!"," ")</f>
        <v xml:space="preserve"> </v>
      </c>
      <c r="B445" s="2" t="str">
        <f ca="1">IF('Profit &amp; Loss'!A448&gt;=TODAY(), "Date: " &amp; TEXT('Profit &amp; Loss'!A448,"dd mmm yyy") &amp; ", " &amp; 'Profit &amp; Loss'!B448 &amp; CHAR(10) &amp; "Time: " &amp; TEXT('Profit &amp; Loss'!C448, "hh:mm AM/PM") &amp; " - " &amp; TEXT('Profit &amp; Loss'!D448, "hh:mm AM/PM") &amp; CHAR(10) &amp; "Venue: " &amp; 'Profit &amp; Loss'!E448 &amp; CHAR(10) &amp; "Court No.: " &amp; 'Profit &amp; Loss'!F448 &amp; CHAR(10) &amp; "Level: HB - LI" &amp; CHAR(10) &amp; "Please transfer $" &amp; 'Profit &amp; Loss'!O448 &amp; " per pax to Belle (83396501)" &amp; CHAR(10) &amp; CHAR(10) &amp; IF('Profit &amp; Loss'!I448=1, "1." &amp; CHAR(10) &amp; "2." &amp; CHAR(10) &amp; "3." &amp; CHAR(10) &amp; "4." &amp; CHAR(10) &amp; "5." &amp; CHAR(10) &amp; "6." &amp; CHAR(10), IF('Profit &amp; Loss'!I448=2,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6" spans="1:2" ht="12.5" x14ac:dyDescent="0.25">
      <c r="A446" s="2" t="str">
        <f ca="1">IF('Profit &amp; Loss'!A449&gt;=TODAY(),"Looking for friendly players to join the following game: " &amp; CHAR(10) &amp; CHAR(10) &amp; "Date: " &amp; TEXT('Profit &amp; Loss'!A449,"dd mmm yyy") &amp; ", " &amp; 'Profit &amp; Loss'!B449 &amp; CHAR(10) &amp; "Time: " &amp; TEXT('Profit &amp; Loss'!C449, "hh:mm AM/PM") &amp; " - " &amp; TEXT('Profit &amp; Loss'!D449, "hh:mm AM/PM") &amp; CHAR(10) &amp; "Venue: " &amp; 'Profit &amp; Loss'!E449 &amp; CHAR(10) &amp; "Level: HB - LI" &amp; CHAR(10) &amp; "Cost: $" &amp; 'Profit &amp; Loss'!O449 &amp; " per pax" &amp; CHAR(10) &amp; "Max " &amp; 'Profit &amp; Loss'!I449*6 &amp; " pax," &amp; " (" &amp; 'Profit &amp; Loss'!I449 &amp; " courts)" &amp; CHAR(10) &amp; CHAR(10) &amp; "RSL Ultimate shuttles provided" &amp; CHAR(10) &amp; CHAR(10) &amp; "PM if interested, thank you!"," ")</f>
        <v xml:space="preserve"> </v>
      </c>
      <c r="B446" s="2" t="str">
        <f ca="1">IF('Profit &amp; Loss'!A449&gt;=TODAY(), "Date: " &amp; TEXT('Profit &amp; Loss'!A449,"dd mmm yyy") &amp; ", " &amp; 'Profit &amp; Loss'!B449 &amp; CHAR(10) &amp; "Time: " &amp; TEXT('Profit &amp; Loss'!C449, "hh:mm AM/PM") &amp; " - " &amp; TEXT('Profit &amp; Loss'!D449, "hh:mm AM/PM") &amp; CHAR(10) &amp; "Venue: " &amp; 'Profit &amp; Loss'!E449 &amp; CHAR(10) &amp; "Court No.: " &amp; 'Profit &amp; Loss'!F449 &amp; CHAR(10) &amp; "Level: HB - LI" &amp; CHAR(10) &amp; "Please transfer $" &amp; 'Profit &amp; Loss'!O449 &amp; " per pax to Belle (83396501)" &amp; CHAR(10) &amp; CHAR(10) &amp; IF('Profit &amp; Loss'!I449=1, "1." &amp; CHAR(10) &amp; "2." &amp; CHAR(10) &amp; "3." &amp; CHAR(10) &amp; "4." &amp; CHAR(10) &amp; "5." &amp; CHAR(10) &amp; "6." &amp; CHAR(10), IF('Profit &amp; Loss'!I449=2,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7" spans="1:2" ht="12.5" x14ac:dyDescent="0.25">
      <c r="A447" s="2" t="str">
        <f ca="1">IF('Profit &amp; Loss'!A450&gt;=TODAY(),"Looking for friendly players to join the following game: " &amp; CHAR(10) &amp; CHAR(10) &amp; "Date: " &amp; TEXT('Profit &amp; Loss'!A450,"dd mmm yyy") &amp; ", " &amp; 'Profit &amp; Loss'!B450 &amp; CHAR(10) &amp; "Time: " &amp; TEXT('Profit &amp; Loss'!C450, "hh:mm AM/PM") &amp; " - " &amp; TEXT('Profit &amp; Loss'!D450, "hh:mm AM/PM") &amp; CHAR(10) &amp; "Venue: " &amp; 'Profit &amp; Loss'!E450 &amp; CHAR(10) &amp; "Level: HB - LI" &amp; CHAR(10) &amp; "Cost: $" &amp; 'Profit &amp; Loss'!O450 &amp; " per pax" &amp; CHAR(10) &amp; "Max " &amp; 'Profit &amp; Loss'!I450*6 &amp; " pax," &amp; " (" &amp; 'Profit &amp; Loss'!I450 &amp; " courts)" &amp; CHAR(10) &amp; CHAR(10) &amp; "RSL Ultimate shuttles provided" &amp; CHAR(10) &amp; CHAR(10) &amp; "PM if interested, thank you!"," ")</f>
        <v xml:space="preserve"> </v>
      </c>
      <c r="B447" s="2" t="str">
        <f ca="1">IF('Profit &amp; Loss'!A450&gt;=TODAY(), "Date: " &amp; TEXT('Profit &amp; Loss'!A450,"dd mmm yyy") &amp; ", " &amp; 'Profit &amp; Loss'!B450 &amp; CHAR(10) &amp; "Time: " &amp; TEXT('Profit &amp; Loss'!C450, "hh:mm AM/PM") &amp; " - " &amp; TEXT('Profit &amp; Loss'!D450, "hh:mm AM/PM") &amp; CHAR(10) &amp; "Venue: " &amp; 'Profit &amp; Loss'!E450 &amp; CHAR(10) &amp; "Court No.: " &amp; 'Profit &amp; Loss'!F450 &amp; CHAR(10) &amp; "Level: HB - LI" &amp; CHAR(10) &amp; "Please transfer $" &amp; 'Profit &amp; Loss'!O450 &amp; " per pax to Belle (83396501)" &amp; CHAR(10) &amp; CHAR(10) &amp; IF('Profit &amp; Loss'!I450=1, "1." &amp; CHAR(10) &amp; "2." &amp; CHAR(10) &amp; "3." &amp; CHAR(10) &amp; "4." &amp; CHAR(10) &amp; "5." &amp; CHAR(10) &amp; "6." &amp; CHAR(10), IF('Profit &amp; Loss'!I450=2,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8" spans="1:2" ht="12.5" x14ac:dyDescent="0.25">
      <c r="A448" s="2" t="str">
        <f ca="1">IF('Profit &amp; Loss'!A451&gt;=TODAY(),"Looking for friendly players to join the following game: " &amp; CHAR(10) &amp; CHAR(10) &amp; "Date: " &amp; TEXT('Profit &amp; Loss'!A451,"dd mmm yyy") &amp; ", " &amp; 'Profit &amp; Loss'!B451 &amp; CHAR(10) &amp; "Time: " &amp; TEXT('Profit &amp; Loss'!C451, "hh:mm AM/PM") &amp; " - " &amp; TEXT('Profit &amp; Loss'!D451, "hh:mm AM/PM") &amp; CHAR(10) &amp; "Venue: " &amp; 'Profit &amp; Loss'!E451 &amp; CHAR(10) &amp; "Level: HB - LI" &amp; CHAR(10) &amp; "Cost: $" &amp; 'Profit &amp; Loss'!O451 &amp; " per pax" &amp; CHAR(10) &amp; "Max " &amp; 'Profit &amp; Loss'!I451*6 &amp; " pax," &amp; " (" &amp; 'Profit &amp; Loss'!I451 &amp; " courts)" &amp; CHAR(10) &amp; CHAR(10) &amp; "RSL Ultimate shuttles provided" &amp; CHAR(10) &amp; CHAR(10) &amp; "PM if interested, thank you!"," ")</f>
        <v xml:space="preserve"> </v>
      </c>
      <c r="B448" s="2" t="str">
        <f ca="1">IF('Profit &amp; Loss'!A451&gt;=TODAY(), "Date: " &amp; TEXT('Profit &amp; Loss'!A451,"dd mmm yyy") &amp; ", " &amp; 'Profit &amp; Loss'!B451 &amp; CHAR(10) &amp; "Time: " &amp; TEXT('Profit &amp; Loss'!C451, "hh:mm AM/PM") &amp; " - " &amp; TEXT('Profit &amp; Loss'!D451, "hh:mm AM/PM") &amp; CHAR(10) &amp; "Venue: " &amp; 'Profit &amp; Loss'!E451 &amp; CHAR(10) &amp; "Court No.: " &amp; 'Profit &amp; Loss'!F451 &amp; CHAR(10) &amp; "Level: HB - LI" &amp; CHAR(10) &amp; "Please transfer $" &amp; 'Profit &amp; Loss'!O451 &amp; " per pax to Belle (83396501)" &amp; CHAR(10) &amp; CHAR(10) &amp; IF('Profit &amp; Loss'!I451=1, "1." &amp; CHAR(10) &amp; "2." &amp; CHAR(10) &amp; "3." &amp; CHAR(10) &amp; "4." &amp; CHAR(10) &amp; "5." &amp; CHAR(10) &amp; "6." &amp; CHAR(10), IF('Profit &amp; Loss'!I451=2,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49" spans="1:2" ht="12.5" x14ac:dyDescent="0.25">
      <c r="A449" s="2" t="str">
        <f ca="1">IF('Profit &amp; Loss'!A452&gt;=TODAY(),"Looking for friendly players to join the following game: " &amp; CHAR(10) &amp; CHAR(10) &amp; "Date: " &amp; TEXT('Profit &amp; Loss'!A452,"dd mmm yyy") &amp; ", " &amp; 'Profit &amp; Loss'!B452 &amp; CHAR(10) &amp; "Time: " &amp; TEXT('Profit &amp; Loss'!C452, "hh:mm AM/PM") &amp; " - " &amp; TEXT('Profit &amp; Loss'!D452, "hh:mm AM/PM") &amp; CHAR(10) &amp; "Venue: " &amp; 'Profit &amp; Loss'!E452 &amp; CHAR(10) &amp; "Level: HB - LI" &amp; CHAR(10) &amp; "Cost: $" &amp; 'Profit &amp; Loss'!O452 &amp; " per pax" &amp; CHAR(10) &amp; "Max " &amp; 'Profit &amp; Loss'!I452*6 &amp; " pax," &amp; " (" &amp; 'Profit &amp; Loss'!I452 &amp; " courts)" &amp; CHAR(10) &amp; CHAR(10) &amp; "RSL Ultimate shuttles provided" &amp; CHAR(10) &amp; CHAR(10) &amp; "PM if interested, thank you!"," ")</f>
        <v xml:space="preserve"> </v>
      </c>
      <c r="B449" s="2" t="str">
        <f ca="1">IF('Profit &amp; Loss'!A452&gt;=TODAY(), "Date: " &amp; TEXT('Profit &amp; Loss'!A452,"dd mmm yyy") &amp; ", " &amp; 'Profit &amp; Loss'!B452 &amp; CHAR(10) &amp; "Time: " &amp; TEXT('Profit &amp; Loss'!C452, "hh:mm AM/PM") &amp; " - " &amp; TEXT('Profit &amp; Loss'!D452, "hh:mm AM/PM") &amp; CHAR(10) &amp; "Venue: " &amp; 'Profit &amp; Loss'!E452 &amp; CHAR(10) &amp; "Court No.: " &amp; 'Profit &amp; Loss'!F452 &amp; CHAR(10) &amp; "Level: HB - LI" &amp; CHAR(10) &amp; "Please transfer $" &amp; 'Profit &amp; Loss'!O452 &amp; " per pax to Belle (83396501)" &amp; CHAR(10) &amp; CHAR(10) &amp; IF('Profit &amp; Loss'!I452=1, "1." &amp; CHAR(10) &amp; "2." &amp; CHAR(10) &amp; "3." &amp; CHAR(10) &amp; "4." &amp; CHAR(10) &amp; "5." &amp; CHAR(10) &amp; "6." &amp; CHAR(10), IF('Profit &amp; Loss'!I452=2,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0" spans="1:2" ht="12.5" x14ac:dyDescent="0.25">
      <c r="A450" s="2" t="str">
        <f ca="1">IF('Profit &amp; Loss'!A453&gt;=TODAY(),"Looking for friendly players to join the following game: " &amp; CHAR(10) &amp; CHAR(10) &amp; "Date: " &amp; TEXT('Profit &amp; Loss'!A453,"dd mmm yyy") &amp; ", " &amp; 'Profit &amp; Loss'!B453 &amp; CHAR(10) &amp; "Time: " &amp; TEXT('Profit &amp; Loss'!C453, "hh:mm AM/PM") &amp; " - " &amp; TEXT('Profit &amp; Loss'!D453, "hh:mm AM/PM") &amp; CHAR(10) &amp; "Venue: " &amp; 'Profit &amp; Loss'!E453 &amp; CHAR(10) &amp; "Level: HB - LI" &amp; CHAR(10) &amp; "Cost: $" &amp; 'Profit &amp; Loss'!O453 &amp; " per pax" &amp; CHAR(10) &amp; "Max " &amp; 'Profit &amp; Loss'!I453*6 &amp; " pax," &amp; " (" &amp; 'Profit &amp; Loss'!I453 &amp; " courts)" &amp; CHAR(10) &amp; CHAR(10) &amp; "RSL Ultimate shuttles provided" &amp; CHAR(10) &amp; CHAR(10) &amp; "PM if interested, thank you!"," ")</f>
        <v xml:space="preserve"> </v>
      </c>
      <c r="B450" s="2" t="str">
        <f ca="1">IF('Profit &amp; Loss'!A453&gt;=TODAY(), "Date: " &amp; TEXT('Profit &amp; Loss'!A453,"dd mmm yyy") &amp; ", " &amp; 'Profit &amp; Loss'!B453 &amp; CHAR(10) &amp; "Time: " &amp; TEXT('Profit &amp; Loss'!C453, "hh:mm AM/PM") &amp; " - " &amp; TEXT('Profit &amp; Loss'!D453, "hh:mm AM/PM") &amp; CHAR(10) &amp; "Venue: " &amp; 'Profit &amp; Loss'!E453 &amp; CHAR(10) &amp; "Court No.: " &amp; 'Profit &amp; Loss'!F453 &amp; CHAR(10) &amp; "Level: HB - LI" &amp; CHAR(10) &amp; "Please transfer $" &amp; 'Profit &amp; Loss'!O453 &amp; " per pax to Belle (83396501)" &amp; CHAR(10) &amp; CHAR(10) &amp; IF('Profit &amp; Loss'!I453=1, "1." &amp; CHAR(10) &amp; "2." &amp; CHAR(10) &amp; "3." &amp; CHAR(10) &amp; "4." &amp; CHAR(10) &amp; "5." &amp; CHAR(10) &amp; "6." &amp; CHAR(10), IF('Profit &amp; Loss'!I453=2,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1" spans="1:2" ht="12.5" x14ac:dyDescent="0.25">
      <c r="A451" s="2" t="str">
        <f ca="1">IF('Profit &amp; Loss'!A454&gt;=TODAY(),"Looking for friendly players to join the following game: " &amp; CHAR(10) &amp; CHAR(10) &amp; "Date: " &amp; TEXT('Profit &amp; Loss'!A454,"dd mmm yyy") &amp; ", " &amp; 'Profit &amp; Loss'!B454 &amp; CHAR(10) &amp; "Time: " &amp; TEXT('Profit &amp; Loss'!C454, "hh:mm AM/PM") &amp; " - " &amp; TEXT('Profit &amp; Loss'!D454, "hh:mm AM/PM") &amp; CHAR(10) &amp; "Venue: " &amp; 'Profit &amp; Loss'!E454 &amp; CHAR(10) &amp; "Level: HB - LI" &amp; CHAR(10) &amp; "Cost: $" &amp; 'Profit &amp; Loss'!O454 &amp; " per pax" &amp; CHAR(10) &amp; "Max " &amp; 'Profit &amp; Loss'!I454*6 &amp; " pax," &amp; " (" &amp; 'Profit &amp; Loss'!I454 &amp; " courts)" &amp; CHAR(10) &amp; CHAR(10) &amp; "RSL Ultimate shuttles provided" &amp; CHAR(10) &amp; CHAR(10) &amp; "PM if interested, thank you!"," ")</f>
        <v xml:space="preserve"> </v>
      </c>
      <c r="B451" s="2" t="str">
        <f ca="1">IF('Profit &amp; Loss'!A454&gt;=TODAY(), "Date: " &amp; TEXT('Profit &amp; Loss'!A454,"dd mmm yyy") &amp; ", " &amp; 'Profit &amp; Loss'!B454 &amp; CHAR(10) &amp; "Time: " &amp; TEXT('Profit &amp; Loss'!C454, "hh:mm AM/PM") &amp; " - " &amp; TEXT('Profit &amp; Loss'!D454, "hh:mm AM/PM") &amp; CHAR(10) &amp; "Venue: " &amp; 'Profit &amp; Loss'!E454 &amp; CHAR(10) &amp; "Court No.: " &amp; 'Profit &amp; Loss'!F454 &amp; CHAR(10) &amp; "Level: HB - LI" &amp; CHAR(10) &amp; "Please transfer $" &amp; 'Profit &amp; Loss'!O454 &amp; " per pax to Belle (83396501)" &amp; CHAR(10) &amp; CHAR(10) &amp; IF('Profit &amp; Loss'!I454=1, "1." &amp; CHAR(10) &amp; "2." &amp; CHAR(10) &amp; "3." &amp; CHAR(10) &amp; "4." &amp; CHAR(10) &amp; "5." &amp; CHAR(10) &amp; "6." &amp; CHAR(10), IF('Profit &amp; Loss'!I454=2,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2" spans="1:2" ht="12.5" x14ac:dyDescent="0.25">
      <c r="A452" s="2" t="str">
        <f ca="1">IF('Profit &amp; Loss'!A455&gt;=TODAY(),"Looking for friendly players to join the following game: " &amp; CHAR(10) &amp; CHAR(10) &amp; "Date: " &amp; TEXT('Profit &amp; Loss'!A455,"dd mmm yyy") &amp; ", " &amp; 'Profit &amp; Loss'!B455 &amp; CHAR(10) &amp; "Time: " &amp; TEXT('Profit &amp; Loss'!C455, "hh:mm AM/PM") &amp; " - " &amp; TEXT('Profit &amp; Loss'!D455, "hh:mm AM/PM") &amp; CHAR(10) &amp; "Venue: " &amp; 'Profit &amp; Loss'!E455 &amp; CHAR(10) &amp; "Level: HB - LI" &amp; CHAR(10) &amp; "Cost: $" &amp; 'Profit &amp; Loss'!O455 &amp; " per pax" &amp; CHAR(10) &amp; "Max " &amp; 'Profit &amp; Loss'!I455*6 &amp; " pax," &amp; " (" &amp; 'Profit &amp; Loss'!I455 &amp; " courts)" &amp; CHAR(10) &amp; CHAR(10) &amp; "RSL Ultimate shuttles provided" &amp; CHAR(10) &amp; CHAR(10) &amp; "PM if interested, thank you!"," ")</f>
        <v xml:space="preserve"> </v>
      </c>
      <c r="B452" s="2" t="str">
        <f ca="1">IF('Profit &amp; Loss'!A455&gt;=TODAY(), "Date: " &amp; TEXT('Profit &amp; Loss'!A455,"dd mmm yyy") &amp; ", " &amp; 'Profit &amp; Loss'!B455 &amp; CHAR(10) &amp; "Time: " &amp; TEXT('Profit &amp; Loss'!C455, "hh:mm AM/PM") &amp; " - " &amp; TEXT('Profit &amp; Loss'!D455, "hh:mm AM/PM") &amp; CHAR(10) &amp; "Venue: " &amp; 'Profit &amp; Loss'!E455 &amp; CHAR(10) &amp; "Court No.: " &amp; 'Profit &amp; Loss'!F455 &amp; CHAR(10) &amp; "Level: HB - LI" &amp; CHAR(10) &amp; "Please transfer $" &amp; 'Profit &amp; Loss'!O455 &amp; " per pax to Belle (83396501)" &amp; CHAR(10) &amp; CHAR(10) &amp; IF('Profit &amp; Loss'!I455=1, "1." &amp; CHAR(10) &amp; "2." &amp; CHAR(10) &amp; "3." &amp; CHAR(10) &amp; "4." &amp; CHAR(10) &amp; "5." &amp; CHAR(10) &amp; "6." &amp; CHAR(10), IF('Profit &amp; Loss'!I455=2,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3" spans="1:2" ht="12.5" x14ac:dyDescent="0.25">
      <c r="A453" s="2" t="str">
        <f ca="1">IF('Profit &amp; Loss'!A456&gt;=TODAY(),"Looking for friendly players to join the following game: " &amp; CHAR(10) &amp; CHAR(10) &amp; "Date: " &amp; TEXT('Profit &amp; Loss'!A456,"dd mmm yyy") &amp; ", " &amp; 'Profit &amp; Loss'!B456 &amp; CHAR(10) &amp; "Time: " &amp; TEXT('Profit &amp; Loss'!C456, "hh:mm AM/PM") &amp; " - " &amp; TEXT('Profit &amp; Loss'!D456, "hh:mm AM/PM") &amp; CHAR(10) &amp; "Venue: " &amp; 'Profit &amp; Loss'!E456 &amp; CHAR(10) &amp; "Level: HB - LI" &amp; CHAR(10) &amp; "Cost: $" &amp; 'Profit &amp; Loss'!O456 &amp; " per pax" &amp; CHAR(10) &amp; "Max " &amp; 'Profit &amp; Loss'!I456*6 &amp; " pax," &amp; " (" &amp; 'Profit &amp; Loss'!I456 &amp; " courts)" &amp; CHAR(10) &amp; CHAR(10) &amp; "RSL Ultimate shuttles provided" &amp; CHAR(10) &amp; CHAR(10) &amp; "PM if interested, thank you!"," ")</f>
        <v xml:space="preserve"> </v>
      </c>
      <c r="B453" s="2" t="str">
        <f ca="1">IF('Profit &amp; Loss'!A456&gt;=TODAY(), "Date: " &amp; TEXT('Profit &amp; Loss'!A456,"dd mmm yyy") &amp; ", " &amp; 'Profit &amp; Loss'!B456 &amp; CHAR(10) &amp; "Time: " &amp; TEXT('Profit &amp; Loss'!C456, "hh:mm AM/PM") &amp; " - " &amp; TEXT('Profit &amp; Loss'!D456, "hh:mm AM/PM") &amp; CHAR(10) &amp; "Venue: " &amp; 'Profit &amp; Loss'!E456 &amp; CHAR(10) &amp; "Court No.: " &amp; 'Profit &amp; Loss'!F456 &amp; CHAR(10) &amp; "Level: HB - LI" &amp; CHAR(10) &amp; "Please transfer $" &amp; 'Profit &amp; Loss'!O456 &amp; " per pax to Belle (83396501)" &amp; CHAR(10) &amp; CHAR(10) &amp; IF('Profit &amp; Loss'!I456=1, "1." &amp; CHAR(10) &amp; "2." &amp; CHAR(10) &amp; "3." &amp; CHAR(10) &amp; "4." &amp; CHAR(10) &amp; "5." &amp; CHAR(10) &amp; "6." &amp; CHAR(10), IF('Profit &amp; Loss'!I456=2,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4" spans="1:2" ht="12.5" x14ac:dyDescent="0.25">
      <c r="A454" s="2" t="str">
        <f ca="1">IF('Profit &amp; Loss'!A457&gt;=TODAY(),"Looking for friendly players to join the following game: " &amp; CHAR(10) &amp; CHAR(10) &amp; "Date: " &amp; TEXT('Profit &amp; Loss'!A457,"dd mmm yyy") &amp; ", " &amp; 'Profit &amp; Loss'!B457 &amp; CHAR(10) &amp; "Time: " &amp; TEXT('Profit &amp; Loss'!C457, "hh:mm AM/PM") &amp; " - " &amp; TEXT('Profit &amp; Loss'!D457, "hh:mm AM/PM") &amp; CHAR(10) &amp; "Venue: " &amp; 'Profit &amp; Loss'!E457 &amp; CHAR(10) &amp; "Level: HB - LI" &amp; CHAR(10) &amp; "Cost: $" &amp; 'Profit &amp; Loss'!O457 &amp; " per pax" &amp; CHAR(10) &amp; "Max " &amp; 'Profit &amp; Loss'!I457*6 &amp; " pax," &amp; " (" &amp; 'Profit &amp; Loss'!I457 &amp; " courts)" &amp; CHAR(10) &amp; CHAR(10) &amp; "RSL Ultimate shuttles provided" &amp; CHAR(10) &amp; CHAR(10) &amp; "PM if interested, thank you!"," ")</f>
        <v xml:space="preserve"> </v>
      </c>
      <c r="B454" s="2" t="str">
        <f ca="1">IF('Profit &amp; Loss'!A457&gt;=TODAY(), "Date: " &amp; TEXT('Profit &amp; Loss'!A457,"dd mmm yyy") &amp; ", " &amp; 'Profit &amp; Loss'!B457 &amp; CHAR(10) &amp; "Time: " &amp; TEXT('Profit &amp; Loss'!C457, "hh:mm AM/PM") &amp; " - " &amp; TEXT('Profit &amp; Loss'!D457, "hh:mm AM/PM") &amp; CHAR(10) &amp; "Venue: " &amp; 'Profit &amp; Loss'!E457 &amp; CHAR(10) &amp; "Court No.: " &amp; 'Profit &amp; Loss'!F457 &amp; CHAR(10) &amp; "Level: HB - LI" &amp; CHAR(10) &amp; "Please transfer $" &amp; 'Profit &amp; Loss'!O457 &amp; " per pax to Belle (83396501)" &amp; CHAR(10) &amp; CHAR(10) &amp; IF('Profit &amp; Loss'!I457=1, "1." &amp; CHAR(10) &amp; "2." &amp; CHAR(10) &amp; "3." &amp; CHAR(10) &amp; "4." &amp; CHAR(10) &amp; "5." &amp; CHAR(10) &amp; "6." &amp; CHAR(10), IF('Profit &amp; Loss'!I457=2,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5" spans="1:2" ht="12.5" x14ac:dyDescent="0.25">
      <c r="A455" s="2" t="str">
        <f ca="1">IF('Profit &amp; Loss'!A458&gt;=TODAY(),"Looking for friendly players to join the following game: " &amp; CHAR(10) &amp; CHAR(10) &amp; "Date: " &amp; TEXT('Profit &amp; Loss'!A458,"dd mmm yyy") &amp; ", " &amp; 'Profit &amp; Loss'!B458 &amp; CHAR(10) &amp; "Time: " &amp; TEXT('Profit &amp; Loss'!C458, "hh:mm AM/PM") &amp; " - " &amp; TEXT('Profit &amp; Loss'!D458, "hh:mm AM/PM") &amp; CHAR(10) &amp; "Venue: " &amp; 'Profit &amp; Loss'!E458 &amp; CHAR(10) &amp; "Level: HB - LI" &amp; CHAR(10) &amp; "Cost: $" &amp; 'Profit &amp; Loss'!O458 &amp; " per pax" &amp; CHAR(10) &amp; "Max " &amp; 'Profit &amp; Loss'!I458*6 &amp; " pax," &amp; " (" &amp; 'Profit &amp; Loss'!I458 &amp; " courts)" &amp; CHAR(10) &amp; CHAR(10) &amp; "RSL Ultimate shuttles provided" &amp; CHAR(10) &amp; CHAR(10) &amp; "PM if interested, thank you!"," ")</f>
        <v xml:space="preserve"> </v>
      </c>
      <c r="B455" s="2" t="str">
        <f ca="1">IF('Profit &amp; Loss'!A458&gt;=TODAY(), "Date: " &amp; TEXT('Profit &amp; Loss'!A458,"dd mmm yyy") &amp; ", " &amp; 'Profit &amp; Loss'!B458 &amp; CHAR(10) &amp; "Time: " &amp; TEXT('Profit &amp; Loss'!C458, "hh:mm AM/PM") &amp; " - " &amp; TEXT('Profit &amp; Loss'!D458, "hh:mm AM/PM") &amp; CHAR(10) &amp; "Venue: " &amp; 'Profit &amp; Loss'!E458 &amp; CHAR(10) &amp; "Court No.: " &amp; 'Profit &amp; Loss'!F458 &amp; CHAR(10) &amp; "Level: HB - LI" &amp; CHAR(10) &amp; "Please transfer $" &amp; 'Profit &amp; Loss'!O458 &amp; " per pax to Belle (83396501)" &amp; CHAR(10) &amp; CHAR(10) &amp; IF('Profit &amp; Loss'!I458=1, "1." &amp; CHAR(10) &amp; "2." &amp; CHAR(10) &amp; "3." &amp; CHAR(10) &amp; "4." &amp; CHAR(10) &amp; "5." &amp; CHAR(10) &amp; "6." &amp; CHAR(10), IF('Profit &amp; Loss'!I458=2,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6" spans="1:2" ht="12.5" x14ac:dyDescent="0.25">
      <c r="A456" s="2" t="str">
        <f ca="1">IF('Profit &amp; Loss'!A459&gt;=TODAY(),"Looking for friendly players to join the following game: " &amp; CHAR(10) &amp; CHAR(10) &amp; "Date: " &amp; TEXT('Profit &amp; Loss'!A459,"dd mmm yyy") &amp; ", " &amp; 'Profit &amp; Loss'!B459 &amp; CHAR(10) &amp; "Time: " &amp; TEXT('Profit &amp; Loss'!C459, "hh:mm AM/PM") &amp; " - " &amp; TEXT('Profit &amp; Loss'!D459, "hh:mm AM/PM") &amp; CHAR(10) &amp; "Venue: " &amp; 'Profit &amp; Loss'!E459 &amp; CHAR(10) &amp; "Level: HB - LI" &amp; CHAR(10) &amp; "Cost: $" &amp; 'Profit &amp; Loss'!O459 &amp; " per pax" &amp; CHAR(10) &amp; "Max " &amp; 'Profit &amp; Loss'!I459*6 &amp; " pax," &amp; " (" &amp; 'Profit &amp; Loss'!I459 &amp; " courts)" &amp; CHAR(10) &amp; CHAR(10) &amp; "RSL Ultimate shuttles provided" &amp; CHAR(10) &amp; CHAR(10) &amp; "PM if interested, thank you!"," ")</f>
        <v xml:space="preserve"> </v>
      </c>
      <c r="B456" s="2" t="str">
        <f ca="1">IF('Profit &amp; Loss'!A459&gt;=TODAY(), "Date: " &amp; TEXT('Profit &amp; Loss'!A459,"dd mmm yyy") &amp; ", " &amp; 'Profit &amp; Loss'!B459 &amp; CHAR(10) &amp; "Time: " &amp; TEXT('Profit &amp; Loss'!C459, "hh:mm AM/PM") &amp; " - " &amp; TEXT('Profit &amp; Loss'!D459, "hh:mm AM/PM") &amp; CHAR(10) &amp; "Venue: " &amp; 'Profit &amp; Loss'!E459 &amp; CHAR(10) &amp; "Court No.: " &amp; 'Profit &amp; Loss'!F459 &amp; CHAR(10) &amp; "Level: HB - LI" &amp; CHAR(10) &amp; "Please transfer $" &amp; 'Profit &amp; Loss'!O459 &amp; " per pax to Belle (83396501)" &amp; CHAR(10) &amp; CHAR(10) &amp; IF('Profit &amp; Loss'!I459=1, "1." &amp; CHAR(10) &amp; "2." &amp; CHAR(10) &amp; "3." &amp; CHAR(10) &amp; "4." &amp; CHAR(10) &amp; "5." &amp; CHAR(10) &amp; "6." &amp; CHAR(10), IF('Profit &amp; Loss'!I459=2,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7" spans="1:2" ht="12.5" x14ac:dyDescent="0.25">
      <c r="A457" s="2" t="str">
        <f ca="1">IF('Profit &amp; Loss'!A460&gt;=TODAY(),"Looking for friendly players to join the following game: " &amp; CHAR(10) &amp; CHAR(10) &amp; "Date: " &amp; TEXT('Profit &amp; Loss'!A460,"dd mmm yyy") &amp; ", " &amp; 'Profit &amp; Loss'!B460 &amp; CHAR(10) &amp; "Time: " &amp; TEXT('Profit &amp; Loss'!C460, "hh:mm AM/PM") &amp; " - " &amp; TEXT('Profit &amp; Loss'!D460, "hh:mm AM/PM") &amp; CHAR(10) &amp; "Venue: " &amp; 'Profit &amp; Loss'!E460 &amp; CHAR(10) &amp; "Level: HB - LI" &amp; CHAR(10) &amp; "Cost: $" &amp; 'Profit &amp; Loss'!O460 &amp; " per pax" &amp; CHAR(10) &amp; "Max " &amp; 'Profit &amp; Loss'!I460*6 &amp; " pax," &amp; " (" &amp; 'Profit &amp; Loss'!I460 &amp; " courts)" &amp; CHAR(10) &amp; CHAR(10) &amp; "RSL Ultimate shuttles provided" &amp; CHAR(10) &amp; CHAR(10) &amp; "PM if interested, thank you!"," ")</f>
        <v xml:space="preserve"> </v>
      </c>
      <c r="B457" s="2" t="str">
        <f ca="1">IF('Profit &amp; Loss'!A460&gt;=TODAY(), "Date: " &amp; TEXT('Profit &amp; Loss'!A460,"dd mmm yyy") &amp; ", " &amp; 'Profit &amp; Loss'!B460 &amp; CHAR(10) &amp; "Time: " &amp; TEXT('Profit &amp; Loss'!C460, "hh:mm AM/PM") &amp; " - " &amp; TEXT('Profit &amp; Loss'!D460, "hh:mm AM/PM") &amp; CHAR(10) &amp; "Venue: " &amp; 'Profit &amp; Loss'!E460 &amp; CHAR(10) &amp; "Court No.: " &amp; 'Profit &amp; Loss'!F460 &amp; CHAR(10) &amp; "Level: HB - LI" &amp; CHAR(10) &amp; "Please transfer $" &amp; 'Profit &amp; Loss'!O460 &amp; " per pax to Belle (83396501)" &amp; CHAR(10) &amp; CHAR(10) &amp; IF('Profit &amp; Loss'!I460=1, "1." &amp; CHAR(10) &amp; "2." &amp; CHAR(10) &amp; "3." &amp; CHAR(10) &amp; "4." &amp; CHAR(10) &amp; "5." &amp; CHAR(10) &amp; "6." &amp; CHAR(10), IF('Profit &amp; Loss'!I460=2,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8" spans="1:2" ht="12.5" x14ac:dyDescent="0.25">
      <c r="A458" s="2" t="str">
        <f ca="1">IF('Profit &amp; Loss'!A461&gt;=TODAY(),"Looking for friendly players to join the following game: " &amp; CHAR(10) &amp; CHAR(10) &amp; "Date: " &amp; TEXT('Profit &amp; Loss'!A461,"dd mmm yyy") &amp; ", " &amp; 'Profit &amp; Loss'!B461 &amp; CHAR(10) &amp; "Time: " &amp; TEXT('Profit &amp; Loss'!C461, "hh:mm AM/PM") &amp; " - " &amp; TEXT('Profit &amp; Loss'!D461, "hh:mm AM/PM") &amp; CHAR(10) &amp; "Venue: " &amp; 'Profit &amp; Loss'!E461 &amp; CHAR(10) &amp; "Level: HB - LI" &amp; CHAR(10) &amp; "Cost: $" &amp; 'Profit &amp; Loss'!O461 &amp; " per pax" &amp; CHAR(10) &amp; "Max " &amp; 'Profit &amp; Loss'!I461*6 &amp; " pax," &amp; " (" &amp; 'Profit &amp; Loss'!I461 &amp; " courts)" &amp; CHAR(10) &amp; CHAR(10) &amp; "RSL Ultimate shuttles provided" &amp; CHAR(10) &amp; CHAR(10) &amp; "PM if interested, thank you!"," ")</f>
        <v xml:space="preserve"> </v>
      </c>
      <c r="B458" s="2" t="str">
        <f ca="1">IF('Profit &amp; Loss'!A461&gt;=TODAY(), "Date: " &amp; TEXT('Profit &amp; Loss'!A461,"dd mmm yyy") &amp; ", " &amp; 'Profit &amp; Loss'!B461 &amp; CHAR(10) &amp; "Time: " &amp; TEXT('Profit &amp; Loss'!C461, "hh:mm AM/PM") &amp; " - " &amp; TEXT('Profit &amp; Loss'!D461, "hh:mm AM/PM") &amp; CHAR(10) &amp; "Venue: " &amp; 'Profit &amp; Loss'!E461 &amp; CHAR(10) &amp; "Court No.: " &amp; 'Profit &amp; Loss'!F461 &amp; CHAR(10) &amp; "Level: HB - LI" &amp; CHAR(10) &amp; "Please transfer $" &amp; 'Profit &amp; Loss'!O461 &amp; " per pax to Belle (83396501)" &amp; CHAR(10) &amp; CHAR(10) &amp; IF('Profit &amp; Loss'!I461=1, "1." &amp; CHAR(10) &amp; "2." &amp; CHAR(10) &amp; "3." &amp; CHAR(10) &amp; "4." &amp; CHAR(10) &amp; "5." &amp; CHAR(10) &amp; "6." &amp; CHAR(10), IF('Profit &amp; Loss'!I461=2,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59" spans="1:2" ht="12.5" x14ac:dyDescent="0.25">
      <c r="A459" s="2" t="str">
        <f ca="1">IF('Profit &amp; Loss'!A462&gt;=TODAY(),"Looking for friendly players to join the following game: " &amp; CHAR(10) &amp; CHAR(10) &amp; "Date: " &amp; TEXT('Profit &amp; Loss'!A462,"dd mmm yyy") &amp; ", " &amp; 'Profit &amp; Loss'!B462 &amp; CHAR(10) &amp; "Time: " &amp; TEXT('Profit &amp; Loss'!C462, "hh:mm AM/PM") &amp; " - " &amp; TEXT('Profit &amp; Loss'!D462, "hh:mm AM/PM") &amp; CHAR(10) &amp; "Venue: " &amp; 'Profit &amp; Loss'!E462 &amp; CHAR(10) &amp; "Level: HB - LI" &amp; CHAR(10) &amp; "Cost: $" &amp; 'Profit &amp; Loss'!O462 &amp; " per pax" &amp; CHAR(10) &amp; "Max " &amp; 'Profit &amp; Loss'!I462*6 &amp; " pax," &amp; " (" &amp; 'Profit &amp; Loss'!I462 &amp; " courts)" &amp; CHAR(10) &amp; CHAR(10) &amp; "RSL Ultimate shuttles provided" &amp; CHAR(10) &amp; CHAR(10) &amp; "PM if interested, thank you!"," ")</f>
        <v xml:space="preserve"> </v>
      </c>
      <c r="B459" s="2" t="str">
        <f ca="1">IF('Profit &amp; Loss'!A462&gt;=TODAY(), "Date: " &amp; TEXT('Profit &amp; Loss'!A462,"dd mmm yyy") &amp; ", " &amp; 'Profit &amp; Loss'!B462 &amp; CHAR(10) &amp; "Time: " &amp; TEXT('Profit &amp; Loss'!C462, "hh:mm AM/PM") &amp; " - " &amp; TEXT('Profit &amp; Loss'!D462, "hh:mm AM/PM") &amp; CHAR(10) &amp; "Venue: " &amp; 'Profit &amp; Loss'!E462 &amp; CHAR(10) &amp; "Court No.: " &amp; 'Profit &amp; Loss'!F462 &amp; CHAR(10) &amp; "Level: HB - LI" &amp; CHAR(10) &amp; "Please transfer $" &amp; 'Profit &amp; Loss'!O462 &amp; " per pax to Belle (83396501)" &amp; CHAR(10) &amp; CHAR(10) &amp; IF('Profit &amp; Loss'!I462=1, "1." &amp; CHAR(10) &amp; "2." &amp; CHAR(10) &amp; "3." &amp; CHAR(10) &amp; "4." &amp; CHAR(10) &amp; "5." &amp; CHAR(10) &amp; "6." &amp; CHAR(10), IF('Profit &amp; Loss'!I462=2,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0" spans="1:2" ht="12.5" x14ac:dyDescent="0.25">
      <c r="A460" s="2" t="str">
        <f ca="1">IF('Profit &amp; Loss'!A463&gt;=TODAY(),"Looking for friendly players to join the following game: " &amp; CHAR(10) &amp; CHAR(10) &amp; "Date: " &amp; TEXT('Profit &amp; Loss'!A463,"dd mmm yyy") &amp; ", " &amp; 'Profit &amp; Loss'!B463 &amp; CHAR(10) &amp; "Time: " &amp; TEXT('Profit &amp; Loss'!C463, "hh:mm AM/PM") &amp; " - " &amp; TEXT('Profit &amp; Loss'!D463, "hh:mm AM/PM") &amp; CHAR(10) &amp; "Venue: " &amp; 'Profit &amp; Loss'!E463 &amp; CHAR(10) &amp; "Level: HB - LI" &amp; CHAR(10) &amp; "Cost: $" &amp; 'Profit &amp; Loss'!O463 &amp; " per pax" &amp; CHAR(10) &amp; "Max " &amp; 'Profit &amp; Loss'!I463*6 &amp; " pax," &amp; " (" &amp; 'Profit &amp; Loss'!I463 &amp; " courts)" &amp; CHAR(10) &amp; CHAR(10) &amp; "RSL Ultimate shuttles provided" &amp; CHAR(10) &amp; CHAR(10) &amp; "PM if interested, thank you!"," ")</f>
        <v xml:space="preserve"> </v>
      </c>
      <c r="B460" s="2" t="str">
        <f ca="1">IF('Profit &amp; Loss'!A463&gt;=TODAY(), "Date: " &amp; TEXT('Profit &amp; Loss'!A463,"dd mmm yyy") &amp; ", " &amp; 'Profit &amp; Loss'!B463 &amp; CHAR(10) &amp; "Time: " &amp; TEXT('Profit &amp; Loss'!C463, "hh:mm AM/PM") &amp; " - " &amp; TEXT('Profit &amp; Loss'!D463, "hh:mm AM/PM") &amp; CHAR(10) &amp; "Venue: " &amp; 'Profit &amp; Loss'!E463 &amp; CHAR(10) &amp; "Court No.: " &amp; 'Profit &amp; Loss'!F463 &amp; CHAR(10) &amp; "Level: HB - LI" &amp; CHAR(10) &amp; "Please transfer $" &amp; 'Profit &amp; Loss'!O463 &amp; " per pax to Belle (83396501)" &amp; CHAR(10) &amp; CHAR(10) &amp; IF('Profit &amp; Loss'!I463=1, "1." &amp; CHAR(10) &amp; "2." &amp; CHAR(10) &amp; "3." &amp; CHAR(10) &amp; "4." &amp; CHAR(10) &amp; "5." &amp; CHAR(10) &amp; "6." &amp; CHAR(10), IF('Profit &amp; Loss'!I463=2,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1" spans="1:2" ht="12.5" x14ac:dyDescent="0.25">
      <c r="A461" s="2" t="str">
        <f ca="1">IF('Profit &amp; Loss'!A464&gt;=TODAY(),"Looking for friendly players to join the following game: " &amp; CHAR(10) &amp; CHAR(10) &amp; "Date: " &amp; TEXT('Profit &amp; Loss'!A464,"dd mmm yyy") &amp; ", " &amp; 'Profit &amp; Loss'!B464 &amp; CHAR(10) &amp; "Time: " &amp; TEXT('Profit &amp; Loss'!C464, "hh:mm AM/PM") &amp; " - " &amp; TEXT('Profit &amp; Loss'!D464, "hh:mm AM/PM") &amp; CHAR(10) &amp; "Venue: " &amp; 'Profit &amp; Loss'!E464 &amp; CHAR(10) &amp; "Level: HB - LI" &amp; CHAR(10) &amp; "Cost: $" &amp; 'Profit &amp; Loss'!O464 &amp; " per pax" &amp; CHAR(10) &amp; "Max " &amp; 'Profit &amp; Loss'!I464*6 &amp; " pax," &amp; " (" &amp; 'Profit &amp; Loss'!I464 &amp; " courts)" &amp; CHAR(10) &amp; CHAR(10) &amp; "RSL Ultimate shuttles provided" &amp; CHAR(10) &amp; CHAR(10) &amp; "PM if interested, thank you!"," ")</f>
        <v xml:space="preserve"> </v>
      </c>
      <c r="B461" s="2" t="str">
        <f ca="1">IF('Profit &amp; Loss'!A464&gt;=TODAY(), "Date: " &amp; TEXT('Profit &amp; Loss'!A464,"dd mmm yyy") &amp; ", " &amp; 'Profit &amp; Loss'!B464 &amp; CHAR(10) &amp; "Time: " &amp; TEXT('Profit &amp; Loss'!C464, "hh:mm AM/PM") &amp; " - " &amp; TEXT('Profit &amp; Loss'!D464, "hh:mm AM/PM") &amp; CHAR(10) &amp; "Venue: " &amp; 'Profit &amp; Loss'!E464 &amp; CHAR(10) &amp; "Court No.: " &amp; 'Profit &amp; Loss'!F464 &amp; CHAR(10) &amp; "Level: HB - LI" &amp; CHAR(10) &amp; "Please transfer $" &amp; 'Profit &amp; Loss'!O464 &amp; " per pax to Belle (83396501)" &amp; CHAR(10) &amp; CHAR(10) &amp; IF('Profit &amp; Loss'!I464=1, "1." &amp; CHAR(10) &amp; "2." &amp; CHAR(10) &amp; "3." &amp; CHAR(10) &amp; "4." &amp; CHAR(10) &amp; "5." &amp; CHAR(10) &amp; "6." &amp; CHAR(10), IF('Profit &amp; Loss'!I464=2,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2" spans="1:2" ht="12.5" x14ac:dyDescent="0.25">
      <c r="A462" s="2" t="str">
        <f ca="1">IF('Profit &amp; Loss'!A465&gt;=TODAY(),"Looking for friendly players to join the following game: " &amp; CHAR(10) &amp; CHAR(10) &amp; "Date: " &amp; TEXT('Profit &amp; Loss'!A465,"dd mmm yyy") &amp; ", " &amp; 'Profit &amp; Loss'!B465 &amp; CHAR(10) &amp; "Time: " &amp; TEXT('Profit &amp; Loss'!C465, "hh:mm AM/PM") &amp; " - " &amp; TEXT('Profit &amp; Loss'!D465, "hh:mm AM/PM") &amp; CHAR(10) &amp; "Venue: " &amp; 'Profit &amp; Loss'!E465 &amp; CHAR(10) &amp; "Level: HB - LI" &amp; CHAR(10) &amp; "Cost: $" &amp; 'Profit &amp; Loss'!O465 &amp; " per pax" &amp; CHAR(10) &amp; "Max " &amp; 'Profit &amp; Loss'!I465*6 &amp; " pax," &amp; " (" &amp; 'Profit &amp; Loss'!I465 &amp; " courts)" &amp; CHAR(10) &amp; CHAR(10) &amp; "RSL Ultimate shuttles provided" &amp; CHAR(10) &amp; CHAR(10) &amp; "PM if interested, thank you!"," ")</f>
        <v xml:space="preserve"> </v>
      </c>
      <c r="B462" s="2" t="str">
        <f ca="1">IF('Profit &amp; Loss'!A465&gt;=TODAY(), "Date: " &amp; TEXT('Profit &amp; Loss'!A465,"dd mmm yyy") &amp; ", " &amp; 'Profit &amp; Loss'!B465 &amp; CHAR(10) &amp; "Time: " &amp; TEXT('Profit &amp; Loss'!C465, "hh:mm AM/PM") &amp; " - " &amp; TEXT('Profit &amp; Loss'!D465, "hh:mm AM/PM") &amp; CHAR(10) &amp; "Venue: " &amp; 'Profit &amp; Loss'!E465 &amp; CHAR(10) &amp; "Court No.: " &amp; 'Profit &amp; Loss'!F465 &amp; CHAR(10) &amp; "Level: HB - LI" &amp; CHAR(10) &amp; "Please transfer $" &amp; 'Profit &amp; Loss'!O465 &amp; " per pax to Belle (83396501)" &amp; CHAR(10) &amp; CHAR(10) &amp; IF('Profit &amp; Loss'!I465=1, "1." &amp; CHAR(10) &amp; "2." &amp; CHAR(10) &amp; "3." &amp; CHAR(10) &amp; "4." &amp; CHAR(10) &amp; "5." &amp; CHAR(10) &amp; "6." &amp; CHAR(10), IF('Profit &amp; Loss'!I465=2,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3" spans="1:2" ht="12.5" x14ac:dyDescent="0.25">
      <c r="A463" s="2" t="str">
        <f ca="1">IF('Profit &amp; Loss'!A466&gt;=TODAY(),"Looking for friendly players to join the following game: " &amp; CHAR(10) &amp; CHAR(10) &amp; "Date: " &amp; TEXT('Profit &amp; Loss'!A466,"dd mmm yyy") &amp; ", " &amp; 'Profit &amp; Loss'!B466 &amp; CHAR(10) &amp; "Time: " &amp; TEXT('Profit &amp; Loss'!C466, "hh:mm AM/PM") &amp; " - " &amp; TEXT('Profit &amp; Loss'!D466, "hh:mm AM/PM") &amp; CHAR(10) &amp; "Venue: " &amp; 'Profit &amp; Loss'!E466 &amp; CHAR(10) &amp; "Level: HB - LI" &amp; CHAR(10) &amp; "Cost: $" &amp; 'Profit &amp; Loss'!O466 &amp; " per pax" &amp; CHAR(10) &amp; "Max " &amp; 'Profit &amp; Loss'!I466*6 &amp; " pax," &amp; " (" &amp; 'Profit &amp; Loss'!I466 &amp; " courts)" &amp; CHAR(10) &amp; CHAR(10) &amp; "RSL Ultimate shuttles provided" &amp; CHAR(10) &amp; CHAR(10) &amp; "PM if interested, thank you!"," ")</f>
        <v xml:space="preserve"> </v>
      </c>
      <c r="B463" s="2" t="str">
        <f ca="1">IF('Profit &amp; Loss'!A466&gt;=TODAY(), "Date: " &amp; TEXT('Profit &amp; Loss'!A466,"dd mmm yyy") &amp; ", " &amp; 'Profit &amp; Loss'!B466 &amp; CHAR(10) &amp; "Time: " &amp; TEXT('Profit &amp; Loss'!C466, "hh:mm AM/PM") &amp; " - " &amp; TEXT('Profit &amp; Loss'!D466, "hh:mm AM/PM") &amp; CHAR(10) &amp; "Venue: " &amp; 'Profit &amp; Loss'!E466 &amp; CHAR(10) &amp; "Court No.: " &amp; 'Profit &amp; Loss'!F466 &amp; CHAR(10) &amp; "Level: HB - LI" &amp; CHAR(10) &amp; "Please transfer $" &amp; 'Profit &amp; Loss'!O466 &amp; " per pax to Belle (83396501)" &amp; CHAR(10) &amp; CHAR(10) &amp; IF('Profit &amp; Loss'!I466=1, "1." &amp; CHAR(10) &amp; "2." &amp; CHAR(10) &amp; "3." &amp; CHAR(10) &amp; "4." &amp; CHAR(10) &amp; "5." &amp; CHAR(10) &amp; "6." &amp; CHAR(10), IF('Profit &amp; Loss'!I466=2,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4" spans="1:2" ht="12.5" x14ac:dyDescent="0.25">
      <c r="A464" s="2" t="str">
        <f ca="1">IF('Profit &amp; Loss'!A467&gt;=TODAY(),"Looking for friendly players to join the following game: " &amp; CHAR(10) &amp; CHAR(10) &amp; "Date: " &amp; TEXT('Profit &amp; Loss'!A467,"dd mmm yyy") &amp; ", " &amp; 'Profit &amp; Loss'!B467 &amp; CHAR(10) &amp; "Time: " &amp; TEXT('Profit &amp; Loss'!C467, "hh:mm AM/PM") &amp; " - " &amp; TEXT('Profit &amp; Loss'!D467, "hh:mm AM/PM") &amp; CHAR(10) &amp; "Venue: " &amp; 'Profit &amp; Loss'!E467 &amp; CHAR(10) &amp; "Level: HB - LI" &amp; CHAR(10) &amp; "Cost: $" &amp; 'Profit &amp; Loss'!O467 &amp; " per pax" &amp; CHAR(10) &amp; "Max " &amp; 'Profit &amp; Loss'!I467*6 &amp; " pax," &amp; " (" &amp; 'Profit &amp; Loss'!I467 &amp; " courts)" &amp; CHAR(10) &amp; CHAR(10) &amp; "RSL Ultimate shuttles provided" &amp; CHAR(10) &amp; CHAR(10) &amp; "PM if interested, thank you!"," ")</f>
        <v xml:space="preserve"> </v>
      </c>
      <c r="B464" s="2" t="str">
        <f ca="1">IF('Profit &amp; Loss'!A467&gt;=TODAY(), "Date: " &amp; TEXT('Profit &amp; Loss'!A467,"dd mmm yyy") &amp; ", " &amp; 'Profit &amp; Loss'!B467 &amp; CHAR(10) &amp; "Time: " &amp; TEXT('Profit &amp; Loss'!C467, "hh:mm AM/PM") &amp; " - " &amp; TEXT('Profit &amp; Loss'!D467, "hh:mm AM/PM") &amp; CHAR(10) &amp; "Venue: " &amp; 'Profit &amp; Loss'!E467 &amp; CHAR(10) &amp; "Court No.: " &amp; 'Profit &amp; Loss'!F467 &amp; CHAR(10) &amp; "Level: HB - LI" &amp; CHAR(10) &amp; "Please transfer $" &amp; 'Profit &amp; Loss'!O467 &amp; " per pax to Belle (83396501)" &amp; CHAR(10) &amp; CHAR(10) &amp; IF('Profit &amp; Loss'!I467=1, "1." &amp; CHAR(10) &amp; "2." &amp; CHAR(10) &amp; "3." &amp; CHAR(10) &amp; "4." &amp; CHAR(10) &amp; "5." &amp; CHAR(10) &amp; "6." &amp; CHAR(10), IF('Profit &amp; Loss'!I467=2,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5" spans="1:2" ht="12.5" x14ac:dyDescent="0.25">
      <c r="A465" s="2" t="str">
        <f ca="1">IF('Profit &amp; Loss'!A468&gt;=TODAY(),"Looking for friendly players to join the following game: " &amp; CHAR(10) &amp; CHAR(10) &amp; "Date: " &amp; TEXT('Profit &amp; Loss'!A468,"dd mmm yyy") &amp; ", " &amp; 'Profit &amp; Loss'!B468 &amp; CHAR(10) &amp; "Time: " &amp; TEXT('Profit &amp; Loss'!C468, "hh:mm AM/PM") &amp; " - " &amp; TEXT('Profit &amp; Loss'!D468, "hh:mm AM/PM") &amp; CHAR(10) &amp; "Venue: " &amp; 'Profit &amp; Loss'!E468 &amp; CHAR(10) &amp; "Level: HB - LI" &amp; CHAR(10) &amp; "Cost: $" &amp; 'Profit &amp; Loss'!O468 &amp; " per pax" &amp; CHAR(10) &amp; "Max " &amp; 'Profit &amp; Loss'!I468*6 &amp; " pax," &amp; " (" &amp; 'Profit &amp; Loss'!I468 &amp; " courts)" &amp; CHAR(10) &amp; CHAR(10) &amp; "RSL Ultimate shuttles provided" &amp; CHAR(10) &amp; CHAR(10) &amp; "PM if interested, thank you!"," ")</f>
        <v xml:space="preserve"> </v>
      </c>
      <c r="B465" s="2" t="str">
        <f ca="1">IF('Profit &amp; Loss'!A468&gt;=TODAY(), "Date: " &amp; TEXT('Profit &amp; Loss'!A468,"dd mmm yyy") &amp; ", " &amp; 'Profit &amp; Loss'!B468 &amp; CHAR(10) &amp; "Time: " &amp; TEXT('Profit &amp; Loss'!C468, "hh:mm AM/PM") &amp; " - " &amp; TEXT('Profit &amp; Loss'!D468, "hh:mm AM/PM") &amp; CHAR(10) &amp; "Venue: " &amp; 'Profit &amp; Loss'!E468 &amp; CHAR(10) &amp; "Court No.: " &amp; 'Profit &amp; Loss'!F468 &amp; CHAR(10) &amp; "Level: HB - LI" &amp; CHAR(10) &amp; "Please transfer $" &amp; 'Profit &amp; Loss'!O468 &amp; " per pax to Belle (83396501)" &amp; CHAR(10) &amp; CHAR(10) &amp; IF('Profit &amp; Loss'!I468=1, "1." &amp; CHAR(10) &amp; "2." &amp; CHAR(10) &amp; "3." &amp; CHAR(10) &amp; "4." &amp; CHAR(10) &amp; "5." &amp; CHAR(10) &amp; "6." &amp; CHAR(10), IF('Profit &amp; Loss'!I468=2,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6" spans="1:2" ht="12.5" x14ac:dyDescent="0.25">
      <c r="A466" s="2" t="str">
        <f ca="1">IF('Profit &amp; Loss'!A469&gt;=TODAY(),"Looking for friendly players to join the following game: " &amp; CHAR(10) &amp; CHAR(10) &amp; "Date: " &amp; TEXT('Profit &amp; Loss'!A469,"dd mmm yyy") &amp; ", " &amp; 'Profit &amp; Loss'!B469 &amp; CHAR(10) &amp; "Time: " &amp; TEXT('Profit &amp; Loss'!C469, "hh:mm AM/PM") &amp; " - " &amp; TEXT('Profit &amp; Loss'!D469, "hh:mm AM/PM") &amp; CHAR(10) &amp; "Venue: " &amp; 'Profit &amp; Loss'!E469 &amp; CHAR(10) &amp; "Level: HB - LI" &amp; CHAR(10) &amp; "Cost: $" &amp; 'Profit &amp; Loss'!O469 &amp; " per pax" &amp; CHAR(10) &amp; "Max " &amp; 'Profit &amp; Loss'!I469*6 &amp; " pax," &amp; " (" &amp; 'Profit &amp; Loss'!I469 &amp; " courts)" &amp; CHAR(10) &amp; CHAR(10) &amp; "RSL Ultimate shuttles provided" &amp; CHAR(10) &amp; CHAR(10) &amp; "PM if interested, thank you!"," ")</f>
        <v xml:space="preserve"> </v>
      </c>
      <c r="B466" s="2" t="str">
        <f ca="1">IF('Profit &amp; Loss'!A469&gt;=TODAY(), "Date: " &amp; TEXT('Profit &amp; Loss'!A469,"dd mmm yyy") &amp; ", " &amp; 'Profit &amp; Loss'!B469 &amp; CHAR(10) &amp; "Time: " &amp; TEXT('Profit &amp; Loss'!C469, "hh:mm AM/PM") &amp; " - " &amp; TEXT('Profit &amp; Loss'!D469, "hh:mm AM/PM") &amp; CHAR(10) &amp; "Venue: " &amp; 'Profit &amp; Loss'!E469 &amp; CHAR(10) &amp; "Court No.: " &amp; 'Profit &amp; Loss'!F469 &amp; CHAR(10) &amp; "Level: HB - LI" &amp; CHAR(10) &amp; "Please transfer $" &amp; 'Profit &amp; Loss'!O469 &amp; " per pax to Belle (83396501)" &amp; CHAR(10) &amp; CHAR(10) &amp; IF('Profit &amp; Loss'!I469=1, "1." &amp; CHAR(10) &amp; "2." &amp; CHAR(10) &amp; "3." &amp; CHAR(10) &amp; "4." &amp; CHAR(10) &amp; "5." &amp; CHAR(10) &amp; "6." &amp; CHAR(10), IF('Profit &amp; Loss'!I469=2,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7" spans="1:2" ht="12.5" x14ac:dyDescent="0.25">
      <c r="A467" s="2" t="str">
        <f ca="1">IF('Profit &amp; Loss'!A470&gt;=TODAY(),"Looking for friendly players to join the following game: " &amp; CHAR(10) &amp; CHAR(10) &amp; "Date: " &amp; TEXT('Profit &amp; Loss'!A470,"dd mmm yyy") &amp; ", " &amp; 'Profit &amp; Loss'!B470 &amp; CHAR(10) &amp; "Time: " &amp; TEXT('Profit &amp; Loss'!C470, "hh:mm AM/PM") &amp; " - " &amp; TEXT('Profit &amp; Loss'!D470, "hh:mm AM/PM") &amp; CHAR(10) &amp; "Venue: " &amp; 'Profit &amp; Loss'!E470 &amp; CHAR(10) &amp; "Level: HB - LI" &amp; CHAR(10) &amp; "Cost: $" &amp; 'Profit &amp; Loss'!O470 &amp; " per pax" &amp; CHAR(10) &amp; "Max " &amp; 'Profit &amp; Loss'!I470*6 &amp; " pax," &amp; " (" &amp; 'Profit &amp; Loss'!I470 &amp; " courts)" &amp; CHAR(10) &amp; CHAR(10) &amp; "RSL Ultimate shuttles provided" &amp; CHAR(10) &amp; CHAR(10) &amp; "PM if interested, thank you!"," ")</f>
        <v xml:space="preserve"> </v>
      </c>
      <c r="B467" s="2" t="str">
        <f ca="1">IF('Profit &amp; Loss'!A470&gt;=TODAY(), "Date: " &amp; TEXT('Profit &amp; Loss'!A470,"dd mmm yyy") &amp; ", " &amp; 'Profit &amp; Loss'!B470 &amp; CHAR(10) &amp; "Time: " &amp; TEXT('Profit &amp; Loss'!C470, "hh:mm AM/PM") &amp; " - " &amp; TEXT('Profit &amp; Loss'!D470, "hh:mm AM/PM") &amp; CHAR(10) &amp; "Venue: " &amp; 'Profit &amp; Loss'!E470 &amp; CHAR(10) &amp; "Court No.: " &amp; 'Profit &amp; Loss'!F470 &amp; CHAR(10) &amp; "Level: HB - LI" &amp; CHAR(10) &amp; "Please transfer $" &amp; 'Profit &amp; Loss'!O470 &amp; " per pax to Belle (83396501)" &amp; CHAR(10) &amp; CHAR(10) &amp; IF('Profit &amp; Loss'!I470=1, "1." &amp; CHAR(10) &amp; "2." &amp; CHAR(10) &amp; "3." &amp; CHAR(10) &amp; "4." &amp; CHAR(10) &amp; "5." &amp; CHAR(10) &amp; "6." &amp; CHAR(10), IF('Profit &amp; Loss'!I470=2,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8" spans="1:2" ht="12.5" x14ac:dyDescent="0.25">
      <c r="A468" s="2" t="str">
        <f ca="1">IF('Profit &amp; Loss'!A471&gt;=TODAY(),"Looking for friendly players to join the following game: " &amp; CHAR(10) &amp; CHAR(10) &amp; "Date: " &amp; TEXT('Profit &amp; Loss'!A471,"dd mmm yyy") &amp; ", " &amp; 'Profit &amp; Loss'!B471 &amp; CHAR(10) &amp; "Time: " &amp; TEXT('Profit &amp; Loss'!C471, "hh:mm AM/PM") &amp; " - " &amp; TEXT('Profit &amp; Loss'!D471, "hh:mm AM/PM") &amp; CHAR(10) &amp; "Venue: " &amp; 'Profit &amp; Loss'!E471 &amp; CHAR(10) &amp; "Level: HB - LI" &amp; CHAR(10) &amp; "Cost: $" &amp; 'Profit &amp; Loss'!O471 &amp; " per pax" &amp; CHAR(10) &amp; "Max " &amp; 'Profit &amp; Loss'!I471*6 &amp; " pax," &amp; " (" &amp; 'Profit &amp; Loss'!I471 &amp; " courts)" &amp; CHAR(10) &amp; CHAR(10) &amp; "RSL Ultimate shuttles provided" &amp; CHAR(10) &amp; CHAR(10) &amp; "PM if interested, thank you!"," ")</f>
        <v xml:space="preserve"> </v>
      </c>
      <c r="B468" s="2" t="str">
        <f ca="1">IF('Profit &amp; Loss'!A471&gt;=TODAY(), "Date: " &amp; TEXT('Profit &amp; Loss'!A471,"dd mmm yyy") &amp; ", " &amp; 'Profit &amp; Loss'!B471 &amp; CHAR(10) &amp; "Time: " &amp; TEXT('Profit &amp; Loss'!C471, "hh:mm AM/PM") &amp; " - " &amp; TEXT('Profit &amp; Loss'!D471, "hh:mm AM/PM") &amp; CHAR(10) &amp; "Venue: " &amp; 'Profit &amp; Loss'!E471 &amp; CHAR(10) &amp; "Court No.: " &amp; 'Profit &amp; Loss'!F471 &amp; CHAR(10) &amp; "Level: HB - LI" &amp; CHAR(10) &amp; "Please transfer $" &amp; 'Profit &amp; Loss'!O471 &amp; " per pax to Belle (83396501)" &amp; CHAR(10) &amp; CHAR(10) &amp; IF('Profit &amp; Loss'!I471=1, "1." &amp; CHAR(10) &amp; "2." &amp; CHAR(10) &amp; "3." &amp; CHAR(10) &amp; "4." &amp; CHAR(10) &amp; "5." &amp; CHAR(10) &amp; "6." &amp; CHAR(10), IF('Profit &amp; Loss'!I471=2,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69" spans="1:2" ht="12.5" x14ac:dyDescent="0.25">
      <c r="A469" s="2" t="str">
        <f ca="1">IF('Profit &amp; Loss'!A472&gt;=TODAY(),"Looking for friendly players to join the following game: " &amp; CHAR(10) &amp; CHAR(10) &amp; "Date: " &amp; TEXT('Profit &amp; Loss'!A472,"dd mmm yyy") &amp; ", " &amp; 'Profit &amp; Loss'!B472 &amp; CHAR(10) &amp; "Time: " &amp; TEXT('Profit &amp; Loss'!C472, "hh:mm AM/PM") &amp; " - " &amp; TEXT('Profit &amp; Loss'!D472, "hh:mm AM/PM") &amp; CHAR(10) &amp; "Venue: " &amp; 'Profit &amp; Loss'!E472 &amp; CHAR(10) &amp; "Level: HB - LI" &amp; CHAR(10) &amp; "Cost: $" &amp; 'Profit &amp; Loss'!O472 &amp; " per pax" &amp; CHAR(10) &amp; "Max " &amp; 'Profit &amp; Loss'!I472*6 &amp; " pax," &amp; " (" &amp; 'Profit &amp; Loss'!I472 &amp; " courts)" &amp; CHAR(10) &amp; CHAR(10) &amp; "RSL Ultimate shuttles provided" &amp; CHAR(10) &amp; CHAR(10) &amp; "PM if interested, thank you!"," ")</f>
        <v xml:space="preserve"> </v>
      </c>
      <c r="B469" s="2" t="str">
        <f ca="1">IF('Profit &amp; Loss'!A472&gt;=TODAY(), "Date: " &amp; TEXT('Profit &amp; Loss'!A472,"dd mmm yyy") &amp; ", " &amp; 'Profit &amp; Loss'!B472 &amp; CHAR(10) &amp; "Time: " &amp; TEXT('Profit &amp; Loss'!C472, "hh:mm AM/PM") &amp; " - " &amp; TEXT('Profit &amp; Loss'!D472, "hh:mm AM/PM") &amp; CHAR(10) &amp; "Venue: " &amp; 'Profit &amp; Loss'!E472 &amp; CHAR(10) &amp; "Court No.: " &amp; 'Profit &amp; Loss'!F472 &amp; CHAR(10) &amp; "Level: HB - LI" &amp; CHAR(10) &amp; "Please transfer $" &amp; 'Profit &amp; Loss'!O472 &amp; " per pax to Belle (83396501)" &amp; CHAR(10) &amp; CHAR(10) &amp; IF('Profit &amp; Loss'!I472=1, "1." &amp; CHAR(10) &amp; "2." &amp; CHAR(10) &amp; "3." &amp; CHAR(10) &amp; "4." &amp; CHAR(10) &amp; "5." &amp; CHAR(10) &amp; "6." &amp; CHAR(10), IF('Profit &amp; Loss'!I472=2,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0" spans="1:2" ht="12.5" x14ac:dyDescent="0.25">
      <c r="A470" s="2" t="str">
        <f ca="1">IF('Profit &amp; Loss'!A473&gt;=TODAY(),"Looking for friendly players to join the following game: " &amp; CHAR(10) &amp; CHAR(10) &amp; "Date: " &amp; TEXT('Profit &amp; Loss'!A473,"dd mmm yyy") &amp; ", " &amp; 'Profit &amp; Loss'!B473 &amp; CHAR(10) &amp; "Time: " &amp; TEXT('Profit &amp; Loss'!C473, "hh:mm AM/PM") &amp; " - " &amp; TEXT('Profit &amp; Loss'!D473, "hh:mm AM/PM") &amp; CHAR(10) &amp; "Venue: " &amp; 'Profit &amp; Loss'!E473 &amp; CHAR(10) &amp; "Level: HB - LI" &amp; CHAR(10) &amp; "Cost: $" &amp; 'Profit &amp; Loss'!O473 &amp; " per pax" &amp; CHAR(10) &amp; "Max " &amp; 'Profit &amp; Loss'!I473*6 &amp; " pax," &amp; " (" &amp; 'Profit &amp; Loss'!I473 &amp; " courts)" &amp; CHAR(10) &amp; CHAR(10) &amp; "RSL Ultimate shuttles provided" &amp; CHAR(10) &amp; CHAR(10) &amp; "PM if interested, thank you!"," ")</f>
        <v xml:space="preserve"> </v>
      </c>
      <c r="B470" s="2" t="str">
        <f ca="1">IF('Profit &amp; Loss'!A473&gt;=TODAY(), "Date: " &amp; TEXT('Profit &amp; Loss'!A473,"dd mmm yyy") &amp; ", " &amp; 'Profit &amp; Loss'!B473 &amp; CHAR(10) &amp; "Time: " &amp; TEXT('Profit &amp; Loss'!C473, "hh:mm AM/PM") &amp; " - " &amp; TEXT('Profit &amp; Loss'!D473, "hh:mm AM/PM") &amp; CHAR(10) &amp; "Venue: " &amp; 'Profit &amp; Loss'!E473 &amp; CHAR(10) &amp; "Court No.: " &amp; 'Profit &amp; Loss'!F473 &amp; CHAR(10) &amp; "Level: HB - LI" &amp; CHAR(10) &amp; "Please transfer $" &amp; 'Profit &amp; Loss'!O473 &amp; " per pax to Belle (83396501)" &amp; CHAR(10) &amp; CHAR(10) &amp; IF('Profit &amp; Loss'!I473=1, "1." &amp; CHAR(10) &amp; "2." &amp; CHAR(10) &amp; "3." &amp; CHAR(10) &amp; "4." &amp; CHAR(10) &amp; "5." &amp; CHAR(10) &amp; "6." &amp; CHAR(10), IF('Profit &amp; Loss'!I473=2,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1" spans="1:2" ht="12.5" x14ac:dyDescent="0.25">
      <c r="A471" s="2" t="str">
        <f ca="1">IF('Profit &amp; Loss'!A474&gt;=TODAY(),"Looking for friendly players to join the following game: " &amp; CHAR(10) &amp; CHAR(10) &amp; "Date: " &amp; TEXT('Profit &amp; Loss'!A474,"dd mmm yyy") &amp; ", " &amp; 'Profit &amp; Loss'!B474 &amp; CHAR(10) &amp; "Time: " &amp; TEXT('Profit &amp; Loss'!C474, "hh:mm AM/PM") &amp; " - " &amp; TEXT('Profit &amp; Loss'!D474, "hh:mm AM/PM") &amp; CHAR(10) &amp; "Venue: " &amp; 'Profit &amp; Loss'!E474 &amp; CHAR(10) &amp; "Level: HB - LI" &amp; CHAR(10) &amp; "Cost: $" &amp; 'Profit &amp; Loss'!O474 &amp; " per pax" &amp; CHAR(10) &amp; "Max " &amp; 'Profit &amp; Loss'!I474*6 &amp; " pax," &amp; " (" &amp; 'Profit &amp; Loss'!I474 &amp; " courts)" &amp; CHAR(10) &amp; CHAR(10) &amp; "RSL Ultimate shuttles provided" &amp; CHAR(10) &amp; CHAR(10) &amp; "PM if interested, thank you!"," ")</f>
        <v xml:space="preserve"> </v>
      </c>
      <c r="B471" s="2" t="str">
        <f ca="1">IF('Profit &amp; Loss'!A474&gt;=TODAY(), "Date: " &amp; TEXT('Profit &amp; Loss'!A474,"dd mmm yyy") &amp; ", " &amp; 'Profit &amp; Loss'!B474 &amp; CHAR(10) &amp; "Time: " &amp; TEXT('Profit &amp; Loss'!C474, "hh:mm AM/PM") &amp; " - " &amp; TEXT('Profit &amp; Loss'!D474, "hh:mm AM/PM") &amp; CHAR(10) &amp; "Venue: " &amp; 'Profit &amp; Loss'!E474 &amp; CHAR(10) &amp; "Court No.: " &amp; 'Profit &amp; Loss'!F474 &amp; CHAR(10) &amp; "Level: HB - LI" &amp; CHAR(10) &amp; "Please transfer $" &amp; 'Profit &amp; Loss'!O474 &amp; " per pax to Belle (83396501)" &amp; CHAR(10) &amp; CHAR(10) &amp; IF('Profit &amp; Loss'!I474=1, "1." &amp; CHAR(10) &amp; "2." &amp; CHAR(10) &amp; "3." &amp; CHAR(10) &amp; "4." &amp; CHAR(10) &amp; "5." &amp; CHAR(10) &amp; "6." &amp; CHAR(10), IF('Profit &amp; Loss'!I474=2,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2" spans="1:2" ht="12.5" x14ac:dyDescent="0.25">
      <c r="A472" s="2" t="str">
        <f ca="1">IF('Profit &amp; Loss'!A475&gt;=TODAY(),"Looking for friendly players to join the following game: " &amp; CHAR(10) &amp; CHAR(10) &amp; "Date: " &amp; TEXT('Profit &amp; Loss'!A475,"dd mmm yyy") &amp; ", " &amp; 'Profit &amp; Loss'!B475 &amp; CHAR(10) &amp; "Time: " &amp; TEXT('Profit &amp; Loss'!C475, "hh:mm AM/PM") &amp; " - " &amp; TEXT('Profit &amp; Loss'!D475, "hh:mm AM/PM") &amp; CHAR(10) &amp; "Venue: " &amp; 'Profit &amp; Loss'!E475 &amp; CHAR(10) &amp; "Level: HB - LI" &amp; CHAR(10) &amp; "Cost: $" &amp; 'Profit &amp; Loss'!O475 &amp; " per pax" &amp; CHAR(10) &amp; "Max " &amp; 'Profit &amp; Loss'!I475*6 &amp; " pax," &amp; " (" &amp; 'Profit &amp; Loss'!I475 &amp; " courts)" &amp; CHAR(10) &amp; CHAR(10) &amp; "RSL Ultimate shuttles provided" &amp; CHAR(10) &amp; CHAR(10) &amp; "PM if interested, thank you!"," ")</f>
        <v xml:space="preserve"> </v>
      </c>
      <c r="B472" s="2" t="str">
        <f ca="1">IF('Profit &amp; Loss'!A475&gt;=TODAY(), "Date: " &amp; TEXT('Profit &amp; Loss'!A475,"dd mmm yyy") &amp; ", " &amp; 'Profit &amp; Loss'!B475 &amp; CHAR(10) &amp; "Time: " &amp; TEXT('Profit &amp; Loss'!C475, "hh:mm AM/PM") &amp; " - " &amp; TEXT('Profit &amp; Loss'!D475, "hh:mm AM/PM") &amp; CHAR(10) &amp; "Venue: " &amp; 'Profit &amp; Loss'!E475 &amp; CHAR(10) &amp; "Court No.: " &amp; 'Profit &amp; Loss'!F475 &amp; CHAR(10) &amp; "Level: HB - LI" &amp; CHAR(10) &amp; "Please transfer $" &amp; 'Profit &amp; Loss'!O475 &amp; " per pax to Belle (83396501)" &amp; CHAR(10) &amp; CHAR(10) &amp; IF('Profit &amp; Loss'!I475=1, "1." &amp; CHAR(10) &amp; "2." &amp; CHAR(10) &amp; "3." &amp; CHAR(10) &amp; "4." &amp; CHAR(10) &amp; "5." &amp; CHAR(10) &amp; "6." &amp; CHAR(10), IF('Profit &amp; Loss'!I475=2,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3" spans="1:2" ht="12.5" x14ac:dyDescent="0.25">
      <c r="A473" s="2" t="str">
        <f ca="1">IF('Profit &amp; Loss'!A476&gt;=TODAY(),"Looking for friendly players to join the following game: " &amp; CHAR(10) &amp; CHAR(10) &amp; "Date: " &amp; TEXT('Profit &amp; Loss'!A476,"dd mmm yyy") &amp; ", " &amp; 'Profit &amp; Loss'!B476 &amp; CHAR(10) &amp; "Time: " &amp; TEXT('Profit &amp; Loss'!C476, "hh:mm AM/PM") &amp; " - " &amp; TEXT('Profit &amp; Loss'!D476, "hh:mm AM/PM") &amp; CHAR(10) &amp; "Venue: " &amp; 'Profit &amp; Loss'!E476 &amp; CHAR(10) &amp; "Level: HB - LI" &amp; CHAR(10) &amp; "Cost: $" &amp; 'Profit &amp; Loss'!O476 &amp; " per pax" &amp; CHAR(10) &amp; "Max " &amp; 'Profit &amp; Loss'!I476*6 &amp; " pax," &amp; " (" &amp; 'Profit &amp; Loss'!I476 &amp; " courts)" &amp; CHAR(10) &amp; CHAR(10) &amp; "RSL Ultimate shuttles provided" &amp; CHAR(10) &amp; CHAR(10) &amp; "PM if interested, thank you!"," ")</f>
        <v xml:space="preserve"> </v>
      </c>
      <c r="B473" s="2" t="str">
        <f ca="1">IF('Profit &amp; Loss'!A476&gt;=TODAY(), "Date: " &amp; TEXT('Profit &amp; Loss'!A476,"dd mmm yyy") &amp; ", " &amp; 'Profit &amp; Loss'!B476 &amp; CHAR(10) &amp; "Time: " &amp; TEXT('Profit &amp; Loss'!C476, "hh:mm AM/PM") &amp; " - " &amp; TEXT('Profit &amp; Loss'!D476, "hh:mm AM/PM") &amp; CHAR(10) &amp; "Venue: " &amp; 'Profit &amp; Loss'!E476 &amp; CHAR(10) &amp; "Court No.: " &amp; 'Profit &amp; Loss'!F476 &amp; CHAR(10) &amp; "Level: HB - LI" &amp; CHAR(10) &amp; "Please transfer $" &amp; 'Profit &amp; Loss'!O476 &amp; " per pax to Belle (83396501)" &amp; CHAR(10) &amp; CHAR(10) &amp; IF('Profit &amp; Loss'!I476=1, "1." &amp; CHAR(10) &amp; "2." &amp; CHAR(10) &amp; "3." &amp; CHAR(10) &amp; "4." &amp; CHAR(10) &amp; "5." &amp; CHAR(10) &amp; "6." &amp; CHAR(10), IF('Profit &amp; Loss'!I476=2,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4" spans="1:2" ht="12.5" x14ac:dyDescent="0.25">
      <c r="A474" s="2" t="str">
        <f ca="1">IF('Profit &amp; Loss'!A477&gt;=TODAY(),"Looking for friendly players to join the following game: " &amp; CHAR(10) &amp; CHAR(10) &amp; "Date: " &amp; TEXT('Profit &amp; Loss'!A477,"dd mmm yyy") &amp; ", " &amp; 'Profit &amp; Loss'!B477 &amp; CHAR(10) &amp; "Time: " &amp; TEXT('Profit &amp; Loss'!C477, "hh:mm AM/PM") &amp; " - " &amp; TEXT('Profit &amp; Loss'!D477, "hh:mm AM/PM") &amp; CHAR(10) &amp; "Venue: " &amp; 'Profit &amp; Loss'!E477 &amp; CHAR(10) &amp; "Level: HB - LI" &amp; CHAR(10) &amp; "Cost: $" &amp; 'Profit &amp; Loss'!O477 &amp; " per pax" &amp; CHAR(10) &amp; "Max " &amp; 'Profit &amp; Loss'!I477*6 &amp; " pax," &amp; " (" &amp; 'Profit &amp; Loss'!I477 &amp; " courts)" &amp; CHAR(10) &amp; CHAR(10) &amp; "RSL Ultimate shuttles provided" &amp; CHAR(10) &amp; CHAR(10) &amp; "PM if interested, thank you!"," ")</f>
        <v xml:space="preserve"> </v>
      </c>
      <c r="B474" s="2" t="str">
        <f ca="1">IF('Profit &amp; Loss'!A477&gt;=TODAY(), "Date: " &amp; TEXT('Profit &amp; Loss'!A477,"dd mmm yyy") &amp; ", " &amp; 'Profit &amp; Loss'!B477 &amp; CHAR(10) &amp; "Time: " &amp; TEXT('Profit &amp; Loss'!C477, "hh:mm AM/PM") &amp; " - " &amp; TEXT('Profit &amp; Loss'!D477, "hh:mm AM/PM") &amp; CHAR(10) &amp; "Venue: " &amp; 'Profit &amp; Loss'!E477 &amp; CHAR(10) &amp; "Court No.: " &amp; 'Profit &amp; Loss'!F477 &amp; CHAR(10) &amp; "Level: HB - LI" &amp; CHAR(10) &amp; "Please transfer $" &amp; 'Profit &amp; Loss'!O477 &amp; " per pax to Belle (83396501)" &amp; CHAR(10) &amp; CHAR(10) &amp; IF('Profit &amp; Loss'!I477=1, "1." &amp; CHAR(10) &amp; "2." &amp; CHAR(10) &amp; "3." &amp; CHAR(10) &amp; "4." &amp; CHAR(10) &amp; "5." &amp; CHAR(10) &amp; "6." &amp; CHAR(10), IF('Profit &amp; Loss'!I477=2,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5" spans="1:2" ht="12.5" x14ac:dyDescent="0.25">
      <c r="A475" s="2" t="str">
        <f ca="1">IF('Profit &amp; Loss'!A478&gt;=TODAY(),"Looking for friendly players to join the following game: " &amp; CHAR(10) &amp; CHAR(10) &amp; "Date: " &amp; TEXT('Profit &amp; Loss'!A478,"dd mmm yyy") &amp; ", " &amp; 'Profit &amp; Loss'!B478 &amp; CHAR(10) &amp; "Time: " &amp; TEXT('Profit &amp; Loss'!C478, "hh:mm AM/PM") &amp; " - " &amp; TEXT('Profit &amp; Loss'!D478, "hh:mm AM/PM") &amp; CHAR(10) &amp; "Venue: " &amp; 'Profit &amp; Loss'!E478 &amp; CHAR(10) &amp; "Level: HB - LI" &amp; CHAR(10) &amp; "Cost: $" &amp; 'Profit &amp; Loss'!O478 &amp; " per pax" &amp; CHAR(10) &amp; "Max " &amp; 'Profit &amp; Loss'!I478*6 &amp; " pax," &amp; " (" &amp; 'Profit &amp; Loss'!I478 &amp; " courts)" &amp; CHAR(10) &amp; CHAR(10) &amp; "RSL Ultimate shuttles provided" &amp; CHAR(10) &amp; CHAR(10) &amp; "PM if interested, thank you!"," ")</f>
        <v xml:space="preserve"> </v>
      </c>
      <c r="B475" s="2" t="str">
        <f ca="1">IF('Profit &amp; Loss'!A478&gt;=TODAY(), "Date: " &amp; TEXT('Profit &amp; Loss'!A478,"dd mmm yyy") &amp; ", " &amp; 'Profit &amp; Loss'!B478 &amp; CHAR(10) &amp; "Time: " &amp; TEXT('Profit &amp; Loss'!C478, "hh:mm AM/PM") &amp; " - " &amp; TEXT('Profit &amp; Loss'!D478, "hh:mm AM/PM") &amp; CHAR(10) &amp; "Venue: " &amp; 'Profit &amp; Loss'!E478 &amp; CHAR(10) &amp; "Court No.: " &amp; 'Profit &amp; Loss'!F478 &amp; CHAR(10) &amp; "Level: HB - LI" &amp; CHAR(10) &amp; "Please transfer $" &amp; 'Profit &amp; Loss'!O478 &amp; " per pax to Belle (83396501)" &amp; CHAR(10) &amp; CHAR(10) &amp; IF('Profit &amp; Loss'!I478=1, "1." &amp; CHAR(10) &amp; "2." &amp; CHAR(10) &amp; "3." &amp; CHAR(10) &amp; "4." &amp; CHAR(10) &amp; "5." &amp; CHAR(10) &amp; "6." &amp; CHAR(10), IF('Profit &amp; Loss'!I478=2,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6" spans="1:2" ht="12.5" x14ac:dyDescent="0.25">
      <c r="A476" s="2" t="str">
        <f ca="1">IF('Profit &amp; Loss'!A479&gt;=TODAY(),"Looking for friendly players to join the following game: " &amp; CHAR(10) &amp; CHAR(10) &amp; "Date: " &amp; TEXT('Profit &amp; Loss'!A479,"dd mmm yyy") &amp; ", " &amp; 'Profit &amp; Loss'!B479 &amp; CHAR(10) &amp; "Time: " &amp; TEXT('Profit &amp; Loss'!C479, "hh:mm AM/PM") &amp; " - " &amp; TEXT('Profit &amp; Loss'!D479, "hh:mm AM/PM") &amp; CHAR(10) &amp; "Venue: " &amp; 'Profit &amp; Loss'!E479 &amp; CHAR(10) &amp; "Level: HB - LI" &amp; CHAR(10) &amp; "Cost: $" &amp; 'Profit &amp; Loss'!O479 &amp; " per pax" &amp; CHAR(10) &amp; "Max " &amp; 'Profit &amp; Loss'!I479*6 &amp; " pax," &amp; " (" &amp; 'Profit &amp; Loss'!I479 &amp; " courts)" &amp; CHAR(10) &amp; CHAR(10) &amp; "RSL Ultimate shuttles provided" &amp; CHAR(10) &amp; CHAR(10) &amp; "PM if interested, thank you!"," ")</f>
        <v xml:space="preserve"> </v>
      </c>
      <c r="B476" s="2" t="str">
        <f ca="1">IF('Profit &amp; Loss'!A479&gt;=TODAY(), "Date: " &amp; TEXT('Profit &amp; Loss'!A479,"dd mmm yyy") &amp; ", " &amp; 'Profit &amp; Loss'!B479 &amp; CHAR(10) &amp; "Time: " &amp; TEXT('Profit &amp; Loss'!C479, "hh:mm AM/PM") &amp; " - " &amp; TEXT('Profit &amp; Loss'!D479, "hh:mm AM/PM") &amp; CHAR(10) &amp; "Venue: " &amp; 'Profit &amp; Loss'!E479 &amp; CHAR(10) &amp; "Court No.: " &amp; 'Profit &amp; Loss'!F479 &amp; CHAR(10) &amp; "Level: HB - LI" &amp; CHAR(10) &amp; "Please transfer $" &amp; 'Profit &amp; Loss'!O479 &amp; " per pax to Belle (83396501)" &amp; CHAR(10) &amp; CHAR(10) &amp; IF('Profit &amp; Loss'!I479=1, "1." &amp; CHAR(10) &amp; "2." &amp; CHAR(10) &amp; "3." &amp; CHAR(10) &amp; "4." &amp; CHAR(10) &amp; "5." &amp; CHAR(10) &amp; "6." &amp; CHAR(10), IF('Profit &amp; Loss'!I479=2,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7" spans="1:2" ht="12.5" x14ac:dyDescent="0.25">
      <c r="A477" s="2" t="str">
        <f ca="1">IF('Profit &amp; Loss'!A480&gt;=TODAY(),"Looking for friendly players to join the following game: " &amp; CHAR(10) &amp; CHAR(10) &amp; "Date: " &amp; TEXT('Profit &amp; Loss'!A480,"dd mmm yyy") &amp; ", " &amp; 'Profit &amp; Loss'!B480 &amp; CHAR(10) &amp; "Time: " &amp; TEXT('Profit &amp; Loss'!C480, "hh:mm AM/PM") &amp; " - " &amp; TEXT('Profit &amp; Loss'!D480, "hh:mm AM/PM") &amp; CHAR(10) &amp; "Venue: " &amp; 'Profit &amp; Loss'!E480 &amp; CHAR(10) &amp; "Level: HB - LI" &amp; CHAR(10) &amp; "Cost: $" &amp; 'Profit &amp; Loss'!O480 &amp; " per pax" &amp; CHAR(10) &amp; "Max " &amp; 'Profit &amp; Loss'!I480*6 &amp; " pax," &amp; " (" &amp; 'Profit &amp; Loss'!I480 &amp; " courts)" &amp; CHAR(10) &amp; CHAR(10) &amp; "RSL Ultimate shuttles provided" &amp; CHAR(10) &amp; CHAR(10) &amp; "PM if interested, thank you!"," ")</f>
        <v xml:space="preserve"> </v>
      </c>
      <c r="B477" s="2" t="str">
        <f ca="1">IF('Profit &amp; Loss'!A480&gt;=TODAY(), "Date: " &amp; TEXT('Profit &amp; Loss'!A480,"dd mmm yyy") &amp; ", " &amp; 'Profit &amp; Loss'!B480 &amp; CHAR(10) &amp; "Time: " &amp; TEXT('Profit &amp; Loss'!C480, "hh:mm AM/PM") &amp; " - " &amp; TEXT('Profit &amp; Loss'!D480, "hh:mm AM/PM") &amp; CHAR(10) &amp; "Venue: " &amp; 'Profit &amp; Loss'!E480 &amp; CHAR(10) &amp; "Court No.: " &amp; 'Profit &amp; Loss'!F480 &amp; CHAR(10) &amp; "Level: HB - LI" &amp; CHAR(10) &amp; "Please transfer $" &amp; 'Profit &amp; Loss'!O480 &amp; " per pax to Belle (83396501)" &amp; CHAR(10) &amp; CHAR(10) &amp; IF('Profit &amp; Loss'!I480=1, "1." &amp; CHAR(10) &amp; "2." &amp; CHAR(10) &amp; "3." &amp; CHAR(10) &amp; "4." &amp; CHAR(10) &amp; "5." &amp; CHAR(10) &amp; "6." &amp; CHAR(10), IF('Profit &amp; Loss'!I480=2,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8" spans="1:2" ht="12.5" x14ac:dyDescent="0.25">
      <c r="A478" s="2" t="str">
        <f ca="1">IF('Profit &amp; Loss'!A481&gt;=TODAY(),"Looking for friendly players to join the following game: " &amp; CHAR(10) &amp; CHAR(10) &amp; "Date: " &amp; TEXT('Profit &amp; Loss'!A481,"dd mmm yyy") &amp; ", " &amp; 'Profit &amp; Loss'!B481 &amp; CHAR(10) &amp; "Time: " &amp; TEXT('Profit &amp; Loss'!C481, "hh:mm AM/PM") &amp; " - " &amp; TEXT('Profit &amp; Loss'!D481, "hh:mm AM/PM") &amp; CHAR(10) &amp; "Venue: " &amp; 'Profit &amp; Loss'!E481 &amp; CHAR(10) &amp; "Level: HB - LI" &amp; CHAR(10) &amp; "Cost: $" &amp; 'Profit &amp; Loss'!O481 &amp; " per pax" &amp; CHAR(10) &amp; "Max " &amp; 'Profit &amp; Loss'!I481*6 &amp; " pax," &amp; " (" &amp; 'Profit &amp; Loss'!I481 &amp; " courts)" &amp; CHAR(10) &amp; CHAR(10) &amp; "RSL Ultimate shuttles provided" &amp; CHAR(10) &amp; CHAR(10) &amp; "PM if interested, thank you!"," ")</f>
        <v xml:space="preserve"> </v>
      </c>
      <c r="B478" s="2" t="str">
        <f ca="1">IF('Profit &amp; Loss'!A481&gt;=TODAY(), "Date: " &amp; TEXT('Profit &amp; Loss'!A481,"dd mmm yyy") &amp; ", " &amp; 'Profit &amp; Loss'!B481 &amp; CHAR(10) &amp; "Time: " &amp; TEXT('Profit &amp; Loss'!C481, "hh:mm AM/PM") &amp; " - " &amp; TEXT('Profit &amp; Loss'!D481, "hh:mm AM/PM") &amp; CHAR(10) &amp; "Venue: " &amp; 'Profit &amp; Loss'!E481 &amp; CHAR(10) &amp; "Court No.: " &amp; 'Profit &amp; Loss'!F481 &amp; CHAR(10) &amp; "Level: HB - LI" &amp; CHAR(10) &amp; "Please transfer $" &amp; 'Profit &amp; Loss'!O481 &amp; " per pax to Belle (83396501)" &amp; CHAR(10) &amp; CHAR(10) &amp; IF('Profit &amp; Loss'!I481=1, "1." &amp; CHAR(10) &amp; "2." &amp; CHAR(10) &amp; "3." &amp; CHAR(10) &amp; "4." &amp; CHAR(10) &amp; "5." &amp; CHAR(10) &amp; "6." &amp; CHAR(10), IF('Profit &amp; Loss'!I481=2,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79" spans="1:2" ht="12.5" x14ac:dyDescent="0.25">
      <c r="A479" s="2" t="str">
        <f ca="1">IF('Profit &amp; Loss'!A482&gt;=TODAY(),"Looking for friendly players to join the following game: " &amp; CHAR(10) &amp; CHAR(10) &amp; "Date: " &amp; TEXT('Profit &amp; Loss'!A482,"dd mmm yyy") &amp; ", " &amp; 'Profit &amp; Loss'!B482 &amp; CHAR(10) &amp; "Time: " &amp; TEXT('Profit &amp; Loss'!C482, "hh:mm AM/PM") &amp; " - " &amp; TEXT('Profit &amp; Loss'!D482, "hh:mm AM/PM") &amp; CHAR(10) &amp; "Venue: " &amp; 'Profit &amp; Loss'!E482 &amp; CHAR(10) &amp; "Level: HB - LI" &amp; CHAR(10) &amp; "Cost: $" &amp; 'Profit &amp; Loss'!O482 &amp; " per pax" &amp; CHAR(10) &amp; "Max " &amp; 'Profit &amp; Loss'!I482*6 &amp; " pax," &amp; " (" &amp; 'Profit &amp; Loss'!I482 &amp; " courts)" &amp; CHAR(10) &amp; CHAR(10) &amp; "RSL Ultimate shuttles provided" &amp; CHAR(10) &amp; CHAR(10) &amp; "PM if interested, thank you!"," ")</f>
        <v xml:space="preserve"> </v>
      </c>
      <c r="B479" s="2" t="str">
        <f ca="1">IF('Profit &amp; Loss'!A482&gt;=TODAY(), "Date: " &amp; TEXT('Profit &amp; Loss'!A482,"dd mmm yyy") &amp; ", " &amp; 'Profit &amp; Loss'!B482 &amp; CHAR(10) &amp; "Time: " &amp; TEXT('Profit &amp; Loss'!C482, "hh:mm AM/PM") &amp; " - " &amp; TEXT('Profit &amp; Loss'!D482, "hh:mm AM/PM") &amp; CHAR(10) &amp; "Venue: " &amp; 'Profit &amp; Loss'!E482 &amp; CHAR(10) &amp; "Court No.: " &amp; 'Profit &amp; Loss'!F482 &amp; CHAR(10) &amp; "Level: HB - LI" &amp; CHAR(10) &amp; "Please transfer $" &amp; 'Profit &amp; Loss'!O482 &amp; " per pax to Belle (83396501)" &amp; CHAR(10) &amp; CHAR(10) &amp; IF('Profit &amp; Loss'!I482=1, "1." &amp; CHAR(10) &amp; "2." &amp; CHAR(10) &amp; "3." &amp; CHAR(10) &amp; "4." &amp; CHAR(10) &amp; "5." &amp; CHAR(10) &amp; "6." &amp; CHAR(10), IF('Profit &amp; Loss'!I482=2,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0" spans="1:2" ht="12.5" x14ac:dyDescent="0.25">
      <c r="A480" s="2" t="str">
        <f ca="1">IF('Profit &amp; Loss'!A483&gt;=TODAY(),"Looking for friendly players to join the following game: " &amp; CHAR(10) &amp; CHAR(10) &amp; "Date: " &amp; TEXT('Profit &amp; Loss'!A483,"dd mmm yyy") &amp; ", " &amp; 'Profit &amp; Loss'!B483 &amp; CHAR(10) &amp; "Time: " &amp; TEXT('Profit &amp; Loss'!C483, "hh:mm AM/PM") &amp; " - " &amp; TEXT('Profit &amp; Loss'!D483, "hh:mm AM/PM") &amp; CHAR(10) &amp; "Venue: " &amp; 'Profit &amp; Loss'!E483 &amp; CHAR(10) &amp; "Level: HB - LI" &amp; CHAR(10) &amp; "Cost: $" &amp; 'Profit &amp; Loss'!O483 &amp; " per pax" &amp; CHAR(10) &amp; "Max " &amp; 'Profit &amp; Loss'!I483*6 &amp; " pax," &amp; " (" &amp; 'Profit &amp; Loss'!I483 &amp; " courts)" &amp; CHAR(10) &amp; CHAR(10) &amp; "RSL Ultimate shuttles provided" &amp; CHAR(10) &amp; CHAR(10) &amp; "PM if interested, thank you!"," ")</f>
        <v xml:space="preserve"> </v>
      </c>
      <c r="B480" s="2" t="str">
        <f ca="1">IF('Profit &amp; Loss'!A483&gt;=TODAY(), "Date: " &amp; TEXT('Profit &amp; Loss'!A483,"dd mmm yyy") &amp; ", " &amp; 'Profit &amp; Loss'!B483 &amp; CHAR(10) &amp; "Time: " &amp; TEXT('Profit &amp; Loss'!C483, "hh:mm AM/PM") &amp; " - " &amp; TEXT('Profit &amp; Loss'!D483, "hh:mm AM/PM") &amp; CHAR(10) &amp; "Venue: " &amp; 'Profit &amp; Loss'!E483 &amp; CHAR(10) &amp; "Court No.: " &amp; 'Profit &amp; Loss'!F483 &amp; CHAR(10) &amp; "Level: HB - LI" &amp; CHAR(10) &amp; "Please transfer $" &amp; 'Profit &amp; Loss'!O483 &amp; " per pax to Belle (83396501)" &amp; CHAR(10) &amp; CHAR(10) &amp; IF('Profit &amp; Loss'!I483=1, "1." &amp; CHAR(10) &amp; "2." &amp; CHAR(10) &amp; "3." &amp; CHAR(10) &amp; "4." &amp; CHAR(10) &amp; "5." &amp; CHAR(10) &amp; "6." &amp; CHAR(10), IF('Profit &amp; Loss'!I483=2,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1" spans="1:2" ht="12.5" x14ac:dyDescent="0.25">
      <c r="A481" s="2" t="str">
        <f ca="1">IF('Profit &amp; Loss'!A484&gt;=TODAY(),"Looking for friendly players to join the following game: " &amp; CHAR(10) &amp; CHAR(10) &amp; "Date: " &amp; TEXT('Profit &amp; Loss'!A484,"dd mmm yyy") &amp; ", " &amp; 'Profit &amp; Loss'!B484 &amp; CHAR(10) &amp; "Time: " &amp; TEXT('Profit &amp; Loss'!C484, "hh:mm AM/PM") &amp; " - " &amp; TEXT('Profit &amp; Loss'!D484, "hh:mm AM/PM") &amp; CHAR(10) &amp; "Venue: " &amp; 'Profit &amp; Loss'!E484 &amp; CHAR(10) &amp; "Level: HB - LI" &amp; CHAR(10) &amp; "Cost: $" &amp; 'Profit &amp; Loss'!O484 &amp; " per pax" &amp; CHAR(10) &amp; "Max " &amp; 'Profit &amp; Loss'!I484*6 &amp; " pax," &amp; " (" &amp; 'Profit &amp; Loss'!I484 &amp; " courts)" &amp; CHAR(10) &amp; CHAR(10) &amp; "RSL Ultimate shuttles provided" &amp; CHAR(10) &amp; CHAR(10) &amp; "PM if interested, thank you!"," ")</f>
        <v xml:space="preserve"> </v>
      </c>
      <c r="B481" s="2" t="str">
        <f ca="1">IF('Profit &amp; Loss'!A484&gt;=TODAY(), "Date: " &amp; TEXT('Profit &amp; Loss'!A484,"dd mmm yyy") &amp; ", " &amp; 'Profit &amp; Loss'!B484 &amp; CHAR(10) &amp; "Time: " &amp; TEXT('Profit &amp; Loss'!C484, "hh:mm AM/PM") &amp; " - " &amp; TEXT('Profit &amp; Loss'!D484, "hh:mm AM/PM") &amp; CHAR(10) &amp; "Venue: " &amp; 'Profit &amp; Loss'!E484 &amp; CHAR(10) &amp; "Court No.: " &amp; 'Profit &amp; Loss'!F484 &amp; CHAR(10) &amp; "Level: HB - LI" &amp; CHAR(10) &amp; "Please transfer $" &amp; 'Profit &amp; Loss'!O484 &amp; " per pax to Belle (83396501)" &amp; CHAR(10) &amp; CHAR(10) &amp; IF('Profit &amp; Loss'!I484=1, "1." &amp; CHAR(10) &amp; "2." &amp; CHAR(10) &amp; "3." &amp; CHAR(10) &amp; "4." &amp; CHAR(10) &amp; "5." &amp; CHAR(10) &amp; "6." &amp; CHAR(10), IF('Profit &amp; Loss'!I484=2,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2" spans="1:2" ht="12.5" x14ac:dyDescent="0.25">
      <c r="A482" s="2" t="str">
        <f ca="1">IF('Profit &amp; Loss'!A485&gt;=TODAY(),"Looking for friendly players to join the following game: " &amp; CHAR(10) &amp; CHAR(10) &amp; "Date: " &amp; TEXT('Profit &amp; Loss'!A485,"dd mmm yyy") &amp; ", " &amp; 'Profit &amp; Loss'!B485 &amp; CHAR(10) &amp; "Time: " &amp; TEXT('Profit &amp; Loss'!C485, "hh:mm AM/PM") &amp; " - " &amp; TEXT('Profit &amp; Loss'!D485, "hh:mm AM/PM") &amp; CHAR(10) &amp; "Venue: " &amp; 'Profit &amp; Loss'!E485 &amp; CHAR(10) &amp; "Level: HB - LI" &amp; CHAR(10) &amp; "Cost: $" &amp; 'Profit &amp; Loss'!O485 &amp; " per pax" &amp; CHAR(10) &amp; "Max " &amp; 'Profit &amp; Loss'!I485*6 &amp; " pax," &amp; " (" &amp; 'Profit &amp; Loss'!I485 &amp; " courts)" &amp; CHAR(10) &amp; CHAR(10) &amp; "RSL Ultimate shuttles provided" &amp; CHAR(10) &amp; CHAR(10) &amp; "PM if interested, thank you!"," ")</f>
        <v xml:space="preserve"> </v>
      </c>
      <c r="B482" s="2" t="str">
        <f ca="1">IF('Profit &amp; Loss'!A485&gt;=TODAY(), "Date: " &amp; TEXT('Profit &amp; Loss'!A485,"dd mmm yyy") &amp; ", " &amp; 'Profit &amp; Loss'!B485 &amp; CHAR(10) &amp; "Time: " &amp; TEXT('Profit &amp; Loss'!C485, "hh:mm AM/PM") &amp; " - " &amp; TEXT('Profit &amp; Loss'!D485, "hh:mm AM/PM") &amp; CHAR(10) &amp; "Venue: " &amp; 'Profit &amp; Loss'!E485 &amp; CHAR(10) &amp; "Court No.: " &amp; 'Profit &amp; Loss'!F485 &amp; CHAR(10) &amp; "Level: HB - LI" &amp; CHAR(10) &amp; "Please transfer $" &amp; 'Profit &amp; Loss'!O485 &amp; " per pax to Belle (83396501)" &amp; CHAR(10) &amp; CHAR(10) &amp; IF('Profit &amp; Loss'!I485=1, "1." &amp; CHAR(10) &amp; "2." &amp; CHAR(10) &amp; "3." &amp; CHAR(10) &amp; "4." &amp; CHAR(10) &amp; "5." &amp; CHAR(10) &amp; "6." &amp; CHAR(10), IF('Profit &amp; Loss'!I485=2,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3" spans="1:2" ht="12.5" x14ac:dyDescent="0.25">
      <c r="A483" s="2" t="str">
        <f ca="1">IF('Profit &amp; Loss'!A486&gt;=TODAY(),"Looking for friendly players to join the following game: " &amp; CHAR(10) &amp; CHAR(10) &amp; "Date: " &amp; TEXT('Profit &amp; Loss'!A486,"dd mmm yyy") &amp; ", " &amp; 'Profit &amp; Loss'!B486 &amp; CHAR(10) &amp; "Time: " &amp; TEXT('Profit &amp; Loss'!C486, "hh:mm AM/PM") &amp; " - " &amp; TEXT('Profit &amp; Loss'!D486, "hh:mm AM/PM") &amp; CHAR(10) &amp; "Venue: " &amp; 'Profit &amp; Loss'!E486 &amp; CHAR(10) &amp; "Level: HB - LI" &amp; CHAR(10) &amp; "Cost: $" &amp; 'Profit &amp; Loss'!O486 &amp; " per pax" &amp; CHAR(10) &amp; "Max " &amp; 'Profit &amp; Loss'!I486*6 &amp; " pax," &amp; " (" &amp; 'Profit &amp; Loss'!I486 &amp; " courts)" &amp; CHAR(10) &amp; CHAR(10) &amp; "RSL Ultimate shuttles provided" &amp; CHAR(10) &amp; CHAR(10) &amp; "PM if interested, thank you!"," ")</f>
        <v xml:space="preserve"> </v>
      </c>
      <c r="B483" s="2" t="str">
        <f ca="1">IF('Profit &amp; Loss'!A486&gt;=TODAY(), "Date: " &amp; TEXT('Profit &amp; Loss'!A486,"dd mmm yyy") &amp; ", " &amp; 'Profit &amp; Loss'!B486 &amp; CHAR(10) &amp; "Time: " &amp; TEXT('Profit &amp; Loss'!C486, "hh:mm AM/PM") &amp; " - " &amp; TEXT('Profit &amp; Loss'!D486, "hh:mm AM/PM") &amp; CHAR(10) &amp; "Venue: " &amp; 'Profit &amp; Loss'!E486 &amp; CHAR(10) &amp; "Court No.: " &amp; 'Profit &amp; Loss'!F486 &amp; CHAR(10) &amp; "Level: HB - LI" &amp; CHAR(10) &amp; "Please transfer $" &amp; 'Profit &amp; Loss'!O486 &amp; " per pax to Belle (83396501)" &amp; CHAR(10) &amp; CHAR(10) &amp; IF('Profit &amp; Loss'!I486=1, "1." &amp; CHAR(10) &amp; "2." &amp; CHAR(10) &amp; "3." &amp; CHAR(10) &amp; "4." &amp; CHAR(10) &amp; "5." &amp; CHAR(10) &amp; "6." &amp; CHAR(10), IF('Profit &amp; Loss'!I486=2,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4" spans="1:2" ht="12.5" x14ac:dyDescent="0.25">
      <c r="A484" s="2" t="str">
        <f ca="1">IF('Profit &amp; Loss'!A487&gt;=TODAY(),"Looking for friendly players to join the following game: " &amp; CHAR(10) &amp; CHAR(10) &amp; "Date: " &amp; TEXT('Profit &amp; Loss'!A487,"dd mmm yyy") &amp; ", " &amp; 'Profit &amp; Loss'!B487 &amp; CHAR(10) &amp; "Time: " &amp; TEXT('Profit &amp; Loss'!C487, "hh:mm AM/PM") &amp; " - " &amp; TEXT('Profit &amp; Loss'!D487, "hh:mm AM/PM") &amp; CHAR(10) &amp; "Venue: " &amp; 'Profit &amp; Loss'!E487 &amp; CHAR(10) &amp; "Level: HB - LI" &amp; CHAR(10) &amp; "Cost: $" &amp; 'Profit &amp; Loss'!O487 &amp; " per pax" &amp; CHAR(10) &amp; "Max " &amp; 'Profit &amp; Loss'!I487*6 &amp; " pax," &amp; " (" &amp; 'Profit &amp; Loss'!I487 &amp; " courts)" &amp; CHAR(10) &amp; CHAR(10) &amp; "RSL Ultimate shuttles provided" &amp; CHAR(10) &amp; CHAR(10) &amp; "PM if interested, thank you!"," ")</f>
        <v xml:space="preserve"> </v>
      </c>
      <c r="B484" s="2" t="str">
        <f ca="1">IF('Profit &amp; Loss'!A487&gt;=TODAY(), "Date: " &amp; TEXT('Profit &amp; Loss'!A487,"dd mmm yyy") &amp; ", " &amp; 'Profit &amp; Loss'!B487 &amp; CHAR(10) &amp; "Time: " &amp; TEXT('Profit &amp; Loss'!C487, "hh:mm AM/PM") &amp; " - " &amp; TEXT('Profit &amp; Loss'!D487, "hh:mm AM/PM") &amp; CHAR(10) &amp; "Venue: " &amp; 'Profit &amp; Loss'!E487 &amp; CHAR(10) &amp; "Court No.: " &amp; 'Profit &amp; Loss'!F487 &amp; CHAR(10) &amp; "Level: HB - LI" &amp; CHAR(10) &amp; "Please transfer $" &amp; 'Profit &amp; Loss'!O487 &amp; " per pax to Belle (83396501)" &amp; CHAR(10) &amp; CHAR(10) &amp; IF('Profit &amp; Loss'!I487=1, "1." &amp; CHAR(10) &amp; "2." &amp; CHAR(10) &amp; "3." &amp; CHAR(10) &amp; "4." &amp; CHAR(10) &amp; "5." &amp; CHAR(10) &amp; "6." &amp; CHAR(10), IF('Profit &amp; Loss'!I487=2,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5" spans="1:2" ht="12.5" x14ac:dyDescent="0.25">
      <c r="A485" s="2" t="str">
        <f ca="1">IF('Profit &amp; Loss'!A488&gt;=TODAY(),"Looking for friendly players to join the following game: " &amp; CHAR(10) &amp; CHAR(10) &amp; "Date: " &amp; TEXT('Profit &amp; Loss'!A488,"dd mmm yyy") &amp; ", " &amp; 'Profit &amp; Loss'!B488 &amp; CHAR(10) &amp; "Time: " &amp; TEXT('Profit &amp; Loss'!C488, "hh:mm AM/PM") &amp; " - " &amp; TEXT('Profit &amp; Loss'!D488, "hh:mm AM/PM") &amp; CHAR(10) &amp; "Venue: " &amp; 'Profit &amp; Loss'!E488 &amp; CHAR(10) &amp; "Level: HB - LI" &amp; CHAR(10) &amp; "Cost: $" &amp; 'Profit &amp; Loss'!O488 &amp; " per pax" &amp; CHAR(10) &amp; "Max " &amp; 'Profit &amp; Loss'!I488*6 &amp; " pax," &amp; " (" &amp; 'Profit &amp; Loss'!I488 &amp; " courts)" &amp; CHAR(10) &amp; CHAR(10) &amp; "RSL Ultimate shuttles provided" &amp; CHAR(10) &amp; CHAR(10) &amp; "PM if interested, thank you!"," ")</f>
        <v xml:space="preserve"> </v>
      </c>
      <c r="B485" s="2" t="str">
        <f ca="1">IF('Profit &amp; Loss'!A488&gt;=TODAY(), "Date: " &amp; TEXT('Profit &amp; Loss'!A488,"dd mmm yyy") &amp; ", " &amp; 'Profit &amp; Loss'!B488 &amp; CHAR(10) &amp; "Time: " &amp; TEXT('Profit &amp; Loss'!C488, "hh:mm AM/PM") &amp; " - " &amp; TEXT('Profit &amp; Loss'!D488, "hh:mm AM/PM") &amp; CHAR(10) &amp; "Venue: " &amp; 'Profit &amp; Loss'!E488 &amp; CHAR(10) &amp; "Court No.: " &amp; 'Profit &amp; Loss'!F488 &amp; CHAR(10) &amp; "Level: HB - LI" &amp; CHAR(10) &amp; "Please transfer $" &amp; 'Profit &amp; Loss'!O488 &amp; " per pax to Belle (83396501)" &amp; CHAR(10) &amp; CHAR(10) &amp; IF('Profit &amp; Loss'!I488=1, "1." &amp; CHAR(10) &amp; "2." &amp; CHAR(10) &amp; "3." &amp; CHAR(10) &amp; "4." &amp; CHAR(10) &amp; "5." &amp; CHAR(10) &amp; "6." &amp; CHAR(10), IF('Profit &amp; Loss'!I488=2,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6" spans="1:2" ht="12.5" x14ac:dyDescent="0.25">
      <c r="A486" s="2" t="str">
        <f ca="1">IF('Profit &amp; Loss'!A489&gt;=TODAY(),"Looking for friendly players to join the following game: " &amp; CHAR(10) &amp; CHAR(10) &amp; "Date: " &amp; TEXT('Profit &amp; Loss'!A489,"dd mmm yyy") &amp; ", " &amp; 'Profit &amp; Loss'!B489 &amp; CHAR(10) &amp; "Time: " &amp; TEXT('Profit &amp; Loss'!C489, "hh:mm AM/PM") &amp; " - " &amp; TEXT('Profit &amp; Loss'!D489, "hh:mm AM/PM") &amp; CHAR(10) &amp; "Venue: " &amp; 'Profit &amp; Loss'!E489 &amp; CHAR(10) &amp; "Level: HB - LI" &amp; CHAR(10) &amp; "Cost: $" &amp; 'Profit &amp; Loss'!O489 &amp; " per pax" &amp; CHAR(10) &amp; "Max " &amp; 'Profit &amp; Loss'!I489*6 &amp; " pax," &amp; " (" &amp; 'Profit &amp; Loss'!I489 &amp; " courts)" &amp; CHAR(10) &amp; CHAR(10) &amp; "RSL Ultimate shuttles provided" &amp; CHAR(10) &amp; CHAR(10) &amp; "PM if interested, thank you!"," ")</f>
        <v xml:space="preserve"> </v>
      </c>
      <c r="B486" s="2" t="str">
        <f ca="1">IF('Profit &amp; Loss'!A489&gt;=TODAY(), "Date: " &amp; TEXT('Profit &amp; Loss'!A489,"dd mmm yyy") &amp; ", " &amp; 'Profit &amp; Loss'!B489 &amp; CHAR(10) &amp; "Time: " &amp; TEXT('Profit &amp; Loss'!C489, "hh:mm AM/PM") &amp; " - " &amp; TEXT('Profit &amp; Loss'!D489, "hh:mm AM/PM") &amp; CHAR(10) &amp; "Venue: " &amp; 'Profit &amp; Loss'!E489 &amp; CHAR(10) &amp; "Court No.: " &amp; 'Profit &amp; Loss'!F489 &amp; CHAR(10) &amp; "Level: HB - LI" &amp; CHAR(10) &amp; "Please transfer $" &amp; 'Profit &amp; Loss'!O489 &amp; " per pax to Belle (83396501)" &amp; CHAR(10) &amp; CHAR(10) &amp; IF('Profit &amp; Loss'!I489=1, "1." &amp; CHAR(10) &amp; "2." &amp; CHAR(10) &amp; "3." &amp; CHAR(10) &amp; "4." &amp; CHAR(10) &amp; "5." &amp; CHAR(10) &amp; "6." &amp; CHAR(10), IF('Profit &amp; Loss'!I489=2,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7" spans="1:2" ht="12.5" x14ac:dyDescent="0.25">
      <c r="A487" s="2" t="str">
        <f ca="1">IF('Profit &amp; Loss'!A490&gt;=TODAY(),"Looking for friendly players to join the following game: " &amp; CHAR(10) &amp; CHAR(10) &amp; "Date: " &amp; TEXT('Profit &amp; Loss'!A490,"dd mmm yyy") &amp; ", " &amp; 'Profit &amp; Loss'!B490 &amp; CHAR(10) &amp; "Time: " &amp; TEXT('Profit &amp; Loss'!C490, "hh:mm AM/PM") &amp; " - " &amp; TEXT('Profit &amp; Loss'!D490, "hh:mm AM/PM") &amp; CHAR(10) &amp; "Venue: " &amp; 'Profit &amp; Loss'!E490 &amp; CHAR(10) &amp; "Level: HB - LI" &amp; CHAR(10) &amp; "Cost: $" &amp; 'Profit &amp; Loss'!O490 &amp; " per pax" &amp; CHAR(10) &amp; "Max " &amp; 'Profit &amp; Loss'!I490*6 &amp; " pax," &amp; " (" &amp; 'Profit &amp; Loss'!I490 &amp; " courts)" &amp; CHAR(10) &amp; CHAR(10) &amp; "RSL Ultimate shuttles provided" &amp; CHAR(10) &amp; CHAR(10) &amp; "PM if interested, thank you!"," ")</f>
        <v xml:space="preserve"> </v>
      </c>
      <c r="B487" s="2" t="str">
        <f ca="1">IF('Profit &amp; Loss'!A490&gt;=TODAY(), "Date: " &amp; TEXT('Profit &amp; Loss'!A490,"dd mmm yyy") &amp; ", " &amp; 'Profit &amp; Loss'!B490 &amp; CHAR(10) &amp; "Time: " &amp; TEXT('Profit &amp; Loss'!C490, "hh:mm AM/PM") &amp; " - " &amp; TEXT('Profit &amp; Loss'!D490, "hh:mm AM/PM") &amp; CHAR(10) &amp; "Venue: " &amp; 'Profit &amp; Loss'!E490 &amp; CHAR(10) &amp; "Court No.: " &amp; 'Profit &amp; Loss'!F490 &amp; CHAR(10) &amp; "Level: HB - LI" &amp; CHAR(10) &amp; "Please transfer $" &amp; 'Profit &amp; Loss'!O490 &amp; " per pax to Belle (83396501)" &amp; CHAR(10) &amp; CHAR(10) &amp; IF('Profit &amp; Loss'!I490=1, "1." &amp; CHAR(10) &amp; "2." &amp; CHAR(10) &amp; "3." &amp; CHAR(10) &amp; "4." &amp; CHAR(10) &amp; "5." &amp; CHAR(10) &amp; "6." &amp; CHAR(10), IF('Profit &amp; Loss'!I490=2,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8" spans="1:2" ht="12.5" x14ac:dyDescent="0.25">
      <c r="A488" s="2" t="str">
        <f ca="1">IF('Profit &amp; Loss'!A491&gt;=TODAY(),"Looking for friendly players to join the following game: " &amp; CHAR(10) &amp; CHAR(10) &amp; "Date: " &amp; TEXT('Profit &amp; Loss'!A491,"dd mmm yyy") &amp; ", " &amp; 'Profit &amp; Loss'!B491 &amp; CHAR(10) &amp; "Time: " &amp; TEXT('Profit &amp; Loss'!C491, "hh:mm AM/PM") &amp; " - " &amp; TEXT('Profit &amp; Loss'!D491, "hh:mm AM/PM") &amp; CHAR(10) &amp; "Venue: " &amp; 'Profit &amp; Loss'!E491 &amp; CHAR(10) &amp; "Level: HB - LI" &amp; CHAR(10) &amp; "Cost: $" &amp; 'Profit &amp; Loss'!O491 &amp; " per pax" &amp; CHAR(10) &amp; "Max " &amp; 'Profit &amp; Loss'!I491*6 &amp; " pax," &amp; " (" &amp; 'Profit &amp; Loss'!I491 &amp; " courts)" &amp; CHAR(10) &amp; CHAR(10) &amp; "RSL Ultimate shuttles provided" &amp; CHAR(10) &amp; CHAR(10) &amp; "PM if interested, thank you!"," ")</f>
        <v xml:space="preserve"> </v>
      </c>
      <c r="B488" s="2" t="str">
        <f ca="1">IF('Profit &amp; Loss'!A491&gt;=TODAY(), "Date: " &amp; TEXT('Profit &amp; Loss'!A491,"dd mmm yyy") &amp; ", " &amp; 'Profit &amp; Loss'!B491 &amp; CHAR(10) &amp; "Time: " &amp; TEXT('Profit &amp; Loss'!C491, "hh:mm AM/PM") &amp; " - " &amp; TEXT('Profit &amp; Loss'!D491, "hh:mm AM/PM") &amp; CHAR(10) &amp; "Venue: " &amp; 'Profit &amp; Loss'!E491 &amp; CHAR(10) &amp; "Court No.: " &amp; 'Profit &amp; Loss'!F491 &amp; CHAR(10) &amp; "Level: HB - LI" &amp; CHAR(10) &amp; "Please transfer $" &amp; 'Profit &amp; Loss'!O491 &amp; " per pax to Belle (83396501)" &amp; CHAR(10) &amp; CHAR(10) &amp; IF('Profit &amp; Loss'!I491=1, "1." &amp; CHAR(10) &amp; "2." &amp; CHAR(10) &amp; "3." &amp; CHAR(10) &amp; "4." &amp; CHAR(10) &amp; "5." &amp; CHAR(10) &amp; "6." &amp; CHAR(10), IF('Profit &amp; Loss'!I491=2,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89" spans="1:2" ht="12.5" x14ac:dyDescent="0.25">
      <c r="A489" s="2" t="str">
        <f ca="1">IF('Profit &amp; Loss'!A492&gt;=TODAY(),"Looking for friendly players to join the following game: " &amp; CHAR(10) &amp; CHAR(10) &amp; "Date: " &amp; TEXT('Profit &amp; Loss'!A492,"dd mmm yyy") &amp; ", " &amp; 'Profit &amp; Loss'!B492 &amp; CHAR(10) &amp; "Time: " &amp; TEXT('Profit &amp; Loss'!C492, "hh:mm AM/PM") &amp; " - " &amp; TEXT('Profit &amp; Loss'!D492, "hh:mm AM/PM") &amp; CHAR(10) &amp; "Venue: " &amp; 'Profit &amp; Loss'!E492 &amp; CHAR(10) &amp; "Level: HB - LI" &amp; CHAR(10) &amp; "Cost: $" &amp; 'Profit &amp; Loss'!O492 &amp; " per pax" &amp; CHAR(10) &amp; "Max " &amp; 'Profit &amp; Loss'!I492*6 &amp; " pax," &amp; " (" &amp; 'Profit &amp; Loss'!I492 &amp; " courts)" &amp; CHAR(10) &amp; CHAR(10) &amp; "RSL Ultimate shuttles provided" &amp; CHAR(10) &amp; CHAR(10) &amp; "PM if interested, thank you!"," ")</f>
        <v xml:space="preserve"> </v>
      </c>
      <c r="B489" s="2" t="str">
        <f ca="1">IF('Profit &amp; Loss'!A492&gt;=TODAY(), "Date: " &amp; TEXT('Profit &amp; Loss'!A492,"dd mmm yyy") &amp; ", " &amp; 'Profit &amp; Loss'!B492 &amp; CHAR(10) &amp; "Time: " &amp; TEXT('Profit &amp; Loss'!C492, "hh:mm AM/PM") &amp; " - " &amp; TEXT('Profit &amp; Loss'!D492, "hh:mm AM/PM") &amp; CHAR(10) &amp; "Venue: " &amp; 'Profit &amp; Loss'!E492 &amp; CHAR(10) &amp; "Court No.: " &amp; 'Profit &amp; Loss'!F492 &amp; CHAR(10) &amp; "Level: HB - LI" &amp; CHAR(10) &amp; "Please transfer $" &amp; 'Profit &amp; Loss'!O492 &amp; " per pax to Belle (83396501)" &amp; CHAR(10) &amp; CHAR(10) &amp; IF('Profit &amp; Loss'!I492=1, "1." &amp; CHAR(10) &amp; "2." &amp; CHAR(10) &amp; "3." &amp; CHAR(10) &amp; "4." &amp; CHAR(10) &amp; "5." &amp; CHAR(10) &amp; "6." &amp; CHAR(10), IF('Profit &amp; Loss'!I492=2,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0" spans="1:2" ht="12.5" x14ac:dyDescent="0.25">
      <c r="A490" s="2" t="str">
        <f ca="1">IF('Profit &amp; Loss'!A493&gt;=TODAY(),"Looking for friendly players to join the following game: " &amp; CHAR(10) &amp; CHAR(10) &amp; "Date: " &amp; TEXT('Profit &amp; Loss'!A493,"dd mmm yyy") &amp; ", " &amp; 'Profit &amp; Loss'!B493 &amp; CHAR(10) &amp; "Time: " &amp; TEXT('Profit &amp; Loss'!C493, "hh:mm AM/PM") &amp; " - " &amp; TEXT('Profit &amp; Loss'!D493, "hh:mm AM/PM") &amp; CHAR(10) &amp; "Venue: " &amp; 'Profit &amp; Loss'!E493 &amp; CHAR(10) &amp; "Level: HB - LI" &amp; CHAR(10) &amp; "Cost: $" &amp; 'Profit &amp; Loss'!O493 &amp; " per pax" &amp; CHAR(10) &amp; "Max " &amp; 'Profit &amp; Loss'!I493*6 &amp; " pax," &amp; " (" &amp; 'Profit &amp; Loss'!I493 &amp; " courts)" &amp; CHAR(10) &amp; CHAR(10) &amp; "RSL Ultimate shuttles provided" &amp; CHAR(10) &amp; CHAR(10) &amp; "PM if interested, thank you!"," ")</f>
        <v xml:space="preserve"> </v>
      </c>
      <c r="B490" s="2" t="str">
        <f ca="1">IF('Profit &amp; Loss'!A493&gt;=TODAY(), "Date: " &amp; TEXT('Profit &amp; Loss'!A493,"dd mmm yyy") &amp; ", " &amp; 'Profit &amp; Loss'!B493 &amp; CHAR(10) &amp; "Time: " &amp; TEXT('Profit &amp; Loss'!C493, "hh:mm AM/PM") &amp; " - " &amp; TEXT('Profit &amp; Loss'!D493, "hh:mm AM/PM") &amp; CHAR(10) &amp; "Venue: " &amp; 'Profit &amp; Loss'!E493 &amp; CHAR(10) &amp; "Court No.: " &amp; 'Profit &amp; Loss'!F493 &amp; CHAR(10) &amp; "Level: HB - LI" &amp; CHAR(10) &amp; "Please transfer $" &amp; 'Profit &amp; Loss'!O493 &amp; " per pax to Belle (83396501)" &amp; CHAR(10) &amp; CHAR(10) &amp; IF('Profit &amp; Loss'!I493=1, "1." &amp; CHAR(10) &amp; "2." &amp; CHAR(10) &amp; "3." &amp; CHAR(10) &amp; "4." &amp; CHAR(10) &amp; "5." &amp; CHAR(10) &amp; "6." &amp; CHAR(10), IF('Profit &amp; Loss'!I493=2,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1" spans="1:2" ht="12.5" x14ac:dyDescent="0.25">
      <c r="A491" s="2" t="str">
        <f ca="1">IF('Profit &amp; Loss'!A494&gt;=TODAY(),"Looking for friendly players to join the following game: " &amp; CHAR(10) &amp; CHAR(10) &amp; "Date: " &amp; TEXT('Profit &amp; Loss'!A494,"dd mmm yyy") &amp; ", " &amp; 'Profit &amp; Loss'!B494 &amp; CHAR(10) &amp; "Time: " &amp; TEXT('Profit &amp; Loss'!C494, "hh:mm AM/PM") &amp; " - " &amp; TEXT('Profit &amp; Loss'!D494, "hh:mm AM/PM") &amp; CHAR(10) &amp; "Venue: " &amp; 'Profit &amp; Loss'!E494 &amp; CHAR(10) &amp; "Level: HB - LI" &amp; CHAR(10) &amp; "Cost: $" &amp; 'Profit &amp; Loss'!O494 &amp; " per pax" &amp; CHAR(10) &amp; "Max " &amp; 'Profit &amp; Loss'!I494*6 &amp; " pax," &amp; " (" &amp; 'Profit &amp; Loss'!I494 &amp; " courts)" &amp; CHAR(10) &amp; CHAR(10) &amp; "RSL Ultimate shuttles provided" &amp; CHAR(10) &amp; CHAR(10) &amp; "PM if interested, thank you!"," ")</f>
        <v xml:space="preserve"> </v>
      </c>
      <c r="B491" s="2" t="str">
        <f ca="1">IF('Profit &amp; Loss'!A494&gt;=TODAY(), "Date: " &amp; TEXT('Profit &amp; Loss'!A494,"dd mmm yyy") &amp; ", " &amp; 'Profit &amp; Loss'!B494 &amp; CHAR(10) &amp; "Time: " &amp; TEXT('Profit &amp; Loss'!C494, "hh:mm AM/PM") &amp; " - " &amp; TEXT('Profit &amp; Loss'!D494, "hh:mm AM/PM") &amp; CHAR(10) &amp; "Venue: " &amp; 'Profit &amp; Loss'!E494 &amp; CHAR(10) &amp; "Court No.: " &amp; 'Profit &amp; Loss'!F494 &amp; CHAR(10) &amp; "Level: HB - LI" &amp; CHAR(10) &amp; "Please transfer $" &amp; 'Profit &amp; Loss'!O494 &amp; " per pax to Belle (83396501)" &amp; CHAR(10) &amp; CHAR(10) &amp; IF('Profit &amp; Loss'!I494=1, "1." &amp; CHAR(10) &amp; "2." &amp; CHAR(10) &amp; "3." &amp; CHAR(10) &amp; "4." &amp; CHAR(10) &amp; "5." &amp; CHAR(10) &amp; "6." &amp; CHAR(10), IF('Profit &amp; Loss'!I494=2,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2" spans="1:2" ht="12.5" x14ac:dyDescent="0.25">
      <c r="A492" s="2" t="str">
        <f ca="1">IF('Profit &amp; Loss'!A495&gt;=TODAY(),"Looking for friendly players to join the following game: " &amp; CHAR(10) &amp; CHAR(10) &amp; "Date: " &amp; TEXT('Profit &amp; Loss'!A495,"dd mmm yyy") &amp; ", " &amp; 'Profit &amp; Loss'!B495 &amp; CHAR(10) &amp; "Time: " &amp; TEXT('Profit &amp; Loss'!C495, "hh:mm AM/PM") &amp; " - " &amp; TEXT('Profit &amp; Loss'!D495, "hh:mm AM/PM") &amp; CHAR(10) &amp; "Venue: " &amp; 'Profit &amp; Loss'!E495 &amp; CHAR(10) &amp; "Level: HB - LI" &amp; CHAR(10) &amp; "Cost: $" &amp; 'Profit &amp; Loss'!O495 &amp; " per pax" &amp; CHAR(10) &amp; "Max " &amp; 'Profit &amp; Loss'!I495*6 &amp; " pax," &amp; " (" &amp; 'Profit &amp; Loss'!I495 &amp; " courts)" &amp; CHAR(10) &amp; CHAR(10) &amp; "RSL Ultimate shuttles provided" &amp; CHAR(10) &amp; CHAR(10) &amp; "PM if interested, thank you!"," ")</f>
        <v xml:space="preserve"> </v>
      </c>
      <c r="B492" s="2" t="str">
        <f ca="1">IF('Profit &amp; Loss'!A495&gt;=TODAY(), "Date: " &amp; TEXT('Profit &amp; Loss'!A495,"dd mmm yyy") &amp; ", " &amp; 'Profit &amp; Loss'!B495 &amp; CHAR(10) &amp; "Time: " &amp; TEXT('Profit &amp; Loss'!C495, "hh:mm AM/PM") &amp; " - " &amp; TEXT('Profit &amp; Loss'!D495, "hh:mm AM/PM") &amp; CHAR(10) &amp; "Venue: " &amp; 'Profit &amp; Loss'!E495 &amp; CHAR(10) &amp; "Court No.: " &amp; 'Profit &amp; Loss'!F495 &amp; CHAR(10) &amp; "Level: HB - LI" &amp; CHAR(10) &amp; "Please transfer $" &amp; 'Profit &amp; Loss'!O495 &amp; " per pax to Belle (83396501)" &amp; CHAR(10) &amp; CHAR(10) &amp; IF('Profit &amp; Loss'!I495=1, "1." &amp; CHAR(10) &amp; "2." &amp; CHAR(10) &amp; "3." &amp; CHAR(10) &amp; "4." &amp; CHAR(10) &amp; "5." &amp; CHAR(10) &amp; "6." &amp; CHAR(10), IF('Profit &amp; Loss'!I495=2,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3" spans="1:2" ht="12.5" x14ac:dyDescent="0.25">
      <c r="A493" s="2" t="str">
        <f ca="1">IF('Profit &amp; Loss'!A496&gt;=TODAY(),"Looking for friendly players to join the following game: " &amp; CHAR(10) &amp; CHAR(10) &amp; "Date: " &amp; TEXT('Profit &amp; Loss'!A496,"dd mmm yyy") &amp; ", " &amp; 'Profit &amp; Loss'!B496 &amp; CHAR(10) &amp; "Time: " &amp; TEXT('Profit &amp; Loss'!C496, "hh:mm AM/PM") &amp; " - " &amp; TEXT('Profit &amp; Loss'!D496, "hh:mm AM/PM") &amp; CHAR(10) &amp; "Venue: " &amp; 'Profit &amp; Loss'!E496 &amp; CHAR(10) &amp; "Level: HB - LI" &amp; CHAR(10) &amp; "Cost: $" &amp; 'Profit &amp; Loss'!O496 &amp; " per pax" &amp; CHAR(10) &amp; "Max " &amp; 'Profit &amp; Loss'!I496*6 &amp; " pax," &amp; " (" &amp; 'Profit &amp; Loss'!I496 &amp; " courts)" &amp; CHAR(10) &amp; CHAR(10) &amp; "RSL Ultimate shuttles provided" &amp; CHAR(10) &amp; CHAR(10) &amp; "PM if interested, thank you!"," ")</f>
        <v xml:space="preserve"> </v>
      </c>
      <c r="B493" s="2" t="str">
        <f ca="1">IF('Profit &amp; Loss'!A496&gt;=TODAY(), "Date: " &amp; TEXT('Profit &amp; Loss'!A496,"dd mmm yyy") &amp; ", " &amp; 'Profit &amp; Loss'!B496 &amp; CHAR(10) &amp; "Time: " &amp; TEXT('Profit &amp; Loss'!C496, "hh:mm AM/PM") &amp; " - " &amp; TEXT('Profit &amp; Loss'!D496, "hh:mm AM/PM") &amp; CHAR(10) &amp; "Venue: " &amp; 'Profit &amp; Loss'!E496 &amp; CHAR(10) &amp; "Court No.: " &amp; 'Profit &amp; Loss'!F496 &amp; CHAR(10) &amp; "Level: HB - LI" &amp; CHAR(10) &amp; "Please transfer $" &amp; 'Profit &amp; Loss'!O496 &amp; " per pax to Belle (83396501)" &amp; CHAR(10) &amp; CHAR(10) &amp; IF('Profit &amp; Loss'!I496=1, "1." &amp; CHAR(10) &amp; "2." &amp; CHAR(10) &amp; "3." &amp; CHAR(10) &amp; "4." &amp; CHAR(10) &amp; "5." &amp; CHAR(10) &amp; "6." &amp; CHAR(10), IF('Profit &amp; Loss'!I496=2,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4" spans="1:2" ht="12.5" x14ac:dyDescent="0.25">
      <c r="A494" s="2" t="str">
        <f ca="1">IF('Profit &amp; Loss'!A497&gt;=TODAY(),"Looking for friendly players to join the following game: " &amp; CHAR(10) &amp; CHAR(10) &amp; "Date: " &amp; TEXT('Profit &amp; Loss'!A497,"dd mmm yyy") &amp; ", " &amp; 'Profit &amp; Loss'!B497 &amp; CHAR(10) &amp; "Time: " &amp; TEXT('Profit &amp; Loss'!C497, "hh:mm AM/PM") &amp; " - " &amp; TEXT('Profit &amp; Loss'!D497, "hh:mm AM/PM") &amp; CHAR(10) &amp; "Venue: " &amp; 'Profit &amp; Loss'!E497 &amp; CHAR(10) &amp; "Level: HB - LI" &amp; CHAR(10) &amp; "Cost: $" &amp; 'Profit &amp; Loss'!O497 &amp; " per pax" &amp; CHAR(10) &amp; "Max " &amp; 'Profit &amp; Loss'!I497*6 &amp; " pax," &amp; " (" &amp; 'Profit &amp; Loss'!I497 &amp; " courts)" &amp; CHAR(10) &amp; CHAR(10) &amp; "RSL Ultimate shuttles provided" &amp; CHAR(10) &amp; CHAR(10) &amp; "PM if interested, thank you!"," ")</f>
        <v xml:space="preserve"> </v>
      </c>
      <c r="B494" s="2" t="str">
        <f ca="1">IF('Profit &amp; Loss'!A497&gt;=TODAY(), "Date: " &amp; TEXT('Profit &amp; Loss'!A497,"dd mmm yyy") &amp; ", " &amp; 'Profit &amp; Loss'!B497 &amp; CHAR(10) &amp; "Time: " &amp; TEXT('Profit &amp; Loss'!C497, "hh:mm AM/PM") &amp; " - " &amp; TEXT('Profit &amp; Loss'!D497, "hh:mm AM/PM") &amp; CHAR(10) &amp; "Venue: " &amp; 'Profit &amp; Loss'!E497 &amp; CHAR(10) &amp; "Court No.: " &amp; 'Profit &amp; Loss'!F497 &amp; CHAR(10) &amp; "Level: HB - LI" &amp; CHAR(10) &amp; "Please transfer $" &amp; 'Profit &amp; Loss'!O497 &amp; " per pax to Belle (83396501)" &amp; CHAR(10) &amp; CHAR(10) &amp; IF('Profit &amp; Loss'!I497=1, "1." &amp; CHAR(10) &amp; "2." &amp; CHAR(10) &amp; "3." &amp; CHAR(10) &amp; "4." &amp; CHAR(10) &amp; "5." &amp; CHAR(10) &amp; "6." &amp; CHAR(10), IF('Profit &amp; Loss'!I497=2,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5" spans="1:2" ht="12.5" x14ac:dyDescent="0.25">
      <c r="A495" s="2" t="str">
        <f ca="1">IF('Profit &amp; Loss'!A498&gt;=TODAY(),"Looking for friendly players to join the following game: " &amp; CHAR(10) &amp; CHAR(10) &amp; "Date: " &amp; TEXT('Profit &amp; Loss'!A498,"dd mmm yyy") &amp; ", " &amp; 'Profit &amp; Loss'!B498 &amp; CHAR(10) &amp; "Time: " &amp; TEXT('Profit &amp; Loss'!C498, "hh:mm AM/PM") &amp; " - " &amp; TEXT('Profit &amp; Loss'!D498, "hh:mm AM/PM") &amp; CHAR(10) &amp; "Venue: " &amp; 'Profit &amp; Loss'!E498 &amp; CHAR(10) &amp; "Level: HB - LI" &amp; CHAR(10) &amp; "Cost: $" &amp; 'Profit &amp; Loss'!O498 &amp; " per pax" &amp; CHAR(10) &amp; "Max " &amp; 'Profit &amp; Loss'!I498*6 &amp; " pax," &amp; " (" &amp; 'Profit &amp; Loss'!I498 &amp; " courts)" &amp; CHAR(10) &amp; CHAR(10) &amp; "RSL Ultimate shuttles provided" &amp; CHAR(10) &amp; CHAR(10) &amp; "PM if interested, thank you!"," ")</f>
        <v xml:space="preserve"> </v>
      </c>
      <c r="B495" s="2" t="str">
        <f ca="1">IF('Profit &amp; Loss'!A498&gt;=TODAY(), "Date: " &amp; TEXT('Profit &amp; Loss'!A498,"dd mmm yyy") &amp; ", " &amp; 'Profit &amp; Loss'!B498 &amp; CHAR(10) &amp; "Time: " &amp; TEXT('Profit &amp; Loss'!C498, "hh:mm AM/PM") &amp; " - " &amp; TEXT('Profit &amp; Loss'!D498, "hh:mm AM/PM") &amp; CHAR(10) &amp; "Venue: " &amp; 'Profit &amp; Loss'!E498 &amp; CHAR(10) &amp; "Court No.: " &amp; 'Profit &amp; Loss'!F498 &amp; CHAR(10) &amp; "Level: HB - LI" &amp; CHAR(10) &amp; "Please transfer $" &amp; 'Profit &amp; Loss'!O498 &amp; " per pax to Belle (83396501)" &amp; CHAR(10) &amp; CHAR(10) &amp; IF('Profit &amp; Loss'!I498=1, "1." &amp; CHAR(10) &amp; "2." &amp; CHAR(10) &amp; "3." &amp; CHAR(10) &amp; "4." &amp; CHAR(10) &amp; "5." &amp; CHAR(10) &amp; "6." &amp; CHAR(10), IF('Profit &amp; Loss'!I498=2,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6" spans="1:2" ht="12.5" x14ac:dyDescent="0.25">
      <c r="A496" s="2" t="str">
        <f ca="1">IF('Profit &amp; Loss'!A499&gt;=TODAY(),"Looking for friendly players to join the following game: " &amp; CHAR(10) &amp; CHAR(10) &amp; "Date: " &amp; TEXT('Profit &amp; Loss'!A499,"dd mmm yyy") &amp; ", " &amp; 'Profit &amp; Loss'!B499 &amp; CHAR(10) &amp; "Time: " &amp; TEXT('Profit &amp; Loss'!C499, "hh:mm AM/PM") &amp; " - " &amp; TEXT('Profit &amp; Loss'!D499, "hh:mm AM/PM") &amp; CHAR(10) &amp; "Venue: " &amp; 'Profit &amp; Loss'!E499 &amp; CHAR(10) &amp; "Level: HB - LI" &amp; CHAR(10) &amp; "Cost: $" &amp; 'Profit &amp; Loss'!O499 &amp; " per pax" &amp; CHAR(10) &amp; "Max " &amp; 'Profit &amp; Loss'!I499*6 &amp; " pax," &amp; " (" &amp; 'Profit &amp; Loss'!I499 &amp; " courts)" &amp; CHAR(10) &amp; CHAR(10) &amp; "RSL Ultimate shuttles provided" &amp; CHAR(10) &amp; CHAR(10) &amp; "PM if interested, thank you!"," ")</f>
        <v xml:space="preserve"> </v>
      </c>
      <c r="B496" s="2" t="str">
        <f ca="1">IF('Profit &amp; Loss'!A499&gt;=TODAY(), "Date: " &amp; TEXT('Profit &amp; Loss'!A499,"dd mmm yyy") &amp; ", " &amp; 'Profit &amp; Loss'!B499 &amp; CHAR(10) &amp; "Time: " &amp; TEXT('Profit &amp; Loss'!C499, "hh:mm AM/PM") &amp; " - " &amp; TEXT('Profit &amp; Loss'!D499, "hh:mm AM/PM") &amp; CHAR(10) &amp; "Venue: " &amp; 'Profit &amp; Loss'!E499 &amp; CHAR(10) &amp; "Court No.: " &amp; 'Profit &amp; Loss'!F499 &amp; CHAR(10) &amp; "Level: HB - LI" &amp; CHAR(10) &amp; "Please transfer $" &amp; 'Profit &amp; Loss'!O499 &amp; " per pax to Belle (83396501)" &amp; CHAR(10) &amp; CHAR(10) &amp; IF('Profit &amp; Loss'!I499=1, "1." &amp; CHAR(10) &amp; "2." &amp; CHAR(10) &amp; "3." &amp; CHAR(10) &amp; "4." &amp; CHAR(10) &amp; "5." &amp; CHAR(10) &amp; "6." &amp; CHAR(10), IF('Profit &amp; Loss'!I499=2,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Loss'!I499=3,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7" spans="1:2" ht="12.5" x14ac:dyDescent="0.25">
      <c r="A497" s="2" t="str">
        <f ca="1">IF('Profit &amp; Loss'!A500&gt;=TODAY(),"Looking for friendly players to join the following game: " &amp; CHAR(10) &amp; CHAR(10) &amp; "Date: " &amp; TEXT('Profit &amp; Loss'!A500,"dd mmm yyy") &amp; ", " &amp; 'Profit &amp; Loss'!B500 &amp; CHAR(10) &amp; "Time: " &amp; TEXT('Profit &amp; Loss'!C500, "hh:mm AM/PM") &amp; " - " &amp; TEXT('Profit &amp; Loss'!D500, "hh:mm AM/PM") &amp; CHAR(10) &amp; "Venue: " &amp; 'Profit &amp; Loss'!E500 &amp; CHAR(10) &amp; "Level: HB - LI" &amp; CHAR(10) &amp; "Cost: $" &amp; 'Profit &amp; Loss'!O500 &amp; " per pax" &amp; CHAR(10) &amp; "Max " &amp; 'Profit &amp; Loss'!I500*6 &amp; " pax," &amp; " (" &amp; 'Profit &amp; Loss'!I500 &amp; " courts)" &amp; CHAR(10) &amp; CHAR(10) &amp; "RSL Ultimate shuttles provided" &amp; CHAR(10) &amp; CHAR(10) &amp; "PM if interested, thank you!"," ")</f>
        <v xml:space="preserve"> </v>
      </c>
      <c r="B497" s="2" t="str">
        <f ca="1">IF('Profit &amp; Loss'!A500&gt;=TODAY(), "Date: " &amp; TEXT('Profit &amp; Loss'!A500,"dd mmm yyy") &amp; ", " &amp; 'Profit &amp; Loss'!B500 &amp; CHAR(10) &amp; "Time: " &amp; TEXT('Profit &amp; Loss'!C500, "hh:mm AM/PM") &amp; " - " &amp; TEXT('Profit &amp; Loss'!D500, "hh:mm AM/PM") &amp; CHAR(10) &amp; "Venue: " &amp; 'Profit &amp; Loss'!E500 &amp; CHAR(10) &amp; "Court No.: " &amp; 'Profit &amp; Loss'!F500 &amp; CHAR(10) &amp; "Level: HB - LI" &amp; CHAR(10) &amp; "Please transfer $" &amp; 'Profit &amp; Loss'!O500 &amp; " per pax to Belle (83396501)" &amp; CHAR(10) &amp; CHAR(10) &amp; IF('Profit &amp; Loss'!I500=1, "1." &amp; CHAR(10) &amp; "2." &amp; CHAR(10) &amp; "3." &amp; CHAR(10) &amp; "4." &amp; CHAR(10) &amp; "5." &amp; CHAR(10) &amp; "6." &amp; CHAR(10), IF('Profit &amp; Loss'!I500=2,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8" spans="1:2" ht="12.5" x14ac:dyDescent="0.25">
      <c r="A498" s="2" t="str">
        <f ca="1">IF('Profit &amp; Loss'!A501&gt;=TODAY(),"Looking for friendly players to join the following game: " &amp; CHAR(10) &amp; CHAR(10) &amp; "Date: " &amp; TEXT('Profit &amp; Loss'!A501,"dd mmm yyy") &amp; ", " &amp; 'Profit &amp; Loss'!B501 &amp; CHAR(10) &amp; "Time: " &amp; TEXT('Profit &amp; Loss'!C501, "hh:mm AM/PM") &amp; " - " &amp; TEXT('Profit &amp; Loss'!D501, "hh:mm AM/PM") &amp; CHAR(10) &amp; "Venue: " &amp; 'Profit &amp; Loss'!E501 &amp; CHAR(10) &amp; "Level: HB - LI" &amp; CHAR(10) &amp; "Cost: $" &amp; 'Profit &amp; Loss'!O501 &amp; " per pax" &amp; CHAR(10) &amp; "Max " &amp; 'Profit &amp; Loss'!I501*6 &amp; " pax," &amp; " (" &amp; 'Profit &amp; Loss'!I501 &amp; " courts)" &amp; CHAR(10) &amp; CHAR(10) &amp; "RSL Ultimate shuttles provided" &amp; CHAR(10) &amp; CHAR(10) &amp; "PM if interested, thank you!"," ")</f>
        <v xml:space="preserve"> </v>
      </c>
      <c r="B498" s="2" t="str">
        <f ca="1">IF('Profit &amp; Loss'!A501&gt;=TODAY(), "Date: " &amp; TEXT('Profit &amp; Loss'!A501,"dd mmm yyy") &amp; ", " &amp; 'Profit &amp; Loss'!B501 &amp; CHAR(10) &amp; "Time: " &amp; TEXT('Profit &amp; Loss'!C501, "hh:mm AM/PM") &amp; " - " &amp; TEXT('Profit &amp; Loss'!D501, "hh:mm AM/PM") &amp; CHAR(10) &amp; "Venue: " &amp; 'Profit &amp; Loss'!E501 &amp; CHAR(10) &amp; "Court No.: " &amp; 'Profit &amp; Loss'!F501 &amp; CHAR(10) &amp; "Level: HB - LI" &amp; CHAR(10) &amp; "Please transfer $" &amp; 'Profit &amp; Loss'!O501 &amp; " per pax to Belle (83396501)" &amp; CHAR(10) &amp; CHAR(10) &amp; IF('Profit &amp; Loss'!I501=1, "1." &amp; CHAR(10) &amp; "2." &amp; CHAR(10) &amp; "3." &amp; CHAR(10) &amp; "4." &amp; CHAR(10) &amp; "5." &amp; CHAR(10) &amp; "6." &amp; CHAR(10), IF('Profit &amp; Loss'!I501=2,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499" spans="1:2" ht="12.5" x14ac:dyDescent="0.25">
      <c r="A499" s="2" t="str">
        <f ca="1">IF('Profit &amp; Loss'!A502&gt;=TODAY(),"Looking for friendly players to join the following game: " &amp; CHAR(10) &amp; CHAR(10) &amp; "Date: " &amp; TEXT('Profit &amp; Loss'!A502,"dd mmm yyy") &amp; ", " &amp; 'Profit &amp; Loss'!B502 &amp; CHAR(10) &amp; "Time: " &amp; TEXT('Profit &amp; Loss'!C502, "hh:mm AM/PM") &amp; " - " &amp; TEXT('Profit &amp; Loss'!D502, "hh:mm AM/PM") &amp; CHAR(10) &amp; "Venue: " &amp; 'Profit &amp; Loss'!E502 &amp; CHAR(10) &amp; "Level: HB - LI" &amp; CHAR(10) &amp; "Cost: $" &amp; 'Profit &amp; Loss'!O502 &amp; " per pax" &amp; CHAR(10) &amp; "Max " &amp; 'Profit &amp; Loss'!I502*6 &amp; " pax," &amp; " (" &amp; 'Profit &amp; Loss'!I502 &amp; " courts)" &amp; CHAR(10) &amp; CHAR(10) &amp; "RSL Ultimate shuttles provided" &amp; CHAR(10) &amp; CHAR(10) &amp; "PM if interested, thank you!"," ")</f>
        <v xml:space="preserve"> </v>
      </c>
      <c r="B499" s="2" t="str">
        <f ca="1">IF('Profit &amp; Loss'!A502&gt;=TODAY(), "Date: " &amp; TEXT('Profit &amp; Loss'!A502,"dd mmm yyy") &amp; ", " &amp; 'Profit &amp; Loss'!B502 &amp; CHAR(10) &amp; "Time: " &amp; TEXT('Profit &amp; Loss'!C502, "hh:mm AM/PM") &amp; " - " &amp; TEXT('Profit &amp; Loss'!D502, "hh:mm AM/PM") &amp; CHAR(10) &amp; "Venue: " &amp; 'Profit &amp; Loss'!E502 &amp; CHAR(10) &amp; "Court No.: " &amp; 'Profit &amp; Loss'!F502 &amp; CHAR(10) &amp; "Level: HB - LI" &amp; CHAR(10) &amp; "Please transfer $" &amp; 'Profit &amp; Loss'!O502 &amp; " per pax to Belle (83396501)" &amp; CHAR(10) &amp; CHAR(10) &amp; IF('Profit &amp; Loss'!I502=1, "1." &amp; CHAR(10) &amp; "2." &amp; CHAR(10) &amp; "3." &amp; CHAR(10) &amp; "4." &amp; CHAR(10) &amp; "5." &amp; CHAR(10) &amp; "6." &amp; CHAR(10), IF('Profit &amp; Loss'!I502=2,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0" spans="1:2" ht="12.5" x14ac:dyDescent="0.25">
      <c r="A500" s="2" t="str">
        <f ca="1">IF('Profit &amp; Loss'!A503&gt;=TODAY(),"Looking for friendly players to join the following game: " &amp; CHAR(10) &amp; CHAR(10) &amp; "Date: " &amp; TEXT('Profit &amp; Loss'!A503,"dd mmm yyy") &amp; ", " &amp; 'Profit &amp; Loss'!B503 &amp; CHAR(10) &amp; "Time: " &amp; TEXT('Profit &amp; Loss'!C503, "hh:mm AM/PM") &amp; " - " &amp; TEXT('Profit &amp; Loss'!D503, "hh:mm AM/PM") &amp; CHAR(10) &amp; "Venue: " &amp; 'Profit &amp; Loss'!E503 &amp; CHAR(10) &amp; "Level: HB - LI" &amp; CHAR(10) &amp; "Cost: $" &amp; 'Profit &amp; Loss'!O503 &amp; " per pax" &amp; CHAR(10) &amp; "Max " &amp; 'Profit &amp; Loss'!I503*6 &amp; " pax," &amp; " (" &amp; 'Profit &amp; Loss'!I503 &amp; " courts)" &amp; CHAR(10) &amp; CHAR(10) &amp; "RSL Ultimate shuttles provided" &amp; CHAR(10) &amp; CHAR(10) &amp; "PM if interested, thank you!"," ")</f>
        <v xml:space="preserve"> </v>
      </c>
      <c r="B500" s="2" t="str">
        <f ca="1">IF('Profit &amp; Loss'!A503&gt;=TODAY(), "Date: " &amp; TEXT('Profit &amp; Loss'!A503,"dd mmm yyy") &amp; ", " &amp; 'Profit &amp; Loss'!B503 &amp; CHAR(10) &amp; "Time: " &amp; TEXT('Profit &amp; Loss'!C503, "hh:mm AM/PM") &amp; " - " &amp; TEXT('Profit &amp; Loss'!D503, "hh:mm AM/PM") &amp; CHAR(10) &amp; "Venue: " &amp; 'Profit &amp; Loss'!E503 &amp; CHAR(10) &amp; "Court No.: " &amp; 'Profit &amp; Loss'!F503 &amp; CHAR(10) &amp; "Level: HB - LI" &amp; CHAR(10) &amp; "Please transfer $" &amp; 'Profit &amp; Loss'!O503 &amp; " per pax to Belle (83396501)" &amp; CHAR(10) &amp; CHAR(10) &amp; IF('Profit &amp; Loss'!I503=1, "1." &amp; CHAR(10) &amp; "2." &amp; CHAR(10) &amp; "3." &amp; CHAR(10) &amp; "4." &amp; CHAR(10) &amp; "5." &amp; CHAR(10) &amp; "6." &amp; CHAR(10), IF('Profit &amp; Loss'!I503=2,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1" spans="1:2" ht="12.5" x14ac:dyDescent="0.25">
      <c r="A501" s="2" t="str">
        <f ca="1">IF('Profit &amp; Loss'!A504&gt;=TODAY(),"Looking for friendly players to join the following game: " &amp; CHAR(10) &amp; CHAR(10) &amp; "Date: " &amp; TEXT('Profit &amp; Loss'!A504,"dd mmm yyy") &amp; ", " &amp; 'Profit &amp; Loss'!B504 &amp; CHAR(10) &amp; "Time: " &amp; TEXT('Profit &amp; Loss'!C504, "hh:mm AM/PM") &amp; " - " &amp; TEXT('Profit &amp; Loss'!D504, "hh:mm AM/PM") &amp; CHAR(10) &amp; "Venue: " &amp; 'Profit &amp; Loss'!E504 &amp; CHAR(10) &amp; "Level: HB - LI" &amp; CHAR(10) &amp; "Cost: $" &amp; 'Profit &amp; Loss'!O504 &amp; " per pax" &amp; CHAR(10) &amp; "Max " &amp; 'Profit &amp; Loss'!I504*6 &amp; " pax," &amp; " (" &amp; 'Profit &amp; Loss'!I504 &amp; " courts)" &amp; CHAR(10) &amp; CHAR(10) &amp; "RSL Ultimate shuttles provided" &amp; CHAR(10) &amp; CHAR(10) &amp; "PM if interested, thank you!"," ")</f>
        <v xml:space="preserve"> </v>
      </c>
      <c r="B501" s="2" t="str">
        <f ca="1">IF('Profit &amp; Loss'!A504&gt;=TODAY(), "Date: " &amp; TEXT('Profit &amp; Loss'!A504,"dd mmm yyy") &amp; ", " &amp; 'Profit &amp; Loss'!B504 &amp; CHAR(10) &amp; "Time: " &amp; TEXT('Profit &amp; Loss'!C504, "hh:mm AM/PM") &amp; " - " &amp; TEXT('Profit &amp; Loss'!D504, "hh:mm AM/PM") &amp; CHAR(10) &amp; "Venue: " &amp; 'Profit &amp; Loss'!E504 &amp; CHAR(10) &amp; "Court No.: " &amp; 'Profit &amp; Loss'!F504 &amp; CHAR(10) &amp; "Level: HB - LI" &amp; CHAR(10) &amp; "Please transfer $" &amp; 'Profit &amp; Loss'!O504 &amp; " per pax to Belle (83396501)" &amp; CHAR(10) &amp; CHAR(10) &amp; IF('Profit &amp; Loss'!I504=1, "1." &amp; CHAR(10) &amp; "2." &amp; CHAR(10) &amp; "3." &amp; CHAR(10) &amp; "4." &amp; CHAR(10) &amp; "5." &amp; CHAR(10) &amp; "6." &amp; CHAR(10), IF('Profit &amp; Loss'!I504=2,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2" spans="1:2" ht="12.5" x14ac:dyDescent="0.25">
      <c r="A502" s="2" t="str">
        <f ca="1">IF('Profit &amp; Loss'!A505&gt;=TODAY(),"Looking for friendly players to join the following game: " &amp; CHAR(10) &amp; CHAR(10) &amp; "Date: " &amp; TEXT('Profit &amp; Loss'!A505,"dd mmm yyy") &amp; ", " &amp; 'Profit &amp; Loss'!B505 &amp; CHAR(10) &amp; "Time: " &amp; TEXT('Profit &amp; Loss'!C505, "hh:mm AM/PM") &amp; " - " &amp; TEXT('Profit &amp; Loss'!D505, "hh:mm AM/PM") &amp; CHAR(10) &amp; "Venue: " &amp; 'Profit &amp; Loss'!E505 &amp; CHAR(10) &amp; "Level: HB - LI" &amp; CHAR(10) &amp; "Cost: $" &amp; 'Profit &amp; Loss'!O505 &amp; " per pax" &amp; CHAR(10) &amp; "Max " &amp; 'Profit &amp; Loss'!I505*6 &amp; " pax," &amp; " (" &amp; 'Profit &amp; Loss'!I505 &amp; " courts)" &amp; CHAR(10) &amp; CHAR(10) &amp; "RSL Ultimate shuttles provided" &amp; CHAR(10) &amp; CHAR(10) &amp; "PM if interested, thank you!"," ")</f>
        <v xml:space="preserve"> </v>
      </c>
      <c r="B502" s="2" t="str">
        <f ca="1">IF('Profit &amp; Loss'!A505&gt;=TODAY(), "Date: " &amp; TEXT('Profit &amp; Loss'!A505,"dd mmm yyy") &amp; ", " &amp; 'Profit &amp; Loss'!B505 &amp; CHAR(10) &amp; "Time: " &amp; TEXT('Profit &amp; Loss'!C505, "hh:mm AM/PM") &amp; " - " &amp; TEXT('Profit &amp; Loss'!D505, "hh:mm AM/PM") &amp; CHAR(10) &amp; "Venue: " &amp; 'Profit &amp; Loss'!E505 &amp; CHAR(10) &amp; "Court No.: " &amp; 'Profit &amp; Loss'!F505 &amp; CHAR(10) &amp; "Level: HB - LI" &amp; CHAR(10) &amp; "Please transfer $" &amp; 'Profit &amp; Loss'!O505 &amp; " per pax to Belle (83396501)" &amp; CHAR(10) &amp; CHAR(10) &amp; IF('Profit &amp; Loss'!I505=1, "1." &amp; CHAR(10) &amp; "2." &amp; CHAR(10) &amp; "3." &amp; CHAR(10) &amp; "4." &amp; CHAR(10) &amp; "5." &amp; CHAR(10) &amp; "6." &amp; CHAR(10), IF('Profit &amp; Loss'!I505=2,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3" spans="1:2" ht="12.5" x14ac:dyDescent="0.25">
      <c r="A503" s="2" t="str">
        <f ca="1">IF('Profit &amp; Loss'!A506&gt;=TODAY(),"Looking for friendly players to join the following game: " &amp; CHAR(10) &amp; CHAR(10) &amp; "Date: " &amp; TEXT('Profit &amp; Loss'!A506,"dd mmm yyy") &amp; ", " &amp; 'Profit &amp; Loss'!B506 &amp; CHAR(10) &amp; "Time: " &amp; TEXT('Profit &amp; Loss'!C506, "hh:mm AM/PM") &amp; " - " &amp; TEXT('Profit &amp; Loss'!D506, "hh:mm AM/PM") &amp; CHAR(10) &amp; "Venue: " &amp; 'Profit &amp; Loss'!E506 &amp; CHAR(10) &amp; "Level: HB - LI" &amp; CHAR(10) &amp; "Cost: $" &amp; 'Profit &amp; Loss'!O506 &amp; " per pax" &amp; CHAR(10) &amp; "Max " &amp; 'Profit &amp; Loss'!I506*6 &amp; " pax," &amp; " (" &amp; 'Profit &amp; Loss'!I506 &amp; " courts)" &amp; CHAR(10) &amp; CHAR(10) &amp; "RSL Ultimate shuttles provided" &amp; CHAR(10) &amp; CHAR(10) &amp; "PM if interested, thank you!"," ")</f>
        <v xml:space="preserve"> </v>
      </c>
      <c r="B503" s="2" t="str">
        <f ca="1">IF('Profit &amp; Loss'!A506&gt;=TODAY(), "Date: " &amp; TEXT('Profit &amp; Loss'!A506,"dd mmm yyy") &amp; ", " &amp; 'Profit &amp; Loss'!B506 &amp; CHAR(10) &amp; "Time: " &amp; TEXT('Profit &amp; Loss'!C506, "hh:mm AM/PM") &amp; " - " &amp; TEXT('Profit &amp; Loss'!D506, "hh:mm AM/PM") &amp; CHAR(10) &amp; "Venue: " &amp; 'Profit &amp; Loss'!E506 &amp; CHAR(10) &amp; "Court No.: " &amp; 'Profit &amp; Loss'!F506 &amp; CHAR(10) &amp; "Level: HB - LI" &amp; CHAR(10) &amp; "Please transfer $" &amp; 'Profit &amp; Loss'!O506 &amp; " per pax to Belle (83396501)" &amp; CHAR(10) &amp; CHAR(10) &amp; IF('Profit &amp; Loss'!I506=1, "1." &amp; CHAR(10) &amp; "2." &amp; CHAR(10) &amp; "3." &amp; CHAR(10) &amp; "4." &amp; CHAR(10) &amp; "5." &amp; CHAR(10) &amp; "6." &amp; CHAR(10), IF('Profit &amp; Loss'!I506=2,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4" spans="1:2" ht="12.5" x14ac:dyDescent="0.25">
      <c r="A504" s="2" t="str">
        <f ca="1">IF('Profit &amp; Loss'!A507&gt;=TODAY(),"Looking for friendly players to join the following game: " &amp; CHAR(10) &amp; CHAR(10) &amp; "Date: " &amp; TEXT('Profit &amp; Loss'!A507,"dd mmm yyy") &amp; ", " &amp; 'Profit &amp; Loss'!B507 &amp; CHAR(10) &amp; "Time: " &amp; TEXT('Profit &amp; Loss'!C507, "hh:mm AM/PM") &amp; " - " &amp; TEXT('Profit &amp; Loss'!D507, "hh:mm AM/PM") &amp; CHAR(10) &amp; "Venue: " &amp; 'Profit &amp; Loss'!E507 &amp; CHAR(10) &amp; "Level: HB - LI" &amp; CHAR(10) &amp; "Cost: $" &amp; 'Profit &amp; Loss'!O507 &amp; " per pax" &amp; CHAR(10) &amp; "Max " &amp; 'Profit &amp; Loss'!I507*6 &amp; " pax," &amp; " (" &amp; 'Profit &amp; Loss'!I507 &amp; " courts)" &amp; CHAR(10) &amp; CHAR(10) &amp; "RSL Ultimate shuttles provided" &amp; CHAR(10) &amp; CHAR(10) &amp; "PM if interested, thank you!"," ")</f>
        <v xml:space="preserve"> </v>
      </c>
      <c r="B504" s="2" t="str">
        <f ca="1">IF('Profit &amp; Loss'!A507&gt;=TODAY(), "Date: " &amp; TEXT('Profit &amp; Loss'!A507,"dd mmm yyy") &amp; ", " &amp; 'Profit &amp; Loss'!B507 &amp; CHAR(10) &amp; "Time: " &amp; TEXT('Profit &amp; Loss'!C507, "hh:mm AM/PM") &amp; " - " &amp; TEXT('Profit &amp; Loss'!D507, "hh:mm AM/PM") &amp; CHAR(10) &amp; "Venue: " &amp; 'Profit &amp; Loss'!E507 &amp; CHAR(10) &amp; "Court No.: " &amp; 'Profit &amp; Loss'!F507 &amp; CHAR(10) &amp; "Level: HB - LI" &amp; CHAR(10) &amp; "Please transfer $" &amp; 'Profit &amp; Loss'!O507 &amp; " per pax to Belle (83396501)" &amp; CHAR(10) &amp; CHAR(10) &amp; IF('Profit &amp; Loss'!I507=1, "1." &amp; CHAR(10) &amp; "2." &amp; CHAR(10) &amp; "3." &amp; CHAR(10) &amp; "4." &amp; CHAR(10) &amp; "5." &amp; CHAR(10) &amp; "6." &amp; CHAR(10), IF('Profit &amp; Loss'!I507=2,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5" spans="1:2" ht="12.5" x14ac:dyDescent="0.25">
      <c r="A505" s="2" t="str">
        <f ca="1">IF('Profit &amp; Loss'!A508&gt;=TODAY(),"Looking for friendly players to join the following game: " &amp; CHAR(10) &amp; CHAR(10) &amp; "Date: " &amp; TEXT('Profit &amp; Loss'!A508,"dd mmm yyy") &amp; ", " &amp; 'Profit &amp; Loss'!B508 &amp; CHAR(10) &amp; "Time: " &amp; TEXT('Profit &amp; Loss'!C508, "hh:mm AM/PM") &amp; " - " &amp; TEXT('Profit &amp; Loss'!D508, "hh:mm AM/PM") &amp; CHAR(10) &amp; "Venue: " &amp; 'Profit &amp; Loss'!E508 &amp; CHAR(10) &amp; "Level: HB - LI" &amp; CHAR(10) &amp; "Cost: $" &amp; 'Profit &amp; Loss'!O508 &amp; " per pax" &amp; CHAR(10) &amp; "Max " &amp; 'Profit &amp; Loss'!I508*6 &amp; " pax," &amp; " (" &amp; 'Profit &amp; Loss'!I508 &amp; " courts)" &amp; CHAR(10) &amp; CHAR(10) &amp; "RSL Ultimate shuttles provided" &amp; CHAR(10) &amp; CHAR(10) &amp; "PM if interested, thank you!"," ")</f>
        <v xml:space="preserve"> </v>
      </c>
      <c r="B505" s="2" t="str">
        <f ca="1">IF('Profit &amp; Loss'!A508&gt;=TODAY(), "Date: " &amp; TEXT('Profit &amp; Loss'!A508,"dd mmm yyy") &amp; ", " &amp; 'Profit &amp; Loss'!B508 &amp; CHAR(10) &amp; "Time: " &amp; TEXT('Profit &amp; Loss'!C508, "hh:mm AM/PM") &amp; " - " &amp; TEXT('Profit &amp; Loss'!D508, "hh:mm AM/PM") &amp; CHAR(10) &amp; "Venue: " &amp; 'Profit &amp; Loss'!E508 &amp; CHAR(10) &amp; "Court No.: " &amp; 'Profit &amp; Loss'!F508 &amp; CHAR(10) &amp; "Level: HB - LI" &amp; CHAR(10) &amp; "Please transfer $" &amp; 'Profit &amp; Loss'!O508 &amp; " per pax to Belle (83396501)" &amp; CHAR(10) &amp; CHAR(10) &amp; IF('Profit &amp; Loss'!I508=1, "1." &amp; CHAR(10) &amp; "2." &amp; CHAR(10) &amp; "3." &amp; CHAR(10) &amp; "4." &amp; CHAR(10) &amp; "5." &amp; CHAR(10) &amp; "6." &amp; CHAR(10), IF('Profit &amp; Loss'!I508=2,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6" spans="1:2" ht="12.5" x14ac:dyDescent="0.25">
      <c r="A506" s="2" t="str">
        <f ca="1">IF('Profit &amp; Loss'!A509&gt;=TODAY(),"Looking for friendly players to join the following game: " &amp; CHAR(10) &amp; CHAR(10) &amp; "Date: " &amp; TEXT('Profit &amp; Loss'!A509,"dd mmm yyy") &amp; ", " &amp; 'Profit &amp; Loss'!B509 &amp; CHAR(10) &amp; "Time: " &amp; TEXT('Profit &amp; Loss'!C509, "hh:mm AM/PM") &amp; " - " &amp; TEXT('Profit &amp; Loss'!D509, "hh:mm AM/PM") &amp; CHAR(10) &amp; "Venue: " &amp; 'Profit &amp; Loss'!E509 &amp; CHAR(10) &amp; "Level: HB - LI" &amp; CHAR(10) &amp; "Cost: $" &amp; 'Profit &amp; Loss'!O509 &amp; " per pax" &amp; CHAR(10) &amp; "Max " &amp; 'Profit &amp; Loss'!I509*6 &amp; " pax," &amp; " (" &amp; 'Profit &amp; Loss'!I509 &amp; " courts)" &amp; CHAR(10) &amp; CHAR(10) &amp; "RSL Ultimate shuttles provided" &amp; CHAR(10) &amp; CHAR(10) &amp; "PM if interested, thank you!"," ")</f>
        <v xml:space="preserve"> </v>
      </c>
      <c r="B506" s="2" t="str">
        <f ca="1">IF('Profit &amp; Loss'!A509&gt;=TODAY(), "Date: " &amp; TEXT('Profit &amp; Loss'!A509,"dd mmm yyy") &amp; ", " &amp; 'Profit &amp; Loss'!B509 &amp; CHAR(10) &amp; "Time: " &amp; TEXT('Profit &amp; Loss'!C509, "hh:mm AM/PM") &amp; " - " &amp; TEXT('Profit &amp; Loss'!D509, "hh:mm AM/PM") &amp; CHAR(10) &amp; "Venue: " &amp; 'Profit &amp; Loss'!E509 &amp; CHAR(10) &amp; "Court No.: " &amp; 'Profit &amp; Loss'!F509 &amp; CHAR(10) &amp; "Level: HB - LI" &amp; CHAR(10) &amp; "Please transfer $" &amp; 'Profit &amp; Loss'!O509 &amp; " per pax to Belle (83396501)" &amp; CHAR(10) &amp; CHAR(10) &amp; IF('Profit &amp; Loss'!I509=1, "1." &amp; CHAR(10) &amp; "2." &amp; CHAR(10) &amp; "3." &amp; CHAR(10) &amp; "4." &amp; CHAR(10) &amp; "5." &amp; CHAR(10) &amp; "6." &amp; CHAR(10), IF('Profit &amp; Loss'!I509=2,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7" spans="1:2" ht="12.5" x14ac:dyDescent="0.25">
      <c r="A507" s="2" t="str">
        <f ca="1">IF('Profit &amp; Loss'!A510&gt;=TODAY(),"Looking for friendly players to join the following game: " &amp; CHAR(10) &amp; CHAR(10) &amp; "Date: " &amp; TEXT('Profit &amp; Loss'!A510,"dd mmm yyy") &amp; ", " &amp; 'Profit &amp; Loss'!B510 &amp; CHAR(10) &amp; "Time: " &amp; TEXT('Profit &amp; Loss'!C510, "hh:mm AM/PM") &amp; " - " &amp; TEXT('Profit &amp; Loss'!D510, "hh:mm AM/PM") &amp; CHAR(10) &amp; "Venue: " &amp; 'Profit &amp; Loss'!E510 &amp; CHAR(10) &amp; "Level: HB - LI" &amp; CHAR(10) &amp; "Cost: $" &amp; 'Profit &amp; Loss'!O510 &amp; " per pax" &amp; CHAR(10) &amp; "Max " &amp; 'Profit &amp; Loss'!I510*6 &amp; " pax," &amp; " (" &amp; 'Profit &amp; Loss'!I510 &amp; " courts)" &amp; CHAR(10) &amp; CHAR(10) &amp; "RSL Ultimate shuttles provided" &amp; CHAR(10) &amp; CHAR(10) &amp; "PM if interested, thank you!"," ")</f>
        <v xml:space="preserve"> </v>
      </c>
      <c r="B507" s="2" t="str">
        <f ca="1">IF('Profit &amp; Loss'!A510&gt;=TODAY(), "Date: " &amp; TEXT('Profit &amp; Loss'!A510,"dd mmm yyy") &amp; ", " &amp; 'Profit &amp; Loss'!B510 &amp; CHAR(10) &amp; "Time: " &amp; TEXT('Profit &amp; Loss'!C510, "hh:mm AM/PM") &amp; " - " &amp; TEXT('Profit &amp; Loss'!D510, "hh:mm AM/PM") &amp; CHAR(10) &amp; "Venue: " &amp; 'Profit &amp; Loss'!E510 &amp; CHAR(10) &amp; "Court No.: " &amp; 'Profit &amp; Loss'!F510 &amp; CHAR(10) &amp; "Level: HB - LI" &amp; CHAR(10) &amp; "Please transfer $" &amp; 'Profit &amp; Loss'!O510 &amp; " per pax to Belle (83396501)" &amp; CHAR(10) &amp; CHAR(10) &amp; IF('Profit &amp; Loss'!I510=1, "1." &amp; CHAR(10) &amp; "2." &amp; CHAR(10) &amp; "3." &amp; CHAR(10) &amp; "4." &amp; CHAR(10) &amp; "5." &amp; CHAR(10) &amp; "6." &amp; CHAR(10), IF('Profit &amp; Loss'!I510=2,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8" spans="1:2" ht="12.5" x14ac:dyDescent="0.25">
      <c r="A508" s="2" t="str">
        <f ca="1">IF('Profit &amp; Loss'!A511&gt;=TODAY(),"Looking for friendly players to join the following game: " &amp; CHAR(10) &amp; CHAR(10) &amp; "Date: " &amp; TEXT('Profit &amp; Loss'!A511,"dd mmm yyy") &amp; ", " &amp; 'Profit &amp; Loss'!B511 &amp; CHAR(10) &amp; "Time: " &amp; TEXT('Profit &amp; Loss'!C511, "hh:mm AM/PM") &amp; " - " &amp; TEXT('Profit &amp; Loss'!D511, "hh:mm AM/PM") &amp; CHAR(10) &amp; "Venue: " &amp; 'Profit &amp; Loss'!E511 &amp; CHAR(10) &amp; "Level: HB - LI" &amp; CHAR(10) &amp; "Cost: $" &amp; 'Profit &amp; Loss'!O511 &amp; " per pax" &amp; CHAR(10) &amp; "Max " &amp; 'Profit &amp; Loss'!I511*6 &amp; " pax," &amp; " (" &amp; 'Profit &amp; Loss'!I511 &amp; " courts)" &amp; CHAR(10) &amp; CHAR(10) &amp; "RSL Ultimate shuttles provided" &amp; CHAR(10) &amp; CHAR(10) &amp; "PM if interested, thank you!"," ")</f>
        <v xml:space="preserve"> </v>
      </c>
      <c r="B508" s="2" t="str">
        <f ca="1">IF('Profit &amp; Loss'!A511&gt;=TODAY(), "Date: " &amp; TEXT('Profit &amp; Loss'!A511,"dd mmm yyy") &amp; ", " &amp; 'Profit &amp; Loss'!B511 &amp; CHAR(10) &amp; "Time: " &amp; TEXT('Profit &amp; Loss'!C511, "hh:mm AM/PM") &amp; " - " &amp; TEXT('Profit &amp; Loss'!D511, "hh:mm AM/PM") &amp; CHAR(10) &amp; "Venue: " &amp; 'Profit &amp; Loss'!E511 &amp; CHAR(10) &amp; "Court No.: " &amp; 'Profit &amp; Loss'!F511 &amp; CHAR(10) &amp; "Level: HB - LI" &amp; CHAR(10) &amp; "Please transfer $" &amp; 'Profit &amp; Loss'!O511 &amp; " per pax to Belle (83396501)" &amp; CHAR(10) &amp; CHAR(10) &amp; IF('Profit &amp; Loss'!I511=1, "1." &amp; CHAR(10) &amp; "2." &amp; CHAR(10) &amp; "3." &amp; CHAR(10) &amp; "4." &amp; CHAR(10) &amp; "5." &amp; CHAR(10) &amp; "6." &amp; CHAR(10), IF('Profit &amp; Loss'!I511=2,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09" spans="1:2" ht="12.5" x14ac:dyDescent="0.25">
      <c r="A509" s="2" t="str">
        <f ca="1">IF('Profit &amp; Loss'!A512&gt;=TODAY(),"Looking for friendly players to join the following game: " &amp; CHAR(10) &amp; CHAR(10) &amp; "Date: " &amp; TEXT('Profit &amp; Loss'!A512,"dd mmm yyy") &amp; ", " &amp; 'Profit &amp; Loss'!B512 &amp; CHAR(10) &amp; "Time: " &amp; TEXT('Profit &amp; Loss'!C512, "hh:mm AM/PM") &amp; " - " &amp; TEXT('Profit &amp; Loss'!D512, "hh:mm AM/PM") &amp; CHAR(10) &amp; "Venue: " &amp; 'Profit &amp; Loss'!E512 &amp; CHAR(10) &amp; "Level: HB - LI" &amp; CHAR(10) &amp; "Cost: $" &amp; 'Profit &amp; Loss'!O512 &amp; " per pax" &amp; CHAR(10) &amp; "Max " &amp; 'Profit &amp; Loss'!I512*6 &amp; " pax," &amp; " (" &amp; 'Profit &amp; Loss'!I512 &amp; " courts)" &amp; CHAR(10) &amp; CHAR(10) &amp; "RSL Ultimate shuttles provided" &amp; CHAR(10) &amp; CHAR(10) &amp; "PM if interested, thank you!"," ")</f>
        <v xml:space="preserve"> </v>
      </c>
      <c r="B509" s="2" t="str">
        <f ca="1">IF('Profit &amp; Loss'!A512&gt;=TODAY(), "Date: " &amp; TEXT('Profit &amp; Loss'!A512,"dd mmm yyy") &amp; ", " &amp; 'Profit &amp; Loss'!B512 &amp; CHAR(10) &amp; "Time: " &amp; TEXT('Profit &amp; Loss'!C512, "hh:mm AM/PM") &amp; " - " &amp; TEXT('Profit &amp; Loss'!D512, "hh:mm AM/PM") &amp; CHAR(10) &amp; "Venue: " &amp; 'Profit &amp; Loss'!E512 &amp; CHAR(10) &amp; "Court No.: " &amp; 'Profit &amp; Loss'!F512 &amp; CHAR(10) &amp; "Level: HB - LI" &amp; CHAR(10) &amp; "Please transfer $" &amp; 'Profit &amp; Loss'!O512 &amp; " per pax to Belle (83396501)" &amp; CHAR(10) &amp; CHAR(10) &amp; IF('Profit &amp; Loss'!I512=1, "1." &amp; CHAR(10) &amp; "2." &amp; CHAR(10) &amp; "3." &amp; CHAR(10) &amp; "4." &amp; CHAR(10) &amp; "5." &amp; CHAR(10) &amp; "6." &amp; CHAR(10), IF('Profit &amp; Loss'!I512=2,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0" spans="1:2" ht="12.5" x14ac:dyDescent="0.25">
      <c r="A510" s="2" t="str">
        <f ca="1">IF('Profit &amp; Loss'!A513&gt;=TODAY(),"Looking for friendly players to join the following game: " &amp; CHAR(10) &amp; CHAR(10) &amp; "Date: " &amp; TEXT('Profit &amp; Loss'!A513,"dd mmm yyy") &amp; ", " &amp; 'Profit &amp; Loss'!B513 &amp; CHAR(10) &amp; "Time: " &amp; TEXT('Profit &amp; Loss'!C513, "hh:mm AM/PM") &amp; " - " &amp; TEXT('Profit &amp; Loss'!D513, "hh:mm AM/PM") &amp; CHAR(10) &amp; "Venue: " &amp; 'Profit &amp; Loss'!E513 &amp; CHAR(10) &amp; "Level: HB - LI" &amp; CHAR(10) &amp; "Cost: $" &amp; 'Profit &amp; Loss'!O513 &amp; " per pax" &amp; CHAR(10) &amp; "Max " &amp; 'Profit &amp; Loss'!I513*6 &amp; " pax," &amp; " (" &amp; 'Profit &amp; Loss'!I513 &amp; " courts)" &amp; CHAR(10) &amp; CHAR(10) &amp; "RSL Ultimate shuttles provided" &amp; CHAR(10) &amp; CHAR(10) &amp; "PM if interested, thank you!"," ")</f>
        <v xml:space="preserve"> </v>
      </c>
      <c r="B510" s="2" t="str">
        <f ca="1">IF('Profit &amp; Loss'!A513&gt;=TODAY(), "Date: " &amp; TEXT('Profit &amp; Loss'!A513,"dd mmm yyy") &amp; ", " &amp; 'Profit &amp; Loss'!B513 &amp; CHAR(10) &amp; "Time: " &amp; TEXT('Profit &amp; Loss'!C513, "hh:mm AM/PM") &amp; " - " &amp; TEXT('Profit &amp; Loss'!D513, "hh:mm AM/PM") &amp; CHAR(10) &amp; "Venue: " &amp; 'Profit &amp; Loss'!E513 &amp; CHAR(10) &amp; "Court No.: " &amp; 'Profit &amp; Loss'!F513 &amp; CHAR(10) &amp; "Level: HB - LI" &amp; CHAR(10) &amp; "Please transfer $" &amp; 'Profit &amp; Loss'!O513 &amp; " per pax to Belle (83396501)" &amp; CHAR(10) &amp; CHAR(10) &amp; IF('Profit &amp; Loss'!I513=1, "1." &amp; CHAR(10) &amp; "2." &amp; CHAR(10) &amp; "3." &amp; CHAR(10) &amp; "4." &amp; CHAR(10) &amp; "5." &amp; CHAR(10) &amp; "6." &amp; CHAR(10), IF('Profit &amp; Loss'!I513=2,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1" spans="1:2" ht="12.5" x14ac:dyDescent="0.25">
      <c r="A511" s="2" t="str">
        <f ca="1">IF('Profit &amp; Loss'!A514&gt;=TODAY(),"Looking for friendly players to join the following game: " &amp; CHAR(10) &amp; CHAR(10) &amp; "Date: " &amp; TEXT('Profit &amp; Loss'!A514,"dd mmm yyy") &amp; ", " &amp; 'Profit &amp; Loss'!B514 &amp; CHAR(10) &amp; "Time: " &amp; TEXT('Profit &amp; Loss'!C514, "hh:mm AM/PM") &amp; " - " &amp; TEXT('Profit &amp; Loss'!D514, "hh:mm AM/PM") &amp; CHAR(10) &amp; "Venue: " &amp; 'Profit &amp; Loss'!E514 &amp; CHAR(10) &amp; "Level: HB - LI" &amp; CHAR(10) &amp; "Cost: $" &amp; 'Profit &amp; Loss'!O514 &amp; " per pax" &amp; CHAR(10) &amp; "Max " &amp; 'Profit &amp; Loss'!I514*6 &amp; " pax," &amp; " (" &amp; 'Profit &amp; Loss'!I514 &amp; " courts)" &amp; CHAR(10) &amp; CHAR(10) &amp; "RSL Ultimate shuttles provided" &amp; CHAR(10) &amp; CHAR(10) &amp; "PM if interested, thank you!"," ")</f>
        <v xml:space="preserve"> </v>
      </c>
      <c r="B511" s="2" t="str">
        <f ca="1">IF('Profit &amp; Loss'!A514&gt;=TODAY(), "Date: " &amp; TEXT('Profit &amp; Loss'!A514,"dd mmm yyy") &amp; ", " &amp; 'Profit &amp; Loss'!B514 &amp; CHAR(10) &amp; "Time: " &amp; TEXT('Profit &amp; Loss'!C514, "hh:mm AM/PM") &amp; " - " &amp; TEXT('Profit &amp; Loss'!D514, "hh:mm AM/PM") &amp; CHAR(10) &amp; "Venue: " &amp; 'Profit &amp; Loss'!E514 &amp; CHAR(10) &amp; "Court No.: " &amp; 'Profit &amp; Loss'!F514 &amp; CHAR(10) &amp; "Level: HB - LI" &amp; CHAR(10) &amp; "Please transfer $" &amp; 'Profit &amp; Loss'!O514 &amp; " per pax to Belle (83396501)" &amp; CHAR(10) &amp; CHAR(10) &amp; IF('Profit &amp; Loss'!I514=1, "1." &amp; CHAR(10) &amp; "2." &amp; CHAR(10) &amp; "3." &amp; CHAR(10) &amp; "4." &amp; CHAR(10) &amp; "5." &amp; CHAR(10) &amp; "6." &amp; CHAR(10), IF('Profit &amp; Loss'!I514=2,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2" spans="1:2" ht="12.5" x14ac:dyDescent="0.25">
      <c r="A512" s="2" t="str">
        <f ca="1">IF('Profit &amp; Loss'!A515&gt;=TODAY(),"Looking for friendly players to join the following game: " &amp; CHAR(10) &amp; CHAR(10) &amp; "Date: " &amp; TEXT('Profit &amp; Loss'!A515,"dd mmm yyy") &amp; ", " &amp; 'Profit &amp; Loss'!B515 &amp; CHAR(10) &amp; "Time: " &amp; TEXT('Profit &amp; Loss'!C515, "hh:mm AM/PM") &amp; " - " &amp; TEXT('Profit &amp; Loss'!D515, "hh:mm AM/PM") &amp; CHAR(10) &amp; "Venue: " &amp; 'Profit &amp; Loss'!E515 &amp; CHAR(10) &amp; "Level: HB - LI" &amp; CHAR(10) &amp; "Cost: $" &amp; 'Profit &amp; Loss'!O515 &amp; " per pax" &amp; CHAR(10) &amp; "Max " &amp; 'Profit &amp; Loss'!I515*6 &amp; " pax," &amp; " (" &amp; 'Profit &amp; Loss'!I515 &amp; " courts)" &amp; CHAR(10) &amp; CHAR(10) &amp; "RSL Ultimate shuttles provided" &amp; CHAR(10) &amp; CHAR(10) &amp; "PM if interested, thank you!"," ")</f>
        <v xml:space="preserve"> </v>
      </c>
      <c r="B512" s="2" t="str">
        <f ca="1">IF('Profit &amp; Loss'!A515&gt;=TODAY(), "Date: " &amp; TEXT('Profit &amp; Loss'!A515,"dd mmm yyy") &amp; ", " &amp; 'Profit &amp; Loss'!B515 &amp; CHAR(10) &amp; "Time: " &amp; TEXT('Profit &amp; Loss'!C515, "hh:mm AM/PM") &amp; " - " &amp; TEXT('Profit &amp; Loss'!D515, "hh:mm AM/PM") &amp; CHAR(10) &amp; "Venue: " &amp; 'Profit &amp; Loss'!E515 &amp; CHAR(10) &amp; "Court No.: " &amp; 'Profit &amp; Loss'!F515 &amp; CHAR(10) &amp; "Level: HB - LI" &amp; CHAR(10) &amp; "Please transfer $" &amp; 'Profit &amp; Loss'!O515 &amp; " per pax to Belle (83396501)" &amp; CHAR(10) &amp; CHAR(10) &amp; IF('Profit &amp; Loss'!I515=1, "1." &amp; CHAR(10) &amp; "2." &amp; CHAR(10) &amp; "3." &amp; CHAR(10) &amp; "4." &amp; CHAR(10) &amp; "5." &amp; CHAR(10) &amp; "6." &amp; CHAR(10), IF('Profit &amp; Loss'!I515=2,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3" spans="1:2" ht="12.5" x14ac:dyDescent="0.25">
      <c r="A513" s="2" t="str">
        <f ca="1">IF('Profit &amp; Loss'!A516&gt;=TODAY(),"Looking for friendly players to join the following game: " &amp; CHAR(10) &amp; CHAR(10) &amp; "Date: " &amp; TEXT('Profit &amp; Loss'!A516,"dd mmm yyy") &amp; ", " &amp; 'Profit &amp; Loss'!B516 &amp; CHAR(10) &amp; "Time: " &amp; TEXT('Profit &amp; Loss'!C516, "hh:mm AM/PM") &amp; " - " &amp; TEXT('Profit &amp; Loss'!D516, "hh:mm AM/PM") &amp; CHAR(10) &amp; "Venue: " &amp; 'Profit &amp; Loss'!E516 &amp; CHAR(10) &amp; "Level: HB - LI" &amp; CHAR(10) &amp; "Cost: $" &amp; 'Profit &amp; Loss'!O516 &amp; " per pax" &amp; CHAR(10) &amp; "Max " &amp; 'Profit &amp; Loss'!I516*6 &amp; " pax," &amp; " (" &amp; 'Profit &amp; Loss'!I516 &amp; " courts)" &amp; CHAR(10) &amp; CHAR(10) &amp; "RSL Ultimate shuttles provided" &amp; CHAR(10) &amp; CHAR(10) &amp; "PM if interested, thank you!"," ")</f>
        <v xml:space="preserve"> </v>
      </c>
      <c r="B513" s="2" t="str">
        <f ca="1">IF('Profit &amp; Loss'!A516&gt;=TODAY(), "Date: " &amp; TEXT('Profit &amp; Loss'!A516,"dd mmm yyy") &amp; ", " &amp; 'Profit &amp; Loss'!B516 &amp; CHAR(10) &amp; "Time: " &amp; TEXT('Profit &amp; Loss'!C516, "hh:mm AM/PM") &amp; " - " &amp; TEXT('Profit &amp; Loss'!D516, "hh:mm AM/PM") &amp; CHAR(10) &amp; "Venue: " &amp; 'Profit &amp; Loss'!E516 &amp; CHAR(10) &amp; "Court No.: " &amp; 'Profit &amp; Loss'!F516 &amp; CHAR(10) &amp; "Level: HB - LI" &amp; CHAR(10) &amp; "Please transfer $" &amp; 'Profit &amp; Loss'!O516 &amp; " per pax to Belle (83396501)" &amp; CHAR(10) &amp; CHAR(10) &amp; IF('Profit &amp; Loss'!I516=1, "1." &amp; CHAR(10) &amp; "2." &amp; CHAR(10) &amp; "3." &amp; CHAR(10) &amp; "4." &amp; CHAR(10) &amp; "5." &amp; CHAR(10) &amp; "6." &amp; CHAR(10), IF('Profit &amp; Loss'!I516=2,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4" spans="1:2" ht="12.5" x14ac:dyDescent="0.25">
      <c r="A514" s="2" t="str">
        <f ca="1">IF('Profit &amp; Loss'!A517&gt;=TODAY(),"Looking for friendly players to join the following game: " &amp; CHAR(10) &amp; CHAR(10) &amp; "Date: " &amp; TEXT('Profit &amp; Loss'!A517,"dd mmm yyy") &amp; ", " &amp; 'Profit &amp; Loss'!B517 &amp; CHAR(10) &amp; "Time: " &amp; TEXT('Profit &amp; Loss'!C517, "hh:mm AM/PM") &amp; " - " &amp; TEXT('Profit &amp; Loss'!D517, "hh:mm AM/PM") &amp; CHAR(10) &amp; "Venue: " &amp; 'Profit &amp; Loss'!E517 &amp; CHAR(10) &amp; "Level: HB - LI" &amp; CHAR(10) &amp; "Cost: $" &amp; 'Profit &amp; Loss'!O517 &amp; " per pax" &amp; CHAR(10) &amp; "Max " &amp; 'Profit &amp; Loss'!I517*6 &amp; " pax," &amp; " (" &amp; 'Profit &amp; Loss'!I517 &amp; " courts)" &amp; CHAR(10) &amp; CHAR(10) &amp; "RSL Ultimate shuttles provided" &amp; CHAR(10) &amp; CHAR(10) &amp; "PM if interested, thank you!"," ")</f>
        <v xml:space="preserve"> </v>
      </c>
      <c r="B514" s="2" t="str">
        <f ca="1">IF('Profit &amp; Loss'!A517&gt;=TODAY(), "Date: " &amp; TEXT('Profit &amp; Loss'!A517,"dd mmm yyy") &amp; ", " &amp; 'Profit &amp; Loss'!B517 &amp; CHAR(10) &amp; "Time: " &amp; TEXT('Profit &amp; Loss'!C517, "hh:mm AM/PM") &amp; " - " &amp; TEXT('Profit &amp; Loss'!D517, "hh:mm AM/PM") &amp; CHAR(10) &amp; "Venue: " &amp; 'Profit &amp; Loss'!E517 &amp; CHAR(10) &amp; "Court No.: " &amp; 'Profit &amp; Loss'!F517 &amp; CHAR(10) &amp; "Level: HB - LI" &amp; CHAR(10) &amp; "Please transfer $" &amp; 'Profit &amp; Loss'!O517 &amp; " per pax to Belle (83396501)" &amp; CHAR(10) &amp; CHAR(10) &amp; IF('Profit &amp; Loss'!I517=1, "1." &amp; CHAR(10) &amp; "2." &amp; CHAR(10) &amp; "3." &amp; CHAR(10) &amp; "4." &amp; CHAR(10) &amp; "5." &amp; CHAR(10) &amp; "6." &amp; CHAR(10), IF('Profit &amp; Loss'!I517=2,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5" spans="1:2" ht="12.5" x14ac:dyDescent="0.25">
      <c r="A515" s="2" t="str">
        <f ca="1">IF('Profit &amp; Loss'!A518&gt;=TODAY(),"Looking for friendly players to join the following game: " &amp; CHAR(10) &amp; CHAR(10) &amp; "Date: " &amp; TEXT('Profit &amp; Loss'!A518,"dd mmm yyy") &amp; ", " &amp; 'Profit &amp; Loss'!B518 &amp; CHAR(10) &amp; "Time: " &amp; TEXT('Profit &amp; Loss'!C518, "hh:mm AM/PM") &amp; " - " &amp; TEXT('Profit &amp; Loss'!D518, "hh:mm AM/PM") &amp; CHAR(10) &amp; "Venue: " &amp; 'Profit &amp; Loss'!E518 &amp; CHAR(10) &amp; "Level: HB - LI" &amp; CHAR(10) &amp; "Cost: $" &amp; 'Profit &amp; Loss'!O518 &amp; " per pax" &amp; CHAR(10) &amp; "Max " &amp; 'Profit &amp; Loss'!I518*6 &amp; " pax," &amp; " (" &amp; 'Profit &amp; Loss'!I518 &amp; " courts)" &amp; CHAR(10) &amp; CHAR(10) &amp; "RSL Ultimate shuttles provided" &amp; CHAR(10) &amp; CHAR(10) &amp; "PM if interested, thank you!"," ")</f>
        <v xml:space="preserve"> </v>
      </c>
      <c r="B515" s="2" t="str">
        <f ca="1">IF('Profit &amp; Loss'!A518&gt;=TODAY(), "Date: " &amp; TEXT('Profit &amp; Loss'!A518,"dd mmm yyy") &amp; ", " &amp; 'Profit &amp; Loss'!B518 &amp; CHAR(10) &amp; "Time: " &amp; TEXT('Profit &amp; Loss'!C518, "hh:mm AM/PM") &amp; " - " &amp; TEXT('Profit &amp; Loss'!D518, "hh:mm AM/PM") &amp; CHAR(10) &amp; "Venue: " &amp; 'Profit &amp; Loss'!E518 &amp; CHAR(10) &amp; "Court No.: " &amp; 'Profit &amp; Loss'!F518 &amp; CHAR(10) &amp; "Level: HB - LI" &amp; CHAR(10) &amp; "Please transfer $" &amp; 'Profit &amp; Loss'!O518 &amp; " per pax to Belle (83396501)" &amp; CHAR(10) &amp; CHAR(10) &amp; IF('Profit &amp; Loss'!I518=1, "1." &amp; CHAR(10) &amp; "2." &amp; CHAR(10) &amp; "3." &amp; CHAR(10) &amp; "4." &amp; CHAR(10) &amp; "5." &amp; CHAR(10) &amp; "6." &amp; CHAR(10), IF('Profit &amp; Loss'!I518=2,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6" spans="1:2" ht="12.5" x14ac:dyDescent="0.25">
      <c r="A516" s="2" t="str">
        <f ca="1">IF('Profit &amp; Loss'!A519&gt;=TODAY(),"Looking for friendly players to join the following game: " &amp; CHAR(10) &amp; CHAR(10) &amp; "Date: " &amp; TEXT('Profit &amp; Loss'!A519,"dd mmm yyy") &amp; ", " &amp; 'Profit &amp; Loss'!B519 &amp; CHAR(10) &amp; "Time: " &amp; TEXT('Profit &amp; Loss'!C519, "hh:mm AM/PM") &amp; " - " &amp; TEXT('Profit &amp; Loss'!D519, "hh:mm AM/PM") &amp; CHAR(10) &amp; "Venue: " &amp; 'Profit &amp; Loss'!E519 &amp; CHAR(10) &amp; "Level: HB - LI" &amp; CHAR(10) &amp; "Cost: $" &amp; 'Profit &amp; Loss'!O519 &amp; " per pax" &amp; CHAR(10) &amp; "Max " &amp; 'Profit &amp; Loss'!I519*6 &amp; " pax," &amp; " (" &amp; 'Profit &amp; Loss'!I519 &amp; " courts)" &amp; CHAR(10) &amp; CHAR(10) &amp; "RSL Ultimate shuttles provided" &amp; CHAR(10) &amp; CHAR(10) &amp; "PM if interested, thank you!"," ")</f>
        <v xml:space="preserve"> </v>
      </c>
      <c r="B516" s="2" t="str">
        <f ca="1">IF('Profit &amp; Loss'!A519&gt;=TODAY(), "Date: " &amp; TEXT('Profit &amp; Loss'!A519,"dd mmm yyy") &amp; ", " &amp; 'Profit &amp; Loss'!B519 &amp; CHAR(10) &amp; "Time: " &amp; TEXT('Profit &amp; Loss'!C519, "hh:mm AM/PM") &amp; " - " &amp; TEXT('Profit &amp; Loss'!D519, "hh:mm AM/PM") &amp; CHAR(10) &amp; "Venue: " &amp; 'Profit &amp; Loss'!E519 &amp; CHAR(10) &amp; "Court No.: " &amp; 'Profit &amp; Loss'!F519 &amp; CHAR(10) &amp; "Level: HB - LI" &amp; CHAR(10) &amp; "Please transfer $" &amp; 'Profit &amp; Loss'!O519 &amp; " per pax to Belle (83396501)" &amp; CHAR(10) &amp; CHAR(10) &amp; IF('Profit &amp; Loss'!I519=1, "1." &amp; CHAR(10) &amp; "2." &amp; CHAR(10) &amp; "3." &amp; CHAR(10) &amp; "4." &amp; CHAR(10) &amp; "5." &amp; CHAR(10) &amp; "6." &amp; CHAR(10), IF('Profit &amp; Loss'!I519=2,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7" spans="1:2" ht="12.5" x14ac:dyDescent="0.25">
      <c r="A517" s="2" t="str">
        <f ca="1">IF('Profit &amp; Loss'!A520&gt;=TODAY(),"Looking for friendly players to join the following game: " &amp; CHAR(10) &amp; CHAR(10) &amp; "Date: " &amp; TEXT('Profit &amp; Loss'!A520,"dd mmm yyy") &amp; ", " &amp; 'Profit &amp; Loss'!B520 &amp; CHAR(10) &amp; "Time: " &amp; TEXT('Profit &amp; Loss'!C520, "hh:mm AM/PM") &amp; " - " &amp; TEXT('Profit &amp; Loss'!D520, "hh:mm AM/PM") &amp; CHAR(10) &amp; "Venue: " &amp; 'Profit &amp; Loss'!E520 &amp; CHAR(10) &amp; "Level: HB - LI" &amp; CHAR(10) &amp; "Cost: $" &amp; 'Profit &amp; Loss'!O520 &amp; " per pax" &amp; CHAR(10) &amp; "Max " &amp; 'Profit &amp; Loss'!I520*6 &amp; " pax," &amp; " (" &amp; 'Profit &amp; Loss'!I520 &amp; " courts)" &amp; CHAR(10) &amp; CHAR(10) &amp; "RSL Ultimate shuttles provided" &amp; CHAR(10) &amp; CHAR(10) &amp; "PM if interested, thank you!"," ")</f>
        <v xml:space="preserve"> </v>
      </c>
      <c r="B517" s="2" t="str">
        <f ca="1">IF('Profit &amp; Loss'!A520&gt;=TODAY(), "Date: " &amp; TEXT('Profit &amp; Loss'!A520,"dd mmm yyy") &amp; ", " &amp; 'Profit &amp; Loss'!B520 &amp; CHAR(10) &amp; "Time: " &amp; TEXT('Profit &amp; Loss'!C520, "hh:mm AM/PM") &amp; " - " &amp; TEXT('Profit &amp; Loss'!D520, "hh:mm AM/PM") &amp; CHAR(10) &amp; "Venue: " &amp; 'Profit &amp; Loss'!E520 &amp; CHAR(10) &amp; "Court No.: " &amp; 'Profit &amp; Loss'!F520 &amp; CHAR(10) &amp; "Level: HB - LI" &amp; CHAR(10) &amp; "Please transfer $" &amp; 'Profit &amp; Loss'!O520 &amp; " per pax to Belle (83396501)" &amp; CHAR(10) &amp; CHAR(10) &amp; IF('Profit &amp; Loss'!I520=1, "1." &amp; CHAR(10) &amp; "2." &amp; CHAR(10) &amp; "3." &amp; CHAR(10) &amp; "4." &amp; CHAR(10) &amp; "5." &amp; CHAR(10) &amp; "6." &amp; CHAR(10), IF('Profit &amp; Loss'!I520=2,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8" spans="1:2" ht="12.5" x14ac:dyDescent="0.25">
      <c r="A518" s="2" t="str">
        <f ca="1">IF('Profit &amp; Loss'!A521&gt;=TODAY(),"Looking for friendly players to join the following game: " &amp; CHAR(10) &amp; CHAR(10) &amp; "Date: " &amp; TEXT('Profit &amp; Loss'!A521,"dd mmm yyy") &amp; ", " &amp; 'Profit &amp; Loss'!B521 &amp; CHAR(10) &amp; "Time: " &amp; TEXT('Profit &amp; Loss'!C521, "hh:mm AM/PM") &amp; " - " &amp; TEXT('Profit &amp; Loss'!D521, "hh:mm AM/PM") &amp; CHAR(10) &amp; "Venue: " &amp; 'Profit &amp; Loss'!E521 &amp; CHAR(10) &amp; "Level: HB - LI" &amp; CHAR(10) &amp; "Cost: $" &amp; 'Profit &amp; Loss'!O521 &amp; " per pax" &amp; CHAR(10) &amp; "Max " &amp; 'Profit &amp; Loss'!I521*6 &amp; " pax," &amp; " (" &amp; 'Profit &amp; Loss'!I521 &amp; " courts)" &amp; CHAR(10) &amp; CHAR(10) &amp; "RSL Ultimate shuttles provided" &amp; CHAR(10) &amp; CHAR(10) &amp; "PM if interested, thank you!"," ")</f>
        <v xml:space="preserve"> </v>
      </c>
      <c r="B518" s="2" t="str">
        <f ca="1">IF('Profit &amp; Loss'!A521&gt;=TODAY(), "Date: " &amp; TEXT('Profit &amp; Loss'!A521,"dd mmm yyy") &amp; ", " &amp; 'Profit &amp; Loss'!B521 &amp; CHAR(10) &amp; "Time: " &amp; TEXT('Profit &amp; Loss'!C521, "hh:mm AM/PM") &amp; " - " &amp; TEXT('Profit &amp; Loss'!D521, "hh:mm AM/PM") &amp; CHAR(10) &amp; "Venue: " &amp; 'Profit &amp; Loss'!E521 &amp; CHAR(10) &amp; "Court No.: " &amp; 'Profit &amp; Loss'!F521 &amp; CHAR(10) &amp; "Level: HB - LI" &amp; CHAR(10) &amp; "Please transfer $" &amp; 'Profit &amp; Loss'!O521 &amp; " per pax to Belle (83396501)" &amp; CHAR(10) &amp; CHAR(10) &amp; IF('Profit &amp; Loss'!I521=1, "1." &amp; CHAR(10) &amp; "2." &amp; CHAR(10) &amp; "3." &amp; CHAR(10) &amp; "4." &amp; CHAR(10) &amp; "5." &amp; CHAR(10) &amp; "6." &amp; CHAR(10), IF('Profit &amp; Loss'!I521=2,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19" spans="1:2" ht="12.5" x14ac:dyDescent="0.25">
      <c r="A519" s="2" t="str">
        <f ca="1">IF('Profit &amp; Loss'!A522&gt;=TODAY(),"Looking for friendly players to join the following game: " &amp; CHAR(10) &amp; CHAR(10) &amp; "Date: " &amp; TEXT('Profit &amp; Loss'!A522,"dd mmm yyy") &amp; ", " &amp; 'Profit &amp; Loss'!B522 &amp; CHAR(10) &amp; "Time: " &amp; TEXT('Profit &amp; Loss'!C522, "hh:mm AM/PM") &amp; " - " &amp; TEXT('Profit &amp; Loss'!D522, "hh:mm AM/PM") &amp; CHAR(10) &amp; "Venue: " &amp; 'Profit &amp; Loss'!E522 &amp; CHAR(10) &amp; "Level: HB - LI" &amp; CHAR(10) &amp; "Cost: $" &amp; 'Profit &amp; Loss'!O522 &amp; " per pax" &amp; CHAR(10) &amp; "Max " &amp; 'Profit &amp; Loss'!I522*6 &amp; " pax," &amp; " (" &amp; 'Profit &amp; Loss'!I522 &amp; " courts)" &amp; CHAR(10) &amp; CHAR(10) &amp; "RSL Ultimate shuttles provided" &amp; CHAR(10) &amp; CHAR(10) &amp; "PM if interested, thank you!"," ")</f>
        <v xml:space="preserve"> </v>
      </c>
      <c r="B519" s="2" t="str">
        <f ca="1">IF('Profit &amp; Loss'!A522&gt;=TODAY(), "Date: " &amp; TEXT('Profit &amp; Loss'!A522,"dd mmm yyy") &amp; ", " &amp; 'Profit &amp; Loss'!B522 &amp; CHAR(10) &amp; "Time: " &amp; TEXT('Profit &amp; Loss'!C522, "hh:mm AM/PM") &amp; " - " &amp; TEXT('Profit &amp; Loss'!D522, "hh:mm AM/PM") &amp; CHAR(10) &amp; "Venue: " &amp; 'Profit &amp; Loss'!E522 &amp; CHAR(10) &amp; "Court No.: " &amp; 'Profit &amp; Loss'!F522 &amp; CHAR(10) &amp; "Level: HB - LI" &amp; CHAR(10) &amp; "Please transfer $" &amp; 'Profit &amp; Loss'!O522 &amp; " per pax to Belle (83396501)" &amp; CHAR(10) &amp; CHAR(10) &amp; IF('Profit &amp; Loss'!I522=1, "1." &amp; CHAR(10) &amp; "2." &amp; CHAR(10) &amp; "3." &amp; CHAR(10) &amp; "4." &amp; CHAR(10) &amp; "5." &amp; CHAR(10) &amp; "6." &amp; CHAR(10), IF('Profit &amp; Loss'!I522=2,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0" spans="1:2" ht="12.5" x14ac:dyDescent="0.25">
      <c r="A520" s="2" t="str">
        <f ca="1">IF('Profit &amp; Loss'!A523&gt;=TODAY(),"Looking for friendly players to join the following game: " &amp; CHAR(10) &amp; CHAR(10) &amp; "Date: " &amp; TEXT('Profit &amp; Loss'!A523,"dd mmm yyy") &amp; ", " &amp; 'Profit &amp; Loss'!B523 &amp; CHAR(10) &amp; "Time: " &amp; TEXT('Profit &amp; Loss'!C523, "hh:mm AM/PM") &amp; " - " &amp; TEXT('Profit &amp; Loss'!D523, "hh:mm AM/PM") &amp; CHAR(10) &amp; "Venue: " &amp; 'Profit &amp; Loss'!E523 &amp; CHAR(10) &amp; "Level: HB - LI" &amp; CHAR(10) &amp; "Cost: $" &amp; 'Profit &amp; Loss'!O523 &amp; " per pax" &amp; CHAR(10) &amp; "Max " &amp; 'Profit &amp; Loss'!I523*6 &amp; " pax," &amp; " (" &amp; 'Profit &amp; Loss'!I523 &amp; " courts)" &amp; CHAR(10) &amp; CHAR(10) &amp; "RSL Ultimate shuttles provided" &amp; CHAR(10) &amp; CHAR(10) &amp; "PM if interested, thank you!"," ")</f>
        <v xml:space="preserve"> </v>
      </c>
      <c r="B520" s="2" t="str">
        <f ca="1">IF('Profit &amp; Loss'!A523&gt;=TODAY(), "Date: " &amp; TEXT('Profit &amp; Loss'!A523,"dd mmm yyy") &amp; ", " &amp; 'Profit &amp; Loss'!B523 &amp; CHAR(10) &amp; "Time: " &amp; TEXT('Profit &amp; Loss'!C523, "hh:mm AM/PM") &amp; " - " &amp; TEXT('Profit &amp; Loss'!D523, "hh:mm AM/PM") &amp; CHAR(10) &amp; "Venue: " &amp; 'Profit &amp; Loss'!E523 &amp; CHAR(10) &amp; "Court No.: " &amp; 'Profit &amp; Loss'!F523 &amp; CHAR(10) &amp; "Level: HB - LI" &amp; CHAR(10) &amp; "Please transfer $" &amp; 'Profit &amp; Loss'!O523 &amp; " per pax to Belle (83396501)" &amp; CHAR(10) &amp; CHAR(10) &amp; IF('Profit &amp; Loss'!I523=1, "1." &amp; CHAR(10) &amp; "2." &amp; CHAR(10) &amp; "3." &amp; CHAR(10) &amp; "4." &amp; CHAR(10) &amp; "5." &amp; CHAR(10) &amp; "6." &amp; CHAR(10), IF('Profit &amp; Loss'!I523=2,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1" spans="1:2" ht="12.5" x14ac:dyDescent="0.25">
      <c r="A521" s="2" t="str">
        <f ca="1">IF('Profit &amp; Loss'!A524&gt;=TODAY(),"Looking for friendly players to join the following game: " &amp; CHAR(10) &amp; CHAR(10) &amp; "Date: " &amp; TEXT('Profit &amp; Loss'!A524,"dd mmm yyy") &amp; ", " &amp; 'Profit &amp; Loss'!B524 &amp; CHAR(10) &amp; "Time: " &amp; TEXT('Profit &amp; Loss'!C524, "hh:mm AM/PM") &amp; " - " &amp; TEXT('Profit &amp; Loss'!D524, "hh:mm AM/PM") &amp; CHAR(10) &amp; "Venue: " &amp; 'Profit &amp; Loss'!E524 &amp; CHAR(10) &amp; "Level: HB - LI" &amp; CHAR(10) &amp; "Cost: $" &amp; 'Profit &amp; Loss'!O524 &amp; " per pax" &amp; CHAR(10) &amp; "Max " &amp; 'Profit &amp; Loss'!I524*6 &amp; " pax," &amp; " (" &amp; 'Profit &amp; Loss'!I524 &amp; " courts)" &amp; CHAR(10) &amp; CHAR(10) &amp; "RSL Ultimate shuttles provided" &amp; CHAR(10) &amp; CHAR(10) &amp; "PM if interested, thank you!"," ")</f>
        <v xml:space="preserve"> </v>
      </c>
      <c r="B521" s="2" t="str">
        <f ca="1">IF('Profit &amp; Loss'!A524&gt;=TODAY(), "Date: " &amp; TEXT('Profit &amp; Loss'!A524,"dd mmm yyy") &amp; ", " &amp; 'Profit &amp; Loss'!B524 &amp; CHAR(10) &amp; "Time: " &amp; TEXT('Profit &amp; Loss'!C524, "hh:mm AM/PM") &amp; " - " &amp; TEXT('Profit &amp; Loss'!D524, "hh:mm AM/PM") &amp; CHAR(10) &amp; "Venue: " &amp; 'Profit &amp; Loss'!E524 &amp; CHAR(10) &amp; "Court No.: " &amp; 'Profit &amp; Loss'!F524 &amp; CHAR(10) &amp; "Level: HB - LI" &amp; CHAR(10) &amp; "Please transfer $" &amp; 'Profit &amp; Loss'!O524 &amp; " per pax to Belle (83396501)" &amp; CHAR(10) &amp; CHAR(10) &amp; IF('Profit &amp; Loss'!I524=1, "1." &amp; CHAR(10) &amp; "2." &amp; CHAR(10) &amp; "3." &amp; CHAR(10) &amp; "4." &amp; CHAR(10) &amp; "5." &amp; CHAR(10) &amp; "6." &amp; CHAR(10), IF('Profit &amp; Loss'!I524=2,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2" spans="1:2" ht="12.5" x14ac:dyDescent="0.25">
      <c r="A522" s="2" t="str">
        <f ca="1">IF('Profit &amp; Loss'!A525&gt;=TODAY(),"Looking for friendly players to join the following game: " &amp; CHAR(10) &amp; CHAR(10) &amp; "Date: " &amp; TEXT('Profit &amp; Loss'!A525,"dd mmm yyy") &amp; ", " &amp; 'Profit &amp; Loss'!B525 &amp; CHAR(10) &amp; "Time: " &amp; TEXT('Profit &amp; Loss'!C525, "hh:mm AM/PM") &amp; " - " &amp; TEXT('Profit &amp; Loss'!D525, "hh:mm AM/PM") &amp; CHAR(10) &amp; "Venue: " &amp; 'Profit &amp; Loss'!E525 &amp; CHAR(10) &amp; "Level: HB - LI" &amp; CHAR(10) &amp; "Cost: $" &amp; 'Profit &amp; Loss'!O525 &amp; " per pax" &amp; CHAR(10) &amp; "Max " &amp; 'Profit &amp; Loss'!I525*6 &amp; " pax," &amp; " (" &amp; 'Profit &amp; Loss'!I525 &amp; " courts)" &amp; CHAR(10) &amp; CHAR(10) &amp; "RSL Ultimate shuttles provided" &amp; CHAR(10) &amp; CHAR(10) &amp; "PM if interested, thank you!"," ")</f>
        <v xml:space="preserve"> </v>
      </c>
      <c r="B522" s="2" t="str">
        <f ca="1">IF('Profit &amp; Loss'!A525&gt;=TODAY(), "Date: " &amp; TEXT('Profit &amp; Loss'!A525,"dd mmm yyy") &amp; ", " &amp; 'Profit &amp; Loss'!B525 &amp; CHAR(10) &amp; "Time: " &amp; TEXT('Profit &amp; Loss'!C525, "hh:mm AM/PM") &amp; " - " &amp; TEXT('Profit &amp; Loss'!D525, "hh:mm AM/PM") &amp; CHAR(10) &amp; "Venue: " &amp; 'Profit &amp; Loss'!E525 &amp; CHAR(10) &amp; "Court No.: " &amp; 'Profit &amp; Loss'!F525 &amp; CHAR(10) &amp; "Level: HB - LI" &amp; CHAR(10) &amp; "Please transfer $" &amp; 'Profit &amp; Loss'!O525 &amp; " per pax to Belle (83396501)" &amp; CHAR(10) &amp; CHAR(10) &amp; IF('Profit &amp; Loss'!I525=1, "1." &amp; CHAR(10) &amp; "2." &amp; CHAR(10) &amp; "3." &amp; CHAR(10) &amp; "4." &amp; CHAR(10) &amp; "5." &amp; CHAR(10) &amp; "6." &amp; CHAR(10), IF('Profit &amp; Loss'!I525=2,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3" spans="1:2" ht="12.5" x14ac:dyDescent="0.25">
      <c r="A523" s="2" t="str">
        <f ca="1">IF('Profit &amp; Loss'!A526&gt;=TODAY(),"Looking for friendly players to join the following game: " &amp; CHAR(10) &amp; CHAR(10) &amp; "Date: " &amp; TEXT('Profit &amp; Loss'!A526,"dd mmm yyy") &amp; ", " &amp; 'Profit &amp; Loss'!B526 &amp; CHAR(10) &amp; "Time: " &amp; TEXT('Profit &amp; Loss'!C526, "hh:mm AM/PM") &amp; " - " &amp; TEXT('Profit &amp; Loss'!D526, "hh:mm AM/PM") &amp; CHAR(10) &amp; "Venue: " &amp; 'Profit &amp; Loss'!E526 &amp; CHAR(10) &amp; "Level: HB - LI" &amp; CHAR(10) &amp; "Cost: $" &amp; 'Profit &amp; Loss'!O526 &amp; " per pax" &amp; CHAR(10) &amp; "Max " &amp; 'Profit &amp; Loss'!I526*6 &amp; " pax," &amp; " (" &amp; 'Profit &amp; Loss'!I526 &amp; " courts)" &amp; CHAR(10) &amp; CHAR(10) &amp; "RSL Ultimate shuttles provided" &amp; CHAR(10) &amp; CHAR(10) &amp; "PM if interested, thank you!"," ")</f>
        <v xml:space="preserve"> </v>
      </c>
      <c r="B523" s="2" t="str">
        <f ca="1">IF('Profit &amp; Loss'!A526&gt;=TODAY(), "Date: " &amp; TEXT('Profit &amp; Loss'!A526,"dd mmm yyy") &amp; ", " &amp; 'Profit &amp; Loss'!B526 &amp; CHAR(10) &amp; "Time: " &amp; TEXT('Profit &amp; Loss'!C526, "hh:mm AM/PM") &amp; " - " &amp; TEXT('Profit &amp; Loss'!D526, "hh:mm AM/PM") &amp; CHAR(10) &amp; "Venue: " &amp; 'Profit &amp; Loss'!E526 &amp; CHAR(10) &amp; "Court No.: " &amp; 'Profit &amp; Loss'!F526 &amp; CHAR(10) &amp; "Level: HB - LI" &amp; CHAR(10) &amp; "Please transfer $" &amp; 'Profit &amp; Loss'!O526 &amp; " per pax to Belle (83396501)" &amp; CHAR(10) &amp; CHAR(10) &amp; IF('Profit &amp; Loss'!I526=1, "1." &amp; CHAR(10) &amp; "2." &amp; CHAR(10) &amp; "3." &amp; CHAR(10) &amp; "4." &amp; CHAR(10) &amp; "5." &amp; CHAR(10) &amp; "6." &amp; CHAR(10), IF('Profit &amp; Loss'!I526=2,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4" spans="1:2" ht="12.5" x14ac:dyDescent="0.25">
      <c r="A524" s="2" t="str">
        <f ca="1">IF('Profit &amp; Loss'!A527&gt;=TODAY(),"Looking for friendly players to join the following game: " &amp; CHAR(10) &amp; CHAR(10) &amp; "Date: " &amp; TEXT('Profit &amp; Loss'!A527,"dd mmm yyy") &amp; ", " &amp; 'Profit &amp; Loss'!B527 &amp; CHAR(10) &amp; "Time: " &amp; TEXT('Profit &amp; Loss'!C527, "hh:mm AM/PM") &amp; " - " &amp; TEXT('Profit &amp; Loss'!D527, "hh:mm AM/PM") &amp; CHAR(10) &amp; "Venue: " &amp; 'Profit &amp; Loss'!E527 &amp; CHAR(10) &amp; "Level: HB - LI" &amp; CHAR(10) &amp; "Cost: $" &amp; 'Profit &amp; Loss'!O527 &amp; " per pax" &amp; CHAR(10) &amp; "Max " &amp; 'Profit &amp; Loss'!I527*6 &amp; " pax," &amp; " (" &amp; 'Profit &amp; Loss'!I527 &amp; " courts)" &amp; CHAR(10) &amp; CHAR(10) &amp; "RSL Ultimate shuttles provided" &amp; CHAR(10) &amp; CHAR(10) &amp; "PM if interested, thank you!"," ")</f>
        <v xml:space="preserve"> </v>
      </c>
      <c r="B524" s="2" t="str">
        <f ca="1">IF('Profit &amp; Loss'!A527&gt;=TODAY(), "Date: " &amp; TEXT('Profit &amp; Loss'!A527,"dd mmm yyy") &amp; ", " &amp; 'Profit &amp; Loss'!B527 &amp; CHAR(10) &amp; "Time: " &amp; TEXT('Profit &amp; Loss'!C527, "hh:mm AM/PM") &amp; " - " &amp; TEXT('Profit &amp; Loss'!D527, "hh:mm AM/PM") &amp; CHAR(10) &amp; "Venue: " &amp; 'Profit &amp; Loss'!E527 &amp; CHAR(10) &amp; "Court No.: " &amp; 'Profit &amp; Loss'!F527 &amp; CHAR(10) &amp; "Level: HB - LI" &amp; CHAR(10) &amp; "Please transfer $" &amp; 'Profit &amp; Loss'!O527 &amp; " per pax to Belle (83396501)" &amp; CHAR(10) &amp; CHAR(10) &amp; IF('Profit &amp; Loss'!I527=1, "1." &amp; CHAR(10) &amp; "2." &amp; CHAR(10) &amp; "3." &amp; CHAR(10) &amp; "4." &amp; CHAR(10) &amp; "5." &amp; CHAR(10) &amp; "6." &amp; CHAR(10), IF('Profit &amp; Loss'!I527=2,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5" spans="1:2" ht="12.5" x14ac:dyDescent="0.25">
      <c r="A525" s="2" t="str">
        <f ca="1">IF('Profit &amp; Loss'!A528&gt;=TODAY(),"Looking for friendly players to join the following game: " &amp; CHAR(10) &amp; CHAR(10) &amp; "Date: " &amp; TEXT('Profit &amp; Loss'!A528,"dd mmm yyy") &amp; ", " &amp; 'Profit &amp; Loss'!B528 &amp; CHAR(10) &amp; "Time: " &amp; TEXT('Profit &amp; Loss'!C528, "hh:mm AM/PM") &amp; " - " &amp; TEXT('Profit &amp; Loss'!D528, "hh:mm AM/PM") &amp; CHAR(10) &amp; "Venue: " &amp; 'Profit &amp; Loss'!E528 &amp; CHAR(10) &amp; "Level: HB - LI" &amp; CHAR(10) &amp; "Cost: $" &amp; 'Profit &amp; Loss'!O528 &amp; " per pax" &amp; CHAR(10) &amp; "Max " &amp; 'Profit &amp; Loss'!I528*6 &amp; " pax," &amp; " (" &amp; 'Profit &amp; Loss'!I528 &amp; " courts)" &amp; CHAR(10) &amp; CHAR(10) &amp; "RSL Ultimate shuttles provided" &amp; CHAR(10) &amp; CHAR(10) &amp; "PM if interested, thank you!"," ")</f>
        <v xml:space="preserve"> </v>
      </c>
      <c r="B525" s="2" t="str">
        <f ca="1">IF('Profit &amp; Loss'!A528&gt;=TODAY(), "Date: " &amp; TEXT('Profit &amp; Loss'!A528,"dd mmm yyy") &amp; ", " &amp; 'Profit &amp; Loss'!B528 &amp; CHAR(10) &amp; "Time: " &amp; TEXT('Profit &amp; Loss'!C528, "hh:mm AM/PM") &amp; " - " &amp; TEXT('Profit &amp; Loss'!D528, "hh:mm AM/PM") &amp; CHAR(10) &amp; "Venue: " &amp; 'Profit &amp; Loss'!E528 &amp; CHAR(10) &amp; "Court No.: " &amp; 'Profit &amp; Loss'!F528 &amp; CHAR(10) &amp; "Level: HB - LI" &amp; CHAR(10) &amp; "Please transfer $" &amp; 'Profit &amp; Loss'!O528 &amp; " per pax to Belle (83396501)" &amp; CHAR(10) &amp; CHAR(10) &amp; IF('Profit &amp; Loss'!I528=1, "1." &amp; CHAR(10) &amp; "2." &amp; CHAR(10) &amp; "3." &amp; CHAR(10) &amp; "4." &amp; CHAR(10) &amp; "5." &amp; CHAR(10) &amp; "6." &amp; CHAR(10), IF('Profit &amp; Loss'!I528=2,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6" spans="1:2" ht="12.5" x14ac:dyDescent="0.25">
      <c r="A526" s="2" t="str">
        <f ca="1">IF('Profit &amp; Loss'!A529&gt;=TODAY(),"Looking for friendly players to join the following game: " &amp; CHAR(10) &amp; CHAR(10) &amp; "Date: " &amp; TEXT('Profit &amp; Loss'!A529,"dd mmm yyy") &amp; ", " &amp; 'Profit &amp; Loss'!B529 &amp; CHAR(10) &amp; "Time: " &amp; TEXT('Profit &amp; Loss'!C529, "hh:mm AM/PM") &amp; " - " &amp; TEXT('Profit &amp; Loss'!D529, "hh:mm AM/PM") &amp; CHAR(10) &amp; "Venue: " &amp; 'Profit &amp; Loss'!E529 &amp; CHAR(10) &amp; "Level: HB - LI" &amp; CHAR(10) &amp; "Cost: $" &amp; 'Profit &amp; Loss'!O529 &amp; " per pax" &amp; CHAR(10) &amp; "Max " &amp; 'Profit &amp; Loss'!I529*6 &amp; " pax," &amp; " (" &amp; 'Profit &amp; Loss'!I529 &amp; " courts)" &amp; CHAR(10) &amp; CHAR(10) &amp; "RSL Ultimate shuttles provided" &amp; CHAR(10) &amp; CHAR(10) &amp; "PM if interested, thank you!"," ")</f>
        <v xml:space="preserve"> </v>
      </c>
      <c r="B526" s="2" t="str">
        <f ca="1">IF('Profit &amp; Loss'!A529&gt;=TODAY(), "Date: " &amp; TEXT('Profit &amp; Loss'!A529,"dd mmm yyy") &amp; ", " &amp; 'Profit &amp; Loss'!B529 &amp; CHAR(10) &amp; "Time: " &amp; TEXT('Profit &amp; Loss'!C529, "hh:mm AM/PM") &amp; " - " &amp; TEXT('Profit &amp; Loss'!D529, "hh:mm AM/PM") &amp; CHAR(10) &amp; "Venue: " &amp; 'Profit &amp; Loss'!E529 &amp; CHAR(10) &amp; "Court No.: " &amp; 'Profit &amp; Loss'!F529 &amp; CHAR(10) &amp; "Level: HB - LI" &amp; CHAR(10) &amp; "Please transfer $" &amp; 'Profit &amp; Loss'!O529 &amp; " per pax to Belle (83396501)" &amp; CHAR(10) &amp; CHAR(10) &amp; IF('Profit &amp; Loss'!I529=1, "1." &amp; CHAR(10) &amp; "2." &amp; CHAR(10) &amp; "3." &amp; CHAR(10) &amp; "4." &amp; CHAR(10) &amp; "5." &amp; CHAR(10) &amp; "6." &amp; CHAR(10), IF('Profit &amp; Loss'!I529=2,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7" spans="1:2" ht="12.5" x14ac:dyDescent="0.25">
      <c r="A527" s="2" t="str">
        <f ca="1">IF('Profit &amp; Loss'!A530&gt;=TODAY(),"Looking for friendly players to join the following game: " &amp; CHAR(10) &amp; CHAR(10) &amp; "Date: " &amp; TEXT('Profit &amp; Loss'!A530,"dd mmm yyy") &amp; ", " &amp; 'Profit &amp; Loss'!B530 &amp; CHAR(10) &amp; "Time: " &amp; TEXT('Profit &amp; Loss'!C530, "hh:mm AM/PM") &amp; " - " &amp; TEXT('Profit &amp; Loss'!D530, "hh:mm AM/PM") &amp; CHAR(10) &amp; "Venue: " &amp; 'Profit &amp; Loss'!E530 &amp; CHAR(10) &amp; "Level: HB - LI" &amp; CHAR(10) &amp; "Cost: $" &amp; 'Profit &amp; Loss'!O530 &amp; " per pax" &amp; CHAR(10) &amp; "Max " &amp; 'Profit &amp; Loss'!I530*6 &amp; " pax," &amp; " (" &amp; 'Profit &amp; Loss'!I530 &amp; " courts)" &amp; CHAR(10) &amp; CHAR(10) &amp; "RSL Ultimate shuttles provided" &amp; CHAR(10) &amp; CHAR(10) &amp; "PM if interested, thank you!"," ")</f>
        <v xml:space="preserve"> </v>
      </c>
      <c r="B527" s="2" t="str">
        <f ca="1">IF('Profit &amp; Loss'!A530&gt;=TODAY(), "Date: " &amp; TEXT('Profit &amp; Loss'!A530,"dd mmm yyy") &amp; ", " &amp; 'Profit &amp; Loss'!B530 &amp; CHAR(10) &amp; "Time: " &amp; TEXT('Profit &amp; Loss'!C530, "hh:mm AM/PM") &amp; " - " &amp; TEXT('Profit &amp; Loss'!D530, "hh:mm AM/PM") &amp; CHAR(10) &amp; "Venue: " &amp; 'Profit &amp; Loss'!E530 &amp; CHAR(10) &amp; "Court No.: " &amp; 'Profit &amp; Loss'!F530 &amp; CHAR(10) &amp; "Level: HB - LI" &amp; CHAR(10) &amp; "Please transfer $" &amp; 'Profit &amp; Loss'!O530 &amp; " per pax to Belle (83396501)" &amp; CHAR(10) &amp; CHAR(10) &amp; IF('Profit &amp; Loss'!I530=1, "1." &amp; CHAR(10) &amp; "2." &amp; CHAR(10) &amp; "3." &amp; CHAR(10) &amp; "4." &amp; CHAR(10) &amp; "5." &amp; CHAR(10) &amp; "6." &amp; CHAR(10), IF('Profit &amp; Loss'!I530=2,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8" spans="1:2" ht="12.5" x14ac:dyDescent="0.25">
      <c r="A528" s="2" t="str">
        <f ca="1">IF('Profit &amp; Loss'!A531&gt;=TODAY(),"Looking for friendly players to join the following game: " &amp; CHAR(10) &amp; CHAR(10) &amp; "Date: " &amp; TEXT('Profit &amp; Loss'!A531,"dd mmm yyy") &amp; ", " &amp; 'Profit &amp; Loss'!B531 &amp; CHAR(10) &amp; "Time: " &amp; TEXT('Profit &amp; Loss'!C531, "hh:mm AM/PM") &amp; " - " &amp; TEXT('Profit &amp; Loss'!D531, "hh:mm AM/PM") &amp; CHAR(10) &amp; "Venue: " &amp; 'Profit &amp; Loss'!E531 &amp; CHAR(10) &amp; "Level: HB - LI" &amp; CHAR(10) &amp; "Cost: $" &amp; 'Profit &amp; Loss'!O531 &amp; " per pax" &amp; CHAR(10) &amp; "Max " &amp; 'Profit &amp; Loss'!I531*6 &amp; " pax," &amp; " (" &amp; 'Profit &amp; Loss'!I531 &amp; " courts)" &amp; CHAR(10) &amp; CHAR(10) &amp; "RSL Ultimate shuttles provided" &amp; CHAR(10) &amp; CHAR(10) &amp; "PM if interested, thank you!"," ")</f>
        <v xml:space="preserve"> </v>
      </c>
      <c r="B528" s="2" t="str">
        <f ca="1">IF('Profit &amp; Loss'!A531&gt;=TODAY(), "Date: " &amp; TEXT('Profit &amp; Loss'!A531,"dd mmm yyy") &amp; ", " &amp; 'Profit &amp; Loss'!B531 &amp; CHAR(10) &amp; "Time: " &amp; TEXT('Profit &amp; Loss'!C531, "hh:mm AM/PM") &amp; " - " &amp; TEXT('Profit &amp; Loss'!D531, "hh:mm AM/PM") &amp; CHAR(10) &amp; "Venue: " &amp; 'Profit &amp; Loss'!E531 &amp; CHAR(10) &amp; "Court No.: " &amp; 'Profit &amp; Loss'!F531 &amp; CHAR(10) &amp; "Level: HB - LI" &amp; CHAR(10) &amp; "Please transfer $" &amp; 'Profit &amp; Loss'!O531 &amp; " per pax to Belle (83396501)" &amp; CHAR(10) &amp; CHAR(10) &amp; IF('Profit &amp; Loss'!I531=1, "1." &amp; CHAR(10) &amp; "2." &amp; CHAR(10) &amp; "3." &amp; CHAR(10) &amp; "4." &amp; CHAR(10) &amp; "5." &amp; CHAR(10) &amp; "6." &amp; CHAR(10), IF('Profit &amp; Loss'!I531=2,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29" spans="1:2" ht="12.5" x14ac:dyDescent="0.25">
      <c r="A529" s="2" t="str">
        <f ca="1">IF('Profit &amp; Loss'!A532&gt;=TODAY(),"Looking for friendly players to join the following game: " &amp; CHAR(10) &amp; CHAR(10) &amp; "Date: " &amp; TEXT('Profit &amp; Loss'!A532,"dd mmm yyy") &amp; ", " &amp; 'Profit &amp; Loss'!B532 &amp; CHAR(10) &amp; "Time: " &amp; TEXT('Profit &amp; Loss'!C532, "hh:mm AM/PM") &amp; " - " &amp; TEXT('Profit &amp; Loss'!D532, "hh:mm AM/PM") &amp; CHAR(10) &amp; "Venue: " &amp; 'Profit &amp; Loss'!E532 &amp; CHAR(10) &amp; "Level: HB - LI" &amp; CHAR(10) &amp; "Cost: $" &amp; 'Profit &amp; Loss'!O532 &amp; " per pax" &amp; CHAR(10) &amp; "Max " &amp; 'Profit &amp; Loss'!I532*6 &amp; " pax," &amp; " (" &amp; 'Profit &amp; Loss'!I532 &amp; " courts)" &amp; CHAR(10) &amp; CHAR(10) &amp; "RSL Ultimate shuttles provided" &amp; CHAR(10) &amp; CHAR(10) &amp; "PM if interested, thank you!"," ")</f>
        <v xml:space="preserve"> </v>
      </c>
      <c r="B529" s="2" t="str">
        <f ca="1">IF('Profit &amp; Loss'!A532&gt;=TODAY(), "Date: " &amp; TEXT('Profit &amp; Loss'!A532,"dd mmm yyy") &amp; ", " &amp; 'Profit &amp; Loss'!B532 &amp; CHAR(10) &amp; "Time: " &amp; TEXT('Profit &amp; Loss'!C532, "hh:mm AM/PM") &amp; " - " &amp; TEXT('Profit &amp; Loss'!D532, "hh:mm AM/PM") &amp; CHAR(10) &amp; "Venue: " &amp; 'Profit &amp; Loss'!E532 &amp; CHAR(10) &amp; "Court No.: " &amp; 'Profit &amp; Loss'!F532 &amp; CHAR(10) &amp; "Level: HB - LI" &amp; CHAR(10) &amp; "Please transfer $" &amp; 'Profit &amp; Loss'!O532 &amp; " per pax to Belle (83396501)" &amp; CHAR(10) &amp; CHAR(10) &amp; IF('Profit &amp; Loss'!I532=1, "1." &amp; CHAR(10) &amp; "2." &amp; CHAR(10) &amp; "3." &amp; CHAR(10) &amp; "4." &amp; CHAR(10) &amp; "5." &amp; CHAR(10) &amp; "6." &amp; CHAR(10), IF('Profit &amp; Loss'!I532=2,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0" spans="1:2" ht="12.5" x14ac:dyDescent="0.25">
      <c r="A530" s="2" t="str">
        <f ca="1">IF('Profit &amp; Loss'!A533&gt;=TODAY(),"Looking for friendly players to join the following game: " &amp; CHAR(10) &amp; CHAR(10) &amp; "Date: " &amp; TEXT('Profit &amp; Loss'!A533,"dd mmm yyy") &amp; ", " &amp; 'Profit &amp; Loss'!B533 &amp; CHAR(10) &amp; "Time: " &amp; TEXT('Profit &amp; Loss'!C533, "hh:mm AM/PM") &amp; " - " &amp; TEXT('Profit &amp; Loss'!D533, "hh:mm AM/PM") &amp; CHAR(10) &amp; "Venue: " &amp; 'Profit &amp; Loss'!E533 &amp; CHAR(10) &amp; "Level: HB - LI" &amp; CHAR(10) &amp; "Cost: $" &amp; 'Profit &amp; Loss'!O533 &amp; " per pax" &amp; CHAR(10) &amp; "Max " &amp; 'Profit &amp; Loss'!I533*6 &amp; " pax," &amp; " (" &amp; 'Profit &amp; Loss'!I533 &amp; " courts)" &amp; CHAR(10) &amp; CHAR(10) &amp; "RSL Ultimate shuttles provided" &amp; CHAR(10) &amp; CHAR(10) &amp; "PM if interested, thank you!"," ")</f>
        <v xml:space="preserve"> </v>
      </c>
      <c r="B530" s="2" t="str">
        <f ca="1">IF('Profit &amp; Loss'!A533&gt;=TODAY(), "Date: " &amp; TEXT('Profit &amp; Loss'!A533,"dd mmm yyy") &amp; ", " &amp; 'Profit &amp; Loss'!B533 &amp; CHAR(10) &amp; "Time: " &amp; TEXT('Profit &amp; Loss'!C533, "hh:mm AM/PM") &amp; " - " &amp; TEXT('Profit &amp; Loss'!D533, "hh:mm AM/PM") &amp; CHAR(10) &amp; "Venue: " &amp; 'Profit &amp; Loss'!E533 &amp; CHAR(10) &amp; "Court No.: " &amp; 'Profit &amp; Loss'!F533 &amp; CHAR(10) &amp; "Level: HB - LI" &amp; CHAR(10) &amp; "Please transfer $" &amp; 'Profit &amp; Loss'!O533 &amp; " per pax to Belle (83396501)" &amp; CHAR(10) &amp; CHAR(10) &amp; IF('Profit &amp; Loss'!I533=1, "1." &amp; CHAR(10) &amp; "2." &amp; CHAR(10) &amp; "3." &amp; CHAR(10) &amp; "4." &amp; CHAR(10) &amp; "5." &amp; CHAR(10) &amp; "6." &amp; CHAR(10), IF('Profit &amp; Loss'!I533=2,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1" spans="1:2" ht="12.5" x14ac:dyDescent="0.25">
      <c r="A531" s="2" t="str">
        <f ca="1">IF('Profit &amp; Loss'!A534&gt;=TODAY(),"Looking for friendly players to join the following game: " &amp; CHAR(10) &amp; CHAR(10) &amp; "Date: " &amp; TEXT('Profit &amp; Loss'!A534,"dd mmm yyy") &amp; ", " &amp; 'Profit &amp; Loss'!B534 &amp; CHAR(10) &amp; "Time: " &amp; TEXT('Profit &amp; Loss'!C534, "hh:mm AM/PM") &amp; " - " &amp; TEXT('Profit &amp; Loss'!D534, "hh:mm AM/PM") &amp; CHAR(10) &amp; "Venue: " &amp; 'Profit &amp; Loss'!E534 &amp; CHAR(10) &amp; "Level: HB - LI" &amp; CHAR(10) &amp; "Cost: $" &amp; 'Profit &amp; Loss'!O534 &amp; " per pax" &amp; CHAR(10) &amp; "Max " &amp; 'Profit &amp; Loss'!I534*6 &amp; " pax," &amp; " (" &amp; 'Profit &amp; Loss'!I534 &amp; " courts)" &amp; CHAR(10) &amp; CHAR(10) &amp; "RSL Ultimate shuttles provided" &amp; CHAR(10) &amp; CHAR(10) &amp; "PM if interested, thank you!"," ")</f>
        <v xml:space="preserve"> </v>
      </c>
      <c r="B531" s="2" t="str">
        <f ca="1">IF('Profit &amp; Loss'!A534&gt;=TODAY(), "Date: " &amp; TEXT('Profit &amp; Loss'!A534,"dd mmm yyy") &amp; ", " &amp; 'Profit &amp; Loss'!B534 &amp; CHAR(10) &amp; "Time: " &amp; TEXT('Profit &amp; Loss'!C534, "hh:mm AM/PM") &amp; " - " &amp; TEXT('Profit &amp; Loss'!D534, "hh:mm AM/PM") &amp; CHAR(10) &amp; "Venue: " &amp; 'Profit &amp; Loss'!E534 &amp; CHAR(10) &amp; "Court No.: " &amp; 'Profit &amp; Loss'!F534 &amp; CHAR(10) &amp; "Level: HB - LI" &amp; CHAR(10) &amp; "Please transfer $" &amp; 'Profit &amp; Loss'!O534 &amp; " per pax to Belle (83396501)" &amp; CHAR(10) &amp; CHAR(10) &amp; IF('Profit &amp; Loss'!I534=1, "1." &amp; CHAR(10) &amp; "2." &amp; CHAR(10) &amp; "3." &amp; CHAR(10) &amp; "4." &amp; CHAR(10) &amp; "5." &amp; CHAR(10) &amp; "6." &amp; CHAR(10), IF('Profit &amp; Loss'!I534=2,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2" spans="1:2" ht="12.5" x14ac:dyDescent="0.25">
      <c r="A532" s="2" t="str">
        <f ca="1">IF('Profit &amp; Loss'!A535&gt;=TODAY(),"Looking for friendly players to join the following game: " &amp; CHAR(10) &amp; CHAR(10) &amp; "Date: " &amp; TEXT('Profit &amp; Loss'!A535,"dd mmm yyy") &amp; ", " &amp; 'Profit &amp; Loss'!B535 &amp; CHAR(10) &amp; "Time: " &amp; TEXT('Profit &amp; Loss'!C535, "hh:mm AM/PM") &amp; " - " &amp; TEXT('Profit &amp; Loss'!D535, "hh:mm AM/PM") &amp; CHAR(10) &amp; "Venue: " &amp; 'Profit &amp; Loss'!E535 &amp; CHAR(10) &amp; "Level: HB - LI" &amp; CHAR(10) &amp; "Cost: $" &amp; 'Profit &amp; Loss'!O535 &amp; " per pax" &amp; CHAR(10) &amp; "Max " &amp; 'Profit &amp; Loss'!I535*6 &amp; " pax," &amp; " (" &amp; 'Profit &amp; Loss'!I535 &amp; " courts)" &amp; CHAR(10) &amp; CHAR(10) &amp; "RSL Ultimate shuttles provided" &amp; CHAR(10) &amp; CHAR(10) &amp; "PM if interested, thank you!"," ")</f>
        <v xml:space="preserve"> </v>
      </c>
      <c r="B532" s="2" t="str">
        <f ca="1">IF('Profit &amp; Loss'!A535&gt;=TODAY(), "Date: " &amp; TEXT('Profit &amp; Loss'!A535,"dd mmm yyy") &amp; ", " &amp; 'Profit &amp; Loss'!B535 &amp; CHAR(10) &amp; "Time: " &amp; TEXT('Profit &amp; Loss'!C535, "hh:mm AM/PM") &amp; " - " &amp; TEXT('Profit &amp; Loss'!D535, "hh:mm AM/PM") &amp; CHAR(10) &amp; "Venue: " &amp; 'Profit &amp; Loss'!E535 &amp; CHAR(10) &amp; "Court No.: " &amp; 'Profit &amp; Loss'!F535 &amp; CHAR(10) &amp; "Level: HB - LI" &amp; CHAR(10) &amp; "Please transfer $" &amp; 'Profit &amp; Loss'!O535 &amp; " per pax to Belle (83396501)" &amp; CHAR(10) &amp; CHAR(10) &amp; IF('Profit &amp; Loss'!I535=1, "1." &amp; CHAR(10) &amp; "2." &amp; CHAR(10) &amp; "3." &amp; CHAR(10) &amp; "4." &amp; CHAR(10) &amp; "5." &amp; CHAR(10) &amp; "6." &amp; CHAR(10), IF('Profit &amp; Loss'!I535=2,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3" spans="1:2" ht="12.5" x14ac:dyDescent="0.25">
      <c r="A533" s="2" t="str">
        <f ca="1">IF('Profit &amp; Loss'!A536&gt;=TODAY(),"Looking for friendly players to join the following game: " &amp; CHAR(10) &amp; CHAR(10) &amp; "Date: " &amp; TEXT('Profit &amp; Loss'!A536,"dd mmm yyy") &amp; ", " &amp; 'Profit &amp; Loss'!B536 &amp; CHAR(10) &amp; "Time: " &amp; TEXT('Profit &amp; Loss'!C536, "hh:mm AM/PM") &amp; " - " &amp; TEXT('Profit &amp; Loss'!D536, "hh:mm AM/PM") &amp; CHAR(10) &amp; "Venue: " &amp; 'Profit &amp; Loss'!E536 &amp; CHAR(10) &amp; "Level: HB - LI" &amp; CHAR(10) &amp; "Cost: $" &amp; 'Profit &amp; Loss'!O536 &amp; " per pax" &amp; CHAR(10) &amp; "Max " &amp; 'Profit &amp; Loss'!I536*6 &amp; " pax," &amp; " (" &amp; 'Profit &amp; Loss'!I536 &amp; " courts)" &amp; CHAR(10) &amp; CHAR(10) &amp; "RSL Ultimate shuttles provided" &amp; CHAR(10) &amp; CHAR(10) &amp; "PM if interested, thank you!"," ")</f>
        <v xml:space="preserve"> </v>
      </c>
      <c r="B533" s="2" t="str">
        <f ca="1">IF('Profit &amp; Loss'!A536&gt;=TODAY(), "Date: " &amp; TEXT('Profit &amp; Loss'!A536,"dd mmm yyy") &amp; ", " &amp; 'Profit &amp; Loss'!B536 &amp; CHAR(10) &amp; "Time: " &amp; TEXT('Profit &amp; Loss'!C536, "hh:mm AM/PM") &amp; " - " &amp; TEXT('Profit &amp; Loss'!D536, "hh:mm AM/PM") &amp; CHAR(10) &amp; "Venue: " &amp; 'Profit &amp; Loss'!E536 &amp; CHAR(10) &amp; "Court No.: " &amp; 'Profit &amp; Loss'!F536 &amp; CHAR(10) &amp; "Level: HB - LI" &amp; CHAR(10) &amp; "Please transfer $" &amp; 'Profit &amp; Loss'!O536 &amp; " per pax to Belle (83396501)" &amp; CHAR(10) &amp; CHAR(10) &amp; IF('Profit &amp; Loss'!I536=1, "1." &amp; CHAR(10) &amp; "2." &amp; CHAR(10) &amp; "3." &amp; CHAR(10) &amp; "4." &amp; CHAR(10) &amp; "5." &amp; CHAR(10) &amp; "6." &amp; CHAR(10), IF('Profit &amp; Loss'!I536=2,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4" spans="1:2" ht="12.5" x14ac:dyDescent="0.25">
      <c r="A534" s="2" t="str">
        <f ca="1">IF('Profit &amp; Loss'!A537&gt;=TODAY(),"Looking for friendly players to join the following game: " &amp; CHAR(10) &amp; CHAR(10) &amp; "Date: " &amp; TEXT('Profit &amp; Loss'!A537,"dd mmm yyy") &amp; ", " &amp; 'Profit &amp; Loss'!B537 &amp; CHAR(10) &amp; "Time: " &amp; TEXT('Profit &amp; Loss'!C537, "hh:mm AM/PM") &amp; " - " &amp; TEXT('Profit &amp; Loss'!D537, "hh:mm AM/PM") &amp; CHAR(10) &amp; "Venue: " &amp; 'Profit &amp; Loss'!E537 &amp; CHAR(10) &amp; "Level: HB - LI" &amp; CHAR(10) &amp; "Cost: $" &amp; 'Profit &amp; Loss'!O537 &amp; " per pax" &amp; CHAR(10) &amp; "Max " &amp; 'Profit &amp; Loss'!I537*6 &amp; " pax," &amp; " (" &amp; 'Profit &amp; Loss'!I537 &amp; " courts)" &amp; CHAR(10) &amp; CHAR(10) &amp; "RSL Ultimate shuttles provided" &amp; CHAR(10) &amp; CHAR(10) &amp; "PM if interested, thank you!"," ")</f>
        <v xml:space="preserve"> </v>
      </c>
      <c r="B534" s="2" t="str">
        <f ca="1">IF('Profit &amp; Loss'!A537&gt;=TODAY(), "Date: " &amp; TEXT('Profit &amp; Loss'!A537,"dd mmm yyy") &amp; ", " &amp; 'Profit &amp; Loss'!B537 &amp; CHAR(10) &amp; "Time: " &amp; TEXT('Profit &amp; Loss'!C537, "hh:mm AM/PM") &amp; " - " &amp; TEXT('Profit &amp; Loss'!D537, "hh:mm AM/PM") &amp; CHAR(10) &amp; "Venue: " &amp; 'Profit &amp; Loss'!E537 &amp; CHAR(10) &amp; "Court No.: " &amp; 'Profit &amp; Loss'!F537 &amp; CHAR(10) &amp; "Level: HB - LI" &amp; CHAR(10) &amp; "Please transfer $" &amp; 'Profit &amp; Loss'!O537 &amp; " per pax to Belle (83396501)" &amp; CHAR(10) &amp; CHAR(10) &amp; IF('Profit &amp; Loss'!I537=1, "1." &amp; CHAR(10) &amp; "2." &amp; CHAR(10) &amp; "3." &amp; CHAR(10) &amp; "4." &amp; CHAR(10) &amp; "5." &amp; CHAR(10) &amp; "6." &amp; CHAR(10), IF('Profit &amp; Loss'!I537=2,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5" spans="1:2" ht="12.5" x14ac:dyDescent="0.25">
      <c r="A535" s="2" t="str">
        <f ca="1">IF('Profit &amp; Loss'!A538&gt;=TODAY(),"Looking for friendly players to join the following game: " &amp; CHAR(10) &amp; CHAR(10) &amp; "Date: " &amp; TEXT('Profit &amp; Loss'!A538,"dd mmm yyy") &amp; ", " &amp; 'Profit &amp; Loss'!B538 &amp; CHAR(10) &amp; "Time: " &amp; TEXT('Profit &amp; Loss'!C538, "hh:mm AM/PM") &amp; " - " &amp; TEXT('Profit &amp; Loss'!D538, "hh:mm AM/PM") &amp; CHAR(10) &amp; "Venue: " &amp; 'Profit &amp; Loss'!E538 &amp; CHAR(10) &amp; "Level: HB - LI" &amp; CHAR(10) &amp; "Cost: $" &amp; 'Profit &amp; Loss'!O538 &amp; " per pax" &amp; CHAR(10) &amp; "Max " &amp; 'Profit &amp; Loss'!I538*6 &amp; " pax," &amp; " (" &amp; 'Profit &amp; Loss'!I538 &amp; " courts)" &amp; CHAR(10) &amp; CHAR(10) &amp; "RSL Ultimate shuttles provided" &amp; CHAR(10) &amp; CHAR(10) &amp; "PM if interested, thank you!"," ")</f>
        <v xml:space="preserve"> </v>
      </c>
      <c r="B535" s="2" t="str">
        <f ca="1">IF('Profit &amp; Loss'!A538&gt;=TODAY(), "Date: " &amp; TEXT('Profit &amp; Loss'!A538,"dd mmm yyy") &amp; ", " &amp; 'Profit &amp; Loss'!B538 &amp; CHAR(10) &amp; "Time: " &amp; TEXT('Profit &amp; Loss'!C538, "hh:mm AM/PM") &amp; " - " &amp; TEXT('Profit &amp; Loss'!D538, "hh:mm AM/PM") &amp; CHAR(10) &amp; "Venue: " &amp; 'Profit &amp; Loss'!E538 &amp; CHAR(10) &amp; "Court No.: " &amp; 'Profit &amp; Loss'!F538 &amp; CHAR(10) &amp; "Level: HB - LI" &amp; CHAR(10) &amp; "Please transfer $" &amp; 'Profit &amp; Loss'!O538 &amp; " per pax to Belle (83396501)" &amp; CHAR(10) &amp; CHAR(10) &amp; IF('Profit &amp; Loss'!I538=1, "1." &amp; CHAR(10) &amp; "2." &amp; CHAR(10) &amp; "3." &amp; CHAR(10) &amp; "4." &amp; CHAR(10) &amp; "5." &amp; CHAR(10) &amp; "6." &amp; CHAR(10), IF('Profit &amp; Loss'!I538=2,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6" spans="1:2" ht="12.5" x14ac:dyDescent="0.25">
      <c r="A536" s="2" t="str">
        <f ca="1">IF('Profit &amp; Loss'!A539&gt;=TODAY(),"Looking for friendly players to join the following game: " &amp; CHAR(10) &amp; CHAR(10) &amp; "Date: " &amp; TEXT('Profit &amp; Loss'!A539,"dd mmm yyy") &amp; ", " &amp; 'Profit &amp; Loss'!B539 &amp; CHAR(10) &amp; "Time: " &amp; TEXT('Profit &amp; Loss'!C539, "hh:mm AM/PM") &amp; " - " &amp; TEXT('Profit &amp; Loss'!D539, "hh:mm AM/PM") &amp; CHAR(10) &amp; "Venue: " &amp; 'Profit &amp; Loss'!E539 &amp; CHAR(10) &amp; "Level: HB - LI" &amp; CHAR(10) &amp; "Cost: $" &amp; 'Profit &amp; Loss'!O539 &amp; " per pax" &amp; CHAR(10) &amp; "Max " &amp; 'Profit &amp; Loss'!I539*6 &amp; " pax," &amp; " (" &amp; 'Profit &amp; Loss'!I539 &amp; " courts)" &amp; CHAR(10) &amp; CHAR(10) &amp; "RSL Ultimate shuttles provided" &amp; CHAR(10) &amp; CHAR(10) &amp; "PM if interested, thank you!"," ")</f>
        <v xml:space="preserve"> </v>
      </c>
      <c r="B536" s="2" t="str">
        <f ca="1">IF('Profit &amp; Loss'!A539&gt;=TODAY(), "Date: " &amp; TEXT('Profit &amp; Loss'!A539,"dd mmm yyy") &amp; ", " &amp; 'Profit &amp; Loss'!B539 &amp; CHAR(10) &amp; "Time: " &amp; TEXT('Profit &amp; Loss'!C539, "hh:mm AM/PM") &amp; " - " &amp; TEXT('Profit &amp; Loss'!D539, "hh:mm AM/PM") &amp; CHAR(10) &amp; "Venue: " &amp; 'Profit &amp; Loss'!E539 &amp; CHAR(10) &amp; "Court No.: " &amp; 'Profit &amp; Loss'!F539 &amp; CHAR(10) &amp; "Level: HB - LI" &amp; CHAR(10) &amp; "Please transfer $" &amp; 'Profit &amp; Loss'!O539 &amp; " per pax to Belle (83396501)" &amp; CHAR(10) &amp; CHAR(10) &amp; IF('Profit &amp; Loss'!I539=1, "1." &amp; CHAR(10) &amp; "2." &amp; CHAR(10) &amp; "3." &amp; CHAR(10) &amp; "4." &amp; CHAR(10) &amp; "5." &amp; CHAR(10) &amp; "6." &amp; CHAR(10), IF('Profit &amp; Loss'!I539=2,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7" spans="1:2" ht="12.5" x14ac:dyDescent="0.25">
      <c r="A537" s="2" t="str">
        <f ca="1">IF('Profit &amp; Loss'!A540&gt;=TODAY(),"Looking for friendly players to join the following game: " &amp; CHAR(10) &amp; CHAR(10) &amp; "Date: " &amp; TEXT('Profit &amp; Loss'!A540,"dd mmm yyy") &amp; ", " &amp; 'Profit &amp; Loss'!B540 &amp; CHAR(10) &amp; "Time: " &amp; TEXT('Profit &amp; Loss'!C540, "hh:mm AM/PM") &amp; " - " &amp; TEXT('Profit &amp; Loss'!D540, "hh:mm AM/PM") &amp; CHAR(10) &amp; "Venue: " &amp; 'Profit &amp; Loss'!E540 &amp; CHAR(10) &amp; "Level: HB - LI" &amp; CHAR(10) &amp; "Cost: $" &amp; 'Profit &amp; Loss'!O540 &amp; " per pax" &amp; CHAR(10) &amp; "Max " &amp; 'Profit &amp; Loss'!I540*6 &amp; " pax," &amp; " (" &amp; 'Profit &amp; Loss'!I540 &amp; " courts)" &amp; CHAR(10) &amp; CHAR(10) &amp; "RSL Ultimate shuttles provided" &amp; CHAR(10) &amp; CHAR(10) &amp; "PM if interested, thank you!"," ")</f>
        <v xml:space="preserve"> </v>
      </c>
      <c r="B537" s="2" t="str">
        <f ca="1">IF('Profit &amp; Loss'!A540&gt;=TODAY(), "Date: " &amp; TEXT('Profit &amp; Loss'!A540,"dd mmm yyy") &amp; ", " &amp; 'Profit &amp; Loss'!B540 &amp; CHAR(10) &amp; "Time: " &amp; TEXT('Profit &amp; Loss'!C540, "hh:mm AM/PM") &amp; " - " &amp; TEXT('Profit &amp; Loss'!D540, "hh:mm AM/PM") &amp; CHAR(10) &amp; "Venue: " &amp; 'Profit &amp; Loss'!E540 &amp; CHAR(10) &amp; "Court No.: " &amp; 'Profit &amp; Loss'!F540 &amp; CHAR(10) &amp; "Level: HB - LI" &amp; CHAR(10) &amp; "Please transfer $" &amp; 'Profit &amp; Loss'!O540 &amp; " per pax to Belle (83396501)" &amp; CHAR(10) &amp; CHAR(10) &amp; IF('Profit &amp; Loss'!I540=1, "1." &amp; CHAR(10) &amp; "2." &amp; CHAR(10) &amp; "3." &amp; CHAR(10) &amp; "4." &amp; CHAR(10) &amp; "5." &amp; CHAR(10) &amp; "6." &amp; CHAR(10), IF('Profit &amp; Loss'!I540=2,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8" spans="1:2" ht="12.5" x14ac:dyDescent="0.25">
      <c r="A538" s="2" t="str">
        <f ca="1">IF('Profit &amp; Loss'!A541&gt;=TODAY(),"Looking for friendly players to join the following game: " &amp; CHAR(10) &amp; CHAR(10) &amp; "Date: " &amp; TEXT('Profit &amp; Loss'!A541,"dd mmm yyy") &amp; ", " &amp; 'Profit &amp; Loss'!B541 &amp; CHAR(10) &amp; "Time: " &amp; TEXT('Profit &amp; Loss'!C541, "hh:mm AM/PM") &amp; " - " &amp; TEXT('Profit &amp; Loss'!D541, "hh:mm AM/PM") &amp; CHAR(10) &amp; "Venue: " &amp; 'Profit &amp; Loss'!E541 &amp; CHAR(10) &amp; "Level: HB - LI" &amp; CHAR(10) &amp; "Cost: $" &amp; 'Profit &amp; Loss'!O541 &amp; " per pax" &amp; CHAR(10) &amp; "Max " &amp; 'Profit &amp; Loss'!I541*6 &amp; " pax," &amp; " (" &amp; 'Profit &amp; Loss'!I541 &amp; " courts)" &amp; CHAR(10) &amp; CHAR(10) &amp; "RSL Ultimate shuttles provided" &amp; CHAR(10) &amp; CHAR(10) &amp; "PM if interested, thank you!"," ")</f>
        <v xml:space="preserve"> </v>
      </c>
      <c r="B538" s="2" t="str">
        <f ca="1">IF('Profit &amp; Loss'!A541&gt;=TODAY(), "Date: " &amp; TEXT('Profit &amp; Loss'!A541,"dd mmm yyy") &amp; ", " &amp; 'Profit &amp; Loss'!B541 &amp; CHAR(10) &amp; "Time: " &amp; TEXT('Profit &amp; Loss'!C541, "hh:mm AM/PM") &amp; " - " &amp; TEXT('Profit &amp; Loss'!D541, "hh:mm AM/PM") &amp; CHAR(10) &amp; "Venue: " &amp; 'Profit &amp; Loss'!E541 &amp; CHAR(10) &amp; "Court No.: " &amp; 'Profit &amp; Loss'!F541 &amp; CHAR(10) &amp; "Level: HB - LI" &amp; CHAR(10) &amp; "Please transfer $" &amp; 'Profit &amp; Loss'!O541 &amp; " per pax to Belle (83396501)" &amp; CHAR(10) &amp; CHAR(10) &amp; IF('Profit &amp; Loss'!I541=1, "1." &amp; CHAR(10) &amp; "2." &amp; CHAR(10) &amp; "3." &amp; CHAR(10) &amp; "4." &amp; CHAR(10) &amp; "5." &amp; CHAR(10) &amp; "6." &amp; CHAR(10), IF('Profit &amp; Loss'!I541=2,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39" spans="1:2" ht="12.5" x14ac:dyDescent="0.25">
      <c r="A539" s="2" t="str">
        <f ca="1">IF('Profit &amp; Loss'!A542&gt;=TODAY(),"Looking for friendly players to join the following game: " &amp; CHAR(10) &amp; CHAR(10) &amp; "Date: " &amp; TEXT('Profit &amp; Loss'!A542,"dd mmm yyy") &amp; ", " &amp; 'Profit &amp; Loss'!B542 &amp; CHAR(10) &amp; "Time: " &amp; TEXT('Profit &amp; Loss'!C542, "hh:mm AM/PM") &amp; " - " &amp; TEXT('Profit &amp; Loss'!D542, "hh:mm AM/PM") &amp; CHAR(10) &amp; "Venue: " &amp; 'Profit &amp; Loss'!E542 &amp; CHAR(10) &amp; "Level: HB - LI" &amp; CHAR(10) &amp; "Cost: $" &amp; 'Profit &amp; Loss'!O542 &amp; " per pax" &amp; CHAR(10) &amp; "Max " &amp; 'Profit &amp; Loss'!I542*6 &amp; " pax," &amp; " (" &amp; 'Profit &amp; Loss'!I542 &amp; " courts)" &amp; CHAR(10) &amp; CHAR(10) &amp; "RSL Ultimate shuttles provided" &amp; CHAR(10) &amp; CHAR(10) &amp; "PM if interested, thank you!"," ")</f>
        <v xml:space="preserve"> </v>
      </c>
      <c r="B539" s="2" t="str">
        <f ca="1">IF('Profit &amp; Loss'!A542&gt;=TODAY(), "Date: " &amp; TEXT('Profit &amp; Loss'!A542,"dd mmm yyy") &amp; ", " &amp; 'Profit &amp; Loss'!B542 &amp; CHAR(10) &amp; "Time: " &amp; TEXT('Profit &amp; Loss'!C542, "hh:mm AM/PM") &amp; " - " &amp; TEXT('Profit &amp; Loss'!D542, "hh:mm AM/PM") &amp; CHAR(10) &amp; "Venue: " &amp; 'Profit &amp; Loss'!E542 &amp; CHAR(10) &amp; "Court No.: " &amp; 'Profit &amp; Loss'!F542 &amp; CHAR(10) &amp; "Level: HB - LI" &amp; CHAR(10) &amp; "Please transfer $" &amp; 'Profit &amp; Loss'!O542 &amp; " per pax to Belle (83396501)" &amp; CHAR(10) &amp; CHAR(10) &amp; IF('Profit &amp; Loss'!I542=1, "1." &amp; CHAR(10) &amp; "2." &amp; CHAR(10) &amp; "3." &amp; CHAR(10) &amp; "4." &amp; CHAR(10) &amp; "5." &amp; CHAR(10) &amp; "6." &amp; CHAR(10), IF('Profit &amp; Loss'!I542=2,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0" spans="1:2" ht="12.5" x14ac:dyDescent="0.25">
      <c r="A540" s="2" t="str">
        <f ca="1">IF('Profit &amp; Loss'!A543&gt;=TODAY(),"Looking for friendly players to join the following game: " &amp; CHAR(10) &amp; CHAR(10) &amp; "Date: " &amp; TEXT('Profit &amp; Loss'!A543,"dd mmm yyy") &amp; ", " &amp; 'Profit &amp; Loss'!B543 &amp; CHAR(10) &amp; "Time: " &amp; TEXT('Profit &amp; Loss'!C543, "hh:mm AM/PM") &amp; " - " &amp; TEXT('Profit &amp; Loss'!D543, "hh:mm AM/PM") &amp; CHAR(10) &amp; "Venue: " &amp; 'Profit &amp; Loss'!E543 &amp; CHAR(10) &amp; "Level: HB - LI" &amp; CHAR(10) &amp; "Cost: $" &amp; 'Profit &amp; Loss'!O543 &amp; " per pax" &amp; CHAR(10) &amp; "Max " &amp; 'Profit &amp; Loss'!I543*6 &amp; " pax," &amp; " (" &amp; 'Profit &amp; Loss'!I543 &amp; " courts)" &amp; CHAR(10) &amp; CHAR(10) &amp; "RSL Ultimate shuttles provided" &amp; CHAR(10) &amp; CHAR(10) &amp; "PM if interested, thank you!"," ")</f>
        <v xml:space="preserve"> </v>
      </c>
      <c r="B540" s="2" t="str">
        <f ca="1">IF('Profit &amp; Loss'!A543&gt;=TODAY(), "Date: " &amp; TEXT('Profit &amp; Loss'!A543,"dd mmm yyy") &amp; ", " &amp; 'Profit &amp; Loss'!B543 &amp; CHAR(10) &amp; "Time: " &amp; TEXT('Profit &amp; Loss'!C543, "hh:mm AM/PM") &amp; " - " &amp; TEXT('Profit &amp; Loss'!D543, "hh:mm AM/PM") &amp; CHAR(10) &amp; "Venue: " &amp; 'Profit &amp; Loss'!E543 &amp; CHAR(10) &amp; "Court No.: " &amp; 'Profit &amp; Loss'!F543 &amp; CHAR(10) &amp; "Level: HB - LI" &amp; CHAR(10) &amp; "Please transfer $" &amp; 'Profit &amp; Loss'!O543 &amp; " per pax to Belle (83396501)" &amp; CHAR(10) &amp; CHAR(10) &amp; IF('Profit &amp; Loss'!I543=1, "1." &amp; CHAR(10) &amp; "2." &amp; CHAR(10) &amp; "3." &amp; CHAR(10) &amp; "4." &amp; CHAR(10) &amp; "5." &amp; CHAR(10) &amp; "6." &amp; CHAR(10), IF('Profit &amp; Loss'!I543=2,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1" spans="1:2" ht="12.5" x14ac:dyDescent="0.25">
      <c r="A541" s="2" t="str">
        <f ca="1">IF('Profit &amp; Loss'!A544&gt;=TODAY(),"Looking for friendly players to join the following game: " &amp; CHAR(10) &amp; CHAR(10) &amp; "Date: " &amp; TEXT('Profit &amp; Loss'!A544,"dd mmm yyy") &amp; ", " &amp; 'Profit &amp; Loss'!B544 &amp; CHAR(10) &amp; "Time: " &amp; TEXT('Profit &amp; Loss'!C544, "hh:mm AM/PM") &amp; " - " &amp; TEXT('Profit &amp; Loss'!D544, "hh:mm AM/PM") &amp; CHAR(10) &amp; "Venue: " &amp; 'Profit &amp; Loss'!E544 &amp; CHAR(10) &amp; "Level: HB - LI" &amp; CHAR(10) &amp; "Cost: $" &amp; 'Profit &amp; Loss'!O544 &amp; " per pax" &amp; CHAR(10) &amp; "Max " &amp; 'Profit &amp; Loss'!I544*6 &amp; " pax," &amp; " (" &amp; 'Profit &amp; Loss'!I544 &amp; " courts)" &amp; CHAR(10) &amp; CHAR(10) &amp; "RSL Ultimate shuttles provided" &amp; CHAR(10) &amp; CHAR(10) &amp; "PM if interested, thank you!"," ")</f>
        <v xml:space="preserve"> </v>
      </c>
      <c r="B541" s="2" t="str">
        <f ca="1">IF('Profit &amp; Loss'!A544&gt;=TODAY(), "Date: " &amp; TEXT('Profit &amp; Loss'!A544,"dd mmm yyy") &amp; ", " &amp; 'Profit &amp; Loss'!B544 &amp; CHAR(10) &amp; "Time: " &amp; TEXT('Profit &amp; Loss'!C544, "hh:mm AM/PM") &amp; " - " &amp; TEXT('Profit &amp; Loss'!D544, "hh:mm AM/PM") &amp; CHAR(10) &amp; "Venue: " &amp; 'Profit &amp; Loss'!E544 &amp; CHAR(10) &amp; "Court No.: " &amp; 'Profit &amp; Loss'!F544 &amp; CHAR(10) &amp; "Level: HB - LI" &amp; CHAR(10) &amp; "Please transfer $" &amp; 'Profit &amp; Loss'!O544 &amp; " per pax to Belle (83396501)" &amp; CHAR(10) &amp; CHAR(10) &amp; IF('Profit &amp; Loss'!I544=1, "1." &amp; CHAR(10) &amp; "2." &amp; CHAR(10) &amp; "3." &amp; CHAR(10) &amp; "4." &amp; CHAR(10) &amp; "5." &amp; CHAR(10) &amp; "6." &amp; CHAR(10), IF('Profit &amp; Loss'!I544=2,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2" spans="1:2" ht="12.5" x14ac:dyDescent="0.25">
      <c r="A542" s="2" t="str">
        <f ca="1">IF('Profit &amp; Loss'!A545&gt;=TODAY(),"Looking for friendly players to join the following game: " &amp; CHAR(10) &amp; CHAR(10) &amp; "Date: " &amp; TEXT('Profit &amp; Loss'!A545,"dd mmm yyy") &amp; ", " &amp; 'Profit &amp; Loss'!B545 &amp; CHAR(10) &amp; "Time: " &amp; TEXT('Profit &amp; Loss'!C545, "hh:mm AM/PM") &amp; " - " &amp; TEXT('Profit &amp; Loss'!D545, "hh:mm AM/PM") &amp; CHAR(10) &amp; "Venue: " &amp; 'Profit &amp; Loss'!E545 &amp; CHAR(10) &amp; "Level: HB - LI" &amp; CHAR(10) &amp; "Cost: $" &amp; 'Profit &amp; Loss'!O545 &amp; " per pax" &amp; CHAR(10) &amp; "Max " &amp; 'Profit &amp; Loss'!I545*6 &amp; " pax," &amp; " (" &amp; 'Profit &amp; Loss'!I545 &amp; " courts)" &amp; CHAR(10) &amp; CHAR(10) &amp; "RSL Ultimate shuttles provided" &amp; CHAR(10) &amp; CHAR(10) &amp; "PM if interested, thank you!"," ")</f>
        <v xml:space="preserve"> </v>
      </c>
      <c r="B542" s="2" t="str">
        <f ca="1">IF('Profit &amp; Loss'!A545&gt;=TODAY(), "Date: " &amp; TEXT('Profit &amp; Loss'!A545,"dd mmm yyy") &amp; ", " &amp; 'Profit &amp; Loss'!B545 &amp; CHAR(10) &amp; "Time: " &amp; TEXT('Profit &amp; Loss'!C545, "hh:mm AM/PM") &amp; " - " &amp; TEXT('Profit &amp; Loss'!D545, "hh:mm AM/PM") &amp; CHAR(10) &amp; "Venue: " &amp; 'Profit &amp; Loss'!E545 &amp; CHAR(10) &amp; "Court No.: " &amp; 'Profit &amp; Loss'!F545 &amp; CHAR(10) &amp; "Level: HB - LI" &amp; CHAR(10) &amp; "Please transfer $" &amp; 'Profit &amp; Loss'!O545 &amp; " per pax to Belle (83396501)" &amp; CHAR(10) &amp; CHAR(10) &amp; IF('Profit &amp; Loss'!I545=1, "1." &amp; CHAR(10) &amp; "2." &amp; CHAR(10) &amp; "3." &amp; CHAR(10) &amp; "4." &amp; CHAR(10) &amp; "5." &amp; CHAR(10) &amp; "6." &amp; CHAR(10), IF('Profit &amp; Loss'!I545=2,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3" spans="1:2" ht="12.5" x14ac:dyDescent="0.25">
      <c r="A543" s="2" t="str">
        <f ca="1">IF('Profit &amp; Loss'!A546&gt;=TODAY(),"Looking for friendly players to join the following game: " &amp; CHAR(10) &amp; CHAR(10) &amp; "Date: " &amp; TEXT('Profit &amp; Loss'!A546,"dd mmm yyy") &amp; ", " &amp; 'Profit &amp; Loss'!B546 &amp; CHAR(10) &amp; "Time: " &amp; TEXT('Profit &amp; Loss'!C546, "hh:mm AM/PM") &amp; " - " &amp; TEXT('Profit &amp; Loss'!D546, "hh:mm AM/PM") &amp; CHAR(10) &amp; "Venue: " &amp; 'Profit &amp; Loss'!E546 &amp; CHAR(10) &amp; "Level: HB - LI" &amp; CHAR(10) &amp; "Cost: $" &amp; 'Profit &amp; Loss'!O546 &amp; " per pax" &amp; CHAR(10) &amp; "Max " &amp; 'Profit &amp; Loss'!I546*6 &amp; " pax," &amp; " (" &amp; 'Profit &amp; Loss'!I546 &amp; " courts)" &amp; CHAR(10) &amp; CHAR(10) &amp; "RSL Ultimate shuttles provided" &amp; CHAR(10) &amp; CHAR(10) &amp; "PM if interested, thank you!"," ")</f>
        <v xml:space="preserve"> </v>
      </c>
      <c r="B543" s="2" t="str">
        <f ca="1">IF('Profit &amp; Loss'!A546&gt;=TODAY(), "Date: " &amp; TEXT('Profit &amp; Loss'!A546,"dd mmm yyy") &amp; ", " &amp; 'Profit &amp; Loss'!B546 &amp; CHAR(10) &amp; "Time: " &amp; TEXT('Profit &amp; Loss'!C546, "hh:mm AM/PM") &amp; " - " &amp; TEXT('Profit &amp; Loss'!D546, "hh:mm AM/PM") &amp; CHAR(10) &amp; "Venue: " &amp; 'Profit &amp; Loss'!E546 &amp; CHAR(10) &amp; "Court No.: " &amp; 'Profit &amp; Loss'!F546 &amp; CHAR(10) &amp; "Level: HB - LI" &amp; CHAR(10) &amp; "Please transfer $" &amp; 'Profit &amp; Loss'!O546 &amp; " per pax to Belle (83396501)" &amp; CHAR(10) &amp; CHAR(10) &amp; IF('Profit &amp; Loss'!I546=1, "1." &amp; CHAR(10) &amp; "2." &amp; CHAR(10) &amp; "3." &amp; CHAR(10) &amp; "4." &amp; CHAR(10) &amp; "5." &amp; CHAR(10) &amp; "6." &amp; CHAR(10), IF('Profit &amp; Loss'!I546=2,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4" spans="1:2" ht="12.5" x14ac:dyDescent="0.25">
      <c r="A544" s="2" t="str">
        <f ca="1">IF('Profit &amp; Loss'!A547&gt;=TODAY(),"Looking for friendly players to join the following game: " &amp; CHAR(10) &amp; CHAR(10) &amp; "Date: " &amp; TEXT('Profit &amp; Loss'!A547,"dd mmm yyy") &amp; ", " &amp; 'Profit &amp; Loss'!B547 &amp; CHAR(10) &amp; "Time: " &amp; TEXT('Profit &amp; Loss'!C547, "hh:mm AM/PM") &amp; " - " &amp; TEXT('Profit &amp; Loss'!D547, "hh:mm AM/PM") &amp; CHAR(10) &amp; "Venue: " &amp; 'Profit &amp; Loss'!E547 &amp; CHAR(10) &amp; "Level: HB - LI" &amp; CHAR(10) &amp; "Cost: $" &amp; 'Profit &amp; Loss'!O547 &amp; " per pax" &amp; CHAR(10) &amp; "Max " &amp; 'Profit &amp; Loss'!I547*6 &amp; " pax," &amp; " (" &amp; 'Profit &amp; Loss'!I547 &amp; " courts)" &amp; CHAR(10) &amp; CHAR(10) &amp; "RSL Ultimate shuttles provided" &amp; CHAR(10) &amp; CHAR(10) &amp; "PM if interested, thank you!"," ")</f>
        <v xml:space="preserve"> </v>
      </c>
      <c r="B544" s="2" t="str">
        <f ca="1">IF('Profit &amp; Loss'!A547&gt;=TODAY(), "Date: " &amp; TEXT('Profit &amp; Loss'!A547,"dd mmm yyy") &amp; ", " &amp; 'Profit &amp; Loss'!B547 &amp; CHAR(10) &amp; "Time: " &amp; TEXT('Profit &amp; Loss'!C547, "hh:mm AM/PM") &amp; " - " &amp; TEXT('Profit &amp; Loss'!D547, "hh:mm AM/PM") &amp; CHAR(10) &amp; "Venue: " &amp; 'Profit &amp; Loss'!E547 &amp; CHAR(10) &amp; "Court No.: " &amp; 'Profit &amp; Loss'!F547 &amp; CHAR(10) &amp; "Level: HB - LI" &amp; CHAR(10) &amp; "Please transfer $" &amp; 'Profit &amp; Loss'!O547 &amp; " per pax to Belle (83396501)" &amp; CHAR(10) &amp; CHAR(10) &amp; IF('Profit &amp; Loss'!I547=1, "1." &amp; CHAR(10) &amp; "2." &amp; CHAR(10) &amp; "3." &amp; CHAR(10) &amp; "4." &amp; CHAR(10) &amp; "5." &amp; CHAR(10) &amp; "6." &amp; CHAR(10), IF('Profit &amp; Loss'!I547=2,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5" spans="1:2" ht="12.5" x14ac:dyDescent="0.25">
      <c r="A545" s="2" t="str">
        <f ca="1">IF('Profit &amp; Loss'!A548&gt;=TODAY(),"Looking for friendly players to join the following game: " &amp; CHAR(10) &amp; CHAR(10) &amp; "Date: " &amp; TEXT('Profit &amp; Loss'!A548,"dd mmm yyy") &amp; ", " &amp; 'Profit &amp; Loss'!B548 &amp; CHAR(10) &amp; "Time: " &amp; TEXT('Profit &amp; Loss'!C548, "hh:mm AM/PM") &amp; " - " &amp; TEXT('Profit &amp; Loss'!D548, "hh:mm AM/PM") &amp; CHAR(10) &amp; "Venue: " &amp; 'Profit &amp; Loss'!E548 &amp; CHAR(10) &amp; "Level: HB - LI" &amp; CHAR(10) &amp; "Cost: $" &amp; 'Profit &amp; Loss'!O548 &amp; " per pax" &amp; CHAR(10) &amp; "Max " &amp; 'Profit &amp; Loss'!I548*6 &amp; " pax," &amp; " (" &amp; 'Profit &amp; Loss'!I548 &amp; " courts)" &amp; CHAR(10) &amp; CHAR(10) &amp; "RSL Ultimate shuttles provided" &amp; CHAR(10) &amp; CHAR(10) &amp; "PM if interested, thank you!"," ")</f>
        <v xml:space="preserve"> </v>
      </c>
      <c r="B545" s="2" t="str">
        <f ca="1">IF('Profit &amp; Loss'!A548&gt;=TODAY(), "Date: " &amp; TEXT('Profit &amp; Loss'!A548,"dd mmm yyy") &amp; ", " &amp; 'Profit &amp; Loss'!B548 &amp; CHAR(10) &amp; "Time: " &amp; TEXT('Profit &amp; Loss'!C548, "hh:mm AM/PM") &amp; " - " &amp; TEXT('Profit &amp; Loss'!D548, "hh:mm AM/PM") &amp; CHAR(10) &amp; "Venue: " &amp; 'Profit &amp; Loss'!E548 &amp; CHAR(10) &amp; "Court No.: " &amp; 'Profit &amp; Loss'!F548 &amp; CHAR(10) &amp; "Level: HB - LI" &amp; CHAR(10) &amp; "Please transfer $" &amp; 'Profit &amp; Loss'!O548 &amp; " per pax to Belle (83396501)" &amp; CHAR(10) &amp; CHAR(10) &amp; IF('Profit &amp; Loss'!I548=1, "1." &amp; CHAR(10) &amp; "2." &amp; CHAR(10) &amp; "3." &amp; CHAR(10) &amp; "4." &amp; CHAR(10) &amp; "5." &amp; CHAR(10) &amp; "6." &amp; CHAR(10), IF('Profit &amp; Loss'!I548=2,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6" spans="1:2" ht="12.5" x14ac:dyDescent="0.25">
      <c r="A546" s="2" t="str">
        <f ca="1">IF('Profit &amp; Loss'!A549&gt;=TODAY(),"Looking for friendly players to join the following game: " &amp; CHAR(10) &amp; CHAR(10) &amp; "Date: " &amp; TEXT('Profit &amp; Loss'!A549,"dd mmm yyy") &amp; ", " &amp; 'Profit &amp; Loss'!B549 &amp; CHAR(10) &amp; "Time: " &amp; TEXT('Profit &amp; Loss'!C549, "hh:mm AM/PM") &amp; " - " &amp; TEXT('Profit &amp; Loss'!D549, "hh:mm AM/PM") &amp; CHAR(10) &amp; "Venue: " &amp; 'Profit &amp; Loss'!E549 &amp; CHAR(10) &amp; "Level: HB - LI" &amp; CHAR(10) &amp; "Cost: $" &amp; 'Profit &amp; Loss'!O549 &amp; " per pax" &amp; CHAR(10) &amp; "Max " &amp; 'Profit &amp; Loss'!I549*6 &amp; " pax," &amp; " (" &amp; 'Profit &amp; Loss'!I549 &amp; " courts)" &amp; CHAR(10) &amp; CHAR(10) &amp; "RSL Ultimate shuttles provided" &amp; CHAR(10) &amp; CHAR(10) &amp; "PM if interested, thank you!"," ")</f>
        <v xml:space="preserve"> </v>
      </c>
      <c r="B546" s="2" t="str">
        <f ca="1">IF('Profit &amp; Loss'!A549&gt;=TODAY(), "Date: " &amp; TEXT('Profit &amp; Loss'!A549,"dd mmm yyy") &amp; ", " &amp; 'Profit &amp; Loss'!B549 &amp; CHAR(10) &amp; "Time: " &amp; TEXT('Profit &amp; Loss'!C549, "hh:mm AM/PM") &amp; " - " &amp; TEXT('Profit &amp; Loss'!D549, "hh:mm AM/PM") &amp; CHAR(10) &amp; "Venue: " &amp; 'Profit &amp; Loss'!E549 &amp; CHAR(10) &amp; "Court No.: " &amp; 'Profit &amp; Loss'!F549 &amp; CHAR(10) &amp; "Level: HB - LI" &amp; CHAR(10) &amp; "Please transfer $" &amp; 'Profit &amp; Loss'!O549 &amp; " per pax to Belle (83396501)" &amp; CHAR(10) &amp; CHAR(10) &amp; IF('Profit &amp; Loss'!I549=1, "1." &amp; CHAR(10) &amp; "2." &amp; CHAR(10) &amp; "3." &amp; CHAR(10) &amp; "4." &amp; CHAR(10) &amp; "5." &amp; CHAR(10) &amp; "6." &amp; CHAR(10), IF('Profit &amp; Loss'!I549=2,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7" spans="1:2" ht="12.5" x14ac:dyDescent="0.25">
      <c r="A547" s="2" t="str">
        <f ca="1">IF('Profit &amp; Loss'!A550&gt;=TODAY(),"Looking for friendly players to join the following game: " &amp; CHAR(10) &amp; CHAR(10) &amp; "Date: " &amp; TEXT('Profit &amp; Loss'!A550,"dd mmm yyy") &amp; ", " &amp; 'Profit &amp; Loss'!B550 &amp; CHAR(10) &amp; "Time: " &amp; TEXT('Profit &amp; Loss'!C550, "hh:mm AM/PM") &amp; " - " &amp; TEXT('Profit &amp; Loss'!D550, "hh:mm AM/PM") &amp; CHAR(10) &amp; "Venue: " &amp; 'Profit &amp; Loss'!E550 &amp; CHAR(10) &amp; "Level: HB - LI" &amp; CHAR(10) &amp; "Cost: $" &amp; 'Profit &amp; Loss'!O550 &amp; " per pax" &amp; CHAR(10) &amp; "Max " &amp; 'Profit &amp; Loss'!I550*6 &amp; " pax," &amp; " (" &amp; 'Profit &amp; Loss'!I550 &amp; " courts)" &amp; CHAR(10) &amp; CHAR(10) &amp; "RSL Ultimate shuttles provided" &amp; CHAR(10) &amp; CHAR(10) &amp; "PM if interested, thank you!"," ")</f>
        <v xml:space="preserve"> </v>
      </c>
      <c r="B547" s="2" t="str">
        <f ca="1">IF('Profit &amp; Loss'!A550&gt;=TODAY(), "Date: " &amp; TEXT('Profit &amp; Loss'!A550,"dd mmm yyy") &amp; ", " &amp; 'Profit &amp; Loss'!B550 &amp; CHAR(10) &amp; "Time: " &amp; TEXT('Profit &amp; Loss'!C550, "hh:mm AM/PM") &amp; " - " &amp; TEXT('Profit &amp; Loss'!D550, "hh:mm AM/PM") &amp; CHAR(10) &amp; "Venue: " &amp; 'Profit &amp; Loss'!E550 &amp; CHAR(10) &amp; "Court No.: " &amp; 'Profit &amp; Loss'!F550 &amp; CHAR(10) &amp; "Level: HB - LI" &amp; CHAR(10) &amp; "Please transfer $" &amp; 'Profit &amp; Loss'!O550 &amp; " per pax to Belle (83396501)" &amp; CHAR(10) &amp; CHAR(10) &amp; IF('Profit &amp; Loss'!I550=1, "1." &amp; CHAR(10) &amp; "2." &amp; CHAR(10) &amp; "3." &amp; CHAR(10) &amp; "4." &amp; CHAR(10) &amp; "5." &amp; CHAR(10) &amp; "6." &amp; CHAR(10), IF('Profit &amp; Loss'!I550=2,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8" spans="1:2" ht="12.5" x14ac:dyDescent="0.25">
      <c r="A548" s="2" t="str">
        <f ca="1">IF('Profit &amp; Loss'!A551&gt;=TODAY(),"Looking for friendly players to join the following game: " &amp; CHAR(10) &amp; CHAR(10) &amp; "Date: " &amp; TEXT('Profit &amp; Loss'!A551,"dd mmm yyy") &amp; ", " &amp; 'Profit &amp; Loss'!B551 &amp; CHAR(10) &amp; "Time: " &amp; TEXT('Profit &amp; Loss'!C551, "hh:mm AM/PM") &amp; " - " &amp; TEXT('Profit &amp; Loss'!D551, "hh:mm AM/PM") &amp; CHAR(10) &amp; "Venue: " &amp; 'Profit &amp; Loss'!E551 &amp; CHAR(10) &amp; "Level: HB - LI" &amp; CHAR(10) &amp; "Cost: $" &amp; 'Profit &amp; Loss'!O551 &amp; " per pax" &amp; CHAR(10) &amp; "Max " &amp; 'Profit &amp; Loss'!I551*6 &amp; " pax," &amp; " (" &amp; 'Profit &amp; Loss'!I551 &amp; " courts)" &amp; CHAR(10) &amp; CHAR(10) &amp; "RSL Ultimate shuttles provided" &amp; CHAR(10) &amp; CHAR(10) &amp; "PM if interested, thank you!"," ")</f>
        <v xml:space="preserve"> </v>
      </c>
      <c r="B548" s="2" t="str">
        <f ca="1">IF('Profit &amp; Loss'!A551&gt;=TODAY(), "Date: " &amp; TEXT('Profit &amp; Loss'!A551,"dd mmm yyy") &amp; ", " &amp; 'Profit &amp; Loss'!B551 &amp; CHAR(10) &amp; "Time: " &amp; TEXT('Profit &amp; Loss'!C551, "hh:mm AM/PM") &amp; " - " &amp; TEXT('Profit &amp; Loss'!D551, "hh:mm AM/PM") &amp; CHAR(10) &amp; "Venue: " &amp; 'Profit &amp; Loss'!E551 &amp; CHAR(10) &amp; "Court No.: " &amp; 'Profit &amp; Loss'!F551 &amp; CHAR(10) &amp; "Level: HB - LI" &amp; CHAR(10) &amp; "Please transfer $" &amp; 'Profit &amp; Loss'!O551 &amp; " per pax to Belle (83396501)" &amp; CHAR(10) &amp; CHAR(10) &amp; IF('Profit &amp; Loss'!I551=1, "1." &amp; CHAR(10) &amp; "2." &amp; CHAR(10) &amp; "3." &amp; CHAR(10) &amp; "4." &amp; CHAR(10) &amp; "5." &amp; CHAR(10) &amp; "6." &amp; CHAR(10), IF('Profit &amp; Loss'!I551=2,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49" spans="1:2" ht="12.5" x14ac:dyDescent="0.25">
      <c r="A549" s="2" t="str">
        <f ca="1">IF('Profit &amp; Loss'!A552&gt;=TODAY(),"Looking for friendly players to join the following game: " &amp; CHAR(10) &amp; CHAR(10) &amp; "Date: " &amp; TEXT('Profit &amp; Loss'!A552,"dd mmm yyy") &amp; ", " &amp; 'Profit &amp; Loss'!B552 &amp; CHAR(10) &amp; "Time: " &amp; TEXT('Profit &amp; Loss'!C552, "hh:mm AM/PM") &amp; " - " &amp; TEXT('Profit &amp; Loss'!D552, "hh:mm AM/PM") &amp; CHAR(10) &amp; "Venue: " &amp; 'Profit &amp; Loss'!E552 &amp; CHAR(10) &amp; "Level: HB - LI" &amp; CHAR(10) &amp; "Cost: $" &amp; 'Profit &amp; Loss'!O552 &amp; " per pax" &amp; CHAR(10) &amp; "Max " &amp; 'Profit &amp; Loss'!I552*6 &amp; " pax," &amp; " (" &amp; 'Profit &amp; Loss'!I552 &amp; " courts)" &amp; CHAR(10) &amp; CHAR(10) &amp; "RSL Ultimate shuttles provided" &amp; CHAR(10) &amp; CHAR(10) &amp; "PM if interested, thank you!"," ")</f>
        <v xml:space="preserve"> </v>
      </c>
      <c r="B549" s="2" t="str">
        <f ca="1">IF('Profit &amp; Loss'!A552&gt;=TODAY(), "Date: " &amp; TEXT('Profit &amp; Loss'!A552,"dd mmm yyy") &amp; ", " &amp; 'Profit &amp; Loss'!B552 &amp; CHAR(10) &amp; "Time: " &amp; TEXT('Profit &amp; Loss'!C552, "hh:mm AM/PM") &amp; " - " &amp; TEXT('Profit &amp; Loss'!D552, "hh:mm AM/PM") &amp; CHAR(10) &amp; "Venue: " &amp; 'Profit &amp; Loss'!E552 &amp; CHAR(10) &amp; "Court No.: " &amp; 'Profit &amp; Loss'!F552 &amp; CHAR(10) &amp; "Level: HB - LI" &amp; CHAR(10) &amp; "Please transfer $" &amp; 'Profit &amp; Loss'!O552 &amp; " per pax to Belle (83396501)" &amp; CHAR(10) &amp; CHAR(10) &amp; IF('Profit &amp; Loss'!I552=1, "1." &amp; CHAR(10) &amp; "2." &amp; CHAR(10) &amp; "3." &amp; CHAR(10) &amp; "4." &amp; CHAR(10) &amp; "5." &amp; CHAR(10) &amp; "6." &amp; CHAR(10), IF('Profit &amp; Loss'!I552=2,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0" spans="1:2" ht="12.5" x14ac:dyDescent="0.25">
      <c r="A550" s="2" t="str">
        <f ca="1">IF('Profit &amp; Loss'!A553&gt;=TODAY(),"Looking for friendly players to join the following game: " &amp; CHAR(10) &amp; CHAR(10) &amp; "Date: " &amp; TEXT('Profit &amp; Loss'!A553,"dd mmm yyy") &amp; ", " &amp; 'Profit &amp; Loss'!B553 &amp; CHAR(10) &amp; "Time: " &amp; TEXT('Profit &amp; Loss'!C553, "hh:mm AM/PM") &amp; " - " &amp; TEXT('Profit &amp; Loss'!D553, "hh:mm AM/PM") &amp; CHAR(10) &amp; "Venue: " &amp; 'Profit &amp; Loss'!E553 &amp; CHAR(10) &amp; "Level: HB - LI" &amp; CHAR(10) &amp; "Cost: $" &amp; 'Profit &amp; Loss'!O553 &amp; " per pax" &amp; CHAR(10) &amp; "Max " &amp; 'Profit &amp; Loss'!I553*6 &amp; " pax," &amp; " (" &amp; 'Profit &amp; Loss'!I553 &amp; " courts)" &amp; CHAR(10) &amp; CHAR(10) &amp; "RSL Ultimate shuttles provided" &amp; CHAR(10) &amp; CHAR(10) &amp; "PM if interested, thank you!"," ")</f>
        <v xml:space="preserve"> </v>
      </c>
      <c r="B550" s="2" t="str">
        <f ca="1">IF('Profit &amp; Loss'!A553&gt;=TODAY(), "Date: " &amp; TEXT('Profit &amp; Loss'!A553,"dd mmm yyy") &amp; ", " &amp; 'Profit &amp; Loss'!B553 &amp; CHAR(10) &amp; "Time: " &amp; TEXT('Profit &amp; Loss'!C553, "hh:mm AM/PM") &amp; " - " &amp; TEXT('Profit &amp; Loss'!D553, "hh:mm AM/PM") &amp; CHAR(10) &amp; "Venue: " &amp; 'Profit &amp; Loss'!E553 &amp; CHAR(10) &amp; "Court No.: " &amp; 'Profit &amp; Loss'!F553 &amp; CHAR(10) &amp; "Level: HB - LI" &amp; CHAR(10) &amp; "Please transfer $" &amp; 'Profit &amp; Loss'!O553 &amp; " per pax to Belle (83396501)" &amp; CHAR(10) &amp; CHAR(10) &amp; IF('Profit &amp; Loss'!I553=1, "1." &amp; CHAR(10) &amp; "2." &amp; CHAR(10) &amp; "3." &amp; CHAR(10) &amp; "4." &amp; CHAR(10) &amp; "5." &amp; CHAR(10) &amp; "6." &amp; CHAR(10), IF('Profit &amp; Loss'!I553=2,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1" spans="1:2" ht="12.5" x14ac:dyDescent="0.25">
      <c r="A551" s="2" t="str">
        <f ca="1">IF('Profit &amp; Loss'!A554&gt;=TODAY(),"Looking for friendly players to join the following game: " &amp; CHAR(10) &amp; CHAR(10) &amp; "Date: " &amp; TEXT('Profit &amp; Loss'!A554,"dd mmm yyy") &amp; ", " &amp; 'Profit &amp; Loss'!B554 &amp; CHAR(10) &amp; "Time: " &amp; TEXT('Profit &amp; Loss'!C554, "hh:mm AM/PM") &amp; " - " &amp; TEXT('Profit &amp; Loss'!D554, "hh:mm AM/PM") &amp; CHAR(10) &amp; "Venue: " &amp; 'Profit &amp; Loss'!E554 &amp; CHAR(10) &amp; "Level: HB - LI" &amp; CHAR(10) &amp; "Cost: $" &amp; 'Profit &amp; Loss'!O554 &amp; " per pax" &amp; CHAR(10) &amp; "Max " &amp; 'Profit &amp; Loss'!I554*6 &amp; " pax," &amp; " (" &amp; 'Profit &amp; Loss'!I554 &amp; " courts)" &amp; CHAR(10) &amp; CHAR(10) &amp; "RSL Ultimate shuttles provided" &amp; CHAR(10) &amp; CHAR(10) &amp; "PM if interested, thank you!"," ")</f>
        <v xml:space="preserve"> </v>
      </c>
      <c r="B551" s="2" t="str">
        <f ca="1">IF('Profit &amp; Loss'!A554&gt;=TODAY(), "Date: " &amp; TEXT('Profit &amp; Loss'!A554,"dd mmm yyy") &amp; ", " &amp; 'Profit &amp; Loss'!B554 &amp; CHAR(10) &amp; "Time: " &amp; TEXT('Profit &amp; Loss'!C554, "hh:mm AM/PM") &amp; " - " &amp; TEXT('Profit &amp; Loss'!D554, "hh:mm AM/PM") &amp; CHAR(10) &amp; "Venue: " &amp; 'Profit &amp; Loss'!E554 &amp; CHAR(10) &amp; "Court No.: " &amp; 'Profit &amp; Loss'!F554 &amp; CHAR(10) &amp; "Level: HB - LI" &amp; CHAR(10) &amp; "Please transfer $" &amp; 'Profit &amp; Loss'!O554 &amp; " per pax to Belle (83396501)" &amp; CHAR(10) &amp; CHAR(10) &amp; IF('Profit &amp; Loss'!I554=1, "1." &amp; CHAR(10) &amp; "2." &amp; CHAR(10) &amp; "3." &amp; CHAR(10) &amp; "4." &amp; CHAR(10) &amp; "5." &amp; CHAR(10) &amp; "6." &amp; CHAR(10), IF('Profit &amp; Loss'!I554=2,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2" spans="1:2" ht="12.5" x14ac:dyDescent="0.25">
      <c r="A552" s="2" t="str">
        <f ca="1">IF('Profit &amp; Loss'!A555&gt;=TODAY(),"Looking for friendly players to join the following game: " &amp; CHAR(10) &amp; CHAR(10) &amp; "Date: " &amp; TEXT('Profit &amp; Loss'!A555,"dd mmm yyy") &amp; ", " &amp; 'Profit &amp; Loss'!B555 &amp; CHAR(10) &amp; "Time: " &amp; TEXT('Profit &amp; Loss'!C555, "hh:mm AM/PM") &amp; " - " &amp; TEXT('Profit &amp; Loss'!D555, "hh:mm AM/PM") &amp; CHAR(10) &amp; "Venue: " &amp; 'Profit &amp; Loss'!E555 &amp; CHAR(10) &amp; "Level: HB - LI" &amp; CHAR(10) &amp; "Cost: $" &amp; 'Profit &amp; Loss'!O555 &amp; " per pax" &amp; CHAR(10) &amp; "Max " &amp; 'Profit &amp; Loss'!I555*6 &amp; " pax," &amp; " (" &amp; 'Profit &amp; Loss'!I555 &amp; " courts)" &amp; CHAR(10) &amp; CHAR(10) &amp; "RSL Ultimate shuttles provided" &amp; CHAR(10) &amp; CHAR(10) &amp; "PM if interested, thank you!"," ")</f>
        <v xml:space="preserve"> </v>
      </c>
      <c r="B552" s="2" t="str">
        <f ca="1">IF('Profit &amp; Loss'!A555&gt;=TODAY(), "Date: " &amp; TEXT('Profit &amp; Loss'!A555,"dd mmm yyy") &amp; ", " &amp; 'Profit &amp; Loss'!B555 &amp; CHAR(10) &amp; "Time: " &amp; TEXT('Profit &amp; Loss'!C555, "hh:mm AM/PM") &amp; " - " &amp; TEXT('Profit &amp; Loss'!D555, "hh:mm AM/PM") &amp; CHAR(10) &amp; "Venue: " &amp; 'Profit &amp; Loss'!E555 &amp; CHAR(10) &amp; "Court No.: " &amp; 'Profit &amp; Loss'!F555 &amp; CHAR(10) &amp; "Level: HB - LI" &amp; CHAR(10) &amp; "Please transfer $" &amp; 'Profit &amp; Loss'!O555 &amp; " per pax to Belle (83396501)" &amp; CHAR(10) &amp; CHAR(10) &amp; IF('Profit &amp; Loss'!I555=1, "1." &amp; CHAR(10) &amp; "2." &amp; CHAR(10) &amp; "3." &amp; CHAR(10) &amp; "4." &amp; CHAR(10) &amp; "5." &amp; CHAR(10) &amp; "6." &amp; CHAR(10), IF('Profit &amp; Loss'!I555=2,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3" spans="1:2" ht="12.5" x14ac:dyDescent="0.25">
      <c r="A553" s="2" t="str">
        <f ca="1">IF('Profit &amp; Loss'!A556&gt;=TODAY(),"Looking for friendly players to join the following game: " &amp; CHAR(10) &amp; CHAR(10) &amp; "Date: " &amp; TEXT('Profit &amp; Loss'!A556,"dd mmm yyy") &amp; ", " &amp; 'Profit &amp; Loss'!B556 &amp; CHAR(10) &amp; "Time: " &amp; TEXT('Profit &amp; Loss'!C556, "hh:mm AM/PM") &amp; " - " &amp; TEXT('Profit &amp; Loss'!D556, "hh:mm AM/PM") &amp; CHAR(10) &amp; "Venue: " &amp; 'Profit &amp; Loss'!E556 &amp; CHAR(10) &amp; "Level: HB - LI" &amp; CHAR(10) &amp; "Cost: $" &amp; 'Profit &amp; Loss'!O556 &amp; " per pax" &amp; CHAR(10) &amp; "Max " &amp; 'Profit &amp; Loss'!I556*6 &amp; " pax," &amp; " (" &amp; 'Profit &amp; Loss'!I556 &amp; " courts)" &amp; CHAR(10) &amp; CHAR(10) &amp; "RSL Ultimate shuttles provided" &amp; CHAR(10) &amp; CHAR(10) &amp; "PM if interested, thank you!"," ")</f>
        <v xml:space="preserve"> </v>
      </c>
      <c r="B553" s="2" t="str">
        <f ca="1">IF('Profit &amp; Loss'!A556&gt;=TODAY(), "Date: " &amp; TEXT('Profit &amp; Loss'!A556,"dd mmm yyy") &amp; ", " &amp; 'Profit &amp; Loss'!B556 &amp; CHAR(10) &amp; "Time: " &amp; TEXT('Profit &amp; Loss'!C556, "hh:mm AM/PM") &amp; " - " &amp; TEXT('Profit &amp; Loss'!D556, "hh:mm AM/PM") &amp; CHAR(10) &amp; "Venue: " &amp; 'Profit &amp; Loss'!E556 &amp; CHAR(10) &amp; "Court No.: " &amp; 'Profit &amp; Loss'!F556 &amp; CHAR(10) &amp; "Level: HB - LI" &amp; CHAR(10) &amp; "Please transfer $" &amp; 'Profit &amp; Loss'!O556 &amp; " per pax to Belle (83396501)" &amp; CHAR(10) &amp; CHAR(10) &amp; IF('Profit &amp; Loss'!I556=1, "1." &amp; CHAR(10) &amp; "2." &amp; CHAR(10) &amp; "3." &amp; CHAR(10) &amp; "4." &amp; CHAR(10) &amp; "5." &amp; CHAR(10) &amp; "6." &amp; CHAR(10), IF('Profit &amp; Loss'!I556=2,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4" spans="1:2" ht="12.5" x14ac:dyDescent="0.25">
      <c r="A554" s="2" t="str">
        <f ca="1">IF('Profit &amp; Loss'!A557&gt;=TODAY(),"Looking for friendly players to join the following game: " &amp; CHAR(10) &amp; CHAR(10) &amp; "Date: " &amp; TEXT('Profit &amp; Loss'!A557,"dd mmm yyy") &amp; ", " &amp; 'Profit &amp; Loss'!B557 &amp; CHAR(10) &amp; "Time: " &amp; TEXT('Profit &amp; Loss'!C557, "hh:mm AM/PM") &amp; " - " &amp; TEXT('Profit &amp; Loss'!D557, "hh:mm AM/PM") &amp; CHAR(10) &amp; "Venue: " &amp; 'Profit &amp; Loss'!E557 &amp; CHAR(10) &amp; "Level: HB - LI" &amp; CHAR(10) &amp; "Cost: $" &amp; 'Profit &amp; Loss'!O557 &amp; " per pax" &amp; CHAR(10) &amp; "Max " &amp; 'Profit &amp; Loss'!I557*6 &amp; " pax," &amp; " (" &amp; 'Profit &amp; Loss'!I557 &amp; " courts)" &amp; CHAR(10) &amp; CHAR(10) &amp; "RSL Ultimate shuttles provided" &amp; CHAR(10) &amp; CHAR(10) &amp; "PM if interested, thank you!"," ")</f>
        <v xml:space="preserve"> </v>
      </c>
      <c r="B554" s="2" t="str">
        <f ca="1">IF('Profit &amp; Loss'!A557&gt;=TODAY(), "Date: " &amp; TEXT('Profit &amp; Loss'!A557,"dd mmm yyy") &amp; ", " &amp; 'Profit &amp; Loss'!B557 &amp; CHAR(10) &amp; "Time: " &amp; TEXT('Profit &amp; Loss'!C557, "hh:mm AM/PM") &amp; " - " &amp; TEXT('Profit &amp; Loss'!D557, "hh:mm AM/PM") &amp; CHAR(10) &amp; "Venue: " &amp; 'Profit &amp; Loss'!E557 &amp; CHAR(10) &amp; "Court No.: " &amp; 'Profit &amp; Loss'!F557 &amp; CHAR(10) &amp; "Level: HB - LI" &amp; CHAR(10) &amp; "Please transfer $" &amp; 'Profit &amp; Loss'!O557 &amp; " per pax to Belle (83396501)" &amp; CHAR(10) &amp; CHAR(10) &amp; IF('Profit &amp; Loss'!I557=1, "1." &amp; CHAR(10) &amp; "2." &amp; CHAR(10) &amp; "3." &amp; CHAR(10) &amp; "4." &amp; CHAR(10) &amp; "5." &amp; CHAR(10) &amp; "6." &amp; CHAR(10), IF('Profit &amp; Loss'!I557=2,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5" spans="1:2" ht="12.5" x14ac:dyDescent="0.25">
      <c r="A555" s="2" t="str">
        <f ca="1">IF('Profit &amp; Loss'!A558&gt;=TODAY(),"Looking for friendly players to join the following game: " &amp; CHAR(10) &amp; CHAR(10) &amp; "Date: " &amp; TEXT('Profit &amp; Loss'!A558,"dd mmm yyy") &amp; ", " &amp; 'Profit &amp; Loss'!B558 &amp; CHAR(10) &amp; "Time: " &amp; TEXT('Profit &amp; Loss'!C558, "hh:mm AM/PM") &amp; " - " &amp; TEXT('Profit &amp; Loss'!D558, "hh:mm AM/PM") &amp; CHAR(10) &amp; "Venue: " &amp; 'Profit &amp; Loss'!E558 &amp; CHAR(10) &amp; "Level: HB - LI" &amp; CHAR(10) &amp; "Cost: $" &amp; 'Profit &amp; Loss'!O558 &amp; " per pax" &amp; CHAR(10) &amp; "Max " &amp; 'Profit &amp; Loss'!I558*6 &amp; " pax," &amp; " (" &amp; 'Profit &amp; Loss'!I558 &amp; " courts)" &amp; CHAR(10) &amp; CHAR(10) &amp; "RSL Ultimate shuttles provided" &amp; CHAR(10) &amp; CHAR(10) &amp; "PM if interested, thank you!"," ")</f>
        <v xml:space="preserve"> </v>
      </c>
      <c r="B555" s="2" t="str">
        <f ca="1">IF('Profit &amp; Loss'!A558&gt;=TODAY(), "Date: " &amp; TEXT('Profit &amp; Loss'!A558,"dd mmm yyy") &amp; ", " &amp; 'Profit &amp; Loss'!B558 &amp; CHAR(10) &amp; "Time: " &amp; TEXT('Profit &amp; Loss'!C558, "hh:mm AM/PM") &amp; " - " &amp; TEXT('Profit &amp; Loss'!D558, "hh:mm AM/PM") &amp; CHAR(10) &amp; "Venue: " &amp; 'Profit &amp; Loss'!E558 &amp; CHAR(10) &amp; "Court No.: " &amp; 'Profit &amp; Loss'!F558 &amp; CHAR(10) &amp; "Level: HB - LI" &amp; CHAR(10) &amp; "Please transfer $" &amp; 'Profit &amp; Loss'!O558 &amp; " per pax to Belle (83396501)" &amp; CHAR(10) &amp; CHAR(10) &amp; IF('Profit &amp; Loss'!I558=1, "1." &amp; CHAR(10) &amp; "2." &amp; CHAR(10) &amp; "3." &amp; CHAR(10) &amp; "4." &amp; CHAR(10) &amp; "5." &amp; CHAR(10) &amp; "6." &amp; CHAR(10), IF('Profit &amp; Loss'!I558=2,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6" spans="1:2" ht="12.5" x14ac:dyDescent="0.25">
      <c r="A556" s="2" t="str">
        <f ca="1">IF('Profit &amp; Loss'!A559&gt;=TODAY(),"Looking for friendly players to join the following game: " &amp; CHAR(10) &amp; CHAR(10) &amp; "Date: " &amp; TEXT('Profit &amp; Loss'!A559,"dd mmm yyy") &amp; ", " &amp; 'Profit &amp; Loss'!B559 &amp; CHAR(10) &amp; "Time: " &amp; TEXT('Profit &amp; Loss'!C559, "hh:mm AM/PM") &amp; " - " &amp; TEXT('Profit &amp; Loss'!D559, "hh:mm AM/PM") &amp; CHAR(10) &amp; "Venue: " &amp; 'Profit &amp; Loss'!E559 &amp; CHAR(10) &amp; "Level: HB - LI" &amp; CHAR(10) &amp; "Cost: $" &amp; 'Profit &amp; Loss'!O559 &amp; " per pax" &amp; CHAR(10) &amp; "Max " &amp; 'Profit &amp; Loss'!I559*6 &amp; " pax," &amp; " (" &amp; 'Profit &amp; Loss'!I559 &amp; " courts)" &amp; CHAR(10) &amp; CHAR(10) &amp; "RSL Ultimate shuttles provided" &amp; CHAR(10) &amp; CHAR(10) &amp; "PM if interested, thank you!"," ")</f>
        <v xml:space="preserve"> </v>
      </c>
      <c r="B556" s="2" t="str">
        <f ca="1">IF('Profit &amp; Loss'!A559&gt;=TODAY(), "Date: " &amp; TEXT('Profit &amp; Loss'!A559,"dd mmm yyy") &amp; ", " &amp; 'Profit &amp; Loss'!B559 &amp; CHAR(10) &amp; "Time: " &amp; TEXT('Profit &amp; Loss'!C559, "hh:mm AM/PM") &amp; " - " &amp; TEXT('Profit &amp; Loss'!D559, "hh:mm AM/PM") &amp; CHAR(10) &amp; "Venue: " &amp; 'Profit &amp; Loss'!E559 &amp; CHAR(10) &amp; "Court No.: " &amp; 'Profit &amp; Loss'!F559 &amp; CHAR(10) &amp; "Level: HB - LI" &amp; CHAR(10) &amp; "Please transfer $" &amp; 'Profit &amp; Loss'!O559 &amp; " per pax to Belle (83396501)" &amp; CHAR(10) &amp; CHAR(10) &amp; IF('Profit &amp; Loss'!I559=1, "1." &amp; CHAR(10) &amp; "2." &amp; CHAR(10) &amp; "3." &amp; CHAR(10) &amp; "4." &amp; CHAR(10) &amp; "5." &amp; CHAR(10) &amp; "6." &amp; CHAR(10), IF('Profit &amp; Loss'!I559=2,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7" spans="1:2" ht="12.5" x14ac:dyDescent="0.25">
      <c r="A557" s="2" t="str">
        <f ca="1">IF('Profit &amp; Loss'!A560&gt;=TODAY(),"Looking for friendly players to join the following game: " &amp; CHAR(10) &amp; CHAR(10) &amp; "Date: " &amp; TEXT('Profit &amp; Loss'!A560,"dd mmm yyy") &amp; ", " &amp; 'Profit &amp; Loss'!B560 &amp; CHAR(10) &amp; "Time: " &amp; TEXT('Profit &amp; Loss'!C560, "hh:mm AM/PM") &amp; " - " &amp; TEXT('Profit &amp; Loss'!D560, "hh:mm AM/PM") &amp; CHAR(10) &amp; "Venue: " &amp; 'Profit &amp; Loss'!E560 &amp; CHAR(10) &amp; "Level: HB - LI" &amp; CHAR(10) &amp; "Cost: $" &amp; 'Profit &amp; Loss'!O560 &amp; " per pax" &amp; CHAR(10) &amp; "Max " &amp; 'Profit &amp; Loss'!I560*6 &amp; " pax," &amp; " (" &amp; 'Profit &amp; Loss'!I560 &amp; " courts)" &amp; CHAR(10) &amp; CHAR(10) &amp; "RSL Ultimate shuttles provided" &amp; CHAR(10) &amp; CHAR(10) &amp; "PM if interested, thank you!"," ")</f>
        <v xml:space="preserve"> </v>
      </c>
      <c r="B557" s="2" t="str">
        <f ca="1">IF('Profit &amp; Loss'!A560&gt;=TODAY(), "Date: " &amp; TEXT('Profit &amp; Loss'!A560,"dd mmm yyy") &amp; ", " &amp; 'Profit &amp; Loss'!B560 &amp; CHAR(10) &amp; "Time: " &amp; TEXT('Profit &amp; Loss'!C560, "hh:mm AM/PM") &amp; " - " &amp; TEXT('Profit &amp; Loss'!D560, "hh:mm AM/PM") &amp; CHAR(10) &amp; "Venue: " &amp; 'Profit &amp; Loss'!E560 &amp; CHAR(10) &amp; "Court No.: " &amp; 'Profit &amp; Loss'!F560 &amp; CHAR(10) &amp; "Level: HB - LI" &amp; CHAR(10) &amp; "Please transfer $" &amp; 'Profit &amp; Loss'!O560 &amp; " per pax to Belle (83396501)" &amp; CHAR(10) &amp; CHAR(10) &amp; IF('Profit &amp; Loss'!I560=1, "1." &amp; CHAR(10) &amp; "2." &amp; CHAR(10) &amp; "3." &amp; CHAR(10) &amp; "4." &amp; CHAR(10) &amp; "5." &amp; CHAR(10) &amp; "6." &amp; CHAR(10), IF('Profit &amp; Loss'!I560=2,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8" spans="1:2" ht="12.5" x14ac:dyDescent="0.25">
      <c r="A558" s="2" t="str">
        <f ca="1">IF('Profit &amp; Loss'!A561&gt;=TODAY(),"Looking for friendly players to join the following game: " &amp; CHAR(10) &amp; CHAR(10) &amp; "Date: " &amp; TEXT('Profit &amp; Loss'!A561,"dd mmm yyy") &amp; ", " &amp; 'Profit &amp; Loss'!B561 &amp; CHAR(10) &amp; "Time: " &amp; TEXT('Profit &amp; Loss'!C561, "hh:mm AM/PM") &amp; " - " &amp; TEXT('Profit &amp; Loss'!D561, "hh:mm AM/PM") &amp; CHAR(10) &amp; "Venue: " &amp; 'Profit &amp; Loss'!E561 &amp; CHAR(10) &amp; "Level: HB - LI" &amp; CHAR(10) &amp; "Cost: $" &amp; 'Profit &amp; Loss'!O561 &amp; " per pax" &amp; CHAR(10) &amp; "Max " &amp; 'Profit &amp; Loss'!I561*6 &amp; " pax," &amp; " (" &amp; 'Profit &amp; Loss'!I561 &amp; " courts)" &amp; CHAR(10) &amp; CHAR(10) &amp; "RSL Ultimate shuttles provided" &amp; CHAR(10) &amp; CHAR(10) &amp; "PM if interested, thank you!"," ")</f>
        <v xml:space="preserve"> </v>
      </c>
      <c r="B558" s="2" t="str">
        <f ca="1">IF('Profit &amp; Loss'!A561&gt;=TODAY(), "Date: " &amp; TEXT('Profit &amp; Loss'!A561,"dd mmm yyy") &amp; ", " &amp; 'Profit &amp; Loss'!B561 &amp; CHAR(10) &amp; "Time: " &amp; TEXT('Profit &amp; Loss'!C561, "hh:mm AM/PM") &amp; " - " &amp; TEXT('Profit &amp; Loss'!D561, "hh:mm AM/PM") &amp; CHAR(10) &amp; "Venue: " &amp; 'Profit &amp; Loss'!E561 &amp; CHAR(10) &amp; "Court No.: " &amp; 'Profit &amp; Loss'!F561 &amp; CHAR(10) &amp; "Level: HB - LI" &amp; CHAR(10) &amp; "Please transfer $" &amp; 'Profit &amp; Loss'!O561 &amp; " per pax to Belle (83396501)" &amp; CHAR(10) &amp; CHAR(10) &amp; IF('Profit &amp; Loss'!I561=1, "1." &amp; CHAR(10) &amp; "2." &amp; CHAR(10) &amp; "3." &amp; CHAR(10) &amp; "4." &amp; CHAR(10) &amp; "5." &amp; CHAR(10) &amp; "6." &amp; CHAR(10), IF('Profit &amp; Loss'!I561=2,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59" spans="1:2" ht="12.5" x14ac:dyDescent="0.25">
      <c r="A559" s="2" t="str">
        <f ca="1">IF('Profit &amp; Loss'!A562&gt;=TODAY(),"Looking for friendly players to join the following game: " &amp; CHAR(10) &amp; CHAR(10) &amp; "Date: " &amp; TEXT('Profit &amp; Loss'!A562,"dd mmm yyy") &amp; ", " &amp; 'Profit &amp; Loss'!B562 &amp; CHAR(10) &amp; "Time: " &amp; TEXT('Profit &amp; Loss'!C562, "hh:mm AM/PM") &amp; " - " &amp; TEXT('Profit &amp; Loss'!D562, "hh:mm AM/PM") &amp; CHAR(10) &amp; "Venue: " &amp; 'Profit &amp; Loss'!E562 &amp; CHAR(10) &amp; "Level: HB - LI" &amp; CHAR(10) &amp; "Cost: $" &amp; 'Profit &amp; Loss'!O562 &amp; " per pax" &amp; CHAR(10) &amp; "Max " &amp; 'Profit &amp; Loss'!I562*6 &amp; " pax," &amp; " (" &amp; 'Profit &amp; Loss'!I562 &amp; " courts)" &amp; CHAR(10) &amp; CHAR(10) &amp; "RSL Ultimate shuttles provided" &amp; CHAR(10) &amp; CHAR(10) &amp; "PM if interested, thank you!"," ")</f>
        <v xml:space="preserve"> </v>
      </c>
      <c r="B559" s="2" t="str">
        <f ca="1">IF('Profit &amp; Loss'!A562&gt;=TODAY(), "Date: " &amp; TEXT('Profit &amp; Loss'!A562,"dd mmm yyy") &amp; ", " &amp; 'Profit &amp; Loss'!B562 &amp; CHAR(10) &amp; "Time: " &amp; TEXT('Profit &amp; Loss'!C562, "hh:mm AM/PM") &amp; " - " &amp; TEXT('Profit &amp; Loss'!D562, "hh:mm AM/PM") &amp; CHAR(10) &amp; "Venue: " &amp; 'Profit &amp; Loss'!E562 &amp; CHAR(10) &amp; "Court No.: " &amp; 'Profit &amp; Loss'!F562 &amp; CHAR(10) &amp; "Level: HB - LI" &amp; CHAR(10) &amp; "Please transfer $" &amp; 'Profit &amp; Loss'!O562 &amp; " per pax to Belle (83396501)" &amp; CHAR(10) &amp; CHAR(10) &amp; IF('Profit &amp; Loss'!I562=1, "1." &amp; CHAR(10) &amp; "2." &amp; CHAR(10) &amp; "3." &amp; CHAR(10) &amp; "4." &amp; CHAR(10) &amp; "5." &amp; CHAR(10) &amp; "6." &amp; CHAR(10), IF('Profit &amp; Loss'!I562=2,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0" spans="1:2" ht="12.5" x14ac:dyDescent="0.25">
      <c r="A560" s="2" t="str">
        <f ca="1">IF('Profit &amp; Loss'!A563&gt;=TODAY(),"Looking for friendly players to join the following game: " &amp; CHAR(10) &amp; CHAR(10) &amp; "Date: " &amp; TEXT('Profit &amp; Loss'!A563,"dd mmm yyy") &amp; ", " &amp; 'Profit &amp; Loss'!B563 &amp; CHAR(10) &amp; "Time: " &amp; TEXT('Profit &amp; Loss'!C563, "hh:mm AM/PM") &amp; " - " &amp; TEXT('Profit &amp; Loss'!D563, "hh:mm AM/PM") &amp; CHAR(10) &amp; "Venue: " &amp; 'Profit &amp; Loss'!E563 &amp; CHAR(10) &amp; "Level: HB - LI" &amp; CHAR(10) &amp; "Cost: $" &amp; 'Profit &amp; Loss'!O563 &amp; " per pax" &amp; CHAR(10) &amp; "Max " &amp; 'Profit &amp; Loss'!I563*6 &amp; " pax," &amp; " (" &amp; 'Profit &amp; Loss'!I563 &amp; " courts)" &amp; CHAR(10) &amp; CHAR(10) &amp; "RSL Ultimate shuttles provided" &amp; CHAR(10) &amp; CHAR(10) &amp; "PM if interested, thank you!"," ")</f>
        <v xml:space="preserve"> </v>
      </c>
      <c r="B560" s="2" t="str">
        <f ca="1">IF('Profit &amp; Loss'!A563&gt;=TODAY(), "Date: " &amp; TEXT('Profit &amp; Loss'!A563,"dd mmm yyy") &amp; ", " &amp; 'Profit &amp; Loss'!B563 &amp; CHAR(10) &amp; "Time: " &amp; TEXT('Profit &amp; Loss'!C563, "hh:mm AM/PM") &amp; " - " &amp; TEXT('Profit &amp; Loss'!D563, "hh:mm AM/PM") &amp; CHAR(10) &amp; "Venue: " &amp; 'Profit &amp; Loss'!E563 &amp; CHAR(10) &amp; "Court No.: " &amp; 'Profit &amp; Loss'!F563 &amp; CHAR(10) &amp; "Level: HB - LI" &amp; CHAR(10) &amp; "Please transfer $" &amp; 'Profit &amp; Loss'!O563 &amp; " per pax to Belle (83396501)" &amp; CHAR(10) &amp; CHAR(10) &amp; IF('Profit &amp; Loss'!I563=1, "1." &amp; CHAR(10) &amp; "2." &amp; CHAR(10) &amp; "3." &amp; CHAR(10) &amp; "4." &amp; CHAR(10) &amp; "5." &amp; CHAR(10) &amp; "6." &amp; CHAR(10), IF('Profit &amp; Loss'!I563=2,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1" spans="1:2" ht="12.5" x14ac:dyDescent="0.25">
      <c r="A561" s="2" t="str">
        <f ca="1">IF('Profit &amp; Loss'!A564&gt;=TODAY(),"Looking for friendly players to join the following game: " &amp; CHAR(10) &amp; CHAR(10) &amp; "Date: " &amp; TEXT('Profit &amp; Loss'!A564,"dd mmm yyy") &amp; ", " &amp; 'Profit &amp; Loss'!B564 &amp; CHAR(10) &amp; "Time: " &amp; TEXT('Profit &amp; Loss'!C564, "hh:mm AM/PM") &amp; " - " &amp; TEXT('Profit &amp; Loss'!D564, "hh:mm AM/PM") &amp; CHAR(10) &amp; "Venue: " &amp; 'Profit &amp; Loss'!E564 &amp; CHAR(10) &amp; "Level: HB - LI" &amp; CHAR(10) &amp; "Cost: $" &amp; 'Profit &amp; Loss'!O564 &amp; " per pax" &amp; CHAR(10) &amp; "Max " &amp; 'Profit &amp; Loss'!I564*6 &amp; " pax," &amp; " (" &amp; 'Profit &amp; Loss'!I564 &amp; " courts)" &amp; CHAR(10) &amp; CHAR(10) &amp; "RSL Ultimate shuttles provided" &amp; CHAR(10) &amp; CHAR(10) &amp; "PM if interested, thank you!"," ")</f>
        <v xml:space="preserve"> </v>
      </c>
      <c r="B561" s="2" t="str">
        <f ca="1">IF('Profit &amp; Loss'!A564&gt;=TODAY(), "Date: " &amp; TEXT('Profit &amp; Loss'!A564,"dd mmm yyy") &amp; ", " &amp; 'Profit &amp; Loss'!B564 &amp; CHAR(10) &amp; "Time: " &amp; TEXT('Profit &amp; Loss'!C564, "hh:mm AM/PM") &amp; " - " &amp; TEXT('Profit &amp; Loss'!D564, "hh:mm AM/PM") &amp; CHAR(10) &amp; "Venue: " &amp; 'Profit &amp; Loss'!E564 &amp; CHAR(10) &amp; "Court No.: " &amp; 'Profit &amp; Loss'!F564 &amp; CHAR(10) &amp; "Level: HB - LI" &amp; CHAR(10) &amp; "Please transfer $" &amp; 'Profit &amp; Loss'!O564 &amp; " per pax to Belle (83396501)" &amp; CHAR(10) &amp; CHAR(10) &amp; IF('Profit &amp; Loss'!I564=1, "1." &amp; CHAR(10) &amp; "2." &amp; CHAR(10) &amp; "3." &amp; CHAR(10) &amp; "4." &amp; CHAR(10) &amp; "5." &amp; CHAR(10) &amp; "6." &amp; CHAR(10), IF('Profit &amp; Loss'!I564=2,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2" spans="1:2" ht="12.5" x14ac:dyDescent="0.25">
      <c r="A562" s="2" t="str">
        <f ca="1">IF('Profit &amp; Loss'!A565&gt;=TODAY(),"Looking for friendly players to join the following game: " &amp; CHAR(10) &amp; CHAR(10) &amp; "Date: " &amp; TEXT('Profit &amp; Loss'!A565,"dd mmm yyy") &amp; ", " &amp; 'Profit &amp; Loss'!B565 &amp; CHAR(10) &amp; "Time: " &amp; TEXT('Profit &amp; Loss'!C565, "hh:mm AM/PM") &amp; " - " &amp; TEXT('Profit &amp; Loss'!D565, "hh:mm AM/PM") &amp; CHAR(10) &amp; "Venue: " &amp; 'Profit &amp; Loss'!E565 &amp; CHAR(10) &amp; "Level: HB - LI" &amp; CHAR(10) &amp; "Cost: $" &amp; 'Profit &amp; Loss'!O565 &amp; " per pax" &amp; CHAR(10) &amp; "Max " &amp; 'Profit &amp; Loss'!I565*6 &amp; " pax," &amp; " (" &amp; 'Profit &amp; Loss'!I565 &amp; " courts)" &amp; CHAR(10) &amp; CHAR(10) &amp; "RSL Ultimate shuttles provided" &amp; CHAR(10) &amp; CHAR(10) &amp; "PM if interested, thank you!"," ")</f>
        <v xml:space="preserve"> </v>
      </c>
      <c r="B562" s="2" t="str">
        <f ca="1">IF('Profit &amp; Loss'!A565&gt;=TODAY(), "Date: " &amp; TEXT('Profit &amp; Loss'!A565,"dd mmm yyy") &amp; ", " &amp; 'Profit &amp; Loss'!B565 &amp; CHAR(10) &amp; "Time: " &amp; TEXT('Profit &amp; Loss'!C565, "hh:mm AM/PM") &amp; " - " &amp; TEXT('Profit &amp; Loss'!D565, "hh:mm AM/PM") &amp; CHAR(10) &amp; "Venue: " &amp; 'Profit &amp; Loss'!E565 &amp; CHAR(10) &amp; "Court No.: " &amp; 'Profit &amp; Loss'!F565 &amp; CHAR(10) &amp; "Level: HB - LI" &amp; CHAR(10) &amp; "Please transfer $" &amp; 'Profit &amp; Loss'!O565 &amp; " per pax to Belle (83396501)" &amp; CHAR(10) &amp; CHAR(10) &amp; IF('Profit &amp; Loss'!I565=1, "1." &amp; CHAR(10) &amp; "2." &amp; CHAR(10) &amp; "3." &amp; CHAR(10) &amp; "4." &amp; CHAR(10) &amp; "5." &amp; CHAR(10) &amp; "6." &amp; CHAR(10), IF('Profit &amp; Loss'!I565=2,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3" spans="1:2" ht="12.5" x14ac:dyDescent="0.25">
      <c r="A563" s="2" t="str">
        <f ca="1">IF('Profit &amp; Loss'!A566&gt;=TODAY(),"Looking for friendly players to join the following game: " &amp; CHAR(10) &amp; CHAR(10) &amp; "Date: " &amp; TEXT('Profit &amp; Loss'!A566,"dd mmm yyy") &amp; ", " &amp; 'Profit &amp; Loss'!B566 &amp; CHAR(10) &amp; "Time: " &amp; TEXT('Profit &amp; Loss'!C566, "hh:mm AM/PM") &amp; " - " &amp; TEXT('Profit &amp; Loss'!D566, "hh:mm AM/PM") &amp; CHAR(10) &amp; "Venue: " &amp; 'Profit &amp; Loss'!E566 &amp; CHAR(10) &amp; "Level: HB - LI" &amp; CHAR(10) &amp; "Cost: $" &amp; 'Profit &amp; Loss'!O566 &amp; " per pax" &amp; CHAR(10) &amp; "Max " &amp; 'Profit &amp; Loss'!I566*6 &amp; " pax," &amp; " (" &amp; 'Profit &amp; Loss'!I566 &amp; " courts)" &amp; CHAR(10) &amp; CHAR(10) &amp; "RSL Ultimate shuttles provided" &amp; CHAR(10) &amp; CHAR(10) &amp; "PM if interested, thank you!"," ")</f>
        <v xml:space="preserve"> </v>
      </c>
      <c r="B563" s="2" t="str">
        <f ca="1">IF('Profit &amp; Loss'!A566&gt;=TODAY(), "Date: " &amp; TEXT('Profit &amp; Loss'!A566,"dd mmm yyy") &amp; ", " &amp; 'Profit &amp; Loss'!B566 &amp; CHAR(10) &amp; "Time: " &amp; TEXT('Profit &amp; Loss'!C566, "hh:mm AM/PM") &amp; " - " &amp; TEXT('Profit &amp; Loss'!D566, "hh:mm AM/PM") &amp; CHAR(10) &amp; "Venue: " &amp; 'Profit &amp; Loss'!E566 &amp; CHAR(10) &amp; "Court No.: " &amp; 'Profit &amp; Loss'!F566 &amp; CHAR(10) &amp; "Level: HB - LI" &amp; CHAR(10) &amp; "Please transfer $" &amp; 'Profit &amp; Loss'!O566 &amp; " per pax to Belle (83396501)" &amp; CHAR(10) &amp; CHAR(10) &amp; IF('Profit &amp; Loss'!I566=1, "1." &amp; CHAR(10) &amp; "2." &amp; CHAR(10) &amp; "3." &amp; CHAR(10) &amp; "4." &amp; CHAR(10) &amp; "5." &amp; CHAR(10) &amp; "6." &amp; CHAR(10), IF('Profit &amp; Loss'!I566=2,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4" spans="1:2" ht="12.5" x14ac:dyDescent="0.25">
      <c r="A564" s="2" t="str">
        <f ca="1">IF('Profit &amp; Loss'!A567&gt;=TODAY(),"Looking for friendly players to join the following game: " &amp; CHAR(10) &amp; CHAR(10) &amp; "Date: " &amp; TEXT('Profit &amp; Loss'!A567,"dd mmm yyy") &amp; ", " &amp; 'Profit &amp; Loss'!B567 &amp; CHAR(10) &amp; "Time: " &amp; TEXT('Profit &amp; Loss'!C567, "hh:mm AM/PM") &amp; " - " &amp; TEXT('Profit &amp; Loss'!D567, "hh:mm AM/PM") &amp; CHAR(10) &amp; "Venue: " &amp; 'Profit &amp; Loss'!E567 &amp; CHAR(10) &amp; "Level: HB - LI" &amp; CHAR(10) &amp; "Cost: $" &amp; 'Profit &amp; Loss'!O567 &amp; " per pax" &amp; CHAR(10) &amp; "Max " &amp; 'Profit &amp; Loss'!I567*6 &amp; " pax," &amp; " (" &amp; 'Profit &amp; Loss'!I567 &amp; " courts)" &amp; CHAR(10) &amp; CHAR(10) &amp; "RSL Ultimate shuttles provided" &amp; CHAR(10) &amp; CHAR(10) &amp; "PM if interested, thank you!"," ")</f>
        <v xml:space="preserve"> </v>
      </c>
      <c r="B564" s="2" t="str">
        <f ca="1">IF('Profit &amp; Loss'!A567&gt;=TODAY(), "Date: " &amp; TEXT('Profit &amp; Loss'!A567,"dd mmm yyy") &amp; ", " &amp; 'Profit &amp; Loss'!B567 &amp; CHAR(10) &amp; "Time: " &amp; TEXT('Profit &amp; Loss'!C567, "hh:mm AM/PM") &amp; " - " &amp; TEXT('Profit &amp; Loss'!D567, "hh:mm AM/PM") &amp; CHAR(10) &amp; "Venue: " &amp; 'Profit &amp; Loss'!E567 &amp; CHAR(10) &amp; "Court No.: " &amp; 'Profit &amp; Loss'!F567 &amp; CHAR(10) &amp; "Level: HB - LI" &amp; CHAR(10) &amp; "Please transfer $" &amp; 'Profit &amp; Loss'!O567 &amp; " per pax to Belle (83396501)" &amp; CHAR(10) &amp; CHAR(10) &amp; IF('Profit &amp; Loss'!I567=1, "1." &amp; CHAR(10) &amp; "2." &amp; CHAR(10) &amp; "3." &amp; CHAR(10) &amp; "4." &amp; CHAR(10) &amp; "5." &amp; CHAR(10) &amp; "6." &amp; CHAR(10), IF('Profit &amp; Loss'!I567=2,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5" spans="1:2" ht="12.5" x14ac:dyDescent="0.25">
      <c r="A565" s="2" t="str">
        <f ca="1">IF('Profit &amp; Loss'!A568&gt;=TODAY(),"Looking for friendly players to join the following game: " &amp; CHAR(10) &amp; CHAR(10) &amp; "Date: " &amp; TEXT('Profit &amp; Loss'!A568,"dd mmm yyy") &amp; ", " &amp; 'Profit &amp; Loss'!B568 &amp; CHAR(10) &amp; "Time: " &amp; TEXT('Profit &amp; Loss'!C568, "hh:mm AM/PM") &amp; " - " &amp; TEXT('Profit &amp; Loss'!D568, "hh:mm AM/PM") &amp; CHAR(10) &amp; "Venue: " &amp; 'Profit &amp; Loss'!E568 &amp; CHAR(10) &amp; "Level: HB - LI" &amp; CHAR(10) &amp; "Cost: $" &amp; 'Profit &amp; Loss'!O568 &amp; " per pax" &amp; CHAR(10) &amp; "Max " &amp; 'Profit &amp; Loss'!I568*6 &amp; " pax," &amp; " (" &amp; 'Profit &amp; Loss'!I568 &amp; " courts)" &amp; CHAR(10) &amp; CHAR(10) &amp; "RSL Ultimate shuttles provided" &amp; CHAR(10) &amp; CHAR(10) &amp; "PM if interested, thank you!"," ")</f>
        <v xml:space="preserve"> </v>
      </c>
      <c r="B565" s="2" t="str">
        <f ca="1">IF('Profit &amp; Loss'!A568&gt;=TODAY(), "Date: " &amp; TEXT('Profit &amp; Loss'!A568,"dd mmm yyy") &amp; ", " &amp; 'Profit &amp; Loss'!B568 &amp; CHAR(10) &amp; "Time: " &amp; TEXT('Profit &amp; Loss'!C568, "hh:mm AM/PM") &amp; " - " &amp; TEXT('Profit &amp; Loss'!D568, "hh:mm AM/PM") &amp; CHAR(10) &amp; "Venue: " &amp; 'Profit &amp; Loss'!E568 &amp; CHAR(10) &amp; "Court No.: " &amp; 'Profit &amp; Loss'!F568 &amp; CHAR(10) &amp; "Level: HB - LI" &amp; CHAR(10) &amp; "Please transfer $" &amp; 'Profit &amp; Loss'!O568 &amp; " per pax to Belle (83396501)" &amp; CHAR(10) &amp; CHAR(10) &amp; IF('Profit &amp; Loss'!I568=1, "1." &amp; CHAR(10) &amp; "2." &amp; CHAR(10) &amp; "3." &amp; CHAR(10) &amp; "4." &amp; CHAR(10) &amp; "5." &amp; CHAR(10) &amp; "6." &amp; CHAR(10), IF('Profit &amp; Loss'!I568=2,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6" spans="1:2" ht="12.5" x14ac:dyDescent="0.25">
      <c r="A566" s="2" t="str">
        <f ca="1">IF('Profit &amp; Loss'!A569&gt;=TODAY(),"Looking for friendly players to join the following game: " &amp; CHAR(10) &amp; CHAR(10) &amp; "Date: " &amp; TEXT('Profit &amp; Loss'!A569,"dd mmm yyy") &amp; ", " &amp; 'Profit &amp; Loss'!B569 &amp; CHAR(10) &amp; "Time: " &amp; TEXT('Profit &amp; Loss'!C569, "hh:mm AM/PM") &amp; " - " &amp; TEXT('Profit &amp; Loss'!D569, "hh:mm AM/PM") &amp; CHAR(10) &amp; "Venue: " &amp; 'Profit &amp; Loss'!E569 &amp; CHAR(10) &amp; "Level: HB - LI" &amp; CHAR(10) &amp; "Cost: $" &amp; 'Profit &amp; Loss'!O569 &amp; " per pax" &amp; CHAR(10) &amp; "Max " &amp; 'Profit &amp; Loss'!I569*6 &amp; " pax," &amp; " (" &amp; 'Profit &amp; Loss'!I569 &amp; " courts)" &amp; CHAR(10) &amp; CHAR(10) &amp; "RSL Ultimate shuttles provided" &amp; CHAR(10) &amp; CHAR(10) &amp; "PM if interested, thank you!"," ")</f>
        <v xml:space="preserve"> </v>
      </c>
      <c r="B566" s="2" t="str">
        <f ca="1">IF('Profit &amp; Loss'!A569&gt;=TODAY(), "Date: " &amp; TEXT('Profit &amp; Loss'!A569,"dd mmm yyy") &amp; ", " &amp; 'Profit &amp; Loss'!B569 &amp; CHAR(10) &amp; "Time: " &amp; TEXT('Profit &amp; Loss'!C569, "hh:mm AM/PM") &amp; " - " &amp; TEXT('Profit &amp; Loss'!D569, "hh:mm AM/PM") &amp; CHAR(10) &amp; "Venue: " &amp; 'Profit &amp; Loss'!E569 &amp; CHAR(10) &amp; "Court No.: " &amp; 'Profit &amp; Loss'!F569 &amp; CHAR(10) &amp; "Level: HB - LI" &amp; CHAR(10) &amp; "Please transfer $" &amp; 'Profit &amp; Loss'!O569 &amp; " per pax to Belle (83396501)" &amp; CHAR(10) &amp; CHAR(10) &amp; IF('Profit &amp; Loss'!I569=1, "1." &amp; CHAR(10) &amp; "2." &amp; CHAR(10) &amp; "3." &amp; CHAR(10) &amp; "4." &amp; CHAR(10) &amp; "5." &amp; CHAR(10) &amp; "6." &amp; CHAR(10), IF('Profit &amp; Loss'!I569=2,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7" spans="1:2" ht="12.5" x14ac:dyDescent="0.25">
      <c r="A567" s="2" t="str">
        <f ca="1">IF('Profit &amp; Loss'!A570&gt;=TODAY(),"Looking for friendly players to join the following game: " &amp; CHAR(10) &amp; CHAR(10) &amp; "Date: " &amp; TEXT('Profit &amp; Loss'!A570,"dd mmm yyy") &amp; ", " &amp; 'Profit &amp; Loss'!B570 &amp; CHAR(10) &amp; "Time: " &amp; TEXT('Profit &amp; Loss'!C570, "hh:mm AM/PM") &amp; " - " &amp; TEXT('Profit &amp; Loss'!D570, "hh:mm AM/PM") &amp; CHAR(10) &amp; "Venue: " &amp; 'Profit &amp; Loss'!E570 &amp; CHAR(10) &amp; "Level: HB - LI" &amp; CHAR(10) &amp; "Cost: $" &amp; 'Profit &amp; Loss'!O570 &amp; " per pax" &amp; CHAR(10) &amp; "Max " &amp; 'Profit &amp; Loss'!I570*6 &amp; " pax," &amp; " (" &amp; 'Profit &amp; Loss'!I570 &amp; " courts)" &amp; CHAR(10) &amp; CHAR(10) &amp; "RSL Ultimate shuttles provided" &amp; CHAR(10) &amp; CHAR(10) &amp; "PM if interested, thank you!"," ")</f>
        <v xml:space="preserve"> </v>
      </c>
      <c r="B567" s="2" t="str">
        <f ca="1">IF('Profit &amp; Loss'!A570&gt;=TODAY(), "Date: " &amp; TEXT('Profit &amp; Loss'!A570,"dd mmm yyy") &amp; ", " &amp; 'Profit &amp; Loss'!B570 &amp; CHAR(10) &amp; "Time: " &amp; TEXT('Profit &amp; Loss'!C570, "hh:mm AM/PM") &amp; " - " &amp; TEXT('Profit &amp; Loss'!D570, "hh:mm AM/PM") &amp; CHAR(10) &amp; "Venue: " &amp; 'Profit &amp; Loss'!E570 &amp; CHAR(10) &amp; "Court No.: " &amp; 'Profit &amp; Loss'!F570 &amp; CHAR(10) &amp; "Level: HB - LI" &amp; CHAR(10) &amp; "Please transfer $" &amp; 'Profit &amp; Loss'!O570 &amp; " per pax to Belle (83396501)" &amp; CHAR(10) &amp; CHAR(10) &amp; IF('Profit &amp; Loss'!I570=1, "1." &amp; CHAR(10) &amp; "2." &amp; CHAR(10) &amp; "3." &amp; CHAR(10) &amp; "4." &amp; CHAR(10) &amp; "5." &amp; CHAR(10) &amp; "6." &amp; CHAR(10), IF('Profit &amp; Loss'!I570=2,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8" spans="1:2" ht="12.5" x14ac:dyDescent="0.25">
      <c r="A568" s="2" t="str">
        <f ca="1">IF('Profit &amp; Loss'!A571&gt;=TODAY(),"Looking for friendly players to join the following game: " &amp; CHAR(10) &amp; CHAR(10) &amp; "Date: " &amp; TEXT('Profit &amp; Loss'!A571,"dd mmm yyy") &amp; ", " &amp; 'Profit &amp; Loss'!B571 &amp; CHAR(10) &amp; "Time: " &amp; TEXT('Profit &amp; Loss'!C571, "hh:mm AM/PM") &amp; " - " &amp; TEXT('Profit &amp; Loss'!D571, "hh:mm AM/PM") &amp; CHAR(10) &amp; "Venue: " &amp; 'Profit &amp; Loss'!E571 &amp; CHAR(10) &amp; "Level: HB - LI" &amp; CHAR(10) &amp; "Cost: $" &amp; 'Profit &amp; Loss'!O571 &amp; " per pax" &amp; CHAR(10) &amp; "Max " &amp; 'Profit &amp; Loss'!I571*6 &amp; " pax," &amp; " (" &amp; 'Profit &amp; Loss'!I571 &amp; " courts)" &amp; CHAR(10) &amp; CHAR(10) &amp; "RSL Ultimate shuttles provided" &amp; CHAR(10) &amp; CHAR(10) &amp; "PM if interested, thank you!"," ")</f>
        <v xml:space="preserve"> </v>
      </c>
      <c r="B568" s="2" t="str">
        <f ca="1">IF('Profit &amp; Loss'!A571&gt;=TODAY(), "Date: " &amp; TEXT('Profit &amp; Loss'!A571,"dd mmm yyy") &amp; ", " &amp; 'Profit &amp; Loss'!B571 &amp; CHAR(10) &amp; "Time: " &amp; TEXT('Profit &amp; Loss'!C571, "hh:mm AM/PM") &amp; " - " &amp; TEXT('Profit &amp; Loss'!D571, "hh:mm AM/PM") &amp; CHAR(10) &amp; "Venue: " &amp; 'Profit &amp; Loss'!E571 &amp; CHAR(10) &amp; "Court No.: " &amp; 'Profit &amp; Loss'!F571 &amp; CHAR(10) &amp; "Level: HB - LI" &amp; CHAR(10) &amp; "Please transfer $" &amp; 'Profit &amp; Loss'!O571 &amp; " per pax to Belle (83396501)" &amp; CHAR(10) &amp; CHAR(10) &amp; IF('Profit &amp; Loss'!I571=1, "1." &amp; CHAR(10) &amp; "2." &amp; CHAR(10) &amp; "3." &amp; CHAR(10) &amp; "4." &amp; CHAR(10) &amp; "5." &amp; CHAR(10) &amp; "6." &amp; CHAR(10), IF('Profit &amp; Loss'!I571=2,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69" spans="1:2" ht="12.5" x14ac:dyDescent="0.25">
      <c r="A569" s="2" t="str">
        <f ca="1">IF('Profit &amp; Loss'!A572&gt;=TODAY(),"Looking for friendly players to join the following game: " &amp; CHAR(10) &amp; CHAR(10) &amp; "Date: " &amp; TEXT('Profit &amp; Loss'!A572,"dd mmm yyy") &amp; ", " &amp; 'Profit &amp; Loss'!B572 &amp; CHAR(10) &amp; "Time: " &amp; TEXT('Profit &amp; Loss'!C572, "hh:mm AM/PM") &amp; " - " &amp; TEXT('Profit &amp; Loss'!D572, "hh:mm AM/PM") &amp; CHAR(10) &amp; "Venue: " &amp; 'Profit &amp; Loss'!E572 &amp; CHAR(10) &amp; "Level: HB - LI" &amp; CHAR(10) &amp; "Cost: $" &amp; 'Profit &amp; Loss'!O572 &amp; " per pax" &amp; CHAR(10) &amp; "Max " &amp; 'Profit &amp; Loss'!I572*6 &amp; " pax," &amp; " (" &amp; 'Profit &amp; Loss'!I572 &amp; " courts)" &amp; CHAR(10) &amp; CHAR(10) &amp; "RSL Ultimate shuttles provided" &amp; CHAR(10) &amp; CHAR(10) &amp; "PM if interested, thank you!"," ")</f>
        <v xml:space="preserve"> </v>
      </c>
      <c r="B569" s="2" t="str">
        <f ca="1">IF('Profit &amp; Loss'!A572&gt;=TODAY(), "Date: " &amp; TEXT('Profit &amp; Loss'!A572,"dd mmm yyy") &amp; ", " &amp; 'Profit &amp; Loss'!B572 &amp; CHAR(10) &amp; "Time: " &amp; TEXT('Profit &amp; Loss'!C572, "hh:mm AM/PM") &amp; " - " &amp; TEXT('Profit &amp; Loss'!D572, "hh:mm AM/PM") &amp; CHAR(10) &amp; "Venue: " &amp; 'Profit &amp; Loss'!E572 &amp; CHAR(10) &amp; "Court No.: " &amp; 'Profit &amp; Loss'!F572 &amp; CHAR(10) &amp; "Level: HB - LI" &amp; CHAR(10) &amp; "Please transfer $" &amp; 'Profit &amp; Loss'!O572 &amp; " per pax to Belle (83396501)" &amp; CHAR(10) &amp; CHAR(10) &amp; IF('Profit &amp; Loss'!I572=1, "1." &amp; CHAR(10) &amp; "2." &amp; CHAR(10) &amp; "3." &amp; CHAR(10) &amp; "4." &amp; CHAR(10) &amp; "5." &amp; CHAR(10) &amp; "6." &amp; CHAR(10), IF('Profit &amp; Loss'!I572=2,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0" spans="1:2" ht="12.5" x14ac:dyDescent="0.25">
      <c r="A570" s="2" t="str">
        <f ca="1">IF('Profit &amp; Loss'!A573&gt;=TODAY(),"Looking for friendly players to join the following game: " &amp; CHAR(10) &amp; CHAR(10) &amp; "Date: " &amp; TEXT('Profit &amp; Loss'!A573,"dd mmm yyy") &amp; ", " &amp; 'Profit &amp; Loss'!B573 &amp; CHAR(10) &amp; "Time: " &amp; TEXT('Profit &amp; Loss'!C573, "hh:mm AM/PM") &amp; " - " &amp; TEXT('Profit &amp; Loss'!D573, "hh:mm AM/PM") &amp; CHAR(10) &amp; "Venue: " &amp; 'Profit &amp; Loss'!E573 &amp; CHAR(10) &amp; "Level: HB - LI" &amp; CHAR(10) &amp; "Cost: $" &amp; 'Profit &amp; Loss'!O573 &amp; " per pax" &amp; CHAR(10) &amp; "Max " &amp; 'Profit &amp; Loss'!I573*6 &amp; " pax," &amp; " (" &amp; 'Profit &amp; Loss'!I573 &amp; " courts)" &amp; CHAR(10) &amp; CHAR(10) &amp; "RSL Ultimate shuttles provided" &amp; CHAR(10) &amp; CHAR(10) &amp; "PM if interested, thank you!"," ")</f>
        <v xml:space="preserve"> </v>
      </c>
      <c r="B570" s="2" t="str">
        <f ca="1">IF('Profit &amp; Loss'!A573&gt;=TODAY(), "Date: " &amp; TEXT('Profit &amp; Loss'!A573,"dd mmm yyy") &amp; ", " &amp; 'Profit &amp; Loss'!B573 &amp; CHAR(10) &amp; "Time: " &amp; TEXT('Profit &amp; Loss'!C573, "hh:mm AM/PM") &amp; " - " &amp; TEXT('Profit &amp; Loss'!D573, "hh:mm AM/PM") &amp; CHAR(10) &amp; "Venue: " &amp; 'Profit &amp; Loss'!E573 &amp; CHAR(10) &amp; "Court No.: " &amp; 'Profit &amp; Loss'!F573 &amp; CHAR(10) &amp; "Level: HB - LI" &amp; CHAR(10) &amp; "Please transfer $" &amp; 'Profit &amp; Loss'!O573 &amp; " per pax to Belle (83396501)" &amp; CHAR(10) &amp; CHAR(10) &amp; IF('Profit &amp; Loss'!I573=1, "1." &amp; CHAR(10) &amp; "2." &amp; CHAR(10) &amp; "3." &amp; CHAR(10) &amp; "4." &amp; CHAR(10) &amp; "5." &amp; CHAR(10) &amp; "6." &amp; CHAR(10), IF('Profit &amp; Loss'!I573=2,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1" spans="1:2" ht="12.5" x14ac:dyDescent="0.25">
      <c r="A571" s="2" t="str">
        <f ca="1">IF('Profit &amp; Loss'!A574&gt;=TODAY(),"Looking for friendly players to join the following game: " &amp; CHAR(10) &amp; CHAR(10) &amp; "Date: " &amp; TEXT('Profit &amp; Loss'!A574,"dd mmm yyy") &amp; ", " &amp; 'Profit &amp; Loss'!B574 &amp; CHAR(10) &amp; "Time: " &amp; TEXT('Profit &amp; Loss'!C574, "hh:mm AM/PM") &amp; " - " &amp; TEXT('Profit &amp; Loss'!D574, "hh:mm AM/PM") &amp; CHAR(10) &amp; "Venue: " &amp; 'Profit &amp; Loss'!E574 &amp; CHAR(10) &amp; "Level: HB - LI" &amp; CHAR(10) &amp; "Cost: $" &amp; 'Profit &amp; Loss'!O574 &amp; " per pax" &amp; CHAR(10) &amp; "Max " &amp; 'Profit &amp; Loss'!I574*6 &amp; " pax," &amp; " (" &amp; 'Profit &amp; Loss'!I574 &amp; " courts)" &amp; CHAR(10) &amp; CHAR(10) &amp; "RSL Ultimate shuttles provided" &amp; CHAR(10) &amp; CHAR(10) &amp; "PM if interested, thank you!"," ")</f>
        <v xml:space="preserve"> </v>
      </c>
      <c r="B571" s="2" t="str">
        <f ca="1">IF('Profit &amp; Loss'!A574&gt;=TODAY(), "Date: " &amp; TEXT('Profit &amp; Loss'!A574,"dd mmm yyy") &amp; ", " &amp; 'Profit &amp; Loss'!B574 &amp; CHAR(10) &amp; "Time: " &amp; TEXT('Profit &amp; Loss'!C574, "hh:mm AM/PM") &amp; " - " &amp; TEXT('Profit &amp; Loss'!D574, "hh:mm AM/PM") &amp; CHAR(10) &amp; "Venue: " &amp; 'Profit &amp; Loss'!E574 &amp; CHAR(10) &amp; "Court No.: " &amp; 'Profit &amp; Loss'!F574 &amp; CHAR(10) &amp; "Level: HB - LI" &amp; CHAR(10) &amp; "Please transfer $" &amp; 'Profit &amp; Loss'!O574 &amp; " per pax to Belle (83396501)" &amp; CHAR(10) &amp; CHAR(10) &amp; IF('Profit &amp; Loss'!I574=1, "1." &amp; CHAR(10) &amp; "2." &amp; CHAR(10) &amp; "3." &amp; CHAR(10) &amp; "4." &amp; CHAR(10) &amp; "5." &amp; CHAR(10) &amp; "6." &amp; CHAR(10), IF('Profit &amp; Loss'!I574=2,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2" spans="1:2" ht="12.5" x14ac:dyDescent="0.25">
      <c r="A572" s="2" t="str">
        <f ca="1">IF('Profit &amp; Loss'!A575&gt;=TODAY(),"Looking for friendly players to join the following game: " &amp; CHAR(10) &amp; CHAR(10) &amp; "Date: " &amp; TEXT('Profit &amp; Loss'!A575,"dd mmm yyy") &amp; ", " &amp; 'Profit &amp; Loss'!B575 &amp; CHAR(10) &amp; "Time: " &amp; TEXT('Profit &amp; Loss'!C575, "hh:mm AM/PM") &amp; " - " &amp; TEXT('Profit &amp; Loss'!D575, "hh:mm AM/PM") &amp; CHAR(10) &amp; "Venue: " &amp; 'Profit &amp; Loss'!E575 &amp; CHAR(10) &amp; "Level: HB - LI" &amp; CHAR(10) &amp; "Cost: $" &amp; 'Profit &amp; Loss'!O575 &amp; " per pax" &amp; CHAR(10) &amp; "Max " &amp; 'Profit &amp; Loss'!I575*6 &amp; " pax," &amp; " (" &amp; 'Profit &amp; Loss'!I575 &amp; " courts)" &amp; CHAR(10) &amp; CHAR(10) &amp; "RSL Ultimate shuttles provided" &amp; CHAR(10) &amp; CHAR(10) &amp; "PM if interested, thank you!"," ")</f>
        <v xml:space="preserve"> </v>
      </c>
      <c r="B572" s="2" t="str">
        <f ca="1">IF('Profit &amp; Loss'!A575&gt;=TODAY(), "Date: " &amp; TEXT('Profit &amp; Loss'!A575,"dd mmm yyy") &amp; ", " &amp; 'Profit &amp; Loss'!B575 &amp; CHAR(10) &amp; "Time: " &amp; TEXT('Profit &amp; Loss'!C575, "hh:mm AM/PM") &amp; " - " &amp; TEXT('Profit &amp; Loss'!D575, "hh:mm AM/PM") &amp; CHAR(10) &amp; "Venue: " &amp; 'Profit &amp; Loss'!E575 &amp; CHAR(10) &amp; "Court No.: " &amp; 'Profit &amp; Loss'!F575 &amp; CHAR(10) &amp; "Level: HB - LI" &amp; CHAR(10) &amp; "Please transfer $" &amp; 'Profit &amp; Loss'!O575 &amp; " per pax to Belle (83396501)" &amp; CHAR(10) &amp; CHAR(10) &amp; IF('Profit &amp; Loss'!I575=1, "1." &amp; CHAR(10) &amp; "2." &amp; CHAR(10) &amp; "3." &amp; CHAR(10) &amp; "4." &amp; CHAR(10) &amp; "5." &amp; CHAR(10) &amp; "6." &amp; CHAR(10), IF('Profit &amp; Loss'!I575=2,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3" spans="1:2" ht="12.5" x14ac:dyDescent="0.25">
      <c r="A573" s="2" t="str">
        <f ca="1">IF('Profit &amp; Loss'!A576&gt;=TODAY(),"Looking for friendly players to join the following game: " &amp; CHAR(10) &amp; CHAR(10) &amp; "Date: " &amp; TEXT('Profit &amp; Loss'!A576,"dd mmm yyy") &amp; ", " &amp; 'Profit &amp; Loss'!B576 &amp; CHAR(10) &amp; "Time: " &amp; TEXT('Profit &amp; Loss'!C576, "hh:mm AM/PM") &amp; " - " &amp; TEXT('Profit &amp; Loss'!D576, "hh:mm AM/PM") &amp; CHAR(10) &amp; "Venue: " &amp; 'Profit &amp; Loss'!E576 &amp; CHAR(10) &amp; "Level: HB - LI" &amp; CHAR(10) &amp; "Cost: $" &amp; 'Profit &amp; Loss'!O576 &amp; " per pax" &amp; CHAR(10) &amp; "Max " &amp; 'Profit &amp; Loss'!I576*6 &amp; " pax," &amp; " (" &amp; 'Profit &amp; Loss'!I576 &amp; " courts)" &amp; CHAR(10) &amp; CHAR(10) &amp; "RSL Ultimate shuttles provided" &amp; CHAR(10) &amp; CHAR(10) &amp; "PM if interested, thank you!"," ")</f>
        <v xml:space="preserve"> </v>
      </c>
      <c r="B573" s="2" t="str">
        <f ca="1">IF('Profit &amp; Loss'!A576&gt;=TODAY(), "Date: " &amp; TEXT('Profit &amp; Loss'!A576,"dd mmm yyy") &amp; ", " &amp; 'Profit &amp; Loss'!B576 &amp; CHAR(10) &amp; "Time: " &amp; TEXT('Profit &amp; Loss'!C576, "hh:mm AM/PM") &amp; " - " &amp; TEXT('Profit &amp; Loss'!D576, "hh:mm AM/PM") &amp; CHAR(10) &amp; "Venue: " &amp; 'Profit &amp; Loss'!E576 &amp; CHAR(10) &amp; "Court No.: " &amp; 'Profit &amp; Loss'!F576 &amp; CHAR(10) &amp; "Level: HB - LI" &amp; CHAR(10) &amp; "Please transfer $" &amp; 'Profit &amp; Loss'!O576 &amp; " per pax to Belle (83396501)" &amp; CHAR(10) &amp; CHAR(10) &amp; IF('Profit &amp; Loss'!I576=1, "1." &amp; CHAR(10) &amp; "2." &amp; CHAR(10) &amp; "3." &amp; CHAR(10) &amp; "4." &amp; CHAR(10) &amp; "5." &amp; CHAR(10) &amp; "6." &amp; CHAR(10), IF('Profit &amp; Loss'!I576=2,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4" spans="1:2" ht="12.5" x14ac:dyDescent="0.25">
      <c r="A574" s="2" t="str">
        <f ca="1">IF('Profit &amp; Loss'!A577&gt;=TODAY(),"Looking for friendly players to join the following game: " &amp; CHAR(10) &amp; CHAR(10) &amp; "Date: " &amp; TEXT('Profit &amp; Loss'!A577,"dd mmm yyy") &amp; ", " &amp; 'Profit &amp; Loss'!B577 &amp; CHAR(10) &amp; "Time: " &amp; TEXT('Profit &amp; Loss'!C577, "hh:mm AM/PM") &amp; " - " &amp; TEXT('Profit &amp; Loss'!D577, "hh:mm AM/PM") &amp; CHAR(10) &amp; "Venue: " &amp; 'Profit &amp; Loss'!E577 &amp; CHAR(10) &amp; "Level: HB - LI" &amp; CHAR(10) &amp; "Cost: $" &amp; 'Profit &amp; Loss'!O577 &amp; " per pax" &amp; CHAR(10) &amp; "Max " &amp; 'Profit &amp; Loss'!I577*6 &amp; " pax," &amp; " (" &amp; 'Profit &amp; Loss'!I577 &amp; " courts)" &amp; CHAR(10) &amp; CHAR(10) &amp; "RSL Ultimate shuttles provided" &amp; CHAR(10) &amp; CHAR(10) &amp; "PM if interested, thank you!"," ")</f>
        <v xml:space="preserve"> </v>
      </c>
      <c r="B574" s="2" t="str">
        <f ca="1">IF('Profit &amp; Loss'!A577&gt;=TODAY(), "Date: " &amp; TEXT('Profit &amp; Loss'!A577,"dd mmm yyy") &amp; ", " &amp; 'Profit &amp; Loss'!B577 &amp; CHAR(10) &amp; "Time: " &amp; TEXT('Profit &amp; Loss'!C577, "hh:mm AM/PM") &amp; " - " &amp; TEXT('Profit &amp; Loss'!D577, "hh:mm AM/PM") &amp; CHAR(10) &amp; "Venue: " &amp; 'Profit &amp; Loss'!E577 &amp; CHAR(10) &amp; "Court No.: " &amp; 'Profit &amp; Loss'!F577 &amp; CHAR(10) &amp; "Level: HB - LI" &amp; CHAR(10) &amp; "Please transfer $" &amp; 'Profit &amp; Loss'!O577 &amp; " per pax to Belle (83396501)" &amp; CHAR(10) &amp; CHAR(10) &amp; IF('Profit &amp; Loss'!I577=1, "1." &amp; CHAR(10) &amp; "2." &amp; CHAR(10) &amp; "3." &amp; CHAR(10) &amp; "4." &amp; CHAR(10) &amp; "5." &amp; CHAR(10) &amp; "6." &amp; CHAR(10), IF('Profit &amp; Loss'!I577=2,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5" spans="1:2" ht="12.5" x14ac:dyDescent="0.25">
      <c r="A575" s="2" t="str">
        <f ca="1">IF('Profit &amp; Loss'!A578&gt;=TODAY(),"Looking for friendly players to join the following game: " &amp; CHAR(10) &amp; CHAR(10) &amp; "Date: " &amp; TEXT('Profit &amp; Loss'!A578,"dd mmm yyy") &amp; ", " &amp; 'Profit &amp; Loss'!B578 &amp; CHAR(10) &amp; "Time: " &amp; TEXT('Profit &amp; Loss'!C578, "hh:mm AM/PM") &amp; " - " &amp; TEXT('Profit &amp; Loss'!D578, "hh:mm AM/PM") &amp; CHAR(10) &amp; "Venue: " &amp; 'Profit &amp; Loss'!E578 &amp; CHAR(10) &amp; "Level: HB - LI" &amp; CHAR(10) &amp; "Cost: $" &amp; 'Profit &amp; Loss'!O578 &amp; " per pax" &amp; CHAR(10) &amp; "Max " &amp; 'Profit &amp; Loss'!I578*6 &amp; " pax," &amp; " (" &amp; 'Profit &amp; Loss'!I578 &amp; " courts)" &amp; CHAR(10) &amp; CHAR(10) &amp; "RSL Ultimate shuttles provided" &amp; CHAR(10) &amp; CHAR(10) &amp; "PM if interested, thank you!"," ")</f>
        <v xml:space="preserve"> </v>
      </c>
      <c r="B575" s="2" t="str">
        <f ca="1">IF('Profit &amp; Loss'!A578&gt;=TODAY(), "Date: " &amp; TEXT('Profit &amp; Loss'!A578,"dd mmm yyy") &amp; ", " &amp; 'Profit &amp; Loss'!B578 &amp; CHAR(10) &amp; "Time: " &amp; TEXT('Profit &amp; Loss'!C578, "hh:mm AM/PM") &amp; " - " &amp; TEXT('Profit &amp; Loss'!D578, "hh:mm AM/PM") &amp; CHAR(10) &amp; "Venue: " &amp; 'Profit &amp; Loss'!E578 &amp; CHAR(10) &amp; "Court No.: " &amp; 'Profit &amp; Loss'!F578 &amp; CHAR(10) &amp; "Level: HB - LI" &amp; CHAR(10) &amp; "Please transfer $" &amp; 'Profit &amp; Loss'!O578 &amp; " per pax to Belle (83396501)" &amp; CHAR(10) &amp; CHAR(10) &amp; IF('Profit &amp; Loss'!I578=1, "1." &amp; CHAR(10) &amp; "2." &amp; CHAR(10) &amp; "3." &amp; CHAR(10) &amp; "4." &amp; CHAR(10) &amp; "5." &amp; CHAR(10) &amp; "6." &amp; CHAR(10), IF('Profit &amp; Loss'!I578=2,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6" spans="1:2" ht="12.5" x14ac:dyDescent="0.25">
      <c r="A576" s="2" t="str">
        <f ca="1">IF('Profit &amp; Loss'!A579&gt;=TODAY(),"Looking for friendly players to join the following game: " &amp; CHAR(10) &amp; CHAR(10) &amp; "Date: " &amp; TEXT('Profit &amp; Loss'!A579,"dd mmm yyy") &amp; ", " &amp; 'Profit &amp; Loss'!B579 &amp; CHAR(10) &amp; "Time: " &amp; TEXT('Profit &amp; Loss'!C579, "hh:mm AM/PM") &amp; " - " &amp; TEXT('Profit &amp; Loss'!D579, "hh:mm AM/PM") &amp; CHAR(10) &amp; "Venue: " &amp; 'Profit &amp; Loss'!E579 &amp; CHAR(10) &amp; "Level: HB - LI" &amp; CHAR(10) &amp; "Cost: $" &amp; 'Profit &amp; Loss'!O579 &amp; " per pax" &amp; CHAR(10) &amp; "Max " &amp; 'Profit &amp; Loss'!I579*6 &amp; " pax," &amp; " (" &amp; 'Profit &amp; Loss'!I579 &amp; " courts)" &amp; CHAR(10) &amp; CHAR(10) &amp; "RSL Ultimate shuttles provided" &amp; CHAR(10) &amp; CHAR(10) &amp; "PM if interested, thank you!"," ")</f>
        <v xml:space="preserve"> </v>
      </c>
      <c r="B576" s="2" t="str">
        <f ca="1">IF('Profit &amp; Loss'!A579&gt;=TODAY(), "Date: " &amp; TEXT('Profit &amp; Loss'!A579,"dd mmm yyy") &amp; ", " &amp; 'Profit &amp; Loss'!B579 &amp; CHAR(10) &amp; "Time: " &amp; TEXT('Profit &amp; Loss'!C579, "hh:mm AM/PM") &amp; " - " &amp; TEXT('Profit &amp; Loss'!D579, "hh:mm AM/PM") &amp; CHAR(10) &amp; "Venue: " &amp; 'Profit &amp; Loss'!E579 &amp; CHAR(10) &amp; "Court No.: " &amp; 'Profit &amp; Loss'!F579 &amp; CHAR(10) &amp; "Level: HB - LI" &amp; CHAR(10) &amp; "Please transfer $" &amp; 'Profit &amp; Loss'!O579 &amp; " per pax to Belle (83396501)" &amp; CHAR(10) &amp; CHAR(10) &amp; IF('Profit &amp; Loss'!I579=1, "1." &amp; CHAR(10) &amp; "2." &amp; CHAR(10) &amp; "3." &amp; CHAR(10) &amp; "4." &amp; CHAR(10) &amp; "5." &amp; CHAR(10) &amp; "6." &amp; CHAR(10), IF('Profit &amp; Loss'!I579=2,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7" spans="1:2" ht="12.5" x14ac:dyDescent="0.25">
      <c r="A577" s="2" t="str">
        <f ca="1">IF('Profit &amp; Loss'!A580&gt;=TODAY(),"Looking for friendly players to join the following game: " &amp; CHAR(10) &amp; CHAR(10) &amp; "Date: " &amp; TEXT('Profit &amp; Loss'!A580,"dd mmm yyy") &amp; ", " &amp; 'Profit &amp; Loss'!B580 &amp; CHAR(10) &amp; "Time: " &amp; TEXT('Profit &amp; Loss'!C580, "hh:mm AM/PM") &amp; " - " &amp; TEXT('Profit &amp; Loss'!D580, "hh:mm AM/PM") &amp; CHAR(10) &amp; "Venue: " &amp; 'Profit &amp; Loss'!E580 &amp; CHAR(10) &amp; "Level: HB - LI" &amp; CHAR(10) &amp; "Cost: $" &amp; 'Profit &amp; Loss'!O580 &amp; " per pax" &amp; CHAR(10) &amp; "Max " &amp; 'Profit &amp; Loss'!I580*6 &amp; " pax," &amp; " (" &amp; 'Profit &amp; Loss'!I580 &amp; " courts)" &amp; CHAR(10) &amp; CHAR(10) &amp; "RSL Ultimate shuttles provided" &amp; CHAR(10) &amp; CHAR(10) &amp; "PM if interested, thank you!"," ")</f>
        <v xml:space="preserve"> </v>
      </c>
      <c r="B577" s="2" t="str">
        <f ca="1">IF('Profit &amp; Loss'!A580&gt;=TODAY(), "Date: " &amp; TEXT('Profit &amp; Loss'!A580,"dd mmm yyy") &amp; ", " &amp; 'Profit &amp; Loss'!B580 &amp; CHAR(10) &amp; "Time: " &amp; TEXT('Profit &amp; Loss'!C580, "hh:mm AM/PM") &amp; " - " &amp; TEXT('Profit &amp; Loss'!D580, "hh:mm AM/PM") &amp; CHAR(10) &amp; "Venue: " &amp; 'Profit &amp; Loss'!E580 &amp; CHAR(10) &amp; "Court No.: " &amp; 'Profit &amp; Loss'!F580 &amp; CHAR(10) &amp; "Level: HB - LI" &amp; CHAR(10) &amp; "Please transfer $" &amp; 'Profit &amp; Loss'!O580 &amp; " per pax to Belle (83396501)" &amp; CHAR(10) &amp; CHAR(10) &amp; IF('Profit &amp; Loss'!I580=1, "1." &amp; CHAR(10) &amp; "2." &amp; CHAR(10) &amp; "3." &amp; CHAR(10) &amp; "4." &amp; CHAR(10) &amp; "5." &amp; CHAR(10) &amp; "6." &amp; CHAR(10), IF('Profit &amp; Loss'!I580=2,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8" spans="1:2" ht="12.5" x14ac:dyDescent="0.25">
      <c r="A578" s="2" t="str">
        <f ca="1">IF('Profit &amp; Loss'!A581&gt;=TODAY(),"Looking for friendly players to join the following game: " &amp; CHAR(10) &amp; CHAR(10) &amp; "Date: " &amp; TEXT('Profit &amp; Loss'!A581,"dd mmm yyy") &amp; ", " &amp; 'Profit &amp; Loss'!B581 &amp; CHAR(10) &amp; "Time: " &amp; TEXT('Profit &amp; Loss'!C581, "hh:mm AM/PM") &amp; " - " &amp; TEXT('Profit &amp; Loss'!D581, "hh:mm AM/PM") &amp; CHAR(10) &amp; "Venue: " &amp; 'Profit &amp; Loss'!E581 &amp; CHAR(10) &amp; "Level: HB - LI" &amp; CHAR(10) &amp; "Cost: $" &amp; 'Profit &amp; Loss'!O581 &amp; " per pax" &amp; CHAR(10) &amp; "Max " &amp; 'Profit &amp; Loss'!I581*6 &amp; " pax," &amp; " (" &amp; 'Profit &amp; Loss'!I581 &amp; " courts)" &amp; CHAR(10) &amp; CHAR(10) &amp; "RSL Ultimate shuttles provided" &amp; CHAR(10) &amp; CHAR(10) &amp; "PM if interested, thank you!"," ")</f>
        <v xml:space="preserve"> </v>
      </c>
      <c r="B578" s="2" t="str">
        <f ca="1">IF('Profit &amp; Loss'!A581&gt;=TODAY(), "Date: " &amp; TEXT('Profit &amp; Loss'!A581,"dd mmm yyy") &amp; ", " &amp; 'Profit &amp; Loss'!B581 &amp; CHAR(10) &amp; "Time: " &amp; TEXT('Profit &amp; Loss'!C581, "hh:mm AM/PM") &amp; " - " &amp; TEXT('Profit &amp; Loss'!D581, "hh:mm AM/PM") &amp; CHAR(10) &amp; "Venue: " &amp; 'Profit &amp; Loss'!E581 &amp; CHAR(10) &amp; "Court No.: " &amp; 'Profit &amp; Loss'!F581 &amp; CHAR(10) &amp; "Level: HB - LI" &amp; CHAR(10) &amp; "Please transfer $" &amp; 'Profit &amp; Loss'!O581 &amp; " per pax to Belle (83396501)" &amp; CHAR(10) &amp; CHAR(10) &amp; IF('Profit &amp; Loss'!I581=1, "1." &amp; CHAR(10) &amp; "2." &amp; CHAR(10) &amp; "3." &amp; CHAR(10) &amp; "4." &amp; CHAR(10) &amp; "5." &amp; CHAR(10) &amp; "6." &amp; CHAR(10), IF('Profit &amp; Loss'!I581=2,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79" spans="1:2" ht="12.5" x14ac:dyDescent="0.25">
      <c r="A579" s="2" t="str">
        <f ca="1">IF('Profit &amp; Loss'!A582&gt;=TODAY(),"Looking for friendly players to join the following game: " &amp; CHAR(10) &amp; CHAR(10) &amp; "Date: " &amp; TEXT('Profit &amp; Loss'!A582,"dd mmm yyy") &amp; ", " &amp; 'Profit &amp; Loss'!B582 &amp; CHAR(10) &amp; "Time: " &amp; TEXT('Profit &amp; Loss'!C582, "hh:mm AM/PM") &amp; " - " &amp; TEXT('Profit &amp; Loss'!D582, "hh:mm AM/PM") &amp; CHAR(10) &amp; "Venue: " &amp; 'Profit &amp; Loss'!E582 &amp; CHAR(10) &amp; "Level: HB - LI" &amp; CHAR(10) &amp; "Cost: $" &amp; 'Profit &amp; Loss'!O582 &amp; " per pax" &amp; CHAR(10) &amp; "Max " &amp; 'Profit &amp; Loss'!I582*6 &amp; " pax," &amp; " (" &amp; 'Profit &amp; Loss'!I582 &amp; " courts)" &amp; CHAR(10) &amp; CHAR(10) &amp; "RSL Ultimate shuttles provided" &amp; CHAR(10) &amp; CHAR(10) &amp; "PM if interested, thank you!"," ")</f>
        <v xml:space="preserve"> </v>
      </c>
      <c r="B579" s="2" t="str">
        <f ca="1">IF('Profit &amp; Loss'!A582&gt;=TODAY(), "Date: " &amp; TEXT('Profit &amp; Loss'!A582,"dd mmm yyy") &amp; ", " &amp; 'Profit &amp; Loss'!B582 &amp; CHAR(10) &amp; "Time: " &amp; TEXT('Profit &amp; Loss'!C582, "hh:mm AM/PM") &amp; " - " &amp; TEXT('Profit &amp; Loss'!D582, "hh:mm AM/PM") &amp; CHAR(10) &amp; "Venue: " &amp; 'Profit &amp; Loss'!E582 &amp; CHAR(10) &amp; "Court No.: " &amp; 'Profit &amp; Loss'!F582 &amp; CHAR(10) &amp; "Level: HB - LI" &amp; CHAR(10) &amp; "Please transfer $" &amp; 'Profit &amp; Loss'!O582 &amp; " per pax to Belle (83396501)" &amp; CHAR(10) &amp; CHAR(10) &amp; IF('Profit &amp; Loss'!I582=1, "1." &amp; CHAR(10) &amp; "2." &amp; CHAR(10) &amp; "3." &amp; CHAR(10) &amp; "4." &amp; CHAR(10) &amp; "5." &amp; CHAR(10) &amp; "6." &amp; CHAR(10), IF('Profit &amp; Loss'!I582=2,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0" spans="1:2" ht="12.5" x14ac:dyDescent="0.25">
      <c r="A580" s="2" t="str">
        <f ca="1">IF('Profit &amp; Loss'!A583&gt;=TODAY(),"Looking for friendly players to join the following game: " &amp; CHAR(10) &amp; CHAR(10) &amp; "Date: " &amp; TEXT('Profit &amp; Loss'!A583,"dd mmm yyy") &amp; ", " &amp; 'Profit &amp; Loss'!B583 &amp; CHAR(10) &amp; "Time: " &amp; TEXT('Profit &amp; Loss'!C583, "hh:mm AM/PM") &amp; " - " &amp; TEXT('Profit &amp; Loss'!D583, "hh:mm AM/PM") &amp; CHAR(10) &amp; "Venue: " &amp; 'Profit &amp; Loss'!E583 &amp; CHAR(10) &amp; "Level: HB - LI" &amp; CHAR(10) &amp; "Cost: $" &amp; 'Profit &amp; Loss'!O583 &amp; " per pax" &amp; CHAR(10) &amp; "Max " &amp; 'Profit &amp; Loss'!I583*6 &amp; " pax," &amp; " (" &amp; 'Profit &amp; Loss'!I583 &amp; " courts)" &amp; CHAR(10) &amp; CHAR(10) &amp; "RSL Ultimate shuttles provided" &amp; CHAR(10) &amp; CHAR(10) &amp; "PM if interested, thank you!"," ")</f>
        <v xml:space="preserve"> </v>
      </c>
      <c r="B580" s="2" t="str">
        <f ca="1">IF('Profit &amp; Loss'!A583&gt;=TODAY(), "Date: " &amp; TEXT('Profit &amp; Loss'!A583,"dd mmm yyy") &amp; ", " &amp; 'Profit &amp; Loss'!B583 &amp; CHAR(10) &amp; "Time: " &amp; TEXT('Profit &amp; Loss'!C583, "hh:mm AM/PM") &amp; " - " &amp; TEXT('Profit &amp; Loss'!D583, "hh:mm AM/PM") &amp; CHAR(10) &amp; "Venue: " &amp; 'Profit &amp; Loss'!E583 &amp; CHAR(10) &amp; "Court No.: " &amp; 'Profit &amp; Loss'!F583 &amp; CHAR(10) &amp; "Level: HB - LI" &amp; CHAR(10) &amp; "Please transfer $" &amp; 'Profit &amp; Loss'!O583 &amp; " per pax to Belle (83396501)" &amp; CHAR(10) &amp; CHAR(10) &amp; IF('Profit &amp; Loss'!I583=1, "1." &amp; CHAR(10) &amp; "2." &amp; CHAR(10) &amp; "3." &amp; CHAR(10) &amp; "4." &amp; CHAR(10) &amp; "5." &amp; CHAR(10) &amp; "6." &amp; CHAR(10), IF('Profit &amp; Loss'!I583=2,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1" spans="1:2" ht="12.5" x14ac:dyDescent="0.25">
      <c r="A581" s="2" t="str">
        <f ca="1">IF('Profit &amp; Loss'!A584&gt;=TODAY(),"Looking for friendly players to join the following game: " &amp; CHAR(10) &amp; CHAR(10) &amp; "Date: " &amp; TEXT('Profit &amp; Loss'!A584,"dd mmm yyy") &amp; ", " &amp; 'Profit &amp; Loss'!B584 &amp; CHAR(10) &amp; "Time: " &amp; TEXT('Profit &amp; Loss'!C584, "hh:mm AM/PM") &amp; " - " &amp; TEXT('Profit &amp; Loss'!D584, "hh:mm AM/PM") &amp; CHAR(10) &amp; "Venue: " &amp; 'Profit &amp; Loss'!E584 &amp; CHAR(10) &amp; "Level: HB - LI" &amp; CHAR(10) &amp; "Cost: $" &amp; 'Profit &amp; Loss'!O584 &amp; " per pax" &amp; CHAR(10) &amp; "Max " &amp; 'Profit &amp; Loss'!I584*6 &amp; " pax," &amp; " (" &amp; 'Profit &amp; Loss'!I584 &amp; " courts)" &amp; CHAR(10) &amp; CHAR(10) &amp; "RSL Ultimate shuttles provided" &amp; CHAR(10) &amp; CHAR(10) &amp; "PM if interested, thank you!"," ")</f>
        <v xml:space="preserve"> </v>
      </c>
      <c r="B581" s="2" t="str">
        <f ca="1">IF('Profit &amp; Loss'!A584&gt;=TODAY(), "Date: " &amp; TEXT('Profit &amp; Loss'!A584,"dd mmm yyy") &amp; ", " &amp; 'Profit &amp; Loss'!B584 &amp; CHAR(10) &amp; "Time: " &amp; TEXT('Profit &amp; Loss'!C584, "hh:mm AM/PM") &amp; " - " &amp; TEXT('Profit &amp; Loss'!D584, "hh:mm AM/PM") &amp; CHAR(10) &amp; "Venue: " &amp; 'Profit &amp; Loss'!E584 &amp; CHAR(10) &amp; "Court No.: " &amp; 'Profit &amp; Loss'!F584 &amp; CHAR(10) &amp; "Level: HB - LI" &amp; CHAR(10) &amp; "Please transfer $" &amp; 'Profit &amp; Loss'!O584 &amp; " per pax to Belle (83396501)" &amp; CHAR(10) &amp; CHAR(10) &amp; IF('Profit &amp; Loss'!I584=1, "1." &amp; CHAR(10) &amp; "2." &amp; CHAR(10) &amp; "3." &amp; CHAR(10) &amp; "4." &amp; CHAR(10) &amp; "5." &amp; CHAR(10) &amp; "6." &amp; CHAR(10), IF('Profit &amp; Loss'!I584=2,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2" spans="1:2" ht="12.5" x14ac:dyDescent="0.25">
      <c r="A582" s="2" t="str">
        <f ca="1">IF('Profit &amp; Loss'!A585&gt;=TODAY(),"Looking for friendly players to join the following game: " &amp; CHAR(10) &amp; CHAR(10) &amp; "Date: " &amp; TEXT('Profit &amp; Loss'!A585,"dd mmm yyy") &amp; ", " &amp; 'Profit &amp; Loss'!B585 &amp; CHAR(10) &amp; "Time: " &amp; TEXT('Profit &amp; Loss'!C585, "hh:mm AM/PM") &amp; " - " &amp; TEXT('Profit &amp; Loss'!D585, "hh:mm AM/PM") &amp; CHAR(10) &amp; "Venue: " &amp; 'Profit &amp; Loss'!E585 &amp; CHAR(10) &amp; "Level: HB - LI" &amp; CHAR(10) &amp; "Cost: $" &amp; 'Profit &amp; Loss'!O585 &amp; " per pax" &amp; CHAR(10) &amp; "Max " &amp; 'Profit &amp; Loss'!I585*6 &amp; " pax," &amp; " (" &amp; 'Profit &amp; Loss'!I585 &amp; " courts)" &amp; CHAR(10) &amp; CHAR(10) &amp; "RSL Ultimate shuttles provided" &amp; CHAR(10) &amp; CHAR(10) &amp; "PM if interested, thank you!"," ")</f>
        <v xml:space="preserve"> </v>
      </c>
      <c r="B582" s="2" t="str">
        <f ca="1">IF('Profit &amp; Loss'!A585&gt;=TODAY(), "Date: " &amp; TEXT('Profit &amp; Loss'!A585,"dd mmm yyy") &amp; ", " &amp; 'Profit &amp; Loss'!B585 &amp; CHAR(10) &amp; "Time: " &amp; TEXT('Profit &amp; Loss'!C585, "hh:mm AM/PM") &amp; " - " &amp; TEXT('Profit &amp; Loss'!D585, "hh:mm AM/PM") &amp; CHAR(10) &amp; "Venue: " &amp; 'Profit &amp; Loss'!E585 &amp; CHAR(10) &amp; "Court No.: " &amp; 'Profit &amp; Loss'!F585 &amp; CHAR(10) &amp; "Level: HB - LI" &amp; CHAR(10) &amp; "Please transfer $" &amp; 'Profit &amp; Loss'!O585 &amp; " per pax to Belle (83396501)" &amp; CHAR(10) &amp; CHAR(10) &amp; IF('Profit &amp; Loss'!I585=1, "1." &amp; CHAR(10) &amp; "2." &amp; CHAR(10) &amp; "3." &amp; CHAR(10) &amp; "4." &amp; CHAR(10) &amp; "5." &amp; CHAR(10) &amp; "6." &amp; CHAR(10), IF('Profit &amp; Loss'!I585=2,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3" spans="1:2" ht="12.5" x14ac:dyDescent="0.25">
      <c r="A583" s="2" t="str">
        <f ca="1">IF('Profit &amp; Loss'!A586&gt;=TODAY(),"Looking for friendly players to join the following game: " &amp; CHAR(10) &amp; CHAR(10) &amp; "Date: " &amp; TEXT('Profit &amp; Loss'!A586,"dd mmm yyy") &amp; ", " &amp; 'Profit &amp; Loss'!B586 &amp; CHAR(10) &amp; "Time: " &amp; TEXT('Profit &amp; Loss'!C586, "hh:mm AM/PM") &amp; " - " &amp; TEXT('Profit &amp; Loss'!D586, "hh:mm AM/PM") &amp; CHAR(10) &amp; "Venue: " &amp; 'Profit &amp; Loss'!E586 &amp; CHAR(10) &amp; "Level: HB - LI" &amp; CHAR(10) &amp; "Cost: $" &amp; 'Profit &amp; Loss'!O586 &amp; " per pax" &amp; CHAR(10) &amp; "Max " &amp; 'Profit &amp; Loss'!I586*6 &amp; " pax," &amp; " (" &amp; 'Profit &amp; Loss'!I586 &amp; " courts)" &amp; CHAR(10) &amp; CHAR(10) &amp; "RSL Ultimate shuttles provided" &amp; CHAR(10) &amp; CHAR(10) &amp; "PM if interested, thank you!"," ")</f>
        <v xml:space="preserve"> </v>
      </c>
      <c r="B583" s="2" t="str">
        <f ca="1">IF('Profit &amp; Loss'!A586&gt;=TODAY(), "Date: " &amp; TEXT('Profit &amp; Loss'!A586,"dd mmm yyy") &amp; ", " &amp; 'Profit &amp; Loss'!B586 &amp; CHAR(10) &amp; "Time: " &amp; TEXT('Profit &amp; Loss'!C586, "hh:mm AM/PM") &amp; " - " &amp; TEXT('Profit &amp; Loss'!D586, "hh:mm AM/PM") &amp; CHAR(10) &amp; "Venue: " &amp; 'Profit &amp; Loss'!E586 &amp; CHAR(10) &amp; "Court No.: " &amp; 'Profit &amp; Loss'!F586 &amp; CHAR(10) &amp; "Level: HB - LI" &amp; CHAR(10) &amp; "Please transfer $" &amp; 'Profit &amp; Loss'!O586 &amp; " per pax to Belle (83396501)" &amp; CHAR(10) &amp; CHAR(10) &amp; IF('Profit &amp; Loss'!I586=1, "1." &amp; CHAR(10) &amp; "2." &amp; CHAR(10) &amp; "3." &amp; CHAR(10) &amp; "4." &amp; CHAR(10) &amp; "5." &amp; CHAR(10) &amp; "6." &amp; CHAR(10), IF('Profit &amp; Loss'!I586=2,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4" spans="1:2" ht="12.5" x14ac:dyDescent="0.25">
      <c r="A584" s="2" t="str">
        <f ca="1">IF('Profit &amp; Loss'!A587&gt;=TODAY(),"Looking for friendly players to join the following game: " &amp; CHAR(10) &amp; CHAR(10) &amp; "Date: " &amp; TEXT('Profit &amp; Loss'!A587,"dd mmm yyy") &amp; ", " &amp; 'Profit &amp; Loss'!B587 &amp; CHAR(10) &amp; "Time: " &amp; TEXT('Profit &amp; Loss'!C587, "hh:mm AM/PM") &amp; " - " &amp; TEXT('Profit &amp; Loss'!D587, "hh:mm AM/PM") &amp; CHAR(10) &amp; "Venue: " &amp; 'Profit &amp; Loss'!E587 &amp; CHAR(10) &amp; "Level: HB - LI" &amp; CHAR(10) &amp; "Cost: $" &amp; 'Profit &amp; Loss'!O587 &amp; " per pax" &amp; CHAR(10) &amp; "Max " &amp; 'Profit &amp; Loss'!I587*6 &amp; " pax," &amp; " (" &amp; 'Profit &amp; Loss'!I587 &amp; " courts)" &amp; CHAR(10) &amp; CHAR(10) &amp; "RSL Ultimate shuttles provided" &amp; CHAR(10) &amp; CHAR(10) &amp; "PM if interested, thank you!"," ")</f>
        <v xml:space="preserve"> </v>
      </c>
      <c r="B584" s="2" t="str">
        <f ca="1">IF('Profit &amp; Loss'!A587&gt;=TODAY(), "Date: " &amp; TEXT('Profit &amp; Loss'!A587,"dd mmm yyy") &amp; ", " &amp; 'Profit &amp; Loss'!B587 &amp; CHAR(10) &amp; "Time: " &amp; TEXT('Profit &amp; Loss'!C587, "hh:mm AM/PM") &amp; " - " &amp; TEXT('Profit &amp; Loss'!D587, "hh:mm AM/PM") &amp; CHAR(10) &amp; "Venue: " &amp; 'Profit &amp; Loss'!E587 &amp; CHAR(10) &amp; "Court No.: " &amp; 'Profit &amp; Loss'!F587 &amp; CHAR(10) &amp; "Level: HB - LI" &amp; CHAR(10) &amp; "Please transfer $" &amp; 'Profit &amp; Loss'!O587 &amp; " per pax to Belle (83396501)" &amp; CHAR(10) &amp; CHAR(10) &amp; IF('Profit &amp; Loss'!I587=1, "1." &amp; CHAR(10) &amp; "2." &amp; CHAR(10) &amp; "3." &amp; CHAR(10) &amp; "4." &amp; CHAR(10) &amp; "5." &amp; CHAR(10) &amp; "6." &amp; CHAR(10), IF('Profit &amp; Loss'!I587=2,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5" spans="1:2" ht="12.5" x14ac:dyDescent="0.25">
      <c r="A585" s="2" t="str">
        <f ca="1">IF('Profit &amp; Loss'!A588&gt;=TODAY(),"Looking for friendly players to join the following game: " &amp; CHAR(10) &amp; CHAR(10) &amp; "Date: " &amp; TEXT('Profit &amp; Loss'!A588,"dd mmm yyy") &amp; ", " &amp; 'Profit &amp; Loss'!B588 &amp; CHAR(10) &amp; "Time: " &amp; TEXT('Profit &amp; Loss'!C588, "hh:mm AM/PM") &amp; " - " &amp; TEXT('Profit &amp; Loss'!D588, "hh:mm AM/PM") &amp; CHAR(10) &amp; "Venue: " &amp; 'Profit &amp; Loss'!E588 &amp; CHAR(10) &amp; "Level: HB - LI" &amp; CHAR(10) &amp; "Cost: $" &amp; 'Profit &amp; Loss'!O588 &amp; " per pax" &amp; CHAR(10) &amp; "Max " &amp; 'Profit &amp; Loss'!I588*6 &amp; " pax," &amp; " (" &amp; 'Profit &amp; Loss'!I588 &amp; " courts)" &amp; CHAR(10) &amp; CHAR(10) &amp; "RSL Ultimate shuttles provided" &amp; CHAR(10) &amp; CHAR(10) &amp; "PM if interested, thank you!"," ")</f>
        <v xml:space="preserve"> </v>
      </c>
      <c r="B585" s="2" t="str">
        <f ca="1">IF('Profit &amp; Loss'!A588&gt;=TODAY(), "Date: " &amp; TEXT('Profit &amp; Loss'!A588,"dd mmm yyy") &amp; ", " &amp; 'Profit &amp; Loss'!B588 &amp; CHAR(10) &amp; "Time: " &amp; TEXT('Profit &amp; Loss'!C588, "hh:mm AM/PM") &amp; " - " &amp; TEXT('Profit &amp; Loss'!D588, "hh:mm AM/PM") &amp; CHAR(10) &amp; "Venue: " &amp; 'Profit &amp; Loss'!E588 &amp; CHAR(10) &amp; "Court No.: " &amp; 'Profit &amp; Loss'!F588 &amp; CHAR(10) &amp; "Level: HB - LI" &amp; CHAR(10) &amp; "Please transfer $" &amp; 'Profit &amp; Loss'!O588 &amp; " per pax to Belle (83396501)" &amp; CHAR(10) &amp; CHAR(10) &amp; IF('Profit &amp; Loss'!I588=1, "1." &amp; CHAR(10) &amp; "2." &amp; CHAR(10) &amp; "3." &amp; CHAR(10) &amp; "4." &amp; CHAR(10) &amp; "5." &amp; CHAR(10) &amp; "6." &amp; CHAR(10), IF('Profit &amp; Loss'!I588=2,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6" spans="1:2" ht="12.5" x14ac:dyDescent="0.25">
      <c r="A586" s="2" t="str">
        <f ca="1">IF('Profit &amp; Loss'!A589&gt;=TODAY(),"Looking for friendly players to join the following game: " &amp; CHAR(10) &amp; CHAR(10) &amp; "Date: " &amp; TEXT('Profit &amp; Loss'!A589,"dd mmm yyy") &amp; ", " &amp; 'Profit &amp; Loss'!B589 &amp; CHAR(10) &amp; "Time: " &amp; TEXT('Profit &amp; Loss'!C589, "hh:mm AM/PM") &amp; " - " &amp; TEXT('Profit &amp; Loss'!D589, "hh:mm AM/PM") &amp; CHAR(10) &amp; "Venue: " &amp; 'Profit &amp; Loss'!E589 &amp; CHAR(10) &amp; "Level: HB - LI" &amp; CHAR(10) &amp; "Cost: $" &amp; 'Profit &amp; Loss'!O589 &amp; " per pax" &amp; CHAR(10) &amp; "Max " &amp; 'Profit &amp; Loss'!I589*6 &amp; " pax," &amp; " (" &amp; 'Profit &amp; Loss'!I589 &amp; " courts)" &amp; CHAR(10) &amp; CHAR(10) &amp; "RSL Ultimate shuttles provided" &amp; CHAR(10) &amp; CHAR(10) &amp; "PM if interested, thank you!"," ")</f>
        <v xml:space="preserve"> </v>
      </c>
      <c r="B586" s="2" t="str">
        <f ca="1">IF('Profit &amp; Loss'!A589&gt;=TODAY(), "Date: " &amp; TEXT('Profit &amp; Loss'!A589,"dd mmm yyy") &amp; ", " &amp; 'Profit &amp; Loss'!B589 &amp; CHAR(10) &amp; "Time: " &amp; TEXT('Profit &amp; Loss'!C589, "hh:mm AM/PM") &amp; " - " &amp; TEXT('Profit &amp; Loss'!D589, "hh:mm AM/PM") &amp; CHAR(10) &amp; "Venue: " &amp; 'Profit &amp; Loss'!E589 &amp; CHAR(10) &amp; "Court No.: " &amp; 'Profit &amp; Loss'!F589 &amp; CHAR(10) &amp; "Level: HB - LI" &amp; CHAR(10) &amp; "Please transfer $" &amp; 'Profit &amp; Loss'!O589 &amp; " per pax to Belle (83396501)" &amp; CHAR(10) &amp; CHAR(10) &amp; IF('Profit &amp; Loss'!I589=1, "1." &amp; CHAR(10) &amp; "2." &amp; CHAR(10) &amp; "3." &amp; CHAR(10) &amp; "4." &amp; CHAR(10) &amp; "5." &amp; CHAR(10) &amp; "6." &amp; CHAR(10), IF('Profit &amp; Loss'!I589=2,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7" spans="1:2" ht="12.5" x14ac:dyDescent="0.25">
      <c r="A587" s="2" t="str">
        <f ca="1">IF('Profit &amp; Loss'!A590&gt;=TODAY(),"Looking for friendly players to join the following game: " &amp; CHAR(10) &amp; CHAR(10) &amp; "Date: " &amp; TEXT('Profit &amp; Loss'!A590,"dd mmm yyy") &amp; ", " &amp; 'Profit &amp; Loss'!B590 &amp; CHAR(10) &amp; "Time: " &amp; TEXT('Profit &amp; Loss'!C590, "hh:mm AM/PM") &amp; " - " &amp; TEXT('Profit &amp; Loss'!D590, "hh:mm AM/PM") &amp; CHAR(10) &amp; "Venue: " &amp; 'Profit &amp; Loss'!E590 &amp; CHAR(10) &amp; "Level: HB - LI" &amp; CHAR(10) &amp; "Cost: $" &amp; 'Profit &amp; Loss'!O590 &amp; " per pax" &amp; CHAR(10) &amp; "Max " &amp; 'Profit &amp; Loss'!I590*6 &amp; " pax," &amp; " (" &amp; 'Profit &amp; Loss'!I590 &amp; " courts)" &amp; CHAR(10) &amp; CHAR(10) &amp; "RSL Ultimate shuttles provided" &amp; CHAR(10) &amp; CHAR(10) &amp; "PM if interested, thank you!"," ")</f>
        <v xml:space="preserve"> </v>
      </c>
      <c r="B587" s="2" t="str">
        <f ca="1">IF('Profit &amp; Loss'!A590&gt;=TODAY(), "Date: " &amp; TEXT('Profit &amp; Loss'!A590,"dd mmm yyy") &amp; ", " &amp; 'Profit &amp; Loss'!B590 &amp; CHAR(10) &amp; "Time: " &amp; TEXT('Profit &amp; Loss'!C590, "hh:mm AM/PM") &amp; " - " &amp; TEXT('Profit &amp; Loss'!D590, "hh:mm AM/PM") &amp; CHAR(10) &amp; "Venue: " &amp; 'Profit &amp; Loss'!E590 &amp; CHAR(10) &amp; "Court No.: " &amp; 'Profit &amp; Loss'!F590 &amp; CHAR(10) &amp; "Level: HB - LI" &amp; CHAR(10) &amp; "Please transfer $" &amp; 'Profit &amp; Loss'!O590 &amp; " per pax to Belle (83396501)" &amp; CHAR(10) &amp; CHAR(10) &amp; IF('Profit &amp; Loss'!I590=1, "1." &amp; CHAR(10) &amp; "2." &amp; CHAR(10) &amp; "3." &amp; CHAR(10) &amp; "4." &amp; CHAR(10) &amp; "5." &amp; CHAR(10) &amp; "6." &amp; CHAR(10), IF('Profit &amp; Loss'!I590=2,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8" spans="1:2" ht="12.5" x14ac:dyDescent="0.25">
      <c r="A588" s="2" t="str">
        <f ca="1">IF('Profit &amp; Loss'!A591&gt;=TODAY(),"Looking for friendly players to join the following game: " &amp; CHAR(10) &amp; CHAR(10) &amp; "Date: " &amp; TEXT('Profit &amp; Loss'!A591,"dd mmm yyy") &amp; ", " &amp; 'Profit &amp; Loss'!B591 &amp; CHAR(10) &amp; "Time: " &amp; TEXT('Profit &amp; Loss'!C591, "hh:mm AM/PM") &amp; " - " &amp; TEXT('Profit &amp; Loss'!D591, "hh:mm AM/PM") &amp; CHAR(10) &amp; "Venue: " &amp; 'Profit &amp; Loss'!E591 &amp; CHAR(10) &amp; "Level: HB - LI" &amp; CHAR(10) &amp; "Cost: $" &amp; 'Profit &amp; Loss'!O591 &amp; " per pax" &amp; CHAR(10) &amp; "Max " &amp; 'Profit &amp; Loss'!I591*6 &amp; " pax," &amp; " (" &amp; 'Profit &amp; Loss'!I591 &amp; " courts)" &amp; CHAR(10) &amp; CHAR(10) &amp; "RSL Ultimate shuttles provided" &amp; CHAR(10) &amp; CHAR(10) &amp; "PM if interested, thank you!"," ")</f>
        <v xml:space="preserve"> </v>
      </c>
      <c r="B588" s="2" t="str">
        <f ca="1">IF('Profit &amp; Loss'!A591&gt;=TODAY(), "Date: " &amp; TEXT('Profit &amp; Loss'!A591,"dd mmm yyy") &amp; ", " &amp; 'Profit &amp; Loss'!B591 &amp; CHAR(10) &amp; "Time: " &amp; TEXT('Profit &amp; Loss'!C591, "hh:mm AM/PM") &amp; " - " &amp; TEXT('Profit &amp; Loss'!D591, "hh:mm AM/PM") &amp; CHAR(10) &amp; "Venue: " &amp; 'Profit &amp; Loss'!E591 &amp; CHAR(10) &amp; "Court No.: " &amp; 'Profit &amp; Loss'!F591 &amp; CHAR(10) &amp; "Level: HB - LI" &amp; CHAR(10) &amp; "Please transfer $" &amp; 'Profit &amp; Loss'!O591 &amp; " per pax to Belle (83396501)" &amp; CHAR(10) &amp; CHAR(10) &amp; IF('Profit &amp; Loss'!I591=1, "1." &amp; CHAR(10) &amp; "2." &amp; CHAR(10) &amp; "3." &amp; CHAR(10) &amp; "4." &amp; CHAR(10) &amp; "5." &amp; CHAR(10) &amp; "6." &amp; CHAR(10), IF('Profit &amp; Loss'!I591=2,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89" spans="1:2" ht="12.5" x14ac:dyDescent="0.25">
      <c r="A589" s="2" t="str">
        <f ca="1">IF('Profit &amp; Loss'!A592&gt;=TODAY(),"Looking for friendly players to join the following game: " &amp; CHAR(10) &amp; CHAR(10) &amp; "Date: " &amp; TEXT('Profit &amp; Loss'!A592,"dd mmm yyy") &amp; ", " &amp; 'Profit &amp; Loss'!B592 &amp; CHAR(10) &amp; "Time: " &amp; TEXT('Profit &amp; Loss'!C592, "hh:mm AM/PM") &amp; " - " &amp; TEXT('Profit &amp; Loss'!D592, "hh:mm AM/PM") &amp; CHAR(10) &amp; "Venue: " &amp; 'Profit &amp; Loss'!E592 &amp; CHAR(10) &amp; "Level: HB - LI" &amp; CHAR(10) &amp; "Cost: $" &amp; 'Profit &amp; Loss'!O592 &amp; " per pax" &amp; CHAR(10) &amp; "Max " &amp; 'Profit &amp; Loss'!I592*6 &amp; " pax," &amp; " (" &amp; 'Profit &amp; Loss'!I592 &amp; " courts)" &amp; CHAR(10) &amp; CHAR(10) &amp; "RSL Ultimate shuttles provided" &amp; CHAR(10) &amp; CHAR(10) &amp; "PM if interested, thank you!"," ")</f>
        <v xml:space="preserve"> </v>
      </c>
      <c r="B589" s="2" t="str">
        <f ca="1">IF('Profit &amp; Loss'!A592&gt;=TODAY(), "Date: " &amp; TEXT('Profit &amp; Loss'!A592,"dd mmm yyy") &amp; ", " &amp; 'Profit &amp; Loss'!B592 &amp; CHAR(10) &amp; "Time: " &amp; TEXT('Profit &amp; Loss'!C592, "hh:mm AM/PM") &amp; " - " &amp; TEXT('Profit &amp; Loss'!D592, "hh:mm AM/PM") &amp; CHAR(10) &amp; "Venue: " &amp; 'Profit &amp; Loss'!E592 &amp; CHAR(10) &amp; "Court No.: " &amp; 'Profit &amp; Loss'!F592 &amp; CHAR(10) &amp; "Level: HB - LI" &amp; CHAR(10) &amp; "Please transfer $" &amp; 'Profit &amp; Loss'!O592 &amp; " per pax to Belle (83396501)" &amp; CHAR(10) &amp; CHAR(10) &amp; IF('Profit &amp; Loss'!I592=1, "1." &amp; CHAR(10) &amp; "2." &amp; CHAR(10) &amp; "3." &amp; CHAR(10) &amp; "4." &amp; CHAR(10) &amp; "5." &amp; CHAR(10) &amp; "6." &amp; CHAR(10), IF('Profit &amp; Loss'!I592=2,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0" spans="1:2" ht="12.5" x14ac:dyDescent="0.25">
      <c r="A590" s="2" t="str">
        <f ca="1">IF('Profit &amp; Loss'!A593&gt;=TODAY(),"Looking for friendly players to join the following game: " &amp; CHAR(10) &amp; CHAR(10) &amp; "Date: " &amp; TEXT('Profit &amp; Loss'!A593,"dd mmm yyy") &amp; ", " &amp; 'Profit &amp; Loss'!B593 &amp; CHAR(10) &amp; "Time: " &amp; TEXT('Profit &amp; Loss'!C593, "hh:mm AM/PM") &amp; " - " &amp; TEXT('Profit &amp; Loss'!D593, "hh:mm AM/PM") &amp; CHAR(10) &amp; "Venue: " &amp; 'Profit &amp; Loss'!E593 &amp; CHAR(10) &amp; "Level: HB - LI" &amp; CHAR(10) &amp; "Cost: $" &amp; 'Profit &amp; Loss'!O593 &amp; " per pax" &amp; CHAR(10) &amp; "Max " &amp; 'Profit &amp; Loss'!I593*6 &amp; " pax," &amp; " (" &amp; 'Profit &amp; Loss'!I593 &amp; " courts)" &amp; CHAR(10) &amp; CHAR(10) &amp; "RSL Ultimate shuttles provided" &amp; CHAR(10) &amp; CHAR(10) &amp; "PM if interested, thank you!"," ")</f>
        <v xml:space="preserve"> </v>
      </c>
      <c r="B590" s="2" t="str">
        <f ca="1">IF('Profit &amp; Loss'!A593&gt;=TODAY(), "Date: " &amp; TEXT('Profit &amp; Loss'!A593,"dd mmm yyy") &amp; ", " &amp; 'Profit &amp; Loss'!B593 &amp; CHAR(10) &amp; "Time: " &amp; TEXT('Profit &amp; Loss'!C593, "hh:mm AM/PM") &amp; " - " &amp; TEXT('Profit &amp; Loss'!D593, "hh:mm AM/PM") &amp; CHAR(10) &amp; "Venue: " &amp; 'Profit &amp; Loss'!E593 &amp; CHAR(10) &amp; "Court No.: " &amp; 'Profit &amp; Loss'!F593 &amp; CHAR(10) &amp; "Level: HB - LI" &amp; CHAR(10) &amp; "Please transfer $" &amp; 'Profit &amp; Loss'!O593 &amp; " per pax to Belle (83396501)" &amp; CHAR(10) &amp; CHAR(10) &amp; IF('Profit &amp; Loss'!I593=1, "1." &amp; CHAR(10) &amp; "2." &amp; CHAR(10) &amp; "3." &amp; CHAR(10) &amp; "4." &amp; CHAR(10) &amp; "5." &amp; CHAR(10) &amp; "6." &amp; CHAR(10), IF('Profit &amp; Loss'!I593=2,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1" spans="1:2" ht="12.5" x14ac:dyDescent="0.25">
      <c r="A591" s="2" t="str">
        <f ca="1">IF('Profit &amp; Loss'!A594&gt;=TODAY(),"Looking for friendly players to join the following game: " &amp; CHAR(10) &amp; CHAR(10) &amp; "Date: " &amp; TEXT('Profit &amp; Loss'!A594,"dd mmm yyy") &amp; ", " &amp; 'Profit &amp; Loss'!B594 &amp; CHAR(10) &amp; "Time: " &amp; TEXT('Profit &amp; Loss'!C594, "hh:mm AM/PM") &amp; " - " &amp; TEXT('Profit &amp; Loss'!D594, "hh:mm AM/PM") &amp; CHAR(10) &amp; "Venue: " &amp; 'Profit &amp; Loss'!E594 &amp; CHAR(10) &amp; "Level: HB - LI" &amp; CHAR(10) &amp; "Cost: $" &amp; 'Profit &amp; Loss'!O594 &amp; " per pax" &amp; CHAR(10) &amp; "Max " &amp; 'Profit &amp; Loss'!I594*6 &amp; " pax," &amp; " (" &amp; 'Profit &amp; Loss'!I594 &amp; " courts)" &amp; CHAR(10) &amp; CHAR(10) &amp; "RSL Ultimate shuttles provided" &amp; CHAR(10) &amp; CHAR(10) &amp; "PM if interested, thank you!"," ")</f>
        <v xml:space="preserve"> </v>
      </c>
      <c r="B591" s="2" t="str">
        <f ca="1">IF('Profit &amp; Loss'!A594&gt;=TODAY(), "Date: " &amp; TEXT('Profit &amp; Loss'!A594,"dd mmm yyy") &amp; ", " &amp; 'Profit &amp; Loss'!B594 &amp; CHAR(10) &amp; "Time: " &amp; TEXT('Profit &amp; Loss'!C594, "hh:mm AM/PM") &amp; " - " &amp; TEXT('Profit &amp; Loss'!D594, "hh:mm AM/PM") &amp; CHAR(10) &amp; "Venue: " &amp; 'Profit &amp; Loss'!E594 &amp; CHAR(10) &amp; "Court No.: " &amp; 'Profit &amp; Loss'!F594 &amp; CHAR(10) &amp; "Level: HB - LI" &amp; CHAR(10) &amp; "Please transfer $" &amp; 'Profit &amp; Loss'!O594 &amp; " per pax to Belle (83396501)" &amp; CHAR(10) &amp; CHAR(10) &amp; IF('Profit &amp; Loss'!I594=1, "1." &amp; CHAR(10) &amp; "2." &amp; CHAR(10) &amp; "3." &amp; CHAR(10) &amp; "4." &amp; CHAR(10) &amp; "5." &amp; CHAR(10) &amp; "6." &amp; CHAR(10), IF('Profit &amp; Loss'!I594=2,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2" spans="1:2" ht="12.5" x14ac:dyDescent="0.25">
      <c r="A592" s="2" t="str">
        <f ca="1">IF('Profit &amp; Loss'!A595&gt;=TODAY(),"Looking for friendly players to join the following game: " &amp; CHAR(10) &amp; CHAR(10) &amp; "Date: " &amp; TEXT('Profit &amp; Loss'!A595,"dd mmm yyy") &amp; ", " &amp; 'Profit &amp; Loss'!B595 &amp; CHAR(10) &amp; "Time: " &amp; TEXT('Profit &amp; Loss'!C595, "hh:mm AM/PM") &amp; " - " &amp; TEXT('Profit &amp; Loss'!D595, "hh:mm AM/PM") &amp; CHAR(10) &amp; "Venue: " &amp; 'Profit &amp; Loss'!E595 &amp; CHAR(10) &amp; "Level: HB - LI" &amp; CHAR(10) &amp; "Cost: $" &amp; 'Profit &amp; Loss'!O595 &amp; " per pax" &amp; CHAR(10) &amp; "Max " &amp; 'Profit &amp; Loss'!I595*6 &amp; " pax," &amp; " (" &amp; 'Profit &amp; Loss'!I595 &amp; " courts)" &amp; CHAR(10) &amp; CHAR(10) &amp; "RSL Ultimate shuttles provided" &amp; CHAR(10) &amp; CHAR(10) &amp; "PM if interested, thank you!"," ")</f>
        <v xml:space="preserve"> </v>
      </c>
      <c r="B592" s="2" t="str">
        <f ca="1">IF('Profit &amp; Loss'!A595&gt;=TODAY(), "Date: " &amp; TEXT('Profit &amp; Loss'!A595,"dd mmm yyy") &amp; ", " &amp; 'Profit &amp; Loss'!B595 &amp; CHAR(10) &amp; "Time: " &amp; TEXT('Profit &amp; Loss'!C595, "hh:mm AM/PM") &amp; " - " &amp; TEXT('Profit &amp; Loss'!D595, "hh:mm AM/PM") &amp; CHAR(10) &amp; "Venue: " &amp; 'Profit &amp; Loss'!E595 &amp; CHAR(10) &amp; "Court No.: " &amp; 'Profit &amp; Loss'!F595 &amp; CHAR(10) &amp; "Level: HB - LI" &amp; CHAR(10) &amp; "Please transfer $" &amp; 'Profit &amp; Loss'!O595 &amp; " per pax to Belle (83396501)" &amp; CHAR(10) &amp; CHAR(10) &amp; IF('Profit &amp; Loss'!I595=1, "1." &amp; CHAR(10) &amp; "2." &amp; CHAR(10) &amp; "3." &amp; CHAR(10) &amp; "4." &amp; CHAR(10) &amp; "5." &amp; CHAR(10) &amp; "6." &amp; CHAR(10), IF('Profit &amp; Loss'!I595=2,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3" spans="1:2" ht="12.5" x14ac:dyDescent="0.25">
      <c r="A593" s="2" t="str">
        <f ca="1">IF('Profit &amp; Loss'!A596&gt;=TODAY(),"Looking for friendly players to join the following game: " &amp; CHAR(10) &amp; CHAR(10) &amp; "Date: " &amp; TEXT('Profit &amp; Loss'!A596,"dd mmm yyy") &amp; ", " &amp; 'Profit &amp; Loss'!B596 &amp; CHAR(10) &amp; "Time: " &amp; TEXT('Profit &amp; Loss'!C596, "hh:mm AM/PM") &amp; " - " &amp; TEXT('Profit &amp; Loss'!D596, "hh:mm AM/PM") &amp; CHAR(10) &amp; "Venue: " &amp; 'Profit &amp; Loss'!E596 &amp; CHAR(10) &amp; "Level: HB - LI" &amp; CHAR(10) &amp; "Cost: $" &amp; 'Profit &amp; Loss'!O596 &amp; " per pax" &amp; CHAR(10) &amp; "Max " &amp; 'Profit &amp; Loss'!I596*6 &amp; " pax," &amp; " (" &amp; 'Profit &amp; Loss'!I596 &amp; " courts)" &amp; CHAR(10) &amp; CHAR(10) &amp; "RSL Ultimate shuttles provided" &amp; CHAR(10) &amp; CHAR(10) &amp; "PM if interested, thank you!"," ")</f>
        <v xml:space="preserve"> </v>
      </c>
      <c r="B593" s="2" t="str">
        <f ca="1">IF('Profit &amp; Loss'!A596&gt;=TODAY(), "Date: " &amp; TEXT('Profit &amp; Loss'!A596,"dd mmm yyy") &amp; ", " &amp; 'Profit &amp; Loss'!B596 &amp; CHAR(10) &amp; "Time: " &amp; TEXT('Profit &amp; Loss'!C596, "hh:mm AM/PM") &amp; " - " &amp; TEXT('Profit &amp; Loss'!D596, "hh:mm AM/PM") &amp; CHAR(10) &amp; "Venue: " &amp; 'Profit &amp; Loss'!E596 &amp; CHAR(10) &amp; "Court No.: " &amp; 'Profit &amp; Loss'!F596 &amp; CHAR(10) &amp; "Level: HB - LI" &amp; CHAR(10) &amp; "Please transfer $" &amp; 'Profit &amp; Loss'!O596 &amp; " per pax to Belle (83396501)" &amp; CHAR(10) &amp; CHAR(10) &amp; IF('Profit &amp; Loss'!I596=1, "1." &amp; CHAR(10) &amp; "2." &amp; CHAR(10) &amp; "3." &amp; CHAR(10) &amp; "4." &amp; CHAR(10) &amp; "5." &amp; CHAR(10) &amp; "6." &amp; CHAR(10), IF('Profit &amp; Loss'!I596=2,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4" spans="1:2" ht="12.5" x14ac:dyDescent="0.25">
      <c r="A594" s="2" t="str">
        <f ca="1">IF('Profit &amp; Loss'!A597&gt;=TODAY(),"Looking for friendly players to join the following game: " &amp; CHAR(10) &amp; CHAR(10) &amp; "Date: " &amp; TEXT('Profit &amp; Loss'!A597,"dd mmm yyy") &amp; ", " &amp; 'Profit &amp; Loss'!B597 &amp; CHAR(10) &amp; "Time: " &amp; TEXT('Profit &amp; Loss'!C597, "hh:mm AM/PM") &amp; " - " &amp; TEXT('Profit &amp; Loss'!D597, "hh:mm AM/PM") &amp; CHAR(10) &amp; "Venue: " &amp; 'Profit &amp; Loss'!E597 &amp; CHAR(10) &amp; "Level: HB - LI" &amp; CHAR(10) &amp; "Cost: $" &amp; 'Profit &amp; Loss'!O597 &amp; " per pax" &amp; CHAR(10) &amp; "Max " &amp; 'Profit &amp; Loss'!I597*6 &amp; " pax," &amp; " (" &amp; 'Profit &amp; Loss'!I597 &amp; " courts)" &amp; CHAR(10) &amp; CHAR(10) &amp; "RSL Ultimate shuttles provided" &amp; CHAR(10) &amp; CHAR(10) &amp; "PM if interested, thank you!"," ")</f>
        <v xml:space="preserve"> </v>
      </c>
      <c r="B594" s="2" t="str">
        <f ca="1">IF('Profit &amp; Loss'!A597&gt;=TODAY(), "Date: " &amp; TEXT('Profit &amp; Loss'!A597,"dd mmm yyy") &amp; ", " &amp; 'Profit &amp; Loss'!B597 &amp; CHAR(10) &amp; "Time: " &amp; TEXT('Profit &amp; Loss'!C597, "hh:mm AM/PM") &amp; " - " &amp; TEXT('Profit &amp; Loss'!D597, "hh:mm AM/PM") &amp; CHAR(10) &amp; "Venue: " &amp; 'Profit &amp; Loss'!E597 &amp; CHAR(10) &amp; "Court No.: " &amp; 'Profit &amp; Loss'!F597 &amp; CHAR(10) &amp; "Level: HB - LI" &amp; CHAR(10) &amp; "Please transfer $" &amp; 'Profit &amp; Loss'!O597 &amp; " per pax to Belle (83396501)" &amp; CHAR(10) &amp; CHAR(10) &amp; IF('Profit &amp; Loss'!I597=1, "1." &amp; CHAR(10) &amp; "2." &amp; CHAR(10) &amp; "3." &amp; CHAR(10) &amp; "4." &amp; CHAR(10) &amp; "5." &amp; CHAR(10) &amp; "6." &amp; CHAR(10), IF('Profit &amp; Loss'!I597=2,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5" spans="1:2" ht="12.5" x14ac:dyDescent="0.25">
      <c r="A595" s="2" t="str">
        <f ca="1">IF('Profit &amp; Loss'!A598&gt;=TODAY(),"Looking for friendly players to join the following game: " &amp; CHAR(10) &amp; CHAR(10) &amp; "Date: " &amp; TEXT('Profit &amp; Loss'!A598,"dd mmm yyy") &amp; ", " &amp; 'Profit &amp; Loss'!B598 &amp; CHAR(10) &amp; "Time: " &amp; TEXT('Profit &amp; Loss'!C598, "hh:mm AM/PM") &amp; " - " &amp; TEXT('Profit &amp; Loss'!D598, "hh:mm AM/PM") &amp; CHAR(10) &amp; "Venue: " &amp; 'Profit &amp; Loss'!E598 &amp; CHAR(10) &amp; "Level: HB - LI" &amp; CHAR(10) &amp; "Cost: $" &amp; 'Profit &amp; Loss'!O598 &amp; " per pax" &amp; CHAR(10) &amp; "Max " &amp; 'Profit &amp; Loss'!I598*6 &amp; " pax," &amp; " (" &amp; 'Profit &amp; Loss'!I598 &amp; " courts)" &amp; CHAR(10) &amp; CHAR(10) &amp; "RSL Ultimate shuttles provided" &amp; CHAR(10) &amp; CHAR(10) &amp; "PM if interested, thank you!"," ")</f>
        <v xml:space="preserve"> </v>
      </c>
      <c r="B595" s="2" t="str">
        <f ca="1">IF('Profit &amp; Loss'!A598&gt;=TODAY(), "Date: " &amp; TEXT('Profit &amp; Loss'!A598,"dd mmm yyy") &amp; ", " &amp; 'Profit &amp; Loss'!B598 &amp; CHAR(10) &amp; "Time: " &amp; TEXT('Profit &amp; Loss'!C598, "hh:mm AM/PM") &amp; " - " &amp; TEXT('Profit &amp; Loss'!D598, "hh:mm AM/PM") &amp; CHAR(10) &amp; "Venue: " &amp; 'Profit &amp; Loss'!E598 &amp; CHAR(10) &amp; "Court No.: " &amp; 'Profit &amp; Loss'!F598 &amp; CHAR(10) &amp; "Level: HB - LI" &amp; CHAR(10) &amp; "Please transfer $" &amp; 'Profit &amp; Loss'!O598 &amp; " per pax to Belle (83396501)" &amp; CHAR(10) &amp; CHAR(10) &amp; IF('Profit &amp; Loss'!I598=1, "1." &amp; CHAR(10) &amp; "2." &amp; CHAR(10) &amp; "3." &amp; CHAR(10) &amp; "4." &amp; CHAR(10) &amp; "5." &amp; CHAR(10) &amp; "6." &amp; CHAR(10), IF('Profit &amp; Loss'!I598=2,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6" spans="1:2" ht="12.5" x14ac:dyDescent="0.25">
      <c r="A596" s="2" t="str">
        <f ca="1">IF('Profit &amp; Loss'!A599&gt;=TODAY(),"Looking for friendly players to join the following game: " &amp; CHAR(10) &amp; CHAR(10) &amp; "Date: " &amp; TEXT('Profit &amp; Loss'!A599,"dd mmm yyy") &amp; ", " &amp; 'Profit &amp; Loss'!B599 &amp; CHAR(10) &amp; "Time: " &amp; TEXT('Profit &amp; Loss'!C599, "hh:mm AM/PM") &amp; " - " &amp; TEXT('Profit &amp; Loss'!D599, "hh:mm AM/PM") &amp; CHAR(10) &amp; "Venue: " &amp; 'Profit &amp; Loss'!E599 &amp; CHAR(10) &amp; "Level: HB - LI" &amp; CHAR(10) &amp; "Cost: $" &amp; 'Profit &amp; Loss'!O599 &amp; " per pax" &amp; CHAR(10) &amp; "Max " &amp; 'Profit &amp; Loss'!I599*6 &amp; " pax," &amp; " (" &amp; 'Profit &amp; Loss'!I599 &amp; " courts)" &amp; CHAR(10) &amp; CHAR(10) &amp; "RSL Ultimate shuttles provided" &amp; CHAR(10) &amp; CHAR(10) &amp; "PM if interested, thank you!"," ")</f>
        <v xml:space="preserve"> </v>
      </c>
      <c r="B596" s="2" t="str">
        <f ca="1">IF('Profit &amp; Loss'!A599&gt;=TODAY(), "Date: " &amp; TEXT('Profit &amp; Loss'!A599,"dd mmm yyy") &amp; ", " &amp; 'Profit &amp; Loss'!B599 &amp; CHAR(10) &amp; "Time: " &amp; TEXT('Profit &amp; Loss'!C599, "hh:mm AM/PM") &amp; " - " &amp; TEXT('Profit &amp; Loss'!D599, "hh:mm AM/PM") &amp; CHAR(10) &amp; "Venue: " &amp; 'Profit &amp; Loss'!E599 &amp; CHAR(10) &amp; "Court No.: " &amp; 'Profit &amp; Loss'!F599 &amp; CHAR(10) &amp; "Level: HB - LI" &amp; CHAR(10) &amp; "Please transfer $" &amp; 'Profit &amp; Loss'!O599 &amp; " per pax to Belle (83396501)" &amp; CHAR(10) &amp; CHAR(10) &amp; IF('Profit &amp; Loss'!I599=1, "1." &amp; CHAR(10) &amp; "2." &amp; CHAR(10) &amp; "3." &amp; CHAR(10) &amp; "4." &amp; CHAR(10) &amp; "5." &amp; CHAR(10) &amp; "6." &amp; CHAR(10), IF('Profit &amp; Loss'!I599=2,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Loss'!I599=3,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7" spans="1:2" ht="12.5" x14ac:dyDescent="0.25">
      <c r="A597" s="2" t="str">
        <f ca="1">IF('Profit &amp; Loss'!A600&gt;=TODAY(),"Looking for friendly players to join the following game: " &amp; CHAR(10) &amp; CHAR(10) &amp; "Date: " &amp; TEXT('Profit &amp; Loss'!A600,"dd mmm yyy") &amp; ", " &amp; 'Profit &amp; Loss'!B600 &amp; CHAR(10) &amp; "Time: " &amp; TEXT('Profit &amp; Loss'!C600, "hh:mm AM/PM") &amp; " - " &amp; TEXT('Profit &amp; Loss'!D600, "hh:mm AM/PM") &amp; CHAR(10) &amp; "Venue: " &amp; 'Profit &amp; Loss'!E600 &amp; CHAR(10) &amp; "Level: HB - LI" &amp; CHAR(10) &amp; "Cost: $" &amp; 'Profit &amp; Loss'!O600 &amp; " per pax" &amp; CHAR(10) &amp; "Max " &amp; 'Profit &amp; Loss'!I600*6 &amp; " pax," &amp; " (" &amp; 'Profit &amp; Loss'!I600 &amp; " courts)" &amp; CHAR(10) &amp; CHAR(10) &amp; "RSL Ultimate shuttles provided" &amp; CHAR(10) &amp; CHAR(10) &amp; "PM if interested, thank you!"," ")</f>
        <v xml:space="preserve"> </v>
      </c>
      <c r="B597" s="2" t="str">
        <f ca="1">IF('Profit &amp; Loss'!A600&gt;=TODAY(), "Date: " &amp; TEXT('Profit &amp; Loss'!A600,"dd mmm yyy") &amp; ", " &amp; 'Profit &amp; Loss'!B600 &amp; CHAR(10) &amp; "Time: " &amp; TEXT('Profit &amp; Loss'!C600, "hh:mm AM/PM") &amp; " - " &amp; TEXT('Profit &amp; Loss'!D600, "hh:mm AM/PM") &amp; CHAR(10) &amp; "Venue: " &amp; 'Profit &amp; Loss'!E600 &amp; CHAR(10) &amp; "Court No.: " &amp; 'Profit &amp; Loss'!F600 &amp; CHAR(10) &amp; "Level: HB - LI" &amp; CHAR(10) &amp; "Please transfer $" &amp; 'Profit &amp; Loss'!O600 &amp; " per pax to Belle (83396501)" &amp; CHAR(10) &amp; CHAR(10) &amp; IF('Profit &amp; Loss'!I600=1, "1." &amp; CHAR(10) &amp; "2." &amp; CHAR(10) &amp; "3." &amp; CHAR(10) &amp; "4." &amp; CHAR(10) &amp; "5." &amp; CHAR(10) &amp; "6." &amp; CHAR(10), IF('Profit &amp; Loss'!I600=2,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8" spans="1:2" ht="12.5" x14ac:dyDescent="0.25">
      <c r="A598" s="2" t="str">
        <f ca="1">IF('Profit &amp; Loss'!A601&gt;=TODAY(),"Looking for friendly players to join the following game: " &amp; CHAR(10) &amp; CHAR(10) &amp; "Date: " &amp; TEXT('Profit &amp; Loss'!A601,"dd mmm yyy") &amp; ", " &amp; 'Profit &amp; Loss'!B601 &amp; CHAR(10) &amp; "Time: " &amp; TEXT('Profit &amp; Loss'!C601, "hh:mm AM/PM") &amp; " - " &amp; TEXT('Profit &amp; Loss'!D601, "hh:mm AM/PM") &amp; CHAR(10) &amp; "Venue: " &amp; 'Profit &amp; Loss'!E601 &amp; CHAR(10) &amp; "Level: HB - LI" &amp; CHAR(10) &amp; "Cost: $" &amp; 'Profit &amp; Loss'!O601 &amp; " per pax" &amp; CHAR(10) &amp; "Max " &amp; 'Profit &amp; Loss'!I601*6 &amp; " pax," &amp; " (" &amp; 'Profit &amp; Loss'!I601 &amp; " courts)" &amp; CHAR(10) &amp; CHAR(10) &amp; "RSL Ultimate shuttles provided" &amp; CHAR(10) &amp; CHAR(10) &amp; "PM if interested, thank you!"," ")</f>
        <v xml:space="preserve"> </v>
      </c>
      <c r="B598" s="2" t="str">
        <f ca="1">IF('Profit &amp; Loss'!A601&gt;=TODAY(), "Date: " &amp; TEXT('Profit &amp; Loss'!A601,"dd mmm yyy") &amp; ", " &amp; 'Profit &amp; Loss'!B601 &amp; CHAR(10) &amp; "Time: " &amp; TEXT('Profit &amp; Loss'!C601, "hh:mm AM/PM") &amp; " - " &amp; TEXT('Profit &amp; Loss'!D601, "hh:mm AM/PM") &amp; CHAR(10) &amp; "Venue: " &amp; 'Profit &amp; Loss'!E601 &amp; CHAR(10) &amp; "Court No.: " &amp; 'Profit &amp; Loss'!F601 &amp; CHAR(10) &amp; "Level: HB - LI" &amp; CHAR(10) &amp; "Please transfer $" &amp; 'Profit &amp; Loss'!O601 &amp; " per pax to Belle (83396501)" &amp; CHAR(10) &amp; CHAR(10) &amp; IF('Profit &amp; Loss'!I601=1, "1." &amp; CHAR(10) &amp; "2." &amp; CHAR(10) &amp; "3." &amp; CHAR(10) &amp; "4." &amp; CHAR(10) &amp; "5." &amp; CHAR(10) &amp; "6." &amp; CHAR(10), IF('Profit &amp; Loss'!I601=2,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599" spans="1:2" ht="12.5" x14ac:dyDescent="0.25">
      <c r="A599" s="2" t="str">
        <f ca="1">IF('Profit &amp; Loss'!A602&gt;=TODAY(),"Looking for friendly players to join the following game: " &amp; CHAR(10) &amp; CHAR(10) &amp; "Date: " &amp; TEXT('Profit &amp; Loss'!A602,"dd mmm yyy") &amp; ", " &amp; 'Profit &amp; Loss'!B602 &amp; CHAR(10) &amp; "Time: " &amp; TEXT('Profit &amp; Loss'!C602, "hh:mm AM/PM") &amp; " - " &amp; TEXT('Profit &amp; Loss'!D602, "hh:mm AM/PM") &amp; CHAR(10) &amp; "Venue: " &amp; 'Profit &amp; Loss'!E602 &amp; CHAR(10) &amp; "Level: HB - LI" &amp; CHAR(10) &amp; "Cost: $" &amp; 'Profit &amp; Loss'!O602 &amp; " per pax" &amp; CHAR(10) &amp; "Max " &amp; 'Profit &amp; Loss'!I602*6 &amp; " pax," &amp; " (" &amp; 'Profit &amp; Loss'!I602 &amp; " courts)" &amp; CHAR(10) &amp; CHAR(10) &amp; "RSL Ultimate shuttles provided" &amp; CHAR(10) &amp; CHAR(10) &amp; "PM if interested, thank you!"," ")</f>
        <v xml:space="preserve"> </v>
      </c>
      <c r="B599" s="2" t="str">
        <f ca="1">IF('Profit &amp; Loss'!A602&gt;=TODAY(), "Date: " &amp; TEXT('Profit &amp; Loss'!A602,"dd mmm yyy") &amp; ", " &amp; 'Profit &amp; Loss'!B602 &amp; CHAR(10) &amp; "Time: " &amp; TEXT('Profit &amp; Loss'!C602, "hh:mm AM/PM") &amp; " - " &amp; TEXT('Profit &amp; Loss'!D602, "hh:mm AM/PM") &amp; CHAR(10) &amp; "Venue: " &amp; 'Profit &amp; Loss'!E602 &amp; CHAR(10) &amp; "Court No.: " &amp; 'Profit &amp; Loss'!F602 &amp; CHAR(10) &amp; "Level: HB - LI" &amp; CHAR(10) &amp; "Please transfer $" &amp; 'Profit &amp; Loss'!O602 &amp; " per pax to Belle (83396501)" &amp; CHAR(10) &amp; CHAR(10) &amp; IF('Profit &amp; Loss'!I602=1, "1." &amp; CHAR(10) &amp; "2." &amp; CHAR(10) &amp; "3." &amp; CHAR(10) &amp; "4." &amp; CHAR(10) &amp; "5." &amp; CHAR(10) &amp; "6." &amp; CHAR(10), IF('Profit &amp; Loss'!I602=2,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0" spans="1:2" ht="12.5" x14ac:dyDescent="0.25">
      <c r="A600" s="2" t="str">
        <f ca="1">IF('Profit &amp; Loss'!A603&gt;=TODAY(),"Looking for friendly players to join the following game: " &amp; CHAR(10) &amp; CHAR(10) &amp; "Date: " &amp; TEXT('Profit &amp; Loss'!A603,"dd mmm yyy") &amp; ", " &amp; 'Profit &amp; Loss'!B603 &amp; CHAR(10) &amp; "Time: " &amp; TEXT('Profit &amp; Loss'!C603, "hh:mm AM/PM") &amp; " - " &amp; TEXT('Profit &amp; Loss'!D603, "hh:mm AM/PM") &amp; CHAR(10) &amp; "Venue: " &amp; 'Profit &amp; Loss'!E603 &amp; CHAR(10) &amp; "Level: HB - LI" &amp; CHAR(10) &amp; "Cost: $" &amp; 'Profit &amp; Loss'!O603 &amp; " per pax" &amp; CHAR(10) &amp; "Max " &amp; 'Profit &amp; Loss'!I603*6 &amp; " pax," &amp; " (" &amp; 'Profit &amp; Loss'!I603 &amp; " courts)" &amp; CHAR(10) &amp; CHAR(10) &amp; "RSL Ultimate shuttles provided" &amp; CHAR(10) &amp; CHAR(10) &amp; "PM if interested, thank you!"," ")</f>
        <v xml:space="preserve"> </v>
      </c>
      <c r="B600" s="2" t="str">
        <f ca="1">IF('Profit &amp; Loss'!A603&gt;=TODAY(), "Date: " &amp; TEXT('Profit &amp; Loss'!A603,"dd mmm yyy") &amp; ", " &amp; 'Profit &amp; Loss'!B603 &amp; CHAR(10) &amp; "Time: " &amp; TEXT('Profit &amp; Loss'!C603, "hh:mm AM/PM") &amp; " - " &amp; TEXT('Profit &amp; Loss'!D603, "hh:mm AM/PM") &amp; CHAR(10) &amp; "Venue: " &amp; 'Profit &amp; Loss'!E603 &amp; CHAR(10) &amp; "Court No.: " &amp; 'Profit &amp; Loss'!F603 &amp; CHAR(10) &amp; "Level: HB - LI" &amp; CHAR(10) &amp; "Please transfer $" &amp; 'Profit &amp; Loss'!O603 &amp; " per pax to Belle (83396501)" &amp; CHAR(10) &amp; CHAR(10) &amp; IF('Profit &amp; Loss'!I603=1, "1." &amp; CHAR(10) &amp; "2." &amp; CHAR(10) &amp; "3." &amp; CHAR(10) &amp; "4." &amp; CHAR(10) &amp; "5." &amp; CHAR(10) &amp; "6." &amp; CHAR(10), IF('Profit &amp; Loss'!I603=2,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1" spans="1:2" ht="12.5" x14ac:dyDescent="0.25">
      <c r="A601" s="2" t="str">
        <f ca="1">IF('Profit &amp; Loss'!A604&gt;=TODAY(),"Looking for friendly players to join the following game: " &amp; CHAR(10) &amp; CHAR(10) &amp; "Date: " &amp; TEXT('Profit &amp; Loss'!A604,"dd mmm yyy") &amp; ", " &amp; 'Profit &amp; Loss'!B604 &amp; CHAR(10) &amp; "Time: " &amp; TEXT('Profit &amp; Loss'!C604, "hh:mm AM/PM") &amp; " - " &amp; TEXT('Profit &amp; Loss'!D604, "hh:mm AM/PM") &amp; CHAR(10) &amp; "Venue: " &amp; 'Profit &amp; Loss'!E604 &amp; CHAR(10) &amp; "Level: HB - LI" &amp; CHAR(10) &amp; "Cost: $" &amp; 'Profit &amp; Loss'!O604 &amp; " per pax" &amp; CHAR(10) &amp; "Max " &amp; 'Profit &amp; Loss'!I604*6 &amp; " pax," &amp; " (" &amp; 'Profit &amp; Loss'!I604 &amp; " courts)" &amp; CHAR(10) &amp; CHAR(10) &amp; "RSL Ultimate shuttles provided" &amp; CHAR(10) &amp; CHAR(10) &amp; "PM if interested, thank you!"," ")</f>
        <v xml:space="preserve"> </v>
      </c>
      <c r="B601" s="2" t="str">
        <f ca="1">IF('Profit &amp; Loss'!A604&gt;=TODAY(), "Date: " &amp; TEXT('Profit &amp; Loss'!A604,"dd mmm yyy") &amp; ", " &amp; 'Profit &amp; Loss'!B604 &amp; CHAR(10) &amp; "Time: " &amp; TEXT('Profit &amp; Loss'!C604, "hh:mm AM/PM") &amp; " - " &amp; TEXT('Profit &amp; Loss'!D604, "hh:mm AM/PM") &amp; CHAR(10) &amp; "Venue: " &amp; 'Profit &amp; Loss'!E604 &amp; CHAR(10) &amp; "Court No.: " &amp; 'Profit &amp; Loss'!F604 &amp; CHAR(10) &amp; "Level: HB - LI" &amp; CHAR(10) &amp; "Please transfer $" &amp; 'Profit &amp; Loss'!O604 &amp; " per pax to Belle (83396501)" &amp; CHAR(10) &amp; CHAR(10) &amp; IF('Profit &amp; Loss'!I604=1, "1." &amp; CHAR(10) &amp; "2." &amp; CHAR(10) &amp; "3." &amp; CHAR(10) &amp; "4." &amp; CHAR(10) &amp; "5." &amp; CHAR(10) &amp; "6." &amp; CHAR(10), IF('Profit &amp; Loss'!I604=2,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2" spans="1:2" ht="12.5" x14ac:dyDescent="0.25">
      <c r="A602" s="2" t="str">
        <f ca="1">IF('Profit &amp; Loss'!A605&gt;=TODAY(),"Looking for friendly players to join the following game: " &amp; CHAR(10) &amp; CHAR(10) &amp; "Date: " &amp; TEXT('Profit &amp; Loss'!A605,"dd mmm yyy") &amp; ", " &amp; 'Profit &amp; Loss'!B605 &amp; CHAR(10) &amp; "Time: " &amp; TEXT('Profit &amp; Loss'!C605, "hh:mm AM/PM") &amp; " - " &amp; TEXT('Profit &amp; Loss'!D605, "hh:mm AM/PM") &amp; CHAR(10) &amp; "Venue: " &amp; 'Profit &amp; Loss'!E605 &amp; CHAR(10) &amp; "Level: HB - LI" &amp; CHAR(10) &amp; "Cost: $" &amp; 'Profit &amp; Loss'!O605 &amp; " per pax" &amp; CHAR(10) &amp; "Max " &amp; 'Profit &amp; Loss'!I605*6 &amp; " pax," &amp; " (" &amp; 'Profit &amp; Loss'!I605 &amp; " courts)" &amp; CHAR(10) &amp; CHAR(10) &amp; "RSL Ultimate shuttles provided" &amp; CHAR(10) &amp; CHAR(10) &amp; "PM if interested, thank you!"," ")</f>
        <v xml:space="preserve"> </v>
      </c>
      <c r="B602" s="2" t="str">
        <f ca="1">IF('Profit &amp; Loss'!A605&gt;=TODAY(), "Date: " &amp; TEXT('Profit &amp; Loss'!A605,"dd mmm yyy") &amp; ", " &amp; 'Profit &amp; Loss'!B605 &amp; CHAR(10) &amp; "Time: " &amp; TEXT('Profit &amp; Loss'!C605, "hh:mm AM/PM") &amp; " - " &amp; TEXT('Profit &amp; Loss'!D605, "hh:mm AM/PM") &amp; CHAR(10) &amp; "Venue: " &amp; 'Profit &amp; Loss'!E605 &amp; CHAR(10) &amp; "Court No.: " &amp; 'Profit &amp; Loss'!F605 &amp; CHAR(10) &amp; "Level: HB - LI" &amp; CHAR(10) &amp; "Please transfer $" &amp; 'Profit &amp; Loss'!O605 &amp; " per pax to Belle (83396501)" &amp; CHAR(10) &amp; CHAR(10) &amp; IF('Profit &amp; Loss'!I605=1, "1." &amp; CHAR(10) &amp; "2." &amp; CHAR(10) &amp; "3." &amp; CHAR(10) &amp; "4." &amp; CHAR(10) &amp; "5." &amp; CHAR(10) &amp; "6." &amp; CHAR(10), IF('Profit &amp; Loss'!I605=2,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3" spans="1:2" ht="12.5" x14ac:dyDescent="0.25">
      <c r="A603" s="2" t="str">
        <f ca="1">IF('Profit &amp; Loss'!A606&gt;=TODAY(),"Looking for friendly players to join the following game: " &amp; CHAR(10) &amp; CHAR(10) &amp; "Date: " &amp; TEXT('Profit &amp; Loss'!A606,"dd mmm yyy") &amp; ", " &amp; 'Profit &amp; Loss'!B606 &amp; CHAR(10) &amp; "Time: " &amp; TEXT('Profit &amp; Loss'!C606, "hh:mm AM/PM") &amp; " - " &amp; TEXT('Profit &amp; Loss'!D606, "hh:mm AM/PM") &amp; CHAR(10) &amp; "Venue: " &amp; 'Profit &amp; Loss'!E606 &amp; CHAR(10) &amp; "Level: HB - LI" &amp; CHAR(10) &amp; "Cost: $" &amp; 'Profit &amp; Loss'!O606 &amp; " per pax" &amp; CHAR(10) &amp; "Max " &amp; 'Profit &amp; Loss'!I606*6 &amp; " pax," &amp; " (" &amp; 'Profit &amp; Loss'!I606 &amp; " courts)" &amp; CHAR(10) &amp; CHAR(10) &amp; "RSL Ultimate shuttles provided" &amp; CHAR(10) &amp; CHAR(10) &amp; "PM if interested, thank you!"," ")</f>
        <v xml:space="preserve"> </v>
      </c>
      <c r="B603" s="2" t="str">
        <f ca="1">IF('Profit &amp; Loss'!A606&gt;=TODAY(), "Date: " &amp; TEXT('Profit &amp; Loss'!A606,"dd mmm yyy") &amp; ", " &amp; 'Profit &amp; Loss'!B606 &amp; CHAR(10) &amp; "Time: " &amp; TEXT('Profit &amp; Loss'!C606, "hh:mm AM/PM") &amp; " - " &amp; TEXT('Profit &amp; Loss'!D606, "hh:mm AM/PM") &amp; CHAR(10) &amp; "Venue: " &amp; 'Profit &amp; Loss'!E606 &amp; CHAR(10) &amp; "Court No.: " &amp; 'Profit &amp; Loss'!F606 &amp; CHAR(10) &amp; "Level: HB - LI" &amp; CHAR(10) &amp; "Please transfer $" &amp; 'Profit &amp; Loss'!O606 &amp; " per pax to Belle (83396501)" &amp; CHAR(10) &amp; CHAR(10) &amp; IF('Profit &amp; Loss'!I606=1, "1." &amp; CHAR(10) &amp; "2." &amp; CHAR(10) &amp; "3." &amp; CHAR(10) &amp; "4." &amp; CHAR(10) &amp; "5." &amp; CHAR(10) &amp; "6." &amp; CHAR(10), IF('Profit &amp; Loss'!I606=2,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4" spans="1:2" ht="12.5" x14ac:dyDescent="0.25">
      <c r="A604" s="2" t="str">
        <f ca="1">IF('Profit &amp; Loss'!A607&gt;=TODAY(),"Looking for friendly players to join the following game: " &amp; CHAR(10) &amp; CHAR(10) &amp; "Date: " &amp; TEXT('Profit &amp; Loss'!A607,"dd mmm yyy") &amp; ", " &amp; 'Profit &amp; Loss'!B607 &amp; CHAR(10) &amp; "Time: " &amp; TEXT('Profit &amp; Loss'!C607, "hh:mm AM/PM") &amp; " - " &amp; TEXT('Profit &amp; Loss'!D607, "hh:mm AM/PM") &amp; CHAR(10) &amp; "Venue: " &amp; 'Profit &amp; Loss'!E607 &amp; CHAR(10) &amp; "Level: HB - LI" &amp; CHAR(10) &amp; "Cost: $" &amp; 'Profit &amp; Loss'!O607 &amp; " per pax" &amp; CHAR(10) &amp; "Max " &amp; 'Profit &amp; Loss'!I607*6 &amp; " pax," &amp; " (" &amp; 'Profit &amp; Loss'!I607 &amp; " courts)" &amp; CHAR(10) &amp; CHAR(10) &amp; "RSL Ultimate shuttles provided" &amp; CHAR(10) &amp; CHAR(10) &amp; "PM if interested, thank you!"," ")</f>
        <v xml:space="preserve"> </v>
      </c>
      <c r="B604" s="2" t="str">
        <f ca="1">IF('Profit &amp; Loss'!A607&gt;=TODAY(), "Date: " &amp; TEXT('Profit &amp; Loss'!A607,"dd mmm yyy") &amp; ", " &amp; 'Profit &amp; Loss'!B607 &amp; CHAR(10) &amp; "Time: " &amp; TEXT('Profit &amp; Loss'!C607, "hh:mm AM/PM") &amp; " - " &amp; TEXT('Profit &amp; Loss'!D607, "hh:mm AM/PM") &amp; CHAR(10) &amp; "Venue: " &amp; 'Profit &amp; Loss'!E607 &amp; CHAR(10) &amp; "Court No.: " &amp; 'Profit &amp; Loss'!F607 &amp; CHAR(10) &amp; "Level: HB - LI" &amp; CHAR(10) &amp; "Please transfer $" &amp; 'Profit &amp; Loss'!O607 &amp; " per pax to Belle (83396501)" &amp; CHAR(10) &amp; CHAR(10) &amp; IF('Profit &amp; Loss'!I607=1, "1." &amp; CHAR(10) &amp; "2." &amp; CHAR(10) &amp; "3." &amp; CHAR(10) &amp; "4." &amp; CHAR(10) &amp; "5." &amp; CHAR(10) &amp; "6." &amp; CHAR(10), IF('Profit &amp; Loss'!I607=2,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5" spans="1:2" ht="12.5" x14ac:dyDescent="0.25">
      <c r="A605" s="2" t="str">
        <f ca="1">IF('Profit &amp; Loss'!A608&gt;=TODAY(),"Looking for friendly players to join the following game: " &amp; CHAR(10) &amp; CHAR(10) &amp; "Date: " &amp; TEXT('Profit &amp; Loss'!A608,"dd mmm yyy") &amp; ", " &amp; 'Profit &amp; Loss'!B608 &amp; CHAR(10) &amp; "Time: " &amp; TEXT('Profit &amp; Loss'!C608, "hh:mm AM/PM") &amp; " - " &amp; TEXT('Profit &amp; Loss'!D608, "hh:mm AM/PM") &amp; CHAR(10) &amp; "Venue: " &amp; 'Profit &amp; Loss'!E608 &amp; CHAR(10) &amp; "Level: HB - LI" &amp; CHAR(10) &amp; "Cost: $" &amp; 'Profit &amp; Loss'!O608 &amp; " per pax" &amp; CHAR(10) &amp; "Max " &amp; 'Profit &amp; Loss'!I608*6 &amp; " pax," &amp; " (" &amp; 'Profit &amp; Loss'!I608 &amp; " courts)" &amp; CHAR(10) &amp; CHAR(10) &amp; "RSL Ultimate shuttles provided" &amp; CHAR(10) &amp; CHAR(10) &amp; "PM if interested, thank you!"," ")</f>
        <v xml:space="preserve"> </v>
      </c>
      <c r="B605" s="2" t="str">
        <f ca="1">IF('Profit &amp; Loss'!A608&gt;=TODAY(), "Date: " &amp; TEXT('Profit &amp; Loss'!A608,"dd mmm yyy") &amp; ", " &amp; 'Profit &amp; Loss'!B608 &amp; CHAR(10) &amp; "Time: " &amp; TEXT('Profit &amp; Loss'!C608, "hh:mm AM/PM") &amp; " - " &amp; TEXT('Profit &amp; Loss'!D608, "hh:mm AM/PM") &amp; CHAR(10) &amp; "Venue: " &amp; 'Profit &amp; Loss'!E608 &amp; CHAR(10) &amp; "Court No.: " &amp; 'Profit &amp; Loss'!F608 &amp; CHAR(10) &amp; "Level: HB - LI" &amp; CHAR(10) &amp; "Please transfer $" &amp; 'Profit &amp; Loss'!O608 &amp; " per pax to Belle (83396501)" &amp; CHAR(10) &amp; CHAR(10) &amp; IF('Profit &amp; Loss'!I608=1, "1." &amp; CHAR(10) &amp; "2." &amp; CHAR(10) &amp; "3." &amp; CHAR(10) &amp; "4." &amp; CHAR(10) &amp; "5." &amp; CHAR(10) &amp; "6." &amp; CHAR(10), IF('Profit &amp; Loss'!I608=2,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6" spans="1:2" ht="12.5" x14ac:dyDescent="0.25">
      <c r="A606" s="2" t="str">
        <f ca="1">IF('Profit &amp; Loss'!A609&gt;=TODAY(),"Looking for friendly players to join the following game: " &amp; CHAR(10) &amp; CHAR(10) &amp; "Date: " &amp; TEXT('Profit &amp; Loss'!A609,"dd mmm yyy") &amp; ", " &amp; 'Profit &amp; Loss'!B609 &amp; CHAR(10) &amp; "Time: " &amp; TEXT('Profit &amp; Loss'!C609, "hh:mm AM/PM") &amp; " - " &amp; TEXT('Profit &amp; Loss'!D609, "hh:mm AM/PM") &amp; CHAR(10) &amp; "Venue: " &amp; 'Profit &amp; Loss'!E609 &amp; CHAR(10) &amp; "Level: HB - LI" &amp; CHAR(10) &amp; "Cost: $" &amp; 'Profit &amp; Loss'!O609 &amp; " per pax" &amp; CHAR(10) &amp; "Max " &amp; 'Profit &amp; Loss'!I609*6 &amp; " pax," &amp; " (" &amp; 'Profit &amp; Loss'!I609 &amp; " courts)" &amp; CHAR(10) &amp; CHAR(10) &amp; "RSL Ultimate shuttles provided" &amp; CHAR(10) &amp; CHAR(10) &amp; "PM if interested, thank you!"," ")</f>
        <v xml:space="preserve"> </v>
      </c>
      <c r="B606" s="2" t="str">
        <f ca="1">IF('Profit &amp; Loss'!A609&gt;=TODAY(), "Date: " &amp; TEXT('Profit &amp; Loss'!A609,"dd mmm yyy") &amp; ", " &amp; 'Profit &amp; Loss'!B609 &amp; CHAR(10) &amp; "Time: " &amp; TEXT('Profit &amp; Loss'!C609, "hh:mm AM/PM") &amp; " - " &amp; TEXT('Profit &amp; Loss'!D609, "hh:mm AM/PM") &amp; CHAR(10) &amp; "Venue: " &amp; 'Profit &amp; Loss'!E609 &amp; CHAR(10) &amp; "Court No.: " &amp; 'Profit &amp; Loss'!F609 &amp; CHAR(10) &amp; "Level: HB - LI" &amp; CHAR(10) &amp; "Please transfer $" &amp; 'Profit &amp; Loss'!O609 &amp; " per pax to Belle (83396501)" &amp; CHAR(10) &amp; CHAR(10) &amp; IF('Profit &amp; Loss'!I609=1, "1." &amp; CHAR(10) &amp; "2." &amp; CHAR(10) &amp; "3." &amp; CHAR(10) &amp; "4." &amp; CHAR(10) &amp; "5." &amp; CHAR(10) &amp; "6." &amp; CHAR(10), IF('Profit &amp; Loss'!I609=2,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7" spans="1:2" ht="12.5" x14ac:dyDescent="0.25">
      <c r="A607" s="2" t="str">
        <f ca="1">IF('Profit &amp; Loss'!A610&gt;=TODAY(),"Looking for friendly players to join the following game: " &amp; CHAR(10) &amp; CHAR(10) &amp; "Date: " &amp; TEXT('Profit &amp; Loss'!A610,"dd mmm yyy") &amp; ", " &amp; 'Profit &amp; Loss'!B610 &amp; CHAR(10) &amp; "Time: " &amp; TEXT('Profit &amp; Loss'!C610, "hh:mm AM/PM") &amp; " - " &amp; TEXT('Profit &amp; Loss'!D610, "hh:mm AM/PM") &amp; CHAR(10) &amp; "Venue: " &amp; 'Profit &amp; Loss'!E610 &amp; CHAR(10) &amp; "Level: HB - LI" &amp; CHAR(10) &amp; "Cost: $" &amp; 'Profit &amp; Loss'!O610 &amp; " per pax" &amp; CHAR(10) &amp; "Max " &amp; 'Profit &amp; Loss'!I610*6 &amp; " pax," &amp; " (" &amp; 'Profit &amp; Loss'!I610 &amp; " courts)" &amp; CHAR(10) &amp; CHAR(10) &amp; "RSL Ultimate shuttles provided" &amp; CHAR(10) &amp; CHAR(10) &amp; "PM if interested, thank you!"," ")</f>
        <v xml:space="preserve"> </v>
      </c>
      <c r="B607" s="2" t="str">
        <f ca="1">IF('Profit &amp; Loss'!A610&gt;=TODAY(), "Date: " &amp; TEXT('Profit &amp; Loss'!A610,"dd mmm yyy") &amp; ", " &amp; 'Profit &amp; Loss'!B610 &amp; CHAR(10) &amp; "Time: " &amp; TEXT('Profit &amp; Loss'!C610, "hh:mm AM/PM") &amp; " - " &amp; TEXT('Profit &amp; Loss'!D610, "hh:mm AM/PM") &amp; CHAR(10) &amp; "Venue: " &amp; 'Profit &amp; Loss'!E610 &amp; CHAR(10) &amp; "Court No.: " &amp; 'Profit &amp; Loss'!F610 &amp; CHAR(10) &amp; "Level: HB - LI" &amp; CHAR(10) &amp; "Please transfer $" &amp; 'Profit &amp; Loss'!O610 &amp; " per pax to Belle (83396501)" &amp; CHAR(10) &amp; CHAR(10) &amp; IF('Profit &amp; Loss'!I610=1, "1." &amp; CHAR(10) &amp; "2." &amp; CHAR(10) &amp; "3." &amp; CHAR(10) &amp; "4." &amp; CHAR(10) &amp; "5." &amp; CHAR(10) &amp; "6." &amp; CHAR(10), IF('Profit &amp; Loss'!I610=2,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8" spans="1:2" ht="12.5" x14ac:dyDescent="0.25">
      <c r="A608" s="2" t="str">
        <f ca="1">IF('Profit &amp; Loss'!A611&gt;=TODAY(),"Looking for friendly players to join the following game: " &amp; CHAR(10) &amp; CHAR(10) &amp; "Date: " &amp; TEXT('Profit &amp; Loss'!A611,"dd mmm yyy") &amp; ", " &amp; 'Profit &amp; Loss'!B611 &amp; CHAR(10) &amp; "Time: " &amp; TEXT('Profit &amp; Loss'!C611, "hh:mm AM/PM") &amp; " - " &amp; TEXT('Profit &amp; Loss'!D611, "hh:mm AM/PM") &amp; CHAR(10) &amp; "Venue: " &amp; 'Profit &amp; Loss'!E611 &amp; CHAR(10) &amp; "Level: HB - LI" &amp; CHAR(10) &amp; "Cost: $" &amp; 'Profit &amp; Loss'!O611 &amp; " per pax" &amp; CHAR(10) &amp; "Max " &amp; 'Profit &amp; Loss'!I611*6 &amp; " pax," &amp; " (" &amp; 'Profit &amp; Loss'!I611 &amp; " courts)" &amp; CHAR(10) &amp; CHAR(10) &amp; "RSL Ultimate shuttles provided" &amp; CHAR(10) &amp; CHAR(10) &amp; "PM if interested, thank you!"," ")</f>
        <v xml:space="preserve"> </v>
      </c>
      <c r="B608" s="2" t="str">
        <f ca="1">IF('Profit &amp; Loss'!A611&gt;=TODAY(), "Date: " &amp; TEXT('Profit &amp; Loss'!A611,"dd mmm yyy") &amp; ", " &amp; 'Profit &amp; Loss'!B611 &amp; CHAR(10) &amp; "Time: " &amp; TEXT('Profit &amp; Loss'!C611, "hh:mm AM/PM") &amp; " - " &amp; TEXT('Profit &amp; Loss'!D611, "hh:mm AM/PM") &amp; CHAR(10) &amp; "Venue: " &amp; 'Profit &amp; Loss'!E611 &amp; CHAR(10) &amp; "Court No.: " &amp; 'Profit &amp; Loss'!F611 &amp; CHAR(10) &amp; "Level: HB - LI" &amp; CHAR(10) &amp; "Please transfer $" &amp; 'Profit &amp; Loss'!O611 &amp; " per pax to Belle (83396501)" &amp; CHAR(10) &amp; CHAR(10) &amp; IF('Profit &amp; Loss'!I611=1, "1." &amp; CHAR(10) &amp; "2." &amp; CHAR(10) &amp; "3." &amp; CHAR(10) &amp; "4." &amp; CHAR(10) &amp; "5." &amp; CHAR(10) &amp; "6." &amp; CHAR(10), IF('Profit &amp; Loss'!I611=2,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09" spans="1:2" ht="12.5" x14ac:dyDescent="0.25">
      <c r="A609" s="2" t="str">
        <f ca="1">IF('Profit &amp; Loss'!A612&gt;=TODAY(),"Looking for friendly players to join the following game: " &amp; CHAR(10) &amp; CHAR(10) &amp; "Date: " &amp; TEXT('Profit &amp; Loss'!A612,"dd mmm yyy") &amp; ", " &amp; 'Profit &amp; Loss'!B612 &amp; CHAR(10) &amp; "Time: " &amp; TEXT('Profit &amp; Loss'!C612, "hh:mm AM/PM") &amp; " - " &amp; TEXT('Profit &amp; Loss'!D612, "hh:mm AM/PM") &amp; CHAR(10) &amp; "Venue: " &amp; 'Profit &amp; Loss'!E612 &amp; CHAR(10) &amp; "Level: HB - LI" &amp; CHAR(10) &amp; "Cost: $" &amp; 'Profit &amp; Loss'!O612 &amp; " per pax" &amp; CHAR(10) &amp; "Max " &amp; 'Profit &amp; Loss'!I612*6 &amp; " pax," &amp; " (" &amp; 'Profit &amp; Loss'!I612 &amp; " courts)" &amp; CHAR(10) &amp; CHAR(10) &amp; "RSL Ultimate shuttles provided" &amp; CHAR(10) &amp; CHAR(10) &amp; "PM if interested, thank you!"," ")</f>
        <v xml:space="preserve"> </v>
      </c>
      <c r="B609" s="2" t="str">
        <f ca="1">IF('Profit &amp; Loss'!A612&gt;=TODAY(), "Date: " &amp; TEXT('Profit &amp; Loss'!A612,"dd mmm yyy") &amp; ", " &amp; 'Profit &amp; Loss'!B612 &amp; CHAR(10) &amp; "Time: " &amp; TEXT('Profit &amp; Loss'!C612, "hh:mm AM/PM") &amp; " - " &amp; TEXT('Profit &amp; Loss'!D612, "hh:mm AM/PM") &amp; CHAR(10) &amp; "Venue: " &amp; 'Profit &amp; Loss'!E612 &amp; CHAR(10) &amp; "Court No.: " &amp; 'Profit &amp; Loss'!F612 &amp; CHAR(10) &amp; "Level: HB - LI" &amp; CHAR(10) &amp; "Please transfer $" &amp; 'Profit &amp; Loss'!O612 &amp; " per pax to Belle (83396501)" &amp; CHAR(10) &amp; CHAR(10) &amp; IF('Profit &amp; Loss'!I612=1, "1." &amp; CHAR(10) &amp; "2." &amp; CHAR(10) &amp; "3." &amp; CHAR(10) &amp; "4." &amp; CHAR(10) &amp; "5." &amp; CHAR(10) &amp; "6." &amp; CHAR(10), IF('Profit &amp; Loss'!I612=2,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0" spans="1:2" ht="12.5" x14ac:dyDescent="0.25">
      <c r="A610" s="2" t="str">
        <f ca="1">IF('Profit &amp; Loss'!A613&gt;=TODAY(),"Looking for friendly players to join the following game: " &amp; CHAR(10) &amp; CHAR(10) &amp; "Date: " &amp; TEXT('Profit &amp; Loss'!A613,"dd mmm yyy") &amp; ", " &amp; 'Profit &amp; Loss'!B613 &amp; CHAR(10) &amp; "Time: " &amp; TEXT('Profit &amp; Loss'!C613, "hh:mm AM/PM") &amp; " - " &amp; TEXT('Profit &amp; Loss'!D613, "hh:mm AM/PM") &amp; CHAR(10) &amp; "Venue: " &amp; 'Profit &amp; Loss'!E613 &amp; CHAR(10) &amp; "Level: HB - LI" &amp; CHAR(10) &amp; "Cost: $" &amp; 'Profit &amp; Loss'!O613 &amp; " per pax" &amp; CHAR(10) &amp; "Max " &amp; 'Profit &amp; Loss'!I613*6 &amp; " pax," &amp; " (" &amp; 'Profit &amp; Loss'!I613 &amp; " courts)" &amp; CHAR(10) &amp; CHAR(10) &amp; "RSL Ultimate shuttles provided" &amp; CHAR(10) &amp; CHAR(10) &amp; "PM if interested, thank you!"," ")</f>
        <v xml:space="preserve"> </v>
      </c>
      <c r="B610" s="2" t="str">
        <f ca="1">IF('Profit &amp; Loss'!A613&gt;=TODAY(), "Date: " &amp; TEXT('Profit &amp; Loss'!A613,"dd mmm yyy") &amp; ", " &amp; 'Profit &amp; Loss'!B613 &amp; CHAR(10) &amp; "Time: " &amp; TEXT('Profit &amp; Loss'!C613, "hh:mm AM/PM") &amp; " - " &amp; TEXT('Profit &amp; Loss'!D613, "hh:mm AM/PM") &amp; CHAR(10) &amp; "Venue: " &amp; 'Profit &amp; Loss'!E613 &amp; CHAR(10) &amp; "Court No.: " &amp; 'Profit &amp; Loss'!F613 &amp; CHAR(10) &amp; "Level: HB - LI" &amp; CHAR(10) &amp; "Please transfer $" &amp; 'Profit &amp; Loss'!O613 &amp; " per pax to Belle (83396501)" &amp; CHAR(10) &amp; CHAR(10) &amp; IF('Profit &amp; Loss'!I613=1, "1." &amp; CHAR(10) &amp; "2." &amp; CHAR(10) &amp; "3." &amp; CHAR(10) &amp; "4." &amp; CHAR(10) &amp; "5." &amp; CHAR(10) &amp; "6." &amp; CHAR(10), IF('Profit &amp; Loss'!I613=2,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1" spans="1:2" ht="12.5" x14ac:dyDescent="0.25">
      <c r="A611" s="2" t="str">
        <f ca="1">IF('Profit &amp; Loss'!A614&gt;=TODAY(),"Looking for friendly players to join the following game: " &amp; CHAR(10) &amp; CHAR(10) &amp; "Date: " &amp; TEXT('Profit &amp; Loss'!A614,"dd mmm yyy") &amp; ", " &amp; 'Profit &amp; Loss'!B614 &amp; CHAR(10) &amp; "Time: " &amp; TEXT('Profit &amp; Loss'!C614, "hh:mm AM/PM") &amp; " - " &amp; TEXT('Profit &amp; Loss'!D614, "hh:mm AM/PM") &amp; CHAR(10) &amp; "Venue: " &amp; 'Profit &amp; Loss'!E614 &amp; CHAR(10) &amp; "Level: HB - LI" &amp; CHAR(10) &amp; "Cost: $" &amp; 'Profit &amp; Loss'!O614 &amp; " per pax" &amp; CHAR(10) &amp; "Max " &amp; 'Profit &amp; Loss'!I614*6 &amp; " pax," &amp; " (" &amp; 'Profit &amp; Loss'!I614 &amp; " courts)" &amp; CHAR(10) &amp; CHAR(10) &amp; "RSL Ultimate shuttles provided" &amp; CHAR(10) &amp; CHAR(10) &amp; "PM if interested, thank you!"," ")</f>
        <v xml:space="preserve"> </v>
      </c>
      <c r="B611" s="2" t="str">
        <f ca="1">IF('Profit &amp; Loss'!A614&gt;=TODAY(), "Date: " &amp; TEXT('Profit &amp; Loss'!A614,"dd mmm yyy") &amp; ", " &amp; 'Profit &amp; Loss'!B614 &amp; CHAR(10) &amp; "Time: " &amp; TEXT('Profit &amp; Loss'!C614, "hh:mm AM/PM") &amp; " - " &amp; TEXT('Profit &amp; Loss'!D614, "hh:mm AM/PM") &amp; CHAR(10) &amp; "Venue: " &amp; 'Profit &amp; Loss'!E614 &amp; CHAR(10) &amp; "Court No.: " &amp; 'Profit &amp; Loss'!F614 &amp; CHAR(10) &amp; "Level: HB - LI" &amp; CHAR(10) &amp; "Please transfer $" &amp; 'Profit &amp; Loss'!O614 &amp; " per pax to Belle (83396501)" &amp; CHAR(10) &amp; CHAR(10) &amp; IF('Profit &amp; Loss'!I614=1, "1." &amp; CHAR(10) &amp; "2." &amp; CHAR(10) &amp; "3." &amp; CHAR(10) &amp; "4." &amp; CHAR(10) &amp; "5." &amp; CHAR(10) &amp; "6." &amp; CHAR(10), IF('Profit &amp; Loss'!I614=2,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2" spans="1:2" ht="12.5" x14ac:dyDescent="0.25">
      <c r="A612" s="2" t="str">
        <f ca="1">IF('Profit &amp; Loss'!A615&gt;=TODAY(),"Looking for friendly players to join the following game: " &amp; CHAR(10) &amp; CHAR(10) &amp; "Date: " &amp; TEXT('Profit &amp; Loss'!A615,"dd mmm yyy") &amp; ", " &amp; 'Profit &amp; Loss'!B615 &amp; CHAR(10) &amp; "Time: " &amp; TEXT('Profit &amp; Loss'!C615, "hh:mm AM/PM") &amp; " - " &amp; TEXT('Profit &amp; Loss'!D615, "hh:mm AM/PM") &amp; CHAR(10) &amp; "Venue: " &amp; 'Profit &amp; Loss'!E615 &amp; CHAR(10) &amp; "Level: HB - LI" &amp; CHAR(10) &amp; "Cost: $" &amp; 'Profit &amp; Loss'!O615 &amp; " per pax" &amp; CHAR(10) &amp; "Max " &amp; 'Profit &amp; Loss'!I615*6 &amp; " pax," &amp; " (" &amp; 'Profit &amp; Loss'!I615 &amp; " courts)" &amp; CHAR(10) &amp; CHAR(10) &amp; "RSL Ultimate shuttles provided" &amp; CHAR(10) &amp; CHAR(10) &amp; "PM if interested, thank you!"," ")</f>
        <v xml:space="preserve"> </v>
      </c>
      <c r="B612" s="2" t="str">
        <f ca="1">IF('Profit &amp; Loss'!A615&gt;=TODAY(), "Date: " &amp; TEXT('Profit &amp; Loss'!A615,"dd mmm yyy") &amp; ", " &amp; 'Profit &amp; Loss'!B615 &amp; CHAR(10) &amp; "Time: " &amp; TEXT('Profit &amp; Loss'!C615, "hh:mm AM/PM") &amp; " - " &amp; TEXT('Profit &amp; Loss'!D615, "hh:mm AM/PM") &amp; CHAR(10) &amp; "Venue: " &amp; 'Profit &amp; Loss'!E615 &amp; CHAR(10) &amp; "Court No.: " &amp; 'Profit &amp; Loss'!F615 &amp; CHAR(10) &amp; "Level: HB - LI" &amp; CHAR(10) &amp; "Please transfer $" &amp; 'Profit &amp; Loss'!O615 &amp; " per pax to Belle (83396501)" &amp; CHAR(10) &amp; CHAR(10) &amp; IF('Profit &amp; Loss'!I615=1, "1." &amp; CHAR(10) &amp; "2." &amp; CHAR(10) &amp; "3." &amp; CHAR(10) &amp; "4." &amp; CHAR(10) &amp; "5." &amp; CHAR(10) &amp; "6." &amp; CHAR(10), IF('Profit &amp; Loss'!I615=2,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3" spans="1:2" ht="12.5" x14ac:dyDescent="0.25">
      <c r="A613" s="2" t="str">
        <f ca="1">IF('Profit &amp; Loss'!A616&gt;=TODAY(),"Looking for friendly players to join the following game: " &amp; CHAR(10) &amp; CHAR(10) &amp; "Date: " &amp; TEXT('Profit &amp; Loss'!A616,"dd mmm yyy") &amp; ", " &amp; 'Profit &amp; Loss'!B616 &amp; CHAR(10) &amp; "Time: " &amp; TEXT('Profit &amp; Loss'!C616, "hh:mm AM/PM") &amp; " - " &amp; TEXT('Profit &amp; Loss'!D616, "hh:mm AM/PM") &amp; CHAR(10) &amp; "Venue: " &amp; 'Profit &amp; Loss'!E616 &amp; CHAR(10) &amp; "Level: HB - LI" &amp; CHAR(10) &amp; "Cost: $" &amp; 'Profit &amp; Loss'!O616 &amp; " per pax" &amp; CHAR(10) &amp; "Max " &amp; 'Profit &amp; Loss'!I616*6 &amp; " pax," &amp; " (" &amp; 'Profit &amp; Loss'!I616 &amp; " courts)" &amp; CHAR(10) &amp; CHAR(10) &amp; "RSL Ultimate shuttles provided" &amp; CHAR(10) &amp; CHAR(10) &amp; "PM if interested, thank you!"," ")</f>
        <v xml:space="preserve"> </v>
      </c>
      <c r="B613" s="2" t="str">
        <f ca="1">IF('Profit &amp; Loss'!A616&gt;=TODAY(), "Date: " &amp; TEXT('Profit &amp; Loss'!A616,"dd mmm yyy") &amp; ", " &amp; 'Profit &amp; Loss'!B616 &amp; CHAR(10) &amp; "Time: " &amp; TEXT('Profit &amp; Loss'!C616, "hh:mm AM/PM") &amp; " - " &amp; TEXT('Profit &amp; Loss'!D616, "hh:mm AM/PM") &amp; CHAR(10) &amp; "Venue: " &amp; 'Profit &amp; Loss'!E616 &amp; CHAR(10) &amp; "Court No.: " &amp; 'Profit &amp; Loss'!F616 &amp; CHAR(10) &amp; "Level: HB - LI" &amp; CHAR(10) &amp; "Please transfer $" &amp; 'Profit &amp; Loss'!O616 &amp; " per pax to Belle (83396501)" &amp; CHAR(10) &amp; CHAR(10) &amp; IF('Profit &amp; Loss'!I616=1, "1." &amp; CHAR(10) &amp; "2." &amp; CHAR(10) &amp; "3." &amp; CHAR(10) &amp; "4." &amp; CHAR(10) &amp; "5." &amp; CHAR(10) &amp; "6." &amp; CHAR(10), IF('Profit &amp; Loss'!I616=2,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4" spans="1:2" ht="12.5" x14ac:dyDescent="0.25">
      <c r="A614" s="2" t="str">
        <f ca="1">IF('Profit &amp; Loss'!A617&gt;=TODAY(),"Looking for friendly players to join the following game: " &amp; CHAR(10) &amp; CHAR(10) &amp; "Date: " &amp; TEXT('Profit &amp; Loss'!A617,"dd mmm yyy") &amp; ", " &amp; 'Profit &amp; Loss'!B617 &amp; CHAR(10) &amp; "Time: " &amp; TEXT('Profit &amp; Loss'!C617, "hh:mm AM/PM") &amp; " - " &amp; TEXT('Profit &amp; Loss'!D617, "hh:mm AM/PM") &amp; CHAR(10) &amp; "Venue: " &amp; 'Profit &amp; Loss'!E617 &amp; CHAR(10) &amp; "Level: HB - LI" &amp; CHAR(10) &amp; "Cost: $" &amp; 'Profit &amp; Loss'!O617 &amp; " per pax" &amp; CHAR(10) &amp; "Max " &amp; 'Profit &amp; Loss'!I617*6 &amp; " pax," &amp; " (" &amp; 'Profit &amp; Loss'!I617 &amp; " courts)" &amp; CHAR(10) &amp; CHAR(10) &amp; "RSL Ultimate shuttles provided" &amp; CHAR(10) &amp; CHAR(10) &amp; "PM if interested, thank you!"," ")</f>
        <v xml:space="preserve"> </v>
      </c>
      <c r="B614" s="2" t="str">
        <f ca="1">IF('Profit &amp; Loss'!A617&gt;=TODAY(), "Date: " &amp; TEXT('Profit &amp; Loss'!A617,"dd mmm yyy") &amp; ", " &amp; 'Profit &amp; Loss'!B617 &amp; CHAR(10) &amp; "Time: " &amp; TEXT('Profit &amp; Loss'!C617, "hh:mm AM/PM") &amp; " - " &amp; TEXT('Profit &amp; Loss'!D617, "hh:mm AM/PM") &amp; CHAR(10) &amp; "Venue: " &amp; 'Profit &amp; Loss'!E617 &amp; CHAR(10) &amp; "Court No.: " &amp; 'Profit &amp; Loss'!F617 &amp; CHAR(10) &amp; "Level: HB - LI" &amp; CHAR(10) &amp; "Please transfer $" &amp; 'Profit &amp; Loss'!O617 &amp; " per pax to Belle (83396501)" &amp; CHAR(10) &amp; CHAR(10) &amp; IF('Profit &amp; Loss'!I617=1, "1." &amp; CHAR(10) &amp; "2." &amp; CHAR(10) &amp; "3." &amp; CHAR(10) &amp; "4." &amp; CHAR(10) &amp; "5." &amp; CHAR(10) &amp; "6." &amp; CHAR(10), IF('Profit &amp; Loss'!I617=2,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5" spans="1:2" ht="12.5" x14ac:dyDescent="0.25">
      <c r="A615" s="2" t="str">
        <f ca="1">IF('Profit &amp; Loss'!A618&gt;=TODAY(),"Looking for friendly players to join the following game: " &amp; CHAR(10) &amp; CHAR(10) &amp; "Date: " &amp; TEXT('Profit &amp; Loss'!A618,"dd mmm yyy") &amp; ", " &amp; 'Profit &amp; Loss'!B618 &amp; CHAR(10) &amp; "Time: " &amp; TEXT('Profit &amp; Loss'!C618, "hh:mm AM/PM") &amp; " - " &amp; TEXT('Profit &amp; Loss'!D618, "hh:mm AM/PM") &amp; CHAR(10) &amp; "Venue: " &amp; 'Profit &amp; Loss'!E618 &amp; CHAR(10) &amp; "Level: HB - LI" &amp; CHAR(10) &amp; "Cost: $" &amp; 'Profit &amp; Loss'!O618 &amp; " per pax" &amp; CHAR(10) &amp; "Max " &amp; 'Profit &amp; Loss'!I618*6 &amp; " pax," &amp; " (" &amp; 'Profit &amp; Loss'!I618 &amp; " courts)" &amp; CHAR(10) &amp; CHAR(10) &amp; "RSL Ultimate shuttles provided" &amp; CHAR(10) &amp; CHAR(10) &amp; "PM if interested, thank you!"," ")</f>
        <v xml:space="preserve"> </v>
      </c>
      <c r="B615" s="2" t="str">
        <f ca="1">IF('Profit &amp; Loss'!A618&gt;=TODAY(), "Date: " &amp; TEXT('Profit &amp; Loss'!A618,"dd mmm yyy") &amp; ", " &amp; 'Profit &amp; Loss'!B618 &amp; CHAR(10) &amp; "Time: " &amp; TEXT('Profit &amp; Loss'!C618, "hh:mm AM/PM") &amp; " - " &amp; TEXT('Profit &amp; Loss'!D618, "hh:mm AM/PM") &amp; CHAR(10) &amp; "Venue: " &amp; 'Profit &amp; Loss'!E618 &amp; CHAR(10) &amp; "Court No.: " &amp; 'Profit &amp; Loss'!F618 &amp; CHAR(10) &amp; "Level: HB - LI" &amp; CHAR(10) &amp; "Please transfer $" &amp; 'Profit &amp; Loss'!O618 &amp; " per pax to Belle (83396501)" &amp; CHAR(10) &amp; CHAR(10) &amp; IF('Profit &amp; Loss'!I618=1, "1." &amp; CHAR(10) &amp; "2." &amp; CHAR(10) &amp; "3." &amp; CHAR(10) &amp; "4." &amp; CHAR(10) &amp; "5." &amp; CHAR(10) &amp; "6." &amp; CHAR(10), IF('Profit &amp; Loss'!I618=2,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6" spans="1:2" ht="12.5" x14ac:dyDescent="0.25">
      <c r="A616" s="2" t="str">
        <f ca="1">IF('Profit &amp; Loss'!A619&gt;=TODAY(),"Looking for friendly players to join the following game: " &amp; CHAR(10) &amp; CHAR(10) &amp; "Date: " &amp; TEXT('Profit &amp; Loss'!A619,"dd mmm yyy") &amp; ", " &amp; 'Profit &amp; Loss'!B619 &amp; CHAR(10) &amp; "Time: " &amp; TEXT('Profit &amp; Loss'!C619, "hh:mm AM/PM") &amp; " - " &amp; TEXT('Profit &amp; Loss'!D619, "hh:mm AM/PM") &amp; CHAR(10) &amp; "Venue: " &amp; 'Profit &amp; Loss'!E619 &amp; CHAR(10) &amp; "Level: HB - LI" &amp; CHAR(10) &amp; "Cost: $" &amp; 'Profit &amp; Loss'!O619 &amp; " per pax" &amp; CHAR(10) &amp; "Max " &amp; 'Profit &amp; Loss'!I619*6 &amp; " pax," &amp; " (" &amp; 'Profit &amp; Loss'!I619 &amp; " courts)" &amp; CHAR(10) &amp; CHAR(10) &amp; "RSL Ultimate shuttles provided" &amp; CHAR(10) &amp; CHAR(10) &amp; "PM if interested, thank you!"," ")</f>
        <v xml:space="preserve"> </v>
      </c>
      <c r="B616" s="2" t="str">
        <f ca="1">IF('Profit &amp; Loss'!A619&gt;=TODAY(), "Date: " &amp; TEXT('Profit &amp; Loss'!A619,"dd mmm yyy") &amp; ", " &amp; 'Profit &amp; Loss'!B619 &amp; CHAR(10) &amp; "Time: " &amp; TEXT('Profit &amp; Loss'!C619, "hh:mm AM/PM") &amp; " - " &amp; TEXT('Profit &amp; Loss'!D619, "hh:mm AM/PM") &amp; CHAR(10) &amp; "Venue: " &amp; 'Profit &amp; Loss'!E619 &amp; CHAR(10) &amp; "Court No.: " &amp; 'Profit &amp; Loss'!F619 &amp; CHAR(10) &amp; "Level: HB - LI" &amp; CHAR(10) &amp; "Please transfer $" &amp; 'Profit &amp; Loss'!O619 &amp; " per pax to Belle (83396501)" &amp; CHAR(10) &amp; CHAR(10) &amp; IF('Profit &amp; Loss'!I619=1, "1." &amp; CHAR(10) &amp; "2." &amp; CHAR(10) &amp; "3." &amp; CHAR(10) &amp; "4." &amp; CHAR(10) &amp; "5." &amp; CHAR(10) &amp; "6." &amp; CHAR(10), IF('Profit &amp; Loss'!I619=2,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7" spans="1:2" ht="12.5" x14ac:dyDescent="0.25">
      <c r="A617" s="2" t="str">
        <f ca="1">IF('Profit &amp; Loss'!A620&gt;=TODAY(),"Looking for friendly players to join the following game: " &amp; CHAR(10) &amp; CHAR(10) &amp; "Date: " &amp; TEXT('Profit &amp; Loss'!A620,"dd mmm yyy") &amp; ", " &amp; 'Profit &amp; Loss'!B620 &amp; CHAR(10) &amp; "Time: " &amp; TEXT('Profit &amp; Loss'!C620, "hh:mm AM/PM") &amp; " - " &amp; TEXT('Profit &amp; Loss'!D620, "hh:mm AM/PM") &amp; CHAR(10) &amp; "Venue: " &amp; 'Profit &amp; Loss'!E620 &amp; CHAR(10) &amp; "Level: HB - LI" &amp; CHAR(10) &amp; "Cost: $" &amp; 'Profit &amp; Loss'!O620 &amp; " per pax" &amp; CHAR(10) &amp; "Max " &amp; 'Profit &amp; Loss'!I620*6 &amp; " pax," &amp; " (" &amp; 'Profit &amp; Loss'!I620 &amp; " courts)" &amp; CHAR(10) &amp; CHAR(10) &amp; "RSL Ultimate shuttles provided" &amp; CHAR(10) &amp; CHAR(10) &amp; "PM if interested, thank you!"," ")</f>
        <v xml:space="preserve"> </v>
      </c>
      <c r="B617" s="2" t="str">
        <f ca="1">IF('Profit &amp; Loss'!A620&gt;=TODAY(), "Date: " &amp; TEXT('Profit &amp; Loss'!A620,"dd mmm yyy") &amp; ", " &amp; 'Profit &amp; Loss'!B620 &amp; CHAR(10) &amp; "Time: " &amp; TEXT('Profit &amp; Loss'!C620, "hh:mm AM/PM") &amp; " - " &amp; TEXT('Profit &amp; Loss'!D620, "hh:mm AM/PM") &amp; CHAR(10) &amp; "Venue: " &amp; 'Profit &amp; Loss'!E620 &amp; CHAR(10) &amp; "Court No.: " &amp; 'Profit &amp; Loss'!F620 &amp; CHAR(10) &amp; "Level: HB - LI" &amp; CHAR(10) &amp; "Please transfer $" &amp; 'Profit &amp; Loss'!O620 &amp; " per pax to Belle (83396501)" &amp; CHAR(10) &amp; CHAR(10) &amp; IF('Profit &amp; Loss'!I620=1, "1." &amp; CHAR(10) &amp; "2." &amp; CHAR(10) &amp; "3." &amp; CHAR(10) &amp; "4." &amp; CHAR(10) &amp; "5." &amp; CHAR(10) &amp; "6." &amp; CHAR(10), IF('Profit &amp; Loss'!I620=2,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8" spans="1:2" ht="12.5" x14ac:dyDescent="0.25">
      <c r="A618" s="2" t="str">
        <f ca="1">IF('Profit &amp; Loss'!A621&gt;=TODAY(),"Looking for friendly players to join the following game: " &amp; CHAR(10) &amp; CHAR(10) &amp; "Date: " &amp; TEXT('Profit &amp; Loss'!A621,"dd mmm yyy") &amp; ", " &amp; 'Profit &amp; Loss'!B621 &amp; CHAR(10) &amp; "Time: " &amp; TEXT('Profit &amp; Loss'!C621, "hh:mm AM/PM") &amp; " - " &amp; TEXT('Profit &amp; Loss'!D621, "hh:mm AM/PM") &amp; CHAR(10) &amp; "Venue: " &amp; 'Profit &amp; Loss'!E621 &amp; CHAR(10) &amp; "Level: HB - LI" &amp; CHAR(10) &amp; "Cost: $" &amp; 'Profit &amp; Loss'!O621 &amp; " per pax" &amp; CHAR(10) &amp; "Max " &amp; 'Profit &amp; Loss'!I621*6 &amp; " pax," &amp; " (" &amp; 'Profit &amp; Loss'!I621 &amp; " courts)" &amp; CHAR(10) &amp; CHAR(10) &amp; "RSL Ultimate shuttles provided" &amp; CHAR(10) &amp; CHAR(10) &amp; "PM if interested, thank you!"," ")</f>
        <v xml:space="preserve"> </v>
      </c>
      <c r="B618" s="2" t="str">
        <f ca="1">IF('Profit &amp; Loss'!A621&gt;=TODAY(), "Date: " &amp; TEXT('Profit &amp; Loss'!A621,"dd mmm yyy") &amp; ", " &amp; 'Profit &amp; Loss'!B621 &amp; CHAR(10) &amp; "Time: " &amp; TEXT('Profit &amp; Loss'!C621, "hh:mm AM/PM") &amp; " - " &amp; TEXT('Profit &amp; Loss'!D621, "hh:mm AM/PM") &amp; CHAR(10) &amp; "Venue: " &amp; 'Profit &amp; Loss'!E621 &amp; CHAR(10) &amp; "Court No.: " &amp; 'Profit &amp; Loss'!F621 &amp; CHAR(10) &amp; "Level: HB - LI" &amp; CHAR(10) &amp; "Please transfer $" &amp; 'Profit &amp; Loss'!O621 &amp; " per pax to Belle (83396501)" &amp; CHAR(10) &amp; CHAR(10) &amp; IF('Profit &amp; Loss'!I621=1, "1." &amp; CHAR(10) &amp; "2." &amp; CHAR(10) &amp; "3." &amp; CHAR(10) &amp; "4." &amp; CHAR(10) &amp; "5." &amp; CHAR(10) &amp; "6." &amp; CHAR(10), IF('Profit &amp; Loss'!I621=2,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19" spans="1:2" ht="12.5" x14ac:dyDescent="0.25">
      <c r="A619" s="2" t="str">
        <f ca="1">IF('Profit &amp; Loss'!A622&gt;=TODAY(),"Looking for friendly players to join the following game: " &amp; CHAR(10) &amp; CHAR(10) &amp; "Date: " &amp; TEXT('Profit &amp; Loss'!A622,"dd mmm yyy") &amp; ", " &amp; 'Profit &amp; Loss'!B622 &amp; CHAR(10) &amp; "Time: " &amp; TEXT('Profit &amp; Loss'!C622, "hh:mm AM/PM") &amp; " - " &amp; TEXT('Profit &amp; Loss'!D622, "hh:mm AM/PM") &amp; CHAR(10) &amp; "Venue: " &amp; 'Profit &amp; Loss'!E622 &amp; CHAR(10) &amp; "Level: HB - LI" &amp; CHAR(10) &amp; "Cost: $" &amp; 'Profit &amp; Loss'!O622 &amp; " per pax" &amp; CHAR(10) &amp; "Max " &amp; 'Profit &amp; Loss'!I622*6 &amp; " pax," &amp; " (" &amp; 'Profit &amp; Loss'!I622 &amp; " courts)" &amp; CHAR(10) &amp; CHAR(10) &amp; "RSL Ultimate shuttles provided" &amp; CHAR(10) &amp; CHAR(10) &amp; "PM if interested, thank you!"," ")</f>
        <v xml:space="preserve"> </v>
      </c>
      <c r="B619" s="2" t="str">
        <f ca="1">IF('Profit &amp; Loss'!A622&gt;=TODAY(), "Date: " &amp; TEXT('Profit &amp; Loss'!A622,"dd mmm yyy") &amp; ", " &amp; 'Profit &amp; Loss'!B622 &amp; CHAR(10) &amp; "Time: " &amp; TEXT('Profit &amp; Loss'!C622, "hh:mm AM/PM") &amp; " - " &amp; TEXT('Profit &amp; Loss'!D622, "hh:mm AM/PM") &amp; CHAR(10) &amp; "Venue: " &amp; 'Profit &amp; Loss'!E622 &amp; CHAR(10) &amp; "Court No.: " &amp; 'Profit &amp; Loss'!F622 &amp; CHAR(10) &amp; "Level: HB - LI" &amp; CHAR(10) &amp; "Please transfer $" &amp; 'Profit &amp; Loss'!O622 &amp; " per pax to Belle (83396501)" &amp; CHAR(10) &amp; CHAR(10) &amp; IF('Profit &amp; Loss'!I622=1, "1." &amp; CHAR(10) &amp; "2." &amp; CHAR(10) &amp; "3." &amp; CHAR(10) &amp; "4." &amp; CHAR(10) &amp; "5." &amp; CHAR(10) &amp; "6." &amp; CHAR(10), IF('Profit &amp; Loss'!I622=2,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0" spans="1:2" ht="12.5" x14ac:dyDescent="0.25">
      <c r="A620" s="2" t="str">
        <f ca="1">IF('Profit &amp; Loss'!A623&gt;=TODAY(),"Looking for friendly players to join the following game: " &amp; CHAR(10) &amp; CHAR(10) &amp; "Date: " &amp; TEXT('Profit &amp; Loss'!A623,"dd mmm yyy") &amp; ", " &amp; 'Profit &amp; Loss'!B623 &amp; CHAR(10) &amp; "Time: " &amp; TEXT('Profit &amp; Loss'!C623, "hh:mm AM/PM") &amp; " - " &amp; TEXT('Profit &amp; Loss'!D623, "hh:mm AM/PM") &amp; CHAR(10) &amp; "Venue: " &amp; 'Profit &amp; Loss'!E623 &amp; CHAR(10) &amp; "Level: HB - LI" &amp; CHAR(10) &amp; "Cost: $" &amp; 'Profit &amp; Loss'!O623 &amp; " per pax" &amp; CHAR(10) &amp; "Max " &amp; 'Profit &amp; Loss'!I623*6 &amp; " pax," &amp; " (" &amp; 'Profit &amp; Loss'!I623 &amp; " courts)" &amp; CHAR(10) &amp; CHAR(10) &amp; "RSL Ultimate shuttles provided" &amp; CHAR(10) &amp; CHAR(10) &amp; "PM if interested, thank you!"," ")</f>
        <v xml:space="preserve"> </v>
      </c>
      <c r="B620" s="2" t="str">
        <f ca="1">IF('Profit &amp; Loss'!A623&gt;=TODAY(), "Date: " &amp; TEXT('Profit &amp; Loss'!A623,"dd mmm yyy") &amp; ", " &amp; 'Profit &amp; Loss'!B623 &amp; CHAR(10) &amp; "Time: " &amp; TEXT('Profit &amp; Loss'!C623, "hh:mm AM/PM") &amp; " - " &amp; TEXT('Profit &amp; Loss'!D623, "hh:mm AM/PM") &amp; CHAR(10) &amp; "Venue: " &amp; 'Profit &amp; Loss'!E623 &amp; CHAR(10) &amp; "Court No.: " &amp; 'Profit &amp; Loss'!F623 &amp; CHAR(10) &amp; "Level: HB - LI" &amp; CHAR(10) &amp; "Please transfer $" &amp; 'Profit &amp; Loss'!O623 &amp; " per pax to Belle (83396501)" &amp; CHAR(10) &amp; CHAR(10) &amp; IF('Profit &amp; Loss'!I623=1, "1." &amp; CHAR(10) &amp; "2." &amp; CHAR(10) &amp; "3." &amp; CHAR(10) &amp; "4." &amp; CHAR(10) &amp; "5." &amp; CHAR(10) &amp; "6." &amp; CHAR(10), IF('Profit &amp; Loss'!I623=2,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1" spans="1:2" ht="12.5" x14ac:dyDescent="0.25">
      <c r="A621" s="2" t="str">
        <f ca="1">IF('Profit &amp; Loss'!A624&gt;=TODAY(),"Looking for friendly players to join the following game: " &amp; CHAR(10) &amp; CHAR(10) &amp; "Date: " &amp; TEXT('Profit &amp; Loss'!A624,"dd mmm yyy") &amp; ", " &amp; 'Profit &amp; Loss'!B624 &amp; CHAR(10) &amp; "Time: " &amp; TEXT('Profit &amp; Loss'!C624, "hh:mm AM/PM") &amp; " - " &amp; TEXT('Profit &amp; Loss'!D624, "hh:mm AM/PM") &amp; CHAR(10) &amp; "Venue: " &amp; 'Profit &amp; Loss'!E624 &amp; CHAR(10) &amp; "Level: HB - LI" &amp; CHAR(10) &amp; "Cost: $" &amp; 'Profit &amp; Loss'!O624 &amp; " per pax" &amp; CHAR(10) &amp; "Max " &amp; 'Profit &amp; Loss'!I624*6 &amp; " pax," &amp; " (" &amp; 'Profit &amp; Loss'!I624 &amp; " courts)" &amp; CHAR(10) &amp; CHAR(10) &amp; "RSL Ultimate shuttles provided" &amp; CHAR(10) &amp; CHAR(10) &amp; "PM if interested, thank you!"," ")</f>
        <v xml:space="preserve"> </v>
      </c>
      <c r="B621" s="2" t="str">
        <f ca="1">IF('Profit &amp; Loss'!A624&gt;=TODAY(), "Date: " &amp; TEXT('Profit &amp; Loss'!A624,"dd mmm yyy") &amp; ", " &amp; 'Profit &amp; Loss'!B624 &amp; CHAR(10) &amp; "Time: " &amp; TEXT('Profit &amp; Loss'!C624, "hh:mm AM/PM") &amp; " - " &amp; TEXT('Profit &amp; Loss'!D624, "hh:mm AM/PM") &amp; CHAR(10) &amp; "Venue: " &amp; 'Profit &amp; Loss'!E624 &amp; CHAR(10) &amp; "Court No.: " &amp; 'Profit &amp; Loss'!F624 &amp; CHAR(10) &amp; "Level: HB - LI" &amp; CHAR(10) &amp; "Please transfer $" &amp; 'Profit &amp; Loss'!O624 &amp; " per pax to Belle (83396501)" &amp; CHAR(10) &amp; CHAR(10) &amp; IF('Profit &amp; Loss'!I624=1, "1." &amp; CHAR(10) &amp; "2." &amp; CHAR(10) &amp; "3." &amp; CHAR(10) &amp; "4." &amp; CHAR(10) &amp; "5." &amp; CHAR(10) &amp; "6." &amp; CHAR(10), IF('Profit &amp; Loss'!I624=2,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2" spans="1:2" ht="12.5" x14ac:dyDescent="0.25">
      <c r="A622" s="2" t="str">
        <f ca="1">IF('Profit &amp; Loss'!A625&gt;=TODAY(),"Looking for friendly players to join the following game: " &amp; CHAR(10) &amp; CHAR(10) &amp; "Date: " &amp; TEXT('Profit &amp; Loss'!A625,"dd mmm yyy") &amp; ", " &amp; 'Profit &amp; Loss'!B625 &amp; CHAR(10) &amp; "Time: " &amp; TEXT('Profit &amp; Loss'!C625, "hh:mm AM/PM") &amp; " - " &amp; TEXT('Profit &amp; Loss'!D625, "hh:mm AM/PM") &amp; CHAR(10) &amp; "Venue: " &amp; 'Profit &amp; Loss'!E625 &amp; CHAR(10) &amp; "Level: HB - LI" &amp; CHAR(10) &amp; "Cost: $" &amp; 'Profit &amp; Loss'!O625 &amp; " per pax" &amp; CHAR(10) &amp; "Max " &amp; 'Profit &amp; Loss'!I625*6 &amp; " pax," &amp; " (" &amp; 'Profit &amp; Loss'!I625 &amp; " courts)" &amp; CHAR(10) &amp; CHAR(10) &amp; "RSL Ultimate shuttles provided" &amp; CHAR(10) &amp; CHAR(10) &amp; "PM if interested, thank you!"," ")</f>
        <v xml:space="preserve"> </v>
      </c>
      <c r="B622" s="2" t="str">
        <f ca="1">IF('Profit &amp; Loss'!A625&gt;=TODAY(), "Date: " &amp; TEXT('Profit &amp; Loss'!A625,"dd mmm yyy") &amp; ", " &amp; 'Profit &amp; Loss'!B625 &amp; CHAR(10) &amp; "Time: " &amp; TEXT('Profit &amp; Loss'!C625, "hh:mm AM/PM") &amp; " - " &amp; TEXT('Profit &amp; Loss'!D625, "hh:mm AM/PM") &amp; CHAR(10) &amp; "Venue: " &amp; 'Profit &amp; Loss'!E625 &amp; CHAR(10) &amp; "Court No.: " &amp; 'Profit &amp; Loss'!F625 &amp; CHAR(10) &amp; "Level: HB - LI" &amp; CHAR(10) &amp; "Please transfer $" &amp; 'Profit &amp; Loss'!O625 &amp; " per pax to Belle (83396501)" &amp; CHAR(10) &amp; CHAR(10) &amp; IF('Profit &amp; Loss'!I625=1, "1." &amp; CHAR(10) &amp; "2." &amp; CHAR(10) &amp; "3." &amp; CHAR(10) &amp; "4." &amp; CHAR(10) &amp; "5." &amp; CHAR(10) &amp; "6." &amp; CHAR(10), IF('Profit &amp; Loss'!I625=2,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3" spans="1:2" ht="12.5" x14ac:dyDescent="0.25">
      <c r="A623" s="2" t="str">
        <f ca="1">IF('Profit &amp; Loss'!A626&gt;=TODAY(),"Looking for friendly players to join the following game: " &amp; CHAR(10) &amp; CHAR(10) &amp; "Date: " &amp; TEXT('Profit &amp; Loss'!A626,"dd mmm yyy") &amp; ", " &amp; 'Profit &amp; Loss'!B626 &amp; CHAR(10) &amp; "Time: " &amp; TEXT('Profit &amp; Loss'!C626, "hh:mm AM/PM") &amp; " - " &amp; TEXT('Profit &amp; Loss'!D626, "hh:mm AM/PM") &amp; CHAR(10) &amp; "Venue: " &amp; 'Profit &amp; Loss'!E626 &amp; CHAR(10) &amp; "Level: HB - LI" &amp; CHAR(10) &amp; "Cost: $" &amp; 'Profit &amp; Loss'!O626 &amp; " per pax" &amp; CHAR(10) &amp; "Max " &amp; 'Profit &amp; Loss'!I626*6 &amp; " pax," &amp; " (" &amp; 'Profit &amp; Loss'!I626 &amp; " courts)" &amp; CHAR(10) &amp; CHAR(10) &amp; "RSL Ultimate shuttles provided" &amp; CHAR(10) &amp; CHAR(10) &amp; "PM if interested, thank you!"," ")</f>
        <v xml:space="preserve"> </v>
      </c>
      <c r="B623" s="2" t="str">
        <f ca="1">IF('Profit &amp; Loss'!A626&gt;=TODAY(), "Date: " &amp; TEXT('Profit &amp; Loss'!A626,"dd mmm yyy") &amp; ", " &amp; 'Profit &amp; Loss'!B626 &amp; CHAR(10) &amp; "Time: " &amp; TEXT('Profit &amp; Loss'!C626, "hh:mm AM/PM") &amp; " - " &amp; TEXT('Profit &amp; Loss'!D626, "hh:mm AM/PM") &amp; CHAR(10) &amp; "Venue: " &amp; 'Profit &amp; Loss'!E626 &amp; CHAR(10) &amp; "Court No.: " &amp; 'Profit &amp; Loss'!F626 &amp; CHAR(10) &amp; "Level: HB - LI" &amp; CHAR(10) &amp; "Please transfer $" &amp; 'Profit &amp; Loss'!O626 &amp; " per pax to Belle (83396501)" &amp; CHAR(10) &amp; CHAR(10) &amp; IF('Profit &amp; Loss'!I626=1, "1." &amp; CHAR(10) &amp; "2." &amp; CHAR(10) &amp; "3." &amp; CHAR(10) &amp; "4." &amp; CHAR(10) &amp; "5." &amp; CHAR(10) &amp; "6." &amp; CHAR(10), IF('Profit &amp; Loss'!I626=2,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4" spans="1:2" ht="12.5" x14ac:dyDescent="0.25">
      <c r="A624" s="2" t="str">
        <f ca="1">IF('Profit &amp; Loss'!A627&gt;=TODAY(),"Looking for friendly players to join the following game: " &amp; CHAR(10) &amp; CHAR(10) &amp; "Date: " &amp; TEXT('Profit &amp; Loss'!A627,"dd mmm yyy") &amp; ", " &amp; 'Profit &amp; Loss'!B627 &amp; CHAR(10) &amp; "Time: " &amp; TEXT('Profit &amp; Loss'!C627, "hh:mm AM/PM") &amp; " - " &amp; TEXT('Profit &amp; Loss'!D627, "hh:mm AM/PM") &amp; CHAR(10) &amp; "Venue: " &amp; 'Profit &amp; Loss'!E627 &amp; CHAR(10) &amp; "Level: HB - LI" &amp; CHAR(10) &amp; "Cost: $" &amp; 'Profit &amp; Loss'!O627 &amp; " per pax" &amp; CHAR(10) &amp; "Max " &amp; 'Profit &amp; Loss'!I627*6 &amp; " pax," &amp; " (" &amp; 'Profit &amp; Loss'!I627 &amp; " courts)" &amp; CHAR(10) &amp; CHAR(10) &amp; "RSL Ultimate shuttles provided" &amp; CHAR(10) &amp; CHAR(10) &amp; "PM if interested, thank you!"," ")</f>
        <v xml:space="preserve"> </v>
      </c>
      <c r="B624" s="2" t="str">
        <f ca="1">IF('Profit &amp; Loss'!A627&gt;=TODAY(), "Date: " &amp; TEXT('Profit &amp; Loss'!A627,"dd mmm yyy") &amp; ", " &amp; 'Profit &amp; Loss'!B627 &amp; CHAR(10) &amp; "Time: " &amp; TEXT('Profit &amp; Loss'!C627, "hh:mm AM/PM") &amp; " - " &amp; TEXT('Profit &amp; Loss'!D627, "hh:mm AM/PM") &amp; CHAR(10) &amp; "Venue: " &amp; 'Profit &amp; Loss'!E627 &amp; CHAR(10) &amp; "Court No.: " &amp; 'Profit &amp; Loss'!F627 &amp; CHAR(10) &amp; "Level: HB - LI" &amp; CHAR(10) &amp; "Please transfer $" &amp; 'Profit &amp; Loss'!O627 &amp; " per pax to Belle (83396501)" &amp; CHAR(10) &amp; CHAR(10) &amp; IF('Profit &amp; Loss'!I627=1, "1." &amp; CHAR(10) &amp; "2." &amp; CHAR(10) &amp; "3." &amp; CHAR(10) &amp; "4." &amp; CHAR(10) &amp; "5." &amp; CHAR(10) &amp; "6." &amp; CHAR(10), IF('Profit &amp; Loss'!I627=2,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5" spans="1:2" ht="12.5" x14ac:dyDescent="0.25">
      <c r="A625" s="2" t="str">
        <f ca="1">IF('Profit &amp; Loss'!A628&gt;=TODAY(),"Looking for friendly players to join the following game: " &amp; CHAR(10) &amp; CHAR(10) &amp; "Date: " &amp; TEXT('Profit &amp; Loss'!A628,"dd mmm yyy") &amp; ", " &amp; 'Profit &amp; Loss'!B628 &amp; CHAR(10) &amp; "Time: " &amp; TEXT('Profit &amp; Loss'!C628, "hh:mm AM/PM") &amp; " - " &amp; TEXT('Profit &amp; Loss'!D628, "hh:mm AM/PM") &amp; CHAR(10) &amp; "Venue: " &amp; 'Profit &amp; Loss'!E628 &amp; CHAR(10) &amp; "Level: HB - LI" &amp; CHAR(10) &amp; "Cost: $" &amp; 'Profit &amp; Loss'!O628 &amp; " per pax" &amp; CHAR(10) &amp; "Max " &amp; 'Profit &amp; Loss'!I628*6 &amp; " pax," &amp; " (" &amp; 'Profit &amp; Loss'!I628 &amp; " courts)" &amp; CHAR(10) &amp; CHAR(10) &amp; "RSL Ultimate shuttles provided" &amp; CHAR(10) &amp; CHAR(10) &amp; "PM if interested, thank you!"," ")</f>
        <v xml:space="preserve"> </v>
      </c>
      <c r="B625" s="2" t="str">
        <f ca="1">IF('Profit &amp; Loss'!A628&gt;=TODAY(), "Date: " &amp; TEXT('Profit &amp; Loss'!A628,"dd mmm yyy") &amp; ", " &amp; 'Profit &amp; Loss'!B628 &amp; CHAR(10) &amp; "Time: " &amp; TEXT('Profit &amp; Loss'!C628, "hh:mm AM/PM") &amp; " - " &amp; TEXT('Profit &amp; Loss'!D628, "hh:mm AM/PM") &amp; CHAR(10) &amp; "Venue: " &amp; 'Profit &amp; Loss'!E628 &amp; CHAR(10) &amp; "Court No.: " &amp; 'Profit &amp; Loss'!F628 &amp; CHAR(10) &amp; "Level: HB - LI" &amp; CHAR(10) &amp; "Please transfer $" &amp; 'Profit &amp; Loss'!O628 &amp; " per pax to Belle (83396501)" &amp; CHAR(10) &amp; CHAR(10) &amp; IF('Profit &amp; Loss'!I628=1, "1." &amp; CHAR(10) &amp; "2." &amp; CHAR(10) &amp; "3." &amp; CHAR(10) &amp; "4." &amp; CHAR(10) &amp; "5." &amp; CHAR(10) &amp; "6." &amp; CHAR(10), IF('Profit &amp; Loss'!I628=2,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6" spans="1:2" ht="12.5" x14ac:dyDescent="0.25">
      <c r="A626" s="2" t="str">
        <f ca="1">IF('Profit &amp; Loss'!A629&gt;=TODAY(),"Looking for friendly players to join the following game: " &amp; CHAR(10) &amp; CHAR(10) &amp; "Date: " &amp; TEXT('Profit &amp; Loss'!A629,"dd mmm yyy") &amp; ", " &amp; 'Profit &amp; Loss'!B629 &amp; CHAR(10) &amp; "Time: " &amp; TEXT('Profit &amp; Loss'!C629, "hh:mm AM/PM") &amp; " - " &amp; TEXT('Profit &amp; Loss'!D629, "hh:mm AM/PM") &amp; CHAR(10) &amp; "Venue: " &amp; 'Profit &amp; Loss'!E629 &amp; CHAR(10) &amp; "Level: HB - LI" &amp; CHAR(10) &amp; "Cost: $" &amp; 'Profit &amp; Loss'!O629 &amp; " per pax" &amp; CHAR(10) &amp; "Max " &amp; 'Profit &amp; Loss'!I629*6 &amp; " pax," &amp; " (" &amp; 'Profit &amp; Loss'!I629 &amp; " courts)" &amp; CHAR(10) &amp; CHAR(10) &amp; "RSL Ultimate shuttles provided" &amp; CHAR(10) &amp; CHAR(10) &amp; "PM if interested, thank you!"," ")</f>
        <v xml:space="preserve"> </v>
      </c>
      <c r="B626" s="2" t="str">
        <f ca="1">IF('Profit &amp; Loss'!A629&gt;=TODAY(), "Date: " &amp; TEXT('Profit &amp; Loss'!A629,"dd mmm yyy") &amp; ", " &amp; 'Profit &amp; Loss'!B629 &amp; CHAR(10) &amp; "Time: " &amp; TEXT('Profit &amp; Loss'!C629, "hh:mm AM/PM") &amp; " - " &amp; TEXT('Profit &amp; Loss'!D629, "hh:mm AM/PM") &amp; CHAR(10) &amp; "Venue: " &amp; 'Profit &amp; Loss'!E629 &amp; CHAR(10) &amp; "Court No.: " &amp; 'Profit &amp; Loss'!F629 &amp; CHAR(10) &amp; "Level: HB - LI" &amp; CHAR(10) &amp; "Please transfer $" &amp; 'Profit &amp; Loss'!O629 &amp; " per pax to Belle (83396501)" &amp; CHAR(10) &amp; CHAR(10) &amp; IF('Profit &amp; Loss'!I629=1, "1." &amp; CHAR(10) &amp; "2." &amp; CHAR(10) &amp; "3." &amp; CHAR(10) &amp; "4." &amp; CHAR(10) &amp; "5." &amp; CHAR(10) &amp; "6." &amp; CHAR(10), IF('Profit &amp; Loss'!I629=2,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7" spans="1:2" ht="12.5" x14ac:dyDescent="0.25">
      <c r="A627" s="2" t="str">
        <f ca="1">IF('Profit &amp; Loss'!A630&gt;=TODAY(),"Looking for friendly players to join the following game: " &amp; CHAR(10) &amp; CHAR(10) &amp; "Date: " &amp; TEXT('Profit &amp; Loss'!A630,"dd mmm yyy") &amp; ", " &amp; 'Profit &amp; Loss'!B630 &amp; CHAR(10) &amp; "Time: " &amp; TEXT('Profit &amp; Loss'!C630, "hh:mm AM/PM") &amp; " - " &amp; TEXT('Profit &amp; Loss'!D630, "hh:mm AM/PM") &amp; CHAR(10) &amp; "Venue: " &amp; 'Profit &amp; Loss'!E630 &amp; CHAR(10) &amp; "Level: HB - LI" &amp; CHAR(10) &amp; "Cost: $" &amp; 'Profit &amp; Loss'!O630 &amp; " per pax" &amp; CHAR(10) &amp; "Max " &amp; 'Profit &amp; Loss'!I630*6 &amp; " pax," &amp; " (" &amp; 'Profit &amp; Loss'!I630 &amp; " courts)" &amp; CHAR(10) &amp; CHAR(10) &amp; "RSL Ultimate shuttles provided" &amp; CHAR(10) &amp; CHAR(10) &amp; "PM if interested, thank you!"," ")</f>
        <v xml:space="preserve"> </v>
      </c>
      <c r="B627" s="2" t="str">
        <f ca="1">IF('Profit &amp; Loss'!A630&gt;=TODAY(), "Date: " &amp; TEXT('Profit &amp; Loss'!A630,"dd mmm yyy") &amp; ", " &amp; 'Profit &amp; Loss'!B630 &amp; CHAR(10) &amp; "Time: " &amp; TEXT('Profit &amp; Loss'!C630, "hh:mm AM/PM") &amp; " - " &amp; TEXT('Profit &amp; Loss'!D630, "hh:mm AM/PM") &amp; CHAR(10) &amp; "Venue: " &amp; 'Profit &amp; Loss'!E630 &amp; CHAR(10) &amp; "Court No.: " &amp; 'Profit &amp; Loss'!F630 &amp; CHAR(10) &amp; "Level: HB - LI" &amp; CHAR(10) &amp; "Please transfer $" &amp; 'Profit &amp; Loss'!O630 &amp; " per pax to Belle (83396501)" &amp; CHAR(10) &amp; CHAR(10) &amp; IF('Profit &amp; Loss'!I630=1, "1." &amp; CHAR(10) &amp; "2." &amp; CHAR(10) &amp; "3." &amp; CHAR(10) &amp; "4." &amp; CHAR(10) &amp; "5." &amp; CHAR(10) &amp; "6." &amp; CHAR(10), IF('Profit &amp; Loss'!I630=2,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8" spans="1:2" ht="12.5" x14ac:dyDescent="0.25">
      <c r="A628" s="2" t="str">
        <f ca="1">IF('Profit &amp; Loss'!A631&gt;=TODAY(),"Looking for friendly players to join the following game: " &amp; CHAR(10) &amp; CHAR(10) &amp; "Date: " &amp; TEXT('Profit &amp; Loss'!A631,"dd mmm yyy") &amp; ", " &amp; 'Profit &amp; Loss'!B631 &amp; CHAR(10) &amp; "Time: " &amp; TEXT('Profit &amp; Loss'!C631, "hh:mm AM/PM") &amp; " - " &amp; TEXT('Profit &amp; Loss'!D631, "hh:mm AM/PM") &amp; CHAR(10) &amp; "Venue: " &amp; 'Profit &amp; Loss'!E631 &amp; CHAR(10) &amp; "Level: HB - LI" &amp; CHAR(10) &amp; "Cost: $" &amp; 'Profit &amp; Loss'!O631 &amp; " per pax" &amp; CHAR(10) &amp; "Max " &amp; 'Profit &amp; Loss'!I631*6 &amp; " pax," &amp; " (" &amp; 'Profit &amp; Loss'!I631 &amp; " courts)" &amp; CHAR(10) &amp; CHAR(10) &amp; "RSL Ultimate shuttles provided" &amp; CHAR(10) &amp; CHAR(10) &amp; "PM if interested, thank you!"," ")</f>
        <v xml:space="preserve"> </v>
      </c>
      <c r="B628" s="2" t="str">
        <f ca="1">IF('Profit &amp; Loss'!A631&gt;=TODAY(), "Date: " &amp; TEXT('Profit &amp; Loss'!A631,"dd mmm yyy") &amp; ", " &amp; 'Profit &amp; Loss'!B631 &amp; CHAR(10) &amp; "Time: " &amp; TEXT('Profit &amp; Loss'!C631, "hh:mm AM/PM") &amp; " - " &amp; TEXT('Profit &amp; Loss'!D631, "hh:mm AM/PM") &amp; CHAR(10) &amp; "Venue: " &amp; 'Profit &amp; Loss'!E631 &amp; CHAR(10) &amp; "Court No.: " &amp; 'Profit &amp; Loss'!F631 &amp; CHAR(10) &amp; "Level: HB - LI" &amp; CHAR(10) &amp; "Please transfer $" &amp; 'Profit &amp; Loss'!O631 &amp; " per pax to Belle (83396501)" &amp; CHAR(10) &amp; CHAR(10) &amp; IF('Profit &amp; Loss'!I631=1, "1." &amp; CHAR(10) &amp; "2." &amp; CHAR(10) &amp; "3." &amp; CHAR(10) &amp; "4." &amp; CHAR(10) &amp; "5." &amp; CHAR(10) &amp; "6." &amp; CHAR(10), IF('Profit &amp; Loss'!I631=2,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29" spans="1:2" ht="12.5" x14ac:dyDescent="0.25">
      <c r="A629" s="2" t="str">
        <f ca="1">IF('Profit &amp; Loss'!A632&gt;=TODAY(),"Looking for friendly players to join the following game: " &amp; CHAR(10) &amp; CHAR(10) &amp; "Date: " &amp; TEXT('Profit &amp; Loss'!A632,"dd mmm yyy") &amp; ", " &amp; 'Profit &amp; Loss'!B632 &amp; CHAR(10) &amp; "Time: " &amp; TEXT('Profit &amp; Loss'!C632, "hh:mm AM/PM") &amp; " - " &amp; TEXT('Profit &amp; Loss'!D632, "hh:mm AM/PM") &amp; CHAR(10) &amp; "Venue: " &amp; 'Profit &amp; Loss'!E632 &amp; CHAR(10) &amp; "Level: HB - LI" &amp; CHAR(10) &amp; "Cost: $" &amp; 'Profit &amp; Loss'!O632 &amp; " per pax" &amp; CHAR(10) &amp; "Max " &amp; 'Profit &amp; Loss'!I632*6 &amp; " pax," &amp; " (" &amp; 'Profit &amp; Loss'!I632 &amp; " courts)" &amp; CHAR(10) &amp; CHAR(10) &amp; "RSL Ultimate shuttles provided" &amp; CHAR(10) &amp; CHAR(10) &amp; "PM if interested, thank you!"," ")</f>
        <v xml:space="preserve"> </v>
      </c>
      <c r="B629" s="2" t="str">
        <f ca="1">IF('Profit &amp; Loss'!A632&gt;=TODAY(), "Date: " &amp; TEXT('Profit &amp; Loss'!A632,"dd mmm yyy") &amp; ", " &amp; 'Profit &amp; Loss'!B632 &amp; CHAR(10) &amp; "Time: " &amp; TEXT('Profit &amp; Loss'!C632, "hh:mm AM/PM") &amp; " - " &amp; TEXT('Profit &amp; Loss'!D632, "hh:mm AM/PM") &amp; CHAR(10) &amp; "Venue: " &amp; 'Profit &amp; Loss'!E632 &amp; CHAR(10) &amp; "Court No.: " &amp; 'Profit &amp; Loss'!F632 &amp; CHAR(10) &amp; "Level: HB - LI" &amp; CHAR(10) &amp; "Please transfer $" &amp; 'Profit &amp; Loss'!O632 &amp; " per pax to Belle (83396501)" &amp; CHAR(10) &amp; CHAR(10) &amp; IF('Profit &amp; Loss'!I632=1, "1." &amp; CHAR(10) &amp; "2." &amp; CHAR(10) &amp; "3." &amp; CHAR(10) &amp; "4." &amp; CHAR(10) &amp; "5." &amp; CHAR(10) &amp; "6." &amp; CHAR(10), IF('Profit &amp; Loss'!I632=2,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0" spans="1:2" ht="12.5" x14ac:dyDescent="0.25">
      <c r="A630" s="2" t="str">
        <f ca="1">IF('Profit &amp; Loss'!A633&gt;=TODAY(),"Looking for friendly players to join the following game: " &amp; CHAR(10) &amp; CHAR(10) &amp; "Date: " &amp; TEXT('Profit &amp; Loss'!A633,"dd mmm yyy") &amp; ", " &amp; 'Profit &amp; Loss'!B633 &amp; CHAR(10) &amp; "Time: " &amp; TEXT('Profit &amp; Loss'!C633, "hh:mm AM/PM") &amp; " - " &amp; TEXT('Profit &amp; Loss'!D633, "hh:mm AM/PM") &amp; CHAR(10) &amp; "Venue: " &amp; 'Profit &amp; Loss'!E633 &amp; CHAR(10) &amp; "Level: HB - LI" &amp; CHAR(10) &amp; "Cost: $" &amp; 'Profit &amp; Loss'!O633 &amp; " per pax" &amp; CHAR(10) &amp; "Max " &amp; 'Profit &amp; Loss'!I633*6 &amp; " pax," &amp; " (" &amp; 'Profit &amp; Loss'!I633 &amp; " courts)" &amp; CHAR(10) &amp; CHAR(10) &amp; "RSL Ultimate shuttles provided" &amp; CHAR(10) &amp; CHAR(10) &amp; "PM if interested, thank you!"," ")</f>
        <v xml:space="preserve"> </v>
      </c>
      <c r="B630" s="2" t="str">
        <f ca="1">IF('Profit &amp; Loss'!A633&gt;=TODAY(), "Date: " &amp; TEXT('Profit &amp; Loss'!A633,"dd mmm yyy") &amp; ", " &amp; 'Profit &amp; Loss'!B633 &amp; CHAR(10) &amp; "Time: " &amp; TEXT('Profit &amp; Loss'!C633, "hh:mm AM/PM") &amp; " - " &amp; TEXT('Profit &amp; Loss'!D633, "hh:mm AM/PM") &amp; CHAR(10) &amp; "Venue: " &amp; 'Profit &amp; Loss'!E633 &amp; CHAR(10) &amp; "Court No.: " &amp; 'Profit &amp; Loss'!F633 &amp; CHAR(10) &amp; "Level: HB - LI" &amp; CHAR(10) &amp; "Please transfer $" &amp; 'Profit &amp; Loss'!O633 &amp; " per pax to Belle (83396501)" &amp; CHAR(10) &amp; CHAR(10) &amp; IF('Profit &amp; Loss'!I633=1, "1." &amp; CHAR(10) &amp; "2." &amp; CHAR(10) &amp; "3." &amp; CHAR(10) &amp; "4." &amp; CHAR(10) &amp; "5." &amp; CHAR(10) &amp; "6." &amp; CHAR(10), IF('Profit &amp; Loss'!I633=2,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1" spans="1:2" ht="12.5" x14ac:dyDescent="0.25">
      <c r="A631" s="2" t="str">
        <f ca="1">IF('Profit &amp; Loss'!A634&gt;=TODAY(),"Looking for friendly players to join the following game: " &amp; CHAR(10) &amp; CHAR(10) &amp; "Date: " &amp; TEXT('Profit &amp; Loss'!A634,"dd mmm yyy") &amp; ", " &amp; 'Profit &amp; Loss'!B634 &amp; CHAR(10) &amp; "Time: " &amp; TEXT('Profit &amp; Loss'!C634, "hh:mm AM/PM") &amp; " - " &amp; TEXT('Profit &amp; Loss'!D634, "hh:mm AM/PM") &amp; CHAR(10) &amp; "Venue: " &amp; 'Profit &amp; Loss'!E634 &amp; CHAR(10) &amp; "Level: HB - LI" &amp; CHAR(10) &amp; "Cost: $" &amp; 'Profit &amp; Loss'!O634 &amp; " per pax" &amp; CHAR(10) &amp; "Max " &amp; 'Profit &amp; Loss'!I634*6 &amp; " pax," &amp; " (" &amp; 'Profit &amp; Loss'!I634 &amp; " courts)" &amp; CHAR(10) &amp; CHAR(10) &amp; "RSL Ultimate shuttles provided" &amp; CHAR(10) &amp; CHAR(10) &amp; "PM if interested, thank you!"," ")</f>
        <v xml:space="preserve"> </v>
      </c>
      <c r="B631" s="2" t="str">
        <f ca="1">IF('Profit &amp; Loss'!A634&gt;=TODAY(), "Date: " &amp; TEXT('Profit &amp; Loss'!A634,"dd mmm yyy") &amp; ", " &amp; 'Profit &amp; Loss'!B634 &amp; CHAR(10) &amp; "Time: " &amp; TEXT('Profit &amp; Loss'!C634, "hh:mm AM/PM") &amp; " - " &amp; TEXT('Profit &amp; Loss'!D634, "hh:mm AM/PM") &amp; CHAR(10) &amp; "Venue: " &amp; 'Profit &amp; Loss'!E634 &amp; CHAR(10) &amp; "Court No.: " &amp; 'Profit &amp; Loss'!F634 &amp; CHAR(10) &amp; "Level: HB - LI" &amp; CHAR(10) &amp; "Please transfer $" &amp; 'Profit &amp; Loss'!O634 &amp; " per pax to Belle (83396501)" &amp; CHAR(10) &amp; CHAR(10) &amp; IF('Profit &amp; Loss'!I634=1, "1." &amp; CHAR(10) &amp; "2." &amp; CHAR(10) &amp; "3." &amp; CHAR(10) &amp; "4." &amp; CHAR(10) &amp; "5." &amp; CHAR(10) &amp; "6." &amp; CHAR(10), IF('Profit &amp; Loss'!I634=2,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2" spans="1:2" ht="12.5" x14ac:dyDescent="0.25">
      <c r="A632" s="2" t="str">
        <f ca="1">IF('Profit &amp; Loss'!A635&gt;=TODAY(),"Looking for friendly players to join the following game: " &amp; CHAR(10) &amp; CHAR(10) &amp; "Date: " &amp; TEXT('Profit &amp; Loss'!A635,"dd mmm yyy") &amp; ", " &amp; 'Profit &amp; Loss'!B635 &amp; CHAR(10) &amp; "Time: " &amp; TEXT('Profit &amp; Loss'!C635, "hh:mm AM/PM") &amp; " - " &amp; TEXT('Profit &amp; Loss'!D635, "hh:mm AM/PM") &amp; CHAR(10) &amp; "Venue: " &amp; 'Profit &amp; Loss'!E635 &amp; CHAR(10) &amp; "Level: HB - LI" &amp; CHAR(10) &amp; "Cost: $" &amp; 'Profit &amp; Loss'!O635 &amp; " per pax" &amp; CHAR(10) &amp; "Max " &amp; 'Profit &amp; Loss'!I635*6 &amp; " pax," &amp; " (" &amp; 'Profit &amp; Loss'!I635 &amp; " courts)" &amp; CHAR(10) &amp; CHAR(10) &amp; "RSL Ultimate shuttles provided" &amp; CHAR(10) &amp; CHAR(10) &amp; "PM if interested, thank you!"," ")</f>
        <v xml:space="preserve"> </v>
      </c>
      <c r="B632" s="2" t="str">
        <f ca="1">IF('Profit &amp; Loss'!A635&gt;=TODAY(), "Date: " &amp; TEXT('Profit &amp; Loss'!A635,"dd mmm yyy") &amp; ", " &amp; 'Profit &amp; Loss'!B635 &amp; CHAR(10) &amp; "Time: " &amp; TEXT('Profit &amp; Loss'!C635, "hh:mm AM/PM") &amp; " - " &amp; TEXT('Profit &amp; Loss'!D635, "hh:mm AM/PM") &amp; CHAR(10) &amp; "Venue: " &amp; 'Profit &amp; Loss'!E635 &amp; CHAR(10) &amp; "Court No.: " &amp; 'Profit &amp; Loss'!F635 &amp; CHAR(10) &amp; "Level: HB - LI" &amp; CHAR(10) &amp; "Please transfer $" &amp; 'Profit &amp; Loss'!O635 &amp; " per pax to Belle (83396501)" &amp; CHAR(10) &amp; CHAR(10) &amp; IF('Profit &amp; Loss'!I635=1, "1." &amp; CHAR(10) &amp; "2." &amp; CHAR(10) &amp; "3." &amp; CHAR(10) &amp; "4." &amp; CHAR(10) &amp; "5." &amp; CHAR(10) &amp; "6." &amp; CHAR(10), IF('Profit &amp; Loss'!I635=2,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3" spans="1:2" ht="12.5" x14ac:dyDescent="0.25">
      <c r="A633" s="2" t="str">
        <f ca="1">IF('Profit &amp; Loss'!A636&gt;=TODAY(),"Looking for friendly players to join the following game: " &amp; CHAR(10) &amp; CHAR(10) &amp; "Date: " &amp; TEXT('Profit &amp; Loss'!A636,"dd mmm yyy") &amp; ", " &amp; 'Profit &amp; Loss'!B636 &amp; CHAR(10) &amp; "Time: " &amp; TEXT('Profit &amp; Loss'!C636, "hh:mm AM/PM") &amp; " - " &amp; TEXT('Profit &amp; Loss'!D636, "hh:mm AM/PM") &amp; CHAR(10) &amp; "Venue: " &amp; 'Profit &amp; Loss'!E636 &amp; CHAR(10) &amp; "Level: HB - LI" &amp; CHAR(10) &amp; "Cost: $" &amp; 'Profit &amp; Loss'!O636 &amp; " per pax" &amp; CHAR(10) &amp; "Max " &amp; 'Profit &amp; Loss'!I636*6 &amp; " pax," &amp; " (" &amp; 'Profit &amp; Loss'!I636 &amp; " courts)" &amp; CHAR(10) &amp; CHAR(10) &amp; "RSL Ultimate shuttles provided" &amp; CHAR(10) &amp; CHAR(10) &amp; "PM if interested, thank you!"," ")</f>
        <v xml:space="preserve"> </v>
      </c>
      <c r="B633" s="2" t="str">
        <f ca="1">IF('Profit &amp; Loss'!A636&gt;=TODAY(), "Date: " &amp; TEXT('Profit &amp; Loss'!A636,"dd mmm yyy") &amp; ", " &amp; 'Profit &amp; Loss'!B636 &amp; CHAR(10) &amp; "Time: " &amp; TEXT('Profit &amp; Loss'!C636, "hh:mm AM/PM") &amp; " - " &amp; TEXT('Profit &amp; Loss'!D636, "hh:mm AM/PM") &amp; CHAR(10) &amp; "Venue: " &amp; 'Profit &amp; Loss'!E636 &amp; CHAR(10) &amp; "Court No.: " &amp; 'Profit &amp; Loss'!F636 &amp; CHAR(10) &amp; "Level: HB - LI" &amp; CHAR(10) &amp; "Please transfer $" &amp; 'Profit &amp; Loss'!O636 &amp; " per pax to Belle (83396501)" &amp; CHAR(10) &amp; CHAR(10) &amp; IF('Profit &amp; Loss'!I636=1, "1." &amp; CHAR(10) &amp; "2." &amp; CHAR(10) &amp; "3." &amp; CHAR(10) &amp; "4." &amp; CHAR(10) &amp; "5." &amp; CHAR(10) &amp; "6." &amp; CHAR(10), IF('Profit &amp; Loss'!I636=2,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4" spans="1:2" ht="12.5" x14ac:dyDescent="0.25">
      <c r="A634" s="2" t="str">
        <f ca="1">IF('Profit &amp; Loss'!A637&gt;=TODAY(),"Looking for friendly players to join the following game: " &amp; CHAR(10) &amp; CHAR(10) &amp; "Date: " &amp; TEXT('Profit &amp; Loss'!A637,"dd mmm yyy") &amp; ", " &amp; 'Profit &amp; Loss'!B637 &amp; CHAR(10) &amp; "Time: " &amp; TEXT('Profit &amp; Loss'!C637, "hh:mm AM/PM") &amp; " - " &amp; TEXT('Profit &amp; Loss'!D637, "hh:mm AM/PM") &amp; CHAR(10) &amp; "Venue: " &amp; 'Profit &amp; Loss'!E637 &amp; CHAR(10) &amp; "Level: HB - LI" &amp; CHAR(10) &amp; "Cost: $" &amp; 'Profit &amp; Loss'!O637 &amp; " per pax" &amp; CHAR(10) &amp; "Max " &amp; 'Profit &amp; Loss'!I637*6 &amp; " pax," &amp; " (" &amp; 'Profit &amp; Loss'!I637 &amp; " courts)" &amp; CHAR(10) &amp; CHAR(10) &amp; "RSL Ultimate shuttles provided" &amp; CHAR(10) &amp; CHAR(10) &amp; "PM if interested, thank you!"," ")</f>
        <v xml:space="preserve"> </v>
      </c>
      <c r="B634" s="2" t="str">
        <f ca="1">IF('Profit &amp; Loss'!A637&gt;=TODAY(), "Date: " &amp; TEXT('Profit &amp; Loss'!A637,"dd mmm yyy") &amp; ", " &amp; 'Profit &amp; Loss'!B637 &amp; CHAR(10) &amp; "Time: " &amp; TEXT('Profit &amp; Loss'!C637, "hh:mm AM/PM") &amp; " - " &amp; TEXT('Profit &amp; Loss'!D637, "hh:mm AM/PM") &amp; CHAR(10) &amp; "Venue: " &amp; 'Profit &amp; Loss'!E637 &amp; CHAR(10) &amp; "Court No.: " &amp; 'Profit &amp; Loss'!F637 &amp; CHAR(10) &amp; "Level: HB - LI" &amp; CHAR(10) &amp; "Please transfer $" &amp; 'Profit &amp; Loss'!O637 &amp; " per pax to Belle (83396501)" &amp; CHAR(10) &amp; CHAR(10) &amp; IF('Profit &amp; Loss'!I637=1, "1." &amp; CHAR(10) &amp; "2." &amp; CHAR(10) &amp; "3." &amp; CHAR(10) &amp; "4." &amp; CHAR(10) &amp; "5." &amp; CHAR(10) &amp; "6." &amp; CHAR(10), IF('Profit &amp; Loss'!I637=2,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5" spans="1:2" ht="12.5" x14ac:dyDescent="0.25">
      <c r="A635" s="2" t="str">
        <f ca="1">IF('Profit &amp; Loss'!A638&gt;=TODAY(),"Looking for friendly players to join the following game: " &amp; CHAR(10) &amp; CHAR(10) &amp; "Date: " &amp; TEXT('Profit &amp; Loss'!A638,"dd mmm yyy") &amp; ", " &amp; 'Profit &amp; Loss'!B638 &amp; CHAR(10) &amp; "Time: " &amp; TEXT('Profit &amp; Loss'!C638, "hh:mm AM/PM") &amp; " - " &amp; TEXT('Profit &amp; Loss'!D638, "hh:mm AM/PM") &amp; CHAR(10) &amp; "Venue: " &amp; 'Profit &amp; Loss'!E638 &amp; CHAR(10) &amp; "Level: HB - LI" &amp; CHAR(10) &amp; "Cost: $" &amp; 'Profit &amp; Loss'!O638 &amp; " per pax" &amp; CHAR(10) &amp; "Max " &amp; 'Profit &amp; Loss'!I638*6 &amp; " pax," &amp; " (" &amp; 'Profit &amp; Loss'!I638 &amp; " courts)" &amp; CHAR(10) &amp; CHAR(10) &amp; "RSL Ultimate shuttles provided" &amp; CHAR(10) &amp; CHAR(10) &amp; "PM if interested, thank you!"," ")</f>
        <v xml:space="preserve"> </v>
      </c>
      <c r="B635" s="2" t="str">
        <f ca="1">IF('Profit &amp; Loss'!A638&gt;=TODAY(), "Date: " &amp; TEXT('Profit &amp; Loss'!A638,"dd mmm yyy") &amp; ", " &amp; 'Profit &amp; Loss'!B638 &amp; CHAR(10) &amp; "Time: " &amp; TEXT('Profit &amp; Loss'!C638, "hh:mm AM/PM") &amp; " - " &amp; TEXT('Profit &amp; Loss'!D638, "hh:mm AM/PM") &amp; CHAR(10) &amp; "Venue: " &amp; 'Profit &amp; Loss'!E638 &amp; CHAR(10) &amp; "Court No.: " &amp; 'Profit &amp; Loss'!F638 &amp; CHAR(10) &amp; "Level: HB - LI" &amp; CHAR(10) &amp; "Please transfer $" &amp; 'Profit &amp; Loss'!O638 &amp; " per pax to Belle (83396501)" &amp; CHAR(10) &amp; CHAR(10) &amp; IF('Profit &amp; Loss'!I638=1, "1." &amp; CHAR(10) &amp; "2." &amp; CHAR(10) &amp; "3." &amp; CHAR(10) &amp; "4." &amp; CHAR(10) &amp; "5." &amp; CHAR(10) &amp; "6." &amp; CHAR(10), IF('Profit &amp; Loss'!I638=2,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6" spans="1:2" ht="12.5" x14ac:dyDescent="0.25">
      <c r="A636" s="2" t="str">
        <f ca="1">IF('Profit &amp; Loss'!A639&gt;=TODAY(),"Looking for friendly players to join the following game: " &amp; CHAR(10) &amp; CHAR(10) &amp; "Date: " &amp; TEXT('Profit &amp; Loss'!A639,"dd mmm yyy") &amp; ", " &amp; 'Profit &amp; Loss'!B639 &amp; CHAR(10) &amp; "Time: " &amp; TEXT('Profit &amp; Loss'!C639, "hh:mm AM/PM") &amp; " - " &amp; TEXT('Profit &amp; Loss'!D639, "hh:mm AM/PM") &amp; CHAR(10) &amp; "Venue: " &amp; 'Profit &amp; Loss'!E639 &amp; CHAR(10) &amp; "Level: HB - LI" &amp; CHAR(10) &amp; "Cost: $" &amp; 'Profit &amp; Loss'!O639 &amp; " per pax" &amp; CHAR(10) &amp; "Max " &amp; 'Profit &amp; Loss'!I639*6 &amp; " pax," &amp; " (" &amp; 'Profit &amp; Loss'!I639 &amp; " courts)" &amp; CHAR(10) &amp; CHAR(10) &amp; "RSL Ultimate shuttles provided" &amp; CHAR(10) &amp; CHAR(10) &amp; "PM if interested, thank you!"," ")</f>
        <v xml:space="preserve"> </v>
      </c>
      <c r="B636" s="2" t="str">
        <f ca="1">IF('Profit &amp; Loss'!A639&gt;=TODAY(), "Date: " &amp; TEXT('Profit &amp; Loss'!A639,"dd mmm yyy") &amp; ", " &amp; 'Profit &amp; Loss'!B639 &amp; CHAR(10) &amp; "Time: " &amp; TEXT('Profit &amp; Loss'!C639, "hh:mm AM/PM") &amp; " - " &amp; TEXT('Profit &amp; Loss'!D639, "hh:mm AM/PM") &amp; CHAR(10) &amp; "Venue: " &amp; 'Profit &amp; Loss'!E639 &amp; CHAR(10) &amp; "Court No.: " &amp; 'Profit &amp; Loss'!F639 &amp; CHAR(10) &amp; "Level: HB - LI" &amp; CHAR(10) &amp; "Please transfer $" &amp; 'Profit &amp; Loss'!O639 &amp; " per pax to Belle (83396501)" &amp; CHAR(10) &amp; CHAR(10) &amp; IF('Profit &amp; Loss'!I639=1, "1." &amp; CHAR(10) &amp; "2." &amp; CHAR(10) &amp; "3." &amp; CHAR(10) &amp; "4." &amp; CHAR(10) &amp; "5." &amp; CHAR(10) &amp; "6." &amp; CHAR(10), IF('Profit &amp; Loss'!I639=2,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7" spans="1:2" ht="12.5" x14ac:dyDescent="0.25">
      <c r="A637" s="2" t="str">
        <f ca="1">IF('Profit &amp; Loss'!A640&gt;=TODAY(),"Looking for friendly players to join the following game: " &amp; CHAR(10) &amp; CHAR(10) &amp; "Date: " &amp; TEXT('Profit &amp; Loss'!A640,"dd mmm yyy") &amp; ", " &amp; 'Profit &amp; Loss'!B640 &amp; CHAR(10) &amp; "Time: " &amp; TEXT('Profit &amp; Loss'!C640, "hh:mm AM/PM") &amp; " - " &amp; TEXT('Profit &amp; Loss'!D640, "hh:mm AM/PM") &amp; CHAR(10) &amp; "Venue: " &amp; 'Profit &amp; Loss'!E640 &amp; CHAR(10) &amp; "Level: HB - LI" &amp; CHAR(10) &amp; "Cost: $" &amp; 'Profit &amp; Loss'!O640 &amp; " per pax" &amp; CHAR(10) &amp; "Max " &amp; 'Profit &amp; Loss'!I640*6 &amp; " pax," &amp; " (" &amp; 'Profit &amp; Loss'!I640 &amp; " courts)" &amp; CHAR(10) &amp; CHAR(10) &amp; "RSL Ultimate shuttles provided" &amp; CHAR(10) &amp; CHAR(10) &amp; "PM if interested, thank you!"," ")</f>
        <v xml:space="preserve"> </v>
      </c>
      <c r="B637" s="2" t="str">
        <f ca="1">IF('Profit &amp; Loss'!A640&gt;=TODAY(), "Date: " &amp; TEXT('Profit &amp; Loss'!A640,"dd mmm yyy") &amp; ", " &amp; 'Profit &amp; Loss'!B640 &amp; CHAR(10) &amp; "Time: " &amp; TEXT('Profit &amp; Loss'!C640, "hh:mm AM/PM") &amp; " - " &amp; TEXT('Profit &amp; Loss'!D640, "hh:mm AM/PM") &amp; CHAR(10) &amp; "Venue: " &amp; 'Profit &amp; Loss'!E640 &amp; CHAR(10) &amp; "Court No.: " &amp; 'Profit &amp; Loss'!F640 &amp; CHAR(10) &amp; "Level: HB - LI" &amp; CHAR(10) &amp; "Please transfer $" &amp; 'Profit &amp; Loss'!O640 &amp; " per pax to Belle (83396501)" &amp; CHAR(10) &amp; CHAR(10) &amp; IF('Profit &amp; Loss'!I640=1, "1." &amp; CHAR(10) &amp; "2." &amp; CHAR(10) &amp; "3." &amp; CHAR(10) &amp; "4." &amp; CHAR(10) &amp; "5." &amp; CHAR(10) &amp; "6." &amp; CHAR(10), IF('Profit &amp; Loss'!I640=2,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8" spans="1:2" ht="12.5" x14ac:dyDescent="0.25">
      <c r="A638" s="2" t="str">
        <f ca="1">IF('Profit &amp; Loss'!A641&gt;=TODAY(),"Looking for friendly players to join the following game: " &amp; CHAR(10) &amp; CHAR(10) &amp; "Date: " &amp; TEXT('Profit &amp; Loss'!A641,"dd mmm yyy") &amp; ", " &amp; 'Profit &amp; Loss'!B641 &amp; CHAR(10) &amp; "Time: " &amp; TEXT('Profit &amp; Loss'!C641, "hh:mm AM/PM") &amp; " - " &amp; TEXT('Profit &amp; Loss'!D641, "hh:mm AM/PM") &amp; CHAR(10) &amp; "Venue: " &amp; 'Profit &amp; Loss'!E641 &amp; CHAR(10) &amp; "Level: HB - LI" &amp; CHAR(10) &amp; "Cost: $" &amp; 'Profit &amp; Loss'!O641 &amp; " per pax" &amp; CHAR(10) &amp; "Max " &amp; 'Profit &amp; Loss'!I641*6 &amp; " pax," &amp; " (" &amp; 'Profit &amp; Loss'!I641 &amp; " courts)" &amp; CHAR(10) &amp; CHAR(10) &amp; "RSL Ultimate shuttles provided" &amp; CHAR(10) &amp; CHAR(10) &amp; "PM if interested, thank you!"," ")</f>
        <v xml:space="preserve"> </v>
      </c>
      <c r="B638" s="2" t="str">
        <f ca="1">IF('Profit &amp; Loss'!A641&gt;=TODAY(), "Date: " &amp; TEXT('Profit &amp; Loss'!A641,"dd mmm yyy") &amp; ", " &amp; 'Profit &amp; Loss'!B641 &amp; CHAR(10) &amp; "Time: " &amp; TEXT('Profit &amp; Loss'!C641, "hh:mm AM/PM") &amp; " - " &amp; TEXT('Profit &amp; Loss'!D641, "hh:mm AM/PM") &amp; CHAR(10) &amp; "Venue: " &amp; 'Profit &amp; Loss'!E641 &amp; CHAR(10) &amp; "Court No.: " &amp; 'Profit &amp; Loss'!F641 &amp; CHAR(10) &amp; "Level: HB - LI" &amp; CHAR(10) &amp; "Please transfer $" &amp; 'Profit &amp; Loss'!O641 &amp; " per pax to Belle (83396501)" &amp; CHAR(10) &amp; CHAR(10) &amp; IF('Profit &amp; Loss'!I641=1, "1." &amp; CHAR(10) &amp; "2." &amp; CHAR(10) &amp; "3." &amp; CHAR(10) &amp; "4." &amp; CHAR(10) &amp; "5." &amp; CHAR(10) &amp; "6." &amp; CHAR(10), IF('Profit &amp; Loss'!I641=2,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39" spans="1:2" ht="12.5" x14ac:dyDescent="0.25">
      <c r="A639" s="2" t="str">
        <f ca="1">IF('Profit &amp; Loss'!A642&gt;=TODAY(),"Looking for friendly players to join the following game: " &amp; CHAR(10) &amp; CHAR(10) &amp; "Date: " &amp; TEXT('Profit &amp; Loss'!A642,"dd mmm yyy") &amp; ", " &amp; 'Profit &amp; Loss'!B642 &amp; CHAR(10) &amp; "Time: " &amp; TEXT('Profit &amp; Loss'!C642, "hh:mm AM/PM") &amp; " - " &amp; TEXT('Profit &amp; Loss'!D642, "hh:mm AM/PM") &amp; CHAR(10) &amp; "Venue: " &amp; 'Profit &amp; Loss'!E642 &amp; CHAR(10) &amp; "Level: HB - LI" &amp; CHAR(10) &amp; "Cost: $" &amp; 'Profit &amp; Loss'!O642 &amp; " per pax" &amp; CHAR(10) &amp; "Max " &amp; 'Profit &amp; Loss'!I642*6 &amp; " pax," &amp; " (" &amp; 'Profit &amp; Loss'!I642 &amp; " courts)" &amp; CHAR(10) &amp; CHAR(10) &amp; "RSL Ultimate shuttles provided" &amp; CHAR(10) &amp; CHAR(10) &amp; "PM if interested, thank you!"," ")</f>
        <v xml:space="preserve"> </v>
      </c>
      <c r="B639" s="2" t="str">
        <f ca="1">IF('Profit &amp; Loss'!A642&gt;=TODAY(), "Date: " &amp; TEXT('Profit &amp; Loss'!A642,"dd mmm yyy") &amp; ", " &amp; 'Profit &amp; Loss'!B642 &amp; CHAR(10) &amp; "Time: " &amp; TEXT('Profit &amp; Loss'!C642, "hh:mm AM/PM") &amp; " - " &amp; TEXT('Profit &amp; Loss'!D642, "hh:mm AM/PM") &amp; CHAR(10) &amp; "Venue: " &amp; 'Profit &amp; Loss'!E642 &amp; CHAR(10) &amp; "Court No.: " &amp; 'Profit &amp; Loss'!F642 &amp; CHAR(10) &amp; "Level: HB - LI" &amp; CHAR(10) &amp; "Please transfer $" &amp; 'Profit &amp; Loss'!O642 &amp; " per pax to Belle (83396501)" &amp; CHAR(10) &amp; CHAR(10) &amp; IF('Profit &amp; Loss'!I642=1, "1." &amp; CHAR(10) &amp; "2." &amp; CHAR(10) &amp; "3." &amp; CHAR(10) &amp; "4." &amp; CHAR(10) &amp; "5." &amp; CHAR(10) &amp; "6." &amp; CHAR(10), IF('Profit &amp; Loss'!I642=2,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0" spans="1:2" ht="12.5" x14ac:dyDescent="0.25">
      <c r="A640" s="2" t="str">
        <f ca="1">IF('Profit &amp; Loss'!A643&gt;=TODAY(),"Looking for friendly players to join the following game: " &amp; CHAR(10) &amp; CHAR(10) &amp; "Date: " &amp; TEXT('Profit &amp; Loss'!A643,"dd mmm yyy") &amp; ", " &amp; 'Profit &amp; Loss'!B643 &amp; CHAR(10) &amp; "Time: " &amp; TEXT('Profit &amp; Loss'!C643, "hh:mm AM/PM") &amp; " - " &amp; TEXT('Profit &amp; Loss'!D643, "hh:mm AM/PM") &amp; CHAR(10) &amp; "Venue: " &amp; 'Profit &amp; Loss'!E643 &amp; CHAR(10) &amp; "Level: HB - LI" &amp; CHAR(10) &amp; "Cost: $" &amp; 'Profit &amp; Loss'!O643 &amp; " per pax" &amp; CHAR(10) &amp; "Max " &amp; 'Profit &amp; Loss'!I643*6 &amp; " pax," &amp; " (" &amp; 'Profit &amp; Loss'!I643 &amp; " courts)" &amp; CHAR(10) &amp; CHAR(10) &amp; "RSL Ultimate shuttles provided" &amp; CHAR(10) &amp; CHAR(10) &amp; "PM if interested, thank you!"," ")</f>
        <v xml:space="preserve"> </v>
      </c>
      <c r="B640" s="2" t="str">
        <f ca="1">IF('Profit &amp; Loss'!A643&gt;=TODAY(), "Date: " &amp; TEXT('Profit &amp; Loss'!A643,"dd mmm yyy") &amp; ", " &amp; 'Profit &amp; Loss'!B643 &amp; CHAR(10) &amp; "Time: " &amp; TEXT('Profit &amp; Loss'!C643, "hh:mm AM/PM") &amp; " - " &amp; TEXT('Profit &amp; Loss'!D643, "hh:mm AM/PM") &amp; CHAR(10) &amp; "Venue: " &amp; 'Profit &amp; Loss'!E643 &amp; CHAR(10) &amp; "Court No.: " &amp; 'Profit &amp; Loss'!F643 &amp; CHAR(10) &amp; "Level: HB - LI" &amp; CHAR(10) &amp; "Please transfer $" &amp; 'Profit &amp; Loss'!O643 &amp; " per pax to Belle (83396501)" &amp; CHAR(10) &amp; CHAR(10) &amp; IF('Profit &amp; Loss'!I643=1, "1." &amp; CHAR(10) &amp; "2." &amp; CHAR(10) &amp; "3." &amp; CHAR(10) &amp; "4." &amp; CHAR(10) &amp; "5." &amp; CHAR(10) &amp; "6." &amp; CHAR(10), IF('Profit &amp; Loss'!I643=2,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1" spans="1:2" ht="12.5" x14ac:dyDescent="0.25">
      <c r="A641" s="2" t="str">
        <f ca="1">IF('Profit &amp; Loss'!A644&gt;=TODAY(),"Looking for friendly players to join the following game: " &amp; CHAR(10) &amp; CHAR(10) &amp; "Date: " &amp; TEXT('Profit &amp; Loss'!A644,"dd mmm yyy") &amp; ", " &amp; 'Profit &amp; Loss'!B644 &amp; CHAR(10) &amp; "Time: " &amp; TEXT('Profit &amp; Loss'!C644, "hh:mm AM/PM") &amp; " - " &amp; TEXT('Profit &amp; Loss'!D644, "hh:mm AM/PM") &amp; CHAR(10) &amp; "Venue: " &amp; 'Profit &amp; Loss'!E644 &amp; CHAR(10) &amp; "Level: HB - LI" &amp; CHAR(10) &amp; "Cost: $" &amp; 'Profit &amp; Loss'!O644 &amp; " per pax" &amp; CHAR(10) &amp; "Max " &amp; 'Profit &amp; Loss'!I644*6 &amp; " pax," &amp; " (" &amp; 'Profit &amp; Loss'!I644 &amp; " courts)" &amp; CHAR(10) &amp; CHAR(10) &amp; "RSL Ultimate shuttles provided" &amp; CHAR(10) &amp; CHAR(10) &amp; "PM if interested, thank you!"," ")</f>
        <v xml:space="preserve"> </v>
      </c>
      <c r="B641" s="2" t="str">
        <f ca="1">IF('Profit &amp; Loss'!A644&gt;=TODAY(), "Date: " &amp; TEXT('Profit &amp; Loss'!A644,"dd mmm yyy") &amp; ", " &amp; 'Profit &amp; Loss'!B644 &amp; CHAR(10) &amp; "Time: " &amp; TEXT('Profit &amp; Loss'!C644, "hh:mm AM/PM") &amp; " - " &amp; TEXT('Profit &amp; Loss'!D644, "hh:mm AM/PM") &amp; CHAR(10) &amp; "Venue: " &amp; 'Profit &amp; Loss'!E644 &amp; CHAR(10) &amp; "Court No.: " &amp; 'Profit &amp; Loss'!F644 &amp; CHAR(10) &amp; "Level: HB - LI" &amp; CHAR(10) &amp; "Please transfer $" &amp; 'Profit &amp; Loss'!O644 &amp; " per pax to Belle (83396501)" &amp; CHAR(10) &amp; CHAR(10) &amp; IF('Profit &amp; Loss'!I644=1, "1." &amp; CHAR(10) &amp; "2." &amp; CHAR(10) &amp; "3." &amp; CHAR(10) &amp; "4." &amp; CHAR(10) &amp; "5." &amp; CHAR(10) &amp; "6." &amp; CHAR(10), IF('Profit &amp; Loss'!I644=2,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2" spans="1:2" ht="12.5" x14ac:dyDescent="0.25">
      <c r="A642" s="2" t="str">
        <f ca="1">IF('Profit &amp; Loss'!A645&gt;=TODAY(),"Looking for friendly players to join the following game: " &amp; CHAR(10) &amp; CHAR(10) &amp; "Date: " &amp; TEXT('Profit &amp; Loss'!A645,"dd mmm yyy") &amp; ", " &amp; 'Profit &amp; Loss'!B645 &amp; CHAR(10) &amp; "Time: " &amp; TEXT('Profit &amp; Loss'!C645, "hh:mm AM/PM") &amp; " - " &amp; TEXT('Profit &amp; Loss'!D645, "hh:mm AM/PM") &amp; CHAR(10) &amp; "Venue: " &amp; 'Profit &amp; Loss'!E645 &amp; CHAR(10) &amp; "Level: HB - LI" &amp; CHAR(10) &amp; "Cost: $" &amp; 'Profit &amp; Loss'!O645 &amp; " per pax" &amp; CHAR(10) &amp; "Max " &amp; 'Profit &amp; Loss'!I645*6 &amp; " pax," &amp; " (" &amp; 'Profit &amp; Loss'!I645 &amp; " courts)" &amp; CHAR(10) &amp; CHAR(10) &amp; "RSL Ultimate shuttles provided" &amp; CHAR(10) &amp; CHAR(10) &amp; "PM if interested, thank you!"," ")</f>
        <v xml:space="preserve"> </v>
      </c>
      <c r="B642" s="2" t="str">
        <f ca="1">IF('Profit &amp; Loss'!A645&gt;=TODAY(), "Date: " &amp; TEXT('Profit &amp; Loss'!A645,"dd mmm yyy") &amp; ", " &amp; 'Profit &amp; Loss'!B645 &amp; CHAR(10) &amp; "Time: " &amp; TEXT('Profit &amp; Loss'!C645, "hh:mm AM/PM") &amp; " - " &amp; TEXT('Profit &amp; Loss'!D645, "hh:mm AM/PM") &amp; CHAR(10) &amp; "Venue: " &amp; 'Profit &amp; Loss'!E645 &amp; CHAR(10) &amp; "Court No.: " &amp; 'Profit &amp; Loss'!F645 &amp; CHAR(10) &amp; "Level: HB - LI" &amp; CHAR(10) &amp; "Please transfer $" &amp; 'Profit &amp; Loss'!O645 &amp; " per pax to Belle (83396501)" &amp; CHAR(10) &amp; CHAR(10) &amp; IF('Profit &amp; Loss'!I645=1, "1." &amp; CHAR(10) &amp; "2." &amp; CHAR(10) &amp; "3." &amp; CHAR(10) &amp; "4." &amp; CHAR(10) &amp; "5." &amp; CHAR(10) &amp; "6." &amp; CHAR(10), IF('Profit &amp; Loss'!I645=2,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3" spans="1:2" ht="12.5" x14ac:dyDescent="0.25">
      <c r="A643" s="2" t="str">
        <f ca="1">IF('Profit &amp; Loss'!A646&gt;=TODAY(),"Looking for friendly players to join the following game: " &amp; CHAR(10) &amp; CHAR(10) &amp; "Date: " &amp; TEXT('Profit &amp; Loss'!A646,"dd mmm yyy") &amp; ", " &amp; 'Profit &amp; Loss'!B646 &amp; CHAR(10) &amp; "Time: " &amp; TEXT('Profit &amp; Loss'!C646, "hh:mm AM/PM") &amp; " - " &amp; TEXT('Profit &amp; Loss'!D646, "hh:mm AM/PM") &amp; CHAR(10) &amp; "Venue: " &amp; 'Profit &amp; Loss'!E646 &amp; CHAR(10) &amp; "Level: HB - LI" &amp; CHAR(10) &amp; "Cost: $" &amp; 'Profit &amp; Loss'!O646 &amp; " per pax" &amp; CHAR(10) &amp; "Max " &amp; 'Profit &amp; Loss'!I646*6 &amp; " pax," &amp; " (" &amp; 'Profit &amp; Loss'!I646 &amp; " courts)" &amp; CHAR(10) &amp; CHAR(10) &amp; "RSL Ultimate shuttles provided" &amp; CHAR(10) &amp; CHAR(10) &amp; "PM if interested, thank you!"," ")</f>
        <v xml:space="preserve"> </v>
      </c>
      <c r="B643" s="2" t="str">
        <f ca="1">IF('Profit &amp; Loss'!A646&gt;=TODAY(), "Date: " &amp; TEXT('Profit &amp; Loss'!A646,"dd mmm yyy") &amp; ", " &amp; 'Profit &amp; Loss'!B646 &amp; CHAR(10) &amp; "Time: " &amp; TEXT('Profit &amp; Loss'!C646, "hh:mm AM/PM") &amp; " - " &amp; TEXT('Profit &amp; Loss'!D646, "hh:mm AM/PM") &amp; CHAR(10) &amp; "Venue: " &amp; 'Profit &amp; Loss'!E646 &amp; CHAR(10) &amp; "Court No.: " &amp; 'Profit &amp; Loss'!F646 &amp; CHAR(10) &amp; "Level: HB - LI" &amp; CHAR(10) &amp; "Please transfer $" &amp; 'Profit &amp; Loss'!O646 &amp; " per pax to Belle (83396501)" &amp; CHAR(10) &amp; CHAR(10) &amp; IF('Profit &amp; Loss'!I646=1, "1." &amp; CHAR(10) &amp; "2." &amp; CHAR(10) &amp; "3." &amp; CHAR(10) &amp; "4." &amp; CHAR(10) &amp; "5." &amp; CHAR(10) &amp; "6." &amp; CHAR(10), IF('Profit &amp; Loss'!I646=2,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4" spans="1:2" ht="12.5" x14ac:dyDescent="0.25">
      <c r="A644" s="2" t="str">
        <f ca="1">IF('Profit &amp; Loss'!A647&gt;=TODAY(),"Looking for friendly players to join the following game: " &amp; CHAR(10) &amp; CHAR(10) &amp; "Date: " &amp; TEXT('Profit &amp; Loss'!A647,"dd mmm yyy") &amp; ", " &amp; 'Profit &amp; Loss'!B647 &amp; CHAR(10) &amp; "Time: " &amp; TEXT('Profit &amp; Loss'!C647, "hh:mm AM/PM") &amp; " - " &amp; TEXT('Profit &amp; Loss'!D647, "hh:mm AM/PM") &amp; CHAR(10) &amp; "Venue: " &amp; 'Profit &amp; Loss'!E647 &amp; CHAR(10) &amp; "Level: HB - LI" &amp; CHAR(10) &amp; "Cost: $" &amp; 'Profit &amp; Loss'!O647 &amp; " per pax" &amp; CHAR(10) &amp; "Max " &amp; 'Profit &amp; Loss'!I647*6 &amp; " pax," &amp; " (" &amp; 'Profit &amp; Loss'!I647 &amp; " courts)" &amp; CHAR(10) &amp; CHAR(10) &amp; "RSL Ultimate shuttles provided" &amp; CHAR(10) &amp; CHAR(10) &amp; "PM if interested, thank you!"," ")</f>
        <v xml:space="preserve"> </v>
      </c>
      <c r="B644" s="2" t="str">
        <f ca="1">IF('Profit &amp; Loss'!A647&gt;=TODAY(), "Date: " &amp; TEXT('Profit &amp; Loss'!A647,"dd mmm yyy") &amp; ", " &amp; 'Profit &amp; Loss'!B647 &amp; CHAR(10) &amp; "Time: " &amp; TEXT('Profit &amp; Loss'!C647, "hh:mm AM/PM") &amp; " - " &amp; TEXT('Profit &amp; Loss'!D647, "hh:mm AM/PM") &amp; CHAR(10) &amp; "Venue: " &amp; 'Profit &amp; Loss'!E647 &amp; CHAR(10) &amp; "Court No.: " &amp; 'Profit &amp; Loss'!F647 &amp; CHAR(10) &amp; "Level: HB - LI" &amp; CHAR(10) &amp; "Please transfer $" &amp; 'Profit &amp; Loss'!O647 &amp; " per pax to Belle (83396501)" &amp; CHAR(10) &amp; CHAR(10) &amp; IF('Profit &amp; Loss'!I647=1, "1." &amp; CHAR(10) &amp; "2." &amp; CHAR(10) &amp; "3." &amp; CHAR(10) &amp; "4." &amp; CHAR(10) &amp; "5." &amp; CHAR(10) &amp; "6." &amp; CHAR(10), IF('Profit &amp; Loss'!I647=2,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5" spans="1:2" ht="12.5" x14ac:dyDescent="0.25">
      <c r="A645" s="2" t="str">
        <f ca="1">IF('Profit &amp; Loss'!A648&gt;=TODAY(),"Looking for friendly players to join the following game: " &amp; CHAR(10) &amp; CHAR(10) &amp; "Date: " &amp; TEXT('Profit &amp; Loss'!A648,"dd mmm yyy") &amp; ", " &amp; 'Profit &amp; Loss'!B648 &amp; CHAR(10) &amp; "Time: " &amp; TEXT('Profit &amp; Loss'!C648, "hh:mm AM/PM") &amp; " - " &amp; TEXT('Profit &amp; Loss'!D648, "hh:mm AM/PM") &amp; CHAR(10) &amp; "Venue: " &amp; 'Profit &amp; Loss'!E648 &amp; CHAR(10) &amp; "Level: HB - LI" &amp; CHAR(10) &amp; "Cost: $" &amp; 'Profit &amp; Loss'!O648 &amp; " per pax" &amp; CHAR(10) &amp; "Max " &amp; 'Profit &amp; Loss'!I648*6 &amp; " pax," &amp; " (" &amp; 'Profit &amp; Loss'!I648 &amp; " courts)" &amp; CHAR(10) &amp; CHAR(10) &amp; "RSL Ultimate shuttles provided" &amp; CHAR(10) &amp; CHAR(10) &amp; "PM if interested, thank you!"," ")</f>
        <v xml:space="preserve"> </v>
      </c>
      <c r="B645" s="2" t="str">
        <f ca="1">IF('Profit &amp; Loss'!A648&gt;=TODAY(), "Date: " &amp; TEXT('Profit &amp; Loss'!A648,"dd mmm yyy") &amp; ", " &amp; 'Profit &amp; Loss'!B648 &amp; CHAR(10) &amp; "Time: " &amp; TEXT('Profit &amp; Loss'!C648, "hh:mm AM/PM") &amp; " - " &amp; TEXT('Profit &amp; Loss'!D648, "hh:mm AM/PM") &amp; CHAR(10) &amp; "Venue: " &amp; 'Profit &amp; Loss'!E648 &amp; CHAR(10) &amp; "Court No.: " &amp; 'Profit &amp; Loss'!F648 &amp; CHAR(10) &amp; "Level: HB - LI" &amp; CHAR(10) &amp; "Please transfer $" &amp; 'Profit &amp; Loss'!O648 &amp; " per pax to Belle (83396501)" &amp; CHAR(10) &amp; CHAR(10) &amp; IF('Profit &amp; Loss'!I648=1, "1." &amp; CHAR(10) &amp; "2." &amp; CHAR(10) &amp; "3." &amp; CHAR(10) &amp; "4." &amp; CHAR(10) &amp; "5." &amp; CHAR(10) &amp; "6." &amp; CHAR(10), IF('Profit &amp; Loss'!I648=2,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6" spans="1:2" ht="12.5" x14ac:dyDescent="0.25">
      <c r="A646" s="2" t="str">
        <f ca="1">IF('Profit &amp; Loss'!A649&gt;=TODAY(),"Looking for friendly players to join the following game: " &amp; CHAR(10) &amp; CHAR(10) &amp; "Date: " &amp; TEXT('Profit &amp; Loss'!A649,"dd mmm yyy") &amp; ", " &amp; 'Profit &amp; Loss'!B649 &amp; CHAR(10) &amp; "Time: " &amp; TEXT('Profit &amp; Loss'!C649, "hh:mm AM/PM") &amp; " - " &amp; TEXT('Profit &amp; Loss'!D649, "hh:mm AM/PM") &amp; CHAR(10) &amp; "Venue: " &amp; 'Profit &amp; Loss'!E649 &amp; CHAR(10) &amp; "Level: HB - LI" &amp; CHAR(10) &amp; "Cost: $" &amp; 'Profit &amp; Loss'!O649 &amp; " per pax" &amp; CHAR(10) &amp; "Max " &amp; 'Profit &amp; Loss'!I649*6 &amp; " pax," &amp; " (" &amp; 'Profit &amp; Loss'!I649 &amp; " courts)" &amp; CHAR(10) &amp; CHAR(10) &amp; "RSL Ultimate shuttles provided" &amp; CHAR(10) &amp; CHAR(10) &amp; "PM if interested, thank you!"," ")</f>
        <v xml:space="preserve"> </v>
      </c>
      <c r="B646" s="2" t="str">
        <f ca="1">IF('Profit &amp; Loss'!A649&gt;=TODAY(), "Date: " &amp; TEXT('Profit &amp; Loss'!A649,"dd mmm yyy") &amp; ", " &amp; 'Profit &amp; Loss'!B649 &amp; CHAR(10) &amp; "Time: " &amp; TEXT('Profit &amp; Loss'!C649, "hh:mm AM/PM") &amp; " - " &amp; TEXT('Profit &amp; Loss'!D649, "hh:mm AM/PM") &amp; CHAR(10) &amp; "Venue: " &amp; 'Profit &amp; Loss'!E649 &amp; CHAR(10) &amp; "Court No.: " &amp; 'Profit &amp; Loss'!F649 &amp; CHAR(10) &amp; "Level: HB - LI" &amp; CHAR(10) &amp; "Please transfer $" &amp; 'Profit &amp; Loss'!O649 &amp; " per pax to Belle (83396501)" &amp; CHAR(10) &amp; CHAR(10) &amp; IF('Profit &amp; Loss'!I649=1, "1." &amp; CHAR(10) &amp; "2." &amp; CHAR(10) &amp; "3." &amp; CHAR(10) &amp; "4." &amp; CHAR(10) &amp; "5." &amp; CHAR(10) &amp; "6." &amp; CHAR(10), IF('Profit &amp; Loss'!I649=2,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7" spans="1:2" ht="12.5" x14ac:dyDescent="0.25">
      <c r="A647" s="2" t="str">
        <f ca="1">IF('Profit &amp; Loss'!A650&gt;=TODAY(),"Looking for friendly players to join the following game: " &amp; CHAR(10) &amp; CHAR(10) &amp; "Date: " &amp; TEXT('Profit &amp; Loss'!A650,"dd mmm yyy") &amp; ", " &amp; 'Profit &amp; Loss'!B650 &amp; CHAR(10) &amp; "Time: " &amp; TEXT('Profit &amp; Loss'!C650, "hh:mm AM/PM") &amp; " - " &amp; TEXT('Profit &amp; Loss'!D650, "hh:mm AM/PM") &amp; CHAR(10) &amp; "Venue: " &amp; 'Profit &amp; Loss'!E650 &amp; CHAR(10) &amp; "Level: HB - LI" &amp; CHAR(10) &amp; "Cost: $" &amp; 'Profit &amp; Loss'!O650 &amp; " per pax" &amp; CHAR(10) &amp; "Max " &amp; 'Profit &amp; Loss'!I650*6 &amp; " pax," &amp; " (" &amp; 'Profit &amp; Loss'!I650 &amp; " courts)" &amp; CHAR(10) &amp; CHAR(10) &amp; "RSL Ultimate shuttles provided" &amp; CHAR(10) &amp; CHAR(10) &amp; "PM if interested, thank you!"," ")</f>
        <v xml:space="preserve"> </v>
      </c>
      <c r="B647" s="2" t="str">
        <f ca="1">IF('Profit &amp; Loss'!A650&gt;=TODAY(), "Date: " &amp; TEXT('Profit &amp; Loss'!A650,"dd mmm yyy") &amp; ", " &amp; 'Profit &amp; Loss'!B650 &amp; CHAR(10) &amp; "Time: " &amp; TEXT('Profit &amp; Loss'!C650, "hh:mm AM/PM") &amp; " - " &amp; TEXT('Profit &amp; Loss'!D650, "hh:mm AM/PM") &amp; CHAR(10) &amp; "Venue: " &amp; 'Profit &amp; Loss'!E650 &amp; CHAR(10) &amp; "Court No.: " &amp; 'Profit &amp; Loss'!F650 &amp; CHAR(10) &amp; "Level: HB - LI" &amp; CHAR(10) &amp; "Please transfer $" &amp; 'Profit &amp; Loss'!O650 &amp; " per pax to Belle (83396501)" &amp; CHAR(10) &amp; CHAR(10) &amp; IF('Profit &amp; Loss'!I650=1, "1." &amp; CHAR(10) &amp; "2." &amp; CHAR(10) &amp; "3." &amp; CHAR(10) &amp; "4." &amp; CHAR(10) &amp; "5." &amp; CHAR(10) &amp; "6." &amp; CHAR(10), IF('Profit &amp; Loss'!I650=2,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8" spans="1:2" ht="12.5" x14ac:dyDescent="0.25">
      <c r="A648" s="2" t="str">
        <f ca="1">IF('Profit &amp; Loss'!A651&gt;=TODAY(),"Looking for friendly players to join the following game: " &amp; CHAR(10) &amp; CHAR(10) &amp; "Date: " &amp; TEXT('Profit &amp; Loss'!A651,"dd mmm yyy") &amp; ", " &amp; 'Profit &amp; Loss'!B651 &amp; CHAR(10) &amp; "Time: " &amp; TEXT('Profit &amp; Loss'!C651, "hh:mm AM/PM") &amp; " - " &amp; TEXT('Profit &amp; Loss'!D651, "hh:mm AM/PM") &amp; CHAR(10) &amp; "Venue: " &amp; 'Profit &amp; Loss'!E651 &amp; CHAR(10) &amp; "Level: HB - LI" &amp; CHAR(10) &amp; "Cost: $" &amp; 'Profit &amp; Loss'!O651 &amp; " per pax" &amp; CHAR(10) &amp; "Max " &amp; 'Profit &amp; Loss'!I651*6 &amp; " pax," &amp; " (" &amp; 'Profit &amp; Loss'!I651 &amp; " courts)" &amp; CHAR(10) &amp; CHAR(10) &amp; "RSL Ultimate shuttles provided" &amp; CHAR(10) &amp; CHAR(10) &amp; "PM if interested, thank you!"," ")</f>
        <v xml:space="preserve"> </v>
      </c>
      <c r="B648" s="2" t="str">
        <f ca="1">IF('Profit &amp; Loss'!A651&gt;=TODAY(), "Date: " &amp; TEXT('Profit &amp; Loss'!A651,"dd mmm yyy") &amp; ", " &amp; 'Profit &amp; Loss'!B651 &amp; CHAR(10) &amp; "Time: " &amp; TEXT('Profit &amp; Loss'!C651, "hh:mm AM/PM") &amp; " - " &amp; TEXT('Profit &amp; Loss'!D651, "hh:mm AM/PM") &amp; CHAR(10) &amp; "Venue: " &amp; 'Profit &amp; Loss'!E651 &amp; CHAR(10) &amp; "Court No.: " &amp; 'Profit &amp; Loss'!F651 &amp; CHAR(10) &amp; "Level: HB - LI" &amp; CHAR(10) &amp; "Please transfer $" &amp; 'Profit &amp; Loss'!O651 &amp; " per pax to Belle (83396501)" &amp; CHAR(10) &amp; CHAR(10) &amp; IF('Profit &amp; Loss'!I651=1, "1." &amp; CHAR(10) &amp; "2." &amp; CHAR(10) &amp; "3." &amp; CHAR(10) &amp; "4." &amp; CHAR(10) &amp; "5." &amp; CHAR(10) &amp; "6." &amp; CHAR(10), IF('Profit &amp; Loss'!I651=2,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49" spans="1:2" ht="12.5" x14ac:dyDescent="0.25">
      <c r="A649" s="2" t="str">
        <f ca="1">IF('Profit &amp; Loss'!A652&gt;=TODAY(),"Looking for friendly players to join the following game: " &amp; CHAR(10) &amp; CHAR(10) &amp; "Date: " &amp; TEXT('Profit &amp; Loss'!A652,"dd mmm yyy") &amp; ", " &amp; 'Profit &amp; Loss'!B652 &amp; CHAR(10) &amp; "Time: " &amp; TEXT('Profit &amp; Loss'!C652, "hh:mm AM/PM") &amp; " - " &amp; TEXT('Profit &amp; Loss'!D652, "hh:mm AM/PM") &amp; CHAR(10) &amp; "Venue: " &amp; 'Profit &amp; Loss'!E652 &amp; CHAR(10) &amp; "Level: HB - LI" &amp; CHAR(10) &amp; "Cost: $" &amp; 'Profit &amp; Loss'!O652 &amp; " per pax" &amp; CHAR(10) &amp; "Max " &amp; 'Profit &amp; Loss'!I652*6 &amp; " pax," &amp; " (" &amp; 'Profit &amp; Loss'!I652 &amp; " courts)" &amp; CHAR(10) &amp; CHAR(10) &amp; "RSL Ultimate shuttles provided" &amp; CHAR(10) &amp; CHAR(10) &amp; "PM if interested, thank you!"," ")</f>
        <v xml:space="preserve"> </v>
      </c>
      <c r="B649" s="2" t="str">
        <f ca="1">IF('Profit &amp; Loss'!A652&gt;=TODAY(), "Date: " &amp; TEXT('Profit &amp; Loss'!A652,"dd mmm yyy") &amp; ", " &amp; 'Profit &amp; Loss'!B652 &amp; CHAR(10) &amp; "Time: " &amp; TEXT('Profit &amp; Loss'!C652, "hh:mm AM/PM") &amp; " - " &amp; TEXT('Profit &amp; Loss'!D652, "hh:mm AM/PM") &amp; CHAR(10) &amp; "Venue: " &amp; 'Profit &amp; Loss'!E652 &amp; CHAR(10) &amp; "Court No.: " &amp; 'Profit &amp; Loss'!F652 &amp; CHAR(10) &amp; "Level: HB - LI" &amp; CHAR(10) &amp; "Please transfer $" &amp; 'Profit &amp; Loss'!O652 &amp; " per pax to Belle (83396501)" &amp; CHAR(10) &amp; CHAR(10) &amp; IF('Profit &amp; Loss'!I652=1, "1." &amp; CHAR(10) &amp; "2." &amp; CHAR(10) &amp; "3." &amp; CHAR(10) &amp; "4." &amp; CHAR(10) &amp; "5." &amp; CHAR(10) &amp; "6." &amp; CHAR(10), IF('Profit &amp; Loss'!I652=2,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0" spans="1:2" ht="12.5" x14ac:dyDescent="0.25">
      <c r="A650" s="2" t="str">
        <f ca="1">IF('Profit &amp; Loss'!A653&gt;=TODAY(),"Looking for friendly players to join the following game: " &amp; CHAR(10) &amp; CHAR(10) &amp; "Date: " &amp; TEXT('Profit &amp; Loss'!A653,"dd mmm yyy") &amp; ", " &amp; 'Profit &amp; Loss'!B653 &amp; CHAR(10) &amp; "Time: " &amp; TEXT('Profit &amp; Loss'!C653, "hh:mm AM/PM") &amp; " - " &amp; TEXT('Profit &amp; Loss'!D653, "hh:mm AM/PM") &amp; CHAR(10) &amp; "Venue: " &amp; 'Profit &amp; Loss'!E653 &amp; CHAR(10) &amp; "Level: HB - LI" &amp; CHAR(10) &amp; "Cost: $" &amp; 'Profit &amp; Loss'!O653 &amp; " per pax" &amp; CHAR(10) &amp; "Max " &amp; 'Profit &amp; Loss'!I653*6 &amp; " pax," &amp; " (" &amp; 'Profit &amp; Loss'!I653 &amp; " courts)" &amp; CHAR(10) &amp; CHAR(10) &amp; "RSL Ultimate shuttles provided" &amp; CHAR(10) &amp; CHAR(10) &amp; "PM if interested, thank you!"," ")</f>
        <v xml:space="preserve"> </v>
      </c>
      <c r="B650" s="2" t="str">
        <f ca="1">IF('Profit &amp; Loss'!A653&gt;=TODAY(), "Date: " &amp; TEXT('Profit &amp; Loss'!A653,"dd mmm yyy") &amp; ", " &amp; 'Profit &amp; Loss'!B653 &amp; CHAR(10) &amp; "Time: " &amp; TEXT('Profit &amp; Loss'!C653, "hh:mm AM/PM") &amp; " - " &amp; TEXT('Profit &amp; Loss'!D653, "hh:mm AM/PM") &amp; CHAR(10) &amp; "Venue: " &amp; 'Profit &amp; Loss'!E653 &amp; CHAR(10) &amp; "Court No.: " &amp; 'Profit &amp; Loss'!F653 &amp; CHAR(10) &amp; "Level: HB - LI" &amp; CHAR(10) &amp; "Please transfer $" &amp; 'Profit &amp; Loss'!O653 &amp; " per pax to Belle (83396501)" &amp; CHAR(10) &amp; CHAR(10) &amp; IF('Profit &amp; Loss'!I653=1, "1." &amp; CHAR(10) &amp; "2." &amp; CHAR(10) &amp; "3." &amp; CHAR(10) &amp; "4." &amp; CHAR(10) &amp; "5." &amp; CHAR(10) &amp; "6." &amp; CHAR(10), IF('Profit &amp; Loss'!I653=2,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1" spans="1:2" ht="12.5" x14ac:dyDescent="0.25">
      <c r="A651" s="2" t="str">
        <f ca="1">IF('Profit &amp; Loss'!A654&gt;=TODAY(),"Looking for friendly players to join the following game: " &amp; CHAR(10) &amp; CHAR(10) &amp; "Date: " &amp; TEXT('Profit &amp; Loss'!A654,"dd mmm yyy") &amp; ", " &amp; 'Profit &amp; Loss'!B654 &amp; CHAR(10) &amp; "Time: " &amp; TEXT('Profit &amp; Loss'!C654, "hh:mm AM/PM") &amp; " - " &amp; TEXT('Profit &amp; Loss'!D654, "hh:mm AM/PM") &amp; CHAR(10) &amp; "Venue: " &amp; 'Profit &amp; Loss'!E654 &amp; CHAR(10) &amp; "Level: HB - LI" &amp; CHAR(10) &amp; "Cost: $" &amp; 'Profit &amp; Loss'!O654 &amp; " per pax" &amp; CHAR(10) &amp; "Max " &amp; 'Profit &amp; Loss'!I654*6 &amp; " pax," &amp; " (" &amp; 'Profit &amp; Loss'!I654 &amp; " courts)" &amp; CHAR(10) &amp; CHAR(10) &amp; "RSL Ultimate shuttles provided" &amp; CHAR(10) &amp; CHAR(10) &amp; "PM if interested, thank you!"," ")</f>
        <v xml:space="preserve"> </v>
      </c>
      <c r="B651" s="2" t="str">
        <f ca="1">IF('Profit &amp; Loss'!A654&gt;=TODAY(), "Date: " &amp; TEXT('Profit &amp; Loss'!A654,"dd mmm yyy") &amp; ", " &amp; 'Profit &amp; Loss'!B654 &amp; CHAR(10) &amp; "Time: " &amp; TEXT('Profit &amp; Loss'!C654, "hh:mm AM/PM") &amp; " - " &amp; TEXT('Profit &amp; Loss'!D654, "hh:mm AM/PM") &amp; CHAR(10) &amp; "Venue: " &amp; 'Profit &amp; Loss'!E654 &amp; CHAR(10) &amp; "Court No.: " &amp; 'Profit &amp; Loss'!F654 &amp; CHAR(10) &amp; "Level: HB - LI" &amp; CHAR(10) &amp; "Please transfer $" &amp; 'Profit &amp; Loss'!O654 &amp; " per pax to Belle (83396501)" &amp; CHAR(10) &amp; CHAR(10) &amp; IF('Profit &amp; Loss'!I654=1, "1." &amp; CHAR(10) &amp; "2." &amp; CHAR(10) &amp; "3." &amp; CHAR(10) &amp; "4." &amp; CHAR(10) &amp; "5." &amp; CHAR(10) &amp; "6." &amp; CHAR(10), IF('Profit &amp; Loss'!I654=2,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2" spans="1:2" ht="12.5" x14ac:dyDescent="0.25">
      <c r="A652" s="2" t="str">
        <f ca="1">IF('Profit &amp; Loss'!A655&gt;=TODAY(),"Looking for friendly players to join the following game: " &amp; CHAR(10) &amp; CHAR(10) &amp; "Date: " &amp; TEXT('Profit &amp; Loss'!A655,"dd mmm yyy") &amp; ", " &amp; 'Profit &amp; Loss'!B655 &amp; CHAR(10) &amp; "Time: " &amp; TEXT('Profit &amp; Loss'!C655, "hh:mm AM/PM") &amp; " - " &amp; TEXT('Profit &amp; Loss'!D655, "hh:mm AM/PM") &amp; CHAR(10) &amp; "Venue: " &amp; 'Profit &amp; Loss'!E655 &amp; CHAR(10) &amp; "Level: HB - LI" &amp; CHAR(10) &amp; "Cost: $" &amp; 'Profit &amp; Loss'!O655 &amp; " per pax" &amp; CHAR(10) &amp; "Max " &amp; 'Profit &amp; Loss'!I655*6 &amp; " pax," &amp; " (" &amp; 'Profit &amp; Loss'!I655 &amp; " courts)" &amp; CHAR(10) &amp; CHAR(10) &amp; "RSL Ultimate shuttles provided" &amp; CHAR(10) &amp; CHAR(10) &amp; "PM if interested, thank you!"," ")</f>
        <v xml:space="preserve"> </v>
      </c>
      <c r="B652" s="2" t="str">
        <f ca="1">IF('Profit &amp; Loss'!A655&gt;=TODAY(), "Date: " &amp; TEXT('Profit &amp; Loss'!A655,"dd mmm yyy") &amp; ", " &amp; 'Profit &amp; Loss'!B655 &amp; CHAR(10) &amp; "Time: " &amp; TEXT('Profit &amp; Loss'!C655, "hh:mm AM/PM") &amp; " - " &amp; TEXT('Profit &amp; Loss'!D655, "hh:mm AM/PM") &amp; CHAR(10) &amp; "Venue: " &amp; 'Profit &amp; Loss'!E655 &amp; CHAR(10) &amp; "Court No.: " &amp; 'Profit &amp; Loss'!F655 &amp; CHAR(10) &amp; "Level: HB - LI" &amp; CHAR(10) &amp; "Please transfer $" &amp; 'Profit &amp; Loss'!O655 &amp; " per pax to Belle (83396501)" &amp; CHAR(10) &amp; CHAR(10) &amp; IF('Profit &amp; Loss'!I655=1, "1." &amp; CHAR(10) &amp; "2." &amp; CHAR(10) &amp; "3." &amp; CHAR(10) &amp; "4." &amp; CHAR(10) &amp; "5." &amp; CHAR(10) &amp; "6." &amp; CHAR(10), IF('Profit &amp; Loss'!I655=2,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3" spans="1:2" ht="12.5" x14ac:dyDescent="0.25">
      <c r="A653" s="2" t="str">
        <f ca="1">IF('Profit &amp; Loss'!A656&gt;=TODAY(),"Looking for friendly players to join the following game: " &amp; CHAR(10) &amp; CHAR(10) &amp; "Date: " &amp; TEXT('Profit &amp; Loss'!A656,"dd mmm yyy") &amp; ", " &amp; 'Profit &amp; Loss'!B656 &amp; CHAR(10) &amp; "Time: " &amp; TEXT('Profit &amp; Loss'!C656, "hh:mm AM/PM") &amp; " - " &amp; TEXT('Profit &amp; Loss'!D656, "hh:mm AM/PM") &amp; CHAR(10) &amp; "Venue: " &amp; 'Profit &amp; Loss'!E656 &amp; CHAR(10) &amp; "Level: HB - LI" &amp; CHAR(10) &amp; "Cost: $" &amp; 'Profit &amp; Loss'!O656 &amp; " per pax" &amp; CHAR(10) &amp; "Max " &amp; 'Profit &amp; Loss'!I656*6 &amp; " pax," &amp; " (" &amp; 'Profit &amp; Loss'!I656 &amp; " courts)" &amp; CHAR(10) &amp; CHAR(10) &amp; "RSL Ultimate shuttles provided" &amp; CHAR(10) &amp; CHAR(10) &amp; "PM if interested, thank you!"," ")</f>
        <v xml:space="preserve"> </v>
      </c>
      <c r="B653" s="2" t="str">
        <f ca="1">IF('Profit &amp; Loss'!A656&gt;=TODAY(), "Date: " &amp; TEXT('Profit &amp; Loss'!A656,"dd mmm yyy") &amp; ", " &amp; 'Profit &amp; Loss'!B656 &amp; CHAR(10) &amp; "Time: " &amp; TEXT('Profit &amp; Loss'!C656, "hh:mm AM/PM") &amp; " - " &amp; TEXT('Profit &amp; Loss'!D656, "hh:mm AM/PM") &amp; CHAR(10) &amp; "Venue: " &amp; 'Profit &amp; Loss'!E656 &amp; CHAR(10) &amp; "Court No.: " &amp; 'Profit &amp; Loss'!F656 &amp; CHAR(10) &amp; "Level: HB - LI" &amp; CHAR(10) &amp; "Please transfer $" &amp; 'Profit &amp; Loss'!O656 &amp; " per pax to Belle (83396501)" &amp; CHAR(10) &amp; CHAR(10) &amp; IF('Profit &amp; Loss'!I656=1, "1." &amp; CHAR(10) &amp; "2." &amp; CHAR(10) &amp; "3." &amp; CHAR(10) &amp; "4." &amp; CHAR(10) &amp; "5." &amp; CHAR(10) &amp; "6." &amp; CHAR(10), IF('Profit &amp; Loss'!I656=2,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4" spans="1:2" ht="12.5" x14ac:dyDescent="0.25">
      <c r="A654" s="2" t="str">
        <f ca="1">IF('Profit &amp; Loss'!A657&gt;=TODAY(),"Looking for friendly players to join the following game: " &amp; CHAR(10) &amp; CHAR(10) &amp; "Date: " &amp; TEXT('Profit &amp; Loss'!A657,"dd mmm yyy") &amp; ", " &amp; 'Profit &amp; Loss'!B657 &amp; CHAR(10) &amp; "Time: " &amp; TEXT('Profit &amp; Loss'!C657, "hh:mm AM/PM") &amp; " - " &amp; TEXT('Profit &amp; Loss'!D657, "hh:mm AM/PM") &amp; CHAR(10) &amp; "Venue: " &amp; 'Profit &amp; Loss'!E657 &amp; CHAR(10) &amp; "Level: HB - LI" &amp; CHAR(10) &amp; "Cost: $" &amp; 'Profit &amp; Loss'!O657 &amp; " per pax" &amp; CHAR(10) &amp; "Max " &amp; 'Profit &amp; Loss'!I657*6 &amp; " pax," &amp; " (" &amp; 'Profit &amp; Loss'!I657 &amp; " courts)" &amp; CHAR(10) &amp; CHAR(10) &amp; "RSL Ultimate shuttles provided" &amp; CHAR(10) &amp; CHAR(10) &amp; "PM if interested, thank you!"," ")</f>
        <v xml:space="preserve"> </v>
      </c>
      <c r="B654" s="2" t="str">
        <f ca="1">IF('Profit &amp; Loss'!A657&gt;=TODAY(), "Date: " &amp; TEXT('Profit &amp; Loss'!A657,"dd mmm yyy") &amp; ", " &amp; 'Profit &amp; Loss'!B657 &amp; CHAR(10) &amp; "Time: " &amp; TEXT('Profit &amp; Loss'!C657, "hh:mm AM/PM") &amp; " - " &amp; TEXT('Profit &amp; Loss'!D657, "hh:mm AM/PM") &amp; CHAR(10) &amp; "Venue: " &amp; 'Profit &amp; Loss'!E657 &amp; CHAR(10) &amp; "Court No.: " &amp; 'Profit &amp; Loss'!F657 &amp; CHAR(10) &amp; "Level: HB - LI" &amp; CHAR(10) &amp; "Please transfer $" &amp; 'Profit &amp; Loss'!O657 &amp; " per pax to Belle (83396501)" &amp; CHAR(10) &amp; CHAR(10) &amp; IF('Profit &amp; Loss'!I657=1, "1." &amp; CHAR(10) &amp; "2." &amp; CHAR(10) &amp; "3." &amp; CHAR(10) &amp; "4." &amp; CHAR(10) &amp; "5." &amp; CHAR(10) &amp; "6." &amp; CHAR(10), IF('Profit &amp; Loss'!I657=2,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5" spans="1:2" ht="12.5" x14ac:dyDescent="0.25">
      <c r="A655" s="2" t="str">
        <f ca="1">IF('Profit &amp; Loss'!A658&gt;=TODAY(),"Looking for friendly players to join the following game: " &amp; CHAR(10) &amp; CHAR(10) &amp; "Date: " &amp; TEXT('Profit &amp; Loss'!A658,"dd mmm yyy") &amp; ", " &amp; 'Profit &amp; Loss'!B658 &amp; CHAR(10) &amp; "Time: " &amp; TEXT('Profit &amp; Loss'!C658, "hh:mm AM/PM") &amp; " - " &amp; TEXT('Profit &amp; Loss'!D658, "hh:mm AM/PM") &amp; CHAR(10) &amp; "Venue: " &amp; 'Profit &amp; Loss'!E658 &amp; CHAR(10) &amp; "Level: HB - LI" &amp; CHAR(10) &amp; "Cost: $" &amp; 'Profit &amp; Loss'!O658 &amp; " per pax" &amp; CHAR(10) &amp; "Max " &amp; 'Profit &amp; Loss'!I658*6 &amp; " pax," &amp; " (" &amp; 'Profit &amp; Loss'!I658 &amp; " courts)" &amp; CHAR(10) &amp; CHAR(10) &amp; "RSL Ultimate shuttles provided" &amp; CHAR(10) &amp; CHAR(10) &amp; "PM if interested, thank you!"," ")</f>
        <v xml:space="preserve"> </v>
      </c>
      <c r="B655" s="2" t="str">
        <f ca="1">IF('Profit &amp; Loss'!A658&gt;=TODAY(), "Date: " &amp; TEXT('Profit &amp; Loss'!A658,"dd mmm yyy") &amp; ", " &amp; 'Profit &amp; Loss'!B658 &amp; CHAR(10) &amp; "Time: " &amp; TEXT('Profit &amp; Loss'!C658, "hh:mm AM/PM") &amp; " - " &amp; TEXT('Profit &amp; Loss'!D658, "hh:mm AM/PM") &amp; CHAR(10) &amp; "Venue: " &amp; 'Profit &amp; Loss'!E658 &amp; CHAR(10) &amp; "Court No.: " &amp; 'Profit &amp; Loss'!F658 &amp; CHAR(10) &amp; "Level: HB - LI" &amp; CHAR(10) &amp; "Please transfer $" &amp; 'Profit &amp; Loss'!O658 &amp; " per pax to Belle (83396501)" &amp; CHAR(10) &amp; CHAR(10) &amp; IF('Profit &amp; Loss'!I658=1, "1." &amp; CHAR(10) &amp; "2." &amp; CHAR(10) &amp; "3." &amp; CHAR(10) &amp; "4." &amp; CHAR(10) &amp; "5." &amp; CHAR(10) &amp; "6." &amp; CHAR(10), IF('Profit &amp; Loss'!I658=2,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6" spans="1:2" ht="12.5" x14ac:dyDescent="0.25">
      <c r="A656" s="2" t="str">
        <f ca="1">IF('Profit &amp; Loss'!A659&gt;=TODAY(),"Looking for friendly players to join the following game: " &amp; CHAR(10) &amp; CHAR(10) &amp; "Date: " &amp; TEXT('Profit &amp; Loss'!A659,"dd mmm yyy") &amp; ", " &amp; 'Profit &amp; Loss'!B659 &amp; CHAR(10) &amp; "Time: " &amp; TEXT('Profit &amp; Loss'!C659, "hh:mm AM/PM") &amp; " - " &amp; TEXT('Profit &amp; Loss'!D659, "hh:mm AM/PM") &amp; CHAR(10) &amp; "Venue: " &amp; 'Profit &amp; Loss'!E659 &amp; CHAR(10) &amp; "Level: HB - LI" &amp; CHAR(10) &amp; "Cost: $" &amp; 'Profit &amp; Loss'!O659 &amp; " per pax" &amp; CHAR(10) &amp; "Max " &amp; 'Profit &amp; Loss'!I659*6 &amp; " pax," &amp; " (" &amp; 'Profit &amp; Loss'!I659 &amp; " courts)" &amp; CHAR(10) &amp; CHAR(10) &amp; "RSL Ultimate shuttles provided" &amp; CHAR(10) &amp; CHAR(10) &amp; "PM if interested, thank you!"," ")</f>
        <v xml:space="preserve"> </v>
      </c>
      <c r="B656" s="2" t="str">
        <f ca="1">IF('Profit &amp; Loss'!A659&gt;=TODAY(), "Date: " &amp; TEXT('Profit &amp; Loss'!A659,"dd mmm yyy") &amp; ", " &amp; 'Profit &amp; Loss'!B659 &amp; CHAR(10) &amp; "Time: " &amp; TEXT('Profit &amp; Loss'!C659, "hh:mm AM/PM") &amp; " - " &amp; TEXT('Profit &amp; Loss'!D659, "hh:mm AM/PM") &amp; CHAR(10) &amp; "Venue: " &amp; 'Profit &amp; Loss'!E659 &amp; CHAR(10) &amp; "Court No.: " &amp; 'Profit &amp; Loss'!F659 &amp; CHAR(10) &amp; "Level: HB - LI" &amp; CHAR(10) &amp; "Please transfer $" &amp; 'Profit &amp; Loss'!O659 &amp; " per pax to Belle (83396501)" &amp; CHAR(10) &amp; CHAR(10) &amp; IF('Profit &amp; Loss'!I659=1, "1." &amp; CHAR(10) &amp; "2." &amp; CHAR(10) &amp; "3." &amp; CHAR(10) &amp; "4." &amp; CHAR(10) &amp; "5." &amp; CHAR(10) &amp; "6." &amp; CHAR(10), IF('Profit &amp; Loss'!I659=2,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7" spans="1:2" ht="12.5" x14ac:dyDescent="0.25">
      <c r="A657" s="2" t="str">
        <f ca="1">IF('Profit &amp; Loss'!A660&gt;=TODAY(),"Looking for friendly players to join the following game: " &amp; CHAR(10) &amp; CHAR(10) &amp; "Date: " &amp; TEXT('Profit &amp; Loss'!A660,"dd mmm yyy") &amp; ", " &amp; 'Profit &amp; Loss'!B660 &amp; CHAR(10) &amp; "Time: " &amp; TEXT('Profit &amp; Loss'!C660, "hh:mm AM/PM") &amp; " - " &amp; TEXT('Profit &amp; Loss'!D660, "hh:mm AM/PM") &amp; CHAR(10) &amp; "Venue: " &amp; 'Profit &amp; Loss'!E660 &amp; CHAR(10) &amp; "Level: HB - LI" &amp; CHAR(10) &amp; "Cost: $" &amp; 'Profit &amp; Loss'!O660 &amp; " per pax" &amp; CHAR(10) &amp; "Max " &amp; 'Profit &amp; Loss'!I660*6 &amp; " pax," &amp; " (" &amp; 'Profit &amp; Loss'!I660 &amp; " courts)" &amp; CHAR(10) &amp; CHAR(10) &amp; "RSL Ultimate shuttles provided" &amp; CHAR(10) &amp; CHAR(10) &amp; "PM if interested, thank you!"," ")</f>
        <v xml:space="preserve"> </v>
      </c>
      <c r="B657" s="2" t="str">
        <f ca="1">IF('Profit &amp; Loss'!A660&gt;=TODAY(), "Date: " &amp; TEXT('Profit &amp; Loss'!A660,"dd mmm yyy") &amp; ", " &amp; 'Profit &amp; Loss'!B660 &amp; CHAR(10) &amp; "Time: " &amp; TEXT('Profit &amp; Loss'!C660, "hh:mm AM/PM") &amp; " - " &amp; TEXT('Profit &amp; Loss'!D660, "hh:mm AM/PM") &amp; CHAR(10) &amp; "Venue: " &amp; 'Profit &amp; Loss'!E660 &amp; CHAR(10) &amp; "Court No.: " &amp; 'Profit &amp; Loss'!F660 &amp; CHAR(10) &amp; "Level: HB - LI" &amp; CHAR(10) &amp; "Please transfer $" &amp; 'Profit &amp; Loss'!O660 &amp; " per pax to Belle (83396501)" &amp; CHAR(10) &amp; CHAR(10) &amp; IF('Profit &amp; Loss'!I660=1, "1." &amp; CHAR(10) &amp; "2." &amp; CHAR(10) &amp; "3." &amp; CHAR(10) &amp; "4." &amp; CHAR(10) &amp; "5." &amp; CHAR(10) &amp; "6." &amp; CHAR(10), IF('Profit &amp; Loss'!I660=2,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8" spans="1:2" ht="12.5" x14ac:dyDescent="0.25">
      <c r="A658" s="2" t="str">
        <f ca="1">IF('Profit &amp; Loss'!A661&gt;=TODAY(),"Looking for friendly players to join the following game: " &amp; CHAR(10) &amp; CHAR(10) &amp; "Date: " &amp; TEXT('Profit &amp; Loss'!A661,"dd mmm yyy") &amp; ", " &amp; 'Profit &amp; Loss'!B661 &amp; CHAR(10) &amp; "Time: " &amp; TEXT('Profit &amp; Loss'!C661, "hh:mm AM/PM") &amp; " - " &amp; TEXT('Profit &amp; Loss'!D661, "hh:mm AM/PM") &amp; CHAR(10) &amp; "Venue: " &amp; 'Profit &amp; Loss'!E661 &amp; CHAR(10) &amp; "Level: HB - LI" &amp; CHAR(10) &amp; "Cost: $" &amp; 'Profit &amp; Loss'!O661 &amp; " per pax" &amp; CHAR(10) &amp; "Max " &amp; 'Profit &amp; Loss'!I661*6 &amp; " pax," &amp; " (" &amp; 'Profit &amp; Loss'!I661 &amp; " courts)" &amp; CHAR(10) &amp; CHAR(10) &amp; "RSL Ultimate shuttles provided" &amp; CHAR(10) &amp; CHAR(10) &amp; "PM if interested, thank you!"," ")</f>
        <v xml:space="preserve"> </v>
      </c>
      <c r="B658" s="2" t="str">
        <f ca="1">IF('Profit &amp; Loss'!A661&gt;=TODAY(), "Date: " &amp; TEXT('Profit &amp; Loss'!A661,"dd mmm yyy") &amp; ", " &amp; 'Profit &amp; Loss'!B661 &amp; CHAR(10) &amp; "Time: " &amp; TEXT('Profit &amp; Loss'!C661, "hh:mm AM/PM") &amp; " - " &amp; TEXT('Profit &amp; Loss'!D661, "hh:mm AM/PM") &amp; CHAR(10) &amp; "Venue: " &amp; 'Profit &amp; Loss'!E661 &amp; CHAR(10) &amp; "Court No.: " &amp; 'Profit &amp; Loss'!F661 &amp; CHAR(10) &amp; "Level: HB - LI" &amp; CHAR(10) &amp; "Please transfer $" &amp; 'Profit &amp; Loss'!O661 &amp; " per pax to Belle (83396501)" &amp; CHAR(10) &amp; CHAR(10) &amp; IF('Profit &amp; Loss'!I661=1, "1." &amp; CHAR(10) &amp; "2." &amp; CHAR(10) &amp; "3." &amp; CHAR(10) &amp; "4." &amp; CHAR(10) &amp; "5." &amp; CHAR(10) &amp; "6." &amp; CHAR(10), IF('Profit &amp; Loss'!I661=2,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59" spans="1:2" ht="12.5" x14ac:dyDescent="0.25">
      <c r="A659" s="2" t="str">
        <f ca="1">IF('Profit &amp; Loss'!A662&gt;=TODAY(),"Looking for friendly players to join the following game: " &amp; CHAR(10) &amp; CHAR(10) &amp; "Date: " &amp; TEXT('Profit &amp; Loss'!A662,"dd mmm yyy") &amp; ", " &amp; 'Profit &amp; Loss'!B662 &amp; CHAR(10) &amp; "Time: " &amp; TEXT('Profit &amp; Loss'!C662, "hh:mm AM/PM") &amp; " - " &amp; TEXT('Profit &amp; Loss'!D662, "hh:mm AM/PM") &amp; CHAR(10) &amp; "Venue: " &amp; 'Profit &amp; Loss'!E662 &amp; CHAR(10) &amp; "Level: HB - LI" &amp; CHAR(10) &amp; "Cost: $" &amp; 'Profit &amp; Loss'!O662 &amp; " per pax" &amp; CHAR(10) &amp; "Max " &amp; 'Profit &amp; Loss'!I662*6 &amp; " pax," &amp; " (" &amp; 'Profit &amp; Loss'!I662 &amp; " courts)" &amp; CHAR(10) &amp; CHAR(10) &amp; "RSL Ultimate shuttles provided" &amp; CHAR(10) &amp; CHAR(10) &amp; "PM if interested, thank you!"," ")</f>
        <v xml:space="preserve"> </v>
      </c>
      <c r="B659" s="2" t="str">
        <f ca="1">IF('Profit &amp; Loss'!A662&gt;=TODAY(), "Date: " &amp; TEXT('Profit &amp; Loss'!A662,"dd mmm yyy") &amp; ", " &amp; 'Profit &amp; Loss'!B662 &amp; CHAR(10) &amp; "Time: " &amp; TEXT('Profit &amp; Loss'!C662, "hh:mm AM/PM") &amp; " - " &amp; TEXT('Profit &amp; Loss'!D662, "hh:mm AM/PM") &amp; CHAR(10) &amp; "Venue: " &amp; 'Profit &amp; Loss'!E662 &amp; CHAR(10) &amp; "Court No.: " &amp; 'Profit &amp; Loss'!F662 &amp; CHAR(10) &amp; "Level: HB - LI" &amp; CHAR(10) &amp; "Please transfer $" &amp; 'Profit &amp; Loss'!O662 &amp; " per pax to Belle (83396501)" &amp; CHAR(10) &amp; CHAR(10) &amp; IF('Profit &amp; Loss'!I662=1, "1." &amp; CHAR(10) &amp; "2." &amp; CHAR(10) &amp; "3." &amp; CHAR(10) &amp; "4." &amp; CHAR(10) &amp; "5." &amp; CHAR(10) &amp; "6." &amp; CHAR(10), IF('Profit &amp; Loss'!I662=2,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0" spans="1:2" ht="12.5" x14ac:dyDescent="0.25">
      <c r="A660" s="2" t="str">
        <f ca="1">IF('Profit &amp; Loss'!A663&gt;=TODAY(),"Looking for friendly players to join the following game: " &amp; CHAR(10) &amp; CHAR(10) &amp; "Date: " &amp; TEXT('Profit &amp; Loss'!A663,"dd mmm yyy") &amp; ", " &amp; 'Profit &amp; Loss'!B663 &amp; CHAR(10) &amp; "Time: " &amp; TEXT('Profit &amp; Loss'!C663, "hh:mm AM/PM") &amp; " - " &amp; TEXT('Profit &amp; Loss'!D663, "hh:mm AM/PM") &amp; CHAR(10) &amp; "Venue: " &amp; 'Profit &amp; Loss'!E663 &amp; CHAR(10) &amp; "Level: HB - LI" &amp; CHAR(10) &amp; "Cost: $" &amp; 'Profit &amp; Loss'!O663 &amp; " per pax" &amp; CHAR(10) &amp; "Max " &amp; 'Profit &amp; Loss'!I663*6 &amp; " pax," &amp; " (" &amp; 'Profit &amp; Loss'!I663 &amp; " courts)" &amp; CHAR(10) &amp; CHAR(10) &amp; "RSL Ultimate shuttles provided" &amp; CHAR(10) &amp; CHAR(10) &amp; "PM if interested, thank you!"," ")</f>
        <v xml:space="preserve"> </v>
      </c>
      <c r="B660" s="2" t="str">
        <f ca="1">IF('Profit &amp; Loss'!A663&gt;=TODAY(), "Date: " &amp; TEXT('Profit &amp; Loss'!A663,"dd mmm yyy") &amp; ", " &amp; 'Profit &amp; Loss'!B663 &amp; CHAR(10) &amp; "Time: " &amp; TEXT('Profit &amp; Loss'!C663, "hh:mm AM/PM") &amp; " - " &amp; TEXT('Profit &amp; Loss'!D663, "hh:mm AM/PM") &amp; CHAR(10) &amp; "Venue: " &amp; 'Profit &amp; Loss'!E663 &amp; CHAR(10) &amp; "Court No.: " &amp; 'Profit &amp; Loss'!F663 &amp; CHAR(10) &amp; "Level: HB - LI" &amp; CHAR(10) &amp; "Please transfer $" &amp; 'Profit &amp; Loss'!O663 &amp; " per pax to Belle (83396501)" &amp; CHAR(10) &amp; CHAR(10) &amp; IF('Profit &amp; Loss'!I663=1, "1." &amp; CHAR(10) &amp; "2." &amp; CHAR(10) &amp; "3." &amp; CHAR(10) &amp; "4." &amp; CHAR(10) &amp; "5." &amp; CHAR(10) &amp; "6." &amp; CHAR(10), IF('Profit &amp; Loss'!I663=2,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1" spans="1:2" ht="12.5" x14ac:dyDescent="0.25">
      <c r="A661" s="2" t="str">
        <f ca="1">IF('Profit &amp; Loss'!A664&gt;=TODAY(),"Looking for friendly players to join the following game: " &amp; CHAR(10) &amp; CHAR(10) &amp; "Date: " &amp; TEXT('Profit &amp; Loss'!A664,"dd mmm yyy") &amp; ", " &amp; 'Profit &amp; Loss'!B664 &amp; CHAR(10) &amp; "Time: " &amp; TEXT('Profit &amp; Loss'!C664, "hh:mm AM/PM") &amp; " - " &amp; TEXT('Profit &amp; Loss'!D664, "hh:mm AM/PM") &amp; CHAR(10) &amp; "Venue: " &amp; 'Profit &amp; Loss'!E664 &amp; CHAR(10) &amp; "Level: HB - LI" &amp; CHAR(10) &amp; "Cost: $" &amp; 'Profit &amp; Loss'!O664 &amp; " per pax" &amp; CHAR(10) &amp; "Max " &amp; 'Profit &amp; Loss'!I664*6 &amp; " pax," &amp; " (" &amp; 'Profit &amp; Loss'!I664 &amp; " courts)" &amp; CHAR(10) &amp; CHAR(10) &amp; "RSL Ultimate shuttles provided" &amp; CHAR(10) &amp; CHAR(10) &amp; "PM if interested, thank you!"," ")</f>
        <v xml:space="preserve"> </v>
      </c>
      <c r="B661" s="2" t="str">
        <f ca="1">IF('Profit &amp; Loss'!A664&gt;=TODAY(), "Date: " &amp; TEXT('Profit &amp; Loss'!A664,"dd mmm yyy") &amp; ", " &amp; 'Profit &amp; Loss'!B664 &amp; CHAR(10) &amp; "Time: " &amp; TEXT('Profit &amp; Loss'!C664, "hh:mm AM/PM") &amp; " - " &amp; TEXT('Profit &amp; Loss'!D664, "hh:mm AM/PM") &amp; CHAR(10) &amp; "Venue: " &amp; 'Profit &amp; Loss'!E664 &amp; CHAR(10) &amp; "Court No.: " &amp; 'Profit &amp; Loss'!F664 &amp; CHAR(10) &amp; "Level: HB - LI" &amp; CHAR(10) &amp; "Please transfer $" &amp; 'Profit &amp; Loss'!O664 &amp; " per pax to Belle (83396501)" &amp; CHAR(10) &amp; CHAR(10) &amp; IF('Profit &amp; Loss'!I664=1, "1." &amp; CHAR(10) &amp; "2." &amp; CHAR(10) &amp; "3." &amp; CHAR(10) &amp; "4." &amp; CHAR(10) &amp; "5." &amp; CHAR(10) &amp; "6." &amp; CHAR(10), IF('Profit &amp; Loss'!I664=2,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2" spans="1:2" ht="12.5" x14ac:dyDescent="0.25">
      <c r="A662" s="2" t="str">
        <f ca="1">IF('Profit &amp; Loss'!A665&gt;=TODAY(),"Looking for friendly players to join the following game: " &amp; CHAR(10) &amp; CHAR(10) &amp; "Date: " &amp; TEXT('Profit &amp; Loss'!A665,"dd mmm yyy") &amp; ", " &amp; 'Profit &amp; Loss'!B665 &amp; CHAR(10) &amp; "Time: " &amp; TEXT('Profit &amp; Loss'!C665, "hh:mm AM/PM") &amp; " - " &amp; TEXT('Profit &amp; Loss'!D665, "hh:mm AM/PM") &amp; CHAR(10) &amp; "Venue: " &amp; 'Profit &amp; Loss'!E665 &amp; CHAR(10) &amp; "Level: HB - LI" &amp; CHAR(10) &amp; "Cost: $" &amp; 'Profit &amp; Loss'!O665 &amp; " per pax" &amp; CHAR(10) &amp; "Max " &amp; 'Profit &amp; Loss'!I665*6 &amp; " pax," &amp; " (" &amp; 'Profit &amp; Loss'!I665 &amp; " courts)" &amp; CHAR(10) &amp; CHAR(10) &amp; "RSL Ultimate shuttles provided" &amp; CHAR(10) &amp; CHAR(10) &amp; "PM if interested, thank you!"," ")</f>
        <v xml:space="preserve"> </v>
      </c>
      <c r="B662" s="2" t="str">
        <f ca="1">IF('Profit &amp; Loss'!A665&gt;=TODAY(), "Date: " &amp; TEXT('Profit &amp; Loss'!A665,"dd mmm yyy") &amp; ", " &amp; 'Profit &amp; Loss'!B665 &amp; CHAR(10) &amp; "Time: " &amp; TEXT('Profit &amp; Loss'!C665, "hh:mm AM/PM") &amp; " - " &amp; TEXT('Profit &amp; Loss'!D665, "hh:mm AM/PM") &amp; CHAR(10) &amp; "Venue: " &amp; 'Profit &amp; Loss'!E665 &amp; CHAR(10) &amp; "Court No.: " &amp; 'Profit &amp; Loss'!F665 &amp; CHAR(10) &amp; "Level: HB - LI" &amp; CHAR(10) &amp; "Please transfer $" &amp; 'Profit &amp; Loss'!O665 &amp; " per pax to Belle (83396501)" &amp; CHAR(10) &amp; CHAR(10) &amp; IF('Profit &amp; Loss'!I665=1, "1." &amp; CHAR(10) &amp; "2." &amp; CHAR(10) &amp; "3." &amp; CHAR(10) &amp; "4." &amp; CHAR(10) &amp; "5." &amp; CHAR(10) &amp; "6." &amp; CHAR(10), IF('Profit &amp; Loss'!I665=2,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3" spans="1:2" ht="12.5" x14ac:dyDescent="0.25">
      <c r="A663" s="2" t="str">
        <f ca="1">IF('Profit &amp; Loss'!A666&gt;=TODAY(),"Looking for friendly players to join the following game: " &amp; CHAR(10) &amp; CHAR(10) &amp; "Date: " &amp; TEXT('Profit &amp; Loss'!A666,"dd mmm yyy") &amp; ", " &amp; 'Profit &amp; Loss'!B666 &amp; CHAR(10) &amp; "Time: " &amp; TEXT('Profit &amp; Loss'!C666, "hh:mm AM/PM") &amp; " - " &amp; TEXT('Profit &amp; Loss'!D666, "hh:mm AM/PM") &amp; CHAR(10) &amp; "Venue: " &amp; 'Profit &amp; Loss'!E666 &amp; CHAR(10) &amp; "Level: HB - LI" &amp; CHAR(10) &amp; "Cost: $" &amp; 'Profit &amp; Loss'!O666 &amp; " per pax" &amp; CHAR(10) &amp; "Max " &amp; 'Profit &amp; Loss'!I666*6 &amp; " pax," &amp; " (" &amp; 'Profit &amp; Loss'!I666 &amp; " courts)" &amp; CHAR(10) &amp; CHAR(10) &amp; "RSL Ultimate shuttles provided" &amp; CHAR(10) &amp; CHAR(10) &amp; "PM if interested, thank you!"," ")</f>
        <v xml:space="preserve"> </v>
      </c>
      <c r="B663" s="2" t="str">
        <f ca="1">IF('Profit &amp; Loss'!A666&gt;=TODAY(), "Date: " &amp; TEXT('Profit &amp; Loss'!A666,"dd mmm yyy") &amp; ", " &amp; 'Profit &amp; Loss'!B666 &amp; CHAR(10) &amp; "Time: " &amp; TEXT('Profit &amp; Loss'!C666, "hh:mm AM/PM") &amp; " - " &amp; TEXT('Profit &amp; Loss'!D666, "hh:mm AM/PM") &amp; CHAR(10) &amp; "Venue: " &amp; 'Profit &amp; Loss'!E666 &amp; CHAR(10) &amp; "Court No.: " &amp; 'Profit &amp; Loss'!F666 &amp; CHAR(10) &amp; "Level: HB - LI" &amp; CHAR(10) &amp; "Please transfer $" &amp; 'Profit &amp; Loss'!O666 &amp; " per pax to Belle (83396501)" &amp; CHAR(10) &amp; CHAR(10) &amp; IF('Profit &amp; Loss'!I666=1, "1." &amp; CHAR(10) &amp; "2." &amp; CHAR(10) &amp; "3." &amp; CHAR(10) &amp; "4." &amp; CHAR(10) &amp; "5." &amp; CHAR(10) &amp; "6." &amp; CHAR(10), IF('Profit &amp; Loss'!I666=2,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4" spans="1:2" ht="12.5" x14ac:dyDescent="0.25">
      <c r="A664" s="2" t="str">
        <f ca="1">IF('Profit &amp; Loss'!A667&gt;=TODAY(),"Looking for friendly players to join the following game: " &amp; CHAR(10) &amp; CHAR(10) &amp; "Date: " &amp; TEXT('Profit &amp; Loss'!A667,"dd mmm yyy") &amp; ", " &amp; 'Profit &amp; Loss'!B667 &amp; CHAR(10) &amp; "Time: " &amp; TEXT('Profit &amp; Loss'!C667, "hh:mm AM/PM") &amp; " - " &amp; TEXT('Profit &amp; Loss'!D667, "hh:mm AM/PM") &amp; CHAR(10) &amp; "Venue: " &amp; 'Profit &amp; Loss'!E667 &amp; CHAR(10) &amp; "Level: HB - LI" &amp; CHAR(10) &amp; "Cost: $" &amp; 'Profit &amp; Loss'!O667 &amp; " per pax" &amp; CHAR(10) &amp; "Max " &amp; 'Profit &amp; Loss'!I667*6 &amp; " pax," &amp; " (" &amp; 'Profit &amp; Loss'!I667 &amp; " courts)" &amp; CHAR(10) &amp; CHAR(10) &amp; "RSL Ultimate shuttles provided" &amp; CHAR(10) &amp; CHAR(10) &amp; "PM if interested, thank you!"," ")</f>
        <v xml:space="preserve"> </v>
      </c>
      <c r="B664" s="2" t="str">
        <f ca="1">IF('Profit &amp; Loss'!A667&gt;=TODAY(), "Date: " &amp; TEXT('Profit &amp; Loss'!A667,"dd mmm yyy") &amp; ", " &amp; 'Profit &amp; Loss'!B667 &amp; CHAR(10) &amp; "Time: " &amp; TEXT('Profit &amp; Loss'!C667, "hh:mm AM/PM") &amp; " - " &amp; TEXT('Profit &amp; Loss'!D667, "hh:mm AM/PM") &amp; CHAR(10) &amp; "Venue: " &amp; 'Profit &amp; Loss'!E667 &amp; CHAR(10) &amp; "Court No.: " &amp; 'Profit &amp; Loss'!F667 &amp; CHAR(10) &amp; "Level: HB - LI" &amp; CHAR(10) &amp; "Please transfer $" &amp; 'Profit &amp; Loss'!O667 &amp; " per pax to Belle (83396501)" &amp; CHAR(10) &amp; CHAR(10) &amp; IF('Profit &amp; Loss'!I667=1, "1." &amp; CHAR(10) &amp; "2." &amp; CHAR(10) &amp; "3." &amp; CHAR(10) &amp; "4." &amp; CHAR(10) &amp; "5." &amp; CHAR(10) &amp; "6." &amp; CHAR(10), IF('Profit &amp; Loss'!I667=2,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5" spans="1:2" ht="12.5" x14ac:dyDescent="0.25">
      <c r="A665" s="2" t="str">
        <f ca="1">IF('Profit &amp; Loss'!A668&gt;=TODAY(),"Looking for friendly players to join the following game: " &amp; CHAR(10) &amp; CHAR(10) &amp; "Date: " &amp; TEXT('Profit &amp; Loss'!A668,"dd mmm yyy") &amp; ", " &amp; 'Profit &amp; Loss'!B668 &amp; CHAR(10) &amp; "Time: " &amp; TEXT('Profit &amp; Loss'!C668, "hh:mm AM/PM") &amp; " - " &amp; TEXT('Profit &amp; Loss'!D668, "hh:mm AM/PM") &amp; CHAR(10) &amp; "Venue: " &amp; 'Profit &amp; Loss'!E668 &amp; CHAR(10) &amp; "Level: HB - LI" &amp; CHAR(10) &amp; "Cost: $" &amp; 'Profit &amp; Loss'!O668 &amp; " per pax" &amp; CHAR(10) &amp; "Max " &amp; 'Profit &amp; Loss'!I668*6 &amp; " pax," &amp; " (" &amp; 'Profit &amp; Loss'!I668 &amp; " courts)" &amp; CHAR(10) &amp; CHAR(10) &amp; "RSL Ultimate shuttles provided" &amp; CHAR(10) &amp; CHAR(10) &amp; "PM if interested, thank you!"," ")</f>
        <v xml:space="preserve"> </v>
      </c>
      <c r="B665" s="2" t="str">
        <f ca="1">IF('Profit &amp; Loss'!A668&gt;=TODAY(), "Date: " &amp; TEXT('Profit &amp; Loss'!A668,"dd mmm yyy") &amp; ", " &amp; 'Profit &amp; Loss'!B668 &amp; CHAR(10) &amp; "Time: " &amp; TEXT('Profit &amp; Loss'!C668, "hh:mm AM/PM") &amp; " - " &amp; TEXT('Profit &amp; Loss'!D668, "hh:mm AM/PM") &amp; CHAR(10) &amp; "Venue: " &amp; 'Profit &amp; Loss'!E668 &amp; CHAR(10) &amp; "Court No.: " &amp; 'Profit &amp; Loss'!F668 &amp; CHAR(10) &amp; "Level: HB - LI" &amp; CHAR(10) &amp; "Please transfer $" &amp; 'Profit &amp; Loss'!O668 &amp; " per pax to Belle (83396501)" &amp; CHAR(10) &amp; CHAR(10) &amp; IF('Profit &amp; Loss'!I668=1, "1." &amp; CHAR(10) &amp; "2." &amp; CHAR(10) &amp; "3." &amp; CHAR(10) &amp; "4." &amp; CHAR(10) &amp; "5." &amp; CHAR(10) &amp; "6." &amp; CHAR(10), IF('Profit &amp; Loss'!I668=2,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6" spans="1:2" ht="12.5" x14ac:dyDescent="0.25">
      <c r="A666" s="2" t="str">
        <f ca="1">IF('Profit &amp; Loss'!A669&gt;=TODAY(),"Looking for friendly players to join the following game: " &amp; CHAR(10) &amp; CHAR(10) &amp; "Date: " &amp; TEXT('Profit &amp; Loss'!A669,"dd mmm yyy") &amp; ", " &amp; 'Profit &amp; Loss'!B669 &amp; CHAR(10) &amp; "Time: " &amp; TEXT('Profit &amp; Loss'!C669, "hh:mm AM/PM") &amp; " - " &amp; TEXT('Profit &amp; Loss'!D669, "hh:mm AM/PM") &amp; CHAR(10) &amp; "Venue: " &amp; 'Profit &amp; Loss'!E669 &amp; CHAR(10) &amp; "Level: HB - LI" &amp; CHAR(10) &amp; "Cost: $" &amp; 'Profit &amp; Loss'!O669 &amp; " per pax" &amp; CHAR(10) &amp; "Max " &amp; 'Profit &amp; Loss'!I669*6 &amp; " pax," &amp; " (" &amp; 'Profit &amp; Loss'!I669 &amp; " courts)" &amp; CHAR(10) &amp; CHAR(10) &amp; "RSL Ultimate shuttles provided" &amp; CHAR(10) &amp; CHAR(10) &amp; "PM if interested, thank you!"," ")</f>
        <v xml:space="preserve"> </v>
      </c>
      <c r="B666" s="2" t="str">
        <f ca="1">IF('Profit &amp; Loss'!A669&gt;=TODAY(), "Date: " &amp; TEXT('Profit &amp; Loss'!A669,"dd mmm yyy") &amp; ", " &amp; 'Profit &amp; Loss'!B669 &amp; CHAR(10) &amp; "Time: " &amp; TEXT('Profit &amp; Loss'!C669, "hh:mm AM/PM") &amp; " - " &amp; TEXT('Profit &amp; Loss'!D669, "hh:mm AM/PM") &amp; CHAR(10) &amp; "Venue: " &amp; 'Profit &amp; Loss'!E669 &amp; CHAR(10) &amp; "Court No.: " &amp; 'Profit &amp; Loss'!F669 &amp; CHAR(10) &amp; "Level: HB - LI" &amp; CHAR(10) &amp; "Please transfer $" &amp; 'Profit &amp; Loss'!O669 &amp; " per pax to Belle (83396501)" &amp; CHAR(10) &amp; CHAR(10) &amp; IF('Profit &amp; Loss'!I669=1, "1." &amp; CHAR(10) &amp; "2." &amp; CHAR(10) &amp; "3." &amp; CHAR(10) &amp; "4." &amp; CHAR(10) &amp; "5." &amp; CHAR(10) &amp; "6." &amp; CHAR(10), IF('Profit &amp; Loss'!I669=2,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7" spans="1:2" ht="12.5" x14ac:dyDescent="0.25">
      <c r="A667" s="2" t="str">
        <f ca="1">IF('Profit &amp; Loss'!A670&gt;=TODAY(),"Looking for friendly players to join the following game: " &amp; CHAR(10) &amp; CHAR(10) &amp; "Date: " &amp; TEXT('Profit &amp; Loss'!A670,"dd mmm yyy") &amp; ", " &amp; 'Profit &amp; Loss'!B670 &amp; CHAR(10) &amp; "Time: " &amp; TEXT('Profit &amp; Loss'!C670, "hh:mm AM/PM") &amp; " - " &amp; TEXT('Profit &amp; Loss'!D670, "hh:mm AM/PM") &amp; CHAR(10) &amp; "Venue: " &amp; 'Profit &amp; Loss'!E670 &amp; CHAR(10) &amp; "Level: HB - LI" &amp; CHAR(10) &amp; "Cost: $" &amp; 'Profit &amp; Loss'!O670 &amp; " per pax" &amp; CHAR(10) &amp; "Max " &amp; 'Profit &amp; Loss'!I670*6 &amp; " pax," &amp; " (" &amp; 'Profit &amp; Loss'!I670 &amp; " courts)" &amp; CHAR(10) &amp; CHAR(10) &amp; "RSL Ultimate shuttles provided" &amp; CHAR(10) &amp; CHAR(10) &amp; "PM if interested, thank you!"," ")</f>
        <v xml:space="preserve"> </v>
      </c>
      <c r="B667" s="2" t="str">
        <f ca="1">IF('Profit &amp; Loss'!A670&gt;=TODAY(), "Date: " &amp; TEXT('Profit &amp; Loss'!A670,"dd mmm yyy") &amp; ", " &amp; 'Profit &amp; Loss'!B670 &amp; CHAR(10) &amp; "Time: " &amp; TEXT('Profit &amp; Loss'!C670, "hh:mm AM/PM") &amp; " - " &amp; TEXT('Profit &amp; Loss'!D670, "hh:mm AM/PM") &amp; CHAR(10) &amp; "Venue: " &amp; 'Profit &amp; Loss'!E670 &amp; CHAR(10) &amp; "Court No.: " &amp; 'Profit &amp; Loss'!F670 &amp; CHAR(10) &amp; "Level: HB - LI" &amp; CHAR(10) &amp; "Please transfer $" &amp; 'Profit &amp; Loss'!O670 &amp; " per pax to Belle (83396501)" &amp; CHAR(10) &amp; CHAR(10) &amp; IF('Profit &amp; Loss'!I670=1, "1." &amp; CHAR(10) &amp; "2." &amp; CHAR(10) &amp; "3." &amp; CHAR(10) &amp; "4." &amp; CHAR(10) &amp; "5." &amp; CHAR(10) &amp; "6." &amp; CHAR(10), IF('Profit &amp; Loss'!I670=2,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8" spans="1:2" ht="12.5" x14ac:dyDescent="0.25">
      <c r="A668" s="2" t="str">
        <f ca="1">IF('Profit &amp; Loss'!A671&gt;=TODAY(),"Looking for friendly players to join the following game: " &amp; CHAR(10) &amp; CHAR(10) &amp; "Date: " &amp; TEXT('Profit &amp; Loss'!A671,"dd mmm yyy") &amp; ", " &amp; 'Profit &amp; Loss'!B671 &amp; CHAR(10) &amp; "Time: " &amp; TEXT('Profit &amp; Loss'!C671, "hh:mm AM/PM") &amp; " - " &amp; TEXT('Profit &amp; Loss'!D671, "hh:mm AM/PM") &amp; CHAR(10) &amp; "Venue: " &amp; 'Profit &amp; Loss'!E671 &amp; CHAR(10) &amp; "Level: HB - LI" &amp; CHAR(10) &amp; "Cost: $" &amp; 'Profit &amp; Loss'!O671 &amp; " per pax" &amp; CHAR(10) &amp; "Max " &amp; 'Profit &amp; Loss'!I671*6 &amp; " pax," &amp; " (" &amp; 'Profit &amp; Loss'!I671 &amp; " courts)" &amp; CHAR(10) &amp; CHAR(10) &amp; "RSL Ultimate shuttles provided" &amp; CHAR(10) &amp; CHAR(10) &amp; "PM if interested, thank you!"," ")</f>
        <v xml:space="preserve"> </v>
      </c>
      <c r="B668" s="2" t="str">
        <f ca="1">IF('Profit &amp; Loss'!A671&gt;=TODAY(), "Date: " &amp; TEXT('Profit &amp; Loss'!A671,"dd mmm yyy") &amp; ", " &amp; 'Profit &amp; Loss'!B671 &amp; CHAR(10) &amp; "Time: " &amp; TEXT('Profit &amp; Loss'!C671, "hh:mm AM/PM") &amp; " - " &amp; TEXT('Profit &amp; Loss'!D671, "hh:mm AM/PM") &amp; CHAR(10) &amp; "Venue: " &amp; 'Profit &amp; Loss'!E671 &amp; CHAR(10) &amp; "Court No.: " &amp; 'Profit &amp; Loss'!F671 &amp; CHAR(10) &amp; "Level: HB - LI" &amp; CHAR(10) &amp; "Please transfer $" &amp; 'Profit &amp; Loss'!O671 &amp; " per pax to Belle (83396501)" &amp; CHAR(10) &amp; CHAR(10) &amp; IF('Profit &amp; Loss'!I671=1, "1." &amp; CHAR(10) &amp; "2." &amp; CHAR(10) &amp; "3." &amp; CHAR(10) &amp; "4." &amp; CHAR(10) &amp; "5." &amp; CHAR(10) &amp; "6." &amp; CHAR(10), IF('Profit &amp; Loss'!I671=2,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69" spans="1:2" ht="12.5" x14ac:dyDescent="0.25">
      <c r="A669" s="2" t="str">
        <f ca="1">IF('Profit &amp; Loss'!A672&gt;=TODAY(),"Looking for friendly players to join the following game: " &amp; CHAR(10) &amp; CHAR(10) &amp; "Date: " &amp; TEXT('Profit &amp; Loss'!A672,"dd mmm yyy") &amp; ", " &amp; 'Profit &amp; Loss'!B672 &amp; CHAR(10) &amp; "Time: " &amp; TEXT('Profit &amp; Loss'!C672, "hh:mm AM/PM") &amp; " - " &amp; TEXT('Profit &amp; Loss'!D672, "hh:mm AM/PM") &amp; CHAR(10) &amp; "Venue: " &amp; 'Profit &amp; Loss'!E672 &amp; CHAR(10) &amp; "Level: HB - LI" &amp; CHAR(10) &amp; "Cost: $" &amp; 'Profit &amp; Loss'!O672 &amp; " per pax" &amp; CHAR(10) &amp; "Max " &amp; 'Profit &amp; Loss'!I672*6 &amp; " pax," &amp; " (" &amp; 'Profit &amp; Loss'!I672 &amp; " courts)" &amp; CHAR(10) &amp; CHAR(10) &amp; "RSL Ultimate shuttles provided" &amp; CHAR(10) &amp; CHAR(10) &amp; "PM if interested, thank you!"," ")</f>
        <v xml:space="preserve"> </v>
      </c>
      <c r="B669" s="2" t="str">
        <f ca="1">IF('Profit &amp; Loss'!A672&gt;=TODAY(), "Date: " &amp; TEXT('Profit &amp; Loss'!A672,"dd mmm yyy") &amp; ", " &amp; 'Profit &amp; Loss'!B672 &amp; CHAR(10) &amp; "Time: " &amp; TEXT('Profit &amp; Loss'!C672, "hh:mm AM/PM") &amp; " - " &amp; TEXT('Profit &amp; Loss'!D672, "hh:mm AM/PM") &amp; CHAR(10) &amp; "Venue: " &amp; 'Profit &amp; Loss'!E672 &amp; CHAR(10) &amp; "Court No.: " &amp; 'Profit &amp; Loss'!F672 &amp; CHAR(10) &amp; "Level: HB - LI" &amp; CHAR(10) &amp; "Please transfer $" &amp; 'Profit &amp; Loss'!O672 &amp; " per pax to Belle (83396501)" &amp; CHAR(10) &amp; CHAR(10) &amp; IF('Profit &amp; Loss'!I672=1, "1." &amp; CHAR(10) &amp; "2." &amp; CHAR(10) &amp; "3." &amp; CHAR(10) &amp; "4." &amp; CHAR(10) &amp; "5." &amp; CHAR(10) &amp; "6." &amp; CHAR(10), IF('Profit &amp; Loss'!I672=2,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0" spans="1:2" ht="12.5" x14ac:dyDescent="0.25">
      <c r="A670" s="2" t="str">
        <f ca="1">IF('Profit &amp; Loss'!A673&gt;=TODAY(),"Looking for friendly players to join the following game: " &amp; CHAR(10) &amp; CHAR(10) &amp; "Date: " &amp; TEXT('Profit &amp; Loss'!A673,"dd mmm yyy") &amp; ", " &amp; 'Profit &amp; Loss'!B673 &amp; CHAR(10) &amp; "Time: " &amp; TEXT('Profit &amp; Loss'!C673, "hh:mm AM/PM") &amp; " - " &amp; TEXT('Profit &amp; Loss'!D673, "hh:mm AM/PM") &amp; CHAR(10) &amp; "Venue: " &amp; 'Profit &amp; Loss'!E673 &amp; CHAR(10) &amp; "Level: HB - LI" &amp; CHAR(10) &amp; "Cost: $" &amp; 'Profit &amp; Loss'!O673 &amp; " per pax" &amp; CHAR(10) &amp; "Max " &amp; 'Profit &amp; Loss'!I673*6 &amp; " pax," &amp; " (" &amp; 'Profit &amp; Loss'!I673 &amp; " courts)" &amp; CHAR(10) &amp; CHAR(10) &amp; "RSL Ultimate shuttles provided" &amp; CHAR(10) &amp; CHAR(10) &amp; "PM if interested, thank you!"," ")</f>
        <v xml:space="preserve"> </v>
      </c>
      <c r="B670" s="2" t="str">
        <f ca="1">IF('Profit &amp; Loss'!A673&gt;=TODAY(), "Date: " &amp; TEXT('Profit &amp; Loss'!A673,"dd mmm yyy") &amp; ", " &amp; 'Profit &amp; Loss'!B673 &amp; CHAR(10) &amp; "Time: " &amp; TEXT('Profit &amp; Loss'!C673, "hh:mm AM/PM") &amp; " - " &amp; TEXT('Profit &amp; Loss'!D673, "hh:mm AM/PM") &amp; CHAR(10) &amp; "Venue: " &amp; 'Profit &amp; Loss'!E673 &amp; CHAR(10) &amp; "Court No.: " &amp; 'Profit &amp; Loss'!F673 &amp; CHAR(10) &amp; "Level: HB - LI" &amp; CHAR(10) &amp; "Please transfer $" &amp; 'Profit &amp; Loss'!O673 &amp; " per pax to Belle (83396501)" &amp; CHAR(10) &amp; CHAR(10) &amp; IF('Profit &amp; Loss'!I673=1, "1." &amp; CHAR(10) &amp; "2." &amp; CHAR(10) &amp; "3." &amp; CHAR(10) &amp; "4." &amp; CHAR(10) &amp; "5." &amp; CHAR(10) &amp; "6." &amp; CHAR(10), IF('Profit &amp; Loss'!I673=2,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1" spans="1:2" ht="12.5" x14ac:dyDescent="0.25">
      <c r="A671" s="2" t="str">
        <f ca="1">IF('Profit &amp; Loss'!A674&gt;=TODAY(),"Looking for friendly players to join the following game: " &amp; CHAR(10) &amp; CHAR(10) &amp; "Date: " &amp; TEXT('Profit &amp; Loss'!A674,"dd mmm yyy") &amp; ", " &amp; 'Profit &amp; Loss'!B674 &amp; CHAR(10) &amp; "Time: " &amp; TEXT('Profit &amp; Loss'!C674, "hh:mm AM/PM") &amp; " - " &amp; TEXT('Profit &amp; Loss'!D674, "hh:mm AM/PM") &amp; CHAR(10) &amp; "Venue: " &amp; 'Profit &amp; Loss'!E674 &amp; CHAR(10) &amp; "Level: HB - LI" &amp; CHAR(10) &amp; "Cost: $" &amp; 'Profit &amp; Loss'!O674 &amp; " per pax" &amp; CHAR(10) &amp; "Max " &amp; 'Profit &amp; Loss'!I674*6 &amp; " pax," &amp; " (" &amp; 'Profit &amp; Loss'!I674 &amp; " courts)" &amp; CHAR(10) &amp; CHAR(10) &amp; "RSL Ultimate shuttles provided" &amp; CHAR(10) &amp; CHAR(10) &amp; "PM if interested, thank you!"," ")</f>
        <v xml:space="preserve"> </v>
      </c>
      <c r="B671" s="2" t="str">
        <f ca="1">IF('Profit &amp; Loss'!A674&gt;=TODAY(), "Date: " &amp; TEXT('Profit &amp; Loss'!A674,"dd mmm yyy") &amp; ", " &amp; 'Profit &amp; Loss'!B674 &amp; CHAR(10) &amp; "Time: " &amp; TEXT('Profit &amp; Loss'!C674, "hh:mm AM/PM") &amp; " - " &amp; TEXT('Profit &amp; Loss'!D674, "hh:mm AM/PM") &amp; CHAR(10) &amp; "Venue: " &amp; 'Profit &amp; Loss'!E674 &amp; CHAR(10) &amp; "Court No.: " &amp; 'Profit &amp; Loss'!F674 &amp; CHAR(10) &amp; "Level: HB - LI" &amp; CHAR(10) &amp; "Please transfer $" &amp; 'Profit &amp; Loss'!O674 &amp; " per pax to Belle (83396501)" &amp; CHAR(10) &amp; CHAR(10) &amp; IF('Profit &amp; Loss'!I674=1, "1." &amp; CHAR(10) &amp; "2." &amp; CHAR(10) &amp; "3." &amp; CHAR(10) &amp; "4." &amp; CHAR(10) &amp; "5." &amp; CHAR(10) &amp; "6." &amp; CHAR(10), IF('Profit &amp; Loss'!I674=2,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2" spans="1:2" ht="12.5" x14ac:dyDescent="0.25">
      <c r="A672" s="2" t="str">
        <f ca="1">IF('Profit &amp; Loss'!A675&gt;=TODAY(),"Looking for friendly players to join the following game: " &amp; CHAR(10) &amp; CHAR(10) &amp; "Date: " &amp; TEXT('Profit &amp; Loss'!A675,"dd mmm yyy") &amp; ", " &amp; 'Profit &amp; Loss'!B675 &amp; CHAR(10) &amp; "Time: " &amp; TEXT('Profit &amp; Loss'!C675, "hh:mm AM/PM") &amp; " - " &amp; TEXT('Profit &amp; Loss'!D675, "hh:mm AM/PM") &amp; CHAR(10) &amp; "Venue: " &amp; 'Profit &amp; Loss'!E675 &amp; CHAR(10) &amp; "Level: HB - LI" &amp; CHAR(10) &amp; "Cost: $" &amp; 'Profit &amp; Loss'!O675 &amp; " per pax" &amp; CHAR(10) &amp; "Max " &amp; 'Profit &amp; Loss'!I675*6 &amp; " pax," &amp; " (" &amp; 'Profit &amp; Loss'!I675 &amp; " courts)" &amp; CHAR(10) &amp; CHAR(10) &amp; "RSL Ultimate shuttles provided" &amp; CHAR(10) &amp; CHAR(10) &amp; "PM if interested, thank you!"," ")</f>
        <v xml:space="preserve"> </v>
      </c>
      <c r="B672" s="2" t="str">
        <f ca="1">IF('Profit &amp; Loss'!A675&gt;=TODAY(), "Date: " &amp; TEXT('Profit &amp; Loss'!A675,"dd mmm yyy") &amp; ", " &amp; 'Profit &amp; Loss'!B675 &amp; CHAR(10) &amp; "Time: " &amp; TEXT('Profit &amp; Loss'!C675, "hh:mm AM/PM") &amp; " - " &amp; TEXT('Profit &amp; Loss'!D675, "hh:mm AM/PM") &amp; CHAR(10) &amp; "Venue: " &amp; 'Profit &amp; Loss'!E675 &amp; CHAR(10) &amp; "Court No.: " &amp; 'Profit &amp; Loss'!F675 &amp; CHAR(10) &amp; "Level: HB - LI" &amp; CHAR(10) &amp; "Please transfer $" &amp; 'Profit &amp; Loss'!O675 &amp; " per pax to Belle (83396501)" &amp; CHAR(10) &amp; CHAR(10) &amp; IF('Profit &amp; Loss'!I675=1, "1." &amp; CHAR(10) &amp; "2." &amp; CHAR(10) &amp; "3." &amp; CHAR(10) &amp; "4." &amp; CHAR(10) &amp; "5." &amp; CHAR(10) &amp; "6." &amp; CHAR(10), IF('Profit &amp; Loss'!I675=2,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3" spans="1:2" ht="12.5" x14ac:dyDescent="0.25">
      <c r="A673" s="2" t="str">
        <f ca="1">IF('Profit &amp; Loss'!A676&gt;=TODAY(),"Looking for friendly players to join the following game: " &amp; CHAR(10) &amp; CHAR(10) &amp; "Date: " &amp; TEXT('Profit &amp; Loss'!A676,"dd mmm yyy") &amp; ", " &amp; 'Profit &amp; Loss'!B676 &amp; CHAR(10) &amp; "Time: " &amp; TEXT('Profit &amp; Loss'!C676, "hh:mm AM/PM") &amp; " - " &amp; TEXT('Profit &amp; Loss'!D676, "hh:mm AM/PM") &amp; CHAR(10) &amp; "Venue: " &amp; 'Profit &amp; Loss'!E676 &amp; CHAR(10) &amp; "Level: HB - LI" &amp; CHAR(10) &amp; "Cost: $" &amp; 'Profit &amp; Loss'!O676 &amp; " per pax" &amp; CHAR(10) &amp; "Max " &amp; 'Profit &amp; Loss'!I676*6 &amp; " pax," &amp; " (" &amp; 'Profit &amp; Loss'!I676 &amp; " courts)" &amp; CHAR(10) &amp; CHAR(10) &amp; "RSL Ultimate shuttles provided" &amp; CHAR(10) &amp; CHAR(10) &amp; "PM if interested, thank you!"," ")</f>
        <v xml:space="preserve"> </v>
      </c>
      <c r="B673" s="2" t="str">
        <f ca="1">IF('Profit &amp; Loss'!A676&gt;=TODAY(), "Date: " &amp; TEXT('Profit &amp; Loss'!A676,"dd mmm yyy") &amp; ", " &amp; 'Profit &amp; Loss'!B676 &amp; CHAR(10) &amp; "Time: " &amp; TEXT('Profit &amp; Loss'!C676, "hh:mm AM/PM") &amp; " - " &amp; TEXT('Profit &amp; Loss'!D676, "hh:mm AM/PM") &amp; CHAR(10) &amp; "Venue: " &amp; 'Profit &amp; Loss'!E676 &amp; CHAR(10) &amp; "Court No.: " &amp; 'Profit &amp; Loss'!F676 &amp; CHAR(10) &amp; "Level: HB - LI" &amp; CHAR(10) &amp; "Please transfer $" &amp; 'Profit &amp; Loss'!O676 &amp; " per pax to Belle (83396501)" &amp; CHAR(10) &amp; CHAR(10) &amp; IF('Profit &amp; Loss'!I676=1, "1." &amp; CHAR(10) &amp; "2." &amp; CHAR(10) &amp; "3." &amp; CHAR(10) &amp; "4." &amp; CHAR(10) &amp; "5." &amp; CHAR(10) &amp; "6." &amp; CHAR(10), IF('Profit &amp; Loss'!I676=2,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4" spans="1:2" ht="12.5" x14ac:dyDescent="0.25">
      <c r="A674" s="2" t="str">
        <f ca="1">IF('Profit &amp; Loss'!A677&gt;=TODAY(),"Looking for friendly players to join the following game: " &amp; CHAR(10) &amp; CHAR(10) &amp; "Date: " &amp; TEXT('Profit &amp; Loss'!A677,"dd mmm yyy") &amp; ", " &amp; 'Profit &amp; Loss'!B677 &amp; CHAR(10) &amp; "Time: " &amp; TEXT('Profit &amp; Loss'!C677, "hh:mm AM/PM") &amp; " - " &amp; TEXT('Profit &amp; Loss'!D677, "hh:mm AM/PM") &amp; CHAR(10) &amp; "Venue: " &amp; 'Profit &amp; Loss'!E677 &amp; CHAR(10) &amp; "Level: HB - LI" &amp; CHAR(10) &amp; "Cost: $" &amp; 'Profit &amp; Loss'!O677 &amp; " per pax" &amp; CHAR(10) &amp; "Max " &amp; 'Profit &amp; Loss'!I677*6 &amp; " pax," &amp; " (" &amp; 'Profit &amp; Loss'!I677 &amp; " courts)" &amp; CHAR(10) &amp; CHAR(10) &amp; "RSL Ultimate shuttles provided" &amp; CHAR(10) &amp; CHAR(10) &amp; "PM if interested, thank you!"," ")</f>
        <v xml:space="preserve"> </v>
      </c>
      <c r="B674" s="2" t="str">
        <f ca="1">IF('Profit &amp; Loss'!A677&gt;=TODAY(), "Date: " &amp; TEXT('Profit &amp; Loss'!A677,"dd mmm yyy") &amp; ", " &amp; 'Profit &amp; Loss'!B677 &amp; CHAR(10) &amp; "Time: " &amp; TEXT('Profit &amp; Loss'!C677, "hh:mm AM/PM") &amp; " - " &amp; TEXT('Profit &amp; Loss'!D677, "hh:mm AM/PM") &amp; CHAR(10) &amp; "Venue: " &amp; 'Profit &amp; Loss'!E677 &amp; CHAR(10) &amp; "Court No.: " &amp; 'Profit &amp; Loss'!F677 &amp; CHAR(10) &amp; "Level: HB - LI" &amp; CHAR(10) &amp; "Please transfer $" &amp; 'Profit &amp; Loss'!O677 &amp; " per pax to Belle (83396501)" &amp; CHAR(10) &amp; CHAR(10) &amp; IF('Profit &amp; Loss'!I677=1, "1." &amp; CHAR(10) &amp; "2." &amp; CHAR(10) &amp; "3." &amp; CHAR(10) &amp; "4." &amp; CHAR(10) &amp; "5." &amp; CHAR(10) &amp; "6." &amp; CHAR(10), IF('Profit &amp; Loss'!I677=2,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5" spans="1:2" ht="12.5" x14ac:dyDescent="0.25">
      <c r="A675" s="2" t="str">
        <f ca="1">IF('Profit &amp; Loss'!A678&gt;=TODAY(),"Looking for friendly players to join the following game: " &amp; CHAR(10) &amp; CHAR(10) &amp; "Date: " &amp; TEXT('Profit &amp; Loss'!A678,"dd mmm yyy") &amp; ", " &amp; 'Profit &amp; Loss'!B678 &amp; CHAR(10) &amp; "Time: " &amp; TEXT('Profit &amp; Loss'!C678, "hh:mm AM/PM") &amp; " - " &amp; TEXT('Profit &amp; Loss'!D678, "hh:mm AM/PM") &amp; CHAR(10) &amp; "Venue: " &amp; 'Profit &amp; Loss'!E678 &amp; CHAR(10) &amp; "Level: HB - LI" &amp; CHAR(10) &amp; "Cost: $" &amp; 'Profit &amp; Loss'!O678 &amp; " per pax" &amp; CHAR(10) &amp; "Max " &amp; 'Profit &amp; Loss'!I678*6 &amp; " pax," &amp; " (" &amp; 'Profit &amp; Loss'!I678 &amp; " courts)" &amp; CHAR(10) &amp; CHAR(10) &amp; "RSL Ultimate shuttles provided" &amp; CHAR(10) &amp; CHAR(10) &amp; "PM if interested, thank you!"," ")</f>
        <v xml:space="preserve"> </v>
      </c>
      <c r="B675" s="2" t="str">
        <f ca="1">IF('Profit &amp; Loss'!A678&gt;=TODAY(), "Date: " &amp; TEXT('Profit &amp; Loss'!A678,"dd mmm yyy") &amp; ", " &amp; 'Profit &amp; Loss'!B678 &amp; CHAR(10) &amp; "Time: " &amp; TEXT('Profit &amp; Loss'!C678, "hh:mm AM/PM") &amp; " - " &amp; TEXT('Profit &amp; Loss'!D678, "hh:mm AM/PM") &amp; CHAR(10) &amp; "Venue: " &amp; 'Profit &amp; Loss'!E678 &amp; CHAR(10) &amp; "Court No.: " &amp; 'Profit &amp; Loss'!F678 &amp; CHAR(10) &amp; "Level: HB - LI" &amp; CHAR(10) &amp; "Please transfer $" &amp; 'Profit &amp; Loss'!O678 &amp; " per pax to Belle (83396501)" &amp; CHAR(10) &amp; CHAR(10) &amp; IF('Profit &amp; Loss'!I678=1, "1." &amp; CHAR(10) &amp; "2." &amp; CHAR(10) &amp; "3." &amp; CHAR(10) &amp; "4." &amp; CHAR(10) &amp; "5." &amp; CHAR(10) &amp; "6." &amp; CHAR(10), IF('Profit &amp; Loss'!I678=2,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6" spans="1:2" ht="12.5" x14ac:dyDescent="0.25">
      <c r="A676" s="2" t="str">
        <f ca="1">IF('Profit &amp; Loss'!A679&gt;=TODAY(),"Looking for friendly players to join the following game: " &amp; CHAR(10) &amp; CHAR(10) &amp; "Date: " &amp; TEXT('Profit &amp; Loss'!A679,"dd mmm yyy") &amp; ", " &amp; 'Profit &amp; Loss'!B679 &amp; CHAR(10) &amp; "Time: " &amp; TEXT('Profit &amp; Loss'!C679, "hh:mm AM/PM") &amp; " - " &amp; TEXT('Profit &amp; Loss'!D679, "hh:mm AM/PM") &amp; CHAR(10) &amp; "Venue: " &amp; 'Profit &amp; Loss'!E679 &amp; CHAR(10) &amp; "Level: HB - LI" &amp; CHAR(10) &amp; "Cost: $" &amp; 'Profit &amp; Loss'!O679 &amp; " per pax" &amp; CHAR(10) &amp; "Max " &amp; 'Profit &amp; Loss'!I679*6 &amp; " pax," &amp; " (" &amp; 'Profit &amp; Loss'!I679 &amp; " courts)" &amp; CHAR(10) &amp; CHAR(10) &amp; "RSL Ultimate shuttles provided" &amp; CHAR(10) &amp; CHAR(10) &amp; "PM if interested, thank you!"," ")</f>
        <v xml:space="preserve"> </v>
      </c>
      <c r="B676" s="2" t="str">
        <f ca="1">IF('Profit &amp; Loss'!A679&gt;=TODAY(), "Date: " &amp; TEXT('Profit &amp; Loss'!A679,"dd mmm yyy") &amp; ", " &amp; 'Profit &amp; Loss'!B679 &amp; CHAR(10) &amp; "Time: " &amp; TEXT('Profit &amp; Loss'!C679, "hh:mm AM/PM") &amp; " - " &amp; TEXT('Profit &amp; Loss'!D679, "hh:mm AM/PM") &amp; CHAR(10) &amp; "Venue: " &amp; 'Profit &amp; Loss'!E679 &amp; CHAR(10) &amp; "Court No.: " &amp; 'Profit &amp; Loss'!F679 &amp; CHAR(10) &amp; "Level: HB - LI" &amp; CHAR(10) &amp; "Please transfer $" &amp; 'Profit &amp; Loss'!O679 &amp; " per pax to Belle (83396501)" &amp; CHAR(10) &amp; CHAR(10) &amp; IF('Profit &amp; Loss'!I679=1, "1." &amp; CHAR(10) &amp; "2." &amp; CHAR(10) &amp; "3." &amp; CHAR(10) &amp; "4." &amp; CHAR(10) &amp; "5." &amp; CHAR(10) &amp; "6." &amp; CHAR(10), IF('Profit &amp; Loss'!I679=2,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7" spans="1:2" ht="12.5" x14ac:dyDescent="0.25">
      <c r="A677" s="2" t="str">
        <f ca="1">IF('Profit &amp; Loss'!A680&gt;=TODAY(),"Looking for friendly players to join the following game: " &amp; CHAR(10) &amp; CHAR(10) &amp; "Date: " &amp; TEXT('Profit &amp; Loss'!A680,"dd mmm yyy") &amp; ", " &amp; 'Profit &amp; Loss'!B680 &amp; CHAR(10) &amp; "Time: " &amp; TEXT('Profit &amp; Loss'!C680, "hh:mm AM/PM") &amp; " - " &amp; TEXT('Profit &amp; Loss'!D680, "hh:mm AM/PM") &amp; CHAR(10) &amp; "Venue: " &amp; 'Profit &amp; Loss'!E680 &amp; CHAR(10) &amp; "Level: HB - LI" &amp; CHAR(10) &amp; "Cost: $" &amp; 'Profit &amp; Loss'!O680 &amp; " per pax" &amp; CHAR(10) &amp; "Max " &amp; 'Profit &amp; Loss'!I680*6 &amp; " pax," &amp; " (" &amp; 'Profit &amp; Loss'!I680 &amp; " courts)" &amp; CHAR(10) &amp; CHAR(10) &amp; "RSL Ultimate shuttles provided" &amp; CHAR(10) &amp; CHAR(10) &amp; "PM if interested, thank you!"," ")</f>
        <v xml:space="preserve"> </v>
      </c>
      <c r="B677" s="2" t="str">
        <f ca="1">IF('Profit &amp; Loss'!A680&gt;=TODAY(), "Date: " &amp; TEXT('Profit &amp; Loss'!A680,"dd mmm yyy") &amp; ", " &amp; 'Profit &amp; Loss'!B680 &amp; CHAR(10) &amp; "Time: " &amp; TEXT('Profit &amp; Loss'!C680, "hh:mm AM/PM") &amp; " - " &amp; TEXT('Profit &amp; Loss'!D680, "hh:mm AM/PM") &amp; CHAR(10) &amp; "Venue: " &amp; 'Profit &amp; Loss'!E680 &amp; CHAR(10) &amp; "Court No.: " &amp; 'Profit &amp; Loss'!F680 &amp; CHAR(10) &amp; "Level: HB - LI" &amp; CHAR(10) &amp; "Please transfer $" &amp; 'Profit &amp; Loss'!O680 &amp; " per pax to Belle (83396501)" &amp; CHAR(10) &amp; CHAR(10) &amp; IF('Profit &amp; Loss'!I680=1, "1." &amp; CHAR(10) &amp; "2." &amp; CHAR(10) &amp; "3." &amp; CHAR(10) &amp; "4." &amp; CHAR(10) &amp; "5." &amp; CHAR(10) &amp; "6." &amp; CHAR(10), IF('Profit &amp; Loss'!I680=2,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8" spans="1:2" ht="12.5" x14ac:dyDescent="0.25">
      <c r="A678" s="2" t="str">
        <f ca="1">IF('Profit &amp; Loss'!A681&gt;=TODAY(),"Looking for friendly players to join the following game: " &amp; CHAR(10) &amp; CHAR(10) &amp; "Date: " &amp; TEXT('Profit &amp; Loss'!A681,"dd mmm yyy") &amp; ", " &amp; 'Profit &amp; Loss'!B681 &amp; CHAR(10) &amp; "Time: " &amp; TEXT('Profit &amp; Loss'!C681, "hh:mm AM/PM") &amp; " - " &amp; TEXT('Profit &amp; Loss'!D681, "hh:mm AM/PM") &amp; CHAR(10) &amp; "Venue: " &amp; 'Profit &amp; Loss'!E681 &amp; CHAR(10) &amp; "Level: HB - LI" &amp; CHAR(10) &amp; "Cost: $" &amp; 'Profit &amp; Loss'!O681 &amp; " per pax" &amp; CHAR(10) &amp; "Max " &amp; 'Profit &amp; Loss'!I681*6 &amp; " pax," &amp; " (" &amp; 'Profit &amp; Loss'!I681 &amp; " courts)" &amp; CHAR(10) &amp; CHAR(10) &amp; "RSL Ultimate shuttles provided" &amp; CHAR(10) &amp; CHAR(10) &amp; "PM if interested, thank you!"," ")</f>
        <v xml:space="preserve"> </v>
      </c>
      <c r="B678" s="2" t="str">
        <f ca="1">IF('Profit &amp; Loss'!A681&gt;=TODAY(), "Date: " &amp; TEXT('Profit &amp; Loss'!A681,"dd mmm yyy") &amp; ", " &amp; 'Profit &amp; Loss'!B681 &amp; CHAR(10) &amp; "Time: " &amp; TEXT('Profit &amp; Loss'!C681, "hh:mm AM/PM") &amp; " - " &amp; TEXT('Profit &amp; Loss'!D681, "hh:mm AM/PM") &amp; CHAR(10) &amp; "Venue: " &amp; 'Profit &amp; Loss'!E681 &amp; CHAR(10) &amp; "Court No.: " &amp; 'Profit &amp; Loss'!F681 &amp; CHAR(10) &amp; "Level: HB - LI" &amp; CHAR(10) &amp; "Please transfer $" &amp; 'Profit &amp; Loss'!O681 &amp; " per pax to Belle (83396501)" &amp; CHAR(10) &amp; CHAR(10) &amp; IF('Profit &amp; Loss'!I681=1, "1." &amp; CHAR(10) &amp; "2." &amp; CHAR(10) &amp; "3." &amp; CHAR(10) &amp; "4." &amp; CHAR(10) &amp; "5." &amp; CHAR(10) &amp; "6." &amp; CHAR(10), IF('Profit &amp; Loss'!I681=2,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79" spans="1:2" ht="12.5" x14ac:dyDescent="0.25">
      <c r="A679" s="2" t="str">
        <f ca="1">IF('Profit &amp; Loss'!A682&gt;=TODAY(),"Looking for friendly players to join the following game: " &amp; CHAR(10) &amp; CHAR(10) &amp; "Date: " &amp; TEXT('Profit &amp; Loss'!A682,"dd mmm yyy") &amp; ", " &amp; 'Profit &amp; Loss'!B682 &amp; CHAR(10) &amp; "Time: " &amp; TEXT('Profit &amp; Loss'!C682, "hh:mm AM/PM") &amp; " - " &amp; TEXT('Profit &amp; Loss'!D682, "hh:mm AM/PM") &amp; CHAR(10) &amp; "Venue: " &amp; 'Profit &amp; Loss'!E682 &amp; CHAR(10) &amp; "Level: HB - LI" &amp; CHAR(10) &amp; "Cost: $" &amp; 'Profit &amp; Loss'!O682 &amp; " per pax" &amp; CHAR(10) &amp; "Max " &amp; 'Profit &amp; Loss'!I682*6 &amp; " pax," &amp; " (" &amp; 'Profit &amp; Loss'!I682 &amp; " courts)" &amp; CHAR(10) &amp; CHAR(10) &amp; "RSL Ultimate shuttles provided" &amp; CHAR(10) &amp; CHAR(10) &amp; "PM if interested, thank you!"," ")</f>
        <v xml:space="preserve"> </v>
      </c>
      <c r="B679" s="2" t="str">
        <f ca="1">IF('Profit &amp; Loss'!A682&gt;=TODAY(), "Date: " &amp; TEXT('Profit &amp; Loss'!A682,"dd mmm yyy") &amp; ", " &amp; 'Profit &amp; Loss'!B682 &amp; CHAR(10) &amp; "Time: " &amp; TEXT('Profit &amp; Loss'!C682, "hh:mm AM/PM") &amp; " - " &amp; TEXT('Profit &amp; Loss'!D682, "hh:mm AM/PM") &amp; CHAR(10) &amp; "Venue: " &amp; 'Profit &amp; Loss'!E682 &amp; CHAR(10) &amp; "Court No.: " &amp; 'Profit &amp; Loss'!F682 &amp; CHAR(10) &amp; "Level: HB - LI" &amp; CHAR(10) &amp; "Please transfer $" &amp; 'Profit &amp; Loss'!O682 &amp; " per pax to Belle (83396501)" &amp; CHAR(10) &amp; CHAR(10) &amp; IF('Profit &amp; Loss'!I682=1, "1." &amp; CHAR(10) &amp; "2." &amp; CHAR(10) &amp; "3." &amp; CHAR(10) &amp; "4." &amp; CHAR(10) &amp; "5." &amp; CHAR(10) &amp; "6." &amp; CHAR(10), IF('Profit &amp; Loss'!I682=2,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0" spans="1:2" ht="12.5" x14ac:dyDescent="0.25">
      <c r="A680" s="2" t="str">
        <f ca="1">IF('Profit &amp; Loss'!A683&gt;=TODAY(),"Looking for friendly players to join the following game: " &amp; CHAR(10) &amp; CHAR(10) &amp; "Date: " &amp; TEXT('Profit &amp; Loss'!A683,"dd mmm yyy") &amp; ", " &amp; 'Profit &amp; Loss'!B683 &amp; CHAR(10) &amp; "Time: " &amp; TEXT('Profit &amp; Loss'!C683, "hh:mm AM/PM") &amp; " - " &amp; TEXT('Profit &amp; Loss'!D683, "hh:mm AM/PM") &amp; CHAR(10) &amp; "Venue: " &amp; 'Profit &amp; Loss'!E683 &amp; CHAR(10) &amp; "Level: HB - LI" &amp; CHAR(10) &amp; "Cost: $" &amp; 'Profit &amp; Loss'!O683 &amp; " per pax" &amp; CHAR(10) &amp; "Max " &amp; 'Profit &amp; Loss'!I683*6 &amp; " pax," &amp; " (" &amp; 'Profit &amp; Loss'!I683 &amp; " courts)" &amp; CHAR(10) &amp; CHAR(10) &amp; "RSL Ultimate shuttles provided" &amp; CHAR(10) &amp; CHAR(10) &amp; "PM if interested, thank you!"," ")</f>
        <v xml:space="preserve"> </v>
      </c>
      <c r="B680" s="2" t="str">
        <f ca="1">IF('Profit &amp; Loss'!A683&gt;=TODAY(), "Date: " &amp; TEXT('Profit &amp; Loss'!A683,"dd mmm yyy") &amp; ", " &amp; 'Profit &amp; Loss'!B683 &amp; CHAR(10) &amp; "Time: " &amp; TEXT('Profit &amp; Loss'!C683, "hh:mm AM/PM") &amp; " - " &amp; TEXT('Profit &amp; Loss'!D683, "hh:mm AM/PM") &amp; CHAR(10) &amp; "Venue: " &amp; 'Profit &amp; Loss'!E683 &amp; CHAR(10) &amp; "Court No.: " &amp; 'Profit &amp; Loss'!F683 &amp; CHAR(10) &amp; "Level: HB - LI" &amp; CHAR(10) &amp; "Please transfer $" &amp; 'Profit &amp; Loss'!O683 &amp; " per pax to Belle (83396501)" &amp; CHAR(10) &amp; CHAR(10) &amp; IF('Profit &amp; Loss'!I683=1, "1." &amp; CHAR(10) &amp; "2." &amp; CHAR(10) &amp; "3." &amp; CHAR(10) &amp; "4." &amp; CHAR(10) &amp; "5." &amp; CHAR(10) &amp; "6." &amp; CHAR(10), IF('Profit &amp; Loss'!I683=2,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1" spans="1:2" ht="12.5" x14ac:dyDescent="0.25">
      <c r="A681" s="2" t="str">
        <f ca="1">IF('Profit &amp; Loss'!A684&gt;=TODAY(),"Looking for friendly players to join the following game: " &amp; CHAR(10) &amp; CHAR(10) &amp; "Date: " &amp; TEXT('Profit &amp; Loss'!A684,"dd mmm yyy") &amp; ", " &amp; 'Profit &amp; Loss'!B684 &amp; CHAR(10) &amp; "Time: " &amp; TEXT('Profit &amp; Loss'!C684, "hh:mm AM/PM") &amp; " - " &amp; TEXT('Profit &amp; Loss'!D684, "hh:mm AM/PM") &amp; CHAR(10) &amp; "Venue: " &amp; 'Profit &amp; Loss'!E684 &amp; CHAR(10) &amp; "Level: HB - LI" &amp; CHAR(10) &amp; "Cost: $" &amp; 'Profit &amp; Loss'!O684 &amp; " per pax" &amp; CHAR(10) &amp; "Max " &amp; 'Profit &amp; Loss'!I684*6 &amp; " pax," &amp; " (" &amp; 'Profit &amp; Loss'!I684 &amp; " courts)" &amp; CHAR(10) &amp; CHAR(10) &amp; "RSL Ultimate shuttles provided" &amp; CHAR(10) &amp; CHAR(10) &amp; "PM if interested, thank you!"," ")</f>
        <v xml:space="preserve"> </v>
      </c>
      <c r="B681" s="2" t="str">
        <f ca="1">IF('Profit &amp; Loss'!A684&gt;=TODAY(), "Date: " &amp; TEXT('Profit &amp; Loss'!A684,"dd mmm yyy") &amp; ", " &amp; 'Profit &amp; Loss'!B684 &amp; CHAR(10) &amp; "Time: " &amp; TEXT('Profit &amp; Loss'!C684, "hh:mm AM/PM") &amp; " - " &amp; TEXT('Profit &amp; Loss'!D684, "hh:mm AM/PM") &amp; CHAR(10) &amp; "Venue: " &amp; 'Profit &amp; Loss'!E684 &amp; CHAR(10) &amp; "Court No.: " &amp; 'Profit &amp; Loss'!F684 &amp; CHAR(10) &amp; "Level: HB - LI" &amp; CHAR(10) &amp; "Please transfer $" &amp; 'Profit &amp; Loss'!O684 &amp; " per pax to Belle (83396501)" &amp; CHAR(10) &amp; CHAR(10) &amp; IF('Profit &amp; Loss'!I684=1, "1." &amp; CHAR(10) &amp; "2." &amp; CHAR(10) &amp; "3." &amp; CHAR(10) &amp; "4." &amp; CHAR(10) &amp; "5." &amp; CHAR(10) &amp; "6." &amp; CHAR(10), IF('Profit &amp; Loss'!I684=2,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2" spans="1:2" ht="12.5" x14ac:dyDescent="0.25">
      <c r="A682" s="2" t="str">
        <f ca="1">IF('Profit &amp; Loss'!A685&gt;=TODAY(),"Looking for friendly players to join the following game: " &amp; CHAR(10) &amp; CHAR(10) &amp; "Date: " &amp; TEXT('Profit &amp; Loss'!A685,"dd mmm yyy") &amp; ", " &amp; 'Profit &amp; Loss'!B685 &amp; CHAR(10) &amp; "Time: " &amp; TEXT('Profit &amp; Loss'!C685, "hh:mm AM/PM") &amp; " - " &amp; TEXT('Profit &amp; Loss'!D685, "hh:mm AM/PM") &amp; CHAR(10) &amp; "Venue: " &amp; 'Profit &amp; Loss'!E685 &amp; CHAR(10) &amp; "Level: HB - LI" &amp; CHAR(10) &amp; "Cost: $" &amp; 'Profit &amp; Loss'!O685 &amp; " per pax" &amp; CHAR(10) &amp; "Max " &amp; 'Profit &amp; Loss'!I685*6 &amp; " pax," &amp; " (" &amp; 'Profit &amp; Loss'!I685 &amp; " courts)" &amp; CHAR(10) &amp; CHAR(10) &amp; "RSL Ultimate shuttles provided" &amp; CHAR(10) &amp; CHAR(10) &amp; "PM if interested, thank you!"," ")</f>
        <v xml:space="preserve"> </v>
      </c>
      <c r="B682" s="2" t="str">
        <f ca="1">IF('Profit &amp; Loss'!A685&gt;=TODAY(), "Date: " &amp; TEXT('Profit &amp; Loss'!A685,"dd mmm yyy") &amp; ", " &amp; 'Profit &amp; Loss'!B685 &amp; CHAR(10) &amp; "Time: " &amp; TEXT('Profit &amp; Loss'!C685, "hh:mm AM/PM") &amp; " - " &amp; TEXT('Profit &amp; Loss'!D685, "hh:mm AM/PM") &amp; CHAR(10) &amp; "Venue: " &amp; 'Profit &amp; Loss'!E685 &amp; CHAR(10) &amp; "Court No.: " &amp; 'Profit &amp; Loss'!F685 &amp; CHAR(10) &amp; "Level: HB - LI" &amp; CHAR(10) &amp; "Please transfer $" &amp; 'Profit &amp; Loss'!O685 &amp; " per pax to Belle (83396501)" &amp; CHAR(10) &amp; CHAR(10) &amp; IF('Profit &amp; Loss'!I685=1, "1." &amp; CHAR(10) &amp; "2." &amp; CHAR(10) &amp; "3." &amp; CHAR(10) &amp; "4." &amp; CHAR(10) &amp; "5." &amp; CHAR(10) &amp; "6." &amp; CHAR(10), IF('Profit &amp; Loss'!I685=2,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3" spans="1:2" ht="12.5" x14ac:dyDescent="0.25">
      <c r="A683" s="2" t="str">
        <f ca="1">IF('Profit &amp; Loss'!A686&gt;=TODAY(),"Looking for friendly players to join the following game: " &amp; CHAR(10) &amp; CHAR(10) &amp; "Date: " &amp; TEXT('Profit &amp; Loss'!A686,"dd mmm yyy") &amp; ", " &amp; 'Profit &amp; Loss'!B686 &amp; CHAR(10) &amp; "Time: " &amp; TEXT('Profit &amp; Loss'!C686, "hh:mm AM/PM") &amp; " - " &amp; TEXT('Profit &amp; Loss'!D686, "hh:mm AM/PM") &amp; CHAR(10) &amp; "Venue: " &amp; 'Profit &amp; Loss'!E686 &amp; CHAR(10) &amp; "Level: HB - LI" &amp; CHAR(10) &amp; "Cost: $" &amp; 'Profit &amp; Loss'!O686 &amp; " per pax" &amp; CHAR(10) &amp; "Max " &amp; 'Profit &amp; Loss'!I686*6 &amp; " pax," &amp; " (" &amp; 'Profit &amp; Loss'!I686 &amp; " courts)" &amp; CHAR(10) &amp; CHAR(10) &amp; "RSL Ultimate shuttles provided" &amp; CHAR(10) &amp; CHAR(10) &amp; "PM if interested, thank you!"," ")</f>
        <v xml:space="preserve"> </v>
      </c>
      <c r="B683" s="2" t="str">
        <f ca="1">IF('Profit &amp; Loss'!A686&gt;=TODAY(), "Date: " &amp; TEXT('Profit &amp; Loss'!A686,"dd mmm yyy") &amp; ", " &amp; 'Profit &amp; Loss'!B686 &amp; CHAR(10) &amp; "Time: " &amp; TEXT('Profit &amp; Loss'!C686, "hh:mm AM/PM") &amp; " - " &amp; TEXT('Profit &amp; Loss'!D686, "hh:mm AM/PM") &amp; CHAR(10) &amp; "Venue: " &amp; 'Profit &amp; Loss'!E686 &amp; CHAR(10) &amp; "Court No.: " &amp; 'Profit &amp; Loss'!F686 &amp; CHAR(10) &amp; "Level: HB - LI" &amp; CHAR(10) &amp; "Please transfer $" &amp; 'Profit &amp; Loss'!O686 &amp; " per pax to Belle (83396501)" &amp; CHAR(10) &amp; CHAR(10) &amp; IF('Profit &amp; Loss'!I686=1, "1." &amp; CHAR(10) &amp; "2." &amp; CHAR(10) &amp; "3." &amp; CHAR(10) &amp; "4." &amp; CHAR(10) &amp; "5." &amp; CHAR(10) &amp; "6." &amp; CHAR(10), IF('Profit &amp; Loss'!I686=2,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4" spans="1:2" ht="12.5" x14ac:dyDescent="0.25">
      <c r="A684" s="2" t="str">
        <f ca="1">IF('Profit &amp; Loss'!A687&gt;=TODAY(),"Looking for friendly players to join the following game: " &amp; CHAR(10) &amp; CHAR(10) &amp; "Date: " &amp; TEXT('Profit &amp; Loss'!A687,"dd mmm yyy") &amp; ", " &amp; 'Profit &amp; Loss'!B687 &amp; CHAR(10) &amp; "Time: " &amp; TEXT('Profit &amp; Loss'!C687, "hh:mm AM/PM") &amp; " - " &amp; TEXT('Profit &amp; Loss'!D687, "hh:mm AM/PM") &amp; CHAR(10) &amp; "Venue: " &amp; 'Profit &amp; Loss'!E687 &amp; CHAR(10) &amp; "Level: HB - LI" &amp; CHAR(10) &amp; "Cost: $" &amp; 'Profit &amp; Loss'!O687 &amp; " per pax" &amp; CHAR(10) &amp; "Max " &amp; 'Profit &amp; Loss'!I687*6 &amp; " pax," &amp; " (" &amp; 'Profit &amp; Loss'!I687 &amp; " courts)" &amp; CHAR(10) &amp; CHAR(10) &amp; "RSL Ultimate shuttles provided" &amp; CHAR(10) &amp; CHAR(10) &amp; "PM if interested, thank you!"," ")</f>
        <v xml:space="preserve"> </v>
      </c>
      <c r="B684" s="2" t="str">
        <f ca="1">IF('Profit &amp; Loss'!A687&gt;=TODAY(), "Date: " &amp; TEXT('Profit &amp; Loss'!A687,"dd mmm yyy") &amp; ", " &amp; 'Profit &amp; Loss'!B687 &amp; CHAR(10) &amp; "Time: " &amp; TEXT('Profit &amp; Loss'!C687, "hh:mm AM/PM") &amp; " - " &amp; TEXT('Profit &amp; Loss'!D687, "hh:mm AM/PM") &amp; CHAR(10) &amp; "Venue: " &amp; 'Profit &amp; Loss'!E687 &amp; CHAR(10) &amp; "Court No.: " &amp; 'Profit &amp; Loss'!F687 &amp; CHAR(10) &amp; "Level: HB - LI" &amp; CHAR(10) &amp; "Please transfer $" &amp; 'Profit &amp; Loss'!O687 &amp; " per pax to Belle (83396501)" &amp; CHAR(10) &amp; CHAR(10) &amp; IF('Profit &amp; Loss'!I687=1, "1." &amp; CHAR(10) &amp; "2." &amp; CHAR(10) &amp; "3." &amp; CHAR(10) &amp; "4." &amp; CHAR(10) &amp; "5." &amp; CHAR(10) &amp; "6." &amp; CHAR(10), IF('Profit &amp; Loss'!I687=2,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5" spans="1:2" ht="12.5" x14ac:dyDescent="0.25">
      <c r="A685" s="2" t="str">
        <f ca="1">IF('Profit &amp; Loss'!A688&gt;=TODAY(),"Looking for friendly players to join the following game: " &amp; CHAR(10) &amp; CHAR(10) &amp; "Date: " &amp; TEXT('Profit &amp; Loss'!A688,"dd mmm yyy") &amp; ", " &amp; 'Profit &amp; Loss'!B688 &amp; CHAR(10) &amp; "Time: " &amp; TEXT('Profit &amp; Loss'!C688, "hh:mm AM/PM") &amp; " - " &amp; TEXT('Profit &amp; Loss'!D688, "hh:mm AM/PM") &amp; CHAR(10) &amp; "Venue: " &amp; 'Profit &amp; Loss'!E688 &amp; CHAR(10) &amp; "Level: HB - LI" &amp; CHAR(10) &amp; "Cost: $" &amp; 'Profit &amp; Loss'!O688 &amp; " per pax" &amp; CHAR(10) &amp; "Max " &amp; 'Profit &amp; Loss'!I688*6 &amp; " pax," &amp; " (" &amp; 'Profit &amp; Loss'!I688 &amp; " courts)" &amp; CHAR(10) &amp; CHAR(10) &amp; "RSL Ultimate shuttles provided" &amp; CHAR(10) &amp; CHAR(10) &amp; "PM if interested, thank you!"," ")</f>
        <v xml:space="preserve"> </v>
      </c>
      <c r="B685" s="2" t="str">
        <f ca="1">IF('Profit &amp; Loss'!A688&gt;=TODAY(), "Date: " &amp; TEXT('Profit &amp; Loss'!A688,"dd mmm yyy") &amp; ", " &amp; 'Profit &amp; Loss'!B688 &amp; CHAR(10) &amp; "Time: " &amp; TEXT('Profit &amp; Loss'!C688, "hh:mm AM/PM") &amp; " - " &amp; TEXT('Profit &amp; Loss'!D688, "hh:mm AM/PM") &amp; CHAR(10) &amp; "Venue: " &amp; 'Profit &amp; Loss'!E688 &amp; CHAR(10) &amp; "Court No.: " &amp; 'Profit &amp; Loss'!F688 &amp; CHAR(10) &amp; "Level: HB - LI" &amp; CHAR(10) &amp; "Please transfer $" &amp; 'Profit &amp; Loss'!O688 &amp; " per pax to Belle (83396501)" &amp; CHAR(10) &amp; CHAR(10) &amp; IF('Profit &amp; Loss'!I688=1, "1." &amp; CHAR(10) &amp; "2." &amp; CHAR(10) &amp; "3." &amp; CHAR(10) &amp; "4." &amp; CHAR(10) &amp; "5." &amp; CHAR(10) &amp; "6." &amp; CHAR(10), IF('Profit &amp; Loss'!I688=2,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6" spans="1:2" ht="12.5" x14ac:dyDescent="0.25">
      <c r="A686" s="2" t="str">
        <f ca="1">IF('Profit &amp; Loss'!A689&gt;=TODAY(),"Looking for friendly players to join the following game: " &amp; CHAR(10) &amp; CHAR(10) &amp; "Date: " &amp; TEXT('Profit &amp; Loss'!A689,"dd mmm yyy") &amp; ", " &amp; 'Profit &amp; Loss'!B689 &amp; CHAR(10) &amp; "Time: " &amp; TEXT('Profit &amp; Loss'!C689, "hh:mm AM/PM") &amp; " - " &amp; TEXT('Profit &amp; Loss'!D689, "hh:mm AM/PM") &amp; CHAR(10) &amp; "Venue: " &amp; 'Profit &amp; Loss'!E689 &amp; CHAR(10) &amp; "Level: HB - LI" &amp; CHAR(10) &amp; "Cost: $" &amp; 'Profit &amp; Loss'!O689 &amp; " per pax" &amp; CHAR(10) &amp; "Max " &amp; 'Profit &amp; Loss'!I689*6 &amp; " pax," &amp; " (" &amp; 'Profit &amp; Loss'!I689 &amp; " courts)" &amp; CHAR(10) &amp; CHAR(10) &amp; "RSL Ultimate shuttles provided" &amp; CHAR(10) &amp; CHAR(10) &amp; "PM if interested, thank you!"," ")</f>
        <v xml:space="preserve"> </v>
      </c>
      <c r="B686" s="2" t="str">
        <f ca="1">IF('Profit &amp; Loss'!A689&gt;=TODAY(), "Date: " &amp; TEXT('Profit &amp; Loss'!A689,"dd mmm yyy") &amp; ", " &amp; 'Profit &amp; Loss'!B689 &amp; CHAR(10) &amp; "Time: " &amp; TEXT('Profit &amp; Loss'!C689, "hh:mm AM/PM") &amp; " - " &amp; TEXT('Profit &amp; Loss'!D689, "hh:mm AM/PM") &amp; CHAR(10) &amp; "Venue: " &amp; 'Profit &amp; Loss'!E689 &amp; CHAR(10) &amp; "Court No.: " &amp; 'Profit &amp; Loss'!F689 &amp; CHAR(10) &amp; "Level: HB - LI" &amp; CHAR(10) &amp; "Please transfer $" &amp; 'Profit &amp; Loss'!O689 &amp; " per pax to Belle (83396501)" &amp; CHAR(10) &amp; CHAR(10) &amp; IF('Profit &amp; Loss'!I689=1, "1." &amp; CHAR(10) &amp; "2." &amp; CHAR(10) &amp; "3." &amp; CHAR(10) &amp; "4." &amp; CHAR(10) &amp; "5." &amp; CHAR(10) &amp; "6." &amp; CHAR(10), IF('Profit &amp; Loss'!I689=2,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7" spans="1:2" ht="12.5" x14ac:dyDescent="0.25">
      <c r="A687" s="2" t="str">
        <f ca="1">IF('Profit &amp; Loss'!A690&gt;=TODAY(),"Looking for friendly players to join the following game: " &amp; CHAR(10) &amp; CHAR(10) &amp; "Date: " &amp; TEXT('Profit &amp; Loss'!A690,"dd mmm yyy") &amp; ", " &amp; 'Profit &amp; Loss'!B690 &amp; CHAR(10) &amp; "Time: " &amp; TEXT('Profit &amp; Loss'!C690, "hh:mm AM/PM") &amp; " - " &amp; TEXT('Profit &amp; Loss'!D690, "hh:mm AM/PM") &amp; CHAR(10) &amp; "Venue: " &amp; 'Profit &amp; Loss'!E690 &amp; CHAR(10) &amp; "Level: HB - LI" &amp; CHAR(10) &amp; "Cost: $" &amp; 'Profit &amp; Loss'!O690 &amp; " per pax" &amp; CHAR(10) &amp; "Max " &amp; 'Profit &amp; Loss'!I690*6 &amp; " pax," &amp; " (" &amp; 'Profit &amp; Loss'!I690 &amp; " courts)" &amp; CHAR(10) &amp; CHAR(10) &amp; "RSL Ultimate shuttles provided" &amp; CHAR(10) &amp; CHAR(10) &amp; "PM if interested, thank you!"," ")</f>
        <v xml:space="preserve"> </v>
      </c>
      <c r="B687" s="2" t="str">
        <f ca="1">IF('Profit &amp; Loss'!A690&gt;=TODAY(), "Date: " &amp; TEXT('Profit &amp; Loss'!A690,"dd mmm yyy") &amp; ", " &amp; 'Profit &amp; Loss'!B690 &amp; CHAR(10) &amp; "Time: " &amp; TEXT('Profit &amp; Loss'!C690, "hh:mm AM/PM") &amp; " - " &amp; TEXT('Profit &amp; Loss'!D690, "hh:mm AM/PM") &amp; CHAR(10) &amp; "Venue: " &amp; 'Profit &amp; Loss'!E690 &amp; CHAR(10) &amp; "Court No.: " &amp; 'Profit &amp; Loss'!F690 &amp; CHAR(10) &amp; "Level: HB - LI" &amp; CHAR(10) &amp; "Please transfer $" &amp; 'Profit &amp; Loss'!O690 &amp; " per pax to Belle (83396501)" &amp; CHAR(10) &amp; CHAR(10) &amp; IF('Profit &amp; Loss'!I690=1, "1." &amp; CHAR(10) &amp; "2." &amp; CHAR(10) &amp; "3." &amp; CHAR(10) &amp; "4." &amp; CHAR(10) &amp; "5." &amp; CHAR(10) &amp; "6." &amp; CHAR(10), IF('Profit &amp; Loss'!I690=2,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8" spans="1:2" ht="12.5" x14ac:dyDescent="0.25">
      <c r="A688" s="2" t="str">
        <f ca="1">IF('Profit &amp; Loss'!A691&gt;=TODAY(),"Looking for friendly players to join the following game: " &amp; CHAR(10) &amp; CHAR(10) &amp; "Date: " &amp; TEXT('Profit &amp; Loss'!A691,"dd mmm yyy") &amp; ", " &amp; 'Profit &amp; Loss'!B691 &amp; CHAR(10) &amp; "Time: " &amp; TEXT('Profit &amp; Loss'!C691, "hh:mm AM/PM") &amp; " - " &amp; TEXT('Profit &amp; Loss'!D691, "hh:mm AM/PM") &amp; CHAR(10) &amp; "Venue: " &amp; 'Profit &amp; Loss'!E691 &amp; CHAR(10) &amp; "Level: HB - LI" &amp; CHAR(10) &amp; "Cost: $" &amp; 'Profit &amp; Loss'!O691 &amp; " per pax" &amp; CHAR(10) &amp; "Max " &amp; 'Profit &amp; Loss'!I691*6 &amp; " pax," &amp; " (" &amp; 'Profit &amp; Loss'!I691 &amp; " courts)" &amp; CHAR(10) &amp; CHAR(10) &amp; "RSL Ultimate shuttles provided" &amp; CHAR(10) &amp; CHAR(10) &amp; "PM if interested, thank you!"," ")</f>
        <v xml:space="preserve"> </v>
      </c>
      <c r="B688" s="2" t="str">
        <f ca="1">IF('Profit &amp; Loss'!A691&gt;=TODAY(), "Date: " &amp; TEXT('Profit &amp; Loss'!A691,"dd mmm yyy") &amp; ", " &amp; 'Profit &amp; Loss'!B691 &amp; CHAR(10) &amp; "Time: " &amp; TEXT('Profit &amp; Loss'!C691, "hh:mm AM/PM") &amp; " - " &amp; TEXT('Profit &amp; Loss'!D691, "hh:mm AM/PM") &amp; CHAR(10) &amp; "Venue: " &amp; 'Profit &amp; Loss'!E691 &amp; CHAR(10) &amp; "Court No.: " &amp; 'Profit &amp; Loss'!F691 &amp; CHAR(10) &amp; "Level: HB - LI" &amp; CHAR(10) &amp; "Please transfer $" &amp; 'Profit &amp; Loss'!O691 &amp; " per pax to Belle (83396501)" &amp; CHAR(10) &amp; CHAR(10) &amp; IF('Profit &amp; Loss'!I691=1, "1." &amp; CHAR(10) &amp; "2." &amp; CHAR(10) &amp; "3." &amp; CHAR(10) &amp; "4." &amp; CHAR(10) &amp; "5." &amp; CHAR(10) &amp; "6." &amp; CHAR(10), IF('Profit &amp; Loss'!I691=2,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89" spans="1:2" ht="12.5" x14ac:dyDescent="0.25">
      <c r="A689" s="2" t="str">
        <f ca="1">IF('Profit &amp; Loss'!A692&gt;=TODAY(),"Looking for friendly players to join the following game: " &amp; CHAR(10) &amp; CHAR(10) &amp; "Date: " &amp; TEXT('Profit &amp; Loss'!A692,"dd mmm yyy") &amp; ", " &amp; 'Profit &amp; Loss'!B692 &amp; CHAR(10) &amp; "Time: " &amp; TEXT('Profit &amp; Loss'!C692, "hh:mm AM/PM") &amp; " - " &amp; TEXT('Profit &amp; Loss'!D692, "hh:mm AM/PM") &amp; CHAR(10) &amp; "Venue: " &amp; 'Profit &amp; Loss'!E692 &amp; CHAR(10) &amp; "Level: HB - LI" &amp; CHAR(10) &amp; "Cost: $" &amp; 'Profit &amp; Loss'!O692 &amp; " per pax" &amp; CHAR(10) &amp; "Max " &amp; 'Profit &amp; Loss'!I692*6 &amp; " pax," &amp; " (" &amp; 'Profit &amp; Loss'!I692 &amp; " courts)" &amp; CHAR(10) &amp; CHAR(10) &amp; "RSL Ultimate shuttles provided" &amp; CHAR(10) &amp; CHAR(10) &amp; "PM if interested, thank you!"," ")</f>
        <v xml:space="preserve"> </v>
      </c>
      <c r="B689" s="2" t="str">
        <f ca="1">IF('Profit &amp; Loss'!A692&gt;=TODAY(), "Date: " &amp; TEXT('Profit &amp; Loss'!A692,"dd mmm yyy") &amp; ", " &amp; 'Profit &amp; Loss'!B692 &amp; CHAR(10) &amp; "Time: " &amp; TEXT('Profit &amp; Loss'!C692, "hh:mm AM/PM") &amp; " - " &amp; TEXT('Profit &amp; Loss'!D692, "hh:mm AM/PM") &amp; CHAR(10) &amp; "Venue: " &amp; 'Profit &amp; Loss'!E692 &amp; CHAR(10) &amp; "Court No.: " &amp; 'Profit &amp; Loss'!F692 &amp; CHAR(10) &amp; "Level: HB - LI" &amp; CHAR(10) &amp; "Please transfer $" &amp; 'Profit &amp; Loss'!O692 &amp; " per pax to Belle (83396501)" &amp; CHAR(10) &amp; CHAR(10) &amp; IF('Profit &amp; Loss'!I692=1, "1." &amp; CHAR(10) &amp; "2." &amp; CHAR(10) &amp; "3." &amp; CHAR(10) &amp; "4." &amp; CHAR(10) &amp; "5." &amp; CHAR(10) &amp; "6." &amp; CHAR(10), IF('Profit &amp; Loss'!I692=2,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0" spans="1:2" ht="12.5" x14ac:dyDescent="0.25">
      <c r="A690" s="2" t="str">
        <f ca="1">IF('Profit &amp; Loss'!A693&gt;=TODAY(),"Looking for friendly players to join the following game: " &amp; CHAR(10) &amp; CHAR(10) &amp; "Date: " &amp; TEXT('Profit &amp; Loss'!A693,"dd mmm yyy") &amp; ", " &amp; 'Profit &amp; Loss'!B693 &amp; CHAR(10) &amp; "Time: " &amp; TEXT('Profit &amp; Loss'!C693, "hh:mm AM/PM") &amp; " - " &amp; TEXT('Profit &amp; Loss'!D693, "hh:mm AM/PM") &amp; CHAR(10) &amp; "Venue: " &amp; 'Profit &amp; Loss'!E693 &amp; CHAR(10) &amp; "Level: HB - LI" &amp; CHAR(10) &amp; "Cost: $" &amp; 'Profit &amp; Loss'!O693 &amp; " per pax" &amp; CHAR(10) &amp; "Max " &amp; 'Profit &amp; Loss'!I693*6 &amp; " pax," &amp; " (" &amp; 'Profit &amp; Loss'!I693 &amp; " courts)" &amp; CHAR(10) &amp; CHAR(10) &amp; "RSL Ultimate shuttles provided" &amp; CHAR(10) &amp; CHAR(10) &amp; "PM if interested, thank you!"," ")</f>
        <v xml:space="preserve"> </v>
      </c>
      <c r="B690" s="2" t="str">
        <f ca="1">IF('Profit &amp; Loss'!A693&gt;=TODAY(), "Date: " &amp; TEXT('Profit &amp; Loss'!A693,"dd mmm yyy") &amp; ", " &amp; 'Profit &amp; Loss'!B693 &amp; CHAR(10) &amp; "Time: " &amp; TEXT('Profit &amp; Loss'!C693, "hh:mm AM/PM") &amp; " - " &amp; TEXT('Profit &amp; Loss'!D693, "hh:mm AM/PM") &amp; CHAR(10) &amp; "Venue: " &amp; 'Profit &amp; Loss'!E693 &amp; CHAR(10) &amp; "Court No.: " &amp; 'Profit &amp; Loss'!F693 &amp; CHAR(10) &amp; "Level: HB - LI" &amp; CHAR(10) &amp; "Please transfer $" &amp; 'Profit &amp; Loss'!O693 &amp; " per pax to Belle (83396501)" &amp; CHAR(10) &amp; CHAR(10) &amp; IF('Profit &amp; Loss'!I693=1, "1." &amp; CHAR(10) &amp; "2." &amp; CHAR(10) &amp; "3." &amp; CHAR(10) &amp; "4." &amp; CHAR(10) &amp; "5." &amp; CHAR(10) &amp; "6." &amp; CHAR(10), IF('Profit &amp; Loss'!I693=2,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1" spans="1:2" ht="12.5" x14ac:dyDescent="0.25">
      <c r="A691" s="2" t="str">
        <f ca="1">IF('Profit &amp; Loss'!A694&gt;=TODAY(),"Looking for friendly players to join the following game: " &amp; CHAR(10) &amp; CHAR(10) &amp; "Date: " &amp; TEXT('Profit &amp; Loss'!A694,"dd mmm yyy") &amp; ", " &amp; 'Profit &amp; Loss'!B694 &amp; CHAR(10) &amp; "Time: " &amp; TEXT('Profit &amp; Loss'!C694, "hh:mm AM/PM") &amp; " - " &amp; TEXT('Profit &amp; Loss'!D694, "hh:mm AM/PM") &amp; CHAR(10) &amp; "Venue: " &amp; 'Profit &amp; Loss'!E694 &amp; CHAR(10) &amp; "Level: HB - LI" &amp; CHAR(10) &amp; "Cost: $" &amp; 'Profit &amp; Loss'!O694 &amp; " per pax" &amp; CHAR(10) &amp; "Max " &amp; 'Profit &amp; Loss'!I694*6 &amp; " pax," &amp; " (" &amp; 'Profit &amp; Loss'!I694 &amp; " courts)" &amp; CHAR(10) &amp; CHAR(10) &amp; "RSL Ultimate shuttles provided" &amp; CHAR(10) &amp; CHAR(10) &amp; "PM if interested, thank you!"," ")</f>
        <v xml:space="preserve"> </v>
      </c>
      <c r="B691" s="2" t="str">
        <f ca="1">IF('Profit &amp; Loss'!A694&gt;=TODAY(), "Date: " &amp; TEXT('Profit &amp; Loss'!A694,"dd mmm yyy") &amp; ", " &amp; 'Profit &amp; Loss'!B694 &amp; CHAR(10) &amp; "Time: " &amp; TEXT('Profit &amp; Loss'!C694, "hh:mm AM/PM") &amp; " - " &amp; TEXT('Profit &amp; Loss'!D694, "hh:mm AM/PM") &amp; CHAR(10) &amp; "Venue: " &amp; 'Profit &amp; Loss'!E694 &amp; CHAR(10) &amp; "Court No.: " &amp; 'Profit &amp; Loss'!F694 &amp; CHAR(10) &amp; "Level: HB - LI" &amp; CHAR(10) &amp; "Please transfer $" &amp; 'Profit &amp; Loss'!O694 &amp; " per pax to Belle (83396501)" &amp; CHAR(10) &amp; CHAR(10) &amp; IF('Profit &amp; Loss'!I694=1, "1." &amp; CHAR(10) &amp; "2." &amp; CHAR(10) &amp; "3." &amp; CHAR(10) &amp; "4." &amp; CHAR(10) &amp; "5." &amp; CHAR(10) &amp; "6." &amp; CHAR(10), IF('Profit &amp; Loss'!I694=2,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2" spans="1:2" ht="12.5" x14ac:dyDescent="0.25">
      <c r="A692" s="2" t="str">
        <f ca="1">IF('Profit &amp; Loss'!A695&gt;=TODAY(),"Looking for friendly players to join the following game: " &amp; CHAR(10) &amp; CHAR(10) &amp; "Date: " &amp; TEXT('Profit &amp; Loss'!A695,"dd mmm yyy") &amp; ", " &amp; 'Profit &amp; Loss'!B695 &amp; CHAR(10) &amp; "Time: " &amp; TEXT('Profit &amp; Loss'!C695, "hh:mm AM/PM") &amp; " - " &amp; TEXT('Profit &amp; Loss'!D695, "hh:mm AM/PM") &amp; CHAR(10) &amp; "Venue: " &amp; 'Profit &amp; Loss'!E695 &amp; CHAR(10) &amp; "Level: HB - LI" &amp; CHAR(10) &amp; "Cost: $" &amp; 'Profit &amp; Loss'!O695 &amp; " per pax" &amp; CHAR(10) &amp; "Max " &amp; 'Profit &amp; Loss'!I695*6 &amp; " pax," &amp; " (" &amp; 'Profit &amp; Loss'!I695 &amp; " courts)" &amp; CHAR(10) &amp; CHAR(10) &amp; "RSL Ultimate shuttles provided" &amp; CHAR(10) &amp; CHAR(10) &amp; "PM if interested, thank you!"," ")</f>
        <v xml:space="preserve"> </v>
      </c>
      <c r="B692" s="2" t="str">
        <f ca="1">IF('Profit &amp; Loss'!A695&gt;=TODAY(), "Date: " &amp; TEXT('Profit &amp; Loss'!A695,"dd mmm yyy") &amp; ", " &amp; 'Profit &amp; Loss'!B695 &amp; CHAR(10) &amp; "Time: " &amp; TEXT('Profit &amp; Loss'!C695, "hh:mm AM/PM") &amp; " - " &amp; TEXT('Profit &amp; Loss'!D695, "hh:mm AM/PM") &amp; CHAR(10) &amp; "Venue: " &amp; 'Profit &amp; Loss'!E695 &amp; CHAR(10) &amp; "Court No.: " &amp; 'Profit &amp; Loss'!F695 &amp; CHAR(10) &amp; "Level: HB - LI" &amp; CHAR(10) &amp; "Please transfer $" &amp; 'Profit &amp; Loss'!O695 &amp; " per pax to Belle (83396501)" &amp; CHAR(10) &amp; CHAR(10) &amp; IF('Profit &amp; Loss'!I695=1, "1." &amp; CHAR(10) &amp; "2." &amp; CHAR(10) &amp; "3." &amp; CHAR(10) &amp; "4." &amp; CHAR(10) &amp; "5." &amp; CHAR(10) &amp; "6." &amp; CHAR(10), IF('Profit &amp; Loss'!I695=2,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3" spans="1:2" ht="12.5" x14ac:dyDescent="0.25">
      <c r="A693" s="2" t="str">
        <f ca="1">IF('Profit &amp; Loss'!A696&gt;=TODAY(),"Looking for friendly players to join the following game: " &amp; CHAR(10) &amp; CHAR(10) &amp; "Date: " &amp; TEXT('Profit &amp; Loss'!A696,"dd mmm yyy") &amp; ", " &amp; 'Profit &amp; Loss'!B696 &amp; CHAR(10) &amp; "Time: " &amp; TEXT('Profit &amp; Loss'!C696, "hh:mm AM/PM") &amp; " - " &amp; TEXT('Profit &amp; Loss'!D696, "hh:mm AM/PM") &amp; CHAR(10) &amp; "Venue: " &amp; 'Profit &amp; Loss'!E696 &amp; CHAR(10) &amp; "Level: HB - LI" &amp; CHAR(10) &amp; "Cost: $" &amp; 'Profit &amp; Loss'!O696 &amp; " per pax" &amp; CHAR(10) &amp; "Max " &amp; 'Profit &amp; Loss'!I696*6 &amp; " pax," &amp; " (" &amp; 'Profit &amp; Loss'!I696 &amp; " courts)" &amp; CHAR(10) &amp; CHAR(10) &amp; "RSL Ultimate shuttles provided" &amp; CHAR(10) &amp; CHAR(10) &amp; "PM if interested, thank you!"," ")</f>
        <v xml:space="preserve"> </v>
      </c>
      <c r="B693" s="2" t="str">
        <f ca="1">IF('Profit &amp; Loss'!A696&gt;=TODAY(), "Date: " &amp; TEXT('Profit &amp; Loss'!A696,"dd mmm yyy") &amp; ", " &amp; 'Profit &amp; Loss'!B696 &amp; CHAR(10) &amp; "Time: " &amp; TEXT('Profit &amp; Loss'!C696, "hh:mm AM/PM") &amp; " - " &amp; TEXT('Profit &amp; Loss'!D696, "hh:mm AM/PM") &amp; CHAR(10) &amp; "Venue: " &amp; 'Profit &amp; Loss'!E696 &amp; CHAR(10) &amp; "Court No.: " &amp; 'Profit &amp; Loss'!F696 &amp; CHAR(10) &amp; "Level: HB - LI" &amp; CHAR(10) &amp; "Please transfer $" &amp; 'Profit &amp; Loss'!O696 &amp; " per pax to Belle (83396501)" &amp; CHAR(10) &amp; CHAR(10) &amp; IF('Profit &amp; Loss'!I696=1, "1." &amp; CHAR(10) &amp; "2." &amp; CHAR(10) &amp; "3." &amp; CHAR(10) &amp; "4." &amp; CHAR(10) &amp; "5." &amp; CHAR(10) &amp; "6." &amp; CHAR(10), IF('Profit &amp; Loss'!I696=2,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4" spans="1:2" ht="12.5" x14ac:dyDescent="0.25">
      <c r="A694" s="2" t="str">
        <f ca="1">IF('Profit &amp; Loss'!A697&gt;=TODAY(),"Looking for friendly players to join the following game: " &amp; CHAR(10) &amp; CHAR(10) &amp; "Date: " &amp; TEXT('Profit &amp; Loss'!A697,"dd mmm yyy") &amp; ", " &amp; 'Profit &amp; Loss'!B697 &amp; CHAR(10) &amp; "Time: " &amp; TEXT('Profit &amp; Loss'!C697, "hh:mm AM/PM") &amp; " - " &amp; TEXT('Profit &amp; Loss'!D697, "hh:mm AM/PM") &amp; CHAR(10) &amp; "Venue: " &amp; 'Profit &amp; Loss'!E697 &amp; CHAR(10) &amp; "Level: HB - LI" &amp; CHAR(10) &amp; "Cost: $" &amp; 'Profit &amp; Loss'!O697 &amp; " per pax" &amp; CHAR(10) &amp; "Max " &amp; 'Profit &amp; Loss'!I697*6 &amp; " pax," &amp; " (" &amp; 'Profit &amp; Loss'!I697 &amp; " courts)" &amp; CHAR(10) &amp; CHAR(10) &amp; "RSL Ultimate shuttles provided" &amp; CHAR(10) &amp; CHAR(10) &amp; "PM if interested, thank you!"," ")</f>
        <v xml:space="preserve"> </v>
      </c>
      <c r="B694" s="2" t="str">
        <f ca="1">IF('Profit &amp; Loss'!A697&gt;=TODAY(), "Date: " &amp; TEXT('Profit &amp; Loss'!A697,"dd mmm yyy") &amp; ", " &amp; 'Profit &amp; Loss'!B697 &amp; CHAR(10) &amp; "Time: " &amp; TEXT('Profit &amp; Loss'!C697, "hh:mm AM/PM") &amp; " - " &amp; TEXT('Profit &amp; Loss'!D697, "hh:mm AM/PM") &amp; CHAR(10) &amp; "Venue: " &amp; 'Profit &amp; Loss'!E697 &amp; CHAR(10) &amp; "Court No.: " &amp; 'Profit &amp; Loss'!F697 &amp; CHAR(10) &amp; "Level: HB - LI" &amp; CHAR(10) &amp; "Please transfer $" &amp; 'Profit &amp; Loss'!O697 &amp; " per pax to Belle (83396501)" &amp; CHAR(10) &amp; CHAR(10) &amp; IF('Profit &amp; Loss'!I697=1, "1." &amp; CHAR(10) &amp; "2." &amp; CHAR(10) &amp; "3." &amp; CHAR(10) &amp; "4." &amp; CHAR(10) &amp; "5." &amp; CHAR(10) &amp; "6." &amp; CHAR(10), IF('Profit &amp; Loss'!I697=2,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5" spans="1:2" ht="12.5" x14ac:dyDescent="0.25">
      <c r="A695" s="2" t="str">
        <f ca="1">IF('Profit &amp; Loss'!A698&gt;=TODAY(),"Looking for friendly players to join the following game: " &amp; CHAR(10) &amp; CHAR(10) &amp; "Date: " &amp; TEXT('Profit &amp; Loss'!A698,"dd mmm yyy") &amp; ", " &amp; 'Profit &amp; Loss'!B698 &amp; CHAR(10) &amp; "Time: " &amp; TEXT('Profit &amp; Loss'!C698, "hh:mm AM/PM") &amp; " - " &amp; TEXT('Profit &amp; Loss'!D698, "hh:mm AM/PM") &amp; CHAR(10) &amp; "Venue: " &amp; 'Profit &amp; Loss'!E698 &amp; CHAR(10) &amp; "Level: HB - LI" &amp; CHAR(10) &amp; "Cost: $" &amp; 'Profit &amp; Loss'!O698 &amp; " per pax" &amp; CHAR(10) &amp; "Max " &amp; 'Profit &amp; Loss'!I698*6 &amp; " pax," &amp; " (" &amp; 'Profit &amp; Loss'!I698 &amp; " courts)" &amp; CHAR(10) &amp; CHAR(10) &amp; "RSL Ultimate shuttles provided" &amp; CHAR(10) &amp; CHAR(10) &amp; "PM if interested, thank you!"," ")</f>
        <v xml:space="preserve"> </v>
      </c>
      <c r="B695" s="2" t="str">
        <f ca="1">IF('Profit &amp; Loss'!A698&gt;=TODAY(), "Date: " &amp; TEXT('Profit &amp; Loss'!A698,"dd mmm yyy") &amp; ", " &amp; 'Profit &amp; Loss'!B698 &amp; CHAR(10) &amp; "Time: " &amp; TEXT('Profit &amp; Loss'!C698, "hh:mm AM/PM") &amp; " - " &amp; TEXT('Profit &amp; Loss'!D698, "hh:mm AM/PM") &amp; CHAR(10) &amp; "Venue: " &amp; 'Profit &amp; Loss'!E698 &amp; CHAR(10) &amp; "Court No.: " &amp; 'Profit &amp; Loss'!F698 &amp; CHAR(10) &amp; "Level: HB - LI" &amp; CHAR(10) &amp; "Please transfer $" &amp; 'Profit &amp; Loss'!O698 &amp; " per pax to Belle (83396501)" &amp; CHAR(10) &amp; CHAR(10) &amp; IF('Profit &amp; Loss'!I698=1, "1." &amp; CHAR(10) &amp; "2." &amp; CHAR(10) &amp; "3." &amp; CHAR(10) &amp; "4." &amp; CHAR(10) &amp; "5." &amp; CHAR(10) &amp; "6." &amp; CHAR(10), IF('Profit &amp; Loss'!I698=2,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6" spans="1:2" ht="12.5" x14ac:dyDescent="0.25">
      <c r="A696" s="2" t="str">
        <f ca="1">IF('Profit &amp; Loss'!A699&gt;=TODAY(),"Looking for friendly players to join the following game: " &amp; CHAR(10) &amp; CHAR(10) &amp; "Date: " &amp; TEXT('Profit &amp; Loss'!A699,"dd mmm yyy") &amp; ", " &amp; 'Profit &amp; Loss'!B699 &amp; CHAR(10) &amp; "Time: " &amp; TEXT('Profit &amp; Loss'!C699, "hh:mm AM/PM") &amp; " - " &amp; TEXT('Profit &amp; Loss'!D699, "hh:mm AM/PM") &amp; CHAR(10) &amp; "Venue: " &amp; 'Profit &amp; Loss'!E699 &amp; CHAR(10) &amp; "Level: HB - LI" &amp; CHAR(10) &amp; "Cost: $" &amp; 'Profit &amp; Loss'!O699 &amp; " per pax" &amp; CHAR(10) &amp; "Max " &amp; 'Profit &amp; Loss'!I699*6 &amp; " pax," &amp; " (" &amp; 'Profit &amp; Loss'!I699 &amp; " courts)" &amp; CHAR(10) &amp; CHAR(10) &amp; "RSL Ultimate shuttles provided" &amp; CHAR(10) &amp; CHAR(10) &amp; "PM if interested, thank you!"," ")</f>
        <v xml:space="preserve"> </v>
      </c>
      <c r="B696" s="2" t="str">
        <f ca="1">IF('Profit &amp; Loss'!A699&gt;=TODAY(), "Date: " &amp; TEXT('Profit &amp; Loss'!A699,"dd mmm yyy") &amp; ", " &amp; 'Profit &amp; Loss'!B699 &amp; CHAR(10) &amp; "Time: " &amp; TEXT('Profit &amp; Loss'!C699, "hh:mm AM/PM") &amp; " - " &amp; TEXT('Profit &amp; Loss'!D699, "hh:mm AM/PM") &amp; CHAR(10) &amp; "Venue: " &amp; 'Profit &amp; Loss'!E699 &amp; CHAR(10) &amp; "Court No.: " &amp; 'Profit &amp; Loss'!F699 &amp; CHAR(10) &amp; "Level: HB - LI" &amp; CHAR(10) &amp; "Please transfer $" &amp; 'Profit &amp; Loss'!O699 &amp; " per pax to Belle (83396501)" &amp; CHAR(10) &amp; CHAR(10) &amp; IF('Profit &amp; Loss'!I699=1, "1." &amp; CHAR(10) &amp; "2." &amp; CHAR(10) &amp; "3." &amp; CHAR(10) &amp; "4." &amp; CHAR(10) &amp; "5." &amp; CHAR(10) &amp; "6." &amp; CHAR(10), IF('Profit &amp; Loss'!I699=2,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Loss'!I699=3,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7" spans="1:2" ht="12.5" x14ac:dyDescent="0.25">
      <c r="A697" s="2" t="str">
        <f ca="1">IF('Profit &amp; Loss'!A700&gt;=TODAY(),"Looking for friendly players to join the following game: " &amp; CHAR(10) &amp; CHAR(10) &amp; "Date: " &amp; TEXT('Profit &amp; Loss'!A700,"dd mmm yyy") &amp; ", " &amp; 'Profit &amp; Loss'!B700 &amp; CHAR(10) &amp; "Time: " &amp; TEXT('Profit &amp; Loss'!C700, "hh:mm AM/PM") &amp; " - " &amp; TEXT('Profit &amp; Loss'!D700, "hh:mm AM/PM") &amp; CHAR(10) &amp; "Venue: " &amp; 'Profit &amp; Loss'!E700 &amp; CHAR(10) &amp; "Level: HB - LI" &amp; CHAR(10) &amp; "Cost: $" &amp; 'Profit &amp; Loss'!O700 &amp; " per pax" &amp; CHAR(10) &amp; "Max " &amp; 'Profit &amp; Loss'!I700*6 &amp; " pax," &amp; " (" &amp; 'Profit &amp; Loss'!I700 &amp; " courts)" &amp; CHAR(10) &amp; CHAR(10) &amp; "RSL Ultimate shuttles provided" &amp; CHAR(10) &amp; CHAR(10) &amp; "PM if interested, thank you!"," ")</f>
        <v xml:space="preserve"> </v>
      </c>
      <c r="B697" s="2" t="str">
        <f ca="1">IF('Profit &amp; Loss'!A700&gt;=TODAY(), "Date: " &amp; TEXT('Profit &amp; Loss'!A700,"dd mmm yyy") &amp; ", " &amp; 'Profit &amp; Loss'!B700 &amp; CHAR(10) &amp; "Time: " &amp; TEXT('Profit &amp; Loss'!C700, "hh:mm AM/PM") &amp; " - " &amp; TEXT('Profit &amp; Loss'!D700, "hh:mm AM/PM") &amp; CHAR(10) &amp; "Venue: " &amp; 'Profit &amp; Loss'!E700 &amp; CHAR(10) &amp; "Court No.: " &amp; 'Profit &amp; Loss'!F700 &amp; CHAR(10) &amp; "Level: HB - LI" &amp; CHAR(10) &amp; "Please transfer $" &amp; 'Profit &amp; Loss'!O700 &amp; " per pax to Belle (83396501)" &amp; CHAR(10) &amp; CHAR(10) &amp; IF('Profit &amp; Loss'!I700=1, "1." &amp; CHAR(10) &amp; "2." &amp; CHAR(10) &amp; "3." &amp; CHAR(10) &amp; "4." &amp; CHAR(10) &amp; "5." &amp; CHAR(10) &amp; "6." &amp; CHAR(10), IF('Profit &amp; Loss'!I700=2,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8" spans="1:2" ht="12.5" x14ac:dyDescent="0.25">
      <c r="A698" s="2" t="str">
        <f ca="1">IF('Profit &amp; Loss'!A701&gt;=TODAY(),"Looking for friendly players to join the following game: " &amp; CHAR(10) &amp; CHAR(10) &amp; "Date: " &amp; TEXT('Profit &amp; Loss'!A701,"dd mmm yyy") &amp; ", " &amp; 'Profit &amp; Loss'!B701 &amp; CHAR(10) &amp; "Time: " &amp; TEXT('Profit &amp; Loss'!C701, "hh:mm AM/PM") &amp; " - " &amp; TEXT('Profit &amp; Loss'!D701, "hh:mm AM/PM") &amp; CHAR(10) &amp; "Venue: " &amp; 'Profit &amp; Loss'!E701 &amp; CHAR(10) &amp; "Level: HB - LI" &amp; CHAR(10) &amp; "Cost: $" &amp; 'Profit &amp; Loss'!O701 &amp; " per pax" &amp; CHAR(10) &amp; "Max " &amp; 'Profit &amp; Loss'!I701*6 &amp; " pax," &amp; " (" &amp; 'Profit &amp; Loss'!I701 &amp; " courts)" &amp; CHAR(10) &amp; CHAR(10) &amp; "RSL Ultimate shuttles provided" &amp; CHAR(10) &amp; CHAR(10) &amp; "PM if interested, thank you!"," ")</f>
        <v xml:space="preserve"> </v>
      </c>
      <c r="B698" s="2" t="str">
        <f ca="1">IF('Profit &amp; Loss'!A701&gt;=TODAY(), "Date: " &amp; TEXT('Profit &amp; Loss'!A701,"dd mmm yyy") &amp; ", " &amp; 'Profit &amp; Loss'!B701 &amp; CHAR(10) &amp; "Time: " &amp; TEXT('Profit &amp; Loss'!C701, "hh:mm AM/PM") &amp; " - " &amp; TEXT('Profit &amp; Loss'!D701, "hh:mm AM/PM") &amp; CHAR(10) &amp; "Venue: " &amp; 'Profit &amp; Loss'!E701 &amp; CHAR(10) &amp; "Court No.: " &amp; 'Profit &amp; Loss'!F701 &amp; CHAR(10) &amp; "Level: HB - LI" &amp; CHAR(10) &amp; "Please transfer $" &amp; 'Profit &amp; Loss'!O701 &amp; " per pax to Belle (83396501)" &amp; CHAR(10) &amp; CHAR(10) &amp; IF('Profit &amp; Loss'!I701=1, "1." &amp; CHAR(10) &amp; "2." &amp; CHAR(10) &amp; "3." &amp; CHAR(10) &amp; "4." &amp; CHAR(10) &amp; "5." &amp; CHAR(10) &amp; "6." &amp; CHAR(10), IF('Profit &amp; Loss'!I701=2,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699" spans="1:2" ht="12.5" x14ac:dyDescent="0.25">
      <c r="A699" s="2" t="str">
        <f ca="1">IF('Profit &amp; Loss'!A702&gt;=TODAY(),"Looking for friendly players to join the following game: " &amp; CHAR(10) &amp; CHAR(10) &amp; "Date: " &amp; TEXT('Profit &amp; Loss'!A702,"dd mmm yyy") &amp; ", " &amp; 'Profit &amp; Loss'!B702 &amp; CHAR(10) &amp; "Time: " &amp; TEXT('Profit &amp; Loss'!C702, "hh:mm AM/PM") &amp; " - " &amp; TEXT('Profit &amp; Loss'!D702, "hh:mm AM/PM") &amp; CHAR(10) &amp; "Venue: " &amp; 'Profit &amp; Loss'!E702 &amp; CHAR(10) &amp; "Level: HB - LI" &amp; CHAR(10) &amp; "Cost: $" &amp; 'Profit &amp; Loss'!O702 &amp; " per pax" &amp; CHAR(10) &amp; "Max " &amp; 'Profit &amp; Loss'!I702*6 &amp; " pax," &amp; " (" &amp; 'Profit &amp; Loss'!I702 &amp; " courts)" &amp; CHAR(10) &amp; CHAR(10) &amp; "RSL Ultimate shuttles provided" &amp; CHAR(10) &amp; CHAR(10) &amp; "PM if interested, thank you!"," ")</f>
        <v xml:space="preserve"> </v>
      </c>
      <c r="B699" s="2" t="str">
        <f ca="1">IF('Profit &amp; Loss'!A702&gt;=TODAY(), "Date: " &amp; TEXT('Profit &amp; Loss'!A702,"dd mmm yyy") &amp; ", " &amp; 'Profit &amp; Loss'!B702 &amp; CHAR(10) &amp; "Time: " &amp; TEXT('Profit &amp; Loss'!C702, "hh:mm AM/PM") &amp; " - " &amp; TEXT('Profit &amp; Loss'!D702, "hh:mm AM/PM") &amp; CHAR(10) &amp; "Venue: " &amp; 'Profit &amp; Loss'!E702 &amp; CHAR(10) &amp; "Court No.: " &amp; 'Profit &amp; Loss'!F702 &amp; CHAR(10) &amp; "Level: HB - LI" &amp; CHAR(10) &amp; "Please transfer $" &amp; 'Profit &amp; Loss'!O702 &amp; " per pax to Belle (83396501)" &amp; CHAR(10) &amp; CHAR(10) &amp; IF('Profit &amp; Loss'!I702=1, "1." &amp; CHAR(10) &amp; "2." &amp; CHAR(10) &amp; "3." &amp; CHAR(10) &amp; "4." &amp; CHAR(10) &amp; "5." &amp; CHAR(10) &amp; "6." &amp; CHAR(10), IF('Profit &amp; Loss'!I702=2,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0" spans="1:2" ht="12.5" x14ac:dyDescent="0.25">
      <c r="A700" s="2" t="str">
        <f ca="1">IF('Profit &amp; Loss'!A703&gt;=TODAY(),"Looking for friendly players to join the following game: " &amp; CHAR(10) &amp; CHAR(10) &amp; "Date: " &amp; TEXT('Profit &amp; Loss'!A703,"dd mmm yyy") &amp; ", " &amp; 'Profit &amp; Loss'!B703 &amp; CHAR(10) &amp; "Time: " &amp; TEXT('Profit &amp; Loss'!C703, "hh:mm AM/PM") &amp; " - " &amp; TEXT('Profit &amp; Loss'!D703, "hh:mm AM/PM") &amp; CHAR(10) &amp; "Venue: " &amp; 'Profit &amp; Loss'!E703 &amp; CHAR(10) &amp; "Level: HB - LI" &amp; CHAR(10) &amp; "Cost: $" &amp; 'Profit &amp; Loss'!O703 &amp; " per pax" &amp; CHAR(10) &amp; "Max " &amp; 'Profit &amp; Loss'!I703*6 &amp; " pax," &amp; " (" &amp; 'Profit &amp; Loss'!I703 &amp; " courts)" &amp; CHAR(10) &amp; CHAR(10) &amp; "RSL Ultimate shuttles provided" &amp; CHAR(10) &amp; CHAR(10) &amp; "PM if interested, thank you!"," ")</f>
        <v xml:space="preserve"> </v>
      </c>
      <c r="B700" s="2" t="str">
        <f ca="1">IF('Profit &amp; Loss'!A703&gt;=TODAY(), "Date: " &amp; TEXT('Profit &amp; Loss'!A703,"dd mmm yyy") &amp; ", " &amp; 'Profit &amp; Loss'!B703 &amp; CHAR(10) &amp; "Time: " &amp; TEXT('Profit &amp; Loss'!C703, "hh:mm AM/PM") &amp; " - " &amp; TEXT('Profit &amp; Loss'!D703, "hh:mm AM/PM") &amp; CHAR(10) &amp; "Venue: " &amp; 'Profit &amp; Loss'!E703 &amp; CHAR(10) &amp; "Court No.: " &amp; 'Profit &amp; Loss'!F703 &amp; CHAR(10) &amp; "Level: HB - LI" &amp; CHAR(10) &amp; "Please transfer $" &amp; 'Profit &amp; Loss'!O703 &amp; " per pax to Belle (83396501)" &amp; CHAR(10) &amp; CHAR(10) &amp; IF('Profit &amp; Loss'!I703=1, "1." &amp; CHAR(10) &amp; "2." &amp; CHAR(10) &amp; "3." &amp; CHAR(10) &amp; "4." &amp; CHAR(10) &amp; "5." &amp; CHAR(10) &amp; "6." &amp; CHAR(10), IF('Profit &amp; Loss'!I703=2,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1" spans="1:2" ht="12.5" x14ac:dyDescent="0.25">
      <c r="A701" s="2" t="str">
        <f ca="1">IF('Profit &amp; Loss'!A704&gt;=TODAY(),"Looking for friendly players to join the following game: " &amp; CHAR(10) &amp; CHAR(10) &amp; "Date: " &amp; TEXT('Profit &amp; Loss'!A704,"dd mmm yyy") &amp; ", " &amp; 'Profit &amp; Loss'!B704 &amp; CHAR(10) &amp; "Time: " &amp; TEXT('Profit &amp; Loss'!C704, "hh:mm AM/PM") &amp; " - " &amp; TEXT('Profit &amp; Loss'!D704, "hh:mm AM/PM") &amp; CHAR(10) &amp; "Venue: " &amp; 'Profit &amp; Loss'!E704 &amp; CHAR(10) &amp; "Level: HB - LI" &amp; CHAR(10) &amp; "Cost: $" &amp; 'Profit &amp; Loss'!O704 &amp; " per pax" &amp; CHAR(10) &amp; "Max " &amp; 'Profit &amp; Loss'!I704*6 &amp; " pax," &amp; " (" &amp; 'Profit &amp; Loss'!I704 &amp; " courts)" &amp; CHAR(10) &amp; CHAR(10) &amp; "RSL Ultimate shuttles provided" &amp; CHAR(10) &amp; CHAR(10) &amp; "PM if interested, thank you!"," ")</f>
        <v xml:space="preserve"> </v>
      </c>
      <c r="B701" s="2" t="str">
        <f ca="1">IF('Profit &amp; Loss'!A704&gt;=TODAY(), "Date: " &amp; TEXT('Profit &amp; Loss'!A704,"dd mmm yyy") &amp; ", " &amp; 'Profit &amp; Loss'!B704 &amp; CHAR(10) &amp; "Time: " &amp; TEXT('Profit &amp; Loss'!C704, "hh:mm AM/PM") &amp; " - " &amp; TEXT('Profit &amp; Loss'!D704, "hh:mm AM/PM") &amp; CHAR(10) &amp; "Venue: " &amp; 'Profit &amp; Loss'!E704 &amp; CHAR(10) &amp; "Court No.: " &amp; 'Profit &amp; Loss'!F704 &amp; CHAR(10) &amp; "Level: HB - LI" &amp; CHAR(10) &amp; "Please transfer $" &amp; 'Profit &amp; Loss'!O704 &amp; " per pax to Belle (83396501)" &amp; CHAR(10) &amp; CHAR(10) &amp; IF('Profit &amp; Loss'!I704=1, "1." &amp; CHAR(10) &amp; "2." &amp; CHAR(10) &amp; "3." &amp; CHAR(10) &amp; "4." &amp; CHAR(10) &amp; "5." &amp; CHAR(10) &amp; "6." &amp; CHAR(10), IF('Profit &amp; Loss'!I704=2,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2" spans="1:2" ht="12.5" x14ac:dyDescent="0.25">
      <c r="A702" s="2" t="str">
        <f ca="1">IF('Profit &amp; Loss'!A705&gt;=TODAY(),"Looking for friendly players to join the following game: " &amp; CHAR(10) &amp; CHAR(10) &amp; "Date: " &amp; TEXT('Profit &amp; Loss'!A705,"dd mmm yyy") &amp; ", " &amp; 'Profit &amp; Loss'!B705 &amp; CHAR(10) &amp; "Time: " &amp; TEXT('Profit &amp; Loss'!C705, "hh:mm AM/PM") &amp; " - " &amp; TEXT('Profit &amp; Loss'!D705, "hh:mm AM/PM") &amp; CHAR(10) &amp; "Venue: " &amp; 'Profit &amp; Loss'!E705 &amp; CHAR(10) &amp; "Level: HB - LI" &amp; CHAR(10) &amp; "Cost: $" &amp; 'Profit &amp; Loss'!O705 &amp; " per pax" &amp; CHAR(10) &amp; "Max " &amp; 'Profit &amp; Loss'!I705*6 &amp; " pax," &amp; " (" &amp; 'Profit &amp; Loss'!I705 &amp; " courts)" &amp; CHAR(10) &amp; CHAR(10) &amp; "RSL Ultimate shuttles provided" &amp; CHAR(10) &amp; CHAR(10) &amp; "PM if interested, thank you!"," ")</f>
        <v xml:space="preserve"> </v>
      </c>
      <c r="B702" s="2" t="str">
        <f ca="1">IF('Profit &amp; Loss'!A705&gt;=TODAY(), "Date: " &amp; TEXT('Profit &amp; Loss'!A705,"dd mmm yyy") &amp; ", " &amp; 'Profit &amp; Loss'!B705 &amp; CHAR(10) &amp; "Time: " &amp; TEXT('Profit &amp; Loss'!C705, "hh:mm AM/PM") &amp; " - " &amp; TEXT('Profit &amp; Loss'!D705, "hh:mm AM/PM") &amp; CHAR(10) &amp; "Venue: " &amp; 'Profit &amp; Loss'!E705 &amp; CHAR(10) &amp; "Court No.: " &amp; 'Profit &amp; Loss'!F705 &amp; CHAR(10) &amp; "Level: HB - LI" &amp; CHAR(10) &amp; "Please transfer $" &amp; 'Profit &amp; Loss'!O705 &amp; " per pax to Belle (83396501)" &amp; CHAR(10) &amp; CHAR(10) &amp; IF('Profit &amp; Loss'!I705=1, "1." &amp; CHAR(10) &amp; "2." &amp; CHAR(10) &amp; "3." &amp; CHAR(10) &amp; "4." &amp; CHAR(10) &amp; "5." &amp; CHAR(10) &amp; "6." &amp; CHAR(10), IF('Profit &amp; Loss'!I705=2,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3" spans="1:2" ht="12.5" x14ac:dyDescent="0.25">
      <c r="A703" s="2" t="str">
        <f ca="1">IF('Profit &amp; Loss'!A706&gt;=TODAY(),"Looking for friendly players to join the following game: " &amp; CHAR(10) &amp; CHAR(10) &amp; "Date: " &amp; TEXT('Profit &amp; Loss'!A706,"dd mmm yyy") &amp; ", " &amp; 'Profit &amp; Loss'!B706 &amp; CHAR(10) &amp; "Time: " &amp; TEXT('Profit &amp; Loss'!C706, "hh:mm AM/PM") &amp; " - " &amp; TEXT('Profit &amp; Loss'!D706, "hh:mm AM/PM") &amp; CHAR(10) &amp; "Venue: " &amp; 'Profit &amp; Loss'!E706 &amp; CHAR(10) &amp; "Level: HB - LI" &amp; CHAR(10) &amp; "Cost: $" &amp; 'Profit &amp; Loss'!O706 &amp; " per pax" &amp; CHAR(10) &amp; "Max " &amp; 'Profit &amp; Loss'!I706*6 &amp; " pax," &amp; " (" &amp; 'Profit &amp; Loss'!I706 &amp; " courts)" &amp; CHAR(10) &amp; CHAR(10) &amp; "RSL Ultimate shuttles provided" &amp; CHAR(10) &amp; CHAR(10) &amp; "PM if interested, thank you!"," ")</f>
        <v xml:space="preserve"> </v>
      </c>
      <c r="B703" s="2" t="str">
        <f ca="1">IF('Profit &amp; Loss'!A706&gt;=TODAY(), "Date: " &amp; TEXT('Profit &amp; Loss'!A706,"dd mmm yyy") &amp; ", " &amp; 'Profit &amp; Loss'!B706 &amp; CHAR(10) &amp; "Time: " &amp; TEXT('Profit &amp; Loss'!C706, "hh:mm AM/PM") &amp; " - " &amp; TEXT('Profit &amp; Loss'!D706, "hh:mm AM/PM") &amp; CHAR(10) &amp; "Venue: " &amp; 'Profit &amp; Loss'!E706 &amp; CHAR(10) &amp; "Court No.: " &amp; 'Profit &amp; Loss'!F706 &amp; CHAR(10) &amp; "Level: HB - LI" &amp; CHAR(10) &amp; "Please transfer $" &amp; 'Profit &amp; Loss'!O706 &amp; " per pax to Belle (83396501)" &amp; CHAR(10) &amp; CHAR(10) &amp; IF('Profit &amp; Loss'!I706=1, "1." &amp; CHAR(10) &amp; "2." &amp; CHAR(10) &amp; "3." &amp; CHAR(10) &amp; "4." &amp; CHAR(10) &amp; "5." &amp; CHAR(10) &amp; "6." &amp; CHAR(10), IF('Profit &amp; Loss'!I706=2,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4" spans="1:2" ht="12.5" x14ac:dyDescent="0.25">
      <c r="A704" s="2" t="str">
        <f ca="1">IF('Profit &amp; Loss'!A707&gt;=TODAY(),"Looking for friendly players to join the following game: " &amp; CHAR(10) &amp; CHAR(10) &amp; "Date: " &amp; TEXT('Profit &amp; Loss'!A707,"dd mmm yyy") &amp; ", " &amp; 'Profit &amp; Loss'!B707 &amp; CHAR(10) &amp; "Time: " &amp; TEXT('Profit &amp; Loss'!C707, "hh:mm AM/PM") &amp; " - " &amp; TEXT('Profit &amp; Loss'!D707, "hh:mm AM/PM") &amp; CHAR(10) &amp; "Venue: " &amp; 'Profit &amp; Loss'!E707 &amp; CHAR(10) &amp; "Level: HB - LI" &amp; CHAR(10) &amp; "Cost: $" &amp; 'Profit &amp; Loss'!O707 &amp; " per pax" &amp; CHAR(10) &amp; "Max " &amp; 'Profit &amp; Loss'!I707*6 &amp; " pax," &amp; " (" &amp; 'Profit &amp; Loss'!I707 &amp; " courts)" &amp; CHAR(10) &amp; CHAR(10) &amp; "RSL Ultimate shuttles provided" &amp; CHAR(10) &amp; CHAR(10) &amp; "PM if interested, thank you!"," ")</f>
        <v xml:space="preserve"> </v>
      </c>
      <c r="B704" s="2" t="str">
        <f ca="1">IF('Profit &amp; Loss'!A707&gt;=TODAY(), "Date: " &amp; TEXT('Profit &amp; Loss'!A707,"dd mmm yyy") &amp; ", " &amp; 'Profit &amp; Loss'!B707 &amp; CHAR(10) &amp; "Time: " &amp; TEXT('Profit &amp; Loss'!C707, "hh:mm AM/PM") &amp; " - " &amp; TEXT('Profit &amp; Loss'!D707, "hh:mm AM/PM") &amp; CHAR(10) &amp; "Venue: " &amp; 'Profit &amp; Loss'!E707 &amp; CHAR(10) &amp; "Court No.: " &amp; 'Profit &amp; Loss'!F707 &amp; CHAR(10) &amp; "Level: HB - LI" &amp; CHAR(10) &amp; "Please transfer $" &amp; 'Profit &amp; Loss'!O707 &amp; " per pax to Belle (83396501)" &amp; CHAR(10) &amp; CHAR(10) &amp; IF('Profit &amp; Loss'!I707=1, "1." &amp; CHAR(10) &amp; "2." &amp; CHAR(10) &amp; "3." &amp; CHAR(10) &amp; "4." &amp; CHAR(10) &amp; "5." &amp; CHAR(10) &amp; "6." &amp; CHAR(10), IF('Profit &amp; Loss'!I707=2,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5" spans="1:2" ht="12.5" x14ac:dyDescent="0.25">
      <c r="A705" s="2" t="str">
        <f ca="1">IF('Profit &amp; Loss'!A708&gt;=TODAY(),"Looking for friendly players to join the following game: " &amp; CHAR(10) &amp; CHAR(10) &amp; "Date: " &amp; TEXT('Profit &amp; Loss'!A708,"dd mmm yyy") &amp; ", " &amp; 'Profit &amp; Loss'!B708 &amp; CHAR(10) &amp; "Time: " &amp; TEXT('Profit &amp; Loss'!C708, "hh:mm AM/PM") &amp; " - " &amp; TEXT('Profit &amp; Loss'!D708, "hh:mm AM/PM") &amp; CHAR(10) &amp; "Venue: " &amp; 'Profit &amp; Loss'!E708 &amp; CHAR(10) &amp; "Level: HB - LI" &amp; CHAR(10) &amp; "Cost: $" &amp; 'Profit &amp; Loss'!O708 &amp; " per pax" &amp; CHAR(10) &amp; "Max " &amp; 'Profit &amp; Loss'!I708*6 &amp; " pax," &amp; " (" &amp; 'Profit &amp; Loss'!I708 &amp; " courts)" &amp; CHAR(10) &amp; CHAR(10) &amp; "RSL Ultimate shuttles provided" &amp; CHAR(10) &amp; CHAR(10) &amp; "PM if interested, thank you!"," ")</f>
        <v xml:space="preserve"> </v>
      </c>
      <c r="B705" s="2" t="str">
        <f ca="1">IF('Profit &amp; Loss'!A708&gt;=TODAY(), "Date: " &amp; TEXT('Profit &amp; Loss'!A708,"dd mmm yyy") &amp; ", " &amp; 'Profit &amp; Loss'!B708 &amp; CHAR(10) &amp; "Time: " &amp; TEXT('Profit &amp; Loss'!C708, "hh:mm AM/PM") &amp; " - " &amp; TEXT('Profit &amp; Loss'!D708, "hh:mm AM/PM") &amp; CHAR(10) &amp; "Venue: " &amp; 'Profit &amp; Loss'!E708 &amp; CHAR(10) &amp; "Court No.: " &amp; 'Profit &amp; Loss'!F708 &amp; CHAR(10) &amp; "Level: HB - LI" &amp; CHAR(10) &amp; "Please transfer $" &amp; 'Profit &amp; Loss'!O708 &amp; " per pax to Belle (83396501)" &amp; CHAR(10) &amp; CHAR(10) &amp; IF('Profit &amp; Loss'!I708=1, "1." &amp; CHAR(10) &amp; "2." &amp; CHAR(10) &amp; "3." &amp; CHAR(10) &amp; "4." &amp; CHAR(10) &amp; "5." &amp; CHAR(10) &amp; "6." &amp; CHAR(10), IF('Profit &amp; Loss'!I708=2,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6" spans="1:2" ht="12.5" x14ac:dyDescent="0.25">
      <c r="A706" s="2" t="str">
        <f ca="1">IF('Profit &amp; Loss'!A709&gt;=TODAY(),"Looking for friendly players to join the following game: " &amp; CHAR(10) &amp; CHAR(10) &amp; "Date: " &amp; TEXT('Profit &amp; Loss'!A709,"dd mmm yyy") &amp; ", " &amp; 'Profit &amp; Loss'!B709 &amp; CHAR(10) &amp; "Time: " &amp; TEXT('Profit &amp; Loss'!C709, "hh:mm AM/PM") &amp; " - " &amp; TEXT('Profit &amp; Loss'!D709, "hh:mm AM/PM") &amp; CHAR(10) &amp; "Venue: " &amp; 'Profit &amp; Loss'!E709 &amp; CHAR(10) &amp; "Level: HB - LI" &amp; CHAR(10) &amp; "Cost: $" &amp; 'Profit &amp; Loss'!O709 &amp; " per pax" &amp; CHAR(10) &amp; "Max " &amp; 'Profit &amp; Loss'!I709*6 &amp; " pax," &amp; " (" &amp; 'Profit &amp; Loss'!I709 &amp; " courts)" &amp; CHAR(10) &amp; CHAR(10) &amp; "RSL Ultimate shuttles provided" &amp; CHAR(10) &amp; CHAR(10) &amp; "PM if interested, thank you!"," ")</f>
        <v xml:space="preserve"> </v>
      </c>
      <c r="B706" s="2" t="str">
        <f ca="1">IF('Profit &amp; Loss'!A709&gt;=TODAY(), "Date: " &amp; TEXT('Profit &amp; Loss'!A709,"dd mmm yyy") &amp; ", " &amp; 'Profit &amp; Loss'!B709 &amp; CHAR(10) &amp; "Time: " &amp; TEXT('Profit &amp; Loss'!C709, "hh:mm AM/PM") &amp; " - " &amp; TEXT('Profit &amp; Loss'!D709, "hh:mm AM/PM") &amp; CHAR(10) &amp; "Venue: " &amp; 'Profit &amp; Loss'!E709 &amp; CHAR(10) &amp; "Court No.: " &amp; 'Profit &amp; Loss'!F709 &amp; CHAR(10) &amp; "Level: HB - LI" &amp; CHAR(10) &amp; "Please transfer $" &amp; 'Profit &amp; Loss'!O709 &amp; " per pax to Belle (83396501)" &amp; CHAR(10) &amp; CHAR(10) &amp; IF('Profit &amp; Loss'!I709=1, "1." &amp; CHAR(10) &amp; "2." &amp; CHAR(10) &amp; "3." &amp; CHAR(10) &amp; "4." &amp; CHAR(10) &amp; "5." &amp; CHAR(10) &amp; "6." &amp; CHAR(10), IF('Profit &amp; Loss'!I709=2,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7" spans="1:2" ht="12.5" x14ac:dyDescent="0.25">
      <c r="A707" s="2" t="str">
        <f ca="1">IF('Profit &amp; Loss'!A710&gt;=TODAY(),"Looking for friendly players to join the following game: " &amp; CHAR(10) &amp; CHAR(10) &amp; "Date: " &amp; TEXT('Profit &amp; Loss'!A710,"dd mmm yyy") &amp; ", " &amp; 'Profit &amp; Loss'!B710 &amp; CHAR(10) &amp; "Time: " &amp; TEXT('Profit &amp; Loss'!C710, "hh:mm AM/PM") &amp; " - " &amp; TEXT('Profit &amp; Loss'!D710, "hh:mm AM/PM") &amp; CHAR(10) &amp; "Venue: " &amp; 'Profit &amp; Loss'!E710 &amp; CHAR(10) &amp; "Level: HB - LI" &amp; CHAR(10) &amp; "Cost: $" &amp; 'Profit &amp; Loss'!O710 &amp; " per pax" &amp; CHAR(10) &amp; "Max " &amp; 'Profit &amp; Loss'!I710*6 &amp; " pax," &amp; " (" &amp; 'Profit &amp; Loss'!I710 &amp; " courts)" &amp; CHAR(10) &amp; CHAR(10) &amp; "RSL Ultimate shuttles provided" &amp; CHAR(10) &amp; CHAR(10) &amp; "PM if interested, thank you!"," ")</f>
        <v xml:space="preserve"> </v>
      </c>
      <c r="B707" s="2" t="str">
        <f ca="1">IF('Profit &amp; Loss'!A710&gt;=TODAY(), "Date: " &amp; TEXT('Profit &amp; Loss'!A710,"dd mmm yyy") &amp; ", " &amp; 'Profit &amp; Loss'!B710 &amp; CHAR(10) &amp; "Time: " &amp; TEXT('Profit &amp; Loss'!C710, "hh:mm AM/PM") &amp; " - " &amp; TEXT('Profit &amp; Loss'!D710, "hh:mm AM/PM") &amp; CHAR(10) &amp; "Venue: " &amp; 'Profit &amp; Loss'!E710 &amp; CHAR(10) &amp; "Court No.: " &amp; 'Profit &amp; Loss'!F710 &amp; CHAR(10) &amp; "Level: HB - LI" &amp; CHAR(10) &amp; "Please transfer $" &amp; 'Profit &amp; Loss'!O710 &amp; " per pax to Belle (83396501)" &amp; CHAR(10) &amp; CHAR(10) &amp; IF('Profit &amp; Loss'!I710=1, "1." &amp; CHAR(10) &amp; "2." &amp; CHAR(10) &amp; "3." &amp; CHAR(10) &amp; "4." &amp; CHAR(10) &amp; "5." &amp; CHAR(10) &amp; "6." &amp; CHAR(10), IF('Profit &amp; Loss'!I710=2,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8" spans="1:2" ht="12.5" x14ac:dyDescent="0.25">
      <c r="A708" s="2" t="str">
        <f ca="1">IF('Profit &amp; Loss'!A711&gt;=TODAY(),"Looking for friendly players to join the following game: " &amp; CHAR(10) &amp; CHAR(10) &amp; "Date: " &amp; TEXT('Profit &amp; Loss'!A711,"dd mmm yyy") &amp; ", " &amp; 'Profit &amp; Loss'!B711 &amp; CHAR(10) &amp; "Time: " &amp; TEXT('Profit &amp; Loss'!C711, "hh:mm AM/PM") &amp; " - " &amp; TEXT('Profit &amp; Loss'!D711, "hh:mm AM/PM") &amp; CHAR(10) &amp; "Venue: " &amp; 'Profit &amp; Loss'!E711 &amp; CHAR(10) &amp; "Level: HB - LI" &amp; CHAR(10) &amp; "Cost: $" &amp; 'Profit &amp; Loss'!O711 &amp; " per pax" &amp; CHAR(10) &amp; "Max " &amp; 'Profit &amp; Loss'!I711*6 &amp; " pax," &amp; " (" &amp; 'Profit &amp; Loss'!I711 &amp; " courts)" &amp; CHAR(10) &amp; CHAR(10) &amp; "RSL Ultimate shuttles provided" &amp; CHAR(10) &amp; CHAR(10) &amp; "PM if interested, thank you!"," ")</f>
        <v xml:space="preserve"> </v>
      </c>
      <c r="B708" s="2" t="str">
        <f ca="1">IF('Profit &amp; Loss'!A711&gt;=TODAY(), "Date: " &amp; TEXT('Profit &amp; Loss'!A711,"dd mmm yyy") &amp; ", " &amp; 'Profit &amp; Loss'!B711 &amp; CHAR(10) &amp; "Time: " &amp; TEXT('Profit &amp; Loss'!C711, "hh:mm AM/PM") &amp; " - " &amp; TEXT('Profit &amp; Loss'!D711, "hh:mm AM/PM") &amp; CHAR(10) &amp; "Venue: " &amp; 'Profit &amp; Loss'!E711 &amp; CHAR(10) &amp; "Court No.: " &amp; 'Profit &amp; Loss'!F711 &amp; CHAR(10) &amp; "Level: HB - LI" &amp; CHAR(10) &amp; "Please transfer $" &amp; 'Profit &amp; Loss'!O711 &amp; " per pax to Belle (83396501)" &amp; CHAR(10) &amp; CHAR(10) &amp; IF('Profit &amp; Loss'!I711=1, "1." &amp; CHAR(10) &amp; "2." &amp; CHAR(10) &amp; "3." &amp; CHAR(10) &amp; "4." &amp; CHAR(10) &amp; "5." &amp; CHAR(10) &amp; "6." &amp; CHAR(10), IF('Profit &amp; Loss'!I711=2,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09" spans="1:2" ht="12.5" x14ac:dyDescent="0.25">
      <c r="A709" s="2" t="str">
        <f ca="1">IF('Profit &amp; Loss'!A712&gt;=TODAY(),"Looking for friendly players to join the following game: " &amp; CHAR(10) &amp; CHAR(10) &amp; "Date: " &amp; TEXT('Profit &amp; Loss'!A712,"dd mmm yyy") &amp; ", " &amp; 'Profit &amp; Loss'!B712 &amp; CHAR(10) &amp; "Time: " &amp; TEXT('Profit &amp; Loss'!C712, "hh:mm AM/PM") &amp; " - " &amp; TEXT('Profit &amp; Loss'!D712, "hh:mm AM/PM") &amp; CHAR(10) &amp; "Venue: " &amp; 'Profit &amp; Loss'!E712 &amp; CHAR(10) &amp; "Level: HB - LI" &amp; CHAR(10) &amp; "Cost: $" &amp; 'Profit &amp; Loss'!O712 &amp; " per pax" &amp; CHAR(10) &amp; "Max " &amp; 'Profit &amp; Loss'!I712*6 &amp; " pax," &amp; " (" &amp; 'Profit &amp; Loss'!I712 &amp; " courts)" &amp; CHAR(10) &amp; CHAR(10) &amp; "RSL Ultimate shuttles provided" &amp; CHAR(10) &amp; CHAR(10) &amp; "PM if interested, thank you!"," ")</f>
        <v xml:space="preserve"> </v>
      </c>
      <c r="B709" s="2" t="str">
        <f ca="1">IF('Profit &amp; Loss'!A712&gt;=TODAY(), "Date: " &amp; TEXT('Profit &amp; Loss'!A712,"dd mmm yyy") &amp; ", " &amp; 'Profit &amp; Loss'!B712 &amp; CHAR(10) &amp; "Time: " &amp; TEXT('Profit &amp; Loss'!C712, "hh:mm AM/PM") &amp; " - " &amp; TEXT('Profit &amp; Loss'!D712, "hh:mm AM/PM") &amp; CHAR(10) &amp; "Venue: " &amp; 'Profit &amp; Loss'!E712 &amp; CHAR(10) &amp; "Court No.: " &amp; 'Profit &amp; Loss'!F712 &amp; CHAR(10) &amp; "Level: HB - LI" &amp; CHAR(10) &amp; "Please transfer $" &amp; 'Profit &amp; Loss'!O712 &amp; " per pax to Belle (83396501)" &amp; CHAR(10) &amp; CHAR(10) &amp; IF('Profit &amp; Loss'!I712=1, "1." &amp; CHAR(10) &amp; "2." &amp; CHAR(10) &amp; "3." &amp; CHAR(10) &amp; "4." &amp; CHAR(10) &amp; "5." &amp; CHAR(10) &amp; "6." &amp; CHAR(10), IF('Profit &amp; Loss'!I712=2,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0" spans="1:2" ht="12.5" x14ac:dyDescent="0.25">
      <c r="A710" s="2" t="str">
        <f ca="1">IF('Profit &amp; Loss'!A713&gt;=TODAY(),"Looking for friendly players to join the following game: " &amp; CHAR(10) &amp; CHAR(10) &amp; "Date: " &amp; TEXT('Profit &amp; Loss'!A713,"dd mmm yyy") &amp; ", " &amp; 'Profit &amp; Loss'!B713 &amp; CHAR(10) &amp; "Time: " &amp; TEXT('Profit &amp; Loss'!C713, "hh:mm AM/PM") &amp; " - " &amp; TEXT('Profit &amp; Loss'!D713, "hh:mm AM/PM") &amp; CHAR(10) &amp; "Venue: " &amp; 'Profit &amp; Loss'!E713 &amp; CHAR(10) &amp; "Level: HB - LI" &amp; CHAR(10) &amp; "Cost: $" &amp; 'Profit &amp; Loss'!O713 &amp; " per pax" &amp; CHAR(10) &amp; "Max " &amp; 'Profit &amp; Loss'!I713*6 &amp; " pax," &amp; " (" &amp; 'Profit &amp; Loss'!I713 &amp; " courts)" &amp; CHAR(10) &amp; CHAR(10) &amp; "RSL Ultimate shuttles provided" &amp; CHAR(10) &amp; CHAR(10) &amp; "PM if interested, thank you!"," ")</f>
        <v xml:space="preserve"> </v>
      </c>
      <c r="B710" s="2" t="str">
        <f ca="1">IF('Profit &amp; Loss'!A713&gt;=TODAY(), "Date: " &amp; TEXT('Profit &amp; Loss'!A713,"dd mmm yyy") &amp; ", " &amp; 'Profit &amp; Loss'!B713 &amp; CHAR(10) &amp; "Time: " &amp; TEXT('Profit &amp; Loss'!C713, "hh:mm AM/PM") &amp; " - " &amp; TEXT('Profit &amp; Loss'!D713, "hh:mm AM/PM") &amp; CHAR(10) &amp; "Venue: " &amp; 'Profit &amp; Loss'!E713 &amp; CHAR(10) &amp; "Court No.: " &amp; 'Profit &amp; Loss'!F713 &amp; CHAR(10) &amp; "Level: HB - LI" &amp; CHAR(10) &amp; "Please transfer $" &amp; 'Profit &amp; Loss'!O713 &amp; " per pax to Belle (83396501)" &amp; CHAR(10) &amp; CHAR(10) &amp; IF('Profit &amp; Loss'!I713=1, "1." &amp; CHAR(10) &amp; "2." &amp; CHAR(10) &amp; "3." &amp; CHAR(10) &amp; "4." &amp; CHAR(10) &amp; "5." &amp; CHAR(10) &amp; "6." &amp; CHAR(10), IF('Profit &amp; Loss'!I713=2,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1" spans="1:2" ht="12.5" x14ac:dyDescent="0.25">
      <c r="A711" s="2" t="str">
        <f ca="1">IF('Profit &amp; Loss'!A714&gt;=TODAY(),"Looking for friendly players to join the following game: " &amp; CHAR(10) &amp; CHAR(10) &amp; "Date: " &amp; TEXT('Profit &amp; Loss'!A714,"dd mmm yyy") &amp; ", " &amp; 'Profit &amp; Loss'!B714 &amp; CHAR(10) &amp; "Time: " &amp; TEXT('Profit &amp; Loss'!C714, "hh:mm AM/PM") &amp; " - " &amp; TEXT('Profit &amp; Loss'!D714, "hh:mm AM/PM") &amp; CHAR(10) &amp; "Venue: " &amp; 'Profit &amp; Loss'!E714 &amp; CHAR(10) &amp; "Level: HB - LI" &amp; CHAR(10) &amp; "Cost: $" &amp; 'Profit &amp; Loss'!O714 &amp; " per pax" &amp; CHAR(10) &amp; "Max " &amp; 'Profit &amp; Loss'!I714*6 &amp; " pax," &amp; " (" &amp; 'Profit &amp; Loss'!I714 &amp; " courts)" &amp; CHAR(10) &amp; CHAR(10) &amp; "RSL Ultimate shuttles provided" &amp; CHAR(10) &amp; CHAR(10) &amp; "PM if interested, thank you!"," ")</f>
        <v xml:space="preserve"> </v>
      </c>
      <c r="B711" s="2" t="str">
        <f ca="1">IF('Profit &amp; Loss'!A714&gt;=TODAY(), "Date: " &amp; TEXT('Profit &amp; Loss'!A714,"dd mmm yyy") &amp; ", " &amp; 'Profit &amp; Loss'!B714 &amp; CHAR(10) &amp; "Time: " &amp; TEXT('Profit &amp; Loss'!C714, "hh:mm AM/PM") &amp; " - " &amp; TEXT('Profit &amp; Loss'!D714, "hh:mm AM/PM") &amp; CHAR(10) &amp; "Venue: " &amp; 'Profit &amp; Loss'!E714 &amp; CHAR(10) &amp; "Court No.: " &amp; 'Profit &amp; Loss'!F714 &amp; CHAR(10) &amp; "Level: HB - LI" &amp; CHAR(10) &amp; "Please transfer $" &amp; 'Profit &amp; Loss'!O714 &amp; " per pax to Belle (83396501)" &amp; CHAR(10) &amp; CHAR(10) &amp; IF('Profit &amp; Loss'!I714=1, "1." &amp; CHAR(10) &amp; "2." &amp; CHAR(10) &amp; "3." &amp; CHAR(10) &amp; "4." &amp; CHAR(10) &amp; "5." &amp; CHAR(10) &amp; "6." &amp; CHAR(10), IF('Profit &amp; Loss'!I714=2,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2" spans="1:2" ht="12.5" x14ac:dyDescent="0.25">
      <c r="A712" s="2" t="str">
        <f ca="1">IF('Profit &amp; Loss'!A715&gt;=TODAY(),"Looking for friendly players to join the following game: " &amp; CHAR(10) &amp; CHAR(10) &amp; "Date: " &amp; TEXT('Profit &amp; Loss'!A715,"dd mmm yyy") &amp; ", " &amp; 'Profit &amp; Loss'!B715 &amp; CHAR(10) &amp; "Time: " &amp; TEXT('Profit &amp; Loss'!C715, "hh:mm AM/PM") &amp; " - " &amp; TEXT('Profit &amp; Loss'!D715, "hh:mm AM/PM") &amp; CHAR(10) &amp; "Venue: " &amp; 'Profit &amp; Loss'!E715 &amp; CHAR(10) &amp; "Level: HB - LI" &amp; CHAR(10) &amp; "Cost: $" &amp; 'Profit &amp; Loss'!O715 &amp; " per pax" &amp; CHAR(10) &amp; "Max " &amp; 'Profit &amp; Loss'!I715*6 &amp; " pax," &amp; " (" &amp; 'Profit &amp; Loss'!I715 &amp; " courts)" &amp; CHAR(10) &amp; CHAR(10) &amp; "RSL Ultimate shuttles provided" &amp; CHAR(10) &amp; CHAR(10) &amp; "PM if interested, thank you!"," ")</f>
        <v xml:space="preserve"> </v>
      </c>
      <c r="B712" s="2" t="str">
        <f ca="1">IF('Profit &amp; Loss'!A715&gt;=TODAY(), "Date: " &amp; TEXT('Profit &amp; Loss'!A715,"dd mmm yyy") &amp; ", " &amp; 'Profit &amp; Loss'!B715 &amp; CHAR(10) &amp; "Time: " &amp; TEXT('Profit &amp; Loss'!C715, "hh:mm AM/PM") &amp; " - " &amp; TEXT('Profit &amp; Loss'!D715, "hh:mm AM/PM") &amp; CHAR(10) &amp; "Venue: " &amp; 'Profit &amp; Loss'!E715 &amp; CHAR(10) &amp; "Court No.: " &amp; 'Profit &amp; Loss'!F715 &amp; CHAR(10) &amp; "Level: HB - LI" &amp; CHAR(10) &amp; "Please transfer $" &amp; 'Profit &amp; Loss'!O715 &amp; " per pax to Belle (83396501)" &amp; CHAR(10) &amp; CHAR(10) &amp; IF('Profit &amp; Loss'!I715=1, "1." &amp; CHAR(10) &amp; "2." &amp; CHAR(10) &amp; "3." &amp; CHAR(10) &amp; "4." &amp; CHAR(10) &amp; "5." &amp; CHAR(10) &amp; "6." &amp; CHAR(10), IF('Profit &amp; Loss'!I715=2,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3" spans="1:2" ht="12.5" x14ac:dyDescent="0.25">
      <c r="A713" s="2" t="str">
        <f ca="1">IF('Profit &amp; Loss'!A716&gt;=TODAY(),"Looking for friendly players to join the following game: " &amp; CHAR(10) &amp; CHAR(10) &amp; "Date: " &amp; TEXT('Profit &amp; Loss'!A716,"dd mmm yyy") &amp; ", " &amp; 'Profit &amp; Loss'!B716 &amp; CHAR(10) &amp; "Time: " &amp; TEXT('Profit &amp; Loss'!C716, "hh:mm AM/PM") &amp; " - " &amp; TEXT('Profit &amp; Loss'!D716, "hh:mm AM/PM") &amp; CHAR(10) &amp; "Venue: " &amp; 'Profit &amp; Loss'!E716 &amp; CHAR(10) &amp; "Level: HB - LI" &amp; CHAR(10) &amp; "Cost: $" &amp; 'Profit &amp; Loss'!O716 &amp; " per pax" &amp; CHAR(10) &amp; "Max " &amp; 'Profit &amp; Loss'!I716*6 &amp; " pax," &amp; " (" &amp; 'Profit &amp; Loss'!I716 &amp; " courts)" &amp; CHAR(10) &amp; CHAR(10) &amp; "RSL Ultimate shuttles provided" &amp; CHAR(10) &amp; CHAR(10) &amp; "PM if interested, thank you!"," ")</f>
        <v xml:space="preserve"> </v>
      </c>
      <c r="B713" s="2" t="str">
        <f ca="1">IF('Profit &amp; Loss'!A716&gt;=TODAY(), "Date: " &amp; TEXT('Profit &amp; Loss'!A716,"dd mmm yyy") &amp; ", " &amp; 'Profit &amp; Loss'!B716 &amp; CHAR(10) &amp; "Time: " &amp; TEXT('Profit &amp; Loss'!C716, "hh:mm AM/PM") &amp; " - " &amp; TEXT('Profit &amp; Loss'!D716, "hh:mm AM/PM") &amp; CHAR(10) &amp; "Venue: " &amp; 'Profit &amp; Loss'!E716 &amp; CHAR(10) &amp; "Court No.: " &amp; 'Profit &amp; Loss'!F716 &amp; CHAR(10) &amp; "Level: HB - LI" &amp; CHAR(10) &amp; "Please transfer $" &amp; 'Profit &amp; Loss'!O716 &amp; " per pax to Belle (83396501)" &amp; CHAR(10) &amp; CHAR(10) &amp; IF('Profit &amp; Loss'!I716=1, "1." &amp; CHAR(10) &amp; "2." &amp; CHAR(10) &amp; "3." &amp; CHAR(10) &amp; "4." &amp; CHAR(10) &amp; "5." &amp; CHAR(10) &amp; "6." &amp; CHAR(10), IF('Profit &amp; Loss'!I716=2,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4" spans="1:2" ht="12.5" x14ac:dyDescent="0.25">
      <c r="A714" s="2" t="str">
        <f ca="1">IF('Profit &amp; Loss'!A717&gt;=TODAY(),"Looking for friendly players to join the following game: " &amp; CHAR(10) &amp; CHAR(10) &amp; "Date: " &amp; TEXT('Profit &amp; Loss'!A717,"dd mmm yyy") &amp; ", " &amp; 'Profit &amp; Loss'!B717 &amp; CHAR(10) &amp; "Time: " &amp; TEXT('Profit &amp; Loss'!C717, "hh:mm AM/PM") &amp; " - " &amp; TEXT('Profit &amp; Loss'!D717, "hh:mm AM/PM") &amp; CHAR(10) &amp; "Venue: " &amp; 'Profit &amp; Loss'!E717 &amp; CHAR(10) &amp; "Level: HB - LI" &amp; CHAR(10) &amp; "Cost: $" &amp; 'Profit &amp; Loss'!O717 &amp; " per pax" &amp; CHAR(10) &amp; "Max " &amp; 'Profit &amp; Loss'!I717*6 &amp; " pax," &amp; " (" &amp; 'Profit &amp; Loss'!I717 &amp; " courts)" &amp; CHAR(10) &amp; CHAR(10) &amp; "RSL Ultimate shuttles provided" &amp; CHAR(10) &amp; CHAR(10) &amp; "PM if interested, thank you!"," ")</f>
        <v xml:space="preserve"> </v>
      </c>
      <c r="B714" s="2" t="str">
        <f ca="1">IF('Profit &amp; Loss'!A717&gt;=TODAY(), "Date: " &amp; TEXT('Profit &amp; Loss'!A717,"dd mmm yyy") &amp; ", " &amp; 'Profit &amp; Loss'!B717 &amp; CHAR(10) &amp; "Time: " &amp; TEXT('Profit &amp; Loss'!C717, "hh:mm AM/PM") &amp; " - " &amp; TEXT('Profit &amp; Loss'!D717, "hh:mm AM/PM") &amp; CHAR(10) &amp; "Venue: " &amp; 'Profit &amp; Loss'!E717 &amp; CHAR(10) &amp; "Court No.: " &amp; 'Profit &amp; Loss'!F717 &amp; CHAR(10) &amp; "Level: HB - LI" &amp; CHAR(10) &amp; "Please transfer $" &amp; 'Profit &amp; Loss'!O717 &amp; " per pax to Belle (83396501)" &amp; CHAR(10) &amp; CHAR(10) &amp; IF('Profit &amp; Loss'!I717=1, "1." &amp; CHAR(10) &amp; "2." &amp; CHAR(10) &amp; "3." &amp; CHAR(10) &amp; "4." &amp; CHAR(10) &amp; "5." &amp; CHAR(10) &amp; "6." &amp; CHAR(10), IF('Profit &amp; Loss'!I717=2,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5" spans="1:2" ht="12.5" x14ac:dyDescent="0.25">
      <c r="A715" s="2" t="str">
        <f ca="1">IF('Profit &amp; Loss'!A718&gt;=TODAY(),"Looking for friendly players to join the following game: " &amp; CHAR(10) &amp; CHAR(10) &amp; "Date: " &amp; TEXT('Profit &amp; Loss'!A718,"dd mmm yyy") &amp; ", " &amp; 'Profit &amp; Loss'!B718 &amp; CHAR(10) &amp; "Time: " &amp; TEXT('Profit &amp; Loss'!C718, "hh:mm AM/PM") &amp; " - " &amp; TEXT('Profit &amp; Loss'!D718, "hh:mm AM/PM") &amp; CHAR(10) &amp; "Venue: " &amp; 'Profit &amp; Loss'!E718 &amp; CHAR(10) &amp; "Level: HB - LI" &amp; CHAR(10) &amp; "Cost: $" &amp; 'Profit &amp; Loss'!O718 &amp; " per pax" &amp; CHAR(10) &amp; "Max " &amp; 'Profit &amp; Loss'!I718*6 &amp; " pax," &amp; " (" &amp; 'Profit &amp; Loss'!I718 &amp; " courts)" &amp; CHAR(10) &amp; CHAR(10) &amp; "RSL Ultimate shuttles provided" &amp; CHAR(10) &amp; CHAR(10) &amp; "PM if interested, thank you!"," ")</f>
        <v xml:space="preserve"> </v>
      </c>
      <c r="B715" s="2" t="str">
        <f ca="1">IF('Profit &amp; Loss'!A718&gt;=TODAY(), "Date: " &amp; TEXT('Profit &amp; Loss'!A718,"dd mmm yyy") &amp; ", " &amp; 'Profit &amp; Loss'!B718 &amp; CHAR(10) &amp; "Time: " &amp; TEXT('Profit &amp; Loss'!C718, "hh:mm AM/PM") &amp; " - " &amp; TEXT('Profit &amp; Loss'!D718, "hh:mm AM/PM") &amp; CHAR(10) &amp; "Venue: " &amp; 'Profit &amp; Loss'!E718 &amp; CHAR(10) &amp; "Court No.: " &amp; 'Profit &amp; Loss'!F718 &amp; CHAR(10) &amp; "Level: HB - LI" &amp; CHAR(10) &amp; "Please transfer $" &amp; 'Profit &amp; Loss'!O718 &amp; " per pax to Belle (83396501)" &amp; CHAR(10) &amp; CHAR(10) &amp; IF('Profit &amp; Loss'!I718=1, "1." &amp; CHAR(10) &amp; "2." &amp; CHAR(10) &amp; "3." &amp; CHAR(10) &amp; "4." &amp; CHAR(10) &amp; "5." &amp; CHAR(10) &amp; "6." &amp; CHAR(10), IF('Profit &amp; Loss'!I718=2,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6" spans="1:2" ht="12.5" x14ac:dyDescent="0.25">
      <c r="A716" s="2" t="str">
        <f ca="1">IF('Profit &amp; Loss'!A719&gt;=TODAY(),"Looking for friendly players to join the following game: " &amp; CHAR(10) &amp; CHAR(10) &amp; "Date: " &amp; TEXT('Profit &amp; Loss'!A719,"dd mmm yyy") &amp; ", " &amp; 'Profit &amp; Loss'!B719 &amp; CHAR(10) &amp; "Time: " &amp; TEXT('Profit &amp; Loss'!C719, "hh:mm AM/PM") &amp; " - " &amp; TEXT('Profit &amp; Loss'!D719, "hh:mm AM/PM") &amp; CHAR(10) &amp; "Venue: " &amp; 'Profit &amp; Loss'!E719 &amp; CHAR(10) &amp; "Level: HB - LI" &amp; CHAR(10) &amp; "Cost: $" &amp; 'Profit &amp; Loss'!O719 &amp; " per pax" &amp; CHAR(10) &amp; "Max " &amp; 'Profit &amp; Loss'!I719*6 &amp; " pax," &amp; " (" &amp; 'Profit &amp; Loss'!I719 &amp; " courts)" &amp; CHAR(10) &amp; CHAR(10) &amp; "RSL Ultimate shuttles provided" &amp; CHAR(10) &amp; CHAR(10) &amp; "PM if interested, thank you!"," ")</f>
        <v xml:space="preserve"> </v>
      </c>
      <c r="B716" s="2" t="str">
        <f ca="1">IF('Profit &amp; Loss'!A719&gt;=TODAY(), "Date: " &amp; TEXT('Profit &amp; Loss'!A719,"dd mmm yyy") &amp; ", " &amp; 'Profit &amp; Loss'!B719 &amp; CHAR(10) &amp; "Time: " &amp; TEXT('Profit &amp; Loss'!C719, "hh:mm AM/PM") &amp; " - " &amp; TEXT('Profit &amp; Loss'!D719, "hh:mm AM/PM") &amp; CHAR(10) &amp; "Venue: " &amp; 'Profit &amp; Loss'!E719 &amp; CHAR(10) &amp; "Court No.: " &amp; 'Profit &amp; Loss'!F719 &amp; CHAR(10) &amp; "Level: HB - LI" &amp; CHAR(10) &amp; "Please transfer $" &amp; 'Profit &amp; Loss'!O719 &amp; " per pax to Belle (83396501)" &amp; CHAR(10) &amp; CHAR(10) &amp; IF('Profit &amp; Loss'!I719=1, "1." &amp; CHAR(10) &amp; "2." &amp; CHAR(10) &amp; "3." &amp; CHAR(10) &amp; "4." &amp; CHAR(10) &amp; "5." &amp; CHAR(10) &amp; "6." &amp; CHAR(10), IF('Profit &amp; Loss'!I719=2,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7" spans="1:2" ht="12.5" x14ac:dyDescent="0.25">
      <c r="A717" s="2" t="str">
        <f ca="1">IF('Profit &amp; Loss'!A720&gt;=TODAY(),"Looking for friendly players to join the following game: " &amp; CHAR(10) &amp; CHAR(10) &amp; "Date: " &amp; TEXT('Profit &amp; Loss'!A720,"dd mmm yyy") &amp; ", " &amp; 'Profit &amp; Loss'!B720 &amp; CHAR(10) &amp; "Time: " &amp; TEXT('Profit &amp; Loss'!C720, "hh:mm AM/PM") &amp; " - " &amp; TEXT('Profit &amp; Loss'!D720, "hh:mm AM/PM") &amp; CHAR(10) &amp; "Venue: " &amp; 'Profit &amp; Loss'!E720 &amp; CHAR(10) &amp; "Level: HB - LI" &amp; CHAR(10) &amp; "Cost: $" &amp; 'Profit &amp; Loss'!O720 &amp; " per pax" &amp; CHAR(10) &amp; "Max " &amp; 'Profit &amp; Loss'!I720*6 &amp; " pax," &amp; " (" &amp; 'Profit &amp; Loss'!I720 &amp; " courts)" &amp; CHAR(10) &amp; CHAR(10) &amp; "RSL Ultimate shuttles provided" &amp; CHAR(10) &amp; CHAR(10) &amp; "PM if interested, thank you!"," ")</f>
        <v xml:space="preserve"> </v>
      </c>
      <c r="B717" s="2" t="str">
        <f ca="1">IF('Profit &amp; Loss'!A720&gt;=TODAY(), "Date: " &amp; TEXT('Profit &amp; Loss'!A720,"dd mmm yyy") &amp; ", " &amp; 'Profit &amp; Loss'!B720 &amp; CHAR(10) &amp; "Time: " &amp; TEXT('Profit &amp; Loss'!C720, "hh:mm AM/PM") &amp; " - " &amp; TEXT('Profit &amp; Loss'!D720, "hh:mm AM/PM") &amp; CHAR(10) &amp; "Venue: " &amp; 'Profit &amp; Loss'!E720 &amp; CHAR(10) &amp; "Court No.: " &amp; 'Profit &amp; Loss'!F720 &amp; CHAR(10) &amp; "Level: HB - LI" &amp; CHAR(10) &amp; "Please transfer $" &amp; 'Profit &amp; Loss'!O720 &amp; " per pax to Belle (83396501)" &amp; CHAR(10) &amp; CHAR(10) &amp; IF('Profit &amp; Loss'!I720=1, "1." &amp; CHAR(10) &amp; "2." &amp; CHAR(10) &amp; "3." &amp; CHAR(10) &amp; "4." &amp; CHAR(10) &amp; "5." &amp; CHAR(10) &amp; "6." &amp; CHAR(10), IF('Profit &amp; Loss'!I720=2,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8" spans="1:2" ht="12.5" x14ac:dyDescent="0.25">
      <c r="A718" s="2" t="str">
        <f ca="1">IF('Profit &amp; Loss'!A721&gt;=TODAY(),"Looking for friendly players to join the following game: " &amp; CHAR(10) &amp; CHAR(10) &amp; "Date: " &amp; TEXT('Profit &amp; Loss'!A721,"dd mmm yyy") &amp; ", " &amp; 'Profit &amp; Loss'!B721 &amp; CHAR(10) &amp; "Time: " &amp; TEXT('Profit &amp; Loss'!C721, "hh:mm AM/PM") &amp; " - " &amp; TEXT('Profit &amp; Loss'!D721, "hh:mm AM/PM") &amp; CHAR(10) &amp; "Venue: " &amp; 'Profit &amp; Loss'!E721 &amp; CHAR(10) &amp; "Level: HB - LI" &amp; CHAR(10) &amp; "Cost: $" &amp; 'Profit &amp; Loss'!O721 &amp; " per pax" &amp; CHAR(10) &amp; "Max " &amp; 'Profit &amp; Loss'!I721*6 &amp; " pax," &amp; " (" &amp; 'Profit &amp; Loss'!I721 &amp; " courts)" &amp; CHAR(10) &amp; CHAR(10) &amp; "RSL Ultimate shuttles provided" &amp; CHAR(10) &amp; CHAR(10) &amp; "PM if interested, thank you!"," ")</f>
        <v xml:space="preserve"> </v>
      </c>
      <c r="B718" s="2" t="str">
        <f ca="1">IF('Profit &amp; Loss'!A721&gt;=TODAY(), "Date: " &amp; TEXT('Profit &amp; Loss'!A721,"dd mmm yyy") &amp; ", " &amp; 'Profit &amp; Loss'!B721 &amp; CHAR(10) &amp; "Time: " &amp; TEXT('Profit &amp; Loss'!C721, "hh:mm AM/PM") &amp; " - " &amp; TEXT('Profit &amp; Loss'!D721, "hh:mm AM/PM") &amp; CHAR(10) &amp; "Venue: " &amp; 'Profit &amp; Loss'!E721 &amp; CHAR(10) &amp; "Court No.: " &amp; 'Profit &amp; Loss'!F721 &amp; CHAR(10) &amp; "Level: HB - LI" &amp; CHAR(10) &amp; "Please transfer $" &amp; 'Profit &amp; Loss'!O721 &amp; " per pax to Belle (83396501)" &amp; CHAR(10) &amp; CHAR(10) &amp; IF('Profit &amp; Loss'!I721=1, "1." &amp; CHAR(10) &amp; "2." &amp; CHAR(10) &amp; "3." &amp; CHAR(10) &amp; "4." &amp; CHAR(10) &amp; "5." &amp; CHAR(10) &amp; "6." &amp; CHAR(10), IF('Profit &amp; Loss'!I721=2,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19" spans="1:2" ht="12.5" x14ac:dyDescent="0.25">
      <c r="A719" s="2" t="str">
        <f ca="1">IF('Profit &amp; Loss'!A722&gt;=TODAY(),"Looking for friendly players to join the following game: " &amp; CHAR(10) &amp; CHAR(10) &amp; "Date: " &amp; TEXT('Profit &amp; Loss'!A722,"dd mmm yyy") &amp; ", " &amp; 'Profit &amp; Loss'!B722 &amp; CHAR(10) &amp; "Time: " &amp; TEXT('Profit &amp; Loss'!C722, "hh:mm AM/PM") &amp; " - " &amp; TEXT('Profit &amp; Loss'!D722, "hh:mm AM/PM") &amp; CHAR(10) &amp; "Venue: " &amp; 'Profit &amp; Loss'!E722 &amp; CHAR(10) &amp; "Level: HB - LI" &amp; CHAR(10) &amp; "Cost: $" &amp; 'Profit &amp; Loss'!O722 &amp; " per pax" &amp; CHAR(10) &amp; "Max " &amp; 'Profit &amp; Loss'!I722*6 &amp; " pax," &amp; " (" &amp; 'Profit &amp; Loss'!I722 &amp; " courts)" &amp; CHAR(10) &amp; CHAR(10) &amp; "RSL Ultimate shuttles provided" &amp; CHAR(10) &amp; CHAR(10) &amp; "PM if interested, thank you!"," ")</f>
        <v xml:space="preserve"> </v>
      </c>
      <c r="B719" s="2" t="str">
        <f ca="1">IF('Profit &amp; Loss'!A722&gt;=TODAY(), "Date: " &amp; TEXT('Profit &amp; Loss'!A722,"dd mmm yyy") &amp; ", " &amp; 'Profit &amp; Loss'!B722 &amp; CHAR(10) &amp; "Time: " &amp; TEXT('Profit &amp; Loss'!C722, "hh:mm AM/PM") &amp; " - " &amp; TEXT('Profit &amp; Loss'!D722, "hh:mm AM/PM") &amp; CHAR(10) &amp; "Venue: " &amp; 'Profit &amp; Loss'!E722 &amp; CHAR(10) &amp; "Court No.: " &amp; 'Profit &amp; Loss'!F722 &amp; CHAR(10) &amp; "Level: HB - LI" &amp; CHAR(10) &amp; "Please transfer $" &amp; 'Profit &amp; Loss'!O722 &amp; " per pax to Belle (83396501)" &amp; CHAR(10) &amp; CHAR(10) &amp; IF('Profit &amp; Loss'!I722=1, "1." &amp; CHAR(10) &amp; "2." &amp; CHAR(10) &amp; "3." &amp; CHAR(10) &amp; "4." &amp; CHAR(10) &amp; "5." &amp; CHAR(10) &amp; "6." &amp; CHAR(10), IF('Profit &amp; Loss'!I722=2,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0" spans="1:2" ht="12.5" x14ac:dyDescent="0.25">
      <c r="A720" s="2" t="str">
        <f ca="1">IF('Profit &amp; Loss'!A723&gt;=TODAY(),"Looking for friendly players to join the following game: " &amp; CHAR(10) &amp; CHAR(10) &amp; "Date: " &amp; TEXT('Profit &amp; Loss'!A723,"dd mmm yyy") &amp; ", " &amp; 'Profit &amp; Loss'!B723 &amp; CHAR(10) &amp; "Time: " &amp; TEXT('Profit &amp; Loss'!C723, "hh:mm AM/PM") &amp; " - " &amp; TEXT('Profit &amp; Loss'!D723, "hh:mm AM/PM") &amp; CHAR(10) &amp; "Venue: " &amp; 'Profit &amp; Loss'!E723 &amp; CHAR(10) &amp; "Level: HB - LI" &amp; CHAR(10) &amp; "Cost: $" &amp; 'Profit &amp; Loss'!O723 &amp; " per pax" &amp; CHAR(10) &amp; "Max " &amp; 'Profit &amp; Loss'!I723*6 &amp; " pax," &amp; " (" &amp; 'Profit &amp; Loss'!I723 &amp; " courts)" &amp; CHAR(10) &amp; CHAR(10) &amp; "RSL Ultimate shuttles provided" &amp; CHAR(10) &amp; CHAR(10) &amp; "PM if interested, thank you!"," ")</f>
        <v xml:space="preserve"> </v>
      </c>
      <c r="B720" s="2" t="str">
        <f ca="1">IF('Profit &amp; Loss'!A723&gt;=TODAY(), "Date: " &amp; TEXT('Profit &amp; Loss'!A723,"dd mmm yyy") &amp; ", " &amp; 'Profit &amp; Loss'!B723 &amp; CHAR(10) &amp; "Time: " &amp; TEXT('Profit &amp; Loss'!C723, "hh:mm AM/PM") &amp; " - " &amp; TEXT('Profit &amp; Loss'!D723, "hh:mm AM/PM") &amp; CHAR(10) &amp; "Venue: " &amp; 'Profit &amp; Loss'!E723 &amp; CHAR(10) &amp; "Court No.: " &amp; 'Profit &amp; Loss'!F723 &amp; CHAR(10) &amp; "Level: HB - LI" &amp; CHAR(10) &amp; "Please transfer $" &amp; 'Profit &amp; Loss'!O723 &amp; " per pax to Belle (83396501)" &amp; CHAR(10) &amp; CHAR(10) &amp; IF('Profit &amp; Loss'!I723=1, "1." &amp; CHAR(10) &amp; "2." &amp; CHAR(10) &amp; "3." &amp; CHAR(10) &amp; "4." &amp; CHAR(10) &amp; "5." &amp; CHAR(10) &amp; "6." &amp; CHAR(10), IF('Profit &amp; Loss'!I723=2,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1" spans="1:2" ht="12.5" x14ac:dyDescent="0.25">
      <c r="A721" s="2" t="str">
        <f ca="1">IF('Profit &amp; Loss'!A724&gt;=TODAY(),"Looking for friendly players to join the following game: " &amp; CHAR(10) &amp; CHAR(10) &amp; "Date: " &amp; TEXT('Profit &amp; Loss'!A724,"dd mmm yyy") &amp; ", " &amp; 'Profit &amp; Loss'!B724 &amp; CHAR(10) &amp; "Time: " &amp; TEXT('Profit &amp; Loss'!C724, "hh:mm AM/PM") &amp; " - " &amp; TEXT('Profit &amp; Loss'!D724, "hh:mm AM/PM") &amp; CHAR(10) &amp; "Venue: " &amp; 'Profit &amp; Loss'!E724 &amp; CHAR(10) &amp; "Level: HB - LI" &amp; CHAR(10) &amp; "Cost: $" &amp; 'Profit &amp; Loss'!O724 &amp; " per pax" &amp; CHAR(10) &amp; "Max " &amp; 'Profit &amp; Loss'!I724*6 &amp; " pax," &amp; " (" &amp; 'Profit &amp; Loss'!I724 &amp; " courts)" &amp; CHAR(10) &amp; CHAR(10) &amp; "RSL Ultimate shuttles provided" &amp; CHAR(10) &amp; CHAR(10) &amp; "PM if interested, thank you!"," ")</f>
        <v xml:space="preserve"> </v>
      </c>
      <c r="B721" s="2" t="str">
        <f ca="1">IF('Profit &amp; Loss'!A724&gt;=TODAY(), "Date: " &amp; TEXT('Profit &amp; Loss'!A724,"dd mmm yyy") &amp; ", " &amp; 'Profit &amp; Loss'!B724 &amp; CHAR(10) &amp; "Time: " &amp; TEXT('Profit &amp; Loss'!C724, "hh:mm AM/PM") &amp; " - " &amp; TEXT('Profit &amp; Loss'!D724, "hh:mm AM/PM") &amp; CHAR(10) &amp; "Venue: " &amp; 'Profit &amp; Loss'!E724 &amp; CHAR(10) &amp; "Court No.: " &amp; 'Profit &amp; Loss'!F724 &amp; CHAR(10) &amp; "Level: HB - LI" &amp; CHAR(10) &amp; "Please transfer $" &amp; 'Profit &amp; Loss'!O724 &amp; " per pax to Belle (83396501)" &amp; CHAR(10) &amp; CHAR(10) &amp; IF('Profit &amp; Loss'!I724=1, "1." &amp; CHAR(10) &amp; "2." &amp; CHAR(10) &amp; "3." &amp; CHAR(10) &amp; "4." &amp; CHAR(10) &amp; "5." &amp; CHAR(10) &amp; "6." &amp; CHAR(10), IF('Profit &amp; Loss'!I724=2,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2" spans="1:2" ht="12.5" x14ac:dyDescent="0.25">
      <c r="A722" s="2" t="str">
        <f ca="1">IF('Profit &amp; Loss'!A725&gt;=TODAY(),"Looking for friendly players to join the following game: " &amp; CHAR(10) &amp; CHAR(10) &amp; "Date: " &amp; TEXT('Profit &amp; Loss'!A725,"dd mmm yyy") &amp; ", " &amp; 'Profit &amp; Loss'!B725 &amp; CHAR(10) &amp; "Time: " &amp; TEXT('Profit &amp; Loss'!C725, "hh:mm AM/PM") &amp; " - " &amp; TEXT('Profit &amp; Loss'!D725, "hh:mm AM/PM") &amp; CHAR(10) &amp; "Venue: " &amp; 'Profit &amp; Loss'!E725 &amp; CHAR(10) &amp; "Level: HB - LI" &amp; CHAR(10) &amp; "Cost: $" &amp; 'Profit &amp; Loss'!O725 &amp; " per pax" &amp; CHAR(10) &amp; "Max " &amp; 'Profit &amp; Loss'!I725*6 &amp; " pax," &amp; " (" &amp; 'Profit &amp; Loss'!I725 &amp; " courts)" &amp; CHAR(10) &amp; CHAR(10) &amp; "RSL Ultimate shuttles provided" &amp; CHAR(10) &amp; CHAR(10) &amp; "PM if interested, thank you!"," ")</f>
        <v xml:space="preserve"> </v>
      </c>
      <c r="B722" s="2" t="str">
        <f ca="1">IF('Profit &amp; Loss'!A725&gt;=TODAY(), "Date: " &amp; TEXT('Profit &amp; Loss'!A725,"dd mmm yyy") &amp; ", " &amp; 'Profit &amp; Loss'!B725 &amp; CHAR(10) &amp; "Time: " &amp; TEXT('Profit &amp; Loss'!C725, "hh:mm AM/PM") &amp; " - " &amp; TEXT('Profit &amp; Loss'!D725, "hh:mm AM/PM") &amp; CHAR(10) &amp; "Venue: " &amp; 'Profit &amp; Loss'!E725 &amp; CHAR(10) &amp; "Court No.: " &amp; 'Profit &amp; Loss'!F725 &amp; CHAR(10) &amp; "Level: HB - LI" &amp; CHAR(10) &amp; "Please transfer $" &amp; 'Profit &amp; Loss'!O725 &amp; " per pax to Belle (83396501)" &amp; CHAR(10) &amp; CHAR(10) &amp; IF('Profit &amp; Loss'!I725=1, "1." &amp; CHAR(10) &amp; "2." &amp; CHAR(10) &amp; "3." &amp; CHAR(10) &amp; "4." &amp; CHAR(10) &amp; "5." &amp; CHAR(10) &amp; "6." &amp; CHAR(10), IF('Profit &amp; Loss'!I725=2,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3" spans="1:2" ht="12.5" x14ac:dyDescent="0.25">
      <c r="A723" s="2" t="str">
        <f ca="1">IF('Profit &amp; Loss'!A726&gt;=TODAY(),"Looking for friendly players to join the following game: " &amp; CHAR(10) &amp; CHAR(10) &amp; "Date: " &amp; TEXT('Profit &amp; Loss'!A726,"dd mmm yyy") &amp; ", " &amp; 'Profit &amp; Loss'!B726 &amp; CHAR(10) &amp; "Time: " &amp; TEXT('Profit &amp; Loss'!C726, "hh:mm AM/PM") &amp; " - " &amp; TEXT('Profit &amp; Loss'!D726, "hh:mm AM/PM") &amp; CHAR(10) &amp; "Venue: " &amp; 'Profit &amp; Loss'!E726 &amp; CHAR(10) &amp; "Level: HB - LI" &amp; CHAR(10) &amp; "Cost: $" &amp; 'Profit &amp; Loss'!O726 &amp; " per pax" &amp; CHAR(10) &amp; "Max " &amp; 'Profit &amp; Loss'!I726*6 &amp; " pax," &amp; " (" &amp; 'Profit &amp; Loss'!I726 &amp; " courts)" &amp; CHAR(10) &amp; CHAR(10) &amp; "RSL Ultimate shuttles provided" &amp; CHAR(10) &amp; CHAR(10) &amp; "PM if interested, thank you!"," ")</f>
        <v xml:space="preserve"> </v>
      </c>
      <c r="B723" s="2" t="str">
        <f ca="1">IF('Profit &amp; Loss'!A726&gt;=TODAY(), "Date: " &amp; TEXT('Profit &amp; Loss'!A726,"dd mmm yyy") &amp; ", " &amp; 'Profit &amp; Loss'!B726 &amp; CHAR(10) &amp; "Time: " &amp; TEXT('Profit &amp; Loss'!C726, "hh:mm AM/PM") &amp; " - " &amp; TEXT('Profit &amp; Loss'!D726, "hh:mm AM/PM") &amp; CHAR(10) &amp; "Venue: " &amp; 'Profit &amp; Loss'!E726 &amp; CHAR(10) &amp; "Court No.: " &amp; 'Profit &amp; Loss'!F726 &amp; CHAR(10) &amp; "Level: HB - LI" &amp; CHAR(10) &amp; "Please transfer $" &amp; 'Profit &amp; Loss'!O726 &amp; " per pax to Belle (83396501)" &amp; CHAR(10) &amp; CHAR(10) &amp; IF('Profit &amp; Loss'!I726=1, "1." &amp; CHAR(10) &amp; "2." &amp; CHAR(10) &amp; "3." &amp; CHAR(10) &amp; "4." &amp; CHAR(10) &amp; "5." &amp; CHAR(10) &amp; "6." &amp; CHAR(10), IF('Profit &amp; Loss'!I726=2,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4" spans="1:2" ht="12.5" x14ac:dyDescent="0.25">
      <c r="A724" s="2" t="str">
        <f ca="1">IF('Profit &amp; Loss'!A727&gt;=TODAY(),"Looking for friendly players to join the following game: " &amp; CHAR(10) &amp; CHAR(10) &amp; "Date: " &amp; TEXT('Profit &amp; Loss'!A727,"dd mmm yyy") &amp; ", " &amp; 'Profit &amp; Loss'!B727 &amp; CHAR(10) &amp; "Time: " &amp; TEXT('Profit &amp; Loss'!C727, "hh:mm AM/PM") &amp; " - " &amp; TEXT('Profit &amp; Loss'!D727, "hh:mm AM/PM") &amp; CHAR(10) &amp; "Venue: " &amp; 'Profit &amp; Loss'!E727 &amp; CHAR(10) &amp; "Level: HB - LI" &amp; CHAR(10) &amp; "Cost: $" &amp; 'Profit &amp; Loss'!O727 &amp; " per pax" &amp; CHAR(10) &amp; "Max " &amp; 'Profit &amp; Loss'!I727*6 &amp; " pax," &amp; " (" &amp; 'Profit &amp; Loss'!I727 &amp; " courts)" &amp; CHAR(10) &amp; CHAR(10) &amp; "RSL Ultimate shuttles provided" &amp; CHAR(10) &amp; CHAR(10) &amp; "PM if interested, thank you!"," ")</f>
        <v xml:space="preserve"> </v>
      </c>
      <c r="B724" s="2" t="str">
        <f ca="1">IF('Profit &amp; Loss'!A727&gt;=TODAY(), "Date: " &amp; TEXT('Profit &amp; Loss'!A727,"dd mmm yyy") &amp; ", " &amp; 'Profit &amp; Loss'!B727 &amp; CHAR(10) &amp; "Time: " &amp; TEXT('Profit &amp; Loss'!C727, "hh:mm AM/PM") &amp; " - " &amp; TEXT('Profit &amp; Loss'!D727, "hh:mm AM/PM") &amp; CHAR(10) &amp; "Venue: " &amp; 'Profit &amp; Loss'!E727 &amp; CHAR(10) &amp; "Court No.: " &amp; 'Profit &amp; Loss'!F727 &amp; CHAR(10) &amp; "Level: HB - LI" &amp; CHAR(10) &amp; "Please transfer $" &amp; 'Profit &amp; Loss'!O727 &amp; " per pax to Belle (83396501)" &amp; CHAR(10) &amp; CHAR(10) &amp; IF('Profit &amp; Loss'!I727=1, "1." &amp; CHAR(10) &amp; "2." &amp; CHAR(10) &amp; "3." &amp; CHAR(10) &amp; "4." &amp; CHAR(10) &amp; "5." &amp; CHAR(10) &amp; "6." &amp; CHAR(10), IF('Profit &amp; Loss'!I727=2,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5" spans="1:2" ht="12.5" x14ac:dyDescent="0.25">
      <c r="A725" s="2" t="str">
        <f ca="1">IF('Profit &amp; Loss'!A728&gt;=TODAY(),"Looking for friendly players to join the following game: " &amp; CHAR(10) &amp; CHAR(10) &amp; "Date: " &amp; TEXT('Profit &amp; Loss'!A728,"dd mmm yyy") &amp; ", " &amp; 'Profit &amp; Loss'!B728 &amp; CHAR(10) &amp; "Time: " &amp; TEXT('Profit &amp; Loss'!C728, "hh:mm AM/PM") &amp; " - " &amp; TEXT('Profit &amp; Loss'!D728, "hh:mm AM/PM") &amp; CHAR(10) &amp; "Venue: " &amp; 'Profit &amp; Loss'!E728 &amp; CHAR(10) &amp; "Level: HB - LI" &amp; CHAR(10) &amp; "Cost: $" &amp; 'Profit &amp; Loss'!O728 &amp; " per pax" &amp; CHAR(10) &amp; "Max " &amp; 'Profit &amp; Loss'!I728*6 &amp; " pax," &amp; " (" &amp; 'Profit &amp; Loss'!I728 &amp; " courts)" &amp; CHAR(10) &amp; CHAR(10) &amp; "RSL Ultimate shuttles provided" &amp; CHAR(10) &amp; CHAR(10) &amp; "PM if interested, thank you!"," ")</f>
        <v xml:space="preserve"> </v>
      </c>
      <c r="B725" s="2" t="str">
        <f ca="1">IF('Profit &amp; Loss'!A728&gt;=TODAY(), "Date: " &amp; TEXT('Profit &amp; Loss'!A728,"dd mmm yyy") &amp; ", " &amp; 'Profit &amp; Loss'!B728 &amp; CHAR(10) &amp; "Time: " &amp; TEXT('Profit &amp; Loss'!C728, "hh:mm AM/PM") &amp; " - " &amp; TEXT('Profit &amp; Loss'!D728, "hh:mm AM/PM") &amp; CHAR(10) &amp; "Venue: " &amp; 'Profit &amp; Loss'!E728 &amp; CHAR(10) &amp; "Court No.: " &amp; 'Profit &amp; Loss'!F728 &amp; CHAR(10) &amp; "Level: HB - LI" &amp; CHAR(10) &amp; "Please transfer $" &amp; 'Profit &amp; Loss'!O728 &amp; " per pax to Belle (83396501)" &amp; CHAR(10) &amp; CHAR(10) &amp; IF('Profit &amp; Loss'!I728=1, "1." &amp; CHAR(10) &amp; "2." &amp; CHAR(10) &amp; "3." &amp; CHAR(10) &amp; "4." &amp; CHAR(10) &amp; "5." &amp; CHAR(10) &amp; "6." &amp; CHAR(10), IF('Profit &amp; Loss'!I728=2,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6" spans="1:2" ht="12.5" x14ac:dyDescent="0.25">
      <c r="A726" s="2" t="str">
        <f ca="1">IF('Profit &amp; Loss'!A729&gt;=TODAY(),"Looking for friendly players to join the following game: " &amp; CHAR(10) &amp; CHAR(10) &amp; "Date: " &amp; TEXT('Profit &amp; Loss'!A729,"dd mmm yyy") &amp; ", " &amp; 'Profit &amp; Loss'!B729 &amp; CHAR(10) &amp; "Time: " &amp; TEXT('Profit &amp; Loss'!C729, "hh:mm AM/PM") &amp; " - " &amp; TEXT('Profit &amp; Loss'!D729, "hh:mm AM/PM") &amp; CHAR(10) &amp; "Venue: " &amp; 'Profit &amp; Loss'!E729 &amp; CHAR(10) &amp; "Level: HB - LI" &amp; CHAR(10) &amp; "Cost: $" &amp; 'Profit &amp; Loss'!O729 &amp; " per pax" &amp; CHAR(10) &amp; "Max " &amp; 'Profit &amp; Loss'!I729*6 &amp; " pax," &amp; " (" &amp; 'Profit &amp; Loss'!I729 &amp; " courts)" &amp; CHAR(10) &amp; CHAR(10) &amp; "RSL Ultimate shuttles provided" &amp; CHAR(10) &amp; CHAR(10) &amp; "PM if interested, thank you!"," ")</f>
        <v xml:space="preserve"> </v>
      </c>
      <c r="B726" s="2" t="str">
        <f ca="1">IF('Profit &amp; Loss'!A729&gt;=TODAY(), "Date: " &amp; TEXT('Profit &amp; Loss'!A729,"dd mmm yyy") &amp; ", " &amp; 'Profit &amp; Loss'!B729 &amp; CHAR(10) &amp; "Time: " &amp; TEXT('Profit &amp; Loss'!C729, "hh:mm AM/PM") &amp; " - " &amp; TEXT('Profit &amp; Loss'!D729, "hh:mm AM/PM") &amp; CHAR(10) &amp; "Venue: " &amp; 'Profit &amp; Loss'!E729 &amp; CHAR(10) &amp; "Court No.: " &amp; 'Profit &amp; Loss'!F729 &amp; CHAR(10) &amp; "Level: HB - LI" &amp; CHAR(10) &amp; "Please transfer $" &amp; 'Profit &amp; Loss'!O729 &amp; " per pax to Belle (83396501)" &amp; CHAR(10) &amp; CHAR(10) &amp; IF('Profit &amp; Loss'!I729=1, "1." &amp; CHAR(10) &amp; "2." &amp; CHAR(10) &amp; "3." &amp; CHAR(10) &amp; "4." &amp; CHAR(10) &amp; "5." &amp; CHAR(10) &amp; "6." &amp; CHAR(10), IF('Profit &amp; Loss'!I729=2,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7" spans="1:2" ht="12.5" x14ac:dyDescent="0.25">
      <c r="A727" s="2" t="str">
        <f ca="1">IF('Profit &amp; Loss'!A730&gt;=TODAY(),"Looking for friendly players to join the following game: " &amp; CHAR(10) &amp; CHAR(10) &amp; "Date: " &amp; TEXT('Profit &amp; Loss'!A730,"dd mmm yyy") &amp; ", " &amp; 'Profit &amp; Loss'!B730 &amp; CHAR(10) &amp; "Time: " &amp; TEXT('Profit &amp; Loss'!C730, "hh:mm AM/PM") &amp; " - " &amp; TEXT('Profit &amp; Loss'!D730, "hh:mm AM/PM") &amp; CHAR(10) &amp; "Venue: " &amp; 'Profit &amp; Loss'!E730 &amp; CHAR(10) &amp; "Level: HB - LI" &amp; CHAR(10) &amp; "Cost: $" &amp; 'Profit &amp; Loss'!O730 &amp; " per pax" &amp; CHAR(10) &amp; "Max " &amp; 'Profit &amp; Loss'!I730*6 &amp; " pax," &amp; " (" &amp; 'Profit &amp; Loss'!I730 &amp; " courts)" &amp; CHAR(10) &amp; CHAR(10) &amp; "RSL Ultimate shuttles provided" &amp; CHAR(10) &amp; CHAR(10) &amp; "PM if interested, thank you!"," ")</f>
        <v xml:space="preserve"> </v>
      </c>
      <c r="B727" s="2" t="str">
        <f ca="1">IF('Profit &amp; Loss'!A730&gt;=TODAY(), "Date: " &amp; TEXT('Profit &amp; Loss'!A730,"dd mmm yyy") &amp; ", " &amp; 'Profit &amp; Loss'!B730 &amp; CHAR(10) &amp; "Time: " &amp; TEXT('Profit &amp; Loss'!C730, "hh:mm AM/PM") &amp; " - " &amp; TEXT('Profit &amp; Loss'!D730, "hh:mm AM/PM") &amp; CHAR(10) &amp; "Venue: " &amp; 'Profit &amp; Loss'!E730 &amp; CHAR(10) &amp; "Court No.: " &amp; 'Profit &amp; Loss'!F730 &amp; CHAR(10) &amp; "Level: HB - LI" &amp; CHAR(10) &amp; "Please transfer $" &amp; 'Profit &amp; Loss'!O730 &amp; " per pax to Belle (83396501)" &amp; CHAR(10) &amp; CHAR(10) &amp; IF('Profit &amp; Loss'!I730=1, "1." &amp; CHAR(10) &amp; "2." &amp; CHAR(10) &amp; "3." &amp; CHAR(10) &amp; "4." &amp; CHAR(10) &amp; "5." &amp; CHAR(10) &amp; "6." &amp; CHAR(10), IF('Profit &amp; Loss'!I730=2,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8" spans="1:2" ht="12.5" x14ac:dyDescent="0.25">
      <c r="A728" s="2" t="str">
        <f ca="1">IF('Profit &amp; Loss'!A731&gt;=TODAY(),"Looking for friendly players to join the following game: " &amp; CHAR(10) &amp; CHAR(10) &amp; "Date: " &amp; TEXT('Profit &amp; Loss'!A731,"dd mmm yyy") &amp; ", " &amp; 'Profit &amp; Loss'!B731 &amp; CHAR(10) &amp; "Time: " &amp; TEXT('Profit &amp; Loss'!C731, "hh:mm AM/PM") &amp; " - " &amp; TEXT('Profit &amp; Loss'!D731, "hh:mm AM/PM") &amp; CHAR(10) &amp; "Venue: " &amp; 'Profit &amp; Loss'!E731 &amp; CHAR(10) &amp; "Level: HB - LI" &amp; CHAR(10) &amp; "Cost: $" &amp; 'Profit &amp; Loss'!O731 &amp; " per pax" &amp; CHAR(10) &amp; "Max " &amp; 'Profit &amp; Loss'!I731*6 &amp; " pax," &amp; " (" &amp; 'Profit &amp; Loss'!I731 &amp; " courts)" &amp; CHAR(10) &amp; CHAR(10) &amp; "RSL Ultimate shuttles provided" &amp; CHAR(10) &amp; CHAR(10) &amp; "PM if interested, thank you!"," ")</f>
        <v xml:space="preserve"> </v>
      </c>
      <c r="B728" s="2" t="str">
        <f ca="1">IF('Profit &amp; Loss'!A731&gt;=TODAY(), "Date: " &amp; TEXT('Profit &amp; Loss'!A731,"dd mmm yyy") &amp; ", " &amp; 'Profit &amp; Loss'!B731 &amp; CHAR(10) &amp; "Time: " &amp; TEXT('Profit &amp; Loss'!C731, "hh:mm AM/PM") &amp; " - " &amp; TEXT('Profit &amp; Loss'!D731, "hh:mm AM/PM") &amp; CHAR(10) &amp; "Venue: " &amp; 'Profit &amp; Loss'!E731 &amp; CHAR(10) &amp; "Court No.: " &amp; 'Profit &amp; Loss'!F731 &amp; CHAR(10) &amp; "Level: HB - LI" &amp; CHAR(10) &amp; "Please transfer $" &amp; 'Profit &amp; Loss'!O731 &amp; " per pax to Belle (83396501)" &amp; CHAR(10) &amp; CHAR(10) &amp; IF('Profit &amp; Loss'!I731=1, "1." &amp; CHAR(10) &amp; "2." &amp; CHAR(10) &amp; "3." &amp; CHAR(10) &amp; "4." &amp; CHAR(10) &amp; "5." &amp; CHAR(10) &amp; "6." &amp; CHAR(10), IF('Profit &amp; Loss'!I731=2,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29" spans="1:2" ht="12.5" x14ac:dyDescent="0.25">
      <c r="A729" s="2" t="str">
        <f ca="1">IF('Profit &amp; Loss'!A732&gt;=TODAY(),"Looking for friendly players to join the following game: " &amp; CHAR(10) &amp; CHAR(10) &amp; "Date: " &amp; TEXT('Profit &amp; Loss'!A732,"dd mmm yyy") &amp; ", " &amp; 'Profit &amp; Loss'!B732 &amp; CHAR(10) &amp; "Time: " &amp; TEXT('Profit &amp; Loss'!C732, "hh:mm AM/PM") &amp; " - " &amp; TEXT('Profit &amp; Loss'!D732, "hh:mm AM/PM") &amp; CHAR(10) &amp; "Venue: " &amp; 'Profit &amp; Loss'!E732 &amp; CHAR(10) &amp; "Level: HB - LI" &amp; CHAR(10) &amp; "Cost: $" &amp; 'Profit &amp; Loss'!O732 &amp; " per pax" &amp; CHAR(10) &amp; "Max " &amp; 'Profit &amp; Loss'!I732*6 &amp; " pax," &amp; " (" &amp; 'Profit &amp; Loss'!I732 &amp; " courts)" &amp; CHAR(10) &amp; CHAR(10) &amp; "RSL Ultimate shuttles provided" &amp; CHAR(10) &amp; CHAR(10) &amp; "PM if interested, thank you!"," ")</f>
        <v xml:space="preserve"> </v>
      </c>
      <c r="B729" s="2" t="str">
        <f ca="1">IF('Profit &amp; Loss'!A732&gt;=TODAY(), "Date: " &amp; TEXT('Profit &amp; Loss'!A732,"dd mmm yyy") &amp; ", " &amp; 'Profit &amp; Loss'!B732 &amp; CHAR(10) &amp; "Time: " &amp; TEXT('Profit &amp; Loss'!C732, "hh:mm AM/PM") &amp; " - " &amp; TEXT('Profit &amp; Loss'!D732, "hh:mm AM/PM") &amp; CHAR(10) &amp; "Venue: " &amp; 'Profit &amp; Loss'!E732 &amp; CHAR(10) &amp; "Court No.: " &amp; 'Profit &amp; Loss'!F732 &amp; CHAR(10) &amp; "Level: HB - LI" &amp; CHAR(10) &amp; "Please transfer $" &amp; 'Profit &amp; Loss'!O732 &amp; " per pax to Belle (83396501)" &amp; CHAR(10) &amp; CHAR(10) &amp; IF('Profit &amp; Loss'!I732=1, "1." &amp; CHAR(10) &amp; "2." &amp; CHAR(10) &amp; "3." &amp; CHAR(10) &amp; "4." &amp; CHAR(10) &amp; "5." &amp; CHAR(10) &amp; "6." &amp; CHAR(10), IF('Profit &amp; Loss'!I732=2,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0" spans="1:2" ht="12.5" x14ac:dyDescent="0.25">
      <c r="A730" s="2" t="str">
        <f ca="1">IF('Profit &amp; Loss'!A733&gt;=TODAY(),"Looking for friendly players to join the following game: " &amp; CHAR(10) &amp; CHAR(10) &amp; "Date: " &amp; TEXT('Profit &amp; Loss'!A733,"dd mmm yyy") &amp; ", " &amp; 'Profit &amp; Loss'!B733 &amp; CHAR(10) &amp; "Time: " &amp; TEXT('Profit &amp; Loss'!C733, "hh:mm AM/PM") &amp; " - " &amp; TEXT('Profit &amp; Loss'!D733, "hh:mm AM/PM") &amp; CHAR(10) &amp; "Venue: " &amp; 'Profit &amp; Loss'!E733 &amp; CHAR(10) &amp; "Level: HB - LI" &amp; CHAR(10) &amp; "Cost: $" &amp; 'Profit &amp; Loss'!O733 &amp; " per pax" &amp; CHAR(10) &amp; "Max " &amp; 'Profit &amp; Loss'!I733*6 &amp; " pax," &amp; " (" &amp; 'Profit &amp; Loss'!I733 &amp; " courts)" &amp; CHAR(10) &amp; CHAR(10) &amp; "RSL Ultimate shuttles provided" &amp; CHAR(10) &amp; CHAR(10) &amp; "PM if interested, thank you!"," ")</f>
        <v xml:space="preserve"> </v>
      </c>
      <c r="B730" s="2" t="str">
        <f ca="1">IF('Profit &amp; Loss'!A733&gt;=TODAY(), "Date: " &amp; TEXT('Profit &amp; Loss'!A733,"dd mmm yyy") &amp; ", " &amp; 'Profit &amp; Loss'!B733 &amp; CHAR(10) &amp; "Time: " &amp; TEXT('Profit &amp; Loss'!C733, "hh:mm AM/PM") &amp; " - " &amp; TEXT('Profit &amp; Loss'!D733, "hh:mm AM/PM") &amp; CHAR(10) &amp; "Venue: " &amp; 'Profit &amp; Loss'!E733 &amp; CHAR(10) &amp; "Court No.: " &amp; 'Profit &amp; Loss'!F733 &amp; CHAR(10) &amp; "Level: HB - LI" &amp; CHAR(10) &amp; "Please transfer $" &amp; 'Profit &amp; Loss'!O733 &amp; " per pax to Belle (83396501)" &amp; CHAR(10) &amp; CHAR(10) &amp; IF('Profit &amp; Loss'!I733=1, "1." &amp; CHAR(10) &amp; "2." &amp; CHAR(10) &amp; "3." &amp; CHAR(10) &amp; "4." &amp; CHAR(10) &amp; "5." &amp; CHAR(10) &amp; "6." &amp; CHAR(10), IF('Profit &amp; Loss'!I733=2,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1" spans="1:2" ht="12.5" x14ac:dyDescent="0.25">
      <c r="A731" s="2" t="str">
        <f ca="1">IF('Profit &amp; Loss'!A734&gt;=TODAY(),"Looking for friendly players to join the following game: " &amp; CHAR(10) &amp; CHAR(10) &amp; "Date: " &amp; TEXT('Profit &amp; Loss'!A734,"dd mmm yyy") &amp; ", " &amp; 'Profit &amp; Loss'!B734 &amp; CHAR(10) &amp; "Time: " &amp; TEXT('Profit &amp; Loss'!C734, "hh:mm AM/PM") &amp; " - " &amp; TEXT('Profit &amp; Loss'!D734, "hh:mm AM/PM") &amp; CHAR(10) &amp; "Venue: " &amp; 'Profit &amp; Loss'!E734 &amp; CHAR(10) &amp; "Level: HB - LI" &amp; CHAR(10) &amp; "Cost: $" &amp; 'Profit &amp; Loss'!O734 &amp; " per pax" &amp; CHAR(10) &amp; "Max " &amp; 'Profit &amp; Loss'!I734*6 &amp; " pax," &amp; " (" &amp; 'Profit &amp; Loss'!I734 &amp; " courts)" &amp; CHAR(10) &amp; CHAR(10) &amp; "RSL Ultimate shuttles provided" &amp; CHAR(10) &amp; CHAR(10) &amp; "PM if interested, thank you!"," ")</f>
        <v xml:space="preserve"> </v>
      </c>
      <c r="B731" s="2" t="str">
        <f ca="1">IF('Profit &amp; Loss'!A734&gt;=TODAY(), "Date: " &amp; TEXT('Profit &amp; Loss'!A734,"dd mmm yyy") &amp; ", " &amp; 'Profit &amp; Loss'!B734 &amp; CHAR(10) &amp; "Time: " &amp; TEXT('Profit &amp; Loss'!C734, "hh:mm AM/PM") &amp; " - " &amp; TEXT('Profit &amp; Loss'!D734, "hh:mm AM/PM") &amp; CHAR(10) &amp; "Venue: " &amp; 'Profit &amp; Loss'!E734 &amp; CHAR(10) &amp; "Court No.: " &amp; 'Profit &amp; Loss'!F734 &amp; CHAR(10) &amp; "Level: HB - LI" &amp; CHAR(10) &amp; "Please transfer $" &amp; 'Profit &amp; Loss'!O734 &amp; " per pax to Belle (83396501)" &amp; CHAR(10) &amp; CHAR(10) &amp; IF('Profit &amp; Loss'!I734=1, "1." &amp; CHAR(10) &amp; "2." &amp; CHAR(10) &amp; "3." &amp; CHAR(10) &amp; "4." &amp; CHAR(10) &amp; "5." &amp; CHAR(10) &amp; "6." &amp; CHAR(10), IF('Profit &amp; Loss'!I734=2,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2" spans="1:2" ht="12.5" x14ac:dyDescent="0.25">
      <c r="A732" s="2" t="str">
        <f ca="1">IF('Profit &amp; Loss'!A735&gt;=TODAY(),"Looking for friendly players to join the following game: " &amp; CHAR(10) &amp; CHAR(10) &amp; "Date: " &amp; TEXT('Profit &amp; Loss'!A735,"dd mmm yyy") &amp; ", " &amp; 'Profit &amp; Loss'!B735 &amp; CHAR(10) &amp; "Time: " &amp; TEXT('Profit &amp; Loss'!C735, "hh:mm AM/PM") &amp; " - " &amp; TEXT('Profit &amp; Loss'!D735, "hh:mm AM/PM") &amp; CHAR(10) &amp; "Venue: " &amp; 'Profit &amp; Loss'!E735 &amp; CHAR(10) &amp; "Level: HB - LI" &amp; CHAR(10) &amp; "Cost: $" &amp; 'Profit &amp; Loss'!O735 &amp; " per pax" &amp; CHAR(10) &amp; "Max " &amp; 'Profit &amp; Loss'!I735*6 &amp; " pax," &amp; " (" &amp; 'Profit &amp; Loss'!I735 &amp; " courts)" &amp; CHAR(10) &amp; CHAR(10) &amp; "RSL Ultimate shuttles provided" &amp; CHAR(10) &amp; CHAR(10) &amp; "PM if interested, thank you!"," ")</f>
        <v xml:space="preserve"> </v>
      </c>
      <c r="B732" s="2" t="str">
        <f ca="1">IF('Profit &amp; Loss'!A735&gt;=TODAY(), "Date: " &amp; TEXT('Profit &amp; Loss'!A735,"dd mmm yyy") &amp; ", " &amp; 'Profit &amp; Loss'!B735 &amp; CHAR(10) &amp; "Time: " &amp; TEXT('Profit &amp; Loss'!C735, "hh:mm AM/PM") &amp; " - " &amp; TEXT('Profit &amp; Loss'!D735, "hh:mm AM/PM") &amp; CHAR(10) &amp; "Venue: " &amp; 'Profit &amp; Loss'!E735 &amp; CHAR(10) &amp; "Court No.: " &amp; 'Profit &amp; Loss'!F735 &amp; CHAR(10) &amp; "Level: HB - LI" &amp; CHAR(10) &amp; "Please transfer $" &amp; 'Profit &amp; Loss'!O735 &amp; " per pax to Belle (83396501)" &amp; CHAR(10) &amp; CHAR(10) &amp; IF('Profit &amp; Loss'!I735=1, "1." &amp; CHAR(10) &amp; "2." &amp; CHAR(10) &amp; "3." &amp; CHAR(10) &amp; "4." &amp; CHAR(10) &amp; "5." &amp; CHAR(10) &amp; "6." &amp; CHAR(10), IF('Profit &amp; Loss'!I735=2,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3" spans="1:2" ht="12.5" x14ac:dyDescent="0.25">
      <c r="A733" s="2" t="str">
        <f ca="1">IF('Profit &amp; Loss'!A736&gt;=TODAY(),"Looking for friendly players to join the following game: " &amp; CHAR(10) &amp; CHAR(10) &amp; "Date: " &amp; TEXT('Profit &amp; Loss'!A736,"dd mmm yyy") &amp; ", " &amp; 'Profit &amp; Loss'!B736 &amp; CHAR(10) &amp; "Time: " &amp; TEXT('Profit &amp; Loss'!C736, "hh:mm AM/PM") &amp; " - " &amp; TEXT('Profit &amp; Loss'!D736, "hh:mm AM/PM") &amp; CHAR(10) &amp; "Venue: " &amp; 'Profit &amp; Loss'!E736 &amp; CHAR(10) &amp; "Level: HB - LI" &amp; CHAR(10) &amp; "Cost: $" &amp; 'Profit &amp; Loss'!O736 &amp; " per pax" &amp; CHAR(10) &amp; "Max " &amp; 'Profit &amp; Loss'!I736*6 &amp; " pax," &amp; " (" &amp; 'Profit &amp; Loss'!I736 &amp; " courts)" &amp; CHAR(10) &amp; CHAR(10) &amp; "RSL Ultimate shuttles provided" &amp; CHAR(10) &amp; CHAR(10) &amp; "PM if interested, thank you!"," ")</f>
        <v xml:space="preserve"> </v>
      </c>
      <c r="B733" s="2" t="str">
        <f ca="1">IF('Profit &amp; Loss'!A736&gt;=TODAY(), "Date: " &amp; TEXT('Profit &amp; Loss'!A736,"dd mmm yyy") &amp; ", " &amp; 'Profit &amp; Loss'!B736 &amp; CHAR(10) &amp; "Time: " &amp; TEXT('Profit &amp; Loss'!C736, "hh:mm AM/PM") &amp; " - " &amp; TEXT('Profit &amp; Loss'!D736, "hh:mm AM/PM") &amp; CHAR(10) &amp; "Venue: " &amp; 'Profit &amp; Loss'!E736 &amp; CHAR(10) &amp; "Court No.: " &amp; 'Profit &amp; Loss'!F736 &amp; CHAR(10) &amp; "Level: HB - LI" &amp; CHAR(10) &amp; "Please transfer $" &amp; 'Profit &amp; Loss'!O736 &amp; " per pax to Belle (83396501)" &amp; CHAR(10) &amp; CHAR(10) &amp; IF('Profit &amp; Loss'!I736=1, "1." &amp; CHAR(10) &amp; "2." &amp; CHAR(10) &amp; "3." &amp; CHAR(10) &amp; "4." &amp; CHAR(10) &amp; "5." &amp; CHAR(10) &amp; "6." &amp; CHAR(10), IF('Profit &amp; Loss'!I736=2,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4" spans="1:2" ht="12.5" x14ac:dyDescent="0.25">
      <c r="A734" s="2" t="str">
        <f ca="1">IF('Profit &amp; Loss'!A737&gt;=TODAY(),"Looking for friendly players to join the following game: " &amp; CHAR(10) &amp; CHAR(10) &amp; "Date: " &amp; TEXT('Profit &amp; Loss'!A737,"dd mmm yyy") &amp; ", " &amp; 'Profit &amp; Loss'!B737 &amp; CHAR(10) &amp; "Time: " &amp; TEXT('Profit &amp; Loss'!C737, "hh:mm AM/PM") &amp; " - " &amp; TEXT('Profit &amp; Loss'!D737, "hh:mm AM/PM") &amp; CHAR(10) &amp; "Venue: " &amp; 'Profit &amp; Loss'!E737 &amp; CHAR(10) &amp; "Level: HB - LI" &amp; CHAR(10) &amp; "Cost: $" &amp; 'Profit &amp; Loss'!O737 &amp; " per pax" &amp; CHAR(10) &amp; "Max " &amp; 'Profit &amp; Loss'!I737*6 &amp; " pax," &amp; " (" &amp; 'Profit &amp; Loss'!I737 &amp; " courts)" &amp; CHAR(10) &amp; CHAR(10) &amp; "RSL Ultimate shuttles provided" &amp; CHAR(10) &amp; CHAR(10) &amp; "PM if interested, thank you!"," ")</f>
        <v xml:space="preserve"> </v>
      </c>
      <c r="B734" s="2" t="str">
        <f ca="1">IF('Profit &amp; Loss'!A737&gt;=TODAY(), "Date: " &amp; TEXT('Profit &amp; Loss'!A737,"dd mmm yyy") &amp; ", " &amp; 'Profit &amp; Loss'!B737 &amp; CHAR(10) &amp; "Time: " &amp; TEXT('Profit &amp; Loss'!C737, "hh:mm AM/PM") &amp; " - " &amp; TEXT('Profit &amp; Loss'!D737, "hh:mm AM/PM") &amp; CHAR(10) &amp; "Venue: " &amp; 'Profit &amp; Loss'!E737 &amp; CHAR(10) &amp; "Court No.: " &amp; 'Profit &amp; Loss'!F737 &amp; CHAR(10) &amp; "Level: HB - LI" &amp; CHAR(10) &amp; "Please transfer $" &amp; 'Profit &amp; Loss'!O737 &amp; " per pax to Belle (83396501)" &amp; CHAR(10) &amp; CHAR(10) &amp; IF('Profit &amp; Loss'!I737=1, "1." &amp; CHAR(10) &amp; "2." &amp; CHAR(10) &amp; "3." &amp; CHAR(10) &amp; "4." &amp; CHAR(10) &amp; "5." &amp; CHAR(10) &amp; "6." &amp; CHAR(10), IF('Profit &amp; Loss'!I737=2,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5" spans="1:2" ht="12.5" x14ac:dyDescent="0.25">
      <c r="A735" s="2" t="str">
        <f ca="1">IF('Profit &amp; Loss'!A738&gt;=TODAY(),"Looking for friendly players to join the following game: " &amp; CHAR(10) &amp; CHAR(10) &amp; "Date: " &amp; TEXT('Profit &amp; Loss'!A738,"dd mmm yyy") &amp; ", " &amp; 'Profit &amp; Loss'!B738 &amp; CHAR(10) &amp; "Time: " &amp; TEXT('Profit &amp; Loss'!C738, "hh:mm AM/PM") &amp; " - " &amp; TEXT('Profit &amp; Loss'!D738, "hh:mm AM/PM") &amp; CHAR(10) &amp; "Venue: " &amp; 'Profit &amp; Loss'!E738 &amp; CHAR(10) &amp; "Level: HB - LI" &amp; CHAR(10) &amp; "Cost: $" &amp; 'Profit &amp; Loss'!O738 &amp; " per pax" &amp; CHAR(10) &amp; "Max " &amp; 'Profit &amp; Loss'!I738*6 &amp; " pax," &amp; " (" &amp; 'Profit &amp; Loss'!I738 &amp; " courts)" &amp; CHAR(10) &amp; CHAR(10) &amp; "RSL Ultimate shuttles provided" &amp; CHAR(10) &amp; CHAR(10) &amp; "PM if interested, thank you!"," ")</f>
        <v xml:space="preserve"> </v>
      </c>
      <c r="B735" s="2" t="str">
        <f ca="1">IF('Profit &amp; Loss'!A738&gt;=TODAY(), "Date: " &amp; TEXT('Profit &amp; Loss'!A738,"dd mmm yyy") &amp; ", " &amp; 'Profit &amp; Loss'!B738 &amp; CHAR(10) &amp; "Time: " &amp; TEXT('Profit &amp; Loss'!C738, "hh:mm AM/PM") &amp; " - " &amp; TEXT('Profit &amp; Loss'!D738, "hh:mm AM/PM") &amp; CHAR(10) &amp; "Venue: " &amp; 'Profit &amp; Loss'!E738 &amp; CHAR(10) &amp; "Court No.: " &amp; 'Profit &amp; Loss'!F738 &amp; CHAR(10) &amp; "Level: HB - LI" &amp; CHAR(10) &amp; "Please transfer $" &amp; 'Profit &amp; Loss'!O738 &amp; " per pax to Belle (83396501)" &amp; CHAR(10) &amp; CHAR(10) &amp; IF('Profit &amp; Loss'!I738=1, "1." &amp; CHAR(10) &amp; "2." &amp; CHAR(10) &amp; "3." &amp; CHAR(10) &amp; "4." &amp; CHAR(10) &amp; "5." &amp; CHAR(10) &amp; "6." &amp; CHAR(10), IF('Profit &amp; Loss'!I738=2,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6" spans="1:2" ht="12.5" x14ac:dyDescent="0.25">
      <c r="A736" s="2" t="str">
        <f ca="1">IF('Profit &amp; Loss'!A739&gt;=TODAY(),"Looking for friendly players to join the following game: " &amp; CHAR(10) &amp; CHAR(10) &amp; "Date: " &amp; TEXT('Profit &amp; Loss'!A739,"dd mmm yyy") &amp; ", " &amp; 'Profit &amp; Loss'!B739 &amp; CHAR(10) &amp; "Time: " &amp; TEXT('Profit &amp; Loss'!C739, "hh:mm AM/PM") &amp; " - " &amp; TEXT('Profit &amp; Loss'!D739, "hh:mm AM/PM") &amp; CHAR(10) &amp; "Venue: " &amp; 'Profit &amp; Loss'!E739 &amp; CHAR(10) &amp; "Level: HB - LI" &amp; CHAR(10) &amp; "Cost: $" &amp; 'Profit &amp; Loss'!O739 &amp; " per pax" &amp; CHAR(10) &amp; "Max " &amp; 'Profit &amp; Loss'!I739*6 &amp; " pax," &amp; " (" &amp; 'Profit &amp; Loss'!I739 &amp; " courts)" &amp; CHAR(10) &amp; CHAR(10) &amp; "RSL Ultimate shuttles provided" &amp; CHAR(10) &amp; CHAR(10) &amp; "PM if interested, thank you!"," ")</f>
        <v xml:space="preserve"> </v>
      </c>
      <c r="B736" s="2" t="str">
        <f ca="1">IF('Profit &amp; Loss'!A739&gt;=TODAY(), "Date: " &amp; TEXT('Profit &amp; Loss'!A739,"dd mmm yyy") &amp; ", " &amp; 'Profit &amp; Loss'!B739 &amp; CHAR(10) &amp; "Time: " &amp; TEXT('Profit &amp; Loss'!C739, "hh:mm AM/PM") &amp; " - " &amp; TEXT('Profit &amp; Loss'!D739, "hh:mm AM/PM") &amp; CHAR(10) &amp; "Venue: " &amp; 'Profit &amp; Loss'!E739 &amp; CHAR(10) &amp; "Court No.: " &amp; 'Profit &amp; Loss'!F739 &amp; CHAR(10) &amp; "Level: HB - LI" &amp; CHAR(10) &amp; "Please transfer $" &amp; 'Profit &amp; Loss'!O739 &amp; " per pax to Belle (83396501)" &amp; CHAR(10) &amp; CHAR(10) &amp; IF('Profit &amp; Loss'!I739=1, "1." &amp; CHAR(10) &amp; "2." &amp; CHAR(10) &amp; "3." &amp; CHAR(10) &amp; "4." &amp; CHAR(10) &amp; "5." &amp; CHAR(10) &amp; "6." &amp; CHAR(10), IF('Profit &amp; Loss'!I739=2,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7" spans="1:2" ht="12.5" x14ac:dyDescent="0.25">
      <c r="A737" s="2" t="str">
        <f ca="1">IF('Profit &amp; Loss'!A740&gt;=TODAY(),"Looking for friendly players to join the following game: " &amp; CHAR(10) &amp; CHAR(10) &amp; "Date: " &amp; TEXT('Profit &amp; Loss'!A740,"dd mmm yyy") &amp; ", " &amp; 'Profit &amp; Loss'!B740 &amp; CHAR(10) &amp; "Time: " &amp; TEXT('Profit &amp; Loss'!C740, "hh:mm AM/PM") &amp; " - " &amp; TEXT('Profit &amp; Loss'!D740, "hh:mm AM/PM") &amp; CHAR(10) &amp; "Venue: " &amp; 'Profit &amp; Loss'!E740 &amp; CHAR(10) &amp; "Level: HB - LI" &amp; CHAR(10) &amp; "Cost: $" &amp; 'Profit &amp; Loss'!O740 &amp; " per pax" &amp; CHAR(10) &amp; "Max " &amp; 'Profit &amp; Loss'!I740*6 &amp; " pax," &amp; " (" &amp; 'Profit &amp; Loss'!I740 &amp; " courts)" &amp; CHAR(10) &amp; CHAR(10) &amp; "RSL Ultimate shuttles provided" &amp; CHAR(10) &amp; CHAR(10) &amp; "PM if interested, thank you!"," ")</f>
        <v xml:space="preserve"> </v>
      </c>
      <c r="B737" s="2" t="str">
        <f ca="1">IF('Profit &amp; Loss'!A740&gt;=TODAY(), "Date: " &amp; TEXT('Profit &amp; Loss'!A740,"dd mmm yyy") &amp; ", " &amp; 'Profit &amp; Loss'!B740 &amp; CHAR(10) &amp; "Time: " &amp; TEXT('Profit &amp; Loss'!C740, "hh:mm AM/PM") &amp; " - " &amp; TEXT('Profit &amp; Loss'!D740, "hh:mm AM/PM") &amp; CHAR(10) &amp; "Venue: " &amp; 'Profit &amp; Loss'!E740 &amp; CHAR(10) &amp; "Court No.: " &amp; 'Profit &amp; Loss'!F740 &amp; CHAR(10) &amp; "Level: HB - LI" &amp; CHAR(10) &amp; "Please transfer $" &amp; 'Profit &amp; Loss'!O740 &amp; " per pax to Belle (83396501)" &amp; CHAR(10) &amp; CHAR(10) &amp; IF('Profit &amp; Loss'!I740=1, "1." &amp; CHAR(10) &amp; "2." &amp; CHAR(10) &amp; "3." &amp; CHAR(10) &amp; "4." &amp; CHAR(10) &amp; "5." &amp; CHAR(10) &amp; "6." &amp; CHAR(10), IF('Profit &amp; Loss'!I740=2,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8" spans="1:2" ht="12.5" x14ac:dyDescent="0.25">
      <c r="A738" s="2" t="str">
        <f ca="1">IF('Profit &amp; Loss'!A741&gt;=TODAY(),"Looking for friendly players to join the following game: " &amp; CHAR(10) &amp; CHAR(10) &amp; "Date: " &amp; TEXT('Profit &amp; Loss'!A741,"dd mmm yyy") &amp; ", " &amp; 'Profit &amp; Loss'!B741 &amp; CHAR(10) &amp; "Time: " &amp; TEXT('Profit &amp; Loss'!C741, "hh:mm AM/PM") &amp; " - " &amp; TEXT('Profit &amp; Loss'!D741, "hh:mm AM/PM") &amp; CHAR(10) &amp; "Venue: " &amp; 'Profit &amp; Loss'!E741 &amp; CHAR(10) &amp; "Level: HB - LI" &amp; CHAR(10) &amp; "Cost: $" &amp; 'Profit &amp; Loss'!O741 &amp; " per pax" &amp; CHAR(10) &amp; "Max " &amp; 'Profit &amp; Loss'!I741*6 &amp; " pax," &amp; " (" &amp; 'Profit &amp; Loss'!I741 &amp; " courts)" &amp; CHAR(10) &amp; CHAR(10) &amp; "RSL Ultimate shuttles provided" &amp; CHAR(10) &amp; CHAR(10) &amp; "PM if interested, thank you!"," ")</f>
        <v xml:space="preserve"> </v>
      </c>
      <c r="B738" s="2" t="str">
        <f ca="1">IF('Profit &amp; Loss'!A741&gt;=TODAY(), "Date: " &amp; TEXT('Profit &amp; Loss'!A741,"dd mmm yyy") &amp; ", " &amp; 'Profit &amp; Loss'!B741 &amp; CHAR(10) &amp; "Time: " &amp; TEXT('Profit &amp; Loss'!C741, "hh:mm AM/PM") &amp; " - " &amp; TEXT('Profit &amp; Loss'!D741, "hh:mm AM/PM") &amp; CHAR(10) &amp; "Venue: " &amp; 'Profit &amp; Loss'!E741 &amp; CHAR(10) &amp; "Court No.: " &amp; 'Profit &amp; Loss'!F741 &amp; CHAR(10) &amp; "Level: HB - LI" &amp; CHAR(10) &amp; "Please transfer $" &amp; 'Profit &amp; Loss'!O741 &amp; " per pax to Belle (83396501)" &amp; CHAR(10) &amp; CHAR(10) &amp; IF('Profit &amp; Loss'!I741=1, "1." &amp; CHAR(10) &amp; "2." &amp; CHAR(10) &amp; "3." &amp; CHAR(10) &amp; "4." &amp; CHAR(10) &amp; "5." &amp; CHAR(10) &amp; "6." &amp; CHAR(10), IF('Profit &amp; Loss'!I741=2,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39" spans="1:2" ht="12.5" x14ac:dyDescent="0.25">
      <c r="A739" s="2" t="str">
        <f ca="1">IF('Profit &amp; Loss'!A742&gt;=TODAY(),"Looking for friendly players to join the following game: " &amp; CHAR(10) &amp; CHAR(10) &amp; "Date: " &amp; TEXT('Profit &amp; Loss'!A742,"dd mmm yyy") &amp; ", " &amp; 'Profit &amp; Loss'!B742 &amp; CHAR(10) &amp; "Time: " &amp; TEXT('Profit &amp; Loss'!C742, "hh:mm AM/PM") &amp; " - " &amp; TEXT('Profit &amp; Loss'!D742, "hh:mm AM/PM") &amp; CHAR(10) &amp; "Venue: " &amp; 'Profit &amp; Loss'!E742 &amp; CHAR(10) &amp; "Level: HB - LI" &amp; CHAR(10) &amp; "Cost: $" &amp; 'Profit &amp; Loss'!O742 &amp; " per pax" &amp; CHAR(10) &amp; "Max " &amp; 'Profit &amp; Loss'!I742*6 &amp; " pax," &amp; " (" &amp; 'Profit &amp; Loss'!I742 &amp; " courts)" &amp; CHAR(10) &amp; CHAR(10) &amp; "RSL Ultimate shuttles provided" &amp; CHAR(10) &amp; CHAR(10) &amp; "PM if interested, thank you!"," ")</f>
        <v xml:space="preserve"> </v>
      </c>
      <c r="B739" s="2" t="str">
        <f ca="1">IF('Profit &amp; Loss'!A742&gt;=TODAY(), "Date: " &amp; TEXT('Profit &amp; Loss'!A742,"dd mmm yyy") &amp; ", " &amp; 'Profit &amp; Loss'!B742 &amp; CHAR(10) &amp; "Time: " &amp; TEXT('Profit &amp; Loss'!C742, "hh:mm AM/PM") &amp; " - " &amp; TEXT('Profit &amp; Loss'!D742, "hh:mm AM/PM") &amp; CHAR(10) &amp; "Venue: " &amp; 'Profit &amp; Loss'!E742 &amp; CHAR(10) &amp; "Court No.: " &amp; 'Profit &amp; Loss'!F742 &amp; CHAR(10) &amp; "Level: HB - LI" &amp; CHAR(10) &amp; "Please transfer $" &amp; 'Profit &amp; Loss'!O742 &amp; " per pax to Belle (83396501)" &amp; CHAR(10) &amp; CHAR(10) &amp; IF('Profit &amp; Loss'!I742=1, "1." &amp; CHAR(10) &amp; "2." &amp; CHAR(10) &amp; "3." &amp; CHAR(10) &amp; "4." &amp; CHAR(10) &amp; "5." &amp; CHAR(10) &amp; "6." &amp; CHAR(10), IF('Profit &amp; Loss'!I742=2,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0" spans="1:2" ht="12.5" x14ac:dyDescent="0.25">
      <c r="A740" s="2" t="str">
        <f ca="1">IF('Profit &amp; Loss'!A743&gt;=TODAY(),"Looking for friendly players to join the following game: " &amp; CHAR(10) &amp; CHAR(10) &amp; "Date: " &amp; TEXT('Profit &amp; Loss'!A743,"dd mmm yyy") &amp; ", " &amp; 'Profit &amp; Loss'!B743 &amp; CHAR(10) &amp; "Time: " &amp; TEXT('Profit &amp; Loss'!C743, "hh:mm AM/PM") &amp; " - " &amp; TEXT('Profit &amp; Loss'!D743, "hh:mm AM/PM") &amp; CHAR(10) &amp; "Venue: " &amp; 'Profit &amp; Loss'!E743 &amp; CHAR(10) &amp; "Level: HB - LI" &amp; CHAR(10) &amp; "Cost: $" &amp; 'Profit &amp; Loss'!O743 &amp; " per pax" &amp; CHAR(10) &amp; "Max " &amp; 'Profit &amp; Loss'!I743*6 &amp; " pax," &amp; " (" &amp; 'Profit &amp; Loss'!I743 &amp; " courts)" &amp; CHAR(10) &amp; CHAR(10) &amp; "RSL Ultimate shuttles provided" &amp; CHAR(10) &amp; CHAR(10) &amp; "PM if interested, thank you!"," ")</f>
        <v xml:space="preserve"> </v>
      </c>
      <c r="B740" s="2" t="str">
        <f ca="1">IF('Profit &amp; Loss'!A743&gt;=TODAY(), "Date: " &amp; TEXT('Profit &amp; Loss'!A743,"dd mmm yyy") &amp; ", " &amp; 'Profit &amp; Loss'!B743 &amp; CHAR(10) &amp; "Time: " &amp; TEXT('Profit &amp; Loss'!C743, "hh:mm AM/PM") &amp; " - " &amp; TEXT('Profit &amp; Loss'!D743, "hh:mm AM/PM") &amp; CHAR(10) &amp; "Venue: " &amp; 'Profit &amp; Loss'!E743 &amp; CHAR(10) &amp; "Court No.: " &amp; 'Profit &amp; Loss'!F743 &amp; CHAR(10) &amp; "Level: HB - LI" &amp; CHAR(10) &amp; "Please transfer $" &amp; 'Profit &amp; Loss'!O743 &amp; " per pax to Belle (83396501)" &amp; CHAR(10) &amp; CHAR(10) &amp; IF('Profit &amp; Loss'!I743=1, "1." &amp; CHAR(10) &amp; "2." &amp; CHAR(10) &amp; "3." &amp; CHAR(10) &amp; "4." &amp; CHAR(10) &amp; "5." &amp; CHAR(10) &amp; "6." &amp; CHAR(10), IF('Profit &amp; Loss'!I743=2,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1" spans="1:2" ht="12.5" x14ac:dyDescent="0.25">
      <c r="A741" s="2" t="str">
        <f ca="1">IF('Profit &amp; Loss'!A744&gt;=TODAY(),"Looking for friendly players to join the following game: " &amp; CHAR(10) &amp; CHAR(10) &amp; "Date: " &amp; TEXT('Profit &amp; Loss'!A744,"dd mmm yyy") &amp; ", " &amp; 'Profit &amp; Loss'!B744 &amp; CHAR(10) &amp; "Time: " &amp; TEXT('Profit &amp; Loss'!C744, "hh:mm AM/PM") &amp; " - " &amp; TEXT('Profit &amp; Loss'!D744, "hh:mm AM/PM") &amp; CHAR(10) &amp; "Venue: " &amp; 'Profit &amp; Loss'!E744 &amp; CHAR(10) &amp; "Level: HB - LI" &amp; CHAR(10) &amp; "Cost: $" &amp; 'Profit &amp; Loss'!O744 &amp; " per pax" &amp; CHAR(10) &amp; "Max " &amp; 'Profit &amp; Loss'!I744*6 &amp; " pax," &amp; " (" &amp; 'Profit &amp; Loss'!I744 &amp; " courts)" &amp; CHAR(10) &amp; CHAR(10) &amp; "RSL Ultimate shuttles provided" &amp; CHAR(10) &amp; CHAR(10) &amp; "PM if interested, thank you!"," ")</f>
        <v xml:space="preserve"> </v>
      </c>
      <c r="B741" s="2" t="str">
        <f ca="1">IF('Profit &amp; Loss'!A744&gt;=TODAY(), "Date: " &amp; TEXT('Profit &amp; Loss'!A744,"dd mmm yyy") &amp; ", " &amp; 'Profit &amp; Loss'!B744 &amp; CHAR(10) &amp; "Time: " &amp; TEXT('Profit &amp; Loss'!C744, "hh:mm AM/PM") &amp; " - " &amp; TEXT('Profit &amp; Loss'!D744, "hh:mm AM/PM") &amp; CHAR(10) &amp; "Venue: " &amp; 'Profit &amp; Loss'!E744 &amp; CHAR(10) &amp; "Court No.: " &amp; 'Profit &amp; Loss'!F744 &amp; CHAR(10) &amp; "Level: HB - LI" &amp; CHAR(10) &amp; "Please transfer $" &amp; 'Profit &amp; Loss'!O744 &amp; " per pax to Belle (83396501)" &amp; CHAR(10) &amp; CHAR(10) &amp; IF('Profit &amp; Loss'!I744=1, "1." &amp; CHAR(10) &amp; "2." &amp; CHAR(10) &amp; "3." &amp; CHAR(10) &amp; "4." &amp; CHAR(10) &amp; "5." &amp; CHAR(10) &amp; "6." &amp; CHAR(10), IF('Profit &amp; Loss'!I744=2,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2" spans="1:2" ht="12.5" x14ac:dyDescent="0.25">
      <c r="A742" s="2" t="str">
        <f ca="1">IF('Profit &amp; Loss'!A745&gt;=TODAY(),"Looking for friendly players to join the following game: " &amp; CHAR(10) &amp; CHAR(10) &amp; "Date: " &amp; TEXT('Profit &amp; Loss'!A745,"dd mmm yyy") &amp; ", " &amp; 'Profit &amp; Loss'!B745 &amp; CHAR(10) &amp; "Time: " &amp; TEXT('Profit &amp; Loss'!C745, "hh:mm AM/PM") &amp; " - " &amp; TEXT('Profit &amp; Loss'!D745, "hh:mm AM/PM") &amp; CHAR(10) &amp; "Venue: " &amp; 'Profit &amp; Loss'!E745 &amp; CHAR(10) &amp; "Level: HB - LI" &amp; CHAR(10) &amp; "Cost: $" &amp; 'Profit &amp; Loss'!O745 &amp; " per pax" &amp; CHAR(10) &amp; "Max " &amp; 'Profit &amp; Loss'!I745*6 &amp; " pax," &amp; " (" &amp; 'Profit &amp; Loss'!I745 &amp; " courts)" &amp; CHAR(10) &amp; CHAR(10) &amp; "RSL Ultimate shuttles provided" &amp; CHAR(10) &amp; CHAR(10) &amp; "PM if interested, thank you!"," ")</f>
        <v xml:space="preserve"> </v>
      </c>
      <c r="B742" s="2" t="str">
        <f ca="1">IF('Profit &amp; Loss'!A745&gt;=TODAY(), "Date: " &amp; TEXT('Profit &amp; Loss'!A745,"dd mmm yyy") &amp; ", " &amp; 'Profit &amp; Loss'!B745 &amp; CHAR(10) &amp; "Time: " &amp; TEXT('Profit &amp; Loss'!C745, "hh:mm AM/PM") &amp; " - " &amp; TEXT('Profit &amp; Loss'!D745, "hh:mm AM/PM") &amp; CHAR(10) &amp; "Venue: " &amp; 'Profit &amp; Loss'!E745 &amp; CHAR(10) &amp; "Court No.: " &amp; 'Profit &amp; Loss'!F745 &amp; CHAR(10) &amp; "Level: HB - LI" &amp; CHAR(10) &amp; "Please transfer $" &amp; 'Profit &amp; Loss'!O745 &amp; " per pax to Belle (83396501)" &amp; CHAR(10) &amp; CHAR(10) &amp; IF('Profit &amp; Loss'!I745=1, "1." &amp; CHAR(10) &amp; "2." &amp; CHAR(10) &amp; "3." &amp; CHAR(10) &amp; "4." &amp; CHAR(10) &amp; "5." &amp; CHAR(10) &amp; "6." &amp; CHAR(10), IF('Profit &amp; Loss'!I745=2,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3" spans="1:2" ht="12.5" x14ac:dyDescent="0.25">
      <c r="A743" s="2" t="str">
        <f ca="1">IF('Profit &amp; Loss'!A746&gt;=TODAY(),"Looking for friendly players to join the following game: " &amp; CHAR(10) &amp; CHAR(10) &amp; "Date: " &amp; TEXT('Profit &amp; Loss'!A746,"dd mmm yyy") &amp; ", " &amp; 'Profit &amp; Loss'!B746 &amp; CHAR(10) &amp; "Time: " &amp; TEXT('Profit &amp; Loss'!C746, "hh:mm AM/PM") &amp; " - " &amp; TEXT('Profit &amp; Loss'!D746, "hh:mm AM/PM") &amp; CHAR(10) &amp; "Venue: " &amp; 'Profit &amp; Loss'!E746 &amp; CHAR(10) &amp; "Level: HB - LI" &amp; CHAR(10) &amp; "Cost: $" &amp; 'Profit &amp; Loss'!O746 &amp; " per pax" &amp; CHAR(10) &amp; "Max " &amp; 'Profit &amp; Loss'!I746*6 &amp; " pax," &amp; " (" &amp; 'Profit &amp; Loss'!I746 &amp; " courts)" &amp; CHAR(10) &amp; CHAR(10) &amp; "RSL Ultimate shuttles provided" &amp; CHAR(10) &amp; CHAR(10) &amp; "PM if interested, thank you!"," ")</f>
        <v xml:space="preserve"> </v>
      </c>
      <c r="B743" s="2" t="str">
        <f ca="1">IF('Profit &amp; Loss'!A746&gt;=TODAY(), "Date: " &amp; TEXT('Profit &amp; Loss'!A746,"dd mmm yyy") &amp; ", " &amp; 'Profit &amp; Loss'!B746 &amp; CHAR(10) &amp; "Time: " &amp; TEXT('Profit &amp; Loss'!C746, "hh:mm AM/PM") &amp; " - " &amp; TEXT('Profit &amp; Loss'!D746, "hh:mm AM/PM") &amp; CHAR(10) &amp; "Venue: " &amp; 'Profit &amp; Loss'!E746 &amp; CHAR(10) &amp; "Court No.: " &amp; 'Profit &amp; Loss'!F746 &amp; CHAR(10) &amp; "Level: HB - LI" &amp; CHAR(10) &amp; "Please transfer $" &amp; 'Profit &amp; Loss'!O746 &amp; " per pax to Belle (83396501)" &amp; CHAR(10) &amp; CHAR(10) &amp; IF('Profit &amp; Loss'!I746=1, "1." &amp; CHAR(10) &amp; "2." &amp; CHAR(10) &amp; "3." &amp; CHAR(10) &amp; "4." &amp; CHAR(10) &amp; "5." &amp; CHAR(10) &amp; "6." &amp; CHAR(10), IF('Profit &amp; Loss'!I746=2,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4" spans="1:2" ht="12.5" x14ac:dyDescent="0.25">
      <c r="A744" s="2" t="str">
        <f ca="1">IF('Profit &amp; Loss'!A747&gt;=TODAY(),"Looking for friendly players to join the following game: " &amp; CHAR(10) &amp; CHAR(10) &amp; "Date: " &amp; TEXT('Profit &amp; Loss'!A747,"dd mmm yyy") &amp; ", " &amp; 'Profit &amp; Loss'!B747 &amp; CHAR(10) &amp; "Time: " &amp; TEXT('Profit &amp; Loss'!C747, "hh:mm AM/PM") &amp; " - " &amp; TEXT('Profit &amp; Loss'!D747, "hh:mm AM/PM") &amp; CHAR(10) &amp; "Venue: " &amp; 'Profit &amp; Loss'!E747 &amp; CHAR(10) &amp; "Level: HB - LI" &amp; CHAR(10) &amp; "Cost: $" &amp; 'Profit &amp; Loss'!O747 &amp; " per pax" &amp; CHAR(10) &amp; "Max " &amp; 'Profit &amp; Loss'!I747*6 &amp; " pax," &amp; " (" &amp; 'Profit &amp; Loss'!I747 &amp; " courts)" &amp; CHAR(10) &amp; CHAR(10) &amp; "RSL Ultimate shuttles provided" &amp; CHAR(10) &amp; CHAR(10) &amp; "PM if interested, thank you!"," ")</f>
        <v xml:space="preserve"> </v>
      </c>
      <c r="B744" s="2" t="str">
        <f ca="1">IF('Profit &amp; Loss'!A747&gt;=TODAY(), "Date: " &amp; TEXT('Profit &amp; Loss'!A747,"dd mmm yyy") &amp; ", " &amp; 'Profit &amp; Loss'!B747 &amp; CHAR(10) &amp; "Time: " &amp; TEXT('Profit &amp; Loss'!C747, "hh:mm AM/PM") &amp; " - " &amp; TEXT('Profit &amp; Loss'!D747, "hh:mm AM/PM") &amp; CHAR(10) &amp; "Venue: " &amp; 'Profit &amp; Loss'!E747 &amp; CHAR(10) &amp; "Court No.: " &amp; 'Profit &amp; Loss'!F747 &amp; CHAR(10) &amp; "Level: HB - LI" &amp; CHAR(10) &amp; "Please transfer $" &amp; 'Profit &amp; Loss'!O747 &amp; " per pax to Belle (83396501)" &amp; CHAR(10) &amp; CHAR(10) &amp; IF('Profit &amp; Loss'!I747=1, "1." &amp; CHAR(10) &amp; "2." &amp; CHAR(10) &amp; "3." &amp; CHAR(10) &amp; "4." &amp; CHAR(10) &amp; "5." &amp; CHAR(10) &amp; "6." &amp; CHAR(10), IF('Profit &amp; Loss'!I747=2,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5" spans="1:2" ht="12.5" x14ac:dyDescent="0.25">
      <c r="A745" s="2" t="str">
        <f ca="1">IF('Profit &amp; Loss'!A748&gt;=TODAY(),"Looking for friendly players to join the following game: " &amp; CHAR(10) &amp; CHAR(10) &amp; "Date: " &amp; TEXT('Profit &amp; Loss'!A748,"dd mmm yyy") &amp; ", " &amp; 'Profit &amp; Loss'!B748 &amp; CHAR(10) &amp; "Time: " &amp; TEXT('Profit &amp; Loss'!C748, "hh:mm AM/PM") &amp; " - " &amp; TEXT('Profit &amp; Loss'!D748, "hh:mm AM/PM") &amp; CHAR(10) &amp; "Venue: " &amp; 'Profit &amp; Loss'!E748 &amp; CHAR(10) &amp; "Level: HB - LI" &amp; CHAR(10) &amp; "Cost: $" &amp; 'Profit &amp; Loss'!O748 &amp; " per pax" &amp; CHAR(10) &amp; "Max " &amp; 'Profit &amp; Loss'!I748*6 &amp; " pax," &amp; " (" &amp; 'Profit &amp; Loss'!I748 &amp; " courts)" &amp; CHAR(10) &amp; CHAR(10) &amp; "RSL Ultimate shuttles provided" &amp; CHAR(10) &amp; CHAR(10) &amp; "PM if interested, thank you!"," ")</f>
        <v xml:space="preserve"> </v>
      </c>
      <c r="B745" s="2" t="str">
        <f ca="1">IF('Profit &amp; Loss'!A748&gt;=TODAY(), "Date: " &amp; TEXT('Profit &amp; Loss'!A748,"dd mmm yyy") &amp; ", " &amp; 'Profit &amp; Loss'!B748 &amp; CHAR(10) &amp; "Time: " &amp; TEXT('Profit &amp; Loss'!C748, "hh:mm AM/PM") &amp; " - " &amp; TEXT('Profit &amp; Loss'!D748, "hh:mm AM/PM") &amp; CHAR(10) &amp; "Venue: " &amp; 'Profit &amp; Loss'!E748 &amp; CHAR(10) &amp; "Court No.: " &amp; 'Profit &amp; Loss'!F748 &amp; CHAR(10) &amp; "Level: HB - LI" &amp; CHAR(10) &amp; "Please transfer $" &amp; 'Profit &amp; Loss'!O748 &amp; " per pax to Belle (83396501)" &amp; CHAR(10) &amp; CHAR(10) &amp; IF('Profit &amp; Loss'!I748=1, "1." &amp; CHAR(10) &amp; "2." &amp; CHAR(10) &amp; "3." &amp; CHAR(10) &amp; "4." &amp; CHAR(10) &amp; "5." &amp; CHAR(10) &amp; "6." &amp; CHAR(10), IF('Profit &amp; Loss'!I748=2,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6" spans="1:2" ht="12.5" x14ac:dyDescent="0.25">
      <c r="A746" s="2" t="str">
        <f ca="1">IF('Profit &amp; Loss'!A749&gt;=TODAY(),"Looking for friendly players to join the following game: " &amp; CHAR(10) &amp; CHAR(10) &amp; "Date: " &amp; TEXT('Profit &amp; Loss'!A749,"dd mmm yyy") &amp; ", " &amp; 'Profit &amp; Loss'!B749 &amp; CHAR(10) &amp; "Time: " &amp; TEXT('Profit &amp; Loss'!C749, "hh:mm AM/PM") &amp; " - " &amp; TEXT('Profit &amp; Loss'!D749, "hh:mm AM/PM") &amp; CHAR(10) &amp; "Venue: " &amp; 'Profit &amp; Loss'!E749 &amp; CHAR(10) &amp; "Level: HB - LI" &amp; CHAR(10) &amp; "Cost: $" &amp; 'Profit &amp; Loss'!O749 &amp; " per pax" &amp; CHAR(10) &amp; "Max " &amp; 'Profit &amp; Loss'!I749*6 &amp; " pax," &amp; " (" &amp; 'Profit &amp; Loss'!I749 &amp; " courts)" &amp; CHAR(10) &amp; CHAR(10) &amp; "RSL Ultimate shuttles provided" &amp; CHAR(10) &amp; CHAR(10) &amp; "PM if interested, thank you!"," ")</f>
        <v xml:space="preserve"> </v>
      </c>
      <c r="B746" s="2" t="str">
        <f ca="1">IF('Profit &amp; Loss'!A749&gt;=TODAY(), "Date: " &amp; TEXT('Profit &amp; Loss'!A749,"dd mmm yyy") &amp; ", " &amp; 'Profit &amp; Loss'!B749 &amp; CHAR(10) &amp; "Time: " &amp; TEXT('Profit &amp; Loss'!C749, "hh:mm AM/PM") &amp; " - " &amp; TEXT('Profit &amp; Loss'!D749, "hh:mm AM/PM") &amp; CHAR(10) &amp; "Venue: " &amp; 'Profit &amp; Loss'!E749 &amp; CHAR(10) &amp; "Court No.: " &amp; 'Profit &amp; Loss'!F749 &amp; CHAR(10) &amp; "Level: HB - LI" &amp; CHAR(10) &amp; "Please transfer $" &amp; 'Profit &amp; Loss'!O749 &amp; " per pax to Belle (83396501)" &amp; CHAR(10) &amp; CHAR(10) &amp; IF('Profit &amp; Loss'!I749=1, "1." &amp; CHAR(10) &amp; "2." &amp; CHAR(10) &amp; "3." &amp; CHAR(10) &amp; "4." &amp; CHAR(10) &amp; "5." &amp; CHAR(10) &amp; "6." &amp; CHAR(10), IF('Profit &amp; Loss'!I749=2,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7" spans="1:2" ht="12.5" x14ac:dyDescent="0.25">
      <c r="A747" s="2" t="str">
        <f ca="1">IF('Profit &amp; Loss'!A750&gt;=TODAY(),"Looking for friendly players to join the following game: " &amp; CHAR(10) &amp; CHAR(10) &amp; "Date: " &amp; TEXT('Profit &amp; Loss'!A750,"dd mmm yyy") &amp; ", " &amp; 'Profit &amp; Loss'!B750 &amp; CHAR(10) &amp; "Time: " &amp; TEXT('Profit &amp; Loss'!C750, "hh:mm AM/PM") &amp; " - " &amp; TEXT('Profit &amp; Loss'!D750, "hh:mm AM/PM") &amp; CHAR(10) &amp; "Venue: " &amp; 'Profit &amp; Loss'!E750 &amp; CHAR(10) &amp; "Level: HB - LI" &amp; CHAR(10) &amp; "Cost: $" &amp; 'Profit &amp; Loss'!O750 &amp; " per pax" &amp; CHAR(10) &amp; "Max " &amp; 'Profit &amp; Loss'!I750*6 &amp; " pax," &amp; " (" &amp; 'Profit &amp; Loss'!I750 &amp; " courts)" &amp; CHAR(10) &amp; CHAR(10) &amp; "RSL Ultimate shuttles provided" &amp; CHAR(10) &amp; CHAR(10) &amp; "PM if interested, thank you!"," ")</f>
        <v xml:space="preserve"> </v>
      </c>
      <c r="B747" s="2" t="str">
        <f ca="1">IF('Profit &amp; Loss'!A750&gt;=TODAY(), "Date: " &amp; TEXT('Profit &amp; Loss'!A750,"dd mmm yyy") &amp; ", " &amp; 'Profit &amp; Loss'!B750 &amp; CHAR(10) &amp; "Time: " &amp; TEXT('Profit &amp; Loss'!C750, "hh:mm AM/PM") &amp; " - " &amp; TEXT('Profit &amp; Loss'!D750, "hh:mm AM/PM") &amp; CHAR(10) &amp; "Venue: " &amp; 'Profit &amp; Loss'!E750 &amp; CHAR(10) &amp; "Court No.: " &amp; 'Profit &amp; Loss'!F750 &amp; CHAR(10) &amp; "Level: HB - LI" &amp; CHAR(10) &amp; "Please transfer $" &amp; 'Profit &amp; Loss'!O750 &amp; " per pax to Belle (83396501)" &amp; CHAR(10) &amp; CHAR(10) &amp; IF('Profit &amp; Loss'!I750=1, "1." &amp; CHAR(10) &amp; "2." &amp; CHAR(10) &amp; "3." &amp; CHAR(10) &amp; "4." &amp; CHAR(10) &amp; "5." &amp; CHAR(10) &amp; "6." &amp; CHAR(10), IF('Profit &amp; Loss'!I750=2,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8" spans="1:2" ht="12.5" x14ac:dyDescent="0.25">
      <c r="A748" s="2" t="str">
        <f ca="1">IF('Profit &amp; Loss'!A751&gt;=TODAY(),"Looking for friendly players to join the following game: " &amp; CHAR(10) &amp; CHAR(10) &amp; "Date: " &amp; TEXT('Profit &amp; Loss'!A751,"dd mmm yyy") &amp; ", " &amp; 'Profit &amp; Loss'!B751 &amp; CHAR(10) &amp; "Time: " &amp; TEXT('Profit &amp; Loss'!C751, "hh:mm AM/PM") &amp; " - " &amp; TEXT('Profit &amp; Loss'!D751, "hh:mm AM/PM") &amp; CHAR(10) &amp; "Venue: " &amp; 'Profit &amp; Loss'!E751 &amp; CHAR(10) &amp; "Level: HB - LI" &amp; CHAR(10) &amp; "Cost: $" &amp; 'Profit &amp; Loss'!O751 &amp; " per pax" &amp; CHAR(10) &amp; "Max " &amp; 'Profit &amp; Loss'!I751*6 &amp; " pax," &amp; " (" &amp; 'Profit &amp; Loss'!I751 &amp; " courts)" &amp; CHAR(10) &amp; CHAR(10) &amp; "RSL Ultimate shuttles provided" &amp; CHAR(10) &amp; CHAR(10) &amp; "PM if interested, thank you!"," ")</f>
        <v xml:space="preserve"> </v>
      </c>
      <c r="B748" s="2" t="str">
        <f ca="1">IF('Profit &amp; Loss'!A751&gt;=TODAY(), "Date: " &amp; TEXT('Profit &amp; Loss'!A751,"dd mmm yyy") &amp; ", " &amp; 'Profit &amp; Loss'!B751 &amp; CHAR(10) &amp; "Time: " &amp; TEXT('Profit &amp; Loss'!C751, "hh:mm AM/PM") &amp; " - " &amp; TEXT('Profit &amp; Loss'!D751, "hh:mm AM/PM") &amp; CHAR(10) &amp; "Venue: " &amp; 'Profit &amp; Loss'!E751 &amp; CHAR(10) &amp; "Court No.: " &amp; 'Profit &amp; Loss'!F751 &amp; CHAR(10) &amp; "Level: HB - LI" &amp; CHAR(10) &amp; "Please transfer $" &amp; 'Profit &amp; Loss'!O751 &amp; " per pax to Belle (83396501)" &amp; CHAR(10) &amp; CHAR(10) &amp; IF('Profit &amp; Loss'!I751=1, "1." &amp; CHAR(10) &amp; "2." &amp; CHAR(10) &amp; "3." &amp; CHAR(10) &amp; "4." &amp; CHAR(10) &amp; "5." &amp; CHAR(10) &amp; "6." &amp; CHAR(10), IF('Profit &amp; Loss'!I751=2,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49" spans="1:2" ht="12.5" x14ac:dyDescent="0.25">
      <c r="A749" s="2" t="str">
        <f ca="1">IF('Profit &amp; Loss'!A752&gt;=TODAY(),"Looking for friendly players to join the following game: " &amp; CHAR(10) &amp; CHAR(10) &amp; "Date: " &amp; TEXT('Profit &amp; Loss'!A752,"dd mmm yyy") &amp; ", " &amp; 'Profit &amp; Loss'!B752 &amp; CHAR(10) &amp; "Time: " &amp; TEXT('Profit &amp; Loss'!C752, "hh:mm AM/PM") &amp; " - " &amp; TEXT('Profit &amp; Loss'!D752, "hh:mm AM/PM") &amp; CHAR(10) &amp; "Venue: " &amp; 'Profit &amp; Loss'!E752 &amp; CHAR(10) &amp; "Level: HB - LI" &amp; CHAR(10) &amp; "Cost: $" &amp; 'Profit &amp; Loss'!O752 &amp; " per pax" &amp; CHAR(10) &amp; "Max " &amp; 'Profit &amp; Loss'!I752*6 &amp; " pax," &amp; " (" &amp; 'Profit &amp; Loss'!I752 &amp; " courts)" &amp; CHAR(10) &amp; CHAR(10) &amp; "RSL Ultimate shuttles provided" &amp; CHAR(10) &amp; CHAR(10) &amp; "PM if interested, thank you!"," ")</f>
        <v xml:space="preserve"> </v>
      </c>
      <c r="B749" s="2" t="str">
        <f ca="1">IF('Profit &amp; Loss'!A752&gt;=TODAY(), "Date: " &amp; TEXT('Profit &amp; Loss'!A752,"dd mmm yyy") &amp; ", " &amp; 'Profit &amp; Loss'!B752 &amp; CHAR(10) &amp; "Time: " &amp; TEXT('Profit &amp; Loss'!C752, "hh:mm AM/PM") &amp; " - " &amp; TEXT('Profit &amp; Loss'!D752, "hh:mm AM/PM") &amp; CHAR(10) &amp; "Venue: " &amp; 'Profit &amp; Loss'!E752 &amp; CHAR(10) &amp; "Court No.: " &amp; 'Profit &amp; Loss'!F752 &amp; CHAR(10) &amp; "Level: HB - LI" &amp; CHAR(10) &amp; "Please transfer $" &amp; 'Profit &amp; Loss'!O752 &amp; " per pax to Belle (83396501)" &amp; CHAR(10) &amp; CHAR(10) &amp; IF('Profit &amp; Loss'!I752=1, "1." &amp; CHAR(10) &amp; "2." &amp; CHAR(10) &amp; "3." &amp; CHAR(10) &amp; "4." &amp; CHAR(10) &amp; "5." &amp; CHAR(10) &amp; "6." &amp; CHAR(10), IF('Profit &amp; Loss'!I752=2,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0" spans="1:2" ht="12.5" x14ac:dyDescent="0.25">
      <c r="A750" s="2" t="str">
        <f ca="1">IF('Profit &amp; Loss'!A753&gt;=TODAY(),"Looking for friendly players to join the following game: " &amp; CHAR(10) &amp; CHAR(10) &amp; "Date: " &amp; TEXT('Profit &amp; Loss'!A753,"dd mmm yyy") &amp; ", " &amp; 'Profit &amp; Loss'!B753 &amp; CHAR(10) &amp; "Time: " &amp; TEXT('Profit &amp; Loss'!C753, "hh:mm AM/PM") &amp; " - " &amp; TEXT('Profit &amp; Loss'!D753, "hh:mm AM/PM") &amp; CHAR(10) &amp; "Venue: " &amp; 'Profit &amp; Loss'!E753 &amp; CHAR(10) &amp; "Level: HB - LI" &amp; CHAR(10) &amp; "Cost: $" &amp; 'Profit &amp; Loss'!O753 &amp; " per pax" &amp; CHAR(10) &amp; "Max " &amp; 'Profit &amp; Loss'!I753*6 &amp; " pax," &amp; " (" &amp; 'Profit &amp; Loss'!I753 &amp; " courts)" &amp; CHAR(10) &amp; CHAR(10) &amp; "RSL Ultimate shuttles provided" &amp; CHAR(10) &amp; CHAR(10) &amp; "PM if interested, thank you!"," ")</f>
        <v xml:space="preserve"> </v>
      </c>
      <c r="B750" s="2" t="str">
        <f ca="1">IF('Profit &amp; Loss'!A753&gt;=TODAY(), "Date: " &amp; TEXT('Profit &amp; Loss'!A753,"dd mmm yyy") &amp; ", " &amp; 'Profit &amp; Loss'!B753 &amp; CHAR(10) &amp; "Time: " &amp; TEXT('Profit &amp; Loss'!C753, "hh:mm AM/PM") &amp; " - " &amp; TEXT('Profit &amp; Loss'!D753, "hh:mm AM/PM") &amp; CHAR(10) &amp; "Venue: " &amp; 'Profit &amp; Loss'!E753 &amp; CHAR(10) &amp; "Court No.: " &amp; 'Profit &amp; Loss'!F753 &amp; CHAR(10) &amp; "Level: HB - LI" &amp; CHAR(10) &amp; "Please transfer $" &amp; 'Profit &amp; Loss'!O753 &amp; " per pax to Belle (83396501)" &amp; CHAR(10) &amp; CHAR(10) &amp; IF('Profit &amp; Loss'!I753=1, "1." &amp; CHAR(10) &amp; "2." &amp; CHAR(10) &amp; "3." &amp; CHAR(10) &amp; "4." &amp; CHAR(10) &amp; "5." &amp; CHAR(10) &amp; "6." &amp; CHAR(10), IF('Profit &amp; Loss'!I753=2,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1" spans="1:2" ht="12.5" x14ac:dyDescent="0.25">
      <c r="A751" s="2" t="str">
        <f ca="1">IF('Profit &amp; Loss'!A754&gt;=TODAY(),"Looking for friendly players to join the following game: " &amp; CHAR(10) &amp; CHAR(10) &amp; "Date: " &amp; TEXT('Profit &amp; Loss'!A754,"dd mmm yyy") &amp; ", " &amp; 'Profit &amp; Loss'!B754 &amp; CHAR(10) &amp; "Time: " &amp; TEXT('Profit &amp; Loss'!C754, "hh:mm AM/PM") &amp; " - " &amp; TEXT('Profit &amp; Loss'!D754, "hh:mm AM/PM") &amp; CHAR(10) &amp; "Venue: " &amp; 'Profit &amp; Loss'!E754 &amp; CHAR(10) &amp; "Level: HB - LI" &amp; CHAR(10) &amp; "Cost: $" &amp; 'Profit &amp; Loss'!O754 &amp; " per pax" &amp; CHAR(10) &amp; "Max " &amp; 'Profit &amp; Loss'!I754*6 &amp; " pax," &amp; " (" &amp; 'Profit &amp; Loss'!I754 &amp; " courts)" &amp; CHAR(10) &amp; CHAR(10) &amp; "RSL Ultimate shuttles provided" &amp; CHAR(10) &amp; CHAR(10) &amp; "PM if interested, thank you!"," ")</f>
        <v xml:space="preserve"> </v>
      </c>
      <c r="B751" s="2" t="str">
        <f ca="1">IF('Profit &amp; Loss'!A754&gt;=TODAY(), "Date: " &amp; TEXT('Profit &amp; Loss'!A754,"dd mmm yyy") &amp; ", " &amp; 'Profit &amp; Loss'!B754 &amp; CHAR(10) &amp; "Time: " &amp; TEXT('Profit &amp; Loss'!C754, "hh:mm AM/PM") &amp; " - " &amp; TEXT('Profit &amp; Loss'!D754, "hh:mm AM/PM") &amp; CHAR(10) &amp; "Venue: " &amp; 'Profit &amp; Loss'!E754 &amp; CHAR(10) &amp; "Court No.: " &amp; 'Profit &amp; Loss'!F754 &amp; CHAR(10) &amp; "Level: HB - LI" &amp; CHAR(10) &amp; "Please transfer $" &amp; 'Profit &amp; Loss'!O754 &amp; " per pax to Belle (83396501)" &amp; CHAR(10) &amp; CHAR(10) &amp; IF('Profit &amp; Loss'!I754=1, "1." &amp; CHAR(10) &amp; "2." &amp; CHAR(10) &amp; "3." &amp; CHAR(10) &amp; "4." &amp; CHAR(10) &amp; "5." &amp; CHAR(10) &amp; "6." &amp; CHAR(10), IF('Profit &amp; Loss'!I754=2,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2" spans="1:2" ht="12.5" x14ac:dyDescent="0.25">
      <c r="A752" s="2" t="str">
        <f ca="1">IF('Profit &amp; Loss'!A755&gt;=TODAY(),"Looking for friendly players to join the following game: " &amp; CHAR(10) &amp; CHAR(10) &amp; "Date: " &amp; TEXT('Profit &amp; Loss'!A755,"dd mmm yyy") &amp; ", " &amp; 'Profit &amp; Loss'!B755 &amp; CHAR(10) &amp; "Time: " &amp; TEXT('Profit &amp; Loss'!C755, "hh:mm AM/PM") &amp; " - " &amp; TEXT('Profit &amp; Loss'!D755, "hh:mm AM/PM") &amp; CHAR(10) &amp; "Venue: " &amp; 'Profit &amp; Loss'!E755 &amp; CHAR(10) &amp; "Level: HB - LI" &amp; CHAR(10) &amp; "Cost: $" &amp; 'Profit &amp; Loss'!O755 &amp; " per pax" &amp; CHAR(10) &amp; "Max " &amp; 'Profit &amp; Loss'!I755*6 &amp; " pax," &amp; " (" &amp; 'Profit &amp; Loss'!I755 &amp; " courts)" &amp; CHAR(10) &amp; CHAR(10) &amp; "RSL Ultimate shuttles provided" &amp; CHAR(10) &amp; CHAR(10) &amp; "PM if interested, thank you!"," ")</f>
        <v xml:space="preserve"> </v>
      </c>
      <c r="B752" s="2" t="str">
        <f ca="1">IF('Profit &amp; Loss'!A755&gt;=TODAY(), "Date: " &amp; TEXT('Profit &amp; Loss'!A755,"dd mmm yyy") &amp; ", " &amp; 'Profit &amp; Loss'!B755 &amp; CHAR(10) &amp; "Time: " &amp; TEXT('Profit &amp; Loss'!C755, "hh:mm AM/PM") &amp; " - " &amp; TEXT('Profit &amp; Loss'!D755, "hh:mm AM/PM") &amp; CHAR(10) &amp; "Venue: " &amp; 'Profit &amp; Loss'!E755 &amp; CHAR(10) &amp; "Court No.: " &amp; 'Profit &amp; Loss'!F755 &amp; CHAR(10) &amp; "Level: HB - LI" &amp; CHAR(10) &amp; "Please transfer $" &amp; 'Profit &amp; Loss'!O755 &amp; " per pax to Belle (83396501)" &amp; CHAR(10) &amp; CHAR(10) &amp; IF('Profit &amp; Loss'!I755=1, "1." &amp; CHAR(10) &amp; "2." &amp; CHAR(10) &amp; "3." &amp; CHAR(10) &amp; "4." &amp; CHAR(10) &amp; "5." &amp; CHAR(10) &amp; "6." &amp; CHAR(10), IF('Profit &amp; Loss'!I755=2,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3" spans="1:2" ht="12.5" x14ac:dyDescent="0.25">
      <c r="A753" s="2" t="str">
        <f ca="1">IF('Profit &amp; Loss'!A756&gt;=TODAY(),"Looking for friendly players to join the following game: " &amp; CHAR(10) &amp; CHAR(10) &amp; "Date: " &amp; TEXT('Profit &amp; Loss'!A756,"dd mmm yyy") &amp; ", " &amp; 'Profit &amp; Loss'!B756 &amp; CHAR(10) &amp; "Time: " &amp; TEXT('Profit &amp; Loss'!C756, "hh:mm AM/PM") &amp; " - " &amp; TEXT('Profit &amp; Loss'!D756, "hh:mm AM/PM") &amp; CHAR(10) &amp; "Venue: " &amp; 'Profit &amp; Loss'!E756 &amp; CHAR(10) &amp; "Level: HB - LI" &amp; CHAR(10) &amp; "Cost: $" &amp; 'Profit &amp; Loss'!O756 &amp; " per pax" &amp; CHAR(10) &amp; "Max " &amp; 'Profit &amp; Loss'!I756*6 &amp; " pax," &amp; " (" &amp; 'Profit &amp; Loss'!I756 &amp; " courts)" &amp; CHAR(10) &amp; CHAR(10) &amp; "RSL Ultimate shuttles provided" &amp; CHAR(10) &amp; CHAR(10) &amp; "PM if interested, thank you!"," ")</f>
        <v xml:space="preserve"> </v>
      </c>
      <c r="B753" s="2" t="str">
        <f ca="1">IF('Profit &amp; Loss'!A756&gt;=TODAY(), "Date: " &amp; TEXT('Profit &amp; Loss'!A756,"dd mmm yyy") &amp; ", " &amp; 'Profit &amp; Loss'!B756 &amp; CHAR(10) &amp; "Time: " &amp; TEXT('Profit &amp; Loss'!C756, "hh:mm AM/PM") &amp; " - " &amp; TEXT('Profit &amp; Loss'!D756, "hh:mm AM/PM") &amp; CHAR(10) &amp; "Venue: " &amp; 'Profit &amp; Loss'!E756 &amp; CHAR(10) &amp; "Court No.: " &amp; 'Profit &amp; Loss'!F756 &amp; CHAR(10) &amp; "Level: HB - LI" &amp; CHAR(10) &amp; "Please transfer $" &amp; 'Profit &amp; Loss'!O756 &amp; " per pax to Belle (83396501)" &amp; CHAR(10) &amp; CHAR(10) &amp; IF('Profit &amp; Loss'!I756=1, "1." &amp; CHAR(10) &amp; "2." &amp; CHAR(10) &amp; "3." &amp; CHAR(10) &amp; "4." &amp; CHAR(10) &amp; "5." &amp; CHAR(10) &amp; "6." &amp; CHAR(10), IF('Profit &amp; Loss'!I756=2,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4" spans="1:2" ht="12.5" x14ac:dyDescent="0.25">
      <c r="A754" s="2" t="str">
        <f ca="1">IF('Profit &amp; Loss'!A757&gt;=TODAY(),"Looking for friendly players to join the following game: " &amp; CHAR(10) &amp; CHAR(10) &amp; "Date: " &amp; TEXT('Profit &amp; Loss'!A757,"dd mmm yyy") &amp; ", " &amp; 'Profit &amp; Loss'!B757 &amp; CHAR(10) &amp; "Time: " &amp; TEXT('Profit &amp; Loss'!C757, "hh:mm AM/PM") &amp; " - " &amp; TEXT('Profit &amp; Loss'!D757, "hh:mm AM/PM") &amp; CHAR(10) &amp; "Venue: " &amp; 'Profit &amp; Loss'!E757 &amp; CHAR(10) &amp; "Level: HB - LI" &amp; CHAR(10) &amp; "Cost: $" &amp; 'Profit &amp; Loss'!O757 &amp; " per pax" &amp; CHAR(10) &amp; "Max " &amp; 'Profit &amp; Loss'!I757*6 &amp; " pax," &amp; " (" &amp; 'Profit &amp; Loss'!I757 &amp; " courts)" &amp; CHAR(10) &amp; CHAR(10) &amp; "RSL Ultimate shuttles provided" &amp; CHAR(10) &amp; CHAR(10) &amp; "PM if interested, thank you!"," ")</f>
        <v xml:space="preserve"> </v>
      </c>
      <c r="B754" s="2" t="str">
        <f ca="1">IF('Profit &amp; Loss'!A757&gt;=TODAY(), "Date: " &amp; TEXT('Profit &amp; Loss'!A757,"dd mmm yyy") &amp; ", " &amp; 'Profit &amp; Loss'!B757 &amp; CHAR(10) &amp; "Time: " &amp; TEXT('Profit &amp; Loss'!C757, "hh:mm AM/PM") &amp; " - " &amp; TEXT('Profit &amp; Loss'!D757, "hh:mm AM/PM") &amp; CHAR(10) &amp; "Venue: " &amp; 'Profit &amp; Loss'!E757 &amp; CHAR(10) &amp; "Court No.: " &amp; 'Profit &amp; Loss'!F757 &amp; CHAR(10) &amp; "Level: HB - LI" &amp; CHAR(10) &amp; "Please transfer $" &amp; 'Profit &amp; Loss'!O757 &amp; " per pax to Belle (83396501)" &amp; CHAR(10) &amp; CHAR(10) &amp; IF('Profit &amp; Loss'!I757=1, "1." &amp; CHAR(10) &amp; "2." &amp; CHAR(10) &amp; "3." &amp; CHAR(10) &amp; "4." &amp; CHAR(10) &amp; "5." &amp; CHAR(10) &amp; "6." &amp; CHAR(10), IF('Profit &amp; Loss'!I757=2,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5" spans="1:2" ht="12.5" x14ac:dyDescent="0.25">
      <c r="A755" s="2" t="str">
        <f ca="1">IF('Profit &amp; Loss'!A758&gt;=TODAY(),"Looking for friendly players to join the following game: " &amp; CHAR(10) &amp; CHAR(10) &amp; "Date: " &amp; TEXT('Profit &amp; Loss'!A758,"dd mmm yyy") &amp; ", " &amp; 'Profit &amp; Loss'!B758 &amp; CHAR(10) &amp; "Time: " &amp; TEXT('Profit &amp; Loss'!C758, "hh:mm AM/PM") &amp; " - " &amp; TEXT('Profit &amp; Loss'!D758, "hh:mm AM/PM") &amp; CHAR(10) &amp; "Venue: " &amp; 'Profit &amp; Loss'!E758 &amp; CHAR(10) &amp; "Level: HB - LI" &amp; CHAR(10) &amp; "Cost: $" &amp; 'Profit &amp; Loss'!O758 &amp; " per pax" &amp; CHAR(10) &amp; "Max " &amp; 'Profit &amp; Loss'!I758*6 &amp; " pax," &amp; " (" &amp; 'Profit &amp; Loss'!I758 &amp; " courts)" &amp; CHAR(10) &amp; CHAR(10) &amp; "RSL Ultimate shuttles provided" &amp; CHAR(10) &amp; CHAR(10) &amp; "PM if interested, thank you!"," ")</f>
        <v xml:space="preserve"> </v>
      </c>
      <c r="B755" s="2" t="str">
        <f ca="1">IF('Profit &amp; Loss'!A758&gt;=TODAY(), "Date: " &amp; TEXT('Profit &amp; Loss'!A758,"dd mmm yyy") &amp; ", " &amp; 'Profit &amp; Loss'!B758 &amp; CHAR(10) &amp; "Time: " &amp; TEXT('Profit &amp; Loss'!C758, "hh:mm AM/PM") &amp; " - " &amp; TEXT('Profit &amp; Loss'!D758, "hh:mm AM/PM") &amp; CHAR(10) &amp; "Venue: " &amp; 'Profit &amp; Loss'!E758 &amp; CHAR(10) &amp; "Court No.: " &amp; 'Profit &amp; Loss'!F758 &amp; CHAR(10) &amp; "Level: HB - LI" &amp; CHAR(10) &amp; "Please transfer $" &amp; 'Profit &amp; Loss'!O758 &amp; " per pax to Belle (83396501)" &amp; CHAR(10) &amp; CHAR(10) &amp; IF('Profit &amp; Loss'!I758=1, "1." &amp; CHAR(10) &amp; "2." &amp; CHAR(10) &amp; "3." &amp; CHAR(10) &amp; "4." &amp; CHAR(10) &amp; "5." &amp; CHAR(10) &amp; "6." &amp; CHAR(10), IF('Profit &amp; Loss'!I758=2,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6" spans="1:2" ht="12.5" x14ac:dyDescent="0.25">
      <c r="A756" s="2" t="str">
        <f ca="1">IF('Profit &amp; Loss'!A759&gt;=TODAY(),"Looking for friendly players to join the following game: " &amp; CHAR(10) &amp; CHAR(10) &amp; "Date: " &amp; TEXT('Profit &amp; Loss'!A759,"dd mmm yyy") &amp; ", " &amp; 'Profit &amp; Loss'!B759 &amp; CHAR(10) &amp; "Time: " &amp; TEXT('Profit &amp; Loss'!C759, "hh:mm AM/PM") &amp; " - " &amp; TEXT('Profit &amp; Loss'!D759, "hh:mm AM/PM") &amp; CHAR(10) &amp; "Venue: " &amp; 'Profit &amp; Loss'!E759 &amp; CHAR(10) &amp; "Level: HB - LI" &amp; CHAR(10) &amp; "Cost: $" &amp; 'Profit &amp; Loss'!O759 &amp; " per pax" &amp; CHAR(10) &amp; "Max " &amp; 'Profit &amp; Loss'!I759*6 &amp; " pax," &amp; " (" &amp; 'Profit &amp; Loss'!I759 &amp; " courts)" &amp; CHAR(10) &amp; CHAR(10) &amp; "RSL Ultimate shuttles provided" &amp; CHAR(10) &amp; CHAR(10) &amp; "PM if interested, thank you!"," ")</f>
        <v xml:space="preserve"> </v>
      </c>
      <c r="B756" s="2" t="str">
        <f ca="1">IF('Profit &amp; Loss'!A759&gt;=TODAY(), "Date: " &amp; TEXT('Profit &amp; Loss'!A759,"dd mmm yyy") &amp; ", " &amp; 'Profit &amp; Loss'!B759 &amp; CHAR(10) &amp; "Time: " &amp; TEXT('Profit &amp; Loss'!C759, "hh:mm AM/PM") &amp; " - " &amp; TEXT('Profit &amp; Loss'!D759, "hh:mm AM/PM") &amp; CHAR(10) &amp; "Venue: " &amp; 'Profit &amp; Loss'!E759 &amp; CHAR(10) &amp; "Court No.: " &amp; 'Profit &amp; Loss'!F759 &amp; CHAR(10) &amp; "Level: HB - LI" &amp; CHAR(10) &amp; "Please transfer $" &amp; 'Profit &amp; Loss'!O759 &amp; " per pax to Belle (83396501)" &amp; CHAR(10) &amp; CHAR(10) &amp; IF('Profit &amp; Loss'!I759=1, "1." &amp; CHAR(10) &amp; "2." &amp; CHAR(10) &amp; "3." &amp; CHAR(10) &amp; "4." &amp; CHAR(10) &amp; "5." &amp; CHAR(10) &amp; "6." &amp; CHAR(10), IF('Profit &amp; Loss'!I759=2,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7" spans="1:2" ht="12.5" x14ac:dyDescent="0.25">
      <c r="A757" s="2" t="str">
        <f ca="1">IF('Profit &amp; Loss'!A760&gt;=TODAY(),"Looking for friendly players to join the following game: " &amp; CHAR(10) &amp; CHAR(10) &amp; "Date: " &amp; TEXT('Profit &amp; Loss'!A760,"dd mmm yyy") &amp; ", " &amp; 'Profit &amp; Loss'!B760 &amp; CHAR(10) &amp; "Time: " &amp; TEXT('Profit &amp; Loss'!C760, "hh:mm AM/PM") &amp; " - " &amp; TEXT('Profit &amp; Loss'!D760, "hh:mm AM/PM") &amp; CHAR(10) &amp; "Venue: " &amp; 'Profit &amp; Loss'!E760 &amp; CHAR(10) &amp; "Level: HB - LI" &amp; CHAR(10) &amp; "Cost: $" &amp; 'Profit &amp; Loss'!O760 &amp; " per pax" &amp; CHAR(10) &amp; "Max " &amp; 'Profit &amp; Loss'!I760*6 &amp; " pax," &amp; " (" &amp; 'Profit &amp; Loss'!I760 &amp; " courts)" &amp; CHAR(10) &amp; CHAR(10) &amp; "RSL Ultimate shuttles provided" &amp; CHAR(10) &amp; CHAR(10) &amp; "PM if interested, thank you!"," ")</f>
        <v xml:space="preserve"> </v>
      </c>
      <c r="B757" s="2" t="str">
        <f ca="1">IF('Profit &amp; Loss'!A760&gt;=TODAY(), "Date: " &amp; TEXT('Profit &amp; Loss'!A760,"dd mmm yyy") &amp; ", " &amp; 'Profit &amp; Loss'!B760 &amp; CHAR(10) &amp; "Time: " &amp; TEXT('Profit &amp; Loss'!C760, "hh:mm AM/PM") &amp; " - " &amp; TEXT('Profit &amp; Loss'!D760, "hh:mm AM/PM") &amp; CHAR(10) &amp; "Venue: " &amp; 'Profit &amp; Loss'!E760 &amp; CHAR(10) &amp; "Court No.: " &amp; 'Profit &amp; Loss'!F760 &amp; CHAR(10) &amp; "Level: HB - LI" &amp; CHAR(10) &amp; "Please transfer $" &amp; 'Profit &amp; Loss'!O760 &amp; " per pax to Belle (83396501)" &amp; CHAR(10) &amp; CHAR(10) &amp; IF('Profit &amp; Loss'!I760=1, "1." &amp; CHAR(10) &amp; "2." &amp; CHAR(10) &amp; "3." &amp; CHAR(10) &amp; "4." &amp; CHAR(10) &amp; "5." &amp; CHAR(10) &amp; "6." &amp; CHAR(10), IF('Profit &amp; Loss'!I760=2,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8" spans="1:2" ht="12.5" x14ac:dyDescent="0.25">
      <c r="A758" s="2" t="str">
        <f ca="1">IF('Profit &amp; Loss'!A761&gt;=TODAY(),"Looking for friendly players to join the following game: " &amp; CHAR(10) &amp; CHAR(10) &amp; "Date: " &amp; TEXT('Profit &amp; Loss'!A761,"dd mmm yyy") &amp; ", " &amp; 'Profit &amp; Loss'!B761 &amp; CHAR(10) &amp; "Time: " &amp; TEXT('Profit &amp; Loss'!C761, "hh:mm AM/PM") &amp; " - " &amp; TEXT('Profit &amp; Loss'!D761, "hh:mm AM/PM") &amp; CHAR(10) &amp; "Venue: " &amp; 'Profit &amp; Loss'!E761 &amp; CHAR(10) &amp; "Level: HB - LI" &amp; CHAR(10) &amp; "Cost: $" &amp; 'Profit &amp; Loss'!O761 &amp; " per pax" &amp; CHAR(10) &amp; "Max " &amp; 'Profit &amp; Loss'!I761*6 &amp; " pax," &amp; " (" &amp; 'Profit &amp; Loss'!I761 &amp; " courts)" &amp; CHAR(10) &amp; CHAR(10) &amp; "RSL Ultimate shuttles provided" &amp; CHAR(10) &amp; CHAR(10) &amp; "PM if interested, thank you!"," ")</f>
        <v xml:space="preserve"> </v>
      </c>
      <c r="B758" s="2" t="str">
        <f ca="1">IF('Profit &amp; Loss'!A761&gt;=TODAY(), "Date: " &amp; TEXT('Profit &amp; Loss'!A761,"dd mmm yyy") &amp; ", " &amp; 'Profit &amp; Loss'!B761 &amp; CHAR(10) &amp; "Time: " &amp; TEXT('Profit &amp; Loss'!C761, "hh:mm AM/PM") &amp; " - " &amp; TEXT('Profit &amp; Loss'!D761, "hh:mm AM/PM") &amp; CHAR(10) &amp; "Venue: " &amp; 'Profit &amp; Loss'!E761 &amp; CHAR(10) &amp; "Court No.: " &amp; 'Profit &amp; Loss'!F761 &amp; CHAR(10) &amp; "Level: HB - LI" &amp; CHAR(10) &amp; "Please transfer $" &amp; 'Profit &amp; Loss'!O761 &amp; " per pax to Belle (83396501)" &amp; CHAR(10) &amp; CHAR(10) &amp; IF('Profit &amp; Loss'!I761=1, "1." &amp; CHAR(10) &amp; "2." &amp; CHAR(10) &amp; "3." &amp; CHAR(10) &amp; "4." &amp; CHAR(10) &amp; "5." &amp; CHAR(10) &amp; "6." &amp; CHAR(10), IF('Profit &amp; Loss'!I761=2,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59" spans="1:2" ht="12.5" x14ac:dyDescent="0.25">
      <c r="A759" s="2" t="str">
        <f ca="1">IF('Profit &amp; Loss'!A762&gt;=TODAY(),"Looking for friendly players to join the following game: " &amp; CHAR(10) &amp; CHAR(10) &amp; "Date: " &amp; TEXT('Profit &amp; Loss'!A762,"dd mmm yyy") &amp; ", " &amp; 'Profit &amp; Loss'!B762 &amp; CHAR(10) &amp; "Time: " &amp; TEXT('Profit &amp; Loss'!C762, "hh:mm AM/PM") &amp; " - " &amp; TEXT('Profit &amp; Loss'!D762, "hh:mm AM/PM") &amp; CHAR(10) &amp; "Venue: " &amp; 'Profit &amp; Loss'!E762 &amp; CHAR(10) &amp; "Level: HB - LI" &amp; CHAR(10) &amp; "Cost: $" &amp; 'Profit &amp; Loss'!O762 &amp; " per pax" &amp; CHAR(10) &amp; "Max " &amp; 'Profit &amp; Loss'!I762*6 &amp; " pax," &amp; " (" &amp; 'Profit &amp; Loss'!I762 &amp; " courts)" &amp; CHAR(10) &amp; CHAR(10) &amp; "RSL Ultimate shuttles provided" &amp; CHAR(10) &amp; CHAR(10) &amp; "PM if interested, thank you!"," ")</f>
        <v xml:space="preserve"> </v>
      </c>
      <c r="B759" s="2" t="str">
        <f ca="1">IF('Profit &amp; Loss'!A762&gt;=TODAY(), "Date: " &amp; TEXT('Profit &amp; Loss'!A762,"dd mmm yyy") &amp; ", " &amp; 'Profit &amp; Loss'!B762 &amp; CHAR(10) &amp; "Time: " &amp; TEXT('Profit &amp; Loss'!C762, "hh:mm AM/PM") &amp; " - " &amp; TEXT('Profit &amp; Loss'!D762, "hh:mm AM/PM") &amp; CHAR(10) &amp; "Venue: " &amp; 'Profit &amp; Loss'!E762 &amp; CHAR(10) &amp; "Court No.: " &amp; 'Profit &amp; Loss'!F762 &amp; CHAR(10) &amp; "Level: HB - LI" &amp; CHAR(10) &amp; "Please transfer $" &amp; 'Profit &amp; Loss'!O762 &amp; " per pax to Belle (83396501)" &amp; CHAR(10) &amp; CHAR(10) &amp; IF('Profit &amp; Loss'!I762=1, "1." &amp; CHAR(10) &amp; "2." &amp; CHAR(10) &amp; "3." &amp; CHAR(10) &amp; "4." &amp; CHAR(10) &amp; "5." &amp; CHAR(10) &amp; "6." &amp; CHAR(10), IF('Profit &amp; Loss'!I762=2,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0" spans="1:2" ht="12.5" x14ac:dyDescent="0.25">
      <c r="A760" s="2" t="str">
        <f ca="1">IF('Profit &amp; Loss'!A763&gt;=TODAY(),"Looking for friendly players to join the following game: " &amp; CHAR(10) &amp; CHAR(10) &amp; "Date: " &amp; TEXT('Profit &amp; Loss'!A763,"dd mmm yyy") &amp; ", " &amp; 'Profit &amp; Loss'!B763 &amp; CHAR(10) &amp; "Time: " &amp; TEXT('Profit &amp; Loss'!C763, "hh:mm AM/PM") &amp; " - " &amp; TEXT('Profit &amp; Loss'!D763, "hh:mm AM/PM") &amp; CHAR(10) &amp; "Venue: " &amp; 'Profit &amp; Loss'!E763 &amp; CHAR(10) &amp; "Level: HB - LI" &amp; CHAR(10) &amp; "Cost: $" &amp; 'Profit &amp; Loss'!O763 &amp; " per pax" &amp; CHAR(10) &amp; "Max " &amp; 'Profit &amp; Loss'!I763*6 &amp; " pax," &amp; " (" &amp; 'Profit &amp; Loss'!I763 &amp; " courts)" &amp; CHAR(10) &amp; CHAR(10) &amp; "RSL Ultimate shuttles provided" &amp; CHAR(10) &amp; CHAR(10) &amp; "PM if interested, thank you!"," ")</f>
        <v xml:space="preserve"> </v>
      </c>
      <c r="B760" s="2" t="str">
        <f ca="1">IF('Profit &amp; Loss'!A763&gt;=TODAY(), "Date: " &amp; TEXT('Profit &amp; Loss'!A763,"dd mmm yyy") &amp; ", " &amp; 'Profit &amp; Loss'!B763 &amp; CHAR(10) &amp; "Time: " &amp; TEXT('Profit &amp; Loss'!C763, "hh:mm AM/PM") &amp; " - " &amp; TEXT('Profit &amp; Loss'!D763, "hh:mm AM/PM") &amp; CHAR(10) &amp; "Venue: " &amp; 'Profit &amp; Loss'!E763 &amp; CHAR(10) &amp; "Court No.: " &amp; 'Profit &amp; Loss'!F763 &amp; CHAR(10) &amp; "Level: HB - LI" &amp; CHAR(10) &amp; "Please transfer $" &amp; 'Profit &amp; Loss'!O763 &amp; " per pax to Belle (83396501)" &amp; CHAR(10) &amp; CHAR(10) &amp; IF('Profit &amp; Loss'!I763=1, "1." &amp; CHAR(10) &amp; "2." &amp; CHAR(10) &amp; "3." &amp; CHAR(10) &amp; "4." &amp; CHAR(10) &amp; "5." &amp; CHAR(10) &amp; "6." &amp; CHAR(10), IF('Profit &amp; Loss'!I763=2,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1" spans="1:2" ht="12.5" x14ac:dyDescent="0.25">
      <c r="A761" s="2" t="str">
        <f ca="1">IF('Profit &amp; Loss'!A764&gt;=TODAY(),"Looking for friendly players to join the following game: " &amp; CHAR(10) &amp; CHAR(10) &amp; "Date: " &amp; TEXT('Profit &amp; Loss'!A764,"dd mmm yyy") &amp; ", " &amp; 'Profit &amp; Loss'!B764 &amp; CHAR(10) &amp; "Time: " &amp; TEXT('Profit &amp; Loss'!C764, "hh:mm AM/PM") &amp; " - " &amp; TEXT('Profit &amp; Loss'!D764, "hh:mm AM/PM") &amp; CHAR(10) &amp; "Venue: " &amp; 'Profit &amp; Loss'!E764 &amp; CHAR(10) &amp; "Level: HB - LI" &amp; CHAR(10) &amp; "Cost: $" &amp; 'Profit &amp; Loss'!O764 &amp; " per pax" &amp; CHAR(10) &amp; "Max " &amp; 'Profit &amp; Loss'!I764*6 &amp; " pax," &amp; " (" &amp; 'Profit &amp; Loss'!I764 &amp; " courts)" &amp; CHAR(10) &amp; CHAR(10) &amp; "RSL Ultimate shuttles provided" &amp; CHAR(10) &amp; CHAR(10) &amp; "PM if interested, thank you!"," ")</f>
        <v xml:space="preserve"> </v>
      </c>
      <c r="B761" s="2" t="str">
        <f ca="1">IF('Profit &amp; Loss'!A764&gt;=TODAY(), "Date: " &amp; TEXT('Profit &amp; Loss'!A764,"dd mmm yyy") &amp; ", " &amp; 'Profit &amp; Loss'!B764 &amp; CHAR(10) &amp; "Time: " &amp; TEXT('Profit &amp; Loss'!C764, "hh:mm AM/PM") &amp; " - " &amp; TEXT('Profit &amp; Loss'!D764, "hh:mm AM/PM") &amp; CHAR(10) &amp; "Venue: " &amp; 'Profit &amp; Loss'!E764 &amp; CHAR(10) &amp; "Court No.: " &amp; 'Profit &amp; Loss'!F764 &amp; CHAR(10) &amp; "Level: HB - LI" &amp; CHAR(10) &amp; "Please transfer $" &amp; 'Profit &amp; Loss'!O764 &amp; " per pax to Belle (83396501)" &amp; CHAR(10) &amp; CHAR(10) &amp; IF('Profit &amp; Loss'!I764=1, "1." &amp; CHAR(10) &amp; "2." &amp; CHAR(10) &amp; "3." &amp; CHAR(10) &amp; "4." &amp; CHAR(10) &amp; "5." &amp; CHAR(10) &amp; "6." &amp; CHAR(10), IF('Profit &amp; Loss'!I764=2,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2" spans="1:2" ht="12.5" x14ac:dyDescent="0.25">
      <c r="A762" s="2" t="str">
        <f ca="1">IF('Profit &amp; Loss'!A765&gt;=TODAY(),"Looking for friendly players to join the following game: " &amp; CHAR(10) &amp; CHAR(10) &amp; "Date: " &amp; TEXT('Profit &amp; Loss'!A765,"dd mmm yyy") &amp; ", " &amp; 'Profit &amp; Loss'!B765 &amp; CHAR(10) &amp; "Time: " &amp; TEXT('Profit &amp; Loss'!C765, "hh:mm AM/PM") &amp; " - " &amp; TEXT('Profit &amp; Loss'!D765, "hh:mm AM/PM") &amp; CHAR(10) &amp; "Venue: " &amp; 'Profit &amp; Loss'!E765 &amp; CHAR(10) &amp; "Level: HB - LI" &amp; CHAR(10) &amp; "Cost: $" &amp; 'Profit &amp; Loss'!O765 &amp; " per pax" &amp; CHAR(10) &amp; "Max " &amp; 'Profit &amp; Loss'!I765*6 &amp; " pax," &amp; " (" &amp; 'Profit &amp; Loss'!I765 &amp; " courts)" &amp; CHAR(10) &amp; CHAR(10) &amp; "RSL Ultimate shuttles provided" &amp; CHAR(10) &amp; CHAR(10) &amp; "PM if interested, thank you!"," ")</f>
        <v xml:space="preserve"> </v>
      </c>
      <c r="B762" s="2" t="str">
        <f ca="1">IF('Profit &amp; Loss'!A765&gt;=TODAY(), "Date: " &amp; TEXT('Profit &amp; Loss'!A765,"dd mmm yyy") &amp; ", " &amp; 'Profit &amp; Loss'!B765 &amp; CHAR(10) &amp; "Time: " &amp; TEXT('Profit &amp; Loss'!C765, "hh:mm AM/PM") &amp; " - " &amp; TEXT('Profit &amp; Loss'!D765, "hh:mm AM/PM") &amp; CHAR(10) &amp; "Venue: " &amp; 'Profit &amp; Loss'!E765 &amp; CHAR(10) &amp; "Court No.: " &amp; 'Profit &amp; Loss'!F765 &amp; CHAR(10) &amp; "Level: HB - LI" &amp; CHAR(10) &amp; "Please transfer $" &amp; 'Profit &amp; Loss'!O765 &amp; " per pax to Belle (83396501)" &amp; CHAR(10) &amp; CHAR(10) &amp; IF('Profit &amp; Loss'!I765=1, "1." &amp; CHAR(10) &amp; "2." &amp; CHAR(10) &amp; "3." &amp; CHAR(10) &amp; "4." &amp; CHAR(10) &amp; "5." &amp; CHAR(10) &amp; "6." &amp; CHAR(10), IF('Profit &amp; Loss'!I765=2,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3" spans="1:2" ht="12.5" x14ac:dyDescent="0.25">
      <c r="A763" s="2" t="str">
        <f ca="1">IF('Profit &amp; Loss'!A766&gt;=TODAY(),"Looking for friendly players to join the following game: " &amp; CHAR(10) &amp; CHAR(10) &amp; "Date: " &amp; TEXT('Profit &amp; Loss'!A766,"dd mmm yyy") &amp; ", " &amp; 'Profit &amp; Loss'!B766 &amp; CHAR(10) &amp; "Time: " &amp; TEXT('Profit &amp; Loss'!C766, "hh:mm AM/PM") &amp; " - " &amp; TEXT('Profit &amp; Loss'!D766, "hh:mm AM/PM") &amp; CHAR(10) &amp; "Venue: " &amp; 'Profit &amp; Loss'!E766 &amp; CHAR(10) &amp; "Level: HB - LI" &amp; CHAR(10) &amp; "Cost: $" &amp; 'Profit &amp; Loss'!O766 &amp; " per pax" &amp; CHAR(10) &amp; "Max " &amp; 'Profit &amp; Loss'!I766*6 &amp; " pax," &amp; " (" &amp; 'Profit &amp; Loss'!I766 &amp; " courts)" &amp; CHAR(10) &amp; CHAR(10) &amp; "RSL Ultimate shuttles provided" &amp; CHAR(10) &amp; CHAR(10) &amp; "PM if interested, thank you!"," ")</f>
        <v xml:space="preserve"> </v>
      </c>
      <c r="B763" s="2" t="str">
        <f ca="1">IF('Profit &amp; Loss'!A766&gt;=TODAY(), "Date: " &amp; TEXT('Profit &amp; Loss'!A766,"dd mmm yyy") &amp; ", " &amp; 'Profit &amp; Loss'!B766 &amp; CHAR(10) &amp; "Time: " &amp; TEXT('Profit &amp; Loss'!C766, "hh:mm AM/PM") &amp; " - " &amp; TEXT('Profit &amp; Loss'!D766, "hh:mm AM/PM") &amp; CHAR(10) &amp; "Venue: " &amp; 'Profit &amp; Loss'!E766 &amp; CHAR(10) &amp; "Court No.: " &amp; 'Profit &amp; Loss'!F766 &amp; CHAR(10) &amp; "Level: HB - LI" &amp; CHAR(10) &amp; "Please transfer $" &amp; 'Profit &amp; Loss'!O766 &amp; " per pax to Belle (83396501)" &amp; CHAR(10) &amp; CHAR(10) &amp; IF('Profit &amp; Loss'!I766=1, "1." &amp; CHAR(10) &amp; "2." &amp; CHAR(10) &amp; "3." &amp; CHAR(10) &amp; "4." &amp; CHAR(10) &amp; "5." &amp; CHAR(10) &amp; "6." &amp; CHAR(10), IF('Profit &amp; Loss'!I766=2,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4" spans="1:2" ht="12.5" x14ac:dyDescent="0.25">
      <c r="A764" s="2" t="str">
        <f ca="1">IF('Profit &amp; Loss'!A767&gt;=TODAY(),"Looking for friendly players to join the following game: " &amp; CHAR(10) &amp; CHAR(10) &amp; "Date: " &amp; TEXT('Profit &amp; Loss'!A767,"dd mmm yyy") &amp; ", " &amp; 'Profit &amp; Loss'!B767 &amp; CHAR(10) &amp; "Time: " &amp; TEXT('Profit &amp; Loss'!C767, "hh:mm AM/PM") &amp; " - " &amp; TEXT('Profit &amp; Loss'!D767, "hh:mm AM/PM") &amp; CHAR(10) &amp; "Venue: " &amp; 'Profit &amp; Loss'!E767 &amp; CHAR(10) &amp; "Level: HB - LI" &amp; CHAR(10) &amp; "Cost: $" &amp; 'Profit &amp; Loss'!O767 &amp; " per pax" &amp; CHAR(10) &amp; "Max " &amp; 'Profit &amp; Loss'!I767*6 &amp; " pax," &amp; " (" &amp; 'Profit &amp; Loss'!I767 &amp; " courts)" &amp; CHAR(10) &amp; CHAR(10) &amp; "RSL Ultimate shuttles provided" &amp; CHAR(10) &amp; CHAR(10) &amp; "PM if interested, thank you!"," ")</f>
        <v xml:space="preserve"> </v>
      </c>
      <c r="B764" s="2" t="str">
        <f ca="1">IF('Profit &amp; Loss'!A767&gt;=TODAY(), "Date: " &amp; TEXT('Profit &amp; Loss'!A767,"dd mmm yyy") &amp; ", " &amp; 'Profit &amp; Loss'!B767 &amp; CHAR(10) &amp; "Time: " &amp; TEXT('Profit &amp; Loss'!C767, "hh:mm AM/PM") &amp; " - " &amp; TEXT('Profit &amp; Loss'!D767, "hh:mm AM/PM") &amp; CHAR(10) &amp; "Venue: " &amp; 'Profit &amp; Loss'!E767 &amp; CHAR(10) &amp; "Court No.: " &amp; 'Profit &amp; Loss'!F767 &amp; CHAR(10) &amp; "Level: HB - LI" &amp; CHAR(10) &amp; "Please transfer $" &amp; 'Profit &amp; Loss'!O767 &amp; " per pax to Belle (83396501)" &amp; CHAR(10) &amp; CHAR(10) &amp; IF('Profit &amp; Loss'!I767=1, "1." &amp; CHAR(10) &amp; "2." &amp; CHAR(10) &amp; "3." &amp; CHAR(10) &amp; "4." &amp; CHAR(10) &amp; "5." &amp; CHAR(10) &amp; "6." &amp; CHAR(10), IF('Profit &amp; Loss'!I767=2,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5" spans="1:2" ht="12.5" x14ac:dyDescent="0.25">
      <c r="A765" s="2" t="str">
        <f ca="1">IF('Profit &amp; Loss'!A768&gt;=TODAY(),"Looking for friendly players to join the following game: " &amp; CHAR(10) &amp; CHAR(10) &amp; "Date: " &amp; TEXT('Profit &amp; Loss'!A768,"dd mmm yyy") &amp; ", " &amp; 'Profit &amp; Loss'!B768 &amp; CHAR(10) &amp; "Time: " &amp; TEXT('Profit &amp; Loss'!C768, "hh:mm AM/PM") &amp; " - " &amp; TEXT('Profit &amp; Loss'!D768, "hh:mm AM/PM") &amp; CHAR(10) &amp; "Venue: " &amp; 'Profit &amp; Loss'!E768 &amp; CHAR(10) &amp; "Level: HB - LI" &amp; CHAR(10) &amp; "Cost: $" &amp; 'Profit &amp; Loss'!O768 &amp; " per pax" &amp; CHAR(10) &amp; "Max " &amp; 'Profit &amp; Loss'!I768*6 &amp; " pax," &amp; " (" &amp; 'Profit &amp; Loss'!I768 &amp; " courts)" &amp; CHAR(10) &amp; CHAR(10) &amp; "RSL Ultimate shuttles provided" &amp; CHAR(10) &amp; CHAR(10) &amp; "PM if interested, thank you!"," ")</f>
        <v xml:space="preserve"> </v>
      </c>
      <c r="B765" s="2" t="str">
        <f ca="1">IF('Profit &amp; Loss'!A768&gt;=TODAY(), "Date: " &amp; TEXT('Profit &amp; Loss'!A768,"dd mmm yyy") &amp; ", " &amp; 'Profit &amp; Loss'!B768 &amp; CHAR(10) &amp; "Time: " &amp; TEXT('Profit &amp; Loss'!C768, "hh:mm AM/PM") &amp; " - " &amp; TEXT('Profit &amp; Loss'!D768, "hh:mm AM/PM") &amp; CHAR(10) &amp; "Venue: " &amp; 'Profit &amp; Loss'!E768 &amp; CHAR(10) &amp; "Court No.: " &amp; 'Profit &amp; Loss'!F768 &amp; CHAR(10) &amp; "Level: HB - LI" &amp; CHAR(10) &amp; "Please transfer $" &amp; 'Profit &amp; Loss'!O768 &amp; " per pax to Belle (83396501)" &amp; CHAR(10) &amp; CHAR(10) &amp; IF('Profit &amp; Loss'!I768=1, "1." &amp; CHAR(10) &amp; "2." &amp; CHAR(10) &amp; "3." &amp; CHAR(10) &amp; "4." &amp; CHAR(10) &amp; "5." &amp; CHAR(10) &amp; "6." &amp; CHAR(10), IF('Profit &amp; Loss'!I768=2,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6" spans="1:2" ht="12.5" x14ac:dyDescent="0.25">
      <c r="A766" s="2" t="str">
        <f ca="1">IF('Profit &amp; Loss'!A769&gt;=TODAY(),"Looking for friendly players to join the following game: " &amp; CHAR(10) &amp; CHAR(10) &amp; "Date: " &amp; TEXT('Profit &amp; Loss'!A769,"dd mmm yyy") &amp; ", " &amp; 'Profit &amp; Loss'!B769 &amp; CHAR(10) &amp; "Time: " &amp; TEXT('Profit &amp; Loss'!C769, "hh:mm AM/PM") &amp; " - " &amp; TEXT('Profit &amp; Loss'!D769, "hh:mm AM/PM") &amp; CHAR(10) &amp; "Venue: " &amp; 'Profit &amp; Loss'!E769 &amp; CHAR(10) &amp; "Level: HB - LI" &amp; CHAR(10) &amp; "Cost: $" &amp; 'Profit &amp; Loss'!O769 &amp; " per pax" &amp; CHAR(10) &amp; "Max " &amp; 'Profit &amp; Loss'!I769*6 &amp; " pax," &amp; " (" &amp; 'Profit &amp; Loss'!I769 &amp; " courts)" &amp; CHAR(10) &amp; CHAR(10) &amp; "RSL Ultimate shuttles provided" &amp; CHAR(10) &amp; CHAR(10) &amp; "PM if interested, thank you!"," ")</f>
        <v xml:space="preserve"> </v>
      </c>
      <c r="B766" s="2" t="str">
        <f ca="1">IF('Profit &amp; Loss'!A769&gt;=TODAY(), "Date: " &amp; TEXT('Profit &amp; Loss'!A769,"dd mmm yyy") &amp; ", " &amp; 'Profit &amp; Loss'!B769 &amp; CHAR(10) &amp; "Time: " &amp; TEXT('Profit &amp; Loss'!C769, "hh:mm AM/PM") &amp; " - " &amp; TEXT('Profit &amp; Loss'!D769, "hh:mm AM/PM") &amp; CHAR(10) &amp; "Venue: " &amp; 'Profit &amp; Loss'!E769 &amp; CHAR(10) &amp; "Court No.: " &amp; 'Profit &amp; Loss'!F769 &amp; CHAR(10) &amp; "Level: HB - LI" &amp; CHAR(10) &amp; "Please transfer $" &amp; 'Profit &amp; Loss'!O769 &amp; " per pax to Belle (83396501)" &amp; CHAR(10) &amp; CHAR(10) &amp; IF('Profit &amp; Loss'!I769=1, "1." &amp; CHAR(10) &amp; "2." &amp; CHAR(10) &amp; "3." &amp; CHAR(10) &amp; "4." &amp; CHAR(10) &amp; "5." &amp; CHAR(10) &amp; "6." &amp; CHAR(10), IF('Profit &amp; Loss'!I769=2,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7" spans="1:2" ht="12.5" x14ac:dyDescent="0.25">
      <c r="A767" s="2" t="str">
        <f ca="1">IF('Profit &amp; Loss'!A770&gt;=TODAY(),"Looking for friendly players to join the following game: " &amp; CHAR(10) &amp; CHAR(10) &amp; "Date: " &amp; TEXT('Profit &amp; Loss'!A770,"dd mmm yyy") &amp; ", " &amp; 'Profit &amp; Loss'!B770 &amp; CHAR(10) &amp; "Time: " &amp; TEXT('Profit &amp; Loss'!C770, "hh:mm AM/PM") &amp; " - " &amp; TEXT('Profit &amp; Loss'!D770, "hh:mm AM/PM") &amp; CHAR(10) &amp; "Venue: " &amp; 'Profit &amp; Loss'!E770 &amp; CHAR(10) &amp; "Level: HB - LI" &amp; CHAR(10) &amp; "Cost: $" &amp; 'Profit &amp; Loss'!O770 &amp; " per pax" &amp; CHAR(10) &amp; "Max " &amp; 'Profit &amp; Loss'!I770*6 &amp; " pax," &amp; " (" &amp; 'Profit &amp; Loss'!I770 &amp; " courts)" &amp; CHAR(10) &amp; CHAR(10) &amp; "RSL Ultimate shuttles provided" &amp; CHAR(10) &amp; CHAR(10) &amp; "PM if interested, thank you!"," ")</f>
        <v xml:space="preserve"> </v>
      </c>
      <c r="B767" s="2" t="str">
        <f ca="1">IF('Profit &amp; Loss'!A770&gt;=TODAY(), "Date: " &amp; TEXT('Profit &amp; Loss'!A770,"dd mmm yyy") &amp; ", " &amp; 'Profit &amp; Loss'!B770 &amp; CHAR(10) &amp; "Time: " &amp; TEXT('Profit &amp; Loss'!C770, "hh:mm AM/PM") &amp; " - " &amp; TEXT('Profit &amp; Loss'!D770, "hh:mm AM/PM") &amp; CHAR(10) &amp; "Venue: " &amp; 'Profit &amp; Loss'!E770 &amp; CHAR(10) &amp; "Court No.: " &amp; 'Profit &amp; Loss'!F770 &amp; CHAR(10) &amp; "Level: HB - LI" &amp; CHAR(10) &amp; "Please transfer $" &amp; 'Profit &amp; Loss'!O770 &amp; " per pax to Belle (83396501)" &amp; CHAR(10) &amp; CHAR(10) &amp; IF('Profit &amp; Loss'!I770=1, "1." &amp; CHAR(10) &amp; "2." &amp; CHAR(10) &amp; "3." &amp; CHAR(10) &amp; "4." &amp; CHAR(10) &amp; "5." &amp; CHAR(10) &amp; "6." &amp; CHAR(10), IF('Profit &amp; Loss'!I770=2,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8" spans="1:2" ht="12.5" x14ac:dyDescent="0.25">
      <c r="A768" s="2" t="str">
        <f ca="1">IF('Profit &amp; Loss'!A771&gt;=TODAY(),"Looking for friendly players to join the following game: " &amp; CHAR(10) &amp; CHAR(10) &amp; "Date: " &amp; TEXT('Profit &amp; Loss'!A771,"dd mmm yyy") &amp; ", " &amp; 'Profit &amp; Loss'!B771 &amp; CHAR(10) &amp; "Time: " &amp; TEXT('Profit &amp; Loss'!C771, "hh:mm AM/PM") &amp; " - " &amp; TEXT('Profit &amp; Loss'!D771, "hh:mm AM/PM") &amp; CHAR(10) &amp; "Venue: " &amp; 'Profit &amp; Loss'!E771 &amp; CHAR(10) &amp; "Level: HB - LI" &amp; CHAR(10) &amp; "Cost: $" &amp; 'Profit &amp; Loss'!O771 &amp; " per pax" &amp; CHAR(10) &amp; "Max " &amp; 'Profit &amp; Loss'!I771*6 &amp; " pax," &amp; " (" &amp; 'Profit &amp; Loss'!I771 &amp; " courts)" &amp; CHAR(10) &amp; CHAR(10) &amp; "RSL Ultimate shuttles provided" &amp; CHAR(10) &amp; CHAR(10) &amp; "PM if interested, thank you!"," ")</f>
        <v xml:space="preserve"> </v>
      </c>
      <c r="B768" s="2" t="str">
        <f ca="1">IF('Profit &amp; Loss'!A771&gt;=TODAY(), "Date: " &amp; TEXT('Profit &amp; Loss'!A771,"dd mmm yyy") &amp; ", " &amp; 'Profit &amp; Loss'!B771 &amp; CHAR(10) &amp; "Time: " &amp; TEXT('Profit &amp; Loss'!C771, "hh:mm AM/PM") &amp; " - " &amp; TEXT('Profit &amp; Loss'!D771, "hh:mm AM/PM") &amp; CHAR(10) &amp; "Venue: " &amp; 'Profit &amp; Loss'!E771 &amp; CHAR(10) &amp; "Court No.: " &amp; 'Profit &amp; Loss'!F771 &amp; CHAR(10) &amp; "Level: HB - LI" &amp; CHAR(10) &amp; "Please transfer $" &amp; 'Profit &amp; Loss'!O771 &amp; " per pax to Belle (83396501)" &amp; CHAR(10) &amp; CHAR(10) &amp; IF('Profit &amp; Loss'!I771=1, "1." &amp; CHAR(10) &amp; "2." &amp; CHAR(10) &amp; "3." &amp; CHAR(10) &amp; "4." &amp; CHAR(10) &amp; "5." &amp; CHAR(10) &amp; "6." &amp; CHAR(10), IF('Profit &amp; Loss'!I771=2,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69" spans="1:2" ht="12.5" x14ac:dyDescent="0.25">
      <c r="A769" s="2" t="str">
        <f ca="1">IF('Profit &amp; Loss'!A772&gt;=TODAY(),"Looking for friendly players to join the following game: " &amp; CHAR(10) &amp; CHAR(10) &amp; "Date: " &amp; TEXT('Profit &amp; Loss'!A772,"dd mmm yyy") &amp; ", " &amp; 'Profit &amp; Loss'!B772 &amp; CHAR(10) &amp; "Time: " &amp; TEXT('Profit &amp; Loss'!C772, "hh:mm AM/PM") &amp; " - " &amp; TEXT('Profit &amp; Loss'!D772, "hh:mm AM/PM") &amp; CHAR(10) &amp; "Venue: " &amp; 'Profit &amp; Loss'!E772 &amp; CHAR(10) &amp; "Level: HB - LI" &amp; CHAR(10) &amp; "Cost: $" &amp; 'Profit &amp; Loss'!O772 &amp; " per pax" &amp; CHAR(10) &amp; "Max " &amp; 'Profit &amp; Loss'!I772*6 &amp; " pax," &amp; " (" &amp; 'Profit &amp; Loss'!I772 &amp; " courts)" &amp; CHAR(10) &amp; CHAR(10) &amp; "RSL Ultimate shuttles provided" &amp; CHAR(10) &amp; CHAR(10) &amp; "PM if interested, thank you!"," ")</f>
        <v xml:space="preserve"> </v>
      </c>
      <c r="B769" s="2" t="str">
        <f ca="1">IF('Profit &amp; Loss'!A772&gt;=TODAY(), "Date: " &amp; TEXT('Profit &amp; Loss'!A772,"dd mmm yyy") &amp; ", " &amp; 'Profit &amp; Loss'!B772 &amp; CHAR(10) &amp; "Time: " &amp; TEXT('Profit &amp; Loss'!C772, "hh:mm AM/PM") &amp; " - " &amp; TEXT('Profit &amp; Loss'!D772, "hh:mm AM/PM") &amp; CHAR(10) &amp; "Venue: " &amp; 'Profit &amp; Loss'!E772 &amp; CHAR(10) &amp; "Court No.: " &amp; 'Profit &amp; Loss'!F772 &amp; CHAR(10) &amp; "Level: HB - LI" &amp; CHAR(10) &amp; "Please transfer $" &amp; 'Profit &amp; Loss'!O772 &amp; " per pax to Belle (83396501)" &amp; CHAR(10) &amp; CHAR(10) &amp; IF('Profit &amp; Loss'!I772=1, "1." &amp; CHAR(10) &amp; "2." &amp; CHAR(10) &amp; "3." &amp; CHAR(10) &amp; "4." &amp; CHAR(10) &amp; "5." &amp; CHAR(10) &amp; "6." &amp; CHAR(10), IF('Profit &amp; Loss'!I772=2,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0" spans="1:2" ht="12.5" x14ac:dyDescent="0.25">
      <c r="A770" s="2" t="str">
        <f ca="1">IF('Profit &amp; Loss'!A773&gt;=TODAY(),"Looking for friendly players to join the following game: " &amp; CHAR(10) &amp; CHAR(10) &amp; "Date: " &amp; TEXT('Profit &amp; Loss'!A773,"dd mmm yyy") &amp; ", " &amp; 'Profit &amp; Loss'!B773 &amp; CHAR(10) &amp; "Time: " &amp; TEXT('Profit &amp; Loss'!C773, "hh:mm AM/PM") &amp; " - " &amp; TEXT('Profit &amp; Loss'!D773, "hh:mm AM/PM") &amp; CHAR(10) &amp; "Venue: " &amp; 'Profit &amp; Loss'!E773 &amp; CHAR(10) &amp; "Level: HB - LI" &amp; CHAR(10) &amp; "Cost: $" &amp; 'Profit &amp; Loss'!O773 &amp; " per pax" &amp; CHAR(10) &amp; "Max " &amp; 'Profit &amp; Loss'!I773*6 &amp; " pax," &amp; " (" &amp; 'Profit &amp; Loss'!I773 &amp; " courts)" &amp; CHAR(10) &amp; CHAR(10) &amp; "RSL Ultimate shuttles provided" &amp; CHAR(10) &amp; CHAR(10) &amp; "PM if interested, thank you!"," ")</f>
        <v xml:space="preserve"> </v>
      </c>
      <c r="B770" s="2" t="str">
        <f ca="1">IF('Profit &amp; Loss'!A773&gt;=TODAY(), "Date: " &amp; TEXT('Profit &amp; Loss'!A773,"dd mmm yyy") &amp; ", " &amp; 'Profit &amp; Loss'!B773 &amp; CHAR(10) &amp; "Time: " &amp; TEXT('Profit &amp; Loss'!C773, "hh:mm AM/PM") &amp; " - " &amp; TEXT('Profit &amp; Loss'!D773, "hh:mm AM/PM") &amp; CHAR(10) &amp; "Venue: " &amp; 'Profit &amp; Loss'!E773 &amp; CHAR(10) &amp; "Court No.: " &amp; 'Profit &amp; Loss'!F773 &amp; CHAR(10) &amp; "Level: HB - LI" &amp; CHAR(10) &amp; "Please transfer $" &amp; 'Profit &amp; Loss'!O773 &amp; " per pax to Belle (83396501)" &amp; CHAR(10) &amp; CHAR(10) &amp; IF('Profit &amp; Loss'!I773=1, "1." &amp; CHAR(10) &amp; "2." &amp; CHAR(10) &amp; "3." &amp; CHAR(10) &amp; "4." &amp; CHAR(10) &amp; "5." &amp; CHAR(10) &amp; "6." &amp; CHAR(10), IF('Profit &amp; Loss'!I773=2,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1" spans="1:2" ht="12.5" x14ac:dyDescent="0.25">
      <c r="A771" s="2" t="str">
        <f ca="1">IF('Profit &amp; Loss'!A774&gt;=TODAY(),"Looking for friendly players to join the following game: " &amp; CHAR(10) &amp; CHAR(10) &amp; "Date: " &amp; TEXT('Profit &amp; Loss'!A774,"dd mmm yyy") &amp; ", " &amp; 'Profit &amp; Loss'!B774 &amp; CHAR(10) &amp; "Time: " &amp; TEXT('Profit &amp; Loss'!C774, "hh:mm AM/PM") &amp; " - " &amp; TEXT('Profit &amp; Loss'!D774, "hh:mm AM/PM") &amp; CHAR(10) &amp; "Venue: " &amp; 'Profit &amp; Loss'!E774 &amp; CHAR(10) &amp; "Level: HB - LI" &amp; CHAR(10) &amp; "Cost: $" &amp; 'Profit &amp; Loss'!O774 &amp; " per pax" &amp; CHAR(10) &amp; "Max " &amp; 'Profit &amp; Loss'!I774*6 &amp; " pax," &amp; " (" &amp; 'Profit &amp; Loss'!I774 &amp; " courts)" &amp; CHAR(10) &amp; CHAR(10) &amp; "RSL Ultimate shuttles provided" &amp; CHAR(10) &amp; CHAR(10) &amp; "PM if interested, thank you!"," ")</f>
        <v xml:space="preserve"> </v>
      </c>
      <c r="B771" s="2" t="str">
        <f ca="1">IF('Profit &amp; Loss'!A774&gt;=TODAY(), "Date: " &amp; TEXT('Profit &amp; Loss'!A774,"dd mmm yyy") &amp; ", " &amp; 'Profit &amp; Loss'!B774 &amp; CHAR(10) &amp; "Time: " &amp; TEXT('Profit &amp; Loss'!C774, "hh:mm AM/PM") &amp; " - " &amp; TEXT('Profit &amp; Loss'!D774, "hh:mm AM/PM") &amp; CHAR(10) &amp; "Venue: " &amp; 'Profit &amp; Loss'!E774 &amp; CHAR(10) &amp; "Court No.: " &amp; 'Profit &amp; Loss'!F774 &amp; CHAR(10) &amp; "Level: HB - LI" &amp; CHAR(10) &amp; "Please transfer $" &amp; 'Profit &amp; Loss'!O774 &amp; " per pax to Belle (83396501)" &amp; CHAR(10) &amp; CHAR(10) &amp; IF('Profit &amp; Loss'!I774=1, "1." &amp; CHAR(10) &amp; "2." &amp; CHAR(10) &amp; "3." &amp; CHAR(10) &amp; "4." &amp; CHAR(10) &amp; "5." &amp; CHAR(10) &amp; "6." &amp; CHAR(10), IF('Profit &amp; Loss'!I774=2,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2" spans="1:2" ht="12.5" x14ac:dyDescent="0.25">
      <c r="A772" s="2" t="str">
        <f ca="1">IF('Profit &amp; Loss'!A775&gt;=TODAY(),"Looking for friendly players to join the following game: " &amp; CHAR(10) &amp; CHAR(10) &amp; "Date: " &amp; TEXT('Profit &amp; Loss'!A775,"dd mmm yyy") &amp; ", " &amp; 'Profit &amp; Loss'!B775 &amp; CHAR(10) &amp; "Time: " &amp; TEXT('Profit &amp; Loss'!C775, "hh:mm AM/PM") &amp; " - " &amp; TEXT('Profit &amp; Loss'!D775, "hh:mm AM/PM") &amp; CHAR(10) &amp; "Venue: " &amp; 'Profit &amp; Loss'!E775 &amp; CHAR(10) &amp; "Level: HB - LI" &amp; CHAR(10) &amp; "Cost: $" &amp; 'Profit &amp; Loss'!O775 &amp; " per pax" &amp; CHAR(10) &amp; "Max " &amp; 'Profit &amp; Loss'!I775*6 &amp; " pax," &amp; " (" &amp; 'Profit &amp; Loss'!I775 &amp; " courts)" &amp; CHAR(10) &amp; CHAR(10) &amp; "RSL Ultimate shuttles provided" &amp; CHAR(10) &amp; CHAR(10) &amp; "PM if interested, thank you!"," ")</f>
        <v xml:space="preserve"> </v>
      </c>
      <c r="B772" s="2" t="str">
        <f ca="1">IF('Profit &amp; Loss'!A775&gt;=TODAY(), "Date: " &amp; TEXT('Profit &amp; Loss'!A775,"dd mmm yyy") &amp; ", " &amp; 'Profit &amp; Loss'!B775 &amp; CHAR(10) &amp; "Time: " &amp; TEXT('Profit &amp; Loss'!C775, "hh:mm AM/PM") &amp; " - " &amp; TEXT('Profit &amp; Loss'!D775, "hh:mm AM/PM") &amp; CHAR(10) &amp; "Venue: " &amp; 'Profit &amp; Loss'!E775 &amp; CHAR(10) &amp; "Court No.: " &amp; 'Profit &amp; Loss'!F775 &amp; CHAR(10) &amp; "Level: HB - LI" &amp; CHAR(10) &amp; "Please transfer $" &amp; 'Profit &amp; Loss'!O775 &amp; " per pax to Belle (83396501)" &amp; CHAR(10) &amp; CHAR(10) &amp; IF('Profit &amp; Loss'!I775=1, "1." &amp; CHAR(10) &amp; "2." &amp; CHAR(10) &amp; "3." &amp; CHAR(10) &amp; "4." &amp; CHAR(10) &amp; "5." &amp; CHAR(10) &amp; "6." &amp; CHAR(10), IF('Profit &amp; Loss'!I775=2,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3" spans="1:2" ht="12.5" x14ac:dyDescent="0.25">
      <c r="A773" s="2" t="str">
        <f ca="1">IF('Profit &amp; Loss'!A776&gt;=TODAY(),"Looking for friendly players to join the following game: " &amp; CHAR(10) &amp; CHAR(10) &amp; "Date: " &amp; TEXT('Profit &amp; Loss'!A776,"dd mmm yyy") &amp; ", " &amp; 'Profit &amp; Loss'!B776 &amp; CHAR(10) &amp; "Time: " &amp; TEXT('Profit &amp; Loss'!C776, "hh:mm AM/PM") &amp; " - " &amp; TEXT('Profit &amp; Loss'!D776, "hh:mm AM/PM") &amp; CHAR(10) &amp; "Venue: " &amp; 'Profit &amp; Loss'!E776 &amp; CHAR(10) &amp; "Level: HB - LI" &amp; CHAR(10) &amp; "Cost: $" &amp; 'Profit &amp; Loss'!O776 &amp; " per pax" &amp; CHAR(10) &amp; "Max " &amp; 'Profit &amp; Loss'!I776*6 &amp; " pax," &amp; " (" &amp; 'Profit &amp; Loss'!I776 &amp; " courts)" &amp; CHAR(10) &amp; CHAR(10) &amp; "RSL Ultimate shuttles provided" &amp; CHAR(10) &amp; CHAR(10) &amp; "PM if interested, thank you!"," ")</f>
        <v xml:space="preserve"> </v>
      </c>
      <c r="B773" s="2" t="str">
        <f ca="1">IF('Profit &amp; Loss'!A776&gt;=TODAY(), "Date: " &amp; TEXT('Profit &amp; Loss'!A776,"dd mmm yyy") &amp; ", " &amp; 'Profit &amp; Loss'!B776 &amp; CHAR(10) &amp; "Time: " &amp; TEXT('Profit &amp; Loss'!C776, "hh:mm AM/PM") &amp; " - " &amp; TEXT('Profit &amp; Loss'!D776, "hh:mm AM/PM") &amp; CHAR(10) &amp; "Venue: " &amp; 'Profit &amp; Loss'!E776 &amp; CHAR(10) &amp; "Court No.: " &amp; 'Profit &amp; Loss'!F776 &amp; CHAR(10) &amp; "Level: HB - LI" &amp; CHAR(10) &amp; "Please transfer $" &amp; 'Profit &amp; Loss'!O776 &amp; " per pax to Belle (83396501)" &amp; CHAR(10) &amp; CHAR(10) &amp; IF('Profit &amp; Loss'!I776=1, "1." &amp; CHAR(10) &amp; "2." &amp; CHAR(10) &amp; "3." &amp; CHAR(10) &amp; "4." &amp; CHAR(10) &amp; "5." &amp; CHAR(10) &amp; "6." &amp; CHAR(10), IF('Profit &amp; Loss'!I776=2,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4" spans="1:2" ht="12.5" x14ac:dyDescent="0.25">
      <c r="A774" s="2" t="str">
        <f ca="1">IF('Profit &amp; Loss'!A777&gt;=TODAY(),"Looking for friendly players to join the following game: " &amp; CHAR(10) &amp; CHAR(10) &amp; "Date: " &amp; TEXT('Profit &amp; Loss'!A777,"dd mmm yyy") &amp; ", " &amp; 'Profit &amp; Loss'!B777 &amp; CHAR(10) &amp; "Time: " &amp; TEXT('Profit &amp; Loss'!C777, "hh:mm AM/PM") &amp; " - " &amp; TEXT('Profit &amp; Loss'!D777, "hh:mm AM/PM") &amp; CHAR(10) &amp; "Venue: " &amp; 'Profit &amp; Loss'!E777 &amp; CHAR(10) &amp; "Level: HB - LI" &amp; CHAR(10) &amp; "Cost: $" &amp; 'Profit &amp; Loss'!O777 &amp; " per pax" &amp; CHAR(10) &amp; "Max " &amp; 'Profit &amp; Loss'!I777*6 &amp; " pax," &amp; " (" &amp; 'Profit &amp; Loss'!I777 &amp; " courts)" &amp; CHAR(10) &amp; CHAR(10) &amp; "RSL Ultimate shuttles provided" &amp; CHAR(10) &amp; CHAR(10) &amp; "PM if interested, thank you!"," ")</f>
        <v xml:space="preserve"> </v>
      </c>
      <c r="B774" s="2" t="str">
        <f ca="1">IF('Profit &amp; Loss'!A777&gt;=TODAY(), "Date: " &amp; TEXT('Profit &amp; Loss'!A777,"dd mmm yyy") &amp; ", " &amp; 'Profit &amp; Loss'!B777 &amp; CHAR(10) &amp; "Time: " &amp; TEXT('Profit &amp; Loss'!C777, "hh:mm AM/PM") &amp; " - " &amp; TEXT('Profit &amp; Loss'!D777, "hh:mm AM/PM") &amp; CHAR(10) &amp; "Venue: " &amp; 'Profit &amp; Loss'!E777 &amp; CHAR(10) &amp; "Court No.: " &amp; 'Profit &amp; Loss'!F777 &amp; CHAR(10) &amp; "Level: HB - LI" &amp; CHAR(10) &amp; "Please transfer $" &amp; 'Profit &amp; Loss'!O777 &amp; " per pax to Belle (83396501)" &amp; CHAR(10) &amp; CHAR(10) &amp; IF('Profit &amp; Loss'!I777=1, "1." &amp; CHAR(10) &amp; "2." &amp; CHAR(10) &amp; "3." &amp; CHAR(10) &amp; "4." &amp; CHAR(10) &amp; "5." &amp; CHAR(10) &amp; "6." &amp; CHAR(10), IF('Profit &amp; Loss'!I777=2,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5" spans="1:2" ht="12.5" x14ac:dyDescent="0.25">
      <c r="A775" s="2" t="str">
        <f ca="1">IF('Profit &amp; Loss'!A778&gt;=TODAY(),"Looking for friendly players to join the following game: " &amp; CHAR(10) &amp; CHAR(10) &amp; "Date: " &amp; TEXT('Profit &amp; Loss'!A778,"dd mmm yyy") &amp; ", " &amp; 'Profit &amp; Loss'!B778 &amp; CHAR(10) &amp; "Time: " &amp; TEXT('Profit &amp; Loss'!C778, "hh:mm AM/PM") &amp; " - " &amp; TEXT('Profit &amp; Loss'!D778, "hh:mm AM/PM") &amp; CHAR(10) &amp; "Venue: " &amp; 'Profit &amp; Loss'!E778 &amp; CHAR(10) &amp; "Level: HB - LI" &amp; CHAR(10) &amp; "Cost: $" &amp; 'Profit &amp; Loss'!O778 &amp; " per pax" &amp; CHAR(10) &amp; "Max " &amp; 'Profit &amp; Loss'!I778*6 &amp; " pax," &amp; " (" &amp; 'Profit &amp; Loss'!I778 &amp; " courts)" &amp; CHAR(10) &amp; CHAR(10) &amp; "RSL Ultimate shuttles provided" &amp; CHAR(10) &amp; CHAR(10) &amp; "PM if interested, thank you!"," ")</f>
        <v xml:space="preserve"> </v>
      </c>
      <c r="B775" s="2" t="str">
        <f ca="1">IF('Profit &amp; Loss'!A778&gt;=TODAY(), "Date: " &amp; TEXT('Profit &amp; Loss'!A778,"dd mmm yyy") &amp; ", " &amp; 'Profit &amp; Loss'!B778 &amp; CHAR(10) &amp; "Time: " &amp; TEXT('Profit &amp; Loss'!C778, "hh:mm AM/PM") &amp; " - " &amp; TEXT('Profit &amp; Loss'!D778, "hh:mm AM/PM") &amp; CHAR(10) &amp; "Venue: " &amp; 'Profit &amp; Loss'!E778 &amp; CHAR(10) &amp; "Court No.: " &amp; 'Profit &amp; Loss'!F778 &amp; CHAR(10) &amp; "Level: HB - LI" &amp; CHAR(10) &amp; "Please transfer $" &amp; 'Profit &amp; Loss'!O778 &amp; " per pax to Belle (83396501)" &amp; CHAR(10) &amp; CHAR(10) &amp; IF('Profit &amp; Loss'!I778=1, "1." &amp; CHAR(10) &amp; "2." &amp; CHAR(10) &amp; "3." &amp; CHAR(10) &amp; "4." &amp; CHAR(10) &amp; "5." &amp; CHAR(10) &amp; "6." &amp; CHAR(10), IF('Profit &amp; Loss'!I778=2,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6" spans="1:2" ht="12.5" x14ac:dyDescent="0.25">
      <c r="A776" s="2" t="str">
        <f ca="1">IF('Profit &amp; Loss'!A779&gt;=TODAY(),"Looking for friendly players to join the following game: " &amp; CHAR(10) &amp; CHAR(10) &amp; "Date: " &amp; TEXT('Profit &amp; Loss'!A779,"dd mmm yyy") &amp; ", " &amp; 'Profit &amp; Loss'!B779 &amp; CHAR(10) &amp; "Time: " &amp; TEXT('Profit &amp; Loss'!C779, "hh:mm AM/PM") &amp; " - " &amp; TEXT('Profit &amp; Loss'!D779, "hh:mm AM/PM") &amp; CHAR(10) &amp; "Venue: " &amp; 'Profit &amp; Loss'!E779 &amp; CHAR(10) &amp; "Level: HB - LI" &amp; CHAR(10) &amp; "Cost: $" &amp; 'Profit &amp; Loss'!O779 &amp; " per pax" &amp; CHAR(10) &amp; "Max " &amp; 'Profit &amp; Loss'!I779*6 &amp; " pax," &amp; " (" &amp; 'Profit &amp; Loss'!I779 &amp; " courts)" &amp; CHAR(10) &amp; CHAR(10) &amp; "RSL Ultimate shuttles provided" &amp; CHAR(10) &amp; CHAR(10) &amp; "PM if interested, thank you!"," ")</f>
        <v xml:space="preserve"> </v>
      </c>
      <c r="B776" s="2" t="str">
        <f ca="1">IF('Profit &amp; Loss'!A779&gt;=TODAY(), "Date: " &amp; TEXT('Profit &amp; Loss'!A779,"dd mmm yyy") &amp; ", " &amp; 'Profit &amp; Loss'!B779 &amp; CHAR(10) &amp; "Time: " &amp; TEXT('Profit &amp; Loss'!C779, "hh:mm AM/PM") &amp; " - " &amp; TEXT('Profit &amp; Loss'!D779, "hh:mm AM/PM") &amp; CHAR(10) &amp; "Venue: " &amp; 'Profit &amp; Loss'!E779 &amp; CHAR(10) &amp; "Court No.: " &amp; 'Profit &amp; Loss'!F779 &amp; CHAR(10) &amp; "Level: HB - LI" &amp; CHAR(10) &amp; "Please transfer $" &amp; 'Profit &amp; Loss'!O779 &amp; " per pax to Belle (83396501)" &amp; CHAR(10) &amp; CHAR(10) &amp; IF('Profit &amp; Loss'!I779=1, "1." &amp; CHAR(10) &amp; "2." &amp; CHAR(10) &amp; "3." &amp; CHAR(10) &amp; "4." &amp; CHAR(10) &amp; "5." &amp; CHAR(10) &amp; "6." &amp; CHAR(10), IF('Profit &amp; Loss'!I779=2,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7" spans="1:2" ht="12.5" x14ac:dyDescent="0.25">
      <c r="A777" s="2" t="str">
        <f ca="1">IF('Profit &amp; Loss'!A780&gt;=TODAY(),"Looking for friendly players to join the following game: " &amp; CHAR(10) &amp; CHAR(10) &amp; "Date: " &amp; TEXT('Profit &amp; Loss'!A780,"dd mmm yyy") &amp; ", " &amp; 'Profit &amp; Loss'!B780 &amp; CHAR(10) &amp; "Time: " &amp; TEXT('Profit &amp; Loss'!C780, "hh:mm AM/PM") &amp; " - " &amp; TEXT('Profit &amp; Loss'!D780, "hh:mm AM/PM") &amp; CHAR(10) &amp; "Venue: " &amp; 'Profit &amp; Loss'!E780 &amp; CHAR(10) &amp; "Level: HB - LI" &amp; CHAR(10) &amp; "Cost: $" &amp; 'Profit &amp; Loss'!O780 &amp; " per pax" &amp; CHAR(10) &amp; "Max " &amp; 'Profit &amp; Loss'!I780*6 &amp; " pax," &amp; " (" &amp; 'Profit &amp; Loss'!I780 &amp; " courts)" &amp; CHAR(10) &amp; CHAR(10) &amp; "RSL Ultimate shuttles provided" &amp; CHAR(10) &amp; CHAR(10) &amp; "PM if interested, thank you!"," ")</f>
        <v xml:space="preserve"> </v>
      </c>
      <c r="B777" s="2" t="str">
        <f ca="1">IF('Profit &amp; Loss'!A780&gt;=TODAY(), "Date: " &amp; TEXT('Profit &amp; Loss'!A780,"dd mmm yyy") &amp; ", " &amp; 'Profit &amp; Loss'!B780 &amp; CHAR(10) &amp; "Time: " &amp; TEXT('Profit &amp; Loss'!C780, "hh:mm AM/PM") &amp; " - " &amp; TEXT('Profit &amp; Loss'!D780, "hh:mm AM/PM") &amp; CHAR(10) &amp; "Venue: " &amp; 'Profit &amp; Loss'!E780 &amp; CHAR(10) &amp; "Court No.: " &amp; 'Profit &amp; Loss'!F780 &amp; CHAR(10) &amp; "Level: HB - LI" &amp; CHAR(10) &amp; "Please transfer $" &amp; 'Profit &amp; Loss'!O780 &amp; " per pax to Belle (83396501)" &amp; CHAR(10) &amp; CHAR(10) &amp; IF('Profit &amp; Loss'!I780=1, "1." &amp; CHAR(10) &amp; "2." &amp; CHAR(10) &amp; "3." &amp; CHAR(10) &amp; "4." &amp; CHAR(10) &amp; "5." &amp; CHAR(10) &amp; "6." &amp; CHAR(10), IF('Profit &amp; Loss'!I780=2,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8" spans="1:2" ht="12.5" x14ac:dyDescent="0.25">
      <c r="A778" s="2" t="str">
        <f ca="1">IF('Profit &amp; Loss'!A781&gt;=TODAY(),"Looking for friendly players to join the following game: " &amp; CHAR(10) &amp; CHAR(10) &amp; "Date: " &amp; TEXT('Profit &amp; Loss'!A781,"dd mmm yyy") &amp; ", " &amp; 'Profit &amp; Loss'!B781 &amp; CHAR(10) &amp; "Time: " &amp; TEXT('Profit &amp; Loss'!C781, "hh:mm AM/PM") &amp; " - " &amp; TEXT('Profit &amp; Loss'!D781, "hh:mm AM/PM") &amp; CHAR(10) &amp; "Venue: " &amp; 'Profit &amp; Loss'!E781 &amp; CHAR(10) &amp; "Level: HB - LI" &amp; CHAR(10) &amp; "Cost: $" &amp; 'Profit &amp; Loss'!O781 &amp; " per pax" &amp; CHAR(10) &amp; "Max " &amp; 'Profit &amp; Loss'!I781*6 &amp; " pax," &amp; " (" &amp; 'Profit &amp; Loss'!I781 &amp; " courts)" &amp; CHAR(10) &amp; CHAR(10) &amp; "RSL Ultimate shuttles provided" &amp; CHAR(10) &amp; CHAR(10) &amp; "PM if interested, thank you!"," ")</f>
        <v xml:space="preserve"> </v>
      </c>
      <c r="B778" s="2" t="str">
        <f ca="1">IF('Profit &amp; Loss'!A781&gt;=TODAY(), "Date: " &amp; TEXT('Profit &amp; Loss'!A781,"dd mmm yyy") &amp; ", " &amp; 'Profit &amp; Loss'!B781 &amp; CHAR(10) &amp; "Time: " &amp; TEXT('Profit &amp; Loss'!C781, "hh:mm AM/PM") &amp; " - " &amp; TEXT('Profit &amp; Loss'!D781, "hh:mm AM/PM") &amp; CHAR(10) &amp; "Venue: " &amp; 'Profit &amp; Loss'!E781 &amp; CHAR(10) &amp; "Court No.: " &amp; 'Profit &amp; Loss'!F781 &amp; CHAR(10) &amp; "Level: HB - LI" &amp; CHAR(10) &amp; "Please transfer $" &amp; 'Profit &amp; Loss'!O781 &amp; " per pax to Belle (83396501)" &amp; CHAR(10) &amp; CHAR(10) &amp; IF('Profit &amp; Loss'!I781=1, "1." &amp; CHAR(10) &amp; "2." &amp; CHAR(10) &amp; "3." &amp; CHAR(10) &amp; "4." &amp; CHAR(10) &amp; "5." &amp; CHAR(10) &amp; "6." &amp; CHAR(10), IF('Profit &amp; Loss'!I781=2,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79" spans="1:2" ht="12.5" x14ac:dyDescent="0.25">
      <c r="A779" s="2" t="str">
        <f ca="1">IF('Profit &amp; Loss'!A782&gt;=TODAY(),"Looking for friendly players to join the following game: " &amp; CHAR(10) &amp; CHAR(10) &amp; "Date: " &amp; TEXT('Profit &amp; Loss'!A782,"dd mmm yyy") &amp; ", " &amp; 'Profit &amp; Loss'!B782 &amp; CHAR(10) &amp; "Time: " &amp; TEXT('Profit &amp; Loss'!C782, "hh:mm AM/PM") &amp; " - " &amp; TEXT('Profit &amp; Loss'!D782, "hh:mm AM/PM") &amp; CHAR(10) &amp; "Venue: " &amp; 'Profit &amp; Loss'!E782 &amp; CHAR(10) &amp; "Level: HB - LI" &amp; CHAR(10) &amp; "Cost: $" &amp; 'Profit &amp; Loss'!O782 &amp; " per pax" &amp; CHAR(10) &amp; "Max " &amp; 'Profit &amp; Loss'!I782*6 &amp; " pax," &amp; " (" &amp; 'Profit &amp; Loss'!I782 &amp; " courts)" &amp; CHAR(10) &amp; CHAR(10) &amp; "RSL Ultimate shuttles provided" &amp; CHAR(10) &amp; CHAR(10) &amp; "PM if interested, thank you!"," ")</f>
        <v xml:space="preserve"> </v>
      </c>
      <c r="B779" s="2" t="str">
        <f ca="1">IF('Profit &amp; Loss'!A782&gt;=TODAY(), "Date: " &amp; TEXT('Profit &amp; Loss'!A782,"dd mmm yyy") &amp; ", " &amp; 'Profit &amp; Loss'!B782 &amp; CHAR(10) &amp; "Time: " &amp; TEXT('Profit &amp; Loss'!C782, "hh:mm AM/PM") &amp; " - " &amp; TEXT('Profit &amp; Loss'!D782, "hh:mm AM/PM") &amp; CHAR(10) &amp; "Venue: " &amp; 'Profit &amp; Loss'!E782 &amp; CHAR(10) &amp; "Court No.: " &amp; 'Profit &amp; Loss'!F782 &amp; CHAR(10) &amp; "Level: HB - LI" &amp; CHAR(10) &amp; "Please transfer $" &amp; 'Profit &amp; Loss'!O782 &amp; " per pax to Belle (83396501)" &amp; CHAR(10) &amp; CHAR(10) &amp; IF('Profit &amp; Loss'!I782=1, "1." &amp; CHAR(10) &amp; "2." &amp; CHAR(10) &amp; "3." &amp; CHAR(10) &amp; "4." &amp; CHAR(10) &amp; "5." &amp; CHAR(10) &amp; "6." &amp; CHAR(10), IF('Profit &amp; Loss'!I782=2,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0" spans="1:2" ht="12.5" x14ac:dyDescent="0.25">
      <c r="A780" s="2" t="str">
        <f ca="1">IF('Profit &amp; Loss'!A783&gt;=TODAY(),"Looking for friendly players to join the following game: " &amp; CHAR(10) &amp; CHAR(10) &amp; "Date: " &amp; TEXT('Profit &amp; Loss'!A783,"dd mmm yyy") &amp; ", " &amp; 'Profit &amp; Loss'!B783 &amp; CHAR(10) &amp; "Time: " &amp; TEXT('Profit &amp; Loss'!C783, "hh:mm AM/PM") &amp; " - " &amp; TEXT('Profit &amp; Loss'!D783, "hh:mm AM/PM") &amp; CHAR(10) &amp; "Venue: " &amp; 'Profit &amp; Loss'!E783 &amp; CHAR(10) &amp; "Level: HB - LI" &amp; CHAR(10) &amp; "Cost: $" &amp; 'Profit &amp; Loss'!O783 &amp; " per pax" &amp; CHAR(10) &amp; "Max " &amp; 'Profit &amp; Loss'!I783*6 &amp; " pax," &amp; " (" &amp; 'Profit &amp; Loss'!I783 &amp; " courts)" &amp; CHAR(10) &amp; CHAR(10) &amp; "RSL Ultimate shuttles provided" &amp; CHAR(10) &amp; CHAR(10) &amp; "PM if interested, thank you!"," ")</f>
        <v xml:space="preserve"> </v>
      </c>
      <c r="B780" s="2" t="str">
        <f ca="1">IF('Profit &amp; Loss'!A783&gt;=TODAY(), "Date: " &amp; TEXT('Profit &amp; Loss'!A783,"dd mmm yyy") &amp; ", " &amp; 'Profit &amp; Loss'!B783 &amp; CHAR(10) &amp; "Time: " &amp; TEXT('Profit &amp; Loss'!C783, "hh:mm AM/PM") &amp; " - " &amp; TEXT('Profit &amp; Loss'!D783, "hh:mm AM/PM") &amp; CHAR(10) &amp; "Venue: " &amp; 'Profit &amp; Loss'!E783 &amp; CHAR(10) &amp; "Court No.: " &amp; 'Profit &amp; Loss'!F783 &amp; CHAR(10) &amp; "Level: HB - LI" &amp; CHAR(10) &amp; "Please transfer $" &amp; 'Profit &amp; Loss'!O783 &amp; " per pax to Belle (83396501)" &amp; CHAR(10) &amp; CHAR(10) &amp; IF('Profit &amp; Loss'!I783=1, "1." &amp; CHAR(10) &amp; "2." &amp; CHAR(10) &amp; "3." &amp; CHAR(10) &amp; "4." &amp; CHAR(10) &amp; "5." &amp; CHAR(10) &amp; "6." &amp; CHAR(10), IF('Profit &amp; Loss'!I783=2,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1" spans="1:2" ht="12.5" x14ac:dyDescent="0.25">
      <c r="A781" s="2" t="str">
        <f ca="1">IF('Profit &amp; Loss'!A784&gt;=TODAY(),"Looking for friendly players to join the following game: " &amp; CHAR(10) &amp; CHAR(10) &amp; "Date: " &amp; TEXT('Profit &amp; Loss'!A784,"dd mmm yyy") &amp; ", " &amp; 'Profit &amp; Loss'!B784 &amp; CHAR(10) &amp; "Time: " &amp; TEXT('Profit &amp; Loss'!C784, "hh:mm AM/PM") &amp; " - " &amp; TEXT('Profit &amp; Loss'!D784, "hh:mm AM/PM") &amp; CHAR(10) &amp; "Venue: " &amp; 'Profit &amp; Loss'!E784 &amp; CHAR(10) &amp; "Level: HB - LI" &amp; CHAR(10) &amp; "Cost: $" &amp; 'Profit &amp; Loss'!O784 &amp; " per pax" &amp; CHAR(10) &amp; "Max " &amp; 'Profit &amp; Loss'!I784*6 &amp; " pax," &amp; " (" &amp; 'Profit &amp; Loss'!I784 &amp; " courts)" &amp; CHAR(10) &amp; CHAR(10) &amp; "RSL Ultimate shuttles provided" &amp; CHAR(10) &amp; CHAR(10) &amp; "PM if interested, thank you!"," ")</f>
        <v xml:space="preserve"> </v>
      </c>
      <c r="B781" s="2" t="str">
        <f ca="1">IF('Profit &amp; Loss'!A784&gt;=TODAY(), "Date: " &amp; TEXT('Profit &amp; Loss'!A784,"dd mmm yyy") &amp; ", " &amp; 'Profit &amp; Loss'!B784 &amp; CHAR(10) &amp; "Time: " &amp; TEXT('Profit &amp; Loss'!C784, "hh:mm AM/PM") &amp; " - " &amp; TEXT('Profit &amp; Loss'!D784, "hh:mm AM/PM") &amp; CHAR(10) &amp; "Venue: " &amp; 'Profit &amp; Loss'!E784 &amp; CHAR(10) &amp; "Court No.: " &amp; 'Profit &amp; Loss'!F784 &amp; CHAR(10) &amp; "Level: HB - LI" &amp; CHAR(10) &amp; "Please transfer $" &amp; 'Profit &amp; Loss'!O784 &amp; " per pax to Belle (83396501)" &amp; CHAR(10) &amp; CHAR(10) &amp; IF('Profit &amp; Loss'!I784=1, "1." &amp; CHAR(10) &amp; "2." &amp; CHAR(10) &amp; "3." &amp; CHAR(10) &amp; "4." &amp; CHAR(10) &amp; "5." &amp; CHAR(10) &amp; "6." &amp; CHAR(10), IF('Profit &amp; Loss'!I784=2,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2" spans="1:2" ht="12.5" x14ac:dyDescent="0.25">
      <c r="A782" s="2" t="str">
        <f ca="1">IF('Profit &amp; Loss'!A785&gt;=TODAY(),"Looking for friendly players to join the following game: " &amp; CHAR(10) &amp; CHAR(10) &amp; "Date: " &amp; TEXT('Profit &amp; Loss'!A785,"dd mmm yyy") &amp; ", " &amp; 'Profit &amp; Loss'!B785 &amp; CHAR(10) &amp; "Time: " &amp; TEXT('Profit &amp; Loss'!C785, "hh:mm AM/PM") &amp; " - " &amp; TEXT('Profit &amp; Loss'!D785, "hh:mm AM/PM") &amp; CHAR(10) &amp; "Venue: " &amp; 'Profit &amp; Loss'!E785 &amp; CHAR(10) &amp; "Level: HB - LI" &amp; CHAR(10) &amp; "Cost: $" &amp; 'Profit &amp; Loss'!O785 &amp; " per pax" &amp; CHAR(10) &amp; "Max " &amp; 'Profit &amp; Loss'!I785*6 &amp; " pax," &amp; " (" &amp; 'Profit &amp; Loss'!I785 &amp; " courts)" &amp; CHAR(10) &amp; CHAR(10) &amp; "RSL Ultimate shuttles provided" &amp; CHAR(10) &amp; CHAR(10) &amp; "PM if interested, thank you!"," ")</f>
        <v xml:space="preserve"> </v>
      </c>
      <c r="B782" s="2" t="str">
        <f ca="1">IF('Profit &amp; Loss'!A785&gt;=TODAY(), "Date: " &amp; TEXT('Profit &amp; Loss'!A785,"dd mmm yyy") &amp; ", " &amp; 'Profit &amp; Loss'!B785 &amp; CHAR(10) &amp; "Time: " &amp; TEXT('Profit &amp; Loss'!C785, "hh:mm AM/PM") &amp; " - " &amp; TEXT('Profit &amp; Loss'!D785, "hh:mm AM/PM") &amp; CHAR(10) &amp; "Venue: " &amp; 'Profit &amp; Loss'!E785 &amp; CHAR(10) &amp; "Court No.: " &amp; 'Profit &amp; Loss'!F785 &amp; CHAR(10) &amp; "Level: HB - LI" &amp; CHAR(10) &amp; "Please transfer $" &amp; 'Profit &amp; Loss'!O785 &amp; " per pax to Belle (83396501)" &amp; CHAR(10) &amp; CHAR(10) &amp; IF('Profit &amp; Loss'!I785=1, "1." &amp; CHAR(10) &amp; "2." &amp; CHAR(10) &amp; "3." &amp; CHAR(10) &amp; "4." &amp; CHAR(10) &amp; "5." &amp; CHAR(10) &amp; "6." &amp; CHAR(10), IF('Profit &amp; Loss'!I785=2,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3" spans="1:2" ht="12.5" x14ac:dyDescent="0.25">
      <c r="A783" s="2" t="str">
        <f ca="1">IF('Profit &amp; Loss'!A786&gt;=TODAY(),"Looking for friendly players to join the following game: " &amp; CHAR(10) &amp; CHAR(10) &amp; "Date: " &amp; TEXT('Profit &amp; Loss'!A786,"dd mmm yyy") &amp; ", " &amp; 'Profit &amp; Loss'!B786 &amp; CHAR(10) &amp; "Time: " &amp; TEXT('Profit &amp; Loss'!C786, "hh:mm AM/PM") &amp; " - " &amp; TEXT('Profit &amp; Loss'!D786, "hh:mm AM/PM") &amp; CHAR(10) &amp; "Venue: " &amp; 'Profit &amp; Loss'!E786 &amp; CHAR(10) &amp; "Level: HB - LI" &amp; CHAR(10) &amp; "Cost: $" &amp; 'Profit &amp; Loss'!O786 &amp; " per pax" &amp; CHAR(10) &amp; "Max " &amp; 'Profit &amp; Loss'!I786*6 &amp; " pax," &amp; " (" &amp; 'Profit &amp; Loss'!I786 &amp; " courts)" &amp; CHAR(10) &amp; CHAR(10) &amp; "RSL Ultimate shuttles provided" &amp; CHAR(10) &amp; CHAR(10) &amp; "PM if interested, thank you!"," ")</f>
        <v xml:space="preserve"> </v>
      </c>
      <c r="B783" s="2" t="str">
        <f ca="1">IF('Profit &amp; Loss'!A786&gt;=TODAY(), "Date: " &amp; TEXT('Profit &amp; Loss'!A786,"dd mmm yyy") &amp; ", " &amp; 'Profit &amp; Loss'!B786 &amp; CHAR(10) &amp; "Time: " &amp; TEXT('Profit &amp; Loss'!C786, "hh:mm AM/PM") &amp; " - " &amp; TEXT('Profit &amp; Loss'!D786, "hh:mm AM/PM") &amp; CHAR(10) &amp; "Venue: " &amp; 'Profit &amp; Loss'!E786 &amp; CHAR(10) &amp; "Court No.: " &amp; 'Profit &amp; Loss'!F786 &amp; CHAR(10) &amp; "Level: HB - LI" &amp; CHAR(10) &amp; "Please transfer $" &amp; 'Profit &amp; Loss'!O786 &amp; " per pax to Belle (83396501)" &amp; CHAR(10) &amp; CHAR(10) &amp; IF('Profit &amp; Loss'!I786=1, "1." &amp; CHAR(10) &amp; "2." &amp; CHAR(10) &amp; "3." &amp; CHAR(10) &amp; "4." &amp; CHAR(10) &amp; "5." &amp; CHAR(10) &amp; "6." &amp; CHAR(10), IF('Profit &amp; Loss'!I786=2,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4" spans="1:2" ht="12.5" x14ac:dyDescent="0.25">
      <c r="A784" s="2" t="str">
        <f ca="1">IF('Profit &amp; Loss'!A787&gt;=TODAY(),"Looking for friendly players to join the following game: " &amp; CHAR(10) &amp; CHAR(10) &amp; "Date: " &amp; TEXT('Profit &amp; Loss'!A787,"dd mmm yyy") &amp; ", " &amp; 'Profit &amp; Loss'!B787 &amp; CHAR(10) &amp; "Time: " &amp; TEXT('Profit &amp; Loss'!C787, "hh:mm AM/PM") &amp; " - " &amp; TEXT('Profit &amp; Loss'!D787, "hh:mm AM/PM") &amp; CHAR(10) &amp; "Venue: " &amp; 'Profit &amp; Loss'!E787 &amp; CHAR(10) &amp; "Level: HB - LI" &amp; CHAR(10) &amp; "Cost: $" &amp; 'Profit &amp; Loss'!O787 &amp; " per pax" &amp; CHAR(10) &amp; "Max " &amp; 'Profit &amp; Loss'!I787*6 &amp; " pax," &amp; " (" &amp; 'Profit &amp; Loss'!I787 &amp; " courts)" &amp; CHAR(10) &amp; CHAR(10) &amp; "RSL Ultimate shuttles provided" &amp; CHAR(10) &amp; CHAR(10) &amp; "PM if interested, thank you!"," ")</f>
        <v xml:space="preserve"> </v>
      </c>
      <c r="B784" s="2" t="str">
        <f ca="1">IF('Profit &amp; Loss'!A787&gt;=TODAY(), "Date: " &amp; TEXT('Profit &amp; Loss'!A787,"dd mmm yyy") &amp; ", " &amp; 'Profit &amp; Loss'!B787 &amp; CHAR(10) &amp; "Time: " &amp; TEXT('Profit &amp; Loss'!C787, "hh:mm AM/PM") &amp; " - " &amp; TEXT('Profit &amp; Loss'!D787, "hh:mm AM/PM") &amp; CHAR(10) &amp; "Venue: " &amp; 'Profit &amp; Loss'!E787 &amp; CHAR(10) &amp; "Court No.: " &amp; 'Profit &amp; Loss'!F787 &amp; CHAR(10) &amp; "Level: HB - LI" &amp; CHAR(10) &amp; "Please transfer $" &amp; 'Profit &amp; Loss'!O787 &amp; " per pax to Belle (83396501)" &amp; CHAR(10) &amp; CHAR(10) &amp; IF('Profit &amp; Loss'!I787=1, "1." &amp; CHAR(10) &amp; "2." &amp; CHAR(10) &amp; "3." &amp; CHAR(10) &amp; "4." &amp; CHAR(10) &amp; "5." &amp; CHAR(10) &amp; "6." &amp; CHAR(10), IF('Profit &amp; Loss'!I787=2,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5" spans="1:2" ht="12.5" x14ac:dyDescent="0.25">
      <c r="A785" s="2" t="str">
        <f ca="1">IF('Profit &amp; Loss'!A788&gt;=TODAY(),"Looking for friendly players to join the following game: " &amp; CHAR(10) &amp; CHAR(10) &amp; "Date: " &amp; TEXT('Profit &amp; Loss'!A788,"dd mmm yyy") &amp; ", " &amp; 'Profit &amp; Loss'!B788 &amp; CHAR(10) &amp; "Time: " &amp; TEXT('Profit &amp; Loss'!C788, "hh:mm AM/PM") &amp; " - " &amp; TEXT('Profit &amp; Loss'!D788, "hh:mm AM/PM") &amp; CHAR(10) &amp; "Venue: " &amp; 'Profit &amp; Loss'!E788 &amp; CHAR(10) &amp; "Level: HB - LI" &amp; CHAR(10) &amp; "Cost: $" &amp; 'Profit &amp; Loss'!O788 &amp; " per pax" &amp; CHAR(10) &amp; "Max " &amp; 'Profit &amp; Loss'!I788*6 &amp; " pax," &amp; " (" &amp; 'Profit &amp; Loss'!I788 &amp; " courts)" &amp; CHAR(10) &amp; CHAR(10) &amp; "RSL Ultimate shuttles provided" &amp; CHAR(10) &amp; CHAR(10) &amp; "PM if interested, thank you!"," ")</f>
        <v xml:space="preserve"> </v>
      </c>
      <c r="B785" s="2" t="str">
        <f ca="1">IF('Profit &amp; Loss'!A788&gt;=TODAY(), "Date: " &amp; TEXT('Profit &amp; Loss'!A788,"dd mmm yyy") &amp; ", " &amp; 'Profit &amp; Loss'!B788 &amp; CHAR(10) &amp; "Time: " &amp; TEXT('Profit &amp; Loss'!C788, "hh:mm AM/PM") &amp; " - " &amp; TEXT('Profit &amp; Loss'!D788, "hh:mm AM/PM") &amp; CHAR(10) &amp; "Venue: " &amp; 'Profit &amp; Loss'!E788 &amp; CHAR(10) &amp; "Court No.: " &amp; 'Profit &amp; Loss'!F788 &amp; CHAR(10) &amp; "Level: HB - LI" &amp; CHAR(10) &amp; "Please transfer $" &amp; 'Profit &amp; Loss'!O788 &amp; " per pax to Belle (83396501)" &amp; CHAR(10) &amp; CHAR(10) &amp; IF('Profit &amp; Loss'!I788=1, "1." &amp; CHAR(10) &amp; "2." &amp; CHAR(10) &amp; "3." &amp; CHAR(10) &amp; "4." &amp; CHAR(10) &amp; "5." &amp; CHAR(10) &amp; "6." &amp; CHAR(10), IF('Profit &amp; Loss'!I788=2,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6" spans="1:2" ht="12.5" x14ac:dyDescent="0.25">
      <c r="A786" s="2" t="str">
        <f ca="1">IF('Profit &amp; Loss'!A789&gt;=TODAY(),"Looking for friendly players to join the following game: " &amp; CHAR(10) &amp; CHAR(10) &amp; "Date: " &amp; TEXT('Profit &amp; Loss'!A789,"dd mmm yyy") &amp; ", " &amp; 'Profit &amp; Loss'!B789 &amp; CHAR(10) &amp; "Time: " &amp; TEXT('Profit &amp; Loss'!C789, "hh:mm AM/PM") &amp; " - " &amp; TEXT('Profit &amp; Loss'!D789, "hh:mm AM/PM") &amp; CHAR(10) &amp; "Venue: " &amp; 'Profit &amp; Loss'!E789 &amp; CHAR(10) &amp; "Level: HB - LI" &amp; CHAR(10) &amp; "Cost: $" &amp; 'Profit &amp; Loss'!O789 &amp; " per pax" &amp; CHAR(10) &amp; "Max " &amp; 'Profit &amp; Loss'!I789*6 &amp; " pax," &amp; " (" &amp; 'Profit &amp; Loss'!I789 &amp; " courts)" &amp; CHAR(10) &amp; CHAR(10) &amp; "RSL Ultimate shuttles provided" &amp; CHAR(10) &amp; CHAR(10) &amp; "PM if interested, thank you!"," ")</f>
        <v xml:space="preserve"> </v>
      </c>
      <c r="B786" s="2" t="str">
        <f ca="1">IF('Profit &amp; Loss'!A789&gt;=TODAY(), "Date: " &amp; TEXT('Profit &amp; Loss'!A789,"dd mmm yyy") &amp; ", " &amp; 'Profit &amp; Loss'!B789 &amp; CHAR(10) &amp; "Time: " &amp; TEXT('Profit &amp; Loss'!C789, "hh:mm AM/PM") &amp; " - " &amp; TEXT('Profit &amp; Loss'!D789, "hh:mm AM/PM") &amp; CHAR(10) &amp; "Venue: " &amp; 'Profit &amp; Loss'!E789 &amp; CHAR(10) &amp; "Court No.: " &amp; 'Profit &amp; Loss'!F789 &amp; CHAR(10) &amp; "Level: HB - LI" &amp; CHAR(10) &amp; "Please transfer $" &amp; 'Profit &amp; Loss'!O789 &amp; " per pax to Belle (83396501)" &amp; CHAR(10) &amp; CHAR(10) &amp; IF('Profit &amp; Loss'!I789=1, "1." &amp; CHAR(10) &amp; "2." &amp; CHAR(10) &amp; "3." &amp; CHAR(10) &amp; "4." &amp; CHAR(10) &amp; "5." &amp; CHAR(10) &amp; "6." &amp; CHAR(10), IF('Profit &amp; Loss'!I789=2,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7" spans="1:2" ht="12.5" x14ac:dyDescent="0.25">
      <c r="A787" s="2" t="str">
        <f ca="1">IF('Profit &amp; Loss'!A790&gt;=TODAY(),"Looking for friendly players to join the following game: " &amp; CHAR(10) &amp; CHAR(10) &amp; "Date: " &amp; TEXT('Profit &amp; Loss'!A790,"dd mmm yyy") &amp; ", " &amp; 'Profit &amp; Loss'!B790 &amp; CHAR(10) &amp; "Time: " &amp; TEXT('Profit &amp; Loss'!C790, "hh:mm AM/PM") &amp; " - " &amp; TEXT('Profit &amp; Loss'!D790, "hh:mm AM/PM") &amp; CHAR(10) &amp; "Venue: " &amp; 'Profit &amp; Loss'!E790 &amp; CHAR(10) &amp; "Level: HB - LI" &amp; CHAR(10) &amp; "Cost: $" &amp; 'Profit &amp; Loss'!O790 &amp; " per pax" &amp; CHAR(10) &amp; "Max " &amp; 'Profit &amp; Loss'!I790*6 &amp; " pax," &amp; " (" &amp; 'Profit &amp; Loss'!I790 &amp; " courts)" &amp; CHAR(10) &amp; CHAR(10) &amp; "RSL Ultimate shuttles provided" &amp; CHAR(10) &amp; CHAR(10) &amp; "PM if interested, thank you!"," ")</f>
        <v xml:space="preserve"> </v>
      </c>
      <c r="B787" s="2" t="str">
        <f ca="1">IF('Profit &amp; Loss'!A790&gt;=TODAY(), "Date: " &amp; TEXT('Profit &amp; Loss'!A790,"dd mmm yyy") &amp; ", " &amp; 'Profit &amp; Loss'!B790 &amp; CHAR(10) &amp; "Time: " &amp; TEXT('Profit &amp; Loss'!C790, "hh:mm AM/PM") &amp; " - " &amp; TEXT('Profit &amp; Loss'!D790, "hh:mm AM/PM") &amp; CHAR(10) &amp; "Venue: " &amp; 'Profit &amp; Loss'!E790 &amp; CHAR(10) &amp; "Court No.: " &amp; 'Profit &amp; Loss'!F790 &amp; CHAR(10) &amp; "Level: HB - LI" &amp; CHAR(10) &amp; "Please transfer $" &amp; 'Profit &amp; Loss'!O790 &amp; " per pax to Belle (83396501)" &amp; CHAR(10) &amp; CHAR(10) &amp; IF('Profit &amp; Loss'!I790=1, "1." &amp; CHAR(10) &amp; "2." &amp; CHAR(10) &amp; "3." &amp; CHAR(10) &amp; "4." &amp; CHAR(10) &amp; "5." &amp; CHAR(10) &amp; "6." &amp; CHAR(10), IF('Profit &amp; Loss'!I790=2,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8" spans="1:2" ht="12.5" x14ac:dyDescent="0.25">
      <c r="A788" s="2" t="str">
        <f ca="1">IF('Profit &amp; Loss'!A791&gt;=TODAY(),"Looking for friendly players to join the following game: " &amp; CHAR(10) &amp; CHAR(10) &amp; "Date: " &amp; TEXT('Profit &amp; Loss'!A791,"dd mmm yyy") &amp; ", " &amp; 'Profit &amp; Loss'!B791 &amp; CHAR(10) &amp; "Time: " &amp; TEXT('Profit &amp; Loss'!C791, "hh:mm AM/PM") &amp; " - " &amp; TEXT('Profit &amp; Loss'!D791, "hh:mm AM/PM") &amp; CHAR(10) &amp; "Venue: " &amp; 'Profit &amp; Loss'!E791 &amp; CHAR(10) &amp; "Level: HB - LI" &amp; CHAR(10) &amp; "Cost: $" &amp; 'Profit &amp; Loss'!O791 &amp; " per pax" &amp; CHAR(10) &amp; "Max " &amp; 'Profit &amp; Loss'!I791*6 &amp; " pax," &amp; " (" &amp; 'Profit &amp; Loss'!I791 &amp; " courts)" &amp; CHAR(10) &amp; CHAR(10) &amp; "RSL Ultimate shuttles provided" &amp; CHAR(10) &amp; CHAR(10) &amp; "PM if interested, thank you!"," ")</f>
        <v xml:space="preserve"> </v>
      </c>
      <c r="B788" s="2" t="str">
        <f ca="1">IF('Profit &amp; Loss'!A791&gt;=TODAY(), "Date: " &amp; TEXT('Profit &amp; Loss'!A791,"dd mmm yyy") &amp; ", " &amp; 'Profit &amp; Loss'!B791 &amp; CHAR(10) &amp; "Time: " &amp; TEXT('Profit &amp; Loss'!C791, "hh:mm AM/PM") &amp; " - " &amp; TEXT('Profit &amp; Loss'!D791, "hh:mm AM/PM") &amp; CHAR(10) &amp; "Venue: " &amp; 'Profit &amp; Loss'!E791 &amp; CHAR(10) &amp; "Court No.: " &amp; 'Profit &amp; Loss'!F791 &amp; CHAR(10) &amp; "Level: HB - LI" &amp; CHAR(10) &amp; "Please transfer $" &amp; 'Profit &amp; Loss'!O791 &amp; " per pax to Belle (83396501)" &amp; CHAR(10) &amp; CHAR(10) &amp; IF('Profit &amp; Loss'!I791=1, "1." &amp; CHAR(10) &amp; "2." &amp; CHAR(10) &amp; "3." &amp; CHAR(10) &amp; "4." &amp; CHAR(10) &amp; "5." &amp; CHAR(10) &amp; "6." &amp; CHAR(10), IF('Profit &amp; Loss'!I791=2,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89" spans="1:2" ht="12.5" x14ac:dyDescent="0.25">
      <c r="A789" s="2" t="str">
        <f ca="1">IF('Profit &amp; Loss'!A792&gt;=TODAY(),"Looking for friendly players to join the following game: " &amp; CHAR(10) &amp; CHAR(10) &amp; "Date: " &amp; TEXT('Profit &amp; Loss'!A792,"dd mmm yyy") &amp; ", " &amp; 'Profit &amp; Loss'!B792 &amp; CHAR(10) &amp; "Time: " &amp; TEXT('Profit &amp; Loss'!C792, "hh:mm AM/PM") &amp; " - " &amp; TEXT('Profit &amp; Loss'!D792, "hh:mm AM/PM") &amp; CHAR(10) &amp; "Venue: " &amp; 'Profit &amp; Loss'!E792 &amp; CHAR(10) &amp; "Level: HB - LI" &amp; CHAR(10) &amp; "Cost: $" &amp; 'Profit &amp; Loss'!O792 &amp; " per pax" &amp; CHAR(10) &amp; "Max " &amp; 'Profit &amp; Loss'!I792*6 &amp; " pax," &amp; " (" &amp; 'Profit &amp; Loss'!I792 &amp; " courts)" &amp; CHAR(10) &amp; CHAR(10) &amp; "RSL Ultimate shuttles provided" &amp; CHAR(10) &amp; CHAR(10) &amp; "PM if interested, thank you!"," ")</f>
        <v xml:space="preserve"> </v>
      </c>
      <c r="B789" s="2" t="str">
        <f ca="1">IF('Profit &amp; Loss'!A792&gt;=TODAY(), "Date: " &amp; TEXT('Profit &amp; Loss'!A792,"dd mmm yyy") &amp; ", " &amp; 'Profit &amp; Loss'!B792 &amp; CHAR(10) &amp; "Time: " &amp; TEXT('Profit &amp; Loss'!C792, "hh:mm AM/PM") &amp; " - " &amp; TEXT('Profit &amp; Loss'!D792, "hh:mm AM/PM") &amp; CHAR(10) &amp; "Venue: " &amp; 'Profit &amp; Loss'!E792 &amp; CHAR(10) &amp; "Court No.: " &amp; 'Profit &amp; Loss'!F792 &amp; CHAR(10) &amp; "Level: HB - LI" &amp; CHAR(10) &amp; "Please transfer $" &amp; 'Profit &amp; Loss'!O792 &amp; " per pax to Belle (83396501)" &amp; CHAR(10) &amp; CHAR(10) &amp; IF('Profit &amp; Loss'!I792=1, "1." &amp; CHAR(10) &amp; "2." &amp; CHAR(10) &amp; "3." &amp; CHAR(10) &amp; "4." &amp; CHAR(10) &amp; "5." &amp; CHAR(10) &amp; "6." &amp; CHAR(10), IF('Profit &amp; Loss'!I792=2,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0" spans="1:2" ht="12.5" x14ac:dyDescent="0.25">
      <c r="A790" s="2" t="str">
        <f ca="1">IF('Profit &amp; Loss'!A793&gt;=TODAY(),"Looking for friendly players to join the following game: " &amp; CHAR(10) &amp; CHAR(10) &amp; "Date: " &amp; TEXT('Profit &amp; Loss'!A793,"dd mmm yyy") &amp; ", " &amp; 'Profit &amp; Loss'!B793 &amp; CHAR(10) &amp; "Time: " &amp; TEXT('Profit &amp; Loss'!C793, "hh:mm AM/PM") &amp; " - " &amp; TEXT('Profit &amp; Loss'!D793, "hh:mm AM/PM") &amp; CHAR(10) &amp; "Venue: " &amp; 'Profit &amp; Loss'!E793 &amp; CHAR(10) &amp; "Level: HB - LI" &amp; CHAR(10) &amp; "Cost: $" &amp; 'Profit &amp; Loss'!O793 &amp; " per pax" &amp; CHAR(10) &amp; "Max " &amp; 'Profit &amp; Loss'!I793*6 &amp; " pax," &amp; " (" &amp; 'Profit &amp; Loss'!I793 &amp; " courts)" &amp; CHAR(10) &amp; CHAR(10) &amp; "RSL Ultimate shuttles provided" &amp; CHAR(10) &amp; CHAR(10) &amp; "PM if interested, thank you!"," ")</f>
        <v xml:space="preserve"> </v>
      </c>
      <c r="B790" s="2" t="str">
        <f ca="1">IF('Profit &amp; Loss'!A793&gt;=TODAY(), "Date: " &amp; TEXT('Profit &amp; Loss'!A793,"dd mmm yyy") &amp; ", " &amp; 'Profit &amp; Loss'!B793 &amp; CHAR(10) &amp; "Time: " &amp; TEXT('Profit &amp; Loss'!C793, "hh:mm AM/PM") &amp; " - " &amp; TEXT('Profit &amp; Loss'!D793, "hh:mm AM/PM") &amp; CHAR(10) &amp; "Venue: " &amp; 'Profit &amp; Loss'!E793 &amp; CHAR(10) &amp; "Court No.: " &amp; 'Profit &amp; Loss'!F793 &amp; CHAR(10) &amp; "Level: HB - LI" &amp; CHAR(10) &amp; "Please transfer $" &amp; 'Profit &amp; Loss'!O793 &amp; " per pax to Belle (83396501)" &amp; CHAR(10) &amp; CHAR(10) &amp; IF('Profit &amp; Loss'!I793=1, "1." &amp; CHAR(10) &amp; "2." &amp; CHAR(10) &amp; "3." &amp; CHAR(10) &amp; "4." &amp; CHAR(10) &amp; "5." &amp; CHAR(10) &amp; "6." &amp; CHAR(10), IF('Profit &amp; Loss'!I793=2,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1" spans="1:2" ht="12.5" x14ac:dyDescent="0.25">
      <c r="A791" s="2" t="str">
        <f ca="1">IF('Profit &amp; Loss'!A794&gt;=TODAY(),"Looking for friendly players to join the following game: " &amp; CHAR(10) &amp; CHAR(10) &amp; "Date: " &amp; TEXT('Profit &amp; Loss'!A794,"dd mmm yyy") &amp; ", " &amp; 'Profit &amp; Loss'!B794 &amp; CHAR(10) &amp; "Time: " &amp; TEXT('Profit &amp; Loss'!C794, "hh:mm AM/PM") &amp; " - " &amp; TEXT('Profit &amp; Loss'!D794, "hh:mm AM/PM") &amp; CHAR(10) &amp; "Venue: " &amp; 'Profit &amp; Loss'!E794 &amp; CHAR(10) &amp; "Level: HB - LI" &amp; CHAR(10) &amp; "Cost: $" &amp; 'Profit &amp; Loss'!O794 &amp; " per pax" &amp; CHAR(10) &amp; "Max " &amp; 'Profit &amp; Loss'!I794*6 &amp; " pax," &amp; " (" &amp; 'Profit &amp; Loss'!I794 &amp; " courts)" &amp; CHAR(10) &amp; CHAR(10) &amp; "RSL Ultimate shuttles provided" &amp; CHAR(10) &amp; CHAR(10) &amp; "PM if interested, thank you!"," ")</f>
        <v xml:space="preserve"> </v>
      </c>
      <c r="B791" s="2" t="str">
        <f ca="1">IF('Profit &amp; Loss'!A794&gt;=TODAY(), "Date: " &amp; TEXT('Profit &amp; Loss'!A794,"dd mmm yyy") &amp; ", " &amp; 'Profit &amp; Loss'!B794 &amp; CHAR(10) &amp; "Time: " &amp; TEXT('Profit &amp; Loss'!C794, "hh:mm AM/PM") &amp; " - " &amp; TEXT('Profit &amp; Loss'!D794, "hh:mm AM/PM") &amp; CHAR(10) &amp; "Venue: " &amp; 'Profit &amp; Loss'!E794 &amp; CHAR(10) &amp; "Court No.: " &amp; 'Profit &amp; Loss'!F794 &amp; CHAR(10) &amp; "Level: HB - LI" &amp; CHAR(10) &amp; "Please transfer $" &amp; 'Profit &amp; Loss'!O794 &amp; " per pax to Belle (83396501)" &amp; CHAR(10) &amp; CHAR(10) &amp; IF('Profit &amp; Loss'!I794=1, "1." &amp; CHAR(10) &amp; "2." &amp; CHAR(10) &amp; "3." &amp; CHAR(10) &amp; "4." &amp; CHAR(10) &amp; "5." &amp; CHAR(10) &amp; "6." &amp; CHAR(10), IF('Profit &amp; Loss'!I794=2,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2" spans="1:2" ht="12.5" x14ac:dyDescent="0.25">
      <c r="A792" s="2" t="str">
        <f ca="1">IF('Profit &amp; Loss'!A795&gt;=TODAY(),"Looking for friendly players to join the following game: " &amp; CHAR(10) &amp; CHAR(10) &amp; "Date: " &amp; TEXT('Profit &amp; Loss'!A795,"dd mmm yyy") &amp; ", " &amp; 'Profit &amp; Loss'!B795 &amp; CHAR(10) &amp; "Time: " &amp; TEXT('Profit &amp; Loss'!C795, "hh:mm AM/PM") &amp; " - " &amp; TEXT('Profit &amp; Loss'!D795, "hh:mm AM/PM") &amp; CHAR(10) &amp; "Venue: " &amp; 'Profit &amp; Loss'!E795 &amp; CHAR(10) &amp; "Level: HB - LI" &amp; CHAR(10) &amp; "Cost: $" &amp; 'Profit &amp; Loss'!O795 &amp; " per pax" &amp; CHAR(10) &amp; "Max " &amp; 'Profit &amp; Loss'!I795*6 &amp; " pax," &amp; " (" &amp; 'Profit &amp; Loss'!I795 &amp; " courts)" &amp; CHAR(10) &amp; CHAR(10) &amp; "RSL Ultimate shuttles provided" &amp; CHAR(10) &amp; CHAR(10) &amp; "PM if interested, thank you!"," ")</f>
        <v xml:space="preserve"> </v>
      </c>
      <c r="B792" s="2" t="str">
        <f ca="1">IF('Profit &amp; Loss'!A795&gt;=TODAY(), "Date: " &amp; TEXT('Profit &amp; Loss'!A795,"dd mmm yyy") &amp; ", " &amp; 'Profit &amp; Loss'!B795 &amp; CHAR(10) &amp; "Time: " &amp; TEXT('Profit &amp; Loss'!C795, "hh:mm AM/PM") &amp; " - " &amp; TEXT('Profit &amp; Loss'!D795, "hh:mm AM/PM") &amp; CHAR(10) &amp; "Venue: " &amp; 'Profit &amp; Loss'!E795 &amp; CHAR(10) &amp; "Court No.: " &amp; 'Profit &amp; Loss'!F795 &amp; CHAR(10) &amp; "Level: HB - LI" &amp; CHAR(10) &amp; "Please transfer $" &amp; 'Profit &amp; Loss'!O795 &amp; " per pax to Belle (83396501)" &amp; CHAR(10) &amp; CHAR(10) &amp; IF('Profit &amp; Loss'!I795=1, "1." &amp; CHAR(10) &amp; "2." &amp; CHAR(10) &amp; "3." &amp; CHAR(10) &amp; "4." &amp; CHAR(10) &amp; "5." &amp; CHAR(10) &amp; "6." &amp; CHAR(10), IF('Profit &amp; Loss'!I795=2,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3" spans="1:2" ht="12.5" x14ac:dyDescent="0.25">
      <c r="A793" s="2" t="str">
        <f ca="1">IF('Profit &amp; Loss'!A796&gt;=TODAY(),"Looking for friendly players to join the following game: " &amp; CHAR(10) &amp; CHAR(10) &amp; "Date: " &amp; TEXT('Profit &amp; Loss'!A796,"dd mmm yyy") &amp; ", " &amp; 'Profit &amp; Loss'!B796 &amp; CHAR(10) &amp; "Time: " &amp; TEXT('Profit &amp; Loss'!C796, "hh:mm AM/PM") &amp; " - " &amp; TEXT('Profit &amp; Loss'!D796, "hh:mm AM/PM") &amp; CHAR(10) &amp; "Venue: " &amp; 'Profit &amp; Loss'!E796 &amp; CHAR(10) &amp; "Level: HB - LI" &amp; CHAR(10) &amp; "Cost: $" &amp; 'Profit &amp; Loss'!O796 &amp; " per pax" &amp; CHAR(10) &amp; "Max " &amp; 'Profit &amp; Loss'!I796*6 &amp; " pax," &amp; " (" &amp; 'Profit &amp; Loss'!I796 &amp; " courts)" &amp; CHAR(10) &amp; CHAR(10) &amp; "RSL Ultimate shuttles provided" &amp; CHAR(10) &amp; CHAR(10) &amp; "PM if interested, thank you!"," ")</f>
        <v xml:space="preserve"> </v>
      </c>
      <c r="B793" s="2" t="str">
        <f ca="1">IF('Profit &amp; Loss'!A796&gt;=TODAY(), "Date: " &amp; TEXT('Profit &amp; Loss'!A796,"dd mmm yyy") &amp; ", " &amp; 'Profit &amp; Loss'!B796 &amp; CHAR(10) &amp; "Time: " &amp; TEXT('Profit &amp; Loss'!C796, "hh:mm AM/PM") &amp; " - " &amp; TEXT('Profit &amp; Loss'!D796, "hh:mm AM/PM") &amp; CHAR(10) &amp; "Venue: " &amp; 'Profit &amp; Loss'!E796 &amp; CHAR(10) &amp; "Court No.: " &amp; 'Profit &amp; Loss'!F796 &amp; CHAR(10) &amp; "Level: HB - LI" &amp; CHAR(10) &amp; "Please transfer $" &amp; 'Profit &amp; Loss'!O796 &amp; " per pax to Belle (83396501)" &amp; CHAR(10) &amp; CHAR(10) &amp; IF('Profit &amp; Loss'!I796=1, "1." &amp; CHAR(10) &amp; "2." &amp; CHAR(10) &amp; "3." &amp; CHAR(10) &amp; "4." &amp; CHAR(10) &amp; "5." &amp; CHAR(10) &amp; "6." &amp; CHAR(10), IF('Profit &amp; Loss'!I796=2,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4" spans="1:2" ht="12.5" x14ac:dyDescent="0.25">
      <c r="A794" s="2" t="str">
        <f ca="1">IF('Profit &amp; Loss'!A797&gt;=TODAY(),"Looking for friendly players to join the following game: " &amp; CHAR(10) &amp; CHAR(10) &amp; "Date: " &amp; TEXT('Profit &amp; Loss'!A797,"dd mmm yyy") &amp; ", " &amp; 'Profit &amp; Loss'!B797 &amp; CHAR(10) &amp; "Time: " &amp; TEXT('Profit &amp; Loss'!C797, "hh:mm AM/PM") &amp; " - " &amp; TEXT('Profit &amp; Loss'!D797, "hh:mm AM/PM") &amp; CHAR(10) &amp; "Venue: " &amp; 'Profit &amp; Loss'!E797 &amp; CHAR(10) &amp; "Level: HB - LI" &amp; CHAR(10) &amp; "Cost: $" &amp; 'Profit &amp; Loss'!O797 &amp; " per pax" &amp; CHAR(10) &amp; "Max " &amp; 'Profit &amp; Loss'!I797*6 &amp; " pax," &amp; " (" &amp; 'Profit &amp; Loss'!I797 &amp; " courts)" &amp; CHAR(10) &amp; CHAR(10) &amp; "RSL Ultimate shuttles provided" &amp; CHAR(10) &amp; CHAR(10) &amp; "PM if interested, thank you!"," ")</f>
        <v xml:space="preserve"> </v>
      </c>
      <c r="B794" s="2" t="str">
        <f ca="1">IF('Profit &amp; Loss'!A797&gt;=TODAY(), "Date: " &amp; TEXT('Profit &amp; Loss'!A797,"dd mmm yyy") &amp; ", " &amp; 'Profit &amp; Loss'!B797 &amp; CHAR(10) &amp; "Time: " &amp; TEXT('Profit &amp; Loss'!C797, "hh:mm AM/PM") &amp; " - " &amp; TEXT('Profit &amp; Loss'!D797, "hh:mm AM/PM") &amp; CHAR(10) &amp; "Venue: " &amp; 'Profit &amp; Loss'!E797 &amp; CHAR(10) &amp; "Court No.: " &amp; 'Profit &amp; Loss'!F797 &amp; CHAR(10) &amp; "Level: HB - LI" &amp; CHAR(10) &amp; "Please transfer $" &amp; 'Profit &amp; Loss'!O797 &amp; " per pax to Belle (83396501)" &amp; CHAR(10) &amp; CHAR(10) &amp; IF('Profit &amp; Loss'!I797=1, "1." &amp; CHAR(10) &amp; "2." &amp; CHAR(10) &amp; "3." &amp; CHAR(10) &amp; "4." &amp; CHAR(10) &amp; "5." &amp; CHAR(10) &amp; "6." &amp; CHAR(10), IF('Profit &amp; Loss'!I797=2,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5" spans="1:2" ht="12.5" x14ac:dyDescent="0.25">
      <c r="A795" s="2" t="str">
        <f ca="1">IF('Profit &amp; Loss'!A798&gt;=TODAY(),"Looking for friendly players to join the following game: " &amp; CHAR(10) &amp; CHAR(10) &amp; "Date: " &amp; TEXT('Profit &amp; Loss'!A798,"dd mmm yyy") &amp; ", " &amp; 'Profit &amp; Loss'!B798 &amp; CHAR(10) &amp; "Time: " &amp; TEXT('Profit &amp; Loss'!C798, "hh:mm AM/PM") &amp; " - " &amp; TEXT('Profit &amp; Loss'!D798, "hh:mm AM/PM") &amp; CHAR(10) &amp; "Venue: " &amp; 'Profit &amp; Loss'!E798 &amp; CHAR(10) &amp; "Level: HB - LI" &amp; CHAR(10) &amp; "Cost: $" &amp; 'Profit &amp; Loss'!O798 &amp; " per pax" &amp; CHAR(10) &amp; "Max " &amp; 'Profit &amp; Loss'!I798*6 &amp; " pax," &amp; " (" &amp; 'Profit &amp; Loss'!I798 &amp; " courts)" &amp; CHAR(10) &amp; CHAR(10) &amp; "RSL Ultimate shuttles provided" &amp; CHAR(10) &amp; CHAR(10) &amp; "PM if interested, thank you!"," ")</f>
        <v xml:space="preserve"> </v>
      </c>
      <c r="B795" s="2" t="str">
        <f ca="1">IF('Profit &amp; Loss'!A798&gt;=TODAY(), "Date: " &amp; TEXT('Profit &amp; Loss'!A798,"dd mmm yyy") &amp; ", " &amp; 'Profit &amp; Loss'!B798 &amp; CHAR(10) &amp; "Time: " &amp; TEXT('Profit &amp; Loss'!C798, "hh:mm AM/PM") &amp; " - " &amp; TEXT('Profit &amp; Loss'!D798, "hh:mm AM/PM") &amp; CHAR(10) &amp; "Venue: " &amp; 'Profit &amp; Loss'!E798 &amp; CHAR(10) &amp; "Court No.: " &amp; 'Profit &amp; Loss'!F798 &amp; CHAR(10) &amp; "Level: HB - LI" &amp; CHAR(10) &amp; "Please transfer $" &amp; 'Profit &amp; Loss'!O798 &amp; " per pax to Belle (83396501)" &amp; CHAR(10) &amp; CHAR(10) &amp; IF('Profit &amp; Loss'!I798=1, "1." &amp; CHAR(10) &amp; "2." &amp; CHAR(10) &amp; "3." &amp; CHAR(10) &amp; "4." &amp; CHAR(10) &amp; "5." &amp; CHAR(10) &amp; "6." &amp; CHAR(10), IF('Profit &amp; Loss'!I798=2,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6" spans="1:2" ht="12.5" x14ac:dyDescent="0.25">
      <c r="A796" s="2" t="str">
        <f ca="1">IF('Profit &amp; Loss'!A799&gt;=TODAY(),"Looking for friendly players to join the following game: " &amp; CHAR(10) &amp; CHAR(10) &amp; "Date: " &amp; TEXT('Profit &amp; Loss'!A799,"dd mmm yyy") &amp; ", " &amp; 'Profit &amp; Loss'!B799 &amp; CHAR(10) &amp; "Time: " &amp; TEXT('Profit &amp; Loss'!C799, "hh:mm AM/PM") &amp; " - " &amp; TEXT('Profit &amp; Loss'!D799, "hh:mm AM/PM") &amp; CHAR(10) &amp; "Venue: " &amp; 'Profit &amp; Loss'!E799 &amp; CHAR(10) &amp; "Level: HB - LI" &amp; CHAR(10) &amp; "Cost: $" &amp; 'Profit &amp; Loss'!O799 &amp; " per pax" &amp; CHAR(10) &amp; "Max " &amp; 'Profit &amp; Loss'!I799*6 &amp; " pax," &amp; " (" &amp; 'Profit &amp; Loss'!I799 &amp; " courts)" &amp; CHAR(10) &amp; CHAR(10) &amp; "RSL Ultimate shuttles provided" &amp; CHAR(10) &amp; CHAR(10) &amp; "PM if interested, thank you!"," ")</f>
        <v xml:space="preserve"> </v>
      </c>
      <c r="B796" s="2" t="str">
        <f ca="1">IF('Profit &amp; Loss'!A799&gt;=TODAY(), "Date: " &amp; TEXT('Profit &amp; Loss'!A799,"dd mmm yyy") &amp; ", " &amp; 'Profit &amp; Loss'!B799 &amp; CHAR(10) &amp; "Time: " &amp; TEXT('Profit &amp; Loss'!C799, "hh:mm AM/PM") &amp; " - " &amp; TEXT('Profit &amp; Loss'!D799, "hh:mm AM/PM") &amp; CHAR(10) &amp; "Venue: " &amp; 'Profit &amp; Loss'!E799 &amp; CHAR(10) &amp; "Court No.: " &amp; 'Profit &amp; Loss'!F799 &amp; CHAR(10) &amp; "Level: HB - LI" &amp; CHAR(10) &amp; "Please transfer $" &amp; 'Profit &amp; Loss'!O799 &amp; " per pax to Belle (83396501)" &amp; CHAR(10) &amp; CHAR(10) &amp; IF('Profit &amp; Loss'!I799=1, "1." &amp; CHAR(10) &amp; "2." &amp; CHAR(10) &amp; "3." &amp; CHAR(10) &amp; "4." &amp; CHAR(10) &amp; "5." &amp; CHAR(10) &amp; "6." &amp; CHAR(10), IF('Profit &amp; Loss'!I799=2,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Loss'!I799=3,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7" spans="1:2" ht="12.5" x14ac:dyDescent="0.25">
      <c r="A797" s="2" t="str">
        <f ca="1">IF('Profit &amp; Loss'!A800&gt;=TODAY(),"Looking for friendly players to join the following game: " &amp; CHAR(10) &amp; CHAR(10) &amp; "Date: " &amp; TEXT('Profit &amp; Loss'!A800,"dd mmm yyy") &amp; ", " &amp; 'Profit &amp; Loss'!B800 &amp; CHAR(10) &amp; "Time: " &amp; TEXT('Profit &amp; Loss'!C800, "hh:mm AM/PM") &amp; " - " &amp; TEXT('Profit &amp; Loss'!D800, "hh:mm AM/PM") &amp; CHAR(10) &amp; "Venue: " &amp; 'Profit &amp; Loss'!E800 &amp; CHAR(10) &amp; "Level: HB - LI" &amp; CHAR(10) &amp; "Cost: $" &amp; 'Profit &amp; Loss'!O800 &amp; " per pax" &amp; CHAR(10) &amp; "Max " &amp; 'Profit &amp; Loss'!I800*6 &amp; " pax," &amp; " (" &amp; 'Profit &amp; Loss'!I800 &amp; " courts)" &amp; CHAR(10) &amp; CHAR(10) &amp; "RSL Ultimate shuttles provided" &amp; CHAR(10) &amp; CHAR(10) &amp; "PM if interested, thank you!"," ")</f>
        <v xml:space="preserve"> </v>
      </c>
      <c r="B797" s="2" t="str">
        <f ca="1">IF('Profit &amp; Loss'!A800&gt;=TODAY(), "Date: " &amp; TEXT('Profit &amp; Loss'!A800,"dd mmm yyy") &amp; ", " &amp; 'Profit &amp; Loss'!B800 &amp; CHAR(10) &amp; "Time: " &amp; TEXT('Profit &amp; Loss'!C800, "hh:mm AM/PM") &amp; " - " &amp; TEXT('Profit &amp; Loss'!D800, "hh:mm AM/PM") &amp; CHAR(10) &amp; "Venue: " &amp; 'Profit &amp; Loss'!E800 &amp; CHAR(10) &amp; "Court No.: " &amp; 'Profit &amp; Loss'!F800 &amp; CHAR(10) &amp; "Level: HB - LI" &amp; CHAR(10) &amp; "Please transfer $" &amp; 'Profit &amp; Loss'!O800 &amp; " per pax to Belle (83396501)" &amp; CHAR(10) &amp; CHAR(10) &amp; IF('Profit &amp; Loss'!I800=1, "1." &amp; CHAR(10) &amp; "2." &amp; CHAR(10) &amp; "3." &amp; CHAR(10) &amp; "4." &amp; CHAR(10) &amp; "5." &amp; CHAR(10) &amp; "6." &amp; CHAR(10), IF('Profit &amp; Loss'!I800=2,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8" spans="1:2" ht="12.5" x14ac:dyDescent="0.25">
      <c r="A798" s="2" t="str">
        <f ca="1">IF('Profit &amp; Loss'!A801&gt;=TODAY(),"Looking for friendly players to join the following game: " &amp; CHAR(10) &amp; CHAR(10) &amp; "Date: " &amp; TEXT('Profit &amp; Loss'!A801,"dd mmm yyy") &amp; ", " &amp; 'Profit &amp; Loss'!B801 &amp; CHAR(10) &amp; "Time: " &amp; TEXT('Profit &amp; Loss'!C801, "hh:mm AM/PM") &amp; " - " &amp; TEXT('Profit &amp; Loss'!D801, "hh:mm AM/PM") &amp; CHAR(10) &amp; "Venue: " &amp; 'Profit &amp; Loss'!E801 &amp; CHAR(10) &amp; "Level: HB - LI" &amp; CHAR(10) &amp; "Cost: $" &amp; 'Profit &amp; Loss'!O801 &amp; " per pax" &amp; CHAR(10) &amp; "Max " &amp; 'Profit &amp; Loss'!I801*6 &amp; " pax," &amp; " (" &amp; 'Profit &amp; Loss'!I801 &amp; " courts)" &amp; CHAR(10) &amp; CHAR(10) &amp; "RSL Ultimate shuttles provided" &amp; CHAR(10) &amp; CHAR(10) &amp; "PM if interested, thank you!"," ")</f>
        <v xml:space="preserve"> </v>
      </c>
      <c r="B798" s="2" t="str">
        <f ca="1">IF('Profit &amp; Loss'!A801&gt;=TODAY(), "Date: " &amp; TEXT('Profit &amp; Loss'!A801,"dd mmm yyy") &amp; ", " &amp; 'Profit &amp; Loss'!B801 &amp; CHAR(10) &amp; "Time: " &amp; TEXT('Profit &amp; Loss'!C801, "hh:mm AM/PM") &amp; " - " &amp; TEXT('Profit &amp; Loss'!D801, "hh:mm AM/PM") &amp; CHAR(10) &amp; "Venue: " &amp; 'Profit &amp; Loss'!E801 &amp; CHAR(10) &amp; "Court No.: " &amp; 'Profit &amp; Loss'!F801 &amp; CHAR(10) &amp; "Level: HB - LI" &amp; CHAR(10) &amp; "Please transfer $" &amp; 'Profit &amp; Loss'!O801 &amp; " per pax to Belle (83396501)" &amp; CHAR(10) &amp; CHAR(10) &amp; IF('Profit &amp; Loss'!I801=1, "1." &amp; CHAR(10) &amp; "2." &amp; CHAR(10) &amp; "3." &amp; CHAR(10) &amp; "4." &amp; CHAR(10) &amp; "5." &amp; CHAR(10) &amp; "6." &amp; CHAR(10), IF('Profit &amp; Loss'!I801=2,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799" spans="1:2" ht="12.5" x14ac:dyDescent="0.25">
      <c r="A799" s="2" t="str">
        <f ca="1">IF('Profit &amp; Loss'!A802&gt;=TODAY(),"Looking for friendly players to join the following game: " &amp; CHAR(10) &amp; CHAR(10) &amp; "Date: " &amp; TEXT('Profit &amp; Loss'!A802,"dd mmm yyy") &amp; ", " &amp; 'Profit &amp; Loss'!B802 &amp; CHAR(10) &amp; "Time: " &amp; TEXT('Profit &amp; Loss'!C802, "hh:mm AM/PM") &amp; " - " &amp; TEXT('Profit &amp; Loss'!D802, "hh:mm AM/PM") &amp; CHAR(10) &amp; "Venue: " &amp; 'Profit &amp; Loss'!E802 &amp; CHAR(10) &amp; "Level: HB - LI" &amp; CHAR(10) &amp; "Cost: $" &amp; 'Profit &amp; Loss'!O802 &amp; " per pax" &amp; CHAR(10) &amp; "Max " &amp; 'Profit &amp; Loss'!I802*6 &amp; " pax," &amp; " (" &amp; 'Profit &amp; Loss'!I802 &amp; " courts)" &amp; CHAR(10) &amp; CHAR(10) &amp; "RSL Ultimate shuttles provided" &amp; CHAR(10) &amp; CHAR(10) &amp; "PM if interested, thank you!"," ")</f>
        <v xml:space="preserve"> </v>
      </c>
      <c r="B799" s="2" t="str">
        <f ca="1">IF('Profit &amp; Loss'!A802&gt;=TODAY(), "Date: " &amp; TEXT('Profit &amp; Loss'!A802,"dd mmm yyy") &amp; ", " &amp; 'Profit &amp; Loss'!B802 &amp; CHAR(10) &amp; "Time: " &amp; TEXT('Profit &amp; Loss'!C802, "hh:mm AM/PM") &amp; " - " &amp; TEXT('Profit &amp; Loss'!D802, "hh:mm AM/PM") &amp; CHAR(10) &amp; "Venue: " &amp; 'Profit &amp; Loss'!E802 &amp; CHAR(10) &amp; "Court No.: " &amp; 'Profit &amp; Loss'!F802 &amp; CHAR(10) &amp; "Level: HB - LI" &amp; CHAR(10) &amp; "Please transfer $" &amp; 'Profit &amp; Loss'!O802 &amp; " per pax to Belle (83396501)" &amp; CHAR(10) &amp; CHAR(10) &amp; IF('Profit &amp; Loss'!I802=1, "1." &amp; CHAR(10) &amp; "2." &amp; CHAR(10) &amp; "3." &amp; CHAR(10) &amp; "4." &amp; CHAR(10) &amp; "5." &amp; CHAR(10) &amp; "6." &amp; CHAR(10), IF('Profit &amp; Loss'!I802=2,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0" spans="1:2" ht="12.5" x14ac:dyDescent="0.25">
      <c r="A800" s="2" t="str">
        <f ca="1">IF('Profit &amp; Loss'!A803&gt;=TODAY(),"Looking for friendly players to join the following game: " &amp; CHAR(10) &amp; CHAR(10) &amp; "Date: " &amp; TEXT('Profit &amp; Loss'!A803,"dd mmm yyy") &amp; ", " &amp; 'Profit &amp; Loss'!B803 &amp; CHAR(10) &amp; "Time: " &amp; TEXT('Profit &amp; Loss'!C803, "hh:mm AM/PM") &amp; " - " &amp; TEXT('Profit &amp; Loss'!D803, "hh:mm AM/PM") &amp; CHAR(10) &amp; "Venue: " &amp; 'Profit &amp; Loss'!E803 &amp; CHAR(10) &amp; "Level: HB - LI" &amp; CHAR(10) &amp; "Cost: $" &amp; 'Profit &amp; Loss'!O803 &amp; " per pax" &amp; CHAR(10) &amp; "Max " &amp; 'Profit &amp; Loss'!I803*6 &amp; " pax," &amp; " (" &amp; 'Profit &amp; Loss'!I803 &amp; " courts)" &amp; CHAR(10) &amp; CHAR(10) &amp; "RSL Ultimate shuttles provided" &amp; CHAR(10) &amp; CHAR(10) &amp; "PM if interested, thank you!"," ")</f>
        <v xml:space="preserve"> </v>
      </c>
      <c r="B800" s="2" t="str">
        <f ca="1">IF('Profit &amp; Loss'!A803&gt;=TODAY(), "Date: " &amp; TEXT('Profit &amp; Loss'!A803,"dd mmm yyy") &amp; ", " &amp; 'Profit &amp; Loss'!B803 &amp; CHAR(10) &amp; "Time: " &amp; TEXT('Profit &amp; Loss'!C803, "hh:mm AM/PM") &amp; " - " &amp; TEXT('Profit &amp; Loss'!D803, "hh:mm AM/PM") &amp; CHAR(10) &amp; "Venue: " &amp; 'Profit &amp; Loss'!E803 &amp; CHAR(10) &amp; "Court No.: " &amp; 'Profit &amp; Loss'!F803 &amp; CHAR(10) &amp; "Level: HB - LI" &amp; CHAR(10) &amp; "Please transfer $" &amp; 'Profit &amp; Loss'!O803 &amp; " per pax to Belle (83396501)" &amp; CHAR(10) &amp; CHAR(10) &amp; IF('Profit &amp; Loss'!I803=1, "1." &amp; CHAR(10) &amp; "2." &amp; CHAR(10) &amp; "3." &amp; CHAR(10) &amp; "4." &amp; CHAR(10) &amp; "5." &amp; CHAR(10) &amp; "6." &amp; CHAR(10), IF('Profit &amp; Loss'!I803=2,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1" spans="1:2" ht="12.5" x14ac:dyDescent="0.25">
      <c r="A801" s="2" t="str">
        <f ca="1">IF('Profit &amp; Loss'!A804&gt;=TODAY(),"Looking for friendly players to join the following game: " &amp; CHAR(10) &amp; CHAR(10) &amp; "Date: " &amp; TEXT('Profit &amp; Loss'!A804,"dd mmm yyy") &amp; ", " &amp; 'Profit &amp; Loss'!B804 &amp; CHAR(10) &amp; "Time: " &amp; TEXT('Profit &amp; Loss'!C804, "hh:mm AM/PM") &amp; " - " &amp; TEXT('Profit &amp; Loss'!D804, "hh:mm AM/PM") &amp; CHAR(10) &amp; "Venue: " &amp; 'Profit &amp; Loss'!E804 &amp; CHAR(10) &amp; "Level: HB - LI" &amp; CHAR(10) &amp; "Cost: $" &amp; 'Profit &amp; Loss'!O804 &amp; " per pax" &amp; CHAR(10) &amp; "Max " &amp; 'Profit &amp; Loss'!I804*6 &amp; " pax," &amp; " (" &amp; 'Profit &amp; Loss'!I804 &amp; " courts)" &amp; CHAR(10) &amp; CHAR(10) &amp; "RSL Ultimate shuttles provided" &amp; CHAR(10) &amp; CHAR(10) &amp; "PM if interested, thank you!"," ")</f>
        <v xml:space="preserve"> </v>
      </c>
      <c r="B801" s="2" t="str">
        <f ca="1">IF('Profit &amp; Loss'!A804&gt;=TODAY(), "Date: " &amp; TEXT('Profit &amp; Loss'!A804,"dd mmm yyy") &amp; ", " &amp; 'Profit &amp; Loss'!B804 &amp; CHAR(10) &amp; "Time: " &amp; TEXT('Profit &amp; Loss'!C804, "hh:mm AM/PM") &amp; " - " &amp; TEXT('Profit &amp; Loss'!D804, "hh:mm AM/PM") &amp; CHAR(10) &amp; "Venue: " &amp; 'Profit &amp; Loss'!E804 &amp; CHAR(10) &amp; "Court No.: " &amp; 'Profit &amp; Loss'!F804 &amp; CHAR(10) &amp; "Level: HB - LI" &amp; CHAR(10) &amp; "Please transfer $" &amp; 'Profit &amp; Loss'!O804 &amp; " per pax to Belle (83396501)" &amp; CHAR(10) &amp; CHAR(10) &amp; IF('Profit &amp; Loss'!I804=1, "1." &amp; CHAR(10) &amp; "2." &amp; CHAR(10) &amp; "3." &amp; CHAR(10) &amp; "4." &amp; CHAR(10) &amp; "5." &amp; CHAR(10) &amp; "6." &amp; CHAR(10), IF('Profit &amp; Loss'!I804=2,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2" spans="1:2" ht="12.5" x14ac:dyDescent="0.25">
      <c r="A802" s="2" t="str">
        <f ca="1">IF('Profit &amp; Loss'!A805&gt;=TODAY(),"Looking for friendly players to join the following game: " &amp; CHAR(10) &amp; CHAR(10) &amp; "Date: " &amp; TEXT('Profit &amp; Loss'!A805,"dd mmm yyy") &amp; ", " &amp; 'Profit &amp; Loss'!B805 &amp; CHAR(10) &amp; "Time: " &amp; TEXT('Profit &amp; Loss'!C805, "hh:mm AM/PM") &amp; " - " &amp; TEXT('Profit &amp; Loss'!D805, "hh:mm AM/PM") &amp; CHAR(10) &amp; "Venue: " &amp; 'Profit &amp; Loss'!E805 &amp; CHAR(10) &amp; "Level: HB - LI" &amp; CHAR(10) &amp; "Cost: $" &amp; 'Profit &amp; Loss'!O805 &amp; " per pax" &amp; CHAR(10) &amp; "Max " &amp; 'Profit &amp; Loss'!I805*6 &amp; " pax," &amp; " (" &amp; 'Profit &amp; Loss'!I805 &amp; " courts)" &amp; CHAR(10) &amp; CHAR(10) &amp; "RSL Ultimate shuttles provided" &amp; CHAR(10) &amp; CHAR(10) &amp; "PM if interested, thank you!"," ")</f>
        <v xml:space="preserve"> </v>
      </c>
      <c r="B802" s="2" t="str">
        <f ca="1">IF('Profit &amp; Loss'!A805&gt;=TODAY(), "Date: " &amp; TEXT('Profit &amp; Loss'!A805,"dd mmm yyy") &amp; ", " &amp; 'Profit &amp; Loss'!B805 &amp; CHAR(10) &amp; "Time: " &amp; TEXT('Profit &amp; Loss'!C805, "hh:mm AM/PM") &amp; " - " &amp; TEXT('Profit &amp; Loss'!D805, "hh:mm AM/PM") &amp; CHAR(10) &amp; "Venue: " &amp; 'Profit &amp; Loss'!E805 &amp; CHAR(10) &amp; "Court No.: " &amp; 'Profit &amp; Loss'!F805 &amp; CHAR(10) &amp; "Level: HB - LI" &amp; CHAR(10) &amp; "Please transfer $" &amp; 'Profit &amp; Loss'!O805 &amp; " per pax to Belle (83396501)" &amp; CHAR(10) &amp; CHAR(10) &amp; IF('Profit &amp; Loss'!I805=1, "1." &amp; CHAR(10) &amp; "2." &amp; CHAR(10) &amp; "3." &amp; CHAR(10) &amp; "4." &amp; CHAR(10) &amp; "5." &amp; CHAR(10) &amp; "6." &amp; CHAR(10), IF('Profit &amp; Loss'!I805=2,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3" spans="1:2" ht="12.5" x14ac:dyDescent="0.25">
      <c r="A803" s="2" t="str">
        <f ca="1">IF('Profit &amp; Loss'!A806&gt;=TODAY(),"Looking for friendly players to join the following game: " &amp; CHAR(10) &amp; CHAR(10) &amp; "Date: " &amp; TEXT('Profit &amp; Loss'!A806,"dd mmm yyy") &amp; ", " &amp; 'Profit &amp; Loss'!B806 &amp; CHAR(10) &amp; "Time: " &amp; TEXT('Profit &amp; Loss'!C806, "hh:mm AM/PM") &amp; " - " &amp; TEXT('Profit &amp; Loss'!D806, "hh:mm AM/PM") &amp; CHAR(10) &amp; "Venue: " &amp; 'Profit &amp; Loss'!E806 &amp; CHAR(10) &amp; "Level: HB - LI" &amp; CHAR(10) &amp; "Cost: $" &amp; 'Profit &amp; Loss'!O806 &amp; " per pax" &amp; CHAR(10) &amp; "Max " &amp; 'Profit &amp; Loss'!I806*6 &amp; " pax," &amp; " (" &amp; 'Profit &amp; Loss'!I806 &amp; " courts)" &amp; CHAR(10) &amp; CHAR(10) &amp; "RSL Ultimate shuttles provided" &amp; CHAR(10) &amp; CHAR(10) &amp; "PM if interested, thank you!"," ")</f>
        <v xml:space="preserve"> </v>
      </c>
      <c r="B803" s="2" t="str">
        <f ca="1">IF('Profit &amp; Loss'!A806&gt;=TODAY(), "Date: " &amp; TEXT('Profit &amp; Loss'!A806,"dd mmm yyy") &amp; ", " &amp; 'Profit &amp; Loss'!B806 &amp; CHAR(10) &amp; "Time: " &amp; TEXT('Profit &amp; Loss'!C806, "hh:mm AM/PM") &amp; " - " &amp; TEXT('Profit &amp; Loss'!D806, "hh:mm AM/PM") &amp; CHAR(10) &amp; "Venue: " &amp; 'Profit &amp; Loss'!E806 &amp; CHAR(10) &amp; "Court No.: " &amp; 'Profit &amp; Loss'!F806 &amp; CHAR(10) &amp; "Level: HB - LI" &amp; CHAR(10) &amp; "Please transfer $" &amp; 'Profit &amp; Loss'!O806 &amp; " per pax to Belle (83396501)" &amp; CHAR(10) &amp; CHAR(10) &amp; IF('Profit &amp; Loss'!I806=1, "1." &amp; CHAR(10) &amp; "2." &amp; CHAR(10) &amp; "3." &amp; CHAR(10) &amp; "4." &amp; CHAR(10) &amp; "5." &amp; CHAR(10) &amp; "6." &amp; CHAR(10), IF('Profit &amp; Loss'!I806=2,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4" spans="1:2" ht="12.5" x14ac:dyDescent="0.25">
      <c r="A804" s="2" t="str">
        <f ca="1">IF('Profit &amp; Loss'!A807&gt;=TODAY(),"Looking for friendly players to join the following game: " &amp; CHAR(10) &amp; CHAR(10) &amp; "Date: " &amp; TEXT('Profit &amp; Loss'!A807,"dd mmm yyy") &amp; ", " &amp; 'Profit &amp; Loss'!B807 &amp; CHAR(10) &amp; "Time: " &amp; TEXT('Profit &amp; Loss'!C807, "hh:mm AM/PM") &amp; " - " &amp; TEXT('Profit &amp; Loss'!D807, "hh:mm AM/PM") &amp; CHAR(10) &amp; "Venue: " &amp; 'Profit &amp; Loss'!E807 &amp; CHAR(10) &amp; "Level: HB - LI" &amp; CHAR(10) &amp; "Cost: $" &amp; 'Profit &amp; Loss'!O807 &amp; " per pax" &amp; CHAR(10) &amp; "Max " &amp; 'Profit &amp; Loss'!I807*6 &amp; " pax," &amp; " (" &amp; 'Profit &amp; Loss'!I807 &amp; " courts)" &amp; CHAR(10) &amp; CHAR(10) &amp; "RSL Ultimate shuttles provided" &amp; CHAR(10) &amp; CHAR(10) &amp; "PM if interested, thank you!"," ")</f>
        <v xml:space="preserve"> </v>
      </c>
      <c r="B804" s="2" t="str">
        <f ca="1">IF('Profit &amp; Loss'!A807&gt;=TODAY(), "Date: " &amp; TEXT('Profit &amp; Loss'!A807,"dd mmm yyy") &amp; ", " &amp; 'Profit &amp; Loss'!B807 &amp; CHAR(10) &amp; "Time: " &amp; TEXT('Profit &amp; Loss'!C807, "hh:mm AM/PM") &amp; " - " &amp; TEXT('Profit &amp; Loss'!D807, "hh:mm AM/PM") &amp; CHAR(10) &amp; "Venue: " &amp; 'Profit &amp; Loss'!E807 &amp; CHAR(10) &amp; "Court No.: " &amp; 'Profit &amp; Loss'!F807 &amp; CHAR(10) &amp; "Level: HB - LI" &amp; CHAR(10) &amp; "Please transfer $" &amp; 'Profit &amp; Loss'!O807 &amp; " per pax to Belle (83396501)" &amp; CHAR(10) &amp; CHAR(10) &amp; IF('Profit &amp; Loss'!I807=1, "1." &amp; CHAR(10) &amp; "2." &amp; CHAR(10) &amp; "3." &amp; CHAR(10) &amp; "4." &amp; CHAR(10) &amp; "5." &amp; CHAR(10) &amp; "6." &amp; CHAR(10), IF('Profit &amp; Loss'!I807=2,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5" spans="1:2" ht="12.5" x14ac:dyDescent="0.25">
      <c r="A805" s="2" t="str">
        <f ca="1">IF('Profit &amp; Loss'!A808&gt;=TODAY(),"Looking for friendly players to join the following game: " &amp; CHAR(10) &amp; CHAR(10) &amp; "Date: " &amp; TEXT('Profit &amp; Loss'!A808,"dd mmm yyy") &amp; ", " &amp; 'Profit &amp; Loss'!B808 &amp; CHAR(10) &amp; "Time: " &amp; TEXT('Profit &amp; Loss'!C808, "hh:mm AM/PM") &amp; " - " &amp; TEXT('Profit &amp; Loss'!D808, "hh:mm AM/PM") &amp; CHAR(10) &amp; "Venue: " &amp; 'Profit &amp; Loss'!E808 &amp; CHAR(10) &amp; "Level: HB - LI" &amp; CHAR(10) &amp; "Cost: $" &amp; 'Profit &amp; Loss'!O808 &amp; " per pax" &amp; CHAR(10) &amp; "Max " &amp; 'Profit &amp; Loss'!I808*6 &amp; " pax," &amp; " (" &amp; 'Profit &amp; Loss'!I808 &amp; " courts)" &amp; CHAR(10) &amp; CHAR(10) &amp; "RSL Ultimate shuttles provided" &amp; CHAR(10) &amp; CHAR(10) &amp; "PM if interested, thank you!"," ")</f>
        <v xml:space="preserve"> </v>
      </c>
      <c r="B805" s="2" t="str">
        <f ca="1">IF('Profit &amp; Loss'!A808&gt;=TODAY(), "Date: " &amp; TEXT('Profit &amp; Loss'!A808,"dd mmm yyy") &amp; ", " &amp; 'Profit &amp; Loss'!B808 &amp; CHAR(10) &amp; "Time: " &amp; TEXT('Profit &amp; Loss'!C808, "hh:mm AM/PM") &amp; " - " &amp; TEXT('Profit &amp; Loss'!D808, "hh:mm AM/PM") &amp; CHAR(10) &amp; "Venue: " &amp; 'Profit &amp; Loss'!E808 &amp; CHAR(10) &amp; "Court No.: " &amp; 'Profit &amp; Loss'!F808 &amp; CHAR(10) &amp; "Level: HB - LI" &amp; CHAR(10) &amp; "Please transfer $" &amp; 'Profit &amp; Loss'!O808 &amp; " per pax to Belle (83396501)" &amp; CHAR(10) &amp; CHAR(10) &amp; IF('Profit &amp; Loss'!I808=1, "1." &amp; CHAR(10) &amp; "2." &amp; CHAR(10) &amp; "3." &amp; CHAR(10) &amp; "4." &amp; CHAR(10) &amp; "5." &amp; CHAR(10) &amp; "6." &amp; CHAR(10), IF('Profit &amp; Loss'!I808=2,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6" spans="1:2" ht="12.5" x14ac:dyDescent="0.25">
      <c r="A806" s="2" t="str">
        <f ca="1">IF('Profit &amp; Loss'!A809&gt;=TODAY(),"Looking for friendly players to join the following game: " &amp; CHAR(10) &amp; CHAR(10) &amp; "Date: " &amp; TEXT('Profit &amp; Loss'!A809,"dd mmm yyy") &amp; ", " &amp; 'Profit &amp; Loss'!B809 &amp; CHAR(10) &amp; "Time: " &amp; TEXT('Profit &amp; Loss'!C809, "hh:mm AM/PM") &amp; " - " &amp; TEXT('Profit &amp; Loss'!D809, "hh:mm AM/PM") &amp; CHAR(10) &amp; "Venue: " &amp; 'Profit &amp; Loss'!E809 &amp; CHAR(10) &amp; "Level: HB - LI" &amp; CHAR(10) &amp; "Cost: $" &amp; 'Profit &amp; Loss'!O809 &amp; " per pax" &amp; CHAR(10) &amp; "Max " &amp; 'Profit &amp; Loss'!I809*6 &amp; " pax," &amp; " (" &amp; 'Profit &amp; Loss'!I809 &amp; " courts)" &amp; CHAR(10) &amp; CHAR(10) &amp; "RSL Ultimate shuttles provided" &amp; CHAR(10) &amp; CHAR(10) &amp; "PM if interested, thank you!"," ")</f>
        <v xml:space="preserve"> </v>
      </c>
      <c r="B806" s="2" t="str">
        <f ca="1">IF('Profit &amp; Loss'!A809&gt;=TODAY(), "Date: " &amp; TEXT('Profit &amp; Loss'!A809,"dd mmm yyy") &amp; ", " &amp; 'Profit &amp; Loss'!B809 &amp; CHAR(10) &amp; "Time: " &amp; TEXT('Profit &amp; Loss'!C809, "hh:mm AM/PM") &amp; " - " &amp; TEXT('Profit &amp; Loss'!D809, "hh:mm AM/PM") &amp; CHAR(10) &amp; "Venue: " &amp; 'Profit &amp; Loss'!E809 &amp; CHAR(10) &amp; "Court No.: " &amp; 'Profit &amp; Loss'!F809 &amp; CHAR(10) &amp; "Level: HB - LI" &amp; CHAR(10) &amp; "Please transfer $" &amp; 'Profit &amp; Loss'!O809 &amp; " per pax to Belle (83396501)" &amp; CHAR(10) &amp; CHAR(10) &amp; IF('Profit &amp; Loss'!I809=1, "1." &amp; CHAR(10) &amp; "2." &amp; CHAR(10) &amp; "3." &amp; CHAR(10) &amp; "4." &amp; CHAR(10) &amp; "5." &amp; CHAR(10) &amp; "6." &amp; CHAR(10), IF('Profit &amp; Loss'!I809=2,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7" spans="1:2" ht="12.5" x14ac:dyDescent="0.25">
      <c r="A807" s="2" t="str">
        <f ca="1">IF('Profit &amp; Loss'!A810&gt;=TODAY(),"Looking for friendly players to join the following game: " &amp; CHAR(10) &amp; CHAR(10) &amp; "Date: " &amp; TEXT('Profit &amp; Loss'!A810,"dd mmm yyy") &amp; ", " &amp; 'Profit &amp; Loss'!B810 &amp; CHAR(10) &amp; "Time: " &amp; TEXT('Profit &amp; Loss'!C810, "hh:mm AM/PM") &amp; " - " &amp; TEXT('Profit &amp; Loss'!D810, "hh:mm AM/PM") &amp; CHAR(10) &amp; "Venue: " &amp; 'Profit &amp; Loss'!E810 &amp; CHAR(10) &amp; "Level: HB - LI" &amp; CHAR(10) &amp; "Cost: $" &amp; 'Profit &amp; Loss'!O810 &amp; " per pax" &amp; CHAR(10) &amp; "Max " &amp; 'Profit &amp; Loss'!I810*6 &amp; " pax," &amp; " (" &amp; 'Profit &amp; Loss'!I810 &amp; " courts)" &amp; CHAR(10) &amp; CHAR(10) &amp; "RSL Ultimate shuttles provided" &amp; CHAR(10) &amp; CHAR(10) &amp; "PM if interested, thank you!"," ")</f>
        <v xml:space="preserve"> </v>
      </c>
      <c r="B807" s="2" t="str">
        <f ca="1">IF('Profit &amp; Loss'!A810&gt;=TODAY(), "Date: " &amp; TEXT('Profit &amp; Loss'!A810,"dd mmm yyy") &amp; ", " &amp; 'Profit &amp; Loss'!B810 &amp; CHAR(10) &amp; "Time: " &amp; TEXT('Profit &amp; Loss'!C810, "hh:mm AM/PM") &amp; " - " &amp; TEXT('Profit &amp; Loss'!D810, "hh:mm AM/PM") &amp; CHAR(10) &amp; "Venue: " &amp; 'Profit &amp; Loss'!E810 &amp; CHAR(10) &amp; "Court No.: " &amp; 'Profit &amp; Loss'!F810 &amp; CHAR(10) &amp; "Level: HB - LI" &amp; CHAR(10) &amp; "Please transfer $" &amp; 'Profit &amp; Loss'!O810 &amp; " per pax to Belle (83396501)" &amp; CHAR(10) &amp; CHAR(10) &amp; IF('Profit &amp; Loss'!I810=1, "1." &amp; CHAR(10) &amp; "2." &amp; CHAR(10) &amp; "3." &amp; CHAR(10) &amp; "4." &amp; CHAR(10) &amp; "5." &amp; CHAR(10) &amp; "6." &amp; CHAR(10), IF('Profit &amp; Loss'!I810=2,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8" spans="1:2" ht="12.5" x14ac:dyDescent="0.25">
      <c r="A808" s="2" t="str">
        <f ca="1">IF('Profit &amp; Loss'!A811&gt;=TODAY(),"Looking for friendly players to join the following game: " &amp; CHAR(10) &amp; CHAR(10) &amp; "Date: " &amp; TEXT('Profit &amp; Loss'!A811,"dd mmm yyy") &amp; ", " &amp; 'Profit &amp; Loss'!B811 &amp; CHAR(10) &amp; "Time: " &amp; TEXT('Profit &amp; Loss'!C811, "hh:mm AM/PM") &amp; " - " &amp; TEXT('Profit &amp; Loss'!D811, "hh:mm AM/PM") &amp; CHAR(10) &amp; "Venue: " &amp; 'Profit &amp; Loss'!E811 &amp; CHAR(10) &amp; "Level: HB - LI" &amp; CHAR(10) &amp; "Cost: $" &amp; 'Profit &amp; Loss'!O811 &amp; " per pax" &amp; CHAR(10) &amp; "Max " &amp; 'Profit &amp; Loss'!I811*6 &amp; " pax," &amp; " (" &amp; 'Profit &amp; Loss'!I811 &amp; " courts)" &amp; CHAR(10) &amp; CHAR(10) &amp; "RSL Ultimate shuttles provided" &amp; CHAR(10) &amp; CHAR(10) &amp; "PM if interested, thank you!"," ")</f>
        <v xml:space="preserve"> </v>
      </c>
      <c r="B808" s="2" t="str">
        <f ca="1">IF('Profit &amp; Loss'!A811&gt;=TODAY(), "Date: " &amp; TEXT('Profit &amp; Loss'!A811,"dd mmm yyy") &amp; ", " &amp; 'Profit &amp; Loss'!B811 &amp; CHAR(10) &amp; "Time: " &amp; TEXT('Profit &amp; Loss'!C811, "hh:mm AM/PM") &amp; " - " &amp; TEXT('Profit &amp; Loss'!D811, "hh:mm AM/PM") &amp; CHAR(10) &amp; "Venue: " &amp; 'Profit &amp; Loss'!E811 &amp; CHAR(10) &amp; "Court No.: " &amp; 'Profit &amp; Loss'!F811 &amp; CHAR(10) &amp; "Level: HB - LI" &amp; CHAR(10) &amp; "Please transfer $" &amp; 'Profit &amp; Loss'!O811 &amp; " per pax to Belle (83396501)" &amp; CHAR(10) &amp; CHAR(10) &amp; IF('Profit &amp; Loss'!I811=1, "1." &amp; CHAR(10) &amp; "2." &amp; CHAR(10) &amp; "3." &amp; CHAR(10) &amp; "4." &amp; CHAR(10) &amp; "5." &amp; CHAR(10) &amp; "6." &amp; CHAR(10), IF('Profit &amp; Loss'!I811=2,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09" spans="1:2" ht="12.5" x14ac:dyDescent="0.25">
      <c r="A809" s="2" t="str">
        <f ca="1">IF('Profit &amp; Loss'!A812&gt;=TODAY(),"Looking for friendly players to join the following game: " &amp; CHAR(10) &amp; CHAR(10) &amp; "Date: " &amp; TEXT('Profit &amp; Loss'!A812,"dd mmm yyy") &amp; ", " &amp; 'Profit &amp; Loss'!B812 &amp; CHAR(10) &amp; "Time: " &amp; TEXT('Profit &amp; Loss'!C812, "hh:mm AM/PM") &amp; " - " &amp; TEXT('Profit &amp; Loss'!D812, "hh:mm AM/PM") &amp; CHAR(10) &amp; "Venue: " &amp; 'Profit &amp; Loss'!E812 &amp; CHAR(10) &amp; "Level: HB - LI" &amp; CHAR(10) &amp; "Cost: $" &amp; 'Profit &amp; Loss'!O812 &amp; " per pax" &amp; CHAR(10) &amp; "Max " &amp; 'Profit &amp; Loss'!I812*6 &amp; " pax," &amp; " (" &amp; 'Profit &amp; Loss'!I812 &amp; " courts)" &amp; CHAR(10) &amp; CHAR(10) &amp; "RSL Ultimate shuttles provided" &amp; CHAR(10) &amp; CHAR(10) &amp; "PM if interested, thank you!"," ")</f>
        <v xml:space="preserve"> </v>
      </c>
      <c r="B809" s="2" t="str">
        <f ca="1">IF('Profit &amp; Loss'!A812&gt;=TODAY(), "Date: " &amp; TEXT('Profit &amp; Loss'!A812,"dd mmm yyy") &amp; ", " &amp; 'Profit &amp; Loss'!B812 &amp; CHAR(10) &amp; "Time: " &amp; TEXT('Profit &amp; Loss'!C812, "hh:mm AM/PM") &amp; " - " &amp; TEXT('Profit &amp; Loss'!D812, "hh:mm AM/PM") &amp; CHAR(10) &amp; "Venue: " &amp; 'Profit &amp; Loss'!E812 &amp; CHAR(10) &amp; "Court No.: " &amp; 'Profit &amp; Loss'!F812 &amp; CHAR(10) &amp; "Level: HB - LI" &amp; CHAR(10) &amp; "Please transfer $" &amp; 'Profit &amp; Loss'!O812 &amp; " per pax to Belle (83396501)" &amp; CHAR(10) &amp; CHAR(10) &amp; IF('Profit &amp; Loss'!I812=1, "1." &amp; CHAR(10) &amp; "2." &amp; CHAR(10) &amp; "3." &amp; CHAR(10) &amp; "4." &amp; CHAR(10) &amp; "5." &amp; CHAR(10) &amp; "6." &amp; CHAR(10), IF('Profit &amp; Loss'!I812=2,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0" spans="1:2" ht="12.5" x14ac:dyDescent="0.25">
      <c r="A810" s="2" t="str">
        <f ca="1">IF('Profit &amp; Loss'!A813&gt;=TODAY(),"Looking for friendly players to join the following game: " &amp; CHAR(10) &amp; CHAR(10) &amp; "Date: " &amp; TEXT('Profit &amp; Loss'!A813,"dd mmm yyy") &amp; ", " &amp; 'Profit &amp; Loss'!B813 &amp; CHAR(10) &amp; "Time: " &amp; TEXT('Profit &amp; Loss'!C813, "hh:mm AM/PM") &amp; " - " &amp; TEXT('Profit &amp; Loss'!D813, "hh:mm AM/PM") &amp; CHAR(10) &amp; "Venue: " &amp; 'Profit &amp; Loss'!E813 &amp; CHAR(10) &amp; "Level: HB - LI" &amp; CHAR(10) &amp; "Cost: $" &amp; 'Profit &amp; Loss'!O813 &amp; " per pax" &amp; CHAR(10) &amp; "Max " &amp; 'Profit &amp; Loss'!I813*6 &amp; " pax," &amp; " (" &amp; 'Profit &amp; Loss'!I813 &amp; " courts)" &amp; CHAR(10) &amp; CHAR(10) &amp; "RSL Ultimate shuttles provided" &amp; CHAR(10) &amp; CHAR(10) &amp; "PM if interested, thank you!"," ")</f>
        <v xml:space="preserve"> </v>
      </c>
      <c r="B810" s="2" t="str">
        <f ca="1">IF('Profit &amp; Loss'!A813&gt;=TODAY(), "Date: " &amp; TEXT('Profit &amp; Loss'!A813,"dd mmm yyy") &amp; ", " &amp; 'Profit &amp; Loss'!B813 &amp; CHAR(10) &amp; "Time: " &amp; TEXT('Profit &amp; Loss'!C813, "hh:mm AM/PM") &amp; " - " &amp; TEXT('Profit &amp; Loss'!D813, "hh:mm AM/PM") &amp; CHAR(10) &amp; "Venue: " &amp; 'Profit &amp; Loss'!E813 &amp; CHAR(10) &amp; "Court No.: " &amp; 'Profit &amp; Loss'!F813 &amp; CHAR(10) &amp; "Level: HB - LI" &amp; CHAR(10) &amp; "Please transfer $" &amp; 'Profit &amp; Loss'!O813 &amp; " per pax to Belle (83396501)" &amp; CHAR(10) &amp; CHAR(10) &amp; IF('Profit &amp; Loss'!I813=1, "1." &amp; CHAR(10) &amp; "2." &amp; CHAR(10) &amp; "3." &amp; CHAR(10) &amp; "4." &amp; CHAR(10) &amp; "5." &amp; CHAR(10) &amp; "6." &amp; CHAR(10), IF('Profit &amp; Loss'!I813=2,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1" spans="1:2" ht="12.5" x14ac:dyDescent="0.25">
      <c r="A811" s="2" t="str">
        <f ca="1">IF('Profit &amp; Loss'!A814&gt;=TODAY(),"Looking for friendly players to join the following game: " &amp; CHAR(10) &amp; CHAR(10) &amp; "Date: " &amp; TEXT('Profit &amp; Loss'!A814,"dd mmm yyy") &amp; ", " &amp; 'Profit &amp; Loss'!B814 &amp; CHAR(10) &amp; "Time: " &amp; TEXT('Profit &amp; Loss'!C814, "hh:mm AM/PM") &amp; " - " &amp; TEXT('Profit &amp; Loss'!D814, "hh:mm AM/PM") &amp; CHAR(10) &amp; "Venue: " &amp; 'Profit &amp; Loss'!E814 &amp; CHAR(10) &amp; "Level: HB - LI" &amp; CHAR(10) &amp; "Cost: $" &amp; 'Profit &amp; Loss'!O814 &amp; " per pax" &amp; CHAR(10) &amp; "Max " &amp; 'Profit &amp; Loss'!I814*6 &amp; " pax," &amp; " (" &amp; 'Profit &amp; Loss'!I814 &amp; " courts)" &amp; CHAR(10) &amp; CHAR(10) &amp; "RSL Ultimate shuttles provided" &amp; CHAR(10) &amp; CHAR(10) &amp; "PM if interested, thank you!"," ")</f>
        <v xml:space="preserve"> </v>
      </c>
      <c r="B811" s="2" t="str">
        <f ca="1">IF('Profit &amp; Loss'!A814&gt;=TODAY(), "Date: " &amp; TEXT('Profit &amp; Loss'!A814,"dd mmm yyy") &amp; ", " &amp; 'Profit &amp; Loss'!B814 &amp; CHAR(10) &amp; "Time: " &amp; TEXT('Profit &amp; Loss'!C814, "hh:mm AM/PM") &amp; " - " &amp; TEXT('Profit &amp; Loss'!D814, "hh:mm AM/PM") &amp; CHAR(10) &amp; "Venue: " &amp; 'Profit &amp; Loss'!E814 &amp; CHAR(10) &amp; "Court No.: " &amp; 'Profit &amp; Loss'!F814 &amp; CHAR(10) &amp; "Level: HB - LI" &amp; CHAR(10) &amp; "Please transfer $" &amp; 'Profit &amp; Loss'!O814 &amp; " per pax to Belle (83396501)" &amp; CHAR(10) &amp; CHAR(10) &amp; IF('Profit &amp; Loss'!I814=1, "1." &amp; CHAR(10) &amp; "2." &amp; CHAR(10) &amp; "3." &amp; CHAR(10) &amp; "4." &amp; CHAR(10) &amp; "5." &amp; CHAR(10) &amp; "6." &amp; CHAR(10), IF('Profit &amp; Loss'!I814=2,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2" spans="1:2" ht="12.5" x14ac:dyDescent="0.25">
      <c r="A812" s="2" t="str">
        <f ca="1">IF('Profit &amp; Loss'!A815&gt;=TODAY(),"Looking for friendly players to join the following game: " &amp; CHAR(10) &amp; CHAR(10) &amp; "Date: " &amp; TEXT('Profit &amp; Loss'!A815,"dd mmm yyy") &amp; ", " &amp; 'Profit &amp; Loss'!B815 &amp; CHAR(10) &amp; "Time: " &amp; TEXT('Profit &amp; Loss'!C815, "hh:mm AM/PM") &amp; " - " &amp; TEXT('Profit &amp; Loss'!D815, "hh:mm AM/PM") &amp; CHAR(10) &amp; "Venue: " &amp; 'Profit &amp; Loss'!E815 &amp; CHAR(10) &amp; "Level: HB - LI" &amp; CHAR(10) &amp; "Cost: $" &amp; 'Profit &amp; Loss'!O815 &amp; " per pax" &amp; CHAR(10) &amp; "Max " &amp; 'Profit &amp; Loss'!I815*6 &amp; " pax," &amp; " (" &amp; 'Profit &amp; Loss'!I815 &amp; " courts)" &amp; CHAR(10) &amp; CHAR(10) &amp; "RSL Ultimate shuttles provided" &amp; CHAR(10) &amp; CHAR(10) &amp; "PM if interested, thank you!"," ")</f>
        <v xml:space="preserve"> </v>
      </c>
      <c r="B812" s="2" t="str">
        <f ca="1">IF('Profit &amp; Loss'!A815&gt;=TODAY(), "Date: " &amp; TEXT('Profit &amp; Loss'!A815,"dd mmm yyy") &amp; ", " &amp; 'Profit &amp; Loss'!B815 &amp; CHAR(10) &amp; "Time: " &amp; TEXT('Profit &amp; Loss'!C815, "hh:mm AM/PM") &amp; " - " &amp; TEXT('Profit &amp; Loss'!D815, "hh:mm AM/PM") &amp; CHAR(10) &amp; "Venue: " &amp; 'Profit &amp; Loss'!E815 &amp; CHAR(10) &amp; "Court No.: " &amp; 'Profit &amp; Loss'!F815 &amp; CHAR(10) &amp; "Level: HB - LI" &amp; CHAR(10) &amp; "Please transfer $" &amp; 'Profit &amp; Loss'!O815 &amp; " per pax to Belle (83396501)" &amp; CHAR(10) &amp; CHAR(10) &amp; IF('Profit &amp; Loss'!I815=1, "1." &amp; CHAR(10) &amp; "2." &amp; CHAR(10) &amp; "3." &amp; CHAR(10) &amp; "4." &amp; CHAR(10) &amp; "5." &amp; CHAR(10) &amp; "6." &amp; CHAR(10), IF('Profit &amp; Loss'!I815=2,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3" spans="1:2" ht="12.5" x14ac:dyDescent="0.25">
      <c r="A813" s="2" t="str">
        <f ca="1">IF('Profit &amp; Loss'!A816&gt;=TODAY(),"Looking for friendly players to join the following game: " &amp; CHAR(10) &amp; CHAR(10) &amp; "Date: " &amp; TEXT('Profit &amp; Loss'!A816,"dd mmm yyy") &amp; ", " &amp; 'Profit &amp; Loss'!B816 &amp; CHAR(10) &amp; "Time: " &amp; TEXT('Profit &amp; Loss'!C816, "hh:mm AM/PM") &amp; " - " &amp; TEXT('Profit &amp; Loss'!D816, "hh:mm AM/PM") &amp; CHAR(10) &amp; "Venue: " &amp; 'Profit &amp; Loss'!E816 &amp; CHAR(10) &amp; "Level: HB - LI" &amp; CHAR(10) &amp; "Cost: $" &amp; 'Profit &amp; Loss'!O816 &amp; " per pax" &amp; CHAR(10) &amp; "Max " &amp; 'Profit &amp; Loss'!I816*6 &amp; " pax," &amp; " (" &amp; 'Profit &amp; Loss'!I816 &amp; " courts)" &amp; CHAR(10) &amp; CHAR(10) &amp; "RSL Ultimate shuttles provided" &amp; CHAR(10) &amp; CHAR(10) &amp; "PM if interested, thank you!"," ")</f>
        <v xml:space="preserve"> </v>
      </c>
      <c r="B813" s="2" t="str">
        <f ca="1">IF('Profit &amp; Loss'!A816&gt;=TODAY(), "Date: " &amp; TEXT('Profit &amp; Loss'!A816,"dd mmm yyy") &amp; ", " &amp; 'Profit &amp; Loss'!B816 &amp; CHAR(10) &amp; "Time: " &amp; TEXT('Profit &amp; Loss'!C816, "hh:mm AM/PM") &amp; " - " &amp; TEXT('Profit &amp; Loss'!D816, "hh:mm AM/PM") &amp; CHAR(10) &amp; "Venue: " &amp; 'Profit &amp; Loss'!E816 &amp; CHAR(10) &amp; "Court No.: " &amp; 'Profit &amp; Loss'!F816 &amp; CHAR(10) &amp; "Level: HB - LI" &amp; CHAR(10) &amp; "Please transfer $" &amp; 'Profit &amp; Loss'!O816 &amp; " per pax to Belle (83396501)" &amp; CHAR(10) &amp; CHAR(10) &amp; IF('Profit &amp; Loss'!I816=1, "1." &amp; CHAR(10) &amp; "2." &amp; CHAR(10) &amp; "3." &amp; CHAR(10) &amp; "4." &amp; CHAR(10) &amp; "5." &amp; CHAR(10) &amp; "6." &amp; CHAR(10), IF('Profit &amp; Loss'!I816=2,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4" spans="1:2" ht="12.5" x14ac:dyDescent="0.25">
      <c r="A814" s="2" t="str">
        <f ca="1">IF('Profit &amp; Loss'!A817&gt;=TODAY(),"Looking for friendly players to join the following game: " &amp; CHAR(10) &amp; CHAR(10) &amp; "Date: " &amp; TEXT('Profit &amp; Loss'!A817,"dd mmm yyy") &amp; ", " &amp; 'Profit &amp; Loss'!B817 &amp; CHAR(10) &amp; "Time: " &amp; TEXT('Profit &amp; Loss'!C817, "hh:mm AM/PM") &amp; " - " &amp; TEXT('Profit &amp; Loss'!D817, "hh:mm AM/PM") &amp; CHAR(10) &amp; "Venue: " &amp; 'Profit &amp; Loss'!E817 &amp; CHAR(10) &amp; "Level: HB - LI" &amp; CHAR(10) &amp; "Cost: $" &amp; 'Profit &amp; Loss'!O817 &amp; " per pax" &amp; CHAR(10) &amp; "Max " &amp; 'Profit &amp; Loss'!I817*6 &amp; " pax," &amp; " (" &amp; 'Profit &amp; Loss'!I817 &amp; " courts)" &amp; CHAR(10) &amp; CHAR(10) &amp; "RSL Ultimate shuttles provided" &amp; CHAR(10) &amp; CHAR(10) &amp; "PM if interested, thank you!"," ")</f>
        <v xml:space="preserve"> </v>
      </c>
      <c r="B814" s="2" t="str">
        <f ca="1">IF('Profit &amp; Loss'!A817&gt;=TODAY(), "Date: " &amp; TEXT('Profit &amp; Loss'!A817,"dd mmm yyy") &amp; ", " &amp; 'Profit &amp; Loss'!B817 &amp; CHAR(10) &amp; "Time: " &amp; TEXT('Profit &amp; Loss'!C817, "hh:mm AM/PM") &amp; " - " &amp; TEXT('Profit &amp; Loss'!D817, "hh:mm AM/PM") &amp; CHAR(10) &amp; "Venue: " &amp; 'Profit &amp; Loss'!E817 &amp; CHAR(10) &amp; "Court No.: " &amp; 'Profit &amp; Loss'!F817 &amp; CHAR(10) &amp; "Level: HB - LI" &amp; CHAR(10) &amp; "Please transfer $" &amp; 'Profit &amp; Loss'!O817 &amp; " per pax to Belle (83396501)" &amp; CHAR(10) &amp; CHAR(10) &amp; IF('Profit &amp; Loss'!I817=1, "1." &amp; CHAR(10) &amp; "2." &amp; CHAR(10) &amp; "3." &amp; CHAR(10) &amp; "4." &amp; CHAR(10) &amp; "5." &amp; CHAR(10) &amp; "6." &amp; CHAR(10), IF('Profit &amp; Loss'!I817=2,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5" spans="1:2" ht="12.5" x14ac:dyDescent="0.25">
      <c r="A815" s="2" t="str">
        <f ca="1">IF('Profit &amp; Loss'!A818&gt;=TODAY(),"Looking for friendly players to join the following game: " &amp; CHAR(10) &amp; CHAR(10) &amp; "Date: " &amp; TEXT('Profit &amp; Loss'!A818,"dd mmm yyy") &amp; ", " &amp; 'Profit &amp; Loss'!B818 &amp; CHAR(10) &amp; "Time: " &amp; TEXT('Profit &amp; Loss'!C818, "hh:mm AM/PM") &amp; " - " &amp; TEXT('Profit &amp; Loss'!D818, "hh:mm AM/PM") &amp; CHAR(10) &amp; "Venue: " &amp; 'Profit &amp; Loss'!E818 &amp; CHAR(10) &amp; "Level: HB - LI" &amp; CHAR(10) &amp; "Cost: $" &amp; 'Profit &amp; Loss'!O818 &amp; " per pax" &amp; CHAR(10) &amp; "Max " &amp; 'Profit &amp; Loss'!I818*6 &amp; " pax," &amp; " (" &amp; 'Profit &amp; Loss'!I818 &amp; " courts)" &amp; CHAR(10) &amp; CHAR(10) &amp; "RSL Ultimate shuttles provided" &amp; CHAR(10) &amp; CHAR(10) &amp; "PM if interested, thank you!"," ")</f>
        <v xml:space="preserve"> </v>
      </c>
      <c r="B815" s="2" t="str">
        <f ca="1">IF('Profit &amp; Loss'!A818&gt;=TODAY(), "Date: " &amp; TEXT('Profit &amp; Loss'!A818,"dd mmm yyy") &amp; ", " &amp; 'Profit &amp; Loss'!B818 &amp; CHAR(10) &amp; "Time: " &amp; TEXT('Profit &amp; Loss'!C818, "hh:mm AM/PM") &amp; " - " &amp; TEXT('Profit &amp; Loss'!D818, "hh:mm AM/PM") &amp; CHAR(10) &amp; "Venue: " &amp; 'Profit &amp; Loss'!E818 &amp; CHAR(10) &amp; "Court No.: " &amp; 'Profit &amp; Loss'!F818 &amp; CHAR(10) &amp; "Level: HB - LI" &amp; CHAR(10) &amp; "Please transfer $" &amp; 'Profit &amp; Loss'!O818 &amp; " per pax to Belle (83396501)" &amp; CHAR(10) &amp; CHAR(10) &amp; IF('Profit &amp; Loss'!I818=1, "1." &amp; CHAR(10) &amp; "2." &amp; CHAR(10) &amp; "3." &amp; CHAR(10) &amp; "4." &amp; CHAR(10) &amp; "5." &amp; CHAR(10) &amp; "6." &amp; CHAR(10), IF('Profit &amp; Loss'!I818=2,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6" spans="1:2" ht="12.5" x14ac:dyDescent="0.25">
      <c r="A816" s="2" t="str">
        <f ca="1">IF('Profit &amp; Loss'!A819&gt;=TODAY(),"Looking for friendly players to join the following game: " &amp; CHAR(10) &amp; CHAR(10) &amp; "Date: " &amp; TEXT('Profit &amp; Loss'!A819,"dd mmm yyy") &amp; ", " &amp; 'Profit &amp; Loss'!B819 &amp; CHAR(10) &amp; "Time: " &amp; TEXT('Profit &amp; Loss'!C819, "hh:mm AM/PM") &amp; " - " &amp; TEXT('Profit &amp; Loss'!D819, "hh:mm AM/PM") &amp; CHAR(10) &amp; "Venue: " &amp; 'Profit &amp; Loss'!E819 &amp; CHAR(10) &amp; "Level: HB - LI" &amp; CHAR(10) &amp; "Cost: $" &amp; 'Profit &amp; Loss'!O819 &amp; " per pax" &amp; CHAR(10) &amp; "Max " &amp; 'Profit &amp; Loss'!I819*6 &amp; " pax," &amp; " (" &amp; 'Profit &amp; Loss'!I819 &amp; " courts)" &amp; CHAR(10) &amp; CHAR(10) &amp; "RSL Ultimate shuttles provided" &amp; CHAR(10) &amp; CHAR(10) &amp; "PM if interested, thank you!"," ")</f>
        <v xml:space="preserve"> </v>
      </c>
      <c r="B816" s="2" t="str">
        <f ca="1">IF('Profit &amp; Loss'!A819&gt;=TODAY(), "Date: " &amp; TEXT('Profit &amp; Loss'!A819,"dd mmm yyy") &amp; ", " &amp; 'Profit &amp; Loss'!B819 &amp; CHAR(10) &amp; "Time: " &amp; TEXT('Profit &amp; Loss'!C819, "hh:mm AM/PM") &amp; " - " &amp; TEXT('Profit &amp; Loss'!D819, "hh:mm AM/PM") &amp; CHAR(10) &amp; "Venue: " &amp; 'Profit &amp; Loss'!E819 &amp; CHAR(10) &amp; "Court No.: " &amp; 'Profit &amp; Loss'!F819 &amp; CHAR(10) &amp; "Level: HB - LI" &amp; CHAR(10) &amp; "Please transfer $" &amp; 'Profit &amp; Loss'!O819 &amp; " per pax to Belle (83396501)" &amp; CHAR(10) &amp; CHAR(10) &amp; IF('Profit &amp; Loss'!I819=1, "1." &amp; CHAR(10) &amp; "2." &amp; CHAR(10) &amp; "3." &amp; CHAR(10) &amp; "4." &amp; CHAR(10) &amp; "5." &amp; CHAR(10) &amp; "6." &amp; CHAR(10), IF('Profit &amp; Loss'!I819=2,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7" spans="1:2" ht="12.5" x14ac:dyDescent="0.25">
      <c r="A817" s="2" t="str">
        <f ca="1">IF('Profit &amp; Loss'!A820&gt;=TODAY(),"Looking for friendly players to join the following game: " &amp; CHAR(10) &amp; CHAR(10) &amp; "Date: " &amp; TEXT('Profit &amp; Loss'!A820,"dd mmm yyy") &amp; ", " &amp; 'Profit &amp; Loss'!B820 &amp; CHAR(10) &amp; "Time: " &amp; TEXT('Profit &amp; Loss'!C820, "hh:mm AM/PM") &amp; " - " &amp; TEXT('Profit &amp; Loss'!D820, "hh:mm AM/PM") &amp; CHAR(10) &amp; "Venue: " &amp; 'Profit &amp; Loss'!E820 &amp; CHAR(10) &amp; "Level: HB - LI" &amp; CHAR(10) &amp; "Cost: $" &amp; 'Profit &amp; Loss'!O820 &amp; " per pax" &amp; CHAR(10) &amp; "Max " &amp; 'Profit &amp; Loss'!I820*6 &amp; " pax," &amp; " (" &amp; 'Profit &amp; Loss'!I820 &amp; " courts)" &amp; CHAR(10) &amp; CHAR(10) &amp; "RSL Ultimate shuttles provided" &amp; CHAR(10) &amp; CHAR(10) &amp; "PM if interested, thank you!"," ")</f>
        <v xml:space="preserve"> </v>
      </c>
      <c r="B817" s="2" t="str">
        <f ca="1">IF('Profit &amp; Loss'!A820&gt;=TODAY(), "Date: " &amp; TEXT('Profit &amp; Loss'!A820,"dd mmm yyy") &amp; ", " &amp; 'Profit &amp; Loss'!B820 &amp; CHAR(10) &amp; "Time: " &amp; TEXT('Profit &amp; Loss'!C820, "hh:mm AM/PM") &amp; " - " &amp; TEXT('Profit &amp; Loss'!D820, "hh:mm AM/PM") &amp; CHAR(10) &amp; "Venue: " &amp; 'Profit &amp; Loss'!E820 &amp; CHAR(10) &amp; "Court No.: " &amp; 'Profit &amp; Loss'!F820 &amp; CHAR(10) &amp; "Level: HB - LI" &amp; CHAR(10) &amp; "Please transfer $" &amp; 'Profit &amp; Loss'!O820 &amp; " per pax to Belle (83396501)" &amp; CHAR(10) &amp; CHAR(10) &amp; IF('Profit &amp; Loss'!I820=1, "1." &amp; CHAR(10) &amp; "2." &amp; CHAR(10) &amp; "3." &amp; CHAR(10) &amp; "4." &amp; CHAR(10) &amp; "5." &amp; CHAR(10) &amp; "6." &amp; CHAR(10), IF('Profit &amp; Loss'!I820=2,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8" spans="1:2" ht="12.5" x14ac:dyDescent="0.25">
      <c r="A818" s="2" t="str">
        <f ca="1">IF('Profit &amp; Loss'!A821&gt;=TODAY(),"Looking for friendly players to join the following game: " &amp; CHAR(10) &amp; CHAR(10) &amp; "Date: " &amp; TEXT('Profit &amp; Loss'!A821,"dd mmm yyy") &amp; ", " &amp; 'Profit &amp; Loss'!B821 &amp; CHAR(10) &amp; "Time: " &amp; TEXT('Profit &amp; Loss'!C821, "hh:mm AM/PM") &amp; " - " &amp; TEXT('Profit &amp; Loss'!D821, "hh:mm AM/PM") &amp; CHAR(10) &amp; "Venue: " &amp; 'Profit &amp; Loss'!E821 &amp; CHAR(10) &amp; "Level: HB - LI" &amp; CHAR(10) &amp; "Cost: $" &amp; 'Profit &amp; Loss'!O821 &amp; " per pax" &amp; CHAR(10) &amp; "Max " &amp; 'Profit &amp; Loss'!I821*6 &amp; " pax," &amp; " (" &amp; 'Profit &amp; Loss'!I821 &amp; " courts)" &amp; CHAR(10) &amp; CHAR(10) &amp; "RSL Ultimate shuttles provided" &amp; CHAR(10) &amp; CHAR(10) &amp; "PM if interested, thank you!"," ")</f>
        <v xml:space="preserve"> </v>
      </c>
      <c r="B818" s="2" t="str">
        <f ca="1">IF('Profit &amp; Loss'!A821&gt;=TODAY(), "Date: " &amp; TEXT('Profit &amp; Loss'!A821,"dd mmm yyy") &amp; ", " &amp; 'Profit &amp; Loss'!B821 &amp; CHAR(10) &amp; "Time: " &amp; TEXT('Profit &amp; Loss'!C821, "hh:mm AM/PM") &amp; " - " &amp; TEXT('Profit &amp; Loss'!D821, "hh:mm AM/PM") &amp; CHAR(10) &amp; "Venue: " &amp; 'Profit &amp; Loss'!E821 &amp; CHAR(10) &amp; "Court No.: " &amp; 'Profit &amp; Loss'!F821 &amp; CHAR(10) &amp; "Level: HB - LI" &amp; CHAR(10) &amp; "Please transfer $" &amp; 'Profit &amp; Loss'!O821 &amp; " per pax to Belle (83396501)" &amp; CHAR(10) &amp; CHAR(10) &amp; IF('Profit &amp; Loss'!I821=1, "1." &amp; CHAR(10) &amp; "2." &amp; CHAR(10) &amp; "3." &amp; CHAR(10) &amp; "4." &amp; CHAR(10) &amp; "5." &amp; CHAR(10) &amp; "6." &amp; CHAR(10), IF('Profit &amp; Loss'!I821=2,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19" spans="1:2" ht="12.5" x14ac:dyDescent="0.25">
      <c r="A819" s="2" t="str">
        <f ca="1">IF('Profit &amp; Loss'!A822&gt;=TODAY(),"Looking for friendly players to join the following game: " &amp; CHAR(10) &amp; CHAR(10) &amp; "Date: " &amp; TEXT('Profit &amp; Loss'!A822,"dd mmm yyy") &amp; ", " &amp; 'Profit &amp; Loss'!B822 &amp; CHAR(10) &amp; "Time: " &amp; TEXT('Profit &amp; Loss'!C822, "hh:mm AM/PM") &amp; " - " &amp; TEXT('Profit &amp; Loss'!D822, "hh:mm AM/PM") &amp; CHAR(10) &amp; "Venue: " &amp; 'Profit &amp; Loss'!E822 &amp; CHAR(10) &amp; "Level: HB - LI" &amp; CHAR(10) &amp; "Cost: $" &amp; 'Profit &amp; Loss'!O822 &amp; " per pax" &amp; CHAR(10) &amp; "Max " &amp; 'Profit &amp; Loss'!I822*6 &amp; " pax," &amp; " (" &amp; 'Profit &amp; Loss'!I822 &amp; " courts)" &amp; CHAR(10) &amp; CHAR(10) &amp; "RSL Ultimate shuttles provided" &amp; CHAR(10) &amp; CHAR(10) &amp; "PM if interested, thank you!"," ")</f>
        <v xml:space="preserve"> </v>
      </c>
      <c r="B819" s="2" t="str">
        <f ca="1">IF('Profit &amp; Loss'!A822&gt;=TODAY(), "Date: " &amp; TEXT('Profit &amp; Loss'!A822,"dd mmm yyy") &amp; ", " &amp; 'Profit &amp; Loss'!B822 &amp; CHAR(10) &amp; "Time: " &amp; TEXT('Profit &amp; Loss'!C822, "hh:mm AM/PM") &amp; " - " &amp; TEXT('Profit &amp; Loss'!D822, "hh:mm AM/PM") &amp; CHAR(10) &amp; "Venue: " &amp; 'Profit &amp; Loss'!E822 &amp; CHAR(10) &amp; "Court No.: " &amp; 'Profit &amp; Loss'!F822 &amp; CHAR(10) &amp; "Level: HB - LI" &amp; CHAR(10) &amp; "Please transfer $" &amp; 'Profit &amp; Loss'!O822 &amp; " per pax to Belle (83396501)" &amp; CHAR(10) &amp; CHAR(10) &amp; IF('Profit &amp; Loss'!I822=1, "1." &amp; CHAR(10) &amp; "2." &amp; CHAR(10) &amp; "3." &amp; CHAR(10) &amp; "4." &amp; CHAR(10) &amp; "5." &amp; CHAR(10) &amp; "6." &amp; CHAR(10), IF('Profit &amp; Loss'!I822=2,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0" spans="1:2" ht="12.5" x14ac:dyDescent="0.25">
      <c r="A820" s="2" t="str">
        <f ca="1">IF('Profit &amp; Loss'!A823&gt;=TODAY(),"Looking for friendly players to join the following game: " &amp; CHAR(10) &amp; CHAR(10) &amp; "Date: " &amp; TEXT('Profit &amp; Loss'!A823,"dd mmm yyy") &amp; ", " &amp; 'Profit &amp; Loss'!B823 &amp; CHAR(10) &amp; "Time: " &amp; TEXT('Profit &amp; Loss'!C823, "hh:mm AM/PM") &amp; " - " &amp; TEXT('Profit &amp; Loss'!D823, "hh:mm AM/PM") &amp; CHAR(10) &amp; "Venue: " &amp; 'Profit &amp; Loss'!E823 &amp; CHAR(10) &amp; "Level: HB - LI" &amp; CHAR(10) &amp; "Cost: $" &amp; 'Profit &amp; Loss'!O823 &amp; " per pax" &amp; CHAR(10) &amp; "Max " &amp; 'Profit &amp; Loss'!I823*6 &amp; " pax," &amp; " (" &amp; 'Profit &amp; Loss'!I823 &amp; " courts)" &amp; CHAR(10) &amp; CHAR(10) &amp; "RSL Ultimate shuttles provided" &amp; CHAR(10) &amp; CHAR(10) &amp; "PM if interested, thank you!"," ")</f>
        <v xml:space="preserve"> </v>
      </c>
      <c r="B820" s="2" t="str">
        <f ca="1">IF('Profit &amp; Loss'!A823&gt;=TODAY(), "Date: " &amp; TEXT('Profit &amp; Loss'!A823,"dd mmm yyy") &amp; ", " &amp; 'Profit &amp; Loss'!B823 &amp; CHAR(10) &amp; "Time: " &amp; TEXT('Profit &amp; Loss'!C823, "hh:mm AM/PM") &amp; " - " &amp; TEXT('Profit &amp; Loss'!D823, "hh:mm AM/PM") &amp; CHAR(10) &amp; "Venue: " &amp; 'Profit &amp; Loss'!E823 &amp; CHAR(10) &amp; "Court No.: " &amp; 'Profit &amp; Loss'!F823 &amp; CHAR(10) &amp; "Level: HB - LI" &amp; CHAR(10) &amp; "Please transfer $" &amp; 'Profit &amp; Loss'!O823 &amp; " per pax to Belle (83396501)" &amp; CHAR(10) &amp; CHAR(10) &amp; IF('Profit &amp; Loss'!I823=1, "1." &amp; CHAR(10) &amp; "2." &amp; CHAR(10) &amp; "3." &amp; CHAR(10) &amp; "4." &amp; CHAR(10) &amp; "5." &amp; CHAR(10) &amp; "6." &amp; CHAR(10), IF('Profit &amp; Loss'!I823=2,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1" spans="1:2" ht="12.5" x14ac:dyDescent="0.25">
      <c r="A821" s="2" t="str">
        <f ca="1">IF('Profit &amp; Loss'!A824&gt;=TODAY(),"Looking for friendly players to join the following game: " &amp; CHAR(10) &amp; CHAR(10) &amp; "Date: " &amp; TEXT('Profit &amp; Loss'!A824,"dd mmm yyy") &amp; ", " &amp; 'Profit &amp; Loss'!B824 &amp; CHAR(10) &amp; "Time: " &amp; TEXT('Profit &amp; Loss'!C824, "hh:mm AM/PM") &amp; " - " &amp; TEXT('Profit &amp; Loss'!D824, "hh:mm AM/PM") &amp; CHAR(10) &amp; "Venue: " &amp; 'Profit &amp; Loss'!E824 &amp; CHAR(10) &amp; "Level: HB - LI" &amp; CHAR(10) &amp; "Cost: $" &amp; 'Profit &amp; Loss'!O824 &amp; " per pax" &amp; CHAR(10) &amp; "Max " &amp; 'Profit &amp; Loss'!I824*6 &amp; " pax," &amp; " (" &amp; 'Profit &amp; Loss'!I824 &amp; " courts)" &amp; CHAR(10) &amp; CHAR(10) &amp; "RSL Ultimate shuttles provided" &amp; CHAR(10) &amp; CHAR(10) &amp; "PM if interested, thank you!"," ")</f>
        <v xml:space="preserve"> </v>
      </c>
      <c r="B821" s="2" t="str">
        <f ca="1">IF('Profit &amp; Loss'!A824&gt;=TODAY(), "Date: " &amp; TEXT('Profit &amp; Loss'!A824,"dd mmm yyy") &amp; ", " &amp; 'Profit &amp; Loss'!B824 &amp; CHAR(10) &amp; "Time: " &amp; TEXT('Profit &amp; Loss'!C824, "hh:mm AM/PM") &amp; " - " &amp; TEXT('Profit &amp; Loss'!D824, "hh:mm AM/PM") &amp; CHAR(10) &amp; "Venue: " &amp; 'Profit &amp; Loss'!E824 &amp; CHAR(10) &amp; "Court No.: " &amp; 'Profit &amp; Loss'!F824 &amp; CHAR(10) &amp; "Level: HB - LI" &amp; CHAR(10) &amp; "Please transfer $" &amp; 'Profit &amp; Loss'!O824 &amp; " per pax to Belle (83396501)" &amp; CHAR(10) &amp; CHAR(10) &amp; IF('Profit &amp; Loss'!I824=1, "1." &amp; CHAR(10) &amp; "2." &amp; CHAR(10) &amp; "3." &amp; CHAR(10) &amp; "4." &amp; CHAR(10) &amp; "5." &amp; CHAR(10) &amp; "6." &amp; CHAR(10), IF('Profit &amp; Loss'!I824=2,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2" spans="1:2" ht="12.5" x14ac:dyDescent="0.25">
      <c r="A822" s="2" t="str">
        <f ca="1">IF('Profit &amp; Loss'!A825&gt;=TODAY(),"Looking for friendly players to join the following game: " &amp; CHAR(10) &amp; CHAR(10) &amp; "Date: " &amp; TEXT('Profit &amp; Loss'!A825,"dd mmm yyy") &amp; ", " &amp; 'Profit &amp; Loss'!B825 &amp; CHAR(10) &amp; "Time: " &amp; TEXT('Profit &amp; Loss'!C825, "hh:mm AM/PM") &amp; " - " &amp; TEXT('Profit &amp; Loss'!D825, "hh:mm AM/PM") &amp; CHAR(10) &amp; "Venue: " &amp; 'Profit &amp; Loss'!E825 &amp; CHAR(10) &amp; "Level: HB - LI" &amp; CHAR(10) &amp; "Cost: $" &amp; 'Profit &amp; Loss'!O825 &amp; " per pax" &amp; CHAR(10) &amp; "Max " &amp; 'Profit &amp; Loss'!I825*6 &amp; " pax," &amp; " (" &amp; 'Profit &amp; Loss'!I825 &amp; " courts)" &amp; CHAR(10) &amp; CHAR(10) &amp; "RSL Ultimate shuttles provided" &amp; CHAR(10) &amp; CHAR(10) &amp; "PM if interested, thank you!"," ")</f>
        <v xml:space="preserve"> </v>
      </c>
      <c r="B822" s="2" t="str">
        <f ca="1">IF('Profit &amp; Loss'!A825&gt;=TODAY(), "Date: " &amp; TEXT('Profit &amp; Loss'!A825,"dd mmm yyy") &amp; ", " &amp; 'Profit &amp; Loss'!B825 &amp; CHAR(10) &amp; "Time: " &amp; TEXT('Profit &amp; Loss'!C825, "hh:mm AM/PM") &amp; " - " &amp; TEXT('Profit &amp; Loss'!D825, "hh:mm AM/PM") &amp; CHAR(10) &amp; "Venue: " &amp; 'Profit &amp; Loss'!E825 &amp; CHAR(10) &amp; "Court No.: " &amp; 'Profit &amp; Loss'!F825 &amp; CHAR(10) &amp; "Level: HB - LI" &amp; CHAR(10) &amp; "Please transfer $" &amp; 'Profit &amp; Loss'!O825 &amp; " per pax to Belle (83396501)" &amp; CHAR(10) &amp; CHAR(10) &amp; IF('Profit &amp; Loss'!I825=1, "1." &amp; CHAR(10) &amp; "2." &amp; CHAR(10) &amp; "3." &amp; CHAR(10) &amp; "4." &amp; CHAR(10) &amp; "5." &amp; CHAR(10) &amp; "6." &amp; CHAR(10), IF('Profit &amp; Loss'!I825=2,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3" spans="1:2" ht="12.5" x14ac:dyDescent="0.25">
      <c r="A823" s="2" t="str">
        <f ca="1">IF('Profit &amp; Loss'!A826&gt;=TODAY(),"Looking for friendly players to join the following game: " &amp; CHAR(10) &amp; CHAR(10) &amp; "Date: " &amp; TEXT('Profit &amp; Loss'!A826,"dd mmm yyy") &amp; ", " &amp; 'Profit &amp; Loss'!B826 &amp; CHAR(10) &amp; "Time: " &amp; TEXT('Profit &amp; Loss'!C826, "hh:mm AM/PM") &amp; " - " &amp; TEXT('Profit &amp; Loss'!D826, "hh:mm AM/PM") &amp; CHAR(10) &amp; "Venue: " &amp; 'Profit &amp; Loss'!E826 &amp; CHAR(10) &amp; "Level: HB - LI" &amp; CHAR(10) &amp; "Cost: $" &amp; 'Profit &amp; Loss'!O826 &amp; " per pax" &amp; CHAR(10) &amp; "Max " &amp; 'Profit &amp; Loss'!I826*6 &amp; " pax," &amp; " (" &amp; 'Profit &amp; Loss'!I826 &amp; " courts)" &amp; CHAR(10) &amp; CHAR(10) &amp; "RSL Ultimate shuttles provided" &amp; CHAR(10) &amp; CHAR(10) &amp; "PM if interested, thank you!"," ")</f>
        <v xml:space="preserve"> </v>
      </c>
      <c r="B823" s="2" t="str">
        <f ca="1">IF('Profit &amp; Loss'!A826&gt;=TODAY(), "Date: " &amp; TEXT('Profit &amp; Loss'!A826,"dd mmm yyy") &amp; ", " &amp; 'Profit &amp; Loss'!B826 &amp; CHAR(10) &amp; "Time: " &amp; TEXT('Profit &amp; Loss'!C826, "hh:mm AM/PM") &amp; " - " &amp; TEXT('Profit &amp; Loss'!D826, "hh:mm AM/PM") &amp; CHAR(10) &amp; "Venue: " &amp; 'Profit &amp; Loss'!E826 &amp; CHAR(10) &amp; "Court No.: " &amp; 'Profit &amp; Loss'!F826 &amp; CHAR(10) &amp; "Level: HB - LI" &amp; CHAR(10) &amp; "Please transfer $" &amp; 'Profit &amp; Loss'!O826 &amp; " per pax to Belle (83396501)" &amp; CHAR(10) &amp; CHAR(10) &amp; IF('Profit &amp; Loss'!I826=1, "1." &amp; CHAR(10) &amp; "2." &amp; CHAR(10) &amp; "3." &amp; CHAR(10) &amp; "4." &amp; CHAR(10) &amp; "5." &amp; CHAR(10) &amp; "6." &amp; CHAR(10), IF('Profit &amp; Loss'!I826=2,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4" spans="1:2" ht="12.5" x14ac:dyDescent="0.25">
      <c r="A824" s="2" t="str">
        <f ca="1">IF('Profit &amp; Loss'!A827&gt;=TODAY(),"Looking for friendly players to join the following game: " &amp; CHAR(10) &amp; CHAR(10) &amp; "Date: " &amp; TEXT('Profit &amp; Loss'!A827,"dd mmm yyy") &amp; ", " &amp; 'Profit &amp; Loss'!B827 &amp; CHAR(10) &amp; "Time: " &amp; TEXT('Profit &amp; Loss'!C827, "hh:mm AM/PM") &amp; " - " &amp; TEXT('Profit &amp; Loss'!D827, "hh:mm AM/PM") &amp; CHAR(10) &amp; "Venue: " &amp; 'Profit &amp; Loss'!E827 &amp; CHAR(10) &amp; "Level: HB - LI" &amp; CHAR(10) &amp; "Cost: $" &amp; 'Profit &amp; Loss'!O827 &amp; " per pax" &amp; CHAR(10) &amp; "Max " &amp; 'Profit &amp; Loss'!I827*6 &amp; " pax," &amp; " (" &amp; 'Profit &amp; Loss'!I827 &amp; " courts)" &amp; CHAR(10) &amp; CHAR(10) &amp; "RSL Ultimate shuttles provided" &amp; CHAR(10) &amp; CHAR(10) &amp; "PM if interested, thank you!"," ")</f>
        <v xml:space="preserve"> </v>
      </c>
      <c r="B824" s="2" t="str">
        <f ca="1">IF('Profit &amp; Loss'!A827&gt;=TODAY(), "Date: " &amp; TEXT('Profit &amp; Loss'!A827,"dd mmm yyy") &amp; ", " &amp; 'Profit &amp; Loss'!B827 &amp; CHAR(10) &amp; "Time: " &amp; TEXT('Profit &amp; Loss'!C827, "hh:mm AM/PM") &amp; " - " &amp; TEXT('Profit &amp; Loss'!D827, "hh:mm AM/PM") &amp; CHAR(10) &amp; "Venue: " &amp; 'Profit &amp; Loss'!E827 &amp; CHAR(10) &amp; "Court No.: " &amp; 'Profit &amp; Loss'!F827 &amp; CHAR(10) &amp; "Level: HB - LI" &amp; CHAR(10) &amp; "Please transfer $" &amp; 'Profit &amp; Loss'!O827 &amp; " per pax to Belle (83396501)" &amp; CHAR(10) &amp; CHAR(10) &amp; IF('Profit &amp; Loss'!I827=1, "1." &amp; CHAR(10) &amp; "2." &amp; CHAR(10) &amp; "3." &amp; CHAR(10) &amp; "4." &amp; CHAR(10) &amp; "5." &amp; CHAR(10) &amp; "6." &amp; CHAR(10), IF('Profit &amp; Loss'!I827=2,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5" spans="1:2" ht="12.5" x14ac:dyDescent="0.25">
      <c r="A825" s="2" t="str">
        <f ca="1">IF('Profit &amp; Loss'!A828&gt;=TODAY(),"Looking for friendly players to join the following game: " &amp; CHAR(10) &amp; CHAR(10) &amp; "Date: " &amp; TEXT('Profit &amp; Loss'!A828,"dd mmm yyy") &amp; ", " &amp; 'Profit &amp; Loss'!B828 &amp; CHAR(10) &amp; "Time: " &amp; TEXT('Profit &amp; Loss'!C828, "hh:mm AM/PM") &amp; " - " &amp; TEXT('Profit &amp; Loss'!D828, "hh:mm AM/PM") &amp; CHAR(10) &amp; "Venue: " &amp; 'Profit &amp; Loss'!E828 &amp; CHAR(10) &amp; "Level: HB - LI" &amp; CHAR(10) &amp; "Cost: $" &amp; 'Profit &amp; Loss'!O828 &amp; " per pax" &amp; CHAR(10) &amp; "Max " &amp; 'Profit &amp; Loss'!I828*6 &amp; " pax," &amp; " (" &amp; 'Profit &amp; Loss'!I828 &amp; " courts)" &amp; CHAR(10) &amp; CHAR(10) &amp; "RSL Ultimate shuttles provided" &amp; CHAR(10) &amp; CHAR(10) &amp; "PM if interested, thank you!"," ")</f>
        <v xml:space="preserve"> </v>
      </c>
      <c r="B825" s="2" t="str">
        <f ca="1">IF('Profit &amp; Loss'!A828&gt;=TODAY(), "Date: " &amp; TEXT('Profit &amp; Loss'!A828,"dd mmm yyy") &amp; ", " &amp; 'Profit &amp; Loss'!B828 &amp; CHAR(10) &amp; "Time: " &amp; TEXT('Profit &amp; Loss'!C828, "hh:mm AM/PM") &amp; " - " &amp; TEXT('Profit &amp; Loss'!D828, "hh:mm AM/PM") &amp; CHAR(10) &amp; "Venue: " &amp; 'Profit &amp; Loss'!E828 &amp; CHAR(10) &amp; "Court No.: " &amp; 'Profit &amp; Loss'!F828 &amp; CHAR(10) &amp; "Level: HB - LI" &amp; CHAR(10) &amp; "Please transfer $" &amp; 'Profit &amp; Loss'!O828 &amp; " per pax to Belle (83396501)" &amp; CHAR(10) &amp; CHAR(10) &amp; IF('Profit &amp; Loss'!I828=1, "1." &amp; CHAR(10) &amp; "2." &amp; CHAR(10) &amp; "3." &amp; CHAR(10) &amp; "4." &amp; CHAR(10) &amp; "5." &amp; CHAR(10) &amp; "6." &amp; CHAR(10), IF('Profit &amp; Loss'!I828=2,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6" spans="1:2" ht="12.5" x14ac:dyDescent="0.25">
      <c r="A826" s="2" t="str">
        <f ca="1">IF('Profit &amp; Loss'!A829&gt;=TODAY(),"Looking for friendly players to join the following game: " &amp; CHAR(10) &amp; CHAR(10) &amp; "Date: " &amp; TEXT('Profit &amp; Loss'!A829,"dd mmm yyy") &amp; ", " &amp; 'Profit &amp; Loss'!B829 &amp; CHAR(10) &amp; "Time: " &amp; TEXT('Profit &amp; Loss'!C829, "hh:mm AM/PM") &amp; " - " &amp; TEXT('Profit &amp; Loss'!D829, "hh:mm AM/PM") &amp; CHAR(10) &amp; "Venue: " &amp; 'Profit &amp; Loss'!E829 &amp; CHAR(10) &amp; "Level: HB - LI" &amp; CHAR(10) &amp; "Cost: $" &amp; 'Profit &amp; Loss'!O829 &amp; " per pax" &amp; CHAR(10) &amp; "Max " &amp; 'Profit &amp; Loss'!I829*6 &amp; " pax," &amp; " (" &amp; 'Profit &amp; Loss'!I829 &amp; " courts)" &amp; CHAR(10) &amp; CHAR(10) &amp; "RSL Ultimate shuttles provided" &amp; CHAR(10) &amp; CHAR(10) &amp; "PM if interested, thank you!"," ")</f>
        <v xml:space="preserve"> </v>
      </c>
      <c r="B826" s="2" t="str">
        <f ca="1">IF('Profit &amp; Loss'!A829&gt;=TODAY(), "Date: " &amp; TEXT('Profit &amp; Loss'!A829,"dd mmm yyy") &amp; ", " &amp; 'Profit &amp; Loss'!B829 &amp; CHAR(10) &amp; "Time: " &amp; TEXT('Profit &amp; Loss'!C829, "hh:mm AM/PM") &amp; " - " &amp; TEXT('Profit &amp; Loss'!D829, "hh:mm AM/PM") &amp; CHAR(10) &amp; "Venue: " &amp; 'Profit &amp; Loss'!E829 &amp; CHAR(10) &amp; "Court No.: " &amp; 'Profit &amp; Loss'!F829 &amp; CHAR(10) &amp; "Level: HB - LI" &amp; CHAR(10) &amp; "Please transfer $" &amp; 'Profit &amp; Loss'!O829 &amp; " per pax to Belle (83396501)" &amp; CHAR(10) &amp; CHAR(10) &amp; IF('Profit &amp; Loss'!I829=1, "1." &amp; CHAR(10) &amp; "2." &amp; CHAR(10) &amp; "3." &amp; CHAR(10) &amp; "4." &amp; CHAR(10) &amp; "5." &amp; CHAR(10) &amp; "6." &amp; CHAR(10), IF('Profit &amp; Loss'!I829=2,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7" spans="1:2" ht="12.5" x14ac:dyDescent="0.25">
      <c r="A827" s="2" t="str">
        <f ca="1">IF('Profit &amp; Loss'!A830&gt;=TODAY(),"Looking for friendly players to join the following game: " &amp; CHAR(10) &amp; CHAR(10) &amp; "Date: " &amp; TEXT('Profit &amp; Loss'!A830,"dd mmm yyy") &amp; ", " &amp; 'Profit &amp; Loss'!B830 &amp; CHAR(10) &amp; "Time: " &amp; TEXT('Profit &amp; Loss'!C830, "hh:mm AM/PM") &amp; " - " &amp; TEXT('Profit &amp; Loss'!D830, "hh:mm AM/PM") &amp; CHAR(10) &amp; "Venue: " &amp; 'Profit &amp; Loss'!E830 &amp; CHAR(10) &amp; "Level: HB - LI" &amp; CHAR(10) &amp; "Cost: $" &amp; 'Profit &amp; Loss'!O830 &amp; " per pax" &amp; CHAR(10) &amp; "Max " &amp; 'Profit &amp; Loss'!I830*6 &amp; " pax," &amp; " (" &amp; 'Profit &amp; Loss'!I830 &amp; " courts)" &amp; CHAR(10) &amp; CHAR(10) &amp; "RSL Ultimate shuttles provided" &amp; CHAR(10) &amp; CHAR(10) &amp; "PM if interested, thank you!"," ")</f>
        <v xml:space="preserve"> </v>
      </c>
      <c r="B827" s="2" t="str">
        <f ca="1">IF('Profit &amp; Loss'!A830&gt;=TODAY(), "Date: " &amp; TEXT('Profit &amp; Loss'!A830,"dd mmm yyy") &amp; ", " &amp; 'Profit &amp; Loss'!B830 &amp; CHAR(10) &amp; "Time: " &amp; TEXT('Profit &amp; Loss'!C830, "hh:mm AM/PM") &amp; " - " &amp; TEXT('Profit &amp; Loss'!D830, "hh:mm AM/PM") &amp; CHAR(10) &amp; "Venue: " &amp; 'Profit &amp; Loss'!E830 &amp; CHAR(10) &amp; "Court No.: " &amp; 'Profit &amp; Loss'!F830 &amp; CHAR(10) &amp; "Level: HB - LI" &amp; CHAR(10) &amp; "Please transfer $" &amp; 'Profit &amp; Loss'!O830 &amp; " per pax to Belle (83396501)" &amp; CHAR(10) &amp; CHAR(10) &amp; IF('Profit &amp; Loss'!I830=1, "1." &amp; CHAR(10) &amp; "2." &amp; CHAR(10) &amp; "3." &amp; CHAR(10) &amp; "4." &amp; CHAR(10) &amp; "5." &amp; CHAR(10) &amp; "6." &amp; CHAR(10), IF('Profit &amp; Loss'!I830=2,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8" spans="1:2" ht="12.5" x14ac:dyDescent="0.25">
      <c r="A828" s="2" t="str">
        <f ca="1">IF('Profit &amp; Loss'!A831&gt;=TODAY(),"Looking for friendly players to join the following game: " &amp; CHAR(10) &amp; CHAR(10) &amp; "Date: " &amp; TEXT('Profit &amp; Loss'!A831,"dd mmm yyy") &amp; ", " &amp; 'Profit &amp; Loss'!B831 &amp; CHAR(10) &amp; "Time: " &amp; TEXT('Profit &amp; Loss'!C831, "hh:mm AM/PM") &amp; " - " &amp; TEXT('Profit &amp; Loss'!D831, "hh:mm AM/PM") &amp; CHAR(10) &amp; "Venue: " &amp; 'Profit &amp; Loss'!E831 &amp; CHAR(10) &amp; "Level: HB - LI" &amp; CHAR(10) &amp; "Cost: $" &amp; 'Profit &amp; Loss'!O831 &amp; " per pax" &amp; CHAR(10) &amp; "Max " &amp; 'Profit &amp; Loss'!I831*6 &amp; " pax," &amp; " (" &amp; 'Profit &amp; Loss'!I831 &amp; " courts)" &amp; CHAR(10) &amp; CHAR(10) &amp; "RSL Ultimate shuttles provided" &amp; CHAR(10) &amp; CHAR(10) &amp; "PM if interested, thank you!"," ")</f>
        <v xml:space="preserve"> </v>
      </c>
      <c r="B828" s="2" t="str">
        <f ca="1">IF('Profit &amp; Loss'!A831&gt;=TODAY(), "Date: " &amp; TEXT('Profit &amp; Loss'!A831,"dd mmm yyy") &amp; ", " &amp; 'Profit &amp; Loss'!B831 &amp; CHAR(10) &amp; "Time: " &amp; TEXT('Profit &amp; Loss'!C831, "hh:mm AM/PM") &amp; " - " &amp; TEXT('Profit &amp; Loss'!D831, "hh:mm AM/PM") &amp; CHAR(10) &amp; "Venue: " &amp; 'Profit &amp; Loss'!E831 &amp; CHAR(10) &amp; "Court No.: " &amp; 'Profit &amp; Loss'!F831 &amp; CHAR(10) &amp; "Level: HB - LI" &amp; CHAR(10) &amp; "Please transfer $" &amp; 'Profit &amp; Loss'!O831 &amp; " per pax to Belle (83396501)" &amp; CHAR(10) &amp; CHAR(10) &amp; IF('Profit &amp; Loss'!I831=1, "1." &amp; CHAR(10) &amp; "2." &amp; CHAR(10) &amp; "3." &amp; CHAR(10) &amp; "4." &amp; CHAR(10) &amp; "5." &amp; CHAR(10) &amp; "6." &amp; CHAR(10), IF('Profit &amp; Loss'!I831=2,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29" spans="1:2" ht="12.5" x14ac:dyDescent="0.25">
      <c r="A829" s="2" t="str">
        <f ca="1">IF('Profit &amp; Loss'!A832&gt;=TODAY(),"Looking for friendly players to join the following game: " &amp; CHAR(10) &amp; CHAR(10) &amp; "Date: " &amp; TEXT('Profit &amp; Loss'!A832,"dd mmm yyy") &amp; ", " &amp; 'Profit &amp; Loss'!B832 &amp; CHAR(10) &amp; "Time: " &amp; TEXT('Profit &amp; Loss'!C832, "hh:mm AM/PM") &amp; " - " &amp; TEXT('Profit &amp; Loss'!D832, "hh:mm AM/PM") &amp; CHAR(10) &amp; "Venue: " &amp; 'Profit &amp; Loss'!E832 &amp; CHAR(10) &amp; "Level: HB - LI" &amp; CHAR(10) &amp; "Cost: $" &amp; 'Profit &amp; Loss'!O832 &amp; " per pax" &amp; CHAR(10) &amp; "Max " &amp; 'Profit &amp; Loss'!I832*6 &amp; " pax," &amp; " (" &amp; 'Profit &amp; Loss'!I832 &amp; " courts)" &amp; CHAR(10) &amp; CHAR(10) &amp; "RSL Ultimate shuttles provided" &amp; CHAR(10) &amp; CHAR(10) &amp; "PM if interested, thank you!"," ")</f>
        <v xml:space="preserve"> </v>
      </c>
      <c r="B829" s="2" t="str">
        <f ca="1">IF('Profit &amp; Loss'!A832&gt;=TODAY(), "Date: " &amp; TEXT('Profit &amp; Loss'!A832,"dd mmm yyy") &amp; ", " &amp; 'Profit &amp; Loss'!B832 &amp; CHAR(10) &amp; "Time: " &amp; TEXT('Profit &amp; Loss'!C832, "hh:mm AM/PM") &amp; " - " &amp; TEXT('Profit &amp; Loss'!D832, "hh:mm AM/PM") &amp; CHAR(10) &amp; "Venue: " &amp; 'Profit &amp; Loss'!E832 &amp; CHAR(10) &amp; "Court No.: " &amp; 'Profit &amp; Loss'!F832 &amp; CHAR(10) &amp; "Level: HB - LI" &amp; CHAR(10) &amp; "Please transfer $" &amp; 'Profit &amp; Loss'!O832 &amp; " per pax to Belle (83396501)" &amp; CHAR(10) &amp; CHAR(10) &amp; IF('Profit &amp; Loss'!I832=1, "1." &amp; CHAR(10) &amp; "2." &amp; CHAR(10) &amp; "3." &amp; CHAR(10) &amp; "4." &amp; CHAR(10) &amp; "5." &amp; CHAR(10) &amp; "6." &amp; CHAR(10), IF('Profit &amp; Loss'!I832=2,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0" spans="1:2" ht="12.5" x14ac:dyDescent="0.25">
      <c r="A830" s="2" t="str">
        <f ca="1">IF('Profit &amp; Loss'!A833&gt;=TODAY(),"Looking for friendly players to join the following game: " &amp; CHAR(10) &amp; CHAR(10) &amp; "Date: " &amp; TEXT('Profit &amp; Loss'!A833,"dd mmm yyy") &amp; ", " &amp; 'Profit &amp; Loss'!B833 &amp; CHAR(10) &amp; "Time: " &amp; TEXT('Profit &amp; Loss'!C833, "hh:mm AM/PM") &amp; " - " &amp; TEXT('Profit &amp; Loss'!D833, "hh:mm AM/PM") &amp; CHAR(10) &amp; "Venue: " &amp; 'Profit &amp; Loss'!E833 &amp; CHAR(10) &amp; "Level: HB - LI" &amp; CHAR(10) &amp; "Cost: $" &amp; 'Profit &amp; Loss'!O833 &amp; " per pax" &amp; CHAR(10) &amp; "Max " &amp; 'Profit &amp; Loss'!I833*6 &amp; " pax," &amp; " (" &amp; 'Profit &amp; Loss'!I833 &amp; " courts)" &amp; CHAR(10) &amp; CHAR(10) &amp; "RSL Ultimate shuttles provided" &amp; CHAR(10) &amp; CHAR(10) &amp; "PM if interested, thank you!"," ")</f>
        <v xml:space="preserve"> </v>
      </c>
      <c r="B830" s="2" t="str">
        <f ca="1">IF('Profit &amp; Loss'!A833&gt;=TODAY(), "Date: " &amp; TEXT('Profit &amp; Loss'!A833,"dd mmm yyy") &amp; ", " &amp; 'Profit &amp; Loss'!B833 &amp; CHAR(10) &amp; "Time: " &amp; TEXT('Profit &amp; Loss'!C833, "hh:mm AM/PM") &amp; " - " &amp; TEXT('Profit &amp; Loss'!D833, "hh:mm AM/PM") &amp; CHAR(10) &amp; "Venue: " &amp; 'Profit &amp; Loss'!E833 &amp; CHAR(10) &amp; "Court No.: " &amp; 'Profit &amp; Loss'!F833 &amp; CHAR(10) &amp; "Level: HB - LI" &amp; CHAR(10) &amp; "Please transfer $" &amp; 'Profit &amp; Loss'!O833 &amp; " per pax to Belle (83396501)" &amp; CHAR(10) &amp; CHAR(10) &amp; IF('Profit &amp; Loss'!I833=1, "1." &amp; CHAR(10) &amp; "2." &amp; CHAR(10) &amp; "3." &amp; CHAR(10) &amp; "4." &amp; CHAR(10) &amp; "5." &amp; CHAR(10) &amp; "6." &amp; CHAR(10), IF('Profit &amp; Loss'!I833=2,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1" spans="1:2" ht="12.5" x14ac:dyDescent="0.25">
      <c r="A831" s="2" t="str">
        <f ca="1">IF('Profit &amp; Loss'!A834&gt;=TODAY(),"Looking for friendly players to join the following game: " &amp; CHAR(10) &amp; CHAR(10) &amp; "Date: " &amp; TEXT('Profit &amp; Loss'!A834,"dd mmm yyy") &amp; ", " &amp; 'Profit &amp; Loss'!B834 &amp; CHAR(10) &amp; "Time: " &amp; TEXT('Profit &amp; Loss'!C834, "hh:mm AM/PM") &amp; " - " &amp; TEXT('Profit &amp; Loss'!D834, "hh:mm AM/PM") &amp; CHAR(10) &amp; "Venue: " &amp; 'Profit &amp; Loss'!E834 &amp; CHAR(10) &amp; "Level: HB - LI" &amp; CHAR(10) &amp; "Cost: $" &amp; 'Profit &amp; Loss'!O834 &amp; " per pax" &amp; CHAR(10) &amp; "Max " &amp; 'Profit &amp; Loss'!I834*6 &amp; " pax," &amp; " (" &amp; 'Profit &amp; Loss'!I834 &amp; " courts)" &amp; CHAR(10) &amp; CHAR(10) &amp; "RSL Ultimate shuttles provided" &amp; CHAR(10) &amp; CHAR(10) &amp; "PM if interested, thank you!"," ")</f>
        <v xml:space="preserve"> </v>
      </c>
      <c r="B831" s="2" t="str">
        <f ca="1">IF('Profit &amp; Loss'!A834&gt;=TODAY(), "Date: " &amp; TEXT('Profit &amp; Loss'!A834,"dd mmm yyy") &amp; ", " &amp; 'Profit &amp; Loss'!B834 &amp; CHAR(10) &amp; "Time: " &amp; TEXT('Profit &amp; Loss'!C834, "hh:mm AM/PM") &amp; " - " &amp; TEXT('Profit &amp; Loss'!D834, "hh:mm AM/PM") &amp; CHAR(10) &amp; "Venue: " &amp; 'Profit &amp; Loss'!E834 &amp; CHAR(10) &amp; "Court No.: " &amp; 'Profit &amp; Loss'!F834 &amp; CHAR(10) &amp; "Level: HB - LI" &amp; CHAR(10) &amp; "Please transfer $" &amp; 'Profit &amp; Loss'!O834 &amp; " per pax to Belle (83396501)" &amp; CHAR(10) &amp; CHAR(10) &amp; IF('Profit &amp; Loss'!I834=1, "1." &amp; CHAR(10) &amp; "2." &amp; CHAR(10) &amp; "3." &amp; CHAR(10) &amp; "4." &amp; CHAR(10) &amp; "5." &amp; CHAR(10) &amp; "6." &amp; CHAR(10), IF('Profit &amp; Loss'!I834=2,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2" spans="1:2" ht="12.5" x14ac:dyDescent="0.25">
      <c r="A832" s="2" t="str">
        <f ca="1">IF('Profit &amp; Loss'!A835&gt;=TODAY(),"Looking for friendly players to join the following game: " &amp; CHAR(10) &amp; CHAR(10) &amp; "Date: " &amp; TEXT('Profit &amp; Loss'!A835,"dd mmm yyy") &amp; ", " &amp; 'Profit &amp; Loss'!B835 &amp; CHAR(10) &amp; "Time: " &amp; TEXT('Profit &amp; Loss'!C835, "hh:mm AM/PM") &amp; " - " &amp; TEXT('Profit &amp; Loss'!D835, "hh:mm AM/PM") &amp; CHAR(10) &amp; "Venue: " &amp; 'Profit &amp; Loss'!E835 &amp; CHAR(10) &amp; "Level: HB - LI" &amp; CHAR(10) &amp; "Cost: $" &amp; 'Profit &amp; Loss'!O835 &amp; " per pax" &amp; CHAR(10) &amp; "Max " &amp; 'Profit &amp; Loss'!I835*6 &amp; " pax," &amp; " (" &amp; 'Profit &amp; Loss'!I835 &amp; " courts)" &amp; CHAR(10) &amp; CHAR(10) &amp; "RSL Ultimate shuttles provided" &amp; CHAR(10) &amp; CHAR(10) &amp; "PM if interested, thank you!"," ")</f>
        <v xml:space="preserve"> </v>
      </c>
      <c r="B832" s="2" t="str">
        <f ca="1">IF('Profit &amp; Loss'!A835&gt;=TODAY(), "Date: " &amp; TEXT('Profit &amp; Loss'!A835,"dd mmm yyy") &amp; ", " &amp; 'Profit &amp; Loss'!B835 &amp; CHAR(10) &amp; "Time: " &amp; TEXT('Profit &amp; Loss'!C835, "hh:mm AM/PM") &amp; " - " &amp; TEXT('Profit &amp; Loss'!D835, "hh:mm AM/PM") &amp; CHAR(10) &amp; "Venue: " &amp; 'Profit &amp; Loss'!E835 &amp; CHAR(10) &amp; "Court No.: " &amp; 'Profit &amp; Loss'!F835 &amp; CHAR(10) &amp; "Level: HB - LI" &amp; CHAR(10) &amp; "Please transfer $" &amp; 'Profit &amp; Loss'!O835 &amp; " per pax to Belle (83396501)" &amp; CHAR(10) &amp; CHAR(10) &amp; IF('Profit &amp; Loss'!I835=1, "1." &amp; CHAR(10) &amp; "2." &amp; CHAR(10) &amp; "3." &amp; CHAR(10) &amp; "4." &amp; CHAR(10) &amp; "5." &amp; CHAR(10) &amp; "6." &amp; CHAR(10), IF('Profit &amp; Loss'!I835=2,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3" spans="1:2" ht="12.5" x14ac:dyDescent="0.25">
      <c r="A833" s="2" t="str">
        <f ca="1">IF('Profit &amp; Loss'!A836&gt;=TODAY(),"Looking for friendly players to join the following game: " &amp; CHAR(10) &amp; CHAR(10) &amp; "Date: " &amp; TEXT('Profit &amp; Loss'!A836,"dd mmm yyy") &amp; ", " &amp; 'Profit &amp; Loss'!B836 &amp; CHAR(10) &amp; "Time: " &amp; TEXT('Profit &amp; Loss'!C836, "hh:mm AM/PM") &amp; " - " &amp; TEXT('Profit &amp; Loss'!D836, "hh:mm AM/PM") &amp; CHAR(10) &amp; "Venue: " &amp; 'Profit &amp; Loss'!E836 &amp; CHAR(10) &amp; "Level: HB - LI" &amp; CHAR(10) &amp; "Cost: $" &amp; 'Profit &amp; Loss'!O836 &amp; " per pax" &amp; CHAR(10) &amp; "Max " &amp; 'Profit &amp; Loss'!I836*6 &amp; " pax," &amp; " (" &amp; 'Profit &amp; Loss'!I836 &amp; " courts)" &amp; CHAR(10) &amp; CHAR(10) &amp; "RSL Ultimate shuttles provided" &amp; CHAR(10) &amp; CHAR(10) &amp; "PM if interested, thank you!"," ")</f>
        <v xml:space="preserve"> </v>
      </c>
      <c r="B833" s="2" t="str">
        <f ca="1">IF('Profit &amp; Loss'!A836&gt;=TODAY(), "Date: " &amp; TEXT('Profit &amp; Loss'!A836,"dd mmm yyy") &amp; ", " &amp; 'Profit &amp; Loss'!B836 &amp; CHAR(10) &amp; "Time: " &amp; TEXT('Profit &amp; Loss'!C836, "hh:mm AM/PM") &amp; " - " &amp; TEXT('Profit &amp; Loss'!D836, "hh:mm AM/PM") &amp; CHAR(10) &amp; "Venue: " &amp; 'Profit &amp; Loss'!E836 &amp; CHAR(10) &amp; "Court No.: " &amp; 'Profit &amp; Loss'!F836 &amp; CHAR(10) &amp; "Level: HB - LI" &amp; CHAR(10) &amp; "Please transfer $" &amp; 'Profit &amp; Loss'!O836 &amp; " per pax to Belle (83396501)" &amp; CHAR(10) &amp; CHAR(10) &amp; IF('Profit &amp; Loss'!I836=1, "1." &amp; CHAR(10) &amp; "2." &amp; CHAR(10) &amp; "3." &amp; CHAR(10) &amp; "4." &amp; CHAR(10) &amp; "5." &amp; CHAR(10) &amp; "6." &amp; CHAR(10), IF('Profit &amp; Loss'!I836=2,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4" spans="1:2" ht="12.5" x14ac:dyDescent="0.25">
      <c r="A834" s="2" t="str">
        <f ca="1">IF('Profit &amp; Loss'!A837&gt;=TODAY(),"Looking for friendly players to join the following game: " &amp; CHAR(10) &amp; CHAR(10) &amp; "Date: " &amp; TEXT('Profit &amp; Loss'!A837,"dd mmm yyy") &amp; ", " &amp; 'Profit &amp; Loss'!B837 &amp; CHAR(10) &amp; "Time: " &amp; TEXT('Profit &amp; Loss'!C837, "hh:mm AM/PM") &amp; " - " &amp; TEXT('Profit &amp; Loss'!D837, "hh:mm AM/PM") &amp; CHAR(10) &amp; "Venue: " &amp; 'Profit &amp; Loss'!E837 &amp; CHAR(10) &amp; "Level: HB - LI" &amp; CHAR(10) &amp; "Cost: $" &amp; 'Profit &amp; Loss'!O837 &amp; " per pax" &amp; CHAR(10) &amp; "Max " &amp; 'Profit &amp; Loss'!I837*6 &amp; " pax," &amp; " (" &amp; 'Profit &amp; Loss'!I837 &amp; " courts)" &amp; CHAR(10) &amp; CHAR(10) &amp; "RSL Ultimate shuttles provided" &amp; CHAR(10) &amp; CHAR(10) &amp; "PM if interested, thank you!"," ")</f>
        <v xml:space="preserve"> </v>
      </c>
      <c r="B834" s="2" t="str">
        <f ca="1">IF('Profit &amp; Loss'!A837&gt;=TODAY(), "Date: " &amp; TEXT('Profit &amp; Loss'!A837,"dd mmm yyy") &amp; ", " &amp; 'Profit &amp; Loss'!B837 &amp; CHAR(10) &amp; "Time: " &amp; TEXT('Profit &amp; Loss'!C837, "hh:mm AM/PM") &amp; " - " &amp; TEXT('Profit &amp; Loss'!D837, "hh:mm AM/PM") &amp; CHAR(10) &amp; "Venue: " &amp; 'Profit &amp; Loss'!E837 &amp; CHAR(10) &amp; "Court No.: " &amp; 'Profit &amp; Loss'!F837 &amp; CHAR(10) &amp; "Level: HB - LI" &amp; CHAR(10) &amp; "Please transfer $" &amp; 'Profit &amp; Loss'!O837 &amp; " per pax to Belle (83396501)" &amp; CHAR(10) &amp; CHAR(10) &amp; IF('Profit &amp; Loss'!I837=1, "1." &amp; CHAR(10) &amp; "2." &amp; CHAR(10) &amp; "3." &amp; CHAR(10) &amp; "4." &amp; CHAR(10) &amp; "5." &amp; CHAR(10) &amp; "6." &amp; CHAR(10), IF('Profit &amp; Loss'!I837=2,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5" spans="1:2" ht="12.5" x14ac:dyDescent="0.25">
      <c r="A835" s="2" t="str">
        <f ca="1">IF('Profit &amp; Loss'!A838&gt;=TODAY(),"Looking for friendly players to join the following game: " &amp; CHAR(10) &amp; CHAR(10) &amp; "Date: " &amp; TEXT('Profit &amp; Loss'!A838,"dd mmm yyy") &amp; ", " &amp; 'Profit &amp; Loss'!B838 &amp; CHAR(10) &amp; "Time: " &amp; TEXT('Profit &amp; Loss'!C838, "hh:mm AM/PM") &amp; " - " &amp; TEXT('Profit &amp; Loss'!D838, "hh:mm AM/PM") &amp; CHAR(10) &amp; "Venue: " &amp; 'Profit &amp; Loss'!E838 &amp; CHAR(10) &amp; "Level: HB - LI" &amp; CHAR(10) &amp; "Cost: $" &amp; 'Profit &amp; Loss'!O838 &amp; " per pax" &amp; CHAR(10) &amp; "Max " &amp; 'Profit &amp; Loss'!I838*6 &amp; " pax," &amp; " (" &amp; 'Profit &amp; Loss'!I838 &amp; " courts)" &amp; CHAR(10) &amp; CHAR(10) &amp; "RSL Ultimate shuttles provided" &amp; CHAR(10) &amp; CHAR(10) &amp; "PM if interested, thank you!"," ")</f>
        <v xml:space="preserve"> </v>
      </c>
      <c r="B835" s="2" t="str">
        <f ca="1">IF('Profit &amp; Loss'!A838&gt;=TODAY(), "Date: " &amp; TEXT('Profit &amp; Loss'!A838,"dd mmm yyy") &amp; ", " &amp; 'Profit &amp; Loss'!B838 &amp; CHAR(10) &amp; "Time: " &amp; TEXT('Profit &amp; Loss'!C838, "hh:mm AM/PM") &amp; " - " &amp; TEXT('Profit &amp; Loss'!D838, "hh:mm AM/PM") &amp; CHAR(10) &amp; "Venue: " &amp; 'Profit &amp; Loss'!E838 &amp; CHAR(10) &amp; "Court No.: " &amp; 'Profit &amp; Loss'!F838 &amp; CHAR(10) &amp; "Level: HB - LI" &amp; CHAR(10) &amp; "Please transfer $" &amp; 'Profit &amp; Loss'!O838 &amp; " per pax to Belle (83396501)" &amp; CHAR(10) &amp; CHAR(10) &amp; IF('Profit &amp; Loss'!I838=1, "1." &amp; CHAR(10) &amp; "2." &amp; CHAR(10) &amp; "3." &amp; CHAR(10) &amp; "4." &amp; CHAR(10) &amp; "5." &amp; CHAR(10) &amp; "6." &amp; CHAR(10), IF('Profit &amp; Loss'!I838=2,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6" spans="1:2" ht="12.5" x14ac:dyDescent="0.25">
      <c r="A836" s="2" t="str">
        <f ca="1">IF('Profit &amp; Loss'!A839&gt;=TODAY(),"Looking for friendly players to join the following game: " &amp; CHAR(10) &amp; CHAR(10) &amp; "Date: " &amp; TEXT('Profit &amp; Loss'!A839,"dd mmm yyy") &amp; ", " &amp; 'Profit &amp; Loss'!B839 &amp; CHAR(10) &amp; "Time: " &amp; TEXT('Profit &amp; Loss'!C839, "hh:mm AM/PM") &amp; " - " &amp; TEXT('Profit &amp; Loss'!D839, "hh:mm AM/PM") &amp; CHAR(10) &amp; "Venue: " &amp; 'Profit &amp; Loss'!E839 &amp; CHAR(10) &amp; "Level: HB - LI" &amp; CHAR(10) &amp; "Cost: $" &amp; 'Profit &amp; Loss'!O839 &amp; " per pax" &amp; CHAR(10) &amp; "Max " &amp; 'Profit &amp; Loss'!I839*6 &amp; " pax," &amp; " (" &amp; 'Profit &amp; Loss'!I839 &amp; " courts)" &amp; CHAR(10) &amp; CHAR(10) &amp; "RSL Ultimate shuttles provided" &amp; CHAR(10) &amp; CHAR(10) &amp; "PM if interested, thank you!"," ")</f>
        <v xml:space="preserve"> </v>
      </c>
      <c r="B836" s="2" t="str">
        <f ca="1">IF('Profit &amp; Loss'!A839&gt;=TODAY(), "Date: " &amp; TEXT('Profit &amp; Loss'!A839,"dd mmm yyy") &amp; ", " &amp; 'Profit &amp; Loss'!B839 &amp; CHAR(10) &amp; "Time: " &amp; TEXT('Profit &amp; Loss'!C839, "hh:mm AM/PM") &amp; " - " &amp; TEXT('Profit &amp; Loss'!D839, "hh:mm AM/PM") &amp; CHAR(10) &amp; "Venue: " &amp; 'Profit &amp; Loss'!E839 &amp; CHAR(10) &amp; "Court No.: " &amp; 'Profit &amp; Loss'!F839 &amp; CHAR(10) &amp; "Level: HB - LI" &amp; CHAR(10) &amp; "Please transfer $" &amp; 'Profit &amp; Loss'!O839 &amp; " per pax to Belle (83396501)" &amp; CHAR(10) &amp; CHAR(10) &amp; IF('Profit &amp; Loss'!I839=1, "1." &amp; CHAR(10) &amp; "2." &amp; CHAR(10) &amp; "3." &amp; CHAR(10) &amp; "4." &amp; CHAR(10) &amp; "5." &amp; CHAR(10) &amp; "6." &amp; CHAR(10), IF('Profit &amp; Loss'!I839=2,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7" spans="1:2" ht="12.5" x14ac:dyDescent="0.25">
      <c r="A837" s="2" t="str">
        <f ca="1">IF('Profit &amp; Loss'!A840&gt;=TODAY(),"Looking for friendly players to join the following game: " &amp; CHAR(10) &amp; CHAR(10) &amp; "Date: " &amp; TEXT('Profit &amp; Loss'!A840,"dd mmm yyy") &amp; ", " &amp; 'Profit &amp; Loss'!B840 &amp; CHAR(10) &amp; "Time: " &amp; TEXT('Profit &amp; Loss'!C840, "hh:mm AM/PM") &amp; " - " &amp; TEXT('Profit &amp; Loss'!D840, "hh:mm AM/PM") &amp; CHAR(10) &amp; "Venue: " &amp; 'Profit &amp; Loss'!E840 &amp; CHAR(10) &amp; "Level: HB - LI" &amp; CHAR(10) &amp; "Cost: $" &amp; 'Profit &amp; Loss'!O840 &amp; " per pax" &amp; CHAR(10) &amp; "Max " &amp; 'Profit &amp; Loss'!I840*6 &amp; " pax," &amp; " (" &amp; 'Profit &amp; Loss'!I840 &amp; " courts)" &amp; CHAR(10) &amp; CHAR(10) &amp; "RSL Ultimate shuttles provided" &amp; CHAR(10) &amp; CHAR(10) &amp; "PM if interested, thank you!"," ")</f>
        <v xml:space="preserve"> </v>
      </c>
      <c r="B837" s="2" t="str">
        <f ca="1">IF('Profit &amp; Loss'!A840&gt;=TODAY(), "Date: " &amp; TEXT('Profit &amp; Loss'!A840,"dd mmm yyy") &amp; ", " &amp; 'Profit &amp; Loss'!B840 &amp; CHAR(10) &amp; "Time: " &amp; TEXT('Profit &amp; Loss'!C840, "hh:mm AM/PM") &amp; " - " &amp; TEXT('Profit &amp; Loss'!D840, "hh:mm AM/PM") &amp; CHAR(10) &amp; "Venue: " &amp; 'Profit &amp; Loss'!E840 &amp; CHAR(10) &amp; "Court No.: " &amp; 'Profit &amp; Loss'!F840 &amp; CHAR(10) &amp; "Level: HB - LI" &amp; CHAR(10) &amp; "Please transfer $" &amp; 'Profit &amp; Loss'!O840 &amp; " per pax to Belle (83396501)" &amp; CHAR(10) &amp; CHAR(10) &amp; IF('Profit &amp; Loss'!I840=1, "1." &amp; CHAR(10) &amp; "2." &amp; CHAR(10) &amp; "3." &amp; CHAR(10) &amp; "4." &amp; CHAR(10) &amp; "5." &amp; CHAR(10) &amp; "6." &amp; CHAR(10), IF('Profit &amp; Loss'!I840=2,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8" spans="1:2" ht="12.5" x14ac:dyDescent="0.25">
      <c r="A838" s="2" t="str">
        <f ca="1">IF('Profit &amp; Loss'!A841&gt;=TODAY(),"Looking for friendly players to join the following game: " &amp; CHAR(10) &amp; CHAR(10) &amp; "Date: " &amp; TEXT('Profit &amp; Loss'!A841,"dd mmm yyy") &amp; ", " &amp; 'Profit &amp; Loss'!B841 &amp; CHAR(10) &amp; "Time: " &amp; TEXT('Profit &amp; Loss'!C841, "hh:mm AM/PM") &amp; " - " &amp; TEXT('Profit &amp; Loss'!D841, "hh:mm AM/PM") &amp; CHAR(10) &amp; "Venue: " &amp; 'Profit &amp; Loss'!E841 &amp; CHAR(10) &amp; "Level: HB - LI" &amp; CHAR(10) &amp; "Cost: $" &amp; 'Profit &amp; Loss'!O841 &amp; " per pax" &amp; CHAR(10) &amp; "Max " &amp; 'Profit &amp; Loss'!I841*6 &amp; " pax," &amp; " (" &amp; 'Profit &amp; Loss'!I841 &amp; " courts)" &amp; CHAR(10) &amp; CHAR(10) &amp; "RSL Ultimate shuttles provided" &amp; CHAR(10) &amp; CHAR(10) &amp; "PM if interested, thank you!"," ")</f>
        <v xml:space="preserve"> </v>
      </c>
      <c r="B838" s="2" t="str">
        <f ca="1">IF('Profit &amp; Loss'!A841&gt;=TODAY(), "Date: " &amp; TEXT('Profit &amp; Loss'!A841,"dd mmm yyy") &amp; ", " &amp; 'Profit &amp; Loss'!B841 &amp; CHAR(10) &amp; "Time: " &amp; TEXT('Profit &amp; Loss'!C841, "hh:mm AM/PM") &amp; " - " &amp; TEXT('Profit &amp; Loss'!D841, "hh:mm AM/PM") &amp; CHAR(10) &amp; "Venue: " &amp; 'Profit &amp; Loss'!E841 &amp; CHAR(10) &amp; "Court No.: " &amp; 'Profit &amp; Loss'!F841 &amp; CHAR(10) &amp; "Level: HB - LI" &amp; CHAR(10) &amp; "Please transfer $" &amp; 'Profit &amp; Loss'!O841 &amp; " per pax to Belle (83396501)" &amp; CHAR(10) &amp; CHAR(10) &amp; IF('Profit &amp; Loss'!I841=1, "1." &amp; CHAR(10) &amp; "2." &amp; CHAR(10) &amp; "3." &amp; CHAR(10) &amp; "4." &amp; CHAR(10) &amp; "5." &amp; CHAR(10) &amp; "6." &amp; CHAR(10), IF('Profit &amp; Loss'!I841=2,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39" spans="1:2" ht="12.5" x14ac:dyDescent="0.25">
      <c r="A839" s="2" t="str">
        <f ca="1">IF('Profit &amp; Loss'!A842&gt;=TODAY(),"Looking for friendly players to join the following game: " &amp; CHAR(10) &amp; CHAR(10) &amp; "Date: " &amp; TEXT('Profit &amp; Loss'!A842,"dd mmm yyy") &amp; ", " &amp; 'Profit &amp; Loss'!B842 &amp; CHAR(10) &amp; "Time: " &amp; TEXT('Profit &amp; Loss'!C842, "hh:mm AM/PM") &amp; " - " &amp; TEXT('Profit &amp; Loss'!D842, "hh:mm AM/PM") &amp; CHAR(10) &amp; "Venue: " &amp; 'Profit &amp; Loss'!E842 &amp; CHAR(10) &amp; "Level: HB - LI" &amp; CHAR(10) &amp; "Cost: $" &amp; 'Profit &amp; Loss'!O842 &amp; " per pax" &amp; CHAR(10) &amp; "Max " &amp; 'Profit &amp; Loss'!I842*6 &amp; " pax," &amp; " (" &amp; 'Profit &amp; Loss'!I842 &amp; " courts)" &amp; CHAR(10) &amp; CHAR(10) &amp; "RSL Ultimate shuttles provided" &amp; CHAR(10) &amp; CHAR(10) &amp; "PM if interested, thank you!"," ")</f>
        <v xml:space="preserve"> </v>
      </c>
      <c r="B839" s="2" t="str">
        <f ca="1">IF('Profit &amp; Loss'!A842&gt;=TODAY(), "Date: " &amp; TEXT('Profit &amp; Loss'!A842,"dd mmm yyy") &amp; ", " &amp; 'Profit &amp; Loss'!B842 &amp; CHAR(10) &amp; "Time: " &amp; TEXT('Profit &amp; Loss'!C842, "hh:mm AM/PM") &amp; " - " &amp; TEXT('Profit &amp; Loss'!D842, "hh:mm AM/PM") &amp; CHAR(10) &amp; "Venue: " &amp; 'Profit &amp; Loss'!E842 &amp; CHAR(10) &amp; "Court No.: " &amp; 'Profit &amp; Loss'!F842 &amp; CHAR(10) &amp; "Level: HB - LI" &amp; CHAR(10) &amp; "Please transfer $" &amp; 'Profit &amp; Loss'!O842 &amp; " per pax to Belle (83396501)" &amp; CHAR(10) &amp; CHAR(10) &amp; IF('Profit &amp; Loss'!I842=1, "1." &amp; CHAR(10) &amp; "2." &amp; CHAR(10) &amp; "3." &amp; CHAR(10) &amp; "4." &amp; CHAR(10) &amp; "5." &amp; CHAR(10) &amp; "6." &amp; CHAR(10), IF('Profit &amp; Loss'!I842=2,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0" spans="1:2" ht="12.5" x14ac:dyDescent="0.25">
      <c r="A840" s="2" t="str">
        <f ca="1">IF('Profit &amp; Loss'!A843&gt;=TODAY(),"Looking for friendly players to join the following game: " &amp; CHAR(10) &amp; CHAR(10) &amp; "Date: " &amp; TEXT('Profit &amp; Loss'!A843,"dd mmm yyy") &amp; ", " &amp; 'Profit &amp; Loss'!B843 &amp; CHAR(10) &amp; "Time: " &amp; TEXT('Profit &amp; Loss'!C843, "hh:mm AM/PM") &amp; " - " &amp; TEXT('Profit &amp; Loss'!D843, "hh:mm AM/PM") &amp; CHAR(10) &amp; "Venue: " &amp; 'Profit &amp; Loss'!E843 &amp; CHAR(10) &amp; "Level: HB - LI" &amp; CHAR(10) &amp; "Cost: $" &amp; 'Profit &amp; Loss'!O843 &amp; " per pax" &amp; CHAR(10) &amp; "Max " &amp; 'Profit &amp; Loss'!I843*6 &amp; " pax," &amp; " (" &amp; 'Profit &amp; Loss'!I843 &amp; " courts)" &amp; CHAR(10) &amp; CHAR(10) &amp; "RSL Ultimate shuttles provided" &amp; CHAR(10) &amp; CHAR(10) &amp; "PM if interested, thank you!"," ")</f>
        <v xml:space="preserve"> </v>
      </c>
      <c r="B840" s="2" t="str">
        <f ca="1">IF('Profit &amp; Loss'!A843&gt;=TODAY(), "Date: " &amp; TEXT('Profit &amp; Loss'!A843,"dd mmm yyy") &amp; ", " &amp; 'Profit &amp; Loss'!B843 &amp; CHAR(10) &amp; "Time: " &amp; TEXT('Profit &amp; Loss'!C843, "hh:mm AM/PM") &amp; " - " &amp; TEXT('Profit &amp; Loss'!D843, "hh:mm AM/PM") &amp; CHAR(10) &amp; "Venue: " &amp; 'Profit &amp; Loss'!E843 &amp; CHAR(10) &amp; "Court No.: " &amp; 'Profit &amp; Loss'!F843 &amp; CHAR(10) &amp; "Level: HB - LI" &amp; CHAR(10) &amp; "Please transfer $" &amp; 'Profit &amp; Loss'!O843 &amp; " per pax to Belle (83396501)" &amp; CHAR(10) &amp; CHAR(10) &amp; IF('Profit &amp; Loss'!I843=1, "1." &amp; CHAR(10) &amp; "2." &amp; CHAR(10) &amp; "3." &amp; CHAR(10) &amp; "4." &amp; CHAR(10) &amp; "5." &amp; CHAR(10) &amp; "6." &amp; CHAR(10), IF('Profit &amp; Loss'!I843=2,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1" spans="1:2" ht="12.5" x14ac:dyDescent="0.25">
      <c r="A841" s="2" t="str">
        <f ca="1">IF('Profit &amp; Loss'!A844&gt;=TODAY(),"Looking for friendly players to join the following game: " &amp; CHAR(10) &amp; CHAR(10) &amp; "Date: " &amp; TEXT('Profit &amp; Loss'!A844,"dd mmm yyy") &amp; ", " &amp; 'Profit &amp; Loss'!B844 &amp; CHAR(10) &amp; "Time: " &amp; TEXT('Profit &amp; Loss'!C844, "hh:mm AM/PM") &amp; " - " &amp; TEXT('Profit &amp; Loss'!D844, "hh:mm AM/PM") &amp; CHAR(10) &amp; "Venue: " &amp; 'Profit &amp; Loss'!E844 &amp; CHAR(10) &amp; "Level: HB - LI" &amp; CHAR(10) &amp; "Cost: $" &amp; 'Profit &amp; Loss'!O844 &amp; " per pax" &amp; CHAR(10) &amp; "Max " &amp; 'Profit &amp; Loss'!I844*6 &amp; " pax," &amp; " (" &amp; 'Profit &amp; Loss'!I844 &amp; " courts)" &amp; CHAR(10) &amp; CHAR(10) &amp; "RSL Ultimate shuttles provided" &amp; CHAR(10) &amp; CHAR(10) &amp; "PM if interested, thank you!"," ")</f>
        <v xml:space="preserve"> </v>
      </c>
      <c r="B841" s="2" t="str">
        <f ca="1">IF('Profit &amp; Loss'!A844&gt;=TODAY(), "Date: " &amp; TEXT('Profit &amp; Loss'!A844,"dd mmm yyy") &amp; ", " &amp; 'Profit &amp; Loss'!B844 &amp; CHAR(10) &amp; "Time: " &amp; TEXT('Profit &amp; Loss'!C844, "hh:mm AM/PM") &amp; " - " &amp; TEXT('Profit &amp; Loss'!D844, "hh:mm AM/PM") &amp; CHAR(10) &amp; "Venue: " &amp; 'Profit &amp; Loss'!E844 &amp; CHAR(10) &amp; "Court No.: " &amp; 'Profit &amp; Loss'!F844 &amp; CHAR(10) &amp; "Level: HB - LI" &amp; CHAR(10) &amp; "Please transfer $" &amp; 'Profit &amp; Loss'!O844 &amp; " per pax to Belle (83396501)" &amp; CHAR(10) &amp; CHAR(10) &amp; IF('Profit &amp; Loss'!I844=1, "1." &amp; CHAR(10) &amp; "2." &amp; CHAR(10) &amp; "3." &amp; CHAR(10) &amp; "4." &amp; CHAR(10) &amp; "5." &amp; CHAR(10) &amp; "6." &amp; CHAR(10), IF('Profit &amp; Loss'!I844=2,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2" spans="1:2" ht="12.5" x14ac:dyDescent="0.25">
      <c r="A842" s="2" t="str">
        <f ca="1">IF('Profit &amp; Loss'!A845&gt;=TODAY(),"Looking for friendly players to join the following game: " &amp; CHAR(10) &amp; CHAR(10) &amp; "Date: " &amp; TEXT('Profit &amp; Loss'!A845,"dd mmm yyy") &amp; ", " &amp; 'Profit &amp; Loss'!B845 &amp; CHAR(10) &amp; "Time: " &amp; TEXT('Profit &amp; Loss'!C845, "hh:mm AM/PM") &amp; " - " &amp; TEXT('Profit &amp; Loss'!D845, "hh:mm AM/PM") &amp; CHAR(10) &amp; "Venue: " &amp; 'Profit &amp; Loss'!E845 &amp; CHAR(10) &amp; "Level: HB - LI" &amp; CHAR(10) &amp; "Cost: $" &amp; 'Profit &amp; Loss'!O845 &amp; " per pax" &amp; CHAR(10) &amp; "Max " &amp; 'Profit &amp; Loss'!I845*6 &amp; " pax," &amp; " (" &amp; 'Profit &amp; Loss'!I845 &amp; " courts)" &amp; CHAR(10) &amp; CHAR(10) &amp; "RSL Ultimate shuttles provided" &amp; CHAR(10) &amp; CHAR(10) &amp; "PM if interested, thank you!"," ")</f>
        <v xml:space="preserve"> </v>
      </c>
      <c r="B842" s="2" t="str">
        <f ca="1">IF('Profit &amp; Loss'!A845&gt;=TODAY(), "Date: " &amp; TEXT('Profit &amp; Loss'!A845,"dd mmm yyy") &amp; ", " &amp; 'Profit &amp; Loss'!B845 &amp; CHAR(10) &amp; "Time: " &amp; TEXT('Profit &amp; Loss'!C845, "hh:mm AM/PM") &amp; " - " &amp; TEXT('Profit &amp; Loss'!D845, "hh:mm AM/PM") &amp; CHAR(10) &amp; "Venue: " &amp; 'Profit &amp; Loss'!E845 &amp; CHAR(10) &amp; "Court No.: " &amp; 'Profit &amp; Loss'!F845 &amp; CHAR(10) &amp; "Level: HB - LI" &amp; CHAR(10) &amp; "Please transfer $" &amp; 'Profit &amp; Loss'!O845 &amp; " per pax to Belle (83396501)" &amp; CHAR(10) &amp; CHAR(10) &amp; IF('Profit &amp; Loss'!I845=1, "1." &amp; CHAR(10) &amp; "2." &amp; CHAR(10) &amp; "3." &amp; CHAR(10) &amp; "4." &amp; CHAR(10) &amp; "5." &amp; CHAR(10) &amp; "6." &amp; CHAR(10), IF('Profit &amp; Loss'!I845=2,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3" spans="1:2" ht="12.5" x14ac:dyDescent="0.25">
      <c r="A843" s="2" t="str">
        <f ca="1">IF('Profit &amp; Loss'!A846&gt;=TODAY(),"Looking for friendly players to join the following game: " &amp; CHAR(10) &amp; CHAR(10) &amp; "Date: " &amp; TEXT('Profit &amp; Loss'!A846,"dd mmm yyy") &amp; ", " &amp; 'Profit &amp; Loss'!B846 &amp; CHAR(10) &amp; "Time: " &amp; TEXT('Profit &amp; Loss'!C846, "hh:mm AM/PM") &amp; " - " &amp; TEXT('Profit &amp; Loss'!D846, "hh:mm AM/PM") &amp; CHAR(10) &amp; "Venue: " &amp; 'Profit &amp; Loss'!E846 &amp; CHAR(10) &amp; "Level: HB - LI" &amp; CHAR(10) &amp; "Cost: $" &amp; 'Profit &amp; Loss'!O846 &amp; " per pax" &amp; CHAR(10) &amp; "Max " &amp; 'Profit &amp; Loss'!I846*6 &amp; " pax," &amp; " (" &amp; 'Profit &amp; Loss'!I846 &amp; " courts)" &amp; CHAR(10) &amp; CHAR(10) &amp; "RSL Ultimate shuttles provided" &amp; CHAR(10) &amp; CHAR(10) &amp; "PM if interested, thank you!"," ")</f>
        <v xml:space="preserve"> </v>
      </c>
      <c r="B843" s="2" t="str">
        <f ca="1">IF('Profit &amp; Loss'!A846&gt;=TODAY(), "Date: " &amp; TEXT('Profit &amp; Loss'!A846,"dd mmm yyy") &amp; ", " &amp; 'Profit &amp; Loss'!B846 &amp; CHAR(10) &amp; "Time: " &amp; TEXT('Profit &amp; Loss'!C846, "hh:mm AM/PM") &amp; " - " &amp; TEXT('Profit &amp; Loss'!D846, "hh:mm AM/PM") &amp; CHAR(10) &amp; "Venue: " &amp; 'Profit &amp; Loss'!E846 &amp; CHAR(10) &amp; "Court No.: " &amp; 'Profit &amp; Loss'!F846 &amp; CHAR(10) &amp; "Level: HB - LI" &amp; CHAR(10) &amp; "Please transfer $" &amp; 'Profit &amp; Loss'!O846 &amp; " per pax to Belle (83396501)" &amp; CHAR(10) &amp; CHAR(10) &amp; IF('Profit &amp; Loss'!I846=1, "1." &amp; CHAR(10) &amp; "2." &amp; CHAR(10) &amp; "3." &amp; CHAR(10) &amp; "4." &amp; CHAR(10) &amp; "5." &amp; CHAR(10) &amp; "6." &amp; CHAR(10), IF('Profit &amp; Loss'!I846=2,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4" spans="1:2" ht="12.5" x14ac:dyDescent="0.25">
      <c r="A844" s="2" t="str">
        <f ca="1">IF('Profit &amp; Loss'!A847&gt;=TODAY(),"Looking for friendly players to join the following game: " &amp; CHAR(10) &amp; CHAR(10) &amp; "Date: " &amp; TEXT('Profit &amp; Loss'!A847,"dd mmm yyy") &amp; ", " &amp; 'Profit &amp; Loss'!B847 &amp; CHAR(10) &amp; "Time: " &amp; TEXT('Profit &amp; Loss'!C847, "hh:mm AM/PM") &amp; " - " &amp; TEXT('Profit &amp; Loss'!D847, "hh:mm AM/PM") &amp; CHAR(10) &amp; "Venue: " &amp; 'Profit &amp; Loss'!E847 &amp; CHAR(10) &amp; "Level: HB - LI" &amp; CHAR(10) &amp; "Cost: $" &amp; 'Profit &amp; Loss'!O847 &amp; " per pax" &amp; CHAR(10) &amp; "Max " &amp; 'Profit &amp; Loss'!I847*6 &amp; " pax," &amp; " (" &amp; 'Profit &amp; Loss'!I847 &amp; " courts)" &amp; CHAR(10) &amp; CHAR(10) &amp; "RSL Ultimate shuttles provided" &amp; CHAR(10) &amp; CHAR(10) &amp; "PM if interested, thank you!"," ")</f>
        <v xml:space="preserve"> </v>
      </c>
      <c r="B844" s="2" t="str">
        <f ca="1">IF('Profit &amp; Loss'!A847&gt;=TODAY(), "Date: " &amp; TEXT('Profit &amp; Loss'!A847,"dd mmm yyy") &amp; ", " &amp; 'Profit &amp; Loss'!B847 &amp; CHAR(10) &amp; "Time: " &amp; TEXT('Profit &amp; Loss'!C847, "hh:mm AM/PM") &amp; " - " &amp; TEXT('Profit &amp; Loss'!D847, "hh:mm AM/PM") &amp; CHAR(10) &amp; "Venue: " &amp; 'Profit &amp; Loss'!E847 &amp; CHAR(10) &amp; "Court No.: " &amp; 'Profit &amp; Loss'!F847 &amp; CHAR(10) &amp; "Level: HB - LI" &amp; CHAR(10) &amp; "Please transfer $" &amp; 'Profit &amp; Loss'!O847 &amp; " per pax to Belle (83396501)" &amp; CHAR(10) &amp; CHAR(10) &amp; IF('Profit &amp; Loss'!I847=1, "1." &amp; CHAR(10) &amp; "2." &amp; CHAR(10) &amp; "3." &amp; CHAR(10) &amp; "4." &amp; CHAR(10) &amp; "5." &amp; CHAR(10) &amp; "6." &amp; CHAR(10), IF('Profit &amp; Loss'!I847=2,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5" spans="1:2" ht="12.5" x14ac:dyDescent="0.25">
      <c r="A845" s="2" t="str">
        <f ca="1">IF('Profit &amp; Loss'!A848&gt;=TODAY(),"Looking for friendly players to join the following game: " &amp; CHAR(10) &amp; CHAR(10) &amp; "Date: " &amp; TEXT('Profit &amp; Loss'!A848,"dd mmm yyy") &amp; ", " &amp; 'Profit &amp; Loss'!B848 &amp; CHAR(10) &amp; "Time: " &amp; TEXT('Profit &amp; Loss'!C848, "hh:mm AM/PM") &amp; " - " &amp; TEXT('Profit &amp; Loss'!D848, "hh:mm AM/PM") &amp; CHAR(10) &amp; "Venue: " &amp; 'Profit &amp; Loss'!E848 &amp; CHAR(10) &amp; "Level: HB - LI" &amp; CHAR(10) &amp; "Cost: $" &amp; 'Profit &amp; Loss'!O848 &amp; " per pax" &amp; CHAR(10) &amp; "Max " &amp; 'Profit &amp; Loss'!I848*6 &amp; " pax," &amp; " (" &amp; 'Profit &amp; Loss'!I848 &amp; " courts)" &amp; CHAR(10) &amp; CHAR(10) &amp; "RSL Ultimate shuttles provided" &amp; CHAR(10) &amp; CHAR(10) &amp; "PM if interested, thank you!"," ")</f>
        <v xml:space="preserve"> </v>
      </c>
      <c r="B845" s="2" t="str">
        <f ca="1">IF('Profit &amp; Loss'!A848&gt;=TODAY(), "Date: " &amp; TEXT('Profit &amp; Loss'!A848,"dd mmm yyy") &amp; ", " &amp; 'Profit &amp; Loss'!B848 &amp; CHAR(10) &amp; "Time: " &amp; TEXT('Profit &amp; Loss'!C848, "hh:mm AM/PM") &amp; " - " &amp; TEXT('Profit &amp; Loss'!D848, "hh:mm AM/PM") &amp; CHAR(10) &amp; "Venue: " &amp; 'Profit &amp; Loss'!E848 &amp; CHAR(10) &amp; "Court No.: " &amp; 'Profit &amp; Loss'!F848 &amp; CHAR(10) &amp; "Level: HB - LI" &amp; CHAR(10) &amp; "Please transfer $" &amp; 'Profit &amp; Loss'!O848 &amp; " per pax to Belle (83396501)" &amp; CHAR(10) &amp; CHAR(10) &amp; IF('Profit &amp; Loss'!I848=1, "1." &amp; CHAR(10) &amp; "2." &amp; CHAR(10) &amp; "3." &amp; CHAR(10) &amp; "4." &amp; CHAR(10) &amp; "5." &amp; CHAR(10) &amp; "6." &amp; CHAR(10), IF('Profit &amp; Loss'!I848=2,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6" spans="1:2" ht="12.5" x14ac:dyDescent="0.25">
      <c r="A846" s="2" t="str">
        <f ca="1">IF('Profit &amp; Loss'!A849&gt;=TODAY(),"Looking for friendly players to join the following game: " &amp; CHAR(10) &amp; CHAR(10) &amp; "Date: " &amp; TEXT('Profit &amp; Loss'!A849,"dd mmm yyy") &amp; ", " &amp; 'Profit &amp; Loss'!B849 &amp; CHAR(10) &amp; "Time: " &amp; TEXT('Profit &amp; Loss'!C849, "hh:mm AM/PM") &amp; " - " &amp; TEXT('Profit &amp; Loss'!D849, "hh:mm AM/PM") &amp; CHAR(10) &amp; "Venue: " &amp; 'Profit &amp; Loss'!E849 &amp; CHAR(10) &amp; "Level: HB - LI" &amp; CHAR(10) &amp; "Cost: $" &amp; 'Profit &amp; Loss'!O849 &amp; " per pax" &amp; CHAR(10) &amp; "Max " &amp; 'Profit &amp; Loss'!I849*6 &amp; " pax," &amp; " (" &amp; 'Profit &amp; Loss'!I849 &amp; " courts)" &amp; CHAR(10) &amp; CHAR(10) &amp; "RSL Ultimate shuttles provided" &amp; CHAR(10) &amp; CHAR(10) &amp; "PM if interested, thank you!"," ")</f>
        <v xml:space="preserve"> </v>
      </c>
      <c r="B846" s="2" t="str">
        <f ca="1">IF('Profit &amp; Loss'!A849&gt;=TODAY(), "Date: " &amp; TEXT('Profit &amp; Loss'!A849,"dd mmm yyy") &amp; ", " &amp; 'Profit &amp; Loss'!B849 &amp; CHAR(10) &amp; "Time: " &amp; TEXT('Profit &amp; Loss'!C849, "hh:mm AM/PM") &amp; " - " &amp; TEXT('Profit &amp; Loss'!D849, "hh:mm AM/PM") &amp; CHAR(10) &amp; "Venue: " &amp; 'Profit &amp; Loss'!E849 &amp; CHAR(10) &amp; "Court No.: " &amp; 'Profit &amp; Loss'!F849 &amp; CHAR(10) &amp; "Level: HB - LI" &amp; CHAR(10) &amp; "Please transfer $" &amp; 'Profit &amp; Loss'!O849 &amp; " per pax to Belle (83396501)" &amp; CHAR(10) &amp; CHAR(10) &amp; IF('Profit &amp; Loss'!I849=1, "1." &amp; CHAR(10) &amp; "2." &amp; CHAR(10) &amp; "3." &amp; CHAR(10) &amp; "4." &amp; CHAR(10) &amp; "5." &amp; CHAR(10) &amp; "6." &amp; CHAR(10), IF('Profit &amp; Loss'!I849=2,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7" spans="1:2" ht="12.5" x14ac:dyDescent="0.25">
      <c r="A847" s="2" t="str">
        <f ca="1">IF('Profit &amp; Loss'!A850&gt;=TODAY(),"Looking for friendly players to join the following game: " &amp; CHAR(10) &amp; CHAR(10) &amp; "Date: " &amp; TEXT('Profit &amp; Loss'!A850,"dd mmm yyy") &amp; ", " &amp; 'Profit &amp; Loss'!B850 &amp; CHAR(10) &amp; "Time: " &amp; TEXT('Profit &amp; Loss'!C850, "hh:mm AM/PM") &amp; " - " &amp; TEXT('Profit &amp; Loss'!D850, "hh:mm AM/PM") &amp; CHAR(10) &amp; "Venue: " &amp; 'Profit &amp; Loss'!E850 &amp; CHAR(10) &amp; "Level: HB - LI" &amp; CHAR(10) &amp; "Cost: $" &amp; 'Profit &amp; Loss'!O850 &amp; " per pax" &amp; CHAR(10) &amp; "Max " &amp; 'Profit &amp; Loss'!I850*6 &amp; " pax," &amp; " (" &amp; 'Profit &amp; Loss'!I850 &amp; " courts)" &amp; CHAR(10) &amp; CHAR(10) &amp; "RSL Ultimate shuttles provided" &amp; CHAR(10) &amp; CHAR(10) &amp; "PM if interested, thank you!"," ")</f>
        <v xml:space="preserve"> </v>
      </c>
      <c r="B847" s="2" t="str">
        <f ca="1">IF('Profit &amp; Loss'!A850&gt;=TODAY(), "Date: " &amp; TEXT('Profit &amp; Loss'!A850,"dd mmm yyy") &amp; ", " &amp; 'Profit &amp; Loss'!B850 &amp; CHAR(10) &amp; "Time: " &amp; TEXT('Profit &amp; Loss'!C850, "hh:mm AM/PM") &amp; " - " &amp; TEXT('Profit &amp; Loss'!D850, "hh:mm AM/PM") &amp; CHAR(10) &amp; "Venue: " &amp; 'Profit &amp; Loss'!E850 &amp; CHAR(10) &amp; "Court No.: " &amp; 'Profit &amp; Loss'!F850 &amp; CHAR(10) &amp; "Level: HB - LI" &amp; CHAR(10) &amp; "Please transfer $" &amp; 'Profit &amp; Loss'!O850 &amp; " per pax to Belle (83396501)" &amp; CHAR(10) &amp; CHAR(10) &amp; IF('Profit &amp; Loss'!I850=1, "1." &amp; CHAR(10) &amp; "2." &amp; CHAR(10) &amp; "3." &amp; CHAR(10) &amp; "4." &amp; CHAR(10) &amp; "5." &amp; CHAR(10) &amp; "6." &amp; CHAR(10), IF('Profit &amp; Loss'!I850=2,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8" spans="1:2" ht="12.5" x14ac:dyDescent="0.25">
      <c r="A848" s="2" t="str">
        <f ca="1">IF('Profit &amp; Loss'!A851&gt;=TODAY(),"Looking for friendly players to join the following game: " &amp; CHAR(10) &amp; CHAR(10) &amp; "Date: " &amp; TEXT('Profit &amp; Loss'!A851,"dd mmm yyy") &amp; ", " &amp; 'Profit &amp; Loss'!B851 &amp; CHAR(10) &amp; "Time: " &amp; TEXT('Profit &amp; Loss'!C851, "hh:mm AM/PM") &amp; " - " &amp; TEXT('Profit &amp; Loss'!D851, "hh:mm AM/PM") &amp; CHAR(10) &amp; "Venue: " &amp; 'Profit &amp; Loss'!E851 &amp; CHAR(10) &amp; "Level: HB - LI" &amp; CHAR(10) &amp; "Cost: $" &amp; 'Profit &amp; Loss'!O851 &amp; " per pax" &amp; CHAR(10) &amp; "Max " &amp; 'Profit &amp; Loss'!I851*6 &amp; " pax," &amp; " (" &amp; 'Profit &amp; Loss'!I851 &amp; " courts)" &amp; CHAR(10) &amp; CHAR(10) &amp; "RSL Ultimate shuttles provided" &amp; CHAR(10) &amp; CHAR(10) &amp; "PM if interested, thank you!"," ")</f>
        <v xml:space="preserve"> </v>
      </c>
      <c r="B848" s="2" t="str">
        <f ca="1">IF('Profit &amp; Loss'!A851&gt;=TODAY(), "Date: " &amp; TEXT('Profit &amp; Loss'!A851,"dd mmm yyy") &amp; ", " &amp; 'Profit &amp; Loss'!B851 &amp; CHAR(10) &amp; "Time: " &amp; TEXT('Profit &amp; Loss'!C851, "hh:mm AM/PM") &amp; " - " &amp; TEXT('Profit &amp; Loss'!D851, "hh:mm AM/PM") &amp; CHAR(10) &amp; "Venue: " &amp; 'Profit &amp; Loss'!E851 &amp; CHAR(10) &amp; "Court No.: " &amp; 'Profit &amp; Loss'!F851 &amp; CHAR(10) &amp; "Level: HB - LI" &amp; CHAR(10) &amp; "Please transfer $" &amp; 'Profit &amp; Loss'!O851 &amp; " per pax to Belle (83396501)" &amp; CHAR(10) &amp; CHAR(10) &amp; IF('Profit &amp; Loss'!I851=1, "1." &amp; CHAR(10) &amp; "2." &amp; CHAR(10) &amp; "3." &amp; CHAR(10) &amp; "4." &amp; CHAR(10) &amp; "5." &amp; CHAR(10) &amp; "6." &amp; CHAR(10), IF('Profit &amp; Loss'!I851=2,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49" spans="1:2" ht="12.5" x14ac:dyDescent="0.25">
      <c r="A849" s="2" t="str">
        <f ca="1">IF('Profit &amp; Loss'!A852&gt;=TODAY(),"Looking for friendly players to join the following game: " &amp; CHAR(10) &amp; CHAR(10) &amp; "Date: " &amp; TEXT('Profit &amp; Loss'!A852,"dd mmm yyy") &amp; ", " &amp; 'Profit &amp; Loss'!B852 &amp; CHAR(10) &amp; "Time: " &amp; TEXT('Profit &amp; Loss'!C852, "hh:mm AM/PM") &amp; " - " &amp; TEXT('Profit &amp; Loss'!D852, "hh:mm AM/PM") &amp; CHAR(10) &amp; "Venue: " &amp; 'Profit &amp; Loss'!E852 &amp; CHAR(10) &amp; "Level: HB - LI" &amp; CHAR(10) &amp; "Cost: $" &amp; 'Profit &amp; Loss'!O852 &amp; " per pax" &amp; CHAR(10) &amp; "Max " &amp; 'Profit &amp; Loss'!I852*6 &amp; " pax," &amp; " (" &amp; 'Profit &amp; Loss'!I852 &amp; " courts)" &amp; CHAR(10) &amp; CHAR(10) &amp; "RSL Ultimate shuttles provided" &amp; CHAR(10) &amp; CHAR(10) &amp; "PM if interested, thank you!"," ")</f>
        <v xml:space="preserve"> </v>
      </c>
      <c r="B849" s="2" t="str">
        <f ca="1">IF('Profit &amp; Loss'!A852&gt;=TODAY(), "Date: " &amp; TEXT('Profit &amp; Loss'!A852,"dd mmm yyy") &amp; ", " &amp; 'Profit &amp; Loss'!B852 &amp; CHAR(10) &amp; "Time: " &amp; TEXT('Profit &amp; Loss'!C852, "hh:mm AM/PM") &amp; " - " &amp; TEXT('Profit &amp; Loss'!D852, "hh:mm AM/PM") &amp; CHAR(10) &amp; "Venue: " &amp; 'Profit &amp; Loss'!E852 &amp; CHAR(10) &amp; "Court No.: " &amp; 'Profit &amp; Loss'!F852 &amp; CHAR(10) &amp; "Level: HB - LI" &amp; CHAR(10) &amp; "Please transfer $" &amp; 'Profit &amp; Loss'!O852 &amp; " per pax to Belle (83396501)" &amp; CHAR(10) &amp; CHAR(10) &amp; IF('Profit &amp; Loss'!I852=1, "1." &amp; CHAR(10) &amp; "2." &amp; CHAR(10) &amp; "3." &amp; CHAR(10) &amp; "4." &amp; CHAR(10) &amp; "5." &amp; CHAR(10) &amp; "6." &amp; CHAR(10), IF('Profit &amp; Loss'!I852=2,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0" spans="1:2" ht="12.5" x14ac:dyDescent="0.25">
      <c r="A850" s="2" t="str">
        <f ca="1">IF('Profit &amp; Loss'!A853&gt;=TODAY(),"Looking for friendly players to join the following game: " &amp; CHAR(10) &amp; CHAR(10) &amp; "Date: " &amp; TEXT('Profit &amp; Loss'!A853,"dd mmm yyy") &amp; ", " &amp; 'Profit &amp; Loss'!B853 &amp; CHAR(10) &amp; "Time: " &amp; TEXT('Profit &amp; Loss'!C853, "hh:mm AM/PM") &amp; " - " &amp; TEXT('Profit &amp; Loss'!D853, "hh:mm AM/PM") &amp; CHAR(10) &amp; "Venue: " &amp; 'Profit &amp; Loss'!E853 &amp; CHAR(10) &amp; "Level: HB - LI" &amp; CHAR(10) &amp; "Cost: $" &amp; 'Profit &amp; Loss'!O853 &amp; " per pax" &amp; CHAR(10) &amp; "Max " &amp; 'Profit &amp; Loss'!I853*6 &amp; " pax," &amp; " (" &amp; 'Profit &amp; Loss'!I853 &amp; " courts)" &amp; CHAR(10) &amp; CHAR(10) &amp; "RSL Ultimate shuttles provided" &amp; CHAR(10) &amp; CHAR(10) &amp; "PM if interested, thank you!"," ")</f>
        <v xml:space="preserve"> </v>
      </c>
      <c r="B850" s="2" t="str">
        <f ca="1">IF('Profit &amp; Loss'!A853&gt;=TODAY(), "Date: " &amp; TEXT('Profit &amp; Loss'!A853,"dd mmm yyy") &amp; ", " &amp; 'Profit &amp; Loss'!B853 &amp; CHAR(10) &amp; "Time: " &amp; TEXT('Profit &amp; Loss'!C853, "hh:mm AM/PM") &amp; " - " &amp; TEXT('Profit &amp; Loss'!D853, "hh:mm AM/PM") &amp; CHAR(10) &amp; "Venue: " &amp; 'Profit &amp; Loss'!E853 &amp; CHAR(10) &amp; "Court No.: " &amp; 'Profit &amp; Loss'!F853 &amp; CHAR(10) &amp; "Level: HB - LI" &amp; CHAR(10) &amp; "Please transfer $" &amp; 'Profit &amp; Loss'!O853 &amp; " per pax to Belle (83396501)" &amp; CHAR(10) &amp; CHAR(10) &amp; IF('Profit &amp; Loss'!I853=1, "1." &amp; CHAR(10) &amp; "2." &amp; CHAR(10) &amp; "3." &amp; CHAR(10) &amp; "4." &amp; CHAR(10) &amp; "5." &amp; CHAR(10) &amp; "6." &amp; CHAR(10), IF('Profit &amp; Loss'!I853=2,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1" spans="1:2" ht="12.5" x14ac:dyDescent="0.25">
      <c r="A851" s="2" t="str">
        <f ca="1">IF('Profit &amp; Loss'!A854&gt;=TODAY(),"Looking for friendly players to join the following game: " &amp; CHAR(10) &amp; CHAR(10) &amp; "Date: " &amp; TEXT('Profit &amp; Loss'!A854,"dd mmm yyy") &amp; ", " &amp; 'Profit &amp; Loss'!B854 &amp; CHAR(10) &amp; "Time: " &amp; TEXT('Profit &amp; Loss'!C854, "hh:mm AM/PM") &amp; " - " &amp; TEXT('Profit &amp; Loss'!D854, "hh:mm AM/PM") &amp; CHAR(10) &amp; "Venue: " &amp; 'Profit &amp; Loss'!E854 &amp; CHAR(10) &amp; "Level: HB - LI" &amp; CHAR(10) &amp; "Cost: $" &amp; 'Profit &amp; Loss'!O854 &amp; " per pax" &amp; CHAR(10) &amp; "Max " &amp; 'Profit &amp; Loss'!I854*6 &amp; " pax," &amp; " (" &amp; 'Profit &amp; Loss'!I854 &amp; " courts)" &amp; CHAR(10) &amp; CHAR(10) &amp; "RSL Ultimate shuttles provided" &amp; CHAR(10) &amp; CHAR(10) &amp; "PM if interested, thank you!"," ")</f>
        <v xml:space="preserve"> </v>
      </c>
      <c r="B851" s="2" t="str">
        <f ca="1">IF('Profit &amp; Loss'!A854&gt;=TODAY(), "Date: " &amp; TEXT('Profit &amp; Loss'!A854,"dd mmm yyy") &amp; ", " &amp; 'Profit &amp; Loss'!B854 &amp; CHAR(10) &amp; "Time: " &amp; TEXT('Profit &amp; Loss'!C854, "hh:mm AM/PM") &amp; " - " &amp; TEXT('Profit &amp; Loss'!D854, "hh:mm AM/PM") &amp; CHAR(10) &amp; "Venue: " &amp; 'Profit &amp; Loss'!E854 &amp; CHAR(10) &amp; "Court No.: " &amp; 'Profit &amp; Loss'!F854 &amp; CHAR(10) &amp; "Level: HB - LI" &amp; CHAR(10) &amp; "Please transfer $" &amp; 'Profit &amp; Loss'!O854 &amp; " per pax to Belle (83396501)" &amp; CHAR(10) &amp; CHAR(10) &amp; IF('Profit &amp; Loss'!I854=1, "1." &amp; CHAR(10) &amp; "2." &amp; CHAR(10) &amp; "3." &amp; CHAR(10) &amp; "4." &amp; CHAR(10) &amp; "5." &amp; CHAR(10) &amp; "6." &amp; CHAR(10), IF('Profit &amp; Loss'!I854=2,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2" spans="1:2" ht="12.5" x14ac:dyDescent="0.25">
      <c r="A852" s="2" t="str">
        <f ca="1">IF('Profit &amp; Loss'!A855&gt;=TODAY(),"Looking for friendly players to join the following game: " &amp; CHAR(10) &amp; CHAR(10) &amp; "Date: " &amp; TEXT('Profit &amp; Loss'!A855,"dd mmm yyy") &amp; ", " &amp; 'Profit &amp; Loss'!B855 &amp; CHAR(10) &amp; "Time: " &amp; TEXT('Profit &amp; Loss'!C855, "hh:mm AM/PM") &amp; " - " &amp; TEXT('Profit &amp; Loss'!D855, "hh:mm AM/PM") &amp; CHAR(10) &amp; "Venue: " &amp; 'Profit &amp; Loss'!E855 &amp; CHAR(10) &amp; "Level: HB - LI" &amp; CHAR(10) &amp; "Cost: $" &amp; 'Profit &amp; Loss'!O855 &amp; " per pax" &amp; CHAR(10) &amp; "Max " &amp; 'Profit &amp; Loss'!I855*6 &amp; " pax," &amp; " (" &amp; 'Profit &amp; Loss'!I855 &amp; " courts)" &amp; CHAR(10) &amp; CHAR(10) &amp; "RSL Ultimate shuttles provided" &amp; CHAR(10) &amp; CHAR(10) &amp; "PM if interested, thank you!"," ")</f>
        <v xml:space="preserve"> </v>
      </c>
      <c r="B852" s="2" t="str">
        <f ca="1">IF('Profit &amp; Loss'!A855&gt;=TODAY(), "Date: " &amp; TEXT('Profit &amp; Loss'!A855,"dd mmm yyy") &amp; ", " &amp; 'Profit &amp; Loss'!B855 &amp; CHAR(10) &amp; "Time: " &amp; TEXT('Profit &amp; Loss'!C855, "hh:mm AM/PM") &amp; " - " &amp; TEXT('Profit &amp; Loss'!D855, "hh:mm AM/PM") &amp; CHAR(10) &amp; "Venue: " &amp; 'Profit &amp; Loss'!E855 &amp; CHAR(10) &amp; "Court No.: " &amp; 'Profit &amp; Loss'!F855 &amp; CHAR(10) &amp; "Level: HB - LI" &amp; CHAR(10) &amp; "Please transfer $" &amp; 'Profit &amp; Loss'!O855 &amp; " per pax to Belle (83396501)" &amp; CHAR(10) &amp; CHAR(10) &amp; IF('Profit &amp; Loss'!I855=1, "1." &amp; CHAR(10) &amp; "2." &amp; CHAR(10) &amp; "3." &amp; CHAR(10) &amp; "4." &amp; CHAR(10) &amp; "5." &amp; CHAR(10) &amp; "6." &amp; CHAR(10), IF('Profit &amp; Loss'!I855=2,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3" spans="1:2" ht="12.5" x14ac:dyDescent="0.25">
      <c r="A853" s="2" t="str">
        <f ca="1">IF('Profit &amp; Loss'!A856&gt;=TODAY(),"Looking for friendly players to join the following game: " &amp; CHAR(10) &amp; CHAR(10) &amp; "Date: " &amp; TEXT('Profit &amp; Loss'!A856,"dd mmm yyy") &amp; ", " &amp; 'Profit &amp; Loss'!B856 &amp; CHAR(10) &amp; "Time: " &amp; TEXT('Profit &amp; Loss'!C856, "hh:mm AM/PM") &amp; " - " &amp; TEXT('Profit &amp; Loss'!D856, "hh:mm AM/PM") &amp; CHAR(10) &amp; "Venue: " &amp; 'Profit &amp; Loss'!E856 &amp; CHAR(10) &amp; "Level: HB - LI" &amp; CHAR(10) &amp; "Cost: $" &amp; 'Profit &amp; Loss'!O856 &amp; " per pax" &amp; CHAR(10) &amp; "Max " &amp; 'Profit &amp; Loss'!I856*6 &amp; " pax," &amp; " (" &amp; 'Profit &amp; Loss'!I856 &amp; " courts)" &amp; CHAR(10) &amp; CHAR(10) &amp; "RSL Ultimate shuttles provided" &amp; CHAR(10) &amp; CHAR(10) &amp; "PM if interested, thank you!"," ")</f>
        <v xml:space="preserve"> </v>
      </c>
      <c r="B853" s="2" t="str">
        <f ca="1">IF('Profit &amp; Loss'!A856&gt;=TODAY(), "Date: " &amp; TEXT('Profit &amp; Loss'!A856,"dd mmm yyy") &amp; ", " &amp; 'Profit &amp; Loss'!B856 &amp; CHAR(10) &amp; "Time: " &amp; TEXT('Profit &amp; Loss'!C856, "hh:mm AM/PM") &amp; " - " &amp; TEXT('Profit &amp; Loss'!D856, "hh:mm AM/PM") &amp; CHAR(10) &amp; "Venue: " &amp; 'Profit &amp; Loss'!E856 &amp; CHAR(10) &amp; "Court No.: " &amp; 'Profit &amp; Loss'!F856 &amp; CHAR(10) &amp; "Level: HB - LI" &amp; CHAR(10) &amp; "Please transfer $" &amp; 'Profit &amp; Loss'!O856 &amp; " per pax to Belle (83396501)" &amp; CHAR(10) &amp; CHAR(10) &amp; IF('Profit &amp; Loss'!I856=1, "1." &amp; CHAR(10) &amp; "2." &amp; CHAR(10) &amp; "3." &amp; CHAR(10) &amp; "4." &amp; CHAR(10) &amp; "5." &amp; CHAR(10) &amp; "6." &amp; CHAR(10), IF('Profit &amp; Loss'!I856=2,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4" spans="1:2" ht="12.5" x14ac:dyDescent="0.25">
      <c r="A854" s="2" t="str">
        <f ca="1">IF('Profit &amp; Loss'!A857&gt;=TODAY(),"Looking for friendly players to join the following game: " &amp; CHAR(10) &amp; CHAR(10) &amp; "Date: " &amp; TEXT('Profit &amp; Loss'!A857,"dd mmm yyy") &amp; ", " &amp; 'Profit &amp; Loss'!B857 &amp; CHAR(10) &amp; "Time: " &amp; TEXT('Profit &amp; Loss'!C857, "hh:mm AM/PM") &amp; " - " &amp; TEXT('Profit &amp; Loss'!D857, "hh:mm AM/PM") &amp; CHAR(10) &amp; "Venue: " &amp; 'Profit &amp; Loss'!E857 &amp; CHAR(10) &amp; "Level: HB - LI" &amp; CHAR(10) &amp; "Cost: $" &amp; 'Profit &amp; Loss'!O857 &amp; " per pax" &amp; CHAR(10) &amp; "Max " &amp; 'Profit &amp; Loss'!I857*6 &amp; " pax," &amp; " (" &amp; 'Profit &amp; Loss'!I857 &amp; " courts)" &amp; CHAR(10) &amp; CHAR(10) &amp; "RSL Ultimate shuttles provided" &amp; CHAR(10) &amp; CHAR(10) &amp; "PM if interested, thank you!"," ")</f>
        <v xml:space="preserve"> </v>
      </c>
      <c r="B854" s="2" t="str">
        <f ca="1">IF('Profit &amp; Loss'!A857&gt;=TODAY(), "Date: " &amp; TEXT('Profit &amp; Loss'!A857,"dd mmm yyy") &amp; ", " &amp; 'Profit &amp; Loss'!B857 &amp; CHAR(10) &amp; "Time: " &amp; TEXT('Profit &amp; Loss'!C857, "hh:mm AM/PM") &amp; " - " &amp; TEXT('Profit &amp; Loss'!D857, "hh:mm AM/PM") &amp; CHAR(10) &amp; "Venue: " &amp; 'Profit &amp; Loss'!E857 &amp; CHAR(10) &amp; "Court No.: " &amp; 'Profit &amp; Loss'!F857 &amp; CHAR(10) &amp; "Level: HB - LI" &amp; CHAR(10) &amp; "Please transfer $" &amp; 'Profit &amp; Loss'!O857 &amp; " per pax to Belle (83396501)" &amp; CHAR(10) &amp; CHAR(10) &amp; IF('Profit &amp; Loss'!I857=1, "1." &amp; CHAR(10) &amp; "2." &amp; CHAR(10) &amp; "3." &amp; CHAR(10) &amp; "4." &amp; CHAR(10) &amp; "5." &amp; CHAR(10) &amp; "6." &amp; CHAR(10), IF('Profit &amp; Loss'!I857=2,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5" spans="1:2" ht="12.5" x14ac:dyDescent="0.25">
      <c r="A855" s="2" t="str">
        <f ca="1">IF('Profit &amp; Loss'!A858&gt;=TODAY(),"Looking for friendly players to join the following game: " &amp; CHAR(10) &amp; CHAR(10) &amp; "Date: " &amp; TEXT('Profit &amp; Loss'!A858,"dd mmm yyy") &amp; ", " &amp; 'Profit &amp; Loss'!B858 &amp; CHAR(10) &amp; "Time: " &amp; TEXT('Profit &amp; Loss'!C858, "hh:mm AM/PM") &amp; " - " &amp; TEXT('Profit &amp; Loss'!D858, "hh:mm AM/PM") &amp; CHAR(10) &amp; "Venue: " &amp; 'Profit &amp; Loss'!E858 &amp; CHAR(10) &amp; "Level: HB - LI" &amp; CHAR(10) &amp; "Cost: $" &amp; 'Profit &amp; Loss'!O858 &amp; " per pax" &amp; CHAR(10) &amp; "Max " &amp; 'Profit &amp; Loss'!I858*6 &amp; " pax," &amp; " (" &amp; 'Profit &amp; Loss'!I858 &amp; " courts)" &amp; CHAR(10) &amp; CHAR(10) &amp; "RSL Ultimate shuttles provided" &amp; CHAR(10) &amp; CHAR(10) &amp; "PM if interested, thank you!"," ")</f>
        <v xml:space="preserve"> </v>
      </c>
      <c r="B855" s="2" t="str">
        <f ca="1">IF('Profit &amp; Loss'!A858&gt;=TODAY(), "Date: " &amp; TEXT('Profit &amp; Loss'!A858,"dd mmm yyy") &amp; ", " &amp; 'Profit &amp; Loss'!B858 &amp; CHAR(10) &amp; "Time: " &amp; TEXT('Profit &amp; Loss'!C858, "hh:mm AM/PM") &amp; " - " &amp; TEXT('Profit &amp; Loss'!D858, "hh:mm AM/PM") &amp; CHAR(10) &amp; "Venue: " &amp; 'Profit &amp; Loss'!E858 &amp; CHAR(10) &amp; "Court No.: " &amp; 'Profit &amp; Loss'!F858 &amp; CHAR(10) &amp; "Level: HB - LI" &amp; CHAR(10) &amp; "Please transfer $" &amp; 'Profit &amp; Loss'!O858 &amp; " per pax to Belle (83396501)" &amp; CHAR(10) &amp; CHAR(10) &amp; IF('Profit &amp; Loss'!I858=1, "1." &amp; CHAR(10) &amp; "2." &amp; CHAR(10) &amp; "3." &amp; CHAR(10) &amp; "4." &amp; CHAR(10) &amp; "5." &amp; CHAR(10) &amp; "6." &amp; CHAR(10), IF('Profit &amp; Loss'!I858=2,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6" spans="1:2" ht="12.5" x14ac:dyDescent="0.25">
      <c r="A856" s="2" t="str">
        <f ca="1">IF('Profit &amp; Loss'!A859&gt;=TODAY(),"Looking for friendly players to join the following game: " &amp; CHAR(10) &amp; CHAR(10) &amp; "Date: " &amp; TEXT('Profit &amp; Loss'!A859,"dd mmm yyy") &amp; ", " &amp; 'Profit &amp; Loss'!B859 &amp; CHAR(10) &amp; "Time: " &amp; TEXT('Profit &amp; Loss'!C859, "hh:mm AM/PM") &amp; " - " &amp; TEXT('Profit &amp; Loss'!D859, "hh:mm AM/PM") &amp; CHAR(10) &amp; "Venue: " &amp; 'Profit &amp; Loss'!E859 &amp; CHAR(10) &amp; "Level: HB - LI" &amp; CHAR(10) &amp; "Cost: $" &amp; 'Profit &amp; Loss'!O859 &amp; " per pax" &amp; CHAR(10) &amp; "Max " &amp; 'Profit &amp; Loss'!I859*6 &amp; " pax," &amp; " (" &amp; 'Profit &amp; Loss'!I859 &amp; " courts)" &amp; CHAR(10) &amp; CHAR(10) &amp; "RSL Ultimate shuttles provided" &amp; CHAR(10) &amp; CHAR(10) &amp; "PM if interested, thank you!"," ")</f>
        <v xml:space="preserve"> </v>
      </c>
      <c r="B856" s="2" t="str">
        <f ca="1">IF('Profit &amp; Loss'!A859&gt;=TODAY(), "Date: " &amp; TEXT('Profit &amp; Loss'!A859,"dd mmm yyy") &amp; ", " &amp; 'Profit &amp; Loss'!B859 &amp; CHAR(10) &amp; "Time: " &amp; TEXT('Profit &amp; Loss'!C859, "hh:mm AM/PM") &amp; " - " &amp; TEXT('Profit &amp; Loss'!D859, "hh:mm AM/PM") &amp; CHAR(10) &amp; "Venue: " &amp; 'Profit &amp; Loss'!E859 &amp; CHAR(10) &amp; "Court No.: " &amp; 'Profit &amp; Loss'!F859 &amp; CHAR(10) &amp; "Level: HB - LI" &amp; CHAR(10) &amp; "Please transfer $" &amp; 'Profit &amp; Loss'!O859 &amp; " per pax to Belle (83396501)" &amp; CHAR(10) &amp; CHAR(10) &amp; IF('Profit &amp; Loss'!I859=1, "1." &amp; CHAR(10) &amp; "2." &amp; CHAR(10) &amp; "3." &amp; CHAR(10) &amp; "4." &amp; CHAR(10) &amp; "5." &amp; CHAR(10) &amp; "6." &amp; CHAR(10), IF('Profit &amp; Loss'!I859=2,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7" spans="1:2" ht="12.5" x14ac:dyDescent="0.25">
      <c r="A857" s="2" t="str">
        <f ca="1">IF('Profit &amp; Loss'!A860&gt;=TODAY(),"Looking for friendly players to join the following game: " &amp; CHAR(10) &amp; CHAR(10) &amp; "Date: " &amp; TEXT('Profit &amp; Loss'!A860,"dd mmm yyy") &amp; ", " &amp; 'Profit &amp; Loss'!B860 &amp; CHAR(10) &amp; "Time: " &amp; TEXT('Profit &amp; Loss'!C860, "hh:mm AM/PM") &amp; " - " &amp; TEXT('Profit &amp; Loss'!D860, "hh:mm AM/PM") &amp; CHAR(10) &amp; "Venue: " &amp; 'Profit &amp; Loss'!E860 &amp; CHAR(10) &amp; "Level: HB - LI" &amp; CHAR(10) &amp; "Cost: $" &amp; 'Profit &amp; Loss'!O860 &amp; " per pax" &amp; CHAR(10) &amp; "Max " &amp; 'Profit &amp; Loss'!I860*6 &amp; " pax," &amp; " (" &amp; 'Profit &amp; Loss'!I860 &amp; " courts)" &amp; CHAR(10) &amp; CHAR(10) &amp; "RSL Ultimate shuttles provided" &amp; CHAR(10) &amp; CHAR(10) &amp; "PM if interested, thank you!"," ")</f>
        <v xml:space="preserve"> </v>
      </c>
      <c r="B857" s="2" t="str">
        <f ca="1">IF('Profit &amp; Loss'!A860&gt;=TODAY(), "Date: " &amp; TEXT('Profit &amp; Loss'!A860,"dd mmm yyy") &amp; ", " &amp; 'Profit &amp; Loss'!B860 &amp; CHAR(10) &amp; "Time: " &amp; TEXT('Profit &amp; Loss'!C860, "hh:mm AM/PM") &amp; " - " &amp; TEXT('Profit &amp; Loss'!D860, "hh:mm AM/PM") &amp; CHAR(10) &amp; "Venue: " &amp; 'Profit &amp; Loss'!E860 &amp; CHAR(10) &amp; "Court No.: " &amp; 'Profit &amp; Loss'!F860 &amp; CHAR(10) &amp; "Level: HB - LI" &amp; CHAR(10) &amp; "Please transfer $" &amp; 'Profit &amp; Loss'!O860 &amp; " per pax to Belle (83396501)" &amp; CHAR(10) &amp; CHAR(10) &amp; IF('Profit &amp; Loss'!I860=1, "1." &amp; CHAR(10) &amp; "2." &amp; CHAR(10) &amp; "3." &amp; CHAR(10) &amp; "4." &amp; CHAR(10) &amp; "5." &amp; CHAR(10) &amp; "6." &amp; CHAR(10), IF('Profit &amp; Loss'!I860=2,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8" spans="1:2" ht="12.5" x14ac:dyDescent="0.25">
      <c r="A858" s="2" t="str">
        <f ca="1">IF('Profit &amp; Loss'!A861&gt;=TODAY(),"Looking for friendly players to join the following game: " &amp; CHAR(10) &amp; CHAR(10) &amp; "Date: " &amp; TEXT('Profit &amp; Loss'!A861,"dd mmm yyy") &amp; ", " &amp; 'Profit &amp; Loss'!B861 &amp; CHAR(10) &amp; "Time: " &amp; TEXT('Profit &amp; Loss'!C861, "hh:mm AM/PM") &amp; " - " &amp; TEXT('Profit &amp; Loss'!D861, "hh:mm AM/PM") &amp; CHAR(10) &amp; "Venue: " &amp; 'Profit &amp; Loss'!E861 &amp; CHAR(10) &amp; "Level: HB - LI" &amp; CHAR(10) &amp; "Cost: $" &amp; 'Profit &amp; Loss'!O861 &amp; " per pax" &amp; CHAR(10) &amp; "Max " &amp; 'Profit &amp; Loss'!I861*6 &amp; " pax," &amp; " (" &amp; 'Profit &amp; Loss'!I861 &amp; " courts)" &amp; CHAR(10) &amp; CHAR(10) &amp; "RSL Ultimate shuttles provided" &amp; CHAR(10) &amp; CHAR(10) &amp; "PM if interested, thank you!"," ")</f>
        <v xml:space="preserve"> </v>
      </c>
      <c r="B858" s="2" t="str">
        <f ca="1">IF('Profit &amp; Loss'!A861&gt;=TODAY(), "Date: " &amp; TEXT('Profit &amp; Loss'!A861,"dd mmm yyy") &amp; ", " &amp; 'Profit &amp; Loss'!B861 &amp; CHAR(10) &amp; "Time: " &amp; TEXT('Profit &amp; Loss'!C861, "hh:mm AM/PM") &amp; " - " &amp; TEXT('Profit &amp; Loss'!D861, "hh:mm AM/PM") &amp; CHAR(10) &amp; "Venue: " &amp; 'Profit &amp; Loss'!E861 &amp; CHAR(10) &amp; "Court No.: " &amp; 'Profit &amp; Loss'!F861 &amp; CHAR(10) &amp; "Level: HB - LI" &amp; CHAR(10) &amp; "Please transfer $" &amp; 'Profit &amp; Loss'!O861 &amp; " per pax to Belle (83396501)" &amp; CHAR(10) &amp; CHAR(10) &amp; IF('Profit &amp; Loss'!I861=1, "1." &amp; CHAR(10) &amp; "2." &amp; CHAR(10) &amp; "3." &amp; CHAR(10) &amp; "4." &amp; CHAR(10) &amp; "5." &amp; CHAR(10) &amp; "6." &amp; CHAR(10), IF('Profit &amp; Loss'!I861=2,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59" spans="1:2" ht="12.5" x14ac:dyDescent="0.25">
      <c r="A859" s="2" t="str">
        <f ca="1">IF('Profit &amp; Loss'!A862&gt;=TODAY(),"Looking for friendly players to join the following game: " &amp; CHAR(10) &amp; CHAR(10) &amp; "Date: " &amp; TEXT('Profit &amp; Loss'!A862,"dd mmm yyy") &amp; ", " &amp; 'Profit &amp; Loss'!B862 &amp; CHAR(10) &amp; "Time: " &amp; TEXT('Profit &amp; Loss'!C862, "hh:mm AM/PM") &amp; " - " &amp; TEXT('Profit &amp; Loss'!D862, "hh:mm AM/PM") &amp; CHAR(10) &amp; "Venue: " &amp; 'Profit &amp; Loss'!E862 &amp; CHAR(10) &amp; "Level: HB - LI" &amp; CHAR(10) &amp; "Cost: $" &amp; 'Profit &amp; Loss'!O862 &amp; " per pax" &amp; CHAR(10) &amp; "Max " &amp; 'Profit &amp; Loss'!I862*6 &amp; " pax," &amp; " (" &amp; 'Profit &amp; Loss'!I862 &amp; " courts)" &amp; CHAR(10) &amp; CHAR(10) &amp; "RSL Ultimate shuttles provided" &amp; CHAR(10) &amp; CHAR(10) &amp; "PM if interested, thank you!"," ")</f>
        <v xml:space="preserve"> </v>
      </c>
      <c r="B859" s="2" t="str">
        <f ca="1">IF('Profit &amp; Loss'!A862&gt;=TODAY(), "Date: " &amp; TEXT('Profit &amp; Loss'!A862,"dd mmm yyy") &amp; ", " &amp; 'Profit &amp; Loss'!B862 &amp; CHAR(10) &amp; "Time: " &amp; TEXT('Profit &amp; Loss'!C862, "hh:mm AM/PM") &amp; " - " &amp; TEXT('Profit &amp; Loss'!D862, "hh:mm AM/PM") &amp; CHAR(10) &amp; "Venue: " &amp; 'Profit &amp; Loss'!E862 &amp; CHAR(10) &amp; "Court No.: " &amp; 'Profit &amp; Loss'!F862 &amp; CHAR(10) &amp; "Level: HB - LI" &amp; CHAR(10) &amp; "Please transfer $" &amp; 'Profit &amp; Loss'!O862 &amp; " per pax to Belle (83396501)" &amp; CHAR(10) &amp; CHAR(10) &amp; IF('Profit &amp; Loss'!I862=1, "1." &amp; CHAR(10) &amp; "2." &amp; CHAR(10) &amp; "3." &amp; CHAR(10) &amp; "4." &amp; CHAR(10) &amp; "5." &amp; CHAR(10) &amp; "6." &amp; CHAR(10), IF('Profit &amp; Loss'!I862=2,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0" spans="1:2" ht="12.5" x14ac:dyDescent="0.25">
      <c r="A860" s="2" t="str">
        <f ca="1">IF('Profit &amp; Loss'!A863&gt;=TODAY(),"Looking for friendly players to join the following game: " &amp; CHAR(10) &amp; CHAR(10) &amp; "Date: " &amp; TEXT('Profit &amp; Loss'!A863,"dd mmm yyy") &amp; ", " &amp; 'Profit &amp; Loss'!B863 &amp; CHAR(10) &amp; "Time: " &amp; TEXT('Profit &amp; Loss'!C863, "hh:mm AM/PM") &amp; " - " &amp; TEXT('Profit &amp; Loss'!D863, "hh:mm AM/PM") &amp; CHAR(10) &amp; "Venue: " &amp; 'Profit &amp; Loss'!E863 &amp; CHAR(10) &amp; "Level: HB - LI" &amp; CHAR(10) &amp; "Cost: $" &amp; 'Profit &amp; Loss'!O863 &amp; " per pax" &amp; CHAR(10) &amp; "Max " &amp; 'Profit &amp; Loss'!I863*6 &amp; " pax," &amp; " (" &amp; 'Profit &amp; Loss'!I863 &amp; " courts)" &amp; CHAR(10) &amp; CHAR(10) &amp; "RSL Ultimate shuttles provided" &amp; CHAR(10) &amp; CHAR(10) &amp; "PM if interested, thank you!"," ")</f>
        <v xml:space="preserve"> </v>
      </c>
      <c r="B860" s="2" t="str">
        <f ca="1">IF('Profit &amp; Loss'!A863&gt;=TODAY(), "Date: " &amp; TEXT('Profit &amp; Loss'!A863,"dd mmm yyy") &amp; ", " &amp; 'Profit &amp; Loss'!B863 &amp; CHAR(10) &amp; "Time: " &amp; TEXT('Profit &amp; Loss'!C863, "hh:mm AM/PM") &amp; " - " &amp; TEXT('Profit &amp; Loss'!D863, "hh:mm AM/PM") &amp; CHAR(10) &amp; "Venue: " &amp; 'Profit &amp; Loss'!E863 &amp; CHAR(10) &amp; "Court No.: " &amp; 'Profit &amp; Loss'!F863 &amp; CHAR(10) &amp; "Level: HB - LI" &amp; CHAR(10) &amp; "Please transfer $" &amp; 'Profit &amp; Loss'!O863 &amp; " per pax to Belle (83396501)" &amp; CHAR(10) &amp; CHAR(10) &amp; IF('Profit &amp; Loss'!I863=1, "1." &amp; CHAR(10) &amp; "2." &amp; CHAR(10) &amp; "3." &amp; CHAR(10) &amp; "4." &amp; CHAR(10) &amp; "5." &amp; CHAR(10) &amp; "6." &amp; CHAR(10), IF('Profit &amp; Loss'!I863=2,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1" spans="1:2" ht="12.5" x14ac:dyDescent="0.25">
      <c r="A861" s="2" t="str">
        <f ca="1">IF('Profit &amp; Loss'!A864&gt;=TODAY(),"Looking for friendly players to join the following game: " &amp; CHAR(10) &amp; CHAR(10) &amp; "Date: " &amp; TEXT('Profit &amp; Loss'!A864,"dd mmm yyy") &amp; ", " &amp; 'Profit &amp; Loss'!B864 &amp; CHAR(10) &amp; "Time: " &amp; TEXT('Profit &amp; Loss'!C864, "hh:mm AM/PM") &amp; " - " &amp; TEXT('Profit &amp; Loss'!D864, "hh:mm AM/PM") &amp; CHAR(10) &amp; "Venue: " &amp; 'Profit &amp; Loss'!E864 &amp; CHAR(10) &amp; "Level: HB - LI" &amp; CHAR(10) &amp; "Cost: $" &amp; 'Profit &amp; Loss'!O864 &amp; " per pax" &amp; CHAR(10) &amp; "Max " &amp; 'Profit &amp; Loss'!I864*6 &amp; " pax," &amp; " (" &amp; 'Profit &amp; Loss'!I864 &amp; " courts)" &amp; CHAR(10) &amp; CHAR(10) &amp; "RSL Ultimate shuttles provided" &amp; CHAR(10) &amp; CHAR(10) &amp; "PM if interested, thank you!"," ")</f>
        <v xml:space="preserve"> </v>
      </c>
      <c r="B861" s="2" t="str">
        <f ca="1">IF('Profit &amp; Loss'!A864&gt;=TODAY(), "Date: " &amp; TEXT('Profit &amp; Loss'!A864,"dd mmm yyy") &amp; ", " &amp; 'Profit &amp; Loss'!B864 &amp; CHAR(10) &amp; "Time: " &amp; TEXT('Profit &amp; Loss'!C864, "hh:mm AM/PM") &amp; " - " &amp; TEXT('Profit &amp; Loss'!D864, "hh:mm AM/PM") &amp; CHAR(10) &amp; "Venue: " &amp; 'Profit &amp; Loss'!E864 &amp; CHAR(10) &amp; "Court No.: " &amp; 'Profit &amp; Loss'!F864 &amp; CHAR(10) &amp; "Level: HB - LI" &amp; CHAR(10) &amp; "Please transfer $" &amp; 'Profit &amp; Loss'!O864 &amp; " per pax to Belle (83396501)" &amp; CHAR(10) &amp; CHAR(10) &amp; IF('Profit &amp; Loss'!I864=1, "1." &amp; CHAR(10) &amp; "2." &amp; CHAR(10) &amp; "3." &amp; CHAR(10) &amp; "4." &amp; CHAR(10) &amp; "5." &amp; CHAR(10) &amp; "6." &amp; CHAR(10), IF('Profit &amp; Loss'!I864=2,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2" spans="1:2" ht="12.5" x14ac:dyDescent="0.25">
      <c r="A862" s="2" t="str">
        <f ca="1">IF('Profit &amp; Loss'!A865&gt;=TODAY(),"Looking for friendly players to join the following game: " &amp; CHAR(10) &amp; CHAR(10) &amp; "Date: " &amp; TEXT('Profit &amp; Loss'!A865,"dd mmm yyy") &amp; ", " &amp; 'Profit &amp; Loss'!B865 &amp; CHAR(10) &amp; "Time: " &amp; TEXT('Profit &amp; Loss'!C865, "hh:mm AM/PM") &amp; " - " &amp; TEXT('Profit &amp; Loss'!D865, "hh:mm AM/PM") &amp; CHAR(10) &amp; "Venue: " &amp; 'Profit &amp; Loss'!E865 &amp; CHAR(10) &amp; "Level: HB - LI" &amp; CHAR(10) &amp; "Cost: $" &amp; 'Profit &amp; Loss'!O865 &amp; " per pax" &amp; CHAR(10) &amp; "Max " &amp; 'Profit &amp; Loss'!I865*6 &amp; " pax," &amp; " (" &amp; 'Profit &amp; Loss'!I865 &amp; " courts)" &amp; CHAR(10) &amp; CHAR(10) &amp; "RSL Ultimate shuttles provided" &amp; CHAR(10) &amp; CHAR(10) &amp; "PM if interested, thank you!"," ")</f>
        <v xml:space="preserve"> </v>
      </c>
      <c r="B862" s="2" t="str">
        <f ca="1">IF('Profit &amp; Loss'!A865&gt;=TODAY(), "Date: " &amp; TEXT('Profit &amp; Loss'!A865,"dd mmm yyy") &amp; ", " &amp; 'Profit &amp; Loss'!B865 &amp; CHAR(10) &amp; "Time: " &amp; TEXT('Profit &amp; Loss'!C865, "hh:mm AM/PM") &amp; " - " &amp; TEXT('Profit &amp; Loss'!D865, "hh:mm AM/PM") &amp; CHAR(10) &amp; "Venue: " &amp; 'Profit &amp; Loss'!E865 &amp; CHAR(10) &amp; "Court No.: " &amp; 'Profit &amp; Loss'!F865 &amp; CHAR(10) &amp; "Level: HB - LI" &amp; CHAR(10) &amp; "Please transfer $" &amp; 'Profit &amp; Loss'!O865 &amp; " per pax to Belle (83396501)" &amp; CHAR(10) &amp; CHAR(10) &amp; IF('Profit &amp; Loss'!I865=1, "1." &amp; CHAR(10) &amp; "2." &amp; CHAR(10) &amp; "3." &amp; CHAR(10) &amp; "4." &amp; CHAR(10) &amp; "5." &amp; CHAR(10) &amp; "6." &amp; CHAR(10), IF('Profit &amp; Loss'!I865=2,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3" spans="1:2" ht="12.5" x14ac:dyDescent="0.25">
      <c r="A863" s="2" t="str">
        <f ca="1">IF('Profit &amp; Loss'!A866&gt;=TODAY(),"Looking for friendly players to join the following game: " &amp; CHAR(10) &amp; CHAR(10) &amp; "Date: " &amp; TEXT('Profit &amp; Loss'!A866,"dd mmm yyy") &amp; ", " &amp; 'Profit &amp; Loss'!B866 &amp; CHAR(10) &amp; "Time: " &amp; TEXT('Profit &amp; Loss'!C866, "hh:mm AM/PM") &amp; " - " &amp; TEXT('Profit &amp; Loss'!D866, "hh:mm AM/PM") &amp; CHAR(10) &amp; "Venue: " &amp; 'Profit &amp; Loss'!E866 &amp; CHAR(10) &amp; "Level: HB - LI" &amp; CHAR(10) &amp; "Cost: $" &amp; 'Profit &amp; Loss'!O866 &amp; " per pax" &amp; CHAR(10) &amp; "Max " &amp; 'Profit &amp; Loss'!I866*6 &amp; " pax," &amp; " (" &amp; 'Profit &amp; Loss'!I866 &amp; " courts)" &amp; CHAR(10) &amp; CHAR(10) &amp; "RSL Ultimate shuttles provided" &amp; CHAR(10) &amp; CHAR(10) &amp; "PM if interested, thank you!"," ")</f>
        <v xml:space="preserve"> </v>
      </c>
      <c r="B863" s="2" t="str">
        <f ca="1">IF('Profit &amp; Loss'!A866&gt;=TODAY(), "Date: " &amp; TEXT('Profit &amp; Loss'!A866,"dd mmm yyy") &amp; ", " &amp; 'Profit &amp; Loss'!B866 &amp; CHAR(10) &amp; "Time: " &amp; TEXT('Profit &amp; Loss'!C866, "hh:mm AM/PM") &amp; " - " &amp; TEXT('Profit &amp; Loss'!D866, "hh:mm AM/PM") &amp; CHAR(10) &amp; "Venue: " &amp; 'Profit &amp; Loss'!E866 &amp; CHAR(10) &amp; "Court No.: " &amp; 'Profit &amp; Loss'!F866 &amp; CHAR(10) &amp; "Level: HB - LI" &amp; CHAR(10) &amp; "Please transfer $" &amp; 'Profit &amp; Loss'!O866 &amp; " per pax to Belle (83396501)" &amp; CHAR(10) &amp; CHAR(10) &amp; IF('Profit &amp; Loss'!I866=1, "1." &amp; CHAR(10) &amp; "2." &amp; CHAR(10) &amp; "3." &amp; CHAR(10) &amp; "4." &amp; CHAR(10) &amp; "5." &amp; CHAR(10) &amp; "6." &amp; CHAR(10), IF('Profit &amp; Loss'!I866=2,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4" spans="1:2" ht="12.5" x14ac:dyDescent="0.25">
      <c r="A864" s="2" t="str">
        <f ca="1">IF('Profit &amp; Loss'!A867&gt;=TODAY(),"Looking for friendly players to join the following game: " &amp; CHAR(10) &amp; CHAR(10) &amp; "Date: " &amp; TEXT('Profit &amp; Loss'!A867,"dd mmm yyy") &amp; ", " &amp; 'Profit &amp; Loss'!B867 &amp; CHAR(10) &amp; "Time: " &amp; TEXT('Profit &amp; Loss'!C867, "hh:mm AM/PM") &amp; " - " &amp; TEXT('Profit &amp; Loss'!D867, "hh:mm AM/PM") &amp; CHAR(10) &amp; "Venue: " &amp; 'Profit &amp; Loss'!E867 &amp; CHAR(10) &amp; "Level: HB - LI" &amp; CHAR(10) &amp; "Cost: $" &amp; 'Profit &amp; Loss'!O867 &amp; " per pax" &amp; CHAR(10) &amp; "Max " &amp; 'Profit &amp; Loss'!I867*6 &amp; " pax," &amp; " (" &amp; 'Profit &amp; Loss'!I867 &amp; " courts)" &amp; CHAR(10) &amp; CHAR(10) &amp; "RSL Ultimate shuttles provided" &amp; CHAR(10) &amp; CHAR(10) &amp; "PM if interested, thank you!"," ")</f>
        <v xml:space="preserve"> </v>
      </c>
      <c r="B864" s="2" t="str">
        <f ca="1">IF('Profit &amp; Loss'!A867&gt;=TODAY(), "Date: " &amp; TEXT('Profit &amp; Loss'!A867,"dd mmm yyy") &amp; ", " &amp; 'Profit &amp; Loss'!B867 &amp; CHAR(10) &amp; "Time: " &amp; TEXT('Profit &amp; Loss'!C867, "hh:mm AM/PM") &amp; " - " &amp; TEXT('Profit &amp; Loss'!D867, "hh:mm AM/PM") &amp; CHAR(10) &amp; "Venue: " &amp; 'Profit &amp; Loss'!E867 &amp; CHAR(10) &amp; "Court No.: " &amp; 'Profit &amp; Loss'!F867 &amp; CHAR(10) &amp; "Level: HB - LI" &amp; CHAR(10) &amp; "Please transfer $" &amp; 'Profit &amp; Loss'!O867 &amp; " per pax to Belle (83396501)" &amp; CHAR(10) &amp; CHAR(10) &amp; IF('Profit &amp; Loss'!I867=1, "1." &amp; CHAR(10) &amp; "2." &amp; CHAR(10) &amp; "3." &amp; CHAR(10) &amp; "4." &amp; CHAR(10) &amp; "5." &amp; CHAR(10) &amp; "6." &amp; CHAR(10), IF('Profit &amp; Loss'!I867=2,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5" spans="1:2" ht="12.5" x14ac:dyDescent="0.25">
      <c r="A865" s="2" t="str">
        <f ca="1">IF('Profit &amp; Loss'!A868&gt;=TODAY(),"Looking for friendly players to join the following game: " &amp; CHAR(10) &amp; CHAR(10) &amp; "Date: " &amp; TEXT('Profit &amp; Loss'!A868,"dd mmm yyy") &amp; ", " &amp; 'Profit &amp; Loss'!B868 &amp; CHAR(10) &amp; "Time: " &amp; TEXT('Profit &amp; Loss'!C868, "hh:mm AM/PM") &amp; " - " &amp; TEXT('Profit &amp; Loss'!D868, "hh:mm AM/PM") &amp; CHAR(10) &amp; "Venue: " &amp; 'Profit &amp; Loss'!E868 &amp; CHAR(10) &amp; "Level: HB - LI" &amp; CHAR(10) &amp; "Cost: $" &amp; 'Profit &amp; Loss'!O868 &amp; " per pax" &amp; CHAR(10) &amp; "Max " &amp; 'Profit &amp; Loss'!I868*6 &amp; " pax," &amp; " (" &amp; 'Profit &amp; Loss'!I868 &amp; " courts)" &amp; CHAR(10) &amp; CHAR(10) &amp; "RSL Ultimate shuttles provided" &amp; CHAR(10) &amp; CHAR(10) &amp; "PM if interested, thank you!"," ")</f>
        <v xml:space="preserve"> </v>
      </c>
      <c r="B865" s="2" t="str">
        <f ca="1">IF('Profit &amp; Loss'!A868&gt;=TODAY(), "Date: " &amp; TEXT('Profit &amp; Loss'!A868,"dd mmm yyy") &amp; ", " &amp; 'Profit &amp; Loss'!B868 &amp; CHAR(10) &amp; "Time: " &amp; TEXT('Profit &amp; Loss'!C868, "hh:mm AM/PM") &amp; " - " &amp; TEXT('Profit &amp; Loss'!D868, "hh:mm AM/PM") &amp; CHAR(10) &amp; "Venue: " &amp; 'Profit &amp; Loss'!E868 &amp; CHAR(10) &amp; "Court No.: " &amp; 'Profit &amp; Loss'!F868 &amp; CHAR(10) &amp; "Level: HB - LI" &amp; CHAR(10) &amp; "Please transfer $" &amp; 'Profit &amp; Loss'!O868 &amp; " per pax to Belle (83396501)" &amp; CHAR(10) &amp; CHAR(10) &amp; IF('Profit &amp; Loss'!I868=1, "1." &amp; CHAR(10) &amp; "2." &amp; CHAR(10) &amp; "3." &amp; CHAR(10) &amp; "4." &amp; CHAR(10) &amp; "5." &amp; CHAR(10) &amp; "6." &amp; CHAR(10), IF('Profit &amp; Loss'!I868=2,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6" spans="1:2" ht="12.5" x14ac:dyDescent="0.25">
      <c r="A866" s="2" t="str">
        <f ca="1">IF('Profit &amp; Loss'!A869&gt;=TODAY(),"Looking for friendly players to join the following game: " &amp; CHAR(10) &amp; CHAR(10) &amp; "Date: " &amp; TEXT('Profit &amp; Loss'!A869,"dd mmm yyy") &amp; ", " &amp; 'Profit &amp; Loss'!B869 &amp; CHAR(10) &amp; "Time: " &amp; TEXT('Profit &amp; Loss'!C869, "hh:mm AM/PM") &amp; " - " &amp; TEXT('Profit &amp; Loss'!D869, "hh:mm AM/PM") &amp; CHAR(10) &amp; "Venue: " &amp; 'Profit &amp; Loss'!E869 &amp; CHAR(10) &amp; "Level: HB - LI" &amp; CHAR(10) &amp; "Cost: $" &amp; 'Profit &amp; Loss'!O869 &amp; " per pax" &amp; CHAR(10) &amp; "Max " &amp; 'Profit &amp; Loss'!I869*6 &amp; " pax," &amp; " (" &amp; 'Profit &amp; Loss'!I869 &amp; " courts)" &amp; CHAR(10) &amp; CHAR(10) &amp; "RSL Ultimate shuttles provided" &amp; CHAR(10) &amp; CHAR(10) &amp; "PM if interested, thank you!"," ")</f>
        <v xml:space="preserve"> </v>
      </c>
      <c r="B866" s="2" t="str">
        <f ca="1">IF('Profit &amp; Loss'!A869&gt;=TODAY(), "Date: " &amp; TEXT('Profit &amp; Loss'!A869,"dd mmm yyy") &amp; ", " &amp; 'Profit &amp; Loss'!B869 &amp; CHAR(10) &amp; "Time: " &amp; TEXT('Profit &amp; Loss'!C869, "hh:mm AM/PM") &amp; " - " &amp; TEXT('Profit &amp; Loss'!D869, "hh:mm AM/PM") &amp; CHAR(10) &amp; "Venue: " &amp; 'Profit &amp; Loss'!E869 &amp; CHAR(10) &amp; "Court No.: " &amp; 'Profit &amp; Loss'!F869 &amp; CHAR(10) &amp; "Level: HB - LI" &amp; CHAR(10) &amp; "Please transfer $" &amp; 'Profit &amp; Loss'!O869 &amp; " per pax to Belle (83396501)" &amp; CHAR(10) &amp; CHAR(10) &amp; IF('Profit &amp; Loss'!I869=1, "1." &amp; CHAR(10) &amp; "2." &amp; CHAR(10) &amp; "3." &amp; CHAR(10) &amp; "4." &amp; CHAR(10) &amp; "5." &amp; CHAR(10) &amp; "6." &amp; CHAR(10), IF('Profit &amp; Loss'!I869=2,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7" spans="1:2" ht="12.5" x14ac:dyDescent="0.25">
      <c r="A867" s="2" t="str">
        <f ca="1">IF('Profit &amp; Loss'!A870&gt;=TODAY(),"Looking for friendly players to join the following game: " &amp; CHAR(10) &amp; CHAR(10) &amp; "Date: " &amp; TEXT('Profit &amp; Loss'!A870,"dd mmm yyy") &amp; ", " &amp; 'Profit &amp; Loss'!B870 &amp; CHAR(10) &amp; "Time: " &amp; TEXT('Profit &amp; Loss'!C870, "hh:mm AM/PM") &amp; " - " &amp; TEXT('Profit &amp; Loss'!D870, "hh:mm AM/PM") &amp; CHAR(10) &amp; "Venue: " &amp; 'Profit &amp; Loss'!E870 &amp; CHAR(10) &amp; "Level: HB - LI" &amp; CHAR(10) &amp; "Cost: $" &amp; 'Profit &amp; Loss'!O870 &amp; " per pax" &amp; CHAR(10) &amp; "Max " &amp; 'Profit &amp; Loss'!I870*6 &amp; " pax," &amp; " (" &amp; 'Profit &amp; Loss'!I870 &amp; " courts)" &amp; CHAR(10) &amp; CHAR(10) &amp; "RSL Ultimate shuttles provided" &amp; CHAR(10) &amp; CHAR(10) &amp; "PM if interested, thank you!"," ")</f>
        <v xml:space="preserve"> </v>
      </c>
      <c r="B867" s="2" t="str">
        <f ca="1">IF('Profit &amp; Loss'!A870&gt;=TODAY(), "Date: " &amp; TEXT('Profit &amp; Loss'!A870,"dd mmm yyy") &amp; ", " &amp; 'Profit &amp; Loss'!B870 &amp; CHAR(10) &amp; "Time: " &amp; TEXT('Profit &amp; Loss'!C870, "hh:mm AM/PM") &amp; " - " &amp; TEXT('Profit &amp; Loss'!D870, "hh:mm AM/PM") &amp; CHAR(10) &amp; "Venue: " &amp; 'Profit &amp; Loss'!E870 &amp; CHAR(10) &amp; "Court No.: " &amp; 'Profit &amp; Loss'!F870 &amp; CHAR(10) &amp; "Level: HB - LI" &amp; CHAR(10) &amp; "Please transfer $" &amp; 'Profit &amp; Loss'!O870 &amp; " per pax to Belle (83396501)" &amp; CHAR(10) &amp; CHAR(10) &amp; IF('Profit &amp; Loss'!I870=1, "1." &amp; CHAR(10) &amp; "2." &amp; CHAR(10) &amp; "3." &amp; CHAR(10) &amp; "4." &amp; CHAR(10) &amp; "5." &amp; CHAR(10) &amp; "6." &amp; CHAR(10), IF('Profit &amp; Loss'!I870=2,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8" spans="1:2" ht="12.5" x14ac:dyDescent="0.25">
      <c r="A868" s="2" t="str">
        <f ca="1">IF('Profit &amp; Loss'!A871&gt;=TODAY(),"Looking for friendly players to join the following game: " &amp; CHAR(10) &amp; CHAR(10) &amp; "Date: " &amp; TEXT('Profit &amp; Loss'!A871,"dd mmm yyy") &amp; ", " &amp; 'Profit &amp; Loss'!B871 &amp; CHAR(10) &amp; "Time: " &amp; TEXT('Profit &amp; Loss'!C871, "hh:mm AM/PM") &amp; " - " &amp; TEXT('Profit &amp; Loss'!D871, "hh:mm AM/PM") &amp; CHAR(10) &amp; "Venue: " &amp; 'Profit &amp; Loss'!E871 &amp; CHAR(10) &amp; "Level: HB - LI" &amp; CHAR(10) &amp; "Cost: $" &amp; 'Profit &amp; Loss'!O871 &amp; " per pax" &amp; CHAR(10) &amp; "Max " &amp; 'Profit &amp; Loss'!I871*6 &amp; " pax," &amp; " (" &amp; 'Profit &amp; Loss'!I871 &amp; " courts)" &amp; CHAR(10) &amp; CHAR(10) &amp; "RSL Ultimate shuttles provided" &amp; CHAR(10) &amp; CHAR(10) &amp; "PM if interested, thank you!"," ")</f>
        <v xml:space="preserve"> </v>
      </c>
      <c r="B868" s="2" t="str">
        <f ca="1">IF('Profit &amp; Loss'!A871&gt;=TODAY(), "Date: " &amp; TEXT('Profit &amp; Loss'!A871,"dd mmm yyy") &amp; ", " &amp; 'Profit &amp; Loss'!B871 &amp; CHAR(10) &amp; "Time: " &amp; TEXT('Profit &amp; Loss'!C871, "hh:mm AM/PM") &amp; " - " &amp; TEXT('Profit &amp; Loss'!D871, "hh:mm AM/PM") &amp; CHAR(10) &amp; "Venue: " &amp; 'Profit &amp; Loss'!E871 &amp; CHAR(10) &amp; "Court No.: " &amp; 'Profit &amp; Loss'!F871 &amp; CHAR(10) &amp; "Level: HB - LI" &amp; CHAR(10) &amp; "Please transfer $" &amp; 'Profit &amp; Loss'!O871 &amp; " per pax to Belle (83396501)" &amp; CHAR(10) &amp; CHAR(10) &amp; IF('Profit &amp; Loss'!I871=1, "1." &amp; CHAR(10) &amp; "2." &amp; CHAR(10) &amp; "3." &amp; CHAR(10) &amp; "4." &amp; CHAR(10) &amp; "5." &amp; CHAR(10) &amp; "6." &amp; CHAR(10), IF('Profit &amp; Loss'!I871=2,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69" spans="1:2" ht="12.5" x14ac:dyDescent="0.25">
      <c r="A869" s="2" t="str">
        <f ca="1">IF('Profit &amp; Loss'!A872&gt;=TODAY(),"Looking for friendly players to join the following game: " &amp; CHAR(10) &amp; CHAR(10) &amp; "Date: " &amp; TEXT('Profit &amp; Loss'!A872,"dd mmm yyy") &amp; ", " &amp; 'Profit &amp; Loss'!B872 &amp; CHAR(10) &amp; "Time: " &amp; TEXT('Profit &amp; Loss'!C872, "hh:mm AM/PM") &amp; " - " &amp; TEXT('Profit &amp; Loss'!D872, "hh:mm AM/PM") &amp; CHAR(10) &amp; "Venue: " &amp; 'Profit &amp; Loss'!E872 &amp; CHAR(10) &amp; "Level: HB - LI" &amp; CHAR(10) &amp; "Cost: $" &amp; 'Profit &amp; Loss'!O872 &amp; " per pax" &amp; CHAR(10) &amp; "Max " &amp; 'Profit &amp; Loss'!I872*6 &amp; " pax," &amp; " (" &amp; 'Profit &amp; Loss'!I872 &amp; " courts)" &amp; CHAR(10) &amp; CHAR(10) &amp; "RSL Ultimate shuttles provided" &amp; CHAR(10) &amp; CHAR(10) &amp; "PM if interested, thank you!"," ")</f>
        <v xml:space="preserve"> </v>
      </c>
      <c r="B869" s="2" t="str">
        <f ca="1">IF('Profit &amp; Loss'!A872&gt;=TODAY(), "Date: " &amp; TEXT('Profit &amp; Loss'!A872,"dd mmm yyy") &amp; ", " &amp; 'Profit &amp; Loss'!B872 &amp; CHAR(10) &amp; "Time: " &amp; TEXT('Profit &amp; Loss'!C872, "hh:mm AM/PM") &amp; " - " &amp; TEXT('Profit &amp; Loss'!D872, "hh:mm AM/PM") &amp; CHAR(10) &amp; "Venue: " &amp; 'Profit &amp; Loss'!E872 &amp; CHAR(10) &amp; "Court No.: " &amp; 'Profit &amp; Loss'!F872 &amp; CHAR(10) &amp; "Level: HB - LI" &amp; CHAR(10) &amp; "Please transfer $" &amp; 'Profit &amp; Loss'!O872 &amp; " per pax to Belle (83396501)" &amp; CHAR(10) &amp; CHAR(10) &amp; IF('Profit &amp; Loss'!I872=1, "1." &amp; CHAR(10) &amp; "2." &amp; CHAR(10) &amp; "3." &amp; CHAR(10) &amp; "4." &amp; CHAR(10) &amp; "5." &amp; CHAR(10) &amp; "6." &amp; CHAR(10), IF('Profit &amp; Loss'!I872=2,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0" spans="1:2" ht="12.5" x14ac:dyDescent="0.25">
      <c r="A870" s="2" t="str">
        <f ca="1">IF('Profit &amp; Loss'!A873&gt;=TODAY(),"Looking for friendly players to join the following game: " &amp; CHAR(10) &amp; CHAR(10) &amp; "Date: " &amp; TEXT('Profit &amp; Loss'!A873,"dd mmm yyy") &amp; ", " &amp; 'Profit &amp; Loss'!B873 &amp; CHAR(10) &amp; "Time: " &amp; TEXT('Profit &amp; Loss'!C873, "hh:mm AM/PM") &amp; " - " &amp; TEXT('Profit &amp; Loss'!D873, "hh:mm AM/PM") &amp; CHAR(10) &amp; "Venue: " &amp; 'Profit &amp; Loss'!E873 &amp; CHAR(10) &amp; "Level: HB - LI" &amp; CHAR(10) &amp; "Cost: $" &amp; 'Profit &amp; Loss'!O873 &amp; " per pax" &amp; CHAR(10) &amp; "Max " &amp; 'Profit &amp; Loss'!I873*6 &amp; " pax," &amp; " (" &amp; 'Profit &amp; Loss'!I873 &amp; " courts)" &amp; CHAR(10) &amp; CHAR(10) &amp; "RSL Ultimate shuttles provided" &amp; CHAR(10) &amp; CHAR(10) &amp; "PM if interested, thank you!"," ")</f>
        <v xml:space="preserve"> </v>
      </c>
      <c r="B870" s="2" t="str">
        <f ca="1">IF('Profit &amp; Loss'!A873&gt;=TODAY(), "Date: " &amp; TEXT('Profit &amp; Loss'!A873,"dd mmm yyy") &amp; ", " &amp; 'Profit &amp; Loss'!B873 &amp; CHAR(10) &amp; "Time: " &amp; TEXT('Profit &amp; Loss'!C873, "hh:mm AM/PM") &amp; " - " &amp; TEXT('Profit &amp; Loss'!D873, "hh:mm AM/PM") &amp; CHAR(10) &amp; "Venue: " &amp; 'Profit &amp; Loss'!E873 &amp; CHAR(10) &amp; "Court No.: " &amp; 'Profit &amp; Loss'!F873 &amp; CHAR(10) &amp; "Level: HB - LI" &amp; CHAR(10) &amp; "Please transfer $" &amp; 'Profit &amp; Loss'!O873 &amp; " per pax to Belle (83396501)" &amp; CHAR(10) &amp; CHAR(10) &amp; IF('Profit &amp; Loss'!I873=1, "1." &amp; CHAR(10) &amp; "2." &amp; CHAR(10) &amp; "3." &amp; CHAR(10) &amp; "4." &amp; CHAR(10) &amp; "5." &amp; CHAR(10) &amp; "6." &amp; CHAR(10), IF('Profit &amp; Loss'!I873=2,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1" spans="1:2" ht="12.5" x14ac:dyDescent="0.25">
      <c r="A871" s="2" t="str">
        <f ca="1">IF('Profit &amp; Loss'!A874&gt;=TODAY(),"Looking for friendly players to join the following game: " &amp; CHAR(10) &amp; CHAR(10) &amp; "Date: " &amp; TEXT('Profit &amp; Loss'!A874,"dd mmm yyy") &amp; ", " &amp; 'Profit &amp; Loss'!B874 &amp; CHAR(10) &amp; "Time: " &amp; TEXT('Profit &amp; Loss'!C874, "hh:mm AM/PM") &amp; " - " &amp; TEXT('Profit &amp; Loss'!D874, "hh:mm AM/PM") &amp; CHAR(10) &amp; "Venue: " &amp; 'Profit &amp; Loss'!E874 &amp; CHAR(10) &amp; "Level: HB - LI" &amp; CHAR(10) &amp; "Cost: $" &amp; 'Profit &amp; Loss'!O874 &amp; " per pax" &amp; CHAR(10) &amp; "Max " &amp; 'Profit &amp; Loss'!I874*6 &amp; " pax," &amp; " (" &amp; 'Profit &amp; Loss'!I874 &amp; " courts)" &amp; CHAR(10) &amp; CHAR(10) &amp; "RSL Ultimate shuttles provided" &amp; CHAR(10) &amp; CHAR(10) &amp; "PM if interested, thank you!"," ")</f>
        <v xml:space="preserve"> </v>
      </c>
      <c r="B871" s="2" t="str">
        <f ca="1">IF('Profit &amp; Loss'!A874&gt;=TODAY(), "Date: " &amp; TEXT('Profit &amp; Loss'!A874,"dd mmm yyy") &amp; ", " &amp; 'Profit &amp; Loss'!B874 &amp; CHAR(10) &amp; "Time: " &amp; TEXT('Profit &amp; Loss'!C874, "hh:mm AM/PM") &amp; " - " &amp; TEXT('Profit &amp; Loss'!D874, "hh:mm AM/PM") &amp; CHAR(10) &amp; "Venue: " &amp; 'Profit &amp; Loss'!E874 &amp; CHAR(10) &amp; "Court No.: " &amp; 'Profit &amp; Loss'!F874 &amp; CHAR(10) &amp; "Level: HB - LI" &amp; CHAR(10) &amp; "Please transfer $" &amp; 'Profit &amp; Loss'!O874 &amp; " per pax to Belle (83396501)" &amp; CHAR(10) &amp; CHAR(10) &amp; IF('Profit &amp; Loss'!I874=1, "1." &amp; CHAR(10) &amp; "2." &amp; CHAR(10) &amp; "3." &amp; CHAR(10) &amp; "4." &amp; CHAR(10) &amp; "5." &amp; CHAR(10) &amp; "6." &amp; CHAR(10), IF('Profit &amp; Loss'!I874=2,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2" spans="1:2" ht="12.5" x14ac:dyDescent="0.25">
      <c r="A872" s="2" t="str">
        <f ca="1">IF('Profit &amp; Loss'!A875&gt;=TODAY(),"Looking for friendly players to join the following game: " &amp; CHAR(10) &amp; CHAR(10) &amp; "Date: " &amp; TEXT('Profit &amp; Loss'!A875,"dd mmm yyy") &amp; ", " &amp; 'Profit &amp; Loss'!B875 &amp; CHAR(10) &amp; "Time: " &amp; TEXT('Profit &amp; Loss'!C875, "hh:mm AM/PM") &amp; " - " &amp; TEXT('Profit &amp; Loss'!D875, "hh:mm AM/PM") &amp; CHAR(10) &amp; "Venue: " &amp; 'Profit &amp; Loss'!E875 &amp; CHAR(10) &amp; "Level: HB - LI" &amp; CHAR(10) &amp; "Cost: $" &amp; 'Profit &amp; Loss'!O875 &amp; " per pax" &amp; CHAR(10) &amp; "Max " &amp; 'Profit &amp; Loss'!I875*6 &amp; " pax," &amp; " (" &amp; 'Profit &amp; Loss'!I875 &amp; " courts)" &amp; CHAR(10) &amp; CHAR(10) &amp; "RSL Ultimate shuttles provided" &amp; CHAR(10) &amp; CHAR(10) &amp; "PM if interested, thank you!"," ")</f>
        <v xml:space="preserve"> </v>
      </c>
      <c r="B872" s="2" t="str">
        <f ca="1">IF('Profit &amp; Loss'!A875&gt;=TODAY(), "Date: " &amp; TEXT('Profit &amp; Loss'!A875,"dd mmm yyy") &amp; ", " &amp; 'Profit &amp; Loss'!B875 &amp; CHAR(10) &amp; "Time: " &amp; TEXT('Profit &amp; Loss'!C875, "hh:mm AM/PM") &amp; " - " &amp; TEXT('Profit &amp; Loss'!D875, "hh:mm AM/PM") &amp; CHAR(10) &amp; "Venue: " &amp; 'Profit &amp; Loss'!E875 &amp; CHAR(10) &amp; "Court No.: " &amp; 'Profit &amp; Loss'!F875 &amp; CHAR(10) &amp; "Level: HB - LI" &amp; CHAR(10) &amp; "Please transfer $" &amp; 'Profit &amp; Loss'!O875 &amp; " per pax to Belle (83396501)" &amp; CHAR(10) &amp; CHAR(10) &amp; IF('Profit &amp; Loss'!I875=1, "1." &amp; CHAR(10) &amp; "2." &amp; CHAR(10) &amp; "3." &amp; CHAR(10) &amp; "4." &amp; CHAR(10) &amp; "5." &amp; CHAR(10) &amp; "6." &amp; CHAR(10), IF('Profit &amp; Loss'!I875=2,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3" spans="1:2" ht="12.5" x14ac:dyDescent="0.25">
      <c r="A873" s="2" t="str">
        <f ca="1">IF('Profit &amp; Loss'!A876&gt;=TODAY(),"Looking for friendly players to join the following game: " &amp; CHAR(10) &amp; CHAR(10) &amp; "Date: " &amp; TEXT('Profit &amp; Loss'!A876,"dd mmm yyy") &amp; ", " &amp; 'Profit &amp; Loss'!B876 &amp; CHAR(10) &amp; "Time: " &amp; TEXT('Profit &amp; Loss'!C876, "hh:mm AM/PM") &amp; " - " &amp; TEXT('Profit &amp; Loss'!D876, "hh:mm AM/PM") &amp; CHAR(10) &amp; "Venue: " &amp; 'Profit &amp; Loss'!E876 &amp; CHAR(10) &amp; "Level: HB - LI" &amp; CHAR(10) &amp; "Cost: $" &amp; 'Profit &amp; Loss'!O876 &amp; " per pax" &amp; CHAR(10) &amp; "Max " &amp; 'Profit &amp; Loss'!I876*6 &amp; " pax," &amp; " (" &amp; 'Profit &amp; Loss'!I876 &amp; " courts)" &amp; CHAR(10) &amp; CHAR(10) &amp; "RSL Ultimate shuttles provided" &amp; CHAR(10) &amp; CHAR(10) &amp; "PM if interested, thank you!"," ")</f>
        <v xml:space="preserve"> </v>
      </c>
      <c r="B873" s="2" t="str">
        <f ca="1">IF('Profit &amp; Loss'!A876&gt;=TODAY(), "Date: " &amp; TEXT('Profit &amp; Loss'!A876,"dd mmm yyy") &amp; ", " &amp; 'Profit &amp; Loss'!B876 &amp; CHAR(10) &amp; "Time: " &amp; TEXT('Profit &amp; Loss'!C876, "hh:mm AM/PM") &amp; " - " &amp; TEXT('Profit &amp; Loss'!D876, "hh:mm AM/PM") &amp; CHAR(10) &amp; "Venue: " &amp; 'Profit &amp; Loss'!E876 &amp; CHAR(10) &amp; "Court No.: " &amp; 'Profit &amp; Loss'!F876 &amp; CHAR(10) &amp; "Level: HB - LI" &amp; CHAR(10) &amp; "Please transfer $" &amp; 'Profit &amp; Loss'!O876 &amp; " per pax to Belle (83396501)" &amp; CHAR(10) &amp; CHAR(10) &amp; IF('Profit &amp; Loss'!I876=1, "1." &amp; CHAR(10) &amp; "2." &amp; CHAR(10) &amp; "3." &amp; CHAR(10) &amp; "4." &amp; CHAR(10) &amp; "5." &amp; CHAR(10) &amp; "6." &amp; CHAR(10), IF('Profit &amp; Loss'!I876=2,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4" spans="1:2" ht="12.5" x14ac:dyDescent="0.25">
      <c r="A874" s="2" t="str">
        <f ca="1">IF('Profit &amp; Loss'!A877&gt;=TODAY(),"Looking for friendly players to join the following game: " &amp; CHAR(10) &amp; CHAR(10) &amp; "Date: " &amp; TEXT('Profit &amp; Loss'!A877,"dd mmm yyy") &amp; ", " &amp; 'Profit &amp; Loss'!B877 &amp; CHAR(10) &amp; "Time: " &amp; TEXT('Profit &amp; Loss'!C877, "hh:mm AM/PM") &amp; " - " &amp; TEXT('Profit &amp; Loss'!D877, "hh:mm AM/PM") &amp; CHAR(10) &amp; "Venue: " &amp; 'Profit &amp; Loss'!E877 &amp; CHAR(10) &amp; "Level: HB - LI" &amp; CHAR(10) &amp; "Cost: $" &amp; 'Profit &amp; Loss'!O877 &amp; " per pax" &amp; CHAR(10) &amp; "Max " &amp; 'Profit &amp; Loss'!I877*6 &amp; " pax," &amp; " (" &amp; 'Profit &amp; Loss'!I877 &amp; " courts)" &amp; CHAR(10) &amp; CHAR(10) &amp; "RSL Ultimate shuttles provided" &amp; CHAR(10) &amp; CHAR(10) &amp; "PM if interested, thank you!"," ")</f>
        <v xml:space="preserve"> </v>
      </c>
      <c r="B874" s="2" t="str">
        <f ca="1">IF('Profit &amp; Loss'!A877&gt;=TODAY(), "Date: " &amp; TEXT('Profit &amp; Loss'!A877,"dd mmm yyy") &amp; ", " &amp; 'Profit &amp; Loss'!B877 &amp; CHAR(10) &amp; "Time: " &amp; TEXT('Profit &amp; Loss'!C877, "hh:mm AM/PM") &amp; " - " &amp; TEXT('Profit &amp; Loss'!D877, "hh:mm AM/PM") &amp; CHAR(10) &amp; "Venue: " &amp; 'Profit &amp; Loss'!E877 &amp; CHAR(10) &amp; "Court No.: " &amp; 'Profit &amp; Loss'!F877 &amp; CHAR(10) &amp; "Level: HB - LI" &amp; CHAR(10) &amp; "Please transfer $" &amp; 'Profit &amp; Loss'!O877 &amp; " per pax to Belle (83396501)" &amp; CHAR(10) &amp; CHAR(10) &amp; IF('Profit &amp; Loss'!I877=1, "1." &amp; CHAR(10) &amp; "2." &amp; CHAR(10) &amp; "3." &amp; CHAR(10) &amp; "4." &amp; CHAR(10) &amp; "5." &amp; CHAR(10) &amp; "6." &amp; CHAR(10), IF('Profit &amp; Loss'!I877=2,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5" spans="1:2" ht="12.5" x14ac:dyDescent="0.25">
      <c r="A875" s="2" t="str">
        <f ca="1">IF('Profit &amp; Loss'!A878&gt;=TODAY(),"Looking for friendly players to join the following game: " &amp; CHAR(10) &amp; CHAR(10) &amp; "Date: " &amp; TEXT('Profit &amp; Loss'!A878,"dd mmm yyy") &amp; ", " &amp; 'Profit &amp; Loss'!B878 &amp; CHAR(10) &amp; "Time: " &amp; TEXT('Profit &amp; Loss'!C878, "hh:mm AM/PM") &amp; " - " &amp; TEXT('Profit &amp; Loss'!D878, "hh:mm AM/PM") &amp; CHAR(10) &amp; "Venue: " &amp; 'Profit &amp; Loss'!E878 &amp; CHAR(10) &amp; "Level: HB - LI" &amp; CHAR(10) &amp; "Cost: $" &amp; 'Profit &amp; Loss'!O878 &amp; " per pax" &amp; CHAR(10) &amp; "Max " &amp; 'Profit &amp; Loss'!I878*6 &amp; " pax," &amp; " (" &amp; 'Profit &amp; Loss'!I878 &amp; " courts)" &amp; CHAR(10) &amp; CHAR(10) &amp; "RSL Ultimate shuttles provided" &amp; CHAR(10) &amp; CHAR(10) &amp; "PM if interested, thank you!"," ")</f>
        <v xml:space="preserve"> </v>
      </c>
      <c r="B875" s="2" t="str">
        <f ca="1">IF('Profit &amp; Loss'!A878&gt;=TODAY(), "Date: " &amp; TEXT('Profit &amp; Loss'!A878,"dd mmm yyy") &amp; ", " &amp; 'Profit &amp; Loss'!B878 &amp; CHAR(10) &amp; "Time: " &amp; TEXT('Profit &amp; Loss'!C878, "hh:mm AM/PM") &amp; " - " &amp; TEXT('Profit &amp; Loss'!D878, "hh:mm AM/PM") &amp; CHAR(10) &amp; "Venue: " &amp; 'Profit &amp; Loss'!E878 &amp; CHAR(10) &amp; "Court No.: " &amp; 'Profit &amp; Loss'!F878 &amp; CHAR(10) &amp; "Level: HB - LI" &amp; CHAR(10) &amp; "Please transfer $" &amp; 'Profit &amp; Loss'!O878 &amp; " per pax to Belle (83396501)" &amp; CHAR(10) &amp; CHAR(10) &amp; IF('Profit &amp; Loss'!I878=1, "1." &amp; CHAR(10) &amp; "2." &amp; CHAR(10) &amp; "3." &amp; CHAR(10) &amp; "4." &amp; CHAR(10) &amp; "5." &amp; CHAR(10) &amp; "6." &amp; CHAR(10), IF('Profit &amp; Loss'!I878=2,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6" spans="1:2" ht="12.5" x14ac:dyDescent="0.25">
      <c r="A876" s="2" t="str">
        <f ca="1">IF('Profit &amp; Loss'!A879&gt;=TODAY(),"Looking for friendly players to join the following game: " &amp; CHAR(10) &amp; CHAR(10) &amp; "Date: " &amp; TEXT('Profit &amp; Loss'!A879,"dd mmm yyy") &amp; ", " &amp; 'Profit &amp; Loss'!B879 &amp; CHAR(10) &amp; "Time: " &amp; TEXT('Profit &amp; Loss'!C879, "hh:mm AM/PM") &amp; " - " &amp; TEXT('Profit &amp; Loss'!D879, "hh:mm AM/PM") &amp; CHAR(10) &amp; "Venue: " &amp; 'Profit &amp; Loss'!E879 &amp; CHAR(10) &amp; "Level: HB - LI" &amp; CHAR(10) &amp; "Cost: $" &amp; 'Profit &amp; Loss'!O879 &amp; " per pax" &amp; CHAR(10) &amp; "Max " &amp; 'Profit &amp; Loss'!I879*6 &amp; " pax," &amp; " (" &amp; 'Profit &amp; Loss'!I879 &amp; " courts)" &amp; CHAR(10) &amp; CHAR(10) &amp; "RSL Ultimate shuttles provided" &amp; CHAR(10) &amp; CHAR(10) &amp; "PM if interested, thank you!"," ")</f>
        <v xml:space="preserve"> </v>
      </c>
      <c r="B876" s="2" t="str">
        <f ca="1">IF('Profit &amp; Loss'!A879&gt;=TODAY(), "Date: " &amp; TEXT('Profit &amp; Loss'!A879,"dd mmm yyy") &amp; ", " &amp; 'Profit &amp; Loss'!B879 &amp; CHAR(10) &amp; "Time: " &amp; TEXT('Profit &amp; Loss'!C879, "hh:mm AM/PM") &amp; " - " &amp; TEXT('Profit &amp; Loss'!D879, "hh:mm AM/PM") &amp; CHAR(10) &amp; "Venue: " &amp; 'Profit &amp; Loss'!E879 &amp; CHAR(10) &amp; "Court No.: " &amp; 'Profit &amp; Loss'!F879 &amp; CHAR(10) &amp; "Level: HB - LI" &amp; CHAR(10) &amp; "Please transfer $" &amp; 'Profit &amp; Loss'!O879 &amp; " per pax to Belle (83396501)" &amp; CHAR(10) &amp; CHAR(10) &amp; IF('Profit &amp; Loss'!I879=1, "1." &amp; CHAR(10) &amp; "2." &amp; CHAR(10) &amp; "3." &amp; CHAR(10) &amp; "4." &amp; CHAR(10) &amp; "5." &amp; CHAR(10) &amp; "6." &amp; CHAR(10), IF('Profit &amp; Loss'!I879=2,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7" spans="1:2" ht="12.5" x14ac:dyDescent="0.25">
      <c r="A877" s="2" t="str">
        <f ca="1">IF('Profit &amp; Loss'!A880&gt;=TODAY(),"Looking for friendly players to join the following game: " &amp; CHAR(10) &amp; CHAR(10) &amp; "Date: " &amp; TEXT('Profit &amp; Loss'!A880,"dd mmm yyy") &amp; ", " &amp; 'Profit &amp; Loss'!B880 &amp; CHAR(10) &amp; "Time: " &amp; TEXT('Profit &amp; Loss'!C880, "hh:mm AM/PM") &amp; " - " &amp; TEXT('Profit &amp; Loss'!D880, "hh:mm AM/PM") &amp; CHAR(10) &amp; "Venue: " &amp; 'Profit &amp; Loss'!E880 &amp; CHAR(10) &amp; "Level: HB - LI" &amp; CHAR(10) &amp; "Cost: $" &amp; 'Profit &amp; Loss'!O880 &amp; " per pax" &amp; CHAR(10) &amp; "Max " &amp; 'Profit &amp; Loss'!I880*6 &amp; " pax," &amp; " (" &amp; 'Profit &amp; Loss'!I880 &amp; " courts)" &amp; CHAR(10) &amp; CHAR(10) &amp; "RSL Ultimate shuttles provided" &amp; CHAR(10) &amp; CHAR(10) &amp; "PM if interested, thank you!"," ")</f>
        <v xml:space="preserve"> </v>
      </c>
      <c r="B877" s="2" t="str">
        <f ca="1">IF('Profit &amp; Loss'!A880&gt;=TODAY(), "Date: " &amp; TEXT('Profit &amp; Loss'!A880,"dd mmm yyy") &amp; ", " &amp; 'Profit &amp; Loss'!B880 &amp; CHAR(10) &amp; "Time: " &amp; TEXT('Profit &amp; Loss'!C880, "hh:mm AM/PM") &amp; " - " &amp; TEXT('Profit &amp; Loss'!D880, "hh:mm AM/PM") &amp; CHAR(10) &amp; "Venue: " &amp; 'Profit &amp; Loss'!E880 &amp; CHAR(10) &amp; "Court No.: " &amp; 'Profit &amp; Loss'!F880 &amp; CHAR(10) &amp; "Level: HB - LI" &amp; CHAR(10) &amp; "Please transfer $" &amp; 'Profit &amp; Loss'!O880 &amp; " per pax to Belle (83396501)" &amp; CHAR(10) &amp; CHAR(10) &amp; IF('Profit &amp; Loss'!I880=1, "1." &amp; CHAR(10) &amp; "2." &amp; CHAR(10) &amp; "3." &amp; CHAR(10) &amp; "4." &amp; CHAR(10) &amp; "5." &amp; CHAR(10) &amp; "6." &amp; CHAR(10), IF('Profit &amp; Loss'!I880=2,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8" spans="1:2" ht="12.5" x14ac:dyDescent="0.25">
      <c r="A878" s="2" t="str">
        <f ca="1">IF('Profit &amp; Loss'!A881&gt;=TODAY(),"Looking for friendly players to join the following game: " &amp; CHAR(10) &amp; CHAR(10) &amp; "Date: " &amp; TEXT('Profit &amp; Loss'!A881,"dd mmm yyy") &amp; ", " &amp; 'Profit &amp; Loss'!B881 &amp; CHAR(10) &amp; "Time: " &amp; TEXT('Profit &amp; Loss'!C881, "hh:mm AM/PM") &amp; " - " &amp; TEXT('Profit &amp; Loss'!D881, "hh:mm AM/PM") &amp; CHAR(10) &amp; "Venue: " &amp; 'Profit &amp; Loss'!E881 &amp; CHAR(10) &amp; "Level: HB - LI" &amp; CHAR(10) &amp; "Cost: $" &amp; 'Profit &amp; Loss'!O881 &amp; " per pax" &amp; CHAR(10) &amp; "Max " &amp; 'Profit &amp; Loss'!I881*6 &amp; " pax," &amp; " (" &amp; 'Profit &amp; Loss'!I881 &amp; " courts)" &amp; CHAR(10) &amp; CHAR(10) &amp; "RSL Ultimate shuttles provided" &amp; CHAR(10) &amp; CHAR(10) &amp; "PM if interested, thank you!"," ")</f>
        <v xml:space="preserve"> </v>
      </c>
      <c r="B878" s="2" t="str">
        <f ca="1">IF('Profit &amp; Loss'!A881&gt;=TODAY(), "Date: " &amp; TEXT('Profit &amp; Loss'!A881,"dd mmm yyy") &amp; ", " &amp; 'Profit &amp; Loss'!B881 &amp; CHAR(10) &amp; "Time: " &amp; TEXT('Profit &amp; Loss'!C881, "hh:mm AM/PM") &amp; " - " &amp; TEXT('Profit &amp; Loss'!D881, "hh:mm AM/PM") &amp; CHAR(10) &amp; "Venue: " &amp; 'Profit &amp; Loss'!E881 &amp; CHAR(10) &amp; "Court No.: " &amp; 'Profit &amp; Loss'!F881 &amp; CHAR(10) &amp; "Level: HB - LI" &amp; CHAR(10) &amp; "Please transfer $" &amp; 'Profit &amp; Loss'!O881 &amp; " per pax to Belle (83396501)" &amp; CHAR(10) &amp; CHAR(10) &amp; IF('Profit &amp; Loss'!I881=1, "1." &amp; CHAR(10) &amp; "2." &amp; CHAR(10) &amp; "3." &amp; CHAR(10) &amp; "4." &amp; CHAR(10) &amp; "5." &amp; CHAR(10) &amp; "6." &amp; CHAR(10), IF('Profit &amp; Loss'!I881=2,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79" spans="1:2" ht="12.5" x14ac:dyDescent="0.25">
      <c r="A879" s="2" t="str">
        <f ca="1">IF('Profit &amp; Loss'!A882&gt;=TODAY(),"Looking for friendly players to join the following game: " &amp; CHAR(10) &amp; CHAR(10) &amp; "Date: " &amp; TEXT('Profit &amp; Loss'!A882,"dd mmm yyy") &amp; ", " &amp; 'Profit &amp; Loss'!B882 &amp; CHAR(10) &amp; "Time: " &amp; TEXT('Profit &amp; Loss'!C882, "hh:mm AM/PM") &amp; " - " &amp; TEXT('Profit &amp; Loss'!D882, "hh:mm AM/PM") &amp; CHAR(10) &amp; "Venue: " &amp; 'Profit &amp; Loss'!E882 &amp; CHAR(10) &amp; "Level: HB - LI" &amp; CHAR(10) &amp; "Cost: $" &amp; 'Profit &amp; Loss'!O882 &amp; " per pax" &amp; CHAR(10) &amp; "Max " &amp; 'Profit &amp; Loss'!I882*6 &amp; " pax," &amp; " (" &amp; 'Profit &amp; Loss'!I882 &amp; " courts)" &amp; CHAR(10) &amp; CHAR(10) &amp; "RSL Ultimate shuttles provided" &amp; CHAR(10) &amp; CHAR(10) &amp; "PM if interested, thank you!"," ")</f>
        <v xml:space="preserve"> </v>
      </c>
      <c r="B879" s="2" t="str">
        <f ca="1">IF('Profit &amp; Loss'!A882&gt;=TODAY(), "Date: " &amp; TEXT('Profit &amp; Loss'!A882,"dd mmm yyy") &amp; ", " &amp; 'Profit &amp; Loss'!B882 &amp; CHAR(10) &amp; "Time: " &amp; TEXT('Profit &amp; Loss'!C882, "hh:mm AM/PM") &amp; " - " &amp; TEXT('Profit &amp; Loss'!D882, "hh:mm AM/PM") &amp; CHAR(10) &amp; "Venue: " &amp; 'Profit &amp; Loss'!E882 &amp; CHAR(10) &amp; "Court No.: " &amp; 'Profit &amp; Loss'!F882 &amp; CHAR(10) &amp; "Level: HB - LI" &amp; CHAR(10) &amp; "Please transfer $" &amp; 'Profit &amp; Loss'!O882 &amp; " per pax to Belle (83396501)" &amp; CHAR(10) &amp; CHAR(10) &amp; IF('Profit &amp; Loss'!I882=1, "1." &amp; CHAR(10) &amp; "2." &amp; CHAR(10) &amp; "3." &amp; CHAR(10) &amp; "4." &amp; CHAR(10) &amp; "5." &amp; CHAR(10) &amp; "6." &amp; CHAR(10), IF('Profit &amp; Loss'!I882=2,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0" spans="1:2" ht="12.5" x14ac:dyDescent="0.25">
      <c r="A880" s="2" t="str">
        <f ca="1">IF('Profit &amp; Loss'!A883&gt;=TODAY(),"Looking for friendly players to join the following game: " &amp; CHAR(10) &amp; CHAR(10) &amp; "Date: " &amp; TEXT('Profit &amp; Loss'!A883,"dd mmm yyy") &amp; ", " &amp; 'Profit &amp; Loss'!B883 &amp; CHAR(10) &amp; "Time: " &amp; TEXT('Profit &amp; Loss'!C883, "hh:mm AM/PM") &amp; " - " &amp; TEXT('Profit &amp; Loss'!D883, "hh:mm AM/PM") &amp; CHAR(10) &amp; "Venue: " &amp; 'Profit &amp; Loss'!E883 &amp; CHAR(10) &amp; "Level: HB - LI" &amp; CHAR(10) &amp; "Cost: $" &amp; 'Profit &amp; Loss'!O883 &amp; " per pax" &amp; CHAR(10) &amp; "Max " &amp; 'Profit &amp; Loss'!I883*6 &amp; " pax," &amp; " (" &amp; 'Profit &amp; Loss'!I883 &amp; " courts)" &amp; CHAR(10) &amp; CHAR(10) &amp; "RSL Ultimate shuttles provided" &amp; CHAR(10) &amp; CHAR(10) &amp; "PM if interested, thank you!"," ")</f>
        <v xml:space="preserve"> </v>
      </c>
      <c r="B880" s="2" t="str">
        <f ca="1">IF('Profit &amp; Loss'!A883&gt;=TODAY(), "Date: " &amp; TEXT('Profit &amp; Loss'!A883,"dd mmm yyy") &amp; ", " &amp; 'Profit &amp; Loss'!B883 &amp; CHAR(10) &amp; "Time: " &amp; TEXT('Profit &amp; Loss'!C883, "hh:mm AM/PM") &amp; " - " &amp; TEXT('Profit &amp; Loss'!D883, "hh:mm AM/PM") &amp; CHAR(10) &amp; "Venue: " &amp; 'Profit &amp; Loss'!E883 &amp; CHAR(10) &amp; "Court No.: " &amp; 'Profit &amp; Loss'!F883 &amp; CHAR(10) &amp; "Level: HB - LI" &amp; CHAR(10) &amp; "Please transfer $" &amp; 'Profit &amp; Loss'!O883 &amp; " per pax to Belle (83396501)" &amp; CHAR(10) &amp; CHAR(10) &amp; IF('Profit &amp; Loss'!I883=1, "1." &amp; CHAR(10) &amp; "2." &amp; CHAR(10) &amp; "3." &amp; CHAR(10) &amp; "4." &amp; CHAR(10) &amp; "5." &amp; CHAR(10) &amp; "6." &amp; CHAR(10), IF('Profit &amp; Loss'!I883=2,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1" spans="1:2" ht="12.5" x14ac:dyDescent="0.25">
      <c r="A881" s="2" t="str">
        <f ca="1">IF('Profit &amp; Loss'!A884&gt;=TODAY(),"Looking for friendly players to join the following game: " &amp; CHAR(10) &amp; CHAR(10) &amp; "Date: " &amp; TEXT('Profit &amp; Loss'!A884,"dd mmm yyy") &amp; ", " &amp; 'Profit &amp; Loss'!B884 &amp; CHAR(10) &amp; "Time: " &amp; TEXT('Profit &amp; Loss'!C884, "hh:mm AM/PM") &amp; " - " &amp; TEXT('Profit &amp; Loss'!D884, "hh:mm AM/PM") &amp; CHAR(10) &amp; "Venue: " &amp; 'Profit &amp; Loss'!E884 &amp; CHAR(10) &amp; "Level: HB - LI" &amp; CHAR(10) &amp; "Cost: $" &amp; 'Profit &amp; Loss'!O884 &amp; " per pax" &amp; CHAR(10) &amp; "Max " &amp; 'Profit &amp; Loss'!I884*6 &amp; " pax," &amp; " (" &amp; 'Profit &amp; Loss'!I884 &amp; " courts)" &amp; CHAR(10) &amp; CHAR(10) &amp; "RSL Ultimate shuttles provided" &amp; CHAR(10) &amp; CHAR(10) &amp; "PM if interested, thank you!"," ")</f>
        <v xml:space="preserve"> </v>
      </c>
      <c r="B881" s="2" t="str">
        <f ca="1">IF('Profit &amp; Loss'!A884&gt;=TODAY(), "Date: " &amp; TEXT('Profit &amp; Loss'!A884,"dd mmm yyy") &amp; ", " &amp; 'Profit &amp; Loss'!B884 &amp; CHAR(10) &amp; "Time: " &amp; TEXT('Profit &amp; Loss'!C884, "hh:mm AM/PM") &amp; " - " &amp; TEXT('Profit &amp; Loss'!D884, "hh:mm AM/PM") &amp; CHAR(10) &amp; "Venue: " &amp; 'Profit &amp; Loss'!E884 &amp; CHAR(10) &amp; "Court No.: " &amp; 'Profit &amp; Loss'!F884 &amp; CHAR(10) &amp; "Level: HB - LI" &amp; CHAR(10) &amp; "Please transfer $" &amp; 'Profit &amp; Loss'!O884 &amp; " per pax to Belle (83396501)" &amp; CHAR(10) &amp; CHAR(10) &amp; IF('Profit &amp; Loss'!I884=1, "1." &amp; CHAR(10) &amp; "2." &amp; CHAR(10) &amp; "3." &amp; CHAR(10) &amp; "4." &amp; CHAR(10) &amp; "5." &amp; CHAR(10) &amp; "6." &amp; CHAR(10), IF('Profit &amp; Loss'!I884=2,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2" spans="1:2" ht="12.5" x14ac:dyDescent="0.25">
      <c r="A882" s="2" t="str">
        <f ca="1">IF('Profit &amp; Loss'!A885&gt;=TODAY(),"Looking for friendly players to join the following game: " &amp; CHAR(10) &amp; CHAR(10) &amp; "Date: " &amp; TEXT('Profit &amp; Loss'!A885,"dd mmm yyy") &amp; ", " &amp; 'Profit &amp; Loss'!B885 &amp; CHAR(10) &amp; "Time: " &amp; TEXT('Profit &amp; Loss'!C885, "hh:mm AM/PM") &amp; " - " &amp; TEXT('Profit &amp; Loss'!D885, "hh:mm AM/PM") &amp; CHAR(10) &amp; "Venue: " &amp; 'Profit &amp; Loss'!E885 &amp; CHAR(10) &amp; "Level: HB - LI" &amp; CHAR(10) &amp; "Cost: $" &amp; 'Profit &amp; Loss'!O885 &amp; " per pax" &amp; CHAR(10) &amp; "Max " &amp; 'Profit &amp; Loss'!I885*6 &amp; " pax," &amp; " (" &amp; 'Profit &amp; Loss'!I885 &amp; " courts)" &amp; CHAR(10) &amp; CHAR(10) &amp; "RSL Ultimate shuttles provided" &amp; CHAR(10) &amp; CHAR(10) &amp; "PM if interested, thank you!"," ")</f>
        <v xml:space="preserve"> </v>
      </c>
      <c r="B882" s="2" t="str">
        <f ca="1">IF('Profit &amp; Loss'!A885&gt;=TODAY(), "Date: " &amp; TEXT('Profit &amp; Loss'!A885,"dd mmm yyy") &amp; ", " &amp; 'Profit &amp; Loss'!B885 &amp; CHAR(10) &amp; "Time: " &amp; TEXT('Profit &amp; Loss'!C885, "hh:mm AM/PM") &amp; " - " &amp; TEXT('Profit &amp; Loss'!D885, "hh:mm AM/PM") &amp; CHAR(10) &amp; "Venue: " &amp; 'Profit &amp; Loss'!E885 &amp; CHAR(10) &amp; "Court No.: " &amp; 'Profit &amp; Loss'!F885 &amp; CHAR(10) &amp; "Level: HB - LI" &amp; CHAR(10) &amp; "Please transfer $" &amp; 'Profit &amp; Loss'!O885 &amp; " per pax to Belle (83396501)" &amp; CHAR(10) &amp; CHAR(10) &amp; IF('Profit &amp; Loss'!I885=1, "1." &amp; CHAR(10) &amp; "2." &amp; CHAR(10) &amp; "3." &amp; CHAR(10) &amp; "4." &amp; CHAR(10) &amp; "5." &amp; CHAR(10) &amp; "6." &amp; CHAR(10), IF('Profit &amp; Loss'!I885=2,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3" spans="1:2" ht="12.5" x14ac:dyDescent="0.25">
      <c r="A883" s="2" t="str">
        <f ca="1">IF('Profit &amp; Loss'!A886&gt;=TODAY(),"Looking for friendly players to join the following game: " &amp; CHAR(10) &amp; CHAR(10) &amp; "Date: " &amp; TEXT('Profit &amp; Loss'!A886,"dd mmm yyy") &amp; ", " &amp; 'Profit &amp; Loss'!B886 &amp; CHAR(10) &amp; "Time: " &amp; TEXT('Profit &amp; Loss'!C886, "hh:mm AM/PM") &amp; " - " &amp; TEXT('Profit &amp; Loss'!D886, "hh:mm AM/PM") &amp; CHAR(10) &amp; "Venue: " &amp; 'Profit &amp; Loss'!E886 &amp; CHAR(10) &amp; "Level: HB - LI" &amp; CHAR(10) &amp; "Cost: $" &amp; 'Profit &amp; Loss'!O886 &amp; " per pax" &amp; CHAR(10) &amp; "Max " &amp; 'Profit &amp; Loss'!I886*6 &amp; " pax," &amp; " (" &amp; 'Profit &amp; Loss'!I886 &amp; " courts)" &amp; CHAR(10) &amp; CHAR(10) &amp; "RSL Ultimate shuttles provided" &amp; CHAR(10) &amp; CHAR(10) &amp; "PM if interested, thank you!"," ")</f>
        <v xml:space="preserve"> </v>
      </c>
      <c r="B883" s="2" t="str">
        <f ca="1">IF('Profit &amp; Loss'!A886&gt;=TODAY(), "Date: " &amp; TEXT('Profit &amp; Loss'!A886,"dd mmm yyy") &amp; ", " &amp; 'Profit &amp; Loss'!B886 &amp; CHAR(10) &amp; "Time: " &amp; TEXT('Profit &amp; Loss'!C886, "hh:mm AM/PM") &amp; " - " &amp; TEXT('Profit &amp; Loss'!D886, "hh:mm AM/PM") &amp; CHAR(10) &amp; "Venue: " &amp; 'Profit &amp; Loss'!E886 &amp; CHAR(10) &amp; "Court No.: " &amp; 'Profit &amp; Loss'!F886 &amp; CHAR(10) &amp; "Level: HB - LI" &amp; CHAR(10) &amp; "Please transfer $" &amp; 'Profit &amp; Loss'!O886 &amp; " per pax to Belle (83396501)" &amp; CHAR(10) &amp; CHAR(10) &amp; IF('Profit &amp; Loss'!I886=1, "1." &amp; CHAR(10) &amp; "2." &amp; CHAR(10) &amp; "3." &amp; CHAR(10) &amp; "4." &amp; CHAR(10) &amp; "5." &amp; CHAR(10) &amp; "6." &amp; CHAR(10), IF('Profit &amp; Loss'!I886=2,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4" spans="1:2" ht="12.5" x14ac:dyDescent="0.25">
      <c r="A884" s="2" t="str">
        <f ca="1">IF('Profit &amp; Loss'!A887&gt;=TODAY(),"Looking for friendly players to join the following game: " &amp; CHAR(10) &amp; CHAR(10) &amp; "Date: " &amp; TEXT('Profit &amp; Loss'!A887,"dd mmm yyy") &amp; ", " &amp; 'Profit &amp; Loss'!B887 &amp; CHAR(10) &amp; "Time: " &amp; TEXT('Profit &amp; Loss'!C887, "hh:mm AM/PM") &amp; " - " &amp; TEXT('Profit &amp; Loss'!D887, "hh:mm AM/PM") &amp; CHAR(10) &amp; "Venue: " &amp; 'Profit &amp; Loss'!E887 &amp; CHAR(10) &amp; "Level: HB - LI" &amp; CHAR(10) &amp; "Cost: $" &amp; 'Profit &amp; Loss'!O887 &amp; " per pax" &amp; CHAR(10) &amp; "Max " &amp; 'Profit &amp; Loss'!I887*6 &amp; " pax," &amp; " (" &amp; 'Profit &amp; Loss'!I887 &amp; " courts)" &amp; CHAR(10) &amp; CHAR(10) &amp; "RSL Ultimate shuttles provided" &amp; CHAR(10) &amp; CHAR(10) &amp; "PM if interested, thank you!"," ")</f>
        <v xml:space="preserve"> </v>
      </c>
      <c r="B884" s="2" t="str">
        <f ca="1">IF('Profit &amp; Loss'!A887&gt;=TODAY(), "Date: " &amp; TEXT('Profit &amp; Loss'!A887,"dd mmm yyy") &amp; ", " &amp; 'Profit &amp; Loss'!B887 &amp; CHAR(10) &amp; "Time: " &amp; TEXT('Profit &amp; Loss'!C887, "hh:mm AM/PM") &amp; " - " &amp; TEXT('Profit &amp; Loss'!D887, "hh:mm AM/PM") &amp; CHAR(10) &amp; "Venue: " &amp; 'Profit &amp; Loss'!E887 &amp; CHAR(10) &amp; "Court No.: " &amp; 'Profit &amp; Loss'!F887 &amp; CHAR(10) &amp; "Level: HB - LI" &amp; CHAR(10) &amp; "Please transfer $" &amp; 'Profit &amp; Loss'!O887 &amp; " per pax to Belle (83396501)" &amp; CHAR(10) &amp; CHAR(10) &amp; IF('Profit &amp; Loss'!I887=1, "1." &amp; CHAR(10) &amp; "2." &amp; CHAR(10) &amp; "3." &amp; CHAR(10) &amp; "4." &amp; CHAR(10) &amp; "5." &amp; CHAR(10) &amp; "6." &amp; CHAR(10), IF('Profit &amp; Loss'!I887=2,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5" spans="1:2" ht="12.5" x14ac:dyDescent="0.25">
      <c r="A885" s="2" t="str">
        <f ca="1">IF('Profit &amp; Loss'!A888&gt;=TODAY(),"Looking for friendly players to join the following game: " &amp; CHAR(10) &amp; CHAR(10) &amp; "Date: " &amp; TEXT('Profit &amp; Loss'!A888,"dd mmm yyy") &amp; ", " &amp; 'Profit &amp; Loss'!B888 &amp; CHAR(10) &amp; "Time: " &amp; TEXT('Profit &amp; Loss'!C888, "hh:mm AM/PM") &amp; " - " &amp; TEXT('Profit &amp; Loss'!D888, "hh:mm AM/PM") &amp; CHAR(10) &amp; "Venue: " &amp; 'Profit &amp; Loss'!E888 &amp; CHAR(10) &amp; "Level: HB - LI" &amp; CHAR(10) &amp; "Cost: $" &amp; 'Profit &amp; Loss'!O888 &amp; " per pax" &amp; CHAR(10) &amp; "Max " &amp; 'Profit &amp; Loss'!I888*6 &amp; " pax," &amp; " (" &amp; 'Profit &amp; Loss'!I888 &amp; " courts)" &amp; CHAR(10) &amp; CHAR(10) &amp; "RSL Ultimate shuttles provided" &amp; CHAR(10) &amp; CHAR(10) &amp; "PM if interested, thank you!"," ")</f>
        <v xml:space="preserve"> </v>
      </c>
      <c r="B885" s="2" t="str">
        <f ca="1">IF('Profit &amp; Loss'!A888&gt;=TODAY(), "Date: " &amp; TEXT('Profit &amp; Loss'!A888,"dd mmm yyy") &amp; ", " &amp; 'Profit &amp; Loss'!B888 &amp; CHAR(10) &amp; "Time: " &amp; TEXT('Profit &amp; Loss'!C888, "hh:mm AM/PM") &amp; " - " &amp; TEXT('Profit &amp; Loss'!D888, "hh:mm AM/PM") &amp; CHAR(10) &amp; "Venue: " &amp; 'Profit &amp; Loss'!E888 &amp; CHAR(10) &amp; "Court No.: " &amp; 'Profit &amp; Loss'!F888 &amp; CHAR(10) &amp; "Level: HB - LI" &amp; CHAR(10) &amp; "Please transfer $" &amp; 'Profit &amp; Loss'!O888 &amp; " per pax to Belle (83396501)" &amp; CHAR(10) &amp; CHAR(10) &amp; IF('Profit &amp; Loss'!I888=1, "1." &amp; CHAR(10) &amp; "2." &amp; CHAR(10) &amp; "3." &amp; CHAR(10) &amp; "4." &amp; CHAR(10) &amp; "5." &amp; CHAR(10) &amp; "6." &amp; CHAR(10), IF('Profit &amp; Loss'!I888=2,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6" spans="1:2" ht="12.5" x14ac:dyDescent="0.25">
      <c r="A886" s="2" t="str">
        <f ca="1">IF('Profit &amp; Loss'!A889&gt;=TODAY(),"Looking for friendly players to join the following game: " &amp; CHAR(10) &amp; CHAR(10) &amp; "Date: " &amp; TEXT('Profit &amp; Loss'!A889,"dd mmm yyy") &amp; ", " &amp; 'Profit &amp; Loss'!B889 &amp; CHAR(10) &amp; "Time: " &amp; TEXT('Profit &amp; Loss'!C889, "hh:mm AM/PM") &amp; " - " &amp; TEXT('Profit &amp; Loss'!D889, "hh:mm AM/PM") &amp; CHAR(10) &amp; "Venue: " &amp; 'Profit &amp; Loss'!E889 &amp; CHAR(10) &amp; "Level: HB - LI" &amp; CHAR(10) &amp; "Cost: $" &amp; 'Profit &amp; Loss'!O889 &amp; " per pax" &amp; CHAR(10) &amp; "Max " &amp; 'Profit &amp; Loss'!I889*6 &amp; " pax," &amp; " (" &amp; 'Profit &amp; Loss'!I889 &amp; " courts)" &amp; CHAR(10) &amp; CHAR(10) &amp; "RSL Ultimate shuttles provided" &amp; CHAR(10) &amp; CHAR(10) &amp; "PM if interested, thank you!"," ")</f>
        <v xml:space="preserve"> </v>
      </c>
      <c r="B886" s="2" t="str">
        <f ca="1">IF('Profit &amp; Loss'!A889&gt;=TODAY(), "Date: " &amp; TEXT('Profit &amp; Loss'!A889,"dd mmm yyy") &amp; ", " &amp; 'Profit &amp; Loss'!B889 &amp; CHAR(10) &amp; "Time: " &amp; TEXT('Profit &amp; Loss'!C889, "hh:mm AM/PM") &amp; " - " &amp; TEXT('Profit &amp; Loss'!D889, "hh:mm AM/PM") &amp; CHAR(10) &amp; "Venue: " &amp; 'Profit &amp; Loss'!E889 &amp; CHAR(10) &amp; "Court No.: " &amp; 'Profit &amp; Loss'!F889 &amp; CHAR(10) &amp; "Level: HB - LI" &amp; CHAR(10) &amp; "Please transfer $" &amp; 'Profit &amp; Loss'!O889 &amp; " per pax to Belle (83396501)" &amp; CHAR(10) &amp; CHAR(10) &amp; IF('Profit &amp; Loss'!I889=1, "1." &amp; CHAR(10) &amp; "2." &amp; CHAR(10) &amp; "3." &amp; CHAR(10) &amp; "4." &amp; CHAR(10) &amp; "5." &amp; CHAR(10) &amp; "6." &amp; CHAR(10), IF('Profit &amp; Loss'!I889=2,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7" spans="1:2" ht="12.5" x14ac:dyDescent="0.25">
      <c r="A887" s="2" t="str">
        <f ca="1">IF('Profit &amp; Loss'!A890&gt;=TODAY(),"Looking for friendly players to join the following game: " &amp; CHAR(10) &amp; CHAR(10) &amp; "Date: " &amp; TEXT('Profit &amp; Loss'!A890,"dd mmm yyy") &amp; ", " &amp; 'Profit &amp; Loss'!B890 &amp; CHAR(10) &amp; "Time: " &amp; TEXT('Profit &amp; Loss'!C890, "hh:mm AM/PM") &amp; " - " &amp; TEXT('Profit &amp; Loss'!D890, "hh:mm AM/PM") &amp; CHAR(10) &amp; "Venue: " &amp; 'Profit &amp; Loss'!E890 &amp; CHAR(10) &amp; "Level: HB - LI" &amp; CHAR(10) &amp; "Cost: $" &amp; 'Profit &amp; Loss'!O890 &amp; " per pax" &amp; CHAR(10) &amp; "Max " &amp; 'Profit &amp; Loss'!I890*6 &amp; " pax," &amp; " (" &amp; 'Profit &amp; Loss'!I890 &amp; " courts)" &amp; CHAR(10) &amp; CHAR(10) &amp; "RSL Ultimate shuttles provided" &amp; CHAR(10) &amp; CHAR(10) &amp; "PM if interested, thank you!"," ")</f>
        <v xml:space="preserve"> </v>
      </c>
      <c r="B887" s="2" t="str">
        <f ca="1">IF('Profit &amp; Loss'!A890&gt;=TODAY(), "Date: " &amp; TEXT('Profit &amp; Loss'!A890,"dd mmm yyy") &amp; ", " &amp; 'Profit &amp; Loss'!B890 &amp; CHAR(10) &amp; "Time: " &amp; TEXT('Profit &amp; Loss'!C890, "hh:mm AM/PM") &amp; " - " &amp; TEXT('Profit &amp; Loss'!D890, "hh:mm AM/PM") &amp; CHAR(10) &amp; "Venue: " &amp; 'Profit &amp; Loss'!E890 &amp; CHAR(10) &amp; "Court No.: " &amp; 'Profit &amp; Loss'!F890 &amp; CHAR(10) &amp; "Level: HB - LI" &amp; CHAR(10) &amp; "Please transfer $" &amp; 'Profit &amp; Loss'!O890 &amp; " per pax to Belle (83396501)" &amp; CHAR(10) &amp; CHAR(10) &amp; IF('Profit &amp; Loss'!I890=1, "1." &amp; CHAR(10) &amp; "2." &amp; CHAR(10) &amp; "3." &amp; CHAR(10) &amp; "4." &amp; CHAR(10) &amp; "5." &amp; CHAR(10) &amp; "6." &amp; CHAR(10), IF('Profit &amp; Loss'!I890=2,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8" spans="1:2" ht="12.5" x14ac:dyDescent="0.25">
      <c r="A888" s="2" t="str">
        <f ca="1">IF('Profit &amp; Loss'!A891&gt;=TODAY(),"Looking for friendly players to join the following game: " &amp; CHAR(10) &amp; CHAR(10) &amp; "Date: " &amp; TEXT('Profit &amp; Loss'!A891,"dd mmm yyy") &amp; ", " &amp; 'Profit &amp; Loss'!B891 &amp; CHAR(10) &amp; "Time: " &amp; TEXT('Profit &amp; Loss'!C891, "hh:mm AM/PM") &amp; " - " &amp; TEXT('Profit &amp; Loss'!D891, "hh:mm AM/PM") &amp; CHAR(10) &amp; "Venue: " &amp; 'Profit &amp; Loss'!E891 &amp; CHAR(10) &amp; "Level: HB - LI" &amp; CHAR(10) &amp; "Cost: $" &amp; 'Profit &amp; Loss'!O891 &amp; " per pax" &amp; CHAR(10) &amp; "Max " &amp; 'Profit &amp; Loss'!I891*6 &amp; " pax," &amp; " (" &amp; 'Profit &amp; Loss'!I891 &amp; " courts)" &amp; CHAR(10) &amp; CHAR(10) &amp; "RSL Ultimate shuttles provided" &amp; CHAR(10) &amp; CHAR(10) &amp; "PM if interested, thank you!"," ")</f>
        <v xml:space="preserve"> </v>
      </c>
      <c r="B888" s="2" t="str">
        <f ca="1">IF('Profit &amp; Loss'!A891&gt;=TODAY(), "Date: " &amp; TEXT('Profit &amp; Loss'!A891,"dd mmm yyy") &amp; ", " &amp; 'Profit &amp; Loss'!B891 &amp; CHAR(10) &amp; "Time: " &amp; TEXT('Profit &amp; Loss'!C891, "hh:mm AM/PM") &amp; " - " &amp; TEXT('Profit &amp; Loss'!D891, "hh:mm AM/PM") &amp; CHAR(10) &amp; "Venue: " &amp; 'Profit &amp; Loss'!E891 &amp; CHAR(10) &amp; "Court No.: " &amp; 'Profit &amp; Loss'!F891 &amp; CHAR(10) &amp; "Level: HB - LI" &amp; CHAR(10) &amp; "Please transfer $" &amp; 'Profit &amp; Loss'!O891 &amp; " per pax to Belle (83396501)" &amp; CHAR(10) &amp; CHAR(10) &amp; IF('Profit &amp; Loss'!I891=1, "1." &amp; CHAR(10) &amp; "2." &amp; CHAR(10) &amp; "3." &amp; CHAR(10) &amp; "4." &amp; CHAR(10) &amp; "5." &amp; CHAR(10) &amp; "6." &amp; CHAR(10), IF('Profit &amp; Loss'!I891=2,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89" spans="1:2" ht="12.5" x14ac:dyDescent="0.25">
      <c r="A889" s="2" t="str">
        <f ca="1">IF('Profit &amp; Loss'!A892&gt;=TODAY(),"Looking for friendly players to join the following game: " &amp; CHAR(10) &amp; CHAR(10) &amp; "Date: " &amp; TEXT('Profit &amp; Loss'!A892,"dd mmm yyy") &amp; ", " &amp; 'Profit &amp; Loss'!B892 &amp; CHAR(10) &amp; "Time: " &amp; TEXT('Profit &amp; Loss'!C892, "hh:mm AM/PM") &amp; " - " &amp; TEXT('Profit &amp; Loss'!D892, "hh:mm AM/PM") &amp; CHAR(10) &amp; "Venue: " &amp; 'Profit &amp; Loss'!E892 &amp; CHAR(10) &amp; "Level: HB - LI" &amp; CHAR(10) &amp; "Cost: $" &amp; 'Profit &amp; Loss'!O892 &amp; " per pax" &amp; CHAR(10) &amp; "Max " &amp; 'Profit &amp; Loss'!I892*6 &amp; " pax," &amp; " (" &amp; 'Profit &amp; Loss'!I892 &amp; " courts)" &amp; CHAR(10) &amp; CHAR(10) &amp; "RSL Ultimate shuttles provided" &amp; CHAR(10) &amp; CHAR(10) &amp; "PM if interested, thank you!"," ")</f>
        <v xml:space="preserve"> </v>
      </c>
      <c r="B889" s="2" t="str">
        <f ca="1">IF('Profit &amp; Loss'!A892&gt;=TODAY(), "Date: " &amp; TEXT('Profit &amp; Loss'!A892,"dd mmm yyy") &amp; ", " &amp; 'Profit &amp; Loss'!B892 &amp; CHAR(10) &amp; "Time: " &amp; TEXT('Profit &amp; Loss'!C892, "hh:mm AM/PM") &amp; " - " &amp; TEXT('Profit &amp; Loss'!D892, "hh:mm AM/PM") &amp; CHAR(10) &amp; "Venue: " &amp; 'Profit &amp; Loss'!E892 &amp; CHAR(10) &amp; "Court No.: " &amp; 'Profit &amp; Loss'!F892 &amp; CHAR(10) &amp; "Level: HB - LI" &amp; CHAR(10) &amp; "Please transfer $" &amp; 'Profit &amp; Loss'!O892 &amp; " per pax to Belle (83396501)" &amp; CHAR(10) &amp; CHAR(10) &amp; IF('Profit &amp; Loss'!I892=1, "1." &amp; CHAR(10) &amp; "2." &amp; CHAR(10) &amp; "3." &amp; CHAR(10) &amp; "4." &amp; CHAR(10) &amp; "5." &amp; CHAR(10) &amp; "6." &amp; CHAR(10), IF('Profit &amp; Loss'!I892=2,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0" spans="1:2" ht="12.5" x14ac:dyDescent="0.25">
      <c r="A890" s="2" t="str">
        <f ca="1">IF('Profit &amp; Loss'!A893&gt;=TODAY(),"Looking for friendly players to join the following game: " &amp; CHAR(10) &amp; CHAR(10) &amp; "Date: " &amp; TEXT('Profit &amp; Loss'!A893,"dd mmm yyy") &amp; ", " &amp; 'Profit &amp; Loss'!B893 &amp; CHAR(10) &amp; "Time: " &amp; TEXT('Profit &amp; Loss'!C893, "hh:mm AM/PM") &amp; " - " &amp; TEXT('Profit &amp; Loss'!D893, "hh:mm AM/PM") &amp; CHAR(10) &amp; "Venue: " &amp; 'Profit &amp; Loss'!E893 &amp; CHAR(10) &amp; "Level: HB - LI" &amp; CHAR(10) &amp; "Cost: $" &amp; 'Profit &amp; Loss'!O893 &amp; " per pax" &amp; CHAR(10) &amp; "Max " &amp; 'Profit &amp; Loss'!I893*6 &amp; " pax," &amp; " (" &amp; 'Profit &amp; Loss'!I893 &amp; " courts)" &amp; CHAR(10) &amp; CHAR(10) &amp; "RSL Ultimate shuttles provided" &amp; CHAR(10) &amp; CHAR(10) &amp; "PM if interested, thank you!"," ")</f>
        <v xml:space="preserve"> </v>
      </c>
      <c r="B890" s="2" t="str">
        <f ca="1">IF('Profit &amp; Loss'!A893&gt;=TODAY(), "Date: " &amp; TEXT('Profit &amp; Loss'!A893,"dd mmm yyy") &amp; ", " &amp; 'Profit &amp; Loss'!B893 &amp; CHAR(10) &amp; "Time: " &amp; TEXT('Profit &amp; Loss'!C893, "hh:mm AM/PM") &amp; " - " &amp; TEXT('Profit &amp; Loss'!D893, "hh:mm AM/PM") &amp; CHAR(10) &amp; "Venue: " &amp; 'Profit &amp; Loss'!E893 &amp; CHAR(10) &amp; "Court No.: " &amp; 'Profit &amp; Loss'!F893 &amp; CHAR(10) &amp; "Level: HB - LI" &amp; CHAR(10) &amp; "Please transfer $" &amp; 'Profit &amp; Loss'!O893 &amp; " per pax to Belle (83396501)" &amp; CHAR(10) &amp; CHAR(10) &amp; IF('Profit &amp; Loss'!I893=1, "1." &amp; CHAR(10) &amp; "2." &amp; CHAR(10) &amp; "3." &amp; CHAR(10) &amp; "4." &amp; CHAR(10) &amp; "5." &amp; CHAR(10) &amp; "6." &amp; CHAR(10), IF('Profit &amp; Loss'!I893=2,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1" spans="1:2" ht="12.5" x14ac:dyDescent="0.25">
      <c r="A891" s="2" t="str">
        <f ca="1">IF('Profit &amp; Loss'!A894&gt;=TODAY(),"Looking for friendly players to join the following game: " &amp; CHAR(10) &amp; CHAR(10) &amp; "Date: " &amp; TEXT('Profit &amp; Loss'!A894,"dd mmm yyy") &amp; ", " &amp; 'Profit &amp; Loss'!B894 &amp; CHAR(10) &amp; "Time: " &amp; TEXT('Profit &amp; Loss'!C894, "hh:mm AM/PM") &amp; " - " &amp; TEXT('Profit &amp; Loss'!D894, "hh:mm AM/PM") &amp; CHAR(10) &amp; "Venue: " &amp; 'Profit &amp; Loss'!E894 &amp; CHAR(10) &amp; "Level: HB - LI" &amp; CHAR(10) &amp; "Cost: $" &amp; 'Profit &amp; Loss'!O894 &amp; " per pax" &amp; CHAR(10) &amp; "Max " &amp; 'Profit &amp; Loss'!I894*6 &amp; " pax," &amp; " (" &amp; 'Profit &amp; Loss'!I894 &amp; " courts)" &amp; CHAR(10) &amp; CHAR(10) &amp; "RSL Ultimate shuttles provided" &amp; CHAR(10) &amp; CHAR(10) &amp; "PM if interested, thank you!"," ")</f>
        <v xml:space="preserve"> </v>
      </c>
      <c r="B891" s="2" t="str">
        <f ca="1">IF('Profit &amp; Loss'!A894&gt;=TODAY(), "Date: " &amp; TEXT('Profit &amp; Loss'!A894,"dd mmm yyy") &amp; ", " &amp; 'Profit &amp; Loss'!B894 &amp; CHAR(10) &amp; "Time: " &amp; TEXT('Profit &amp; Loss'!C894, "hh:mm AM/PM") &amp; " - " &amp; TEXT('Profit &amp; Loss'!D894, "hh:mm AM/PM") &amp; CHAR(10) &amp; "Venue: " &amp; 'Profit &amp; Loss'!E894 &amp; CHAR(10) &amp; "Court No.: " &amp; 'Profit &amp; Loss'!F894 &amp; CHAR(10) &amp; "Level: HB - LI" &amp; CHAR(10) &amp; "Please transfer $" &amp; 'Profit &amp; Loss'!O894 &amp; " per pax to Belle (83396501)" &amp; CHAR(10) &amp; CHAR(10) &amp; IF('Profit &amp; Loss'!I894=1, "1." &amp; CHAR(10) &amp; "2." &amp; CHAR(10) &amp; "3." &amp; CHAR(10) &amp; "4." &amp; CHAR(10) &amp; "5." &amp; CHAR(10) &amp; "6." &amp; CHAR(10), IF('Profit &amp; Loss'!I894=2,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2" spans="1:2" ht="12.5" x14ac:dyDescent="0.25">
      <c r="A892" s="2" t="str">
        <f ca="1">IF('Profit &amp; Loss'!A895&gt;=TODAY(),"Looking for friendly players to join the following game: " &amp; CHAR(10) &amp; CHAR(10) &amp; "Date: " &amp; TEXT('Profit &amp; Loss'!A895,"dd mmm yyy") &amp; ", " &amp; 'Profit &amp; Loss'!B895 &amp; CHAR(10) &amp; "Time: " &amp; TEXT('Profit &amp; Loss'!C895, "hh:mm AM/PM") &amp; " - " &amp; TEXT('Profit &amp; Loss'!D895, "hh:mm AM/PM") &amp; CHAR(10) &amp; "Venue: " &amp; 'Profit &amp; Loss'!E895 &amp; CHAR(10) &amp; "Level: HB - LI" &amp; CHAR(10) &amp; "Cost: $" &amp; 'Profit &amp; Loss'!O895 &amp; " per pax" &amp; CHAR(10) &amp; "Max " &amp; 'Profit &amp; Loss'!I895*6 &amp; " pax," &amp; " (" &amp; 'Profit &amp; Loss'!I895 &amp; " courts)" &amp; CHAR(10) &amp; CHAR(10) &amp; "RSL Ultimate shuttles provided" &amp; CHAR(10) &amp; CHAR(10) &amp; "PM if interested, thank you!"," ")</f>
        <v xml:space="preserve"> </v>
      </c>
      <c r="B892" s="2" t="str">
        <f ca="1">IF('Profit &amp; Loss'!A895&gt;=TODAY(), "Date: " &amp; TEXT('Profit &amp; Loss'!A895,"dd mmm yyy") &amp; ", " &amp; 'Profit &amp; Loss'!B895 &amp; CHAR(10) &amp; "Time: " &amp; TEXT('Profit &amp; Loss'!C895, "hh:mm AM/PM") &amp; " - " &amp; TEXT('Profit &amp; Loss'!D895, "hh:mm AM/PM") &amp; CHAR(10) &amp; "Venue: " &amp; 'Profit &amp; Loss'!E895 &amp; CHAR(10) &amp; "Court No.: " &amp; 'Profit &amp; Loss'!F895 &amp; CHAR(10) &amp; "Level: HB - LI" &amp; CHAR(10) &amp; "Please transfer $" &amp; 'Profit &amp; Loss'!O895 &amp; " per pax to Belle (83396501)" &amp; CHAR(10) &amp; CHAR(10) &amp; IF('Profit &amp; Loss'!I895=1, "1." &amp; CHAR(10) &amp; "2." &amp; CHAR(10) &amp; "3." &amp; CHAR(10) &amp; "4." &amp; CHAR(10) &amp; "5." &amp; CHAR(10) &amp; "6." &amp; CHAR(10), IF('Profit &amp; Loss'!I895=2,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3" spans="1:2" ht="12.5" x14ac:dyDescent="0.25">
      <c r="A893" s="2" t="str">
        <f ca="1">IF('Profit &amp; Loss'!A896&gt;=TODAY(),"Looking for friendly players to join the following game: " &amp; CHAR(10) &amp; CHAR(10) &amp; "Date: " &amp; TEXT('Profit &amp; Loss'!A896,"dd mmm yyy") &amp; ", " &amp; 'Profit &amp; Loss'!B896 &amp; CHAR(10) &amp; "Time: " &amp; TEXT('Profit &amp; Loss'!C896, "hh:mm AM/PM") &amp; " - " &amp; TEXT('Profit &amp; Loss'!D896, "hh:mm AM/PM") &amp; CHAR(10) &amp; "Venue: " &amp; 'Profit &amp; Loss'!E896 &amp; CHAR(10) &amp; "Level: HB - LI" &amp; CHAR(10) &amp; "Cost: $" &amp; 'Profit &amp; Loss'!O896 &amp; " per pax" &amp; CHAR(10) &amp; "Max " &amp; 'Profit &amp; Loss'!I896*6 &amp; " pax," &amp; " (" &amp; 'Profit &amp; Loss'!I896 &amp; " courts)" &amp; CHAR(10) &amp; CHAR(10) &amp; "RSL Ultimate shuttles provided" &amp; CHAR(10) &amp; CHAR(10) &amp; "PM if interested, thank you!"," ")</f>
        <v xml:space="preserve"> </v>
      </c>
      <c r="B893" s="2" t="str">
        <f ca="1">IF('Profit &amp; Loss'!A896&gt;=TODAY(), "Date: " &amp; TEXT('Profit &amp; Loss'!A896,"dd mmm yyy") &amp; ", " &amp; 'Profit &amp; Loss'!B896 &amp; CHAR(10) &amp; "Time: " &amp; TEXT('Profit &amp; Loss'!C896, "hh:mm AM/PM") &amp; " - " &amp; TEXT('Profit &amp; Loss'!D896, "hh:mm AM/PM") &amp; CHAR(10) &amp; "Venue: " &amp; 'Profit &amp; Loss'!E896 &amp; CHAR(10) &amp; "Court No.: " &amp; 'Profit &amp; Loss'!F896 &amp; CHAR(10) &amp; "Level: HB - LI" &amp; CHAR(10) &amp; "Please transfer $" &amp; 'Profit &amp; Loss'!O896 &amp; " per pax to Belle (83396501)" &amp; CHAR(10) &amp; CHAR(10) &amp; IF('Profit &amp; Loss'!I896=1, "1." &amp; CHAR(10) &amp; "2." &amp; CHAR(10) &amp; "3." &amp; CHAR(10) &amp; "4." &amp; CHAR(10) &amp; "5." &amp; CHAR(10) &amp; "6." &amp; CHAR(10), IF('Profit &amp; Loss'!I896=2,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4" spans="1:2" ht="12.5" x14ac:dyDescent="0.25">
      <c r="A894" s="2" t="str">
        <f ca="1">IF('Profit &amp; Loss'!A897&gt;=TODAY(),"Looking for friendly players to join the following game: " &amp; CHAR(10) &amp; CHAR(10) &amp; "Date: " &amp; TEXT('Profit &amp; Loss'!A897,"dd mmm yyy") &amp; ", " &amp; 'Profit &amp; Loss'!B897 &amp; CHAR(10) &amp; "Time: " &amp; TEXT('Profit &amp; Loss'!C897, "hh:mm AM/PM") &amp; " - " &amp; TEXT('Profit &amp; Loss'!D897, "hh:mm AM/PM") &amp; CHAR(10) &amp; "Venue: " &amp; 'Profit &amp; Loss'!E897 &amp; CHAR(10) &amp; "Level: HB - LI" &amp; CHAR(10) &amp; "Cost: $" &amp; 'Profit &amp; Loss'!O897 &amp; " per pax" &amp; CHAR(10) &amp; "Max " &amp; 'Profit &amp; Loss'!I897*6 &amp; " pax," &amp; " (" &amp; 'Profit &amp; Loss'!I897 &amp; " courts)" &amp; CHAR(10) &amp; CHAR(10) &amp; "RSL Ultimate shuttles provided" &amp; CHAR(10) &amp; CHAR(10) &amp; "PM if interested, thank you!"," ")</f>
        <v xml:space="preserve"> </v>
      </c>
      <c r="B894" s="2" t="str">
        <f ca="1">IF('Profit &amp; Loss'!A897&gt;=TODAY(), "Date: " &amp; TEXT('Profit &amp; Loss'!A897,"dd mmm yyy") &amp; ", " &amp; 'Profit &amp; Loss'!B897 &amp; CHAR(10) &amp; "Time: " &amp; TEXT('Profit &amp; Loss'!C897, "hh:mm AM/PM") &amp; " - " &amp; TEXT('Profit &amp; Loss'!D897, "hh:mm AM/PM") &amp; CHAR(10) &amp; "Venue: " &amp; 'Profit &amp; Loss'!E897 &amp; CHAR(10) &amp; "Court No.: " &amp; 'Profit &amp; Loss'!F897 &amp; CHAR(10) &amp; "Level: HB - LI" &amp; CHAR(10) &amp; "Please transfer $" &amp; 'Profit &amp; Loss'!O897 &amp; " per pax to Belle (83396501)" &amp; CHAR(10) &amp; CHAR(10) &amp; IF('Profit &amp; Loss'!I897=1, "1." &amp; CHAR(10) &amp; "2." &amp; CHAR(10) &amp; "3." &amp; CHAR(10) &amp; "4." &amp; CHAR(10) &amp; "5." &amp; CHAR(10) &amp; "6." &amp; CHAR(10), IF('Profit &amp; Loss'!I897=2,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5" spans="1:2" ht="12.5" x14ac:dyDescent="0.25">
      <c r="A895" s="2" t="str">
        <f ca="1">IF('Profit &amp; Loss'!A898&gt;=TODAY(),"Looking for friendly players to join the following game: " &amp; CHAR(10) &amp; CHAR(10) &amp; "Date: " &amp; TEXT('Profit &amp; Loss'!A898,"dd mmm yyy") &amp; ", " &amp; 'Profit &amp; Loss'!B898 &amp; CHAR(10) &amp; "Time: " &amp; TEXT('Profit &amp; Loss'!C898, "hh:mm AM/PM") &amp; " - " &amp; TEXT('Profit &amp; Loss'!D898, "hh:mm AM/PM") &amp; CHAR(10) &amp; "Venue: " &amp; 'Profit &amp; Loss'!E898 &amp; CHAR(10) &amp; "Level: HB - LI" &amp; CHAR(10) &amp; "Cost: $" &amp; 'Profit &amp; Loss'!O898 &amp; " per pax" &amp; CHAR(10) &amp; "Max " &amp; 'Profit &amp; Loss'!I898*6 &amp; " pax," &amp; " (" &amp; 'Profit &amp; Loss'!I898 &amp; " courts)" &amp; CHAR(10) &amp; CHAR(10) &amp; "RSL Ultimate shuttles provided" &amp; CHAR(10) &amp; CHAR(10) &amp; "PM if interested, thank you!"," ")</f>
        <v xml:space="preserve"> </v>
      </c>
      <c r="B895" s="2" t="str">
        <f ca="1">IF('Profit &amp; Loss'!A898&gt;=TODAY(), "Date: " &amp; TEXT('Profit &amp; Loss'!A898,"dd mmm yyy") &amp; ", " &amp; 'Profit &amp; Loss'!B898 &amp; CHAR(10) &amp; "Time: " &amp; TEXT('Profit &amp; Loss'!C898, "hh:mm AM/PM") &amp; " - " &amp; TEXT('Profit &amp; Loss'!D898, "hh:mm AM/PM") &amp; CHAR(10) &amp; "Venue: " &amp; 'Profit &amp; Loss'!E898 &amp; CHAR(10) &amp; "Court No.: " &amp; 'Profit &amp; Loss'!F898 &amp; CHAR(10) &amp; "Level: HB - LI" &amp; CHAR(10) &amp; "Please transfer $" &amp; 'Profit &amp; Loss'!O898 &amp; " per pax to Belle (83396501)" &amp; CHAR(10) &amp; CHAR(10) &amp; IF('Profit &amp; Loss'!I898=1, "1." &amp; CHAR(10) &amp; "2." &amp; CHAR(10) &amp; "3." &amp; CHAR(10) &amp; "4." &amp; CHAR(10) &amp; "5." &amp; CHAR(10) &amp; "6." &amp; CHAR(10), IF('Profit &amp; Loss'!I898=2,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6" spans="1:2" ht="12.5" x14ac:dyDescent="0.25">
      <c r="A896" s="2" t="str">
        <f ca="1">IF('Profit &amp; Loss'!A899&gt;=TODAY(),"Looking for friendly players to join the following game: " &amp; CHAR(10) &amp; CHAR(10) &amp; "Date: " &amp; TEXT('Profit &amp; Loss'!A899,"dd mmm yyy") &amp; ", " &amp; 'Profit &amp; Loss'!B899 &amp; CHAR(10) &amp; "Time: " &amp; TEXT('Profit &amp; Loss'!C899, "hh:mm AM/PM") &amp; " - " &amp; TEXT('Profit &amp; Loss'!D899, "hh:mm AM/PM") &amp; CHAR(10) &amp; "Venue: " &amp; 'Profit &amp; Loss'!E899 &amp; CHAR(10) &amp; "Level: HB - LI" &amp; CHAR(10) &amp; "Cost: $" &amp; 'Profit &amp; Loss'!O899 &amp; " per pax" &amp; CHAR(10) &amp; "Max " &amp; 'Profit &amp; Loss'!I899*6 &amp; " pax," &amp; " (" &amp; 'Profit &amp; Loss'!I899 &amp; " courts)" &amp; CHAR(10) &amp; CHAR(10) &amp; "RSL Ultimate shuttles provided" &amp; CHAR(10) &amp; CHAR(10) &amp; "PM if interested, thank you!"," ")</f>
        <v xml:space="preserve"> </v>
      </c>
      <c r="B896" s="2" t="str">
        <f ca="1">IF('Profit &amp; Loss'!A899&gt;=TODAY(), "Date: " &amp; TEXT('Profit &amp; Loss'!A899,"dd mmm yyy") &amp; ", " &amp; 'Profit &amp; Loss'!B899 &amp; CHAR(10) &amp; "Time: " &amp; TEXT('Profit &amp; Loss'!C899, "hh:mm AM/PM") &amp; " - " &amp; TEXT('Profit &amp; Loss'!D899, "hh:mm AM/PM") &amp; CHAR(10) &amp; "Venue: " &amp; 'Profit &amp; Loss'!E899 &amp; CHAR(10) &amp; "Court No.: " &amp; 'Profit &amp; Loss'!F899 &amp; CHAR(10) &amp; "Level: HB - LI" &amp; CHAR(10) &amp; "Please transfer $" &amp; 'Profit &amp; Loss'!O899 &amp; " per pax to Belle (83396501)" &amp; CHAR(10) &amp; CHAR(10) &amp; IF('Profit &amp; Loss'!I899=1, "1." &amp; CHAR(10) &amp; "2." &amp; CHAR(10) &amp; "3." &amp; CHAR(10) &amp; "4." &amp; CHAR(10) &amp; "5." &amp; CHAR(10) &amp; "6." &amp; CHAR(10), IF('Profit &amp; Loss'!I899=2,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Loss'!I899=3,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7" spans="1:2" ht="12.5" x14ac:dyDescent="0.25">
      <c r="A897" s="2" t="str">
        <f ca="1">IF('Profit &amp; Loss'!A900&gt;=TODAY(),"Looking for friendly players to join the following game: " &amp; CHAR(10) &amp; CHAR(10) &amp; "Date: " &amp; TEXT('Profit &amp; Loss'!A900,"dd mmm yyy") &amp; ", " &amp; 'Profit &amp; Loss'!B900 &amp; CHAR(10) &amp; "Time: " &amp; TEXT('Profit &amp; Loss'!C900, "hh:mm AM/PM") &amp; " - " &amp; TEXT('Profit &amp; Loss'!D900, "hh:mm AM/PM") &amp; CHAR(10) &amp; "Venue: " &amp; 'Profit &amp; Loss'!E900 &amp; CHAR(10) &amp; "Level: HB - LI" &amp; CHAR(10) &amp; "Cost: $" &amp; 'Profit &amp; Loss'!O900 &amp; " per pax" &amp; CHAR(10) &amp; "Max " &amp; 'Profit &amp; Loss'!I900*6 &amp; " pax," &amp; " (" &amp; 'Profit &amp; Loss'!I900 &amp; " courts)" &amp; CHAR(10) &amp; CHAR(10) &amp; "RSL Ultimate shuttles provided" &amp; CHAR(10) &amp; CHAR(10) &amp; "PM if interested, thank you!"," ")</f>
        <v xml:space="preserve"> </v>
      </c>
      <c r="B897" s="2" t="str">
        <f ca="1">IF('Profit &amp; Loss'!A900&gt;=TODAY(), "Date: " &amp; TEXT('Profit &amp; Loss'!A900,"dd mmm yyy") &amp; ", " &amp; 'Profit &amp; Loss'!B900 &amp; CHAR(10) &amp; "Time: " &amp; TEXT('Profit &amp; Loss'!C900, "hh:mm AM/PM") &amp; " - " &amp; TEXT('Profit &amp; Loss'!D900, "hh:mm AM/PM") &amp; CHAR(10) &amp; "Venue: " &amp; 'Profit &amp; Loss'!E900 &amp; CHAR(10) &amp; "Court No.: " &amp; 'Profit &amp; Loss'!F900 &amp; CHAR(10) &amp; "Level: HB - LI" &amp; CHAR(10) &amp; "Please transfer $" &amp; 'Profit &amp; Loss'!O900 &amp; " per pax to Belle (83396501)" &amp; CHAR(10) &amp; CHAR(10) &amp; IF('Profit &amp; Loss'!I900=1, "1." &amp; CHAR(10) &amp; "2." &amp; CHAR(10) &amp; "3." &amp; CHAR(10) &amp; "4." &amp; CHAR(10) &amp; "5." &amp; CHAR(10) &amp; "6." &amp; CHAR(10), IF('Profit &amp; Loss'!I900=2,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8" spans="1:2" ht="12.5" x14ac:dyDescent="0.25">
      <c r="A898" s="2" t="str">
        <f ca="1">IF('Profit &amp; Loss'!A901&gt;=TODAY(),"Looking for friendly players to join the following game: " &amp; CHAR(10) &amp; CHAR(10) &amp; "Date: " &amp; TEXT('Profit &amp; Loss'!A901,"dd mmm yyy") &amp; ", " &amp; 'Profit &amp; Loss'!B901 &amp; CHAR(10) &amp; "Time: " &amp; TEXT('Profit &amp; Loss'!C901, "hh:mm AM/PM") &amp; " - " &amp; TEXT('Profit &amp; Loss'!D901, "hh:mm AM/PM") &amp; CHAR(10) &amp; "Venue: " &amp; 'Profit &amp; Loss'!E901 &amp; CHAR(10) &amp; "Level: HB - LI" &amp; CHAR(10) &amp; "Cost: $" &amp; 'Profit &amp; Loss'!O901 &amp; " per pax" &amp; CHAR(10) &amp; "Max " &amp; 'Profit &amp; Loss'!I901*6 &amp; " pax," &amp; " (" &amp; 'Profit &amp; Loss'!I901 &amp; " courts)" &amp; CHAR(10) &amp; CHAR(10) &amp; "RSL Ultimate shuttles provided" &amp; CHAR(10) &amp; CHAR(10) &amp; "PM if interested, thank you!"," ")</f>
        <v xml:space="preserve"> </v>
      </c>
      <c r="B898" s="2" t="str">
        <f ca="1">IF('Profit &amp; Loss'!A901&gt;=TODAY(), "Date: " &amp; TEXT('Profit &amp; Loss'!A901,"dd mmm yyy") &amp; ", " &amp; 'Profit &amp; Loss'!B901 &amp; CHAR(10) &amp; "Time: " &amp; TEXT('Profit &amp; Loss'!C901, "hh:mm AM/PM") &amp; " - " &amp; TEXT('Profit &amp; Loss'!D901, "hh:mm AM/PM") &amp; CHAR(10) &amp; "Venue: " &amp; 'Profit &amp; Loss'!E901 &amp; CHAR(10) &amp; "Court No.: " &amp; 'Profit &amp; Loss'!F901 &amp; CHAR(10) &amp; "Level: HB - LI" &amp; CHAR(10) &amp; "Please transfer $" &amp; 'Profit &amp; Loss'!O901 &amp; " per pax to Belle (83396501)" &amp; CHAR(10) &amp; CHAR(10) &amp; IF('Profit &amp; Loss'!I901=1, "1." &amp; CHAR(10) &amp; "2." &amp; CHAR(10) &amp; "3." &amp; CHAR(10) &amp; "4." &amp; CHAR(10) &amp; "5." &amp; CHAR(10) &amp; "6." &amp; CHAR(10), IF('Profit &amp; Loss'!I901=2,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899" spans="1:2" ht="12.5" x14ac:dyDescent="0.25">
      <c r="A899" s="2" t="str">
        <f ca="1">IF('Profit &amp; Loss'!A902&gt;=TODAY(),"Looking for friendly players to join the following game: " &amp; CHAR(10) &amp; CHAR(10) &amp; "Date: " &amp; TEXT('Profit &amp; Loss'!A902,"dd mmm yyy") &amp; ", " &amp; 'Profit &amp; Loss'!B902 &amp; CHAR(10) &amp; "Time: " &amp; TEXT('Profit &amp; Loss'!C902, "hh:mm AM/PM") &amp; " - " &amp; TEXT('Profit &amp; Loss'!D902, "hh:mm AM/PM") &amp; CHAR(10) &amp; "Venue: " &amp; 'Profit &amp; Loss'!E902 &amp; CHAR(10) &amp; "Level: HB - LI" &amp; CHAR(10) &amp; "Cost: $" &amp; 'Profit &amp; Loss'!O902 &amp; " per pax" &amp; CHAR(10) &amp; "Max " &amp; 'Profit &amp; Loss'!I902*6 &amp; " pax," &amp; " (" &amp; 'Profit &amp; Loss'!I902 &amp; " courts)" &amp; CHAR(10) &amp; CHAR(10) &amp; "RSL Ultimate shuttles provided" &amp; CHAR(10) &amp; CHAR(10) &amp; "PM if interested, thank you!"," ")</f>
        <v xml:space="preserve"> </v>
      </c>
      <c r="B899" s="2" t="str">
        <f ca="1">IF('Profit &amp; Loss'!A902&gt;=TODAY(), "Date: " &amp; TEXT('Profit &amp; Loss'!A902,"dd mmm yyy") &amp; ", " &amp; 'Profit &amp; Loss'!B902 &amp; CHAR(10) &amp; "Time: " &amp; TEXT('Profit &amp; Loss'!C902, "hh:mm AM/PM") &amp; " - " &amp; TEXT('Profit &amp; Loss'!D902, "hh:mm AM/PM") &amp; CHAR(10) &amp; "Venue: " &amp; 'Profit &amp; Loss'!E902 &amp; CHAR(10) &amp; "Court No.: " &amp; 'Profit &amp; Loss'!F902 &amp; CHAR(10) &amp; "Level: HB - LI" &amp; CHAR(10) &amp; "Please transfer $" &amp; 'Profit &amp; Loss'!O902 &amp; " per pax to Belle (83396501)" &amp; CHAR(10) &amp; CHAR(10) &amp; IF('Profit &amp; Loss'!I902=1, "1." &amp; CHAR(10) &amp; "2." &amp; CHAR(10) &amp; "3." &amp; CHAR(10) &amp; "4." &amp; CHAR(10) &amp; "5." &amp; CHAR(10) &amp; "6." &amp; CHAR(10), IF('Profit &amp; Loss'!I902=2,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0" spans="1:2" ht="12.5" x14ac:dyDescent="0.25">
      <c r="A900" s="2" t="str">
        <f ca="1">IF('Profit &amp; Loss'!A903&gt;=TODAY(),"Looking for friendly players to join the following game: " &amp; CHAR(10) &amp; CHAR(10) &amp; "Date: " &amp; TEXT('Profit &amp; Loss'!A903,"dd mmm yyy") &amp; ", " &amp; 'Profit &amp; Loss'!B903 &amp; CHAR(10) &amp; "Time: " &amp; TEXT('Profit &amp; Loss'!C903, "hh:mm AM/PM") &amp; " - " &amp; TEXT('Profit &amp; Loss'!D903, "hh:mm AM/PM") &amp; CHAR(10) &amp; "Venue: " &amp; 'Profit &amp; Loss'!E903 &amp; CHAR(10) &amp; "Level: HB - LI" &amp; CHAR(10) &amp; "Cost: $" &amp; 'Profit &amp; Loss'!O903 &amp; " per pax" &amp; CHAR(10) &amp; "Max " &amp; 'Profit &amp; Loss'!I903*6 &amp; " pax," &amp; " (" &amp; 'Profit &amp; Loss'!I903 &amp; " courts)" &amp; CHAR(10) &amp; CHAR(10) &amp; "RSL Ultimate shuttles provided" &amp; CHAR(10) &amp; CHAR(10) &amp; "PM if interested, thank you!"," ")</f>
        <v xml:space="preserve"> </v>
      </c>
      <c r="B900" s="2" t="str">
        <f ca="1">IF('Profit &amp; Loss'!A903&gt;=TODAY(), "Date: " &amp; TEXT('Profit &amp; Loss'!A903,"dd mmm yyy") &amp; ", " &amp; 'Profit &amp; Loss'!B903 &amp; CHAR(10) &amp; "Time: " &amp; TEXT('Profit &amp; Loss'!C903, "hh:mm AM/PM") &amp; " - " &amp; TEXT('Profit &amp; Loss'!D903, "hh:mm AM/PM") &amp; CHAR(10) &amp; "Venue: " &amp; 'Profit &amp; Loss'!E903 &amp; CHAR(10) &amp; "Court No.: " &amp; 'Profit &amp; Loss'!F903 &amp; CHAR(10) &amp; "Level: HB - LI" &amp; CHAR(10) &amp; "Please transfer $" &amp; 'Profit &amp; Loss'!O903 &amp; " per pax to Belle (83396501)" &amp; CHAR(10) &amp; CHAR(10) &amp; IF('Profit &amp; Loss'!I903=1, "1." &amp; CHAR(10) &amp; "2." &amp; CHAR(10) &amp; "3." &amp; CHAR(10) &amp; "4." &amp; CHAR(10) &amp; "5." &amp; CHAR(10) &amp; "6." &amp; CHAR(10), IF('Profit &amp; Loss'!I903=2,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1" spans="1:2" ht="12.5" x14ac:dyDescent="0.25">
      <c r="A901" s="2" t="str">
        <f ca="1">IF('Profit &amp; Loss'!A904&gt;=TODAY(),"Looking for friendly players to join the following game: " &amp; CHAR(10) &amp; CHAR(10) &amp; "Date: " &amp; TEXT('Profit &amp; Loss'!A904,"dd mmm yyy") &amp; ", " &amp; 'Profit &amp; Loss'!B904 &amp; CHAR(10) &amp; "Time: " &amp; TEXT('Profit &amp; Loss'!C904, "hh:mm AM/PM") &amp; " - " &amp; TEXT('Profit &amp; Loss'!D904, "hh:mm AM/PM") &amp; CHAR(10) &amp; "Venue: " &amp; 'Profit &amp; Loss'!E904 &amp; CHAR(10) &amp; "Level: HB - LI" &amp; CHAR(10) &amp; "Cost: $" &amp; 'Profit &amp; Loss'!O904 &amp; " per pax" &amp; CHAR(10) &amp; "Max " &amp; 'Profit &amp; Loss'!I904*6 &amp; " pax," &amp; " (" &amp; 'Profit &amp; Loss'!I904 &amp; " courts)" &amp; CHAR(10) &amp; CHAR(10) &amp; "RSL Ultimate shuttles provided" &amp; CHAR(10) &amp; CHAR(10) &amp; "PM if interested, thank you!"," ")</f>
        <v xml:space="preserve"> </v>
      </c>
      <c r="B901" s="2" t="str">
        <f ca="1">IF('Profit &amp; Loss'!A904&gt;=TODAY(), "Date: " &amp; TEXT('Profit &amp; Loss'!A904,"dd mmm yyy") &amp; ", " &amp; 'Profit &amp; Loss'!B904 &amp; CHAR(10) &amp; "Time: " &amp; TEXT('Profit &amp; Loss'!C904, "hh:mm AM/PM") &amp; " - " &amp; TEXT('Profit &amp; Loss'!D904, "hh:mm AM/PM") &amp; CHAR(10) &amp; "Venue: " &amp; 'Profit &amp; Loss'!E904 &amp; CHAR(10) &amp; "Court No.: " &amp; 'Profit &amp; Loss'!F904 &amp; CHAR(10) &amp; "Level: HB - LI" &amp; CHAR(10) &amp; "Please transfer $" &amp; 'Profit &amp; Loss'!O904 &amp; " per pax to Belle (83396501)" &amp; CHAR(10) &amp; CHAR(10) &amp; IF('Profit &amp; Loss'!I904=1, "1." &amp; CHAR(10) &amp; "2." &amp; CHAR(10) &amp; "3." &amp; CHAR(10) &amp; "4." &amp; CHAR(10) &amp; "5." &amp; CHAR(10) &amp; "6." &amp; CHAR(10), IF('Profit &amp; Loss'!I904=2,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2" spans="1:2" ht="12.5" x14ac:dyDescent="0.25">
      <c r="A902" s="2" t="str">
        <f ca="1">IF('Profit &amp; Loss'!A905&gt;=TODAY(),"Looking for friendly players to join the following game: " &amp; CHAR(10) &amp; CHAR(10) &amp; "Date: " &amp; TEXT('Profit &amp; Loss'!A905,"dd mmm yyy") &amp; ", " &amp; 'Profit &amp; Loss'!B905 &amp; CHAR(10) &amp; "Time: " &amp; TEXT('Profit &amp; Loss'!C905, "hh:mm AM/PM") &amp; " - " &amp; TEXT('Profit &amp; Loss'!D905, "hh:mm AM/PM") &amp; CHAR(10) &amp; "Venue: " &amp; 'Profit &amp; Loss'!E905 &amp; CHAR(10) &amp; "Level: HB - LI" &amp; CHAR(10) &amp; "Cost: $" &amp; 'Profit &amp; Loss'!O905 &amp; " per pax" &amp; CHAR(10) &amp; "Max " &amp; 'Profit &amp; Loss'!I905*6 &amp; " pax," &amp; " (" &amp; 'Profit &amp; Loss'!I905 &amp; " courts)" &amp; CHAR(10) &amp; CHAR(10) &amp; "RSL Ultimate shuttles provided" &amp; CHAR(10) &amp; CHAR(10) &amp; "PM if interested, thank you!"," ")</f>
        <v xml:space="preserve"> </v>
      </c>
      <c r="B902" s="2" t="str">
        <f ca="1">IF('Profit &amp; Loss'!A905&gt;=TODAY(), "Date: " &amp; TEXT('Profit &amp; Loss'!A905,"dd mmm yyy") &amp; ", " &amp; 'Profit &amp; Loss'!B905 &amp; CHAR(10) &amp; "Time: " &amp; TEXT('Profit &amp; Loss'!C905, "hh:mm AM/PM") &amp; " - " &amp; TEXT('Profit &amp; Loss'!D905, "hh:mm AM/PM") &amp; CHAR(10) &amp; "Venue: " &amp; 'Profit &amp; Loss'!E905 &amp; CHAR(10) &amp; "Court No.: " &amp; 'Profit &amp; Loss'!F905 &amp; CHAR(10) &amp; "Level: HB - LI" &amp; CHAR(10) &amp; "Please transfer $" &amp; 'Profit &amp; Loss'!O905 &amp; " per pax to Belle (83396501)" &amp; CHAR(10) &amp; CHAR(10) &amp; IF('Profit &amp; Loss'!I905=1, "1." &amp; CHAR(10) &amp; "2." &amp; CHAR(10) &amp; "3." &amp; CHAR(10) &amp; "4." &amp; CHAR(10) &amp; "5." &amp; CHAR(10) &amp; "6." &amp; CHAR(10), IF('Profit &amp; Loss'!I905=2,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3" spans="1:2" ht="12.5" x14ac:dyDescent="0.25">
      <c r="A903" s="2" t="str">
        <f ca="1">IF('Profit &amp; Loss'!A906&gt;=TODAY(),"Looking for friendly players to join the following game: " &amp; CHAR(10) &amp; CHAR(10) &amp; "Date: " &amp; TEXT('Profit &amp; Loss'!A906,"dd mmm yyy") &amp; ", " &amp; 'Profit &amp; Loss'!B906 &amp; CHAR(10) &amp; "Time: " &amp; TEXT('Profit &amp; Loss'!C906, "hh:mm AM/PM") &amp; " - " &amp; TEXT('Profit &amp; Loss'!D906, "hh:mm AM/PM") &amp; CHAR(10) &amp; "Venue: " &amp; 'Profit &amp; Loss'!E906 &amp; CHAR(10) &amp; "Level: HB - LI" &amp; CHAR(10) &amp; "Cost: $" &amp; 'Profit &amp; Loss'!O906 &amp; " per pax" &amp; CHAR(10) &amp; "Max " &amp; 'Profit &amp; Loss'!I906*6 &amp; " pax," &amp; " (" &amp; 'Profit &amp; Loss'!I906 &amp; " courts)" &amp; CHAR(10) &amp; CHAR(10) &amp; "RSL Ultimate shuttles provided" &amp; CHAR(10) &amp; CHAR(10) &amp; "PM if interested, thank you!"," ")</f>
        <v xml:space="preserve"> </v>
      </c>
      <c r="B903" s="2" t="str">
        <f ca="1">IF('Profit &amp; Loss'!A906&gt;=TODAY(), "Date: " &amp; TEXT('Profit &amp; Loss'!A906,"dd mmm yyy") &amp; ", " &amp; 'Profit &amp; Loss'!B906 &amp; CHAR(10) &amp; "Time: " &amp; TEXT('Profit &amp; Loss'!C906, "hh:mm AM/PM") &amp; " - " &amp; TEXT('Profit &amp; Loss'!D906, "hh:mm AM/PM") &amp; CHAR(10) &amp; "Venue: " &amp; 'Profit &amp; Loss'!E906 &amp; CHAR(10) &amp; "Court No.: " &amp; 'Profit &amp; Loss'!F906 &amp; CHAR(10) &amp; "Level: HB - LI" &amp; CHAR(10) &amp; "Please transfer $" &amp; 'Profit &amp; Loss'!O906 &amp; " per pax to Belle (83396501)" &amp; CHAR(10) &amp; CHAR(10) &amp; IF('Profit &amp; Loss'!I906=1, "1." &amp; CHAR(10) &amp; "2." &amp; CHAR(10) &amp; "3." &amp; CHAR(10) &amp; "4." &amp; CHAR(10) &amp; "5." &amp; CHAR(10) &amp; "6." &amp; CHAR(10), IF('Profit &amp; Loss'!I906=2,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4" spans="1:2" ht="12.5" x14ac:dyDescent="0.25">
      <c r="A904" s="2" t="str">
        <f ca="1">IF('Profit &amp; Loss'!A907&gt;=TODAY(),"Looking for friendly players to join the following game: " &amp; CHAR(10) &amp; CHAR(10) &amp; "Date: " &amp; TEXT('Profit &amp; Loss'!A907,"dd mmm yyy") &amp; ", " &amp; 'Profit &amp; Loss'!B907 &amp; CHAR(10) &amp; "Time: " &amp; TEXT('Profit &amp; Loss'!C907, "hh:mm AM/PM") &amp; " - " &amp; TEXT('Profit &amp; Loss'!D907, "hh:mm AM/PM") &amp; CHAR(10) &amp; "Venue: " &amp; 'Profit &amp; Loss'!E907 &amp; CHAR(10) &amp; "Level: HB - LI" &amp; CHAR(10) &amp; "Cost: $" &amp; 'Profit &amp; Loss'!O907 &amp; " per pax" &amp; CHAR(10) &amp; "Max " &amp; 'Profit &amp; Loss'!I907*6 &amp; " pax," &amp; " (" &amp; 'Profit &amp; Loss'!I907 &amp; " courts)" &amp; CHAR(10) &amp; CHAR(10) &amp; "RSL Ultimate shuttles provided" &amp; CHAR(10) &amp; CHAR(10) &amp; "PM if interested, thank you!"," ")</f>
        <v xml:space="preserve"> </v>
      </c>
      <c r="B904" s="2" t="str">
        <f ca="1">IF('Profit &amp; Loss'!A907&gt;=TODAY(), "Date: " &amp; TEXT('Profit &amp; Loss'!A907,"dd mmm yyy") &amp; ", " &amp; 'Profit &amp; Loss'!B907 &amp; CHAR(10) &amp; "Time: " &amp; TEXT('Profit &amp; Loss'!C907, "hh:mm AM/PM") &amp; " - " &amp; TEXT('Profit &amp; Loss'!D907, "hh:mm AM/PM") &amp; CHAR(10) &amp; "Venue: " &amp; 'Profit &amp; Loss'!E907 &amp; CHAR(10) &amp; "Court No.: " &amp; 'Profit &amp; Loss'!F907 &amp; CHAR(10) &amp; "Level: HB - LI" &amp; CHAR(10) &amp; "Please transfer $" &amp; 'Profit &amp; Loss'!O907 &amp; " per pax to Belle (83396501)" &amp; CHAR(10) &amp; CHAR(10) &amp; IF('Profit &amp; Loss'!I907=1, "1." &amp; CHAR(10) &amp; "2." &amp; CHAR(10) &amp; "3." &amp; CHAR(10) &amp; "4." &amp; CHAR(10) &amp; "5." &amp; CHAR(10) &amp; "6." &amp; CHAR(10), IF('Profit &amp; Loss'!I907=2,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5" spans="1:2" ht="12.5" x14ac:dyDescent="0.25">
      <c r="A905" s="2" t="str">
        <f ca="1">IF('Profit &amp; Loss'!A908&gt;=TODAY(),"Looking for friendly players to join the following game: " &amp; CHAR(10) &amp; CHAR(10) &amp; "Date: " &amp; TEXT('Profit &amp; Loss'!A908,"dd mmm yyy") &amp; ", " &amp; 'Profit &amp; Loss'!B908 &amp; CHAR(10) &amp; "Time: " &amp; TEXT('Profit &amp; Loss'!C908, "hh:mm AM/PM") &amp; " - " &amp; TEXT('Profit &amp; Loss'!D908, "hh:mm AM/PM") &amp; CHAR(10) &amp; "Venue: " &amp; 'Profit &amp; Loss'!E908 &amp; CHAR(10) &amp; "Level: HB - LI" &amp; CHAR(10) &amp; "Cost: $" &amp; 'Profit &amp; Loss'!O908 &amp; " per pax" &amp; CHAR(10) &amp; "Max " &amp; 'Profit &amp; Loss'!I908*6 &amp; " pax," &amp; " (" &amp; 'Profit &amp; Loss'!I908 &amp; " courts)" &amp; CHAR(10) &amp; CHAR(10) &amp; "RSL Ultimate shuttles provided" &amp; CHAR(10) &amp; CHAR(10) &amp; "PM if interested, thank you!"," ")</f>
        <v xml:space="preserve"> </v>
      </c>
      <c r="B905" s="2" t="str">
        <f ca="1">IF('Profit &amp; Loss'!A908&gt;=TODAY(), "Date: " &amp; TEXT('Profit &amp; Loss'!A908,"dd mmm yyy") &amp; ", " &amp; 'Profit &amp; Loss'!B908 &amp; CHAR(10) &amp; "Time: " &amp; TEXT('Profit &amp; Loss'!C908, "hh:mm AM/PM") &amp; " - " &amp; TEXT('Profit &amp; Loss'!D908, "hh:mm AM/PM") &amp; CHAR(10) &amp; "Venue: " &amp; 'Profit &amp; Loss'!E908 &amp; CHAR(10) &amp; "Court No.: " &amp; 'Profit &amp; Loss'!F908 &amp; CHAR(10) &amp; "Level: HB - LI" &amp; CHAR(10) &amp; "Please transfer $" &amp; 'Profit &amp; Loss'!O908 &amp; " per pax to Belle (83396501)" &amp; CHAR(10) &amp; CHAR(10) &amp; IF('Profit &amp; Loss'!I908=1, "1." &amp; CHAR(10) &amp; "2." &amp; CHAR(10) &amp; "3." &amp; CHAR(10) &amp; "4." &amp; CHAR(10) &amp; "5." &amp; CHAR(10) &amp; "6." &amp; CHAR(10), IF('Profit &amp; Loss'!I908=2,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6" spans="1:2" ht="12.5" x14ac:dyDescent="0.25">
      <c r="A906" s="2" t="str">
        <f ca="1">IF('Profit &amp; Loss'!A909&gt;=TODAY(),"Looking for friendly players to join the following game: " &amp; CHAR(10) &amp; CHAR(10) &amp; "Date: " &amp; TEXT('Profit &amp; Loss'!A909,"dd mmm yyy") &amp; ", " &amp; 'Profit &amp; Loss'!B909 &amp; CHAR(10) &amp; "Time: " &amp; TEXT('Profit &amp; Loss'!C909, "hh:mm AM/PM") &amp; " - " &amp; TEXT('Profit &amp; Loss'!D909, "hh:mm AM/PM") &amp; CHAR(10) &amp; "Venue: " &amp; 'Profit &amp; Loss'!E909 &amp; CHAR(10) &amp; "Level: HB - LI" &amp; CHAR(10) &amp; "Cost: $" &amp; 'Profit &amp; Loss'!O909 &amp; " per pax" &amp; CHAR(10) &amp; "Max " &amp; 'Profit &amp; Loss'!I909*6 &amp; " pax," &amp; " (" &amp; 'Profit &amp; Loss'!I909 &amp; " courts)" &amp; CHAR(10) &amp; CHAR(10) &amp; "RSL Ultimate shuttles provided" &amp; CHAR(10) &amp; CHAR(10) &amp; "PM if interested, thank you!"," ")</f>
        <v xml:space="preserve"> </v>
      </c>
      <c r="B906" s="2" t="str">
        <f ca="1">IF('Profit &amp; Loss'!A909&gt;=TODAY(), "Date: " &amp; TEXT('Profit &amp; Loss'!A909,"dd mmm yyy") &amp; ", " &amp; 'Profit &amp; Loss'!B909 &amp; CHAR(10) &amp; "Time: " &amp; TEXT('Profit &amp; Loss'!C909, "hh:mm AM/PM") &amp; " - " &amp; TEXT('Profit &amp; Loss'!D909, "hh:mm AM/PM") &amp; CHAR(10) &amp; "Venue: " &amp; 'Profit &amp; Loss'!E909 &amp; CHAR(10) &amp; "Court No.: " &amp; 'Profit &amp; Loss'!F909 &amp; CHAR(10) &amp; "Level: HB - LI" &amp; CHAR(10) &amp; "Please transfer $" &amp; 'Profit &amp; Loss'!O909 &amp; " per pax to Belle (83396501)" &amp; CHAR(10) &amp; CHAR(10) &amp; IF('Profit &amp; Loss'!I909=1, "1." &amp; CHAR(10) &amp; "2." &amp; CHAR(10) &amp; "3." &amp; CHAR(10) &amp; "4." &amp; CHAR(10) &amp; "5." &amp; CHAR(10) &amp; "6." &amp; CHAR(10), IF('Profit &amp; Loss'!I909=2,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Loss'!I909=3,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7" spans="1:2" ht="12.5" x14ac:dyDescent="0.25">
      <c r="A907" s="2" t="str">
        <f ca="1">IF('Profit &amp; Loss'!A910&gt;=TODAY(),"Looking for friendly players to join the following game: " &amp; CHAR(10) &amp; CHAR(10) &amp; "Date: " &amp; TEXT('Profit &amp; Loss'!A910,"dd mmm yyy") &amp; ", " &amp; 'Profit &amp; Loss'!B910 &amp; CHAR(10) &amp; "Time: " &amp; TEXT('Profit &amp; Loss'!C910, "hh:mm AM/PM") &amp; " - " &amp; TEXT('Profit &amp; Loss'!D910, "hh:mm AM/PM") &amp; CHAR(10) &amp; "Venue: " &amp; 'Profit &amp; Loss'!E910 &amp; CHAR(10) &amp; "Level: HB - LI" &amp; CHAR(10) &amp; "Cost: $" &amp; 'Profit &amp; Loss'!O910 &amp; " per pax" &amp; CHAR(10) &amp; "Max " &amp; 'Profit &amp; Loss'!I910*6 &amp; " pax," &amp; " (" &amp; 'Profit &amp; Loss'!I910 &amp; " courts)" &amp; CHAR(10) &amp; CHAR(10) &amp; "RSL Ultimate shuttles provided" &amp; CHAR(10) &amp; CHAR(10) &amp; "PM if interested, thank you!"," ")</f>
        <v xml:space="preserve"> </v>
      </c>
      <c r="B907" s="2" t="str">
        <f ca="1">IF('Profit &amp; Loss'!A910&gt;=TODAY(), "Date: " &amp; TEXT('Profit &amp; Loss'!A910,"dd mmm yyy") &amp; ", " &amp; 'Profit &amp; Loss'!B910 &amp; CHAR(10) &amp; "Time: " &amp; TEXT('Profit &amp; Loss'!C910, "hh:mm AM/PM") &amp; " - " &amp; TEXT('Profit &amp; Loss'!D910, "hh:mm AM/PM") &amp; CHAR(10) &amp; "Venue: " &amp; 'Profit &amp; Loss'!E910 &amp; CHAR(10) &amp; "Court No.: " &amp; 'Profit &amp; Loss'!F910 &amp; CHAR(10) &amp; "Level: HB - LI" &amp; CHAR(10) &amp; "Please transfer $" &amp; 'Profit &amp; Loss'!O910 &amp; " per pax to Belle (83396501)" &amp; CHAR(10) &amp; CHAR(10) &amp; IF('Profit &amp; Loss'!I910=1, "1." &amp; CHAR(10) &amp; "2." &amp; CHAR(10) &amp; "3." &amp; CHAR(10) &amp; "4." &amp; CHAR(10) &amp; "5." &amp; CHAR(10) &amp; "6." &amp; CHAR(10), IF('Profit &amp; Loss'!I910=2,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8" spans="1:2" ht="12.5" x14ac:dyDescent="0.25">
      <c r="A908" s="2" t="str">
        <f ca="1">IF('Profit &amp; Loss'!A911&gt;=TODAY(),"Looking for friendly players to join the following game: " &amp; CHAR(10) &amp; CHAR(10) &amp; "Date: " &amp; TEXT('Profit &amp; Loss'!A911,"dd mmm yyy") &amp; ", " &amp; 'Profit &amp; Loss'!B911 &amp; CHAR(10) &amp; "Time: " &amp; TEXT('Profit &amp; Loss'!C911, "hh:mm AM/PM") &amp; " - " &amp; TEXT('Profit &amp; Loss'!D911, "hh:mm AM/PM") &amp; CHAR(10) &amp; "Venue: " &amp; 'Profit &amp; Loss'!E911 &amp; CHAR(10) &amp; "Level: HB - LI" &amp; CHAR(10) &amp; "Cost: $" &amp; 'Profit &amp; Loss'!O911 &amp; " per pax" &amp; CHAR(10) &amp; "Max " &amp; 'Profit &amp; Loss'!I911*6 &amp; " pax," &amp; " (" &amp; 'Profit &amp; Loss'!I911 &amp; " courts)" &amp; CHAR(10) &amp; CHAR(10) &amp; "RSL Ultimate shuttles provided" &amp; CHAR(10) &amp; CHAR(10) &amp; "PM if interested, thank you!"," ")</f>
        <v xml:space="preserve"> </v>
      </c>
      <c r="B908" s="2" t="str">
        <f ca="1">IF('Profit &amp; Loss'!A911&gt;=TODAY(), "Date: " &amp; TEXT('Profit &amp; Loss'!A911,"dd mmm yyy") &amp; ", " &amp; 'Profit &amp; Loss'!B911 &amp; CHAR(10) &amp; "Time: " &amp; TEXT('Profit &amp; Loss'!C911, "hh:mm AM/PM") &amp; " - " &amp; TEXT('Profit &amp; Loss'!D911, "hh:mm AM/PM") &amp; CHAR(10) &amp; "Venue: " &amp; 'Profit &amp; Loss'!E911 &amp; CHAR(10) &amp; "Court No.: " &amp; 'Profit &amp; Loss'!F911 &amp; CHAR(10) &amp; "Level: HB - LI" &amp; CHAR(10) &amp; "Please transfer $" &amp; 'Profit &amp; Loss'!O911 &amp; " per pax to Belle (83396501)" &amp; CHAR(10) &amp; CHAR(10) &amp; IF('Profit &amp; Loss'!I911=1, "1." &amp; CHAR(10) &amp; "2." &amp; CHAR(10) &amp; "3." &amp; CHAR(10) &amp; "4." &amp; CHAR(10) &amp; "5." &amp; CHAR(10) &amp; "6." &amp; CHAR(10), IF('Profit &amp; Loss'!I911=2,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09" spans="1:2" ht="12.5" x14ac:dyDescent="0.25">
      <c r="A909" s="2" t="str">
        <f ca="1">IF('Profit &amp; Loss'!A912&gt;=TODAY(),"Looking for friendly players to join the following game: " &amp; CHAR(10) &amp; CHAR(10) &amp; "Date: " &amp; TEXT('Profit &amp; Loss'!A912,"dd mmm yyy") &amp; ", " &amp; 'Profit &amp; Loss'!B912 &amp; CHAR(10) &amp; "Time: " &amp; TEXT('Profit &amp; Loss'!C912, "hh:mm AM/PM") &amp; " - " &amp; TEXT('Profit &amp; Loss'!D912, "hh:mm AM/PM") &amp; CHAR(10) &amp; "Venue: " &amp; 'Profit &amp; Loss'!E912 &amp; CHAR(10) &amp; "Level: HB - LI" &amp; CHAR(10) &amp; "Cost: $" &amp; 'Profit &amp; Loss'!O912 &amp; " per pax" &amp; CHAR(10) &amp; "Max " &amp; 'Profit &amp; Loss'!I912*6 &amp; " pax," &amp; " (" &amp; 'Profit &amp; Loss'!I912 &amp; " courts)" &amp; CHAR(10) &amp; CHAR(10) &amp; "RSL Ultimate shuttles provided" &amp; CHAR(10) &amp; CHAR(10) &amp; "PM if interested, thank you!"," ")</f>
        <v xml:space="preserve"> </v>
      </c>
      <c r="B909" s="2" t="str">
        <f ca="1">IF('Profit &amp; Loss'!A912&gt;=TODAY(), "Date: " &amp; TEXT('Profit &amp; Loss'!A912,"dd mmm yyy") &amp; ", " &amp; 'Profit &amp; Loss'!B912 &amp; CHAR(10) &amp; "Time: " &amp; TEXT('Profit &amp; Loss'!C912, "hh:mm AM/PM") &amp; " - " &amp; TEXT('Profit &amp; Loss'!D912, "hh:mm AM/PM") &amp; CHAR(10) &amp; "Venue: " &amp; 'Profit &amp; Loss'!E912 &amp; CHAR(10) &amp; "Court No.: " &amp; 'Profit &amp; Loss'!F912 &amp; CHAR(10) &amp; "Level: HB - LI" &amp; CHAR(10) &amp; "Please transfer $" &amp; 'Profit &amp; Loss'!O912 &amp; " per pax to Belle (83396501)" &amp; CHAR(10) &amp; CHAR(10) &amp; IF('Profit &amp; Loss'!I912=1, "1." &amp; CHAR(10) &amp; "2." &amp; CHAR(10) &amp; "3." &amp; CHAR(10) &amp; "4." &amp; CHAR(10) &amp; "5." &amp; CHAR(10) &amp; "6." &amp; CHAR(10), IF('Profit &amp; Loss'!I912=2,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0" spans="1:2" ht="12.5" x14ac:dyDescent="0.25">
      <c r="A910" s="2" t="str">
        <f ca="1">IF('Profit &amp; Loss'!A913&gt;=TODAY(),"Looking for friendly players to join the following game: " &amp; CHAR(10) &amp; CHAR(10) &amp; "Date: " &amp; TEXT('Profit &amp; Loss'!A913,"dd mmm yyy") &amp; ", " &amp; 'Profit &amp; Loss'!B913 &amp; CHAR(10) &amp; "Time: " &amp; TEXT('Profit &amp; Loss'!C913, "hh:mm AM/PM") &amp; " - " &amp; TEXT('Profit &amp; Loss'!D913, "hh:mm AM/PM") &amp; CHAR(10) &amp; "Venue: " &amp; 'Profit &amp; Loss'!E913 &amp; CHAR(10) &amp; "Level: HB - LI" &amp; CHAR(10) &amp; "Cost: $" &amp; 'Profit &amp; Loss'!O913 &amp; " per pax" &amp; CHAR(10) &amp; "Max " &amp; 'Profit &amp; Loss'!I913*6 &amp; " pax," &amp; " (" &amp; 'Profit &amp; Loss'!I913 &amp; " courts)" &amp; CHAR(10) &amp; CHAR(10) &amp; "RSL Ultimate shuttles provided" &amp; CHAR(10) &amp; CHAR(10) &amp; "PM if interested, thank you!"," ")</f>
        <v xml:space="preserve"> </v>
      </c>
      <c r="B910" s="2" t="str">
        <f ca="1">IF('Profit &amp; Loss'!A913&gt;=TODAY(), "Date: " &amp; TEXT('Profit &amp; Loss'!A913,"dd mmm yyy") &amp; ", " &amp; 'Profit &amp; Loss'!B913 &amp; CHAR(10) &amp; "Time: " &amp; TEXT('Profit &amp; Loss'!C913, "hh:mm AM/PM") &amp; " - " &amp; TEXT('Profit &amp; Loss'!D913, "hh:mm AM/PM") &amp; CHAR(10) &amp; "Venue: " &amp; 'Profit &amp; Loss'!E913 &amp; CHAR(10) &amp; "Court No.: " &amp; 'Profit &amp; Loss'!F913 &amp; CHAR(10) &amp; "Level: HB - LI" &amp; CHAR(10) &amp; "Please transfer $" &amp; 'Profit &amp; Loss'!O913 &amp; " per pax to Belle (83396501)" &amp; CHAR(10) &amp; CHAR(10) &amp; IF('Profit &amp; Loss'!I913=1, "1." &amp; CHAR(10) &amp; "2." &amp; CHAR(10) &amp; "3." &amp; CHAR(10) &amp; "4." &amp; CHAR(10) &amp; "5." &amp; CHAR(10) &amp; "6." &amp; CHAR(10), IF('Profit &amp; Loss'!I913=2,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1" spans="1:2" ht="12.5" x14ac:dyDescent="0.25">
      <c r="A911" s="2" t="str">
        <f ca="1">IF('Profit &amp; Loss'!A914&gt;=TODAY(),"Looking for friendly players to join the following game: " &amp; CHAR(10) &amp; CHAR(10) &amp; "Date: " &amp; TEXT('Profit &amp; Loss'!A914,"dd mmm yyy") &amp; ", " &amp; 'Profit &amp; Loss'!B914 &amp; CHAR(10) &amp; "Time: " &amp; TEXT('Profit &amp; Loss'!C914, "hh:mm AM/PM") &amp; " - " &amp; TEXT('Profit &amp; Loss'!D914, "hh:mm AM/PM") &amp; CHAR(10) &amp; "Venue: " &amp; 'Profit &amp; Loss'!E914 &amp; CHAR(10) &amp; "Level: HB - LI" &amp; CHAR(10) &amp; "Cost: $" &amp; 'Profit &amp; Loss'!O914 &amp; " per pax" &amp; CHAR(10) &amp; "Max " &amp; 'Profit &amp; Loss'!I914*6 &amp; " pax," &amp; " (" &amp; 'Profit &amp; Loss'!I914 &amp; " courts)" &amp; CHAR(10) &amp; CHAR(10) &amp; "RSL Ultimate shuttles provided" &amp; CHAR(10) &amp; CHAR(10) &amp; "PM if interested, thank you!"," ")</f>
        <v xml:space="preserve"> </v>
      </c>
      <c r="B911" s="2" t="str">
        <f ca="1">IF('Profit &amp; Loss'!A914&gt;=TODAY(), "Date: " &amp; TEXT('Profit &amp; Loss'!A914,"dd mmm yyy") &amp; ", " &amp; 'Profit &amp; Loss'!B914 &amp; CHAR(10) &amp; "Time: " &amp; TEXT('Profit &amp; Loss'!C914, "hh:mm AM/PM") &amp; " - " &amp; TEXT('Profit &amp; Loss'!D914, "hh:mm AM/PM") &amp; CHAR(10) &amp; "Venue: " &amp; 'Profit &amp; Loss'!E914 &amp; CHAR(10) &amp; "Court No.: " &amp; 'Profit &amp; Loss'!F914 &amp; CHAR(10) &amp; "Level: HB - LI" &amp; CHAR(10) &amp; "Please transfer $" &amp; 'Profit &amp; Loss'!O914 &amp; " per pax to Belle (83396501)" &amp; CHAR(10) &amp; CHAR(10) &amp; IF('Profit &amp; Loss'!I914=1, "1." &amp; CHAR(10) &amp; "2." &amp; CHAR(10) &amp; "3." &amp; CHAR(10) &amp; "4." &amp; CHAR(10) &amp; "5." &amp; CHAR(10) &amp; "6." &amp; CHAR(10), IF('Profit &amp; Loss'!I914=2,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2" spans="1:2" ht="12.5" x14ac:dyDescent="0.25">
      <c r="A912" s="2" t="str">
        <f ca="1">IF('Profit &amp; Loss'!A915&gt;=TODAY(),"Looking for friendly players to join the following game: " &amp; CHAR(10) &amp; CHAR(10) &amp; "Date: " &amp; TEXT('Profit &amp; Loss'!A915,"dd mmm yyy") &amp; ", " &amp; 'Profit &amp; Loss'!B915 &amp; CHAR(10) &amp; "Time: " &amp; TEXT('Profit &amp; Loss'!C915, "hh:mm AM/PM") &amp; " - " &amp; TEXT('Profit &amp; Loss'!D915, "hh:mm AM/PM") &amp; CHAR(10) &amp; "Venue: " &amp; 'Profit &amp; Loss'!E915 &amp; CHAR(10) &amp; "Level: HB - LI" &amp; CHAR(10) &amp; "Cost: $" &amp; 'Profit &amp; Loss'!O915 &amp; " per pax" &amp; CHAR(10) &amp; "Max " &amp; 'Profit &amp; Loss'!I915*6 &amp; " pax," &amp; " (" &amp; 'Profit &amp; Loss'!I915 &amp; " courts)" &amp; CHAR(10) &amp; CHAR(10) &amp; "RSL Ultimate shuttles provided" &amp; CHAR(10) &amp; CHAR(10) &amp; "PM if interested, thank you!"," ")</f>
        <v xml:space="preserve"> </v>
      </c>
      <c r="B912" s="2" t="str">
        <f ca="1">IF('Profit &amp; Loss'!A915&gt;=TODAY(), "Date: " &amp; TEXT('Profit &amp; Loss'!A915,"dd mmm yyy") &amp; ", " &amp; 'Profit &amp; Loss'!B915 &amp; CHAR(10) &amp; "Time: " &amp; TEXT('Profit &amp; Loss'!C915, "hh:mm AM/PM") &amp; " - " &amp; TEXT('Profit &amp; Loss'!D915, "hh:mm AM/PM") &amp; CHAR(10) &amp; "Venue: " &amp; 'Profit &amp; Loss'!E915 &amp; CHAR(10) &amp; "Court No.: " &amp; 'Profit &amp; Loss'!F915 &amp; CHAR(10) &amp; "Level: HB - LI" &amp; CHAR(10) &amp; "Please transfer $" &amp; 'Profit &amp; Loss'!O915 &amp; " per pax to Belle (83396501)" &amp; CHAR(10) &amp; CHAR(10) &amp; IF('Profit &amp; Loss'!I915=1, "1." &amp; CHAR(10) &amp; "2." &amp; CHAR(10) &amp; "3." &amp; CHAR(10) &amp; "4." &amp; CHAR(10) &amp; "5." &amp; CHAR(10) &amp; "6." &amp; CHAR(10), IF('Profit &amp; Loss'!I915=2,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3" spans="1:2" ht="12.5" x14ac:dyDescent="0.25">
      <c r="A913" s="2" t="str">
        <f ca="1">IF('Profit &amp; Loss'!A916&gt;=TODAY(),"Looking for friendly players to join the following game: " &amp; CHAR(10) &amp; CHAR(10) &amp; "Date: " &amp; TEXT('Profit &amp; Loss'!A916,"dd mmm yyy") &amp; ", " &amp; 'Profit &amp; Loss'!B916 &amp; CHAR(10) &amp; "Time: " &amp; TEXT('Profit &amp; Loss'!C916, "hh:mm AM/PM") &amp; " - " &amp; TEXT('Profit &amp; Loss'!D916, "hh:mm AM/PM") &amp; CHAR(10) &amp; "Venue: " &amp; 'Profit &amp; Loss'!E916 &amp; CHAR(10) &amp; "Level: HB - LI" &amp; CHAR(10) &amp; "Cost: $" &amp; 'Profit &amp; Loss'!O916 &amp; " per pax" &amp; CHAR(10) &amp; "Max " &amp; 'Profit &amp; Loss'!I916*6 &amp; " pax," &amp; " (" &amp; 'Profit &amp; Loss'!I916 &amp; " courts)" &amp; CHAR(10) &amp; CHAR(10) &amp; "RSL Ultimate shuttles provided" &amp; CHAR(10) &amp; CHAR(10) &amp; "PM if interested, thank you!"," ")</f>
        <v xml:space="preserve"> </v>
      </c>
      <c r="B913" s="2" t="str">
        <f ca="1">IF('Profit &amp; Loss'!A916&gt;=TODAY(), "Date: " &amp; TEXT('Profit &amp; Loss'!A916,"dd mmm yyy") &amp; ", " &amp; 'Profit &amp; Loss'!B916 &amp; CHAR(10) &amp; "Time: " &amp; TEXT('Profit &amp; Loss'!C916, "hh:mm AM/PM") &amp; " - " &amp; TEXT('Profit &amp; Loss'!D916, "hh:mm AM/PM") &amp; CHAR(10) &amp; "Venue: " &amp; 'Profit &amp; Loss'!E916 &amp; CHAR(10) &amp; "Court No.: " &amp; 'Profit &amp; Loss'!F916 &amp; CHAR(10) &amp; "Level: HB - LI" &amp; CHAR(10) &amp; "Please transfer $" &amp; 'Profit &amp; Loss'!O916 &amp; " per pax to Belle (83396501)" &amp; CHAR(10) &amp; CHAR(10) &amp; IF('Profit &amp; Loss'!I916=1, "1." &amp; CHAR(10) &amp; "2." &amp; CHAR(10) &amp; "3." &amp; CHAR(10) &amp; "4." &amp; CHAR(10) &amp; "5." &amp; CHAR(10) &amp; "6." &amp; CHAR(10), IF('Profit &amp; Loss'!I916=2,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4" spans="1:2" ht="12.5" x14ac:dyDescent="0.25">
      <c r="A914" s="2" t="str">
        <f ca="1">IF('Profit &amp; Loss'!A917&gt;=TODAY(),"Looking for friendly players to join the following game: " &amp; CHAR(10) &amp; CHAR(10) &amp; "Date: " &amp; TEXT('Profit &amp; Loss'!A917,"dd mmm yyy") &amp; ", " &amp; 'Profit &amp; Loss'!B917 &amp; CHAR(10) &amp; "Time: " &amp; TEXT('Profit &amp; Loss'!C917, "hh:mm AM/PM") &amp; " - " &amp; TEXT('Profit &amp; Loss'!D917, "hh:mm AM/PM") &amp; CHAR(10) &amp; "Venue: " &amp; 'Profit &amp; Loss'!E917 &amp; CHAR(10) &amp; "Level: HB - LI" &amp; CHAR(10) &amp; "Cost: $" &amp; 'Profit &amp; Loss'!O917 &amp; " per pax" &amp; CHAR(10) &amp; "Max " &amp; 'Profit &amp; Loss'!I917*6 &amp; " pax," &amp; " (" &amp; 'Profit &amp; Loss'!I917 &amp; " courts)" &amp; CHAR(10) &amp; CHAR(10) &amp; "RSL Ultimate shuttles provided" &amp; CHAR(10) &amp; CHAR(10) &amp; "PM if interested, thank you!"," ")</f>
        <v xml:space="preserve"> </v>
      </c>
      <c r="B914" s="2" t="str">
        <f ca="1">IF('Profit &amp; Loss'!A917&gt;=TODAY(), "Date: " &amp; TEXT('Profit &amp; Loss'!A917,"dd mmm yyy") &amp; ", " &amp; 'Profit &amp; Loss'!B917 &amp; CHAR(10) &amp; "Time: " &amp; TEXT('Profit &amp; Loss'!C917, "hh:mm AM/PM") &amp; " - " &amp; TEXT('Profit &amp; Loss'!D917, "hh:mm AM/PM") &amp; CHAR(10) &amp; "Venue: " &amp; 'Profit &amp; Loss'!E917 &amp; CHAR(10) &amp; "Court No.: " &amp; 'Profit &amp; Loss'!F917 &amp; CHAR(10) &amp; "Level: HB - LI" &amp; CHAR(10) &amp; "Please transfer $" &amp; 'Profit &amp; Loss'!O917 &amp; " per pax to Belle (83396501)" &amp; CHAR(10) &amp; CHAR(10) &amp; IF('Profit &amp; Loss'!I917=1, "1." &amp; CHAR(10) &amp; "2." &amp; CHAR(10) &amp; "3." &amp; CHAR(10) &amp; "4." &amp; CHAR(10) &amp; "5." &amp; CHAR(10) &amp; "6." &amp; CHAR(10), IF('Profit &amp; Loss'!I917=2,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5" spans="1:2" ht="12.5" x14ac:dyDescent="0.25">
      <c r="A915" s="2" t="str">
        <f ca="1">IF('Profit &amp; Loss'!A918&gt;=TODAY(),"Looking for friendly players to join the following game: " &amp; CHAR(10) &amp; CHAR(10) &amp; "Date: " &amp; TEXT('Profit &amp; Loss'!A918,"dd mmm yyy") &amp; ", " &amp; 'Profit &amp; Loss'!B918 &amp; CHAR(10) &amp; "Time: " &amp; TEXT('Profit &amp; Loss'!C918, "hh:mm AM/PM") &amp; " - " &amp; TEXT('Profit &amp; Loss'!D918, "hh:mm AM/PM") &amp; CHAR(10) &amp; "Venue: " &amp; 'Profit &amp; Loss'!E918 &amp; CHAR(10) &amp; "Level: HB - LI" &amp; CHAR(10) &amp; "Cost: $" &amp; 'Profit &amp; Loss'!O918 &amp; " per pax" &amp; CHAR(10) &amp; "Max " &amp; 'Profit &amp; Loss'!I918*6 &amp; " pax," &amp; " (" &amp; 'Profit &amp; Loss'!I918 &amp; " courts)" &amp; CHAR(10) &amp; CHAR(10) &amp; "RSL Ultimate shuttles provided" &amp; CHAR(10) &amp; CHAR(10) &amp; "PM if interested, thank you!"," ")</f>
        <v xml:space="preserve"> </v>
      </c>
      <c r="B915" s="2" t="str">
        <f ca="1">IF('Profit &amp; Loss'!A918&gt;=TODAY(), "Date: " &amp; TEXT('Profit &amp; Loss'!A918,"dd mmm yyy") &amp; ", " &amp; 'Profit &amp; Loss'!B918 &amp; CHAR(10) &amp; "Time: " &amp; TEXT('Profit &amp; Loss'!C918, "hh:mm AM/PM") &amp; " - " &amp; TEXT('Profit &amp; Loss'!D918, "hh:mm AM/PM") &amp; CHAR(10) &amp; "Venue: " &amp; 'Profit &amp; Loss'!E918 &amp; CHAR(10) &amp; "Court No.: " &amp; 'Profit &amp; Loss'!F918 &amp; CHAR(10) &amp; "Level: HB - LI" &amp; CHAR(10) &amp; "Please transfer $" &amp; 'Profit &amp; Loss'!O918 &amp; " per pax to Belle (83396501)" &amp; CHAR(10) &amp; CHAR(10) &amp; IF('Profit &amp; Loss'!I918=1, "1." &amp; CHAR(10) &amp; "2." &amp; CHAR(10) &amp; "3." &amp; CHAR(10) &amp; "4." &amp; CHAR(10) &amp; "5." &amp; CHAR(10) &amp; "6." &amp; CHAR(10), IF('Profit &amp; Loss'!I918=2,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6" spans="1:2" ht="12.5" x14ac:dyDescent="0.25">
      <c r="A916" s="2" t="str">
        <f ca="1">IF('Profit &amp; Loss'!A919&gt;=TODAY(),"Looking for friendly players to join the following game: " &amp; CHAR(10) &amp; CHAR(10) &amp; "Date: " &amp; TEXT('Profit &amp; Loss'!A919,"dd mmm yyy") &amp; ", " &amp; 'Profit &amp; Loss'!B919 &amp; CHAR(10) &amp; "Time: " &amp; TEXT('Profit &amp; Loss'!C919, "hh:mm AM/PM") &amp; " - " &amp; TEXT('Profit &amp; Loss'!D919, "hh:mm AM/PM") &amp; CHAR(10) &amp; "Venue: " &amp; 'Profit &amp; Loss'!E919 &amp; CHAR(10) &amp; "Level: HB - LI" &amp; CHAR(10) &amp; "Cost: $" &amp; 'Profit &amp; Loss'!O919 &amp; " per pax" &amp; CHAR(10) &amp; "Max " &amp; 'Profit &amp; Loss'!I919*6 &amp; " pax," &amp; " (" &amp; 'Profit &amp; Loss'!I919 &amp; " courts)" &amp; CHAR(10) &amp; CHAR(10) &amp; "RSL Ultimate shuttles provided" &amp; CHAR(10) &amp; CHAR(10) &amp; "PM if interested, thank you!"," ")</f>
        <v xml:space="preserve"> </v>
      </c>
      <c r="B916" s="2" t="str">
        <f ca="1">IF('Profit &amp; Loss'!A919&gt;=TODAY(), "Date: " &amp; TEXT('Profit &amp; Loss'!A919,"dd mmm yyy") &amp; ", " &amp; 'Profit &amp; Loss'!B919 &amp; CHAR(10) &amp; "Time: " &amp; TEXT('Profit &amp; Loss'!C919, "hh:mm AM/PM") &amp; " - " &amp; TEXT('Profit &amp; Loss'!D919, "hh:mm AM/PM") &amp; CHAR(10) &amp; "Venue: " &amp; 'Profit &amp; Loss'!E919 &amp; CHAR(10) &amp; "Court No.: " &amp; 'Profit &amp; Loss'!F919 &amp; CHAR(10) &amp; "Level: HB - LI" &amp; CHAR(10) &amp; "Please transfer $" &amp; 'Profit &amp; Loss'!O919 &amp; " per pax to Belle (83396501)" &amp; CHAR(10) &amp; CHAR(10) &amp; IF('Profit &amp; Loss'!I919=1, "1." &amp; CHAR(10) &amp; "2." &amp; CHAR(10) &amp; "3." &amp; CHAR(10) &amp; "4." &amp; CHAR(10) &amp; "5." &amp; CHAR(10) &amp; "6." &amp; CHAR(10), IF('Profit &amp; Loss'!I919=2,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Loss'!I919=3,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7" spans="1:2" ht="12.5" x14ac:dyDescent="0.25">
      <c r="A917" s="2" t="str">
        <f ca="1">IF('Profit &amp; Loss'!A920&gt;=TODAY(),"Looking for friendly players to join the following game: " &amp; CHAR(10) &amp; CHAR(10) &amp; "Date: " &amp; TEXT('Profit &amp; Loss'!A920,"dd mmm yyy") &amp; ", " &amp; 'Profit &amp; Loss'!B920 &amp; CHAR(10) &amp; "Time: " &amp; TEXT('Profit &amp; Loss'!C920, "hh:mm AM/PM") &amp; " - " &amp; TEXT('Profit &amp; Loss'!D920, "hh:mm AM/PM") &amp; CHAR(10) &amp; "Venue: " &amp; 'Profit &amp; Loss'!E920 &amp; CHAR(10) &amp; "Level: HB - LI" &amp; CHAR(10) &amp; "Cost: $" &amp; 'Profit &amp; Loss'!O920 &amp; " per pax" &amp; CHAR(10) &amp; "Max " &amp; 'Profit &amp; Loss'!I920*6 &amp; " pax," &amp; " (" &amp; 'Profit &amp; Loss'!I920 &amp; " courts)" &amp; CHAR(10) &amp; CHAR(10) &amp; "RSL Ultimate shuttles provided" &amp; CHAR(10) &amp; CHAR(10) &amp; "PM if interested, thank you!"," ")</f>
        <v xml:space="preserve"> </v>
      </c>
      <c r="B917" s="2" t="str">
        <f ca="1">IF('Profit &amp; Loss'!A920&gt;=TODAY(), "Date: " &amp; TEXT('Profit &amp; Loss'!A920,"dd mmm yyy") &amp; ", " &amp; 'Profit &amp; Loss'!B920 &amp; CHAR(10) &amp; "Time: " &amp; TEXT('Profit &amp; Loss'!C920, "hh:mm AM/PM") &amp; " - " &amp; TEXT('Profit &amp; Loss'!D920, "hh:mm AM/PM") &amp; CHAR(10) &amp; "Venue: " &amp; 'Profit &amp; Loss'!E920 &amp; CHAR(10) &amp; "Court No.: " &amp; 'Profit &amp; Loss'!F920 &amp; CHAR(10) &amp; "Level: HB - LI" &amp; CHAR(10) &amp; "Please transfer $" &amp; 'Profit &amp; Loss'!O920 &amp; " per pax to Belle (83396501)" &amp; CHAR(10) &amp; CHAR(10) &amp; IF('Profit &amp; Loss'!I920=1, "1." &amp; CHAR(10) &amp; "2." &amp; CHAR(10) &amp; "3." &amp; CHAR(10) &amp; "4." &amp; CHAR(10) &amp; "5." &amp; CHAR(10) &amp; "6." &amp; CHAR(10), IF('Profit &amp; Loss'!I920=2,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8" spans="1:2" ht="12.5" x14ac:dyDescent="0.25">
      <c r="A918" s="2" t="str">
        <f ca="1">IF('Profit &amp; Loss'!A921&gt;=TODAY(),"Looking for friendly players to join the following game: " &amp; CHAR(10) &amp; CHAR(10) &amp; "Date: " &amp; TEXT('Profit &amp; Loss'!A921,"dd mmm yyy") &amp; ", " &amp; 'Profit &amp; Loss'!B921 &amp; CHAR(10) &amp; "Time: " &amp; TEXT('Profit &amp; Loss'!C921, "hh:mm AM/PM") &amp; " - " &amp; TEXT('Profit &amp; Loss'!D921, "hh:mm AM/PM") &amp; CHAR(10) &amp; "Venue: " &amp; 'Profit &amp; Loss'!E921 &amp; CHAR(10) &amp; "Level: HB - LI" &amp; CHAR(10) &amp; "Cost: $" &amp; 'Profit &amp; Loss'!O921 &amp; " per pax" &amp; CHAR(10) &amp; "Max " &amp; 'Profit &amp; Loss'!I921*6 &amp; " pax," &amp; " (" &amp; 'Profit &amp; Loss'!I921 &amp; " courts)" &amp; CHAR(10) &amp; CHAR(10) &amp; "RSL Ultimate shuttles provided" &amp; CHAR(10) &amp; CHAR(10) &amp; "PM if interested, thank you!"," ")</f>
        <v xml:space="preserve"> </v>
      </c>
      <c r="B918" s="2" t="str">
        <f ca="1">IF('Profit &amp; Loss'!A921&gt;=TODAY(), "Date: " &amp; TEXT('Profit &amp; Loss'!A921,"dd mmm yyy") &amp; ", " &amp; 'Profit &amp; Loss'!B921 &amp; CHAR(10) &amp; "Time: " &amp; TEXT('Profit &amp; Loss'!C921, "hh:mm AM/PM") &amp; " - " &amp; TEXT('Profit &amp; Loss'!D921, "hh:mm AM/PM") &amp; CHAR(10) &amp; "Venue: " &amp; 'Profit &amp; Loss'!E921 &amp; CHAR(10) &amp; "Court No.: " &amp; 'Profit &amp; Loss'!F921 &amp; CHAR(10) &amp; "Level: HB - LI" &amp; CHAR(10) &amp; "Please transfer $" &amp; 'Profit &amp; Loss'!O921 &amp; " per pax to Belle (83396501)" &amp; CHAR(10) &amp; CHAR(10) &amp; IF('Profit &amp; Loss'!I921=1, "1." &amp; CHAR(10) &amp; "2." &amp; CHAR(10) &amp; "3." &amp; CHAR(10) &amp; "4." &amp; CHAR(10) &amp; "5." &amp; CHAR(10) &amp; "6." &amp; CHAR(10), IF('Profit &amp; Loss'!I921=2,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19" spans="1:2" ht="12.5" x14ac:dyDescent="0.25">
      <c r="A919" s="2" t="str">
        <f ca="1">IF('Profit &amp; Loss'!A922&gt;=TODAY(),"Looking for friendly players to join the following game: " &amp; CHAR(10) &amp; CHAR(10) &amp; "Date: " &amp; TEXT('Profit &amp; Loss'!A922,"dd mmm yyy") &amp; ", " &amp; 'Profit &amp; Loss'!B922 &amp; CHAR(10) &amp; "Time: " &amp; TEXT('Profit &amp; Loss'!C922, "hh:mm AM/PM") &amp; " - " &amp; TEXT('Profit &amp; Loss'!D922, "hh:mm AM/PM") &amp; CHAR(10) &amp; "Venue: " &amp; 'Profit &amp; Loss'!E922 &amp; CHAR(10) &amp; "Level: HB - LI" &amp; CHAR(10) &amp; "Cost: $" &amp; 'Profit &amp; Loss'!O922 &amp; " per pax" &amp; CHAR(10) &amp; "Max " &amp; 'Profit &amp; Loss'!I922*6 &amp; " pax," &amp; " (" &amp; 'Profit &amp; Loss'!I922 &amp; " courts)" &amp; CHAR(10) &amp; CHAR(10) &amp; "RSL Ultimate shuttles provided" &amp; CHAR(10) &amp; CHAR(10) &amp; "PM if interested, thank you!"," ")</f>
        <v xml:space="preserve"> </v>
      </c>
      <c r="B919" s="2" t="str">
        <f ca="1">IF('Profit &amp; Loss'!A922&gt;=TODAY(), "Date: " &amp; TEXT('Profit &amp; Loss'!A922,"dd mmm yyy") &amp; ", " &amp; 'Profit &amp; Loss'!B922 &amp; CHAR(10) &amp; "Time: " &amp; TEXT('Profit &amp; Loss'!C922, "hh:mm AM/PM") &amp; " - " &amp; TEXT('Profit &amp; Loss'!D922, "hh:mm AM/PM") &amp; CHAR(10) &amp; "Venue: " &amp; 'Profit &amp; Loss'!E922 &amp; CHAR(10) &amp; "Court No.: " &amp; 'Profit &amp; Loss'!F922 &amp; CHAR(10) &amp; "Level: HB - LI" &amp; CHAR(10) &amp; "Please transfer $" &amp; 'Profit &amp; Loss'!O922 &amp; " per pax to Belle (83396501)" &amp; CHAR(10) &amp; CHAR(10) &amp; IF('Profit &amp; Loss'!I922=1, "1." &amp; CHAR(10) &amp; "2." &amp; CHAR(10) &amp; "3." &amp; CHAR(10) &amp; "4." &amp; CHAR(10) &amp; "5." &amp; CHAR(10) &amp; "6." &amp; CHAR(10), IF('Profit &amp; Loss'!I922=2,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0" spans="1:2" ht="12.5" x14ac:dyDescent="0.25">
      <c r="A920" s="2" t="str">
        <f ca="1">IF('Profit &amp; Loss'!A923&gt;=TODAY(),"Looking for friendly players to join the following game: " &amp; CHAR(10) &amp; CHAR(10) &amp; "Date: " &amp; TEXT('Profit &amp; Loss'!A923,"dd mmm yyy") &amp; ", " &amp; 'Profit &amp; Loss'!B923 &amp; CHAR(10) &amp; "Time: " &amp; TEXT('Profit &amp; Loss'!C923, "hh:mm AM/PM") &amp; " - " &amp; TEXT('Profit &amp; Loss'!D923, "hh:mm AM/PM") &amp; CHAR(10) &amp; "Venue: " &amp; 'Profit &amp; Loss'!E923 &amp; CHAR(10) &amp; "Level: HB - LI" &amp; CHAR(10) &amp; "Cost: $" &amp; 'Profit &amp; Loss'!O923 &amp; " per pax" &amp; CHAR(10) &amp; "Max " &amp; 'Profit &amp; Loss'!I923*6 &amp; " pax," &amp; " (" &amp; 'Profit &amp; Loss'!I923 &amp; " courts)" &amp; CHAR(10) &amp; CHAR(10) &amp; "RSL Ultimate shuttles provided" &amp; CHAR(10) &amp; CHAR(10) &amp; "PM if interested, thank you!"," ")</f>
        <v xml:space="preserve"> </v>
      </c>
      <c r="B920" s="2" t="str">
        <f ca="1">IF('Profit &amp; Loss'!A923&gt;=TODAY(), "Date: " &amp; TEXT('Profit &amp; Loss'!A923,"dd mmm yyy") &amp; ", " &amp; 'Profit &amp; Loss'!B923 &amp; CHAR(10) &amp; "Time: " &amp; TEXT('Profit &amp; Loss'!C923, "hh:mm AM/PM") &amp; " - " &amp; TEXT('Profit &amp; Loss'!D923, "hh:mm AM/PM") &amp; CHAR(10) &amp; "Venue: " &amp; 'Profit &amp; Loss'!E923 &amp; CHAR(10) &amp; "Court No.: " &amp; 'Profit &amp; Loss'!F923 &amp; CHAR(10) &amp; "Level: HB - LI" &amp; CHAR(10) &amp; "Please transfer $" &amp; 'Profit &amp; Loss'!O923 &amp; " per pax to Belle (83396501)" &amp; CHAR(10) &amp; CHAR(10) &amp; IF('Profit &amp; Loss'!I923=1, "1." &amp; CHAR(10) &amp; "2." &amp; CHAR(10) &amp; "3." &amp; CHAR(10) &amp; "4." &amp; CHAR(10) &amp; "5." &amp; CHAR(10) &amp; "6." &amp; CHAR(10), IF('Profit &amp; Loss'!I923=2,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1" spans="1:2" ht="12.5" x14ac:dyDescent="0.25">
      <c r="A921" s="2" t="str">
        <f ca="1">IF('Profit &amp; Loss'!A924&gt;=TODAY(),"Looking for friendly players to join the following game: " &amp; CHAR(10) &amp; CHAR(10) &amp; "Date: " &amp; TEXT('Profit &amp; Loss'!A924,"dd mmm yyy") &amp; ", " &amp; 'Profit &amp; Loss'!B924 &amp; CHAR(10) &amp; "Time: " &amp; TEXT('Profit &amp; Loss'!C924, "hh:mm AM/PM") &amp; " - " &amp; TEXT('Profit &amp; Loss'!D924, "hh:mm AM/PM") &amp; CHAR(10) &amp; "Venue: " &amp; 'Profit &amp; Loss'!E924 &amp; CHAR(10) &amp; "Level: HB - LI" &amp; CHAR(10) &amp; "Cost: $" &amp; 'Profit &amp; Loss'!O924 &amp; " per pax" &amp; CHAR(10) &amp; "Max " &amp; 'Profit &amp; Loss'!I924*6 &amp; " pax," &amp; " (" &amp; 'Profit &amp; Loss'!I924 &amp; " courts)" &amp; CHAR(10) &amp; CHAR(10) &amp; "RSL Ultimate shuttles provided" &amp; CHAR(10) &amp; CHAR(10) &amp; "PM if interested, thank you!"," ")</f>
        <v xml:space="preserve"> </v>
      </c>
      <c r="B921" s="2" t="str">
        <f ca="1">IF('Profit &amp; Loss'!A924&gt;=TODAY(), "Date: " &amp; TEXT('Profit &amp; Loss'!A924,"dd mmm yyy") &amp; ", " &amp; 'Profit &amp; Loss'!B924 &amp; CHAR(10) &amp; "Time: " &amp; TEXT('Profit &amp; Loss'!C924, "hh:mm AM/PM") &amp; " - " &amp; TEXT('Profit &amp; Loss'!D924, "hh:mm AM/PM") &amp; CHAR(10) &amp; "Venue: " &amp; 'Profit &amp; Loss'!E924 &amp; CHAR(10) &amp; "Court No.: " &amp; 'Profit &amp; Loss'!F924 &amp; CHAR(10) &amp; "Level: HB - LI" &amp; CHAR(10) &amp; "Please transfer $" &amp; 'Profit &amp; Loss'!O924 &amp; " per pax to Belle (83396501)" &amp; CHAR(10) &amp; CHAR(10) &amp; IF('Profit &amp; Loss'!I924=1, "1." &amp; CHAR(10) &amp; "2." &amp; CHAR(10) &amp; "3." &amp; CHAR(10) &amp; "4." &amp; CHAR(10) &amp; "5." &amp; CHAR(10) &amp; "6." &amp; CHAR(10), IF('Profit &amp; Loss'!I924=2,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2" spans="1:2" ht="12.5" x14ac:dyDescent="0.25">
      <c r="A922" s="2" t="str">
        <f ca="1">IF('Profit &amp; Loss'!A925&gt;=TODAY(),"Looking for friendly players to join the following game: " &amp; CHAR(10) &amp; CHAR(10) &amp; "Date: " &amp; TEXT('Profit &amp; Loss'!A925,"dd mmm yyy") &amp; ", " &amp; 'Profit &amp; Loss'!B925 &amp; CHAR(10) &amp; "Time: " &amp; TEXT('Profit &amp; Loss'!C925, "hh:mm AM/PM") &amp; " - " &amp; TEXT('Profit &amp; Loss'!D925, "hh:mm AM/PM") &amp; CHAR(10) &amp; "Venue: " &amp; 'Profit &amp; Loss'!E925 &amp; CHAR(10) &amp; "Level: HB - LI" &amp; CHAR(10) &amp; "Cost: $" &amp; 'Profit &amp; Loss'!O925 &amp; " per pax" &amp; CHAR(10) &amp; "Max " &amp; 'Profit &amp; Loss'!I925*6 &amp; " pax," &amp; " (" &amp; 'Profit &amp; Loss'!I925 &amp; " courts)" &amp; CHAR(10) &amp; CHAR(10) &amp; "RSL Ultimate shuttles provided" &amp; CHAR(10) &amp; CHAR(10) &amp; "PM if interested, thank you!"," ")</f>
        <v xml:space="preserve"> </v>
      </c>
      <c r="B922" s="2" t="str">
        <f ca="1">IF('Profit &amp; Loss'!A925&gt;=TODAY(), "Date: " &amp; TEXT('Profit &amp; Loss'!A925,"dd mmm yyy") &amp; ", " &amp; 'Profit &amp; Loss'!B925 &amp; CHAR(10) &amp; "Time: " &amp; TEXT('Profit &amp; Loss'!C925, "hh:mm AM/PM") &amp; " - " &amp; TEXT('Profit &amp; Loss'!D925, "hh:mm AM/PM") &amp; CHAR(10) &amp; "Venue: " &amp; 'Profit &amp; Loss'!E925 &amp; CHAR(10) &amp; "Court No.: " &amp; 'Profit &amp; Loss'!F925 &amp; CHAR(10) &amp; "Level: HB - LI" &amp; CHAR(10) &amp; "Please transfer $" &amp; 'Profit &amp; Loss'!O925 &amp; " per pax to Belle (83396501)" &amp; CHAR(10) &amp; CHAR(10) &amp; IF('Profit &amp; Loss'!I925=1, "1." &amp; CHAR(10) &amp; "2." &amp; CHAR(10) &amp; "3." &amp; CHAR(10) &amp; "4." &amp; CHAR(10) &amp; "5." &amp; CHAR(10) &amp; "6." &amp; CHAR(10), IF('Profit &amp; Loss'!I925=2,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3" spans="1:2" ht="12.5" x14ac:dyDescent="0.25">
      <c r="A923" s="2" t="str">
        <f ca="1">IF('Profit &amp; Loss'!A926&gt;=TODAY(),"Looking for friendly players to join the following game: " &amp; CHAR(10) &amp; CHAR(10) &amp; "Date: " &amp; TEXT('Profit &amp; Loss'!A926,"dd mmm yyy") &amp; ", " &amp; 'Profit &amp; Loss'!B926 &amp; CHAR(10) &amp; "Time: " &amp; TEXT('Profit &amp; Loss'!C926, "hh:mm AM/PM") &amp; " - " &amp; TEXT('Profit &amp; Loss'!D926, "hh:mm AM/PM") &amp; CHAR(10) &amp; "Venue: " &amp; 'Profit &amp; Loss'!E926 &amp; CHAR(10) &amp; "Level: HB - LI" &amp; CHAR(10) &amp; "Cost: $" &amp; 'Profit &amp; Loss'!O926 &amp; " per pax" &amp; CHAR(10) &amp; "Max " &amp; 'Profit &amp; Loss'!I926*6 &amp; " pax," &amp; " (" &amp; 'Profit &amp; Loss'!I926 &amp; " courts)" &amp; CHAR(10) &amp; CHAR(10) &amp; "RSL Ultimate shuttles provided" &amp; CHAR(10) &amp; CHAR(10) &amp; "PM if interested, thank you!"," ")</f>
        <v xml:space="preserve"> </v>
      </c>
      <c r="B923" s="2" t="str">
        <f ca="1">IF('Profit &amp; Loss'!A926&gt;=TODAY(), "Date: " &amp; TEXT('Profit &amp; Loss'!A926,"dd mmm yyy") &amp; ", " &amp; 'Profit &amp; Loss'!B926 &amp; CHAR(10) &amp; "Time: " &amp; TEXT('Profit &amp; Loss'!C926, "hh:mm AM/PM") &amp; " - " &amp; TEXT('Profit &amp; Loss'!D926, "hh:mm AM/PM") &amp; CHAR(10) &amp; "Venue: " &amp; 'Profit &amp; Loss'!E926 &amp; CHAR(10) &amp; "Court No.: " &amp; 'Profit &amp; Loss'!F926 &amp; CHAR(10) &amp; "Level: HB - LI" &amp; CHAR(10) &amp; "Please transfer $" &amp; 'Profit &amp; Loss'!O926 &amp; " per pax to Belle (83396501)" &amp; CHAR(10) &amp; CHAR(10) &amp; IF('Profit &amp; Loss'!I926=1, "1." &amp; CHAR(10) &amp; "2." &amp; CHAR(10) &amp; "3." &amp; CHAR(10) &amp; "4." &amp; CHAR(10) &amp; "5." &amp; CHAR(10) &amp; "6." &amp; CHAR(10), IF('Profit &amp; Loss'!I926=2,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4" spans="1:2" ht="12.5" x14ac:dyDescent="0.25">
      <c r="A924" s="2" t="str">
        <f ca="1">IF('Profit &amp; Loss'!A927&gt;=TODAY(),"Looking for friendly players to join the following game: " &amp; CHAR(10) &amp; CHAR(10) &amp; "Date: " &amp; TEXT('Profit &amp; Loss'!A927,"dd mmm yyy") &amp; ", " &amp; 'Profit &amp; Loss'!B927 &amp; CHAR(10) &amp; "Time: " &amp; TEXT('Profit &amp; Loss'!C927, "hh:mm AM/PM") &amp; " - " &amp; TEXT('Profit &amp; Loss'!D927, "hh:mm AM/PM") &amp; CHAR(10) &amp; "Venue: " &amp; 'Profit &amp; Loss'!E927 &amp; CHAR(10) &amp; "Level: HB - LI" &amp; CHAR(10) &amp; "Cost: $" &amp; 'Profit &amp; Loss'!O927 &amp; " per pax" &amp; CHAR(10) &amp; "Max " &amp; 'Profit &amp; Loss'!I927*6 &amp; " pax," &amp; " (" &amp; 'Profit &amp; Loss'!I927 &amp; " courts)" &amp; CHAR(10) &amp; CHAR(10) &amp; "RSL Ultimate shuttles provided" &amp; CHAR(10) &amp; CHAR(10) &amp; "PM if interested, thank you!"," ")</f>
        <v xml:space="preserve"> </v>
      </c>
      <c r="B924" s="2" t="str">
        <f ca="1">IF('Profit &amp; Loss'!A927&gt;=TODAY(), "Date: " &amp; TEXT('Profit &amp; Loss'!A927,"dd mmm yyy") &amp; ", " &amp; 'Profit &amp; Loss'!B927 &amp; CHAR(10) &amp; "Time: " &amp; TEXT('Profit &amp; Loss'!C927, "hh:mm AM/PM") &amp; " - " &amp; TEXT('Profit &amp; Loss'!D927, "hh:mm AM/PM") &amp; CHAR(10) &amp; "Venue: " &amp; 'Profit &amp; Loss'!E927 &amp; CHAR(10) &amp; "Court No.: " &amp; 'Profit &amp; Loss'!F927 &amp; CHAR(10) &amp; "Level: HB - LI" &amp; CHAR(10) &amp; "Please transfer $" &amp; 'Profit &amp; Loss'!O927 &amp; " per pax to Belle (83396501)" &amp; CHAR(10) &amp; CHAR(10) &amp; IF('Profit &amp; Loss'!I927=1, "1." &amp; CHAR(10) &amp; "2." &amp; CHAR(10) &amp; "3." &amp; CHAR(10) &amp; "4." &amp; CHAR(10) &amp; "5." &amp; CHAR(10) &amp; "6." &amp; CHAR(10), IF('Profit &amp; Loss'!I927=2,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5" spans="1:2" ht="12.5" x14ac:dyDescent="0.25">
      <c r="A925" s="2" t="str">
        <f ca="1">IF('Profit &amp; Loss'!A928&gt;=TODAY(),"Looking for friendly players to join the following game: " &amp; CHAR(10) &amp; CHAR(10) &amp; "Date: " &amp; TEXT('Profit &amp; Loss'!A928,"dd mmm yyy") &amp; ", " &amp; 'Profit &amp; Loss'!B928 &amp; CHAR(10) &amp; "Time: " &amp; TEXT('Profit &amp; Loss'!C928, "hh:mm AM/PM") &amp; " - " &amp; TEXT('Profit &amp; Loss'!D928, "hh:mm AM/PM") &amp; CHAR(10) &amp; "Venue: " &amp; 'Profit &amp; Loss'!E928 &amp; CHAR(10) &amp; "Level: HB - LI" &amp; CHAR(10) &amp; "Cost: $" &amp; 'Profit &amp; Loss'!O928 &amp; " per pax" &amp; CHAR(10) &amp; "Max " &amp; 'Profit &amp; Loss'!I928*6 &amp; " pax," &amp; " (" &amp; 'Profit &amp; Loss'!I928 &amp; " courts)" &amp; CHAR(10) &amp; CHAR(10) &amp; "RSL Ultimate shuttles provided" &amp; CHAR(10) &amp; CHAR(10) &amp; "PM if interested, thank you!"," ")</f>
        <v xml:space="preserve"> </v>
      </c>
      <c r="B925" s="2" t="str">
        <f ca="1">IF('Profit &amp; Loss'!A928&gt;=TODAY(), "Date: " &amp; TEXT('Profit &amp; Loss'!A928,"dd mmm yyy") &amp; ", " &amp; 'Profit &amp; Loss'!B928 &amp; CHAR(10) &amp; "Time: " &amp; TEXT('Profit &amp; Loss'!C928, "hh:mm AM/PM") &amp; " - " &amp; TEXT('Profit &amp; Loss'!D928, "hh:mm AM/PM") &amp; CHAR(10) &amp; "Venue: " &amp; 'Profit &amp; Loss'!E928 &amp; CHAR(10) &amp; "Court No.: " &amp; 'Profit &amp; Loss'!F928 &amp; CHAR(10) &amp; "Level: HB - LI" &amp; CHAR(10) &amp; "Please transfer $" &amp; 'Profit &amp; Loss'!O928 &amp; " per pax to Belle (83396501)" &amp; CHAR(10) &amp; CHAR(10) &amp; IF('Profit &amp; Loss'!I928=1, "1." &amp; CHAR(10) &amp; "2." &amp; CHAR(10) &amp; "3." &amp; CHAR(10) &amp; "4." &amp; CHAR(10) &amp; "5." &amp; CHAR(10) &amp; "6." &amp; CHAR(10), IF('Profit &amp; Loss'!I928=2,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6" spans="1:2" ht="12.5" x14ac:dyDescent="0.25">
      <c r="A926" s="2" t="str">
        <f ca="1">IF('Profit &amp; Loss'!A929&gt;=TODAY(),"Looking for friendly players to join the following game: " &amp; CHAR(10) &amp; CHAR(10) &amp; "Date: " &amp; TEXT('Profit &amp; Loss'!A929,"dd mmm yyy") &amp; ", " &amp; 'Profit &amp; Loss'!B929 &amp; CHAR(10) &amp; "Time: " &amp; TEXT('Profit &amp; Loss'!C929, "hh:mm AM/PM") &amp; " - " &amp; TEXT('Profit &amp; Loss'!D929, "hh:mm AM/PM") &amp; CHAR(10) &amp; "Venue: " &amp; 'Profit &amp; Loss'!E929 &amp; CHAR(10) &amp; "Level: HB - LI" &amp; CHAR(10) &amp; "Cost: $" &amp; 'Profit &amp; Loss'!O929 &amp; " per pax" &amp; CHAR(10) &amp; "Max " &amp; 'Profit &amp; Loss'!I929*6 &amp; " pax," &amp; " (" &amp; 'Profit &amp; Loss'!I929 &amp; " courts)" &amp; CHAR(10) &amp; CHAR(10) &amp; "RSL Ultimate shuttles provided" &amp; CHAR(10) &amp; CHAR(10) &amp; "PM if interested, thank you!"," ")</f>
        <v xml:space="preserve"> </v>
      </c>
      <c r="B926" s="2" t="str">
        <f ca="1">IF('Profit &amp; Loss'!A929&gt;=TODAY(), "Date: " &amp; TEXT('Profit &amp; Loss'!A929,"dd mmm yyy") &amp; ", " &amp; 'Profit &amp; Loss'!B929 &amp; CHAR(10) &amp; "Time: " &amp; TEXT('Profit &amp; Loss'!C929, "hh:mm AM/PM") &amp; " - " &amp; TEXT('Profit &amp; Loss'!D929, "hh:mm AM/PM") &amp; CHAR(10) &amp; "Venue: " &amp; 'Profit &amp; Loss'!E929 &amp; CHAR(10) &amp; "Court No.: " &amp; 'Profit &amp; Loss'!F929 &amp; CHAR(10) &amp; "Level: HB - LI" &amp; CHAR(10) &amp; "Please transfer $" &amp; 'Profit &amp; Loss'!O929 &amp; " per pax to Belle (83396501)" &amp; CHAR(10) &amp; CHAR(10) &amp; IF('Profit &amp; Loss'!I929=1, "1." &amp; CHAR(10) &amp; "2." &amp; CHAR(10) &amp; "3." &amp; CHAR(10) &amp; "4." &amp; CHAR(10) &amp; "5." &amp; CHAR(10) &amp; "6." &amp; CHAR(10), IF('Profit &amp; Loss'!I929=2,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Loss'!I929=3,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7" spans="1:2" ht="12.5" x14ac:dyDescent="0.25">
      <c r="A927" s="2" t="str">
        <f ca="1">IF('Profit &amp; Loss'!A930&gt;=TODAY(),"Looking for friendly players to join the following game: " &amp; CHAR(10) &amp; CHAR(10) &amp; "Date: " &amp; TEXT('Profit &amp; Loss'!A930,"dd mmm yyy") &amp; ", " &amp; 'Profit &amp; Loss'!B930 &amp; CHAR(10) &amp; "Time: " &amp; TEXT('Profit &amp; Loss'!C930, "hh:mm AM/PM") &amp; " - " &amp; TEXT('Profit &amp; Loss'!D930, "hh:mm AM/PM") &amp; CHAR(10) &amp; "Venue: " &amp; 'Profit &amp; Loss'!E930 &amp; CHAR(10) &amp; "Level: HB - LI" &amp; CHAR(10) &amp; "Cost: $" &amp; 'Profit &amp; Loss'!O930 &amp; " per pax" &amp; CHAR(10) &amp; "Max " &amp; 'Profit &amp; Loss'!I930*6 &amp; " pax," &amp; " (" &amp; 'Profit &amp; Loss'!I930 &amp; " courts)" &amp; CHAR(10) &amp; CHAR(10) &amp; "RSL Ultimate shuttles provided" &amp; CHAR(10) &amp; CHAR(10) &amp; "PM if interested, thank you!"," ")</f>
        <v xml:space="preserve"> </v>
      </c>
      <c r="B927" s="2" t="str">
        <f ca="1">IF('Profit &amp; Loss'!A930&gt;=TODAY(), "Date: " &amp; TEXT('Profit &amp; Loss'!A930,"dd mmm yyy") &amp; ", " &amp; 'Profit &amp; Loss'!B930 &amp; CHAR(10) &amp; "Time: " &amp; TEXT('Profit &amp; Loss'!C930, "hh:mm AM/PM") &amp; " - " &amp; TEXT('Profit &amp; Loss'!D930, "hh:mm AM/PM") &amp; CHAR(10) &amp; "Venue: " &amp; 'Profit &amp; Loss'!E930 &amp; CHAR(10) &amp; "Court No.: " &amp; 'Profit &amp; Loss'!F930 &amp; CHAR(10) &amp; "Level: HB - LI" &amp; CHAR(10) &amp; "Please transfer $" &amp; 'Profit &amp; Loss'!O930 &amp; " per pax to Belle (83396501)" &amp; CHAR(10) &amp; CHAR(10) &amp; IF('Profit &amp; Loss'!I930=1, "1." &amp; CHAR(10) &amp; "2." &amp; CHAR(10) &amp; "3." &amp; CHAR(10) &amp; "4." &amp; CHAR(10) &amp; "5." &amp; CHAR(10) &amp; "6." &amp; CHAR(10), IF('Profit &amp; Loss'!I930=2,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8" spans="1:2" ht="12.5" x14ac:dyDescent="0.25">
      <c r="A928" s="2" t="str">
        <f ca="1">IF('Profit &amp; Loss'!A931&gt;=TODAY(),"Looking for friendly players to join the following game: " &amp; CHAR(10) &amp; CHAR(10) &amp; "Date: " &amp; TEXT('Profit &amp; Loss'!A931,"dd mmm yyy") &amp; ", " &amp; 'Profit &amp; Loss'!B931 &amp; CHAR(10) &amp; "Time: " &amp; TEXT('Profit &amp; Loss'!C931, "hh:mm AM/PM") &amp; " - " &amp; TEXT('Profit &amp; Loss'!D931, "hh:mm AM/PM") &amp; CHAR(10) &amp; "Venue: " &amp; 'Profit &amp; Loss'!E931 &amp; CHAR(10) &amp; "Level: HB - LI" &amp; CHAR(10) &amp; "Cost: $" &amp; 'Profit &amp; Loss'!O931 &amp; " per pax" &amp; CHAR(10) &amp; "Max " &amp; 'Profit &amp; Loss'!I931*6 &amp; " pax," &amp; " (" &amp; 'Profit &amp; Loss'!I931 &amp; " courts)" &amp; CHAR(10) &amp; CHAR(10) &amp; "RSL Ultimate shuttles provided" &amp; CHAR(10) &amp; CHAR(10) &amp; "PM if interested, thank you!"," ")</f>
        <v xml:space="preserve"> </v>
      </c>
      <c r="B928" s="2" t="str">
        <f ca="1">IF('Profit &amp; Loss'!A931&gt;=TODAY(), "Date: " &amp; TEXT('Profit &amp; Loss'!A931,"dd mmm yyy") &amp; ", " &amp; 'Profit &amp; Loss'!B931 &amp; CHAR(10) &amp; "Time: " &amp; TEXT('Profit &amp; Loss'!C931, "hh:mm AM/PM") &amp; " - " &amp; TEXT('Profit &amp; Loss'!D931, "hh:mm AM/PM") &amp; CHAR(10) &amp; "Venue: " &amp; 'Profit &amp; Loss'!E931 &amp; CHAR(10) &amp; "Court No.: " &amp; 'Profit &amp; Loss'!F931 &amp; CHAR(10) &amp; "Level: HB - LI" &amp; CHAR(10) &amp; "Please transfer $" &amp; 'Profit &amp; Loss'!O931 &amp; " per pax to Belle (83396501)" &amp; CHAR(10) &amp; CHAR(10) &amp; IF('Profit &amp; Loss'!I931=1, "1." &amp; CHAR(10) &amp; "2." &amp; CHAR(10) &amp; "3." &amp; CHAR(10) &amp; "4." &amp; CHAR(10) &amp; "5." &amp; CHAR(10) &amp; "6." &amp; CHAR(10), IF('Profit &amp; Loss'!I931=2,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29" spans="1:2" ht="12.5" x14ac:dyDescent="0.25">
      <c r="A929" s="2" t="str">
        <f ca="1">IF('Profit &amp; Loss'!A932&gt;=TODAY(),"Looking for friendly players to join the following game: " &amp; CHAR(10) &amp; CHAR(10) &amp; "Date: " &amp; TEXT('Profit &amp; Loss'!A932,"dd mmm yyy") &amp; ", " &amp; 'Profit &amp; Loss'!B932 &amp; CHAR(10) &amp; "Time: " &amp; TEXT('Profit &amp; Loss'!C932, "hh:mm AM/PM") &amp; " - " &amp; TEXT('Profit &amp; Loss'!D932, "hh:mm AM/PM") &amp; CHAR(10) &amp; "Venue: " &amp; 'Profit &amp; Loss'!E932 &amp; CHAR(10) &amp; "Level: HB - LI" &amp; CHAR(10) &amp; "Cost: $" &amp; 'Profit &amp; Loss'!O932 &amp; " per pax" &amp; CHAR(10) &amp; "Max " &amp; 'Profit &amp; Loss'!I932*6 &amp; " pax," &amp; " (" &amp; 'Profit &amp; Loss'!I932 &amp; " courts)" &amp; CHAR(10) &amp; CHAR(10) &amp; "RSL Ultimate shuttles provided" &amp; CHAR(10) &amp; CHAR(10) &amp; "PM if interested, thank you!"," ")</f>
        <v xml:space="preserve"> </v>
      </c>
      <c r="B929" s="2" t="str">
        <f ca="1">IF('Profit &amp; Loss'!A932&gt;=TODAY(), "Date: " &amp; TEXT('Profit &amp; Loss'!A932,"dd mmm yyy") &amp; ", " &amp; 'Profit &amp; Loss'!B932 &amp; CHAR(10) &amp; "Time: " &amp; TEXT('Profit &amp; Loss'!C932, "hh:mm AM/PM") &amp; " - " &amp; TEXT('Profit &amp; Loss'!D932, "hh:mm AM/PM") &amp; CHAR(10) &amp; "Venue: " &amp; 'Profit &amp; Loss'!E932 &amp; CHAR(10) &amp; "Court No.: " &amp; 'Profit &amp; Loss'!F932 &amp; CHAR(10) &amp; "Level: HB - LI" &amp; CHAR(10) &amp; "Please transfer $" &amp; 'Profit &amp; Loss'!O932 &amp; " per pax to Belle (83396501)" &amp; CHAR(10) &amp; CHAR(10) &amp; IF('Profit &amp; Loss'!I932=1, "1." &amp; CHAR(10) &amp; "2." &amp; CHAR(10) &amp; "3." &amp; CHAR(10) &amp; "4." &amp; CHAR(10) &amp; "5." &amp; CHAR(10) &amp; "6." &amp; CHAR(10), IF('Profit &amp; Loss'!I932=2,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0" spans="1:2" ht="12.5" x14ac:dyDescent="0.25">
      <c r="A930" s="2" t="str">
        <f ca="1">IF('Profit &amp; Loss'!A933&gt;=TODAY(),"Looking for friendly players to join the following game: " &amp; CHAR(10) &amp; CHAR(10) &amp; "Date: " &amp; TEXT('Profit &amp; Loss'!A933,"dd mmm yyy") &amp; ", " &amp; 'Profit &amp; Loss'!B933 &amp; CHAR(10) &amp; "Time: " &amp; TEXT('Profit &amp; Loss'!C933, "hh:mm AM/PM") &amp; " - " &amp; TEXT('Profit &amp; Loss'!D933, "hh:mm AM/PM") &amp; CHAR(10) &amp; "Venue: " &amp; 'Profit &amp; Loss'!E933 &amp; CHAR(10) &amp; "Level: HB - LI" &amp; CHAR(10) &amp; "Cost: $" &amp; 'Profit &amp; Loss'!O933 &amp; " per pax" &amp; CHAR(10) &amp; "Max " &amp; 'Profit &amp; Loss'!I933*6 &amp; " pax," &amp; " (" &amp; 'Profit &amp; Loss'!I933 &amp; " courts)" &amp; CHAR(10) &amp; CHAR(10) &amp; "RSL Ultimate shuttles provided" &amp; CHAR(10) &amp; CHAR(10) &amp; "PM if interested, thank you!"," ")</f>
        <v xml:space="preserve"> </v>
      </c>
      <c r="B930" s="2" t="str">
        <f ca="1">IF('Profit &amp; Loss'!A933&gt;=TODAY(), "Date: " &amp; TEXT('Profit &amp; Loss'!A933,"dd mmm yyy") &amp; ", " &amp; 'Profit &amp; Loss'!B933 &amp; CHAR(10) &amp; "Time: " &amp; TEXT('Profit &amp; Loss'!C933, "hh:mm AM/PM") &amp; " - " &amp; TEXT('Profit &amp; Loss'!D933, "hh:mm AM/PM") &amp; CHAR(10) &amp; "Venue: " &amp; 'Profit &amp; Loss'!E933 &amp; CHAR(10) &amp; "Court No.: " &amp; 'Profit &amp; Loss'!F933 &amp; CHAR(10) &amp; "Level: HB - LI" &amp; CHAR(10) &amp; "Please transfer $" &amp; 'Profit &amp; Loss'!O933 &amp; " per pax to Belle (83396501)" &amp; CHAR(10) &amp; CHAR(10) &amp; IF('Profit &amp; Loss'!I933=1, "1." &amp; CHAR(10) &amp; "2." &amp; CHAR(10) &amp; "3." &amp; CHAR(10) &amp; "4." &amp; CHAR(10) &amp; "5." &amp; CHAR(10) &amp; "6." &amp; CHAR(10), IF('Profit &amp; Loss'!I933=2,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1" spans="1:2" ht="12.5" x14ac:dyDescent="0.25">
      <c r="A931" s="2" t="str">
        <f ca="1">IF('Profit &amp; Loss'!A934&gt;=TODAY(),"Looking for friendly players to join the following game: " &amp; CHAR(10) &amp; CHAR(10) &amp; "Date: " &amp; TEXT('Profit &amp; Loss'!A934,"dd mmm yyy") &amp; ", " &amp; 'Profit &amp; Loss'!B934 &amp; CHAR(10) &amp; "Time: " &amp; TEXT('Profit &amp; Loss'!C934, "hh:mm AM/PM") &amp; " - " &amp; TEXT('Profit &amp; Loss'!D934, "hh:mm AM/PM") &amp; CHAR(10) &amp; "Venue: " &amp; 'Profit &amp; Loss'!E934 &amp; CHAR(10) &amp; "Level: HB - LI" &amp; CHAR(10) &amp; "Cost: $" &amp; 'Profit &amp; Loss'!O934 &amp; " per pax" &amp; CHAR(10) &amp; "Max " &amp; 'Profit &amp; Loss'!I934*6 &amp; " pax," &amp; " (" &amp; 'Profit &amp; Loss'!I934 &amp; " courts)" &amp; CHAR(10) &amp; CHAR(10) &amp; "RSL Ultimate shuttles provided" &amp; CHAR(10) &amp; CHAR(10) &amp; "PM if interested, thank you!"," ")</f>
        <v xml:space="preserve"> </v>
      </c>
      <c r="B931" s="2" t="str">
        <f ca="1">IF('Profit &amp; Loss'!A934&gt;=TODAY(), "Date: " &amp; TEXT('Profit &amp; Loss'!A934,"dd mmm yyy") &amp; ", " &amp; 'Profit &amp; Loss'!B934 &amp; CHAR(10) &amp; "Time: " &amp; TEXT('Profit &amp; Loss'!C934, "hh:mm AM/PM") &amp; " - " &amp; TEXT('Profit &amp; Loss'!D934, "hh:mm AM/PM") &amp; CHAR(10) &amp; "Venue: " &amp; 'Profit &amp; Loss'!E934 &amp; CHAR(10) &amp; "Court No.: " &amp; 'Profit &amp; Loss'!F934 &amp; CHAR(10) &amp; "Level: HB - LI" &amp; CHAR(10) &amp; "Please transfer $" &amp; 'Profit &amp; Loss'!O934 &amp; " per pax to Belle (83396501)" &amp; CHAR(10) &amp; CHAR(10) &amp; IF('Profit &amp; Loss'!I934=1, "1." &amp; CHAR(10) &amp; "2." &amp; CHAR(10) &amp; "3." &amp; CHAR(10) &amp; "4." &amp; CHAR(10) &amp; "5." &amp; CHAR(10) &amp; "6." &amp; CHAR(10), IF('Profit &amp; Loss'!I934=2,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2" spans="1:2" ht="12.5" x14ac:dyDescent="0.25">
      <c r="A932" s="2" t="str">
        <f ca="1">IF('Profit &amp; Loss'!A935&gt;=TODAY(),"Looking for friendly players to join the following game: " &amp; CHAR(10) &amp; CHAR(10) &amp; "Date: " &amp; TEXT('Profit &amp; Loss'!A935,"dd mmm yyy") &amp; ", " &amp; 'Profit &amp; Loss'!B935 &amp; CHAR(10) &amp; "Time: " &amp; TEXT('Profit &amp; Loss'!C935, "hh:mm AM/PM") &amp; " - " &amp; TEXT('Profit &amp; Loss'!D935, "hh:mm AM/PM") &amp; CHAR(10) &amp; "Venue: " &amp; 'Profit &amp; Loss'!E935 &amp; CHAR(10) &amp; "Level: HB - LI" &amp; CHAR(10) &amp; "Cost: $" &amp; 'Profit &amp; Loss'!O935 &amp; " per pax" &amp; CHAR(10) &amp; "Max " &amp; 'Profit &amp; Loss'!I935*6 &amp; " pax," &amp; " (" &amp; 'Profit &amp; Loss'!I935 &amp; " courts)" &amp; CHAR(10) &amp; CHAR(10) &amp; "RSL Ultimate shuttles provided" &amp; CHAR(10) &amp; CHAR(10) &amp; "PM if interested, thank you!"," ")</f>
        <v xml:space="preserve"> </v>
      </c>
      <c r="B932" s="2" t="str">
        <f ca="1">IF('Profit &amp; Loss'!A935&gt;=TODAY(), "Date: " &amp; TEXT('Profit &amp; Loss'!A935,"dd mmm yyy") &amp; ", " &amp; 'Profit &amp; Loss'!B935 &amp; CHAR(10) &amp; "Time: " &amp; TEXT('Profit &amp; Loss'!C935, "hh:mm AM/PM") &amp; " - " &amp; TEXT('Profit &amp; Loss'!D935, "hh:mm AM/PM") &amp; CHAR(10) &amp; "Venue: " &amp; 'Profit &amp; Loss'!E935 &amp; CHAR(10) &amp; "Court No.: " &amp; 'Profit &amp; Loss'!F935 &amp; CHAR(10) &amp; "Level: HB - LI" &amp; CHAR(10) &amp; "Please transfer $" &amp; 'Profit &amp; Loss'!O935 &amp; " per pax to Belle (83396501)" &amp; CHAR(10) &amp; CHAR(10) &amp; IF('Profit &amp; Loss'!I935=1, "1." &amp; CHAR(10) &amp; "2." &amp; CHAR(10) &amp; "3." &amp; CHAR(10) &amp; "4." &amp; CHAR(10) &amp; "5." &amp; CHAR(10) &amp; "6." &amp; CHAR(10), IF('Profit &amp; Loss'!I935=2,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3" spans="1:2" ht="12.5" x14ac:dyDescent="0.25">
      <c r="A933" s="2" t="str">
        <f ca="1">IF('Profit &amp; Loss'!A936&gt;=TODAY(),"Looking for friendly players to join the following game: " &amp; CHAR(10) &amp; CHAR(10) &amp; "Date: " &amp; TEXT('Profit &amp; Loss'!A936,"dd mmm yyy") &amp; ", " &amp; 'Profit &amp; Loss'!B936 &amp; CHAR(10) &amp; "Time: " &amp; TEXT('Profit &amp; Loss'!C936, "hh:mm AM/PM") &amp; " - " &amp; TEXT('Profit &amp; Loss'!D936, "hh:mm AM/PM") &amp; CHAR(10) &amp; "Venue: " &amp; 'Profit &amp; Loss'!E936 &amp; CHAR(10) &amp; "Level: HB - LI" &amp; CHAR(10) &amp; "Cost: $" &amp; 'Profit &amp; Loss'!O936 &amp; " per pax" &amp; CHAR(10) &amp; "Max " &amp; 'Profit &amp; Loss'!I936*6 &amp; " pax," &amp; " (" &amp; 'Profit &amp; Loss'!I936 &amp; " courts)" &amp; CHAR(10) &amp; CHAR(10) &amp; "RSL Ultimate shuttles provided" &amp; CHAR(10) &amp; CHAR(10) &amp; "PM if interested, thank you!"," ")</f>
        <v xml:space="preserve"> </v>
      </c>
      <c r="B933" s="2" t="str">
        <f ca="1">IF('Profit &amp; Loss'!A936&gt;=TODAY(), "Date: " &amp; TEXT('Profit &amp; Loss'!A936,"dd mmm yyy") &amp; ", " &amp; 'Profit &amp; Loss'!B936 &amp; CHAR(10) &amp; "Time: " &amp; TEXT('Profit &amp; Loss'!C936, "hh:mm AM/PM") &amp; " - " &amp; TEXT('Profit &amp; Loss'!D936, "hh:mm AM/PM") &amp; CHAR(10) &amp; "Venue: " &amp; 'Profit &amp; Loss'!E936 &amp; CHAR(10) &amp; "Court No.: " &amp; 'Profit &amp; Loss'!F936 &amp; CHAR(10) &amp; "Level: HB - LI" &amp; CHAR(10) &amp; "Please transfer $" &amp; 'Profit &amp; Loss'!O936 &amp; " per pax to Belle (83396501)" &amp; CHAR(10) &amp; CHAR(10) &amp; IF('Profit &amp; Loss'!I936=1, "1." &amp; CHAR(10) &amp; "2." &amp; CHAR(10) &amp; "3." &amp; CHAR(10) &amp; "4." &amp; CHAR(10) &amp; "5." &amp; CHAR(10) &amp; "6." &amp; CHAR(10), IF('Profit &amp; Loss'!I936=2,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4" spans="1:2" ht="12.5" x14ac:dyDescent="0.25">
      <c r="A934" s="2" t="str">
        <f ca="1">IF('Profit &amp; Loss'!A937&gt;=TODAY(),"Looking for friendly players to join the following game: " &amp; CHAR(10) &amp; CHAR(10) &amp; "Date: " &amp; TEXT('Profit &amp; Loss'!A937,"dd mmm yyy") &amp; ", " &amp; 'Profit &amp; Loss'!B937 &amp; CHAR(10) &amp; "Time: " &amp; TEXT('Profit &amp; Loss'!C937, "hh:mm AM/PM") &amp; " - " &amp; TEXT('Profit &amp; Loss'!D937, "hh:mm AM/PM") &amp; CHAR(10) &amp; "Venue: " &amp; 'Profit &amp; Loss'!E937 &amp; CHAR(10) &amp; "Level: HB - LI" &amp; CHAR(10) &amp; "Cost: $" &amp; 'Profit &amp; Loss'!O937 &amp; " per pax" &amp; CHAR(10) &amp; "Max " &amp; 'Profit &amp; Loss'!I937*6 &amp; " pax," &amp; " (" &amp; 'Profit &amp; Loss'!I937 &amp; " courts)" &amp; CHAR(10) &amp; CHAR(10) &amp; "RSL Ultimate shuttles provided" &amp; CHAR(10) &amp; CHAR(10) &amp; "PM if interested, thank you!"," ")</f>
        <v xml:space="preserve"> </v>
      </c>
      <c r="B934" s="2" t="str">
        <f ca="1">IF('Profit &amp; Loss'!A937&gt;=TODAY(), "Date: " &amp; TEXT('Profit &amp; Loss'!A937,"dd mmm yyy") &amp; ", " &amp; 'Profit &amp; Loss'!B937 &amp; CHAR(10) &amp; "Time: " &amp; TEXT('Profit &amp; Loss'!C937, "hh:mm AM/PM") &amp; " - " &amp; TEXT('Profit &amp; Loss'!D937, "hh:mm AM/PM") &amp; CHAR(10) &amp; "Venue: " &amp; 'Profit &amp; Loss'!E937 &amp; CHAR(10) &amp; "Court No.: " &amp; 'Profit &amp; Loss'!F937 &amp; CHAR(10) &amp; "Level: HB - LI" &amp; CHAR(10) &amp; "Please transfer $" &amp; 'Profit &amp; Loss'!O937 &amp; " per pax to Belle (83396501)" &amp; CHAR(10) &amp; CHAR(10) &amp; IF('Profit &amp; Loss'!I937=1, "1." &amp; CHAR(10) &amp; "2." &amp; CHAR(10) &amp; "3." &amp; CHAR(10) &amp; "4." &amp; CHAR(10) &amp; "5." &amp; CHAR(10) &amp; "6." &amp; CHAR(10), IF('Profit &amp; Loss'!I937=2,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5" spans="1:2" ht="12.5" x14ac:dyDescent="0.25">
      <c r="A935" s="2" t="str">
        <f ca="1">IF('Profit &amp; Loss'!A938&gt;=TODAY(),"Looking for friendly players to join the following game: " &amp; CHAR(10) &amp; CHAR(10) &amp; "Date: " &amp; TEXT('Profit &amp; Loss'!A938,"dd mmm yyy") &amp; ", " &amp; 'Profit &amp; Loss'!B938 &amp; CHAR(10) &amp; "Time: " &amp; TEXT('Profit &amp; Loss'!C938, "hh:mm AM/PM") &amp; " - " &amp; TEXT('Profit &amp; Loss'!D938, "hh:mm AM/PM") &amp; CHAR(10) &amp; "Venue: " &amp; 'Profit &amp; Loss'!E938 &amp; CHAR(10) &amp; "Level: HB - LI" &amp; CHAR(10) &amp; "Cost: $" &amp; 'Profit &amp; Loss'!O938 &amp; " per pax" &amp; CHAR(10) &amp; "Max " &amp; 'Profit &amp; Loss'!I938*6 &amp; " pax," &amp; " (" &amp; 'Profit &amp; Loss'!I938 &amp; " courts)" &amp; CHAR(10) &amp; CHAR(10) &amp; "RSL Ultimate shuttles provided" &amp; CHAR(10) &amp; CHAR(10) &amp; "PM if interested, thank you!"," ")</f>
        <v xml:space="preserve"> </v>
      </c>
      <c r="B935" s="2" t="str">
        <f ca="1">IF('Profit &amp; Loss'!A938&gt;=TODAY(), "Date: " &amp; TEXT('Profit &amp; Loss'!A938,"dd mmm yyy") &amp; ", " &amp; 'Profit &amp; Loss'!B938 &amp; CHAR(10) &amp; "Time: " &amp; TEXT('Profit &amp; Loss'!C938, "hh:mm AM/PM") &amp; " - " &amp; TEXT('Profit &amp; Loss'!D938, "hh:mm AM/PM") &amp; CHAR(10) &amp; "Venue: " &amp; 'Profit &amp; Loss'!E938 &amp; CHAR(10) &amp; "Court No.: " &amp; 'Profit &amp; Loss'!F938 &amp; CHAR(10) &amp; "Level: HB - LI" &amp; CHAR(10) &amp; "Please transfer $" &amp; 'Profit &amp; Loss'!O938 &amp; " per pax to Belle (83396501)" &amp; CHAR(10) &amp; CHAR(10) &amp; IF('Profit &amp; Loss'!I938=1, "1." &amp; CHAR(10) &amp; "2." &amp; CHAR(10) &amp; "3." &amp; CHAR(10) &amp; "4." &amp; CHAR(10) &amp; "5." &amp; CHAR(10) &amp; "6." &amp; CHAR(10), IF('Profit &amp; Loss'!I938=2,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6" spans="1:2" ht="12.5" x14ac:dyDescent="0.25">
      <c r="A936" s="2" t="str">
        <f ca="1">IF('Profit &amp; Loss'!A939&gt;=TODAY(),"Looking for friendly players to join the following game: " &amp; CHAR(10) &amp; CHAR(10) &amp; "Date: " &amp; TEXT('Profit &amp; Loss'!A939,"dd mmm yyy") &amp; ", " &amp; 'Profit &amp; Loss'!B939 &amp; CHAR(10) &amp; "Time: " &amp; TEXT('Profit &amp; Loss'!C939, "hh:mm AM/PM") &amp; " - " &amp; TEXT('Profit &amp; Loss'!D939, "hh:mm AM/PM") &amp; CHAR(10) &amp; "Venue: " &amp; 'Profit &amp; Loss'!E939 &amp; CHAR(10) &amp; "Level: HB - LI" &amp; CHAR(10) &amp; "Cost: $" &amp; 'Profit &amp; Loss'!O939 &amp; " per pax" &amp; CHAR(10) &amp; "Max " &amp; 'Profit &amp; Loss'!I939*6 &amp; " pax," &amp; " (" &amp; 'Profit &amp; Loss'!I939 &amp; " courts)" &amp; CHAR(10) &amp; CHAR(10) &amp; "RSL Ultimate shuttles provided" &amp; CHAR(10) &amp; CHAR(10) &amp; "PM if interested, thank you!"," ")</f>
        <v xml:space="preserve"> </v>
      </c>
      <c r="B936" s="2" t="str">
        <f ca="1">IF('Profit &amp; Loss'!A939&gt;=TODAY(), "Date: " &amp; TEXT('Profit &amp; Loss'!A939,"dd mmm yyy") &amp; ", " &amp; 'Profit &amp; Loss'!B939 &amp; CHAR(10) &amp; "Time: " &amp; TEXT('Profit &amp; Loss'!C939, "hh:mm AM/PM") &amp; " - " &amp; TEXT('Profit &amp; Loss'!D939, "hh:mm AM/PM") &amp; CHAR(10) &amp; "Venue: " &amp; 'Profit &amp; Loss'!E939 &amp; CHAR(10) &amp; "Court No.: " &amp; 'Profit &amp; Loss'!F939 &amp; CHAR(10) &amp; "Level: HB - LI" &amp; CHAR(10) &amp; "Please transfer $" &amp; 'Profit &amp; Loss'!O939 &amp; " per pax to Belle (83396501)" &amp; CHAR(10) &amp; CHAR(10) &amp; IF('Profit &amp; Loss'!I939=1, "1." &amp; CHAR(10) &amp; "2." &amp; CHAR(10) &amp; "3." &amp; CHAR(10) &amp; "4." &amp; CHAR(10) &amp; "5." &amp; CHAR(10) &amp; "6." &amp; CHAR(10), IF('Profit &amp; Loss'!I939=2,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Loss'!I939=3,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7" spans="1:2" ht="12.5" x14ac:dyDescent="0.25">
      <c r="A937" s="2" t="str">
        <f ca="1">IF('Profit &amp; Loss'!A940&gt;=TODAY(),"Looking for friendly players to join the following game: " &amp; CHAR(10) &amp; CHAR(10) &amp; "Date: " &amp; TEXT('Profit &amp; Loss'!A940,"dd mmm yyy") &amp; ", " &amp; 'Profit &amp; Loss'!B940 &amp; CHAR(10) &amp; "Time: " &amp; TEXT('Profit &amp; Loss'!C940, "hh:mm AM/PM") &amp; " - " &amp; TEXT('Profit &amp; Loss'!D940, "hh:mm AM/PM") &amp; CHAR(10) &amp; "Venue: " &amp; 'Profit &amp; Loss'!E940 &amp; CHAR(10) &amp; "Level: HB - LI" &amp; CHAR(10) &amp; "Cost: $" &amp; 'Profit &amp; Loss'!O940 &amp; " per pax" &amp; CHAR(10) &amp; "Max " &amp; 'Profit &amp; Loss'!I940*6 &amp; " pax," &amp; " (" &amp; 'Profit &amp; Loss'!I940 &amp; " courts)" &amp; CHAR(10) &amp; CHAR(10) &amp; "RSL Ultimate shuttles provided" &amp; CHAR(10) &amp; CHAR(10) &amp; "PM if interested, thank you!"," ")</f>
        <v xml:space="preserve"> </v>
      </c>
      <c r="B937" s="2" t="str">
        <f ca="1">IF('Profit &amp; Loss'!A940&gt;=TODAY(), "Date: " &amp; TEXT('Profit &amp; Loss'!A940,"dd mmm yyy") &amp; ", " &amp; 'Profit &amp; Loss'!B940 &amp; CHAR(10) &amp; "Time: " &amp; TEXT('Profit &amp; Loss'!C940, "hh:mm AM/PM") &amp; " - " &amp; TEXT('Profit &amp; Loss'!D940, "hh:mm AM/PM") &amp; CHAR(10) &amp; "Venue: " &amp; 'Profit &amp; Loss'!E940 &amp; CHAR(10) &amp; "Court No.: " &amp; 'Profit &amp; Loss'!F940 &amp; CHAR(10) &amp; "Level: HB - LI" &amp; CHAR(10) &amp; "Please transfer $" &amp; 'Profit &amp; Loss'!O940 &amp; " per pax to Belle (83396501)" &amp; CHAR(10) &amp; CHAR(10) &amp; IF('Profit &amp; Loss'!I940=1, "1." &amp; CHAR(10) &amp; "2." &amp; CHAR(10) &amp; "3." &amp; CHAR(10) &amp; "4." &amp; CHAR(10) &amp; "5." &amp; CHAR(10) &amp; "6." &amp; CHAR(10), IF('Profit &amp; Loss'!I940=2,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8" spans="1:2" ht="12.5" x14ac:dyDescent="0.25">
      <c r="A938" s="2" t="str">
        <f ca="1">IF('Profit &amp; Loss'!A941&gt;=TODAY(),"Looking for friendly players to join the following game: " &amp; CHAR(10) &amp; CHAR(10) &amp; "Date: " &amp; TEXT('Profit &amp; Loss'!A941,"dd mmm yyy") &amp; ", " &amp; 'Profit &amp; Loss'!B941 &amp; CHAR(10) &amp; "Time: " &amp; TEXT('Profit &amp; Loss'!C941, "hh:mm AM/PM") &amp; " - " &amp; TEXT('Profit &amp; Loss'!D941, "hh:mm AM/PM") &amp; CHAR(10) &amp; "Venue: " &amp; 'Profit &amp; Loss'!E941 &amp; CHAR(10) &amp; "Level: HB - LI" &amp; CHAR(10) &amp; "Cost: $" &amp; 'Profit &amp; Loss'!O941 &amp; " per pax" &amp; CHAR(10) &amp; "Max " &amp; 'Profit &amp; Loss'!I941*6 &amp; " pax," &amp; " (" &amp; 'Profit &amp; Loss'!I941 &amp; " courts)" &amp; CHAR(10) &amp; CHAR(10) &amp; "RSL Ultimate shuttles provided" &amp; CHAR(10) &amp; CHAR(10) &amp; "PM if interested, thank you!"," ")</f>
        <v xml:space="preserve"> </v>
      </c>
      <c r="B938" s="2" t="str">
        <f ca="1">IF('Profit &amp; Loss'!A941&gt;=TODAY(), "Date: " &amp; TEXT('Profit &amp; Loss'!A941,"dd mmm yyy") &amp; ", " &amp; 'Profit &amp; Loss'!B941 &amp; CHAR(10) &amp; "Time: " &amp; TEXT('Profit &amp; Loss'!C941, "hh:mm AM/PM") &amp; " - " &amp; TEXT('Profit &amp; Loss'!D941, "hh:mm AM/PM") &amp; CHAR(10) &amp; "Venue: " &amp; 'Profit &amp; Loss'!E941 &amp; CHAR(10) &amp; "Court No.: " &amp; 'Profit &amp; Loss'!F941 &amp; CHAR(10) &amp; "Level: HB - LI" &amp; CHAR(10) &amp; "Please transfer $" &amp; 'Profit &amp; Loss'!O941 &amp; " per pax to Belle (83396501)" &amp; CHAR(10) &amp; CHAR(10) &amp; IF('Profit &amp; Loss'!I941=1, "1." &amp; CHAR(10) &amp; "2." &amp; CHAR(10) &amp; "3." &amp; CHAR(10) &amp; "4." &amp; CHAR(10) &amp; "5." &amp; CHAR(10) &amp; "6." &amp; CHAR(10), IF('Profit &amp; Loss'!I941=2,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39" spans="1:2" ht="12.5" x14ac:dyDescent="0.25">
      <c r="A939" s="2" t="str">
        <f ca="1">IF('Profit &amp; Loss'!A942&gt;=TODAY(),"Looking for friendly players to join the following game: " &amp; CHAR(10) &amp; CHAR(10) &amp; "Date: " &amp; TEXT('Profit &amp; Loss'!A942,"dd mmm yyy") &amp; ", " &amp; 'Profit &amp; Loss'!B942 &amp; CHAR(10) &amp; "Time: " &amp; TEXT('Profit &amp; Loss'!C942, "hh:mm AM/PM") &amp; " - " &amp; TEXT('Profit &amp; Loss'!D942, "hh:mm AM/PM") &amp; CHAR(10) &amp; "Venue: " &amp; 'Profit &amp; Loss'!E942 &amp; CHAR(10) &amp; "Level: HB - LI" &amp; CHAR(10) &amp; "Cost: $" &amp; 'Profit &amp; Loss'!O942 &amp; " per pax" &amp; CHAR(10) &amp; "Max " &amp; 'Profit &amp; Loss'!I942*6 &amp; " pax," &amp; " (" &amp; 'Profit &amp; Loss'!I942 &amp; " courts)" &amp; CHAR(10) &amp; CHAR(10) &amp; "RSL Ultimate shuttles provided" &amp; CHAR(10) &amp; CHAR(10) &amp; "PM if interested, thank you!"," ")</f>
        <v xml:space="preserve"> </v>
      </c>
      <c r="B939" s="2" t="str">
        <f ca="1">IF('Profit &amp; Loss'!A942&gt;=TODAY(), "Date: " &amp; TEXT('Profit &amp; Loss'!A942,"dd mmm yyy") &amp; ", " &amp; 'Profit &amp; Loss'!B942 &amp; CHAR(10) &amp; "Time: " &amp; TEXT('Profit &amp; Loss'!C942, "hh:mm AM/PM") &amp; " - " &amp; TEXT('Profit &amp; Loss'!D942, "hh:mm AM/PM") &amp; CHAR(10) &amp; "Venue: " &amp; 'Profit &amp; Loss'!E942 &amp; CHAR(10) &amp; "Court No.: " &amp; 'Profit &amp; Loss'!F942 &amp; CHAR(10) &amp; "Level: HB - LI" &amp; CHAR(10) &amp; "Please transfer $" &amp; 'Profit &amp; Loss'!O942 &amp; " per pax to Belle (83396501)" &amp; CHAR(10) &amp; CHAR(10) &amp; IF('Profit &amp; Loss'!I942=1, "1." &amp; CHAR(10) &amp; "2." &amp; CHAR(10) &amp; "3." &amp; CHAR(10) &amp; "4." &amp; CHAR(10) &amp; "5." &amp; CHAR(10) &amp; "6." &amp; CHAR(10), IF('Profit &amp; Loss'!I942=2,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0" spans="1:2" ht="12.5" x14ac:dyDescent="0.25">
      <c r="A940" s="2" t="str">
        <f ca="1">IF('Profit &amp; Loss'!A943&gt;=TODAY(),"Looking for friendly players to join the following game: " &amp; CHAR(10) &amp; CHAR(10) &amp; "Date: " &amp; TEXT('Profit &amp; Loss'!A943,"dd mmm yyy") &amp; ", " &amp; 'Profit &amp; Loss'!B943 &amp; CHAR(10) &amp; "Time: " &amp; TEXT('Profit &amp; Loss'!C943, "hh:mm AM/PM") &amp; " - " &amp; TEXT('Profit &amp; Loss'!D943, "hh:mm AM/PM") &amp; CHAR(10) &amp; "Venue: " &amp; 'Profit &amp; Loss'!E943 &amp; CHAR(10) &amp; "Level: HB - LI" &amp; CHAR(10) &amp; "Cost: $" &amp; 'Profit &amp; Loss'!O943 &amp; " per pax" &amp; CHAR(10) &amp; "Max " &amp; 'Profit &amp; Loss'!I943*6 &amp; " pax," &amp; " (" &amp; 'Profit &amp; Loss'!I943 &amp; " courts)" &amp; CHAR(10) &amp; CHAR(10) &amp; "RSL Ultimate shuttles provided" &amp; CHAR(10) &amp; CHAR(10) &amp; "PM if interested, thank you!"," ")</f>
        <v xml:space="preserve"> </v>
      </c>
      <c r="B940" s="2" t="str">
        <f ca="1">IF('Profit &amp; Loss'!A943&gt;=TODAY(), "Date: " &amp; TEXT('Profit &amp; Loss'!A943,"dd mmm yyy") &amp; ", " &amp; 'Profit &amp; Loss'!B943 &amp; CHAR(10) &amp; "Time: " &amp; TEXT('Profit &amp; Loss'!C943, "hh:mm AM/PM") &amp; " - " &amp; TEXT('Profit &amp; Loss'!D943, "hh:mm AM/PM") &amp; CHAR(10) &amp; "Venue: " &amp; 'Profit &amp; Loss'!E943 &amp; CHAR(10) &amp; "Court No.: " &amp; 'Profit &amp; Loss'!F943 &amp; CHAR(10) &amp; "Level: HB - LI" &amp; CHAR(10) &amp; "Please transfer $" &amp; 'Profit &amp; Loss'!O943 &amp; " per pax to Belle (83396501)" &amp; CHAR(10) &amp; CHAR(10) &amp; IF('Profit &amp; Loss'!I943=1, "1." &amp; CHAR(10) &amp; "2." &amp; CHAR(10) &amp; "3." &amp; CHAR(10) &amp; "4." &amp; CHAR(10) &amp; "5." &amp; CHAR(10) &amp; "6." &amp; CHAR(10), IF('Profit &amp; Loss'!I943=2,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1" spans="1:2" ht="12.5" x14ac:dyDescent="0.25">
      <c r="A941" s="2" t="str">
        <f ca="1">IF('Profit &amp; Loss'!A944&gt;=TODAY(),"Looking for friendly players to join the following game: " &amp; CHAR(10) &amp; CHAR(10) &amp; "Date: " &amp; TEXT('Profit &amp; Loss'!A944,"dd mmm yyy") &amp; ", " &amp; 'Profit &amp; Loss'!B944 &amp; CHAR(10) &amp; "Time: " &amp; TEXT('Profit &amp; Loss'!C944, "hh:mm AM/PM") &amp; " - " &amp; TEXT('Profit &amp; Loss'!D944, "hh:mm AM/PM") &amp; CHAR(10) &amp; "Venue: " &amp; 'Profit &amp; Loss'!E944 &amp; CHAR(10) &amp; "Level: HB - LI" &amp; CHAR(10) &amp; "Cost: $" &amp; 'Profit &amp; Loss'!O944 &amp; " per pax" &amp; CHAR(10) &amp; "Max " &amp; 'Profit &amp; Loss'!I944*6 &amp; " pax," &amp; " (" &amp; 'Profit &amp; Loss'!I944 &amp; " courts)" &amp; CHAR(10) &amp; CHAR(10) &amp; "RSL Ultimate shuttles provided" &amp; CHAR(10) &amp; CHAR(10) &amp; "PM if interested, thank you!"," ")</f>
        <v xml:space="preserve"> </v>
      </c>
      <c r="B941" s="2" t="str">
        <f ca="1">IF('Profit &amp; Loss'!A944&gt;=TODAY(), "Date: " &amp; TEXT('Profit &amp; Loss'!A944,"dd mmm yyy") &amp; ", " &amp; 'Profit &amp; Loss'!B944 &amp; CHAR(10) &amp; "Time: " &amp; TEXT('Profit &amp; Loss'!C944, "hh:mm AM/PM") &amp; " - " &amp; TEXT('Profit &amp; Loss'!D944, "hh:mm AM/PM") &amp; CHAR(10) &amp; "Venue: " &amp; 'Profit &amp; Loss'!E944 &amp; CHAR(10) &amp; "Court No.: " &amp; 'Profit &amp; Loss'!F944 &amp; CHAR(10) &amp; "Level: HB - LI" &amp; CHAR(10) &amp; "Please transfer $" &amp; 'Profit &amp; Loss'!O944 &amp; " per pax to Belle (83396501)" &amp; CHAR(10) &amp; CHAR(10) &amp; IF('Profit &amp; Loss'!I944=1, "1." &amp; CHAR(10) &amp; "2." &amp; CHAR(10) &amp; "3." &amp; CHAR(10) &amp; "4." &amp; CHAR(10) &amp; "5." &amp; CHAR(10) &amp; "6." &amp; CHAR(10), IF('Profit &amp; Loss'!I944=2,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2" spans="1:2" ht="12.5" x14ac:dyDescent="0.25">
      <c r="A942" s="2" t="str">
        <f ca="1">IF('Profit &amp; Loss'!A945&gt;=TODAY(),"Looking for friendly players to join the following game: " &amp; CHAR(10) &amp; CHAR(10) &amp; "Date: " &amp; TEXT('Profit &amp; Loss'!A945,"dd mmm yyy") &amp; ", " &amp; 'Profit &amp; Loss'!B945 &amp; CHAR(10) &amp; "Time: " &amp; TEXT('Profit &amp; Loss'!C945, "hh:mm AM/PM") &amp; " - " &amp; TEXT('Profit &amp; Loss'!D945, "hh:mm AM/PM") &amp; CHAR(10) &amp; "Venue: " &amp; 'Profit &amp; Loss'!E945 &amp; CHAR(10) &amp; "Level: HB - LI" &amp; CHAR(10) &amp; "Cost: $" &amp; 'Profit &amp; Loss'!O945 &amp; " per pax" &amp; CHAR(10) &amp; "Max " &amp; 'Profit &amp; Loss'!I945*6 &amp; " pax," &amp; " (" &amp; 'Profit &amp; Loss'!I945 &amp; " courts)" &amp; CHAR(10) &amp; CHAR(10) &amp; "RSL Ultimate shuttles provided" &amp; CHAR(10) &amp; CHAR(10) &amp; "PM if interested, thank you!"," ")</f>
        <v xml:space="preserve"> </v>
      </c>
      <c r="B942" s="2" t="str">
        <f ca="1">IF('Profit &amp; Loss'!A945&gt;=TODAY(), "Date: " &amp; TEXT('Profit &amp; Loss'!A945,"dd mmm yyy") &amp; ", " &amp; 'Profit &amp; Loss'!B945 &amp; CHAR(10) &amp; "Time: " &amp; TEXT('Profit &amp; Loss'!C945, "hh:mm AM/PM") &amp; " - " &amp; TEXT('Profit &amp; Loss'!D945, "hh:mm AM/PM") &amp; CHAR(10) &amp; "Venue: " &amp; 'Profit &amp; Loss'!E945 &amp; CHAR(10) &amp; "Court No.: " &amp; 'Profit &amp; Loss'!F945 &amp; CHAR(10) &amp; "Level: HB - LI" &amp; CHAR(10) &amp; "Please transfer $" &amp; 'Profit &amp; Loss'!O945 &amp; " per pax to Belle (83396501)" &amp; CHAR(10) &amp; CHAR(10) &amp; IF('Profit &amp; Loss'!I945=1, "1." &amp; CHAR(10) &amp; "2." &amp; CHAR(10) &amp; "3." &amp; CHAR(10) &amp; "4." &amp; CHAR(10) &amp; "5." &amp; CHAR(10) &amp; "6." &amp; CHAR(10), IF('Profit &amp; Loss'!I945=2,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3" spans="1:2" ht="12.5" x14ac:dyDescent="0.25">
      <c r="A943" s="2" t="str">
        <f ca="1">IF('Profit &amp; Loss'!A946&gt;=TODAY(),"Looking for friendly players to join the following game: " &amp; CHAR(10) &amp; CHAR(10) &amp; "Date: " &amp; TEXT('Profit &amp; Loss'!A946,"dd mmm yyy") &amp; ", " &amp; 'Profit &amp; Loss'!B946 &amp; CHAR(10) &amp; "Time: " &amp; TEXT('Profit &amp; Loss'!C946, "hh:mm AM/PM") &amp; " - " &amp; TEXT('Profit &amp; Loss'!D946, "hh:mm AM/PM") &amp; CHAR(10) &amp; "Venue: " &amp; 'Profit &amp; Loss'!E946 &amp; CHAR(10) &amp; "Level: HB - LI" &amp; CHAR(10) &amp; "Cost: $" &amp; 'Profit &amp; Loss'!O946 &amp; " per pax" &amp; CHAR(10) &amp; "Max " &amp; 'Profit &amp; Loss'!I946*6 &amp; " pax," &amp; " (" &amp; 'Profit &amp; Loss'!I946 &amp; " courts)" &amp; CHAR(10) &amp; CHAR(10) &amp; "RSL Ultimate shuttles provided" &amp; CHAR(10) &amp; CHAR(10) &amp; "PM if interested, thank you!"," ")</f>
        <v xml:space="preserve"> </v>
      </c>
      <c r="B943" s="2" t="str">
        <f ca="1">IF('Profit &amp; Loss'!A946&gt;=TODAY(), "Date: " &amp; TEXT('Profit &amp; Loss'!A946,"dd mmm yyy") &amp; ", " &amp; 'Profit &amp; Loss'!B946 &amp; CHAR(10) &amp; "Time: " &amp; TEXT('Profit &amp; Loss'!C946, "hh:mm AM/PM") &amp; " - " &amp; TEXT('Profit &amp; Loss'!D946, "hh:mm AM/PM") &amp; CHAR(10) &amp; "Venue: " &amp; 'Profit &amp; Loss'!E946 &amp; CHAR(10) &amp; "Court No.: " &amp; 'Profit &amp; Loss'!F946 &amp; CHAR(10) &amp; "Level: HB - LI" &amp; CHAR(10) &amp; "Please transfer $" &amp; 'Profit &amp; Loss'!O946 &amp; " per pax to Belle (83396501)" &amp; CHAR(10) &amp; CHAR(10) &amp; IF('Profit &amp; Loss'!I946=1, "1." &amp; CHAR(10) &amp; "2." &amp; CHAR(10) &amp; "3." &amp; CHAR(10) &amp; "4." &amp; CHAR(10) &amp; "5." &amp; CHAR(10) &amp; "6." &amp; CHAR(10), IF('Profit &amp; Loss'!I946=2,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4" spans="1:2" ht="12.5" x14ac:dyDescent="0.25">
      <c r="A944" s="2" t="str">
        <f ca="1">IF('Profit &amp; Loss'!A947&gt;=TODAY(),"Looking for friendly players to join the following game: " &amp; CHAR(10) &amp; CHAR(10) &amp; "Date: " &amp; TEXT('Profit &amp; Loss'!A947,"dd mmm yyy") &amp; ", " &amp; 'Profit &amp; Loss'!B947 &amp; CHAR(10) &amp; "Time: " &amp; TEXT('Profit &amp; Loss'!C947, "hh:mm AM/PM") &amp; " - " &amp; TEXT('Profit &amp; Loss'!D947, "hh:mm AM/PM") &amp; CHAR(10) &amp; "Venue: " &amp; 'Profit &amp; Loss'!E947 &amp; CHAR(10) &amp; "Level: HB - LI" &amp; CHAR(10) &amp; "Cost: $" &amp; 'Profit &amp; Loss'!O947 &amp; " per pax" &amp; CHAR(10) &amp; "Max " &amp; 'Profit &amp; Loss'!I947*6 &amp; " pax," &amp; " (" &amp; 'Profit &amp; Loss'!I947 &amp; " courts)" &amp; CHAR(10) &amp; CHAR(10) &amp; "RSL Ultimate shuttles provided" &amp; CHAR(10) &amp; CHAR(10) &amp; "PM if interested, thank you!"," ")</f>
        <v xml:space="preserve"> </v>
      </c>
      <c r="B944" s="2" t="str">
        <f ca="1">IF('Profit &amp; Loss'!A947&gt;=TODAY(), "Date: " &amp; TEXT('Profit &amp; Loss'!A947,"dd mmm yyy") &amp; ", " &amp; 'Profit &amp; Loss'!B947 &amp; CHAR(10) &amp; "Time: " &amp; TEXT('Profit &amp; Loss'!C947, "hh:mm AM/PM") &amp; " - " &amp; TEXT('Profit &amp; Loss'!D947, "hh:mm AM/PM") &amp; CHAR(10) &amp; "Venue: " &amp; 'Profit &amp; Loss'!E947 &amp; CHAR(10) &amp; "Court No.: " &amp; 'Profit &amp; Loss'!F947 &amp; CHAR(10) &amp; "Level: HB - LI" &amp; CHAR(10) &amp; "Please transfer $" &amp; 'Profit &amp; Loss'!O947 &amp; " per pax to Belle (83396501)" &amp; CHAR(10) &amp; CHAR(10) &amp; IF('Profit &amp; Loss'!I947=1, "1." &amp; CHAR(10) &amp; "2." &amp; CHAR(10) &amp; "3." &amp; CHAR(10) &amp; "4." &amp; CHAR(10) &amp; "5." &amp; CHAR(10) &amp; "6." &amp; CHAR(10), IF('Profit &amp; Loss'!I947=2,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5" spans="1:2" ht="12.5" x14ac:dyDescent="0.25">
      <c r="A945" s="2" t="str">
        <f ca="1">IF('Profit &amp; Loss'!A948&gt;=TODAY(),"Looking for friendly players to join the following game: " &amp; CHAR(10) &amp; CHAR(10) &amp; "Date: " &amp; TEXT('Profit &amp; Loss'!A948,"dd mmm yyy") &amp; ", " &amp; 'Profit &amp; Loss'!B948 &amp; CHAR(10) &amp; "Time: " &amp; TEXT('Profit &amp; Loss'!C948, "hh:mm AM/PM") &amp; " - " &amp; TEXT('Profit &amp; Loss'!D948, "hh:mm AM/PM") &amp; CHAR(10) &amp; "Venue: " &amp; 'Profit &amp; Loss'!E948 &amp; CHAR(10) &amp; "Level: HB - LI" &amp; CHAR(10) &amp; "Cost: $" &amp; 'Profit &amp; Loss'!O948 &amp; " per pax" &amp; CHAR(10) &amp; "Max " &amp; 'Profit &amp; Loss'!I948*6 &amp; " pax," &amp; " (" &amp; 'Profit &amp; Loss'!I948 &amp; " courts)" &amp; CHAR(10) &amp; CHAR(10) &amp; "RSL Ultimate shuttles provided" &amp; CHAR(10) &amp; CHAR(10) &amp; "PM if interested, thank you!"," ")</f>
        <v xml:space="preserve"> </v>
      </c>
      <c r="B945" s="2" t="str">
        <f ca="1">IF('Profit &amp; Loss'!A948&gt;=TODAY(), "Date: " &amp; TEXT('Profit &amp; Loss'!A948,"dd mmm yyy") &amp; ", " &amp; 'Profit &amp; Loss'!B948 &amp; CHAR(10) &amp; "Time: " &amp; TEXT('Profit &amp; Loss'!C948, "hh:mm AM/PM") &amp; " - " &amp; TEXT('Profit &amp; Loss'!D948, "hh:mm AM/PM") &amp; CHAR(10) &amp; "Venue: " &amp; 'Profit &amp; Loss'!E948 &amp; CHAR(10) &amp; "Court No.: " &amp; 'Profit &amp; Loss'!F948 &amp; CHAR(10) &amp; "Level: HB - LI" &amp; CHAR(10) &amp; "Please transfer $" &amp; 'Profit &amp; Loss'!O948 &amp; " per pax to Belle (83396501)" &amp; CHAR(10) &amp; CHAR(10) &amp; IF('Profit &amp; Loss'!I948=1, "1." &amp; CHAR(10) &amp; "2." &amp; CHAR(10) &amp; "3." &amp; CHAR(10) &amp; "4." &amp; CHAR(10) &amp; "5." &amp; CHAR(10) &amp; "6." &amp; CHAR(10), IF('Profit &amp; Loss'!I948=2,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6" spans="1:2" ht="12.5" x14ac:dyDescent="0.25">
      <c r="A946" s="2" t="str">
        <f ca="1">IF('Profit &amp; Loss'!A949&gt;=TODAY(),"Looking for friendly players to join the following game: " &amp; CHAR(10) &amp; CHAR(10) &amp; "Date: " &amp; TEXT('Profit &amp; Loss'!A949,"dd mmm yyy") &amp; ", " &amp; 'Profit &amp; Loss'!B949 &amp; CHAR(10) &amp; "Time: " &amp; TEXT('Profit &amp; Loss'!C949, "hh:mm AM/PM") &amp; " - " &amp; TEXT('Profit &amp; Loss'!D949, "hh:mm AM/PM") &amp; CHAR(10) &amp; "Venue: " &amp; 'Profit &amp; Loss'!E949 &amp; CHAR(10) &amp; "Level: HB - LI" &amp; CHAR(10) &amp; "Cost: $" &amp; 'Profit &amp; Loss'!O949 &amp; " per pax" &amp; CHAR(10) &amp; "Max " &amp; 'Profit &amp; Loss'!I949*6 &amp; " pax," &amp; " (" &amp; 'Profit &amp; Loss'!I949 &amp; " courts)" &amp; CHAR(10) &amp; CHAR(10) &amp; "RSL Ultimate shuttles provided" &amp; CHAR(10) &amp; CHAR(10) &amp; "PM if interested, thank you!"," ")</f>
        <v xml:space="preserve"> </v>
      </c>
      <c r="B946" s="2" t="str">
        <f ca="1">IF('Profit &amp; Loss'!A949&gt;=TODAY(), "Date: " &amp; TEXT('Profit &amp; Loss'!A949,"dd mmm yyy") &amp; ", " &amp; 'Profit &amp; Loss'!B949 &amp; CHAR(10) &amp; "Time: " &amp; TEXT('Profit &amp; Loss'!C949, "hh:mm AM/PM") &amp; " - " &amp; TEXT('Profit &amp; Loss'!D949, "hh:mm AM/PM") &amp; CHAR(10) &amp; "Venue: " &amp; 'Profit &amp; Loss'!E949 &amp; CHAR(10) &amp; "Court No.: " &amp; 'Profit &amp; Loss'!F949 &amp; CHAR(10) &amp; "Level: HB - LI" &amp; CHAR(10) &amp; "Please transfer $" &amp; 'Profit &amp; Loss'!O949 &amp; " per pax to Belle (83396501)" &amp; CHAR(10) &amp; CHAR(10) &amp; IF('Profit &amp; Loss'!I949=1, "1." &amp; CHAR(10) &amp; "2." &amp; CHAR(10) &amp; "3." &amp; CHAR(10) &amp; "4." &amp; CHAR(10) &amp; "5." &amp; CHAR(10) &amp; "6." &amp; CHAR(10), IF('Profit &amp; Loss'!I949=2,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Loss'!I949=3,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7" spans="1:2" ht="12.5" x14ac:dyDescent="0.25">
      <c r="A947" s="2" t="str">
        <f ca="1">IF('Profit &amp; Loss'!A950&gt;=TODAY(),"Looking for friendly players to join the following game: " &amp; CHAR(10) &amp; CHAR(10) &amp; "Date: " &amp; TEXT('Profit &amp; Loss'!A950,"dd mmm yyy") &amp; ", " &amp; 'Profit &amp; Loss'!B950 &amp; CHAR(10) &amp; "Time: " &amp; TEXT('Profit &amp; Loss'!C950, "hh:mm AM/PM") &amp; " - " &amp; TEXT('Profit &amp; Loss'!D950, "hh:mm AM/PM") &amp; CHAR(10) &amp; "Venue: " &amp; 'Profit &amp; Loss'!E950 &amp; CHAR(10) &amp; "Level: HB - LI" &amp; CHAR(10) &amp; "Cost: $" &amp; 'Profit &amp; Loss'!O950 &amp; " per pax" &amp; CHAR(10) &amp; "Max " &amp; 'Profit &amp; Loss'!I950*6 &amp; " pax," &amp; " (" &amp; 'Profit &amp; Loss'!I950 &amp; " courts)" &amp; CHAR(10) &amp; CHAR(10) &amp; "RSL Ultimate shuttles provided" &amp; CHAR(10) &amp; CHAR(10) &amp; "PM if interested, thank you!"," ")</f>
        <v xml:space="preserve"> </v>
      </c>
      <c r="B947" s="2" t="str">
        <f ca="1">IF('Profit &amp; Loss'!A950&gt;=TODAY(), "Date: " &amp; TEXT('Profit &amp; Loss'!A950,"dd mmm yyy") &amp; ", " &amp; 'Profit &amp; Loss'!B950 &amp; CHAR(10) &amp; "Time: " &amp; TEXT('Profit &amp; Loss'!C950, "hh:mm AM/PM") &amp; " - " &amp; TEXT('Profit &amp; Loss'!D950, "hh:mm AM/PM") &amp; CHAR(10) &amp; "Venue: " &amp; 'Profit &amp; Loss'!E950 &amp; CHAR(10) &amp; "Court No.: " &amp; 'Profit &amp; Loss'!F950 &amp; CHAR(10) &amp; "Level: HB - LI" &amp; CHAR(10) &amp; "Please transfer $" &amp; 'Profit &amp; Loss'!O950 &amp; " per pax to Belle (83396501)" &amp; CHAR(10) &amp; CHAR(10) &amp; IF('Profit &amp; Loss'!I950=1, "1." &amp; CHAR(10) &amp; "2." &amp; CHAR(10) &amp; "3." &amp; CHAR(10) &amp; "4." &amp; CHAR(10) &amp; "5." &amp; CHAR(10) &amp; "6." &amp; CHAR(10), IF('Profit &amp; Loss'!I950=2,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8" spans="1:2" ht="12.5" x14ac:dyDescent="0.25">
      <c r="A948" s="2" t="str">
        <f ca="1">IF('Profit &amp; Loss'!A951&gt;=TODAY(),"Looking for friendly players to join the following game: " &amp; CHAR(10) &amp; CHAR(10) &amp; "Date: " &amp; TEXT('Profit &amp; Loss'!A951,"dd mmm yyy") &amp; ", " &amp; 'Profit &amp; Loss'!B951 &amp; CHAR(10) &amp; "Time: " &amp; TEXT('Profit &amp; Loss'!C951, "hh:mm AM/PM") &amp; " - " &amp; TEXT('Profit &amp; Loss'!D951, "hh:mm AM/PM") &amp; CHAR(10) &amp; "Venue: " &amp; 'Profit &amp; Loss'!E951 &amp; CHAR(10) &amp; "Level: HB - LI" &amp; CHAR(10) &amp; "Cost: $" &amp; 'Profit &amp; Loss'!O951 &amp; " per pax" &amp; CHAR(10) &amp; "Max " &amp; 'Profit &amp; Loss'!I951*6 &amp; " pax," &amp; " (" &amp; 'Profit &amp; Loss'!I951 &amp; " courts)" &amp; CHAR(10) &amp; CHAR(10) &amp; "RSL Ultimate shuttles provided" &amp; CHAR(10) &amp; CHAR(10) &amp; "PM if interested, thank you!"," ")</f>
        <v xml:space="preserve"> </v>
      </c>
      <c r="B948" s="2" t="str">
        <f ca="1">IF('Profit &amp; Loss'!A951&gt;=TODAY(), "Date: " &amp; TEXT('Profit &amp; Loss'!A951,"dd mmm yyy") &amp; ", " &amp; 'Profit &amp; Loss'!B951 &amp; CHAR(10) &amp; "Time: " &amp; TEXT('Profit &amp; Loss'!C951, "hh:mm AM/PM") &amp; " - " &amp; TEXT('Profit &amp; Loss'!D951, "hh:mm AM/PM") &amp; CHAR(10) &amp; "Venue: " &amp; 'Profit &amp; Loss'!E951 &amp; CHAR(10) &amp; "Court No.: " &amp; 'Profit &amp; Loss'!F951 &amp; CHAR(10) &amp; "Level: HB - LI" &amp; CHAR(10) &amp; "Please transfer $" &amp; 'Profit &amp; Loss'!O951 &amp; " per pax to Belle (83396501)" &amp; CHAR(10) &amp; CHAR(10) &amp; IF('Profit &amp; Loss'!I951=1, "1." &amp; CHAR(10) &amp; "2." &amp; CHAR(10) &amp; "3." &amp; CHAR(10) &amp; "4." &amp; CHAR(10) &amp; "5." &amp; CHAR(10) &amp; "6." &amp; CHAR(10), IF('Profit &amp; Loss'!I951=2,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49" spans="1:2" ht="12.5" x14ac:dyDescent="0.25">
      <c r="A949" s="2" t="str">
        <f ca="1">IF('Profit &amp; Loss'!A952&gt;=TODAY(),"Looking for friendly players to join the following game: " &amp; CHAR(10) &amp; CHAR(10) &amp; "Date: " &amp; TEXT('Profit &amp; Loss'!A952,"dd mmm yyy") &amp; ", " &amp; 'Profit &amp; Loss'!B952 &amp; CHAR(10) &amp; "Time: " &amp; TEXT('Profit &amp; Loss'!C952, "hh:mm AM/PM") &amp; " - " &amp; TEXT('Profit &amp; Loss'!D952, "hh:mm AM/PM") &amp; CHAR(10) &amp; "Venue: " &amp; 'Profit &amp; Loss'!E952 &amp; CHAR(10) &amp; "Level: HB - LI" &amp; CHAR(10) &amp; "Cost: $" &amp; 'Profit &amp; Loss'!O952 &amp; " per pax" &amp; CHAR(10) &amp; "Max " &amp; 'Profit &amp; Loss'!I952*6 &amp; " pax," &amp; " (" &amp; 'Profit &amp; Loss'!I952 &amp; " courts)" &amp; CHAR(10) &amp; CHAR(10) &amp; "RSL Ultimate shuttles provided" &amp; CHAR(10) &amp; CHAR(10) &amp; "PM if interested, thank you!"," ")</f>
        <v xml:space="preserve"> </v>
      </c>
      <c r="B949" s="2" t="str">
        <f ca="1">IF('Profit &amp; Loss'!A952&gt;=TODAY(), "Date: " &amp; TEXT('Profit &amp; Loss'!A952,"dd mmm yyy") &amp; ", " &amp; 'Profit &amp; Loss'!B952 &amp; CHAR(10) &amp; "Time: " &amp; TEXT('Profit &amp; Loss'!C952, "hh:mm AM/PM") &amp; " - " &amp; TEXT('Profit &amp; Loss'!D952, "hh:mm AM/PM") &amp; CHAR(10) &amp; "Venue: " &amp; 'Profit &amp; Loss'!E952 &amp; CHAR(10) &amp; "Court No.: " &amp; 'Profit &amp; Loss'!F952 &amp; CHAR(10) &amp; "Level: HB - LI" &amp; CHAR(10) &amp; "Please transfer $" &amp; 'Profit &amp; Loss'!O952 &amp; " per pax to Belle (83396501)" &amp; CHAR(10) &amp; CHAR(10) &amp; IF('Profit &amp; Loss'!I952=1, "1." &amp; CHAR(10) &amp; "2." &amp; CHAR(10) &amp; "3." &amp; CHAR(10) &amp; "4." &amp; CHAR(10) &amp; "5." &amp; CHAR(10) &amp; "6." &amp; CHAR(10), IF('Profit &amp; Loss'!I952=2,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0" spans="1:2" ht="12.5" x14ac:dyDescent="0.25">
      <c r="A950" s="2" t="str">
        <f ca="1">IF('Profit &amp; Loss'!A953&gt;=TODAY(),"Looking for friendly players to join the following game: " &amp; CHAR(10) &amp; CHAR(10) &amp; "Date: " &amp; TEXT('Profit &amp; Loss'!A953,"dd mmm yyy") &amp; ", " &amp; 'Profit &amp; Loss'!B953 &amp; CHAR(10) &amp; "Time: " &amp; TEXT('Profit &amp; Loss'!C953, "hh:mm AM/PM") &amp; " - " &amp; TEXT('Profit &amp; Loss'!D953, "hh:mm AM/PM") &amp; CHAR(10) &amp; "Venue: " &amp; 'Profit &amp; Loss'!E953 &amp; CHAR(10) &amp; "Level: HB - LI" &amp; CHAR(10) &amp; "Cost: $" &amp; 'Profit &amp; Loss'!O953 &amp; " per pax" &amp; CHAR(10) &amp; "Max " &amp; 'Profit &amp; Loss'!I953*6 &amp; " pax," &amp; " (" &amp; 'Profit &amp; Loss'!I953 &amp; " courts)" &amp; CHAR(10) &amp; CHAR(10) &amp; "RSL Ultimate shuttles provided" &amp; CHAR(10) &amp; CHAR(10) &amp; "PM if interested, thank you!"," ")</f>
        <v xml:space="preserve"> </v>
      </c>
      <c r="B950" s="2" t="str">
        <f ca="1">IF('Profit &amp; Loss'!A953&gt;=TODAY(), "Date: " &amp; TEXT('Profit &amp; Loss'!A953,"dd mmm yyy") &amp; ", " &amp; 'Profit &amp; Loss'!B953 &amp; CHAR(10) &amp; "Time: " &amp; TEXT('Profit &amp; Loss'!C953, "hh:mm AM/PM") &amp; " - " &amp; TEXT('Profit &amp; Loss'!D953, "hh:mm AM/PM") &amp; CHAR(10) &amp; "Venue: " &amp; 'Profit &amp; Loss'!E953 &amp; CHAR(10) &amp; "Court No.: " &amp; 'Profit &amp; Loss'!F953 &amp; CHAR(10) &amp; "Level: HB - LI" &amp; CHAR(10) &amp; "Please transfer $" &amp; 'Profit &amp; Loss'!O953 &amp; " per pax to Belle (83396501)" &amp; CHAR(10) &amp; CHAR(10) &amp; IF('Profit &amp; Loss'!I953=1, "1." &amp; CHAR(10) &amp; "2." &amp; CHAR(10) &amp; "3." &amp; CHAR(10) &amp; "4." &amp; CHAR(10) &amp; "5." &amp; CHAR(10) &amp; "6." &amp; CHAR(10), IF('Profit &amp; Loss'!I953=2,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1" spans="1:2" ht="12.5" x14ac:dyDescent="0.25">
      <c r="A951" s="2" t="str">
        <f ca="1">IF('Profit &amp; Loss'!A954&gt;=TODAY(),"Looking for friendly players to join the following game: " &amp; CHAR(10) &amp; CHAR(10) &amp; "Date: " &amp; TEXT('Profit &amp; Loss'!A954,"dd mmm yyy") &amp; ", " &amp; 'Profit &amp; Loss'!B954 &amp; CHAR(10) &amp; "Time: " &amp; TEXT('Profit &amp; Loss'!C954, "hh:mm AM/PM") &amp; " - " &amp; TEXT('Profit &amp; Loss'!D954, "hh:mm AM/PM") &amp; CHAR(10) &amp; "Venue: " &amp; 'Profit &amp; Loss'!E954 &amp; CHAR(10) &amp; "Level: HB - LI" &amp; CHAR(10) &amp; "Cost: $" &amp; 'Profit &amp; Loss'!O954 &amp; " per pax" &amp; CHAR(10) &amp; "Max " &amp; 'Profit &amp; Loss'!I954*6 &amp; " pax," &amp; " (" &amp; 'Profit &amp; Loss'!I954 &amp; " courts)" &amp; CHAR(10) &amp; CHAR(10) &amp; "RSL Ultimate shuttles provided" &amp; CHAR(10) &amp; CHAR(10) &amp; "PM if interested, thank you!"," ")</f>
        <v xml:space="preserve"> </v>
      </c>
      <c r="B951" s="2" t="str">
        <f ca="1">IF('Profit &amp; Loss'!A954&gt;=TODAY(), "Date: " &amp; TEXT('Profit &amp; Loss'!A954,"dd mmm yyy") &amp; ", " &amp; 'Profit &amp; Loss'!B954 &amp; CHAR(10) &amp; "Time: " &amp; TEXT('Profit &amp; Loss'!C954, "hh:mm AM/PM") &amp; " - " &amp; TEXT('Profit &amp; Loss'!D954, "hh:mm AM/PM") &amp; CHAR(10) &amp; "Venue: " &amp; 'Profit &amp; Loss'!E954 &amp; CHAR(10) &amp; "Court No.: " &amp; 'Profit &amp; Loss'!F954 &amp; CHAR(10) &amp; "Level: HB - LI" &amp; CHAR(10) &amp; "Please transfer $" &amp; 'Profit &amp; Loss'!O954 &amp; " per pax to Belle (83396501)" &amp; CHAR(10) &amp; CHAR(10) &amp; IF('Profit &amp; Loss'!I954=1, "1." &amp; CHAR(10) &amp; "2." &amp; CHAR(10) &amp; "3." &amp; CHAR(10) &amp; "4." &amp; CHAR(10) &amp; "5." &amp; CHAR(10) &amp; "6." &amp; CHAR(10), IF('Profit &amp; Loss'!I954=2,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2" spans="1:2" ht="12.5" x14ac:dyDescent="0.25">
      <c r="A952" s="2" t="str">
        <f ca="1">IF('Profit &amp; Loss'!A955&gt;=TODAY(),"Looking for friendly players to join the following game: " &amp; CHAR(10) &amp; CHAR(10) &amp; "Date: " &amp; TEXT('Profit &amp; Loss'!A955,"dd mmm yyy") &amp; ", " &amp; 'Profit &amp; Loss'!B955 &amp; CHAR(10) &amp; "Time: " &amp; TEXT('Profit &amp; Loss'!C955, "hh:mm AM/PM") &amp; " - " &amp; TEXT('Profit &amp; Loss'!D955, "hh:mm AM/PM") &amp; CHAR(10) &amp; "Venue: " &amp; 'Profit &amp; Loss'!E955 &amp; CHAR(10) &amp; "Level: HB - LI" &amp; CHAR(10) &amp; "Cost: $" &amp; 'Profit &amp; Loss'!O955 &amp; " per pax" &amp; CHAR(10) &amp; "Max " &amp; 'Profit &amp; Loss'!I955*6 &amp; " pax," &amp; " (" &amp; 'Profit &amp; Loss'!I955 &amp; " courts)" &amp; CHAR(10) &amp; CHAR(10) &amp; "RSL Ultimate shuttles provided" &amp; CHAR(10) &amp; CHAR(10) &amp; "PM if interested, thank you!"," ")</f>
        <v xml:space="preserve"> </v>
      </c>
      <c r="B952" s="2" t="str">
        <f ca="1">IF('Profit &amp; Loss'!A955&gt;=TODAY(), "Date: " &amp; TEXT('Profit &amp; Loss'!A955,"dd mmm yyy") &amp; ", " &amp; 'Profit &amp; Loss'!B955 &amp; CHAR(10) &amp; "Time: " &amp; TEXT('Profit &amp; Loss'!C955, "hh:mm AM/PM") &amp; " - " &amp; TEXT('Profit &amp; Loss'!D955, "hh:mm AM/PM") &amp; CHAR(10) &amp; "Venue: " &amp; 'Profit &amp; Loss'!E955 &amp; CHAR(10) &amp; "Court No.: " &amp; 'Profit &amp; Loss'!F955 &amp; CHAR(10) &amp; "Level: HB - LI" &amp; CHAR(10) &amp; "Please transfer $" &amp; 'Profit &amp; Loss'!O955 &amp; " per pax to Belle (83396501)" &amp; CHAR(10) &amp; CHAR(10) &amp; IF('Profit &amp; Loss'!I955=1, "1." &amp; CHAR(10) &amp; "2." &amp; CHAR(10) &amp; "3." &amp; CHAR(10) &amp; "4." &amp; CHAR(10) &amp; "5." &amp; CHAR(10) &amp; "6." &amp; CHAR(10), IF('Profit &amp; Loss'!I955=2,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3" spans="1:2" ht="12.5" x14ac:dyDescent="0.25">
      <c r="A953" s="2" t="str">
        <f ca="1">IF('Profit &amp; Loss'!A956&gt;=TODAY(),"Looking for friendly players to join the following game: " &amp; CHAR(10) &amp; CHAR(10) &amp; "Date: " &amp; TEXT('Profit &amp; Loss'!A956,"dd mmm yyy") &amp; ", " &amp; 'Profit &amp; Loss'!B956 &amp; CHAR(10) &amp; "Time: " &amp; TEXT('Profit &amp; Loss'!C956, "hh:mm AM/PM") &amp; " - " &amp; TEXT('Profit &amp; Loss'!D956, "hh:mm AM/PM") &amp; CHAR(10) &amp; "Venue: " &amp; 'Profit &amp; Loss'!E956 &amp; CHAR(10) &amp; "Level: HB - LI" &amp; CHAR(10) &amp; "Cost: $" &amp; 'Profit &amp; Loss'!O956 &amp; " per pax" &amp; CHAR(10) &amp; "Max " &amp; 'Profit &amp; Loss'!I956*6 &amp; " pax," &amp; " (" &amp; 'Profit &amp; Loss'!I956 &amp; " courts)" &amp; CHAR(10) &amp; CHAR(10) &amp; "RSL Ultimate shuttles provided" &amp; CHAR(10) &amp; CHAR(10) &amp; "PM if interested, thank you!"," ")</f>
        <v xml:space="preserve"> </v>
      </c>
      <c r="B953" s="2" t="str">
        <f ca="1">IF('Profit &amp; Loss'!A956&gt;=TODAY(), "Date: " &amp; TEXT('Profit &amp; Loss'!A956,"dd mmm yyy") &amp; ", " &amp; 'Profit &amp; Loss'!B956 &amp; CHAR(10) &amp; "Time: " &amp; TEXT('Profit &amp; Loss'!C956, "hh:mm AM/PM") &amp; " - " &amp; TEXT('Profit &amp; Loss'!D956, "hh:mm AM/PM") &amp; CHAR(10) &amp; "Venue: " &amp; 'Profit &amp; Loss'!E956 &amp; CHAR(10) &amp; "Court No.: " &amp; 'Profit &amp; Loss'!F956 &amp; CHAR(10) &amp; "Level: HB - LI" &amp; CHAR(10) &amp; "Please transfer $" &amp; 'Profit &amp; Loss'!O956 &amp; " per pax to Belle (83396501)" &amp; CHAR(10) &amp; CHAR(10) &amp; IF('Profit &amp; Loss'!I956=1, "1." &amp; CHAR(10) &amp; "2." &amp; CHAR(10) &amp; "3." &amp; CHAR(10) &amp; "4." &amp; CHAR(10) &amp; "5." &amp; CHAR(10) &amp; "6." &amp; CHAR(10), IF('Profit &amp; Loss'!I956=2,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4" spans="1:2" ht="12.5" x14ac:dyDescent="0.25">
      <c r="A954" s="2" t="str">
        <f ca="1">IF('Profit &amp; Loss'!A957&gt;=TODAY(),"Looking for friendly players to join the following game: " &amp; CHAR(10) &amp; CHAR(10) &amp; "Date: " &amp; TEXT('Profit &amp; Loss'!A957,"dd mmm yyy") &amp; ", " &amp; 'Profit &amp; Loss'!B957 &amp; CHAR(10) &amp; "Time: " &amp; TEXT('Profit &amp; Loss'!C957, "hh:mm AM/PM") &amp; " - " &amp; TEXT('Profit &amp; Loss'!D957, "hh:mm AM/PM") &amp; CHAR(10) &amp; "Venue: " &amp; 'Profit &amp; Loss'!E957 &amp; CHAR(10) &amp; "Level: HB - LI" &amp; CHAR(10) &amp; "Cost: $" &amp; 'Profit &amp; Loss'!O957 &amp; " per pax" &amp; CHAR(10) &amp; "Max " &amp; 'Profit &amp; Loss'!I957*6 &amp; " pax," &amp; " (" &amp; 'Profit &amp; Loss'!I957 &amp; " courts)" &amp; CHAR(10) &amp; CHAR(10) &amp; "RSL Ultimate shuttles provided" &amp; CHAR(10) &amp; CHAR(10) &amp; "PM if interested, thank you!"," ")</f>
        <v xml:space="preserve"> </v>
      </c>
      <c r="B954" s="2" t="str">
        <f ca="1">IF('Profit &amp; Loss'!A957&gt;=TODAY(), "Date: " &amp; TEXT('Profit &amp; Loss'!A957,"dd mmm yyy") &amp; ", " &amp; 'Profit &amp; Loss'!B957 &amp; CHAR(10) &amp; "Time: " &amp; TEXT('Profit &amp; Loss'!C957, "hh:mm AM/PM") &amp; " - " &amp; TEXT('Profit &amp; Loss'!D957, "hh:mm AM/PM") &amp; CHAR(10) &amp; "Venue: " &amp; 'Profit &amp; Loss'!E957 &amp; CHAR(10) &amp; "Court No.: " &amp; 'Profit &amp; Loss'!F957 &amp; CHAR(10) &amp; "Level: HB - LI" &amp; CHAR(10) &amp; "Please transfer $" &amp; 'Profit &amp; Loss'!O957 &amp; " per pax to Belle (83396501)" &amp; CHAR(10) &amp; CHAR(10) &amp; IF('Profit &amp; Loss'!I957=1, "1." &amp; CHAR(10) &amp; "2." &amp; CHAR(10) &amp; "3." &amp; CHAR(10) &amp; "4." &amp; CHAR(10) &amp; "5." &amp; CHAR(10) &amp; "6." &amp; CHAR(10), IF('Profit &amp; Loss'!I957=2,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5" spans="1:2" ht="12.5" x14ac:dyDescent="0.25">
      <c r="A955" s="2" t="str">
        <f ca="1">IF('Profit &amp; Loss'!A958&gt;=TODAY(),"Looking for friendly players to join the following game: " &amp; CHAR(10) &amp; CHAR(10) &amp; "Date: " &amp; TEXT('Profit &amp; Loss'!A958,"dd mmm yyy") &amp; ", " &amp; 'Profit &amp; Loss'!B958 &amp; CHAR(10) &amp; "Time: " &amp; TEXT('Profit &amp; Loss'!C958, "hh:mm AM/PM") &amp; " - " &amp; TEXT('Profit &amp; Loss'!D958, "hh:mm AM/PM") &amp; CHAR(10) &amp; "Venue: " &amp; 'Profit &amp; Loss'!E958 &amp; CHAR(10) &amp; "Level: HB - LI" &amp; CHAR(10) &amp; "Cost: $" &amp; 'Profit &amp; Loss'!O958 &amp; " per pax" &amp; CHAR(10) &amp; "Max " &amp; 'Profit &amp; Loss'!I958*6 &amp; " pax," &amp; " (" &amp; 'Profit &amp; Loss'!I958 &amp; " courts)" &amp; CHAR(10) &amp; CHAR(10) &amp; "RSL Ultimate shuttles provided" &amp; CHAR(10) &amp; CHAR(10) &amp; "PM if interested, thank you!"," ")</f>
        <v xml:space="preserve"> </v>
      </c>
      <c r="B955" s="2" t="str">
        <f ca="1">IF('Profit &amp; Loss'!A958&gt;=TODAY(), "Date: " &amp; TEXT('Profit &amp; Loss'!A958,"dd mmm yyy") &amp; ", " &amp; 'Profit &amp; Loss'!B958 &amp; CHAR(10) &amp; "Time: " &amp; TEXT('Profit &amp; Loss'!C958, "hh:mm AM/PM") &amp; " - " &amp; TEXT('Profit &amp; Loss'!D958, "hh:mm AM/PM") &amp; CHAR(10) &amp; "Venue: " &amp; 'Profit &amp; Loss'!E958 &amp; CHAR(10) &amp; "Court No.: " &amp; 'Profit &amp; Loss'!F958 &amp; CHAR(10) &amp; "Level: HB - LI" &amp; CHAR(10) &amp; "Please transfer $" &amp; 'Profit &amp; Loss'!O958 &amp; " per pax to Belle (83396501)" &amp; CHAR(10) &amp; CHAR(10) &amp; IF('Profit &amp; Loss'!I958=1, "1." &amp; CHAR(10) &amp; "2." &amp; CHAR(10) &amp; "3." &amp; CHAR(10) &amp; "4." &amp; CHAR(10) &amp; "5." &amp; CHAR(10) &amp; "6." &amp; CHAR(10), IF('Profit &amp; Loss'!I958=2,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6" spans="1:2" ht="12.5" x14ac:dyDescent="0.25">
      <c r="A956" s="2" t="str">
        <f ca="1">IF('Profit &amp; Loss'!A959&gt;=TODAY(),"Looking for friendly players to join the following game: " &amp; CHAR(10) &amp; CHAR(10) &amp; "Date: " &amp; TEXT('Profit &amp; Loss'!A959,"dd mmm yyy") &amp; ", " &amp; 'Profit &amp; Loss'!B959 &amp; CHAR(10) &amp; "Time: " &amp; TEXT('Profit &amp; Loss'!C959, "hh:mm AM/PM") &amp; " - " &amp; TEXT('Profit &amp; Loss'!D959, "hh:mm AM/PM") &amp; CHAR(10) &amp; "Venue: " &amp; 'Profit &amp; Loss'!E959 &amp; CHAR(10) &amp; "Level: HB - LI" &amp; CHAR(10) &amp; "Cost: $" &amp; 'Profit &amp; Loss'!O959 &amp; " per pax" &amp; CHAR(10) &amp; "Max " &amp; 'Profit &amp; Loss'!I959*6 &amp; " pax," &amp; " (" &amp; 'Profit &amp; Loss'!I959 &amp; " courts)" &amp; CHAR(10) &amp; CHAR(10) &amp; "RSL Ultimate shuttles provided" &amp; CHAR(10) &amp; CHAR(10) &amp; "PM if interested, thank you!"," ")</f>
        <v xml:space="preserve"> </v>
      </c>
      <c r="B956" s="2" t="str">
        <f ca="1">IF('Profit &amp; Loss'!A959&gt;=TODAY(), "Date: " &amp; TEXT('Profit &amp; Loss'!A959,"dd mmm yyy") &amp; ", " &amp; 'Profit &amp; Loss'!B959 &amp; CHAR(10) &amp; "Time: " &amp; TEXT('Profit &amp; Loss'!C959, "hh:mm AM/PM") &amp; " - " &amp; TEXT('Profit &amp; Loss'!D959, "hh:mm AM/PM") &amp; CHAR(10) &amp; "Venue: " &amp; 'Profit &amp; Loss'!E959 &amp; CHAR(10) &amp; "Court No.: " &amp; 'Profit &amp; Loss'!F959 &amp; CHAR(10) &amp; "Level: HB - LI" &amp; CHAR(10) &amp; "Please transfer $" &amp; 'Profit &amp; Loss'!O959 &amp; " per pax to Belle (83396501)" &amp; CHAR(10) &amp; CHAR(10) &amp; IF('Profit &amp; Loss'!I959=1, "1." &amp; CHAR(10) &amp; "2." &amp; CHAR(10) &amp; "3." &amp; CHAR(10) &amp; "4." &amp; CHAR(10) &amp; "5." &amp; CHAR(10) &amp; "6." &amp; CHAR(10), IF('Profit &amp; Loss'!I959=2,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Loss'!I959=3,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7" spans="1:2" ht="12.5" x14ac:dyDescent="0.25">
      <c r="A957" s="2" t="str">
        <f ca="1">IF('Profit &amp; Loss'!A960&gt;=TODAY(),"Looking for friendly players to join the following game: " &amp; CHAR(10) &amp; CHAR(10) &amp; "Date: " &amp; TEXT('Profit &amp; Loss'!A960,"dd mmm yyy") &amp; ", " &amp; 'Profit &amp; Loss'!B960 &amp; CHAR(10) &amp; "Time: " &amp; TEXT('Profit &amp; Loss'!C960, "hh:mm AM/PM") &amp; " - " &amp; TEXT('Profit &amp; Loss'!D960, "hh:mm AM/PM") &amp; CHAR(10) &amp; "Venue: " &amp; 'Profit &amp; Loss'!E960 &amp; CHAR(10) &amp; "Level: HB - LI" &amp; CHAR(10) &amp; "Cost: $" &amp; 'Profit &amp; Loss'!O960 &amp; " per pax" &amp; CHAR(10) &amp; "Max " &amp; 'Profit &amp; Loss'!I960*6 &amp; " pax," &amp; " (" &amp; 'Profit &amp; Loss'!I960 &amp; " courts)" &amp; CHAR(10) &amp; CHAR(10) &amp; "RSL Ultimate shuttles provided" &amp; CHAR(10) &amp; CHAR(10) &amp; "PM if interested, thank you!"," ")</f>
        <v xml:space="preserve"> </v>
      </c>
      <c r="B957" s="2" t="str">
        <f ca="1">IF('Profit &amp; Loss'!A960&gt;=TODAY(), "Date: " &amp; TEXT('Profit &amp; Loss'!A960,"dd mmm yyy") &amp; ", " &amp; 'Profit &amp; Loss'!B960 &amp; CHAR(10) &amp; "Time: " &amp; TEXT('Profit &amp; Loss'!C960, "hh:mm AM/PM") &amp; " - " &amp; TEXT('Profit &amp; Loss'!D960, "hh:mm AM/PM") &amp; CHAR(10) &amp; "Venue: " &amp; 'Profit &amp; Loss'!E960 &amp; CHAR(10) &amp; "Court No.: " &amp; 'Profit &amp; Loss'!F960 &amp; CHAR(10) &amp; "Level: HB - LI" &amp; CHAR(10) &amp; "Please transfer $" &amp; 'Profit &amp; Loss'!O960 &amp; " per pax to Belle (83396501)" &amp; CHAR(10) &amp; CHAR(10) &amp; IF('Profit &amp; Loss'!I960=1, "1." &amp; CHAR(10) &amp; "2." &amp; CHAR(10) &amp; "3." &amp; CHAR(10) &amp; "4." &amp; CHAR(10) &amp; "5." &amp; CHAR(10) &amp; "6." &amp; CHAR(10), IF('Profit &amp; Loss'!I960=2,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8" spans="1:2" ht="12.5" x14ac:dyDescent="0.25">
      <c r="A958" s="2" t="str">
        <f ca="1">IF('Profit &amp; Loss'!A961&gt;=TODAY(),"Looking for friendly players to join the following game: " &amp; CHAR(10) &amp; CHAR(10) &amp; "Date: " &amp; TEXT('Profit &amp; Loss'!A961,"dd mmm yyy") &amp; ", " &amp; 'Profit &amp; Loss'!B961 &amp; CHAR(10) &amp; "Time: " &amp; TEXT('Profit &amp; Loss'!C961, "hh:mm AM/PM") &amp; " - " &amp; TEXT('Profit &amp; Loss'!D961, "hh:mm AM/PM") &amp; CHAR(10) &amp; "Venue: " &amp; 'Profit &amp; Loss'!E961 &amp; CHAR(10) &amp; "Level: HB - LI" &amp; CHAR(10) &amp; "Cost: $" &amp; 'Profit &amp; Loss'!O961 &amp; " per pax" &amp; CHAR(10) &amp; "Max " &amp; 'Profit &amp; Loss'!I961*6 &amp; " pax," &amp; " (" &amp; 'Profit &amp; Loss'!I961 &amp; " courts)" &amp; CHAR(10) &amp; CHAR(10) &amp; "RSL Ultimate shuttles provided" &amp; CHAR(10) &amp; CHAR(10) &amp; "PM if interested, thank you!"," ")</f>
        <v xml:space="preserve"> </v>
      </c>
      <c r="B958" s="2" t="str">
        <f ca="1">IF('Profit &amp; Loss'!A961&gt;=TODAY(), "Date: " &amp; TEXT('Profit &amp; Loss'!A961,"dd mmm yyy") &amp; ", " &amp; 'Profit &amp; Loss'!B961 &amp; CHAR(10) &amp; "Time: " &amp; TEXT('Profit &amp; Loss'!C961, "hh:mm AM/PM") &amp; " - " &amp; TEXT('Profit &amp; Loss'!D961, "hh:mm AM/PM") &amp; CHAR(10) &amp; "Venue: " &amp; 'Profit &amp; Loss'!E961 &amp; CHAR(10) &amp; "Court No.: " &amp; 'Profit &amp; Loss'!F961 &amp; CHAR(10) &amp; "Level: HB - LI" &amp; CHAR(10) &amp; "Please transfer $" &amp; 'Profit &amp; Loss'!O961 &amp; " per pax to Belle (83396501)" &amp; CHAR(10) &amp; CHAR(10) &amp; IF('Profit &amp; Loss'!I961=1, "1." &amp; CHAR(10) &amp; "2." &amp; CHAR(10) &amp; "3." &amp; CHAR(10) &amp; "4." &amp; CHAR(10) &amp; "5." &amp; CHAR(10) &amp; "6." &amp; CHAR(10), IF('Profit &amp; Loss'!I961=2,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59" spans="1:2" ht="12.5" x14ac:dyDescent="0.25">
      <c r="A959" s="2" t="str">
        <f ca="1">IF('Profit &amp; Loss'!A962&gt;=TODAY(),"Looking for friendly players to join the following game: " &amp; CHAR(10) &amp; CHAR(10) &amp; "Date: " &amp; TEXT('Profit &amp; Loss'!A962,"dd mmm yyy") &amp; ", " &amp; 'Profit &amp; Loss'!B962 &amp; CHAR(10) &amp; "Time: " &amp; TEXT('Profit &amp; Loss'!C962, "hh:mm AM/PM") &amp; " - " &amp; TEXT('Profit &amp; Loss'!D962, "hh:mm AM/PM") &amp; CHAR(10) &amp; "Venue: " &amp; 'Profit &amp; Loss'!E962 &amp; CHAR(10) &amp; "Level: HB - LI" &amp; CHAR(10) &amp; "Cost: $" &amp; 'Profit &amp; Loss'!O962 &amp; " per pax" &amp; CHAR(10) &amp; "Max " &amp; 'Profit &amp; Loss'!I962*6 &amp; " pax," &amp; " (" &amp; 'Profit &amp; Loss'!I962 &amp; " courts)" &amp; CHAR(10) &amp; CHAR(10) &amp; "RSL Ultimate shuttles provided" &amp; CHAR(10) &amp; CHAR(10) &amp; "PM if interested, thank you!"," ")</f>
        <v xml:space="preserve"> </v>
      </c>
      <c r="B959" s="2" t="str">
        <f ca="1">IF('Profit &amp; Loss'!A962&gt;=TODAY(), "Date: " &amp; TEXT('Profit &amp; Loss'!A962,"dd mmm yyy") &amp; ", " &amp; 'Profit &amp; Loss'!B962 &amp; CHAR(10) &amp; "Time: " &amp; TEXT('Profit &amp; Loss'!C962, "hh:mm AM/PM") &amp; " - " &amp; TEXT('Profit &amp; Loss'!D962, "hh:mm AM/PM") &amp; CHAR(10) &amp; "Venue: " &amp; 'Profit &amp; Loss'!E962 &amp; CHAR(10) &amp; "Court No.: " &amp; 'Profit &amp; Loss'!F962 &amp; CHAR(10) &amp; "Level: HB - LI" &amp; CHAR(10) &amp; "Please transfer $" &amp; 'Profit &amp; Loss'!O962 &amp; " per pax to Belle (83396501)" &amp; CHAR(10) &amp; CHAR(10) &amp; IF('Profit &amp; Loss'!I962=1, "1." &amp; CHAR(10) &amp; "2." &amp; CHAR(10) &amp; "3." &amp; CHAR(10) &amp; "4." &amp; CHAR(10) &amp; "5." &amp; CHAR(10) &amp; "6." &amp; CHAR(10), IF('Profit &amp; Loss'!I962=2,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0" spans="1:2" ht="12.5" x14ac:dyDescent="0.25">
      <c r="A960" s="2" t="str">
        <f ca="1">IF('Profit &amp; Loss'!A963&gt;=TODAY(),"Looking for friendly players to join the following game: " &amp; CHAR(10) &amp; CHAR(10) &amp; "Date: " &amp; TEXT('Profit &amp; Loss'!A963,"dd mmm yyy") &amp; ", " &amp; 'Profit &amp; Loss'!B963 &amp; CHAR(10) &amp; "Time: " &amp; TEXT('Profit &amp; Loss'!C963, "hh:mm AM/PM") &amp; " - " &amp; TEXT('Profit &amp; Loss'!D963, "hh:mm AM/PM") &amp; CHAR(10) &amp; "Venue: " &amp; 'Profit &amp; Loss'!E963 &amp; CHAR(10) &amp; "Level: HB - LI" &amp; CHAR(10) &amp; "Cost: $" &amp; 'Profit &amp; Loss'!O963 &amp; " per pax" &amp; CHAR(10) &amp; "Max " &amp; 'Profit &amp; Loss'!I963*6 &amp; " pax," &amp; " (" &amp; 'Profit &amp; Loss'!I963 &amp; " courts)" &amp; CHAR(10) &amp; CHAR(10) &amp; "RSL Ultimate shuttles provided" &amp; CHAR(10) &amp; CHAR(10) &amp; "PM if interested, thank you!"," ")</f>
        <v xml:space="preserve"> </v>
      </c>
      <c r="B960" s="2" t="str">
        <f ca="1">IF('Profit &amp; Loss'!A963&gt;=TODAY(), "Date: " &amp; TEXT('Profit &amp; Loss'!A963,"dd mmm yyy") &amp; ", " &amp; 'Profit &amp; Loss'!B963 &amp; CHAR(10) &amp; "Time: " &amp; TEXT('Profit &amp; Loss'!C963, "hh:mm AM/PM") &amp; " - " &amp; TEXT('Profit &amp; Loss'!D963, "hh:mm AM/PM") &amp; CHAR(10) &amp; "Venue: " &amp; 'Profit &amp; Loss'!E963 &amp; CHAR(10) &amp; "Court No.: " &amp; 'Profit &amp; Loss'!F963 &amp; CHAR(10) &amp; "Level: HB - LI" &amp; CHAR(10) &amp; "Please transfer $" &amp; 'Profit &amp; Loss'!O963 &amp; " per pax to Belle (83396501)" &amp; CHAR(10) &amp; CHAR(10) &amp; IF('Profit &amp; Loss'!I963=1, "1." &amp; CHAR(10) &amp; "2." &amp; CHAR(10) &amp; "3." &amp; CHAR(10) &amp; "4." &amp; CHAR(10) &amp; "5." &amp; CHAR(10) &amp; "6." &amp; CHAR(10), IF('Profit &amp; Loss'!I963=2,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1" spans="1:2" ht="12.5" x14ac:dyDescent="0.25">
      <c r="A961" s="2" t="str">
        <f ca="1">IF('Profit &amp; Loss'!A964&gt;=TODAY(),"Looking for friendly players to join the following game: " &amp; CHAR(10) &amp; CHAR(10) &amp; "Date: " &amp; TEXT('Profit &amp; Loss'!A964,"dd mmm yyy") &amp; ", " &amp; 'Profit &amp; Loss'!B964 &amp; CHAR(10) &amp; "Time: " &amp; TEXT('Profit &amp; Loss'!C964, "hh:mm AM/PM") &amp; " - " &amp; TEXT('Profit &amp; Loss'!D964, "hh:mm AM/PM") &amp; CHAR(10) &amp; "Venue: " &amp; 'Profit &amp; Loss'!E964 &amp; CHAR(10) &amp; "Level: HB - LI" &amp; CHAR(10) &amp; "Cost: $" &amp; 'Profit &amp; Loss'!O964 &amp; " per pax" &amp; CHAR(10) &amp; "Max " &amp; 'Profit &amp; Loss'!I964*6 &amp; " pax," &amp; " (" &amp; 'Profit &amp; Loss'!I964 &amp; " courts)" &amp; CHAR(10) &amp; CHAR(10) &amp; "RSL Ultimate shuttles provided" &amp; CHAR(10) &amp; CHAR(10) &amp; "PM if interested, thank you!"," ")</f>
        <v xml:space="preserve"> </v>
      </c>
      <c r="B961" s="2" t="str">
        <f ca="1">IF('Profit &amp; Loss'!A964&gt;=TODAY(), "Date: " &amp; TEXT('Profit &amp; Loss'!A964,"dd mmm yyy") &amp; ", " &amp; 'Profit &amp; Loss'!B964 &amp; CHAR(10) &amp; "Time: " &amp; TEXT('Profit &amp; Loss'!C964, "hh:mm AM/PM") &amp; " - " &amp; TEXT('Profit &amp; Loss'!D964, "hh:mm AM/PM") &amp; CHAR(10) &amp; "Venue: " &amp; 'Profit &amp; Loss'!E964 &amp; CHAR(10) &amp; "Court No.: " &amp; 'Profit &amp; Loss'!F964 &amp; CHAR(10) &amp; "Level: HB - LI" &amp; CHAR(10) &amp; "Please transfer $" &amp; 'Profit &amp; Loss'!O964 &amp; " per pax to Belle (83396501)" &amp; CHAR(10) &amp; CHAR(10) &amp; IF('Profit &amp; Loss'!I964=1, "1." &amp; CHAR(10) &amp; "2." &amp; CHAR(10) &amp; "3." &amp; CHAR(10) &amp; "4." &amp; CHAR(10) &amp; "5." &amp; CHAR(10) &amp; "6." &amp; CHAR(10), IF('Profit &amp; Loss'!I964=2,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2" spans="1:2" ht="12.5" x14ac:dyDescent="0.25">
      <c r="A962" s="2" t="str">
        <f ca="1">IF('Profit &amp; Loss'!A965&gt;=TODAY(),"Looking for friendly players to join the following game: " &amp; CHAR(10) &amp; CHAR(10) &amp; "Date: " &amp; TEXT('Profit &amp; Loss'!A965,"dd mmm yyy") &amp; ", " &amp; 'Profit &amp; Loss'!B965 &amp; CHAR(10) &amp; "Time: " &amp; TEXT('Profit &amp; Loss'!C965, "hh:mm AM/PM") &amp; " - " &amp; TEXT('Profit &amp; Loss'!D965, "hh:mm AM/PM") &amp; CHAR(10) &amp; "Venue: " &amp; 'Profit &amp; Loss'!E965 &amp; CHAR(10) &amp; "Level: HB - LI" &amp; CHAR(10) &amp; "Cost: $" &amp; 'Profit &amp; Loss'!O965 &amp; " per pax" &amp; CHAR(10) &amp; "Max " &amp; 'Profit &amp; Loss'!I965*6 &amp; " pax," &amp; " (" &amp; 'Profit &amp; Loss'!I965 &amp; " courts)" &amp; CHAR(10) &amp; CHAR(10) &amp; "RSL Ultimate shuttles provided" &amp; CHAR(10) &amp; CHAR(10) &amp; "PM if interested, thank you!"," ")</f>
        <v xml:space="preserve"> </v>
      </c>
      <c r="B962" s="2" t="str">
        <f ca="1">IF('Profit &amp; Loss'!A965&gt;=TODAY(), "Date: " &amp; TEXT('Profit &amp; Loss'!A965,"dd mmm yyy") &amp; ", " &amp; 'Profit &amp; Loss'!B965 &amp; CHAR(10) &amp; "Time: " &amp; TEXT('Profit &amp; Loss'!C965, "hh:mm AM/PM") &amp; " - " &amp; TEXT('Profit &amp; Loss'!D965, "hh:mm AM/PM") &amp; CHAR(10) &amp; "Venue: " &amp; 'Profit &amp; Loss'!E965 &amp; CHAR(10) &amp; "Court No.: " &amp; 'Profit &amp; Loss'!F965 &amp; CHAR(10) &amp; "Level: HB - LI" &amp; CHAR(10) &amp; "Please transfer $" &amp; 'Profit &amp; Loss'!O965 &amp; " per pax to Belle (83396501)" &amp; CHAR(10) &amp; CHAR(10) &amp; IF('Profit &amp; Loss'!I965=1, "1." &amp; CHAR(10) &amp; "2." &amp; CHAR(10) &amp; "3." &amp; CHAR(10) &amp; "4." &amp; CHAR(10) &amp; "5." &amp; CHAR(10) &amp; "6." &amp; CHAR(10), IF('Profit &amp; Loss'!I965=2,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3" spans="1:2" ht="12.5" x14ac:dyDescent="0.25">
      <c r="A963" s="2" t="str">
        <f ca="1">IF('Profit &amp; Loss'!A966&gt;=TODAY(),"Looking for friendly players to join the following game: " &amp; CHAR(10) &amp; CHAR(10) &amp; "Date: " &amp; TEXT('Profit &amp; Loss'!A966,"dd mmm yyy") &amp; ", " &amp; 'Profit &amp; Loss'!B966 &amp; CHAR(10) &amp; "Time: " &amp; TEXT('Profit &amp; Loss'!C966, "hh:mm AM/PM") &amp; " - " &amp; TEXT('Profit &amp; Loss'!D966, "hh:mm AM/PM") &amp; CHAR(10) &amp; "Venue: " &amp; 'Profit &amp; Loss'!E966 &amp; CHAR(10) &amp; "Level: HB - LI" &amp; CHAR(10) &amp; "Cost: $" &amp; 'Profit &amp; Loss'!O966 &amp; " per pax" &amp; CHAR(10) &amp; "Max " &amp; 'Profit &amp; Loss'!I966*6 &amp; " pax," &amp; " (" &amp; 'Profit &amp; Loss'!I966 &amp; " courts)" &amp; CHAR(10) &amp; CHAR(10) &amp; "RSL Ultimate shuttles provided" &amp; CHAR(10) &amp; CHAR(10) &amp; "PM if interested, thank you!"," ")</f>
        <v xml:space="preserve"> </v>
      </c>
      <c r="B963" s="2" t="str">
        <f ca="1">IF('Profit &amp; Loss'!A966&gt;=TODAY(), "Date: " &amp; TEXT('Profit &amp; Loss'!A966,"dd mmm yyy") &amp; ", " &amp; 'Profit &amp; Loss'!B966 &amp; CHAR(10) &amp; "Time: " &amp; TEXT('Profit &amp; Loss'!C966, "hh:mm AM/PM") &amp; " - " &amp; TEXT('Profit &amp; Loss'!D966, "hh:mm AM/PM") &amp; CHAR(10) &amp; "Venue: " &amp; 'Profit &amp; Loss'!E966 &amp; CHAR(10) &amp; "Court No.: " &amp; 'Profit &amp; Loss'!F966 &amp; CHAR(10) &amp; "Level: HB - LI" &amp; CHAR(10) &amp; "Please transfer $" &amp; 'Profit &amp; Loss'!O966 &amp; " per pax to Belle (83396501)" &amp; CHAR(10) &amp; CHAR(10) &amp; IF('Profit &amp; Loss'!I966=1, "1." &amp; CHAR(10) &amp; "2." &amp; CHAR(10) &amp; "3." &amp; CHAR(10) &amp; "4." &amp; CHAR(10) &amp; "5." &amp; CHAR(10) &amp; "6." &amp; CHAR(10), IF('Profit &amp; Loss'!I966=2,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4" spans="1:2" ht="12.5" x14ac:dyDescent="0.25">
      <c r="A964" s="2" t="str">
        <f ca="1">IF('Profit &amp; Loss'!A967&gt;=TODAY(),"Looking for friendly players to join the following game: " &amp; CHAR(10) &amp; CHAR(10) &amp; "Date: " &amp; TEXT('Profit &amp; Loss'!A967,"dd mmm yyy") &amp; ", " &amp; 'Profit &amp; Loss'!B967 &amp; CHAR(10) &amp; "Time: " &amp; TEXT('Profit &amp; Loss'!C967, "hh:mm AM/PM") &amp; " - " &amp; TEXT('Profit &amp; Loss'!D967, "hh:mm AM/PM") &amp; CHAR(10) &amp; "Venue: " &amp; 'Profit &amp; Loss'!E967 &amp; CHAR(10) &amp; "Level: HB - LI" &amp; CHAR(10) &amp; "Cost: $" &amp; 'Profit &amp; Loss'!O967 &amp; " per pax" &amp; CHAR(10) &amp; "Max " &amp; 'Profit &amp; Loss'!I967*6 &amp; " pax," &amp; " (" &amp; 'Profit &amp; Loss'!I967 &amp; " courts)" &amp; CHAR(10) &amp; CHAR(10) &amp; "RSL Ultimate shuttles provided" &amp; CHAR(10) &amp; CHAR(10) &amp; "PM if interested, thank you!"," ")</f>
        <v xml:space="preserve"> </v>
      </c>
      <c r="B964" s="2" t="str">
        <f ca="1">IF('Profit &amp; Loss'!A967&gt;=TODAY(), "Date: " &amp; TEXT('Profit &amp; Loss'!A967,"dd mmm yyy") &amp; ", " &amp; 'Profit &amp; Loss'!B967 &amp; CHAR(10) &amp; "Time: " &amp; TEXT('Profit &amp; Loss'!C967, "hh:mm AM/PM") &amp; " - " &amp; TEXT('Profit &amp; Loss'!D967, "hh:mm AM/PM") &amp; CHAR(10) &amp; "Venue: " &amp; 'Profit &amp; Loss'!E967 &amp; CHAR(10) &amp; "Court No.: " &amp; 'Profit &amp; Loss'!F967 &amp; CHAR(10) &amp; "Level: HB - LI" &amp; CHAR(10) &amp; "Please transfer $" &amp; 'Profit &amp; Loss'!O967 &amp; " per pax to Belle (83396501)" &amp; CHAR(10) &amp; CHAR(10) &amp; IF('Profit &amp; Loss'!I967=1, "1." &amp; CHAR(10) &amp; "2." &amp; CHAR(10) &amp; "3." &amp; CHAR(10) &amp; "4." &amp; CHAR(10) &amp; "5." &amp; CHAR(10) &amp; "6." &amp; CHAR(10), IF('Profit &amp; Loss'!I967=2,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5" spans="1:2" ht="12.5" x14ac:dyDescent="0.25">
      <c r="A965" s="2" t="str">
        <f ca="1">IF('Profit &amp; Loss'!A968&gt;=TODAY(),"Looking for friendly players to join the following game: " &amp; CHAR(10) &amp; CHAR(10) &amp; "Date: " &amp; TEXT('Profit &amp; Loss'!A968,"dd mmm yyy") &amp; ", " &amp; 'Profit &amp; Loss'!B968 &amp; CHAR(10) &amp; "Time: " &amp; TEXT('Profit &amp; Loss'!C968, "hh:mm AM/PM") &amp; " - " &amp; TEXT('Profit &amp; Loss'!D968, "hh:mm AM/PM") &amp; CHAR(10) &amp; "Venue: " &amp; 'Profit &amp; Loss'!E968 &amp; CHAR(10) &amp; "Level: HB - LI" &amp; CHAR(10) &amp; "Cost: $" &amp; 'Profit &amp; Loss'!O968 &amp; " per pax" &amp; CHAR(10) &amp; "Max " &amp; 'Profit &amp; Loss'!I968*6 &amp; " pax," &amp; " (" &amp; 'Profit &amp; Loss'!I968 &amp; " courts)" &amp; CHAR(10) &amp; CHAR(10) &amp; "RSL Ultimate shuttles provided" &amp; CHAR(10) &amp; CHAR(10) &amp; "PM if interested, thank you!"," ")</f>
        <v xml:space="preserve"> </v>
      </c>
      <c r="B965" s="2" t="str">
        <f ca="1">IF('Profit &amp; Loss'!A968&gt;=TODAY(), "Date: " &amp; TEXT('Profit &amp; Loss'!A968,"dd mmm yyy") &amp; ", " &amp; 'Profit &amp; Loss'!B968 &amp; CHAR(10) &amp; "Time: " &amp; TEXT('Profit &amp; Loss'!C968, "hh:mm AM/PM") &amp; " - " &amp; TEXT('Profit &amp; Loss'!D968, "hh:mm AM/PM") &amp; CHAR(10) &amp; "Venue: " &amp; 'Profit &amp; Loss'!E968 &amp; CHAR(10) &amp; "Court No.: " &amp; 'Profit &amp; Loss'!F968 &amp; CHAR(10) &amp; "Level: HB - LI" &amp; CHAR(10) &amp; "Please transfer $" &amp; 'Profit &amp; Loss'!O968 &amp; " per pax to Belle (83396501)" &amp; CHAR(10) &amp; CHAR(10) &amp; IF('Profit &amp; Loss'!I968=1, "1." &amp; CHAR(10) &amp; "2." &amp; CHAR(10) &amp; "3." &amp; CHAR(10) &amp; "4." &amp; CHAR(10) &amp; "5." &amp; CHAR(10) &amp; "6." &amp; CHAR(10), IF('Profit &amp; Loss'!I968=2,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6" spans="1:2" ht="12.5" x14ac:dyDescent="0.25">
      <c r="A966" s="2" t="str">
        <f ca="1">IF('Profit &amp; Loss'!A969&gt;=TODAY(),"Looking for friendly players to join the following game: " &amp; CHAR(10) &amp; CHAR(10) &amp; "Date: " &amp; TEXT('Profit &amp; Loss'!A969,"dd mmm yyy") &amp; ", " &amp; 'Profit &amp; Loss'!B969 &amp; CHAR(10) &amp; "Time: " &amp; TEXT('Profit &amp; Loss'!C969, "hh:mm AM/PM") &amp; " - " &amp; TEXT('Profit &amp; Loss'!D969, "hh:mm AM/PM") &amp; CHAR(10) &amp; "Venue: " &amp; 'Profit &amp; Loss'!E969 &amp; CHAR(10) &amp; "Level: HB - LI" &amp; CHAR(10) &amp; "Cost: $" &amp; 'Profit &amp; Loss'!O969 &amp; " per pax" &amp; CHAR(10) &amp; "Max " &amp; 'Profit &amp; Loss'!I969*6 &amp; " pax," &amp; " (" &amp; 'Profit &amp; Loss'!I969 &amp; " courts)" &amp; CHAR(10) &amp; CHAR(10) &amp; "RSL Ultimate shuttles provided" &amp; CHAR(10) &amp; CHAR(10) &amp; "PM if interested, thank you!"," ")</f>
        <v xml:space="preserve"> </v>
      </c>
      <c r="B966" s="2" t="str">
        <f ca="1">IF('Profit &amp; Loss'!A969&gt;=TODAY(), "Date: " &amp; TEXT('Profit &amp; Loss'!A969,"dd mmm yyy") &amp; ", " &amp; 'Profit &amp; Loss'!B969 &amp; CHAR(10) &amp; "Time: " &amp; TEXT('Profit &amp; Loss'!C969, "hh:mm AM/PM") &amp; " - " &amp; TEXT('Profit &amp; Loss'!D969, "hh:mm AM/PM") &amp; CHAR(10) &amp; "Venue: " &amp; 'Profit &amp; Loss'!E969 &amp; CHAR(10) &amp; "Court No.: " &amp; 'Profit &amp; Loss'!F969 &amp; CHAR(10) &amp; "Level: HB - LI" &amp; CHAR(10) &amp; "Please transfer $" &amp; 'Profit &amp; Loss'!O969 &amp; " per pax to Belle (83396501)" &amp; CHAR(10) &amp; CHAR(10) &amp; IF('Profit &amp; Loss'!I969=1, "1." &amp; CHAR(10) &amp; "2." &amp; CHAR(10) &amp; "3." &amp; CHAR(10) &amp; "4." &amp; CHAR(10) &amp; "5." &amp; CHAR(10) &amp; "6." &amp; CHAR(10), IF('Profit &amp; Loss'!I969=2,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Loss'!I969=3,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7" spans="1:2" ht="12.5" x14ac:dyDescent="0.25">
      <c r="A967" s="2" t="str">
        <f ca="1">IF('Profit &amp; Loss'!A970&gt;=TODAY(),"Looking for friendly players to join the following game: " &amp; CHAR(10) &amp; CHAR(10) &amp; "Date: " &amp; TEXT('Profit &amp; Loss'!A970,"dd mmm yyy") &amp; ", " &amp; 'Profit &amp; Loss'!B970 &amp; CHAR(10) &amp; "Time: " &amp; TEXT('Profit &amp; Loss'!C970, "hh:mm AM/PM") &amp; " - " &amp; TEXT('Profit &amp; Loss'!D970, "hh:mm AM/PM") &amp; CHAR(10) &amp; "Venue: " &amp; 'Profit &amp; Loss'!E970 &amp; CHAR(10) &amp; "Level: HB - LI" &amp; CHAR(10) &amp; "Cost: $" &amp; 'Profit &amp; Loss'!O970 &amp; " per pax" &amp; CHAR(10) &amp; "Max " &amp; 'Profit &amp; Loss'!I970*6 &amp; " pax," &amp; " (" &amp; 'Profit &amp; Loss'!I970 &amp; " courts)" &amp; CHAR(10) &amp; CHAR(10) &amp; "RSL Ultimate shuttles provided" &amp; CHAR(10) &amp; CHAR(10) &amp; "PM if interested, thank you!"," ")</f>
        <v xml:space="preserve"> </v>
      </c>
      <c r="B967" s="2" t="str">
        <f ca="1">IF('Profit &amp; Loss'!A970&gt;=TODAY(), "Date: " &amp; TEXT('Profit &amp; Loss'!A970,"dd mmm yyy") &amp; ", " &amp; 'Profit &amp; Loss'!B970 &amp; CHAR(10) &amp; "Time: " &amp; TEXT('Profit &amp; Loss'!C970, "hh:mm AM/PM") &amp; " - " &amp; TEXT('Profit &amp; Loss'!D970, "hh:mm AM/PM") &amp; CHAR(10) &amp; "Venue: " &amp; 'Profit &amp; Loss'!E970 &amp; CHAR(10) &amp; "Court No.: " &amp; 'Profit &amp; Loss'!F970 &amp; CHAR(10) &amp; "Level: HB - LI" &amp; CHAR(10) &amp; "Please transfer $" &amp; 'Profit &amp; Loss'!O970 &amp; " per pax to Belle (83396501)" &amp; CHAR(10) &amp; CHAR(10) &amp; IF('Profit &amp; Loss'!I970=1, "1." &amp; CHAR(10) &amp; "2." &amp; CHAR(10) &amp; "3." &amp; CHAR(10) &amp; "4." &amp; CHAR(10) &amp; "5." &amp; CHAR(10) &amp; "6." &amp; CHAR(10), IF('Profit &amp; Loss'!I970=2,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8" spans="1:2" ht="12.5" x14ac:dyDescent="0.25">
      <c r="A968" s="2" t="str">
        <f ca="1">IF('Profit &amp; Loss'!A971&gt;=TODAY(),"Looking for friendly players to join the following game: " &amp; CHAR(10) &amp; CHAR(10) &amp; "Date: " &amp; TEXT('Profit &amp; Loss'!A971,"dd mmm yyy") &amp; ", " &amp; 'Profit &amp; Loss'!B971 &amp; CHAR(10) &amp; "Time: " &amp; TEXT('Profit &amp; Loss'!C971, "hh:mm AM/PM") &amp; " - " &amp; TEXT('Profit &amp; Loss'!D971, "hh:mm AM/PM") &amp; CHAR(10) &amp; "Venue: " &amp; 'Profit &amp; Loss'!E971 &amp; CHAR(10) &amp; "Level: HB - LI" &amp; CHAR(10) &amp; "Cost: $" &amp; 'Profit &amp; Loss'!O971 &amp; " per pax" &amp; CHAR(10) &amp; "Max " &amp; 'Profit &amp; Loss'!I971*6 &amp; " pax," &amp; " (" &amp; 'Profit &amp; Loss'!I971 &amp; " courts)" &amp; CHAR(10) &amp; CHAR(10) &amp; "RSL Ultimate shuttles provided" &amp; CHAR(10) &amp; CHAR(10) &amp; "PM if interested, thank you!"," ")</f>
        <v xml:space="preserve"> </v>
      </c>
      <c r="B968" s="2" t="str">
        <f ca="1">IF('Profit &amp; Loss'!A971&gt;=TODAY(), "Date: " &amp; TEXT('Profit &amp; Loss'!A971,"dd mmm yyy") &amp; ", " &amp; 'Profit &amp; Loss'!B971 &amp; CHAR(10) &amp; "Time: " &amp; TEXT('Profit &amp; Loss'!C971, "hh:mm AM/PM") &amp; " - " &amp; TEXT('Profit &amp; Loss'!D971, "hh:mm AM/PM") &amp; CHAR(10) &amp; "Venue: " &amp; 'Profit &amp; Loss'!E971 &amp; CHAR(10) &amp; "Court No.: " &amp; 'Profit &amp; Loss'!F971 &amp; CHAR(10) &amp; "Level: HB - LI" &amp; CHAR(10) &amp; "Please transfer $" &amp; 'Profit &amp; Loss'!O971 &amp; " per pax to Belle (83396501)" &amp; CHAR(10) &amp; CHAR(10) &amp; IF('Profit &amp; Loss'!I971=1, "1." &amp; CHAR(10) &amp; "2." &amp; CHAR(10) &amp; "3." &amp; CHAR(10) &amp; "4." &amp; CHAR(10) &amp; "5." &amp; CHAR(10) &amp; "6." &amp; CHAR(10), IF('Profit &amp; Loss'!I971=2,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69" spans="1:2" ht="12.5" x14ac:dyDescent="0.25">
      <c r="A969" s="2" t="str">
        <f ca="1">IF('Profit &amp; Loss'!A972&gt;=TODAY(),"Looking for friendly players to join the following game: " &amp; CHAR(10) &amp; CHAR(10) &amp; "Date: " &amp; TEXT('Profit &amp; Loss'!A972,"dd mmm yyy") &amp; ", " &amp; 'Profit &amp; Loss'!B972 &amp; CHAR(10) &amp; "Time: " &amp; TEXT('Profit &amp; Loss'!C972, "hh:mm AM/PM") &amp; " - " &amp; TEXT('Profit &amp; Loss'!D972, "hh:mm AM/PM") &amp; CHAR(10) &amp; "Venue: " &amp; 'Profit &amp; Loss'!E972 &amp; CHAR(10) &amp; "Level: HB - LI" &amp; CHAR(10) &amp; "Cost: $" &amp; 'Profit &amp; Loss'!O972 &amp; " per pax" &amp; CHAR(10) &amp; "Max " &amp; 'Profit &amp; Loss'!I972*6 &amp; " pax," &amp; " (" &amp; 'Profit &amp; Loss'!I972 &amp; " courts)" &amp; CHAR(10) &amp; CHAR(10) &amp; "RSL Ultimate shuttles provided" &amp; CHAR(10) &amp; CHAR(10) &amp; "PM if interested, thank you!"," ")</f>
        <v xml:space="preserve"> </v>
      </c>
      <c r="B969" s="2" t="str">
        <f ca="1">IF('Profit &amp; Loss'!A972&gt;=TODAY(), "Date: " &amp; TEXT('Profit &amp; Loss'!A972,"dd mmm yyy") &amp; ", " &amp; 'Profit &amp; Loss'!B972 &amp; CHAR(10) &amp; "Time: " &amp; TEXT('Profit &amp; Loss'!C972, "hh:mm AM/PM") &amp; " - " &amp; TEXT('Profit &amp; Loss'!D972, "hh:mm AM/PM") &amp; CHAR(10) &amp; "Venue: " &amp; 'Profit &amp; Loss'!E972 &amp; CHAR(10) &amp; "Court No.: " &amp; 'Profit &amp; Loss'!F972 &amp; CHAR(10) &amp; "Level: HB - LI" &amp; CHAR(10) &amp; "Please transfer $" &amp; 'Profit &amp; Loss'!O972 &amp; " per pax to Belle (83396501)" &amp; CHAR(10) &amp; CHAR(10) &amp; IF('Profit &amp; Loss'!I972=1, "1." &amp; CHAR(10) &amp; "2." &amp; CHAR(10) &amp; "3." &amp; CHAR(10) &amp; "4." &amp; CHAR(10) &amp; "5." &amp; CHAR(10) &amp; "6." &amp; CHAR(10), IF('Profit &amp; Loss'!I972=2,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0" spans="1:2" ht="12.5" x14ac:dyDescent="0.25">
      <c r="A970" s="2" t="str">
        <f ca="1">IF('Profit &amp; Loss'!A973&gt;=TODAY(),"Looking for friendly players to join the following game: " &amp; CHAR(10) &amp; CHAR(10) &amp; "Date: " &amp; TEXT('Profit &amp; Loss'!A973,"dd mmm yyy") &amp; ", " &amp; 'Profit &amp; Loss'!B973 &amp; CHAR(10) &amp; "Time: " &amp; TEXT('Profit &amp; Loss'!C973, "hh:mm AM/PM") &amp; " - " &amp; TEXT('Profit &amp; Loss'!D973, "hh:mm AM/PM") &amp; CHAR(10) &amp; "Venue: " &amp; 'Profit &amp; Loss'!E973 &amp; CHAR(10) &amp; "Level: HB - LI" &amp; CHAR(10) &amp; "Cost: $" &amp; 'Profit &amp; Loss'!O973 &amp; " per pax" &amp; CHAR(10) &amp; "Max " &amp; 'Profit &amp; Loss'!I973*6 &amp; " pax," &amp; " (" &amp; 'Profit &amp; Loss'!I973 &amp; " courts)" &amp; CHAR(10) &amp; CHAR(10) &amp; "RSL Ultimate shuttles provided" &amp; CHAR(10) &amp; CHAR(10) &amp; "PM if interested, thank you!"," ")</f>
        <v xml:space="preserve"> </v>
      </c>
      <c r="B970" s="2" t="str">
        <f ca="1">IF('Profit &amp; Loss'!A973&gt;=TODAY(), "Date: " &amp; TEXT('Profit &amp; Loss'!A973,"dd mmm yyy") &amp; ", " &amp; 'Profit &amp; Loss'!B973 &amp; CHAR(10) &amp; "Time: " &amp; TEXT('Profit &amp; Loss'!C973, "hh:mm AM/PM") &amp; " - " &amp; TEXT('Profit &amp; Loss'!D973, "hh:mm AM/PM") &amp; CHAR(10) &amp; "Venue: " &amp; 'Profit &amp; Loss'!E973 &amp; CHAR(10) &amp; "Court No.: " &amp; 'Profit &amp; Loss'!F973 &amp; CHAR(10) &amp; "Level: HB - LI" &amp; CHAR(10) &amp; "Please transfer $" &amp; 'Profit &amp; Loss'!O973 &amp; " per pax to Belle (83396501)" &amp; CHAR(10) &amp; CHAR(10) &amp; IF('Profit &amp; Loss'!I973=1, "1." &amp; CHAR(10) &amp; "2." &amp; CHAR(10) &amp; "3." &amp; CHAR(10) &amp; "4." &amp; CHAR(10) &amp; "5." &amp; CHAR(10) &amp; "6." &amp; CHAR(10), IF('Profit &amp; Loss'!I973=2,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1" spans="1:2" ht="12.5" x14ac:dyDescent="0.25">
      <c r="A971" s="2" t="str">
        <f ca="1">IF('Profit &amp; Loss'!A974&gt;=TODAY(),"Looking for friendly players to join the following game: " &amp; CHAR(10) &amp; CHAR(10) &amp; "Date: " &amp; TEXT('Profit &amp; Loss'!A974,"dd mmm yyy") &amp; ", " &amp; 'Profit &amp; Loss'!B974 &amp; CHAR(10) &amp; "Time: " &amp; TEXT('Profit &amp; Loss'!C974, "hh:mm AM/PM") &amp; " - " &amp; TEXT('Profit &amp; Loss'!D974, "hh:mm AM/PM") &amp; CHAR(10) &amp; "Venue: " &amp; 'Profit &amp; Loss'!E974 &amp; CHAR(10) &amp; "Level: HB - LI" &amp; CHAR(10) &amp; "Cost: $" &amp; 'Profit &amp; Loss'!O974 &amp; " per pax" &amp; CHAR(10) &amp; "Max " &amp; 'Profit &amp; Loss'!I974*6 &amp; " pax," &amp; " (" &amp; 'Profit &amp; Loss'!I974 &amp; " courts)" &amp; CHAR(10) &amp; CHAR(10) &amp; "RSL Ultimate shuttles provided" &amp; CHAR(10) &amp; CHAR(10) &amp; "PM if interested, thank you!"," ")</f>
        <v xml:space="preserve"> </v>
      </c>
      <c r="B971" s="2" t="str">
        <f ca="1">IF('Profit &amp; Loss'!A974&gt;=TODAY(), "Date: " &amp; TEXT('Profit &amp; Loss'!A974,"dd mmm yyy") &amp; ", " &amp; 'Profit &amp; Loss'!B974 &amp; CHAR(10) &amp; "Time: " &amp; TEXT('Profit &amp; Loss'!C974, "hh:mm AM/PM") &amp; " - " &amp; TEXT('Profit &amp; Loss'!D974, "hh:mm AM/PM") &amp; CHAR(10) &amp; "Venue: " &amp; 'Profit &amp; Loss'!E974 &amp; CHAR(10) &amp; "Court No.: " &amp; 'Profit &amp; Loss'!F974 &amp; CHAR(10) &amp; "Level: HB - LI" &amp; CHAR(10) &amp; "Please transfer $" &amp; 'Profit &amp; Loss'!O974 &amp; " per pax to Belle (83396501)" &amp; CHAR(10) &amp; CHAR(10) &amp; IF('Profit &amp; Loss'!I974=1, "1." &amp; CHAR(10) &amp; "2." &amp; CHAR(10) &amp; "3." &amp; CHAR(10) &amp; "4." &amp; CHAR(10) &amp; "5." &amp; CHAR(10) &amp; "6." &amp; CHAR(10), IF('Profit &amp; Loss'!I974=2,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2" spans="1:2" ht="12.5" x14ac:dyDescent="0.25">
      <c r="A972" s="2" t="str">
        <f ca="1">IF('Profit &amp; Loss'!A975&gt;=TODAY(),"Looking for friendly players to join the following game: " &amp; CHAR(10) &amp; CHAR(10) &amp; "Date: " &amp; TEXT('Profit &amp; Loss'!A975,"dd mmm yyy") &amp; ", " &amp; 'Profit &amp; Loss'!B975 &amp; CHAR(10) &amp; "Time: " &amp; TEXT('Profit &amp; Loss'!C975, "hh:mm AM/PM") &amp; " - " &amp; TEXT('Profit &amp; Loss'!D975, "hh:mm AM/PM") &amp; CHAR(10) &amp; "Venue: " &amp; 'Profit &amp; Loss'!E975 &amp; CHAR(10) &amp; "Level: HB - LI" &amp; CHAR(10) &amp; "Cost: $" &amp; 'Profit &amp; Loss'!O975 &amp; " per pax" &amp; CHAR(10) &amp; "Max " &amp; 'Profit &amp; Loss'!I975*6 &amp; " pax," &amp; " (" &amp; 'Profit &amp; Loss'!I975 &amp; " courts)" &amp; CHAR(10) &amp; CHAR(10) &amp; "RSL Ultimate shuttles provided" &amp; CHAR(10) &amp; CHAR(10) &amp; "PM if interested, thank you!"," ")</f>
        <v xml:space="preserve"> </v>
      </c>
      <c r="B972" s="2" t="str">
        <f ca="1">IF('Profit &amp; Loss'!A975&gt;=TODAY(), "Date: " &amp; TEXT('Profit &amp; Loss'!A975,"dd mmm yyy") &amp; ", " &amp; 'Profit &amp; Loss'!B975 &amp; CHAR(10) &amp; "Time: " &amp; TEXT('Profit &amp; Loss'!C975, "hh:mm AM/PM") &amp; " - " &amp; TEXT('Profit &amp; Loss'!D975, "hh:mm AM/PM") &amp; CHAR(10) &amp; "Venue: " &amp; 'Profit &amp; Loss'!E975 &amp; CHAR(10) &amp; "Court No.: " &amp; 'Profit &amp; Loss'!F975 &amp; CHAR(10) &amp; "Level: HB - LI" &amp; CHAR(10) &amp; "Please transfer $" &amp; 'Profit &amp; Loss'!O975 &amp; " per pax to Belle (83396501)" &amp; CHAR(10) &amp; CHAR(10) &amp; IF('Profit &amp; Loss'!I975=1, "1." &amp; CHAR(10) &amp; "2." &amp; CHAR(10) &amp; "3." &amp; CHAR(10) &amp; "4." &amp; CHAR(10) &amp; "5." &amp; CHAR(10) &amp; "6." &amp; CHAR(10), IF('Profit &amp; Loss'!I975=2,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3" spans="1:2" ht="12.5" x14ac:dyDescent="0.25">
      <c r="A973" s="2" t="str">
        <f ca="1">IF('Profit &amp; Loss'!A976&gt;=TODAY(),"Looking for friendly players to join the following game: " &amp; CHAR(10) &amp; CHAR(10) &amp; "Date: " &amp; TEXT('Profit &amp; Loss'!A976,"dd mmm yyy") &amp; ", " &amp; 'Profit &amp; Loss'!B976 &amp; CHAR(10) &amp; "Time: " &amp; TEXT('Profit &amp; Loss'!C976, "hh:mm AM/PM") &amp; " - " &amp; TEXT('Profit &amp; Loss'!D976, "hh:mm AM/PM") &amp; CHAR(10) &amp; "Venue: " &amp; 'Profit &amp; Loss'!E976 &amp; CHAR(10) &amp; "Level: HB - LI" &amp; CHAR(10) &amp; "Cost: $" &amp; 'Profit &amp; Loss'!O976 &amp; " per pax" &amp; CHAR(10) &amp; "Max " &amp; 'Profit &amp; Loss'!I976*6 &amp; " pax," &amp; " (" &amp; 'Profit &amp; Loss'!I976 &amp; " courts)" &amp; CHAR(10) &amp; CHAR(10) &amp; "RSL Ultimate shuttles provided" &amp; CHAR(10) &amp; CHAR(10) &amp; "PM if interested, thank you!"," ")</f>
        <v xml:space="preserve"> </v>
      </c>
      <c r="B973" s="2" t="str">
        <f ca="1">IF('Profit &amp; Loss'!A976&gt;=TODAY(), "Date: " &amp; TEXT('Profit &amp; Loss'!A976,"dd mmm yyy") &amp; ", " &amp; 'Profit &amp; Loss'!B976 &amp; CHAR(10) &amp; "Time: " &amp; TEXT('Profit &amp; Loss'!C976, "hh:mm AM/PM") &amp; " - " &amp; TEXT('Profit &amp; Loss'!D976, "hh:mm AM/PM") &amp; CHAR(10) &amp; "Venue: " &amp; 'Profit &amp; Loss'!E976 &amp; CHAR(10) &amp; "Court No.: " &amp; 'Profit &amp; Loss'!F976 &amp; CHAR(10) &amp; "Level: HB - LI" &amp; CHAR(10) &amp; "Please transfer $" &amp; 'Profit &amp; Loss'!O976 &amp; " per pax to Belle (83396501)" &amp; CHAR(10) &amp; CHAR(10) &amp; IF('Profit &amp; Loss'!I976=1, "1." &amp; CHAR(10) &amp; "2." &amp; CHAR(10) &amp; "3." &amp; CHAR(10) &amp; "4." &amp; CHAR(10) &amp; "5." &amp; CHAR(10) &amp; "6." &amp; CHAR(10), IF('Profit &amp; Loss'!I976=2,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4" spans="1:2" ht="12.5" x14ac:dyDescent="0.25">
      <c r="A974" s="2" t="str">
        <f ca="1">IF('Profit &amp; Loss'!A977&gt;=TODAY(),"Looking for friendly players to join the following game: " &amp; CHAR(10) &amp; CHAR(10) &amp; "Date: " &amp; TEXT('Profit &amp; Loss'!A977,"dd mmm yyy") &amp; ", " &amp; 'Profit &amp; Loss'!B977 &amp; CHAR(10) &amp; "Time: " &amp; TEXT('Profit &amp; Loss'!C977, "hh:mm AM/PM") &amp; " - " &amp; TEXT('Profit &amp; Loss'!D977, "hh:mm AM/PM") &amp; CHAR(10) &amp; "Venue: " &amp; 'Profit &amp; Loss'!E977 &amp; CHAR(10) &amp; "Level: HB - LI" &amp; CHAR(10) &amp; "Cost: $" &amp; 'Profit &amp; Loss'!O977 &amp; " per pax" &amp; CHAR(10) &amp; "Max " &amp; 'Profit &amp; Loss'!I977*6 &amp; " pax," &amp; " (" &amp; 'Profit &amp; Loss'!I977 &amp; " courts)" &amp; CHAR(10) &amp; CHAR(10) &amp; "RSL Ultimate shuttles provided" &amp; CHAR(10) &amp; CHAR(10) &amp; "PM if interested, thank you!"," ")</f>
        <v xml:space="preserve"> </v>
      </c>
      <c r="B974" s="2" t="str">
        <f ca="1">IF('Profit &amp; Loss'!A977&gt;=TODAY(), "Date: " &amp; TEXT('Profit &amp; Loss'!A977,"dd mmm yyy") &amp; ", " &amp; 'Profit &amp; Loss'!B977 &amp; CHAR(10) &amp; "Time: " &amp; TEXT('Profit &amp; Loss'!C977, "hh:mm AM/PM") &amp; " - " &amp; TEXT('Profit &amp; Loss'!D977, "hh:mm AM/PM") &amp; CHAR(10) &amp; "Venue: " &amp; 'Profit &amp; Loss'!E977 &amp; CHAR(10) &amp; "Court No.: " &amp; 'Profit &amp; Loss'!F977 &amp; CHAR(10) &amp; "Level: HB - LI" &amp; CHAR(10) &amp; "Please transfer $" &amp; 'Profit &amp; Loss'!O977 &amp; " per pax to Belle (83396501)" &amp; CHAR(10) &amp; CHAR(10) &amp; IF('Profit &amp; Loss'!I977=1, "1." &amp; CHAR(10) &amp; "2." &amp; CHAR(10) &amp; "3." &amp; CHAR(10) &amp; "4." &amp; CHAR(10) &amp; "5." &amp; CHAR(10) &amp; "6." &amp; CHAR(10), IF('Profit &amp; Loss'!I977=2,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5" spans="1:2" ht="12.5" x14ac:dyDescent="0.25">
      <c r="A975" s="2" t="str">
        <f ca="1">IF('Profit &amp; Loss'!A978&gt;=TODAY(),"Looking for friendly players to join the following game: " &amp; CHAR(10) &amp; CHAR(10) &amp; "Date: " &amp; TEXT('Profit &amp; Loss'!A978,"dd mmm yyy") &amp; ", " &amp; 'Profit &amp; Loss'!B978 &amp; CHAR(10) &amp; "Time: " &amp; TEXT('Profit &amp; Loss'!C978, "hh:mm AM/PM") &amp; " - " &amp; TEXT('Profit &amp; Loss'!D978, "hh:mm AM/PM") &amp; CHAR(10) &amp; "Venue: " &amp; 'Profit &amp; Loss'!E978 &amp; CHAR(10) &amp; "Level: HB - LI" &amp; CHAR(10) &amp; "Cost: $" &amp; 'Profit &amp; Loss'!O978 &amp; " per pax" &amp; CHAR(10) &amp; "Max " &amp; 'Profit &amp; Loss'!I978*6 &amp; " pax," &amp; " (" &amp; 'Profit &amp; Loss'!I978 &amp; " courts)" &amp; CHAR(10) &amp; CHAR(10) &amp; "RSL Ultimate shuttles provided" &amp; CHAR(10) &amp; CHAR(10) &amp; "PM if interested, thank you!"," ")</f>
        <v xml:space="preserve"> </v>
      </c>
      <c r="B975" s="2" t="str">
        <f ca="1">IF('Profit &amp; Loss'!A978&gt;=TODAY(), "Date: " &amp; TEXT('Profit &amp; Loss'!A978,"dd mmm yyy") &amp; ", " &amp; 'Profit &amp; Loss'!B978 &amp; CHAR(10) &amp; "Time: " &amp; TEXT('Profit &amp; Loss'!C978, "hh:mm AM/PM") &amp; " - " &amp; TEXT('Profit &amp; Loss'!D978, "hh:mm AM/PM") &amp; CHAR(10) &amp; "Venue: " &amp; 'Profit &amp; Loss'!E978 &amp; CHAR(10) &amp; "Court No.: " &amp; 'Profit &amp; Loss'!F978 &amp; CHAR(10) &amp; "Level: HB - LI" &amp; CHAR(10) &amp; "Please transfer $" &amp; 'Profit &amp; Loss'!O978 &amp; " per pax to Belle (83396501)" &amp; CHAR(10) &amp; CHAR(10) &amp; IF('Profit &amp; Loss'!I978=1, "1." &amp; CHAR(10) &amp; "2." &amp; CHAR(10) &amp; "3." &amp; CHAR(10) &amp; "4." &amp; CHAR(10) &amp; "5." &amp; CHAR(10) &amp; "6." &amp; CHAR(10), IF('Profit &amp; Loss'!I978=2,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6" spans="1:2" ht="12.5" x14ac:dyDescent="0.25">
      <c r="A976" s="2" t="str">
        <f ca="1">IF('Profit &amp; Loss'!A979&gt;=TODAY(),"Looking for friendly players to join the following game: " &amp; CHAR(10) &amp; CHAR(10) &amp; "Date: " &amp; TEXT('Profit &amp; Loss'!A979,"dd mmm yyy") &amp; ", " &amp; 'Profit &amp; Loss'!B979 &amp; CHAR(10) &amp; "Time: " &amp; TEXT('Profit &amp; Loss'!C979, "hh:mm AM/PM") &amp; " - " &amp; TEXT('Profit &amp; Loss'!D979, "hh:mm AM/PM") &amp; CHAR(10) &amp; "Venue: " &amp; 'Profit &amp; Loss'!E979 &amp; CHAR(10) &amp; "Level: HB - LI" &amp; CHAR(10) &amp; "Cost: $" &amp; 'Profit &amp; Loss'!O979 &amp; " per pax" &amp; CHAR(10) &amp; "Max " &amp; 'Profit &amp; Loss'!I979*6 &amp; " pax," &amp; " (" &amp; 'Profit &amp; Loss'!I979 &amp; " courts)" &amp; CHAR(10) &amp; CHAR(10) &amp; "RSL Ultimate shuttles provided" &amp; CHAR(10) &amp; CHAR(10) &amp; "PM if interested, thank you!"," ")</f>
        <v xml:space="preserve"> </v>
      </c>
      <c r="B976" s="2" t="str">
        <f ca="1">IF('Profit &amp; Loss'!A979&gt;=TODAY(), "Date: " &amp; TEXT('Profit &amp; Loss'!A979,"dd mmm yyy") &amp; ", " &amp; 'Profit &amp; Loss'!B979 &amp; CHAR(10) &amp; "Time: " &amp; TEXT('Profit &amp; Loss'!C979, "hh:mm AM/PM") &amp; " - " &amp; TEXT('Profit &amp; Loss'!D979, "hh:mm AM/PM") &amp; CHAR(10) &amp; "Venue: " &amp; 'Profit &amp; Loss'!E979 &amp; CHAR(10) &amp; "Court No.: " &amp; 'Profit &amp; Loss'!F979 &amp; CHAR(10) &amp; "Level: HB - LI" &amp; CHAR(10) &amp; "Please transfer $" &amp; 'Profit &amp; Loss'!O979 &amp; " per pax to Belle (83396501)" &amp; CHAR(10) &amp; CHAR(10) &amp; IF('Profit &amp; Loss'!I979=1, "1." &amp; CHAR(10) &amp; "2." &amp; CHAR(10) &amp; "3." &amp; CHAR(10) &amp; "4." &amp; CHAR(10) &amp; "5." &amp; CHAR(10) &amp; "6." &amp; CHAR(10), IF('Profit &amp; Loss'!I979=2,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Loss'!I979=3,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7" spans="1:2" ht="12.5" x14ac:dyDescent="0.25">
      <c r="A977" s="2" t="str">
        <f ca="1">IF('Profit &amp; Loss'!A980&gt;=TODAY(),"Looking for friendly players to join the following game: " &amp; CHAR(10) &amp; CHAR(10) &amp; "Date: " &amp; TEXT('Profit &amp; Loss'!A980,"dd mmm yyy") &amp; ", " &amp; 'Profit &amp; Loss'!B980 &amp; CHAR(10) &amp; "Time: " &amp; TEXT('Profit &amp; Loss'!C980, "hh:mm AM/PM") &amp; " - " &amp; TEXT('Profit &amp; Loss'!D980, "hh:mm AM/PM") &amp; CHAR(10) &amp; "Venue: " &amp; 'Profit &amp; Loss'!E980 &amp; CHAR(10) &amp; "Level: HB - LI" &amp; CHAR(10) &amp; "Cost: $" &amp; 'Profit &amp; Loss'!O980 &amp; " per pax" &amp; CHAR(10) &amp; "Max " &amp; 'Profit &amp; Loss'!I980*6 &amp; " pax," &amp; " (" &amp; 'Profit &amp; Loss'!I980 &amp; " courts)" &amp; CHAR(10) &amp; CHAR(10) &amp; "RSL Ultimate shuttles provided" &amp; CHAR(10) &amp; CHAR(10) &amp; "PM if interested, thank you!"," ")</f>
        <v xml:space="preserve"> </v>
      </c>
      <c r="B977" s="2" t="str">
        <f ca="1">IF('Profit &amp; Loss'!A980&gt;=TODAY(), "Date: " &amp; TEXT('Profit &amp; Loss'!A980,"dd mmm yyy") &amp; ", " &amp; 'Profit &amp; Loss'!B980 &amp; CHAR(10) &amp; "Time: " &amp; TEXT('Profit &amp; Loss'!C980, "hh:mm AM/PM") &amp; " - " &amp; TEXT('Profit &amp; Loss'!D980, "hh:mm AM/PM") &amp; CHAR(10) &amp; "Venue: " &amp; 'Profit &amp; Loss'!E980 &amp; CHAR(10) &amp; "Court No.: " &amp; 'Profit &amp; Loss'!F980 &amp; CHAR(10) &amp; "Level: HB - LI" &amp; CHAR(10) &amp; "Please transfer $" &amp; 'Profit &amp; Loss'!O980 &amp; " per pax to Belle (83396501)" &amp; CHAR(10) &amp; CHAR(10) &amp; IF('Profit &amp; Loss'!I980=1, "1." &amp; CHAR(10) &amp; "2." &amp; CHAR(10) &amp; "3." &amp; CHAR(10) &amp; "4." &amp; CHAR(10) &amp; "5." &amp; CHAR(10) &amp; "6." &amp; CHAR(10), IF('Profit &amp; Loss'!I980=2,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8" spans="1:2" ht="12.5" x14ac:dyDescent="0.25">
      <c r="A978" s="2" t="str">
        <f ca="1">IF('Profit &amp; Loss'!A981&gt;=TODAY(),"Looking for friendly players to join the following game: " &amp; CHAR(10) &amp; CHAR(10) &amp; "Date: " &amp; TEXT('Profit &amp; Loss'!A981,"dd mmm yyy") &amp; ", " &amp; 'Profit &amp; Loss'!B981 &amp; CHAR(10) &amp; "Time: " &amp; TEXT('Profit &amp; Loss'!C981, "hh:mm AM/PM") &amp; " - " &amp; TEXT('Profit &amp; Loss'!D981, "hh:mm AM/PM") &amp; CHAR(10) &amp; "Venue: " &amp; 'Profit &amp; Loss'!E981 &amp; CHAR(10) &amp; "Level: HB - LI" &amp; CHAR(10) &amp; "Cost: $" &amp; 'Profit &amp; Loss'!O981 &amp; " per pax" &amp; CHAR(10) &amp; "Max " &amp; 'Profit &amp; Loss'!I981*6 &amp; " pax," &amp; " (" &amp; 'Profit &amp; Loss'!I981 &amp; " courts)" &amp; CHAR(10) &amp; CHAR(10) &amp; "RSL Ultimate shuttles provided" &amp; CHAR(10) &amp; CHAR(10) &amp; "PM if interested, thank you!"," ")</f>
        <v xml:space="preserve"> </v>
      </c>
      <c r="B978" s="2" t="str">
        <f ca="1">IF('Profit &amp; Loss'!A981&gt;=TODAY(), "Date: " &amp; TEXT('Profit &amp; Loss'!A981,"dd mmm yyy") &amp; ", " &amp; 'Profit &amp; Loss'!B981 &amp; CHAR(10) &amp; "Time: " &amp; TEXT('Profit &amp; Loss'!C981, "hh:mm AM/PM") &amp; " - " &amp; TEXT('Profit &amp; Loss'!D981, "hh:mm AM/PM") &amp; CHAR(10) &amp; "Venue: " &amp; 'Profit &amp; Loss'!E981 &amp; CHAR(10) &amp; "Court No.: " &amp; 'Profit &amp; Loss'!F981 &amp; CHAR(10) &amp; "Level: HB - LI" &amp; CHAR(10) &amp; "Please transfer $" &amp; 'Profit &amp; Loss'!O981 &amp; " per pax to Belle (83396501)" &amp; CHAR(10) &amp; CHAR(10) &amp; IF('Profit &amp; Loss'!I981=1, "1." &amp; CHAR(10) &amp; "2." &amp; CHAR(10) &amp; "3." &amp; CHAR(10) &amp; "4." &amp; CHAR(10) &amp; "5." &amp; CHAR(10) &amp; "6." &amp; CHAR(10), IF('Profit &amp; Loss'!I981=2,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79" spans="1:2" ht="12.5" x14ac:dyDescent="0.25">
      <c r="A979" s="2" t="str">
        <f ca="1">IF('Profit &amp; Loss'!A982&gt;=TODAY(),"Looking for friendly players to join the following game: " &amp; CHAR(10) &amp; CHAR(10) &amp; "Date: " &amp; TEXT('Profit &amp; Loss'!A982,"dd mmm yyy") &amp; ", " &amp; 'Profit &amp; Loss'!B982 &amp; CHAR(10) &amp; "Time: " &amp; TEXT('Profit &amp; Loss'!C982, "hh:mm AM/PM") &amp; " - " &amp; TEXT('Profit &amp; Loss'!D982, "hh:mm AM/PM") &amp; CHAR(10) &amp; "Venue: " &amp; 'Profit &amp; Loss'!E982 &amp; CHAR(10) &amp; "Level: HB - LI" &amp; CHAR(10) &amp; "Cost: $" &amp; 'Profit &amp; Loss'!O982 &amp; " per pax" &amp; CHAR(10) &amp; "Max " &amp; 'Profit &amp; Loss'!I982*6 &amp; " pax," &amp; " (" &amp; 'Profit &amp; Loss'!I982 &amp; " courts)" &amp; CHAR(10) &amp; CHAR(10) &amp; "RSL Ultimate shuttles provided" &amp; CHAR(10) &amp; CHAR(10) &amp; "PM if interested, thank you!"," ")</f>
        <v xml:space="preserve"> </v>
      </c>
      <c r="B979" s="2" t="str">
        <f ca="1">IF('Profit &amp; Loss'!A982&gt;=TODAY(), "Date: " &amp; TEXT('Profit &amp; Loss'!A982,"dd mmm yyy") &amp; ", " &amp; 'Profit &amp; Loss'!B982 &amp; CHAR(10) &amp; "Time: " &amp; TEXT('Profit &amp; Loss'!C982, "hh:mm AM/PM") &amp; " - " &amp; TEXT('Profit &amp; Loss'!D982, "hh:mm AM/PM") &amp; CHAR(10) &amp; "Venue: " &amp; 'Profit &amp; Loss'!E982 &amp; CHAR(10) &amp; "Court No.: " &amp; 'Profit &amp; Loss'!F982 &amp; CHAR(10) &amp; "Level: HB - LI" &amp; CHAR(10) &amp; "Please transfer $" &amp; 'Profit &amp; Loss'!O982 &amp; " per pax to Belle (83396501)" &amp; CHAR(10) &amp; CHAR(10) &amp; IF('Profit &amp; Loss'!I982=1, "1." &amp; CHAR(10) &amp; "2." &amp; CHAR(10) &amp; "3." &amp; CHAR(10) &amp; "4." &amp; CHAR(10) &amp; "5." &amp; CHAR(10) &amp; "6." &amp; CHAR(10), IF('Profit &amp; Loss'!I982=2,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0" spans="1:2" ht="12.5" x14ac:dyDescent="0.25">
      <c r="A980" s="2" t="str">
        <f ca="1">IF('Profit &amp; Loss'!A983&gt;=TODAY(),"Looking for friendly players to join the following game: " &amp; CHAR(10) &amp; CHAR(10) &amp; "Date: " &amp; TEXT('Profit &amp; Loss'!A983,"dd mmm yyy") &amp; ", " &amp; 'Profit &amp; Loss'!B983 &amp; CHAR(10) &amp; "Time: " &amp; TEXT('Profit &amp; Loss'!C983, "hh:mm AM/PM") &amp; " - " &amp; TEXT('Profit &amp; Loss'!D983, "hh:mm AM/PM") &amp; CHAR(10) &amp; "Venue: " &amp; 'Profit &amp; Loss'!E983 &amp; CHAR(10) &amp; "Level: HB - LI" &amp; CHAR(10) &amp; "Cost: $" &amp; 'Profit &amp; Loss'!O983 &amp; " per pax" &amp; CHAR(10) &amp; "Max " &amp; 'Profit &amp; Loss'!I983*6 &amp; " pax," &amp; " (" &amp; 'Profit &amp; Loss'!I983 &amp; " courts)" &amp; CHAR(10) &amp; CHAR(10) &amp; "RSL Ultimate shuttles provided" &amp; CHAR(10) &amp; CHAR(10) &amp; "PM if interested, thank you!"," ")</f>
        <v xml:space="preserve"> </v>
      </c>
      <c r="B980" s="2" t="str">
        <f ca="1">IF('Profit &amp; Loss'!A983&gt;=TODAY(), "Date: " &amp; TEXT('Profit &amp; Loss'!A983,"dd mmm yyy") &amp; ", " &amp; 'Profit &amp; Loss'!B983 &amp; CHAR(10) &amp; "Time: " &amp; TEXT('Profit &amp; Loss'!C983, "hh:mm AM/PM") &amp; " - " &amp; TEXT('Profit &amp; Loss'!D983, "hh:mm AM/PM") &amp; CHAR(10) &amp; "Venue: " &amp; 'Profit &amp; Loss'!E983 &amp; CHAR(10) &amp; "Court No.: " &amp; 'Profit &amp; Loss'!F983 &amp; CHAR(10) &amp; "Level: HB - LI" &amp; CHAR(10) &amp; "Please transfer $" &amp; 'Profit &amp; Loss'!O983 &amp; " per pax to Belle (83396501)" &amp; CHAR(10) &amp; CHAR(10) &amp; IF('Profit &amp; Loss'!I983=1, "1." &amp; CHAR(10) &amp; "2." &amp; CHAR(10) &amp; "3." &amp; CHAR(10) &amp; "4." &amp; CHAR(10) &amp; "5." &amp; CHAR(10) &amp; "6." &amp; CHAR(10), IF('Profit &amp; Loss'!I983=2,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1" spans="1:2" ht="12.5" x14ac:dyDescent="0.25">
      <c r="A981" s="2" t="str">
        <f ca="1">IF('Profit &amp; Loss'!A984&gt;=TODAY(),"Looking for friendly players to join the following game: " &amp; CHAR(10) &amp; CHAR(10) &amp; "Date: " &amp; TEXT('Profit &amp; Loss'!A984,"dd mmm yyy") &amp; ", " &amp; 'Profit &amp; Loss'!B984 &amp; CHAR(10) &amp; "Time: " &amp; TEXT('Profit &amp; Loss'!C984, "hh:mm AM/PM") &amp; " - " &amp; TEXT('Profit &amp; Loss'!D984, "hh:mm AM/PM") &amp; CHAR(10) &amp; "Venue: " &amp; 'Profit &amp; Loss'!E984 &amp; CHAR(10) &amp; "Level: HB - LI" &amp; CHAR(10) &amp; "Cost: $" &amp; 'Profit &amp; Loss'!O984 &amp; " per pax" &amp; CHAR(10) &amp; "Max " &amp; 'Profit &amp; Loss'!I984*6 &amp; " pax," &amp; " (" &amp; 'Profit &amp; Loss'!I984 &amp; " courts)" &amp; CHAR(10) &amp; CHAR(10) &amp; "RSL Ultimate shuttles provided" &amp; CHAR(10) &amp; CHAR(10) &amp; "PM if interested, thank you!"," ")</f>
        <v xml:space="preserve"> </v>
      </c>
      <c r="B981" s="2" t="str">
        <f ca="1">IF('Profit &amp; Loss'!A984&gt;=TODAY(), "Date: " &amp; TEXT('Profit &amp; Loss'!A984,"dd mmm yyy") &amp; ", " &amp; 'Profit &amp; Loss'!B984 &amp; CHAR(10) &amp; "Time: " &amp; TEXT('Profit &amp; Loss'!C984, "hh:mm AM/PM") &amp; " - " &amp; TEXT('Profit &amp; Loss'!D984, "hh:mm AM/PM") &amp; CHAR(10) &amp; "Venue: " &amp; 'Profit &amp; Loss'!E984 &amp; CHAR(10) &amp; "Court No.: " &amp; 'Profit &amp; Loss'!F984 &amp; CHAR(10) &amp; "Level: HB - LI" &amp; CHAR(10) &amp; "Please transfer $" &amp; 'Profit &amp; Loss'!O984 &amp; " per pax to Belle (83396501)" &amp; CHAR(10) &amp; CHAR(10) &amp; IF('Profit &amp; Loss'!I984=1, "1." &amp; CHAR(10) &amp; "2." &amp; CHAR(10) &amp; "3." &amp; CHAR(10) &amp; "4." &amp; CHAR(10) &amp; "5." &amp; CHAR(10) &amp; "6." &amp; CHAR(10), IF('Profit &amp; Loss'!I984=2,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2" spans="1:2" ht="12.5" x14ac:dyDescent="0.25">
      <c r="A982" s="2" t="str">
        <f ca="1">IF('Profit &amp; Loss'!A985&gt;=TODAY(),"Looking for friendly players to join the following game: " &amp; CHAR(10) &amp; CHAR(10) &amp; "Date: " &amp; TEXT('Profit &amp; Loss'!A985,"dd mmm yyy") &amp; ", " &amp; 'Profit &amp; Loss'!B985 &amp; CHAR(10) &amp; "Time: " &amp; TEXT('Profit &amp; Loss'!C985, "hh:mm AM/PM") &amp; " - " &amp; TEXT('Profit &amp; Loss'!D985, "hh:mm AM/PM") &amp; CHAR(10) &amp; "Venue: " &amp; 'Profit &amp; Loss'!E985 &amp; CHAR(10) &amp; "Level: HB - LI" &amp; CHAR(10) &amp; "Cost: $" &amp; 'Profit &amp; Loss'!O985 &amp; " per pax" &amp; CHAR(10) &amp; "Max " &amp; 'Profit &amp; Loss'!I985*6 &amp; " pax," &amp; " (" &amp; 'Profit &amp; Loss'!I985 &amp; " courts)" &amp; CHAR(10) &amp; CHAR(10) &amp; "RSL Ultimate shuttles provided" &amp; CHAR(10) &amp; CHAR(10) &amp; "PM if interested, thank you!"," ")</f>
        <v xml:space="preserve"> </v>
      </c>
      <c r="B982" s="2" t="str">
        <f ca="1">IF('Profit &amp; Loss'!A985&gt;=TODAY(), "Date: " &amp; TEXT('Profit &amp; Loss'!A985,"dd mmm yyy") &amp; ", " &amp; 'Profit &amp; Loss'!B985 &amp; CHAR(10) &amp; "Time: " &amp; TEXT('Profit &amp; Loss'!C985, "hh:mm AM/PM") &amp; " - " &amp; TEXT('Profit &amp; Loss'!D985, "hh:mm AM/PM") &amp; CHAR(10) &amp; "Venue: " &amp; 'Profit &amp; Loss'!E985 &amp; CHAR(10) &amp; "Court No.: " &amp; 'Profit &amp; Loss'!F985 &amp; CHAR(10) &amp; "Level: HB - LI" &amp; CHAR(10) &amp; "Please transfer $" &amp; 'Profit &amp; Loss'!O985 &amp; " per pax to Belle (83396501)" &amp; CHAR(10) &amp; CHAR(10) &amp; IF('Profit &amp; Loss'!I985=1, "1." &amp; CHAR(10) &amp; "2." &amp; CHAR(10) &amp; "3." &amp; CHAR(10) &amp; "4." &amp; CHAR(10) &amp; "5." &amp; CHAR(10) &amp; "6." &amp; CHAR(10), IF('Profit &amp; Loss'!I985=2,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3" spans="1:2" ht="12.5" x14ac:dyDescent="0.25">
      <c r="A983" s="2" t="str">
        <f ca="1">IF('Profit &amp; Loss'!A986&gt;=TODAY(),"Looking for friendly players to join the following game: " &amp; CHAR(10) &amp; CHAR(10) &amp; "Date: " &amp; TEXT('Profit &amp; Loss'!A986,"dd mmm yyy") &amp; ", " &amp; 'Profit &amp; Loss'!B986 &amp; CHAR(10) &amp; "Time: " &amp; TEXT('Profit &amp; Loss'!C986, "hh:mm AM/PM") &amp; " - " &amp; TEXT('Profit &amp; Loss'!D986, "hh:mm AM/PM") &amp; CHAR(10) &amp; "Venue: " &amp; 'Profit &amp; Loss'!E986 &amp; CHAR(10) &amp; "Level: HB - LI" &amp; CHAR(10) &amp; "Cost: $" &amp; 'Profit &amp; Loss'!O986 &amp; " per pax" &amp; CHAR(10) &amp; "Max " &amp; 'Profit &amp; Loss'!I986*6 &amp; " pax," &amp; " (" &amp; 'Profit &amp; Loss'!I986 &amp; " courts)" &amp; CHAR(10) &amp; CHAR(10) &amp; "RSL Ultimate shuttles provided" &amp; CHAR(10) &amp; CHAR(10) &amp; "PM if interested, thank you!"," ")</f>
        <v xml:space="preserve"> </v>
      </c>
      <c r="B983" s="2" t="str">
        <f ca="1">IF('Profit &amp; Loss'!A986&gt;=TODAY(), "Date: " &amp; TEXT('Profit &amp; Loss'!A986,"dd mmm yyy") &amp; ", " &amp; 'Profit &amp; Loss'!B986 &amp; CHAR(10) &amp; "Time: " &amp; TEXT('Profit &amp; Loss'!C986, "hh:mm AM/PM") &amp; " - " &amp; TEXT('Profit &amp; Loss'!D986, "hh:mm AM/PM") &amp; CHAR(10) &amp; "Venue: " &amp; 'Profit &amp; Loss'!E986 &amp; CHAR(10) &amp; "Court No.: " &amp; 'Profit &amp; Loss'!F986 &amp; CHAR(10) &amp; "Level: HB - LI" &amp; CHAR(10) &amp; "Please transfer $" &amp; 'Profit &amp; Loss'!O986 &amp; " per pax to Belle (83396501)" &amp; CHAR(10) &amp; CHAR(10) &amp; IF('Profit &amp; Loss'!I986=1, "1." &amp; CHAR(10) &amp; "2." &amp; CHAR(10) &amp; "3." &amp; CHAR(10) &amp; "4." &amp; CHAR(10) &amp; "5." &amp; CHAR(10) &amp; "6." &amp; CHAR(10), IF('Profit &amp; Loss'!I986=2,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4" spans="1:2" ht="12.5" x14ac:dyDescent="0.25">
      <c r="A984" s="2" t="str">
        <f ca="1">IF('Profit &amp; Loss'!A987&gt;=TODAY(),"Looking for friendly players to join the following game: " &amp; CHAR(10) &amp; CHAR(10) &amp; "Date: " &amp; TEXT('Profit &amp; Loss'!A987,"dd mmm yyy") &amp; ", " &amp; 'Profit &amp; Loss'!B987 &amp; CHAR(10) &amp; "Time: " &amp; TEXT('Profit &amp; Loss'!C987, "hh:mm AM/PM") &amp; " - " &amp; TEXT('Profit &amp; Loss'!D987, "hh:mm AM/PM") &amp; CHAR(10) &amp; "Venue: " &amp; 'Profit &amp; Loss'!E987 &amp; CHAR(10) &amp; "Level: HB - LI" &amp; CHAR(10) &amp; "Cost: $" &amp; 'Profit &amp; Loss'!O987 &amp; " per pax" &amp; CHAR(10) &amp; "Max " &amp; 'Profit &amp; Loss'!I987*6 &amp; " pax," &amp; " (" &amp; 'Profit &amp; Loss'!I987 &amp; " courts)" &amp; CHAR(10) &amp; CHAR(10) &amp; "RSL Ultimate shuttles provided" &amp; CHAR(10) &amp; CHAR(10) &amp; "PM if interested, thank you!"," ")</f>
        <v xml:space="preserve"> </v>
      </c>
      <c r="B984" s="2" t="str">
        <f ca="1">IF('Profit &amp; Loss'!A987&gt;=TODAY(), "Date: " &amp; TEXT('Profit &amp; Loss'!A987,"dd mmm yyy") &amp; ", " &amp; 'Profit &amp; Loss'!B987 &amp; CHAR(10) &amp; "Time: " &amp; TEXT('Profit &amp; Loss'!C987, "hh:mm AM/PM") &amp; " - " &amp; TEXT('Profit &amp; Loss'!D987, "hh:mm AM/PM") &amp; CHAR(10) &amp; "Venue: " &amp; 'Profit &amp; Loss'!E987 &amp; CHAR(10) &amp; "Court No.: " &amp; 'Profit &amp; Loss'!F987 &amp; CHAR(10) &amp; "Level: HB - LI" &amp; CHAR(10) &amp; "Please transfer $" &amp; 'Profit &amp; Loss'!O987 &amp; " per pax to Belle (83396501)" &amp; CHAR(10) &amp; CHAR(10) &amp; IF('Profit &amp; Loss'!I987=1, "1." &amp; CHAR(10) &amp; "2." &amp; CHAR(10) &amp; "3." &amp; CHAR(10) &amp; "4." &amp; CHAR(10) &amp; "5." &amp; CHAR(10) &amp; "6." &amp; CHAR(10), IF('Profit &amp; Loss'!I987=2,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5" spans="1:2" ht="12.5" x14ac:dyDescent="0.25">
      <c r="A985" s="2" t="str">
        <f ca="1">IF('Profit &amp; Loss'!A988&gt;=TODAY(),"Looking for friendly players to join the following game: " &amp; CHAR(10) &amp; CHAR(10) &amp; "Date: " &amp; TEXT('Profit &amp; Loss'!A988,"dd mmm yyy") &amp; ", " &amp; 'Profit &amp; Loss'!B988 &amp; CHAR(10) &amp; "Time: " &amp; TEXT('Profit &amp; Loss'!C988, "hh:mm AM/PM") &amp; " - " &amp; TEXT('Profit &amp; Loss'!D988, "hh:mm AM/PM") &amp; CHAR(10) &amp; "Venue: " &amp; 'Profit &amp; Loss'!E988 &amp; CHAR(10) &amp; "Level: HB - LI" &amp; CHAR(10) &amp; "Cost: $" &amp; 'Profit &amp; Loss'!O988 &amp; " per pax" &amp; CHAR(10) &amp; "Max " &amp; 'Profit &amp; Loss'!I988*6 &amp; " pax," &amp; " (" &amp; 'Profit &amp; Loss'!I988 &amp; " courts)" &amp; CHAR(10) &amp; CHAR(10) &amp; "RSL Ultimate shuttles provided" &amp; CHAR(10) &amp; CHAR(10) &amp; "PM if interested, thank you!"," ")</f>
        <v xml:space="preserve"> </v>
      </c>
      <c r="B985" s="2" t="str">
        <f ca="1">IF('Profit &amp; Loss'!A988&gt;=TODAY(), "Date: " &amp; TEXT('Profit &amp; Loss'!A988,"dd mmm yyy") &amp; ", " &amp; 'Profit &amp; Loss'!B988 &amp; CHAR(10) &amp; "Time: " &amp; TEXT('Profit &amp; Loss'!C988, "hh:mm AM/PM") &amp; " - " &amp; TEXT('Profit &amp; Loss'!D988, "hh:mm AM/PM") &amp; CHAR(10) &amp; "Venue: " &amp; 'Profit &amp; Loss'!E988 &amp; CHAR(10) &amp; "Court No.: " &amp; 'Profit &amp; Loss'!F988 &amp; CHAR(10) &amp; "Level: HB - LI" &amp; CHAR(10) &amp; "Please transfer $" &amp; 'Profit &amp; Loss'!O988 &amp; " per pax to Belle (83396501)" &amp; CHAR(10) &amp; CHAR(10) &amp; IF('Profit &amp; Loss'!I988=1, "1." &amp; CHAR(10) &amp; "2." &amp; CHAR(10) &amp; "3." &amp; CHAR(10) &amp; "4." &amp; CHAR(10) &amp; "5." &amp; CHAR(10) &amp; "6." &amp; CHAR(10), IF('Profit &amp; Loss'!I988=2,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6" spans="1:2" ht="12.5" x14ac:dyDescent="0.25">
      <c r="A986" s="2" t="str">
        <f ca="1">IF('Profit &amp; Loss'!A989&gt;=TODAY(),"Looking for friendly players to join the following game: " &amp; CHAR(10) &amp; CHAR(10) &amp; "Date: " &amp; TEXT('Profit &amp; Loss'!A989,"dd mmm yyy") &amp; ", " &amp; 'Profit &amp; Loss'!B989 &amp; CHAR(10) &amp; "Time: " &amp; TEXT('Profit &amp; Loss'!C989, "hh:mm AM/PM") &amp; " - " &amp; TEXT('Profit &amp; Loss'!D989, "hh:mm AM/PM") &amp; CHAR(10) &amp; "Venue: " &amp; 'Profit &amp; Loss'!E989 &amp; CHAR(10) &amp; "Level: HB - LI" &amp; CHAR(10) &amp; "Cost: $" &amp; 'Profit &amp; Loss'!O989 &amp; " per pax" &amp; CHAR(10) &amp; "Max " &amp; 'Profit &amp; Loss'!I989*6 &amp; " pax," &amp; " (" &amp; 'Profit &amp; Loss'!I989 &amp; " courts)" &amp; CHAR(10) &amp; CHAR(10) &amp; "RSL Ultimate shuttles provided" &amp; CHAR(10) &amp; CHAR(10) &amp; "PM if interested, thank you!"," ")</f>
        <v xml:space="preserve"> </v>
      </c>
      <c r="B986" s="2" t="str">
        <f ca="1">IF('Profit &amp; Loss'!A989&gt;=TODAY(), "Date: " &amp; TEXT('Profit &amp; Loss'!A989,"dd mmm yyy") &amp; ", " &amp; 'Profit &amp; Loss'!B989 &amp; CHAR(10) &amp; "Time: " &amp; TEXT('Profit &amp; Loss'!C989, "hh:mm AM/PM") &amp; " - " &amp; TEXT('Profit &amp; Loss'!D989, "hh:mm AM/PM") &amp; CHAR(10) &amp; "Venue: " &amp; 'Profit &amp; Loss'!E989 &amp; CHAR(10) &amp; "Court No.: " &amp; 'Profit &amp; Loss'!F989 &amp; CHAR(10) &amp; "Level: HB - LI" &amp; CHAR(10) &amp; "Please transfer $" &amp; 'Profit &amp; Loss'!O989 &amp; " per pax to Belle (83396501)" &amp; CHAR(10) &amp; CHAR(10) &amp; IF('Profit &amp; Loss'!I989=1, "1." &amp; CHAR(10) &amp; "2." &amp; CHAR(10) &amp; "3." &amp; CHAR(10) &amp; "4." &amp; CHAR(10) &amp; "5." &amp; CHAR(10) &amp; "6." &amp; CHAR(10), IF('Profit &amp; Loss'!I989=2,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Loss'!I989=3,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7" spans="1:2" ht="12.5" x14ac:dyDescent="0.25">
      <c r="A987" s="2" t="str">
        <f ca="1">IF('Profit &amp; Loss'!A990&gt;=TODAY(),"Looking for friendly players to join the following game: " &amp; CHAR(10) &amp; CHAR(10) &amp; "Date: " &amp; TEXT('Profit &amp; Loss'!A990,"dd mmm yyy") &amp; ", " &amp; 'Profit &amp; Loss'!B990 &amp; CHAR(10) &amp; "Time: " &amp; TEXT('Profit &amp; Loss'!C990, "hh:mm AM/PM") &amp; " - " &amp; TEXT('Profit &amp; Loss'!D990, "hh:mm AM/PM") &amp; CHAR(10) &amp; "Venue: " &amp; 'Profit &amp; Loss'!E990 &amp; CHAR(10) &amp; "Level: HB - LI" &amp; CHAR(10) &amp; "Cost: $" &amp; 'Profit &amp; Loss'!O990 &amp; " per pax" &amp; CHAR(10) &amp; "Max " &amp; 'Profit &amp; Loss'!I990*6 &amp; " pax," &amp; " (" &amp; 'Profit &amp; Loss'!I990 &amp; " courts)" &amp; CHAR(10) &amp; CHAR(10) &amp; "RSL Ultimate shuttles provided" &amp; CHAR(10) &amp; CHAR(10) &amp; "PM if interested, thank you!"," ")</f>
        <v xml:space="preserve"> </v>
      </c>
      <c r="B987" s="2" t="str">
        <f ca="1">IF('Profit &amp; Loss'!A990&gt;=TODAY(), "Date: " &amp; TEXT('Profit &amp; Loss'!A990,"dd mmm yyy") &amp; ", " &amp; 'Profit &amp; Loss'!B990 &amp; CHAR(10) &amp; "Time: " &amp; TEXT('Profit &amp; Loss'!C990, "hh:mm AM/PM") &amp; " - " &amp; TEXT('Profit &amp; Loss'!D990, "hh:mm AM/PM") &amp; CHAR(10) &amp; "Venue: " &amp; 'Profit &amp; Loss'!E990 &amp; CHAR(10) &amp; "Court No.: " &amp; 'Profit &amp; Loss'!F990 &amp; CHAR(10) &amp; "Level: HB - LI" &amp; CHAR(10) &amp; "Please transfer $" &amp; 'Profit &amp; Loss'!O990 &amp; " per pax to Belle (83396501)" &amp; CHAR(10) &amp; CHAR(10) &amp; IF('Profit &amp; Loss'!I990=1, "1." &amp; CHAR(10) &amp; "2." &amp; CHAR(10) &amp; "3." &amp; CHAR(10) &amp; "4." &amp; CHAR(10) &amp; "5." &amp; CHAR(10) &amp; "6." &amp; CHAR(10), IF('Profit &amp; Loss'!I990=2,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8" spans="1:2" ht="12.5" x14ac:dyDescent="0.25">
      <c r="A988" s="2" t="str">
        <f ca="1">IF('Profit &amp; Loss'!A991&gt;=TODAY(),"Looking for friendly players to join the following game: " &amp; CHAR(10) &amp; CHAR(10) &amp; "Date: " &amp; TEXT('Profit &amp; Loss'!A991,"dd mmm yyy") &amp; ", " &amp; 'Profit &amp; Loss'!B991 &amp; CHAR(10) &amp; "Time: " &amp; TEXT('Profit &amp; Loss'!C991, "hh:mm AM/PM") &amp; " - " &amp; TEXT('Profit &amp; Loss'!D991, "hh:mm AM/PM") &amp; CHAR(10) &amp; "Venue: " &amp; 'Profit &amp; Loss'!E991 &amp; CHAR(10) &amp; "Level: HB - LI" &amp; CHAR(10) &amp; "Cost: $" &amp; 'Profit &amp; Loss'!O991 &amp; " per pax" &amp; CHAR(10) &amp; "Max " &amp; 'Profit &amp; Loss'!I991*6 &amp; " pax," &amp; " (" &amp; 'Profit &amp; Loss'!I991 &amp; " courts)" &amp; CHAR(10) &amp; CHAR(10) &amp; "RSL Ultimate shuttles provided" &amp; CHAR(10) &amp; CHAR(10) &amp; "PM if interested, thank you!"," ")</f>
        <v xml:space="preserve"> </v>
      </c>
      <c r="B988" s="2" t="str">
        <f ca="1">IF('Profit &amp; Loss'!A991&gt;=TODAY(), "Date: " &amp; TEXT('Profit &amp; Loss'!A991,"dd mmm yyy") &amp; ", " &amp; 'Profit &amp; Loss'!B991 &amp; CHAR(10) &amp; "Time: " &amp; TEXT('Profit &amp; Loss'!C991, "hh:mm AM/PM") &amp; " - " &amp; TEXT('Profit &amp; Loss'!D991, "hh:mm AM/PM") &amp; CHAR(10) &amp; "Venue: " &amp; 'Profit &amp; Loss'!E991 &amp; CHAR(10) &amp; "Court No.: " &amp; 'Profit &amp; Loss'!F991 &amp; CHAR(10) &amp; "Level: HB - LI" &amp; CHAR(10) &amp; "Please transfer $" &amp; 'Profit &amp; Loss'!O991 &amp; " per pax to Belle (83396501)" &amp; CHAR(10) &amp; CHAR(10) &amp; IF('Profit &amp; Loss'!I991=1, "1." &amp; CHAR(10) &amp; "2." &amp; CHAR(10) &amp; "3." &amp; CHAR(10) &amp; "4." &amp; CHAR(10) &amp; "5." &amp; CHAR(10) &amp; "6." &amp; CHAR(10), IF('Profit &amp; Loss'!I991=2,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Loss'!I991=3,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89" spans="1:2" ht="12.5" x14ac:dyDescent="0.25">
      <c r="A989" s="2" t="str">
        <f ca="1">IF('Profit &amp; Loss'!A992&gt;=TODAY(),"Looking for friendly players to join the following game: " &amp; CHAR(10) &amp; CHAR(10) &amp; "Date: " &amp; TEXT('Profit &amp; Loss'!A992,"dd mmm yyy") &amp; ", " &amp; 'Profit &amp; Loss'!B992 &amp; CHAR(10) &amp; "Time: " &amp; TEXT('Profit &amp; Loss'!C992, "hh:mm AM/PM") &amp; " - " &amp; TEXT('Profit &amp; Loss'!D992, "hh:mm AM/PM") &amp; CHAR(10) &amp; "Venue: " &amp; 'Profit &amp; Loss'!E992 &amp; CHAR(10) &amp; "Level: HB - LI" &amp; CHAR(10) &amp; "Cost: $" &amp; 'Profit &amp; Loss'!O992 &amp; " per pax" &amp; CHAR(10) &amp; "Max " &amp; 'Profit &amp; Loss'!I992*6 &amp; " pax," &amp; " (" &amp; 'Profit &amp; Loss'!I992 &amp; " courts)" &amp; CHAR(10) &amp; CHAR(10) &amp; "RSL Ultimate shuttles provided" &amp; CHAR(10) &amp; CHAR(10) &amp; "PM if interested, thank you!"," ")</f>
        <v xml:space="preserve"> </v>
      </c>
      <c r="B989" s="2" t="str">
        <f ca="1">IF('Profit &amp; Loss'!A992&gt;=TODAY(), "Date: " &amp; TEXT('Profit &amp; Loss'!A992,"dd mmm yyy") &amp; ", " &amp; 'Profit &amp; Loss'!B992 &amp; CHAR(10) &amp; "Time: " &amp; TEXT('Profit &amp; Loss'!C992, "hh:mm AM/PM") &amp; " - " &amp; TEXT('Profit &amp; Loss'!D992, "hh:mm AM/PM") &amp; CHAR(10) &amp; "Venue: " &amp; 'Profit &amp; Loss'!E992 &amp; CHAR(10) &amp; "Court No.: " &amp; 'Profit &amp; Loss'!F992 &amp; CHAR(10) &amp; "Level: HB - LI" &amp; CHAR(10) &amp; "Please transfer $" &amp; 'Profit &amp; Loss'!O992 &amp; " per pax to Belle (83396501)" &amp; CHAR(10) &amp; CHAR(10) &amp; IF('Profit &amp; Loss'!I992=1, "1." &amp; CHAR(10) &amp; "2." &amp; CHAR(10) &amp; "3." &amp; CHAR(10) &amp; "4." &amp; CHAR(10) &amp; "5." &amp; CHAR(10) &amp; "6." &amp; CHAR(10), IF('Profit &amp; Loss'!I992=2,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Loss'!I992=3,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0" spans="1:2" ht="12.5" x14ac:dyDescent="0.25">
      <c r="A990" s="2" t="str">
        <f ca="1">IF('Profit &amp; Loss'!A993&gt;=TODAY(),"Looking for friendly players to join the following game: " &amp; CHAR(10) &amp; CHAR(10) &amp; "Date: " &amp; TEXT('Profit &amp; Loss'!A993,"dd mmm yyy") &amp; ", " &amp; 'Profit &amp; Loss'!B993 &amp; CHAR(10) &amp; "Time: " &amp; TEXT('Profit &amp; Loss'!C993, "hh:mm AM/PM") &amp; " - " &amp; TEXT('Profit &amp; Loss'!D993, "hh:mm AM/PM") &amp; CHAR(10) &amp; "Venue: " &amp; 'Profit &amp; Loss'!E993 &amp; CHAR(10) &amp; "Level: HB - LI" &amp; CHAR(10) &amp; "Cost: $" &amp; 'Profit &amp; Loss'!O993 &amp; " per pax" &amp; CHAR(10) &amp; "Max " &amp; 'Profit &amp; Loss'!I993*6 &amp; " pax," &amp; " (" &amp; 'Profit &amp; Loss'!I993 &amp; " courts)" &amp; CHAR(10) &amp; CHAR(10) &amp; "RSL Ultimate shuttles provided" &amp; CHAR(10) &amp; CHAR(10) &amp; "PM if interested, thank you!"," ")</f>
        <v xml:space="preserve"> </v>
      </c>
      <c r="B990" s="2" t="str">
        <f ca="1">IF('Profit &amp; Loss'!A993&gt;=TODAY(), "Date: " &amp; TEXT('Profit &amp; Loss'!A993,"dd mmm yyy") &amp; ", " &amp; 'Profit &amp; Loss'!B993 &amp; CHAR(10) &amp; "Time: " &amp; TEXT('Profit &amp; Loss'!C993, "hh:mm AM/PM") &amp; " - " &amp; TEXT('Profit &amp; Loss'!D993, "hh:mm AM/PM") &amp; CHAR(10) &amp; "Venue: " &amp; 'Profit &amp; Loss'!E993 &amp; CHAR(10) &amp; "Court No.: " &amp; 'Profit &amp; Loss'!F993 &amp; CHAR(10) &amp; "Level: HB - LI" &amp; CHAR(10) &amp; "Please transfer $" &amp; 'Profit &amp; Loss'!O993 &amp; " per pax to Belle (83396501)" &amp; CHAR(10) &amp; CHAR(10) &amp; IF('Profit &amp; Loss'!I993=1, "1." &amp; CHAR(10) &amp; "2." &amp; CHAR(10) &amp; "3." &amp; CHAR(10) &amp; "4." &amp; CHAR(10) &amp; "5." &amp; CHAR(10) &amp; "6." &amp; CHAR(10), IF('Profit &amp; Loss'!I993=2,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Loss'!I993=3,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1" spans="1:2" ht="12.5" x14ac:dyDescent="0.25">
      <c r="A991" s="2" t="str">
        <f ca="1">IF('Profit &amp; Loss'!A994&gt;=TODAY(),"Looking for friendly players to join the following game: " &amp; CHAR(10) &amp; CHAR(10) &amp; "Date: " &amp; TEXT('Profit &amp; Loss'!A994,"dd mmm yyy") &amp; ", " &amp; 'Profit &amp; Loss'!B994 &amp; CHAR(10) &amp; "Time: " &amp; TEXT('Profit &amp; Loss'!C994, "hh:mm AM/PM") &amp; " - " &amp; TEXT('Profit &amp; Loss'!D994, "hh:mm AM/PM") &amp; CHAR(10) &amp; "Venue: " &amp; 'Profit &amp; Loss'!E994 &amp; CHAR(10) &amp; "Level: HB - LI" &amp; CHAR(10) &amp; "Cost: $" &amp; 'Profit &amp; Loss'!O994 &amp; " per pax" &amp; CHAR(10) &amp; "Max " &amp; 'Profit &amp; Loss'!I994*6 &amp; " pax," &amp; " (" &amp; 'Profit &amp; Loss'!I994 &amp; " courts)" &amp; CHAR(10) &amp; CHAR(10) &amp; "RSL Ultimate shuttles provided" &amp; CHAR(10) &amp; CHAR(10) &amp; "PM if interested, thank you!"," ")</f>
        <v xml:space="preserve"> </v>
      </c>
      <c r="B991" s="2" t="str">
        <f ca="1">IF('Profit &amp; Loss'!A994&gt;=TODAY(), "Date: " &amp; TEXT('Profit &amp; Loss'!A994,"dd mmm yyy") &amp; ", " &amp; 'Profit &amp; Loss'!B994 &amp; CHAR(10) &amp; "Time: " &amp; TEXT('Profit &amp; Loss'!C994, "hh:mm AM/PM") &amp; " - " &amp; TEXT('Profit &amp; Loss'!D994, "hh:mm AM/PM") &amp; CHAR(10) &amp; "Venue: " &amp; 'Profit &amp; Loss'!E994 &amp; CHAR(10) &amp; "Court No.: " &amp; 'Profit &amp; Loss'!F994 &amp; CHAR(10) &amp; "Level: HB - LI" &amp; CHAR(10) &amp; "Please transfer $" &amp; 'Profit &amp; Loss'!O994 &amp; " per pax to Belle (83396501)" &amp; CHAR(10) &amp; CHAR(10) &amp; IF('Profit &amp; Loss'!I994=1, "1." &amp; CHAR(10) &amp; "2." &amp; CHAR(10) &amp; "3." &amp; CHAR(10) &amp; "4." &amp; CHAR(10) &amp; "5." &amp; CHAR(10) &amp; "6." &amp; CHAR(10), IF('Profit &amp; Loss'!I994=2,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Loss'!I994=3,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2" spans="1:2" ht="12.5" x14ac:dyDescent="0.25">
      <c r="A992" s="2" t="str">
        <f ca="1">IF('Profit &amp; Loss'!A995&gt;=TODAY(),"Looking for friendly players to join the following game: " &amp; CHAR(10) &amp; CHAR(10) &amp; "Date: " &amp; TEXT('Profit &amp; Loss'!A995,"dd mmm yyy") &amp; ", " &amp; 'Profit &amp; Loss'!B995 &amp; CHAR(10) &amp; "Time: " &amp; TEXT('Profit &amp; Loss'!C995, "hh:mm AM/PM") &amp; " - " &amp; TEXT('Profit &amp; Loss'!D995, "hh:mm AM/PM") &amp; CHAR(10) &amp; "Venue: " &amp; 'Profit &amp; Loss'!E995 &amp; CHAR(10) &amp; "Level: HB - LI" &amp; CHAR(10) &amp; "Cost: $" &amp; 'Profit &amp; Loss'!O995 &amp; " per pax" &amp; CHAR(10) &amp; "Max " &amp; 'Profit &amp; Loss'!I995*6 &amp; " pax," &amp; " (" &amp; 'Profit &amp; Loss'!I995 &amp; " courts)" &amp; CHAR(10) &amp; CHAR(10) &amp; "RSL Ultimate shuttles provided" &amp; CHAR(10) &amp; CHAR(10) &amp; "PM if interested, thank you!"," ")</f>
        <v xml:space="preserve"> </v>
      </c>
      <c r="B992" s="2" t="str">
        <f ca="1">IF('Profit &amp; Loss'!A995&gt;=TODAY(), "Date: " &amp; TEXT('Profit &amp; Loss'!A995,"dd mmm yyy") &amp; ", " &amp; 'Profit &amp; Loss'!B995 &amp; CHAR(10) &amp; "Time: " &amp; TEXT('Profit &amp; Loss'!C995, "hh:mm AM/PM") &amp; " - " &amp; TEXT('Profit &amp; Loss'!D995, "hh:mm AM/PM") &amp; CHAR(10) &amp; "Venue: " &amp; 'Profit &amp; Loss'!E995 &amp; CHAR(10) &amp; "Court No.: " &amp; 'Profit &amp; Loss'!F995 &amp; CHAR(10) &amp; "Level: HB - LI" &amp; CHAR(10) &amp; "Please transfer $" &amp; 'Profit &amp; Loss'!O995 &amp; " per pax to Belle (83396501)" &amp; CHAR(10) &amp; CHAR(10) &amp; IF('Profit &amp; Loss'!I995=1, "1." &amp; CHAR(10) &amp; "2." &amp; CHAR(10) &amp; "3." &amp; CHAR(10) &amp; "4." &amp; CHAR(10) &amp; "5." &amp; CHAR(10) &amp; "6." &amp; CHAR(10), IF('Profit &amp; Loss'!I995=2,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Loss'!I995=3,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3" spans="1:2" ht="12.5" x14ac:dyDescent="0.25">
      <c r="A993" s="2" t="str">
        <f ca="1">IF('Profit &amp; Loss'!A996&gt;=TODAY(),"Looking for friendly players to join the following game: " &amp; CHAR(10) &amp; CHAR(10) &amp; "Date: " &amp; TEXT('Profit &amp; Loss'!A996,"dd mmm yyy") &amp; ", " &amp; 'Profit &amp; Loss'!B996 &amp; CHAR(10) &amp; "Time: " &amp; TEXT('Profit &amp; Loss'!C996, "hh:mm AM/PM") &amp; " - " &amp; TEXT('Profit &amp; Loss'!D996, "hh:mm AM/PM") &amp; CHAR(10) &amp; "Venue: " &amp; 'Profit &amp; Loss'!E996 &amp; CHAR(10) &amp; "Level: HB - LI" &amp; CHAR(10) &amp; "Cost: $" &amp; 'Profit &amp; Loss'!O996 &amp; " per pax" &amp; CHAR(10) &amp; "Max " &amp; 'Profit &amp; Loss'!I996*6 &amp; " pax," &amp; " (" &amp; 'Profit &amp; Loss'!I996 &amp; " courts)" &amp; CHAR(10) &amp; CHAR(10) &amp; "RSL Ultimate shuttles provided" &amp; CHAR(10) &amp; CHAR(10) &amp; "PM if interested, thank you!"," ")</f>
        <v xml:space="preserve"> </v>
      </c>
      <c r="B993" s="2" t="str">
        <f ca="1">IF('Profit &amp; Loss'!A996&gt;=TODAY(), "Date: " &amp; TEXT('Profit &amp; Loss'!A996,"dd mmm yyy") &amp; ", " &amp; 'Profit &amp; Loss'!B996 &amp; CHAR(10) &amp; "Time: " &amp; TEXT('Profit &amp; Loss'!C996, "hh:mm AM/PM") &amp; " - " &amp; TEXT('Profit &amp; Loss'!D996, "hh:mm AM/PM") &amp; CHAR(10) &amp; "Venue: " &amp; 'Profit &amp; Loss'!E996 &amp; CHAR(10) &amp; "Court No.: " &amp; 'Profit &amp; Loss'!F996 &amp; CHAR(10) &amp; "Level: HB - LI" &amp; CHAR(10) &amp; "Please transfer $" &amp; 'Profit &amp; Loss'!O996 &amp; " per pax to Belle (83396501)" &amp; CHAR(10) &amp; CHAR(10) &amp; IF('Profit &amp; Loss'!I996=1, "1." &amp; CHAR(10) &amp; "2." &amp; CHAR(10) &amp; "3." &amp; CHAR(10) &amp; "4." &amp; CHAR(10) &amp; "5." &amp; CHAR(10) &amp; "6." &amp; CHAR(10), IF('Profit &amp; Loss'!I996=2,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Loss'!I996=3,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4" spans="1:2" ht="12.5" x14ac:dyDescent="0.25">
      <c r="A994" s="2" t="str">
        <f ca="1">IF('Profit &amp; Loss'!A997&gt;=TODAY(),"Looking for friendly players to join the following game: " &amp; CHAR(10) &amp; CHAR(10) &amp; "Date: " &amp; TEXT('Profit &amp; Loss'!A997,"dd mmm yyy") &amp; ", " &amp; 'Profit &amp; Loss'!B997 &amp; CHAR(10) &amp; "Time: " &amp; TEXT('Profit &amp; Loss'!C997, "hh:mm AM/PM") &amp; " - " &amp; TEXT('Profit &amp; Loss'!D997, "hh:mm AM/PM") &amp; CHAR(10) &amp; "Venue: " &amp; 'Profit &amp; Loss'!E997 &amp; CHAR(10) &amp; "Level: HB - LI" &amp; CHAR(10) &amp; "Cost: $" &amp; 'Profit &amp; Loss'!O997 &amp; " per pax" &amp; CHAR(10) &amp; "Max " &amp; 'Profit &amp; Loss'!I997*6 &amp; " pax," &amp; " (" &amp; 'Profit &amp; Loss'!I997 &amp; " courts)" &amp; CHAR(10) &amp; CHAR(10) &amp; "RSL Ultimate shuttles provided" &amp; CHAR(10) &amp; CHAR(10) &amp; "PM if interested, thank you!"," ")</f>
        <v xml:space="preserve"> </v>
      </c>
      <c r="B994" s="2" t="str">
        <f ca="1">IF('Profit &amp; Loss'!A997&gt;=TODAY(), "Date: " &amp; TEXT('Profit &amp; Loss'!A997,"dd mmm yyy") &amp; ", " &amp; 'Profit &amp; Loss'!B997 &amp; CHAR(10) &amp; "Time: " &amp; TEXT('Profit &amp; Loss'!C997, "hh:mm AM/PM") &amp; " - " &amp; TEXT('Profit &amp; Loss'!D997, "hh:mm AM/PM") &amp; CHAR(10) &amp; "Venue: " &amp; 'Profit &amp; Loss'!E997 &amp; CHAR(10) &amp; "Court No.: " &amp; 'Profit &amp; Loss'!F997 &amp; CHAR(10) &amp; "Level: HB - LI" &amp; CHAR(10) &amp; "Please transfer $" &amp; 'Profit &amp; Loss'!O997 &amp; " per pax to Belle (83396501)" &amp; CHAR(10) &amp; CHAR(10) &amp; IF('Profit &amp; Loss'!I997=1, "1." &amp; CHAR(10) &amp; "2." &amp; CHAR(10) &amp; "3." &amp; CHAR(10) &amp; "4." &amp; CHAR(10) &amp; "5." &amp; CHAR(10) &amp; "6." &amp; CHAR(10), IF('Profit &amp; Loss'!I997=2,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Loss'!I997=3,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5" spans="1:2" ht="12.5" x14ac:dyDescent="0.25">
      <c r="A995" s="2" t="str">
        <f ca="1">IF('Profit &amp; Loss'!A998&gt;=TODAY(),"Looking for friendly players to join the following game: " &amp; CHAR(10) &amp; CHAR(10) &amp; "Date: " &amp; TEXT('Profit &amp; Loss'!A998,"dd mmm yyy") &amp; ", " &amp; 'Profit &amp; Loss'!B998 &amp; CHAR(10) &amp; "Time: " &amp; TEXT('Profit &amp; Loss'!C998, "hh:mm AM/PM") &amp; " - " &amp; TEXT('Profit &amp; Loss'!D998, "hh:mm AM/PM") &amp; CHAR(10) &amp; "Venue: " &amp; 'Profit &amp; Loss'!E998 &amp; CHAR(10) &amp; "Level: HB - LI" &amp; CHAR(10) &amp; "Cost: $" &amp; 'Profit &amp; Loss'!O998 &amp; " per pax" &amp; CHAR(10) &amp; "Max " &amp; 'Profit &amp; Loss'!I998*6 &amp; " pax," &amp; " (" &amp; 'Profit &amp; Loss'!I998 &amp; " courts)" &amp; CHAR(10) &amp; CHAR(10) &amp; "RSL Ultimate shuttles provided" &amp; CHAR(10) &amp; CHAR(10) &amp; "PM if interested, thank you!"," ")</f>
        <v xml:space="preserve"> </v>
      </c>
      <c r="B995" s="2" t="str">
        <f ca="1">IF('Profit &amp; Loss'!A998&gt;=TODAY(), "Date: " &amp; TEXT('Profit &amp; Loss'!A998,"dd mmm yyy") &amp; ", " &amp; 'Profit &amp; Loss'!B998 &amp; CHAR(10) &amp; "Time: " &amp; TEXT('Profit &amp; Loss'!C998, "hh:mm AM/PM") &amp; " - " &amp; TEXT('Profit &amp; Loss'!D998, "hh:mm AM/PM") &amp; CHAR(10) &amp; "Venue: " &amp; 'Profit &amp; Loss'!E998 &amp; CHAR(10) &amp; "Court No.: " &amp; 'Profit &amp; Loss'!F998 &amp; CHAR(10) &amp; "Level: HB - LI" &amp; CHAR(10) &amp; "Please transfer $" &amp; 'Profit &amp; Loss'!O998 &amp; " per pax to Belle (83396501)" &amp; CHAR(10) &amp; CHAR(10) &amp; IF('Profit &amp; Loss'!I998=1, "1." &amp; CHAR(10) &amp; "2." &amp; CHAR(10) &amp; "3." &amp; CHAR(10) &amp; "4." &amp; CHAR(10) &amp; "5." &amp; CHAR(10) &amp; "6." &amp; CHAR(10), IF('Profit &amp; Loss'!I998=2,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Loss'!I998=3,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6" spans="1:2" ht="12.5" x14ac:dyDescent="0.25">
      <c r="A996" s="2" t="str">
        <f ca="1">IF('Profit &amp; Loss'!A999&gt;=TODAY(),"Looking for friendly players to join the following game: " &amp; CHAR(10) &amp; CHAR(10) &amp; "Date: " &amp; TEXT('Profit &amp; Loss'!A999,"dd mmm yyy") &amp; ", " &amp; 'Profit &amp; Loss'!B999 &amp; CHAR(10) &amp; "Time: " &amp; TEXT('Profit &amp; Loss'!C999, "hh:mm AM/PM") &amp; " - " &amp; TEXT('Profit &amp; Loss'!D999, "hh:mm AM/PM") &amp; CHAR(10) &amp; "Venue: " &amp; 'Profit &amp; Loss'!E999 &amp; CHAR(10) &amp; "Level: HB - LI" &amp; CHAR(10) &amp; "Cost: $" &amp; 'Profit &amp; Loss'!O999 &amp; " per pax" &amp; CHAR(10) &amp; "Max " &amp; 'Profit &amp; Loss'!I999*6 &amp; " pax," &amp; " (" &amp; 'Profit &amp; Loss'!I999 &amp; " courts)" &amp; CHAR(10) &amp; CHAR(10) &amp; "RSL Ultimate shuttles provided" &amp; CHAR(10) &amp; CHAR(10) &amp; "PM if interested, thank you!"," ")</f>
        <v xml:space="preserve"> </v>
      </c>
      <c r="B996" s="2" t="str">
        <f ca="1">IF('Profit &amp; Loss'!A999&gt;=TODAY(), "Date: " &amp; TEXT('Profit &amp; Loss'!A999,"dd mmm yyy") &amp; ", " &amp; 'Profit &amp; Loss'!B999 &amp; CHAR(10) &amp; "Time: " &amp; TEXT('Profit &amp; Loss'!C999, "hh:mm AM/PM") &amp; " - " &amp; TEXT('Profit &amp; Loss'!D999, "hh:mm AM/PM") &amp; CHAR(10) &amp; "Venue: " &amp; 'Profit &amp; Loss'!E999 &amp; CHAR(10) &amp; "Court No.: " &amp; 'Profit &amp; Loss'!F999 &amp; CHAR(10) &amp; "Level: HB - LI" &amp; CHAR(10) &amp; "Please transfer $" &amp; 'Profit &amp; Loss'!O999 &amp; " per pax to Belle (83396501)" &amp; CHAR(10) &amp; CHAR(10) &amp; IF('Profit &amp; Loss'!I999=1, "1." &amp; CHAR(10) &amp; "2." &amp; CHAR(10) &amp; "3." &amp; CHAR(10) &amp; "4." &amp; CHAR(10) &amp; "5." &amp; CHAR(10) &amp; "6." &amp; CHAR(10), IF('Profit &amp; Loss'!I999=2,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Loss'!I999=3,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  <row r="997" spans="1:2" ht="12.5" x14ac:dyDescent="0.25">
      <c r="A997" s="2" t="str">
        <f ca="1">IF('Profit &amp; Loss'!A1000&gt;=TODAY(),"Looking for friendly players to join the following game: " &amp; CHAR(10) &amp; CHAR(10) &amp; "Date: " &amp; TEXT('Profit &amp; Loss'!A1000,"dd mmm yyy") &amp; ", " &amp; 'Profit &amp; Loss'!B1000 &amp; CHAR(10) &amp; "Time: " &amp; TEXT('Profit &amp; Loss'!C1000, "hh:mm AM/PM") &amp; " - " &amp; TEXT('Profit &amp; Loss'!D1000, "hh:mm AM/PM") &amp; CHAR(10) &amp; "Venue: " &amp; 'Profit &amp; Loss'!E1000 &amp; CHAR(10) &amp; "Level: HB - LI" &amp; CHAR(10) &amp; "Cost: $" &amp; 'Profit &amp; Loss'!O1000 &amp; " per pax" &amp; CHAR(10) &amp; "Max " &amp; 'Profit &amp; Loss'!I1000*6 &amp; " pax," &amp; " (" &amp; 'Profit &amp; Loss'!I1000 &amp; " courts)" &amp; CHAR(10) &amp; CHAR(10) &amp; "RSL Ultimate shuttles provided" &amp; CHAR(10) &amp; CHAR(10) &amp; "PM if interested, thank you!"," ")</f>
        <v xml:space="preserve"> </v>
      </c>
      <c r="B997" s="2" t="str">
        <f ca="1">IF('Profit &amp; Loss'!A1000&gt;=TODAY(), "Date: " &amp; TEXT('Profit &amp; Loss'!A1000,"dd mmm yyy") &amp; ", " &amp; 'Profit &amp; Loss'!B1000 &amp; CHAR(10) &amp; "Time: " &amp; TEXT('Profit &amp; Loss'!C1000, "hh:mm AM/PM") &amp; " - " &amp; TEXT('Profit &amp; Loss'!D1000, "hh:mm AM/PM") &amp; CHAR(10) &amp; "Venue: " &amp; 'Profit &amp; Loss'!E1000 &amp; CHAR(10) &amp; "Court No.: " &amp; 'Profit &amp; Loss'!F1000 &amp; CHAR(10) &amp; "Level: HB - LI" &amp; CHAR(10) &amp; "Please transfer $" &amp; 'Profit &amp; Loss'!O1000 &amp; " per pax to Belle (83396501)" &amp; CHAR(10) &amp; CHAR(10) &amp; IF('Profit &amp; Loss'!I1000=1, "1." &amp; CHAR(10) &amp; "2." &amp; CHAR(10) &amp; "3." &amp; CHAR(10) &amp; "4." &amp; CHAR(10) &amp; "5." &amp; CHAR(10) &amp; "6." &amp; CHAR(10), IF('Profit &amp; Loss'!I1000=2,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CHAR(10), IF('Profit &amp; Loss'!I1000=3, "1." &amp; CHAR(10) &amp; "2." &amp; CHAR(10) &amp; "3." &amp; CHAR(10) &amp; "4." &amp; CHAR(10) &amp; "5." &amp; CHAR(10) &amp; "6." &amp; CHAR(10) &amp; "7." &amp; CHAR(10) &amp; "8." &amp; CHAR(10) &amp; "9." &amp; CHAR(10) &amp; "10." &amp; CHAR(10) &amp; "11." &amp; CHAR(10) &amp; "12." &amp; CHAR(10) &amp; "13." &amp; CHAR(10) &amp; "14." &amp; CHAR(10) &amp; "15." &amp; CHAR(10) &amp; "16." &amp; CHAR(10) &amp; "17." &amp; CHAR(10) &amp; "18." &amp; CHAR(10), " "))),"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1"/>
  <sheetViews>
    <sheetView showGridLines="0" tabSelected="1" workbookViewId="0">
      <pane ySplit="5" topLeftCell="A9" activePane="bottomLeft" state="frozen"/>
      <selection pane="bottomLeft" activeCell="B18" sqref="B18"/>
    </sheetView>
  </sheetViews>
  <sheetFormatPr defaultColWidth="12.6328125" defaultRowHeight="15.75" customHeight="1" x14ac:dyDescent="0.25"/>
  <cols>
    <col min="2" max="2" width="13.453125" customWidth="1"/>
    <col min="5" max="5" width="14.08984375" customWidth="1"/>
    <col min="11" max="11" width="16.6328125" customWidth="1"/>
    <col min="28" max="28" width="16.90625" customWidth="1"/>
  </cols>
  <sheetData>
    <row r="1" spans="1:29" x14ac:dyDescent="0.3">
      <c r="A1" s="3" t="s">
        <v>1</v>
      </c>
      <c r="C1" s="4"/>
      <c r="D1" s="4"/>
      <c r="Y1" s="4"/>
      <c r="Z1" s="4"/>
      <c r="AA1" s="4"/>
      <c r="AB1" s="4"/>
      <c r="AC1" s="4"/>
    </row>
    <row r="2" spans="1:29" ht="15.75" customHeight="1" x14ac:dyDescent="0.25">
      <c r="A2" s="2" t="s">
        <v>2</v>
      </c>
      <c r="C2" s="5">
        <v>61.71</v>
      </c>
      <c r="D2" s="4"/>
      <c r="Y2" s="4"/>
      <c r="Z2" s="4"/>
      <c r="AA2" s="4"/>
      <c r="AB2" s="4"/>
      <c r="AC2" s="4"/>
    </row>
    <row r="3" spans="1:29" ht="15.75" customHeight="1" x14ac:dyDescent="0.25">
      <c r="C3" s="4"/>
      <c r="D3" s="4"/>
      <c r="Y3" s="4"/>
      <c r="Z3" s="4"/>
      <c r="AA3" s="4"/>
      <c r="AB3" s="4"/>
      <c r="AC3" s="4"/>
    </row>
    <row r="4" spans="1:29" x14ac:dyDescent="0.3">
      <c r="A4" s="6"/>
      <c r="B4" s="6"/>
      <c r="C4" s="7"/>
      <c r="D4" s="7"/>
      <c r="E4" s="6"/>
      <c r="F4" s="6"/>
      <c r="G4" s="126" t="s">
        <v>3</v>
      </c>
      <c r="H4" s="127"/>
      <c r="I4" s="127"/>
      <c r="J4" s="128"/>
      <c r="K4" s="126" t="s">
        <v>4</v>
      </c>
      <c r="L4" s="127"/>
      <c r="M4" s="127"/>
      <c r="N4" s="128"/>
      <c r="O4" s="126" t="s">
        <v>5</v>
      </c>
      <c r="P4" s="127"/>
      <c r="Q4" s="127"/>
      <c r="R4" s="126" t="s">
        <v>6</v>
      </c>
      <c r="S4" s="127"/>
      <c r="T4" s="128"/>
      <c r="U4" s="129" t="s">
        <v>7</v>
      </c>
      <c r="V4" s="130"/>
      <c r="W4" s="130"/>
      <c r="X4" s="131"/>
      <c r="Y4" s="126" t="s">
        <v>8</v>
      </c>
      <c r="Z4" s="127"/>
      <c r="AA4" s="127"/>
      <c r="AB4" s="127"/>
      <c r="AC4" s="128"/>
    </row>
    <row r="5" spans="1:29" x14ac:dyDescent="0.3">
      <c r="A5" s="8" t="s">
        <v>9</v>
      </c>
      <c r="B5" s="9" t="s">
        <v>10</v>
      </c>
      <c r="C5" s="9" t="s">
        <v>11</v>
      </c>
      <c r="D5" s="9" t="s">
        <v>12</v>
      </c>
      <c r="E5" s="10" t="s">
        <v>13</v>
      </c>
      <c r="F5" s="11" t="s">
        <v>14</v>
      </c>
      <c r="G5" s="8" t="s">
        <v>15</v>
      </c>
      <c r="H5" s="9" t="s">
        <v>16</v>
      </c>
      <c r="I5" s="9" t="s">
        <v>17</v>
      </c>
      <c r="J5" s="12" t="s">
        <v>18</v>
      </c>
      <c r="K5" s="8" t="s">
        <v>19</v>
      </c>
      <c r="L5" s="9" t="s">
        <v>20</v>
      </c>
      <c r="M5" s="9" t="s">
        <v>21</v>
      </c>
      <c r="N5" s="12" t="s">
        <v>22</v>
      </c>
      <c r="O5" s="8" t="s">
        <v>23</v>
      </c>
      <c r="P5" s="9" t="s">
        <v>24</v>
      </c>
      <c r="Q5" s="10" t="s">
        <v>25</v>
      </c>
      <c r="R5" s="8" t="s">
        <v>26</v>
      </c>
      <c r="S5" s="9" t="s">
        <v>27</v>
      </c>
      <c r="T5" s="10" t="s">
        <v>28</v>
      </c>
      <c r="U5" s="8" t="s">
        <v>29</v>
      </c>
      <c r="V5" s="9" t="s">
        <v>30</v>
      </c>
      <c r="W5" s="13" t="s">
        <v>31</v>
      </c>
      <c r="X5" s="10" t="s">
        <v>32</v>
      </c>
      <c r="Y5" s="14" t="s">
        <v>33</v>
      </c>
      <c r="Z5" s="15" t="s">
        <v>34</v>
      </c>
      <c r="AA5" s="15" t="s">
        <v>35</v>
      </c>
      <c r="AB5" s="15" t="s">
        <v>36</v>
      </c>
      <c r="AC5" s="16" t="s">
        <v>37</v>
      </c>
    </row>
    <row r="6" spans="1:29" ht="15.75" customHeight="1" x14ac:dyDescent="0.25">
      <c r="A6" s="17">
        <v>45955</v>
      </c>
      <c r="B6" s="18" t="s">
        <v>38</v>
      </c>
      <c r="C6" s="19">
        <v>0.72916666666666663</v>
      </c>
      <c r="D6" s="19">
        <v>0.8125</v>
      </c>
      <c r="E6" s="20" t="s">
        <v>39</v>
      </c>
      <c r="F6" s="21"/>
      <c r="G6" s="22">
        <f>VLOOKUP(E6,'Court List'!$A:$C,2,0)</f>
        <v>18</v>
      </c>
      <c r="H6" s="18">
        <v>2</v>
      </c>
      <c r="I6" s="18">
        <v>2</v>
      </c>
      <c r="J6" s="23">
        <f t="shared" ref="J6:J260" si="0">G6*(H6*I6)</f>
        <v>72</v>
      </c>
      <c r="K6" s="24" t="s">
        <v>40</v>
      </c>
      <c r="L6" s="18">
        <f>SUM('Shuttle Count - Ultimate (Sep 2'!C6:F6)</f>
        <v>11</v>
      </c>
      <c r="M6" s="25">
        <f>VLOOKUP(K6,'Shuttle Purchase'!A:C,3,0)</f>
        <v>3.4458333333333333</v>
      </c>
      <c r="N6" s="23">
        <f t="shared" ref="N6:N30" si="1">L6*M6</f>
        <v>37.904166666666669</v>
      </c>
      <c r="O6" s="22">
        <f>VLOOKUP(E6,'Court List'!$A:$C,3,0)</f>
        <v>14</v>
      </c>
      <c r="P6" s="18">
        <f>COUNTIF('Pub List'!$C6:$T6,"&lt;&gt;")</f>
        <v>8</v>
      </c>
      <c r="Q6" s="26">
        <f t="shared" ref="Q6:Q260" si="2">O6*P6</f>
        <v>112</v>
      </c>
      <c r="R6" s="24"/>
      <c r="S6" s="18">
        <f>COUNTIF('Member List'!$C6:$J6,"&lt;&gt;")</f>
        <v>4</v>
      </c>
      <c r="T6" s="20"/>
      <c r="U6" s="24">
        <f t="shared" ref="U6:U260" si="3">P6+S6</f>
        <v>12</v>
      </c>
      <c r="V6" s="25">
        <f t="shared" ref="V6:V260" si="4">Q6</f>
        <v>112</v>
      </c>
      <c r="W6" s="27">
        <f t="shared" ref="W6:W260" si="5">J6+N6</f>
        <v>109.90416666666667</v>
      </c>
      <c r="X6" s="26">
        <f t="shared" ref="X6:X260" si="6">V6-W6</f>
        <v>2.0958333333333314</v>
      </c>
      <c r="Y6" s="28">
        <f>C2+X6</f>
        <v>63.805833333333332</v>
      </c>
      <c r="Z6" s="29">
        <f t="shared" ref="Z6:Z260" si="7">V6</f>
        <v>112</v>
      </c>
      <c r="AA6" s="29">
        <f t="shared" ref="AA6:AA260" si="8">-J6</f>
        <v>-72</v>
      </c>
      <c r="AB6" s="30"/>
      <c r="AC6" s="31">
        <f>C2+Z6+AA6+AB6</f>
        <v>101.71000000000001</v>
      </c>
    </row>
    <row r="7" spans="1:29" ht="15.75" customHeight="1" x14ac:dyDescent="0.25">
      <c r="A7" s="32">
        <v>45960</v>
      </c>
      <c r="B7" s="33" t="s">
        <v>41</v>
      </c>
      <c r="C7" s="34">
        <v>0.8125</v>
      </c>
      <c r="D7" s="34">
        <v>0.89583333333333337</v>
      </c>
      <c r="E7" s="35" t="s">
        <v>42</v>
      </c>
      <c r="F7" s="21"/>
      <c r="G7" s="22">
        <f>VLOOKUP(E7,'Court List'!$A:$C,2,0)</f>
        <v>6</v>
      </c>
      <c r="H7" s="33">
        <v>2</v>
      </c>
      <c r="I7" s="33">
        <v>1</v>
      </c>
      <c r="J7" s="23">
        <f t="shared" si="0"/>
        <v>12</v>
      </c>
      <c r="K7" s="36" t="s">
        <v>40</v>
      </c>
      <c r="L7" s="18">
        <f>SUM('Shuttle Count - Ultimate (Sep 2'!C7:F7)</f>
        <v>5</v>
      </c>
      <c r="M7" s="25">
        <f>VLOOKUP(K7,'Shuttle Purchase'!A:C,3,0)</f>
        <v>3.4458333333333333</v>
      </c>
      <c r="N7" s="23">
        <f t="shared" si="1"/>
        <v>17.229166666666668</v>
      </c>
      <c r="O7" s="22">
        <f>VLOOKUP(E7,'Court List'!$A:$C,3,0)</f>
        <v>12</v>
      </c>
      <c r="P7" s="18">
        <f>COUNTIF('Pub List'!$C7:$T7,"&lt;&gt;")</f>
        <v>3</v>
      </c>
      <c r="Q7" s="26">
        <f t="shared" si="2"/>
        <v>36</v>
      </c>
      <c r="R7" s="36"/>
      <c r="S7" s="18">
        <f>COUNTIF('Member List'!$C7:$J7,"&lt;&gt;")</f>
        <v>3</v>
      </c>
      <c r="T7" s="35"/>
      <c r="U7" s="24">
        <f t="shared" si="3"/>
        <v>6</v>
      </c>
      <c r="V7" s="25">
        <f t="shared" si="4"/>
        <v>36</v>
      </c>
      <c r="W7" s="27">
        <f t="shared" si="5"/>
        <v>29.229166666666668</v>
      </c>
      <c r="X7" s="26">
        <f t="shared" si="6"/>
        <v>6.7708333333333321</v>
      </c>
      <c r="Y7" s="37">
        <f t="shared" ref="Y7:Y261" si="9">Y6+X7</f>
        <v>70.576666666666668</v>
      </c>
      <c r="Z7" s="38">
        <f t="shared" si="7"/>
        <v>36</v>
      </c>
      <c r="AA7" s="38">
        <f t="shared" si="8"/>
        <v>-12</v>
      </c>
      <c r="AB7" s="39"/>
      <c r="AC7" s="40">
        <f t="shared" ref="AC7:AC261" si="10">AC6+Z7+AA7+AB7</f>
        <v>125.71000000000001</v>
      </c>
    </row>
    <row r="8" spans="1:29" ht="15.75" customHeight="1" x14ac:dyDescent="0.25">
      <c r="A8" s="32">
        <v>45963</v>
      </c>
      <c r="B8" s="33" t="s">
        <v>43</v>
      </c>
      <c r="C8" s="34">
        <v>0.8125</v>
      </c>
      <c r="D8" s="34">
        <v>0.89583333333333337</v>
      </c>
      <c r="E8" s="35" t="s">
        <v>44</v>
      </c>
      <c r="F8" s="21"/>
      <c r="G8" s="22">
        <f>VLOOKUP(E8,'Court List'!$A:$C,2,0)</f>
        <v>8</v>
      </c>
      <c r="H8" s="33">
        <v>2</v>
      </c>
      <c r="I8" s="33">
        <v>2</v>
      </c>
      <c r="J8" s="23">
        <f t="shared" si="0"/>
        <v>32</v>
      </c>
      <c r="K8" s="36" t="s">
        <v>40</v>
      </c>
      <c r="L8" s="18">
        <f>SUM('Shuttle Count - Ultimate (Sep 2'!C8:F8)</f>
        <v>11</v>
      </c>
      <c r="M8" s="25">
        <f>VLOOKUP(K8,'Shuttle Purchase'!A:C,3,0)</f>
        <v>3.4458333333333333</v>
      </c>
      <c r="N8" s="23">
        <f t="shared" si="1"/>
        <v>37.904166666666669</v>
      </c>
      <c r="O8" s="22">
        <f>VLOOKUP(E8,'Court List'!$A:$C,3,0)</f>
        <v>12</v>
      </c>
      <c r="P8" s="18">
        <f>COUNTIF('Pub List'!$C8:$T8,"&lt;&gt;")</f>
        <v>7</v>
      </c>
      <c r="Q8" s="26">
        <f t="shared" si="2"/>
        <v>84</v>
      </c>
      <c r="R8" s="36"/>
      <c r="S8" s="18">
        <f>COUNTIF('Member List'!$C8:$J8,"&lt;&gt;")</f>
        <v>5</v>
      </c>
      <c r="T8" s="35"/>
      <c r="U8" s="24">
        <f t="shared" si="3"/>
        <v>12</v>
      </c>
      <c r="V8" s="25">
        <f t="shared" si="4"/>
        <v>84</v>
      </c>
      <c r="W8" s="27">
        <f t="shared" si="5"/>
        <v>69.904166666666669</v>
      </c>
      <c r="X8" s="26">
        <f t="shared" si="6"/>
        <v>14.095833333333331</v>
      </c>
      <c r="Y8" s="37">
        <f t="shared" si="9"/>
        <v>84.672499999999999</v>
      </c>
      <c r="Z8" s="38">
        <f t="shared" si="7"/>
        <v>84</v>
      </c>
      <c r="AA8" s="38">
        <f t="shared" si="8"/>
        <v>-32</v>
      </c>
      <c r="AB8" s="39"/>
      <c r="AC8" s="40">
        <f t="shared" si="10"/>
        <v>177.71</v>
      </c>
    </row>
    <row r="9" spans="1:29" ht="15.75" customHeight="1" x14ac:dyDescent="0.25">
      <c r="A9" s="32">
        <v>45965</v>
      </c>
      <c r="B9" s="33" t="s">
        <v>45</v>
      </c>
      <c r="C9" s="34">
        <v>0.8125</v>
      </c>
      <c r="D9" s="34">
        <v>0.89583333333333337</v>
      </c>
      <c r="E9" s="35" t="s">
        <v>42</v>
      </c>
      <c r="F9" s="21"/>
      <c r="G9" s="22">
        <f>VLOOKUP(E9,'Court List'!$A:$C,2,0)</f>
        <v>6</v>
      </c>
      <c r="H9" s="33">
        <v>2</v>
      </c>
      <c r="I9" s="33">
        <v>1</v>
      </c>
      <c r="J9" s="23">
        <f t="shared" si="0"/>
        <v>12</v>
      </c>
      <c r="K9" s="36" t="s">
        <v>40</v>
      </c>
      <c r="L9" s="18">
        <f>SUM('Shuttle Count - Ultimate (Sep 2'!C9:F9)</f>
        <v>3</v>
      </c>
      <c r="M9" s="25">
        <f>VLOOKUP(K9,'Shuttle Purchase'!A:C,3,0)</f>
        <v>3.4458333333333333</v>
      </c>
      <c r="N9" s="23">
        <f t="shared" si="1"/>
        <v>10.3375</v>
      </c>
      <c r="O9" s="22">
        <f>VLOOKUP(E9,'Court List'!$A:$C,3,0)</f>
        <v>12</v>
      </c>
      <c r="P9" s="18">
        <f>COUNTIF('Pub List'!$C9:$T9,"&lt;&gt;")</f>
        <v>1</v>
      </c>
      <c r="Q9" s="26">
        <f t="shared" si="2"/>
        <v>12</v>
      </c>
      <c r="R9" s="36"/>
      <c r="S9" s="18">
        <f>COUNTIF('Member List'!$C9:$J9,"&lt;&gt;")</f>
        <v>5</v>
      </c>
      <c r="T9" s="35"/>
      <c r="U9" s="24">
        <f t="shared" si="3"/>
        <v>6</v>
      </c>
      <c r="V9" s="25">
        <f t="shared" si="4"/>
        <v>12</v>
      </c>
      <c r="W9" s="27">
        <f t="shared" si="5"/>
        <v>22.337499999999999</v>
      </c>
      <c r="X9" s="26">
        <f t="shared" si="6"/>
        <v>-10.337499999999999</v>
      </c>
      <c r="Y9" s="37">
        <f t="shared" si="9"/>
        <v>74.335000000000008</v>
      </c>
      <c r="Z9" s="38">
        <f t="shared" si="7"/>
        <v>12</v>
      </c>
      <c r="AA9" s="38">
        <f t="shared" si="8"/>
        <v>-12</v>
      </c>
      <c r="AB9" s="39"/>
      <c r="AC9" s="40">
        <f t="shared" si="10"/>
        <v>177.71</v>
      </c>
    </row>
    <row r="10" spans="1:29" ht="15.75" customHeight="1" x14ac:dyDescent="0.25">
      <c r="A10" s="32">
        <v>45969</v>
      </c>
      <c r="B10" s="33" t="s">
        <v>38</v>
      </c>
      <c r="C10" s="34">
        <v>0.72916666666666663</v>
      </c>
      <c r="D10" s="34">
        <v>0.8125</v>
      </c>
      <c r="E10" s="35" t="s">
        <v>39</v>
      </c>
      <c r="F10" s="21"/>
      <c r="G10" s="22">
        <f>VLOOKUP(E10,'Court List'!$A:$C,2,0)</f>
        <v>18</v>
      </c>
      <c r="H10" s="33">
        <v>2</v>
      </c>
      <c r="I10" s="33">
        <v>2</v>
      </c>
      <c r="J10" s="23">
        <f t="shared" si="0"/>
        <v>72</v>
      </c>
      <c r="K10" s="36" t="s">
        <v>40</v>
      </c>
      <c r="L10" s="18">
        <f>SUM('Shuttle Count - Ultimate (Sep 2'!C10:F10)</f>
        <v>9</v>
      </c>
      <c r="M10" s="25">
        <f>VLOOKUP(K10,'Shuttle Purchase'!A:C,3,0)</f>
        <v>3.4458333333333333</v>
      </c>
      <c r="N10" s="23">
        <f t="shared" si="1"/>
        <v>31.012499999999999</v>
      </c>
      <c r="O10" s="22">
        <f>VLOOKUP(E10,'Court List'!$A:$C,3,0)</f>
        <v>14</v>
      </c>
      <c r="P10" s="18">
        <f>COUNTIF('Pub List'!$C10:$T10,"&lt;&gt;")</f>
        <v>7</v>
      </c>
      <c r="Q10" s="26">
        <f t="shared" si="2"/>
        <v>98</v>
      </c>
      <c r="R10" s="36"/>
      <c r="S10" s="18">
        <f>COUNTIF('Member List'!$C10:$J10,"&lt;&gt;")</f>
        <v>5</v>
      </c>
      <c r="T10" s="35"/>
      <c r="U10" s="24">
        <f t="shared" si="3"/>
        <v>12</v>
      </c>
      <c r="V10" s="25">
        <f t="shared" si="4"/>
        <v>98</v>
      </c>
      <c r="W10" s="27">
        <f t="shared" si="5"/>
        <v>103.0125</v>
      </c>
      <c r="X10" s="26">
        <f t="shared" si="6"/>
        <v>-5.0125000000000028</v>
      </c>
      <c r="Y10" s="37">
        <f t="shared" si="9"/>
        <v>69.322500000000005</v>
      </c>
      <c r="Z10" s="38">
        <f t="shared" si="7"/>
        <v>98</v>
      </c>
      <c r="AA10" s="38">
        <f t="shared" si="8"/>
        <v>-72</v>
      </c>
      <c r="AB10" s="39"/>
      <c r="AC10" s="40">
        <f t="shared" si="10"/>
        <v>203.71000000000004</v>
      </c>
    </row>
    <row r="11" spans="1:29" ht="15.75" customHeight="1" x14ac:dyDescent="0.25">
      <c r="A11" s="32">
        <v>45973</v>
      </c>
      <c r="B11" s="33" t="s">
        <v>46</v>
      </c>
      <c r="C11" s="34">
        <v>0.8125</v>
      </c>
      <c r="D11" s="34">
        <v>0.89583333333333337</v>
      </c>
      <c r="E11" s="35" t="s">
        <v>47</v>
      </c>
      <c r="F11" s="21"/>
      <c r="G11" s="22">
        <f>VLOOKUP(E11,'Court List'!$A:$C,2,0)</f>
        <v>6</v>
      </c>
      <c r="H11" s="33">
        <v>2</v>
      </c>
      <c r="I11" s="33">
        <v>1</v>
      </c>
      <c r="J11" s="23">
        <f t="shared" si="0"/>
        <v>12</v>
      </c>
      <c r="K11" s="36" t="s">
        <v>40</v>
      </c>
      <c r="L11" s="18">
        <f>SUM('Shuttle Count - Ultimate (Sep 2'!C11:F11)</f>
        <v>5</v>
      </c>
      <c r="M11" s="25">
        <f>VLOOKUP(K11,'Shuttle Purchase'!A:C,3,0)</f>
        <v>3.4458333333333333</v>
      </c>
      <c r="N11" s="23">
        <f t="shared" si="1"/>
        <v>17.229166666666668</v>
      </c>
      <c r="O11" s="22">
        <f>VLOOKUP(E11,'Court List'!$A:$C,3,0)</f>
        <v>12</v>
      </c>
      <c r="P11" s="18">
        <f>COUNTIF('Pub List'!$C11:$T11,"&lt;&gt;")</f>
        <v>3</v>
      </c>
      <c r="Q11" s="26">
        <f t="shared" si="2"/>
        <v>36</v>
      </c>
      <c r="R11" s="36"/>
      <c r="S11" s="18">
        <f>COUNTIF('Member List'!$C11:$J11,"&lt;&gt;")</f>
        <v>3</v>
      </c>
      <c r="T11" s="35"/>
      <c r="U11" s="24">
        <f t="shared" si="3"/>
        <v>6</v>
      </c>
      <c r="V11" s="25">
        <f t="shared" si="4"/>
        <v>36</v>
      </c>
      <c r="W11" s="27">
        <f t="shared" si="5"/>
        <v>29.229166666666668</v>
      </c>
      <c r="X11" s="26">
        <f t="shared" si="6"/>
        <v>6.7708333333333321</v>
      </c>
      <c r="Y11" s="37">
        <f t="shared" si="9"/>
        <v>76.093333333333334</v>
      </c>
      <c r="Z11" s="38">
        <f t="shared" si="7"/>
        <v>36</v>
      </c>
      <c r="AA11" s="38">
        <f t="shared" si="8"/>
        <v>-12</v>
      </c>
      <c r="AB11" s="39"/>
      <c r="AC11" s="40">
        <f t="shared" si="10"/>
        <v>227.71000000000004</v>
      </c>
    </row>
    <row r="12" spans="1:29" ht="15.75" customHeight="1" x14ac:dyDescent="0.25">
      <c r="A12" s="32">
        <v>45977</v>
      </c>
      <c r="B12" s="33" t="s">
        <v>43</v>
      </c>
      <c r="C12" s="34">
        <v>0.72916666666666663</v>
      </c>
      <c r="D12" s="34">
        <v>0.8125</v>
      </c>
      <c r="E12" s="35" t="s">
        <v>39</v>
      </c>
      <c r="F12" s="21"/>
      <c r="G12" s="22">
        <f>VLOOKUP(E12,'Court List'!$A:$C,2,0)</f>
        <v>18</v>
      </c>
      <c r="H12" s="33">
        <v>2</v>
      </c>
      <c r="I12" s="33">
        <v>3</v>
      </c>
      <c r="J12" s="23">
        <f t="shared" si="0"/>
        <v>108</v>
      </c>
      <c r="K12" s="36" t="s">
        <v>40</v>
      </c>
      <c r="L12" s="18">
        <f>SUM('Shuttle Count - Ultimate (Sep 2'!C12:F12)</f>
        <v>18</v>
      </c>
      <c r="M12" s="25">
        <f>VLOOKUP(K12,'Shuttle Purchase'!A:C,3,0)</f>
        <v>3.4458333333333333</v>
      </c>
      <c r="N12" s="23">
        <f t="shared" si="1"/>
        <v>62.024999999999999</v>
      </c>
      <c r="O12" s="22">
        <f>VLOOKUP(E12,'Court List'!$A:$C,3,0)</f>
        <v>14</v>
      </c>
      <c r="P12" s="18">
        <f>COUNTIF('Pub List'!$C12:$T12,"&lt;&gt;")</f>
        <v>11</v>
      </c>
      <c r="Q12" s="26">
        <f t="shared" si="2"/>
        <v>154</v>
      </c>
      <c r="R12" s="36"/>
      <c r="S12" s="18">
        <f>COUNTIF('Member List'!$C12:$J12,"&lt;&gt;")</f>
        <v>7</v>
      </c>
      <c r="T12" s="35"/>
      <c r="U12" s="24">
        <f t="shared" si="3"/>
        <v>18</v>
      </c>
      <c r="V12" s="25">
        <f t="shared" si="4"/>
        <v>154</v>
      </c>
      <c r="W12" s="27">
        <f t="shared" si="5"/>
        <v>170.02500000000001</v>
      </c>
      <c r="X12" s="26">
        <f t="shared" si="6"/>
        <v>-16.025000000000006</v>
      </c>
      <c r="Y12" s="37">
        <f t="shared" si="9"/>
        <v>60.068333333333328</v>
      </c>
      <c r="Z12" s="38">
        <f t="shared" si="7"/>
        <v>154</v>
      </c>
      <c r="AA12" s="38">
        <f t="shared" si="8"/>
        <v>-108</v>
      </c>
      <c r="AB12" s="39"/>
      <c r="AC12" s="40">
        <f t="shared" si="10"/>
        <v>273.71000000000004</v>
      </c>
    </row>
    <row r="13" spans="1:29" ht="15.75" customHeight="1" x14ac:dyDescent="0.25">
      <c r="A13" s="32">
        <v>45978</v>
      </c>
      <c r="B13" s="33" t="s">
        <v>48</v>
      </c>
      <c r="C13" s="34">
        <v>0.8125</v>
      </c>
      <c r="D13" s="34">
        <v>0.89583333333333337</v>
      </c>
      <c r="E13" s="35" t="s">
        <v>47</v>
      </c>
      <c r="F13" s="21"/>
      <c r="G13" s="22">
        <f>VLOOKUP(E13,'Court List'!$A:$C,2,0)</f>
        <v>6</v>
      </c>
      <c r="H13" s="33">
        <v>2</v>
      </c>
      <c r="I13" s="33">
        <v>1</v>
      </c>
      <c r="J13" s="23">
        <f t="shared" si="0"/>
        <v>12</v>
      </c>
      <c r="K13" s="36" t="s">
        <v>40</v>
      </c>
      <c r="L13" s="18">
        <f>SUM('Shuttle Count - Ultimate (Sep 2'!C13:F13)</f>
        <v>5</v>
      </c>
      <c r="M13" s="25">
        <f>VLOOKUP(K13,'Shuttle Purchase'!A:C,3,0)</f>
        <v>3.4458333333333333</v>
      </c>
      <c r="N13" s="23">
        <f t="shared" si="1"/>
        <v>17.229166666666668</v>
      </c>
      <c r="O13" s="22">
        <f>VLOOKUP(E13,'Court List'!$A:$C,3,0)</f>
        <v>12</v>
      </c>
      <c r="P13" s="18">
        <f>COUNTIF('Pub List'!$C13:$T13,"&lt;&gt;")</f>
        <v>4</v>
      </c>
      <c r="Q13" s="26">
        <f t="shared" si="2"/>
        <v>48</v>
      </c>
      <c r="R13" s="36"/>
      <c r="S13" s="18">
        <f>COUNTIF('Member List'!$C13:$J13,"&lt;&gt;")</f>
        <v>2</v>
      </c>
      <c r="T13" s="35"/>
      <c r="U13" s="24">
        <f t="shared" si="3"/>
        <v>6</v>
      </c>
      <c r="V13" s="25">
        <f t="shared" si="4"/>
        <v>48</v>
      </c>
      <c r="W13" s="27">
        <f t="shared" si="5"/>
        <v>29.229166666666668</v>
      </c>
      <c r="X13" s="26">
        <f t="shared" si="6"/>
        <v>18.770833333333332</v>
      </c>
      <c r="Y13" s="37">
        <f t="shared" si="9"/>
        <v>78.839166666666657</v>
      </c>
      <c r="Z13" s="38">
        <f t="shared" si="7"/>
        <v>48</v>
      </c>
      <c r="AA13" s="38">
        <f t="shared" si="8"/>
        <v>-12</v>
      </c>
      <c r="AB13" s="39"/>
      <c r="AC13" s="40">
        <f t="shared" si="10"/>
        <v>309.71000000000004</v>
      </c>
    </row>
    <row r="14" spans="1:29" ht="15.75" customHeight="1" x14ac:dyDescent="0.25">
      <c r="A14" s="32">
        <v>45979</v>
      </c>
      <c r="B14" s="33" t="s">
        <v>45</v>
      </c>
      <c r="C14" s="34">
        <v>0.83333333333333337</v>
      </c>
      <c r="D14" s="34">
        <v>0.91666666666666663</v>
      </c>
      <c r="E14" s="35" t="s">
        <v>49</v>
      </c>
      <c r="F14" s="21"/>
      <c r="G14" s="22">
        <f>VLOOKUP(E14,'Court List'!$A:$C,2,0)</f>
        <v>26</v>
      </c>
      <c r="H14" s="33">
        <v>2</v>
      </c>
      <c r="I14" s="33">
        <v>2</v>
      </c>
      <c r="J14" s="23">
        <f t="shared" si="0"/>
        <v>104</v>
      </c>
      <c r="K14" s="36" t="s">
        <v>40</v>
      </c>
      <c r="L14" s="18">
        <f>SUM('Shuttle Count - Ultimate (Sep 2'!C14:F14)</f>
        <v>10</v>
      </c>
      <c r="M14" s="25">
        <f>VLOOKUP(K14,'Shuttle Purchase'!A:C,3,0)</f>
        <v>3.4458333333333333</v>
      </c>
      <c r="N14" s="23">
        <f t="shared" si="1"/>
        <v>34.458333333333336</v>
      </c>
      <c r="O14" s="22">
        <f>VLOOKUP(E14,'Court List'!$A:$C,3,0)</f>
        <v>16</v>
      </c>
      <c r="P14" s="18">
        <f>COUNTIF('Pub List'!$C14:$T14,"&lt;&gt;")</f>
        <v>10</v>
      </c>
      <c r="Q14" s="26">
        <f t="shared" si="2"/>
        <v>160</v>
      </c>
      <c r="R14" s="36"/>
      <c r="S14" s="18">
        <f>COUNTIF('Member List'!$C14:$J14,"&lt;&gt;")</f>
        <v>2</v>
      </c>
      <c r="T14" s="35"/>
      <c r="U14" s="24">
        <f t="shared" si="3"/>
        <v>12</v>
      </c>
      <c r="V14" s="25">
        <f t="shared" si="4"/>
        <v>160</v>
      </c>
      <c r="W14" s="27">
        <f t="shared" si="5"/>
        <v>138.45833333333334</v>
      </c>
      <c r="X14" s="26">
        <f t="shared" si="6"/>
        <v>21.541666666666657</v>
      </c>
      <c r="Y14" s="37">
        <f t="shared" si="9"/>
        <v>100.38083333333331</v>
      </c>
      <c r="Z14" s="38">
        <f t="shared" si="7"/>
        <v>160</v>
      </c>
      <c r="AA14" s="38">
        <f t="shared" si="8"/>
        <v>-104</v>
      </c>
      <c r="AB14" s="39"/>
      <c r="AC14" s="40">
        <f t="shared" si="10"/>
        <v>365.71000000000004</v>
      </c>
    </row>
    <row r="15" spans="1:29" ht="15.75" customHeight="1" x14ac:dyDescent="0.25">
      <c r="A15" s="32">
        <v>45981</v>
      </c>
      <c r="B15" s="33" t="s">
        <v>41</v>
      </c>
      <c r="C15" s="34">
        <v>0.8125</v>
      </c>
      <c r="D15" s="34">
        <v>0.89583333333333337</v>
      </c>
      <c r="E15" s="35" t="s">
        <v>50</v>
      </c>
      <c r="F15" s="21"/>
      <c r="G15" s="22">
        <f>VLOOKUP(E15,'Court List'!$A:$C,2,0)</f>
        <v>6</v>
      </c>
      <c r="H15" s="33">
        <v>2</v>
      </c>
      <c r="I15" s="33">
        <v>1</v>
      </c>
      <c r="J15" s="23">
        <f t="shared" si="0"/>
        <v>12</v>
      </c>
      <c r="K15" s="36" t="s">
        <v>40</v>
      </c>
      <c r="L15" s="18">
        <f>SUM('Shuttle Count - Ultimate (Sep 2'!C15:F15)</f>
        <v>4</v>
      </c>
      <c r="M15" s="25">
        <f>VLOOKUP(K15,'Shuttle Purchase'!A:C,3,0)</f>
        <v>3.4458333333333333</v>
      </c>
      <c r="N15" s="23">
        <f t="shared" si="1"/>
        <v>13.783333333333333</v>
      </c>
      <c r="O15" s="22">
        <f>VLOOKUP(E15,'Court List'!$A:$C,3,0)</f>
        <v>12</v>
      </c>
      <c r="P15" s="18">
        <f>COUNTIF('Pub List'!$C15:$T15,"&lt;&gt;")</f>
        <v>1</v>
      </c>
      <c r="Q15" s="26">
        <f t="shared" si="2"/>
        <v>12</v>
      </c>
      <c r="R15" s="36"/>
      <c r="S15" s="18">
        <f>COUNTIF('Member List'!$C15:$J15,"&lt;&gt;")</f>
        <v>5</v>
      </c>
      <c r="T15" s="35"/>
      <c r="U15" s="24">
        <f t="shared" si="3"/>
        <v>6</v>
      </c>
      <c r="V15" s="25">
        <f t="shared" si="4"/>
        <v>12</v>
      </c>
      <c r="W15" s="27">
        <f t="shared" si="5"/>
        <v>25.783333333333331</v>
      </c>
      <c r="X15" s="26">
        <f t="shared" si="6"/>
        <v>-13.783333333333331</v>
      </c>
      <c r="Y15" s="37">
        <f t="shared" si="9"/>
        <v>86.597499999999982</v>
      </c>
      <c r="Z15" s="38">
        <f t="shared" si="7"/>
        <v>12</v>
      </c>
      <c r="AA15" s="38">
        <f t="shared" si="8"/>
        <v>-12</v>
      </c>
      <c r="AB15" s="39"/>
      <c r="AC15" s="40">
        <f t="shared" si="10"/>
        <v>365.71000000000004</v>
      </c>
    </row>
    <row r="16" spans="1:29" ht="15.75" customHeight="1" x14ac:dyDescent="0.25">
      <c r="A16" s="32">
        <v>45984</v>
      </c>
      <c r="B16" s="33" t="s">
        <v>43</v>
      </c>
      <c r="C16" s="34">
        <v>0.72916666666666663</v>
      </c>
      <c r="D16" s="34">
        <v>0.8125</v>
      </c>
      <c r="E16" s="35" t="s">
        <v>39</v>
      </c>
      <c r="F16" s="21"/>
      <c r="G16" s="22">
        <f>VLOOKUP(E16,'Court List'!$A:$C,2,0)</f>
        <v>18</v>
      </c>
      <c r="H16" s="33">
        <v>2</v>
      </c>
      <c r="I16" s="33">
        <v>2</v>
      </c>
      <c r="J16" s="23">
        <f t="shared" si="0"/>
        <v>72</v>
      </c>
      <c r="K16" s="36" t="s">
        <v>40</v>
      </c>
      <c r="L16" s="18">
        <f>SUM('Shuttle Count - Ultimate (Sep 2'!C16:F16)</f>
        <v>11</v>
      </c>
      <c r="M16" s="25">
        <f>VLOOKUP(K16,'Shuttle Purchase'!A:C,3,0)</f>
        <v>3.4458333333333333</v>
      </c>
      <c r="N16" s="23">
        <f t="shared" si="1"/>
        <v>37.904166666666669</v>
      </c>
      <c r="O16" s="22">
        <f>VLOOKUP(E16,'Court List'!$A:$C,3,0)</f>
        <v>14</v>
      </c>
      <c r="P16" s="18">
        <f>COUNTIF('Pub List'!$C16:$T16,"&lt;&gt;")</f>
        <v>8</v>
      </c>
      <c r="Q16" s="26">
        <f t="shared" si="2"/>
        <v>112</v>
      </c>
      <c r="R16" s="36"/>
      <c r="S16" s="18">
        <f>COUNTIF('Member List'!$C16:$J16,"&lt;&gt;")</f>
        <v>4</v>
      </c>
      <c r="T16" s="35"/>
      <c r="U16" s="24">
        <f t="shared" si="3"/>
        <v>12</v>
      </c>
      <c r="V16" s="25">
        <f t="shared" si="4"/>
        <v>112</v>
      </c>
      <c r="W16" s="27">
        <f t="shared" si="5"/>
        <v>109.90416666666667</v>
      </c>
      <c r="X16" s="26">
        <f t="shared" si="6"/>
        <v>2.0958333333333314</v>
      </c>
      <c r="Y16" s="37">
        <f t="shared" si="9"/>
        <v>88.693333333333314</v>
      </c>
      <c r="Z16" s="38">
        <f t="shared" si="7"/>
        <v>112</v>
      </c>
      <c r="AA16" s="38">
        <f t="shared" si="8"/>
        <v>-72</v>
      </c>
      <c r="AB16" s="39"/>
      <c r="AC16" s="40">
        <f t="shared" si="10"/>
        <v>405.71000000000004</v>
      </c>
    </row>
    <row r="17" spans="1:29" ht="15.75" customHeight="1" x14ac:dyDescent="0.25">
      <c r="A17" s="32">
        <v>45987</v>
      </c>
      <c r="B17" s="33" t="s">
        <v>46</v>
      </c>
      <c r="C17" s="34">
        <v>0.83333333333333337</v>
      </c>
      <c r="D17" s="34">
        <v>0.91666666666666663</v>
      </c>
      <c r="E17" s="35" t="s">
        <v>51</v>
      </c>
      <c r="F17" s="21"/>
      <c r="G17" s="22">
        <f>VLOOKUP(E17,'Court List'!$A:$C,2,0)</f>
        <v>7.4</v>
      </c>
      <c r="H17" s="33">
        <v>2</v>
      </c>
      <c r="I17" s="33">
        <v>2</v>
      </c>
      <c r="J17" s="23">
        <f t="shared" si="0"/>
        <v>29.6</v>
      </c>
      <c r="K17" s="36" t="s">
        <v>40</v>
      </c>
      <c r="L17" s="18">
        <f>SUM('Shuttle Count - Ultimate (Sep 2'!C17:F17)</f>
        <v>12</v>
      </c>
      <c r="M17" s="25">
        <f>VLOOKUP(K17,'Shuttle Purchase'!A:C,3,0)</f>
        <v>3.4458333333333333</v>
      </c>
      <c r="N17" s="23">
        <f t="shared" si="1"/>
        <v>41.35</v>
      </c>
      <c r="O17" s="22">
        <f>VLOOKUP(E17,'Court List'!$A:$C,3,0)</f>
        <v>12</v>
      </c>
      <c r="P17" s="18">
        <f>COUNTIF('Pub List'!$C17:$T17,"&lt;&gt;")</f>
        <v>7</v>
      </c>
      <c r="Q17" s="26">
        <f t="shared" si="2"/>
        <v>84</v>
      </c>
      <c r="R17" s="36"/>
      <c r="S17" s="18">
        <f>COUNTIF('Member List'!$C17:$J17,"&lt;&gt;")</f>
        <v>5</v>
      </c>
      <c r="T17" s="35"/>
      <c r="U17" s="24">
        <f t="shared" si="3"/>
        <v>12</v>
      </c>
      <c r="V17" s="25">
        <f t="shared" si="4"/>
        <v>84</v>
      </c>
      <c r="W17" s="27">
        <f t="shared" si="5"/>
        <v>70.95</v>
      </c>
      <c r="X17" s="26">
        <f t="shared" si="6"/>
        <v>13.049999999999997</v>
      </c>
      <c r="Y17" s="37">
        <f t="shared" si="9"/>
        <v>101.74333333333331</v>
      </c>
      <c r="Z17" s="38">
        <f t="shared" si="7"/>
        <v>84</v>
      </c>
      <c r="AA17" s="38">
        <f t="shared" si="8"/>
        <v>-29.6</v>
      </c>
      <c r="AB17" s="39"/>
      <c r="AC17" s="40">
        <f t="shared" si="10"/>
        <v>460.11</v>
      </c>
    </row>
    <row r="18" spans="1:29" ht="15.75" customHeight="1" x14ac:dyDescent="0.25">
      <c r="A18" s="32">
        <v>45988</v>
      </c>
      <c r="B18" s="33" t="s">
        <v>41</v>
      </c>
      <c r="C18" s="34">
        <v>0.8125</v>
      </c>
      <c r="D18" s="34">
        <v>0.89583333333333337</v>
      </c>
      <c r="E18" s="35" t="s">
        <v>50</v>
      </c>
      <c r="F18" s="21"/>
      <c r="G18" s="22">
        <f>VLOOKUP(E18,'Court List'!$A:$C,2,0)</f>
        <v>6</v>
      </c>
      <c r="H18" s="33">
        <v>2</v>
      </c>
      <c r="I18" s="33">
        <v>1</v>
      </c>
      <c r="J18" s="23">
        <f t="shared" si="0"/>
        <v>12</v>
      </c>
      <c r="K18" s="36" t="s">
        <v>40</v>
      </c>
      <c r="L18" s="18">
        <f>SUM('Shuttle Count - Ultimate (Sep 2'!C18:F18)</f>
        <v>3</v>
      </c>
      <c r="M18" s="25">
        <f>VLOOKUP(K18,'Shuttle Purchase'!A:C,3,0)</f>
        <v>3.4458333333333333</v>
      </c>
      <c r="N18" s="23">
        <f t="shared" si="1"/>
        <v>10.3375</v>
      </c>
      <c r="O18" s="22">
        <f>VLOOKUP(E18,'Court List'!$A:$C,3,0)</f>
        <v>12</v>
      </c>
      <c r="P18" s="18">
        <f>COUNTIF('Pub List'!$C18:$T18,"&lt;&gt;")</f>
        <v>1</v>
      </c>
      <c r="Q18" s="26">
        <f t="shared" si="2"/>
        <v>12</v>
      </c>
      <c r="R18" s="36"/>
      <c r="S18" s="18">
        <f>COUNTIF('Member List'!$C18:$J18,"&lt;&gt;")</f>
        <v>5</v>
      </c>
      <c r="T18" s="35"/>
      <c r="U18" s="24">
        <f t="shared" si="3"/>
        <v>6</v>
      </c>
      <c r="V18" s="25">
        <f t="shared" si="4"/>
        <v>12</v>
      </c>
      <c r="W18" s="27">
        <f t="shared" si="5"/>
        <v>22.337499999999999</v>
      </c>
      <c r="X18" s="26">
        <f t="shared" si="6"/>
        <v>-10.337499999999999</v>
      </c>
      <c r="Y18" s="37">
        <f t="shared" si="9"/>
        <v>91.405833333333305</v>
      </c>
      <c r="Z18" s="38">
        <f t="shared" si="7"/>
        <v>12</v>
      </c>
      <c r="AA18" s="38">
        <f t="shared" si="8"/>
        <v>-12</v>
      </c>
      <c r="AB18" s="39"/>
      <c r="AC18" s="40">
        <f t="shared" si="10"/>
        <v>460.11</v>
      </c>
    </row>
    <row r="19" spans="1:29" ht="15.75" customHeight="1" x14ac:dyDescent="0.25">
      <c r="A19" s="32">
        <v>45991</v>
      </c>
      <c r="B19" s="33" t="s">
        <v>43</v>
      </c>
      <c r="C19" s="34">
        <v>0.72916666666666663</v>
      </c>
      <c r="D19" s="34">
        <v>0.8125</v>
      </c>
      <c r="E19" s="35" t="s">
        <v>39</v>
      </c>
      <c r="F19" s="21"/>
      <c r="G19" s="22">
        <f>VLOOKUP(E19,'Court List'!$A:$C,2,0)</f>
        <v>18</v>
      </c>
      <c r="H19" s="33">
        <v>2</v>
      </c>
      <c r="I19" s="33">
        <v>2</v>
      </c>
      <c r="J19" s="23">
        <f t="shared" si="0"/>
        <v>72</v>
      </c>
      <c r="K19" s="36" t="s">
        <v>40</v>
      </c>
      <c r="L19" s="18">
        <f>SUM('Shuttle Count - Ultimate (Sep 2'!C19:F19)</f>
        <v>10</v>
      </c>
      <c r="M19" s="25">
        <f>VLOOKUP(K19,'Shuttle Purchase'!A:C,3,0)</f>
        <v>3.4458333333333333</v>
      </c>
      <c r="N19" s="23">
        <f t="shared" si="1"/>
        <v>34.458333333333336</v>
      </c>
      <c r="O19" s="22">
        <f>VLOOKUP(E19,'Court List'!$A:$C,3,0)</f>
        <v>14</v>
      </c>
      <c r="P19" s="18">
        <f>COUNTIF('Pub List'!$C19:$T19,"&lt;&gt;")</f>
        <v>10</v>
      </c>
      <c r="Q19" s="26">
        <f t="shared" si="2"/>
        <v>140</v>
      </c>
      <c r="R19" s="36"/>
      <c r="S19" s="18">
        <f>COUNTIF('Member List'!$C19:$J19,"&lt;&gt;")</f>
        <v>2</v>
      </c>
      <c r="T19" s="35"/>
      <c r="U19" s="24">
        <f t="shared" si="3"/>
        <v>12</v>
      </c>
      <c r="V19" s="25">
        <f t="shared" si="4"/>
        <v>140</v>
      </c>
      <c r="W19" s="27">
        <f t="shared" si="5"/>
        <v>106.45833333333334</v>
      </c>
      <c r="X19" s="26">
        <f t="shared" si="6"/>
        <v>33.541666666666657</v>
      </c>
      <c r="Y19" s="37">
        <f t="shared" si="9"/>
        <v>124.94749999999996</v>
      </c>
      <c r="Z19" s="38">
        <f t="shared" si="7"/>
        <v>140</v>
      </c>
      <c r="AA19" s="38">
        <f t="shared" si="8"/>
        <v>-72</v>
      </c>
      <c r="AB19" s="38">
        <f>-('Shuttle Purchase'!C8*('Shuttle Purchase'!E8+'Shuttle Purchase'!G8)+'Shuttle Purchase'!C9*('Shuttle Purchase'!E9+'Shuttle Purchase'!G9))</f>
        <v>-844.55</v>
      </c>
      <c r="AC19" s="40">
        <f t="shared" si="10"/>
        <v>-316.43999999999994</v>
      </c>
    </row>
    <row r="20" spans="1:29" ht="15.75" customHeight="1" x14ac:dyDescent="0.25">
      <c r="A20" s="32">
        <v>45998</v>
      </c>
      <c r="B20" s="33" t="s">
        <v>43</v>
      </c>
      <c r="C20" s="34">
        <v>0.72916666666666663</v>
      </c>
      <c r="D20" s="34">
        <v>0.8125</v>
      </c>
      <c r="E20" s="35" t="s">
        <v>39</v>
      </c>
      <c r="F20" s="21" t="s">
        <v>52</v>
      </c>
      <c r="G20" s="22">
        <f>VLOOKUP(E20,'Court List'!$A:$C,2,0)</f>
        <v>18</v>
      </c>
      <c r="H20" s="33">
        <v>2</v>
      </c>
      <c r="I20" s="33">
        <v>3</v>
      </c>
      <c r="J20" s="23">
        <f t="shared" si="0"/>
        <v>108</v>
      </c>
      <c r="K20" s="36" t="s">
        <v>40</v>
      </c>
      <c r="L20" s="18">
        <f>SUM('Shuttle Count - Ultimate (Sep 2'!C20:F20)</f>
        <v>19</v>
      </c>
      <c r="M20" s="25">
        <f>VLOOKUP(K20,'Shuttle Purchase'!A:C,3,0)</f>
        <v>3.4458333333333333</v>
      </c>
      <c r="N20" s="23">
        <f t="shared" si="1"/>
        <v>65.470833333333331</v>
      </c>
      <c r="O20" s="22">
        <f>VLOOKUP(E20,'Court List'!$A:$C,3,0)</f>
        <v>14</v>
      </c>
      <c r="P20" s="18">
        <f>COUNTIF('Pub List'!$C20:$T20,"&lt;&gt;")</f>
        <v>13</v>
      </c>
      <c r="Q20" s="26">
        <f t="shared" si="2"/>
        <v>182</v>
      </c>
      <c r="R20" s="36"/>
      <c r="S20" s="18">
        <f>COUNTIF('Member List'!$C20:$J20,"&lt;&gt;")</f>
        <v>5</v>
      </c>
      <c r="T20" s="35"/>
      <c r="U20" s="24">
        <f t="shared" si="3"/>
        <v>18</v>
      </c>
      <c r="V20" s="25">
        <f t="shared" si="4"/>
        <v>182</v>
      </c>
      <c r="W20" s="27">
        <f t="shared" si="5"/>
        <v>173.47083333333333</v>
      </c>
      <c r="X20" s="26">
        <f t="shared" si="6"/>
        <v>8.5291666666666686</v>
      </c>
      <c r="Y20" s="37">
        <f t="shared" si="9"/>
        <v>133.47666666666663</v>
      </c>
      <c r="Z20" s="38">
        <f t="shared" si="7"/>
        <v>182</v>
      </c>
      <c r="AA20" s="38">
        <f t="shared" si="8"/>
        <v>-108</v>
      </c>
      <c r="AB20" s="39"/>
      <c r="AC20" s="40">
        <f t="shared" si="10"/>
        <v>-242.43999999999994</v>
      </c>
    </row>
    <row r="21" spans="1:29" ht="15.75" customHeight="1" x14ac:dyDescent="0.25">
      <c r="A21" s="32">
        <v>45999</v>
      </c>
      <c r="B21" s="33" t="s">
        <v>48</v>
      </c>
      <c r="C21" s="34">
        <v>0.8125</v>
      </c>
      <c r="D21" s="34">
        <v>0.89583333333333337</v>
      </c>
      <c r="E21" s="35" t="s">
        <v>47</v>
      </c>
      <c r="F21" s="21" t="s">
        <v>53</v>
      </c>
      <c r="G21" s="22">
        <f>VLOOKUP(E21,'Court List'!$A:$C,2,0)</f>
        <v>6</v>
      </c>
      <c r="H21" s="33">
        <v>2</v>
      </c>
      <c r="I21" s="33">
        <v>1</v>
      </c>
      <c r="J21" s="23">
        <f t="shared" si="0"/>
        <v>12</v>
      </c>
      <c r="K21" s="36" t="s">
        <v>40</v>
      </c>
      <c r="L21" s="18">
        <f>SUM('Shuttle Count - Ultimate (Sep 2'!C21:F21)</f>
        <v>5</v>
      </c>
      <c r="M21" s="25">
        <f>VLOOKUP(K21,'Shuttle Purchase'!A:C,3,0)</f>
        <v>3.4458333333333333</v>
      </c>
      <c r="N21" s="23">
        <f t="shared" si="1"/>
        <v>17.229166666666668</v>
      </c>
      <c r="O21" s="22">
        <f>VLOOKUP(E21,'Court List'!$A:$C,3,0)</f>
        <v>12</v>
      </c>
      <c r="P21" s="18">
        <f>COUNTIF('Pub List'!$C21:$T21,"&lt;&gt;")</f>
        <v>2</v>
      </c>
      <c r="Q21" s="26">
        <f t="shared" si="2"/>
        <v>24</v>
      </c>
      <c r="R21" s="36"/>
      <c r="S21" s="18">
        <f>COUNTIF('Member List'!$C21:$J21,"&lt;&gt;")</f>
        <v>4</v>
      </c>
      <c r="T21" s="35"/>
      <c r="U21" s="24">
        <f t="shared" si="3"/>
        <v>6</v>
      </c>
      <c r="V21" s="25">
        <f t="shared" si="4"/>
        <v>24</v>
      </c>
      <c r="W21" s="27">
        <f t="shared" si="5"/>
        <v>29.229166666666668</v>
      </c>
      <c r="X21" s="26">
        <f t="shared" si="6"/>
        <v>-5.2291666666666679</v>
      </c>
      <c r="Y21" s="37">
        <f t="shared" si="9"/>
        <v>128.24749999999997</v>
      </c>
      <c r="Z21" s="38">
        <f t="shared" si="7"/>
        <v>24</v>
      </c>
      <c r="AA21" s="38">
        <f t="shared" si="8"/>
        <v>-12</v>
      </c>
      <c r="AB21" s="39"/>
      <c r="AC21" s="40">
        <f t="shared" si="10"/>
        <v>-230.43999999999994</v>
      </c>
    </row>
    <row r="22" spans="1:29" ht="15.75" customHeight="1" x14ac:dyDescent="0.25">
      <c r="A22" s="32">
        <v>46001</v>
      </c>
      <c r="B22" s="33" t="s">
        <v>46</v>
      </c>
      <c r="C22" s="34">
        <v>0.8125</v>
      </c>
      <c r="D22" s="34">
        <v>0.89583333333333337</v>
      </c>
      <c r="E22" s="35" t="s">
        <v>47</v>
      </c>
      <c r="F22" s="21" t="s">
        <v>54</v>
      </c>
      <c r="G22" s="22">
        <f>VLOOKUP(E22,'Court List'!$A:$C,2,0)</f>
        <v>6</v>
      </c>
      <c r="H22" s="33">
        <v>2</v>
      </c>
      <c r="I22" s="33">
        <v>1</v>
      </c>
      <c r="J22" s="23">
        <f t="shared" si="0"/>
        <v>12</v>
      </c>
      <c r="K22" s="36" t="s">
        <v>40</v>
      </c>
      <c r="L22" s="18">
        <f>SUM('Shuttle Count - Ultimate (Sep 2'!C22:F22)</f>
        <v>5</v>
      </c>
      <c r="M22" s="25">
        <f>VLOOKUP(K22,'Shuttle Purchase'!A:C,3,0)</f>
        <v>3.4458333333333333</v>
      </c>
      <c r="N22" s="23">
        <f t="shared" si="1"/>
        <v>17.229166666666668</v>
      </c>
      <c r="O22" s="22">
        <f>VLOOKUP(E22,'Court List'!$A:$C,3,0)</f>
        <v>12</v>
      </c>
      <c r="P22" s="18">
        <f>COUNTIF('Pub List'!$C22:$T22,"&lt;&gt;")</f>
        <v>4</v>
      </c>
      <c r="Q22" s="26">
        <f t="shared" si="2"/>
        <v>48</v>
      </c>
      <c r="R22" s="36"/>
      <c r="S22" s="18">
        <f>COUNTIF('Member List'!$C22:$J22,"&lt;&gt;")</f>
        <v>2</v>
      </c>
      <c r="T22" s="35"/>
      <c r="U22" s="24">
        <f t="shared" si="3"/>
        <v>6</v>
      </c>
      <c r="V22" s="25">
        <f t="shared" si="4"/>
        <v>48</v>
      </c>
      <c r="W22" s="27">
        <f t="shared" si="5"/>
        <v>29.229166666666668</v>
      </c>
      <c r="X22" s="26">
        <f t="shared" si="6"/>
        <v>18.770833333333332</v>
      </c>
      <c r="Y22" s="37">
        <f t="shared" si="9"/>
        <v>147.01833333333332</v>
      </c>
      <c r="Z22" s="38">
        <f t="shared" si="7"/>
        <v>48</v>
      </c>
      <c r="AA22" s="38">
        <f t="shared" si="8"/>
        <v>-12</v>
      </c>
      <c r="AB22" s="39"/>
      <c r="AC22" s="40">
        <f t="shared" si="10"/>
        <v>-194.43999999999994</v>
      </c>
    </row>
    <row r="23" spans="1:29" ht="15.75" customHeight="1" x14ac:dyDescent="0.25">
      <c r="A23" s="32">
        <v>46004</v>
      </c>
      <c r="B23" s="33" t="s">
        <v>38</v>
      </c>
      <c r="C23" s="34">
        <v>0.77083333333333337</v>
      </c>
      <c r="D23" s="34">
        <v>0.85416666666666663</v>
      </c>
      <c r="E23" s="35" t="s">
        <v>44</v>
      </c>
      <c r="F23" s="21" t="s">
        <v>55</v>
      </c>
      <c r="G23" s="22">
        <f>VLOOKUP(E23,'Court List'!$A:$C,2,0)</f>
        <v>8</v>
      </c>
      <c r="H23" s="33">
        <v>2</v>
      </c>
      <c r="I23" s="33">
        <v>2</v>
      </c>
      <c r="J23" s="23">
        <f t="shared" si="0"/>
        <v>32</v>
      </c>
      <c r="K23" s="36" t="s">
        <v>40</v>
      </c>
      <c r="L23" s="18">
        <f>SUM('Shuttle Count - Ultimate (Sep 2'!C23:F23)</f>
        <v>12</v>
      </c>
      <c r="M23" s="25">
        <f>VLOOKUP(K23,'Shuttle Purchase'!A:C,3,0)</f>
        <v>3.4458333333333333</v>
      </c>
      <c r="N23" s="23">
        <f t="shared" si="1"/>
        <v>41.35</v>
      </c>
      <c r="O23" s="22">
        <f>VLOOKUP(E23,'Court List'!$A:$C,3,0)</f>
        <v>12</v>
      </c>
      <c r="P23" s="18">
        <f>COUNTIF('Pub List'!$C23:$T23,"&lt;&gt;")</f>
        <v>7</v>
      </c>
      <c r="Q23" s="26">
        <f t="shared" si="2"/>
        <v>84</v>
      </c>
      <c r="R23" s="36"/>
      <c r="S23" s="18">
        <f>COUNTIF('Member List'!$C23:$J23,"&lt;&gt;")</f>
        <v>5</v>
      </c>
      <c r="T23" s="35"/>
      <c r="U23" s="24">
        <f t="shared" si="3"/>
        <v>12</v>
      </c>
      <c r="V23" s="25">
        <f t="shared" si="4"/>
        <v>84</v>
      </c>
      <c r="W23" s="27">
        <f t="shared" si="5"/>
        <v>73.349999999999994</v>
      </c>
      <c r="X23" s="26">
        <f t="shared" si="6"/>
        <v>10.650000000000006</v>
      </c>
      <c r="Y23" s="37">
        <f t="shared" si="9"/>
        <v>157.66833333333332</v>
      </c>
      <c r="Z23" s="38">
        <f t="shared" si="7"/>
        <v>84</v>
      </c>
      <c r="AA23" s="38">
        <f t="shared" si="8"/>
        <v>-32</v>
      </c>
      <c r="AB23" s="39"/>
      <c r="AC23" s="40">
        <f t="shared" si="10"/>
        <v>-142.43999999999994</v>
      </c>
    </row>
    <row r="24" spans="1:29" ht="15.75" customHeight="1" x14ac:dyDescent="0.25">
      <c r="A24" s="32">
        <v>46006</v>
      </c>
      <c r="B24" s="33" t="s">
        <v>48</v>
      </c>
      <c r="C24" s="34">
        <v>0.8125</v>
      </c>
      <c r="D24" s="34">
        <v>0.89583333333333337</v>
      </c>
      <c r="E24" s="35" t="s">
        <v>47</v>
      </c>
      <c r="F24" s="21" t="s">
        <v>53</v>
      </c>
      <c r="G24" s="22">
        <f>VLOOKUP(E24,'Court List'!$A:$C,2,0)</f>
        <v>6</v>
      </c>
      <c r="H24" s="33">
        <v>2</v>
      </c>
      <c r="I24" s="33">
        <v>1</v>
      </c>
      <c r="J24" s="23">
        <f t="shared" si="0"/>
        <v>12</v>
      </c>
      <c r="K24" s="36" t="s">
        <v>40</v>
      </c>
      <c r="L24" s="18">
        <f>SUM('Shuttle Count - Ultimate (Sep 2'!C24:F24)</f>
        <v>5</v>
      </c>
      <c r="M24" s="25">
        <f>VLOOKUP(K24,'Shuttle Purchase'!A:C,3,0)</f>
        <v>3.4458333333333333</v>
      </c>
      <c r="N24" s="23">
        <f t="shared" si="1"/>
        <v>17.229166666666668</v>
      </c>
      <c r="O24" s="22">
        <f>VLOOKUP(E24,'Court List'!$A:$C,3,0)</f>
        <v>12</v>
      </c>
      <c r="P24" s="18">
        <f>COUNTIF('Pub List'!$C24:$T24,"&lt;&gt;")</f>
        <v>3</v>
      </c>
      <c r="Q24" s="26">
        <f t="shared" si="2"/>
        <v>36</v>
      </c>
      <c r="R24" s="36"/>
      <c r="S24" s="18">
        <f>COUNTIF('Member List'!$C24:$J24,"&lt;&gt;")</f>
        <v>3</v>
      </c>
      <c r="T24" s="35"/>
      <c r="U24" s="24">
        <f t="shared" si="3"/>
        <v>6</v>
      </c>
      <c r="V24" s="25">
        <f t="shared" si="4"/>
        <v>36</v>
      </c>
      <c r="W24" s="27">
        <f t="shared" si="5"/>
        <v>29.229166666666668</v>
      </c>
      <c r="X24" s="26">
        <f t="shared" si="6"/>
        <v>6.7708333333333321</v>
      </c>
      <c r="Y24" s="37">
        <f t="shared" si="9"/>
        <v>164.43916666666667</v>
      </c>
      <c r="Z24" s="38">
        <f t="shared" si="7"/>
        <v>36</v>
      </c>
      <c r="AA24" s="38">
        <f t="shared" si="8"/>
        <v>-12</v>
      </c>
      <c r="AB24" s="39"/>
      <c r="AC24" s="40">
        <f t="shared" si="10"/>
        <v>-118.43999999999994</v>
      </c>
    </row>
    <row r="25" spans="1:29" ht="15.75" customHeight="1" x14ac:dyDescent="0.25">
      <c r="A25" s="32">
        <v>46011</v>
      </c>
      <c r="B25" s="33" t="s">
        <v>38</v>
      </c>
      <c r="C25" s="34">
        <v>0.72916666666666663</v>
      </c>
      <c r="D25" s="34">
        <v>0.8125</v>
      </c>
      <c r="E25" s="35" t="s">
        <v>39</v>
      </c>
      <c r="F25" s="21" t="s">
        <v>55</v>
      </c>
      <c r="G25" s="22">
        <f>VLOOKUP(E25,'Court List'!$A:$C,2,0)</f>
        <v>18</v>
      </c>
      <c r="H25" s="33">
        <v>2</v>
      </c>
      <c r="I25" s="33">
        <v>2</v>
      </c>
      <c r="J25" s="23">
        <f t="shared" si="0"/>
        <v>72</v>
      </c>
      <c r="K25" s="36" t="s">
        <v>40</v>
      </c>
      <c r="L25" s="18">
        <f>SUM('Shuttle Count - Ultimate (Sep 2'!C25:F25)</f>
        <v>10</v>
      </c>
      <c r="M25" s="25">
        <f>VLOOKUP(K25,'Shuttle Purchase'!A:C,3,0)</f>
        <v>3.4458333333333333</v>
      </c>
      <c r="N25" s="23">
        <f t="shared" si="1"/>
        <v>34.458333333333336</v>
      </c>
      <c r="O25" s="22">
        <f>VLOOKUP(E25,'Court List'!$A:$C,3,0)</f>
        <v>14</v>
      </c>
      <c r="P25" s="18">
        <f>COUNTIF('Pub List'!$C25:$T25,"&lt;&gt;")</f>
        <v>7</v>
      </c>
      <c r="Q25" s="26">
        <f t="shared" si="2"/>
        <v>98</v>
      </c>
      <c r="R25" s="36"/>
      <c r="S25" s="18">
        <f>COUNTIF('Member List'!$C25:$J25,"&lt;&gt;")</f>
        <v>4</v>
      </c>
      <c r="T25" s="35"/>
      <c r="U25" s="24">
        <f t="shared" si="3"/>
        <v>11</v>
      </c>
      <c r="V25" s="25">
        <f t="shared" si="4"/>
        <v>98</v>
      </c>
      <c r="W25" s="27">
        <f t="shared" si="5"/>
        <v>106.45833333333334</v>
      </c>
      <c r="X25" s="26">
        <f t="shared" si="6"/>
        <v>-8.4583333333333428</v>
      </c>
      <c r="Y25" s="37">
        <f t="shared" si="9"/>
        <v>155.98083333333332</v>
      </c>
      <c r="Z25" s="38">
        <f t="shared" si="7"/>
        <v>98</v>
      </c>
      <c r="AA25" s="38">
        <f t="shared" si="8"/>
        <v>-72</v>
      </c>
      <c r="AB25" s="39"/>
      <c r="AC25" s="40">
        <f t="shared" si="10"/>
        <v>-92.439999999999941</v>
      </c>
    </row>
    <row r="26" spans="1:29" ht="15.75" customHeight="1" x14ac:dyDescent="0.25">
      <c r="A26" s="32">
        <v>46017</v>
      </c>
      <c r="B26" s="33" t="s">
        <v>56</v>
      </c>
      <c r="C26" s="34">
        <v>0.8125</v>
      </c>
      <c r="D26" s="34">
        <v>0.89583333333333337</v>
      </c>
      <c r="E26" s="35" t="s">
        <v>39</v>
      </c>
      <c r="F26" s="21" t="s">
        <v>57</v>
      </c>
      <c r="G26" s="22">
        <f>VLOOKUP(E26,'Court List'!$A:$C,2,0)</f>
        <v>18</v>
      </c>
      <c r="H26" s="33">
        <v>2</v>
      </c>
      <c r="I26" s="33">
        <v>2</v>
      </c>
      <c r="J26" s="23">
        <f t="shared" si="0"/>
        <v>72</v>
      </c>
      <c r="K26" s="36" t="s">
        <v>40</v>
      </c>
      <c r="L26" s="18">
        <f>SUM('Shuttle Count - Ultimate (Sep 2'!C26:F26)</f>
        <v>11</v>
      </c>
      <c r="M26" s="25">
        <f>VLOOKUP(K26,'Shuttle Purchase'!A:C,3,0)</f>
        <v>3.4458333333333333</v>
      </c>
      <c r="N26" s="23">
        <f t="shared" si="1"/>
        <v>37.904166666666669</v>
      </c>
      <c r="O26" s="22">
        <f>VLOOKUP(E26,'Court List'!$A:$C,3,0)</f>
        <v>14</v>
      </c>
      <c r="P26" s="18">
        <f>COUNTIF('Pub List'!$C26:$T26,"&lt;&gt;")</f>
        <v>8</v>
      </c>
      <c r="Q26" s="26">
        <f t="shared" si="2"/>
        <v>112</v>
      </c>
      <c r="R26" s="36"/>
      <c r="S26" s="18">
        <f>COUNTIF('Member List'!$C26:$J26,"&lt;&gt;")</f>
        <v>4</v>
      </c>
      <c r="T26" s="35"/>
      <c r="U26" s="24">
        <f t="shared" si="3"/>
        <v>12</v>
      </c>
      <c r="V26" s="25">
        <f t="shared" si="4"/>
        <v>112</v>
      </c>
      <c r="W26" s="27">
        <f t="shared" si="5"/>
        <v>109.90416666666667</v>
      </c>
      <c r="X26" s="26">
        <f t="shared" si="6"/>
        <v>2.0958333333333314</v>
      </c>
      <c r="Y26" s="37">
        <f t="shared" si="9"/>
        <v>158.07666666666665</v>
      </c>
      <c r="Z26" s="38">
        <f t="shared" si="7"/>
        <v>112</v>
      </c>
      <c r="AA26" s="38">
        <f t="shared" si="8"/>
        <v>-72</v>
      </c>
      <c r="AB26" s="39"/>
      <c r="AC26" s="40">
        <f t="shared" si="10"/>
        <v>-52.439999999999941</v>
      </c>
    </row>
    <row r="27" spans="1:29" ht="15.75" customHeight="1" x14ac:dyDescent="0.25">
      <c r="A27" s="32">
        <v>46019</v>
      </c>
      <c r="B27" s="33" t="s">
        <v>43</v>
      </c>
      <c r="C27" s="34">
        <v>0.8125</v>
      </c>
      <c r="D27" s="34">
        <v>0.89583333333333337</v>
      </c>
      <c r="E27" s="35" t="s">
        <v>47</v>
      </c>
      <c r="F27" s="21" t="s">
        <v>53</v>
      </c>
      <c r="G27" s="22">
        <f>VLOOKUP(E27,'Court List'!$A:$C,2,0)</f>
        <v>6</v>
      </c>
      <c r="H27" s="33">
        <v>2</v>
      </c>
      <c r="I27" s="33">
        <v>1</v>
      </c>
      <c r="J27" s="23">
        <f t="shared" si="0"/>
        <v>12</v>
      </c>
      <c r="K27" s="36" t="s">
        <v>40</v>
      </c>
      <c r="L27" s="18">
        <f>SUM('Shuttle Count - Ultimate (Sep 2'!C27:F27)</f>
        <v>6</v>
      </c>
      <c r="M27" s="25">
        <f>VLOOKUP(K27,'Shuttle Purchase'!A:C,3,0)</f>
        <v>3.4458333333333333</v>
      </c>
      <c r="N27" s="23">
        <f t="shared" si="1"/>
        <v>20.675000000000001</v>
      </c>
      <c r="O27" s="22">
        <f>VLOOKUP(E27,'Court List'!$A:$C,3,0)</f>
        <v>12</v>
      </c>
      <c r="P27" s="18">
        <f>COUNTIF('Pub List'!$C27:$T27,"&lt;&gt;")</f>
        <v>3</v>
      </c>
      <c r="Q27" s="26">
        <f t="shared" si="2"/>
        <v>36</v>
      </c>
      <c r="R27" s="36"/>
      <c r="S27" s="18">
        <f>COUNTIF('Member List'!$C27:$J27,"&lt;&gt;")</f>
        <v>3</v>
      </c>
      <c r="T27" s="35"/>
      <c r="U27" s="24">
        <f t="shared" si="3"/>
        <v>6</v>
      </c>
      <c r="V27" s="25">
        <f t="shared" si="4"/>
        <v>36</v>
      </c>
      <c r="W27" s="27">
        <f t="shared" si="5"/>
        <v>32.674999999999997</v>
      </c>
      <c r="X27" s="26">
        <f t="shared" si="6"/>
        <v>3.3250000000000028</v>
      </c>
      <c r="Y27" s="37">
        <f t="shared" si="9"/>
        <v>161.40166666666664</v>
      </c>
      <c r="Z27" s="38">
        <f t="shared" si="7"/>
        <v>36</v>
      </c>
      <c r="AA27" s="38">
        <f t="shared" si="8"/>
        <v>-12</v>
      </c>
      <c r="AB27" s="39"/>
      <c r="AC27" s="40">
        <f t="shared" si="10"/>
        <v>-28.439999999999941</v>
      </c>
    </row>
    <row r="28" spans="1:29" ht="15.75" customHeight="1" x14ac:dyDescent="0.25">
      <c r="A28" s="32">
        <v>46020</v>
      </c>
      <c r="B28" s="33" t="s">
        <v>48</v>
      </c>
      <c r="C28" s="34">
        <v>0.8125</v>
      </c>
      <c r="D28" s="34">
        <v>0.89583333333333337</v>
      </c>
      <c r="E28" s="35" t="s">
        <v>47</v>
      </c>
      <c r="F28" s="21" t="s">
        <v>53</v>
      </c>
      <c r="G28" s="22">
        <f>VLOOKUP(E28,'Court List'!$A:$C,2,0)</f>
        <v>6</v>
      </c>
      <c r="H28" s="33">
        <v>2</v>
      </c>
      <c r="I28" s="33">
        <v>1</v>
      </c>
      <c r="J28" s="23">
        <f t="shared" si="0"/>
        <v>12</v>
      </c>
      <c r="K28" s="36" t="s">
        <v>40</v>
      </c>
      <c r="L28" s="18">
        <f>SUM('Shuttle Count - Ultimate (Sep 2'!C28:F28)</f>
        <v>5</v>
      </c>
      <c r="M28" s="25">
        <f>VLOOKUP(K28,'Shuttle Purchase'!A:C,3,0)</f>
        <v>3.4458333333333333</v>
      </c>
      <c r="N28" s="23">
        <f t="shared" si="1"/>
        <v>17.229166666666668</v>
      </c>
      <c r="O28" s="22">
        <f>VLOOKUP(E28,'Court List'!$A:$C,3,0)</f>
        <v>12</v>
      </c>
      <c r="P28" s="18">
        <f>COUNTIF('Pub List'!$C28:$T28,"&lt;&gt;")</f>
        <v>2</v>
      </c>
      <c r="Q28" s="26">
        <f t="shared" si="2"/>
        <v>24</v>
      </c>
      <c r="R28" s="36"/>
      <c r="S28" s="18">
        <f>COUNTIF('Member List'!$C28:$J28,"&lt;&gt;")</f>
        <v>4</v>
      </c>
      <c r="T28" s="35"/>
      <c r="U28" s="24">
        <f t="shared" si="3"/>
        <v>6</v>
      </c>
      <c r="V28" s="25">
        <f t="shared" si="4"/>
        <v>24</v>
      </c>
      <c r="W28" s="27">
        <f t="shared" si="5"/>
        <v>29.229166666666668</v>
      </c>
      <c r="X28" s="26">
        <f t="shared" si="6"/>
        <v>-5.2291666666666679</v>
      </c>
      <c r="Y28" s="37">
        <f t="shared" si="9"/>
        <v>156.17249999999999</v>
      </c>
      <c r="Z28" s="38">
        <f t="shared" si="7"/>
        <v>24</v>
      </c>
      <c r="AA28" s="38">
        <f t="shared" si="8"/>
        <v>-12</v>
      </c>
      <c r="AB28" s="39"/>
      <c r="AC28" s="40">
        <f t="shared" si="10"/>
        <v>-16.439999999999941</v>
      </c>
    </row>
    <row r="29" spans="1:29" ht="15.75" customHeight="1" x14ac:dyDescent="0.25">
      <c r="A29" s="32">
        <v>46024</v>
      </c>
      <c r="B29" s="33" t="s">
        <v>56</v>
      </c>
      <c r="C29" s="34">
        <v>0.8125</v>
      </c>
      <c r="D29" s="34">
        <v>0.89583333333333337</v>
      </c>
      <c r="E29" s="35" t="s">
        <v>44</v>
      </c>
      <c r="F29" s="21" t="s">
        <v>55</v>
      </c>
      <c r="G29" s="22">
        <f>VLOOKUP(E29,'Court List'!$A:$C,2,0)</f>
        <v>8</v>
      </c>
      <c r="H29" s="33">
        <v>2</v>
      </c>
      <c r="I29" s="33">
        <v>2</v>
      </c>
      <c r="J29" s="23">
        <f t="shared" si="0"/>
        <v>32</v>
      </c>
      <c r="K29" s="36" t="s">
        <v>40</v>
      </c>
      <c r="L29" s="18">
        <f>SUM('Shuttle Count - Ultimate (Sep 2'!C29:F29)</f>
        <v>15</v>
      </c>
      <c r="M29" s="25">
        <f>VLOOKUP(K29,'Shuttle Purchase'!A:C,3,0)</f>
        <v>3.4458333333333333</v>
      </c>
      <c r="N29" s="23">
        <f t="shared" si="1"/>
        <v>51.6875</v>
      </c>
      <c r="O29" s="22">
        <f>VLOOKUP(E29,'Court List'!$A:$C,3,0)</f>
        <v>12</v>
      </c>
      <c r="P29" s="18">
        <f>COUNTIF('Pub List'!$C29:$T29,"&lt;&gt;")</f>
        <v>8</v>
      </c>
      <c r="Q29" s="26">
        <f t="shared" si="2"/>
        <v>96</v>
      </c>
      <c r="R29" s="36"/>
      <c r="S29" s="18">
        <f>COUNTIF('Member List'!$C29:$J29,"&lt;&gt;")</f>
        <v>4</v>
      </c>
      <c r="T29" s="35"/>
      <c r="U29" s="24">
        <f t="shared" si="3"/>
        <v>12</v>
      </c>
      <c r="V29" s="25">
        <f t="shared" si="4"/>
        <v>96</v>
      </c>
      <c r="W29" s="27">
        <f t="shared" si="5"/>
        <v>83.6875</v>
      </c>
      <c r="X29" s="26">
        <f t="shared" si="6"/>
        <v>12.3125</v>
      </c>
      <c r="Y29" s="37">
        <f t="shared" si="9"/>
        <v>168.48499999999999</v>
      </c>
      <c r="Z29" s="38">
        <f t="shared" si="7"/>
        <v>96</v>
      </c>
      <c r="AA29" s="38">
        <f t="shared" si="8"/>
        <v>-32</v>
      </c>
      <c r="AB29" s="39"/>
      <c r="AC29" s="40">
        <f t="shared" si="10"/>
        <v>47.560000000000059</v>
      </c>
    </row>
    <row r="30" spans="1:29" ht="15.75" customHeight="1" x14ac:dyDescent="0.25">
      <c r="A30" s="32">
        <v>46026</v>
      </c>
      <c r="B30" s="33" t="s">
        <v>43</v>
      </c>
      <c r="C30" s="34">
        <v>0.8125</v>
      </c>
      <c r="D30" s="34">
        <v>0.89583333333333337</v>
      </c>
      <c r="E30" s="35" t="s">
        <v>39</v>
      </c>
      <c r="F30" s="21">
        <v>3</v>
      </c>
      <c r="G30" s="22">
        <f>VLOOKUP(E30,'Court List'!$A:$C,2,0)</f>
        <v>18</v>
      </c>
      <c r="H30" s="33">
        <v>2</v>
      </c>
      <c r="I30" s="33">
        <v>1</v>
      </c>
      <c r="J30" s="23">
        <f t="shared" si="0"/>
        <v>36</v>
      </c>
      <c r="K30" s="41" t="s">
        <v>58</v>
      </c>
      <c r="L30" s="18">
        <f>SUM('Shuttle Count - Supreme (Nov 20'!C30:D30)</f>
        <v>4</v>
      </c>
      <c r="M30" s="25">
        <f>VLOOKUP(K30,'Shuttle Purchase'!A:C,3,0)</f>
        <v>3.4664166666666669</v>
      </c>
      <c r="N30" s="23">
        <f t="shared" si="1"/>
        <v>13.865666666666668</v>
      </c>
      <c r="O30" s="22">
        <f>VLOOKUP(E30,'Court List'!$A:$C,3,0)</f>
        <v>14</v>
      </c>
      <c r="P30" s="18">
        <f>COUNTIF('Pub List'!$C30:$T30,"&lt;&gt;")</f>
        <v>3</v>
      </c>
      <c r="Q30" s="26">
        <f t="shared" si="2"/>
        <v>42</v>
      </c>
      <c r="R30" s="36"/>
      <c r="S30" s="18">
        <f>COUNTIF('Member List'!$C30:$J30,"&lt;&gt;")</f>
        <v>3</v>
      </c>
      <c r="T30" s="35"/>
      <c r="U30" s="24">
        <f t="shared" si="3"/>
        <v>6</v>
      </c>
      <c r="V30" s="25">
        <f t="shared" si="4"/>
        <v>42</v>
      </c>
      <c r="W30" s="27">
        <f t="shared" si="5"/>
        <v>49.865666666666669</v>
      </c>
      <c r="X30" s="26">
        <f t="shared" si="6"/>
        <v>-7.8656666666666695</v>
      </c>
      <c r="Y30" s="37">
        <f t="shared" si="9"/>
        <v>160.61933333333332</v>
      </c>
      <c r="Z30" s="38">
        <f t="shared" si="7"/>
        <v>42</v>
      </c>
      <c r="AA30" s="38">
        <f t="shared" si="8"/>
        <v>-36</v>
      </c>
      <c r="AB30" s="39"/>
      <c r="AC30" s="40">
        <f t="shared" si="10"/>
        <v>53.560000000000059</v>
      </c>
    </row>
    <row r="31" spans="1:29" ht="15.75" customHeight="1" x14ac:dyDescent="0.25">
      <c r="A31" s="32">
        <v>46033</v>
      </c>
      <c r="B31" s="33" t="s">
        <v>43</v>
      </c>
      <c r="C31" s="34">
        <v>0.72916666666666663</v>
      </c>
      <c r="D31" s="34">
        <v>0.8125</v>
      </c>
      <c r="E31" s="35" t="s">
        <v>39</v>
      </c>
      <c r="F31" s="21" t="s">
        <v>52</v>
      </c>
      <c r="G31" s="22">
        <f>VLOOKUP(E31,'Court List'!$A:$C,2,0)</f>
        <v>18</v>
      </c>
      <c r="H31" s="33">
        <v>2</v>
      </c>
      <c r="I31" s="33">
        <v>3</v>
      </c>
      <c r="J31" s="23">
        <f t="shared" si="0"/>
        <v>108</v>
      </c>
      <c r="K31" s="41" t="s">
        <v>59</v>
      </c>
      <c r="L31" s="18" t="s">
        <v>60</v>
      </c>
      <c r="M31" s="18" t="s">
        <v>61</v>
      </c>
      <c r="N31" s="23">
        <f>'Shuttle Count - Ultimate (Sep 2'!D31*'Shuttle Purchase'!C5+'Shuttle Count - Supreme (Nov 20'!D31*'Shuttle Purchase'!C9</f>
        <v>58.723250000000007</v>
      </c>
      <c r="O31" s="22">
        <f>VLOOKUP(E31,'Court List'!$A:$C,3,0)</f>
        <v>14</v>
      </c>
      <c r="P31" s="18">
        <f>COUNTIF('Pub List'!$C31:$T31,"&lt;&gt;")</f>
        <v>14</v>
      </c>
      <c r="Q31" s="26">
        <f t="shared" si="2"/>
        <v>196</v>
      </c>
      <c r="R31" s="36"/>
      <c r="S31" s="18">
        <f>COUNTIF('Member List'!$C31:$J31,"&lt;&gt;")</f>
        <v>4</v>
      </c>
      <c r="T31" s="35"/>
      <c r="U31" s="24">
        <f t="shared" si="3"/>
        <v>18</v>
      </c>
      <c r="V31" s="25">
        <f t="shared" si="4"/>
        <v>196</v>
      </c>
      <c r="W31" s="27">
        <f t="shared" si="5"/>
        <v>166.72325000000001</v>
      </c>
      <c r="X31" s="26">
        <f t="shared" si="6"/>
        <v>29.276749999999993</v>
      </c>
      <c r="Y31" s="37">
        <f t="shared" si="9"/>
        <v>189.89608333333331</v>
      </c>
      <c r="Z31" s="38">
        <f t="shared" si="7"/>
        <v>196</v>
      </c>
      <c r="AA31" s="38">
        <f t="shared" si="8"/>
        <v>-108</v>
      </c>
      <c r="AB31" s="38">
        <v>-40</v>
      </c>
      <c r="AC31" s="40">
        <f t="shared" si="10"/>
        <v>101.56000000000006</v>
      </c>
    </row>
    <row r="32" spans="1:29" ht="15.75" customHeight="1" x14ac:dyDescent="0.25">
      <c r="A32" s="32">
        <v>46036</v>
      </c>
      <c r="B32" s="33" t="s">
        <v>46</v>
      </c>
      <c r="C32" s="34">
        <v>0.83333333333333337</v>
      </c>
      <c r="D32" s="34">
        <v>0.91666666666666663</v>
      </c>
      <c r="E32" s="35" t="s">
        <v>51</v>
      </c>
      <c r="F32" s="21" t="s">
        <v>62</v>
      </c>
      <c r="G32" s="22">
        <f>VLOOKUP(E32,'Court List'!$A:$C,2,0)</f>
        <v>7.4</v>
      </c>
      <c r="H32" s="33">
        <v>2</v>
      </c>
      <c r="I32" s="33">
        <v>1</v>
      </c>
      <c r="J32" s="23">
        <f t="shared" si="0"/>
        <v>14.8</v>
      </c>
      <c r="K32" s="41" t="s">
        <v>59</v>
      </c>
      <c r="L32" s="18" t="s">
        <v>63</v>
      </c>
      <c r="M32" s="18" t="s">
        <v>61</v>
      </c>
      <c r="N32" s="23">
        <f>'Shuttle Count - Ultimate (Sep 2'!D32*'Shuttle Purchase'!C5+'Shuttle Count - Supreme (Nov 20'!D32*'Shuttle Purchase'!C9</f>
        <v>10.358083333333333</v>
      </c>
      <c r="O32" s="22">
        <f>VLOOKUP(E32,'Court List'!$A:$C,3,0)</f>
        <v>12</v>
      </c>
      <c r="P32" s="18">
        <f>COUNTIF('Pub List'!$C32:$T32,"&lt;&gt;")</f>
        <v>2</v>
      </c>
      <c r="Q32" s="26">
        <f t="shared" si="2"/>
        <v>24</v>
      </c>
      <c r="R32" s="36"/>
      <c r="S32" s="18">
        <f>COUNTIF('Member List'!$C32:$J32,"&lt;&gt;")</f>
        <v>4</v>
      </c>
      <c r="T32" s="35"/>
      <c r="U32" s="24">
        <f t="shared" si="3"/>
        <v>6</v>
      </c>
      <c r="V32" s="25">
        <f t="shared" si="4"/>
        <v>24</v>
      </c>
      <c r="W32" s="27">
        <f t="shared" si="5"/>
        <v>25.158083333333334</v>
      </c>
      <c r="X32" s="26">
        <f t="shared" si="6"/>
        <v>-1.1580833333333338</v>
      </c>
      <c r="Y32" s="37">
        <f t="shared" si="9"/>
        <v>188.73799999999997</v>
      </c>
      <c r="Z32" s="38">
        <f t="shared" si="7"/>
        <v>24</v>
      </c>
      <c r="AA32" s="38">
        <f t="shared" si="8"/>
        <v>-14.8</v>
      </c>
      <c r="AB32" s="39"/>
      <c r="AC32" s="40">
        <f t="shared" si="10"/>
        <v>110.76000000000006</v>
      </c>
    </row>
    <row r="33" spans="1:29" ht="12.5" x14ac:dyDescent="0.25">
      <c r="A33" s="32">
        <v>46038</v>
      </c>
      <c r="B33" s="33" t="s">
        <v>56</v>
      </c>
      <c r="C33" s="34">
        <v>0.8125</v>
      </c>
      <c r="D33" s="34">
        <v>0.89583333333333337</v>
      </c>
      <c r="E33" s="35" t="s">
        <v>44</v>
      </c>
      <c r="F33" s="21">
        <v>1</v>
      </c>
      <c r="G33" s="22">
        <f>VLOOKUP(E33,'Court List'!$A:$C,2,0)</f>
        <v>8</v>
      </c>
      <c r="H33" s="33">
        <v>2</v>
      </c>
      <c r="I33" s="33">
        <v>1</v>
      </c>
      <c r="J33" s="23">
        <f t="shared" si="0"/>
        <v>16</v>
      </c>
      <c r="K33" s="36" t="s">
        <v>40</v>
      </c>
      <c r="L33" s="18">
        <f>SUM('Shuttle Count - Ultimate (Sep 2'!C33:F33)</f>
        <v>7</v>
      </c>
      <c r="M33" s="25">
        <f>VLOOKUP(K33,'Shuttle Purchase'!A:C,3,0)</f>
        <v>3.4458333333333333</v>
      </c>
      <c r="N33" s="23">
        <f t="shared" ref="N33:N40" si="11">L33*M33</f>
        <v>24.120833333333334</v>
      </c>
      <c r="O33" s="22">
        <f>VLOOKUP(E33,'Court List'!$A:$C,3,0)</f>
        <v>12</v>
      </c>
      <c r="P33" s="18">
        <f>COUNTIF('Pub List'!$C33:$T33,"&lt;&gt;")</f>
        <v>4</v>
      </c>
      <c r="Q33" s="26">
        <f t="shared" si="2"/>
        <v>48</v>
      </c>
      <c r="R33" s="36"/>
      <c r="S33" s="18">
        <f>COUNTIF('Member List'!$C33:$J33,"&lt;&gt;")</f>
        <v>2</v>
      </c>
      <c r="T33" s="35"/>
      <c r="U33" s="24">
        <f t="shared" si="3"/>
        <v>6</v>
      </c>
      <c r="V33" s="25">
        <f t="shared" si="4"/>
        <v>48</v>
      </c>
      <c r="W33" s="27">
        <f t="shared" si="5"/>
        <v>40.120833333333337</v>
      </c>
      <c r="X33" s="26">
        <f t="shared" si="6"/>
        <v>7.8791666666666629</v>
      </c>
      <c r="Y33" s="37">
        <f t="shared" si="9"/>
        <v>196.61716666666663</v>
      </c>
      <c r="Z33" s="38">
        <f t="shared" si="7"/>
        <v>48</v>
      </c>
      <c r="AA33" s="38">
        <f t="shared" si="8"/>
        <v>-16</v>
      </c>
      <c r="AB33" s="39"/>
      <c r="AC33" s="40">
        <f t="shared" si="10"/>
        <v>142.76000000000005</v>
      </c>
    </row>
    <row r="34" spans="1:29" ht="12.5" x14ac:dyDescent="0.25">
      <c r="A34" s="32">
        <v>46040</v>
      </c>
      <c r="B34" s="33" t="s">
        <v>43</v>
      </c>
      <c r="C34" s="34">
        <v>0.72916666666666663</v>
      </c>
      <c r="D34" s="34">
        <v>0.8125</v>
      </c>
      <c r="E34" s="35" t="s">
        <v>44</v>
      </c>
      <c r="F34" s="21" t="s">
        <v>55</v>
      </c>
      <c r="G34" s="22">
        <f>VLOOKUP(E34,'Court List'!$A:$C,2,0)</f>
        <v>8</v>
      </c>
      <c r="H34" s="33">
        <v>2</v>
      </c>
      <c r="I34" s="33">
        <v>2</v>
      </c>
      <c r="J34" s="23">
        <f t="shared" si="0"/>
        <v>32</v>
      </c>
      <c r="K34" s="36" t="s">
        <v>40</v>
      </c>
      <c r="L34" s="18">
        <f>SUM('Shuttle Count - Ultimate (Sep 2'!C34:F34)</f>
        <v>13</v>
      </c>
      <c r="M34" s="25">
        <f>VLOOKUP(K34,'Shuttle Purchase'!A:C,3,0)</f>
        <v>3.4458333333333333</v>
      </c>
      <c r="N34" s="23">
        <f t="shared" si="11"/>
        <v>44.795833333333334</v>
      </c>
      <c r="O34" s="22">
        <f>VLOOKUP(E34,'Court List'!$A:$C,3,0)</f>
        <v>12</v>
      </c>
      <c r="P34" s="18">
        <f>COUNTIF('Pub List'!$C34:$T34,"&lt;&gt;")</f>
        <v>8</v>
      </c>
      <c r="Q34" s="26">
        <f t="shared" si="2"/>
        <v>96</v>
      </c>
      <c r="R34" s="36"/>
      <c r="S34" s="18">
        <f>COUNTIF('Member List'!$C34:$J34,"&lt;&gt;")</f>
        <v>4</v>
      </c>
      <c r="T34" s="35"/>
      <c r="U34" s="24">
        <f t="shared" si="3"/>
        <v>12</v>
      </c>
      <c r="V34" s="25">
        <f t="shared" si="4"/>
        <v>96</v>
      </c>
      <c r="W34" s="27">
        <f t="shared" si="5"/>
        <v>76.795833333333334</v>
      </c>
      <c r="X34" s="26">
        <f t="shared" si="6"/>
        <v>19.204166666666666</v>
      </c>
      <c r="Y34" s="37">
        <f t="shared" si="9"/>
        <v>215.82133333333331</v>
      </c>
      <c r="Z34" s="38">
        <f t="shared" si="7"/>
        <v>96</v>
      </c>
      <c r="AA34" s="38">
        <f t="shared" si="8"/>
        <v>-32</v>
      </c>
      <c r="AB34" s="39"/>
      <c r="AC34" s="40">
        <f t="shared" si="10"/>
        <v>206.76000000000005</v>
      </c>
    </row>
    <row r="35" spans="1:29" ht="12.5" x14ac:dyDescent="0.25">
      <c r="A35" s="32">
        <v>46044</v>
      </c>
      <c r="B35" s="33" t="s">
        <v>41</v>
      </c>
      <c r="C35" s="34">
        <v>0.83333333333333337</v>
      </c>
      <c r="D35" s="34">
        <v>0.91666666666666663</v>
      </c>
      <c r="E35" s="35" t="s">
        <v>51</v>
      </c>
      <c r="F35" s="21">
        <v>1</v>
      </c>
      <c r="G35" s="22">
        <f>VLOOKUP(E35,'Court List'!$A:$C,2,0)</f>
        <v>7.4</v>
      </c>
      <c r="H35" s="33">
        <v>2</v>
      </c>
      <c r="I35" s="33">
        <v>1</v>
      </c>
      <c r="J35" s="23">
        <f t="shared" si="0"/>
        <v>14.8</v>
      </c>
      <c r="K35" s="36" t="s">
        <v>40</v>
      </c>
      <c r="L35" s="18">
        <f>SUM('Shuttle Count - Ultimate (Sep 2'!C35:F35)</f>
        <v>5</v>
      </c>
      <c r="M35" s="25">
        <f>VLOOKUP(K35,'Shuttle Purchase'!A:C,3,0)</f>
        <v>3.4458333333333333</v>
      </c>
      <c r="N35" s="23">
        <f t="shared" si="11"/>
        <v>17.229166666666668</v>
      </c>
      <c r="O35" s="22">
        <f>VLOOKUP(E35,'Court List'!$A:$C,3,0)</f>
        <v>12</v>
      </c>
      <c r="P35" s="18">
        <f>COUNTIF('Pub List'!$C35:$T35,"&lt;&gt;")</f>
        <v>2</v>
      </c>
      <c r="Q35" s="26">
        <f t="shared" si="2"/>
        <v>24</v>
      </c>
      <c r="R35" s="36"/>
      <c r="S35" s="18">
        <f>COUNTIF('Member List'!$C35:$J35,"&lt;&gt;")</f>
        <v>4</v>
      </c>
      <c r="T35" s="35"/>
      <c r="U35" s="24">
        <f t="shared" si="3"/>
        <v>6</v>
      </c>
      <c r="V35" s="25">
        <f t="shared" si="4"/>
        <v>24</v>
      </c>
      <c r="W35" s="27">
        <f t="shared" si="5"/>
        <v>32.029166666666669</v>
      </c>
      <c r="X35" s="26">
        <f t="shared" si="6"/>
        <v>-8.0291666666666686</v>
      </c>
      <c r="Y35" s="37">
        <f t="shared" si="9"/>
        <v>207.79216666666665</v>
      </c>
      <c r="Z35" s="38">
        <f t="shared" si="7"/>
        <v>24</v>
      </c>
      <c r="AA35" s="38">
        <f t="shared" si="8"/>
        <v>-14.8</v>
      </c>
      <c r="AB35" s="39"/>
      <c r="AC35" s="40">
        <f t="shared" si="10"/>
        <v>215.96000000000004</v>
      </c>
    </row>
    <row r="36" spans="1:29" ht="12.5" x14ac:dyDescent="0.25">
      <c r="A36" s="32">
        <v>46047</v>
      </c>
      <c r="B36" s="33" t="s">
        <v>43</v>
      </c>
      <c r="C36" s="34">
        <v>0.6875</v>
      </c>
      <c r="D36" s="34">
        <v>0.77083333333333337</v>
      </c>
      <c r="E36" s="35" t="s">
        <v>50</v>
      </c>
      <c r="F36" s="21">
        <v>2</v>
      </c>
      <c r="G36" s="22">
        <f>VLOOKUP(E36,'Court List'!$A:$C,2,0)</f>
        <v>6</v>
      </c>
      <c r="H36" s="33">
        <v>2</v>
      </c>
      <c r="I36" s="33">
        <v>1</v>
      </c>
      <c r="J36" s="23">
        <f t="shared" si="0"/>
        <v>12</v>
      </c>
      <c r="K36" s="36" t="s">
        <v>40</v>
      </c>
      <c r="L36" s="18">
        <f>SUM('Shuttle Count - Ultimate (Sep 2'!C36:F36)</f>
        <v>4</v>
      </c>
      <c r="M36" s="25">
        <f>VLOOKUP(K36,'Shuttle Purchase'!A:C,3,0)</f>
        <v>3.4458333333333333</v>
      </c>
      <c r="N36" s="23">
        <f t="shared" si="11"/>
        <v>13.783333333333333</v>
      </c>
      <c r="O36" s="22">
        <f>VLOOKUP(E36,'Court List'!$A:$C,3,0)</f>
        <v>12</v>
      </c>
      <c r="P36" s="18">
        <f>COUNTIF('Pub List'!$C36:$T36,"&lt;&gt;")</f>
        <v>3</v>
      </c>
      <c r="Q36" s="26">
        <f t="shared" si="2"/>
        <v>36</v>
      </c>
      <c r="R36" s="36"/>
      <c r="S36" s="18">
        <f>COUNTIF('Member List'!$C36:$J36,"&lt;&gt;")</f>
        <v>3</v>
      </c>
      <c r="T36" s="35"/>
      <c r="U36" s="24">
        <f t="shared" si="3"/>
        <v>6</v>
      </c>
      <c r="V36" s="25">
        <f t="shared" si="4"/>
        <v>36</v>
      </c>
      <c r="W36" s="27">
        <f t="shared" si="5"/>
        <v>25.783333333333331</v>
      </c>
      <c r="X36" s="26">
        <f t="shared" si="6"/>
        <v>10.216666666666669</v>
      </c>
      <c r="Y36" s="37">
        <f t="shared" si="9"/>
        <v>218.00883333333331</v>
      </c>
      <c r="Z36" s="38">
        <f t="shared" si="7"/>
        <v>36</v>
      </c>
      <c r="AA36" s="38">
        <f t="shared" si="8"/>
        <v>-12</v>
      </c>
      <c r="AB36" s="39"/>
      <c r="AC36" s="40">
        <f t="shared" si="10"/>
        <v>239.96000000000004</v>
      </c>
    </row>
    <row r="37" spans="1:29" ht="12.5" x14ac:dyDescent="0.25">
      <c r="A37" s="32">
        <v>46050</v>
      </c>
      <c r="B37" s="33" t="s">
        <v>46</v>
      </c>
      <c r="C37" s="34">
        <v>0.83333333333333337</v>
      </c>
      <c r="D37" s="34">
        <v>0.91666666666666663</v>
      </c>
      <c r="E37" s="35" t="s">
        <v>51</v>
      </c>
      <c r="F37" s="21">
        <v>2</v>
      </c>
      <c r="G37" s="22">
        <f>VLOOKUP(E37,'Court List'!$A:$C,2,0)</f>
        <v>7.4</v>
      </c>
      <c r="H37" s="33">
        <v>2</v>
      </c>
      <c r="I37" s="33">
        <v>1</v>
      </c>
      <c r="J37" s="23">
        <f t="shared" si="0"/>
        <v>14.8</v>
      </c>
      <c r="K37" s="36" t="s">
        <v>40</v>
      </c>
      <c r="L37" s="18">
        <f>SUM('Shuttle Count - Ultimate (Sep 2'!C37:F37)</f>
        <v>5</v>
      </c>
      <c r="M37" s="25">
        <f>VLOOKUP(K37,'Shuttle Purchase'!A:C,3,0)</f>
        <v>3.4458333333333333</v>
      </c>
      <c r="N37" s="23">
        <f t="shared" si="11"/>
        <v>17.229166666666668</v>
      </c>
      <c r="O37" s="22">
        <f>VLOOKUP(E37,'Court List'!$A:$C,3,0)</f>
        <v>12</v>
      </c>
      <c r="P37" s="18">
        <f>COUNTIF('Pub List'!$C37:$T37,"&lt;&gt;")</f>
        <v>2</v>
      </c>
      <c r="Q37" s="26">
        <f t="shared" si="2"/>
        <v>24</v>
      </c>
      <c r="R37" s="36"/>
      <c r="S37" s="18">
        <f>COUNTIF('Member List'!$C37:$J37,"&lt;&gt;")</f>
        <v>4</v>
      </c>
      <c r="T37" s="35"/>
      <c r="U37" s="24">
        <f t="shared" si="3"/>
        <v>6</v>
      </c>
      <c r="V37" s="25">
        <f t="shared" si="4"/>
        <v>24</v>
      </c>
      <c r="W37" s="27">
        <f t="shared" si="5"/>
        <v>32.029166666666669</v>
      </c>
      <c r="X37" s="26">
        <f t="shared" si="6"/>
        <v>-8.0291666666666686</v>
      </c>
      <c r="Y37" s="37">
        <f t="shared" si="9"/>
        <v>209.97966666666665</v>
      </c>
      <c r="Z37" s="38">
        <f t="shared" si="7"/>
        <v>24</v>
      </c>
      <c r="AA37" s="38">
        <f t="shared" si="8"/>
        <v>-14.8</v>
      </c>
      <c r="AB37" s="39"/>
      <c r="AC37" s="40">
        <f t="shared" si="10"/>
        <v>249.16000000000003</v>
      </c>
    </row>
    <row r="38" spans="1:29" ht="12.5" x14ac:dyDescent="0.25">
      <c r="A38" s="32">
        <v>46054</v>
      </c>
      <c r="B38" s="33" t="s">
        <v>43</v>
      </c>
      <c r="C38" s="34">
        <v>0.8125</v>
      </c>
      <c r="D38" s="34">
        <v>0.89583333333333337</v>
      </c>
      <c r="E38" s="35" t="s">
        <v>50</v>
      </c>
      <c r="F38" s="21" t="s">
        <v>55</v>
      </c>
      <c r="G38" s="22">
        <f>VLOOKUP(E38,'Court List'!$A:$C,2,0)</f>
        <v>6</v>
      </c>
      <c r="H38" s="33">
        <v>2</v>
      </c>
      <c r="I38" s="33">
        <v>2</v>
      </c>
      <c r="J38" s="23">
        <f t="shared" si="0"/>
        <v>24</v>
      </c>
      <c r="K38" s="36" t="s">
        <v>40</v>
      </c>
      <c r="L38" s="18">
        <f>SUM('Shuttle Count - Ultimate (Sep 2'!C38:F38)</f>
        <v>10</v>
      </c>
      <c r="M38" s="25">
        <f>VLOOKUP(K38,'Shuttle Purchase'!A:C,3,0)</f>
        <v>3.4458333333333333</v>
      </c>
      <c r="N38" s="23">
        <f t="shared" si="11"/>
        <v>34.458333333333336</v>
      </c>
      <c r="O38" s="22">
        <f>VLOOKUP(E38,'Court List'!$A:$C,3,0)</f>
        <v>12</v>
      </c>
      <c r="P38" s="18">
        <f>COUNTIF('Pub List'!$C38:$T38,"&lt;&gt;")</f>
        <v>7</v>
      </c>
      <c r="Q38" s="26">
        <f t="shared" si="2"/>
        <v>84</v>
      </c>
      <c r="R38" s="36"/>
      <c r="S38" s="18">
        <f>COUNTIF('Member List'!$C38:$J38,"&lt;&gt;")</f>
        <v>5</v>
      </c>
      <c r="T38" s="35"/>
      <c r="U38" s="24">
        <f t="shared" si="3"/>
        <v>12</v>
      </c>
      <c r="V38" s="25">
        <f t="shared" si="4"/>
        <v>84</v>
      </c>
      <c r="W38" s="27">
        <f t="shared" si="5"/>
        <v>58.458333333333336</v>
      </c>
      <c r="X38" s="26">
        <f t="shared" si="6"/>
        <v>25.541666666666664</v>
      </c>
      <c r="Y38" s="37">
        <f t="shared" si="9"/>
        <v>235.5213333333333</v>
      </c>
      <c r="Z38" s="38">
        <f t="shared" si="7"/>
        <v>84</v>
      </c>
      <c r="AA38" s="38">
        <f t="shared" si="8"/>
        <v>-24</v>
      </c>
      <c r="AB38" s="39"/>
      <c r="AC38" s="40">
        <f t="shared" si="10"/>
        <v>309.16000000000003</v>
      </c>
    </row>
    <row r="39" spans="1:29" ht="12.5" x14ac:dyDescent="0.25">
      <c r="A39" s="32">
        <v>46060</v>
      </c>
      <c r="B39" s="33" t="s">
        <v>38</v>
      </c>
      <c r="C39" s="34">
        <v>0.8125</v>
      </c>
      <c r="D39" s="34">
        <v>0.89583333333333337</v>
      </c>
      <c r="E39" s="35" t="s">
        <v>44</v>
      </c>
      <c r="F39" s="21">
        <v>1</v>
      </c>
      <c r="G39" s="22">
        <f>VLOOKUP(E39,'Court List'!$A:$C,2,0)</f>
        <v>8</v>
      </c>
      <c r="H39" s="33">
        <v>2</v>
      </c>
      <c r="I39" s="33">
        <v>1</v>
      </c>
      <c r="J39" s="23">
        <f t="shared" si="0"/>
        <v>16</v>
      </c>
      <c r="K39" s="36" t="s">
        <v>40</v>
      </c>
      <c r="L39" s="18">
        <f>SUM('Shuttle Count - Ultimate (Sep 2'!C39:F39)</f>
        <v>4</v>
      </c>
      <c r="M39" s="25">
        <f>VLOOKUP(K39,'Shuttle Purchase'!A:C,3,0)</f>
        <v>3.4458333333333333</v>
      </c>
      <c r="N39" s="23">
        <f t="shared" si="11"/>
        <v>13.783333333333333</v>
      </c>
      <c r="O39" s="22">
        <f>VLOOKUP(E39,'Court List'!$A:$C,3,0)</f>
        <v>12</v>
      </c>
      <c r="P39" s="18">
        <f>COUNTIF('Pub List'!$C39:$T39,"&lt;&gt;")</f>
        <v>2</v>
      </c>
      <c r="Q39" s="26">
        <f t="shared" si="2"/>
        <v>24</v>
      </c>
      <c r="R39" s="36"/>
      <c r="S39" s="18">
        <f>COUNTIF('Member List'!$C39:$J39,"&lt;&gt;")</f>
        <v>4</v>
      </c>
      <c r="T39" s="35"/>
      <c r="U39" s="24">
        <f t="shared" si="3"/>
        <v>6</v>
      </c>
      <c r="V39" s="25">
        <f t="shared" si="4"/>
        <v>24</v>
      </c>
      <c r="W39" s="27">
        <f t="shared" si="5"/>
        <v>29.783333333333331</v>
      </c>
      <c r="X39" s="26">
        <f t="shared" si="6"/>
        <v>-5.7833333333333314</v>
      </c>
      <c r="Y39" s="37">
        <f t="shared" si="9"/>
        <v>229.73799999999997</v>
      </c>
      <c r="Z39" s="38">
        <f t="shared" si="7"/>
        <v>24</v>
      </c>
      <c r="AA39" s="38">
        <f t="shared" si="8"/>
        <v>-16</v>
      </c>
      <c r="AB39" s="39"/>
      <c r="AC39" s="40">
        <f t="shared" si="10"/>
        <v>317.16000000000003</v>
      </c>
    </row>
    <row r="40" spans="1:29" ht="12.5" x14ac:dyDescent="0.25">
      <c r="A40" s="32">
        <v>46061</v>
      </c>
      <c r="B40" s="33" t="s">
        <v>43</v>
      </c>
      <c r="C40" s="34">
        <v>0.8125</v>
      </c>
      <c r="D40" s="34">
        <v>0.89583333333333337</v>
      </c>
      <c r="E40" s="35" t="s">
        <v>44</v>
      </c>
      <c r="F40" s="21" t="s">
        <v>64</v>
      </c>
      <c r="G40" s="22">
        <f>VLOOKUP(E40,'Court List'!$A:$C,2,0)</f>
        <v>8</v>
      </c>
      <c r="H40" s="33">
        <v>2</v>
      </c>
      <c r="I40" s="33">
        <v>2</v>
      </c>
      <c r="J40" s="23">
        <f t="shared" si="0"/>
        <v>32</v>
      </c>
      <c r="K40" s="36" t="s">
        <v>58</v>
      </c>
      <c r="L40" s="18">
        <f>SUM('Shuttle Count - Supreme (Nov 20'!C40:D40)</f>
        <v>10</v>
      </c>
      <c r="M40" s="25">
        <f>VLOOKUP(K40,'Shuttle Purchase'!A:C,3,0)</f>
        <v>3.4664166666666669</v>
      </c>
      <c r="N40" s="23">
        <f t="shared" si="11"/>
        <v>34.664166666666667</v>
      </c>
      <c r="O40" s="22">
        <f>VLOOKUP(E40,'Court List'!$A:$C,3,0)</f>
        <v>12</v>
      </c>
      <c r="P40" s="18">
        <f>COUNTIF('Pub List'!$C40:$T40,"&lt;&gt;")</f>
        <v>8</v>
      </c>
      <c r="Q40" s="26">
        <f t="shared" si="2"/>
        <v>96</v>
      </c>
      <c r="R40" s="36"/>
      <c r="S40" s="18">
        <f>COUNTIF('Member List'!$C40:$J40,"&lt;&gt;")</f>
        <v>4</v>
      </c>
      <c r="T40" s="35"/>
      <c r="U40" s="24">
        <f t="shared" si="3"/>
        <v>12</v>
      </c>
      <c r="V40" s="25">
        <f t="shared" si="4"/>
        <v>96</v>
      </c>
      <c r="W40" s="27">
        <f t="shared" si="5"/>
        <v>66.664166666666659</v>
      </c>
      <c r="X40" s="26">
        <f t="shared" si="6"/>
        <v>29.335833333333341</v>
      </c>
      <c r="Y40" s="37">
        <f t="shared" si="9"/>
        <v>259.07383333333331</v>
      </c>
      <c r="Z40" s="38">
        <f t="shared" si="7"/>
        <v>96</v>
      </c>
      <c r="AA40" s="38">
        <f t="shared" si="8"/>
        <v>-32</v>
      </c>
      <c r="AB40" s="39"/>
      <c r="AC40" s="40">
        <f t="shared" si="10"/>
        <v>381.16</v>
      </c>
    </row>
    <row r="41" spans="1:29" ht="12.5" x14ac:dyDescent="0.25">
      <c r="A41" s="32">
        <v>46065</v>
      </c>
      <c r="B41" s="33" t="s">
        <v>41</v>
      </c>
      <c r="C41" s="34">
        <v>0.8125</v>
      </c>
      <c r="D41" s="34">
        <v>0.89583333333333337</v>
      </c>
      <c r="E41" s="35" t="s">
        <v>50</v>
      </c>
      <c r="F41" s="21">
        <v>2</v>
      </c>
      <c r="G41" s="22">
        <f>VLOOKUP(E41,'Court List'!$A:$C,2,0)</f>
        <v>6</v>
      </c>
      <c r="H41" s="33">
        <v>2</v>
      </c>
      <c r="I41" s="33">
        <v>1</v>
      </c>
      <c r="J41" s="23">
        <f t="shared" si="0"/>
        <v>12</v>
      </c>
      <c r="K41" s="41" t="s">
        <v>65</v>
      </c>
      <c r="L41" s="18" t="s">
        <v>63</v>
      </c>
      <c r="M41" s="18" t="s">
        <v>66</v>
      </c>
      <c r="N41" s="23">
        <f>'Shuttle Purchase'!C9*'Shuttle Count - Supreme (Nov 20'!D41+'Shuttle Purchase'!C10*1</f>
        <v>10.266166666666667</v>
      </c>
      <c r="O41" s="22">
        <f>VLOOKUP(E41,'Court List'!$A:$C,3,0)</f>
        <v>12</v>
      </c>
      <c r="P41" s="18">
        <f>COUNTIF('Pub List'!$C41:$T41,"&lt;&gt;")</f>
        <v>2</v>
      </c>
      <c r="Q41" s="26">
        <f t="shared" si="2"/>
        <v>24</v>
      </c>
      <c r="R41" s="36"/>
      <c r="S41" s="18">
        <f>COUNTIF('Member List'!$C41:$J41,"&lt;&gt;")</f>
        <v>4</v>
      </c>
      <c r="T41" s="35"/>
      <c r="U41" s="24">
        <f t="shared" si="3"/>
        <v>6</v>
      </c>
      <c r="V41" s="25">
        <f t="shared" si="4"/>
        <v>24</v>
      </c>
      <c r="W41" s="27">
        <f t="shared" si="5"/>
        <v>22.266166666666667</v>
      </c>
      <c r="X41" s="26">
        <f t="shared" si="6"/>
        <v>1.7338333333333331</v>
      </c>
      <c r="Y41" s="37">
        <f t="shared" si="9"/>
        <v>260.80766666666665</v>
      </c>
      <c r="Z41" s="38">
        <f t="shared" si="7"/>
        <v>24</v>
      </c>
      <c r="AA41" s="38">
        <f t="shared" si="8"/>
        <v>-12</v>
      </c>
      <c r="AB41" s="39"/>
      <c r="AC41" s="40">
        <f t="shared" si="10"/>
        <v>393.16</v>
      </c>
    </row>
    <row r="42" spans="1:29" ht="12.5" x14ac:dyDescent="0.25">
      <c r="A42" s="32">
        <v>46066</v>
      </c>
      <c r="B42" s="33" t="s">
        <v>56</v>
      </c>
      <c r="C42" s="34">
        <v>0.8125</v>
      </c>
      <c r="D42" s="34">
        <v>0.89583333333333337</v>
      </c>
      <c r="E42" s="35" t="s">
        <v>50</v>
      </c>
      <c r="F42" s="21" t="s">
        <v>55</v>
      </c>
      <c r="G42" s="22">
        <f>VLOOKUP(E42,'Court List'!$A:$C,2,0)</f>
        <v>6</v>
      </c>
      <c r="H42" s="33">
        <v>2</v>
      </c>
      <c r="I42" s="33">
        <v>2</v>
      </c>
      <c r="J42" s="23">
        <f t="shared" si="0"/>
        <v>24</v>
      </c>
      <c r="K42" s="41" t="s">
        <v>67</v>
      </c>
      <c r="L42" s="18" t="s">
        <v>68</v>
      </c>
      <c r="M42" s="18" t="s">
        <v>69</v>
      </c>
      <c r="N42" s="23">
        <f>'Shuttle Count - Ultimate (Sep 2'!C42*'Shuttle Purchase'!C5+'Shuttle Purchase'!C10*11</f>
        <v>43.558333333333337</v>
      </c>
      <c r="O42" s="22">
        <f>VLOOKUP(E42,'Court List'!$A:$C,3,0)</f>
        <v>12</v>
      </c>
      <c r="P42" s="18">
        <f>COUNTIF('Pub List'!$C42:$T42,"&lt;&gt;")</f>
        <v>8</v>
      </c>
      <c r="Q42" s="26">
        <f t="shared" si="2"/>
        <v>96</v>
      </c>
      <c r="R42" s="36"/>
      <c r="S42" s="18">
        <f>COUNTIF('Member List'!$C42:$J42,"&lt;&gt;")</f>
        <v>4</v>
      </c>
      <c r="T42" s="35"/>
      <c r="U42" s="24">
        <f t="shared" si="3"/>
        <v>12</v>
      </c>
      <c r="V42" s="25">
        <f t="shared" si="4"/>
        <v>96</v>
      </c>
      <c r="W42" s="27">
        <f t="shared" si="5"/>
        <v>67.558333333333337</v>
      </c>
      <c r="X42" s="26">
        <f t="shared" si="6"/>
        <v>28.441666666666663</v>
      </c>
      <c r="Y42" s="37">
        <f t="shared" si="9"/>
        <v>289.24933333333331</v>
      </c>
      <c r="Z42" s="38">
        <f t="shared" si="7"/>
        <v>96</v>
      </c>
      <c r="AA42" s="38">
        <f t="shared" si="8"/>
        <v>-24</v>
      </c>
      <c r="AB42" s="39"/>
      <c r="AC42" s="40">
        <f t="shared" si="10"/>
        <v>465.16</v>
      </c>
    </row>
    <row r="43" spans="1:29" ht="12.5" x14ac:dyDescent="0.25">
      <c r="A43" s="32">
        <v>46067</v>
      </c>
      <c r="B43" s="33" t="s">
        <v>38</v>
      </c>
      <c r="C43" s="34">
        <v>0.72916666666666663</v>
      </c>
      <c r="D43" s="34">
        <v>0.8125</v>
      </c>
      <c r="E43" s="35" t="s">
        <v>39</v>
      </c>
      <c r="F43" s="21" t="s">
        <v>55</v>
      </c>
      <c r="G43" s="22">
        <f>VLOOKUP(E43,'Court List'!$A:$C,2,0)</f>
        <v>18</v>
      </c>
      <c r="H43" s="33">
        <v>2</v>
      </c>
      <c r="I43" s="33">
        <v>2</v>
      </c>
      <c r="J43" s="23">
        <f t="shared" si="0"/>
        <v>72</v>
      </c>
      <c r="K43" s="36" t="s">
        <v>58</v>
      </c>
      <c r="L43" s="18">
        <f>SUM('Shuttle Count - Supreme (Nov 20'!C43:D43)</f>
        <v>15</v>
      </c>
      <c r="M43" s="25">
        <f>VLOOKUP(K43,'Shuttle Purchase'!A:C,3,0)</f>
        <v>3.4664166666666669</v>
      </c>
      <c r="N43" s="23">
        <f t="shared" ref="N43:N48" si="12">L43*M43</f>
        <v>51.996250000000003</v>
      </c>
      <c r="O43" s="22">
        <f>VLOOKUP(E43,'Court List'!$A:$C,3,0)</f>
        <v>14</v>
      </c>
      <c r="P43" s="18">
        <f>COUNTIF('Pub List'!$C43:$T43,"&lt;&gt;")</f>
        <v>8</v>
      </c>
      <c r="Q43" s="26">
        <f t="shared" si="2"/>
        <v>112</v>
      </c>
      <c r="R43" s="36"/>
      <c r="S43" s="18">
        <f>COUNTIF('Member List'!$C43:$J43,"&lt;&gt;")</f>
        <v>4</v>
      </c>
      <c r="T43" s="35"/>
      <c r="U43" s="24">
        <f t="shared" si="3"/>
        <v>12</v>
      </c>
      <c r="V43" s="25">
        <f t="shared" si="4"/>
        <v>112</v>
      </c>
      <c r="W43" s="27">
        <f t="shared" si="5"/>
        <v>123.99625</v>
      </c>
      <c r="X43" s="26">
        <f t="shared" si="6"/>
        <v>-11.996250000000003</v>
      </c>
      <c r="Y43" s="37">
        <f t="shared" si="9"/>
        <v>277.25308333333328</v>
      </c>
      <c r="Z43" s="38">
        <f t="shared" si="7"/>
        <v>112</v>
      </c>
      <c r="AA43" s="38">
        <f t="shared" si="8"/>
        <v>-72</v>
      </c>
      <c r="AB43" s="39"/>
      <c r="AC43" s="40">
        <f t="shared" si="10"/>
        <v>505.16000000000008</v>
      </c>
    </row>
    <row r="44" spans="1:29" ht="12.5" x14ac:dyDescent="0.25">
      <c r="A44" s="32">
        <v>46076</v>
      </c>
      <c r="B44" s="33" t="s">
        <v>48</v>
      </c>
      <c r="C44" s="34">
        <v>0.8125</v>
      </c>
      <c r="D44" s="34">
        <v>0.89583333333333337</v>
      </c>
      <c r="E44" s="35" t="s">
        <v>47</v>
      </c>
      <c r="F44" s="21" t="s">
        <v>53</v>
      </c>
      <c r="G44" s="22">
        <f>VLOOKUP(E44,'Court List'!$A:$C,2,0)</f>
        <v>6</v>
      </c>
      <c r="H44" s="33">
        <v>2</v>
      </c>
      <c r="I44" s="33">
        <v>1</v>
      </c>
      <c r="J44" s="23">
        <f t="shared" si="0"/>
        <v>12</v>
      </c>
      <c r="K44" s="36" t="s">
        <v>58</v>
      </c>
      <c r="L44" s="18">
        <f>SUM('Shuttle Count - Supreme (Nov 20'!C44:D44)</f>
        <v>5</v>
      </c>
      <c r="M44" s="25">
        <f>VLOOKUP(K44,'Shuttle Purchase'!A:C,3,0)</f>
        <v>3.4664166666666669</v>
      </c>
      <c r="N44" s="23">
        <f t="shared" si="12"/>
        <v>17.332083333333333</v>
      </c>
      <c r="O44" s="22">
        <f>VLOOKUP(E44,'Court List'!$A:$C,3,0)</f>
        <v>12</v>
      </c>
      <c r="P44" s="18">
        <f>COUNTIF('Pub List'!$C44:$T44,"&lt;&gt;")</f>
        <v>2</v>
      </c>
      <c r="Q44" s="26">
        <f t="shared" si="2"/>
        <v>24</v>
      </c>
      <c r="R44" s="36"/>
      <c r="S44" s="18">
        <f>COUNTIF('Member List'!$C44:$J44,"&lt;&gt;")</f>
        <v>4</v>
      </c>
      <c r="T44" s="35"/>
      <c r="U44" s="24">
        <f t="shared" si="3"/>
        <v>6</v>
      </c>
      <c r="V44" s="25">
        <f t="shared" si="4"/>
        <v>24</v>
      </c>
      <c r="W44" s="27">
        <f t="shared" si="5"/>
        <v>29.332083333333333</v>
      </c>
      <c r="X44" s="26">
        <f t="shared" si="6"/>
        <v>-5.3320833333333333</v>
      </c>
      <c r="Y44" s="37">
        <f t="shared" si="9"/>
        <v>271.92099999999994</v>
      </c>
      <c r="Z44" s="38">
        <f t="shared" si="7"/>
        <v>24</v>
      </c>
      <c r="AA44" s="38">
        <f t="shared" si="8"/>
        <v>-12</v>
      </c>
      <c r="AB44" s="39"/>
      <c r="AC44" s="40">
        <f t="shared" si="10"/>
        <v>517.16000000000008</v>
      </c>
    </row>
    <row r="45" spans="1:29" ht="12.5" x14ac:dyDescent="0.25">
      <c r="A45" s="32">
        <v>46077</v>
      </c>
      <c r="B45" s="33" t="s">
        <v>45</v>
      </c>
      <c r="C45" s="34">
        <v>0.8125</v>
      </c>
      <c r="D45" s="34">
        <v>0.89583333333333337</v>
      </c>
      <c r="E45" s="35" t="s">
        <v>50</v>
      </c>
      <c r="F45" s="21" t="s">
        <v>55</v>
      </c>
      <c r="G45" s="22">
        <f>VLOOKUP(E45,'Court List'!$A:$C,2,0)</f>
        <v>6</v>
      </c>
      <c r="H45" s="33">
        <v>2</v>
      </c>
      <c r="I45" s="33">
        <v>2</v>
      </c>
      <c r="J45" s="23">
        <f t="shared" si="0"/>
        <v>24</v>
      </c>
      <c r="K45" s="36" t="s">
        <v>58</v>
      </c>
      <c r="L45" s="18">
        <f>SUM('Shuttle Count - Supreme (Nov 20'!C45:D45)</f>
        <v>13</v>
      </c>
      <c r="M45" s="25">
        <f>VLOOKUP(K45,'Shuttle Purchase'!A:C,3,0)</f>
        <v>3.4664166666666669</v>
      </c>
      <c r="N45" s="23">
        <f t="shared" si="12"/>
        <v>45.063416666666669</v>
      </c>
      <c r="O45" s="22">
        <f>VLOOKUP(E45,'Court List'!$A:$C,3,0)</f>
        <v>12</v>
      </c>
      <c r="P45" s="18">
        <f>COUNTIF('Pub List'!$C45:$T45,"&lt;&gt;")</f>
        <v>8</v>
      </c>
      <c r="Q45" s="26">
        <f t="shared" si="2"/>
        <v>96</v>
      </c>
      <c r="R45" s="36"/>
      <c r="S45" s="18">
        <f>COUNTIF('Member List'!$C45:$J45,"&lt;&gt;")</f>
        <v>4</v>
      </c>
      <c r="T45" s="35"/>
      <c r="U45" s="24">
        <f t="shared" si="3"/>
        <v>12</v>
      </c>
      <c r="V45" s="25">
        <f t="shared" si="4"/>
        <v>96</v>
      </c>
      <c r="W45" s="27">
        <f t="shared" si="5"/>
        <v>69.063416666666669</v>
      </c>
      <c r="X45" s="26">
        <f t="shared" si="6"/>
        <v>26.936583333333331</v>
      </c>
      <c r="Y45" s="37">
        <f t="shared" si="9"/>
        <v>298.85758333333325</v>
      </c>
      <c r="Z45" s="38">
        <f t="shared" si="7"/>
        <v>96</v>
      </c>
      <c r="AA45" s="38">
        <f t="shared" si="8"/>
        <v>-24</v>
      </c>
      <c r="AB45" s="39"/>
      <c r="AC45" s="40">
        <f t="shared" si="10"/>
        <v>589.16000000000008</v>
      </c>
    </row>
    <row r="46" spans="1:29" ht="12.5" x14ac:dyDescent="0.25">
      <c r="A46" s="32">
        <v>46082</v>
      </c>
      <c r="B46" s="33" t="s">
        <v>43</v>
      </c>
      <c r="C46" s="34">
        <v>0.72916666666666663</v>
      </c>
      <c r="D46" s="34">
        <v>0.8125</v>
      </c>
      <c r="E46" s="35" t="s">
        <v>44</v>
      </c>
      <c r="F46" s="21" t="s">
        <v>55</v>
      </c>
      <c r="G46" s="22">
        <f>VLOOKUP(E46,'Court List'!$A:$C,2,0)</f>
        <v>8</v>
      </c>
      <c r="H46" s="33">
        <v>2</v>
      </c>
      <c r="I46" s="33">
        <v>2</v>
      </c>
      <c r="J46" s="23">
        <f t="shared" si="0"/>
        <v>32</v>
      </c>
      <c r="K46" s="42" t="s">
        <v>58</v>
      </c>
      <c r="L46" s="18">
        <f>SUM('Shuttle Count - Supreme (Nov 20'!C46:D46)</f>
        <v>12</v>
      </c>
      <c r="M46" s="25">
        <f>VLOOKUP(K46,'Shuttle Purchase'!A:C,3,0)</f>
        <v>3.4664166666666669</v>
      </c>
      <c r="N46" s="23">
        <f t="shared" si="12"/>
        <v>41.597000000000001</v>
      </c>
      <c r="O46" s="22">
        <f>VLOOKUP(E46,'Court List'!$A:$C,3,0)</f>
        <v>12</v>
      </c>
      <c r="P46" s="18">
        <f>COUNTIF('Pub List'!$C46:$T46,"&lt;&gt;")</f>
        <v>8</v>
      </c>
      <c r="Q46" s="26">
        <f t="shared" si="2"/>
        <v>96</v>
      </c>
      <c r="R46" s="36"/>
      <c r="S46" s="18">
        <f>COUNTIF('Member List'!$C46:$J46,"&lt;&gt;")</f>
        <v>4</v>
      </c>
      <c r="T46" s="35"/>
      <c r="U46" s="24">
        <f t="shared" si="3"/>
        <v>12</v>
      </c>
      <c r="V46" s="25">
        <f t="shared" si="4"/>
        <v>96</v>
      </c>
      <c r="W46" s="27">
        <f t="shared" si="5"/>
        <v>73.597000000000008</v>
      </c>
      <c r="X46" s="26">
        <f t="shared" si="6"/>
        <v>22.402999999999992</v>
      </c>
      <c r="Y46" s="37">
        <f t="shared" si="9"/>
        <v>321.26058333333322</v>
      </c>
      <c r="Z46" s="38">
        <f t="shared" si="7"/>
        <v>96</v>
      </c>
      <c r="AA46" s="38">
        <f t="shared" si="8"/>
        <v>-32</v>
      </c>
      <c r="AB46" s="39"/>
      <c r="AC46" s="40">
        <f t="shared" si="10"/>
        <v>653.16000000000008</v>
      </c>
    </row>
    <row r="47" spans="1:29" ht="12.5" x14ac:dyDescent="0.25">
      <c r="A47" s="32">
        <v>46084</v>
      </c>
      <c r="B47" s="33" t="s">
        <v>45</v>
      </c>
      <c r="C47" s="34">
        <v>0.8125</v>
      </c>
      <c r="D47" s="34">
        <v>0.89583333333333337</v>
      </c>
      <c r="E47" s="35" t="s">
        <v>44</v>
      </c>
      <c r="F47" s="21">
        <v>1</v>
      </c>
      <c r="G47" s="22">
        <f>VLOOKUP(E47,'Court List'!$A:$C,2,0)</f>
        <v>8</v>
      </c>
      <c r="H47" s="33">
        <v>2</v>
      </c>
      <c r="I47" s="33">
        <v>1</v>
      </c>
      <c r="J47" s="23">
        <f t="shared" si="0"/>
        <v>16</v>
      </c>
      <c r="K47" s="42" t="s">
        <v>58</v>
      </c>
      <c r="L47" s="18">
        <f>SUM('Shuttle Count - Supreme (Nov 20'!C47:D47)</f>
        <v>5</v>
      </c>
      <c r="M47" s="25">
        <f>VLOOKUP(K47,'Shuttle Purchase'!A:C,3,0)</f>
        <v>3.4664166666666669</v>
      </c>
      <c r="N47" s="23">
        <f t="shared" si="12"/>
        <v>17.332083333333333</v>
      </c>
      <c r="O47" s="22">
        <f>VLOOKUP(E47,'Court List'!$A:$C,3,0)</f>
        <v>12</v>
      </c>
      <c r="P47" s="18">
        <f>COUNTIF('Pub List'!$C47:$T47,"&lt;&gt;")</f>
        <v>2</v>
      </c>
      <c r="Q47" s="26">
        <f t="shared" si="2"/>
        <v>24</v>
      </c>
      <c r="R47" s="36"/>
      <c r="S47" s="18">
        <f>COUNTIF('Member List'!$C47:$J47,"&lt;&gt;")</f>
        <v>4</v>
      </c>
      <c r="T47" s="35"/>
      <c r="U47" s="24">
        <f t="shared" si="3"/>
        <v>6</v>
      </c>
      <c r="V47" s="25">
        <f t="shared" si="4"/>
        <v>24</v>
      </c>
      <c r="W47" s="27">
        <f t="shared" si="5"/>
        <v>33.33208333333333</v>
      </c>
      <c r="X47" s="26">
        <f t="shared" si="6"/>
        <v>-9.3320833333333297</v>
      </c>
      <c r="Y47" s="37">
        <f t="shared" si="9"/>
        <v>311.92849999999987</v>
      </c>
      <c r="Z47" s="38">
        <f t="shared" si="7"/>
        <v>24</v>
      </c>
      <c r="AA47" s="38">
        <f t="shared" si="8"/>
        <v>-16</v>
      </c>
      <c r="AB47" s="39"/>
      <c r="AC47" s="40">
        <f t="shared" si="10"/>
        <v>661.16000000000008</v>
      </c>
    </row>
    <row r="48" spans="1:29" ht="12.5" x14ac:dyDescent="0.25">
      <c r="A48" s="32">
        <v>46087</v>
      </c>
      <c r="B48" s="33" t="s">
        <v>56</v>
      </c>
      <c r="C48" s="34">
        <v>0.8125</v>
      </c>
      <c r="D48" s="34">
        <v>0.89583333333333337</v>
      </c>
      <c r="E48" s="35" t="s">
        <v>44</v>
      </c>
      <c r="F48" s="21">
        <v>1</v>
      </c>
      <c r="G48" s="22">
        <f>VLOOKUP(E48,'Court List'!$A:$C,2,0)</f>
        <v>8</v>
      </c>
      <c r="H48" s="33">
        <v>2</v>
      </c>
      <c r="I48" s="33">
        <v>1</v>
      </c>
      <c r="J48" s="23">
        <f t="shared" si="0"/>
        <v>16</v>
      </c>
      <c r="K48" s="42" t="s">
        <v>70</v>
      </c>
      <c r="L48" s="18">
        <f>SUM('Shuttle Count - Ultimate (Nov 2'!C48:D48)</f>
        <v>9</v>
      </c>
      <c r="M48" s="25">
        <f>VLOOKUP(K48,'Shuttle Purchase'!A:C,3,0)</f>
        <v>3.5714999999999999</v>
      </c>
      <c r="N48" s="23">
        <f t="shared" si="12"/>
        <v>32.143499999999996</v>
      </c>
      <c r="O48" s="22">
        <f>VLOOKUP(E48,'Court List'!$A:$C,3,0)</f>
        <v>12</v>
      </c>
      <c r="P48" s="18">
        <f>COUNTIF('Pub List'!$C48:$T48,"&lt;&gt;")</f>
        <v>4</v>
      </c>
      <c r="Q48" s="26">
        <f t="shared" si="2"/>
        <v>48</v>
      </c>
      <c r="R48" s="36"/>
      <c r="S48" s="18">
        <f>COUNTIF('Member List'!$C48:$J48,"&lt;&gt;")</f>
        <v>2</v>
      </c>
      <c r="T48" s="35"/>
      <c r="U48" s="24">
        <f t="shared" si="3"/>
        <v>6</v>
      </c>
      <c r="V48" s="25">
        <f t="shared" si="4"/>
        <v>48</v>
      </c>
      <c r="W48" s="27">
        <f t="shared" si="5"/>
        <v>48.143499999999996</v>
      </c>
      <c r="X48" s="26">
        <f t="shared" si="6"/>
        <v>-0.14349999999999596</v>
      </c>
      <c r="Y48" s="37">
        <f t="shared" si="9"/>
        <v>311.78499999999985</v>
      </c>
      <c r="Z48" s="38">
        <f t="shared" si="7"/>
        <v>48</v>
      </c>
      <c r="AA48" s="38">
        <f t="shared" si="8"/>
        <v>-16</v>
      </c>
      <c r="AB48" s="39"/>
      <c r="AC48" s="40">
        <f t="shared" si="10"/>
        <v>693.16000000000008</v>
      </c>
    </row>
    <row r="49" spans="1:29" ht="12.5" x14ac:dyDescent="0.25">
      <c r="A49" s="32">
        <v>46089</v>
      </c>
      <c r="B49" s="33" t="s">
        <v>43</v>
      </c>
      <c r="C49" s="34">
        <v>0.8125</v>
      </c>
      <c r="D49" s="34">
        <v>0.89583333333333337</v>
      </c>
      <c r="E49" s="35" t="s">
        <v>39</v>
      </c>
      <c r="F49" s="21" t="s">
        <v>57</v>
      </c>
      <c r="G49" s="22">
        <f>VLOOKUP(E49,'Court List'!$A:$C,2,0)</f>
        <v>18</v>
      </c>
      <c r="H49" s="33">
        <v>2</v>
      </c>
      <c r="I49" s="33">
        <v>2</v>
      </c>
      <c r="J49" s="23">
        <f t="shared" si="0"/>
        <v>72</v>
      </c>
      <c r="K49" s="43" t="s">
        <v>71</v>
      </c>
      <c r="L49" s="18" t="s">
        <v>72</v>
      </c>
      <c r="M49" s="18" t="s">
        <v>73</v>
      </c>
      <c r="N49" s="23">
        <f>'Shuttle Purchase'!C9*'Shuttle Count - Supreme (Nov 20'!D49+'Shuttle Purchase'!C8*'Shuttle Count - Ultimate (Nov 2'!C49</f>
        <v>52.836916666666667</v>
      </c>
      <c r="O49" s="22">
        <f>VLOOKUP(E49,'Court List'!$A:$C,3,0)</f>
        <v>14</v>
      </c>
      <c r="P49" s="18">
        <f>COUNTIF('Pub List'!$C49:$T49,"&lt;&gt;")</f>
        <v>8</v>
      </c>
      <c r="Q49" s="26">
        <f t="shared" si="2"/>
        <v>112</v>
      </c>
      <c r="R49" s="36"/>
      <c r="S49" s="18">
        <f>COUNTIF('Member List'!$C49:$J49,"&lt;&gt;")</f>
        <v>4</v>
      </c>
      <c r="T49" s="35"/>
      <c r="U49" s="24">
        <f t="shared" si="3"/>
        <v>12</v>
      </c>
      <c r="V49" s="25">
        <f t="shared" si="4"/>
        <v>112</v>
      </c>
      <c r="W49" s="27">
        <f t="shared" si="5"/>
        <v>124.83691666666667</v>
      </c>
      <c r="X49" s="26">
        <f t="shared" si="6"/>
        <v>-12.836916666666667</v>
      </c>
      <c r="Y49" s="37">
        <f t="shared" si="9"/>
        <v>298.94808333333322</v>
      </c>
      <c r="Z49" s="38">
        <f t="shared" si="7"/>
        <v>112</v>
      </c>
      <c r="AA49" s="38">
        <f t="shared" si="8"/>
        <v>-72</v>
      </c>
      <c r="AB49" s="39"/>
      <c r="AC49" s="40">
        <f t="shared" si="10"/>
        <v>733.16000000000008</v>
      </c>
    </row>
    <row r="50" spans="1:29" ht="12.5" x14ac:dyDescent="0.25">
      <c r="A50" s="32">
        <v>46096</v>
      </c>
      <c r="B50" s="33" t="s">
        <v>43</v>
      </c>
      <c r="C50" s="34">
        <v>0.8125</v>
      </c>
      <c r="D50" s="34">
        <v>0.89583333333333337</v>
      </c>
      <c r="E50" s="35" t="s">
        <v>50</v>
      </c>
      <c r="F50" s="21" t="s">
        <v>55</v>
      </c>
      <c r="G50" s="22">
        <f>VLOOKUP(E50,'Court List'!$A:$C,2,0)</f>
        <v>6</v>
      </c>
      <c r="H50" s="33">
        <v>2</v>
      </c>
      <c r="I50" s="33">
        <v>2</v>
      </c>
      <c r="J50" s="23">
        <f t="shared" si="0"/>
        <v>24</v>
      </c>
      <c r="K50" s="36" t="s">
        <v>70</v>
      </c>
      <c r="L50" s="18">
        <f>SUM('Shuttle Count - Ultimate (Nov 2'!C50:D50)</f>
        <v>12</v>
      </c>
      <c r="M50" s="25">
        <f>VLOOKUP(K50,'Shuttle Purchase'!A:C,3,0)</f>
        <v>3.5714999999999999</v>
      </c>
      <c r="N50" s="23">
        <f t="shared" ref="N50:N53" si="13">L50*M50</f>
        <v>42.857999999999997</v>
      </c>
      <c r="O50" s="22">
        <f>VLOOKUP(E50,'Court List'!$A:$C,3,0)</f>
        <v>12</v>
      </c>
      <c r="P50" s="18">
        <f>COUNTIF('Pub List'!$C50:$T50,"&lt;&gt;")</f>
        <v>10</v>
      </c>
      <c r="Q50" s="26">
        <f t="shared" si="2"/>
        <v>120</v>
      </c>
      <c r="R50" s="36"/>
      <c r="S50" s="18">
        <f>COUNTIF('Member List'!$C50:$J50,"&lt;&gt;")</f>
        <v>2</v>
      </c>
      <c r="T50" s="35"/>
      <c r="U50" s="24">
        <f t="shared" si="3"/>
        <v>12</v>
      </c>
      <c r="V50" s="25">
        <f t="shared" si="4"/>
        <v>120</v>
      </c>
      <c r="W50" s="27">
        <f t="shared" si="5"/>
        <v>66.858000000000004</v>
      </c>
      <c r="X50" s="26">
        <f t="shared" si="6"/>
        <v>53.141999999999996</v>
      </c>
      <c r="Y50" s="37">
        <f t="shared" si="9"/>
        <v>352.09008333333321</v>
      </c>
      <c r="Z50" s="38">
        <f t="shared" si="7"/>
        <v>120</v>
      </c>
      <c r="AA50" s="38">
        <f t="shared" si="8"/>
        <v>-24</v>
      </c>
      <c r="AB50" s="39"/>
      <c r="AC50" s="40">
        <f t="shared" si="10"/>
        <v>829.16000000000008</v>
      </c>
    </row>
    <row r="51" spans="1:29" ht="12.5" x14ac:dyDescent="0.25">
      <c r="A51" s="32">
        <v>46099</v>
      </c>
      <c r="B51" s="33" t="s">
        <v>46</v>
      </c>
      <c r="C51" s="34">
        <v>0.83333333333333337</v>
      </c>
      <c r="D51" s="34">
        <v>0.91666666666666663</v>
      </c>
      <c r="E51" s="35" t="s">
        <v>51</v>
      </c>
      <c r="F51" s="21">
        <v>1</v>
      </c>
      <c r="G51" s="22">
        <f>VLOOKUP(E51,'Court List'!$A:$C,2,0)</f>
        <v>7.4</v>
      </c>
      <c r="H51" s="33">
        <v>2</v>
      </c>
      <c r="I51" s="33">
        <v>1</v>
      </c>
      <c r="J51" s="23">
        <f t="shared" si="0"/>
        <v>14.8</v>
      </c>
      <c r="K51" s="36" t="s">
        <v>58</v>
      </c>
      <c r="L51" s="18">
        <f>SUM('Shuttle Count - Supreme (Nov 20'!C51:D51)</f>
        <v>5</v>
      </c>
      <c r="M51" s="25">
        <f>VLOOKUP(K51,'Shuttle Purchase'!A:C,3,0)</f>
        <v>3.4664166666666669</v>
      </c>
      <c r="N51" s="23">
        <f t="shared" si="13"/>
        <v>17.332083333333333</v>
      </c>
      <c r="O51" s="22">
        <f>VLOOKUP(E51,'Court List'!$A:$C,3,0)</f>
        <v>12</v>
      </c>
      <c r="P51" s="18">
        <f>COUNTIF('Pub List'!$C51:$T51,"&lt;&gt;")</f>
        <v>3</v>
      </c>
      <c r="Q51" s="26">
        <f t="shared" si="2"/>
        <v>36</v>
      </c>
      <c r="R51" s="36"/>
      <c r="S51" s="18">
        <f>COUNTIF('Member List'!$C51:$J51,"&lt;&gt;")</f>
        <v>3</v>
      </c>
      <c r="T51" s="35"/>
      <c r="U51" s="24">
        <f t="shared" si="3"/>
        <v>6</v>
      </c>
      <c r="V51" s="25">
        <f t="shared" si="4"/>
        <v>36</v>
      </c>
      <c r="W51" s="27">
        <f t="shared" si="5"/>
        <v>32.132083333333334</v>
      </c>
      <c r="X51" s="26">
        <f t="shared" si="6"/>
        <v>3.867916666666666</v>
      </c>
      <c r="Y51" s="37">
        <f t="shared" si="9"/>
        <v>355.95799999999986</v>
      </c>
      <c r="Z51" s="38">
        <f t="shared" si="7"/>
        <v>36</v>
      </c>
      <c r="AA51" s="38">
        <f t="shared" si="8"/>
        <v>-14.8</v>
      </c>
      <c r="AB51" s="39"/>
      <c r="AC51" s="40">
        <f t="shared" si="10"/>
        <v>850.36000000000013</v>
      </c>
    </row>
    <row r="52" spans="1:29" ht="12.5" x14ac:dyDescent="0.25">
      <c r="A52" s="32">
        <v>46103</v>
      </c>
      <c r="B52" s="33" t="s">
        <v>43</v>
      </c>
      <c r="C52" s="34">
        <v>0.77083333333333337</v>
      </c>
      <c r="D52" s="34">
        <v>0.85416666666666663</v>
      </c>
      <c r="E52" s="35" t="s">
        <v>39</v>
      </c>
      <c r="F52" s="21" t="s">
        <v>55</v>
      </c>
      <c r="G52" s="22">
        <f>VLOOKUP(E52,'Court List'!$A:$C,2,0)</f>
        <v>18</v>
      </c>
      <c r="H52" s="33">
        <v>2</v>
      </c>
      <c r="I52" s="33">
        <v>2</v>
      </c>
      <c r="J52" s="23">
        <f t="shared" si="0"/>
        <v>72</v>
      </c>
      <c r="K52" s="36" t="s">
        <v>58</v>
      </c>
      <c r="L52" s="18">
        <f>SUM('Shuttle Count - Supreme (Nov 20'!C52:D52) + SUM('Shuttle Count - Ultimate (Nov 2'!C52:D52)</f>
        <v>10</v>
      </c>
      <c r="M52" s="25">
        <f>VLOOKUP(K52,'Shuttle Purchase'!A:C,3,0)</f>
        <v>3.4664166666666669</v>
      </c>
      <c r="N52" s="23">
        <f t="shared" si="13"/>
        <v>34.664166666666667</v>
      </c>
      <c r="O52" s="22">
        <f>VLOOKUP(E52,'Court List'!$A:$C,3,0)</f>
        <v>14</v>
      </c>
      <c r="P52" s="18">
        <f>COUNTIF('Pub List'!$C52:$T52,"&lt;&gt;")</f>
        <v>7</v>
      </c>
      <c r="Q52" s="26">
        <f t="shared" si="2"/>
        <v>98</v>
      </c>
      <c r="R52" s="36"/>
      <c r="S52" s="18">
        <f>COUNTIF('Member List'!$C52:$J52,"&lt;&gt;")</f>
        <v>5</v>
      </c>
      <c r="T52" s="35"/>
      <c r="U52" s="24">
        <f t="shared" si="3"/>
        <v>12</v>
      </c>
      <c r="V52" s="25">
        <f t="shared" si="4"/>
        <v>98</v>
      </c>
      <c r="W52" s="27">
        <f t="shared" si="5"/>
        <v>106.66416666666666</v>
      </c>
      <c r="X52" s="26">
        <f t="shared" si="6"/>
        <v>-8.6641666666666595</v>
      </c>
      <c r="Y52" s="37">
        <f t="shared" si="9"/>
        <v>347.29383333333317</v>
      </c>
      <c r="Z52" s="38">
        <f t="shared" si="7"/>
        <v>98</v>
      </c>
      <c r="AA52" s="38">
        <f t="shared" si="8"/>
        <v>-72</v>
      </c>
      <c r="AB52" s="39"/>
      <c r="AC52" s="40">
        <f t="shared" si="10"/>
        <v>876.36000000000013</v>
      </c>
    </row>
    <row r="53" spans="1:29" ht="12.5" x14ac:dyDescent="0.25">
      <c r="A53" s="32">
        <v>46104</v>
      </c>
      <c r="B53" s="33" t="s">
        <v>48</v>
      </c>
      <c r="C53" s="34">
        <v>0.8125</v>
      </c>
      <c r="D53" s="34">
        <v>0.89583333333333337</v>
      </c>
      <c r="E53" s="35" t="s">
        <v>47</v>
      </c>
      <c r="F53" s="21">
        <v>1</v>
      </c>
      <c r="G53" s="22">
        <f>VLOOKUP(E53,'Court List'!$A:$C,2,0)</f>
        <v>6</v>
      </c>
      <c r="H53" s="33">
        <v>2</v>
      </c>
      <c r="I53" s="33">
        <v>1</v>
      </c>
      <c r="J53" s="23">
        <f t="shared" si="0"/>
        <v>12</v>
      </c>
      <c r="K53" s="36" t="s">
        <v>70</v>
      </c>
      <c r="L53" s="18">
        <f>SUM('Shuttle Count - Ultimate (Nov 2'!C53:D53)</f>
        <v>5</v>
      </c>
      <c r="M53" s="25">
        <f>VLOOKUP(K53,'Shuttle Purchase'!A:C,3,0)</f>
        <v>3.5714999999999999</v>
      </c>
      <c r="N53" s="23">
        <f t="shared" si="13"/>
        <v>17.857499999999998</v>
      </c>
      <c r="O53" s="22">
        <f>VLOOKUP(E53,'Court List'!$A:$C,3,0)</f>
        <v>12</v>
      </c>
      <c r="P53" s="18">
        <f>COUNTIF('Pub List'!$C53:$T53,"&lt;&gt;")</f>
        <v>2</v>
      </c>
      <c r="Q53" s="26">
        <f t="shared" si="2"/>
        <v>24</v>
      </c>
      <c r="R53" s="36"/>
      <c r="S53" s="18">
        <f>COUNTIF('Member List'!$C53:$J53,"&lt;&gt;")</f>
        <v>4</v>
      </c>
      <c r="T53" s="35"/>
      <c r="U53" s="24">
        <f t="shared" si="3"/>
        <v>6</v>
      </c>
      <c r="V53" s="25">
        <f t="shared" si="4"/>
        <v>24</v>
      </c>
      <c r="W53" s="27">
        <f t="shared" si="5"/>
        <v>29.857499999999998</v>
      </c>
      <c r="X53" s="26">
        <f t="shared" si="6"/>
        <v>-5.8574999999999982</v>
      </c>
      <c r="Y53" s="37">
        <f t="shared" si="9"/>
        <v>341.43633333333315</v>
      </c>
      <c r="Z53" s="38">
        <f t="shared" si="7"/>
        <v>24</v>
      </c>
      <c r="AA53" s="38">
        <f t="shared" si="8"/>
        <v>-12</v>
      </c>
      <c r="AB53" s="39"/>
      <c r="AC53" s="40">
        <f t="shared" si="10"/>
        <v>888.36000000000013</v>
      </c>
    </row>
    <row r="54" spans="1:29" ht="12.5" x14ac:dyDescent="0.25">
      <c r="A54" s="32">
        <v>46115</v>
      </c>
      <c r="B54" s="33" t="s">
        <v>56</v>
      </c>
      <c r="C54" s="34">
        <v>0.83333333333333337</v>
      </c>
      <c r="D54" s="34">
        <v>0.91666666666666663</v>
      </c>
      <c r="E54" s="35" t="s">
        <v>51</v>
      </c>
      <c r="F54" s="21">
        <v>6</v>
      </c>
      <c r="G54" s="22">
        <f>VLOOKUP(E54,'Court List'!$A:$C,2,0)</f>
        <v>7.4</v>
      </c>
      <c r="H54" s="33">
        <v>2</v>
      </c>
      <c r="I54" s="33">
        <v>1</v>
      </c>
      <c r="J54" s="23">
        <f t="shared" si="0"/>
        <v>14.8</v>
      </c>
      <c r="K54" s="41" t="s">
        <v>74</v>
      </c>
      <c r="L54" s="18" t="s">
        <v>75</v>
      </c>
      <c r="M54" s="18" t="s">
        <v>76</v>
      </c>
      <c r="N54" s="23">
        <f>2*3.47+3*3.57</f>
        <v>17.649999999999999</v>
      </c>
      <c r="O54" s="22">
        <f>VLOOKUP(E54,'Court List'!$A:$C,3,0)</f>
        <v>12</v>
      </c>
      <c r="P54" s="18">
        <f>COUNTIF('Pub List'!$C54:$T54,"&lt;&gt;")</f>
        <v>4</v>
      </c>
      <c r="Q54" s="26">
        <f t="shared" si="2"/>
        <v>48</v>
      </c>
      <c r="R54" s="36"/>
      <c r="S54" s="18">
        <f>COUNTIF('Member List'!$C54:$J54,"&lt;&gt;")</f>
        <v>2</v>
      </c>
      <c r="T54" s="35"/>
      <c r="U54" s="24">
        <f t="shared" si="3"/>
        <v>6</v>
      </c>
      <c r="V54" s="25">
        <f t="shared" si="4"/>
        <v>48</v>
      </c>
      <c r="W54" s="27">
        <f t="shared" si="5"/>
        <v>32.450000000000003</v>
      </c>
      <c r="X54" s="26">
        <f t="shared" si="6"/>
        <v>15.549999999999997</v>
      </c>
      <c r="Y54" s="37">
        <f t="shared" si="9"/>
        <v>356.98633333333316</v>
      </c>
      <c r="Z54" s="38">
        <f t="shared" si="7"/>
        <v>48</v>
      </c>
      <c r="AA54" s="38">
        <f t="shared" si="8"/>
        <v>-14.8</v>
      </c>
      <c r="AB54" s="39"/>
      <c r="AC54" s="40">
        <f t="shared" si="10"/>
        <v>921.56000000000017</v>
      </c>
    </row>
    <row r="55" spans="1:29" ht="12.5" x14ac:dyDescent="0.25">
      <c r="A55" s="32">
        <v>46124</v>
      </c>
      <c r="B55" s="33" t="s">
        <v>43</v>
      </c>
      <c r="C55" s="34">
        <v>0.72916666666666663</v>
      </c>
      <c r="D55" s="34">
        <v>0.8125</v>
      </c>
      <c r="E55" s="35" t="s">
        <v>39</v>
      </c>
      <c r="F55" s="21" t="s">
        <v>55</v>
      </c>
      <c r="G55" s="22">
        <f>VLOOKUP(E55,'Court List'!$A:$C,2,0)</f>
        <v>18</v>
      </c>
      <c r="H55" s="33">
        <v>2</v>
      </c>
      <c r="I55" s="33">
        <v>2</v>
      </c>
      <c r="J55" s="23">
        <f t="shared" si="0"/>
        <v>72</v>
      </c>
      <c r="K55" s="36" t="s">
        <v>58</v>
      </c>
      <c r="L55" s="18">
        <f>SUM('Shuttle Count - Supreme (Nov 20'!C55:D55)</f>
        <v>7</v>
      </c>
      <c r="M55" s="25">
        <f>VLOOKUP(K55,'Shuttle Purchase'!A:C,3,0)</f>
        <v>3.4664166666666669</v>
      </c>
      <c r="N55" s="23">
        <f t="shared" ref="N55:N57" si="14">L55*M55</f>
        <v>24.264916666666668</v>
      </c>
      <c r="O55" s="22">
        <f>VLOOKUP(E55,'Court List'!$A:$C,3,0)</f>
        <v>14</v>
      </c>
      <c r="P55" s="18">
        <f>COUNTIF('Pub List'!$C55:$T55,"&lt;&gt;")</f>
        <v>10</v>
      </c>
      <c r="Q55" s="26">
        <f t="shared" si="2"/>
        <v>140</v>
      </c>
      <c r="R55" s="36"/>
      <c r="S55" s="18">
        <f>COUNTIF('Member List'!$C55:$J55,"&lt;&gt;")</f>
        <v>2</v>
      </c>
      <c r="T55" s="35"/>
      <c r="U55" s="24">
        <f t="shared" si="3"/>
        <v>12</v>
      </c>
      <c r="V55" s="25">
        <f t="shared" si="4"/>
        <v>140</v>
      </c>
      <c r="W55" s="27">
        <f t="shared" si="5"/>
        <v>96.264916666666664</v>
      </c>
      <c r="X55" s="26">
        <f t="shared" si="6"/>
        <v>43.735083333333336</v>
      </c>
      <c r="Y55" s="37">
        <f t="shared" si="9"/>
        <v>400.72141666666653</v>
      </c>
      <c r="Z55" s="38">
        <f t="shared" si="7"/>
        <v>140</v>
      </c>
      <c r="AA55" s="38">
        <f t="shared" si="8"/>
        <v>-72</v>
      </c>
      <c r="AB55" s="39"/>
      <c r="AC55" s="40">
        <f t="shared" si="10"/>
        <v>989.56000000000017</v>
      </c>
    </row>
    <row r="56" spans="1:29" ht="12.5" x14ac:dyDescent="0.25">
      <c r="A56" s="32">
        <v>46125</v>
      </c>
      <c r="B56" s="33" t="s">
        <v>48</v>
      </c>
      <c r="C56" s="34">
        <v>0.8125</v>
      </c>
      <c r="D56" s="34">
        <v>0.89583333333333337</v>
      </c>
      <c r="E56" s="35" t="s">
        <v>47</v>
      </c>
      <c r="F56" s="21" t="s">
        <v>53</v>
      </c>
      <c r="G56" s="22">
        <f>VLOOKUP(E56,'Court List'!$A:$C,2,0)</f>
        <v>6</v>
      </c>
      <c r="H56" s="33">
        <v>2</v>
      </c>
      <c r="I56" s="33">
        <v>1</v>
      </c>
      <c r="J56" s="23">
        <f t="shared" si="0"/>
        <v>12</v>
      </c>
      <c r="K56" s="36" t="s">
        <v>58</v>
      </c>
      <c r="L56" s="18">
        <f>SUM('Shuttle Count - Supreme (Nov 20'!C56:D56)</f>
        <v>4</v>
      </c>
      <c r="M56" s="25">
        <f>VLOOKUP(K56,'Shuttle Purchase'!A:C,3,0)</f>
        <v>3.4664166666666669</v>
      </c>
      <c r="N56" s="23">
        <f t="shared" si="14"/>
        <v>13.865666666666668</v>
      </c>
      <c r="O56" s="22">
        <f>VLOOKUP(E56,'Court List'!$A:$C,3,0)</f>
        <v>12</v>
      </c>
      <c r="P56" s="18">
        <f>COUNTIF('Pub List'!$C56:$T56,"&lt;&gt;")</f>
        <v>2</v>
      </c>
      <c r="Q56" s="26">
        <f t="shared" si="2"/>
        <v>24</v>
      </c>
      <c r="R56" s="36"/>
      <c r="S56" s="18">
        <f>COUNTIF('Member List'!$C56:$J56,"&lt;&gt;")</f>
        <v>4</v>
      </c>
      <c r="T56" s="35"/>
      <c r="U56" s="24">
        <f t="shared" si="3"/>
        <v>6</v>
      </c>
      <c r="V56" s="25">
        <f t="shared" si="4"/>
        <v>24</v>
      </c>
      <c r="W56" s="27">
        <f t="shared" si="5"/>
        <v>25.865666666666669</v>
      </c>
      <c r="X56" s="26">
        <f t="shared" si="6"/>
        <v>-1.8656666666666695</v>
      </c>
      <c r="Y56" s="37">
        <f t="shared" si="9"/>
        <v>398.85574999999983</v>
      </c>
      <c r="Z56" s="38">
        <f t="shared" si="7"/>
        <v>24</v>
      </c>
      <c r="AA56" s="38">
        <f t="shared" si="8"/>
        <v>-12</v>
      </c>
      <c r="AB56" s="38">
        <v>-438.86</v>
      </c>
      <c r="AC56" s="40">
        <f t="shared" si="10"/>
        <v>562.70000000000016</v>
      </c>
    </row>
    <row r="57" spans="1:29" ht="12.5" x14ac:dyDescent="0.25">
      <c r="A57" s="32">
        <v>46128</v>
      </c>
      <c r="B57" s="33" t="s">
        <v>41</v>
      </c>
      <c r="C57" s="34">
        <v>0.83333333333333337</v>
      </c>
      <c r="D57" s="34">
        <v>0.91666666666666663</v>
      </c>
      <c r="E57" s="35" t="s">
        <v>77</v>
      </c>
      <c r="F57" s="21">
        <v>6</v>
      </c>
      <c r="G57" s="22">
        <f>VLOOKUP(E57,'Court List'!$A:$C,2,0)</f>
        <v>7.4</v>
      </c>
      <c r="H57" s="33">
        <v>2</v>
      </c>
      <c r="I57" s="33">
        <v>1</v>
      </c>
      <c r="J57" s="23">
        <f t="shared" si="0"/>
        <v>14.8</v>
      </c>
      <c r="K57" s="36" t="s">
        <v>58</v>
      </c>
      <c r="L57" s="18">
        <f>SUM('Shuttle Count - Supreme (Nov 20'!C57:D57)</f>
        <v>5</v>
      </c>
      <c r="M57" s="25">
        <f>VLOOKUP(K57,'Shuttle Purchase'!A:C,3,0)</f>
        <v>3.4664166666666669</v>
      </c>
      <c r="N57" s="23">
        <f t="shared" si="14"/>
        <v>17.332083333333333</v>
      </c>
      <c r="O57" s="22">
        <f>VLOOKUP(E57,'Court List'!$A:$C,3,0)</f>
        <v>12</v>
      </c>
      <c r="P57" s="18">
        <f>COUNTIF('Pub List'!$C57:$T57,"&lt;&gt;")</f>
        <v>4</v>
      </c>
      <c r="Q57" s="26">
        <f t="shared" si="2"/>
        <v>48</v>
      </c>
      <c r="R57" s="36"/>
      <c r="S57" s="18">
        <f>COUNTIF('Member List'!$C57:$J57,"&lt;&gt;")</f>
        <v>2</v>
      </c>
      <c r="T57" s="35"/>
      <c r="U57" s="24">
        <f t="shared" si="3"/>
        <v>6</v>
      </c>
      <c r="V57" s="25">
        <f t="shared" si="4"/>
        <v>48</v>
      </c>
      <c r="W57" s="27">
        <f t="shared" si="5"/>
        <v>32.132083333333334</v>
      </c>
      <c r="X57" s="26">
        <f t="shared" si="6"/>
        <v>15.867916666666666</v>
      </c>
      <c r="Y57" s="37">
        <f t="shared" si="9"/>
        <v>414.72366666666647</v>
      </c>
      <c r="Z57" s="38">
        <f t="shared" si="7"/>
        <v>48</v>
      </c>
      <c r="AA57" s="38">
        <f t="shared" si="8"/>
        <v>-14.8</v>
      </c>
      <c r="AB57" s="39"/>
      <c r="AC57" s="40">
        <f t="shared" si="10"/>
        <v>595.9000000000002</v>
      </c>
    </row>
    <row r="58" spans="1:29" ht="12.5" x14ac:dyDescent="0.25">
      <c r="A58" s="32">
        <v>46130</v>
      </c>
      <c r="B58" s="33" t="s">
        <v>38</v>
      </c>
      <c r="C58" s="34">
        <v>0.8125</v>
      </c>
      <c r="D58" s="34">
        <v>0.89583333333333337</v>
      </c>
      <c r="E58" s="35" t="s">
        <v>39</v>
      </c>
      <c r="F58" s="21" t="s">
        <v>78</v>
      </c>
      <c r="G58" s="22">
        <f>VLOOKUP(E58,'Court List'!$A:$C,2,0)</f>
        <v>18</v>
      </c>
      <c r="H58" s="33">
        <v>2</v>
      </c>
      <c r="I58" s="33">
        <v>2</v>
      </c>
      <c r="J58" s="23">
        <f t="shared" si="0"/>
        <v>72</v>
      </c>
      <c r="K58" s="41" t="s">
        <v>74</v>
      </c>
      <c r="L58" s="18" t="s">
        <v>79</v>
      </c>
      <c r="M58" s="18" t="s">
        <v>76</v>
      </c>
      <c r="N58" s="23">
        <f>5*3.47+6*3.57</f>
        <v>38.769999999999996</v>
      </c>
      <c r="O58" s="22">
        <f>VLOOKUP(E58,'Court List'!$A:$C,3,0)</f>
        <v>14</v>
      </c>
      <c r="P58" s="18">
        <f>COUNTIF('Pub List'!$C58:$T58,"&lt;&gt;")</f>
        <v>8</v>
      </c>
      <c r="Q58" s="26">
        <f t="shared" si="2"/>
        <v>112</v>
      </c>
      <c r="R58" s="36"/>
      <c r="S58" s="18">
        <f>COUNTIF('Member List'!$C58:$J58,"&lt;&gt;")</f>
        <v>4</v>
      </c>
      <c r="T58" s="35"/>
      <c r="U58" s="24">
        <f t="shared" si="3"/>
        <v>12</v>
      </c>
      <c r="V58" s="25">
        <f t="shared" si="4"/>
        <v>112</v>
      </c>
      <c r="W58" s="27">
        <f t="shared" si="5"/>
        <v>110.77</v>
      </c>
      <c r="X58" s="26">
        <f t="shared" si="6"/>
        <v>1.230000000000004</v>
      </c>
      <c r="Y58" s="37">
        <f t="shared" si="9"/>
        <v>415.95366666666649</v>
      </c>
      <c r="Z58" s="38">
        <f t="shared" si="7"/>
        <v>112</v>
      </c>
      <c r="AA58" s="38">
        <f t="shared" si="8"/>
        <v>-72</v>
      </c>
      <c r="AB58" s="39"/>
      <c r="AC58" s="40">
        <f t="shared" si="10"/>
        <v>635.9000000000002</v>
      </c>
    </row>
    <row r="59" spans="1:29" ht="12.5" x14ac:dyDescent="0.25">
      <c r="A59" s="32">
        <v>46132</v>
      </c>
      <c r="B59" s="33" t="s">
        <v>48</v>
      </c>
      <c r="C59" s="34">
        <v>0.8125</v>
      </c>
      <c r="D59" s="34">
        <v>0.89583333333333337</v>
      </c>
      <c r="E59" s="35" t="s">
        <v>47</v>
      </c>
      <c r="F59" s="21" t="s">
        <v>53</v>
      </c>
      <c r="G59" s="22">
        <f>VLOOKUP(E59,'Court List'!$A:$C,2,0)</f>
        <v>6</v>
      </c>
      <c r="H59" s="33">
        <v>2</v>
      </c>
      <c r="I59" s="33">
        <v>1</v>
      </c>
      <c r="J59" s="23">
        <f t="shared" si="0"/>
        <v>12</v>
      </c>
      <c r="K59" s="36" t="s">
        <v>70</v>
      </c>
      <c r="L59" s="18">
        <f>SUM('Shuttle Count - Ultimate (Nov 2'!C59:D59)</f>
        <v>5</v>
      </c>
      <c r="M59" s="25">
        <f>VLOOKUP(K59,'Shuttle Purchase'!A:C,3,0)</f>
        <v>3.5714999999999999</v>
      </c>
      <c r="N59" s="23">
        <f t="shared" ref="N59:N313" si="15">L59*M59</f>
        <v>17.857499999999998</v>
      </c>
      <c r="O59" s="22">
        <f>VLOOKUP(E59,'Court List'!$A:$C,3,0)</f>
        <v>12</v>
      </c>
      <c r="P59" s="18">
        <f>COUNTIF('Pub List'!$C59:$T59,"&lt;&gt;")</f>
        <v>2</v>
      </c>
      <c r="Q59" s="26">
        <f t="shared" si="2"/>
        <v>24</v>
      </c>
      <c r="R59" s="36"/>
      <c r="S59" s="18">
        <f>COUNTIF('Member List'!$C59:$J59,"&lt;&gt;")</f>
        <v>4</v>
      </c>
      <c r="T59" s="35"/>
      <c r="U59" s="24">
        <f t="shared" si="3"/>
        <v>6</v>
      </c>
      <c r="V59" s="25">
        <f t="shared" si="4"/>
        <v>24</v>
      </c>
      <c r="W59" s="27">
        <f t="shared" si="5"/>
        <v>29.857499999999998</v>
      </c>
      <c r="X59" s="26">
        <f t="shared" si="6"/>
        <v>-5.8574999999999982</v>
      </c>
      <c r="Y59" s="37">
        <f t="shared" si="9"/>
        <v>410.09616666666648</v>
      </c>
      <c r="Z59" s="38">
        <f t="shared" si="7"/>
        <v>24</v>
      </c>
      <c r="AA59" s="38">
        <f t="shared" si="8"/>
        <v>-12</v>
      </c>
      <c r="AB59" s="39"/>
      <c r="AC59" s="40">
        <f t="shared" si="10"/>
        <v>647.9000000000002</v>
      </c>
    </row>
    <row r="60" spans="1:29" ht="12.5" x14ac:dyDescent="0.25">
      <c r="A60" s="32">
        <v>46134</v>
      </c>
      <c r="B60" s="33" t="s">
        <v>46</v>
      </c>
      <c r="C60" s="34">
        <v>0.8125</v>
      </c>
      <c r="D60" s="34">
        <v>0.89583333333333337</v>
      </c>
      <c r="E60" s="35" t="s">
        <v>50</v>
      </c>
      <c r="F60" s="21" t="s">
        <v>80</v>
      </c>
      <c r="G60" s="22">
        <f>VLOOKUP(E60,'Court List'!$A:$C,2,0)</f>
        <v>6</v>
      </c>
      <c r="H60" s="33">
        <v>2</v>
      </c>
      <c r="I60" s="33">
        <v>1</v>
      </c>
      <c r="J60" s="23">
        <f t="shared" si="0"/>
        <v>12</v>
      </c>
      <c r="K60" s="36" t="s">
        <v>70</v>
      </c>
      <c r="L60" s="18">
        <f>SUM('Shuttle Count - Ultimate (Nov 2'!C60:D60)</f>
        <v>5</v>
      </c>
      <c r="M60" s="25">
        <f>VLOOKUP(K60,'Shuttle Purchase'!A:C,3,0)</f>
        <v>3.5714999999999999</v>
      </c>
      <c r="N60" s="23">
        <f t="shared" si="15"/>
        <v>17.857499999999998</v>
      </c>
      <c r="O60" s="22">
        <f>VLOOKUP(E60,'Court List'!$A:$C,3,0)</f>
        <v>12</v>
      </c>
      <c r="P60" s="18">
        <f>COUNTIF('Pub List'!$C60:$T60,"&lt;&gt;")</f>
        <v>2</v>
      </c>
      <c r="Q60" s="26">
        <f t="shared" si="2"/>
        <v>24</v>
      </c>
      <c r="R60" s="36"/>
      <c r="S60" s="18">
        <f>COUNTIF('Member List'!$C60:$J60,"&lt;&gt;")</f>
        <v>4</v>
      </c>
      <c r="T60" s="35"/>
      <c r="U60" s="24">
        <f t="shared" si="3"/>
        <v>6</v>
      </c>
      <c r="V60" s="25">
        <f t="shared" si="4"/>
        <v>24</v>
      </c>
      <c r="W60" s="27">
        <f t="shared" si="5"/>
        <v>29.857499999999998</v>
      </c>
      <c r="X60" s="26">
        <f t="shared" si="6"/>
        <v>-5.8574999999999982</v>
      </c>
      <c r="Y60" s="37">
        <f t="shared" si="9"/>
        <v>404.23866666666646</v>
      </c>
      <c r="Z60" s="38">
        <f t="shared" si="7"/>
        <v>24</v>
      </c>
      <c r="AA60" s="38">
        <f t="shared" si="8"/>
        <v>-12</v>
      </c>
      <c r="AB60" s="39"/>
      <c r="AC60" s="40">
        <f t="shared" si="10"/>
        <v>659.9000000000002</v>
      </c>
    </row>
    <row r="61" spans="1:29" ht="12.5" x14ac:dyDescent="0.25">
      <c r="A61" s="32">
        <v>46138</v>
      </c>
      <c r="B61" s="33" t="s">
        <v>43</v>
      </c>
      <c r="C61" s="34">
        <v>0.70833333333333337</v>
      </c>
      <c r="D61" s="34">
        <v>0.79166666666666663</v>
      </c>
      <c r="E61" s="35" t="s">
        <v>51</v>
      </c>
      <c r="F61" s="21">
        <v>2</v>
      </c>
      <c r="G61" s="22">
        <f>VLOOKUP(E61,'Court List'!$A:$C,2,0)</f>
        <v>7.4</v>
      </c>
      <c r="H61" s="33">
        <v>2</v>
      </c>
      <c r="I61" s="33">
        <v>1</v>
      </c>
      <c r="J61" s="23">
        <f t="shared" si="0"/>
        <v>14.8</v>
      </c>
      <c r="K61" s="36" t="s">
        <v>70</v>
      </c>
      <c r="L61" s="18">
        <f>SUM('Shuttle Count - Ultimate (Nov 2'!C61:D61)</f>
        <v>3</v>
      </c>
      <c r="M61" s="25">
        <f>VLOOKUP(K61,'Shuttle Purchase'!A:C,3,0)</f>
        <v>3.5714999999999999</v>
      </c>
      <c r="N61" s="23">
        <f t="shared" si="15"/>
        <v>10.714499999999999</v>
      </c>
      <c r="O61" s="22">
        <f>VLOOKUP(E61,'Court List'!$A:$C,3,0)</f>
        <v>12</v>
      </c>
      <c r="P61" s="18">
        <f>COUNTIF('Pub List'!$C61:$T61,"&lt;&gt;")</f>
        <v>2</v>
      </c>
      <c r="Q61" s="26">
        <f t="shared" si="2"/>
        <v>24</v>
      </c>
      <c r="R61" s="36"/>
      <c r="S61" s="18">
        <f>COUNTIF('Member List'!$C61:$J61,"&lt;&gt;")</f>
        <v>4</v>
      </c>
      <c r="T61" s="35"/>
      <c r="U61" s="24">
        <f t="shared" si="3"/>
        <v>6</v>
      </c>
      <c r="V61" s="25">
        <f t="shared" si="4"/>
        <v>24</v>
      </c>
      <c r="W61" s="27">
        <f t="shared" si="5"/>
        <v>25.514499999999998</v>
      </c>
      <c r="X61" s="26">
        <f t="shared" si="6"/>
        <v>-1.5144999999999982</v>
      </c>
      <c r="Y61" s="37">
        <f t="shared" si="9"/>
        <v>402.72416666666646</v>
      </c>
      <c r="Z61" s="38">
        <f t="shared" si="7"/>
        <v>24</v>
      </c>
      <c r="AA61" s="38">
        <f t="shared" si="8"/>
        <v>-14.8</v>
      </c>
      <c r="AB61" s="39"/>
      <c r="AC61" s="40">
        <f t="shared" si="10"/>
        <v>669.10000000000025</v>
      </c>
    </row>
    <row r="62" spans="1:29" ht="12.5" x14ac:dyDescent="0.25">
      <c r="A62" s="32">
        <v>46140</v>
      </c>
      <c r="B62" s="33" t="s">
        <v>45</v>
      </c>
      <c r="C62" s="34">
        <v>0.8125</v>
      </c>
      <c r="D62" s="34">
        <v>0.89583333333333337</v>
      </c>
      <c r="E62" s="35" t="s">
        <v>50</v>
      </c>
      <c r="F62" s="21">
        <v>1</v>
      </c>
      <c r="G62" s="22">
        <f>VLOOKUP(E62,'Court List'!$A:$C,2,0)</f>
        <v>6</v>
      </c>
      <c r="H62" s="33">
        <v>2</v>
      </c>
      <c r="I62" s="33">
        <v>1</v>
      </c>
      <c r="J62" s="23">
        <f t="shared" si="0"/>
        <v>12</v>
      </c>
      <c r="K62" s="36" t="s">
        <v>70</v>
      </c>
      <c r="L62" s="18">
        <f>SUM('Shuttle Count - Ultimate (Nov 2'!C62:D62)</f>
        <v>4</v>
      </c>
      <c r="M62" s="25">
        <f>VLOOKUP(K62,'Shuttle Purchase'!A:C,3,0)</f>
        <v>3.5714999999999999</v>
      </c>
      <c r="N62" s="23">
        <f t="shared" si="15"/>
        <v>14.286</v>
      </c>
      <c r="O62" s="22">
        <f>VLOOKUP(E62,'Court List'!$A:$C,3,0)</f>
        <v>12</v>
      </c>
      <c r="P62" s="18">
        <f>COUNTIF('Pub List'!$C62:$T62,"&lt;&gt;")</f>
        <v>2</v>
      </c>
      <c r="Q62" s="26">
        <f t="shared" si="2"/>
        <v>24</v>
      </c>
      <c r="R62" s="36"/>
      <c r="S62" s="18">
        <f>COUNTIF('Member List'!$C62:$J62,"&lt;&gt;")</f>
        <v>4</v>
      </c>
      <c r="T62" s="35"/>
      <c r="U62" s="24">
        <f t="shared" si="3"/>
        <v>6</v>
      </c>
      <c r="V62" s="25">
        <f t="shared" si="4"/>
        <v>24</v>
      </c>
      <c r="W62" s="27">
        <f t="shared" si="5"/>
        <v>26.286000000000001</v>
      </c>
      <c r="X62" s="26">
        <f t="shared" si="6"/>
        <v>-2.2860000000000014</v>
      </c>
      <c r="Y62" s="37">
        <f t="shared" si="9"/>
        <v>400.43816666666646</v>
      </c>
      <c r="Z62" s="38">
        <f t="shared" si="7"/>
        <v>24</v>
      </c>
      <c r="AA62" s="38">
        <f t="shared" si="8"/>
        <v>-12</v>
      </c>
      <c r="AB62" s="39"/>
      <c r="AC62" s="40">
        <f t="shared" si="10"/>
        <v>681.10000000000025</v>
      </c>
    </row>
    <row r="63" spans="1:29" ht="12.5" x14ac:dyDescent="0.25">
      <c r="A63" s="32">
        <v>46141</v>
      </c>
      <c r="B63" s="33" t="s">
        <v>46</v>
      </c>
      <c r="C63" s="34">
        <v>0.8125</v>
      </c>
      <c r="D63" s="34">
        <v>0.89583333333333337</v>
      </c>
      <c r="E63" s="35" t="s">
        <v>47</v>
      </c>
      <c r="F63" s="21" t="s">
        <v>54</v>
      </c>
      <c r="G63" s="22">
        <f>VLOOKUP(E63,'Court List'!$A:$C,2,0)</f>
        <v>6</v>
      </c>
      <c r="H63" s="33">
        <v>2</v>
      </c>
      <c r="I63" s="33">
        <v>1</v>
      </c>
      <c r="J63" s="23">
        <f t="shared" si="0"/>
        <v>12</v>
      </c>
      <c r="K63" s="36" t="s">
        <v>70</v>
      </c>
      <c r="L63" s="18">
        <f>SUM('Shuttle Count - Ultimate (Nov 2'!C63:D63)</f>
        <v>6</v>
      </c>
      <c r="M63" s="25">
        <f>VLOOKUP(K63,'Shuttle Purchase'!A:C,3,0)</f>
        <v>3.5714999999999999</v>
      </c>
      <c r="N63" s="23">
        <f t="shared" si="15"/>
        <v>21.428999999999998</v>
      </c>
      <c r="O63" s="22">
        <f>VLOOKUP(E63,'Court List'!$A:$C,3,0)</f>
        <v>12</v>
      </c>
      <c r="P63" s="18">
        <f>COUNTIF('Pub List'!$C63:$T63,"&lt;&gt;")</f>
        <v>2</v>
      </c>
      <c r="Q63" s="26">
        <f t="shared" si="2"/>
        <v>24</v>
      </c>
      <c r="R63" s="36"/>
      <c r="S63" s="18">
        <f>COUNTIF('Member List'!$C63:$J63,"&lt;&gt;")</f>
        <v>4</v>
      </c>
      <c r="T63" s="35"/>
      <c r="U63" s="24">
        <f t="shared" si="3"/>
        <v>6</v>
      </c>
      <c r="V63" s="25">
        <f t="shared" si="4"/>
        <v>24</v>
      </c>
      <c r="W63" s="27">
        <f t="shared" si="5"/>
        <v>33.429000000000002</v>
      </c>
      <c r="X63" s="26">
        <f t="shared" si="6"/>
        <v>-9.429000000000002</v>
      </c>
      <c r="Y63" s="37">
        <f t="shared" si="9"/>
        <v>391.00916666666649</v>
      </c>
      <c r="Z63" s="38">
        <f t="shared" si="7"/>
        <v>24</v>
      </c>
      <c r="AA63" s="38">
        <f t="shared" si="8"/>
        <v>-12</v>
      </c>
      <c r="AB63" s="39"/>
      <c r="AC63" s="40">
        <f t="shared" si="10"/>
        <v>693.10000000000025</v>
      </c>
    </row>
    <row r="64" spans="1:29" ht="12.5" x14ac:dyDescent="0.25">
      <c r="A64" s="32">
        <v>46144</v>
      </c>
      <c r="B64" s="33" t="s">
        <v>38</v>
      </c>
      <c r="C64" s="34">
        <v>0.8125</v>
      </c>
      <c r="D64" s="34">
        <v>0.89583333333333337</v>
      </c>
      <c r="E64" s="35" t="s">
        <v>50</v>
      </c>
      <c r="F64" s="21" t="s">
        <v>55</v>
      </c>
      <c r="G64" s="22">
        <f>VLOOKUP(E64,'Court List'!$A:$C,2,0)</f>
        <v>6</v>
      </c>
      <c r="H64" s="33">
        <v>2</v>
      </c>
      <c r="I64" s="33">
        <v>2</v>
      </c>
      <c r="J64" s="23">
        <f t="shared" si="0"/>
        <v>24</v>
      </c>
      <c r="K64" s="36" t="s">
        <v>70</v>
      </c>
      <c r="L64" s="18">
        <f>SUM('Shuttle Count - Ultimate (Nov 2'!C64:D64)</f>
        <v>7</v>
      </c>
      <c r="M64" s="25">
        <f>VLOOKUP(K64,'Shuttle Purchase'!A:C,3,0)</f>
        <v>3.5714999999999999</v>
      </c>
      <c r="N64" s="23">
        <f t="shared" si="15"/>
        <v>25.000499999999999</v>
      </c>
      <c r="O64" s="22">
        <f>VLOOKUP(E64,'Court List'!$A:$C,3,0)</f>
        <v>12</v>
      </c>
      <c r="P64" s="18">
        <f>COUNTIF('Pub List'!$C64:$T64,"&lt;&gt;")</f>
        <v>7</v>
      </c>
      <c r="Q64" s="26">
        <f t="shared" si="2"/>
        <v>84</v>
      </c>
      <c r="R64" s="36"/>
      <c r="S64" s="18">
        <f>COUNTIF('Member List'!$C64:$J64,"&lt;&gt;")</f>
        <v>5</v>
      </c>
      <c r="T64" s="35"/>
      <c r="U64" s="24">
        <f t="shared" si="3"/>
        <v>12</v>
      </c>
      <c r="V64" s="25">
        <f t="shared" si="4"/>
        <v>84</v>
      </c>
      <c r="W64" s="27">
        <f t="shared" si="5"/>
        <v>49.000500000000002</v>
      </c>
      <c r="X64" s="26">
        <f t="shared" si="6"/>
        <v>34.999499999999998</v>
      </c>
      <c r="Y64" s="37">
        <f t="shared" si="9"/>
        <v>426.0086666666665</v>
      </c>
      <c r="Z64" s="38">
        <f t="shared" si="7"/>
        <v>84</v>
      </c>
      <c r="AA64" s="38">
        <f t="shared" si="8"/>
        <v>-24</v>
      </c>
      <c r="AB64" s="39"/>
      <c r="AC64" s="40">
        <f t="shared" si="10"/>
        <v>753.10000000000025</v>
      </c>
    </row>
    <row r="65" spans="1:29" ht="12.5" x14ac:dyDescent="0.25">
      <c r="A65" s="32">
        <v>46152</v>
      </c>
      <c r="B65" s="33" t="s">
        <v>43</v>
      </c>
      <c r="C65" s="34">
        <v>0.72916666666666663</v>
      </c>
      <c r="D65" s="34">
        <v>0.8125</v>
      </c>
      <c r="E65" s="35" t="s">
        <v>39</v>
      </c>
      <c r="F65" s="21" t="s">
        <v>55</v>
      </c>
      <c r="G65" s="22">
        <f>VLOOKUP(E65,'Court List'!$A:$C,2,0)</f>
        <v>18</v>
      </c>
      <c r="H65" s="33">
        <v>2</v>
      </c>
      <c r="I65" s="33">
        <v>2</v>
      </c>
      <c r="J65" s="23">
        <f t="shared" si="0"/>
        <v>72</v>
      </c>
      <c r="K65" s="36" t="s">
        <v>70</v>
      </c>
      <c r="L65" s="18">
        <f>SUM('Shuttle Count - Ultimate (Nov 2'!C65:D65)</f>
        <v>13</v>
      </c>
      <c r="M65" s="25">
        <f>VLOOKUP(K65,'Shuttle Purchase'!A:C,3,0)</f>
        <v>3.5714999999999999</v>
      </c>
      <c r="N65" s="23">
        <f t="shared" si="15"/>
        <v>46.429499999999997</v>
      </c>
      <c r="O65" s="22">
        <f>VLOOKUP(E65,'Court List'!$A:$C,3,0)</f>
        <v>14</v>
      </c>
      <c r="P65" s="18">
        <f>COUNTIF('Pub List'!$C65:$T65,"&lt;&gt;")</f>
        <v>8</v>
      </c>
      <c r="Q65" s="26">
        <f t="shared" si="2"/>
        <v>112</v>
      </c>
      <c r="R65" s="36"/>
      <c r="S65" s="18">
        <f>COUNTIF('Member List'!$C65:$J65,"&lt;&gt;")</f>
        <v>4</v>
      </c>
      <c r="T65" s="35"/>
      <c r="U65" s="24">
        <f t="shared" si="3"/>
        <v>12</v>
      </c>
      <c r="V65" s="25">
        <f t="shared" si="4"/>
        <v>112</v>
      </c>
      <c r="W65" s="27">
        <f t="shared" si="5"/>
        <v>118.42949999999999</v>
      </c>
      <c r="X65" s="26">
        <f t="shared" si="6"/>
        <v>-6.4294999999999902</v>
      </c>
      <c r="Y65" s="37">
        <f t="shared" si="9"/>
        <v>419.57916666666654</v>
      </c>
      <c r="Z65" s="38">
        <f t="shared" si="7"/>
        <v>112</v>
      </c>
      <c r="AA65" s="38">
        <f t="shared" si="8"/>
        <v>-72</v>
      </c>
      <c r="AB65" s="39"/>
      <c r="AC65" s="40">
        <f t="shared" si="10"/>
        <v>793.10000000000025</v>
      </c>
    </row>
    <row r="66" spans="1:29" ht="12.5" x14ac:dyDescent="0.25">
      <c r="A66" s="32">
        <v>46156</v>
      </c>
      <c r="B66" s="33" t="s">
        <v>41</v>
      </c>
      <c r="C66" s="34">
        <v>0.8125</v>
      </c>
      <c r="D66" s="34">
        <v>0.89583333333333337</v>
      </c>
      <c r="E66" s="35" t="s">
        <v>42</v>
      </c>
      <c r="F66" s="21">
        <v>1</v>
      </c>
      <c r="G66" s="22">
        <f>VLOOKUP(E66,'Court List'!$A:$C,2,0)</f>
        <v>6</v>
      </c>
      <c r="H66" s="33">
        <v>2</v>
      </c>
      <c r="I66" s="33">
        <v>1</v>
      </c>
      <c r="J66" s="23">
        <f t="shared" si="0"/>
        <v>12</v>
      </c>
      <c r="K66" s="36" t="s">
        <v>70</v>
      </c>
      <c r="L66" s="18">
        <f>SUM('Shuttle Count - Ultimate (Nov 2'!C66:D66)</f>
        <v>6</v>
      </c>
      <c r="M66" s="25">
        <f>VLOOKUP(K66,'Shuttle Purchase'!A:C,3,0)</f>
        <v>3.5714999999999999</v>
      </c>
      <c r="N66" s="23">
        <f t="shared" si="15"/>
        <v>21.428999999999998</v>
      </c>
      <c r="O66" s="22">
        <f>VLOOKUP(E66,'Court List'!$A:$C,3,0)</f>
        <v>12</v>
      </c>
      <c r="P66" s="18">
        <f>COUNTIF('Pub List'!$C66:$T66,"&lt;&gt;")</f>
        <v>2</v>
      </c>
      <c r="Q66" s="26">
        <f t="shared" si="2"/>
        <v>24</v>
      </c>
      <c r="R66" s="36"/>
      <c r="S66" s="18">
        <f>COUNTIF('Member List'!$C66:$J66,"&lt;&gt;")</f>
        <v>4</v>
      </c>
      <c r="T66" s="35"/>
      <c r="U66" s="24">
        <f t="shared" si="3"/>
        <v>6</v>
      </c>
      <c r="V66" s="25">
        <f t="shared" si="4"/>
        <v>24</v>
      </c>
      <c r="W66" s="27">
        <f t="shared" si="5"/>
        <v>33.429000000000002</v>
      </c>
      <c r="X66" s="26">
        <f t="shared" si="6"/>
        <v>-9.429000000000002</v>
      </c>
      <c r="Y66" s="37">
        <f t="shared" si="9"/>
        <v>410.15016666666656</v>
      </c>
      <c r="Z66" s="38">
        <f t="shared" si="7"/>
        <v>24</v>
      </c>
      <c r="AA66" s="38">
        <f t="shared" si="8"/>
        <v>-12</v>
      </c>
      <c r="AB66" s="39"/>
      <c r="AC66" s="40">
        <f t="shared" si="10"/>
        <v>805.10000000000025</v>
      </c>
    </row>
    <row r="67" spans="1:29" ht="12.5" x14ac:dyDescent="0.25">
      <c r="A67" s="32">
        <v>46157</v>
      </c>
      <c r="B67" s="33" t="s">
        <v>56</v>
      </c>
      <c r="C67" s="34">
        <v>0.8125</v>
      </c>
      <c r="D67" s="34">
        <v>0.89583333333333337</v>
      </c>
      <c r="E67" s="35" t="s">
        <v>50</v>
      </c>
      <c r="F67" s="21" t="s">
        <v>55</v>
      </c>
      <c r="G67" s="22">
        <f>VLOOKUP(E67,'Court List'!$A:$C,2,0)</f>
        <v>6</v>
      </c>
      <c r="H67" s="33">
        <v>2</v>
      </c>
      <c r="I67" s="33">
        <v>2</v>
      </c>
      <c r="J67" s="23">
        <f t="shared" si="0"/>
        <v>24</v>
      </c>
      <c r="K67" s="36" t="s">
        <v>70</v>
      </c>
      <c r="L67" s="18">
        <f>SUM('Shuttle Count - Ultimate (Nov 2'!C67:D67)</f>
        <v>12</v>
      </c>
      <c r="M67" s="25">
        <f>VLOOKUP(K67,'Shuttle Purchase'!A:C,3,0)</f>
        <v>3.5714999999999999</v>
      </c>
      <c r="N67" s="23">
        <f t="shared" si="15"/>
        <v>42.857999999999997</v>
      </c>
      <c r="O67" s="22">
        <f>VLOOKUP(E67,'Court List'!$A:$C,3,0)</f>
        <v>12</v>
      </c>
      <c r="P67" s="18">
        <f>COUNTIF('Pub List'!$C67:$T67,"&lt;&gt;")</f>
        <v>8</v>
      </c>
      <c r="Q67" s="26">
        <f t="shared" si="2"/>
        <v>96</v>
      </c>
      <c r="R67" s="36"/>
      <c r="S67" s="18">
        <f>COUNTIF('Member List'!$C67:$J67,"&lt;&gt;")</f>
        <v>4</v>
      </c>
      <c r="T67" s="35"/>
      <c r="U67" s="24">
        <f t="shared" si="3"/>
        <v>12</v>
      </c>
      <c r="V67" s="25">
        <f t="shared" si="4"/>
        <v>96</v>
      </c>
      <c r="W67" s="27">
        <f t="shared" si="5"/>
        <v>66.858000000000004</v>
      </c>
      <c r="X67" s="26">
        <f t="shared" si="6"/>
        <v>29.141999999999996</v>
      </c>
      <c r="Y67" s="37">
        <f t="shared" si="9"/>
        <v>439.29216666666656</v>
      </c>
      <c r="Z67" s="38">
        <f t="shared" si="7"/>
        <v>96</v>
      </c>
      <c r="AA67" s="38">
        <f t="shared" si="8"/>
        <v>-24</v>
      </c>
      <c r="AB67" s="39"/>
      <c r="AC67" s="40">
        <f t="shared" si="10"/>
        <v>877.10000000000025</v>
      </c>
    </row>
    <row r="68" spans="1:29" ht="12.5" x14ac:dyDescent="0.25">
      <c r="A68" s="32">
        <v>46158</v>
      </c>
      <c r="B68" s="33" t="s">
        <v>38</v>
      </c>
      <c r="C68" s="34">
        <v>0.72916666666666663</v>
      </c>
      <c r="D68" s="34">
        <v>0.8125</v>
      </c>
      <c r="E68" s="35" t="s">
        <v>44</v>
      </c>
      <c r="F68" s="21" t="s">
        <v>55</v>
      </c>
      <c r="G68" s="22">
        <f>VLOOKUP(E68,'Court List'!$A:$C,2,0)</f>
        <v>8</v>
      </c>
      <c r="H68" s="33">
        <v>2</v>
      </c>
      <c r="I68" s="33">
        <v>2</v>
      </c>
      <c r="J68" s="23">
        <f t="shared" si="0"/>
        <v>32</v>
      </c>
      <c r="K68" s="36"/>
      <c r="L68" s="18">
        <f>SUM('Shuttle Count - Supreme (Nov 20'!C68:D68)</f>
        <v>0</v>
      </c>
      <c r="M68" s="18" t="e">
        <f>VLOOKUP(K68,'Shuttle Purchase'!A:C,3,0)</f>
        <v>#N/A</v>
      </c>
      <c r="N68" s="44" t="e">
        <f t="shared" si="15"/>
        <v>#N/A</v>
      </c>
      <c r="O68" s="22">
        <f>VLOOKUP(E68,'Court List'!$A:$C,3,0)</f>
        <v>12</v>
      </c>
      <c r="P68" s="18">
        <f>COUNTIF('Pub List'!$C68:$T68,"&lt;&gt;")</f>
        <v>8</v>
      </c>
      <c r="Q68" s="26">
        <f t="shared" si="2"/>
        <v>96</v>
      </c>
      <c r="R68" s="36"/>
      <c r="S68" s="18">
        <f>COUNTIF('Member List'!$C68:$J68,"&lt;&gt;")</f>
        <v>4</v>
      </c>
      <c r="T68" s="35"/>
      <c r="U68" s="24">
        <f t="shared" si="3"/>
        <v>12</v>
      </c>
      <c r="V68" s="25">
        <f t="shared" si="4"/>
        <v>96</v>
      </c>
      <c r="W68" s="45" t="e">
        <f t="shared" si="5"/>
        <v>#N/A</v>
      </c>
      <c r="X68" s="20" t="e">
        <f t="shared" si="6"/>
        <v>#N/A</v>
      </c>
      <c r="Y68" s="46" t="e">
        <f t="shared" si="9"/>
        <v>#N/A</v>
      </c>
      <c r="Z68" s="38">
        <f t="shared" si="7"/>
        <v>96</v>
      </c>
      <c r="AA68" s="38">
        <f t="shared" si="8"/>
        <v>-32</v>
      </c>
      <c r="AB68" s="39"/>
      <c r="AC68" s="40">
        <f t="shared" si="10"/>
        <v>941.10000000000025</v>
      </c>
    </row>
    <row r="69" spans="1:29" ht="12.5" x14ac:dyDescent="0.25">
      <c r="A69" s="32">
        <v>46160</v>
      </c>
      <c r="B69" s="33" t="s">
        <v>48</v>
      </c>
      <c r="C69" s="34">
        <v>0.8125</v>
      </c>
      <c r="D69" s="34">
        <v>0.89583333333333337</v>
      </c>
      <c r="E69" s="35" t="s">
        <v>47</v>
      </c>
      <c r="F69" s="21" t="s">
        <v>53</v>
      </c>
      <c r="G69" s="22">
        <f>VLOOKUP(E69,'Court List'!$A:$C,2,0)</f>
        <v>6</v>
      </c>
      <c r="H69" s="33">
        <v>2</v>
      </c>
      <c r="I69" s="33">
        <v>1</v>
      </c>
      <c r="J69" s="23">
        <f t="shared" si="0"/>
        <v>12</v>
      </c>
      <c r="K69" s="36"/>
      <c r="L69" s="18">
        <f>SUM('Shuttle Count - Supreme (Nov 20'!C69:D69)</f>
        <v>0</v>
      </c>
      <c r="M69" s="18" t="e">
        <f>VLOOKUP(K69,'Shuttle Purchase'!A:C,3,0)</f>
        <v>#N/A</v>
      </c>
      <c r="N69" s="44" t="e">
        <f t="shared" si="15"/>
        <v>#N/A</v>
      </c>
      <c r="O69" s="22">
        <f>VLOOKUP(E69,'Court List'!$A:$C,3,0)</f>
        <v>12</v>
      </c>
      <c r="P69" s="18">
        <f>COUNTIF('Pub List'!$C69:$T69,"&lt;&gt;")</f>
        <v>2</v>
      </c>
      <c r="Q69" s="26">
        <f t="shared" si="2"/>
        <v>24</v>
      </c>
      <c r="R69" s="36"/>
      <c r="S69" s="18">
        <f>COUNTIF('Member List'!$C69:$J69,"&lt;&gt;")</f>
        <v>4</v>
      </c>
      <c r="T69" s="35"/>
      <c r="U69" s="24">
        <f t="shared" si="3"/>
        <v>6</v>
      </c>
      <c r="V69" s="25">
        <f t="shared" si="4"/>
        <v>24</v>
      </c>
      <c r="W69" s="45" t="e">
        <f t="shared" si="5"/>
        <v>#N/A</v>
      </c>
      <c r="X69" s="20" t="e">
        <f t="shared" si="6"/>
        <v>#N/A</v>
      </c>
      <c r="Y69" s="46" t="e">
        <f t="shared" si="9"/>
        <v>#N/A</v>
      </c>
      <c r="Z69" s="38">
        <f t="shared" si="7"/>
        <v>24</v>
      </c>
      <c r="AA69" s="38">
        <f t="shared" si="8"/>
        <v>-12</v>
      </c>
      <c r="AB69" s="39"/>
      <c r="AC69" s="40">
        <f t="shared" si="10"/>
        <v>953.10000000000025</v>
      </c>
    </row>
    <row r="70" spans="1:29" ht="12.5" x14ac:dyDescent="0.25">
      <c r="A70" s="47">
        <v>46166</v>
      </c>
      <c r="B70" s="33" t="s">
        <v>43</v>
      </c>
      <c r="C70" s="34">
        <v>0.72916666666666663</v>
      </c>
      <c r="D70" s="34">
        <v>0.8125</v>
      </c>
      <c r="E70" s="35" t="s">
        <v>44</v>
      </c>
      <c r="F70" s="21">
        <v>1</v>
      </c>
      <c r="G70" s="22">
        <f>VLOOKUP(E70,'Court List'!$A:$C,2,0)</f>
        <v>8</v>
      </c>
      <c r="H70" s="33">
        <v>2</v>
      </c>
      <c r="I70" s="33">
        <v>1</v>
      </c>
      <c r="J70" s="23">
        <f t="shared" si="0"/>
        <v>16</v>
      </c>
      <c r="K70" s="36"/>
      <c r="L70" s="18">
        <f>SUM('Shuttle Count - Supreme (Nov 20'!C70:D70)</f>
        <v>0</v>
      </c>
      <c r="M70" s="18" t="e">
        <f>VLOOKUP(K70,'Shuttle Purchase'!A:C,3,0)</f>
        <v>#N/A</v>
      </c>
      <c r="N70" s="44" t="e">
        <f t="shared" si="15"/>
        <v>#N/A</v>
      </c>
      <c r="O70" s="22">
        <f>VLOOKUP(E70,'Court List'!$A:$C,3,0)</f>
        <v>12</v>
      </c>
      <c r="P70" s="18">
        <f>COUNTIF('Pub List'!$C70:$T70,"&lt;&gt;")</f>
        <v>2</v>
      </c>
      <c r="Q70" s="26">
        <f t="shared" si="2"/>
        <v>24</v>
      </c>
      <c r="R70" s="36"/>
      <c r="S70" s="18">
        <f>COUNTIF('Member List'!$C70:$J70,"&lt;&gt;")</f>
        <v>2</v>
      </c>
      <c r="T70" s="35"/>
      <c r="U70" s="24">
        <f t="shared" si="3"/>
        <v>4</v>
      </c>
      <c r="V70" s="25">
        <f t="shared" si="4"/>
        <v>24</v>
      </c>
      <c r="W70" s="45" t="e">
        <f t="shared" si="5"/>
        <v>#N/A</v>
      </c>
      <c r="X70" s="20" t="e">
        <f t="shared" si="6"/>
        <v>#N/A</v>
      </c>
      <c r="Y70" s="46" t="e">
        <f t="shared" si="9"/>
        <v>#N/A</v>
      </c>
      <c r="Z70" s="38">
        <f t="shared" si="7"/>
        <v>24</v>
      </c>
      <c r="AA70" s="38">
        <f t="shared" si="8"/>
        <v>-16</v>
      </c>
      <c r="AB70" s="39"/>
      <c r="AC70" s="40">
        <f t="shared" si="10"/>
        <v>961.10000000000025</v>
      </c>
    </row>
    <row r="71" spans="1:29" ht="12.5" x14ac:dyDescent="0.25">
      <c r="A71" s="47">
        <v>46171</v>
      </c>
      <c r="B71" s="33" t="s">
        <v>56</v>
      </c>
      <c r="C71" s="34">
        <v>0.8125</v>
      </c>
      <c r="D71" s="34">
        <v>0.89583333333333337</v>
      </c>
      <c r="E71" s="35" t="s">
        <v>44</v>
      </c>
      <c r="F71" s="21" t="s">
        <v>55</v>
      </c>
      <c r="G71" s="22">
        <f>VLOOKUP(E71,'Court List'!$A:$C,2,0)</f>
        <v>8</v>
      </c>
      <c r="H71" s="33">
        <v>2</v>
      </c>
      <c r="I71" s="33">
        <v>2</v>
      </c>
      <c r="J71" s="23">
        <f t="shared" si="0"/>
        <v>32</v>
      </c>
      <c r="K71" s="36"/>
      <c r="L71" s="18">
        <f>SUM('Shuttle Count - Supreme (Nov 20'!C71:D71)</f>
        <v>0</v>
      </c>
      <c r="M71" s="18" t="e">
        <f>VLOOKUP(K71,'Shuttle Purchase'!A:C,3,0)</f>
        <v>#N/A</v>
      </c>
      <c r="N71" s="44" t="e">
        <f t="shared" si="15"/>
        <v>#N/A</v>
      </c>
      <c r="O71" s="22">
        <f>VLOOKUP(E71,'Court List'!$A:$C,3,0)</f>
        <v>12</v>
      </c>
      <c r="P71" s="18">
        <f>COUNTIF('Pub List'!$C71:$T71,"&lt;&gt;")</f>
        <v>1</v>
      </c>
      <c r="Q71" s="26">
        <f t="shared" si="2"/>
        <v>12</v>
      </c>
      <c r="R71" s="36"/>
      <c r="S71" s="18">
        <f>COUNTIF('Member List'!$C71:$J71,"&lt;&gt;")</f>
        <v>2</v>
      </c>
      <c r="T71" s="35"/>
      <c r="U71" s="24">
        <f t="shared" si="3"/>
        <v>3</v>
      </c>
      <c r="V71" s="25">
        <f t="shared" si="4"/>
        <v>12</v>
      </c>
      <c r="W71" s="45" t="e">
        <f t="shared" si="5"/>
        <v>#N/A</v>
      </c>
      <c r="X71" s="20" t="e">
        <f t="shared" si="6"/>
        <v>#N/A</v>
      </c>
      <c r="Y71" s="46" t="e">
        <f t="shared" si="9"/>
        <v>#N/A</v>
      </c>
      <c r="Z71" s="38">
        <f t="shared" si="7"/>
        <v>12</v>
      </c>
      <c r="AA71" s="38">
        <f t="shared" si="8"/>
        <v>-32</v>
      </c>
      <c r="AB71" s="39"/>
      <c r="AC71" s="40">
        <f t="shared" si="10"/>
        <v>941.10000000000025</v>
      </c>
    </row>
    <row r="72" spans="1:29" ht="12.5" x14ac:dyDescent="0.25">
      <c r="A72" s="47">
        <v>46172</v>
      </c>
      <c r="B72" s="33" t="s">
        <v>38</v>
      </c>
      <c r="C72" s="34">
        <v>0.8125</v>
      </c>
      <c r="D72" s="34">
        <v>0.89583333333333337</v>
      </c>
      <c r="E72" s="35" t="s">
        <v>39</v>
      </c>
      <c r="F72" s="21">
        <v>3</v>
      </c>
      <c r="G72" s="22">
        <f>VLOOKUP(E72,'Court List'!$A:$C,2,0)</f>
        <v>18</v>
      </c>
      <c r="H72" s="33">
        <v>2</v>
      </c>
      <c r="I72" s="33">
        <v>1</v>
      </c>
      <c r="J72" s="23">
        <f t="shared" si="0"/>
        <v>36</v>
      </c>
      <c r="K72" s="36"/>
      <c r="L72" s="18">
        <f>SUM('Shuttle Count - Supreme (Nov 20'!C72:D72)</f>
        <v>0</v>
      </c>
      <c r="M72" s="18" t="e">
        <f>VLOOKUP(K72,'Shuttle Purchase'!A:C,3,0)</f>
        <v>#N/A</v>
      </c>
      <c r="N72" s="44" t="e">
        <f t="shared" si="15"/>
        <v>#N/A</v>
      </c>
      <c r="O72" s="22">
        <f>VLOOKUP(E72,'Court List'!$A:$C,3,0)</f>
        <v>14</v>
      </c>
      <c r="P72" s="18">
        <f>COUNTIF('Pub List'!$C72:$T72,"&lt;&gt;")</f>
        <v>0</v>
      </c>
      <c r="Q72" s="26">
        <f t="shared" si="2"/>
        <v>0</v>
      </c>
      <c r="R72" s="36"/>
      <c r="S72" s="18">
        <f>COUNTIF('Member List'!$C72:$J72,"&lt;&gt;")</f>
        <v>2</v>
      </c>
      <c r="T72" s="35"/>
      <c r="U72" s="24">
        <f t="shared" si="3"/>
        <v>2</v>
      </c>
      <c r="V72" s="25">
        <f t="shared" si="4"/>
        <v>0</v>
      </c>
      <c r="W72" s="45" t="e">
        <f t="shared" si="5"/>
        <v>#N/A</v>
      </c>
      <c r="X72" s="20" t="e">
        <f t="shared" si="6"/>
        <v>#N/A</v>
      </c>
      <c r="Y72" s="46" t="e">
        <f t="shared" si="9"/>
        <v>#N/A</v>
      </c>
      <c r="Z72" s="38">
        <f t="shared" si="7"/>
        <v>0</v>
      </c>
      <c r="AA72" s="38">
        <f t="shared" si="8"/>
        <v>-36</v>
      </c>
      <c r="AB72" s="39"/>
      <c r="AC72" s="40">
        <f t="shared" si="10"/>
        <v>905.10000000000025</v>
      </c>
    </row>
    <row r="73" spans="1:29" ht="12.5" x14ac:dyDescent="0.25">
      <c r="A73" s="32">
        <v>46180</v>
      </c>
      <c r="B73" s="33" t="s">
        <v>43</v>
      </c>
      <c r="C73" s="34">
        <v>0.77083333333333337</v>
      </c>
      <c r="D73" s="34">
        <v>0.85416666666666663</v>
      </c>
      <c r="E73" s="35" t="s">
        <v>39</v>
      </c>
      <c r="F73" s="21" t="s">
        <v>55</v>
      </c>
      <c r="G73" s="22">
        <f>VLOOKUP(E73,'Court List'!$A:$C,2,0)</f>
        <v>18</v>
      </c>
      <c r="H73" s="33">
        <v>2</v>
      </c>
      <c r="I73" s="33">
        <v>2</v>
      </c>
      <c r="J73" s="23">
        <f t="shared" si="0"/>
        <v>72</v>
      </c>
      <c r="K73" s="36"/>
      <c r="L73" s="18">
        <f>SUM('Shuttle Count - Supreme (Nov 20'!C73:D73)</f>
        <v>0</v>
      </c>
      <c r="M73" s="18" t="e">
        <f>VLOOKUP(K73,'Shuttle Purchase'!A:C,3,0)</f>
        <v>#N/A</v>
      </c>
      <c r="N73" s="44" t="e">
        <f t="shared" si="15"/>
        <v>#N/A</v>
      </c>
      <c r="O73" s="22">
        <f>VLOOKUP(E73,'Court List'!$A:$C,3,0)</f>
        <v>14</v>
      </c>
      <c r="P73" s="18">
        <f>COUNTIF('Pub List'!$C73:$T73,"&lt;&gt;")</f>
        <v>0</v>
      </c>
      <c r="Q73" s="26">
        <f t="shared" si="2"/>
        <v>0</v>
      </c>
      <c r="R73" s="36"/>
      <c r="S73" s="18">
        <f>COUNTIF('Member List'!$C73:$J73,"&lt;&gt;")</f>
        <v>2</v>
      </c>
      <c r="T73" s="35"/>
      <c r="U73" s="24">
        <f t="shared" si="3"/>
        <v>2</v>
      </c>
      <c r="V73" s="25">
        <f t="shared" si="4"/>
        <v>0</v>
      </c>
      <c r="W73" s="45" t="e">
        <f t="shared" si="5"/>
        <v>#N/A</v>
      </c>
      <c r="X73" s="20" t="e">
        <f t="shared" si="6"/>
        <v>#N/A</v>
      </c>
      <c r="Y73" s="46" t="e">
        <f t="shared" si="9"/>
        <v>#N/A</v>
      </c>
      <c r="Z73" s="38">
        <f t="shared" si="7"/>
        <v>0</v>
      </c>
      <c r="AA73" s="38">
        <f t="shared" si="8"/>
        <v>-72</v>
      </c>
      <c r="AB73" s="39"/>
      <c r="AC73" s="40">
        <f t="shared" si="10"/>
        <v>833.10000000000025</v>
      </c>
    </row>
    <row r="74" spans="1:29" ht="12.5" x14ac:dyDescent="0.25">
      <c r="A74" s="36"/>
      <c r="B74" s="33"/>
      <c r="C74" s="33"/>
      <c r="D74" s="33"/>
      <c r="E74" s="35"/>
      <c r="F74" s="21"/>
      <c r="G74" s="22" t="e">
        <f>VLOOKUP(E74,'Court List'!$A:$C,2,0)</f>
        <v>#N/A</v>
      </c>
      <c r="H74" s="33"/>
      <c r="I74" s="33"/>
      <c r="J74" s="44" t="e">
        <f t="shared" si="0"/>
        <v>#N/A</v>
      </c>
      <c r="K74" s="36"/>
      <c r="L74" s="18">
        <f>SUM('Shuttle Count - Supreme (Nov 20'!C74:D74)</f>
        <v>0</v>
      </c>
      <c r="M74" s="18" t="e">
        <f>VLOOKUP(K74,'Shuttle Purchase'!A:C,3,0)</f>
        <v>#N/A</v>
      </c>
      <c r="N74" s="44" t="e">
        <f t="shared" si="15"/>
        <v>#N/A</v>
      </c>
      <c r="O74" s="24" t="e">
        <f>VLOOKUP(E74,'Court List'!$A:$C,3,0)</f>
        <v>#N/A</v>
      </c>
      <c r="P74" s="18">
        <f>COUNTIF('Pub List'!$C74:$T74,"&lt;&gt;")</f>
        <v>0</v>
      </c>
      <c r="Q74" s="20" t="e">
        <f t="shared" si="2"/>
        <v>#N/A</v>
      </c>
      <c r="R74" s="36"/>
      <c r="S74" s="18">
        <f>COUNTIF('Member List'!$C74:$J74,"&lt;&gt;")</f>
        <v>0</v>
      </c>
      <c r="T74" s="35"/>
      <c r="U74" s="24">
        <f t="shared" si="3"/>
        <v>0</v>
      </c>
      <c r="V74" s="18" t="e">
        <f t="shared" si="4"/>
        <v>#N/A</v>
      </c>
      <c r="W74" s="45" t="e">
        <f t="shared" si="5"/>
        <v>#N/A</v>
      </c>
      <c r="X74" s="20" t="e">
        <f t="shared" si="6"/>
        <v>#N/A</v>
      </c>
      <c r="Y74" s="46" t="e">
        <f t="shared" si="9"/>
        <v>#N/A</v>
      </c>
      <c r="Z74" s="39" t="e">
        <f t="shared" si="7"/>
        <v>#N/A</v>
      </c>
      <c r="AA74" s="39" t="e">
        <f t="shared" si="8"/>
        <v>#N/A</v>
      </c>
      <c r="AB74" s="39"/>
      <c r="AC74" s="48" t="e">
        <f t="shared" si="10"/>
        <v>#N/A</v>
      </c>
    </row>
    <row r="75" spans="1:29" ht="12.5" x14ac:dyDescent="0.25">
      <c r="A75" s="36"/>
      <c r="B75" s="33"/>
      <c r="C75" s="33"/>
      <c r="D75" s="33"/>
      <c r="E75" s="35"/>
      <c r="F75" s="21"/>
      <c r="G75" s="22" t="e">
        <f>VLOOKUP(E75,'Court List'!$A:$C,2,0)</f>
        <v>#N/A</v>
      </c>
      <c r="H75" s="33"/>
      <c r="I75" s="33"/>
      <c r="J75" s="44" t="e">
        <f t="shared" si="0"/>
        <v>#N/A</v>
      </c>
      <c r="K75" s="36"/>
      <c r="L75" s="18">
        <f>SUM('Shuttle Count - Supreme (Nov 20'!C75:D75)</f>
        <v>0</v>
      </c>
      <c r="M75" s="18" t="e">
        <f>VLOOKUP(K75,'Shuttle Purchase'!A:C,3,0)</f>
        <v>#N/A</v>
      </c>
      <c r="N75" s="44" t="e">
        <f t="shared" si="15"/>
        <v>#N/A</v>
      </c>
      <c r="O75" s="24" t="e">
        <f>VLOOKUP(E75,'Court List'!$A:$C,3,0)</f>
        <v>#N/A</v>
      </c>
      <c r="P75" s="18">
        <f>COUNTIF('Pub List'!$C75:$T75,"&lt;&gt;")</f>
        <v>0</v>
      </c>
      <c r="Q75" s="20" t="e">
        <f t="shared" si="2"/>
        <v>#N/A</v>
      </c>
      <c r="R75" s="36"/>
      <c r="S75" s="18">
        <f>COUNTIF('Member List'!$C75:$J75,"&lt;&gt;")</f>
        <v>0</v>
      </c>
      <c r="T75" s="35"/>
      <c r="U75" s="24">
        <f t="shared" si="3"/>
        <v>0</v>
      </c>
      <c r="V75" s="18" t="e">
        <f t="shared" si="4"/>
        <v>#N/A</v>
      </c>
      <c r="W75" s="45" t="e">
        <f t="shared" si="5"/>
        <v>#N/A</v>
      </c>
      <c r="X75" s="20" t="e">
        <f t="shared" si="6"/>
        <v>#N/A</v>
      </c>
      <c r="Y75" s="46" t="e">
        <f t="shared" si="9"/>
        <v>#N/A</v>
      </c>
      <c r="Z75" s="39" t="e">
        <f t="shared" si="7"/>
        <v>#N/A</v>
      </c>
      <c r="AA75" s="39" t="e">
        <f t="shared" si="8"/>
        <v>#N/A</v>
      </c>
      <c r="AB75" s="39"/>
      <c r="AC75" s="48" t="e">
        <f t="shared" si="10"/>
        <v>#N/A</v>
      </c>
    </row>
    <row r="76" spans="1:29" ht="12.5" x14ac:dyDescent="0.25">
      <c r="A76" s="36"/>
      <c r="B76" s="33"/>
      <c r="C76" s="33"/>
      <c r="D76" s="33"/>
      <c r="E76" s="35"/>
      <c r="F76" s="21"/>
      <c r="G76" s="22" t="e">
        <f>VLOOKUP(E76,'Court List'!$A:$C,2,0)</f>
        <v>#N/A</v>
      </c>
      <c r="H76" s="33"/>
      <c r="I76" s="33"/>
      <c r="J76" s="44" t="e">
        <f t="shared" si="0"/>
        <v>#N/A</v>
      </c>
      <c r="K76" s="36"/>
      <c r="L76" s="18">
        <f>SUM('Shuttle Count - Supreme (Nov 20'!C76:D76)</f>
        <v>0</v>
      </c>
      <c r="M76" s="18" t="e">
        <f>VLOOKUP(K76,'Shuttle Purchase'!A:C,3,0)</f>
        <v>#N/A</v>
      </c>
      <c r="N76" s="44" t="e">
        <f t="shared" si="15"/>
        <v>#N/A</v>
      </c>
      <c r="O76" s="24" t="e">
        <f>VLOOKUP(E76,'Court List'!$A:$C,3,0)</f>
        <v>#N/A</v>
      </c>
      <c r="P76" s="18">
        <f>COUNTIF('Pub List'!$C76:$T76,"&lt;&gt;")</f>
        <v>0</v>
      </c>
      <c r="Q76" s="20" t="e">
        <f t="shared" si="2"/>
        <v>#N/A</v>
      </c>
      <c r="R76" s="36"/>
      <c r="S76" s="18">
        <f>COUNTIF('Member List'!$C76:$J76,"&lt;&gt;")</f>
        <v>0</v>
      </c>
      <c r="T76" s="35"/>
      <c r="U76" s="24">
        <f t="shared" si="3"/>
        <v>0</v>
      </c>
      <c r="V76" s="18" t="e">
        <f t="shared" si="4"/>
        <v>#N/A</v>
      </c>
      <c r="W76" s="45" t="e">
        <f t="shared" si="5"/>
        <v>#N/A</v>
      </c>
      <c r="X76" s="20" t="e">
        <f t="shared" si="6"/>
        <v>#N/A</v>
      </c>
      <c r="Y76" s="46" t="e">
        <f t="shared" si="9"/>
        <v>#N/A</v>
      </c>
      <c r="Z76" s="39" t="e">
        <f t="shared" si="7"/>
        <v>#N/A</v>
      </c>
      <c r="AA76" s="39" t="e">
        <f t="shared" si="8"/>
        <v>#N/A</v>
      </c>
      <c r="AB76" s="39"/>
      <c r="AC76" s="48" t="e">
        <f t="shared" si="10"/>
        <v>#N/A</v>
      </c>
    </row>
    <row r="77" spans="1:29" ht="12.5" x14ac:dyDescent="0.25">
      <c r="A77" s="36"/>
      <c r="B77" s="33"/>
      <c r="C77" s="33"/>
      <c r="D77" s="33"/>
      <c r="E77" s="35"/>
      <c r="F77" s="21"/>
      <c r="G77" s="22" t="e">
        <f>VLOOKUP(E77,'Court List'!$A:$C,2,0)</f>
        <v>#N/A</v>
      </c>
      <c r="H77" s="33"/>
      <c r="I77" s="33"/>
      <c r="J77" s="44" t="e">
        <f t="shared" si="0"/>
        <v>#N/A</v>
      </c>
      <c r="K77" s="36"/>
      <c r="L77" s="18">
        <f>SUM('Shuttle Count - Supreme (Nov 20'!C77:D77)</f>
        <v>0</v>
      </c>
      <c r="M77" s="18" t="e">
        <f>VLOOKUP(K77,'Shuttle Purchase'!A:C,3,0)</f>
        <v>#N/A</v>
      </c>
      <c r="N77" s="44" t="e">
        <f t="shared" si="15"/>
        <v>#N/A</v>
      </c>
      <c r="O77" s="24" t="e">
        <f>VLOOKUP(E77,'Court List'!$A:$C,3,0)</f>
        <v>#N/A</v>
      </c>
      <c r="P77" s="18">
        <f>COUNTIF('Pub List'!$C77:$T77,"&lt;&gt;")</f>
        <v>0</v>
      </c>
      <c r="Q77" s="20" t="e">
        <f t="shared" si="2"/>
        <v>#N/A</v>
      </c>
      <c r="R77" s="36"/>
      <c r="S77" s="18">
        <f>COUNTIF('Member List'!$C77:$J77,"&lt;&gt;")</f>
        <v>0</v>
      </c>
      <c r="T77" s="35"/>
      <c r="U77" s="24">
        <f t="shared" si="3"/>
        <v>0</v>
      </c>
      <c r="V77" s="18" t="e">
        <f t="shared" si="4"/>
        <v>#N/A</v>
      </c>
      <c r="W77" s="45" t="e">
        <f t="shared" si="5"/>
        <v>#N/A</v>
      </c>
      <c r="X77" s="20" t="e">
        <f t="shared" si="6"/>
        <v>#N/A</v>
      </c>
      <c r="Y77" s="46" t="e">
        <f t="shared" si="9"/>
        <v>#N/A</v>
      </c>
      <c r="Z77" s="39" t="e">
        <f t="shared" si="7"/>
        <v>#N/A</v>
      </c>
      <c r="AA77" s="39" t="e">
        <f t="shared" si="8"/>
        <v>#N/A</v>
      </c>
      <c r="AB77" s="39"/>
      <c r="AC77" s="48" t="e">
        <f t="shared" si="10"/>
        <v>#N/A</v>
      </c>
    </row>
    <row r="78" spans="1:29" ht="12.5" x14ac:dyDescent="0.25">
      <c r="A78" s="36"/>
      <c r="B78" s="33"/>
      <c r="C78" s="33"/>
      <c r="D78" s="33"/>
      <c r="E78" s="35"/>
      <c r="F78" s="21"/>
      <c r="G78" s="22" t="e">
        <f>VLOOKUP(E78,'Court List'!$A:$C,2,0)</f>
        <v>#N/A</v>
      </c>
      <c r="H78" s="33"/>
      <c r="I78" s="33"/>
      <c r="J78" s="44" t="e">
        <f t="shared" si="0"/>
        <v>#N/A</v>
      </c>
      <c r="K78" s="36"/>
      <c r="L78" s="18">
        <f>SUM('Shuttle Count - Supreme (Nov 20'!C78:D78)</f>
        <v>0</v>
      </c>
      <c r="M78" s="18" t="e">
        <f>VLOOKUP(K78,'Shuttle Purchase'!A:C,3,0)</f>
        <v>#N/A</v>
      </c>
      <c r="N78" s="44" t="e">
        <f t="shared" si="15"/>
        <v>#N/A</v>
      </c>
      <c r="O78" s="24" t="e">
        <f>VLOOKUP(E78,'Court List'!$A:$C,3,0)</f>
        <v>#N/A</v>
      </c>
      <c r="P78" s="18">
        <f>COUNTIF('Pub List'!$C78:$T78,"&lt;&gt;")</f>
        <v>0</v>
      </c>
      <c r="Q78" s="20" t="e">
        <f t="shared" si="2"/>
        <v>#N/A</v>
      </c>
      <c r="R78" s="36"/>
      <c r="S78" s="18">
        <f>COUNTIF('Member List'!$C78:$J78,"&lt;&gt;")</f>
        <v>0</v>
      </c>
      <c r="T78" s="35"/>
      <c r="U78" s="24">
        <f t="shared" si="3"/>
        <v>0</v>
      </c>
      <c r="V78" s="18" t="e">
        <f t="shared" si="4"/>
        <v>#N/A</v>
      </c>
      <c r="W78" s="45" t="e">
        <f t="shared" si="5"/>
        <v>#N/A</v>
      </c>
      <c r="X78" s="20" t="e">
        <f t="shared" si="6"/>
        <v>#N/A</v>
      </c>
      <c r="Y78" s="46" t="e">
        <f t="shared" si="9"/>
        <v>#N/A</v>
      </c>
      <c r="Z78" s="39" t="e">
        <f t="shared" si="7"/>
        <v>#N/A</v>
      </c>
      <c r="AA78" s="39" t="e">
        <f t="shared" si="8"/>
        <v>#N/A</v>
      </c>
      <c r="AB78" s="39"/>
      <c r="AC78" s="48" t="e">
        <f t="shared" si="10"/>
        <v>#N/A</v>
      </c>
    </row>
    <row r="79" spans="1:29" ht="12.5" x14ac:dyDescent="0.25">
      <c r="A79" s="36"/>
      <c r="B79" s="33"/>
      <c r="C79" s="33"/>
      <c r="D79" s="33"/>
      <c r="E79" s="35"/>
      <c r="F79" s="21"/>
      <c r="G79" s="22" t="e">
        <f>VLOOKUP(E79,'Court List'!$A:$C,2,0)</f>
        <v>#N/A</v>
      </c>
      <c r="H79" s="33"/>
      <c r="I79" s="33"/>
      <c r="J79" s="44" t="e">
        <f t="shared" si="0"/>
        <v>#N/A</v>
      </c>
      <c r="K79" s="36"/>
      <c r="L79" s="18">
        <f>SUM('Shuttle Count - Supreme (Nov 20'!C79:D79)</f>
        <v>0</v>
      </c>
      <c r="M79" s="18" t="e">
        <f>VLOOKUP(K79,'Shuttle Purchase'!A:C,3,0)</f>
        <v>#N/A</v>
      </c>
      <c r="N79" s="44" t="e">
        <f t="shared" si="15"/>
        <v>#N/A</v>
      </c>
      <c r="O79" s="24" t="e">
        <f>VLOOKUP(E79,'Court List'!$A:$C,3,0)</f>
        <v>#N/A</v>
      </c>
      <c r="P79" s="18">
        <f>COUNTIF('Pub List'!$C79:$T79,"&lt;&gt;")</f>
        <v>0</v>
      </c>
      <c r="Q79" s="20" t="e">
        <f t="shared" si="2"/>
        <v>#N/A</v>
      </c>
      <c r="R79" s="36"/>
      <c r="S79" s="18">
        <f>COUNTIF('Member List'!$C79:$J79,"&lt;&gt;")</f>
        <v>0</v>
      </c>
      <c r="T79" s="35"/>
      <c r="U79" s="24">
        <f t="shared" si="3"/>
        <v>0</v>
      </c>
      <c r="V79" s="18" t="e">
        <f t="shared" si="4"/>
        <v>#N/A</v>
      </c>
      <c r="W79" s="45" t="e">
        <f t="shared" si="5"/>
        <v>#N/A</v>
      </c>
      <c r="X79" s="20" t="e">
        <f t="shared" si="6"/>
        <v>#N/A</v>
      </c>
      <c r="Y79" s="46" t="e">
        <f t="shared" si="9"/>
        <v>#N/A</v>
      </c>
      <c r="Z79" s="39" t="e">
        <f t="shared" si="7"/>
        <v>#N/A</v>
      </c>
      <c r="AA79" s="39" t="e">
        <f t="shared" si="8"/>
        <v>#N/A</v>
      </c>
      <c r="AB79" s="39"/>
      <c r="AC79" s="48" t="e">
        <f t="shared" si="10"/>
        <v>#N/A</v>
      </c>
    </row>
    <row r="80" spans="1:29" ht="12.5" x14ac:dyDescent="0.25">
      <c r="A80" s="36"/>
      <c r="B80" s="33"/>
      <c r="C80" s="33"/>
      <c r="D80" s="33"/>
      <c r="E80" s="35"/>
      <c r="F80" s="21"/>
      <c r="G80" s="22" t="e">
        <f>VLOOKUP(E80,'Court List'!$A:$C,2,0)</f>
        <v>#N/A</v>
      </c>
      <c r="H80" s="33"/>
      <c r="I80" s="33"/>
      <c r="J80" s="44" t="e">
        <f t="shared" si="0"/>
        <v>#N/A</v>
      </c>
      <c r="K80" s="36"/>
      <c r="L80" s="18">
        <f>SUM('Shuttle Count - Supreme (Nov 20'!C80:D80)</f>
        <v>0</v>
      </c>
      <c r="M80" s="18" t="e">
        <f>VLOOKUP(K80,'Shuttle Purchase'!A:C,3,0)</f>
        <v>#N/A</v>
      </c>
      <c r="N80" s="44" t="e">
        <f t="shared" si="15"/>
        <v>#N/A</v>
      </c>
      <c r="O80" s="24" t="e">
        <f>VLOOKUP(E80,'Court List'!$A:$C,3,0)</f>
        <v>#N/A</v>
      </c>
      <c r="P80" s="18">
        <f>COUNTIF('Pub List'!$C80:$T80,"&lt;&gt;")</f>
        <v>0</v>
      </c>
      <c r="Q80" s="20" t="e">
        <f t="shared" si="2"/>
        <v>#N/A</v>
      </c>
      <c r="R80" s="36"/>
      <c r="S80" s="18">
        <f>COUNTIF('Member List'!$C80:$J80,"&lt;&gt;")</f>
        <v>0</v>
      </c>
      <c r="T80" s="35"/>
      <c r="U80" s="24">
        <f t="shared" si="3"/>
        <v>0</v>
      </c>
      <c r="V80" s="18" t="e">
        <f t="shared" si="4"/>
        <v>#N/A</v>
      </c>
      <c r="W80" s="45" t="e">
        <f t="shared" si="5"/>
        <v>#N/A</v>
      </c>
      <c r="X80" s="20" t="e">
        <f t="shared" si="6"/>
        <v>#N/A</v>
      </c>
      <c r="Y80" s="46" t="e">
        <f t="shared" si="9"/>
        <v>#N/A</v>
      </c>
      <c r="Z80" s="39" t="e">
        <f t="shared" si="7"/>
        <v>#N/A</v>
      </c>
      <c r="AA80" s="39" t="e">
        <f t="shared" si="8"/>
        <v>#N/A</v>
      </c>
      <c r="AB80" s="39"/>
      <c r="AC80" s="48" t="e">
        <f t="shared" si="10"/>
        <v>#N/A</v>
      </c>
    </row>
    <row r="81" spans="1:29" ht="12.5" x14ac:dyDescent="0.25">
      <c r="A81" s="36"/>
      <c r="B81" s="33"/>
      <c r="C81" s="33"/>
      <c r="D81" s="33"/>
      <c r="E81" s="35"/>
      <c r="F81" s="21"/>
      <c r="G81" s="22" t="e">
        <f>VLOOKUP(E81,'Court List'!$A:$C,2,0)</f>
        <v>#N/A</v>
      </c>
      <c r="H81" s="33"/>
      <c r="I81" s="33"/>
      <c r="J81" s="44" t="e">
        <f t="shared" si="0"/>
        <v>#N/A</v>
      </c>
      <c r="K81" s="36"/>
      <c r="L81" s="18">
        <f>SUM('Shuttle Count - Supreme (Nov 20'!C81:D81)</f>
        <v>0</v>
      </c>
      <c r="M81" s="18" t="e">
        <f>VLOOKUP(K81,'Shuttle Purchase'!A:C,3,0)</f>
        <v>#N/A</v>
      </c>
      <c r="N81" s="44" t="e">
        <f t="shared" si="15"/>
        <v>#N/A</v>
      </c>
      <c r="O81" s="24" t="e">
        <f>VLOOKUP(E81,'Court List'!$A:$C,3,0)</f>
        <v>#N/A</v>
      </c>
      <c r="P81" s="18">
        <f>COUNTIF('Pub List'!$C81:$T81,"&lt;&gt;")</f>
        <v>0</v>
      </c>
      <c r="Q81" s="20" t="e">
        <f t="shared" si="2"/>
        <v>#N/A</v>
      </c>
      <c r="R81" s="36"/>
      <c r="S81" s="18">
        <f>COUNTIF('Member List'!$C81:$J81,"&lt;&gt;")</f>
        <v>0</v>
      </c>
      <c r="T81" s="35"/>
      <c r="U81" s="24">
        <f t="shared" si="3"/>
        <v>0</v>
      </c>
      <c r="V81" s="18" t="e">
        <f t="shared" si="4"/>
        <v>#N/A</v>
      </c>
      <c r="W81" s="45" t="e">
        <f t="shared" si="5"/>
        <v>#N/A</v>
      </c>
      <c r="X81" s="20" t="e">
        <f t="shared" si="6"/>
        <v>#N/A</v>
      </c>
      <c r="Y81" s="46" t="e">
        <f t="shared" si="9"/>
        <v>#N/A</v>
      </c>
      <c r="Z81" s="39" t="e">
        <f t="shared" si="7"/>
        <v>#N/A</v>
      </c>
      <c r="AA81" s="39" t="e">
        <f t="shared" si="8"/>
        <v>#N/A</v>
      </c>
      <c r="AB81" s="39"/>
      <c r="AC81" s="48" t="e">
        <f t="shared" si="10"/>
        <v>#N/A</v>
      </c>
    </row>
    <row r="82" spans="1:29" ht="12.5" x14ac:dyDescent="0.25">
      <c r="A82" s="36"/>
      <c r="B82" s="33"/>
      <c r="C82" s="33"/>
      <c r="D82" s="33"/>
      <c r="E82" s="35"/>
      <c r="F82" s="21"/>
      <c r="G82" s="22" t="e">
        <f>VLOOKUP(E82,'Court List'!$A:$C,2,0)</f>
        <v>#N/A</v>
      </c>
      <c r="H82" s="33"/>
      <c r="I82" s="33"/>
      <c r="J82" s="44" t="e">
        <f t="shared" si="0"/>
        <v>#N/A</v>
      </c>
      <c r="K82" s="36"/>
      <c r="L82" s="18">
        <f>SUM('Shuttle Count - Supreme (Nov 20'!C82:D82)</f>
        <v>0</v>
      </c>
      <c r="M82" s="18" t="e">
        <f>VLOOKUP(K82,'Shuttle Purchase'!A:C,3,0)</f>
        <v>#N/A</v>
      </c>
      <c r="N82" s="44" t="e">
        <f t="shared" si="15"/>
        <v>#N/A</v>
      </c>
      <c r="O82" s="24" t="e">
        <f>VLOOKUP(E82,'Court List'!$A:$C,3,0)</f>
        <v>#N/A</v>
      </c>
      <c r="P82" s="18">
        <f>COUNTIF('Pub List'!$C82:$T82,"&lt;&gt;")</f>
        <v>0</v>
      </c>
      <c r="Q82" s="20" t="e">
        <f t="shared" si="2"/>
        <v>#N/A</v>
      </c>
      <c r="R82" s="36"/>
      <c r="S82" s="18">
        <f>COUNTIF('Member List'!$C82:$J82,"&lt;&gt;")</f>
        <v>0</v>
      </c>
      <c r="T82" s="35"/>
      <c r="U82" s="24">
        <f t="shared" si="3"/>
        <v>0</v>
      </c>
      <c r="V82" s="18" t="e">
        <f t="shared" si="4"/>
        <v>#N/A</v>
      </c>
      <c r="W82" s="45" t="e">
        <f t="shared" si="5"/>
        <v>#N/A</v>
      </c>
      <c r="X82" s="20" t="e">
        <f t="shared" si="6"/>
        <v>#N/A</v>
      </c>
      <c r="Y82" s="46" t="e">
        <f t="shared" si="9"/>
        <v>#N/A</v>
      </c>
      <c r="Z82" s="39" t="e">
        <f t="shared" si="7"/>
        <v>#N/A</v>
      </c>
      <c r="AA82" s="39" t="e">
        <f t="shared" si="8"/>
        <v>#N/A</v>
      </c>
      <c r="AB82" s="39"/>
      <c r="AC82" s="48" t="e">
        <f t="shared" si="10"/>
        <v>#N/A</v>
      </c>
    </row>
    <row r="83" spans="1:29" ht="12.5" x14ac:dyDescent="0.25">
      <c r="A83" s="36"/>
      <c r="B83" s="33"/>
      <c r="C83" s="33"/>
      <c r="D83" s="33"/>
      <c r="E83" s="35"/>
      <c r="F83" s="21"/>
      <c r="G83" s="22" t="e">
        <f>VLOOKUP(E83,'Court List'!$A:$C,2,0)</f>
        <v>#N/A</v>
      </c>
      <c r="H83" s="33"/>
      <c r="I83" s="33"/>
      <c r="J83" s="44" t="e">
        <f t="shared" si="0"/>
        <v>#N/A</v>
      </c>
      <c r="K83" s="36"/>
      <c r="L83" s="18">
        <f>SUM('Shuttle Count - Supreme (Nov 20'!C83:D83)</f>
        <v>0</v>
      </c>
      <c r="M83" s="18" t="e">
        <f>VLOOKUP(K83,'Shuttle Purchase'!A:C,3,0)</f>
        <v>#N/A</v>
      </c>
      <c r="N83" s="44" t="e">
        <f t="shared" si="15"/>
        <v>#N/A</v>
      </c>
      <c r="O83" s="24" t="e">
        <f>VLOOKUP(E83,'Court List'!$A:$C,3,0)</f>
        <v>#N/A</v>
      </c>
      <c r="P83" s="18">
        <f>COUNTIF('Pub List'!$C83:$T83,"&lt;&gt;")</f>
        <v>0</v>
      </c>
      <c r="Q83" s="20" t="e">
        <f t="shared" si="2"/>
        <v>#N/A</v>
      </c>
      <c r="R83" s="36"/>
      <c r="S83" s="18">
        <f>COUNTIF('Member List'!$C83:$J83,"&lt;&gt;")</f>
        <v>0</v>
      </c>
      <c r="T83" s="35"/>
      <c r="U83" s="24">
        <f t="shared" si="3"/>
        <v>0</v>
      </c>
      <c r="V83" s="18" t="e">
        <f t="shared" si="4"/>
        <v>#N/A</v>
      </c>
      <c r="W83" s="45" t="e">
        <f t="shared" si="5"/>
        <v>#N/A</v>
      </c>
      <c r="X83" s="20" t="e">
        <f t="shared" si="6"/>
        <v>#N/A</v>
      </c>
      <c r="Y83" s="46" t="e">
        <f t="shared" si="9"/>
        <v>#N/A</v>
      </c>
      <c r="Z83" s="39" t="e">
        <f t="shared" si="7"/>
        <v>#N/A</v>
      </c>
      <c r="AA83" s="39" t="e">
        <f t="shared" si="8"/>
        <v>#N/A</v>
      </c>
      <c r="AB83" s="39"/>
      <c r="AC83" s="48" t="e">
        <f t="shared" si="10"/>
        <v>#N/A</v>
      </c>
    </row>
    <row r="84" spans="1:29" ht="12.5" x14ac:dyDescent="0.25">
      <c r="A84" s="36"/>
      <c r="B84" s="33"/>
      <c r="C84" s="33"/>
      <c r="D84" s="33"/>
      <c r="E84" s="35"/>
      <c r="F84" s="21"/>
      <c r="G84" s="22" t="e">
        <f>VLOOKUP(E84,'Court List'!$A:$C,2,0)</f>
        <v>#N/A</v>
      </c>
      <c r="H84" s="33"/>
      <c r="I84" s="33"/>
      <c r="J84" s="44" t="e">
        <f t="shared" si="0"/>
        <v>#N/A</v>
      </c>
      <c r="K84" s="36"/>
      <c r="L84" s="18">
        <f>SUM('Shuttle Count - Supreme (Nov 20'!C84:D84)</f>
        <v>0</v>
      </c>
      <c r="M84" s="18" t="e">
        <f>VLOOKUP(K84,'Shuttle Purchase'!A:C,3,0)</f>
        <v>#N/A</v>
      </c>
      <c r="N84" s="44" t="e">
        <f t="shared" si="15"/>
        <v>#N/A</v>
      </c>
      <c r="O84" s="24" t="e">
        <f>VLOOKUP(E84,'Court List'!$A:$C,3,0)</f>
        <v>#N/A</v>
      </c>
      <c r="P84" s="18">
        <f>COUNTIF('Pub List'!$C84:$T84,"&lt;&gt;")</f>
        <v>0</v>
      </c>
      <c r="Q84" s="20" t="e">
        <f t="shared" si="2"/>
        <v>#N/A</v>
      </c>
      <c r="R84" s="36"/>
      <c r="S84" s="18">
        <f>COUNTIF('Member List'!$C84:$J84,"&lt;&gt;")</f>
        <v>0</v>
      </c>
      <c r="T84" s="35"/>
      <c r="U84" s="24">
        <f t="shared" si="3"/>
        <v>0</v>
      </c>
      <c r="V84" s="18" t="e">
        <f t="shared" si="4"/>
        <v>#N/A</v>
      </c>
      <c r="W84" s="45" t="e">
        <f t="shared" si="5"/>
        <v>#N/A</v>
      </c>
      <c r="X84" s="20" t="e">
        <f t="shared" si="6"/>
        <v>#N/A</v>
      </c>
      <c r="Y84" s="46" t="e">
        <f t="shared" si="9"/>
        <v>#N/A</v>
      </c>
      <c r="Z84" s="39" t="e">
        <f t="shared" si="7"/>
        <v>#N/A</v>
      </c>
      <c r="AA84" s="39" t="e">
        <f t="shared" si="8"/>
        <v>#N/A</v>
      </c>
      <c r="AB84" s="39"/>
      <c r="AC84" s="48" t="e">
        <f t="shared" si="10"/>
        <v>#N/A</v>
      </c>
    </row>
    <row r="85" spans="1:29" ht="12.5" x14ac:dyDescent="0.25">
      <c r="A85" s="36"/>
      <c r="B85" s="33"/>
      <c r="C85" s="33"/>
      <c r="D85" s="33"/>
      <c r="E85" s="35"/>
      <c r="F85" s="21"/>
      <c r="G85" s="22" t="e">
        <f>VLOOKUP(E85,'Court List'!$A:$C,2,0)</f>
        <v>#N/A</v>
      </c>
      <c r="H85" s="33"/>
      <c r="I85" s="33"/>
      <c r="J85" s="44" t="e">
        <f t="shared" si="0"/>
        <v>#N/A</v>
      </c>
      <c r="K85" s="36"/>
      <c r="L85" s="18">
        <f>SUM('Shuttle Count - Supreme (Nov 20'!C85:D85)</f>
        <v>0</v>
      </c>
      <c r="M85" s="18" t="e">
        <f>VLOOKUP(K85,'Shuttle Purchase'!A:C,3,0)</f>
        <v>#N/A</v>
      </c>
      <c r="N85" s="44" t="e">
        <f t="shared" si="15"/>
        <v>#N/A</v>
      </c>
      <c r="O85" s="24" t="e">
        <f>VLOOKUP(E85,'Court List'!$A:$C,3,0)</f>
        <v>#N/A</v>
      </c>
      <c r="P85" s="18">
        <f>COUNTIF('Pub List'!$C85:$T85,"&lt;&gt;")</f>
        <v>0</v>
      </c>
      <c r="Q85" s="20" t="e">
        <f t="shared" si="2"/>
        <v>#N/A</v>
      </c>
      <c r="R85" s="36"/>
      <c r="S85" s="18">
        <f>COUNTIF('Member List'!$C85:$J85,"&lt;&gt;")</f>
        <v>0</v>
      </c>
      <c r="T85" s="35"/>
      <c r="U85" s="24">
        <f t="shared" si="3"/>
        <v>0</v>
      </c>
      <c r="V85" s="18" t="e">
        <f t="shared" si="4"/>
        <v>#N/A</v>
      </c>
      <c r="W85" s="45" t="e">
        <f t="shared" si="5"/>
        <v>#N/A</v>
      </c>
      <c r="X85" s="20" t="e">
        <f t="shared" si="6"/>
        <v>#N/A</v>
      </c>
      <c r="Y85" s="46" t="e">
        <f t="shared" si="9"/>
        <v>#N/A</v>
      </c>
      <c r="Z85" s="39" t="e">
        <f t="shared" si="7"/>
        <v>#N/A</v>
      </c>
      <c r="AA85" s="39" t="e">
        <f t="shared" si="8"/>
        <v>#N/A</v>
      </c>
      <c r="AB85" s="39"/>
      <c r="AC85" s="48" t="e">
        <f t="shared" si="10"/>
        <v>#N/A</v>
      </c>
    </row>
    <row r="86" spans="1:29" ht="12.5" x14ac:dyDescent="0.25">
      <c r="A86" s="36"/>
      <c r="B86" s="33"/>
      <c r="C86" s="33"/>
      <c r="D86" s="33"/>
      <c r="E86" s="35"/>
      <c r="F86" s="21"/>
      <c r="G86" s="22" t="e">
        <f>VLOOKUP(E86,'Court List'!$A:$C,2,0)</f>
        <v>#N/A</v>
      </c>
      <c r="H86" s="33"/>
      <c r="I86" s="33"/>
      <c r="J86" s="44" t="e">
        <f t="shared" si="0"/>
        <v>#N/A</v>
      </c>
      <c r="K86" s="36"/>
      <c r="L86" s="18">
        <f>SUM('Shuttle Count - Supreme (Nov 20'!C86:D86)</f>
        <v>0</v>
      </c>
      <c r="M86" s="18" t="e">
        <f>VLOOKUP(K86,'Shuttle Purchase'!A:C,3,0)</f>
        <v>#N/A</v>
      </c>
      <c r="N86" s="44" t="e">
        <f t="shared" si="15"/>
        <v>#N/A</v>
      </c>
      <c r="O86" s="24" t="e">
        <f>VLOOKUP(E86,'Court List'!$A:$C,3,0)</f>
        <v>#N/A</v>
      </c>
      <c r="P86" s="18">
        <f>COUNTIF('Pub List'!$C86:$T86,"&lt;&gt;")</f>
        <v>0</v>
      </c>
      <c r="Q86" s="20" t="e">
        <f t="shared" si="2"/>
        <v>#N/A</v>
      </c>
      <c r="R86" s="36"/>
      <c r="S86" s="18">
        <f>COUNTIF('Member List'!$C86:$J86,"&lt;&gt;")</f>
        <v>0</v>
      </c>
      <c r="T86" s="35"/>
      <c r="U86" s="24">
        <f t="shared" si="3"/>
        <v>0</v>
      </c>
      <c r="V86" s="18" t="e">
        <f t="shared" si="4"/>
        <v>#N/A</v>
      </c>
      <c r="W86" s="45" t="e">
        <f t="shared" si="5"/>
        <v>#N/A</v>
      </c>
      <c r="X86" s="20" t="e">
        <f t="shared" si="6"/>
        <v>#N/A</v>
      </c>
      <c r="Y86" s="46" t="e">
        <f t="shared" si="9"/>
        <v>#N/A</v>
      </c>
      <c r="Z86" s="39" t="e">
        <f t="shared" si="7"/>
        <v>#N/A</v>
      </c>
      <c r="AA86" s="39" t="e">
        <f t="shared" si="8"/>
        <v>#N/A</v>
      </c>
      <c r="AB86" s="39"/>
      <c r="AC86" s="48" t="e">
        <f t="shared" si="10"/>
        <v>#N/A</v>
      </c>
    </row>
    <row r="87" spans="1:29" ht="12.5" x14ac:dyDescent="0.25">
      <c r="A87" s="36"/>
      <c r="B87" s="33"/>
      <c r="C87" s="33"/>
      <c r="D87" s="33"/>
      <c r="E87" s="35"/>
      <c r="F87" s="21"/>
      <c r="G87" s="22" t="e">
        <f>VLOOKUP(E87,'Court List'!$A:$C,2,0)</f>
        <v>#N/A</v>
      </c>
      <c r="H87" s="33"/>
      <c r="I87" s="33"/>
      <c r="J87" s="44" t="e">
        <f t="shared" si="0"/>
        <v>#N/A</v>
      </c>
      <c r="K87" s="36"/>
      <c r="L87" s="18">
        <f>SUM('Shuttle Count - Supreme (Nov 20'!C87:D87)</f>
        <v>0</v>
      </c>
      <c r="M87" s="18" t="e">
        <f>VLOOKUP(K87,'Shuttle Purchase'!A:C,3,0)</f>
        <v>#N/A</v>
      </c>
      <c r="N87" s="44" t="e">
        <f t="shared" si="15"/>
        <v>#N/A</v>
      </c>
      <c r="O87" s="24" t="e">
        <f>VLOOKUP(E87,'Court List'!$A:$C,3,0)</f>
        <v>#N/A</v>
      </c>
      <c r="P87" s="18">
        <f>COUNTIF('Pub List'!$C87:$T87,"&lt;&gt;")</f>
        <v>0</v>
      </c>
      <c r="Q87" s="20" t="e">
        <f t="shared" si="2"/>
        <v>#N/A</v>
      </c>
      <c r="R87" s="36"/>
      <c r="S87" s="18">
        <f>COUNTIF('Member List'!$C87:$J87,"&lt;&gt;")</f>
        <v>0</v>
      </c>
      <c r="T87" s="35"/>
      <c r="U87" s="24">
        <f t="shared" si="3"/>
        <v>0</v>
      </c>
      <c r="V87" s="18" t="e">
        <f t="shared" si="4"/>
        <v>#N/A</v>
      </c>
      <c r="W87" s="45" t="e">
        <f t="shared" si="5"/>
        <v>#N/A</v>
      </c>
      <c r="X87" s="20" t="e">
        <f t="shared" si="6"/>
        <v>#N/A</v>
      </c>
      <c r="Y87" s="46" t="e">
        <f t="shared" si="9"/>
        <v>#N/A</v>
      </c>
      <c r="Z87" s="39" t="e">
        <f t="shared" si="7"/>
        <v>#N/A</v>
      </c>
      <c r="AA87" s="39" t="e">
        <f t="shared" si="8"/>
        <v>#N/A</v>
      </c>
      <c r="AB87" s="39"/>
      <c r="AC87" s="48" t="e">
        <f t="shared" si="10"/>
        <v>#N/A</v>
      </c>
    </row>
    <row r="88" spans="1:29" ht="12.5" x14ac:dyDescent="0.25">
      <c r="A88" s="36"/>
      <c r="B88" s="33"/>
      <c r="C88" s="33"/>
      <c r="D88" s="33"/>
      <c r="E88" s="35"/>
      <c r="F88" s="21"/>
      <c r="G88" s="22" t="e">
        <f>VLOOKUP(E88,'Court List'!$A:$C,2,0)</f>
        <v>#N/A</v>
      </c>
      <c r="H88" s="33"/>
      <c r="I88" s="33"/>
      <c r="J88" s="44" t="e">
        <f t="shared" si="0"/>
        <v>#N/A</v>
      </c>
      <c r="K88" s="36"/>
      <c r="L88" s="18">
        <f>SUM('Shuttle Count - Supreme (Nov 20'!C88:D88)</f>
        <v>0</v>
      </c>
      <c r="M88" s="18" t="e">
        <f>VLOOKUP(K88,'Shuttle Purchase'!A:C,3,0)</f>
        <v>#N/A</v>
      </c>
      <c r="N88" s="44" t="e">
        <f t="shared" si="15"/>
        <v>#N/A</v>
      </c>
      <c r="O88" s="24" t="e">
        <f>VLOOKUP(E88,'Court List'!$A:$C,3,0)</f>
        <v>#N/A</v>
      </c>
      <c r="P88" s="18">
        <f>COUNTIF('Pub List'!$C88:$T88,"&lt;&gt;")</f>
        <v>0</v>
      </c>
      <c r="Q88" s="20" t="e">
        <f t="shared" si="2"/>
        <v>#N/A</v>
      </c>
      <c r="R88" s="36"/>
      <c r="S88" s="18">
        <f>COUNTIF('Member List'!$C88:$J88,"&lt;&gt;")</f>
        <v>0</v>
      </c>
      <c r="T88" s="35"/>
      <c r="U88" s="24">
        <f t="shared" si="3"/>
        <v>0</v>
      </c>
      <c r="V88" s="18" t="e">
        <f t="shared" si="4"/>
        <v>#N/A</v>
      </c>
      <c r="W88" s="45" t="e">
        <f t="shared" si="5"/>
        <v>#N/A</v>
      </c>
      <c r="X88" s="20" t="e">
        <f t="shared" si="6"/>
        <v>#N/A</v>
      </c>
      <c r="Y88" s="46" t="e">
        <f t="shared" si="9"/>
        <v>#N/A</v>
      </c>
      <c r="Z88" s="39" t="e">
        <f t="shared" si="7"/>
        <v>#N/A</v>
      </c>
      <c r="AA88" s="39" t="e">
        <f t="shared" si="8"/>
        <v>#N/A</v>
      </c>
      <c r="AB88" s="39"/>
      <c r="AC88" s="48" t="e">
        <f t="shared" si="10"/>
        <v>#N/A</v>
      </c>
    </row>
    <row r="89" spans="1:29" ht="12.5" x14ac:dyDescent="0.25">
      <c r="A89" s="36"/>
      <c r="B89" s="33"/>
      <c r="C89" s="33"/>
      <c r="D89" s="33"/>
      <c r="E89" s="35"/>
      <c r="F89" s="21"/>
      <c r="G89" s="22" t="e">
        <f>VLOOKUP(E89,'Court List'!$A:$C,2,0)</f>
        <v>#N/A</v>
      </c>
      <c r="H89" s="33"/>
      <c r="I89" s="33"/>
      <c r="J89" s="44" t="e">
        <f t="shared" si="0"/>
        <v>#N/A</v>
      </c>
      <c r="K89" s="36"/>
      <c r="L89" s="18">
        <f>SUM('Shuttle Count - Supreme (Nov 20'!C89:D89)</f>
        <v>0</v>
      </c>
      <c r="M89" s="18" t="e">
        <f>VLOOKUP(K89,'Shuttle Purchase'!A:C,3,0)</f>
        <v>#N/A</v>
      </c>
      <c r="N89" s="44" t="e">
        <f t="shared" si="15"/>
        <v>#N/A</v>
      </c>
      <c r="O89" s="24" t="e">
        <f>VLOOKUP(E89,'Court List'!$A:$C,3,0)</f>
        <v>#N/A</v>
      </c>
      <c r="P89" s="18">
        <f>COUNTIF('Pub List'!$C89:$T89,"&lt;&gt;")</f>
        <v>0</v>
      </c>
      <c r="Q89" s="20" t="e">
        <f t="shared" si="2"/>
        <v>#N/A</v>
      </c>
      <c r="R89" s="36"/>
      <c r="S89" s="18">
        <f>COUNTIF('Member List'!$C89:$J89,"&lt;&gt;")</f>
        <v>0</v>
      </c>
      <c r="T89" s="35"/>
      <c r="U89" s="24">
        <f t="shared" si="3"/>
        <v>0</v>
      </c>
      <c r="V89" s="18" t="e">
        <f t="shared" si="4"/>
        <v>#N/A</v>
      </c>
      <c r="W89" s="45" t="e">
        <f t="shared" si="5"/>
        <v>#N/A</v>
      </c>
      <c r="X89" s="20" t="e">
        <f t="shared" si="6"/>
        <v>#N/A</v>
      </c>
      <c r="Y89" s="46" t="e">
        <f t="shared" si="9"/>
        <v>#N/A</v>
      </c>
      <c r="Z89" s="39" t="e">
        <f t="shared" si="7"/>
        <v>#N/A</v>
      </c>
      <c r="AA89" s="39" t="e">
        <f t="shared" si="8"/>
        <v>#N/A</v>
      </c>
      <c r="AB89" s="39"/>
      <c r="AC89" s="48" t="e">
        <f t="shared" si="10"/>
        <v>#N/A</v>
      </c>
    </row>
    <row r="90" spans="1:29" ht="12.5" x14ac:dyDescent="0.25">
      <c r="A90" s="36"/>
      <c r="B90" s="33"/>
      <c r="C90" s="33"/>
      <c r="D90" s="33"/>
      <c r="E90" s="35"/>
      <c r="F90" s="21"/>
      <c r="G90" s="22" t="e">
        <f>VLOOKUP(E90,'Court List'!$A:$C,2,0)</f>
        <v>#N/A</v>
      </c>
      <c r="H90" s="33"/>
      <c r="I90" s="33"/>
      <c r="J90" s="44" t="e">
        <f t="shared" si="0"/>
        <v>#N/A</v>
      </c>
      <c r="K90" s="36"/>
      <c r="L90" s="18">
        <f>SUM('Shuttle Count - Supreme (Nov 20'!C90:D90)</f>
        <v>0</v>
      </c>
      <c r="M90" s="18" t="e">
        <f>VLOOKUP(K90,'Shuttle Purchase'!A:C,3,0)</f>
        <v>#N/A</v>
      </c>
      <c r="N90" s="44" t="e">
        <f t="shared" si="15"/>
        <v>#N/A</v>
      </c>
      <c r="O90" s="24" t="e">
        <f>VLOOKUP(E90,'Court List'!$A:$C,3,0)</f>
        <v>#N/A</v>
      </c>
      <c r="P90" s="18">
        <f>COUNTIF('Pub List'!$C90:$T90,"&lt;&gt;")</f>
        <v>0</v>
      </c>
      <c r="Q90" s="20" t="e">
        <f t="shared" si="2"/>
        <v>#N/A</v>
      </c>
      <c r="R90" s="36"/>
      <c r="S90" s="18">
        <f>COUNTIF('Member List'!$C90:$J90,"&lt;&gt;")</f>
        <v>0</v>
      </c>
      <c r="T90" s="35"/>
      <c r="U90" s="24">
        <f t="shared" si="3"/>
        <v>0</v>
      </c>
      <c r="V90" s="18" t="e">
        <f t="shared" si="4"/>
        <v>#N/A</v>
      </c>
      <c r="W90" s="45" t="e">
        <f t="shared" si="5"/>
        <v>#N/A</v>
      </c>
      <c r="X90" s="20" t="e">
        <f t="shared" si="6"/>
        <v>#N/A</v>
      </c>
      <c r="Y90" s="46" t="e">
        <f t="shared" si="9"/>
        <v>#N/A</v>
      </c>
      <c r="Z90" s="39" t="e">
        <f t="shared" si="7"/>
        <v>#N/A</v>
      </c>
      <c r="AA90" s="39" t="e">
        <f t="shared" si="8"/>
        <v>#N/A</v>
      </c>
      <c r="AB90" s="39"/>
      <c r="AC90" s="48" t="e">
        <f t="shared" si="10"/>
        <v>#N/A</v>
      </c>
    </row>
    <row r="91" spans="1:29" ht="12.5" x14ac:dyDescent="0.25">
      <c r="A91" s="36"/>
      <c r="B91" s="33"/>
      <c r="C91" s="33"/>
      <c r="D91" s="33"/>
      <c r="E91" s="35"/>
      <c r="F91" s="21"/>
      <c r="G91" s="22" t="e">
        <f>VLOOKUP(E91,'Court List'!$A:$C,2,0)</f>
        <v>#N/A</v>
      </c>
      <c r="H91" s="33"/>
      <c r="I91" s="33"/>
      <c r="J91" s="44" t="e">
        <f t="shared" si="0"/>
        <v>#N/A</v>
      </c>
      <c r="K91" s="36"/>
      <c r="L91" s="18">
        <f>SUM('Shuttle Count - Supreme (Nov 20'!C91:D91)</f>
        <v>0</v>
      </c>
      <c r="M91" s="18" t="e">
        <f>VLOOKUP(K91,'Shuttle Purchase'!A:C,3,0)</f>
        <v>#N/A</v>
      </c>
      <c r="N91" s="44" t="e">
        <f t="shared" si="15"/>
        <v>#N/A</v>
      </c>
      <c r="O91" s="24" t="e">
        <f>VLOOKUP(E91,'Court List'!$A:$C,3,0)</f>
        <v>#N/A</v>
      </c>
      <c r="P91" s="18">
        <f>COUNTIF('Pub List'!$C91:$T91,"&lt;&gt;")</f>
        <v>0</v>
      </c>
      <c r="Q91" s="20" t="e">
        <f t="shared" si="2"/>
        <v>#N/A</v>
      </c>
      <c r="R91" s="36"/>
      <c r="S91" s="18">
        <f>COUNTIF('Member List'!$C91:$J91,"&lt;&gt;")</f>
        <v>0</v>
      </c>
      <c r="T91" s="35"/>
      <c r="U91" s="24">
        <f t="shared" si="3"/>
        <v>0</v>
      </c>
      <c r="V91" s="18" t="e">
        <f t="shared" si="4"/>
        <v>#N/A</v>
      </c>
      <c r="W91" s="45" t="e">
        <f t="shared" si="5"/>
        <v>#N/A</v>
      </c>
      <c r="X91" s="20" t="e">
        <f t="shared" si="6"/>
        <v>#N/A</v>
      </c>
      <c r="Y91" s="46" t="e">
        <f t="shared" si="9"/>
        <v>#N/A</v>
      </c>
      <c r="Z91" s="39" t="e">
        <f t="shared" si="7"/>
        <v>#N/A</v>
      </c>
      <c r="AA91" s="39" t="e">
        <f t="shared" si="8"/>
        <v>#N/A</v>
      </c>
      <c r="AB91" s="39"/>
      <c r="AC91" s="48" t="e">
        <f t="shared" si="10"/>
        <v>#N/A</v>
      </c>
    </row>
    <row r="92" spans="1:29" ht="12.5" x14ac:dyDescent="0.25">
      <c r="A92" s="36"/>
      <c r="B92" s="33"/>
      <c r="C92" s="33"/>
      <c r="D92" s="33"/>
      <c r="E92" s="35"/>
      <c r="F92" s="21"/>
      <c r="G92" s="22" t="e">
        <f>VLOOKUP(E92,'Court List'!$A:$C,2,0)</f>
        <v>#N/A</v>
      </c>
      <c r="H92" s="33"/>
      <c r="I92" s="33"/>
      <c r="J92" s="44" t="e">
        <f t="shared" si="0"/>
        <v>#N/A</v>
      </c>
      <c r="K92" s="36"/>
      <c r="L92" s="18">
        <f>SUM('Shuttle Count - Supreme (Nov 20'!C92:D92)</f>
        <v>0</v>
      </c>
      <c r="M92" s="18" t="e">
        <f>VLOOKUP(K92,'Shuttle Purchase'!A:C,3,0)</f>
        <v>#N/A</v>
      </c>
      <c r="N92" s="44" t="e">
        <f t="shared" si="15"/>
        <v>#N/A</v>
      </c>
      <c r="O92" s="24" t="e">
        <f>VLOOKUP(E92,'Court List'!$A:$C,3,0)</f>
        <v>#N/A</v>
      </c>
      <c r="P92" s="18">
        <f>COUNTIF('Pub List'!$C92:$T92,"&lt;&gt;")</f>
        <v>0</v>
      </c>
      <c r="Q92" s="20" t="e">
        <f t="shared" si="2"/>
        <v>#N/A</v>
      </c>
      <c r="R92" s="36"/>
      <c r="S92" s="18">
        <f>COUNTIF('Member List'!$C92:$J92,"&lt;&gt;")</f>
        <v>0</v>
      </c>
      <c r="T92" s="35"/>
      <c r="U92" s="24">
        <f t="shared" si="3"/>
        <v>0</v>
      </c>
      <c r="V92" s="18" t="e">
        <f t="shared" si="4"/>
        <v>#N/A</v>
      </c>
      <c r="W92" s="45" t="e">
        <f t="shared" si="5"/>
        <v>#N/A</v>
      </c>
      <c r="X92" s="20" t="e">
        <f t="shared" si="6"/>
        <v>#N/A</v>
      </c>
      <c r="Y92" s="46" t="e">
        <f t="shared" si="9"/>
        <v>#N/A</v>
      </c>
      <c r="Z92" s="39" t="e">
        <f t="shared" si="7"/>
        <v>#N/A</v>
      </c>
      <c r="AA92" s="39" t="e">
        <f t="shared" si="8"/>
        <v>#N/A</v>
      </c>
      <c r="AB92" s="39"/>
      <c r="AC92" s="48" t="e">
        <f t="shared" si="10"/>
        <v>#N/A</v>
      </c>
    </row>
    <row r="93" spans="1:29" ht="12.5" x14ac:dyDescent="0.25">
      <c r="A93" s="36"/>
      <c r="B93" s="33"/>
      <c r="C93" s="33"/>
      <c r="D93" s="33"/>
      <c r="E93" s="35"/>
      <c r="F93" s="21"/>
      <c r="G93" s="22" t="e">
        <f>VLOOKUP(E93,'Court List'!$A:$C,2,0)</f>
        <v>#N/A</v>
      </c>
      <c r="H93" s="33"/>
      <c r="I93" s="33"/>
      <c r="J93" s="44" t="e">
        <f t="shared" si="0"/>
        <v>#N/A</v>
      </c>
      <c r="K93" s="36"/>
      <c r="L93" s="18">
        <f>SUM('Shuttle Count - Supreme (Nov 20'!C93:D93)</f>
        <v>0</v>
      </c>
      <c r="M93" s="18" t="e">
        <f>VLOOKUP(K93,'Shuttle Purchase'!A:C,3,0)</f>
        <v>#N/A</v>
      </c>
      <c r="N93" s="44" t="e">
        <f t="shared" si="15"/>
        <v>#N/A</v>
      </c>
      <c r="O93" s="24" t="e">
        <f>VLOOKUP(E93,'Court List'!$A:$C,3,0)</f>
        <v>#N/A</v>
      </c>
      <c r="P93" s="18">
        <f>COUNTIF('Pub List'!$C93:$T93,"&lt;&gt;")</f>
        <v>0</v>
      </c>
      <c r="Q93" s="20" t="e">
        <f t="shared" si="2"/>
        <v>#N/A</v>
      </c>
      <c r="R93" s="36"/>
      <c r="S93" s="18">
        <f>COUNTIF('Member List'!$C93:$J93,"&lt;&gt;")</f>
        <v>0</v>
      </c>
      <c r="T93" s="35"/>
      <c r="U93" s="24">
        <f t="shared" si="3"/>
        <v>0</v>
      </c>
      <c r="V93" s="18" t="e">
        <f t="shared" si="4"/>
        <v>#N/A</v>
      </c>
      <c r="W93" s="45" t="e">
        <f t="shared" si="5"/>
        <v>#N/A</v>
      </c>
      <c r="X93" s="20" t="e">
        <f t="shared" si="6"/>
        <v>#N/A</v>
      </c>
      <c r="Y93" s="46" t="e">
        <f t="shared" si="9"/>
        <v>#N/A</v>
      </c>
      <c r="Z93" s="39" t="e">
        <f t="shared" si="7"/>
        <v>#N/A</v>
      </c>
      <c r="AA93" s="39" t="e">
        <f t="shared" si="8"/>
        <v>#N/A</v>
      </c>
      <c r="AB93" s="39"/>
      <c r="AC93" s="48" t="e">
        <f t="shared" si="10"/>
        <v>#N/A</v>
      </c>
    </row>
    <row r="94" spans="1:29" ht="12.5" x14ac:dyDescent="0.25">
      <c r="A94" s="36"/>
      <c r="B94" s="33"/>
      <c r="C94" s="33"/>
      <c r="D94" s="33"/>
      <c r="E94" s="35"/>
      <c r="F94" s="21"/>
      <c r="G94" s="22" t="e">
        <f>VLOOKUP(E94,'Court List'!$A:$C,2,0)</f>
        <v>#N/A</v>
      </c>
      <c r="H94" s="33"/>
      <c r="I94" s="33"/>
      <c r="J94" s="44" t="e">
        <f t="shared" si="0"/>
        <v>#N/A</v>
      </c>
      <c r="K94" s="36"/>
      <c r="L94" s="18">
        <f>SUM('Shuttle Count - Supreme (Nov 20'!C94:D94)</f>
        <v>0</v>
      </c>
      <c r="M94" s="18" t="e">
        <f>VLOOKUP(K94,'Shuttle Purchase'!A:C,3,0)</f>
        <v>#N/A</v>
      </c>
      <c r="N94" s="44" t="e">
        <f t="shared" si="15"/>
        <v>#N/A</v>
      </c>
      <c r="O94" s="24" t="e">
        <f>VLOOKUP(E94,'Court List'!$A:$C,3,0)</f>
        <v>#N/A</v>
      </c>
      <c r="P94" s="18">
        <f>COUNTIF('Pub List'!$C94:$T94,"&lt;&gt;")</f>
        <v>0</v>
      </c>
      <c r="Q94" s="20" t="e">
        <f t="shared" si="2"/>
        <v>#N/A</v>
      </c>
      <c r="R94" s="36"/>
      <c r="S94" s="18">
        <f>COUNTIF('Member List'!$C94:$J94,"&lt;&gt;")</f>
        <v>0</v>
      </c>
      <c r="T94" s="35"/>
      <c r="U94" s="24">
        <f t="shared" si="3"/>
        <v>0</v>
      </c>
      <c r="V94" s="18" t="e">
        <f t="shared" si="4"/>
        <v>#N/A</v>
      </c>
      <c r="W94" s="45" t="e">
        <f t="shared" si="5"/>
        <v>#N/A</v>
      </c>
      <c r="X94" s="20" t="e">
        <f t="shared" si="6"/>
        <v>#N/A</v>
      </c>
      <c r="Y94" s="46" t="e">
        <f t="shared" si="9"/>
        <v>#N/A</v>
      </c>
      <c r="Z94" s="39" t="e">
        <f t="shared" si="7"/>
        <v>#N/A</v>
      </c>
      <c r="AA94" s="39" t="e">
        <f t="shared" si="8"/>
        <v>#N/A</v>
      </c>
      <c r="AB94" s="39"/>
      <c r="AC94" s="48" t="e">
        <f t="shared" si="10"/>
        <v>#N/A</v>
      </c>
    </row>
    <row r="95" spans="1:29" ht="12.5" x14ac:dyDescent="0.25">
      <c r="A95" s="36"/>
      <c r="B95" s="33"/>
      <c r="C95" s="33"/>
      <c r="D95" s="33"/>
      <c r="E95" s="35"/>
      <c r="F95" s="21"/>
      <c r="G95" s="22" t="e">
        <f>VLOOKUP(E95,'Court List'!$A:$C,2,0)</f>
        <v>#N/A</v>
      </c>
      <c r="H95" s="33"/>
      <c r="I95" s="33"/>
      <c r="J95" s="44" t="e">
        <f t="shared" si="0"/>
        <v>#N/A</v>
      </c>
      <c r="K95" s="36"/>
      <c r="L95" s="18">
        <f>SUM('Shuttle Count - Supreme (Nov 20'!C95:D95)</f>
        <v>0</v>
      </c>
      <c r="M95" s="18" t="e">
        <f>VLOOKUP(K95,'Shuttle Purchase'!A:C,3,0)</f>
        <v>#N/A</v>
      </c>
      <c r="N95" s="44" t="e">
        <f t="shared" si="15"/>
        <v>#N/A</v>
      </c>
      <c r="O95" s="24" t="e">
        <f>VLOOKUP(E95,'Court List'!$A:$C,3,0)</f>
        <v>#N/A</v>
      </c>
      <c r="P95" s="18">
        <f>COUNTIF('Pub List'!$C95:$T95,"&lt;&gt;")</f>
        <v>0</v>
      </c>
      <c r="Q95" s="20" t="e">
        <f t="shared" si="2"/>
        <v>#N/A</v>
      </c>
      <c r="R95" s="36"/>
      <c r="S95" s="18">
        <f>COUNTIF('Member List'!$C95:$J95,"&lt;&gt;")</f>
        <v>0</v>
      </c>
      <c r="T95" s="35"/>
      <c r="U95" s="24">
        <f t="shared" si="3"/>
        <v>0</v>
      </c>
      <c r="V95" s="18" t="e">
        <f t="shared" si="4"/>
        <v>#N/A</v>
      </c>
      <c r="W95" s="45" t="e">
        <f t="shared" si="5"/>
        <v>#N/A</v>
      </c>
      <c r="X95" s="20" t="e">
        <f t="shared" si="6"/>
        <v>#N/A</v>
      </c>
      <c r="Y95" s="46" t="e">
        <f t="shared" si="9"/>
        <v>#N/A</v>
      </c>
      <c r="Z95" s="39" t="e">
        <f t="shared" si="7"/>
        <v>#N/A</v>
      </c>
      <c r="AA95" s="39" t="e">
        <f t="shared" si="8"/>
        <v>#N/A</v>
      </c>
      <c r="AB95" s="39"/>
      <c r="AC95" s="48" t="e">
        <f t="shared" si="10"/>
        <v>#N/A</v>
      </c>
    </row>
    <row r="96" spans="1:29" ht="12.5" x14ac:dyDescent="0.25">
      <c r="A96" s="36"/>
      <c r="B96" s="33"/>
      <c r="C96" s="33"/>
      <c r="D96" s="33"/>
      <c r="E96" s="35"/>
      <c r="F96" s="21"/>
      <c r="G96" s="22" t="e">
        <f>VLOOKUP(E96,'Court List'!$A:$C,2,0)</f>
        <v>#N/A</v>
      </c>
      <c r="H96" s="33"/>
      <c r="I96" s="33"/>
      <c r="J96" s="44" t="e">
        <f t="shared" si="0"/>
        <v>#N/A</v>
      </c>
      <c r="K96" s="36"/>
      <c r="L96" s="18">
        <f>SUM('Shuttle Count - Supreme (Nov 20'!C96:D96)</f>
        <v>0</v>
      </c>
      <c r="M96" s="18" t="e">
        <f>VLOOKUP(K96,'Shuttle Purchase'!A:C,3,0)</f>
        <v>#N/A</v>
      </c>
      <c r="N96" s="44" t="e">
        <f t="shared" si="15"/>
        <v>#N/A</v>
      </c>
      <c r="O96" s="24" t="e">
        <f>VLOOKUP(E96,'Court List'!$A:$C,3,0)</f>
        <v>#N/A</v>
      </c>
      <c r="P96" s="18">
        <f>COUNTIF('Pub List'!$C96:$T96,"&lt;&gt;")</f>
        <v>0</v>
      </c>
      <c r="Q96" s="20" t="e">
        <f t="shared" si="2"/>
        <v>#N/A</v>
      </c>
      <c r="R96" s="36"/>
      <c r="S96" s="18">
        <f>COUNTIF('Member List'!$C96:$J96,"&lt;&gt;")</f>
        <v>0</v>
      </c>
      <c r="T96" s="35"/>
      <c r="U96" s="24">
        <f t="shared" si="3"/>
        <v>0</v>
      </c>
      <c r="V96" s="18" t="e">
        <f t="shared" si="4"/>
        <v>#N/A</v>
      </c>
      <c r="W96" s="45" t="e">
        <f t="shared" si="5"/>
        <v>#N/A</v>
      </c>
      <c r="X96" s="20" t="e">
        <f t="shared" si="6"/>
        <v>#N/A</v>
      </c>
      <c r="Y96" s="46" t="e">
        <f t="shared" si="9"/>
        <v>#N/A</v>
      </c>
      <c r="Z96" s="39" t="e">
        <f t="shared" si="7"/>
        <v>#N/A</v>
      </c>
      <c r="AA96" s="39" t="e">
        <f t="shared" si="8"/>
        <v>#N/A</v>
      </c>
      <c r="AB96" s="39"/>
      <c r="AC96" s="48" t="e">
        <f t="shared" si="10"/>
        <v>#N/A</v>
      </c>
    </row>
    <row r="97" spans="1:29" ht="12.5" x14ac:dyDescent="0.25">
      <c r="A97" s="36"/>
      <c r="B97" s="33"/>
      <c r="C97" s="33"/>
      <c r="D97" s="33"/>
      <c r="E97" s="35"/>
      <c r="F97" s="21"/>
      <c r="G97" s="22" t="e">
        <f>VLOOKUP(E97,'Court List'!$A:$C,2,0)</f>
        <v>#N/A</v>
      </c>
      <c r="H97" s="33"/>
      <c r="I97" s="33"/>
      <c r="J97" s="44" t="e">
        <f t="shared" si="0"/>
        <v>#N/A</v>
      </c>
      <c r="K97" s="36"/>
      <c r="L97" s="18">
        <f>SUM('Shuttle Count - Supreme (Nov 20'!C97:D97)</f>
        <v>0</v>
      </c>
      <c r="M97" s="18" t="e">
        <f>VLOOKUP(K97,'Shuttle Purchase'!A:C,3,0)</f>
        <v>#N/A</v>
      </c>
      <c r="N97" s="44" t="e">
        <f t="shared" si="15"/>
        <v>#N/A</v>
      </c>
      <c r="O97" s="24" t="e">
        <f>VLOOKUP(E97,'Court List'!$A:$C,3,0)</f>
        <v>#N/A</v>
      </c>
      <c r="P97" s="18">
        <f>COUNTIF('Pub List'!$C97:$T97,"&lt;&gt;")</f>
        <v>0</v>
      </c>
      <c r="Q97" s="20" t="e">
        <f t="shared" si="2"/>
        <v>#N/A</v>
      </c>
      <c r="R97" s="36"/>
      <c r="S97" s="18">
        <f>COUNTIF('Member List'!$C97:$J97,"&lt;&gt;")</f>
        <v>0</v>
      </c>
      <c r="T97" s="35"/>
      <c r="U97" s="24">
        <f t="shared" si="3"/>
        <v>0</v>
      </c>
      <c r="V97" s="18" t="e">
        <f t="shared" si="4"/>
        <v>#N/A</v>
      </c>
      <c r="W97" s="45" t="e">
        <f t="shared" si="5"/>
        <v>#N/A</v>
      </c>
      <c r="X97" s="20" t="e">
        <f t="shared" si="6"/>
        <v>#N/A</v>
      </c>
      <c r="Y97" s="46" t="e">
        <f t="shared" si="9"/>
        <v>#N/A</v>
      </c>
      <c r="Z97" s="39" t="e">
        <f t="shared" si="7"/>
        <v>#N/A</v>
      </c>
      <c r="AA97" s="39" t="e">
        <f t="shared" si="8"/>
        <v>#N/A</v>
      </c>
      <c r="AB97" s="39"/>
      <c r="AC97" s="48" t="e">
        <f t="shared" si="10"/>
        <v>#N/A</v>
      </c>
    </row>
    <row r="98" spans="1:29" ht="12.5" x14ac:dyDescent="0.25">
      <c r="A98" s="36"/>
      <c r="B98" s="33"/>
      <c r="C98" s="33"/>
      <c r="D98" s="33"/>
      <c r="E98" s="35"/>
      <c r="F98" s="21"/>
      <c r="G98" s="22" t="e">
        <f>VLOOKUP(E98,'Court List'!$A:$C,2,0)</f>
        <v>#N/A</v>
      </c>
      <c r="H98" s="33"/>
      <c r="I98" s="33"/>
      <c r="J98" s="44" t="e">
        <f t="shared" si="0"/>
        <v>#N/A</v>
      </c>
      <c r="K98" s="36"/>
      <c r="L98" s="18">
        <f>SUM('Shuttle Count - Supreme (Nov 20'!C98:D98)</f>
        <v>0</v>
      </c>
      <c r="M98" s="18" t="e">
        <f>VLOOKUP(K98,'Shuttle Purchase'!A:C,3,0)</f>
        <v>#N/A</v>
      </c>
      <c r="N98" s="44" t="e">
        <f t="shared" si="15"/>
        <v>#N/A</v>
      </c>
      <c r="O98" s="24" t="e">
        <f>VLOOKUP(E98,'Court List'!$A:$C,3,0)</f>
        <v>#N/A</v>
      </c>
      <c r="P98" s="18">
        <f>COUNTIF('Pub List'!$C98:$T98,"&lt;&gt;")</f>
        <v>0</v>
      </c>
      <c r="Q98" s="20" t="e">
        <f t="shared" si="2"/>
        <v>#N/A</v>
      </c>
      <c r="R98" s="36"/>
      <c r="S98" s="18">
        <f>COUNTIF('Member List'!$C98:$J98,"&lt;&gt;")</f>
        <v>0</v>
      </c>
      <c r="T98" s="35"/>
      <c r="U98" s="24">
        <f t="shared" si="3"/>
        <v>0</v>
      </c>
      <c r="V98" s="18" t="e">
        <f t="shared" si="4"/>
        <v>#N/A</v>
      </c>
      <c r="W98" s="45" t="e">
        <f t="shared" si="5"/>
        <v>#N/A</v>
      </c>
      <c r="X98" s="20" t="e">
        <f t="shared" si="6"/>
        <v>#N/A</v>
      </c>
      <c r="Y98" s="46" t="e">
        <f t="shared" si="9"/>
        <v>#N/A</v>
      </c>
      <c r="Z98" s="39" t="e">
        <f t="shared" si="7"/>
        <v>#N/A</v>
      </c>
      <c r="AA98" s="39" t="e">
        <f t="shared" si="8"/>
        <v>#N/A</v>
      </c>
      <c r="AB98" s="39"/>
      <c r="AC98" s="48" t="e">
        <f t="shared" si="10"/>
        <v>#N/A</v>
      </c>
    </row>
    <row r="99" spans="1:29" ht="12.5" x14ac:dyDescent="0.25">
      <c r="A99" s="36"/>
      <c r="B99" s="33"/>
      <c r="C99" s="33"/>
      <c r="D99" s="33"/>
      <c r="E99" s="35"/>
      <c r="F99" s="21"/>
      <c r="G99" s="22" t="e">
        <f>VLOOKUP(E99,'Court List'!$A:$C,2,0)</f>
        <v>#N/A</v>
      </c>
      <c r="H99" s="33"/>
      <c r="I99" s="33"/>
      <c r="J99" s="44" t="e">
        <f t="shared" si="0"/>
        <v>#N/A</v>
      </c>
      <c r="K99" s="36"/>
      <c r="L99" s="18">
        <f>SUM('Shuttle Count - Supreme (Nov 20'!C99:D99)</f>
        <v>0</v>
      </c>
      <c r="M99" s="18" t="e">
        <f>VLOOKUP(K99,'Shuttle Purchase'!A:C,3,0)</f>
        <v>#N/A</v>
      </c>
      <c r="N99" s="44" t="e">
        <f t="shared" si="15"/>
        <v>#N/A</v>
      </c>
      <c r="O99" s="24" t="e">
        <f>VLOOKUP(E99,'Court List'!$A:$C,3,0)</f>
        <v>#N/A</v>
      </c>
      <c r="P99" s="18">
        <f>COUNTIF('Pub List'!$C99:$T99,"&lt;&gt;")</f>
        <v>0</v>
      </c>
      <c r="Q99" s="20" t="e">
        <f t="shared" si="2"/>
        <v>#N/A</v>
      </c>
      <c r="R99" s="36"/>
      <c r="S99" s="18">
        <f>COUNTIF('Member List'!$C99:$J99,"&lt;&gt;")</f>
        <v>0</v>
      </c>
      <c r="T99" s="35"/>
      <c r="U99" s="24">
        <f t="shared" si="3"/>
        <v>0</v>
      </c>
      <c r="V99" s="18" t="e">
        <f t="shared" si="4"/>
        <v>#N/A</v>
      </c>
      <c r="W99" s="45" t="e">
        <f t="shared" si="5"/>
        <v>#N/A</v>
      </c>
      <c r="X99" s="20" t="e">
        <f t="shared" si="6"/>
        <v>#N/A</v>
      </c>
      <c r="Y99" s="46" t="e">
        <f t="shared" si="9"/>
        <v>#N/A</v>
      </c>
      <c r="Z99" s="39" t="e">
        <f t="shared" si="7"/>
        <v>#N/A</v>
      </c>
      <c r="AA99" s="39" t="e">
        <f t="shared" si="8"/>
        <v>#N/A</v>
      </c>
      <c r="AB99" s="39"/>
      <c r="AC99" s="48" t="e">
        <f t="shared" si="10"/>
        <v>#N/A</v>
      </c>
    </row>
    <row r="100" spans="1:29" ht="12.5" x14ac:dyDescent="0.25">
      <c r="A100" s="36"/>
      <c r="B100" s="33"/>
      <c r="C100" s="33"/>
      <c r="D100" s="33"/>
      <c r="E100" s="35"/>
      <c r="F100" s="21"/>
      <c r="G100" s="22" t="e">
        <f>VLOOKUP(E100,'Court List'!$A:$C,2,0)</f>
        <v>#N/A</v>
      </c>
      <c r="H100" s="33"/>
      <c r="I100" s="33"/>
      <c r="J100" s="44" t="e">
        <f t="shared" si="0"/>
        <v>#N/A</v>
      </c>
      <c r="K100" s="36"/>
      <c r="L100" s="18">
        <f>SUM('Shuttle Count - Supreme (Nov 20'!C100:D100)</f>
        <v>0</v>
      </c>
      <c r="M100" s="18" t="e">
        <f>VLOOKUP(K100,'Shuttle Purchase'!A:C,3,0)</f>
        <v>#N/A</v>
      </c>
      <c r="N100" s="44" t="e">
        <f t="shared" si="15"/>
        <v>#N/A</v>
      </c>
      <c r="O100" s="24" t="e">
        <f>VLOOKUP(E100,'Court List'!$A:$C,3,0)</f>
        <v>#N/A</v>
      </c>
      <c r="P100" s="18">
        <f>COUNTIF('Pub List'!$C100:$T100,"&lt;&gt;")</f>
        <v>0</v>
      </c>
      <c r="Q100" s="20" t="e">
        <f t="shared" si="2"/>
        <v>#N/A</v>
      </c>
      <c r="R100" s="36"/>
      <c r="S100" s="18">
        <f>COUNTIF('Member List'!$C100:$J100,"&lt;&gt;")</f>
        <v>0</v>
      </c>
      <c r="T100" s="35"/>
      <c r="U100" s="24">
        <f t="shared" si="3"/>
        <v>0</v>
      </c>
      <c r="V100" s="18" t="e">
        <f t="shared" si="4"/>
        <v>#N/A</v>
      </c>
      <c r="W100" s="45" t="e">
        <f t="shared" si="5"/>
        <v>#N/A</v>
      </c>
      <c r="X100" s="20" t="e">
        <f t="shared" si="6"/>
        <v>#N/A</v>
      </c>
      <c r="Y100" s="46" t="e">
        <f t="shared" si="9"/>
        <v>#N/A</v>
      </c>
      <c r="Z100" s="39" t="e">
        <f t="shared" si="7"/>
        <v>#N/A</v>
      </c>
      <c r="AA100" s="39" t="e">
        <f t="shared" si="8"/>
        <v>#N/A</v>
      </c>
      <c r="AB100" s="39"/>
      <c r="AC100" s="48" t="e">
        <f t="shared" si="10"/>
        <v>#N/A</v>
      </c>
    </row>
    <row r="101" spans="1:29" ht="12.5" x14ac:dyDescent="0.25">
      <c r="A101" s="36"/>
      <c r="B101" s="33"/>
      <c r="C101" s="33"/>
      <c r="D101" s="33"/>
      <c r="E101" s="35"/>
      <c r="F101" s="21"/>
      <c r="G101" s="22" t="e">
        <f>VLOOKUP(E101,'Court List'!$A:$C,2,0)</f>
        <v>#N/A</v>
      </c>
      <c r="H101" s="33"/>
      <c r="I101" s="33"/>
      <c r="J101" s="44" t="e">
        <f t="shared" si="0"/>
        <v>#N/A</v>
      </c>
      <c r="K101" s="36"/>
      <c r="L101" s="18">
        <f>SUM('Shuttle Count - Supreme (Nov 20'!C101:D101)</f>
        <v>0</v>
      </c>
      <c r="M101" s="18" t="e">
        <f>VLOOKUP(K101,'Shuttle Purchase'!A:C,3,0)</f>
        <v>#N/A</v>
      </c>
      <c r="N101" s="44" t="e">
        <f t="shared" si="15"/>
        <v>#N/A</v>
      </c>
      <c r="O101" s="24" t="e">
        <f>VLOOKUP(E101,'Court List'!$A:$C,3,0)</f>
        <v>#N/A</v>
      </c>
      <c r="P101" s="18">
        <f>COUNTIF('Pub List'!$C101:$T101,"&lt;&gt;")</f>
        <v>0</v>
      </c>
      <c r="Q101" s="20" t="e">
        <f t="shared" si="2"/>
        <v>#N/A</v>
      </c>
      <c r="R101" s="36"/>
      <c r="S101" s="18">
        <f>COUNTIF('Member List'!$C101:$J101,"&lt;&gt;")</f>
        <v>0</v>
      </c>
      <c r="T101" s="35"/>
      <c r="U101" s="24">
        <f t="shared" si="3"/>
        <v>0</v>
      </c>
      <c r="V101" s="18" t="e">
        <f t="shared" si="4"/>
        <v>#N/A</v>
      </c>
      <c r="W101" s="45" t="e">
        <f t="shared" si="5"/>
        <v>#N/A</v>
      </c>
      <c r="X101" s="20" t="e">
        <f t="shared" si="6"/>
        <v>#N/A</v>
      </c>
      <c r="Y101" s="46" t="e">
        <f t="shared" si="9"/>
        <v>#N/A</v>
      </c>
      <c r="Z101" s="39" t="e">
        <f t="shared" si="7"/>
        <v>#N/A</v>
      </c>
      <c r="AA101" s="39" t="e">
        <f t="shared" si="8"/>
        <v>#N/A</v>
      </c>
      <c r="AB101" s="39"/>
      <c r="AC101" s="48" t="e">
        <f t="shared" si="10"/>
        <v>#N/A</v>
      </c>
    </row>
    <row r="102" spans="1:29" ht="12.5" x14ac:dyDescent="0.25">
      <c r="A102" s="36"/>
      <c r="B102" s="33"/>
      <c r="C102" s="33"/>
      <c r="D102" s="33"/>
      <c r="E102" s="35"/>
      <c r="F102" s="21"/>
      <c r="G102" s="22" t="e">
        <f>VLOOKUP(E102,'Court List'!$A:$C,2,0)</f>
        <v>#N/A</v>
      </c>
      <c r="H102" s="33"/>
      <c r="I102" s="33"/>
      <c r="J102" s="44" t="e">
        <f t="shared" si="0"/>
        <v>#N/A</v>
      </c>
      <c r="K102" s="36"/>
      <c r="L102" s="18">
        <f>SUM('Shuttle Count - Supreme (Nov 20'!C102:D102)</f>
        <v>0</v>
      </c>
      <c r="M102" s="18" t="e">
        <f>VLOOKUP(K102,'Shuttle Purchase'!A:C,3,0)</f>
        <v>#N/A</v>
      </c>
      <c r="N102" s="44" t="e">
        <f t="shared" si="15"/>
        <v>#N/A</v>
      </c>
      <c r="O102" s="24" t="e">
        <f>VLOOKUP(E102,'Court List'!$A:$C,3,0)</f>
        <v>#N/A</v>
      </c>
      <c r="P102" s="18">
        <f>COUNTIF('Pub List'!$C102:$T102,"&lt;&gt;")</f>
        <v>0</v>
      </c>
      <c r="Q102" s="20" t="e">
        <f t="shared" si="2"/>
        <v>#N/A</v>
      </c>
      <c r="R102" s="36"/>
      <c r="S102" s="18">
        <f>COUNTIF('Member List'!$C102:$J102,"&lt;&gt;")</f>
        <v>0</v>
      </c>
      <c r="T102" s="35"/>
      <c r="U102" s="24">
        <f t="shared" si="3"/>
        <v>0</v>
      </c>
      <c r="V102" s="18" t="e">
        <f t="shared" si="4"/>
        <v>#N/A</v>
      </c>
      <c r="W102" s="45" t="e">
        <f t="shared" si="5"/>
        <v>#N/A</v>
      </c>
      <c r="X102" s="20" t="e">
        <f t="shared" si="6"/>
        <v>#N/A</v>
      </c>
      <c r="Y102" s="46" t="e">
        <f t="shared" si="9"/>
        <v>#N/A</v>
      </c>
      <c r="Z102" s="39" t="e">
        <f t="shared" si="7"/>
        <v>#N/A</v>
      </c>
      <c r="AA102" s="39" t="e">
        <f t="shared" si="8"/>
        <v>#N/A</v>
      </c>
      <c r="AB102" s="39"/>
      <c r="AC102" s="48" t="e">
        <f t="shared" si="10"/>
        <v>#N/A</v>
      </c>
    </row>
    <row r="103" spans="1:29" ht="12.5" x14ac:dyDescent="0.25">
      <c r="A103" s="36"/>
      <c r="B103" s="33"/>
      <c r="C103" s="33"/>
      <c r="D103" s="33"/>
      <c r="E103" s="35"/>
      <c r="F103" s="21"/>
      <c r="G103" s="22" t="e">
        <f>VLOOKUP(E103,'Court List'!$A:$C,2,0)</f>
        <v>#N/A</v>
      </c>
      <c r="H103" s="33"/>
      <c r="I103" s="33"/>
      <c r="J103" s="44" t="e">
        <f t="shared" si="0"/>
        <v>#N/A</v>
      </c>
      <c r="K103" s="36"/>
      <c r="L103" s="18">
        <f>SUM('Shuttle Count - Supreme (Nov 20'!C103:D103)</f>
        <v>0</v>
      </c>
      <c r="M103" s="18" t="e">
        <f>VLOOKUP(K103,'Shuttle Purchase'!A:C,3,0)</f>
        <v>#N/A</v>
      </c>
      <c r="N103" s="44" t="e">
        <f t="shared" si="15"/>
        <v>#N/A</v>
      </c>
      <c r="O103" s="24" t="e">
        <f>VLOOKUP(E103,'Court List'!$A:$C,3,0)</f>
        <v>#N/A</v>
      </c>
      <c r="P103" s="18">
        <f>COUNTIF('Pub List'!$C103:$T103,"&lt;&gt;")</f>
        <v>0</v>
      </c>
      <c r="Q103" s="20" t="e">
        <f t="shared" si="2"/>
        <v>#N/A</v>
      </c>
      <c r="R103" s="36"/>
      <c r="S103" s="18">
        <f>COUNTIF('Member List'!$C103:$J103,"&lt;&gt;")</f>
        <v>0</v>
      </c>
      <c r="T103" s="35"/>
      <c r="U103" s="24">
        <f t="shared" si="3"/>
        <v>0</v>
      </c>
      <c r="V103" s="18" t="e">
        <f t="shared" si="4"/>
        <v>#N/A</v>
      </c>
      <c r="W103" s="45" t="e">
        <f t="shared" si="5"/>
        <v>#N/A</v>
      </c>
      <c r="X103" s="20" t="e">
        <f t="shared" si="6"/>
        <v>#N/A</v>
      </c>
      <c r="Y103" s="46" t="e">
        <f t="shared" si="9"/>
        <v>#N/A</v>
      </c>
      <c r="Z103" s="39" t="e">
        <f t="shared" si="7"/>
        <v>#N/A</v>
      </c>
      <c r="AA103" s="39" t="e">
        <f t="shared" si="8"/>
        <v>#N/A</v>
      </c>
      <c r="AB103" s="39"/>
      <c r="AC103" s="48" t="e">
        <f t="shared" si="10"/>
        <v>#N/A</v>
      </c>
    </row>
    <row r="104" spans="1:29" ht="12.5" x14ac:dyDescent="0.25">
      <c r="A104" s="36"/>
      <c r="B104" s="33"/>
      <c r="C104" s="33"/>
      <c r="D104" s="33"/>
      <c r="E104" s="35"/>
      <c r="F104" s="21"/>
      <c r="G104" s="22" t="e">
        <f>VLOOKUP(E104,'Court List'!$A:$C,2,0)</f>
        <v>#N/A</v>
      </c>
      <c r="H104" s="33"/>
      <c r="I104" s="33"/>
      <c r="J104" s="44" t="e">
        <f t="shared" si="0"/>
        <v>#N/A</v>
      </c>
      <c r="K104" s="36"/>
      <c r="L104" s="18">
        <f>SUM('Shuttle Count - Supreme (Nov 20'!C104:D104)</f>
        <v>0</v>
      </c>
      <c r="M104" s="18" t="e">
        <f>VLOOKUP(K104,'Shuttle Purchase'!A:C,3,0)</f>
        <v>#N/A</v>
      </c>
      <c r="N104" s="44" t="e">
        <f t="shared" si="15"/>
        <v>#N/A</v>
      </c>
      <c r="O104" s="24" t="e">
        <f>VLOOKUP(E104,'Court List'!$A:$C,3,0)</f>
        <v>#N/A</v>
      </c>
      <c r="P104" s="18">
        <f>COUNTIF('Pub List'!$C104:$T104,"&lt;&gt;")</f>
        <v>0</v>
      </c>
      <c r="Q104" s="20" t="e">
        <f t="shared" si="2"/>
        <v>#N/A</v>
      </c>
      <c r="R104" s="36"/>
      <c r="S104" s="18">
        <f>COUNTIF('Member List'!$C104:$J104,"&lt;&gt;")</f>
        <v>0</v>
      </c>
      <c r="T104" s="35"/>
      <c r="U104" s="24">
        <f t="shared" si="3"/>
        <v>0</v>
      </c>
      <c r="V104" s="18" t="e">
        <f t="shared" si="4"/>
        <v>#N/A</v>
      </c>
      <c r="W104" s="45" t="e">
        <f t="shared" si="5"/>
        <v>#N/A</v>
      </c>
      <c r="X104" s="20" t="e">
        <f t="shared" si="6"/>
        <v>#N/A</v>
      </c>
      <c r="Y104" s="46" t="e">
        <f t="shared" si="9"/>
        <v>#N/A</v>
      </c>
      <c r="Z104" s="39" t="e">
        <f t="shared" si="7"/>
        <v>#N/A</v>
      </c>
      <c r="AA104" s="39" t="e">
        <f t="shared" si="8"/>
        <v>#N/A</v>
      </c>
      <c r="AB104" s="39"/>
      <c r="AC104" s="48" t="e">
        <f t="shared" si="10"/>
        <v>#N/A</v>
      </c>
    </row>
    <row r="105" spans="1:29" ht="12.5" x14ac:dyDescent="0.25">
      <c r="A105" s="36"/>
      <c r="B105" s="33"/>
      <c r="C105" s="33"/>
      <c r="D105" s="33"/>
      <c r="E105" s="35"/>
      <c r="F105" s="21"/>
      <c r="G105" s="22" t="e">
        <f>VLOOKUP(E105,'Court List'!$A:$C,2,0)</f>
        <v>#N/A</v>
      </c>
      <c r="H105" s="33"/>
      <c r="I105" s="33"/>
      <c r="J105" s="44" t="e">
        <f t="shared" si="0"/>
        <v>#N/A</v>
      </c>
      <c r="K105" s="36"/>
      <c r="L105" s="18">
        <f>SUM('Shuttle Count - Supreme (Nov 20'!C105:D105)</f>
        <v>0</v>
      </c>
      <c r="M105" s="18" t="e">
        <f>VLOOKUP(K105,'Shuttle Purchase'!A:C,3,0)</f>
        <v>#N/A</v>
      </c>
      <c r="N105" s="44" t="e">
        <f t="shared" si="15"/>
        <v>#N/A</v>
      </c>
      <c r="O105" s="24" t="e">
        <f>VLOOKUP(E105,'Court List'!$A:$C,3,0)</f>
        <v>#N/A</v>
      </c>
      <c r="P105" s="18">
        <f>COUNTIF('Pub List'!$C105:$T105,"&lt;&gt;")</f>
        <v>0</v>
      </c>
      <c r="Q105" s="20" t="e">
        <f t="shared" si="2"/>
        <v>#N/A</v>
      </c>
      <c r="R105" s="36"/>
      <c r="S105" s="18">
        <f>COUNTIF('Member List'!$C105:$J105,"&lt;&gt;")</f>
        <v>0</v>
      </c>
      <c r="T105" s="35"/>
      <c r="U105" s="24">
        <f t="shared" si="3"/>
        <v>0</v>
      </c>
      <c r="V105" s="18" t="e">
        <f t="shared" si="4"/>
        <v>#N/A</v>
      </c>
      <c r="W105" s="45" t="e">
        <f t="shared" si="5"/>
        <v>#N/A</v>
      </c>
      <c r="X105" s="20" t="e">
        <f t="shared" si="6"/>
        <v>#N/A</v>
      </c>
      <c r="Y105" s="46" t="e">
        <f t="shared" si="9"/>
        <v>#N/A</v>
      </c>
      <c r="Z105" s="39" t="e">
        <f t="shared" si="7"/>
        <v>#N/A</v>
      </c>
      <c r="AA105" s="39" t="e">
        <f t="shared" si="8"/>
        <v>#N/A</v>
      </c>
      <c r="AB105" s="39"/>
      <c r="AC105" s="48" t="e">
        <f t="shared" si="10"/>
        <v>#N/A</v>
      </c>
    </row>
    <row r="106" spans="1:29" ht="12.5" x14ac:dyDescent="0.25">
      <c r="A106" s="36"/>
      <c r="B106" s="33"/>
      <c r="C106" s="33"/>
      <c r="D106" s="33"/>
      <c r="E106" s="35"/>
      <c r="F106" s="21"/>
      <c r="G106" s="22" t="e">
        <f>VLOOKUP(E106,'Court List'!$A:$C,2,0)</f>
        <v>#N/A</v>
      </c>
      <c r="H106" s="33"/>
      <c r="I106" s="33"/>
      <c r="J106" s="44" t="e">
        <f t="shared" si="0"/>
        <v>#N/A</v>
      </c>
      <c r="K106" s="36"/>
      <c r="L106" s="18">
        <f>SUM('Shuttle Count - Supreme (Nov 20'!C106:D106)</f>
        <v>0</v>
      </c>
      <c r="M106" s="18" t="e">
        <f>VLOOKUP(K106,'Shuttle Purchase'!A:C,3,0)</f>
        <v>#N/A</v>
      </c>
      <c r="N106" s="44" t="e">
        <f t="shared" si="15"/>
        <v>#N/A</v>
      </c>
      <c r="O106" s="24" t="e">
        <f>VLOOKUP(E106,'Court List'!$A:$C,3,0)</f>
        <v>#N/A</v>
      </c>
      <c r="P106" s="18">
        <f>COUNTIF('Pub List'!$C106:$T106,"&lt;&gt;")</f>
        <v>0</v>
      </c>
      <c r="Q106" s="20" t="e">
        <f t="shared" si="2"/>
        <v>#N/A</v>
      </c>
      <c r="R106" s="36"/>
      <c r="S106" s="18">
        <f>COUNTIF('Member List'!$C106:$J106,"&lt;&gt;")</f>
        <v>0</v>
      </c>
      <c r="T106" s="35"/>
      <c r="U106" s="24">
        <f t="shared" si="3"/>
        <v>0</v>
      </c>
      <c r="V106" s="18" t="e">
        <f t="shared" si="4"/>
        <v>#N/A</v>
      </c>
      <c r="W106" s="45" t="e">
        <f t="shared" si="5"/>
        <v>#N/A</v>
      </c>
      <c r="X106" s="20" t="e">
        <f t="shared" si="6"/>
        <v>#N/A</v>
      </c>
      <c r="Y106" s="46" t="e">
        <f t="shared" si="9"/>
        <v>#N/A</v>
      </c>
      <c r="Z106" s="39" t="e">
        <f t="shared" si="7"/>
        <v>#N/A</v>
      </c>
      <c r="AA106" s="39" t="e">
        <f t="shared" si="8"/>
        <v>#N/A</v>
      </c>
      <c r="AB106" s="39"/>
      <c r="AC106" s="48" t="e">
        <f t="shared" si="10"/>
        <v>#N/A</v>
      </c>
    </row>
    <row r="107" spans="1:29" ht="12.5" x14ac:dyDescent="0.25">
      <c r="A107" s="36"/>
      <c r="B107" s="33"/>
      <c r="C107" s="33"/>
      <c r="D107" s="33"/>
      <c r="E107" s="35"/>
      <c r="F107" s="21"/>
      <c r="G107" s="22" t="e">
        <f>VLOOKUP(E107,'Court List'!$A:$C,2,0)</f>
        <v>#N/A</v>
      </c>
      <c r="H107" s="33"/>
      <c r="I107" s="33"/>
      <c r="J107" s="44" t="e">
        <f t="shared" si="0"/>
        <v>#N/A</v>
      </c>
      <c r="K107" s="36"/>
      <c r="L107" s="18">
        <f>SUM('Shuttle Count - Supreme (Nov 20'!C107:D107)</f>
        <v>0</v>
      </c>
      <c r="M107" s="18" t="e">
        <f>VLOOKUP(K107,'Shuttle Purchase'!A:C,3,0)</f>
        <v>#N/A</v>
      </c>
      <c r="N107" s="44" t="e">
        <f t="shared" si="15"/>
        <v>#N/A</v>
      </c>
      <c r="O107" s="24" t="e">
        <f>VLOOKUP(E107,'Court List'!$A:$C,3,0)</f>
        <v>#N/A</v>
      </c>
      <c r="P107" s="18">
        <f>COUNTIF('Pub List'!$C107:$T107,"&lt;&gt;")</f>
        <v>0</v>
      </c>
      <c r="Q107" s="20" t="e">
        <f t="shared" si="2"/>
        <v>#N/A</v>
      </c>
      <c r="R107" s="36"/>
      <c r="S107" s="18">
        <f>COUNTIF('Member List'!$C107:$J107,"&lt;&gt;")</f>
        <v>0</v>
      </c>
      <c r="T107" s="35"/>
      <c r="U107" s="24">
        <f t="shared" si="3"/>
        <v>0</v>
      </c>
      <c r="V107" s="18" t="e">
        <f t="shared" si="4"/>
        <v>#N/A</v>
      </c>
      <c r="W107" s="45" t="e">
        <f t="shared" si="5"/>
        <v>#N/A</v>
      </c>
      <c r="X107" s="20" t="e">
        <f t="shared" si="6"/>
        <v>#N/A</v>
      </c>
      <c r="Y107" s="46" t="e">
        <f t="shared" si="9"/>
        <v>#N/A</v>
      </c>
      <c r="Z107" s="39" t="e">
        <f t="shared" si="7"/>
        <v>#N/A</v>
      </c>
      <c r="AA107" s="39" t="e">
        <f t="shared" si="8"/>
        <v>#N/A</v>
      </c>
      <c r="AB107" s="39"/>
      <c r="AC107" s="48" t="e">
        <f t="shared" si="10"/>
        <v>#N/A</v>
      </c>
    </row>
    <row r="108" spans="1:29" ht="12.5" x14ac:dyDescent="0.25">
      <c r="A108" s="36"/>
      <c r="B108" s="33"/>
      <c r="C108" s="33"/>
      <c r="D108" s="33"/>
      <c r="E108" s="35"/>
      <c r="F108" s="21"/>
      <c r="G108" s="22" t="e">
        <f>VLOOKUP(E108,'Court List'!$A:$C,2,0)</f>
        <v>#N/A</v>
      </c>
      <c r="H108" s="33"/>
      <c r="I108" s="33"/>
      <c r="J108" s="44" t="e">
        <f t="shared" si="0"/>
        <v>#N/A</v>
      </c>
      <c r="K108" s="36"/>
      <c r="L108" s="18">
        <f>SUM('Shuttle Count - Supreme (Nov 20'!C108:D108)</f>
        <v>0</v>
      </c>
      <c r="M108" s="18" t="e">
        <f>VLOOKUP(K108,'Shuttle Purchase'!A:C,3,0)</f>
        <v>#N/A</v>
      </c>
      <c r="N108" s="44" t="e">
        <f t="shared" si="15"/>
        <v>#N/A</v>
      </c>
      <c r="O108" s="24" t="e">
        <f>VLOOKUP(E108,'Court List'!$A:$C,3,0)</f>
        <v>#N/A</v>
      </c>
      <c r="P108" s="18">
        <f>COUNTIF('Pub List'!$C108:$T108,"&lt;&gt;")</f>
        <v>0</v>
      </c>
      <c r="Q108" s="20" t="e">
        <f t="shared" si="2"/>
        <v>#N/A</v>
      </c>
      <c r="R108" s="36"/>
      <c r="S108" s="18">
        <f>COUNTIF('Member List'!$C108:$J108,"&lt;&gt;")</f>
        <v>0</v>
      </c>
      <c r="T108" s="35"/>
      <c r="U108" s="24">
        <f t="shared" si="3"/>
        <v>0</v>
      </c>
      <c r="V108" s="18" t="e">
        <f t="shared" si="4"/>
        <v>#N/A</v>
      </c>
      <c r="W108" s="45" t="e">
        <f t="shared" si="5"/>
        <v>#N/A</v>
      </c>
      <c r="X108" s="20" t="e">
        <f t="shared" si="6"/>
        <v>#N/A</v>
      </c>
      <c r="Y108" s="46" t="e">
        <f t="shared" si="9"/>
        <v>#N/A</v>
      </c>
      <c r="Z108" s="39" t="e">
        <f t="shared" si="7"/>
        <v>#N/A</v>
      </c>
      <c r="AA108" s="39" t="e">
        <f t="shared" si="8"/>
        <v>#N/A</v>
      </c>
      <c r="AB108" s="39"/>
      <c r="AC108" s="48" t="e">
        <f t="shared" si="10"/>
        <v>#N/A</v>
      </c>
    </row>
    <row r="109" spans="1:29" ht="12.5" x14ac:dyDescent="0.25">
      <c r="A109" s="36"/>
      <c r="B109" s="33"/>
      <c r="C109" s="33"/>
      <c r="D109" s="33"/>
      <c r="E109" s="35"/>
      <c r="F109" s="21"/>
      <c r="G109" s="22" t="e">
        <f>VLOOKUP(E109,'Court List'!$A:$C,2,0)</f>
        <v>#N/A</v>
      </c>
      <c r="H109" s="33"/>
      <c r="I109" s="33"/>
      <c r="J109" s="44" t="e">
        <f t="shared" si="0"/>
        <v>#N/A</v>
      </c>
      <c r="K109" s="36"/>
      <c r="L109" s="18">
        <f>SUM('Shuttle Count - Supreme (Nov 20'!C109:D109)</f>
        <v>0</v>
      </c>
      <c r="M109" s="18" t="e">
        <f>VLOOKUP(K109,'Shuttle Purchase'!A:C,3,0)</f>
        <v>#N/A</v>
      </c>
      <c r="N109" s="44" t="e">
        <f t="shared" si="15"/>
        <v>#N/A</v>
      </c>
      <c r="O109" s="24" t="e">
        <f>VLOOKUP(E109,'Court List'!$A:$C,3,0)</f>
        <v>#N/A</v>
      </c>
      <c r="P109" s="18">
        <f>COUNTIF('Pub List'!$C109:$T109,"&lt;&gt;")</f>
        <v>0</v>
      </c>
      <c r="Q109" s="20" t="e">
        <f t="shared" si="2"/>
        <v>#N/A</v>
      </c>
      <c r="R109" s="36"/>
      <c r="S109" s="18">
        <f>COUNTIF('Member List'!$C109:$J109,"&lt;&gt;")</f>
        <v>0</v>
      </c>
      <c r="T109" s="35"/>
      <c r="U109" s="24">
        <f t="shared" si="3"/>
        <v>0</v>
      </c>
      <c r="V109" s="18" t="e">
        <f t="shared" si="4"/>
        <v>#N/A</v>
      </c>
      <c r="W109" s="45" t="e">
        <f t="shared" si="5"/>
        <v>#N/A</v>
      </c>
      <c r="X109" s="20" t="e">
        <f t="shared" si="6"/>
        <v>#N/A</v>
      </c>
      <c r="Y109" s="46" t="e">
        <f t="shared" si="9"/>
        <v>#N/A</v>
      </c>
      <c r="Z109" s="39" t="e">
        <f t="shared" si="7"/>
        <v>#N/A</v>
      </c>
      <c r="AA109" s="39" t="e">
        <f t="shared" si="8"/>
        <v>#N/A</v>
      </c>
      <c r="AB109" s="39"/>
      <c r="AC109" s="48" t="e">
        <f t="shared" si="10"/>
        <v>#N/A</v>
      </c>
    </row>
    <row r="110" spans="1:29" ht="12.5" x14ac:dyDescent="0.25">
      <c r="A110" s="36"/>
      <c r="B110" s="33"/>
      <c r="C110" s="33"/>
      <c r="D110" s="33"/>
      <c r="E110" s="35"/>
      <c r="F110" s="21"/>
      <c r="G110" s="22" t="e">
        <f>VLOOKUP(E110,'Court List'!$A:$C,2,0)</f>
        <v>#N/A</v>
      </c>
      <c r="H110" s="33"/>
      <c r="I110" s="33"/>
      <c r="J110" s="44" t="e">
        <f t="shared" si="0"/>
        <v>#N/A</v>
      </c>
      <c r="K110" s="36"/>
      <c r="L110" s="18">
        <f>SUM('Shuttle Count - Supreme (Nov 20'!C110:D110)</f>
        <v>0</v>
      </c>
      <c r="M110" s="18" t="e">
        <f>VLOOKUP(K110,'Shuttle Purchase'!A:C,3,0)</f>
        <v>#N/A</v>
      </c>
      <c r="N110" s="44" t="e">
        <f t="shared" si="15"/>
        <v>#N/A</v>
      </c>
      <c r="O110" s="24" t="e">
        <f>VLOOKUP(E110,'Court List'!$A:$C,3,0)</f>
        <v>#N/A</v>
      </c>
      <c r="P110" s="18">
        <f>COUNTIF('Pub List'!$C110:$T110,"&lt;&gt;")</f>
        <v>0</v>
      </c>
      <c r="Q110" s="20" t="e">
        <f t="shared" si="2"/>
        <v>#N/A</v>
      </c>
      <c r="R110" s="36"/>
      <c r="S110" s="18">
        <f>COUNTIF('Member List'!$C110:$J110,"&lt;&gt;")</f>
        <v>0</v>
      </c>
      <c r="T110" s="35"/>
      <c r="U110" s="24">
        <f t="shared" si="3"/>
        <v>0</v>
      </c>
      <c r="V110" s="18" t="e">
        <f t="shared" si="4"/>
        <v>#N/A</v>
      </c>
      <c r="W110" s="45" t="e">
        <f t="shared" si="5"/>
        <v>#N/A</v>
      </c>
      <c r="X110" s="20" t="e">
        <f t="shared" si="6"/>
        <v>#N/A</v>
      </c>
      <c r="Y110" s="46" t="e">
        <f t="shared" si="9"/>
        <v>#N/A</v>
      </c>
      <c r="Z110" s="39" t="e">
        <f t="shared" si="7"/>
        <v>#N/A</v>
      </c>
      <c r="AA110" s="39" t="e">
        <f t="shared" si="8"/>
        <v>#N/A</v>
      </c>
      <c r="AB110" s="39"/>
      <c r="AC110" s="48" t="e">
        <f t="shared" si="10"/>
        <v>#N/A</v>
      </c>
    </row>
    <row r="111" spans="1:29" ht="12.5" x14ac:dyDescent="0.25">
      <c r="A111" s="36"/>
      <c r="B111" s="33"/>
      <c r="C111" s="33"/>
      <c r="D111" s="33"/>
      <c r="E111" s="35"/>
      <c r="F111" s="21"/>
      <c r="G111" s="22" t="e">
        <f>VLOOKUP(E111,'Court List'!$A:$C,2,0)</f>
        <v>#N/A</v>
      </c>
      <c r="H111" s="33"/>
      <c r="I111" s="33"/>
      <c r="J111" s="44" t="e">
        <f t="shared" si="0"/>
        <v>#N/A</v>
      </c>
      <c r="K111" s="36"/>
      <c r="L111" s="18">
        <f>SUM('Shuttle Count - Supreme (Nov 20'!C111:D111)</f>
        <v>0</v>
      </c>
      <c r="M111" s="18" t="e">
        <f>VLOOKUP(K111,'Shuttle Purchase'!A:C,3,0)</f>
        <v>#N/A</v>
      </c>
      <c r="N111" s="44" t="e">
        <f t="shared" si="15"/>
        <v>#N/A</v>
      </c>
      <c r="O111" s="24" t="e">
        <f>VLOOKUP(E111,'Court List'!$A:$C,3,0)</f>
        <v>#N/A</v>
      </c>
      <c r="P111" s="18">
        <f>COUNTIF('Pub List'!$C111:$T111,"&lt;&gt;")</f>
        <v>0</v>
      </c>
      <c r="Q111" s="20" t="e">
        <f t="shared" si="2"/>
        <v>#N/A</v>
      </c>
      <c r="R111" s="36"/>
      <c r="S111" s="18">
        <f>COUNTIF('Member List'!$C111:$J111,"&lt;&gt;")</f>
        <v>0</v>
      </c>
      <c r="T111" s="35"/>
      <c r="U111" s="24">
        <f t="shared" si="3"/>
        <v>0</v>
      </c>
      <c r="V111" s="18" t="e">
        <f t="shared" si="4"/>
        <v>#N/A</v>
      </c>
      <c r="W111" s="45" t="e">
        <f t="shared" si="5"/>
        <v>#N/A</v>
      </c>
      <c r="X111" s="20" t="e">
        <f t="shared" si="6"/>
        <v>#N/A</v>
      </c>
      <c r="Y111" s="46" t="e">
        <f t="shared" si="9"/>
        <v>#N/A</v>
      </c>
      <c r="Z111" s="39" t="e">
        <f t="shared" si="7"/>
        <v>#N/A</v>
      </c>
      <c r="AA111" s="39" t="e">
        <f t="shared" si="8"/>
        <v>#N/A</v>
      </c>
      <c r="AB111" s="39"/>
      <c r="AC111" s="48" t="e">
        <f t="shared" si="10"/>
        <v>#N/A</v>
      </c>
    </row>
    <row r="112" spans="1:29" ht="12.5" x14ac:dyDescent="0.25">
      <c r="A112" s="36"/>
      <c r="B112" s="33"/>
      <c r="C112" s="33"/>
      <c r="D112" s="33"/>
      <c r="E112" s="35"/>
      <c r="F112" s="21"/>
      <c r="G112" s="22" t="e">
        <f>VLOOKUP(E112,'Court List'!$A:$C,2,0)</f>
        <v>#N/A</v>
      </c>
      <c r="H112" s="33"/>
      <c r="I112" s="33"/>
      <c r="J112" s="44" t="e">
        <f t="shared" si="0"/>
        <v>#N/A</v>
      </c>
      <c r="K112" s="36"/>
      <c r="L112" s="18">
        <f>SUM('Shuttle Count - Supreme (Nov 20'!C112:D112)</f>
        <v>0</v>
      </c>
      <c r="M112" s="18" t="e">
        <f>VLOOKUP(K112,'Shuttle Purchase'!A:C,3,0)</f>
        <v>#N/A</v>
      </c>
      <c r="N112" s="44" t="e">
        <f t="shared" si="15"/>
        <v>#N/A</v>
      </c>
      <c r="O112" s="24" t="e">
        <f>VLOOKUP(E112,'Court List'!$A:$C,3,0)</f>
        <v>#N/A</v>
      </c>
      <c r="P112" s="18">
        <f>COUNTIF('Pub List'!$C112:$T112,"&lt;&gt;")</f>
        <v>0</v>
      </c>
      <c r="Q112" s="20" t="e">
        <f t="shared" si="2"/>
        <v>#N/A</v>
      </c>
      <c r="R112" s="36"/>
      <c r="S112" s="18">
        <f>COUNTIF('Member List'!$C112:$J112,"&lt;&gt;")</f>
        <v>0</v>
      </c>
      <c r="T112" s="35"/>
      <c r="U112" s="24">
        <f t="shared" si="3"/>
        <v>0</v>
      </c>
      <c r="V112" s="18" t="e">
        <f t="shared" si="4"/>
        <v>#N/A</v>
      </c>
      <c r="W112" s="45" t="e">
        <f t="shared" si="5"/>
        <v>#N/A</v>
      </c>
      <c r="X112" s="20" t="e">
        <f t="shared" si="6"/>
        <v>#N/A</v>
      </c>
      <c r="Y112" s="46" t="e">
        <f t="shared" si="9"/>
        <v>#N/A</v>
      </c>
      <c r="Z112" s="39" t="e">
        <f t="shared" si="7"/>
        <v>#N/A</v>
      </c>
      <c r="AA112" s="39" t="e">
        <f t="shared" si="8"/>
        <v>#N/A</v>
      </c>
      <c r="AB112" s="39"/>
      <c r="AC112" s="48" t="e">
        <f t="shared" si="10"/>
        <v>#N/A</v>
      </c>
    </row>
    <row r="113" spans="1:29" ht="12.5" x14ac:dyDescent="0.25">
      <c r="A113" s="36"/>
      <c r="B113" s="33"/>
      <c r="C113" s="33"/>
      <c r="D113" s="33"/>
      <c r="E113" s="35"/>
      <c r="F113" s="21"/>
      <c r="G113" s="22" t="e">
        <f>VLOOKUP(E113,'Court List'!$A:$C,2,0)</f>
        <v>#N/A</v>
      </c>
      <c r="H113" s="33"/>
      <c r="I113" s="33"/>
      <c r="J113" s="44" t="e">
        <f t="shared" si="0"/>
        <v>#N/A</v>
      </c>
      <c r="K113" s="36"/>
      <c r="L113" s="18">
        <f>SUM('Shuttle Count - Supreme (Nov 20'!C113:D113)</f>
        <v>0</v>
      </c>
      <c r="M113" s="18" t="e">
        <f>VLOOKUP(K113,'Shuttle Purchase'!A:C,3,0)</f>
        <v>#N/A</v>
      </c>
      <c r="N113" s="44" t="e">
        <f t="shared" si="15"/>
        <v>#N/A</v>
      </c>
      <c r="O113" s="24" t="e">
        <f>VLOOKUP(E113,'Court List'!$A:$C,3,0)</f>
        <v>#N/A</v>
      </c>
      <c r="P113" s="18">
        <f>COUNTIF('Pub List'!$C113:$T113,"&lt;&gt;")</f>
        <v>0</v>
      </c>
      <c r="Q113" s="20" t="e">
        <f t="shared" si="2"/>
        <v>#N/A</v>
      </c>
      <c r="R113" s="36"/>
      <c r="S113" s="18">
        <f>COUNTIF('Member List'!$C113:$J113,"&lt;&gt;")</f>
        <v>0</v>
      </c>
      <c r="T113" s="35"/>
      <c r="U113" s="24">
        <f t="shared" si="3"/>
        <v>0</v>
      </c>
      <c r="V113" s="18" t="e">
        <f t="shared" si="4"/>
        <v>#N/A</v>
      </c>
      <c r="W113" s="45" t="e">
        <f t="shared" si="5"/>
        <v>#N/A</v>
      </c>
      <c r="X113" s="20" t="e">
        <f t="shared" si="6"/>
        <v>#N/A</v>
      </c>
      <c r="Y113" s="46" t="e">
        <f t="shared" si="9"/>
        <v>#N/A</v>
      </c>
      <c r="Z113" s="39" t="e">
        <f t="shared" si="7"/>
        <v>#N/A</v>
      </c>
      <c r="AA113" s="39" t="e">
        <f t="shared" si="8"/>
        <v>#N/A</v>
      </c>
      <c r="AB113" s="39"/>
      <c r="AC113" s="48" t="e">
        <f t="shared" si="10"/>
        <v>#N/A</v>
      </c>
    </row>
    <row r="114" spans="1:29" ht="12.5" x14ac:dyDescent="0.25">
      <c r="A114" s="36"/>
      <c r="B114" s="33"/>
      <c r="C114" s="33"/>
      <c r="D114" s="33"/>
      <c r="E114" s="35"/>
      <c r="F114" s="21"/>
      <c r="G114" s="22" t="e">
        <f>VLOOKUP(E114,'Court List'!$A:$C,2,0)</f>
        <v>#N/A</v>
      </c>
      <c r="H114" s="33"/>
      <c r="I114" s="33"/>
      <c r="J114" s="44" t="e">
        <f t="shared" si="0"/>
        <v>#N/A</v>
      </c>
      <c r="K114" s="36"/>
      <c r="L114" s="18">
        <f>SUM('Shuttle Count - Supreme (Nov 20'!C114:D114)</f>
        <v>0</v>
      </c>
      <c r="M114" s="18" t="e">
        <f>VLOOKUP(K114,'Shuttle Purchase'!A:C,3,0)</f>
        <v>#N/A</v>
      </c>
      <c r="N114" s="44" t="e">
        <f t="shared" si="15"/>
        <v>#N/A</v>
      </c>
      <c r="O114" s="24" t="e">
        <f>VLOOKUP(E114,'Court List'!$A:$C,3,0)</f>
        <v>#N/A</v>
      </c>
      <c r="P114" s="18">
        <f>COUNTIF('Pub List'!$C114:$T114,"&lt;&gt;")</f>
        <v>0</v>
      </c>
      <c r="Q114" s="20" t="e">
        <f t="shared" si="2"/>
        <v>#N/A</v>
      </c>
      <c r="R114" s="36"/>
      <c r="S114" s="18">
        <f>COUNTIF('Member List'!$C114:$J114,"&lt;&gt;")</f>
        <v>0</v>
      </c>
      <c r="T114" s="35"/>
      <c r="U114" s="24">
        <f t="shared" si="3"/>
        <v>0</v>
      </c>
      <c r="V114" s="18" t="e">
        <f t="shared" si="4"/>
        <v>#N/A</v>
      </c>
      <c r="W114" s="45" t="e">
        <f t="shared" si="5"/>
        <v>#N/A</v>
      </c>
      <c r="X114" s="20" t="e">
        <f t="shared" si="6"/>
        <v>#N/A</v>
      </c>
      <c r="Y114" s="46" t="e">
        <f t="shared" si="9"/>
        <v>#N/A</v>
      </c>
      <c r="Z114" s="39" t="e">
        <f t="shared" si="7"/>
        <v>#N/A</v>
      </c>
      <c r="AA114" s="39" t="e">
        <f t="shared" si="8"/>
        <v>#N/A</v>
      </c>
      <c r="AB114" s="39"/>
      <c r="AC114" s="48" t="e">
        <f t="shared" si="10"/>
        <v>#N/A</v>
      </c>
    </row>
    <row r="115" spans="1:29" ht="12.5" x14ac:dyDescent="0.25">
      <c r="A115" s="36"/>
      <c r="B115" s="33"/>
      <c r="C115" s="33"/>
      <c r="D115" s="33"/>
      <c r="E115" s="35"/>
      <c r="F115" s="21"/>
      <c r="G115" s="22" t="e">
        <f>VLOOKUP(E115,'Court List'!$A:$C,2,0)</f>
        <v>#N/A</v>
      </c>
      <c r="H115" s="33"/>
      <c r="I115" s="33"/>
      <c r="J115" s="44" t="e">
        <f t="shared" si="0"/>
        <v>#N/A</v>
      </c>
      <c r="K115" s="36"/>
      <c r="L115" s="18">
        <f>SUM('Shuttle Count - Supreme (Nov 20'!C115:D115)</f>
        <v>0</v>
      </c>
      <c r="M115" s="18" t="e">
        <f>VLOOKUP(K115,'Shuttle Purchase'!A:C,3,0)</f>
        <v>#N/A</v>
      </c>
      <c r="N115" s="44" t="e">
        <f t="shared" si="15"/>
        <v>#N/A</v>
      </c>
      <c r="O115" s="24" t="e">
        <f>VLOOKUP(E115,'Court List'!$A:$C,3,0)</f>
        <v>#N/A</v>
      </c>
      <c r="P115" s="18">
        <f>COUNTIF('Pub List'!$C115:$T115,"&lt;&gt;")</f>
        <v>0</v>
      </c>
      <c r="Q115" s="20" t="e">
        <f t="shared" si="2"/>
        <v>#N/A</v>
      </c>
      <c r="R115" s="36"/>
      <c r="S115" s="18">
        <f>COUNTIF('Member List'!$C115:$J115,"&lt;&gt;")</f>
        <v>0</v>
      </c>
      <c r="T115" s="35"/>
      <c r="U115" s="24">
        <f t="shared" si="3"/>
        <v>0</v>
      </c>
      <c r="V115" s="18" t="e">
        <f t="shared" si="4"/>
        <v>#N/A</v>
      </c>
      <c r="W115" s="45" t="e">
        <f t="shared" si="5"/>
        <v>#N/A</v>
      </c>
      <c r="X115" s="20" t="e">
        <f t="shared" si="6"/>
        <v>#N/A</v>
      </c>
      <c r="Y115" s="46" t="e">
        <f t="shared" si="9"/>
        <v>#N/A</v>
      </c>
      <c r="Z115" s="39" t="e">
        <f t="shared" si="7"/>
        <v>#N/A</v>
      </c>
      <c r="AA115" s="39" t="e">
        <f t="shared" si="8"/>
        <v>#N/A</v>
      </c>
      <c r="AB115" s="39"/>
      <c r="AC115" s="48" t="e">
        <f t="shared" si="10"/>
        <v>#N/A</v>
      </c>
    </row>
    <row r="116" spans="1:29" ht="12.5" x14ac:dyDescent="0.25">
      <c r="A116" s="36"/>
      <c r="B116" s="33"/>
      <c r="C116" s="33"/>
      <c r="D116" s="33"/>
      <c r="E116" s="35"/>
      <c r="F116" s="21"/>
      <c r="G116" s="22" t="e">
        <f>VLOOKUP(E116,'Court List'!$A:$C,2,0)</f>
        <v>#N/A</v>
      </c>
      <c r="H116" s="33"/>
      <c r="I116" s="33"/>
      <c r="J116" s="44" t="e">
        <f t="shared" si="0"/>
        <v>#N/A</v>
      </c>
      <c r="K116" s="36"/>
      <c r="L116" s="18">
        <f>SUM('Shuttle Count - Supreme (Nov 20'!C116:D116)</f>
        <v>0</v>
      </c>
      <c r="M116" s="18" t="e">
        <f>VLOOKUP(K116,'Shuttle Purchase'!A:C,3,0)</f>
        <v>#N/A</v>
      </c>
      <c r="N116" s="44" t="e">
        <f t="shared" si="15"/>
        <v>#N/A</v>
      </c>
      <c r="O116" s="24" t="e">
        <f>VLOOKUP(E116,'Court List'!$A:$C,3,0)</f>
        <v>#N/A</v>
      </c>
      <c r="P116" s="18">
        <f>COUNTIF('Pub List'!$C116:$T116,"&lt;&gt;")</f>
        <v>0</v>
      </c>
      <c r="Q116" s="20" t="e">
        <f t="shared" si="2"/>
        <v>#N/A</v>
      </c>
      <c r="R116" s="36"/>
      <c r="S116" s="18">
        <f>COUNTIF('Member List'!$C116:$J116,"&lt;&gt;")</f>
        <v>0</v>
      </c>
      <c r="T116" s="35"/>
      <c r="U116" s="24">
        <f t="shared" si="3"/>
        <v>0</v>
      </c>
      <c r="V116" s="18" t="e">
        <f t="shared" si="4"/>
        <v>#N/A</v>
      </c>
      <c r="W116" s="45" t="e">
        <f t="shared" si="5"/>
        <v>#N/A</v>
      </c>
      <c r="X116" s="20" t="e">
        <f t="shared" si="6"/>
        <v>#N/A</v>
      </c>
      <c r="Y116" s="46" t="e">
        <f t="shared" si="9"/>
        <v>#N/A</v>
      </c>
      <c r="Z116" s="39" t="e">
        <f t="shared" si="7"/>
        <v>#N/A</v>
      </c>
      <c r="AA116" s="39" t="e">
        <f t="shared" si="8"/>
        <v>#N/A</v>
      </c>
      <c r="AB116" s="39"/>
      <c r="AC116" s="48" t="e">
        <f t="shared" si="10"/>
        <v>#N/A</v>
      </c>
    </row>
    <row r="117" spans="1:29" ht="12.5" x14ac:dyDescent="0.25">
      <c r="A117" s="36"/>
      <c r="B117" s="33"/>
      <c r="C117" s="33"/>
      <c r="D117" s="33"/>
      <c r="E117" s="35"/>
      <c r="F117" s="21"/>
      <c r="G117" s="22" t="e">
        <f>VLOOKUP(E117,'Court List'!$A:$C,2,0)</f>
        <v>#N/A</v>
      </c>
      <c r="H117" s="33"/>
      <c r="I117" s="33"/>
      <c r="J117" s="44" t="e">
        <f t="shared" si="0"/>
        <v>#N/A</v>
      </c>
      <c r="K117" s="36"/>
      <c r="L117" s="18">
        <f>SUM('Shuttle Count - Supreme (Nov 20'!C117:D117)</f>
        <v>0</v>
      </c>
      <c r="M117" s="18" t="e">
        <f>VLOOKUP(K117,'Shuttle Purchase'!A:C,3,0)</f>
        <v>#N/A</v>
      </c>
      <c r="N117" s="44" t="e">
        <f t="shared" si="15"/>
        <v>#N/A</v>
      </c>
      <c r="O117" s="24" t="e">
        <f>VLOOKUP(E117,'Court List'!$A:$C,3,0)</f>
        <v>#N/A</v>
      </c>
      <c r="P117" s="18">
        <f>COUNTIF('Pub List'!$C117:$T117,"&lt;&gt;")</f>
        <v>0</v>
      </c>
      <c r="Q117" s="20" t="e">
        <f t="shared" si="2"/>
        <v>#N/A</v>
      </c>
      <c r="R117" s="36"/>
      <c r="S117" s="18">
        <f>COUNTIF('Member List'!$C117:$J117,"&lt;&gt;")</f>
        <v>0</v>
      </c>
      <c r="T117" s="35"/>
      <c r="U117" s="24">
        <f t="shared" si="3"/>
        <v>0</v>
      </c>
      <c r="V117" s="18" t="e">
        <f t="shared" si="4"/>
        <v>#N/A</v>
      </c>
      <c r="W117" s="45" t="e">
        <f t="shared" si="5"/>
        <v>#N/A</v>
      </c>
      <c r="X117" s="20" t="e">
        <f t="shared" si="6"/>
        <v>#N/A</v>
      </c>
      <c r="Y117" s="46" t="e">
        <f t="shared" si="9"/>
        <v>#N/A</v>
      </c>
      <c r="Z117" s="39" t="e">
        <f t="shared" si="7"/>
        <v>#N/A</v>
      </c>
      <c r="AA117" s="39" t="e">
        <f t="shared" si="8"/>
        <v>#N/A</v>
      </c>
      <c r="AB117" s="39"/>
      <c r="AC117" s="48" t="e">
        <f t="shared" si="10"/>
        <v>#N/A</v>
      </c>
    </row>
    <row r="118" spans="1:29" ht="12.5" x14ac:dyDescent="0.25">
      <c r="A118" s="36"/>
      <c r="B118" s="33"/>
      <c r="C118" s="33"/>
      <c r="D118" s="33"/>
      <c r="E118" s="35"/>
      <c r="F118" s="21"/>
      <c r="G118" s="22" t="e">
        <f>VLOOKUP(E118,'Court List'!$A:$C,2,0)</f>
        <v>#N/A</v>
      </c>
      <c r="H118" s="33"/>
      <c r="I118" s="33"/>
      <c r="J118" s="44" t="e">
        <f t="shared" si="0"/>
        <v>#N/A</v>
      </c>
      <c r="K118" s="36"/>
      <c r="L118" s="18">
        <f>SUM('Shuttle Count - Supreme (Nov 20'!C118:D118)</f>
        <v>0</v>
      </c>
      <c r="M118" s="18" t="e">
        <f>VLOOKUP(K118,'Shuttle Purchase'!A:C,3,0)</f>
        <v>#N/A</v>
      </c>
      <c r="N118" s="44" t="e">
        <f t="shared" si="15"/>
        <v>#N/A</v>
      </c>
      <c r="O118" s="24" t="e">
        <f>VLOOKUP(E118,'Court List'!$A:$C,3,0)</f>
        <v>#N/A</v>
      </c>
      <c r="P118" s="18">
        <f>COUNTIF('Pub List'!$C118:$T118,"&lt;&gt;")</f>
        <v>0</v>
      </c>
      <c r="Q118" s="20" t="e">
        <f t="shared" si="2"/>
        <v>#N/A</v>
      </c>
      <c r="R118" s="36"/>
      <c r="S118" s="18">
        <f>COUNTIF('Member List'!$C118:$J118,"&lt;&gt;")</f>
        <v>0</v>
      </c>
      <c r="T118" s="35"/>
      <c r="U118" s="24">
        <f t="shared" si="3"/>
        <v>0</v>
      </c>
      <c r="V118" s="18" t="e">
        <f t="shared" si="4"/>
        <v>#N/A</v>
      </c>
      <c r="W118" s="45" t="e">
        <f t="shared" si="5"/>
        <v>#N/A</v>
      </c>
      <c r="X118" s="20" t="e">
        <f t="shared" si="6"/>
        <v>#N/A</v>
      </c>
      <c r="Y118" s="46" t="e">
        <f t="shared" si="9"/>
        <v>#N/A</v>
      </c>
      <c r="Z118" s="39" t="e">
        <f t="shared" si="7"/>
        <v>#N/A</v>
      </c>
      <c r="AA118" s="39" t="e">
        <f t="shared" si="8"/>
        <v>#N/A</v>
      </c>
      <c r="AB118" s="39"/>
      <c r="AC118" s="48" t="e">
        <f t="shared" si="10"/>
        <v>#N/A</v>
      </c>
    </row>
    <row r="119" spans="1:29" ht="12.5" x14ac:dyDescent="0.25">
      <c r="A119" s="36"/>
      <c r="B119" s="33"/>
      <c r="C119" s="33"/>
      <c r="D119" s="33"/>
      <c r="E119" s="35"/>
      <c r="F119" s="21"/>
      <c r="G119" s="22" t="e">
        <f>VLOOKUP(E119,'Court List'!$A:$C,2,0)</f>
        <v>#N/A</v>
      </c>
      <c r="H119" s="33"/>
      <c r="I119" s="33"/>
      <c r="J119" s="44" t="e">
        <f t="shared" si="0"/>
        <v>#N/A</v>
      </c>
      <c r="K119" s="36"/>
      <c r="L119" s="18">
        <f>SUM('Shuttle Count - Supreme (Nov 20'!C119:D119)</f>
        <v>0</v>
      </c>
      <c r="M119" s="18" t="e">
        <f>VLOOKUP(K119,'Shuttle Purchase'!A:C,3,0)</f>
        <v>#N/A</v>
      </c>
      <c r="N119" s="44" t="e">
        <f t="shared" si="15"/>
        <v>#N/A</v>
      </c>
      <c r="O119" s="24" t="e">
        <f>VLOOKUP(E119,'Court List'!$A:$C,3,0)</f>
        <v>#N/A</v>
      </c>
      <c r="P119" s="18">
        <f>COUNTIF('Pub List'!$C119:$T119,"&lt;&gt;")</f>
        <v>0</v>
      </c>
      <c r="Q119" s="20" t="e">
        <f t="shared" si="2"/>
        <v>#N/A</v>
      </c>
      <c r="R119" s="36"/>
      <c r="S119" s="18">
        <f>COUNTIF('Member List'!$C119:$J119,"&lt;&gt;")</f>
        <v>0</v>
      </c>
      <c r="T119" s="35"/>
      <c r="U119" s="24">
        <f t="shared" si="3"/>
        <v>0</v>
      </c>
      <c r="V119" s="18" t="e">
        <f t="shared" si="4"/>
        <v>#N/A</v>
      </c>
      <c r="W119" s="45" t="e">
        <f t="shared" si="5"/>
        <v>#N/A</v>
      </c>
      <c r="X119" s="20" t="e">
        <f t="shared" si="6"/>
        <v>#N/A</v>
      </c>
      <c r="Y119" s="46" t="e">
        <f t="shared" si="9"/>
        <v>#N/A</v>
      </c>
      <c r="Z119" s="39" t="e">
        <f t="shared" si="7"/>
        <v>#N/A</v>
      </c>
      <c r="AA119" s="39" t="e">
        <f t="shared" si="8"/>
        <v>#N/A</v>
      </c>
      <c r="AB119" s="39"/>
      <c r="AC119" s="48" t="e">
        <f t="shared" si="10"/>
        <v>#N/A</v>
      </c>
    </row>
    <row r="120" spans="1:29" ht="12.5" x14ac:dyDescent="0.25">
      <c r="A120" s="36"/>
      <c r="B120" s="33"/>
      <c r="C120" s="33"/>
      <c r="D120" s="33"/>
      <c r="E120" s="35"/>
      <c r="F120" s="21"/>
      <c r="G120" s="22" t="e">
        <f>VLOOKUP(E120,'Court List'!$A:$C,2,0)</f>
        <v>#N/A</v>
      </c>
      <c r="H120" s="33"/>
      <c r="I120" s="33"/>
      <c r="J120" s="44" t="e">
        <f t="shared" si="0"/>
        <v>#N/A</v>
      </c>
      <c r="K120" s="36"/>
      <c r="L120" s="18">
        <f>SUM('Shuttle Count - Supreme (Nov 20'!C120:D120)</f>
        <v>0</v>
      </c>
      <c r="M120" s="18" t="e">
        <f>VLOOKUP(K120,'Shuttle Purchase'!A:C,3,0)</f>
        <v>#N/A</v>
      </c>
      <c r="N120" s="44" t="e">
        <f t="shared" si="15"/>
        <v>#N/A</v>
      </c>
      <c r="O120" s="24" t="e">
        <f>VLOOKUP(E120,'Court List'!$A:$C,3,0)</f>
        <v>#N/A</v>
      </c>
      <c r="P120" s="18">
        <f>COUNTIF('Pub List'!$C120:$T120,"&lt;&gt;")</f>
        <v>0</v>
      </c>
      <c r="Q120" s="20" t="e">
        <f t="shared" si="2"/>
        <v>#N/A</v>
      </c>
      <c r="R120" s="36"/>
      <c r="S120" s="18">
        <f>COUNTIF('Member List'!$C120:$J120,"&lt;&gt;")</f>
        <v>0</v>
      </c>
      <c r="T120" s="35"/>
      <c r="U120" s="24">
        <f t="shared" si="3"/>
        <v>0</v>
      </c>
      <c r="V120" s="18" t="e">
        <f t="shared" si="4"/>
        <v>#N/A</v>
      </c>
      <c r="W120" s="45" t="e">
        <f t="shared" si="5"/>
        <v>#N/A</v>
      </c>
      <c r="X120" s="20" t="e">
        <f t="shared" si="6"/>
        <v>#N/A</v>
      </c>
      <c r="Y120" s="46" t="e">
        <f t="shared" si="9"/>
        <v>#N/A</v>
      </c>
      <c r="Z120" s="39" t="e">
        <f t="shared" si="7"/>
        <v>#N/A</v>
      </c>
      <c r="AA120" s="39" t="e">
        <f t="shared" si="8"/>
        <v>#N/A</v>
      </c>
      <c r="AB120" s="39"/>
      <c r="AC120" s="48" t="e">
        <f t="shared" si="10"/>
        <v>#N/A</v>
      </c>
    </row>
    <row r="121" spans="1:29" ht="12.5" x14ac:dyDescent="0.25">
      <c r="A121" s="36"/>
      <c r="B121" s="33"/>
      <c r="C121" s="33"/>
      <c r="D121" s="33"/>
      <c r="E121" s="35"/>
      <c r="F121" s="21"/>
      <c r="G121" s="22" t="e">
        <f>VLOOKUP(E121,'Court List'!$A:$C,2,0)</f>
        <v>#N/A</v>
      </c>
      <c r="H121" s="33"/>
      <c r="I121" s="33"/>
      <c r="J121" s="44" t="e">
        <f t="shared" si="0"/>
        <v>#N/A</v>
      </c>
      <c r="K121" s="36"/>
      <c r="L121" s="18">
        <f>SUM('Shuttle Count - Supreme (Nov 20'!C121:D121)</f>
        <v>0</v>
      </c>
      <c r="M121" s="18" t="e">
        <f>VLOOKUP(K121,'Shuttle Purchase'!A:C,3,0)</f>
        <v>#N/A</v>
      </c>
      <c r="N121" s="44" t="e">
        <f t="shared" si="15"/>
        <v>#N/A</v>
      </c>
      <c r="O121" s="24" t="e">
        <f>VLOOKUP(E121,'Court List'!$A:$C,3,0)</f>
        <v>#N/A</v>
      </c>
      <c r="P121" s="18">
        <f>COUNTIF('Pub List'!$C121:$T121,"&lt;&gt;")</f>
        <v>0</v>
      </c>
      <c r="Q121" s="20" t="e">
        <f t="shared" si="2"/>
        <v>#N/A</v>
      </c>
      <c r="R121" s="36"/>
      <c r="S121" s="18">
        <f>COUNTIF('Member List'!$C121:$J121,"&lt;&gt;")</f>
        <v>0</v>
      </c>
      <c r="T121" s="35"/>
      <c r="U121" s="24">
        <f t="shared" si="3"/>
        <v>0</v>
      </c>
      <c r="V121" s="18" t="e">
        <f t="shared" si="4"/>
        <v>#N/A</v>
      </c>
      <c r="W121" s="45" t="e">
        <f t="shared" si="5"/>
        <v>#N/A</v>
      </c>
      <c r="X121" s="20" t="e">
        <f t="shared" si="6"/>
        <v>#N/A</v>
      </c>
      <c r="Y121" s="46" t="e">
        <f t="shared" si="9"/>
        <v>#N/A</v>
      </c>
      <c r="Z121" s="39" t="e">
        <f t="shared" si="7"/>
        <v>#N/A</v>
      </c>
      <c r="AA121" s="39" t="e">
        <f t="shared" si="8"/>
        <v>#N/A</v>
      </c>
      <c r="AB121" s="39"/>
      <c r="AC121" s="48" t="e">
        <f t="shared" si="10"/>
        <v>#N/A</v>
      </c>
    </row>
    <row r="122" spans="1:29" ht="12.5" x14ac:dyDescent="0.25">
      <c r="A122" s="36"/>
      <c r="B122" s="33"/>
      <c r="C122" s="33"/>
      <c r="D122" s="33"/>
      <c r="E122" s="35"/>
      <c r="F122" s="21"/>
      <c r="G122" s="22" t="e">
        <f>VLOOKUP(E122,'Court List'!$A:$C,2,0)</f>
        <v>#N/A</v>
      </c>
      <c r="H122" s="33"/>
      <c r="I122" s="33"/>
      <c r="J122" s="44" t="e">
        <f t="shared" si="0"/>
        <v>#N/A</v>
      </c>
      <c r="K122" s="36"/>
      <c r="L122" s="18">
        <f>SUM('Shuttle Count - Supreme (Nov 20'!C122:D122)</f>
        <v>0</v>
      </c>
      <c r="M122" s="18" t="e">
        <f>VLOOKUP(K122,'Shuttle Purchase'!A:C,3,0)</f>
        <v>#N/A</v>
      </c>
      <c r="N122" s="44" t="e">
        <f t="shared" si="15"/>
        <v>#N/A</v>
      </c>
      <c r="O122" s="24" t="e">
        <f>VLOOKUP(E122,'Court List'!$A:$C,3,0)</f>
        <v>#N/A</v>
      </c>
      <c r="P122" s="18">
        <f>COUNTIF('Pub List'!$C122:$T122,"&lt;&gt;")</f>
        <v>0</v>
      </c>
      <c r="Q122" s="20" t="e">
        <f t="shared" si="2"/>
        <v>#N/A</v>
      </c>
      <c r="R122" s="36"/>
      <c r="S122" s="18">
        <f>COUNTIF('Member List'!$C122:$J122,"&lt;&gt;")</f>
        <v>0</v>
      </c>
      <c r="T122" s="35"/>
      <c r="U122" s="24">
        <f t="shared" si="3"/>
        <v>0</v>
      </c>
      <c r="V122" s="18" t="e">
        <f t="shared" si="4"/>
        <v>#N/A</v>
      </c>
      <c r="W122" s="45" t="e">
        <f t="shared" si="5"/>
        <v>#N/A</v>
      </c>
      <c r="X122" s="20" t="e">
        <f t="shared" si="6"/>
        <v>#N/A</v>
      </c>
      <c r="Y122" s="46" t="e">
        <f t="shared" si="9"/>
        <v>#N/A</v>
      </c>
      <c r="Z122" s="39" t="e">
        <f t="shared" si="7"/>
        <v>#N/A</v>
      </c>
      <c r="AA122" s="39" t="e">
        <f t="shared" si="8"/>
        <v>#N/A</v>
      </c>
      <c r="AB122" s="39"/>
      <c r="AC122" s="48" t="e">
        <f t="shared" si="10"/>
        <v>#N/A</v>
      </c>
    </row>
    <row r="123" spans="1:29" ht="12.5" x14ac:dyDescent="0.25">
      <c r="A123" s="36"/>
      <c r="B123" s="33"/>
      <c r="C123" s="33"/>
      <c r="D123" s="33"/>
      <c r="E123" s="35"/>
      <c r="F123" s="21"/>
      <c r="G123" s="22" t="e">
        <f>VLOOKUP(E123,'Court List'!$A:$C,2,0)</f>
        <v>#N/A</v>
      </c>
      <c r="H123" s="33"/>
      <c r="I123" s="33"/>
      <c r="J123" s="44" t="e">
        <f t="shared" si="0"/>
        <v>#N/A</v>
      </c>
      <c r="K123" s="36"/>
      <c r="L123" s="18">
        <f>SUM('Shuttle Count - Supreme (Nov 20'!C123:D123)</f>
        <v>0</v>
      </c>
      <c r="M123" s="18" t="e">
        <f>VLOOKUP(K123,'Shuttle Purchase'!A:C,3,0)</f>
        <v>#N/A</v>
      </c>
      <c r="N123" s="44" t="e">
        <f t="shared" si="15"/>
        <v>#N/A</v>
      </c>
      <c r="O123" s="24" t="e">
        <f>VLOOKUP(E123,'Court List'!$A:$C,3,0)</f>
        <v>#N/A</v>
      </c>
      <c r="P123" s="18">
        <f>COUNTIF('Pub List'!$C123:$T123,"&lt;&gt;")</f>
        <v>0</v>
      </c>
      <c r="Q123" s="20" t="e">
        <f t="shared" si="2"/>
        <v>#N/A</v>
      </c>
      <c r="R123" s="36"/>
      <c r="S123" s="18">
        <f>COUNTIF('Member List'!$C123:$J123,"&lt;&gt;")</f>
        <v>0</v>
      </c>
      <c r="T123" s="35"/>
      <c r="U123" s="24">
        <f t="shared" si="3"/>
        <v>0</v>
      </c>
      <c r="V123" s="18" t="e">
        <f t="shared" si="4"/>
        <v>#N/A</v>
      </c>
      <c r="W123" s="45" t="e">
        <f t="shared" si="5"/>
        <v>#N/A</v>
      </c>
      <c r="X123" s="20" t="e">
        <f t="shared" si="6"/>
        <v>#N/A</v>
      </c>
      <c r="Y123" s="46" t="e">
        <f t="shared" si="9"/>
        <v>#N/A</v>
      </c>
      <c r="Z123" s="39" t="e">
        <f t="shared" si="7"/>
        <v>#N/A</v>
      </c>
      <c r="AA123" s="39" t="e">
        <f t="shared" si="8"/>
        <v>#N/A</v>
      </c>
      <c r="AB123" s="39"/>
      <c r="AC123" s="48" t="e">
        <f t="shared" si="10"/>
        <v>#N/A</v>
      </c>
    </row>
    <row r="124" spans="1:29" ht="12.5" x14ac:dyDescent="0.25">
      <c r="A124" s="36"/>
      <c r="B124" s="33"/>
      <c r="C124" s="33"/>
      <c r="D124" s="33"/>
      <c r="E124" s="35"/>
      <c r="F124" s="21"/>
      <c r="G124" s="22" t="e">
        <f>VLOOKUP(E124,'Court List'!$A:$C,2,0)</f>
        <v>#N/A</v>
      </c>
      <c r="H124" s="33"/>
      <c r="I124" s="33"/>
      <c r="J124" s="44" t="e">
        <f t="shared" si="0"/>
        <v>#N/A</v>
      </c>
      <c r="K124" s="36"/>
      <c r="L124" s="18">
        <f>SUM('Shuttle Count - Supreme (Nov 20'!C124:D124)</f>
        <v>0</v>
      </c>
      <c r="M124" s="18" t="e">
        <f>VLOOKUP(K124,'Shuttle Purchase'!A:C,3,0)</f>
        <v>#N/A</v>
      </c>
      <c r="N124" s="44" t="e">
        <f t="shared" si="15"/>
        <v>#N/A</v>
      </c>
      <c r="O124" s="24" t="e">
        <f>VLOOKUP(E124,'Court List'!$A:$C,3,0)</f>
        <v>#N/A</v>
      </c>
      <c r="P124" s="18">
        <f>COUNTIF('Pub List'!$C124:$T124,"&lt;&gt;")</f>
        <v>0</v>
      </c>
      <c r="Q124" s="20" t="e">
        <f t="shared" si="2"/>
        <v>#N/A</v>
      </c>
      <c r="R124" s="36"/>
      <c r="S124" s="18">
        <f>COUNTIF('Member List'!$C124:$J124,"&lt;&gt;")</f>
        <v>0</v>
      </c>
      <c r="T124" s="35"/>
      <c r="U124" s="24">
        <f t="shared" si="3"/>
        <v>0</v>
      </c>
      <c r="V124" s="18" t="e">
        <f t="shared" si="4"/>
        <v>#N/A</v>
      </c>
      <c r="W124" s="45" t="e">
        <f t="shared" si="5"/>
        <v>#N/A</v>
      </c>
      <c r="X124" s="20" t="e">
        <f t="shared" si="6"/>
        <v>#N/A</v>
      </c>
      <c r="Y124" s="46" t="e">
        <f t="shared" si="9"/>
        <v>#N/A</v>
      </c>
      <c r="Z124" s="39" t="e">
        <f t="shared" si="7"/>
        <v>#N/A</v>
      </c>
      <c r="AA124" s="39" t="e">
        <f t="shared" si="8"/>
        <v>#N/A</v>
      </c>
      <c r="AB124" s="39"/>
      <c r="AC124" s="48" t="e">
        <f t="shared" si="10"/>
        <v>#N/A</v>
      </c>
    </row>
    <row r="125" spans="1:29" ht="12.5" x14ac:dyDescent="0.25">
      <c r="A125" s="36"/>
      <c r="B125" s="33"/>
      <c r="C125" s="33"/>
      <c r="D125" s="33"/>
      <c r="E125" s="35"/>
      <c r="F125" s="21"/>
      <c r="G125" s="22" t="e">
        <f>VLOOKUP(E125,'Court List'!$A:$C,2,0)</f>
        <v>#N/A</v>
      </c>
      <c r="H125" s="33"/>
      <c r="I125" s="33"/>
      <c r="J125" s="44" t="e">
        <f t="shared" si="0"/>
        <v>#N/A</v>
      </c>
      <c r="K125" s="36"/>
      <c r="L125" s="18">
        <f>SUM('Shuttle Count - Supreme (Nov 20'!C125:D125)</f>
        <v>0</v>
      </c>
      <c r="M125" s="18" t="e">
        <f>VLOOKUP(K125,'Shuttle Purchase'!A:C,3,0)</f>
        <v>#N/A</v>
      </c>
      <c r="N125" s="44" t="e">
        <f t="shared" si="15"/>
        <v>#N/A</v>
      </c>
      <c r="O125" s="24" t="e">
        <f>VLOOKUP(E125,'Court List'!$A:$C,3,0)</f>
        <v>#N/A</v>
      </c>
      <c r="P125" s="18">
        <f>COUNTIF('Pub List'!$C125:$T125,"&lt;&gt;")</f>
        <v>0</v>
      </c>
      <c r="Q125" s="20" t="e">
        <f t="shared" si="2"/>
        <v>#N/A</v>
      </c>
      <c r="R125" s="36"/>
      <c r="S125" s="18">
        <f>COUNTIF('Member List'!$C125:$J125,"&lt;&gt;")</f>
        <v>0</v>
      </c>
      <c r="T125" s="35"/>
      <c r="U125" s="24">
        <f t="shared" si="3"/>
        <v>0</v>
      </c>
      <c r="V125" s="18" t="e">
        <f t="shared" si="4"/>
        <v>#N/A</v>
      </c>
      <c r="W125" s="45" t="e">
        <f t="shared" si="5"/>
        <v>#N/A</v>
      </c>
      <c r="X125" s="20" t="e">
        <f t="shared" si="6"/>
        <v>#N/A</v>
      </c>
      <c r="Y125" s="46" t="e">
        <f t="shared" si="9"/>
        <v>#N/A</v>
      </c>
      <c r="Z125" s="39" t="e">
        <f t="shared" si="7"/>
        <v>#N/A</v>
      </c>
      <c r="AA125" s="39" t="e">
        <f t="shared" si="8"/>
        <v>#N/A</v>
      </c>
      <c r="AB125" s="39"/>
      <c r="AC125" s="48" t="e">
        <f t="shared" si="10"/>
        <v>#N/A</v>
      </c>
    </row>
    <row r="126" spans="1:29" ht="12.5" x14ac:dyDescent="0.25">
      <c r="A126" s="36"/>
      <c r="B126" s="33"/>
      <c r="C126" s="33"/>
      <c r="D126" s="33"/>
      <c r="E126" s="35"/>
      <c r="F126" s="21"/>
      <c r="G126" s="22" t="e">
        <f>VLOOKUP(E126,'Court List'!$A:$C,2,0)</f>
        <v>#N/A</v>
      </c>
      <c r="H126" s="33"/>
      <c r="I126" s="33"/>
      <c r="J126" s="44" t="e">
        <f t="shared" si="0"/>
        <v>#N/A</v>
      </c>
      <c r="K126" s="36"/>
      <c r="L126" s="18">
        <f>SUM('Shuttle Count - Supreme (Nov 20'!C126:D126)</f>
        <v>0</v>
      </c>
      <c r="M126" s="18" t="e">
        <f>VLOOKUP(K126,'Shuttle Purchase'!A:C,3,0)</f>
        <v>#N/A</v>
      </c>
      <c r="N126" s="44" t="e">
        <f t="shared" si="15"/>
        <v>#N/A</v>
      </c>
      <c r="O126" s="24" t="e">
        <f>VLOOKUP(E126,'Court List'!$A:$C,3,0)</f>
        <v>#N/A</v>
      </c>
      <c r="P126" s="18">
        <f>COUNTIF('Pub List'!$C126:$T126,"&lt;&gt;")</f>
        <v>0</v>
      </c>
      <c r="Q126" s="20" t="e">
        <f t="shared" si="2"/>
        <v>#N/A</v>
      </c>
      <c r="R126" s="36"/>
      <c r="S126" s="18">
        <f>COUNTIF('Member List'!$C126:$J126,"&lt;&gt;")</f>
        <v>0</v>
      </c>
      <c r="T126" s="35"/>
      <c r="U126" s="24">
        <f t="shared" si="3"/>
        <v>0</v>
      </c>
      <c r="V126" s="18" t="e">
        <f t="shared" si="4"/>
        <v>#N/A</v>
      </c>
      <c r="W126" s="45" t="e">
        <f t="shared" si="5"/>
        <v>#N/A</v>
      </c>
      <c r="X126" s="20" t="e">
        <f t="shared" si="6"/>
        <v>#N/A</v>
      </c>
      <c r="Y126" s="46" t="e">
        <f t="shared" si="9"/>
        <v>#N/A</v>
      </c>
      <c r="Z126" s="39" t="e">
        <f t="shared" si="7"/>
        <v>#N/A</v>
      </c>
      <c r="AA126" s="39" t="e">
        <f t="shared" si="8"/>
        <v>#N/A</v>
      </c>
      <c r="AB126" s="39"/>
      <c r="AC126" s="48" t="e">
        <f t="shared" si="10"/>
        <v>#N/A</v>
      </c>
    </row>
    <row r="127" spans="1:29" ht="12.5" x14ac:dyDescent="0.25">
      <c r="A127" s="36"/>
      <c r="B127" s="33"/>
      <c r="C127" s="33"/>
      <c r="D127" s="33"/>
      <c r="E127" s="35"/>
      <c r="F127" s="21"/>
      <c r="G127" s="22" t="e">
        <f>VLOOKUP(E127,'Court List'!$A:$C,2,0)</f>
        <v>#N/A</v>
      </c>
      <c r="H127" s="33"/>
      <c r="I127" s="33"/>
      <c r="J127" s="44" t="e">
        <f t="shared" si="0"/>
        <v>#N/A</v>
      </c>
      <c r="K127" s="36"/>
      <c r="L127" s="18">
        <f>SUM('Shuttle Count - Supreme (Nov 20'!C127:D127)</f>
        <v>0</v>
      </c>
      <c r="M127" s="18" t="e">
        <f>VLOOKUP(K127,'Shuttle Purchase'!A:C,3,0)</f>
        <v>#N/A</v>
      </c>
      <c r="N127" s="44" t="e">
        <f t="shared" si="15"/>
        <v>#N/A</v>
      </c>
      <c r="O127" s="24" t="e">
        <f>VLOOKUP(E127,'Court List'!$A:$C,3,0)</f>
        <v>#N/A</v>
      </c>
      <c r="P127" s="18">
        <f>COUNTIF('Pub List'!$C127:$T127,"&lt;&gt;")</f>
        <v>0</v>
      </c>
      <c r="Q127" s="20" t="e">
        <f t="shared" si="2"/>
        <v>#N/A</v>
      </c>
      <c r="R127" s="36"/>
      <c r="S127" s="18">
        <f>COUNTIF('Member List'!$C127:$J127,"&lt;&gt;")</f>
        <v>0</v>
      </c>
      <c r="T127" s="35"/>
      <c r="U127" s="24">
        <f t="shared" si="3"/>
        <v>0</v>
      </c>
      <c r="V127" s="18" t="e">
        <f t="shared" si="4"/>
        <v>#N/A</v>
      </c>
      <c r="W127" s="45" t="e">
        <f t="shared" si="5"/>
        <v>#N/A</v>
      </c>
      <c r="X127" s="20" t="e">
        <f t="shared" si="6"/>
        <v>#N/A</v>
      </c>
      <c r="Y127" s="46" t="e">
        <f t="shared" si="9"/>
        <v>#N/A</v>
      </c>
      <c r="Z127" s="39" t="e">
        <f t="shared" si="7"/>
        <v>#N/A</v>
      </c>
      <c r="AA127" s="39" t="e">
        <f t="shared" si="8"/>
        <v>#N/A</v>
      </c>
      <c r="AB127" s="39"/>
      <c r="AC127" s="48" t="e">
        <f t="shared" si="10"/>
        <v>#N/A</v>
      </c>
    </row>
    <row r="128" spans="1:29" ht="12.5" x14ac:dyDescent="0.25">
      <c r="A128" s="36"/>
      <c r="B128" s="33"/>
      <c r="C128" s="33"/>
      <c r="D128" s="33"/>
      <c r="E128" s="35"/>
      <c r="F128" s="21"/>
      <c r="G128" s="22" t="e">
        <f>VLOOKUP(E128,'Court List'!$A:$C,2,0)</f>
        <v>#N/A</v>
      </c>
      <c r="H128" s="33"/>
      <c r="I128" s="33"/>
      <c r="J128" s="44" t="e">
        <f t="shared" si="0"/>
        <v>#N/A</v>
      </c>
      <c r="K128" s="36"/>
      <c r="L128" s="18">
        <f>SUM('Shuttle Count - Supreme (Nov 20'!C128:D128)</f>
        <v>0</v>
      </c>
      <c r="M128" s="18" t="e">
        <f>VLOOKUP(K128,'Shuttle Purchase'!A:C,3,0)</f>
        <v>#N/A</v>
      </c>
      <c r="N128" s="44" t="e">
        <f t="shared" si="15"/>
        <v>#N/A</v>
      </c>
      <c r="O128" s="24" t="e">
        <f>VLOOKUP(E128,'Court List'!$A:$C,3,0)</f>
        <v>#N/A</v>
      </c>
      <c r="P128" s="18">
        <f>COUNTIF('Pub List'!$C128:$T128,"&lt;&gt;")</f>
        <v>0</v>
      </c>
      <c r="Q128" s="20" t="e">
        <f t="shared" si="2"/>
        <v>#N/A</v>
      </c>
      <c r="R128" s="36"/>
      <c r="S128" s="18">
        <f>COUNTIF('Member List'!$C128:$J128,"&lt;&gt;")</f>
        <v>0</v>
      </c>
      <c r="T128" s="35"/>
      <c r="U128" s="24">
        <f t="shared" si="3"/>
        <v>0</v>
      </c>
      <c r="V128" s="18" t="e">
        <f t="shared" si="4"/>
        <v>#N/A</v>
      </c>
      <c r="W128" s="45" t="e">
        <f t="shared" si="5"/>
        <v>#N/A</v>
      </c>
      <c r="X128" s="20" t="e">
        <f t="shared" si="6"/>
        <v>#N/A</v>
      </c>
      <c r="Y128" s="46" t="e">
        <f t="shared" si="9"/>
        <v>#N/A</v>
      </c>
      <c r="Z128" s="39" t="e">
        <f t="shared" si="7"/>
        <v>#N/A</v>
      </c>
      <c r="AA128" s="39" t="e">
        <f t="shared" si="8"/>
        <v>#N/A</v>
      </c>
      <c r="AB128" s="39"/>
      <c r="AC128" s="48" t="e">
        <f t="shared" si="10"/>
        <v>#N/A</v>
      </c>
    </row>
    <row r="129" spans="1:29" ht="12.5" x14ac:dyDescent="0.25">
      <c r="A129" s="36"/>
      <c r="B129" s="33"/>
      <c r="C129" s="33"/>
      <c r="D129" s="33"/>
      <c r="E129" s="35"/>
      <c r="F129" s="21"/>
      <c r="G129" s="22" t="e">
        <f>VLOOKUP(E129,'Court List'!$A:$C,2,0)</f>
        <v>#N/A</v>
      </c>
      <c r="H129" s="33"/>
      <c r="I129" s="33"/>
      <c r="J129" s="44" t="e">
        <f t="shared" si="0"/>
        <v>#N/A</v>
      </c>
      <c r="K129" s="36"/>
      <c r="L129" s="18">
        <f>SUM('Shuttle Count - Supreme (Nov 20'!C129:D129)</f>
        <v>0</v>
      </c>
      <c r="M129" s="18" t="e">
        <f>VLOOKUP(K129,'Shuttle Purchase'!A:C,3,0)</f>
        <v>#N/A</v>
      </c>
      <c r="N129" s="44" t="e">
        <f t="shared" si="15"/>
        <v>#N/A</v>
      </c>
      <c r="O129" s="24" t="e">
        <f>VLOOKUP(E129,'Court List'!$A:$C,3,0)</f>
        <v>#N/A</v>
      </c>
      <c r="P129" s="18">
        <f>COUNTIF('Pub List'!$C129:$T129,"&lt;&gt;")</f>
        <v>0</v>
      </c>
      <c r="Q129" s="20" t="e">
        <f t="shared" si="2"/>
        <v>#N/A</v>
      </c>
      <c r="R129" s="36"/>
      <c r="S129" s="18">
        <f>COUNTIF('Member List'!$C129:$J129,"&lt;&gt;")</f>
        <v>0</v>
      </c>
      <c r="T129" s="35"/>
      <c r="U129" s="24">
        <f t="shared" si="3"/>
        <v>0</v>
      </c>
      <c r="V129" s="18" t="e">
        <f t="shared" si="4"/>
        <v>#N/A</v>
      </c>
      <c r="W129" s="45" t="e">
        <f t="shared" si="5"/>
        <v>#N/A</v>
      </c>
      <c r="X129" s="20" t="e">
        <f t="shared" si="6"/>
        <v>#N/A</v>
      </c>
      <c r="Y129" s="46" t="e">
        <f t="shared" si="9"/>
        <v>#N/A</v>
      </c>
      <c r="Z129" s="39" t="e">
        <f t="shared" si="7"/>
        <v>#N/A</v>
      </c>
      <c r="AA129" s="39" t="e">
        <f t="shared" si="8"/>
        <v>#N/A</v>
      </c>
      <c r="AB129" s="39"/>
      <c r="AC129" s="48" t="e">
        <f t="shared" si="10"/>
        <v>#N/A</v>
      </c>
    </row>
    <row r="130" spans="1:29" ht="12.5" x14ac:dyDescent="0.25">
      <c r="A130" s="36"/>
      <c r="B130" s="33"/>
      <c r="C130" s="33"/>
      <c r="D130" s="33"/>
      <c r="E130" s="35"/>
      <c r="F130" s="21"/>
      <c r="G130" s="22" t="e">
        <f>VLOOKUP(E130,'Court List'!$A:$C,2,0)</f>
        <v>#N/A</v>
      </c>
      <c r="H130" s="33"/>
      <c r="I130" s="33"/>
      <c r="J130" s="44" t="e">
        <f t="shared" si="0"/>
        <v>#N/A</v>
      </c>
      <c r="K130" s="36"/>
      <c r="L130" s="18">
        <f>SUM('Shuttle Count - Supreme (Nov 20'!C130:D130)</f>
        <v>0</v>
      </c>
      <c r="M130" s="18" t="e">
        <f>VLOOKUP(K130,'Shuttle Purchase'!A:C,3,0)</f>
        <v>#N/A</v>
      </c>
      <c r="N130" s="44" t="e">
        <f t="shared" si="15"/>
        <v>#N/A</v>
      </c>
      <c r="O130" s="24" t="e">
        <f>VLOOKUP(E130,'Court List'!$A:$C,3,0)</f>
        <v>#N/A</v>
      </c>
      <c r="P130" s="18">
        <f>COUNTIF('Pub List'!$C130:$T130,"&lt;&gt;")</f>
        <v>0</v>
      </c>
      <c r="Q130" s="20" t="e">
        <f t="shared" si="2"/>
        <v>#N/A</v>
      </c>
      <c r="R130" s="36"/>
      <c r="S130" s="18">
        <f>COUNTIF('Member List'!$C130:$J130,"&lt;&gt;")</f>
        <v>0</v>
      </c>
      <c r="T130" s="35"/>
      <c r="U130" s="24">
        <f t="shared" si="3"/>
        <v>0</v>
      </c>
      <c r="V130" s="18" t="e">
        <f t="shared" si="4"/>
        <v>#N/A</v>
      </c>
      <c r="W130" s="45" t="e">
        <f t="shared" si="5"/>
        <v>#N/A</v>
      </c>
      <c r="X130" s="20" t="e">
        <f t="shared" si="6"/>
        <v>#N/A</v>
      </c>
      <c r="Y130" s="46" t="e">
        <f t="shared" si="9"/>
        <v>#N/A</v>
      </c>
      <c r="Z130" s="39" t="e">
        <f t="shared" si="7"/>
        <v>#N/A</v>
      </c>
      <c r="AA130" s="39" t="e">
        <f t="shared" si="8"/>
        <v>#N/A</v>
      </c>
      <c r="AB130" s="39"/>
      <c r="AC130" s="48" t="e">
        <f t="shared" si="10"/>
        <v>#N/A</v>
      </c>
    </row>
    <row r="131" spans="1:29" ht="12.5" x14ac:dyDescent="0.25">
      <c r="A131" s="36"/>
      <c r="B131" s="33"/>
      <c r="C131" s="33"/>
      <c r="D131" s="33"/>
      <c r="E131" s="35"/>
      <c r="F131" s="21"/>
      <c r="G131" s="22" t="e">
        <f>VLOOKUP(E131,'Court List'!$A:$C,2,0)</f>
        <v>#N/A</v>
      </c>
      <c r="H131" s="33"/>
      <c r="I131" s="33"/>
      <c r="J131" s="44" t="e">
        <f t="shared" si="0"/>
        <v>#N/A</v>
      </c>
      <c r="K131" s="36"/>
      <c r="L131" s="18">
        <f>SUM('Shuttle Count - Supreme (Nov 20'!C131:D131)</f>
        <v>0</v>
      </c>
      <c r="M131" s="18" t="e">
        <f>VLOOKUP(K131,'Shuttle Purchase'!A:C,3,0)</f>
        <v>#N/A</v>
      </c>
      <c r="N131" s="44" t="e">
        <f t="shared" si="15"/>
        <v>#N/A</v>
      </c>
      <c r="O131" s="24" t="e">
        <f>VLOOKUP(E131,'Court List'!$A:$C,3,0)</f>
        <v>#N/A</v>
      </c>
      <c r="P131" s="18">
        <f>COUNTIF('Pub List'!$C131:$T131,"&lt;&gt;")</f>
        <v>0</v>
      </c>
      <c r="Q131" s="20" t="e">
        <f t="shared" si="2"/>
        <v>#N/A</v>
      </c>
      <c r="R131" s="36"/>
      <c r="S131" s="18">
        <f>COUNTIF('Member List'!$C131:$J131,"&lt;&gt;")</f>
        <v>0</v>
      </c>
      <c r="T131" s="35"/>
      <c r="U131" s="24">
        <f t="shared" si="3"/>
        <v>0</v>
      </c>
      <c r="V131" s="18" t="e">
        <f t="shared" si="4"/>
        <v>#N/A</v>
      </c>
      <c r="W131" s="45" t="e">
        <f t="shared" si="5"/>
        <v>#N/A</v>
      </c>
      <c r="X131" s="20" t="e">
        <f t="shared" si="6"/>
        <v>#N/A</v>
      </c>
      <c r="Y131" s="46" t="e">
        <f t="shared" si="9"/>
        <v>#N/A</v>
      </c>
      <c r="Z131" s="39" t="e">
        <f t="shared" si="7"/>
        <v>#N/A</v>
      </c>
      <c r="AA131" s="39" t="e">
        <f t="shared" si="8"/>
        <v>#N/A</v>
      </c>
      <c r="AB131" s="39"/>
      <c r="AC131" s="48" t="e">
        <f t="shared" si="10"/>
        <v>#N/A</v>
      </c>
    </row>
    <row r="132" spans="1:29" ht="12.5" x14ac:dyDescent="0.25">
      <c r="A132" s="36"/>
      <c r="B132" s="33"/>
      <c r="C132" s="33"/>
      <c r="D132" s="33"/>
      <c r="E132" s="35"/>
      <c r="F132" s="21"/>
      <c r="G132" s="22" t="e">
        <f>VLOOKUP(E132,'Court List'!$A:$C,2,0)</f>
        <v>#N/A</v>
      </c>
      <c r="H132" s="33"/>
      <c r="I132" s="33"/>
      <c r="J132" s="44" t="e">
        <f t="shared" si="0"/>
        <v>#N/A</v>
      </c>
      <c r="K132" s="36"/>
      <c r="L132" s="18">
        <f>SUM('Shuttle Count - Supreme (Nov 20'!C132:D132)</f>
        <v>0</v>
      </c>
      <c r="M132" s="18" t="e">
        <f>VLOOKUP(K132,'Shuttle Purchase'!A:C,3,0)</f>
        <v>#N/A</v>
      </c>
      <c r="N132" s="44" t="e">
        <f t="shared" si="15"/>
        <v>#N/A</v>
      </c>
      <c r="O132" s="24" t="e">
        <f>VLOOKUP(E132,'Court List'!$A:$C,3,0)</f>
        <v>#N/A</v>
      </c>
      <c r="P132" s="18">
        <f>COUNTIF('Pub List'!$C132:$T132,"&lt;&gt;")</f>
        <v>0</v>
      </c>
      <c r="Q132" s="20" t="e">
        <f t="shared" si="2"/>
        <v>#N/A</v>
      </c>
      <c r="R132" s="36"/>
      <c r="S132" s="18">
        <f>COUNTIF('Member List'!$C132:$J132,"&lt;&gt;")</f>
        <v>0</v>
      </c>
      <c r="T132" s="35"/>
      <c r="U132" s="24">
        <f t="shared" si="3"/>
        <v>0</v>
      </c>
      <c r="V132" s="18" t="e">
        <f t="shared" si="4"/>
        <v>#N/A</v>
      </c>
      <c r="W132" s="45" t="e">
        <f t="shared" si="5"/>
        <v>#N/A</v>
      </c>
      <c r="X132" s="20" t="e">
        <f t="shared" si="6"/>
        <v>#N/A</v>
      </c>
      <c r="Y132" s="46" t="e">
        <f t="shared" si="9"/>
        <v>#N/A</v>
      </c>
      <c r="Z132" s="39" t="e">
        <f t="shared" si="7"/>
        <v>#N/A</v>
      </c>
      <c r="AA132" s="39" t="e">
        <f t="shared" si="8"/>
        <v>#N/A</v>
      </c>
      <c r="AB132" s="39"/>
      <c r="AC132" s="48" t="e">
        <f t="shared" si="10"/>
        <v>#N/A</v>
      </c>
    </row>
    <row r="133" spans="1:29" ht="12.5" x14ac:dyDescent="0.25">
      <c r="A133" s="36"/>
      <c r="B133" s="33"/>
      <c r="C133" s="33"/>
      <c r="D133" s="33"/>
      <c r="E133" s="35"/>
      <c r="F133" s="21"/>
      <c r="G133" s="22" t="e">
        <f>VLOOKUP(E133,'Court List'!$A:$C,2,0)</f>
        <v>#N/A</v>
      </c>
      <c r="H133" s="33"/>
      <c r="I133" s="33"/>
      <c r="J133" s="44" t="e">
        <f t="shared" si="0"/>
        <v>#N/A</v>
      </c>
      <c r="K133" s="36"/>
      <c r="L133" s="18">
        <f>SUM('Shuttle Count - Supreme (Nov 20'!C133:D133)</f>
        <v>0</v>
      </c>
      <c r="M133" s="18" t="e">
        <f>VLOOKUP(K133,'Shuttle Purchase'!A:C,3,0)</f>
        <v>#N/A</v>
      </c>
      <c r="N133" s="44" t="e">
        <f t="shared" si="15"/>
        <v>#N/A</v>
      </c>
      <c r="O133" s="24" t="e">
        <f>VLOOKUP(E133,'Court List'!$A:$C,3,0)</f>
        <v>#N/A</v>
      </c>
      <c r="P133" s="18">
        <f>COUNTIF('Pub List'!$C133:$T133,"&lt;&gt;")</f>
        <v>0</v>
      </c>
      <c r="Q133" s="20" t="e">
        <f t="shared" si="2"/>
        <v>#N/A</v>
      </c>
      <c r="R133" s="36"/>
      <c r="S133" s="18">
        <f>COUNTIF('Member List'!$C133:$J133,"&lt;&gt;")</f>
        <v>0</v>
      </c>
      <c r="T133" s="35"/>
      <c r="U133" s="24">
        <f t="shared" si="3"/>
        <v>0</v>
      </c>
      <c r="V133" s="18" t="e">
        <f t="shared" si="4"/>
        <v>#N/A</v>
      </c>
      <c r="W133" s="45" t="e">
        <f t="shared" si="5"/>
        <v>#N/A</v>
      </c>
      <c r="X133" s="20" t="e">
        <f t="shared" si="6"/>
        <v>#N/A</v>
      </c>
      <c r="Y133" s="46" t="e">
        <f t="shared" si="9"/>
        <v>#N/A</v>
      </c>
      <c r="Z133" s="39" t="e">
        <f t="shared" si="7"/>
        <v>#N/A</v>
      </c>
      <c r="AA133" s="39" t="e">
        <f t="shared" si="8"/>
        <v>#N/A</v>
      </c>
      <c r="AB133" s="39"/>
      <c r="AC133" s="48" t="e">
        <f t="shared" si="10"/>
        <v>#N/A</v>
      </c>
    </row>
    <row r="134" spans="1:29" ht="12.5" x14ac:dyDescent="0.25">
      <c r="A134" s="36"/>
      <c r="B134" s="33"/>
      <c r="C134" s="33"/>
      <c r="D134" s="33"/>
      <c r="E134" s="35"/>
      <c r="F134" s="21"/>
      <c r="G134" s="22" t="e">
        <f>VLOOKUP(E134,'Court List'!$A:$C,2,0)</f>
        <v>#N/A</v>
      </c>
      <c r="H134" s="33"/>
      <c r="I134" s="33"/>
      <c r="J134" s="44" t="e">
        <f t="shared" si="0"/>
        <v>#N/A</v>
      </c>
      <c r="K134" s="36"/>
      <c r="L134" s="18">
        <f>SUM('Shuttle Count - Supreme (Nov 20'!C134:D134)</f>
        <v>0</v>
      </c>
      <c r="M134" s="18" t="e">
        <f>VLOOKUP(K134,'Shuttle Purchase'!A:C,3,0)</f>
        <v>#N/A</v>
      </c>
      <c r="N134" s="44" t="e">
        <f t="shared" si="15"/>
        <v>#N/A</v>
      </c>
      <c r="O134" s="24" t="e">
        <f>VLOOKUP(E134,'Court List'!$A:$C,3,0)</f>
        <v>#N/A</v>
      </c>
      <c r="P134" s="18">
        <f>COUNTIF('Pub List'!$C134:$T134,"&lt;&gt;")</f>
        <v>0</v>
      </c>
      <c r="Q134" s="20" t="e">
        <f t="shared" si="2"/>
        <v>#N/A</v>
      </c>
      <c r="R134" s="36"/>
      <c r="S134" s="18">
        <f>COUNTIF('Member List'!$C134:$J134,"&lt;&gt;")</f>
        <v>0</v>
      </c>
      <c r="T134" s="35"/>
      <c r="U134" s="24">
        <f t="shared" si="3"/>
        <v>0</v>
      </c>
      <c r="V134" s="18" t="e">
        <f t="shared" si="4"/>
        <v>#N/A</v>
      </c>
      <c r="W134" s="45" t="e">
        <f t="shared" si="5"/>
        <v>#N/A</v>
      </c>
      <c r="X134" s="20" t="e">
        <f t="shared" si="6"/>
        <v>#N/A</v>
      </c>
      <c r="Y134" s="46" t="e">
        <f t="shared" si="9"/>
        <v>#N/A</v>
      </c>
      <c r="Z134" s="39" t="e">
        <f t="shared" si="7"/>
        <v>#N/A</v>
      </c>
      <c r="AA134" s="39" t="e">
        <f t="shared" si="8"/>
        <v>#N/A</v>
      </c>
      <c r="AB134" s="39"/>
      <c r="AC134" s="48" t="e">
        <f t="shared" si="10"/>
        <v>#N/A</v>
      </c>
    </row>
    <row r="135" spans="1:29" ht="12.5" x14ac:dyDescent="0.25">
      <c r="A135" s="36"/>
      <c r="B135" s="33"/>
      <c r="C135" s="33"/>
      <c r="D135" s="33"/>
      <c r="E135" s="35"/>
      <c r="F135" s="21"/>
      <c r="G135" s="22" t="e">
        <f>VLOOKUP(E135,'Court List'!$A:$C,2,0)</f>
        <v>#N/A</v>
      </c>
      <c r="H135" s="33"/>
      <c r="I135" s="33"/>
      <c r="J135" s="44" t="e">
        <f t="shared" si="0"/>
        <v>#N/A</v>
      </c>
      <c r="K135" s="36"/>
      <c r="L135" s="18">
        <f>SUM('Shuttle Count - Supreme (Nov 20'!C135:D135)</f>
        <v>0</v>
      </c>
      <c r="M135" s="18" t="e">
        <f>VLOOKUP(K135,'Shuttle Purchase'!A:C,3,0)</f>
        <v>#N/A</v>
      </c>
      <c r="N135" s="44" t="e">
        <f t="shared" si="15"/>
        <v>#N/A</v>
      </c>
      <c r="O135" s="24" t="e">
        <f>VLOOKUP(E135,'Court List'!$A:$C,3,0)</f>
        <v>#N/A</v>
      </c>
      <c r="P135" s="18">
        <f>COUNTIF('Pub List'!$C135:$T135,"&lt;&gt;")</f>
        <v>0</v>
      </c>
      <c r="Q135" s="20" t="e">
        <f t="shared" si="2"/>
        <v>#N/A</v>
      </c>
      <c r="R135" s="36"/>
      <c r="S135" s="18">
        <f>COUNTIF('Member List'!$C135:$J135,"&lt;&gt;")</f>
        <v>0</v>
      </c>
      <c r="T135" s="35"/>
      <c r="U135" s="24">
        <f t="shared" si="3"/>
        <v>0</v>
      </c>
      <c r="V135" s="18" t="e">
        <f t="shared" si="4"/>
        <v>#N/A</v>
      </c>
      <c r="W135" s="45" t="e">
        <f t="shared" si="5"/>
        <v>#N/A</v>
      </c>
      <c r="X135" s="20" t="e">
        <f t="shared" si="6"/>
        <v>#N/A</v>
      </c>
      <c r="Y135" s="46" t="e">
        <f t="shared" si="9"/>
        <v>#N/A</v>
      </c>
      <c r="Z135" s="39" t="e">
        <f t="shared" si="7"/>
        <v>#N/A</v>
      </c>
      <c r="AA135" s="39" t="e">
        <f t="shared" si="8"/>
        <v>#N/A</v>
      </c>
      <c r="AB135" s="39"/>
      <c r="AC135" s="48" t="e">
        <f t="shared" si="10"/>
        <v>#N/A</v>
      </c>
    </row>
    <row r="136" spans="1:29" ht="12.5" x14ac:dyDescent="0.25">
      <c r="A136" s="36"/>
      <c r="B136" s="33"/>
      <c r="C136" s="33"/>
      <c r="D136" s="33"/>
      <c r="E136" s="35"/>
      <c r="F136" s="21"/>
      <c r="G136" s="22" t="e">
        <f>VLOOKUP(E136,'Court List'!$A:$C,2,0)</f>
        <v>#N/A</v>
      </c>
      <c r="H136" s="33"/>
      <c r="I136" s="33"/>
      <c r="J136" s="44" t="e">
        <f t="shared" si="0"/>
        <v>#N/A</v>
      </c>
      <c r="K136" s="36"/>
      <c r="L136" s="18">
        <f>SUM('Shuttle Count - Supreme (Nov 20'!C136:D136)</f>
        <v>0</v>
      </c>
      <c r="M136" s="18" t="e">
        <f>VLOOKUP(K136,'Shuttle Purchase'!A:C,3,0)</f>
        <v>#N/A</v>
      </c>
      <c r="N136" s="44" t="e">
        <f t="shared" si="15"/>
        <v>#N/A</v>
      </c>
      <c r="O136" s="24" t="e">
        <f>VLOOKUP(E136,'Court List'!$A:$C,3,0)</f>
        <v>#N/A</v>
      </c>
      <c r="P136" s="18">
        <f>COUNTIF('Pub List'!$C136:$T136,"&lt;&gt;")</f>
        <v>0</v>
      </c>
      <c r="Q136" s="20" t="e">
        <f t="shared" si="2"/>
        <v>#N/A</v>
      </c>
      <c r="R136" s="36"/>
      <c r="S136" s="18">
        <f>COUNTIF('Member List'!$C136:$J136,"&lt;&gt;")</f>
        <v>0</v>
      </c>
      <c r="T136" s="35"/>
      <c r="U136" s="24">
        <f t="shared" si="3"/>
        <v>0</v>
      </c>
      <c r="V136" s="18" t="e">
        <f t="shared" si="4"/>
        <v>#N/A</v>
      </c>
      <c r="W136" s="45" t="e">
        <f t="shared" si="5"/>
        <v>#N/A</v>
      </c>
      <c r="X136" s="20" t="e">
        <f t="shared" si="6"/>
        <v>#N/A</v>
      </c>
      <c r="Y136" s="46" t="e">
        <f t="shared" si="9"/>
        <v>#N/A</v>
      </c>
      <c r="Z136" s="39" t="e">
        <f t="shared" si="7"/>
        <v>#N/A</v>
      </c>
      <c r="AA136" s="39" t="e">
        <f t="shared" si="8"/>
        <v>#N/A</v>
      </c>
      <c r="AB136" s="39"/>
      <c r="AC136" s="48" t="e">
        <f t="shared" si="10"/>
        <v>#N/A</v>
      </c>
    </row>
    <row r="137" spans="1:29" ht="12.5" x14ac:dyDescent="0.25">
      <c r="A137" s="36"/>
      <c r="B137" s="33"/>
      <c r="C137" s="33"/>
      <c r="D137" s="33"/>
      <c r="E137" s="35"/>
      <c r="F137" s="21"/>
      <c r="G137" s="22" t="e">
        <f>VLOOKUP(E137,'Court List'!$A:$C,2,0)</f>
        <v>#N/A</v>
      </c>
      <c r="H137" s="33"/>
      <c r="I137" s="33"/>
      <c r="J137" s="44" t="e">
        <f t="shared" si="0"/>
        <v>#N/A</v>
      </c>
      <c r="K137" s="36"/>
      <c r="L137" s="18">
        <f>SUM('Shuttle Count - Supreme (Nov 20'!C137:D137)</f>
        <v>0</v>
      </c>
      <c r="M137" s="18" t="e">
        <f>VLOOKUP(K137,'Shuttle Purchase'!A:C,3,0)</f>
        <v>#N/A</v>
      </c>
      <c r="N137" s="44" t="e">
        <f t="shared" si="15"/>
        <v>#N/A</v>
      </c>
      <c r="O137" s="24" t="e">
        <f>VLOOKUP(E137,'Court List'!$A:$C,3,0)</f>
        <v>#N/A</v>
      </c>
      <c r="P137" s="18">
        <f>COUNTIF('Pub List'!$C137:$T137,"&lt;&gt;")</f>
        <v>0</v>
      </c>
      <c r="Q137" s="20" t="e">
        <f t="shared" si="2"/>
        <v>#N/A</v>
      </c>
      <c r="R137" s="36"/>
      <c r="S137" s="18">
        <f>COUNTIF('Member List'!$C137:$J137,"&lt;&gt;")</f>
        <v>0</v>
      </c>
      <c r="T137" s="35"/>
      <c r="U137" s="24">
        <f t="shared" si="3"/>
        <v>0</v>
      </c>
      <c r="V137" s="18" t="e">
        <f t="shared" si="4"/>
        <v>#N/A</v>
      </c>
      <c r="W137" s="45" t="e">
        <f t="shared" si="5"/>
        <v>#N/A</v>
      </c>
      <c r="X137" s="20" t="e">
        <f t="shared" si="6"/>
        <v>#N/A</v>
      </c>
      <c r="Y137" s="46" t="e">
        <f t="shared" si="9"/>
        <v>#N/A</v>
      </c>
      <c r="Z137" s="39" t="e">
        <f t="shared" si="7"/>
        <v>#N/A</v>
      </c>
      <c r="AA137" s="39" t="e">
        <f t="shared" si="8"/>
        <v>#N/A</v>
      </c>
      <c r="AB137" s="39"/>
      <c r="AC137" s="48" t="e">
        <f t="shared" si="10"/>
        <v>#N/A</v>
      </c>
    </row>
    <row r="138" spans="1:29" ht="12.5" x14ac:dyDescent="0.25">
      <c r="A138" s="36"/>
      <c r="B138" s="33"/>
      <c r="C138" s="33"/>
      <c r="D138" s="33"/>
      <c r="E138" s="35"/>
      <c r="F138" s="21"/>
      <c r="G138" s="22" t="e">
        <f>VLOOKUP(E138,'Court List'!$A:$C,2,0)</f>
        <v>#N/A</v>
      </c>
      <c r="H138" s="33"/>
      <c r="I138" s="33"/>
      <c r="J138" s="44" t="e">
        <f t="shared" si="0"/>
        <v>#N/A</v>
      </c>
      <c r="K138" s="36"/>
      <c r="L138" s="18">
        <f>SUM('Shuttle Count - Supreme (Nov 20'!C138:D138)</f>
        <v>0</v>
      </c>
      <c r="M138" s="18" t="e">
        <f>VLOOKUP(K138,'Shuttle Purchase'!A:C,3,0)</f>
        <v>#N/A</v>
      </c>
      <c r="N138" s="44" t="e">
        <f t="shared" si="15"/>
        <v>#N/A</v>
      </c>
      <c r="O138" s="24" t="e">
        <f>VLOOKUP(E138,'Court List'!$A:$C,3,0)</f>
        <v>#N/A</v>
      </c>
      <c r="P138" s="18">
        <f>COUNTIF('Pub List'!$C138:$T138,"&lt;&gt;")</f>
        <v>0</v>
      </c>
      <c r="Q138" s="20" t="e">
        <f t="shared" si="2"/>
        <v>#N/A</v>
      </c>
      <c r="R138" s="36"/>
      <c r="S138" s="18">
        <f>COUNTIF('Member List'!$C138:$J138,"&lt;&gt;")</f>
        <v>0</v>
      </c>
      <c r="T138" s="35"/>
      <c r="U138" s="24">
        <f t="shared" si="3"/>
        <v>0</v>
      </c>
      <c r="V138" s="18" t="e">
        <f t="shared" si="4"/>
        <v>#N/A</v>
      </c>
      <c r="W138" s="45" t="e">
        <f t="shared" si="5"/>
        <v>#N/A</v>
      </c>
      <c r="X138" s="20" t="e">
        <f t="shared" si="6"/>
        <v>#N/A</v>
      </c>
      <c r="Y138" s="46" t="e">
        <f t="shared" si="9"/>
        <v>#N/A</v>
      </c>
      <c r="Z138" s="39" t="e">
        <f t="shared" si="7"/>
        <v>#N/A</v>
      </c>
      <c r="AA138" s="39" t="e">
        <f t="shared" si="8"/>
        <v>#N/A</v>
      </c>
      <c r="AB138" s="39"/>
      <c r="AC138" s="48" t="e">
        <f t="shared" si="10"/>
        <v>#N/A</v>
      </c>
    </row>
    <row r="139" spans="1:29" ht="12.5" x14ac:dyDescent="0.25">
      <c r="A139" s="36"/>
      <c r="B139" s="33"/>
      <c r="C139" s="33"/>
      <c r="D139" s="33"/>
      <c r="E139" s="35"/>
      <c r="F139" s="21"/>
      <c r="G139" s="22" t="e">
        <f>VLOOKUP(E139,'Court List'!$A:$C,2,0)</f>
        <v>#N/A</v>
      </c>
      <c r="H139" s="33"/>
      <c r="I139" s="33"/>
      <c r="J139" s="44" t="e">
        <f t="shared" si="0"/>
        <v>#N/A</v>
      </c>
      <c r="K139" s="36"/>
      <c r="L139" s="18">
        <f>SUM('Shuttle Count - Supreme (Nov 20'!C139:D139)</f>
        <v>0</v>
      </c>
      <c r="M139" s="18" t="e">
        <f>VLOOKUP(K139,'Shuttle Purchase'!A:C,3,0)</f>
        <v>#N/A</v>
      </c>
      <c r="N139" s="44" t="e">
        <f t="shared" si="15"/>
        <v>#N/A</v>
      </c>
      <c r="O139" s="24" t="e">
        <f>VLOOKUP(E139,'Court List'!$A:$C,3,0)</f>
        <v>#N/A</v>
      </c>
      <c r="P139" s="18">
        <f>COUNTIF('Pub List'!$C139:$T139,"&lt;&gt;")</f>
        <v>0</v>
      </c>
      <c r="Q139" s="20" t="e">
        <f t="shared" si="2"/>
        <v>#N/A</v>
      </c>
      <c r="R139" s="36"/>
      <c r="S139" s="18">
        <f>COUNTIF('Member List'!$C139:$J139,"&lt;&gt;")</f>
        <v>0</v>
      </c>
      <c r="T139" s="35"/>
      <c r="U139" s="24">
        <f t="shared" si="3"/>
        <v>0</v>
      </c>
      <c r="V139" s="18" t="e">
        <f t="shared" si="4"/>
        <v>#N/A</v>
      </c>
      <c r="W139" s="45" t="e">
        <f t="shared" si="5"/>
        <v>#N/A</v>
      </c>
      <c r="X139" s="20" t="e">
        <f t="shared" si="6"/>
        <v>#N/A</v>
      </c>
      <c r="Y139" s="46" t="e">
        <f t="shared" si="9"/>
        <v>#N/A</v>
      </c>
      <c r="Z139" s="39" t="e">
        <f t="shared" si="7"/>
        <v>#N/A</v>
      </c>
      <c r="AA139" s="39" t="e">
        <f t="shared" si="8"/>
        <v>#N/A</v>
      </c>
      <c r="AB139" s="39"/>
      <c r="AC139" s="48" t="e">
        <f t="shared" si="10"/>
        <v>#N/A</v>
      </c>
    </row>
    <row r="140" spans="1:29" ht="12.5" x14ac:dyDescent="0.25">
      <c r="A140" s="36"/>
      <c r="B140" s="33"/>
      <c r="C140" s="33"/>
      <c r="D140" s="33"/>
      <c r="E140" s="35"/>
      <c r="F140" s="21"/>
      <c r="G140" s="22" t="e">
        <f>VLOOKUP(E140,'Court List'!$A:$C,2,0)</f>
        <v>#N/A</v>
      </c>
      <c r="H140" s="33"/>
      <c r="I140" s="33"/>
      <c r="J140" s="44" t="e">
        <f t="shared" si="0"/>
        <v>#N/A</v>
      </c>
      <c r="K140" s="36"/>
      <c r="L140" s="18">
        <f>SUM('Shuttle Count - Supreme (Nov 20'!C140:D140)</f>
        <v>0</v>
      </c>
      <c r="M140" s="18" t="e">
        <f>VLOOKUP(K140,'Shuttle Purchase'!A:C,3,0)</f>
        <v>#N/A</v>
      </c>
      <c r="N140" s="44" t="e">
        <f t="shared" si="15"/>
        <v>#N/A</v>
      </c>
      <c r="O140" s="24" t="e">
        <f>VLOOKUP(E140,'Court List'!$A:$C,3,0)</f>
        <v>#N/A</v>
      </c>
      <c r="P140" s="18">
        <f>COUNTIF('Pub List'!$C140:$T140,"&lt;&gt;")</f>
        <v>0</v>
      </c>
      <c r="Q140" s="20" t="e">
        <f t="shared" si="2"/>
        <v>#N/A</v>
      </c>
      <c r="R140" s="36"/>
      <c r="S140" s="18">
        <f>COUNTIF('Member List'!$C140:$J140,"&lt;&gt;")</f>
        <v>0</v>
      </c>
      <c r="T140" s="35"/>
      <c r="U140" s="24">
        <f t="shared" si="3"/>
        <v>0</v>
      </c>
      <c r="V140" s="18" t="e">
        <f t="shared" si="4"/>
        <v>#N/A</v>
      </c>
      <c r="W140" s="45" t="e">
        <f t="shared" si="5"/>
        <v>#N/A</v>
      </c>
      <c r="X140" s="20" t="e">
        <f t="shared" si="6"/>
        <v>#N/A</v>
      </c>
      <c r="Y140" s="46" t="e">
        <f t="shared" si="9"/>
        <v>#N/A</v>
      </c>
      <c r="Z140" s="39" t="e">
        <f t="shared" si="7"/>
        <v>#N/A</v>
      </c>
      <c r="AA140" s="39" t="e">
        <f t="shared" si="8"/>
        <v>#N/A</v>
      </c>
      <c r="AB140" s="39"/>
      <c r="AC140" s="48" t="e">
        <f t="shared" si="10"/>
        <v>#N/A</v>
      </c>
    </row>
    <row r="141" spans="1:29" ht="12.5" x14ac:dyDescent="0.25">
      <c r="A141" s="36"/>
      <c r="B141" s="33"/>
      <c r="C141" s="33"/>
      <c r="D141" s="33"/>
      <c r="E141" s="35"/>
      <c r="F141" s="21"/>
      <c r="G141" s="22" t="e">
        <f>VLOOKUP(E141,'Court List'!$A:$C,2,0)</f>
        <v>#N/A</v>
      </c>
      <c r="H141" s="33"/>
      <c r="I141" s="33"/>
      <c r="J141" s="44" t="e">
        <f t="shared" si="0"/>
        <v>#N/A</v>
      </c>
      <c r="K141" s="36"/>
      <c r="L141" s="18">
        <f>SUM('Shuttle Count - Supreme (Nov 20'!C141:D141)</f>
        <v>0</v>
      </c>
      <c r="M141" s="18" t="e">
        <f>VLOOKUP(K141,'Shuttle Purchase'!A:C,3,0)</f>
        <v>#N/A</v>
      </c>
      <c r="N141" s="44" t="e">
        <f t="shared" si="15"/>
        <v>#N/A</v>
      </c>
      <c r="O141" s="24" t="e">
        <f>VLOOKUP(E141,'Court List'!$A:$C,3,0)</f>
        <v>#N/A</v>
      </c>
      <c r="P141" s="18">
        <f>COUNTIF('Pub List'!$C141:$T141,"&lt;&gt;")</f>
        <v>0</v>
      </c>
      <c r="Q141" s="20" t="e">
        <f t="shared" si="2"/>
        <v>#N/A</v>
      </c>
      <c r="R141" s="36"/>
      <c r="S141" s="18">
        <f>COUNTIF('Member List'!$C141:$J141,"&lt;&gt;")</f>
        <v>0</v>
      </c>
      <c r="T141" s="35"/>
      <c r="U141" s="24">
        <f t="shared" si="3"/>
        <v>0</v>
      </c>
      <c r="V141" s="18" t="e">
        <f t="shared" si="4"/>
        <v>#N/A</v>
      </c>
      <c r="W141" s="45" t="e">
        <f t="shared" si="5"/>
        <v>#N/A</v>
      </c>
      <c r="X141" s="20" t="e">
        <f t="shared" si="6"/>
        <v>#N/A</v>
      </c>
      <c r="Y141" s="46" t="e">
        <f t="shared" si="9"/>
        <v>#N/A</v>
      </c>
      <c r="Z141" s="39" t="e">
        <f t="shared" si="7"/>
        <v>#N/A</v>
      </c>
      <c r="AA141" s="39" t="e">
        <f t="shared" si="8"/>
        <v>#N/A</v>
      </c>
      <c r="AB141" s="39"/>
      <c r="AC141" s="48" t="e">
        <f t="shared" si="10"/>
        <v>#N/A</v>
      </c>
    </row>
    <row r="142" spans="1:29" ht="12.5" x14ac:dyDescent="0.25">
      <c r="A142" s="36"/>
      <c r="B142" s="33"/>
      <c r="C142" s="33"/>
      <c r="D142" s="33"/>
      <c r="E142" s="35"/>
      <c r="F142" s="21"/>
      <c r="G142" s="22" t="e">
        <f>VLOOKUP(E142,'Court List'!$A:$C,2,0)</f>
        <v>#N/A</v>
      </c>
      <c r="H142" s="33"/>
      <c r="I142" s="33"/>
      <c r="J142" s="44" t="e">
        <f t="shared" si="0"/>
        <v>#N/A</v>
      </c>
      <c r="K142" s="36"/>
      <c r="L142" s="18">
        <f>SUM('Shuttle Count - Supreme (Nov 20'!C142:D142)</f>
        <v>0</v>
      </c>
      <c r="M142" s="18" t="e">
        <f>VLOOKUP(K142,'Shuttle Purchase'!A:C,3,0)</f>
        <v>#N/A</v>
      </c>
      <c r="N142" s="44" t="e">
        <f t="shared" si="15"/>
        <v>#N/A</v>
      </c>
      <c r="O142" s="24" t="e">
        <f>VLOOKUP(E142,'Court List'!$A:$C,3,0)</f>
        <v>#N/A</v>
      </c>
      <c r="P142" s="18">
        <f>COUNTIF('Pub List'!$C142:$T142,"&lt;&gt;")</f>
        <v>0</v>
      </c>
      <c r="Q142" s="20" t="e">
        <f t="shared" si="2"/>
        <v>#N/A</v>
      </c>
      <c r="R142" s="36"/>
      <c r="S142" s="18">
        <f>COUNTIF('Member List'!$C142:$J142,"&lt;&gt;")</f>
        <v>0</v>
      </c>
      <c r="T142" s="35"/>
      <c r="U142" s="24">
        <f t="shared" si="3"/>
        <v>0</v>
      </c>
      <c r="V142" s="18" t="e">
        <f t="shared" si="4"/>
        <v>#N/A</v>
      </c>
      <c r="W142" s="45" t="e">
        <f t="shared" si="5"/>
        <v>#N/A</v>
      </c>
      <c r="X142" s="20" t="e">
        <f t="shared" si="6"/>
        <v>#N/A</v>
      </c>
      <c r="Y142" s="46" t="e">
        <f t="shared" si="9"/>
        <v>#N/A</v>
      </c>
      <c r="Z142" s="39" t="e">
        <f t="shared" si="7"/>
        <v>#N/A</v>
      </c>
      <c r="AA142" s="39" t="e">
        <f t="shared" si="8"/>
        <v>#N/A</v>
      </c>
      <c r="AB142" s="39"/>
      <c r="AC142" s="48" t="e">
        <f t="shared" si="10"/>
        <v>#N/A</v>
      </c>
    </row>
    <row r="143" spans="1:29" ht="12.5" x14ac:dyDescent="0.25">
      <c r="A143" s="36"/>
      <c r="B143" s="33"/>
      <c r="C143" s="33"/>
      <c r="D143" s="33"/>
      <c r="E143" s="35"/>
      <c r="F143" s="21"/>
      <c r="G143" s="22" t="e">
        <f>VLOOKUP(E143,'Court List'!$A:$C,2,0)</f>
        <v>#N/A</v>
      </c>
      <c r="H143" s="33"/>
      <c r="I143" s="33"/>
      <c r="J143" s="44" t="e">
        <f t="shared" si="0"/>
        <v>#N/A</v>
      </c>
      <c r="K143" s="36"/>
      <c r="L143" s="18">
        <f>SUM('Shuttle Count - Supreme (Nov 20'!C143:D143)</f>
        <v>0</v>
      </c>
      <c r="M143" s="18" t="e">
        <f>VLOOKUP(K143,'Shuttle Purchase'!A:C,3,0)</f>
        <v>#N/A</v>
      </c>
      <c r="N143" s="44" t="e">
        <f t="shared" si="15"/>
        <v>#N/A</v>
      </c>
      <c r="O143" s="24" t="e">
        <f>VLOOKUP(E143,'Court List'!$A:$C,3,0)</f>
        <v>#N/A</v>
      </c>
      <c r="P143" s="18">
        <f>COUNTIF('Pub List'!$C143:$T143,"&lt;&gt;")</f>
        <v>0</v>
      </c>
      <c r="Q143" s="20" t="e">
        <f t="shared" si="2"/>
        <v>#N/A</v>
      </c>
      <c r="R143" s="36"/>
      <c r="S143" s="18">
        <f>COUNTIF('Member List'!$C143:$J143,"&lt;&gt;")</f>
        <v>0</v>
      </c>
      <c r="T143" s="35"/>
      <c r="U143" s="24">
        <f t="shared" si="3"/>
        <v>0</v>
      </c>
      <c r="V143" s="18" t="e">
        <f t="shared" si="4"/>
        <v>#N/A</v>
      </c>
      <c r="W143" s="45" t="e">
        <f t="shared" si="5"/>
        <v>#N/A</v>
      </c>
      <c r="X143" s="20" t="e">
        <f t="shared" si="6"/>
        <v>#N/A</v>
      </c>
      <c r="Y143" s="46" t="e">
        <f t="shared" si="9"/>
        <v>#N/A</v>
      </c>
      <c r="Z143" s="39" t="e">
        <f t="shared" si="7"/>
        <v>#N/A</v>
      </c>
      <c r="AA143" s="39" t="e">
        <f t="shared" si="8"/>
        <v>#N/A</v>
      </c>
      <c r="AB143" s="39"/>
      <c r="AC143" s="48" t="e">
        <f t="shared" si="10"/>
        <v>#N/A</v>
      </c>
    </row>
    <row r="144" spans="1:29" ht="12.5" x14ac:dyDescent="0.25">
      <c r="A144" s="36"/>
      <c r="B144" s="33"/>
      <c r="C144" s="33"/>
      <c r="D144" s="33"/>
      <c r="E144" s="35"/>
      <c r="F144" s="21"/>
      <c r="G144" s="22" t="e">
        <f>VLOOKUP(E144,'Court List'!$A:$C,2,0)</f>
        <v>#N/A</v>
      </c>
      <c r="H144" s="33"/>
      <c r="I144" s="33"/>
      <c r="J144" s="44" t="e">
        <f t="shared" si="0"/>
        <v>#N/A</v>
      </c>
      <c r="K144" s="36"/>
      <c r="L144" s="18">
        <f>SUM('Shuttle Count - Supreme (Nov 20'!C144:D144)</f>
        <v>0</v>
      </c>
      <c r="M144" s="18" t="e">
        <f>VLOOKUP(K144,'Shuttle Purchase'!A:C,3,0)</f>
        <v>#N/A</v>
      </c>
      <c r="N144" s="44" t="e">
        <f t="shared" si="15"/>
        <v>#N/A</v>
      </c>
      <c r="O144" s="24" t="e">
        <f>VLOOKUP(E144,'Court List'!$A:$C,3,0)</f>
        <v>#N/A</v>
      </c>
      <c r="P144" s="18">
        <f>COUNTIF('Pub List'!$C144:$T144,"&lt;&gt;")</f>
        <v>0</v>
      </c>
      <c r="Q144" s="20" t="e">
        <f t="shared" si="2"/>
        <v>#N/A</v>
      </c>
      <c r="R144" s="36"/>
      <c r="S144" s="18">
        <f>COUNTIF('Member List'!$C144:$J144,"&lt;&gt;")</f>
        <v>0</v>
      </c>
      <c r="T144" s="35"/>
      <c r="U144" s="24">
        <f t="shared" si="3"/>
        <v>0</v>
      </c>
      <c r="V144" s="18" t="e">
        <f t="shared" si="4"/>
        <v>#N/A</v>
      </c>
      <c r="W144" s="45" t="e">
        <f t="shared" si="5"/>
        <v>#N/A</v>
      </c>
      <c r="X144" s="20" t="e">
        <f t="shared" si="6"/>
        <v>#N/A</v>
      </c>
      <c r="Y144" s="46" t="e">
        <f t="shared" si="9"/>
        <v>#N/A</v>
      </c>
      <c r="Z144" s="39" t="e">
        <f t="shared" si="7"/>
        <v>#N/A</v>
      </c>
      <c r="AA144" s="39" t="e">
        <f t="shared" si="8"/>
        <v>#N/A</v>
      </c>
      <c r="AB144" s="39"/>
      <c r="AC144" s="48" t="e">
        <f t="shared" si="10"/>
        <v>#N/A</v>
      </c>
    </row>
    <row r="145" spans="1:29" ht="12.5" x14ac:dyDescent="0.25">
      <c r="A145" s="36"/>
      <c r="B145" s="33"/>
      <c r="C145" s="33"/>
      <c r="D145" s="33"/>
      <c r="E145" s="35"/>
      <c r="F145" s="21"/>
      <c r="G145" s="22" t="e">
        <f>VLOOKUP(E145,'Court List'!$A:$C,2,0)</f>
        <v>#N/A</v>
      </c>
      <c r="H145" s="33"/>
      <c r="I145" s="33"/>
      <c r="J145" s="44" t="e">
        <f t="shared" si="0"/>
        <v>#N/A</v>
      </c>
      <c r="K145" s="36"/>
      <c r="L145" s="18">
        <f>SUM('Shuttle Count - Supreme (Nov 20'!C145:D145)</f>
        <v>0</v>
      </c>
      <c r="M145" s="18" t="e">
        <f>VLOOKUP(K145,'Shuttle Purchase'!A:C,3,0)</f>
        <v>#N/A</v>
      </c>
      <c r="N145" s="44" t="e">
        <f t="shared" si="15"/>
        <v>#N/A</v>
      </c>
      <c r="O145" s="24" t="e">
        <f>VLOOKUP(E145,'Court List'!$A:$C,3,0)</f>
        <v>#N/A</v>
      </c>
      <c r="P145" s="18">
        <f>COUNTIF('Pub List'!$C145:$T145,"&lt;&gt;")</f>
        <v>0</v>
      </c>
      <c r="Q145" s="20" t="e">
        <f t="shared" si="2"/>
        <v>#N/A</v>
      </c>
      <c r="R145" s="36"/>
      <c r="S145" s="18">
        <f>COUNTIF('Member List'!$C145:$J145,"&lt;&gt;")</f>
        <v>0</v>
      </c>
      <c r="T145" s="35"/>
      <c r="U145" s="24">
        <f t="shared" si="3"/>
        <v>0</v>
      </c>
      <c r="V145" s="18" t="e">
        <f t="shared" si="4"/>
        <v>#N/A</v>
      </c>
      <c r="W145" s="45" t="e">
        <f t="shared" si="5"/>
        <v>#N/A</v>
      </c>
      <c r="X145" s="20" t="e">
        <f t="shared" si="6"/>
        <v>#N/A</v>
      </c>
      <c r="Y145" s="46" t="e">
        <f t="shared" si="9"/>
        <v>#N/A</v>
      </c>
      <c r="Z145" s="39" t="e">
        <f t="shared" si="7"/>
        <v>#N/A</v>
      </c>
      <c r="AA145" s="39" t="e">
        <f t="shared" si="8"/>
        <v>#N/A</v>
      </c>
      <c r="AB145" s="39"/>
      <c r="AC145" s="48" t="e">
        <f t="shared" si="10"/>
        <v>#N/A</v>
      </c>
    </row>
    <row r="146" spans="1:29" ht="12.5" x14ac:dyDescent="0.25">
      <c r="A146" s="36"/>
      <c r="B146" s="33"/>
      <c r="C146" s="33"/>
      <c r="D146" s="33"/>
      <c r="E146" s="35"/>
      <c r="F146" s="21"/>
      <c r="G146" s="22" t="e">
        <f>VLOOKUP(E146,'Court List'!$A:$C,2,0)</f>
        <v>#N/A</v>
      </c>
      <c r="H146" s="33"/>
      <c r="I146" s="33"/>
      <c r="J146" s="44" t="e">
        <f t="shared" si="0"/>
        <v>#N/A</v>
      </c>
      <c r="K146" s="36"/>
      <c r="L146" s="18">
        <f>SUM('Shuttle Count - Supreme (Nov 20'!C146:D146)</f>
        <v>0</v>
      </c>
      <c r="M146" s="18" t="e">
        <f>VLOOKUP(K146,'Shuttle Purchase'!A:C,3,0)</f>
        <v>#N/A</v>
      </c>
      <c r="N146" s="44" t="e">
        <f t="shared" si="15"/>
        <v>#N/A</v>
      </c>
      <c r="O146" s="24" t="e">
        <f>VLOOKUP(E146,'Court List'!$A:$C,3,0)</f>
        <v>#N/A</v>
      </c>
      <c r="P146" s="18">
        <f>COUNTIF('Pub List'!$C146:$T146,"&lt;&gt;")</f>
        <v>0</v>
      </c>
      <c r="Q146" s="20" t="e">
        <f t="shared" si="2"/>
        <v>#N/A</v>
      </c>
      <c r="R146" s="36"/>
      <c r="S146" s="18">
        <f>COUNTIF('Member List'!$C146:$J146,"&lt;&gt;")</f>
        <v>0</v>
      </c>
      <c r="T146" s="35"/>
      <c r="U146" s="24">
        <f t="shared" si="3"/>
        <v>0</v>
      </c>
      <c r="V146" s="18" t="e">
        <f t="shared" si="4"/>
        <v>#N/A</v>
      </c>
      <c r="W146" s="45" t="e">
        <f t="shared" si="5"/>
        <v>#N/A</v>
      </c>
      <c r="X146" s="20" t="e">
        <f t="shared" si="6"/>
        <v>#N/A</v>
      </c>
      <c r="Y146" s="46" t="e">
        <f t="shared" si="9"/>
        <v>#N/A</v>
      </c>
      <c r="Z146" s="39" t="e">
        <f t="shared" si="7"/>
        <v>#N/A</v>
      </c>
      <c r="AA146" s="39" t="e">
        <f t="shared" si="8"/>
        <v>#N/A</v>
      </c>
      <c r="AB146" s="39"/>
      <c r="AC146" s="48" t="e">
        <f t="shared" si="10"/>
        <v>#N/A</v>
      </c>
    </row>
    <row r="147" spans="1:29" ht="12.5" x14ac:dyDescent="0.25">
      <c r="A147" s="36"/>
      <c r="B147" s="33"/>
      <c r="C147" s="33"/>
      <c r="D147" s="33"/>
      <c r="E147" s="35"/>
      <c r="F147" s="21"/>
      <c r="G147" s="22" t="e">
        <f>VLOOKUP(E147,'Court List'!$A:$C,2,0)</f>
        <v>#N/A</v>
      </c>
      <c r="H147" s="33"/>
      <c r="I147" s="33"/>
      <c r="J147" s="44" t="e">
        <f t="shared" si="0"/>
        <v>#N/A</v>
      </c>
      <c r="K147" s="36"/>
      <c r="L147" s="18">
        <f>SUM('Shuttle Count - Supreme (Nov 20'!C147:D147)</f>
        <v>0</v>
      </c>
      <c r="M147" s="18" t="e">
        <f>VLOOKUP(K147,'Shuttle Purchase'!A:C,3,0)</f>
        <v>#N/A</v>
      </c>
      <c r="N147" s="44" t="e">
        <f t="shared" si="15"/>
        <v>#N/A</v>
      </c>
      <c r="O147" s="24" t="e">
        <f>VLOOKUP(E147,'Court List'!$A:$C,3,0)</f>
        <v>#N/A</v>
      </c>
      <c r="P147" s="18">
        <f>COUNTIF('Pub List'!$C147:$T147,"&lt;&gt;")</f>
        <v>0</v>
      </c>
      <c r="Q147" s="20" t="e">
        <f t="shared" si="2"/>
        <v>#N/A</v>
      </c>
      <c r="R147" s="36"/>
      <c r="S147" s="18">
        <f>COUNTIF('Member List'!$C147:$J147,"&lt;&gt;")</f>
        <v>0</v>
      </c>
      <c r="T147" s="35"/>
      <c r="U147" s="24">
        <f t="shared" si="3"/>
        <v>0</v>
      </c>
      <c r="V147" s="18" t="e">
        <f t="shared" si="4"/>
        <v>#N/A</v>
      </c>
      <c r="W147" s="45" t="e">
        <f t="shared" si="5"/>
        <v>#N/A</v>
      </c>
      <c r="X147" s="20" t="e">
        <f t="shared" si="6"/>
        <v>#N/A</v>
      </c>
      <c r="Y147" s="46" t="e">
        <f t="shared" si="9"/>
        <v>#N/A</v>
      </c>
      <c r="Z147" s="39" t="e">
        <f t="shared" si="7"/>
        <v>#N/A</v>
      </c>
      <c r="AA147" s="39" t="e">
        <f t="shared" si="8"/>
        <v>#N/A</v>
      </c>
      <c r="AB147" s="39"/>
      <c r="AC147" s="48" t="e">
        <f t="shared" si="10"/>
        <v>#N/A</v>
      </c>
    </row>
    <row r="148" spans="1:29" ht="12.5" x14ac:dyDescent="0.25">
      <c r="A148" s="36"/>
      <c r="B148" s="33"/>
      <c r="C148" s="33"/>
      <c r="D148" s="33"/>
      <c r="E148" s="35"/>
      <c r="F148" s="21"/>
      <c r="G148" s="22" t="e">
        <f>VLOOKUP(E148,'Court List'!$A:$C,2,0)</f>
        <v>#N/A</v>
      </c>
      <c r="H148" s="33"/>
      <c r="I148" s="33"/>
      <c r="J148" s="44" t="e">
        <f t="shared" si="0"/>
        <v>#N/A</v>
      </c>
      <c r="K148" s="36"/>
      <c r="L148" s="18">
        <f>SUM('Shuttle Count - Supreme (Nov 20'!C148:D148)</f>
        <v>0</v>
      </c>
      <c r="M148" s="18" t="e">
        <f>VLOOKUP(K148,'Shuttle Purchase'!A:C,3,0)</f>
        <v>#N/A</v>
      </c>
      <c r="N148" s="44" t="e">
        <f t="shared" si="15"/>
        <v>#N/A</v>
      </c>
      <c r="O148" s="24" t="e">
        <f>VLOOKUP(E148,'Court List'!$A:$C,3,0)</f>
        <v>#N/A</v>
      </c>
      <c r="P148" s="18">
        <f>COUNTIF('Pub List'!$C148:$T148,"&lt;&gt;")</f>
        <v>0</v>
      </c>
      <c r="Q148" s="20" t="e">
        <f t="shared" si="2"/>
        <v>#N/A</v>
      </c>
      <c r="R148" s="36"/>
      <c r="S148" s="18">
        <f>COUNTIF('Member List'!$C148:$J148,"&lt;&gt;")</f>
        <v>0</v>
      </c>
      <c r="T148" s="35"/>
      <c r="U148" s="24">
        <f t="shared" si="3"/>
        <v>0</v>
      </c>
      <c r="V148" s="18" t="e">
        <f t="shared" si="4"/>
        <v>#N/A</v>
      </c>
      <c r="W148" s="45" t="e">
        <f t="shared" si="5"/>
        <v>#N/A</v>
      </c>
      <c r="X148" s="20" t="e">
        <f t="shared" si="6"/>
        <v>#N/A</v>
      </c>
      <c r="Y148" s="46" t="e">
        <f t="shared" si="9"/>
        <v>#N/A</v>
      </c>
      <c r="Z148" s="39" t="e">
        <f t="shared" si="7"/>
        <v>#N/A</v>
      </c>
      <c r="AA148" s="39" t="e">
        <f t="shared" si="8"/>
        <v>#N/A</v>
      </c>
      <c r="AB148" s="39"/>
      <c r="AC148" s="48" t="e">
        <f t="shared" si="10"/>
        <v>#N/A</v>
      </c>
    </row>
    <row r="149" spans="1:29" ht="12.5" x14ac:dyDescent="0.25">
      <c r="A149" s="36"/>
      <c r="B149" s="33"/>
      <c r="C149" s="33"/>
      <c r="D149" s="33"/>
      <c r="E149" s="35"/>
      <c r="F149" s="21"/>
      <c r="G149" s="22" t="e">
        <f>VLOOKUP(E149,'Court List'!$A:$C,2,0)</f>
        <v>#N/A</v>
      </c>
      <c r="H149" s="33"/>
      <c r="I149" s="33"/>
      <c r="J149" s="44" t="e">
        <f t="shared" si="0"/>
        <v>#N/A</v>
      </c>
      <c r="K149" s="36"/>
      <c r="L149" s="18">
        <f>SUM('Shuttle Count - Supreme (Nov 20'!C149:D149)</f>
        <v>0</v>
      </c>
      <c r="M149" s="18" t="e">
        <f>VLOOKUP(K149,'Shuttle Purchase'!A:C,3,0)</f>
        <v>#N/A</v>
      </c>
      <c r="N149" s="44" t="e">
        <f t="shared" si="15"/>
        <v>#N/A</v>
      </c>
      <c r="O149" s="24" t="e">
        <f>VLOOKUP(E149,'Court List'!$A:$C,3,0)</f>
        <v>#N/A</v>
      </c>
      <c r="P149" s="18">
        <f>COUNTIF('Pub List'!$C149:$T149,"&lt;&gt;")</f>
        <v>0</v>
      </c>
      <c r="Q149" s="20" t="e">
        <f t="shared" si="2"/>
        <v>#N/A</v>
      </c>
      <c r="R149" s="36"/>
      <c r="S149" s="18">
        <f>COUNTIF('Member List'!$C149:$J149,"&lt;&gt;")</f>
        <v>0</v>
      </c>
      <c r="T149" s="35"/>
      <c r="U149" s="24">
        <f t="shared" si="3"/>
        <v>0</v>
      </c>
      <c r="V149" s="18" t="e">
        <f t="shared" si="4"/>
        <v>#N/A</v>
      </c>
      <c r="W149" s="45" t="e">
        <f t="shared" si="5"/>
        <v>#N/A</v>
      </c>
      <c r="X149" s="20" t="e">
        <f t="shared" si="6"/>
        <v>#N/A</v>
      </c>
      <c r="Y149" s="46" t="e">
        <f t="shared" si="9"/>
        <v>#N/A</v>
      </c>
      <c r="Z149" s="39" t="e">
        <f t="shared" si="7"/>
        <v>#N/A</v>
      </c>
      <c r="AA149" s="39" t="e">
        <f t="shared" si="8"/>
        <v>#N/A</v>
      </c>
      <c r="AB149" s="39"/>
      <c r="AC149" s="48" t="e">
        <f t="shared" si="10"/>
        <v>#N/A</v>
      </c>
    </row>
    <row r="150" spans="1:29" ht="12.5" x14ac:dyDescent="0.25">
      <c r="A150" s="36"/>
      <c r="B150" s="33"/>
      <c r="C150" s="33"/>
      <c r="D150" s="33"/>
      <c r="E150" s="35"/>
      <c r="F150" s="21"/>
      <c r="G150" s="22" t="e">
        <f>VLOOKUP(E150,'Court List'!$A:$C,2,0)</f>
        <v>#N/A</v>
      </c>
      <c r="H150" s="33"/>
      <c r="I150" s="33"/>
      <c r="J150" s="44" t="e">
        <f t="shared" si="0"/>
        <v>#N/A</v>
      </c>
      <c r="K150" s="36"/>
      <c r="L150" s="18">
        <f>SUM('Shuttle Count - Supreme (Nov 20'!C150:D150)</f>
        <v>0</v>
      </c>
      <c r="M150" s="18" t="e">
        <f>VLOOKUP(K150,'Shuttle Purchase'!A:C,3,0)</f>
        <v>#N/A</v>
      </c>
      <c r="N150" s="44" t="e">
        <f t="shared" si="15"/>
        <v>#N/A</v>
      </c>
      <c r="O150" s="24" t="e">
        <f>VLOOKUP(E150,'Court List'!$A:$C,3,0)</f>
        <v>#N/A</v>
      </c>
      <c r="P150" s="18">
        <f>COUNTIF('Pub List'!$C150:$T150,"&lt;&gt;")</f>
        <v>0</v>
      </c>
      <c r="Q150" s="20" t="e">
        <f t="shared" si="2"/>
        <v>#N/A</v>
      </c>
      <c r="R150" s="36"/>
      <c r="S150" s="18">
        <f>COUNTIF('Member List'!$C150:$J150,"&lt;&gt;")</f>
        <v>0</v>
      </c>
      <c r="T150" s="35"/>
      <c r="U150" s="24">
        <f t="shared" si="3"/>
        <v>0</v>
      </c>
      <c r="V150" s="18" t="e">
        <f t="shared" si="4"/>
        <v>#N/A</v>
      </c>
      <c r="W150" s="45" t="e">
        <f t="shared" si="5"/>
        <v>#N/A</v>
      </c>
      <c r="X150" s="20" t="e">
        <f t="shared" si="6"/>
        <v>#N/A</v>
      </c>
      <c r="Y150" s="46" t="e">
        <f t="shared" si="9"/>
        <v>#N/A</v>
      </c>
      <c r="Z150" s="39" t="e">
        <f t="shared" si="7"/>
        <v>#N/A</v>
      </c>
      <c r="AA150" s="39" t="e">
        <f t="shared" si="8"/>
        <v>#N/A</v>
      </c>
      <c r="AB150" s="39"/>
      <c r="AC150" s="48" t="e">
        <f t="shared" si="10"/>
        <v>#N/A</v>
      </c>
    </row>
    <row r="151" spans="1:29" ht="12.5" x14ac:dyDescent="0.25">
      <c r="A151" s="36"/>
      <c r="B151" s="33"/>
      <c r="C151" s="33"/>
      <c r="D151" s="33"/>
      <c r="E151" s="35"/>
      <c r="F151" s="21"/>
      <c r="G151" s="22" t="e">
        <f>VLOOKUP(E151,'Court List'!$A:$C,2,0)</f>
        <v>#N/A</v>
      </c>
      <c r="H151" s="33"/>
      <c r="I151" s="33"/>
      <c r="J151" s="44" t="e">
        <f t="shared" si="0"/>
        <v>#N/A</v>
      </c>
      <c r="K151" s="36"/>
      <c r="L151" s="18">
        <f>SUM('Shuttle Count - Supreme (Nov 20'!C151:D151)</f>
        <v>0</v>
      </c>
      <c r="M151" s="18" t="e">
        <f>VLOOKUP(K151,'Shuttle Purchase'!A:C,3,0)</f>
        <v>#N/A</v>
      </c>
      <c r="N151" s="44" t="e">
        <f t="shared" si="15"/>
        <v>#N/A</v>
      </c>
      <c r="O151" s="24" t="e">
        <f>VLOOKUP(E151,'Court List'!$A:$C,3,0)</f>
        <v>#N/A</v>
      </c>
      <c r="P151" s="18">
        <f>COUNTIF('Pub List'!$C151:$T151,"&lt;&gt;")</f>
        <v>0</v>
      </c>
      <c r="Q151" s="20" t="e">
        <f t="shared" si="2"/>
        <v>#N/A</v>
      </c>
      <c r="R151" s="36"/>
      <c r="S151" s="18">
        <f>COUNTIF('Member List'!$C151:$J151,"&lt;&gt;")</f>
        <v>0</v>
      </c>
      <c r="T151" s="35"/>
      <c r="U151" s="24">
        <f t="shared" si="3"/>
        <v>0</v>
      </c>
      <c r="V151" s="18" t="e">
        <f t="shared" si="4"/>
        <v>#N/A</v>
      </c>
      <c r="W151" s="45" t="e">
        <f t="shared" si="5"/>
        <v>#N/A</v>
      </c>
      <c r="X151" s="20" t="e">
        <f t="shared" si="6"/>
        <v>#N/A</v>
      </c>
      <c r="Y151" s="46" t="e">
        <f t="shared" si="9"/>
        <v>#N/A</v>
      </c>
      <c r="Z151" s="39" t="e">
        <f t="shared" si="7"/>
        <v>#N/A</v>
      </c>
      <c r="AA151" s="39" t="e">
        <f t="shared" si="8"/>
        <v>#N/A</v>
      </c>
      <c r="AB151" s="39"/>
      <c r="AC151" s="48" t="e">
        <f t="shared" si="10"/>
        <v>#N/A</v>
      </c>
    </row>
    <row r="152" spans="1:29" ht="12.5" x14ac:dyDescent="0.25">
      <c r="A152" s="36"/>
      <c r="B152" s="33"/>
      <c r="C152" s="33"/>
      <c r="D152" s="33"/>
      <c r="E152" s="35"/>
      <c r="F152" s="21"/>
      <c r="G152" s="22" t="e">
        <f>VLOOKUP(E152,'Court List'!$A:$C,2,0)</f>
        <v>#N/A</v>
      </c>
      <c r="H152" s="33"/>
      <c r="I152" s="33"/>
      <c r="J152" s="44" t="e">
        <f t="shared" si="0"/>
        <v>#N/A</v>
      </c>
      <c r="K152" s="36"/>
      <c r="L152" s="18">
        <f>SUM('Shuttle Count - Supreme (Nov 20'!C152:D152)</f>
        <v>0</v>
      </c>
      <c r="M152" s="18" t="e">
        <f>VLOOKUP(K152,'Shuttle Purchase'!A:C,3,0)</f>
        <v>#N/A</v>
      </c>
      <c r="N152" s="44" t="e">
        <f t="shared" si="15"/>
        <v>#N/A</v>
      </c>
      <c r="O152" s="24" t="e">
        <f>VLOOKUP(E152,'Court List'!$A:$C,3,0)</f>
        <v>#N/A</v>
      </c>
      <c r="P152" s="18">
        <f>COUNTIF('Pub List'!$C152:$T152,"&lt;&gt;")</f>
        <v>0</v>
      </c>
      <c r="Q152" s="20" t="e">
        <f t="shared" si="2"/>
        <v>#N/A</v>
      </c>
      <c r="R152" s="36"/>
      <c r="S152" s="18">
        <f>COUNTIF('Member List'!$C152:$J152,"&lt;&gt;")</f>
        <v>0</v>
      </c>
      <c r="T152" s="35"/>
      <c r="U152" s="24">
        <f t="shared" si="3"/>
        <v>0</v>
      </c>
      <c r="V152" s="18" t="e">
        <f t="shared" si="4"/>
        <v>#N/A</v>
      </c>
      <c r="W152" s="45" t="e">
        <f t="shared" si="5"/>
        <v>#N/A</v>
      </c>
      <c r="X152" s="20" t="e">
        <f t="shared" si="6"/>
        <v>#N/A</v>
      </c>
      <c r="Y152" s="46" t="e">
        <f t="shared" si="9"/>
        <v>#N/A</v>
      </c>
      <c r="Z152" s="39" t="e">
        <f t="shared" si="7"/>
        <v>#N/A</v>
      </c>
      <c r="AA152" s="39" t="e">
        <f t="shared" si="8"/>
        <v>#N/A</v>
      </c>
      <c r="AB152" s="39"/>
      <c r="AC152" s="48" t="e">
        <f t="shared" si="10"/>
        <v>#N/A</v>
      </c>
    </row>
    <row r="153" spans="1:29" ht="12.5" x14ac:dyDescent="0.25">
      <c r="A153" s="36"/>
      <c r="B153" s="33"/>
      <c r="C153" s="33"/>
      <c r="D153" s="33"/>
      <c r="E153" s="35"/>
      <c r="F153" s="21"/>
      <c r="G153" s="22" t="e">
        <f>VLOOKUP(E153,'Court List'!$A:$C,2,0)</f>
        <v>#N/A</v>
      </c>
      <c r="H153" s="33"/>
      <c r="I153" s="33"/>
      <c r="J153" s="44" t="e">
        <f t="shared" si="0"/>
        <v>#N/A</v>
      </c>
      <c r="K153" s="36"/>
      <c r="L153" s="18">
        <f>SUM('Shuttle Count - Supreme (Nov 20'!C153:D153)</f>
        <v>0</v>
      </c>
      <c r="M153" s="18" t="e">
        <f>VLOOKUP(K153,'Shuttle Purchase'!A:C,3,0)</f>
        <v>#N/A</v>
      </c>
      <c r="N153" s="44" t="e">
        <f t="shared" si="15"/>
        <v>#N/A</v>
      </c>
      <c r="O153" s="24" t="e">
        <f>VLOOKUP(E153,'Court List'!$A:$C,3,0)</f>
        <v>#N/A</v>
      </c>
      <c r="P153" s="18">
        <f>COUNTIF('Pub List'!$C153:$T153,"&lt;&gt;")</f>
        <v>0</v>
      </c>
      <c r="Q153" s="20" t="e">
        <f t="shared" si="2"/>
        <v>#N/A</v>
      </c>
      <c r="R153" s="36"/>
      <c r="S153" s="18">
        <f>COUNTIF('Member List'!$C153:$J153,"&lt;&gt;")</f>
        <v>0</v>
      </c>
      <c r="T153" s="35"/>
      <c r="U153" s="24">
        <f t="shared" si="3"/>
        <v>0</v>
      </c>
      <c r="V153" s="18" t="e">
        <f t="shared" si="4"/>
        <v>#N/A</v>
      </c>
      <c r="W153" s="45" t="e">
        <f t="shared" si="5"/>
        <v>#N/A</v>
      </c>
      <c r="X153" s="20" t="e">
        <f t="shared" si="6"/>
        <v>#N/A</v>
      </c>
      <c r="Y153" s="46" t="e">
        <f t="shared" si="9"/>
        <v>#N/A</v>
      </c>
      <c r="Z153" s="39" t="e">
        <f t="shared" si="7"/>
        <v>#N/A</v>
      </c>
      <c r="AA153" s="39" t="e">
        <f t="shared" si="8"/>
        <v>#N/A</v>
      </c>
      <c r="AB153" s="39"/>
      <c r="AC153" s="48" t="e">
        <f t="shared" si="10"/>
        <v>#N/A</v>
      </c>
    </row>
    <row r="154" spans="1:29" ht="12.5" x14ac:dyDescent="0.25">
      <c r="A154" s="36"/>
      <c r="B154" s="33"/>
      <c r="C154" s="33"/>
      <c r="D154" s="33"/>
      <c r="E154" s="35"/>
      <c r="F154" s="21"/>
      <c r="G154" s="22" t="e">
        <f>VLOOKUP(E154,'Court List'!$A:$C,2,0)</f>
        <v>#N/A</v>
      </c>
      <c r="H154" s="33"/>
      <c r="I154" s="33"/>
      <c r="J154" s="44" t="e">
        <f t="shared" si="0"/>
        <v>#N/A</v>
      </c>
      <c r="K154" s="36"/>
      <c r="L154" s="18">
        <f>SUM('Shuttle Count - Supreme (Nov 20'!C154:D154)</f>
        <v>0</v>
      </c>
      <c r="M154" s="18" t="e">
        <f>VLOOKUP(K154,'Shuttle Purchase'!A:C,3,0)</f>
        <v>#N/A</v>
      </c>
      <c r="N154" s="44" t="e">
        <f t="shared" si="15"/>
        <v>#N/A</v>
      </c>
      <c r="O154" s="24" t="e">
        <f>VLOOKUP(E154,'Court List'!$A:$C,3,0)</f>
        <v>#N/A</v>
      </c>
      <c r="P154" s="18">
        <f>COUNTIF('Pub List'!$C154:$T154,"&lt;&gt;")</f>
        <v>0</v>
      </c>
      <c r="Q154" s="20" t="e">
        <f t="shared" si="2"/>
        <v>#N/A</v>
      </c>
      <c r="R154" s="36"/>
      <c r="S154" s="18">
        <f>COUNTIF('Member List'!$C154:$J154,"&lt;&gt;")</f>
        <v>0</v>
      </c>
      <c r="T154" s="35"/>
      <c r="U154" s="24">
        <f t="shared" si="3"/>
        <v>0</v>
      </c>
      <c r="V154" s="18" t="e">
        <f t="shared" si="4"/>
        <v>#N/A</v>
      </c>
      <c r="W154" s="45" t="e">
        <f t="shared" si="5"/>
        <v>#N/A</v>
      </c>
      <c r="X154" s="20" t="e">
        <f t="shared" si="6"/>
        <v>#N/A</v>
      </c>
      <c r="Y154" s="46" t="e">
        <f t="shared" si="9"/>
        <v>#N/A</v>
      </c>
      <c r="Z154" s="39" t="e">
        <f t="shared" si="7"/>
        <v>#N/A</v>
      </c>
      <c r="AA154" s="39" t="e">
        <f t="shared" si="8"/>
        <v>#N/A</v>
      </c>
      <c r="AB154" s="39"/>
      <c r="AC154" s="48" t="e">
        <f t="shared" si="10"/>
        <v>#N/A</v>
      </c>
    </row>
    <row r="155" spans="1:29" ht="12.5" x14ac:dyDescent="0.25">
      <c r="A155" s="36"/>
      <c r="B155" s="33"/>
      <c r="C155" s="33"/>
      <c r="D155" s="33"/>
      <c r="E155" s="35"/>
      <c r="F155" s="21"/>
      <c r="G155" s="22" t="e">
        <f>VLOOKUP(E155,'Court List'!$A:$C,2,0)</f>
        <v>#N/A</v>
      </c>
      <c r="H155" s="33"/>
      <c r="I155" s="33"/>
      <c r="J155" s="44" t="e">
        <f t="shared" si="0"/>
        <v>#N/A</v>
      </c>
      <c r="K155" s="36"/>
      <c r="L155" s="18">
        <f>SUM('Shuttle Count - Supreme (Nov 20'!C155:D155)</f>
        <v>0</v>
      </c>
      <c r="M155" s="18" t="e">
        <f>VLOOKUP(K155,'Shuttle Purchase'!A:C,3,0)</f>
        <v>#N/A</v>
      </c>
      <c r="N155" s="44" t="e">
        <f t="shared" si="15"/>
        <v>#N/A</v>
      </c>
      <c r="O155" s="24" t="e">
        <f>VLOOKUP(E155,'Court List'!$A:$C,3,0)</f>
        <v>#N/A</v>
      </c>
      <c r="P155" s="18">
        <f>COUNTIF('Pub List'!$C155:$T155,"&lt;&gt;")</f>
        <v>0</v>
      </c>
      <c r="Q155" s="20" t="e">
        <f t="shared" si="2"/>
        <v>#N/A</v>
      </c>
      <c r="R155" s="36"/>
      <c r="S155" s="18">
        <f>COUNTIF('Member List'!$C155:$J155,"&lt;&gt;")</f>
        <v>0</v>
      </c>
      <c r="T155" s="35"/>
      <c r="U155" s="24">
        <f t="shared" si="3"/>
        <v>0</v>
      </c>
      <c r="V155" s="18" t="e">
        <f t="shared" si="4"/>
        <v>#N/A</v>
      </c>
      <c r="W155" s="45" t="e">
        <f t="shared" si="5"/>
        <v>#N/A</v>
      </c>
      <c r="X155" s="20" t="e">
        <f t="shared" si="6"/>
        <v>#N/A</v>
      </c>
      <c r="Y155" s="46" t="e">
        <f t="shared" si="9"/>
        <v>#N/A</v>
      </c>
      <c r="Z155" s="39" t="e">
        <f t="shared" si="7"/>
        <v>#N/A</v>
      </c>
      <c r="AA155" s="39" t="e">
        <f t="shared" si="8"/>
        <v>#N/A</v>
      </c>
      <c r="AB155" s="39"/>
      <c r="AC155" s="48" t="e">
        <f t="shared" si="10"/>
        <v>#N/A</v>
      </c>
    </row>
    <row r="156" spans="1:29" ht="12.5" x14ac:dyDescent="0.25">
      <c r="A156" s="36"/>
      <c r="B156" s="33"/>
      <c r="C156" s="33"/>
      <c r="D156" s="33"/>
      <c r="E156" s="35"/>
      <c r="F156" s="21"/>
      <c r="G156" s="22" t="e">
        <f>VLOOKUP(E156,'Court List'!$A:$C,2,0)</f>
        <v>#N/A</v>
      </c>
      <c r="H156" s="33"/>
      <c r="I156" s="33"/>
      <c r="J156" s="44" t="e">
        <f t="shared" si="0"/>
        <v>#N/A</v>
      </c>
      <c r="K156" s="36"/>
      <c r="L156" s="18">
        <f>SUM('Shuttle Count - Supreme (Nov 20'!C156:D156)</f>
        <v>0</v>
      </c>
      <c r="M156" s="18" t="e">
        <f>VLOOKUP(K156,'Shuttle Purchase'!A:C,3,0)</f>
        <v>#N/A</v>
      </c>
      <c r="N156" s="44" t="e">
        <f t="shared" si="15"/>
        <v>#N/A</v>
      </c>
      <c r="O156" s="24" t="e">
        <f>VLOOKUP(E156,'Court List'!$A:$C,3,0)</f>
        <v>#N/A</v>
      </c>
      <c r="P156" s="18">
        <f>COUNTIF('Pub List'!$C156:$T156,"&lt;&gt;")</f>
        <v>0</v>
      </c>
      <c r="Q156" s="20" t="e">
        <f t="shared" si="2"/>
        <v>#N/A</v>
      </c>
      <c r="R156" s="36"/>
      <c r="S156" s="18">
        <f>COUNTIF('Member List'!$C156:$J156,"&lt;&gt;")</f>
        <v>0</v>
      </c>
      <c r="T156" s="35"/>
      <c r="U156" s="24">
        <f t="shared" si="3"/>
        <v>0</v>
      </c>
      <c r="V156" s="18" t="e">
        <f t="shared" si="4"/>
        <v>#N/A</v>
      </c>
      <c r="W156" s="45" t="e">
        <f t="shared" si="5"/>
        <v>#N/A</v>
      </c>
      <c r="X156" s="20" t="e">
        <f t="shared" si="6"/>
        <v>#N/A</v>
      </c>
      <c r="Y156" s="46" t="e">
        <f t="shared" si="9"/>
        <v>#N/A</v>
      </c>
      <c r="Z156" s="39" t="e">
        <f t="shared" si="7"/>
        <v>#N/A</v>
      </c>
      <c r="AA156" s="39" t="e">
        <f t="shared" si="8"/>
        <v>#N/A</v>
      </c>
      <c r="AB156" s="39"/>
      <c r="AC156" s="48" t="e">
        <f t="shared" si="10"/>
        <v>#N/A</v>
      </c>
    </row>
    <row r="157" spans="1:29" ht="12.5" x14ac:dyDescent="0.25">
      <c r="A157" s="36"/>
      <c r="B157" s="33"/>
      <c r="C157" s="33"/>
      <c r="D157" s="33"/>
      <c r="E157" s="35"/>
      <c r="F157" s="21"/>
      <c r="G157" s="22" t="e">
        <f>VLOOKUP(E157,'Court List'!$A:$C,2,0)</f>
        <v>#N/A</v>
      </c>
      <c r="H157" s="33"/>
      <c r="I157" s="33"/>
      <c r="J157" s="44" t="e">
        <f t="shared" si="0"/>
        <v>#N/A</v>
      </c>
      <c r="K157" s="36"/>
      <c r="L157" s="18">
        <f>SUM('Shuttle Count - Supreme (Nov 20'!C157:D157)</f>
        <v>0</v>
      </c>
      <c r="M157" s="18" t="e">
        <f>VLOOKUP(K157,'Shuttle Purchase'!A:C,3,0)</f>
        <v>#N/A</v>
      </c>
      <c r="N157" s="44" t="e">
        <f t="shared" si="15"/>
        <v>#N/A</v>
      </c>
      <c r="O157" s="24" t="e">
        <f>VLOOKUP(E157,'Court List'!$A:$C,3,0)</f>
        <v>#N/A</v>
      </c>
      <c r="P157" s="18">
        <f>COUNTIF('Pub List'!$C157:$T157,"&lt;&gt;")</f>
        <v>0</v>
      </c>
      <c r="Q157" s="20" t="e">
        <f t="shared" si="2"/>
        <v>#N/A</v>
      </c>
      <c r="R157" s="36"/>
      <c r="S157" s="18">
        <f>COUNTIF('Member List'!$C157:$J157,"&lt;&gt;")</f>
        <v>0</v>
      </c>
      <c r="T157" s="35"/>
      <c r="U157" s="24">
        <f t="shared" si="3"/>
        <v>0</v>
      </c>
      <c r="V157" s="18" t="e">
        <f t="shared" si="4"/>
        <v>#N/A</v>
      </c>
      <c r="W157" s="45" t="e">
        <f t="shared" si="5"/>
        <v>#N/A</v>
      </c>
      <c r="X157" s="20" t="e">
        <f t="shared" si="6"/>
        <v>#N/A</v>
      </c>
      <c r="Y157" s="46" t="e">
        <f t="shared" si="9"/>
        <v>#N/A</v>
      </c>
      <c r="Z157" s="39" t="e">
        <f t="shared" si="7"/>
        <v>#N/A</v>
      </c>
      <c r="AA157" s="39" t="e">
        <f t="shared" si="8"/>
        <v>#N/A</v>
      </c>
      <c r="AB157" s="39"/>
      <c r="AC157" s="48" t="e">
        <f t="shared" si="10"/>
        <v>#N/A</v>
      </c>
    </row>
    <row r="158" spans="1:29" ht="12.5" x14ac:dyDescent="0.25">
      <c r="A158" s="36"/>
      <c r="B158" s="33"/>
      <c r="C158" s="33"/>
      <c r="D158" s="33"/>
      <c r="E158" s="35"/>
      <c r="F158" s="21"/>
      <c r="G158" s="22" t="e">
        <f>VLOOKUP(E158,'Court List'!$A:$C,2,0)</f>
        <v>#N/A</v>
      </c>
      <c r="H158" s="33"/>
      <c r="I158" s="33"/>
      <c r="J158" s="44" t="e">
        <f t="shared" si="0"/>
        <v>#N/A</v>
      </c>
      <c r="K158" s="36"/>
      <c r="L158" s="18">
        <f>SUM('Shuttle Count - Supreme (Nov 20'!C158:D158)</f>
        <v>0</v>
      </c>
      <c r="M158" s="18" t="e">
        <f>VLOOKUP(K158,'Shuttle Purchase'!A:C,3,0)</f>
        <v>#N/A</v>
      </c>
      <c r="N158" s="44" t="e">
        <f t="shared" si="15"/>
        <v>#N/A</v>
      </c>
      <c r="O158" s="24" t="e">
        <f>VLOOKUP(E158,'Court List'!$A:$C,3,0)</f>
        <v>#N/A</v>
      </c>
      <c r="P158" s="18">
        <f>COUNTIF('Pub List'!$C158:$T158,"&lt;&gt;")</f>
        <v>0</v>
      </c>
      <c r="Q158" s="20" t="e">
        <f t="shared" si="2"/>
        <v>#N/A</v>
      </c>
      <c r="R158" s="36"/>
      <c r="S158" s="18">
        <f>COUNTIF('Member List'!$C158:$J158,"&lt;&gt;")</f>
        <v>0</v>
      </c>
      <c r="T158" s="35"/>
      <c r="U158" s="24">
        <f t="shared" si="3"/>
        <v>0</v>
      </c>
      <c r="V158" s="18" t="e">
        <f t="shared" si="4"/>
        <v>#N/A</v>
      </c>
      <c r="W158" s="45" t="e">
        <f t="shared" si="5"/>
        <v>#N/A</v>
      </c>
      <c r="X158" s="20" t="e">
        <f t="shared" si="6"/>
        <v>#N/A</v>
      </c>
      <c r="Y158" s="46" t="e">
        <f t="shared" si="9"/>
        <v>#N/A</v>
      </c>
      <c r="Z158" s="39" t="e">
        <f t="shared" si="7"/>
        <v>#N/A</v>
      </c>
      <c r="AA158" s="39" t="e">
        <f t="shared" si="8"/>
        <v>#N/A</v>
      </c>
      <c r="AB158" s="39"/>
      <c r="AC158" s="48" t="e">
        <f t="shared" si="10"/>
        <v>#N/A</v>
      </c>
    </row>
    <row r="159" spans="1:29" ht="12.5" x14ac:dyDescent="0.25">
      <c r="A159" s="36"/>
      <c r="B159" s="33"/>
      <c r="C159" s="33"/>
      <c r="D159" s="33"/>
      <c r="E159" s="35"/>
      <c r="F159" s="21"/>
      <c r="G159" s="22" t="e">
        <f>VLOOKUP(E159,'Court List'!$A:$C,2,0)</f>
        <v>#N/A</v>
      </c>
      <c r="H159" s="33"/>
      <c r="I159" s="33"/>
      <c r="J159" s="44" t="e">
        <f t="shared" si="0"/>
        <v>#N/A</v>
      </c>
      <c r="K159" s="36"/>
      <c r="L159" s="18">
        <f>SUM('Shuttle Count - Supreme (Nov 20'!C159:D159)</f>
        <v>0</v>
      </c>
      <c r="M159" s="18" t="e">
        <f>VLOOKUP(K159,'Shuttle Purchase'!A:C,3,0)</f>
        <v>#N/A</v>
      </c>
      <c r="N159" s="44" t="e">
        <f t="shared" si="15"/>
        <v>#N/A</v>
      </c>
      <c r="O159" s="24" t="e">
        <f>VLOOKUP(E159,'Court List'!$A:$C,3,0)</f>
        <v>#N/A</v>
      </c>
      <c r="P159" s="18">
        <f>COUNTIF('Pub List'!$C159:$T159,"&lt;&gt;")</f>
        <v>0</v>
      </c>
      <c r="Q159" s="20" t="e">
        <f t="shared" si="2"/>
        <v>#N/A</v>
      </c>
      <c r="R159" s="36"/>
      <c r="S159" s="18">
        <f>COUNTIF('Member List'!$C159:$J159,"&lt;&gt;")</f>
        <v>0</v>
      </c>
      <c r="T159" s="35"/>
      <c r="U159" s="24">
        <f t="shared" si="3"/>
        <v>0</v>
      </c>
      <c r="V159" s="18" t="e">
        <f t="shared" si="4"/>
        <v>#N/A</v>
      </c>
      <c r="W159" s="45" t="e">
        <f t="shared" si="5"/>
        <v>#N/A</v>
      </c>
      <c r="X159" s="20" t="e">
        <f t="shared" si="6"/>
        <v>#N/A</v>
      </c>
      <c r="Y159" s="46" t="e">
        <f t="shared" si="9"/>
        <v>#N/A</v>
      </c>
      <c r="Z159" s="39" t="e">
        <f t="shared" si="7"/>
        <v>#N/A</v>
      </c>
      <c r="AA159" s="39" t="e">
        <f t="shared" si="8"/>
        <v>#N/A</v>
      </c>
      <c r="AB159" s="39"/>
      <c r="AC159" s="48" t="e">
        <f t="shared" si="10"/>
        <v>#N/A</v>
      </c>
    </row>
    <row r="160" spans="1:29" ht="12.5" x14ac:dyDescent="0.25">
      <c r="A160" s="36"/>
      <c r="B160" s="33"/>
      <c r="C160" s="33"/>
      <c r="D160" s="33"/>
      <c r="E160" s="35"/>
      <c r="F160" s="21"/>
      <c r="G160" s="22" t="e">
        <f>VLOOKUP(E160,'Court List'!$A:$C,2,0)</f>
        <v>#N/A</v>
      </c>
      <c r="H160" s="33"/>
      <c r="I160" s="33"/>
      <c r="J160" s="44" t="e">
        <f t="shared" si="0"/>
        <v>#N/A</v>
      </c>
      <c r="K160" s="36"/>
      <c r="L160" s="18">
        <f>SUM('Shuttle Count - Supreme (Nov 20'!C160:D160)</f>
        <v>0</v>
      </c>
      <c r="M160" s="18" t="e">
        <f>VLOOKUP(K160,'Shuttle Purchase'!A:C,3,0)</f>
        <v>#N/A</v>
      </c>
      <c r="N160" s="44" t="e">
        <f t="shared" si="15"/>
        <v>#N/A</v>
      </c>
      <c r="O160" s="24" t="e">
        <f>VLOOKUP(E160,'Court List'!$A:$C,3,0)</f>
        <v>#N/A</v>
      </c>
      <c r="P160" s="18">
        <f>COUNTIF('Pub List'!$C160:$T160,"&lt;&gt;")</f>
        <v>0</v>
      </c>
      <c r="Q160" s="20" t="e">
        <f t="shared" si="2"/>
        <v>#N/A</v>
      </c>
      <c r="R160" s="36"/>
      <c r="S160" s="18">
        <f>COUNTIF('Member List'!$C160:$J160,"&lt;&gt;")</f>
        <v>0</v>
      </c>
      <c r="T160" s="35"/>
      <c r="U160" s="24">
        <f t="shared" si="3"/>
        <v>0</v>
      </c>
      <c r="V160" s="18" t="e">
        <f t="shared" si="4"/>
        <v>#N/A</v>
      </c>
      <c r="W160" s="45" t="e">
        <f t="shared" si="5"/>
        <v>#N/A</v>
      </c>
      <c r="X160" s="20" t="e">
        <f t="shared" si="6"/>
        <v>#N/A</v>
      </c>
      <c r="Y160" s="46" t="e">
        <f t="shared" si="9"/>
        <v>#N/A</v>
      </c>
      <c r="Z160" s="39" t="e">
        <f t="shared" si="7"/>
        <v>#N/A</v>
      </c>
      <c r="AA160" s="39" t="e">
        <f t="shared" si="8"/>
        <v>#N/A</v>
      </c>
      <c r="AB160" s="39"/>
      <c r="AC160" s="48" t="e">
        <f t="shared" si="10"/>
        <v>#N/A</v>
      </c>
    </row>
    <row r="161" spans="1:29" ht="12.5" x14ac:dyDescent="0.25">
      <c r="A161" s="36"/>
      <c r="B161" s="33"/>
      <c r="C161" s="33"/>
      <c r="D161" s="33"/>
      <c r="E161" s="35"/>
      <c r="F161" s="21"/>
      <c r="G161" s="22" t="e">
        <f>VLOOKUP(E161,'Court List'!$A:$C,2,0)</f>
        <v>#N/A</v>
      </c>
      <c r="H161" s="33"/>
      <c r="I161" s="33"/>
      <c r="J161" s="44" t="e">
        <f t="shared" si="0"/>
        <v>#N/A</v>
      </c>
      <c r="K161" s="36"/>
      <c r="L161" s="18">
        <f>SUM('Shuttle Count - Supreme (Nov 20'!C161:D161)</f>
        <v>0</v>
      </c>
      <c r="M161" s="18" t="e">
        <f>VLOOKUP(K161,'Shuttle Purchase'!A:C,3,0)</f>
        <v>#N/A</v>
      </c>
      <c r="N161" s="44" t="e">
        <f t="shared" si="15"/>
        <v>#N/A</v>
      </c>
      <c r="O161" s="24" t="e">
        <f>VLOOKUP(E161,'Court List'!$A:$C,3,0)</f>
        <v>#N/A</v>
      </c>
      <c r="P161" s="18">
        <f>COUNTIF('Pub List'!$C161:$T161,"&lt;&gt;")</f>
        <v>0</v>
      </c>
      <c r="Q161" s="20" t="e">
        <f t="shared" si="2"/>
        <v>#N/A</v>
      </c>
      <c r="R161" s="36"/>
      <c r="S161" s="18">
        <f>COUNTIF('Member List'!$C161:$J161,"&lt;&gt;")</f>
        <v>0</v>
      </c>
      <c r="T161" s="35"/>
      <c r="U161" s="24">
        <f t="shared" si="3"/>
        <v>0</v>
      </c>
      <c r="V161" s="18" t="e">
        <f t="shared" si="4"/>
        <v>#N/A</v>
      </c>
      <c r="W161" s="45" t="e">
        <f t="shared" si="5"/>
        <v>#N/A</v>
      </c>
      <c r="X161" s="20" t="e">
        <f t="shared" si="6"/>
        <v>#N/A</v>
      </c>
      <c r="Y161" s="46" t="e">
        <f t="shared" si="9"/>
        <v>#N/A</v>
      </c>
      <c r="Z161" s="39" t="e">
        <f t="shared" si="7"/>
        <v>#N/A</v>
      </c>
      <c r="AA161" s="39" t="e">
        <f t="shared" si="8"/>
        <v>#N/A</v>
      </c>
      <c r="AB161" s="39"/>
      <c r="AC161" s="48" t="e">
        <f t="shared" si="10"/>
        <v>#N/A</v>
      </c>
    </row>
    <row r="162" spans="1:29" ht="12.5" x14ac:dyDescent="0.25">
      <c r="A162" s="36"/>
      <c r="B162" s="33"/>
      <c r="C162" s="33"/>
      <c r="D162" s="33"/>
      <c r="E162" s="35"/>
      <c r="F162" s="21"/>
      <c r="G162" s="22" t="e">
        <f>VLOOKUP(E162,'Court List'!$A:$C,2,0)</f>
        <v>#N/A</v>
      </c>
      <c r="H162" s="33"/>
      <c r="I162" s="33"/>
      <c r="J162" s="44" t="e">
        <f t="shared" si="0"/>
        <v>#N/A</v>
      </c>
      <c r="K162" s="36"/>
      <c r="L162" s="18">
        <f>SUM('Shuttle Count - Supreme (Nov 20'!C162:D162)</f>
        <v>0</v>
      </c>
      <c r="M162" s="18" t="e">
        <f>VLOOKUP(K162,'Shuttle Purchase'!A:C,3,0)</f>
        <v>#N/A</v>
      </c>
      <c r="N162" s="44" t="e">
        <f t="shared" si="15"/>
        <v>#N/A</v>
      </c>
      <c r="O162" s="24" t="e">
        <f>VLOOKUP(E162,'Court List'!$A:$C,3,0)</f>
        <v>#N/A</v>
      </c>
      <c r="P162" s="18">
        <f>COUNTIF('Pub List'!$C162:$T162,"&lt;&gt;")</f>
        <v>0</v>
      </c>
      <c r="Q162" s="20" t="e">
        <f t="shared" si="2"/>
        <v>#N/A</v>
      </c>
      <c r="R162" s="36"/>
      <c r="S162" s="18">
        <f>COUNTIF('Member List'!$C162:$J162,"&lt;&gt;")</f>
        <v>0</v>
      </c>
      <c r="T162" s="35"/>
      <c r="U162" s="24">
        <f t="shared" si="3"/>
        <v>0</v>
      </c>
      <c r="V162" s="18" t="e">
        <f t="shared" si="4"/>
        <v>#N/A</v>
      </c>
      <c r="W162" s="45" t="e">
        <f t="shared" si="5"/>
        <v>#N/A</v>
      </c>
      <c r="X162" s="20" t="e">
        <f t="shared" si="6"/>
        <v>#N/A</v>
      </c>
      <c r="Y162" s="46" t="e">
        <f t="shared" si="9"/>
        <v>#N/A</v>
      </c>
      <c r="Z162" s="39" t="e">
        <f t="shared" si="7"/>
        <v>#N/A</v>
      </c>
      <c r="AA162" s="39" t="e">
        <f t="shared" si="8"/>
        <v>#N/A</v>
      </c>
      <c r="AB162" s="39"/>
      <c r="AC162" s="48" t="e">
        <f t="shared" si="10"/>
        <v>#N/A</v>
      </c>
    </row>
    <row r="163" spans="1:29" ht="12.5" x14ac:dyDescent="0.25">
      <c r="A163" s="36"/>
      <c r="B163" s="33"/>
      <c r="C163" s="33"/>
      <c r="D163" s="33"/>
      <c r="E163" s="35"/>
      <c r="F163" s="21"/>
      <c r="G163" s="22" t="e">
        <f>VLOOKUP(E163,'Court List'!$A:$C,2,0)</f>
        <v>#N/A</v>
      </c>
      <c r="H163" s="33"/>
      <c r="I163" s="33"/>
      <c r="J163" s="44" t="e">
        <f t="shared" si="0"/>
        <v>#N/A</v>
      </c>
      <c r="K163" s="36"/>
      <c r="L163" s="18">
        <f>SUM('Shuttle Count - Supreme (Nov 20'!C163:D163)</f>
        <v>0</v>
      </c>
      <c r="M163" s="18" t="e">
        <f>VLOOKUP(K163,'Shuttle Purchase'!A:C,3,0)</f>
        <v>#N/A</v>
      </c>
      <c r="N163" s="44" t="e">
        <f t="shared" si="15"/>
        <v>#N/A</v>
      </c>
      <c r="O163" s="24" t="e">
        <f>VLOOKUP(E163,'Court List'!$A:$C,3,0)</f>
        <v>#N/A</v>
      </c>
      <c r="P163" s="18">
        <f>COUNTIF('Pub List'!$C163:$T163,"&lt;&gt;")</f>
        <v>0</v>
      </c>
      <c r="Q163" s="20" t="e">
        <f t="shared" si="2"/>
        <v>#N/A</v>
      </c>
      <c r="R163" s="36"/>
      <c r="S163" s="18">
        <f>COUNTIF('Member List'!$C163:$J163,"&lt;&gt;")</f>
        <v>0</v>
      </c>
      <c r="T163" s="35"/>
      <c r="U163" s="24">
        <f t="shared" si="3"/>
        <v>0</v>
      </c>
      <c r="V163" s="18" t="e">
        <f t="shared" si="4"/>
        <v>#N/A</v>
      </c>
      <c r="W163" s="45" t="e">
        <f t="shared" si="5"/>
        <v>#N/A</v>
      </c>
      <c r="X163" s="20" t="e">
        <f t="shared" si="6"/>
        <v>#N/A</v>
      </c>
      <c r="Y163" s="46" t="e">
        <f t="shared" si="9"/>
        <v>#N/A</v>
      </c>
      <c r="Z163" s="39" t="e">
        <f t="shared" si="7"/>
        <v>#N/A</v>
      </c>
      <c r="AA163" s="39" t="e">
        <f t="shared" si="8"/>
        <v>#N/A</v>
      </c>
      <c r="AB163" s="39"/>
      <c r="AC163" s="48" t="e">
        <f t="shared" si="10"/>
        <v>#N/A</v>
      </c>
    </row>
    <row r="164" spans="1:29" ht="12.5" x14ac:dyDescent="0.25">
      <c r="A164" s="36"/>
      <c r="B164" s="33"/>
      <c r="C164" s="33"/>
      <c r="D164" s="33"/>
      <c r="E164" s="35"/>
      <c r="F164" s="21"/>
      <c r="G164" s="22" t="e">
        <f>VLOOKUP(E164,'Court List'!$A:$C,2,0)</f>
        <v>#N/A</v>
      </c>
      <c r="H164" s="33"/>
      <c r="I164" s="33"/>
      <c r="J164" s="44" t="e">
        <f t="shared" si="0"/>
        <v>#N/A</v>
      </c>
      <c r="K164" s="36"/>
      <c r="L164" s="18">
        <f>SUM('Shuttle Count - Supreme (Nov 20'!C164:D164)</f>
        <v>0</v>
      </c>
      <c r="M164" s="18" t="e">
        <f>VLOOKUP(K164,'Shuttle Purchase'!A:C,3,0)</f>
        <v>#N/A</v>
      </c>
      <c r="N164" s="44" t="e">
        <f t="shared" si="15"/>
        <v>#N/A</v>
      </c>
      <c r="O164" s="24" t="e">
        <f>VLOOKUP(E164,'Court List'!$A:$C,3,0)</f>
        <v>#N/A</v>
      </c>
      <c r="P164" s="18">
        <f>COUNTIF('Pub List'!$C164:$T164,"&lt;&gt;")</f>
        <v>0</v>
      </c>
      <c r="Q164" s="20" t="e">
        <f t="shared" si="2"/>
        <v>#N/A</v>
      </c>
      <c r="R164" s="36"/>
      <c r="S164" s="18">
        <f>COUNTIF('Member List'!$C164:$J164,"&lt;&gt;")</f>
        <v>0</v>
      </c>
      <c r="T164" s="35"/>
      <c r="U164" s="24">
        <f t="shared" si="3"/>
        <v>0</v>
      </c>
      <c r="V164" s="18" t="e">
        <f t="shared" si="4"/>
        <v>#N/A</v>
      </c>
      <c r="W164" s="45" t="e">
        <f t="shared" si="5"/>
        <v>#N/A</v>
      </c>
      <c r="X164" s="20" t="e">
        <f t="shared" si="6"/>
        <v>#N/A</v>
      </c>
      <c r="Y164" s="46" t="e">
        <f t="shared" si="9"/>
        <v>#N/A</v>
      </c>
      <c r="Z164" s="39" t="e">
        <f t="shared" si="7"/>
        <v>#N/A</v>
      </c>
      <c r="AA164" s="39" t="e">
        <f t="shared" si="8"/>
        <v>#N/A</v>
      </c>
      <c r="AB164" s="39"/>
      <c r="AC164" s="48" t="e">
        <f t="shared" si="10"/>
        <v>#N/A</v>
      </c>
    </row>
    <row r="165" spans="1:29" ht="12.5" x14ac:dyDescent="0.25">
      <c r="A165" s="36"/>
      <c r="B165" s="33"/>
      <c r="C165" s="33"/>
      <c r="D165" s="33"/>
      <c r="E165" s="35"/>
      <c r="F165" s="21"/>
      <c r="G165" s="22" t="e">
        <f>VLOOKUP(E165,'Court List'!$A:$C,2,0)</f>
        <v>#N/A</v>
      </c>
      <c r="H165" s="33"/>
      <c r="I165" s="33"/>
      <c r="J165" s="44" t="e">
        <f t="shared" si="0"/>
        <v>#N/A</v>
      </c>
      <c r="K165" s="36"/>
      <c r="L165" s="18">
        <f>SUM('Shuttle Count - Supreme (Nov 20'!C165:D165)</f>
        <v>0</v>
      </c>
      <c r="M165" s="18" t="e">
        <f>VLOOKUP(K165,'Shuttle Purchase'!A:C,3,0)</f>
        <v>#N/A</v>
      </c>
      <c r="N165" s="44" t="e">
        <f t="shared" si="15"/>
        <v>#N/A</v>
      </c>
      <c r="O165" s="24" t="e">
        <f>VLOOKUP(E165,'Court List'!$A:$C,3,0)</f>
        <v>#N/A</v>
      </c>
      <c r="P165" s="18">
        <f>COUNTIF('Pub List'!$C165:$T165,"&lt;&gt;")</f>
        <v>0</v>
      </c>
      <c r="Q165" s="20" t="e">
        <f t="shared" si="2"/>
        <v>#N/A</v>
      </c>
      <c r="R165" s="36"/>
      <c r="S165" s="18">
        <f>COUNTIF('Member List'!$C165:$J165,"&lt;&gt;")</f>
        <v>0</v>
      </c>
      <c r="T165" s="35"/>
      <c r="U165" s="24">
        <f t="shared" si="3"/>
        <v>0</v>
      </c>
      <c r="V165" s="18" t="e">
        <f t="shared" si="4"/>
        <v>#N/A</v>
      </c>
      <c r="W165" s="45" t="e">
        <f t="shared" si="5"/>
        <v>#N/A</v>
      </c>
      <c r="X165" s="20" t="e">
        <f t="shared" si="6"/>
        <v>#N/A</v>
      </c>
      <c r="Y165" s="46" t="e">
        <f t="shared" si="9"/>
        <v>#N/A</v>
      </c>
      <c r="Z165" s="39" t="e">
        <f t="shared" si="7"/>
        <v>#N/A</v>
      </c>
      <c r="AA165" s="39" t="e">
        <f t="shared" si="8"/>
        <v>#N/A</v>
      </c>
      <c r="AB165" s="39"/>
      <c r="AC165" s="48" t="e">
        <f t="shared" si="10"/>
        <v>#N/A</v>
      </c>
    </row>
    <row r="166" spans="1:29" ht="12.5" x14ac:dyDescent="0.25">
      <c r="A166" s="36"/>
      <c r="B166" s="33"/>
      <c r="C166" s="33"/>
      <c r="D166" s="33"/>
      <c r="E166" s="35"/>
      <c r="F166" s="21"/>
      <c r="G166" s="22" t="e">
        <f>VLOOKUP(E166,'Court List'!$A:$C,2,0)</f>
        <v>#N/A</v>
      </c>
      <c r="H166" s="33"/>
      <c r="I166" s="33"/>
      <c r="J166" s="44" t="e">
        <f t="shared" si="0"/>
        <v>#N/A</v>
      </c>
      <c r="K166" s="36"/>
      <c r="L166" s="18">
        <f>SUM('Shuttle Count - Supreme (Nov 20'!C166:D166)</f>
        <v>0</v>
      </c>
      <c r="M166" s="18" t="e">
        <f>VLOOKUP(K166,'Shuttle Purchase'!A:C,3,0)</f>
        <v>#N/A</v>
      </c>
      <c r="N166" s="44" t="e">
        <f t="shared" si="15"/>
        <v>#N/A</v>
      </c>
      <c r="O166" s="24" t="e">
        <f>VLOOKUP(E166,'Court List'!$A:$C,3,0)</f>
        <v>#N/A</v>
      </c>
      <c r="P166" s="18">
        <f>COUNTIF('Pub List'!$C166:$T166,"&lt;&gt;")</f>
        <v>0</v>
      </c>
      <c r="Q166" s="20" t="e">
        <f t="shared" si="2"/>
        <v>#N/A</v>
      </c>
      <c r="R166" s="36"/>
      <c r="S166" s="18">
        <f>COUNTIF('Member List'!$C166:$J166,"&lt;&gt;")</f>
        <v>0</v>
      </c>
      <c r="T166" s="35"/>
      <c r="U166" s="24">
        <f t="shared" si="3"/>
        <v>0</v>
      </c>
      <c r="V166" s="18" t="e">
        <f t="shared" si="4"/>
        <v>#N/A</v>
      </c>
      <c r="W166" s="45" t="e">
        <f t="shared" si="5"/>
        <v>#N/A</v>
      </c>
      <c r="X166" s="20" t="e">
        <f t="shared" si="6"/>
        <v>#N/A</v>
      </c>
      <c r="Y166" s="46" t="e">
        <f t="shared" si="9"/>
        <v>#N/A</v>
      </c>
      <c r="Z166" s="39" t="e">
        <f t="shared" si="7"/>
        <v>#N/A</v>
      </c>
      <c r="AA166" s="39" t="e">
        <f t="shared" si="8"/>
        <v>#N/A</v>
      </c>
      <c r="AB166" s="39"/>
      <c r="AC166" s="48" t="e">
        <f t="shared" si="10"/>
        <v>#N/A</v>
      </c>
    </row>
    <row r="167" spans="1:29" ht="12.5" x14ac:dyDescent="0.25">
      <c r="A167" s="36"/>
      <c r="B167" s="33"/>
      <c r="C167" s="33"/>
      <c r="D167" s="33"/>
      <c r="E167" s="35"/>
      <c r="F167" s="21"/>
      <c r="G167" s="22" t="e">
        <f>VLOOKUP(E167,'Court List'!$A:$C,2,0)</f>
        <v>#N/A</v>
      </c>
      <c r="H167" s="33"/>
      <c r="I167" s="33"/>
      <c r="J167" s="44" t="e">
        <f t="shared" si="0"/>
        <v>#N/A</v>
      </c>
      <c r="K167" s="36"/>
      <c r="L167" s="18">
        <f>SUM('Shuttle Count - Supreme (Nov 20'!C167:D167)</f>
        <v>0</v>
      </c>
      <c r="M167" s="18" t="e">
        <f>VLOOKUP(K167,'Shuttle Purchase'!A:C,3,0)</f>
        <v>#N/A</v>
      </c>
      <c r="N167" s="44" t="e">
        <f t="shared" si="15"/>
        <v>#N/A</v>
      </c>
      <c r="O167" s="24" t="e">
        <f>VLOOKUP(E167,'Court List'!$A:$C,3,0)</f>
        <v>#N/A</v>
      </c>
      <c r="P167" s="18">
        <f>COUNTIF('Pub List'!$C167:$T167,"&lt;&gt;")</f>
        <v>0</v>
      </c>
      <c r="Q167" s="20" t="e">
        <f t="shared" si="2"/>
        <v>#N/A</v>
      </c>
      <c r="R167" s="36"/>
      <c r="S167" s="18">
        <f>COUNTIF('Member List'!$C167:$J167,"&lt;&gt;")</f>
        <v>0</v>
      </c>
      <c r="T167" s="35"/>
      <c r="U167" s="24">
        <f t="shared" si="3"/>
        <v>0</v>
      </c>
      <c r="V167" s="18" t="e">
        <f t="shared" si="4"/>
        <v>#N/A</v>
      </c>
      <c r="W167" s="45" t="e">
        <f t="shared" si="5"/>
        <v>#N/A</v>
      </c>
      <c r="X167" s="20" t="e">
        <f t="shared" si="6"/>
        <v>#N/A</v>
      </c>
      <c r="Y167" s="46" t="e">
        <f t="shared" si="9"/>
        <v>#N/A</v>
      </c>
      <c r="Z167" s="39" t="e">
        <f t="shared" si="7"/>
        <v>#N/A</v>
      </c>
      <c r="AA167" s="39" t="e">
        <f t="shared" si="8"/>
        <v>#N/A</v>
      </c>
      <c r="AB167" s="39"/>
      <c r="AC167" s="48" t="e">
        <f t="shared" si="10"/>
        <v>#N/A</v>
      </c>
    </row>
    <row r="168" spans="1:29" ht="12.5" x14ac:dyDescent="0.25">
      <c r="A168" s="36"/>
      <c r="B168" s="33"/>
      <c r="C168" s="33"/>
      <c r="D168" s="33"/>
      <c r="E168" s="35"/>
      <c r="F168" s="21"/>
      <c r="G168" s="22" t="e">
        <f>VLOOKUP(E168,'Court List'!$A:$C,2,0)</f>
        <v>#N/A</v>
      </c>
      <c r="H168" s="33"/>
      <c r="I168" s="33"/>
      <c r="J168" s="44" t="e">
        <f t="shared" si="0"/>
        <v>#N/A</v>
      </c>
      <c r="K168" s="36"/>
      <c r="L168" s="18">
        <f>SUM('Shuttle Count - Supreme (Nov 20'!C168:D168)</f>
        <v>0</v>
      </c>
      <c r="M168" s="18" t="e">
        <f>VLOOKUP(K168,'Shuttle Purchase'!A:C,3,0)</f>
        <v>#N/A</v>
      </c>
      <c r="N168" s="44" t="e">
        <f t="shared" si="15"/>
        <v>#N/A</v>
      </c>
      <c r="O168" s="24" t="e">
        <f>VLOOKUP(E168,'Court List'!$A:$C,3,0)</f>
        <v>#N/A</v>
      </c>
      <c r="P168" s="18">
        <f>COUNTIF('Pub List'!$C168:$T168,"&lt;&gt;")</f>
        <v>0</v>
      </c>
      <c r="Q168" s="20" t="e">
        <f t="shared" si="2"/>
        <v>#N/A</v>
      </c>
      <c r="R168" s="36"/>
      <c r="S168" s="18">
        <f>COUNTIF('Member List'!$C168:$J168,"&lt;&gt;")</f>
        <v>0</v>
      </c>
      <c r="T168" s="35"/>
      <c r="U168" s="24">
        <f t="shared" si="3"/>
        <v>0</v>
      </c>
      <c r="V168" s="18" t="e">
        <f t="shared" si="4"/>
        <v>#N/A</v>
      </c>
      <c r="W168" s="45" t="e">
        <f t="shared" si="5"/>
        <v>#N/A</v>
      </c>
      <c r="X168" s="20" t="e">
        <f t="shared" si="6"/>
        <v>#N/A</v>
      </c>
      <c r="Y168" s="46" t="e">
        <f t="shared" si="9"/>
        <v>#N/A</v>
      </c>
      <c r="Z168" s="39" t="e">
        <f t="shared" si="7"/>
        <v>#N/A</v>
      </c>
      <c r="AA168" s="39" t="e">
        <f t="shared" si="8"/>
        <v>#N/A</v>
      </c>
      <c r="AB168" s="39"/>
      <c r="AC168" s="48" t="e">
        <f t="shared" si="10"/>
        <v>#N/A</v>
      </c>
    </row>
    <row r="169" spans="1:29" ht="12.5" x14ac:dyDescent="0.25">
      <c r="A169" s="36"/>
      <c r="B169" s="33"/>
      <c r="C169" s="33"/>
      <c r="D169" s="33"/>
      <c r="E169" s="35"/>
      <c r="F169" s="21"/>
      <c r="G169" s="22" t="e">
        <f>VLOOKUP(E169,'Court List'!$A:$C,2,0)</f>
        <v>#N/A</v>
      </c>
      <c r="H169" s="33"/>
      <c r="I169" s="33"/>
      <c r="J169" s="44" t="e">
        <f t="shared" si="0"/>
        <v>#N/A</v>
      </c>
      <c r="K169" s="36"/>
      <c r="L169" s="18">
        <f>SUM('Shuttle Count - Supreme (Nov 20'!C169:D169)</f>
        <v>0</v>
      </c>
      <c r="M169" s="18" t="e">
        <f>VLOOKUP(K169,'Shuttle Purchase'!A:C,3,0)</f>
        <v>#N/A</v>
      </c>
      <c r="N169" s="44" t="e">
        <f t="shared" si="15"/>
        <v>#N/A</v>
      </c>
      <c r="O169" s="24" t="e">
        <f>VLOOKUP(E169,'Court List'!$A:$C,3,0)</f>
        <v>#N/A</v>
      </c>
      <c r="P169" s="18">
        <f>COUNTIF('Pub List'!$C169:$T169,"&lt;&gt;")</f>
        <v>0</v>
      </c>
      <c r="Q169" s="20" t="e">
        <f t="shared" si="2"/>
        <v>#N/A</v>
      </c>
      <c r="R169" s="36"/>
      <c r="S169" s="18">
        <f>COUNTIF('Member List'!$C169:$J169,"&lt;&gt;")</f>
        <v>0</v>
      </c>
      <c r="T169" s="35"/>
      <c r="U169" s="24">
        <f t="shared" si="3"/>
        <v>0</v>
      </c>
      <c r="V169" s="18" t="e">
        <f t="shared" si="4"/>
        <v>#N/A</v>
      </c>
      <c r="W169" s="45" t="e">
        <f t="shared" si="5"/>
        <v>#N/A</v>
      </c>
      <c r="X169" s="20" t="e">
        <f t="shared" si="6"/>
        <v>#N/A</v>
      </c>
      <c r="Y169" s="46" t="e">
        <f t="shared" si="9"/>
        <v>#N/A</v>
      </c>
      <c r="Z169" s="39" t="e">
        <f t="shared" si="7"/>
        <v>#N/A</v>
      </c>
      <c r="AA169" s="39" t="e">
        <f t="shared" si="8"/>
        <v>#N/A</v>
      </c>
      <c r="AB169" s="39"/>
      <c r="AC169" s="48" t="e">
        <f t="shared" si="10"/>
        <v>#N/A</v>
      </c>
    </row>
    <row r="170" spans="1:29" ht="12.5" x14ac:dyDescent="0.25">
      <c r="A170" s="36"/>
      <c r="B170" s="33"/>
      <c r="C170" s="33"/>
      <c r="D170" s="33"/>
      <c r="E170" s="35"/>
      <c r="F170" s="21"/>
      <c r="G170" s="22" t="e">
        <f>VLOOKUP(E170,'Court List'!$A:$C,2,0)</f>
        <v>#N/A</v>
      </c>
      <c r="H170" s="33"/>
      <c r="I170" s="33"/>
      <c r="J170" s="44" t="e">
        <f t="shared" si="0"/>
        <v>#N/A</v>
      </c>
      <c r="K170" s="36"/>
      <c r="L170" s="18">
        <f>SUM('Shuttle Count - Supreme (Nov 20'!C170:D170)</f>
        <v>0</v>
      </c>
      <c r="M170" s="18" t="e">
        <f>VLOOKUP(K170,'Shuttle Purchase'!A:C,3,0)</f>
        <v>#N/A</v>
      </c>
      <c r="N170" s="44" t="e">
        <f t="shared" si="15"/>
        <v>#N/A</v>
      </c>
      <c r="O170" s="24" t="e">
        <f>VLOOKUP(E170,'Court List'!$A:$C,3,0)</f>
        <v>#N/A</v>
      </c>
      <c r="P170" s="18">
        <f>COUNTIF('Pub List'!$C170:$T170,"&lt;&gt;")</f>
        <v>0</v>
      </c>
      <c r="Q170" s="20" t="e">
        <f t="shared" si="2"/>
        <v>#N/A</v>
      </c>
      <c r="R170" s="36"/>
      <c r="S170" s="18">
        <f>COUNTIF('Member List'!$C170:$J170,"&lt;&gt;")</f>
        <v>0</v>
      </c>
      <c r="T170" s="35"/>
      <c r="U170" s="24">
        <f t="shared" si="3"/>
        <v>0</v>
      </c>
      <c r="V170" s="18" t="e">
        <f t="shared" si="4"/>
        <v>#N/A</v>
      </c>
      <c r="W170" s="45" t="e">
        <f t="shared" si="5"/>
        <v>#N/A</v>
      </c>
      <c r="X170" s="20" t="e">
        <f t="shared" si="6"/>
        <v>#N/A</v>
      </c>
      <c r="Y170" s="46" t="e">
        <f t="shared" si="9"/>
        <v>#N/A</v>
      </c>
      <c r="Z170" s="39" t="e">
        <f t="shared" si="7"/>
        <v>#N/A</v>
      </c>
      <c r="AA170" s="39" t="e">
        <f t="shared" si="8"/>
        <v>#N/A</v>
      </c>
      <c r="AB170" s="39"/>
      <c r="AC170" s="48" t="e">
        <f t="shared" si="10"/>
        <v>#N/A</v>
      </c>
    </row>
    <row r="171" spans="1:29" ht="12.5" x14ac:dyDescent="0.25">
      <c r="A171" s="36"/>
      <c r="B171" s="33"/>
      <c r="C171" s="33"/>
      <c r="D171" s="33"/>
      <c r="E171" s="35"/>
      <c r="F171" s="21"/>
      <c r="G171" s="22" t="e">
        <f>VLOOKUP(E171,'Court List'!$A:$C,2,0)</f>
        <v>#N/A</v>
      </c>
      <c r="H171" s="33"/>
      <c r="I171" s="33"/>
      <c r="J171" s="44" t="e">
        <f t="shared" si="0"/>
        <v>#N/A</v>
      </c>
      <c r="K171" s="36"/>
      <c r="L171" s="18">
        <f>SUM('Shuttle Count - Supreme (Nov 20'!C171:D171)</f>
        <v>0</v>
      </c>
      <c r="M171" s="18" t="e">
        <f>VLOOKUP(K171,'Shuttle Purchase'!A:C,3,0)</f>
        <v>#N/A</v>
      </c>
      <c r="N171" s="44" t="e">
        <f t="shared" si="15"/>
        <v>#N/A</v>
      </c>
      <c r="O171" s="24" t="e">
        <f>VLOOKUP(E171,'Court List'!$A:$C,3,0)</f>
        <v>#N/A</v>
      </c>
      <c r="P171" s="18">
        <f>COUNTIF('Pub List'!$C171:$T171,"&lt;&gt;")</f>
        <v>0</v>
      </c>
      <c r="Q171" s="20" t="e">
        <f t="shared" si="2"/>
        <v>#N/A</v>
      </c>
      <c r="R171" s="36"/>
      <c r="S171" s="18">
        <f>COUNTIF('Member List'!$C171:$J171,"&lt;&gt;")</f>
        <v>0</v>
      </c>
      <c r="T171" s="35"/>
      <c r="U171" s="24">
        <f t="shared" si="3"/>
        <v>0</v>
      </c>
      <c r="V171" s="18" t="e">
        <f t="shared" si="4"/>
        <v>#N/A</v>
      </c>
      <c r="W171" s="45" t="e">
        <f t="shared" si="5"/>
        <v>#N/A</v>
      </c>
      <c r="X171" s="20" t="e">
        <f t="shared" si="6"/>
        <v>#N/A</v>
      </c>
      <c r="Y171" s="46" t="e">
        <f t="shared" si="9"/>
        <v>#N/A</v>
      </c>
      <c r="Z171" s="39" t="e">
        <f t="shared" si="7"/>
        <v>#N/A</v>
      </c>
      <c r="AA171" s="39" t="e">
        <f t="shared" si="8"/>
        <v>#N/A</v>
      </c>
      <c r="AB171" s="39"/>
      <c r="AC171" s="48" t="e">
        <f t="shared" si="10"/>
        <v>#N/A</v>
      </c>
    </row>
    <row r="172" spans="1:29" ht="12.5" x14ac:dyDescent="0.25">
      <c r="A172" s="36"/>
      <c r="B172" s="33"/>
      <c r="C172" s="33"/>
      <c r="D172" s="33"/>
      <c r="E172" s="35"/>
      <c r="F172" s="21"/>
      <c r="G172" s="22" t="e">
        <f>VLOOKUP(E172,'Court List'!$A:$C,2,0)</f>
        <v>#N/A</v>
      </c>
      <c r="H172" s="33"/>
      <c r="I172" s="33"/>
      <c r="J172" s="44" t="e">
        <f t="shared" si="0"/>
        <v>#N/A</v>
      </c>
      <c r="K172" s="36"/>
      <c r="L172" s="18">
        <f>SUM('Shuttle Count - Supreme (Nov 20'!C172:D172)</f>
        <v>0</v>
      </c>
      <c r="M172" s="18" t="e">
        <f>VLOOKUP(K172,'Shuttle Purchase'!A:C,3,0)</f>
        <v>#N/A</v>
      </c>
      <c r="N172" s="44" t="e">
        <f t="shared" si="15"/>
        <v>#N/A</v>
      </c>
      <c r="O172" s="24" t="e">
        <f>VLOOKUP(E172,'Court List'!$A:$C,3,0)</f>
        <v>#N/A</v>
      </c>
      <c r="P172" s="18">
        <f>COUNTIF('Pub List'!$C172:$T172,"&lt;&gt;")</f>
        <v>0</v>
      </c>
      <c r="Q172" s="20" t="e">
        <f t="shared" si="2"/>
        <v>#N/A</v>
      </c>
      <c r="R172" s="36"/>
      <c r="S172" s="18">
        <f>COUNTIF('Member List'!$C172:$J172,"&lt;&gt;")</f>
        <v>0</v>
      </c>
      <c r="T172" s="35"/>
      <c r="U172" s="24">
        <f t="shared" si="3"/>
        <v>0</v>
      </c>
      <c r="V172" s="18" t="e">
        <f t="shared" si="4"/>
        <v>#N/A</v>
      </c>
      <c r="W172" s="45" t="e">
        <f t="shared" si="5"/>
        <v>#N/A</v>
      </c>
      <c r="X172" s="20" t="e">
        <f t="shared" si="6"/>
        <v>#N/A</v>
      </c>
      <c r="Y172" s="46" t="e">
        <f t="shared" si="9"/>
        <v>#N/A</v>
      </c>
      <c r="Z172" s="39" t="e">
        <f t="shared" si="7"/>
        <v>#N/A</v>
      </c>
      <c r="AA172" s="39" t="e">
        <f t="shared" si="8"/>
        <v>#N/A</v>
      </c>
      <c r="AB172" s="39"/>
      <c r="AC172" s="48" t="e">
        <f t="shared" si="10"/>
        <v>#N/A</v>
      </c>
    </row>
    <row r="173" spans="1:29" ht="12.5" x14ac:dyDescent="0.25">
      <c r="A173" s="36"/>
      <c r="B173" s="33"/>
      <c r="C173" s="33"/>
      <c r="D173" s="33"/>
      <c r="E173" s="35"/>
      <c r="F173" s="21"/>
      <c r="G173" s="22" t="e">
        <f>VLOOKUP(E173,'Court List'!$A:$C,2,0)</f>
        <v>#N/A</v>
      </c>
      <c r="H173" s="33"/>
      <c r="I173" s="33"/>
      <c r="J173" s="44" t="e">
        <f t="shared" si="0"/>
        <v>#N/A</v>
      </c>
      <c r="K173" s="36"/>
      <c r="L173" s="18">
        <f>SUM('Shuttle Count - Supreme (Nov 20'!C173:D173)</f>
        <v>0</v>
      </c>
      <c r="M173" s="18" t="e">
        <f>VLOOKUP(K173,'Shuttle Purchase'!A:C,3,0)</f>
        <v>#N/A</v>
      </c>
      <c r="N173" s="44" t="e">
        <f t="shared" si="15"/>
        <v>#N/A</v>
      </c>
      <c r="O173" s="24" t="e">
        <f>VLOOKUP(E173,'Court List'!$A:$C,3,0)</f>
        <v>#N/A</v>
      </c>
      <c r="P173" s="18">
        <f>COUNTIF('Pub List'!$C173:$T173,"&lt;&gt;")</f>
        <v>0</v>
      </c>
      <c r="Q173" s="20" t="e">
        <f t="shared" si="2"/>
        <v>#N/A</v>
      </c>
      <c r="R173" s="36"/>
      <c r="S173" s="18">
        <f>COUNTIF('Member List'!$C173:$J173,"&lt;&gt;")</f>
        <v>0</v>
      </c>
      <c r="T173" s="35"/>
      <c r="U173" s="24">
        <f t="shared" si="3"/>
        <v>0</v>
      </c>
      <c r="V173" s="18" t="e">
        <f t="shared" si="4"/>
        <v>#N/A</v>
      </c>
      <c r="W173" s="45" t="e">
        <f t="shared" si="5"/>
        <v>#N/A</v>
      </c>
      <c r="X173" s="20" t="e">
        <f t="shared" si="6"/>
        <v>#N/A</v>
      </c>
      <c r="Y173" s="46" t="e">
        <f t="shared" si="9"/>
        <v>#N/A</v>
      </c>
      <c r="Z173" s="39" t="e">
        <f t="shared" si="7"/>
        <v>#N/A</v>
      </c>
      <c r="AA173" s="39" t="e">
        <f t="shared" si="8"/>
        <v>#N/A</v>
      </c>
      <c r="AB173" s="39"/>
      <c r="AC173" s="48" t="e">
        <f t="shared" si="10"/>
        <v>#N/A</v>
      </c>
    </row>
    <row r="174" spans="1:29" ht="12.5" x14ac:dyDescent="0.25">
      <c r="A174" s="36"/>
      <c r="B174" s="33"/>
      <c r="C174" s="33"/>
      <c r="D174" s="33"/>
      <c r="E174" s="35"/>
      <c r="F174" s="21"/>
      <c r="G174" s="22" t="e">
        <f>VLOOKUP(E174,'Court List'!$A:$C,2,0)</f>
        <v>#N/A</v>
      </c>
      <c r="H174" s="33"/>
      <c r="I174" s="33"/>
      <c r="J174" s="44" t="e">
        <f t="shared" si="0"/>
        <v>#N/A</v>
      </c>
      <c r="K174" s="36"/>
      <c r="L174" s="18">
        <f>SUM('Shuttle Count - Supreme (Nov 20'!C174:D174)</f>
        <v>0</v>
      </c>
      <c r="M174" s="18" t="e">
        <f>VLOOKUP(K174,'Shuttle Purchase'!A:C,3,0)</f>
        <v>#N/A</v>
      </c>
      <c r="N174" s="44" t="e">
        <f t="shared" si="15"/>
        <v>#N/A</v>
      </c>
      <c r="O174" s="24" t="e">
        <f>VLOOKUP(E174,'Court List'!$A:$C,3,0)</f>
        <v>#N/A</v>
      </c>
      <c r="P174" s="18">
        <f>COUNTIF('Pub List'!$C174:$T174,"&lt;&gt;")</f>
        <v>0</v>
      </c>
      <c r="Q174" s="20" t="e">
        <f t="shared" si="2"/>
        <v>#N/A</v>
      </c>
      <c r="R174" s="36"/>
      <c r="S174" s="18">
        <f>COUNTIF('Member List'!$C174:$J174,"&lt;&gt;")</f>
        <v>0</v>
      </c>
      <c r="T174" s="35"/>
      <c r="U174" s="24">
        <f t="shared" si="3"/>
        <v>0</v>
      </c>
      <c r="V174" s="18" t="e">
        <f t="shared" si="4"/>
        <v>#N/A</v>
      </c>
      <c r="W174" s="45" t="e">
        <f t="shared" si="5"/>
        <v>#N/A</v>
      </c>
      <c r="X174" s="20" t="e">
        <f t="shared" si="6"/>
        <v>#N/A</v>
      </c>
      <c r="Y174" s="46" t="e">
        <f t="shared" si="9"/>
        <v>#N/A</v>
      </c>
      <c r="Z174" s="39" t="e">
        <f t="shared" si="7"/>
        <v>#N/A</v>
      </c>
      <c r="AA174" s="39" t="e">
        <f t="shared" si="8"/>
        <v>#N/A</v>
      </c>
      <c r="AB174" s="39"/>
      <c r="AC174" s="48" t="e">
        <f t="shared" si="10"/>
        <v>#N/A</v>
      </c>
    </row>
    <row r="175" spans="1:29" ht="12.5" x14ac:dyDescent="0.25">
      <c r="A175" s="36"/>
      <c r="B175" s="33"/>
      <c r="C175" s="33"/>
      <c r="D175" s="33"/>
      <c r="E175" s="35"/>
      <c r="F175" s="21"/>
      <c r="G175" s="22" t="e">
        <f>VLOOKUP(E175,'Court List'!$A:$C,2,0)</f>
        <v>#N/A</v>
      </c>
      <c r="H175" s="33"/>
      <c r="I175" s="33"/>
      <c r="J175" s="44" t="e">
        <f t="shared" si="0"/>
        <v>#N/A</v>
      </c>
      <c r="K175" s="36"/>
      <c r="L175" s="18">
        <f>SUM('Shuttle Count - Supreme (Nov 20'!C175:D175)</f>
        <v>0</v>
      </c>
      <c r="M175" s="18" t="e">
        <f>VLOOKUP(K175,'Shuttle Purchase'!A:C,3,0)</f>
        <v>#N/A</v>
      </c>
      <c r="N175" s="44" t="e">
        <f t="shared" si="15"/>
        <v>#N/A</v>
      </c>
      <c r="O175" s="24" t="e">
        <f>VLOOKUP(E175,'Court List'!$A:$C,3,0)</f>
        <v>#N/A</v>
      </c>
      <c r="P175" s="18">
        <f>COUNTIF('Pub List'!$C175:$T175,"&lt;&gt;")</f>
        <v>0</v>
      </c>
      <c r="Q175" s="20" t="e">
        <f t="shared" si="2"/>
        <v>#N/A</v>
      </c>
      <c r="R175" s="36"/>
      <c r="S175" s="18">
        <f>COUNTIF('Member List'!$C175:$J175,"&lt;&gt;")</f>
        <v>0</v>
      </c>
      <c r="T175" s="35"/>
      <c r="U175" s="24">
        <f t="shared" si="3"/>
        <v>0</v>
      </c>
      <c r="V175" s="18" t="e">
        <f t="shared" si="4"/>
        <v>#N/A</v>
      </c>
      <c r="W175" s="45" t="e">
        <f t="shared" si="5"/>
        <v>#N/A</v>
      </c>
      <c r="X175" s="20" t="e">
        <f t="shared" si="6"/>
        <v>#N/A</v>
      </c>
      <c r="Y175" s="46" t="e">
        <f t="shared" si="9"/>
        <v>#N/A</v>
      </c>
      <c r="Z175" s="39" t="e">
        <f t="shared" si="7"/>
        <v>#N/A</v>
      </c>
      <c r="AA175" s="39" t="e">
        <f t="shared" si="8"/>
        <v>#N/A</v>
      </c>
      <c r="AB175" s="39"/>
      <c r="AC175" s="48" t="e">
        <f t="shared" si="10"/>
        <v>#N/A</v>
      </c>
    </row>
    <row r="176" spans="1:29" ht="12.5" x14ac:dyDescent="0.25">
      <c r="A176" s="36"/>
      <c r="B176" s="33"/>
      <c r="C176" s="33"/>
      <c r="D176" s="33"/>
      <c r="E176" s="35"/>
      <c r="F176" s="21"/>
      <c r="G176" s="22" t="e">
        <f>VLOOKUP(E176,'Court List'!$A:$C,2,0)</f>
        <v>#N/A</v>
      </c>
      <c r="H176" s="33"/>
      <c r="I176" s="33"/>
      <c r="J176" s="44" t="e">
        <f t="shared" si="0"/>
        <v>#N/A</v>
      </c>
      <c r="K176" s="36"/>
      <c r="L176" s="18">
        <f>SUM('Shuttle Count - Supreme (Nov 20'!C176:D176)</f>
        <v>0</v>
      </c>
      <c r="M176" s="18" t="e">
        <f>VLOOKUP(K176,'Shuttle Purchase'!A:C,3,0)</f>
        <v>#N/A</v>
      </c>
      <c r="N176" s="44" t="e">
        <f t="shared" si="15"/>
        <v>#N/A</v>
      </c>
      <c r="O176" s="24" t="e">
        <f>VLOOKUP(E176,'Court List'!$A:$C,3,0)</f>
        <v>#N/A</v>
      </c>
      <c r="P176" s="18">
        <f>COUNTIF('Pub List'!$C176:$T176,"&lt;&gt;")</f>
        <v>0</v>
      </c>
      <c r="Q176" s="20" t="e">
        <f t="shared" si="2"/>
        <v>#N/A</v>
      </c>
      <c r="R176" s="36"/>
      <c r="S176" s="18">
        <f>COUNTIF('Member List'!$C176:$J176,"&lt;&gt;")</f>
        <v>0</v>
      </c>
      <c r="T176" s="35"/>
      <c r="U176" s="24">
        <f t="shared" si="3"/>
        <v>0</v>
      </c>
      <c r="V176" s="18" t="e">
        <f t="shared" si="4"/>
        <v>#N/A</v>
      </c>
      <c r="W176" s="45" t="e">
        <f t="shared" si="5"/>
        <v>#N/A</v>
      </c>
      <c r="X176" s="20" t="e">
        <f t="shared" si="6"/>
        <v>#N/A</v>
      </c>
      <c r="Y176" s="46" t="e">
        <f t="shared" si="9"/>
        <v>#N/A</v>
      </c>
      <c r="Z176" s="39" t="e">
        <f t="shared" si="7"/>
        <v>#N/A</v>
      </c>
      <c r="AA176" s="39" t="e">
        <f t="shared" si="8"/>
        <v>#N/A</v>
      </c>
      <c r="AB176" s="39"/>
      <c r="AC176" s="48" t="e">
        <f t="shared" si="10"/>
        <v>#N/A</v>
      </c>
    </row>
    <row r="177" spans="1:29" ht="12.5" x14ac:dyDescent="0.25">
      <c r="A177" s="36"/>
      <c r="B177" s="33"/>
      <c r="C177" s="33"/>
      <c r="D177" s="33"/>
      <c r="E177" s="35"/>
      <c r="F177" s="21"/>
      <c r="G177" s="22" t="e">
        <f>VLOOKUP(E177,'Court List'!$A:$C,2,0)</f>
        <v>#N/A</v>
      </c>
      <c r="H177" s="33"/>
      <c r="I177" s="33"/>
      <c r="J177" s="44" t="e">
        <f t="shared" si="0"/>
        <v>#N/A</v>
      </c>
      <c r="K177" s="36"/>
      <c r="L177" s="18">
        <f>SUM('Shuttle Count - Supreme (Nov 20'!C177:D177)</f>
        <v>0</v>
      </c>
      <c r="M177" s="18" t="e">
        <f>VLOOKUP(K177,'Shuttle Purchase'!A:C,3,0)</f>
        <v>#N/A</v>
      </c>
      <c r="N177" s="44" t="e">
        <f t="shared" si="15"/>
        <v>#N/A</v>
      </c>
      <c r="O177" s="24" t="e">
        <f>VLOOKUP(E177,'Court List'!$A:$C,3,0)</f>
        <v>#N/A</v>
      </c>
      <c r="P177" s="18">
        <f>COUNTIF('Pub List'!$C177:$T177,"&lt;&gt;")</f>
        <v>0</v>
      </c>
      <c r="Q177" s="20" t="e">
        <f t="shared" si="2"/>
        <v>#N/A</v>
      </c>
      <c r="R177" s="36"/>
      <c r="S177" s="18">
        <f>COUNTIF('Member List'!$C177:$J177,"&lt;&gt;")</f>
        <v>0</v>
      </c>
      <c r="T177" s="35"/>
      <c r="U177" s="24">
        <f t="shared" si="3"/>
        <v>0</v>
      </c>
      <c r="V177" s="18" t="e">
        <f t="shared" si="4"/>
        <v>#N/A</v>
      </c>
      <c r="W177" s="45" t="e">
        <f t="shared" si="5"/>
        <v>#N/A</v>
      </c>
      <c r="X177" s="20" t="e">
        <f t="shared" si="6"/>
        <v>#N/A</v>
      </c>
      <c r="Y177" s="46" t="e">
        <f t="shared" si="9"/>
        <v>#N/A</v>
      </c>
      <c r="Z177" s="39" t="e">
        <f t="shared" si="7"/>
        <v>#N/A</v>
      </c>
      <c r="AA177" s="39" t="e">
        <f t="shared" si="8"/>
        <v>#N/A</v>
      </c>
      <c r="AB177" s="39"/>
      <c r="AC177" s="48" t="e">
        <f t="shared" si="10"/>
        <v>#N/A</v>
      </c>
    </row>
    <row r="178" spans="1:29" ht="12.5" x14ac:dyDescent="0.25">
      <c r="A178" s="36"/>
      <c r="B178" s="33"/>
      <c r="C178" s="33"/>
      <c r="D178" s="33"/>
      <c r="E178" s="35"/>
      <c r="F178" s="21"/>
      <c r="G178" s="22" t="e">
        <f>VLOOKUP(E178,'Court List'!$A:$C,2,0)</f>
        <v>#N/A</v>
      </c>
      <c r="H178" s="33"/>
      <c r="I178" s="33"/>
      <c r="J178" s="44" t="e">
        <f t="shared" si="0"/>
        <v>#N/A</v>
      </c>
      <c r="K178" s="36"/>
      <c r="L178" s="18">
        <f>SUM('Shuttle Count - Supreme (Nov 20'!C178:D178)</f>
        <v>0</v>
      </c>
      <c r="M178" s="18" t="e">
        <f>VLOOKUP(K178,'Shuttle Purchase'!A:C,3,0)</f>
        <v>#N/A</v>
      </c>
      <c r="N178" s="44" t="e">
        <f t="shared" si="15"/>
        <v>#N/A</v>
      </c>
      <c r="O178" s="24" t="e">
        <f>VLOOKUP(E178,'Court List'!$A:$C,3,0)</f>
        <v>#N/A</v>
      </c>
      <c r="P178" s="18">
        <f>COUNTIF('Pub List'!$C178:$T178,"&lt;&gt;")</f>
        <v>0</v>
      </c>
      <c r="Q178" s="20" t="e">
        <f t="shared" si="2"/>
        <v>#N/A</v>
      </c>
      <c r="R178" s="36"/>
      <c r="S178" s="18">
        <f>COUNTIF('Member List'!$C178:$J178,"&lt;&gt;")</f>
        <v>0</v>
      </c>
      <c r="T178" s="35"/>
      <c r="U178" s="24">
        <f t="shared" si="3"/>
        <v>0</v>
      </c>
      <c r="V178" s="18" t="e">
        <f t="shared" si="4"/>
        <v>#N/A</v>
      </c>
      <c r="W178" s="45" t="e">
        <f t="shared" si="5"/>
        <v>#N/A</v>
      </c>
      <c r="X178" s="20" t="e">
        <f t="shared" si="6"/>
        <v>#N/A</v>
      </c>
      <c r="Y178" s="46" t="e">
        <f t="shared" si="9"/>
        <v>#N/A</v>
      </c>
      <c r="Z178" s="39" t="e">
        <f t="shared" si="7"/>
        <v>#N/A</v>
      </c>
      <c r="AA178" s="39" t="e">
        <f t="shared" si="8"/>
        <v>#N/A</v>
      </c>
      <c r="AB178" s="39"/>
      <c r="AC178" s="48" t="e">
        <f t="shared" si="10"/>
        <v>#N/A</v>
      </c>
    </row>
    <row r="179" spans="1:29" ht="12.5" x14ac:dyDescent="0.25">
      <c r="A179" s="36"/>
      <c r="B179" s="33"/>
      <c r="C179" s="33"/>
      <c r="D179" s="33"/>
      <c r="E179" s="35"/>
      <c r="F179" s="21"/>
      <c r="G179" s="22" t="e">
        <f>VLOOKUP(E179,'Court List'!$A:$C,2,0)</f>
        <v>#N/A</v>
      </c>
      <c r="H179" s="33"/>
      <c r="I179" s="33"/>
      <c r="J179" s="44" t="e">
        <f t="shared" si="0"/>
        <v>#N/A</v>
      </c>
      <c r="K179" s="36"/>
      <c r="L179" s="18">
        <f>SUM('Shuttle Count - Supreme (Nov 20'!C179:D179)</f>
        <v>0</v>
      </c>
      <c r="M179" s="18" t="e">
        <f>VLOOKUP(K179,'Shuttle Purchase'!A:C,3,0)</f>
        <v>#N/A</v>
      </c>
      <c r="N179" s="44" t="e">
        <f t="shared" si="15"/>
        <v>#N/A</v>
      </c>
      <c r="O179" s="24" t="e">
        <f>VLOOKUP(E179,'Court List'!$A:$C,3,0)</f>
        <v>#N/A</v>
      </c>
      <c r="P179" s="18">
        <f>COUNTIF('Pub List'!$C179:$T179,"&lt;&gt;")</f>
        <v>0</v>
      </c>
      <c r="Q179" s="20" t="e">
        <f t="shared" si="2"/>
        <v>#N/A</v>
      </c>
      <c r="R179" s="36"/>
      <c r="S179" s="18">
        <f>COUNTIF('Member List'!$C179:$J179,"&lt;&gt;")</f>
        <v>0</v>
      </c>
      <c r="T179" s="35"/>
      <c r="U179" s="24">
        <f t="shared" si="3"/>
        <v>0</v>
      </c>
      <c r="V179" s="18" t="e">
        <f t="shared" si="4"/>
        <v>#N/A</v>
      </c>
      <c r="W179" s="45" t="e">
        <f t="shared" si="5"/>
        <v>#N/A</v>
      </c>
      <c r="X179" s="20" t="e">
        <f t="shared" si="6"/>
        <v>#N/A</v>
      </c>
      <c r="Y179" s="46" t="e">
        <f t="shared" si="9"/>
        <v>#N/A</v>
      </c>
      <c r="Z179" s="39" t="e">
        <f t="shared" si="7"/>
        <v>#N/A</v>
      </c>
      <c r="AA179" s="39" t="e">
        <f t="shared" si="8"/>
        <v>#N/A</v>
      </c>
      <c r="AB179" s="39"/>
      <c r="AC179" s="48" t="e">
        <f t="shared" si="10"/>
        <v>#N/A</v>
      </c>
    </row>
    <row r="180" spans="1:29" ht="12.5" x14ac:dyDescent="0.25">
      <c r="A180" s="36"/>
      <c r="B180" s="33"/>
      <c r="C180" s="33"/>
      <c r="D180" s="33"/>
      <c r="E180" s="35"/>
      <c r="F180" s="21"/>
      <c r="G180" s="22" t="e">
        <f>VLOOKUP(E180,'Court List'!$A:$C,2,0)</f>
        <v>#N/A</v>
      </c>
      <c r="H180" s="33"/>
      <c r="I180" s="33"/>
      <c r="J180" s="44" t="e">
        <f t="shared" si="0"/>
        <v>#N/A</v>
      </c>
      <c r="K180" s="36"/>
      <c r="L180" s="18">
        <f>SUM('Shuttle Count - Supreme (Nov 20'!C180:D180)</f>
        <v>0</v>
      </c>
      <c r="M180" s="18" t="e">
        <f>VLOOKUP(K180,'Shuttle Purchase'!A:C,3,0)</f>
        <v>#N/A</v>
      </c>
      <c r="N180" s="44" t="e">
        <f t="shared" si="15"/>
        <v>#N/A</v>
      </c>
      <c r="O180" s="24" t="e">
        <f>VLOOKUP(E180,'Court List'!$A:$C,3,0)</f>
        <v>#N/A</v>
      </c>
      <c r="P180" s="18">
        <f>COUNTIF('Pub List'!$C180:$T180,"&lt;&gt;")</f>
        <v>0</v>
      </c>
      <c r="Q180" s="20" t="e">
        <f t="shared" si="2"/>
        <v>#N/A</v>
      </c>
      <c r="R180" s="36"/>
      <c r="S180" s="18">
        <f>COUNTIF('Member List'!$C180:$J180,"&lt;&gt;")</f>
        <v>0</v>
      </c>
      <c r="T180" s="35"/>
      <c r="U180" s="24">
        <f t="shared" si="3"/>
        <v>0</v>
      </c>
      <c r="V180" s="18" t="e">
        <f t="shared" si="4"/>
        <v>#N/A</v>
      </c>
      <c r="W180" s="45" t="e">
        <f t="shared" si="5"/>
        <v>#N/A</v>
      </c>
      <c r="X180" s="20" t="e">
        <f t="shared" si="6"/>
        <v>#N/A</v>
      </c>
      <c r="Y180" s="46" t="e">
        <f t="shared" si="9"/>
        <v>#N/A</v>
      </c>
      <c r="Z180" s="39" t="e">
        <f t="shared" si="7"/>
        <v>#N/A</v>
      </c>
      <c r="AA180" s="39" t="e">
        <f t="shared" si="8"/>
        <v>#N/A</v>
      </c>
      <c r="AB180" s="39"/>
      <c r="AC180" s="48" t="e">
        <f t="shared" si="10"/>
        <v>#N/A</v>
      </c>
    </row>
    <row r="181" spans="1:29" ht="12.5" x14ac:dyDescent="0.25">
      <c r="A181" s="36"/>
      <c r="B181" s="33"/>
      <c r="C181" s="33"/>
      <c r="D181" s="33"/>
      <c r="E181" s="35"/>
      <c r="F181" s="21"/>
      <c r="G181" s="22" t="e">
        <f>VLOOKUP(E181,'Court List'!$A:$C,2,0)</f>
        <v>#N/A</v>
      </c>
      <c r="H181" s="33"/>
      <c r="I181" s="33"/>
      <c r="J181" s="44" t="e">
        <f t="shared" si="0"/>
        <v>#N/A</v>
      </c>
      <c r="K181" s="36"/>
      <c r="L181" s="18">
        <f>SUM('Shuttle Count - Supreme (Nov 20'!C181:D181)</f>
        <v>0</v>
      </c>
      <c r="M181" s="18" t="e">
        <f>VLOOKUP(K181,'Shuttle Purchase'!A:C,3,0)</f>
        <v>#N/A</v>
      </c>
      <c r="N181" s="44" t="e">
        <f t="shared" si="15"/>
        <v>#N/A</v>
      </c>
      <c r="O181" s="24" t="e">
        <f>VLOOKUP(E181,'Court List'!$A:$C,3,0)</f>
        <v>#N/A</v>
      </c>
      <c r="P181" s="18">
        <f>COUNTIF('Pub List'!$C181:$T181,"&lt;&gt;")</f>
        <v>0</v>
      </c>
      <c r="Q181" s="20" t="e">
        <f t="shared" si="2"/>
        <v>#N/A</v>
      </c>
      <c r="R181" s="36"/>
      <c r="S181" s="18">
        <f>COUNTIF('Member List'!$C181:$J181,"&lt;&gt;")</f>
        <v>0</v>
      </c>
      <c r="T181" s="35"/>
      <c r="U181" s="24">
        <f t="shared" si="3"/>
        <v>0</v>
      </c>
      <c r="V181" s="18" t="e">
        <f t="shared" si="4"/>
        <v>#N/A</v>
      </c>
      <c r="W181" s="45" t="e">
        <f t="shared" si="5"/>
        <v>#N/A</v>
      </c>
      <c r="X181" s="20" t="e">
        <f t="shared" si="6"/>
        <v>#N/A</v>
      </c>
      <c r="Y181" s="46" t="e">
        <f t="shared" si="9"/>
        <v>#N/A</v>
      </c>
      <c r="Z181" s="39" t="e">
        <f t="shared" si="7"/>
        <v>#N/A</v>
      </c>
      <c r="AA181" s="39" t="e">
        <f t="shared" si="8"/>
        <v>#N/A</v>
      </c>
      <c r="AB181" s="39"/>
      <c r="AC181" s="48" t="e">
        <f t="shared" si="10"/>
        <v>#N/A</v>
      </c>
    </row>
    <row r="182" spans="1:29" ht="12.5" x14ac:dyDescent="0.25">
      <c r="A182" s="36"/>
      <c r="B182" s="33"/>
      <c r="C182" s="33"/>
      <c r="D182" s="33"/>
      <c r="E182" s="35"/>
      <c r="F182" s="21"/>
      <c r="G182" s="22" t="e">
        <f>VLOOKUP(E182,'Court List'!$A:$C,2,0)</f>
        <v>#N/A</v>
      </c>
      <c r="H182" s="33"/>
      <c r="I182" s="33"/>
      <c r="J182" s="44" t="e">
        <f t="shared" si="0"/>
        <v>#N/A</v>
      </c>
      <c r="K182" s="36"/>
      <c r="L182" s="18">
        <f>SUM('Shuttle Count - Supreme (Nov 20'!C182:D182)</f>
        <v>0</v>
      </c>
      <c r="M182" s="18" t="e">
        <f>VLOOKUP(K182,'Shuttle Purchase'!A:C,3,0)</f>
        <v>#N/A</v>
      </c>
      <c r="N182" s="44" t="e">
        <f t="shared" si="15"/>
        <v>#N/A</v>
      </c>
      <c r="O182" s="24" t="e">
        <f>VLOOKUP(E182,'Court List'!$A:$C,3,0)</f>
        <v>#N/A</v>
      </c>
      <c r="P182" s="18">
        <f>COUNTIF('Pub List'!$C182:$T182,"&lt;&gt;")</f>
        <v>0</v>
      </c>
      <c r="Q182" s="20" t="e">
        <f t="shared" si="2"/>
        <v>#N/A</v>
      </c>
      <c r="R182" s="36"/>
      <c r="S182" s="18">
        <f>COUNTIF('Member List'!$C182:$J182,"&lt;&gt;")</f>
        <v>0</v>
      </c>
      <c r="T182" s="35"/>
      <c r="U182" s="24">
        <f t="shared" si="3"/>
        <v>0</v>
      </c>
      <c r="V182" s="18" t="e">
        <f t="shared" si="4"/>
        <v>#N/A</v>
      </c>
      <c r="W182" s="45" t="e">
        <f t="shared" si="5"/>
        <v>#N/A</v>
      </c>
      <c r="X182" s="20" t="e">
        <f t="shared" si="6"/>
        <v>#N/A</v>
      </c>
      <c r="Y182" s="46" t="e">
        <f t="shared" si="9"/>
        <v>#N/A</v>
      </c>
      <c r="Z182" s="39" t="e">
        <f t="shared" si="7"/>
        <v>#N/A</v>
      </c>
      <c r="AA182" s="39" t="e">
        <f t="shared" si="8"/>
        <v>#N/A</v>
      </c>
      <c r="AB182" s="39"/>
      <c r="AC182" s="48" t="e">
        <f t="shared" si="10"/>
        <v>#N/A</v>
      </c>
    </row>
    <row r="183" spans="1:29" ht="12.5" x14ac:dyDescent="0.25">
      <c r="A183" s="36"/>
      <c r="B183" s="33"/>
      <c r="C183" s="33"/>
      <c r="D183" s="33"/>
      <c r="E183" s="35"/>
      <c r="F183" s="21"/>
      <c r="G183" s="22" t="e">
        <f>VLOOKUP(E183,'Court List'!$A:$C,2,0)</f>
        <v>#N/A</v>
      </c>
      <c r="H183" s="33"/>
      <c r="I183" s="33"/>
      <c r="J183" s="44" t="e">
        <f t="shared" si="0"/>
        <v>#N/A</v>
      </c>
      <c r="K183" s="36"/>
      <c r="L183" s="18">
        <f>SUM('Shuttle Count - Supreme (Nov 20'!C183:D183)</f>
        <v>0</v>
      </c>
      <c r="M183" s="18" t="e">
        <f>VLOOKUP(K183,'Shuttle Purchase'!A:C,3,0)</f>
        <v>#N/A</v>
      </c>
      <c r="N183" s="44" t="e">
        <f t="shared" si="15"/>
        <v>#N/A</v>
      </c>
      <c r="O183" s="24" t="e">
        <f>VLOOKUP(E183,'Court List'!$A:$C,3,0)</f>
        <v>#N/A</v>
      </c>
      <c r="P183" s="18">
        <f>COUNTIF('Pub List'!$C183:$T183,"&lt;&gt;")</f>
        <v>0</v>
      </c>
      <c r="Q183" s="20" t="e">
        <f t="shared" si="2"/>
        <v>#N/A</v>
      </c>
      <c r="R183" s="36"/>
      <c r="S183" s="18">
        <f>COUNTIF('Member List'!$C183:$J183,"&lt;&gt;")</f>
        <v>0</v>
      </c>
      <c r="T183" s="35"/>
      <c r="U183" s="24">
        <f t="shared" si="3"/>
        <v>0</v>
      </c>
      <c r="V183" s="18" t="e">
        <f t="shared" si="4"/>
        <v>#N/A</v>
      </c>
      <c r="W183" s="45" t="e">
        <f t="shared" si="5"/>
        <v>#N/A</v>
      </c>
      <c r="X183" s="20" t="e">
        <f t="shared" si="6"/>
        <v>#N/A</v>
      </c>
      <c r="Y183" s="46" t="e">
        <f t="shared" si="9"/>
        <v>#N/A</v>
      </c>
      <c r="Z183" s="39" t="e">
        <f t="shared" si="7"/>
        <v>#N/A</v>
      </c>
      <c r="AA183" s="39" t="e">
        <f t="shared" si="8"/>
        <v>#N/A</v>
      </c>
      <c r="AB183" s="39"/>
      <c r="AC183" s="48" t="e">
        <f t="shared" si="10"/>
        <v>#N/A</v>
      </c>
    </row>
    <row r="184" spans="1:29" ht="12.5" x14ac:dyDescent="0.25">
      <c r="A184" s="36"/>
      <c r="B184" s="33"/>
      <c r="C184" s="33"/>
      <c r="D184" s="33"/>
      <c r="E184" s="35"/>
      <c r="F184" s="21"/>
      <c r="G184" s="22" t="e">
        <f>VLOOKUP(E184,'Court List'!$A:$C,2,0)</f>
        <v>#N/A</v>
      </c>
      <c r="H184" s="33"/>
      <c r="I184" s="33"/>
      <c r="J184" s="44" t="e">
        <f t="shared" si="0"/>
        <v>#N/A</v>
      </c>
      <c r="K184" s="36"/>
      <c r="L184" s="18">
        <f>SUM('Shuttle Count - Supreme (Nov 20'!C184:D184)</f>
        <v>0</v>
      </c>
      <c r="M184" s="18" t="e">
        <f>VLOOKUP(K184,'Shuttle Purchase'!A:C,3,0)</f>
        <v>#N/A</v>
      </c>
      <c r="N184" s="44" t="e">
        <f t="shared" si="15"/>
        <v>#N/A</v>
      </c>
      <c r="O184" s="24" t="e">
        <f>VLOOKUP(E184,'Court List'!$A:$C,3,0)</f>
        <v>#N/A</v>
      </c>
      <c r="P184" s="18">
        <f>COUNTIF('Pub List'!$C184:$T184,"&lt;&gt;")</f>
        <v>0</v>
      </c>
      <c r="Q184" s="20" t="e">
        <f t="shared" si="2"/>
        <v>#N/A</v>
      </c>
      <c r="R184" s="36"/>
      <c r="S184" s="18">
        <f>COUNTIF('Member List'!$C184:$J184,"&lt;&gt;")</f>
        <v>0</v>
      </c>
      <c r="T184" s="35"/>
      <c r="U184" s="24">
        <f t="shared" si="3"/>
        <v>0</v>
      </c>
      <c r="V184" s="18" t="e">
        <f t="shared" si="4"/>
        <v>#N/A</v>
      </c>
      <c r="W184" s="45" t="e">
        <f t="shared" si="5"/>
        <v>#N/A</v>
      </c>
      <c r="X184" s="20" t="e">
        <f t="shared" si="6"/>
        <v>#N/A</v>
      </c>
      <c r="Y184" s="46" t="e">
        <f t="shared" si="9"/>
        <v>#N/A</v>
      </c>
      <c r="Z184" s="39" t="e">
        <f t="shared" si="7"/>
        <v>#N/A</v>
      </c>
      <c r="AA184" s="39" t="e">
        <f t="shared" si="8"/>
        <v>#N/A</v>
      </c>
      <c r="AB184" s="39"/>
      <c r="AC184" s="48" t="e">
        <f t="shared" si="10"/>
        <v>#N/A</v>
      </c>
    </row>
    <row r="185" spans="1:29" ht="12.5" x14ac:dyDescent="0.25">
      <c r="A185" s="36"/>
      <c r="B185" s="33"/>
      <c r="C185" s="33"/>
      <c r="D185" s="33"/>
      <c r="E185" s="35"/>
      <c r="F185" s="21"/>
      <c r="G185" s="22" t="e">
        <f>VLOOKUP(E185,'Court List'!$A:$C,2,0)</f>
        <v>#N/A</v>
      </c>
      <c r="H185" s="33"/>
      <c r="I185" s="33"/>
      <c r="J185" s="44" t="e">
        <f t="shared" si="0"/>
        <v>#N/A</v>
      </c>
      <c r="K185" s="36"/>
      <c r="L185" s="18">
        <f>SUM('Shuttle Count - Supreme (Nov 20'!C185:D185)</f>
        <v>0</v>
      </c>
      <c r="M185" s="18" t="e">
        <f>VLOOKUP(K185,'Shuttle Purchase'!A:C,3,0)</f>
        <v>#N/A</v>
      </c>
      <c r="N185" s="44" t="e">
        <f t="shared" si="15"/>
        <v>#N/A</v>
      </c>
      <c r="O185" s="24" t="e">
        <f>VLOOKUP(E185,'Court List'!$A:$C,3,0)</f>
        <v>#N/A</v>
      </c>
      <c r="P185" s="18">
        <f>COUNTIF('Pub List'!$C185:$T185,"&lt;&gt;")</f>
        <v>0</v>
      </c>
      <c r="Q185" s="20" t="e">
        <f t="shared" si="2"/>
        <v>#N/A</v>
      </c>
      <c r="R185" s="36"/>
      <c r="S185" s="18">
        <f>COUNTIF('Member List'!$C185:$J185,"&lt;&gt;")</f>
        <v>0</v>
      </c>
      <c r="T185" s="35"/>
      <c r="U185" s="24">
        <f t="shared" si="3"/>
        <v>0</v>
      </c>
      <c r="V185" s="18" t="e">
        <f t="shared" si="4"/>
        <v>#N/A</v>
      </c>
      <c r="W185" s="45" t="e">
        <f t="shared" si="5"/>
        <v>#N/A</v>
      </c>
      <c r="X185" s="20" t="e">
        <f t="shared" si="6"/>
        <v>#N/A</v>
      </c>
      <c r="Y185" s="46" t="e">
        <f t="shared" si="9"/>
        <v>#N/A</v>
      </c>
      <c r="Z185" s="39" t="e">
        <f t="shared" si="7"/>
        <v>#N/A</v>
      </c>
      <c r="AA185" s="39" t="e">
        <f t="shared" si="8"/>
        <v>#N/A</v>
      </c>
      <c r="AB185" s="39"/>
      <c r="AC185" s="48" t="e">
        <f t="shared" si="10"/>
        <v>#N/A</v>
      </c>
    </row>
    <row r="186" spans="1:29" ht="12.5" x14ac:dyDescent="0.25">
      <c r="A186" s="36"/>
      <c r="B186" s="33"/>
      <c r="C186" s="33"/>
      <c r="D186" s="33"/>
      <c r="E186" s="35"/>
      <c r="F186" s="21"/>
      <c r="G186" s="22" t="e">
        <f>VLOOKUP(E186,'Court List'!$A:$C,2,0)</f>
        <v>#N/A</v>
      </c>
      <c r="H186" s="33"/>
      <c r="I186" s="33"/>
      <c r="J186" s="44" t="e">
        <f t="shared" si="0"/>
        <v>#N/A</v>
      </c>
      <c r="K186" s="36"/>
      <c r="L186" s="18">
        <f>SUM('Shuttle Count - Supreme (Nov 20'!C186:D186)</f>
        <v>0</v>
      </c>
      <c r="M186" s="18" t="e">
        <f>VLOOKUP(K186,'Shuttle Purchase'!A:C,3,0)</f>
        <v>#N/A</v>
      </c>
      <c r="N186" s="44" t="e">
        <f t="shared" si="15"/>
        <v>#N/A</v>
      </c>
      <c r="O186" s="24" t="e">
        <f>VLOOKUP(E186,'Court List'!$A:$C,3,0)</f>
        <v>#N/A</v>
      </c>
      <c r="P186" s="18">
        <f>COUNTIF('Pub List'!$C186:$T186,"&lt;&gt;")</f>
        <v>0</v>
      </c>
      <c r="Q186" s="20" t="e">
        <f t="shared" si="2"/>
        <v>#N/A</v>
      </c>
      <c r="R186" s="36"/>
      <c r="S186" s="18">
        <f>COUNTIF('Member List'!$C186:$J186,"&lt;&gt;")</f>
        <v>0</v>
      </c>
      <c r="T186" s="35"/>
      <c r="U186" s="24">
        <f t="shared" si="3"/>
        <v>0</v>
      </c>
      <c r="V186" s="18" t="e">
        <f t="shared" si="4"/>
        <v>#N/A</v>
      </c>
      <c r="W186" s="45" t="e">
        <f t="shared" si="5"/>
        <v>#N/A</v>
      </c>
      <c r="X186" s="20" t="e">
        <f t="shared" si="6"/>
        <v>#N/A</v>
      </c>
      <c r="Y186" s="46" t="e">
        <f t="shared" si="9"/>
        <v>#N/A</v>
      </c>
      <c r="Z186" s="39" t="e">
        <f t="shared" si="7"/>
        <v>#N/A</v>
      </c>
      <c r="AA186" s="39" t="e">
        <f t="shared" si="8"/>
        <v>#N/A</v>
      </c>
      <c r="AB186" s="39"/>
      <c r="AC186" s="48" t="e">
        <f t="shared" si="10"/>
        <v>#N/A</v>
      </c>
    </row>
    <row r="187" spans="1:29" ht="12.5" x14ac:dyDescent="0.25">
      <c r="A187" s="36"/>
      <c r="B187" s="33"/>
      <c r="C187" s="33"/>
      <c r="D187" s="33"/>
      <c r="E187" s="35"/>
      <c r="F187" s="21"/>
      <c r="G187" s="22" t="e">
        <f>VLOOKUP(E187,'Court List'!$A:$C,2,0)</f>
        <v>#N/A</v>
      </c>
      <c r="H187" s="33"/>
      <c r="I187" s="33"/>
      <c r="J187" s="44" t="e">
        <f t="shared" si="0"/>
        <v>#N/A</v>
      </c>
      <c r="K187" s="36"/>
      <c r="L187" s="18">
        <f>SUM('Shuttle Count - Supreme (Nov 20'!C187:D187)</f>
        <v>0</v>
      </c>
      <c r="M187" s="18" t="e">
        <f>VLOOKUP(K187,'Shuttle Purchase'!A:C,3,0)</f>
        <v>#N/A</v>
      </c>
      <c r="N187" s="44" t="e">
        <f t="shared" si="15"/>
        <v>#N/A</v>
      </c>
      <c r="O187" s="24" t="e">
        <f>VLOOKUP(E187,'Court List'!$A:$C,3,0)</f>
        <v>#N/A</v>
      </c>
      <c r="P187" s="18">
        <f>COUNTIF('Pub List'!$C187:$T187,"&lt;&gt;")</f>
        <v>0</v>
      </c>
      <c r="Q187" s="20" t="e">
        <f t="shared" si="2"/>
        <v>#N/A</v>
      </c>
      <c r="R187" s="36"/>
      <c r="S187" s="18">
        <f>COUNTIF('Member List'!$C187:$J187,"&lt;&gt;")</f>
        <v>0</v>
      </c>
      <c r="T187" s="35"/>
      <c r="U187" s="24">
        <f t="shared" si="3"/>
        <v>0</v>
      </c>
      <c r="V187" s="18" t="e">
        <f t="shared" si="4"/>
        <v>#N/A</v>
      </c>
      <c r="W187" s="45" t="e">
        <f t="shared" si="5"/>
        <v>#N/A</v>
      </c>
      <c r="X187" s="20" t="e">
        <f t="shared" si="6"/>
        <v>#N/A</v>
      </c>
      <c r="Y187" s="46" t="e">
        <f t="shared" si="9"/>
        <v>#N/A</v>
      </c>
      <c r="Z187" s="39" t="e">
        <f t="shared" si="7"/>
        <v>#N/A</v>
      </c>
      <c r="AA187" s="39" t="e">
        <f t="shared" si="8"/>
        <v>#N/A</v>
      </c>
      <c r="AB187" s="39"/>
      <c r="AC187" s="48" t="e">
        <f t="shared" si="10"/>
        <v>#N/A</v>
      </c>
    </row>
    <row r="188" spans="1:29" ht="12.5" x14ac:dyDescent="0.25">
      <c r="A188" s="36"/>
      <c r="B188" s="33"/>
      <c r="C188" s="33"/>
      <c r="D188" s="33"/>
      <c r="E188" s="35"/>
      <c r="F188" s="21"/>
      <c r="G188" s="22" t="e">
        <f>VLOOKUP(E188,'Court List'!$A:$C,2,0)</f>
        <v>#N/A</v>
      </c>
      <c r="H188" s="33"/>
      <c r="I188" s="33"/>
      <c r="J188" s="44" t="e">
        <f t="shared" si="0"/>
        <v>#N/A</v>
      </c>
      <c r="K188" s="36"/>
      <c r="L188" s="18">
        <f>SUM('Shuttle Count - Supreme (Nov 20'!C188:D188)</f>
        <v>0</v>
      </c>
      <c r="M188" s="18" t="e">
        <f>VLOOKUP(K188,'Shuttle Purchase'!A:C,3,0)</f>
        <v>#N/A</v>
      </c>
      <c r="N188" s="44" t="e">
        <f t="shared" si="15"/>
        <v>#N/A</v>
      </c>
      <c r="O188" s="24" t="e">
        <f>VLOOKUP(E188,'Court List'!$A:$C,3,0)</f>
        <v>#N/A</v>
      </c>
      <c r="P188" s="18">
        <f>COUNTIF('Pub List'!$C188:$T188,"&lt;&gt;")</f>
        <v>0</v>
      </c>
      <c r="Q188" s="20" t="e">
        <f t="shared" si="2"/>
        <v>#N/A</v>
      </c>
      <c r="R188" s="36"/>
      <c r="S188" s="18">
        <f>COUNTIF('Member List'!$C188:$J188,"&lt;&gt;")</f>
        <v>0</v>
      </c>
      <c r="T188" s="35"/>
      <c r="U188" s="24">
        <f t="shared" si="3"/>
        <v>0</v>
      </c>
      <c r="V188" s="18" t="e">
        <f t="shared" si="4"/>
        <v>#N/A</v>
      </c>
      <c r="W188" s="45" t="e">
        <f t="shared" si="5"/>
        <v>#N/A</v>
      </c>
      <c r="X188" s="20" t="e">
        <f t="shared" si="6"/>
        <v>#N/A</v>
      </c>
      <c r="Y188" s="46" t="e">
        <f t="shared" si="9"/>
        <v>#N/A</v>
      </c>
      <c r="Z188" s="39" t="e">
        <f t="shared" si="7"/>
        <v>#N/A</v>
      </c>
      <c r="AA188" s="39" t="e">
        <f t="shared" si="8"/>
        <v>#N/A</v>
      </c>
      <c r="AB188" s="39"/>
      <c r="AC188" s="48" t="e">
        <f t="shared" si="10"/>
        <v>#N/A</v>
      </c>
    </row>
    <row r="189" spans="1:29" ht="12.5" x14ac:dyDescent="0.25">
      <c r="A189" s="36"/>
      <c r="B189" s="33"/>
      <c r="C189" s="33"/>
      <c r="D189" s="33"/>
      <c r="E189" s="35"/>
      <c r="F189" s="21"/>
      <c r="G189" s="22" t="e">
        <f>VLOOKUP(E189,'Court List'!$A:$C,2,0)</f>
        <v>#N/A</v>
      </c>
      <c r="H189" s="33"/>
      <c r="I189" s="33"/>
      <c r="J189" s="44" t="e">
        <f t="shared" si="0"/>
        <v>#N/A</v>
      </c>
      <c r="K189" s="36"/>
      <c r="L189" s="18">
        <f>SUM('Shuttle Count - Supreme (Nov 20'!C189:D189)</f>
        <v>0</v>
      </c>
      <c r="M189" s="18" t="e">
        <f>VLOOKUP(K189,'Shuttle Purchase'!A:C,3,0)</f>
        <v>#N/A</v>
      </c>
      <c r="N189" s="44" t="e">
        <f t="shared" si="15"/>
        <v>#N/A</v>
      </c>
      <c r="O189" s="24" t="e">
        <f>VLOOKUP(E189,'Court List'!$A:$C,3,0)</f>
        <v>#N/A</v>
      </c>
      <c r="P189" s="18">
        <f>COUNTIF('Pub List'!$C189:$T189,"&lt;&gt;")</f>
        <v>0</v>
      </c>
      <c r="Q189" s="20" t="e">
        <f t="shared" si="2"/>
        <v>#N/A</v>
      </c>
      <c r="R189" s="36"/>
      <c r="S189" s="18">
        <f>COUNTIF('Member List'!$C189:$J189,"&lt;&gt;")</f>
        <v>0</v>
      </c>
      <c r="T189" s="35"/>
      <c r="U189" s="24">
        <f t="shared" si="3"/>
        <v>0</v>
      </c>
      <c r="V189" s="18" t="e">
        <f t="shared" si="4"/>
        <v>#N/A</v>
      </c>
      <c r="W189" s="45" t="e">
        <f t="shared" si="5"/>
        <v>#N/A</v>
      </c>
      <c r="X189" s="20" t="e">
        <f t="shared" si="6"/>
        <v>#N/A</v>
      </c>
      <c r="Y189" s="46" t="e">
        <f t="shared" si="9"/>
        <v>#N/A</v>
      </c>
      <c r="Z189" s="39" t="e">
        <f t="shared" si="7"/>
        <v>#N/A</v>
      </c>
      <c r="AA189" s="39" t="e">
        <f t="shared" si="8"/>
        <v>#N/A</v>
      </c>
      <c r="AB189" s="39"/>
      <c r="AC189" s="48" t="e">
        <f t="shared" si="10"/>
        <v>#N/A</v>
      </c>
    </row>
    <row r="190" spans="1:29" ht="12.5" x14ac:dyDescent="0.25">
      <c r="A190" s="36"/>
      <c r="B190" s="33"/>
      <c r="C190" s="33"/>
      <c r="D190" s="33"/>
      <c r="E190" s="35"/>
      <c r="F190" s="21"/>
      <c r="G190" s="22" t="e">
        <f>VLOOKUP(E190,'Court List'!$A:$C,2,0)</f>
        <v>#N/A</v>
      </c>
      <c r="H190" s="33"/>
      <c r="I190" s="33"/>
      <c r="J190" s="44" t="e">
        <f t="shared" si="0"/>
        <v>#N/A</v>
      </c>
      <c r="K190" s="36"/>
      <c r="L190" s="18">
        <f>SUM('Shuttle Count - Supreme (Nov 20'!C190:D190)</f>
        <v>0</v>
      </c>
      <c r="M190" s="18" t="e">
        <f>VLOOKUP(K190,'Shuttle Purchase'!A:C,3,0)</f>
        <v>#N/A</v>
      </c>
      <c r="N190" s="44" t="e">
        <f t="shared" si="15"/>
        <v>#N/A</v>
      </c>
      <c r="O190" s="24" t="e">
        <f>VLOOKUP(E190,'Court List'!$A:$C,3,0)</f>
        <v>#N/A</v>
      </c>
      <c r="P190" s="18">
        <f>COUNTIF('Pub List'!$C190:$T190,"&lt;&gt;")</f>
        <v>0</v>
      </c>
      <c r="Q190" s="20" t="e">
        <f t="shared" si="2"/>
        <v>#N/A</v>
      </c>
      <c r="R190" s="36"/>
      <c r="S190" s="18">
        <f>COUNTIF('Member List'!$C190:$J190,"&lt;&gt;")</f>
        <v>0</v>
      </c>
      <c r="T190" s="35"/>
      <c r="U190" s="24">
        <f t="shared" si="3"/>
        <v>0</v>
      </c>
      <c r="V190" s="18" t="e">
        <f t="shared" si="4"/>
        <v>#N/A</v>
      </c>
      <c r="W190" s="45" t="e">
        <f t="shared" si="5"/>
        <v>#N/A</v>
      </c>
      <c r="X190" s="20" t="e">
        <f t="shared" si="6"/>
        <v>#N/A</v>
      </c>
      <c r="Y190" s="46" t="e">
        <f t="shared" si="9"/>
        <v>#N/A</v>
      </c>
      <c r="Z190" s="39" t="e">
        <f t="shared" si="7"/>
        <v>#N/A</v>
      </c>
      <c r="AA190" s="39" t="e">
        <f t="shared" si="8"/>
        <v>#N/A</v>
      </c>
      <c r="AB190" s="39"/>
      <c r="AC190" s="48" t="e">
        <f t="shared" si="10"/>
        <v>#N/A</v>
      </c>
    </row>
    <row r="191" spans="1:29" ht="12.5" x14ac:dyDescent="0.25">
      <c r="A191" s="36"/>
      <c r="B191" s="33"/>
      <c r="C191" s="33"/>
      <c r="D191" s="33"/>
      <c r="E191" s="35"/>
      <c r="F191" s="21"/>
      <c r="G191" s="22" t="e">
        <f>VLOOKUP(E191,'Court List'!$A:$C,2,0)</f>
        <v>#N/A</v>
      </c>
      <c r="H191" s="33"/>
      <c r="I191" s="33"/>
      <c r="J191" s="44" t="e">
        <f t="shared" si="0"/>
        <v>#N/A</v>
      </c>
      <c r="K191" s="36"/>
      <c r="L191" s="18">
        <f>SUM('Shuttle Count - Supreme (Nov 20'!C191:D191)</f>
        <v>0</v>
      </c>
      <c r="M191" s="18" t="e">
        <f>VLOOKUP(K191,'Shuttle Purchase'!A:C,3,0)</f>
        <v>#N/A</v>
      </c>
      <c r="N191" s="44" t="e">
        <f t="shared" si="15"/>
        <v>#N/A</v>
      </c>
      <c r="O191" s="24" t="e">
        <f>VLOOKUP(E191,'Court List'!$A:$C,3,0)</f>
        <v>#N/A</v>
      </c>
      <c r="P191" s="18">
        <f>COUNTIF('Pub List'!$C191:$T191,"&lt;&gt;")</f>
        <v>0</v>
      </c>
      <c r="Q191" s="20" t="e">
        <f t="shared" si="2"/>
        <v>#N/A</v>
      </c>
      <c r="R191" s="36"/>
      <c r="S191" s="18">
        <f>COUNTIF('Member List'!$C191:$J191,"&lt;&gt;")</f>
        <v>0</v>
      </c>
      <c r="T191" s="35"/>
      <c r="U191" s="24">
        <f t="shared" si="3"/>
        <v>0</v>
      </c>
      <c r="V191" s="18" t="e">
        <f t="shared" si="4"/>
        <v>#N/A</v>
      </c>
      <c r="W191" s="45" t="e">
        <f t="shared" si="5"/>
        <v>#N/A</v>
      </c>
      <c r="X191" s="20" t="e">
        <f t="shared" si="6"/>
        <v>#N/A</v>
      </c>
      <c r="Y191" s="46" t="e">
        <f t="shared" si="9"/>
        <v>#N/A</v>
      </c>
      <c r="Z191" s="39" t="e">
        <f t="shared" si="7"/>
        <v>#N/A</v>
      </c>
      <c r="AA191" s="39" t="e">
        <f t="shared" si="8"/>
        <v>#N/A</v>
      </c>
      <c r="AB191" s="39"/>
      <c r="AC191" s="48" t="e">
        <f t="shared" si="10"/>
        <v>#N/A</v>
      </c>
    </row>
    <row r="192" spans="1:29" ht="12.5" x14ac:dyDescent="0.25">
      <c r="A192" s="36"/>
      <c r="B192" s="33"/>
      <c r="C192" s="33"/>
      <c r="D192" s="33"/>
      <c r="E192" s="35"/>
      <c r="F192" s="21"/>
      <c r="G192" s="22" t="e">
        <f>VLOOKUP(E192,'Court List'!$A:$C,2,0)</f>
        <v>#N/A</v>
      </c>
      <c r="H192" s="33"/>
      <c r="I192" s="33"/>
      <c r="J192" s="44" t="e">
        <f t="shared" si="0"/>
        <v>#N/A</v>
      </c>
      <c r="K192" s="36"/>
      <c r="L192" s="18">
        <f>SUM('Shuttle Count - Supreme (Nov 20'!C192:D192)</f>
        <v>0</v>
      </c>
      <c r="M192" s="18" t="e">
        <f>VLOOKUP(K192,'Shuttle Purchase'!A:C,3,0)</f>
        <v>#N/A</v>
      </c>
      <c r="N192" s="44" t="e">
        <f t="shared" si="15"/>
        <v>#N/A</v>
      </c>
      <c r="O192" s="24" t="e">
        <f>VLOOKUP(E192,'Court List'!$A:$C,3,0)</f>
        <v>#N/A</v>
      </c>
      <c r="P192" s="18">
        <f>COUNTIF('Pub List'!$C192:$T192,"&lt;&gt;")</f>
        <v>0</v>
      </c>
      <c r="Q192" s="20" t="e">
        <f t="shared" si="2"/>
        <v>#N/A</v>
      </c>
      <c r="R192" s="36"/>
      <c r="S192" s="18">
        <f>COUNTIF('Member List'!$C192:$J192,"&lt;&gt;")</f>
        <v>0</v>
      </c>
      <c r="T192" s="35"/>
      <c r="U192" s="24">
        <f t="shared" si="3"/>
        <v>0</v>
      </c>
      <c r="V192" s="18" t="e">
        <f t="shared" si="4"/>
        <v>#N/A</v>
      </c>
      <c r="W192" s="45" t="e">
        <f t="shared" si="5"/>
        <v>#N/A</v>
      </c>
      <c r="X192" s="20" t="e">
        <f t="shared" si="6"/>
        <v>#N/A</v>
      </c>
      <c r="Y192" s="46" t="e">
        <f t="shared" si="9"/>
        <v>#N/A</v>
      </c>
      <c r="Z192" s="39" t="e">
        <f t="shared" si="7"/>
        <v>#N/A</v>
      </c>
      <c r="AA192" s="39" t="e">
        <f t="shared" si="8"/>
        <v>#N/A</v>
      </c>
      <c r="AB192" s="39"/>
      <c r="AC192" s="48" t="e">
        <f t="shared" si="10"/>
        <v>#N/A</v>
      </c>
    </row>
    <row r="193" spans="1:29" ht="12.5" x14ac:dyDescent="0.25">
      <c r="A193" s="36"/>
      <c r="B193" s="33"/>
      <c r="C193" s="33"/>
      <c r="D193" s="33"/>
      <c r="E193" s="35"/>
      <c r="F193" s="21"/>
      <c r="G193" s="22" t="e">
        <f>VLOOKUP(E193,'Court List'!$A:$C,2,0)</f>
        <v>#N/A</v>
      </c>
      <c r="H193" s="33"/>
      <c r="I193" s="33"/>
      <c r="J193" s="44" t="e">
        <f t="shared" si="0"/>
        <v>#N/A</v>
      </c>
      <c r="K193" s="36"/>
      <c r="L193" s="18">
        <f>SUM('Shuttle Count - Supreme (Nov 20'!C193:D193)</f>
        <v>0</v>
      </c>
      <c r="M193" s="18" t="e">
        <f>VLOOKUP(K193,'Shuttle Purchase'!A:C,3,0)</f>
        <v>#N/A</v>
      </c>
      <c r="N193" s="44" t="e">
        <f t="shared" si="15"/>
        <v>#N/A</v>
      </c>
      <c r="O193" s="24" t="e">
        <f>VLOOKUP(E193,'Court List'!$A:$C,3,0)</f>
        <v>#N/A</v>
      </c>
      <c r="P193" s="18">
        <f>COUNTIF('Pub List'!$C193:$T193,"&lt;&gt;")</f>
        <v>0</v>
      </c>
      <c r="Q193" s="20" t="e">
        <f t="shared" si="2"/>
        <v>#N/A</v>
      </c>
      <c r="R193" s="36"/>
      <c r="S193" s="18">
        <f>COUNTIF('Member List'!$C193:$J193,"&lt;&gt;")</f>
        <v>0</v>
      </c>
      <c r="T193" s="35"/>
      <c r="U193" s="24">
        <f t="shared" si="3"/>
        <v>0</v>
      </c>
      <c r="V193" s="18" t="e">
        <f t="shared" si="4"/>
        <v>#N/A</v>
      </c>
      <c r="W193" s="45" t="e">
        <f t="shared" si="5"/>
        <v>#N/A</v>
      </c>
      <c r="X193" s="20" t="e">
        <f t="shared" si="6"/>
        <v>#N/A</v>
      </c>
      <c r="Y193" s="46" t="e">
        <f t="shared" si="9"/>
        <v>#N/A</v>
      </c>
      <c r="Z193" s="39" t="e">
        <f t="shared" si="7"/>
        <v>#N/A</v>
      </c>
      <c r="AA193" s="39" t="e">
        <f t="shared" si="8"/>
        <v>#N/A</v>
      </c>
      <c r="AB193" s="39"/>
      <c r="AC193" s="48" t="e">
        <f t="shared" si="10"/>
        <v>#N/A</v>
      </c>
    </row>
    <row r="194" spans="1:29" ht="12.5" x14ac:dyDescent="0.25">
      <c r="A194" s="36"/>
      <c r="B194" s="33"/>
      <c r="C194" s="33"/>
      <c r="D194" s="33"/>
      <c r="E194" s="35"/>
      <c r="F194" s="21"/>
      <c r="G194" s="22" t="e">
        <f>VLOOKUP(E194,'Court List'!$A:$C,2,0)</f>
        <v>#N/A</v>
      </c>
      <c r="H194" s="33"/>
      <c r="I194" s="33"/>
      <c r="J194" s="44" t="e">
        <f t="shared" si="0"/>
        <v>#N/A</v>
      </c>
      <c r="K194" s="36"/>
      <c r="L194" s="18">
        <f>SUM('Shuttle Count - Supreme (Nov 20'!C194:D194)</f>
        <v>0</v>
      </c>
      <c r="M194" s="18" t="e">
        <f>VLOOKUP(K194,'Shuttle Purchase'!A:C,3,0)</f>
        <v>#N/A</v>
      </c>
      <c r="N194" s="44" t="e">
        <f t="shared" si="15"/>
        <v>#N/A</v>
      </c>
      <c r="O194" s="24" t="e">
        <f>VLOOKUP(E194,'Court List'!$A:$C,3,0)</f>
        <v>#N/A</v>
      </c>
      <c r="P194" s="18">
        <f>COUNTIF('Pub List'!$C194:$T194,"&lt;&gt;")</f>
        <v>0</v>
      </c>
      <c r="Q194" s="20" t="e">
        <f t="shared" si="2"/>
        <v>#N/A</v>
      </c>
      <c r="R194" s="36"/>
      <c r="S194" s="18">
        <f>COUNTIF('Member List'!$C194:$J194,"&lt;&gt;")</f>
        <v>0</v>
      </c>
      <c r="T194" s="35"/>
      <c r="U194" s="24">
        <f t="shared" si="3"/>
        <v>0</v>
      </c>
      <c r="V194" s="18" t="e">
        <f t="shared" si="4"/>
        <v>#N/A</v>
      </c>
      <c r="W194" s="45" t="e">
        <f t="shared" si="5"/>
        <v>#N/A</v>
      </c>
      <c r="X194" s="20" t="e">
        <f t="shared" si="6"/>
        <v>#N/A</v>
      </c>
      <c r="Y194" s="46" t="e">
        <f t="shared" si="9"/>
        <v>#N/A</v>
      </c>
      <c r="Z194" s="39" t="e">
        <f t="shared" si="7"/>
        <v>#N/A</v>
      </c>
      <c r="AA194" s="39" t="e">
        <f t="shared" si="8"/>
        <v>#N/A</v>
      </c>
      <c r="AB194" s="39"/>
      <c r="AC194" s="48" t="e">
        <f t="shared" si="10"/>
        <v>#N/A</v>
      </c>
    </row>
    <row r="195" spans="1:29" ht="12.5" x14ac:dyDescent="0.25">
      <c r="A195" s="36"/>
      <c r="B195" s="33"/>
      <c r="C195" s="33"/>
      <c r="D195" s="33"/>
      <c r="E195" s="35"/>
      <c r="F195" s="21"/>
      <c r="G195" s="22" t="e">
        <f>VLOOKUP(E195,'Court List'!$A:$C,2,0)</f>
        <v>#N/A</v>
      </c>
      <c r="H195" s="33"/>
      <c r="I195" s="33"/>
      <c r="J195" s="44" t="e">
        <f t="shared" si="0"/>
        <v>#N/A</v>
      </c>
      <c r="K195" s="36"/>
      <c r="L195" s="18">
        <f>SUM('Shuttle Count - Supreme (Nov 20'!C195:D195)</f>
        <v>0</v>
      </c>
      <c r="M195" s="18" t="e">
        <f>VLOOKUP(K195,'Shuttle Purchase'!A:C,3,0)</f>
        <v>#N/A</v>
      </c>
      <c r="N195" s="44" t="e">
        <f t="shared" si="15"/>
        <v>#N/A</v>
      </c>
      <c r="O195" s="24" t="e">
        <f>VLOOKUP(E195,'Court List'!$A:$C,3,0)</f>
        <v>#N/A</v>
      </c>
      <c r="P195" s="18">
        <f>COUNTIF('Pub List'!$C195:$T195,"&lt;&gt;")</f>
        <v>0</v>
      </c>
      <c r="Q195" s="20" t="e">
        <f t="shared" si="2"/>
        <v>#N/A</v>
      </c>
      <c r="R195" s="36"/>
      <c r="S195" s="18">
        <f>COUNTIF('Member List'!$C195:$J195,"&lt;&gt;")</f>
        <v>0</v>
      </c>
      <c r="T195" s="35"/>
      <c r="U195" s="24">
        <f t="shared" si="3"/>
        <v>0</v>
      </c>
      <c r="V195" s="18" t="e">
        <f t="shared" si="4"/>
        <v>#N/A</v>
      </c>
      <c r="W195" s="45" t="e">
        <f t="shared" si="5"/>
        <v>#N/A</v>
      </c>
      <c r="X195" s="20" t="e">
        <f t="shared" si="6"/>
        <v>#N/A</v>
      </c>
      <c r="Y195" s="46" t="e">
        <f t="shared" si="9"/>
        <v>#N/A</v>
      </c>
      <c r="Z195" s="39" t="e">
        <f t="shared" si="7"/>
        <v>#N/A</v>
      </c>
      <c r="AA195" s="39" t="e">
        <f t="shared" si="8"/>
        <v>#N/A</v>
      </c>
      <c r="AB195" s="39"/>
      <c r="AC195" s="48" t="e">
        <f t="shared" si="10"/>
        <v>#N/A</v>
      </c>
    </row>
    <row r="196" spans="1:29" ht="12.5" x14ac:dyDescent="0.25">
      <c r="A196" s="36"/>
      <c r="B196" s="33"/>
      <c r="C196" s="33"/>
      <c r="D196" s="33"/>
      <c r="E196" s="35"/>
      <c r="F196" s="21"/>
      <c r="G196" s="22" t="e">
        <f>VLOOKUP(E196,'Court List'!$A:$C,2,0)</f>
        <v>#N/A</v>
      </c>
      <c r="H196" s="33"/>
      <c r="I196" s="33"/>
      <c r="J196" s="44" t="e">
        <f t="shared" si="0"/>
        <v>#N/A</v>
      </c>
      <c r="K196" s="36"/>
      <c r="L196" s="18">
        <f>SUM('Shuttle Count - Supreme (Nov 20'!C196:D196)</f>
        <v>0</v>
      </c>
      <c r="M196" s="18" t="e">
        <f>VLOOKUP(K196,'Shuttle Purchase'!A:C,3,0)</f>
        <v>#N/A</v>
      </c>
      <c r="N196" s="44" t="e">
        <f t="shared" si="15"/>
        <v>#N/A</v>
      </c>
      <c r="O196" s="24" t="e">
        <f>VLOOKUP(E196,'Court List'!$A:$C,3,0)</f>
        <v>#N/A</v>
      </c>
      <c r="P196" s="18">
        <f>COUNTIF('Pub List'!$C196:$T196,"&lt;&gt;")</f>
        <v>0</v>
      </c>
      <c r="Q196" s="20" t="e">
        <f t="shared" si="2"/>
        <v>#N/A</v>
      </c>
      <c r="R196" s="36"/>
      <c r="S196" s="18">
        <f>COUNTIF('Member List'!$C196:$J196,"&lt;&gt;")</f>
        <v>0</v>
      </c>
      <c r="T196" s="35"/>
      <c r="U196" s="24">
        <f t="shared" si="3"/>
        <v>0</v>
      </c>
      <c r="V196" s="18" t="e">
        <f t="shared" si="4"/>
        <v>#N/A</v>
      </c>
      <c r="W196" s="45" t="e">
        <f t="shared" si="5"/>
        <v>#N/A</v>
      </c>
      <c r="X196" s="20" t="e">
        <f t="shared" si="6"/>
        <v>#N/A</v>
      </c>
      <c r="Y196" s="46" t="e">
        <f t="shared" si="9"/>
        <v>#N/A</v>
      </c>
      <c r="Z196" s="39" t="e">
        <f t="shared" si="7"/>
        <v>#N/A</v>
      </c>
      <c r="AA196" s="39" t="e">
        <f t="shared" si="8"/>
        <v>#N/A</v>
      </c>
      <c r="AB196" s="39"/>
      <c r="AC196" s="48" t="e">
        <f t="shared" si="10"/>
        <v>#N/A</v>
      </c>
    </row>
    <row r="197" spans="1:29" ht="12.5" x14ac:dyDescent="0.25">
      <c r="A197" s="36"/>
      <c r="B197" s="33"/>
      <c r="C197" s="33"/>
      <c r="D197" s="33"/>
      <c r="E197" s="35"/>
      <c r="F197" s="21"/>
      <c r="G197" s="22" t="e">
        <f>VLOOKUP(E197,'Court List'!$A:$C,2,0)</f>
        <v>#N/A</v>
      </c>
      <c r="H197" s="33"/>
      <c r="I197" s="33"/>
      <c r="J197" s="44" t="e">
        <f t="shared" si="0"/>
        <v>#N/A</v>
      </c>
      <c r="K197" s="36"/>
      <c r="L197" s="18">
        <f>SUM('Shuttle Count - Supreme (Nov 20'!C197:D197)</f>
        <v>0</v>
      </c>
      <c r="M197" s="18" t="e">
        <f>VLOOKUP(K197,'Shuttle Purchase'!A:C,3,0)</f>
        <v>#N/A</v>
      </c>
      <c r="N197" s="44" t="e">
        <f t="shared" si="15"/>
        <v>#N/A</v>
      </c>
      <c r="O197" s="24" t="e">
        <f>VLOOKUP(E197,'Court List'!$A:$C,3,0)</f>
        <v>#N/A</v>
      </c>
      <c r="P197" s="18">
        <f>COUNTIF('Pub List'!$C197:$T197,"&lt;&gt;")</f>
        <v>0</v>
      </c>
      <c r="Q197" s="20" t="e">
        <f t="shared" si="2"/>
        <v>#N/A</v>
      </c>
      <c r="R197" s="36"/>
      <c r="S197" s="18">
        <f>COUNTIF('Member List'!$C197:$J197,"&lt;&gt;")</f>
        <v>0</v>
      </c>
      <c r="T197" s="35"/>
      <c r="U197" s="24">
        <f t="shared" si="3"/>
        <v>0</v>
      </c>
      <c r="V197" s="18" t="e">
        <f t="shared" si="4"/>
        <v>#N/A</v>
      </c>
      <c r="W197" s="45" t="e">
        <f t="shared" si="5"/>
        <v>#N/A</v>
      </c>
      <c r="X197" s="20" t="e">
        <f t="shared" si="6"/>
        <v>#N/A</v>
      </c>
      <c r="Y197" s="46" t="e">
        <f t="shared" si="9"/>
        <v>#N/A</v>
      </c>
      <c r="Z197" s="39" t="e">
        <f t="shared" si="7"/>
        <v>#N/A</v>
      </c>
      <c r="AA197" s="39" t="e">
        <f t="shared" si="8"/>
        <v>#N/A</v>
      </c>
      <c r="AB197" s="39"/>
      <c r="AC197" s="48" t="e">
        <f t="shared" si="10"/>
        <v>#N/A</v>
      </c>
    </row>
    <row r="198" spans="1:29" ht="12.5" x14ac:dyDescent="0.25">
      <c r="A198" s="36"/>
      <c r="B198" s="33"/>
      <c r="C198" s="33"/>
      <c r="D198" s="33"/>
      <c r="E198" s="35"/>
      <c r="F198" s="21"/>
      <c r="G198" s="22" t="e">
        <f>VLOOKUP(E198,'Court List'!$A:$C,2,0)</f>
        <v>#N/A</v>
      </c>
      <c r="H198" s="33"/>
      <c r="I198" s="33"/>
      <c r="J198" s="44" t="e">
        <f t="shared" si="0"/>
        <v>#N/A</v>
      </c>
      <c r="K198" s="36"/>
      <c r="L198" s="18">
        <f>SUM('Shuttle Count - Supreme (Nov 20'!C198:D198)</f>
        <v>0</v>
      </c>
      <c r="M198" s="18" t="e">
        <f>VLOOKUP(K198,'Shuttle Purchase'!A:C,3,0)</f>
        <v>#N/A</v>
      </c>
      <c r="N198" s="44" t="e">
        <f t="shared" si="15"/>
        <v>#N/A</v>
      </c>
      <c r="O198" s="24" t="e">
        <f>VLOOKUP(E198,'Court List'!$A:$C,3,0)</f>
        <v>#N/A</v>
      </c>
      <c r="P198" s="18">
        <f>COUNTIF('Pub List'!$C198:$T198,"&lt;&gt;")</f>
        <v>0</v>
      </c>
      <c r="Q198" s="20" t="e">
        <f t="shared" si="2"/>
        <v>#N/A</v>
      </c>
      <c r="R198" s="36"/>
      <c r="S198" s="18">
        <f>COUNTIF('Member List'!$C198:$J198,"&lt;&gt;")</f>
        <v>0</v>
      </c>
      <c r="T198" s="35"/>
      <c r="U198" s="24">
        <f t="shared" si="3"/>
        <v>0</v>
      </c>
      <c r="V198" s="18" t="e">
        <f t="shared" si="4"/>
        <v>#N/A</v>
      </c>
      <c r="W198" s="45" t="e">
        <f t="shared" si="5"/>
        <v>#N/A</v>
      </c>
      <c r="X198" s="20" t="e">
        <f t="shared" si="6"/>
        <v>#N/A</v>
      </c>
      <c r="Y198" s="46" t="e">
        <f t="shared" si="9"/>
        <v>#N/A</v>
      </c>
      <c r="Z198" s="39" t="e">
        <f t="shared" si="7"/>
        <v>#N/A</v>
      </c>
      <c r="AA198" s="39" t="e">
        <f t="shared" si="8"/>
        <v>#N/A</v>
      </c>
      <c r="AB198" s="39"/>
      <c r="AC198" s="48" t="e">
        <f t="shared" si="10"/>
        <v>#N/A</v>
      </c>
    </row>
    <row r="199" spans="1:29" ht="12.5" x14ac:dyDescent="0.25">
      <c r="A199" s="36"/>
      <c r="B199" s="33"/>
      <c r="C199" s="33"/>
      <c r="D199" s="33"/>
      <c r="E199" s="35"/>
      <c r="F199" s="21"/>
      <c r="G199" s="22" t="e">
        <f>VLOOKUP(E199,'Court List'!$A:$C,2,0)</f>
        <v>#N/A</v>
      </c>
      <c r="H199" s="33"/>
      <c r="I199" s="33"/>
      <c r="J199" s="44" t="e">
        <f t="shared" si="0"/>
        <v>#N/A</v>
      </c>
      <c r="K199" s="36"/>
      <c r="L199" s="18">
        <f>SUM('Shuttle Count - Supreme (Nov 20'!C199:D199)</f>
        <v>0</v>
      </c>
      <c r="M199" s="18" t="e">
        <f>VLOOKUP(K199,'Shuttle Purchase'!A:C,3,0)</f>
        <v>#N/A</v>
      </c>
      <c r="N199" s="44" t="e">
        <f t="shared" si="15"/>
        <v>#N/A</v>
      </c>
      <c r="O199" s="24" t="e">
        <f>VLOOKUP(E199,'Court List'!$A:$C,3,0)</f>
        <v>#N/A</v>
      </c>
      <c r="P199" s="18">
        <f>COUNTIF('Pub List'!$C199:$T199,"&lt;&gt;")</f>
        <v>0</v>
      </c>
      <c r="Q199" s="20" t="e">
        <f t="shared" si="2"/>
        <v>#N/A</v>
      </c>
      <c r="R199" s="36"/>
      <c r="S199" s="18">
        <f>COUNTIF('Member List'!$C199:$J199,"&lt;&gt;")</f>
        <v>0</v>
      </c>
      <c r="T199" s="35"/>
      <c r="U199" s="24">
        <f t="shared" si="3"/>
        <v>0</v>
      </c>
      <c r="V199" s="18" t="e">
        <f t="shared" si="4"/>
        <v>#N/A</v>
      </c>
      <c r="W199" s="45" t="e">
        <f t="shared" si="5"/>
        <v>#N/A</v>
      </c>
      <c r="X199" s="20" t="e">
        <f t="shared" si="6"/>
        <v>#N/A</v>
      </c>
      <c r="Y199" s="46" t="e">
        <f t="shared" si="9"/>
        <v>#N/A</v>
      </c>
      <c r="Z199" s="39" t="e">
        <f t="shared" si="7"/>
        <v>#N/A</v>
      </c>
      <c r="AA199" s="39" t="e">
        <f t="shared" si="8"/>
        <v>#N/A</v>
      </c>
      <c r="AB199" s="39"/>
      <c r="AC199" s="48" t="e">
        <f t="shared" si="10"/>
        <v>#N/A</v>
      </c>
    </row>
    <row r="200" spans="1:29" ht="12.5" x14ac:dyDescent="0.25">
      <c r="A200" s="36"/>
      <c r="B200" s="33"/>
      <c r="C200" s="33"/>
      <c r="D200" s="33"/>
      <c r="E200" s="35"/>
      <c r="F200" s="21"/>
      <c r="G200" s="22" t="e">
        <f>VLOOKUP(E200,'Court List'!$A:$C,2,0)</f>
        <v>#N/A</v>
      </c>
      <c r="H200" s="33"/>
      <c r="I200" s="33"/>
      <c r="J200" s="44" t="e">
        <f t="shared" si="0"/>
        <v>#N/A</v>
      </c>
      <c r="K200" s="36"/>
      <c r="L200" s="18">
        <f>SUM('Shuttle Count - Supreme (Nov 20'!C200:D200)</f>
        <v>0</v>
      </c>
      <c r="M200" s="18" t="e">
        <f>VLOOKUP(K200,'Shuttle Purchase'!A:C,3,0)</f>
        <v>#N/A</v>
      </c>
      <c r="N200" s="44" t="e">
        <f t="shared" si="15"/>
        <v>#N/A</v>
      </c>
      <c r="O200" s="24" t="e">
        <f>VLOOKUP(E200,'Court List'!$A:$C,3,0)</f>
        <v>#N/A</v>
      </c>
      <c r="P200" s="18">
        <f>COUNTIF('Pub List'!$C200:$T200,"&lt;&gt;")</f>
        <v>0</v>
      </c>
      <c r="Q200" s="20" t="e">
        <f t="shared" si="2"/>
        <v>#N/A</v>
      </c>
      <c r="R200" s="36"/>
      <c r="S200" s="18">
        <f>COUNTIF('Member List'!$C200:$J200,"&lt;&gt;")</f>
        <v>0</v>
      </c>
      <c r="T200" s="35"/>
      <c r="U200" s="24">
        <f t="shared" si="3"/>
        <v>0</v>
      </c>
      <c r="V200" s="18" t="e">
        <f t="shared" si="4"/>
        <v>#N/A</v>
      </c>
      <c r="W200" s="45" t="e">
        <f t="shared" si="5"/>
        <v>#N/A</v>
      </c>
      <c r="X200" s="20" t="e">
        <f t="shared" si="6"/>
        <v>#N/A</v>
      </c>
      <c r="Y200" s="46" t="e">
        <f t="shared" si="9"/>
        <v>#N/A</v>
      </c>
      <c r="Z200" s="39" t="e">
        <f t="shared" si="7"/>
        <v>#N/A</v>
      </c>
      <c r="AA200" s="39" t="e">
        <f t="shared" si="8"/>
        <v>#N/A</v>
      </c>
      <c r="AB200" s="39"/>
      <c r="AC200" s="48" t="e">
        <f t="shared" si="10"/>
        <v>#N/A</v>
      </c>
    </row>
    <row r="201" spans="1:29" ht="12.5" x14ac:dyDescent="0.25">
      <c r="A201" s="36"/>
      <c r="B201" s="33"/>
      <c r="C201" s="33"/>
      <c r="D201" s="33"/>
      <c r="E201" s="35"/>
      <c r="F201" s="21"/>
      <c r="G201" s="22" t="e">
        <f>VLOOKUP(E201,'Court List'!$A:$C,2,0)</f>
        <v>#N/A</v>
      </c>
      <c r="H201" s="33"/>
      <c r="I201" s="33"/>
      <c r="J201" s="44" t="e">
        <f t="shared" si="0"/>
        <v>#N/A</v>
      </c>
      <c r="K201" s="36"/>
      <c r="L201" s="18">
        <f>SUM('Shuttle Count - Supreme (Nov 20'!C201:D201)</f>
        <v>0</v>
      </c>
      <c r="M201" s="18" t="e">
        <f>VLOOKUP(K201,'Shuttle Purchase'!A:C,3,0)</f>
        <v>#N/A</v>
      </c>
      <c r="N201" s="44" t="e">
        <f t="shared" si="15"/>
        <v>#N/A</v>
      </c>
      <c r="O201" s="24" t="e">
        <f>VLOOKUP(E201,'Court List'!$A:$C,3,0)</f>
        <v>#N/A</v>
      </c>
      <c r="P201" s="18">
        <f>COUNTIF('Pub List'!$C201:$T201,"&lt;&gt;")</f>
        <v>0</v>
      </c>
      <c r="Q201" s="20" t="e">
        <f t="shared" si="2"/>
        <v>#N/A</v>
      </c>
      <c r="R201" s="36"/>
      <c r="S201" s="18">
        <f>COUNTIF('Member List'!$C201:$J201,"&lt;&gt;")</f>
        <v>0</v>
      </c>
      <c r="T201" s="35"/>
      <c r="U201" s="24">
        <f t="shared" si="3"/>
        <v>0</v>
      </c>
      <c r="V201" s="18" t="e">
        <f t="shared" si="4"/>
        <v>#N/A</v>
      </c>
      <c r="W201" s="45" t="e">
        <f t="shared" si="5"/>
        <v>#N/A</v>
      </c>
      <c r="X201" s="20" t="e">
        <f t="shared" si="6"/>
        <v>#N/A</v>
      </c>
      <c r="Y201" s="46" t="e">
        <f t="shared" si="9"/>
        <v>#N/A</v>
      </c>
      <c r="Z201" s="39" t="e">
        <f t="shared" si="7"/>
        <v>#N/A</v>
      </c>
      <c r="AA201" s="39" t="e">
        <f t="shared" si="8"/>
        <v>#N/A</v>
      </c>
      <c r="AB201" s="39"/>
      <c r="AC201" s="48" t="e">
        <f t="shared" si="10"/>
        <v>#N/A</v>
      </c>
    </row>
    <row r="202" spans="1:29" ht="12.5" x14ac:dyDescent="0.25">
      <c r="A202" s="36"/>
      <c r="B202" s="33"/>
      <c r="C202" s="33"/>
      <c r="D202" s="33"/>
      <c r="E202" s="35"/>
      <c r="F202" s="21"/>
      <c r="G202" s="22" t="e">
        <f>VLOOKUP(E202,'Court List'!$A:$C,2,0)</f>
        <v>#N/A</v>
      </c>
      <c r="H202" s="33"/>
      <c r="I202" s="33"/>
      <c r="J202" s="44" t="e">
        <f t="shared" si="0"/>
        <v>#N/A</v>
      </c>
      <c r="K202" s="36"/>
      <c r="L202" s="18">
        <f>SUM('Shuttle Count - Supreme (Nov 20'!C202:D202)</f>
        <v>0</v>
      </c>
      <c r="M202" s="18" t="e">
        <f>VLOOKUP(K202,'Shuttle Purchase'!A:C,3,0)</f>
        <v>#N/A</v>
      </c>
      <c r="N202" s="44" t="e">
        <f t="shared" si="15"/>
        <v>#N/A</v>
      </c>
      <c r="O202" s="24" t="e">
        <f>VLOOKUP(E202,'Court List'!$A:$C,3,0)</f>
        <v>#N/A</v>
      </c>
      <c r="P202" s="18">
        <f>COUNTIF('Pub List'!$C202:$T202,"&lt;&gt;")</f>
        <v>0</v>
      </c>
      <c r="Q202" s="20" t="e">
        <f t="shared" si="2"/>
        <v>#N/A</v>
      </c>
      <c r="R202" s="36"/>
      <c r="S202" s="18">
        <f>COUNTIF('Member List'!$C202:$J202,"&lt;&gt;")</f>
        <v>0</v>
      </c>
      <c r="T202" s="35"/>
      <c r="U202" s="24">
        <f t="shared" si="3"/>
        <v>0</v>
      </c>
      <c r="V202" s="18" t="e">
        <f t="shared" si="4"/>
        <v>#N/A</v>
      </c>
      <c r="W202" s="45" t="e">
        <f t="shared" si="5"/>
        <v>#N/A</v>
      </c>
      <c r="X202" s="20" t="e">
        <f t="shared" si="6"/>
        <v>#N/A</v>
      </c>
      <c r="Y202" s="46" t="e">
        <f t="shared" si="9"/>
        <v>#N/A</v>
      </c>
      <c r="Z202" s="39" t="e">
        <f t="shared" si="7"/>
        <v>#N/A</v>
      </c>
      <c r="AA202" s="39" t="e">
        <f t="shared" si="8"/>
        <v>#N/A</v>
      </c>
      <c r="AB202" s="39"/>
      <c r="AC202" s="48" t="e">
        <f t="shared" si="10"/>
        <v>#N/A</v>
      </c>
    </row>
    <row r="203" spans="1:29" ht="12.5" x14ac:dyDescent="0.25">
      <c r="A203" s="36"/>
      <c r="B203" s="33"/>
      <c r="C203" s="33"/>
      <c r="D203" s="33"/>
      <c r="E203" s="35"/>
      <c r="F203" s="21"/>
      <c r="G203" s="22" t="e">
        <f>VLOOKUP(E203,'Court List'!$A:$C,2,0)</f>
        <v>#N/A</v>
      </c>
      <c r="H203" s="33"/>
      <c r="I203" s="33"/>
      <c r="J203" s="44" t="e">
        <f t="shared" si="0"/>
        <v>#N/A</v>
      </c>
      <c r="K203" s="36"/>
      <c r="L203" s="18">
        <f>SUM('Shuttle Count - Supreme (Nov 20'!C203:D203)</f>
        <v>0</v>
      </c>
      <c r="M203" s="18" t="e">
        <f>VLOOKUP(K203,'Shuttle Purchase'!A:C,3,0)</f>
        <v>#N/A</v>
      </c>
      <c r="N203" s="44" t="e">
        <f t="shared" si="15"/>
        <v>#N/A</v>
      </c>
      <c r="O203" s="24" t="e">
        <f>VLOOKUP(E203,'Court List'!$A:$C,3,0)</f>
        <v>#N/A</v>
      </c>
      <c r="P203" s="18">
        <f>COUNTIF('Pub List'!$C203:$T203,"&lt;&gt;")</f>
        <v>0</v>
      </c>
      <c r="Q203" s="20" t="e">
        <f t="shared" si="2"/>
        <v>#N/A</v>
      </c>
      <c r="R203" s="36"/>
      <c r="S203" s="18">
        <f>COUNTIF('Member List'!$C203:$J203,"&lt;&gt;")</f>
        <v>0</v>
      </c>
      <c r="T203" s="35"/>
      <c r="U203" s="24">
        <f t="shared" si="3"/>
        <v>0</v>
      </c>
      <c r="V203" s="18" t="e">
        <f t="shared" si="4"/>
        <v>#N/A</v>
      </c>
      <c r="W203" s="45" t="e">
        <f t="shared" si="5"/>
        <v>#N/A</v>
      </c>
      <c r="X203" s="20" t="e">
        <f t="shared" si="6"/>
        <v>#N/A</v>
      </c>
      <c r="Y203" s="46" t="e">
        <f t="shared" si="9"/>
        <v>#N/A</v>
      </c>
      <c r="Z203" s="39" t="e">
        <f t="shared" si="7"/>
        <v>#N/A</v>
      </c>
      <c r="AA203" s="39" t="e">
        <f t="shared" si="8"/>
        <v>#N/A</v>
      </c>
      <c r="AB203" s="39"/>
      <c r="AC203" s="48" t="e">
        <f t="shared" si="10"/>
        <v>#N/A</v>
      </c>
    </row>
    <row r="204" spans="1:29" ht="12.5" x14ac:dyDescent="0.25">
      <c r="A204" s="36"/>
      <c r="B204" s="33"/>
      <c r="C204" s="33"/>
      <c r="D204" s="33"/>
      <c r="E204" s="35"/>
      <c r="F204" s="21"/>
      <c r="G204" s="22" t="e">
        <f>VLOOKUP(E204,'Court List'!$A:$C,2,0)</f>
        <v>#N/A</v>
      </c>
      <c r="H204" s="33"/>
      <c r="I204" s="33"/>
      <c r="J204" s="44" t="e">
        <f t="shared" si="0"/>
        <v>#N/A</v>
      </c>
      <c r="K204" s="36"/>
      <c r="L204" s="18">
        <f>SUM('Shuttle Count - Supreme (Nov 20'!C204:D204)</f>
        <v>0</v>
      </c>
      <c r="M204" s="18" t="e">
        <f>VLOOKUP(K204,'Shuttle Purchase'!A:C,3,0)</f>
        <v>#N/A</v>
      </c>
      <c r="N204" s="44" t="e">
        <f t="shared" si="15"/>
        <v>#N/A</v>
      </c>
      <c r="O204" s="24" t="e">
        <f>VLOOKUP(E204,'Court List'!$A:$C,3,0)</f>
        <v>#N/A</v>
      </c>
      <c r="P204" s="18">
        <f>COUNTIF('Pub List'!$C204:$T204,"&lt;&gt;")</f>
        <v>0</v>
      </c>
      <c r="Q204" s="20" t="e">
        <f t="shared" si="2"/>
        <v>#N/A</v>
      </c>
      <c r="R204" s="36"/>
      <c r="S204" s="18">
        <f>COUNTIF('Member List'!$C204:$J204,"&lt;&gt;")</f>
        <v>0</v>
      </c>
      <c r="T204" s="35"/>
      <c r="U204" s="24">
        <f t="shared" si="3"/>
        <v>0</v>
      </c>
      <c r="V204" s="18" t="e">
        <f t="shared" si="4"/>
        <v>#N/A</v>
      </c>
      <c r="W204" s="45" t="e">
        <f t="shared" si="5"/>
        <v>#N/A</v>
      </c>
      <c r="X204" s="20" t="e">
        <f t="shared" si="6"/>
        <v>#N/A</v>
      </c>
      <c r="Y204" s="46" t="e">
        <f t="shared" si="9"/>
        <v>#N/A</v>
      </c>
      <c r="Z204" s="39" t="e">
        <f t="shared" si="7"/>
        <v>#N/A</v>
      </c>
      <c r="AA204" s="39" t="e">
        <f t="shared" si="8"/>
        <v>#N/A</v>
      </c>
      <c r="AB204" s="39"/>
      <c r="AC204" s="48" t="e">
        <f t="shared" si="10"/>
        <v>#N/A</v>
      </c>
    </row>
    <row r="205" spans="1:29" ht="12.5" x14ac:dyDescent="0.25">
      <c r="A205" s="36"/>
      <c r="B205" s="33"/>
      <c r="C205" s="33"/>
      <c r="D205" s="33"/>
      <c r="E205" s="35"/>
      <c r="F205" s="21"/>
      <c r="G205" s="22" t="e">
        <f>VLOOKUP(E205,'Court List'!$A:$C,2,0)</f>
        <v>#N/A</v>
      </c>
      <c r="H205" s="33"/>
      <c r="I205" s="33"/>
      <c r="J205" s="44" t="e">
        <f t="shared" si="0"/>
        <v>#N/A</v>
      </c>
      <c r="K205" s="36"/>
      <c r="L205" s="18">
        <f>SUM('Shuttle Count - Supreme (Nov 20'!C205:D205)</f>
        <v>0</v>
      </c>
      <c r="M205" s="18" t="e">
        <f>VLOOKUP(K205,'Shuttle Purchase'!A:C,3,0)</f>
        <v>#N/A</v>
      </c>
      <c r="N205" s="44" t="e">
        <f t="shared" si="15"/>
        <v>#N/A</v>
      </c>
      <c r="O205" s="24" t="e">
        <f>VLOOKUP(E205,'Court List'!$A:$C,3,0)</f>
        <v>#N/A</v>
      </c>
      <c r="P205" s="18">
        <f>COUNTIF('Pub List'!$C205:$T205,"&lt;&gt;")</f>
        <v>0</v>
      </c>
      <c r="Q205" s="20" t="e">
        <f t="shared" si="2"/>
        <v>#N/A</v>
      </c>
      <c r="R205" s="36"/>
      <c r="S205" s="18">
        <f>COUNTIF('Member List'!$C205:$J205,"&lt;&gt;")</f>
        <v>0</v>
      </c>
      <c r="T205" s="35"/>
      <c r="U205" s="24">
        <f t="shared" si="3"/>
        <v>0</v>
      </c>
      <c r="V205" s="18" t="e">
        <f t="shared" si="4"/>
        <v>#N/A</v>
      </c>
      <c r="W205" s="45" t="e">
        <f t="shared" si="5"/>
        <v>#N/A</v>
      </c>
      <c r="X205" s="20" t="e">
        <f t="shared" si="6"/>
        <v>#N/A</v>
      </c>
      <c r="Y205" s="46" t="e">
        <f t="shared" si="9"/>
        <v>#N/A</v>
      </c>
      <c r="Z205" s="39" t="e">
        <f t="shared" si="7"/>
        <v>#N/A</v>
      </c>
      <c r="AA205" s="39" t="e">
        <f t="shared" si="8"/>
        <v>#N/A</v>
      </c>
      <c r="AB205" s="39"/>
      <c r="AC205" s="48" t="e">
        <f t="shared" si="10"/>
        <v>#N/A</v>
      </c>
    </row>
    <row r="206" spans="1:29" ht="12.5" x14ac:dyDescent="0.25">
      <c r="A206" s="36"/>
      <c r="B206" s="33"/>
      <c r="C206" s="33"/>
      <c r="D206" s="33"/>
      <c r="E206" s="35"/>
      <c r="F206" s="21"/>
      <c r="G206" s="22" t="e">
        <f>VLOOKUP(E206,'Court List'!$A:$C,2,0)</f>
        <v>#N/A</v>
      </c>
      <c r="H206" s="33"/>
      <c r="I206" s="33"/>
      <c r="J206" s="44" t="e">
        <f t="shared" si="0"/>
        <v>#N/A</v>
      </c>
      <c r="K206" s="36"/>
      <c r="L206" s="18">
        <f>SUM('Shuttle Count - Supreme (Nov 20'!C206:D206)</f>
        <v>0</v>
      </c>
      <c r="M206" s="18" t="e">
        <f>VLOOKUP(K206,'Shuttle Purchase'!A:C,3,0)</f>
        <v>#N/A</v>
      </c>
      <c r="N206" s="44" t="e">
        <f t="shared" si="15"/>
        <v>#N/A</v>
      </c>
      <c r="O206" s="24" t="e">
        <f>VLOOKUP(E206,'Court List'!$A:$C,3,0)</f>
        <v>#N/A</v>
      </c>
      <c r="P206" s="18">
        <f>COUNTIF('Pub List'!$C206:$T206,"&lt;&gt;")</f>
        <v>0</v>
      </c>
      <c r="Q206" s="20" t="e">
        <f t="shared" si="2"/>
        <v>#N/A</v>
      </c>
      <c r="R206" s="36"/>
      <c r="S206" s="18">
        <f>COUNTIF('Member List'!$C206:$J206,"&lt;&gt;")</f>
        <v>0</v>
      </c>
      <c r="T206" s="35"/>
      <c r="U206" s="24">
        <f t="shared" si="3"/>
        <v>0</v>
      </c>
      <c r="V206" s="18" t="e">
        <f t="shared" si="4"/>
        <v>#N/A</v>
      </c>
      <c r="W206" s="45" t="e">
        <f t="shared" si="5"/>
        <v>#N/A</v>
      </c>
      <c r="X206" s="20" t="e">
        <f t="shared" si="6"/>
        <v>#N/A</v>
      </c>
      <c r="Y206" s="46" t="e">
        <f t="shared" si="9"/>
        <v>#N/A</v>
      </c>
      <c r="Z206" s="39" t="e">
        <f t="shared" si="7"/>
        <v>#N/A</v>
      </c>
      <c r="AA206" s="39" t="e">
        <f t="shared" si="8"/>
        <v>#N/A</v>
      </c>
      <c r="AB206" s="39"/>
      <c r="AC206" s="48" t="e">
        <f t="shared" si="10"/>
        <v>#N/A</v>
      </c>
    </row>
    <row r="207" spans="1:29" ht="12.5" x14ac:dyDescent="0.25">
      <c r="A207" s="36"/>
      <c r="B207" s="33"/>
      <c r="C207" s="33"/>
      <c r="D207" s="33"/>
      <c r="E207" s="35"/>
      <c r="F207" s="21"/>
      <c r="G207" s="22" t="e">
        <f>VLOOKUP(E207,'Court List'!$A:$C,2,0)</f>
        <v>#N/A</v>
      </c>
      <c r="H207" s="33"/>
      <c r="I207" s="33"/>
      <c r="J207" s="44" t="e">
        <f t="shared" si="0"/>
        <v>#N/A</v>
      </c>
      <c r="K207" s="36"/>
      <c r="L207" s="18">
        <f>SUM('Shuttle Count - Supreme (Nov 20'!C207:D207)</f>
        <v>0</v>
      </c>
      <c r="M207" s="18" t="e">
        <f>VLOOKUP(K207,'Shuttle Purchase'!A:C,3,0)</f>
        <v>#N/A</v>
      </c>
      <c r="N207" s="44" t="e">
        <f t="shared" si="15"/>
        <v>#N/A</v>
      </c>
      <c r="O207" s="24" t="e">
        <f>VLOOKUP(E207,'Court List'!$A:$C,3,0)</f>
        <v>#N/A</v>
      </c>
      <c r="P207" s="18">
        <f>COUNTIF('Pub List'!$C207:$T207,"&lt;&gt;")</f>
        <v>0</v>
      </c>
      <c r="Q207" s="20" t="e">
        <f t="shared" si="2"/>
        <v>#N/A</v>
      </c>
      <c r="R207" s="36"/>
      <c r="S207" s="18">
        <f>COUNTIF('Member List'!$C207:$J207,"&lt;&gt;")</f>
        <v>0</v>
      </c>
      <c r="T207" s="35"/>
      <c r="U207" s="24">
        <f t="shared" si="3"/>
        <v>0</v>
      </c>
      <c r="V207" s="18" t="e">
        <f t="shared" si="4"/>
        <v>#N/A</v>
      </c>
      <c r="W207" s="45" t="e">
        <f t="shared" si="5"/>
        <v>#N/A</v>
      </c>
      <c r="X207" s="20" t="e">
        <f t="shared" si="6"/>
        <v>#N/A</v>
      </c>
      <c r="Y207" s="46" t="e">
        <f t="shared" si="9"/>
        <v>#N/A</v>
      </c>
      <c r="Z207" s="39" t="e">
        <f t="shared" si="7"/>
        <v>#N/A</v>
      </c>
      <c r="AA207" s="39" t="e">
        <f t="shared" si="8"/>
        <v>#N/A</v>
      </c>
      <c r="AB207" s="39"/>
      <c r="AC207" s="48" t="e">
        <f t="shared" si="10"/>
        <v>#N/A</v>
      </c>
    </row>
    <row r="208" spans="1:29" ht="12.5" x14ac:dyDescent="0.25">
      <c r="A208" s="36"/>
      <c r="B208" s="33"/>
      <c r="C208" s="33"/>
      <c r="D208" s="33"/>
      <c r="E208" s="35"/>
      <c r="F208" s="21"/>
      <c r="G208" s="22" t="e">
        <f>VLOOKUP(E208,'Court List'!$A:$C,2,0)</f>
        <v>#N/A</v>
      </c>
      <c r="H208" s="33"/>
      <c r="I208" s="33"/>
      <c r="J208" s="44" t="e">
        <f t="shared" si="0"/>
        <v>#N/A</v>
      </c>
      <c r="K208" s="36"/>
      <c r="L208" s="18">
        <f>SUM('Shuttle Count - Supreme (Nov 20'!C208:D208)</f>
        <v>0</v>
      </c>
      <c r="M208" s="18" t="e">
        <f>VLOOKUP(K208,'Shuttle Purchase'!A:C,3,0)</f>
        <v>#N/A</v>
      </c>
      <c r="N208" s="44" t="e">
        <f t="shared" si="15"/>
        <v>#N/A</v>
      </c>
      <c r="O208" s="24" t="e">
        <f>VLOOKUP(E208,'Court List'!$A:$C,3,0)</f>
        <v>#N/A</v>
      </c>
      <c r="P208" s="18">
        <f>COUNTIF('Pub List'!$C208:$T208,"&lt;&gt;")</f>
        <v>0</v>
      </c>
      <c r="Q208" s="20" t="e">
        <f t="shared" si="2"/>
        <v>#N/A</v>
      </c>
      <c r="R208" s="36"/>
      <c r="S208" s="18">
        <f>COUNTIF('Member List'!$C208:$J208,"&lt;&gt;")</f>
        <v>0</v>
      </c>
      <c r="T208" s="35"/>
      <c r="U208" s="24">
        <f t="shared" si="3"/>
        <v>0</v>
      </c>
      <c r="V208" s="18" t="e">
        <f t="shared" si="4"/>
        <v>#N/A</v>
      </c>
      <c r="W208" s="45" t="e">
        <f t="shared" si="5"/>
        <v>#N/A</v>
      </c>
      <c r="X208" s="20" t="e">
        <f t="shared" si="6"/>
        <v>#N/A</v>
      </c>
      <c r="Y208" s="46" t="e">
        <f t="shared" si="9"/>
        <v>#N/A</v>
      </c>
      <c r="Z208" s="39" t="e">
        <f t="shared" si="7"/>
        <v>#N/A</v>
      </c>
      <c r="AA208" s="39" t="e">
        <f t="shared" si="8"/>
        <v>#N/A</v>
      </c>
      <c r="AB208" s="39"/>
      <c r="AC208" s="48" t="e">
        <f t="shared" si="10"/>
        <v>#N/A</v>
      </c>
    </row>
    <row r="209" spans="1:29" ht="12.5" x14ac:dyDescent="0.25">
      <c r="A209" s="36"/>
      <c r="B209" s="33"/>
      <c r="C209" s="33"/>
      <c r="D209" s="33"/>
      <c r="E209" s="35"/>
      <c r="F209" s="21"/>
      <c r="G209" s="22" t="e">
        <f>VLOOKUP(E209,'Court List'!$A:$C,2,0)</f>
        <v>#N/A</v>
      </c>
      <c r="H209" s="33"/>
      <c r="I209" s="33"/>
      <c r="J209" s="44" t="e">
        <f t="shared" si="0"/>
        <v>#N/A</v>
      </c>
      <c r="K209" s="36"/>
      <c r="L209" s="18">
        <f>SUM('Shuttle Count - Supreme (Nov 20'!C209:D209)</f>
        <v>0</v>
      </c>
      <c r="M209" s="18" t="e">
        <f>VLOOKUP(K209,'Shuttle Purchase'!A:C,3,0)</f>
        <v>#N/A</v>
      </c>
      <c r="N209" s="44" t="e">
        <f t="shared" si="15"/>
        <v>#N/A</v>
      </c>
      <c r="O209" s="24" t="e">
        <f>VLOOKUP(E209,'Court List'!$A:$C,3,0)</f>
        <v>#N/A</v>
      </c>
      <c r="P209" s="18">
        <f>COUNTIF('Pub List'!$C209:$T209,"&lt;&gt;")</f>
        <v>0</v>
      </c>
      <c r="Q209" s="20" t="e">
        <f t="shared" si="2"/>
        <v>#N/A</v>
      </c>
      <c r="R209" s="36"/>
      <c r="S209" s="18">
        <f>COUNTIF('Member List'!$C209:$J209,"&lt;&gt;")</f>
        <v>0</v>
      </c>
      <c r="T209" s="35"/>
      <c r="U209" s="24">
        <f t="shared" si="3"/>
        <v>0</v>
      </c>
      <c r="V209" s="18" t="e">
        <f t="shared" si="4"/>
        <v>#N/A</v>
      </c>
      <c r="W209" s="45" t="e">
        <f t="shared" si="5"/>
        <v>#N/A</v>
      </c>
      <c r="X209" s="20" t="e">
        <f t="shared" si="6"/>
        <v>#N/A</v>
      </c>
      <c r="Y209" s="46" t="e">
        <f t="shared" si="9"/>
        <v>#N/A</v>
      </c>
      <c r="Z209" s="39" t="e">
        <f t="shared" si="7"/>
        <v>#N/A</v>
      </c>
      <c r="AA209" s="39" t="e">
        <f t="shared" si="8"/>
        <v>#N/A</v>
      </c>
      <c r="AB209" s="39"/>
      <c r="AC209" s="48" t="e">
        <f t="shared" si="10"/>
        <v>#N/A</v>
      </c>
    </row>
    <row r="210" spans="1:29" ht="12.5" x14ac:dyDescent="0.25">
      <c r="A210" s="36"/>
      <c r="B210" s="33"/>
      <c r="C210" s="33"/>
      <c r="D210" s="33"/>
      <c r="E210" s="35"/>
      <c r="F210" s="21"/>
      <c r="G210" s="22" t="e">
        <f>VLOOKUP(E210,'Court List'!$A:$C,2,0)</f>
        <v>#N/A</v>
      </c>
      <c r="H210" s="33"/>
      <c r="I210" s="33"/>
      <c r="J210" s="44" t="e">
        <f t="shared" si="0"/>
        <v>#N/A</v>
      </c>
      <c r="K210" s="36"/>
      <c r="L210" s="18">
        <f>SUM('Shuttle Count - Supreme (Nov 20'!C210:D210)</f>
        <v>0</v>
      </c>
      <c r="M210" s="18" t="e">
        <f>VLOOKUP(K210,'Shuttle Purchase'!A:C,3,0)</f>
        <v>#N/A</v>
      </c>
      <c r="N210" s="44" t="e">
        <f t="shared" si="15"/>
        <v>#N/A</v>
      </c>
      <c r="O210" s="24" t="e">
        <f>VLOOKUP(E210,'Court List'!$A:$C,3,0)</f>
        <v>#N/A</v>
      </c>
      <c r="P210" s="18">
        <f>COUNTIF('Pub List'!$C210:$T210,"&lt;&gt;")</f>
        <v>0</v>
      </c>
      <c r="Q210" s="20" t="e">
        <f t="shared" si="2"/>
        <v>#N/A</v>
      </c>
      <c r="R210" s="36"/>
      <c r="S210" s="18">
        <f>COUNTIF('Member List'!$C210:$J210,"&lt;&gt;")</f>
        <v>0</v>
      </c>
      <c r="T210" s="35"/>
      <c r="U210" s="24">
        <f t="shared" si="3"/>
        <v>0</v>
      </c>
      <c r="V210" s="18" t="e">
        <f t="shared" si="4"/>
        <v>#N/A</v>
      </c>
      <c r="W210" s="45" t="e">
        <f t="shared" si="5"/>
        <v>#N/A</v>
      </c>
      <c r="X210" s="20" t="e">
        <f t="shared" si="6"/>
        <v>#N/A</v>
      </c>
      <c r="Y210" s="46" t="e">
        <f t="shared" si="9"/>
        <v>#N/A</v>
      </c>
      <c r="Z210" s="39" t="e">
        <f t="shared" si="7"/>
        <v>#N/A</v>
      </c>
      <c r="AA210" s="39" t="e">
        <f t="shared" si="8"/>
        <v>#N/A</v>
      </c>
      <c r="AB210" s="39"/>
      <c r="AC210" s="48" t="e">
        <f t="shared" si="10"/>
        <v>#N/A</v>
      </c>
    </row>
    <row r="211" spans="1:29" ht="12.5" x14ac:dyDescent="0.25">
      <c r="A211" s="36"/>
      <c r="B211" s="33"/>
      <c r="C211" s="33"/>
      <c r="D211" s="33"/>
      <c r="E211" s="35"/>
      <c r="F211" s="21"/>
      <c r="G211" s="22" t="e">
        <f>VLOOKUP(E211,'Court List'!$A:$C,2,0)</f>
        <v>#N/A</v>
      </c>
      <c r="H211" s="33"/>
      <c r="I211" s="33"/>
      <c r="J211" s="44" t="e">
        <f t="shared" si="0"/>
        <v>#N/A</v>
      </c>
      <c r="K211" s="36"/>
      <c r="L211" s="18">
        <f>SUM('Shuttle Count - Supreme (Nov 20'!C211:D211)</f>
        <v>0</v>
      </c>
      <c r="M211" s="18" t="e">
        <f>VLOOKUP(K211,'Shuttle Purchase'!A:C,3,0)</f>
        <v>#N/A</v>
      </c>
      <c r="N211" s="44" t="e">
        <f t="shared" si="15"/>
        <v>#N/A</v>
      </c>
      <c r="O211" s="24" t="e">
        <f>VLOOKUP(E211,'Court List'!$A:$C,3,0)</f>
        <v>#N/A</v>
      </c>
      <c r="P211" s="18">
        <f>COUNTIF('Pub List'!$C211:$T211,"&lt;&gt;")</f>
        <v>0</v>
      </c>
      <c r="Q211" s="20" t="e">
        <f t="shared" si="2"/>
        <v>#N/A</v>
      </c>
      <c r="R211" s="36"/>
      <c r="S211" s="18">
        <f>COUNTIF('Member List'!$C211:$J211,"&lt;&gt;")</f>
        <v>0</v>
      </c>
      <c r="T211" s="35"/>
      <c r="U211" s="24">
        <f t="shared" si="3"/>
        <v>0</v>
      </c>
      <c r="V211" s="18" t="e">
        <f t="shared" si="4"/>
        <v>#N/A</v>
      </c>
      <c r="W211" s="45" t="e">
        <f t="shared" si="5"/>
        <v>#N/A</v>
      </c>
      <c r="X211" s="20" t="e">
        <f t="shared" si="6"/>
        <v>#N/A</v>
      </c>
      <c r="Y211" s="46" t="e">
        <f t="shared" si="9"/>
        <v>#N/A</v>
      </c>
      <c r="Z211" s="39" t="e">
        <f t="shared" si="7"/>
        <v>#N/A</v>
      </c>
      <c r="AA211" s="39" t="e">
        <f t="shared" si="8"/>
        <v>#N/A</v>
      </c>
      <c r="AB211" s="39"/>
      <c r="AC211" s="48" t="e">
        <f t="shared" si="10"/>
        <v>#N/A</v>
      </c>
    </row>
    <row r="212" spans="1:29" ht="12.5" x14ac:dyDescent="0.25">
      <c r="A212" s="36"/>
      <c r="B212" s="33"/>
      <c r="C212" s="33"/>
      <c r="D212" s="33"/>
      <c r="E212" s="35"/>
      <c r="F212" s="21"/>
      <c r="G212" s="22" t="e">
        <f>VLOOKUP(E212,'Court List'!$A:$C,2,0)</f>
        <v>#N/A</v>
      </c>
      <c r="H212" s="33"/>
      <c r="I212" s="33"/>
      <c r="J212" s="44" t="e">
        <f t="shared" si="0"/>
        <v>#N/A</v>
      </c>
      <c r="K212" s="36"/>
      <c r="L212" s="18">
        <f>SUM('Shuttle Count - Supreme (Nov 20'!C212:D212)</f>
        <v>0</v>
      </c>
      <c r="M212" s="18" t="e">
        <f>VLOOKUP(K212,'Shuttle Purchase'!A:C,3,0)</f>
        <v>#N/A</v>
      </c>
      <c r="N212" s="44" t="e">
        <f t="shared" si="15"/>
        <v>#N/A</v>
      </c>
      <c r="O212" s="24" t="e">
        <f>VLOOKUP(E212,'Court List'!$A:$C,3,0)</f>
        <v>#N/A</v>
      </c>
      <c r="P212" s="18">
        <f>COUNTIF('Pub List'!$C212:$T212,"&lt;&gt;")</f>
        <v>0</v>
      </c>
      <c r="Q212" s="20" t="e">
        <f t="shared" si="2"/>
        <v>#N/A</v>
      </c>
      <c r="R212" s="36"/>
      <c r="S212" s="18">
        <f>COUNTIF('Member List'!$C212:$J212,"&lt;&gt;")</f>
        <v>0</v>
      </c>
      <c r="T212" s="35"/>
      <c r="U212" s="24">
        <f t="shared" si="3"/>
        <v>0</v>
      </c>
      <c r="V212" s="18" t="e">
        <f t="shared" si="4"/>
        <v>#N/A</v>
      </c>
      <c r="W212" s="45" t="e">
        <f t="shared" si="5"/>
        <v>#N/A</v>
      </c>
      <c r="X212" s="20" t="e">
        <f t="shared" si="6"/>
        <v>#N/A</v>
      </c>
      <c r="Y212" s="46" t="e">
        <f t="shared" si="9"/>
        <v>#N/A</v>
      </c>
      <c r="Z212" s="39" t="e">
        <f t="shared" si="7"/>
        <v>#N/A</v>
      </c>
      <c r="AA212" s="39" t="e">
        <f t="shared" si="8"/>
        <v>#N/A</v>
      </c>
      <c r="AB212" s="39"/>
      <c r="AC212" s="48" t="e">
        <f t="shared" si="10"/>
        <v>#N/A</v>
      </c>
    </row>
    <row r="213" spans="1:29" ht="12.5" x14ac:dyDescent="0.25">
      <c r="A213" s="36"/>
      <c r="B213" s="33"/>
      <c r="C213" s="33"/>
      <c r="D213" s="33"/>
      <c r="E213" s="35"/>
      <c r="F213" s="21"/>
      <c r="G213" s="22" t="e">
        <f>VLOOKUP(E213,'Court List'!$A:$C,2,0)</f>
        <v>#N/A</v>
      </c>
      <c r="H213" s="33"/>
      <c r="I213" s="33"/>
      <c r="J213" s="44" t="e">
        <f t="shared" si="0"/>
        <v>#N/A</v>
      </c>
      <c r="K213" s="36"/>
      <c r="L213" s="18">
        <f>SUM('Shuttle Count - Supreme (Nov 20'!C213:D213)</f>
        <v>0</v>
      </c>
      <c r="M213" s="18" t="e">
        <f>VLOOKUP(K213,'Shuttle Purchase'!A:C,3,0)</f>
        <v>#N/A</v>
      </c>
      <c r="N213" s="44" t="e">
        <f t="shared" si="15"/>
        <v>#N/A</v>
      </c>
      <c r="O213" s="24" t="e">
        <f>VLOOKUP(E213,'Court List'!$A:$C,3,0)</f>
        <v>#N/A</v>
      </c>
      <c r="P213" s="18">
        <f>COUNTIF('Pub List'!$C213:$T213,"&lt;&gt;")</f>
        <v>0</v>
      </c>
      <c r="Q213" s="20" t="e">
        <f t="shared" si="2"/>
        <v>#N/A</v>
      </c>
      <c r="R213" s="36"/>
      <c r="S213" s="18">
        <f>COUNTIF('Member List'!$C213:$J213,"&lt;&gt;")</f>
        <v>0</v>
      </c>
      <c r="T213" s="35"/>
      <c r="U213" s="24">
        <f t="shared" si="3"/>
        <v>0</v>
      </c>
      <c r="V213" s="18" t="e">
        <f t="shared" si="4"/>
        <v>#N/A</v>
      </c>
      <c r="W213" s="45" t="e">
        <f t="shared" si="5"/>
        <v>#N/A</v>
      </c>
      <c r="X213" s="20" t="e">
        <f t="shared" si="6"/>
        <v>#N/A</v>
      </c>
      <c r="Y213" s="46" t="e">
        <f t="shared" si="9"/>
        <v>#N/A</v>
      </c>
      <c r="Z213" s="39" t="e">
        <f t="shared" si="7"/>
        <v>#N/A</v>
      </c>
      <c r="AA213" s="39" t="e">
        <f t="shared" si="8"/>
        <v>#N/A</v>
      </c>
      <c r="AB213" s="39"/>
      <c r="AC213" s="48" t="e">
        <f t="shared" si="10"/>
        <v>#N/A</v>
      </c>
    </row>
    <row r="214" spans="1:29" ht="12.5" x14ac:dyDescent="0.25">
      <c r="A214" s="36"/>
      <c r="B214" s="33"/>
      <c r="C214" s="33"/>
      <c r="D214" s="33"/>
      <c r="E214" s="35"/>
      <c r="F214" s="21"/>
      <c r="G214" s="22" t="e">
        <f>VLOOKUP(E214,'Court List'!$A:$C,2,0)</f>
        <v>#N/A</v>
      </c>
      <c r="H214" s="33"/>
      <c r="I214" s="33"/>
      <c r="J214" s="44" t="e">
        <f t="shared" si="0"/>
        <v>#N/A</v>
      </c>
      <c r="K214" s="36"/>
      <c r="L214" s="18">
        <f>SUM('Shuttle Count - Supreme (Nov 20'!C214:D214)</f>
        <v>0</v>
      </c>
      <c r="M214" s="18" t="e">
        <f>VLOOKUP(K214,'Shuttle Purchase'!A:C,3,0)</f>
        <v>#N/A</v>
      </c>
      <c r="N214" s="44" t="e">
        <f t="shared" si="15"/>
        <v>#N/A</v>
      </c>
      <c r="O214" s="24" t="e">
        <f>VLOOKUP(E214,'Court List'!$A:$C,3,0)</f>
        <v>#N/A</v>
      </c>
      <c r="P214" s="18">
        <f>COUNTIF('Pub List'!$C214:$T214,"&lt;&gt;")</f>
        <v>0</v>
      </c>
      <c r="Q214" s="20" t="e">
        <f t="shared" si="2"/>
        <v>#N/A</v>
      </c>
      <c r="R214" s="36"/>
      <c r="S214" s="18">
        <f>COUNTIF('Member List'!$C214:$J214,"&lt;&gt;")</f>
        <v>0</v>
      </c>
      <c r="T214" s="35"/>
      <c r="U214" s="24">
        <f t="shared" si="3"/>
        <v>0</v>
      </c>
      <c r="V214" s="18" t="e">
        <f t="shared" si="4"/>
        <v>#N/A</v>
      </c>
      <c r="W214" s="45" t="e">
        <f t="shared" si="5"/>
        <v>#N/A</v>
      </c>
      <c r="X214" s="20" t="e">
        <f t="shared" si="6"/>
        <v>#N/A</v>
      </c>
      <c r="Y214" s="46" t="e">
        <f t="shared" si="9"/>
        <v>#N/A</v>
      </c>
      <c r="Z214" s="39" t="e">
        <f t="shared" si="7"/>
        <v>#N/A</v>
      </c>
      <c r="AA214" s="39" t="e">
        <f t="shared" si="8"/>
        <v>#N/A</v>
      </c>
      <c r="AB214" s="39"/>
      <c r="AC214" s="48" t="e">
        <f t="shared" si="10"/>
        <v>#N/A</v>
      </c>
    </row>
    <row r="215" spans="1:29" ht="12.5" x14ac:dyDescent="0.25">
      <c r="A215" s="36"/>
      <c r="B215" s="33"/>
      <c r="C215" s="33"/>
      <c r="D215" s="33"/>
      <c r="E215" s="35"/>
      <c r="F215" s="21"/>
      <c r="G215" s="22" t="e">
        <f>VLOOKUP(E215,'Court List'!$A:$C,2,0)</f>
        <v>#N/A</v>
      </c>
      <c r="H215" s="33"/>
      <c r="I215" s="33"/>
      <c r="J215" s="44" t="e">
        <f t="shared" si="0"/>
        <v>#N/A</v>
      </c>
      <c r="K215" s="36"/>
      <c r="L215" s="18">
        <f>SUM('Shuttle Count - Supreme (Nov 20'!C215:D215)</f>
        <v>0</v>
      </c>
      <c r="M215" s="18" t="e">
        <f>VLOOKUP(K215,'Shuttle Purchase'!A:C,3,0)</f>
        <v>#N/A</v>
      </c>
      <c r="N215" s="44" t="e">
        <f t="shared" si="15"/>
        <v>#N/A</v>
      </c>
      <c r="O215" s="24" t="e">
        <f>VLOOKUP(E215,'Court List'!$A:$C,3,0)</f>
        <v>#N/A</v>
      </c>
      <c r="P215" s="18">
        <f>COUNTIF('Pub List'!$C215:$T215,"&lt;&gt;")</f>
        <v>0</v>
      </c>
      <c r="Q215" s="20" t="e">
        <f t="shared" si="2"/>
        <v>#N/A</v>
      </c>
      <c r="R215" s="36"/>
      <c r="S215" s="18">
        <f>COUNTIF('Member List'!$C215:$J215,"&lt;&gt;")</f>
        <v>0</v>
      </c>
      <c r="T215" s="35"/>
      <c r="U215" s="24">
        <f t="shared" si="3"/>
        <v>0</v>
      </c>
      <c r="V215" s="18" t="e">
        <f t="shared" si="4"/>
        <v>#N/A</v>
      </c>
      <c r="W215" s="45" t="e">
        <f t="shared" si="5"/>
        <v>#N/A</v>
      </c>
      <c r="X215" s="20" t="e">
        <f t="shared" si="6"/>
        <v>#N/A</v>
      </c>
      <c r="Y215" s="46" t="e">
        <f t="shared" si="9"/>
        <v>#N/A</v>
      </c>
      <c r="Z215" s="39" t="e">
        <f t="shared" si="7"/>
        <v>#N/A</v>
      </c>
      <c r="AA215" s="39" t="e">
        <f t="shared" si="8"/>
        <v>#N/A</v>
      </c>
      <c r="AB215" s="39"/>
      <c r="AC215" s="48" t="e">
        <f t="shared" si="10"/>
        <v>#N/A</v>
      </c>
    </row>
    <row r="216" spans="1:29" ht="12.5" x14ac:dyDescent="0.25">
      <c r="A216" s="36"/>
      <c r="B216" s="33"/>
      <c r="C216" s="33"/>
      <c r="D216" s="33"/>
      <c r="E216" s="35"/>
      <c r="F216" s="21"/>
      <c r="G216" s="22" t="e">
        <f>VLOOKUP(E216,'Court List'!$A:$C,2,0)</f>
        <v>#N/A</v>
      </c>
      <c r="H216" s="33"/>
      <c r="I216" s="33"/>
      <c r="J216" s="44" t="e">
        <f t="shared" si="0"/>
        <v>#N/A</v>
      </c>
      <c r="K216" s="36"/>
      <c r="L216" s="18">
        <f>SUM('Shuttle Count - Supreme (Nov 20'!C216:D216)</f>
        <v>0</v>
      </c>
      <c r="M216" s="18" t="e">
        <f>VLOOKUP(K216,'Shuttle Purchase'!A:C,3,0)</f>
        <v>#N/A</v>
      </c>
      <c r="N216" s="44" t="e">
        <f t="shared" si="15"/>
        <v>#N/A</v>
      </c>
      <c r="O216" s="24" t="e">
        <f>VLOOKUP(E216,'Court List'!$A:$C,3,0)</f>
        <v>#N/A</v>
      </c>
      <c r="P216" s="18">
        <f>COUNTIF('Pub List'!$C216:$T216,"&lt;&gt;")</f>
        <v>0</v>
      </c>
      <c r="Q216" s="20" t="e">
        <f t="shared" si="2"/>
        <v>#N/A</v>
      </c>
      <c r="R216" s="36"/>
      <c r="S216" s="18">
        <f>COUNTIF('Member List'!$C216:$J216,"&lt;&gt;")</f>
        <v>0</v>
      </c>
      <c r="T216" s="35"/>
      <c r="U216" s="24">
        <f t="shared" si="3"/>
        <v>0</v>
      </c>
      <c r="V216" s="18" t="e">
        <f t="shared" si="4"/>
        <v>#N/A</v>
      </c>
      <c r="W216" s="45" t="e">
        <f t="shared" si="5"/>
        <v>#N/A</v>
      </c>
      <c r="X216" s="20" t="e">
        <f t="shared" si="6"/>
        <v>#N/A</v>
      </c>
      <c r="Y216" s="46" t="e">
        <f t="shared" si="9"/>
        <v>#N/A</v>
      </c>
      <c r="Z216" s="39" t="e">
        <f t="shared" si="7"/>
        <v>#N/A</v>
      </c>
      <c r="AA216" s="39" t="e">
        <f t="shared" si="8"/>
        <v>#N/A</v>
      </c>
      <c r="AB216" s="39"/>
      <c r="AC216" s="48" t="e">
        <f t="shared" si="10"/>
        <v>#N/A</v>
      </c>
    </row>
    <row r="217" spans="1:29" ht="12.5" x14ac:dyDescent="0.25">
      <c r="A217" s="36"/>
      <c r="B217" s="33"/>
      <c r="C217" s="33"/>
      <c r="D217" s="33"/>
      <c r="E217" s="35"/>
      <c r="F217" s="21"/>
      <c r="G217" s="22" t="e">
        <f>VLOOKUP(E217,'Court List'!$A:$C,2,0)</f>
        <v>#N/A</v>
      </c>
      <c r="H217" s="33"/>
      <c r="I217" s="33"/>
      <c r="J217" s="44" t="e">
        <f t="shared" si="0"/>
        <v>#N/A</v>
      </c>
      <c r="K217" s="36"/>
      <c r="L217" s="18">
        <f>SUM('Shuttle Count - Supreme (Nov 20'!C217:D217)</f>
        <v>0</v>
      </c>
      <c r="M217" s="18" t="e">
        <f>VLOOKUP(K217,'Shuttle Purchase'!A:C,3,0)</f>
        <v>#N/A</v>
      </c>
      <c r="N217" s="44" t="e">
        <f t="shared" si="15"/>
        <v>#N/A</v>
      </c>
      <c r="O217" s="24" t="e">
        <f>VLOOKUP(E217,'Court List'!$A:$C,3,0)</f>
        <v>#N/A</v>
      </c>
      <c r="P217" s="18">
        <f>COUNTIF('Pub List'!$C217:$T217,"&lt;&gt;")</f>
        <v>0</v>
      </c>
      <c r="Q217" s="20" t="e">
        <f t="shared" si="2"/>
        <v>#N/A</v>
      </c>
      <c r="R217" s="36"/>
      <c r="S217" s="18">
        <f>COUNTIF('Member List'!$C217:$J217,"&lt;&gt;")</f>
        <v>0</v>
      </c>
      <c r="T217" s="35"/>
      <c r="U217" s="24">
        <f t="shared" si="3"/>
        <v>0</v>
      </c>
      <c r="V217" s="18" t="e">
        <f t="shared" si="4"/>
        <v>#N/A</v>
      </c>
      <c r="W217" s="45" t="e">
        <f t="shared" si="5"/>
        <v>#N/A</v>
      </c>
      <c r="X217" s="20" t="e">
        <f t="shared" si="6"/>
        <v>#N/A</v>
      </c>
      <c r="Y217" s="46" t="e">
        <f t="shared" si="9"/>
        <v>#N/A</v>
      </c>
      <c r="Z217" s="39" t="e">
        <f t="shared" si="7"/>
        <v>#N/A</v>
      </c>
      <c r="AA217" s="39" t="e">
        <f t="shared" si="8"/>
        <v>#N/A</v>
      </c>
      <c r="AB217" s="39"/>
      <c r="AC217" s="48" t="e">
        <f t="shared" si="10"/>
        <v>#N/A</v>
      </c>
    </row>
    <row r="218" spans="1:29" ht="12.5" x14ac:dyDescent="0.25">
      <c r="A218" s="36"/>
      <c r="B218" s="33"/>
      <c r="C218" s="33"/>
      <c r="D218" s="33"/>
      <c r="E218" s="35"/>
      <c r="F218" s="21"/>
      <c r="G218" s="22" t="e">
        <f>VLOOKUP(E218,'Court List'!$A:$C,2,0)</f>
        <v>#N/A</v>
      </c>
      <c r="H218" s="33"/>
      <c r="I218" s="33"/>
      <c r="J218" s="44" t="e">
        <f t="shared" si="0"/>
        <v>#N/A</v>
      </c>
      <c r="K218" s="36"/>
      <c r="L218" s="18">
        <f>SUM('Shuttle Count - Supreme (Nov 20'!C218:D218)</f>
        <v>0</v>
      </c>
      <c r="M218" s="18" t="e">
        <f>VLOOKUP(K218,'Shuttle Purchase'!A:C,3,0)</f>
        <v>#N/A</v>
      </c>
      <c r="N218" s="44" t="e">
        <f t="shared" si="15"/>
        <v>#N/A</v>
      </c>
      <c r="O218" s="24" t="e">
        <f>VLOOKUP(E218,'Court List'!$A:$C,3,0)</f>
        <v>#N/A</v>
      </c>
      <c r="P218" s="18">
        <f>COUNTIF('Pub List'!$C218:$T218,"&lt;&gt;")</f>
        <v>0</v>
      </c>
      <c r="Q218" s="20" t="e">
        <f t="shared" si="2"/>
        <v>#N/A</v>
      </c>
      <c r="R218" s="36"/>
      <c r="S218" s="18">
        <f>COUNTIF('Member List'!$C218:$J218,"&lt;&gt;")</f>
        <v>0</v>
      </c>
      <c r="T218" s="35"/>
      <c r="U218" s="24">
        <f t="shared" si="3"/>
        <v>0</v>
      </c>
      <c r="V218" s="18" t="e">
        <f t="shared" si="4"/>
        <v>#N/A</v>
      </c>
      <c r="W218" s="45" t="e">
        <f t="shared" si="5"/>
        <v>#N/A</v>
      </c>
      <c r="X218" s="20" t="e">
        <f t="shared" si="6"/>
        <v>#N/A</v>
      </c>
      <c r="Y218" s="46" t="e">
        <f t="shared" si="9"/>
        <v>#N/A</v>
      </c>
      <c r="Z218" s="39" t="e">
        <f t="shared" si="7"/>
        <v>#N/A</v>
      </c>
      <c r="AA218" s="39" t="e">
        <f t="shared" si="8"/>
        <v>#N/A</v>
      </c>
      <c r="AB218" s="39"/>
      <c r="AC218" s="48" t="e">
        <f t="shared" si="10"/>
        <v>#N/A</v>
      </c>
    </row>
    <row r="219" spans="1:29" ht="12.5" x14ac:dyDescent="0.25">
      <c r="A219" s="36"/>
      <c r="B219" s="33"/>
      <c r="C219" s="33"/>
      <c r="D219" s="33"/>
      <c r="E219" s="35"/>
      <c r="F219" s="21"/>
      <c r="G219" s="22" t="e">
        <f>VLOOKUP(E219,'Court List'!$A:$C,2,0)</f>
        <v>#N/A</v>
      </c>
      <c r="H219" s="33"/>
      <c r="I219" s="33"/>
      <c r="J219" s="44" t="e">
        <f t="shared" si="0"/>
        <v>#N/A</v>
      </c>
      <c r="K219" s="36"/>
      <c r="L219" s="18">
        <f>SUM('Shuttle Count - Supreme (Nov 20'!C219:D219)</f>
        <v>0</v>
      </c>
      <c r="M219" s="18" t="e">
        <f>VLOOKUP(K219,'Shuttle Purchase'!A:C,3,0)</f>
        <v>#N/A</v>
      </c>
      <c r="N219" s="44" t="e">
        <f t="shared" si="15"/>
        <v>#N/A</v>
      </c>
      <c r="O219" s="24" t="e">
        <f>VLOOKUP(E219,'Court List'!$A:$C,3,0)</f>
        <v>#N/A</v>
      </c>
      <c r="P219" s="18">
        <f>COUNTIF('Pub List'!$C219:$T219,"&lt;&gt;")</f>
        <v>0</v>
      </c>
      <c r="Q219" s="20" t="e">
        <f t="shared" si="2"/>
        <v>#N/A</v>
      </c>
      <c r="R219" s="36"/>
      <c r="S219" s="18">
        <f>COUNTIF('Member List'!$C219:$J219,"&lt;&gt;")</f>
        <v>0</v>
      </c>
      <c r="T219" s="35"/>
      <c r="U219" s="24">
        <f t="shared" si="3"/>
        <v>0</v>
      </c>
      <c r="V219" s="18" t="e">
        <f t="shared" si="4"/>
        <v>#N/A</v>
      </c>
      <c r="W219" s="45" t="e">
        <f t="shared" si="5"/>
        <v>#N/A</v>
      </c>
      <c r="X219" s="20" t="e">
        <f t="shared" si="6"/>
        <v>#N/A</v>
      </c>
      <c r="Y219" s="46" t="e">
        <f t="shared" si="9"/>
        <v>#N/A</v>
      </c>
      <c r="Z219" s="39" t="e">
        <f t="shared" si="7"/>
        <v>#N/A</v>
      </c>
      <c r="AA219" s="39" t="e">
        <f t="shared" si="8"/>
        <v>#N/A</v>
      </c>
      <c r="AB219" s="39"/>
      <c r="AC219" s="48" t="e">
        <f t="shared" si="10"/>
        <v>#N/A</v>
      </c>
    </row>
    <row r="220" spans="1:29" ht="12.5" x14ac:dyDescent="0.25">
      <c r="A220" s="36"/>
      <c r="B220" s="33"/>
      <c r="C220" s="33"/>
      <c r="D220" s="33"/>
      <c r="E220" s="35"/>
      <c r="F220" s="21"/>
      <c r="G220" s="22" t="e">
        <f>VLOOKUP(E220,'Court List'!$A:$C,2,0)</f>
        <v>#N/A</v>
      </c>
      <c r="H220" s="33"/>
      <c r="I220" s="33"/>
      <c r="J220" s="44" t="e">
        <f t="shared" si="0"/>
        <v>#N/A</v>
      </c>
      <c r="K220" s="36"/>
      <c r="L220" s="18">
        <f>SUM('Shuttle Count - Supreme (Nov 20'!C220:D220)</f>
        <v>0</v>
      </c>
      <c r="M220" s="18" t="e">
        <f>VLOOKUP(K220,'Shuttle Purchase'!A:C,3,0)</f>
        <v>#N/A</v>
      </c>
      <c r="N220" s="44" t="e">
        <f t="shared" si="15"/>
        <v>#N/A</v>
      </c>
      <c r="O220" s="24" t="e">
        <f>VLOOKUP(E220,'Court List'!$A:$C,3,0)</f>
        <v>#N/A</v>
      </c>
      <c r="P220" s="18">
        <f>COUNTIF('Pub List'!$C220:$T220,"&lt;&gt;")</f>
        <v>0</v>
      </c>
      <c r="Q220" s="20" t="e">
        <f t="shared" si="2"/>
        <v>#N/A</v>
      </c>
      <c r="R220" s="36"/>
      <c r="S220" s="18">
        <f>COUNTIF('Member List'!$C220:$J220,"&lt;&gt;")</f>
        <v>0</v>
      </c>
      <c r="T220" s="35"/>
      <c r="U220" s="24">
        <f t="shared" si="3"/>
        <v>0</v>
      </c>
      <c r="V220" s="18" t="e">
        <f t="shared" si="4"/>
        <v>#N/A</v>
      </c>
      <c r="W220" s="45" t="e">
        <f t="shared" si="5"/>
        <v>#N/A</v>
      </c>
      <c r="X220" s="20" t="e">
        <f t="shared" si="6"/>
        <v>#N/A</v>
      </c>
      <c r="Y220" s="46" t="e">
        <f t="shared" si="9"/>
        <v>#N/A</v>
      </c>
      <c r="Z220" s="39" t="e">
        <f t="shared" si="7"/>
        <v>#N/A</v>
      </c>
      <c r="AA220" s="39" t="e">
        <f t="shared" si="8"/>
        <v>#N/A</v>
      </c>
      <c r="AB220" s="39"/>
      <c r="AC220" s="48" t="e">
        <f t="shared" si="10"/>
        <v>#N/A</v>
      </c>
    </row>
    <row r="221" spans="1:29" ht="12.5" x14ac:dyDescent="0.25">
      <c r="A221" s="36"/>
      <c r="B221" s="33"/>
      <c r="C221" s="33"/>
      <c r="D221" s="33"/>
      <c r="E221" s="35"/>
      <c r="F221" s="21"/>
      <c r="G221" s="22" t="e">
        <f>VLOOKUP(E221,'Court List'!$A:$C,2,0)</f>
        <v>#N/A</v>
      </c>
      <c r="H221" s="33"/>
      <c r="I221" s="33"/>
      <c r="J221" s="44" t="e">
        <f t="shared" si="0"/>
        <v>#N/A</v>
      </c>
      <c r="K221" s="36"/>
      <c r="L221" s="18">
        <f>SUM('Shuttle Count - Supreme (Nov 20'!C221:D221)</f>
        <v>0</v>
      </c>
      <c r="M221" s="18" t="e">
        <f>VLOOKUP(K221,'Shuttle Purchase'!A:C,3,0)</f>
        <v>#N/A</v>
      </c>
      <c r="N221" s="44" t="e">
        <f t="shared" si="15"/>
        <v>#N/A</v>
      </c>
      <c r="O221" s="24" t="e">
        <f>VLOOKUP(E221,'Court List'!$A:$C,3,0)</f>
        <v>#N/A</v>
      </c>
      <c r="P221" s="18">
        <f>COUNTIF('Pub List'!$C221:$T221,"&lt;&gt;")</f>
        <v>0</v>
      </c>
      <c r="Q221" s="20" t="e">
        <f t="shared" si="2"/>
        <v>#N/A</v>
      </c>
      <c r="R221" s="36"/>
      <c r="S221" s="18">
        <f>COUNTIF('Member List'!$C221:$J221,"&lt;&gt;")</f>
        <v>0</v>
      </c>
      <c r="T221" s="35"/>
      <c r="U221" s="24">
        <f t="shared" si="3"/>
        <v>0</v>
      </c>
      <c r="V221" s="18" t="e">
        <f t="shared" si="4"/>
        <v>#N/A</v>
      </c>
      <c r="W221" s="45" t="e">
        <f t="shared" si="5"/>
        <v>#N/A</v>
      </c>
      <c r="X221" s="20" t="e">
        <f t="shared" si="6"/>
        <v>#N/A</v>
      </c>
      <c r="Y221" s="46" t="e">
        <f t="shared" si="9"/>
        <v>#N/A</v>
      </c>
      <c r="Z221" s="39" t="e">
        <f t="shared" si="7"/>
        <v>#N/A</v>
      </c>
      <c r="AA221" s="39" t="e">
        <f t="shared" si="8"/>
        <v>#N/A</v>
      </c>
      <c r="AB221" s="39"/>
      <c r="AC221" s="48" t="e">
        <f t="shared" si="10"/>
        <v>#N/A</v>
      </c>
    </row>
    <row r="222" spans="1:29" ht="12.5" x14ac:dyDescent="0.25">
      <c r="A222" s="36"/>
      <c r="B222" s="33"/>
      <c r="C222" s="33"/>
      <c r="D222" s="33"/>
      <c r="E222" s="35"/>
      <c r="F222" s="21"/>
      <c r="G222" s="22" t="e">
        <f>VLOOKUP(E222,'Court List'!$A:$C,2,0)</f>
        <v>#N/A</v>
      </c>
      <c r="H222" s="33"/>
      <c r="I222" s="33"/>
      <c r="J222" s="44" t="e">
        <f t="shared" si="0"/>
        <v>#N/A</v>
      </c>
      <c r="K222" s="36"/>
      <c r="L222" s="18">
        <f>SUM('Shuttle Count - Supreme (Nov 20'!C222:D222)</f>
        <v>0</v>
      </c>
      <c r="M222" s="18" t="e">
        <f>VLOOKUP(K222,'Shuttle Purchase'!A:C,3,0)</f>
        <v>#N/A</v>
      </c>
      <c r="N222" s="44" t="e">
        <f t="shared" si="15"/>
        <v>#N/A</v>
      </c>
      <c r="O222" s="24" t="e">
        <f>VLOOKUP(E222,'Court List'!$A:$C,3,0)</f>
        <v>#N/A</v>
      </c>
      <c r="P222" s="18">
        <f>COUNTIF('Pub List'!$C222:$T222,"&lt;&gt;")</f>
        <v>0</v>
      </c>
      <c r="Q222" s="20" t="e">
        <f t="shared" si="2"/>
        <v>#N/A</v>
      </c>
      <c r="R222" s="36"/>
      <c r="S222" s="18">
        <f>COUNTIF('Member List'!$C222:$J222,"&lt;&gt;")</f>
        <v>0</v>
      </c>
      <c r="T222" s="35"/>
      <c r="U222" s="24">
        <f t="shared" si="3"/>
        <v>0</v>
      </c>
      <c r="V222" s="18" t="e">
        <f t="shared" si="4"/>
        <v>#N/A</v>
      </c>
      <c r="W222" s="45" t="e">
        <f t="shared" si="5"/>
        <v>#N/A</v>
      </c>
      <c r="X222" s="20" t="e">
        <f t="shared" si="6"/>
        <v>#N/A</v>
      </c>
      <c r="Y222" s="46" t="e">
        <f t="shared" si="9"/>
        <v>#N/A</v>
      </c>
      <c r="Z222" s="39" t="e">
        <f t="shared" si="7"/>
        <v>#N/A</v>
      </c>
      <c r="AA222" s="39" t="e">
        <f t="shared" si="8"/>
        <v>#N/A</v>
      </c>
      <c r="AB222" s="39"/>
      <c r="AC222" s="48" t="e">
        <f t="shared" si="10"/>
        <v>#N/A</v>
      </c>
    </row>
    <row r="223" spans="1:29" ht="12.5" x14ac:dyDescent="0.25">
      <c r="A223" s="36"/>
      <c r="B223" s="33"/>
      <c r="C223" s="33"/>
      <c r="D223" s="33"/>
      <c r="E223" s="35"/>
      <c r="F223" s="21"/>
      <c r="G223" s="22" t="e">
        <f>VLOOKUP(E223,'Court List'!$A:$C,2,0)</f>
        <v>#N/A</v>
      </c>
      <c r="H223" s="33"/>
      <c r="I223" s="33"/>
      <c r="J223" s="44" t="e">
        <f t="shared" si="0"/>
        <v>#N/A</v>
      </c>
      <c r="K223" s="36"/>
      <c r="L223" s="18">
        <f>SUM('Shuttle Count - Supreme (Nov 20'!C223:D223)</f>
        <v>0</v>
      </c>
      <c r="M223" s="18" t="e">
        <f>VLOOKUP(K223,'Shuttle Purchase'!A:C,3,0)</f>
        <v>#N/A</v>
      </c>
      <c r="N223" s="44" t="e">
        <f t="shared" si="15"/>
        <v>#N/A</v>
      </c>
      <c r="O223" s="24" t="e">
        <f>VLOOKUP(E223,'Court List'!$A:$C,3,0)</f>
        <v>#N/A</v>
      </c>
      <c r="P223" s="18">
        <f>COUNTIF('Pub List'!$C223:$T223,"&lt;&gt;")</f>
        <v>0</v>
      </c>
      <c r="Q223" s="20" t="e">
        <f t="shared" si="2"/>
        <v>#N/A</v>
      </c>
      <c r="R223" s="36"/>
      <c r="S223" s="18">
        <f>COUNTIF('Member List'!$C223:$J223,"&lt;&gt;")</f>
        <v>0</v>
      </c>
      <c r="T223" s="35"/>
      <c r="U223" s="24">
        <f t="shared" si="3"/>
        <v>0</v>
      </c>
      <c r="V223" s="18" t="e">
        <f t="shared" si="4"/>
        <v>#N/A</v>
      </c>
      <c r="W223" s="45" t="e">
        <f t="shared" si="5"/>
        <v>#N/A</v>
      </c>
      <c r="X223" s="20" t="e">
        <f t="shared" si="6"/>
        <v>#N/A</v>
      </c>
      <c r="Y223" s="46" t="e">
        <f t="shared" si="9"/>
        <v>#N/A</v>
      </c>
      <c r="Z223" s="39" t="e">
        <f t="shared" si="7"/>
        <v>#N/A</v>
      </c>
      <c r="AA223" s="39" t="e">
        <f t="shared" si="8"/>
        <v>#N/A</v>
      </c>
      <c r="AB223" s="39"/>
      <c r="AC223" s="48" t="e">
        <f t="shared" si="10"/>
        <v>#N/A</v>
      </c>
    </row>
    <row r="224" spans="1:29" ht="12.5" x14ac:dyDescent="0.25">
      <c r="A224" s="36"/>
      <c r="B224" s="33"/>
      <c r="C224" s="33"/>
      <c r="D224" s="33"/>
      <c r="E224" s="35"/>
      <c r="F224" s="21"/>
      <c r="G224" s="22" t="e">
        <f>VLOOKUP(E224,'Court List'!$A:$C,2,0)</f>
        <v>#N/A</v>
      </c>
      <c r="H224" s="33"/>
      <c r="I224" s="33"/>
      <c r="J224" s="44" t="e">
        <f t="shared" si="0"/>
        <v>#N/A</v>
      </c>
      <c r="K224" s="36"/>
      <c r="L224" s="18">
        <f>SUM('Shuttle Count - Supreme (Nov 20'!C224:D224)</f>
        <v>0</v>
      </c>
      <c r="M224" s="18" t="e">
        <f>VLOOKUP(K224,'Shuttle Purchase'!A:C,3,0)</f>
        <v>#N/A</v>
      </c>
      <c r="N224" s="44" t="e">
        <f t="shared" si="15"/>
        <v>#N/A</v>
      </c>
      <c r="O224" s="24" t="e">
        <f>VLOOKUP(E224,'Court List'!$A:$C,3,0)</f>
        <v>#N/A</v>
      </c>
      <c r="P224" s="18">
        <f>COUNTIF('Pub List'!$C224:$T224,"&lt;&gt;")</f>
        <v>0</v>
      </c>
      <c r="Q224" s="20" t="e">
        <f t="shared" si="2"/>
        <v>#N/A</v>
      </c>
      <c r="R224" s="36"/>
      <c r="S224" s="18">
        <f>COUNTIF('Member List'!$C224:$J224,"&lt;&gt;")</f>
        <v>0</v>
      </c>
      <c r="T224" s="35"/>
      <c r="U224" s="24">
        <f t="shared" si="3"/>
        <v>0</v>
      </c>
      <c r="V224" s="18" t="e">
        <f t="shared" si="4"/>
        <v>#N/A</v>
      </c>
      <c r="W224" s="45" t="e">
        <f t="shared" si="5"/>
        <v>#N/A</v>
      </c>
      <c r="X224" s="20" t="e">
        <f t="shared" si="6"/>
        <v>#N/A</v>
      </c>
      <c r="Y224" s="46" t="e">
        <f t="shared" si="9"/>
        <v>#N/A</v>
      </c>
      <c r="Z224" s="39" t="e">
        <f t="shared" si="7"/>
        <v>#N/A</v>
      </c>
      <c r="AA224" s="39" t="e">
        <f t="shared" si="8"/>
        <v>#N/A</v>
      </c>
      <c r="AB224" s="39"/>
      <c r="AC224" s="48" t="e">
        <f t="shared" si="10"/>
        <v>#N/A</v>
      </c>
    </row>
    <row r="225" spans="1:29" ht="12.5" x14ac:dyDescent="0.25">
      <c r="A225" s="36"/>
      <c r="B225" s="33"/>
      <c r="C225" s="33"/>
      <c r="D225" s="33"/>
      <c r="E225" s="35"/>
      <c r="F225" s="21"/>
      <c r="G225" s="22" t="e">
        <f>VLOOKUP(E225,'Court List'!$A:$C,2,0)</f>
        <v>#N/A</v>
      </c>
      <c r="H225" s="33"/>
      <c r="I225" s="33"/>
      <c r="J225" s="44" t="e">
        <f t="shared" si="0"/>
        <v>#N/A</v>
      </c>
      <c r="K225" s="36"/>
      <c r="L225" s="18">
        <f>SUM('Shuttle Count - Supreme (Nov 20'!C225:D225)</f>
        <v>0</v>
      </c>
      <c r="M225" s="18" t="e">
        <f>VLOOKUP(K225,'Shuttle Purchase'!A:C,3,0)</f>
        <v>#N/A</v>
      </c>
      <c r="N225" s="44" t="e">
        <f t="shared" si="15"/>
        <v>#N/A</v>
      </c>
      <c r="O225" s="24" t="e">
        <f>VLOOKUP(E225,'Court List'!$A:$C,3,0)</f>
        <v>#N/A</v>
      </c>
      <c r="P225" s="18">
        <f>COUNTIF('Pub List'!$C225:$T225,"&lt;&gt;")</f>
        <v>0</v>
      </c>
      <c r="Q225" s="20" t="e">
        <f t="shared" si="2"/>
        <v>#N/A</v>
      </c>
      <c r="R225" s="36"/>
      <c r="S225" s="18">
        <f>COUNTIF('Member List'!$C225:$J225,"&lt;&gt;")</f>
        <v>0</v>
      </c>
      <c r="T225" s="35"/>
      <c r="U225" s="24">
        <f t="shared" si="3"/>
        <v>0</v>
      </c>
      <c r="V225" s="18" t="e">
        <f t="shared" si="4"/>
        <v>#N/A</v>
      </c>
      <c r="W225" s="45" t="e">
        <f t="shared" si="5"/>
        <v>#N/A</v>
      </c>
      <c r="X225" s="20" t="e">
        <f t="shared" si="6"/>
        <v>#N/A</v>
      </c>
      <c r="Y225" s="46" t="e">
        <f t="shared" si="9"/>
        <v>#N/A</v>
      </c>
      <c r="Z225" s="39" t="e">
        <f t="shared" si="7"/>
        <v>#N/A</v>
      </c>
      <c r="AA225" s="39" t="e">
        <f t="shared" si="8"/>
        <v>#N/A</v>
      </c>
      <c r="AB225" s="39"/>
      <c r="AC225" s="48" t="e">
        <f t="shared" si="10"/>
        <v>#N/A</v>
      </c>
    </row>
    <row r="226" spans="1:29" ht="12.5" x14ac:dyDescent="0.25">
      <c r="A226" s="36"/>
      <c r="B226" s="33"/>
      <c r="C226" s="33"/>
      <c r="D226" s="33"/>
      <c r="E226" s="35"/>
      <c r="F226" s="21"/>
      <c r="G226" s="22" t="e">
        <f>VLOOKUP(E226,'Court List'!$A:$C,2,0)</f>
        <v>#N/A</v>
      </c>
      <c r="H226" s="33"/>
      <c r="I226" s="33"/>
      <c r="J226" s="44" t="e">
        <f t="shared" si="0"/>
        <v>#N/A</v>
      </c>
      <c r="K226" s="36"/>
      <c r="L226" s="18">
        <f>SUM('Shuttle Count - Supreme (Nov 20'!C226:D226)</f>
        <v>0</v>
      </c>
      <c r="M226" s="18" t="e">
        <f>VLOOKUP(K226,'Shuttle Purchase'!A:C,3,0)</f>
        <v>#N/A</v>
      </c>
      <c r="N226" s="44" t="e">
        <f t="shared" si="15"/>
        <v>#N/A</v>
      </c>
      <c r="O226" s="24" t="e">
        <f>VLOOKUP(E226,'Court List'!$A:$C,3,0)</f>
        <v>#N/A</v>
      </c>
      <c r="P226" s="18">
        <f>COUNTIF('Pub List'!$C226:$T226,"&lt;&gt;")</f>
        <v>0</v>
      </c>
      <c r="Q226" s="20" t="e">
        <f t="shared" si="2"/>
        <v>#N/A</v>
      </c>
      <c r="R226" s="36"/>
      <c r="S226" s="18">
        <f>COUNTIF('Member List'!$C226:$J226,"&lt;&gt;")</f>
        <v>0</v>
      </c>
      <c r="T226" s="35"/>
      <c r="U226" s="24">
        <f t="shared" si="3"/>
        <v>0</v>
      </c>
      <c r="V226" s="18" t="e">
        <f t="shared" si="4"/>
        <v>#N/A</v>
      </c>
      <c r="W226" s="45" t="e">
        <f t="shared" si="5"/>
        <v>#N/A</v>
      </c>
      <c r="X226" s="20" t="e">
        <f t="shared" si="6"/>
        <v>#N/A</v>
      </c>
      <c r="Y226" s="46" t="e">
        <f t="shared" si="9"/>
        <v>#N/A</v>
      </c>
      <c r="Z226" s="39" t="e">
        <f t="shared" si="7"/>
        <v>#N/A</v>
      </c>
      <c r="AA226" s="39" t="e">
        <f t="shared" si="8"/>
        <v>#N/A</v>
      </c>
      <c r="AB226" s="39"/>
      <c r="AC226" s="48" t="e">
        <f t="shared" si="10"/>
        <v>#N/A</v>
      </c>
    </row>
    <row r="227" spans="1:29" ht="12.5" x14ac:dyDescent="0.25">
      <c r="A227" s="36"/>
      <c r="B227" s="33"/>
      <c r="C227" s="33"/>
      <c r="D227" s="33"/>
      <c r="E227" s="35"/>
      <c r="F227" s="21"/>
      <c r="G227" s="22" t="e">
        <f>VLOOKUP(E227,'Court List'!$A:$C,2,0)</f>
        <v>#N/A</v>
      </c>
      <c r="H227" s="33"/>
      <c r="I227" s="33"/>
      <c r="J227" s="44" t="e">
        <f t="shared" si="0"/>
        <v>#N/A</v>
      </c>
      <c r="K227" s="36"/>
      <c r="L227" s="18">
        <f>SUM('Shuttle Count - Supreme (Nov 20'!C227:D227)</f>
        <v>0</v>
      </c>
      <c r="M227" s="18" t="e">
        <f>VLOOKUP(K227,'Shuttle Purchase'!A:C,3,0)</f>
        <v>#N/A</v>
      </c>
      <c r="N227" s="44" t="e">
        <f t="shared" si="15"/>
        <v>#N/A</v>
      </c>
      <c r="O227" s="24" t="e">
        <f>VLOOKUP(E227,'Court List'!$A:$C,3,0)</f>
        <v>#N/A</v>
      </c>
      <c r="P227" s="18">
        <f>COUNTIF('Pub List'!$C227:$T227,"&lt;&gt;")</f>
        <v>0</v>
      </c>
      <c r="Q227" s="20" t="e">
        <f t="shared" si="2"/>
        <v>#N/A</v>
      </c>
      <c r="R227" s="36"/>
      <c r="S227" s="18">
        <f>COUNTIF('Member List'!$C227:$J227,"&lt;&gt;")</f>
        <v>0</v>
      </c>
      <c r="T227" s="35"/>
      <c r="U227" s="24">
        <f t="shared" si="3"/>
        <v>0</v>
      </c>
      <c r="V227" s="18" t="e">
        <f t="shared" si="4"/>
        <v>#N/A</v>
      </c>
      <c r="W227" s="45" t="e">
        <f t="shared" si="5"/>
        <v>#N/A</v>
      </c>
      <c r="X227" s="20" t="e">
        <f t="shared" si="6"/>
        <v>#N/A</v>
      </c>
      <c r="Y227" s="46" t="e">
        <f t="shared" si="9"/>
        <v>#N/A</v>
      </c>
      <c r="Z227" s="39" t="e">
        <f t="shared" si="7"/>
        <v>#N/A</v>
      </c>
      <c r="AA227" s="39" t="e">
        <f t="shared" si="8"/>
        <v>#N/A</v>
      </c>
      <c r="AB227" s="39"/>
      <c r="AC227" s="48" t="e">
        <f t="shared" si="10"/>
        <v>#N/A</v>
      </c>
    </row>
    <row r="228" spans="1:29" ht="12.5" x14ac:dyDescent="0.25">
      <c r="A228" s="36"/>
      <c r="B228" s="33"/>
      <c r="C228" s="33"/>
      <c r="D228" s="33"/>
      <c r="E228" s="35"/>
      <c r="F228" s="21"/>
      <c r="G228" s="22" t="e">
        <f>VLOOKUP(E228,'Court List'!$A:$C,2,0)</f>
        <v>#N/A</v>
      </c>
      <c r="H228" s="33"/>
      <c r="I228" s="33"/>
      <c r="J228" s="44" t="e">
        <f t="shared" si="0"/>
        <v>#N/A</v>
      </c>
      <c r="K228" s="36"/>
      <c r="L228" s="18">
        <f>SUM('Shuttle Count - Supreme (Nov 20'!C228:D228)</f>
        <v>0</v>
      </c>
      <c r="M228" s="18" t="e">
        <f>VLOOKUP(K228,'Shuttle Purchase'!A:C,3,0)</f>
        <v>#N/A</v>
      </c>
      <c r="N228" s="44" t="e">
        <f t="shared" si="15"/>
        <v>#N/A</v>
      </c>
      <c r="O228" s="24" t="e">
        <f>VLOOKUP(E228,'Court List'!$A:$C,3,0)</f>
        <v>#N/A</v>
      </c>
      <c r="P228" s="18">
        <f>COUNTIF('Pub List'!$C228:$T228,"&lt;&gt;")</f>
        <v>0</v>
      </c>
      <c r="Q228" s="20" t="e">
        <f t="shared" si="2"/>
        <v>#N/A</v>
      </c>
      <c r="R228" s="36"/>
      <c r="S228" s="18">
        <f>COUNTIF('Member List'!$C228:$J228,"&lt;&gt;")</f>
        <v>0</v>
      </c>
      <c r="T228" s="35"/>
      <c r="U228" s="24">
        <f t="shared" si="3"/>
        <v>0</v>
      </c>
      <c r="V228" s="18" t="e">
        <f t="shared" si="4"/>
        <v>#N/A</v>
      </c>
      <c r="W228" s="45" t="e">
        <f t="shared" si="5"/>
        <v>#N/A</v>
      </c>
      <c r="X228" s="20" t="e">
        <f t="shared" si="6"/>
        <v>#N/A</v>
      </c>
      <c r="Y228" s="46" t="e">
        <f t="shared" si="9"/>
        <v>#N/A</v>
      </c>
      <c r="Z228" s="39" t="e">
        <f t="shared" si="7"/>
        <v>#N/A</v>
      </c>
      <c r="AA228" s="39" t="e">
        <f t="shared" si="8"/>
        <v>#N/A</v>
      </c>
      <c r="AB228" s="39"/>
      <c r="AC228" s="48" t="e">
        <f t="shared" si="10"/>
        <v>#N/A</v>
      </c>
    </row>
    <row r="229" spans="1:29" ht="12.5" x14ac:dyDescent="0.25">
      <c r="A229" s="36"/>
      <c r="B229" s="33"/>
      <c r="C229" s="33"/>
      <c r="D229" s="33"/>
      <c r="E229" s="35"/>
      <c r="F229" s="21"/>
      <c r="G229" s="22" t="e">
        <f>VLOOKUP(E229,'Court List'!$A:$C,2,0)</f>
        <v>#N/A</v>
      </c>
      <c r="H229" s="33"/>
      <c r="I229" s="33"/>
      <c r="J229" s="44" t="e">
        <f t="shared" si="0"/>
        <v>#N/A</v>
      </c>
      <c r="K229" s="36"/>
      <c r="L229" s="18">
        <f>SUM('Shuttle Count - Supreme (Nov 20'!C229:D229)</f>
        <v>0</v>
      </c>
      <c r="M229" s="18" t="e">
        <f>VLOOKUP(K229,'Shuttle Purchase'!A:C,3,0)</f>
        <v>#N/A</v>
      </c>
      <c r="N229" s="44" t="e">
        <f t="shared" si="15"/>
        <v>#N/A</v>
      </c>
      <c r="O229" s="24" t="e">
        <f>VLOOKUP(E229,'Court List'!$A:$C,3,0)</f>
        <v>#N/A</v>
      </c>
      <c r="P229" s="18">
        <f>COUNTIF('Pub List'!$C229:$T229,"&lt;&gt;")</f>
        <v>0</v>
      </c>
      <c r="Q229" s="20" t="e">
        <f t="shared" si="2"/>
        <v>#N/A</v>
      </c>
      <c r="R229" s="36"/>
      <c r="S229" s="18">
        <f>COUNTIF('Member List'!$C229:$J229,"&lt;&gt;")</f>
        <v>0</v>
      </c>
      <c r="T229" s="35"/>
      <c r="U229" s="24">
        <f t="shared" si="3"/>
        <v>0</v>
      </c>
      <c r="V229" s="18" t="e">
        <f t="shared" si="4"/>
        <v>#N/A</v>
      </c>
      <c r="W229" s="45" t="e">
        <f t="shared" si="5"/>
        <v>#N/A</v>
      </c>
      <c r="X229" s="20" t="e">
        <f t="shared" si="6"/>
        <v>#N/A</v>
      </c>
      <c r="Y229" s="46" t="e">
        <f t="shared" si="9"/>
        <v>#N/A</v>
      </c>
      <c r="Z229" s="39" t="e">
        <f t="shared" si="7"/>
        <v>#N/A</v>
      </c>
      <c r="AA229" s="39" t="e">
        <f t="shared" si="8"/>
        <v>#N/A</v>
      </c>
      <c r="AB229" s="39"/>
      <c r="AC229" s="48" t="e">
        <f t="shared" si="10"/>
        <v>#N/A</v>
      </c>
    </row>
    <row r="230" spans="1:29" ht="12.5" x14ac:dyDescent="0.25">
      <c r="A230" s="36"/>
      <c r="B230" s="33"/>
      <c r="C230" s="33"/>
      <c r="D230" s="33"/>
      <c r="E230" s="35"/>
      <c r="F230" s="21"/>
      <c r="G230" s="22" t="e">
        <f>VLOOKUP(E230,'Court List'!$A:$C,2,0)</f>
        <v>#N/A</v>
      </c>
      <c r="H230" s="33"/>
      <c r="I230" s="33"/>
      <c r="J230" s="44" t="e">
        <f t="shared" si="0"/>
        <v>#N/A</v>
      </c>
      <c r="K230" s="36"/>
      <c r="L230" s="18">
        <f>SUM('Shuttle Count - Supreme (Nov 20'!C230:D230)</f>
        <v>0</v>
      </c>
      <c r="M230" s="18" t="e">
        <f>VLOOKUP(K230,'Shuttle Purchase'!A:C,3,0)</f>
        <v>#N/A</v>
      </c>
      <c r="N230" s="44" t="e">
        <f t="shared" si="15"/>
        <v>#N/A</v>
      </c>
      <c r="O230" s="24" t="e">
        <f>VLOOKUP(E230,'Court List'!$A:$C,3,0)</f>
        <v>#N/A</v>
      </c>
      <c r="P230" s="18">
        <f>COUNTIF('Pub List'!$C230:$T230,"&lt;&gt;")</f>
        <v>0</v>
      </c>
      <c r="Q230" s="20" t="e">
        <f t="shared" si="2"/>
        <v>#N/A</v>
      </c>
      <c r="R230" s="36"/>
      <c r="S230" s="18">
        <f>COUNTIF('Member List'!$C230:$J230,"&lt;&gt;")</f>
        <v>0</v>
      </c>
      <c r="T230" s="35"/>
      <c r="U230" s="24">
        <f t="shared" si="3"/>
        <v>0</v>
      </c>
      <c r="V230" s="18" t="e">
        <f t="shared" si="4"/>
        <v>#N/A</v>
      </c>
      <c r="W230" s="45" t="e">
        <f t="shared" si="5"/>
        <v>#N/A</v>
      </c>
      <c r="X230" s="20" t="e">
        <f t="shared" si="6"/>
        <v>#N/A</v>
      </c>
      <c r="Y230" s="46" t="e">
        <f t="shared" si="9"/>
        <v>#N/A</v>
      </c>
      <c r="Z230" s="39" t="e">
        <f t="shared" si="7"/>
        <v>#N/A</v>
      </c>
      <c r="AA230" s="39" t="e">
        <f t="shared" si="8"/>
        <v>#N/A</v>
      </c>
      <c r="AB230" s="39"/>
      <c r="AC230" s="48" t="e">
        <f t="shared" si="10"/>
        <v>#N/A</v>
      </c>
    </row>
    <row r="231" spans="1:29" ht="12.5" x14ac:dyDescent="0.25">
      <c r="A231" s="36"/>
      <c r="B231" s="33"/>
      <c r="C231" s="33"/>
      <c r="D231" s="33"/>
      <c r="E231" s="35"/>
      <c r="F231" s="21"/>
      <c r="G231" s="22" t="e">
        <f>VLOOKUP(E231,'Court List'!$A:$C,2,0)</f>
        <v>#N/A</v>
      </c>
      <c r="H231" s="33"/>
      <c r="I231" s="33"/>
      <c r="J231" s="44" t="e">
        <f t="shared" si="0"/>
        <v>#N/A</v>
      </c>
      <c r="K231" s="36"/>
      <c r="L231" s="18">
        <f>SUM('Shuttle Count - Supreme (Nov 20'!C231:D231)</f>
        <v>0</v>
      </c>
      <c r="M231" s="18" t="e">
        <f>VLOOKUP(K231,'Shuttle Purchase'!A:C,3,0)</f>
        <v>#N/A</v>
      </c>
      <c r="N231" s="44" t="e">
        <f t="shared" si="15"/>
        <v>#N/A</v>
      </c>
      <c r="O231" s="24" t="e">
        <f>VLOOKUP(E231,'Court List'!$A:$C,3,0)</f>
        <v>#N/A</v>
      </c>
      <c r="P231" s="18">
        <f>COUNTIF('Pub List'!$C231:$T231,"&lt;&gt;")</f>
        <v>0</v>
      </c>
      <c r="Q231" s="20" t="e">
        <f t="shared" si="2"/>
        <v>#N/A</v>
      </c>
      <c r="R231" s="36"/>
      <c r="S231" s="18">
        <f>COUNTIF('Member List'!$C231:$J231,"&lt;&gt;")</f>
        <v>0</v>
      </c>
      <c r="T231" s="35"/>
      <c r="U231" s="24">
        <f t="shared" si="3"/>
        <v>0</v>
      </c>
      <c r="V231" s="18" t="e">
        <f t="shared" si="4"/>
        <v>#N/A</v>
      </c>
      <c r="W231" s="45" t="e">
        <f t="shared" si="5"/>
        <v>#N/A</v>
      </c>
      <c r="X231" s="20" t="e">
        <f t="shared" si="6"/>
        <v>#N/A</v>
      </c>
      <c r="Y231" s="46" t="e">
        <f t="shared" si="9"/>
        <v>#N/A</v>
      </c>
      <c r="Z231" s="39" t="e">
        <f t="shared" si="7"/>
        <v>#N/A</v>
      </c>
      <c r="AA231" s="39" t="e">
        <f t="shared" si="8"/>
        <v>#N/A</v>
      </c>
      <c r="AB231" s="39"/>
      <c r="AC231" s="48" t="e">
        <f t="shared" si="10"/>
        <v>#N/A</v>
      </c>
    </row>
    <row r="232" spans="1:29" ht="12.5" x14ac:dyDescent="0.25">
      <c r="A232" s="36"/>
      <c r="B232" s="33"/>
      <c r="C232" s="33"/>
      <c r="D232" s="33"/>
      <c r="E232" s="35"/>
      <c r="F232" s="21"/>
      <c r="G232" s="22" t="e">
        <f>VLOOKUP(E232,'Court List'!$A:$C,2,0)</f>
        <v>#N/A</v>
      </c>
      <c r="H232" s="33"/>
      <c r="I232" s="33"/>
      <c r="J232" s="44" t="e">
        <f t="shared" si="0"/>
        <v>#N/A</v>
      </c>
      <c r="K232" s="36"/>
      <c r="L232" s="18">
        <f>SUM('Shuttle Count - Supreme (Nov 20'!C232:D232)</f>
        <v>0</v>
      </c>
      <c r="M232" s="18" t="e">
        <f>VLOOKUP(K232,'Shuttle Purchase'!A:C,3,0)</f>
        <v>#N/A</v>
      </c>
      <c r="N232" s="44" t="e">
        <f t="shared" si="15"/>
        <v>#N/A</v>
      </c>
      <c r="O232" s="24" t="e">
        <f>VLOOKUP(E232,'Court List'!$A:$C,3,0)</f>
        <v>#N/A</v>
      </c>
      <c r="P232" s="18">
        <f>COUNTIF('Pub List'!$C232:$T232,"&lt;&gt;")</f>
        <v>0</v>
      </c>
      <c r="Q232" s="20" t="e">
        <f t="shared" si="2"/>
        <v>#N/A</v>
      </c>
      <c r="R232" s="36"/>
      <c r="S232" s="18">
        <f>COUNTIF('Member List'!$C232:$J232,"&lt;&gt;")</f>
        <v>0</v>
      </c>
      <c r="T232" s="35"/>
      <c r="U232" s="24">
        <f t="shared" si="3"/>
        <v>0</v>
      </c>
      <c r="V232" s="18" t="e">
        <f t="shared" si="4"/>
        <v>#N/A</v>
      </c>
      <c r="W232" s="45" t="e">
        <f t="shared" si="5"/>
        <v>#N/A</v>
      </c>
      <c r="X232" s="20" t="e">
        <f t="shared" si="6"/>
        <v>#N/A</v>
      </c>
      <c r="Y232" s="46" t="e">
        <f t="shared" si="9"/>
        <v>#N/A</v>
      </c>
      <c r="Z232" s="39" t="e">
        <f t="shared" si="7"/>
        <v>#N/A</v>
      </c>
      <c r="AA232" s="39" t="e">
        <f t="shared" si="8"/>
        <v>#N/A</v>
      </c>
      <c r="AB232" s="39"/>
      <c r="AC232" s="48" t="e">
        <f t="shared" si="10"/>
        <v>#N/A</v>
      </c>
    </row>
    <row r="233" spans="1:29" ht="12.5" x14ac:dyDescent="0.25">
      <c r="A233" s="36"/>
      <c r="B233" s="33"/>
      <c r="C233" s="33"/>
      <c r="D233" s="33"/>
      <c r="E233" s="35"/>
      <c r="F233" s="21"/>
      <c r="G233" s="22" t="e">
        <f>VLOOKUP(E233,'Court List'!$A:$C,2,0)</f>
        <v>#N/A</v>
      </c>
      <c r="H233" s="33"/>
      <c r="I233" s="33"/>
      <c r="J233" s="44" t="e">
        <f t="shared" si="0"/>
        <v>#N/A</v>
      </c>
      <c r="K233" s="36"/>
      <c r="L233" s="18">
        <f>SUM('Shuttle Count - Supreme (Nov 20'!C233:D233)</f>
        <v>0</v>
      </c>
      <c r="M233" s="18" t="e">
        <f>VLOOKUP(K233,'Shuttle Purchase'!A:C,3,0)</f>
        <v>#N/A</v>
      </c>
      <c r="N233" s="44" t="e">
        <f t="shared" si="15"/>
        <v>#N/A</v>
      </c>
      <c r="O233" s="24" t="e">
        <f>VLOOKUP(E233,'Court List'!$A:$C,3,0)</f>
        <v>#N/A</v>
      </c>
      <c r="P233" s="18">
        <f>COUNTIF('Pub List'!$C233:$T233,"&lt;&gt;")</f>
        <v>0</v>
      </c>
      <c r="Q233" s="20" t="e">
        <f t="shared" si="2"/>
        <v>#N/A</v>
      </c>
      <c r="R233" s="36"/>
      <c r="S233" s="18">
        <f>COUNTIF('Member List'!$C233:$J233,"&lt;&gt;")</f>
        <v>0</v>
      </c>
      <c r="T233" s="35"/>
      <c r="U233" s="24">
        <f t="shared" si="3"/>
        <v>0</v>
      </c>
      <c r="V233" s="18" t="e">
        <f t="shared" si="4"/>
        <v>#N/A</v>
      </c>
      <c r="W233" s="45" t="e">
        <f t="shared" si="5"/>
        <v>#N/A</v>
      </c>
      <c r="X233" s="20" t="e">
        <f t="shared" si="6"/>
        <v>#N/A</v>
      </c>
      <c r="Y233" s="46" t="e">
        <f t="shared" si="9"/>
        <v>#N/A</v>
      </c>
      <c r="Z233" s="39" t="e">
        <f t="shared" si="7"/>
        <v>#N/A</v>
      </c>
      <c r="AA233" s="39" t="e">
        <f t="shared" si="8"/>
        <v>#N/A</v>
      </c>
      <c r="AB233" s="39"/>
      <c r="AC233" s="48" t="e">
        <f t="shared" si="10"/>
        <v>#N/A</v>
      </c>
    </row>
    <row r="234" spans="1:29" ht="12.5" x14ac:dyDescent="0.25">
      <c r="A234" s="36"/>
      <c r="B234" s="33"/>
      <c r="C234" s="33"/>
      <c r="D234" s="33"/>
      <c r="E234" s="35"/>
      <c r="F234" s="21"/>
      <c r="G234" s="22" t="e">
        <f>VLOOKUP(E234,'Court List'!$A:$C,2,0)</f>
        <v>#N/A</v>
      </c>
      <c r="H234" s="33"/>
      <c r="I234" s="33"/>
      <c r="J234" s="44" t="e">
        <f t="shared" si="0"/>
        <v>#N/A</v>
      </c>
      <c r="K234" s="36"/>
      <c r="L234" s="18">
        <f>SUM('Shuttle Count - Supreme (Nov 20'!C234:D234)</f>
        <v>0</v>
      </c>
      <c r="M234" s="18" t="e">
        <f>VLOOKUP(K234,'Shuttle Purchase'!A:C,3,0)</f>
        <v>#N/A</v>
      </c>
      <c r="N234" s="44" t="e">
        <f t="shared" si="15"/>
        <v>#N/A</v>
      </c>
      <c r="O234" s="24" t="e">
        <f>VLOOKUP(E234,'Court List'!$A:$C,3,0)</f>
        <v>#N/A</v>
      </c>
      <c r="P234" s="18">
        <f>COUNTIF('Pub List'!$C234:$T234,"&lt;&gt;")</f>
        <v>0</v>
      </c>
      <c r="Q234" s="20" t="e">
        <f t="shared" si="2"/>
        <v>#N/A</v>
      </c>
      <c r="R234" s="36"/>
      <c r="S234" s="18">
        <f>COUNTIF('Member List'!$C234:$J234,"&lt;&gt;")</f>
        <v>0</v>
      </c>
      <c r="T234" s="35"/>
      <c r="U234" s="24">
        <f t="shared" si="3"/>
        <v>0</v>
      </c>
      <c r="V234" s="18" t="e">
        <f t="shared" si="4"/>
        <v>#N/A</v>
      </c>
      <c r="W234" s="45" t="e">
        <f t="shared" si="5"/>
        <v>#N/A</v>
      </c>
      <c r="X234" s="20" t="e">
        <f t="shared" si="6"/>
        <v>#N/A</v>
      </c>
      <c r="Y234" s="46" t="e">
        <f t="shared" si="9"/>
        <v>#N/A</v>
      </c>
      <c r="Z234" s="39" t="e">
        <f t="shared" si="7"/>
        <v>#N/A</v>
      </c>
      <c r="AA234" s="39" t="e">
        <f t="shared" si="8"/>
        <v>#N/A</v>
      </c>
      <c r="AB234" s="39"/>
      <c r="AC234" s="48" t="e">
        <f t="shared" si="10"/>
        <v>#N/A</v>
      </c>
    </row>
    <row r="235" spans="1:29" ht="12.5" x14ac:dyDescent="0.25">
      <c r="A235" s="36"/>
      <c r="B235" s="33"/>
      <c r="C235" s="33"/>
      <c r="D235" s="33"/>
      <c r="E235" s="35"/>
      <c r="F235" s="21"/>
      <c r="G235" s="22" t="e">
        <f>VLOOKUP(E235,'Court List'!$A:$C,2,0)</f>
        <v>#N/A</v>
      </c>
      <c r="H235" s="33"/>
      <c r="I235" s="33"/>
      <c r="J235" s="44" t="e">
        <f t="shared" si="0"/>
        <v>#N/A</v>
      </c>
      <c r="K235" s="36"/>
      <c r="L235" s="18">
        <f>SUM('Shuttle Count - Supreme (Nov 20'!C235:D235)</f>
        <v>0</v>
      </c>
      <c r="M235" s="18" t="e">
        <f>VLOOKUP(K235,'Shuttle Purchase'!A:C,3,0)</f>
        <v>#N/A</v>
      </c>
      <c r="N235" s="44" t="e">
        <f t="shared" si="15"/>
        <v>#N/A</v>
      </c>
      <c r="O235" s="24" t="e">
        <f>VLOOKUP(E235,'Court List'!$A:$C,3,0)</f>
        <v>#N/A</v>
      </c>
      <c r="P235" s="18">
        <f>COUNTIF('Pub List'!$C235:$T235,"&lt;&gt;")</f>
        <v>0</v>
      </c>
      <c r="Q235" s="20" t="e">
        <f t="shared" si="2"/>
        <v>#N/A</v>
      </c>
      <c r="R235" s="36"/>
      <c r="S235" s="18">
        <f>COUNTIF('Member List'!$C235:$J235,"&lt;&gt;")</f>
        <v>0</v>
      </c>
      <c r="T235" s="35"/>
      <c r="U235" s="24">
        <f t="shared" si="3"/>
        <v>0</v>
      </c>
      <c r="V235" s="18" t="e">
        <f t="shared" si="4"/>
        <v>#N/A</v>
      </c>
      <c r="W235" s="45" t="e">
        <f t="shared" si="5"/>
        <v>#N/A</v>
      </c>
      <c r="X235" s="20" t="e">
        <f t="shared" si="6"/>
        <v>#N/A</v>
      </c>
      <c r="Y235" s="46" t="e">
        <f t="shared" si="9"/>
        <v>#N/A</v>
      </c>
      <c r="Z235" s="39" t="e">
        <f t="shared" si="7"/>
        <v>#N/A</v>
      </c>
      <c r="AA235" s="39" t="e">
        <f t="shared" si="8"/>
        <v>#N/A</v>
      </c>
      <c r="AB235" s="39"/>
      <c r="AC235" s="48" t="e">
        <f t="shared" si="10"/>
        <v>#N/A</v>
      </c>
    </row>
    <row r="236" spans="1:29" ht="12.5" x14ac:dyDescent="0.25">
      <c r="A236" s="36"/>
      <c r="B236" s="33"/>
      <c r="C236" s="33"/>
      <c r="D236" s="33"/>
      <c r="E236" s="35"/>
      <c r="F236" s="21"/>
      <c r="G236" s="22" t="e">
        <f>VLOOKUP(E236,'Court List'!$A:$C,2,0)</f>
        <v>#N/A</v>
      </c>
      <c r="H236" s="33"/>
      <c r="I236" s="33"/>
      <c r="J236" s="44" t="e">
        <f t="shared" si="0"/>
        <v>#N/A</v>
      </c>
      <c r="K236" s="36"/>
      <c r="L236" s="18">
        <f>SUM('Shuttle Count - Supreme (Nov 20'!C236:D236)</f>
        <v>0</v>
      </c>
      <c r="M236" s="18" t="e">
        <f>VLOOKUP(K236,'Shuttle Purchase'!A:C,3,0)</f>
        <v>#N/A</v>
      </c>
      <c r="N236" s="44" t="e">
        <f t="shared" si="15"/>
        <v>#N/A</v>
      </c>
      <c r="O236" s="24" t="e">
        <f>VLOOKUP(E236,'Court List'!$A:$C,3,0)</f>
        <v>#N/A</v>
      </c>
      <c r="P236" s="18">
        <f>COUNTIF('Pub List'!$C236:$T236,"&lt;&gt;")</f>
        <v>0</v>
      </c>
      <c r="Q236" s="20" t="e">
        <f t="shared" si="2"/>
        <v>#N/A</v>
      </c>
      <c r="R236" s="36"/>
      <c r="S236" s="18">
        <f>COUNTIF('Member List'!$C236:$J236,"&lt;&gt;")</f>
        <v>0</v>
      </c>
      <c r="T236" s="35"/>
      <c r="U236" s="24">
        <f t="shared" si="3"/>
        <v>0</v>
      </c>
      <c r="V236" s="18" t="e">
        <f t="shared" si="4"/>
        <v>#N/A</v>
      </c>
      <c r="W236" s="45" t="e">
        <f t="shared" si="5"/>
        <v>#N/A</v>
      </c>
      <c r="X236" s="20" t="e">
        <f t="shared" si="6"/>
        <v>#N/A</v>
      </c>
      <c r="Y236" s="46" t="e">
        <f t="shared" si="9"/>
        <v>#N/A</v>
      </c>
      <c r="Z236" s="39" t="e">
        <f t="shared" si="7"/>
        <v>#N/A</v>
      </c>
      <c r="AA236" s="39" t="e">
        <f t="shared" si="8"/>
        <v>#N/A</v>
      </c>
      <c r="AB236" s="39"/>
      <c r="AC236" s="48" t="e">
        <f t="shared" si="10"/>
        <v>#N/A</v>
      </c>
    </row>
    <row r="237" spans="1:29" ht="12.5" x14ac:dyDescent="0.25">
      <c r="A237" s="36"/>
      <c r="B237" s="33"/>
      <c r="C237" s="33"/>
      <c r="D237" s="33"/>
      <c r="E237" s="35"/>
      <c r="F237" s="21"/>
      <c r="G237" s="22" t="e">
        <f>VLOOKUP(E237,'Court List'!$A:$C,2,0)</f>
        <v>#N/A</v>
      </c>
      <c r="H237" s="33"/>
      <c r="I237" s="33"/>
      <c r="J237" s="44" t="e">
        <f t="shared" si="0"/>
        <v>#N/A</v>
      </c>
      <c r="K237" s="36"/>
      <c r="L237" s="18">
        <f>SUM('Shuttle Count - Supreme (Nov 20'!C237:D237)</f>
        <v>0</v>
      </c>
      <c r="M237" s="18" t="e">
        <f>VLOOKUP(K237,'Shuttle Purchase'!A:C,3,0)</f>
        <v>#N/A</v>
      </c>
      <c r="N237" s="44" t="e">
        <f t="shared" si="15"/>
        <v>#N/A</v>
      </c>
      <c r="O237" s="24" t="e">
        <f>VLOOKUP(E237,'Court List'!$A:$C,3,0)</f>
        <v>#N/A</v>
      </c>
      <c r="P237" s="18">
        <f>COUNTIF('Pub List'!$C237:$T237,"&lt;&gt;")</f>
        <v>0</v>
      </c>
      <c r="Q237" s="20" t="e">
        <f t="shared" si="2"/>
        <v>#N/A</v>
      </c>
      <c r="R237" s="36"/>
      <c r="S237" s="18">
        <f>COUNTIF('Member List'!$C237:$J237,"&lt;&gt;")</f>
        <v>0</v>
      </c>
      <c r="T237" s="35"/>
      <c r="U237" s="24">
        <f t="shared" si="3"/>
        <v>0</v>
      </c>
      <c r="V237" s="18" t="e">
        <f t="shared" si="4"/>
        <v>#N/A</v>
      </c>
      <c r="W237" s="45" t="e">
        <f t="shared" si="5"/>
        <v>#N/A</v>
      </c>
      <c r="X237" s="20" t="e">
        <f t="shared" si="6"/>
        <v>#N/A</v>
      </c>
      <c r="Y237" s="46" t="e">
        <f t="shared" si="9"/>
        <v>#N/A</v>
      </c>
      <c r="Z237" s="39" t="e">
        <f t="shared" si="7"/>
        <v>#N/A</v>
      </c>
      <c r="AA237" s="39" t="e">
        <f t="shared" si="8"/>
        <v>#N/A</v>
      </c>
      <c r="AB237" s="39"/>
      <c r="AC237" s="48" t="e">
        <f t="shared" si="10"/>
        <v>#N/A</v>
      </c>
    </row>
    <row r="238" spans="1:29" ht="12.5" x14ac:dyDescent="0.25">
      <c r="A238" s="36"/>
      <c r="B238" s="33"/>
      <c r="C238" s="33"/>
      <c r="D238" s="33"/>
      <c r="E238" s="35"/>
      <c r="F238" s="21"/>
      <c r="G238" s="22" t="e">
        <f>VLOOKUP(E238,'Court List'!$A:$C,2,0)</f>
        <v>#N/A</v>
      </c>
      <c r="H238" s="33"/>
      <c r="I238" s="33"/>
      <c r="J238" s="44" t="e">
        <f t="shared" si="0"/>
        <v>#N/A</v>
      </c>
      <c r="K238" s="36"/>
      <c r="L238" s="18">
        <f>SUM('Shuttle Count - Supreme (Nov 20'!C238:D238)</f>
        <v>0</v>
      </c>
      <c r="M238" s="18" t="e">
        <f>VLOOKUP(K238,'Shuttle Purchase'!A:C,3,0)</f>
        <v>#N/A</v>
      </c>
      <c r="N238" s="44" t="e">
        <f t="shared" si="15"/>
        <v>#N/A</v>
      </c>
      <c r="O238" s="24" t="e">
        <f>VLOOKUP(E238,'Court List'!$A:$C,3,0)</f>
        <v>#N/A</v>
      </c>
      <c r="P238" s="18">
        <f>COUNTIF('Pub List'!$C238:$T238,"&lt;&gt;")</f>
        <v>0</v>
      </c>
      <c r="Q238" s="20" t="e">
        <f t="shared" si="2"/>
        <v>#N/A</v>
      </c>
      <c r="R238" s="36"/>
      <c r="S238" s="18">
        <f>COUNTIF('Member List'!$C238:$J238,"&lt;&gt;")</f>
        <v>0</v>
      </c>
      <c r="T238" s="35"/>
      <c r="U238" s="24">
        <f t="shared" si="3"/>
        <v>0</v>
      </c>
      <c r="V238" s="18" t="e">
        <f t="shared" si="4"/>
        <v>#N/A</v>
      </c>
      <c r="W238" s="45" t="e">
        <f t="shared" si="5"/>
        <v>#N/A</v>
      </c>
      <c r="X238" s="20" t="e">
        <f t="shared" si="6"/>
        <v>#N/A</v>
      </c>
      <c r="Y238" s="46" t="e">
        <f t="shared" si="9"/>
        <v>#N/A</v>
      </c>
      <c r="Z238" s="39" t="e">
        <f t="shared" si="7"/>
        <v>#N/A</v>
      </c>
      <c r="AA238" s="39" t="e">
        <f t="shared" si="8"/>
        <v>#N/A</v>
      </c>
      <c r="AB238" s="39"/>
      <c r="AC238" s="48" t="e">
        <f t="shared" si="10"/>
        <v>#N/A</v>
      </c>
    </row>
    <row r="239" spans="1:29" ht="12.5" x14ac:dyDescent="0.25">
      <c r="A239" s="36"/>
      <c r="B239" s="33"/>
      <c r="C239" s="33"/>
      <c r="D239" s="33"/>
      <c r="E239" s="35"/>
      <c r="F239" s="21"/>
      <c r="G239" s="22" t="e">
        <f>VLOOKUP(E239,'Court List'!$A:$C,2,0)</f>
        <v>#N/A</v>
      </c>
      <c r="H239" s="33"/>
      <c r="I239" s="33"/>
      <c r="J239" s="44" t="e">
        <f t="shared" si="0"/>
        <v>#N/A</v>
      </c>
      <c r="K239" s="36"/>
      <c r="L239" s="18">
        <f>SUM('Shuttle Count - Supreme (Nov 20'!C239:D239)</f>
        <v>0</v>
      </c>
      <c r="M239" s="18" t="e">
        <f>VLOOKUP(K239,'Shuttle Purchase'!A:C,3,0)</f>
        <v>#N/A</v>
      </c>
      <c r="N239" s="44" t="e">
        <f t="shared" si="15"/>
        <v>#N/A</v>
      </c>
      <c r="O239" s="24" t="e">
        <f>VLOOKUP(E239,'Court List'!$A:$C,3,0)</f>
        <v>#N/A</v>
      </c>
      <c r="P239" s="18">
        <f>COUNTIF('Pub List'!$C239:$T239,"&lt;&gt;")</f>
        <v>0</v>
      </c>
      <c r="Q239" s="20" t="e">
        <f t="shared" si="2"/>
        <v>#N/A</v>
      </c>
      <c r="R239" s="36"/>
      <c r="S239" s="18">
        <f>COUNTIF('Member List'!$C239:$J239,"&lt;&gt;")</f>
        <v>0</v>
      </c>
      <c r="T239" s="35"/>
      <c r="U239" s="24">
        <f t="shared" si="3"/>
        <v>0</v>
      </c>
      <c r="V239" s="18" t="e">
        <f t="shared" si="4"/>
        <v>#N/A</v>
      </c>
      <c r="W239" s="45" t="e">
        <f t="shared" si="5"/>
        <v>#N/A</v>
      </c>
      <c r="X239" s="20" t="e">
        <f t="shared" si="6"/>
        <v>#N/A</v>
      </c>
      <c r="Y239" s="46" t="e">
        <f t="shared" si="9"/>
        <v>#N/A</v>
      </c>
      <c r="Z239" s="39" t="e">
        <f t="shared" si="7"/>
        <v>#N/A</v>
      </c>
      <c r="AA239" s="39" t="e">
        <f t="shared" si="8"/>
        <v>#N/A</v>
      </c>
      <c r="AB239" s="39"/>
      <c r="AC239" s="48" t="e">
        <f t="shared" si="10"/>
        <v>#N/A</v>
      </c>
    </row>
    <row r="240" spans="1:29" ht="12.5" x14ac:dyDescent="0.25">
      <c r="A240" s="36"/>
      <c r="B240" s="33"/>
      <c r="C240" s="33"/>
      <c r="D240" s="33"/>
      <c r="E240" s="35"/>
      <c r="F240" s="21"/>
      <c r="G240" s="22" t="e">
        <f>VLOOKUP(E240,'Court List'!$A:$C,2,0)</f>
        <v>#N/A</v>
      </c>
      <c r="H240" s="33"/>
      <c r="I240" s="33"/>
      <c r="J240" s="44" t="e">
        <f t="shared" si="0"/>
        <v>#N/A</v>
      </c>
      <c r="K240" s="36"/>
      <c r="L240" s="18">
        <f>SUM('Shuttle Count - Supreme (Nov 20'!C240:D240)</f>
        <v>0</v>
      </c>
      <c r="M240" s="18" t="e">
        <f>VLOOKUP(K240,'Shuttle Purchase'!A:C,3,0)</f>
        <v>#N/A</v>
      </c>
      <c r="N240" s="44" t="e">
        <f t="shared" si="15"/>
        <v>#N/A</v>
      </c>
      <c r="O240" s="24" t="e">
        <f>VLOOKUP(E240,'Court List'!$A:$C,3,0)</f>
        <v>#N/A</v>
      </c>
      <c r="P240" s="18">
        <f>COUNTIF('Pub List'!$C240:$T240,"&lt;&gt;")</f>
        <v>0</v>
      </c>
      <c r="Q240" s="20" t="e">
        <f t="shared" si="2"/>
        <v>#N/A</v>
      </c>
      <c r="R240" s="36"/>
      <c r="S240" s="18">
        <f>COUNTIF('Member List'!$C240:$J240,"&lt;&gt;")</f>
        <v>0</v>
      </c>
      <c r="T240" s="35"/>
      <c r="U240" s="24">
        <f t="shared" si="3"/>
        <v>0</v>
      </c>
      <c r="V240" s="18" t="e">
        <f t="shared" si="4"/>
        <v>#N/A</v>
      </c>
      <c r="W240" s="45" t="e">
        <f t="shared" si="5"/>
        <v>#N/A</v>
      </c>
      <c r="X240" s="20" t="e">
        <f t="shared" si="6"/>
        <v>#N/A</v>
      </c>
      <c r="Y240" s="46" t="e">
        <f t="shared" si="9"/>
        <v>#N/A</v>
      </c>
      <c r="Z240" s="39" t="e">
        <f t="shared" si="7"/>
        <v>#N/A</v>
      </c>
      <c r="AA240" s="39" t="e">
        <f t="shared" si="8"/>
        <v>#N/A</v>
      </c>
      <c r="AB240" s="39"/>
      <c r="AC240" s="48" t="e">
        <f t="shared" si="10"/>
        <v>#N/A</v>
      </c>
    </row>
    <row r="241" spans="1:29" ht="12.5" x14ac:dyDescent="0.25">
      <c r="A241" s="36"/>
      <c r="B241" s="33"/>
      <c r="C241" s="33"/>
      <c r="D241" s="33"/>
      <c r="E241" s="35"/>
      <c r="F241" s="21"/>
      <c r="G241" s="22" t="e">
        <f>VLOOKUP(E241,'Court List'!$A:$C,2,0)</f>
        <v>#N/A</v>
      </c>
      <c r="H241" s="33"/>
      <c r="I241" s="33"/>
      <c r="J241" s="44" t="e">
        <f t="shared" si="0"/>
        <v>#N/A</v>
      </c>
      <c r="K241" s="36"/>
      <c r="L241" s="18">
        <f>SUM('Shuttle Count - Supreme (Nov 20'!C241:D241)</f>
        <v>0</v>
      </c>
      <c r="M241" s="18" t="e">
        <f>VLOOKUP(K241,'Shuttle Purchase'!A:C,3,0)</f>
        <v>#N/A</v>
      </c>
      <c r="N241" s="44" t="e">
        <f t="shared" si="15"/>
        <v>#N/A</v>
      </c>
      <c r="O241" s="24" t="e">
        <f>VLOOKUP(E241,'Court List'!$A:$C,3,0)</f>
        <v>#N/A</v>
      </c>
      <c r="P241" s="18">
        <f>COUNTIF('Pub List'!$C241:$T241,"&lt;&gt;")</f>
        <v>0</v>
      </c>
      <c r="Q241" s="20" t="e">
        <f t="shared" si="2"/>
        <v>#N/A</v>
      </c>
      <c r="R241" s="36"/>
      <c r="S241" s="18">
        <f>COUNTIF('Member List'!$C241:$J241,"&lt;&gt;")</f>
        <v>0</v>
      </c>
      <c r="T241" s="35"/>
      <c r="U241" s="24">
        <f t="shared" si="3"/>
        <v>0</v>
      </c>
      <c r="V241" s="18" t="e">
        <f t="shared" si="4"/>
        <v>#N/A</v>
      </c>
      <c r="W241" s="45" t="e">
        <f t="shared" si="5"/>
        <v>#N/A</v>
      </c>
      <c r="X241" s="20" t="e">
        <f t="shared" si="6"/>
        <v>#N/A</v>
      </c>
      <c r="Y241" s="46" t="e">
        <f t="shared" si="9"/>
        <v>#N/A</v>
      </c>
      <c r="Z241" s="39" t="e">
        <f t="shared" si="7"/>
        <v>#N/A</v>
      </c>
      <c r="AA241" s="39" t="e">
        <f t="shared" si="8"/>
        <v>#N/A</v>
      </c>
      <c r="AB241" s="39"/>
      <c r="AC241" s="48" t="e">
        <f t="shared" si="10"/>
        <v>#N/A</v>
      </c>
    </row>
    <row r="242" spans="1:29" ht="12.5" x14ac:dyDescent="0.25">
      <c r="A242" s="36"/>
      <c r="B242" s="33"/>
      <c r="C242" s="33"/>
      <c r="D242" s="33"/>
      <c r="E242" s="35"/>
      <c r="F242" s="21"/>
      <c r="G242" s="22" t="e">
        <f>VLOOKUP(E242,'Court List'!$A:$C,2,0)</f>
        <v>#N/A</v>
      </c>
      <c r="H242" s="33"/>
      <c r="I242" s="33"/>
      <c r="J242" s="44" t="e">
        <f t="shared" si="0"/>
        <v>#N/A</v>
      </c>
      <c r="K242" s="36"/>
      <c r="L242" s="18">
        <f>SUM('Shuttle Count - Supreme (Nov 20'!C242:D242)</f>
        <v>0</v>
      </c>
      <c r="M242" s="18" t="e">
        <f>VLOOKUP(K242,'Shuttle Purchase'!A:C,3,0)</f>
        <v>#N/A</v>
      </c>
      <c r="N242" s="44" t="e">
        <f t="shared" si="15"/>
        <v>#N/A</v>
      </c>
      <c r="O242" s="24" t="e">
        <f>VLOOKUP(E242,'Court List'!$A:$C,3,0)</f>
        <v>#N/A</v>
      </c>
      <c r="P242" s="18">
        <f>COUNTIF('Pub List'!$C242:$T242,"&lt;&gt;")</f>
        <v>0</v>
      </c>
      <c r="Q242" s="20" t="e">
        <f t="shared" si="2"/>
        <v>#N/A</v>
      </c>
      <c r="R242" s="36"/>
      <c r="S242" s="18">
        <f>COUNTIF('Member List'!$C242:$J242,"&lt;&gt;")</f>
        <v>0</v>
      </c>
      <c r="T242" s="35"/>
      <c r="U242" s="24">
        <f t="shared" si="3"/>
        <v>0</v>
      </c>
      <c r="V242" s="18" t="e">
        <f t="shared" si="4"/>
        <v>#N/A</v>
      </c>
      <c r="W242" s="45" t="e">
        <f t="shared" si="5"/>
        <v>#N/A</v>
      </c>
      <c r="X242" s="20" t="e">
        <f t="shared" si="6"/>
        <v>#N/A</v>
      </c>
      <c r="Y242" s="46" t="e">
        <f t="shared" si="9"/>
        <v>#N/A</v>
      </c>
      <c r="Z242" s="39" t="e">
        <f t="shared" si="7"/>
        <v>#N/A</v>
      </c>
      <c r="AA242" s="39" t="e">
        <f t="shared" si="8"/>
        <v>#N/A</v>
      </c>
      <c r="AB242" s="39"/>
      <c r="AC242" s="48" t="e">
        <f t="shared" si="10"/>
        <v>#N/A</v>
      </c>
    </row>
    <row r="243" spans="1:29" ht="12.5" x14ac:dyDescent="0.25">
      <c r="A243" s="36"/>
      <c r="B243" s="33"/>
      <c r="C243" s="33"/>
      <c r="D243" s="33"/>
      <c r="E243" s="35"/>
      <c r="F243" s="21"/>
      <c r="G243" s="22" t="e">
        <f>VLOOKUP(E243,'Court List'!$A:$C,2,0)</f>
        <v>#N/A</v>
      </c>
      <c r="H243" s="33"/>
      <c r="I243" s="33"/>
      <c r="J243" s="44" t="e">
        <f t="shared" si="0"/>
        <v>#N/A</v>
      </c>
      <c r="K243" s="36"/>
      <c r="L243" s="18">
        <f>SUM('Shuttle Count - Supreme (Nov 20'!C243:D243)</f>
        <v>0</v>
      </c>
      <c r="M243" s="18" t="e">
        <f>VLOOKUP(K243,'Shuttle Purchase'!A:C,3,0)</f>
        <v>#N/A</v>
      </c>
      <c r="N243" s="44" t="e">
        <f t="shared" si="15"/>
        <v>#N/A</v>
      </c>
      <c r="O243" s="24" t="e">
        <f>VLOOKUP(E243,'Court List'!$A:$C,3,0)</f>
        <v>#N/A</v>
      </c>
      <c r="P243" s="18">
        <f>COUNTIF('Pub List'!$C243:$T243,"&lt;&gt;")</f>
        <v>0</v>
      </c>
      <c r="Q243" s="20" t="e">
        <f t="shared" si="2"/>
        <v>#N/A</v>
      </c>
      <c r="R243" s="36"/>
      <c r="S243" s="18">
        <f>COUNTIF('Member List'!$C243:$J243,"&lt;&gt;")</f>
        <v>0</v>
      </c>
      <c r="T243" s="35"/>
      <c r="U243" s="24">
        <f t="shared" si="3"/>
        <v>0</v>
      </c>
      <c r="V243" s="18" t="e">
        <f t="shared" si="4"/>
        <v>#N/A</v>
      </c>
      <c r="W243" s="45" t="e">
        <f t="shared" si="5"/>
        <v>#N/A</v>
      </c>
      <c r="X243" s="20" t="e">
        <f t="shared" si="6"/>
        <v>#N/A</v>
      </c>
      <c r="Y243" s="46" t="e">
        <f t="shared" si="9"/>
        <v>#N/A</v>
      </c>
      <c r="Z243" s="39" t="e">
        <f t="shared" si="7"/>
        <v>#N/A</v>
      </c>
      <c r="AA243" s="39" t="e">
        <f t="shared" si="8"/>
        <v>#N/A</v>
      </c>
      <c r="AB243" s="39"/>
      <c r="AC243" s="48" t="e">
        <f t="shared" si="10"/>
        <v>#N/A</v>
      </c>
    </row>
    <row r="244" spans="1:29" ht="12.5" x14ac:dyDescent="0.25">
      <c r="A244" s="36"/>
      <c r="B244" s="33"/>
      <c r="C244" s="33"/>
      <c r="D244" s="33"/>
      <c r="E244" s="35"/>
      <c r="F244" s="21"/>
      <c r="G244" s="22" t="e">
        <f>VLOOKUP(E244,'Court List'!$A:$C,2,0)</f>
        <v>#N/A</v>
      </c>
      <c r="H244" s="33"/>
      <c r="I244" s="33"/>
      <c r="J244" s="44" t="e">
        <f t="shared" si="0"/>
        <v>#N/A</v>
      </c>
      <c r="K244" s="36"/>
      <c r="L244" s="18">
        <f>SUM('Shuttle Count - Supreme (Nov 20'!C244:D244)</f>
        <v>0</v>
      </c>
      <c r="M244" s="18" t="e">
        <f>VLOOKUP(K244,'Shuttle Purchase'!A:C,3,0)</f>
        <v>#N/A</v>
      </c>
      <c r="N244" s="44" t="e">
        <f t="shared" si="15"/>
        <v>#N/A</v>
      </c>
      <c r="O244" s="24" t="e">
        <f>VLOOKUP(E244,'Court List'!$A:$C,3,0)</f>
        <v>#N/A</v>
      </c>
      <c r="P244" s="18">
        <f>COUNTIF('Pub List'!$C244:$T244,"&lt;&gt;")</f>
        <v>0</v>
      </c>
      <c r="Q244" s="20" t="e">
        <f t="shared" si="2"/>
        <v>#N/A</v>
      </c>
      <c r="R244" s="36"/>
      <c r="S244" s="18">
        <f>COUNTIF('Member List'!$C244:$J244,"&lt;&gt;")</f>
        <v>0</v>
      </c>
      <c r="T244" s="35"/>
      <c r="U244" s="24">
        <f t="shared" si="3"/>
        <v>0</v>
      </c>
      <c r="V244" s="18" t="e">
        <f t="shared" si="4"/>
        <v>#N/A</v>
      </c>
      <c r="W244" s="45" t="e">
        <f t="shared" si="5"/>
        <v>#N/A</v>
      </c>
      <c r="X244" s="20" t="e">
        <f t="shared" si="6"/>
        <v>#N/A</v>
      </c>
      <c r="Y244" s="46" t="e">
        <f t="shared" si="9"/>
        <v>#N/A</v>
      </c>
      <c r="Z244" s="39" t="e">
        <f t="shared" si="7"/>
        <v>#N/A</v>
      </c>
      <c r="AA244" s="39" t="e">
        <f t="shared" si="8"/>
        <v>#N/A</v>
      </c>
      <c r="AB244" s="39"/>
      <c r="AC244" s="48" t="e">
        <f t="shared" si="10"/>
        <v>#N/A</v>
      </c>
    </row>
    <row r="245" spans="1:29" ht="12.5" x14ac:dyDescent="0.25">
      <c r="A245" s="36"/>
      <c r="B245" s="33"/>
      <c r="C245" s="33"/>
      <c r="D245" s="33"/>
      <c r="E245" s="35"/>
      <c r="F245" s="21"/>
      <c r="G245" s="22" t="e">
        <f>VLOOKUP(E245,'Court List'!$A:$C,2,0)</f>
        <v>#N/A</v>
      </c>
      <c r="H245" s="33"/>
      <c r="I245" s="33"/>
      <c r="J245" s="44" t="e">
        <f t="shared" si="0"/>
        <v>#N/A</v>
      </c>
      <c r="K245" s="36"/>
      <c r="L245" s="18">
        <f>SUM('Shuttle Count - Supreme (Nov 20'!C245:D245)</f>
        <v>0</v>
      </c>
      <c r="M245" s="18" t="e">
        <f>VLOOKUP(K245,'Shuttle Purchase'!A:C,3,0)</f>
        <v>#N/A</v>
      </c>
      <c r="N245" s="44" t="e">
        <f t="shared" si="15"/>
        <v>#N/A</v>
      </c>
      <c r="O245" s="24" t="e">
        <f>VLOOKUP(E245,'Court List'!$A:$C,3,0)</f>
        <v>#N/A</v>
      </c>
      <c r="P245" s="18">
        <f>COUNTIF('Pub List'!$C245:$T245,"&lt;&gt;")</f>
        <v>0</v>
      </c>
      <c r="Q245" s="20" t="e">
        <f t="shared" si="2"/>
        <v>#N/A</v>
      </c>
      <c r="R245" s="36"/>
      <c r="S245" s="18">
        <f>COUNTIF('Member List'!$C245:$J245,"&lt;&gt;")</f>
        <v>0</v>
      </c>
      <c r="T245" s="35"/>
      <c r="U245" s="24">
        <f t="shared" si="3"/>
        <v>0</v>
      </c>
      <c r="V245" s="18" t="e">
        <f t="shared" si="4"/>
        <v>#N/A</v>
      </c>
      <c r="W245" s="45" t="e">
        <f t="shared" si="5"/>
        <v>#N/A</v>
      </c>
      <c r="X245" s="20" t="e">
        <f t="shared" si="6"/>
        <v>#N/A</v>
      </c>
      <c r="Y245" s="46" t="e">
        <f t="shared" si="9"/>
        <v>#N/A</v>
      </c>
      <c r="Z245" s="39" t="e">
        <f t="shared" si="7"/>
        <v>#N/A</v>
      </c>
      <c r="AA245" s="39" t="e">
        <f t="shared" si="8"/>
        <v>#N/A</v>
      </c>
      <c r="AB245" s="39"/>
      <c r="AC245" s="48" t="e">
        <f t="shared" si="10"/>
        <v>#N/A</v>
      </c>
    </row>
    <row r="246" spans="1:29" ht="12.5" x14ac:dyDescent="0.25">
      <c r="A246" s="36"/>
      <c r="B246" s="33"/>
      <c r="C246" s="33"/>
      <c r="D246" s="33"/>
      <c r="E246" s="35"/>
      <c r="F246" s="21"/>
      <c r="G246" s="22" t="e">
        <f>VLOOKUP(E246,'Court List'!$A:$C,2,0)</f>
        <v>#N/A</v>
      </c>
      <c r="H246" s="33"/>
      <c r="I246" s="33"/>
      <c r="J246" s="44" t="e">
        <f t="shared" si="0"/>
        <v>#N/A</v>
      </c>
      <c r="K246" s="36"/>
      <c r="L246" s="18">
        <f>SUM('Shuttle Count - Supreme (Nov 20'!C246:D246)</f>
        <v>0</v>
      </c>
      <c r="M246" s="18" t="e">
        <f>VLOOKUP(K246,'Shuttle Purchase'!A:C,3,0)</f>
        <v>#N/A</v>
      </c>
      <c r="N246" s="44" t="e">
        <f t="shared" si="15"/>
        <v>#N/A</v>
      </c>
      <c r="O246" s="24" t="e">
        <f>VLOOKUP(E246,'Court List'!$A:$C,3,0)</f>
        <v>#N/A</v>
      </c>
      <c r="P246" s="18">
        <f>COUNTIF('Pub List'!$C246:$T246,"&lt;&gt;")</f>
        <v>0</v>
      </c>
      <c r="Q246" s="20" t="e">
        <f t="shared" si="2"/>
        <v>#N/A</v>
      </c>
      <c r="R246" s="36"/>
      <c r="S246" s="18">
        <f>COUNTIF('Member List'!$C246:$J246,"&lt;&gt;")</f>
        <v>0</v>
      </c>
      <c r="T246" s="35"/>
      <c r="U246" s="24">
        <f t="shared" si="3"/>
        <v>0</v>
      </c>
      <c r="V246" s="18" t="e">
        <f t="shared" si="4"/>
        <v>#N/A</v>
      </c>
      <c r="W246" s="45" t="e">
        <f t="shared" si="5"/>
        <v>#N/A</v>
      </c>
      <c r="X246" s="20" t="e">
        <f t="shared" si="6"/>
        <v>#N/A</v>
      </c>
      <c r="Y246" s="46" t="e">
        <f t="shared" si="9"/>
        <v>#N/A</v>
      </c>
      <c r="Z246" s="39" t="e">
        <f t="shared" si="7"/>
        <v>#N/A</v>
      </c>
      <c r="AA246" s="39" t="e">
        <f t="shared" si="8"/>
        <v>#N/A</v>
      </c>
      <c r="AB246" s="39"/>
      <c r="AC246" s="48" t="e">
        <f t="shared" si="10"/>
        <v>#N/A</v>
      </c>
    </row>
    <row r="247" spans="1:29" ht="12.5" x14ac:dyDescent="0.25">
      <c r="A247" s="36"/>
      <c r="B247" s="33"/>
      <c r="C247" s="33"/>
      <c r="D247" s="33"/>
      <c r="E247" s="35"/>
      <c r="F247" s="21"/>
      <c r="G247" s="22" t="e">
        <f>VLOOKUP(E247,'Court List'!$A:$C,2,0)</f>
        <v>#N/A</v>
      </c>
      <c r="H247" s="33"/>
      <c r="I247" s="33"/>
      <c r="J247" s="44" t="e">
        <f t="shared" si="0"/>
        <v>#N/A</v>
      </c>
      <c r="K247" s="36"/>
      <c r="L247" s="18">
        <f>SUM('Shuttle Count - Supreme (Nov 20'!C247:D247)</f>
        <v>0</v>
      </c>
      <c r="M247" s="18" t="e">
        <f>VLOOKUP(K247,'Shuttle Purchase'!A:C,3,0)</f>
        <v>#N/A</v>
      </c>
      <c r="N247" s="44" t="e">
        <f t="shared" si="15"/>
        <v>#N/A</v>
      </c>
      <c r="O247" s="24" t="e">
        <f>VLOOKUP(E247,'Court List'!$A:$C,3,0)</f>
        <v>#N/A</v>
      </c>
      <c r="P247" s="18">
        <f>COUNTIF('Pub List'!$C247:$T247,"&lt;&gt;")</f>
        <v>0</v>
      </c>
      <c r="Q247" s="20" t="e">
        <f t="shared" si="2"/>
        <v>#N/A</v>
      </c>
      <c r="R247" s="36"/>
      <c r="S247" s="18">
        <f>COUNTIF('Member List'!$C247:$J247,"&lt;&gt;")</f>
        <v>0</v>
      </c>
      <c r="T247" s="35"/>
      <c r="U247" s="24">
        <f t="shared" si="3"/>
        <v>0</v>
      </c>
      <c r="V247" s="18" t="e">
        <f t="shared" si="4"/>
        <v>#N/A</v>
      </c>
      <c r="W247" s="45" t="e">
        <f t="shared" si="5"/>
        <v>#N/A</v>
      </c>
      <c r="X247" s="20" t="e">
        <f t="shared" si="6"/>
        <v>#N/A</v>
      </c>
      <c r="Y247" s="46" t="e">
        <f t="shared" si="9"/>
        <v>#N/A</v>
      </c>
      <c r="Z247" s="39" t="e">
        <f t="shared" si="7"/>
        <v>#N/A</v>
      </c>
      <c r="AA247" s="39" t="e">
        <f t="shared" si="8"/>
        <v>#N/A</v>
      </c>
      <c r="AB247" s="39"/>
      <c r="AC247" s="48" t="e">
        <f t="shared" si="10"/>
        <v>#N/A</v>
      </c>
    </row>
    <row r="248" spans="1:29" ht="12.5" x14ac:dyDescent="0.25">
      <c r="A248" s="36"/>
      <c r="B248" s="33"/>
      <c r="C248" s="33"/>
      <c r="D248" s="33"/>
      <c r="E248" s="35"/>
      <c r="F248" s="21"/>
      <c r="G248" s="22" t="e">
        <f>VLOOKUP(E248,'Court List'!$A:$C,2,0)</f>
        <v>#N/A</v>
      </c>
      <c r="H248" s="33"/>
      <c r="I248" s="33"/>
      <c r="J248" s="44" t="e">
        <f t="shared" si="0"/>
        <v>#N/A</v>
      </c>
      <c r="K248" s="36"/>
      <c r="L248" s="18">
        <f>SUM('Shuttle Count - Supreme (Nov 20'!C248:D248)</f>
        <v>0</v>
      </c>
      <c r="M248" s="18" t="e">
        <f>VLOOKUP(K248,'Shuttle Purchase'!A:C,3,0)</f>
        <v>#N/A</v>
      </c>
      <c r="N248" s="44" t="e">
        <f t="shared" si="15"/>
        <v>#N/A</v>
      </c>
      <c r="O248" s="24" t="e">
        <f>VLOOKUP(E248,'Court List'!$A:$C,3,0)</f>
        <v>#N/A</v>
      </c>
      <c r="P248" s="18">
        <f>COUNTIF('Pub List'!$C248:$T248,"&lt;&gt;")</f>
        <v>0</v>
      </c>
      <c r="Q248" s="20" t="e">
        <f t="shared" si="2"/>
        <v>#N/A</v>
      </c>
      <c r="R248" s="36"/>
      <c r="S248" s="18">
        <f>COUNTIF('Member List'!$C248:$J248,"&lt;&gt;")</f>
        <v>0</v>
      </c>
      <c r="T248" s="35"/>
      <c r="U248" s="24">
        <f t="shared" si="3"/>
        <v>0</v>
      </c>
      <c r="V248" s="18" t="e">
        <f t="shared" si="4"/>
        <v>#N/A</v>
      </c>
      <c r="W248" s="45" t="e">
        <f t="shared" si="5"/>
        <v>#N/A</v>
      </c>
      <c r="X248" s="20" t="e">
        <f t="shared" si="6"/>
        <v>#N/A</v>
      </c>
      <c r="Y248" s="46" t="e">
        <f t="shared" si="9"/>
        <v>#N/A</v>
      </c>
      <c r="Z248" s="39" t="e">
        <f t="shared" si="7"/>
        <v>#N/A</v>
      </c>
      <c r="AA248" s="39" t="e">
        <f t="shared" si="8"/>
        <v>#N/A</v>
      </c>
      <c r="AB248" s="39"/>
      <c r="AC248" s="48" t="e">
        <f t="shared" si="10"/>
        <v>#N/A</v>
      </c>
    </row>
    <row r="249" spans="1:29" ht="12.5" x14ac:dyDescent="0.25">
      <c r="A249" s="36"/>
      <c r="B249" s="33"/>
      <c r="C249" s="33"/>
      <c r="D249" s="33"/>
      <c r="E249" s="35"/>
      <c r="F249" s="21"/>
      <c r="G249" s="22" t="e">
        <f>VLOOKUP(E249,'Court List'!$A:$C,2,0)</f>
        <v>#N/A</v>
      </c>
      <c r="H249" s="33"/>
      <c r="I249" s="33"/>
      <c r="J249" s="44" t="e">
        <f t="shared" si="0"/>
        <v>#N/A</v>
      </c>
      <c r="K249" s="36"/>
      <c r="L249" s="18">
        <f>SUM('Shuttle Count - Supreme (Nov 20'!C249:D249)</f>
        <v>0</v>
      </c>
      <c r="M249" s="18" t="e">
        <f>VLOOKUP(K249,'Shuttle Purchase'!A:C,3,0)</f>
        <v>#N/A</v>
      </c>
      <c r="N249" s="44" t="e">
        <f t="shared" si="15"/>
        <v>#N/A</v>
      </c>
      <c r="O249" s="24" t="e">
        <f>VLOOKUP(E249,'Court List'!$A:$C,3,0)</f>
        <v>#N/A</v>
      </c>
      <c r="P249" s="18">
        <f>COUNTIF('Pub List'!$C249:$T249,"&lt;&gt;")</f>
        <v>0</v>
      </c>
      <c r="Q249" s="20" t="e">
        <f t="shared" si="2"/>
        <v>#N/A</v>
      </c>
      <c r="R249" s="36"/>
      <c r="S249" s="18">
        <f>COUNTIF('Member List'!$C249:$J249,"&lt;&gt;")</f>
        <v>0</v>
      </c>
      <c r="T249" s="35"/>
      <c r="U249" s="24">
        <f t="shared" si="3"/>
        <v>0</v>
      </c>
      <c r="V249" s="18" t="e">
        <f t="shared" si="4"/>
        <v>#N/A</v>
      </c>
      <c r="W249" s="45" t="e">
        <f t="shared" si="5"/>
        <v>#N/A</v>
      </c>
      <c r="X249" s="20" t="e">
        <f t="shared" si="6"/>
        <v>#N/A</v>
      </c>
      <c r="Y249" s="46" t="e">
        <f t="shared" si="9"/>
        <v>#N/A</v>
      </c>
      <c r="Z249" s="39" t="e">
        <f t="shared" si="7"/>
        <v>#N/A</v>
      </c>
      <c r="AA249" s="39" t="e">
        <f t="shared" si="8"/>
        <v>#N/A</v>
      </c>
      <c r="AB249" s="39"/>
      <c r="AC249" s="48" t="e">
        <f t="shared" si="10"/>
        <v>#N/A</v>
      </c>
    </row>
    <row r="250" spans="1:29" ht="12.5" x14ac:dyDescent="0.25">
      <c r="A250" s="36"/>
      <c r="B250" s="33"/>
      <c r="C250" s="33"/>
      <c r="D250" s="33"/>
      <c r="E250" s="35"/>
      <c r="F250" s="21"/>
      <c r="G250" s="22" t="e">
        <f>VLOOKUP(E250,'Court List'!$A:$C,2,0)</f>
        <v>#N/A</v>
      </c>
      <c r="H250" s="33"/>
      <c r="I250" s="33"/>
      <c r="J250" s="44" t="e">
        <f t="shared" si="0"/>
        <v>#N/A</v>
      </c>
      <c r="K250" s="36"/>
      <c r="L250" s="18">
        <f>SUM('Shuttle Count - Supreme (Nov 20'!C250:D250)</f>
        <v>0</v>
      </c>
      <c r="M250" s="18" t="e">
        <f>VLOOKUP(K250,'Shuttle Purchase'!A:C,3,0)</f>
        <v>#N/A</v>
      </c>
      <c r="N250" s="44" t="e">
        <f t="shared" si="15"/>
        <v>#N/A</v>
      </c>
      <c r="O250" s="24" t="e">
        <f>VLOOKUP(E250,'Court List'!$A:$C,3,0)</f>
        <v>#N/A</v>
      </c>
      <c r="P250" s="18">
        <f>COUNTIF('Pub List'!$C250:$T250,"&lt;&gt;")</f>
        <v>0</v>
      </c>
      <c r="Q250" s="20" t="e">
        <f t="shared" si="2"/>
        <v>#N/A</v>
      </c>
      <c r="R250" s="36"/>
      <c r="S250" s="18">
        <f>COUNTIF('Member List'!$C250:$J250,"&lt;&gt;")</f>
        <v>0</v>
      </c>
      <c r="T250" s="35"/>
      <c r="U250" s="24">
        <f t="shared" si="3"/>
        <v>0</v>
      </c>
      <c r="V250" s="18" t="e">
        <f t="shared" si="4"/>
        <v>#N/A</v>
      </c>
      <c r="W250" s="45" t="e">
        <f t="shared" si="5"/>
        <v>#N/A</v>
      </c>
      <c r="X250" s="20" t="e">
        <f t="shared" si="6"/>
        <v>#N/A</v>
      </c>
      <c r="Y250" s="46" t="e">
        <f t="shared" si="9"/>
        <v>#N/A</v>
      </c>
      <c r="Z250" s="39" t="e">
        <f t="shared" si="7"/>
        <v>#N/A</v>
      </c>
      <c r="AA250" s="39" t="e">
        <f t="shared" si="8"/>
        <v>#N/A</v>
      </c>
      <c r="AB250" s="39"/>
      <c r="AC250" s="48" t="e">
        <f t="shared" si="10"/>
        <v>#N/A</v>
      </c>
    </row>
    <row r="251" spans="1:29" ht="12.5" x14ac:dyDescent="0.25">
      <c r="A251" s="36"/>
      <c r="B251" s="33"/>
      <c r="C251" s="33"/>
      <c r="D251" s="33"/>
      <c r="E251" s="35"/>
      <c r="F251" s="21"/>
      <c r="G251" s="22" t="e">
        <f>VLOOKUP(E251,'Court List'!$A:$C,2,0)</f>
        <v>#N/A</v>
      </c>
      <c r="H251" s="33"/>
      <c r="I251" s="33"/>
      <c r="J251" s="44" t="e">
        <f t="shared" si="0"/>
        <v>#N/A</v>
      </c>
      <c r="K251" s="36"/>
      <c r="L251" s="18">
        <f>SUM('Shuttle Count - Supreme (Nov 20'!C251:D251)</f>
        <v>0</v>
      </c>
      <c r="M251" s="18" t="e">
        <f>VLOOKUP(K251,'Shuttle Purchase'!A:C,3,0)</f>
        <v>#N/A</v>
      </c>
      <c r="N251" s="44" t="e">
        <f t="shared" si="15"/>
        <v>#N/A</v>
      </c>
      <c r="O251" s="24" t="e">
        <f>VLOOKUP(E251,'Court List'!$A:$C,3,0)</f>
        <v>#N/A</v>
      </c>
      <c r="P251" s="18">
        <f>COUNTIF('Pub List'!$C251:$T251,"&lt;&gt;")</f>
        <v>0</v>
      </c>
      <c r="Q251" s="20" t="e">
        <f t="shared" si="2"/>
        <v>#N/A</v>
      </c>
      <c r="R251" s="36"/>
      <c r="S251" s="18">
        <f>COUNTIF('Member List'!$C251:$J251,"&lt;&gt;")</f>
        <v>0</v>
      </c>
      <c r="T251" s="35"/>
      <c r="U251" s="24">
        <f t="shared" si="3"/>
        <v>0</v>
      </c>
      <c r="V251" s="18" t="e">
        <f t="shared" si="4"/>
        <v>#N/A</v>
      </c>
      <c r="W251" s="45" t="e">
        <f t="shared" si="5"/>
        <v>#N/A</v>
      </c>
      <c r="X251" s="20" t="e">
        <f t="shared" si="6"/>
        <v>#N/A</v>
      </c>
      <c r="Y251" s="46" t="e">
        <f t="shared" si="9"/>
        <v>#N/A</v>
      </c>
      <c r="Z251" s="39" t="e">
        <f t="shared" si="7"/>
        <v>#N/A</v>
      </c>
      <c r="AA251" s="39" t="e">
        <f t="shared" si="8"/>
        <v>#N/A</v>
      </c>
      <c r="AB251" s="39"/>
      <c r="AC251" s="48" t="e">
        <f t="shared" si="10"/>
        <v>#N/A</v>
      </c>
    </row>
    <row r="252" spans="1:29" ht="12.5" x14ac:dyDescent="0.25">
      <c r="A252" s="36"/>
      <c r="B252" s="33"/>
      <c r="C252" s="33"/>
      <c r="D252" s="33"/>
      <c r="E252" s="35"/>
      <c r="F252" s="21"/>
      <c r="G252" s="22" t="e">
        <f>VLOOKUP(E252,'Court List'!$A:$C,2,0)</f>
        <v>#N/A</v>
      </c>
      <c r="H252" s="33"/>
      <c r="I252" s="33"/>
      <c r="J252" s="44" t="e">
        <f t="shared" si="0"/>
        <v>#N/A</v>
      </c>
      <c r="K252" s="36"/>
      <c r="L252" s="18">
        <f>SUM('Shuttle Count - Supreme (Nov 20'!C252:D252)</f>
        <v>0</v>
      </c>
      <c r="M252" s="18" t="e">
        <f>VLOOKUP(K252,'Shuttle Purchase'!A:C,3,0)</f>
        <v>#N/A</v>
      </c>
      <c r="N252" s="44" t="e">
        <f t="shared" si="15"/>
        <v>#N/A</v>
      </c>
      <c r="O252" s="24" t="e">
        <f>VLOOKUP(E252,'Court List'!$A:$C,3,0)</f>
        <v>#N/A</v>
      </c>
      <c r="P252" s="18">
        <f>COUNTIF('Pub List'!$C252:$T252,"&lt;&gt;")</f>
        <v>0</v>
      </c>
      <c r="Q252" s="20" t="e">
        <f t="shared" si="2"/>
        <v>#N/A</v>
      </c>
      <c r="R252" s="36"/>
      <c r="S252" s="18">
        <f>COUNTIF('Member List'!$C252:$J252,"&lt;&gt;")</f>
        <v>0</v>
      </c>
      <c r="T252" s="35"/>
      <c r="U252" s="24">
        <f t="shared" si="3"/>
        <v>0</v>
      </c>
      <c r="V252" s="18" t="e">
        <f t="shared" si="4"/>
        <v>#N/A</v>
      </c>
      <c r="W252" s="45" t="e">
        <f t="shared" si="5"/>
        <v>#N/A</v>
      </c>
      <c r="X252" s="20" t="e">
        <f t="shared" si="6"/>
        <v>#N/A</v>
      </c>
      <c r="Y252" s="46" t="e">
        <f t="shared" si="9"/>
        <v>#N/A</v>
      </c>
      <c r="Z252" s="39" t="e">
        <f t="shared" si="7"/>
        <v>#N/A</v>
      </c>
      <c r="AA252" s="39" t="e">
        <f t="shared" si="8"/>
        <v>#N/A</v>
      </c>
      <c r="AB252" s="39"/>
      <c r="AC252" s="48" t="e">
        <f t="shared" si="10"/>
        <v>#N/A</v>
      </c>
    </row>
    <row r="253" spans="1:29" ht="12.5" x14ac:dyDescent="0.25">
      <c r="A253" s="36"/>
      <c r="B253" s="33"/>
      <c r="C253" s="33"/>
      <c r="D253" s="33"/>
      <c r="E253" s="35"/>
      <c r="F253" s="21"/>
      <c r="G253" s="22" t="e">
        <f>VLOOKUP(E253,'Court List'!$A:$C,2,0)</f>
        <v>#N/A</v>
      </c>
      <c r="H253" s="33"/>
      <c r="I253" s="33"/>
      <c r="J253" s="44" t="e">
        <f t="shared" si="0"/>
        <v>#N/A</v>
      </c>
      <c r="K253" s="36"/>
      <c r="L253" s="18">
        <f>SUM('Shuttle Count - Supreme (Nov 20'!C253:D253)</f>
        <v>0</v>
      </c>
      <c r="M253" s="18" t="e">
        <f>VLOOKUP(K253,'Shuttle Purchase'!A:C,3,0)</f>
        <v>#N/A</v>
      </c>
      <c r="N253" s="44" t="e">
        <f t="shared" si="15"/>
        <v>#N/A</v>
      </c>
      <c r="O253" s="24" t="e">
        <f>VLOOKUP(E253,'Court List'!$A:$C,3,0)</f>
        <v>#N/A</v>
      </c>
      <c r="P253" s="18">
        <f>COUNTIF('Pub List'!$C253:$T253,"&lt;&gt;")</f>
        <v>0</v>
      </c>
      <c r="Q253" s="20" t="e">
        <f t="shared" si="2"/>
        <v>#N/A</v>
      </c>
      <c r="R253" s="36"/>
      <c r="S253" s="18">
        <f>COUNTIF('Member List'!$C253:$J253,"&lt;&gt;")</f>
        <v>0</v>
      </c>
      <c r="T253" s="35"/>
      <c r="U253" s="24">
        <f t="shared" si="3"/>
        <v>0</v>
      </c>
      <c r="V253" s="18" t="e">
        <f t="shared" si="4"/>
        <v>#N/A</v>
      </c>
      <c r="W253" s="45" t="e">
        <f t="shared" si="5"/>
        <v>#N/A</v>
      </c>
      <c r="X253" s="20" t="e">
        <f t="shared" si="6"/>
        <v>#N/A</v>
      </c>
      <c r="Y253" s="46" t="e">
        <f t="shared" si="9"/>
        <v>#N/A</v>
      </c>
      <c r="Z253" s="39" t="e">
        <f t="shared" si="7"/>
        <v>#N/A</v>
      </c>
      <c r="AA253" s="39" t="e">
        <f t="shared" si="8"/>
        <v>#N/A</v>
      </c>
      <c r="AB253" s="39"/>
      <c r="AC253" s="48" t="e">
        <f t="shared" si="10"/>
        <v>#N/A</v>
      </c>
    </row>
    <row r="254" spans="1:29" ht="12.5" x14ac:dyDescent="0.25">
      <c r="A254" s="36"/>
      <c r="B254" s="33"/>
      <c r="C254" s="33"/>
      <c r="D254" s="33"/>
      <c r="E254" s="35"/>
      <c r="F254" s="21"/>
      <c r="G254" s="22" t="e">
        <f>VLOOKUP(E254,'Court List'!$A:$C,2,0)</f>
        <v>#N/A</v>
      </c>
      <c r="H254" s="33"/>
      <c r="I254" s="33"/>
      <c r="J254" s="44" t="e">
        <f t="shared" si="0"/>
        <v>#N/A</v>
      </c>
      <c r="K254" s="36"/>
      <c r="L254" s="18">
        <f>SUM('Shuttle Count - Supreme (Nov 20'!C254:D254)</f>
        <v>0</v>
      </c>
      <c r="M254" s="18" t="e">
        <f>VLOOKUP(K254,'Shuttle Purchase'!A:C,3,0)</f>
        <v>#N/A</v>
      </c>
      <c r="N254" s="44" t="e">
        <f t="shared" si="15"/>
        <v>#N/A</v>
      </c>
      <c r="O254" s="24" t="e">
        <f>VLOOKUP(E254,'Court List'!$A:$C,3,0)</f>
        <v>#N/A</v>
      </c>
      <c r="P254" s="18">
        <f>COUNTIF('Pub List'!$C254:$T254,"&lt;&gt;")</f>
        <v>0</v>
      </c>
      <c r="Q254" s="20" t="e">
        <f t="shared" si="2"/>
        <v>#N/A</v>
      </c>
      <c r="R254" s="36"/>
      <c r="S254" s="18">
        <f>COUNTIF('Member List'!$C254:$J254,"&lt;&gt;")</f>
        <v>0</v>
      </c>
      <c r="T254" s="35"/>
      <c r="U254" s="24">
        <f t="shared" si="3"/>
        <v>0</v>
      </c>
      <c r="V254" s="18" t="e">
        <f t="shared" si="4"/>
        <v>#N/A</v>
      </c>
      <c r="W254" s="45" t="e">
        <f t="shared" si="5"/>
        <v>#N/A</v>
      </c>
      <c r="X254" s="20" t="e">
        <f t="shared" si="6"/>
        <v>#N/A</v>
      </c>
      <c r="Y254" s="46" t="e">
        <f t="shared" si="9"/>
        <v>#N/A</v>
      </c>
      <c r="Z254" s="39" t="e">
        <f t="shared" si="7"/>
        <v>#N/A</v>
      </c>
      <c r="AA254" s="39" t="e">
        <f t="shared" si="8"/>
        <v>#N/A</v>
      </c>
      <c r="AB254" s="39"/>
      <c r="AC254" s="48" t="e">
        <f t="shared" si="10"/>
        <v>#N/A</v>
      </c>
    </row>
    <row r="255" spans="1:29" ht="12.5" x14ac:dyDescent="0.25">
      <c r="A255" s="36"/>
      <c r="B255" s="33"/>
      <c r="C255" s="33"/>
      <c r="D255" s="33"/>
      <c r="E255" s="35"/>
      <c r="F255" s="21"/>
      <c r="G255" s="22" t="e">
        <f>VLOOKUP(E255,'Court List'!$A:$C,2,0)</f>
        <v>#N/A</v>
      </c>
      <c r="H255" s="33"/>
      <c r="I255" s="33"/>
      <c r="J255" s="44" t="e">
        <f t="shared" si="0"/>
        <v>#N/A</v>
      </c>
      <c r="K255" s="36"/>
      <c r="L255" s="18">
        <f>SUM('Shuttle Count - Supreme (Nov 20'!C255:D255)</f>
        <v>0</v>
      </c>
      <c r="M255" s="18" t="e">
        <f>VLOOKUP(K255,'Shuttle Purchase'!A:C,3,0)</f>
        <v>#N/A</v>
      </c>
      <c r="N255" s="44" t="e">
        <f t="shared" si="15"/>
        <v>#N/A</v>
      </c>
      <c r="O255" s="24" t="e">
        <f>VLOOKUP(E255,'Court List'!$A:$C,3,0)</f>
        <v>#N/A</v>
      </c>
      <c r="P255" s="18">
        <f>COUNTIF('Pub List'!$C255:$T255,"&lt;&gt;")</f>
        <v>0</v>
      </c>
      <c r="Q255" s="20" t="e">
        <f t="shared" si="2"/>
        <v>#N/A</v>
      </c>
      <c r="R255" s="36"/>
      <c r="S255" s="18">
        <f>COUNTIF('Member List'!$C255:$J255,"&lt;&gt;")</f>
        <v>0</v>
      </c>
      <c r="T255" s="35"/>
      <c r="U255" s="24">
        <f t="shared" si="3"/>
        <v>0</v>
      </c>
      <c r="V255" s="18" t="e">
        <f t="shared" si="4"/>
        <v>#N/A</v>
      </c>
      <c r="W255" s="45" t="e">
        <f t="shared" si="5"/>
        <v>#N/A</v>
      </c>
      <c r="X255" s="20" t="e">
        <f t="shared" si="6"/>
        <v>#N/A</v>
      </c>
      <c r="Y255" s="46" t="e">
        <f t="shared" si="9"/>
        <v>#N/A</v>
      </c>
      <c r="Z255" s="39" t="e">
        <f t="shared" si="7"/>
        <v>#N/A</v>
      </c>
      <c r="AA255" s="39" t="e">
        <f t="shared" si="8"/>
        <v>#N/A</v>
      </c>
      <c r="AB255" s="39"/>
      <c r="AC255" s="48" t="e">
        <f t="shared" si="10"/>
        <v>#N/A</v>
      </c>
    </row>
    <row r="256" spans="1:29" ht="12.5" x14ac:dyDescent="0.25">
      <c r="A256" s="36"/>
      <c r="B256" s="33"/>
      <c r="C256" s="33"/>
      <c r="D256" s="33"/>
      <c r="E256" s="35"/>
      <c r="F256" s="21"/>
      <c r="G256" s="22" t="e">
        <f>VLOOKUP(E256,'Court List'!$A:$C,2,0)</f>
        <v>#N/A</v>
      </c>
      <c r="H256" s="33"/>
      <c r="I256" s="33"/>
      <c r="J256" s="44" t="e">
        <f t="shared" si="0"/>
        <v>#N/A</v>
      </c>
      <c r="K256" s="36"/>
      <c r="L256" s="18">
        <f>SUM('Shuttle Count - Supreme (Nov 20'!C256:D256)</f>
        <v>0</v>
      </c>
      <c r="M256" s="18" t="e">
        <f>VLOOKUP(K256,'Shuttle Purchase'!A:C,3,0)</f>
        <v>#N/A</v>
      </c>
      <c r="N256" s="44" t="e">
        <f t="shared" si="15"/>
        <v>#N/A</v>
      </c>
      <c r="O256" s="24" t="e">
        <f>VLOOKUP(E256,'Court List'!$A:$C,3,0)</f>
        <v>#N/A</v>
      </c>
      <c r="P256" s="18">
        <f>COUNTIF('Pub List'!$C256:$T256,"&lt;&gt;")</f>
        <v>0</v>
      </c>
      <c r="Q256" s="20" t="e">
        <f t="shared" si="2"/>
        <v>#N/A</v>
      </c>
      <c r="R256" s="36"/>
      <c r="S256" s="18">
        <f>COUNTIF('Member List'!$C256:$J256,"&lt;&gt;")</f>
        <v>0</v>
      </c>
      <c r="T256" s="35"/>
      <c r="U256" s="24">
        <f t="shared" si="3"/>
        <v>0</v>
      </c>
      <c r="V256" s="18" t="e">
        <f t="shared" si="4"/>
        <v>#N/A</v>
      </c>
      <c r="W256" s="45" t="e">
        <f t="shared" si="5"/>
        <v>#N/A</v>
      </c>
      <c r="X256" s="20" t="e">
        <f t="shared" si="6"/>
        <v>#N/A</v>
      </c>
      <c r="Y256" s="46" t="e">
        <f t="shared" si="9"/>
        <v>#N/A</v>
      </c>
      <c r="Z256" s="39" t="e">
        <f t="shared" si="7"/>
        <v>#N/A</v>
      </c>
      <c r="AA256" s="39" t="e">
        <f t="shared" si="8"/>
        <v>#N/A</v>
      </c>
      <c r="AB256" s="39"/>
      <c r="AC256" s="48" t="e">
        <f t="shared" si="10"/>
        <v>#N/A</v>
      </c>
    </row>
    <row r="257" spans="1:29" ht="12.5" x14ac:dyDescent="0.25">
      <c r="A257" s="36"/>
      <c r="B257" s="33"/>
      <c r="C257" s="33"/>
      <c r="D257" s="33"/>
      <c r="E257" s="35"/>
      <c r="F257" s="21"/>
      <c r="G257" s="22" t="e">
        <f>VLOOKUP(E257,'Court List'!$A:$C,2,0)</f>
        <v>#N/A</v>
      </c>
      <c r="H257" s="33"/>
      <c r="I257" s="33"/>
      <c r="J257" s="44" t="e">
        <f t="shared" si="0"/>
        <v>#N/A</v>
      </c>
      <c r="K257" s="36"/>
      <c r="L257" s="18">
        <f>SUM('Shuttle Count - Supreme (Nov 20'!C257:D257)</f>
        <v>0</v>
      </c>
      <c r="M257" s="18" t="e">
        <f>VLOOKUP(K257,'Shuttle Purchase'!A:C,3,0)</f>
        <v>#N/A</v>
      </c>
      <c r="N257" s="44" t="e">
        <f t="shared" si="15"/>
        <v>#N/A</v>
      </c>
      <c r="O257" s="24" t="e">
        <f>VLOOKUP(E257,'Court List'!$A:$C,3,0)</f>
        <v>#N/A</v>
      </c>
      <c r="P257" s="18">
        <f>COUNTIF('Pub List'!$C257:$T257,"&lt;&gt;")</f>
        <v>0</v>
      </c>
      <c r="Q257" s="20" t="e">
        <f t="shared" si="2"/>
        <v>#N/A</v>
      </c>
      <c r="R257" s="36"/>
      <c r="S257" s="18">
        <f>COUNTIF('Member List'!$C257:$J257,"&lt;&gt;")</f>
        <v>0</v>
      </c>
      <c r="T257" s="35"/>
      <c r="U257" s="24">
        <f t="shared" si="3"/>
        <v>0</v>
      </c>
      <c r="V257" s="18" t="e">
        <f t="shared" si="4"/>
        <v>#N/A</v>
      </c>
      <c r="W257" s="45" t="e">
        <f t="shared" si="5"/>
        <v>#N/A</v>
      </c>
      <c r="X257" s="20" t="e">
        <f t="shared" si="6"/>
        <v>#N/A</v>
      </c>
      <c r="Y257" s="46" t="e">
        <f t="shared" si="9"/>
        <v>#N/A</v>
      </c>
      <c r="Z257" s="39" t="e">
        <f t="shared" si="7"/>
        <v>#N/A</v>
      </c>
      <c r="AA257" s="39" t="e">
        <f t="shared" si="8"/>
        <v>#N/A</v>
      </c>
      <c r="AB257" s="39"/>
      <c r="AC257" s="48" t="e">
        <f t="shared" si="10"/>
        <v>#N/A</v>
      </c>
    </row>
    <row r="258" spans="1:29" ht="12.5" x14ac:dyDescent="0.25">
      <c r="A258" s="36"/>
      <c r="B258" s="33"/>
      <c r="C258" s="33"/>
      <c r="D258" s="33"/>
      <c r="E258" s="35"/>
      <c r="F258" s="21"/>
      <c r="G258" s="22" t="e">
        <f>VLOOKUP(E258,'Court List'!$A:$C,2,0)</f>
        <v>#N/A</v>
      </c>
      <c r="H258" s="33"/>
      <c r="I258" s="33"/>
      <c r="J258" s="44" t="e">
        <f t="shared" si="0"/>
        <v>#N/A</v>
      </c>
      <c r="K258" s="36"/>
      <c r="L258" s="18">
        <f>SUM('Shuttle Count - Supreme (Nov 20'!C258:D258)</f>
        <v>0</v>
      </c>
      <c r="M258" s="18" t="e">
        <f>VLOOKUP(K258,'Shuttle Purchase'!A:C,3,0)</f>
        <v>#N/A</v>
      </c>
      <c r="N258" s="44" t="e">
        <f t="shared" si="15"/>
        <v>#N/A</v>
      </c>
      <c r="O258" s="24" t="e">
        <f>VLOOKUP(E258,'Court List'!$A:$C,3,0)</f>
        <v>#N/A</v>
      </c>
      <c r="P258" s="18">
        <f>COUNTIF('Pub List'!$C258:$T258,"&lt;&gt;")</f>
        <v>0</v>
      </c>
      <c r="Q258" s="20" t="e">
        <f t="shared" si="2"/>
        <v>#N/A</v>
      </c>
      <c r="R258" s="36"/>
      <c r="S258" s="18">
        <f>COUNTIF('Member List'!$C258:$J258,"&lt;&gt;")</f>
        <v>0</v>
      </c>
      <c r="T258" s="35"/>
      <c r="U258" s="24">
        <f t="shared" si="3"/>
        <v>0</v>
      </c>
      <c r="V258" s="18" t="e">
        <f t="shared" si="4"/>
        <v>#N/A</v>
      </c>
      <c r="W258" s="45" t="e">
        <f t="shared" si="5"/>
        <v>#N/A</v>
      </c>
      <c r="X258" s="20" t="e">
        <f t="shared" si="6"/>
        <v>#N/A</v>
      </c>
      <c r="Y258" s="46" t="e">
        <f t="shared" si="9"/>
        <v>#N/A</v>
      </c>
      <c r="Z258" s="39" t="e">
        <f t="shared" si="7"/>
        <v>#N/A</v>
      </c>
      <c r="AA258" s="39" t="e">
        <f t="shared" si="8"/>
        <v>#N/A</v>
      </c>
      <c r="AB258" s="39"/>
      <c r="AC258" s="48" t="e">
        <f t="shared" si="10"/>
        <v>#N/A</v>
      </c>
    </row>
    <row r="259" spans="1:29" ht="12.5" x14ac:dyDescent="0.25">
      <c r="A259" s="36"/>
      <c r="B259" s="33"/>
      <c r="C259" s="33"/>
      <c r="D259" s="33"/>
      <c r="E259" s="35"/>
      <c r="F259" s="21"/>
      <c r="G259" s="22" t="e">
        <f>VLOOKUP(E259,'Court List'!$A:$C,2,0)</f>
        <v>#N/A</v>
      </c>
      <c r="H259" s="33"/>
      <c r="I259" s="33"/>
      <c r="J259" s="44" t="e">
        <f t="shared" si="0"/>
        <v>#N/A</v>
      </c>
      <c r="K259" s="36"/>
      <c r="L259" s="18">
        <f>SUM('Shuttle Count - Supreme (Nov 20'!C259:D259)</f>
        <v>0</v>
      </c>
      <c r="M259" s="18" t="e">
        <f>VLOOKUP(K259,'Shuttle Purchase'!A:C,3,0)</f>
        <v>#N/A</v>
      </c>
      <c r="N259" s="44" t="e">
        <f t="shared" si="15"/>
        <v>#N/A</v>
      </c>
      <c r="O259" s="24" t="e">
        <f>VLOOKUP(E259,'Court List'!$A:$C,3,0)</f>
        <v>#N/A</v>
      </c>
      <c r="P259" s="18">
        <f>COUNTIF('Pub List'!$C259:$T259,"&lt;&gt;")</f>
        <v>0</v>
      </c>
      <c r="Q259" s="20" t="e">
        <f t="shared" si="2"/>
        <v>#N/A</v>
      </c>
      <c r="R259" s="36"/>
      <c r="S259" s="18">
        <f>COUNTIF('Member List'!$C259:$J259,"&lt;&gt;")</f>
        <v>0</v>
      </c>
      <c r="T259" s="35"/>
      <c r="U259" s="24">
        <f t="shared" si="3"/>
        <v>0</v>
      </c>
      <c r="V259" s="18" t="e">
        <f t="shared" si="4"/>
        <v>#N/A</v>
      </c>
      <c r="W259" s="45" t="e">
        <f t="shared" si="5"/>
        <v>#N/A</v>
      </c>
      <c r="X259" s="20" t="e">
        <f t="shared" si="6"/>
        <v>#N/A</v>
      </c>
      <c r="Y259" s="46" t="e">
        <f t="shared" si="9"/>
        <v>#N/A</v>
      </c>
      <c r="Z259" s="39" t="e">
        <f t="shared" si="7"/>
        <v>#N/A</v>
      </c>
      <c r="AA259" s="39" t="e">
        <f t="shared" si="8"/>
        <v>#N/A</v>
      </c>
      <c r="AB259" s="39"/>
      <c r="AC259" s="48" t="e">
        <f t="shared" si="10"/>
        <v>#N/A</v>
      </c>
    </row>
    <row r="260" spans="1:29" ht="12.5" x14ac:dyDescent="0.25">
      <c r="A260" s="36"/>
      <c r="B260" s="33"/>
      <c r="C260" s="33"/>
      <c r="D260" s="33"/>
      <c r="E260" s="35"/>
      <c r="F260" s="21"/>
      <c r="G260" s="22" t="e">
        <f>VLOOKUP(E260,'Court List'!$A:$C,2,0)</f>
        <v>#N/A</v>
      </c>
      <c r="H260" s="33"/>
      <c r="I260" s="33"/>
      <c r="J260" s="44" t="e">
        <f t="shared" si="0"/>
        <v>#N/A</v>
      </c>
      <c r="K260" s="36"/>
      <c r="L260" s="18">
        <f>SUM('Shuttle Count - Supreme (Nov 20'!C260:D260)</f>
        <v>0</v>
      </c>
      <c r="M260" s="18" t="e">
        <f>VLOOKUP(K260,'Shuttle Purchase'!A:C,3,0)</f>
        <v>#N/A</v>
      </c>
      <c r="N260" s="44" t="e">
        <f t="shared" si="15"/>
        <v>#N/A</v>
      </c>
      <c r="O260" s="24" t="e">
        <f>VLOOKUP(E260,'Court List'!$A:$C,3,0)</f>
        <v>#N/A</v>
      </c>
      <c r="P260" s="18">
        <f>COUNTIF('Pub List'!$C260:$T260,"&lt;&gt;")</f>
        <v>0</v>
      </c>
      <c r="Q260" s="20" t="e">
        <f t="shared" si="2"/>
        <v>#N/A</v>
      </c>
      <c r="R260" s="36"/>
      <c r="S260" s="18">
        <f>COUNTIF('Member List'!$C260:$J260,"&lt;&gt;")</f>
        <v>0</v>
      </c>
      <c r="T260" s="35"/>
      <c r="U260" s="24">
        <f t="shared" si="3"/>
        <v>0</v>
      </c>
      <c r="V260" s="18" t="e">
        <f t="shared" si="4"/>
        <v>#N/A</v>
      </c>
      <c r="W260" s="45" t="e">
        <f t="shared" si="5"/>
        <v>#N/A</v>
      </c>
      <c r="X260" s="20" t="e">
        <f t="shared" si="6"/>
        <v>#N/A</v>
      </c>
      <c r="Y260" s="46" t="e">
        <f t="shared" si="9"/>
        <v>#N/A</v>
      </c>
      <c r="Z260" s="39" t="e">
        <f t="shared" si="7"/>
        <v>#N/A</v>
      </c>
      <c r="AA260" s="39" t="e">
        <f t="shared" si="8"/>
        <v>#N/A</v>
      </c>
      <c r="AB260" s="39"/>
      <c r="AC260" s="48" t="e">
        <f t="shared" si="10"/>
        <v>#N/A</v>
      </c>
    </row>
    <row r="261" spans="1:29" ht="12.5" x14ac:dyDescent="0.25">
      <c r="A261" s="36"/>
      <c r="B261" s="33"/>
      <c r="C261" s="33"/>
      <c r="D261" s="33"/>
      <c r="E261" s="35"/>
      <c r="F261" s="21"/>
      <c r="G261" s="22" t="e">
        <f>VLOOKUP(E261,'Court List'!$A:$C,2,0)</f>
        <v>#N/A</v>
      </c>
      <c r="H261" s="33"/>
      <c r="I261" s="33"/>
      <c r="J261" s="44" t="e">
        <f t="shared" ref="J261:J515" si="16">G261*(H261*I261)</f>
        <v>#N/A</v>
      </c>
      <c r="K261" s="36"/>
      <c r="L261" s="18">
        <f>SUM('Shuttle Count - Supreme (Nov 20'!C261:D261)</f>
        <v>0</v>
      </c>
      <c r="M261" s="18" t="e">
        <f>VLOOKUP(K261,'Shuttle Purchase'!A:C,3,0)</f>
        <v>#N/A</v>
      </c>
      <c r="N261" s="44" t="e">
        <f t="shared" si="15"/>
        <v>#N/A</v>
      </c>
      <c r="O261" s="24" t="e">
        <f>VLOOKUP(E261,'Court List'!$A:$C,3,0)</f>
        <v>#N/A</v>
      </c>
      <c r="P261" s="18">
        <f>COUNTIF('Pub List'!$C261:$T261,"&lt;&gt;")</f>
        <v>0</v>
      </c>
      <c r="Q261" s="20" t="e">
        <f t="shared" ref="Q261:Q515" si="17">O261*P261</f>
        <v>#N/A</v>
      </c>
      <c r="R261" s="36"/>
      <c r="S261" s="18">
        <f>COUNTIF('Member List'!$C261:$J261,"&lt;&gt;")</f>
        <v>0</v>
      </c>
      <c r="T261" s="35"/>
      <c r="U261" s="24">
        <f t="shared" ref="U261:U515" si="18">P261+S261</f>
        <v>0</v>
      </c>
      <c r="V261" s="18" t="e">
        <f t="shared" ref="V261:V515" si="19">Q261</f>
        <v>#N/A</v>
      </c>
      <c r="W261" s="45" t="e">
        <f t="shared" ref="W261:W515" si="20">J261+N261</f>
        <v>#N/A</v>
      </c>
      <c r="X261" s="20" t="e">
        <f t="shared" ref="X261:X515" si="21">V261-W261</f>
        <v>#N/A</v>
      </c>
      <c r="Y261" s="46" t="e">
        <f t="shared" si="9"/>
        <v>#N/A</v>
      </c>
      <c r="Z261" s="39" t="e">
        <f t="shared" ref="Z261:Z515" si="22">V261</f>
        <v>#N/A</v>
      </c>
      <c r="AA261" s="39" t="e">
        <f t="shared" ref="AA261:AA515" si="23">-J261</f>
        <v>#N/A</v>
      </c>
      <c r="AB261" s="39"/>
      <c r="AC261" s="48" t="e">
        <f t="shared" si="10"/>
        <v>#N/A</v>
      </c>
    </row>
    <row r="262" spans="1:29" ht="12.5" x14ac:dyDescent="0.25">
      <c r="A262" s="36"/>
      <c r="B262" s="33"/>
      <c r="C262" s="33"/>
      <c r="D262" s="33"/>
      <c r="E262" s="35"/>
      <c r="F262" s="21"/>
      <c r="G262" s="22" t="e">
        <f>VLOOKUP(E262,'Court List'!$A:$C,2,0)</f>
        <v>#N/A</v>
      </c>
      <c r="H262" s="33"/>
      <c r="I262" s="33"/>
      <c r="J262" s="44" t="e">
        <f t="shared" si="16"/>
        <v>#N/A</v>
      </c>
      <c r="K262" s="36"/>
      <c r="L262" s="18">
        <f>SUM('Shuttle Count - Supreme (Nov 20'!C262:D262)</f>
        <v>0</v>
      </c>
      <c r="M262" s="18" t="e">
        <f>VLOOKUP(K262,'Shuttle Purchase'!A:C,3,0)</f>
        <v>#N/A</v>
      </c>
      <c r="N262" s="44" t="e">
        <f t="shared" si="15"/>
        <v>#N/A</v>
      </c>
      <c r="O262" s="24" t="e">
        <f>VLOOKUP(E262,'Court List'!$A:$C,3,0)</f>
        <v>#N/A</v>
      </c>
      <c r="P262" s="18">
        <f>COUNTIF('Pub List'!$C262:$T262,"&lt;&gt;")</f>
        <v>0</v>
      </c>
      <c r="Q262" s="20" t="e">
        <f t="shared" si="17"/>
        <v>#N/A</v>
      </c>
      <c r="R262" s="36"/>
      <c r="S262" s="18">
        <f>COUNTIF('Member List'!$C262:$J262,"&lt;&gt;")</f>
        <v>0</v>
      </c>
      <c r="T262" s="35"/>
      <c r="U262" s="24">
        <f t="shared" si="18"/>
        <v>0</v>
      </c>
      <c r="V262" s="18" t="e">
        <f t="shared" si="19"/>
        <v>#N/A</v>
      </c>
      <c r="W262" s="45" t="e">
        <f t="shared" si="20"/>
        <v>#N/A</v>
      </c>
      <c r="X262" s="20" t="e">
        <f t="shared" si="21"/>
        <v>#N/A</v>
      </c>
      <c r="Y262" s="46" t="e">
        <f t="shared" ref="Y262:Y516" si="24">Y261+X262</f>
        <v>#N/A</v>
      </c>
      <c r="Z262" s="39" t="e">
        <f t="shared" si="22"/>
        <v>#N/A</v>
      </c>
      <c r="AA262" s="39" t="e">
        <f t="shared" si="23"/>
        <v>#N/A</v>
      </c>
      <c r="AB262" s="39"/>
      <c r="AC262" s="48" t="e">
        <f t="shared" ref="AC262:AC516" si="25">AC261+Z262+AA262+AB262</f>
        <v>#N/A</v>
      </c>
    </row>
    <row r="263" spans="1:29" ht="12.5" x14ac:dyDescent="0.25">
      <c r="A263" s="36"/>
      <c r="B263" s="33"/>
      <c r="C263" s="33"/>
      <c r="D263" s="33"/>
      <c r="E263" s="35"/>
      <c r="F263" s="21"/>
      <c r="G263" s="22" t="e">
        <f>VLOOKUP(E263,'Court List'!$A:$C,2,0)</f>
        <v>#N/A</v>
      </c>
      <c r="H263" s="33"/>
      <c r="I263" s="33"/>
      <c r="J263" s="44" t="e">
        <f t="shared" si="16"/>
        <v>#N/A</v>
      </c>
      <c r="K263" s="36"/>
      <c r="L263" s="18">
        <f>SUM('Shuttle Count - Supreme (Nov 20'!C263:D263)</f>
        <v>0</v>
      </c>
      <c r="M263" s="18" t="e">
        <f>VLOOKUP(K263,'Shuttle Purchase'!A:C,3,0)</f>
        <v>#N/A</v>
      </c>
      <c r="N263" s="44" t="e">
        <f t="shared" si="15"/>
        <v>#N/A</v>
      </c>
      <c r="O263" s="24" t="e">
        <f>VLOOKUP(E263,'Court List'!$A:$C,3,0)</f>
        <v>#N/A</v>
      </c>
      <c r="P263" s="18">
        <f>COUNTIF('Pub List'!$C263:$T263,"&lt;&gt;")</f>
        <v>0</v>
      </c>
      <c r="Q263" s="20" t="e">
        <f t="shared" si="17"/>
        <v>#N/A</v>
      </c>
      <c r="R263" s="36"/>
      <c r="S263" s="18">
        <f>COUNTIF('Member List'!$C263:$J263,"&lt;&gt;")</f>
        <v>0</v>
      </c>
      <c r="T263" s="35"/>
      <c r="U263" s="24">
        <f t="shared" si="18"/>
        <v>0</v>
      </c>
      <c r="V263" s="18" t="e">
        <f t="shared" si="19"/>
        <v>#N/A</v>
      </c>
      <c r="W263" s="45" t="e">
        <f t="shared" si="20"/>
        <v>#N/A</v>
      </c>
      <c r="X263" s="20" t="e">
        <f t="shared" si="21"/>
        <v>#N/A</v>
      </c>
      <c r="Y263" s="46" t="e">
        <f t="shared" si="24"/>
        <v>#N/A</v>
      </c>
      <c r="Z263" s="39" t="e">
        <f t="shared" si="22"/>
        <v>#N/A</v>
      </c>
      <c r="AA263" s="39" t="e">
        <f t="shared" si="23"/>
        <v>#N/A</v>
      </c>
      <c r="AB263" s="39"/>
      <c r="AC263" s="48" t="e">
        <f t="shared" si="25"/>
        <v>#N/A</v>
      </c>
    </row>
    <row r="264" spans="1:29" ht="12.5" x14ac:dyDescent="0.25">
      <c r="A264" s="36"/>
      <c r="B264" s="33"/>
      <c r="C264" s="33"/>
      <c r="D264" s="33"/>
      <c r="E264" s="35"/>
      <c r="F264" s="21"/>
      <c r="G264" s="22" t="e">
        <f>VLOOKUP(E264,'Court List'!$A:$C,2,0)</f>
        <v>#N/A</v>
      </c>
      <c r="H264" s="33"/>
      <c r="I264" s="33"/>
      <c r="J264" s="44" t="e">
        <f t="shared" si="16"/>
        <v>#N/A</v>
      </c>
      <c r="K264" s="36"/>
      <c r="L264" s="18">
        <f>SUM('Shuttle Count - Supreme (Nov 20'!C264:D264)</f>
        <v>0</v>
      </c>
      <c r="M264" s="18" t="e">
        <f>VLOOKUP(K264,'Shuttle Purchase'!A:C,3,0)</f>
        <v>#N/A</v>
      </c>
      <c r="N264" s="44" t="e">
        <f t="shared" si="15"/>
        <v>#N/A</v>
      </c>
      <c r="O264" s="24" t="e">
        <f>VLOOKUP(E264,'Court List'!$A:$C,3,0)</f>
        <v>#N/A</v>
      </c>
      <c r="P264" s="18">
        <f>COUNTIF('Pub List'!$C264:$T264,"&lt;&gt;")</f>
        <v>0</v>
      </c>
      <c r="Q264" s="20" t="e">
        <f t="shared" si="17"/>
        <v>#N/A</v>
      </c>
      <c r="R264" s="36"/>
      <c r="S264" s="18">
        <f>COUNTIF('Member List'!$C264:$J264,"&lt;&gt;")</f>
        <v>0</v>
      </c>
      <c r="T264" s="35"/>
      <c r="U264" s="24">
        <f t="shared" si="18"/>
        <v>0</v>
      </c>
      <c r="V264" s="18" t="e">
        <f t="shared" si="19"/>
        <v>#N/A</v>
      </c>
      <c r="W264" s="45" t="e">
        <f t="shared" si="20"/>
        <v>#N/A</v>
      </c>
      <c r="X264" s="20" t="e">
        <f t="shared" si="21"/>
        <v>#N/A</v>
      </c>
      <c r="Y264" s="46" t="e">
        <f t="shared" si="24"/>
        <v>#N/A</v>
      </c>
      <c r="Z264" s="39" t="e">
        <f t="shared" si="22"/>
        <v>#N/A</v>
      </c>
      <c r="AA264" s="39" t="e">
        <f t="shared" si="23"/>
        <v>#N/A</v>
      </c>
      <c r="AB264" s="39"/>
      <c r="AC264" s="48" t="e">
        <f t="shared" si="25"/>
        <v>#N/A</v>
      </c>
    </row>
    <row r="265" spans="1:29" ht="12.5" x14ac:dyDescent="0.25">
      <c r="A265" s="36"/>
      <c r="B265" s="33"/>
      <c r="C265" s="33"/>
      <c r="D265" s="33"/>
      <c r="E265" s="35"/>
      <c r="F265" s="21"/>
      <c r="G265" s="22" t="e">
        <f>VLOOKUP(E265,'Court List'!$A:$C,2,0)</f>
        <v>#N/A</v>
      </c>
      <c r="H265" s="33"/>
      <c r="I265" s="33"/>
      <c r="J265" s="44" t="e">
        <f t="shared" si="16"/>
        <v>#N/A</v>
      </c>
      <c r="K265" s="36"/>
      <c r="L265" s="18">
        <f>SUM('Shuttle Count - Supreme (Nov 20'!C265:D265)</f>
        <v>0</v>
      </c>
      <c r="M265" s="18" t="e">
        <f>VLOOKUP(K265,'Shuttle Purchase'!A:C,3,0)</f>
        <v>#N/A</v>
      </c>
      <c r="N265" s="44" t="e">
        <f t="shared" si="15"/>
        <v>#N/A</v>
      </c>
      <c r="O265" s="24" t="e">
        <f>VLOOKUP(E265,'Court List'!$A:$C,3,0)</f>
        <v>#N/A</v>
      </c>
      <c r="P265" s="18">
        <f>COUNTIF('Pub List'!$C265:$T265,"&lt;&gt;")</f>
        <v>0</v>
      </c>
      <c r="Q265" s="20" t="e">
        <f t="shared" si="17"/>
        <v>#N/A</v>
      </c>
      <c r="R265" s="36"/>
      <c r="S265" s="18">
        <f>COUNTIF('Member List'!$C265:$J265,"&lt;&gt;")</f>
        <v>0</v>
      </c>
      <c r="T265" s="35"/>
      <c r="U265" s="24">
        <f t="shared" si="18"/>
        <v>0</v>
      </c>
      <c r="V265" s="18" t="e">
        <f t="shared" si="19"/>
        <v>#N/A</v>
      </c>
      <c r="W265" s="45" t="e">
        <f t="shared" si="20"/>
        <v>#N/A</v>
      </c>
      <c r="X265" s="20" t="e">
        <f t="shared" si="21"/>
        <v>#N/A</v>
      </c>
      <c r="Y265" s="46" t="e">
        <f t="shared" si="24"/>
        <v>#N/A</v>
      </c>
      <c r="Z265" s="39" t="e">
        <f t="shared" si="22"/>
        <v>#N/A</v>
      </c>
      <c r="AA265" s="39" t="e">
        <f t="shared" si="23"/>
        <v>#N/A</v>
      </c>
      <c r="AB265" s="39"/>
      <c r="AC265" s="48" t="e">
        <f t="shared" si="25"/>
        <v>#N/A</v>
      </c>
    </row>
    <row r="266" spans="1:29" ht="12.5" x14ac:dyDescent="0.25">
      <c r="A266" s="36"/>
      <c r="B266" s="33"/>
      <c r="C266" s="33"/>
      <c r="D266" s="33"/>
      <c r="E266" s="35"/>
      <c r="F266" s="21"/>
      <c r="G266" s="22" t="e">
        <f>VLOOKUP(E266,'Court List'!$A:$C,2,0)</f>
        <v>#N/A</v>
      </c>
      <c r="H266" s="33"/>
      <c r="I266" s="33"/>
      <c r="J266" s="44" t="e">
        <f t="shared" si="16"/>
        <v>#N/A</v>
      </c>
      <c r="K266" s="36"/>
      <c r="L266" s="18">
        <f>SUM('Shuttle Count - Supreme (Nov 20'!C266:D266)</f>
        <v>0</v>
      </c>
      <c r="M266" s="18" t="e">
        <f>VLOOKUP(K266,'Shuttle Purchase'!A:C,3,0)</f>
        <v>#N/A</v>
      </c>
      <c r="N266" s="44" t="e">
        <f t="shared" si="15"/>
        <v>#N/A</v>
      </c>
      <c r="O266" s="24" t="e">
        <f>VLOOKUP(E266,'Court List'!$A:$C,3,0)</f>
        <v>#N/A</v>
      </c>
      <c r="P266" s="18">
        <f>COUNTIF('Pub List'!$C266:$T266,"&lt;&gt;")</f>
        <v>0</v>
      </c>
      <c r="Q266" s="20" t="e">
        <f t="shared" si="17"/>
        <v>#N/A</v>
      </c>
      <c r="R266" s="36"/>
      <c r="S266" s="18">
        <f>COUNTIF('Member List'!$C266:$J266,"&lt;&gt;")</f>
        <v>0</v>
      </c>
      <c r="T266" s="35"/>
      <c r="U266" s="24">
        <f t="shared" si="18"/>
        <v>0</v>
      </c>
      <c r="V266" s="18" t="e">
        <f t="shared" si="19"/>
        <v>#N/A</v>
      </c>
      <c r="W266" s="45" t="e">
        <f t="shared" si="20"/>
        <v>#N/A</v>
      </c>
      <c r="X266" s="20" t="e">
        <f t="shared" si="21"/>
        <v>#N/A</v>
      </c>
      <c r="Y266" s="46" t="e">
        <f t="shared" si="24"/>
        <v>#N/A</v>
      </c>
      <c r="Z266" s="39" t="e">
        <f t="shared" si="22"/>
        <v>#N/A</v>
      </c>
      <c r="AA266" s="39" t="e">
        <f t="shared" si="23"/>
        <v>#N/A</v>
      </c>
      <c r="AB266" s="39"/>
      <c r="AC266" s="48" t="e">
        <f t="shared" si="25"/>
        <v>#N/A</v>
      </c>
    </row>
    <row r="267" spans="1:29" ht="12.5" x14ac:dyDescent="0.25">
      <c r="A267" s="36"/>
      <c r="B267" s="33"/>
      <c r="C267" s="33"/>
      <c r="D267" s="33"/>
      <c r="E267" s="35"/>
      <c r="F267" s="21"/>
      <c r="G267" s="22" t="e">
        <f>VLOOKUP(E267,'Court List'!$A:$C,2,0)</f>
        <v>#N/A</v>
      </c>
      <c r="H267" s="33"/>
      <c r="I267" s="33"/>
      <c r="J267" s="44" t="e">
        <f t="shared" si="16"/>
        <v>#N/A</v>
      </c>
      <c r="K267" s="36"/>
      <c r="L267" s="18">
        <f>SUM('Shuttle Count - Supreme (Nov 20'!C267:D267)</f>
        <v>0</v>
      </c>
      <c r="M267" s="18" t="e">
        <f>VLOOKUP(K267,'Shuttle Purchase'!A:C,3,0)</f>
        <v>#N/A</v>
      </c>
      <c r="N267" s="44" t="e">
        <f t="shared" si="15"/>
        <v>#N/A</v>
      </c>
      <c r="O267" s="24" t="e">
        <f>VLOOKUP(E267,'Court List'!$A:$C,3,0)</f>
        <v>#N/A</v>
      </c>
      <c r="P267" s="18">
        <f>COUNTIF('Pub List'!$C267:$T267,"&lt;&gt;")</f>
        <v>0</v>
      </c>
      <c r="Q267" s="20" t="e">
        <f t="shared" si="17"/>
        <v>#N/A</v>
      </c>
      <c r="R267" s="36"/>
      <c r="S267" s="18">
        <f>COUNTIF('Member List'!$C267:$J267,"&lt;&gt;")</f>
        <v>0</v>
      </c>
      <c r="T267" s="35"/>
      <c r="U267" s="24">
        <f t="shared" si="18"/>
        <v>0</v>
      </c>
      <c r="V267" s="18" t="e">
        <f t="shared" si="19"/>
        <v>#N/A</v>
      </c>
      <c r="W267" s="45" t="e">
        <f t="shared" si="20"/>
        <v>#N/A</v>
      </c>
      <c r="X267" s="20" t="e">
        <f t="shared" si="21"/>
        <v>#N/A</v>
      </c>
      <c r="Y267" s="46" t="e">
        <f t="shared" si="24"/>
        <v>#N/A</v>
      </c>
      <c r="Z267" s="39" t="e">
        <f t="shared" si="22"/>
        <v>#N/A</v>
      </c>
      <c r="AA267" s="39" t="e">
        <f t="shared" si="23"/>
        <v>#N/A</v>
      </c>
      <c r="AB267" s="39"/>
      <c r="AC267" s="48" t="e">
        <f t="shared" si="25"/>
        <v>#N/A</v>
      </c>
    </row>
    <row r="268" spans="1:29" ht="12.5" x14ac:dyDescent="0.25">
      <c r="A268" s="36"/>
      <c r="B268" s="33"/>
      <c r="C268" s="33"/>
      <c r="D268" s="33"/>
      <c r="E268" s="35"/>
      <c r="F268" s="21"/>
      <c r="G268" s="22" t="e">
        <f>VLOOKUP(E268,'Court List'!$A:$C,2,0)</f>
        <v>#N/A</v>
      </c>
      <c r="H268" s="33"/>
      <c r="I268" s="33"/>
      <c r="J268" s="44" t="e">
        <f t="shared" si="16"/>
        <v>#N/A</v>
      </c>
      <c r="K268" s="36"/>
      <c r="L268" s="18">
        <f>SUM('Shuttle Count - Supreme (Nov 20'!C268:D268)</f>
        <v>0</v>
      </c>
      <c r="M268" s="18" t="e">
        <f>VLOOKUP(K268,'Shuttle Purchase'!A:C,3,0)</f>
        <v>#N/A</v>
      </c>
      <c r="N268" s="44" t="e">
        <f t="shared" si="15"/>
        <v>#N/A</v>
      </c>
      <c r="O268" s="24" t="e">
        <f>VLOOKUP(E268,'Court List'!$A:$C,3,0)</f>
        <v>#N/A</v>
      </c>
      <c r="P268" s="18">
        <f>COUNTIF('Pub List'!$C268:$T268,"&lt;&gt;")</f>
        <v>0</v>
      </c>
      <c r="Q268" s="20" t="e">
        <f t="shared" si="17"/>
        <v>#N/A</v>
      </c>
      <c r="R268" s="36"/>
      <c r="S268" s="18">
        <f>COUNTIF('Member List'!$C268:$J268,"&lt;&gt;")</f>
        <v>0</v>
      </c>
      <c r="T268" s="35"/>
      <c r="U268" s="24">
        <f t="shared" si="18"/>
        <v>0</v>
      </c>
      <c r="V268" s="18" t="e">
        <f t="shared" si="19"/>
        <v>#N/A</v>
      </c>
      <c r="W268" s="45" t="e">
        <f t="shared" si="20"/>
        <v>#N/A</v>
      </c>
      <c r="X268" s="20" t="e">
        <f t="shared" si="21"/>
        <v>#N/A</v>
      </c>
      <c r="Y268" s="46" t="e">
        <f t="shared" si="24"/>
        <v>#N/A</v>
      </c>
      <c r="Z268" s="39" t="e">
        <f t="shared" si="22"/>
        <v>#N/A</v>
      </c>
      <c r="AA268" s="39" t="e">
        <f t="shared" si="23"/>
        <v>#N/A</v>
      </c>
      <c r="AB268" s="39"/>
      <c r="AC268" s="48" t="e">
        <f t="shared" si="25"/>
        <v>#N/A</v>
      </c>
    </row>
    <row r="269" spans="1:29" ht="12.5" x14ac:dyDescent="0.25">
      <c r="A269" s="36"/>
      <c r="B269" s="33"/>
      <c r="C269" s="33"/>
      <c r="D269" s="33"/>
      <c r="E269" s="35"/>
      <c r="F269" s="21"/>
      <c r="G269" s="22" t="e">
        <f>VLOOKUP(E269,'Court List'!$A:$C,2,0)</f>
        <v>#N/A</v>
      </c>
      <c r="H269" s="33"/>
      <c r="I269" s="33"/>
      <c r="J269" s="44" t="e">
        <f t="shared" si="16"/>
        <v>#N/A</v>
      </c>
      <c r="K269" s="36"/>
      <c r="L269" s="18">
        <f>SUM('Shuttle Count - Supreme (Nov 20'!C269:D269)</f>
        <v>0</v>
      </c>
      <c r="M269" s="18" t="e">
        <f>VLOOKUP(K269,'Shuttle Purchase'!A:C,3,0)</f>
        <v>#N/A</v>
      </c>
      <c r="N269" s="44" t="e">
        <f t="shared" si="15"/>
        <v>#N/A</v>
      </c>
      <c r="O269" s="24" t="e">
        <f>VLOOKUP(E269,'Court List'!$A:$C,3,0)</f>
        <v>#N/A</v>
      </c>
      <c r="P269" s="18">
        <f>COUNTIF('Pub List'!$C269:$T269,"&lt;&gt;")</f>
        <v>0</v>
      </c>
      <c r="Q269" s="20" t="e">
        <f t="shared" si="17"/>
        <v>#N/A</v>
      </c>
      <c r="R269" s="36"/>
      <c r="S269" s="18">
        <f>COUNTIF('Member List'!$C269:$J269,"&lt;&gt;")</f>
        <v>0</v>
      </c>
      <c r="T269" s="35"/>
      <c r="U269" s="24">
        <f t="shared" si="18"/>
        <v>0</v>
      </c>
      <c r="V269" s="18" t="e">
        <f t="shared" si="19"/>
        <v>#N/A</v>
      </c>
      <c r="W269" s="45" t="e">
        <f t="shared" si="20"/>
        <v>#N/A</v>
      </c>
      <c r="X269" s="20" t="e">
        <f t="shared" si="21"/>
        <v>#N/A</v>
      </c>
      <c r="Y269" s="46" t="e">
        <f t="shared" si="24"/>
        <v>#N/A</v>
      </c>
      <c r="Z269" s="39" t="e">
        <f t="shared" si="22"/>
        <v>#N/A</v>
      </c>
      <c r="AA269" s="39" t="e">
        <f t="shared" si="23"/>
        <v>#N/A</v>
      </c>
      <c r="AB269" s="39"/>
      <c r="AC269" s="48" t="e">
        <f t="shared" si="25"/>
        <v>#N/A</v>
      </c>
    </row>
    <row r="270" spans="1:29" ht="12.5" x14ac:dyDescent="0.25">
      <c r="A270" s="36"/>
      <c r="B270" s="33"/>
      <c r="C270" s="33"/>
      <c r="D270" s="33"/>
      <c r="E270" s="35"/>
      <c r="F270" s="21"/>
      <c r="G270" s="22" t="e">
        <f>VLOOKUP(E270,'Court List'!$A:$C,2,0)</f>
        <v>#N/A</v>
      </c>
      <c r="H270" s="33"/>
      <c r="I270" s="33"/>
      <c r="J270" s="44" t="e">
        <f t="shared" si="16"/>
        <v>#N/A</v>
      </c>
      <c r="K270" s="36"/>
      <c r="L270" s="18">
        <f>SUM('Shuttle Count - Supreme (Nov 20'!C270:D270)</f>
        <v>0</v>
      </c>
      <c r="M270" s="18" t="e">
        <f>VLOOKUP(K270,'Shuttle Purchase'!A:C,3,0)</f>
        <v>#N/A</v>
      </c>
      <c r="N270" s="44" t="e">
        <f t="shared" si="15"/>
        <v>#N/A</v>
      </c>
      <c r="O270" s="24" t="e">
        <f>VLOOKUP(E270,'Court List'!$A:$C,3,0)</f>
        <v>#N/A</v>
      </c>
      <c r="P270" s="18">
        <f>COUNTIF('Pub List'!$C270:$T270,"&lt;&gt;")</f>
        <v>0</v>
      </c>
      <c r="Q270" s="20" t="e">
        <f t="shared" si="17"/>
        <v>#N/A</v>
      </c>
      <c r="R270" s="36"/>
      <c r="S270" s="18">
        <f>COUNTIF('Member List'!$C270:$J270,"&lt;&gt;")</f>
        <v>0</v>
      </c>
      <c r="T270" s="35"/>
      <c r="U270" s="24">
        <f t="shared" si="18"/>
        <v>0</v>
      </c>
      <c r="V270" s="18" t="e">
        <f t="shared" si="19"/>
        <v>#N/A</v>
      </c>
      <c r="W270" s="45" t="e">
        <f t="shared" si="20"/>
        <v>#N/A</v>
      </c>
      <c r="X270" s="20" t="e">
        <f t="shared" si="21"/>
        <v>#N/A</v>
      </c>
      <c r="Y270" s="46" t="e">
        <f t="shared" si="24"/>
        <v>#N/A</v>
      </c>
      <c r="Z270" s="39" t="e">
        <f t="shared" si="22"/>
        <v>#N/A</v>
      </c>
      <c r="AA270" s="39" t="e">
        <f t="shared" si="23"/>
        <v>#N/A</v>
      </c>
      <c r="AB270" s="39"/>
      <c r="AC270" s="48" t="e">
        <f t="shared" si="25"/>
        <v>#N/A</v>
      </c>
    </row>
    <row r="271" spans="1:29" ht="12.5" x14ac:dyDescent="0.25">
      <c r="A271" s="36"/>
      <c r="B271" s="33"/>
      <c r="C271" s="33"/>
      <c r="D271" s="33"/>
      <c r="E271" s="35"/>
      <c r="F271" s="21"/>
      <c r="G271" s="22" t="e">
        <f>VLOOKUP(E271,'Court List'!$A:$C,2,0)</f>
        <v>#N/A</v>
      </c>
      <c r="H271" s="33"/>
      <c r="I271" s="33"/>
      <c r="J271" s="44" t="e">
        <f t="shared" si="16"/>
        <v>#N/A</v>
      </c>
      <c r="K271" s="36"/>
      <c r="L271" s="18">
        <f>SUM('Shuttle Count - Supreme (Nov 20'!C271:D271)</f>
        <v>0</v>
      </c>
      <c r="M271" s="18" t="e">
        <f>VLOOKUP(K271,'Shuttle Purchase'!A:C,3,0)</f>
        <v>#N/A</v>
      </c>
      <c r="N271" s="44" t="e">
        <f t="shared" si="15"/>
        <v>#N/A</v>
      </c>
      <c r="O271" s="24" t="e">
        <f>VLOOKUP(E271,'Court List'!$A:$C,3,0)</f>
        <v>#N/A</v>
      </c>
      <c r="P271" s="18">
        <f>COUNTIF('Pub List'!$C271:$T271,"&lt;&gt;")</f>
        <v>0</v>
      </c>
      <c r="Q271" s="20" t="e">
        <f t="shared" si="17"/>
        <v>#N/A</v>
      </c>
      <c r="R271" s="36"/>
      <c r="S271" s="18">
        <f>COUNTIF('Member List'!$C271:$J271,"&lt;&gt;")</f>
        <v>0</v>
      </c>
      <c r="T271" s="35"/>
      <c r="U271" s="24">
        <f t="shared" si="18"/>
        <v>0</v>
      </c>
      <c r="V271" s="18" t="e">
        <f t="shared" si="19"/>
        <v>#N/A</v>
      </c>
      <c r="W271" s="45" t="e">
        <f t="shared" si="20"/>
        <v>#N/A</v>
      </c>
      <c r="X271" s="20" t="e">
        <f t="shared" si="21"/>
        <v>#N/A</v>
      </c>
      <c r="Y271" s="46" t="e">
        <f t="shared" si="24"/>
        <v>#N/A</v>
      </c>
      <c r="Z271" s="39" t="e">
        <f t="shared" si="22"/>
        <v>#N/A</v>
      </c>
      <c r="AA271" s="39" t="e">
        <f t="shared" si="23"/>
        <v>#N/A</v>
      </c>
      <c r="AB271" s="39"/>
      <c r="AC271" s="48" t="e">
        <f t="shared" si="25"/>
        <v>#N/A</v>
      </c>
    </row>
    <row r="272" spans="1:29" ht="12.5" x14ac:dyDescent="0.25">
      <c r="A272" s="36"/>
      <c r="B272" s="33"/>
      <c r="C272" s="33"/>
      <c r="D272" s="33"/>
      <c r="E272" s="35"/>
      <c r="F272" s="21"/>
      <c r="G272" s="22" t="e">
        <f>VLOOKUP(E272,'Court List'!$A:$C,2,0)</f>
        <v>#N/A</v>
      </c>
      <c r="H272" s="33"/>
      <c r="I272" s="33"/>
      <c r="J272" s="44" t="e">
        <f t="shared" si="16"/>
        <v>#N/A</v>
      </c>
      <c r="K272" s="36"/>
      <c r="L272" s="18">
        <f>SUM('Shuttle Count - Supreme (Nov 20'!C272:D272)</f>
        <v>0</v>
      </c>
      <c r="M272" s="18" t="e">
        <f>VLOOKUP(K272,'Shuttle Purchase'!A:C,3,0)</f>
        <v>#N/A</v>
      </c>
      <c r="N272" s="44" t="e">
        <f t="shared" si="15"/>
        <v>#N/A</v>
      </c>
      <c r="O272" s="24" t="e">
        <f>VLOOKUP(E272,'Court List'!$A:$C,3,0)</f>
        <v>#N/A</v>
      </c>
      <c r="P272" s="18">
        <f>COUNTIF('Pub List'!$C272:$T272,"&lt;&gt;")</f>
        <v>0</v>
      </c>
      <c r="Q272" s="20" t="e">
        <f t="shared" si="17"/>
        <v>#N/A</v>
      </c>
      <c r="R272" s="36"/>
      <c r="S272" s="18">
        <f>COUNTIF('Member List'!$C272:$J272,"&lt;&gt;")</f>
        <v>0</v>
      </c>
      <c r="T272" s="35"/>
      <c r="U272" s="24">
        <f t="shared" si="18"/>
        <v>0</v>
      </c>
      <c r="V272" s="18" t="e">
        <f t="shared" si="19"/>
        <v>#N/A</v>
      </c>
      <c r="W272" s="45" t="e">
        <f t="shared" si="20"/>
        <v>#N/A</v>
      </c>
      <c r="X272" s="20" t="e">
        <f t="shared" si="21"/>
        <v>#N/A</v>
      </c>
      <c r="Y272" s="46" t="e">
        <f t="shared" si="24"/>
        <v>#N/A</v>
      </c>
      <c r="Z272" s="39" t="e">
        <f t="shared" si="22"/>
        <v>#N/A</v>
      </c>
      <c r="AA272" s="39" t="e">
        <f t="shared" si="23"/>
        <v>#N/A</v>
      </c>
      <c r="AB272" s="39"/>
      <c r="AC272" s="48" t="e">
        <f t="shared" si="25"/>
        <v>#N/A</v>
      </c>
    </row>
    <row r="273" spans="1:29" ht="12.5" x14ac:dyDescent="0.25">
      <c r="A273" s="36"/>
      <c r="B273" s="33"/>
      <c r="C273" s="33"/>
      <c r="D273" s="33"/>
      <c r="E273" s="35"/>
      <c r="F273" s="21"/>
      <c r="G273" s="22" t="e">
        <f>VLOOKUP(E273,'Court List'!$A:$C,2,0)</f>
        <v>#N/A</v>
      </c>
      <c r="H273" s="33"/>
      <c r="I273" s="33"/>
      <c r="J273" s="44" t="e">
        <f t="shared" si="16"/>
        <v>#N/A</v>
      </c>
      <c r="K273" s="36"/>
      <c r="L273" s="18">
        <f>SUM('Shuttle Count - Supreme (Nov 20'!C273:D273)</f>
        <v>0</v>
      </c>
      <c r="M273" s="18" t="e">
        <f>VLOOKUP(K273,'Shuttle Purchase'!A:C,3,0)</f>
        <v>#N/A</v>
      </c>
      <c r="N273" s="44" t="e">
        <f t="shared" si="15"/>
        <v>#N/A</v>
      </c>
      <c r="O273" s="24" t="e">
        <f>VLOOKUP(E273,'Court List'!$A:$C,3,0)</f>
        <v>#N/A</v>
      </c>
      <c r="P273" s="18">
        <f>COUNTIF('Pub List'!$C273:$T273,"&lt;&gt;")</f>
        <v>0</v>
      </c>
      <c r="Q273" s="20" t="e">
        <f t="shared" si="17"/>
        <v>#N/A</v>
      </c>
      <c r="R273" s="36"/>
      <c r="S273" s="18">
        <f>COUNTIF('Member List'!$C273:$J273,"&lt;&gt;")</f>
        <v>0</v>
      </c>
      <c r="T273" s="35"/>
      <c r="U273" s="24">
        <f t="shared" si="18"/>
        <v>0</v>
      </c>
      <c r="V273" s="18" t="e">
        <f t="shared" si="19"/>
        <v>#N/A</v>
      </c>
      <c r="W273" s="45" t="e">
        <f t="shared" si="20"/>
        <v>#N/A</v>
      </c>
      <c r="X273" s="20" t="e">
        <f t="shared" si="21"/>
        <v>#N/A</v>
      </c>
      <c r="Y273" s="46" t="e">
        <f t="shared" si="24"/>
        <v>#N/A</v>
      </c>
      <c r="Z273" s="39" t="e">
        <f t="shared" si="22"/>
        <v>#N/A</v>
      </c>
      <c r="AA273" s="39" t="e">
        <f t="shared" si="23"/>
        <v>#N/A</v>
      </c>
      <c r="AB273" s="39"/>
      <c r="AC273" s="48" t="e">
        <f t="shared" si="25"/>
        <v>#N/A</v>
      </c>
    </row>
    <row r="274" spans="1:29" ht="12.5" x14ac:dyDescent="0.25">
      <c r="A274" s="36"/>
      <c r="B274" s="33"/>
      <c r="C274" s="33"/>
      <c r="D274" s="33"/>
      <c r="E274" s="35"/>
      <c r="F274" s="21"/>
      <c r="G274" s="22" t="e">
        <f>VLOOKUP(E274,'Court List'!$A:$C,2,0)</f>
        <v>#N/A</v>
      </c>
      <c r="H274" s="33"/>
      <c r="I274" s="33"/>
      <c r="J274" s="44" t="e">
        <f t="shared" si="16"/>
        <v>#N/A</v>
      </c>
      <c r="K274" s="36"/>
      <c r="L274" s="18">
        <f>SUM('Shuttle Count - Supreme (Nov 20'!C274:D274)</f>
        <v>0</v>
      </c>
      <c r="M274" s="18" t="e">
        <f>VLOOKUP(K274,'Shuttle Purchase'!A:C,3,0)</f>
        <v>#N/A</v>
      </c>
      <c r="N274" s="44" t="e">
        <f t="shared" si="15"/>
        <v>#N/A</v>
      </c>
      <c r="O274" s="24" t="e">
        <f>VLOOKUP(E274,'Court List'!$A:$C,3,0)</f>
        <v>#N/A</v>
      </c>
      <c r="P274" s="18">
        <f>COUNTIF('Pub List'!$C274:$T274,"&lt;&gt;")</f>
        <v>0</v>
      </c>
      <c r="Q274" s="20" t="e">
        <f t="shared" si="17"/>
        <v>#N/A</v>
      </c>
      <c r="R274" s="36"/>
      <c r="S274" s="18">
        <f>COUNTIF('Member List'!$C274:$J274,"&lt;&gt;")</f>
        <v>0</v>
      </c>
      <c r="T274" s="35"/>
      <c r="U274" s="24">
        <f t="shared" si="18"/>
        <v>0</v>
      </c>
      <c r="V274" s="18" t="e">
        <f t="shared" si="19"/>
        <v>#N/A</v>
      </c>
      <c r="W274" s="45" t="e">
        <f t="shared" si="20"/>
        <v>#N/A</v>
      </c>
      <c r="X274" s="20" t="e">
        <f t="shared" si="21"/>
        <v>#N/A</v>
      </c>
      <c r="Y274" s="46" t="e">
        <f t="shared" si="24"/>
        <v>#N/A</v>
      </c>
      <c r="Z274" s="39" t="e">
        <f t="shared" si="22"/>
        <v>#N/A</v>
      </c>
      <c r="AA274" s="39" t="e">
        <f t="shared" si="23"/>
        <v>#N/A</v>
      </c>
      <c r="AB274" s="39"/>
      <c r="AC274" s="48" t="e">
        <f t="shared" si="25"/>
        <v>#N/A</v>
      </c>
    </row>
    <row r="275" spans="1:29" ht="12.5" x14ac:dyDescent="0.25">
      <c r="A275" s="36"/>
      <c r="B275" s="33"/>
      <c r="C275" s="33"/>
      <c r="D275" s="33"/>
      <c r="E275" s="35"/>
      <c r="F275" s="21"/>
      <c r="G275" s="22" t="e">
        <f>VLOOKUP(E275,'Court List'!$A:$C,2,0)</f>
        <v>#N/A</v>
      </c>
      <c r="H275" s="33"/>
      <c r="I275" s="33"/>
      <c r="J275" s="44" t="e">
        <f t="shared" si="16"/>
        <v>#N/A</v>
      </c>
      <c r="K275" s="36"/>
      <c r="L275" s="18">
        <f>SUM('Shuttle Count - Supreme (Nov 20'!C275:D275)</f>
        <v>0</v>
      </c>
      <c r="M275" s="18" t="e">
        <f>VLOOKUP(K275,'Shuttle Purchase'!A:C,3,0)</f>
        <v>#N/A</v>
      </c>
      <c r="N275" s="44" t="e">
        <f t="shared" si="15"/>
        <v>#N/A</v>
      </c>
      <c r="O275" s="24" t="e">
        <f>VLOOKUP(E275,'Court List'!$A:$C,3,0)</f>
        <v>#N/A</v>
      </c>
      <c r="P275" s="18">
        <f>COUNTIF('Pub List'!$C275:$T275,"&lt;&gt;")</f>
        <v>0</v>
      </c>
      <c r="Q275" s="20" t="e">
        <f t="shared" si="17"/>
        <v>#N/A</v>
      </c>
      <c r="R275" s="36"/>
      <c r="S275" s="18">
        <f>COUNTIF('Member List'!$C275:$J275,"&lt;&gt;")</f>
        <v>0</v>
      </c>
      <c r="T275" s="35"/>
      <c r="U275" s="24">
        <f t="shared" si="18"/>
        <v>0</v>
      </c>
      <c r="V275" s="18" t="e">
        <f t="shared" si="19"/>
        <v>#N/A</v>
      </c>
      <c r="W275" s="45" t="e">
        <f t="shared" si="20"/>
        <v>#N/A</v>
      </c>
      <c r="X275" s="20" t="e">
        <f t="shared" si="21"/>
        <v>#N/A</v>
      </c>
      <c r="Y275" s="46" t="e">
        <f t="shared" si="24"/>
        <v>#N/A</v>
      </c>
      <c r="Z275" s="39" t="e">
        <f t="shared" si="22"/>
        <v>#N/A</v>
      </c>
      <c r="AA275" s="39" t="e">
        <f t="shared" si="23"/>
        <v>#N/A</v>
      </c>
      <c r="AB275" s="39"/>
      <c r="AC275" s="48" t="e">
        <f t="shared" si="25"/>
        <v>#N/A</v>
      </c>
    </row>
    <row r="276" spans="1:29" ht="12.5" x14ac:dyDescent="0.25">
      <c r="A276" s="36"/>
      <c r="B276" s="33"/>
      <c r="C276" s="33"/>
      <c r="D276" s="33"/>
      <c r="E276" s="35"/>
      <c r="F276" s="21"/>
      <c r="G276" s="22" t="e">
        <f>VLOOKUP(E276,'Court List'!$A:$C,2,0)</f>
        <v>#N/A</v>
      </c>
      <c r="H276" s="33"/>
      <c r="I276" s="33"/>
      <c r="J276" s="44" t="e">
        <f t="shared" si="16"/>
        <v>#N/A</v>
      </c>
      <c r="K276" s="36"/>
      <c r="L276" s="18">
        <f>SUM('Shuttle Count - Supreme (Nov 20'!C276:D276)</f>
        <v>0</v>
      </c>
      <c r="M276" s="18" t="e">
        <f>VLOOKUP(K276,'Shuttle Purchase'!A:C,3,0)</f>
        <v>#N/A</v>
      </c>
      <c r="N276" s="44" t="e">
        <f t="shared" si="15"/>
        <v>#N/A</v>
      </c>
      <c r="O276" s="24" t="e">
        <f>VLOOKUP(E276,'Court List'!$A:$C,3,0)</f>
        <v>#N/A</v>
      </c>
      <c r="P276" s="18">
        <f>COUNTIF('Pub List'!$C276:$T276,"&lt;&gt;")</f>
        <v>0</v>
      </c>
      <c r="Q276" s="20" t="e">
        <f t="shared" si="17"/>
        <v>#N/A</v>
      </c>
      <c r="R276" s="36"/>
      <c r="S276" s="18">
        <f>COUNTIF('Member List'!$C276:$J276,"&lt;&gt;")</f>
        <v>0</v>
      </c>
      <c r="T276" s="35"/>
      <c r="U276" s="24">
        <f t="shared" si="18"/>
        <v>0</v>
      </c>
      <c r="V276" s="18" t="e">
        <f t="shared" si="19"/>
        <v>#N/A</v>
      </c>
      <c r="W276" s="45" t="e">
        <f t="shared" si="20"/>
        <v>#N/A</v>
      </c>
      <c r="X276" s="20" t="e">
        <f t="shared" si="21"/>
        <v>#N/A</v>
      </c>
      <c r="Y276" s="46" t="e">
        <f t="shared" si="24"/>
        <v>#N/A</v>
      </c>
      <c r="Z276" s="39" t="e">
        <f t="shared" si="22"/>
        <v>#N/A</v>
      </c>
      <c r="AA276" s="39" t="e">
        <f t="shared" si="23"/>
        <v>#N/A</v>
      </c>
      <c r="AB276" s="39"/>
      <c r="AC276" s="48" t="e">
        <f t="shared" si="25"/>
        <v>#N/A</v>
      </c>
    </row>
    <row r="277" spans="1:29" ht="12.5" x14ac:dyDescent="0.25">
      <c r="A277" s="36"/>
      <c r="B277" s="33"/>
      <c r="C277" s="33"/>
      <c r="D277" s="33"/>
      <c r="E277" s="35"/>
      <c r="F277" s="21"/>
      <c r="G277" s="22" t="e">
        <f>VLOOKUP(E277,'Court List'!$A:$C,2,0)</f>
        <v>#N/A</v>
      </c>
      <c r="H277" s="33"/>
      <c r="I277" s="33"/>
      <c r="J277" s="44" t="e">
        <f t="shared" si="16"/>
        <v>#N/A</v>
      </c>
      <c r="K277" s="36"/>
      <c r="L277" s="18">
        <f>SUM('Shuttle Count - Supreme (Nov 20'!C277:D277)</f>
        <v>0</v>
      </c>
      <c r="M277" s="18" t="e">
        <f>VLOOKUP(K277,'Shuttle Purchase'!A:C,3,0)</f>
        <v>#N/A</v>
      </c>
      <c r="N277" s="44" t="e">
        <f t="shared" si="15"/>
        <v>#N/A</v>
      </c>
      <c r="O277" s="24" t="e">
        <f>VLOOKUP(E277,'Court List'!$A:$C,3,0)</f>
        <v>#N/A</v>
      </c>
      <c r="P277" s="18">
        <f>COUNTIF('Pub List'!$C277:$T277,"&lt;&gt;")</f>
        <v>0</v>
      </c>
      <c r="Q277" s="20" t="e">
        <f t="shared" si="17"/>
        <v>#N/A</v>
      </c>
      <c r="R277" s="36"/>
      <c r="S277" s="18">
        <f>COUNTIF('Member List'!$C277:$J277,"&lt;&gt;")</f>
        <v>0</v>
      </c>
      <c r="T277" s="35"/>
      <c r="U277" s="24">
        <f t="shared" si="18"/>
        <v>0</v>
      </c>
      <c r="V277" s="18" t="e">
        <f t="shared" si="19"/>
        <v>#N/A</v>
      </c>
      <c r="W277" s="45" t="e">
        <f t="shared" si="20"/>
        <v>#N/A</v>
      </c>
      <c r="X277" s="20" t="e">
        <f t="shared" si="21"/>
        <v>#N/A</v>
      </c>
      <c r="Y277" s="46" t="e">
        <f t="shared" si="24"/>
        <v>#N/A</v>
      </c>
      <c r="Z277" s="39" t="e">
        <f t="shared" si="22"/>
        <v>#N/A</v>
      </c>
      <c r="AA277" s="39" t="e">
        <f t="shared" si="23"/>
        <v>#N/A</v>
      </c>
      <c r="AB277" s="39"/>
      <c r="AC277" s="48" t="e">
        <f t="shared" si="25"/>
        <v>#N/A</v>
      </c>
    </row>
    <row r="278" spans="1:29" ht="12.5" x14ac:dyDescent="0.25">
      <c r="A278" s="36"/>
      <c r="B278" s="33"/>
      <c r="C278" s="33"/>
      <c r="D278" s="33"/>
      <c r="E278" s="35"/>
      <c r="F278" s="21"/>
      <c r="G278" s="22" t="e">
        <f>VLOOKUP(E278,'Court List'!$A:$C,2,0)</f>
        <v>#N/A</v>
      </c>
      <c r="H278" s="33"/>
      <c r="I278" s="33"/>
      <c r="J278" s="44" t="e">
        <f t="shared" si="16"/>
        <v>#N/A</v>
      </c>
      <c r="K278" s="36"/>
      <c r="L278" s="18">
        <f>SUM('Shuttle Count - Supreme (Nov 20'!C278:D278)</f>
        <v>0</v>
      </c>
      <c r="M278" s="18" t="e">
        <f>VLOOKUP(K278,'Shuttle Purchase'!A:C,3,0)</f>
        <v>#N/A</v>
      </c>
      <c r="N278" s="44" t="e">
        <f t="shared" si="15"/>
        <v>#N/A</v>
      </c>
      <c r="O278" s="24" t="e">
        <f>VLOOKUP(E278,'Court List'!$A:$C,3,0)</f>
        <v>#N/A</v>
      </c>
      <c r="P278" s="18">
        <f>COUNTIF('Pub List'!$C278:$T278,"&lt;&gt;")</f>
        <v>0</v>
      </c>
      <c r="Q278" s="20" t="e">
        <f t="shared" si="17"/>
        <v>#N/A</v>
      </c>
      <c r="R278" s="36"/>
      <c r="S278" s="18">
        <f>COUNTIF('Member List'!$C278:$J278,"&lt;&gt;")</f>
        <v>0</v>
      </c>
      <c r="T278" s="35"/>
      <c r="U278" s="24">
        <f t="shared" si="18"/>
        <v>0</v>
      </c>
      <c r="V278" s="18" t="e">
        <f t="shared" si="19"/>
        <v>#N/A</v>
      </c>
      <c r="W278" s="45" t="e">
        <f t="shared" si="20"/>
        <v>#N/A</v>
      </c>
      <c r="X278" s="20" t="e">
        <f t="shared" si="21"/>
        <v>#N/A</v>
      </c>
      <c r="Y278" s="46" t="e">
        <f t="shared" si="24"/>
        <v>#N/A</v>
      </c>
      <c r="Z278" s="39" t="e">
        <f t="shared" si="22"/>
        <v>#N/A</v>
      </c>
      <c r="AA278" s="39" t="e">
        <f t="shared" si="23"/>
        <v>#N/A</v>
      </c>
      <c r="AB278" s="39"/>
      <c r="AC278" s="48" t="e">
        <f t="shared" si="25"/>
        <v>#N/A</v>
      </c>
    </row>
    <row r="279" spans="1:29" ht="12.5" x14ac:dyDescent="0.25">
      <c r="A279" s="36"/>
      <c r="B279" s="33"/>
      <c r="C279" s="33"/>
      <c r="D279" s="33"/>
      <c r="E279" s="35"/>
      <c r="F279" s="21"/>
      <c r="G279" s="22" t="e">
        <f>VLOOKUP(E279,'Court List'!$A:$C,2,0)</f>
        <v>#N/A</v>
      </c>
      <c r="H279" s="33"/>
      <c r="I279" s="33"/>
      <c r="J279" s="44" t="e">
        <f t="shared" si="16"/>
        <v>#N/A</v>
      </c>
      <c r="K279" s="36"/>
      <c r="L279" s="18">
        <f>SUM('Shuttle Count - Supreme (Nov 20'!C279:D279)</f>
        <v>0</v>
      </c>
      <c r="M279" s="18" t="e">
        <f>VLOOKUP(K279,'Shuttle Purchase'!A:C,3,0)</f>
        <v>#N/A</v>
      </c>
      <c r="N279" s="44" t="e">
        <f t="shared" si="15"/>
        <v>#N/A</v>
      </c>
      <c r="O279" s="24" t="e">
        <f>VLOOKUP(E279,'Court List'!$A:$C,3,0)</f>
        <v>#N/A</v>
      </c>
      <c r="P279" s="18">
        <f>COUNTIF('Pub List'!$C279:$T279,"&lt;&gt;")</f>
        <v>0</v>
      </c>
      <c r="Q279" s="20" t="e">
        <f t="shared" si="17"/>
        <v>#N/A</v>
      </c>
      <c r="R279" s="36"/>
      <c r="S279" s="18">
        <f>COUNTIF('Member List'!$C279:$J279,"&lt;&gt;")</f>
        <v>0</v>
      </c>
      <c r="T279" s="35"/>
      <c r="U279" s="24">
        <f t="shared" si="18"/>
        <v>0</v>
      </c>
      <c r="V279" s="18" t="e">
        <f t="shared" si="19"/>
        <v>#N/A</v>
      </c>
      <c r="W279" s="45" t="e">
        <f t="shared" si="20"/>
        <v>#N/A</v>
      </c>
      <c r="X279" s="20" t="e">
        <f t="shared" si="21"/>
        <v>#N/A</v>
      </c>
      <c r="Y279" s="46" t="e">
        <f t="shared" si="24"/>
        <v>#N/A</v>
      </c>
      <c r="Z279" s="39" t="e">
        <f t="shared" si="22"/>
        <v>#N/A</v>
      </c>
      <c r="AA279" s="39" t="e">
        <f t="shared" si="23"/>
        <v>#N/A</v>
      </c>
      <c r="AB279" s="39"/>
      <c r="AC279" s="48" t="e">
        <f t="shared" si="25"/>
        <v>#N/A</v>
      </c>
    </row>
    <row r="280" spans="1:29" ht="12.5" x14ac:dyDescent="0.25">
      <c r="A280" s="36"/>
      <c r="B280" s="33"/>
      <c r="C280" s="33"/>
      <c r="D280" s="33"/>
      <c r="E280" s="35"/>
      <c r="F280" s="21"/>
      <c r="G280" s="22" t="e">
        <f>VLOOKUP(E280,'Court List'!$A:$C,2,0)</f>
        <v>#N/A</v>
      </c>
      <c r="H280" s="33"/>
      <c r="I280" s="33"/>
      <c r="J280" s="44" t="e">
        <f t="shared" si="16"/>
        <v>#N/A</v>
      </c>
      <c r="K280" s="36"/>
      <c r="L280" s="18">
        <f>SUM('Shuttle Count - Supreme (Nov 20'!C280:D280)</f>
        <v>0</v>
      </c>
      <c r="M280" s="18" t="e">
        <f>VLOOKUP(K280,'Shuttle Purchase'!A:C,3,0)</f>
        <v>#N/A</v>
      </c>
      <c r="N280" s="44" t="e">
        <f t="shared" si="15"/>
        <v>#N/A</v>
      </c>
      <c r="O280" s="24" t="e">
        <f>VLOOKUP(E280,'Court List'!$A:$C,3,0)</f>
        <v>#N/A</v>
      </c>
      <c r="P280" s="18">
        <f>COUNTIF('Pub List'!$C280:$T280,"&lt;&gt;")</f>
        <v>0</v>
      </c>
      <c r="Q280" s="20" t="e">
        <f t="shared" si="17"/>
        <v>#N/A</v>
      </c>
      <c r="R280" s="36"/>
      <c r="S280" s="18">
        <f>COUNTIF('Member List'!$C280:$J280,"&lt;&gt;")</f>
        <v>0</v>
      </c>
      <c r="T280" s="35"/>
      <c r="U280" s="24">
        <f t="shared" si="18"/>
        <v>0</v>
      </c>
      <c r="V280" s="18" t="e">
        <f t="shared" si="19"/>
        <v>#N/A</v>
      </c>
      <c r="W280" s="45" t="e">
        <f t="shared" si="20"/>
        <v>#N/A</v>
      </c>
      <c r="X280" s="20" t="e">
        <f t="shared" si="21"/>
        <v>#N/A</v>
      </c>
      <c r="Y280" s="46" t="e">
        <f t="shared" si="24"/>
        <v>#N/A</v>
      </c>
      <c r="Z280" s="39" t="e">
        <f t="shared" si="22"/>
        <v>#N/A</v>
      </c>
      <c r="AA280" s="39" t="e">
        <f t="shared" si="23"/>
        <v>#N/A</v>
      </c>
      <c r="AB280" s="39"/>
      <c r="AC280" s="48" t="e">
        <f t="shared" si="25"/>
        <v>#N/A</v>
      </c>
    </row>
    <row r="281" spans="1:29" ht="12.5" x14ac:dyDescent="0.25">
      <c r="A281" s="36"/>
      <c r="B281" s="33"/>
      <c r="C281" s="33"/>
      <c r="D281" s="33"/>
      <c r="E281" s="35"/>
      <c r="F281" s="21"/>
      <c r="G281" s="22" t="e">
        <f>VLOOKUP(E281,'Court List'!$A:$C,2,0)</f>
        <v>#N/A</v>
      </c>
      <c r="H281" s="33"/>
      <c r="I281" s="33"/>
      <c r="J281" s="44" t="e">
        <f t="shared" si="16"/>
        <v>#N/A</v>
      </c>
      <c r="K281" s="36"/>
      <c r="L281" s="18">
        <f>SUM('Shuttle Count - Supreme (Nov 20'!C281:D281)</f>
        <v>0</v>
      </c>
      <c r="M281" s="18" t="e">
        <f>VLOOKUP(K281,'Shuttle Purchase'!A:C,3,0)</f>
        <v>#N/A</v>
      </c>
      <c r="N281" s="44" t="e">
        <f t="shared" si="15"/>
        <v>#N/A</v>
      </c>
      <c r="O281" s="24" t="e">
        <f>VLOOKUP(E281,'Court List'!$A:$C,3,0)</f>
        <v>#N/A</v>
      </c>
      <c r="P281" s="18">
        <f>COUNTIF('Pub List'!$C281:$T281,"&lt;&gt;")</f>
        <v>0</v>
      </c>
      <c r="Q281" s="20" t="e">
        <f t="shared" si="17"/>
        <v>#N/A</v>
      </c>
      <c r="R281" s="36"/>
      <c r="S281" s="18">
        <f>COUNTIF('Member List'!$C281:$J281,"&lt;&gt;")</f>
        <v>0</v>
      </c>
      <c r="T281" s="35"/>
      <c r="U281" s="24">
        <f t="shared" si="18"/>
        <v>0</v>
      </c>
      <c r="V281" s="18" t="e">
        <f t="shared" si="19"/>
        <v>#N/A</v>
      </c>
      <c r="W281" s="45" t="e">
        <f t="shared" si="20"/>
        <v>#N/A</v>
      </c>
      <c r="X281" s="20" t="e">
        <f t="shared" si="21"/>
        <v>#N/A</v>
      </c>
      <c r="Y281" s="46" t="e">
        <f t="shared" si="24"/>
        <v>#N/A</v>
      </c>
      <c r="Z281" s="39" t="e">
        <f t="shared" si="22"/>
        <v>#N/A</v>
      </c>
      <c r="AA281" s="39" t="e">
        <f t="shared" si="23"/>
        <v>#N/A</v>
      </c>
      <c r="AB281" s="39"/>
      <c r="AC281" s="48" t="e">
        <f t="shared" si="25"/>
        <v>#N/A</v>
      </c>
    </row>
    <row r="282" spans="1:29" ht="12.5" x14ac:dyDescent="0.25">
      <c r="A282" s="36"/>
      <c r="B282" s="33"/>
      <c r="C282" s="33"/>
      <c r="D282" s="33"/>
      <c r="E282" s="35"/>
      <c r="F282" s="21"/>
      <c r="G282" s="22" t="e">
        <f>VLOOKUP(E282,'Court List'!$A:$C,2,0)</f>
        <v>#N/A</v>
      </c>
      <c r="H282" s="33"/>
      <c r="I282" s="33"/>
      <c r="J282" s="44" t="e">
        <f t="shared" si="16"/>
        <v>#N/A</v>
      </c>
      <c r="K282" s="36"/>
      <c r="L282" s="18">
        <f>SUM('Shuttle Count - Supreme (Nov 20'!C282:D282)</f>
        <v>0</v>
      </c>
      <c r="M282" s="18" t="e">
        <f>VLOOKUP(K282,'Shuttle Purchase'!A:C,3,0)</f>
        <v>#N/A</v>
      </c>
      <c r="N282" s="44" t="e">
        <f t="shared" si="15"/>
        <v>#N/A</v>
      </c>
      <c r="O282" s="24" t="e">
        <f>VLOOKUP(E282,'Court List'!$A:$C,3,0)</f>
        <v>#N/A</v>
      </c>
      <c r="P282" s="18">
        <f>COUNTIF('Pub List'!$C282:$T282,"&lt;&gt;")</f>
        <v>0</v>
      </c>
      <c r="Q282" s="20" t="e">
        <f t="shared" si="17"/>
        <v>#N/A</v>
      </c>
      <c r="R282" s="36"/>
      <c r="S282" s="18">
        <f>COUNTIF('Member List'!$C282:$J282,"&lt;&gt;")</f>
        <v>0</v>
      </c>
      <c r="T282" s="35"/>
      <c r="U282" s="24">
        <f t="shared" si="18"/>
        <v>0</v>
      </c>
      <c r="V282" s="18" t="e">
        <f t="shared" si="19"/>
        <v>#N/A</v>
      </c>
      <c r="W282" s="45" t="e">
        <f t="shared" si="20"/>
        <v>#N/A</v>
      </c>
      <c r="X282" s="20" t="e">
        <f t="shared" si="21"/>
        <v>#N/A</v>
      </c>
      <c r="Y282" s="46" t="e">
        <f t="shared" si="24"/>
        <v>#N/A</v>
      </c>
      <c r="Z282" s="39" t="e">
        <f t="shared" si="22"/>
        <v>#N/A</v>
      </c>
      <c r="AA282" s="39" t="e">
        <f t="shared" si="23"/>
        <v>#N/A</v>
      </c>
      <c r="AB282" s="39"/>
      <c r="AC282" s="48" t="e">
        <f t="shared" si="25"/>
        <v>#N/A</v>
      </c>
    </row>
    <row r="283" spans="1:29" ht="12.5" x14ac:dyDescent="0.25">
      <c r="A283" s="36"/>
      <c r="B283" s="33"/>
      <c r="C283" s="33"/>
      <c r="D283" s="33"/>
      <c r="E283" s="35"/>
      <c r="F283" s="21"/>
      <c r="G283" s="22" t="e">
        <f>VLOOKUP(E283,'Court List'!$A:$C,2,0)</f>
        <v>#N/A</v>
      </c>
      <c r="H283" s="33"/>
      <c r="I283" s="33"/>
      <c r="J283" s="44" t="e">
        <f t="shared" si="16"/>
        <v>#N/A</v>
      </c>
      <c r="K283" s="36"/>
      <c r="L283" s="18">
        <f>SUM('Shuttle Count - Supreme (Nov 20'!C283:D283)</f>
        <v>0</v>
      </c>
      <c r="M283" s="18" t="e">
        <f>VLOOKUP(K283,'Shuttle Purchase'!A:C,3,0)</f>
        <v>#N/A</v>
      </c>
      <c r="N283" s="44" t="e">
        <f t="shared" si="15"/>
        <v>#N/A</v>
      </c>
      <c r="O283" s="24" t="e">
        <f>VLOOKUP(E283,'Court List'!$A:$C,3,0)</f>
        <v>#N/A</v>
      </c>
      <c r="P283" s="18">
        <f>COUNTIF('Pub List'!$C283:$T283,"&lt;&gt;")</f>
        <v>0</v>
      </c>
      <c r="Q283" s="20" t="e">
        <f t="shared" si="17"/>
        <v>#N/A</v>
      </c>
      <c r="R283" s="36"/>
      <c r="S283" s="18">
        <f>COUNTIF('Member List'!$C283:$J283,"&lt;&gt;")</f>
        <v>0</v>
      </c>
      <c r="T283" s="35"/>
      <c r="U283" s="24">
        <f t="shared" si="18"/>
        <v>0</v>
      </c>
      <c r="V283" s="18" t="e">
        <f t="shared" si="19"/>
        <v>#N/A</v>
      </c>
      <c r="W283" s="45" t="e">
        <f t="shared" si="20"/>
        <v>#N/A</v>
      </c>
      <c r="X283" s="20" t="e">
        <f t="shared" si="21"/>
        <v>#N/A</v>
      </c>
      <c r="Y283" s="46" t="e">
        <f t="shared" si="24"/>
        <v>#N/A</v>
      </c>
      <c r="Z283" s="39" t="e">
        <f t="shared" si="22"/>
        <v>#N/A</v>
      </c>
      <c r="AA283" s="39" t="e">
        <f t="shared" si="23"/>
        <v>#N/A</v>
      </c>
      <c r="AB283" s="39"/>
      <c r="AC283" s="48" t="e">
        <f t="shared" si="25"/>
        <v>#N/A</v>
      </c>
    </row>
    <row r="284" spans="1:29" ht="12.5" x14ac:dyDescent="0.25">
      <c r="A284" s="36"/>
      <c r="B284" s="33"/>
      <c r="C284" s="33"/>
      <c r="D284" s="33"/>
      <c r="E284" s="35"/>
      <c r="F284" s="21"/>
      <c r="G284" s="22" t="e">
        <f>VLOOKUP(E284,'Court List'!$A:$C,2,0)</f>
        <v>#N/A</v>
      </c>
      <c r="H284" s="33"/>
      <c r="I284" s="33"/>
      <c r="J284" s="44" t="e">
        <f t="shared" si="16"/>
        <v>#N/A</v>
      </c>
      <c r="K284" s="36"/>
      <c r="L284" s="18">
        <f>SUM('Shuttle Count - Supreme (Nov 20'!C284:D284)</f>
        <v>0</v>
      </c>
      <c r="M284" s="18" t="e">
        <f>VLOOKUP(K284,'Shuttle Purchase'!A:C,3,0)</f>
        <v>#N/A</v>
      </c>
      <c r="N284" s="44" t="e">
        <f t="shared" si="15"/>
        <v>#N/A</v>
      </c>
      <c r="O284" s="24" t="e">
        <f>VLOOKUP(E284,'Court List'!$A:$C,3,0)</f>
        <v>#N/A</v>
      </c>
      <c r="P284" s="18">
        <f>COUNTIF('Pub List'!$C284:$T284,"&lt;&gt;")</f>
        <v>0</v>
      </c>
      <c r="Q284" s="20" t="e">
        <f t="shared" si="17"/>
        <v>#N/A</v>
      </c>
      <c r="R284" s="36"/>
      <c r="S284" s="18">
        <f>COUNTIF('Member List'!$C284:$J284,"&lt;&gt;")</f>
        <v>0</v>
      </c>
      <c r="T284" s="35"/>
      <c r="U284" s="24">
        <f t="shared" si="18"/>
        <v>0</v>
      </c>
      <c r="V284" s="18" t="e">
        <f t="shared" si="19"/>
        <v>#N/A</v>
      </c>
      <c r="W284" s="45" t="e">
        <f t="shared" si="20"/>
        <v>#N/A</v>
      </c>
      <c r="X284" s="20" t="e">
        <f t="shared" si="21"/>
        <v>#N/A</v>
      </c>
      <c r="Y284" s="46" t="e">
        <f t="shared" si="24"/>
        <v>#N/A</v>
      </c>
      <c r="Z284" s="39" t="e">
        <f t="shared" si="22"/>
        <v>#N/A</v>
      </c>
      <c r="AA284" s="39" t="e">
        <f t="shared" si="23"/>
        <v>#N/A</v>
      </c>
      <c r="AB284" s="39"/>
      <c r="AC284" s="48" t="e">
        <f t="shared" si="25"/>
        <v>#N/A</v>
      </c>
    </row>
    <row r="285" spans="1:29" ht="12.5" x14ac:dyDescent="0.25">
      <c r="A285" s="36"/>
      <c r="B285" s="33"/>
      <c r="C285" s="33"/>
      <c r="D285" s="33"/>
      <c r="E285" s="35"/>
      <c r="F285" s="21"/>
      <c r="G285" s="22" t="e">
        <f>VLOOKUP(E285,'Court List'!$A:$C,2,0)</f>
        <v>#N/A</v>
      </c>
      <c r="H285" s="33"/>
      <c r="I285" s="33"/>
      <c r="J285" s="44" t="e">
        <f t="shared" si="16"/>
        <v>#N/A</v>
      </c>
      <c r="K285" s="36"/>
      <c r="L285" s="18">
        <f>SUM('Shuttle Count - Supreme (Nov 20'!C285:D285)</f>
        <v>0</v>
      </c>
      <c r="M285" s="18" t="e">
        <f>VLOOKUP(K285,'Shuttle Purchase'!A:C,3,0)</f>
        <v>#N/A</v>
      </c>
      <c r="N285" s="44" t="e">
        <f t="shared" si="15"/>
        <v>#N/A</v>
      </c>
      <c r="O285" s="24" t="e">
        <f>VLOOKUP(E285,'Court List'!$A:$C,3,0)</f>
        <v>#N/A</v>
      </c>
      <c r="P285" s="18">
        <f>COUNTIF('Pub List'!$C285:$T285,"&lt;&gt;")</f>
        <v>0</v>
      </c>
      <c r="Q285" s="20" t="e">
        <f t="shared" si="17"/>
        <v>#N/A</v>
      </c>
      <c r="R285" s="36"/>
      <c r="S285" s="18">
        <f>COUNTIF('Member List'!$C285:$J285,"&lt;&gt;")</f>
        <v>0</v>
      </c>
      <c r="T285" s="35"/>
      <c r="U285" s="24">
        <f t="shared" si="18"/>
        <v>0</v>
      </c>
      <c r="V285" s="18" t="e">
        <f t="shared" si="19"/>
        <v>#N/A</v>
      </c>
      <c r="W285" s="45" t="e">
        <f t="shared" si="20"/>
        <v>#N/A</v>
      </c>
      <c r="X285" s="20" t="e">
        <f t="shared" si="21"/>
        <v>#N/A</v>
      </c>
      <c r="Y285" s="46" t="e">
        <f t="shared" si="24"/>
        <v>#N/A</v>
      </c>
      <c r="Z285" s="39" t="e">
        <f t="shared" si="22"/>
        <v>#N/A</v>
      </c>
      <c r="AA285" s="39" t="e">
        <f t="shared" si="23"/>
        <v>#N/A</v>
      </c>
      <c r="AB285" s="39"/>
      <c r="AC285" s="48" t="e">
        <f t="shared" si="25"/>
        <v>#N/A</v>
      </c>
    </row>
    <row r="286" spans="1:29" ht="12.5" x14ac:dyDescent="0.25">
      <c r="A286" s="36"/>
      <c r="B286" s="33"/>
      <c r="C286" s="33"/>
      <c r="D286" s="33"/>
      <c r="E286" s="35"/>
      <c r="F286" s="21"/>
      <c r="G286" s="22" t="e">
        <f>VLOOKUP(E286,'Court List'!$A:$C,2,0)</f>
        <v>#N/A</v>
      </c>
      <c r="H286" s="33"/>
      <c r="I286" s="33"/>
      <c r="J286" s="44" t="e">
        <f t="shared" si="16"/>
        <v>#N/A</v>
      </c>
      <c r="K286" s="36"/>
      <c r="L286" s="18">
        <f>SUM('Shuttle Count - Supreme (Nov 20'!C286:D286)</f>
        <v>0</v>
      </c>
      <c r="M286" s="18" t="e">
        <f>VLOOKUP(K286,'Shuttle Purchase'!A:C,3,0)</f>
        <v>#N/A</v>
      </c>
      <c r="N286" s="44" t="e">
        <f t="shared" si="15"/>
        <v>#N/A</v>
      </c>
      <c r="O286" s="24" t="e">
        <f>VLOOKUP(E286,'Court List'!$A:$C,3,0)</f>
        <v>#N/A</v>
      </c>
      <c r="P286" s="18">
        <f>COUNTIF('Pub List'!$C286:$T286,"&lt;&gt;")</f>
        <v>0</v>
      </c>
      <c r="Q286" s="20" t="e">
        <f t="shared" si="17"/>
        <v>#N/A</v>
      </c>
      <c r="R286" s="36"/>
      <c r="S286" s="18">
        <f>COUNTIF('Member List'!$C286:$J286,"&lt;&gt;")</f>
        <v>0</v>
      </c>
      <c r="T286" s="35"/>
      <c r="U286" s="24">
        <f t="shared" si="18"/>
        <v>0</v>
      </c>
      <c r="V286" s="18" t="e">
        <f t="shared" si="19"/>
        <v>#N/A</v>
      </c>
      <c r="W286" s="45" t="e">
        <f t="shared" si="20"/>
        <v>#N/A</v>
      </c>
      <c r="X286" s="20" t="e">
        <f t="shared" si="21"/>
        <v>#N/A</v>
      </c>
      <c r="Y286" s="46" t="e">
        <f t="shared" si="24"/>
        <v>#N/A</v>
      </c>
      <c r="Z286" s="39" t="e">
        <f t="shared" si="22"/>
        <v>#N/A</v>
      </c>
      <c r="AA286" s="39" t="e">
        <f t="shared" si="23"/>
        <v>#N/A</v>
      </c>
      <c r="AB286" s="39"/>
      <c r="AC286" s="48" t="e">
        <f t="shared" si="25"/>
        <v>#N/A</v>
      </c>
    </row>
    <row r="287" spans="1:29" ht="12.5" x14ac:dyDescent="0.25">
      <c r="A287" s="36"/>
      <c r="B287" s="33"/>
      <c r="C287" s="33"/>
      <c r="D287" s="33"/>
      <c r="E287" s="35"/>
      <c r="F287" s="21"/>
      <c r="G287" s="22" t="e">
        <f>VLOOKUP(E287,'Court List'!$A:$C,2,0)</f>
        <v>#N/A</v>
      </c>
      <c r="H287" s="33"/>
      <c r="I287" s="33"/>
      <c r="J287" s="44" t="e">
        <f t="shared" si="16"/>
        <v>#N/A</v>
      </c>
      <c r="K287" s="36"/>
      <c r="L287" s="18">
        <f>SUM('Shuttle Count - Supreme (Nov 20'!C287:D287)</f>
        <v>0</v>
      </c>
      <c r="M287" s="18" t="e">
        <f>VLOOKUP(K287,'Shuttle Purchase'!A:C,3,0)</f>
        <v>#N/A</v>
      </c>
      <c r="N287" s="44" t="e">
        <f t="shared" si="15"/>
        <v>#N/A</v>
      </c>
      <c r="O287" s="24" t="e">
        <f>VLOOKUP(E287,'Court List'!$A:$C,3,0)</f>
        <v>#N/A</v>
      </c>
      <c r="P287" s="18">
        <f>COUNTIF('Pub List'!$C287:$T287,"&lt;&gt;")</f>
        <v>0</v>
      </c>
      <c r="Q287" s="20" t="e">
        <f t="shared" si="17"/>
        <v>#N/A</v>
      </c>
      <c r="R287" s="36"/>
      <c r="S287" s="18">
        <f>COUNTIF('Member List'!$C287:$J287,"&lt;&gt;")</f>
        <v>0</v>
      </c>
      <c r="T287" s="35"/>
      <c r="U287" s="24">
        <f t="shared" si="18"/>
        <v>0</v>
      </c>
      <c r="V287" s="18" t="e">
        <f t="shared" si="19"/>
        <v>#N/A</v>
      </c>
      <c r="W287" s="45" t="e">
        <f t="shared" si="20"/>
        <v>#N/A</v>
      </c>
      <c r="X287" s="20" t="e">
        <f t="shared" si="21"/>
        <v>#N/A</v>
      </c>
      <c r="Y287" s="46" t="e">
        <f t="shared" si="24"/>
        <v>#N/A</v>
      </c>
      <c r="Z287" s="39" t="e">
        <f t="shared" si="22"/>
        <v>#N/A</v>
      </c>
      <c r="AA287" s="39" t="e">
        <f t="shared" si="23"/>
        <v>#N/A</v>
      </c>
      <c r="AB287" s="39"/>
      <c r="AC287" s="48" t="e">
        <f t="shared" si="25"/>
        <v>#N/A</v>
      </c>
    </row>
    <row r="288" spans="1:29" ht="12.5" x14ac:dyDescent="0.25">
      <c r="A288" s="36"/>
      <c r="B288" s="33"/>
      <c r="C288" s="33"/>
      <c r="D288" s="33"/>
      <c r="E288" s="35"/>
      <c r="F288" s="21"/>
      <c r="G288" s="22" t="e">
        <f>VLOOKUP(E288,'Court List'!$A:$C,2,0)</f>
        <v>#N/A</v>
      </c>
      <c r="H288" s="33"/>
      <c r="I288" s="33"/>
      <c r="J288" s="44" t="e">
        <f t="shared" si="16"/>
        <v>#N/A</v>
      </c>
      <c r="K288" s="36"/>
      <c r="L288" s="18">
        <f>SUM('Shuttle Count - Supreme (Nov 20'!C288:D288)</f>
        <v>0</v>
      </c>
      <c r="M288" s="18" t="e">
        <f>VLOOKUP(K288,'Shuttle Purchase'!A:C,3,0)</f>
        <v>#N/A</v>
      </c>
      <c r="N288" s="44" t="e">
        <f t="shared" si="15"/>
        <v>#N/A</v>
      </c>
      <c r="O288" s="24" t="e">
        <f>VLOOKUP(E288,'Court List'!$A:$C,3,0)</f>
        <v>#N/A</v>
      </c>
      <c r="P288" s="18">
        <f>COUNTIF('Pub List'!$C288:$T288,"&lt;&gt;")</f>
        <v>0</v>
      </c>
      <c r="Q288" s="20" t="e">
        <f t="shared" si="17"/>
        <v>#N/A</v>
      </c>
      <c r="R288" s="36"/>
      <c r="S288" s="18">
        <f>COUNTIF('Member List'!$C288:$J288,"&lt;&gt;")</f>
        <v>0</v>
      </c>
      <c r="T288" s="35"/>
      <c r="U288" s="24">
        <f t="shared" si="18"/>
        <v>0</v>
      </c>
      <c r="V288" s="18" t="e">
        <f t="shared" si="19"/>
        <v>#N/A</v>
      </c>
      <c r="W288" s="45" t="e">
        <f t="shared" si="20"/>
        <v>#N/A</v>
      </c>
      <c r="X288" s="20" t="e">
        <f t="shared" si="21"/>
        <v>#N/A</v>
      </c>
      <c r="Y288" s="46" t="e">
        <f t="shared" si="24"/>
        <v>#N/A</v>
      </c>
      <c r="Z288" s="39" t="e">
        <f t="shared" si="22"/>
        <v>#N/A</v>
      </c>
      <c r="AA288" s="39" t="e">
        <f t="shared" si="23"/>
        <v>#N/A</v>
      </c>
      <c r="AB288" s="39"/>
      <c r="AC288" s="48" t="e">
        <f t="shared" si="25"/>
        <v>#N/A</v>
      </c>
    </row>
    <row r="289" spans="1:29" ht="12.5" x14ac:dyDescent="0.25">
      <c r="A289" s="36"/>
      <c r="B289" s="33"/>
      <c r="C289" s="33"/>
      <c r="D289" s="33"/>
      <c r="E289" s="35"/>
      <c r="F289" s="21"/>
      <c r="G289" s="22" t="e">
        <f>VLOOKUP(E289,'Court List'!$A:$C,2,0)</f>
        <v>#N/A</v>
      </c>
      <c r="H289" s="33"/>
      <c r="I289" s="33"/>
      <c r="J289" s="44" t="e">
        <f t="shared" si="16"/>
        <v>#N/A</v>
      </c>
      <c r="K289" s="36"/>
      <c r="L289" s="18">
        <f>SUM('Shuttle Count - Supreme (Nov 20'!C289:D289)</f>
        <v>0</v>
      </c>
      <c r="M289" s="18" t="e">
        <f>VLOOKUP(K289,'Shuttle Purchase'!A:C,3,0)</f>
        <v>#N/A</v>
      </c>
      <c r="N289" s="44" t="e">
        <f t="shared" si="15"/>
        <v>#N/A</v>
      </c>
      <c r="O289" s="24" t="e">
        <f>VLOOKUP(E289,'Court List'!$A:$C,3,0)</f>
        <v>#N/A</v>
      </c>
      <c r="P289" s="18">
        <f>COUNTIF('Pub List'!$C289:$T289,"&lt;&gt;")</f>
        <v>0</v>
      </c>
      <c r="Q289" s="20" t="e">
        <f t="shared" si="17"/>
        <v>#N/A</v>
      </c>
      <c r="R289" s="36"/>
      <c r="S289" s="18">
        <f>COUNTIF('Member List'!$C289:$J289,"&lt;&gt;")</f>
        <v>0</v>
      </c>
      <c r="T289" s="35"/>
      <c r="U289" s="24">
        <f t="shared" si="18"/>
        <v>0</v>
      </c>
      <c r="V289" s="18" t="e">
        <f t="shared" si="19"/>
        <v>#N/A</v>
      </c>
      <c r="W289" s="45" t="e">
        <f t="shared" si="20"/>
        <v>#N/A</v>
      </c>
      <c r="X289" s="20" t="e">
        <f t="shared" si="21"/>
        <v>#N/A</v>
      </c>
      <c r="Y289" s="46" t="e">
        <f t="shared" si="24"/>
        <v>#N/A</v>
      </c>
      <c r="Z289" s="39" t="e">
        <f t="shared" si="22"/>
        <v>#N/A</v>
      </c>
      <c r="AA289" s="39" t="e">
        <f t="shared" si="23"/>
        <v>#N/A</v>
      </c>
      <c r="AB289" s="39"/>
      <c r="AC289" s="48" t="e">
        <f t="shared" si="25"/>
        <v>#N/A</v>
      </c>
    </row>
    <row r="290" spans="1:29" ht="12.5" x14ac:dyDescent="0.25">
      <c r="A290" s="36"/>
      <c r="B290" s="33"/>
      <c r="C290" s="33"/>
      <c r="D290" s="33"/>
      <c r="E290" s="35"/>
      <c r="F290" s="21"/>
      <c r="G290" s="22" t="e">
        <f>VLOOKUP(E290,'Court List'!$A:$C,2,0)</f>
        <v>#N/A</v>
      </c>
      <c r="H290" s="33"/>
      <c r="I290" s="33"/>
      <c r="J290" s="44" t="e">
        <f t="shared" si="16"/>
        <v>#N/A</v>
      </c>
      <c r="K290" s="36"/>
      <c r="L290" s="18">
        <f>SUM('Shuttle Count - Supreme (Nov 20'!C290:D290)</f>
        <v>0</v>
      </c>
      <c r="M290" s="18" t="e">
        <f>VLOOKUP(K290,'Shuttle Purchase'!A:C,3,0)</f>
        <v>#N/A</v>
      </c>
      <c r="N290" s="44" t="e">
        <f t="shared" si="15"/>
        <v>#N/A</v>
      </c>
      <c r="O290" s="24" t="e">
        <f>VLOOKUP(E290,'Court List'!$A:$C,3,0)</f>
        <v>#N/A</v>
      </c>
      <c r="P290" s="18">
        <f>COUNTIF('Pub List'!$C290:$T290,"&lt;&gt;")</f>
        <v>0</v>
      </c>
      <c r="Q290" s="20" t="e">
        <f t="shared" si="17"/>
        <v>#N/A</v>
      </c>
      <c r="R290" s="36"/>
      <c r="S290" s="18">
        <f>COUNTIF('Member List'!$C290:$J290,"&lt;&gt;")</f>
        <v>0</v>
      </c>
      <c r="T290" s="35"/>
      <c r="U290" s="24">
        <f t="shared" si="18"/>
        <v>0</v>
      </c>
      <c r="V290" s="18" t="e">
        <f t="shared" si="19"/>
        <v>#N/A</v>
      </c>
      <c r="W290" s="45" t="e">
        <f t="shared" si="20"/>
        <v>#N/A</v>
      </c>
      <c r="X290" s="20" t="e">
        <f t="shared" si="21"/>
        <v>#N/A</v>
      </c>
      <c r="Y290" s="46" t="e">
        <f t="shared" si="24"/>
        <v>#N/A</v>
      </c>
      <c r="Z290" s="39" t="e">
        <f t="shared" si="22"/>
        <v>#N/A</v>
      </c>
      <c r="AA290" s="39" t="e">
        <f t="shared" si="23"/>
        <v>#N/A</v>
      </c>
      <c r="AB290" s="39"/>
      <c r="AC290" s="48" t="e">
        <f t="shared" si="25"/>
        <v>#N/A</v>
      </c>
    </row>
    <row r="291" spans="1:29" ht="12.5" x14ac:dyDescent="0.25">
      <c r="A291" s="36"/>
      <c r="B291" s="33"/>
      <c r="C291" s="33"/>
      <c r="D291" s="33"/>
      <c r="E291" s="35"/>
      <c r="F291" s="21"/>
      <c r="G291" s="22" t="e">
        <f>VLOOKUP(E291,'Court List'!$A:$C,2,0)</f>
        <v>#N/A</v>
      </c>
      <c r="H291" s="33"/>
      <c r="I291" s="33"/>
      <c r="J291" s="44" t="e">
        <f t="shared" si="16"/>
        <v>#N/A</v>
      </c>
      <c r="K291" s="36"/>
      <c r="L291" s="18">
        <f>SUM('Shuttle Count - Supreme (Nov 20'!C291:D291)</f>
        <v>0</v>
      </c>
      <c r="M291" s="18" t="e">
        <f>VLOOKUP(K291,'Shuttle Purchase'!A:C,3,0)</f>
        <v>#N/A</v>
      </c>
      <c r="N291" s="44" t="e">
        <f t="shared" si="15"/>
        <v>#N/A</v>
      </c>
      <c r="O291" s="24" t="e">
        <f>VLOOKUP(E291,'Court List'!$A:$C,3,0)</f>
        <v>#N/A</v>
      </c>
      <c r="P291" s="18">
        <f>COUNTIF('Pub List'!$C291:$T291,"&lt;&gt;")</f>
        <v>0</v>
      </c>
      <c r="Q291" s="20" t="e">
        <f t="shared" si="17"/>
        <v>#N/A</v>
      </c>
      <c r="R291" s="36"/>
      <c r="S291" s="18">
        <f>COUNTIF('Member List'!$C291:$J291,"&lt;&gt;")</f>
        <v>0</v>
      </c>
      <c r="T291" s="35"/>
      <c r="U291" s="24">
        <f t="shared" si="18"/>
        <v>0</v>
      </c>
      <c r="V291" s="18" t="e">
        <f t="shared" si="19"/>
        <v>#N/A</v>
      </c>
      <c r="W291" s="45" t="e">
        <f t="shared" si="20"/>
        <v>#N/A</v>
      </c>
      <c r="X291" s="20" t="e">
        <f t="shared" si="21"/>
        <v>#N/A</v>
      </c>
      <c r="Y291" s="46" t="e">
        <f t="shared" si="24"/>
        <v>#N/A</v>
      </c>
      <c r="Z291" s="39" t="e">
        <f t="shared" si="22"/>
        <v>#N/A</v>
      </c>
      <c r="AA291" s="39" t="e">
        <f t="shared" si="23"/>
        <v>#N/A</v>
      </c>
      <c r="AB291" s="39"/>
      <c r="AC291" s="48" t="e">
        <f t="shared" si="25"/>
        <v>#N/A</v>
      </c>
    </row>
    <row r="292" spans="1:29" ht="12.5" x14ac:dyDescent="0.25">
      <c r="A292" s="36"/>
      <c r="B292" s="33"/>
      <c r="C292" s="33"/>
      <c r="D292" s="33"/>
      <c r="E292" s="35"/>
      <c r="F292" s="21"/>
      <c r="G292" s="22" t="e">
        <f>VLOOKUP(E292,'Court List'!$A:$C,2,0)</f>
        <v>#N/A</v>
      </c>
      <c r="H292" s="33"/>
      <c r="I292" s="33"/>
      <c r="J292" s="44" t="e">
        <f t="shared" si="16"/>
        <v>#N/A</v>
      </c>
      <c r="K292" s="36"/>
      <c r="L292" s="18">
        <f>SUM('Shuttle Count - Supreme (Nov 20'!C292:D292)</f>
        <v>0</v>
      </c>
      <c r="M292" s="18" t="e">
        <f>VLOOKUP(K292,'Shuttle Purchase'!A:C,3,0)</f>
        <v>#N/A</v>
      </c>
      <c r="N292" s="44" t="e">
        <f t="shared" si="15"/>
        <v>#N/A</v>
      </c>
      <c r="O292" s="24" t="e">
        <f>VLOOKUP(E292,'Court List'!$A:$C,3,0)</f>
        <v>#N/A</v>
      </c>
      <c r="P292" s="18">
        <f>COUNTIF('Pub List'!$C292:$T292,"&lt;&gt;")</f>
        <v>0</v>
      </c>
      <c r="Q292" s="20" t="e">
        <f t="shared" si="17"/>
        <v>#N/A</v>
      </c>
      <c r="R292" s="36"/>
      <c r="S292" s="18">
        <f>COUNTIF('Member List'!$C292:$J292,"&lt;&gt;")</f>
        <v>0</v>
      </c>
      <c r="T292" s="35"/>
      <c r="U292" s="24">
        <f t="shared" si="18"/>
        <v>0</v>
      </c>
      <c r="V292" s="18" t="e">
        <f t="shared" si="19"/>
        <v>#N/A</v>
      </c>
      <c r="W292" s="45" t="e">
        <f t="shared" si="20"/>
        <v>#N/A</v>
      </c>
      <c r="X292" s="20" t="e">
        <f t="shared" si="21"/>
        <v>#N/A</v>
      </c>
      <c r="Y292" s="46" t="e">
        <f t="shared" si="24"/>
        <v>#N/A</v>
      </c>
      <c r="Z292" s="39" t="e">
        <f t="shared" si="22"/>
        <v>#N/A</v>
      </c>
      <c r="AA292" s="39" t="e">
        <f t="shared" si="23"/>
        <v>#N/A</v>
      </c>
      <c r="AB292" s="39"/>
      <c r="AC292" s="48" t="e">
        <f t="shared" si="25"/>
        <v>#N/A</v>
      </c>
    </row>
    <row r="293" spans="1:29" ht="12.5" x14ac:dyDescent="0.25">
      <c r="A293" s="36"/>
      <c r="B293" s="33"/>
      <c r="C293" s="33"/>
      <c r="D293" s="33"/>
      <c r="E293" s="35"/>
      <c r="F293" s="21"/>
      <c r="G293" s="22" t="e">
        <f>VLOOKUP(E293,'Court List'!$A:$C,2,0)</f>
        <v>#N/A</v>
      </c>
      <c r="H293" s="33"/>
      <c r="I293" s="33"/>
      <c r="J293" s="44" t="e">
        <f t="shared" si="16"/>
        <v>#N/A</v>
      </c>
      <c r="K293" s="36"/>
      <c r="L293" s="18">
        <f>SUM('Shuttle Count - Supreme (Nov 20'!C293:D293)</f>
        <v>0</v>
      </c>
      <c r="M293" s="18" t="e">
        <f>VLOOKUP(K293,'Shuttle Purchase'!A:C,3,0)</f>
        <v>#N/A</v>
      </c>
      <c r="N293" s="44" t="e">
        <f t="shared" si="15"/>
        <v>#N/A</v>
      </c>
      <c r="O293" s="24" t="e">
        <f>VLOOKUP(E293,'Court List'!$A:$C,3,0)</f>
        <v>#N/A</v>
      </c>
      <c r="P293" s="18">
        <f>COUNTIF('Pub List'!$C293:$T293,"&lt;&gt;")</f>
        <v>0</v>
      </c>
      <c r="Q293" s="20" t="e">
        <f t="shared" si="17"/>
        <v>#N/A</v>
      </c>
      <c r="R293" s="36"/>
      <c r="S293" s="18">
        <f>COUNTIF('Member List'!$C293:$J293,"&lt;&gt;")</f>
        <v>0</v>
      </c>
      <c r="T293" s="35"/>
      <c r="U293" s="24">
        <f t="shared" si="18"/>
        <v>0</v>
      </c>
      <c r="V293" s="18" t="e">
        <f t="shared" si="19"/>
        <v>#N/A</v>
      </c>
      <c r="W293" s="45" t="e">
        <f t="shared" si="20"/>
        <v>#N/A</v>
      </c>
      <c r="X293" s="20" t="e">
        <f t="shared" si="21"/>
        <v>#N/A</v>
      </c>
      <c r="Y293" s="46" t="e">
        <f t="shared" si="24"/>
        <v>#N/A</v>
      </c>
      <c r="Z293" s="39" t="e">
        <f t="shared" si="22"/>
        <v>#N/A</v>
      </c>
      <c r="AA293" s="39" t="e">
        <f t="shared" si="23"/>
        <v>#N/A</v>
      </c>
      <c r="AB293" s="39"/>
      <c r="AC293" s="48" t="e">
        <f t="shared" si="25"/>
        <v>#N/A</v>
      </c>
    </row>
    <row r="294" spans="1:29" ht="12.5" x14ac:dyDescent="0.25">
      <c r="A294" s="36"/>
      <c r="B294" s="33"/>
      <c r="C294" s="33"/>
      <c r="D294" s="33"/>
      <c r="E294" s="35"/>
      <c r="F294" s="21"/>
      <c r="G294" s="22" t="e">
        <f>VLOOKUP(E294,'Court List'!$A:$C,2,0)</f>
        <v>#N/A</v>
      </c>
      <c r="H294" s="33"/>
      <c r="I294" s="33"/>
      <c r="J294" s="44" t="e">
        <f t="shared" si="16"/>
        <v>#N/A</v>
      </c>
      <c r="K294" s="36"/>
      <c r="L294" s="18">
        <f>SUM('Shuttle Count - Supreme (Nov 20'!C294:D294)</f>
        <v>0</v>
      </c>
      <c r="M294" s="18" t="e">
        <f>VLOOKUP(K294,'Shuttle Purchase'!A:C,3,0)</f>
        <v>#N/A</v>
      </c>
      <c r="N294" s="44" t="e">
        <f t="shared" si="15"/>
        <v>#N/A</v>
      </c>
      <c r="O294" s="24" t="e">
        <f>VLOOKUP(E294,'Court List'!$A:$C,3,0)</f>
        <v>#N/A</v>
      </c>
      <c r="P294" s="18">
        <f>COUNTIF('Pub List'!$C294:$T294,"&lt;&gt;")</f>
        <v>0</v>
      </c>
      <c r="Q294" s="20" t="e">
        <f t="shared" si="17"/>
        <v>#N/A</v>
      </c>
      <c r="R294" s="36"/>
      <c r="S294" s="18">
        <f>COUNTIF('Member List'!$C294:$J294,"&lt;&gt;")</f>
        <v>0</v>
      </c>
      <c r="T294" s="35"/>
      <c r="U294" s="24">
        <f t="shared" si="18"/>
        <v>0</v>
      </c>
      <c r="V294" s="18" t="e">
        <f t="shared" si="19"/>
        <v>#N/A</v>
      </c>
      <c r="W294" s="45" t="e">
        <f t="shared" si="20"/>
        <v>#N/A</v>
      </c>
      <c r="X294" s="20" t="e">
        <f t="shared" si="21"/>
        <v>#N/A</v>
      </c>
      <c r="Y294" s="46" t="e">
        <f t="shared" si="24"/>
        <v>#N/A</v>
      </c>
      <c r="Z294" s="39" t="e">
        <f t="shared" si="22"/>
        <v>#N/A</v>
      </c>
      <c r="AA294" s="39" t="e">
        <f t="shared" si="23"/>
        <v>#N/A</v>
      </c>
      <c r="AB294" s="39"/>
      <c r="AC294" s="48" t="e">
        <f t="shared" si="25"/>
        <v>#N/A</v>
      </c>
    </row>
    <row r="295" spans="1:29" ht="12.5" x14ac:dyDescent="0.25">
      <c r="A295" s="36"/>
      <c r="B295" s="33"/>
      <c r="C295" s="33"/>
      <c r="D295" s="33"/>
      <c r="E295" s="35"/>
      <c r="F295" s="21"/>
      <c r="G295" s="22" t="e">
        <f>VLOOKUP(E295,'Court List'!$A:$C,2,0)</f>
        <v>#N/A</v>
      </c>
      <c r="H295" s="33"/>
      <c r="I295" s="33"/>
      <c r="J295" s="44" t="e">
        <f t="shared" si="16"/>
        <v>#N/A</v>
      </c>
      <c r="K295" s="36"/>
      <c r="L295" s="18">
        <f>SUM('Shuttle Count - Supreme (Nov 20'!C295:D295)</f>
        <v>0</v>
      </c>
      <c r="M295" s="18" t="e">
        <f>VLOOKUP(K295,'Shuttle Purchase'!A:C,3,0)</f>
        <v>#N/A</v>
      </c>
      <c r="N295" s="44" t="e">
        <f t="shared" si="15"/>
        <v>#N/A</v>
      </c>
      <c r="O295" s="24" t="e">
        <f>VLOOKUP(E295,'Court List'!$A:$C,3,0)</f>
        <v>#N/A</v>
      </c>
      <c r="P295" s="18">
        <f>COUNTIF('Pub List'!$C295:$T295,"&lt;&gt;")</f>
        <v>0</v>
      </c>
      <c r="Q295" s="20" t="e">
        <f t="shared" si="17"/>
        <v>#N/A</v>
      </c>
      <c r="R295" s="36"/>
      <c r="S295" s="18">
        <f>COUNTIF('Member List'!$C295:$J295,"&lt;&gt;")</f>
        <v>0</v>
      </c>
      <c r="T295" s="35"/>
      <c r="U295" s="24">
        <f t="shared" si="18"/>
        <v>0</v>
      </c>
      <c r="V295" s="18" t="e">
        <f t="shared" si="19"/>
        <v>#N/A</v>
      </c>
      <c r="W295" s="45" t="e">
        <f t="shared" si="20"/>
        <v>#N/A</v>
      </c>
      <c r="X295" s="20" t="e">
        <f t="shared" si="21"/>
        <v>#N/A</v>
      </c>
      <c r="Y295" s="46" t="e">
        <f t="shared" si="24"/>
        <v>#N/A</v>
      </c>
      <c r="Z295" s="39" t="e">
        <f t="shared" si="22"/>
        <v>#N/A</v>
      </c>
      <c r="AA295" s="39" t="e">
        <f t="shared" si="23"/>
        <v>#N/A</v>
      </c>
      <c r="AB295" s="39"/>
      <c r="AC295" s="48" t="e">
        <f t="shared" si="25"/>
        <v>#N/A</v>
      </c>
    </row>
    <row r="296" spans="1:29" ht="12.5" x14ac:dyDescent="0.25">
      <c r="A296" s="36"/>
      <c r="B296" s="33"/>
      <c r="C296" s="33"/>
      <c r="D296" s="33"/>
      <c r="E296" s="35"/>
      <c r="F296" s="21"/>
      <c r="G296" s="22" t="e">
        <f>VLOOKUP(E296,'Court List'!$A:$C,2,0)</f>
        <v>#N/A</v>
      </c>
      <c r="H296" s="33"/>
      <c r="I296" s="33"/>
      <c r="J296" s="44" t="e">
        <f t="shared" si="16"/>
        <v>#N/A</v>
      </c>
      <c r="K296" s="36"/>
      <c r="L296" s="18">
        <f>SUM('Shuttle Count - Supreme (Nov 20'!C296:D296)</f>
        <v>0</v>
      </c>
      <c r="M296" s="18" t="e">
        <f>VLOOKUP(K296,'Shuttle Purchase'!A:C,3,0)</f>
        <v>#N/A</v>
      </c>
      <c r="N296" s="44" t="e">
        <f t="shared" si="15"/>
        <v>#N/A</v>
      </c>
      <c r="O296" s="24" t="e">
        <f>VLOOKUP(E296,'Court List'!$A:$C,3,0)</f>
        <v>#N/A</v>
      </c>
      <c r="P296" s="18">
        <f>COUNTIF('Pub List'!$C296:$T296,"&lt;&gt;")</f>
        <v>0</v>
      </c>
      <c r="Q296" s="20" t="e">
        <f t="shared" si="17"/>
        <v>#N/A</v>
      </c>
      <c r="R296" s="36"/>
      <c r="S296" s="18">
        <f>COUNTIF('Member List'!$C296:$J296,"&lt;&gt;")</f>
        <v>0</v>
      </c>
      <c r="T296" s="35"/>
      <c r="U296" s="24">
        <f t="shared" si="18"/>
        <v>0</v>
      </c>
      <c r="V296" s="18" t="e">
        <f t="shared" si="19"/>
        <v>#N/A</v>
      </c>
      <c r="W296" s="45" t="e">
        <f t="shared" si="20"/>
        <v>#N/A</v>
      </c>
      <c r="X296" s="20" t="e">
        <f t="shared" si="21"/>
        <v>#N/A</v>
      </c>
      <c r="Y296" s="46" t="e">
        <f t="shared" si="24"/>
        <v>#N/A</v>
      </c>
      <c r="Z296" s="39" t="e">
        <f t="shared" si="22"/>
        <v>#N/A</v>
      </c>
      <c r="AA296" s="39" t="e">
        <f t="shared" si="23"/>
        <v>#N/A</v>
      </c>
      <c r="AB296" s="39"/>
      <c r="AC296" s="48" t="e">
        <f t="shared" si="25"/>
        <v>#N/A</v>
      </c>
    </row>
    <row r="297" spans="1:29" ht="12.5" x14ac:dyDescent="0.25">
      <c r="A297" s="36"/>
      <c r="B297" s="33"/>
      <c r="C297" s="33"/>
      <c r="D297" s="33"/>
      <c r="E297" s="35"/>
      <c r="F297" s="21"/>
      <c r="G297" s="22" t="e">
        <f>VLOOKUP(E297,'Court List'!$A:$C,2,0)</f>
        <v>#N/A</v>
      </c>
      <c r="H297" s="33"/>
      <c r="I297" s="33"/>
      <c r="J297" s="44" t="e">
        <f t="shared" si="16"/>
        <v>#N/A</v>
      </c>
      <c r="K297" s="36"/>
      <c r="L297" s="18">
        <f>SUM('Shuttle Count - Supreme (Nov 20'!C297:D297)</f>
        <v>0</v>
      </c>
      <c r="M297" s="18" t="e">
        <f>VLOOKUP(K297,'Shuttle Purchase'!A:C,3,0)</f>
        <v>#N/A</v>
      </c>
      <c r="N297" s="44" t="e">
        <f t="shared" si="15"/>
        <v>#N/A</v>
      </c>
      <c r="O297" s="24" t="e">
        <f>VLOOKUP(E297,'Court List'!$A:$C,3,0)</f>
        <v>#N/A</v>
      </c>
      <c r="P297" s="18">
        <f>COUNTIF('Pub List'!$C297:$T297,"&lt;&gt;")</f>
        <v>0</v>
      </c>
      <c r="Q297" s="20" t="e">
        <f t="shared" si="17"/>
        <v>#N/A</v>
      </c>
      <c r="R297" s="36"/>
      <c r="S297" s="18">
        <f>COUNTIF('Member List'!$C297:$J297,"&lt;&gt;")</f>
        <v>0</v>
      </c>
      <c r="T297" s="35"/>
      <c r="U297" s="24">
        <f t="shared" si="18"/>
        <v>0</v>
      </c>
      <c r="V297" s="18" t="e">
        <f t="shared" si="19"/>
        <v>#N/A</v>
      </c>
      <c r="W297" s="45" t="e">
        <f t="shared" si="20"/>
        <v>#N/A</v>
      </c>
      <c r="X297" s="20" t="e">
        <f t="shared" si="21"/>
        <v>#N/A</v>
      </c>
      <c r="Y297" s="46" t="e">
        <f t="shared" si="24"/>
        <v>#N/A</v>
      </c>
      <c r="Z297" s="39" t="e">
        <f t="shared" si="22"/>
        <v>#N/A</v>
      </c>
      <c r="AA297" s="39" t="e">
        <f t="shared" si="23"/>
        <v>#N/A</v>
      </c>
      <c r="AB297" s="39"/>
      <c r="AC297" s="48" t="e">
        <f t="shared" si="25"/>
        <v>#N/A</v>
      </c>
    </row>
    <row r="298" spans="1:29" ht="12.5" x14ac:dyDescent="0.25">
      <c r="A298" s="36"/>
      <c r="B298" s="33"/>
      <c r="C298" s="33"/>
      <c r="D298" s="33"/>
      <c r="E298" s="35"/>
      <c r="F298" s="21"/>
      <c r="G298" s="22" t="e">
        <f>VLOOKUP(E298,'Court List'!$A:$C,2,0)</f>
        <v>#N/A</v>
      </c>
      <c r="H298" s="33"/>
      <c r="I298" s="33"/>
      <c r="J298" s="44" t="e">
        <f t="shared" si="16"/>
        <v>#N/A</v>
      </c>
      <c r="K298" s="36"/>
      <c r="L298" s="18">
        <f>SUM('Shuttle Count - Supreme (Nov 20'!C298:D298)</f>
        <v>0</v>
      </c>
      <c r="M298" s="18" t="e">
        <f>VLOOKUP(K298,'Shuttle Purchase'!A:C,3,0)</f>
        <v>#N/A</v>
      </c>
      <c r="N298" s="44" t="e">
        <f t="shared" si="15"/>
        <v>#N/A</v>
      </c>
      <c r="O298" s="24" t="e">
        <f>VLOOKUP(E298,'Court List'!$A:$C,3,0)</f>
        <v>#N/A</v>
      </c>
      <c r="P298" s="18">
        <f>COUNTIF('Pub List'!$C298:$T298,"&lt;&gt;")</f>
        <v>0</v>
      </c>
      <c r="Q298" s="20" t="e">
        <f t="shared" si="17"/>
        <v>#N/A</v>
      </c>
      <c r="R298" s="36"/>
      <c r="S298" s="18">
        <f>COUNTIF('Member List'!$C298:$J298,"&lt;&gt;")</f>
        <v>0</v>
      </c>
      <c r="T298" s="35"/>
      <c r="U298" s="24">
        <f t="shared" si="18"/>
        <v>0</v>
      </c>
      <c r="V298" s="18" t="e">
        <f t="shared" si="19"/>
        <v>#N/A</v>
      </c>
      <c r="W298" s="45" t="e">
        <f t="shared" si="20"/>
        <v>#N/A</v>
      </c>
      <c r="X298" s="20" t="e">
        <f t="shared" si="21"/>
        <v>#N/A</v>
      </c>
      <c r="Y298" s="46" t="e">
        <f t="shared" si="24"/>
        <v>#N/A</v>
      </c>
      <c r="Z298" s="39" t="e">
        <f t="shared" si="22"/>
        <v>#N/A</v>
      </c>
      <c r="AA298" s="39" t="e">
        <f t="shared" si="23"/>
        <v>#N/A</v>
      </c>
      <c r="AB298" s="39"/>
      <c r="AC298" s="48" t="e">
        <f t="shared" si="25"/>
        <v>#N/A</v>
      </c>
    </row>
    <row r="299" spans="1:29" ht="12.5" x14ac:dyDescent="0.25">
      <c r="A299" s="36"/>
      <c r="B299" s="33"/>
      <c r="C299" s="33"/>
      <c r="D299" s="33"/>
      <c r="E299" s="35"/>
      <c r="F299" s="21"/>
      <c r="G299" s="22" t="e">
        <f>VLOOKUP(E299,'Court List'!$A:$C,2,0)</f>
        <v>#N/A</v>
      </c>
      <c r="H299" s="33"/>
      <c r="I299" s="33"/>
      <c r="J299" s="44" t="e">
        <f t="shared" si="16"/>
        <v>#N/A</v>
      </c>
      <c r="K299" s="36"/>
      <c r="L299" s="18">
        <f>SUM('Shuttle Count - Supreme (Nov 20'!C299:D299)</f>
        <v>0</v>
      </c>
      <c r="M299" s="18" t="e">
        <f>VLOOKUP(K299,'Shuttle Purchase'!A:C,3,0)</f>
        <v>#N/A</v>
      </c>
      <c r="N299" s="44" t="e">
        <f t="shared" si="15"/>
        <v>#N/A</v>
      </c>
      <c r="O299" s="24" t="e">
        <f>VLOOKUP(E299,'Court List'!$A:$C,3,0)</f>
        <v>#N/A</v>
      </c>
      <c r="P299" s="18">
        <f>COUNTIF('Pub List'!$C299:$T299,"&lt;&gt;")</f>
        <v>0</v>
      </c>
      <c r="Q299" s="20" t="e">
        <f t="shared" si="17"/>
        <v>#N/A</v>
      </c>
      <c r="R299" s="36"/>
      <c r="S299" s="18">
        <f>COUNTIF('Member List'!$C299:$J299,"&lt;&gt;")</f>
        <v>0</v>
      </c>
      <c r="T299" s="35"/>
      <c r="U299" s="24">
        <f t="shared" si="18"/>
        <v>0</v>
      </c>
      <c r="V299" s="18" t="e">
        <f t="shared" si="19"/>
        <v>#N/A</v>
      </c>
      <c r="W299" s="45" t="e">
        <f t="shared" si="20"/>
        <v>#N/A</v>
      </c>
      <c r="X299" s="20" t="e">
        <f t="shared" si="21"/>
        <v>#N/A</v>
      </c>
      <c r="Y299" s="46" t="e">
        <f t="shared" si="24"/>
        <v>#N/A</v>
      </c>
      <c r="Z299" s="39" t="e">
        <f t="shared" si="22"/>
        <v>#N/A</v>
      </c>
      <c r="AA299" s="39" t="e">
        <f t="shared" si="23"/>
        <v>#N/A</v>
      </c>
      <c r="AB299" s="39"/>
      <c r="AC299" s="48" t="e">
        <f t="shared" si="25"/>
        <v>#N/A</v>
      </c>
    </row>
    <row r="300" spans="1:29" ht="12.5" x14ac:dyDescent="0.25">
      <c r="A300" s="36"/>
      <c r="B300" s="33"/>
      <c r="C300" s="33"/>
      <c r="D300" s="33"/>
      <c r="E300" s="35"/>
      <c r="F300" s="21"/>
      <c r="G300" s="22" t="e">
        <f>VLOOKUP(E300,'Court List'!$A:$C,2,0)</f>
        <v>#N/A</v>
      </c>
      <c r="H300" s="33"/>
      <c r="I300" s="33"/>
      <c r="J300" s="44" t="e">
        <f t="shared" si="16"/>
        <v>#N/A</v>
      </c>
      <c r="K300" s="36"/>
      <c r="L300" s="18">
        <f>SUM('Shuttle Count - Supreme (Nov 20'!C300:D300)</f>
        <v>0</v>
      </c>
      <c r="M300" s="18" t="e">
        <f>VLOOKUP(K300,'Shuttle Purchase'!A:C,3,0)</f>
        <v>#N/A</v>
      </c>
      <c r="N300" s="44" t="e">
        <f t="shared" si="15"/>
        <v>#N/A</v>
      </c>
      <c r="O300" s="24" t="e">
        <f>VLOOKUP(E300,'Court List'!$A:$C,3,0)</f>
        <v>#N/A</v>
      </c>
      <c r="P300" s="18">
        <f>COUNTIF('Pub List'!$C300:$T300,"&lt;&gt;")</f>
        <v>0</v>
      </c>
      <c r="Q300" s="20" t="e">
        <f t="shared" si="17"/>
        <v>#N/A</v>
      </c>
      <c r="R300" s="36"/>
      <c r="S300" s="18">
        <f>COUNTIF('Member List'!$C300:$J300,"&lt;&gt;")</f>
        <v>0</v>
      </c>
      <c r="T300" s="35"/>
      <c r="U300" s="24">
        <f t="shared" si="18"/>
        <v>0</v>
      </c>
      <c r="V300" s="18" t="e">
        <f t="shared" si="19"/>
        <v>#N/A</v>
      </c>
      <c r="W300" s="45" t="e">
        <f t="shared" si="20"/>
        <v>#N/A</v>
      </c>
      <c r="X300" s="20" t="e">
        <f t="shared" si="21"/>
        <v>#N/A</v>
      </c>
      <c r="Y300" s="46" t="e">
        <f t="shared" si="24"/>
        <v>#N/A</v>
      </c>
      <c r="Z300" s="39" t="e">
        <f t="shared" si="22"/>
        <v>#N/A</v>
      </c>
      <c r="AA300" s="39" t="e">
        <f t="shared" si="23"/>
        <v>#N/A</v>
      </c>
      <c r="AB300" s="39"/>
      <c r="AC300" s="48" t="e">
        <f t="shared" si="25"/>
        <v>#N/A</v>
      </c>
    </row>
    <row r="301" spans="1:29" ht="12.5" x14ac:dyDescent="0.25">
      <c r="A301" s="36"/>
      <c r="B301" s="33"/>
      <c r="C301" s="33"/>
      <c r="D301" s="33"/>
      <c r="E301" s="35"/>
      <c r="F301" s="21"/>
      <c r="G301" s="22" t="e">
        <f>VLOOKUP(E301,'Court List'!$A:$C,2,0)</f>
        <v>#N/A</v>
      </c>
      <c r="H301" s="33"/>
      <c r="I301" s="33"/>
      <c r="J301" s="44" t="e">
        <f t="shared" si="16"/>
        <v>#N/A</v>
      </c>
      <c r="K301" s="36"/>
      <c r="L301" s="18">
        <f>SUM('Shuttle Count - Supreme (Nov 20'!C301:D301)</f>
        <v>0</v>
      </c>
      <c r="M301" s="18" t="e">
        <f>VLOOKUP(K301,'Shuttle Purchase'!A:C,3,0)</f>
        <v>#N/A</v>
      </c>
      <c r="N301" s="44" t="e">
        <f t="shared" si="15"/>
        <v>#N/A</v>
      </c>
      <c r="O301" s="24" t="e">
        <f>VLOOKUP(E301,'Court List'!$A:$C,3,0)</f>
        <v>#N/A</v>
      </c>
      <c r="P301" s="18">
        <f>COUNTIF('Pub List'!$C301:$T301,"&lt;&gt;")</f>
        <v>0</v>
      </c>
      <c r="Q301" s="20" t="e">
        <f t="shared" si="17"/>
        <v>#N/A</v>
      </c>
      <c r="R301" s="36"/>
      <c r="S301" s="18">
        <f>COUNTIF('Member List'!$C301:$J301,"&lt;&gt;")</f>
        <v>0</v>
      </c>
      <c r="T301" s="35"/>
      <c r="U301" s="24">
        <f t="shared" si="18"/>
        <v>0</v>
      </c>
      <c r="V301" s="18" t="e">
        <f t="shared" si="19"/>
        <v>#N/A</v>
      </c>
      <c r="W301" s="45" t="e">
        <f t="shared" si="20"/>
        <v>#N/A</v>
      </c>
      <c r="X301" s="20" t="e">
        <f t="shared" si="21"/>
        <v>#N/A</v>
      </c>
      <c r="Y301" s="46" t="e">
        <f t="shared" si="24"/>
        <v>#N/A</v>
      </c>
      <c r="Z301" s="39" t="e">
        <f t="shared" si="22"/>
        <v>#N/A</v>
      </c>
      <c r="AA301" s="39" t="e">
        <f t="shared" si="23"/>
        <v>#N/A</v>
      </c>
      <c r="AB301" s="39"/>
      <c r="AC301" s="48" t="e">
        <f t="shared" si="25"/>
        <v>#N/A</v>
      </c>
    </row>
    <row r="302" spans="1:29" ht="12.5" x14ac:dyDescent="0.25">
      <c r="A302" s="36"/>
      <c r="B302" s="33"/>
      <c r="C302" s="33"/>
      <c r="D302" s="33"/>
      <c r="E302" s="35"/>
      <c r="F302" s="21"/>
      <c r="G302" s="22" t="e">
        <f>VLOOKUP(E302,'Court List'!$A:$C,2,0)</f>
        <v>#N/A</v>
      </c>
      <c r="H302" s="33"/>
      <c r="I302" s="33"/>
      <c r="J302" s="44" t="e">
        <f t="shared" si="16"/>
        <v>#N/A</v>
      </c>
      <c r="K302" s="36"/>
      <c r="L302" s="18">
        <f>SUM('Shuttle Count - Supreme (Nov 20'!C302:D302)</f>
        <v>0</v>
      </c>
      <c r="M302" s="18" t="e">
        <f>VLOOKUP(K302,'Shuttle Purchase'!A:C,3,0)</f>
        <v>#N/A</v>
      </c>
      <c r="N302" s="44" t="e">
        <f t="shared" si="15"/>
        <v>#N/A</v>
      </c>
      <c r="O302" s="24" t="e">
        <f>VLOOKUP(E302,'Court List'!$A:$C,3,0)</f>
        <v>#N/A</v>
      </c>
      <c r="P302" s="18">
        <f>COUNTIF('Pub List'!$C302:$T302,"&lt;&gt;")</f>
        <v>0</v>
      </c>
      <c r="Q302" s="20" t="e">
        <f t="shared" si="17"/>
        <v>#N/A</v>
      </c>
      <c r="R302" s="36"/>
      <c r="S302" s="18">
        <f>COUNTIF('Member List'!$C302:$J302,"&lt;&gt;")</f>
        <v>0</v>
      </c>
      <c r="T302" s="35"/>
      <c r="U302" s="24">
        <f t="shared" si="18"/>
        <v>0</v>
      </c>
      <c r="V302" s="18" t="e">
        <f t="shared" si="19"/>
        <v>#N/A</v>
      </c>
      <c r="W302" s="45" t="e">
        <f t="shared" si="20"/>
        <v>#N/A</v>
      </c>
      <c r="X302" s="20" t="e">
        <f t="shared" si="21"/>
        <v>#N/A</v>
      </c>
      <c r="Y302" s="46" t="e">
        <f t="shared" si="24"/>
        <v>#N/A</v>
      </c>
      <c r="Z302" s="39" t="e">
        <f t="shared" si="22"/>
        <v>#N/A</v>
      </c>
      <c r="AA302" s="39" t="e">
        <f t="shared" si="23"/>
        <v>#N/A</v>
      </c>
      <c r="AB302" s="39"/>
      <c r="AC302" s="48" t="e">
        <f t="shared" si="25"/>
        <v>#N/A</v>
      </c>
    </row>
    <row r="303" spans="1:29" ht="12.5" x14ac:dyDescent="0.25">
      <c r="A303" s="36"/>
      <c r="B303" s="33"/>
      <c r="C303" s="33"/>
      <c r="D303" s="33"/>
      <c r="E303" s="35"/>
      <c r="F303" s="21"/>
      <c r="G303" s="22" t="e">
        <f>VLOOKUP(E303,'Court List'!$A:$C,2,0)</f>
        <v>#N/A</v>
      </c>
      <c r="H303" s="33"/>
      <c r="I303" s="33"/>
      <c r="J303" s="44" t="e">
        <f t="shared" si="16"/>
        <v>#N/A</v>
      </c>
      <c r="K303" s="36"/>
      <c r="L303" s="18">
        <f>SUM('Shuttle Count - Supreme (Nov 20'!C303:D303)</f>
        <v>0</v>
      </c>
      <c r="M303" s="18" t="e">
        <f>VLOOKUP(K303,'Shuttle Purchase'!A:C,3,0)</f>
        <v>#N/A</v>
      </c>
      <c r="N303" s="44" t="e">
        <f t="shared" si="15"/>
        <v>#N/A</v>
      </c>
      <c r="O303" s="24" t="e">
        <f>VLOOKUP(E303,'Court List'!$A:$C,3,0)</f>
        <v>#N/A</v>
      </c>
      <c r="P303" s="18">
        <f>COUNTIF('Pub List'!$C303:$T303,"&lt;&gt;")</f>
        <v>0</v>
      </c>
      <c r="Q303" s="20" t="e">
        <f t="shared" si="17"/>
        <v>#N/A</v>
      </c>
      <c r="R303" s="36"/>
      <c r="S303" s="18">
        <f>COUNTIF('Member List'!$C303:$J303,"&lt;&gt;")</f>
        <v>0</v>
      </c>
      <c r="T303" s="35"/>
      <c r="U303" s="24">
        <f t="shared" si="18"/>
        <v>0</v>
      </c>
      <c r="V303" s="18" t="e">
        <f t="shared" si="19"/>
        <v>#N/A</v>
      </c>
      <c r="W303" s="45" t="e">
        <f t="shared" si="20"/>
        <v>#N/A</v>
      </c>
      <c r="X303" s="20" t="e">
        <f t="shared" si="21"/>
        <v>#N/A</v>
      </c>
      <c r="Y303" s="46" t="e">
        <f t="shared" si="24"/>
        <v>#N/A</v>
      </c>
      <c r="Z303" s="39" t="e">
        <f t="shared" si="22"/>
        <v>#N/A</v>
      </c>
      <c r="AA303" s="39" t="e">
        <f t="shared" si="23"/>
        <v>#N/A</v>
      </c>
      <c r="AB303" s="39"/>
      <c r="AC303" s="48" t="e">
        <f t="shared" si="25"/>
        <v>#N/A</v>
      </c>
    </row>
    <row r="304" spans="1:29" ht="12.5" x14ac:dyDescent="0.25">
      <c r="A304" s="36"/>
      <c r="B304" s="33"/>
      <c r="C304" s="33"/>
      <c r="D304" s="33"/>
      <c r="E304" s="35"/>
      <c r="F304" s="21"/>
      <c r="G304" s="22" t="e">
        <f>VLOOKUP(E304,'Court List'!$A:$C,2,0)</f>
        <v>#N/A</v>
      </c>
      <c r="H304" s="33"/>
      <c r="I304" s="33"/>
      <c r="J304" s="44" t="e">
        <f t="shared" si="16"/>
        <v>#N/A</v>
      </c>
      <c r="K304" s="36"/>
      <c r="L304" s="18">
        <f>SUM('Shuttle Count - Supreme (Nov 20'!C304:D304)</f>
        <v>0</v>
      </c>
      <c r="M304" s="18" t="e">
        <f>VLOOKUP(K304,'Shuttle Purchase'!A:C,3,0)</f>
        <v>#N/A</v>
      </c>
      <c r="N304" s="44" t="e">
        <f t="shared" si="15"/>
        <v>#N/A</v>
      </c>
      <c r="O304" s="24" t="e">
        <f>VLOOKUP(E304,'Court List'!$A:$C,3,0)</f>
        <v>#N/A</v>
      </c>
      <c r="P304" s="18">
        <f>COUNTIF('Pub List'!$C304:$T304,"&lt;&gt;")</f>
        <v>0</v>
      </c>
      <c r="Q304" s="20" t="e">
        <f t="shared" si="17"/>
        <v>#N/A</v>
      </c>
      <c r="R304" s="36"/>
      <c r="S304" s="18">
        <f>COUNTIF('Member List'!$C304:$J304,"&lt;&gt;")</f>
        <v>0</v>
      </c>
      <c r="T304" s="35"/>
      <c r="U304" s="24">
        <f t="shared" si="18"/>
        <v>0</v>
      </c>
      <c r="V304" s="18" t="e">
        <f t="shared" si="19"/>
        <v>#N/A</v>
      </c>
      <c r="W304" s="45" t="e">
        <f t="shared" si="20"/>
        <v>#N/A</v>
      </c>
      <c r="X304" s="20" t="e">
        <f t="shared" si="21"/>
        <v>#N/A</v>
      </c>
      <c r="Y304" s="46" t="e">
        <f t="shared" si="24"/>
        <v>#N/A</v>
      </c>
      <c r="Z304" s="39" t="e">
        <f t="shared" si="22"/>
        <v>#N/A</v>
      </c>
      <c r="AA304" s="39" t="e">
        <f t="shared" si="23"/>
        <v>#N/A</v>
      </c>
      <c r="AB304" s="39"/>
      <c r="AC304" s="48" t="e">
        <f t="shared" si="25"/>
        <v>#N/A</v>
      </c>
    </row>
    <row r="305" spans="1:29" ht="12.5" x14ac:dyDescent="0.25">
      <c r="A305" s="36"/>
      <c r="B305" s="33"/>
      <c r="C305" s="33"/>
      <c r="D305" s="33"/>
      <c r="E305" s="35"/>
      <c r="F305" s="21"/>
      <c r="G305" s="22" t="e">
        <f>VLOOKUP(E305,'Court List'!$A:$C,2,0)</f>
        <v>#N/A</v>
      </c>
      <c r="H305" s="33"/>
      <c r="I305" s="33"/>
      <c r="J305" s="44" t="e">
        <f t="shared" si="16"/>
        <v>#N/A</v>
      </c>
      <c r="K305" s="36"/>
      <c r="L305" s="18">
        <f>SUM('Shuttle Count - Supreme (Nov 20'!C305:D305)</f>
        <v>0</v>
      </c>
      <c r="M305" s="18" t="e">
        <f>VLOOKUP(K305,'Shuttle Purchase'!A:C,3,0)</f>
        <v>#N/A</v>
      </c>
      <c r="N305" s="44" t="e">
        <f t="shared" si="15"/>
        <v>#N/A</v>
      </c>
      <c r="O305" s="24" t="e">
        <f>VLOOKUP(E305,'Court List'!$A:$C,3,0)</f>
        <v>#N/A</v>
      </c>
      <c r="P305" s="18">
        <f>COUNTIF('Pub List'!$C305:$T305,"&lt;&gt;")</f>
        <v>0</v>
      </c>
      <c r="Q305" s="20" t="e">
        <f t="shared" si="17"/>
        <v>#N/A</v>
      </c>
      <c r="R305" s="36"/>
      <c r="S305" s="18">
        <f>COUNTIF('Member List'!$C305:$J305,"&lt;&gt;")</f>
        <v>0</v>
      </c>
      <c r="T305" s="35"/>
      <c r="U305" s="24">
        <f t="shared" si="18"/>
        <v>0</v>
      </c>
      <c r="V305" s="18" t="e">
        <f t="shared" si="19"/>
        <v>#N/A</v>
      </c>
      <c r="W305" s="45" t="e">
        <f t="shared" si="20"/>
        <v>#N/A</v>
      </c>
      <c r="X305" s="20" t="e">
        <f t="shared" si="21"/>
        <v>#N/A</v>
      </c>
      <c r="Y305" s="46" t="e">
        <f t="shared" si="24"/>
        <v>#N/A</v>
      </c>
      <c r="Z305" s="39" t="e">
        <f t="shared" si="22"/>
        <v>#N/A</v>
      </c>
      <c r="AA305" s="39" t="e">
        <f t="shared" si="23"/>
        <v>#N/A</v>
      </c>
      <c r="AB305" s="39"/>
      <c r="AC305" s="48" t="e">
        <f t="shared" si="25"/>
        <v>#N/A</v>
      </c>
    </row>
    <row r="306" spans="1:29" ht="12.5" x14ac:dyDescent="0.25">
      <c r="A306" s="36"/>
      <c r="B306" s="33"/>
      <c r="C306" s="33"/>
      <c r="D306" s="33"/>
      <c r="E306" s="35"/>
      <c r="F306" s="21"/>
      <c r="G306" s="22" t="e">
        <f>VLOOKUP(E306,'Court List'!$A:$C,2,0)</f>
        <v>#N/A</v>
      </c>
      <c r="H306" s="33"/>
      <c r="I306" s="33"/>
      <c r="J306" s="44" t="e">
        <f t="shared" si="16"/>
        <v>#N/A</v>
      </c>
      <c r="K306" s="36"/>
      <c r="L306" s="18">
        <f>SUM('Shuttle Count - Supreme (Nov 20'!C306:D306)</f>
        <v>0</v>
      </c>
      <c r="M306" s="18" t="e">
        <f>VLOOKUP(K306,'Shuttle Purchase'!A:C,3,0)</f>
        <v>#N/A</v>
      </c>
      <c r="N306" s="44" t="e">
        <f t="shared" si="15"/>
        <v>#N/A</v>
      </c>
      <c r="O306" s="24" t="e">
        <f>VLOOKUP(E306,'Court List'!$A:$C,3,0)</f>
        <v>#N/A</v>
      </c>
      <c r="P306" s="18">
        <f>COUNTIF('Pub List'!$C306:$T306,"&lt;&gt;")</f>
        <v>0</v>
      </c>
      <c r="Q306" s="20" t="e">
        <f t="shared" si="17"/>
        <v>#N/A</v>
      </c>
      <c r="R306" s="36"/>
      <c r="S306" s="18">
        <f>COUNTIF('Member List'!$C306:$J306,"&lt;&gt;")</f>
        <v>0</v>
      </c>
      <c r="T306" s="35"/>
      <c r="U306" s="24">
        <f t="shared" si="18"/>
        <v>0</v>
      </c>
      <c r="V306" s="18" t="e">
        <f t="shared" si="19"/>
        <v>#N/A</v>
      </c>
      <c r="W306" s="45" t="e">
        <f t="shared" si="20"/>
        <v>#N/A</v>
      </c>
      <c r="X306" s="20" t="e">
        <f t="shared" si="21"/>
        <v>#N/A</v>
      </c>
      <c r="Y306" s="46" t="e">
        <f t="shared" si="24"/>
        <v>#N/A</v>
      </c>
      <c r="Z306" s="39" t="e">
        <f t="shared" si="22"/>
        <v>#N/A</v>
      </c>
      <c r="AA306" s="39" t="e">
        <f t="shared" si="23"/>
        <v>#N/A</v>
      </c>
      <c r="AB306" s="39"/>
      <c r="AC306" s="48" t="e">
        <f t="shared" si="25"/>
        <v>#N/A</v>
      </c>
    </row>
    <row r="307" spans="1:29" ht="12.5" x14ac:dyDescent="0.25">
      <c r="A307" s="36"/>
      <c r="B307" s="33"/>
      <c r="C307" s="33"/>
      <c r="D307" s="33"/>
      <c r="E307" s="35"/>
      <c r="F307" s="21"/>
      <c r="G307" s="22" t="e">
        <f>VLOOKUP(E307,'Court List'!$A:$C,2,0)</f>
        <v>#N/A</v>
      </c>
      <c r="H307" s="33"/>
      <c r="I307" s="33"/>
      <c r="J307" s="44" t="e">
        <f t="shared" si="16"/>
        <v>#N/A</v>
      </c>
      <c r="K307" s="36"/>
      <c r="L307" s="18">
        <f>SUM('Shuttle Count - Supreme (Nov 20'!C307:D307)</f>
        <v>0</v>
      </c>
      <c r="M307" s="18" t="e">
        <f>VLOOKUP(K307,'Shuttle Purchase'!A:C,3,0)</f>
        <v>#N/A</v>
      </c>
      <c r="N307" s="44" t="e">
        <f t="shared" si="15"/>
        <v>#N/A</v>
      </c>
      <c r="O307" s="24" t="e">
        <f>VLOOKUP(E307,'Court List'!$A:$C,3,0)</f>
        <v>#N/A</v>
      </c>
      <c r="P307" s="18">
        <f>COUNTIF('Pub List'!$C307:$T307,"&lt;&gt;")</f>
        <v>0</v>
      </c>
      <c r="Q307" s="20" t="e">
        <f t="shared" si="17"/>
        <v>#N/A</v>
      </c>
      <c r="R307" s="36"/>
      <c r="S307" s="18">
        <f>COUNTIF('Member List'!$C307:$J307,"&lt;&gt;")</f>
        <v>0</v>
      </c>
      <c r="T307" s="35"/>
      <c r="U307" s="24">
        <f t="shared" si="18"/>
        <v>0</v>
      </c>
      <c r="V307" s="18" t="e">
        <f t="shared" si="19"/>
        <v>#N/A</v>
      </c>
      <c r="W307" s="45" t="e">
        <f t="shared" si="20"/>
        <v>#N/A</v>
      </c>
      <c r="X307" s="20" t="e">
        <f t="shared" si="21"/>
        <v>#N/A</v>
      </c>
      <c r="Y307" s="46" t="e">
        <f t="shared" si="24"/>
        <v>#N/A</v>
      </c>
      <c r="Z307" s="39" t="e">
        <f t="shared" si="22"/>
        <v>#N/A</v>
      </c>
      <c r="AA307" s="39" t="e">
        <f t="shared" si="23"/>
        <v>#N/A</v>
      </c>
      <c r="AB307" s="39"/>
      <c r="AC307" s="48" t="e">
        <f t="shared" si="25"/>
        <v>#N/A</v>
      </c>
    </row>
    <row r="308" spans="1:29" ht="12.5" x14ac:dyDescent="0.25">
      <c r="A308" s="36"/>
      <c r="B308" s="33"/>
      <c r="C308" s="33"/>
      <c r="D308" s="33"/>
      <c r="E308" s="35"/>
      <c r="F308" s="21"/>
      <c r="G308" s="22" t="e">
        <f>VLOOKUP(E308,'Court List'!$A:$C,2,0)</f>
        <v>#N/A</v>
      </c>
      <c r="H308" s="33"/>
      <c r="I308" s="33"/>
      <c r="J308" s="44" t="e">
        <f t="shared" si="16"/>
        <v>#N/A</v>
      </c>
      <c r="K308" s="36"/>
      <c r="L308" s="18">
        <f>SUM('Shuttle Count - Supreme (Nov 20'!C308:D308)</f>
        <v>0</v>
      </c>
      <c r="M308" s="18" t="e">
        <f>VLOOKUP(K308,'Shuttle Purchase'!A:C,3,0)</f>
        <v>#N/A</v>
      </c>
      <c r="N308" s="44" t="e">
        <f t="shared" si="15"/>
        <v>#N/A</v>
      </c>
      <c r="O308" s="24" t="e">
        <f>VLOOKUP(E308,'Court List'!$A:$C,3,0)</f>
        <v>#N/A</v>
      </c>
      <c r="P308" s="18">
        <f>COUNTIF('Pub List'!$C308:$T308,"&lt;&gt;")</f>
        <v>0</v>
      </c>
      <c r="Q308" s="20" t="e">
        <f t="shared" si="17"/>
        <v>#N/A</v>
      </c>
      <c r="R308" s="36"/>
      <c r="S308" s="18">
        <f>COUNTIF('Member List'!$C308:$J308,"&lt;&gt;")</f>
        <v>0</v>
      </c>
      <c r="T308" s="35"/>
      <c r="U308" s="24">
        <f t="shared" si="18"/>
        <v>0</v>
      </c>
      <c r="V308" s="18" t="e">
        <f t="shared" si="19"/>
        <v>#N/A</v>
      </c>
      <c r="W308" s="45" t="e">
        <f t="shared" si="20"/>
        <v>#N/A</v>
      </c>
      <c r="X308" s="20" t="e">
        <f t="shared" si="21"/>
        <v>#N/A</v>
      </c>
      <c r="Y308" s="46" t="e">
        <f t="shared" si="24"/>
        <v>#N/A</v>
      </c>
      <c r="Z308" s="39" t="e">
        <f t="shared" si="22"/>
        <v>#N/A</v>
      </c>
      <c r="AA308" s="39" t="e">
        <f t="shared" si="23"/>
        <v>#N/A</v>
      </c>
      <c r="AB308" s="39"/>
      <c r="AC308" s="48" t="e">
        <f t="shared" si="25"/>
        <v>#N/A</v>
      </c>
    </row>
    <row r="309" spans="1:29" ht="12.5" x14ac:dyDescent="0.25">
      <c r="A309" s="36"/>
      <c r="B309" s="33"/>
      <c r="C309" s="33"/>
      <c r="D309" s="33"/>
      <c r="E309" s="35"/>
      <c r="F309" s="21"/>
      <c r="G309" s="22" t="e">
        <f>VLOOKUP(E309,'Court List'!$A:$C,2,0)</f>
        <v>#N/A</v>
      </c>
      <c r="H309" s="33"/>
      <c r="I309" s="33"/>
      <c r="J309" s="44" t="e">
        <f t="shared" si="16"/>
        <v>#N/A</v>
      </c>
      <c r="K309" s="36"/>
      <c r="L309" s="18">
        <f>SUM('Shuttle Count - Supreme (Nov 20'!C309:D309)</f>
        <v>0</v>
      </c>
      <c r="M309" s="18" t="e">
        <f>VLOOKUP(K309,'Shuttle Purchase'!A:C,3,0)</f>
        <v>#N/A</v>
      </c>
      <c r="N309" s="44" t="e">
        <f t="shared" si="15"/>
        <v>#N/A</v>
      </c>
      <c r="O309" s="24" t="e">
        <f>VLOOKUP(E309,'Court List'!$A:$C,3,0)</f>
        <v>#N/A</v>
      </c>
      <c r="P309" s="18">
        <f>COUNTIF('Pub List'!$C309:$T309,"&lt;&gt;")</f>
        <v>0</v>
      </c>
      <c r="Q309" s="20" t="e">
        <f t="shared" si="17"/>
        <v>#N/A</v>
      </c>
      <c r="R309" s="36"/>
      <c r="S309" s="18">
        <f>COUNTIF('Member List'!$C309:$J309,"&lt;&gt;")</f>
        <v>0</v>
      </c>
      <c r="T309" s="35"/>
      <c r="U309" s="24">
        <f t="shared" si="18"/>
        <v>0</v>
      </c>
      <c r="V309" s="18" t="e">
        <f t="shared" si="19"/>
        <v>#N/A</v>
      </c>
      <c r="W309" s="45" t="e">
        <f t="shared" si="20"/>
        <v>#N/A</v>
      </c>
      <c r="X309" s="20" t="e">
        <f t="shared" si="21"/>
        <v>#N/A</v>
      </c>
      <c r="Y309" s="46" t="e">
        <f t="shared" si="24"/>
        <v>#N/A</v>
      </c>
      <c r="Z309" s="39" t="e">
        <f t="shared" si="22"/>
        <v>#N/A</v>
      </c>
      <c r="AA309" s="39" t="e">
        <f t="shared" si="23"/>
        <v>#N/A</v>
      </c>
      <c r="AB309" s="39"/>
      <c r="AC309" s="48" t="e">
        <f t="shared" si="25"/>
        <v>#N/A</v>
      </c>
    </row>
    <row r="310" spans="1:29" ht="12.5" x14ac:dyDescent="0.25">
      <c r="A310" s="36"/>
      <c r="B310" s="33"/>
      <c r="C310" s="33"/>
      <c r="D310" s="33"/>
      <c r="E310" s="35"/>
      <c r="F310" s="21"/>
      <c r="G310" s="22" t="e">
        <f>VLOOKUP(E310,'Court List'!$A:$C,2,0)</f>
        <v>#N/A</v>
      </c>
      <c r="H310" s="33"/>
      <c r="I310" s="33"/>
      <c r="J310" s="44" t="e">
        <f t="shared" si="16"/>
        <v>#N/A</v>
      </c>
      <c r="K310" s="36"/>
      <c r="L310" s="18">
        <f>SUM('Shuttle Count - Supreme (Nov 20'!C310:D310)</f>
        <v>0</v>
      </c>
      <c r="M310" s="18" t="e">
        <f>VLOOKUP(K310,'Shuttle Purchase'!A:C,3,0)</f>
        <v>#N/A</v>
      </c>
      <c r="N310" s="44" t="e">
        <f t="shared" si="15"/>
        <v>#N/A</v>
      </c>
      <c r="O310" s="24" t="e">
        <f>VLOOKUP(E310,'Court List'!$A:$C,3,0)</f>
        <v>#N/A</v>
      </c>
      <c r="P310" s="18">
        <f>COUNTIF('Pub List'!$C310:$T310,"&lt;&gt;")</f>
        <v>0</v>
      </c>
      <c r="Q310" s="20" t="e">
        <f t="shared" si="17"/>
        <v>#N/A</v>
      </c>
      <c r="R310" s="36"/>
      <c r="S310" s="18">
        <f>COUNTIF('Member List'!$C310:$J310,"&lt;&gt;")</f>
        <v>0</v>
      </c>
      <c r="T310" s="35"/>
      <c r="U310" s="24">
        <f t="shared" si="18"/>
        <v>0</v>
      </c>
      <c r="V310" s="18" t="e">
        <f t="shared" si="19"/>
        <v>#N/A</v>
      </c>
      <c r="W310" s="45" t="e">
        <f t="shared" si="20"/>
        <v>#N/A</v>
      </c>
      <c r="X310" s="20" t="e">
        <f t="shared" si="21"/>
        <v>#N/A</v>
      </c>
      <c r="Y310" s="46" t="e">
        <f t="shared" si="24"/>
        <v>#N/A</v>
      </c>
      <c r="Z310" s="39" t="e">
        <f t="shared" si="22"/>
        <v>#N/A</v>
      </c>
      <c r="AA310" s="39" t="e">
        <f t="shared" si="23"/>
        <v>#N/A</v>
      </c>
      <c r="AB310" s="39"/>
      <c r="AC310" s="48" t="e">
        <f t="shared" si="25"/>
        <v>#N/A</v>
      </c>
    </row>
    <row r="311" spans="1:29" ht="12.5" x14ac:dyDescent="0.25">
      <c r="A311" s="36"/>
      <c r="B311" s="33"/>
      <c r="C311" s="33"/>
      <c r="D311" s="33"/>
      <c r="E311" s="35"/>
      <c r="F311" s="21"/>
      <c r="G311" s="22" t="e">
        <f>VLOOKUP(E311,'Court List'!$A:$C,2,0)</f>
        <v>#N/A</v>
      </c>
      <c r="H311" s="33"/>
      <c r="I311" s="33"/>
      <c r="J311" s="44" t="e">
        <f t="shared" si="16"/>
        <v>#N/A</v>
      </c>
      <c r="K311" s="36"/>
      <c r="L311" s="18">
        <f>SUM('Shuttle Count - Supreme (Nov 20'!C311:D311)</f>
        <v>0</v>
      </c>
      <c r="M311" s="18" t="e">
        <f>VLOOKUP(K311,'Shuttle Purchase'!A:C,3,0)</f>
        <v>#N/A</v>
      </c>
      <c r="N311" s="44" t="e">
        <f t="shared" si="15"/>
        <v>#N/A</v>
      </c>
      <c r="O311" s="24" t="e">
        <f>VLOOKUP(E311,'Court List'!$A:$C,3,0)</f>
        <v>#N/A</v>
      </c>
      <c r="P311" s="18">
        <f>COUNTIF('Pub List'!$C311:$T311,"&lt;&gt;")</f>
        <v>0</v>
      </c>
      <c r="Q311" s="20" t="e">
        <f t="shared" si="17"/>
        <v>#N/A</v>
      </c>
      <c r="R311" s="36"/>
      <c r="S311" s="18">
        <f>COUNTIF('Member List'!$C311:$J311,"&lt;&gt;")</f>
        <v>0</v>
      </c>
      <c r="T311" s="35"/>
      <c r="U311" s="24">
        <f t="shared" si="18"/>
        <v>0</v>
      </c>
      <c r="V311" s="18" t="e">
        <f t="shared" si="19"/>
        <v>#N/A</v>
      </c>
      <c r="W311" s="45" t="e">
        <f t="shared" si="20"/>
        <v>#N/A</v>
      </c>
      <c r="X311" s="20" t="e">
        <f t="shared" si="21"/>
        <v>#N/A</v>
      </c>
      <c r="Y311" s="46" t="e">
        <f t="shared" si="24"/>
        <v>#N/A</v>
      </c>
      <c r="Z311" s="39" t="e">
        <f t="shared" si="22"/>
        <v>#N/A</v>
      </c>
      <c r="AA311" s="39" t="e">
        <f t="shared" si="23"/>
        <v>#N/A</v>
      </c>
      <c r="AB311" s="39"/>
      <c r="AC311" s="48" t="e">
        <f t="shared" si="25"/>
        <v>#N/A</v>
      </c>
    </row>
    <row r="312" spans="1:29" ht="12.5" x14ac:dyDescent="0.25">
      <c r="A312" s="36"/>
      <c r="B312" s="33"/>
      <c r="C312" s="33"/>
      <c r="D312" s="33"/>
      <c r="E312" s="35"/>
      <c r="F312" s="21"/>
      <c r="G312" s="22" t="e">
        <f>VLOOKUP(E312,'Court List'!$A:$C,2,0)</f>
        <v>#N/A</v>
      </c>
      <c r="H312" s="33"/>
      <c r="I312" s="33"/>
      <c r="J312" s="44" t="e">
        <f t="shared" si="16"/>
        <v>#N/A</v>
      </c>
      <c r="K312" s="36"/>
      <c r="L312" s="18">
        <f>SUM('Shuttle Count - Supreme (Nov 20'!C312:D312)</f>
        <v>0</v>
      </c>
      <c r="M312" s="18" t="e">
        <f>VLOOKUP(K312,'Shuttle Purchase'!A:C,3,0)</f>
        <v>#N/A</v>
      </c>
      <c r="N312" s="44" t="e">
        <f t="shared" si="15"/>
        <v>#N/A</v>
      </c>
      <c r="O312" s="24" t="e">
        <f>VLOOKUP(E312,'Court List'!$A:$C,3,0)</f>
        <v>#N/A</v>
      </c>
      <c r="P312" s="18">
        <f>COUNTIF('Pub List'!$C312:$T312,"&lt;&gt;")</f>
        <v>0</v>
      </c>
      <c r="Q312" s="20" t="e">
        <f t="shared" si="17"/>
        <v>#N/A</v>
      </c>
      <c r="R312" s="36"/>
      <c r="S312" s="18">
        <f>COUNTIF('Member List'!$C312:$J312,"&lt;&gt;")</f>
        <v>0</v>
      </c>
      <c r="T312" s="35"/>
      <c r="U312" s="24">
        <f t="shared" si="18"/>
        <v>0</v>
      </c>
      <c r="V312" s="18" t="e">
        <f t="shared" si="19"/>
        <v>#N/A</v>
      </c>
      <c r="W312" s="45" t="e">
        <f t="shared" si="20"/>
        <v>#N/A</v>
      </c>
      <c r="X312" s="20" t="e">
        <f t="shared" si="21"/>
        <v>#N/A</v>
      </c>
      <c r="Y312" s="46" t="e">
        <f t="shared" si="24"/>
        <v>#N/A</v>
      </c>
      <c r="Z312" s="39" t="e">
        <f t="shared" si="22"/>
        <v>#N/A</v>
      </c>
      <c r="AA312" s="39" t="e">
        <f t="shared" si="23"/>
        <v>#N/A</v>
      </c>
      <c r="AB312" s="39"/>
      <c r="AC312" s="48" t="e">
        <f t="shared" si="25"/>
        <v>#N/A</v>
      </c>
    </row>
    <row r="313" spans="1:29" ht="12.5" x14ac:dyDescent="0.25">
      <c r="A313" s="36"/>
      <c r="B313" s="33"/>
      <c r="C313" s="33"/>
      <c r="D313" s="33"/>
      <c r="E313" s="35"/>
      <c r="F313" s="21"/>
      <c r="G313" s="22" t="e">
        <f>VLOOKUP(E313,'Court List'!$A:$C,2,0)</f>
        <v>#N/A</v>
      </c>
      <c r="H313" s="33"/>
      <c r="I313" s="33"/>
      <c r="J313" s="44" t="e">
        <f t="shared" si="16"/>
        <v>#N/A</v>
      </c>
      <c r="K313" s="36"/>
      <c r="L313" s="18">
        <f>SUM('Shuttle Count - Supreme (Nov 20'!C313:D313)</f>
        <v>0</v>
      </c>
      <c r="M313" s="18" t="e">
        <f>VLOOKUP(K313,'Shuttle Purchase'!A:C,3,0)</f>
        <v>#N/A</v>
      </c>
      <c r="N313" s="44" t="e">
        <f t="shared" si="15"/>
        <v>#N/A</v>
      </c>
      <c r="O313" s="24" t="e">
        <f>VLOOKUP(E313,'Court List'!$A:$C,3,0)</f>
        <v>#N/A</v>
      </c>
      <c r="P313" s="18">
        <f>COUNTIF('Pub List'!$C313:$T313,"&lt;&gt;")</f>
        <v>0</v>
      </c>
      <c r="Q313" s="20" t="e">
        <f t="shared" si="17"/>
        <v>#N/A</v>
      </c>
      <c r="R313" s="36"/>
      <c r="S313" s="18">
        <f>COUNTIF('Member List'!$C313:$J313,"&lt;&gt;")</f>
        <v>0</v>
      </c>
      <c r="T313" s="35"/>
      <c r="U313" s="24">
        <f t="shared" si="18"/>
        <v>0</v>
      </c>
      <c r="V313" s="18" t="e">
        <f t="shared" si="19"/>
        <v>#N/A</v>
      </c>
      <c r="W313" s="45" t="e">
        <f t="shared" si="20"/>
        <v>#N/A</v>
      </c>
      <c r="X313" s="20" t="e">
        <f t="shared" si="21"/>
        <v>#N/A</v>
      </c>
      <c r="Y313" s="46" t="e">
        <f t="shared" si="24"/>
        <v>#N/A</v>
      </c>
      <c r="Z313" s="39" t="e">
        <f t="shared" si="22"/>
        <v>#N/A</v>
      </c>
      <c r="AA313" s="39" t="e">
        <f t="shared" si="23"/>
        <v>#N/A</v>
      </c>
      <c r="AB313" s="39"/>
      <c r="AC313" s="48" t="e">
        <f t="shared" si="25"/>
        <v>#N/A</v>
      </c>
    </row>
    <row r="314" spans="1:29" ht="12.5" x14ac:dyDescent="0.25">
      <c r="A314" s="36"/>
      <c r="B314" s="33"/>
      <c r="C314" s="33"/>
      <c r="D314" s="33"/>
      <c r="E314" s="35"/>
      <c r="F314" s="21"/>
      <c r="G314" s="22" t="e">
        <f>VLOOKUP(E314,'Court List'!$A:$C,2,0)</f>
        <v>#N/A</v>
      </c>
      <c r="H314" s="33"/>
      <c r="I314" s="33"/>
      <c r="J314" s="44" t="e">
        <f t="shared" si="16"/>
        <v>#N/A</v>
      </c>
      <c r="K314" s="36"/>
      <c r="L314" s="18">
        <f>SUM('Shuttle Count - Supreme (Nov 20'!C314:D314)</f>
        <v>0</v>
      </c>
      <c r="M314" s="18" t="e">
        <f>VLOOKUP(K314,'Shuttle Purchase'!A:C,3,0)</f>
        <v>#N/A</v>
      </c>
      <c r="N314" s="44" t="e">
        <f t="shared" ref="N314:N568" si="26">L314*M314</f>
        <v>#N/A</v>
      </c>
      <c r="O314" s="24" t="e">
        <f>VLOOKUP(E314,'Court List'!$A:$C,3,0)</f>
        <v>#N/A</v>
      </c>
      <c r="P314" s="18">
        <f>COUNTIF('Pub List'!$C314:$T314,"&lt;&gt;")</f>
        <v>0</v>
      </c>
      <c r="Q314" s="20" t="e">
        <f t="shared" si="17"/>
        <v>#N/A</v>
      </c>
      <c r="R314" s="36"/>
      <c r="S314" s="18">
        <f>COUNTIF('Member List'!$C314:$J314,"&lt;&gt;")</f>
        <v>0</v>
      </c>
      <c r="T314" s="35"/>
      <c r="U314" s="24">
        <f t="shared" si="18"/>
        <v>0</v>
      </c>
      <c r="V314" s="18" t="e">
        <f t="shared" si="19"/>
        <v>#N/A</v>
      </c>
      <c r="W314" s="45" t="e">
        <f t="shared" si="20"/>
        <v>#N/A</v>
      </c>
      <c r="X314" s="20" t="e">
        <f t="shared" si="21"/>
        <v>#N/A</v>
      </c>
      <c r="Y314" s="46" t="e">
        <f t="shared" si="24"/>
        <v>#N/A</v>
      </c>
      <c r="Z314" s="39" t="e">
        <f t="shared" si="22"/>
        <v>#N/A</v>
      </c>
      <c r="AA314" s="39" t="e">
        <f t="shared" si="23"/>
        <v>#N/A</v>
      </c>
      <c r="AB314" s="39"/>
      <c r="AC314" s="48" t="e">
        <f t="shared" si="25"/>
        <v>#N/A</v>
      </c>
    </row>
    <row r="315" spans="1:29" ht="12.5" x14ac:dyDescent="0.25">
      <c r="A315" s="36"/>
      <c r="B315" s="33"/>
      <c r="C315" s="33"/>
      <c r="D315" s="33"/>
      <c r="E315" s="35"/>
      <c r="F315" s="21"/>
      <c r="G315" s="22" t="e">
        <f>VLOOKUP(E315,'Court List'!$A:$C,2,0)</f>
        <v>#N/A</v>
      </c>
      <c r="H315" s="33"/>
      <c r="I315" s="33"/>
      <c r="J315" s="44" t="e">
        <f t="shared" si="16"/>
        <v>#N/A</v>
      </c>
      <c r="K315" s="36"/>
      <c r="L315" s="18">
        <f>SUM('Shuttle Count - Supreme (Nov 20'!C315:D315)</f>
        <v>0</v>
      </c>
      <c r="M315" s="18" t="e">
        <f>VLOOKUP(K315,'Shuttle Purchase'!A:C,3,0)</f>
        <v>#N/A</v>
      </c>
      <c r="N315" s="44" t="e">
        <f t="shared" si="26"/>
        <v>#N/A</v>
      </c>
      <c r="O315" s="24" t="e">
        <f>VLOOKUP(E315,'Court List'!$A:$C,3,0)</f>
        <v>#N/A</v>
      </c>
      <c r="P315" s="18">
        <f>COUNTIF('Pub List'!$C315:$T315,"&lt;&gt;")</f>
        <v>0</v>
      </c>
      <c r="Q315" s="20" t="e">
        <f t="shared" si="17"/>
        <v>#N/A</v>
      </c>
      <c r="R315" s="36"/>
      <c r="S315" s="18">
        <f>COUNTIF('Member List'!$C315:$J315,"&lt;&gt;")</f>
        <v>0</v>
      </c>
      <c r="T315" s="35"/>
      <c r="U315" s="24">
        <f t="shared" si="18"/>
        <v>0</v>
      </c>
      <c r="V315" s="18" t="e">
        <f t="shared" si="19"/>
        <v>#N/A</v>
      </c>
      <c r="W315" s="45" t="e">
        <f t="shared" si="20"/>
        <v>#N/A</v>
      </c>
      <c r="X315" s="20" t="e">
        <f t="shared" si="21"/>
        <v>#N/A</v>
      </c>
      <c r="Y315" s="46" t="e">
        <f t="shared" si="24"/>
        <v>#N/A</v>
      </c>
      <c r="Z315" s="39" t="e">
        <f t="shared" si="22"/>
        <v>#N/A</v>
      </c>
      <c r="AA315" s="39" t="e">
        <f t="shared" si="23"/>
        <v>#N/A</v>
      </c>
      <c r="AB315" s="39"/>
      <c r="AC315" s="48" t="e">
        <f t="shared" si="25"/>
        <v>#N/A</v>
      </c>
    </row>
    <row r="316" spans="1:29" ht="12.5" x14ac:dyDescent="0.25">
      <c r="A316" s="36"/>
      <c r="B316" s="33"/>
      <c r="C316" s="33"/>
      <c r="D316" s="33"/>
      <c r="E316" s="35"/>
      <c r="F316" s="21"/>
      <c r="G316" s="22" t="e">
        <f>VLOOKUP(E316,'Court List'!$A:$C,2,0)</f>
        <v>#N/A</v>
      </c>
      <c r="H316" s="33"/>
      <c r="I316" s="33"/>
      <c r="J316" s="44" t="e">
        <f t="shared" si="16"/>
        <v>#N/A</v>
      </c>
      <c r="K316" s="36"/>
      <c r="L316" s="18">
        <f>SUM('Shuttle Count - Supreme (Nov 20'!C316:D316)</f>
        <v>0</v>
      </c>
      <c r="M316" s="18" t="e">
        <f>VLOOKUP(K316,'Shuttle Purchase'!A:C,3,0)</f>
        <v>#N/A</v>
      </c>
      <c r="N316" s="44" t="e">
        <f t="shared" si="26"/>
        <v>#N/A</v>
      </c>
      <c r="O316" s="24" t="e">
        <f>VLOOKUP(E316,'Court List'!$A:$C,3,0)</f>
        <v>#N/A</v>
      </c>
      <c r="P316" s="18">
        <f>COUNTIF('Pub List'!$C316:$T316,"&lt;&gt;")</f>
        <v>0</v>
      </c>
      <c r="Q316" s="20" t="e">
        <f t="shared" si="17"/>
        <v>#N/A</v>
      </c>
      <c r="R316" s="36"/>
      <c r="S316" s="18">
        <f>COUNTIF('Member List'!$C316:$J316,"&lt;&gt;")</f>
        <v>0</v>
      </c>
      <c r="T316" s="35"/>
      <c r="U316" s="24">
        <f t="shared" si="18"/>
        <v>0</v>
      </c>
      <c r="V316" s="18" t="e">
        <f t="shared" si="19"/>
        <v>#N/A</v>
      </c>
      <c r="W316" s="45" t="e">
        <f t="shared" si="20"/>
        <v>#N/A</v>
      </c>
      <c r="X316" s="20" t="e">
        <f t="shared" si="21"/>
        <v>#N/A</v>
      </c>
      <c r="Y316" s="46" t="e">
        <f t="shared" si="24"/>
        <v>#N/A</v>
      </c>
      <c r="Z316" s="39" t="e">
        <f t="shared" si="22"/>
        <v>#N/A</v>
      </c>
      <c r="AA316" s="39" t="e">
        <f t="shared" si="23"/>
        <v>#N/A</v>
      </c>
      <c r="AB316" s="39"/>
      <c r="AC316" s="48" t="e">
        <f t="shared" si="25"/>
        <v>#N/A</v>
      </c>
    </row>
    <row r="317" spans="1:29" ht="12.5" x14ac:dyDescent="0.25">
      <c r="A317" s="36"/>
      <c r="B317" s="33"/>
      <c r="C317" s="33"/>
      <c r="D317" s="33"/>
      <c r="E317" s="35"/>
      <c r="F317" s="21"/>
      <c r="G317" s="22" t="e">
        <f>VLOOKUP(E317,'Court List'!$A:$C,2,0)</f>
        <v>#N/A</v>
      </c>
      <c r="H317" s="33"/>
      <c r="I317" s="33"/>
      <c r="J317" s="44" t="e">
        <f t="shared" si="16"/>
        <v>#N/A</v>
      </c>
      <c r="K317" s="36"/>
      <c r="L317" s="18">
        <f>SUM('Shuttle Count - Supreme (Nov 20'!C317:D317)</f>
        <v>0</v>
      </c>
      <c r="M317" s="18" t="e">
        <f>VLOOKUP(K317,'Shuttle Purchase'!A:C,3,0)</f>
        <v>#N/A</v>
      </c>
      <c r="N317" s="44" t="e">
        <f t="shared" si="26"/>
        <v>#N/A</v>
      </c>
      <c r="O317" s="24" t="e">
        <f>VLOOKUP(E317,'Court List'!$A:$C,3,0)</f>
        <v>#N/A</v>
      </c>
      <c r="P317" s="18">
        <f>COUNTIF('Pub List'!$C317:$T317,"&lt;&gt;")</f>
        <v>0</v>
      </c>
      <c r="Q317" s="20" t="e">
        <f t="shared" si="17"/>
        <v>#N/A</v>
      </c>
      <c r="R317" s="36"/>
      <c r="S317" s="18">
        <f>COUNTIF('Member List'!$C317:$J317,"&lt;&gt;")</f>
        <v>0</v>
      </c>
      <c r="T317" s="35"/>
      <c r="U317" s="24">
        <f t="shared" si="18"/>
        <v>0</v>
      </c>
      <c r="V317" s="18" t="e">
        <f t="shared" si="19"/>
        <v>#N/A</v>
      </c>
      <c r="W317" s="45" t="e">
        <f t="shared" si="20"/>
        <v>#N/A</v>
      </c>
      <c r="X317" s="20" t="e">
        <f t="shared" si="21"/>
        <v>#N/A</v>
      </c>
      <c r="Y317" s="46" t="e">
        <f t="shared" si="24"/>
        <v>#N/A</v>
      </c>
      <c r="Z317" s="39" t="e">
        <f t="shared" si="22"/>
        <v>#N/A</v>
      </c>
      <c r="AA317" s="39" t="e">
        <f t="shared" si="23"/>
        <v>#N/A</v>
      </c>
      <c r="AB317" s="39"/>
      <c r="AC317" s="48" t="e">
        <f t="shared" si="25"/>
        <v>#N/A</v>
      </c>
    </row>
    <row r="318" spans="1:29" ht="12.5" x14ac:dyDescent="0.25">
      <c r="A318" s="36"/>
      <c r="B318" s="33"/>
      <c r="C318" s="33"/>
      <c r="D318" s="33"/>
      <c r="E318" s="35"/>
      <c r="F318" s="21"/>
      <c r="G318" s="22" t="e">
        <f>VLOOKUP(E318,'Court List'!$A:$C,2,0)</f>
        <v>#N/A</v>
      </c>
      <c r="H318" s="33"/>
      <c r="I318" s="33"/>
      <c r="J318" s="44" t="e">
        <f t="shared" si="16"/>
        <v>#N/A</v>
      </c>
      <c r="K318" s="36"/>
      <c r="L318" s="18">
        <f>SUM('Shuttle Count - Supreme (Nov 20'!C318:D318)</f>
        <v>0</v>
      </c>
      <c r="M318" s="18" t="e">
        <f>VLOOKUP(K318,'Shuttle Purchase'!A:C,3,0)</f>
        <v>#N/A</v>
      </c>
      <c r="N318" s="44" t="e">
        <f t="shared" si="26"/>
        <v>#N/A</v>
      </c>
      <c r="O318" s="24" t="e">
        <f>VLOOKUP(E318,'Court List'!$A:$C,3,0)</f>
        <v>#N/A</v>
      </c>
      <c r="P318" s="18">
        <f>COUNTIF('Pub List'!$C318:$T318,"&lt;&gt;")</f>
        <v>0</v>
      </c>
      <c r="Q318" s="20" t="e">
        <f t="shared" si="17"/>
        <v>#N/A</v>
      </c>
      <c r="R318" s="36"/>
      <c r="S318" s="18">
        <f>COUNTIF('Member List'!$C318:$J318,"&lt;&gt;")</f>
        <v>0</v>
      </c>
      <c r="T318" s="35"/>
      <c r="U318" s="24">
        <f t="shared" si="18"/>
        <v>0</v>
      </c>
      <c r="V318" s="18" t="e">
        <f t="shared" si="19"/>
        <v>#N/A</v>
      </c>
      <c r="W318" s="45" t="e">
        <f t="shared" si="20"/>
        <v>#N/A</v>
      </c>
      <c r="X318" s="20" t="e">
        <f t="shared" si="21"/>
        <v>#N/A</v>
      </c>
      <c r="Y318" s="46" t="e">
        <f t="shared" si="24"/>
        <v>#N/A</v>
      </c>
      <c r="Z318" s="39" t="e">
        <f t="shared" si="22"/>
        <v>#N/A</v>
      </c>
      <c r="AA318" s="39" t="e">
        <f t="shared" si="23"/>
        <v>#N/A</v>
      </c>
      <c r="AB318" s="39"/>
      <c r="AC318" s="48" t="e">
        <f t="shared" si="25"/>
        <v>#N/A</v>
      </c>
    </row>
    <row r="319" spans="1:29" ht="12.5" x14ac:dyDescent="0.25">
      <c r="A319" s="36"/>
      <c r="B319" s="33"/>
      <c r="C319" s="33"/>
      <c r="D319" s="33"/>
      <c r="E319" s="35"/>
      <c r="F319" s="21"/>
      <c r="G319" s="22" t="e">
        <f>VLOOKUP(E319,'Court List'!$A:$C,2,0)</f>
        <v>#N/A</v>
      </c>
      <c r="H319" s="33"/>
      <c r="I319" s="33"/>
      <c r="J319" s="44" t="e">
        <f t="shared" si="16"/>
        <v>#N/A</v>
      </c>
      <c r="K319" s="36"/>
      <c r="L319" s="18">
        <f>SUM('Shuttle Count - Supreme (Nov 20'!C319:D319)</f>
        <v>0</v>
      </c>
      <c r="M319" s="18" t="e">
        <f>VLOOKUP(K319,'Shuttle Purchase'!A:C,3,0)</f>
        <v>#N/A</v>
      </c>
      <c r="N319" s="44" t="e">
        <f t="shared" si="26"/>
        <v>#N/A</v>
      </c>
      <c r="O319" s="24" t="e">
        <f>VLOOKUP(E319,'Court List'!$A:$C,3,0)</f>
        <v>#N/A</v>
      </c>
      <c r="P319" s="18">
        <f>COUNTIF('Pub List'!$C319:$T319,"&lt;&gt;")</f>
        <v>0</v>
      </c>
      <c r="Q319" s="20" t="e">
        <f t="shared" si="17"/>
        <v>#N/A</v>
      </c>
      <c r="R319" s="36"/>
      <c r="S319" s="18">
        <f>COUNTIF('Member List'!$C319:$J319,"&lt;&gt;")</f>
        <v>0</v>
      </c>
      <c r="T319" s="35"/>
      <c r="U319" s="24">
        <f t="shared" si="18"/>
        <v>0</v>
      </c>
      <c r="V319" s="18" t="e">
        <f t="shared" si="19"/>
        <v>#N/A</v>
      </c>
      <c r="W319" s="45" t="e">
        <f t="shared" si="20"/>
        <v>#N/A</v>
      </c>
      <c r="X319" s="20" t="e">
        <f t="shared" si="21"/>
        <v>#N/A</v>
      </c>
      <c r="Y319" s="46" t="e">
        <f t="shared" si="24"/>
        <v>#N/A</v>
      </c>
      <c r="Z319" s="39" t="e">
        <f t="shared" si="22"/>
        <v>#N/A</v>
      </c>
      <c r="AA319" s="39" t="e">
        <f t="shared" si="23"/>
        <v>#N/A</v>
      </c>
      <c r="AB319" s="39"/>
      <c r="AC319" s="48" t="e">
        <f t="shared" si="25"/>
        <v>#N/A</v>
      </c>
    </row>
    <row r="320" spans="1:29" ht="12.5" x14ac:dyDescent="0.25">
      <c r="A320" s="36"/>
      <c r="B320" s="33"/>
      <c r="C320" s="33"/>
      <c r="D320" s="33"/>
      <c r="E320" s="35"/>
      <c r="F320" s="21"/>
      <c r="G320" s="22" t="e">
        <f>VLOOKUP(E320,'Court List'!$A:$C,2,0)</f>
        <v>#N/A</v>
      </c>
      <c r="H320" s="33"/>
      <c r="I320" s="33"/>
      <c r="J320" s="44" t="e">
        <f t="shared" si="16"/>
        <v>#N/A</v>
      </c>
      <c r="K320" s="36"/>
      <c r="L320" s="18">
        <f>SUM('Shuttle Count - Supreme (Nov 20'!C320:D320)</f>
        <v>0</v>
      </c>
      <c r="M320" s="18" t="e">
        <f>VLOOKUP(K320,'Shuttle Purchase'!A:C,3,0)</f>
        <v>#N/A</v>
      </c>
      <c r="N320" s="44" t="e">
        <f t="shared" si="26"/>
        <v>#N/A</v>
      </c>
      <c r="O320" s="24" t="e">
        <f>VLOOKUP(E320,'Court List'!$A:$C,3,0)</f>
        <v>#N/A</v>
      </c>
      <c r="P320" s="18">
        <f>COUNTIF('Pub List'!$C320:$T320,"&lt;&gt;")</f>
        <v>0</v>
      </c>
      <c r="Q320" s="20" t="e">
        <f t="shared" si="17"/>
        <v>#N/A</v>
      </c>
      <c r="R320" s="36"/>
      <c r="S320" s="18">
        <f>COUNTIF('Member List'!$C320:$J320,"&lt;&gt;")</f>
        <v>0</v>
      </c>
      <c r="T320" s="35"/>
      <c r="U320" s="24">
        <f t="shared" si="18"/>
        <v>0</v>
      </c>
      <c r="V320" s="18" t="e">
        <f t="shared" si="19"/>
        <v>#N/A</v>
      </c>
      <c r="W320" s="45" t="e">
        <f t="shared" si="20"/>
        <v>#N/A</v>
      </c>
      <c r="X320" s="20" t="e">
        <f t="shared" si="21"/>
        <v>#N/A</v>
      </c>
      <c r="Y320" s="46" t="e">
        <f t="shared" si="24"/>
        <v>#N/A</v>
      </c>
      <c r="Z320" s="39" t="e">
        <f t="shared" si="22"/>
        <v>#N/A</v>
      </c>
      <c r="AA320" s="39" t="e">
        <f t="shared" si="23"/>
        <v>#N/A</v>
      </c>
      <c r="AB320" s="39"/>
      <c r="AC320" s="48" t="e">
        <f t="shared" si="25"/>
        <v>#N/A</v>
      </c>
    </row>
    <row r="321" spans="1:29" ht="12.5" x14ac:dyDescent="0.25">
      <c r="A321" s="36"/>
      <c r="B321" s="33"/>
      <c r="C321" s="33"/>
      <c r="D321" s="33"/>
      <c r="E321" s="35"/>
      <c r="F321" s="21"/>
      <c r="G321" s="22" t="e">
        <f>VLOOKUP(E321,'Court List'!$A:$C,2,0)</f>
        <v>#N/A</v>
      </c>
      <c r="H321" s="33"/>
      <c r="I321" s="33"/>
      <c r="J321" s="44" t="e">
        <f t="shared" si="16"/>
        <v>#N/A</v>
      </c>
      <c r="K321" s="36"/>
      <c r="L321" s="18">
        <f>SUM('Shuttle Count - Supreme (Nov 20'!C321:D321)</f>
        <v>0</v>
      </c>
      <c r="M321" s="18" t="e">
        <f>VLOOKUP(K321,'Shuttle Purchase'!A:C,3,0)</f>
        <v>#N/A</v>
      </c>
      <c r="N321" s="44" t="e">
        <f t="shared" si="26"/>
        <v>#N/A</v>
      </c>
      <c r="O321" s="24" t="e">
        <f>VLOOKUP(E321,'Court List'!$A:$C,3,0)</f>
        <v>#N/A</v>
      </c>
      <c r="P321" s="18">
        <f>COUNTIF('Pub List'!$C321:$T321,"&lt;&gt;")</f>
        <v>0</v>
      </c>
      <c r="Q321" s="20" t="e">
        <f t="shared" si="17"/>
        <v>#N/A</v>
      </c>
      <c r="R321" s="36"/>
      <c r="S321" s="18">
        <f>COUNTIF('Member List'!$C321:$J321,"&lt;&gt;")</f>
        <v>0</v>
      </c>
      <c r="T321" s="35"/>
      <c r="U321" s="24">
        <f t="shared" si="18"/>
        <v>0</v>
      </c>
      <c r="V321" s="18" t="e">
        <f t="shared" si="19"/>
        <v>#N/A</v>
      </c>
      <c r="W321" s="45" t="e">
        <f t="shared" si="20"/>
        <v>#N/A</v>
      </c>
      <c r="X321" s="20" t="e">
        <f t="shared" si="21"/>
        <v>#N/A</v>
      </c>
      <c r="Y321" s="46" t="e">
        <f t="shared" si="24"/>
        <v>#N/A</v>
      </c>
      <c r="Z321" s="39" t="e">
        <f t="shared" si="22"/>
        <v>#N/A</v>
      </c>
      <c r="AA321" s="39" t="e">
        <f t="shared" si="23"/>
        <v>#N/A</v>
      </c>
      <c r="AB321" s="39"/>
      <c r="AC321" s="48" t="e">
        <f t="shared" si="25"/>
        <v>#N/A</v>
      </c>
    </row>
    <row r="322" spans="1:29" ht="12.5" x14ac:dyDescent="0.25">
      <c r="A322" s="36"/>
      <c r="B322" s="33"/>
      <c r="C322" s="33"/>
      <c r="D322" s="33"/>
      <c r="E322" s="35"/>
      <c r="F322" s="21"/>
      <c r="G322" s="22" t="e">
        <f>VLOOKUP(E322,'Court List'!$A:$C,2,0)</f>
        <v>#N/A</v>
      </c>
      <c r="H322" s="33"/>
      <c r="I322" s="33"/>
      <c r="J322" s="44" t="e">
        <f t="shared" si="16"/>
        <v>#N/A</v>
      </c>
      <c r="K322" s="36"/>
      <c r="L322" s="18">
        <f>SUM('Shuttle Count - Supreme (Nov 20'!C322:D322)</f>
        <v>0</v>
      </c>
      <c r="M322" s="18" t="e">
        <f>VLOOKUP(K322,'Shuttle Purchase'!A:C,3,0)</f>
        <v>#N/A</v>
      </c>
      <c r="N322" s="44" t="e">
        <f t="shared" si="26"/>
        <v>#N/A</v>
      </c>
      <c r="O322" s="24" t="e">
        <f>VLOOKUP(E322,'Court List'!$A:$C,3,0)</f>
        <v>#N/A</v>
      </c>
      <c r="P322" s="18">
        <f>COUNTIF('Pub List'!$C322:$T322,"&lt;&gt;")</f>
        <v>0</v>
      </c>
      <c r="Q322" s="20" t="e">
        <f t="shared" si="17"/>
        <v>#N/A</v>
      </c>
      <c r="R322" s="36"/>
      <c r="S322" s="18">
        <f>COUNTIF('Member List'!$C322:$J322,"&lt;&gt;")</f>
        <v>0</v>
      </c>
      <c r="T322" s="35"/>
      <c r="U322" s="24">
        <f t="shared" si="18"/>
        <v>0</v>
      </c>
      <c r="V322" s="18" t="e">
        <f t="shared" si="19"/>
        <v>#N/A</v>
      </c>
      <c r="W322" s="45" t="e">
        <f t="shared" si="20"/>
        <v>#N/A</v>
      </c>
      <c r="X322" s="20" t="e">
        <f t="shared" si="21"/>
        <v>#N/A</v>
      </c>
      <c r="Y322" s="46" t="e">
        <f t="shared" si="24"/>
        <v>#N/A</v>
      </c>
      <c r="Z322" s="39" t="e">
        <f t="shared" si="22"/>
        <v>#N/A</v>
      </c>
      <c r="AA322" s="39" t="e">
        <f t="shared" si="23"/>
        <v>#N/A</v>
      </c>
      <c r="AB322" s="39"/>
      <c r="AC322" s="48" t="e">
        <f t="shared" si="25"/>
        <v>#N/A</v>
      </c>
    </row>
    <row r="323" spans="1:29" ht="12.5" x14ac:dyDescent="0.25">
      <c r="A323" s="36"/>
      <c r="B323" s="33"/>
      <c r="C323" s="33"/>
      <c r="D323" s="33"/>
      <c r="E323" s="35"/>
      <c r="F323" s="21"/>
      <c r="G323" s="22" t="e">
        <f>VLOOKUP(E323,'Court List'!$A:$C,2,0)</f>
        <v>#N/A</v>
      </c>
      <c r="H323" s="33"/>
      <c r="I323" s="33"/>
      <c r="J323" s="44" t="e">
        <f t="shared" si="16"/>
        <v>#N/A</v>
      </c>
      <c r="K323" s="36"/>
      <c r="L323" s="18">
        <f>SUM('Shuttle Count - Supreme (Nov 20'!C323:D323)</f>
        <v>0</v>
      </c>
      <c r="M323" s="18" t="e">
        <f>VLOOKUP(K323,'Shuttle Purchase'!A:C,3,0)</f>
        <v>#N/A</v>
      </c>
      <c r="N323" s="44" t="e">
        <f t="shared" si="26"/>
        <v>#N/A</v>
      </c>
      <c r="O323" s="24" t="e">
        <f>VLOOKUP(E323,'Court List'!$A:$C,3,0)</f>
        <v>#N/A</v>
      </c>
      <c r="P323" s="18">
        <f>COUNTIF('Pub List'!$C323:$T323,"&lt;&gt;")</f>
        <v>0</v>
      </c>
      <c r="Q323" s="20" t="e">
        <f t="shared" si="17"/>
        <v>#N/A</v>
      </c>
      <c r="R323" s="36"/>
      <c r="S323" s="18">
        <f>COUNTIF('Member List'!$C323:$J323,"&lt;&gt;")</f>
        <v>0</v>
      </c>
      <c r="T323" s="35"/>
      <c r="U323" s="24">
        <f t="shared" si="18"/>
        <v>0</v>
      </c>
      <c r="V323" s="18" t="e">
        <f t="shared" si="19"/>
        <v>#N/A</v>
      </c>
      <c r="W323" s="45" t="e">
        <f t="shared" si="20"/>
        <v>#N/A</v>
      </c>
      <c r="X323" s="20" t="e">
        <f t="shared" si="21"/>
        <v>#N/A</v>
      </c>
      <c r="Y323" s="46" t="e">
        <f t="shared" si="24"/>
        <v>#N/A</v>
      </c>
      <c r="Z323" s="39" t="e">
        <f t="shared" si="22"/>
        <v>#N/A</v>
      </c>
      <c r="AA323" s="39" t="e">
        <f t="shared" si="23"/>
        <v>#N/A</v>
      </c>
      <c r="AB323" s="39"/>
      <c r="AC323" s="48" t="e">
        <f t="shared" si="25"/>
        <v>#N/A</v>
      </c>
    </row>
    <row r="324" spans="1:29" ht="12.5" x14ac:dyDescent="0.25">
      <c r="A324" s="36"/>
      <c r="B324" s="33"/>
      <c r="C324" s="33"/>
      <c r="D324" s="33"/>
      <c r="E324" s="35"/>
      <c r="F324" s="21"/>
      <c r="G324" s="22" t="e">
        <f>VLOOKUP(E324,'Court List'!$A:$C,2,0)</f>
        <v>#N/A</v>
      </c>
      <c r="H324" s="33"/>
      <c r="I324" s="33"/>
      <c r="J324" s="44" t="e">
        <f t="shared" si="16"/>
        <v>#N/A</v>
      </c>
      <c r="K324" s="36"/>
      <c r="L324" s="18">
        <f>SUM('Shuttle Count - Supreme (Nov 20'!C324:D324)</f>
        <v>0</v>
      </c>
      <c r="M324" s="18" t="e">
        <f>VLOOKUP(K324,'Shuttle Purchase'!A:C,3,0)</f>
        <v>#N/A</v>
      </c>
      <c r="N324" s="44" t="e">
        <f t="shared" si="26"/>
        <v>#N/A</v>
      </c>
      <c r="O324" s="24" t="e">
        <f>VLOOKUP(E324,'Court List'!$A:$C,3,0)</f>
        <v>#N/A</v>
      </c>
      <c r="P324" s="18">
        <f>COUNTIF('Pub List'!$C324:$T324,"&lt;&gt;")</f>
        <v>0</v>
      </c>
      <c r="Q324" s="20" t="e">
        <f t="shared" si="17"/>
        <v>#N/A</v>
      </c>
      <c r="R324" s="36"/>
      <c r="S324" s="18">
        <f>COUNTIF('Member List'!$C324:$J324,"&lt;&gt;")</f>
        <v>0</v>
      </c>
      <c r="T324" s="35"/>
      <c r="U324" s="24">
        <f t="shared" si="18"/>
        <v>0</v>
      </c>
      <c r="V324" s="18" t="e">
        <f t="shared" si="19"/>
        <v>#N/A</v>
      </c>
      <c r="W324" s="45" t="e">
        <f t="shared" si="20"/>
        <v>#N/A</v>
      </c>
      <c r="X324" s="20" t="e">
        <f t="shared" si="21"/>
        <v>#N/A</v>
      </c>
      <c r="Y324" s="46" t="e">
        <f t="shared" si="24"/>
        <v>#N/A</v>
      </c>
      <c r="Z324" s="39" t="e">
        <f t="shared" si="22"/>
        <v>#N/A</v>
      </c>
      <c r="AA324" s="39" t="e">
        <f t="shared" si="23"/>
        <v>#N/A</v>
      </c>
      <c r="AB324" s="39"/>
      <c r="AC324" s="48" t="e">
        <f t="shared" si="25"/>
        <v>#N/A</v>
      </c>
    </row>
    <row r="325" spans="1:29" ht="12.5" x14ac:dyDescent="0.25">
      <c r="A325" s="36"/>
      <c r="B325" s="33"/>
      <c r="C325" s="33"/>
      <c r="D325" s="33"/>
      <c r="E325" s="35"/>
      <c r="F325" s="21"/>
      <c r="G325" s="22" t="e">
        <f>VLOOKUP(E325,'Court List'!$A:$C,2,0)</f>
        <v>#N/A</v>
      </c>
      <c r="H325" s="33"/>
      <c r="I325" s="33"/>
      <c r="J325" s="44" t="e">
        <f t="shared" si="16"/>
        <v>#N/A</v>
      </c>
      <c r="K325" s="36"/>
      <c r="L325" s="18">
        <f>SUM('Shuttle Count - Supreme (Nov 20'!C325:D325)</f>
        <v>0</v>
      </c>
      <c r="M325" s="18" t="e">
        <f>VLOOKUP(K325,'Shuttle Purchase'!A:C,3,0)</f>
        <v>#N/A</v>
      </c>
      <c r="N325" s="44" t="e">
        <f t="shared" si="26"/>
        <v>#N/A</v>
      </c>
      <c r="O325" s="24" t="e">
        <f>VLOOKUP(E325,'Court List'!$A:$C,3,0)</f>
        <v>#N/A</v>
      </c>
      <c r="P325" s="18">
        <f>COUNTIF('Pub List'!$C325:$T325,"&lt;&gt;")</f>
        <v>0</v>
      </c>
      <c r="Q325" s="20" t="e">
        <f t="shared" si="17"/>
        <v>#N/A</v>
      </c>
      <c r="R325" s="36"/>
      <c r="S325" s="18">
        <f>COUNTIF('Member List'!$C325:$J325,"&lt;&gt;")</f>
        <v>0</v>
      </c>
      <c r="T325" s="35"/>
      <c r="U325" s="24">
        <f t="shared" si="18"/>
        <v>0</v>
      </c>
      <c r="V325" s="18" t="e">
        <f t="shared" si="19"/>
        <v>#N/A</v>
      </c>
      <c r="W325" s="45" t="e">
        <f t="shared" si="20"/>
        <v>#N/A</v>
      </c>
      <c r="X325" s="20" t="e">
        <f t="shared" si="21"/>
        <v>#N/A</v>
      </c>
      <c r="Y325" s="46" t="e">
        <f t="shared" si="24"/>
        <v>#N/A</v>
      </c>
      <c r="Z325" s="39" t="e">
        <f t="shared" si="22"/>
        <v>#N/A</v>
      </c>
      <c r="AA325" s="39" t="e">
        <f t="shared" si="23"/>
        <v>#N/A</v>
      </c>
      <c r="AB325" s="39"/>
      <c r="AC325" s="48" t="e">
        <f t="shared" si="25"/>
        <v>#N/A</v>
      </c>
    </row>
    <row r="326" spans="1:29" ht="12.5" x14ac:dyDescent="0.25">
      <c r="A326" s="36"/>
      <c r="B326" s="33"/>
      <c r="C326" s="33"/>
      <c r="D326" s="33"/>
      <c r="E326" s="35"/>
      <c r="F326" s="21"/>
      <c r="G326" s="22" t="e">
        <f>VLOOKUP(E326,'Court List'!$A:$C,2,0)</f>
        <v>#N/A</v>
      </c>
      <c r="H326" s="33"/>
      <c r="I326" s="33"/>
      <c r="J326" s="44" t="e">
        <f t="shared" si="16"/>
        <v>#N/A</v>
      </c>
      <c r="K326" s="36"/>
      <c r="L326" s="18">
        <f>SUM('Shuttle Count - Supreme (Nov 20'!C326:D326)</f>
        <v>0</v>
      </c>
      <c r="M326" s="18" t="e">
        <f>VLOOKUP(K326,'Shuttle Purchase'!A:C,3,0)</f>
        <v>#N/A</v>
      </c>
      <c r="N326" s="44" t="e">
        <f t="shared" si="26"/>
        <v>#N/A</v>
      </c>
      <c r="O326" s="24" t="e">
        <f>VLOOKUP(E326,'Court List'!$A:$C,3,0)</f>
        <v>#N/A</v>
      </c>
      <c r="P326" s="18">
        <f>COUNTIF('Pub List'!$C326:$T326,"&lt;&gt;")</f>
        <v>0</v>
      </c>
      <c r="Q326" s="20" t="e">
        <f t="shared" si="17"/>
        <v>#N/A</v>
      </c>
      <c r="R326" s="36"/>
      <c r="S326" s="18">
        <f>COUNTIF('Member List'!$C326:$J326,"&lt;&gt;")</f>
        <v>0</v>
      </c>
      <c r="T326" s="35"/>
      <c r="U326" s="24">
        <f t="shared" si="18"/>
        <v>0</v>
      </c>
      <c r="V326" s="18" t="e">
        <f t="shared" si="19"/>
        <v>#N/A</v>
      </c>
      <c r="W326" s="45" t="e">
        <f t="shared" si="20"/>
        <v>#N/A</v>
      </c>
      <c r="X326" s="20" t="e">
        <f t="shared" si="21"/>
        <v>#N/A</v>
      </c>
      <c r="Y326" s="46" t="e">
        <f t="shared" si="24"/>
        <v>#N/A</v>
      </c>
      <c r="Z326" s="39" t="e">
        <f t="shared" si="22"/>
        <v>#N/A</v>
      </c>
      <c r="AA326" s="39" t="e">
        <f t="shared" si="23"/>
        <v>#N/A</v>
      </c>
      <c r="AB326" s="39"/>
      <c r="AC326" s="48" t="e">
        <f t="shared" si="25"/>
        <v>#N/A</v>
      </c>
    </row>
    <row r="327" spans="1:29" ht="12.5" x14ac:dyDescent="0.25">
      <c r="A327" s="36"/>
      <c r="B327" s="33"/>
      <c r="C327" s="33"/>
      <c r="D327" s="33"/>
      <c r="E327" s="35"/>
      <c r="F327" s="21"/>
      <c r="G327" s="22" t="e">
        <f>VLOOKUP(E327,'Court List'!$A:$C,2,0)</f>
        <v>#N/A</v>
      </c>
      <c r="H327" s="33"/>
      <c r="I327" s="33"/>
      <c r="J327" s="44" t="e">
        <f t="shared" si="16"/>
        <v>#N/A</v>
      </c>
      <c r="K327" s="36"/>
      <c r="L327" s="18">
        <f>SUM('Shuttle Count - Supreme (Nov 20'!C327:D327)</f>
        <v>0</v>
      </c>
      <c r="M327" s="18" t="e">
        <f>VLOOKUP(K327,'Shuttle Purchase'!A:C,3,0)</f>
        <v>#N/A</v>
      </c>
      <c r="N327" s="44" t="e">
        <f t="shared" si="26"/>
        <v>#N/A</v>
      </c>
      <c r="O327" s="24" t="e">
        <f>VLOOKUP(E327,'Court List'!$A:$C,3,0)</f>
        <v>#N/A</v>
      </c>
      <c r="P327" s="18">
        <f>COUNTIF('Pub List'!$C327:$T327,"&lt;&gt;")</f>
        <v>0</v>
      </c>
      <c r="Q327" s="20" t="e">
        <f t="shared" si="17"/>
        <v>#N/A</v>
      </c>
      <c r="R327" s="36"/>
      <c r="S327" s="18">
        <f>COUNTIF('Member List'!$C327:$J327,"&lt;&gt;")</f>
        <v>0</v>
      </c>
      <c r="T327" s="35"/>
      <c r="U327" s="24">
        <f t="shared" si="18"/>
        <v>0</v>
      </c>
      <c r="V327" s="18" t="e">
        <f t="shared" si="19"/>
        <v>#N/A</v>
      </c>
      <c r="W327" s="45" t="e">
        <f t="shared" si="20"/>
        <v>#N/A</v>
      </c>
      <c r="X327" s="20" t="e">
        <f t="shared" si="21"/>
        <v>#N/A</v>
      </c>
      <c r="Y327" s="46" t="e">
        <f t="shared" si="24"/>
        <v>#N/A</v>
      </c>
      <c r="Z327" s="39" t="e">
        <f t="shared" si="22"/>
        <v>#N/A</v>
      </c>
      <c r="AA327" s="39" t="e">
        <f t="shared" si="23"/>
        <v>#N/A</v>
      </c>
      <c r="AB327" s="39"/>
      <c r="AC327" s="48" t="e">
        <f t="shared" si="25"/>
        <v>#N/A</v>
      </c>
    </row>
    <row r="328" spans="1:29" ht="12.5" x14ac:dyDescent="0.25">
      <c r="A328" s="36"/>
      <c r="B328" s="33"/>
      <c r="C328" s="33"/>
      <c r="D328" s="33"/>
      <c r="E328" s="35"/>
      <c r="F328" s="21"/>
      <c r="G328" s="22" t="e">
        <f>VLOOKUP(E328,'Court List'!$A:$C,2,0)</f>
        <v>#N/A</v>
      </c>
      <c r="H328" s="33"/>
      <c r="I328" s="33"/>
      <c r="J328" s="44" t="e">
        <f t="shared" si="16"/>
        <v>#N/A</v>
      </c>
      <c r="K328" s="36"/>
      <c r="L328" s="18">
        <f>SUM('Shuttle Count - Supreme (Nov 20'!C328:D328)</f>
        <v>0</v>
      </c>
      <c r="M328" s="18" t="e">
        <f>VLOOKUP(K328,'Shuttle Purchase'!A:C,3,0)</f>
        <v>#N/A</v>
      </c>
      <c r="N328" s="44" t="e">
        <f t="shared" si="26"/>
        <v>#N/A</v>
      </c>
      <c r="O328" s="24" t="e">
        <f>VLOOKUP(E328,'Court List'!$A:$C,3,0)</f>
        <v>#N/A</v>
      </c>
      <c r="P328" s="18">
        <f>COUNTIF('Pub List'!$C328:$T328,"&lt;&gt;")</f>
        <v>0</v>
      </c>
      <c r="Q328" s="20" t="e">
        <f t="shared" si="17"/>
        <v>#N/A</v>
      </c>
      <c r="R328" s="36"/>
      <c r="S328" s="18">
        <f>COUNTIF('Member List'!$C328:$J328,"&lt;&gt;")</f>
        <v>0</v>
      </c>
      <c r="T328" s="35"/>
      <c r="U328" s="24">
        <f t="shared" si="18"/>
        <v>0</v>
      </c>
      <c r="V328" s="18" t="e">
        <f t="shared" si="19"/>
        <v>#N/A</v>
      </c>
      <c r="W328" s="45" t="e">
        <f t="shared" si="20"/>
        <v>#N/A</v>
      </c>
      <c r="X328" s="20" t="e">
        <f t="shared" si="21"/>
        <v>#N/A</v>
      </c>
      <c r="Y328" s="46" t="e">
        <f t="shared" si="24"/>
        <v>#N/A</v>
      </c>
      <c r="Z328" s="39" t="e">
        <f t="shared" si="22"/>
        <v>#N/A</v>
      </c>
      <c r="AA328" s="39" t="e">
        <f t="shared" si="23"/>
        <v>#N/A</v>
      </c>
      <c r="AB328" s="39"/>
      <c r="AC328" s="48" t="e">
        <f t="shared" si="25"/>
        <v>#N/A</v>
      </c>
    </row>
    <row r="329" spans="1:29" ht="12.5" x14ac:dyDescent="0.25">
      <c r="A329" s="36"/>
      <c r="B329" s="33"/>
      <c r="C329" s="33"/>
      <c r="D329" s="33"/>
      <c r="E329" s="35"/>
      <c r="F329" s="21"/>
      <c r="G329" s="22" t="e">
        <f>VLOOKUP(E329,'Court List'!$A:$C,2,0)</f>
        <v>#N/A</v>
      </c>
      <c r="H329" s="33"/>
      <c r="I329" s="33"/>
      <c r="J329" s="44" t="e">
        <f t="shared" si="16"/>
        <v>#N/A</v>
      </c>
      <c r="K329" s="36"/>
      <c r="L329" s="18">
        <f>SUM('Shuttle Count - Supreme (Nov 20'!C329:D329)</f>
        <v>0</v>
      </c>
      <c r="M329" s="18" t="e">
        <f>VLOOKUP(K329,'Shuttle Purchase'!A:C,3,0)</f>
        <v>#N/A</v>
      </c>
      <c r="N329" s="44" t="e">
        <f t="shared" si="26"/>
        <v>#N/A</v>
      </c>
      <c r="O329" s="24" t="e">
        <f>VLOOKUP(E329,'Court List'!$A:$C,3,0)</f>
        <v>#N/A</v>
      </c>
      <c r="P329" s="18">
        <f>COUNTIF('Pub List'!$C329:$T329,"&lt;&gt;")</f>
        <v>0</v>
      </c>
      <c r="Q329" s="20" t="e">
        <f t="shared" si="17"/>
        <v>#N/A</v>
      </c>
      <c r="R329" s="36"/>
      <c r="S329" s="18">
        <f>COUNTIF('Member List'!$C329:$J329,"&lt;&gt;")</f>
        <v>0</v>
      </c>
      <c r="T329" s="35"/>
      <c r="U329" s="24">
        <f t="shared" si="18"/>
        <v>0</v>
      </c>
      <c r="V329" s="18" t="e">
        <f t="shared" si="19"/>
        <v>#N/A</v>
      </c>
      <c r="W329" s="45" t="e">
        <f t="shared" si="20"/>
        <v>#N/A</v>
      </c>
      <c r="X329" s="20" t="e">
        <f t="shared" si="21"/>
        <v>#N/A</v>
      </c>
      <c r="Y329" s="46" t="e">
        <f t="shared" si="24"/>
        <v>#N/A</v>
      </c>
      <c r="Z329" s="39" t="e">
        <f t="shared" si="22"/>
        <v>#N/A</v>
      </c>
      <c r="AA329" s="39" t="e">
        <f t="shared" si="23"/>
        <v>#N/A</v>
      </c>
      <c r="AB329" s="39"/>
      <c r="AC329" s="48" t="e">
        <f t="shared" si="25"/>
        <v>#N/A</v>
      </c>
    </row>
    <row r="330" spans="1:29" ht="12.5" x14ac:dyDescent="0.25">
      <c r="A330" s="36"/>
      <c r="B330" s="33"/>
      <c r="C330" s="33"/>
      <c r="D330" s="33"/>
      <c r="E330" s="35"/>
      <c r="F330" s="21"/>
      <c r="G330" s="22" t="e">
        <f>VLOOKUP(E330,'Court List'!$A:$C,2,0)</f>
        <v>#N/A</v>
      </c>
      <c r="H330" s="33"/>
      <c r="I330" s="33"/>
      <c r="J330" s="44" t="e">
        <f t="shared" si="16"/>
        <v>#N/A</v>
      </c>
      <c r="K330" s="36"/>
      <c r="L330" s="18">
        <f>SUM('Shuttle Count - Supreme (Nov 20'!C330:D330)</f>
        <v>0</v>
      </c>
      <c r="M330" s="18" t="e">
        <f>VLOOKUP(K330,'Shuttle Purchase'!A:C,3,0)</f>
        <v>#N/A</v>
      </c>
      <c r="N330" s="44" t="e">
        <f t="shared" si="26"/>
        <v>#N/A</v>
      </c>
      <c r="O330" s="24" t="e">
        <f>VLOOKUP(E330,'Court List'!$A:$C,3,0)</f>
        <v>#N/A</v>
      </c>
      <c r="P330" s="18">
        <f>COUNTIF('Pub List'!$C330:$T330,"&lt;&gt;")</f>
        <v>0</v>
      </c>
      <c r="Q330" s="20" t="e">
        <f t="shared" si="17"/>
        <v>#N/A</v>
      </c>
      <c r="R330" s="36"/>
      <c r="S330" s="18">
        <f>COUNTIF('Member List'!$C330:$J330,"&lt;&gt;")</f>
        <v>0</v>
      </c>
      <c r="T330" s="35"/>
      <c r="U330" s="24">
        <f t="shared" si="18"/>
        <v>0</v>
      </c>
      <c r="V330" s="18" t="e">
        <f t="shared" si="19"/>
        <v>#N/A</v>
      </c>
      <c r="W330" s="45" t="e">
        <f t="shared" si="20"/>
        <v>#N/A</v>
      </c>
      <c r="X330" s="20" t="e">
        <f t="shared" si="21"/>
        <v>#N/A</v>
      </c>
      <c r="Y330" s="46" t="e">
        <f t="shared" si="24"/>
        <v>#N/A</v>
      </c>
      <c r="Z330" s="39" t="e">
        <f t="shared" si="22"/>
        <v>#N/A</v>
      </c>
      <c r="AA330" s="39" t="e">
        <f t="shared" si="23"/>
        <v>#N/A</v>
      </c>
      <c r="AB330" s="39"/>
      <c r="AC330" s="48" t="e">
        <f t="shared" si="25"/>
        <v>#N/A</v>
      </c>
    </row>
    <row r="331" spans="1:29" ht="12.5" x14ac:dyDescent="0.25">
      <c r="A331" s="36"/>
      <c r="B331" s="33"/>
      <c r="C331" s="33"/>
      <c r="D331" s="33"/>
      <c r="E331" s="35"/>
      <c r="F331" s="21"/>
      <c r="G331" s="22" t="e">
        <f>VLOOKUP(E331,'Court List'!$A:$C,2,0)</f>
        <v>#N/A</v>
      </c>
      <c r="H331" s="33"/>
      <c r="I331" s="33"/>
      <c r="J331" s="44" t="e">
        <f t="shared" si="16"/>
        <v>#N/A</v>
      </c>
      <c r="K331" s="36"/>
      <c r="L331" s="18">
        <f>SUM('Shuttle Count - Supreme (Nov 20'!C331:D331)</f>
        <v>0</v>
      </c>
      <c r="M331" s="18" t="e">
        <f>VLOOKUP(K331,'Shuttle Purchase'!A:C,3,0)</f>
        <v>#N/A</v>
      </c>
      <c r="N331" s="44" t="e">
        <f t="shared" si="26"/>
        <v>#N/A</v>
      </c>
      <c r="O331" s="24" t="e">
        <f>VLOOKUP(E331,'Court List'!$A:$C,3,0)</f>
        <v>#N/A</v>
      </c>
      <c r="P331" s="18">
        <f>COUNTIF('Pub List'!$C331:$T331,"&lt;&gt;")</f>
        <v>0</v>
      </c>
      <c r="Q331" s="20" t="e">
        <f t="shared" si="17"/>
        <v>#N/A</v>
      </c>
      <c r="R331" s="36"/>
      <c r="S331" s="18">
        <f>COUNTIF('Member List'!$C331:$J331,"&lt;&gt;")</f>
        <v>0</v>
      </c>
      <c r="T331" s="35"/>
      <c r="U331" s="24">
        <f t="shared" si="18"/>
        <v>0</v>
      </c>
      <c r="V331" s="18" t="e">
        <f t="shared" si="19"/>
        <v>#N/A</v>
      </c>
      <c r="W331" s="45" t="e">
        <f t="shared" si="20"/>
        <v>#N/A</v>
      </c>
      <c r="X331" s="20" t="e">
        <f t="shared" si="21"/>
        <v>#N/A</v>
      </c>
      <c r="Y331" s="46" t="e">
        <f t="shared" si="24"/>
        <v>#N/A</v>
      </c>
      <c r="Z331" s="39" t="e">
        <f t="shared" si="22"/>
        <v>#N/A</v>
      </c>
      <c r="AA331" s="39" t="e">
        <f t="shared" si="23"/>
        <v>#N/A</v>
      </c>
      <c r="AB331" s="39"/>
      <c r="AC331" s="48" t="e">
        <f t="shared" si="25"/>
        <v>#N/A</v>
      </c>
    </row>
    <row r="332" spans="1:29" ht="12.5" x14ac:dyDescent="0.25">
      <c r="A332" s="36"/>
      <c r="B332" s="33"/>
      <c r="C332" s="33"/>
      <c r="D332" s="33"/>
      <c r="E332" s="35"/>
      <c r="F332" s="21"/>
      <c r="G332" s="22" t="e">
        <f>VLOOKUP(E332,'Court List'!$A:$C,2,0)</f>
        <v>#N/A</v>
      </c>
      <c r="H332" s="33"/>
      <c r="I332" s="33"/>
      <c r="J332" s="44" t="e">
        <f t="shared" si="16"/>
        <v>#N/A</v>
      </c>
      <c r="K332" s="36"/>
      <c r="L332" s="18">
        <f>SUM('Shuttle Count - Supreme (Nov 20'!C332:D332)</f>
        <v>0</v>
      </c>
      <c r="M332" s="18" t="e">
        <f>VLOOKUP(K332,'Shuttle Purchase'!A:C,3,0)</f>
        <v>#N/A</v>
      </c>
      <c r="N332" s="44" t="e">
        <f t="shared" si="26"/>
        <v>#N/A</v>
      </c>
      <c r="O332" s="24" t="e">
        <f>VLOOKUP(E332,'Court List'!$A:$C,3,0)</f>
        <v>#N/A</v>
      </c>
      <c r="P332" s="18">
        <f>COUNTIF('Pub List'!$C332:$T332,"&lt;&gt;")</f>
        <v>0</v>
      </c>
      <c r="Q332" s="20" t="e">
        <f t="shared" si="17"/>
        <v>#N/A</v>
      </c>
      <c r="R332" s="36"/>
      <c r="S332" s="18">
        <f>COUNTIF('Member List'!$C332:$J332,"&lt;&gt;")</f>
        <v>0</v>
      </c>
      <c r="T332" s="35"/>
      <c r="U332" s="24">
        <f t="shared" si="18"/>
        <v>0</v>
      </c>
      <c r="V332" s="18" t="e">
        <f t="shared" si="19"/>
        <v>#N/A</v>
      </c>
      <c r="W332" s="45" t="e">
        <f t="shared" si="20"/>
        <v>#N/A</v>
      </c>
      <c r="X332" s="20" t="e">
        <f t="shared" si="21"/>
        <v>#N/A</v>
      </c>
      <c r="Y332" s="46" t="e">
        <f t="shared" si="24"/>
        <v>#N/A</v>
      </c>
      <c r="Z332" s="39" t="e">
        <f t="shared" si="22"/>
        <v>#N/A</v>
      </c>
      <c r="AA332" s="39" t="e">
        <f t="shared" si="23"/>
        <v>#N/A</v>
      </c>
      <c r="AB332" s="39"/>
      <c r="AC332" s="48" t="e">
        <f t="shared" si="25"/>
        <v>#N/A</v>
      </c>
    </row>
    <row r="333" spans="1:29" ht="12.5" x14ac:dyDescent="0.25">
      <c r="A333" s="36"/>
      <c r="B333" s="33"/>
      <c r="C333" s="33"/>
      <c r="D333" s="33"/>
      <c r="E333" s="35"/>
      <c r="F333" s="21"/>
      <c r="G333" s="22" t="e">
        <f>VLOOKUP(E333,'Court List'!$A:$C,2,0)</f>
        <v>#N/A</v>
      </c>
      <c r="H333" s="33"/>
      <c r="I333" s="33"/>
      <c r="J333" s="44" t="e">
        <f t="shared" si="16"/>
        <v>#N/A</v>
      </c>
      <c r="K333" s="36"/>
      <c r="L333" s="18">
        <f>SUM('Shuttle Count - Supreme (Nov 20'!C333:D333)</f>
        <v>0</v>
      </c>
      <c r="M333" s="18" t="e">
        <f>VLOOKUP(K333,'Shuttle Purchase'!A:C,3,0)</f>
        <v>#N/A</v>
      </c>
      <c r="N333" s="44" t="e">
        <f t="shared" si="26"/>
        <v>#N/A</v>
      </c>
      <c r="O333" s="24" t="e">
        <f>VLOOKUP(E333,'Court List'!$A:$C,3,0)</f>
        <v>#N/A</v>
      </c>
      <c r="P333" s="18">
        <f>COUNTIF('Pub List'!$C333:$T333,"&lt;&gt;")</f>
        <v>0</v>
      </c>
      <c r="Q333" s="20" t="e">
        <f t="shared" si="17"/>
        <v>#N/A</v>
      </c>
      <c r="R333" s="36"/>
      <c r="S333" s="18">
        <f>COUNTIF('Member List'!$C333:$J333,"&lt;&gt;")</f>
        <v>0</v>
      </c>
      <c r="T333" s="35"/>
      <c r="U333" s="24">
        <f t="shared" si="18"/>
        <v>0</v>
      </c>
      <c r="V333" s="18" t="e">
        <f t="shared" si="19"/>
        <v>#N/A</v>
      </c>
      <c r="W333" s="45" t="e">
        <f t="shared" si="20"/>
        <v>#N/A</v>
      </c>
      <c r="X333" s="20" t="e">
        <f t="shared" si="21"/>
        <v>#N/A</v>
      </c>
      <c r="Y333" s="46" t="e">
        <f t="shared" si="24"/>
        <v>#N/A</v>
      </c>
      <c r="Z333" s="39" t="e">
        <f t="shared" si="22"/>
        <v>#N/A</v>
      </c>
      <c r="AA333" s="39" t="e">
        <f t="shared" si="23"/>
        <v>#N/A</v>
      </c>
      <c r="AB333" s="39"/>
      <c r="AC333" s="48" t="e">
        <f t="shared" si="25"/>
        <v>#N/A</v>
      </c>
    </row>
    <row r="334" spans="1:29" ht="12.5" x14ac:dyDescent="0.25">
      <c r="A334" s="36"/>
      <c r="B334" s="33"/>
      <c r="C334" s="33"/>
      <c r="D334" s="33"/>
      <c r="E334" s="35"/>
      <c r="F334" s="21"/>
      <c r="G334" s="22" t="e">
        <f>VLOOKUP(E334,'Court List'!$A:$C,2,0)</f>
        <v>#N/A</v>
      </c>
      <c r="H334" s="33"/>
      <c r="I334" s="33"/>
      <c r="J334" s="44" t="e">
        <f t="shared" si="16"/>
        <v>#N/A</v>
      </c>
      <c r="K334" s="36"/>
      <c r="L334" s="18">
        <f>SUM('Shuttle Count - Supreme (Nov 20'!C334:D334)</f>
        <v>0</v>
      </c>
      <c r="M334" s="18" t="e">
        <f>VLOOKUP(K334,'Shuttle Purchase'!A:C,3,0)</f>
        <v>#N/A</v>
      </c>
      <c r="N334" s="44" t="e">
        <f t="shared" si="26"/>
        <v>#N/A</v>
      </c>
      <c r="O334" s="24" t="e">
        <f>VLOOKUP(E334,'Court List'!$A:$C,3,0)</f>
        <v>#N/A</v>
      </c>
      <c r="P334" s="18">
        <f>COUNTIF('Pub List'!$C334:$T334,"&lt;&gt;")</f>
        <v>0</v>
      </c>
      <c r="Q334" s="20" t="e">
        <f t="shared" si="17"/>
        <v>#N/A</v>
      </c>
      <c r="R334" s="36"/>
      <c r="S334" s="18">
        <f>COUNTIF('Member List'!$C334:$J334,"&lt;&gt;")</f>
        <v>0</v>
      </c>
      <c r="T334" s="35"/>
      <c r="U334" s="24">
        <f t="shared" si="18"/>
        <v>0</v>
      </c>
      <c r="V334" s="18" t="e">
        <f t="shared" si="19"/>
        <v>#N/A</v>
      </c>
      <c r="W334" s="45" t="e">
        <f t="shared" si="20"/>
        <v>#N/A</v>
      </c>
      <c r="X334" s="20" t="e">
        <f t="shared" si="21"/>
        <v>#N/A</v>
      </c>
      <c r="Y334" s="46" t="e">
        <f t="shared" si="24"/>
        <v>#N/A</v>
      </c>
      <c r="Z334" s="39" t="e">
        <f t="shared" si="22"/>
        <v>#N/A</v>
      </c>
      <c r="AA334" s="39" t="e">
        <f t="shared" si="23"/>
        <v>#N/A</v>
      </c>
      <c r="AB334" s="39"/>
      <c r="AC334" s="48" t="e">
        <f t="shared" si="25"/>
        <v>#N/A</v>
      </c>
    </row>
    <row r="335" spans="1:29" ht="12.5" x14ac:dyDescent="0.25">
      <c r="A335" s="36"/>
      <c r="B335" s="33"/>
      <c r="C335" s="33"/>
      <c r="D335" s="33"/>
      <c r="E335" s="35"/>
      <c r="F335" s="21"/>
      <c r="G335" s="22" t="e">
        <f>VLOOKUP(E335,'Court List'!$A:$C,2,0)</f>
        <v>#N/A</v>
      </c>
      <c r="H335" s="33"/>
      <c r="I335" s="33"/>
      <c r="J335" s="44" t="e">
        <f t="shared" si="16"/>
        <v>#N/A</v>
      </c>
      <c r="K335" s="36"/>
      <c r="L335" s="18">
        <f>SUM('Shuttle Count - Supreme (Nov 20'!C335:D335)</f>
        <v>0</v>
      </c>
      <c r="M335" s="18" t="e">
        <f>VLOOKUP(K335,'Shuttle Purchase'!A:C,3,0)</f>
        <v>#N/A</v>
      </c>
      <c r="N335" s="44" t="e">
        <f t="shared" si="26"/>
        <v>#N/A</v>
      </c>
      <c r="O335" s="24" t="e">
        <f>VLOOKUP(E335,'Court List'!$A:$C,3,0)</f>
        <v>#N/A</v>
      </c>
      <c r="P335" s="18">
        <f>COUNTIF('Pub List'!$C335:$T335,"&lt;&gt;")</f>
        <v>0</v>
      </c>
      <c r="Q335" s="20" t="e">
        <f t="shared" si="17"/>
        <v>#N/A</v>
      </c>
      <c r="R335" s="36"/>
      <c r="S335" s="18">
        <f>COUNTIF('Member List'!$C335:$J335,"&lt;&gt;")</f>
        <v>0</v>
      </c>
      <c r="T335" s="35"/>
      <c r="U335" s="24">
        <f t="shared" si="18"/>
        <v>0</v>
      </c>
      <c r="V335" s="18" t="e">
        <f t="shared" si="19"/>
        <v>#N/A</v>
      </c>
      <c r="W335" s="45" t="e">
        <f t="shared" si="20"/>
        <v>#N/A</v>
      </c>
      <c r="X335" s="20" t="e">
        <f t="shared" si="21"/>
        <v>#N/A</v>
      </c>
      <c r="Y335" s="46" t="e">
        <f t="shared" si="24"/>
        <v>#N/A</v>
      </c>
      <c r="Z335" s="39" t="e">
        <f t="shared" si="22"/>
        <v>#N/A</v>
      </c>
      <c r="AA335" s="39" t="e">
        <f t="shared" si="23"/>
        <v>#N/A</v>
      </c>
      <c r="AB335" s="39"/>
      <c r="AC335" s="48" t="e">
        <f t="shared" si="25"/>
        <v>#N/A</v>
      </c>
    </row>
    <row r="336" spans="1:29" ht="12.5" x14ac:dyDescent="0.25">
      <c r="A336" s="36"/>
      <c r="B336" s="33"/>
      <c r="C336" s="33"/>
      <c r="D336" s="33"/>
      <c r="E336" s="35"/>
      <c r="F336" s="21"/>
      <c r="G336" s="22" t="e">
        <f>VLOOKUP(E336,'Court List'!$A:$C,2,0)</f>
        <v>#N/A</v>
      </c>
      <c r="H336" s="33"/>
      <c r="I336" s="33"/>
      <c r="J336" s="44" t="e">
        <f t="shared" si="16"/>
        <v>#N/A</v>
      </c>
      <c r="K336" s="36"/>
      <c r="L336" s="18">
        <f>SUM('Shuttle Count - Supreme (Nov 20'!C336:D336)</f>
        <v>0</v>
      </c>
      <c r="M336" s="18" t="e">
        <f>VLOOKUP(K336,'Shuttle Purchase'!A:C,3,0)</f>
        <v>#N/A</v>
      </c>
      <c r="N336" s="44" t="e">
        <f t="shared" si="26"/>
        <v>#N/A</v>
      </c>
      <c r="O336" s="24" t="e">
        <f>VLOOKUP(E336,'Court List'!$A:$C,3,0)</f>
        <v>#N/A</v>
      </c>
      <c r="P336" s="18">
        <f>COUNTIF('Pub List'!$C336:$T336,"&lt;&gt;")</f>
        <v>0</v>
      </c>
      <c r="Q336" s="20" t="e">
        <f t="shared" si="17"/>
        <v>#N/A</v>
      </c>
      <c r="R336" s="36"/>
      <c r="S336" s="18">
        <f>COUNTIF('Member List'!$C336:$J336,"&lt;&gt;")</f>
        <v>0</v>
      </c>
      <c r="T336" s="35"/>
      <c r="U336" s="24">
        <f t="shared" si="18"/>
        <v>0</v>
      </c>
      <c r="V336" s="18" t="e">
        <f t="shared" si="19"/>
        <v>#N/A</v>
      </c>
      <c r="W336" s="45" t="e">
        <f t="shared" si="20"/>
        <v>#N/A</v>
      </c>
      <c r="X336" s="20" t="e">
        <f t="shared" si="21"/>
        <v>#N/A</v>
      </c>
      <c r="Y336" s="46" t="e">
        <f t="shared" si="24"/>
        <v>#N/A</v>
      </c>
      <c r="Z336" s="39" t="e">
        <f t="shared" si="22"/>
        <v>#N/A</v>
      </c>
      <c r="AA336" s="39" t="e">
        <f t="shared" si="23"/>
        <v>#N/A</v>
      </c>
      <c r="AB336" s="39"/>
      <c r="AC336" s="48" t="e">
        <f t="shared" si="25"/>
        <v>#N/A</v>
      </c>
    </row>
    <row r="337" spans="1:29" ht="12.5" x14ac:dyDescent="0.25">
      <c r="A337" s="36"/>
      <c r="B337" s="33"/>
      <c r="C337" s="33"/>
      <c r="D337" s="33"/>
      <c r="E337" s="35"/>
      <c r="F337" s="21"/>
      <c r="G337" s="22" t="e">
        <f>VLOOKUP(E337,'Court List'!$A:$C,2,0)</f>
        <v>#N/A</v>
      </c>
      <c r="H337" s="33"/>
      <c r="I337" s="33"/>
      <c r="J337" s="44" t="e">
        <f t="shared" si="16"/>
        <v>#N/A</v>
      </c>
      <c r="K337" s="36"/>
      <c r="L337" s="18">
        <f>SUM('Shuttle Count - Supreme (Nov 20'!C337:D337)</f>
        <v>0</v>
      </c>
      <c r="M337" s="18" t="e">
        <f>VLOOKUP(K337,'Shuttle Purchase'!A:C,3,0)</f>
        <v>#N/A</v>
      </c>
      <c r="N337" s="44" t="e">
        <f t="shared" si="26"/>
        <v>#N/A</v>
      </c>
      <c r="O337" s="24" t="e">
        <f>VLOOKUP(E337,'Court List'!$A:$C,3,0)</f>
        <v>#N/A</v>
      </c>
      <c r="P337" s="18">
        <f>COUNTIF('Pub List'!$C337:$T337,"&lt;&gt;")</f>
        <v>0</v>
      </c>
      <c r="Q337" s="20" t="e">
        <f t="shared" si="17"/>
        <v>#N/A</v>
      </c>
      <c r="R337" s="36"/>
      <c r="S337" s="18">
        <f>COUNTIF('Member List'!$C337:$J337,"&lt;&gt;")</f>
        <v>0</v>
      </c>
      <c r="T337" s="35"/>
      <c r="U337" s="24">
        <f t="shared" si="18"/>
        <v>0</v>
      </c>
      <c r="V337" s="18" t="e">
        <f t="shared" si="19"/>
        <v>#N/A</v>
      </c>
      <c r="W337" s="45" t="e">
        <f t="shared" si="20"/>
        <v>#N/A</v>
      </c>
      <c r="X337" s="20" t="e">
        <f t="shared" si="21"/>
        <v>#N/A</v>
      </c>
      <c r="Y337" s="46" t="e">
        <f t="shared" si="24"/>
        <v>#N/A</v>
      </c>
      <c r="Z337" s="39" t="e">
        <f t="shared" si="22"/>
        <v>#N/A</v>
      </c>
      <c r="AA337" s="39" t="e">
        <f t="shared" si="23"/>
        <v>#N/A</v>
      </c>
      <c r="AB337" s="39"/>
      <c r="AC337" s="48" t="e">
        <f t="shared" si="25"/>
        <v>#N/A</v>
      </c>
    </row>
    <row r="338" spans="1:29" ht="12.5" x14ac:dyDescent="0.25">
      <c r="A338" s="36"/>
      <c r="B338" s="33"/>
      <c r="C338" s="33"/>
      <c r="D338" s="33"/>
      <c r="E338" s="35"/>
      <c r="F338" s="21"/>
      <c r="G338" s="22" t="e">
        <f>VLOOKUP(E338,'Court List'!$A:$C,2,0)</f>
        <v>#N/A</v>
      </c>
      <c r="H338" s="33"/>
      <c r="I338" s="33"/>
      <c r="J338" s="44" t="e">
        <f t="shared" si="16"/>
        <v>#N/A</v>
      </c>
      <c r="K338" s="36"/>
      <c r="L338" s="18">
        <f>SUM('Shuttle Count - Supreme (Nov 20'!C338:D338)</f>
        <v>0</v>
      </c>
      <c r="M338" s="18" t="e">
        <f>VLOOKUP(K338,'Shuttle Purchase'!A:C,3,0)</f>
        <v>#N/A</v>
      </c>
      <c r="N338" s="44" t="e">
        <f t="shared" si="26"/>
        <v>#N/A</v>
      </c>
      <c r="O338" s="24" t="e">
        <f>VLOOKUP(E338,'Court List'!$A:$C,3,0)</f>
        <v>#N/A</v>
      </c>
      <c r="P338" s="18">
        <f>COUNTIF('Pub List'!$C338:$T338,"&lt;&gt;")</f>
        <v>0</v>
      </c>
      <c r="Q338" s="20" t="e">
        <f t="shared" si="17"/>
        <v>#N/A</v>
      </c>
      <c r="R338" s="36"/>
      <c r="S338" s="18">
        <f>COUNTIF('Member List'!$C338:$J338,"&lt;&gt;")</f>
        <v>0</v>
      </c>
      <c r="T338" s="35"/>
      <c r="U338" s="24">
        <f t="shared" si="18"/>
        <v>0</v>
      </c>
      <c r="V338" s="18" t="e">
        <f t="shared" si="19"/>
        <v>#N/A</v>
      </c>
      <c r="W338" s="45" t="e">
        <f t="shared" si="20"/>
        <v>#N/A</v>
      </c>
      <c r="X338" s="20" t="e">
        <f t="shared" si="21"/>
        <v>#N/A</v>
      </c>
      <c r="Y338" s="46" t="e">
        <f t="shared" si="24"/>
        <v>#N/A</v>
      </c>
      <c r="Z338" s="39" t="e">
        <f t="shared" si="22"/>
        <v>#N/A</v>
      </c>
      <c r="AA338" s="39" t="e">
        <f t="shared" si="23"/>
        <v>#N/A</v>
      </c>
      <c r="AB338" s="39"/>
      <c r="AC338" s="48" t="e">
        <f t="shared" si="25"/>
        <v>#N/A</v>
      </c>
    </row>
    <row r="339" spans="1:29" ht="12.5" x14ac:dyDescent="0.25">
      <c r="A339" s="36"/>
      <c r="B339" s="33"/>
      <c r="C339" s="33"/>
      <c r="D339" s="33"/>
      <c r="E339" s="35"/>
      <c r="F339" s="21"/>
      <c r="G339" s="22" t="e">
        <f>VLOOKUP(E339,'Court List'!$A:$C,2,0)</f>
        <v>#N/A</v>
      </c>
      <c r="H339" s="33"/>
      <c r="I339" s="33"/>
      <c r="J339" s="44" t="e">
        <f t="shared" si="16"/>
        <v>#N/A</v>
      </c>
      <c r="K339" s="36"/>
      <c r="L339" s="18">
        <f>SUM('Shuttle Count - Supreme (Nov 20'!C339:D339)</f>
        <v>0</v>
      </c>
      <c r="M339" s="18" t="e">
        <f>VLOOKUP(K339,'Shuttle Purchase'!A:C,3,0)</f>
        <v>#N/A</v>
      </c>
      <c r="N339" s="44" t="e">
        <f t="shared" si="26"/>
        <v>#N/A</v>
      </c>
      <c r="O339" s="24" t="e">
        <f>VLOOKUP(E339,'Court List'!$A:$C,3,0)</f>
        <v>#N/A</v>
      </c>
      <c r="P339" s="18">
        <f>COUNTIF('Pub List'!$C339:$T339,"&lt;&gt;")</f>
        <v>0</v>
      </c>
      <c r="Q339" s="20" t="e">
        <f t="shared" si="17"/>
        <v>#N/A</v>
      </c>
      <c r="R339" s="36"/>
      <c r="S339" s="18">
        <f>COUNTIF('Member List'!$C339:$J339,"&lt;&gt;")</f>
        <v>0</v>
      </c>
      <c r="T339" s="35"/>
      <c r="U339" s="24">
        <f t="shared" si="18"/>
        <v>0</v>
      </c>
      <c r="V339" s="18" t="e">
        <f t="shared" si="19"/>
        <v>#N/A</v>
      </c>
      <c r="W339" s="45" t="e">
        <f t="shared" si="20"/>
        <v>#N/A</v>
      </c>
      <c r="X339" s="20" t="e">
        <f t="shared" si="21"/>
        <v>#N/A</v>
      </c>
      <c r="Y339" s="46" t="e">
        <f t="shared" si="24"/>
        <v>#N/A</v>
      </c>
      <c r="Z339" s="39" t="e">
        <f t="shared" si="22"/>
        <v>#N/A</v>
      </c>
      <c r="AA339" s="39" t="e">
        <f t="shared" si="23"/>
        <v>#N/A</v>
      </c>
      <c r="AB339" s="39"/>
      <c r="AC339" s="48" t="e">
        <f t="shared" si="25"/>
        <v>#N/A</v>
      </c>
    </row>
    <row r="340" spans="1:29" ht="12.5" x14ac:dyDescent="0.25">
      <c r="A340" s="36"/>
      <c r="B340" s="33"/>
      <c r="C340" s="33"/>
      <c r="D340" s="33"/>
      <c r="E340" s="35"/>
      <c r="F340" s="21"/>
      <c r="G340" s="22" t="e">
        <f>VLOOKUP(E340,'Court List'!$A:$C,2,0)</f>
        <v>#N/A</v>
      </c>
      <c r="H340" s="33"/>
      <c r="I340" s="33"/>
      <c r="J340" s="44" t="e">
        <f t="shared" si="16"/>
        <v>#N/A</v>
      </c>
      <c r="K340" s="36"/>
      <c r="L340" s="18">
        <f>SUM('Shuttle Count - Supreme (Nov 20'!C340:D340)</f>
        <v>0</v>
      </c>
      <c r="M340" s="18" t="e">
        <f>VLOOKUP(K340,'Shuttle Purchase'!A:C,3,0)</f>
        <v>#N/A</v>
      </c>
      <c r="N340" s="44" t="e">
        <f t="shared" si="26"/>
        <v>#N/A</v>
      </c>
      <c r="O340" s="24" t="e">
        <f>VLOOKUP(E340,'Court List'!$A:$C,3,0)</f>
        <v>#N/A</v>
      </c>
      <c r="P340" s="18">
        <f>COUNTIF('Pub List'!$C340:$T340,"&lt;&gt;")</f>
        <v>0</v>
      </c>
      <c r="Q340" s="20" t="e">
        <f t="shared" si="17"/>
        <v>#N/A</v>
      </c>
      <c r="R340" s="36"/>
      <c r="S340" s="18">
        <f>COUNTIF('Member List'!$C340:$J340,"&lt;&gt;")</f>
        <v>0</v>
      </c>
      <c r="T340" s="35"/>
      <c r="U340" s="24">
        <f t="shared" si="18"/>
        <v>0</v>
      </c>
      <c r="V340" s="18" t="e">
        <f t="shared" si="19"/>
        <v>#N/A</v>
      </c>
      <c r="W340" s="45" t="e">
        <f t="shared" si="20"/>
        <v>#N/A</v>
      </c>
      <c r="X340" s="20" t="e">
        <f t="shared" si="21"/>
        <v>#N/A</v>
      </c>
      <c r="Y340" s="46" t="e">
        <f t="shared" si="24"/>
        <v>#N/A</v>
      </c>
      <c r="Z340" s="39" t="e">
        <f t="shared" si="22"/>
        <v>#N/A</v>
      </c>
      <c r="AA340" s="39" t="e">
        <f t="shared" si="23"/>
        <v>#N/A</v>
      </c>
      <c r="AB340" s="39"/>
      <c r="AC340" s="48" t="e">
        <f t="shared" si="25"/>
        <v>#N/A</v>
      </c>
    </row>
    <row r="341" spans="1:29" ht="12.5" x14ac:dyDescent="0.25">
      <c r="A341" s="36"/>
      <c r="B341" s="33"/>
      <c r="C341" s="33"/>
      <c r="D341" s="33"/>
      <c r="E341" s="35"/>
      <c r="F341" s="21"/>
      <c r="G341" s="22" t="e">
        <f>VLOOKUP(E341,'Court List'!$A:$C,2,0)</f>
        <v>#N/A</v>
      </c>
      <c r="H341" s="33"/>
      <c r="I341" s="33"/>
      <c r="J341" s="44" t="e">
        <f t="shared" si="16"/>
        <v>#N/A</v>
      </c>
      <c r="K341" s="36"/>
      <c r="L341" s="18">
        <f>SUM('Shuttle Count - Supreme (Nov 20'!C341:D341)</f>
        <v>0</v>
      </c>
      <c r="M341" s="18" t="e">
        <f>VLOOKUP(K341,'Shuttle Purchase'!A:C,3,0)</f>
        <v>#N/A</v>
      </c>
      <c r="N341" s="44" t="e">
        <f t="shared" si="26"/>
        <v>#N/A</v>
      </c>
      <c r="O341" s="24" t="e">
        <f>VLOOKUP(E341,'Court List'!$A:$C,3,0)</f>
        <v>#N/A</v>
      </c>
      <c r="P341" s="18">
        <f>COUNTIF('Pub List'!$C341:$T341,"&lt;&gt;")</f>
        <v>0</v>
      </c>
      <c r="Q341" s="20" t="e">
        <f t="shared" si="17"/>
        <v>#N/A</v>
      </c>
      <c r="R341" s="36"/>
      <c r="S341" s="18">
        <f>COUNTIF('Member List'!$C341:$J341,"&lt;&gt;")</f>
        <v>0</v>
      </c>
      <c r="T341" s="35"/>
      <c r="U341" s="24">
        <f t="shared" si="18"/>
        <v>0</v>
      </c>
      <c r="V341" s="18" t="e">
        <f t="shared" si="19"/>
        <v>#N/A</v>
      </c>
      <c r="W341" s="45" t="e">
        <f t="shared" si="20"/>
        <v>#N/A</v>
      </c>
      <c r="X341" s="20" t="e">
        <f t="shared" si="21"/>
        <v>#N/A</v>
      </c>
      <c r="Y341" s="46" t="e">
        <f t="shared" si="24"/>
        <v>#N/A</v>
      </c>
      <c r="Z341" s="39" t="e">
        <f t="shared" si="22"/>
        <v>#N/A</v>
      </c>
      <c r="AA341" s="39" t="e">
        <f t="shared" si="23"/>
        <v>#N/A</v>
      </c>
      <c r="AB341" s="39"/>
      <c r="AC341" s="48" t="e">
        <f t="shared" si="25"/>
        <v>#N/A</v>
      </c>
    </row>
    <row r="342" spans="1:29" ht="12.5" x14ac:dyDescent="0.25">
      <c r="A342" s="36"/>
      <c r="B342" s="33"/>
      <c r="C342" s="33"/>
      <c r="D342" s="33"/>
      <c r="E342" s="35"/>
      <c r="F342" s="21"/>
      <c r="G342" s="22" t="e">
        <f>VLOOKUP(E342,'Court List'!$A:$C,2,0)</f>
        <v>#N/A</v>
      </c>
      <c r="H342" s="33"/>
      <c r="I342" s="33"/>
      <c r="J342" s="44" t="e">
        <f t="shared" si="16"/>
        <v>#N/A</v>
      </c>
      <c r="K342" s="36"/>
      <c r="L342" s="18">
        <f>SUM('Shuttle Count - Supreme (Nov 20'!C342:D342)</f>
        <v>0</v>
      </c>
      <c r="M342" s="18" t="e">
        <f>VLOOKUP(K342,'Shuttle Purchase'!A:C,3,0)</f>
        <v>#N/A</v>
      </c>
      <c r="N342" s="44" t="e">
        <f t="shared" si="26"/>
        <v>#N/A</v>
      </c>
      <c r="O342" s="24" t="e">
        <f>VLOOKUP(E342,'Court List'!$A:$C,3,0)</f>
        <v>#N/A</v>
      </c>
      <c r="P342" s="18">
        <f>COUNTIF('Pub List'!$C342:$T342,"&lt;&gt;")</f>
        <v>0</v>
      </c>
      <c r="Q342" s="20" t="e">
        <f t="shared" si="17"/>
        <v>#N/A</v>
      </c>
      <c r="R342" s="36"/>
      <c r="S342" s="18">
        <f>COUNTIF('Member List'!$C342:$J342,"&lt;&gt;")</f>
        <v>0</v>
      </c>
      <c r="T342" s="35"/>
      <c r="U342" s="24">
        <f t="shared" si="18"/>
        <v>0</v>
      </c>
      <c r="V342" s="18" t="e">
        <f t="shared" si="19"/>
        <v>#N/A</v>
      </c>
      <c r="W342" s="45" t="e">
        <f t="shared" si="20"/>
        <v>#N/A</v>
      </c>
      <c r="X342" s="20" t="e">
        <f t="shared" si="21"/>
        <v>#N/A</v>
      </c>
      <c r="Y342" s="46" t="e">
        <f t="shared" si="24"/>
        <v>#N/A</v>
      </c>
      <c r="Z342" s="39" t="e">
        <f t="shared" si="22"/>
        <v>#N/A</v>
      </c>
      <c r="AA342" s="39" t="e">
        <f t="shared" si="23"/>
        <v>#N/A</v>
      </c>
      <c r="AB342" s="39"/>
      <c r="AC342" s="48" t="e">
        <f t="shared" si="25"/>
        <v>#N/A</v>
      </c>
    </row>
    <row r="343" spans="1:29" ht="12.5" x14ac:dyDescent="0.25">
      <c r="A343" s="36"/>
      <c r="B343" s="33"/>
      <c r="C343" s="33"/>
      <c r="D343" s="33"/>
      <c r="E343" s="35"/>
      <c r="F343" s="21"/>
      <c r="G343" s="22" t="e">
        <f>VLOOKUP(E343,'Court List'!$A:$C,2,0)</f>
        <v>#N/A</v>
      </c>
      <c r="H343" s="33"/>
      <c r="I343" s="33"/>
      <c r="J343" s="44" t="e">
        <f t="shared" si="16"/>
        <v>#N/A</v>
      </c>
      <c r="K343" s="36"/>
      <c r="L343" s="18">
        <f>SUM('Shuttle Count - Supreme (Nov 20'!C343:D343)</f>
        <v>0</v>
      </c>
      <c r="M343" s="18" t="e">
        <f>VLOOKUP(K343,'Shuttle Purchase'!A:C,3,0)</f>
        <v>#N/A</v>
      </c>
      <c r="N343" s="44" t="e">
        <f t="shared" si="26"/>
        <v>#N/A</v>
      </c>
      <c r="O343" s="24" t="e">
        <f>VLOOKUP(E343,'Court List'!$A:$C,3,0)</f>
        <v>#N/A</v>
      </c>
      <c r="P343" s="18">
        <f>COUNTIF('Pub List'!$C343:$T343,"&lt;&gt;")</f>
        <v>0</v>
      </c>
      <c r="Q343" s="20" t="e">
        <f t="shared" si="17"/>
        <v>#N/A</v>
      </c>
      <c r="R343" s="36"/>
      <c r="S343" s="18">
        <f>COUNTIF('Member List'!$C343:$J343,"&lt;&gt;")</f>
        <v>0</v>
      </c>
      <c r="T343" s="35"/>
      <c r="U343" s="24">
        <f t="shared" si="18"/>
        <v>0</v>
      </c>
      <c r="V343" s="18" t="e">
        <f t="shared" si="19"/>
        <v>#N/A</v>
      </c>
      <c r="W343" s="45" t="e">
        <f t="shared" si="20"/>
        <v>#N/A</v>
      </c>
      <c r="X343" s="20" t="e">
        <f t="shared" si="21"/>
        <v>#N/A</v>
      </c>
      <c r="Y343" s="46" t="e">
        <f t="shared" si="24"/>
        <v>#N/A</v>
      </c>
      <c r="Z343" s="39" t="e">
        <f t="shared" si="22"/>
        <v>#N/A</v>
      </c>
      <c r="AA343" s="39" t="e">
        <f t="shared" si="23"/>
        <v>#N/A</v>
      </c>
      <c r="AB343" s="39"/>
      <c r="AC343" s="48" t="e">
        <f t="shared" si="25"/>
        <v>#N/A</v>
      </c>
    </row>
    <row r="344" spans="1:29" ht="12.5" x14ac:dyDescent="0.25">
      <c r="A344" s="36"/>
      <c r="B344" s="33"/>
      <c r="C344" s="33"/>
      <c r="D344" s="33"/>
      <c r="E344" s="35"/>
      <c r="F344" s="21"/>
      <c r="G344" s="22" t="e">
        <f>VLOOKUP(E344,'Court List'!$A:$C,2,0)</f>
        <v>#N/A</v>
      </c>
      <c r="H344" s="33"/>
      <c r="I344" s="33"/>
      <c r="J344" s="44" t="e">
        <f t="shared" si="16"/>
        <v>#N/A</v>
      </c>
      <c r="K344" s="36"/>
      <c r="L344" s="18">
        <f>SUM('Shuttle Count - Supreme (Nov 20'!C344:D344)</f>
        <v>0</v>
      </c>
      <c r="M344" s="18" t="e">
        <f>VLOOKUP(K344,'Shuttle Purchase'!A:C,3,0)</f>
        <v>#N/A</v>
      </c>
      <c r="N344" s="44" t="e">
        <f t="shared" si="26"/>
        <v>#N/A</v>
      </c>
      <c r="O344" s="24" t="e">
        <f>VLOOKUP(E344,'Court List'!$A:$C,3,0)</f>
        <v>#N/A</v>
      </c>
      <c r="P344" s="18">
        <f>COUNTIF('Pub List'!$C344:$T344,"&lt;&gt;")</f>
        <v>0</v>
      </c>
      <c r="Q344" s="20" t="e">
        <f t="shared" si="17"/>
        <v>#N/A</v>
      </c>
      <c r="R344" s="36"/>
      <c r="S344" s="18">
        <f>COUNTIF('Member List'!$C344:$J344,"&lt;&gt;")</f>
        <v>0</v>
      </c>
      <c r="T344" s="35"/>
      <c r="U344" s="24">
        <f t="shared" si="18"/>
        <v>0</v>
      </c>
      <c r="V344" s="18" t="e">
        <f t="shared" si="19"/>
        <v>#N/A</v>
      </c>
      <c r="W344" s="45" t="e">
        <f t="shared" si="20"/>
        <v>#N/A</v>
      </c>
      <c r="X344" s="20" t="e">
        <f t="shared" si="21"/>
        <v>#N/A</v>
      </c>
      <c r="Y344" s="46" t="e">
        <f t="shared" si="24"/>
        <v>#N/A</v>
      </c>
      <c r="Z344" s="39" t="e">
        <f t="shared" si="22"/>
        <v>#N/A</v>
      </c>
      <c r="AA344" s="39" t="e">
        <f t="shared" si="23"/>
        <v>#N/A</v>
      </c>
      <c r="AB344" s="39"/>
      <c r="AC344" s="48" t="e">
        <f t="shared" si="25"/>
        <v>#N/A</v>
      </c>
    </row>
    <row r="345" spans="1:29" ht="12.5" x14ac:dyDescent="0.25">
      <c r="A345" s="36"/>
      <c r="B345" s="33"/>
      <c r="C345" s="33"/>
      <c r="D345" s="33"/>
      <c r="E345" s="35"/>
      <c r="F345" s="21"/>
      <c r="G345" s="22" t="e">
        <f>VLOOKUP(E345,'Court List'!$A:$C,2,0)</f>
        <v>#N/A</v>
      </c>
      <c r="H345" s="33"/>
      <c r="I345" s="33"/>
      <c r="J345" s="44" t="e">
        <f t="shared" si="16"/>
        <v>#N/A</v>
      </c>
      <c r="K345" s="36"/>
      <c r="L345" s="18">
        <f>SUM('Shuttle Count - Supreme (Nov 20'!C345:D345)</f>
        <v>0</v>
      </c>
      <c r="M345" s="18" t="e">
        <f>VLOOKUP(K345,'Shuttle Purchase'!A:C,3,0)</f>
        <v>#N/A</v>
      </c>
      <c r="N345" s="44" t="e">
        <f t="shared" si="26"/>
        <v>#N/A</v>
      </c>
      <c r="O345" s="24" t="e">
        <f>VLOOKUP(E345,'Court List'!$A:$C,3,0)</f>
        <v>#N/A</v>
      </c>
      <c r="P345" s="18">
        <f>COUNTIF('Pub List'!$C345:$T345,"&lt;&gt;")</f>
        <v>0</v>
      </c>
      <c r="Q345" s="20" t="e">
        <f t="shared" si="17"/>
        <v>#N/A</v>
      </c>
      <c r="R345" s="36"/>
      <c r="S345" s="18">
        <f>COUNTIF('Member List'!$C345:$J345,"&lt;&gt;")</f>
        <v>0</v>
      </c>
      <c r="T345" s="35"/>
      <c r="U345" s="24">
        <f t="shared" si="18"/>
        <v>0</v>
      </c>
      <c r="V345" s="18" t="e">
        <f t="shared" si="19"/>
        <v>#N/A</v>
      </c>
      <c r="W345" s="45" t="e">
        <f t="shared" si="20"/>
        <v>#N/A</v>
      </c>
      <c r="X345" s="20" t="e">
        <f t="shared" si="21"/>
        <v>#N/A</v>
      </c>
      <c r="Y345" s="46" t="e">
        <f t="shared" si="24"/>
        <v>#N/A</v>
      </c>
      <c r="Z345" s="39" t="e">
        <f t="shared" si="22"/>
        <v>#N/A</v>
      </c>
      <c r="AA345" s="39" t="e">
        <f t="shared" si="23"/>
        <v>#N/A</v>
      </c>
      <c r="AB345" s="39"/>
      <c r="AC345" s="48" t="e">
        <f t="shared" si="25"/>
        <v>#N/A</v>
      </c>
    </row>
    <row r="346" spans="1:29" ht="12.5" x14ac:dyDescent="0.25">
      <c r="A346" s="36"/>
      <c r="B346" s="33"/>
      <c r="C346" s="33"/>
      <c r="D346" s="33"/>
      <c r="E346" s="35"/>
      <c r="F346" s="21"/>
      <c r="G346" s="22" t="e">
        <f>VLOOKUP(E346,'Court List'!$A:$C,2,0)</f>
        <v>#N/A</v>
      </c>
      <c r="H346" s="33"/>
      <c r="I346" s="33"/>
      <c r="J346" s="44" t="e">
        <f t="shared" si="16"/>
        <v>#N/A</v>
      </c>
      <c r="K346" s="36"/>
      <c r="L346" s="18">
        <f>SUM('Shuttle Count - Supreme (Nov 20'!C346:D346)</f>
        <v>0</v>
      </c>
      <c r="M346" s="18" t="e">
        <f>VLOOKUP(K346,'Shuttle Purchase'!A:C,3,0)</f>
        <v>#N/A</v>
      </c>
      <c r="N346" s="44" t="e">
        <f t="shared" si="26"/>
        <v>#N/A</v>
      </c>
      <c r="O346" s="24" t="e">
        <f>VLOOKUP(E346,'Court List'!$A:$C,3,0)</f>
        <v>#N/A</v>
      </c>
      <c r="P346" s="18">
        <f>COUNTIF('Pub List'!$C346:$T346,"&lt;&gt;")</f>
        <v>0</v>
      </c>
      <c r="Q346" s="20" t="e">
        <f t="shared" si="17"/>
        <v>#N/A</v>
      </c>
      <c r="R346" s="36"/>
      <c r="S346" s="18">
        <f>COUNTIF('Member List'!$C346:$J346,"&lt;&gt;")</f>
        <v>0</v>
      </c>
      <c r="T346" s="35"/>
      <c r="U346" s="24">
        <f t="shared" si="18"/>
        <v>0</v>
      </c>
      <c r="V346" s="18" t="e">
        <f t="shared" si="19"/>
        <v>#N/A</v>
      </c>
      <c r="W346" s="45" t="e">
        <f t="shared" si="20"/>
        <v>#N/A</v>
      </c>
      <c r="X346" s="20" t="e">
        <f t="shared" si="21"/>
        <v>#N/A</v>
      </c>
      <c r="Y346" s="46" t="e">
        <f t="shared" si="24"/>
        <v>#N/A</v>
      </c>
      <c r="Z346" s="39" t="e">
        <f t="shared" si="22"/>
        <v>#N/A</v>
      </c>
      <c r="AA346" s="39" t="e">
        <f t="shared" si="23"/>
        <v>#N/A</v>
      </c>
      <c r="AB346" s="39"/>
      <c r="AC346" s="48" t="e">
        <f t="shared" si="25"/>
        <v>#N/A</v>
      </c>
    </row>
    <row r="347" spans="1:29" ht="12.5" x14ac:dyDescent="0.25">
      <c r="A347" s="36"/>
      <c r="B347" s="33"/>
      <c r="C347" s="33"/>
      <c r="D347" s="33"/>
      <c r="E347" s="35"/>
      <c r="F347" s="21"/>
      <c r="G347" s="22" t="e">
        <f>VLOOKUP(E347,'Court List'!$A:$C,2,0)</f>
        <v>#N/A</v>
      </c>
      <c r="H347" s="33"/>
      <c r="I347" s="33"/>
      <c r="J347" s="44" t="e">
        <f t="shared" si="16"/>
        <v>#N/A</v>
      </c>
      <c r="K347" s="36"/>
      <c r="L347" s="18">
        <f>SUM('Shuttle Count - Supreme (Nov 20'!C347:D347)</f>
        <v>0</v>
      </c>
      <c r="M347" s="18" t="e">
        <f>VLOOKUP(K347,'Shuttle Purchase'!A:C,3,0)</f>
        <v>#N/A</v>
      </c>
      <c r="N347" s="44" t="e">
        <f t="shared" si="26"/>
        <v>#N/A</v>
      </c>
      <c r="O347" s="24" t="e">
        <f>VLOOKUP(E347,'Court List'!$A:$C,3,0)</f>
        <v>#N/A</v>
      </c>
      <c r="P347" s="18">
        <f>COUNTIF('Pub List'!$C347:$T347,"&lt;&gt;")</f>
        <v>0</v>
      </c>
      <c r="Q347" s="20" t="e">
        <f t="shared" si="17"/>
        <v>#N/A</v>
      </c>
      <c r="R347" s="36"/>
      <c r="S347" s="18">
        <f>COUNTIF('Member List'!$C347:$J347,"&lt;&gt;")</f>
        <v>0</v>
      </c>
      <c r="T347" s="35"/>
      <c r="U347" s="24">
        <f t="shared" si="18"/>
        <v>0</v>
      </c>
      <c r="V347" s="18" t="e">
        <f t="shared" si="19"/>
        <v>#N/A</v>
      </c>
      <c r="W347" s="45" t="e">
        <f t="shared" si="20"/>
        <v>#N/A</v>
      </c>
      <c r="X347" s="20" t="e">
        <f t="shared" si="21"/>
        <v>#N/A</v>
      </c>
      <c r="Y347" s="46" t="e">
        <f t="shared" si="24"/>
        <v>#N/A</v>
      </c>
      <c r="Z347" s="39" t="e">
        <f t="shared" si="22"/>
        <v>#N/A</v>
      </c>
      <c r="AA347" s="39" t="e">
        <f t="shared" si="23"/>
        <v>#N/A</v>
      </c>
      <c r="AB347" s="39"/>
      <c r="AC347" s="48" t="e">
        <f t="shared" si="25"/>
        <v>#N/A</v>
      </c>
    </row>
    <row r="348" spans="1:29" ht="12.5" x14ac:dyDescent="0.25">
      <c r="A348" s="36"/>
      <c r="B348" s="33"/>
      <c r="C348" s="33"/>
      <c r="D348" s="33"/>
      <c r="E348" s="35"/>
      <c r="F348" s="21"/>
      <c r="G348" s="22" t="e">
        <f>VLOOKUP(E348,'Court List'!$A:$C,2,0)</f>
        <v>#N/A</v>
      </c>
      <c r="H348" s="33"/>
      <c r="I348" s="33"/>
      <c r="J348" s="44" t="e">
        <f t="shared" si="16"/>
        <v>#N/A</v>
      </c>
      <c r="K348" s="36"/>
      <c r="L348" s="18">
        <f>SUM('Shuttle Count - Supreme (Nov 20'!C348:D348)</f>
        <v>0</v>
      </c>
      <c r="M348" s="18" t="e">
        <f>VLOOKUP(K348,'Shuttle Purchase'!A:C,3,0)</f>
        <v>#N/A</v>
      </c>
      <c r="N348" s="44" t="e">
        <f t="shared" si="26"/>
        <v>#N/A</v>
      </c>
      <c r="O348" s="24" t="e">
        <f>VLOOKUP(E348,'Court List'!$A:$C,3,0)</f>
        <v>#N/A</v>
      </c>
      <c r="P348" s="18">
        <f>COUNTIF('Pub List'!$C348:$T348,"&lt;&gt;")</f>
        <v>0</v>
      </c>
      <c r="Q348" s="20" t="e">
        <f t="shared" si="17"/>
        <v>#N/A</v>
      </c>
      <c r="R348" s="36"/>
      <c r="S348" s="18">
        <f>COUNTIF('Member List'!$C348:$J348,"&lt;&gt;")</f>
        <v>0</v>
      </c>
      <c r="T348" s="35"/>
      <c r="U348" s="24">
        <f t="shared" si="18"/>
        <v>0</v>
      </c>
      <c r="V348" s="18" t="e">
        <f t="shared" si="19"/>
        <v>#N/A</v>
      </c>
      <c r="W348" s="45" t="e">
        <f t="shared" si="20"/>
        <v>#N/A</v>
      </c>
      <c r="X348" s="20" t="e">
        <f t="shared" si="21"/>
        <v>#N/A</v>
      </c>
      <c r="Y348" s="46" t="e">
        <f t="shared" si="24"/>
        <v>#N/A</v>
      </c>
      <c r="Z348" s="39" t="e">
        <f t="shared" si="22"/>
        <v>#N/A</v>
      </c>
      <c r="AA348" s="39" t="e">
        <f t="shared" si="23"/>
        <v>#N/A</v>
      </c>
      <c r="AB348" s="39"/>
      <c r="AC348" s="48" t="e">
        <f t="shared" si="25"/>
        <v>#N/A</v>
      </c>
    </row>
    <row r="349" spans="1:29" ht="12.5" x14ac:dyDescent="0.25">
      <c r="A349" s="36"/>
      <c r="B349" s="33"/>
      <c r="C349" s="33"/>
      <c r="D349" s="33"/>
      <c r="E349" s="35"/>
      <c r="F349" s="21"/>
      <c r="G349" s="22" t="e">
        <f>VLOOKUP(E349,'Court List'!$A:$C,2,0)</f>
        <v>#N/A</v>
      </c>
      <c r="H349" s="33"/>
      <c r="I349" s="33"/>
      <c r="J349" s="44" t="e">
        <f t="shared" si="16"/>
        <v>#N/A</v>
      </c>
      <c r="K349" s="36"/>
      <c r="L349" s="18">
        <f>SUM('Shuttle Count - Supreme (Nov 20'!C349:D349)</f>
        <v>0</v>
      </c>
      <c r="M349" s="18" t="e">
        <f>VLOOKUP(K349,'Shuttle Purchase'!A:C,3,0)</f>
        <v>#N/A</v>
      </c>
      <c r="N349" s="44" t="e">
        <f t="shared" si="26"/>
        <v>#N/A</v>
      </c>
      <c r="O349" s="24" t="e">
        <f>VLOOKUP(E349,'Court List'!$A:$C,3,0)</f>
        <v>#N/A</v>
      </c>
      <c r="P349" s="18">
        <f>COUNTIF('Pub List'!$C349:$T349,"&lt;&gt;")</f>
        <v>0</v>
      </c>
      <c r="Q349" s="20" t="e">
        <f t="shared" si="17"/>
        <v>#N/A</v>
      </c>
      <c r="R349" s="36"/>
      <c r="S349" s="18">
        <f>COUNTIF('Member List'!$C349:$J349,"&lt;&gt;")</f>
        <v>0</v>
      </c>
      <c r="T349" s="35"/>
      <c r="U349" s="24">
        <f t="shared" si="18"/>
        <v>0</v>
      </c>
      <c r="V349" s="18" t="e">
        <f t="shared" si="19"/>
        <v>#N/A</v>
      </c>
      <c r="W349" s="45" t="e">
        <f t="shared" si="20"/>
        <v>#N/A</v>
      </c>
      <c r="X349" s="20" t="e">
        <f t="shared" si="21"/>
        <v>#N/A</v>
      </c>
      <c r="Y349" s="46" t="e">
        <f t="shared" si="24"/>
        <v>#N/A</v>
      </c>
      <c r="Z349" s="39" t="e">
        <f t="shared" si="22"/>
        <v>#N/A</v>
      </c>
      <c r="AA349" s="39" t="e">
        <f t="shared" si="23"/>
        <v>#N/A</v>
      </c>
      <c r="AB349" s="39"/>
      <c r="AC349" s="48" t="e">
        <f t="shared" si="25"/>
        <v>#N/A</v>
      </c>
    </row>
    <row r="350" spans="1:29" ht="12.5" x14ac:dyDescent="0.25">
      <c r="A350" s="36"/>
      <c r="B350" s="33"/>
      <c r="C350" s="33"/>
      <c r="D350" s="33"/>
      <c r="E350" s="35"/>
      <c r="F350" s="21"/>
      <c r="G350" s="22" t="e">
        <f>VLOOKUP(E350,'Court List'!$A:$C,2,0)</f>
        <v>#N/A</v>
      </c>
      <c r="H350" s="33"/>
      <c r="I350" s="33"/>
      <c r="J350" s="44" t="e">
        <f t="shared" si="16"/>
        <v>#N/A</v>
      </c>
      <c r="K350" s="36"/>
      <c r="L350" s="18">
        <f>SUM('Shuttle Count - Supreme (Nov 20'!C350:D350)</f>
        <v>0</v>
      </c>
      <c r="M350" s="18" t="e">
        <f>VLOOKUP(K350,'Shuttle Purchase'!A:C,3,0)</f>
        <v>#N/A</v>
      </c>
      <c r="N350" s="44" t="e">
        <f t="shared" si="26"/>
        <v>#N/A</v>
      </c>
      <c r="O350" s="24" t="e">
        <f>VLOOKUP(E350,'Court List'!$A:$C,3,0)</f>
        <v>#N/A</v>
      </c>
      <c r="P350" s="18">
        <f>COUNTIF('Pub List'!$C350:$T350,"&lt;&gt;")</f>
        <v>0</v>
      </c>
      <c r="Q350" s="20" t="e">
        <f t="shared" si="17"/>
        <v>#N/A</v>
      </c>
      <c r="R350" s="36"/>
      <c r="S350" s="18">
        <f>COUNTIF('Member List'!$C350:$J350,"&lt;&gt;")</f>
        <v>0</v>
      </c>
      <c r="T350" s="35"/>
      <c r="U350" s="24">
        <f t="shared" si="18"/>
        <v>0</v>
      </c>
      <c r="V350" s="18" t="e">
        <f t="shared" si="19"/>
        <v>#N/A</v>
      </c>
      <c r="W350" s="45" t="e">
        <f t="shared" si="20"/>
        <v>#N/A</v>
      </c>
      <c r="X350" s="20" t="e">
        <f t="shared" si="21"/>
        <v>#N/A</v>
      </c>
      <c r="Y350" s="46" t="e">
        <f t="shared" si="24"/>
        <v>#N/A</v>
      </c>
      <c r="Z350" s="39" t="e">
        <f t="shared" si="22"/>
        <v>#N/A</v>
      </c>
      <c r="AA350" s="39" t="e">
        <f t="shared" si="23"/>
        <v>#N/A</v>
      </c>
      <c r="AB350" s="39"/>
      <c r="AC350" s="48" t="e">
        <f t="shared" si="25"/>
        <v>#N/A</v>
      </c>
    </row>
    <row r="351" spans="1:29" ht="12.5" x14ac:dyDescent="0.25">
      <c r="A351" s="36"/>
      <c r="B351" s="33"/>
      <c r="C351" s="33"/>
      <c r="D351" s="33"/>
      <c r="E351" s="35"/>
      <c r="F351" s="21"/>
      <c r="G351" s="22" t="e">
        <f>VLOOKUP(E351,'Court List'!$A:$C,2,0)</f>
        <v>#N/A</v>
      </c>
      <c r="H351" s="33"/>
      <c r="I351" s="33"/>
      <c r="J351" s="44" t="e">
        <f t="shared" si="16"/>
        <v>#N/A</v>
      </c>
      <c r="K351" s="36"/>
      <c r="L351" s="18">
        <f>SUM('Shuttle Count - Supreme (Nov 20'!C351:D351)</f>
        <v>0</v>
      </c>
      <c r="M351" s="18" t="e">
        <f>VLOOKUP(K351,'Shuttle Purchase'!A:C,3,0)</f>
        <v>#N/A</v>
      </c>
      <c r="N351" s="44" t="e">
        <f t="shared" si="26"/>
        <v>#N/A</v>
      </c>
      <c r="O351" s="24" t="e">
        <f>VLOOKUP(E351,'Court List'!$A:$C,3,0)</f>
        <v>#N/A</v>
      </c>
      <c r="P351" s="18">
        <f>COUNTIF('Pub List'!$C351:$T351,"&lt;&gt;")</f>
        <v>0</v>
      </c>
      <c r="Q351" s="20" t="e">
        <f t="shared" si="17"/>
        <v>#N/A</v>
      </c>
      <c r="R351" s="36"/>
      <c r="S351" s="18">
        <f>COUNTIF('Member List'!$C351:$J351,"&lt;&gt;")</f>
        <v>0</v>
      </c>
      <c r="T351" s="35"/>
      <c r="U351" s="24">
        <f t="shared" si="18"/>
        <v>0</v>
      </c>
      <c r="V351" s="18" t="e">
        <f t="shared" si="19"/>
        <v>#N/A</v>
      </c>
      <c r="W351" s="45" t="e">
        <f t="shared" si="20"/>
        <v>#N/A</v>
      </c>
      <c r="X351" s="20" t="e">
        <f t="shared" si="21"/>
        <v>#N/A</v>
      </c>
      <c r="Y351" s="46" t="e">
        <f t="shared" si="24"/>
        <v>#N/A</v>
      </c>
      <c r="Z351" s="39" t="e">
        <f t="shared" si="22"/>
        <v>#N/A</v>
      </c>
      <c r="AA351" s="39" t="e">
        <f t="shared" si="23"/>
        <v>#N/A</v>
      </c>
      <c r="AB351" s="39"/>
      <c r="AC351" s="48" t="e">
        <f t="shared" si="25"/>
        <v>#N/A</v>
      </c>
    </row>
    <row r="352" spans="1:29" ht="12.5" x14ac:dyDescent="0.25">
      <c r="A352" s="36"/>
      <c r="B352" s="33"/>
      <c r="C352" s="33"/>
      <c r="D352" s="33"/>
      <c r="E352" s="35"/>
      <c r="F352" s="21"/>
      <c r="G352" s="22" t="e">
        <f>VLOOKUP(E352,'Court List'!$A:$C,2,0)</f>
        <v>#N/A</v>
      </c>
      <c r="H352" s="33"/>
      <c r="I352" s="33"/>
      <c r="J352" s="44" t="e">
        <f t="shared" si="16"/>
        <v>#N/A</v>
      </c>
      <c r="K352" s="36"/>
      <c r="L352" s="18">
        <f>SUM('Shuttle Count - Supreme (Nov 20'!C352:D352)</f>
        <v>0</v>
      </c>
      <c r="M352" s="18" t="e">
        <f>VLOOKUP(K352,'Shuttle Purchase'!A:C,3,0)</f>
        <v>#N/A</v>
      </c>
      <c r="N352" s="44" t="e">
        <f t="shared" si="26"/>
        <v>#N/A</v>
      </c>
      <c r="O352" s="24" t="e">
        <f>VLOOKUP(E352,'Court List'!$A:$C,3,0)</f>
        <v>#N/A</v>
      </c>
      <c r="P352" s="18">
        <f>COUNTIF('Pub List'!$C352:$T352,"&lt;&gt;")</f>
        <v>0</v>
      </c>
      <c r="Q352" s="20" t="e">
        <f t="shared" si="17"/>
        <v>#N/A</v>
      </c>
      <c r="R352" s="36"/>
      <c r="S352" s="18">
        <f>COUNTIF('Member List'!$C352:$J352,"&lt;&gt;")</f>
        <v>0</v>
      </c>
      <c r="T352" s="35"/>
      <c r="U352" s="24">
        <f t="shared" si="18"/>
        <v>0</v>
      </c>
      <c r="V352" s="18" t="e">
        <f t="shared" si="19"/>
        <v>#N/A</v>
      </c>
      <c r="W352" s="45" t="e">
        <f t="shared" si="20"/>
        <v>#N/A</v>
      </c>
      <c r="X352" s="20" t="e">
        <f t="shared" si="21"/>
        <v>#N/A</v>
      </c>
      <c r="Y352" s="46" t="e">
        <f t="shared" si="24"/>
        <v>#N/A</v>
      </c>
      <c r="Z352" s="39" t="e">
        <f t="shared" si="22"/>
        <v>#N/A</v>
      </c>
      <c r="AA352" s="39" t="e">
        <f t="shared" si="23"/>
        <v>#N/A</v>
      </c>
      <c r="AB352" s="39"/>
      <c r="AC352" s="48" t="e">
        <f t="shared" si="25"/>
        <v>#N/A</v>
      </c>
    </row>
    <row r="353" spans="1:29" ht="12.5" x14ac:dyDescent="0.25">
      <c r="A353" s="36"/>
      <c r="B353" s="33"/>
      <c r="C353" s="33"/>
      <c r="D353" s="33"/>
      <c r="E353" s="35"/>
      <c r="F353" s="21"/>
      <c r="G353" s="22" t="e">
        <f>VLOOKUP(E353,'Court List'!$A:$C,2,0)</f>
        <v>#N/A</v>
      </c>
      <c r="H353" s="33"/>
      <c r="I353" s="33"/>
      <c r="J353" s="44" t="e">
        <f t="shared" si="16"/>
        <v>#N/A</v>
      </c>
      <c r="K353" s="36"/>
      <c r="L353" s="18">
        <f>SUM('Shuttle Count - Supreme (Nov 20'!C353:D353)</f>
        <v>0</v>
      </c>
      <c r="M353" s="18" t="e">
        <f>VLOOKUP(K353,'Shuttle Purchase'!A:C,3,0)</f>
        <v>#N/A</v>
      </c>
      <c r="N353" s="44" t="e">
        <f t="shared" si="26"/>
        <v>#N/A</v>
      </c>
      <c r="O353" s="24" t="e">
        <f>VLOOKUP(E353,'Court List'!$A:$C,3,0)</f>
        <v>#N/A</v>
      </c>
      <c r="P353" s="18">
        <f>COUNTIF('Pub List'!$C353:$T353,"&lt;&gt;")</f>
        <v>0</v>
      </c>
      <c r="Q353" s="20" t="e">
        <f t="shared" si="17"/>
        <v>#N/A</v>
      </c>
      <c r="R353" s="36"/>
      <c r="S353" s="18">
        <f>COUNTIF('Member List'!$C353:$J353,"&lt;&gt;")</f>
        <v>0</v>
      </c>
      <c r="T353" s="35"/>
      <c r="U353" s="24">
        <f t="shared" si="18"/>
        <v>0</v>
      </c>
      <c r="V353" s="18" t="e">
        <f t="shared" si="19"/>
        <v>#N/A</v>
      </c>
      <c r="W353" s="45" t="e">
        <f t="shared" si="20"/>
        <v>#N/A</v>
      </c>
      <c r="X353" s="20" t="e">
        <f t="shared" si="21"/>
        <v>#N/A</v>
      </c>
      <c r="Y353" s="46" t="e">
        <f t="shared" si="24"/>
        <v>#N/A</v>
      </c>
      <c r="Z353" s="39" t="e">
        <f t="shared" si="22"/>
        <v>#N/A</v>
      </c>
      <c r="AA353" s="39" t="e">
        <f t="shared" si="23"/>
        <v>#N/A</v>
      </c>
      <c r="AB353" s="39"/>
      <c r="AC353" s="48" t="e">
        <f t="shared" si="25"/>
        <v>#N/A</v>
      </c>
    </row>
    <row r="354" spans="1:29" ht="12.5" x14ac:dyDescent="0.25">
      <c r="A354" s="36"/>
      <c r="B354" s="33"/>
      <c r="C354" s="33"/>
      <c r="D354" s="33"/>
      <c r="E354" s="35"/>
      <c r="F354" s="21"/>
      <c r="G354" s="22" t="e">
        <f>VLOOKUP(E354,'Court List'!$A:$C,2,0)</f>
        <v>#N/A</v>
      </c>
      <c r="H354" s="33"/>
      <c r="I354" s="33"/>
      <c r="J354" s="44" t="e">
        <f t="shared" si="16"/>
        <v>#N/A</v>
      </c>
      <c r="K354" s="36"/>
      <c r="L354" s="18">
        <f>SUM('Shuttle Count - Supreme (Nov 20'!C354:D354)</f>
        <v>0</v>
      </c>
      <c r="M354" s="18" t="e">
        <f>VLOOKUP(K354,'Shuttle Purchase'!A:C,3,0)</f>
        <v>#N/A</v>
      </c>
      <c r="N354" s="44" t="e">
        <f t="shared" si="26"/>
        <v>#N/A</v>
      </c>
      <c r="O354" s="24" t="e">
        <f>VLOOKUP(E354,'Court List'!$A:$C,3,0)</f>
        <v>#N/A</v>
      </c>
      <c r="P354" s="18">
        <f>COUNTIF('Pub List'!$C354:$T354,"&lt;&gt;")</f>
        <v>0</v>
      </c>
      <c r="Q354" s="20" t="e">
        <f t="shared" si="17"/>
        <v>#N/A</v>
      </c>
      <c r="R354" s="36"/>
      <c r="S354" s="18">
        <f>COUNTIF('Member List'!$C354:$J354,"&lt;&gt;")</f>
        <v>0</v>
      </c>
      <c r="T354" s="35"/>
      <c r="U354" s="24">
        <f t="shared" si="18"/>
        <v>0</v>
      </c>
      <c r="V354" s="18" t="e">
        <f t="shared" si="19"/>
        <v>#N/A</v>
      </c>
      <c r="W354" s="45" t="e">
        <f t="shared" si="20"/>
        <v>#N/A</v>
      </c>
      <c r="X354" s="20" t="e">
        <f t="shared" si="21"/>
        <v>#N/A</v>
      </c>
      <c r="Y354" s="46" t="e">
        <f t="shared" si="24"/>
        <v>#N/A</v>
      </c>
      <c r="Z354" s="39" t="e">
        <f t="shared" si="22"/>
        <v>#N/A</v>
      </c>
      <c r="AA354" s="39" t="e">
        <f t="shared" si="23"/>
        <v>#N/A</v>
      </c>
      <c r="AB354" s="39"/>
      <c r="AC354" s="48" t="e">
        <f t="shared" si="25"/>
        <v>#N/A</v>
      </c>
    </row>
    <row r="355" spans="1:29" ht="12.5" x14ac:dyDescent="0.25">
      <c r="A355" s="36"/>
      <c r="B355" s="33"/>
      <c r="C355" s="33"/>
      <c r="D355" s="33"/>
      <c r="E355" s="35"/>
      <c r="F355" s="21"/>
      <c r="G355" s="22" t="e">
        <f>VLOOKUP(E355,'Court List'!$A:$C,2,0)</f>
        <v>#N/A</v>
      </c>
      <c r="H355" s="33"/>
      <c r="I355" s="33"/>
      <c r="J355" s="44" t="e">
        <f t="shared" si="16"/>
        <v>#N/A</v>
      </c>
      <c r="K355" s="36"/>
      <c r="L355" s="18">
        <f>SUM('Shuttle Count - Supreme (Nov 20'!C355:D355)</f>
        <v>0</v>
      </c>
      <c r="M355" s="18" t="e">
        <f>VLOOKUP(K355,'Shuttle Purchase'!A:C,3,0)</f>
        <v>#N/A</v>
      </c>
      <c r="N355" s="44" t="e">
        <f t="shared" si="26"/>
        <v>#N/A</v>
      </c>
      <c r="O355" s="24" t="e">
        <f>VLOOKUP(E355,'Court List'!$A:$C,3,0)</f>
        <v>#N/A</v>
      </c>
      <c r="P355" s="18">
        <f>COUNTIF('Pub List'!$C355:$T355,"&lt;&gt;")</f>
        <v>0</v>
      </c>
      <c r="Q355" s="20" t="e">
        <f t="shared" si="17"/>
        <v>#N/A</v>
      </c>
      <c r="R355" s="36"/>
      <c r="S355" s="18">
        <f>COUNTIF('Member List'!$C355:$J355,"&lt;&gt;")</f>
        <v>0</v>
      </c>
      <c r="T355" s="35"/>
      <c r="U355" s="24">
        <f t="shared" si="18"/>
        <v>0</v>
      </c>
      <c r="V355" s="18" t="e">
        <f t="shared" si="19"/>
        <v>#N/A</v>
      </c>
      <c r="W355" s="45" t="e">
        <f t="shared" si="20"/>
        <v>#N/A</v>
      </c>
      <c r="X355" s="20" t="e">
        <f t="shared" si="21"/>
        <v>#N/A</v>
      </c>
      <c r="Y355" s="46" t="e">
        <f t="shared" si="24"/>
        <v>#N/A</v>
      </c>
      <c r="Z355" s="39" t="e">
        <f t="shared" si="22"/>
        <v>#N/A</v>
      </c>
      <c r="AA355" s="39" t="e">
        <f t="shared" si="23"/>
        <v>#N/A</v>
      </c>
      <c r="AB355" s="39"/>
      <c r="AC355" s="48" t="e">
        <f t="shared" si="25"/>
        <v>#N/A</v>
      </c>
    </row>
    <row r="356" spans="1:29" ht="12.5" x14ac:dyDescent="0.25">
      <c r="A356" s="36"/>
      <c r="B356" s="33"/>
      <c r="C356" s="33"/>
      <c r="D356" s="33"/>
      <c r="E356" s="35"/>
      <c r="F356" s="21"/>
      <c r="G356" s="22" t="e">
        <f>VLOOKUP(E356,'Court List'!$A:$C,2,0)</f>
        <v>#N/A</v>
      </c>
      <c r="H356" s="33"/>
      <c r="I356" s="33"/>
      <c r="J356" s="44" t="e">
        <f t="shared" si="16"/>
        <v>#N/A</v>
      </c>
      <c r="K356" s="36"/>
      <c r="L356" s="18">
        <f>SUM('Shuttle Count - Supreme (Nov 20'!C356:D356)</f>
        <v>0</v>
      </c>
      <c r="M356" s="18" t="e">
        <f>VLOOKUP(K356,'Shuttle Purchase'!A:C,3,0)</f>
        <v>#N/A</v>
      </c>
      <c r="N356" s="44" t="e">
        <f t="shared" si="26"/>
        <v>#N/A</v>
      </c>
      <c r="O356" s="24" t="e">
        <f>VLOOKUP(E356,'Court List'!$A:$C,3,0)</f>
        <v>#N/A</v>
      </c>
      <c r="P356" s="18">
        <f>COUNTIF('Pub List'!$C356:$T356,"&lt;&gt;")</f>
        <v>0</v>
      </c>
      <c r="Q356" s="20" t="e">
        <f t="shared" si="17"/>
        <v>#N/A</v>
      </c>
      <c r="R356" s="36"/>
      <c r="S356" s="18">
        <f>COUNTIF('Member List'!$C356:$J356,"&lt;&gt;")</f>
        <v>0</v>
      </c>
      <c r="T356" s="35"/>
      <c r="U356" s="24">
        <f t="shared" si="18"/>
        <v>0</v>
      </c>
      <c r="V356" s="18" t="e">
        <f t="shared" si="19"/>
        <v>#N/A</v>
      </c>
      <c r="W356" s="45" t="e">
        <f t="shared" si="20"/>
        <v>#N/A</v>
      </c>
      <c r="X356" s="20" t="e">
        <f t="shared" si="21"/>
        <v>#N/A</v>
      </c>
      <c r="Y356" s="46" t="e">
        <f t="shared" si="24"/>
        <v>#N/A</v>
      </c>
      <c r="Z356" s="39" t="e">
        <f t="shared" si="22"/>
        <v>#N/A</v>
      </c>
      <c r="AA356" s="39" t="e">
        <f t="shared" si="23"/>
        <v>#N/A</v>
      </c>
      <c r="AB356" s="39"/>
      <c r="AC356" s="48" t="e">
        <f t="shared" si="25"/>
        <v>#N/A</v>
      </c>
    </row>
    <row r="357" spans="1:29" ht="12.5" x14ac:dyDescent="0.25">
      <c r="A357" s="36"/>
      <c r="B357" s="33"/>
      <c r="C357" s="33"/>
      <c r="D357" s="33"/>
      <c r="E357" s="35"/>
      <c r="F357" s="21"/>
      <c r="G357" s="22" t="e">
        <f>VLOOKUP(E357,'Court List'!$A:$C,2,0)</f>
        <v>#N/A</v>
      </c>
      <c r="H357" s="33"/>
      <c r="I357" s="33"/>
      <c r="J357" s="44" t="e">
        <f t="shared" si="16"/>
        <v>#N/A</v>
      </c>
      <c r="K357" s="36"/>
      <c r="L357" s="18">
        <f>SUM('Shuttle Count - Supreme (Nov 20'!C357:D357)</f>
        <v>0</v>
      </c>
      <c r="M357" s="18" t="e">
        <f>VLOOKUP(K357,'Shuttle Purchase'!A:C,3,0)</f>
        <v>#N/A</v>
      </c>
      <c r="N357" s="44" t="e">
        <f t="shared" si="26"/>
        <v>#N/A</v>
      </c>
      <c r="O357" s="24" t="e">
        <f>VLOOKUP(E357,'Court List'!$A:$C,3,0)</f>
        <v>#N/A</v>
      </c>
      <c r="P357" s="18">
        <f>COUNTIF('Pub List'!$C357:$T357,"&lt;&gt;")</f>
        <v>0</v>
      </c>
      <c r="Q357" s="20" t="e">
        <f t="shared" si="17"/>
        <v>#N/A</v>
      </c>
      <c r="R357" s="36"/>
      <c r="S357" s="18">
        <f>COUNTIF('Member List'!$C357:$J357,"&lt;&gt;")</f>
        <v>0</v>
      </c>
      <c r="T357" s="35"/>
      <c r="U357" s="24">
        <f t="shared" si="18"/>
        <v>0</v>
      </c>
      <c r="V357" s="18" t="e">
        <f t="shared" si="19"/>
        <v>#N/A</v>
      </c>
      <c r="W357" s="45" t="e">
        <f t="shared" si="20"/>
        <v>#N/A</v>
      </c>
      <c r="X357" s="20" t="e">
        <f t="shared" si="21"/>
        <v>#N/A</v>
      </c>
      <c r="Y357" s="46" t="e">
        <f t="shared" si="24"/>
        <v>#N/A</v>
      </c>
      <c r="Z357" s="39" t="e">
        <f t="shared" si="22"/>
        <v>#N/A</v>
      </c>
      <c r="AA357" s="39" t="e">
        <f t="shared" si="23"/>
        <v>#N/A</v>
      </c>
      <c r="AB357" s="39"/>
      <c r="AC357" s="48" t="e">
        <f t="shared" si="25"/>
        <v>#N/A</v>
      </c>
    </row>
    <row r="358" spans="1:29" ht="12.5" x14ac:dyDescent="0.25">
      <c r="A358" s="36"/>
      <c r="B358" s="33"/>
      <c r="C358" s="33"/>
      <c r="D358" s="33"/>
      <c r="E358" s="35"/>
      <c r="F358" s="21"/>
      <c r="G358" s="22" t="e">
        <f>VLOOKUP(E358,'Court List'!$A:$C,2,0)</f>
        <v>#N/A</v>
      </c>
      <c r="H358" s="33"/>
      <c r="I358" s="33"/>
      <c r="J358" s="44" t="e">
        <f t="shared" si="16"/>
        <v>#N/A</v>
      </c>
      <c r="K358" s="36"/>
      <c r="L358" s="18">
        <f>SUM('Shuttle Count - Supreme (Nov 20'!C358:D358)</f>
        <v>0</v>
      </c>
      <c r="M358" s="18" t="e">
        <f>VLOOKUP(K358,'Shuttle Purchase'!A:C,3,0)</f>
        <v>#N/A</v>
      </c>
      <c r="N358" s="44" t="e">
        <f t="shared" si="26"/>
        <v>#N/A</v>
      </c>
      <c r="O358" s="24" t="e">
        <f>VLOOKUP(E358,'Court List'!$A:$C,3,0)</f>
        <v>#N/A</v>
      </c>
      <c r="P358" s="18">
        <f>COUNTIF('Pub List'!$C358:$T358,"&lt;&gt;")</f>
        <v>0</v>
      </c>
      <c r="Q358" s="20" t="e">
        <f t="shared" si="17"/>
        <v>#N/A</v>
      </c>
      <c r="R358" s="36"/>
      <c r="S358" s="18">
        <f>COUNTIF('Member List'!$C358:$J358,"&lt;&gt;")</f>
        <v>0</v>
      </c>
      <c r="T358" s="35"/>
      <c r="U358" s="24">
        <f t="shared" si="18"/>
        <v>0</v>
      </c>
      <c r="V358" s="18" t="e">
        <f t="shared" si="19"/>
        <v>#N/A</v>
      </c>
      <c r="W358" s="45" t="e">
        <f t="shared" si="20"/>
        <v>#N/A</v>
      </c>
      <c r="X358" s="20" t="e">
        <f t="shared" si="21"/>
        <v>#N/A</v>
      </c>
      <c r="Y358" s="46" t="e">
        <f t="shared" si="24"/>
        <v>#N/A</v>
      </c>
      <c r="Z358" s="39" t="e">
        <f t="shared" si="22"/>
        <v>#N/A</v>
      </c>
      <c r="AA358" s="39" t="e">
        <f t="shared" si="23"/>
        <v>#N/A</v>
      </c>
      <c r="AB358" s="39"/>
      <c r="AC358" s="48" t="e">
        <f t="shared" si="25"/>
        <v>#N/A</v>
      </c>
    </row>
    <row r="359" spans="1:29" ht="12.5" x14ac:dyDescent="0.25">
      <c r="A359" s="36"/>
      <c r="B359" s="33"/>
      <c r="C359" s="33"/>
      <c r="D359" s="33"/>
      <c r="E359" s="35"/>
      <c r="F359" s="21"/>
      <c r="G359" s="22" t="e">
        <f>VLOOKUP(E359,'Court List'!$A:$C,2,0)</f>
        <v>#N/A</v>
      </c>
      <c r="H359" s="33"/>
      <c r="I359" s="33"/>
      <c r="J359" s="44" t="e">
        <f t="shared" si="16"/>
        <v>#N/A</v>
      </c>
      <c r="K359" s="36"/>
      <c r="L359" s="18">
        <f>SUM('Shuttle Count - Supreme (Nov 20'!C359:D359)</f>
        <v>0</v>
      </c>
      <c r="M359" s="18" t="e">
        <f>VLOOKUP(K359,'Shuttle Purchase'!A:C,3,0)</f>
        <v>#N/A</v>
      </c>
      <c r="N359" s="44" t="e">
        <f t="shared" si="26"/>
        <v>#N/A</v>
      </c>
      <c r="O359" s="24" t="e">
        <f>VLOOKUP(E359,'Court List'!$A:$C,3,0)</f>
        <v>#N/A</v>
      </c>
      <c r="P359" s="18">
        <f>COUNTIF('Pub List'!$C359:$T359,"&lt;&gt;")</f>
        <v>0</v>
      </c>
      <c r="Q359" s="20" t="e">
        <f t="shared" si="17"/>
        <v>#N/A</v>
      </c>
      <c r="R359" s="36"/>
      <c r="S359" s="18">
        <f>COUNTIF('Member List'!$C359:$J359,"&lt;&gt;")</f>
        <v>0</v>
      </c>
      <c r="T359" s="35"/>
      <c r="U359" s="24">
        <f t="shared" si="18"/>
        <v>0</v>
      </c>
      <c r="V359" s="18" t="e">
        <f t="shared" si="19"/>
        <v>#N/A</v>
      </c>
      <c r="W359" s="45" t="e">
        <f t="shared" si="20"/>
        <v>#N/A</v>
      </c>
      <c r="X359" s="20" t="e">
        <f t="shared" si="21"/>
        <v>#N/A</v>
      </c>
      <c r="Y359" s="46" t="e">
        <f t="shared" si="24"/>
        <v>#N/A</v>
      </c>
      <c r="Z359" s="39" t="e">
        <f t="shared" si="22"/>
        <v>#N/A</v>
      </c>
      <c r="AA359" s="39" t="e">
        <f t="shared" si="23"/>
        <v>#N/A</v>
      </c>
      <c r="AB359" s="39"/>
      <c r="AC359" s="48" t="e">
        <f t="shared" si="25"/>
        <v>#N/A</v>
      </c>
    </row>
    <row r="360" spans="1:29" ht="12.5" x14ac:dyDescent="0.25">
      <c r="A360" s="36"/>
      <c r="B360" s="33"/>
      <c r="C360" s="33"/>
      <c r="D360" s="33"/>
      <c r="E360" s="35"/>
      <c r="F360" s="21"/>
      <c r="G360" s="22" t="e">
        <f>VLOOKUP(E360,'Court List'!$A:$C,2,0)</f>
        <v>#N/A</v>
      </c>
      <c r="H360" s="33"/>
      <c r="I360" s="33"/>
      <c r="J360" s="44" t="e">
        <f t="shared" si="16"/>
        <v>#N/A</v>
      </c>
      <c r="K360" s="36"/>
      <c r="L360" s="18">
        <f>SUM('Shuttle Count - Supreme (Nov 20'!C360:D360)</f>
        <v>0</v>
      </c>
      <c r="M360" s="18" t="e">
        <f>VLOOKUP(K360,'Shuttle Purchase'!A:C,3,0)</f>
        <v>#N/A</v>
      </c>
      <c r="N360" s="44" t="e">
        <f t="shared" si="26"/>
        <v>#N/A</v>
      </c>
      <c r="O360" s="24" t="e">
        <f>VLOOKUP(E360,'Court List'!$A:$C,3,0)</f>
        <v>#N/A</v>
      </c>
      <c r="P360" s="18">
        <f>COUNTIF('Pub List'!$C360:$T360,"&lt;&gt;")</f>
        <v>0</v>
      </c>
      <c r="Q360" s="20" t="e">
        <f t="shared" si="17"/>
        <v>#N/A</v>
      </c>
      <c r="R360" s="36"/>
      <c r="S360" s="18">
        <f>COUNTIF('Member List'!$C360:$J360,"&lt;&gt;")</f>
        <v>0</v>
      </c>
      <c r="T360" s="35"/>
      <c r="U360" s="24">
        <f t="shared" si="18"/>
        <v>0</v>
      </c>
      <c r="V360" s="18" t="e">
        <f t="shared" si="19"/>
        <v>#N/A</v>
      </c>
      <c r="W360" s="45" t="e">
        <f t="shared" si="20"/>
        <v>#N/A</v>
      </c>
      <c r="X360" s="20" t="e">
        <f t="shared" si="21"/>
        <v>#N/A</v>
      </c>
      <c r="Y360" s="46" t="e">
        <f t="shared" si="24"/>
        <v>#N/A</v>
      </c>
      <c r="Z360" s="39" t="e">
        <f t="shared" si="22"/>
        <v>#N/A</v>
      </c>
      <c r="AA360" s="39" t="e">
        <f t="shared" si="23"/>
        <v>#N/A</v>
      </c>
      <c r="AB360" s="39"/>
      <c r="AC360" s="48" t="e">
        <f t="shared" si="25"/>
        <v>#N/A</v>
      </c>
    </row>
    <row r="361" spans="1:29" ht="12.5" x14ac:dyDescent="0.25">
      <c r="A361" s="36"/>
      <c r="B361" s="33"/>
      <c r="C361" s="33"/>
      <c r="D361" s="33"/>
      <c r="E361" s="35"/>
      <c r="F361" s="21"/>
      <c r="G361" s="22" t="e">
        <f>VLOOKUP(E361,'Court List'!$A:$C,2,0)</f>
        <v>#N/A</v>
      </c>
      <c r="H361" s="33"/>
      <c r="I361" s="33"/>
      <c r="J361" s="44" t="e">
        <f t="shared" si="16"/>
        <v>#N/A</v>
      </c>
      <c r="K361" s="36"/>
      <c r="L361" s="18">
        <f>SUM('Shuttle Count - Supreme (Nov 20'!C361:D361)</f>
        <v>0</v>
      </c>
      <c r="M361" s="18" t="e">
        <f>VLOOKUP(K361,'Shuttle Purchase'!A:C,3,0)</f>
        <v>#N/A</v>
      </c>
      <c r="N361" s="44" t="e">
        <f t="shared" si="26"/>
        <v>#N/A</v>
      </c>
      <c r="O361" s="24" t="e">
        <f>VLOOKUP(E361,'Court List'!$A:$C,3,0)</f>
        <v>#N/A</v>
      </c>
      <c r="P361" s="18">
        <f>COUNTIF('Pub List'!$C361:$T361,"&lt;&gt;")</f>
        <v>0</v>
      </c>
      <c r="Q361" s="20" t="e">
        <f t="shared" si="17"/>
        <v>#N/A</v>
      </c>
      <c r="R361" s="36"/>
      <c r="S361" s="18">
        <f>COUNTIF('Member List'!$C361:$J361,"&lt;&gt;")</f>
        <v>0</v>
      </c>
      <c r="T361" s="35"/>
      <c r="U361" s="24">
        <f t="shared" si="18"/>
        <v>0</v>
      </c>
      <c r="V361" s="18" t="e">
        <f t="shared" si="19"/>
        <v>#N/A</v>
      </c>
      <c r="W361" s="45" t="e">
        <f t="shared" si="20"/>
        <v>#N/A</v>
      </c>
      <c r="X361" s="20" t="e">
        <f t="shared" si="21"/>
        <v>#N/A</v>
      </c>
      <c r="Y361" s="46" t="e">
        <f t="shared" si="24"/>
        <v>#N/A</v>
      </c>
      <c r="Z361" s="39" t="e">
        <f t="shared" si="22"/>
        <v>#N/A</v>
      </c>
      <c r="AA361" s="39" t="e">
        <f t="shared" si="23"/>
        <v>#N/A</v>
      </c>
      <c r="AB361" s="39"/>
      <c r="AC361" s="48" t="e">
        <f t="shared" si="25"/>
        <v>#N/A</v>
      </c>
    </row>
    <row r="362" spans="1:29" ht="12.5" x14ac:dyDescent="0.25">
      <c r="A362" s="36"/>
      <c r="B362" s="33"/>
      <c r="C362" s="33"/>
      <c r="D362" s="33"/>
      <c r="E362" s="35"/>
      <c r="F362" s="21"/>
      <c r="G362" s="22" t="e">
        <f>VLOOKUP(E362,'Court List'!$A:$C,2,0)</f>
        <v>#N/A</v>
      </c>
      <c r="H362" s="33"/>
      <c r="I362" s="33"/>
      <c r="J362" s="44" t="e">
        <f t="shared" si="16"/>
        <v>#N/A</v>
      </c>
      <c r="K362" s="36"/>
      <c r="L362" s="18">
        <f>SUM('Shuttle Count - Supreme (Nov 20'!C362:D362)</f>
        <v>0</v>
      </c>
      <c r="M362" s="18" t="e">
        <f>VLOOKUP(K362,'Shuttle Purchase'!A:C,3,0)</f>
        <v>#N/A</v>
      </c>
      <c r="N362" s="44" t="e">
        <f t="shared" si="26"/>
        <v>#N/A</v>
      </c>
      <c r="O362" s="24" t="e">
        <f>VLOOKUP(E362,'Court List'!$A:$C,3,0)</f>
        <v>#N/A</v>
      </c>
      <c r="P362" s="18">
        <f>COUNTIF('Pub List'!$C362:$T362,"&lt;&gt;")</f>
        <v>0</v>
      </c>
      <c r="Q362" s="20" t="e">
        <f t="shared" si="17"/>
        <v>#N/A</v>
      </c>
      <c r="R362" s="36"/>
      <c r="S362" s="18">
        <f>COUNTIF('Member List'!$C362:$J362,"&lt;&gt;")</f>
        <v>0</v>
      </c>
      <c r="T362" s="35"/>
      <c r="U362" s="24">
        <f t="shared" si="18"/>
        <v>0</v>
      </c>
      <c r="V362" s="18" t="e">
        <f t="shared" si="19"/>
        <v>#N/A</v>
      </c>
      <c r="W362" s="45" t="e">
        <f t="shared" si="20"/>
        <v>#N/A</v>
      </c>
      <c r="X362" s="20" t="e">
        <f t="shared" si="21"/>
        <v>#N/A</v>
      </c>
      <c r="Y362" s="46" t="e">
        <f t="shared" si="24"/>
        <v>#N/A</v>
      </c>
      <c r="Z362" s="39" t="e">
        <f t="shared" si="22"/>
        <v>#N/A</v>
      </c>
      <c r="AA362" s="39" t="e">
        <f t="shared" si="23"/>
        <v>#N/A</v>
      </c>
      <c r="AB362" s="39"/>
      <c r="AC362" s="48" t="e">
        <f t="shared" si="25"/>
        <v>#N/A</v>
      </c>
    </row>
    <row r="363" spans="1:29" ht="12.5" x14ac:dyDescent="0.25">
      <c r="A363" s="36"/>
      <c r="B363" s="33"/>
      <c r="C363" s="33"/>
      <c r="D363" s="33"/>
      <c r="E363" s="35"/>
      <c r="F363" s="21"/>
      <c r="G363" s="22" t="e">
        <f>VLOOKUP(E363,'Court List'!$A:$C,2,0)</f>
        <v>#N/A</v>
      </c>
      <c r="H363" s="33"/>
      <c r="I363" s="33"/>
      <c r="J363" s="44" t="e">
        <f t="shared" si="16"/>
        <v>#N/A</v>
      </c>
      <c r="K363" s="36"/>
      <c r="L363" s="18">
        <f>SUM('Shuttle Count - Supreme (Nov 20'!C363:D363)</f>
        <v>0</v>
      </c>
      <c r="M363" s="18" t="e">
        <f>VLOOKUP(K363,'Shuttle Purchase'!A:C,3,0)</f>
        <v>#N/A</v>
      </c>
      <c r="N363" s="44" t="e">
        <f t="shared" si="26"/>
        <v>#N/A</v>
      </c>
      <c r="O363" s="24" t="e">
        <f>VLOOKUP(E363,'Court List'!$A:$C,3,0)</f>
        <v>#N/A</v>
      </c>
      <c r="P363" s="18">
        <f>COUNTIF('Pub List'!$C363:$T363,"&lt;&gt;")</f>
        <v>0</v>
      </c>
      <c r="Q363" s="20" t="e">
        <f t="shared" si="17"/>
        <v>#N/A</v>
      </c>
      <c r="R363" s="36"/>
      <c r="S363" s="18">
        <f>COUNTIF('Member List'!$C363:$J363,"&lt;&gt;")</f>
        <v>0</v>
      </c>
      <c r="T363" s="35"/>
      <c r="U363" s="24">
        <f t="shared" si="18"/>
        <v>0</v>
      </c>
      <c r="V363" s="18" t="e">
        <f t="shared" si="19"/>
        <v>#N/A</v>
      </c>
      <c r="W363" s="45" t="e">
        <f t="shared" si="20"/>
        <v>#N/A</v>
      </c>
      <c r="X363" s="20" t="e">
        <f t="shared" si="21"/>
        <v>#N/A</v>
      </c>
      <c r="Y363" s="46" t="e">
        <f t="shared" si="24"/>
        <v>#N/A</v>
      </c>
      <c r="Z363" s="39" t="e">
        <f t="shared" si="22"/>
        <v>#N/A</v>
      </c>
      <c r="AA363" s="39" t="e">
        <f t="shared" si="23"/>
        <v>#N/A</v>
      </c>
      <c r="AB363" s="39"/>
      <c r="AC363" s="48" t="e">
        <f t="shared" si="25"/>
        <v>#N/A</v>
      </c>
    </row>
    <row r="364" spans="1:29" ht="12.5" x14ac:dyDescent="0.25">
      <c r="A364" s="36"/>
      <c r="B364" s="33"/>
      <c r="C364" s="33"/>
      <c r="D364" s="33"/>
      <c r="E364" s="35"/>
      <c r="F364" s="21"/>
      <c r="G364" s="22" t="e">
        <f>VLOOKUP(E364,'Court List'!$A:$C,2,0)</f>
        <v>#N/A</v>
      </c>
      <c r="H364" s="33"/>
      <c r="I364" s="33"/>
      <c r="J364" s="44" t="e">
        <f t="shared" si="16"/>
        <v>#N/A</v>
      </c>
      <c r="K364" s="36"/>
      <c r="L364" s="18">
        <f>SUM('Shuttle Count - Supreme (Nov 20'!C364:D364)</f>
        <v>0</v>
      </c>
      <c r="M364" s="18" t="e">
        <f>VLOOKUP(K364,'Shuttle Purchase'!A:C,3,0)</f>
        <v>#N/A</v>
      </c>
      <c r="N364" s="44" t="e">
        <f t="shared" si="26"/>
        <v>#N/A</v>
      </c>
      <c r="O364" s="24" t="e">
        <f>VLOOKUP(E364,'Court List'!$A:$C,3,0)</f>
        <v>#N/A</v>
      </c>
      <c r="P364" s="18">
        <f>COUNTIF('Pub List'!$C364:$T364,"&lt;&gt;")</f>
        <v>0</v>
      </c>
      <c r="Q364" s="20" t="e">
        <f t="shared" si="17"/>
        <v>#N/A</v>
      </c>
      <c r="R364" s="36"/>
      <c r="S364" s="18">
        <f>COUNTIF('Member List'!$C364:$J364,"&lt;&gt;")</f>
        <v>0</v>
      </c>
      <c r="T364" s="35"/>
      <c r="U364" s="24">
        <f t="shared" si="18"/>
        <v>0</v>
      </c>
      <c r="V364" s="18" t="e">
        <f t="shared" si="19"/>
        <v>#N/A</v>
      </c>
      <c r="W364" s="45" t="e">
        <f t="shared" si="20"/>
        <v>#N/A</v>
      </c>
      <c r="X364" s="20" t="e">
        <f t="shared" si="21"/>
        <v>#N/A</v>
      </c>
      <c r="Y364" s="46" t="e">
        <f t="shared" si="24"/>
        <v>#N/A</v>
      </c>
      <c r="Z364" s="39" t="e">
        <f t="shared" si="22"/>
        <v>#N/A</v>
      </c>
      <c r="AA364" s="39" t="e">
        <f t="shared" si="23"/>
        <v>#N/A</v>
      </c>
      <c r="AB364" s="39"/>
      <c r="AC364" s="48" t="e">
        <f t="shared" si="25"/>
        <v>#N/A</v>
      </c>
    </row>
    <row r="365" spans="1:29" ht="12.5" x14ac:dyDescent="0.25">
      <c r="A365" s="36"/>
      <c r="B365" s="33"/>
      <c r="C365" s="33"/>
      <c r="D365" s="33"/>
      <c r="E365" s="35"/>
      <c r="F365" s="21"/>
      <c r="G365" s="22" t="e">
        <f>VLOOKUP(E365,'Court List'!$A:$C,2,0)</f>
        <v>#N/A</v>
      </c>
      <c r="H365" s="33"/>
      <c r="I365" s="33"/>
      <c r="J365" s="44" t="e">
        <f t="shared" si="16"/>
        <v>#N/A</v>
      </c>
      <c r="K365" s="36"/>
      <c r="L365" s="18">
        <f>SUM('Shuttle Count - Supreme (Nov 20'!C365:D365)</f>
        <v>0</v>
      </c>
      <c r="M365" s="18" t="e">
        <f>VLOOKUP(K365,'Shuttle Purchase'!A:C,3,0)</f>
        <v>#N/A</v>
      </c>
      <c r="N365" s="44" t="e">
        <f t="shared" si="26"/>
        <v>#N/A</v>
      </c>
      <c r="O365" s="24" t="e">
        <f>VLOOKUP(E365,'Court List'!$A:$C,3,0)</f>
        <v>#N/A</v>
      </c>
      <c r="P365" s="18">
        <f>COUNTIF('Pub List'!$C365:$T365,"&lt;&gt;")</f>
        <v>0</v>
      </c>
      <c r="Q365" s="20" t="e">
        <f t="shared" si="17"/>
        <v>#N/A</v>
      </c>
      <c r="R365" s="36"/>
      <c r="S365" s="18">
        <f>COUNTIF('Member List'!$C365:$J365,"&lt;&gt;")</f>
        <v>0</v>
      </c>
      <c r="T365" s="35"/>
      <c r="U365" s="24">
        <f t="shared" si="18"/>
        <v>0</v>
      </c>
      <c r="V365" s="18" t="e">
        <f t="shared" si="19"/>
        <v>#N/A</v>
      </c>
      <c r="W365" s="45" t="e">
        <f t="shared" si="20"/>
        <v>#N/A</v>
      </c>
      <c r="X365" s="20" t="e">
        <f t="shared" si="21"/>
        <v>#N/A</v>
      </c>
      <c r="Y365" s="46" t="e">
        <f t="shared" si="24"/>
        <v>#N/A</v>
      </c>
      <c r="Z365" s="39" t="e">
        <f t="shared" si="22"/>
        <v>#N/A</v>
      </c>
      <c r="AA365" s="39" t="e">
        <f t="shared" si="23"/>
        <v>#N/A</v>
      </c>
      <c r="AB365" s="39"/>
      <c r="AC365" s="48" t="e">
        <f t="shared" si="25"/>
        <v>#N/A</v>
      </c>
    </row>
    <row r="366" spans="1:29" ht="12.5" x14ac:dyDescent="0.25">
      <c r="A366" s="36"/>
      <c r="B366" s="33"/>
      <c r="C366" s="33"/>
      <c r="D366" s="33"/>
      <c r="E366" s="35"/>
      <c r="F366" s="21"/>
      <c r="G366" s="22" t="e">
        <f>VLOOKUP(E366,'Court List'!$A:$C,2,0)</f>
        <v>#N/A</v>
      </c>
      <c r="H366" s="33"/>
      <c r="I366" s="33"/>
      <c r="J366" s="44" t="e">
        <f t="shared" si="16"/>
        <v>#N/A</v>
      </c>
      <c r="K366" s="36"/>
      <c r="L366" s="18">
        <f>SUM('Shuttle Count - Supreme (Nov 20'!C366:D366)</f>
        <v>0</v>
      </c>
      <c r="M366" s="18" t="e">
        <f>VLOOKUP(K366,'Shuttle Purchase'!A:C,3,0)</f>
        <v>#N/A</v>
      </c>
      <c r="N366" s="44" t="e">
        <f t="shared" si="26"/>
        <v>#N/A</v>
      </c>
      <c r="O366" s="24" t="e">
        <f>VLOOKUP(E366,'Court List'!$A:$C,3,0)</f>
        <v>#N/A</v>
      </c>
      <c r="P366" s="18">
        <f>COUNTIF('Pub List'!$C366:$T366,"&lt;&gt;")</f>
        <v>0</v>
      </c>
      <c r="Q366" s="20" t="e">
        <f t="shared" si="17"/>
        <v>#N/A</v>
      </c>
      <c r="R366" s="36"/>
      <c r="S366" s="18">
        <f>COUNTIF('Member List'!$C366:$J366,"&lt;&gt;")</f>
        <v>0</v>
      </c>
      <c r="T366" s="35"/>
      <c r="U366" s="24">
        <f t="shared" si="18"/>
        <v>0</v>
      </c>
      <c r="V366" s="18" t="e">
        <f t="shared" si="19"/>
        <v>#N/A</v>
      </c>
      <c r="W366" s="45" t="e">
        <f t="shared" si="20"/>
        <v>#N/A</v>
      </c>
      <c r="X366" s="20" t="e">
        <f t="shared" si="21"/>
        <v>#N/A</v>
      </c>
      <c r="Y366" s="46" t="e">
        <f t="shared" si="24"/>
        <v>#N/A</v>
      </c>
      <c r="Z366" s="39" t="e">
        <f t="shared" si="22"/>
        <v>#N/A</v>
      </c>
      <c r="AA366" s="39" t="e">
        <f t="shared" si="23"/>
        <v>#N/A</v>
      </c>
      <c r="AB366" s="39"/>
      <c r="AC366" s="48" t="e">
        <f t="shared" si="25"/>
        <v>#N/A</v>
      </c>
    </row>
    <row r="367" spans="1:29" ht="12.5" x14ac:dyDescent="0.25">
      <c r="A367" s="36"/>
      <c r="B367" s="33"/>
      <c r="C367" s="33"/>
      <c r="D367" s="33"/>
      <c r="E367" s="35"/>
      <c r="F367" s="21"/>
      <c r="G367" s="22" t="e">
        <f>VLOOKUP(E367,'Court List'!$A:$C,2,0)</f>
        <v>#N/A</v>
      </c>
      <c r="H367" s="33"/>
      <c r="I367" s="33"/>
      <c r="J367" s="44" t="e">
        <f t="shared" si="16"/>
        <v>#N/A</v>
      </c>
      <c r="K367" s="36"/>
      <c r="L367" s="18">
        <f>SUM('Shuttle Count - Supreme (Nov 20'!C367:D367)</f>
        <v>0</v>
      </c>
      <c r="M367" s="18" t="e">
        <f>VLOOKUP(K367,'Shuttle Purchase'!A:C,3,0)</f>
        <v>#N/A</v>
      </c>
      <c r="N367" s="44" t="e">
        <f t="shared" si="26"/>
        <v>#N/A</v>
      </c>
      <c r="O367" s="24" t="e">
        <f>VLOOKUP(E367,'Court List'!$A:$C,3,0)</f>
        <v>#N/A</v>
      </c>
      <c r="P367" s="18">
        <f>COUNTIF('Pub List'!$C367:$T367,"&lt;&gt;")</f>
        <v>0</v>
      </c>
      <c r="Q367" s="20" t="e">
        <f t="shared" si="17"/>
        <v>#N/A</v>
      </c>
      <c r="R367" s="36"/>
      <c r="S367" s="18">
        <f>COUNTIF('Member List'!$C367:$J367,"&lt;&gt;")</f>
        <v>0</v>
      </c>
      <c r="T367" s="35"/>
      <c r="U367" s="24">
        <f t="shared" si="18"/>
        <v>0</v>
      </c>
      <c r="V367" s="18" t="e">
        <f t="shared" si="19"/>
        <v>#N/A</v>
      </c>
      <c r="W367" s="45" t="e">
        <f t="shared" si="20"/>
        <v>#N/A</v>
      </c>
      <c r="X367" s="20" t="e">
        <f t="shared" si="21"/>
        <v>#N/A</v>
      </c>
      <c r="Y367" s="46" t="e">
        <f t="shared" si="24"/>
        <v>#N/A</v>
      </c>
      <c r="Z367" s="39" t="e">
        <f t="shared" si="22"/>
        <v>#N/A</v>
      </c>
      <c r="AA367" s="39" t="e">
        <f t="shared" si="23"/>
        <v>#N/A</v>
      </c>
      <c r="AB367" s="39"/>
      <c r="AC367" s="48" t="e">
        <f t="shared" si="25"/>
        <v>#N/A</v>
      </c>
    </row>
    <row r="368" spans="1:29" ht="12.5" x14ac:dyDescent="0.25">
      <c r="A368" s="36"/>
      <c r="B368" s="33"/>
      <c r="C368" s="33"/>
      <c r="D368" s="33"/>
      <c r="E368" s="35"/>
      <c r="F368" s="21"/>
      <c r="G368" s="22" t="e">
        <f>VLOOKUP(E368,'Court List'!$A:$C,2,0)</f>
        <v>#N/A</v>
      </c>
      <c r="H368" s="33"/>
      <c r="I368" s="33"/>
      <c r="J368" s="44" t="e">
        <f t="shared" si="16"/>
        <v>#N/A</v>
      </c>
      <c r="K368" s="36"/>
      <c r="L368" s="18">
        <f>SUM('Shuttle Count - Supreme (Nov 20'!C368:D368)</f>
        <v>0</v>
      </c>
      <c r="M368" s="18" t="e">
        <f>VLOOKUP(K368,'Shuttle Purchase'!A:C,3,0)</f>
        <v>#N/A</v>
      </c>
      <c r="N368" s="44" t="e">
        <f t="shared" si="26"/>
        <v>#N/A</v>
      </c>
      <c r="O368" s="24" t="e">
        <f>VLOOKUP(E368,'Court List'!$A:$C,3,0)</f>
        <v>#N/A</v>
      </c>
      <c r="P368" s="18">
        <f>COUNTIF('Pub List'!$C368:$T368,"&lt;&gt;")</f>
        <v>0</v>
      </c>
      <c r="Q368" s="20" t="e">
        <f t="shared" si="17"/>
        <v>#N/A</v>
      </c>
      <c r="R368" s="36"/>
      <c r="S368" s="18">
        <f>COUNTIF('Member List'!$C368:$J368,"&lt;&gt;")</f>
        <v>0</v>
      </c>
      <c r="T368" s="35"/>
      <c r="U368" s="24">
        <f t="shared" si="18"/>
        <v>0</v>
      </c>
      <c r="V368" s="18" t="e">
        <f t="shared" si="19"/>
        <v>#N/A</v>
      </c>
      <c r="W368" s="45" t="e">
        <f t="shared" si="20"/>
        <v>#N/A</v>
      </c>
      <c r="X368" s="20" t="e">
        <f t="shared" si="21"/>
        <v>#N/A</v>
      </c>
      <c r="Y368" s="46" t="e">
        <f t="shared" si="24"/>
        <v>#N/A</v>
      </c>
      <c r="Z368" s="39" t="e">
        <f t="shared" si="22"/>
        <v>#N/A</v>
      </c>
      <c r="AA368" s="39" t="e">
        <f t="shared" si="23"/>
        <v>#N/A</v>
      </c>
      <c r="AB368" s="39"/>
      <c r="AC368" s="48" t="e">
        <f t="shared" si="25"/>
        <v>#N/A</v>
      </c>
    </row>
    <row r="369" spans="1:29" ht="12.5" x14ac:dyDescent="0.25">
      <c r="A369" s="36"/>
      <c r="B369" s="33"/>
      <c r="C369" s="33"/>
      <c r="D369" s="33"/>
      <c r="E369" s="35"/>
      <c r="F369" s="21"/>
      <c r="G369" s="22" t="e">
        <f>VLOOKUP(E369,'Court List'!$A:$C,2,0)</f>
        <v>#N/A</v>
      </c>
      <c r="H369" s="33"/>
      <c r="I369" s="33"/>
      <c r="J369" s="44" t="e">
        <f t="shared" si="16"/>
        <v>#N/A</v>
      </c>
      <c r="K369" s="36"/>
      <c r="L369" s="18">
        <f>SUM('Shuttle Count - Supreme (Nov 20'!C369:D369)</f>
        <v>0</v>
      </c>
      <c r="M369" s="18" t="e">
        <f>VLOOKUP(K369,'Shuttle Purchase'!A:C,3,0)</f>
        <v>#N/A</v>
      </c>
      <c r="N369" s="44" t="e">
        <f t="shared" si="26"/>
        <v>#N/A</v>
      </c>
      <c r="O369" s="24" t="e">
        <f>VLOOKUP(E369,'Court List'!$A:$C,3,0)</f>
        <v>#N/A</v>
      </c>
      <c r="P369" s="18">
        <f>COUNTIF('Pub List'!$C369:$T369,"&lt;&gt;")</f>
        <v>0</v>
      </c>
      <c r="Q369" s="20" t="e">
        <f t="shared" si="17"/>
        <v>#N/A</v>
      </c>
      <c r="R369" s="36"/>
      <c r="S369" s="18">
        <f>COUNTIF('Member List'!$C369:$J369,"&lt;&gt;")</f>
        <v>0</v>
      </c>
      <c r="T369" s="35"/>
      <c r="U369" s="24">
        <f t="shared" si="18"/>
        <v>0</v>
      </c>
      <c r="V369" s="18" t="e">
        <f t="shared" si="19"/>
        <v>#N/A</v>
      </c>
      <c r="W369" s="45" t="e">
        <f t="shared" si="20"/>
        <v>#N/A</v>
      </c>
      <c r="X369" s="20" t="e">
        <f t="shared" si="21"/>
        <v>#N/A</v>
      </c>
      <c r="Y369" s="46" t="e">
        <f t="shared" si="24"/>
        <v>#N/A</v>
      </c>
      <c r="Z369" s="39" t="e">
        <f t="shared" si="22"/>
        <v>#N/A</v>
      </c>
      <c r="AA369" s="39" t="e">
        <f t="shared" si="23"/>
        <v>#N/A</v>
      </c>
      <c r="AB369" s="39"/>
      <c r="AC369" s="48" t="e">
        <f t="shared" si="25"/>
        <v>#N/A</v>
      </c>
    </row>
    <row r="370" spans="1:29" ht="12.5" x14ac:dyDescent="0.25">
      <c r="A370" s="36"/>
      <c r="B370" s="33"/>
      <c r="C370" s="33"/>
      <c r="D370" s="33"/>
      <c r="E370" s="35"/>
      <c r="F370" s="21"/>
      <c r="G370" s="22" t="e">
        <f>VLOOKUP(E370,'Court List'!$A:$C,2,0)</f>
        <v>#N/A</v>
      </c>
      <c r="H370" s="33"/>
      <c r="I370" s="33"/>
      <c r="J370" s="44" t="e">
        <f t="shared" si="16"/>
        <v>#N/A</v>
      </c>
      <c r="K370" s="36"/>
      <c r="L370" s="18">
        <f>SUM('Shuttle Count - Supreme (Nov 20'!C370:D370)</f>
        <v>0</v>
      </c>
      <c r="M370" s="18" t="e">
        <f>VLOOKUP(K370,'Shuttle Purchase'!A:C,3,0)</f>
        <v>#N/A</v>
      </c>
      <c r="N370" s="44" t="e">
        <f t="shared" si="26"/>
        <v>#N/A</v>
      </c>
      <c r="O370" s="24" t="e">
        <f>VLOOKUP(E370,'Court List'!$A:$C,3,0)</f>
        <v>#N/A</v>
      </c>
      <c r="P370" s="18">
        <f>COUNTIF('Pub List'!$C370:$T370,"&lt;&gt;")</f>
        <v>0</v>
      </c>
      <c r="Q370" s="20" t="e">
        <f t="shared" si="17"/>
        <v>#N/A</v>
      </c>
      <c r="R370" s="36"/>
      <c r="S370" s="18">
        <f>COUNTIF('Member List'!$C370:$J370,"&lt;&gt;")</f>
        <v>0</v>
      </c>
      <c r="T370" s="35"/>
      <c r="U370" s="24">
        <f t="shared" si="18"/>
        <v>0</v>
      </c>
      <c r="V370" s="18" t="e">
        <f t="shared" si="19"/>
        <v>#N/A</v>
      </c>
      <c r="W370" s="45" t="e">
        <f t="shared" si="20"/>
        <v>#N/A</v>
      </c>
      <c r="X370" s="20" t="e">
        <f t="shared" si="21"/>
        <v>#N/A</v>
      </c>
      <c r="Y370" s="46" t="e">
        <f t="shared" si="24"/>
        <v>#N/A</v>
      </c>
      <c r="Z370" s="39" t="e">
        <f t="shared" si="22"/>
        <v>#N/A</v>
      </c>
      <c r="AA370" s="39" t="e">
        <f t="shared" si="23"/>
        <v>#N/A</v>
      </c>
      <c r="AB370" s="39"/>
      <c r="AC370" s="48" t="e">
        <f t="shared" si="25"/>
        <v>#N/A</v>
      </c>
    </row>
    <row r="371" spans="1:29" ht="12.5" x14ac:dyDescent="0.25">
      <c r="A371" s="36"/>
      <c r="B371" s="33"/>
      <c r="C371" s="33"/>
      <c r="D371" s="33"/>
      <c r="E371" s="35"/>
      <c r="F371" s="21"/>
      <c r="G371" s="22" t="e">
        <f>VLOOKUP(E371,'Court List'!$A:$C,2,0)</f>
        <v>#N/A</v>
      </c>
      <c r="H371" s="33"/>
      <c r="I371" s="33"/>
      <c r="J371" s="44" t="e">
        <f t="shared" si="16"/>
        <v>#N/A</v>
      </c>
      <c r="K371" s="36"/>
      <c r="L371" s="18">
        <f>SUM('Shuttle Count - Supreme (Nov 20'!C371:D371)</f>
        <v>0</v>
      </c>
      <c r="M371" s="18" t="e">
        <f>VLOOKUP(K371,'Shuttle Purchase'!A:C,3,0)</f>
        <v>#N/A</v>
      </c>
      <c r="N371" s="44" t="e">
        <f t="shared" si="26"/>
        <v>#N/A</v>
      </c>
      <c r="O371" s="24" t="e">
        <f>VLOOKUP(E371,'Court List'!$A:$C,3,0)</f>
        <v>#N/A</v>
      </c>
      <c r="P371" s="18">
        <f>COUNTIF('Pub List'!$C371:$T371,"&lt;&gt;")</f>
        <v>0</v>
      </c>
      <c r="Q371" s="20" t="e">
        <f t="shared" si="17"/>
        <v>#N/A</v>
      </c>
      <c r="R371" s="36"/>
      <c r="S371" s="18">
        <f>COUNTIF('Member List'!$C371:$J371,"&lt;&gt;")</f>
        <v>0</v>
      </c>
      <c r="T371" s="35"/>
      <c r="U371" s="24">
        <f t="shared" si="18"/>
        <v>0</v>
      </c>
      <c r="V371" s="18" t="e">
        <f t="shared" si="19"/>
        <v>#N/A</v>
      </c>
      <c r="W371" s="45" t="e">
        <f t="shared" si="20"/>
        <v>#N/A</v>
      </c>
      <c r="X371" s="20" t="e">
        <f t="shared" si="21"/>
        <v>#N/A</v>
      </c>
      <c r="Y371" s="46" t="e">
        <f t="shared" si="24"/>
        <v>#N/A</v>
      </c>
      <c r="Z371" s="39" t="e">
        <f t="shared" si="22"/>
        <v>#N/A</v>
      </c>
      <c r="AA371" s="39" t="e">
        <f t="shared" si="23"/>
        <v>#N/A</v>
      </c>
      <c r="AB371" s="39"/>
      <c r="AC371" s="48" t="e">
        <f t="shared" si="25"/>
        <v>#N/A</v>
      </c>
    </row>
    <row r="372" spans="1:29" ht="12.5" x14ac:dyDescent="0.25">
      <c r="A372" s="36"/>
      <c r="B372" s="33"/>
      <c r="C372" s="33"/>
      <c r="D372" s="33"/>
      <c r="E372" s="35"/>
      <c r="F372" s="21"/>
      <c r="G372" s="22" t="e">
        <f>VLOOKUP(E372,'Court List'!$A:$C,2,0)</f>
        <v>#N/A</v>
      </c>
      <c r="H372" s="33"/>
      <c r="I372" s="33"/>
      <c r="J372" s="44" t="e">
        <f t="shared" si="16"/>
        <v>#N/A</v>
      </c>
      <c r="K372" s="36"/>
      <c r="L372" s="18">
        <f>SUM('Shuttle Count - Supreme (Nov 20'!C372:D372)</f>
        <v>0</v>
      </c>
      <c r="M372" s="18" t="e">
        <f>VLOOKUP(K372,'Shuttle Purchase'!A:C,3,0)</f>
        <v>#N/A</v>
      </c>
      <c r="N372" s="44" t="e">
        <f t="shared" si="26"/>
        <v>#N/A</v>
      </c>
      <c r="O372" s="24" t="e">
        <f>VLOOKUP(E372,'Court List'!$A:$C,3,0)</f>
        <v>#N/A</v>
      </c>
      <c r="P372" s="18">
        <f>COUNTIF('Pub List'!$C372:$T372,"&lt;&gt;")</f>
        <v>0</v>
      </c>
      <c r="Q372" s="20" t="e">
        <f t="shared" si="17"/>
        <v>#N/A</v>
      </c>
      <c r="R372" s="36"/>
      <c r="S372" s="18">
        <f>COUNTIF('Member List'!$C372:$J372,"&lt;&gt;")</f>
        <v>0</v>
      </c>
      <c r="T372" s="35"/>
      <c r="U372" s="24">
        <f t="shared" si="18"/>
        <v>0</v>
      </c>
      <c r="V372" s="18" t="e">
        <f t="shared" si="19"/>
        <v>#N/A</v>
      </c>
      <c r="W372" s="45" t="e">
        <f t="shared" si="20"/>
        <v>#N/A</v>
      </c>
      <c r="X372" s="20" t="e">
        <f t="shared" si="21"/>
        <v>#N/A</v>
      </c>
      <c r="Y372" s="46" t="e">
        <f t="shared" si="24"/>
        <v>#N/A</v>
      </c>
      <c r="Z372" s="39" t="e">
        <f t="shared" si="22"/>
        <v>#N/A</v>
      </c>
      <c r="AA372" s="39" t="e">
        <f t="shared" si="23"/>
        <v>#N/A</v>
      </c>
      <c r="AB372" s="39"/>
      <c r="AC372" s="48" t="e">
        <f t="shared" si="25"/>
        <v>#N/A</v>
      </c>
    </row>
    <row r="373" spans="1:29" ht="12.5" x14ac:dyDescent="0.25">
      <c r="A373" s="36"/>
      <c r="B373" s="33"/>
      <c r="C373" s="33"/>
      <c r="D373" s="33"/>
      <c r="E373" s="35"/>
      <c r="F373" s="21"/>
      <c r="G373" s="22" t="e">
        <f>VLOOKUP(E373,'Court List'!$A:$C,2,0)</f>
        <v>#N/A</v>
      </c>
      <c r="H373" s="33"/>
      <c r="I373" s="33"/>
      <c r="J373" s="44" t="e">
        <f t="shared" si="16"/>
        <v>#N/A</v>
      </c>
      <c r="K373" s="36"/>
      <c r="L373" s="18">
        <f>SUM('Shuttle Count - Supreme (Nov 20'!C373:D373)</f>
        <v>0</v>
      </c>
      <c r="M373" s="18" t="e">
        <f>VLOOKUP(K373,'Shuttle Purchase'!A:C,3,0)</f>
        <v>#N/A</v>
      </c>
      <c r="N373" s="44" t="e">
        <f t="shared" si="26"/>
        <v>#N/A</v>
      </c>
      <c r="O373" s="24" t="e">
        <f>VLOOKUP(E373,'Court List'!$A:$C,3,0)</f>
        <v>#N/A</v>
      </c>
      <c r="P373" s="18">
        <f>COUNTIF('Pub List'!$C373:$T373,"&lt;&gt;")</f>
        <v>0</v>
      </c>
      <c r="Q373" s="20" t="e">
        <f t="shared" si="17"/>
        <v>#N/A</v>
      </c>
      <c r="R373" s="36"/>
      <c r="S373" s="18">
        <f>COUNTIF('Member List'!$C373:$J373,"&lt;&gt;")</f>
        <v>0</v>
      </c>
      <c r="T373" s="35"/>
      <c r="U373" s="24">
        <f t="shared" si="18"/>
        <v>0</v>
      </c>
      <c r="V373" s="18" t="e">
        <f t="shared" si="19"/>
        <v>#N/A</v>
      </c>
      <c r="W373" s="45" t="e">
        <f t="shared" si="20"/>
        <v>#N/A</v>
      </c>
      <c r="X373" s="20" t="e">
        <f t="shared" si="21"/>
        <v>#N/A</v>
      </c>
      <c r="Y373" s="46" t="e">
        <f t="shared" si="24"/>
        <v>#N/A</v>
      </c>
      <c r="Z373" s="39" t="e">
        <f t="shared" si="22"/>
        <v>#N/A</v>
      </c>
      <c r="AA373" s="39" t="e">
        <f t="shared" si="23"/>
        <v>#N/A</v>
      </c>
      <c r="AB373" s="39"/>
      <c r="AC373" s="48" t="e">
        <f t="shared" si="25"/>
        <v>#N/A</v>
      </c>
    </row>
    <row r="374" spans="1:29" ht="12.5" x14ac:dyDescent="0.25">
      <c r="A374" s="36"/>
      <c r="B374" s="33"/>
      <c r="C374" s="33"/>
      <c r="D374" s="33"/>
      <c r="E374" s="35"/>
      <c r="F374" s="21"/>
      <c r="G374" s="22" t="e">
        <f>VLOOKUP(E374,'Court List'!$A:$C,2,0)</f>
        <v>#N/A</v>
      </c>
      <c r="H374" s="33"/>
      <c r="I374" s="33"/>
      <c r="J374" s="44" t="e">
        <f t="shared" si="16"/>
        <v>#N/A</v>
      </c>
      <c r="K374" s="36"/>
      <c r="L374" s="18">
        <f>SUM('Shuttle Count - Supreme (Nov 20'!C374:D374)</f>
        <v>0</v>
      </c>
      <c r="M374" s="18" t="e">
        <f>VLOOKUP(K374,'Shuttle Purchase'!A:C,3,0)</f>
        <v>#N/A</v>
      </c>
      <c r="N374" s="44" t="e">
        <f t="shared" si="26"/>
        <v>#N/A</v>
      </c>
      <c r="O374" s="24" t="e">
        <f>VLOOKUP(E374,'Court List'!$A:$C,3,0)</f>
        <v>#N/A</v>
      </c>
      <c r="P374" s="18">
        <f>COUNTIF('Pub List'!$C374:$T374,"&lt;&gt;")</f>
        <v>0</v>
      </c>
      <c r="Q374" s="20" t="e">
        <f t="shared" si="17"/>
        <v>#N/A</v>
      </c>
      <c r="R374" s="36"/>
      <c r="S374" s="18">
        <f>COUNTIF('Member List'!$C374:$J374,"&lt;&gt;")</f>
        <v>0</v>
      </c>
      <c r="T374" s="35"/>
      <c r="U374" s="24">
        <f t="shared" si="18"/>
        <v>0</v>
      </c>
      <c r="V374" s="18" t="e">
        <f t="shared" si="19"/>
        <v>#N/A</v>
      </c>
      <c r="W374" s="45" t="e">
        <f t="shared" si="20"/>
        <v>#N/A</v>
      </c>
      <c r="X374" s="20" t="e">
        <f t="shared" si="21"/>
        <v>#N/A</v>
      </c>
      <c r="Y374" s="46" t="e">
        <f t="shared" si="24"/>
        <v>#N/A</v>
      </c>
      <c r="Z374" s="39" t="e">
        <f t="shared" si="22"/>
        <v>#N/A</v>
      </c>
      <c r="AA374" s="39" t="e">
        <f t="shared" si="23"/>
        <v>#N/A</v>
      </c>
      <c r="AB374" s="39"/>
      <c r="AC374" s="48" t="e">
        <f t="shared" si="25"/>
        <v>#N/A</v>
      </c>
    </row>
    <row r="375" spans="1:29" ht="12.5" x14ac:dyDescent="0.25">
      <c r="A375" s="36"/>
      <c r="B375" s="33"/>
      <c r="C375" s="33"/>
      <c r="D375" s="33"/>
      <c r="E375" s="35"/>
      <c r="F375" s="21"/>
      <c r="G375" s="22" t="e">
        <f>VLOOKUP(E375,'Court List'!$A:$C,2,0)</f>
        <v>#N/A</v>
      </c>
      <c r="H375" s="33"/>
      <c r="I375" s="33"/>
      <c r="J375" s="44" t="e">
        <f t="shared" si="16"/>
        <v>#N/A</v>
      </c>
      <c r="K375" s="36"/>
      <c r="L375" s="18">
        <f>SUM('Shuttle Count - Supreme (Nov 20'!C375:D375)</f>
        <v>0</v>
      </c>
      <c r="M375" s="18" t="e">
        <f>VLOOKUP(K375,'Shuttle Purchase'!A:C,3,0)</f>
        <v>#N/A</v>
      </c>
      <c r="N375" s="44" t="e">
        <f t="shared" si="26"/>
        <v>#N/A</v>
      </c>
      <c r="O375" s="24" t="e">
        <f>VLOOKUP(E375,'Court List'!$A:$C,3,0)</f>
        <v>#N/A</v>
      </c>
      <c r="P375" s="18">
        <f>COUNTIF('Pub List'!$C375:$T375,"&lt;&gt;")</f>
        <v>0</v>
      </c>
      <c r="Q375" s="20" t="e">
        <f t="shared" si="17"/>
        <v>#N/A</v>
      </c>
      <c r="R375" s="36"/>
      <c r="S375" s="18">
        <f>COUNTIF('Member List'!$C375:$J375,"&lt;&gt;")</f>
        <v>0</v>
      </c>
      <c r="T375" s="35"/>
      <c r="U375" s="24">
        <f t="shared" si="18"/>
        <v>0</v>
      </c>
      <c r="V375" s="18" t="e">
        <f t="shared" si="19"/>
        <v>#N/A</v>
      </c>
      <c r="W375" s="45" t="e">
        <f t="shared" si="20"/>
        <v>#N/A</v>
      </c>
      <c r="X375" s="20" t="e">
        <f t="shared" si="21"/>
        <v>#N/A</v>
      </c>
      <c r="Y375" s="46" t="e">
        <f t="shared" si="24"/>
        <v>#N/A</v>
      </c>
      <c r="Z375" s="39" t="e">
        <f t="shared" si="22"/>
        <v>#N/A</v>
      </c>
      <c r="AA375" s="39" t="e">
        <f t="shared" si="23"/>
        <v>#N/A</v>
      </c>
      <c r="AB375" s="39"/>
      <c r="AC375" s="48" t="e">
        <f t="shared" si="25"/>
        <v>#N/A</v>
      </c>
    </row>
    <row r="376" spans="1:29" ht="12.5" x14ac:dyDescent="0.25">
      <c r="A376" s="36"/>
      <c r="B376" s="33"/>
      <c r="C376" s="33"/>
      <c r="D376" s="33"/>
      <c r="E376" s="35"/>
      <c r="F376" s="21"/>
      <c r="G376" s="22" t="e">
        <f>VLOOKUP(E376,'Court List'!$A:$C,2,0)</f>
        <v>#N/A</v>
      </c>
      <c r="H376" s="33"/>
      <c r="I376" s="33"/>
      <c r="J376" s="44" t="e">
        <f t="shared" si="16"/>
        <v>#N/A</v>
      </c>
      <c r="K376" s="36"/>
      <c r="L376" s="18">
        <f>SUM('Shuttle Count - Supreme (Nov 20'!C376:D376)</f>
        <v>0</v>
      </c>
      <c r="M376" s="18" t="e">
        <f>VLOOKUP(K376,'Shuttle Purchase'!A:C,3,0)</f>
        <v>#N/A</v>
      </c>
      <c r="N376" s="44" t="e">
        <f t="shared" si="26"/>
        <v>#N/A</v>
      </c>
      <c r="O376" s="24" t="e">
        <f>VLOOKUP(E376,'Court List'!$A:$C,3,0)</f>
        <v>#N/A</v>
      </c>
      <c r="P376" s="18">
        <f>COUNTIF('Pub List'!$C376:$T376,"&lt;&gt;")</f>
        <v>0</v>
      </c>
      <c r="Q376" s="20" t="e">
        <f t="shared" si="17"/>
        <v>#N/A</v>
      </c>
      <c r="R376" s="36"/>
      <c r="S376" s="18">
        <f>COUNTIF('Member List'!$C376:$J376,"&lt;&gt;")</f>
        <v>0</v>
      </c>
      <c r="T376" s="35"/>
      <c r="U376" s="24">
        <f t="shared" si="18"/>
        <v>0</v>
      </c>
      <c r="V376" s="18" t="e">
        <f t="shared" si="19"/>
        <v>#N/A</v>
      </c>
      <c r="W376" s="45" t="e">
        <f t="shared" si="20"/>
        <v>#N/A</v>
      </c>
      <c r="X376" s="20" t="e">
        <f t="shared" si="21"/>
        <v>#N/A</v>
      </c>
      <c r="Y376" s="46" t="e">
        <f t="shared" si="24"/>
        <v>#N/A</v>
      </c>
      <c r="Z376" s="39" t="e">
        <f t="shared" si="22"/>
        <v>#N/A</v>
      </c>
      <c r="AA376" s="39" t="e">
        <f t="shared" si="23"/>
        <v>#N/A</v>
      </c>
      <c r="AB376" s="39"/>
      <c r="AC376" s="48" t="e">
        <f t="shared" si="25"/>
        <v>#N/A</v>
      </c>
    </row>
    <row r="377" spans="1:29" ht="12.5" x14ac:dyDescent="0.25">
      <c r="A377" s="36"/>
      <c r="B377" s="33"/>
      <c r="C377" s="33"/>
      <c r="D377" s="33"/>
      <c r="E377" s="35"/>
      <c r="F377" s="21"/>
      <c r="G377" s="22" t="e">
        <f>VLOOKUP(E377,'Court List'!$A:$C,2,0)</f>
        <v>#N/A</v>
      </c>
      <c r="H377" s="33"/>
      <c r="I377" s="33"/>
      <c r="J377" s="44" t="e">
        <f t="shared" si="16"/>
        <v>#N/A</v>
      </c>
      <c r="K377" s="36"/>
      <c r="L377" s="18">
        <f>SUM('Shuttle Count - Supreme (Nov 20'!C377:D377)</f>
        <v>0</v>
      </c>
      <c r="M377" s="18" t="e">
        <f>VLOOKUP(K377,'Shuttle Purchase'!A:C,3,0)</f>
        <v>#N/A</v>
      </c>
      <c r="N377" s="44" t="e">
        <f t="shared" si="26"/>
        <v>#N/A</v>
      </c>
      <c r="O377" s="24" t="e">
        <f>VLOOKUP(E377,'Court List'!$A:$C,3,0)</f>
        <v>#N/A</v>
      </c>
      <c r="P377" s="18">
        <f>COUNTIF('Pub List'!$C377:$T377,"&lt;&gt;")</f>
        <v>0</v>
      </c>
      <c r="Q377" s="20" t="e">
        <f t="shared" si="17"/>
        <v>#N/A</v>
      </c>
      <c r="R377" s="36"/>
      <c r="S377" s="18">
        <f>COUNTIF('Member List'!$C377:$J377,"&lt;&gt;")</f>
        <v>0</v>
      </c>
      <c r="T377" s="35"/>
      <c r="U377" s="24">
        <f t="shared" si="18"/>
        <v>0</v>
      </c>
      <c r="V377" s="18" t="e">
        <f t="shared" si="19"/>
        <v>#N/A</v>
      </c>
      <c r="W377" s="45" t="e">
        <f t="shared" si="20"/>
        <v>#N/A</v>
      </c>
      <c r="X377" s="20" t="e">
        <f t="shared" si="21"/>
        <v>#N/A</v>
      </c>
      <c r="Y377" s="46" t="e">
        <f t="shared" si="24"/>
        <v>#N/A</v>
      </c>
      <c r="Z377" s="39" t="e">
        <f t="shared" si="22"/>
        <v>#N/A</v>
      </c>
      <c r="AA377" s="39" t="e">
        <f t="shared" si="23"/>
        <v>#N/A</v>
      </c>
      <c r="AB377" s="39"/>
      <c r="AC377" s="48" t="e">
        <f t="shared" si="25"/>
        <v>#N/A</v>
      </c>
    </row>
    <row r="378" spans="1:29" ht="12.5" x14ac:dyDescent="0.25">
      <c r="A378" s="36"/>
      <c r="B378" s="33"/>
      <c r="C378" s="33"/>
      <c r="D378" s="33"/>
      <c r="E378" s="35"/>
      <c r="F378" s="21"/>
      <c r="G378" s="22" t="e">
        <f>VLOOKUP(E378,'Court List'!$A:$C,2,0)</f>
        <v>#N/A</v>
      </c>
      <c r="H378" s="33"/>
      <c r="I378" s="33"/>
      <c r="J378" s="44" t="e">
        <f t="shared" si="16"/>
        <v>#N/A</v>
      </c>
      <c r="K378" s="36"/>
      <c r="L378" s="18">
        <f>SUM('Shuttle Count - Supreme (Nov 20'!C378:D378)</f>
        <v>0</v>
      </c>
      <c r="M378" s="18" t="e">
        <f>VLOOKUP(K378,'Shuttle Purchase'!A:C,3,0)</f>
        <v>#N/A</v>
      </c>
      <c r="N378" s="44" t="e">
        <f t="shared" si="26"/>
        <v>#N/A</v>
      </c>
      <c r="O378" s="24" t="e">
        <f>VLOOKUP(E378,'Court List'!$A:$C,3,0)</f>
        <v>#N/A</v>
      </c>
      <c r="P378" s="18">
        <f>COUNTIF('Pub List'!$C378:$T378,"&lt;&gt;")</f>
        <v>0</v>
      </c>
      <c r="Q378" s="20" t="e">
        <f t="shared" si="17"/>
        <v>#N/A</v>
      </c>
      <c r="R378" s="36"/>
      <c r="S378" s="18">
        <f>COUNTIF('Member List'!$C378:$J378,"&lt;&gt;")</f>
        <v>0</v>
      </c>
      <c r="T378" s="35"/>
      <c r="U378" s="24">
        <f t="shared" si="18"/>
        <v>0</v>
      </c>
      <c r="V378" s="18" t="e">
        <f t="shared" si="19"/>
        <v>#N/A</v>
      </c>
      <c r="W378" s="45" t="e">
        <f t="shared" si="20"/>
        <v>#N/A</v>
      </c>
      <c r="X378" s="20" t="e">
        <f t="shared" si="21"/>
        <v>#N/A</v>
      </c>
      <c r="Y378" s="46" t="e">
        <f t="shared" si="24"/>
        <v>#N/A</v>
      </c>
      <c r="Z378" s="39" t="e">
        <f t="shared" si="22"/>
        <v>#N/A</v>
      </c>
      <c r="AA378" s="39" t="e">
        <f t="shared" si="23"/>
        <v>#N/A</v>
      </c>
      <c r="AB378" s="39"/>
      <c r="AC378" s="48" t="e">
        <f t="shared" si="25"/>
        <v>#N/A</v>
      </c>
    </row>
    <row r="379" spans="1:29" ht="12.5" x14ac:dyDescent="0.25">
      <c r="A379" s="36"/>
      <c r="B379" s="33"/>
      <c r="C379" s="33"/>
      <c r="D379" s="33"/>
      <c r="E379" s="35"/>
      <c r="F379" s="21"/>
      <c r="G379" s="22" t="e">
        <f>VLOOKUP(E379,'Court List'!$A:$C,2,0)</f>
        <v>#N/A</v>
      </c>
      <c r="H379" s="33"/>
      <c r="I379" s="33"/>
      <c r="J379" s="44" t="e">
        <f t="shared" si="16"/>
        <v>#N/A</v>
      </c>
      <c r="K379" s="36"/>
      <c r="L379" s="18">
        <f>SUM('Shuttle Count - Supreme (Nov 20'!C379:D379)</f>
        <v>0</v>
      </c>
      <c r="M379" s="18" t="e">
        <f>VLOOKUP(K379,'Shuttle Purchase'!A:C,3,0)</f>
        <v>#N/A</v>
      </c>
      <c r="N379" s="44" t="e">
        <f t="shared" si="26"/>
        <v>#N/A</v>
      </c>
      <c r="O379" s="24" t="e">
        <f>VLOOKUP(E379,'Court List'!$A:$C,3,0)</f>
        <v>#N/A</v>
      </c>
      <c r="P379" s="18">
        <f>COUNTIF('Pub List'!$C379:$T379,"&lt;&gt;")</f>
        <v>0</v>
      </c>
      <c r="Q379" s="20" t="e">
        <f t="shared" si="17"/>
        <v>#N/A</v>
      </c>
      <c r="R379" s="36"/>
      <c r="S379" s="18">
        <f>COUNTIF('Member List'!$C379:$J379,"&lt;&gt;")</f>
        <v>0</v>
      </c>
      <c r="T379" s="35"/>
      <c r="U379" s="24">
        <f t="shared" si="18"/>
        <v>0</v>
      </c>
      <c r="V379" s="18" t="e">
        <f t="shared" si="19"/>
        <v>#N/A</v>
      </c>
      <c r="W379" s="45" t="e">
        <f t="shared" si="20"/>
        <v>#N/A</v>
      </c>
      <c r="X379" s="20" t="e">
        <f t="shared" si="21"/>
        <v>#N/A</v>
      </c>
      <c r="Y379" s="46" t="e">
        <f t="shared" si="24"/>
        <v>#N/A</v>
      </c>
      <c r="Z379" s="39" t="e">
        <f t="shared" si="22"/>
        <v>#N/A</v>
      </c>
      <c r="AA379" s="39" t="e">
        <f t="shared" si="23"/>
        <v>#N/A</v>
      </c>
      <c r="AB379" s="39"/>
      <c r="AC379" s="48" t="e">
        <f t="shared" si="25"/>
        <v>#N/A</v>
      </c>
    </row>
    <row r="380" spans="1:29" ht="12.5" x14ac:dyDescent="0.25">
      <c r="A380" s="36"/>
      <c r="B380" s="33"/>
      <c r="C380" s="33"/>
      <c r="D380" s="33"/>
      <c r="E380" s="35"/>
      <c r="F380" s="21"/>
      <c r="G380" s="22" t="e">
        <f>VLOOKUP(E380,'Court List'!$A:$C,2,0)</f>
        <v>#N/A</v>
      </c>
      <c r="H380" s="33"/>
      <c r="I380" s="33"/>
      <c r="J380" s="44" t="e">
        <f t="shared" si="16"/>
        <v>#N/A</v>
      </c>
      <c r="K380" s="36"/>
      <c r="L380" s="18">
        <f>SUM('Shuttle Count - Supreme (Nov 20'!C380:D380)</f>
        <v>0</v>
      </c>
      <c r="M380" s="18" t="e">
        <f>VLOOKUP(K380,'Shuttle Purchase'!A:C,3,0)</f>
        <v>#N/A</v>
      </c>
      <c r="N380" s="44" t="e">
        <f t="shared" si="26"/>
        <v>#N/A</v>
      </c>
      <c r="O380" s="24" t="e">
        <f>VLOOKUP(E380,'Court List'!$A:$C,3,0)</f>
        <v>#N/A</v>
      </c>
      <c r="P380" s="18">
        <f>COUNTIF('Pub List'!$C380:$T380,"&lt;&gt;")</f>
        <v>0</v>
      </c>
      <c r="Q380" s="20" t="e">
        <f t="shared" si="17"/>
        <v>#N/A</v>
      </c>
      <c r="R380" s="36"/>
      <c r="S380" s="18">
        <f>COUNTIF('Member List'!$C380:$J380,"&lt;&gt;")</f>
        <v>0</v>
      </c>
      <c r="T380" s="35"/>
      <c r="U380" s="24">
        <f t="shared" si="18"/>
        <v>0</v>
      </c>
      <c r="V380" s="18" t="e">
        <f t="shared" si="19"/>
        <v>#N/A</v>
      </c>
      <c r="W380" s="45" t="e">
        <f t="shared" si="20"/>
        <v>#N/A</v>
      </c>
      <c r="X380" s="20" t="e">
        <f t="shared" si="21"/>
        <v>#N/A</v>
      </c>
      <c r="Y380" s="46" t="e">
        <f t="shared" si="24"/>
        <v>#N/A</v>
      </c>
      <c r="Z380" s="39" t="e">
        <f t="shared" si="22"/>
        <v>#N/A</v>
      </c>
      <c r="AA380" s="39" t="e">
        <f t="shared" si="23"/>
        <v>#N/A</v>
      </c>
      <c r="AB380" s="39"/>
      <c r="AC380" s="48" t="e">
        <f t="shared" si="25"/>
        <v>#N/A</v>
      </c>
    </row>
    <row r="381" spans="1:29" ht="12.5" x14ac:dyDescent="0.25">
      <c r="A381" s="36"/>
      <c r="B381" s="33"/>
      <c r="C381" s="33"/>
      <c r="D381" s="33"/>
      <c r="E381" s="35"/>
      <c r="F381" s="21"/>
      <c r="G381" s="22" t="e">
        <f>VLOOKUP(E381,'Court List'!$A:$C,2,0)</f>
        <v>#N/A</v>
      </c>
      <c r="H381" s="33"/>
      <c r="I381" s="33"/>
      <c r="J381" s="44" t="e">
        <f t="shared" si="16"/>
        <v>#N/A</v>
      </c>
      <c r="K381" s="36"/>
      <c r="L381" s="18">
        <f>SUM('Shuttle Count - Supreme (Nov 20'!C381:D381)</f>
        <v>0</v>
      </c>
      <c r="M381" s="18" t="e">
        <f>VLOOKUP(K381,'Shuttle Purchase'!A:C,3,0)</f>
        <v>#N/A</v>
      </c>
      <c r="N381" s="44" t="e">
        <f t="shared" si="26"/>
        <v>#N/A</v>
      </c>
      <c r="O381" s="24" t="e">
        <f>VLOOKUP(E381,'Court List'!$A:$C,3,0)</f>
        <v>#N/A</v>
      </c>
      <c r="P381" s="18">
        <f>COUNTIF('Pub List'!$C381:$T381,"&lt;&gt;")</f>
        <v>0</v>
      </c>
      <c r="Q381" s="20" t="e">
        <f t="shared" si="17"/>
        <v>#N/A</v>
      </c>
      <c r="R381" s="36"/>
      <c r="S381" s="18">
        <f>COUNTIF('Member List'!$C381:$J381,"&lt;&gt;")</f>
        <v>0</v>
      </c>
      <c r="T381" s="35"/>
      <c r="U381" s="24">
        <f t="shared" si="18"/>
        <v>0</v>
      </c>
      <c r="V381" s="18" t="e">
        <f t="shared" si="19"/>
        <v>#N/A</v>
      </c>
      <c r="W381" s="45" t="e">
        <f t="shared" si="20"/>
        <v>#N/A</v>
      </c>
      <c r="X381" s="20" t="e">
        <f t="shared" si="21"/>
        <v>#N/A</v>
      </c>
      <c r="Y381" s="46" t="e">
        <f t="shared" si="24"/>
        <v>#N/A</v>
      </c>
      <c r="Z381" s="39" t="e">
        <f t="shared" si="22"/>
        <v>#N/A</v>
      </c>
      <c r="AA381" s="39" t="e">
        <f t="shared" si="23"/>
        <v>#N/A</v>
      </c>
      <c r="AB381" s="39"/>
      <c r="AC381" s="48" t="e">
        <f t="shared" si="25"/>
        <v>#N/A</v>
      </c>
    </row>
    <row r="382" spans="1:29" ht="12.5" x14ac:dyDescent="0.25">
      <c r="A382" s="36"/>
      <c r="B382" s="33"/>
      <c r="C382" s="33"/>
      <c r="D382" s="33"/>
      <c r="E382" s="35"/>
      <c r="F382" s="21"/>
      <c r="G382" s="22" t="e">
        <f>VLOOKUP(E382,'Court List'!$A:$C,2,0)</f>
        <v>#N/A</v>
      </c>
      <c r="H382" s="33"/>
      <c r="I382" s="33"/>
      <c r="J382" s="44" t="e">
        <f t="shared" si="16"/>
        <v>#N/A</v>
      </c>
      <c r="K382" s="36"/>
      <c r="L382" s="18">
        <f>SUM('Shuttle Count - Supreme (Nov 20'!C382:D382)</f>
        <v>0</v>
      </c>
      <c r="M382" s="18" t="e">
        <f>VLOOKUP(K382,'Shuttle Purchase'!A:C,3,0)</f>
        <v>#N/A</v>
      </c>
      <c r="N382" s="44" t="e">
        <f t="shared" si="26"/>
        <v>#N/A</v>
      </c>
      <c r="O382" s="24" t="e">
        <f>VLOOKUP(E382,'Court List'!$A:$C,3,0)</f>
        <v>#N/A</v>
      </c>
      <c r="P382" s="18">
        <f>COUNTIF('Pub List'!$C382:$T382,"&lt;&gt;")</f>
        <v>0</v>
      </c>
      <c r="Q382" s="20" t="e">
        <f t="shared" si="17"/>
        <v>#N/A</v>
      </c>
      <c r="R382" s="36"/>
      <c r="S382" s="18">
        <f>COUNTIF('Member List'!$C382:$J382,"&lt;&gt;")</f>
        <v>0</v>
      </c>
      <c r="T382" s="35"/>
      <c r="U382" s="24">
        <f t="shared" si="18"/>
        <v>0</v>
      </c>
      <c r="V382" s="18" t="e">
        <f t="shared" si="19"/>
        <v>#N/A</v>
      </c>
      <c r="W382" s="45" t="e">
        <f t="shared" si="20"/>
        <v>#N/A</v>
      </c>
      <c r="X382" s="20" t="e">
        <f t="shared" si="21"/>
        <v>#N/A</v>
      </c>
      <c r="Y382" s="46" t="e">
        <f t="shared" si="24"/>
        <v>#N/A</v>
      </c>
      <c r="Z382" s="39" t="e">
        <f t="shared" si="22"/>
        <v>#N/A</v>
      </c>
      <c r="AA382" s="39" t="e">
        <f t="shared" si="23"/>
        <v>#N/A</v>
      </c>
      <c r="AB382" s="39"/>
      <c r="AC382" s="48" t="e">
        <f t="shared" si="25"/>
        <v>#N/A</v>
      </c>
    </row>
    <row r="383" spans="1:29" ht="12.5" x14ac:dyDescent="0.25">
      <c r="A383" s="36"/>
      <c r="B383" s="33"/>
      <c r="C383" s="33"/>
      <c r="D383" s="33"/>
      <c r="E383" s="35"/>
      <c r="F383" s="21"/>
      <c r="G383" s="22" t="e">
        <f>VLOOKUP(E383,'Court List'!$A:$C,2,0)</f>
        <v>#N/A</v>
      </c>
      <c r="H383" s="33"/>
      <c r="I383" s="33"/>
      <c r="J383" s="44" t="e">
        <f t="shared" si="16"/>
        <v>#N/A</v>
      </c>
      <c r="K383" s="36"/>
      <c r="L383" s="18">
        <f>SUM('Shuttle Count - Supreme (Nov 20'!C383:D383)</f>
        <v>0</v>
      </c>
      <c r="M383" s="18" t="e">
        <f>VLOOKUP(K383,'Shuttle Purchase'!A:C,3,0)</f>
        <v>#N/A</v>
      </c>
      <c r="N383" s="44" t="e">
        <f t="shared" si="26"/>
        <v>#N/A</v>
      </c>
      <c r="O383" s="24" t="e">
        <f>VLOOKUP(E383,'Court List'!$A:$C,3,0)</f>
        <v>#N/A</v>
      </c>
      <c r="P383" s="18">
        <f>COUNTIF('Pub List'!$C383:$T383,"&lt;&gt;")</f>
        <v>0</v>
      </c>
      <c r="Q383" s="20" t="e">
        <f t="shared" si="17"/>
        <v>#N/A</v>
      </c>
      <c r="R383" s="36"/>
      <c r="S383" s="18">
        <f>COUNTIF('Member List'!$C383:$J383,"&lt;&gt;")</f>
        <v>0</v>
      </c>
      <c r="T383" s="35"/>
      <c r="U383" s="24">
        <f t="shared" si="18"/>
        <v>0</v>
      </c>
      <c r="V383" s="18" t="e">
        <f t="shared" si="19"/>
        <v>#N/A</v>
      </c>
      <c r="W383" s="45" t="e">
        <f t="shared" si="20"/>
        <v>#N/A</v>
      </c>
      <c r="X383" s="20" t="e">
        <f t="shared" si="21"/>
        <v>#N/A</v>
      </c>
      <c r="Y383" s="46" t="e">
        <f t="shared" si="24"/>
        <v>#N/A</v>
      </c>
      <c r="Z383" s="39" t="e">
        <f t="shared" si="22"/>
        <v>#N/A</v>
      </c>
      <c r="AA383" s="39" t="e">
        <f t="shared" si="23"/>
        <v>#N/A</v>
      </c>
      <c r="AB383" s="39"/>
      <c r="AC383" s="48" t="e">
        <f t="shared" si="25"/>
        <v>#N/A</v>
      </c>
    </row>
    <row r="384" spans="1:29" ht="12.5" x14ac:dyDescent="0.25">
      <c r="A384" s="36"/>
      <c r="B384" s="33"/>
      <c r="C384" s="33"/>
      <c r="D384" s="33"/>
      <c r="E384" s="35"/>
      <c r="F384" s="21"/>
      <c r="G384" s="22" t="e">
        <f>VLOOKUP(E384,'Court List'!$A:$C,2,0)</f>
        <v>#N/A</v>
      </c>
      <c r="H384" s="33"/>
      <c r="I384" s="33"/>
      <c r="J384" s="44" t="e">
        <f t="shared" si="16"/>
        <v>#N/A</v>
      </c>
      <c r="K384" s="36"/>
      <c r="L384" s="18">
        <f>SUM('Shuttle Count - Supreme (Nov 20'!C384:D384)</f>
        <v>0</v>
      </c>
      <c r="M384" s="18" t="e">
        <f>VLOOKUP(K384,'Shuttle Purchase'!A:C,3,0)</f>
        <v>#N/A</v>
      </c>
      <c r="N384" s="44" t="e">
        <f t="shared" si="26"/>
        <v>#N/A</v>
      </c>
      <c r="O384" s="24" t="e">
        <f>VLOOKUP(E384,'Court List'!$A:$C,3,0)</f>
        <v>#N/A</v>
      </c>
      <c r="P384" s="18">
        <f>COUNTIF('Pub List'!$C384:$T384,"&lt;&gt;")</f>
        <v>0</v>
      </c>
      <c r="Q384" s="20" t="e">
        <f t="shared" si="17"/>
        <v>#N/A</v>
      </c>
      <c r="R384" s="36"/>
      <c r="S384" s="18">
        <f>COUNTIF('Member List'!$C384:$J384,"&lt;&gt;")</f>
        <v>0</v>
      </c>
      <c r="T384" s="35"/>
      <c r="U384" s="24">
        <f t="shared" si="18"/>
        <v>0</v>
      </c>
      <c r="V384" s="18" t="e">
        <f t="shared" si="19"/>
        <v>#N/A</v>
      </c>
      <c r="W384" s="45" t="e">
        <f t="shared" si="20"/>
        <v>#N/A</v>
      </c>
      <c r="X384" s="20" t="e">
        <f t="shared" si="21"/>
        <v>#N/A</v>
      </c>
      <c r="Y384" s="46" t="e">
        <f t="shared" si="24"/>
        <v>#N/A</v>
      </c>
      <c r="Z384" s="39" t="e">
        <f t="shared" si="22"/>
        <v>#N/A</v>
      </c>
      <c r="AA384" s="39" t="e">
        <f t="shared" si="23"/>
        <v>#N/A</v>
      </c>
      <c r="AB384" s="39"/>
      <c r="AC384" s="48" t="e">
        <f t="shared" si="25"/>
        <v>#N/A</v>
      </c>
    </row>
    <row r="385" spans="1:29" ht="12.5" x14ac:dyDescent="0.25">
      <c r="A385" s="36"/>
      <c r="B385" s="33"/>
      <c r="C385" s="33"/>
      <c r="D385" s="33"/>
      <c r="E385" s="35"/>
      <c r="F385" s="21"/>
      <c r="G385" s="22" t="e">
        <f>VLOOKUP(E385,'Court List'!$A:$C,2,0)</f>
        <v>#N/A</v>
      </c>
      <c r="H385" s="33"/>
      <c r="I385" s="33"/>
      <c r="J385" s="44" t="e">
        <f t="shared" si="16"/>
        <v>#N/A</v>
      </c>
      <c r="K385" s="36"/>
      <c r="L385" s="18">
        <f>SUM('Shuttle Count - Supreme (Nov 20'!C385:D385)</f>
        <v>0</v>
      </c>
      <c r="M385" s="18" t="e">
        <f>VLOOKUP(K385,'Shuttle Purchase'!A:C,3,0)</f>
        <v>#N/A</v>
      </c>
      <c r="N385" s="44" t="e">
        <f t="shared" si="26"/>
        <v>#N/A</v>
      </c>
      <c r="O385" s="24" t="e">
        <f>VLOOKUP(E385,'Court List'!$A:$C,3,0)</f>
        <v>#N/A</v>
      </c>
      <c r="P385" s="18">
        <f>COUNTIF('Pub List'!$C385:$T385,"&lt;&gt;")</f>
        <v>0</v>
      </c>
      <c r="Q385" s="20" t="e">
        <f t="shared" si="17"/>
        <v>#N/A</v>
      </c>
      <c r="R385" s="36"/>
      <c r="S385" s="18">
        <f>COUNTIF('Member List'!$C385:$J385,"&lt;&gt;")</f>
        <v>0</v>
      </c>
      <c r="T385" s="35"/>
      <c r="U385" s="24">
        <f t="shared" si="18"/>
        <v>0</v>
      </c>
      <c r="V385" s="18" t="e">
        <f t="shared" si="19"/>
        <v>#N/A</v>
      </c>
      <c r="W385" s="45" t="e">
        <f t="shared" si="20"/>
        <v>#N/A</v>
      </c>
      <c r="X385" s="20" t="e">
        <f t="shared" si="21"/>
        <v>#N/A</v>
      </c>
      <c r="Y385" s="46" t="e">
        <f t="shared" si="24"/>
        <v>#N/A</v>
      </c>
      <c r="Z385" s="39" t="e">
        <f t="shared" si="22"/>
        <v>#N/A</v>
      </c>
      <c r="AA385" s="39" t="e">
        <f t="shared" si="23"/>
        <v>#N/A</v>
      </c>
      <c r="AB385" s="39"/>
      <c r="AC385" s="48" t="e">
        <f t="shared" si="25"/>
        <v>#N/A</v>
      </c>
    </row>
    <row r="386" spans="1:29" ht="12.5" x14ac:dyDescent="0.25">
      <c r="A386" s="36"/>
      <c r="B386" s="33"/>
      <c r="C386" s="33"/>
      <c r="D386" s="33"/>
      <c r="E386" s="35"/>
      <c r="F386" s="21"/>
      <c r="G386" s="22" t="e">
        <f>VLOOKUP(E386,'Court List'!$A:$C,2,0)</f>
        <v>#N/A</v>
      </c>
      <c r="H386" s="33"/>
      <c r="I386" s="33"/>
      <c r="J386" s="44" t="e">
        <f t="shared" si="16"/>
        <v>#N/A</v>
      </c>
      <c r="K386" s="36"/>
      <c r="L386" s="18">
        <f>SUM('Shuttle Count - Supreme (Nov 20'!C386:D386)</f>
        <v>0</v>
      </c>
      <c r="M386" s="18" t="e">
        <f>VLOOKUP(K386,'Shuttle Purchase'!A:C,3,0)</f>
        <v>#N/A</v>
      </c>
      <c r="N386" s="44" t="e">
        <f t="shared" si="26"/>
        <v>#N/A</v>
      </c>
      <c r="O386" s="24" t="e">
        <f>VLOOKUP(E386,'Court List'!$A:$C,3,0)</f>
        <v>#N/A</v>
      </c>
      <c r="P386" s="18">
        <f>COUNTIF('Pub List'!$C386:$T386,"&lt;&gt;")</f>
        <v>0</v>
      </c>
      <c r="Q386" s="20" t="e">
        <f t="shared" si="17"/>
        <v>#N/A</v>
      </c>
      <c r="R386" s="36"/>
      <c r="S386" s="18">
        <f>COUNTIF('Member List'!$C386:$J386,"&lt;&gt;")</f>
        <v>0</v>
      </c>
      <c r="T386" s="35"/>
      <c r="U386" s="24">
        <f t="shared" si="18"/>
        <v>0</v>
      </c>
      <c r="V386" s="18" t="e">
        <f t="shared" si="19"/>
        <v>#N/A</v>
      </c>
      <c r="W386" s="45" t="e">
        <f t="shared" si="20"/>
        <v>#N/A</v>
      </c>
      <c r="X386" s="20" t="e">
        <f t="shared" si="21"/>
        <v>#N/A</v>
      </c>
      <c r="Y386" s="46" t="e">
        <f t="shared" si="24"/>
        <v>#N/A</v>
      </c>
      <c r="Z386" s="39" t="e">
        <f t="shared" si="22"/>
        <v>#N/A</v>
      </c>
      <c r="AA386" s="39" t="e">
        <f t="shared" si="23"/>
        <v>#N/A</v>
      </c>
      <c r="AB386" s="39"/>
      <c r="AC386" s="48" t="e">
        <f t="shared" si="25"/>
        <v>#N/A</v>
      </c>
    </row>
    <row r="387" spans="1:29" ht="12.5" x14ac:dyDescent="0.25">
      <c r="A387" s="36"/>
      <c r="B387" s="33"/>
      <c r="C387" s="33"/>
      <c r="D387" s="33"/>
      <c r="E387" s="35"/>
      <c r="F387" s="21"/>
      <c r="G387" s="22" t="e">
        <f>VLOOKUP(E387,'Court List'!$A:$C,2,0)</f>
        <v>#N/A</v>
      </c>
      <c r="H387" s="33"/>
      <c r="I387" s="33"/>
      <c r="J387" s="44" t="e">
        <f t="shared" si="16"/>
        <v>#N/A</v>
      </c>
      <c r="K387" s="36"/>
      <c r="L387" s="18">
        <f>SUM('Shuttle Count - Supreme (Nov 20'!C387:D387)</f>
        <v>0</v>
      </c>
      <c r="M387" s="18" t="e">
        <f>VLOOKUP(K387,'Shuttle Purchase'!A:C,3,0)</f>
        <v>#N/A</v>
      </c>
      <c r="N387" s="44" t="e">
        <f t="shared" si="26"/>
        <v>#N/A</v>
      </c>
      <c r="O387" s="24" t="e">
        <f>VLOOKUP(E387,'Court List'!$A:$C,3,0)</f>
        <v>#N/A</v>
      </c>
      <c r="P387" s="18">
        <f>COUNTIF('Pub List'!$C387:$T387,"&lt;&gt;")</f>
        <v>0</v>
      </c>
      <c r="Q387" s="20" t="e">
        <f t="shared" si="17"/>
        <v>#N/A</v>
      </c>
      <c r="R387" s="36"/>
      <c r="S387" s="18">
        <f>COUNTIF('Member List'!$C387:$J387,"&lt;&gt;")</f>
        <v>0</v>
      </c>
      <c r="T387" s="35"/>
      <c r="U387" s="24">
        <f t="shared" si="18"/>
        <v>0</v>
      </c>
      <c r="V387" s="18" t="e">
        <f t="shared" si="19"/>
        <v>#N/A</v>
      </c>
      <c r="W387" s="45" t="e">
        <f t="shared" si="20"/>
        <v>#N/A</v>
      </c>
      <c r="X387" s="20" t="e">
        <f t="shared" si="21"/>
        <v>#N/A</v>
      </c>
      <c r="Y387" s="46" t="e">
        <f t="shared" si="24"/>
        <v>#N/A</v>
      </c>
      <c r="Z387" s="39" t="e">
        <f t="shared" si="22"/>
        <v>#N/A</v>
      </c>
      <c r="AA387" s="39" t="e">
        <f t="shared" si="23"/>
        <v>#N/A</v>
      </c>
      <c r="AB387" s="39"/>
      <c r="AC387" s="48" t="e">
        <f t="shared" si="25"/>
        <v>#N/A</v>
      </c>
    </row>
    <row r="388" spans="1:29" ht="12.5" x14ac:dyDescent="0.25">
      <c r="A388" s="36"/>
      <c r="B388" s="33"/>
      <c r="C388" s="33"/>
      <c r="D388" s="33"/>
      <c r="E388" s="35"/>
      <c r="F388" s="21"/>
      <c r="G388" s="22" t="e">
        <f>VLOOKUP(E388,'Court List'!$A:$C,2,0)</f>
        <v>#N/A</v>
      </c>
      <c r="H388" s="33"/>
      <c r="I388" s="33"/>
      <c r="J388" s="44" t="e">
        <f t="shared" si="16"/>
        <v>#N/A</v>
      </c>
      <c r="K388" s="36"/>
      <c r="L388" s="18">
        <f>SUM('Shuttle Count - Supreme (Nov 20'!C388:D388)</f>
        <v>0</v>
      </c>
      <c r="M388" s="18" t="e">
        <f>VLOOKUP(K388,'Shuttle Purchase'!A:C,3,0)</f>
        <v>#N/A</v>
      </c>
      <c r="N388" s="44" t="e">
        <f t="shared" si="26"/>
        <v>#N/A</v>
      </c>
      <c r="O388" s="24" t="e">
        <f>VLOOKUP(E388,'Court List'!$A:$C,3,0)</f>
        <v>#N/A</v>
      </c>
      <c r="P388" s="18">
        <f>COUNTIF('Pub List'!$C388:$T388,"&lt;&gt;")</f>
        <v>0</v>
      </c>
      <c r="Q388" s="20" t="e">
        <f t="shared" si="17"/>
        <v>#N/A</v>
      </c>
      <c r="R388" s="36"/>
      <c r="S388" s="18">
        <f>COUNTIF('Member List'!$C388:$J388,"&lt;&gt;")</f>
        <v>0</v>
      </c>
      <c r="T388" s="35"/>
      <c r="U388" s="24">
        <f t="shared" si="18"/>
        <v>0</v>
      </c>
      <c r="V388" s="18" t="e">
        <f t="shared" si="19"/>
        <v>#N/A</v>
      </c>
      <c r="W388" s="45" t="e">
        <f t="shared" si="20"/>
        <v>#N/A</v>
      </c>
      <c r="X388" s="20" t="e">
        <f t="shared" si="21"/>
        <v>#N/A</v>
      </c>
      <c r="Y388" s="46" t="e">
        <f t="shared" si="24"/>
        <v>#N/A</v>
      </c>
      <c r="Z388" s="39" t="e">
        <f t="shared" si="22"/>
        <v>#N/A</v>
      </c>
      <c r="AA388" s="39" t="e">
        <f t="shared" si="23"/>
        <v>#N/A</v>
      </c>
      <c r="AB388" s="39"/>
      <c r="AC388" s="48" t="e">
        <f t="shared" si="25"/>
        <v>#N/A</v>
      </c>
    </row>
    <row r="389" spans="1:29" ht="12.5" x14ac:dyDescent="0.25">
      <c r="A389" s="36"/>
      <c r="B389" s="33"/>
      <c r="C389" s="33"/>
      <c r="D389" s="33"/>
      <c r="E389" s="35"/>
      <c r="F389" s="21"/>
      <c r="G389" s="22" t="e">
        <f>VLOOKUP(E389,'Court List'!$A:$C,2,0)</f>
        <v>#N/A</v>
      </c>
      <c r="H389" s="33"/>
      <c r="I389" s="33"/>
      <c r="J389" s="44" t="e">
        <f t="shared" si="16"/>
        <v>#N/A</v>
      </c>
      <c r="K389" s="36"/>
      <c r="L389" s="18">
        <f>SUM('Shuttle Count - Supreme (Nov 20'!C389:D389)</f>
        <v>0</v>
      </c>
      <c r="M389" s="18" t="e">
        <f>VLOOKUP(K389,'Shuttle Purchase'!A:C,3,0)</f>
        <v>#N/A</v>
      </c>
      <c r="N389" s="44" t="e">
        <f t="shared" si="26"/>
        <v>#N/A</v>
      </c>
      <c r="O389" s="24" t="e">
        <f>VLOOKUP(E389,'Court List'!$A:$C,3,0)</f>
        <v>#N/A</v>
      </c>
      <c r="P389" s="18">
        <f>COUNTIF('Pub List'!$C389:$T389,"&lt;&gt;")</f>
        <v>0</v>
      </c>
      <c r="Q389" s="20" t="e">
        <f t="shared" si="17"/>
        <v>#N/A</v>
      </c>
      <c r="R389" s="36"/>
      <c r="S389" s="18">
        <f>COUNTIF('Member List'!$C389:$J389,"&lt;&gt;")</f>
        <v>0</v>
      </c>
      <c r="T389" s="35"/>
      <c r="U389" s="24">
        <f t="shared" si="18"/>
        <v>0</v>
      </c>
      <c r="V389" s="18" t="e">
        <f t="shared" si="19"/>
        <v>#N/A</v>
      </c>
      <c r="W389" s="45" t="e">
        <f t="shared" si="20"/>
        <v>#N/A</v>
      </c>
      <c r="X389" s="20" t="e">
        <f t="shared" si="21"/>
        <v>#N/A</v>
      </c>
      <c r="Y389" s="46" t="e">
        <f t="shared" si="24"/>
        <v>#N/A</v>
      </c>
      <c r="Z389" s="39" t="e">
        <f t="shared" si="22"/>
        <v>#N/A</v>
      </c>
      <c r="AA389" s="39" t="e">
        <f t="shared" si="23"/>
        <v>#N/A</v>
      </c>
      <c r="AB389" s="39"/>
      <c r="AC389" s="48" t="e">
        <f t="shared" si="25"/>
        <v>#N/A</v>
      </c>
    </row>
    <row r="390" spans="1:29" ht="12.5" x14ac:dyDescent="0.25">
      <c r="A390" s="36"/>
      <c r="B390" s="33"/>
      <c r="C390" s="33"/>
      <c r="D390" s="33"/>
      <c r="E390" s="35"/>
      <c r="F390" s="21"/>
      <c r="G390" s="22" t="e">
        <f>VLOOKUP(E390,'Court List'!$A:$C,2,0)</f>
        <v>#N/A</v>
      </c>
      <c r="H390" s="33"/>
      <c r="I390" s="33"/>
      <c r="J390" s="44" t="e">
        <f t="shared" si="16"/>
        <v>#N/A</v>
      </c>
      <c r="K390" s="36"/>
      <c r="L390" s="18">
        <f>SUM('Shuttle Count - Supreme (Nov 20'!C390:D390)</f>
        <v>0</v>
      </c>
      <c r="M390" s="18" t="e">
        <f>VLOOKUP(K390,'Shuttle Purchase'!A:C,3,0)</f>
        <v>#N/A</v>
      </c>
      <c r="N390" s="44" t="e">
        <f t="shared" si="26"/>
        <v>#N/A</v>
      </c>
      <c r="O390" s="24" t="e">
        <f>VLOOKUP(E390,'Court List'!$A:$C,3,0)</f>
        <v>#N/A</v>
      </c>
      <c r="P390" s="18">
        <f>COUNTIF('Pub List'!$C390:$T390,"&lt;&gt;")</f>
        <v>0</v>
      </c>
      <c r="Q390" s="20" t="e">
        <f t="shared" si="17"/>
        <v>#N/A</v>
      </c>
      <c r="R390" s="36"/>
      <c r="S390" s="18">
        <f>COUNTIF('Member List'!$C390:$J390,"&lt;&gt;")</f>
        <v>0</v>
      </c>
      <c r="T390" s="35"/>
      <c r="U390" s="24">
        <f t="shared" si="18"/>
        <v>0</v>
      </c>
      <c r="V390" s="18" t="e">
        <f t="shared" si="19"/>
        <v>#N/A</v>
      </c>
      <c r="W390" s="45" t="e">
        <f t="shared" si="20"/>
        <v>#N/A</v>
      </c>
      <c r="X390" s="20" t="e">
        <f t="shared" si="21"/>
        <v>#N/A</v>
      </c>
      <c r="Y390" s="46" t="e">
        <f t="shared" si="24"/>
        <v>#N/A</v>
      </c>
      <c r="Z390" s="39" t="e">
        <f t="shared" si="22"/>
        <v>#N/A</v>
      </c>
      <c r="AA390" s="39" t="e">
        <f t="shared" si="23"/>
        <v>#N/A</v>
      </c>
      <c r="AB390" s="39"/>
      <c r="AC390" s="48" t="e">
        <f t="shared" si="25"/>
        <v>#N/A</v>
      </c>
    </row>
    <row r="391" spans="1:29" ht="12.5" x14ac:dyDescent="0.25">
      <c r="A391" s="36"/>
      <c r="B391" s="33"/>
      <c r="C391" s="33"/>
      <c r="D391" s="33"/>
      <c r="E391" s="35"/>
      <c r="F391" s="21"/>
      <c r="G391" s="22" t="e">
        <f>VLOOKUP(E391,'Court List'!$A:$C,2,0)</f>
        <v>#N/A</v>
      </c>
      <c r="H391" s="33"/>
      <c r="I391" s="33"/>
      <c r="J391" s="44" t="e">
        <f t="shared" si="16"/>
        <v>#N/A</v>
      </c>
      <c r="K391" s="36"/>
      <c r="L391" s="18">
        <f>SUM('Shuttle Count - Supreme (Nov 20'!C391:D391)</f>
        <v>0</v>
      </c>
      <c r="M391" s="18" t="e">
        <f>VLOOKUP(K391,'Shuttle Purchase'!A:C,3,0)</f>
        <v>#N/A</v>
      </c>
      <c r="N391" s="44" t="e">
        <f t="shared" si="26"/>
        <v>#N/A</v>
      </c>
      <c r="O391" s="24" t="e">
        <f>VLOOKUP(E391,'Court List'!$A:$C,3,0)</f>
        <v>#N/A</v>
      </c>
      <c r="P391" s="18">
        <f>COUNTIF('Pub List'!$C391:$T391,"&lt;&gt;")</f>
        <v>0</v>
      </c>
      <c r="Q391" s="20" t="e">
        <f t="shared" si="17"/>
        <v>#N/A</v>
      </c>
      <c r="R391" s="36"/>
      <c r="S391" s="18">
        <f>COUNTIF('Member List'!$C391:$J391,"&lt;&gt;")</f>
        <v>0</v>
      </c>
      <c r="T391" s="35"/>
      <c r="U391" s="24">
        <f t="shared" si="18"/>
        <v>0</v>
      </c>
      <c r="V391" s="18" t="e">
        <f t="shared" si="19"/>
        <v>#N/A</v>
      </c>
      <c r="W391" s="45" t="e">
        <f t="shared" si="20"/>
        <v>#N/A</v>
      </c>
      <c r="X391" s="20" t="e">
        <f t="shared" si="21"/>
        <v>#N/A</v>
      </c>
      <c r="Y391" s="46" t="e">
        <f t="shared" si="24"/>
        <v>#N/A</v>
      </c>
      <c r="Z391" s="39" t="e">
        <f t="shared" si="22"/>
        <v>#N/A</v>
      </c>
      <c r="AA391" s="39" t="e">
        <f t="shared" si="23"/>
        <v>#N/A</v>
      </c>
      <c r="AB391" s="39"/>
      <c r="AC391" s="48" t="e">
        <f t="shared" si="25"/>
        <v>#N/A</v>
      </c>
    </row>
    <row r="392" spans="1:29" ht="12.5" x14ac:dyDescent="0.25">
      <c r="A392" s="36"/>
      <c r="B392" s="33"/>
      <c r="C392" s="33"/>
      <c r="D392" s="33"/>
      <c r="E392" s="35"/>
      <c r="F392" s="21"/>
      <c r="G392" s="22" t="e">
        <f>VLOOKUP(E392,'Court List'!$A:$C,2,0)</f>
        <v>#N/A</v>
      </c>
      <c r="H392" s="33"/>
      <c r="I392" s="33"/>
      <c r="J392" s="44" t="e">
        <f t="shared" si="16"/>
        <v>#N/A</v>
      </c>
      <c r="K392" s="36"/>
      <c r="L392" s="18">
        <f>SUM('Shuttle Count - Supreme (Nov 20'!C392:D392)</f>
        <v>0</v>
      </c>
      <c r="M392" s="18" t="e">
        <f>VLOOKUP(K392,'Shuttle Purchase'!A:C,3,0)</f>
        <v>#N/A</v>
      </c>
      <c r="N392" s="44" t="e">
        <f t="shared" si="26"/>
        <v>#N/A</v>
      </c>
      <c r="O392" s="24" t="e">
        <f>VLOOKUP(E392,'Court List'!$A:$C,3,0)</f>
        <v>#N/A</v>
      </c>
      <c r="P392" s="18">
        <f>COUNTIF('Pub List'!$C392:$T392,"&lt;&gt;")</f>
        <v>0</v>
      </c>
      <c r="Q392" s="20" t="e">
        <f t="shared" si="17"/>
        <v>#N/A</v>
      </c>
      <c r="R392" s="36"/>
      <c r="S392" s="18">
        <f>COUNTIF('Member List'!$C392:$J392,"&lt;&gt;")</f>
        <v>0</v>
      </c>
      <c r="T392" s="35"/>
      <c r="U392" s="24">
        <f t="shared" si="18"/>
        <v>0</v>
      </c>
      <c r="V392" s="18" t="e">
        <f t="shared" si="19"/>
        <v>#N/A</v>
      </c>
      <c r="W392" s="45" t="e">
        <f t="shared" si="20"/>
        <v>#N/A</v>
      </c>
      <c r="X392" s="20" t="e">
        <f t="shared" si="21"/>
        <v>#N/A</v>
      </c>
      <c r="Y392" s="46" t="e">
        <f t="shared" si="24"/>
        <v>#N/A</v>
      </c>
      <c r="Z392" s="39" t="e">
        <f t="shared" si="22"/>
        <v>#N/A</v>
      </c>
      <c r="AA392" s="39" t="e">
        <f t="shared" si="23"/>
        <v>#N/A</v>
      </c>
      <c r="AB392" s="39"/>
      <c r="AC392" s="48" t="e">
        <f t="shared" si="25"/>
        <v>#N/A</v>
      </c>
    </row>
    <row r="393" spans="1:29" ht="12.5" x14ac:dyDescent="0.25">
      <c r="A393" s="36"/>
      <c r="B393" s="33"/>
      <c r="C393" s="33"/>
      <c r="D393" s="33"/>
      <c r="E393" s="35"/>
      <c r="F393" s="21"/>
      <c r="G393" s="22" t="e">
        <f>VLOOKUP(E393,'Court List'!$A:$C,2,0)</f>
        <v>#N/A</v>
      </c>
      <c r="H393" s="33"/>
      <c r="I393" s="33"/>
      <c r="J393" s="44" t="e">
        <f t="shared" si="16"/>
        <v>#N/A</v>
      </c>
      <c r="K393" s="36"/>
      <c r="L393" s="18">
        <f>SUM('Shuttle Count - Supreme (Nov 20'!C393:D393)</f>
        <v>0</v>
      </c>
      <c r="M393" s="18" t="e">
        <f>VLOOKUP(K393,'Shuttle Purchase'!A:C,3,0)</f>
        <v>#N/A</v>
      </c>
      <c r="N393" s="44" t="e">
        <f t="shared" si="26"/>
        <v>#N/A</v>
      </c>
      <c r="O393" s="24" t="e">
        <f>VLOOKUP(E393,'Court List'!$A:$C,3,0)</f>
        <v>#N/A</v>
      </c>
      <c r="P393" s="18">
        <f>COUNTIF('Pub List'!$C393:$T393,"&lt;&gt;")</f>
        <v>0</v>
      </c>
      <c r="Q393" s="20" t="e">
        <f t="shared" si="17"/>
        <v>#N/A</v>
      </c>
      <c r="R393" s="36"/>
      <c r="S393" s="18">
        <f>COUNTIF('Member List'!$C393:$J393,"&lt;&gt;")</f>
        <v>0</v>
      </c>
      <c r="T393" s="35"/>
      <c r="U393" s="24">
        <f t="shared" si="18"/>
        <v>0</v>
      </c>
      <c r="V393" s="18" t="e">
        <f t="shared" si="19"/>
        <v>#N/A</v>
      </c>
      <c r="W393" s="45" t="e">
        <f t="shared" si="20"/>
        <v>#N/A</v>
      </c>
      <c r="X393" s="20" t="e">
        <f t="shared" si="21"/>
        <v>#N/A</v>
      </c>
      <c r="Y393" s="46" t="e">
        <f t="shared" si="24"/>
        <v>#N/A</v>
      </c>
      <c r="Z393" s="39" t="e">
        <f t="shared" si="22"/>
        <v>#N/A</v>
      </c>
      <c r="AA393" s="39" t="e">
        <f t="shared" si="23"/>
        <v>#N/A</v>
      </c>
      <c r="AB393" s="39"/>
      <c r="AC393" s="48" t="e">
        <f t="shared" si="25"/>
        <v>#N/A</v>
      </c>
    </row>
    <row r="394" spans="1:29" ht="12.5" x14ac:dyDescent="0.25">
      <c r="A394" s="36"/>
      <c r="B394" s="33"/>
      <c r="C394" s="33"/>
      <c r="D394" s="33"/>
      <c r="E394" s="35"/>
      <c r="F394" s="21"/>
      <c r="G394" s="22" t="e">
        <f>VLOOKUP(E394,'Court List'!$A:$C,2,0)</f>
        <v>#N/A</v>
      </c>
      <c r="H394" s="33"/>
      <c r="I394" s="33"/>
      <c r="J394" s="44" t="e">
        <f t="shared" si="16"/>
        <v>#N/A</v>
      </c>
      <c r="K394" s="36"/>
      <c r="L394" s="18">
        <f>SUM('Shuttle Count - Supreme (Nov 20'!C394:D394)</f>
        <v>0</v>
      </c>
      <c r="M394" s="18" t="e">
        <f>VLOOKUP(K394,'Shuttle Purchase'!A:C,3,0)</f>
        <v>#N/A</v>
      </c>
      <c r="N394" s="44" t="e">
        <f t="shared" si="26"/>
        <v>#N/A</v>
      </c>
      <c r="O394" s="24" t="e">
        <f>VLOOKUP(E394,'Court List'!$A:$C,3,0)</f>
        <v>#N/A</v>
      </c>
      <c r="P394" s="18">
        <f>COUNTIF('Pub List'!$C394:$T394,"&lt;&gt;")</f>
        <v>0</v>
      </c>
      <c r="Q394" s="20" t="e">
        <f t="shared" si="17"/>
        <v>#N/A</v>
      </c>
      <c r="R394" s="36"/>
      <c r="S394" s="18">
        <f>COUNTIF('Member List'!$C394:$J394,"&lt;&gt;")</f>
        <v>0</v>
      </c>
      <c r="T394" s="35"/>
      <c r="U394" s="24">
        <f t="shared" si="18"/>
        <v>0</v>
      </c>
      <c r="V394" s="18" t="e">
        <f t="shared" si="19"/>
        <v>#N/A</v>
      </c>
      <c r="W394" s="45" t="e">
        <f t="shared" si="20"/>
        <v>#N/A</v>
      </c>
      <c r="X394" s="20" t="e">
        <f t="shared" si="21"/>
        <v>#N/A</v>
      </c>
      <c r="Y394" s="46" t="e">
        <f t="shared" si="24"/>
        <v>#N/A</v>
      </c>
      <c r="Z394" s="39" t="e">
        <f t="shared" si="22"/>
        <v>#N/A</v>
      </c>
      <c r="AA394" s="39" t="e">
        <f t="shared" si="23"/>
        <v>#N/A</v>
      </c>
      <c r="AB394" s="39"/>
      <c r="AC394" s="48" t="e">
        <f t="shared" si="25"/>
        <v>#N/A</v>
      </c>
    </row>
    <row r="395" spans="1:29" ht="12.5" x14ac:dyDescent="0.25">
      <c r="A395" s="36"/>
      <c r="B395" s="33"/>
      <c r="C395" s="33"/>
      <c r="D395" s="33"/>
      <c r="E395" s="35"/>
      <c r="F395" s="21"/>
      <c r="G395" s="22" t="e">
        <f>VLOOKUP(E395,'Court List'!$A:$C,2,0)</f>
        <v>#N/A</v>
      </c>
      <c r="H395" s="33"/>
      <c r="I395" s="33"/>
      <c r="J395" s="44" t="e">
        <f t="shared" si="16"/>
        <v>#N/A</v>
      </c>
      <c r="K395" s="36"/>
      <c r="L395" s="18">
        <f>SUM('Shuttle Count - Supreme (Nov 20'!C395:D395)</f>
        <v>0</v>
      </c>
      <c r="M395" s="18" t="e">
        <f>VLOOKUP(K395,'Shuttle Purchase'!A:C,3,0)</f>
        <v>#N/A</v>
      </c>
      <c r="N395" s="44" t="e">
        <f t="shared" si="26"/>
        <v>#N/A</v>
      </c>
      <c r="O395" s="24" t="e">
        <f>VLOOKUP(E395,'Court List'!$A:$C,3,0)</f>
        <v>#N/A</v>
      </c>
      <c r="P395" s="18">
        <f>COUNTIF('Pub List'!$C395:$T395,"&lt;&gt;")</f>
        <v>0</v>
      </c>
      <c r="Q395" s="20" t="e">
        <f t="shared" si="17"/>
        <v>#N/A</v>
      </c>
      <c r="R395" s="36"/>
      <c r="S395" s="18">
        <f>COUNTIF('Member List'!$C395:$J395,"&lt;&gt;")</f>
        <v>0</v>
      </c>
      <c r="T395" s="35"/>
      <c r="U395" s="24">
        <f t="shared" si="18"/>
        <v>0</v>
      </c>
      <c r="V395" s="18" t="e">
        <f t="shared" si="19"/>
        <v>#N/A</v>
      </c>
      <c r="W395" s="45" t="e">
        <f t="shared" si="20"/>
        <v>#N/A</v>
      </c>
      <c r="X395" s="20" t="e">
        <f t="shared" si="21"/>
        <v>#N/A</v>
      </c>
      <c r="Y395" s="46" t="e">
        <f t="shared" si="24"/>
        <v>#N/A</v>
      </c>
      <c r="Z395" s="39" t="e">
        <f t="shared" si="22"/>
        <v>#N/A</v>
      </c>
      <c r="AA395" s="39" t="e">
        <f t="shared" si="23"/>
        <v>#N/A</v>
      </c>
      <c r="AB395" s="39"/>
      <c r="AC395" s="48" t="e">
        <f t="shared" si="25"/>
        <v>#N/A</v>
      </c>
    </row>
    <row r="396" spans="1:29" ht="12.5" x14ac:dyDescent="0.25">
      <c r="A396" s="36"/>
      <c r="B396" s="33"/>
      <c r="C396" s="33"/>
      <c r="D396" s="33"/>
      <c r="E396" s="35"/>
      <c r="F396" s="21"/>
      <c r="G396" s="22" t="e">
        <f>VLOOKUP(E396,'Court List'!$A:$C,2,0)</f>
        <v>#N/A</v>
      </c>
      <c r="H396" s="33"/>
      <c r="I396" s="33"/>
      <c r="J396" s="44" t="e">
        <f t="shared" si="16"/>
        <v>#N/A</v>
      </c>
      <c r="K396" s="36"/>
      <c r="L396" s="18">
        <f>SUM('Shuttle Count - Supreme (Nov 20'!C396:D396)</f>
        <v>0</v>
      </c>
      <c r="M396" s="18" t="e">
        <f>VLOOKUP(K396,'Shuttle Purchase'!A:C,3,0)</f>
        <v>#N/A</v>
      </c>
      <c r="N396" s="44" t="e">
        <f t="shared" si="26"/>
        <v>#N/A</v>
      </c>
      <c r="O396" s="24" t="e">
        <f>VLOOKUP(E396,'Court List'!$A:$C,3,0)</f>
        <v>#N/A</v>
      </c>
      <c r="P396" s="18">
        <f>COUNTIF('Pub List'!$C396:$T396,"&lt;&gt;")</f>
        <v>0</v>
      </c>
      <c r="Q396" s="20" t="e">
        <f t="shared" si="17"/>
        <v>#N/A</v>
      </c>
      <c r="R396" s="36"/>
      <c r="S396" s="18">
        <f>COUNTIF('Member List'!$C396:$J396,"&lt;&gt;")</f>
        <v>0</v>
      </c>
      <c r="T396" s="35"/>
      <c r="U396" s="24">
        <f t="shared" si="18"/>
        <v>0</v>
      </c>
      <c r="V396" s="18" t="e">
        <f t="shared" si="19"/>
        <v>#N/A</v>
      </c>
      <c r="W396" s="45" t="e">
        <f t="shared" si="20"/>
        <v>#N/A</v>
      </c>
      <c r="X396" s="20" t="e">
        <f t="shared" si="21"/>
        <v>#N/A</v>
      </c>
      <c r="Y396" s="46" t="e">
        <f t="shared" si="24"/>
        <v>#N/A</v>
      </c>
      <c r="Z396" s="39" t="e">
        <f t="shared" si="22"/>
        <v>#N/A</v>
      </c>
      <c r="AA396" s="39" t="e">
        <f t="shared" si="23"/>
        <v>#N/A</v>
      </c>
      <c r="AB396" s="39"/>
      <c r="AC396" s="48" t="e">
        <f t="shared" si="25"/>
        <v>#N/A</v>
      </c>
    </row>
    <row r="397" spans="1:29" ht="12.5" x14ac:dyDescent="0.25">
      <c r="A397" s="36"/>
      <c r="B397" s="33"/>
      <c r="C397" s="33"/>
      <c r="D397" s="33"/>
      <c r="E397" s="35"/>
      <c r="F397" s="21"/>
      <c r="G397" s="22" t="e">
        <f>VLOOKUP(E397,'Court List'!$A:$C,2,0)</f>
        <v>#N/A</v>
      </c>
      <c r="H397" s="33"/>
      <c r="I397" s="33"/>
      <c r="J397" s="44" t="e">
        <f t="shared" si="16"/>
        <v>#N/A</v>
      </c>
      <c r="K397" s="36"/>
      <c r="L397" s="18">
        <f>SUM('Shuttle Count - Supreme (Nov 20'!C397:D397)</f>
        <v>0</v>
      </c>
      <c r="M397" s="18" t="e">
        <f>VLOOKUP(K397,'Shuttle Purchase'!A:C,3,0)</f>
        <v>#N/A</v>
      </c>
      <c r="N397" s="44" t="e">
        <f t="shared" si="26"/>
        <v>#N/A</v>
      </c>
      <c r="O397" s="24" t="e">
        <f>VLOOKUP(E397,'Court List'!$A:$C,3,0)</f>
        <v>#N/A</v>
      </c>
      <c r="P397" s="18">
        <f>COUNTIF('Pub List'!$C397:$T397,"&lt;&gt;")</f>
        <v>0</v>
      </c>
      <c r="Q397" s="20" t="e">
        <f t="shared" si="17"/>
        <v>#N/A</v>
      </c>
      <c r="R397" s="36"/>
      <c r="S397" s="18">
        <f>COUNTIF('Member List'!$C397:$J397,"&lt;&gt;")</f>
        <v>0</v>
      </c>
      <c r="T397" s="35"/>
      <c r="U397" s="24">
        <f t="shared" si="18"/>
        <v>0</v>
      </c>
      <c r="V397" s="18" t="e">
        <f t="shared" si="19"/>
        <v>#N/A</v>
      </c>
      <c r="W397" s="45" t="e">
        <f t="shared" si="20"/>
        <v>#N/A</v>
      </c>
      <c r="X397" s="20" t="e">
        <f t="shared" si="21"/>
        <v>#N/A</v>
      </c>
      <c r="Y397" s="46" t="e">
        <f t="shared" si="24"/>
        <v>#N/A</v>
      </c>
      <c r="Z397" s="39" t="e">
        <f t="shared" si="22"/>
        <v>#N/A</v>
      </c>
      <c r="AA397" s="39" t="e">
        <f t="shared" si="23"/>
        <v>#N/A</v>
      </c>
      <c r="AB397" s="39"/>
      <c r="AC397" s="48" t="e">
        <f t="shared" si="25"/>
        <v>#N/A</v>
      </c>
    </row>
    <row r="398" spans="1:29" ht="12.5" x14ac:dyDescent="0.25">
      <c r="A398" s="36"/>
      <c r="B398" s="33"/>
      <c r="C398" s="33"/>
      <c r="D398" s="33"/>
      <c r="E398" s="35"/>
      <c r="F398" s="21"/>
      <c r="G398" s="22" t="e">
        <f>VLOOKUP(E398,'Court List'!$A:$C,2,0)</f>
        <v>#N/A</v>
      </c>
      <c r="H398" s="33"/>
      <c r="I398" s="33"/>
      <c r="J398" s="44" t="e">
        <f t="shared" si="16"/>
        <v>#N/A</v>
      </c>
      <c r="K398" s="36"/>
      <c r="L398" s="18">
        <f>SUM('Shuttle Count - Supreme (Nov 20'!C398:D398)</f>
        <v>0</v>
      </c>
      <c r="M398" s="18" t="e">
        <f>VLOOKUP(K398,'Shuttle Purchase'!A:C,3,0)</f>
        <v>#N/A</v>
      </c>
      <c r="N398" s="44" t="e">
        <f t="shared" si="26"/>
        <v>#N/A</v>
      </c>
      <c r="O398" s="24" t="e">
        <f>VLOOKUP(E398,'Court List'!$A:$C,3,0)</f>
        <v>#N/A</v>
      </c>
      <c r="P398" s="18">
        <f>COUNTIF('Pub List'!$C398:$T398,"&lt;&gt;")</f>
        <v>0</v>
      </c>
      <c r="Q398" s="20" t="e">
        <f t="shared" si="17"/>
        <v>#N/A</v>
      </c>
      <c r="R398" s="36"/>
      <c r="S398" s="18">
        <f>COUNTIF('Member List'!$C398:$J398,"&lt;&gt;")</f>
        <v>0</v>
      </c>
      <c r="T398" s="35"/>
      <c r="U398" s="24">
        <f t="shared" si="18"/>
        <v>0</v>
      </c>
      <c r="V398" s="18" t="e">
        <f t="shared" si="19"/>
        <v>#N/A</v>
      </c>
      <c r="W398" s="45" t="e">
        <f t="shared" si="20"/>
        <v>#N/A</v>
      </c>
      <c r="X398" s="20" t="e">
        <f t="shared" si="21"/>
        <v>#N/A</v>
      </c>
      <c r="Y398" s="46" t="e">
        <f t="shared" si="24"/>
        <v>#N/A</v>
      </c>
      <c r="Z398" s="39" t="e">
        <f t="shared" si="22"/>
        <v>#N/A</v>
      </c>
      <c r="AA398" s="39" t="e">
        <f t="shared" si="23"/>
        <v>#N/A</v>
      </c>
      <c r="AB398" s="39"/>
      <c r="AC398" s="48" t="e">
        <f t="shared" si="25"/>
        <v>#N/A</v>
      </c>
    </row>
    <row r="399" spans="1:29" ht="12.5" x14ac:dyDescent="0.25">
      <c r="A399" s="36"/>
      <c r="B399" s="33"/>
      <c r="C399" s="33"/>
      <c r="D399" s="33"/>
      <c r="E399" s="35"/>
      <c r="F399" s="21"/>
      <c r="G399" s="22" t="e">
        <f>VLOOKUP(E399,'Court List'!$A:$C,2,0)</f>
        <v>#N/A</v>
      </c>
      <c r="H399" s="33"/>
      <c r="I399" s="33"/>
      <c r="J399" s="44" t="e">
        <f t="shared" si="16"/>
        <v>#N/A</v>
      </c>
      <c r="K399" s="36"/>
      <c r="L399" s="18">
        <f>SUM('Shuttle Count - Supreme (Nov 20'!C399:D399)</f>
        <v>0</v>
      </c>
      <c r="M399" s="18" t="e">
        <f>VLOOKUP(K399,'Shuttle Purchase'!A:C,3,0)</f>
        <v>#N/A</v>
      </c>
      <c r="N399" s="44" t="e">
        <f t="shared" si="26"/>
        <v>#N/A</v>
      </c>
      <c r="O399" s="24" t="e">
        <f>VLOOKUP(E399,'Court List'!$A:$C,3,0)</f>
        <v>#N/A</v>
      </c>
      <c r="P399" s="18">
        <f>COUNTIF('Pub List'!$C399:$T399,"&lt;&gt;")</f>
        <v>0</v>
      </c>
      <c r="Q399" s="20" t="e">
        <f t="shared" si="17"/>
        <v>#N/A</v>
      </c>
      <c r="R399" s="36"/>
      <c r="S399" s="18">
        <f>COUNTIF('Member List'!$C399:$J399,"&lt;&gt;")</f>
        <v>0</v>
      </c>
      <c r="T399" s="35"/>
      <c r="U399" s="24">
        <f t="shared" si="18"/>
        <v>0</v>
      </c>
      <c r="V399" s="18" t="e">
        <f t="shared" si="19"/>
        <v>#N/A</v>
      </c>
      <c r="W399" s="45" t="e">
        <f t="shared" si="20"/>
        <v>#N/A</v>
      </c>
      <c r="X399" s="20" t="e">
        <f t="shared" si="21"/>
        <v>#N/A</v>
      </c>
      <c r="Y399" s="46" t="e">
        <f t="shared" si="24"/>
        <v>#N/A</v>
      </c>
      <c r="Z399" s="39" t="e">
        <f t="shared" si="22"/>
        <v>#N/A</v>
      </c>
      <c r="AA399" s="39" t="e">
        <f t="shared" si="23"/>
        <v>#N/A</v>
      </c>
      <c r="AB399" s="39"/>
      <c r="AC399" s="48" t="e">
        <f t="shared" si="25"/>
        <v>#N/A</v>
      </c>
    </row>
    <row r="400" spans="1:29" ht="12.5" x14ac:dyDescent="0.25">
      <c r="A400" s="36"/>
      <c r="B400" s="33"/>
      <c r="C400" s="33"/>
      <c r="D400" s="33"/>
      <c r="E400" s="35"/>
      <c r="F400" s="21"/>
      <c r="G400" s="22" t="e">
        <f>VLOOKUP(E400,'Court List'!$A:$C,2,0)</f>
        <v>#N/A</v>
      </c>
      <c r="H400" s="33"/>
      <c r="I400" s="33"/>
      <c r="J400" s="44" t="e">
        <f t="shared" si="16"/>
        <v>#N/A</v>
      </c>
      <c r="K400" s="36"/>
      <c r="L400" s="18">
        <f>SUM('Shuttle Count - Supreme (Nov 20'!C400:D400)</f>
        <v>0</v>
      </c>
      <c r="M400" s="18" t="e">
        <f>VLOOKUP(K400,'Shuttle Purchase'!A:C,3,0)</f>
        <v>#N/A</v>
      </c>
      <c r="N400" s="44" t="e">
        <f t="shared" si="26"/>
        <v>#N/A</v>
      </c>
      <c r="O400" s="24" t="e">
        <f>VLOOKUP(E400,'Court List'!$A:$C,3,0)</f>
        <v>#N/A</v>
      </c>
      <c r="P400" s="18">
        <f>COUNTIF('Pub List'!$C400:$T400,"&lt;&gt;")</f>
        <v>0</v>
      </c>
      <c r="Q400" s="20" t="e">
        <f t="shared" si="17"/>
        <v>#N/A</v>
      </c>
      <c r="R400" s="36"/>
      <c r="S400" s="18">
        <f>COUNTIF('Member List'!$C400:$J400,"&lt;&gt;")</f>
        <v>0</v>
      </c>
      <c r="T400" s="35"/>
      <c r="U400" s="24">
        <f t="shared" si="18"/>
        <v>0</v>
      </c>
      <c r="V400" s="18" t="e">
        <f t="shared" si="19"/>
        <v>#N/A</v>
      </c>
      <c r="W400" s="45" t="e">
        <f t="shared" si="20"/>
        <v>#N/A</v>
      </c>
      <c r="X400" s="20" t="e">
        <f t="shared" si="21"/>
        <v>#N/A</v>
      </c>
      <c r="Y400" s="46" t="e">
        <f t="shared" si="24"/>
        <v>#N/A</v>
      </c>
      <c r="Z400" s="39" t="e">
        <f t="shared" si="22"/>
        <v>#N/A</v>
      </c>
      <c r="AA400" s="39" t="e">
        <f t="shared" si="23"/>
        <v>#N/A</v>
      </c>
      <c r="AB400" s="39"/>
      <c r="AC400" s="48" t="e">
        <f t="shared" si="25"/>
        <v>#N/A</v>
      </c>
    </row>
    <row r="401" spans="1:29" ht="12.5" x14ac:dyDescent="0.25">
      <c r="A401" s="36"/>
      <c r="B401" s="33"/>
      <c r="C401" s="33"/>
      <c r="D401" s="33"/>
      <c r="E401" s="35"/>
      <c r="F401" s="21"/>
      <c r="G401" s="22" t="e">
        <f>VLOOKUP(E401,'Court List'!$A:$C,2,0)</f>
        <v>#N/A</v>
      </c>
      <c r="H401" s="33"/>
      <c r="I401" s="33"/>
      <c r="J401" s="44" t="e">
        <f t="shared" si="16"/>
        <v>#N/A</v>
      </c>
      <c r="K401" s="36"/>
      <c r="L401" s="18">
        <f>SUM('Shuttle Count - Supreme (Nov 20'!C401:D401)</f>
        <v>0</v>
      </c>
      <c r="M401" s="18" t="e">
        <f>VLOOKUP(K401,'Shuttle Purchase'!A:C,3,0)</f>
        <v>#N/A</v>
      </c>
      <c r="N401" s="44" t="e">
        <f t="shared" si="26"/>
        <v>#N/A</v>
      </c>
      <c r="O401" s="24" t="e">
        <f>VLOOKUP(E401,'Court List'!$A:$C,3,0)</f>
        <v>#N/A</v>
      </c>
      <c r="P401" s="18">
        <f>COUNTIF('Pub List'!$C401:$T401,"&lt;&gt;")</f>
        <v>0</v>
      </c>
      <c r="Q401" s="20" t="e">
        <f t="shared" si="17"/>
        <v>#N/A</v>
      </c>
      <c r="R401" s="36"/>
      <c r="S401" s="18">
        <f>COUNTIF('Member List'!$C401:$J401,"&lt;&gt;")</f>
        <v>0</v>
      </c>
      <c r="T401" s="35"/>
      <c r="U401" s="24">
        <f t="shared" si="18"/>
        <v>0</v>
      </c>
      <c r="V401" s="18" t="e">
        <f t="shared" si="19"/>
        <v>#N/A</v>
      </c>
      <c r="W401" s="45" t="e">
        <f t="shared" si="20"/>
        <v>#N/A</v>
      </c>
      <c r="X401" s="20" t="e">
        <f t="shared" si="21"/>
        <v>#N/A</v>
      </c>
      <c r="Y401" s="46" t="e">
        <f t="shared" si="24"/>
        <v>#N/A</v>
      </c>
      <c r="Z401" s="39" t="e">
        <f t="shared" si="22"/>
        <v>#N/A</v>
      </c>
      <c r="AA401" s="39" t="e">
        <f t="shared" si="23"/>
        <v>#N/A</v>
      </c>
      <c r="AB401" s="39"/>
      <c r="AC401" s="48" t="e">
        <f t="shared" si="25"/>
        <v>#N/A</v>
      </c>
    </row>
    <row r="402" spans="1:29" ht="12.5" x14ac:dyDescent="0.25">
      <c r="A402" s="36"/>
      <c r="B402" s="33"/>
      <c r="C402" s="33"/>
      <c r="D402" s="33"/>
      <c r="E402" s="35"/>
      <c r="F402" s="21"/>
      <c r="G402" s="22" t="e">
        <f>VLOOKUP(E402,'Court List'!$A:$C,2,0)</f>
        <v>#N/A</v>
      </c>
      <c r="H402" s="33"/>
      <c r="I402" s="33"/>
      <c r="J402" s="44" t="e">
        <f t="shared" si="16"/>
        <v>#N/A</v>
      </c>
      <c r="K402" s="36"/>
      <c r="L402" s="18">
        <f>SUM('Shuttle Count - Supreme (Nov 20'!C402:D402)</f>
        <v>0</v>
      </c>
      <c r="M402" s="18" t="e">
        <f>VLOOKUP(K402,'Shuttle Purchase'!A:C,3,0)</f>
        <v>#N/A</v>
      </c>
      <c r="N402" s="44" t="e">
        <f t="shared" si="26"/>
        <v>#N/A</v>
      </c>
      <c r="O402" s="24" t="e">
        <f>VLOOKUP(E402,'Court List'!$A:$C,3,0)</f>
        <v>#N/A</v>
      </c>
      <c r="P402" s="18">
        <f>COUNTIF('Pub List'!$C402:$T402,"&lt;&gt;")</f>
        <v>0</v>
      </c>
      <c r="Q402" s="20" t="e">
        <f t="shared" si="17"/>
        <v>#N/A</v>
      </c>
      <c r="R402" s="36"/>
      <c r="S402" s="18">
        <f>COUNTIF('Member List'!$C402:$J402,"&lt;&gt;")</f>
        <v>0</v>
      </c>
      <c r="T402" s="35"/>
      <c r="U402" s="24">
        <f t="shared" si="18"/>
        <v>0</v>
      </c>
      <c r="V402" s="18" t="e">
        <f t="shared" si="19"/>
        <v>#N/A</v>
      </c>
      <c r="W402" s="45" t="e">
        <f t="shared" si="20"/>
        <v>#N/A</v>
      </c>
      <c r="X402" s="20" t="e">
        <f t="shared" si="21"/>
        <v>#N/A</v>
      </c>
      <c r="Y402" s="46" t="e">
        <f t="shared" si="24"/>
        <v>#N/A</v>
      </c>
      <c r="Z402" s="39" t="e">
        <f t="shared" si="22"/>
        <v>#N/A</v>
      </c>
      <c r="AA402" s="39" t="e">
        <f t="shared" si="23"/>
        <v>#N/A</v>
      </c>
      <c r="AB402" s="39"/>
      <c r="AC402" s="48" t="e">
        <f t="shared" si="25"/>
        <v>#N/A</v>
      </c>
    </row>
    <row r="403" spans="1:29" ht="12.5" x14ac:dyDescent="0.25">
      <c r="A403" s="36"/>
      <c r="B403" s="33"/>
      <c r="C403" s="33"/>
      <c r="D403" s="33"/>
      <c r="E403" s="35"/>
      <c r="F403" s="21"/>
      <c r="G403" s="22" t="e">
        <f>VLOOKUP(E403,'Court List'!$A:$C,2,0)</f>
        <v>#N/A</v>
      </c>
      <c r="H403" s="33"/>
      <c r="I403" s="33"/>
      <c r="J403" s="44" t="e">
        <f t="shared" si="16"/>
        <v>#N/A</v>
      </c>
      <c r="K403" s="36"/>
      <c r="L403" s="18">
        <f>SUM('Shuttle Count - Supreme (Nov 20'!C403:D403)</f>
        <v>0</v>
      </c>
      <c r="M403" s="18" t="e">
        <f>VLOOKUP(K403,'Shuttle Purchase'!A:C,3,0)</f>
        <v>#N/A</v>
      </c>
      <c r="N403" s="44" t="e">
        <f t="shared" si="26"/>
        <v>#N/A</v>
      </c>
      <c r="O403" s="24" t="e">
        <f>VLOOKUP(E403,'Court List'!$A:$C,3,0)</f>
        <v>#N/A</v>
      </c>
      <c r="P403" s="18">
        <f>COUNTIF('Pub List'!$C403:$T403,"&lt;&gt;")</f>
        <v>0</v>
      </c>
      <c r="Q403" s="20" t="e">
        <f t="shared" si="17"/>
        <v>#N/A</v>
      </c>
      <c r="R403" s="36"/>
      <c r="S403" s="18">
        <f>COUNTIF('Member List'!$C403:$J403,"&lt;&gt;")</f>
        <v>0</v>
      </c>
      <c r="T403" s="35"/>
      <c r="U403" s="24">
        <f t="shared" si="18"/>
        <v>0</v>
      </c>
      <c r="V403" s="18" t="e">
        <f t="shared" si="19"/>
        <v>#N/A</v>
      </c>
      <c r="W403" s="45" t="e">
        <f t="shared" si="20"/>
        <v>#N/A</v>
      </c>
      <c r="X403" s="20" t="e">
        <f t="shared" si="21"/>
        <v>#N/A</v>
      </c>
      <c r="Y403" s="46" t="e">
        <f t="shared" si="24"/>
        <v>#N/A</v>
      </c>
      <c r="Z403" s="39" t="e">
        <f t="shared" si="22"/>
        <v>#N/A</v>
      </c>
      <c r="AA403" s="39" t="e">
        <f t="shared" si="23"/>
        <v>#N/A</v>
      </c>
      <c r="AB403" s="39"/>
      <c r="AC403" s="48" t="e">
        <f t="shared" si="25"/>
        <v>#N/A</v>
      </c>
    </row>
    <row r="404" spans="1:29" ht="12.5" x14ac:dyDescent="0.25">
      <c r="A404" s="36"/>
      <c r="B404" s="33"/>
      <c r="C404" s="33"/>
      <c r="D404" s="33"/>
      <c r="E404" s="35"/>
      <c r="F404" s="21"/>
      <c r="G404" s="22" t="e">
        <f>VLOOKUP(E404,'Court List'!$A:$C,2,0)</f>
        <v>#N/A</v>
      </c>
      <c r="H404" s="33"/>
      <c r="I404" s="33"/>
      <c r="J404" s="44" t="e">
        <f t="shared" si="16"/>
        <v>#N/A</v>
      </c>
      <c r="K404" s="36"/>
      <c r="L404" s="18">
        <f>SUM('Shuttle Count - Supreme (Nov 20'!C404:D404)</f>
        <v>0</v>
      </c>
      <c r="M404" s="18" t="e">
        <f>VLOOKUP(K404,'Shuttle Purchase'!A:C,3,0)</f>
        <v>#N/A</v>
      </c>
      <c r="N404" s="44" t="e">
        <f t="shared" si="26"/>
        <v>#N/A</v>
      </c>
      <c r="O404" s="24" t="e">
        <f>VLOOKUP(E404,'Court List'!$A:$C,3,0)</f>
        <v>#N/A</v>
      </c>
      <c r="P404" s="18">
        <f>COUNTIF('Pub List'!$C404:$T404,"&lt;&gt;")</f>
        <v>0</v>
      </c>
      <c r="Q404" s="20" t="e">
        <f t="shared" si="17"/>
        <v>#N/A</v>
      </c>
      <c r="R404" s="36"/>
      <c r="S404" s="18">
        <f>COUNTIF('Member List'!$C404:$J404,"&lt;&gt;")</f>
        <v>0</v>
      </c>
      <c r="T404" s="35"/>
      <c r="U404" s="24">
        <f t="shared" si="18"/>
        <v>0</v>
      </c>
      <c r="V404" s="18" t="e">
        <f t="shared" si="19"/>
        <v>#N/A</v>
      </c>
      <c r="W404" s="45" t="e">
        <f t="shared" si="20"/>
        <v>#N/A</v>
      </c>
      <c r="X404" s="20" t="e">
        <f t="shared" si="21"/>
        <v>#N/A</v>
      </c>
      <c r="Y404" s="46" t="e">
        <f t="shared" si="24"/>
        <v>#N/A</v>
      </c>
      <c r="Z404" s="39" t="e">
        <f t="shared" si="22"/>
        <v>#N/A</v>
      </c>
      <c r="AA404" s="39" t="e">
        <f t="shared" si="23"/>
        <v>#N/A</v>
      </c>
      <c r="AB404" s="39"/>
      <c r="AC404" s="48" t="e">
        <f t="shared" si="25"/>
        <v>#N/A</v>
      </c>
    </row>
    <row r="405" spans="1:29" ht="12.5" x14ac:dyDescent="0.25">
      <c r="A405" s="36"/>
      <c r="B405" s="33"/>
      <c r="C405" s="33"/>
      <c r="D405" s="33"/>
      <c r="E405" s="35"/>
      <c r="F405" s="21"/>
      <c r="G405" s="22" t="e">
        <f>VLOOKUP(E405,'Court List'!$A:$C,2,0)</f>
        <v>#N/A</v>
      </c>
      <c r="H405" s="33"/>
      <c r="I405" s="33"/>
      <c r="J405" s="44" t="e">
        <f t="shared" si="16"/>
        <v>#N/A</v>
      </c>
      <c r="K405" s="36"/>
      <c r="L405" s="18">
        <f>SUM('Shuttle Count - Supreme (Nov 20'!C405:D405)</f>
        <v>0</v>
      </c>
      <c r="M405" s="18" t="e">
        <f>VLOOKUP(K405,'Shuttle Purchase'!A:C,3,0)</f>
        <v>#N/A</v>
      </c>
      <c r="N405" s="44" t="e">
        <f t="shared" si="26"/>
        <v>#N/A</v>
      </c>
      <c r="O405" s="24" t="e">
        <f>VLOOKUP(E405,'Court List'!$A:$C,3,0)</f>
        <v>#N/A</v>
      </c>
      <c r="P405" s="18">
        <f>COUNTIF('Pub List'!$C405:$T405,"&lt;&gt;")</f>
        <v>0</v>
      </c>
      <c r="Q405" s="20" t="e">
        <f t="shared" si="17"/>
        <v>#N/A</v>
      </c>
      <c r="R405" s="36"/>
      <c r="S405" s="18">
        <f>COUNTIF('Member List'!$C405:$J405,"&lt;&gt;")</f>
        <v>0</v>
      </c>
      <c r="T405" s="35"/>
      <c r="U405" s="24">
        <f t="shared" si="18"/>
        <v>0</v>
      </c>
      <c r="V405" s="18" t="e">
        <f t="shared" si="19"/>
        <v>#N/A</v>
      </c>
      <c r="W405" s="45" t="e">
        <f t="shared" si="20"/>
        <v>#N/A</v>
      </c>
      <c r="X405" s="20" t="e">
        <f t="shared" si="21"/>
        <v>#N/A</v>
      </c>
      <c r="Y405" s="46" t="e">
        <f t="shared" si="24"/>
        <v>#N/A</v>
      </c>
      <c r="Z405" s="39" t="e">
        <f t="shared" si="22"/>
        <v>#N/A</v>
      </c>
      <c r="AA405" s="39" t="e">
        <f t="shared" si="23"/>
        <v>#N/A</v>
      </c>
      <c r="AB405" s="39"/>
      <c r="AC405" s="48" t="e">
        <f t="shared" si="25"/>
        <v>#N/A</v>
      </c>
    </row>
    <row r="406" spans="1:29" ht="12.5" x14ac:dyDescent="0.25">
      <c r="A406" s="36"/>
      <c r="B406" s="33"/>
      <c r="C406" s="33"/>
      <c r="D406" s="33"/>
      <c r="E406" s="35"/>
      <c r="F406" s="21"/>
      <c r="G406" s="22" t="e">
        <f>VLOOKUP(E406,'Court List'!$A:$C,2,0)</f>
        <v>#N/A</v>
      </c>
      <c r="H406" s="33"/>
      <c r="I406" s="33"/>
      <c r="J406" s="44" t="e">
        <f t="shared" si="16"/>
        <v>#N/A</v>
      </c>
      <c r="K406" s="36"/>
      <c r="L406" s="18">
        <f>SUM('Shuttle Count - Supreme (Nov 20'!C406:D406)</f>
        <v>0</v>
      </c>
      <c r="M406" s="18" t="e">
        <f>VLOOKUP(K406,'Shuttle Purchase'!A:C,3,0)</f>
        <v>#N/A</v>
      </c>
      <c r="N406" s="44" t="e">
        <f t="shared" si="26"/>
        <v>#N/A</v>
      </c>
      <c r="O406" s="24" t="e">
        <f>VLOOKUP(E406,'Court List'!$A:$C,3,0)</f>
        <v>#N/A</v>
      </c>
      <c r="P406" s="18">
        <f>COUNTIF('Pub List'!$C406:$T406,"&lt;&gt;")</f>
        <v>0</v>
      </c>
      <c r="Q406" s="20" t="e">
        <f t="shared" si="17"/>
        <v>#N/A</v>
      </c>
      <c r="R406" s="36"/>
      <c r="S406" s="18">
        <f>COUNTIF('Member List'!$C406:$J406,"&lt;&gt;")</f>
        <v>0</v>
      </c>
      <c r="T406" s="35"/>
      <c r="U406" s="24">
        <f t="shared" si="18"/>
        <v>0</v>
      </c>
      <c r="V406" s="18" t="e">
        <f t="shared" si="19"/>
        <v>#N/A</v>
      </c>
      <c r="W406" s="45" t="e">
        <f t="shared" si="20"/>
        <v>#N/A</v>
      </c>
      <c r="X406" s="20" t="e">
        <f t="shared" si="21"/>
        <v>#N/A</v>
      </c>
      <c r="Y406" s="46" t="e">
        <f t="shared" si="24"/>
        <v>#N/A</v>
      </c>
      <c r="Z406" s="39" t="e">
        <f t="shared" si="22"/>
        <v>#N/A</v>
      </c>
      <c r="AA406" s="39" t="e">
        <f t="shared" si="23"/>
        <v>#N/A</v>
      </c>
      <c r="AB406" s="39"/>
      <c r="AC406" s="48" t="e">
        <f t="shared" si="25"/>
        <v>#N/A</v>
      </c>
    </row>
    <row r="407" spans="1:29" ht="12.5" x14ac:dyDescent="0.25">
      <c r="A407" s="36"/>
      <c r="B407" s="33"/>
      <c r="C407" s="33"/>
      <c r="D407" s="33"/>
      <c r="E407" s="35"/>
      <c r="F407" s="21"/>
      <c r="G407" s="22" t="e">
        <f>VLOOKUP(E407,'Court List'!$A:$C,2,0)</f>
        <v>#N/A</v>
      </c>
      <c r="H407" s="33"/>
      <c r="I407" s="33"/>
      <c r="J407" s="44" t="e">
        <f t="shared" si="16"/>
        <v>#N/A</v>
      </c>
      <c r="K407" s="36"/>
      <c r="L407" s="18">
        <f>SUM('Shuttle Count - Supreme (Nov 20'!C407:D407)</f>
        <v>0</v>
      </c>
      <c r="M407" s="18" t="e">
        <f>VLOOKUP(K407,'Shuttle Purchase'!A:C,3,0)</f>
        <v>#N/A</v>
      </c>
      <c r="N407" s="44" t="e">
        <f t="shared" si="26"/>
        <v>#N/A</v>
      </c>
      <c r="O407" s="24" t="e">
        <f>VLOOKUP(E407,'Court List'!$A:$C,3,0)</f>
        <v>#N/A</v>
      </c>
      <c r="P407" s="18">
        <f>COUNTIF('Pub List'!$C407:$T407,"&lt;&gt;")</f>
        <v>0</v>
      </c>
      <c r="Q407" s="20" t="e">
        <f t="shared" si="17"/>
        <v>#N/A</v>
      </c>
      <c r="R407" s="36"/>
      <c r="S407" s="18">
        <f>COUNTIF('Member List'!$C407:$J407,"&lt;&gt;")</f>
        <v>0</v>
      </c>
      <c r="T407" s="35"/>
      <c r="U407" s="24">
        <f t="shared" si="18"/>
        <v>0</v>
      </c>
      <c r="V407" s="18" t="e">
        <f t="shared" si="19"/>
        <v>#N/A</v>
      </c>
      <c r="W407" s="45" t="e">
        <f t="shared" si="20"/>
        <v>#N/A</v>
      </c>
      <c r="X407" s="20" t="e">
        <f t="shared" si="21"/>
        <v>#N/A</v>
      </c>
      <c r="Y407" s="46" t="e">
        <f t="shared" si="24"/>
        <v>#N/A</v>
      </c>
      <c r="Z407" s="39" t="e">
        <f t="shared" si="22"/>
        <v>#N/A</v>
      </c>
      <c r="AA407" s="39" t="e">
        <f t="shared" si="23"/>
        <v>#N/A</v>
      </c>
      <c r="AB407" s="39"/>
      <c r="AC407" s="48" t="e">
        <f t="shared" si="25"/>
        <v>#N/A</v>
      </c>
    </row>
    <row r="408" spans="1:29" ht="12.5" x14ac:dyDescent="0.25">
      <c r="A408" s="36"/>
      <c r="B408" s="33"/>
      <c r="C408" s="33"/>
      <c r="D408" s="33"/>
      <c r="E408" s="35"/>
      <c r="F408" s="21"/>
      <c r="G408" s="22" t="e">
        <f>VLOOKUP(E408,'Court List'!$A:$C,2,0)</f>
        <v>#N/A</v>
      </c>
      <c r="H408" s="33"/>
      <c r="I408" s="33"/>
      <c r="J408" s="44" t="e">
        <f t="shared" si="16"/>
        <v>#N/A</v>
      </c>
      <c r="K408" s="36"/>
      <c r="L408" s="18">
        <f>SUM('Shuttle Count - Supreme (Nov 20'!C408:D408)</f>
        <v>0</v>
      </c>
      <c r="M408" s="18" t="e">
        <f>VLOOKUP(K408,'Shuttle Purchase'!A:C,3,0)</f>
        <v>#N/A</v>
      </c>
      <c r="N408" s="44" t="e">
        <f t="shared" si="26"/>
        <v>#N/A</v>
      </c>
      <c r="O408" s="24" t="e">
        <f>VLOOKUP(E408,'Court List'!$A:$C,3,0)</f>
        <v>#N/A</v>
      </c>
      <c r="P408" s="18">
        <f>COUNTIF('Pub List'!$C408:$T408,"&lt;&gt;")</f>
        <v>0</v>
      </c>
      <c r="Q408" s="20" t="e">
        <f t="shared" si="17"/>
        <v>#N/A</v>
      </c>
      <c r="R408" s="36"/>
      <c r="S408" s="18">
        <f>COUNTIF('Member List'!$C408:$J408,"&lt;&gt;")</f>
        <v>0</v>
      </c>
      <c r="T408" s="35"/>
      <c r="U408" s="24">
        <f t="shared" si="18"/>
        <v>0</v>
      </c>
      <c r="V408" s="18" t="e">
        <f t="shared" si="19"/>
        <v>#N/A</v>
      </c>
      <c r="W408" s="45" t="e">
        <f t="shared" si="20"/>
        <v>#N/A</v>
      </c>
      <c r="X408" s="20" t="e">
        <f t="shared" si="21"/>
        <v>#N/A</v>
      </c>
      <c r="Y408" s="46" t="e">
        <f t="shared" si="24"/>
        <v>#N/A</v>
      </c>
      <c r="Z408" s="39" t="e">
        <f t="shared" si="22"/>
        <v>#N/A</v>
      </c>
      <c r="AA408" s="39" t="e">
        <f t="shared" si="23"/>
        <v>#N/A</v>
      </c>
      <c r="AB408" s="39"/>
      <c r="AC408" s="48" t="e">
        <f t="shared" si="25"/>
        <v>#N/A</v>
      </c>
    </row>
    <row r="409" spans="1:29" ht="12.5" x14ac:dyDescent="0.25">
      <c r="A409" s="36"/>
      <c r="B409" s="33"/>
      <c r="C409" s="33"/>
      <c r="D409" s="33"/>
      <c r="E409" s="35"/>
      <c r="F409" s="21"/>
      <c r="G409" s="22" t="e">
        <f>VLOOKUP(E409,'Court List'!$A:$C,2,0)</f>
        <v>#N/A</v>
      </c>
      <c r="H409" s="33"/>
      <c r="I409" s="33"/>
      <c r="J409" s="44" t="e">
        <f t="shared" si="16"/>
        <v>#N/A</v>
      </c>
      <c r="K409" s="36"/>
      <c r="L409" s="18">
        <f>SUM('Shuttle Count - Supreme (Nov 20'!C409:D409)</f>
        <v>0</v>
      </c>
      <c r="M409" s="18" t="e">
        <f>VLOOKUP(K409,'Shuttle Purchase'!A:C,3,0)</f>
        <v>#N/A</v>
      </c>
      <c r="N409" s="44" t="e">
        <f t="shared" si="26"/>
        <v>#N/A</v>
      </c>
      <c r="O409" s="24" t="e">
        <f>VLOOKUP(E409,'Court List'!$A:$C,3,0)</f>
        <v>#N/A</v>
      </c>
      <c r="P409" s="18">
        <f>COUNTIF('Pub List'!$C409:$T409,"&lt;&gt;")</f>
        <v>0</v>
      </c>
      <c r="Q409" s="20" t="e">
        <f t="shared" si="17"/>
        <v>#N/A</v>
      </c>
      <c r="R409" s="36"/>
      <c r="S409" s="18">
        <f>COUNTIF('Member List'!$C409:$J409,"&lt;&gt;")</f>
        <v>0</v>
      </c>
      <c r="T409" s="35"/>
      <c r="U409" s="24">
        <f t="shared" si="18"/>
        <v>0</v>
      </c>
      <c r="V409" s="18" t="e">
        <f t="shared" si="19"/>
        <v>#N/A</v>
      </c>
      <c r="W409" s="45" t="e">
        <f t="shared" si="20"/>
        <v>#N/A</v>
      </c>
      <c r="X409" s="20" t="e">
        <f t="shared" si="21"/>
        <v>#N/A</v>
      </c>
      <c r="Y409" s="46" t="e">
        <f t="shared" si="24"/>
        <v>#N/A</v>
      </c>
      <c r="Z409" s="39" t="e">
        <f t="shared" si="22"/>
        <v>#N/A</v>
      </c>
      <c r="AA409" s="39" t="e">
        <f t="shared" si="23"/>
        <v>#N/A</v>
      </c>
      <c r="AB409" s="39"/>
      <c r="AC409" s="48" t="e">
        <f t="shared" si="25"/>
        <v>#N/A</v>
      </c>
    </row>
    <row r="410" spans="1:29" ht="12.5" x14ac:dyDescent="0.25">
      <c r="A410" s="36"/>
      <c r="B410" s="33"/>
      <c r="C410" s="33"/>
      <c r="D410" s="33"/>
      <c r="E410" s="35"/>
      <c r="F410" s="21"/>
      <c r="G410" s="22" t="e">
        <f>VLOOKUP(E410,'Court List'!$A:$C,2,0)</f>
        <v>#N/A</v>
      </c>
      <c r="H410" s="33"/>
      <c r="I410" s="33"/>
      <c r="J410" s="44" t="e">
        <f t="shared" si="16"/>
        <v>#N/A</v>
      </c>
      <c r="K410" s="36"/>
      <c r="L410" s="18">
        <f>SUM('Shuttle Count - Supreme (Nov 20'!C410:D410)</f>
        <v>0</v>
      </c>
      <c r="M410" s="18" t="e">
        <f>VLOOKUP(K410,'Shuttle Purchase'!A:C,3,0)</f>
        <v>#N/A</v>
      </c>
      <c r="N410" s="44" t="e">
        <f t="shared" si="26"/>
        <v>#N/A</v>
      </c>
      <c r="O410" s="24" t="e">
        <f>VLOOKUP(E410,'Court List'!$A:$C,3,0)</f>
        <v>#N/A</v>
      </c>
      <c r="P410" s="18">
        <f>COUNTIF('Pub List'!$C410:$T410,"&lt;&gt;")</f>
        <v>0</v>
      </c>
      <c r="Q410" s="20" t="e">
        <f t="shared" si="17"/>
        <v>#N/A</v>
      </c>
      <c r="R410" s="36"/>
      <c r="S410" s="18">
        <f>COUNTIF('Member List'!$C410:$J410,"&lt;&gt;")</f>
        <v>0</v>
      </c>
      <c r="T410" s="35"/>
      <c r="U410" s="24">
        <f t="shared" si="18"/>
        <v>0</v>
      </c>
      <c r="V410" s="18" t="e">
        <f t="shared" si="19"/>
        <v>#N/A</v>
      </c>
      <c r="W410" s="45" t="e">
        <f t="shared" si="20"/>
        <v>#N/A</v>
      </c>
      <c r="X410" s="20" t="e">
        <f t="shared" si="21"/>
        <v>#N/A</v>
      </c>
      <c r="Y410" s="46" t="e">
        <f t="shared" si="24"/>
        <v>#N/A</v>
      </c>
      <c r="Z410" s="39" t="e">
        <f t="shared" si="22"/>
        <v>#N/A</v>
      </c>
      <c r="AA410" s="39" t="e">
        <f t="shared" si="23"/>
        <v>#N/A</v>
      </c>
      <c r="AB410" s="39"/>
      <c r="AC410" s="48" t="e">
        <f t="shared" si="25"/>
        <v>#N/A</v>
      </c>
    </row>
    <row r="411" spans="1:29" ht="12.5" x14ac:dyDescent="0.25">
      <c r="A411" s="36"/>
      <c r="B411" s="33"/>
      <c r="C411" s="33"/>
      <c r="D411" s="33"/>
      <c r="E411" s="35"/>
      <c r="F411" s="21"/>
      <c r="G411" s="22" t="e">
        <f>VLOOKUP(E411,'Court List'!$A:$C,2,0)</f>
        <v>#N/A</v>
      </c>
      <c r="H411" s="33"/>
      <c r="I411" s="33"/>
      <c r="J411" s="44" t="e">
        <f t="shared" si="16"/>
        <v>#N/A</v>
      </c>
      <c r="K411" s="36"/>
      <c r="L411" s="18">
        <f>SUM('Shuttle Count - Supreme (Nov 20'!C411:D411)</f>
        <v>0</v>
      </c>
      <c r="M411" s="18" t="e">
        <f>VLOOKUP(K411,'Shuttle Purchase'!A:C,3,0)</f>
        <v>#N/A</v>
      </c>
      <c r="N411" s="44" t="e">
        <f t="shared" si="26"/>
        <v>#N/A</v>
      </c>
      <c r="O411" s="24" t="e">
        <f>VLOOKUP(E411,'Court List'!$A:$C,3,0)</f>
        <v>#N/A</v>
      </c>
      <c r="P411" s="18">
        <f>COUNTIF('Pub List'!$C411:$T411,"&lt;&gt;")</f>
        <v>0</v>
      </c>
      <c r="Q411" s="20" t="e">
        <f t="shared" si="17"/>
        <v>#N/A</v>
      </c>
      <c r="R411" s="36"/>
      <c r="S411" s="18">
        <f>COUNTIF('Member List'!$C411:$J411,"&lt;&gt;")</f>
        <v>0</v>
      </c>
      <c r="T411" s="35"/>
      <c r="U411" s="24">
        <f t="shared" si="18"/>
        <v>0</v>
      </c>
      <c r="V411" s="18" t="e">
        <f t="shared" si="19"/>
        <v>#N/A</v>
      </c>
      <c r="W411" s="45" t="e">
        <f t="shared" si="20"/>
        <v>#N/A</v>
      </c>
      <c r="X411" s="20" t="e">
        <f t="shared" si="21"/>
        <v>#N/A</v>
      </c>
      <c r="Y411" s="46" t="e">
        <f t="shared" si="24"/>
        <v>#N/A</v>
      </c>
      <c r="Z411" s="39" t="e">
        <f t="shared" si="22"/>
        <v>#N/A</v>
      </c>
      <c r="AA411" s="39" t="e">
        <f t="shared" si="23"/>
        <v>#N/A</v>
      </c>
      <c r="AB411" s="39"/>
      <c r="AC411" s="48" t="e">
        <f t="shared" si="25"/>
        <v>#N/A</v>
      </c>
    </row>
    <row r="412" spans="1:29" ht="12.5" x14ac:dyDescent="0.25">
      <c r="A412" s="36"/>
      <c r="B412" s="33"/>
      <c r="C412" s="33"/>
      <c r="D412" s="33"/>
      <c r="E412" s="35"/>
      <c r="F412" s="21"/>
      <c r="G412" s="22" t="e">
        <f>VLOOKUP(E412,'Court List'!$A:$C,2,0)</f>
        <v>#N/A</v>
      </c>
      <c r="H412" s="33"/>
      <c r="I412" s="33"/>
      <c r="J412" s="44" t="e">
        <f t="shared" si="16"/>
        <v>#N/A</v>
      </c>
      <c r="K412" s="36"/>
      <c r="L412" s="18">
        <f>SUM('Shuttle Count - Supreme (Nov 20'!C412:D412)</f>
        <v>0</v>
      </c>
      <c r="M412" s="18" t="e">
        <f>VLOOKUP(K412,'Shuttle Purchase'!A:C,3,0)</f>
        <v>#N/A</v>
      </c>
      <c r="N412" s="44" t="e">
        <f t="shared" si="26"/>
        <v>#N/A</v>
      </c>
      <c r="O412" s="24" t="e">
        <f>VLOOKUP(E412,'Court List'!$A:$C,3,0)</f>
        <v>#N/A</v>
      </c>
      <c r="P412" s="18">
        <f>COUNTIF('Pub List'!$C412:$T412,"&lt;&gt;")</f>
        <v>0</v>
      </c>
      <c r="Q412" s="20" t="e">
        <f t="shared" si="17"/>
        <v>#N/A</v>
      </c>
      <c r="R412" s="36"/>
      <c r="S412" s="18">
        <f>COUNTIF('Member List'!$C412:$J412,"&lt;&gt;")</f>
        <v>0</v>
      </c>
      <c r="T412" s="35"/>
      <c r="U412" s="24">
        <f t="shared" si="18"/>
        <v>0</v>
      </c>
      <c r="V412" s="18" t="e">
        <f t="shared" si="19"/>
        <v>#N/A</v>
      </c>
      <c r="W412" s="45" t="e">
        <f t="shared" si="20"/>
        <v>#N/A</v>
      </c>
      <c r="X412" s="20" t="e">
        <f t="shared" si="21"/>
        <v>#N/A</v>
      </c>
      <c r="Y412" s="46" t="e">
        <f t="shared" si="24"/>
        <v>#N/A</v>
      </c>
      <c r="Z412" s="39" t="e">
        <f t="shared" si="22"/>
        <v>#N/A</v>
      </c>
      <c r="AA412" s="39" t="e">
        <f t="shared" si="23"/>
        <v>#N/A</v>
      </c>
      <c r="AB412" s="39"/>
      <c r="AC412" s="48" t="e">
        <f t="shared" si="25"/>
        <v>#N/A</v>
      </c>
    </row>
    <row r="413" spans="1:29" ht="12.5" x14ac:dyDescent="0.25">
      <c r="A413" s="36"/>
      <c r="B413" s="33"/>
      <c r="C413" s="33"/>
      <c r="D413" s="33"/>
      <c r="E413" s="35"/>
      <c r="F413" s="21"/>
      <c r="G413" s="22" t="e">
        <f>VLOOKUP(E413,'Court List'!$A:$C,2,0)</f>
        <v>#N/A</v>
      </c>
      <c r="H413" s="33"/>
      <c r="I413" s="33"/>
      <c r="J413" s="44" t="e">
        <f t="shared" si="16"/>
        <v>#N/A</v>
      </c>
      <c r="K413" s="36"/>
      <c r="L413" s="18">
        <f>SUM('Shuttle Count - Supreme (Nov 20'!C413:D413)</f>
        <v>0</v>
      </c>
      <c r="M413" s="18" t="e">
        <f>VLOOKUP(K413,'Shuttle Purchase'!A:C,3,0)</f>
        <v>#N/A</v>
      </c>
      <c r="N413" s="44" t="e">
        <f t="shared" si="26"/>
        <v>#N/A</v>
      </c>
      <c r="O413" s="24" t="e">
        <f>VLOOKUP(E413,'Court List'!$A:$C,3,0)</f>
        <v>#N/A</v>
      </c>
      <c r="P413" s="18">
        <f>COUNTIF('Pub List'!$C413:$T413,"&lt;&gt;")</f>
        <v>0</v>
      </c>
      <c r="Q413" s="20" t="e">
        <f t="shared" si="17"/>
        <v>#N/A</v>
      </c>
      <c r="R413" s="36"/>
      <c r="S413" s="18">
        <f>COUNTIF('Member List'!$C413:$J413,"&lt;&gt;")</f>
        <v>0</v>
      </c>
      <c r="T413" s="35"/>
      <c r="U413" s="24">
        <f t="shared" si="18"/>
        <v>0</v>
      </c>
      <c r="V413" s="18" t="e">
        <f t="shared" si="19"/>
        <v>#N/A</v>
      </c>
      <c r="W413" s="45" t="e">
        <f t="shared" si="20"/>
        <v>#N/A</v>
      </c>
      <c r="X413" s="20" t="e">
        <f t="shared" si="21"/>
        <v>#N/A</v>
      </c>
      <c r="Y413" s="46" t="e">
        <f t="shared" si="24"/>
        <v>#N/A</v>
      </c>
      <c r="Z413" s="39" t="e">
        <f t="shared" si="22"/>
        <v>#N/A</v>
      </c>
      <c r="AA413" s="39" t="e">
        <f t="shared" si="23"/>
        <v>#N/A</v>
      </c>
      <c r="AB413" s="39"/>
      <c r="AC413" s="48" t="e">
        <f t="shared" si="25"/>
        <v>#N/A</v>
      </c>
    </row>
    <row r="414" spans="1:29" ht="12.5" x14ac:dyDescent="0.25">
      <c r="A414" s="36"/>
      <c r="B414" s="33"/>
      <c r="C414" s="33"/>
      <c r="D414" s="33"/>
      <c r="E414" s="35"/>
      <c r="F414" s="21"/>
      <c r="G414" s="22" t="e">
        <f>VLOOKUP(E414,'Court List'!$A:$C,2,0)</f>
        <v>#N/A</v>
      </c>
      <c r="H414" s="33"/>
      <c r="I414" s="33"/>
      <c r="J414" s="44" t="e">
        <f t="shared" si="16"/>
        <v>#N/A</v>
      </c>
      <c r="K414" s="36"/>
      <c r="L414" s="18">
        <f>SUM('Shuttle Count - Supreme (Nov 20'!C414:D414)</f>
        <v>0</v>
      </c>
      <c r="M414" s="18" t="e">
        <f>VLOOKUP(K414,'Shuttle Purchase'!A:C,3,0)</f>
        <v>#N/A</v>
      </c>
      <c r="N414" s="44" t="e">
        <f t="shared" si="26"/>
        <v>#N/A</v>
      </c>
      <c r="O414" s="24" t="e">
        <f>VLOOKUP(E414,'Court List'!$A:$C,3,0)</f>
        <v>#N/A</v>
      </c>
      <c r="P414" s="18">
        <f>COUNTIF('Pub List'!$C414:$T414,"&lt;&gt;")</f>
        <v>0</v>
      </c>
      <c r="Q414" s="20" t="e">
        <f t="shared" si="17"/>
        <v>#N/A</v>
      </c>
      <c r="R414" s="36"/>
      <c r="S414" s="18">
        <f>COUNTIF('Member List'!$C414:$J414,"&lt;&gt;")</f>
        <v>0</v>
      </c>
      <c r="T414" s="35"/>
      <c r="U414" s="24">
        <f t="shared" si="18"/>
        <v>0</v>
      </c>
      <c r="V414" s="18" t="e">
        <f t="shared" si="19"/>
        <v>#N/A</v>
      </c>
      <c r="W414" s="45" t="e">
        <f t="shared" si="20"/>
        <v>#N/A</v>
      </c>
      <c r="X414" s="20" t="e">
        <f t="shared" si="21"/>
        <v>#N/A</v>
      </c>
      <c r="Y414" s="46" t="e">
        <f t="shared" si="24"/>
        <v>#N/A</v>
      </c>
      <c r="Z414" s="39" t="e">
        <f t="shared" si="22"/>
        <v>#N/A</v>
      </c>
      <c r="AA414" s="39" t="e">
        <f t="shared" si="23"/>
        <v>#N/A</v>
      </c>
      <c r="AB414" s="39"/>
      <c r="AC414" s="48" t="e">
        <f t="shared" si="25"/>
        <v>#N/A</v>
      </c>
    </row>
    <row r="415" spans="1:29" ht="12.5" x14ac:dyDescent="0.25">
      <c r="A415" s="36"/>
      <c r="B415" s="33"/>
      <c r="C415" s="33"/>
      <c r="D415" s="33"/>
      <c r="E415" s="35"/>
      <c r="F415" s="21"/>
      <c r="G415" s="22" t="e">
        <f>VLOOKUP(E415,'Court List'!$A:$C,2,0)</f>
        <v>#N/A</v>
      </c>
      <c r="H415" s="33"/>
      <c r="I415" s="33"/>
      <c r="J415" s="44" t="e">
        <f t="shared" si="16"/>
        <v>#N/A</v>
      </c>
      <c r="K415" s="36"/>
      <c r="L415" s="18">
        <f>SUM('Shuttle Count - Supreme (Nov 20'!C415:D415)</f>
        <v>0</v>
      </c>
      <c r="M415" s="18" t="e">
        <f>VLOOKUP(K415,'Shuttle Purchase'!A:C,3,0)</f>
        <v>#N/A</v>
      </c>
      <c r="N415" s="44" t="e">
        <f t="shared" si="26"/>
        <v>#N/A</v>
      </c>
      <c r="O415" s="24" t="e">
        <f>VLOOKUP(E415,'Court List'!$A:$C,3,0)</f>
        <v>#N/A</v>
      </c>
      <c r="P415" s="18">
        <f>COUNTIF('Pub List'!$C415:$T415,"&lt;&gt;")</f>
        <v>0</v>
      </c>
      <c r="Q415" s="20" t="e">
        <f t="shared" si="17"/>
        <v>#N/A</v>
      </c>
      <c r="R415" s="36"/>
      <c r="S415" s="18">
        <f>COUNTIF('Member List'!$C415:$J415,"&lt;&gt;")</f>
        <v>0</v>
      </c>
      <c r="T415" s="35"/>
      <c r="U415" s="24">
        <f t="shared" si="18"/>
        <v>0</v>
      </c>
      <c r="V415" s="18" t="e">
        <f t="shared" si="19"/>
        <v>#N/A</v>
      </c>
      <c r="W415" s="45" t="e">
        <f t="shared" si="20"/>
        <v>#N/A</v>
      </c>
      <c r="X415" s="20" t="e">
        <f t="shared" si="21"/>
        <v>#N/A</v>
      </c>
      <c r="Y415" s="46" t="e">
        <f t="shared" si="24"/>
        <v>#N/A</v>
      </c>
      <c r="Z415" s="39" t="e">
        <f t="shared" si="22"/>
        <v>#N/A</v>
      </c>
      <c r="AA415" s="39" t="e">
        <f t="shared" si="23"/>
        <v>#N/A</v>
      </c>
      <c r="AB415" s="39"/>
      <c r="AC415" s="48" t="e">
        <f t="shared" si="25"/>
        <v>#N/A</v>
      </c>
    </row>
    <row r="416" spans="1:29" ht="12.5" x14ac:dyDescent="0.25">
      <c r="A416" s="36"/>
      <c r="B416" s="33"/>
      <c r="C416" s="33"/>
      <c r="D416" s="33"/>
      <c r="E416" s="35"/>
      <c r="F416" s="21"/>
      <c r="G416" s="22" t="e">
        <f>VLOOKUP(E416,'Court List'!$A:$C,2,0)</f>
        <v>#N/A</v>
      </c>
      <c r="H416" s="33"/>
      <c r="I416" s="33"/>
      <c r="J416" s="44" t="e">
        <f t="shared" si="16"/>
        <v>#N/A</v>
      </c>
      <c r="K416" s="36"/>
      <c r="L416" s="18">
        <f>SUM('Shuttle Count - Supreme (Nov 20'!C416:D416)</f>
        <v>0</v>
      </c>
      <c r="M416" s="18" t="e">
        <f>VLOOKUP(K416,'Shuttle Purchase'!A:C,3,0)</f>
        <v>#N/A</v>
      </c>
      <c r="N416" s="44" t="e">
        <f t="shared" si="26"/>
        <v>#N/A</v>
      </c>
      <c r="O416" s="24" t="e">
        <f>VLOOKUP(E416,'Court List'!$A:$C,3,0)</f>
        <v>#N/A</v>
      </c>
      <c r="P416" s="18">
        <f>COUNTIF('Pub List'!$C416:$T416,"&lt;&gt;")</f>
        <v>0</v>
      </c>
      <c r="Q416" s="20" t="e">
        <f t="shared" si="17"/>
        <v>#N/A</v>
      </c>
      <c r="R416" s="36"/>
      <c r="S416" s="18">
        <f>COUNTIF('Member List'!$C416:$J416,"&lt;&gt;")</f>
        <v>0</v>
      </c>
      <c r="T416" s="35"/>
      <c r="U416" s="24">
        <f t="shared" si="18"/>
        <v>0</v>
      </c>
      <c r="V416" s="18" t="e">
        <f t="shared" si="19"/>
        <v>#N/A</v>
      </c>
      <c r="W416" s="45" t="e">
        <f t="shared" si="20"/>
        <v>#N/A</v>
      </c>
      <c r="X416" s="20" t="e">
        <f t="shared" si="21"/>
        <v>#N/A</v>
      </c>
      <c r="Y416" s="46" t="e">
        <f t="shared" si="24"/>
        <v>#N/A</v>
      </c>
      <c r="Z416" s="39" t="e">
        <f t="shared" si="22"/>
        <v>#N/A</v>
      </c>
      <c r="AA416" s="39" t="e">
        <f t="shared" si="23"/>
        <v>#N/A</v>
      </c>
      <c r="AB416" s="39"/>
      <c r="AC416" s="48" t="e">
        <f t="shared" si="25"/>
        <v>#N/A</v>
      </c>
    </row>
    <row r="417" spans="1:29" ht="12.5" x14ac:dyDescent="0.25">
      <c r="A417" s="36"/>
      <c r="B417" s="33"/>
      <c r="C417" s="33"/>
      <c r="D417" s="33"/>
      <c r="E417" s="35"/>
      <c r="F417" s="21"/>
      <c r="G417" s="22" t="e">
        <f>VLOOKUP(E417,'Court List'!$A:$C,2,0)</f>
        <v>#N/A</v>
      </c>
      <c r="H417" s="33"/>
      <c r="I417" s="33"/>
      <c r="J417" s="44" t="e">
        <f t="shared" si="16"/>
        <v>#N/A</v>
      </c>
      <c r="K417" s="36"/>
      <c r="L417" s="18">
        <f>SUM('Shuttle Count - Supreme (Nov 20'!C417:D417)</f>
        <v>0</v>
      </c>
      <c r="M417" s="18" t="e">
        <f>VLOOKUP(K417,'Shuttle Purchase'!A:C,3,0)</f>
        <v>#N/A</v>
      </c>
      <c r="N417" s="44" t="e">
        <f t="shared" si="26"/>
        <v>#N/A</v>
      </c>
      <c r="O417" s="24" t="e">
        <f>VLOOKUP(E417,'Court List'!$A:$C,3,0)</f>
        <v>#N/A</v>
      </c>
      <c r="P417" s="18">
        <f>COUNTIF('Pub List'!$C417:$T417,"&lt;&gt;")</f>
        <v>0</v>
      </c>
      <c r="Q417" s="20" t="e">
        <f t="shared" si="17"/>
        <v>#N/A</v>
      </c>
      <c r="R417" s="36"/>
      <c r="S417" s="18">
        <f>COUNTIF('Member List'!$C417:$J417,"&lt;&gt;")</f>
        <v>0</v>
      </c>
      <c r="T417" s="35"/>
      <c r="U417" s="24">
        <f t="shared" si="18"/>
        <v>0</v>
      </c>
      <c r="V417" s="18" t="e">
        <f t="shared" si="19"/>
        <v>#N/A</v>
      </c>
      <c r="W417" s="45" t="e">
        <f t="shared" si="20"/>
        <v>#N/A</v>
      </c>
      <c r="X417" s="20" t="e">
        <f t="shared" si="21"/>
        <v>#N/A</v>
      </c>
      <c r="Y417" s="46" t="e">
        <f t="shared" si="24"/>
        <v>#N/A</v>
      </c>
      <c r="Z417" s="39" t="e">
        <f t="shared" si="22"/>
        <v>#N/A</v>
      </c>
      <c r="AA417" s="39" t="e">
        <f t="shared" si="23"/>
        <v>#N/A</v>
      </c>
      <c r="AB417" s="39"/>
      <c r="AC417" s="48" t="e">
        <f t="shared" si="25"/>
        <v>#N/A</v>
      </c>
    </row>
    <row r="418" spans="1:29" ht="12.5" x14ac:dyDescent="0.25">
      <c r="A418" s="36"/>
      <c r="B418" s="33"/>
      <c r="C418" s="33"/>
      <c r="D418" s="33"/>
      <c r="E418" s="35"/>
      <c r="F418" s="21"/>
      <c r="G418" s="22" t="e">
        <f>VLOOKUP(E418,'Court List'!$A:$C,2,0)</f>
        <v>#N/A</v>
      </c>
      <c r="H418" s="33"/>
      <c r="I418" s="33"/>
      <c r="J418" s="44" t="e">
        <f t="shared" si="16"/>
        <v>#N/A</v>
      </c>
      <c r="K418" s="36"/>
      <c r="L418" s="18">
        <f>SUM('Shuttle Count - Supreme (Nov 20'!C418:D418)</f>
        <v>0</v>
      </c>
      <c r="M418" s="18" t="e">
        <f>VLOOKUP(K418,'Shuttle Purchase'!A:C,3,0)</f>
        <v>#N/A</v>
      </c>
      <c r="N418" s="44" t="e">
        <f t="shared" si="26"/>
        <v>#N/A</v>
      </c>
      <c r="O418" s="24" t="e">
        <f>VLOOKUP(E418,'Court List'!$A:$C,3,0)</f>
        <v>#N/A</v>
      </c>
      <c r="P418" s="18">
        <f>COUNTIF('Pub List'!$C418:$T418,"&lt;&gt;")</f>
        <v>0</v>
      </c>
      <c r="Q418" s="20" t="e">
        <f t="shared" si="17"/>
        <v>#N/A</v>
      </c>
      <c r="R418" s="36"/>
      <c r="S418" s="18">
        <f>COUNTIF('Member List'!$C418:$J418,"&lt;&gt;")</f>
        <v>0</v>
      </c>
      <c r="T418" s="35"/>
      <c r="U418" s="24">
        <f t="shared" si="18"/>
        <v>0</v>
      </c>
      <c r="V418" s="18" t="e">
        <f t="shared" si="19"/>
        <v>#N/A</v>
      </c>
      <c r="W418" s="45" t="e">
        <f t="shared" si="20"/>
        <v>#N/A</v>
      </c>
      <c r="X418" s="20" t="e">
        <f t="shared" si="21"/>
        <v>#N/A</v>
      </c>
      <c r="Y418" s="46" t="e">
        <f t="shared" si="24"/>
        <v>#N/A</v>
      </c>
      <c r="Z418" s="39" t="e">
        <f t="shared" si="22"/>
        <v>#N/A</v>
      </c>
      <c r="AA418" s="39" t="e">
        <f t="shared" si="23"/>
        <v>#N/A</v>
      </c>
      <c r="AB418" s="39"/>
      <c r="AC418" s="48" t="e">
        <f t="shared" si="25"/>
        <v>#N/A</v>
      </c>
    </row>
    <row r="419" spans="1:29" ht="12.5" x14ac:dyDescent="0.25">
      <c r="A419" s="36"/>
      <c r="B419" s="33"/>
      <c r="C419" s="33"/>
      <c r="D419" s="33"/>
      <c r="E419" s="35"/>
      <c r="F419" s="21"/>
      <c r="G419" s="22" t="e">
        <f>VLOOKUP(E419,'Court List'!$A:$C,2,0)</f>
        <v>#N/A</v>
      </c>
      <c r="H419" s="33"/>
      <c r="I419" s="33"/>
      <c r="J419" s="44" t="e">
        <f t="shared" si="16"/>
        <v>#N/A</v>
      </c>
      <c r="K419" s="36"/>
      <c r="L419" s="18">
        <f>SUM('Shuttle Count - Supreme (Nov 20'!C419:D419)</f>
        <v>0</v>
      </c>
      <c r="M419" s="18" t="e">
        <f>VLOOKUP(K419,'Shuttle Purchase'!A:C,3,0)</f>
        <v>#N/A</v>
      </c>
      <c r="N419" s="44" t="e">
        <f t="shared" si="26"/>
        <v>#N/A</v>
      </c>
      <c r="O419" s="24" t="e">
        <f>VLOOKUP(E419,'Court List'!$A:$C,3,0)</f>
        <v>#N/A</v>
      </c>
      <c r="P419" s="18">
        <f>COUNTIF('Pub List'!$C419:$T419,"&lt;&gt;")</f>
        <v>0</v>
      </c>
      <c r="Q419" s="20" t="e">
        <f t="shared" si="17"/>
        <v>#N/A</v>
      </c>
      <c r="R419" s="36"/>
      <c r="S419" s="18">
        <f>COUNTIF('Member List'!$C419:$J419,"&lt;&gt;")</f>
        <v>0</v>
      </c>
      <c r="T419" s="35"/>
      <c r="U419" s="24">
        <f t="shared" si="18"/>
        <v>0</v>
      </c>
      <c r="V419" s="18" t="e">
        <f t="shared" si="19"/>
        <v>#N/A</v>
      </c>
      <c r="W419" s="45" t="e">
        <f t="shared" si="20"/>
        <v>#N/A</v>
      </c>
      <c r="X419" s="20" t="e">
        <f t="shared" si="21"/>
        <v>#N/A</v>
      </c>
      <c r="Y419" s="46" t="e">
        <f t="shared" si="24"/>
        <v>#N/A</v>
      </c>
      <c r="Z419" s="39" t="e">
        <f t="shared" si="22"/>
        <v>#N/A</v>
      </c>
      <c r="AA419" s="39" t="e">
        <f t="shared" si="23"/>
        <v>#N/A</v>
      </c>
      <c r="AB419" s="39"/>
      <c r="AC419" s="48" t="e">
        <f t="shared" si="25"/>
        <v>#N/A</v>
      </c>
    </row>
    <row r="420" spans="1:29" ht="12.5" x14ac:dyDescent="0.25">
      <c r="A420" s="36"/>
      <c r="B420" s="33"/>
      <c r="C420" s="33"/>
      <c r="D420" s="33"/>
      <c r="E420" s="35"/>
      <c r="F420" s="21"/>
      <c r="G420" s="22" t="e">
        <f>VLOOKUP(E420,'Court List'!$A:$C,2,0)</f>
        <v>#N/A</v>
      </c>
      <c r="H420" s="33"/>
      <c r="I420" s="33"/>
      <c r="J420" s="44" t="e">
        <f t="shared" si="16"/>
        <v>#N/A</v>
      </c>
      <c r="K420" s="36"/>
      <c r="L420" s="18">
        <f>SUM('Shuttle Count - Supreme (Nov 20'!C420:D420)</f>
        <v>0</v>
      </c>
      <c r="M420" s="18" t="e">
        <f>VLOOKUP(K420,'Shuttle Purchase'!A:C,3,0)</f>
        <v>#N/A</v>
      </c>
      <c r="N420" s="44" t="e">
        <f t="shared" si="26"/>
        <v>#N/A</v>
      </c>
      <c r="O420" s="24" t="e">
        <f>VLOOKUP(E420,'Court List'!$A:$C,3,0)</f>
        <v>#N/A</v>
      </c>
      <c r="P420" s="18">
        <f>COUNTIF('Pub List'!$C420:$T420,"&lt;&gt;")</f>
        <v>0</v>
      </c>
      <c r="Q420" s="20" t="e">
        <f t="shared" si="17"/>
        <v>#N/A</v>
      </c>
      <c r="R420" s="36"/>
      <c r="S420" s="18">
        <f>COUNTIF('Member List'!$C420:$J420,"&lt;&gt;")</f>
        <v>0</v>
      </c>
      <c r="T420" s="35"/>
      <c r="U420" s="24">
        <f t="shared" si="18"/>
        <v>0</v>
      </c>
      <c r="V420" s="18" t="e">
        <f t="shared" si="19"/>
        <v>#N/A</v>
      </c>
      <c r="W420" s="45" t="e">
        <f t="shared" si="20"/>
        <v>#N/A</v>
      </c>
      <c r="X420" s="20" t="e">
        <f t="shared" si="21"/>
        <v>#N/A</v>
      </c>
      <c r="Y420" s="46" t="e">
        <f t="shared" si="24"/>
        <v>#N/A</v>
      </c>
      <c r="Z420" s="39" t="e">
        <f t="shared" si="22"/>
        <v>#N/A</v>
      </c>
      <c r="AA420" s="39" t="e">
        <f t="shared" si="23"/>
        <v>#N/A</v>
      </c>
      <c r="AB420" s="39"/>
      <c r="AC420" s="48" t="e">
        <f t="shared" si="25"/>
        <v>#N/A</v>
      </c>
    </row>
    <row r="421" spans="1:29" ht="12.5" x14ac:dyDescent="0.25">
      <c r="A421" s="36"/>
      <c r="B421" s="33"/>
      <c r="C421" s="33"/>
      <c r="D421" s="33"/>
      <c r="E421" s="35"/>
      <c r="F421" s="21"/>
      <c r="G421" s="22" t="e">
        <f>VLOOKUP(E421,'Court List'!$A:$C,2,0)</f>
        <v>#N/A</v>
      </c>
      <c r="H421" s="33"/>
      <c r="I421" s="33"/>
      <c r="J421" s="44" t="e">
        <f t="shared" si="16"/>
        <v>#N/A</v>
      </c>
      <c r="K421" s="36"/>
      <c r="L421" s="18">
        <f>SUM('Shuttle Count - Supreme (Nov 20'!C421:D421)</f>
        <v>0</v>
      </c>
      <c r="M421" s="18" t="e">
        <f>VLOOKUP(K421,'Shuttle Purchase'!A:C,3,0)</f>
        <v>#N/A</v>
      </c>
      <c r="N421" s="44" t="e">
        <f t="shared" si="26"/>
        <v>#N/A</v>
      </c>
      <c r="O421" s="24" t="e">
        <f>VLOOKUP(E421,'Court List'!$A:$C,3,0)</f>
        <v>#N/A</v>
      </c>
      <c r="P421" s="18">
        <f>COUNTIF('Pub List'!$C421:$T421,"&lt;&gt;")</f>
        <v>0</v>
      </c>
      <c r="Q421" s="20" t="e">
        <f t="shared" si="17"/>
        <v>#N/A</v>
      </c>
      <c r="R421" s="36"/>
      <c r="S421" s="18">
        <f>COUNTIF('Member List'!$C421:$J421,"&lt;&gt;")</f>
        <v>0</v>
      </c>
      <c r="T421" s="35"/>
      <c r="U421" s="24">
        <f t="shared" si="18"/>
        <v>0</v>
      </c>
      <c r="V421" s="18" t="e">
        <f t="shared" si="19"/>
        <v>#N/A</v>
      </c>
      <c r="W421" s="45" t="e">
        <f t="shared" si="20"/>
        <v>#N/A</v>
      </c>
      <c r="X421" s="20" t="e">
        <f t="shared" si="21"/>
        <v>#N/A</v>
      </c>
      <c r="Y421" s="46" t="e">
        <f t="shared" si="24"/>
        <v>#N/A</v>
      </c>
      <c r="Z421" s="39" t="e">
        <f t="shared" si="22"/>
        <v>#N/A</v>
      </c>
      <c r="AA421" s="39" t="e">
        <f t="shared" si="23"/>
        <v>#N/A</v>
      </c>
      <c r="AB421" s="39"/>
      <c r="AC421" s="48" t="e">
        <f t="shared" si="25"/>
        <v>#N/A</v>
      </c>
    </row>
    <row r="422" spans="1:29" ht="12.5" x14ac:dyDescent="0.25">
      <c r="A422" s="36"/>
      <c r="B422" s="33"/>
      <c r="C422" s="33"/>
      <c r="D422" s="33"/>
      <c r="E422" s="35"/>
      <c r="F422" s="21"/>
      <c r="G422" s="22" t="e">
        <f>VLOOKUP(E422,'Court List'!$A:$C,2,0)</f>
        <v>#N/A</v>
      </c>
      <c r="H422" s="33"/>
      <c r="I422" s="33"/>
      <c r="J422" s="44" t="e">
        <f t="shared" si="16"/>
        <v>#N/A</v>
      </c>
      <c r="K422" s="36"/>
      <c r="L422" s="18">
        <f>SUM('Shuttle Count - Supreme (Nov 20'!C422:D422)</f>
        <v>0</v>
      </c>
      <c r="M422" s="18" t="e">
        <f>VLOOKUP(K422,'Shuttle Purchase'!A:C,3,0)</f>
        <v>#N/A</v>
      </c>
      <c r="N422" s="44" t="e">
        <f t="shared" si="26"/>
        <v>#N/A</v>
      </c>
      <c r="O422" s="24" t="e">
        <f>VLOOKUP(E422,'Court List'!$A:$C,3,0)</f>
        <v>#N/A</v>
      </c>
      <c r="P422" s="18">
        <f>COUNTIF('Pub List'!$C422:$T422,"&lt;&gt;")</f>
        <v>0</v>
      </c>
      <c r="Q422" s="20" t="e">
        <f t="shared" si="17"/>
        <v>#N/A</v>
      </c>
      <c r="R422" s="36"/>
      <c r="S422" s="18">
        <f>COUNTIF('Member List'!$C422:$J422,"&lt;&gt;")</f>
        <v>0</v>
      </c>
      <c r="T422" s="35"/>
      <c r="U422" s="24">
        <f t="shared" si="18"/>
        <v>0</v>
      </c>
      <c r="V422" s="18" t="e">
        <f t="shared" si="19"/>
        <v>#N/A</v>
      </c>
      <c r="W422" s="45" t="e">
        <f t="shared" si="20"/>
        <v>#N/A</v>
      </c>
      <c r="X422" s="20" t="e">
        <f t="shared" si="21"/>
        <v>#N/A</v>
      </c>
      <c r="Y422" s="46" t="e">
        <f t="shared" si="24"/>
        <v>#N/A</v>
      </c>
      <c r="Z422" s="39" t="e">
        <f t="shared" si="22"/>
        <v>#N/A</v>
      </c>
      <c r="AA422" s="39" t="e">
        <f t="shared" si="23"/>
        <v>#N/A</v>
      </c>
      <c r="AB422" s="39"/>
      <c r="AC422" s="48" t="e">
        <f t="shared" si="25"/>
        <v>#N/A</v>
      </c>
    </row>
    <row r="423" spans="1:29" ht="12.5" x14ac:dyDescent="0.25">
      <c r="A423" s="36"/>
      <c r="B423" s="33"/>
      <c r="C423" s="33"/>
      <c r="D423" s="33"/>
      <c r="E423" s="35"/>
      <c r="F423" s="21"/>
      <c r="G423" s="22" t="e">
        <f>VLOOKUP(E423,'Court List'!$A:$C,2,0)</f>
        <v>#N/A</v>
      </c>
      <c r="H423" s="33"/>
      <c r="I423" s="33"/>
      <c r="J423" s="44" t="e">
        <f t="shared" si="16"/>
        <v>#N/A</v>
      </c>
      <c r="K423" s="36"/>
      <c r="L423" s="18">
        <f>SUM('Shuttle Count - Supreme (Nov 20'!C423:D423)</f>
        <v>0</v>
      </c>
      <c r="M423" s="18" t="e">
        <f>VLOOKUP(K423,'Shuttle Purchase'!A:C,3,0)</f>
        <v>#N/A</v>
      </c>
      <c r="N423" s="44" t="e">
        <f t="shared" si="26"/>
        <v>#N/A</v>
      </c>
      <c r="O423" s="24" t="e">
        <f>VLOOKUP(E423,'Court List'!$A:$C,3,0)</f>
        <v>#N/A</v>
      </c>
      <c r="P423" s="18">
        <f>COUNTIF('Pub List'!$C423:$T423,"&lt;&gt;")</f>
        <v>0</v>
      </c>
      <c r="Q423" s="20" t="e">
        <f t="shared" si="17"/>
        <v>#N/A</v>
      </c>
      <c r="R423" s="36"/>
      <c r="S423" s="18">
        <f>COUNTIF('Member List'!$C423:$J423,"&lt;&gt;")</f>
        <v>0</v>
      </c>
      <c r="T423" s="35"/>
      <c r="U423" s="24">
        <f t="shared" si="18"/>
        <v>0</v>
      </c>
      <c r="V423" s="18" t="e">
        <f t="shared" si="19"/>
        <v>#N/A</v>
      </c>
      <c r="W423" s="45" t="e">
        <f t="shared" si="20"/>
        <v>#N/A</v>
      </c>
      <c r="X423" s="20" t="e">
        <f t="shared" si="21"/>
        <v>#N/A</v>
      </c>
      <c r="Y423" s="46" t="e">
        <f t="shared" si="24"/>
        <v>#N/A</v>
      </c>
      <c r="Z423" s="39" t="e">
        <f t="shared" si="22"/>
        <v>#N/A</v>
      </c>
      <c r="AA423" s="39" t="e">
        <f t="shared" si="23"/>
        <v>#N/A</v>
      </c>
      <c r="AB423" s="39"/>
      <c r="AC423" s="48" t="e">
        <f t="shared" si="25"/>
        <v>#N/A</v>
      </c>
    </row>
    <row r="424" spans="1:29" ht="12.5" x14ac:dyDescent="0.25">
      <c r="A424" s="36"/>
      <c r="B424" s="33"/>
      <c r="C424" s="33"/>
      <c r="D424" s="33"/>
      <c r="E424" s="35"/>
      <c r="F424" s="21"/>
      <c r="G424" s="22" t="e">
        <f>VLOOKUP(E424,'Court List'!$A:$C,2,0)</f>
        <v>#N/A</v>
      </c>
      <c r="H424" s="33"/>
      <c r="I424" s="33"/>
      <c r="J424" s="44" t="e">
        <f t="shared" si="16"/>
        <v>#N/A</v>
      </c>
      <c r="K424" s="36"/>
      <c r="L424" s="18">
        <f>SUM('Shuttle Count - Supreme (Nov 20'!C424:D424)</f>
        <v>0</v>
      </c>
      <c r="M424" s="18" t="e">
        <f>VLOOKUP(K424,'Shuttle Purchase'!A:C,3,0)</f>
        <v>#N/A</v>
      </c>
      <c r="N424" s="44" t="e">
        <f t="shared" si="26"/>
        <v>#N/A</v>
      </c>
      <c r="O424" s="24" t="e">
        <f>VLOOKUP(E424,'Court List'!$A:$C,3,0)</f>
        <v>#N/A</v>
      </c>
      <c r="P424" s="18">
        <f>COUNTIF('Pub List'!$C424:$T424,"&lt;&gt;")</f>
        <v>0</v>
      </c>
      <c r="Q424" s="20" t="e">
        <f t="shared" si="17"/>
        <v>#N/A</v>
      </c>
      <c r="R424" s="36"/>
      <c r="S424" s="18">
        <f>COUNTIF('Member List'!$C424:$J424,"&lt;&gt;")</f>
        <v>0</v>
      </c>
      <c r="T424" s="35"/>
      <c r="U424" s="24">
        <f t="shared" si="18"/>
        <v>0</v>
      </c>
      <c r="V424" s="18" t="e">
        <f t="shared" si="19"/>
        <v>#N/A</v>
      </c>
      <c r="W424" s="45" t="e">
        <f t="shared" si="20"/>
        <v>#N/A</v>
      </c>
      <c r="X424" s="20" t="e">
        <f t="shared" si="21"/>
        <v>#N/A</v>
      </c>
      <c r="Y424" s="46" t="e">
        <f t="shared" si="24"/>
        <v>#N/A</v>
      </c>
      <c r="Z424" s="39" t="e">
        <f t="shared" si="22"/>
        <v>#N/A</v>
      </c>
      <c r="AA424" s="39" t="e">
        <f t="shared" si="23"/>
        <v>#N/A</v>
      </c>
      <c r="AB424" s="39"/>
      <c r="AC424" s="48" t="e">
        <f t="shared" si="25"/>
        <v>#N/A</v>
      </c>
    </row>
    <row r="425" spans="1:29" ht="12.5" x14ac:dyDescent="0.25">
      <c r="A425" s="36"/>
      <c r="B425" s="33"/>
      <c r="C425" s="33"/>
      <c r="D425" s="33"/>
      <c r="E425" s="35"/>
      <c r="F425" s="21"/>
      <c r="G425" s="22" t="e">
        <f>VLOOKUP(E425,'Court List'!$A:$C,2,0)</f>
        <v>#N/A</v>
      </c>
      <c r="H425" s="33"/>
      <c r="I425" s="33"/>
      <c r="J425" s="44" t="e">
        <f t="shared" si="16"/>
        <v>#N/A</v>
      </c>
      <c r="K425" s="36"/>
      <c r="L425" s="18">
        <f>SUM('Shuttle Count - Supreme (Nov 20'!C425:D425)</f>
        <v>0</v>
      </c>
      <c r="M425" s="18" t="e">
        <f>VLOOKUP(K425,'Shuttle Purchase'!A:C,3,0)</f>
        <v>#N/A</v>
      </c>
      <c r="N425" s="44" t="e">
        <f t="shared" si="26"/>
        <v>#N/A</v>
      </c>
      <c r="O425" s="24" t="e">
        <f>VLOOKUP(E425,'Court List'!$A:$C,3,0)</f>
        <v>#N/A</v>
      </c>
      <c r="P425" s="18">
        <f>COUNTIF('Pub List'!$C425:$T425,"&lt;&gt;")</f>
        <v>0</v>
      </c>
      <c r="Q425" s="20" t="e">
        <f t="shared" si="17"/>
        <v>#N/A</v>
      </c>
      <c r="R425" s="36"/>
      <c r="S425" s="18">
        <f>COUNTIF('Member List'!$C425:$J425,"&lt;&gt;")</f>
        <v>0</v>
      </c>
      <c r="T425" s="35"/>
      <c r="U425" s="24">
        <f t="shared" si="18"/>
        <v>0</v>
      </c>
      <c r="V425" s="18" t="e">
        <f t="shared" si="19"/>
        <v>#N/A</v>
      </c>
      <c r="W425" s="45" t="e">
        <f t="shared" si="20"/>
        <v>#N/A</v>
      </c>
      <c r="X425" s="20" t="e">
        <f t="shared" si="21"/>
        <v>#N/A</v>
      </c>
      <c r="Y425" s="46" t="e">
        <f t="shared" si="24"/>
        <v>#N/A</v>
      </c>
      <c r="Z425" s="39" t="e">
        <f t="shared" si="22"/>
        <v>#N/A</v>
      </c>
      <c r="AA425" s="39" t="e">
        <f t="shared" si="23"/>
        <v>#N/A</v>
      </c>
      <c r="AB425" s="39"/>
      <c r="AC425" s="48" t="e">
        <f t="shared" si="25"/>
        <v>#N/A</v>
      </c>
    </row>
    <row r="426" spans="1:29" ht="12.5" x14ac:dyDescent="0.25">
      <c r="A426" s="36"/>
      <c r="B426" s="33"/>
      <c r="C426" s="33"/>
      <c r="D426" s="33"/>
      <c r="E426" s="35"/>
      <c r="F426" s="21"/>
      <c r="G426" s="22" t="e">
        <f>VLOOKUP(E426,'Court List'!$A:$C,2,0)</f>
        <v>#N/A</v>
      </c>
      <c r="H426" s="33"/>
      <c r="I426" s="33"/>
      <c r="J426" s="44" t="e">
        <f t="shared" si="16"/>
        <v>#N/A</v>
      </c>
      <c r="K426" s="36"/>
      <c r="L426" s="18">
        <f>SUM('Shuttle Count - Supreme (Nov 20'!C426:D426)</f>
        <v>0</v>
      </c>
      <c r="M426" s="18" t="e">
        <f>VLOOKUP(K426,'Shuttle Purchase'!A:C,3,0)</f>
        <v>#N/A</v>
      </c>
      <c r="N426" s="44" t="e">
        <f t="shared" si="26"/>
        <v>#N/A</v>
      </c>
      <c r="O426" s="24" t="e">
        <f>VLOOKUP(E426,'Court List'!$A:$C,3,0)</f>
        <v>#N/A</v>
      </c>
      <c r="P426" s="18">
        <f>COUNTIF('Pub List'!$C426:$T426,"&lt;&gt;")</f>
        <v>0</v>
      </c>
      <c r="Q426" s="20" t="e">
        <f t="shared" si="17"/>
        <v>#N/A</v>
      </c>
      <c r="R426" s="36"/>
      <c r="S426" s="18">
        <f>COUNTIF('Member List'!$C426:$J426,"&lt;&gt;")</f>
        <v>0</v>
      </c>
      <c r="T426" s="35"/>
      <c r="U426" s="24">
        <f t="shared" si="18"/>
        <v>0</v>
      </c>
      <c r="V426" s="18" t="e">
        <f t="shared" si="19"/>
        <v>#N/A</v>
      </c>
      <c r="W426" s="45" t="e">
        <f t="shared" si="20"/>
        <v>#N/A</v>
      </c>
      <c r="X426" s="20" t="e">
        <f t="shared" si="21"/>
        <v>#N/A</v>
      </c>
      <c r="Y426" s="46" t="e">
        <f t="shared" si="24"/>
        <v>#N/A</v>
      </c>
      <c r="Z426" s="39" t="e">
        <f t="shared" si="22"/>
        <v>#N/A</v>
      </c>
      <c r="AA426" s="39" t="e">
        <f t="shared" si="23"/>
        <v>#N/A</v>
      </c>
      <c r="AB426" s="39"/>
      <c r="AC426" s="48" t="e">
        <f t="shared" si="25"/>
        <v>#N/A</v>
      </c>
    </row>
    <row r="427" spans="1:29" ht="12.5" x14ac:dyDescent="0.25">
      <c r="A427" s="36"/>
      <c r="B427" s="33"/>
      <c r="C427" s="33"/>
      <c r="D427" s="33"/>
      <c r="E427" s="35"/>
      <c r="F427" s="21"/>
      <c r="G427" s="22" t="e">
        <f>VLOOKUP(E427,'Court List'!$A:$C,2,0)</f>
        <v>#N/A</v>
      </c>
      <c r="H427" s="33"/>
      <c r="I427" s="33"/>
      <c r="J427" s="44" t="e">
        <f t="shared" si="16"/>
        <v>#N/A</v>
      </c>
      <c r="K427" s="36"/>
      <c r="L427" s="18">
        <f>SUM('Shuttle Count - Supreme (Nov 20'!C427:D427)</f>
        <v>0</v>
      </c>
      <c r="M427" s="18" t="e">
        <f>VLOOKUP(K427,'Shuttle Purchase'!A:C,3,0)</f>
        <v>#N/A</v>
      </c>
      <c r="N427" s="44" t="e">
        <f t="shared" si="26"/>
        <v>#N/A</v>
      </c>
      <c r="O427" s="24" t="e">
        <f>VLOOKUP(E427,'Court List'!$A:$C,3,0)</f>
        <v>#N/A</v>
      </c>
      <c r="P427" s="18">
        <f>COUNTIF('Pub List'!$C427:$T427,"&lt;&gt;")</f>
        <v>0</v>
      </c>
      <c r="Q427" s="20" t="e">
        <f t="shared" si="17"/>
        <v>#N/A</v>
      </c>
      <c r="R427" s="36"/>
      <c r="S427" s="18">
        <f>COUNTIF('Member List'!$C427:$J427,"&lt;&gt;")</f>
        <v>0</v>
      </c>
      <c r="T427" s="35"/>
      <c r="U427" s="24">
        <f t="shared" si="18"/>
        <v>0</v>
      </c>
      <c r="V427" s="18" t="e">
        <f t="shared" si="19"/>
        <v>#N/A</v>
      </c>
      <c r="W427" s="45" t="e">
        <f t="shared" si="20"/>
        <v>#N/A</v>
      </c>
      <c r="X427" s="20" t="e">
        <f t="shared" si="21"/>
        <v>#N/A</v>
      </c>
      <c r="Y427" s="46" t="e">
        <f t="shared" si="24"/>
        <v>#N/A</v>
      </c>
      <c r="Z427" s="39" t="e">
        <f t="shared" si="22"/>
        <v>#N/A</v>
      </c>
      <c r="AA427" s="39" t="e">
        <f t="shared" si="23"/>
        <v>#N/A</v>
      </c>
      <c r="AB427" s="39"/>
      <c r="AC427" s="48" t="e">
        <f t="shared" si="25"/>
        <v>#N/A</v>
      </c>
    </row>
    <row r="428" spans="1:29" ht="12.5" x14ac:dyDescent="0.25">
      <c r="A428" s="36"/>
      <c r="B428" s="33"/>
      <c r="C428" s="33"/>
      <c r="D428" s="33"/>
      <c r="E428" s="35"/>
      <c r="F428" s="21"/>
      <c r="G428" s="22" t="e">
        <f>VLOOKUP(E428,'Court List'!$A:$C,2,0)</f>
        <v>#N/A</v>
      </c>
      <c r="H428" s="33"/>
      <c r="I428" s="33"/>
      <c r="J428" s="44" t="e">
        <f t="shared" si="16"/>
        <v>#N/A</v>
      </c>
      <c r="K428" s="36"/>
      <c r="L428" s="18">
        <f>SUM('Shuttle Count - Supreme (Nov 20'!C428:D428)</f>
        <v>0</v>
      </c>
      <c r="M428" s="18" t="e">
        <f>VLOOKUP(K428,'Shuttle Purchase'!A:C,3,0)</f>
        <v>#N/A</v>
      </c>
      <c r="N428" s="44" t="e">
        <f t="shared" si="26"/>
        <v>#N/A</v>
      </c>
      <c r="O428" s="24" t="e">
        <f>VLOOKUP(E428,'Court List'!$A:$C,3,0)</f>
        <v>#N/A</v>
      </c>
      <c r="P428" s="18">
        <f>COUNTIF('Pub List'!$C428:$T428,"&lt;&gt;")</f>
        <v>0</v>
      </c>
      <c r="Q428" s="20" t="e">
        <f t="shared" si="17"/>
        <v>#N/A</v>
      </c>
      <c r="R428" s="36"/>
      <c r="S428" s="18">
        <f>COUNTIF('Member List'!$C428:$J428,"&lt;&gt;")</f>
        <v>0</v>
      </c>
      <c r="T428" s="35"/>
      <c r="U428" s="24">
        <f t="shared" si="18"/>
        <v>0</v>
      </c>
      <c r="V428" s="18" t="e">
        <f t="shared" si="19"/>
        <v>#N/A</v>
      </c>
      <c r="W428" s="45" t="e">
        <f t="shared" si="20"/>
        <v>#N/A</v>
      </c>
      <c r="X428" s="20" t="e">
        <f t="shared" si="21"/>
        <v>#N/A</v>
      </c>
      <c r="Y428" s="46" t="e">
        <f t="shared" si="24"/>
        <v>#N/A</v>
      </c>
      <c r="Z428" s="39" t="e">
        <f t="shared" si="22"/>
        <v>#N/A</v>
      </c>
      <c r="AA428" s="39" t="e">
        <f t="shared" si="23"/>
        <v>#N/A</v>
      </c>
      <c r="AB428" s="39"/>
      <c r="AC428" s="48" t="e">
        <f t="shared" si="25"/>
        <v>#N/A</v>
      </c>
    </row>
    <row r="429" spans="1:29" ht="12.5" x14ac:dyDescent="0.25">
      <c r="A429" s="36"/>
      <c r="B429" s="33"/>
      <c r="C429" s="33"/>
      <c r="D429" s="33"/>
      <c r="E429" s="35"/>
      <c r="F429" s="21"/>
      <c r="G429" s="22" t="e">
        <f>VLOOKUP(E429,'Court List'!$A:$C,2,0)</f>
        <v>#N/A</v>
      </c>
      <c r="H429" s="33"/>
      <c r="I429" s="33"/>
      <c r="J429" s="44" t="e">
        <f t="shared" si="16"/>
        <v>#N/A</v>
      </c>
      <c r="K429" s="36"/>
      <c r="L429" s="18">
        <f>SUM('Shuttle Count - Supreme (Nov 20'!C429:D429)</f>
        <v>0</v>
      </c>
      <c r="M429" s="18" t="e">
        <f>VLOOKUP(K429,'Shuttle Purchase'!A:C,3,0)</f>
        <v>#N/A</v>
      </c>
      <c r="N429" s="44" t="e">
        <f t="shared" si="26"/>
        <v>#N/A</v>
      </c>
      <c r="O429" s="24" t="e">
        <f>VLOOKUP(E429,'Court List'!$A:$C,3,0)</f>
        <v>#N/A</v>
      </c>
      <c r="P429" s="18">
        <f>COUNTIF('Pub List'!$C429:$T429,"&lt;&gt;")</f>
        <v>0</v>
      </c>
      <c r="Q429" s="20" t="e">
        <f t="shared" si="17"/>
        <v>#N/A</v>
      </c>
      <c r="R429" s="36"/>
      <c r="S429" s="18">
        <f>COUNTIF('Member List'!$C429:$J429,"&lt;&gt;")</f>
        <v>0</v>
      </c>
      <c r="T429" s="35"/>
      <c r="U429" s="24">
        <f t="shared" si="18"/>
        <v>0</v>
      </c>
      <c r="V429" s="18" t="e">
        <f t="shared" si="19"/>
        <v>#N/A</v>
      </c>
      <c r="W429" s="45" t="e">
        <f t="shared" si="20"/>
        <v>#N/A</v>
      </c>
      <c r="X429" s="20" t="e">
        <f t="shared" si="21"/>
        <v>#N/A</v>
      </c>
      <c r="Y429" s="46" t="e">
        <f t="shared" si="24"/>
        <v>#N/A</v>
      </c>
      <c r="Z429" s="39" t="e">
        <f t="shared" si="22"/>
        <v>#N/A</v>
      </c>
      <c r="AA429" s="39" t="e">
        <f t="shared" si="23"/>
        <v>#N/A</v>
      </c>
      <c r="AB429" s="39"/>
      <c r="AC429" s="48" t="e">
        <f t="shared" si="25"/>
        <v>#N/A</v>
      </c>
    </row>
    <row r="430" spans="1:29" ht="12.5" x14ac:dyDescent="0.25">
      <c r="A430" s="36"/>
      <c r="B430" s="33"/>
      <c r="C430" s="33"/>
      <c r="D430" s="33"/>
      <c r="E430" s="35"/>
      <c r="F430" s="21"/>
      <c r="G430" s="22" t="e">
        <f>VLOOKUP(E430,'Court List'!$A:$C,2,0)</f>
        <v>#N/A</v>
      </c>
      <c r="H430" s="33"/>
      <c r="I430" s="33"/>
      <c r="J430" s="44" t="e">
        <f t="shared" si="16"/>
        <v>#N/A</v>
      </c>
      <c r="K430" s="36"/>
      <c r="L430" s="18">
        <f>SUM('Shuttle Count - Supreme (Nov 20'!C430:D430)</f>
        <v>0</v>
      </c>
      <c r="M430" s="18" t="e">
        <f>VLOOKUP(K430,'Shuttle Purchase'!A:C,3,0)</f>
        <v>#N/A</v>
      </c>
      <c r="N430" s="44" t="e">
        <f t="shared" si="26"/>
        <v>#N/A</v>
      </c>
      <c r="O430" s="24" t="e">
        <f>VLOOKUP(E430,'Court List'!$A:$C,3,0)</f>
        <v>#N/A</v>
      </c>
      <c r="P430" s="18">
        <f>COUNTIF('Pub List'!$C430:$T430,"&lt;&gt;")</f>
        <v>0</v>
      </c>
      <c r="Q430" s="20" t="e">
        <f t="shared" si="17"/>
        <v>#N/A</v>
      </c>
      <c r="R430" s="36"/>
      <c r="S430" s="18">
        <f>COUNTIF('Member List'!$C430:$J430,"&lt;&gt;")</f>
        <v>0</v>
      </c>
      <c r="T430" s="35"/>
      <c r="U430" s="24">
        <f t="shared" si="18"/>
        <v>0</v>
      </c>
      <c r="V430" s="18" t="e">
        <f t="shared" si="19"/>
        <v>#N/A</v>
      </c>
      <c r="W430" s="45" t="e">
        <f t="shared" si="20"/>
        <v>#N/A</v>
      </c>
      <c r="X430" s="20" t="e">
        <f t="shared" si="21"/>
        <v>#N/A</v>
      </c>
      <c r="Y430" s="46" t="e">
        <f t="shared" si="24"/>
        <v>#N/A</v>
      </c>
      <c r="Z430" s="39" t="e">
        <f t="shared" si="22"/>
        <v>#N/A</v>
      </c>
      <c r="AA430" s="39" t="e">
        <f t="shared" si="23"/>
        <v>#N/A</v>
      </c>
      <c r="AB430" s="39"/>
      <c r="AC430" s="48" t="e">
        <f t="shared" si="25"/>
        <v>#N/A</v>
      </c>
    </row>
    <row r="431" spans="1:29" ht="12.5" x14ac:dyDescent="0.25">
      <c r="A431" s="36"/>
      <c r="B431" s="33"/>
      <c r="C431" s="33"/>
      <c r="D431" s="33"/>
      <c r="E431" s="35"/>
      <c r="F431" s="21"/>
      <c r="G431" s="22" t="e">
        <f>VLOOKUP(E431,'Court List'!$A:$C,2,0)</f>
        <v>#N/A</v>
      </c>
      <c r="H431" s="33"/>
      <c r="I431" s="33"/>
      <c r="J431" s="44" t="e">
        <f t="shared" si="16"/>
        <v>#N/A</v>
      </c>
      <c r="K431" s="36"/>
      <c r="L431" s="18">
        <f>SUM('Shuttle Count - Supreme (Nov 20'!C431:D431)</f>
        <v>0</v>
      </c>
      <c r="M431" s="18" t="e">
        <f>VLOOKUP(K431,'Shuttle Purchase'!A:C,3,0)</f>
        <v>#N/A</v>
      </c>
      <c r="N431" s="44" t="e">
        <f t="shared" si="26"/>
        <v>#N/A</v>
      </c>
      <c r="O431" s="24" t="e">
        <f>VLOOKUP(E431,'Court List'!$A:$C,3,0)</f>
        <v>#N/A</v>
      </c>
      <c r="P431" s="18">
        <f>COUNTIF('Pub List'!$C431:$T431,"&lt;&gt;")</f>
        <v>0</v>
      </c>
      <c r="Q431" s="20" t="e">
        <f t="shared" si="17"/>
        <v>#N/A</v>
      </c>
      <c r="R431" s="36"/>
      <c r="S431" s="18">
        <f>COUNTIF('Member List'!$C431:$J431,"&lt;&gt;")</f>
        <v>0</v>
      </c>
      <c r="T431" s="35"/>
      <c r="U431" s="24">
        <f t="shared" si="18"/>
        <v>0</v>
      </c>
      <c r="V431" s="18" t="e">
        <f t="shared" si="19"/>
        <v>#N/A</v>
      </c>
      <c r="W431" s="45" t="e">
        <f t="shared" si="20"/>
        <v>#N/A</v>
      </c>
      <c r="X431" s="20" t="e">
        <f t="shared" si="21"/>
        <v>#N/A</v>
      </c>
      <c r="Y431" s="46" t="e">
        <f t="shared" si="24"/>
        <v>#N/A</v>
      </c>
      <c r="Z431" s="39" t="e">
        <f t="shared" si="22"/>
        <v>#N/A</v>
      </c>
      <c r="AA431" s="39" t="e">
        <f t="shared" si="23"/>
        <v>#N/A</v>
      </c>
      <c r="AB431" s="39"/>
      <c r="AC431" s="48" t="e">
        <f t="shared" si="25"/>
        <v>#N/A</v>
      </c>
    </row>
    <row r="432" spans="1:29" ht="12.5" x14ac:dyDescent="0.25">
      <c r="A432" s="36"/>
      <c r="B432" s="33"/>
      <c r="C432" s="33"/>
      <c r="D432" s="33"/>
      <c r="E432" s="35"/>
      <c r="F432" s="21"/>
      <c r="G432" s="22" t="e">
        <f>VLOOKUP(E432,'Court List'!$A:$C,2,0)</f>
        <v>#N/A</v>
      </c>
      <c r="H432" s="33"/>
      <c r="I432" s="33"/>
      <c r="J432" s="44" t="e">
        <f t="shared" si="16"/>
        <v>#N/A</v>
      </c>
      <c r="K432" s="36"/>
      <c r="L432" s="18">
        <f>SUM('Shuttle Count - Supreme (Nov 20'!C432:D432)</f>
        <v>0</v>
      </c>
      <c r="M432" s="18" t="e">
        <f>VLOOKUP(K432,'Shuttle Purchase'!A:C,3,0)</f>
        <v>#N/A</v>
      </c>
      <c r="N432" s="44" t="e">
        <f t="shared" si="26"/>
        <v>#N/A</v>
      </c>
      <c r="O432" s="24" t="e">
        <f>VLOOKUP(E432,'Court List'!$A:$C,3,0)</f>
        <v>#N/A</v>
      </c>
      <c r="P432" s="18">
        <f>COUNTIF('Pub List'!$C432:$T432,"&lt;&gt;")</f>
        <v>0</v>
      </c>
      <c r="Q432" s="20" t="e">
        <f t="shared" si="17"/>
        <v>#N/A</v>
      </c>
      <c r="R432" s="36"/>
      <c r="S432" s="18">
        <f>COUNTIF('Member List'!$C432:$J432,"&lt;&gt;")</f>
        <v>0</v>
      </c>
      <c r="T432" s="35"/>
      <c r="U432" s="24">
        <f t="shared" si="18"/>
        <v>0</v>
      </c>
      <c r="V432" s="18" t="e">
        <f t="shared" si="19"/>
        <v>#N/A</v>
      </c>
      <c r="W432" s="45" t="e">
        <f t="shared" si="20"/>
        <v>#N/A</v>
      </c>
      <c r="X432" s="20" t="e">
        <f t="shared" si="21"/>
        <v>#N/A</v>
      </c>
      <c r="Y432" s="46" t="e">
        <f t="shared" si="24"/>
        <v>#N/A</v>
      </c>
      <c r="Z432" s="39" t="e">
        <f t="shared" si="22"/>
        <v>#N/A</v>
      </c>
      <c r="AA432" s="39" t="e">
        <f t="shared" si="23"/>
        <v>#N/A</v>
      </c>
      <c r="AB432" s="39"/>
      <c r="AC432" s="48" t="e">
        <f t="shared" si="25"/>
        <v>#N/A</v>
      </c>
    </row>
    <row r="433" spans="1:29" ht="12.5" x14ac:dyDescent="0.25">
      <c r="A433" s="36"/>
      <c r="B433" s="33"/>
      <c r="C433" s="33"/>
      <c r="D433" s="33"/>
      <c r="E433" s="35"/>
      <c r="F433" s="21"/>
      <c r="G433" s="22" t="e">
        <f>VLOOKUP(E433,'Court List'!$A:$C,2,0)</f>
        <v>#N/A</v>
      </c>
      <c r="H433" s="33"/>
      <c r="I433" s="33"/>
      <c r="J433" s="44" t="e">
        <f t="shared" si="16"/>
        <v>#N/A</v>
      </c>
      <c r="K433" s="36"/>
      <c r="L433" s="18">
        <f>SUM('Shuttle Count - Supreme (Nov 20'!C433:D433)</f>
        <v>0</v>
      </c>
      <c r="M433" s="18" t="e">
        <f>VLOOKUP(K433,'Shuttle Purchase'!A:C,3,0)</f>
        <v>#N/A</v>
      </c>
      <c r="N433" s="44" t="e">
        <f t="shared" si="26"/>
        <v>#N/A</v>
      </c>
      <c r="O433" s="24" t="e">
        <f>VLOOKUP(E433,'Court List'!$A:$C,3,0)</f>
        <v>#N/A</v>
      </c>
      <c r="P433" s="18">
        <f>COUNTIF('Pub List'!$C433:$T433,"&lt;&gt;")</f>
        <v>0</v>
      </c>
      <c r="Q433" s="20" t="e">
        <f t="shared" si="17"/>
        <v>#N/A</v>
      </c>
      <c r="R433" s="36"/>
      <c r="S433" s="18">
        <f>COUNTIF('Member List'!$C433:$J433,"&lt;&gt;")</f>
        <v>0</v>
      </c>
      <c r="T433" s="35"/>
      <c r="U433" s="24">
        <f t="shared" si="18"/>
        <v>0</v>
      </c>
      <c r="V433" s="18" t="e">
        <f t="shared" si="19"/>
        <v>#N/A</v>
      </c>
      <c r="W433" s="45" t="e">
        <f t="shared" si="20"/>
        <v>#N/A</v>
      </c>
      <c r="X433" s="20" t="e">
        <f t="shared" si="21"/>
        <v>#N/A</v>
      </c>
      <c r="Y433" s="46" t="e">
        <f t="shared" si="24"/>
        <v>#N/A</v>
      </c>
      <c r="Z433" s="39" t="e">
        <f t="shared" si="22"/>
        <v>#N/A</v>
      </c>
      <c r="AA433" s="39" t="e">
        <f t="shared" si="23"/>
        <v>#N/A</v>
      </c>
      <c r="AB433" s="39"/>
      <c r="AC433" s="48" t="e">
        <f t="shared" si="25"/>
        <v>#N/A</v>
      </c>
    </row>
    <row r="434" spans="1:29" ht="12.5" x14ac:dyDescent="0.25">
      <c r="A434" s="36"/>
      <c r="B434" s="33"/>
      <c r="C434" s="33"/>
      <c r="D434" s="33"/>
      <c r="E434" s="35"/>
      <c r="F434" s="21"/>
      <c r="G434" s="22" t="e">
        <f>VLOOKUP(E434,'Court List'!$A:$C,2,0)</f>
        <v>#N/A</v>
      </c>
      <c r="H434" s="33"/>
      <c r="I434" s="33"/>
      <c r="J434" s="44" t="e">
        <f t="shared" si="16"/>
        <v>#N/A</v>
      </c>
      <c r="K434" s="36"/>
      <c r="L434" s="18">
        <f>SUM('Shuttle Count - Supreme (Nov 20'!C434:D434)</f>
        <v>0</v>
      </c>
      <c r="M434" s="18" t="e">
        <f>VLOOKUP(K434,'Shuttle Purchase'!A:C,3,0)</f>
        <v>#N/A</v>
      </c>
      <c r="N434" s="44" t="e">
        <f t="shared" si="26"/>
        <v>#N/A</v>
      </c>
      <c r="O434" s="24" t="e">
        <f>VLOOKUP(E434,'Court List'!$A:$C,3,0)</f>
        <v>#N/A</v>
      </c>
      <c r="P434" s="18">
        <f>COUNTIF('Pub List'!$C434:$T434,"&lt;&gt;")</f>
        <v>0</v>
      </c>
      <c r="Q434" s="20" t="e">
        <f t="shared" si="17"/>
        <v>#N/A</v>
      </c>
      <c r="R434" s="36"/>
      <c r="S434" s="18">
        <f>COUNTIF('Member List'!$C434:$J434,"&lt;&gt;")</f>
        <v>0</v>
      </c>
      <c r="T434" s="35"/>
      <c r="U434" s="24">
        <f t="shared" si="18"/>
        <v>0</v>
      </c>
      <c r="V434" s="18" t="e">
        <f t="shared" si="19"/>
        <v>#N/A</v>
      </c>
      <c r="W434" s="45" t="e">
        <f t="shared" si="20"/>
        <v>#N/A</v>
      </c>
      <c r="X434" s="20" t="e">
        <f t="shared" si="21"/>
        <v>#N/A</v>
      </c>
      <c r="Y434" s="46" t="e">
        <f t="shared" si="24"/>
        <v>#N/A</v>
      </c>
      <c r="Z434" s="39" t="e">
        <f t="shared" si="22"/>
        <v>#N/A</v>
      </c>
      <c r="AA434" s="39" t="e">
        <f t="shared" si="23"/>
        <v>#N/A</v>
      </c>
      <c r="AB434" s="39"/>
      <c r="AC434" s="48" t="e">
        <f t="shared" si="25"/>
        <v>#N/A</v>
      </c>
    </row>
    <row r="435" spans="1:29" ht="12.5" x14ac:dyDescent="0.25">
      <c r="A435" s="36"/>
      <c r="B435" s="33"/>
      <c r="C435" s="33"/>
      <c r="D435" s="33"/>
      <c r="E435" s="35"/>
      <c r="F435" s="21"/>
      <c r="G435" s="22" t="e">
        <f>VLOOKUP(E435,'Court List'!$A:$C,2,0)</f>
        <v>#N/A</v>
      </c>
      <c r="H435" s="33"/>
      <c r="I435" s="33"/>
      <c r="J435" s="44" t="e">
        <f t="shared" si="16"/>
        <v>#N/A</v>
      </c>
      <c r="K435" s="36"/>
      <c r="L435" s="18">
        <f>SUM('Shuttle Count - Supreme (Nov 20'!C435:D435)</f>
        <v>0</v>
      </c>
      <c r="M435" s="18" t="e">
        <f>VLOOKUP(K435,'Shuttle Purchase'!A:C,3,0)</f>
        <v>#N/A</v>
      </c>
      <c r="N435" s="44" t="e">
        <f t="shared" si="26"/>
        <v>#N/A</v>
      </c>
      <c r="O435" s="24" t="e">
        <f>VLOOKUP(E435,'Court List'!$A:$C,3,0)</f>
        <v>#N/A</v>
      </c>
      <c r="P435" s="18">
        <f>COUNTIF('Pub List'!$C435:$T435,"&lt;&gt;")</f>
        <v>0</v>
      </c>
      <c r="Q435" s="20" t="e">
        <f t="shared" si="17"/>
        <v>#N/A</v>
      </c>
      <c r="R435" s="36"/>
      <c r="S435" s="18">
        <f>COUNTIF('Member List'!$C435:$J435,"&lt;&gt;")</f>
        <v>0</v>
      </c>
      <c r="T435" s="35"/>
      <c r="U435" s="24">
        <f t="shared" si="18"/>
        <v>0</v>
      </c>
      <c r="V435" s="18" t="e">
        <f t="shared" si="19"/>
        <v>#N/A</v>
      </c>
      <c r="W435" s="45" t="e">
        <f t="shared" si="20"/>
        <v>#N/A</v>
      </c>
      <c r="X435" s="20" t="e">
        <f t="shared" si="21"/>
        <v>#N/A</v>
      </c>
      <c r="Y435" s="46" t="e">
        <f t="shared" si="24"/>
        <v>#N/A</v>
      </c>
      <c r="Z435" s="39" t="e">
        <f t="shared" si="22"/>
        <v>#N/A</v>
      </c>
      <c r="AA435" s="39" t="e">
        <f t="shared" si="23"/>
        <v>#N/A</v>
      </c>
      <c r="AB435" s="39"/>
      <c r="AC435" s="48" t="e">
        <f t="shared" si="25"/>
        <v>#N/A</v>
      </c>
    </row>
    <row r="436" spans="1:29" ht="12.5" x14ac:dyDescent="0.25">
      <c r="A436" s="36"/>
      <c r="B436" s="33"/>
      <c r="C436" s="33"/>
      <c r="D436" s="33"/>
      <c r="E436" s="35"/>
      <c r="F436" s="21"/>
      <c r="G436" s="22" t="e">
        <f>VLOOKUP(E436,'Court List'!$A:$C,2,0)</f>
        <v>#N/A</v>
      </c>
      <c r="H436" s="33"/>
      <c r="I436" s="33"/>
      <c r="J436" s="44" t="e">
        <f t="shared" si="16"/>
        <v>#N/A</v>
      </c>
      <c r="K436" s="36"/>
      <c r="L436" s="18">
        <f>SUM('Shuttle Count - Supreme (Nov 20'!C436:D436)</f>
        <v>0</v>
      </c>
      <c r="M436" s="18" t="e">
        <f>VLOOKUP(K436,'Shuttle Purchase'!A:C,3,0)</f>
        <v>#N/A</v>
      </c>
      <c r="N436" s="44" t="e">
        <f t="shared" si="26"/>
        <v>#N/A</v>
      </c>
      <c r="O436" s="24" t="e">
        <f>VLOOKUP(E436,'Court List'!$A:$C,3,0)</f>
        <v>#N/A</v>
      </c>
      <c r="P436" s="18">
        <f>COUNTIF('Pub List'!$C436:$T436,"&lt;&gt;")</f>
        <v>0</v>
      </c>
      <c r="Q436" s="20" t="e">
        <f t="shared" si="17"/>
        <v>#N/A</v>
      </c>
      <c r="R436" s="36"/>
      <c r="S436" s="18">
        <f>COUNTIF('Member List'!$C436:$J436,"&lt;&gt;")</f>
        <v>0</v>
      </c>
      <c r="T436" s="35"/>
      <c r="U436" s="24">
        <f t="shared" si="18"/>
        <v>0</v>
      </c>
      <c r="V436" s="18" t="e">
        <f t="shared" si="19"/>
        <v>#N/A</v>
      </c>
      <c r="W436" s="45" t="e">
        <f t="shared" si="20"/>
        <v>#N/A</v>
      </c>
      <c r="X436" s="20" t="e">
        <f t="shared" si="21"/>
        <v>#N/A</v>
      </c>
      <c r="Y436" s="46" t="e">
        <f t="shared" si="24"/>
        <v>#N/A</v>
      </c>
      <c r="Z436" s="39" t="e">
        <f t="shared" si="22"/>
        <v>#N/A</v>
      </c>
      <c r="AA436" s="39" t="e">
        <f t="shared" si="23"/>
        <v>#N/A</v>
      </c>
      <c r="AB436" s="39"/>
      <c r="AC436" s="48" t="e">
        <f t="shared" si="25"/>
        <v>#N/A</v>
      </c>
    </row>
    <row r="437" spans="1:29" ht="12.5" x14ac:dyDescent="0.25">
      <c r="A437" s="36"/>
      <c r="B437" s="33"/>
      <c r="C437" s="33"/>
      <c r="D437" s="33"/>
      <c r="E437" s="35"/>
      <c r="F437" s="21"/>
      <c r="G437" s="22" t="e">
        <f>VLOOKUP(E437,'Court List'!$A:$C,2,0)</f>
        <v>#N/A</v>
      </c>
      <c r="H437" s="33"/>
      <c r="I437" s="33"/>
      <c r="J437" s="44" t="e">
        <f t="shared" si="16"/>
        <v>#N/A</v>
      </c>
      <c r="K437" s="36"/>
      <c r="L437" s="18">
        <f>SUM('Shuttle Count - Supreme (Nov 20'!C437:D437)</f>
        <v>0</v>
      </c>
      <c r="M437" s="18" t="e">
        <f>VLOOKUP(K437,'Shuttle Purchase'!A:C,3,0)</f>
        <v>#N/A</v>
      </c>
      <c r="N437" s="44" t="e">
        <f t="shared" si="26"/>
        <v>#N/A</v>
      </c>
      <c r="O437" s="24" t="e">
        <f>VLOOKUP(E437,'Court List'!$A:$C,3,0)</f>
        <v>#N/A</v>
      </c>
      <c r="P437" s="18">
        <f>COUNTIF('Pub List'!$C437:$T437,"&lt;&gt;")</f>
        <v>0</v>
      </c>
      <c r="Q437" s="20" t="e">
        <f t="shared" si="17"/>
        <v>#N/A</v>
      </c>
      <c r="R437" s="36"/>
      <c r="S437" s="18">
        <f>COUNTIF('Member List'!$C437:$J437,"&lt;&gt;")</f>
        <v>0</v>
      </c>
      <c r="T437" s="35"/>
      <c r="U437" s="24">
        <f t="shared" si="18"/>
        <v>0</v>
      </c>
      <c r="V437" s="18" t="e">
        <f t="shared" si="19"/>
        <v>#N/A</v>
      </c>
      <c r="W437" s="45" t="e">
        <f t="shared" si="20"/>
        <v>#N/A</v>
      </c>
      <c r="X437" s="20" t="e">
        <f t="shared" si="21"/>
        <v>#N/A</v>
      </c>
      <c r="Y437" s="46" t="e">
        <f t="shared" si="24"/>
        <v>#N/A</v>
      </c>
      <c r="Z437" s="39" t="e">
        <f t="shared" si="22"/>
        <v>#N/A</v>
      </c>
      <c r="AA437" s="39" t="e">
        <f t="shared" si="23"/>
        <v>#N/A</v>
      </c>
      <c r="AB437" s="39"/>
      <c r="AC437" s="48" t="e">
        <f t="shared" si="25"/>
        <v>#N/A</v>
      </c>
    </row>
    <row r="438" spans="1:29" ht="12.5" x14ac:dyDescent="0.25">
      <c r="A438" s="36"/>
      <c r="B438" s="33"/>
      <c r="C438" s="33"/>
      <c r="D438" s="33"/>
      <c r="E438" s="35"/>
      <c r="F438" s="21"/>
      <c r="G438" s="22" t="e">
        <f>VLOOKUP(E438,'Court List'!$A:$C,2,0)</f>
        <v>#N/A</v>
      </c>
      <c r="H438" s="33"/>
      <c r="I438" s="33"/>
      <c r="J438" s="44" t="e">
        <f t="shared" si="16"/>
        <v>#N/A</v>
      </c>
      <c r="K438" s="36"/>
      <c r="L438" s="18">
        <f>SUM('Shuttle Count - Supreme (Nov 20'!C438:D438)</f>
        <v>0</v>
      </c>
      <c r="M438" s="18" t="e">
        <f>VLOOKUP(K438,'Shuttle Purchase'!A:C,3,0)</f>
        <v>#N/A</v>
      </c>
      <c r="N438" s="44" t="e">
        <f t="shared" si="26"/>
        <v>#N/A</v>
      </c>
      <c r="O438" s="24" t="e">
        <f>VLOOKUP(E438,'Court List'!$A:$C,3,0)</f>
        <v>#N/A</v>
      </c>
      <c r="P438" s="18">
        <f>COUNTIF('Pub List'!$C438:$T438,"&lt;&gt;")</f>
        <v>0</v>
      </c>
      <c r="Q438" s="20" t="e">
        <f t="shared" si="17"/>
        <v>#N/A</v>
      </c>
      <c r="R438" s="36"/>
      <c r="S438" s="18">
        <f>COUNTIF('Member List'!$C438:$J438,"&lt;&gt;")</f>
        <v>0</v>
      </c>
      <c r="T438" s="35"/>
      <c r="U438" s="24">
        <f t="shared" si="18"/>
        <v>0</v>
      </c>
      <c r="V438" s="18" t="e">
        <f t="shared" si="19"/>
        <v>#N/A</v>
      </c>
      <c r="W438" s="45" t="e">
        <f t="shared" si="20"/>
        <v>#N/A</v>
      </c>
      <c r="X438" s="20" t="e">
        <f t="shared" si="21"/>
        <v>#N/A</v>
      </c>
      <c r="Y438" s="46" t="e">
        <f t="shared" si="24"/>
        <v>#N/A</v>
      </c>
      <c r="Z438" s="39" t="e">
        <f t="shared" si="22"/>
        <v>#N/A</v>
      </c>
      <c r="AA438" s="39" t="e">
        <f t="shared" si="23"/>
        <v>#N/A</v>
      </c>
      <c r="AB438" s="39"/>
      <c r="AC438" s="48" t="e">
        <f t="shared" si="25"/>
        <v>#N/A</v>
      </c>
    </row>
    <row r="439" spans="1:29" ht="12.5" x14ac:dyDescent="0.25">
      <c r="A439" s="36"/>
      <c r="B439" s="33"/>
      <c r="C439" s="33"/>
      <c r="D439" s="33"/>
      <c r="E439" s="35"/>
      <c r="F439" s="21"/>
      <c r="G439" s="22" t="e">
        <f>VLOOKUP(E439,'Court List'!$A:$C,2,0)</f>
        <v>#N/A</v>
      </c>
      <c r="H439" s="33"/>
      <c r="I439" s="33"/>
      <c r="J439" s="44" t="e">
        <f t="shared" si="16"/>
        <v>#N/A</v>
      </c>
      <c r="K439" s="36"/>
      <c r="L439" s="18">
        <f>SUM('Shuttle Count - Supreme (Nov 20'!C439:D439)</f>
        <v>0</v>
      </c>
      <c r="M439" s="18" t="e">
        <f>VLOOKUP(K439,'Shuttle Purchase'!A:C,3,0)</f>
        <v>#N/A</v>
      </c>
      <c r="N439" s="44" t="e">
        <f t="shared" si="26"/>
        <v>#N/A</v>
      </c>
      <c r="O439" s="24" t="e">
        <f>VLOOKUP(E439,'Court List'!$A:$C,3,0)</f>
        <v>#N/A</v>
      </c>
      <c r="P439" s="18">
        <f>COUNTIF('Pub List'!$C439:$T439,"&lt;&gt;")</f>
        <v>0</v>
      </c>
      <c r="Q439" s="20" t="e">
        <f t="shared" si="17"/>
        <v>#N/A</v>
      </c>
      <c r="R439" s="36"/>
      <c r="S439" s="18">
        <f>COUNTIF('Member List'!$C439:$J439,"&lt;&gt;")</f>
        <v>0</v>
      </c>
      <c r="T439" s="35"/>
      <c r="U439" s="24">
        <f t="shared" si="18"/>
        <v>0</v>
      </c>
      <c r="V439" s="18" t="e">
        <f t="shared" si="19"/>
        <v>#N/A</v>
      </c>
      <c r="W439" s="45" t="e">
        <f t="shared" si="20"/>
        <v>#N/A</v>
      </c>
      <c r="X439" s="20" t="e">
        <f t="shared" si="21"/>
        <v>#N/A</v>
      </c>
      <c r="Y439" s="46" t="e">
        <f t="shared" si="24"/>
        <v>#N/A</v>
      </c>
      <c r="Z439" s="39" t="e">
        <f t="shared" si="22"/>
        <v>#N/A</v>
      </c>
      <c r="AA439" s="39" t="e">
        <f t="shared" si="23"/>
        <v>#N/A</v>
      </c>
      <c r="AB439" s="39"/>
      <c r="AC439" s="48" t="e">
        <f t="shared" si="25"/>
        <v>#N/A</v>
      </c>
    </row>
    <row r="440" spans="1:29" ht="12.5" x14ac:dyDescent="0.25">
      <c r="A440" s="36"/>
      <c r="B440" s="33"/>
      <c r="C440" s="33"/>
      <c r="D440" s="33"/>
      <c r="E440" s="35"/>
      <c r="F440" s="21"/>
      <c r="G440" s="22" t="e">
        <f>VLOOKUP(E440,'Court List'!$A:$C,2,0)</f>
        <v>#N/A</v>
      </c>
      <c r="H440" s="33"/>
      <c r="I440" s="33"/>
      <c r="J440" s="44" t="e">
        <f t="shared" si="16"/>
        <v>#N/A</v>
      </c>
      <c r="K440" s="36"/>
      <c r="L440" s="18">
        <f>SUM('Shuttle Count - Supreme (Nov 20'!C440:D440)</f>
        <v>0</v>
      </c>
      <c r="M440" s="18" t="e">
        <f>VLOOKUP(K440,'Shuttle Purchase'!A:C,3,0)</f>
        <v>#N/A</v>
      </c>
      <c r="N440" s="44" t="e">
        <f t="shared" si="26"/>
        <v>#N/A</v>
      </c>
      <c r="O440" s="24" t="e">
        <f>VLOOKUP(E440,'Court List'!$A:$C,3,0)</f>
        <v>#N/A</v>
      </c>
      <c r="P440" s="18">
        <f>COUNTIF('Pub List'!$C440:$T440,"&lt;&gt;")</f>
        <v>0</v>
      </c>
      <c r="Q440" s="20" t="e">
        <f t="shared" si="17"/>
        <v>#N/A</v>
      </c>
      <c r="R440" s="36"/>
      <c r="S440" s="18">
        <f>COUNTIF('Member List'!$C440:$J440,"&lt;&gt;")</f>
        <v>0</v>
      </c>
      <c r="T440" s="35"/>
      <c r="U440" s="24">
        <f t="shared" si="18"/>
        <v>0</v>
      </c>
      <c r="V440" s="18" t="e">
        <f t="shared" si="19"/>
        <v>#N/A</v>
      </c>
      <c r="W440" s="45" t="e">
        <f t="shared" si="20"/>
        <v>#N/A</v>
      </c>
      <c r="X440" s="20" t="e">
        <f t="shared" si="21"/>
        <v>#N/A</v>
      </c>
      <c r="Y440" s="46" t="e">
        <f t="shared" si="24"/>
        <v>#N/A</v>
      </c>
      <c r="Z440" s="39" t="e">
        <f t="shared" si="22"/>
        <v>#N/A</v>
      </c>
      <c r="AA440" s="39" t="e">
        <f t="shared" si="23"/>
        <v>#N/A</v>
      </c>
      <c r="AB440" s="39"/>
      <c r="AC440" s="48" t="e">
        <f t="shared" si="25"/>
        <v>#N/A</v>
      </c>
    </row>
    <row r="441" spans="1:29" ht="12.5" x14ac:dyDescent="0.25">
      <c r="A441" s="36"/>
      <c r="B441" s="33"/>
      <c r="C441" s="33"/>
      <c r="D441" s="33"/>
      <c r="E441" s="35"/>
      <c r="F441" s="21"/>
      <c r="G441" s="22" t="e">
        <f>VLOOKUP(E441,'Court List'!$A:$C,2,0)</f>
        <v>#N/A</v>
      </c>
      <c r="H441" s="33"/>
      <c r="I441" s="33"/>
      <c r="J441" s="44" t="e">
        <f t="shared" si="16"/>
        <v>#N/A</v>
      </c>
      <c r="K441" s="36"/>
      <c r="L441" s="18">
        <f>SUM('Shuttle Count - Supreme (Nov 20'!C441:D441)</f>
        <v>0</v>
      </c>
      <c r="M441" s="18" t="e">
        <f>VLOOKUP(K441,'Shuttle Purchase'!A:C,3,0)</f>
        <v>#N/A</v>
      </c>
      <c r="N441" s="44" t="e">
        <f t="shared" si="26"/>
        <v>#N/A</v>
      </c>
      <c r="O441" s="24" t="e">
        <f>VLOOKUP(E441,'Court List'!$A:$C,3,0)</f>
        <v>#N/A</v>
      </c>
      <c r="P441" s="18">
        <f>COUNTIF('Pub List'!$C441:$T441,"&lt;&gt;")</f>
        <v>0</v>
      </c>
      <c r="Q441" s="20" t="e">
        <f t="shared" si="17"/>
        <v>#N/A</v>
      </c>
      <c r="R441" s="36"/>
      <c r="S441" s="18">
        <f>COUNTIF('Member List'!$C441:$J441,"&lt;&gt;")</f>
        <v>0</v>
      </c>
      <c r="T441" s="35"/>
      <c r="U441" s="24">
        <f t="shared" si="18"/>
        <v>0</v>
      </c>
      <c r="V441" s="18" t="e">
        <f t="shared" si="19"/>
        <v>#N/A</v>
      </c>
      <c r="W441" s="45" t="e">
        <f t="shared" si="20"/>
        <v>#N/A</v>
      </c>
      <c r="X441" s="20" t="e">
        <f t="shared" si="21"/>
        <v>#N/A</v>
      </c>
      <c r="Y441" s="46" t="e">
        <f t="shared" si="24"/>
        <v>#N/A</v>
      </c>
      <c r="Z441" s="39" t="e">
        <f t="shared" si="22"/>
        <v>#N/A</v>
      </c>
      <c r="AA441" s="39" t="e">
        <f t="shared" si="23"/>
        <v>#N/A</v>
      </c>
      <c r="AB441" s="39"/>
      <c r="AC441" s="48" t="e">
        <f t="shared" si="25"/>
        <v>#N/A</v>
      </c>
    </row>
    <row r="442" spans="1:29" ht="12.5" x14ac:dyDescent="0.25">
      <c r="A442" s="36"/>
      <c r="B442" s="33"/>
      <c r="C442" s="33"/>
      <c r="D442" s="33"/>
      <c r="E442" s="35"/>
      <c r="F442" s="21"/>
      <c r="G442" s="22" t="e">
        <f>VLOOKUP(E442,'Court List'!$A:$C,2,0)</f>
        <v>#N/A</v>
      </c>
      <c r="H442" s="33"/>
      <c r="I442" s="33"/>
      <c r="J442" s="44" t="e">
        <f t="shared" si="16"/>
        <v>#N/A</v>
      </c>
      <c r="K442" s="36"/>
      <c r="L442" s="18">
        <f>SUM('Shuttle Count - Supreme (Nov 20'!C442:D442)</f>
        <v>0</v>
      </c>
      <c r="M442" s="18" t="e">
        <f>VLOOKUP(K442,'Shuttle Purchase'!A:C,3,0)</f>
        <v>#N/A</v>
      </c>
      <c r="N442" s="44" t="e">
        <f t="shared" si="26"/>
        <v>#N/A</v>
      </c>
      <c r="O442" s="24" t="e">
        <f>VLOOKUP(E442,'Court List'!$A:$C,3,0)</f>
        <v>#N/A</v>
      </c>
      <c r="P442" s="18">
        <f>COUNTIF('Pub List'!$C442:$T442,"&lt;&gt;")</f>
        <v>0</v>
      </c>
      <c r="Q442" s="20" t="e">
        <f t="shared" si="17"/>
        <v>#N/A</v>
      </c>
      <c r="R442" s="36"/>
      <c r="S442" s="18">
        <f>COUNTIF('Member List'!$C442:$J442,"&lt;&gt;")</f>
        <v>0</v>
      </c>
      <c r="T442" s="35"/>
      <c r="U442" s="24">
        <f t="shared" si="18"/>
        <v>0</v>
      </c>
      <c r="V442" s="18" t="e">
        <f t="shared" si="19"/>
        <v>#N/A</v>
      </c>
      <c r="W442" s="45" t="e">
        <f t="shared" si="20"/>
        <v>#N/A</v>
      </c>
      <c r="X442" s="20" t="e">
        <f t="shared" si="21"/>
        <v>#N/A</v>
      </c>
      <c r="Y442" s="46" t="e">
        <f t="shared" si="24"/>
        <v>#N/A</v>
      </c>
      <c r="Z442" s="39" t="e">
        <f t="shared" si="22"/>
        <v>#N/A</v>
      </c>
      <c r="AA442" s="39" t="e">
        <f t="shared" si="23"/>
        <v>#N/A</v>
      </c>
      <c r="AB442" s="39"/>
      <c r="AC442" s="48" t="e">
        <f t="shared" si="25"/>
        <v>#N/A</v>
      </c>
    </row>
    <row r="443" spans="1:29" ht="12.5" x14ac:dyDescent="0.25">
      <c r="A443" s="36"/>
      <c r="B443" s="33"/>
      <c r="C443" s="33"/>
      <c r="D443" s="33"/>
      <c r="E443" s="35"/>
      <c r="F443" s="21"/>
      <c r="G443" s="22" t="e">
        <f>VLOOKUP(E443,'Court List'!$A:$C,2,0)</f>
        <v>#N/A</v>
      </c>
      <c r="H443" s="33"/>
      <c r="I443" s="33"/>
      <c r="J443" s="44" t="e">
        <f t="shared" si="16"/>
        <v>#N/A</v>
      </c>
      <c r="K443" s="36"/>
      <c r="L443" s="18">
        <f>SUM('Shuttle Count - Supreme (Nov 20'!C443:D443)</f>
        <v>0</v>
      </c>
      <c r="M443" s="18" t="e">
        <f>VLOOKUP(K443,'Shuttle Purchase'!A:C,3,0)</f>
        <v>#N/A</v>
      </c>
      <c r="N443" s="44" t="e">
        <f t="shared" si="26"/>
        <v>#N/A</v>
      </c>
      <c r="O443" s="24" t="e">
        <f>VLOOKUP(E443,'Court List'!$A:$C,3,0)</f>
        <v>#N/A</v>
      </c>
      <c r="P443" s="18">
        <f>COUNTIF('Pub List'!$C443:$T443,"&lt;&gt;")</f>
        <v>0</v>
      </c>
      <c r="Q443" s="20" t="e">
        <f t="shared" si="17"/>
        <v>#N/A</v>
      </c>
      <c r="R443" s="36"/>
      <c r="S443" s="18">
        <f>COUNTIF('Member List'!$C443:$J443,"&lt;&gt;")</f>
        <v>0</v>
      </c>
      <c r="T443" s="35"/>
      <c r="U443" s="24">
        <f t="shared" si="18"/>
        <v>0</v>
      </c>
      <c r="V443" s="18" t="e">
        <f t="shared" si="19"/>
        <v>#N/A</v>
      </c>
      <c r="W443" s="45" t="e">
        <f t="shared" si="20"/>
        <v>#N/A</v>
      </c>
      <c r="X443" s="20" t="e">
        <f t="shared" si="21"/>
        <v>#N/A</v>
      </c>
      <c r="Y443" s="46" t="e">
        <f t="shared" si="24"/>
        <v>#N/A</v>
      </c>
      <c r="Z443" s="39" t="e">
        <f t="shared" si="22"/>
        <v>#N/A</v>
      </c>
      <c r="AA443" s="39" t="e">
        <f t="shared" si="23"/>
        <v>#N/A</v>
      </c>
      <c r="AB443" s="39"/>
      <c r="AC443" s="48" t="e">
        <f t="shared" si="25"/>
        <v>#N/A</v>
      </c>
    </row>
    <row r="444" spans="1:29" ht="12.5" x14ac:dyDescent="0.25">
      <c r="A444" s="36"/>
      <c r="B444" s="33"/>
      <c r="C444" s="33"/>
      <c r="D444" s="33"/>
      <c r="E444" s="35"/>
      <c r="F444" s="21"/>
      <c r="G444" s="22" t="e">
        <f>VLOOKUP(E444,'Court List'!$A:$C,2,0)</f>
        <v>#N/A</v>
      </c>
      <c r="H444" s="33"/>
      <c r="I444" s="33"/>
      <c r="J444" s="44" t="e">
        <f t="shared" si="16"/>
        <v>#N/A</v>
      </c>
      <c r="K444" s="36"/>
      <c r="L444" s="18">
        <f>SUM('Shuttle Count - Supreme (Nov 20'!C444:D444)</f>
        <v>0</v>
      </c>
      <c r="M444" s="18" t="e">
        <f>VLOOKUP(K444,'Shuttle Purchase'!A:C,3,0)</f>
        <v>#N/A</v>
      </c>
      <c r="N444" s="44" t="e">
        <f t="shared" si="26"/>
        <v>#N/A</v>
      </c>
      <c r="O444" s="24" t="e">
        <f>VLOOKUP(E444,'Court List'!$A:$C,3,0)</f>
        <v>#N/A</v>
      </c>
      <c r="P444" s="18">
        <f>COUNTIF('Pub List'!$C444:$T444,"&lt;&gt;")</f>
        <v>0</v>
      </c>
      <c r="Q444" s="20" t="e">
        <f t="shared" si="17"/>
        <v>#N/A</v>
      </c>
      <c r="R444" s="36"/>
      <c r="S444" s="18">
        <f>COUNTIF('Member List'!$C444:$J444,"&lt;&gt;")</f>
        <v>0</v>
      </c>
      <c r="T444" s="35"/>
      <c r="U444" s="24">
        <f t="shared" si="18"/>
        <v>0</v>
      </c>
      <c r="V444" s="18" t="e">
        <f t="shared" si="19"/>
        <v>#N/A</v>
      </c>
      <c r="W444" s="45" t="e">
        <f t="shared" si="20"/>
        <v>#N/A</v>
      </c>
      <c r="X444" s="20" t="e">
        <f t="shared" si="21"/>
        <v>#N/A</v>
      </c>
      <c r="Y444" s="46" t="e">
        <f t="shared" si="24"/>
        <v>#N/A</v>
      </c>
      <c r="Z444" s="39" t="e">
        <f t="shared" si="22"/>
        <v>#N/A</v>
      </c>
      <c r="AA444" s="39" t="e">
        <f t="shared" si="23"/>
        <v>#N/A</v>
      </c>
      <c r="AB444" s="39"/>
      <c r="AC444" s="48" t="e">
        <f t="shared" si="25"/>
        <v>#N/A</v>
      </c>
    </row>
    <row r="445" spans="1:29" ht="12.5" x14ac:dyDescent="0.25">
      <c r="A445" s="36"/>
      <c r="B445" s="33"/>
      <c r="C445" s="33"/>
      <c r="D445" s="33"/>
      <c r="E445" s="35"/>
      <c r="F445" s="21"/>
      <c r="G445" s="22" t="e">
        <f>VLOOKUP(E445,'Court List'!$A:$C,2,0)</f>
        <v>#N/A</v>
      </c>
      <c r="H445" s="33"/>
      <c r="I445" s="33"/>
      <c r="J445" s="44" t="e">
        <f t="shared" si="16"/>
        <v>#N/A</v>
      </c>
      <c r="K445" s="36"/>
      <c r="L445" s="18">
        <f>SUM('Shuttle Count - Supreme (Nov 20'!C445:D445)</f>
        <v>0</v>
      </c>
      <c r="M445" s="18" t="e">
        <f>VLOOKUP(K445,'Shuttle Purchase'!A:C,3,0)</f>
        <v>#N/A</v>
      </c>
      <c r="N445" s="44" t="e">
        <f t="shared" si="26"/>
        <v>#N/A</v>
      </c>
      <c r="O445" s="24" t="e">
        <f>VLOOKUP(E445,'Court List'!$A:$C,3,0)</f>
        <v>#N/A</v>
      </c>
      <c r="P445" s="18">
        <f>COUNTIF('Pub List'!$C445:$T445,"&lt;&gt;")</f>
        <v>0</v>
      </c>
      <c r="Q445" s="20" t="e">
        <f t="shared" si="17"/>
        <v>#N/A</v>
      </c>
      <c r="R445" s="36"/>
      <c r="S445" s="18">
        <f>COUNTIF('Member List'!$C445:$J445,"&lt;&gt;")</f>
        <v>0</v>
      </c>
      <c r="T445" s="35"/>
      <c r="U445" s="24">
        <f t="shared" si="18"/>
        <v>0</v>
      </c>
      <c r="V445" s="18" t="e">
        <f t="shared" si="19"/>
        <v>#N/A</v>
      </c>
      <c r="W445" s="45" t="e">
        <f t="shared" si="20"/>
        <v>#N/A</v>
      </c>
      <c r="X445" s="20" t="e">
        <f t="shared" si="21"/>
        <v>#N/A</v>
      </c>
      <c r="Y445" s="46" t="e">
        <f t="shared" si="24"/>
        <v>#N/A</v>
      </c>
      <c r="Z445" s="39" t="e">
        <f t="shared" si="22"/>
        <v>#N/A</v>
      </c>
      <c r="AA445" s="39" t="e">
        <f t="shared" si="23"/>
        <v>#N/A</v>
      </c>
      <c r="AB445" s="39"/>
      <c r="AC445" s="48" t="e">
        <f t="shared" si="25"/>
        <v>#N/A</v>
      </c>
    </row>
    <row r="446" spans="1:29" ht="12.5" x14ac:dyDescent="0.25">
      <c r="A446" s="36"/>
      <c r="B446" s="33"/>
      <c r="C446" s="33"/>
      <c r="D446" s="33"/>
      <c r="E446" s="35"/>
      <c r="F446" s="21"/>
      <c r="G446" s="22" t="e">
        <f>VLOOKUP(E446,'Court List'!$A:$C,2,0)</f>
        <v>#N/A</v>
      </c>
      <c r="H446" s="33"/>
      <c r="I446" s="33"/>
      <c r="J446" s="44" t="e">
        <f t="shared" si="16"/>
        <v>#N/A</v>
      </c>
      <c r="K446" s="36"/>
      <c r="L446" s="18">
        <f>SUM('Shuttle Count - Supreme (Nov 20'!C446:D446)</f>
        <v>0</v>
      </c>
      <c r="M446" s="18" t="e">
        <f>VLOOKUP(K446,'Shuttle Purchase'!A:C,3,0)</f>
        <v>#N/A</v>
      </c>
      <c r="N446" s="44" t="e">
        <f t="shared" si="26"/>
        <v>#N/A</v>
      </c>
      <c r="O446" s="24" t="e">
        <f>VLOOKUP(E446,'Court List'!$A:$C,3,0)</f>
        <v>#N/A</v>
      </c>
      <c r="P446" s="18">
        <f>COUNTIF('Pub List'!$C446:$T446,"&lt;&gt;")</f>
        <v>0</v>
      </c>
      <c r="Q446" s="20" t="e">
        <f t="shared" si="17"/>
        <v>#N/A</v>
      </c>
      <c r="R446" s="36"/>
      <c r="S446" s="18">
        <f>COUNTIF('Member List'!$C446:$J446,"&lt;&gt;")</f>
        <v>0</v>
      </c>
      <c r="T446" s="35"/>
      <c r="U446" s="24">
        <f t="shared" si="18"/>
        <v>0</v>
      </c>
      <c r="V446" s="18" t="e">
        <f t="shared" si="19"/>
        <v>#N/A</v>
      </c>
      <c r="W446" s="45" t="e">
        <f t="shared" si="20"/>
        <v>#N/A</v>
      </c>
      <c r="X446" s="20" t="e">
        <f t="shared" si="21"/>
        <v>#N/A</v>
      </c>
      <c r="Y446" s="46" t="e">
        <f t="shared" si="24"/>
        <v>#N/A</v>
      </c>
      <c r="Z446" s="39" t="e">
        <f t="shared" si="22"/>
        <v>#N/A</v>
      </c>
      <c r="AA446" s="39" t="e">
        <f t="shared" si="23"/>
        <v>#N/A</v>
      </c>
      <c r="AB446" s="39"/>
      <c r="AC446" s="48" t="e">
        <f t="shared" si="25"/>
        <v>#N/A</v>
      </c>
    </row>
    <row r="447" spans="1:29" ht="12.5" x14ac:dyDescent="0.25">
      <c r="A447" s="36"/>
      <c r="B447" s="33"/>
      <c r="C447" s="33"/>
      <c r="D447" s="33"/>
      <c r="E447" s="35"/>
      <c r="F447" s="21"/>
      <c r="G447" s="22" t="e">
        <f>VLOOKUP(E447,'Court List'!$A:$C,2,0)</f>
        <v>#N/A</v>
      </c>
      <c r="H447" s="33"/>
      <c r="I447" s="33"/>
      <c r="J447" s="44" t="e">
        <f t="shared" si="16"/>
        <v>#N/A</v>
      </c>
      <c r="K447" s="36"/>
      <c r="L447" s="18">
        <f>SUM('Shuttle Count - Supreme (Nov 20'!C447:D447)</f>
        <v>0</v>
      </c>
      <c r="M447" s="18" t="e">
        <f>VLOOKUP(K447,'Shuttle Purchase'!A:C,3,0)</f>
        <v>#N/A</v>
      </c>
      <c r="N447" s="44" t="e">
        <f t="shared" si="26"/>
        <v>#N/A</v>
      </c>
      <c r="O447" s="24" t="e">
        <f>VLOOKUP(E447,'Court List'!$A:$C,3,0)</f>
        <v>#N/A</v>
      </c>
      <c r="P447" s="18">
        <f>COUNTIF('Pub List'!$C447:$T447,"&lt;&gt;")</f>
        <v>0</v>
      </c>
      <c r="Q447" s="20" t="e">
        <f t="shared" si="17"/>
        <v>#N/A</v>
      </c>
      <c r="R447" s="36"/>
      <c r="S447" s="18">
        <f>COUNTIF('Member List'!$C447:$J447,"&lt;&gt;")</f>
        <v>0</v>
      </c>
      <c r="T447" s="35"/>
      <c r="U447" s="24">
        <f t="shared" si="18"/>
        <v>0</v>
      </c>
      <c r="V447" s="18" t="e">
        <f t="shared" si="19"/>
        <v>#N/A</v>
      </c>
      <c r="W447" s="45" t="e">
        <f t="shared" si="20"/>
        <v>#N/A</v>
      </c>
      <c r="X447" s="20" t="e">
        <f t="shared" si="21"/>
        <v>#N/A</v>
      </c>
      <c r="Y447" s="46" t="e">
        <f t="shared" si="24"/>
        <v>#N/A</v>
      </c>
      <c r="Z447" s="39" t="e">
        <f t="shared" si="22"/>
        <v>#N/A</v>
      </c>
      <c r="AA447" s="39" t="e">
        <f t="shared" si="23"/>
        <v>#N/A</v>
      </c>
      <c r="AB447" s="39"/>
      <c r="AC447" s="48" t="e">
        <f t="shared" si="25"/>
        <v>#N/A</v>
      </c>
    </row>
    <row r="448" spans="1:29" ht="12.5" x14ac:dyDescent="0.25">
      <c r="A448" s="36"/>
      <c r="B448" s="33"/>
      <c r="C448" s="33"/>
      <c r="D448" s="33"/>
      <c r="E448" s="35"/>
      <c r="F448" s="21"/>
      <c r="G448" s="22" t="e">
        <f>VLOOKUP(E448,'Court List'!$A:$C,2,0)</f>
        <v>#N/A</v>
      </c>
      <c r="H448" s="33"/>
      <c r="I448" s="33"/>
      <c r="J448" s="44" t="e">
        <f t="shared" si="16"/>
        <v>#N/A</v>
      </c>
      <c r="K448" s="36"/>
      <c r="L448" s="18">
        <f>SUM('Shuttle Count - Supreme (Nov 20'!C448:D448)</f>
        <v>0</v>
      </c>
      <c r="M448" s="18" t="e">
        <f>VLOOKUP(K448,'Shuttle Purchase'!A:C,3,0)</f>
        <v>#N/A</v>
      </c>
      <c r="N448" s="44" t="e">
        <f t="shared" si="26"/>
        <v>#N/A</v>
      </c>
      <c r="O448" s="24" t="e">
        <f>VLOOKUP(E448,'Court List'!$A:$C,3,0)</f>
        <v>#N/A</v>
      </c>
      <c r="P448" s="18">
        <f>COUNTIF('Pub List'!$C448:$T448,"&lt;&gt;")</f>
        <v>0</v>
      </c>
      <c r="Q448" s="20" t="e">
        <f t="shared" si="17"/>
        <v>#N/A</v>
      </c>
      <c r="R448" s="36"/>
      <c r="S448" s="18">
        <f>COUNTIF('Member List'!$C448:$J448,"&lt;&gt;")</f>
        <v>0</v>
      </c>
      <c r="T448" s="35"/>
      <c r="U448" s="24">
        <f t="shared" si="18"/>
        <v>0</v>
      </c>
      <c r="V448" s="18" t="e">
        <f t="shared" si="19"/>
        <v>#N/A</v>
      </c>
      <c r="W448" s="45" t="e">
        <f t="shared" si="20"/>
        <v>#N/A</v>
      </c>
      <c r="X448" s="20" t="e">
        <f t="shared" si="21"/>
        <v>#N/A</v>
      </c>
      <c r="Y448" s="46" t="e">
        <f t="shared" si="24"/>
        <v>#N/A</v>
      </c>
      <c r="Z448" s="39" t="e">
        <f t="shared" si="22"/>
        <v>#N/A</v>
      </c>
      <c r="AA448" s="39" t="e">
        <f t="shared" si="23"/>
        <v>#N/A</v>
      </c>
      <c r="AB448" s="39"/>
      <c r="AC448" s="48" t="e">
        <f t="shared" si="25"/>
        <v>#N/A</v>
      </c>
    </row>
    <row r="449" spans="1:29" ht="12.5" x14ac:dyDescent="0.25">
      <c r="A449" s="36"/>
      <c r="B449" s="33"/>
      <c r="C449" s="33"/>
      <c r="D449" s="33"/>
      <c r="E449" s="35"/>
      <c r="F449" s="21"/>
      <c r="G449" s="22" t="e">
        <f>VLOOKUP(E449,'Court List'!$A:$C,2,0)</f>
        <v>#N/A</v>
      </c>
      <c r="H449" s="33"/>
      <c r="I449" s="33"/>
      <c r="J449" s="44" t="e">
        <f t="shared" si="16"/>
        <v>#N/A</v>
      </c>
      <c r="K449" s="36"/>
      <c r="L449" s="18">
        <f>SUM('Shuttle Count - Supreme (Nov 20'!C449:D449)</f>
        <v>0</v>
      </c>
      <c r="M449" s="18" t="e">
        <f>VLOOKUP(K449,'Shuttle Purchase'!A:C,3,0)</f>
        <v>#N/A</v>
      </c>
      <c r="N449" s="44" t="e">
        <f t="shared" si="26"/>
        <v>#N/A</v>
      </c>
      <c r="O449" s="24" t="e">
        <f>VLOOKUP(E449,'Court List'!$A:$C,3,0)</f>
        <v>#N/A</v>
      </c>
      <c r="P449" s="18">
        <f>COUNTIF('Pub List'!$C449:$T449,"&lt;&gt;")</f>
        <v>0</v>
      </c>
      <c r="Q449" s="20" t="e">
        <f t="shared" si="17"/>
        <v>#N/A</v>
      </c>
      <c r="R449" s="36"/>
      <c r="S449" s="18">
        <f>COUNTIF('Member List'!$C449:$J449,"&lt;&gt;")</f>
        <v>0</v>
      </c>
      <c r="T449" s="35"/>
      <c r="U449" s="24">
        <f t="shared" si="18"/>
        <v>0</v>
      </c>
      <c r="V449" s="18" t="e">
        <f t="shared" si="19"/>
        <v>#N/A</v>
      </c>
      <c r="W449" s="45" t="e">
        <f t="shared" si="20"/>
        <v>#N/A</v>
      </c>
      <c r="X449" s="20" t="e">
        <f t="shared" si="21"/>
        <v>#N/A</v>
      </c>
      <c r="Y449" s="46" t="e">
        <f t="shared" si="24"/>
        <v>#N/A</v>
      </c>
      <c r="Z449" s="39" t="e">
        <f t="shared" si="22"/>
        <v>#N/A</v>
      </c>
      <c r="AA449" s="39" t="e">
        <f t="shared" si="23"/>
        <v>#N/A</v>
      </c>
      <c r="AB449" s="39"/>
      <c r="AC449" s="48" t="e">
        <f t="shared" si="25"/>
        <v>#N/A</v>
      </c>
    </row>
    <row r="450" spans="1:29" ht="12.5" x14ac:dyDescent="0.25">
      <c r="A450" s="36"/>
      <c r="B450" s="33"/>
      <c r="C450" s="33"/>
      <c r="D450" s="33"/>
      <c r="E450" s="35"/>
      <c r="F450" s="21"/>
      <c r="G450" s="22" t="e">
        <f>VLOOKUP(E450,'Court List'!$A:$C,2,0)</f>
        <v>#N/A</v>
      </c>
      <c r="H450" s="33"/>
      <c r="I450" s="33"/>
      <c r="J450" s="44" t="e">
        <f t="shared" si="16"/>
        <v>#N/A</v>
      </c>
      <c r="K450" s="36"/>
      <c r="L450" s="18">
        <f>SUM('Shuttle Count - Supreme (Nov 20'!C450:D450)</f>
        <v>0</v>
      </c>
      <c r="M450" s="18" t="e">
        <f>VLOOKUP(K450,'Shuttle Purchase'!A:C,3,0)</f>
        <v>#N/A</v>
      </c>
      <c r="N450" s="44" t="e">
        <f t="shared" si="26"/>
        <v>#N/A</v>
      </c>
      <c r="O450" s="24" t="e">
        <f>VLOOKUP(E450,'Court List'!$A:$C,3,0)</f>
        <v>#N/A</v>
      </c>
      <c r="P450" s="18">
        <f>COUNTIF('Pub List'!$C450:$T450,"&lt;&gt;")</f>
        <v>0</v>
      </c>
      <c r="Q450" s="20" t="e">
        <f t="shared" si="17"/>
        <v>#N/A</v>
      </c>
      <c r="R450" s="36"/>
      <c r="S450" s="18">
        <f>COUNTIF('Member List'!$C450:$J450,"&lt;&gt;")</f>
        <v>0</v>
      </c>
      <c r="T450" s="35"/>
      <c r="U450" s="24">
        <f t="shared" si="18"/>
        <v>0</v>
      </c>
      <c r="V450" s="18" t="e">
        <f t="shared" si="19"/>
        <v>#N/A</v>
      </c>
      <c r="W450" s="45" t="e">
        <f t="shared" si="20"/>
        <v>#N/A</v>
      </c>
      <c r="X450" s="20" t="e">
        <f t="shared" si="21"/>
        <v>#N/A</v>
      </c>
      <c r="Y450" s="46" t="e">
        <f t="shared" si="24"/>
        <v>#N/A</v>
      </c>
      <c r="Z450" s="39" t="e">
        <f t="shared" si="22"/>
        <v>#N/A</v>
      </c>
      <c r="AA450" s="39" t="e">
        <f t="shared" si="23"/>
        <v>#N/A</v>
      </c>
      <c r="AB450" s="39"/>
      <c r="AC450" s="48" t="e">
        <f t="shared" si="25"/>
        <v>#N/A</v>
      </c>
    </row>
    <row r="451" spans="1:29" ht="12.5" x14ac:dyDescent="0.25">
      <c r="A451" s="36"/>
      <c r="B451" s="33"/>
      <c r="C451" s="33"/>
      <c r="D451" s="33"/>
      <c r="E451" s="35"/>
      <c r="F451" s="21"/>
      <c r="G451" s="22" t="e">
        <f>VLOOKUP(E451,'Court List'!$A:$C,2,0)</f>
        <v>#N/A</v>
      </c>
      <c r="H451" s="33"/>
      <c r="I451" s="33"/>
      <c r="J451" s="44" t="e">
        <f t="shared" si="16"/>
        <v>#N/A</v>
      </c>
      <c r="K451" s="36"/>
      <c r="L451" s="18">
        <f>SUM('Shuttle Count - Supreme (Nov 20'!C451:D451)</f>
        <v>0</v>
      </c>
      <c r="M451" s="18" t="e">
        <f>VLOOKUP(K451,'Shuttle Purchase'!A:C,3,0)</f>
        <v>#N/A</v>
      </c>
      <c r="N451" s="44" t="e">
        <f t="shared" si="26"/>
        <v>#N/A</v>
      </c>
      <c r="O451" s="24" t="e">
        <f>VLOOKUP(E451,'Court List'!$A:$C,3,0)</f>
        <v>#N/A</v>
      </c>
      <c r="P451" s="18">
        <f>COUNTIF('Pub List'!$C451:$T451,"&lt;&gt;")</f>
        <v>0</v>
      </c>
      <c r="Q451" s="20" t="e">
        <f t="shared" si="17"/>
        <v>#N/A</v>
      </c>
      <c r="R451" s="36"/>
      <c r="S451" s="18">
        <f>COUNTIF('Member List'!$C451:$J451,"&lt;&gt;")</f>
        <v>0</v>
      </c>
      <c r="T451" s="35"/>
      <c r="U451" s="24">
        <f t="shared" si="18"/>
        <v>0</v>
      </c>
      <c r="V451" s="18" t="e">
        <f t="shared" si="19"/>
        <v>#N/A</v>
      </c>
      <c r="W451" s="45" t="e">
        <f t="shared" si="20"/>
        <v>#N/A</v>
      </c>
      <c r="X451" s="20" t="e">
        <f t="shared" si="21"/>
        <v>#N/A</v>
      </c>
      <c r="Y451" s="46" t="e">
        <f t="shared" si="24"/>
        <v>#N/A</v>
      </c>
      <c r="Z451" s="39" t="e">
        <f t="shared" si="22"/>
        <v>#N/A</v>
      </c>
      <c r="AA451" s="39" t="e">
        <f t="shared" si="23"/>
        <v>#N/A</v>
      </c>
      <c r="AB451" s="39"/>
      <c r="AC451" s="48" t="e">
        <f t="shared" si="25"/>
        <v>#N/A</v>
      </c>
    </row>
    <row r="452" spans="1:29" ht="12.5" x14ac:dyDescent="0.25">
      <c r="A452" s="36"/>
      <c r="B452" s="33"/>
      <c r="C452" s="33"/>
      <c r="D452" s="33"/>
      <c r="E452" s="35"/>
      <c r="F452" s="21"/>
      <c r="G452" s="22" t="e">
        <f>VLOOKUP(E452,'Court List'!$A:$C,2,0)</f>
        <v>#N/A</v>
      </c>
      <c r="H452" s="33"/>
      <c r="I452" s="33"/>
      <c r="J452" s="44" t="e">
        <f t="shared" si="16"/>
        <v>#N/A</v>
      </c>
      <c r="K452" s="36"/>
      <c r="L452" s="18">
        <f>SUM('Shuttle Count - Supreme (Nov 20'!C452:D452)</f>
        <v>0</v>
      </c>
      <c r="M452" s="18" t="e">
        <f>VLOOKUP(K452,'Shuttle Purchase'!A:C,3,0)</f>
        <v>#N/A</v>
      </c>
      <c r="N452" s="44" t="e">
        <f t="shared" si="26"/>
        <v>#N/A</v>
      </c>
      <c r="O452" s="24" t="e">
        <f>VLOOKUP(E452,'Court List'!$A:$C,3,0)</f>
        <v>#N/A</v>
      </c>
      <c r="P452" s="18">
        <f>COUNTIF('Pub List'!$C452:$T452,"&lt;&gt;")</f>
        <v>0</v>
      </c>
      <c r="Q452" s="20" t="e">
        <f t="shared" si="17"/>
        <v>#N/A</v>
      </c>
      <c r="R452" s="36"/>
      <c r="S452" s="18">
        <f>COUNTIF('Member List'!$C452:$J452,"&lt;&gt;")</f>
        <v>0</v>
      </c>
      <c r="T452" s="35"/>
      <c r="U452" s="24">
        <f t="shared" si="18"/>
        <v>0</v>
      </c>
      <c r="V452" s="18" t="e">
        <f t="shared" si="19"/>
        <v>#N/A</v>
      </c>
      <c r="W452" s="45" t="e">
        <f t="shared" si="20"/>
        <v>#N/A</v>
      </c>
      <c r="X452" s="20" t="e">
        <f t="shared" si="21"/>
        <v>#N/A</v>
      </c>
      <c r="Y452" s="46" t="e">
        <f t="shared" si="24"/>
        <v>#N/A</v>
      </c>
      <c r="Z452" s="39" t="e">
        <f t="shared" si="22"/>
        <v>#N/A</v>
      </c>
      <c r="AA452" s="39" t="e">
        <f t="shared" si="23"/>
        <v>#N/A</v>
      </c>
      <c r="AB452" s="39"/>
      <c r="AC452" s="48" t="e">
        <f t="shared" si="25"/>
        <v>#N/A</v>
      </c>
    </row>
    <row r="453" spans="1:29" ht="12.5" x14ac:dyDescent="0.25">
      <c r="A453" s="36"/>
      <c r="B453" s="33"/>
      <c r="C453" s="33"/>
      <c r="D453" s="33"/>
      <c r="E453" s="35"/>
      <c r="F453" s="21"/>
      <c r="G453" s="22" t="e">
        <f>VLOOKUP(E453,'Court List'!$A:$C,2,0)</f>
        <v>#N/A</v>
      </c>
      <c r="H453" s="33"/>
      <c r="I453" s="33"/>
      <c r="J453" s="44" t="e">
        <f t="shared" si="16"/>
        <v>#N/A</v>
      </c>
      <c r="K453" s="36"/>
      <c r="L453" s="18">
        <f>SUM('Shuttle Count - Supreme (Nov 20'!C453:D453)</f>
        <v>0</v>
      </c>
      <c r="M453" s="18" t="e">
        <f>VLOOKUP(K453,'Shuttle Purchase'!A:C,3,0)</f>
        <v>#N/A</v>
      </c>
      <c r="N453" s="44" t="e">
        <f t="shared" si="26"/>
        <v>#N/A</v>
      </c>
      <c r="O453" s="24" t="e">
        <f>VLOOKUP(E453,'Court List'!$A:$C,3,0)</f>
        <v>#N/A</v>
      </c>
      <c r="P453" s="18">
        <f>COUNTIF('Pub List'!$C453:$T453,"&lt;&gt;")</f>
        <v>0</v>
      </c>
      <c r="Q453" s="20" t="e">
        <f t="shared" si="17"/>
        <v>#N/A</v>
      </c>
      <c r="R453" s="36"/>
      <c r="S453" s="18">
        <f>COUNTIF('Member List'!$C453:$J453,"&lt;&gt;")</f>
        <v>0</v>
      </c>
      <c r="T453" s="35"/>
      <c r="U453" s="24">
        <f t="shared" si="18"/>
        <v>0</v>
      </c>
      <c r="V453" s="18" t="e">
        <f t="shared" si="19"/>
        <v>#N/A</v>
      </c>
      <c r="W453" s="45" t="e">
        <f t="shared" si="20"/>
        <v>#N/A</v>
      </c>
      <c r="X453" s="20" t="e">
        <f t="shared" si="21"/>
        <v>#N/A</v>
      </c>
      <c r="Y453" s="46" t="e">
        <f t="shared" si="24"/>
        <v>#N/A</v>
      </c>
      <c r="Z453" s="39" t="e">
        <f t="shared" si="22"/>
        <v>#N/A</v>
      </c>
      <c r="AA453" s="39" t="e">
        <f t="shared" si="23"/>
        <v>#N/A</v>
      </c>
      <c r="AB453" s="39"/>
      <c r="AC453" s="48" t="e">
        <f t="shared" si="25"/>
        <v>#N/A</v>
      </c>
    </row>
    <row r="454" spans="1:29" ht="12.5" x14ac:dyDescent="0.25">
      <c r="A454" s="36"/>
      <c r="B454" s="33"/>
      <c r="C454" s="33"/>
      <c r="D454" s="33"/>
      <c r="E454" s="35"/>
      <c r="F454" s="21"/>
      <c r="G454" s="22" t="e">
        <f>VLOOKUP(E454,'Court List'!$A:$C,2,0)</f>
        <v>#N/A</v>
      </c>
      <c r="H454" s="33"/>
      <c r="I454" s="33"/>
      <c r="J454" s="44" t="e">
        <f t="shared" si="16"/>
        <v>#N/A</v>
      </c>
      <c r="K454" s="36"/>
      <c r="L454" s="18">
        <f>SUM('Shuttle Count - Supreme (Nov 20'!C454:D454)</f>
        <v>0</v>
      </c>
      <c r="M454" s="18" t="e">
        <f>VLOOKUP(K454,'Shuttle Purchase'!A:C,3,0)</f>
        <v>#N/A</v>
      </c>
      <c r="N454" s="44" t="e">
        <f t="shared" si="26"/>
        <v>#N/A</v>
      </c>
      <c r="O454" s="24" t="e">
        <f>VLOOKUP(E454,'Court List'!$A:$C,3,0)</f>
        <v>#N/A</v>
      </c>
      <c r="P454" s="18">
        <f>COUNTIF('Pub List'!$C454:$T454,"&lt;&gt;")</f>
        <v>0</v>
      </c>
      <c r="Q454" s="20" t="e">
        <f t="shared" si="17"/>
        <v>#N/A</v>
      </c>
      <c r="R454" s="36"/>
      <c r="S454" s="18">
        <f>COUNTIF('Member List'!$C454:$J454,"&lt;&gt;")</f>
        <v>0</v>
      </c>
      <c r="T454" s="35"/>
      <c r="U454" s="24">
        <f t="shared" si="18"/>
        <v>0</v>
      </c>
      <c r="V454" s="18" t="e">
        <f t="shared" si="19"/>
        <v>#N/A</v>
      </c>
      <c r="W454" s="45" t="e">
        <f t="shared" si="20"/>
        <v>#N/A</v>
      </c>
      <c r="X454" s="20" t="e">
        <f t="shared" si="21"/>
        <v>#N/A</v>
      </c>
      <c r="Y454" s="46" t="e">
        <f t="shared" si="24"/>
        <v>#N/A</v>
      </c>
      <c r="Z454" s="39" t="e">
        <f t="shared" si="22"/>
        <v>#N/A</v>
      </c>
      <c r="AA454" s="39" t="e">
        <f t="shared" si="23"/>
        <v>#N/A</v>
      </c>
      <c r="AB454" s="39"/>
      <c r="AC454" s="48" t="e">
        <f t="shared" si="25"/>
        <v>#N/A</v>
      </c>
    </row>
    <row r="455" spans="1:29" ht="12.5" x14ac:dyDescent="0.25">
      <c r="A455" s="36"/>
      <c r="B455" s="33"/>
      <c r="C455" s="33"/>
      <c r="D455" s="33"/>
      <c r="E455" s="35"/>
      <c r="F455" s="21"/>
      <c r="G455" s="22" t="e">
        <f>VLOOKUP(E455,'Court List'!$A:$C,2,0)</f>
        <v>#N/A</v>
      </c>
      <c r="H455" s="33"/>
      <c r="I455" s="33"/>
      <c r="J455" s="44" t="e">
        <f t="shared" si="16"/>
        <v>#N/A</v>
      </c>
      <c r="K455" s="36"/>
      <c r="L455" s="18">
        <f>SUM('Shuttle Count - Supreme (Nov 20'!C455:D455)</f>
        <v>0</v>
      </c>
      <c r="M455" s="18" t="e">
        <f>VLOOKUP(K455,'Shuttle Purchase'!A:C,3,0)</f>
        <v>#N/A</v>
      </c>
      <c r="N455" s="44" t="e">
        <f t="shared" si="26"/>
        <v>#N/A</v>
      </c>
      <c r="O455" s="24" t="e">
        <f>VLOOKUP(E455,'Court List'!$A:$C,3,0)</f>
        <v>#N/A</v>
      </c>
      <c r="P455" s="18">
        <f>COUNTIF('Pub List'!$C455:$T455,"&lt;&gt;")</f>
        <v>0</v>
      </c>
      <c r="Q455" s="20" t="e">
        <f t="shared" si="17"/>
        <v>#N/A</v>
      </c>
      <c r="R455" s="36"/>
      <c r="S455" s="18">
        <f>COUNTIF('Member List'!$C455:$J455,"&lt;&gt;")</f>
        <v>0</v>
      </c>
      <c r="T455" s="35"/>
      <c r="U455" s="24">
        <f t="shared" si="18"/>
        <v>0</v>
      </c>
      <c r="V455" s="18" t="e">
        <f t="shared" si="19"/>
        <v>#N/A</v>
      </c>
      <c r="W455" s="45" t="e">
        <f t="shared" si="20"/>
        <v>#N/A</v>
      </c>
      <c r="X455" s="20" t="e">
        <f t="shared" si="21"/>
        <v>#N/A</v>
      </c>
      <c r="Y455" s="46" t="e">
        <f t="shared" si="24"/>
        <v>#N/A</v>
      </c>
      <c r="Z455" s="39" t="e">
        <f t="shared" si="22"/>
        <v>#N/A</v>
      </c>
      <c r="AA455" s="39" t="e">
        <f t="shared" si="23"/>
        <v>#N/A</v>
      </c>
      <c r="AB455" s="39"/>
      <c r="AC455" s="48" t="e">
        <f t="shared" si="25"/>
        <v>#N/A</v>
      </c>
    </row>
    <row r="456" spans="1:29" ht="12.5" x14ac:dyDescent="0.25">
      <c r="A456" s="36"/>
      <c r="B456" s="33"/>
      <c r="C456" s="33"/>
      <c r="D456" s="33"/>
      <c r="E456" s="35"/>
      <c r="F456" s="21"/>
      <c r="G456" s="22" t="e">
        <f>VLOOKUP(E456,'Court List'!$A:$C,2,0)</f>
        <v>#N/A</v>
      </c>
      <c r="H456" s="33"/>
      <c r="I456" s="33"/>
      <c r="J456" s="44" t="e">
        <f t="shared" si="16"/>
        <v>#N/A</v>
      </c>
      <c r="K456" s="36"/>
      <c r="L456" s="18">
        <f>SUM('Shuttle Count - Supreme (Nov 20'!C456:D456)</f>
        <v>0</v>
      </c>
      <c r="M456" s="18" t="e">
        <f>VLOOKUP(K456,'Shuttle Purchase'!A:C,3,0)</f>
        <v>#N/A</v>
      </c>
      <c r="N456" s="44" t="e">
        <f t="shared" si="26"/>
        <v>#N/A</v>
      </c>
      <c r="O456" s="24" t="e">
        <f>VLOOKUP(E456,'Court List'!$A:$C,3,0)</f>
        <v>#N/A</v>
      </c>
      <c r="P456" s="18">
        <f>COUNTIF('Pub List'!$C456:$T456,"&lt;&gt;")</f>
        <v>0</v>
      </c>
      <c r="Q456" s="20" t="e">
        <f t="shared" si="17"/>
        <v>#N/A</v>
      </c>
      <c r="R456" s="36"/>
      <c r="S456" s="18">
        <f>COUNTIF('Member List'!$C456:$J456,"&lt;&gt;")</f>
        <v>0</v>
      </c>
      <c r="T456" s="35"/>
      <c r="U456" s="24">
        <f t="shared" si="18"/>
        <v>0</v>
      </c>
      <c r="V456" s="18" t="e">
        <f t="shared" si="19"/>
        <v>#N/A</v>
      </c>
      <c r="W456" s="45" t="e">
        <f t="shared" si="20"/>
        <v>#N/A</v>
      </c>
      <c r="X456" s="20" t="e">
        <f t="shared" si="21"/>
        <v>#N/A</v>
      </c>
      <c r="Y456" s="46" t="e">
        <f t="shared" si="24"/>
        <v>#N/A</v>
      </c>
      <c r="Z456" s="39" t="e">
        <f t="shared" si="22"/>
        <v>#N/A</v>
      </c>
      <c r="AA456" s="39" t="e">
        <f t="shared" si="23"/>
        <v>#N/A</v>
      </c>
      <c r="AB456" s="39"/>
      <c r="AC456" s="48" t="e">
        <f t="shared" si="25"/>
        <v>#N/A</v>
      </c>
    </row>
    <row r="457" spans="1:29" ht="12.5" x14ac:dyDescent="0.25">
      <c r="A457" s="36"/>
      <c r="B457" s="33"/>
      <c r="C457" s="33"/>
      <c r="D457" s="33"/>
      <c r="E457" s="35"/>
      <c r="F457" s="21"/>
      <c r="G457" s="22" t="e">
        <f>VLOOKUP(E457,'Court List'!$A:$C,2,0)</f>
        <v>#N/A</v>
      </c>
      <c r="H457" s="33"/>
      <c r="I457" s="33"/>
      <c r="J457" s="44" t="e">
        <f t="shared" si="16"/>
        <v>#N/A</v>
      </c>
      <c r="K457" s="36"/>
      <c r="L457" s="18">
        <f>SUM('Shuttle Count - Supreme (Nov 20'!C457:D457)</f>
        <v>0</v>
      </c>
      <c r="M457" s="18" t="e">
        <f>VLOOKUP(K457,'Shuttle Purchase'!A:C,3,0)</f>
        <v>#N/A</v>
      </c>
      <c r="N457" s="44" t="e">
        <f t="shared" si="26"/>
        <v>#N/A</v>
      </c>
      <c r="O457" s="24" t="e">
        <f>VLOOKUP(E457,'Court List'!$A:$C,3,0)</f>
        <v>#N/A</v>
      </c>
      <c r="P457" s="18">
        <f>COUNTIF('Pub List'!$C457:$T457,"&lt;&gt;")</f>
        <v>0</v>
      </c>
      <c r="Q457" s="20" t="e">
        <f t="shared" si="17"/>
        <v>#N/A</v>
      </c>
      <c r="R457" s="36"/>
      <c r="S457" s="18">
        <f>COUNTIF('Member List'!$C457:$J457,"&lt;&gt;")</f>
        <v>0</v>
      </c>
      <c r="T457" s="35"/>
      <c r="U457" s="24">
        <f t="shared" si="18"/>
        <v>0</v>
      </c>
      <c r="V457" s="18" t="e">
        <f t="shared" si="19"/>
        <v>#N/A</v>
      </c>
      <c r="W457" s="45" t="e">
        <f t="shared" si="20"/>
        <v>#N/A</v>
      </c>
      <c r="X457" s="20" t="e">
        <f t="shared" si="21"/>
        <v>#N/A</v>
      </c>
      <c r="Y457" s="46" t="e">
        <f t="shared" si="24"/>
        <v>#N/A</v>
      </c>
      <c r="Z457" s="39" t="e">
        <f t="shared" si="22"/>
        <v>#N/A</v>
      </c>
      <c r="AA457" s="39" t="e">
        <f t="shared" si="23"/>
        <v>#N/A</v>
      </c>
      <c r="AB457" s="39"/>
      <c r="AC457" s="48" t="e">
        <f t="shared" si="25"/>
        <v>#N/A</v>
      </c>
    </row>
    <row r="458" spans="1:29" ht="12.5" x14ac:dyDescent="0.25">
      <c r="A458" s="36"/>
      <c r="B458" s="33"/>
      <c r="C458" s="33"/>
      <c r="D458" s="33"/>
      <c r="E458" s="35"/>
      <c r="F458" s="21"/>
      <c r="G458" s="22" t="e">
        <f>VLOOKUP(E458,'Court List'!$A:$C,2,0)</f>
        <v>#N/A</v>
      </c>
      <c r="H458" s="33"/>
      <c r="I458" s="33"/>
      <c r="J458" s="44" t="e">
        <f t="shared" si="16"/>
        <v>#N/A</v>
      </c>
      <c r="K458" s="36"/>
      <c r="L458" s="18">
        <f>SUM('Shuttle Count - Supreme (Nov 20'!C458:D458)</f>
        <v>0</v>
      </c>
      <c r="M458" s="18" t="e">
        <f>VLOOKUP(K458,'Shuttle Purchase'!A:C,3,0)</f>
        <v>#N/A</v>
      </c>
      <c r="N458" s="44" t="e">
        <f t="shared" si="26"/>
        <v>#N/A</v>
      </c>
      <c r="O458" s="24" t="e">
        <f>VLOOKUP(E458,'Court List'!$A:$C,3,0)</f>
        <v>#N/A</v>
      </c>
      <c r="P458" s="18">
        <f>COUNTIF('Pub List'!$C458:$T458,"&lt;&gt;")</f>
        <v>0</v>
      </c>
      <c r="Q458" s="20" t="e">
        <f t="shared" si="17"/>
        <v>#N/A</v>
      </c>
      <c r="R458" s="36"/>
      <c r="S458" s="18">
        <f>COUNTIF('Member List'!$C458:$J458,"&lt;&gt;")</f>
        <v>0</v>
      </c>
      <c r="T458" s="35"/>
      <c r="U458" s="24">
        <f t="shared" si="18"/>
        <v>0</v>
      </c>
      <c r="V458" s="18" t="e">
        <f t="shared" si="19"/>
        <v>#N/A</v>
      </c>
      <c r="W458" s="45" t="e">
        <f t="shared" si="20"/>
        <v>#N/A</v>
      </c>
      <c r="X458" s="20" t="e">
        <f t="shared" si="21"/>
        <v>#N/A</v>
      </c>
      <c r="Y458" s="46" t="e">
        <f t="shared" si="24"/>
        <v>#N/A</v>
      </c>
      <c r="Z458" s="39" t="e">
        <f t="shared" si="22"/>
        <v>#N/A</v>
      </c>
      <c r="AA458" s="39" t="e">
        <f t="shared" si="23"/>
        <v>#N/A</v>
      </c>
      <c r="AB458" s="39"/>
      <c r="AC458" s="48" t="e">
        <f t="shared" si="25"/>
        <v>#N/A</v>
      </c>
    </row>
    <row r="459" spans="1:29" ht="12.5" x14ac:dyDescent="0.25">
      <c r="A459" s="36"/>
      <c r="B459" s="33"/>
      <c r="C459" s="33"/>
      <c r="D459" s="33"/>
      <c r="E459" s="35"/>
      <c r="F459" s="21"/>
      <c r="G459" s="22" t="e">
        <f>VLOOKUP(E459,'Court List'!$A:$C,2,0)</f>
        <v>#N/A</v>
      </c>
      <c r="H459" s="33"/>
      <c r="I459" s="33"/>
      <c r="J459" s="44" t="e">
        <f t="shared" si="16"/>
        <v>#N/A</v>
      </c>
      <c r="K459" s="36"/>
      <c r="L459" s="18">
        <f>SUM('Shuttle Count - Supreme (Nov 20'!C459:D459)</f>
        <v>0</v>
      </c>
      <c r="M459" s="18" t="e">
        <f>VLOOKUP(K459,'Shuttle Purchase'!A:C,3,0)</f>
        <v>#N/A</v>
      </c>
      <c r="N459" s="44" t="e">
        <f t="shared" si="26"/>
        <v>#N/A</v>
      </c>
      <c r="O459" s="24" t="e">
        <f>VLOOKUP(E459,'Court List'!$A:$C,3,0)</f>
        <v>#N/A</v>
      </c>
      <c r="P459" s="18">
        <f>COUNTIF('Pub List'!$C459:$T459,"&lt;&gt;")</f>
        <v>0</v>
      </c>
      <c r="Q459" s="20" t="e">
        <f t="shared" si="17"/>
        <v>#N/A</v>
      </c>
      <c r="R459" s="36"/>
      <c r="S459" s="18">
        <f>COUNTIF('Member List'!$C459:$J459,"&lt;&gt;")</f>
        <v>0</v>
      </c>
      <c r="T459" s="35"/>
      <c r="U459" s="24">
        <f t="shared" si="18"/>
        <v>0</v>
      </c>
      <c r="V459" s="18" t="e">
        <f t="shared" si="19"/>
        <v>#N/A</v>
      </c>
      <c r="W459" s="45" t="e">
        <f t="shared" si="20"/>
        <v>#N/A</v>
      </c>
      <c r="X459" s="20" t="e">
        <f t="shared" si="21"/>
        <v>#N/A</v>
      </c>
      <c r="Y459" s="46" t="e">
        <f t="shared" si="24"/>
        <v>#N/A</v>
      </c>
      <c r="Z459" s="39" t="e">
        <f t="shared" si="22"/>
        <v>#N/A</v>
      </c>
      <c r="AA459" s="39" t="e">
        <f t="shared" si="23"/>
        <v>#N/A</v>
      </c>
      <c r="AB459" s="39"/>
      <c r="AC459" s="48" t="e">
        <f t="shared" si="25"/>
        <v>#N/A</v>
      </c>
    </row>
    <row r="460" spans="1:29" ht="12.5" x14ac:dyDescent="0.25">
      <c r="A460" s="36"/>
      <c r="B460" s="33"/>
      <c r="C460" s="33"/>
      <c r="D460" s="33"/>
      <c r="E460" s="35"/>
      <c r="F460" s="21"/>
      <c r="G460" s="22" t="e">
        <f>VLOOKUP(E460,'Court List'!$A:$C,2,0)</f>
        <v>#N/A</v>
      </c>
      <c r="H460" s="33"/>
      <c r="I460" s="33"/>
      <c r="J460" s="44" t="e">
        <f t="shared" si="16"/>
        <v>#N/A</v>
      </c>
      <c r="K460" s="36"/>
      <c r="L460" s="18">
        <f>SUM('Shuttle Count - Supreme (Nov 20'!C460:D460)</f>
        <v>0</v>
      </c>
      <c r="M460" s="18" t="e">
        <f>VLOOKUP(K460,'Shuttle Purchase'!A:C,3,0)</f>
        <v>#N/A</v>
      </c>
      <c r="N460" s="44" t="e">
        <f t="shared" si="26"/>
        <v>#N/A</v>
      </c>
      <c r="O460" s="24" t="e">
        <f>VLOOKUP(E460,'Court List'!$A:$C,3,0)</f>
        <v>#N/A</v>
      </c>
      <c r="P460" s="18">
        <f>COUNTIF('Pub List'!$C460:$T460,"&lt;&gt;")</f>
        <v>0</v>
      </c>
      <c r="Q460" s="20" t="e">
        <f t="shared" si="17"/>
        <v>#N/A</v>
      </c>
      <c r="R460" s="36"/>
      <c r="S460" s="18">
        <f>COUNTIF('Member List'!$C460:$J460,"&lt;&gt;")</f>
        <v>0</v>
      </c>
      <c r="T460" s="35"/>
      <c r="U460" s="24">
        <f t="shared" si="18"/>
        <v>0</v>
      </c>
      <c r="V460" s="18" t="e">
        <f t="shared" si="19"/>
        <v>#N/A</v>
      </c>
      <c r="W460" s="45" t="e">
        <f t="shared" si="20"/>
        <v>#N/A</v>
      </c>
      <c r="X460" s="20" t="e">
        <f t="shared" si="21"/>
        <v>#N/A</v>
      </c>
      <c r="Y460" s="46" t="e">
        <f t="shared" si="24"/>
        <v>#N/A</v>
      </c>
      <c r="Z460" s="39" t="e">
        <f t="shared" si="22"/>
        <v>#N/A</v>
      </c>
      <c r="AA460" s="39" t="e">
        <f t="shared" si="23"/>
        <v>#N/A</v>
      </c>
      <c r="AB460" s="39"/>
      <c r="AC460" s="48" t="e">
        <f t="shared" si="25"/>
        <v>#N/A</v>
      </c>
    </row>
    <row r="461" spans="1:29" ht="12.5" x14ac:dyDescent="0.25">
      <c r="A461" s="36"/>
      <c r="B461" s="33"/>
      <c r="C461" s="33"/>
      <c r="D461" s="33"/>
      <c r="E461" s="35"/>
      <c r="F461" s="21"/>
      <c r="G461" s="22" t="e">
        <f>VLOOKUP(E461,'Court List'!$A:$C,2,0)</f>
        <v>#N/A</v>
      </c>
      <c r="H461" s="33"/>
      <c r="I461" s="33"/>
      <c r="J461" s="44" t="e">
        <f t="shared" si="16"/>
        <v>#N/A</v>
      </c>
      <c r="K461" s="36"/>
      <c r="L461" s="18">
        <f>SUM('Shuttle Count - Supreme (Nov 20'!C461:D461)</f>
        <v>0</v>
      </c>
      <c r="M461" s="18" t="e">
        <f>VLOOKUP(K461,'Shuttle Purchase'!A:C,3,0)</f>
        <v>#N/A</v>
      </c>
      <c r="N461" s="44" t="e">
        <f t="shared" si="26"/>
        <v>#N/A</v>
      </c>
      <c r="O461" s="24" t="e">
        <f>VLOOKUP(E461,'Court List'!$A:$C,3,0)</f>
        <v>#N/A</v>
      </c>
      <c r="P461" s="18">
        <f>COUNTIF('Pub List'!$C461:$T461,"&lt;&gt;")</f>
        <v>0</v>
      </c>
      <c r="Q461" s="20" t="e">
        <f t="shared" si="17"/>
        <v>#N/A</v>
      </c>
      <c r="R461" s="36"/>
      <c r="S461" s="18">
        <f>COUNTIF('Member List'!$C461:$J461,"&lt;&gt;")</f>
        <v>0</v>
      </c>
      <c r="T461" s="35"/>
      <c r="U461" s="24">
        <f t="shared" si="18"/>
        <v>0</v>
      </c>
      <c r="V461" s="18" t="e">
        <f t="shared" si="19"/>
        <v>#N/A</v>
      </c>
      <c r="W461" s="45" t="e">
        <f t="shared" si="20"/>
        <v>#N/A</v>
      </c>
      <c r="X461" s="20" t="e">
        <f t="shared" si="21"/>
        <v>#N/A</v>
      </c>
      <c r="Y461" s="46" t="e">
        <f t="shared" si="24"/>
        <v>#N/A</v>
      </c>
      <c r="Z461" s="39" t="e">
        <f t="shared" si="22"/>
        <v>#N/A</v>
      </c>
      <c r="AA461" s="39" t="e">
        <f t="shared" si="23"/>
        <v>#N/A</v>
      </c>
      <c r="AB461" s="39"/>
      <c r="AC461" s="48" t="e">
        <f t="shared" si="25"/>
        <v>#N/A</v>
      </c>
    </row>
    <row r="462" spans="1:29" ht="12.5" x14ac:dyDescent="0.25">
      <c r="A462" s="36"/>
      <c r="B462" s="33"/>
      <c r="C462" s="33"/>
      <c r="D462" s="33"/>
      <c r="E462" s="35"/>
      <c r="F462" s="21"/>
      <c r="G462" s="22" t="e">
        <f>VLOOKUP(E462,'Court List'!$A:$C,2,0)</f>
        <v>#N/A</v>
      </c>
      <c r="H462" s="33"/>
      <c r="I462" s="33"/>
      <c r="J462" s="44" t="e">
        <f t="shared" si="16"/>
        <v>#N/A</v>
      </c>
      <c r="K462" s="36"/>
      <c r="L462" s="18">
        <f>SUM('Shuttle Count - Supreme (Nov 20'!C462:D462)</f>
        <v>0</v>
      </c>
      <c r="M462" s="18" t="e">
        <f>VLOOKUP(K462,'Shuttle Purchase'!A:C,3,0)</f>
        <v>#N/A</v>
      </c>
      <c r="N462" s="44" t="e">
        <f t="shared" si="26"/>
        <v>#N/A</v>
      </c>
      <c r="O462" s="24" t="e">
        <f>VLOOKUP(E462,'Court List'!$A:$C,3,0)</f>
        <v>#N/A</v>
      </c>
      <c r="P462" s="18">
        <f>COUNTIF('Pub List'!$C462:$T462,"&lt;&gt;")</f>
        <v>0</v>
      </c>
      <c r="Q462" s="20" t="e">
        <f t="shared" si="17"/>
        <v>#N/A</v>
      </c>
      <c r="R462" s="36"/>
      <c r="S462" s="18">
        <f>COUNTIF('Member List'!$C462:$J462,"&lt;&gt;")</f>
        <v>0</v>
      </c>
      <c r="T462" s="35"/>
      <c r="U462" s="24">
        <f t="shared" si="18"/>
        <v>0</v>
      </c>
      <c r="V462" s="18" t="e">
        <f t="shared" si="19"/>
        <v>#N/A</v>
      </c>
      <c r="W462" s="45" t="e">
        <f t="shared" si="20"/>
        <v>#N/A</v>
      </c>
      <c r="X462" s="20" t="e">
        <f t="shared" si="21"/>
        <v>#N/A</v>
      </c>
      <c r="Y462" s="46" t="e">
        <f t="shared" si="24"/>
        <v>#N/A</v>
      </c>
      <c r="Z462" s="39" t="e">
        <f t="shared" si="22"/>
        <v>#N/A</v>
      </c>
      <c r="AA462" s="39" t="e">
        <f t="shared" si="23"/>
        <v>#N/A</v>
      </c>
      <c r="AB462" s="39"/>
      <c r="AC462" s="48" t="e">
        <f t="shared" si="25"/>
        <v>#N/A</v>
      </c>
    </row>
    <row r="463" spans="1:29" ht="12.5" x14ac:dyDescent="0.25">
      <c r="A463" s="36"/>
      <c r="B463" s="33"/>
      <c r="C463" s="33"/>
      <c r="D463" s="33"/>
      <c r="E463" s="35"/>
      <c r="F463" s="21"/>
      <c r="G463" s="22" t="e">
        <f>VLOOKUP(E463,'Court List'!$A:$C,2,0)</f>
        <v>#N/A</v>
      </c>
      <c r="H463" s="33"/>
      <c r="I463" s="33"/>
      <c r="J463" s="44" t="e">
        <f t="shared" si="16"/>
        <v>#N/A</v>
      </c>
      <c r="K463" s="36"/>
      <c r="L463" s="18">
        <f>SUM('Shuttle Count - Supreme (Nov 20'!C463:D463)</f>
        <v>0</v>
      </c>
      <c r="M463" s="18" t="e">
        <f>VLOOKUP(K463,'Shuttle Purchase'!A:C,3,0)</f>
        <v>#N/A</v>
      </c>
      <c r="N463" s="44" t="e">
        <f t="shared" si="26"/>
        <v>#N/A</v>
      </c>
      <c r="O463" s="24" t="e">
        <f>VLOOKUP(E463,'Court List'!$A:$C,3,0)</f>
        <v>#N/A</v>
      </c>
      <c r="P463" s="18">
        <f>COUNTIF('Pub List'!$C463:$T463,"&lt;&gt;")</f>
        <v>0</v>
      </c>
      <c r="Q463" s="20" t="e">
        <f t="shared" si="17"/>
        <v>#N/A</v>
      </c>
      <c r="R463" s="36"/>
      <c r="S463" s="18">
        <f>COUNTIF('Member List'!$C463:$J463,"&lt;&gt;")</f>
        <v>0</v>
      </c>
      <c r="T463" s="35"/>
      <c r="U463" s="24">
        <f t="shared" si="18"/>
        <v>0</v>
      </c>
      <c r="V463" s="18" t="e">
        <f t="shared" si="19"/>
        <v>#N/A</v>
      </c>
      <c r="W463" s="45" t="e">
        <f t="shared" si="20"/>
        <v>#N/A</v>
      </c>
      <c r="X463" s="20" t="e">
        <f t="shared" si="21"/>
        <v>#N/A</v>
      </c>
      <c r="Y463" s="46" t="e">
        <f t="shared" si="24"/>
        <v>#N/A</v>
      </c>
      <c r="Z463" s="39" t="e">
        <f t="shared" si="22"/>
        <v>#N/A</v>
      </c>
      <c r="AA463" s="39" t="e">
        <f t="shared" si="23"/>
        <v>#N/A</v>
      </c>
      <c r="AB463" s="39"/>
      <c r="AC463" s="48" t="e">
        <f t="shared" si="25"/>
        <v>#N/A</v>
      </c>
    </row>
    <row r="464" spans="1:29" ht="12.5" x14ac:dyDescent="0.25">
      <c r="A464" s="36"/>
      <c r="B464" s="33"/>
      <c r="C464" s="33"/>
      <c r="D464" s="33"/>
      <c r="E464" s="35"/>
      <c r="F464" s="21"/>
      <c r="G464" s="22" t="e">
        <f>VLOOKUP(E464,'Court List'!$A:$C,2,0)</f>
        <v>#N/A</v>
      </c>
      <c r="H464" s="33"/>
      <c r="I464" s="33"/>
      <c r="J464" s="44" t="e">
        <f t="shared" si="16"/>
        <v>#N/A</v>
      </c>
      <c r="K464" s="36"/>
      <c r="L464" s="18">
        <f>SUM('Shuttle Count - Supreme (Nov 20'!C464:D464)</f>
        <v>0</v>
      </c>
      <c r="M464" s="18" t="e">
        <f>VLOOKUP(K464,'Shuttle Purchase'!A:C,3,0)</f>
        <v>#N/A</v>
      </c>
      <c r="N464" s="44" t="e">
        <f t="shared" si="26"/>
        <v>#N/A</v>
      </c>
      <c r="O464" s="24" t="e">
        <f>VLOOKUP(E464,'Court List'!$A:$C,3,0)</f>
        <v>#N/A</v>
      </c>
      <c r="P464" s="18">
        <f>COUNTIF('Pub List'!$C464:$T464,"&lt;&gt;")</f>
        <v>0</v>
      </c>
      <c r="Q464" s="20" t="e">
        <f t="shared" si="17"/>
        <v>#N/A</v>
      </c>
      <c r="R464" s="36"/>
      <c r="S464" s="18">
        <f>COUNTIF('Member List'!$C464:$J464,"&lt;&gt;")</f>
        <v>0</v>
      </c>
      <c r="T464" s="35"/>
      <c r="U464" s="24">
        <f t="shared" si="18"/>
        <v>0</v>
      </c>
      <c r="V464" s="18" t="e">
        <f t="shared" si="19"/>
        <v>#N/A</v>
      </c>
      <c r="W464" s="45" t="e">
        <f t="shared" si="20"/>
        <v>#N/A</v>
      </c>
      <c r="X464" s="20" t="e">
        <f t="shared" si="21"/>
        <v>#N/A</v>
      </c>
      <c r="Y464" s="46" t="e">
        <f t="shared" si="24"/>
        <v>#N/A</v>
      </c>
      <c r="Z464" s="39" t="e">
        <f t="shared" si="22"/>
        <v>#N/A</v>
      </c>
      <c r="AA464" s="39" t="e">
        <f t="shared" si="23"/>
        <v>#N/A</v>
      </c>
      <c r="AB464" s="39"/>
      <c r="AC464" s="48" t="e">
        <f t="shared" si="25"/>
        <v>#N/A</v>
      </c>
    </row>
    <row r="465" spans="1:29" ht="12.5" x14ac:dyDescent="0.25">
      <c r="A465" s="36"/>
      <c r="B465" s="33"/>
      <c r="C465" s="33"/>
      <c r="D465" s="33"/>
      <c r="E465" s="35"/>
      <c r="F465" s="21"/>
      <c r="G465" s="22" t="e">
        <f>VLOOKUP(E465,'Court List'!$A:$C,2,0)</f>
        <v>#N/A</v>
      </c>
      <c r="H465" s="33"/>
      <c r="I465" s="33"/>
      <c r="J465" s="44" t="e">
        <f t="shared" si="16"/>
        <v>#N/A</v>
      </c>
      <c r="K465" s="36"/>
      <c r="L465" s="18">
        <f>SUM('Shuttle Count - Supreme (Nov 20'!C465:D465)</f>
        <v>0</v>
      </c>
      <c r="M465" s="18" t="e">
        <f>VLOOKUP(K465,'Shuttle Purchase'!A:C,3,0)</f>
        <v>#N/A</v>
      </c>
      <c r="N465" s="44" t="e">
        <f t="shared" si="26"/>
        <v>#N/A</v>
      </c>
      <c r="O465" s="24" t="e">
        <f>VLOOKUP(E465,'Court List'!$A:$C,3,0)</f>
        <v>#N/A</v>
      </c>
      <c r="P465" s="18">
        <f>COUNTIF('Pub List'!$C465:$T465,"&lt;&gt;")</f>
        <v>0</v>
      </c>
      <c r="Q465" s="20" t="e">
        <f t="shared" si="17"/>
        <v>#N/A</v>
      </c>
      <c r="R465" s="36"/>
      <c r="S465" s="18">
        <f>COUNTIF('Member List'!$C465:$J465,"&lt;&gt;")</f>
        <v>0</v>
      </c>
      <c r="T465" s="35"/>
      <c r="U465" s="24">
        <f t="shared" si="18"/>
        <v>0</v>
      </c>
      <c r="V465" s="18" t="e">
        <f t="shared" si="19"/>
        <v>#N/A</v>
      </c>
      <c r="W465" s="45" t="e">
        <f t="shared" si="20"/>
        <v>#N/A</v>
      </c>
      <c r="X465" s="20" t="e">
        <f t="shared" si="21"/>
        <v>#N/A</v>
      </c>
      <c r="Y465" s="46" t="e">
        <f t="shared" si="24"/>
        <v>#N/A</v>
      </c>
      <c r="Z465" s="39" t="e">
        <f t="shared" si="22"/>
        <v>#N/A</v>
      </c>
      <c r="AA465" s="39" t="e">
        <f t="shared" si="23"/>
        <v>#N/A</v>
      </c>
      <c r="AB465" s="39"/>
      <c r="AC465" s="48" t="e">
        <f t="shared" si="25"/>
        <v>#N/A</v>
      </c>
    </row>
    <row r="466" spans="1:29" ht="12.5" x14ac:dyDescent="0.25">
      <c r="A466" s="36"/>
      <c r="B466" s="33"/>
      <c r="C466" s="33"/>
      <c r="D466" s="33"/>
      <c r="E466" s="35"/>
      <c r="F466" s="21"/>
      <c r="G466" s="22" t="e">
        <f>VLOOKUP(E466,'Court List'!$A:$C,2,0)</f>
        <v>#N/A</v>
      </c>
      <c r="H466" s="33"/>
      <c r="I466" s="33"/>
      <c r="J466" s="44" t="e">
        <f t="shared" si="16"/>
        <v>#N/A</v>
      </c>
      <c r="K466" s="36"/>
      <c r="L466" s="18">
        <f>SUM('Shuttle Count - Supreme (Nov 20'!C466:D466)</f>
        <v>0</v>
      </c>
      <c r="M466" s="18" t="e">
        <f>VLOOKUP(K466,'Shuttle Purchase'!A:C,3,0)</f>
        <v>#N/A</v>
      </c>
      <c r="N466" s="44" t="e">
        <f t="shared" si="26"/>
        <v>#N/A</v>
      </c>
      <c r="O466" s="24" t="e">
        <f>VLOOKUP(E466,'Court List'!$A:$C,3,0)</f>
        <v>#N/A</v>
      </c>
      <c r="P466" s="18">
        <f>COUNTIF('Pub List'!$C466:$T466,"&lt;&gt;")</f>
        <v>0</v>
      </c>
      <c r="Q466" s="20" t="e">
        <f t="shared" si="17"/>
        <v>#N/A</v>
      </c>
      <c r="R466" s="36"/>
      <c r="S466" s="18">
        <f>COUNTIF('Member List'!$C466:$J466,"&lt;&gt;")</f>
        <v>0</v>
      </c>
      <c r="T466" s="35"/>
      <c r="U466" s="24">
        <f t="shared" si="18"/>
        <v>0</v>
      </c>
      <c r="V466" s="18" t="e">
        <f t="shared" si="19"/>
        <v>#N/A</v>
      </c>
      <c r="W466" s="45" t="e">
        <f t="shared" si="20"/>
        <v>#N/A</v>
      </c>
      <c r="X466" s="20" t="e">
        <f t="shared" si="21"/>
        <v>#N/A</v>
      </c>
      <c r="Y466" s="46" t="e">
        <f t="shared" si="24"/>
        <v>#N/A</v>
      </c>
      <c r="Z466" s="39" t="e">
        <f t="shared" si="22"/>
        <v>#N/A</v>
      </c>
      <c r="AA466" s="39" t="e">
        <f t="shared" si="23"/>
        <v>#N/A</v>
      </c>
      <c r="AB466" s="39"/>
      <c r="AC466" s="48" t="e">
        <f t="shared" si="25"/>
        <v>#N/A</v>
      </c>
    </row>
    <row r="467" spans="1:29" ht="12.5" x14ac:dyDescent="0.25">
      <c r="A467" s="36"/>
      <c r="B467" s="33"/>
      <c r="C467" s="33"/>
      <c r="D467" s="33"/>
      <c r="E467" s="35"/>
      <c r="F467" s="21"/>
      <c r="G467" s="22" t="e">
        <f>VLOOKUP(E467,'Court List'!$A:$C,2,0)</f>
        <v>#N/A</v>
      </c>
      <c r="H467" s="33"/>
      <c r="I467" s="33"/>
      <c r="J467" s="44" t="e">
        <f t="shared" si="16"/>
        <v>#N/A</v>
      </c>
      <c r="K467" s="36"/>
      <c r="L467" s="18">
        <f>SUM('Shuttle Count - Supreme (Nov 20'!C467:D467)</f>
        <v>0</v>
      </c>
      <c r="M467" s="18" t="e">
        <f>VLOOKUP(K467,'Shuttle Purchase'!A:C,3,0)</f>
        <v>#N/A</v>
      </c>
      <c r="N467" s="44" t="e">
        <f t="shared" si="26"/>
        <v>#N/A</v>
      </c>
      <c r="O467" s="24" t="e">
        <f>VLOOKUP(E467,'Court List'!$A:$C,3,0)</f>
        <v>#N/A</v>
      </c>
      <c r="P467" s="18">
        <f>COUNTIF('Pub List'!$C467:$T467,"&lt;&gt;")</f>
        <v>0</v>
      </c>
      <c r="Q467" s="20" t="e">
        <f t="shared" si="17"/>
        <v>#N/A</v>
      </c>
      <c r="R467" s="36"/>
      <c r="S467" s="18">
        <f>COUNTIF('Member List'!$C467:$J467,"&lt;&gt;")</f>
        <v>0</v>
      </c>
      <c r="T467" s="35"/>
      <c r="U467" s="24">
        <f t="shared" si="18"/>
        <v>0</v>
      </c>
      <c r="V467" s="18" t="e">
        <f t="shared" si="19"/>
        <v>#N/A</v>
      </c>
      <c r="W467" s="45" t="e">
        <f t="shared" si="20"/>
        <v>#N/A</v>
      </c>
      <c r="X467" s="20" t="e">
        <f t="shared" si="21"/>
        <v>#N/A</v>
      </c>
      <c r="Y467" s="46" t="e">
        <f t="shared" si="24"/>
        <v>#N/A</v>
      </c>
      <c r="Z467" s="39" t="e">
        <f t="shared" si="22"/>
        <v>#N/A</v>
      </c>
      <c r="AA467" s="39" t="e">
        <f t="shared" si="23"/>
        <v>#N/A</v>
      </c>
      <c r="AB467" s="39"/>
      <c r="AC467" s="48" t="e">
        <f t="shared" si="25"/>
        <v>#N/A</v>
      </c>
    </row>
    <row r="468" spans="1:29" ht="12.5" x14ac:dyDescent="0.25">
      <c r="A468" s="36"/>
      <c r="B468" s="33"/>
      <c r="C468" s="33"/>
      <c r="D468" s="33"/>
      <c r="E468" s="35"/>
      <c r="F468" s="21"/>
      <c r="G468" s="22" t="e">
        <f>VLOOKUP(E468,'Court List'!$A:$C,2,0)</f>
        <v>#N/A</v>
      </c>
      <c r="H468" s="33"/>
      <c r="I468" s="33"/>
      <c r="J468" s="44" t="e">
        <f t="shared" si="16"/>
        <v>#N/A</v>
      </c>
      <c r="K468" s="36"/>
      <c r="L468" s="18">
        <f>SUM('Shuttle Count - Supreme (Nov 20'!C468:D468)</f>
        <v>0</v>
      </c>
      <c r="M468" s="18" t="e">
        <f>VLOOKUP(K468,'Shuttle Purchase'!A:C,3,0)</f>
        <v>#N/A</v>
      </c>
      <c r="N468" s="44" t="e">
        <f t="shared" si="26"/>
        <v>#N/A</v>
      </c>
      <c r="O468" s="24" t="e">
        <f>VLOOKUP(E468,'Court List'!$A:$C,3,0)</f>
        <v>#N/A</v>
      </c>
      <c r="P468" s="18">
        <f>COUNTIF('Pub List'!$C468:$T468,"&lt;&gt;")</f>
        <v>0</v>
      </c>
      <c r="Q468" s="20" t="e">
        <f t="shared" si="17"/>
        <v>#N/A</v>
      </c>
      <c r="R468" s="36"/>
      <c r="S468" s="18">
        <f>COUNTIF('Member List'!$C468:$J468,"&lt;&gt;")</f>
        <v>0</v>
      </c>
      <c r="T468" s="35"/>
      <c r="U468" s="24">
        <f t="shared" si="18"/>
        <v>0</v>
      </c>
      <c r="V468" s="18" t="e">
        <f t="shared" si="19"/>
        <v>#N/A</v>
      </c>
      <c r="W468" s="45" t="e">
        <f t="shared" si="20"/>
        <v>#N/A</v>
      </c>
      <c r="X468" s="20" t="e">
        <f t="shared" si="21"/>
        <v>#N/A</v>
      </c>
      <c r="Y468" s="46" t="e">
        <f t="shared" si="24"/>
        <v>#N/A</v>
      </c>
      <c r="Z468" s="39" t="e">
        <f t="shared" si="22"/>
        <v>#N/A</v>
      </c>
      <c r="AA468" s="39" t="e">
        <f t="shared" si="23"/>
        <v>#N/A</v>
      </c>
      <c r="AB468" s="39"/>
      <c r="AC468" s="48" t="e">
        <f t="shared" si="25"/>
        <v>#N/A</v>
      </c>
    </row>
    <row r="469" spans="1:29" ht="12.5" x14ac:dyDescent="0.25">
      <c r="A469" s="36"/>
      <c r="B469" s="33"/>
      <c r="C469" s="33"/>
      <c r="D469" s="33"/>
      <c r="E469" s="35"/>
      <c r="F469" s="21"/>
      <c r="G469" s="22" t="e">
        <f>VLOOKUP(E469,'Court List'!$A:$C,2,0)</f>
        <v>#N/A</v>
      </c>
      <c r="H469" s="33"/>
      <c r="I469" s="33"/>
      <c r="J469" s="44" t="e">
        <f t="shared" si="16"/>
        <v>#N/A</v>
      </c>
      <c r="K469" s="36"/>
      <c r="L469" s="18">
        <f>SUM('Shuttle Count - Supreme (Nov 20'!C469:D469)</f>
        <v>0</v>
      </c>
      <c r="M469" s="18" t="e">
        <f>VLOOKUP(K469,'Shuttle Purchase'!A:C,3,0)</f>
        <v>#N/A</v>
      </c>
      <c r="N469" s="44" t="e">
        <f t="shared" si="26"/>
        <v>#N/A</v>
      </c>
      <c r="O469" s="24" t="e">
        <f>VLOOKUP(E469,'Court List'!$A:$C,3,0)</f>
        <v>#N/A</v>
      </c>
      <c r="P469" s="18">
        <f>COUNTIF('Pub List'!$C469:$T469,"&lt;&gt;")</f>
        <v>0</v>
      </c>
      <c r="Q469" s="20" t="e">
        <f t="shared" si="17"/>
        <v>#N/A</v>
      </c>
      <c r="R469" s="36"/>
      <c r="S469" s="18">
        <f>COUNTIF('Member List'!$C469:$J469,"&lt;&gt;")</f>
        <v>0</v>
      </c>
      <c r="T469" s="35"/>
      <c r="U469" s="24">
        <f t="shared" si="18"/>
        <v>0</v>
      </c>
      <c r="V469" s="18" t="e">
        <f t="shared" si="19"/>
        <v>#N/A</v>
      </c>
      <c r="W469" s="45" t="e">
        <f t="shared" si="20"/>
        <v>#N/A</v>
      </c>
      <c r="X469" s="20" t="e">
        <f t="shared" si="21"/>
        <v>#N/A</v>
      </c>
      <c r="Y469" s="46" t="e">
        <f t="shared" si="24"/>
        <v>#N/A</v>
      </c>
      <c r="Z469" s="39" t="e">
        <f t="shared" si="22"/>
        <v>#N/A</v>
      </c>
      <c r="AA469" s="39" t="e">
        <f t="shared" si="23"/>
        <v>#N/A</v>
      </c>
      <c r="AB469" s="39"/>
      <c r="AC469" s="48" t="e">
        <f t="shared" si="25"/>
        <v>#N/A</v>
      </c>
    </row>
    <row r="470" spans="1:29" ht="12.5" x14ac:dyDescent="0.25">
      <c r="A470" s="36"/>
      <c r="B470" s="33"/>
      <c r="C470" s="33"/>
      <c r="D470" s="33"/>
      <c r="E470" s="35"/>
      <c r="F470" s="21"/>
      <c r="G470" s="22" t="e">
        <f>VLOOKUP(E470,'Court List'!$A:$C,2,0)</f>
        <v>#N/A</v>
      </c>
      <c r="H470" s="33"/>
      <c r="I470" s="33"/>
      <c r="J470" s="44" t="e">
        <f t="shared" si="16"/>
        <v>#N/A</v>
      </c>
      <c r="K470" s="36"/>
      <c r="L470" s="18">
        <f>SUM('Shuttle Count - Supreme (Nov 20'!C470:D470)</f>
        <v>0</v>
      </c>
      <c r="M470" s="18" t="e">
        <f>VLOOKUP(K470,'Shuttle Purchase'!A:C,3,0)</f>
        <v>#N/A</v>
      </c>
      <c r="N470" s="44" t="e">
        <f t="shared" si="26"/>
        <v>#N/A</v>
      </c>
      <c r="O470" s="24" t="e">
        <f>VLOOKUP(E470,'Court List'!$A:$C,3,0)</f>
        <v>#N/A</v>
      </c>
      <c r="P470" s="18">
        <f>COUNTIF('Pub List'!$C470:$T470,"&lt;&gt;")</f>
        <v>0</v>
      </c>
      <c r="Q470" s="20" t="e">
        <f t="shared" si="17"/>
        <v>#N/A</v>
      </c>
      <c r="R470" s="36"/>
      <c r="S470" s="18">
        <f>COUNTIF('Member List'!$C470:$J470,"&lt;&gt;")</f>
        <v>0</v>
      </c>
      <c r="T470" s="35"/>
      <c r="U470" s="24">
        <f t="shared" si="18"/>
        <v>0</v>
      </c>
      <c r="V470" s="18" t="e">
        <f t="shared" si="19"/>
        <v>#N/A</v>
      </c>
      <c r="W470" s="45" t="e">
        <f t="shared" si="20"/>
        <v>#N/A</v>
      </c>
      <c r="X470" s="20" t="e">
        <f t="shared" si="21"/>
        <v>#N/A</v>
      </c>
      <c r="Y470" s="46" t="e">
        <f t="shared" si="24"/>
        <v>#N/A</v>
      </c>
      <c r="Z470" s="39" t="e">
        <f t="shared" si="22"/>
        <v>#N/A</v>
      </c>
      <c r="AA470" s="39" t="e">
        <f t="shared" si="23"/>
        <v>#N/A</v>
      </c>
      <c r="AB470" s="39"/>
      <c r="AC470" s="48" t="e">
        <f t="shared" si="25"/>
        <v>#N/A</v>
      </c>
    </row>
    <row r="471" spans="1:29" ht="12.5" x14ac:dyDescent="0.25">
      <c r="A471" s="36"/>
      <c r="B471" s="33"/>
      <c r="C471" s="33"/>
      <c r="D471" s="33"/>
      <c r="E471" s="35"/>
      <c r="F471" s="21"/>
      <c r="G471" s="22" t="e">
        <f>VLOOKUP(E471,'Court List'!$A:$C,2,0)</f>
        <v>#N/A</v>
      </c>
      <c r="H471" s="33"/>
      <c r="I471" s="33"/>
      <c r="J471" s="44" t="e">
        <f t="shared" si="16"/>
        <v>#N/A</v>
      </c>
      <c r="K471" s="36"/>
      <c r="L471" s="18">
        <f>SUM('Shuttle Count - Supreme (Nov 20'!C471:D471)</f>
        <v>0</v>
      </c>
      <c r="M471" s="18" t="e">
        <f>VLOOKUP(K471,'Shuttle Purchase'!A:C,3,0)</f>
        <v>#N/A</v>
      </c>
      <c r="N471" s="44" t="e">
        <f t="shared" si="26"/>
        <v>#N/A</v>
      </c>
      <c r="O471" s="24" t="e">
        <f>VLOOKUP(E471,'Court List'!$A:$C,3,0)</f>
        <v>#N/A</v>
      </c>
      <c r="P471" s="18">
        <f>COUNTIF('Pub List'!$C471:$T471,"&lt;&gt;")</f>
        <v>0</v>
      </c>
      <c r="Q471" s="20" t="e">
        <f t="shared" si="17"/>
        <v>#N/A</v>
      </c>
      <c r="R471" s="36"/>
      <c r="S471" s="18">
        <f>COUNTIF('Member List'!$C471:$J471,"&lt;&gt;")</f>
        <v>0</v>
      </c>
      <c r="T471" s="35"/>
      <c r="U471" s="24">
        <f t="shared" si="18"/>
        <v>0</v>
      </c>
      <c r="V471" s="18" t="e">
        <f t="shared" si="19"/>
        <v>#N/A</v>
      </c>
      <c r="W471" s="45" t="e">
        <f t="shared" si="20"/>
        <v>#N/A</v>
      </c>
      <c r="X471" s="20" t="e">
        <f t="shared" si="21"/>
        <v>#N/A</v>
      </c>
      <c r="Y471" s="46" t="e">
        <f t="shared" si="24"/>
        <v>#N/A</v>
      </c>
      <c r="Z471" s="39" t="e">
        <f t="shared" si="22"/>
        <v>#N/A</v>
      </c>
      <c r="AA471" s="39" t="e">
        <f t="shared" si="23"/>
        <v>#N/A</v>
      </c>
      <c r="AB471" s="39"/>
      <c r="AC471" s="48" t="e">
        <f t="shared" si="25"/>
        <v>#N/A</v>
      </c>
    </row>
    <row r="472" spans="1:29" ht="12.5" x14ac:dyDescent="0.25">
      <c r="A472" s="36"/>
      <c r="B472" s="33"/>
      <c r="C472" s="33"/>
      <c r="D472" s="33"/>
      <c r="E472" s="35"/>
      <c r="F472" s="21"/>
      <c r="G472" s="22" t="e">
        <f>VLOOKUP(E472,'Court List'!$A:$C,2,0)</f>
        <v>#N/A</v>
      </c>
      <c r="H472" s="33"/>
      <c r="I472" s="33"/>
      <c r="J472" s="44" t="e">
        <f t="shared" si="16"/>
        <v>#N/A</v>
      </c>
      <c r="K472" s="36"/>
      <c r="L472" s="18">
        <f>SUM('Shuttle Count - Supreme (Nov 20'!C472:D472)</f>
        <v>0</v>
      </c>
      <c r="M472" s="18" t="e">
        <f>VLOOKUP(K472,'Shuttle Purchase'!A:C,3,0)</f>
        <v>#N/A</v>
      </c>
      <c r="N472" s="44" t="e">
        <f t="shared" si="26"/>
        <v>#N/A</v>
      </c>
      <c r="O472" s="24" t="e">
        <f>VLOOKUP(E472,'Court List'!$A:$C,3,0)</f>
        <v>#N/A</v>
      </c>
      <c r="P472" s="18">
        <f>COUNTIF('Pub List'!$C472:$T472,"&lt;&gt;")</f>
        <v>0</v>
      </c>
      <c r="Q472" s="20" t="e">
        <f t="shared" si="17"/>
        <v>#N/A</v>
      </c>
      <c r="R472" s="36"/>
      <c r="S472" s="18">
        <f>COUNTIF('Member List'!$C472:$J472,"&lt;&gt;")</f>
        <v>0</v>
      </c>
      <c r="T472" s="35"/>
      <c r="U472" s="24">
        <f t="shared" si="18"/>
        <v>0</v>
      </c>
      <c r="V472" s="18" t="e">
        <f t="shared" si="19"/>
        <v>#N/A</v>
      </c>
      <c r="W472" s="45" t="e">
        <f t="shared" si="20"/>
        <v>#N/A</v>
      </c>
      <c r="X472" s="20" t="e">
        <f t="shared" si="21"/>
        <v>#N/A</v>
      </c>
      <c r="Y472" s="46" t="e">
        <f t="shared" si="24"/>
        <v>#N/A</v>
      </c>
      <c r="Z472" s="39" t="e">
        <f t="shared" si="22"/>
        <v>#N/A</v>
      </c>
      <c r="AA472" s="39" t="e">
        <f t="shared" si="23"/>
        <v>#N/A</v>
      </c>
      <c r="AB472" s="39"/>
      <c r="AC472" s="48" t="e">
        <f t="shared" si="25"/>
        <v>#N/A</v>
      </c>
    </row>
    <row r="473" spans="1:29" ht="12.5" x14ac:dyDescent="0.25">
      <c r="A473" s="36"/>
      <c r="B473" s="33"/>
      <c r="C473" s="33"/>
      <c r="D473" s="33"/>
      <c r="E473" s="35"/>
      <c r="F473" s="21"/>
      <c r="G473" s="22" t="e">
        <f>VLOOKUP(E473,'Court List'!$A:$C,2,0)</f>
        <v>#N/A</v>
      </c>
      <c r="H473" s="33"/>
      <c r="I473" s="33"/>
      <c r="J473" s="44" t="e">
        <f t="shared" si="16"/>
        <v>#N/A</v>
      </c>
      <c r="K473" s="36"/>
      <c r="L473" s="18">
        <f>SUM('Shuttle Count - Supreme (Nov 20'!C473:D473)</f>
        <v>0</v>
      </c>
      <c r="M473" s="18" t="e">
        <f>VLOOKUP(K473,'Shuttle Purchase'!A:C,3,0)</f>
        <v>#N/A</v>
      </c>
      <c r="N473" s="44" t="e">
        <f t="shared" si="26"/>
        <v>#N/A</v>
      </c>
      <c r="O473" s="24" t="e">
        <f>VLOOKUP(E473,'Court List'!$A:$C,3,0)</f>
        <v>#N/A</v>
      </c>
      <c r="P473" s="18">
        <f>COUNTIF('Pub List'!$C473:$T473,"&lt;&gt;")</f>
        <v>0</v>
      </c>
      <c r="Q473" s="20" t="e">
        <f t="shared" si="17"/>
        <v>#N/A</v>
      </c>
      <c r="R473" s="36"/>
      <c r="S473" s="18">
        <f>COUNTIF('Member List'!$C473:$J473,"&lt;&gt;")</f>
        <v>0</v>
      </c>
      <c r="T473" s="35"/>
      <c r="U473" s="24">
        <f t="shared" si="18"/>
        <v>0</v>
      </c>
      <c r="V473" s="18" t="e">
        <f t="shared" si="19"/>
        <v>#N/A</v>
      </c>
      <c r="W473" s="45" t="e">
        <f t="shared" si="20"/>
        <v>#N/A</v>
      </c>
      <c r="X473" s="20" t="e">
        <f t="shared" si="21"/>
        <v>#N/A</v>
      </c>
      <c r="Y473" s="46" t="e">
        <f t="shared" si="24"/>
        <v>#N/A</v>
      </c>
      <c r="Z473" s="39" t="e">
        <f t="shared" si="22"/>
        <v>#N/A</v>
      </c>
      <c r="AA473" s="39" t="e">
        <f t="shared" si="23"/>
        <v>#N/A</v>
      </c>
      <c r="AB473" s="39"/>
      <c r="AC473" s="48" t="e">
        <f t="shared" si="25"/>
        <v>#N/A</v>
      </c>
    </row>
    <row r="474" spans="1:29" ht="12.5" x14ac:dyDescent="0.25">
      <c r="A474" s="36"/>
      <c r="B474" s="33"/>
      <c r="C474" s="33"/>
      <c r="D474" s="33"/>
      <c r="E474" s="35"/>
      <c r="F474" s="21"/>
      <c r="G474" s="22" t="e">
        <f>VLOOKUP(E474,'Court List'!$A:$C,2,0)</f>
        <v>#N/A</v>
      </c>
      <c r="H474" s="33"/>
      <c r="I474" s="33"/>
      <c r="J474" s="44" t="e">
        <f t="shared" si="16"/>
        <v>#N/A</v>
      </c>
      <c r="K474" s="36"/>
      <c r="L474" s="18">
        <f>SUM('Shuttle Count - Supreme (Nov 20'!C474:D474)</f>
        <v>0</v>
      </c>
      <c r="M474" s="18" t="e">
        <f>VLOOKUP(K474,'Shuttle Purchase'!A:C,3,0)</f>
        <v>#N/A</v>
      </c>
      <c r="N474" s="44" t="e">
        <f t="shared" si="26"/>
        <v>#N/A</v>
      </c>
      <c r="O474" s="24" t="e">
        <f>VLOOKUP(E474,'Court List'!$A:$C,3,0)</f>
        <v>#N/A</v>
      </c>
      <c r="P474" s="18">
        <f>COUNTIF('Pub List'!$C474:$T474,"&lt;&gt;")</f>
        <v>0</v>
      </c>
      <c r="Q474" s="20" t="e">
        <f t="shared" si="17"/>
        <v>#N/A</v>
      </c>
      <c r="R474" s="36"/>
      <c r="S474" s="18">
        <f>COUNTIF('Member List'!$C474:$J474,"&lt;&gt;")</f>
        <v>0</v>
      </c>
      <c r="T474" s="35"/>
      <c r="U474" s="24">
        <f t="shared" si="18"/>
        <v>0</v>
      </c>
      <c r="V474" s="18" t="e">
        <f t="shared" si="19"/>
        <v>#N/A</v>
      </c>
      <c r="W474" s="45" t="e">
        <f t="shared" si="20"/>
        <v>#N/A</v>
      </c>
      <c r="X474" s="20" t="e">
        <f t="shared" si="21"/>
        <v>#N/A</v>
      </c>
      <c r="Y474" s="46" t="e">
        <f t="shared" si="24"/>
        <v>#N/A</v>
      </c>
      <c r="Z474" s="39" t="e">
        <f t="shared" si="22"/>
        <v>#N/A</v>
      </c>
      <c r="AA474" s="39" t="e">
        <f t="shared" si="23"/>
        <v>#N/A</v>
      </c>
      <c r="AB474" s="39"/>
      <c r="AC474" s="48" t="e">
        <f t="shared" si="25"/>
        <v>#N/A</v>
      </c>
    </row>
    <row r="475" spans="1:29" ht="12.5" x14ac:dyDescent="0.25">
      <c r="A475" s="36"/>
      <c r="B475" s="33"/>
      <c r="C475" s="33"/>
      <c r="D475" s="33"/>
      <c r="E475" s="35"/>
      <c r="F475" s="21"/>
      <c r="G475" s="22" t="e">
        <f>VLOOKUP(E475,'Court List'!$A:$C,2,0)</f>
        <v>#N/A</v>
      </c>
      <c r="H475" s="33"/>
      <c r="I475" s="33"/>
      <c r="J475" s="44" t="e">
        <f t="shared" si="16"/>
        <v>#N/A</v>
      </c>
      <c r="K475" s="36"/>
      <c r="L475" s="18">
        <f>SUM('Shuttle Count - Supreme (Nov 20'!C475:D475)</f>
        <v>0</v>
      </c>
      <c r="M475" s="18" t="e">
        <f>VLOOKUP(K475,'Shuttle Purchase'!A:C,3,0)</f>
        <v>#N/A</v>
      </c>
      <c r="N475" s="44" t="e">
        <f t="shared" si="26"/>
        <v>#N/A</v>
      </c>
      <c r="O475" s="24" t="e">
        <f>VLOOKUP(E475,'Court List'!$A:$C,3,0)</f>
        <v>#N/A</v>
      </c>
      <c r="P475" s="18">
        <f>COUNTIF('Pub List'!$C475:$T475,"&lt;&gt;")</f>
        <v>0</v>
      </c>
      <c r="Q475" s="20" t="e">
        <f t="shared" si="17"/>
        <v>#N/A</v>
      </c>
      <c r="R475" s="36"/>
      <c r="S475" s="18">
        <f>COUNTIF('Member List'!$C475:$J475,"&lt;&gt;")</f>
        <v>0</v>
      </c>
      <c r="T475" s="35"/>
      <c r="U475" s="24">
        <f t="shared" si="18"/>
        <v>0</v>
      </c>
      <c r="V475" s="18" t="e">
        <f t="shared" si="19"/>
        <v>#N/A</v>
      </c>
      <c r="W475" s="45" t="e">
        <f t="shared" si="20"/>
        <v>#N/A</v>
      </c>
      <c r="X475" s="20" t="e">
        <f t="shared" si="21"/>
        <v>#N/A</v>
      </c>
      <c r="Y475" s="46" t="e">
        <f t="shared" si="24"/>
        <v>#N/A</v>
      </c>
      <c r="Z475" s="39" t="e">
        <f t="shared" si="22"/>
        <v>#N/A</v>
      </c>
      <c r="AA475" s="39" t="e">
        <f t="shared" si="23"/>
        <v>#N/A</v>
      </c>
      <c r="AB475" s="39"/>
      <c r="AC475" s="48" t="e">
        <f t="shared" si="25"/>
        <v>#N/A</v>
      </c>
    </row>
    <row r="476" spans="1:29" ht="12.5" x14ac:dyDescent="0.25">
      <c r="A476" s="36"/>
      <c r="B476" s="33"/>
      <c r="C476" s="33"/>
      <c r="D476" s="33"/>
      <c r="E476" s="35"/>
      <c r="F476" s="21"/>
      <c r="G476" s="22" t="e">
        <f>VLOOKUP(E476,'Court List'!$A:$C,2,0)</f>
        <v>#N/A</v>
      </c>
      <c r="H476" s="33"/>
      <c r="I476" s="33"/>
      <c r="J476" s="44" t="e">
        <f t="shared" si="16"/>
        <v>#N/A</v>
      </c>
      <c r="K476" s="36"/>
      <c r="L476" s="18">
        <f>SUM('Shuttle Count - Supreme (Nov 20'!C476:D476)</f>
        <v>0</v>
      </c>
      <c r="M476" s="18" t="e">
        <f>VLOOKUP(K476,'Shuttle Purchase'!A:C,3,0)</f>
        <v>#N/A</v>
      </c>
      <c r="N476" s="44" t="e">
        <f t="shared" si="26"/>
        <v>#N/A</v>
      </c>
      <c r="O476" s="24" t="e">
        <f>VLOOKUP(E476,'Court List'!$A:$C,3,0)</f>
        <v>#N/A</v>
      </c>
      <c r="P476" s="18">
        <f>COUNTIF('Pub List'!$C476:$T476,"&lt;&gt;")</f>
        <v>0</v>
      </c>
      <c r="Q476" s="20" t="e">
        <f t="shared" si="17"/>
        <v>#N/A</v>
      </c>
      <c r="R476" s="36"/>
      <c r="S476" s="18">
        <f>COUNTIF('Member List'!$C476:$J476,"&lt;&gt;")</f>
        <v>0</v>
      </c>
      <c r="T476" s="35"/>
      <c r="U476" s="24">
        <f t="shared" si="18"/>
        <v>0</v>
      </c>
      <c r="V476" s="18" t="e">
        <f t="shared" si="19"/>
        <v>#N/A</v>
      </c>
      <c r="W476" s="45" t="e">
        <f t="shared" si="20"/>
        <v>#N/A</v>
      </c>
      <c r="X476" s="20" t="e">
        <f t="shared" si="21"/>
        <v>#N/A</v>
      </c>
      <c r="Y476" s="46" t="e">
        <f t="shared" si="24"/>
        <v>#N/A</v>
      </c>
      <c r="Z476" s="39" t="e">
        <f t="shared" si="22"/>
        <v>#N/A</v>
      </c>
      <c r="AA476" s="39" t="e">
        <f t="shared" si="23"/>
        <v>#N/A</v>
      </c>
      <c r="AB476" s="39"/>
      <c r="AC476" s="48" t="e">
        <f t="shared" si="25"/>
        <v>#N/A</v>
      </c>
    </row>
    <row r="477" spans="1:29" ht="12.5" x14ac:dyDescent="0.25">
      <c r="A477" s="36"/>
      <c r="B477" s="33"/>
      <c r="C477" s="33"/>
      <c r="D477" s="33"/>
      <c r="E477" s="35"/>
      <c r="F477" s="21"/>
      <c r="G477" s="22" t="e">
        <f>VLOOKUP(E477,'Court List'!$A:$C,2,0)</f>
        <v>#N/A</v>
      </c>
      <c r="H477" s="33"/>
      <c r="I477" s="33"/>
      <c r="J477" s="44" t="e">
        <f t="shared" si="16"/>
        <v>#N/A</v>
      </c>
      <c r="K477" s="36"/>
      <c r="L477" s="18">
        <f>SUM('Shuttle Count - Supreme (Nov 20'!C477:D477)</f>
        <v>0</v>
      </c>
      <c r="M477" s="18" t="e">
        <f>VLOOKUP(K477,'Shuttle Purchase'!A:C,3,0)</f>
        <v>#N/A</v>
      </c>
      <c r="N477" s="44" t="e">
        <f t="shared" si="26"/>
        <v>#N/A</v>
      </c>
      <c r="O477" s="24" t="e">
        <f>VLOOKUP(E477,'Court List'!$A:$C,3,0)</f>
        <v>#N/A</v>
      </c>
      <c r="P477" s="18">
        <f>COUNTIF('Pub List'!$C477:$T477,"&lt;&gt;")</f>
        <v>0</v>
      </c>
      <c r="Q477" s="20" t="e">
        <f t="shared" si="17"/>
        <v>#N/A</v>
      </c>
      <c r="R477" s="36"/>
      <c r="S477" s="18">
        <f>COUNTIF('Member List'!$C477:$J477,"&lt;&gt;")</f>
        <v>0</v>
      </c>
      <c r="T477" s="35"/>
      <c r="U477" s="24">
        <f t="shared" si="18"/>
        <v>0</v>
      </c>
      <c r="V477" s="18" t="e">
        <f t="shared" si="19"/>
        <v>#N/A</v>
      </c>
      <c r="W477" s="45" t="e">
        <f t="shared" si="20"/>
        <v>#N/A</v>
      </c>
      <c r="X477" s="20" t="e">
        <f t="shared" si="21"/>
        <v>#N/A</v>
      </c>
      <c r="Y477" s="46" t="e">
        <f t="shared" si="24"/>
        <v>#N/A</v>
      </c>
      <c r="Z477" s="39" t="e">
        <f t="shared" si="22"/>
        <v>#N/A</v>
      </c>
      <c r="AA477" s="39" t="e">
        <f t="shared" si="23"/>
        <v>#N/A</v>
      </c>
      <c r="AB477" s="39"/>
      <c r="AC477" s="48" t="e">
        <f t="shared" si="25"/>
        <v>#N/A</v>
      </c>
    </row>
    <row r="478" spans="1:29" ht="12.5" x14ac:dyDescent="0.25">
      <c r="A478" s="36"/>
      <c r="B478" s="33"/>
      <c r="C478" s="33"/>
      <c r="D478" s="33"/>
      <c r="E478" s="35"/>
      <c r="F478" s="21"/>
      <c r="G478" s="22" t="e">
        <f>VLOOKUP(E478,'Court List'!$A:$C,2,0)</f>
        <v>#N/A</v>
      </c>
      <c r="H478" s="33"/>
      <c r="I478" s="33"/>
      <c r="J478" s="44" t="e">
        <f t="shared" si="16"/>
        <v>#N/A</v>
      </c>
      <c r="K478" s="36"/>
      <c r="L478" s="18">
        <f>SUM('Shuttle Count - Supreme (Nov 20'!C478:D478)</f>
        <v>0</v>
      </c>
      <c r="M478" s="18" t="e">
        <f>VLOOKUP(K478,'Shuttle Purchase'!A:C,3,0)</f>
        <v>#N/A</v>
      </c>
      <c r="N478" s="44" t="e">
        <f t="shared" si="26"/>
        <v>#N/A</v>
      </c>
      <c r="O478" s="24" t="e">
        <f>VLOOKUP(E478,'Court List'!$A:$C,3,0)</f>
        <v>#N/A</v>
      </c>
      <c r="P478" s="18">
        <f>COUNTIF('Pub List'!$C478:$T478,"&lt;&gt;")</f>
        <v>0</v>
      </c>
      <c r="Q478" s="20" t="e">
        <f t="shared" si="17"/>
        <v>#N/A</v>
      </c>
      <c r="R478" s="36"/>
      <c r="S478" s="18">
        <f>COUNTIF('Member List'!$C478:$J478,"&lt;&gt;")</f>
        <v>0</v>
      </c>
      <c r="T478" s="35"/>
      <c r="U478" s="24">
        <f t="shared" si="18"/>
        <v>0</v>
      </c>
      <c r="V478" s="18" t="e">
        <f t="shared" si="19"/>
        <v>#N/A</v>
      </c>
      <c r="W478" s="45" t="e">
        <f t="shared" si="20"/>
        <v>#N/A</v>
      </c>
      <c r="X478" s="20" t="e">
        <f t="shared" si="21"/>
        <v>#N/A</v>
      </c>
      <c r="Y478" s="46" t="e">
        <f t="shared" si="24"/>
        <v>#N/A</v>
      </c>
      <c r="Z478" s="39" t="e">
        <f t="shared" si="22"/>
        <v>#N/A</v>
      </c>
      <c r="AA478" s="39" t="e">
        <f t="shared" si="23"/>
        <v>#N/A</v>
      </c>
      <c r="AB478" s="39"/>
      <c r="AC478" s="48" t="e">
        <f t="shared" si="25"/>
        <v>#N/A</v>
      </c>
    </row>
    <row r="479" spans="1:29" ht="12.5" x14ac:dyDescent="0.25">
      <c r="A479" s="36"/>
      <c r="B479" s="33"/>
      <c r="C479" s="33"/>
      <c r="D479" s="33"/>
      <c r="E479" s="35"/>
      <c r="F479" s="21"/>
      <c r="G479" s="22" t="e">
        <f>VLOOKUP(E479,'Court List'!$A:$C,2,0)</f>
        <v>#N/A</v>
      </c>
      <c r="H479" s="33"/>
      <c r="I479" s="33"/>
      <c r="J479" s="44" t="e">
        <f t="shared" si="16"/>
        <v>#N/A</v>
      </c>
      <c r="K479" s="36"/>
      <c r="L479" s="18">
        <f>SUM('Shuttle Count - Supreme (Nov 20'!C479:D479)</f>
        <v>0</v>
      </c>
      <c r="M479" s="18" t="e">
        <f>VLOOKUP(K479,'Shuttle Purchase'!A:C,3,0)</f>
        <v>#N/A</v>
      </c>
      <c r="N479" s="44" t="e">
        <f t="shared" si="26"/>
        <v>#N/A</v>
      </c>
      <c r="O479" s="24" t="e">
        <f>VLOOKUP(E479,'Court List'!$A:$C,3,0)</f>
        <v>#N/A</v>
      </c>
      <c r="P479" s="18">
        <f>COUNTIF('Pub List'!$C479:$T479,"&lt;&gt;")</f>
        <v>0</v>
      </c>
      <c r="Q479" s="20" t="e">
        <f t="shared" si="17"/>
        <v>#N/A</v>
      </c>
      <c r="R479" s="36"/>
      <c r="S479" s="18">
        <f>COUNTIF('Member List'!$C479:$J479,"&lt;&gt;")</f>
        <v>0</v>
      </c>
      <c r="T479" s="35"/>
      <c r="U479" s="24">
        <f t="shared" si="18"/>
        <v>0</v>
      </c>
      <c r="V479" s="18" t="e">
        <f t="shared" si="19"/>
        <v>#N/A</v>
      </c>
      <c r="W479" s="45" t="e">
        <f t="shared" si="20"/>
        <v>#N/A</v>
      </c>
      <c r="X479" s="20" t="e">
        <f t="shared" si="21"/>
        <v>#N/A</v>
      </c>
      <c r="Y479" s="46" t="e">
        <f t="shared" si="24"/>
        <v>#N/A</v>
      </c>
      <c r="Z479" s="39" t="e">
        <f t="shared" si="22"/>
        <v>#N/A</v>
      </c>
      <c r="AA479" s="39" t="e">
        <f t="shared" si="23"/>
        <v>#N/A</v>
      </c>
      <c r="AB479" s="39"/>
      <c r="AC479" s="48" t="e">
        <f t="shared" si="25"/>
        <v>#N/A</v>
      </c>
    </row>
    <row r="480" spans="1:29" ht="12.5" x14ac:dyDescent="0.25">
      <c r="A480" s="36"/>
      <c r="B480" s="33"/>
      <c r="C480" s="33"/>
      <c r="D480" s="33"/>
      <c r="E480" s="35"/>
      <c r="F480" s="21"/>
      <c r="G480" s="22" t="e">
        <f>VLOOKUP(E480,'Court List'!$A:$C,2,0)</f>
        <v>#N/A</v>
      </c>
      <c r="H480" s="33"/>
      <c r="I480" s="33"/>
      <c r="J480" s="44" t="e">
        <f t="shared" si="16"/>
        <v>#N/A</v>
      </c>
      <c r="K480" s="36"/>
      <c r="L480" s="18">
        <f>SUM('Shuttle Count - Supreme (Nov 20'!C480:D480)</f>
        <v>0</v>
      </c>
      <c r="M480" s="18" t="e">
        <f>VLOOKUP(K480,'Shuttle Purchase'!A:C,3,0)</f>
        <v>#N/A</v>
      </c>
      <c r="N480" s="44" t="e">
        <f t="shared" si="26"/>
        <v>#N/A</v>
      </c>
      <c r="O480" s="24" t="e">
        <f>VLOOKUP(E480,'Court List'!$A:$C,3,0)</f>
        <v>#N/A</v>
      </c>
      <c r="P480" s="18">
        <f>COUNTIF('Pub List'!$C480:$T480,"&lt;&gt;")</f>
        <v>0</v>
      </c>
      <c r="Q480" s="20" t="e">
        <f t="shared" si="17"/>
        <v>#N/A</v>
      </c>
      <c r="R480" s="36"/>
      <c r="S480" s="18">
        <f>COUNTIF('Member List'!$C480:$J480,"&lt;&gt;")</f>
        <v>0</v>
      </c>
      <c r="T480" s="35"/>
      <c r="U480" s="24">
        <f t="shared" si="18"/>
        <v>0</v>
      </c>
      <c r="V480" s="18" t="e">
        <f t="shared" si="19"/>
        <v>#N/A</v>
      </c>
      <c r="W480" s="45" t="e">
        <f t="shared" si="20"/>
        <v>#N/A</v>
      </c>
      <c r="X480" s="20" t="e">
        <f t="shared" si="21"/>
        <v>#N/A</v>
      </c>
      <c r="Y480" s="46" t="e">
        <f t="shared" si="24"/>
        <v>#N/A</v>
      </c>
      <c r="Z480" s="39" t="e">
        <f t="shared" si="22"/>
        <v>#N/A</v>
      </c>
      <c r="AA480" s="39" t="e">
        <f t="shared" si="23"/>
        <v>#N/A</v>
      </c>
      <c r="AB480" s="39"/>
      <c r="AC480" s="48" t="e">
        <f t="shared" si="25"/>
        <v>#N/A</v>
      </c>
    </row>
    <row r="481" spans="1:29" ht="12.5" x14ac:dyDescent="0.25">
      <c r="A481" s="36"/>
      <c r="B481" s="33"/>
      <c r="C481" s="33"/>
      <c r="D481" s="33"/>
      <c r="E481" s="35"/>
      <c r="F481" s="21"/>
      <c r="G481" s="22" t="e">
        <f>VLOOKUP(E481,'Court List'!$A:$C,2,0)</f>
        <v>#N/A</v>
      </c>
      <c r="H481" s="33"/>
      <c r="I481" s="33"/>
      <c r="J481" s="44" t="e">
        <f t="shared" si="16"/>
        <v>#N/A</v>
      </c>
      <c r="K481" s="36"/>
      <c r="L481" s="18">
        <f>SUM('Shuttle Count - Supreme (Nov 20'!C481:D481)</f>
        <v>0</v>
      </c>
      <c r="M481" s="18" t="e">
        <f>VLOOKUP(K481,'Shuttle Purchase'!A:C,3,0)</f>
        <v>#N/A</v>
      </c>
      <c r="N481" s="44" t="e">
        <f t="shared" si="26"/>
        <v>#N/A</v>
      </c>
      <c r="O481" s="24" t="e">
        <f>VLOOKUP(E481,'Court List'!$A:$C,3,0)</f>
        <v>#N/A</v>
      </c>
      <c r="P481" s="18">
        <f>COUNTIF('Pub List'!$C481:$T481,"&lt;&gt;")</f>
        <v>0</v>
      </c>
      <c r="Q481" s="20" t="e">
        <f t="shared" si="17"/>
        <v>#N/A</v>
      </c>
      <c r="R481" s="36"/>
      <c r="S481" s="18">
        <f>COUNTIF('Member List'!$C481:$J481,"&lt;&gt;")</f>
        <v>0</v>
      </c>
      <c r="T481" s="35"/>
      <c r="U481" s="24">
        <f t="shared" si="18"/>
        <v>0</v>
      </c>
      <c r="V481" s="18" t="e">
        <f t="shared" si="19"/>
        <v>#N/A</v>
      </c>
      <c r="W481" s="45" t="e">
        <f t="shared" si="20"/>
        <v>#N/A</v>
      </c>
      <c r="X481" s="20" t="e">
        <f t="shared" si="21"/>
        <v>#N/A</v>
      </c>
      <c r="Y481" s="46" t="e">
        <f t="shared" si="24"/>
        <v>#N/A</v>
      </c>
      <c r="Z481" s="39" t="e">
        <f t="shared" si="22"/>
        <v>#N/A</v>
      </c>
      <c r="AA481" s="39" t="e">
        <f t="shared" si="23"/>
        <v>#N/A</v>
      </c>
      <c r="AB481" s="39"/>
      <c r="AC481" s="48" t="e">
        <f t="shared" si="25"/>
        <v>#N/A</v>
      </c>
    </row>
    <row r="482" spans="1:29" ht="12.5" x14ac:dyDescent="0.25">
      <c r="A482" s="36"/>
      <c r="B482" s="33"/>
      <c r="C482" s="33"/>
      <c r="D482" s="33"/>
      <c r="E482" s="35"/>
      <c r="F482" s="21"/>
      <c r="G482" s="22" t="e">
        <f>VLOOKUP(E482,'Court List'!$A:$C,2,0)</f>
        <v>#N/A</v>
      </c>
      <c r="H482" s="33"/>
      <c r="I482" s="33"/>
      <c r="J482" s="44" t="e">
        <f t="shared" si="16"/>
        <v>#N/A</v>
      </c>
      <c r="K482" s="36"/>
      <c r="L482" s="18">
        <f>SUM('Shuttle Count - Supreme (Nov 20'!C482:D482)</f>
        <v>0</v>
      </c>
      <c r="M482" s="18" t="e">
        <f>VLOOKUP(K482,'Shuttle Purchase'!A:C,3,0)</f>
        <v>#N/A</v>
      </c>
      <c r="N482" s="44" t="e">
        <f t="shared" si="26"/>
        <v>#N/A</v>
      </c>
      <c r="O482" s="24" t="e">
        <f>VLOOKUP(E482,'Court List'!$A:$C,3,0)</f>
        <v>#N/A</v>
      </c>
      <c r="P482" s="18">
        <f>COUNTIF('Pub List'!$C482:$T482,"&lt;&gt;")</f>
        <v>0</v>
      </c>
      <c r="Q482" s="20" t="e">
        <f t="shared" si="17"/>
        <v>#N/A</v>
      </c>
      <c r="R482" s="36"/>
      <c r="S482" s="18">
        <f>COUNTIF('Member List'!$C482:$J482,"&lt;&gt;")</f>
        <v>0</v>
      </c>
      <c r="T482" s="35"/>
      <c r="U482" s="24">
        <f t="shared" si="18"/>
        <v>0</v>
      </c>
      <c r="V482" s="18" t="e">
        <f t="shared" si="19"/>
        <v>#N/A</v>
      </c>
      <c r="W482" s="45" t="e">
        <f t="shared" si="20"/>
        <v>#N/A</v>
      </c>
      <c r="X482" s="20" t="e">
        <f t="shared" si="21"/>
        <v>#N/A</v>
      </c>
      <c r="Y482" s="46" t="e">
        <f t="shared" si="24"/>
        <v>#N/A</v>
      </c>
      <c r="Z482" s="39" t="e">
        <f t="shared" si="22"/>
        <v>#N/A</v>
      </c>
      <c r="AA482" s="39" t="e">
        <f t="shared" si="23"/>
        <v>#N/A</v>
      </c>
      <c r="AB482" s="39"/>
      <c r="AC482" s="48" t="e">
        <f t="shared" si="25"/>
        <v>#N/A</v>
      </c>
    </row>
    <row r="483" spans="1:29" ht="12.5" x14ac:dyDescent="0.25">
      <c r="A483" s="36"/>
      <c r="B483" s="33"/>
      <c r="C483" s="33"/>
      <c r="D483" s="33"/>
      <c r="E483" s="35"/>
      <c r="F483" s="21"/>
      <c r="G483" s="22" t="e">
        <f>VLOOKUP(E483,'Court List'!$A:$C,2,0)</f>
        <v>#N/A</v>
      </c>
      <c r="H483" s="33"/>
      <c r="I483" s="33"/>
      <c r="J483" s="44" t="e">
        <f t="shared" si="16"/>
        <v>#N/A</v>
      </c>
      <c r="K483" s="36"/>
      <c r="L483" s="18">
        <f>SUM('Shuttle Count - Supreme (Nov 20'!C483:D483)</f>
        <v>0</v>
      </c>
      <c r="M483" s="18" t="e">
        <f>VLOOKUP(K483,'Shuttle Purchase'!A:C,3,0)</f>
        <v>#N/A</v>
      </c>
      <c r="N483" s="44" t="e">
        <f t="shared" si="26"/>
        <v>#N/A</v>
      </c>
      <c r="O483" s="24" t="e">
        <f>VLOOKUP(E483,'Court List'!$A:$C,3,0)</f>
        <v>#N/A</v>
      </c>
      <c r="P483" s="18">
        <f>COUNTIF('Pub List'!$C483:$T483,"&lt;&gt;")</f>
        <v>0</v>
      </c>
      <c r="Q483" s="20" t="e">
        <f t="shared" si="17"/>
        <v>#N/A</v>
      </c>
      <c r="R483" s="36"/>
      <c r="S483" s="18">
        <f>COUNTIF('Member List'!$C483:$J483,"&lt;&gt;")</f>
        <v>0</v>
      </c>
      <c r="T483" s="35"/>
      <c r="U483" s="24">
        <f t="shared" si="18"/>
        <v>0</v>
      </c>
      <c r="V483" s="18" t="e">
        <f t="shared" si="19"/>
        <v>#N/A</v>
      </c>
      <c r="W483" s="45" t="e">
        <f t="shared" si="20"/>
        <v>#N/A</v>
      </c>
      <c r="X483" s="20" t="e">
        <f t="shared" si="21"/>
        <v>#N/A</v>
      </c>
      <c r="Y483" s="46" t="e">
        <f t="shared" si="24"/>
        <v>#N/A</v>
      </c>
      <c r="Z483" s="39" t="e">
        <f t="shared" si="22"/>
        <v>#N/A</v>
      </c>
      <c r="AA483" s="39" t="e">
        <f t="shared" si="23"/>
        <v>#N/A</v>
      </c>
      <c r="AB483" s="39"/>
      <c r="AC483" s="48" t="e">
        <f t="shared" si="25"/>
        <v>#N/A</v>
      </c>
    </row>
    <row r="484" spans="1:29" ht="12.5" x14ac:dyDescent="0.25">
      <c r="A484" s="36"/>
      <c r="B484" s="33"/>
      <c r="C484" s="33"/>
      <c r="D484" s="33"/>
      <c r="E484" s="35"/>
      <c r="F484" s="21"/>
      <c r="G484" s="22" t="e">
        <f>VLOOKUP(E484,'Court List'!$A:$C,2,0)</f>
        <v>#N/A</v>
      </c>
      <c r="H484" s="33"/>
      <c r="I484" s="33"/>
      <c r="J484" s="44" t="e">
        <f t="shared" si="16"/>
        <v>#N/A</v>
      </c>
      <c r="K484" s="36"/>
      <c r="L484" s="18">
        <f>SUM('Shuttle Count - Supreme (Nov 20'!C484:D484)</f>
        <v>0</v>
      </c>
      <c r="M484" s="18" t="e">
        <f>VLOOKUP(K484,'Shuttle Purchase'!A:C,3,0)</f>
        <v>#N/A</v>
      </c>
      <c r="N484" s="44" t="e">
        <f t="shared" si="26"/>
        <v>#N/A</v>
      </c>
      <c r="O484" s="24" t="e">
        <f>VLOOKUP(E484,'Court List'!$A:$C,3,0)</f>
        <v>#N/A</v>
      </c>
      <c r="P484" s="18">
        <f>COUNTIF('Pub List'!$C484:$T484,"&lt;&gt;")</f>
        <v>0</v>
      </c>
      <c r="Q484" s="20" t="e">
        <f t="shared" si="17"/>
        <v>#N/A</v>
      </c>
      <c r="R484" s="36"/>
      <c r="S484" s="18">
        <f>COUNTIF('Member List'!$C484:$J484,"&lt;&gt;")</f>
        <v>0</v>
      </c>
      <c r="T484" s="35"/>
      <c r="U484" s="24">
        <f t="shared" si="18"/>
        <v>0</v>
      </c>
      <c r="V484" s="18" t="e">
        <f t="shared" si="19"/>
        <v>#N/A</v>
      </c>
      <c r="W484" s="45" t="e">
        <f t="shared" si="20"/>
        <v>#N/A</v>
      </c>
      <c r="X484" s="20" t="e">
        <f t="shared" si="21"/>
        <v>#N/A</v>
      </c>
      <c r="Y484" s="46" t="e">
        <f t="shared" si="24"/>
        <v>#N/A</v>
      </c>
      <c r="Z484" s="39" t="e">
        <f t="shared" si="22"/>
        <v>#N/A</v>
      </c>
      <c r="AA484" s="39" t="e">
        <f t="shared" si="23"/>
        <v>#N/A</v>
      </c>
      <c r="AB484" s="39"/>
      <c r="AC484" s="48" t="e">
        <f t="shared" si="25"/>
        <v>#N/A</v>
      </c>
    </row>
    <row r="485" spans="1:29" ht="12.5" x14ac:dyDescent="0.25">
      <c r="A485" s="36"/>
      <c r="B485" s="33"/>
      <c r="C485" s="33"/>
      <c r="D485" s="33"/>
      <c r="E485" s="35"/>
      <c r="F485" s="21"/>
      <c r="G485" s="22" t="e">
        <f>VLOOKUP(E485,'Court List'!$A:$C,2,0)</f>
        <v>#N/A</v>
      </c>
      <c r="H485" s="33"/>
      <c r="I485" s="33"/>
      <c r="J485" s="44" t="e">
        <f t="shared" si="16"/>
        <v>#N/A</v>
      </c>
      <c r="K485" s="36"/>
      <c r="L485" s="18">
        <f>SUM('Shuttle Count - Supreme (Nov 20'!C485:D485)</f>
        <v>0</v>
      </c>
      <c r="M485" s="18" t="e">
        <f>VLOOKUP(K485,'Shuttle Purchase'!A:C,3,0)</f>
        <v>#N/A</v>
      </c>
      <c r="N485" s="44" t="e">
        <f t="shared" si="26"/>
        <v>#N/A</v>
      </c>
      <c r="O485" s="24" t="e">
        <f>VLOOKUP(E485,'Court List'!$A:$C,3,0)</f>
        <v>#N/A</v>
      </c>
      <c r="P485" s="18">
        <f>COUNTIF('Pub List'!$C485:$T485,"&lt;&gt;")</f>
        <v>0</v>
      </c>
      <c r="Q485" s="20" t="e">
        <f t="shared" si="17"/>
        <v>#N/A</v>
      </c>
      <c r="R485" s="36"/>
      <c r="S485" s="18">
        <f>COUNTIF('Member List'!$C485:$J485,"&lt;&gt;")</f>
        <v>0</v>
      </c>
      <c r="T485" s="35"/>
      <c r="U485" s="24">
        <f t="shared" si="18"/>
        <v>0</v>
      </c>
      <c r="V485" s="18" t="e">
        <f t="shared" si="19"/>
        <v>#N/A</v>
      </c>
      <c r="W485" s="45" t="e">
        <f t="shared" si="20"/>
        <v>#N/A</v>
      </c>
      <c r="X485" s="20" t="e">
        <f t="shared" si="21"/>
        <v>#N/A</v>
      </c>
      <c r="Y485" s="46" t="e">
        <f t="shared" si="24"/>
        <v>#N/A</v>
      </c>
      <c r="Z485" s="39" t="e">
        <f t="shared" si="22"/>
        <v>#N/A</v>
      </c>
      <c r="AA485" s="39" t="e">
        <f t="shared" si="23"/>
        <v>#N/A</v>
      </c>
      <c r="AB485" s="39"/>
      <c r="AC485" s="48" t="e">
        <f t="shared" si="25"/>
        <v>#N/A</v>
      </c>
    </row>
    <row r="486" spans="1:29" ht="12.5" x14ac:dyDescent="0.25">
      <c r="A486" s="36"/>
      <c r="B486" s="33"/>
      <c r="C486" s="33"/>
      <c r="D486" s="33"/>
      <c r="E486" s="35"/>
      <c r="F486" s="21"/>
      <c r="G486" s="22" t="e">
        <f>VLOOKUP(E486,'Court List'!$A:$C,2,0)</f>
        <v>#N/A</v>
      </c>
      <c r="H486" s="33"/>
      <c r="I486" s="33"/>
      <c r="J486" s="44" t="e">
        <f t="shared" si="16"/>
        <v>#N/A</v>
      </c>
      <c r="K486" s="36"/>
      <c r="L486" s="18">
        <f>SUM('Shuttle Count - Supreme (Nov 20'!C486:D486)</f>
        <v>0</v>
      </c>
      <c r="M486" s="18" t="e">
        <f>VLOOKUP(K486,'Shuttle Purchase'!A:C,3,0)</f>
        <v>#N/A</v>
      </c>
      <c r="N486" s="44" t="e">
        <f t="shared" si="26"/>
        <v>#N/A</v>
      </c>
      <c r="O486" s="24" t="e">
        <f>VLOOKUP(E486,'Court List'!$A:$C,3,0)</f>
        <v>#N/A</v>
      </c>
      <c r="P486" s="18">
        <f>COUNTIF('Pub List'!$C486:$T486,"&lt;&gt;")</f>
        <v>0</v>
      </c>
      <c r="Q486" s="20" t="e">
        <f t="shared" si="17"/>
        <v>#N/A</v>
      </c>
      <c r="R486" s="36"/>
      <c r="S486" s="18">
        <f>COUNTIF('Member List'!$C486:$J486,"&lt;&gt;")</f>
        <v>0</v>
      </c>
      <c r="T486" s="35"/>
      <c r="U486" s="24">
        <f t="shared" si="18"/>
        <v>0</v>
      </c>
      <c r="V486" s="18" t="e">
        <f t="shared" si="19"/>
        <v>#N/A</v>
      </c>
      <c r="W486" s="45" t="e">
        <f t="shared" si="20"/>
        <v>#N/A</v>
      </c>
      <c r="X486" s="20" t="e">
        <f t="shared" si="21"/>
        <v>#N/A</v>
      </c>
      <c r="Y486" s="46" t="e">
        <f t="shared" si="24"/>
        <v>#N/A</v>
      </c>
      <c r="Z486" s="39" t="e">
        <f t="shared" si="22"/>
        <v>#N/A</v>
      </c>
      <c r="AA486" s="39" t="e">
        <f t="shared" si="23"/>
        <v>#N/A</v>
      </c>
      <c r="AB486" s="39"/>
      <c r="AC486" s="48" t="e">
        <f t="shared" si="25"/>
        <v>#N/A</v>
      </c>
    </row>
    <row r="487" spans="1:29" ht="12.5" x14ac:dyDescent="0.25">
      <c r="A487" s="36"/>
      <c r="B487" s="33"/>
      <c r="C487" s="33"/>
      <c r="D487" s="33"/>
      <c r="E487" s="35"/>
      <c r="F487" s="21"/>
      <c r="G487" s="22" t="e">
        <f>VLOOKUP(E487,'Court List'!$A:$C,2,0)</f>
        <v>#N/A</v>
      </c>
      <c r="H487" s="33"/>
      <c r="I487" s="33"/>
      <c r="J487" s="44" t="e">
        <f t="shared" si="16"/>
        <v>#N/A</v>
      </c>
      <c r="K487" s="36"/>
      <c r="L487" s="18">
        <f>SUM('Shuttle Count - Supreme (Nov 20'!C487:D487)</f>
        <v>0</v>
      </c>
      <c r="M487" s="18" t="e">
        <f>VLOOKUP(K487,'Shuttle Purchase'!A:C,3,0)</f>
        <v>#N/A</v>
      </c>
      <c r="N487" s="44" t="e">
        <f t="shared" si="26"/>
        <v>#N/A</v>
      </c>
      <c r="O487" s="24" t="e">
        <f>VLOOKUP(E487,'Court List'!$A:$C,3,0)</f>
        <v>#N/A</v>
      </c>
      <c r="P487" s="18">
        <f>COUNTIF('Pub List'!$C487:$T487,"&lt;&gt;")</f>
        <v>0</v>
      </c>
      <c r="Q487" s="20" t="e">
        <f t="shared" si="17"/>
        <v>#N/A</v>
      </c>
      <c r="R487" s="36"/>
      <c r="S487" s="18">
        <f>COUNTIF('Member List'!$C487:$J487,"&lt;&gt;")</f>
        <v>0</v>
      </c>
      <c r="T487" s="35"/>
      <c r="U487" s="24">
        <f t="shared" si="18"/>
        <v>0</v>
      </c>
      <c r="V487" s="18" t="e">
        <f t="shared" si="19"/>
        <v>#N/A</v>
      </c>
      <c r="W487" s="45" t="e">
        <f t="shared" si="20"/>
        <v>#N/A</v>
      </c>
      <c r="X487" s="20" t="e">
        <f t="shared" si="21"/>
        <v>#N/A</v>
      </c>
      <c r="Y487" s="46" t="e">
        <f t="shared" si="24"/>
        <v>#N/A</v>
      </c>
      <c r="Z487" s="39" t="e">
        <f t="shared" si="22"/>
        <v>#N/A</v>
      </c>
      <c r="AA487" s="39" t="e">
        <f t="shared" si="23"/>
        <v>#N/A</v>
      </c>
      <c r="AB487" s="39"/>
      <c r="AC487" s="48" t="e">
        <f t="shared" si="25"/>
        <v>#N/A</v>
      </c>
    </row>
    <row r="488" spans="1:29" ht="12.5" x14ac:dyDescent="0.25">
      <c r="A488" s="36"/>
      <c r="B488" s="33"/>
      <c r="C488" s="33"/>
      <c r="D488" s="33"/>
      <c r="E488" s="35"/>
      <c r="F488" s="21"/>
      <c r="G488" s="22" t="e">
        <f>VLOOKUP(E488,'Court List'!$A:$C,2,0)</f>
        <v>#N/A</v>
      </c>
      <c r="H488" s="33"/>
      <c r="I488" s="33"/>
      <c r="J488" s="44" t="e">
        <f t="shared" si="16"/>
        <v>#N/A</v>
      </c>
      <c r="K488" s="36"/>
      <c r="L488" s="18">
        <f>SUM('Shuttle Count - Supreme (Nov 20'!C488:D488)</f>
        <v>0</v>
      </c>
      <c r="M488" s="18" t="e">
        <f>VLOOKUP(K488,'Shuttle Purchase'!A:C,3,0)</f>
        <v>#N/A</v>
      </c>
      <c r="N488" s="44" t="e">
        <f t="shared" si="26"/>
        <v>#N/A</v>
      </c>
      <c r="O488" s="24" t="e">
        <f>VLOOKUP(E488,'Court List'!$A:$C,3,0)</f>
        <v>#N/A</v>
      </c>
      <c r="P488" s="18">
        <f>COUNTIF('Pub List'!$C488:$T488,"&lt;&gt;")</f>
        <v>0</v>
      </c>
      <c r="Q488" s="20" t="e">
        <f t="shared" si="17"/>
        <v>#N/A</v>
      </c>
      <c r="R488" s="36"/>
      <c r="S488" s="18">
        <f>COUNTIF('Member List'!$C488:$J488,"&lt;&gt;")</f>
        <v>0</v>
      </c>
      <c r="T488" s="35"/>
      <c r="U488" s="24">
        <f t="shared" si="18"/>
        <v>0</v>
      </c>
      <c r="V488" s="18" t="e">
        <f t="shared" si="19"/>
        <v>#N/A</v>
      </c>
      <c r="W488" s="45" t="e">
        <f t="shared" si="20"/>
        <v>#N/A</v>
      </c>
      <c r="X488" s="20" t="e">
        <f t="shared" si="21"/>
        <v>#N/A</v>
      </c>
      <c r="Y488" s="46" t="e">
        <f t="shared" si="24"/>
        <v>#N/A</v>
      </c>
      <c r="Z488" s="39" t="e">
        <f t="shared" si="22"/>
        <v>#N/A</v>
      </c>
      <c r="AA488" s="39" t="e">
        <f t="shared" si="23"/>
        <v>#N/A</v>
      </c>
      <c r="AB488" s="39"/>
      <c r="AC488" s="48" t="e">
        <f t="shared" si="25"/>
        <v>#N/A</v>
      </c>
    </row>
    <row r="489" spans="1:29" ht="12.5" x14ac:dyDescent="0.25">
      <c r="A489" s="36"/>
      <c r="B489" s="33"/>
      <c r="C489" s="33"/>
      <c r="D489" s="33"/>
      <c r="E489" s="35"/>
      <c r="F489" s="21"/>
      <c r="G489" s="22" t="e">
        <f>VLOOKUP(E489,'Court List'!$A:$C,2,0)</f>
        <v>#N/A</v>
      </c>
      <c r="H489" s="33"/>
      <c r="I489" s="33"/>
      <c r="J489" s="44" t="e">
        <f t="shared" si="16"/>
        <v>#N/A</v>
      </c>
      <c r="K489" s="36"/>
      <c r="L489" s="18">
        <f>SUM('Shuttle Count - Supreme (Nov 20'!C489:D489)</f>
        <v>0</v>
      </c>
      <c r="M489" s="18" t="e">
        <f>VLOOKUP(K489,'Shuttle Purchase'!A:C,3,0)</f>
        <v>#N/A</v>
      </c>
      <c r="N489" s="44" t="e">
        <f t="shared" si="26"/>
        <v>#N/A</v>
      </c>
      <c r="O489" s="24" t="e">
        <f>VLOOKUP(E489,'Court List'!$A:$C,3,0)</f>
        <v>#N/A</v>
      </c>
      <c r="P489" s="18">
        <f>COUNTIF('Pub List'!$C489:$T489,"&lt;&gt;")</f>
        <v>0</v>
      </c>
      <c r="Q489" s="20" t="e">
        <f t="shared" si="17"/>
        <v>#N/A</v>
      </c>
      <c r="R489" s="36"/>
      <c r="S489" s="18">
        <f>COUNTIF('Member List'!$C489:$J489,"&lt;&gt;")</f>
        <v>0</v>
      </c>
      <c r="T489" s="35"/>
      <c r="U489" s="24">
        <f t="shared" si="18"/>
        <v>0</v>
      </c>
      <c r="V489" s="18" t="e">
        <f t="shared" si="19"/>
        <v>#N/A</v>
      </c>
      <c r="W489" s="45" t="e">
        <f t="shared" si="20"/>
        <v>#N/A</v>
      </c>
      <c r="X489" s="20" t="e">
        <f t="shared" si="21"/>
        <v>#N/A</v>
      </c>
      <c r="Y489" s="46" t="e">
        <f t="shared" si="24"/>
        <v>#N/A</v>
      </c>
      <c r="Z489" s="39" t="e">
        <f t="shared" si="22"/>
        <v>#N/A</v>
      </c>
      <c r="AA489" s="39" t="e">
        <f t="shared" si="23"/>
        <v>#N/A</v>
      </c>
      <c r="AB489" s="39"/>
      <c r="AC489" s="48" t="e">
        <f t="shared" si="25"/>
        <v>#N/A</v>
      </c>
    </row>
    <row r="490" spans="1:29" ht="12.5" x14ac:dyDescent="0.25">
      <c r="A490" s="36"/>
      <c r="B490" s="33"/>
      <c r="C490" s="33"/>
      <c r="D490" s="33"/>
      <c r="E490" s="35"/>
      <c r="F490" s="21"/>
      <c r="G490" s="22" t="e">
        <f>VLOOKUP(E490,'Court List'!$A:$C,2,0)</f>
        <v>#N/A</v>
      </c>
      <c r="H490" s="33"/>
      <c r="I490" s="33"/>
      <c r="J490" s="44" t="e">
        <f t="shared" si="16"/>
        <v>#N/A</v>
      </c>
      <c r="K490" s="36"/>
      <c r="L490" s="18">
        <f>SUM('Shuttle Count - Supreme (Nov 20'!C490:D490)</f>
        <v>0</v>
      </c>
      <c r="M490" s="18" t="e">
        <f>VLOOKUP(K490,'Shuttle Purchase'!A:C,3,0)</f>
        <v>#N/A</v>
      </c>
      <c r="N490" s="44" t="e">
        <f t="shared" si="26"/>
        <v>#N/A</v>
      </c>
      <c r="O490" s="24" t="e">
        <f>VLOOKUP(E490,'Court List'!$A:$C,3,0)</f>
        <v>#N/A</v>
      </c>
      <c r="P490" s="18">
        <f>COUNTIF('Pub List'!$C490:$T490,"&lt;&gt;")</f>
        <v>0</v>
      </c>
      <c r="Q490" s="20" t="e">
        <f t="shared" si="17"/>
        <v>#N/A</v>
      </c>
      <c r="R490" s="36"/>
      <c r="S490" s="18">
        <f>COUNTIF('Member List'!$C490:$J490,"&lt;&gt;")</f>
        <v>0</v>
      </c>
      <c r="T490" s="35"/>
      <c r="U490" s="24">
        <f t="shared" si="18"/>
        <v>0</v>
      </c>
      <c r="V490" s="18" t="e">
        <f t="shared" si="19"/>
        <v>#N/A</v>
      </c>
      <c r="W490" s="45" t="e">
        <f t="shared" si="20"/>
        <v>#N/A</v>
      </c>
      <c r="X490" s="20" t="e">
        <f t="shared" si="21"/>
        <v>#N/A</v>
      </c>
      <c r="Y490" s="46" t="e">
        <f t="shared" si="24"/>
        <v>#N/A</v>
      </c>
      <c r="Z490" s="39" t="e">
        <f t="shared" si="22"/>
        <v>#N/A</v>
      </c>
      <c r="AA490" s="39" t="e">
        <f t="shared" si="23"/>
        <v>#N/A</v>
      </c>
      <c r="AB490" s="39"/>
      <c r="AC490" s="48" t="e">
        <f t="shared" si="25"/>
        <v>#N/A</v>
      </c>
    </row>
    <row r="491" spans="1:29" ht="12.5" x14ac:dyDescent="0.25">
      <c r="A491" s="36"/>
      <c r="B491" s="33"/>
      <c r="C491" s="33"/>
      <c r="D491" s="33"/>
      <c r="E491" s="35"/>
      <c r="F491" s="21"/>
      <c r="G491" s="22" t="e">
        <f>VLOOKUP(E491,'Court List'!$A:$C,2,0)</f>
        <v>#N/A</v>
      </c>
      <c r="H491" s="33"/>
      <c r="I491" s="33"/>
      <c r="J491" s="44" t="e">
        <f t="shared" si="16"/>
        <v>#N/A</v>
      </c>
      <c r="K491" s="36"/>
      <c r="L491" s="18">
        <f>SUM('Shuttle Count - Supreme (Nov 20'!C491:D491)</f>
        <v>0</v>
      </c>
      <c r="M491" s="18" t="e">
        <f>VLOOKUP(K491,'Shuttle Purchase'!A:C,3,0)</f>
        <v>#N/A</v>
      </c>
      <c r="N491" s="44" t="e">
        <f t="shared" si="26"/>
        <v>#N/A</v>
      </c>
      <c r="O491" s="24" t="e">
        <f>VLOOKUP(E491,'Court List'!$A:$C,3,0)</f>
        <v>#N/A</v>
      </c>
      <c r="P491" s="18">
        <f>COUNTIF('Pub List'!$C491:$T491,"&lt;&gt;")</f>
        <v>0</v>
      </c>
      <c r="Q491" s="20" t="e">
        <f t="shared" si="17"/>
        <v>#N/A</v>
      </c>
      <c r="R491" s="36"/>
      <c r="S491" s="18">
        <f>COUNTIF('Member List'!$C491:$J491,"&lt;&gt;")</f>
        <v>0</v>
      </c>
      <c r="T491" s="35"/>
      <c r="U491" s="24">
        <f t="shared" si="18"/>
        <v>0</v>
      </c>
      <c r="V491" s="18" t="e">
        <f t="shared" si="19"/>
        <v>#N/A</v>
      </c>
      <c r="W491" s="45" t="e">
        <f t="shared" si="20"/>
        <v>#N/A</v>
      </c>
      <c r="X491" s="20" t="e">
        <f t="shared" si="21"/>
        <v>#N/A</v>
      </c>
      <c r="Y491" s="46" t="e">
        <f t="shared" si="24"/>
        <v>#N/A</v>
      </c>
      <c r="Z491" s="39" t="e">
        <f t="shared" si="22"/>
        <v>#N/A</v>
      </c>
      <c r="AA491" s="39" t="e">
        <f t="shared" si="23"/>
        <v>#N/A</v>
      </c>
      <c r="AB491" s="39"/>
      <c r="AC491" s="48" t="e">
        <f t="shared" si="25"/>
        <v>#N/A</v>
      </c>
    </row>
    <row r="492" spans="1:29" ht="12.5" x14ac:dyDescent="0.25">
      <c r="A492" s="36"/>
      <c r="B492" s="33"/>
      <c r="C492" s="33"/>
      <c r="D492" s="33"/>
      <c r="E492" s="35"/>
      <c r="F492" s="21"/>
      <c r="G492" s="22" t="e">
        <f>VLOOKUP(E492,'Court List'!$A:$C,2,0)</f>
        <v>#N/A</v>
      </c>
      <c r="H492" s="33"/>
      <c r="I492" s="33"/>
      <c r="J492" s="44" t="e">
        <f t="shared" si="16"/>
        <v>#N/A</v>
      </c>
      <c r="K492" s="36"/>
      <c r="L492" s="18">
        <f>SUM('Shuttle Count - Supreme (Nov 20'!C492:D492)</f>
        <v>0</v>
      </c>
      <c r="M492" s="18" t="e">
        <f>VLOOKUP(K492,'Shuttle Purchase'!A:C,3,0)</f>
        <v>#N/A</v>
      </c>
      <c r="N492" s="44" t="e">
        <f t="shared" si="26"/>
        <v>#N/A</v>
      </c>
      <c r="O492" s="24" t="e">
        <f>VLOOKUP(E492,'Court List'!$A:$C,3,0)</f>
        <v>#N/A</v>
      </c>
      <c r="P492" s="18">
        <f>COUNTIF('Pub List'!$C492:$T492,"&lt;&gt;")</f>
        <v>0</v>
      </c>
      <c r="Q492" s="20" t="e">
        <f t="shared" si="17"/>
        <v>#N/A</v>
      </c>
      <c r="R492" s="36"/>
      <c r="S492" s="18">
        <f>COUNTIF('Member List'!$C492:$J492,"&lt;&gt;")</f>
        <v>0</v>
      </c>
      <c r="T492" s="35"/>
      <c r="U492" s="24">
        <f t="shared" si="18"/>
        <v>0</v>
      </c>
      <c r="V492" s="18" t="e">
        <f t="shared" si="19"/>
        <v>#N/A</v>
      </c>
      <c r="W492" s="45" t="e">
        <f t="shared" si="20"/>
        <v>#N/A</v>
      </c>
      <c r="X492" s="20" t="e">
        <f t="shared" si="21"/>
        <v>#N/A</v>
      </c>
      <c r="Y492" s="46" t="e">
        <f t="shared" si="24"/>
        <v>#N/A</v>
      </c>
      <c r="Z492" s="39" t="e">
        <f t="shared" si="22"/>
        <v>#N/A</v>
      </c>
      <c r="AA492" s="39" t="e">
        <f t="shared" si="23"/>
        <v>#N/A</v>
      </c>
      <c r="AB492" s="39"/>
      <c r="AC492" s="48" t="e">
        <f t="shared" si="25"/>
        <v>#N/A</v>
      </c>
    </row>
    <row r="493" spans="1:29" ht="12.5" x14ac:dyDescent="0.25">
      <c r="A493" s="36"/>
      <c r="B493" s="33"/>
      <c r="C493" s="33"/>
      <c r="D493" s="33"/>
      <c r="E493" s="35"/>
      <c r="F493" s="21"/>
      <c r="G493" s="22" t="e">
        <f>VLOOKUP(E493,'Court List'!$A:$C,2,0)</f>
        <v>#N/A</v>
      </c>
      <c r="H493" s="33"/>
      <c r="I493" s="33"/>
      <c r="J493" s="44" t="e">
        <f t="shared" si="16"/>
        <v>#N/A</v>
      </c>
      <c r="K493" s="36"/>
      <c r="L493" s="18">
        <f>SUM('Shuttle Count - Supreme (Nov 20'!C493:D493)</f>
        <v>0</v>
      </c>
      <c r="M493" s="18" t="e">
        <f>VLOOKUP(K493,'Shuttle Purchase'!A:C,3,0)</f>
        <v>#N/A</v>
      </c>
      <c r="N493" s="44" t="e">
        <f t="shared" si="26"/>
        <v>#N/A</v>
      </c>
      <c r="O493" s="24" t="e">
        <f>VLOOKUP(E493,'Court List'!$A:$C,3,0)</f>
        <v>#N/A</v>
      </c>
      <c r="P493" s="18">
        <f>COUNTIF('Pub List'!$C493:$T493,"&lt;&gt;")</f>
        <v>0</v>
      </c>
      <c r="Q493" s="20" t="e">
        <f t="shared" si="17"/>
        <v>#N/A</v>
      </c>
      <c r="R493" s="36"/>
      <c r="S493" s="18">
        <f>COUNTIF('Member List'!$C493:$J493,"&lt;&gt;")</f>
        <v>0</v>
      </c>
      <c r="T493" s="35"/>
      <c r="U493" s="24">
        <f t="shared" si="18"/>
        <v>0</v>
      </c>
      <c r="V493" s="18" t="e">
        <f t="shared" si="19"/>
        <v>#N/A</v>
      </c>
      <c r="W493" s="45" t="e">
        <f t="shared" si="20"/>
        <v>#N/A</v>
      </c>
      <c r="X493" s="20" t="e">
        <f t="shared" si="21"/>
        <v>#N/A</v>
      </c>
      <c r="Y493" s="46" t="e">
        <f t="shared" si="24"/>
        <v>#N/A</v>
      </c>
      <c r="Z493" s="39" t="e">
        <f t="shared" si="22"/>
        <v>#N/A</v>
      </c>
      <c r="AA493" s="39" t="e">
        <f t="shared" si="23"/>
        <v>#N/A</v>
      </c>
      <c r="AB493" s="39"/>
      <c r="AC493" s="48" t="e">
        <f t="shared" si="25"/>
        <v>#N/A</v>
      </c>
    </row>
    <row r="494" spans="1:29" ht="12.5" x14ac:dyDescent="0.25">
      <c r="A494" s="36"/>
      <c r="B494" s="33"/>
      <c r="C494" s="33"/>
      <c r="D494" s="33"/>
      <c r="E494" s="35"/>
      <c r="F494" s="21"/>
      <c r="G494" s="22" t="e">
        <f>VLOOKUP(E494,'Court List'!$A:$C,2,0)</f>
        <v>#N/A</v>
      </c>
      <c r="H494" s="33"/>
      <c r="I494" s="33"/>
      <c r="J494" s="44" t="e">
        <f t="shared" si="16"/>
        <v>#N/A</v>
      </c>
      <c r="K494" s="36"/>
      <c r="L494" s="18">
        <f>SUM('Shuttle Count - Supreme (Nov 20'!C494:D494)</f>
        <v>0</v>
      </c>
      <c r="M494" s="18" t="e">
        <f>VLOOKUP(K494,'Shuttle Purchase'!A:C,3,0)</f>
        <v>#N/A</v>
      </c>
      <c r="N494" s="44" t="e">
        <f t="shared" si="26"/>
        <v>#N/A</v>
      </c>
      <c r="O494" s="24" t="e">
        <f>VLOOKUP(E494,'Court List'!$A:$C,3,0)</f>
        <v>#N/A</v>
      </c>
      <c r="P494" s="18">
        <f>COUNTIF('Pub List'!$C494:$T494,"&lt;&gt;")</f>
        <v>0</v>
      </c>
      <c r="Q494" s="20" t="e">
        <f t="shared" si="17"/>
        <v>#N/A</v>
      </c>
      <c r="R494" s="36"/>
      <c r="S494" s="18">
        <f>COUNTIF('Member List'!$C494:$J494,"&lt;&gt;")</f>
        <v>0</v>
      </c>
      <c r="T494" s="35"/>
      <c r="U494" s="24">
        <f t="shared" si="18"/>
        <v>0</v>
      </c>
      <c r="V494" s="18" t="e">
        <f t="shared" si="19"/>
        <v>#N/A</v>
      </c>
      <c r="W494" s="45" t="e">
        <f t="shared" si="20"/>
        <v>#N/A</v>
      </c>
      <c r="X494" s="20" t="e">
        <f t="shared" si="21"/>
        <v>#N/A</v>
      </c>
      <c r="Y494" s="46" t="e">
        <f t="shared" si="24"/>
        <v>#N/A</v>
      </c>
      <c r="Z494" s="39" t="e">
        <f t="shared" si="22"/>
        <v>#N/A</v>
      </c>
      <c r="AA494" s="39" t="e">
        <f t="shared" si="23"/>
        <v>#N/A</v>
      </c>
      <c r="AB494" s="39"/>
      <c r="AC494" s="48" t="e">
        <f t="shared" si="25"/>
        <v>#N/A</v>
      </c>
    </row>
    <row r="495" spans="1:29" ht="12.5" x14ac:dyDescent="0.25">
      <c r="A495" s="36"/>
      <c r="B495" s="33"/>
      <c r="C495" s="33"/>
      <c r="D495" s="33"/>
      <c r="E495" s="35"/>
      <c r="F495" s="21"/>
      <c r="G495" s="22" t="e">
        <f>VLOOKUP(E495,'Court List'!$A:$C,2,0)</f>
        <v>#N/A</v>
      </c>
      <c r="H495" s="33"/>
      <c r="I495" s="33"/>
      <c r="J495" s="44" t="e">
        <f t="shared" si="16"/>
        <v>#N/A</v>
      </c>
      <c r="K495" s="36"/>
      <c r="L495" s="18">
        <f>SUM('Shuttle Count - Supreme (Nov 20'!C495:D495)</f>
        <v>0</v>
      </c>
      <c r="M495" s="18" t="e">
        <f>VLOOKUP(K495,'Shuttle Purchase'!A:C,3,0)</f>
        <v>#N/A</v>
      </c>
      <c r="N495" s="44" t="e">
        <f t="shared" si="26"/>
        <v>#N/A</v>
      </c>
      <c r="O495" s="24" t="e">
        <f>VLOOKUP(E495,'Court List'!$A:$C,3,0)</f>
        <v>#N/A</v>
      </c>
      <c r="P495" s="18">
        <f>COUNTIF('Pub List'!$C495:$T495,"&lt;&gt;")</f>
        <v>0</v>
      </c>
      <c r="Q495" s="20" t="e">
        <f t="shared" si="17"/>
        <v>#N/A</v>
      </c>
      <c r="R495" s="36"/>
      <c r="S495" s="18">
        <f>COUNTIF('Member List'!$C495:$J495,"&lt;&gt;")</f>
        <v>0</v>
      </c>
      <c r="T495" s="35"/>
      <c r="U495" s="24">
        <f t="shared" si="18"/>
        <v>0</v>
      </c>
      <c r="V495" s="18" t="e">
        <f t="shared" si="19"/>
        <v>#N/A</v>
      </c>
      <c r="W495" s="45" t="e">
        <f t="shared" si="20"/>
        <v>#N/A</v>
      </c>
      <c r="X495" s="20" t="e">
        <f t="shared" si="21"/>
        <v>#N/A</v>
      </c>
      <c r="Y495" s="46" t="e">
        <f t="shared" si="24"/>
        <v>#N/A</v>
      </c>
      <c r="Z495" s="39" t="e">
        <f t="shared" si="22"/>
        <v>#N/A</v>
      </c>
      <c r="AA495" s="39" t="e">
        <f t="shared" si="23"/>
        <v>#N/A</v>
      </c>
      <c r="AB495" s="39"/>
      <c r="AC495" s="48" t="e">
        <f t="shared" si="25"/>
        <v>#N/A</v>
      </c>
    </row>
    <row r="496" spans="1:29" ht="12.5" x14ac:dyDescent="0.25">
      <c r="A496" s="36"/>
      <c r="B496" s="33"/>
      <c r="C496" s="33"/>
      <c r="D496" s="33"/>
      <c r="E496" s="35"/>
      <c r="F496" s="21"/>
      <c r="G496" s="22" t="e">
        <f>VLOOKUP(E496,'Court List'!$A:$C,2,0)</f>
        <v>#N/A</v>
      </c>
      <c r="H496" s="33"/>
      <c r="I496" s="33"/>
      <c r="J496" s="44" t="e">
        <f t="shared" si="16"/>
        <v>#N/A</v>
      </c>
      <c r="K496" s="36"/>
      <c r="L496" s="18">
        <f>SUM('Shuttle Count - Supreme (Nov 20'!C496:D496)</f>
        <v>0</v>
      </c>
      <c r="M496" s="18" t="e">
        <f>VLOOKUP(K496,'Shuttle Purchase'!A:C,3,0)</f>
        <v>#N/A</v>
      </c>
      <c r="N496" s="44" t="e">
        <f t="shared" si="26"/>
        <v>#N/A</v>
      </c>
      <c r="O496" s="24" t="e">
        <f>VLOOKUP(E496,'Court List'!$A:$C,3,0)</f>
        <v>#N/A</v>
      </c>
      <c r="P496" s="18">
        <f>COUNTIF('Pub List'!$C496:$T496,"&lt;&gt;")</f>
        <v>0</v>
      </c>
      <c r="Q496" s="20" t="e">
        <f t="shared" si="17"/>
        <v>#N/A</v>
      </c>
      <c r="R496" s="36"/>
      <c r="S496" s="18">
        <f>COUNTIF('Member List'!$C496:$J496,"&lt;&gt;")</f>
        <v>0</v>
      </c>
      <c r="T496" s="35"/>
      <c r="U496" s="24">
        <f t="shared" si="18"/>
        <v>0</v>
      </c>
      <c r="V496" s="18" t="e">
        <f t="shared" si="19"/>
        <v>#N/A</v>
      </c>
      <c r="W496" s="45" t="e">
        <f t="shared" si="20"/>
        <v>#N/A</v>
      </c>
      <c r="X496" s="20" t="e">
        <f t="shared" si="21"/>
        <v>#N/A</v>
      </c>
      <c r="Y496" s="46" t="e">
        <f t="shared" si="24"/>
        <v>#N/A</v>
      </c>
      <c r="Z496" s="39" t="e">
        <f t="shared" si="22"/>
        <v>#N/A</v>
      </c>
      <c r="AA496" s="39" t="e">
        <f t="shared" si="23"/>
        <v>#N/A</v>
      </c>
      <c r="AB496" s="39"/>
      <c r="AC496" s="48" t="e">
        <f t="shared" si="25"/>
        <v>#N/A</v>
      </c>
    </row>
    <row r="497" spans="1:29" ht="12.5" x14ac:dyDescent="0.25">
      <c r="A497" s="36"/>
      <c r="B497" s="33"/>
      <c r="C497" s="33"/>
      <c r="D497" s="33"/>
      <c r="E497" s="35"/>
      <c r="F497" s="21"/>
      <c r="G497" s="22" t="e">
        <f>VLOOKUP(E497,'Court List'!$A:$C,2,0)</f>
        <v>#N/A</v>
      </c>
      <c r="H497" s="33"/>
      <c r="I497" s="33"/>
      <c r="J497" s="44" t="e">
        <f t="shared" si="16"/>
        <v>#N/A</v>
      </c>
      <c r="K497" s="36"/>
      <c r="L497" s="18">
        <f>SUM('Shuttle Count - Supreme (Nov 20'!C497:D497)</f>
        <v>0</v>
      </c>
      <c r="M497" s="18" t="e">
        <f>VLOOKUP(K497,'Shuttle Purchase'!A:C,3,0)</f>
        <v>#N/A</v>
      </c>
      <c r="N497" s="44" t="e">
        <f t="shared" si="26"/>
        <v>#N/A</v>
      </c>
      <c r="O497" s="24" t="e">
        <f>VLOOKUP(E497,'Court List'!$A:$C,3,0)</f>
        <v>#N/A</v>
      </c>
      <c r="P497" s="18">
        <f>COUNTIF('Pub List'!$C497:$T497,"&lt;&gt;")</f>
        <v>0</v>
      </c>
      <c r="Q497" s="20" t="e">
        <f t="shared" si="17"/>
        <v>#N/A</v>
      </c>
      <c r="R497" s="36"/>
      <c r="S497" s="18">
        <f>COUNTIF('Member List'!$C497:$J497,"&lt;&gt;")</f>
        <v>0</v>
      </c>
      <c r="T497" s="35"/>
      <c r="U497" s="24">
        <f t="shared" si="18"/>
        <v>0</v>
      </c>
      <c r="V497" s="18" t="e">
        <f t="shared" si="19"/>
        <v>#N/A</v>
      </c>
      <c r="W497" s="45" t="e">
        <f t="shared" si="20"/>
        <v>#N/A</v>
      </c>
      <c r="X497" s="20" t="e">
        <f t="shared" si="21"/>
        <v>#N/A</v>
      </c>
      <c r="Y497" s="46" t="e">
        <f t="shared" si="24"/>
        <v>#N/A</v>
      </c>
      <c r="Z497" s="39" t="e">
        <f t="shared" si="22"/>
        <v>#N/A</v>
      </c>
      <c r="AA497" s="39" t="e">
        <f t="shared" si="23"/>
        <v>#N/A</v>
      </c>
      <c r="AB497" s="39"/>
      <c r="AC497" s="48" t="e">
        <f t="shared" si="25"/>
        <v>#N/A</v>
      </c>
    </row>
    <row r="498" spans="1:29" ht="12.5" x14ac:dyDescent="0.25">
      <c r="A498" s="36"/>
      <c r="B498" s="33"/>
      <c r="C498" s="33"/>
      <c r="D498" s="33"/>
      <c r="E498" s="35"/>
      <c r="F498" s="21"/>
      <c r="G498" s="22" t="e">
        <f>VLOOKUP(E498,'Court List'!$A:$C,2,0)</f>
        <v>#N/A</v>
      </c>
      <c r="H498" s="33"/>
      <c r="I498" s="33"/>
      <c r="J498" s="44" t="e">
        <f t="shared" si="16"/>
        <v>#N/A</v>
      </c>
      <c r="K498" s="36"/>
      <c r="L498" s="18">
        <f>SUM('Shuttle Count - Supreme (Nov 20'!C498:D498)</f>
        <v>0</v>
      </c>
      <c r="M498" s="18" t="e">
        <f>VLOOKUP(K498,'Shuttle Purchase'!A:C,3,0)</f>
        <v>#N/A</v>
      </c>
      <c r="N498" s="44" t="e">
        <f t="shared" si="26"/>
        <v>#N/A</v>
      </c>
      <c r="O498" s="24" t="e">
        <f>VLOOKUP(E498,'Court List'!$A:$C,3,0)</f>
        <v>#N/A</v>
      </c>
      <c r="P498" s="18">
        <f>COUNTIF('Pub List'!$C498:$T498,"&lt;&gt;")</f>
        <v>0</v>
      </c>
      <c r="Q498" s="20" t="e">
        <f t="shared" si="17"/>
        <v>#N/A</v>
      </c>
      <c r="R498" s="36"/>
      <c r="S498" s="18">
        <f>COUNTIF('Member List'!$C498:$J498,"&lt;&gt;")</f>
        <v>0</v>
      </c>
      <c r="T498" s="35"/>
      <c r="U498" s="24">
        <f t="shared" si="18"/>
        <v>0</v>
      </c>
      <c r="V498" s="18" t="e">
        <f t="shared" si="19"/>
        <v>#N/A</v>
      </c>
      <c r="W498" s="45" t="e">
        <f t="shared" si="20"/>
        <v>#N/A</v>
      </c>
      <c r="X498" s="20" t="e">
        <f t="shared" si="21"/>
        <v>#N/A</v>
      </c>
      <c r="Y498" s="46" t="e">
        <f t="shared" si="24"/>
        <v>#N/A</v>
      </c>
      <c r="Z498" s="39" t="e">
        <f t="shared" si="22"/>
        <v>#N/A</v>
      </c>
      <c r="AA498" s="39" t="e">
        <f t="shared" si="23"/>
        <v>#N/A</v>
      </c>
      <c r="AB498" s="39"/>
      <c r="AC498" s="48" t="e">
        <f t="shared" si="25"/>
        <v>#N/A</v>
      </c>
    </row>
    <row r="499" spans="1:29" ht="12.5" x14ac:dyDescent="0.25">
      <c r="A499" s="36"/>
      <c r="B499" s="33"/>
      <c r="C499" s="33"/>
      <c r="D499" s="33"/>
      <c r="E499" s="35"/>
      <c r="F499" s="21"/>
      <c r="G499" s="22" t="e">
        <f>VLOOKUP(E499,'Court List'!$A:$C,2,0)</f>
        <v>#N/A</v>
      </c>
      <c r="H499" s="33"/>
      <c r="I499" s="33"/>
      <c r="J499" s="44" t="e">
        <f t="shared" si="16"/>
        <v>#N/A</v>
      </c>
      <c r="K499" s="36"/>
      <c r="L499" s="18">
        <f>SUM('Shuttle Count - Supreme (Nov 20'!C499:D499)</f>
        <v>0</v>
      </c>
      <c r="M499" s="18" t="e">
        <f>VLOOKUP(K499,'Shuttle Purchase'!A:C,3,0)</f>
        <v>#N/A</v>
      </c>
      <c r="N499" s="44" t="e">
        <f t="shared" si="26"/>
        <v>#N/A</v>
      </c>
      <c r="O499" s="24" t="e">
        <f>VLOOKUP(E499,'Court List'!$A:$C,3,0)</f>
        <v>#N/A</v>
      </c>
      <c r="P499" s="18">
        <f>COUNTIF('Pub List'!$C499:$T499,"&lt;&gt;")</f>
        <v>0</v>
      </c>
      <c r="Q499" s="20" t="e">
        <f t="shared" si="17"/>
        <v>#N/A</v>
      </c>
      <c r="R499" s="36"/>
      <c r="S499" s="18">
        <f>COUNTIF('Member List'!$C499:$J499,"&lt;&gt;")</f>
        <v>0</v>
      </c>
      <c r="T499" s="35"/>
      <c r="U499" s="24">
        <f t="shared" si="18"/>
        <v>0</v>
      </c>
      <c r="V499" s="18" t="e">
        <f t="shared" si="19"/>
        <v>#N/A</v>
      </c>
      <c r="W499" s="45" t="e">
        <f t="shared" si="20"/>
        <v>#N/A</v>
      </c>
      <c r="X499" s="20" t="e">
        <f t="shared" si="21"/>
        <v>#N/A</v>
      </c>
      <c r="Y499" s="46" t="e">
        <f t="shared" si="24"/>
        <v>#N/A</v>
      </c>
      <c r="Z499" s="39" t="e">
        <f t="shared" si="22"/>
        <v>#N/A</v>
      </c>
      <c r="AA499" s="39" t="e">
        <f t="shared" si="23"/>
        <v>#N/A</v>
      </c>
      <c r="AB499" s="39"/>
      <c r="AC499" s="48" t="e">
        <f t="shared" si="25"/>
        <v>#N/A</v>
      </c>
    </row>
    <row r="500" spans="1:29" ht="12.5" x14ac:dyDescent="0.25">
      <c r="A500" s="36"/>
      <c r="B500" s="33"/>
      <c r="C500" s="33"/>
      <c r="D500" s="33"/>
      <c r="E500" s="35"/>
      <c r="F500" s="21"/>
      <c r="G500" s="22" t="e">
        <f>VLOOKUP(E500,'Court List'!$A:$C,2,0)</f>
        <v>#N/A</v>
      </c>
      <c r="H500" s="33"/>
      <c r="I500" s="33"/>
      <c r="J500" s="44" t="e">
        <f t="shared" si="16"/>
        <v>#N/A</v>
      </c>
      <c r="K500" s="36"/>
      <c r="L500" s="18">
        <f>SUM('Shuttle Count - Supreme (Nov 20'!C500:D500)</f>
        <v>0</v>
      </c>
      <c r="M500" s="18" t="e">
        <f>VLOOKUP(K500,'Shuttle Purchase'!A:C,3,0)</f>
        <v>#N/A</v>
      </c>
      <c r="N500" s="44" t="e">
        <f t="shared" si="26"/>
        <v>#N/A</v>
      </c>
      <c r="O500" s="24" t="e">
        <f>VLOOKUP(E500,'Court List'!$A:$C,3,0)</f>
        <v>#N/A</v>
      </c>
      <c r="P500" s="18">
        <f>COUNTIF('Pub List'!$C500:$T500,"&lt;&gt;")</f>
        <v>0</v>
      </c>
      <c r="Q500" s="20" t="e">
        <f t="shared" si="17"/>
        <v>#N/A</v>
      </c>
      <c r="R500" s="36"/>
      <c r="S500" s="18">
        <f>COUNTIF('Member List'!$C500:$J500,"&lt;&gt;")</f>
        <v>0</v>
      </c>
      <c r="T500" s="35"/>
      <c r="U500" s="24">
        <f t="shared" si="18"/>
        <v>0</v>
      </c>
      <c r="V500" s="18" t="e">
        <f t="shared" si="19"/>
        <v>#N/A</v>
      </c>
      <c r="W500" s="45" t="e">
        <f t="shared" si="20"/>
        <v>#N/A</v>
      </c>
      <c r="X500" s="20" t="e">
        <f t="shared" si="21"/>
        <v>#N/A</v>
      </c>
      <c r="Y500" s="46" t="e">
        <f t="shared" si="24"/>
        <v>#N/A</v>
      </c>
      <c r="Z500" s="39" t="e">
        <f t="shared" si="22"/>
        <v>#N/A</v>
      </c>
      <c r="AA500" s="39" t="e">
        <f t="shared" si="23"/>
        <v>#N/A</v>
      </c>
      <c r="AB500" s="39"/>
      <c r="AC500" s="48" t="e">
        <f t="shared" si="25"/>
        <v>#N/A</v>
      </c>
    </row>
    <row r="501" spans="1:29" ht="12.5" x14ac:dyDescent="0.25">
      <c r="A501" s="36"/>
      <c r="B501" s="33"/>
      <c r="C501" s="33"/>
      <c r="D501" s="33"/>
      <c r="E501" s="35"/>
      <c r="F501" s="21"/>
      <c r="G501" s="22" t="e">
        <f>VLOOKUP(E501,'Court List'!$A:$C,2,0)</f>
        <v>#N/A</v>
      </c>
      <c r="H501" s="33"/>
      <c r="I501" s="33"/>
      <c r="J501" s="44" t="e">
        <f t="shared" si="16"/>
        <v>#N/A</v>
      </c>
      <c r="K501" s="36"/>
      <c r="L501" s="18">
        <f>SUM('Shuttle Count - Supreme (Nov 20'!C501:D501)</f>
        <v>0</v>
      </c>
      <c r="M501" s="18" t="e">
        <f>VLOOKUP(K501,'Shuttle Purchase'!A:C,3,0)</f>
        <v>#N/A</v>
      </c>
      <c r="N501" s="44" t="e">
        <f t="shared" si="26"/>
        <v>#N/A</v>
      </c>
      <c r="O501" s="24" t="e">
        <f>VLOOKUP(E501,'Court List'!$A:$C,3,0)</f>
        <v>#N/A</v>
      </c>
      <c r="P501" s="18">
        <f>COUNTIF('Pub List'!$C501:$T501,"&lt;&gt;")</f>
        <v>0</v>
      </c>
      <c r="Q501" s="20" t="e">
        <f t="shared" si="17"/>
        <v>#N/A</v>
      </c>
      <c r="R501" s="36"/>
      <c r="S501" s="18">
        <f>COUNTIF('Member List'!$C501:$J501,"&lt;&gt;")</f>
        <v>0</v>
      </c>
      <c r="T501" s="35"/>
      <c r="U501" s="24">
        <f t="shared" si="18"/>
        <v>0</v>
      </c>
      <c r="V501" s="18" t="e">
        <f t="shared" si="19"/>
        <v>#N/A</v>
      </c>
      <c r="W501" s="45" t="e">
        <f t="shared" si="20"/>
        <v>#N/A</v>
      </c>
      <c r="X501" s="20" t="e">
        <f t="shared" si="21"/>
        <v>#N/A</v>
      </c>
      <c r="Y501" s="46" t="e">
        <f t="shared" si="24"/>
        <v>#N/A</v>
      </c>
      <c r="Z501" s="39" t="e">
        <f t="shared" si="22"/>
        <v>#N/A</v>
      </c>
      <c r="AA501" s="39" t="e">
        <f t="shared" si="23"/>
        <v>#N/A</v>
      </c>
      <c r="AB501" s="39"/>
      <c r="AC501" s="48" t="e">
        <f t="shared" si="25"/>
        <v>#N/A</v>
      </c>
    </row>
    <row r="502" spans="1:29" ht="12.5" x14ac:dyDescent="0.25">
      <c r="A502" s="36"/>
      <c r="B502" s="33"/>
      <c r="C502" s="33"/>
      <c r="D502" s="33"/>
      <c r="E502" s="35"/>
      <c r="F502" s="21"/>
      <c r="G502" s="22" t="e">
        <f>VLOOKUP(E502,'Court List'!$A:$C,2,0)</f>
        <v>#N/A</v>
      </c>
      <c r="H502" s="33"/>
      <c r="I502" s="33"/>
      <c r="J502" s="44" t="e">
        <f t="shared" si="16"/>
        <v>#N/A</v>
      </c>
      <c r="K502" s="36"/>
      <c r="L502" s="18">
        <f>SUM('Shuttle Count - Supreme (Nov 20'!C502:D502)</f>
        <v>0</v>
      </c>
      <c r="M502" s="18" t="e">
        <f>VLOOKUP(K502,'Shuttle Purchase'!A:C,3,0)</f>
        <v>#N/A</v>
      </c>
      <c r="N502" s="44" t="e">
        <f t="shared" si="26"/>
        <v>#N/A</v>
      </c>
      <c r="O502" s="24" t="e">
        <f>VLOOKUP(E502,'Court List'!$A:$C,3,0)</f>
        <v>#N/A</v>
      </c>
      <c r="P502" s="18">
        <f>COUNTIF('Pub List'!$C502:$T502,"&lt;&gt;")</f>
        <v>0</v>
      </c>
      <c r="Q502" s="20" t="e">
        <f t="shared" si="17"/>
        <v>#N/A</v>
      </c>
      <c r="R502" s="36"/>
      <c r="S502" s="18">
        <f>COUNTIF('Member List'!$C502:$J502,"&lt;&gt;")</f>
        <v>0</v>
      </c>
      <c r="T502" s="35"/>
      <c r="U502" s="24">
        <f t="shared" si="18"/>
        <v>0</v>
      </c>
      <c r="V502" s="18" t="e">
        <f t="shared" si="19"/>
        <v>#N/A</v>
      </c>
      <c r="W502" s="45" t="e">
        <f t="shared" si="20"/>
        <v>#N/A</v>
      </c>
      <c r="X502" s="20" t="e">
        <f t="shared" si="21"/>
        <v>#N/A</v>
      </c>
      <c r="Y502" s="46" t="e">
        <f t="shared" si="24"/>
        <v>#N/A</v>
      </c>
      <c r="Z502" s="39" t="e">
        <f t="shared" si="22"/>
        <v>#N/A</v>
      </c>
      <c r="AA502" s="39" t="e">
        <f t="shared" si="23"/>
        <v>#N/A</v>
      </c>
      <c r="AB502" s="39"/>
      <c r="AC502" s="48" t="e">
        <f t="shared" si="25"/>
        <v>#N/A</v>
      </c>
    </row>
    <row r="503" spans="1:29" ht="12.5" x14ac:dyDescent="0.25">
      <c r="A503" s="36"/>
      <c r="B503" s="33"/>
      <c r="C503" s="33"/>
      <c r="D503" s="33"/>
      <c r="E503" s="35"/>
      <c r="F503" s="21"/>
      <c r="G503" s="22" t="e">
        <f>VLOOKUP(E503,'Court List'!$A:$C,2,0)</f>
        <v>#N/A</v>
      </c>
      <c r="H503" s="33"/>
      <c r="I503" s="33"/>
      <c r="J503" s="44" t="e">
        <f t="shared" si="16"/>
        <v>#N/A</v>
      </c>
      <c r="K503" s="36"/>
      <c r="L503" s="18">
        <f>SUM('Shuttle Count - Supreme (Nov 20'!C503:D503)</f>
        <v>0</v>
      </c>
      <c r="M503" s="18" t="e">
        <f>VLOOKUP(K503,'Shuttle Purchase'!A:C,3,0)</f>
        <v>#N/A</v>
      </c>
      <c r="N503" s="44" t="e">
        <f t="shared" si="26"/>
        <v>#N/A</v>
      </c>
      <c r="O503" s="24" t="e">
        <f>VLOOKUP(E503,'Court List'!$A:$C,3,0)</f>
        <v>#N/A</v>
      </c>
      <c r="P503" s="18">
        <f>COUNTIF('Pub List'!$C503:$T503,"&lt;&gt;")</f>
        <v>0</v>
      </c>
      <c r="Q503" s="20" t="e">
        <f t="shared" si="17"/>
        <v>#N/A</v>
      </c>
      <c r="R503" s="36"/>
      <c r="S503" s="18">
        <f>COUNTIF('Member List'!$C503:$J503,"&lt;&gt;")</f>
        <v>0</v>
      </c>
      <c r="T503" s="35"/>
      <c r="U503" s="24">
        <f t="shared" si="18"/>
        <v>0</v>
      </c>
      <c r="V503" s="18" t="e">
        <f t="shared" si="19"/>
        <v>#N/A</v>
      </c>
      <c r="W503" s="45" t="e">
        <f t="shared" si="20"/>
        <v>#N/A</v>
      </c>
      <c r="X503" s="20" t="e">
        <f t="shared" si="21"/>
        <v>#N/A</v>
      </c>
      <c r="Y503" s="46" t="e">
        <f t="shared" si="24"/>
        <v>#N/A</v>
      </c>
      <c r="Z503" s="39" t="e">
        <f t="shared" si="22"/>
        <v>#N/A</v>
      </c>
      <c r="AA503" s="39" t="e">
        <f t="shared" si="23"/>
        <v>#N/A</v>
      </c>
      <c r="AB503" s="39"/>
      <c r="AC503" s="48" t="e">
        <f t="shared" si="25"/>
        <v>#N/A</v>
      </c>
    </row>
    <row r="504" spans="1:29" ht="12.5" x14ac:dyDescent="0.25">
      <c r="A504" s="36"/>
      <c r="B504" s="33"/>
      <c r="C504" s="33"/>
      <c r="D504" s="33"/>
      <c r="E504" s="35"/>
      <c r="F504" s="21"/>
      <c r="G504" s="22" t="e">
        <f>VLOOKUP(E504,'Court List'!$A:$C,2,0)</f>
        <v>#N/A</v>
      </c>
      <c r="H504" s="33"/>
      <c r="I504" s="33"/>
      <c r="J504" s="44" t="e">
        <f t="shared" si="16"/>
        <v>#N/A</v>
      </c>
      <c r="K504" s="36"/>
      <c r="L504" s="18">
        <f>SUM('Shuttle Count - Supreme (Nov 20'!C504:D504)</f>
        <v>0</v>
      </c>
      <c r="M504" s="18" t="e">
        <f>VLOOKUP(K504,'Shuttle Purchase'!A:C,3,0)</f>
        <v>#N/A</v>
      </c>
      <c r="N504" s="44" t="e">
        <f t="shared" si="26"/>
        <v>#N/A</v>
      </c>
      <c r="O504" s="24" t="e">
        <f>VLOOKUP(E504,'Court List'!$A:$C,3,0)</f>
        <v>#N/A</v>
      </c>
      <c r="P504" s="18">
        <f>COUNTIF('Pub List'!$C504:$T504,"&lt;&gt;")</f>
        <v>0</v>
      </c>
      <c r="Q504" s="20" t="e">
        <f t="shared" si="17"/>
        <v>#N/A</v>
      </c>
      <c r="R504" s="36"/>
      <c r="S504" s="18">
        <f>COUNTIF('Member List'!$C504:$J504,"&lt;&gt;")</f>
        <v>0</v>
      </c>
      <c r="T504" s="35"/>
      <c r="U504" s="24">
        <f t="shared" si="18"/>
        <v>0</v>
      </c>
      <c r="V504" s="18" t="e">
        <f t="shared" si="19"/>
        <v>#N/A</v>
      </c>
      <c r="W504" s="45" t="e">
        <f t="shared" si="20"/>
        <v>#N/A</v>
      </c>
      <c r="X504" s="20" t="e">
        <f t="shared" si="21"/>
        <v>#N/A</v>
      </c>
      <c r="Y504" s="46" t="e">
        <f t="shared" si="24"/>
        <v>#N/A</v>
      </c>
      <c r="Z504" s="39" t="e">
        <f t="shared" si="22"/>
        <v>#N/A</v>
      </c>
      <c r="AA504" s="39" t="e">
        <f t="shared" si="23"/>
        <v>#N/A</v>
      </c>
      <c r="AB504" s="39"/>
      <c r="AC504" s="48" t="e">
        <f t="shared" si="25"/>
        <v>#N/A</v>
      </c>
    </row>
    <row r="505" spans="1:29" ht="12.5" x14ac:dyDescent="0.25">
      <c r="A505" s="36"/>
      <c r="B505" s="33"/>
      <c r="C505" s="33"/>
      <c r="D505" s="33"/>
      <c r="E505" s="35"/>
      <c r="F505" s="21"/>
      <c r="G505" s="22" t="e">
        <f>VLOOKUP(E505,'Court List'!$A:$C,2,0)</f>
        <v>#N/A</v>
      </c>
      <c r="H505" s="33"/>
      <c r="I505" s="33"/>
      <c r="J505" s="44" t="e">
        <f t="shared" si="16"/>
        <v>#N/A</v>
      </c>
      <c r="K505" s="36"/>
      <c r="L505" s="18">
        <f>SUM('Shuttle Count - Supreme (Nov 20'!C505:D505)</f>
        <v>0</v>
      </c>
      <c r="M505" s="18" t="e">
        <f>VLOOKUP(K505,'Shuttle Purchase'!A:C,3,0)</f>
        <v>#N/A</v>
      </c>
      <c r="N505" s="44" t="e">
        <f t="shared" si="26"/>
        <v>#N/A</v>
      </c>
      <c r="O505" s="24" t="e">
        <f>VLOOKUP(E505,'Court List'!$A:$C,3,0)</f>
        <v>#N/A</v>
      </c>
      <c r="P505" s="18">
        <f>COUNTIF('Pub List'!$C505:$T505,"&lt;&gt;")</f>
        <v>0</v>
      </c>
      <c r="Q505" s="20" t="e">
        <f t="shared" si="17"/>
        <v>#N/A</v>
      </c>
      <c r="R505" s="36"/>
      <c r="S505" s="18">
        <f>COUNTIF('Member List'!$C505:$J505,"&lt;&gt;")</f>
        <v>0</v>
      </c>
      <c r="T505" s="35"/>
      <c r="U505" s="24">
        <f t="shared" si="18"/>
        <v>0</v>
      </c>
      <c r="V505" s="18" t="e">
        <f t="shared" si="19"/>
        <v>#N/A</v>
      </c>
      <c r="W505" s="45" t="e">
        <f t="shared" si="20"/>
        <v>#N/A</v>
      </c>
      <c r="X505" s="20" t="e">
        <f t="shared" si="21"/>
        <v>#N/A</v>
      </c>
      <c r="Y505" s="46" t="e">
        <f t="shared" si="24"/>
        <v>#N/A</v>
      </c>
      <c r="Z505" s="39" t="e">
        <f t="shared" si="22"/>
        <v>#N/A</v>
      </c>
      <c r="AA505" s="39" t="e">
        <f t="shared" si="23"/>
        <v>#N/A</v>
      </c>
      <c r="AB505" s="39"/>
      <c r="AC505" s="48" t="e">
        <f t="shared" si="25"/>
        <v>#N/A</v>
      </c>
    </row>
    <row r="506" spans="1:29" ht="12.5" x14ac:dyDescent="0.25">
      <c r="A506" s="36"/>
      <c r="B506" s="33"/>
      <c r="C506" s="33"/>
      <c r="D506" s="33"/>
      <c r="E506" s="35"/>
      <c r="F506" s="21"/>
      <c r="G506" s="22" t="e">
        <f>VLOOKUP(E506,'Court List'!$A:$C,2,0)</f>
        <v>#N/A</v>
      </c>
      <c r="H506" s="33"/>
      <c r="I506" s="33"/>
      <c r="J506" s="44" t="e">
        <f t="shared" si="16"/>
        <v>#N/A</v>
      </c>
      <c r="K506" s="36"/>
      <c r="L506" s="18">
        <f>SUM('Shuttle Count - Supreme (Nov 20'!C506:D506)</f>
        <v>0</v>
      </c>
      <c r="M506" s="18" t="e">
        <f>VLOOKUP(K506,'Shuttle Purchase'!A:C,3,0)</f>
        <v>#N/A</v>
      </c>
      <c r="N506" s="44" t="e">
        <f t="shared" si="26"/>
        <v>#N/A</v>
      </c>
      <c r="O506" s="24" t="e">
        <f>VLOOKUP(E506,'Court List'!$A:$C,3,0)</f>
        <v>#N/A</v>
      </c>
      <c r="P506" s="18">
        <f>COUNTIF('Pub List'!$C506:$T506,"&lt;&gt;")</f>
        <v>0</v>
      </c>
      <c r="Q506" s="20" t="e">
        <f t="shared" si="17"/>
        <v>#N/A</v>
      </c>
      <c r="R506" s="36"/>
      <c r="S506" s="18">
        <f>COUNTIF('Member List'!$C506:$J506,"&lt;&gt;")</f>
        <v>0</v>
      </c>
      <c r="T506" s="35"/>
      <c r="U506" s="24">
        <f t="shared" si="18"/>
        <v>0</v>
      </c>
      <c r="V506" s="18" t="e">
        <f t="shared" si="19"/>
        <v>#N/A</v>
      </c>
      <c r="W506" s="45" t="e">
        <f t="shared" si="20"/>
        <v>#N/A</v>
      </c>
      <c r="X506" s="20" t="e">
        <f t="shared" si="21"/>
        <v>#N/A</v>
      </c>
      <c r="Y506" s="46" t="e">
        <f t="shared" si="24"/>
        <v>#N/A</v>
      </c>
      <c r="Z506" s="39" t="e">
        <f t="shared" si="22"/>
        <v>#N/A</v>
      </c>
      <c r="AA506" s="39" t="e">
        <f t="shared" si="23"/>
        <v>#N/A</v>
      </c>
      <c r="AB506" s="39"/>
      <c r="AC506" s="48" t="e">
        <f t="shared" si="25"/>
        <v>#N/A</v>
      </c>
    </row>
    <row r="507" spans="1:29" ht="12.5" x14ac:dyDescent="0.25">
      <c r="A507" s="36"/>
      <c r="B507" s="33"/>
      <c r="C507" s="33"/>
      <c r="D507" s="33"/>
      <c r="E507" s="35"/>
      <c r="F507" s="21"/>
      <c r="G507" s="22" t="e">
        <f>VLOOKUP(E507,'Court List'!$A:$C,2,0)</f>
        <v>#N/A</v>
      </c>
      <c r="H507" s="33"/>
      <c r="I507" s="33"/>
      <c r="J507" s="44" t="e">
        <f t="shared" si="16"/>
        <v>#N/A</v>
      </c>
      <c r="K507" s="36"/>
      <c r="L507" s="18">
        <f>SUM('Shuttle Count - Supreme (Nov 20'!C507:D507)</f>
        <v>0</v>
      </c>
      <c r="M507" s="18" t="e">
        <f>VLOOKUP(K507,'Shuttle Purchase'!A:C,3,0)</f>
        <v>#N/A</v>
      </c>
      <c r="N507" s="44" t="e">
        <f t="shared" si="26"/>
        <v>#N/A</v>
      </c>
      <c r="O507" s="24" t="e">
        <f>VLOOKUP(E507,'Court List'!$A:$C,3,0)</f>
        <v>#N/A</v>
      </c>
      <c r="P507" s="18">
        <f>COUNTIF('Pub List'!$C507:$T507,"&lt;&gt;")</f>
        <v>0</v>
      </c>
      <c r="Q507" s="20" t="e">
        <f t="shared" si="17"/>
        <v>#N/A</v>
      </c>
      <c r="R507" s="36"/>
      <c r="S507" s="18">
        <f>COUNTIF('Member List'!$C507:$J507,"&lt;&gt;")</f>
        <v>0</v>
      </c>
      <c r="T507" s="35"/>
      <c r="U507" s="24">
        <f t="shared" si="18"/>
        <v>0</v>
      </c>
      <c r="V507" s="18" t="e">
        <f t="shared" si="19"/>
        <v>#N/A</v>
      </c>
      <c r="W507" s="45" t="e">
        <f t="shared" si="20"/>
        <v>#N/A</v>
      </c>
      <c r="X507" s="20" t="e">
        <f t="shared" si="21"/>
        <v>#N/A</v>
      </c>
      <c r="Y507" s="46" t="e">
        <f t="shared" si="24"/>
        <v>#N/A</v>
      </c>
      <c r="Z507" s="39" t="e">
        <f t="shared" si="22"/>
        <v>#N/A</v>
      </c>
      <c r="AA507" s="39" t="e">
        <f t="shared" si="23"/>
        <v>#N/A</v>
      </c>
      <c r="AB507" s="39"/>
      <c r="AC507" s="48" t="e">
        <f t="shared" si="25"/>
        <v>#N/A</v>
      </c>
    </row>
    <row r="508" spans="1:29" ht="12.5" x14ac:dyDescent="0.25">
      <c r="A508" s="36"/>
      <c r="B508" s="33"/>
      <c r="C508" s="33"/>
      <c r="D508" s="33"/>
      <c r="E508" s="35"/>
      <c r="F508" s="21"/>
      <c r="G508" s="22" t="e">
        <f>VLOOKUP(E508,'Court List'!$A:$C,2,0)</f>
        <v>#N/A</v>
      </c>
      <c r="H508" s="33"/>
      <c r="I508" s="33"/>
      <c r="J508" s="44" t="e">
        <f t="shared" si="16"/>
        <v>#N/A</v>
      </c>
      <c r="K508" s="36"/>
      <c r="L508" s="18">
        <f>SUM('Shuttle Count - Supreme (Nov 20'!C508:D508)</f>
        <v>0</v>
      </c>
      <c r="M508" s="18" t="e">
        <f>VLOOKUP(K508,'Shuttle Purchase'!A:C,3,0)</f>
        <v>#N/A</v>
      </c>
      <c r="N508" s="44" t="e">
        <f t="shared" si="26"/>
        <v>#N/A</v>
      </c>
      <c r="O508" s="24" t="e">
        <f>VLOOKUP(E508,'Court List'!$A:$C,3,0)</f>
        <v>#N/A</v>
      </c>
      <c r="P508" s="18">
        <f>COUNTIF('Pub List'!$C508:$T508,"&lt;&gt;")</f>
        <v>0</v>
      </c>
      <c r="Q508" s="20" t="e">
        <f t="shared" si="17"/>
        <v>#N/A</v>
      </c>
      <c r="R508" s="36"/>
      <c r="S508" s="18">
        <f>COUNTIF('Member List'!$C508:$J508,"&lt;&gt;")</f>
        <v>0</v>
      </c>
      <c r="T508" s="35"/>
      <c r="U508" s="24">
        <f t="shared" si="18"/>
        <v>0</v>
      </c>
      <c r="V508" s="18" t="e">
        <f t="shared" si="19"/>
        <v>#N/A</v>
      </c>
      <c r="W508" s="45" t="e">
        <f t="shared" si="20"/>
        <v>#N/A</v>
      </c>
      <c r="X508" s="20" t="e">
        <f t="shared" si="21"/>
        <v>#N/A</v>
      </c>
      <c r="Y508" s="46" t="e">
        <f t="shared" si="24"/>
        <v>#N/A</v>
      </c>
      <c r="Z508" s="39" t="e">
        <f t="shared" si="22"/>
        <v>#N/A</v>
      </c>
      <c r="AA508" s="39" t="e">
        <f t="shared" si="23"/>
        <v>#N/A</v>
      </c>
      <c r="AB508" s="39"/>
      <c r="AC508" s="48" t="e">
        <f t="shared" si="25"/>
        <v>#N/A</v>
      </c>
    </row>
    <row r="509" spans="1:29" ht="12.5" x14ac:dyDescent="0.25">
      <c r="A509" s="36"/>
      <c r="B509" s="33"/>
      <c r="C509" s="33"/>
      <c r="D509" s="33"/>
      <c r="E509" s="35"/>
      <c r="F509" s="21"/>
      <c r="G509" s="22" t="e">
        <f>VLOOKUP(E509,'Court List'!$A:$C,2,0)</f>
        <v>#N/A</v>
      </c>
      <c r="H509" s="33"/>
      <c r="I509" s="33"/>
      <c r="J509" s="44" t="e">
        <f t="shared" si="16"/>
        <v>#N/A</v>
      </c>
      <c r="K509" s="36"/>
      <c r="L509" s="18">
        <f>SUM('Shuttle Count - Supreme (Nov 20'!C509:D509)</f>
        <v>0</v>
      </c>
      <c r="M509" s="18" t="e">
        <f>VLOOKUP(K509,'Shuttle Purchase'!A:C,3,0)</f>
        <v>#N/A</v>
      </c>
      <c r="N509" s="44" t="e">
        <f t="shared" si="26"/>
        <v>#N/A</v>
      </c>
      <c r="O509" s="24" t="e">
        <f>VLOOKUP(E509,'Court List'!$A:$C,3,0)</f>
        <v>#N/A</v>
      </c>
      <c r="P509" s="18">
        <f>COUNTIF('Pub List'!$C509:$T509,"&lt;&gt;")</f>
        <v>0</v>
      </c>
      <c r="Q509" s="20" t="e">
        <f t="shared" si="17"/>
        <v>#N/A</v>
      </c>
      <c r="R509" s="36"/>
      <c r="S509" s="18">
        <f>COUNTIF('Member List'!$C509:$J509,"&lt;&gt;")</f>
        <v>0</v>
      </c>
      <c r="T509" s="35"/>
      <c r="U509" s="24">
        <f t="shared" si="18"/>
        <v>0</v>
      </c>
      <c r="V509" s="18" t="e">
        <f t="shared" si="19"/>
        <v>#N/A</v>
      </c>
      <c r="W509" s="45" t="e">
        <f t="shared" si="20"/>
        <v>#N/A</v>
      </c>
      <c r="X509" s="20" t="e">
        <f t="shared" si="21"/>
        <v>#N/A</v>
      </c>
      <c r="Y509" s="46" t="e">
        <f t="shared" si="24"/>
        <v>#N/A</v>
      </c>
      <c r="Z509" s="39" t="e">
        <f t="shared" si="22"/>
        <v>#N/A</v>
      </c>
      <c r="AA509" s="39" t="e">
        <f t="shared" si="23"/>
        <v>#N/A</v>
      </c>
      <c r="AB509" s="39"/>
      <c r="AC509" s="48" t="e">
        <f t="shared" si="25"/>
        <v>#N/A</v>
      </c>
    </row>
    <row r="510" spans="1:29" ht="12.5" x14ac:dyDescent="0.25">
      <c r="A510" s="36"/>
      <c r="B510" s="33"/>
      <c r="C510" s="33"/>
      <c r="D510" s="33"/>
      <c r="E510" s="35"/>
      <c r="F510" s="21"/>
      <c r="G510" s="22" t="e">
        <f>VLOOKUP(E510,'Court List'!$A:$C,2,0)</f>
        <v>#N/A</v>
      </c>
      <c r="H510" s="33"/>
      <c r="I510" s="33"/>
      <c r="J510" s="44" t="e">
        <f t="shared" si="16"/>
        <v>#N/A</v>
      </c>
      <c r="K510" s="36"/>
      <c r="L510" s="18">
        <f>SUM('Shuttle Count - Supreme (Nov 20'!C510:D510)</f>
        <v>0</v>
      </c>
      <c r="M510" s="18" t="e">
        <f>VLOOKUP(K510,'Shuttle Purchase'!A:C,3,0)</f>
        <v>#N/A</v>
      </c>
      <c r="N510" s="44" t="e">
        <f t="shared" si="26"/>
        <v>#N/A</v>
      </c>
      <c r="O510" s="24" t="e">
        <f>VLOOKUP(E510,'Court List'!$A:$C,3,0)</f>
        <v>#N/A</v>
      </c>
      <c r="P510" s="18">
        <f>COUNTIF('Pub List'!$C510:$T510,"&lt;&gt;")</f>
        <v>0</v>
      </c>
      <c r="Q510" s="20" t="e">
        <f t="shared" si="17"/>
        <v>#N/A</v>
      </c>
      <c r="R510" s="36"/>
      <c r="S510" s="18">
        <f>COUNTIF('Member List'!$C510:$J510,"&lt;&gt;")</f>
        <v>0</v>
      </c>
      <c r="T510" s="35"/>
      <c r="U510" s="24">
        <f t="shared" si="18"/>
        <v>0</v>
      </c>
      <c r="V510" s="18" t="e">
        <f t="shared" si="19"/>
        <v>#N/A</v>
      </c>
      <c r="W510" s="45" t="e">
        <f t="shared" si="20"/>
        <v>#N/A</v>
      </c>
      <c r="X510" s="20" t="e">
        <f t="shared" si="21"/>
        <v>#N/A</v>
      </c>
      <c r="Y510" s="46" t="e">
        <f t="shared" si="24"/>
        <v>#N/A</v>
      </c>
      <c r="Z510" s="39" t="e">
        <f t="shared" si="22"/>
        <v>#N/A</v>
      </c>
      <c r="AA510" s="39" t="e">
        <f t="shared" si="23"/>
        <v>#N/A</v>
      </c>
      <c r="AB510" s="39"/>
      <c r="AC510" s="48" t="e">
        <f t="shared" si="25"/>
        <v>#N/A</v>
      </c>
    </row>
    <row r="511" spans="1:29" ht="12.5" x14ac:dyDescent="0.25">
      <c r="A511" s="36"/>
      <c r="B511" s="33"/>
      <c r="C511" s="33"/>
      <c r="D511" s="33"/>
      <c r="E511" s="35"/>
      <c r="F511" s="21"/>
      <c r="G511" s="22" t="e">
        <f>VLOOKUP(E511,'Court List'!$A:$C,2,0)</f>
        <v>#N/A</v>
      </c>
      <c r="H511" s="33"/>
      <c r="I511" s="33"/>
      <c r="J511" s="44" t="e">
        <f t="shared" si="16"/>
        <v>#N/A</v>
      </c>
      <c r="K511" s="36"/>
      <c r="L511" s="18">
        <f>SUM('Shuttle Count - Supreme (Nov 20'!C511:D511)</f>
        <v>0</v>
      </c>
      <c r="M511" s="18" t="e">
        <f>VLOOKUP(K511,'Shuttle Purchase'!A:C,3,0)</f>
        <v>#N/A</v>
      </c>
      <c r="N511" s="44" t="e">
        <f t="shared" si="26"/>
        <v>#N/A</v>
      </c>
      <c r="O511" s="24" t="e">
        <f>VLOOKUP(E511,'Court List'!$A:$C,3,0)</f>
        <v>#N/A</v>
      </c>
      <c r="P511" s="18">
        <f>COUNTIF('Pub List'!$C511:$T511,"&lt;&gt;")</f>
        <v>0</v>
      </c>
      <c r="Q511" s="20" t="e">
        <f t="shared" si="17"/>
        <v>#N/A</v>
      </c>
      <c r="R511" s="36"/>
      <c r="S511" s="18">
        <f>COUNTIF('Member List'!$C511:$J511,"&lt;&gt;")</f>
        <v>0</v>
      </c>
      <c r="T511" s="35"/>
      <c r="U511" s="24">
        <f t="shared" si="18"/>
        <v>0</v>
      </c>
      <c r="V511" s="18" t="e">
        <f t="shared" si="19"/>
        <v>#N/A</v>
      </c>
      <c r="W511" s="45" t="e">
        <f t="shared" si="20"/>
        <v>#N/A</v>
      </c>
      <c r="X511" s="20" t="e">
        <f t="shared" si="21"/>
        <v>#N/A</v>
      </c>
      <c r="Y511" s="46" t="e">
        <f t="shared" si="24"/>
        <v>#N/A</v>
      </c>
      <c r="Z511" s="39" t="e">
        <f t="shared" si="22"/>
        <v>#N/A</v>
      </c>
      <c r="AA511" s="39" t="e">
        <f t="shared" si="23"/>
        <v>#N/A</v>
      </c>
      <c r="AB511" s="39"/>
      <c r="AC511" s="48" t="e">
        <f t="shared" si="25"/>
        <v>#N/A</v>
      </c>
    </row>
    <row r="512" spans="1:29" ht="12.5" x14ac:dyDescent="0.25">
      <c r="A512" s="36"/>
      <c r="B512" s="33"/>
      <c r="C512" s="33"/>
      <c r="D512" s="33"/>
      <c r="E512" s="35"/>
      <c r="F512" s="21"/>
      <c r="G512" s="22" t="e">
        <f>VLOOKUP(E512,'Court List'!$A:$C,2,0)</f>
        <v>#N/A</v>
      </c>
      <c r="H512" s="33"/>
      <c r="I512" s="33"/>
      <c r="J512" s="44" t="e">
        <f t="shared" si="16"/>
        <v>#N/A</v>
      </c>
      <c r="K512" s="36"/>
      <c r="L512" s="18">
        <f>SUM('Shuttle Count - Supreme (Nov 20'!C512:D512)</f>
        <v>0</v>
      </c>
      <c r="M512" s="18" t="e">
        <f>VLOOKUP(K512,'Shuttle Purchase'!A:C,3,0)</f>
        <v>#N/A</v>
      </c>
      <c r="N512" s="44" t="e">
        <f t="shared" si="26"/>
        <v>#N/A</v>
      </c>
      <c r="O512" s="24" t="e">
        <f>VLOOKUP(E512,'Court List'!$A:$C,3,0)</f>
        <v>#N/A</v>
      </c>
      <c r="P512" s="18">
        <f>COUNTIF('Pub List'!$C512:$T512,"&lt;&gt;")</f>
        <v>0</v>
      </c>
      <c r="Q512" s="20" t="e">
        <f t="shared" si="17"/>
        <v>#N/A</v>
      </c>
      <c r="R512" s="36"/>
      <c r="S512" s="18">
        <f>COUNTIF('Member List'!$C512:$J512,"&lt;&gt;")</f>
        <v>0</v>
      </c>
      <c r="T512" s="35"/>
      <c r="U512" s="24">
        <f t="shared" si="18"/>
        <v>0</v>
      </c>
      <c r="V512" s="18" t="e">
        <f t="shared" si="19"/>
        <v>#N/A</v>
      </c>
      <c r="W512" s="45" t="e">
        <f t="shared" si="20"/>
        <v>#N/A</v>
      </c>
      <c r="X512" s="20" t="e">
        <f t="shared" si="21"/>
        <v>#N/A</v>
      </c>
      <c r="Y512" s="46" t="e">
        <f t="shared" si="24"/>
        <v>#N/A</v>
      </c>
      <c r="Z512" s="39" t="e">
        <f t="shared" si="22"/>
        <v>#N/A</v>
      </c>
      <c r="AA512" s="39" t="e">
        <f t="shared" si="23"/>
        <v>#N/A</v>
      </c>
      <c r="AB512" s="39"/>
      <c r="AC512" s="48" t="e">
        <f t="shared" si="25"/>
        <v>#N/A</v>
      </c>
    </row>
    <row r="513" spans="1:29" ht="12.5" x14ac:dyDescent="0.25">
      <c r="A513" s="36"/>
      <c r="B513" s="33"/>
      <c r="C513" s="33"/>
      <c r="D513" s="33"/>
      <c r="E513" s="35"/>
      <c r="F513" s="21"/>
      <c r="G513" s="22" t="e">
        <f>VLOOKUP(E513,'Court List'!$A:$C,2,0)</f>
        <v>#N/A</v>
      </c>
      <c r="H513" s="33"/>
      <c r="I513" s="33"/>
      <c r="J513" s="44" t="e">
        <f t="shared" si="16"/>
        <v>#N/A</v>
      </c>
      <c r="K513" s="36"/>
      <c r="L513" s="18">
        <f>SUM('Shuttle Count - Supreme (Nov 20'!C513:D513)</f>
        <v>0</v>
      </c>
      <c r="M513" s="18" t="e">
        <f>VLOOKUP(K513,'Shuttle Purchase'!A:C,3,0)</f>
        <v>#N/A</v>
      </c>
      <c r="N513" s="44" t="e">
        <f t="shared" si="26"/>
        <v>#N/A</v>
      </c>
      <c r="O513" s="24" t="e">
        <f>VLOOKUP(E513,'Court List'!$A:$C,3,0)</f>
        <v>#N/A</v>
      </c>
      <c r="P513" s="18">
        <f>COUNTIF('Pub List'!$C513:$T513,"&lt;&gt;")</f>
        <v>0</v>
      </c>
      <c r="Q513" s="20" t="e">
        <f t="shared" si="17"/>
        <v>#N/A</v>
      </c>
      <c r="R513" s="36"/>
      <c r="S513" s="18">
        <f>COUNTIF('Member List'!$C513:$J513,"&lt;&gt;")</f>
        <v>0</v>
      </c>
      <c r="T513" s="35"/>
      <c r="U513" s="24">
        <f t="shared" si="18"/>
        <v>0</v>
      </c>
      <c r="V513" s="18" t="e">
        <f t="shared" si="19"/>
        <v>#N/A</v>
      </c>
      <c r="W513" s="45" t="e">
        <f t="shared" si="20"/>
        <v>#N/A</v>
      </c>
      <c r="X513" s="20" t="e">
        <f t="shared" si="21"/>
        <v>#N/A</v>
      </c>
      <c r="Y513" s="46" t="e">
        <f t="shared" si="24"/>
        <v>#N/A</v>
      </c>
      <c r="Z513" s="39" t="e">
        <f t="shared" si="22"/>
        <v>#N/A</v>
      </c>
      <c r="AA513" s="39" t="e">
        <f t="shared" si="23"/>
        <v>#N/A</v>
      </c>
      <c r="AB513" s="39"/>
      <c r="AC513" s="48" t="e">
        <f t="shared" si="25"/>
        <v>#N/A</v>
      </c>
    </row>
    <row r="514" spans="1:29" ht="12.5" x14ac:dyDescent="0.25">
      <c r="A514" s="36"/>
      <c r="B514" s="33"/>
      <c r="C514" s="33"/>
      <c r="D514" s="33"/>
      <c r="E514" s="35"/>
      <c r="F514" s="21"/>
      <c r="G514" s="22" t="e">
        <f>VLOOKUP(E514,'Court List'!$A:$C,2,0)</f>
        <v>#N/A</v>
      </c>
      <c r="H514" s="33"/>
      <c r="I514" s="33"/>
      <c r="J514" s="44" t="e">
        <f t="shared" si="16"/>
        <v>#N/A</v>
      </c>
      <c r="K514" s="36"/>
      <c r="L514" s="18">
        <f>SUM('Shuttle Count - Supreme (Nov 20'!C514:D514)</f>
        <v>0</v>
      </c>
      <c r="M514" s="18" t="e">
        <f>VLOOKUP(K514,'Shuttle Purchase'!A:C,3,0)</f>
        <v>#N/A</v>
      </c>
      <c r="N514" s="44" t="e">
        <f t="shared" si="26"/>
        <v>#N/A</v>
      </c>
      <c r="O514" s="24" t="e">
        <f>VLOOKUP(E514,'Court List'!$A:$C,3,0)</f>
        <v>#N/A</v>
      </c>
      <c r="P514" s="18">
        <f>COUNTIF('Pub List'!$C514:$T514,"&lt;&gt;")</f>
        <v>0</v>
      </c>
      <c r="Q514" s="20" t="e">
        <f t="shared" si="17"/>
        <v>#N/A</v>
      </c>
      <c r="R514" s="36"/>
      <c r="S514" s="18">
        <f>COUNTIF('Member List'!$C514:$J514,"&lt;&gt;")</f>
        <v>0</v>
      </c>
      <c r="T514" s="35"/>
      <c r="U514" s="24">
        <f t="shared" si="18"/>
        <v>0</v>
      </c>
      <c r="V514" s="18" t="e">
        <f t="shared" si="19"/>
        <v>#N/A</v>
      </c>
      <c r="W514" s="45" t="e">
        <f t="shared" si="20"/>
        <v>#N/A</v>
      </c>
      <c r="X514" s="20" t="e">
        <f t="shared" si="21"/>
        <v>#N/A</v>
      </c>
      <c r="Y514" s="46" t="e">
        <f t="shared" si="24"/>
        <v>#N/A</v>
      </c>
      <c r="Z514" s="39" t="e">
        <f t="shared" si="22"/>
        <v>#N/A</v>
      </c>
      <c r="AA514" s="39" t="e">
        <f t="shared" si="23"/>
        <v>#N/A</v>
      </c>
      <c r="AB514" s="39"/>
      <c r="AC514" s="48" t="e">
        <f t="shared" si="25"/>
        <v>#N/A</v>
      </c>
    </row>
    <row r="515" spans="1:29" ht="12.5" x14ac:dyDescent="0.25">
      <c r="A515" s="36"/>
      <c r="B515" s="33"/>
      <c r="C515" s="33"/>
      <c r="D515" s="33"/>
      <c r="E515" s="35"/>
      <c r="F515" s="21"/>
      <c r="G515" s="22" t="e">
        <f>VLOOKUP(E515,'Court List'!$A:$C,2,0)</f>
        <v>#N/A</v>
      </c>
      <c r="H515" s="33"/>
      <c r="I515" s="33"/>
      <c r="J515" s="44" t="e">
        <f t="shared" si="16"/>
        <v>#N/A</v>
      </c>
      <c r="K515" s="36"/>
      <c r="L515" s="18">
        <f>SUM('Shuttle Count - Supreme (Nov 20'!C515:D515)</f>
        <v>0</v>
      </c>
      <c r="M515" s="18" t="e">
        <f>VLOOKUP(K515,'Shuttle Purchase'!A:C,3,0)</f>
        <v>#N/A</v>
      </c>
      <c r="N515" s="44" t="e">
        <f t="shared" si="26"/>
        <v>#N/A</v>
      </c>
      <c r="O515" s="24" t="e">
        <f>VLOOKUP(E515,'Court List'!$A:$C,3,0)</f>
        <v>#N/A</v>
      </c>
      <c r="P515" s="18">
        <f>COUNTIF('Pub List'!$C515:$T515,"&lt;&gt;")</f>
        <v>0</v>
      </c>
      <c r="Q515" s="20" t="e">
        <f t="shared" si="17"/>
        <v>#N/A</v>
      </c>
      <c r="R515" s="36"/>
      <c r="S515" s="18">
        <f>COUNTIF('Member List'!$C515:$J515,"&lt;&gt;")</f>
        <v>0</v>
      </c>
      <c r="T515" s="35"/>
      <c r="U515" s="24">
        <f t="shared" si="18"/>
        <v>0</v>
      </c>
      <c r="V515" s="18" t="e">
        <f t="shared" si="19"/>
        <v>#N/A</v>
      </c>
      <c r="W515" s="45" t="e">
        <f t="shared" si="20"/>
        <v>#N/A</v>
      </c>
      <c r="X515" s="20" t="e">
        <f t="shared" si="21"/>
        <v>#N/A</v>
      </c>
      <c r="Y515" s="46" t="e">
        <f t="shared" si="24"/>
        <v>#N/A</v>
      </c>
      <c r="Z515" s="39" t="e">
        <f t="shared" si="22"/>
        <v>#N/A</v>
      </c>
      <c r="AA515" s="39" t="e">
        <f t="shared" si="23"/>
        <v>#N/A</v>
      </c>
      <c r="AB515" s="39"/>
      <c r="AC515" s="48" t="e">
        <f t="shared" si="25"/>
        <v>#N/A</v>
      </c>
    </row>
    <row r="516" spans="1:29" ht="12.5" x14ac:dyDescent="0.25">
      <c r="A516" s="36"/>
      <c r="B516" s="33"/>
      <c r="C516" s="33"/>
      <c r="D516" s="33"/>
      <c r="E516" s="35"/>
      <c r="F516" s="21"/>
      <c r="G516" s="22" t="e">
        <f>VLOOKUP(E516,'Court List'!$A:$C,2,0)</f>
        <v>#N/A</v>
      </c>
      <c r="H516" s="33"/>
      <c r="I516" s="33"/>
      <c r="J516" s="44" t="e">
        <f t="shared" ref="J516:J770" si="27">G516*(H516*I516)</f>
        <v>#N/A</v>
      </c>
      <c r="K516" s="36"/>
      <c r="L516" s="18">
        <f>SUM('Shuttle Count - Supreme (Nov 20'!C516:D516)</f>
        <v>0</v>
      </c>
      <c r="M516" s="18" t="e">
        <f>VLOOKUP(K516,'Shuttle Purchase'!A:C,3,0)</f>
        <v>#N/A</v>
      </c>
      <c r="N516" s="44" t="e">
        <f t="shared" si="26"/>
        <v>#N/A</v>
      </c>
      <c r="O516" s="24" t="e">
        <f>VLOOKUP(E516,'Court List'!$A:$C,3,0)</f>
        <v>#N/A</v>
      </c>
      <c r="P516" s="18">
        <f>COUNTIF('Pub List'!$C516:$T516,"&lt;&gt;")</f>
        <v>0</v>
      </c>
      <c r="Q516" s="20" t="e">
        <f t="shared" ref="Q516:Q770" si="28">O516*P516</f>
        <v>#N/A</v>
      </c>
      <c r="R516" s="36"/>
      <c r="S516" s="18">
        <f>COUNTIF('Member List'!$C516:$J516,"&lt;&gt;")</f>
        <v>0</v>
      </c>
      <c r="T516" s="35"/>
      <c r="U516" s="24">
        <f t="shared" ref="U516:U770" si="29">P516+S516</f>
        <v>0</v>
      </c>
      <c r="V516" s="18" t="e">
        <f t="shared" ref="V516:V770" si="30">Q516</f>
        <v>#N/A</v>
      </c>
      <c r="W516" s="45" t="e">
        <f t="shared" ref="W516:W770" si="31">J516+N516</f>
        <v>#N/A</v>
      </c>
      <c r="X516" s="20" t="e">
        <f t="shared" ref="X516:X770" si="32">V516-W516</f>
        <v>#N/A</v>
      </c>
      <c r="Y516" s="46" t="e">
        <f t="shared" si="24"/>
        <v>#N/A</v>
      </c>
      <c r="Z516" s="39" t="e">
        <f t="shared" ref="Z516:Z770" si="33">V516</f>
        <v>#N/A</v>
      </c>
      <c r="AA516" s="39" t="e">
        <f t="shared" ref="AA516:AA770" si="34">-J516</f>
        <v>#N/A</v>
      </c>
      <c r="AB516" s="39"/>
      <c r="AC516" s="48" t="e">
        <f t="shared" si="25"/>
        <v>#N/A</v>
      </c>
    </row>
    <row r="517" spans="1:29" ht="12.5" x14ac:dyDescent="0.25">
      <c r="A517" s="36"/>
      <c r="B517" s="33"/>
      <c r="C517" s="33"/>
      <c r="D517" s="33"/>
      <c r="E517" s="35"/>
      <c r="F517" s="21"/>
      <c r="G517" s="22" t="e">
        <f>VLOOKUP(E517,'Court List'!$A:$C,2,0)</f>
        <v>#N/A</v>
      </c>
      <c r="H517" s="33"/>
      <c r="I517" s="33"/>
      <c r="J517" s="44" t="e">
        <f t="shared" si="27"/>
        <v>#N/A</v>
      </c>
      <c r="K517" s="36"/>
      <c r="L517" s="18">
        <f>SUM('Shuttle Count - Supreme (Nov 20'!C517:D517)</f>
        <v>0</v>
      </c>
      <c r="M517" s="18" t="e">
        <f>VLOOKUP(K517,'Shuttle Purchase'!A:C,3,0)</f>
        <v>#N/A</v>
      </c>
      <c r="N517" s="44" t="e">
        <f t="shared" si="26"/>
        <v>#N/A</v>
      </c>
      <c r="O517" s="24" t="e">
        <f>VLOOKUP(E517,'Court List'!$A:$C,3,0)</f>
        <v>#N/A</v>
      </c>
      <c r="P517" s="18">
        <f>COUNTIF('Pub List'!$C517:$T517,"&lt;&gt;")</f>
        <v>0</v>
      </c>
      <c r="Q517" s="20" t="e">
        <f t="shared" si="28"/>
        <v>#N/A</v>
      </c>
      <c r="R517" s="36"/>
      <c r="S517" s="18">
        <f>COUNTIF('Member List'!$C517:$J517,"&lt;&gt;")</f>
        <v>0</v>
      </c>
      <c r="T517" s="35"/>
      <c r="U517" s="24">
        <f t="shared" si="29"/>
        <v>0</v>
      </c>
      <c r="V517" s="18" t="e">
        <f t="shared" si="30"/>
        <v>#N/A</v>
      </c>
      <c r="W517" s="45" t="e">
        <f t="shared" si="31"/>
        <v>#N/A</v>
      </c>
      <c r="X517" s="20" t="e">
        <f t="shared" si="32"/>
        <v>#N/A</v>
      </c>
      <c r="Y517" s="46" t="e">
        <f t="shared" ref="Y517:Y771" si="35">Y516+X517</f>
        <v>#N/A</v>
      </c>
      <c r="Z517" s="39" t="e">
        <f t="shared" si="33"/>
        <v>#N/A</v>
      </c>
      <c r="AA517" s="39" t="e">
        <f t="shared" si="34"/>
        <v>#N/A</v>
      </c>
      <c r="AB517" s="39"/>
      <c r="AC517" s="48" t="e">
        <f t="shared" ref="AC517:AC771" si="36">AC516+Z517+AA517+AB517</f>
        <v>#N/A</v>
      </c>
    </row>
    <row r="518" spans="1:29" ht="12.5" x14ac:dyDescent="0.25">
      <c r="A518" s="36"/>
      <c r="B518" s="33"/>
      <c r="C518" s="33"/>
      <c r="D518" s="33"/>
      <c r="E518" s="35"/>
      <c r="F518" s="21"/>
      <c r="G518" s="22" t="e">
        <f>VLOOKUP(E518,'Court List'!$A:$C,2,0)</f>
        <v>#N/A</v>
      </c>
      <c r="H518" s="33"/>
      <c r="I518" s="33"/>
      <c r="J518" s="44" t="e">
        <f t="shared" si="27"/>
        <v>#N/A</v>
      </c>
      <c r="K518" s="36"/>
      <c r="L518" s="18">
        <f>SUM('Shuttle Count - Supreme (Nov 20'!C518:D518)</f>
        <v>0</v>
      </c>
      <c r="M518" s="18" t="e">
        <f>VLOOKUP(K518,'Shuttle Purchase'!A:C,3,0)</f>
        <v>#N/A</v>
      </c>
      <c r="N518" s="44" t="e">
        <f t="shared" si="26"/>
        <v>#N/A</v>
      </c>
      <c r="O518" s="24" t="e">
        <f>VLOOKUP(E518,'Court List'!$A:$C,3,0)</f>
        <v>#N/A</v>
      </c>
      <c r="P518" s="18">
        <f>COUNTIF('Pub List'!$C518:$T518,"&lt;&gt;")</f>
        <v>0</v>
      </c>
      <c r="Q518" s="20" t="e">
        <f t="shared" si="28"/>
        <v>#N/A</v>
      </c>
      <c r="R518" s="36"/>
      <c r="S518" s="18">
        <f>COUNTIF('Member List'!$C518:$J518,"&lt;&gt;")</f>
        <v>0</v>
      </c>
      <c r="T518" s="35"/>
      <c r="U518" s="24">
        <f t="shared" si="29"/>
        <v>0</v>
      </c>
      <c r="V518" s="18" t="e">
        <f t="shared" si="30"/>
        <v>#N/A</v>
      </c>
      <c r="W518" s="45" t="e">
        <f t="shared" si="31"/>
        <v>#N/A</v>
      </c>
      <c r="X518" s="20" t="e">
        <f t="shared" si="32"/>
        <v>#N/A</v>
      </c>
      <c r="Y518" s="46" t="e">
        <f t="shared" si="35"/>
        <v>#N/A</v>
      </c>
      <c r="Z518" s="39" t="e">
        <f t="shared" si="33"/>
        <v>#N/A</v>
      </c>
      <c r="AA518" s="39" t="e">
        <f t="shared" si="34"/>
        <v>#N/A</v>
      </c>
      <c r="AB518" s="39"/>
      <c r="AC518" s="48" t="e">
        <f t="shared" si="36"/>
        <v>#N/A</v>
      </c>
    </row>
    <row r="519" spans="1:29" ht="12.5" x14ac:dyDescent="0.25">
      <c r="A519" s="36"/>
      <c r="B519" s="33"/>
      <c r="C519" s="33"/>
      <c r="D519" s="33"/>
      <c r="E519" s="35"/>
      <c r="F519" s="21"/>
      <c r="G519" s="22" t="e">
        <f>VLOOKUP(E519,'Court List'!$A:$C,2,0)</f>
        <v>#N/A</v>
      </c>
      <c r="H519" s="33"/>
      <c r="I519" s="33"/>
      <c r="J519" s="44" t="e">
        <f t="shared" si="27"/>
        <v>#N/A</v>
      </c>
      <c r="K519" s="36"/>
      <c r="L519" s="18">
        <f>SUM('Shuttle Count - Supreme (Nov 20'!C519:D519)</f>
        <v>0</v>
      </c>
      <c r="M519" s="18" t="e">
        <f>VLOOKUP(K519,'Shuttle Purchase'!A:C,3,0)</f>
        <v>#N/A</v>
      </c>
      <c r="N519" s="44" t="e">
        <f t="shared" si="26"/>
        <v>#N/A</v>
      </c>
      <c r="O519" s="24" t="e">
        <f>VLOOKUP(E519,'Court List'!$A:$C,3,0)</f>
        <v>#N/A</v>
      </c>
      <c r="P519" s="18">
        <f>COUNTIF('Pub List'!$C519:$T519,"&lt;&gt;")</f>
        <v>0</v>
      </c>
      <c r="Q519" s="20" t="e">
        <f t="shared" si="28"/>
        <v>#N/A</v>
      </c>
      <c r="R519" s="36"/>
      <c r="S519" s="18">
        <f>COUNTIF('Member List'!$C519:$J519,"&lt;&gt;")</f>
        <v>0</v>
      </c>
      <c r="T519" s="35"/>
      <c r="U519" s="24">
        <f t="shared" si="29"/>
        <v>0</v>
      </c>
      <c r="V519" s="18" t="e">
        <f t="shared" si="30"/>
        <v>#N/A</v>
      </c>
      <c r="W519" s="45" t="e">
        <f t="shared" si="31"/>
        <v>#N/A</v>
      </c>
      <c r="X519" s="20" t="e">
        <f t="shared" si="32"/>
        <v>#N/A</v>
      </c>
      <c r="Y519" s="46" t="e">
        <f t="shared" si="35"/>
        <v>#N/A</v>
      </c>
      <c r="Z519" s="39" t="e">
        <f t="shared" si="33"/>
        <v>#N/A</v>
      </c>
      <c r="AA519" s="39" t="e">
        <f t="shared" si="34"/>
        <v>#N/A</v>
      </c>
      <c r="AB519" s="39"/>
      <c r="AC519" s="48" t="e">
        <f t="shared" si="36"/>
        <v>#N/A</v>
      </c>
    </row>
    <row r="520" spans="1:29" ht="12.5" x14ac:dyDescent="0.25">
      <c r="A520" s="36"/>
      <c r="B520" s="33"/>
      <c r="C520" s="33"/>
      <c r="D520" s="33"/>
      <c r="E520" s="35"/>
      <c r="F520" s="21"/>
      <c r="G520" s="22" t="e">
        <f>VLOOKUP(E520,'Court List'!$A:$C,2,0)</f>
        <v>#N/A</v>
      </c>
      <c r="H520" s="33"/>
      <c r="I520" s="33"/>
      <c r="J520" s="44" t="e">
        <f t="shared" si="27"/>
        <v>#N/A</v>
      </c>
      <c r="K520" s="36"/>
      <c r="L520" s="18">
        <f>SUM('Shuttle Count - Supreme (Nov 20'!C520:D520)</f>
        <v>0</v>
      </c>
      <c r="M520" s="18" t="e">
        <f>VLOOKUP(K520,'Shuttle Purchase'!A:C,3,0)</f>
        <v>#N/A</v>
      </c>
      <c r="N520" s="44" t="e">
        <f t="shared" si="26"/>
        <v>#N/A</v>
      </c>
      <c r="O520" s="24" t="e">
        <f>VLOOKUP(E520,'Court List'!$A:$C,3,0)</f>
        <v>#N/A</v>
      </c>
      <c r="P520" s="18">
        <f>COUNTIF('Pub List'!$C520:$T520,"&lt;&gt;")</f>
        <v>0</v>
      </c>
      <c r="Q520" s="20" t="e">
        <f t="shared" si="28"/>
        <v>#N/A</v>
      </c>
      <c r="R520" s="36"/>
      <c r="S520" s="18">
        <f>COUNTIF('Member List'!$C520:$J520,"&lt;&gt;")</f>
        <v>0</v>
      </c>
      <c r="T520" s="35"/>
      <c r="U520" s="24">
        <f t="shared" si="29"/>
        <v>0</v>
      </c>
      <c r="V520" s="18" t="e">
        <f t="shared" si="30"/>
        <v>#N/A</v>
      </c>
      <c r="W520" s="45" t="e">
        <f t="shared" si="31"/>
        <v>#N/A</v>
      </c>
      <c r="X520" s="20" t="e">
        <f t="shared" si="32"/>
        <v>#N/A</v>
      </c>
      <c r="Y520" s="46" t="e">
        <f t="shared" si="35"/>
        <v>#N/A</v>
      </c>
      <c r="Z520" s="39" t="e">
        <f t="shared" si="33"/>
        <v>#N/A</v>
      </c>
      <c r="AA520" s="39" t="e">
        <f t="shared" si="34"/>
        <v>#N/A</v>
      </c>
      <c r="AB520" s="39"/>
      <c r="AC520" s="48" t="e">
        <f t="shared" si="36"/>
        <v>#N/A</v>
      </c>
    </row>
    <row r="521" spans="1:29" ht="12.5" x14ac:dyDescent="0.25">
      <c r="A521" s="36"/>
      <c r="B521" s="33"/>
      <c r="C521" s="33"/>
      <c r="D521" s="33"/>
      <c r="E521" s="35"/>
      <c r="F521" s="21"/>
      <c r="G521" s="22" t="e">
        <f>VLOOKUP(E521,'Court List'!$A:$C,2,0)</f>
        <v>#N/A</v>
      </c>
      <c r="H521" s="33"/>
      <c r="I521" s="33"/>
      <c r="J521" s="44" t="e">
        <f t="shared" si="27"/>
        <v>#N/A</v>
      </c>
      <c r="K521" s="36"/>
      <c r="L521" s="18">
        <f>SUM('Shuttle Count - Supreme (Nov 20'!C521:D521)</f>
        <v>0</v>
      </c>
      <c r="M521" s="18" t="e">
        <f>VLOOKUP(K521,'Shuttle Purchase'!A:C,3,0)</f>
        <v>#N/A</v>
      </c>
      <c r="N521" s="44" t="e">
        <f t="shared" si="26"/>
        <v>#N/A</v>
      </c>
      <c r="O521" s="24" t="e">
        <f>VLOOKUP(E521,'Court List'!$A:$C,3,0)</f>
        <v>#N/A</v>
      </c>
      <c r="P521" s="18">
        <f>COUNTIF('Pub List'!$C521:$T521,"&lt;&gt;")</f>
        <v>0</v>
      </c>
      <c r="Q521" s="20" t="e">
        <f t="shared" si="28"/>
        <v>#N/A</v>
      </c>
      <c r="R521" s="36"/>
      <c r="S521" s="18">
        <f>COUNTIF('Member List'!$C521:$J521,"&lt;&gt;")</f>
        <v>0</v>
      </c>
      <c r="T521" s="35"/>
      <c r="U521" s="24">
        <f t="shared" si="29"/>
        <v>0</v>
      </c>
      <c r="V521" s="18" t="e">
        <f t="shared" si="30"/>
        <v>#N/A</v>
      </c>
      <c r="W521" s="45" t="e">
        <f t="shared" si="31"/>
        <v>#N/A</v>
      </c>
      <c r="X521" s="20" t="e">
        <f t="shared" si="32"/>
        <v>#N/A</v>
      </c>
      <c r="Y521" s="46" t="e">
        <f t="shared" si="35"/>
        <v>#N/A</v>
      </c>
      <c r="Z521" s="39" t="e">
        <f t="shared" si="33"/>
        <v>#N/A</v>
      </c>
      <c r="AA521" s="39" t="e">
        <f t="shared" si="34"/>
        <v>#N/A</v>
      </c>
      <c r="AB521" s="39"/>
      <c r="AC521" s="48" t="e">
        <f t="shared" si="36"/>
        <v>#N/A</v>
      </c>
    </row>
    <row r="522" spans="1:29" ht="12.5" x14ac:dyDescent="0.25">
      <c r="A522" s="36"/>
      <c r="B522" s="33"/>
      <c r="C522" s="33"/>
      <c r="D522" s="33"/>
      <c r="E522" s="35"/>
      <c r="F522" s="21"/>
      <c r="G522" s="22" t="e">
        <f>VLOOKUP(E522,'Court List'!$A:$C,2,0)</f>
        <v>#N/A</v>
      </c>
      <c r="H522" s="33"/>
      <c r="I522" s="33"/>
      <c r="J522" s="44" t="e">
        <f t="shared" si="27"/>
        <v>#N/A</v>
      </c>
      <c r="K522" s="36"/>
      <c r="L522" s="18">
        <f>SUM('Shuttle Count - Supreme (Nov 20'!C522:D522)</f>
        <v>0</v>
      </c>
      <c r="M522" s="18" t="e">
        <f>VLOOKUP(K522,'Shuttle Purchase'!A:C,3,0)</f>
        <v>#N/A</v>
      </c>
      <c r="N522" s="44" t="e">
        <f t="shared" si="26"/>
        <v>#N/A</v>
      </c>
      <c r="O522" s="24" t="e">
        <f>VLOOKUP(E522,'Court List'!$A:$C,3,0)</f>
        <v>#N/A</v>
      </c>
      <c r="P522" s="18">
        <f>COUNTIF('Pub List'!$C522:$T522,"&lt;&gt;")</f>
        <v>0</v>
      </c>
      <c r="Q522" s="20" t="e">
        <f t="shared" si="28"/>
        <v>#N/A</v>
      </c>
      <c r="R522" s="36"/>
      <c r="S522" s="18">
        <f>COUNTIF('Member List'!$C522:$J522,"&lt;&gt;")</f>
        <v>0</v>
      </c>
      <c r="T522" s="35"/>
      <c r="U522" s="24">
        <f t="shared" si="29"/>
        <v>0</v>
      </c>
      <c r="V522" s="18" t="e">
        <f t="shared" si="30"/>
        <v>#N/A</v>
      </c>
      <c r="W522" s="45" t="e">
        <f t="shared" si="31"/>
        <v>#N/A</v>
      </c>
      <c r="X522" s="20" t="e">
        <f t="shared" si="32"/>
        <v>#N/A</v>
      </c>
      <c r="Y522" s="46" t="e">
        <f t="shared" si="35"/>
        <v>#N/A</v>
      </c>
      <c r="Z522" s="39" t="e">
        <f t="shared" si="33"/>
        <v>#N/A</v>
      </c>
      <c r="AA522" s="39" t="e">
        <f t="shared" si="34"/>
        <v>#N/A</v>
      </c>
      <c r="AB522" s="39"/>
      <c r="AC522" s="48" t="e">
        <f t="shared" si="36"/>
        <v>#N/A</v>
      </c>
    </row>
    <row r="523" spans="1:29" ht="12.5" x14ac:dyDescent="0.25">
      <c r="A523" s="36"/>
      <c r="B523" s="33"/>
      <c r="C523" s="33"/>
      <c r="D523" s="33"/>
      <c r="E523" s="35"/>
      <c r="F523" s="21"/>
      <c r="G523" s="22" t="e">
        <f>VLOOKUP(E523,'Court List'!$A:$C,2,0)</f>
        <v>#N/A</v>
      </c>
      <c r="H523" s="33"/>
      <c r="I523" s="33"/>
      <c r="J523" s="44" t="e">
        <f t="shared" si="27"/>
        <v>#N/A</v>
      </c>
      <c r="K523" s="36"/>
      <c r="L523" s="18">
        <f>SUM('Shuttle Count - Supreme (Nov 20'!C523:D523)</f>
        <v>0</v>
      </c>
      <c r="M523" s="18" t="e">
        <f>VLOOKUP(K523,'Shuttle Purchase'!A:C,3,0)</f>
        <v>#N/A</v>
      </c>
      <c r="N523" s="44" t="e">
        <f t="shared" si="26"/>
        <v>#N/A</v>
      </c>
      <c r="O523" s="24" t="e">
        <f>VLOOKUP(E523,'Court List'!$A:$C,3,0)</f>
        <v>#N/A</v>
      </c>
      <c r="P523" s="18">
        <f>COUNTIF('Pub List'!$C523:$T523,"&lt;&gt;")</f>
        <v>0</v>
      </c>
      <c r="Q523" s="20" t="e">
        <f t="shared" si="28"/>
        <v>#N/A</v>
      </c>
      <c r="R523" s="36"/>
      <c r="S523" s="18">
        <f>COUNTIF('Member List'!$C523:$J523,"&lt;&gt;")</f>
        <v>0</v>
      </c>
      <c r="T523" s="35"/>
      <c r="U523" s="24">
        <f t="shared" si="29"/>
        <v>0</v>
      </c>
      <c r="V523" s="18" t="e">
        <f t="shared" si="30"/>
        <v>#N/A</v>
      </c>
      <c r="W523" s="45" t="e">
        <f t="shared" si="31"/>
        <v>#N/A</v>
      </c>
      <c r="X523" s="20" t="e">
        <f t="shared" si="32"/>
        <v>#N/A</v>
      </c>
      <c r="Y523" s="46" t="e">
        <f t="shared" si="35"/>
        <v>#N/A</v>
      </c>
      <c r="Z523" s="39" t="e">
        <f t="shared" si="33"/>
        <v>#N/A</v>
      </c>
      <c r="AA523" s="39" t="e">
        <f t="shared" si="34"/>
        <v>#N/A</v>
      </c>
      <c r="AB523" s="39"/>
      <c r="AC523" s="48" t="e">
        <f t="shared" si="36"/>
        <v>#N/A</v>
      </c>
    </row>
    <row r="524" spans="1:29" ht="12.5" x14ac:dyDescent="0.25">
      <c r="A524" s="36"/>
      <c r="B524" s="33"/>
      <c r="C524" s="33"/>
      <c r="D524" s="33"/>
      <c r="E524" s="35"/>
      <c r="F524" s="21"/>
      <c r="G524" s="22" t="e">
        <f>VLOOKUP(E524,'Court List'!$A:$C,2,0)</f>
        <v>#N/A</v>
      </c>
      <c r="H524" s="33"/>
      <c r="I524" s="33"/>
      <c r="J524" s="44" t="e">
        <f t="shared" si="27"/>
        <v>#N/A</v>
      </c>
      <c r="K524" s="36"/>
      <c r="L524" s="18">
        <f>SUM('Shuttle Count - Supreme (Nov 20'!C524:D524)</f>
        <v>0</v>
      </c>
      <c r="M524" s="18" t="e">
        <f>VLOOKUP(K524,'Shuttle Purchase'!A:C,3,0)</f>
        <v>#N/A</v>
      </c>
      <c r="N524" s="44" t="e">
        <f t="shared" si="26"/>
        <v>#N/A</v>
      </c>
      <c r="O524" s="24" t="e">
        <f>VLOOKUP(E524,'Court List'!$A:$C,3,0)</f>
        <v>#N/A</v>
      </c>
      <c r="P524" s="18">
        <f>COUNTIF('Pub List'!$C524:$T524,"&lt;&gt;")</f>
        <v>0</v>
      </c>
      <c r="Q524" s="20" t="e">
        <f t="shared" si="28"/>
        <v>#N/A</v>
      </c>
      <c r="R524" s="36"/>
      <c r="S524" s="18">
        <f>COUNTIF('Member List'!$C524:$J524,"&lt;&gt;")</f>
        <v>0</v>
      </c>
      <c r="T524" s="35"/>
      <c r="U524" s="24">
        <f t="shared" si="29"/>
        <v>0</v>
      </c>
      <c r="V524" s="18" t="e">
        <f t="shared" si="30"/>
        <v>#N/A</v>
      </c>
      <c r="W524" s="45" t="e">
        <f t="shared" si="31"/>
        <v>#N/A</v>
      </c>
      <c r="X524" s="20" t="e">
        <f t="shared" si="32"/>
        <v>#N/A</v>
      </c>
      <c r="Y524" s="46" t="e">
        <f t="shared" si="35"/>
        <v>#N/A</v>
      </c>
      <c r="Z524" s="39" t="e">
        <f t="shared" si="33"/>
        <v>#N/A</v>
      </c>
      <c r="AA524" s="39" t="e">
        <f t="shared" si="34"/>
        <v>#N/A</v>
      </c>
      <c r="AB524" s="39"/>
      <c r="AC524" s="48" t="e">
        <f t="shared" si="36"/>
        <v>#N/A</v>
      </c>
    </row>
    <row r="525" spans="1:29" ht="12.5" x14ac:dyDescent="0.25">
      <c r="A525" s="36"/>
      <c r="B525" s="33"/>
      <c r="C525" s="33"/>
      <c r="D525" s="33"/>
      <c r="E525" s="35"/>
      <c r="F525" s="21"/>
      <c r="G525" s="22" t="e">
        <f>VLOOKUP(E525,'Court List'!$A:$C,2,0)</f>
        <v>#N/A</v>
      </c>
      <c r="H525" s="33"/>
      <c r="I525" s="33"/>
      <c r="J525" s="44" t="e">
        <f t="shared" si="27"/>
        <v>#N/A</v>
      </c>
      <c r="K525" s="36"/>
      <c r="L525" s="18">
        <f>SUM('Shuttle Count - Supreme (Nov 20'!C525:D525)</f>
        <v>0</v>
      </c>
      <c r="M525" s="18" t="e">
        <f>VLOOKUP(K525,'Shuttle Purchase'!A:C,3,0)</f>
        <v>#N/A</v>
      </c>
      <c r="N525" s="44" t="e">
        <f t="shared" si="26"/>
        <v>#N/A</v>
      </c>
      <c r="O525" s="24" t="e">
        <f>VLOOKUP(E525,'Court List'!$A:$C,3,0)</f>
        <v>#N/A</v>
      </c>
      <c r="P525" s="18">
        <f>COUNTIF('Pub List'!$C525:$T525,"&lt;&gt;")</f>
        <v>0</v>
      </c>
      <c r="Q525" s="20" t="e">
        <f t="shared" si="28"/>
        <v>#N/A</v>
      </c>
      <c r="R525" s="36"/>
      <c r="S525" s="18">
        <f>COUNTIF('Member List'!$C525:$J525,"&lt;&gt;")</f>
        <v>0</v>
      </c>
      <c r="T525" s="35"/>
      <c r="U525" s="24">
        <f t="shared" si="29"/>
        <v>0</v>
      </c>
      <c r="V525" s="18" t="e">
        <f t="shared" si="30"/>
        <v>#N/A</v>
      </c>
      <c r="W525" s="45" t="e">
        <f t="shared" si="31"/>
        <v>#N/A</v>
      </c>
      <c r="X525" s="20" t="e">
        <f t="shared" si="32"/>
        <v>#N/A</v>
      </c>
      <c r="Y525" s="46" t="e">
        <f t="shared" si="35"/>
        <v>#N/A</v>
      </c>
      <c r="Z525" s="39" t="e">
        <f t="shared" si="33"/>
        <v>#N/A</v>
      </c>
      <c r="AA525" s="39" t="e">
        <f t="shared" si="34"/>
        <v>#N/A</v>
      </c>
      <c r="AB525" s="39"/>
      <c r="AC525" s="48" t="e">
        <f t="shared" si="36"/>
        <v>#N/A</v>
      </c>
    </row>
    <row r="526" spans="1:29" ht="12.5" x14ac:dyDescent="0.25">
      <c r="A526" s="36"/>
      <c r="B526" s="33"/>
      <c r="C526" s="33"/>
      <c r="D526" s="33"/>
      <c r="E526" s="35"/>
      <c r="F526" s="21"/>
      <c r="G526" s="22" t="e">
        <f>VLOOKUP(E526,'Court List'!$A:$C,2,0)</f>
        <v>#N/A</v>
      </c>
      <c r="H526" s="33"/>
      <c r="I526" s="33"/>
      <c r="J526" s="44" t="e">
        <f t="shared" si="27"/>
        <v>#N/A</v>
      </c>
      <c r="K526" s="36"/>
      <c r="L526" s="18">
        <f>SUM('Shuttle Count - Supreme (Nov 20'!C526:D526)</f>
        <v>0</v>
      </c>
      <c r="M526" s="18" t="e">
        <f>VLOOKUP(K526,'Shuttle Purchase'!A:C,3,0)</f>
        <v>#N/A</v>
      </c>
      <c r="N526" s="44" t="e">
        <f t="shared" si="26"/>
        <v>#N/A</v>
      </c>
      <c r="O526" s="24" t="e">
        <f>VLOOKUP(E526,'Court List'!$A:$C,3,0)</f>
        <v>#N/A</v>
      </c>
      <c r="P526" s="18">
        <f>COUNTIF('Pub List'!$C526:$T526,"&lt;&gt;")</f>
        <v>0</v>
      </c>
      <c r="Q526" s="20" t="e">
        <f t="shared" si="28"/>
        <v>#N/A</v>
      </c>
      <c r="R526" s="36"/>
      <c r="S526" s="18">
        <f>COUNTIF('Member List'!$C526:$J526,"&lt;&gt;")</f>
        <v>0</v>
      </c>
      <c r="T526" s="35"/>
      <c r="U526" s="24">
        <f t="shared" si="29"/>
        <v>0</v>
      </c>
      <c r="V526" s="18" t="e">
        <f t="shared" si="30"/>
        <v>#N/A</v>
      </c>
      <c r="W526" s="45" t="e">
        <f t="shared" si="31"/>
        <v>#N/A</v>
      </c>
      <c r="X526" s="20" t="e">
        <f t="shared" si="32"/>
        <v>#N/A</v>
      </c>
      <c r="Y526" s="46" t="e">
        <f t="shared" si="35"/>
        <v>#N/A</v>
      </c>
      <c r="Z526" s="39" t="e">
        <f t="shared" si="33"/>
        <v>#N/A</v>
      </c>
      <c r="AA526" s="39" t="e">
        <f t="shared" si="34"/>
        <v>#N/A</v>
      </c>
      <c r="AB526" s="39"/>
      <c r="AC526" s="48" t="e">
        <f t="shared" si="36"/>
        <v>#N/A</v>
      </c>
    </row>
    <row r="527" spans="1:29" ht="12.5" x14ac:dyDescent="0.25">
      <c r="A527" s="36"/>
      <c r="B527" s="33"/>
      <c r="C527" s="33"/>
      <c r="D527" s="33"/>
      <c r="E527" s="35"/>
      <c r="F527" s="21"/>
      <c r="G527" s="22" t="e">
        <f>VLOOKUP(E527,'Court List'!$A:$C,2,0)</f>
        <v>#N/A</v>
      </c>
      <c r="H527" s="33"/>
      <c r="I527" s="33"/>
      <c r="J527" s="44" t="e">
        <f t="shared" si="27"/>
        <v>#N/A</v>
      </c>
      <c r="K527" s="36"/>
      <c r="L527" s="18">
        <f>SUM('Shuttle Count - Supreme (Nov 20'!C527:D527)</f>
        <v>0</v>
      </c>
      <c r="M527" s="18" t="e">
        <f>VLOOKUP(K527,'Shuttle Purchase'!A:C,3,0)</f>
        <v>#N/A</v>
      </c>
      <c r="N527" s="44" t="e">
        <f t="shared" si="26"/>
        <v>#N/A</v>
      </c>
      <c r="O527" s="24" t="e">
        <f>VLOOKUP(E527,'Court List'!$A:$C,3,0)</f>
        <v>#N/A</v>
      </c>
      <c r="P527" s="18">
        <f>COUNTIF('Pub List'!$C527:$T527,"&lt;&gt;")</f>
        <v>0</v>
      </c>
      <c r="Q527" s="20" t="e">
        <f t="shared" si="28"/>
        <v>#N/A</v>
      </c>
      <c r="R527" s="36"/>
      <c r="S527" s="18">
        <f>COUNTIF('Member List'!$C527:$J527,"&lt;&gt;")</f>
        <v>0</v>
      </c>
      <c r="T527" s="35"/>
      <c r="U527" s="24">
        <f t="shared" si="29"/>
        <v>0</v>
      </c>
      <c r="V527" s="18" t="e">
        <f t="shared" si="30"/>
        <v>#N/A</v>
      </c>
      <c r="W527" s="45" t="e">
        <f t="shared" si="31"/>
        <v>#N/A</v>
      </c>
      <c r="X527" s="20" t="e">
        <f t="shared" si="32"/>
        <v>#N/A</v>
      </c>
      <c r="Y527" s="46" t="e">
        <f t="shared" si="35"/>
        <v>#N/A</v>
      </c>
      <c r="Z527" s="39" t="e">
        <f t="shared" si="33"/>
        <v>#N/A</v>
      </c>
      <c r="AA527" s="39" t="e">
        <f t="shared" si="34"/>
        <v>#N/A</v>
      </c>
      <c r="AB527" s="39"/>
      <c r="AC527" s="48" t="e">
        <f t="shared" si="36"/>
        <v>#N/A</v>
      </c>
    </row>
    <row r="528" spans="1:29" ht="12.5" x14ac:dyDescent="0.25">
      <c r="A528" s="36"/>
      <c r="B528" s="33"/>
      <c r="C528" s="33"/>
      <c r="D528" s="33"/>
      <c r="E528" s="35"/>
      <c r="F528" s="21"/>
      <c r="G528" s="22" t="e">
        <f>VLOOKUP(E528,'Court List'!$A:$C,2,0)</f>
        <v>#N/A</v>
      </c>
      <c r="H528" s="33"/>
      <c r="I528" s="33"/>
      <c r="J528" s="44" t="e">
        <f t="shared" si="27"/>
        <v>#N/A</v>
      </c>
      <c r="K528" s="36"/>
      <c r="L528" s="18">
        <f>SUM('Shuttle Count - Supreme (Nov 20'!C528:D528)</f>
        <v>0</v>
      </c>
      <c r="M528" s="18" t="e">
        <f>VLOOKUP(K528,'Shuttle Purchase'!A:C,3,0)</f>
        <v>#N/A</v>
      </c>
      <c r="N528" s="44" t="e">
        <f t="shared" si="26"/>
        <v>#N/A</v>
      </c>
      <c r="O528" s="24" t="e">
        <f>VLOOKUP(E528,'Court List'!$A:$C,3,0)</f>
        <v>#N/A</v>
      </c>
      <c r="P528" s="18">
        <f>COUNTIF('Pub List'!$C528:$T528,"&lt;&gt;")</f>
        <v>0</v>
      </c>
      <c r="Q528" s="20" t="e">
        <f t="shared" si="28"/>
        <v>#N/A</v>
      </c>
      <c r="R528" s="36"/>
      <c r="S528" s="18">
        <f>COUNTIF('Member List'!$C528:$J528,"&lt;&gt;")</f>
        <v>0</v>
      </c>
      <c r="T528" s="35"/>
      <c r="U528" s="24">
        <f t="shared" si="29"/>
        <v>0</v>
      </c>
      <c r="V528" s="18" t="e">
        <f t="shared" si="30"/>
        <v>#N/A</v>
      </c>
      <c r="W528" s="45" t="e">
        <f t="shared" si="31"/>
        <v>#N/A</v>
      </c>
      <c r="X528" s="20" t="e">
        <f t="shared" si="32"/>
        <v>#N/A</v>
      </c>
      <c r="Y528" s="46" t="e">
        <f t="shared" si="35"/>
        <v>#N/A</v>
      </c>
      <c r="Z528" s="39" t="e">
        <f t="shared" si="33"/>
        <v>#N/A</v>
      </c>
      <c r="AA528" s="39" t="e">
        <f t="shared" si="34"/>
        <v>#N/A</v>
      </c>
      <c r="AB528" s="39"/>
      <c r="AC528" s="48" t="e">
        <f t="shared" si="36"/>
        <v>#N/A</v>
      </c>
    </row>
    <row r="529" spans="1:29" ht="12.5" x14ac:dyDescent="0.25">
      <c r="A529" s="36"/>
      <c r="B529" s="33"/>
      <c r="C529" s="33"/>
      <c r="D529" s="33"/>
      <c r="E529" s="35"/>
      <c r="F529" s="21"/>
      <c r="G529" s="22" t="e">
        <f>VLOOKUP(E529,'Court List'!$A:$C,2,0)</f>
        <v>#N/A</v>
      </c>
      <c r="H529" s="33"/>
      <c r="I529" s="33"/>
      <c r="J529" s="44" t="e">
        <f t="shared" si="27"/>
        <v>#N/A</v>
      </c>
      <c r="K529" s="36"/>
      <c r="L529" s="18">
        <f>SUM('Shuttle Count - Supreme (Nov 20'!C529:D529)</f>
        <v>0</v>
      </c>
      <c r="M529" s="18" t="e">
        <f>VLOOKUP(K529,'Shuttle Purchase'!A:C,3,0)</f>
        <v>#N/A</v>
      </c>
      <c r="N529" s="44" t="e">
        <f t="shared" si="26"/>
        <v>#N/A</v>
      </c>
      <c r="O529" s="24" t="e">
        <f>VLOOKUP(E529,'Court List'!$A:$C,3,0)</f>
        <v>#N/A</v>
      </c>
      <c r="P529" s="18">
        <f>COUNTIF('Pub List'!$C529:$T529,"&lt;&gt;")</f>
        <v>0</v>
      </c>
      <c r="Q529" s="20" t="e">
        <f t="shared" si="28"/>
        <v>#N/A</v>
      </c>
      <c r="R529" s="36"/>
      <c r="S529" s="18">
        <f>COUNTIF('Member List'!$C529:$J529,"&lt;&gt;")</f>
        <v>0</v>
      </c>
      <c r="T529" s="35"/>
      <c r="U529" s="24">
        <f t="shared" si="29"/>
        <v>0</v>
      </c>
      <c r="V529" s="18" t="e">
        <f t="shared" si="30"/>
        <v>#N/A</v>
      </c>
      <c r="W529" s="45" t="e">
        <f t="shared" si="31"/>
        <v>#N/A</v>
      </c>
      <c r="X529" s="20" t="e">
        <f t="shared" si="32"/>
        <v>#N/A</v>
      </c>
      <c r="Y529" s="46" t="e">
        <f t="shared" si="35"/>
        <v>#N/A</v>
      </c>
      <c r="Z529" s="39" t="e">
        <f t="shared" si="33"/>
        <v>#N/A</v>
      </c>
      <c r="AA529" s="39" t="e">
        <f t="shared" si="34"/>
        <v>#N/A</v>
      </c>
      <c r="AB529" s="39"/>
      <c r="AC529" s="48" t="e">
        <f t="shared" si="36"/>
        <v>#N/A</v>
      </c>
    </row>
    <row r="530" spans="1:29" ht="12.5" x14ac:dyDescent="0.25">
      <c r="A530" s="36"/>
      <c r="B530" s="33"/>
      <c r="C530" s="33"/>
      <c r="D530" s="33"/>
      <c r="E530" s="35"/>
      <c r="F530" s="21"/>
      <c r="G530" s="22" t="e">
        <f>VLOOKUP(E530,'Court List'!$A:$C,2,0)</f>
        <v>#N/A</v>
      </c>
      <c r="H530" s="33"/>
      <c r="I530" s="33"/>
      <c r="J530" s="44" t="e">
        <f t="shared" si="27"/>
        <v>#N/A</v>
      </c>
      <c r="K530" s="36"/>
      <c r="L530" s="18">
        <f>SUM('Shuttle Count - Supreme (Nov 20'!C530:D530)</f>
        <v>0</v>
      </c>
      <c r="M530" s="18" t="e">
        <f>VLOOKUP(K530,'Shuttle Purchase'!A:C,3,0)</f>
        <v>#N/A</v>
      </c>
      <c r="N530" s="44" t="e">
        <f t="shared" si="26"/>
        <v>#N/A</v>
      </c>
      <c r="O530" s="24" t="e">
        <f>VLOOKUP(E530,'Court List'!$A:$C,3,0)</f>
        <v>#N/A</v>
      </c>
      <c r="P530" s="18">
        <f>COUNTIF('Pub List'!$C530:$T530,"&lt;&gt;")</f>
        <v>0</v>
      </c>
      <c r="Q530" s="20" t="e">
        <f t="shared" si="28"/>
        <v>#N/A</v>
      </c>
      <c r="R530" s="36"/>
      <c r="S530" s="18">
        <f>COUNTIF('Member List'!$C530:$J530,"&lt;&gt;")</f>
        <v>0</v>
      </c>
      <c r="T530" s="35"/>
      <c r="U530" s="24">
        <f t="shared" si="29"/>
        <v>0</v>
      </c>
      <c r="V530" s="18" t="e">
        <f t="shared" si="30"/>
        <v>#N/A</v>
      </c>
      <c r="W530" s="45" t="e">
        <f t="shared" si="31"/>
        <v>#N/A</v>
      </c>
      <c r="X530" s="20" t="e">
        <f t="shared" si="32"/>
        <v>#N/A</v>
      </c>
      <c r="Y530" s="46" t="e">
        <f t="shared" si="35"/>
        <v>#N/A</v>
      </c>
      <c r="Z530" s="39" t="e">
        <f t="shared" si="33"/>
        <v>#N/A</v>
      </c>
      <c r="AA530" s="39" t="e">
        <f t="shared" si="34"/>
        <v>#N/A</v>
      </c>
      <c r="AB530" s="39"/>
      <c r="AC530" s="48" t="e">
        <f t="shared" si="36"/>
        <v>#N/A</v>
      </c>
    </row>
    <row r="531" spans="1:29" ht="12.5" x14ac:dyDescent="0.25">
      <c r="A531" s="36"/>
      <c r="B531" s="33"/>
      <c r="C531" s="33"/>
      <c r="D531" s="33"/>
      <c r="E531" s="35"/>
      <c r="F531" s="21"/>
      <c r="G531" s="22" t="e">
        <f>VLOOKUP(E531,'Court List'!$A:$C,2,0)</f>
        <v>#N/A</v>
      </c>
      <c r="H531" s="33"/>
      <c r="I531" s="33"/>
      <c r="J531" s="44" t="e">
        <f t="shared" si="27"/>
        <v>#N/A</v>
      </c>
      <c r="K531" s="36"/>
      <c r="L531" s="18">
        <f>SUM('Shuttle Count - Supreme (Nov 20'!C531:D531)</f>
        <v>0</v>
      </c>
      <c r="M531" s="18" t="e">
        <f>VLOOKUP(K531,'Shuttle Purchase'!A:C,3,0)</f>
        <v>#N/A</v>
      </c>
      <c r="N531" s="44" t="e">
        <f t="shared" si="26"/>
        <v>#N/A</v>
      </c>
      <c r="O531" s="24" t="e">
        <f>VLOOKUP(E531,'Court List'!$A:$C,3,0)</f>
        <v>#N/A</v>
      </c>
      <c r="P531" s="18">
        <f>COUNTIF('Pub List'!$C531:$T531,"&lt;&gt;")</f>
        <v>0</v>
      </c>
      <c r="Q531" s="20" t="e">
        <f t="shared" si="28"/>
        <v>#N/A</v>
      </c>
      <c r="R531" s="36"/>
      <c r="S531" s="18">
        <f>COUNTIF('Member List'!$C531:$J531,"&lt;&gt;")</f>
        <v>0</v>
      </c>
      <c r="T531" s="35"/>
      <c r="U531" s="24">
        <f t="shared" si="29"/>
        <v>0</v>
      </c>
      <c r="V531" s="18" t="e">
        <f t="shared" si="30"/>
        <v>#N/A</v>
      </c>
      <c r="W531" s="45" t="e">
        <f t="shared" si="31"/>
        <v>#N/A</v>
      </c>
      <c r="X531" s="20" t="e">
        <f t="shared" si="32"/>
        <v>#N/A</v>
      </c>
      <c r="Y531" s="46" t="e">
        <f t="shared" si="35"/>
        <v>#N/A</v>
      </c>
      <c r="Z531" s="39" t="e">
        <f t="shared" si="33"/>
        <v>#N/A</v>
      </c>
      <c r="AA531" s="39" t="e">
        <f t="shared" si="34"/>
        <v>#N/A</v>
      </c>
      <c r="AB531" s="39"/>
      <c r="AC531" s="48" t="e">
        <f t="shared" si="36"/>
        <v>#N/A</v>
      </c>
    </row>
    <row r="532" spans="1:29" ht="12.5" x14ac:dyDescent="0.25">
      <c r="A532" s="36"/>
      <c r="B532" s="33"/>
      <c r="C532" s="33"/>
      <c r="D532" s="33"/>
      <c r="E532" s="35"/>
      <c r="F532" s="21"/>
      <c r="G532" s="22" t="e">
        <f>VLOOKUP(E532,'Court List'!$A:$C,2,0)</f>
        <v>#N/A</v>
      </c>
      <c r="H532" s="33"/>
      <c r="I532" s="33"/>
      <c r="J532" s="44" t="e">
        <f t="shared" si="27"/>
        <v>#N/A</v>
      </c>
      <c r="K532" s="36"/>
      <c r="L532" s="18">
        <f>SUM('Shuttle Count - Supreme (Nov 20'!C532:D532)</f>
        <v>0</v>
      </c>
      <c r="M532" s="18" t="e">
        <f>VLOOKUP(K532,'Shuttle Purchase'!A:C,3,0)</f>
        <v>#N/A</v>
      </c>
      <c r="N532" s="44" t="e">
        <f t="shared" si="26"/>
        <v>#N/A</v>
      </c>
      <c r="O532" s="24" t="e">
        <f>VLOOKUP(E532,'Court List'!$A:$C,3,0)</f>
        <v>#N/A</v>
      </c>
      <c r="P532" s="18">
        <f>COUNTIF('Pub List'!$C532:$T532,"&lt;&gt;")</f>
        <v>0</v>
      </c>
      <c r="Q532" s="20" t="e">
        <f t="shared" si="28"/>
        <v>#N/A</v>
      </c>
      <c r="R532" s="36"/>
      <c r="S532" s="18">
        <f>COUNTIF('Member List'!$C532:$J532,"&lt;&gt;")</f>
        <v>0</v>
      </c>
      <c r="T532" s="35"/>
      <c r="U532" s="24">
        <f t="shared" si="29"/>
        <v>0</v>
      </c>
      <c r="V532" s="18" t="e">
        <f t="shared" si="30"/>
        <v>#N/A</v>
      </c>
      <c r="W532" s="45" t="e">
        <f t="shared" si="31"/>
        <v>#N/A</v>
      </c>
      <c r="X532" s="20" t="e">
        <f t="shared" si="32"/>
        <v>#N/A</v>
      </c>
      <c r="Y532" s="46" t="e">
        <f t="shared" si="35"/>
        <v>#N/A</v>
      </c>
      <c r="Z532" s="39" t="e">
        <f t="shared" si="33"/>
        <v>#N/A</v>
      </c>
      <c r="AA532" s="39" t="e">
        <f t="shared" si="34"/>
        <v>#N/A</v>
      </c>
      <c r="AB532" s="39"/>
      <c r="AC532" s="48" t="e">
        <f t="shared" si="36"/>
        <v>#N/A</v>
      </c>
    </row>
    <row r="533" spans="1:29" ht="12.5" x14ac:dyDescent="0.25">
      <c r="A533" s="36"/>
      <c r="B533" s="33"/>
      <c r="C533" s="33"/>
      <c r="D533" s="33"/>
      <c r="E533" s="35"/>
      <c r="F533" s="21"/>
      <c r="G533" s="22" t="e">
        <f>VLOOKUP(E533,'Court List'!$A:$C,2,0)</f>
        <v>#N/A</v>
      </c>
      <c r="H533" s="33"/>
      <c r="I533" s="33"/>
      <c r="J533" s="44" t="e">
        <f t="shared" si="27"/>
        <v>#N/A</v>
      </c>
      <c r="K533" s="36"/>
      <c r="L533" s="18">
        <f>SUM('Shuttle Count - Supreme (Nov 20'!C533:D533)</f>
        <v>0</v>
      </c>
      <c r="M533" s="18" t="e">
        <f>VLOOKUP(K533,'Shuttle Purchase'!A:C,3,0)</f>
        <v>#N/A</v>
      </c>
      <c r="N533" s="44" t="e">
        <f t="shared" si="26"/>
        <v>#N/A</v>
      </c>
      <c r="O533" s="24" t="e">
        <f>VLOOKUP(E533,'Court List'!$A:$C,3,0)</f>
        <v>#N/A</v>
      </c>
      <c r="P533" s="18">
        <f>COUNTIF('Pub List'!$C533:$T533,"&lt;&gt;")</f>
        <v>0</v>
      </c>
      <c r="Q533" s="20" t="e">
        <f t="shared" si="28"/>
        <v>#N/A</v>
      </c>
      <c r="R533" s="36"/>
      <c r="S533" s="18">
        <f>COUNTIF('Member List'!$C533:$J533,"&lt;&gt;")</f>
        <v>0</v>
      </c>
      <c r="T533" s="35"/>
      <c r="U533" s="24">
        <f t="shared" si="29"/>
        <v>0</v>
      </c>
      <c r="V533" s="18" t="e">
        <f t="shared" si="30"/>
        <v>#N/A</v>
      </c>
      <c r="W533" s="45" t="e">
        <f t="shared" si="31"/>
        <v>#N/A</v>
      </c>
      <c r="X533" s="20" t="e">
        <f t="shared" si="32"/>
        <v>#N/A</v>
      </c>
      <c r="Y533" s="46" t="e">
        <f t="shared" si="35"/>
        <v>#N/A</v>
      </c>
      <c r="Z533" s="39" t="e">
        <f t="shared" si="33"/>
        <v>#N/A</v>
      </c>
      <c r="AA533" s="39" t="e">
        <f t="shared" si="34"/>
        <v>#N/A</v>
      </c>
      <c r="AB533" s="39"/>
      <c r="AC533" s="48" t="e">
        <f t="shared" si="36"/>
        <v>#N/A</v>
      </c>
    </row>
    <row r="534" spans="1:29" ht="12.5" x14ac:dyDescent="0.25">
      <c r="A534" s="36"/>
      <c r="B534" s="33"/>
      <c r="C534" s="33"/>
      <c r="D534" s="33"/>
      <c r="E534" s="35"/>
      <c r="F534" s="21"/>
      <c r="G534" s="22" t="e">
        <f>VLOOKUP(E534,'Court List'!$A:$C,2,0)</f>
        <v>#N/A</v>
      </c>
      <c r="H534" s="33"/>
      <c r="I534" s="33"/>
      <c r="J534" s="44" t="e">
        <f t="shared" si="27"/>
        <v>#N/A</v>
      </c>
      <c r="K534" s="36"/>
      <c r="L534" s="18">
        <f>SUM('Shuttle Count - Supreme (Nov 20'!C534:D534)</f>
        <v>0</v>
      </c>
      <c r="M534" s="18" t="e">
        <f>VLOOKUP(K534,'Shuttle Purchase'!A:C,3,0)</f>
        <v>#N/A</v>
      </c>
      <c r="N534" s="44" t="e">
        <f t="shared" si="26"/>
        <v>#N/A</v>
      </c>
      <c r="O534" s="24" t="e">
        <f>VLOOKUP(E534,'Court List'!$A:$C,3,0)</f>
        <v>#N/A</v>
      </c>
      <c r="P534" s="18">
        <f>COUNTIF('Pub List'!$C534:$T534,"&lt;&gt;")</f>
        <v>0</v>
      </c>
      <c r="Q534" s="20" t="e">
        <f t="shared" si="28"/>
        <v>#N/A</v>
      </c>
      <c r="R534" s="36"/>
      <c r="S534" s="18">
        <f>COUNTIF('Member List'!$C534:$J534,"&lt;&gt;")</f>
        <v>0</v>
      </c>
      <c r="T534" s="35"/>
      <c r="U534" s="24">
        <f t="shared" si="29"/>
        <v>0</v>
      </c>
      <c r="V534" s="18" t="e">
        <f t="shared" si="30"/>
        <v>#N/A</v>
      </c>
      <c r="W534" s="45" t="e">
        <f t="shared" si="31"/>
        <v>#N/A</v>
      </c>
      <c r="X534" s="20" t="e">
        <f t="shared" si="32"/>
        <v>#N/A</v>
      </c>
      <c r="Y534" s="46" t="e">
        <f t="shared" si="35"/>
        <v>#N/A</v>
      </c>
      <c r="Z534" s="39" t="e">
        <f t="shared" si="33"/>
        <v>#N/A</v>
      </c>
      <c r="AA534" s="39" t="e">
        <f t="shared" si="34"/>
        <v>#N/A</v>
      </c>
      <c r="AB534" s="39"/>
      <c r="AC534" s="48" t="e">
        <f t="shared" si="36"/>
        <v>#N/A</v>
      </c>
    </row>
    <row r="535" spans="1:29" ht="12.5" x14ac:dyDescent="0.25">
      <c r="A535" s="36"/>
      <c r="B535" s="33"/>
      <c r="C535" s="33"/>
      <c r="D535" s="33"/>
      <c r="E535" s="35"/>
      <c r="F535" s="21"/>
      <c r="G535" s="22" t="e">
        <f>VLOOKUP(E535,'Court List'!$A:$C,2,0)</f>
        <v>#N/A</v>
      </c>
      <c r="H535" s="33"/>
      <c r="I535" s="33"/>
      <c r="J535" s="44" t="e">
        <f t="shared" si="27"/>
        <v>#N/A</v>
      </c>
      <c r="K535" s="36"/>
      <c r="L535" s="18">
        <f>SUM('Shuttle Count - Supreme (Nov 20'!C535:D535)</f>
        <v>0</v>
      </c>
      <c r="M535" s="18" t="e">
        <f>VLOOKUP(K535,'Shuttle Purchase'!A:C,3,0)</f>
        <v>#N/A</v>
      </c>
      <c r="N535" s="44" t="e">
        <f t="shared" si="26"/>
        <v>#N/A</v>
      </c>
      <c r="O535" s="24" t="e">
        <f>VLOOKUP(E535,'Court List'!$A:$C,3,0)</f>
        <v>#N/A</v>
      </c>
      <c r="P535" s="18">
        <f>COUNTIF('Pub List'!$C535:$T535,"&lt;&gt;")</f>
        <v>0</v>
      </c>
      <c r="Q535" s="20" t="e">
        <f t="shared" si="28"/>
        <v>#N/A</v>
      </c>
      <c r="R535" s="36"/>
      <c r="S535" s="18">
        <f>COUNTIF('Member List'!$C535:$J535,"&lt;&gt;")</f>
        <v>0</v>
      </c>
      <c r="T535" s="35"/>
      <c r="U535" s="24">
        <f t="shared" si="29"/>
        <v>0</v>
      </c>
      <c r="V535" s="18" t="e">
        <f t="shared" si="30"/>
        <v>#N/A</v>
      </c>
      <c r="W535" s="45" t="e">
        <f t="shared" si="31"/>
        <v>#N/A</v>
      </c>
      <c r="X535" s="20" t="e">
        <f t="shared" si="32"/>
        <v>#N/A</v>
      </c>
      <c r="Y535" s="46" t="e">
        <f t="shared" si="35"/>
        <v>#N/A</v>
      </c>
      <c r="Z535" s="39" t="e">
        <f t="shared" si="33"/>
        <v>#N/A</v>
      </c>
      <c r="AA535" s="39" t="e">
        <f t="shared" si="34"/>
        <v>#N/A</v>
      </c>
      <c r="AB535" s="39"/>
      <c r="AC535" s="48" t="e">
        <f t="shared" si="36"/>
        <v>#N/A</v>
      </c>
    </row>
    <row r="536" spans="1:29" ht="12.5" x14ac:dyDescent="0.25">
      <c r="A536" s="36"/>
      <c r="B536" s="33"/>
      <c r="C536" s="33"/>
      <c r="D536" s="33"/>
      <c r="E536" s="35"/>
      <c r="F536" s="21"/>
      <c r="G536" s="22" t="e">
        <f>VLOOKUP(E536,'Court List'!$A:$C,2,0)</f>
        <v>#N/A</v>
      </c>
      <c r="H536" s="33"/>
      <c r="I536" s="33"/>
      <c r="J536" s="44" t="e">
        <f t="shared" si="27"/>
        <v>#N/A</v>
      </c>
      <c r="K536" s="36"/>
      <c r="L536" s="18">
        <f>SUM('Shuttle Count - Supreme (Nov 20'!C536:D536)</f>
        <v>0</v>
      </c>
      <c r="M536" s="18" t="e">
        <f>VLOOKUP(K536,'Shuttle Purchase'!A:C,3,0)</f>
        <v>#N/A</v>
      </c>
      <c r="N536" s="44" t="e">
        <f t="shared" si="26"/>
        <v>#N/A</v>
      </c>
      <c r="O536" s="24" t="e">
        <f>VLOOKUP(E536,'Court List'!$A:$C,3,0)</f>
        <v>#N/A</v>
      </c>
      <c r="P536" s="18">
        <f>COUNTIF('Pub List'!$C536:$T536,"&lt;&gt;")</f>
        <v>0</v>
      </c>
      <c r="Q536" s="20" t="e">
        <f t="shared" si="28"/>
        <v>#N/A</v>
      </c>
      <c r="R536" s="36"/>
      <c r="S536" s="18">
        <f>COUNTIF('Member List'!$C536:$J536,"&lt;&gt;")</f>
        <v>0</v>
      </c>
      <c r="T536" s="35"/>
      <c r="U536" s="24">
        <f t="shared" si="29"/>
        <v>0</v>
      </c>
      <c r="V536" s="18" t="e">
        <f t="shared" si="30"/>
        <v>#N/A</v>
      </c>
      <c r="W536" s="45" t="e">
        <f t="shared" si="31"/>
        <v>#N/A</v>
      </c>
      <c r="X536" s="20" t="e">
        <f t="shared" si="32"/>
        <v>#N/A</v>
      </c>
      <c r="Y536" s="46" t="e">
        <f t="shared" si="35"/>
        <v>#N/A</v>
      </c>
      <c r="Z536" s="39" t="e">
        <f t="shared" si="33"/>
        <v>#N/A</v>
      </c>
      <c r="AA536" s="39" t="e">
        <f t="shared" si="34"/>
        <v>#N/A</v>
      </c>
      <c r="AB536" s="39"/>
      <c r="AC536" s="48" t="e">
        <f t="shared" si="36"/>
        <v>#N/A</v>
      </c>
    </row>
    <row r="537" spans="1:29" ht="12.5" x14ac:dyDescent="0.25">
      <c r="A537" s="36"/>
      <c r="B537" s="33"/>
      <c r="C537" s="33"/>
      <c r="D537" s="33"/>
      <c r="E537" s="35"/>
      <c r="F537" s="21"/>
      <c r="G537" s="22" t="e">
        <f>VLOOKUP(E537,'Court List'!$A:$C,2,0)</f>
        <v>#N/A</v>
      </c>
      <c r="H537" s="33"/>
      <c r="I537" s="33"/>
      <c r="J537" s="44" t="e">
        <f t="shared" si="27"/>
        <v>#N/A</v>
      </c>
      <c r="K537" s="36"/>
      <c r="L537" s="18">
        <f>SUM('Shuttle Count - Supreme (Nov 20'!C537:D537)</f>
        <v>0</v>
      </c>
      <c r="M537" s="18" t="e">
        <f>VLOOKUP(K537,'Shuttle Purchase'!A:C,3,0)</f>
        <v>#N/A</v>
      </c>
      <c r="N537" s="44" t="e">
        <f t="shared" si="26"/>
        <v>#N/A</v>
      </c>
      <c r="O537" s="24" t="e">
        <f>VLOOKUP(E537,'Court List'!$A:$C,3,0)</f>
        <v>#N/A</v>
      </c>
      <c r="P537" s="18">
        <f>COUNTIF('Pub List'!$C537:$T537,"&lt;&gt;")</f>
        <v>0</v>
      </c>
      <c r="Q537" s="20" t="e">
        <f t="shared" si="28"/>
        <v>#N/A</v>
      </c>
      <c r="R537" s="36"/>
      <c r="S537" s="18">
        <f>COUNTIF('Member List'!$C537:$J537,"&lt;&gt;")</f>
        <v>0</v>
      </c>
      <c r="T537" s="35"/>
      <c r="U537" s="24">
        <f t="shared" si="29"/>
        <v>0</v>
      </c>
      <c r="V537" s="18" t="e">
        <f t="shared" si="30"/>
        <v>#N/A</v>
      </c>
      <c r="W537" s="45" t="e">
        <f t="shared" si="31"/>
        <v>#N/A</v>
      </c>
      <c r="X537" s="20" t="e">
        <f t="shared" si="32"/>
        <v>#N/A</v>
      </c>
      <c r="Y537" s="46" t="e">
        <f t="shared" si="35"/>
        <v>#N/A</v>
      </c>
      <c r="Z537" s="39" t="e">
        <f t="shared" si="33"/>
        <v>#N/A</v>
      </c>
      <c r="AA537" s="39" t="e">
        <f t="shared" si="34"/>
        <v>#N/A</v>
      </c>
      <c r="AB537" s="39"/>
      <c r="AC537" s="48" t="e">
        <f t="shared" si="36"/>
        <v>#N/A</v>
      </c>
    </row>
    <row r="538" spans="1:29" ht="12.5" x14ac:dyDescent="0.25">
      <c r="A538" s="36"/>
      <c r="B538" s="33"/>
      <c r="C538" s="33"/>
      <c r="D538" s="33"/>
      <c r="E538" s="35"/>
      <c r="F538" s="21"/>
      <c r="G538" s="22" t="e">
        <f>VLOOKUP(E538,'Court List'!$A:$C,2,0)</f>
        <v>#N/A</v>
      </c>
      <c r="H538" s="33"/>
      <c r="I538" s="33"/>
      <c r="J538" s="44" t="e">
        <f t="shared" si="27"/>
        <v>#N/A</v>
      </c>
      <c r="K538" s="36"/>
      <c r="L538" s="18">
        <f>SUM('Shuttle Count - Supreme (Nov 20'!C538:D538)</f>
        <v>0</v>
      </c>
      <c r="M538" s="18" t="e">
        <f>VLOOKUP(K538,'Shuttle Purchase'!A:C,3,0)</f>
        <v>#N/A</v>
      </c>
      <c r="N538" s="44" t="e">
        <f t="shared" si="26"/>
        <v>#N/A</v>
      </c>
      <c r="O538" s="24" t="e">
        <f>VLOOKUP(E538,'Court List'!$A:$C,3,0)</f>
        <v>#N/A</v>
      </c>
      <c r="P538" s="18">
        <f>COUNTIF('Pub List'!$C538:$T538,"&lt;&gt;")</f>
        <v>0</v>
      </c>
      <c r="Q538" s="20" t="e">
        <f t="shared" si="28"/>
        <v>#N/A</v>
      </c>
      <c r="R538" s="36"/>
      <c r="S538" s="18">
        <f>COUNTIF('Member List'!$C538:$J538,"&lt;&gt;")</f>
        <v>0</v>
      </c>
      <c r="T538" s="35"/>
      <c r="U538" s="24">
        <f t="shared" si="29"/>
        <v>0</v>
      </c>
      <c r="V538" s="18" t="e">
        <f t="shared" si="30"/>
        <v>#N/A</v>
      </c>
      <c r="W538" s="45" t="e">
        <f t="shared" si="31"/>
        <v>#N/A</v>
      </c>
      <c r="X538" s="20" t="e">
        <f t="shared" si="32"/>
        <v>#N/A</v>
      </c>
      <c r="Y538" s="46" t="e">
        <f t="shared" si="35"/>
        <v>#N/A</v>
      </c>
      <c r="Z538" s="39" t="e">
        <f t="shared" si="33"/>
        <v>#N/A</v>
      </c>
      <c r="AA538" s="39" t="e">
        <f t="shared" si="34"/>
        <v>#N/A</v>
      </c>
      <c r="AB538" s="39"/>
      <c r="AC538" s="48" t="e">
        <f t="shared" si="36"/>
        <v>#N/A</v>
      </c>
    </row>
    <row r="539" spans="1:29" ht="12.5" x14ac:dyDescent="0.25">
      <c r="A539" s="36"/>
      <c r="B539" s="33"/>
      <c r="C539" s="33"/>
      <c r="D539" s="33"/>
      <c r="E539" s="35"/>
      <c r="F539" s="21"/>
      <c r="G539" s="22" t="e">
        <f>VLOOKUP(E539,'Court List'!$A:$C,2,0)</f>
        <v>#N/A</v>
      </c>
      <c r="H539" s="33"/>
      <c r="I539" s="33"/>
      <c r="J539" s="44" t="e">
        <f t="shared" si="27"/>
        <v>#N/A</v>
      </c>
      <c r="K539" s="36"/>
      <c r="L539" s="18">
        <f>SUM('Shuttle Count - Supreme (Nov 20'!C539:D539)</f>
        <v>0</v>
      </c>
      <c r="M539" s="18" t="e">
        <f>VLOOKUP(K539,'Shuttle Purchase'!A:C,3,0)</f>
        <v>#N/A</v>
      </c>
      <c r="N539" s="44" t="e">
        <f t="shared" si="26"/>
        <v>#N/A</v>
      </c>
      <c r="O539" s="24" t="e">
        <f>VLOOKUP(E539,'Court List'!$A:$C,3,0)</f>
        <v>#N/A</v>
      </c>
      <c r="P539" s="18">
        <f>COUNTIF('Pub List'!$C539:$T539,"&lt;&gt;")</f>
        <v>0</v>
      </c>
      <c r="Q539" s="20" t="e">
        <f t="shared" si="28"/>
        <v>#N/A</v>
      </c>
      <c r="R539" s="36"/>
      <c r="S539" s="18">
        <f>COUNTIF('Member List'!$C539:$J539,"&lt;&gt;")</f>
        <v>0</v>
      </c>
      <c r="T539" s="35"/>
      <c r="U539" s="24">
        <f t="shared" si="29"/>
        <v>0</v>
      </c>
      <c r="V539" s="18" t="e">
        <f t="shared" si="30"/>
        <v>#N/A</v>
      </c>
      <c r="W539" s="45" t="e">
        <f t="shared" si="31"/>
        <v>#N/A</v>
      </c>
      <c r="X539" s="20" t="e">
        <f t="shared" si="32"/>
        <v>#N/A</v>
      </c>
      <c r="Y539" s="46" t="e">
        <f t="shared" si="35"/>
        <v>#N/A</v>
      </c>
      <c r="Z539" s="39" t="e">
        <f t="shared" si="33"/>
        <v>#N/A</v>
      </c>
      <c r="AA539" s="39" t="e">
        <f t="shared" si="34"/>
        <v>#N/A</v>
      </c>
      <c r="AB539" s="39"/>
      <c r="AC539" s="48" t="e">
        <f t="shared" si="36"/>
        <v>#N/A</v>
      </c>
    </row>
    <row r="540" spans="1:29" ht="12.5" x14ac:dyDescent="0.25">
      <c r="A540" s="36"/>
      <c r="B540" s="33"/>
      <c r="C540" s="33"/>
      <c r="D540" s="33"/>
      <c r="E540" s="35"/>
      <c r="F540" s="21"/>
      <c r="G540" s="22" t="e">
        <f>VLOOKUP(E540,'Court List'!$A:$C,2,0)</f>
        <v>#N/A</v>
      </c>
      <c r="H540" s="33"/>
      <c r="I540" s="33"/>
      <c r="J540" s="44" t="e">
        <f t="shared" si="27"/>
        <v>#N/A</v>
      </c>
      <c r="K540" s="36"/>
      <c r="L540" s="18">
        <f>SUM('Shuttle Count - Supreme (Nov 20'!C540:D540)</f>
        <v>0</v>
      </c>
      <c r="M540" s="18" t="e">
        <f>VLOOKUP(K540,'Shuttle Purchase'!A:C,3,0)</f>
        <v>#N/A</v>
      </c>
      <c r="N540" s="44" t="e">
        <f t="shared" si="26"/>
        <v>#N/A</v>
      </c>
      <c r="O540" s="24" t="e">
        <f>VLOOKUP(E540,'Court List'!$A:$C,3,0)</f>
        <v>#N/A</v>
      </c>
      <c r="P540" s="18">
        <f>COUNTIF('Pub List'!$C540:$T540,"&lt;&gt;")</f>
        <v>0</v>
      </c>
      <c r="Q540" s="20" t="e">
        <f t="shared" si="28"/>
        <v>#N/A</v>
      </c>
      <c r="R540" s="36"/>
      <c r="S540" s="18">
        <f>COUNTIF('Member List'!$C540:$J540,"&lt;&gt;")</f>
        <v>0</v>
      </c>
      <c r="T540" s="35"/>
      <c r="U540" s="24">
        <f t="shared" si="29"/>
        <v>0</v>
      </c>
      <c r="V540" s="18" t="e">
        <f t="shared" si="30"/>
        <v>#N/A</v>
      </c>
      <c r="W540" s="45" t="e">
        <f t="shared" si="31"/>
        <v>#N/A</v>
      </c>
      <c r="X540" s="20" t="e">
        <f t="shared" si="32"/>
        <v>#N/A</v>
      </c>
      <c r="Y540" s="46" t="e">
        <f t="shared" si="35"/>
        <v>#N/A</v>
      </c>
      <c r="Z540" s="39" t="e">
        <f t="shared" si="33"/>
        <v>#N/A</v>
      </c>
      <c r="AA540" s="39" t="e">
        <f t="shared" si="34"/>
        <v>#N/A</v>
      </c>
      <c r="AB540" s="39"/>
      <c r="AC540" s="48" t="e">
        <f t="shared" si="36"/>
        <v>#N/A</v>
      </c>
    </row>
    <row r="541" spans="1:29" ht="12.5" x14ac:dyDescent="0.25">
      <c r="A541" s="36"/>
      <c r="B541" s="33"/>
      <c r="C541" s="33"/>
      <c r="D541" s="33"/>
      <c r="E541" s="35"/>
      <c r="F541" s="21"/>
      <c r="G541" s="22" t="e">
        <f>VLOOKUP(E541,'Court List'!$A:$C,2,0)</f>
        <v>#N/A</v>
      </c>
      <c r="H541" s="33"/>
      <c r="I541" s="33"/>
      <c r="J541" s="44" t="e">
        <f t="shared" si="27"/>
        <v>#N/A</v>
      </c>
      <c r="K541" s="36"/>
      <c r="L541" s="18">
        <f>SUM('Shuttle Count - Supreme (Nov 20'!C541:D541)</f>
        <v>0</v>
      </c>
      <c r="M541" s="18" t="e">
        <f>VLOOKUP(K541,'Shuttle Purchase'!A:C,3,0)</f>
        <v>#N/A</v>
      </c>
      <c r="N541" s="44" t="e">
        <f t="shared" si="26"/>
        <v>#N/A</v>
      </c>
      <c r="O541" s="24" t="e">
        <f>VLOOKUP(E541,'Court List'!$A:$C,3,0)</f>
        <v>#N/A</v>
      </c>
      <c r="P541" s="18">
        <f>COUNTIF('Pub List'!$C541:$T541,"&lt;&gt;")</f>
        <v>0</v>
      </c>
      <c r="Q541" s="20" t="e">
        <f t="shared" si="28"/>
        <v>#N/A</v>
      </c>
      <c r="R541" s="36"/>
      <c r="S541" s="18">
        <f>COUNTIF('Member List'!$C541:$J541,"&lt;&gt;")</f>
        <v>0</v>
      </c>
      <c r="T541" s="35"/>
      <c r="U541" s="24">
        <f t="shared" si="29"/>
        <v>0</v>
      </c>
      <c r="V541" s="18" t="e">
        <f t="shared" si="30"/>
        <v>#N/A</v>
      </c>
      <c r="W541" s="45" t="e">
        <f t="shared" si="31"/>
        <v>#N/A</v>
      </c>
      <c r="X541" s="20" t="e">
        <f t="shared" si="32"/>
        <v>#N/A</v>
      </c>
      <c r="Y541" s="46" t="e">
        <f t="shared" si="35"/>
        <v>#N/A</v>
      </c>
      <c r="Z541" s="39" t="e">
        <f t="shared" si="33"/>
        <v>#N/A</v>
      </c>
      <c r="AA541" s="39" t="e">
        <f t="shared" si="34"/>
        <v>#N/A</v>
      </c>
      <c r="AB541" s="39"/>
      <c r="AC541" s="48" t="e">
        <f t="shared" si="36"/>
        <v>#N/A</v>
      </c>
    </row>
    <row r="542" spans="1:29" ht="12.5" x14ac:dyDescent="0.25">
      <c r="A542" s="36"/>
      <c r="B542" s="33"/>
      <c r="C542" s="33"/>
      <c r="D542" s="33"/>
      <c r="E542" s="35"/>
      <c r="F542" s="21"/>
      <c r="G542" s="22" t="e">
        <f>VLOOKUP(E542,'Court List'!$A:$C,2,0)</f>
        <v>#N/A</v>
      </c>
      <c r="H542" s="33"/>
      <c r="I542" s="33"/>
      <c r="J542" s="44" t="e">
        <f t="shared" si="27"/>
        <v>#N/A</v>
      </c>
      <c r="K542" s="36"/>
      <c r="L542" s="18">
        <f>SUM('Shuttle Count - Supreme (Nov 20'!C542:D542)</f>
        <v>0</v>
      </c>
      <c r="M542" s="18" t="e">
        <f>VLOOKUP(K542,'Shuttle Purchase'!A:C,3,0)</f>
        <v>#N/A</v>
      </c>
      <c r="N542" s="44" t="e">
        <f t="shared" si="26"/>
        <v>#N/A</v>
      </c>
      <c r="O542" s="24" t="e">
        <f>VLOOKUP(E542,'Court List'!$A:$C,3,0)</f>
        <v>#N/A</v>
      </c>
      <c r="P542" s="18">
        <f>COUNTIF('Pub List'!$C542:$T542,"&lt;&gt;")</f>
        <v>0</v>
      </c>
      <c r="Q542" s="20" t="e">
        <f t="shared" si="28"/>
        <v>#N/A</v>
      </c>
      <c r="R542" s="36"/>
      <c r="S542" s="18">
        <f>COUNTIF('Member List'!$C542:$J542,"&lt;&gt;")</f>
        <v>0</v>
      </c>
      <c r="T542" s="35"/>
      <c r="U542" s="24">
        <f t="shared" si="29"/>
        <v>0</v>
      </c>
      <c r="V542" s="18" t="e">
        <f t="shared" si="30"/>
        <v>#N/A</v>
      </c>
      <c r="W542" s="45" t="e">
        <f t="shared" si="31"/>
        <v>#N/A</v>
      </c>
      <c r="X542" s="20" t="e">
        <f t="shared" si="32"/>
        <v>#N/A</v>
      </c>
      <c r="Y542" s="46" t="e">
        <f t="shared" si="35"/>
        <v>#N/A</v>
      </c>
      <c r="Z542" s="39" t="e">
        <f t="shared" si="33"/>
        <v>#N/A</v>
      </c>
      <c r="AA542" s="39" t="e">
        <f t="shared" si="34"/>
        <v>#N/A</v>
      </c>
      <c r="AB542" s="39"/>
      <c r="AC542" s="48" t="e">
        <f t="shared" si="36"/>
        <v>#N/A</v>
      </c>
    </row>
    <row r="543" spans="1:29" ht="12.5" x14ac:dyDescent="0.25">
      <c r="A543" s="36"/>
      <c r="B543" s="33"/>
      <c r="C543" s="33"/>
      <c r="D543" s="33"/>
      <c r="E543" s="35"/>
      <c r="F543" s="21"/>
      <c r="G543" s="22" t="e">
        <f>VLOOKUP(E543,'Court List'!$A:$C,2,0)</f>
        <v>#N/A</v>
      </c>
      <c r="H543" s="33"/>
      <c r="I543" s="33"/>
      <c r="J543" s="44" t="e">
        <f t="shared" si="27"/>
        <v>#N/A</v>
      </c>
      <c r="K543" s="36"/>
      <c r="L543" s="18">
        <f>SUM('Shuttle Count - Supreme (Nov 20'!C543:D543)</f>
        <v>0</v>
      </c>
      <c r="M543" s="18" t="e">
        <f>VLOOKUP(K543,'Shuttle Purchase'!A:C,3,0)</f>
        <v>#N/A</v>
      </c>
      <c r="N543" s="44" t="e">
        <f t="shared" si="26"/>
        <v>#N/A</v>
      </c>
      <c r="O543" s="24" t="e">
        <f>VLOOKUP(E543,'Court List'!$A:$C,3,0)</f>
        <v>#N/A</v>
      </c>
      <c r="P543" s="18">
        <f>COUNTIF('Pub List'!$C543:$T543,"&lt;&gt;")</f>
        <v>0</v>
      </c>
      <c r="Q543" s="20" t="e">
        <f t="shared" si="28"/>
        <v>#N/A</v>
      </c>
      <c r="R543" s="36"/>
      <c r="S543" s="18">
        <f>COUNTIF('Member List'!$C543:$J543,"&lt;&gt;")</f>
        <v>0</v>
      </c>
      <c r="T543" s="35"/>
      <c r="U543" s="24">
        <f t="shared" si="29"/>
        <v>0</v>
      </c>
      <c r="V543" s="18" t="e">
        <f t="shared" si="30"/>
        <v>#N/A</v>
      </c>
      <c r="W543" s="45" t="e">
        <f t="shared" si="31"/>
        <v>#N/A</v>
      </c>
      <c r="X543" s="20" t="e">
        <f t="shared" si="32"/>
        <v>#N/A</v>
      </c>
      <c r="Y543" s="46" t="e">
        <f t="shared" si="35"/>
        <v>#N/A</v>
      </c>
      <c r="Z543" s="39" t="e">
        <f t="shared" si="33"/>
        <v>#N/A</v>
      </c>
      <c r="AA543" s="39" t="e">
        <f t="shared" si="34"/>
        <v>#N/A</v>
      </c>
      <c r="AB543" s="39"/>
      <c r="AC543" s="48" t="e">
        <f t="shared" si="36"/>
        <v>#N/A</v>
      </c>
    </row>
    <row r="544" spans="1:29" ht="12.5" x14ac:dyDescent="0.25">
      <c r="A544" s="36"/>
      <c r="B544" s="33"/>
      <c r="C544" s="33"/>
      <c r="D544" s="33"/>
      <c r="E544" s="35"/>
      <c r="F544" s="21"/>
      <c r="G544" s="22" t="e">
        <f>VLOOKUP(E544,'Court List'!$A:$C,2,0)</f>
        <v>#N/A</v>
      </c>
      <c r="H544" s="33"/>
      <c r="I544" s="33"/>
      <c r="J544" s="44" t="e">
        <f t="shared" si="27"/>
        <v>#N/A</v>
      </c>
      <c r="K544" s="36"/>
      <c r="L544" s="18">
        <f>SUM('Shuttle Count - Supreme (Nov 20'!C544:D544)</f>
        <v>0</v>
      </c>
      <c r="M544" s="18" t="e">
        <f>VLOOKUP(K544,'Shuttle Purchase'!A:C,3,0)</f>
        <v>#N/A</v>
      </c>
      <c r="N544" s="44" t="e">
        <f t="shared" si="26"/>
        <v>#N/A</v>
      </c>
      <c r="O544" s="24" t="e">
        <f>VLOOKUP(E544,'Court List'!$A:$C,3,0)</f>
        <v>#N/A</v>
      </c>
      <c r="P544" s="18">
        <f>COUNTIF('Pub List'!$C544:$T544,"&lt;&gt;")</f>
        <v>0</v>
      </c>
      <c r="Q544" s="20" t="e">
        <f t="shared" si="28"/>
        <v>#N/A</v>
      </c>
      <c r="R544" s="36"/>
      <c r="S544" s="18">
        <f>COUNTIF('Member List'!$C544:$J544,"&lt;&gt;")</f>
        <v>0</v>
      </c>
      <c r="T544" s="35"/>
      <c r="U544" s="24">
        <f t="shared" si="29"/>
        <v>0</v>
      </c>
      <c r="V544" s="18" t="e">
        <f t="shared" si="30"/>
        <v>#N/A</v>
      </c>
      <c r="W544" s="45" t="e">
        <f t="shared" si="31"/>
        <v>#N/A</v>
      </c>
      <c r="X544" s="20" t="e">
        <f t="shared" si="32"/>
        <v>#N/A</v>
      </c>
      <c r="Y544" s="46" t="e">
        <f t="shared" si="35"/>
        <v>#N/A</v>
      </c>
      <c r="Z544" s="39" t="e">
        <f t="shared" si="33"/>
        <v>#N/A</v>
      </c>
      <c r="AA544" s="39" t="e">
        <f t="shared" si="34"/>
        <v>#N/A</v>
      </c>
      <c r="AB544" s="39"/>
      <c r="AC544" s="48" t="e">
        <f t="shared" si="36"/>
        <v>#N/A</v>
      </c>
    </row>
    <row r="545" spans="1:29" ht="12.5" x14ac:dyDescent="0.25">
      <c r="A545" s="36"/>
      <c r="B545" s="33"/>
      <c r="C545" s="33"/>
      <c r="D545" s="33"/>
      <c r="E545" s="35"/>
      <c r="F545" s="21"/>
      <c r="G545" s="22" t="e">
        <f>VLOOKUP(E545,'Court List'!$A:$C,2,0)</f>
        <v>#N/A</v>
      </c>
      <c r="H545" s="33"/>
      <c r="I545" s="33"/>
      <c r="J545" s="44" t="e">
        <f t="shared" si="27"/>
        <v>#N/A</v>
      </c>
      <c r="K545" s="36"/>
      <c r="L545" s="18">
        <f>SUM('Shuttle Count - Supreme (Nov 20'!C545:D545)</f>
        <v>0</v>
      </c>
      <c r="M545" s="18" t="e">
        <f>VLOOKUP(K545,'Shuttle Purchase'!A:C,3,0)</f>
        <v>#N/A</v>
      </c>
      <c r="N545" s="44" t="e">
        <f t="shared" si="26"/>
        <v>#N/A</v>
      </c>
      <c r="O545" s="24" t="e">
        <f>VLOOKUP(E545,'Court List'!$A:$C,3,0)</f>
        <v>#N/A</v>
      </c>
      <c r="P545" s="18">
        <f>COUNTIF('Pub List'!$C545:$T545,"&lt;&gt;")</f>
        <v>0</v>
      </c>
      <c r="Q545" s="20" t="e">
        <f t="shared" si="28"/>
        <v>#N/A</v>
      </c>
      <c r="R545" s="36"/>
      <c r="S545" s="18">
        <f>COUNTIF('Member List'!$C545:$J545,"&lt;&gt;")</f>
        <v>0</v>
      </c>
      <c r="T545" s="35"/>
      <c r="U545" s="24">
        <f t="shared" si="29"/>
        <v>0</v>
      </c>
      <c r="V545" s="18" t="e">
        <f t="shared" si="30"/>
        <v>#N/A</v>
      </c>
      <c r="W545" s="45" t="e">
        <f t="shared" si="31"/>
        <v>#N/A</v>
      </c>
      <c r="X545" s="20" t="e">
        <f t="shared" si="32"/>
        <v>#N/A</v>
      </c>
      <c r="Y545" s="46" t="e">
        <f t="shared" si="35"/>
        <v>#N/A</v>
      </c>
      <c r="Z545" s="39" t="e">
        <f t="shared" si="33"/>
        <v>#N/A</v>
      </c>
      <c r="AA545" s="39" t="e">
        <f t="shared" si="34"/>
        <v>#N/A</v>
      </c>
      <c r="AB545" s="39"/>
      <c r="AC545" s="48" t="e">
        <f t="shared" si="36"/>
        <v>#N/A</v>
      </c>
    </row>
    <row r="546" spans="1:29" ht="12.5" x14ac:dyDescent="0.25">
      <c r="A546" s="36"/>
      <c r="B546" s="33"/>
      <c r="C546" s="33"/>
      <c r="D546" s="33"/>
      <c r="E546" s="35"/>
      <c r="F546" s="21"/>
      <c r="G546" s="22" t="e">
        <f>VLOOKUP(E546,'Court List'!$A:$C,2,0)</f>
        <v>#N/A</v>
      </c>
      <c r="H546" s="33"/>
      <c r="I546" s="33"/>
      <c r="J546" s="44" t="e">
        <f t="shared" si="27"/>
        <v>#N/A</v>
      </c>
      <c r="K546" s="36"/>
      <c r="L546" s="18">
        <f>SUM('Shuttle Count - Supreme (Nov 20'!C546:D546)</f>
        <v>0</v>
      </c>
      <c r="M546" s="18" t="e">
        <f>VLOOKUP(K546,'Shuttle Purchase'!A:C,3,0)</f>
        <v>#N/A</v>
      </c>
      <c r="N546" s="44" t="e">
        <f t="shared" si="26"/>
        <v>#N/A</v>
      </c>
      <c r="O546" s="24" t="e">
        <f>VLOOKUP(E546,'Court List'!$A:$C,3,0)</f>
        <v>#N/A</v>
      </c>
      <c r="P546" s="18">
        <f>COUNTIF('Pub List'!$C546:$T546,"&lt;&gt;")</f>
        <v>0</v>
      </c>
      <c r="Q546" s="20" t="e">
        <f t="shared" si="28"/>
        <v>#N/A</v>
      </c>
      <c r="R546" s="36"/>
      <c r="S546" s="18">
        <f>COUNTIF('Member List'!$C546:$J546,"&lt;&gt;")</f>
        <v>0</v>
      </c>
      <c r="T546" s="35"/>
      <c r="U546" s="24">
        <f t="shared" si="29"/>
        <v>0</v>
      </c>
      <c r="V546" s="18" t="e">
        <f t="shared" si="30"/>
        <v>#N/A</v>
      </c>
      <c r="W546" s="45" t="e">
        <f t="shared" si="31"/>
        <v>#N/A</v>
      </c>
      <c r="X546" s="20" t="e">
        <f t="shared" si="32"/>
        <v>#N/A</v>
      </c>
      <c r="Y546" s="46" t="e">
        <f t="shared" si="35"/>
        <v>#N/A</v>
      </c>
      <c r="Z546" s="39" t="e">
        <f t="shared" si="33"/>
        <v>#N/A</v>
      </c>
      <c r="AA546" s="39" t="e">
        <f t="shared" si="34"/>
        <v>#N/A</v>
      </c>
      <c r="AB546" s="39"/>
      <c r="AC546" s="48" t="e">
        <f t="shared" si="36"/>
        <v>#N/A</v>
      </c>
    </row>
    <row r="547" spans="1:29" ht="12.5" x14ac:dyDescent="0.25">
      <c r="A547" s="36"/>
      <c r="B547" s="33"/>
      <c r="C547" s="33"/>
      <c r="D547" s="33"/>
      <c r="E547" s="35"/>
      <c r="F547" s="21"/>
      <c r="G547" s="22" t="e">
        <f>VLOOKUP(E547,'Court List'!$A:$C,2,0)</f>
        <v>#N/A</v>
      </c>
      <c r="H547" s="33"/>
      <c r="I547" s="33"/>
      <c r="J547" s="44" t="e">
        <f t="shared" si="27"/>
        <v>#N/A</v>
      </c>
      <c r="K547" s="36"/>
      <c r="L547" s="18">
        <f>SUM('Shuttle Count - Supreme (Nov 20'!C547:D547)</f>
        <v>0</v>
      </c>
      <c r="M547" s="18" t="e">
        <f>VLOOKUP(K547,'Shuttle Purchase'!A:C,3,0)</f>
        <v>#N/A</v>
      </c>
      <c r="N547" s="44" t="e">
        <f t="shared" si="26"/>
        <v>#N/A</v>
      </c>
      <c r="O547" s="24" t="e">
        <f>VLOOKUP(E547,'Court List'!$A:$C,3,0)</f>
        <v>#N/A</v>
      </c>
      <c r="P547" s="18">
        <f>COUNTIF('Pub List'!$C547:$T547,"&lt;&gt;")</f>
        <v>0</v>
      </c>
      <c r="Q547" s="20" t="e">
        <f t="shared" si="28"/>
        <v>#N/A</v>
      </c>
      <c r="R547" s="36"/>
      <c r="S547" s="18">
        <f>COUNTIF('Member List'!$C547:$J547,"&lt;&gt;")</f>
        <v>0</v>
      </c>
      <c r="T547" s="35"/>
      <c r="U547" s="24">
        <f t="shared" si="29"/>
        <v>0</v>
      </c>
      <c r="V547" s="18" t="e">
        <f t="shared" si="30"/>
        <v>#N/A</v>
      </c>
      <c r="W547" s="45" t="e">
        <f t="shared" si="31"/>
        <v>#N/A</v>
      </c>
      <c r="X547" s="20" t="e">
        <f t="shared" si="32"/>
        <v>#N/A</v>
      </c>
      <c r="Y547" s="46" t="e">
        <f t="shared" si="35"/>
        <v>#N/A</v>
      </c>
      <c r="Z547" s="39" t="e">
        <f t="shared" si="33"/>
        <v>#N/A</v>
      </c>
      <c r="AA547" s="39" t="e">
        <f t="shared" si="34"/>
        <v>#N/A</v>
      </c>
      <c r="AB547" s="39"/>
      <c r="AC547" s="48" t="e">
        <f t="shared" si="36"/>
        <v>#N/A</v>
      </c>
    </row>
    <row r="548" spans="1:29" ht="12.5" x14ac:dyDescent="0.25">
      <c r="A548" s="36"/>
      <c r="B548" s="33"/>
      <c r="C548" s="33"/>
      <c r="D548" s="33"/>
      <c r="E548" s="35"/>
      <c r="F548" s="21"/>
      <c r="G548" s="22" t="e">
        <f>VLOOKUP(E548,'Court List'!$A:$C,2,0)</f>
        <v>#N/A</v>
      </c>
      <c r="H548" s="33"/>
      <c r="I548" s="33"/>
      <c r="J548" s="44" t="e">
        <f t="shared" si="27"/>
        <v>#N/A</v>
      </c>
      <c r="K548" s="36"/>
      <c r="L548" s="18">
        <f>SUM('Shuttle Count - Supreme (Nov 20'!C548:D548)</f>
        <v>0</v>
      </c>
      <c r="M548" s="18" t="e">
        <f>VLOOKUP(K548,'Shuttle Purchase'!A:C,3,0)</f>
        <v>#N/A</v>
      </c>
      <c r="N548" s="44" t="e">
        <f t="shared" si="26"/>
        <v>#N/A</v>
      </c>
      <c r="O548" s="24" t="e">
        <f>VLOOKUP(E548,'Court List'!$A:$C,3,0)</f>
        <v>#N/A</v>
      </c>
      <c r="P548" s="18">
        <f>COUNTIF('Pub List'!$C548:$T548,"&lt;&gt;")</f>
        <v>0</v>
      </c>
      <c r="Q548" s="20" t="e">
        <f t="shared" si="28"/>
        <v>#N/A</v>
      </c>
      <c r="R548" s="36"/>
      <c r="S548" s="18">
        <f>COUNTIF('Member List'!$C548:$J548,"&lt;&gt;")</f>
        <v>0</v>
      </c>
      <c r="T548" s="35"/>
      <c r="U548" s="24">
        <f t="shared" si="29"/>
        <v>0</v>
      </c>
      <c r="V548" s="18" t="e">
        <f t="shared" si="30"/>
        <v>#N/A</v>
      </c>
      <c r="W548" s="45" t="e">
        <f t="shared" si="31"/>
        <v>#N/A</v>
      </c>
      <c r="X548" s="20" t="e">
        <f t="shared" si="32"/>
        <v>#N/A</v>
      </c>
      <c r="Y548" s="46" t="e">
        <f t="shared" si="35"/>
        <v>#N/A</v>
      </c>
      <c r="Z548" s="39" t="e">
        <f t="shared" si="33"/>
        <v>#N/A</v>
      </c>
      <c r="AA548" s="39" t="e">
        <f t="shared" si="34"/>
        <v>#N/A</v>
      </c>
      <c r="AB548" s="39"/>
      <c r="AC548" s="48" t="e">
        <f t="shared" si="36"/>
        <v>#N/A</v>
      </c>
    </row>
    <row r="549" spans="1:29" ht="12.5" x14ac:dyDescent="0.25">
      <c r="A549" s="36"/>
      <c r="B549" s="33"/>
      <c r="C549" s="33"/>
      <c r="D549" s="33"/>
      <c r="E549" s="35"/>
      <c r="F549" s="21"/>
      <c r="G549" s="22" t="e">
        <f>VLOOKUP(E549,'Court List'!$A:$C,2,0)</f>
        <v>#N/A</v>
      </c>
      <c r="H549" s="33"/>
      <c r="I549" s="33"/>
      <c r="J549" s="44" t="e">
        <f t="shared" si="27"/>
        <v>#N/A</v>
      </c>
      <c r="K549" s="36"/>
      <c r="L549" s="18">
        <f>SUM('Shuttle Count - Supreme (Nov 20'!C549:D549)</f>
        <v>0</v>
      </c>
      <c r="M549" s="18" t="e">
        <f>VLOOKUP(K549,'Shuttle Purchase'!A:C,3,0)</f>
        <v>#N/A</v>
      </c>
      <c r="N549" s="44" t="e">
        <f t="shared" si="26"/>
        <v>#N/A</v>
      </c>
      <c r="O549" s="24" t="e">
        <f>VLOOKUP(E549,'Court List'!$A:$C,3,0)</f>
        <v>#N/A</v>
      </c>
      <c r="P549" s="18">
        <f>COUNTIF('Pub List'!$C549:$T549,"&lt;&gt;")</f>
        <v>0</v>
      </c>
      <c r="Q549" s="20" t="e">
        <f t="shared" si="28"/>
        <v>#N/A</v>
      </c>
      <c r="R549" s="36"/>
      <c r="S549" s="18">
        <f>COUNTIF('Member List'!$C549:$J549,"&lt;&gt;")</f>
        <v>0</v>
      </c>
      <c r="T549" s="35"/>
      <c r="U549" s="24">
        <f t="shared" si="29"/>
        <v>0</v>
      </c>
      <c r="V549" s="18" t="e">
        <f t="shared" si="30"/>
        <v>#N/A</v>
      </c>
      <c r="W549" s="45" t="e">
        <f t="shared" si="31"/>
        <v>#N/A</v>
      </c>
      <c r="X549" s="20" t="e">
        <f t="shared" si="32"/>
        <v>#N/A</v>
      </c>
      <c r="Y549" s="46" t="e">
        <f t="shared" si="35"/>
        <v>#N/A</v>
      </c>
      <c r="Z549" s="39" t="e">
        <f t="shared" si="33"/>
        <v>#N/A</v>
      </c>
      <c r="AA549" s="39" t="e">
        <f t="shared" si="34"/>
        <v>#N/A</v>
      </c>
      <c r="AB549" s="39"/>
      <c r="AC549" s="48" t="e">
        <f t="shared" si="36"/>
        <v>#N/A</v>
      </c>
    </row>
    <row r="550" spans="1:29" ht="12.5" x14ac:dyDescent="0.25">
      <c r="A550" s="36"/>
      <c r="B550" s="33"/>
      <c r="C550" s="33"/>
      <c r="D550" s="33"/>
      <c r="E550" s="35"/>
      <c r="F550" s="21"/>
      <c r="G550" s="22" t="e">
        <f>VLOOKUP(E550,'Court List'!$A:$C,2,0)</f>
        <v>#N/A</v>
      </c>
      <c r="H550" s="33"/>
      <c r="I550" s="33"/>
      <c r="J550" s="44" t="e">
        <f t="shared" si="27"/>
        <v>#N/A</v>
      </c>
      <c r="K550" s="36"/>
      <c r="L550" s="18">
        <f>SUM('Shuttle Count - Supreme (Nov 20'!C550:D550)</f>
        <v>0</v>
      </c>
      <c r="M550" s="18" t="e">
        <f>VLOOKUP(K550,'Shuttle Purchase'!A:C,3,0)</f>
        <v>#N/A</v>
      </c>
      <c r="N550" s="44" t="e">
        <f t="shared" si="26"/>
        <v>#N/A</v>
      </c>
      <c r="O550" s="24" t="e">
        <f>VLOOKUP(E550,'Court List'!$A:$C,3,0)</f>
        <v>#N/A</v>
      </c>
      <c r="P550" s="18">
        <f>COUNTIF('Pub List'!$C550:$T550,"&lt;&gt;")</f>
        <v>0</v>
      </c>
      <c r="Q550" s="20" t="e">
        <f t="shared" si="28"/>
        <v>#N/A</v>
      </c>
      <c r="R550" s="36"/>
      <c r="S550" s="18">
        <f>COUNTIF('Member List'!$C550:$J550,"&lt;&gt;")</f>
        <v>0</v>
      </c>
      <c r="T550" s="35"/>
      <c r="U550" s="24">
        <f t="shared" si="29"/>
        <v>0</v>
      </c>
      <c r="V550" s="18" t="e">
        <f t="shared" si="30"/>
        <v>#N/A</v>
      </c>
      <c r="W550" s="45" t="e">
        <f t="shared" si="31"/>
        <v>#N/A</v>
      </c>
      <c r="X550" s="20" t="e">
        <f t="shared" si="32"/>
        <v>#N/A</v>
      </c>
      <c r="Y550" s="46" t="e">
        <f t="shared" si="35"/>
        <v>#N/A</v>
      </c>
      <c r="Z550" s="39" t="e">
        <f t="shared" si="33"/>
        <v>#N/A</v>
      </c>
      <c r="AA550" s="39" t="e">
        <f t="shared" si="34"/>
        <v>#N/A</v>
      </c>
      <c r="AB550" s="39"/>
      <c r="AC550" s="48" t="e">
        <f t="shared" si="36"/>
        <v>#N/A</v>
      </c>
    </row>
    <row r="551" spans="1:29" ht="12.5" x14ac:dyDescent="0.25">
      <c r="A551" s="36"/>
      <c r="B551" s="33"/>
      <c r="C551" s="33"/>
      <c r="D551" s="33"/>
      <c r="E551" s="35"/>
      <c r="F551" s="21"/>
      <c r="G551" s="22" t="e">
        <f>VLOOKUP(E551,'Court List'!$A:$C,2,0)</f>
        <v>#N/A</v>
      </c>
      <c r="H551" s="33"/>
      <c r="I551" s="33"/>
      <c r="J551" s="44" t="e">
        <f t="shared" si="27"/>
        <v>#N/A</v>
      </c>
      <c r="K551" s="36"/>
      <c r="L551" s="18">
        <f>SUM('Shuttle Count - Supreme (Nov 20'!C551:D551)</f>
        <v>0</v>
      </c>
      <c r="M551" s="18" t="e">
        <f>VLOOKUP(K551,'Shuttle Purchase'!A:C,3,0)</f>
        <v>#N/A</v>
      </c>
      <c r="N551" s="44" t="e">
        <f t="shared" si="26"/>
        <v>#N/A</v>
      </c>
      <c r="O551" s="24" t="e">
        <f>VLOOKUP(E551,'Court List'!$A:$C,3,0)</f>
        <v>#N/A</v>
      </c>
      <c r="P551" s="18">
        <f>COUNTIF('Pub List'!$C551:$T551,"&lt;&gt;")</f>
        <v>0</v>
      </c>
      <c r="Q551" s="20" t="e">
        <f t="shared" si="28"/>
        <v>#N/A</v>
      </c>
      <c r="R551" s="36"/>
      <c r="S551" s="18">
        <f>COUNTIF('Member List'!$C551:$J551,"&lt;&gt;")</f>
        <v>0</v>
      </c>
      <c r="T551" s="35"/>
      <c r="U551" s="24">
        <f t="shared" si="29"/>
        <v>0</v>
      </c>
      <c r="V551" s="18" t="e">
        <f t="shared" si="30"/>
        <v>#N/A</v>
      </c>
      <c r="W551" s="45" t="e">
        <f t="shared" si="31"/>
        <v>#N/A</v>
      </c>
      <c r="X551" s="20" t="e">
        <f t="shared" si="32"/>
        <v>#N/A</v>
      </c>
      <c r="Y551" s="46" t="e">
        <f t="shared" si="35"/>
        <v>#N/A</v>
      </c>
      <c r="Z551" s="39" t="e">
        <f t="shared" si="33"/>
        <v>#N/A</v>
      </c>
      <c r="AA551" s="39" t="e">
        <f t="shared" si="34"/>
        <v>#N/A</v>
      </c>
      <c r="AB551" s="39"/>
      <c r="AC551" s="48" t="e">
        <f t="shared" si="36"/>
        <v>#N/A</v>
      </c>
    </row>
    <row r="552" spans="1:29" ht="12.5" x14ac:dyDescent="0.25">
      <c r="A552" s="36"/>
      <c r="B552" s="33"/>
      <c r="C552" s="33"/>
      <c r="D552" s="33"/>
      <c r="E552" s="35"/>
      <c r="F552" s="21"/>
      <c r="G552" s="22" t="e">
        <f>VLOOKUP(E552,'Court List'!$A:$C,2,0)</f>
        <v>#N/A</v>
      </c>
      <c r="H552" s="33"/>
      <c r="I552" s="33"/>
      <c r="J552" s="44" t="e">
        <f t="shared" si="27"/>
        <v>#N/A</v>
      </c>
      <c r="K552" s="36"/>
      <c r="L552" s="18">
        <f>SUM('Shuttle Count - Supreme (Nov 20'!C552:D552)</f>
        <v>0</v>
      </c>
      <c r="M552" s="18" t="e">
        <f>VLOOKUP(K552,'Shuttle Purchase'!A:C,3,0)</f>
        <v>#N/A</v>
      </c>
      <c r="N552" s="44" t="e">
        <f t="shared" si="26"/>
        <v>#N/A</v>
      </c>
      <c r="O552" s="24" t="e">
        <f>VLOOKUP(E552,'Court List'!$A:$C,3,0)</f>
        <v>#N/A</v>
      </c>
      <c r="P552" s="18">
        <f>COUNTIF('Pub List'!$C552:$T552,"&lt;&gt;")</f>
        <v>0</v>
      </c>
      <c r="Q552" s="20" t="e">
        <f t="shared" si="28"/>
        <v>#N/A</v>
      </c>
      <c r="R552" s="36"/>
      <c r="S552" s="18">
        <f>COUNTIF('Member List'!$C552:$J552,"&lt;&gt;")</f>
        <v>0</v>
      </c>
      <c r="T552" s="35"/>
      <c r="U552" s="24">
        <f t="shared" si="29"/>
        <v>0</v>
      </c>
      <c r="V552" s="18" t="e">
        <f t="shared" si="30"/>
        <v>#N/A</v>
      </c>
      <c r="W552" s="45" t="e">
        <f t="shared" si="31"/>
        <v>#N/A</v>
      </c>
      <c r="X552" s="20" t="e">
        <f t="shared" si="32"/>
        <v>#N/A</v>
      </c>
      <c r="Y552" s="46" t="e">
        <f t="shared" si="35"/>
        <v>#N/A</v>
      </c>
      <c r="Z552" s="39" t="e">
        <f t="shared" si="33"/>
        <v>#N/A</v>
      </c>
      <c r="AA552" s="39" t="e">
        <f t="shared" si="34"/>
        <v>#N/A</v>
      </c>
      <c r="AB552" s="39"/>
      <c r="AC552" s="48" t="e">
        <f t="shared" si="36"/>
        <v>#N/A</v>
      </c>
    </row>
    <row r="553" spans="1:29" ht="12.5" x14ac:dyDescent="0.25">
      <c r="A553" s="36"/>
      <c r="B553" s="33"/>
      <c r="C553" s="33"/>
      <c r="D553" s="33"/>
      <c r="E553" s="35"/>
      <c r="F553" s="21"/>
      <c r="G553" s="22" t="e">
        <f>VLOOKUP(E553,'Court List'!$A:$C,2,0)</f>
        <v>#N/A</v>
      </c>
      <c r="H553" s="33"/>
      <c r="I553" s="33"/>
      <c r="J553" s="44" t="e">
        <f t="shared" si="27"/>
        <v>#N/A</v>
      </c>
      <c r="K553" s="36"/>
      <c r="L553" s="18">
        <f>SUM('Shuttle Count - Supreme (Nov 20'!C553:D553)</f>
        <v>0</v>
      </c>
      <c r="M553" s="18" t="e">
        <f>VLOOKUP(K553,'Shuttle Purchase'!A:C,3,0)</f>
        <v>#N/A</v>
      </c>
      <c r="N553" s="44" t="e">
        <f t="shared" si="26"/>
        <v>#N/A</v>
      </c>
      <c r="O553" s="24" t="e">
        <f>VLOOKUP(E553,'Court List'!$A:$C,3,0)</f>
        <v>#N/A</v>
      </c>
      <c r="P553" s="18">
        <f>COUNTIF('Pub List'!$C553:$T553,"&lt;&gt;")</f>
        <v>0</v>
      </c>
      <c r="Q553" s="20" t="e">
        <f t="shared" si="28"/>
        <v>#N/A</v>
      </c>
      <c r="R553" s="36"/>
      <c r="S553" s="18">
        <f>COUNTIF('Member List'!$C553:$J553,"&lt;&gt;")</f>
        <v>0</v>
      </c>
      <c r="T553" s="35"/>
      <c r="U553" s="24">
        <f t="shared" si="29"/>
        <v>0</v>
      </c>
      <c r="V553" s="18" t="e">
        <f t="shared" si="30"/>
        <v>#N/A</v>
      </c>
      <c r="W553" s="45" t="e">
        <f t="shared" si="31"/>
        <v>#N/A</v>
      </c>
      <c r="X553" s="20" t="e">
        <f t="shared" si="32"/>
        <v>#N/A</v>
      </c>
      <c r="Y553" s="46" t="e">
        <f t="shared" si="35"/>
        <v>#N/A</v>
      </c>
      <c r="Z553" s="39" t="e">
        <f t="shared" si="33"/>
        <v>#N/A</v>
      </c>
      <c r="AA553" s="39" t="e">
        <f t="shared" si="34"/>
        <v>#N/A</v>
      </c>
      <c r="AB553" s="39"/>
      <c r="AC553" s="48" t="e">
        <f t="shared" si="36"/>
        <v>#N/A</v>
      </c>
    </row>
    <row r="554" spans="1:29" ht="12.5" x14ac:dyDescent="0.25">
      <c r="A554" s="36"/>
      <c r="B554" s="33"/>
      <c r="C554" s="33"/>
      <c r="D554" s="33"/>
      <c r="E554" s="35"/>
      <c r="F554" s="21"/>
      <c r="G554" s="22" t="e">
        <f>VLOOKUP(E554,'Court List'!$A:$C,2,0)</f>
        <v>#N/A</v>
      </c>
      <c r="H554" s="33"/>
      <c r="I554" s="33"/>
      <c r="J554" s="44" t="e">
        <f t="shared" si="27"/>
        <v>#N/A</v>
      </c>
      <c r="K554" s="36"/>
      <c r="L554" s="18">
        <f>SUM('Shuttle Count - Supreme (Nov 20'!C554:D554)</f>
        <v>0</v>
      </c>
      <c r="M554" s="18" t="e">
        <f>VLOOKUP(K554,'Shuttle Purchase'!A:C,3,0)</f>
        <v>#N/A</v>
      </c>
      <c r="N554" s="44" t="e">
        <f t="shared" si="26"/>
        <v>#N/A</v>
      </c>
      <c r="O554" s="24" t="e">
        <f>VLOOKUP(E554,'Court List'!$A:$C,3,0)</f>
        <v>#N/A</v>
      </c>
      <c r="P554" s="18">
        <f>COUNTIF('Pub List'!$C554:$T554,"&lt;&gt;")</f>
        <v>0</v>
      </c>
      <c r="Q554" s="20" t="e">
        <f t="shared" si="28"/>
        <v>#N/A</v>
      </c>
      <c r="R554" s="36"/>
      <c r="S554" s="18">
        <f>COUNTIF('Member List'!$C554:$J554,"&lt;&gt;")</f>
        <v>0</v>
      </c>
      <c r="T554" s="35"/>
      <c r="U554" s="24">
        <f t="shared" si="29"/>
        <v>0</v>
      </c>
      <c r="V554" s="18" t="e">
        <f t="shared" si="30"/>
        <v>#N/A</v>
      </c>
      <c r="W554" s="45" t="e">
        <f t="shared" si="31"/>
        <v>#N/A</v>
      </c>
      <c r="X554" s="20" t="e">
        <f t="shared" si="32"/>
        <v>#N/A</v>
      </c>
      <c r="Y554" s="46" t="e">
        <f t="shared" si="35"/>
        <v>#N/A</v>
      </c>
      <c r="Z554" s="39" t="e">
        <f t="shared" si="33"/>
        <v>#N/A</v>
      </c>
      <c r="AA554" s="39" t="e">
        <f t="shared" si="34"/>
        <v>#N/A</v>
      </c>
      <c r="AB554" s="39"/>
      <c r="AC554" s="48" t="e">
        <f t="shared" si="36"/>
        <v>#N/A</v>
      </c>
    </row>
    <row r="555" spans="1:29" ht="12.5" x14ac:dyDescent="0.25">
      <c r="A555" s="36"/>
      <c r="B555" s="33"/>
      <c r="C555" s="33"/>
      <c r="D555" s="33"/>
      <c r="E555" s="35"/>
      <c r="F555" s="21"/>
      <c r="G555" s="22" t="e">
        <f>VLOOKUP(E555,'Court List'!$A:$C,2,0)</f>
        <v>#N/A</v>
      </c>
      <c r="H555" s="33"/>
      <c r="I555" s="33"/>
      <c r="J555" s="44" t="e">
        <f t="shared" si="27"/>
        <v>#N/A</v>
      </c>
      <c r="K555" s="36"/>
      <c r="L555" s="18">
        <f>SUM('Shuttle Count - Supreme (Nov 20'!C555:D555)</f>
        <v>0</v>
      </c>
      <c r="M555" s="18" t="e">
        <f>VLOOKUP(K555,'Shuttle Purchase'!A:C,3,0)</f>
        <v>#N/A</v>
      </c>
      <c r="N555" s="44" t="e">
        <f t="shared" si="26"/>
        <v>#N/A</v>
      </c>
      <c r="O555" s="24" t="e">
        <f>VLOOKUP(E555,'Court List'!$A:$C,3,0)</f>
        <v>#N/A</v>
      </c>
      <c r="P555" s="18">
        <f>COUNTIF('Pub List'!$C555:$T555,"&lt;&gt;")</f>
        <v>0</v>
      </c>
      <c r="Q555" s="20" t="e">
        <f t="shared" si="28"/>
        <v>#N/A</v>
      </c>
      <c r="R555" s="36"/>
      <c r="S555" s="18">
        <f>COUNTIF('Member List'!$C555:$J555,"&lt;&gt;")</f>
        <v>0</v>
      </c>
      <c r="T555" s="35"/>
      <c r="U555" s="24">
        <f t="shared" si="29"/>
        <v>0</v>
      </c>
      <c r="V555" s="18" t="e">
        <f t="shared" si="30"/>
        <v>#N/A</v>
      </c>
      <c r="W555" s="45" t="e">
        <f t="shared" si="31"/>
        <v>#N/A</v>
      </c>
      <c r="X555" s="20" t="e">
        <f t="shared" si="32"/>
        <v>#N/A</v>
      </c>
      <c r="Y555" s="46" t="e">
        <f t="shared" si="35"/>
        <v>#N/A</v>
      </c>
      <c r="Z555" s="39" t="e">
        <f t="shared" si="33"/>
        <v>#N/A</v>
      </c>
      <c r="AA555" s="39" t="e">
        <f t="shared" si="34"/>
        <v>#N/A</v>
      </c>
      <c r="AB555" s="39"/>
      <c r="AC555" s="48" t="e">
        <f t="shared" si="36"/>
        <v>#N/A</v>
      </c>
    </row>
    <row r="556" spans="1:29" ht="12.5" x14ac:dyDescent="0.25">
      <c r="A556" s="36"/>
      <c r="B556" s="33"/>
      <c r="C556" s="33"/>
      <c r="D556" s="33"/>
      <c r="E556" s="35"/>
      <c r="F556" s="21"/>
      <c r="G556" s="22" t="e">
        <f>VLOOKUP(E556,'Court List'!$A:$C,2,0)</f>
        <v>#N/A</v>
      </c>
      <c r="H556" s="33"/>
      <c r="I556" s="33"/>
      <c r="J556" s="44" t="e">
        <f t="shared" si="27"/>
        <v>#N/A</v>
      </c>
      <c r="K556" s="36"/>
      <c r="L556" s="18">
        <f>SUM('Shuttle Count - Supreme (Nov 20'!C556:D556)</f>
        <v>0</v>
      </c>
      <c r="M556" s="18" t="e">
        <f>VLOOKUP(K556,'Shuttle Purchase'!A:C,3,0)</f>
        <v>#N/A</v>
      </c>
      <c r="N556" s="44" t="e">
        <f t="shared" si="26"/>
        <v>#N/A</v>
      </c>
      <c r="O556" s="24" t="e">
        <f>VLOOKUP(E556,'Court List'!$A:$C,3,0)</f>
        <v>#N/A</v>
      </c>
      <c r="P556" s="18">
        <f>COUNTIF('Pub List'!$C556:$T556,"&lt;&gt;")</f>
        <v>0</v>
      </c>
      <c r="Q556" s="20" t="e">
        <f t="shared" si="28"/>
        <v>#N/A</v>
      </c>
      <c r="R556" s="36"/>
      <c r="S556" s="18">
        <f>COUNTIF('Member List'!$C556:$J556,"&lt;&gt;")</f>
        <v>0</v>
      </c>
      <c r="T556" s="35"/>
      <c r="U556" s="24">
        <f t="shared" si="29"/>
        <v>0</v>
      </c>
      <c r="V556" s="18" t="e">
        <f t="shared" si="30"/>
        <v>#N/A</v>
      </c>
      <c r="W556" s="45" t="e">
        <f t="shared" si="31"/>
        <v>#N/A</v>
      </c>
      <c r="X556" s="20" t="e">
        <f t="shared" si="32"/>
        <v>#N/A</v>
      </c>
      <c r="Y556" s="46" t="e">
        <f t="shared" si="35"/>
        <v>#N/A</v>
      </c>
      <c r="Z556" s="39" t="e">
        <f t="shared" si="33"/>
        <v>#N/A</v>
      </c>
      <c r="AA556" s="39" t="e">
        <f t="shared" si="34"/>
        <v>#N/A</v>
      </c>
      <c r="AB556" s="39"/>
      <c r="AC556" s="48" t="e">
        <f t="shared" si="36"/>
        <v>#N/A</v>
      </c>
    </row>
    <row r="557" spans="1:29" ht="12.5" x14ac:dyDescent="0.25">
      <c r="A557" s="36"/>
      <c r="B557" s="33"/>
      <c r="C557" s="33"/>
      <c r="D557" s="33"/>
      <c r="E557" s="35"/>
      <c r="F557" s="21"/>
      <c r="G557" s="22" t="e">
        <f>VLOOKUP(E557,'Court List'!$A:$C,2,0)</f>
        <v>#N/A</v>
      </c>
      <c r="H557" s="33"/>
      <c r="I557" s="33"/>
      <c r="J557" s="44" t="e">
        <f t="shared" si="27"/>
        <v>#N/A</v>
      </c>
      <c r="K557" s="36"/>
      <c r="L557" s="18">
        <f>SUM('Shuttle Count - Supreme (Nov 20'!C557:D557)</f>
        <v>0</v>
      </c>
      <c r="M557" s="18" t="e">
        <f>VLOOKUP(K557,'Shuttle Purchase'!A:C,3,0)</f>
        <v>#N/A</v>
      </c>
      <c r="N557" s="44" t="e">
        <f t="shared" si="26"/>
        <v>#N/A</v>
      </c>
      <c r="O557" s="24" t="e">
        <f>VLOOKUP(E557,'Court List'!$A:$C,3,0)</f>
        <v>#N/A</v>
      </c>
      <c r="P557" s="18">
        <f>COUNTIF('Pub List'!$C557:$T557,"&lt;&gt;")</f>
        <v>0</v>
      </c>
      <c r="Q557" s="20" t="e">
        <f t="shared" si="28"/>
        <v>#N/A</v>
      </c>
      <c r="R557" s="36"/>
      <c r="S557" s="18">
        <f>COUNTIF('Member List'!$C557:$J557,"&lt;&gt;")</f>
        <v>0</v>
      </c>
      <c r="T557" s="35"/>
      <c r="U557" s="24">
        <f t="shared" si="29"/>
        <v>0</v>
      </c>
      <c r="V557" s="18" t="e">
        <f t="shared" si="30"/>
        <v>#N/A</v>
      </c>
      <c r="W557" s="45" t="e">
        <f t="shared" si="31"/>
        <v>#N/A</v>
      </c>
      <c r="X557" s="20" t="e">
        <f t="shared" si="32"/>
        <v>#N/A</v>
      </c>
      <c r="Y557" s="46" t="e">
        <f t="shared" si="35"/>
        <v>#N/A</v>
      </c>
      <c r="Z557" s="39" t="e">
        <f t="shared" si="33"/>
        <v>#N/A</v>
      </c>
      <c r="AA557" s="39" t="e">
        <f t="shared" si="34"/>
        <v>#N/A</v>
      </c>
      <c r="AB557" s="39"/>
      <c r="AC557" s="48" t="e">
        <f t="shared" si="36"/>
        <v>#N/A</v>
      </c>
    </row>
    <row r="558" spans="1:29" ht="12.5" x14ac:dyDescent="0.25">
      <c r="A558" s="36"/>
      <c r="B558" s="33"/>
      <c r="C558" s="33"/>
      <c r="D558" s="33"/>
      <c r="E558" s="35"/>
      <c r="F558" s="21"/>
      <c r="G558" s="22" t="e">
        <f>VLOOKUP(E558,'Court List'!$A:$C,2,0)</f>
        <v>#N/A</v>
      </c>
      <c r="H558" s="33"/>
      <c r="I558" s="33"/>
      <c r="J558" s="44" t="e">
        <f t="shared" si="27"/>
        <v>#N/A</v>
      </c>
      <c r="K558" s="36"/>
      <c r="L558" s="18">
        <f>SUM('Shuttle Count - Supreme (Nov 20'!C558:D558)</f>
        <v>0</v>
      </c>
      <c r="M558" s="18" t="e">
        <f>VLOOKUP(K558,'Shuttle Purchase'!A:C,3,0)</f>
        <v>#N/A</v>
      </c>
      <c r="N558" s="44" t="e">
        <f t="shared" si="26"/>
        <v>#N/A</v>
      </c>
      <c r="O558" s="24" t="e">
        <f>VLOOKUP(E558,'Court List'!$A:$C,3,0)</f>
        <v>#N/A</v>
      </c>
      <c r="P558" s="18">
        <f>COUNTIF('Pub List'!$C558:$T558,"&lt;&gt;")</f>
        <v>0</v>
      </c>
      <c r="Q558" s="20" t="e">
        <f t="shared" si="28"/>
        <v>#N/A</v>
      </c>
      <c r="R558" s="36"/>
      <c r="S558" s="18">
        <f>COUNTIF('Member List'!$C558:$J558,"&lt;&gt;")</f>
        <v>0</v>
      </c>
      <c r="T558" s="35"/>
      <c r="U558" s="24">
        <f t="shared" si="29"/>
        <v>0</v>
      </c>
      <c r="V558" s="18" t="e">
        <f t="shared" si="30"/>
        <v>#N/A</v>
      </c>
      <c r="W558" s="45" t="e">
        <f t="shared" si="31"/>
        <v>#N/A</v>
      </c>
      <c r="X558" s="20" t="e">
        <f t="shared" si="32"/>
        <v>#N/A</v>
      </c>
      <c r="Y558" s="46" t="e">
        <f t="shared" si="35"/>
        <v>#N/A</v>
      </c>
      <c r="Z558" s="39" t="e">
        <f t="shared" si="33"/>
        <v>#N/A</v>
      </c>
      <c r="AA558" s="39" t="e">
        <f t="shared" si="34"/>
        <v>#N/A</v>
      </c>
      <c r="AB558" s="39"/>
      <c r="AC558" s="48" t="e">
        <f t="shared" si="36"/>
        <v>#N/A</v>
      </c>
    </row>
    <row r="559" spans="1:29" ht="12.5" x14ac:dyDescent="0.25">
      <c r="A559" s="36"/>
      <c r="B559" s="33"/>
      <c r="C559" s="33"/>
      <c r="D559" s="33"/>
      <c r="E559" s="35"/>
      <c r="F559" s="21"/>
      <c r="G559" s="22" t="e">
        <f>VLOOKUP(E559,'Court List'!$A:$C,2,0)</f>
        <v>#N/A</v>
      </c>
      <c r="H559" s="33"/>
      <c r="I559" s="33"/>
      <c r="J559" s="44" t="e">
        <f t="shared" si="27"/>
        <v>#N/A</v>
      </c>
      <c r="K559" s="36"/>
      <c r="L559" s="18">
        <f>SUM('Shuttle Count - Supreme (Nov 20'!C559:D559)</f>
        <v>0</v>
      </c>
      <c r="M559" s="18" t="e">
        <f>VLOOKUP(K559,'Shuttle Purchase'!A:C,3,0)</f>
        <v>#N/A</v>
      </c>
      <c r="N559" s="44" t="e">
        <f t="shared" si="26"/>
        <v>#N/A</v>
      </c>
      <c r="O559" s="24" t="e">
        <f>VLOOKUP(E559,'Court List'!$A:$C,3,0)</f>
        <v>#N/A</v>
      </c>
      <c r="P559" s="18">
        <f>COUNTIF('Pub List'!$C559:$T559,"&lt;&gt;")</f>
        <v>0</v>
      </c>
      <c r="Q559" s="20" t="e">
        <f t="shared" si="28"/>
        <v>#N/A</v>
      </c>
      <c r="R559" s="36"/>
      <c r="S559" s="18">
        <f>COUNTIF('Member List'!$C559:$J559,"&lt;&gt;")</f>
        <v>0</v>
      </c>
      <c r="T559" s="35"/>
      <c r="U559" s="24">
        <f t="shared" si="29"/>
        <v>0</v>
      </c>
      <c r="V559" s="18" t="e">
        <f t="shared" si="30"/>
        <v>#N/A</v>
      </c>
      <c r="W559" s="45" t="e">
        <f t="shared" si="31"/>
        <v>#N/A</v>
      </c>
      <c r="X559" s="20" t="e">
        <f t="shared" si="32"/>
        <v>#N/A</v>
      </c>
      <c r="Y559" s="46" t="e">
        <f t="shared" si="35"/>
        <v>#N/A</v>
      </c>
      <c r="Z559" s="39" t="e">
        <f t="shared" si="33"/>
        <v>#N/A</v>
      </c>
      <c r="AA559" s="39" t="e">
        <f t="shared" si="34"/>
        <v>#N/A</v>
      </c>
      <c r="AB559" s="39"/>
      <c r="AC559" s="48" t="e">
        <f t="shared" si="36"/>
        <v>#N/A</v>
      </c>
    </row>
    <row r="560" spans="1:29" ht="12.5" x14ac:dyDescent="0.25">
      <c r="A560" s="36"/>
      <c r="B560" s="33"/>
      <c r="C560" s="33"/>
      <c r="D560" s="33"/>
      <c r="E560" s="35"/>
      <c r="F560" s="21"/>
      <c r="G560" s="22" t="e">
        <f>VLOOKUP(E560,'Court List'!$A:$C,2,0)</f>
        <v>#N/A</v>
      </c>
      <c r="H560" s="33"/>
      <c r="I560" s="33"/>
      <c r="J560" s="44" t="e">
        <f t="shared" si="27"/>
        <v>#N/A</v>
      </c>
      <c r="K560" s="36"/>
      <c r="L560" s="18">
        <f>SUM('Shuttle Count - Supreme (Nov 20'!C560:D560)</f>
        <v>0</v>
      </c>
      <c r="M560" s="18" t="e">
        <f>VLOOKUP(K560,'Shuttle Purchase'!A:C,3,0)</f>
        <v>#N/A</v>
      </c>
      <c r="N560" s="44" t="e">
        <f t="shared" si="26"/>
        <v>#N/A</v>
      </c>
      <c r="O560" s="24" t="e">
        <f>VLOOKUP(E560,'Court List'!$A:$C,3,0)</f>
        <v>#N/A</v>
      </c>
      <c r="P560" s="18">
        <f>COUNTIF('Pub List'!$C560:$T560,"&lt;&gt;")</f>
        <v>0</v>
      </c>
      <c r="Q560" s="20" t="e">
        <f t="shared" si="28"/>
        <v>#N/A</v>
      </c>
      <c r="R560" s="36"/>
      <c r="S560" s="18">
        <f>COUNTIF('Member List'!$C560:$J560,"&lt;&gt;")</f>
        <v>0</v>
      </c>
      <c r="T560" s="35"/>
      <c r="U560" s="24">
        <f t="shared" si="29"/>
        <v>0</v>
      </c>
      <c r="V560" s="18" t="e">
        <f t="shared" si="30"/>
        <v>#N/A</v>
      </c>
      <c r="W560" s="45" t="e">
        <f t="shared" si="31"/>
        <v>#N/A</v>
      </c>
      <c r="X560" s="20" t="e">
        <f t="shared" si="32"/>
        <v>#N/A</v>
      </c>
      <c r="Y560" s="46" t="e">
        <f t="shared" si="35"/>
        <v>#N/A</v>
      </c>
      <c r="Z560" s="39" t="e">
        <f t="shared" si="33"/>
        <v>#N/A</v>
      </c>
      <c r="AA560" s="39" t="e">
        <f t="shared" si="34"/>
        <v>#N/A</v>
      </c>
      <c r="AB560" s="39"/>
      <c r="AC560" s="48" t="e">
        <f t="shared" si="36"/>
        <v>#N/A</v>
      </c>
    </row>
    <row r="561" spans="1:29" ht="12.5" x14ac:dyDescent="0.25">
      <c r="A561" s="36"/>
      <c r="B561" s="33"/>
      <c r="C561" s="33"/>
      <c r="D561" s="33"/>
      <c r="E561" s="35"/>
      <c r="F561" s="21"/>
      <c r="G561" s="22" t="e">
        <f>VLOOKUP(E561,'Court List'!$A:$C,2,0)</f>
        <v>#N/A</v>
      </c>
      <c r="H561" s="33"/>
      <c r="I561" s="33"/>
      <c r="J561" s="44" t="e">
        <f t="shared" si="27"/>
        <v>#N/A</v>
      </c>
      <c r="K561" s="36"/>
      <c r="L561" s="18">
        <f>SUM('Shuttle Count - Supreme (Nov 20'!C561:D561)</f>
        <v>0</v>
      </c>
      <c r="M561" s="18" t="e">
        <f>VLOOKUP(K561,'Shuttle Purchase'!A:C,3,0)</f>
        <v>#N/A</v>
      </c>
      <c r="N561" s="44" t="e">
        <f t="shared" si="26"/>
        <v>#N/A</v>
      </c>
      <c r="O561" s="24" t="e">
        <f>VLOOKUP(E561,'Court List'!$A:$C,3,0)</f>
        <v>#N/A</v>
      </c>
      <c r="P561" s="18">
        <f>COUNTIF('Pub List'!$C561:$T561,"&lt;&gt;")</f>
        <v>0</v>
      </c>
      <c r="Q561" s="20" t="e">
        <f t="shared" si="28"/>
        <v>#N/A</v>
      </c>
      <c r="R561" s="36"/>
      <c r="S561" s="18">
        <f>COUNTIF('Member List'!$C561:$J561,"&lt;&gt;")</f>
        <v>0</v>
      </c>
      <c r="T561" s="35"/>
      <c r="U561" s="24">
        <f t="shared" si="29"/>
        <v>0</v>
      </c>
      <c r="V561" s="18" t="e">
        <f t="shared" si="30"/>
        <v>#N/A</v>
      </c>
      <c r="W561" s="45" t="e">
        <f t="shared" si="31"/>
        <v>#N/A</v>
      </c>
      <c r="X561" s="20" t="e">
        <f t="shared" si="32"/>
        <v>#N/A</v>
      </c>
      <c r="Y561" s="46" t="e">
        <f t="shared" si="35"/>
        <v>#N/A</v>
      </c>
      <c r="Z561" s="39" t="e">
        <f t="shared" si="33"/>
        <v>#N/A</v>
      </c>
      <c r="AA561" s="39" t="e">
        <f t="shared" si="34"/>
        <v>#N/A</v>
      </c>
      <c r="AB561" s="39"/>
      <c r="AC561" s="48" t="e">
        <f t="shared" si="36"/>
        <v>#N/A</v>
      </c>
    </row>
    <row r="562" spans="1:29" ht="12.5" x14ac:dyDescent="0.25">
      <c r="A562" s="36"/>
      <c r="B562" s="33"/>
      <c r="C562" s="33"/>
      <c r="D562" s="33"/>
      <c r="E562" s="35"/>
      <c r="F562" s="21"/>
      <c r="G562" s="22" t="e">
        <f>VLOOKUP(E562,'Court List'!$A:$C,2,0)</f>
        <v>#N/A</v>
      </c>
      <c r="H562" s="33"/>
      <c r="I562" s="33"/>
      <c r="J562" s="44" t="e">
        <f t="shared" si="27"/>
        <v>#N/A</v>
      </c>
      <c r="K562" s="36"/>
      <c r="L562" s="18">
        <f>SUM('Shuttle Count - Supreme (Nov 20'!C562:D562)</f>
        <v>0</v>
      </c>
      <c r="M562" s="18" t="e">
        <f>VLOOKUP(K562,'Shuttle Purchase'!A:C,3,0)</f>
        <v>#N/A</v>
      </c>
      <c r="N562" s="44" t="e">
        <f t="shared" si="26"/>
        <v>#N/A</v>
      </c>
      <c r="O562" s="24" t="e">
        <f>VLOOKUP(E562,'Court List'!$A:$C,3,0)</f>
        <v>#N/A</v>
      </c>
      <c r="P562" s="18">
        <f>COUNTIF('Pub List'!$C562:$T562,"&lt;&gt;")</f>
        <v>0</v>
      </c>
      <c r="Q562" s="20" t="e">
        <f t="shared" si="28"/>
        <v>#N/A</v>
      </c>
      <c r="R562" s="36"/>
      <c r="S562" s="18">
        <f>COUNTIF('Member List'!$C562:$J562,"&lt;&gt;")</f>
        <v>0</v>
      </c>
      <c r="T562" s="35"/>
      <c r="U562" s="24">
        <f t="shared" si="29"/>
        <v>0</v>
      </c>
      <c r="V562" s="18" t="e">
        <f t="shared" si="30"/>
        <v>#N/A</v>
      </c>
      <c r="W562" s="45" t="e">
        <f t="shared" si="31"/>
        <v>#N/A</v>
      </c>
      <c r="X562" s="20" t="e">
        <f t="shared" si="32"/>
        <v>#N/A</v>
      </c>
      <c r="Y562" s="46" t="e">
        <f t="shared" si="35"/>
        <v>#N/A</v>
      </c>
      <c r="Z562" s="39" t="e">
        <f t="shared" si="33"/>
        <v>#N/A</v>
      </c>
      <c r="AA562" s="39" t="e">
        <f t="shared" si="34"/>
        <v>#N/A</v>
      </c>
      <c r="AB562" s="39"/>
      <c r="AC562" s="48" t="e">
        <f t="shared" si="36"/>
        <v>#N/A</v>
      </c>
    </row>
    <row r="563" spans="1:29" ht="12.5" x14ac:dyDescent="0.25">
      <c r="A563" s="36"/>
      <c r="B563" s="33"/>
      <c r="C563" s="33"/>
      <c r="D563" s="33"/>
      <c r="E563" s="35"/>
      <c r="F563" s="21"/>
      <c r="G563" s="22" t="e">
        <f>VLOOKUP(E563,'Court List'!$A:$C,2,0)</f>
        <v>#N/A</v>
      </c>
      <c r="H563" s="33"/>
      <c r="I563" s="33"/>
      <c r="J563" s="44" t="e">
        <f t="shared" si="27"/>
        <v>#N/A</v>
      </c>
      <c r="K563" s="36"/>
      <c r="L563" s="18">
        <f>SUM('Shuttle Count - Supreme (Nov 20'!C563:D563)</f>
        <v>0</v>
      </c>
      <c r="M563" s="18" t="e">
        <f>VLOOKUP(K563,'Shuttle Purchase'!A:C,3,0)</f>
        <v>#N/A</v>
      </c>
      <c r="N563" s="44" t="e">
        <f t="shared" si="26"/>
        <v>#N/A</v>
      </c>
      <c r="O563" s="24" t="e">
        <f>VLOOKUP(E563,'Court List'!$A:$C,3,0)</f>
        <v>#N/A</v>
      </c>
      <c r="P563" s="18">
        <f>COUNTIF('Pub List'!$C563:$T563,"&lt;&gt;")</f>
        <v>0</v>
      </c>
      <c r="Q563" s="20" t="e">
        <f t="shared" si="28"/>
        <v>#N/A</v>
      </c>
      <c r="R563" s="36"/>
      <c r="S563" s="18">
        <f>COUNTIF('Member List'!$C563:$J563,"&lt;&gt;")</f>
        <v>0</v>
      </c>
      <c r="T563" s="35"/>
      <c r="U563" s="24">
        <f t="shared" si="29"/>
        <v>0</v>
      </c>
      <c r="V563" s="18" t="e">
        <f t="shared" si="30"/>
        <v>#N/A</v>
      </c>
      <c r="W563" s="45" t="e">
        <f t="shared" si="31"/>
        <v>#N/A</v>
      </c>
      <c r="X563" s="20" t="e">
        <f t="shared" si="32"/>
        <v>#N/A</v>
      </c>
      <c r="Y563" s="46" t="e">
        <f t="shared" si="35"/>
        <v>#N/A</v>
      </c>
      <c r="Z563" s="39" t="e">
        <f t="shared" si="33"/>
        <v>#N/A</v>
      </c>
      <c r="AA563" s="39" t="e">
        <f t="shared" si="34"/>
        <v>#N/A</v>
      </c>
      <c r="AB563" s="39"/>
      <c r="AC563" s="48" t="e">
        <f t="shared" si="36"/>
        <v>#N/A</v>
      </c>
    </row>
    <row r="564" spans="1:29" ht="12.5" x14ac:dyDescent="0.25">
      <c r="A564" s="36"/>
      <c r="B564" s="33"/>
      <c r="C564" s="33"/>
      <c r="D564" s="33"/>
      <c r="E564" s="35"/>
      <c r="F564" s="21"/>
      <c r="G564" s="22" t="e">
        <f>VLOOKUP(E564,'Court List'!$A:$C,2,0)</f>
        <v>#N/A</v>
      </c>
      <c r="H564" s="33"/>
      <c r="I564" s="33"/>
      <c r="J564" s="44" t="e">
        <f t="shared" si="27"/>
        <v>#N/A</v>
      </c>
      <c r="K564" s="36"/>
      <c r="L564" s="18">
        <f>SUM('Shuttle Count - Supreme (Nov 20'!C564:D564)</f>
        <v>0</v>
      </c>
      <c r="M564" s="18" t="e">
        <f>VLOOKUP(K564,'Shuttle Purchase'!A:C,3,0)</f>
        <v>#N/A</v>
      </c>
      <c r="N564" s="44" t="e">
        <f t="shared" si="26"/>
        <v>#N/A</v>
      </c>
      <c r="O564" s="24" t="e">
        <f>VLOOKUP(E564,'Court List'!$A:$C,3,0)</f>
        <v>#N/A</v>
      </c>
      <c r="P564" s="18">
        <f>COUNTIF('Pub List'!$C564:$T564,"&lt;&gt;")</f>
        <v>0</v>
      </c>
      <c r="Q564" s="20" t="e">
        <f t="shared" si="28"/>
        <v>#N/A</v>
      </c>
      <c r="R564" s="36"/>
      <c r="S564" s="18">
        <f>COUNTIF('Member List'!$C564:$J564,"&lt;&gt;")</f>
        <v>0</v>
      </c>
      <c r="T564" s="35"/>
      <c r="U564" s="24">
        <f t="shared" si="29"/>
        <v>0</v>
      </c>
      <c r="V564" s="18" t="e">
        <f t="shared" si="30"/>
        <v>#N/A</v>
      </c>
      <c r="W564" s="45" t="e">
        <f t="shared" si="31"/>
        <v>#N/A</v>
      </c>
      <c r="X564" s="20" t="e">
        <f t="shared" si="32"/>
        <v>#N/A</v>
      </c>
      <c r="Y564" s="46" t="e">
        <f t="shared" si="35"/>
        <v>#N/A</v>
      </c>
      <c r="Z564" s="39" t="e">
        <f t="shared" si="33"/>
        <v>#N/A</v>
      </c>
      <c r="AA564" s="39" t="e">
        <f t="shared" si="34"/>
        <v>#N/A</v>
      </c>
      <c r="AB564" s="39"/>
      <c r="AC564" s="48" t="e">
        <f t="shared" si="36"/>
        <v>#N/A</v>
      </c>
    </row>
    <row r="565" spans="1:29" ht="12.5" x14ac:dyDescent="0.25">
      <c r="A565" s="36"/>
      <c r="B565" s="33"/>
      <c r="C565" s="33"/>
      <c r="D565" s="33"/>
      <c r="E565" s="35"/>
      <c r="F565" s="21"/>
      <c r="G565" s="22" t="e">
        <f>VLOOKUP(E565,'Court List'!$A:$C,2,0)</f>
        <v>#N/A</v>
      </c>
      <c r="H565" s="33"/>
      <c r="I565" s="33"/>
      <c r="J565" s="44" t="e">
        <f t="shared" si="27"/>
        <v>#N/A</v>
      </c>
      <c r="K565" s="36"/>
      <c r="L565" s="18">
        <f>SUM('Shuttle Count - Supreme (Nov 20'!C565:D565)</f>
        <v>0</v>
      </c>
      <c r="M565" s="18" t="e">
        <f>VLOOKUP(K565,'Shuttle Purchase'!A:C,3,0)</f>
        <v>#N/A</v>
      </c>
      <c r="N565" s="44" t="e">
        <f t="shared" si="26"/>
        <v>#N/A</v>
      </c>
      <c r="O565" s="24" t="e">
        <f>VLOOKUP(E565,'Court List'!$A:$C,3,0)</f>
        <v>#N/A</v>
      </c>
      <c r="P565" s="18">
        <f>COUNTIF('Pub List'!$C565:$T565,"&lt;&gt;")</f>
        <v>0</v>
      </c>
      <c r="Q565" s="20" t="e">
        <f t="shared" si="28"/>
        <v>#N/A</v>
      </c>
      <c r="R565" s="36"/>
      <c r="S565" s="18">
        <f>COUNTIF('Member List'!$C565:$J565,"&lt;&gt;")</f>
        <v>0</v>
      </c>
      <c r="T565" s="35"/>
      <c r="U565" s="24">
        <f t="shared" si="29"/>
        <v>0</v>
      </c>
      <c r="V565" s="18" t="e">
        <f t="shared" si="30"/>
        <v>#N/A</v>
      </c>
      <c r="W565" s="45" t="e">
        <f t="shared" si="31"/>
        <v>#N/A</v>
      </c>
      <c r="X565" s="20" t="e">
        <f t="shared" si="32"/>
        <v>#N/A</v>
      </c>
      <c r="Y565" s="46" t="e">
        <f t="shared" si="35"/>
        <v>#N/A</v>
      </c>
      <c r="Z565" s="39" t="e">
        <f t="shared" si="33"/>
        <v>#N/A</v>
      </c>
      <c r="AA565" s="39" t="e">
        <f t="shared" si="34"/>
        <v>#N/A</v>
      </c>
      <c r="AB565" s="39"/>
      <c r="AC565" s="48" t="e">
        <f t="shared" si="36"/>
        <v>#N/A</v>
      </c>
    </row>
    <row r="566" spans="1:29" ht="12.5" x14ac:dyDescent="0.25">
      <c r="A566" s="36"/>
      <c r="B566" s="33"/>
      <c r="C566" s="33"/>
      <c r="D566" s="33"/>
      <c r="E566" s="35"/>
      <c r="F566" s="21"/>
      <c r="G566" s="22" t="e">
        <f>VLOOKUP(E566,'Court List'!$A:$C,2,0)</f>
        <v>#N/A</v>
      </c>
      <c r="H566" s="33"/>
      <c r="I566" s="33"/>
      <c r="J566" s="44" t="e">
        <f t="shared" si="27"/>
        <v>#N/A</v>
      </c>
      <c r="K566" s="36"/>
      <c r="L566" s="18">
        <f>SUM('Shuttle Count - Supreme (Nov 20'!C566:D566)</f>
        <v>0</v>
      </c>
      <c r="M566" s="18" t="e">
        <f>VLOOKUP(K566,'Shuttle Purchase'!A:C,3,0)</f>
        <v>#N/A</v>
      </c>
      <c r="N566" s="44" t="e">
        <f t="shared" si="26"/>
        <v>#N/A</v>
      </c>
      <c r="O566" s="24" t="e">
        <f>VLOOKUP(E566,'Court List'!$A:$C,3,0)</f>
        <v>#N/A</v>
      </c>
      <c r="P566" s="18">
        <f>COUNTIF('Pub List'!$C566:$T566,"&lt;&gt;")</f>
        <v>0</v>
      </c>
      <c r="Q566" s="20" t="e">
        <f t="shared" si="28"/>
        <v>#N/A</v>
      </c>
      <c r="R566" s="36"/>
      <c r="S566" s="18">
        <f>COUNTIF('Member List'!$C566:$J566,"&lt;&gt;")</f>
        <v>0</v>
      </c>
      <c r="T566" s="35"/>
      <c r="U566" s="24">
        <f t="shared" si="29"/>
        <v>0</v>
      </c>
      <c r="V566" s="18" t="e">
        <f t="shared" si="30"/>
        <v>#N/A</v>
      </c>
      <c r="W566" s="45" t="e">
        <f t="shared" si="31"/>
        <v>#N/A</v>
      </c>
      <c r="X566" s="20" t="e">
        <f t="shared" si="32"/>
        <v>#N/A</v>
      </c>
      <c r="Y566" s="46" t="e">
        <f t="shared" si="35"/>
        <v>#N/A</v>
      </c>
      <c r="Z566" s="39" t="e">
        <f t="shared" si="33"/>
        <v>#N/A</v>
      </c>
      <c r="AA566" s="39" t="e">
        <f t="shared" si="34"/>
        <v>#N/A</v>
      </c>
      <c r="AB566" s="39"/>
      <c r="AC566" s="48" t="e">
        <f t="shared" si="36"/>
        <v>#N/A</v>
      </c>
    </row>
    <row r="567" spans="1:29" ht="12.5" x14ac:dyDescent="0.25">
      <c r="A567" s="36"/>
      <c r="B567" s="33"/>
      <c r="C567" s="33"/>
      <c r="D567" s="33"/>
      <c r="E567" s="35"/>
      <c r="F567" s="21"/>
      <c r="G567" s="22" t="e">
        <f>VLOOKUP(E567,'Court List'!$A:$C,2,0)</f>
        <v>#N/A</v>
      </c>
      <c r="H567" s="33"/>
      <c r="I567" s="33"/>
      <c r="J567" s="44" t="e">
        <f t="shared" si="27"/>
        <v>#N/A</v>
      </c>
      <c r="K567" s="36"/>
      <c r="L567" s="18">
        <f>SUM('Shuttle Count - Supreme (Nov 20'!C567:D567)</f>
        <v>0</v>
      </c>
      <c r="M567" s="18" t="e">
        <f>VLOOKUP(K567,'Shuttle Purchase'!A:C,3,0)</f>
        <v>#N/A</v>
      </c>
      <c r="N567" s="44" t="e">
        <f t="shared" si="26"/>
        <v>#N/A</v>
      </c>
      <c r="O567" s="24" t="e">
        <f>VLOOKUP(E567,'Court List'!$A:$C,3,0)</f>
        <v>#N/A</v>
      </c>
      <c r="P567" s="18">
        <f>COUNTIF('Pub List'!$C567:$T567,"&lt;&gt;")</f>
        <v>0</v>
      </c>
      <c r="Q567" s="20" t="e">
        <f t="shared" si="28"/>
        <v>#N/A</v>
      </c>
      <c r="R567" s="36"/>
      <c r="S567" s="18">
        <f>COUNTIF('Member List'!$C567:$J567,"&lt;&gt;")</f>
        <v>0</v>
      </c>
      <c r="T567" s="35"/>
      <c r="U567" s="24">
        <f t="shared" si="29"/>
        <v>0</v>
      </c>
      <c r="V567" s="18" t="e">
        <f t="shared" si="30"/>
        <v>#N/A</v>
      </c>
      <c r="W567" s="45" t="e">
        <f t="shared" si="31"/>
        <v>#N/A</v>
      </c>
      <c r="X567" s="20" t="e">
        <f t="shared" si="32"/>
        <v>#N/A</v>
      </c>
      <c r="Y567" s="46" t="e">
        <f t="shared" si="35"/>
        <v>#N/A</v>
      </c>
      <c r="Z567" s="39" t="e">
        <f t="shared" si="33"/>
        <v>#N/A</v>
      </c>
      <c r="AA567" s="39" t="e">
        <f t="shared" si="34"/>
        <v>#N/A</v>
      </c>
      <c r="AB567" s="39"/>
      <c r="AC567" s="48" t="e">
        <f t="shared" si="36"/>
        <v>#N/A</v>
      </c>
    </row>
    <row r="568" spans="1:29" ht="12.5" x14ac:dyDescent="0.25">
      <c r="A568" s="36"/>
      <c r="B568" s="33"/>
      <c r="C568" s="33"/>
      <c r="D568" s="33"/>
      <c r="E568" s="35"/>
      <c r="F568" s="21"/>
      <c r="G568" s="22" t="e">
        <f>VLOOKUP(E568,'Court List'!$A:$C,2,0)</f>
        <v>#N/A</v>
      </c>
      <c r="H568" s="33"/>
      <c r="I568" s="33"/>
      <c r="J568" s="44" t="e">
        <f t="shared" si="27"/>
        <v>#N/A</v>
      </c>
      <c r="K568" s="36"/>
      <c r="L568" s="18">
        <f>SUM('Shuttle Count - Supreme (Nov 20'!C568:D568)</f>
        <v>0</v>
      </c>
      <c r="M568" s="18" t="e">
        <f>VLOOKUP(K568,'Shuttle Purchase'!A:C,3,0)</f>
        <v>#N/A</v>
      </c>
      <c r="N568" s="44" t="e">
        <f t="shared" si="26"/>
        <v>#N/A</v>
      </c>
      <c r="O568" s="24" t="e">
        <f>VLOOKUP(E568,'Court List'!$A:$C,3,0)</f>
        <v>#N/A</v>
      </c>
      <c r="P568" s="18">
        <f>COUNTIF('Pub List'!$C568:$T568,"&lt;&gt;")</f>
        <v>0</v>
      </c>
      <c r="Q568" s="20" t="e">
        <f t="shared" si="28"/>
        <v>#N/A</v>
      </c>
      <c r="R568" s="36"/>
      <c r="S568" s="18">
        <f>COUNTIF('Member List'!$C568:$J568,"&lt;&gt;")</f>
        <v>0</v>
      </c>
      <c r="T568" s="35"/>
      <c r="U568" s="24">
        <f t="shared" si="29"/>
        <v>0</v>
      </c>
      <c r="V568" s="18" t="e">
        <f t="shared" si="30"/>
        <v>#N/A</v>
      </c>
      <c r="W568" s="45" t="e">
        <f t="shared" si="31"/>
        <v>#N/A</v>
      </c>
      <c r="X568" s="20" t="e">
        <f t="shared" si="32"/>
        <v>#N/A</v>
      </c>
      <c r="Y568" s="46" t="e">
        <f t="shared" si="35"/>
        <v>#N/A</v>
      </c>
      <c r="Z568" s="39" t="e">
        <f t="shared" si="33"/>
        <v>#N/A</v>
      </c>
      <c r="AA568" s="39" t="e">
        <f t="shared" si="34"/>
        <v>#N/A</v>
      </c>
      <c r="AB568" s="39"/>
      <c r="AC568" s="48" t="e">
        <f t="shared" si="36"/>
        <v>#N/A</v>
      </c>
    </row>
    <row r="569" spans="1:29" ht="12.5" x14ac:dyDescent="0.25">
      <c r="A569" s="36"/>
      <c r="B569" s="33"/>
      <c r="C569" s="33"/>
      <c r="D569" s="33"/>
      <c r="E569" s="35"/>
      <c r="F569" s="21"/>
      <c r="G569" s="22" t="e">
        <f>VLOOKUP(E569,'Court List'!$A:$C,2,0)</f>
        <v>#N/A</v>
      </c>
      <c r="H569" s="33"/>
      <c r="I569" s="33"/>
      <c r="J569" s="44" t="e">
        <f t="shared" si="27"/>
        <v>#N/A</v>
      </c>
      <c r="K569" s="36"/>
      <c r="L569" s="18">
        <f>SUM('Shuttle Count - Supreme (Nov 20'!C569:D569)</f>
        <v>0</v>
      </c>
      <c r="M569" s="18" t="e">
        <f>VLOOKUP(K569,'Shuttle Purchase'!A:C,3,0)</f>
        <v>#N/A</v>
      </c>
      <c r="N569" s="44" t="e">
        <f t="shared" ref="N569:N823" si="37">L569*M569</f>
        <v>#N/A</v>
      </c>
      <c r="O569" s="24" t="e">
        <f>VLOOKUP(E569,'Court List'!$A:$C,3,0)</f>
        <v>#N/A</v>
      </c>
      <c r="P569" s="18">
        <f>COUNTIF('Pub List'!$C569:$T569,"&lt;&gt;")</f>
        <v>0</v>
      </c>
      <c r="Q569" s="20" t="e">
        <f t="shared" si="28"/>
        <v>#N/A</v>
      </c>
      <c r="R569" s="36"/>
      <c r="S569" s="18">
        <f>COUNTIF('Member List'!$C569:$J569,"&lt;&gt;")</f>
        <v>0</v>
      </c>
      <c r="T569" s="35"/>
      <c r="U569" s="24">
        <f t="shared" si="29"/>
        <v>0</v>
      </c>
      <c r="V569" s="18" t="e">
        <f t="shared" si="30"/>
        <v>#N/A</v>
      </c>
      <c r="W569" s="45" t="e">
        <f t="shared" si="31"/>
        <v>#N/A</v>
      </c>
      <c r="X569" s="20" t="e">
        <f t="shared" si="32"/>
        <v>#N/A</v>
      </c>
      <c r="Y569" s="46" t="e">
        <f t="shared" si="35"/>
        <v>#N/A</v>
      </c>
      <c r="Z569" s="39" t="e">
        <f t="shared" si="33"/>
        <v>#N/A</v>
      </c>
      <c r="AA569" s="39" t="e">
        <f t="shared" si="34"/>
        <v>#N/A</v>
      </c>
      <c r="AB569" s="39"/>
      <c r="AC569" s="48" t="e">
        <f t="shared" si="36"/>
        <v>#N/A</v>
      </c>
    </row>
    <row r="570" spans="1:29" ht="12.5" x14ac:dyDescent="0.25">
      <c r="A570" s="36"/>
      <c r="B570" s="33"/>
      <c r="C570" s="33"/>
      <c r="D570" s="33"/>
      <c r="E570" s="35"/>
      <c r="F570" s="21"/>
      <c r="G570" s="22" t="e">
        <f>VLOOKUP(E570,'Court List'!$A:$C,2,0)</f>
        <v>#N/A</v>
      </c>
      <c r="H570" s="33"/>
      <c r="I570" s="33"/>
      <c r="J570" s="44" t="e">
        <f t="shared" si="27"/>
        <v>#N/A</v>
      </c>
      <c r="K570" s="36"/>
      <c r="L570" s="18">
        <f>SUM('Shuttle Count - Supreme (Nov 20'!C570:D570)</f>
        <v>0</v>
      </c>
      <c r="M570" s="18" t="e">
        <f>VLOOKUP(K570,'Shuttle Purchase'!A:C,3,0)</f>
        <v>#N/A</v>
      </c>
      <c r="N570" s="44" t="e">
        <f t="shared" si="37"/>
        <v>#N/A</v>
      </c>
      <c r="O570" s="24" t="e">
        <f>VLOOKUP(E570,'Court List'!$A:$C,3,0)</f>
        <v>#N/A</v>
      </c>
      <c r="P570" s="18">
        <f>COUNTIF('Pub List'!$C570:$T570,"&lt;&gt;")</f>
        <v>0</v>
      </c>
      <c r="Q570" s="20" t="e">
        <f t="shared" si="28"/>
        <v>#N/A</v>
      </c>
      <c r="R570" s="36"/>
      <c r="S570" s="18">
        <f>COUNTIF('Member List'!$C570:$J570,"&lt;&gt;")</f>
        <v>0</v>
      </c>
      <c r="T570" s="35"/>
      <c r="U570" s="24">
        <f t="shared" si="29"/>
        <v>0</v>
      </c>
      <c r="V570" s="18" t="e">
        <f t="shared" si="30"/>
        <v>#N/A</v>
      </c>
      <c r="W570" s="45" t="e">
        <f t="shared" si="31"/>
        <v>#N/A</v>
      </c>
      <c r="X570" s="20" t="e">
        <f t="shared" si="32"/>
        <v>#N/A</v>
      </c>
      <c r="Y570" s="46" t="e">
        <f t="shared" si="35"/>
        <v>#N/A</v>
      </c>
      <c r="Z570" s="39" t="e">
        <f t="shared" si="33"/>
        <v>#N/A</v>
      </c>
      <c r="AA570" s="39" t="e">
        <f t="shared" si="34"/>
        <v>#N/A</v>
      </c>
      <c r="AB570" s="39"/>
      <c r="AC570" s="48" t="e">
        <f t="shared" si="36"/>
        <v>#N/A</v>
      </c>
    </row>
    <row r="571" spans="1:29" ht="12.5" x14ac:dyDescent="0.25">
      <c r="A571" s="36"/>
      <c r="B571" s="33"/>
      <c r="C571" s="33"/>
      <c r="D571" s="33"/>
      <c r="E571" s="35"/>
      <c r="F571" s="21"/>
      <c r="G571" s="22" t="e">
        <f>VLOOKUP(E571,'Court List'!$A:$C,2,0)</f>
        <v>#N/A</v>
      </c>
      <c r="H571" s="33"/>
      <c r="I571" s="33"/>
      <c r="J571" s="44" t="e">
        <f t="shared" si="27"/>
        <v>#N/A</v>
      </c>
      <c r="K571" s="36"/>
      <c r="L571" s="18">
        <f>SUM('Shuttle Count - Supreme (Nov 20'!C571:D571)</f>
        <v>0</v>
      </c>
      <c r="M571" s="18" t="e">
        <f>VLOOKUP(K571,'Shuttle Purchase'!A:C,3,0)</f>
        <v>#N/A</v>
      </c>
      <c r="N571" s="44" t="e">
        <f t="shared" si="37"/>
        <v>#N/A</v>
      </c>
      <c r="O571" s="24" t="e">
        <f>VLOOKUP(E571,'Court List'!$A:$C,3,0)</f>
        <v>#N/A</v>
      </c>
      <c r="P571" s="18">
        <f>COUNTIF('Pub List'!$C571:$T571,"&lt;&gt;")</f>
        <v>0</v>
      </c>
      <c r="Q571" s="20" t="e">
        <f t="shared" si="28"/>
        <v>#N/A</v>
      </c>
      <c r="R571" s="36"/>
      <c r="S571" s="18">
        <f>COUNTIF('Member List'!$C571:$J571,"&lt;&gt;")</f>
        <v>0</v>
      </c>
      <c r="T571" s="35"/>
      <c r="U571" s="24">
        <f t="shared" si="29"/>
        <v>0</v>
      </c>
      <c r="V571" s="18" t="e">
        <f t="shared" si="30"/>
        <v>#N/A</v>
      </c>
      <c r="W571" s="45" t="e">
        <f t="shared" si="31"/>
        <v>#N/A</v>
      </c>
      <c r="X571" s="20" t="e">
        <f t="shared" si="32"/>
        <v>#N/A</v>
      </c>
      <c r="Y571" s="46" t="e">
        <f t="shared" si="35"/>
        <v>#N/A</v>
      </c>
      <c r="Z571" s="39" t="e">
        <f t="shared" si="33"/>
        <v>#N/A</v>
      </c>
      <c r="AA571" s="39" t="e">
        <f t="shared" si="34"/>
        <v>#N/A</v>
      </c>
      <c r="AB571" s="39"/>
      <c r="AC571" s="48" t="e">
        <f t="shared" si="36"/>
        <v>#N/A</v>
      </c>
    </row>
    <row r="572" spans="1:29" ht="12.5" x14ac:dyDescent="0.25">
      <c r="A572" s="36"/>
      <c r="B572" s="33"/>
      <c r="C572" s="33"/>
      <c r="D572" s="33"/>
      <c r="E572" s="35"/>
      <c r="F572" s="21"/>
      <c r="G572" s="22" t="e">
        <f>VLOOKUP(E572,'Court List'!$A:$C,2,0)</f>
        <v>#N/A</v>
      </c>
      <c r="H572" s="33"/>
      <c r="I572" s="33"/>
      <c r="J572" s="44" t="e">
        <f t="shared" si="27"/>
        <v>#N/A</v>
      </c>
      <c r="K572" s="36"/>
      <c r="L572" s="18">
        <f>SUM('Shuttle Count - Supreme (Nov 20'!C572:D572)</f>
        <v>0</v>
      </c>
      <c r="M572" s="18" t="e">
        <f>VLOOKUP(K572,'Shuttle Purchase'!A:C,3,0)</f>
        <v>#N/A</v>
      </c>
      <c r="N572" s="44" t="e">
        <f t="shared" si="37"/>
        <v>#N/A</v>
      </c>
      <c r="O572" s="24" t="e">
        <f>VLOOKUP(E572,'Court List'!$A:$C,3,0)</f>
        <v>#N/A</v>
      </c>
      <c r="P572" s="18">
        <f>COUNTIF('Pub List'!$C572:$T572,"&lt;&gt;")</f>
        <v>0</v>
      </c>
      <c r="Q572" s="20" t="e">
        <f t="shared" si="28"/>
        <v>#N/A</v>
      </c>
      <c r="R572" s="36"/>
      <c r="S572" s="18">
        <f>COUNTIF('Member List'!$C572:$J572,"&lt;&gt;")</f>
        <v>0</v>
      </c>
      <c r="T572" s="35"/>
      <c r="U572" s="24">
        <f t="shared" si="29"/>
        <v>0</v>
      </c>
      <c r="V572" s="18" t="e">
        <f t="shared" si="30"/>
        <v>#N/A</v>
      </c>
      <c r="W572" s="45" t="e">
        <f t="shared" si="31"/>
        <v>#N/A</v>
      </c>
      <c r="X572" s="20" t="e">
        <f t="shared" si="32"/>
        <v>#N/A</v>
      </c>
      <c r="Y572" s="46" t="e">
        <f t="shared" si="35"/>
        <v>#N/A</v>
      </c>
      <c r="Z572" s="39" t="e">
        <f t="shared" si="33"/>
        <v>#N/A</v>
      </c>
      <c r="AA572" s="39" t="e">
        <f t="shared" si="34"/>
        <v>#N/A</v>
      </c>
      <c r="AB572" s="39"/>
      <c r="AC572" s="48" t="e">
        <f t="shared" si="36"/>
        <v>#N/A</v>
      </c>
    </row>
    <row r="573" spans="1:29" ht="12.5" x14ac:dyDescent="0.25">
      <c r="A573" s="36"/>
      <c r="B573" s="33"/>
      <c r="C573" s="33"/>
      <c r="D573" s="33"/>
      <c r="E573" s="35"/>
      <c r="F573" s="21"/>
      <c r="G573" s="22" t="e">
        <f>VLOOKUP(E573,'Court List'!$A:$C,2,0)</f>
        <v>#N/A</v>
      </c>
      <c r="H573" s="33"/>
      <c r="I573" s="33"/>
      <c r="J573" s="44" t="e">
        <f t="shared" si="27"/>
        <v>#N/A</v>
      </c>
      <c r="K573" s="36"/>
      <c r="L573" s="18">
        <f>SUM('Shuttle Count - Supreme (Nov 20'!C573:D573)</f>
        <v>0</v>
      </c>
      <c r="M573" s="18" t="e">
        <f>VLOOKUP(K573,'Shuttle Purchase'!A:C,3,0)</f>
        <v>#N/A</v>
      </c>
      <c r="N573" s="44" t="e">
        <f t="shared" si="37"/>
        <v>#N/A</v>
      </c>
      <c r="O573" s="24" t="e">
        <f>VLOOKUP(E573,'Court List'!$A:$C,3,0)</f>
        <v>#N/A</v>
      </c>
      <c r="P573" s="18">
        <f>COUNTIF('Pub List'!$C573:$T573,"&lt;&gt;")</f>
        <v>0</v>
      </c>
      <c r="Q573" s="20" t="e">
        <f t="shared" si="28"/>
        <v>#N/A</v>
      </c>
      <c r="R573" s="36"/>
      <c r="S573" s="18">
        <f>COUNTIF('Member List'!$C573:$J573,"&lt;&gt;")</f>
        <v>0</v>
      </c>
      <c r="T573" s="35"/>
      <c r="U573" s="24">
        <f t="shared" si="29"/>
        <v>0</v>
      </c>
      <c r="V573" s="18" t="e">
        <f t="shared" si="30"/>
        <v>#N/A</v>
      </c>
      <c r="W573" s="45" t="e">
        <f t="shared" si="31"/>
        <v>#N/A</v>
      </c>
      <c r="X573" s="20" t="e">
        <f t="shared" si="32"/>
        <v>#N/A</v>
      </c>
      <c r="Y573" s="46" t="e">
        <f t="shared" si="35"/>
        <v>#N/A</v>
      </c>
      <c r="Z573" s="39" t="e">
        <f t="shared" si="33"/>
        <v>#N/A</v>
      </c>
      <c r="AA573" s="39" t="e">
        <f t="shared" si="34"/>
        <v>#N/A</v>
      </c>
      <c r="AB573" s="39"/>
      <c r="AC573" s="48" t="e">
        <f t="shared" si="36"/>
        <v>#N/A</v>
      </c>
    </row>
    <row r="574" spans="1:29" ht="12.5" x14ac:dyDescent="0.25">
      <c r="A574" s="36"/>
      <c r="B574" s="33"/>
      <c r="C574" s="33"/>
      <c r="D574" s="33"/>
      <c r="E574" s="35"/>
      <c r="F574" s="21"/>
      <c r="G574" s="22" t="e">
        <f>VLOOKUP(E574,'Court List'!$A:$C,2,0)</f>
        <v>#N/A</v>
      </c>
      <c r="H574" s="33"/>
      <c r="I574" s="33"/>
      <c r="J574" s="44" t="e">
        <f t="shared" si="27"/>
        <v>#N/A</v>
      </c>
      <c r="K574" s="36"/>
      <c r="L574" s="18">
        <f>SUM('Shuttle Count - Supreme (Nov 20'!C574:D574)</f>
        <v>0</v>
      </c>
      <c r="M574" s="18" t="e">
        <f>VLOOKUP(K574,'Shuttle Purchase'!A:C,3,0)</f>
        <v>#N/A</v>
      </c>
      <c r="N574" s="44" t="e">
        <f t="shared" si="37"/>
        <v>#N/A</v>
      </c>
      <c r="O574" s="24" t="e">
        <f>VLOOKUP(E574,'Court List'!$A:$C,3,0)</f>
        <v>#N/A</v>
      </c>
      <c r="P574" s="18">
        <f>COUNTIF('Pub List'!$C574:$T574,"&lt;&gt;")</f>
        <v>0</v>
      </c>
      <c r="Q574" s="20" t="e">
        <f t="shared" si="28"/>
        <v>#N/A</v>
      </c>
      <c r="R574" s="36"/>
      <c r="S574" s="18">
        <f>COUNTIF('Member List'!$C574:$J574,"&lt;&gt;")</f>
        <v>0</v>
      </c>
      <c r="T574" s="35"/>
      <c r="U574" s="24">
        <f t="shared" si="29"/>
        <v>0</v>
      </c>
      <c r="V574" s="18" t="e">
        <f t="shared" si="30"/>
        <v>#N/A</v>
      </c>
      <c r="W574" s="45" t="e">
        <f t="shared" si="31"/>
        <v>#N/A</v>
      </c>
      <c r="X574" s="20" t="e">
        <f t="shared" si="32"/>
        <v>#N/A</v>
      </c>
      <c r="Y574" s="46" t="e">
        <f t="shared" si="35"/>
        <v>#N/A</v>
      </c>
      <c r="Z574" s="39" t="e">
        <f t="shared" si="33"/>
        <v>#N/A</v>
      </c>
      <c r="AA574" s="39" t="e">
        <f t="shared" si="34"/>
        <v>#N/A</v>
      </c>
      <c r="AB574" s="39"/>
      <c r="AC574" s="48" t="e">
        <f t="shared" si="36"/>
        <v>#N/A</v>
      </c>
    </row>
    <row r="575" spans="1:29" ht="12.5" x14ac:dyDescent="0.25">
      <c r="A575" s="36"/>
      <c r="B575" s="33"/>
      <c r="C575" s="33"/>
      <c r="D575" s="33"/>
      <c r="E575" s="35"/>
      <c r="F575" s="21"/>
      <c r="G575" s="22" t="e">
        <f>VLOOKUP(E575,'Court List'!$A:$C,2,0)</f>
        <v>#N/A</v>
      </c>
      <c r="H575" s="33"/>
      <c r="I575" s="33"/>
      <c r="J575" s="44" t="e">
        <f t="shared" si="27"/>
        <v>#N/A</v>
      </c>
      <c r="K575" s="36"/>
      <c r="L575" s="18">
        <f>SUM('Shuttle Count - Supreme (Nov 20'!C575:D575)</f>
        <v>0</v>
      </c>
      <c r="M575" s="18" t="e">
        <f>VLOOKUP(K575,'Shuttle Purchase'!A:C,3,0)</f>
        <v>#N/A</v>
      </c>
      <c r="N575" s="44" t="e">
        <f t="shared" si="37"/>
        <v>#N/A</v>
      </c>
      <c r="O575" s="24" t="e">
        <f>VLOOKUP(E575,'Court List'!$A:$C,3,0)</f>
        <v>#N/A</v>
      </c>
      <c r="P575" s="18">
        <f>COUNTIF('Pub List'!$C575:$T575,"&lt;&gt;")</f>
        <v>0</v>
      </c>
      <c r="Q575" s="20" t="e">
        <f t="shared" si="28"/>
        <v>#N/A</v>
      </c>
      <c r="R575" s="36"/>
      <c r="S575" s="18">
        <f>COUNTIF('Member List'!$C575:$J575,"&lt;&gt;")</f>
        <v>0</v>
      </c>
      <c r="T575" s="35"/>
      <c r="U575" s="24">
        <f t="shared" si="29"/>
        <v>0</v>
      </c>
      <c r="V575" s="18" t="e">
        <f t="shared" si="30"/>
        <v>#N/A</v>
      </c>
      <c r="W575" s="45" t="e">
        <f t="shared" si="31"/>
        <v>#N/A</v>
      </c>
      <c r="X575" s="20" t="e">
        <f t="shared" si="32"/>
        <v>#N/A</v>
      </c>
      <c r="Y575" s="46" t="e">
        <f t="shared" si="35"/>
        <v>#N/A</v>
      </c>
      <c r="Z575" s="39" t="e">
        <f t="shared" si="33"/>
        <v>#N/A</v>
      </c>
      <c r="AA575" s="39" t="e">
        <f t="shared" si="34"/>
        <v>#N/A</v>
      </c>
      <c r="AB575" s="39"/>
      <c r="AC575" s="48" t="e">
        <f t="shared" si="36"/>
        <v>#N/A</v>
      </c>
    </row>
    <row r="576" spans="1:29" ht="12.5" x14ac:dyDescent="0.25">
      <c r="A576" s="36"/>
      <c r="B576" s="33"/>
      <c r="C576" s="33"/>
      <c r="D576" s="33"/>
      <c r="E576" s="35"/>
      <c r="F576" s="21"/>
      <c r="G576" s="22" t="e">
        <f>VLOOKUP(E576,'Court List'!$A:$C,2,0)</f>
        <v>#N/A</v>
      </c>
      <c r="H576" s="33"/>
      <c r="I576" s="33"/>
      <c r="J576" s="44" t="e">
        <f t="shared" si="27"/>
        <v>#N/A</v>
      </c>
      <c r="K576" s="36"/>
      <c r="L576" s="18">
        <f>SUM('Shuttle Count - Supreme (Nov 20'!C576:D576)</f>
        <v>0</v>
      </c>
      <c r="M576" s="18" t="e">
        <f>VLOOKUP(K576,'Shuttle Purchase'!A:C,3,0)</f>
        <v>#N/A</v>
      </c>
      <c r="N576" s="44" t="e">
        <f t="shared" si="37"/>
        <v>#N/A</v>
      </c>
      <c r="O576" s="24" t="e">
        <f>VLOOKUP(E576,'Court List'!$A:$C,3,0)</f>
        <v>#N/A</v>
      </c>
      <c r="P576" s="18">
        <f>COUNTIF('Pub List'!$C576:$T576,"&lt;&gt;")</f>
        <v>0</v>
      </c>
      <c r="Q576" s="20" t="e">
        <f t="shared" si="28"/>
        <v>#N/A</v>
      </c>
      <c r="R576" s="36"/>
      <c r="S576" s="18">
        <f>COUNTIF('Member List'!$C576:$J576,"&lt;&gt;")</f>
        <v>0</v>
      </c>
      <c r="T576" s="35"/>
      <c r="U576" s="24">
        <f t="shared" si="29"/>
        <v>0</v>
      </c>
      <c r="V576" s="18" t="e">
        <f t="shared" si="30"/>
        <v>#N/A</v>
      </c>
      <c r="W576" s="45" t="e">
        <f t="shared" si="31"/>
        <v>#N/A</v>
      </c>
      <c r="X576" s="20" t="e">
        <f t="shared" si="32"/>
        <v>#N/A</v>
      </c>
      <c r="Y576" s="46" t="e">
        <f t="shared" si="35"/>
        <v>#N/A</v>
      </c>
      <c r="Z576" s="39" t="e">
        <f t="shared" si="33"/>
        <v>#N/A</v>
      </c>
      <c r="AA576" s="39" t="e">
        <f t="shared" si="34"/>
        <v>#N/A</v>
      </c>
      <c r="AB576" s="39"/>
      <c r="AC576" s="48" t="e">
        <f t="shared" si="36"/>
        <v>#N/A</v>
      </c>
    </row>
    <row r="577" spans="1:29" ht="12.5" x14ac:dyDescent="0.25">
      <c r="A577" s="36"/>
      <c r="B577" s="33"/>
      <c r="C577" s="33"/>
      <c r="D577" s="33"/>
      <c r="E577" s="35"/>
      <c r="F577" s="21"/>
      <c r="G577" s="22" t="e">
        <f>VLOOKUP(E577,'Court List'!$A:$C,2,0)</f>
        <v>#N/A</v>
      </c>
      <c r="H577" s="33"/>
      <c r="I577" s="33"/>
      <c r="J577" s="44" t="e">
        <f t="shared" si="27"/>
        <v>#N/A</v>
      </c>
      <c r="K577" s="36"/>
      <c r="L577" s="18">
        <f>SUM('Shuttle Count - Supreme (Nov 20'!C577:D577)</f>
        <v>0</v>
      </c>
      <c r="M577" s="18" t="e">
        <f>VLOOKUP(K577,'Shuttle Purchase'!A:C,3,0)</f>
        <v>#N/A</v>
      </c>
      <c r="N577" s="44" t="e">
        <f t="shared" si="37"/>
        <v>#N/A</v>
      </c>
      <c r="O577" s="24" t="e">
        <f>VLOOKUP(E577,'Court List'!$A:$C,3,0)</f>
        <v>#N/A</v>
      </c>
      <c r="P577" s="18">
        <f>COUNTIF('Pub List'!$C577:$T577,"&lt;&gt;")</f>
        <v>0</v>
      </c>
      <c r="Q577" s="20" t="e">
        <f t="shared" si="28"/>
        <v>#N/A</v>
      </c>
      <c r="R577" s="36"/>
      <c r="S577" s="18">
        <f>COUNTIF('Member List'!$C577:$J577,"&lt;&gt;")</f>
        <v>0</v>
      </c>
      <c r="T577" s="35"/>
      <c r="U577" s="24">
        <f t="shared" si="29"/>
        <v>0</v>
      </c>
      <c r="V577" s="18" t="e">
        <f t="shared" si="30"/>
        <v>#N/A</v>
      </c>
      <c r="W577" s="45" t="e">
        <f t="shared" si="31"/>
        <v>#N/A</v>
      </c>
      <c r="X577" s="20" t="e">
        <f t="shared" si="32"/>
        <v>#N/A</v>
      </c>
      <c r="Y577" s="46" t="e">
        <f t="shared" si="35"/>
        <v>#N/A</v>
      </c>
      <c r="Z577" s="39" t="e">
        <f t="shared" si="33"/>
        <v>#N/A</v>
      </c>
      <c r="AA577" s="39" t="e">
        <f t="shared" si="34"/>
        <v>#N/A</v>
      </c>
      <c r="AB577" s="39"/>
      <c r="AC577" s="48" t="e">
        <f t="shared" si="36"/>
        <v>#N/A</v>
      </c>
    </row>
    <row r="578" spans="1:29" ht="12.5" x14ac:dyDescent="0.25">
      <c r="A578" s="36"/>
      <c r="B578" s="33"/>
      <c r="C578" s="33"/>
      <c r="D578" s="33"/>
      <c r="E578" s="35"/>
      <c r="F578" s="21"/>
      <c r="G578" s="22" t="e">
        <f>VLOOKUP(E578,'Court List'!$A:$C,2,0)</f>
        <v>#N/A</v>
      </c>
      <c r="H578" s="33"/>
      <c r="I578" s="33"/>
      <c r="J578" s="44" t="e">
        <f t="shared" si="27"/>
        <v>#N/A</v>
      </c>
      <c r="K578" s="36"/>
      <c r="L578" s="18">
        <f>SUM('Shuttle Count - Supreme (Nov 20'!C578:D578)</f>
        <v>0</v>
      </c>
      <c r="M578" s="18" t="e">
        <f>VLOOKUP(K578,'Shuttle Purchase'!A:C,3,0)</f>
        <v>#N/A</v>
      </c>
      <c r="N578" s="44" t="e">
        <f t="shared" si="37"/>
        <v>#N/A</v>
      </c>
      <c r="O578" s="24" t="e">
        <f>VLOOKUP(E578,'Court List'!$A:$C,3,0)</f>
        <v>#N/A</v>
      </c>
      <c r="P578" s="18">
        <f>COUNTIF('Pub List'!$C578:$T578,"&lt;&gt;")</f>
        <v>0</v>
      </c>
      <c r="Q578" s="20" t="e">
        <f t="shared" si="28"/>
        <v>#N/A</v>
      </c>
      <c r="R578" s="36"/>
      <c r="S578" s="18">
        <f>COUNTIF('Member List'!$C578:$J578,"&lt;&gt;")</f>
        <v>0</v>
      </c>
      <c r="T578" s="35"/>
      <c r="U578" s="24">
        <f t="shared" si="29"/>
        <v>0</v>
      </c>
      <c r="V578" s="18" t="e">
        <f t="shared" si="30"/>
        <v>#N/A</v>
      </c>
      <c r="W578" s="45" t="e">
        <f t="shared" si="31"/>
        <v>#N/A</v>
      </c>
      <c r="X578" s="20" t="e">
        <f t="shared" si="32"/>
        <v>#N/A</v>
      </c>
      <c r="Y578" s="46" t="e">
        <f t="shared" si="35"/>
        <v>#N/A</v>
      </c>
      <c r="Z578" s="39" t="e">
        <f t="shared" si="33"/>
        <v>#N/A</v>
      </c>
      <c r="AA578" s="39" t="e">
        <f t="shared" si="34"/>
        <v>#N/A</v>
      </c>
      <c r="AB578" s="39"/>
      <c r="AC578" s="48" t="e">
        <f t="shared" si="36"/>
        <v>#N/A</v>
      </c>
    </row>
    <row r="579" spans="1:29" ht="12.5" x14ac:dyDescent="0.25">
      <c r="A579" s="36"/>
      <c r="B579" s="33"/>
      <c r="C579" s="33"/>
      <c r="D579" s="33"/>
      <c r="E579" s="35"/>
      <c r="F579" s="21"/>
      <c r="G579" s="22" t="e">
        <f>VLOOKUP(E579,'Court List'!$A:$C,2,0)</f>
        <v>#N/A</v>
      </c>
      <c r="H579" s="33"/>
      <c r="I579" s="33"/>
      <c r="J579" s="44" t="e">
        <f t="shared" si="27"/>
        <v>#N/A</v>
      </c>
      <c r="K579" s="36"/>
      <c r="L579" s="18">
        <f>SUM('Shuttle Count - Supreme (Nov 20'!C579:D579)</f>
        <v>0</v>
      </c>
      <c r="M579" s="18" t="e">
        <f>VLOOKUP(K579,'Shuttle Purchase'!A:C,3,0)</f>
        <v>#N/A</v>
      </c>
      <c r="N579" s="44" t="e">
        <f t="shared" si="37"/>
        <v>#N/A</v>
      </c>
      <c r="O579" s="24" t="e">
        <f>VLOOKUP(E579,'Court List'!$A:$C,3,0)</f>
        <v>#N/A</v>
      </c>
      <c r="P579" s="18">
        <f>COUNTIF('Pub List'!$C579:$T579,"&lt;&gt;")</f>
        <v>0</v>
      </c>
      <c r="Q579" s="20" t="e">
        <f t="shared" si="28"/>
        <v>#N/A</v>
      </c>
      <c r="R579" s="36"/>
      <c r="S579" s="18">
        <f>COUNTIF('Member List'!$C579:$J579,"&lt;&gt;")</f>
        <v>0</v>
      </c>
      <c r="T579" s="35"/>
      <c r="U579" s="24">
        <f t="shared" si="29"/>
        <v>0</v>
      </c>
      <c r="V579" s="18" t="e">
        <f t="shared" si="30"/>
        <v>#N/A</v>
      </c>
      <c r="W579" s="45" t="e">
        <f t="shared" si="31"/>
        <v>#N/A</v>
      </c>
      <c r="X579" s="20" t="e">
        <f t="shared" si="32"/>
        <v>#N/A</v>
      </c>
      <c r="Y579" s="46" t="e">
        <f t="shared" si="35"/>
        <v>#N/A</v>
      </c>
      <c r="Z579" s="39" t="e">
        <f t="shared" si="33"/>
        <v>#N/A</v>
      </c>
      <c r="AA579" s="39" t="e">
        <f t="shared" si="34"/>
        <v>#N/A</v>
      </c>
      <c r="AB579" s="39"/>
      <c r="AC579" s="48" t="e">
        <f t="shared" si="36"/>
        <v>#N/A</v>
      </c>
    </row>
    <row r="580" spans="1:29" ht="12.5" x14ac:dyDescent="0.25">
      <c r="A580" s="36"/>
      <c r="B580" s="33"/>
      <c r="C580" s="33"/>
      <c r="D580" s="33"/>
      <c r="E580" s="35"/>
      <c r="F580" s="21"/>
      <c r="G580" s="22" t="e">
        <f>VLOOKUP(E580,'Court List'!$A:$C,2,0)</f>
        <v>#N/A</v>
      </c>
      <c r="H580" s="33"/>
      <c r="I580" s="33"/>
      <c r="J580" s="44" t="e">
        <f t="shared" si="27"/>
        <v>#N/A</v>
      </c>
      <c r="K580" s="36"/>
      <c r="L580" s="18">
        <f>SUM('Shuttle Count - Supreme (Nov 20'!C580:D580)</f>
        <v>0</v>
      </c>
      <c r="M580" s="18" t="e">
        <f>VLOOKUP(K580,'Shuttle Purchase'!A:C,3,0)</f>
        <v>#N/A</v>
      </c>
      <c r="N580" s="44" t="e">
        <f t="shared" si="37"/>
        <v>#N/A</v>
      </c>
      <c r="O580" s="24" t="e">
        <f>VLOOKUP(E580,'Court List'!$A:$C,3,0)</f>
        <v>#N/A</v>
      </c>
      <c r="P580" s="18">
        <f>COUNTIF('Pub List'!$C580:$T580,"&lt;&gt;")</f>
        <v>0</v>
      </c>
      <c r="Q580" s="20" t="e">
        <f t="shared" si="28"/>
        <v>#N/A</v>
      </c>
      <c r="R580" s="36"/>
      <c r="S580" s="18">
        <f>COUNTIF('Member List'!$C580:$J580,"&lt;&gt;")</f>
        <v>0</v>
      </c>
      <c r="T580" s="35"/>
      <c r="U580" s="24">
        <f t="shared" si="29"/>
        <v>0</v>
      </c>
      <c r="V580" s="18" t="e">
        <f t="shared" si="30"/>
        <v>#N/A</v>
      </c>
      <c r="W580" s="45" t="e">
        <f t="shared" si="31"/>
        <v>#N/A</v>
      </c>
      <c r="X580" s="20" t="e">
        <f t="shared" si="32"/>
        <v>#N/A</v>
      </c>
      <c r="Y580" s="46" t="e">
        <f t="shared" si="35"/>
        <v>#N/A</v>
      </c>
      <c r="Z580" s="39" t="e">
        <f t="shared" si="33"/>
        <v>#N/A</v>
      </c>
      <c r="AA580" s="39" t="e">
        <f t="shared" si="34"/>
        <v>#N/A</v>
      </c>
      <c r="AB580" s="39"/>
      <c r="AC580" s="48" t="e">
        <f t="shared" si="36"/>
        <v>#N/A</v>
      </c>
    </row>
    <row r="581" spans="1:29" ht="12.5" x14ac:dyDescent="0.25">
      <c r="A581" s="36"/>
      <c r="B581" s="33"/>
      <c r="C581" s="33"/>
      <c r="D581" s="33"/>
      <c r="E581" s="35"/>
      <c r="F581" s="21"/>
      <c r="G581" s="22" t="e">
        <f>VLOOKUP(E581,'Court List'!$A:$C,2,0)</f>
        <v>#N/A</v>
      </c>
      <c r="H581" s="33"/>
      <c r="I581" s="33"/>
      <c r="J581" s="44" t="e">
        <f t="shared" si="27"/>
        <v>#N/A</v>
      </c>
      <c r="K581" s="36"/>
      <c r="L581" s="18">
        <f>SUM('Shuttle Count - Supreme (Nov 20'!C581:D581)</f>
        <v>0</v>
      </c>
      <c r="M581" s="18" t="e">
        <f>VLOOKUP(K581,'Shuttle Purchase'!A:C,3,0)</f>
        <v>#N/A</v>
      </c>
      <c r="N581" s="44" t="e">
        <f t="shared" si="37"/>
        <v>#N/A</v>
      </c>
      <c r="O581" s="24" t="e">
        <f>VLOOKUP(E581,'Court List'!$A:$C,3,0)</f>
        <v>#N/A</v>
      </c>
      <c r="P581" s="18">
        <f>COUNTIF('Pub List'!$C581:$T581,"&lt;&gt;")</f>
        <v>0</v>
      </c>
      <c r="Q581" s="20" t="e">
        <f t="shared" si="28"/>
        <v>#N/A</v>
      </c>
      <c r="R581" s="36"/>
      <c r="S581" s="18">
        <f>COUNTIF('Member List'!$C581:$J581,"&lt;&gt;")</f>
        <v>0</v>
      </c>
      <c r="T581" s="35"/>
      <c r="U581" s="24">
        <f t="shared" si="29"/>
        <v>0</v>
      </c>
      <c r="V581" s="18" t="e">
        <f t="shared" si="30"/>
        <v>#N/A</v>
      </c>
      <c r="W581" s="45" t="e">
        <f t="shared" si="31"/>
        <v>#N/A</v>
      </c>
      <c r="X581" s="20" t="e">
        <f t="shared" si="32"/>
        <v>#N/A</v>
      </c>
      <c r="Y581" s="46" t="e">
        <f t="shared" si="35"/>
        <v>#N/A</v>
      </c>
      <c r="Z581" s="39" t="e">
        <f t="shared" si="33"/>
        <v>#N/A</v>
      </c>
      <c r="AA581" s="39" t="e">
        <f t="shared" si="34"/>
        <v>#N/A</v>
      </c>
      <c r="AB581" s="39"/>
      <c r="AC581" s="48" t="e">
        <f t="shared" si="36"/>
        <v>#N/A</v>
      </c>
    </row>
    <row r="582" spans="1:29" ht="12.5" x14ac:dyDescent="0.25">
      <c r="A582" s="36"/>
      <c r="B582" s="33"/>
      <c r="C582" s="33"/>
      <c r="D582" s="33"/>
      <c r="E582" s="35"/>
      <c r="F582" s="21"/>
      <c r="G582" s="22" t="e">
        <f>VLOOKUP(E582,'Court List'!$A:$C,2,0)</f>
        <v>#N/A</v>
      </c>
      <c r="H582" s="33"/>
      <c r="I582" s="33"/>
      <c r="J582" s="44" t="e">
        <f t="shared" si="27"/>
        <v>#N/A</v>
      </c>
      <c r="K582" s="36"/>
      <c r="L582" s="18">
        <f>SUM('Shuttle Count - Supreme (Nov 20'!C582:D582)</f>
        <v>0</v>
      </c>
      <c r="M582" s="18" t="e">
        <f>VLOOKUP(K582,'Shuttle Purchase'!A:C,3,0)</f>
        <v>#N/A</v>
      </c>
      <c r="N582" s="44" t="e">
        <f t="shared" si="37"/>
        <v>#N/A</v>
      </c>
      <c r="O582" s="24" t="e">
        <f>VLOOKUP(E582,'Court List'!$A:$C,3,0)</f>
        <v>#N/A</v>
      </c>
      <c r="P582" s="18">
        <f>COUNTIF('Pub List'!$C582:$T582,"&lt;&gt;")</f>
        <v>0</v>
      </c>
      <c r="Q582" s="20" t="e">
        <f t="shared" si="28"/>
        <v>#N/A</v>
      </c>
      <c r="R582" s="36"/>
      <c r="S582" s="18">
        <f>COUNTIF('Member List'!$C582:$J582,"&lt;&gt;")</f>
        <v>0</v>
      </c>
      <c r="T582" s="35"/>
      <c r="U582" s="24">
        <f t="shared" si="29"/>
        <v>0</v>
      </c>
      <c r="V582" s="18" t="e">
        <f t="shared" si="30"/>
        <v>#N/A</v>
      </c>
      <c r="W582" s="45" t="e">
        <f t="shared" si="31"/>
        <v>#N/A</v>
      </c>
      <c r="X582" s="20" t="e">
        <f t="shared" si="32"/>
        <v>#N/A</v>
      </c>
      <c r="Y582" s="46" t="e">
        <f t="shared" si="35"/>
        <v>#N/A</v>
      </c>
      <c r="Z582" s="39" t="e">
        <f t="shared" si="33"/>
        <v>#N/A</v>
      </c>
      <c r="AA582" s="39" t="e">
        <f t="shared" si="34"/>
        <v>#N/A</v>
      </c>
      <c r="AB582" s="39"/>
      <c r="AC582" s="48" t="e">
        <f t="shared" si="36"/>
        <v>#N/A</v>
      </c>
    </row>
    <row r="583" spans="1:29" ht="12.5" x14ac:dyDescent="0.25">
      <c r="A583" s="36"/>
      <c r="B583" s="33"/>
      <c r="C583" s="33"/>
      <c r="D583" s="33"/>
      <c r="E583" s="35"/>
      <c r="F583" s="21"/>
      <c r="G583" s="22" t="e">
        <f>VLOOKUP(E583,'Court List'!$A:$C,2,0)</f>
        <v>#N/A</v>
      </c>
      <c r="H583" s="33"/>
      <c r="I583" s="33"/>
      <c r="J583" s="44" t="e">
        <f t="shared" si="27"/>
        <v>#N/A</v>
      </c>
      <c r="K583" s="36"/>
      <c r="L583" s="18">
        <f>SUM('Shuttle Count - Supreme (Nov 20'!C583:D583)</f>
        <v>0</v>
      </c>
      <c r="M583" s="18" t="e">
        <f>VLOOKUP(K583,'Shuttle Purchase'!A:C,3,0)</f>
        <v>#N/A</v>
      </c>
      <c r="N583" s="44" t="e">
        <f t="shared" si="37"/>
        <v>#N/A</v>
      </c>
      <c r="O583" s="24" t="e">
        <f>VLOOKUP(E583,'Court List'!$A:$C,3,0)</f>
        <v>#N/A</v>
      </c>
      <c r="P583" s="18">
        <f>COUNTIF('Pub List'!$C583:$T583,"&lt;&gt;")</f>
        <v>0</v>
      </c>
      <c r="Q583" s="20" t="e">
        <f t="shared" si="28"/>
        <v>#N/A</v>
      </c>
      <c r="R583" s="36"/>
      <c r="S583" s="18">
        <f>COUNTIF('Member List'!$C583:$J583,"&lt;&gt;")</f>
        <v>0</v>
      </c>
      <c r="T583" s="35"/>
      <c r="U583" s="24">
        <f t="shared" si="29"/>
        <v>0</v>
      </c>
      <c r="V583" s="18" t="e">
        <f t="shared" si="30"/>
        <v>#N/A</v>
      </c>
      <c r="W583" s="45" t="e">
        <f t="shared" si="31"/>
        <v>#N/A</v>
      </c>
      <c r="X583" s="20" t="e">
        <f t="shared" si="32"/>
        <v>#N/A</v>
      </c>
      <c r="Y583" s="46" t="e">
        <f t="shared" si="35"/>
        <v>#N/A</v>
      </c>
      <c r="Z583" s="39" t="e">
        <f t="shared" si="33"/>
        <v>#N/A</v>
      </c>
      <c r="AA583" s="39" t="e">
        <f t="shared" si="34"/>
        <v>#N/A</v>
      </c>
      <c r="AB583" s="39"/>
      <c r="AC583" s="48" t="e">
        <f t="shared" si="36"/>
        <v>#N/A</v>
      </c>
    </row>
    <row r="584" spans="1:29" ht="12.5" x14ac:dyDescent="0.25">
      <c r="A584" s="36"/>
      <c r="B584" s="33"/>
      <c r="C584" s="33"/>
      <c r="D584" s="33"/>
      <c r="E584" s="35"/>
      <c r="F584" s="21"/>
      <c r="G584" s="22" t="e">
        <f>VLOOKUP(E584,'Court List'!$A:$C,2,0)</f>
        <v>#N/A</v>
      </c>
      <c r="H584" s="33"/>
      <c r="I584" s="33"/>
      <c r="J584" s="44" t="e">
        <f t="shared" si="27"/>
        <v>#N/A</v>
      </c>
      <c r="K584" s="36"/>
      <c r="L584" s="18">
        <f>SUM('Shuttle Count - Supreme (Nov 20'!C584:D584)</f>
        <v>0</v>
      </c>
      <c r="M584" s="18" t="e">
        <f>VLOOKUP(K584,'Shuttle Purchase'!A:C,3,0)</f>
        <v>#N/A</v>
      </c>
      <c r="N584" s="44" t="e">
        <f t="shared" si="37"/>
        <v>#N/A</v>
      </c>
      <c r="O584" s="24" t="e">
        <f>VLOOKUP(E584,'Court List'!$A:$C,3,0)</f>
        <v>#N/A</v>
      </c>
      <c r="P584" s="18">
        <f>COUNTIF('Pub List'!$C584:$T584,"&lt;&gt;")</f>
        <v>0</v>
      </c>
      <c r="Q584" s="20" t="e">
        <f t="shared" si="28"/>
        <v>#N/A</v>
      </c>
      <c r="R584" s="36"/>
      <c r="S584" s="18">
        <f>COUNTIF('Member List'!$C584:$J584,"&lt;&gt;")</f>
        <v>0</v>
      </c>
      <c r="T584" s="35"/>
      <c r="U584" s="24">
        <f t="shared" si="29"/>
        <v>0</v>
      </c>
      <c r="V584" s="18" t="e">
        <f t="shared" si="30"/>
        <v>#N/A</v>
      </c>
      <c r="W584" s="45" t="e">
        <f t="shared" si="31"/>
        <v>#N/A</v>
      </c>
      <c r="X584" s="20" t="e">
        <f t="shared" si="32"/>
        <v>#N/A</v>
      </c>
      <c r="Y584" s="46" t="e">
        <f t="shared" si="35"/>
        <v>#N/A</v>
      </c>
      <c r="Z584" s="39" t="e">
        <f t="shared" si="33"/>
        <v>#N/A</v>
      </c>
      <c r="AA584" s="39" t="e">
        <f t="shared" si="34"/>
        <v>#N/A</v>
      </c>
      <c r="AB584" s="39"/>
      <c r="AC584" s="48" t="e">
        <f t="shared" si="36"/>
        <v>#N/A</v>
      </c>
    </row>
    <row r="585" spans="1:29" ht="12.5" x14ac:dyDescent="0.25">
      <c r="A585" s="36"/>
      <c r="B585" s="33"/>
      <c r="C585" s="33"/>
      <c r="D585" s="33"/>
      <c r="E585" s="35"/>
      <c r="F585" s="21"/>
      <c r="G585" s="22" t="e">
        <f>VLOOKUP(E585,'Court List'!$A:$C,2,0)</f>
        <v>#N/A</v>
      </c>
      <c r="H585" s="33"/>
      <c r="I585" s="33"/>
      <c r="J585" s="44" t="e">
        <f t="shared" si="27"/>
        <v>#N/A</v>
      </c>
      <c r="K585" s="36"/>
      <c r="L585" s="18">
        <f>SUM('Shuttle Count - Supreme (Nov 20'!C585:D585)</f>
        <v>0</v>
      </c>
      <c r="M585" s="18" t="e">
        <f>VLOOKUP(K585,'Shuttle Purchase'!A:C,3,0)</f>
        <v>#N/A</v>
      </c>
      <c r="N585" s="44" t="e">
        <f t="shared" si="37"/>
        <v>#N/A</v>
      </c>
      <c r="O585" s="24" t="e">
        <f>VLOOKUP(E585,'Court List'!$A:$C,3,0)</f>
        <v>#N/A</v>
      </c>
      <c r="P585" s="18">
        <f>COUNTIF('Pub List'!$C585:$T585,"&lt;&gt;")</f>
        <v>0</v>
      </c>
      <c r="Q585" s="20" t="e">
        <f t="shared" si="28"/>
        <v>#N/A</v>
      </c>
      <c r="R585" s="36"/>
      <c r="S585" s="18">
        <f>COUNTIF('Member List'!$C585:$J585,"&lt;&gt;")</f>
        <v>0</v>
      </c>
      <c r="T585" s="35"/>
      <c r="U585" s="24">
        <f t="shared" si="29"/>
        <v>0</v>
      </c>
      <c r="V585" s="18" t="e">
        <f t="shared" si="30"/>
        <v>#N/A</v>
      </c>
      <c r="W585" s="45" t="e">
        <f t="shared" si="31"/>
        <v>#N/A</v>
      </c>
      <c r="X585" s="20" t="e">
        <f t="shared" si="32"/>
        <v>#N/A</v>
      </c>
      <c r="Y585" s="46" t="e">
        <f t="shared" si="35"/>
        <v>#N/A</v>
      </c>
      <c r="Z585" s="39" t="e">
        <f t="shared" si="33"/>
        <v>#N/A</v>
      </c>
      <c r="AA585" s="39" t="e">
        <f t="shared" si="34"/>
        <v>#N/A</v>
      </c>
      <c r="AB585" s="39"/>
      <c r="AC585" s="48" t="e">
        <f t="shared" si="36"/>
        <v>#N/A</v>
      </c>
    </row>
    <row r="586" spans="1:29" ht="12.5" x14ac:dyDescent="0.25">
      <c r="A586" s="36"/>
      <c r="B586" s="33"/>
      <c r="C586" s="33"/>
      <c r="D586" s="33"/>
      <c r="E586" s="35"/>
      <c r="F586" s="21"/>
      <c r="G586" s="22" t="e">
        <f>VLOOKUP(E586,'Court List'!$A:$C,2,0)</f>
        <v>#N/A</v>
      </c>
      <c r="H586" s="33"/>
      <c r="I586" s="33"/>
      <c r="J586" s="44" t="e">
        <f t="shared" si="27"/>
        <v>#N/A</v>
      </c>
      <c r="K586" s="36"/>
      <c r="L586" s="18">
        <f>SUM('Shuttle Count - Supreme (Nov 20'!C586:D586)</f>
        <v>0</v>
      </c>
      <c r="M586" s="18" t="e">
        <f>VLOOKUP(K586,'Shuttle Purchase'!A:C,3,0)</f>
        <v>#N/A</v>
      </c>
      <c r="N586" s="44" t="e">
        <f t="shared" si="37"/>
        <v>#N/A</v>
      </c>
      <c r="O586" s="24" t="e">
        <f>VLOOKUP(E586,'Court List'!$A:$C,3,0)</f>
        <v>#N/A</v>
      </c>
      <c r="P586" s="18">
        <f>COUNTIF('Pub List'!$C586:$T586,"&lt;&gt;")</f>
        <v>0</v>
      </c>
      <c r="Q586" s="20" t="e">
        <f t="shared" si="28"/>
        <v>#N/A</v>
      </c>
      <c r="R586" s="36"/>
      <c r="S586" s="18">
        <f>COUNTIF('Member List'!$C586:$J586,"&lt;&gt;")</f>
        <v>0</v>
      </c>
      <c r="T586" s="35"/>
      <c r="U586" s="24">
        <f t="shared" si="29"/>
        <v>0</v>
      </c>
      <c r="V586" s="18" t="e">
        <f t="shared" si="30"/>
        <v>#N/A</v>
      </c>
      <c r="W586" s="45" t="e">
        <f t="shared" si="31"/>
        <v>#N/A</v>
      </c>
      <c r="X586" s="20" t="e">
        <f t="shared" si="32"/>
        <v>#N/A</v>
      </c>
      <c r="Y586" s="46" t="e">
        <f t="shared" si="35"/>
        <v>#N/A</v>
      </c>
      <c r="Z586" s="39" t="e">
        <f t="shared" si="33"/>
        <v>#N/A</v>
      </c>
      <c r="AA586" s="39" t="e">
        <f t="shared" si="34"/>
        <v>#N/A</v>
      </c>
      <c r="AB586" s="39"/>
      <c r="AC586" s="48" t="e">
        <f t="shared" si="36"/>
        <v>#N/A</v>
      </c>
    </row>
    <row r="587" spans="1:29" ht="12.5" x14ac:dyDescent="0.25">
      <c r="A587" s="36"/>
      <c r="B587" s="33"/>
      <c r="C587" s="33"/>
      <c r="D587" s="33"/>
      <c r="E587" s="35"/>
      <c r="F587" s="21"/>
      <c r="G587" s="22" t="e">
        <f>VLOOKUP(E587,'Court List'!$A:$C,2,0)</f>
        <v>#N/A</v>
      </c>
      <c r="H587" s="33"/>
      <c r="I587" s="33"/>
      <c r="J587" s="44" t="e">
        <f t="shared" si="27"/>
        <v>#N/A</v>
      </c>
      <c r="K587" s="36"/>
      <c r="L587" s="18">
        <f>SUM('Shuttle Count - Supreme (Nov 20'!C587:D587)</f>
        <v>0</v>
      </c>
      <c r="M587" s="18" t="e">
        <f>VLOOKUP(K587,'Shuttle Purchase'!A:C,3,0)</f>
        <v>#N/A</v>
      </c>
      <c r="N587" s="44" t="e">
        <f t="shared" si="37"/>
        <v>#N/A</v>
      </c>
      <c r="O587" s="24" t="e">
        <f>VLOOKUP(E587,'Court List'!$A:$C,3,0)</f>
        <v>#N/A</v>
      </c>
      <c r="P587" s="18">
        <f>COUNTIF('Pub List'!$C587:$T587,"&lt;&gt;")</f>
        <v>0</v>
      </c>
      <c r="Q587" s="20" t="e">
        <f t="shared" si="28"/>
        <v>#N/A</v>
      </c>
      <c r="R587" s="36"/>
      <c r="S587" s="18">
        <f>COUNTIF('Member List'!$C587:$J587,"&lt;&gt;")</f>
        <v>0</v>
      </c>
      <c r="T587" s="35"/>
      <c r="U587" s="24">
        <f t="shared" si="29"/>
        <v>0</v>
      </c>
      <c r="V587" s="18" t="e">
        <f t="shared" si="30"/>
        <v>#N/A</v>
      </c>
      <c r="W587" s="45" t="e">
        <f t="shared" si="31"/>
        <v>#N/A</v>
      </c>
      <c r="X587" s="20" t="e">
        <f t="shared" si="32"/>
        <v>#N/A</v>
      </c>
      <c r="Y587" s="46" t="e">
        <f t="shared" si="35"/>
        <v>#N/A</v>
      </c>
      <c r="Z587" s="39" t="e">
        <f t="shared" si="33"/>
        <v>#N/A</v>
      </c>
      <c r="AA587" s="39" t="e">
        <f t="shared" si="34"/>
        <v>#N/A</v>
      </c>
      <c r="AB587" s="39"/>
      <c r="AC587" s="48" t="e">
        <f t="shared" si="36"/>
        <v>#N/A</v>
      </c>
    </row>
    <row r="588" spans="1:29" ht="12.5" x14ac:dyDescent="0.25">
      <c r="A588" s="36"/>
      <c r="B588" s="33"/>
      <c r="C588" s="33"/>
      <c r="D588" s="33"/>
      <c r="E588" s="35"/>
      <c r="F588" s="21"/>
      <c r="G588" s="22" t="e">
        <f>VLOOKUP(E588,'Court List'!$A:$C,2,0)</f>
        <v>#N/A</v>
      </c>
      <c r="H588" s="33"/>
      <c r="I588" s="33"/>
      <c r="J588" s="44" t="e">
        <f t="shared" si="27"/>
        <v>#N/A</v>
      </c>
      <c r="K588" s="36"/>
      <c r="L588" s="18">
        <f>SUM('Shuttle Count - Supreme (Nov 20'!C588:D588)</f>
        <v>0</v>
      </c>
      <c r="M588" s="18" t="e">
        <f>VLOOKUP(K588,'Shuttle Purchase'!A:C,3,0)</f>
        <v>#N/A</v>
      </c>
      <c r="N588" s="44" t="e">
        <f t="shared" si="37"/>
        <v>#N/A</v>
      </c>
      <c r="O588" s="24" t="e">
        <f>VLOOKUP(E588,'Court List'!$A:$C,3,0)</f>
        <v>#N/A</v>
      </c>
      <c r="P588" s="18">
        <f>COUNTIF('Pub List'!$C588:$T588,"&lt;&gt;")</f>
        <v>0</v>
      </c>
      <c r="Q588" s="20" t="e">
        <f t="shared" si="28"/>
        <v>#N/A</v>
      </c>
      <c r="R588" s="36"/>
      <c r="S588" s="18">
        <f>COUNTIF('Member List'!$C588:$J588,"&lt;&gt;")</f>
        <v>0</v>
      </c>
      <c r="T588" s="35"/>
      <c r="U588" s="24">
        <f t="shared" si="29"/>
        <v>0</v>
      </c>
      <c r="V588" s="18" t="e">
        <f t="shared" si="30"/>
        <v>#N/A</v>
      </c>
      <c r="W588" s="45" t="e">
        <f t="shared" si="31"/>
        <v>#N/A</v>
      </c>
      <c r="X588" s="20" t="e">
        <f t="shared" si="32"/>
        <v>#N/A</v>
      </c>
      <c r="Y588" s="46" t="e">
        <f t="shared" si="35"/>
        <v>#N/A</v>
      </c>
      <c r="Z588" s="39" t="e">
        <f t="shared" si="33"/>
        <v>#N/A</v>
      </c>
      <c r="AA588" s="39" t="e">
        <f t="shared" si="34"/>
        <v>#N/A</v>
      </c>
      <c r="AB588" s="39"/>
      <c r="AC588" s="48" t="e">
        <f t="shared" si="36"/>
        <v>#N/A</v>
      </c>
    </row>
    <row r="589" spans="1:29" ht="12.5" x14ac:dyDescent="0.25">
      <c r="A589" s="36"/>
      <c r="B589" s="33"/>
      <c r="C589" s="33"/>
      <c r="D589" s="33"/>
      <c r="E589" s="35"/>
      <c r="F589" s="21"/>
      <c r="G589" s="22" t="e">
        <f>VLOOKUP(E589,'Court List'!$A:$C,2,0)</f>
        <v>#N/A</v>
      </c>
      <c r="H589" s="33"/>
      <c r="I589" s="33"/>
      <c r="J589" s="44" t="e">
        <f t="shared" si="27"/>
        <v>#N/A</v>
      </c>
      <c r="K589" s="36"/>
      <c r="L589" s="18">
        <f>SUM('Shuttle Count - Supreme (Nov 20'!C589:D589)</f>
        <v>0</v>
      </c>
      <c r="M589" s="18" t="e">
        <f>VLOOKUP(K589,'Shuttle Purchase'!A:C,3,0)</f>
        <v>#N/A</v>
      </c>
      <c r="N589" s="44" t="e">
        <f t="shared" si="37"/>
        <v>#N/A</v>
      </c>
      <c r="O589" s="24" t="e">
        <f>VLOOKUP(E589,'Court List'!$A:$C,3,0)</f>
        <v>#N/A</v>
      </c>
      <c r="P589" s="18">
        <f>COUNTIF('Pub List'!$C589:$T589,"&lt;&gt;")</f>
        <v>0</v>
      </c>
      <c r="Q589" s="20" t="e">
        <f t="shared" si="28"/>
        <v>#N/A</v>
      </c>
      <c r="R589" s="36"/>
      <c r="S589" s="18">
        <f>COUNTIF('Member List'!$C589:$J589,"&lt;&gt;")</f>
        <v>0</v>
      </c>
      <c r="T589" s="35"/>
      <c r="U589" s="24">
        <f t="shared" si="29"/>
        <v>0</v>
      </c>
      <c r="V589" s="18" t="e">
        <f t="shared" si="30"/>
        <v>#N/A</v>
      </c>
      <c r="W589" s="45" t="e">
        <f t="shared" si="31"/>
        <v>#N/A</v>
      </c>
      <c r="X589" s="20" t="e">
        <f t="shared" si="32"/>
        <v>#N/A</v>
      </c>
      <c r="Y589" s="46" t="e">
        <f t="shared" si="35"/>
        <v>#N/A</v>
      </c>
      <c r="Z589" s="39" t="e">
        <f t="shared" si="33"/>
        <v>#N/A</v>
      </c>
      <c r="AA589" s="39" t="e">
        <f t="shared" si="34"/>
        <v>#N/A</v>
      </c>
      <c r="AB589" s="39"/>
      <c r="AC589" s="48" t="e">
        <f t="shared" si="36"/>
        <v>#N/A</v>
      </c>
    </row>
    <row r="590" spans="1:29" ht="12.5" x14ac:dyDescent="0.25">
      <c r="A590" s="36"/>
      <c r="B590" s="33"/>
      <c r="C590" s="33"/>
      <c r="D590" s="33"/>
      <c r="E590" s="35"/>
      <c r="F590" s="21"/>
      <c r="G590" s="22" t="e">
        <f>VLOOKUP(E590,'Court List'!$A:$C,2,0)</f>
        <v>#N/A</v>
      </c>
      <c r="H590" s="33"/>
      <c r="I590" s="33"/>
      <c r="J590" s="44" t="e">
        <f t="shared" si="27"/>
        <v>#N/A</v>
      </c>
      <c r="K590" s="36"/>
      <c r="L590" s="18">
        <f>SUM('Shuttle Count - Supreme (Nov 20'!C590:D590)</f>
        <v>0</v>
      </c>
      <c r="M590" s="18" t="e">
        <f>VLOOKUP(K590,'Shuttle Purchase'!A:C,3,0)</f>
        <v>#N/A</v>
      </c>
      <c r="N590" s="44" t="e">
        <f t="shared" si="37"/>
        <v>#N/A</v>
      </c>
      <c r="O590" s="24" t="e">
        <f>VLOOKUP(E590,'Court List'!$A:$C,3,0)</f>
        <v>#N/A</v>
      </c>
      <c r="P590" s="18">
        <f>COUNTIF('Pub List'!$C590:$T590,"&lt;&gt;")</f>
        <v>0</v>
      </c>
      <c r="Q590" s="20" t="e">
        <f t="shared" si="28"/>
        <v>#N/A</v>
      </c>
      <c r="R590" s="36"/>
      <c r="S590" s="18">
        <f>COUNTIF('Member List'!$C590:$J590,"&lt;&gt;")</f>
        <v>0</v>
      </c>
      <c r="T590" s="35"/>
      <c r="U590" s="24">
        <f t="shared" si="29"/>
        <v>0</v>
      </c>
      <c r="V590" s="18" t="e">
        <f t="shared" si="30"/>
        <v>#N/A</v>
      </c>
      <c r="W590" s="45" t="e">
        <f t="shared" si="31"/>
        <v>#N/A</v>
      </c>
      <c r="X590" s="20" t="e">
        <f t="shared" si="32"/>
        <v>#N/A</v>
      </c>
      <c r="Y590" s="46" t="e">
        <f t="shared" si="35"/>
        <v>#N/A</v>
      </c>
      <c r="Z590" s="39" t="e">
        <f t="shared" si="33"/>
        <v>#N/A</v>
      </c>
      <c r="AA590" s="39" t="e">
        <f t="shared" si="34"/>
        <v>#N/A</v>
      </c>
      <c r="AB590" s="39"/>
      <c r="AC590" s="48" t="e">
        <f t="shared" si="36"/>
        <v>#N/A</v>
      </c>
    </row>
    <row r="591" spans="1:29" ht="12.5" x14ac:dyDescent="0.25">
      <c r="A591" s="36"/>
      <c r="B591" s="33"/>
      <c r="C591" s="33"/>
      <c r="D591" s="33"/>
      <c r="E591" s="35"/>
      <c r="F591" s="21"/>
      <c r="G591" s="22" t="e">
        <f>VLOOKUP(E591,'Court List'!$A:$C,2,0)</f>
        <v>#N/A</v>
      </c>
      <c r="H591" s="33"/>
      <c r="I591" s="33"/>
      <c r="J591" s="44" t="e">
        <f t="shared" si="27"/>
        <v>#N/A</v>
      </c>
      <c r="K591" s="36"/>
      <c r="L591" s="18">
        <f>SUM('Shuttle Count - Supreme (Nov 20'!C591:D591)</f>
        <v>0</v>
      </c>
      <c r="M591" s="18" t="e">
        <f>VLOOKUP(K591,'Shuttle Purchase'!A:C,3,0)</f>
        <v>#N/A</v>
      </c>
      <c r="N591" s="44" t="e">
        <f t="shared" si="37"/>
        <v>#N/A</v>
      </c>
      <c r="O591" s="24" t="e">
        <f>VLOOKUP(E591,'Court List'!$A:$C,3,0)</f>
        <v>#N/A</v>
      </c>
      <c r="P591" s="18">
        <f>COUNTIF('Pub List'!$C591:$T591,"&lt;&gt;")</f>
        <v>0</v>
      </c>
      <c r="Q591" s="20" t="e">
        <f t="shared" si="28"/>
        <v>#N/A</v>
      </c>
      <c r="R591" s="36"/>
      <c r="S591" s="18">
        <f>COUNTIF('Member List'!$C591:$J591,"&lt;&gt;")</f>
        <v>0</v>
      </c>
      <c r="T591" s="35"/>
      <c r="U591" s="24">
        <f t="shared" si="29"/>
        <v>0</v>
      </c>
      <c r="V591" s="18" t="e">
        <f t="shared" si="30"/>
        <v>#N/A</v>
      </c>
      <c r="W591" s="45" t="e">
        <f t="shared" si="31"/>
        <v>#N/A</v>
      </c>
      <c r="X591" s="20" t="e">
        <f t="shared" si="32"/>
        <v>#N/A</v>
      </c>
      <c r="Y591" s="46" t="e">
        <f t="shared" si="35"/>
        <v>#N/A</v>
      </c>
      <c r="Z591" s="39" t="e">
        <f t="shared" si="33"/>
        <v>#N/A</v>
      </c>
      <c r="AA591" s="39" t="e">
        <f t="shared" si="34"/>
        <v>#N/A</v>
      </c>
      <c r="AB591" s="39"/>
      <c r="AC591" s="48" t="e">
        <f t="shared" si="36"/>
        <v>#N/A</v>
      </c>
    </row>
    <row r="592" spans="1:29" ht="12.5" x14ac:dyDescent="0.25">
      <c r="A592" s="36"/>
      <c r="B592" s="33"/>
      <c r="C592" s="33"/>
      <c r="D592" s="33"/>
      <c r="E592" s="35"/>
      <c r="F592" s="21"/>
      <c r="G592" s="22" t="e">
        <f>VLOOKUP(E592,'Court List'!$A:$C,2,0)</f>
        <v>#N/A</v>
      </c>
      <c r="H592" s="33"/>
      <c r="I592" s="33"/>
      <c r="J592" s="44" t="e">
        <f t="shared" si="27"/>
        <v>#N/A</v>
      </c>
      <c r="K592" s="36"/>
      <c r="L592" s="18">
        <f>SUM('Shuttle Count - Supreme (Nov 20'!C592:D592)</f>
        <v>0</v>
      </c>
      <c r="M592" s="18" t="e">
        <f>VLOOKUP(K592,'Shuttle Purchase'!A:C,3,0)</f>
        <v>#N/A</v>
      </c>
      <c r="N592" s="44" t="e">
        <f t="shared" si="37"/>
        <v>#N/A</v>
      </c>
      <c r="O592" s="24" t="e">
        <f>VLOOKUP(E592,'Court List'!$A:$C,3,0)</f>
        <v>#N/A</v>
      </c>
      <c r="P592" s="18">
        <f>COUNTIF('Pub List'!$C592:$T592,"&lt;&gt;")</f>
        <v>0</v>
      </c>
      <c r="Q592" s="20" t="e">
        <f t="shared" si="28"/>
        <v>#N/A</v>
      </c>
      <c r="R592" s="36"/>
      <c r="S592" s="18">
        <f>COUNTIF('Member List'!$C592:$J592,"&lt;&gt;")</f>
        <v>0</v>
      </c>
      <c r="T592" s="35"/>
      <c r="U592" s="24">
        <f t="shared" si="29"/>
        <v>0</v>
      </c>
      <c r="V592" s="18" t="e">
        <f t="shared" si="30"/>
        <v>#N/A</v>
      </c>
      <c r="W592" s="45" t="e">
        <f t="shared" si="31"/>
        <v>#N/A</v>
      </c>
      <c r="X592" s="20" t="e">
        <f t="shared" si="32"/>
        <v>#N/A</v>
      </c>
      <c r="Y592" s="46" t="e">
        <f t="shared" si="35"/>
        <v>#N/A</v>
      </c>
      <c r="Z592" s="39" t="e">
        <f t="shared" si="33"/>
        <v>#N/A</v>
      </c>
      <c r="AA592" s="39" t="e">
        <f t="shared" si="34"/>
        <v>#N/A</v>
      </c>
      <c r="AB592" s="39"/>
      <c r="AC592" s="48" t="e">
        <f t="shared" si="36"/>
        <v>#N/A</v>
      </c>
    </row>
    <row r="593" spans="1:29" ht="12.5" x14ac:dyDescent="0.25">
      <c r="A593" s="36"/>
      <c r="B593" s="33"/>
      <c r="C593" s="33"/>
      <c r="D593" s="33"/>
      <c r="E593" s="35"/>
      <c r="F593" s="21"/>
      <c r="G593" s="22" t="e">
        <f>VLOOKUP(E593,'Court List'!$A:$C,2,0)</f>
        <v>#N/A</v>
      </c>
      <c r="H593" s="33"/>
      <c r="I593" s="33"/>
      <c r="J593" s="44" t="e">
        <f t="shared" si="27"/>
        <v>#N/A</v>
      </c>
      <c r="K593" s="36"/>
      <c r="L593" s="18">
        <f>SUM('Shuttle Count - Supreme (Nov 20'!C593:D593)</f>
        <v>0</v>
      </c>
      <c r="M593" s="18" t="e">
        <f>VLOOKUP(K593,'Shuttle Purchase'!A:C,3,0)</f>
        <v>#N/A</v>
      </c>
      <c r="N593" s="44" t="e">
        <f t="shared" si="37"/>
        <v>#N/A</v>
      </c>
      <c r="O593" s="24" t="e">
        <f>VLOOKUP(E593,'Court List'!$A:$C,3,0)</f>
        <v>#N/A</v>
      </c>
      <c r="P593" s="18">
        <f>COUNTIF('Pub List'!$C593:$T593,"&lt;&gt;")</f>
        <v>0</v>
      </c>
      <c r="Q593" s="20" t="e">
        <f t="shared" si="28"/>
        <v>#N/A</v>
      </c>
      <c r="R593" s="36"/>
      <c r="S593" s="18">
        <f>COUNTIF('Member List'!$C593:$J593,"&lt;&gt;")</f>
        <v>0</v>
      </c>
      <c r="T593" s="35"/>
      <c r="U593" s="24">
        <f t="shared" si="29"/>
        <v>0</v>
      </c>
      <c r="V593" s="18" t="e">
        <f t="shared" si="30"/>
        <v>#N/A</v>
      </c>
      <c r="W593" s="45" t="e">
        <f t="shared" si="31"/>
        <v>#N/A</v>
      </c>
      <c r="X593" s="20" t="e">
        <f t="shared" si="32"/>
        <v>#N/A</v>
      </c>
      <c r="Y593" s="46" t="e">
        <f t="shared" si="35"/>
        <v>#N/A</v>
      </c>
      <c r="Z593" s="39" t="e">
        <f t="shared" si="33"/>
        <v>#N/A</v>
      </c>
      <c r="AA593" s="39" t="e">
        <f t="shared" si="34"/>
        <v>#N/A</v>
      </c>
      <c r="AB593" s="39"/>
      <c r="AC593" s="48" t="e">
        <f t="shared" si="36"/>
        <v>#N/A</v>
      </c>
    </row>
    <row r="594" spans="1:29" ht="12.5" x14ac:dyDescent="0.25">
      <c r="A594" s="36"/>
      <c r="B594" s="33"/>
      <c r="C594" s="33"/>
      <c r="D594" s="33"/>
      <c r="E594" s="35"/>
      <c r="F594" s="21"/>
      <c r="G594" s="22" t="e">
        <f>VLOOKUP(E594,'Court List'!$A:$C,2,0)</f>
        <v>#N/A</v>
      </c>
      <c r="H594" s="33"/>
      <c r="I594" s="33"/>
      <c r="J594" s="44" t="e">
        <f t="shared" si="27"/>
        <v>#N/A</v>
      </c>
      <c r="K594" s="36"/>
      <c r="L594" s="18">
        <f>SUM('Shuttle Count - Supreme (Nov 20'!C594:D594)</f>
        <v>0</v>
      </c>
      <c r="M594" s="18" t="e">
        <f>VLOOKUP(K594,'Shuttle Purchase'!A:C,3,0)</f>
        <v>#N/A</v>
      </c>
      <c r="N594" s="44" t="e">
        <f t="shared" si="37"/>
        <v>#N/A</v>
      </c>
      <c r="O594" s="24" t="e">
        <f>VLOOKUP(E594,'Court List'!$A:$C,3,0)</f>
        <v>#N/A</v>
      </c>
      <c r="P594" s="18">
        <f>COUNTIF('Pub List'!$C594:$T594,"&lt;&gt;")</f>
        <v>0</v>
      </c>
      <c r="Q594" s="20" t="e">
        <f t="shared" si="28"/>
        <v>#N/A</v>
      </c>
      <c r="R594" s="36"/>
      <c r="S594" s="18">
        <f>COUNTIF('Member List'!$C594:$J594,"&lt;&gt;")</f>
        <v>0</v>
      </c>
      <c r="T594" s="35"/>
      <c r="U594" s="24">
        <f t="shared" si="29"/>
        <v>0</v>
      </c>
      <c r="V594" s="18" t="e">
        <f t="shared" si="30"/>
        <v>#N/A</v>
      </c>
      <c r="W594" s="45" t="e">
        <f t="shared" si="31"/>
        <v>#N/A</v>
      </c>
      <c r="X594" s="20" t="e">
        <f t="shared" si="32"/>
        <v>#N/A</v>
      </c>
      <c r="Y594" s="46" t="e">
        <f t="shared" si="35"/>
        <v>#N/A</v>
      </c>
      <c r="Z594" s="39" t="e">
        <f t="shared" si="33"/>
        <v>#N/A</v>
      </c>
      <c r="AA594" s="39" t="e">
        <f t="shared" si="34"/>
        <v>#N/A</v>
      </c>
      <c r="AB594" s="39"/>
      <c r="AC594" s="48" t="e">
        <f t="shared" si="36"/>
        <v>#N/A</v>
      </c>
    </row>
    <row r="595" spans="1:29" ht="12.5" x14ac:dyDescent="0.25">
      <c r="A595" s="36"/>
      <c r="B595" s="33"/>
      <c r="C595" s="33"/>
      <c r="D595" s="33"/>
      <c r="E595" s="35"/>
      <c r="F595" s="21"/>
      <c r="G595" s="22" t="e">
        <f>VLOOKUP(E595,'Court List'!$A:$C,2,0)</f>
        <v>#N/A</v>
      </c>
      <c r="H595" s="33"/>
      <c r="I595" s="33"/>
      <c r="J595" s="44" t="e">
        <f t="shared" si="27"/>
        <v>#N/A</v>
      </c>
      <c r="K595" s="36"/>
      <c r="L595" s="18">
        <f>SUM('Shuttle Count - Supreme (Nov 20'!C595:D595)</f>
        <v>0</v>
      </c>
      <c r="M595" s="18" t="e">
        <f>VLOOKUP(K595,'Shuttle Purchase'!A:C,3,0)</f>
        <v>#N/A</v>
      </c>
      <c r="N595" s="44" t="e">
        <f t="shared" si="37"/>
        <v>#N/A</v>
      </c>
      <c r="O595" s="24" t="e">
        <f>VLOOKUP(E595,'Court List'!$A:$C,3,0)</f>
        <v>#N/A</v>
      </c>
      <c r="P595" s="18">
        <f>COUNTIF('Pub List'!$C595:$T595,"&lt;&gt;")</f>
        <v>0</v>
      </c>
      <c r="Q595" s="20" t="e">
        <f t="shared" si="28"/>
        <v>#N/A</v>
      </c>
      <c r="R595" s="36"/>
      <c r="S595" s="18">
        <f>COUNTIF('Member List'!$C595:$J595,"&lt;&gt;")</f>
        <v>0</v>
      </c>
      <c r="T595" s="35"/>
      <c r="U595" s="24">
        <f t="shared" si="29"/>
        <v>0</v>
      </c>
      <c r="V595" s="18" t="e">
        <f t="shared" si="30"/>
        <v>#N/A</v>
      </c>
      <c r="W595" s="45" t="e">
        <f t="shared" si="31"/>
        <v>#N/A</v>
      </c>
      <c r="X595" s="20" t="e">
        <f t="shared" si="32"/>
        <v>#N/A</v>
      </c>
      <c r="Y595" s="46" t="e">
        <f t="shared" si="35"/>
        <v>#N/A</v>
      </c>
      <c r="Z595" s="39" t="e">
        <f t="shared" si="33"/>
        <v>#N/A</v>
      </c>
      <c r="AA595" s="39" t="e">
        <f t="shared" si="34"/>
        <v>#N/A</v>
      </c>
      <c r="AB595" s="39"/>
      <c r="AC595" s="48" t="e">
        <f t="shared" si="36"/>
        <v>#N/A</v>
      </c>
    </row>
    <row r="596" spans="1:29" ht="12.5" x14ac:dyDescent="0.25">
      <c r="A596" s="36"/>
      <c r="B596" s="33"/>
      <c r="C596" s="33"/>
      <c r="D596" s="33"/>
      <c r="E596" s="35"/>
      <c r="F596" s="21"/>
      <c r="G596" s="22" t="e">
        <f>VLOOKUP(E596,'Court List'!$A:$C,2,0)</f>
        <v>#N/A</v>
      </c>
      <c r="H596" s="33"/>
      <c r="I596" s="33"/>
      <c r="J596" s="44" t="e">
        <f t="shared" si="27"/>
        <v>#N/A</v>
      </c>
      <c r="K596" s="36"/>
      <c r="L596" s="18">
        <f>SUM('Shuttle Count - Supreme (Nov 20'!C596:D596)</f>
        <v>0</v>
      </c>
      <c r="M596" s="18" t="e">
        <f>VLOOKUP(K596,'Shuttle Purchase'!A:C,3,0)</f>
        <v>#N/A</v>
      </c>
      <c r="N596" s="44" t="e">
        <f t="shared" si="37"/>
        <v>#N/A</v>
      </c>
      <c r="O596" s="24" t="e">
        <f>VLOOKUP(E596,'Court List'!$A:$C,3,0)</f>
        <v>#N/A</v>
      </c>
      <c r="P596" s="18">
        <f>COUNTIF('Pub List'!$C596:$T596,"&lt;&gt;")</f>
        <v>0</v>
      </c>
      <c r="Q596" s="20" t="e">
        <f t="shared" si="28"/>
        <v>#N/A</v>
      </c>
      <c r="R596" s="36"/>
      <c r="S596" s="18">
        <f>COUNTIF('Member List'!$C596:$J596,"&lt;&gt;")</f>
        <v>0</v>
      </c>
      <c r="T596" s="35"/>
      <c r="U596" s="24">
        <f t="shared" si="29"/>
        <v>0</v>
      </c>
      <c r="V596" s="18" t="e">
        <f t="shared" si="30"/>
        <v>#N/A</v>
      </c>
      <c r="W596" s="45" t="e">
        <f t="shared" si="31"/>
        <v>#N/A</v>
      </c>
      <c r="X596" s="20" t="e">
        <f t="shared" si="32"/>
        <v>#N/A</v>
      </c>
      <c r="Y596" s="46" t="e">
        <f t="shared" si="35"/>
        <v>#N/A</v>
      </c>
      <c r="Z596" s="39" t="e">
        <f t="shared" si="33"/>
        <v>#N/A</v>
      </c>
      <c r="AA596" s="39" t="e">
        <f t="shared" si="34"/>
        <v>#N/A</v>
      </c>
      <c r="AB596" s="39"/>
      <c r="AC596" s="48" t="e">
        <f t="shared" si="36"/>
        <v>#N/A</v>
      </c>
    </row>
    <row r="597" spans="1:29" ht="12.5" x14ac:dyDescent="0.25">
      <c r="A597" s="36"/>
      <c r="B597" s="33"/>
      <c r="C597" s="33"/>
      <c r="D597" s="33"/>
      <c r="E597" s="35"/>
      <c r="F597" s="21"/>
      <c r="G597" s="22" t="e">
        <f>VLOOKUP(E597,'Court List'!$A:$C,2,0)</f>
        <v>#N/A</v>
      </c>
      <c r="H597" s="33"/>
      <c r="I597" s="33"/>
      <c r="J597" s="44" t="e">
        <f t="shared" si="27"/>
        <v>#N/A</v>
      </c>
      <c r="K597" s="36"/>
      <c r="L597" s="18">
        <f>SUM('Shuttle Count - Supreme (Nov 20'!C597:D597)</f>
        <v>0</v>
      </c>
      <c r="M597" s="18" t="e">
        <f>VLOOKUP(K597,'Shuttle Purchase'!A:C,3,0)</f>
        <v>#N/A</v>
      </c>
      <c r="N597" s="44" t="e">
        <f t="shared" si="37"/>
        <v>#N/A</v>
      </c>
      <c r="O597" s="24" t="e">
        <f>VLOOKUP(E597,'Court List'!$A:$C,3,0)</f>
        <v>#N/A</v>
      </c>
      <c r="P597" s="18">
        <f>COUNTIF('Pub List'!$C597:$T597,"&lt;&gt;")</f>
        <v>0</v>
      </c>
      <c r="Q597" s="20" t="e">
        <f t="shared" si="28"/>
        <v>#N/A</v>
      </c>
      <c r="R597" s="36"/>
      <c r="S597" s="18">
        <f>COUNTIF('Member List'!$C597:$J597,"&lt;&gt;")</f>
        <v>0</v>
      </c>
      <c r="T597" s="35"/>
      <c r="U597" s="24">
        <f t="shared" si="29"/>
        <v>0</v>
      </c>
      <c r="V597" s="18" t="e">
        <f t="shared" si="30"/>
        <v>#N/A</v>
      </c>
      <c r="W597" s="45" t="e">
        <f t="shared" si="31"/>
        <v>#N/A</v>
      </c>
      <c r="X597" s="20" t="e">
        <f t="shared" si="32"/>
        <v>#N/A</v>
      </c>
      <c r="Y597" s="46" t="e">
        <f t="shared" si="35"/>
        <v>#N/A</v>
      </c>
      <c r="Z597" s="39" t="e">
        <f t="shared" si="33"/>
        <v>#N/A</v>
      </c>
      <c r="AA597" s="39" t="e">
        <f t="shared" si="34"/>
        <v>#N/A</v>
      </c>
      <c r="AB597" s="39"/>
      <c r="AC597" s="48" t="e">
        <f t="shared" si="36"/>
        <v>#N/A</v>
      </c>
    </row>
    <row r="598" spans="1:29" ht="12.5" x14ac:dyDescent="0.25">
      <c r="A598" s="36"/>
      <c r="B598" s="33"/>
      <c r="C598" s="33"/>
      <c r="D598" s="33"/>
      <c r="E598" s="35"/>
      <c r="F598" s="21"/>
      <c r="G598" s="22" t="e">
        <f>VLOOKUP(E598,'Court List'!$A:$C,2,0)</f>
        <v>#N/A</v>
      </c>
      <c r="H598" s="33"/>
      <c r="I598" s="33"/>
      <c r="J598" s="44" t="e">
        <f t="shared" si="27"/>
        <v>#N/A</v>
      </c>
      <c r="K598" s="36"/>
      <c r="L598" s="18">
        <f>SUM('Shuttle Count - Supreme (Nov 20'!C598:D598)</f>
        <v>0</v>
      </c>
      <c r="M598" s="18" t="e">
        <f>VLOOKUP(K598,'Shuttle Purchase'!A:C,3,0)</f>
        <v>#N/A</v>
      </c>
      <c r="N598" s="44" t="e">
        <f t="shared" si="37"/>
        <v>#N/A</v>
      </c>
      <c r="O598" s="24" t="e">
        <f>VLOOKUP(E598,'Court List'!$A:$C,3,0)</f>
        <v>#N/A</v>
      </c>
      <c r="P598" s="18">
        <f>COUNTIF('Pub List'!$C598:$T598,"&lt;&gt;")</f>
        <v>0</v>
      </c>
      <c r="Q598" s="20" t="e">
        <f t="shared" si="28"/>
        <v>#N/A</v>
      </c>
      <c r="R598" s="36"/>
      <c r="S598" s="18">
        <f>COUNTIF('Member List'!$C598:$J598,"&lt;&gt;")</f>
        <v>0</v>
      </c>
      <c r="T598" s="35"/>
      <c r="U598" s="24">
        <f t="shared" si="29"/>
        <v>0</v>
      </c>
      <c r="V598" s="18" t="e">
        <f t="shared" si="30"/>
        <v>#N/A</v>
      </c>
      <c r="W598" s="45" t="e">
        <f t="shared" si="31"/>
        <v>#N/A</v>
      </c>
      <c r="X598" s="20" t="e">
        <f t="shared" si="32"/>
        <v>#N/A</v>
      </c>
      <c r="Y598" s="46" t="e">
        <f t="shared" si="35"/>
        <v>#N/A</v>
      </c>
      <c r="Z598" s="39" t="e">
        <f t="shared" si="33"/>
        <v>#N/A</v>
      </c>
      <c r="AA598" s="39" t="e">
        <f t="shared" si="34"/>
        <v>#N/A</v>
      </c>
      <c r="AB598" s="39"/>
      <c r="AC598" s="48" t="e">
        <f t="shared" si="36"/>
        <v>#N/A</v>
      </c>
    </row>
    <row r="599" spans="1:29" ht="12.5" x14ac:dyDescent="0.25">
      <c r="A599" s="36"/>
      <c r="B599" s="33"/>
      <c r="C599" s="33"/>
      <c r="D599" s="33"/>
      <c r="E599" s="35"/>
      <c r="F599" s="21"/>
      <c r="G599" s="22" t="e">
        <f>VLOOKUP(E599,'Court List'!$A:$C,2,0)</f>
        <v>#N/A</v>
      </c>
      <c r="H599" s="33"/>
      <c r="I599" s="33"/>
      <c r="J599" s="44" t="e">
        <f t="shared" si="27"/>
        <v>#N/A</v>
      </c>
      <c r="K599" s="36"/>
      <c r="L599" s="18">
        <f>SUM('Shuttle Count - Supreme (Nov 20'!C599:D599)</f>
        <v>0</v>
      </c>
      <c r="M599" s="18" t="e">
        <f>VLOOKUP(K599,'Shuttle Purchase'!A:C,3,0)</f>
        <v>#N/A</v>
      </c>
      <c r="N599" s="44" t="e">
        <f t="shared" si="37"/>
        <v>#N/A</v>
      </c>
      <c r="O599" s="24" t="e">
        <f>VLOOKUP(E599,'Court List'!$A:$C,3,0)</f>
        <v>#N/A</v>
      </c>
      <c r="P599" s="18">
        <f>COUNTIF('Pub List'!$C599:$T599,"&lt;&gt;")</f>
        <v>0</v>
      </c>
      <c r="Q599" s="20" t="e">
        <f t="shared" si="28"/>
        <v>#N/A</v>
      </c>
      <c r="R599" s="36"/>
      <c r="S599" s="18">
        <f>COUNTIF('Member List'!$C599:$J599,"&lt;&gt;")</f>
        <v>0</v>
      </c>
      <c r="T599" s="35"/>
      <c r="U599" s="24">
        <f t="shared" si="29"/>
        <v>0</v>
      </c>
      <c r="V599" s="18" t="e">
        <f t="shared" si="30"/>
        <v>#N/A</v>
      </c>
      <c r="W599" s="45" t="e">
        <f t="shared" si="31"/>
        <v>#N/A</v>
      </c>
      <c r="X599" s="20" t="e">
        <f t="shared" si="32"/>
        <v>#N/A</v>
      </c>
      <c r="Y599" s="46" t="e">
        <f t="shared" si="35"/>
        <v>#N/A</v>
      </c>
      <c r="Z599" s="39" t="e">
        <f t="shared" si="33"/>
        <v>#N/A</v>
      </c>
      <c r="AA599" s="39" t="e">
        <f t="shared" si="34"/>
        <v>#N/A</v>
      </c>
      <c r="AB599" s="39"/>
      <c r="AC599" s="48" t="e">
        <f t="shared" si="36"/>
        <v>#N/A</v>
      </c>
    </row>
    <row r="600" spans="1:29" ht="12.5" x14ac:dyDescent="0.25">
      <c r="A600" s="36"/>
      <c r="B600" s="33"/>
      <c r="C600" s="33"/>
      <c r="D600" s="33"/>
      <c r="E600" s="35"/>
      <c r="F600" s="21"/>
      <c r="G600" s="22" t="e">
        <f>VLOOKUP(E600,'Court List'!$A:$C,2,0)</f>
        <v>#N/A</v>
      </c>
      <c r="H600" s="33"/>
      <c r="I600" s="33"/>
      <c r="J600" s="44" t="e">
        <f t="shared" si="27"/>
        <v>#N/A</v>
      </c>
      <c r="K600" s="36"/>
      <c r="L600" s="18">
        <f>SUM('Shuttle Count - Supreme (Nov 20'!C600:D600)</f>
        <v>0</v>
      </c>
      <c r="M600" s="18" t="e">
        <f>VLOOKUP(K600,'Shuttle Purchase'!A:C,3,0)</f>
        <v>#N/A</v>
      </c>
      <c r="N600" s="44" t="e">
        <f t="shared" si="37"/>
        <v>#N/A</v>
      </c>
      <c r="O600" s="24" t="e">
        <f>VLOOKUP(E600,'Court List'!$A:$C,3,0)</f>
        <v>#N/A</v>
      </c>
      <c r="P600" s="18">
        <f>COUNTIF('Pub List'!$C600:$T600,"&lt;&gt;")</f>
        <v>0</v>
      </c>
      <c r="Q600" s="20" t="e">
        <f t="shared" si="28"/>
        <v>#N/A</v>
      </c>
      <c r="R600" s="36"/>
      <c r="S600" s="18">
        <f>COUNTIF('Member List'!$C600:$J600,"&lt;&gt;")</f>
        <v>0</v>
      </c>
      <c r="T600" s="35"/>
      <c r="U600" s="24">
        <f t="shared" si="29"/>
        <v>0</v>
      </c>
      <c r="V600" s="18" t="e">
        <f t="shared" si="30"/>
        <v>#N/A</v>
      </c>
      <c r="W600" s="45" t="e">
        <f t="shared" si="31"/>
        <v>#N/A</v>
      </c>
      <c r="X600" s="20" t="e">
        <f t="shared" si="32"/>
        <v>#N/A</v>
      </c>
      <c r="Y600" s="46" t="e">
        <f t="shared" si="35"/>
        <v>#N/A</v>
      </c>
      <c r="Z600" s="39" t="e">
        <f t="shared" si="33"/>
        <v>#N/A</v>
      </c>
      <c r="AA600" s="39" t="e">
        <f t="shared" si="34"/>
        <v>#N/A</v>
      </c>
      <c r="AB600" s="39"/>
      <c r="AC600" s="48" t="e">
        <f t="shared" si="36"/>
        <v>#N/A</v>
      </c>
    </row>
    <row r="601" spans="1:29" ht="12.5" x14ac:dyDescent="0.25">
      <c r="A601" s="36"/>
      <c r="B601" s="33"/>
      <c r="C601" s="33"/>
      <c r="D601" s="33"/>
      <c r="E601" s="35"/>
      <c r="F601" s="21"/>
      <c r="G601" s="22" t="e">
        <f>VLOOKUP(E601,'Court List'!$A:$C,2,0)</f>
        <v>#N/A</v>
      </c>
      <c r="H601" s="33"/>
      <c r="I601" s="33"/>
      <c r="J601" s="44" t="e">
        <f t="shared" si="27"/>
        <v>#N/A</v>
      </c>
      <c r="K601" s="36"/>
      <c r="L601" s="18">
        <f>SUM('Shuttle Count - Supreme (Nov 20'!C601:D601)</f>
        <v>0</v>
      </c>
      <c r="M601" s="18" t="e">
        <f>VLOOKUP(K601,'Shuttle Purchase'!A:C,3,0)</f>
        <v>#N/A</v>
      </c>
      <c r="N601" s="44" t="e">
        <f t="shared" si="37"/>
        <v>#N/A</v>
      </c>
      <c r="O601" s="24" t="e">
        <f>VLOOKUP(E601,'Court List'!$A:$C,3,0)</f>
        <v>#N/A</v>
      </c>
      <c r="P601" s="18">
        <f>COUNTIF('Pub List'!$C601:$T601,"&lt;&gt;")</f>
        <v>0</v>
      </c>
      <c r="Q601" s="20" t="e">
        <f t="shared" si="28"/>
        <v>#N/A</v>
      </c>
      <c r="R601" s="36"/>
      <c r="S601" s="18">
        <f>COUNTIF('Member List'!$C601:$J601,"&lt;&gt;")</f>
        <v>0</v>
      </c>
      <c r="T601" s="35"/>
      <c r="U601" s="24">
        <f t="shared" si="29"/>
        <v>0</v>
      </c>
      <c r="V601" s="18" t="e">
        <f t="shared" si="30"/>
        <v>#N/A</v>
      </c>
      <c r="W601" s="45" t="e">
        <f t="shared" si="31"/>
        <v>#N/A</v>
      </c>
      <c r="X601" s="20" t="e">
        <f t="shared" si="32"/>
        <v>#N/A</v>
      </c>
      <c r="Y601" s="46" t="e">
        <f t="shared" si="35"/>
        <v>#N/A</v>
      </c>
      <c r="Z601" s="39" t="e">
        <f t="shared" si="33"/>
        <v>#N/A</v>
      </c>
      <c r="AA601" s="39" t="e">
        <f t="shared" si="34"/>
        <v>#N/A</v>
      </c>
      <c r="AB601" s="39"/>
      <c r="AC601" s="48" t="e">
        <f t="shared" si="36"/>
        <v>#N/A</v>
      </c>
    </row>
    <row r="602" spans="1:29" ht="12.5" x14ac:dyDescent="0.25">
      <c r="A602" s="36"/>
      <c r="B602" s="33"/>
      <c r="C602" s="33"/>
      <c r="D602" s="33"/>
      <c r="E602" s="35"/>
      <c r="F602" s="21"/>
      <c r="G602" s="22" t="e">
        <f>VLOOKUP(E602,'Court List'!$A:$C,2,0)</f>
        <v>#N/A</v>
      </c>
      <c r="H602" s="33"/>
      <c r="I602" s="33"/>
      <c r="J602" s="44" t="e">
        <f t="shared" si="27"/>
        <v>#N/A</v>
      </c>
      <c r="K602" s="36"/>
      <c r="L602" s="18">
        <f>SUM('Shuttle Count - Supreme (Nov 20'!C602:D602)</f>
        <v>0</v>
      </c>
      <c r="M602" s="18" t="e">
        <f>VLOOKUP(K602,'Shuttle Purchase'!A:C,3,0)</f>
        <v>#N/A</v>
      </c>
      <c r="N602" s="44" t="e">
        <f t="shared" si="37"/>
        <v>#N/A</v>
      </c>
      <c r="O602" s="24" t="e">
        <f>VLOOKUP(E602,'Court List'!$A:$C,3,0)</f>
        <v>#N/A</v>
      </c>
      <c r="P602" s="18">
        <f>COUNTIF('Pub List'!$C602:$T602,"&lt;&gt;")</f>
        <v>0</v>
      </c>
      <c r="Q602" s="20" t="e">
        <f t="shared" si="28"/>
        <v>#N/A</v>
      </c>
      <c r="R602" s="36"/>
      <c r="S602" s="18">
        <f>COUNTIF('Member List'!$C602:$J602,"&lt;&gt;")</f>
        <v>0</v>
      </c>
      <c r="T602" s="35"/>
      <c r="U602" s="24">
        <f t="shared" si="29"/>
        <v>0</v>
      </c>
      <c r="V602" s="18" t="e">
        <f t="shared" si="30"/>
        <v>#N/A</v>
      </c>
      <c r="W602" s="45" t="e">
        <f t="shared" si="31"/>
        <v>#N/A</v>
      </c>
      <c r="X602" s="20" t="e">
        <f t="shared" si="32"/>
        <v>#N/A</v>
      </c>
      <c r="Y602" s="46" t="e">
        <f t="shared" si="35"/>
        <v>#N/A</v>
      </c>
      <c r="Z602" s="39" t="e">
        <f t="shared" si="33"/>
        <v>#N/A</v>
      </c>
      <c r="AA602" s="39" t="e">
        <f t="shared" si="34"/>
        <v>#N/A</v>
      </c>
      <c r="AB602" s="39"/>
      <c r="AC602" s="48" t="e">
        <f t="shared" si="36"/>
        <v>#N/A</v>
      </c>
    </row>
    <row r="603" spans="1:29" ht="12.5" x14ac:dyDescent="0.25">
      <c r="A603" s="36"/>
      <c r="B603" s="33"/>
      <c r="C603" s="33"/>
      <c r="D603" s="33"/>
      <c r="E603" s="35"/>
      <c r="F603" s="21"/>
      <c r="G603" s="22" t="e">
        <f>VLOOKUP(E603,'Court List'!$A:$C,2,0)</f>
        <v>#N/A</v>
      </c>
      <c r="H603" s="33"/>
      <c r="I603" s="33"/>
      <c r="J603" s="44" t="e">
        <f t="shared" si="27"/>
        <v>#N/A</v>
      </c>
      <c r="K603" s="36"/>
      <c r="L603" s="18">
        <f>SUM('Shuttle Count - Supreme (Nov 20'!C603:D603)</f>
        <v>0</v>
      </c>
      <c r="M603" s="18" t="e">
        <f>VLOOKUP(K603,'Shuttle Purchase'!A:C,3,0)</f>
        <v>#N/A</v>
      </c>
      <c r="N603" s="44" t="e">
        <f t="shared" si="37"/>
        <v>#N/A</v>
      </c>
      <c r="O603" s="24" t="e">
        <f>VLOOKUP(E603,'Court List'!$A:$C,3,0)</f>
        <v>#N/A</v>
      </c>
      <c r="P603" s="18">
        <f>COUNTIF('Pub List'!$C603:$T603,"&lt;&gt;")</f>
        <v>0</v>
      </c>
      <c r="Q603" s="20" t="e">
        <f t="shared" si="28"/>
        <v>#N/A</v>
      </c>
      <c r="R603" s="36"/>
      <c r="S603" s="18">
        <f>COUNTIF('Member List'!$C603:$J603,"&lt;&gt;")</f>
        <v>0</v>
      </c>
      <c r="T603" s="35"/>
      <c r="U603" s="24">
        <f t="shared" si="29"/>
        <v>0</v>
      </c>
      <c r="V603" s="18" t="e">
        <f t="shared" si="30"/>
        <v>#N/A</v>
      </c>
      <c r="W603" s="45" t="e">
        <f t="shared" si="31"/>
        <v>#N/A</v>
      </c>
      <c r="X603" s="20" t="e">
        <f t="shared" si="32"/>
        <v>#N/A</v>
      </c>
      <c r="Y603" s="46" t="e">
        <f t="shared" si="35"/>
        <v>#N/A</v>
      </c>
      <c r="Z603" s="39" t="e">
        <f t="shared" si="33"/>
        <v>#N/A</v>
      </c>
      <c r="AA603" s="39" t="e">
        <f t="shared" si="34"/>
        <v>#N/A</v>
      </c>
      <c r="AB603" s="39"/>
      <c r="AC603" s="48" t="e">
        <f t="shared" si="36"/>
        <v>#N/A</v>
      </c>
    </row>
    <row r="604" spans="1:29" ht="12.5" x14ac:dyDescent="0.25">
      <c r="A604" s="36"/>
      <c r="B604" s="33"/>
      <c r="C604" s="33"/>
      <c r="D604" s="33"/>
      <c r="E604" s="35"/>
      <c r="F604" s="21"/>
      <c r="G604" s="22" t="e">
        <f>VLOOKUP(E604,'Court List'!$A:$C,2,0)</f>
        <v>#N/A</v>
      </c>
      <c r="H604" s="33"/>
      <c r="I604" s="33"/>
      <c r="J604" s="44" t="e">
        <f t="shared" si="27"/>
        <v>#N/A</v>
      </c>
      <c r="K604" s="36"/>
      <c r="L604" s="18">
        <f>SUM('Shuttle Count - Supreme (Nov 20'!C604:D604)</f>
        <v>0</v>
      </c>
      <c r="M604" s="18" t="e">
        <f>VLOOKUP(K604,'Shuttle Purchase'!A:C,3,0)</f>
        <v>#N/A</v>
      </c>
      <c r="N604" s="44" t="e">
        <f t="shared" si="37"/>
        <v>#N/A</v>
      </c>
      <c r="O604" s="24" t="e">
        <f>VLOOKUP(E604,'Court List'!$A:$C,3,0)</f>
        <v>#N/A</v>
      </c>
      <c r="P604" s="18">
        <f>COUNTIF('Pub List'!$C604:$T604,"&lt;&gt;")</f>
        <v>0</v>
      </c>
      <c r="Q604" s="20" t="e">
        <f t="shared" si="28"/>
        <v>#N/A</v>
      </c>
      <c r="R604" s="36"/>
      <c r="S604" s="18">
        <f>COUNTIF('Member List'!$C604:$J604,"&lt;&gt;")</f>
        <v>0</v>
      </c>
      <c r="T604" s="35"/>
      <c r="U604" s="24">
        <f t="shared" si="29"/>
        <v>0</v>
      </c>
      <c r="V604" s="18" t="e">
        <f t="shared" si="30"/>
        <v>#N/A</v>
      </c>
      <c r="W604" s="45" t="e">
        <f t="shared" si="31"/>
        <v>#N/A</v>
      </c>
      <c r="X604" s="20" t="e">
        <f t="shared" si="32"/>
        <v>#N/A</v>
      </c>
      <c r="Y604" s="46" t="e">
        <f t="shared" si="35"/>
        <v>#N/A</v>
      </c>
      <c r="Z604" s="39" t="e">
        <f t="shared" si="33"/>
        <v>#N/A</v>
      </c>
      <c r="AA604" s="39" t="e">
        <f t="shared" si="34"/>
        <v>#N/A</v>
      </c>
      <c r="AB604" s="39"/>
      <c r="AC604" s="48" t="e">
        <f t="shared" si="36"/>
        <v>#N/A</v>
      </c>
    </row>
    <row r="605" spans="1:29" ht="12.5" x14ac:dyDescent="0.25">
      <c r="A605" s="36"/>
      <c r="B605" s="33"/>
      <c r="C605" s="33"/>
      <c r="D605" s="33"/>
      <c r="E605" s="35"/>
      <c r="F605" s="21"/>
      <c r="G605" s="22" t="e">
        <f>VLOOKUP(E605,'Court List'!$A:$C,2,0)</f>
        <v>#N/A</v>
      </c>
      <c r="H605" s="33"/>
      <c r="I605" s="33"/>
      <c r="J605" s="44" t="e">
        <f t="shared" si="27"/>
        <v>#N/A</v>
      </c>
      <c r="K605" s="36"/>
      <c r="L605" s="18">
        <f>SUM('Shuttle Count - Supreme (Nov 20'!C605:D605)</f>
        <v>0</v>
      </c>
      <c r="M605" s="18" t="e">
        <f>VLOOKUP(K605,'Shuttle Purchase'!A:C,3,0)</f>
        <v>#N/A</v>
      </c>
      <c r="N605" s="44" t="e">
        <f t="shared" si="37"/>
        <v>#N/A</v>
      </c>
      <c r="O605" s="24" t="e">
        <f>VLOOKUP(E605,'Court List'!$A:$C,3,0)</f>
        <v>#N/A</v>
      </c>
      <c r="P605" s="18">
        <f>COUNTIF('Pub List'!$C605:$T605,"&lt;&gt;")</f>
        <v>0</v>
      </c>
      <c r="Q605" s="20" t="e">
        <f t="shared" si="28"/>
        <v>#N/A</v>
      </c>
      <c r="R605" s="36"/>
      <c r="S605" s="18">
        <f>COUNTIF('Member List'!$C605:$J605,"&lt;&gt;")</f>
        <v>0</v>
      </c>
      <c r="T605" s="35"/>
      <c r="U605" s="24">
        <f t="shared" si="29"/>
        <v>0</v>
      </c>
      <c r="V605" s="18" t="e">
        <f t="shared" si="30"/>
        <v>#N/A</v>
      </c>
      <c r="W605" s="45" t="e">
        <f t="shared" si="31"/>
        <v>#N/A</v>
      </c>
      <c r="X605" s="20" t="e">
        <f t="shared" si="32"/>
        <v>#N/A</v>
      </c>
      <c r="Y605" s="46" t="e">
        <f t="shared" si="35"/>
        <v>#N/A</v>
      </c>
      <c r="Z605" s="39" t="e">
        <f t="shared" si="33"/>
        <v>#N/A</v>
      </c>
      <c r="AA605" s="39" t="e">
        <f t="shared" si="34"/>
        <v>#N/A</v>
      </c>
      <c r="AB605" s="39"/>
      <c r="AC605" s="48" t="e">
        <f t="shared" si="36"/>
        <v>#N/A</v>
      </c>
    </row>
    <row r="606" spans="1:29" ht="12.5" x14ac:dyDescent="0.25">
      <c r="A606" s="36"/>
      <c r="B606" s="33"/>
      <c r="C606" s="33"/>
      <c r="D606" s="33"/>
      <c r="E606" s="35"/>
      <c r="F606" s="21"/>
      <c r="G606" s="22" t="e">
        <f>VLOOKUP(E606,'Court List'!$A:$C,2,0)</f>
        <v>#N/A</v>
      </c>
      <c r="H606" s="33"/>
      <c r="I606" s="33"/>
      <c r="J606" s="44" t="e">
        <f t="shared" si="27"/>
        <v>#N/A</v>
      </c>
      <c r="K606" s="36"/>
      <c r="L606" s="18">
        <f>SUM('Shuttle Count - Supreme (Nov 20'!C606:D606)</f>
        <v>0</v>
      </c>
      <c r="M606" s="18" t="e">
        <f>VLOOKUP(K606,'Shuttle Purchase'!A:C,3,0)</f>
        <v>#N/A</v>
      </c>
      <c r="N606" s="44" t="e">
        <f t="shared" si="37"/>
        <v>#N/A</v>
      </c>
      <c r="O606" s="24" t="e">
        <f>VLOOKUP(E606,'Court List'!$A:$C,3,0)</f>
        <v>#N/A</v>
      </c>
      <c r="P606" s="18">
        <f>COUNTIF('Pub List'!$C606:$T606,"&lt;&gt;")</f>
        <v>0</v>
      </c>
      <c r="Q606" s="20" t="e">
        <f t="shared" si="28"/>
        <v>#N/A</v>
      </c>
      <c r="R606" s="36"/>
      <c r="S606" s="18">
        <f>COUNTIF('Member List'!$C606:$J606,"&lt;&gt;")</f>
        <v>0</v>
      </c>
      <c r="T606" s="35"/>
      <c r="U606" s="24">
        <f t="shared" si="29"/>
        <v>0</v>
      </c>
      <c r="V606" s="18" t="e">
        <f t="shared" si="30"/>
        <v>#N/A</v>
      </c>
      <c r="W606" s="45" t="e">
        <f t="shared" si="31"/>
        <v>#N/A</v>
      </c>
      <c r="X606" s="20" t="e">
        <f t="shared" si="32"/>
        <v>#N/A</v>
      </c>
      <c r="Y606" s="46" t="e">
        <f t="shared" si="35"/>
        <v>#N/A</v>
      </c>
      <c r="Z606" s="39" t="e">
        <f t="shared" si="33"/>
        <v>#N/A</v>
      </c>
      <c r="AA606" s="39" t="e">
        <f t="shared" si="34"/>
        <v>#N/A</v>
      </c>
      <c r="AB606" s="39"/>
      <c r="AC606" s="48" t="e">
        <f t="shared" si="36"/>
        <v>#N/A</v>
      </c>
    </row>
    <row r="607" spans="1:29" ht="12.5" x14ac:dyDescent="0.25">
      <c r="A607" s="36"/>
      <c r="B607" s="33"/>
      <c r="C607" s="33"/>
      <c r="D607" s="33"/>
      <c r="E607" s="35"/>
      <c r="F607" s="21"/>
      <c r="G607" s="22" t="e">
        <f>VLOOKUP(E607,'Court List'!$A:$C,2,0)</f>
        <v>#N/A</v>
      </c>
      <c r="H607" s="33"/>
      <c r="I607" s="33"/>
      <c r="J607" s="44" t="e">
        <f t="shared" si="27"/>
        <v>#N/A</v>
      </c>
      <c r="K607" s="36"/>
      <c r="L607" s="18">
        <f>SUM('Shuttle Count - Supreme (Nov 20'!C607:D607)</f>
        <v>0</v>
      </c>
      <c r="M607" s="18" t="e">
        <f>VLOOKUP(K607,'Shuttle Purchase'!A:C,3,0)</f>
        <v>#N/A</v>
      </c>
      <c r="N607" s="44" t="e">
        <f t="shared" si="37"/>
        <v>#N/A</v>
      </c>
      <c r="O607" s="24" t="e">
        <f>VLOOKUP(E607,'Court List'!$A:$C,3,0)</f>
        <v>#N/A</v>
      </c>
      <c r="P607" s="18">
        <f>COUNTIF('Pub List'!$C607:$T607,"&lt;&gt;")</f>
        <v>0</v>
      </c>
      <c r="Q607" s="20" t="e">
        <f t="shared" si="28"/>
        <v>#N/A</v>
      </c>
      <c r="R607" s="36"/>
      <c r="S607" s="18">
        <f>COUNTIF('Member List'!$C607:$J607,"&lt;&gt;")</f>
        <v>0</v>
      </c>
      <c r="T607" s="35"/>
      <c r="U607" s="24">
        <f t="shared" si="29"/>
        <v>0</v>
      </c>
      <c r="V607" s="18" t="e">
        <f t="shared" si="30"/>
        <v>#N/A</v>
      </c>
      <c r="W607" s="45" t="e">
        <f t="shared" si="31"/>
        <v>#N/A</v>
      </c>
      <c r="X607" s="20" t="e">
        <f t="shared" si="32"/>
        <v>#N/A</v>
      </c>
      <c r="Y607" s="46" t="e">
        <f t="shared" si="35"/>
        <v>#N/A</v>
      </c>
      <c r="Z607" s="39" t="e">
        <f t="shared" si="33"/>
        <v>#N/A</v>
      </c>
      <c r="AA607" s="39" t="e">
        <f t="shared" si="34"/>
        <v>#N/A</v>
      </c>
      <c r="AB607" s="39"/>
      <c r="AC607" s="48" t="e">
        <f t="shared" si="36"/>
        <v>#N/A</v>
      </c>
    </row>
    <row r="608" spans="1:29" ht="12.5" x14ac:dyDescent="0.25">
      <c r="A608" s="36"/>
      <c r="B608" s="33"/>
      <c r="C608" s="33"/>
      <c r="D608" s="33"/>
      <c r="E608" s="35"/>
      <c r="F608" s="21"/>
      <c r="G608" s="22" t="e">
        <f>VLOOKUP(E608,'Court List'!$A:$C,2,0)</f>
        <v>#N/A</v>
      </c>
      <c r="H608" s="33"/>
      <c r="I608" s="33"/>
      <c r="J608" s="44" t="e">
        <f t="shared" si="27"/>
        <v>#N/A</v>
      </c>
      <c r="K608" s="36"/>
      <c r="L608" s="18">
        <f>SUM('Shuttle Count - Supreme (Nov 20'!C608:D608)</f>
        <v>0</v>
      </c>
      <c r="M608" s="18" t="e">
        <f>VLOOKUP(K608,'Shuttle Purchase'!A:C,3,0)</f>
        <v>#N/A</v>
      </c>
      <c r="N608" s="44" t="e">
        <f t="shared" si="37"/>
        <v>#N/A</v>
      </c>
      <c r="O608" s="24" t="e">
        <f>VLOOKUP(E608,'Court List'!$A:$C,3,0)</f>
        <v>#N/A</v>
      </c>
      <c r="P608" s="18">
        <f>COUNTIF('Pub List'!$C608:$T608,"&lt;&gt;")</f>
        <v>0</v>
      </c>
      <c r="Q608" s="20" t="e">
        <f t="shared" si="28"/>
        <v>#N/A</v>
      </c>
      <c r="R608" s="36"/>
      <c r="S608" s="18">
        <f>COUNTIF('Member List'!$C608:$J608,"&lt;&gt;")</f>
        <v>0</v>
      </c>
      <c r="T608" s="35"/>
      <c r="U608" s="24">
        <f t="shared" si="29"/>
        <v>0</v>
      </c>
      <c r="V608" s="18" t="e">
        <f t="shared" si="30"/>
        <v>#N/A</v>
      </c>
      <c r="W608" s="45" t="e">
        <f t="shared" si="31"/>
        <v>#N/A</v>
      </c>
      <c r="X608" s="20" t="e">
        <f t="shared" si="32"/>
        <v>#N/A</v>
      </c>
      <c r="Y608" s="46" t="e">
        <f t="shared" si="35"/>
        <v>#N/A</v>
      </c>
      <c r="Z608" s="39" t="e">
        <f t="shared" si="33"/>
        <v>#N/A</v>
      </c>
      <c r="AA608" s="39" t="e">
        <f t="shared" si="34"/>
        <v>#N/A</v>
      </c>
      <c r="AB608" s="39"/>
      <c r="AC608" s="48" t="e">
        <f t="shared" si="36"/>
        <v>#N/A</v>
      </c>
    </row>
    <row r="609" spans="1:29" ht="12.5" x14ac:dyDescent="0.25">
      <c r="A609" s="36"/>
      <c r="B609" s="33"/>
      <c r="C609" s="33"/>
      <c r="D609" s="33"/>
      <c r="E609" s="35"/>
      <c r="F609" s="21"/>
      <c r="G609" s="22" t="e">
        <f>VLOOKUP(E609,'Court List'!$A:$C,2,0)</f>
        <v>#N/A</v>
      </c>
      <c r="H609" s="33"/>
      <c r="I609" s="33"/>
      <c r="J609" s="44" t="e">
        <f t="shared" si="27"/>
        <v>#N/A</v>
      </c>
      <c r="K609" s="36"/>
      <c r="L609" s="18">
        <f>SUM('Shuttle Count - Supreme (Nov 20'!C609:D609)</f>
        <v>0</v>
      </c>
      <c r="M609" s="18" t="e">
        <f>VLOOKUP(K609,'Shuttle Purchase'!A:C,3,0)</f>
        <v>#N/A</v>
      </c>
      <c r="N609" s="44" t="e">
        <f t="shared" si="37"/>
        <v>#N/A</v>
      </c>
      <c r="O609" s="24" t="e">
        <f>VLOOKUP(E609,'Court List'!$A:$C,3,0)</f>
        <v>#N/A</v>
      </c>
      <c r="P609" s="18">
        <f>COUNTIF('Pub List'!$C609:$T609,"&lt;&gt;")</f>
        <v>0</v>
      </c>
      <c r="Q609" s="20" t="e">
        <f t="shared" si="28"/>
        <v>#N/A</v>
      </c>
      <c r="R609" s="36"/>
      <c r="S609" s="18">
        <f>COUNTIF('Member List'!$C609:$J609,"&lt;&gt;")</f>
        <v>0</v>
      </c>
      <c r="T609" s="35"/>
      <c r="U609" s="24">
        <f t="shared" si="29"/>
        <v>0</v>
      </c>
      <c r="V609" s="18" t="e">
        <f t="shared" si="30"/>
        <v>#N/A</v>
      </c>
      <c r="W609" s="45" t="e">
        <f t="shared" si="31"/>
        <v>#N/A</v>
      </c>
      <c r="X609" s="20" t="e">
        <f t="shared" si="32"/>
        <v>#N/A</v>
      </c>
      <c r="Y609" s="46" t="e">
        <f t="shared" si="35"/>
        <v>#N/A</v>
      </c>
      <c r="Z609" s="39" t="e">
        <f t="shared" si="33"/>
        <v>#N/A</v>
      </c>
      <c r="AA609" s="39" t="e">
        <f t="shared" si="34"/>
        <v>#N/A</v>
      </c>
      <c r="AB609" s="39"/>
      <c r="AC609" s="48" t="e">
        <f t="shared" si="36"/>
        <v>#N/A</v>
      </c>
    </row>
    <row r="610" spans="1:29" ht="12.5" x14ac:dyDescent="0.25">
      <c r="A610" s="36"/>
      <c r="B610" s="33"/>
      <c r="C610" s="33"/>
      <c r="D610" s="33"/>
      <c r="E610" s="35"/>
      <c r="F610" s="21"/>
      <c r="G610" s="22" t="e">
        <f>VLOOKUP(E610,'Court List'!$A:$C,2,0)</f>
        <v>#N/A</v>
      </c>
      <c r="H610" s="33"/>
      <c r="I610" s="33"/>
      <c r="J610" s="44" t="e">
        <f t="shared" si="27"/>
        <v>#N/A</v>
      </c>
      <c r="K610" s="36"/>
      <c r="L610" s="18">
        <f>SUM('Shuttle Count - Supreme (Nov 20'!C610:D610)</f>
        <v>0</v>
      </c>
      <c r="M610" s="18" t="e">
        <f>VLOOKUP(K610,'Shuttle Purchase'!A:C,3,0)</f>
        <v>#N/A</v>
      </c>
      <c r="N610" s="44" t="e">
        <f t="shared" si="37"/>
        <v>#N/A</v>
      </c>
      <c r="O610" s="24" t="e">
        <f>VLOOKUP(E610,'Court List'!$A:$C,3,0)</f>
        <v>#N/A</v>
      </c>
      <c r="P610" s="18">
        <f>COUNTIF('Pub List'!$C610:$T610,"&lt;&gt;")</f>
        <v>0</v>
      </c>
      <c r="Q610" s="20" t="e">
        <f t="shared" si="28"/>
        <v>#N/A</v>
      </c>
      <c r="R610" s="36"/>
      <c r="S610" s="18">
        <f>COUNTIF('Member List'!$C610:$J610,"&lt;&gt;")</f>
        <v>0</v>
      </c>
      <c r="T610" s="35"/>
      <c r="U610" s="24">
        <f t="shared" si="29"/>
        <v>0</v>
      </c>
      <c r="V610" s="18" t="e">
        <f t="shared" si="30"/>
        <v>#N/A</v>
      </c>
      <c r="W610" s="45" t="e">
        <f t="shared" si="31"/>
        <v>#N/A</v>
      </c>
      <c r="X610" s="20" t="e">
        <f t="shared" si="32"/>
        <v>#N/A</v>
      </c>
      <c r="Y610" s="46" t="e">
        <f t="shared" si="35"/>
        <v>#N/A</v>
      </c>
      <c r="Z610" s="39" t="e">
        <f t="shared" si="33"/>
        <v>#N/A</v>
      </c>
      <c r="AA610" s="39" t="e">
        <f t="shared" si="34"/>
        <v>#N/A</v>
      </c>
      <c r="AB610" s="39"/>
      <c r="AC610" s="48" t="e">
        <f t="shared" si="36"/>
        <v>#N/A</v>
      </c>
    </row>
    <row r="611" spans="1:29" ht="12.5" x14ac:dyDescent="0.25">
      <c r="A611" s="36"/>
      <c r="B611" s="33"/>
      <c r="C611" s="33"/>
      <c r="D611" s="33"/>
      <c r="E611" s="35"/>
      <c r="F611" s="21"/>
      <c r="G611" s="22" t="e">
        <f>VLOOKUP(E611,'Court List'!$A:$C,2,0)</f>
        <v>#N/A</v>
      </c>
      <c r="H611" s="33"/>
      <c r="I611" s="33"/>
      <c r="J611" s="44" t="e">
        <f t="shared" si="27"/>
        <v>#N/A</v>
      </c>
      <c r="K611" s="36"/>
      <c r="L611" s="18">
        <f>SUM('Shuttle Count - Supreme (Nov 20'!C611:D611)</f>
        <v>0</v>
      </c>
      <c r="M611" s="18" t="e">
        <f>VLOOKUP(K611,'Shuttle Purchase'!A:C,3,0)</f>
        <v>#N/A</v>
      </c>
      <c r="N611" s="44" t="e">
        <f t="shared" si="37"/>
        <v>#N/A</v>
      </c>
      <c r="O611" s="24" t="e">
        <f>VLOOKUP(E611,'Court List'!$A:$C,3,0)</f>
        <v>#N/A</v>
      </c>
      <c r="P611" s="18">
        <f>COUNTIF('Pub List'!$C611:$T611,"&lt;&gt;")</f>
        <v>0</v>
      </c>
      <c r="Q611" s="20" t="e">
        <f t="shared" si="28"/>
        <v>#N/A</v>
      </c>
      <c r="R611" s="36"/>
      <c r="S611" s="18">
        <f>COUNTIF('Member List'!$C611:$J611,"&lt;&gt;")</f>
        <v>0</v>
      </c>
      <c r="T611" s="35"/>
      <c r="U611" s="24">
        <f t="shared" si="29"/>
        <v>0</v>
      </c>
      <c r="V611" s="18" t="e">
        <f t="shared" si="30"/>
        <v>#N/A</v>
      </c>
      <c r="W611" s="45" t="e">
        <f t="shared" si="31"/>
        <v>#N/A</v>
      </c>
      <c r="X611" s="20" t="e">
        <f t="shared" si="32"/>
        <v>#N/A</v>
      </c>
      <c r="Y611" s="46" t="e">
        <f t="shared" si="35"/>
        <v>#N/A</v>
      </c>
      <c r="Z611" s="39" t="e">
        <f t="shared" si="33"/>
        <v>#N/A</v>
      </c>
      <c r="AA611" s="39" t="e">
        <f t="shared" si="34"/>
        <v>#N/A</v>
      </c>
      <c r="AB611" s="39"/>
      <c r="AC611" s="48" t="e">
        <f t="shared" si="36"/>
        <v>#N/A</v>
      </c>
    </row>
    <row r="612" spans="1:29" ht="12.5" x14ac:dyDescent="0.25">
      <c r="A612" s="36"/>
      <c r="B612" s="33"/>
      <c r="C612" s="33"/>
      <c r="D612" s="33"/>
      <c r="E612" s="35"/>
      <c r="F612" s="21"/>
      <c r="G612" s="22" t="e">
        <f>VLOOKUP(E612,'Court List'!$A:$C,2,0)</f>
        <v>#N/A</v>
      </c>
      <c r="H612" s="33"/>
      <c r="I612" s="33"/>
      <c r="J612" s="44" t="e">
        <f t="shared" si="27"/>
        <v>#N/A</v>
      </c>
      <c r="K612" s="36"/>
      <c r="L612" s="18">
        <f>SUM('Shuttle Count - Supreme (Nov 20'!C612:D612)</f>
        <v>0</v>
      </c>
      <c r="M612" s="18" t="e">
        <f>VLOOKUP(K612,'Shuttle Purchase'!A:C,3,0)</f>
        <v>#N/A</v>
      </c>
      <c r="N612" s="44" t="e">
        <f t="shared" si="37"/>
        <v>#N/A</v>
      </c>
      <c r="O612" s="24" t="e">
        <f>VLOOKUP(E612,'Court List'!$A:$C,3,0)</f>
        <v>#N/A</v>
      </c>
      <c r="P612" s="18">
        <f>COUNTIF('Pub List'!$C612:$T612,"&lt;&gt;")</f>
        <v>0</v>
      </c>
      <c r="Q612" s="20" t="e">
        <f t="shared" si="28"/>
        <v>#N/A</v>
      </c>
      <c r="R612" s="36"/>
      <c r="S612" s="18">
        <f>COUNTIF('Member List'!$C612:$J612,"&lt;&gt;")</f>
        <v>0</v>
      </c>
      <c r="T612" s="35"/>
      <c r="U612" s="24">
        <f t="shared" si="29"/>
        <v>0</v>
      </c>
      <c r="V612" s="18" t="e">
        <f t="shared" si="30"/>
        <v>#N/A</v>
      </c>
      <c r="W612" s="45" t="e">
        <f t="shared" si="31"/>
        <v>#N/A</v>
      </c>
      <c r="X612" s="20" t="e">
        <f t="shared" si="32"/>
        <v>#N/A</v>
      </c>
      <c r="Y612" s="46" t="e">
        <f t="shared" si="35"/>
        <v>#N/A</v>
      </c>
      <c r="Z612" s="39" t="e">
        <f t="shared" si="33"/>
        <v>#N/A</v>
      </c>
      <c r="AA612" s="39" t="e">
        <f t="shared" si="34"/>
        <v>#N/A</v>
      </c>
      <c r="AB612" s="39"/>
      <c r="AC612" s="48" t="e">
        <f t="shared" si="36"/>
        <v>#N/A</v>
      </c>
    </row>
    <row r="613" spans="1:29" ht="12.5" x14ac:dyDescent="0.25">
      <c r="A613" s="36"/>
      <c r="B613" s="33"/>
      <c r="C613" s="33"/>
      <c r="D613" s="33"/>
      <c r="E613" s="35"/>
      <c r="F613" s="21"/>
      <c r="G613" s="22" t="e">
        <f>VLOOKUP(E613,'Court List'!$A:$C,2,0)</f>
        <v>#N/A</v>
      </c>
      <c r="H613" s="33"/>
      <c r="I613" s="33"/>
      <c r="J613" s="44" t="e">
        <f t="shared" si="27"/>
        <v>#N/A</v>
      </c>
      <c r="K613" s="36"/>
      <c r="L613" s="18">
        <f>SUM('Shuttle Count - Supreme (Nov 20'!C613:D613)</f>
        <v>0</v>
      </c>
      <c r="M613" s="18" t="e">
        <f>VLOOKUP(K613,'Shuttle Purchase'!A:C,3,0)</f>
        <v>#N/A</v>
      </c>
      <c r="N613" s="44" t="e">
        <f t="shared" si="37"/>
        <v>#N/A</v>
      </c>
      <c r="O613" s="24" t="e">
        <f>VLOOKUP(E613,'Court List'!$A:$C,3,0)</f>
        <v>#N/A</v>
      </c>
      <c r="P613" s="18">
        <f>COUNTIF('Pub List'!$C613:$T613,"&lt;&gt;")</f>
        <v>0</v>
      </c>
      <c r="Q613" s="20" t="e">
        <f t="shared" si="28"/>
        <v>#N/A</v>
      </c>
      <c r="R613" s="36"/>
      <c r="S613" s="18">
        <f>COUNTIF('Member List'!$C613:$J613,"&lt;&gt;")</f>
        <v>0</v>
      </c>
      <c r="T613" s="35"/>
      <c r="U613" s="24">
        <f t="shared" si="29"/>
        <v>0</v>
      </c>
      <c r="V613" s="18" t="e">
        <f t="shared" si="30"/>
        <v>#N/A</v>
      </c>
      <c r="W613" s="45" t="e">
        <f t="shared" si="31"/>
        <v>#N/A</v>
      </c>
      <c r="X613" s="20" t="e">
        <f t="shared" si="32"/>
        <v>#N/A</v>
      </c>
      <c r="Y613" s="46" t="e">
        <f t="shared" si="35"/>
        <v>#N/A</v>
      </c>
      <c r="Z613" s="39" t="e">
        <f t="shared" si="33"/>
        <v>#N/A</v>
      </c>
      <c r="AA613" s="39" t="e">
        <f t="shared" si="34"/>
        <v>#N/A</v>
      </c>
      <c r="AB613" s="39"/>
      <c r="AC613" s="48" t="e">
        <f t="shared" si="36"/>
        <v>#N/A</v>
      </c>
    </row>
    <row r="614" spans="1:29" ht="12.5" x14ac:dyDescent="0.25">
      <c r="A614" s="36"/>
      <c r="B614" s="33"/>
      <c r="C614" s="33"/>
      <c r="D614" s="33"/>
      <c r="E614" s="35"/>
      <c r="F614" s="21"/>
      <c r="G614" s="22" t="e">
        <f>VLOOKUP(E614,'Court List'!$A:$C,2,0)</f>
        <v>#N/A</v>
      </c>
      <c r="H614" s="33"/>
      <c r="I614" s="33"/>
      <c r="J614" s="44" t="e">
        <f t="shared" si="27"/>
        <v>#N/A</v>
      </c>
      <c r="K614" s="36"/>
      <c r="L614" s="18">
        <f>SUM('Shuttle Count - Supreme (Nov 20'!C614:D614)</f>
        <v>0</v>
      </c>
      <c r="M614" s="18" t="e">
        <f>VLOOKUP(K614,'Shuttle Purchase'!A:C,3,0)</f>
        <v>#N/A</v>
      </c>
      <c r="N614" s="44" t="e">
        <f t="shared" si="37"/>
        <v>#N/A</v>
      </c>
      <c r="O614" s="24" t="e">
        <f>VLOOKUP(E614,'Court List'!$A:$C,3,0)</f>
        <v>#N/A</v>
      </c>
      <c r="P614" s="18">
        <f>COUNTIF('Pub List'!$C614:$T614,"&lt;&gt;")</f>
        <v>0</v>
      </c>
      <c r="Q614" s="20" t="e">
        <f t="shared" si="28"/>
        <v>#N/A</v>
      </c>
      <c r="R614" s="36"/>
      <c r="S614" s="18">
        <f>COUNTIF('Member List'!$C614:$J614,"&lt;&gt;")</f>
        <v>0</v>
      </c>
      <c r="T614" s="35"/>
      <c r="U614" s="24">
        <f t="shared" si="29"/>
        <v>0</v>
      </c>
      <c r="V614" s="18" t="e">
        <f t="shared" si="30"/>
        <v>#N/A</v>
      </c>
      <c r="W614" s="45" t="e">
        <f t="shared" si="31"/>
        <v>#N/A</v>
      </c>
      <c r="X614" s="20" t="e">
        <f t="shared" si="32"/>
        <v>#N/A</v>
      </c>
      <c r="Y614" s="46" t="e">
        <f t="shared" si="35"/>
        <v>#N/A</v>
      </c>
      <c r="Z614" s="39" t="e">
        <f t="shared" si="33"/>
        <v>#N/A</v>
      </c>
      <c r="AA614" s="39" t="e">
        <f t="shared" si="34"/>
        <v>#N/A</v>
      </c>
      <c r="AB614" s="39"/>
      <c r="AC614" s="48" t="e">
        <f t="shared" si="36"/>
        <v>#N/A</v>
      </c>
    </row>
    <row r="615" spans="1:29" ht="12.5" x14ac:dyDescent="0.25">
      <c r="A615" s="36"/>
      <c r="B615" s="33"/>
      <c r="C615" s="33"/>
      <c r="D615" s="33"/>
      <c r="E615" s="35"/>
      <c r="F615" s="21"/>
      <c r="G615" s="22" t="e">
        <f>VLOOKUP(E615,'Court List'!$A:$C,2,0)</f>
        <v>#N/A</v>
      </c>
      <c r="H615" s="33"/>
      <c r="I615" s="33"/>
      <c r="J615" s="44" t="e">
        <f t="shared" si="27"/>
        <v>#N/A</v>
      </c>
      <c r="K615" s="36"/>
      <c r="L615" s="18">
        <f>SUM('Shuttle Count - Supreme (Nov 20'!C615:D615)</f>
        <v>0</v>
      </c>
      <c r="M615" s="18" t="e">
        <f>VLOOKUP(K615,'Shuttle Purchase'!A:C,3,0)</f>
        <v>#N/A</v>
      </c>
      <c r="N615" s="44" t="e">
        <f t="shared" si="37"/>
        <v>#N/A</v>
      </c>
      <c r="O615" s="24" t="e">
        <f>VLOOKUP(E615,'Court List'!$A:$C,3,0)</f>
        <v>#N/A</v>
      </c>
      <c r="P615" s="18">
        <f>COUNTIF('Pub List'!$C615:$T615,"&lt;&gt;")</f>
        <v>0</v>
      </c>
      <c r="Q615" s="20" t="e">
        <f t="shared" si="28"/>
        <v>#N/A</v>
      </c>
      <c r="R615" s="36"/>
      <c r="S615" s="18">
        <f>COUNTIF('Member List'!$C615:$J615,"&lt;&gt;")</f>
        <v>0</v>
      </c>
      <c r="T615" s="35"/>
      <c r="U615" s="24">
        <f t="shared" si="29"/>
        <v>0</v>
      </c>
      <c r="V615" s="18" t="e">
        <f t="shared" si="30"/>
        <v>#N/A</v>
      </c>
      <c r="W615" s="45" t="e">
        <f t="shared" si="31"/>
        <v>#N/A</v>
      </c>
      <c r="X615" s="20" t="e">
        <f t="shared" si="32"/>
        <v>#N/A</v>
      </c>
      <c r="Y615" s="46" t="e">
        <f t="shared" si="35"/>
        <v>#N/A</v>
      </c>
      <c r="Z615" s="39" t="e">
        <f t="shared" si="33"/>
        <v>#N/A</v>
      </c>
      <c r="AA615" s="39" t="e">
        <f t="shared" si="34"/>
        <v>#N/A</v>
      </c>
      <c r="AB615" s="39"/>
      <c r="AC615" s="48" t="e">
        <f t="shared" si="36"/>
        <v>#N/A</v>
      </c>
    </row>
    <row r="616" spans="1:29" ht="12.5" x14ac:dyDescent="0.25">
      <c r="A616" s="36"/>
      <c r="B616" s="33"/>
      <c r="C616" s="33"/>
      <c r="D616" s="33"/>
      <c r="E616" s="35"/>
      <c r="F616" s="21"/>
      <c r="G616" s="22" t="e">
        <f>VLOOKUP(E616,'Court List'!$A:$C,2,0)</f>
        <v>#N/A</v>
      </c>
      <c r="H616" s="33"/>
      <c r="I616" s="33"/>
      <c r="J616" s="44" t="e">
        <f t="shared" si="27"/>
        <v>#N/A</v>
      </c>
      <c r="K616" s="36"/>
      <c r="L616" s="18">
        <f>SUM('Shuttle Count - Supreme (Nov 20'!C616:D616)</f>
        <v>0</v>
      </c>
      <c r="M616" s="18" t="e">
        <f>VLOOKUP(K616,'Shuttle Purchase'!A:C,3,0)</f>
        <v>#N/A</v>
      </c>
      <c r="N616" s="44" t="e">
        <f t="shared" si="37"/>
        <v>#N/A</v>
      </c>
      <c r="O616" s="24" t="e">
        <f>VLOOKUP(E616,'Court List'!$A:$C,3,0)</f>
        <v>#N/A</v>
      </c>
      <c r="P616" s="18">
        <f>COUNTIF('Pub List'!$C616:$T616,"&lt;&gt;")</f>
        <v>0</v>
      </c>
      <c r="Q616" s="20" t="e">
        <f t="shared" si="28"/>
        <v>#N/A</v>
      </c>
      <c r="R616" s="36"/>
      <c r="S616" s="18">
        <f>COUNTIF('Member List'!$C616:$J616,"&lt;&gt;")</f>
        <v>0</v>
      </c>
      <c r="T616" s="35"/>
      <c r="U616" s="24">
        <f t="shared" si="29"/>
        <v>0</v>
      </c>
      <c r="V616" s="18" t="e">
        <f t="shared" si="30"/>
        <v>#N/A</v>
      </c>
      <c r="W616" s="45" t="e">
        <f t="shared" si="31"/>
        <v>#N/A</v>
      </c>
      <c r="X616" s="20" t="e">
        <f t="shared" si="32"/>
        <v>#N/A</v>
      </c>
      <c r="Y616" s="46" t="e">
        <f t="shared" si="35"/>
        <v>#N/A</v>
      </c>
      <c r="Z616" s="39" t="e">
        <f t="shared" si="33"/>
        <v>#N/A</v>
      </c>
      <c r="AA616" s="39" t="e">
        <f t="shared" si="34"/>
        <v>#N/A</v>
      </c>
      <c r="AB616" s="39"/>
      <c r="AC616" s="48" t="e">
        <f t="shared" si="36"/>
        <v>#N/A</v>
      </c>
    </row>
    <row r="617" spans="1:29" ht="12.5" x14ac:dyDescent="0.25">
      <c r="A617" s="36"/>
      <c r="B617" s="33"/>
      <c r="C617" s="33"/>
      <c r="D617" s="33"/>
      <c r="E617" s="35"/>
      <c r="F617" s="21"/>
      <c r="G617" s="22" t="e">
        <f>VLOOKUP(E617,'Court List'!$A:$C,2,0)</f>
        <v>#N/A</v>
      </c>
      <c r="H617" s="33"/>
      <c r="I617" s="33"/>
      <c r="J617" s="44" t="e">
        <f t="shared" si="27"/>
        <v>#N/A</v>
      </c>
      <c r="K617" s="36"/>
      <c r="L617" s="18">
        <f>SUM('Shuttle Count - Supreme (Nov 20'!C617:D617)</f>
        <v>0</v>
      </c>
      <c r="M617" s="18" t="e">
        <f>VLOOKUP(K617,'Shuttle Purchase'!A:C,3,0)</f>
        <v>#N/A</v>
      </c>
      <c r="N617" s="44" t="e">
        <f t="shared" si="37"/>
        <v>#N/A</v>
      </c>
      <c r="O617" s="24" t="e">
        <f>VLOOKUP(E617,'Court List'!$A:$C,3,0)</f>
        <v>#N/A</v>
      </c>
      <c r="P617" s="18">
        <f>COUNTIF('Pub List'!$C617:$T617,"&lt;&gt;")</f>
        <v>0</v>
      </c>
      <c r="Q617" s="20" t="e">
        <f t="shared" si="28"/>
        <v>#N/A</v>
      </c>
      <c r="R617" s="36"/>
      <c r="S617" s="18">
        <f>COUNTIF('Member List'!$C617:$J617,"&lt;&gt;")</f>
        <v>0</v>
      </c>
      <c r="T617" s="35"/>
      <c r="U617" s="24">
        <f t="shared" si="29"/>
        <v>0</v>
      </c>
      <c r="V617" s="18" t="e">
        <f t="shared" si="30"/>
        <v>#N/A</v>
      </c>
      <c r="W617" s="45" t="e">
        <f t="shared" si="31"/>
        <v>#N/A</v>
      </c>
      <c r="X617" s="20" t="e">
        <f t="shared" si="32"/>
        <v>#N/A</v>
      </c>
      <c r="Y617" s="46" t="e">
        <f t="shared" si="35"/>
        <v>#N/A</v>
      </c>
      <c r="Z617" s="39" t="e">
        <f t="shared" si="33"/>
        <v>#N/A</v>
      </c>
      <c r="AA617" s="39" t="e">
        <f t="shared" si="34"/>
        <v>#N/A</v>
      </c>
      <c r="AB617" s="39"/>
      <c r="AC617" s="48" t="e">
        <f t="shared" si="36"/>
        <v>#N/A</v>
      </c>
    </row>
    <row r="618" spans="1:29" ht="12.5" x14ac:dyDescent="0.25">
      <c r="A618" s="36"/>
      <c r="B618" s="33"/>
      <c r="C618" s="33"/>
      <c r="D618" s="33"/>
      <c r="E618" s="35"/>
      <c r="F618" s="21"/>
      <c r="G618" s="22" t="e">
        <f>VLOOKUP(E618,'Court List'!$A:$C,2,0)</f>
        <v>#N/A</v>
      </c>
      <c r="H618" s="33"/>
      <c r="I618" s="33"/>
      <c r="J618" s="44" t="e">
        <f t="shared" si="27"/>
        <v>#N/A</v>
      </c>
      <c r="K618" s="36"/>
      <c r="L618" s="18">
        <f>SUM('Shuttle Count - Supreme (Nov 20'!C618:D618)</f>
        <v>0</v>
      </c>
      <c r="M618" s="18" t="e">
        <f>VLOOKUP(K618,'Shuttle Purchase'!A:C,3,0)</f>
        <v>#N/A</v>
      </c>
      <c r="N618" s="44" t="e">
        <f t="shared" si="37"/>
        <v>#N/A</v>
      </c>
      <c r="O618" s="24" t="e">
        <f>VLOOKUP(E618,'Court List'!$A:$C,3,0)</f>
        <v>#N/A</v>
      </c>
      <c r="P618" s="18">
        <f>COUNTIF('Pub List'!$C618:$T618,"&lt;&gt;")</f>
        <v>0</v>
      </c>
      <c r="Q618" s="20" t="e">
        <f t="shared" si="28"/>
        <v>#N/A</v>
      </c>
      <c r="R618" s="36"/>
      <c r="S618" s="18">
        <f>COUNTIF('Member List'!$C618:$J618,"&lt;&gt;")</f>
        <v>0</v>
      </c>
      <c r="T618" s="35"/>
      <c r="U618" s="24">
        <f t="shared" si="29"/>
        <v>0</v>
      </c>
      <c r="V618" s="18" t="e">
        <f t="shared" si="30"/>
        <v>#N/A</v>
      </c>
      <c r="W618" s="45" t="e">
        <f t="shared" si="31"/>
        <v>#N/A</v>
      </c>
      <c r="X618" s="20" t="e">
        <f t="shared" si="32"/>
        <v>#N/A</v>
      </c>
      <c r="Y618" s="46" t="e">
        <f t="shared" si="35"/>
        <v>#N/A</v>
      </c>
      <c r="Z618" s="39" t="e">
        <f t="shared" si="33"/>
        <v>#N/A</v>
      </c>
      <c r="AA618" s="39" t="e">
        <f t="shared" si="34"/>
        <v>#N/A</v>
      </c>
      <c r="AB618" s="39"/>
      <c r="AC618" s="48" t="e">
        <f t="shared" si="36"/>
        <v>#N/A</v>
      </c>
    </row>
    <row r="619" spans="1:29" ht="12.5" x14ac:dyDescent="0.25">
      <c r="A619" s="36"/>
      <c r="B619" s="33"/>
      <c r="C619" s="33"/>
      <c r="D619" s="33"/>
      <c r="E619" s="35"/>
      <c r="F619" s="21"/>
      <c r="G619" s="22" t="e">
        <f>VLOOKUP(E619,'Court List'!$A:$C,2,0)</f>
        <v>#N/A</v>
      </c>
      <c r="H619" s="33"/>
      <c r="I619" s="33"/>
      <c r="J619" s="44" t="e">
        <f t="shared" si="27"/>
        <v>#N/A</v>
      </c>
      <c r="K619" s="36"/>
      <c r="L619" s="18">
        <f>SUM('Shuttle Count - Supreme (Nov 20'!C619:D619)</f>
        <v>0</v>
      </c>
      <c r="M619" s="18" t="e">
        <f>VLOOKUP(K619,'Shuttle Purchase'!A:C,3,0)</f>
        <v>#N/A</v>
      </c>
      <c r="N619" s="44" t="e">
        <f t="shared" si="37"/>
        <v>#N/A</v>
      </c>
      <c r="O619" s="24" t="e">
        <f>VLOOKUP(E619,'Court List'!$A:$C,3,0)</f>
        <v>#N/A</v>
      </c>
      <c r="P619" s="18">
        <f>COUNTIF('Pub List'!$C619:$T619,"&lt;&gt;")</f>
        <v>0</v>
      </c>
      <c r="Q619" s="20" t="e">
        <f t="shared" si="28"/>
        <v>#N/A</v>
      </c>
      <c r="R619" s="36"/>
      <c r="S619" s="18">
        <f>COUNTIF('Member List'!$C619:$J619,"&lt;&gt;")</f>
        <v>0</v>
      </c>
      <c r="T619" s="35"/>
      <c r="U619" s="24">
        <f t="shared" si="29"/>
        <v>0</v>
      </c>
      <c r="V619" s="18" t="e">
        <f t="shared" si="30"/>
        <v>#N/A</v>
      </c>
      <c r="W619" s="45" t="e">
        <f t="shared" si="31"/>
        <v>#N/A</v>
      </c>
      <c r="X619" s="20" t="e">
        <f t="shared" si="32"/>
        <v>#N/A</v>
      </c>
      <c r="Y619" s="46" t="e">
        <f t="shared" si="35"/>
        <v>#N/A</v>
      </c>
      <c r="Z619" s="39" t="e">
        <f t="shared" si="33"/>
        <v>#N/A</v>
      </c>
      <c r="AA619" s="39" t="e">
        <f t="shared" si="34"/>
        <v>#N/A</v>
      </c>
      <c r="AB619" s="39"/>
      <c r="AC619" s="48" t="e">
        <f t="shared" si="36"/>
        <v>#N/A</v>
      </c>
    </row>
    <row r="620" spans="1:29" ht="12.5" x14ac:dyDescent="0.25">
      <c r="A620" s="36"/>
      <c r="B620" s="33"/>
      <c r="C620" s="33"/>
      <c r="D620" s="33"/>
      <c r="E620" s="35"/>
      <c r="F620" s="21"/>
      <c r="G620" s="22" t="e">
        <f>VLOOKUP(E620,'Court List'!$A:$C,2,0)</f>
        <v>#N/A</v>
      </c>
      <c r="H620" s="33"/>
      <c r="I620" s="33"/>
      <c r="J620" s="44" t="e">
        <f t="shared" si="27"/>
        <v>#N/A</v>
      </c>
      <c r="K620" s="36"/>
      <c r="L620" s="18">
        <f>SUM('Shuttle Count - Supreme (Nov 20'!C620:D620)</f>
        <v>0</v>
      </c>
      <c r="M620" s="18" t="e">
        <f>VLOOKUP(K620,'Shuttle Purchase'!A:C,3,0)</f>
        <v>#N/A</v>
      </c>
      <c r="N620" s="44" t="e">
        <f t="shared" si="37"/>
        <v>#N/A</v>
      </c>
      <c r="O620" s="24" t="e">
        <f>VLOOKUP(E620,'Court List'!$A:$C,3,0)</f>
        <v>#N/A</v>
      </c>
      <c r="P620" s="18">
        <f>COUNTIF('Pub List'!$C620:$T620,"&lt;&gt;")</f>
        <v>0</v>
      </c>
      <c r="Q620" s="20" t="e">
        <f t="shared" si="28"/>
        <v>#N/A</v>
      </c>
      <c r="R620" s="36"/>
      <c r="S620" s="18">
        <f>COUNTIF('Member List'!$C620:$J620,"&lt;&gt;")</f>
        <v>0</v>
      </c>
      <c r="T620" s="35"/>
      <c r="U620" s="24">
        <f t="shared" si="29"/>
        <v>0</v>
      </c>
      <c r="V620" s="18" t="e">
        <f t="shared" si="30"/>
        <v>#N/A</v>
      </c>
      <c r="W620" s="45" t="e">
        <f t="shared" si="31"/>
        <v>#N/A</v>
      </c>
      <c r="X620" s="20" t="e">
        <f t="shared" si="32"/>
        <v>#N/A</v>
      </c>
      <c r="Y620" s="46" t="e">
        <f t="shared" si="35"/>
        <v>#N/A</v>
      </c>
      <c r="Z620" s="39" t="e">
        <f t="shared" si="33"/>
        <v>#N/A</v>
      </c>
      <c r="AA620" s="39" t="e">
        <f t="shared" si="34"/>
        <v>#N/A</v>
      </c>
      <c r="AB620" s="39"/>
      <c r="AC620" s="48" t="e">
        <f t="shared" si="36"/>
        <v>#N/A</v>
      </c>
    </row>
    <row r="621" spans="1:29" ht="12.5" x14ac:dyDescent="0.25">
      <c r="A621" s="36"/>
      <c r="B621" s="33"/>
      <c r="C621" s="33"/>
      <c r="D621" s="33"/>
      <c r="E621" s="35"/>
      <c r="F621" s="21"/>
      <c r="G621" s="22" t="e">
        <f>VLOOKUP(E621,'Court List'!$A:$C,2,0)</f>
        <v>#N/A</v>
      </c>
      <c r="H621" s="33"/>
      <c r="I621" s="33"/>
      <c r="J621" s="44" t="e">
        <f t="shared" si="27"/>
        <v>#N/A</v>
      </c>
      <c r="K621" s="36"/>
      <c r="L621" s="18">
        <f>SUM('Shuttle Count - Supreme (Nov 20'!C621:D621)</f>
        <v>0</v>
      </c>
      <c r="M621" s="18" t="e">
        <f>VLOOKUP(K621,'Shuttle Purchase'!A:C,3,0)</f>
        <v>#N/A</v>
      </c>
      <c r="N621" s="44" t="e">
        <f t="shared" si="37"/>
        <v>#N/A</v>
      </c>
      <c r="O621" s="24" t="e">
        <f>VLOOKUP(E621,'Court List'!$A:$C,3,0)</f>
        <v>#N/A</v>
      </c>
      <c r="P621" s="18">
        <f>COUNTIF('Pub List'!$C621:$T621,"&lt;&gt;")</f>
        <v>0</v>
      </c>
      <c r="Q621" s="20" t="e">
        <f t="shared" si="28"/>
        <v>#N/A</v>
      </c>
      <c r="R621" s="36"/>
      <c r="S621" s="18">
        <f>COUNTIF('Member List'!$C621:$J621,"&lt;&gt;")</f>
        <v>0</v>
      </c>
      <c r="T621" s="35"/>
      <c r="U621" s="24">
        <f t="shared" si="29"/>
        <v>0</v>
      </c>
      <c r="V621" s="18" t="e">
        <f t="shared" si="30"/>
        <v>#N/A</v>
      </c>
      <c r="W621" s="45" t="e">
        <f t="shared" si="31"/>
        <v>#N/A</v>
      </c>
      <c r="X621" s="20" t="e">
        <f t="shared" si="32"/>
        <v>#N/A</v>
      </c>
      <c r="Y621" s="46" t="e">
        <f t="shared" si="35"/>
        <v>#N/A</v>
      </c>
      <c r="Z621" s="39" t="e">
        <f t="shared" si="33"/>
        <v>#N/A</v>
      </c>
      <c r="AA621" s="39" t="e">
        <f t="shared" si="34"/>
        <v>#N/A</v>
      </c>
      <c r="AB621" s="39"/>
      <c r="AC621" s="48" t="e">
        <f t="shared" si="36"/>
        <v>#N/A</v>
      </c>
    </row>
    <row r="622" spans="1:29" ht="12.5" x14ac:dyDescent="0.25">
      <c r="A622" s="36"/>
      <c r="B622" s="33"/>
      <c r="C622" s="33"/>
      <c r="D622" s="33"/>
      <c r="E622" s="35"/>
      <c r="F622" s="21"/>
      <c r="G622" s="22" t="e">
        <f>VLOOKUP(E622,'Court List'!$A:$C,2,0)</f>
        <v>#N/A</v>
      </c>
      <c r="H622" s="33"/>
      <c r="I622" s="33"/>
      <c r="J622" s="44" t="e">
        <f t="shared" si="27"/>
        <v>#N/A</v>
      </c>
      <c r="K622" s="36"/>
      <c r="L622" s="18">
        <f>SUM('Shuttle Count - Supreme (Nov 20'!C622:D622)</f>
        <v>0</v>
      </c>
      <c r="M622" s="18" t="e">
        <f>VLOOKUP(K622,'Shuttle Purchase'!A:C,3,0)</f>
        <v>#N/A</v>
      </c>
      <c r="N622" s="44" t="e">
        <f t="shared" si="37"/>
        <v>#N/A</v>
      </c>
      <c r="O622" s="24" t="e">
        <f>VLOOKUP(E622,'Court List'!$A:$C,3,0)</f>
        <v>#N/A</v>
      </c>
      <c r="P622" s="18">
        <f>COUNTIF('Pub List'!$C622:$T622,"&lt;&gt;")</f>
        <v>0</v>
      </c>
      <c r="Q622" s="20" t="e">
        <f t="shared" si="28"/>
        <v>#N/A</v>
      </c>
      <c r="R622" s="36"/>
      <c r="S622" s="18">
        <f>COUNTIF('Member List'!$C622:$J622,"&lt;&gt;")</f>
        <v>0</v>
      </c>
      <c r="T622" s="35"/>
      <c r="U622" s="24">
        <f t="shared" si="29"/>
        <v>0</v>
      </c>
      <c r="V622" s="18" t="e">
        <f t="shared" si="30"/>
        <v>#N/A</v>
      </c>
      <c r="W622" s="45" t="e">
        <f t="shared" si="31"/>
        <v>#N/A</v>
      </c>
      <c r="X622" s="20" t="e">
        <f t="shared" si="32"/>
        <v>#N/A</v>
      </c>
      <c r="Y622" s="46" t="e">
        <f t="shared" si="35"/>
        <v>#N/A</v>
      </c>
      <c r="Z622" s="39" t="e">
        <f t="shared" si="33"/>
        <v>#N/A</v>
      </c>
      <c r="AA622" s="39" t="e">
        <f t="shared" si="34"/>
        <v>#N/A</v>
      </c>
      <c r="AB622" s="39"/>
      <c r="AC622" s="48" t="e">
        <f t="shared" si="36"/>
        <v>#N/A</v>
      </c>
    </row>
    <row r="623" spans="1:29" ht="12.5" x14ac:dyDescent="0.25">
      <c r="A623" s="36"/>
      <c r="B623" s="33"/>
      <c r="C623" s="33"/>
      <c r="D623" s="33"/>
      <c r="E623" s="35"/>
      <c r="F623" s="21"/>
      <c r="G623" s="22" t="e">
        <f>VLOOKUP(E623,'Court List'!$A:$C,2,0)</f>
        <v>#N/A</v>
      </c>
      <c r="H623" s="33"/>
      <c r="I623" s="33"/>
      <c r="J623" s="44" t="e">
        <f t="shared" si="27"/>
        <v>#N/A</v>
      </c>
      <c r="K623" s="36"/>
      <c r="L623" s="18">
        <f>SUM('Shuttle Count - Supreme (Nov 20'!C623:D623)</f>
        <v>0</v>
      </c>
      <c r="M623" s="18" t="e">
        <f>VLOOKUP(K623,'Shuttle Purchase'!A:C,3,0)</f>
        <v>#N/A</v>
      </c>
      <c r="N623" s="44" t="e">
        <f t="shared" si="37"/>
        <v>#N/A</v>
      </c>
      <c r="O623" s="24" t="e">
        <f>VLOOKUP(E623,'Court List'!$A:$C,3,0)</f>
        <v>#N/A</v>
      </c>
      <c r="P623" s="18">
        <f>COUNTIF('Pub List'!$C623:$T623,"&lt;&gt;")</f>
        <v>0</v>
      </c>
      <c r="Q623" s="20" t="e">
        <f t="shared" si="28"/>
        <v>#N/A</v>
      </c>
      <c r="R623" s="36"/>
      <c r="S623" s="18">
        <f>COUNTIF('Member List'!$C623:$J623,"&lt;&gt;")</f>
        <v>0</v>
      </c>
      <c r="T623" s="35"/>
      <c r="U623" s="24">
        <f t="shared" si="29"/>
        <v>0</v>
      </c>
      <c r="V623" s="18" t="e">
        <f t="shared" si="30"/>
        <v>#N/A</v>
      </c>
      <c r="W623" s="45" t="e">
        <f t="shared" si="31"/>
        <v>#N/A</v>
      </c>
      <c r="X623" s="20" t="e">
        <f t="shared" si="32"/>
        <v>#N/A</v>
      </c>
      <c r="Y623" s="46" t="e">
        <f t="shared" si="35"/>
        <v>#N/A</v>
      </c>
      <c r="Z623" s="39" t="e">
        <f t="shared" si="33"/>
        <v>#N/A</v>
      </c>
      <c r="AA623" s="39" t="e">
        <f t="shared" si="34"/>
        <v>#N/A</v>
      </c>
      <c r="AB623" s="39"/>
      <c r="AC623" s="48" t="e">
        <f t="shared" si="36"/>
        <v>#N/A</v>
      </c>
    </row>
    <row r="624" spans="1:29" ht="12.5" x14ac:dyDescent="0.25">
      <c r="A624" s="36"/>
      <c r="B624" s="33"/>
      <c r="C624" s="33"/>
      <c r="D624" s="33"/>
      <c r="E624" s="35"/>
      <c r="F624" s="21"/>
      <c r="G624" s="22" t="e">
        <f>VLOOKUP(E624,'Court List'!$A:$C,2,0)</f>
        <v>#N/A</v>
      </c>
      <c r="H624" s="33"/>
      <c r="I624" s="33"/>
      <c r="J624" s="44" t="e">
        <f t="shared" si="27"/>
        <v>#N/A</v>
      </c>
      <c r="K624" s="36"/>
      <c r="L624" s="18">
        <f>SUM('Shuttle Count - Supreme (Nov 20'!C624:D624)</f>
        <v>0</v>
      </c>
      <c r="M624" s="18" t="e">
        <f>VLOOKUP(K624,'Shuttle Purchase'!A:C,3,0)</f>
        <v>#N/A</v>
      </c>
      <c r="N624" s="44" t="e">
        <f t="shared" si="37"/>
        <v>#N/A</v>
      </c>
      <c r="O624" s="24" t="e">
        <f>VLOOKUP(E624,'Court List'!$A:$C,3,0)</f>
        <v>#N/A</v>
      </c>
      <c r="P624" s="18">
        <f>COUNTIF('Pub List'!$C624:$T624,"&lt;&gt;")</f>
        <v>0</v>
      </c>
      <c r="Q624" s="20" t="e">
        <f t="shared" si="28"/>
        <v>#N/A</v>
      </c>
      <c r="R624" s="36"/>
      <c r="S624" s="18">
        <f>COUNTIF('Member List'!$C624:$J624,"&lt;&gt;")</f>
        <v>0</v>
      </c>
      <c r="T624" s="35"/>
      <c r="U624" s="24">
        <f t="shared" si="29"/>
        <v>0</v>
      </c>
      <c r="V624" s="18" t="e">
        <f t="shared" si="30"/>
        <v>#N/A</v>
      </c>
      <c r="W624" s="45" t="e">
        <f t="shared" si="31"/>
        <v>#N/A</v>
      </c>
      <c r="X624" s="20" t="e">
        <f t="shared" si="32"/>
        <v>#N/A</v>
      </c>
      <c r="Y624" s="46" t="e">
        <f t="shared" si="35"/>
        <v>#N/A</v>
      </c>
      <c r="Z624" s="39" t="e">
        <f t="shared" si="33"/>
        <v>#N/A</v>
      </c>
      <c r="AA624" s="39" t="e">
        <f t="shared" si="34"/>
        <v>#N/A</v>
      </c>
      <c r="AB624" s="39"/>
      <c r="AC624" s="48" t="e">
        <f t="shared" si="36"/>
        <v>#N/A</v>
      </c>
    </row>
    <row r="625" spans="1:29" ht="12.5" x14ac:dyDescent="0.25">
      <c r="A625" s="36"/>
      <c r="B625" s="33"/>
      <c r="C625" s="33"/>
      <c r="D625" s="33"/>
      <c r="E625" s="35"/>
      <c r="F625" s="21"/>
      <c r="G625" s="22" t="e">
        <f>VLOOKUP(E625,'Court List'!$A:$C,2,0)</f>
        <v>#N/A</v>
      </c>
      <c r="H625" s="33"/>
      <c r="I625" s="33"/>
      <c r="J625" s="44" t="e">
        <f t="shared" si="27"/>
        <v>#N/A</v>
      </c>
      <c r="K625" s="36"/>
      <c r="L625" s="18">
        <f>SUM('Shuttle Count - Supreme (Nov 20'!C625:D625)</f>
        <v>0</v>
      </c>
      <c r="M625" s="18" t="e">
        <f>VLOOKUP(K625,'Shuttle Purchase'!A:C,3,0)</f>
        <v>#N/A</v>
      </c>
      <c r="N625" s="44" t="e">
        <f t="shared" si="37"/>
        <v>#N/A</v>
      </c>
      <c r="O625" s="24" t="e">
        <f>VLOOKUP(E625,'Court List'!$A:$C,3,0)</f>
        <v>#N/A</v>
      </c>
      <c r="P625" s="18">
        <f>COUNTIF('Pub List'!$C625:$T625,"&lt;&gt;")</f>
        <v>0</v>
      </c>
      <c r="Q625" s="20" t="e">
        <f t="shared" si="28"/>
        <v>#N/A</v>
      </c>
      <c r="R625" s="36"/>
      <c r="S625" s="18">
        <f>COUNTIF('Member List'!$C625:$J625,"&lt;&gt;")</f>
        <v>0</v>
      </c>
      <c r="T625" s="35"/>
      <c r="U625" s="24">
        <f t="shared" si="29"/>
        <v>0</v>
      </c>
      <c r="V625" s="18" t="e">
        <f t="shared" si="30"/>
        <v>#N/A</v>
      </c>
      <c r="W625" s="45" t="e">
        <f t="shared" si="31"/>
        <v>#N/A</v>
      </c>
      <c r="X625" s="20" t="e">
        <f t="shared" si="32"/>
        <v>#N/A</v>
      </c>
      <c r="Y625" s="46" t="e">
        <f t="shared" si="35"/>
        <v>#N/A</v>
      </c>
      <c r="Z625" s="39" t="e">
        <f t="shared" si="33"/>
        <v>#N/A</v>
      </c>
      <c r="AA625" s="39" t="e">
        <f t="shared" si="34"/>
        <v>#N/A</v>
      </c>
      <c r="AB625" s="39"/>
      <c r="AC625" s="48" t="e">
        <f t="shared" si="36"/>
        <v>#N/A</v>
      </c>
    </row>
    <row r="626" spans="1:29" ht="12.5" x14ac:dyDescent="0.25">
      <c r="A626" s="36"/>
      <c r="B626" s="33"/>
      <c r="C626" s="33"/>
      <c r="D626" s="33"/>
      <c r="E626" s="35"/>
      <c r="F626" s="21"/>
      <c r="G626" s="22" t="e">
        <f>VLOOKUP(E626,'Court List'!$A:$C,2,0)</f>
        <v>#N/A</v>
      </c>
      <c r="H626" s="33"/>
      <c r="I626" s="33"/>
      <c r="J626" s="44" t="e">
        <f t="shared" si="27"/>
        <v>#N/A</v>
      </c>
      <c r="K626" s="36"/>
      <c r="L626" s="18">
        <f>SUM('Shuttle Count - Supreme (Nov 20'!C626:D626)</f>
        <v>0</v>
      </c>
      <c r="M626" s="18" t="e">
        <f>VLOOKUP(K626,'Shuttle Purchase'!A:C,3,0)</f>
        <v>#N/A</v>
      </c>
      <c r="N626" s="44" t="e">
        <f t="shared" si="37"/>
        <v>#N/A</v>
      </c>
      <c r="O626" s="24" t="e">
        <f>VLOOKUP(E626,'Court List'!$A:$C,3,0)</f>
        <v>#N/A</v>
      </c>
      <c r="P626" s="18">
        <f>COUNTIF('Pub List'!$C626:$T626,"&lt;&gt;")</f>
        <v>0</v>
      </c>
      <c r="Q626" s="20" t="e">
        <f t="shared" si="28"/>
        <v>#N/A</v>
      </c>
      <c r="R626" s="36"/>
      <c r="S626" s="18">
        <f>COUNTIF('Member List'!$C626:$J626,"&lt;&gt;")</f>
        <v>0</v>
      </c>
      <c r="T626" s="35"/>
      <c r="U626" s="24">
        <f t="shared" si="29"/>
        <v>0</v>
      </c>
      <c r="V626" s="18" t="e">
        <f t="shared" si="30"/>
        <v>#N/A</v>
      </c>
      <c r="W626" s="45" t="e">
        <f t="shared" si="31"/>
        <v>#N/A</v>
      </c>
      <c r="X626" s="20" t="e">
        <f t="shared" si="32"/>
        <v>#N/A</v>
      </c>
      <c r="Y626" s="46" t="e">
        <f t="shared" si="35"/>
        <v>#N/A</v>
      </c>
      <c r="Z626" s="39" t="e">
        <f t="shared" si="33"/>
        <v>#N/A</v>
      </c>
      <c r="AA626" s="39" t="e">
        <f t="shared" si="34"/>
        <v>#N/A</v>
      </c>
      <c r="AB626" s="39"/>
      <c r="AC626" s="48" t="e">
        <f t="shared" si="36"/>
        <v>#N/A</v>
      </c>
    </row>
    <row r="627" spans="1:29" ht="12.5" x14ac:dyDescent="0.25">
      <c r="A627" s="36"/>
      <c r="B627" s="33"/>
      <c r="C627" s="33"/>
      <c r="D627" s="33"/>
      <c r="E627" s="35"/>
      <c r="F627" s="21"/>
      <c r="G627" s="22" t="e">
        <f>VLOOKUP(E627,'Court List'!$A:$C,2,0)</f>
        <v>#N/A</v>
      </c>
      <c r="H627" s="33"/>
      <c r="I627" s="33"/>
      <c r="J627" s="44" t="e">
        <f t="shared" si="27"/>
        <v>#N/A</v>
      </c>
      <c r="K627" s="36"/>
      <c r="L627" s="18">
        <f>SUM('Shuttle Count - Supreme (Nov 20'!C627:D627)</f>
        <v>0</v>
      </c>
      <c r="M627" s="18" t="e">
        <f>VLOOKUP(K627,'Shuttle Purchase'!A:C,3,0)</f>
        <v>#N/A</v>
      </c>
      <c r="N627" s="44" t="e">
        <f t="shared" si="37"/>
        <v>#N/A</v>
      </c>
      <c r="O627" s="24" t="e">
        <f>VLOOKUP(E627,'Court List'!$A:$C,3,0)</f>
        <v>#N/A</v>
      </c>
      <c r="P627" s="18">
        <f>COUNTIF('Pub List'!$C627:$T627,"&lt;&gt;")</f>
        <v>0</v>
      </c>
      <c r="Q627" s="20" t="e">
        <f t="shared" si="28"/>
        <v>#N/A</v>
      </c>
      <c r="R627" s="36"/>
      <c r="S627" s="18">
        <f>COUNTIF('Member List'!$C627:$J627,"&lt;&gt;")</f>
        <v>0</v>
      </c>
      <c r="T627" s="35"/>
      <c r="U627" s="24">
        <f t="shared" si="29"/>
        <v>0</v>
      </c>
      <c r="V627" s="18" t="e">
        <f t="shared" si="30"/>
        <v>#N/A</v>
      </c>
      <c r="W627" s="45" t="e">
        <f t="shared" si="31"/>
        <v>#N/A</v>
      </c>
      <c r="X627" s="20" t="e">
        <f t="shared" si="32"/>
        <v>#N/A</v>
      </c>
      <c r="Y627" s="46" t="e">
        <f t="shared" si="35"/>
        <v>#N/A</v>
      </c>
      <c r="Z627" s="39" t="e">
        <f t="shared" si="33"/>
        <v>#N/A</v>
      </c>
      <c r="AA627" s="39" t="e">
        <f t="shared" si="34"/>
        <v>#N/A</v>
      </c>
      <c r="AB627" s="39"/>
      <c r="AC627" s="48" t="e">
        <f t="shared" si="36"/>
        <v>#N/A</v>
      </c>
    </row>
    <row r="628" spans="1:29" ht="12.5" x14ac:dyDescent="0.25">
      <c r="A628" s="36"/>
      <c r="B628" s="33"/>
      <c r="C628" s="33"/>
      <c r="D628" s="33"/>
      <c r="E628" s="35"/>
      <c r="F628" s="21"/>
      <c r="G628" s="22" t="e">
        <f>VLOOKUP(E628,'Court List'!$A:$C,2,0)</f>
        <v>#N/A</v>
      </c>
      <c r="H628" s="33"/>
      <c r="I628" s="33"/>
      <c r="J628" s="44" t="e">
        <f t="shared" si="27"/>
        <v>#N/A</v>
      </c>
      <c r="K628" s="36"/>
      <c r="L628" s="18">
        <f>SUM('Shuttle Count - Supreme (Nov 20'!C628:D628)</f>
        <v>0</v>
      </c>
      <c r="M628" s="18" t="e">
        <f>VLOOKUP(K628,'Shuttle Purchase'!A:C,3,0)</f>
        <v>#N/A</v>
      </c>
      <c r="N628" s="44" t="e">
        <f t="shared" si="37"/>
        <v>#N/A</v>
      </c>
      <c r="O628" s="24" t="e">
        <f>VLOOKUP(E628,'Court List'!$A:$C,3,0)</f>
        <v>#N/A</v>
      </c>
      <c r="P628" s="18">
        <f>COUNTIF('Pub List'!$C628:$T628,"&lt;&gt;")</f>
        <v>0</v>
      </c>
      <c r="Q628" s="20" t="e">
        <f t="shared" si="28"/>
        <v>#N/A</v>
      </c>
      <c r="R628" s="36"/>
      <c r="S628" s="18">
        <f>COUNTIF('Member List'!$C628:$J628,"&lt;&gt;")</f>
        <v>0</v>
      </c>
      <c r="T628" s="35"/>
      <c r="U628" s="24">
        <f t="shared" si="29"/>
        <v>0</v>
      </c>
      <c r="V628" s="18" t="e">
        <f t="shared" si="30"/>
        <v>#N/A</v>
      </c>
      <c r="W628" s="45" t="e">
        <f t="shared" si="31"/>
        <v>#N/A</v>
      </c>
      <c r="X628" s="20" t="e">
        <f t="shared" si="32"/>
        <v>#N/A</v>
      </c>
      <c r="Y628" s="46" t="e">
        <f t="shared" si="35"/>
        <v>#N/A</v>
      </c>
      <c r="Z628" s="39" t="e">
        <f t="shared" si="33"/>
        <v>#N/A</v>
      </c>
      <c r="AA628" s="39" t="e">
        <f t="shared" si="34"/>
        <v>#N/A</v>
      </c>
      <c r="AB628" s="39"/>
      <c r="AC628" s="48" t="e">
        <f t="shared" si="36"/>
        <v>#N/A</v>
      </c>
    </row>
    <row r="629" spans="1:29" ht="12.5" x14ac:dyDescent="0.25">
      <c r="A629" s="36"/>
      <c r="B629" s="33"/>
      <c r="C629" s="33"/>
      <c r="D629" s="33"/>
      <c r="E629" s="35"/>
      <c r="F629" s="21"/>
      <c r="G629" s="22" t="e">
        <f>VLOOKUP(E629,'Court List'!$A:$C,2,0)</f>
        <v>#N/A</v>
      </c>
      <c r="H629" s="33"/>
      <c r="I629" s="33"/>
      <c r="J629" s="44" t="e">
        <f t="shared" si="27"/>
        <v>#N/A</v>
      </c>
      <c r="K629" s="36"/>
      <c r="L629" s="18">
        <f>SUM('Shuttle Count - Supreme (Nov 20'!C629:D629)</f>
        <v>0</v>
      </c>
      <c r="M629" s="18" t="e">
        <f>VLOOKUP(K629,'Shuttle Purchase'!A:C,3,0)</f>
        <v>#N/A</v>
      </c>
      <c r="N629" s="44" t="e">
        <f t="shared" si="37"/>
        <v>#N/A</v>
      </c>
      <c r="O629" s="24" t="e">
        <f>VLOOKUP(E629,'Court List'!$A:$C,3,0)</f>
        <v>#N/A</v>
      </c>
      <c r="P629" s="18">
        <f>COUNTIF('Pub List'!$C629:$T629,"&lt;&gt;")</f>
        <v>0</v>
      </c>
      <c r="Q629" s="20" t="e">
        <f t="shared" si="28"/>
        <v>#N/A</v>
      </c>
      <c r="R629" s="36"/>
      <c r="S629" s="18">
        <f>COUNTIF('Member List'!$C629:$J629,"&lt;&gt;")</f>
        <v>0</v>
      </c>
      <c r="T629" s="35"/>
      <c r="U629" s="24">
        <f t="shared" si="29"/>
        <v>0</v>
      </c>
      <c r="V629" s="18" t="e">
        <f t="shared" si="30"/>
        <v>#N/A</v>
      </c>
      <c r="W629" s="45" t="e">
        <f t="shared" si="31"/>
        <v>#N/A</v>
      </c>
      <c r="X629" s="20" t="e">
        <f t="shared" si="32"/>
        <v>#N/A</v>
      </c>
      <c r="Y629" s="46" t="e">
        <f t="shared" si="35"/>
        <v>#N/A</v>
      </c>
      <c r="Z629" s="39" t="e">
        <f t="shared" si="33"/>
        <v>#N/A</v>
      </c>
      <c r="AA629" s="39" t="e">
        <f t="shared" si="34"/>
        <v>#N/A</v>
      </c>
      <c r="AB629" s="39"/>
      <c r="AC629" s="48" t="e">
        <f t="shared" si="36"/>
        <v>#N/A</v>
      </c>
    </row>
    <row r="630" spans="1:29" ht="12.5" x14ac:dyDescent="0.25">
      <c r="A630" s="36"/>
      <c r="B630" s="33"/>
      <c r="C630" s="33"/>
      <c r="D630" s="33"/>
      <c r="E630" s="35"/>
      <c r="F630" s="21"/>
      <c r="G630" s="22" t="e">
        <f>VLOOKUP(E630,'Court List'!$A:$C,2,0)</f>
        <v>#N/A</v>
      </c>
      <c r="H630" s="33"/>
      <c r="I630" s="33"/>
      <c r="J630" s="44" t="e">
        <f t="shared" si="27"/>
        <v>#N/A</v>
      </c>
      <c r="K630" s="36"/>
      <c r="L630" s="18">
        <f>SUM('Shuttle Count - Supreme (Nov 20'!C630:D630)</f>
        <v>0</v>
      </c>
      <c r="M630" s="18" t="e">
        <f>VLOOKUP(K630,'Shuttle Purchase'!A:C,3,0)</f>
        <v>#N/A</v>
      </c>
      <c r="N630" s="44" t="e">
        <f t="shared" si="37"/>
        <v>#N/A</v>
      </c>
      <c r="O630" s="24" t="e">
        <f>VLOOKUP(E630,'Court List'!$A:$C,3,0)</f>
        <v>#N/A</v>
      </c>
      <c r="P630" s="18">
        <f>COUNTIF('Pub List'!$C630:$T630,"&lt;&gt;")</f>
        <v>0</v>
      </c>
      <c r="Q630" s="20" t="e">
        <f t="shared" si="28"/>
        <v>#N/A</v>
      </c>
      <c r="R630" s="36"/>
      <c r="S630" s="18">
        <f>COUNTIF('Member List'!$C630:$J630,"&lt;&gt;")</f>
        <v>0</v>
      </c>
      <c r="T630" s="35"/>
      <c r="U630" s="24">
        <f t="shared" si="29"/>
        <v>0</v>
      </c>
      <c r="V630" s="18" t="e">
        <f t="shared" si="30"/>
        <v>#N/A</v>
      </c>
      <c r="W630" s="45" t="e">
        <f t="shared" si="31"/>
        <v>#N/A</v>
      </c>
      <c r="X630" s="20" t="e">
        <f t="shared" si="32"/>
        <v>#N/A</v>
      </c>
      <c r="Y630" s="46" t="e">
        <f t="shared" si="35"/>
        <v>#N/A</v>
      </c>
      <c r="Z630" s="39" t="e">
        <f t="shared" si="33"/>
        <v>#N/A</v>
      </c>
      <c r="AA630" s="39" t="e">
        <f t="shared" si="34"/>
        <v>#N/A</v>
      </c>
      <c r="AB630" s="39"/>
      <c r="AC630" s="48" t="e">
        <f t="shared" si="36"/>
        <v>#N/A</v>
      </c>
    </row>
    <row r="631" spans="1:29" ht="12.5" x14ac:dyDescent="0.25">
      <c r="A631" s="36"/>
      <c r="B631" s="33"/>
      <c r="C631" s="33"/>
      <c r="D631" s="33"/>
      <c r="E631" s="35"/>
      <c r="F631" s="21"/>
      <c r="G631" s="22" t="e">
        <f>VLOOKUP(E631,'Court List'!$A:$C,2,0)</f>
        <v>#N/A</v>
      </c>
      <c r="H631" s="33"/>
      <c r="I631" s="33"/>
      <c r="J631" s="44" t="e">
        <f t="shared" si="27"/>
        <v>#N/A</v>
      </c>
      <c r="K631" s="36"/>
      <c r="L631" s="18">
        <f>SUM('Shuttle Count - Supreme (Nov 20'!C631:D631)</f>
        <v>0</v>
      </c>
      <c r="M631" s="18" t="e">
        <f>VLOOKUP(K631,'Shuttle Purchase'!A:C,3,0)</f>
        <v>#N/A</v>
      </c>
      <c r="N631" s="44" t="e">
        <f t="shared" si="37"/>
        <v>#N/A</v>
      </c>
      <c r="O631" s="24" t="e">
        <f>VLOOKUP(E631,'Court List'!$A:$C,3,0)</f>
        <v>#N/A</v>
      </c>
      <c r="P631" s="18">
        <f>COUNTIF('Pub List'!$C631:$T631,"&lt;&gt;")</f>
        <v>0</v>
      </c>
      <c r="Q631" s="20" t="e">
        <f t="shared" si="28"/>
        <v>#N/A</v>
      </c>
      <c r="R631" s="36"/>
      <c r="S631" s="18">
        <f>COUNTIF('Member List'!$C631:$J631,"&lt;&gt;")</f>
        <v>0</v>
      </c>
      <c r="T631" s="35"/>
      <c r="U631" s="24">
        <f t="shared" si="29"/>
        <v>0</v>
      </c>
      <c r="V631" s="18" t="e">
        <f t="shared" si="30"/>
        <v>#N/A</v>
      </c>
      <c r="W631" s="45" t="e">
        <f t="shared" si="31"/>
        <v>#N/A</v>
      </c>
      <c r="X631" s="20" t="e">
        <f t="shared" si="32"/>
        <v>#N/A</v>
      </c>
      <c r="Y631" s="46" t="e">
        <f t="shared" si="35"/>
        <v>#N/A</v>
      </c>
      <c r="Z631" s="39" t="e">
        <f t="shared" si="33"/>
        <v>#N/A</v>
      </c>
      <c r="AA631" s="39" t="e">
        <f t="shared" si="34"/>
        <v>#N/A</v>
      </c>
      <c r="AB631" s="39"/>
      <c r="AC631" s="48" t="e">
        <f t="shared" si="36"/>
        <v>#N/A</v>
      </c>
    </row>
    <row r="632" spans="1:29" ht="12.5" x14ac:dyDescent="0.25">
      <c r="A632" s="36"/>
      <c r="B632" s="33"/>
      <c r="C632" s="33"/>
      <c r="D632" s="33"/>
      <c r="E632" s="35"/>
      <c r="F632" s="21"/>
      <c r="G632" s="22" t="e">
        <f>VLOOKUP(E632,'Court List'!$A:$C,2,0)</f>
        <v>#N/A</v>
      </c>
      <c r="H632" s="33"/>
      <c r="I632" s="33"/>
      <c r="J632" s="44" t="e">
        <f t="shared" si="27"/>
        <v>#N/A</v>
      </c>
      <c r="K632" s="36"/>
      <c r="L632" s="18">
        <f>SUM('Shuttle Count - Supreme (Nov 20'!C632:D632)</f>
        <v>0</v>
      </c>
      <c r="M632" s="18" t="e">
        <f>VLOOKUP(K632,'Shuttle Purchase'!A:C,3,0)</f>
        <v>#N/A</v>
      </c>
      <c r="N632" s="44" t="e">
        <f t="shared" si="37"/>
        <v>#N/A</v>
      </c>
      <c r="O632" s="24" t="e">
        <f>VLOOKUP(E632,'Court List'!$A:$C,3,0)</f>
        <v>#N/A</v>
      </c>
      <c r="P632" s="18">
        <f>COUNTIF('Pub List'!$C632:$T632,"&lt;&gt;")</f>
        <v>0</v>
      </c>
      <c r="Q632" s="20" t="e">
        <f t="shared" si="28"/>
        <v>#N/A</v>
      </c>
      <c r="R632" s="36"/>
      <c r="S632" s="18">
        <f>COUNTIF('Member List'!$C632:$J632,"&lt;&gt;")</f>
        <v>0</v>
      </c>
      <c r="T632" s="35"/>
      <c r="U632" s="24">
        <f t="shared" si="29"/>
        <v>0</v>
      </c>
      <c r="V632" s="18" t="e">
        <f t="shared" si="30"/>
        <v>#N/A</v>
      </c>
      <c r="W632" s="45" t="e">
        <f t="shared" si="31"/>
        <v>#N/A</v>
      </c>
      <c r="X632" s="20" t="e">
        <f t="shared" si="32"/>
        <v>#N/A</v>
      </c>
      <c r="Y632" s="46" t="e">
        <f t="shared" si="35"/>
        <v>#N/A</v>
      </c>
      <c r="Z632" s="39" t="e">
        <f t="shared" si="33"/>
        <v>#N/A</v>
      </c>
      <c r="AA632" s="39" t="e">
        <f t="shared" si="34"/>
        <v>#N/A</v>
      </c>
      <c r="AB632" s="39"/>
      <c r="AC632" s="48" t="e">
        <f t="shared" si="36"/>
        <v>#N/A</v>
      </c>
    </row>
    <row r="633" spans="1:29" ht="12.5" x14ac:dyDescent="0.25">
      <c r="A633" s="36"/>
      <c r="B633" s="33"/>
      <c r="C633" s="33"/>
      <c r="D633" s="33"/>
      <c r="E633" s="35"/>
      <c r="F633" s="21"/>
      <c r="G633" s="22" t="e">
        <f>VLOOKUP(E633,'Court List'!$A:$C,2,0)</f>
        <v>#N/A</v>
      </c>
      <c r="H633" s="33"/>
      <c r="I633" s="33"/>
      <c r="J633" s="44" t="e">
        <f t="shared" si="27"/>
        <v>#N/A</v>
      </c>
      <c r="K633" s="36"/>
      <c r="L633" s="18">
        <f>SUM('Shuttle Count - Supreme (Nov 20'!C633:D633)</f>
        <v>0</v>
      </c>
      <c r="M633" s="18" t="e">
        <f>VLOOKUP(K633,'Shuttle Purchase'!A:C,3,0)</f>
        <v>#N/A</v>
      </c>
      <c r="N633" s="44" t="e">
        <f t="shared" si="37"/>
        <v>#N/A</v>
      </c>
      <c r="O633" s="24" t="e">
        <f>VLOOKUP(E633,'Court List'!$A:$C,3,0)</f>
        <v>#N/A</v>
      </c>
      <c r="P633" s="18">
        <f>COUNTIF('Pub List'!$C633:$T633,"&lt;&gt;")</f>
        <v>0</v>
      </c>
      <c r="Q633" s="20" t="e">
        <f t="shared" si="28"/>
        <v>#N/A</v>
      </c>
      <c r="R633" s="36"/>
      <c r="S633" s="18">
        <f>COUNTIF('Member List'!$C633:$J633,"&lt;&gt;")</f>
        <v>0</v>
      </c>
      <c r="T633" s="35"/>
      <c r="U633" s="24">
        <f t="shared" si="29"/>
        <v>0</v>
      </c>
      <c r="V633" s="18" t="e">
        <f t="shared" si="30"/>
        <v>#N/A</v>
      </c>
      <c r="W633" s="45" t="e">
        <f t="shared" si="31"/>
        <v>#N/A</v>
      </c>
      <c r="X633" s="20" t="e">
        <f t="shared" si="32"/>
        <v>#N/A</v>
      </c>
      <c r="Y633" s="46" t="e">
        <f t="shared" si="35"/>
        <v>#N/A</v>
      </c>
      <c r="Z633" s="39" t="e">
        <f t="shared" si="33"/>
        <v>#N/A</v>
      </c>
      <c r="AA633" s="39" t="e">
        <f t="shared" si="34"/>
        <v>#N/A</v>
      </c>
      <c r="AB633" s="39"/>
      <c r="AC633" s="48" t="e">
        <f t="shared" si="36"/>
        <v>#N/A</v>
      </c>
    </row>
    <row r="634" spans="1:29" ht="12.5" x14ac:dyDescent="0.25">
      <c r="A634" s="36"/>
      <c r="B634" s="33"/>
      <c r="C634" s="33"/>
      <c r="D634" s="33"/>
      <c r="E634" s="35"/>
      <c r="F634" s="21"/>
      <c r="G634" s="22" t="e">
        <f>VLOOKUP(E634,'Court List'!$A:$C,2,0)</f>
        <v>#N/A</v>
      </c>
      <c r="H634" s="33"/>
      <c r="I634" s="33"/>
      <c r="J634" s="44" t="e">
        <f t="shared" si="27"/>
        <v>#N/A</v>
      </c>
      <c r="K634" s="36"/>
      <c r="L634" s="18">
        <f>SUM('Shuttle Count - Supreme (Nov 20'!C634:D634)</f>
        <v>0</v>
      </c>
      <c r="M634" s="18" t="e">
        <f>VLOOKUP(K634,'Shuttle Purchase'!A:C,3,0)</f>
        <v>#N/A</v>
      </c>
      <c r="N634" s="44" t="e">
        <f t="shared" si="37"/>
        <v>#N/A</v>
      </c>
      <c r="O634" s="24" t="e">
        <f>VLOOKUP(E634,'Court List'!$A:$C,3,0)</f>
        <v>#N/A</v>
      </c>
      <c r="P634" s="18">
        <f>COUNTIF('Pub List'!$C634:$T634,"&lt;&gt;")</f>
        <v>0</v>
      </c>
      <c r="Q634" s="20" t="e">
        <f t="shared" si="28"/>
        <v>#N/A</v>
      </c>
      <c r="R634" s="36"/>
      <c r="S634" s="18">
        <f>COUNTIF('Member List'!$C634:$J634,"&lt;&gt;")</f>
        <v>0</v>
      </c>
      <c r="T634" s="35"/>
      <c r="U634" s="24">
        <f t="shared" si="29"/>
        <v>0</v>
      </c>
      <c r="V634" s="18" t="e">
        <f t="shared" si="30"/>
        <v>#N/A</v>
      </c>
      <c r="W634" s="45" t="e">
        <f t="shared" si="31"/>
        <v>#N/A</v>
      </c>
      <c r="X634" s="20" t="e">
        <f t="shared" si="32"/>
        <v>#N/A</v>
      </c>
      <c r="Y634" s="46" t="e">
        <f t="shared" si="35"/>
        <v>#N/A</v>
      </c>
      <c r="Z634" s="39" t="e">
        <f t="shared" si="33"/>
        <v>#N/A</v>
      </c>
      <c r="AA634" s="39" t="e">
        <f t="shared" si="34"/>
        <v>#N/A</v>
      </c>
      <c r="AB634" s="39"/>
      <c r="AC634" s="48" t="e">
        <f t="shared" si="36"/>
        <v>#N/A</v>
      </c>
    </row>
    <row r="635" spans="1:29" ht="12.5" x14ac:dyDescent="0.25">
      <c r="A635" s="36"/>
      <c r="B635" s="33"/>
      <c r="C635" s="33"/>
      <c r="D635" s="33"/>
      <c r="E635" s="35"/>
      <c r="F635" s="21"/>
      <c r="G635" s="22" t="e">
        <f>VLOOKUP(E635,'Court List'!$A:$C,2,0)</f>
        <v>#N/A</v>
      </c>
      <c r="H635" s="33"/>
      <c r="I635" s="33"/>
      <c r="J635" s="44" t="e">
        <f t="shared" si="27"/>
        <v>#N/A</v>
      </c>
      <c r="K635" s="36"/>
      <c r="L635" s="18">
        <f>SUM('Shuttle Count - Supreme (Nov 20'!C635:D635)</f>
        <v>0</v>
      </c>
      <c r="M635" s="18" t="e">
        <f>VLOOKUP(K635,'Shuttle Purchase'!A:C,3,0)</f>
        <v>#N/A</v>
      </c>
      <c r="N635" s="44" t="e">
        <f t="shared" si="37"/>
        <v>#N/A</v>
      </c>
      <c r="O635" s="24" t="e">
        <f>VLOOKUP(E635,'Court List'!$A:$C,3,0)</f>
        <v>#N/A</v>
      </c>
      <c r="P635" s="18">
        <f>COUNTIF('Pub List'!$C635:$T635,"&lt;&gt;")</f>
        <v>0</v>
      </c>
      <c r="Q635" s="20" t="e">
        <f t="shared" si="28"/>
        <v>#N/A</v>
      </c>
      <c r="R635" s="36"/>
      <c r="S635" s="18">
        <f>COUNTIF('Member List'!$C635:$J635,"&lt;&gt;")</f>
        <v>0</v>
      </c>
      <c r="T635" s="35"/>
      <c r="U635" s="24">
        <f t="shared" si="29"/>
        <v>0</v>
      </c>
      <c r="V635" s="18" t="e">
        <f t="shared" si="30"/>
        <v>#N/A</v>
      </c>
      <c r="W635" s="45" t="e">
        <f t="shared" si="31"/>
        <v>#N/A</v>
      </c>
      <c r="X635" s="20" t="e">
        <f t="shared" si="32"/>
        <v>#N/A</v>
      </c>
      <c r="Y635" s="46" t="e">
        <f t="shared" si="35"/>
        <v>#N/A</v>
      </c>
      <c r="Z635" s="39" t="e">
        <f t="shared" si="33"/>
        <v>#N/A</v>
      </c>
      <c r="AA635" s="39" t="e">
        <f t="shared" si="34"/>
        <v>#N/A</v>
      </c>
      <c r="AB635" s="39"/>
      <c r="AC635" s="48" t="e">
        <f t="shared" si="36"/>
        <v>#N/A</v>
      </c>
    </row>
    <row r="636" spans="1:29" ht="12.5" x14ac:dyDescent="0.25">
      <c r="A636" s="36"/>
      <c r="B636" s="33"/>
      <c r="C636" s="33"/>
      <c r="D636" s="33"/>
      <c r="E636" s="35"/>
      <c r="F636" s="21"/>
      <c r="G636" s="22" t="e">
        <f>VLOOKUP(E636,'Court List'!$A:$C,2,0)</f>
        <v>#N/A</v>
      </c>
      <c r="H636" s="33"/>
      <c r="I636" s="33"/>
      <c r="J636" s="44" t="e">
        <f t="shared" si="27"/>
        <v>#N/A</v>
      </c>
      <c r="K636" s="36"/>
      <c r="L636" s="18">
        <f>SUM('Shuttle Count - Supreme (Nov 20'!C636:D636)</f>
        <v>0</v>
      </c>
      <c r="M636" s="18" t="e">
        <f>VLOOKUP(K636,'Shuttle Purchase'!A:C,3,0)</f>
        <v>#N/A</v>
      </c>
      <c r="N636" s="44" t="e">
        <f t="shared" si="37"/>
        <v>#N/A</v>
      </c>
      <c r="O636" s="24" t="e">
        <f>VLOOKUP(E636,'Court List'!$A:$C,3,0)</f>
        <v>#N/A</v>
      </c>
      <c r="P636" s="18">
        <f>COUNTIF('Pub List'!$C636:$T636,"&lt;&gt;")</f>
        <v>0</v>
      </c>
      <c r="Q636" s="20" t="e">
        <f t="shared" si="28"/>
        <v>#N/A</v>
      </c>
      <c r="R636" s="36"/>
      <c r="S636" s="18">
        <f>COUNTIF('Member List'!$C636:$J636,"&lt;&gt;")</f>
        <v>0</v>
      </c>
      <c r="T636" s="35"/>
      <c r="U636" s="24">
        <f t="shared" si="29"/>
        <v>0</v>
      </c>
      <c r="V636" s="18" t="e">
        <f t="shared" si="30"/>
        <v>#N/A</v>
      </c>
      <c r="W636" s="45" t="e">
        <f t="shared" si="31"/>
        <v>#N/A</v>
      </c>
      <c r="X636" s="20" t="e">
        <f t="shared" si="32"/>
        <v>#N/A</v>
      </c>
      <c r="Y636" s="46" t="e">
        <f t="shared" si="35"/>
        <v>#N/A</v>
      </c>
      <c r="Z636" s="39" t="e">
        <f t="shared" si="33"/>
        <v>#N/A</v>
      </c>
      <c r="AA636" s="39" t="e">
        <f t="shared" si="34"/>
        <v>#N/A</v>
      </c>
      <c r="AB636" s="39"/>
      <c r="AC636" s="48" t="e">
        <f t="shared" si="36"/>
        <v>#N/A</v>
      </c>
    </row>
    <row r="637" spans="1:29" ht="12.5" x14ac:dyDescent="0.25">
      <c r="A637" s="36"/>
      <c r="B637" s="33"/>
      <c r="C637" s="33"/>
      <c r="D637" s="33"/>
      <c r="E637" s="35"/>
      <c r="F637" s="21"/>
      <c r="G637" s="22" t="e">
        <f>VLOOKUP(E637,'Court List'!$A:$C,2,0)</f>
        <v>#N/A</v>
      </c>
      <c r="H637" s="33"/>
      <c r="I637" s="33"/>
      <c r="J637" s="44" t="e">
        <f t="shared" si="27"/>
        <v>#N/A</v>
      </c>
      <c r="K637" s="36"/>
      <c r="L637" s="18">
        <f>SUM('Shuttle Count - Supreme (Nov 20'!C637:D637)</f>
        <v>0</v>
      </c>
      <c r="M637" s="18" t="e">
        <f>VLOOKUP(K637,'Shuttle Purchase'!A:C,3,0)</f>
        <v>#N/A</v>
      </c>
      <c r="N637" s="44" t="e">
        <f t="shared" si="37"/>
        <v>#N/A</v>
      </c>
      <c r="O637" s="24" t="e">
        <f>VLOOKUP(E637,'Court List'!$A:$C,3,0)</f>
        <v>#N/A</v>
      </c>
      <c r="P637" s="18">
        <f>COUNTIF('Pub List'!$C637:$T637,"&lt;&gt;")</f>
        <v>0</v>
      </c>
      <c r="Q637" s="20" t="e">
        <f t="shared" si="28"/>
        <v>#N/A</v>
      </c>
      <c r="R637" s="36"/>
      <c r="S637" s="18">
        <f>COUNTIF('Member List'!$C637:$J637,"&lt;&gt;")</f>
        <v>0</v>
      </c>
      <c r="T637" s="35"/>
      <c r="U637" s="24">
        <f t="shared" si="29"/>
        <v>0</v>
      </c>
      <c r="V637" s="18" t="e">
        <f t="shared" si="30"/>
        <v>#N/A</v>
      </c>
      <c r="W637" s="45" t="e">
        <f t="shared" si="31"/>
        <v>#N/A</v>
      </c>
      <c r="X637" s="20" t="e">
        <f t="shared" si="32"/>
        <v>#N/A</v>
      </c>
      <c r="Y637" s="46" t="e">
        <f t="shared" si="35"/>
        <v>#N/A</v>
      </c>
      <c r="Z637" s="39" t="e">
        <f t="shared" si="33"/>
        <v>#N/A</v>
      </c>
      <c r="AA637" s="39" t="e">
        <f t="shared" si="34"/>
        <v>#N/A</v>
      </c>
      <c r="AB637" s="39"/>
      <c r="AC637" s="48" t="e">
        <f t="shared" si="36"/>
        <v>#N/A</v>
      </c>
    </row>
    <row r="638" spans="1:29" ht="12.5" x14ac:dyDescent="0.25">
      <c r="A638" s="36"/>
      <c r="B638" s="33"/>
      <c r="C638" s="33"/>
      <c r="D638" s="33"/>
      <c r="E638" s="35"/>
      <c r="F638" s="21"/>
      <c r="G638" s="22" t="e">
        <f>VLOOKUP(E638,'Court List'!$A:$C,2,0)</f>
        <v>#N/A</v>
      </c>
      <c r="H638" s="33"/>
      <c r="I638" s="33"/>
      <c r="J638" s="44" t="e">
        <f t="shared" si="27"/>
        <v>#N/A</v>
      </c>
      <c r="K638" s="36"/>
      <c r="L638" s="18">
        <f>SUM('Shuttle Count - Supreme (Nov 20'!C638:D638)</f>
        <v>0</v>
      </c>
      <c r="M638" s="18" t="e">
        <f>VLOOKUP(K638,'Shuttle Purchase'!A:C,3,0)</f>
        <v>#N/A</v>
      </c>
      <c r="N638" s="44" t="e">
        <f t="shared" si="37"/>
        <v>#N/A</v>
      </c>
      <c r="O638" s="24" t="e">
        <f>VLOOKUP(E638,'Court List'!$A:$C,3,0)</f>
        <v>#N/A</v>
      </c>
      <c r="P638" s="18">
        <f>COUNTIF('Pub List'!$C638:$T638,"&lt;&gt;")</f>
        <v>0</v>
      </c>
      <c r="Q638" s="20" t="e">
        <f t="shared" si="28"/>
        <v>#N/A</v>
      </c>
      <c r="R638" s="36"/>
      <c r="S638" s="18">
        <f>COUNTIF('Member List'!$C638:$J638,"&lt;&gt;")</f>
        <v>0</v>
      </c>
      <c r="T638" s="35"/>
      <c r="U638" s="24">
        <f t="shared" si="29"/>
        <v>0</v>
      </c>
      <c r="V638" s="18" t="e">
        <f t="shared" si="30"/>
        <v>#N/A</v>
      </c>
      <c r="W638" s="45" t="e">
        <f t="shared" si="31"/>
        <v>#N/A</v>
      </c>
      <c r="X638" s="20" t="e">
        <f t="shared" si="32"/>
        <v>#N/A</v>
      </c>
      <c r="Y638" s="46" t="e">
        <f t="shared" si="35"/>
        <v>#N/A</v>
      </c>
      <c r="Z638" s="39" t="e">
        <f t="shared" si="33"/>
        <v>#N/A</v>
      </c>
      <c r="AA638" s="39" t="e">
        <f t="shared" si="34"/>
        <v>#N/A</v>
      </c>
      <c r="AB638" s="39"/>
      <c r="AC638" s="48" t="e">
        <f t="shared" si="36"/>
        <v>#N/A</v>
      </c>
    </row>
    <row r="639" spans="1:29" ht="12.5" x14ac:dyDescent="0.25">
      <c r="A639" s="36"/>
      <c r="B639" s="33"/>
      <c r="C639" s="33"/>
      <c r="D639" s="33"/>
      <c r="E639" s="35"/>
      <c r="F639" s="21"/>
      <c r="G639" s="22" t="e">
        <f>VLOOKUP(E639,'Court List'!$A:$C,2,0)</f>
        <v>#N/A</v>
      </c>
      <c r="H639" s="33"/>
      <c r="I639" s="33"/>
      <c r="J639" s="44" t="e">
        <f t="shared" si="27"/>
        <v>#N/A</v>
      </c>
      <c r="K639" s="36"/>
      <c r="L639" s="18">
        <f>SUM('Shuttle Count - Supreme (Nov 20'!C639:D639)</f>
        <v>0</v>
      </c>
      <c r="M639" s="18" t="e">
        <f>VLOOKUP(K639,'Shuttle Purchase'!A:C,3,0)</f>
        <v>#N/A</v>
      </c>
      <c r="N639" s="44" t="e">
        <f t="shared" si="37"/>
        <v>#N/A</v>
      </c>
      <c r="O639" s="24" t="e">
        <f>VLOOKUP(E639,'Court List'!$A:$C,3,0)</f>
        <v>#N/A</v>
      </c>
      <c r="P639" s="18">
        <f>COUNTIF('Pub List'!$C639:$T639,"&lt;&gt;")</f>
        <v>0</v>
      </c>
      <c r="Q639" s="20" t="e">
        <f t="shared" si="28"/>
        <v>#N/A</v>
      </c>
      <c r="R639" s="36"/>
      <c r="S639" s="18">
        <f>COUNTIF('Member List'!$C639:$J639,"&lt;&gt;")</f>
        <v>0</v>
      </c>
      <c r="T639" s="35"/>
      <c r="U639" s="24">
        <f t="shared" si="29"/>
        <v>0</v>
      </c>
      <c r="V639" s="18" t="e">
        <f t="shared" si="30"/>
        <v>#N/A</v>
      </c>
      <c r="W639" s="45" t="e">
        <f t="shared" si="31"/>
        <v>#N/A</v>
      </c>
      <c r="X639" s="20" t="e">
        <f t="shared" si="32"/>
        <v>#N/A</v>
      </c>
      <c r="Y639" s="46" t="e">
        <f t="shared" si="35"/>
        <v>#N/A</v>
      </c>
      <c r="Z639" s="39" t="e">
        <f t="shared" si="33"/>
        <v>#N/A</v>
      </c>
      <c r="AA639" s="39" t="e">
        <f t="shared" si="34"/>
        <v>#N/A</v>
      </c>
      <c r="AB639" s="39"/>
      <c r="AC639" s="48" t="e">
        <f t="shared" si="36"/>
        <v>#N/A</v>
      </c>
    </row>
    <row r="640" spans="1:29" ht="12.5" x14ac:dyDescent="0.25">
      <c r="A640" s="36"/>
      <c r="B640" s="33"/>
      <c r="C640" s="33"/>
      <c r="D640" s="33"/>
      <c r="E640" s="35"/>
      <c r="F640" s="21"/>
      <c r="G640" s="22" t="e">
        <f>VLOOKUP(E640,'Court List'!$A:$C,2,0)</f>
        <v>#N/A</v>
      </c>
      <c r="H640" s="33"/>
      <c r="I640" s="33"/>
      <c r="J640" s="44" t="e">
        <f t="shared" si="27"/>
        <v>#N/A</v>
      </c>
      <c r="K640" s="36"/>
      <c r="L640" s="18">
        <f>SUM('Shuttle Count - Supreme (Nov 20'!C640:D640)</f>
        <v>0</v>
      </c>
      <c r="M640" s="18" t="e">
        <f>VLOOKUP(K640,'Shuttle Purchase'!A:C,3,0)</f>
        <v>#N/A</v>
      </c>
      <c r="N640" s="44" t="e">
        <f t="shared" si="37"/>
        <v>#N/A</v>
      </c>
      <c r="O640" s="24" t="e">
        <f>VLOOKUP(E640,'Court List'!$A:$C,3,0)</f>
        <v>#N/A</v>
      </c>
      <c r="P640" s="18">
        <f>COUNTIF('Pub List'!$C640:$T640,"&lt;&gt;")</f>
        <v>0</v>
      </c>
      <c r="Q640" s="20" t="e">
        <f t="shared" si="28"/>
        <v>#N/A</v>
      </c>
      <c r="R640" s="36"/>
      <c r="S640" s="18">
        <f>COUNTIF('Member List'!$C640:$J640,"&lt;&gt;")</f>
        <v>0</v>
      </c>
      <c r="T640" s="35"/>
      <c r="U640" s="24">
        <f t="shared" si="29"/>
        <v>0</v>
      </c>
      <c r="V640" s="18" t="e">
        <f t="shared" si="30"/>
        <v>#N/A</v>
      </c>
      <c r="W640" s="45" t="e">
        <f t="shared" si="31"/>
        <v>#N/A</v>
      </c>
      <c r="X640" s="20" t="e">
        <f t="shared" si="32"/>
        <v>#N/A</v>
      </c>
      <c r="Y640" s="46" t="e">
        <f t="shared" si="35"/>
        <v>#N/A</v>
      </c>
      <c r="Z640" s="39" t="e">
        <f t="shared" si="33"/>
        <v>#N/A</v>
      </c>
      <c r="AA640" s="39" t="e">
        <f t="shared" si="34"/>
        <v>#N/A</v>
      </c>
      <c r="AB640" s="39"/>
      <c r="AC640" s="48" t="e">
        <f t="shared" si="36"/>
        <v>#N/A</v>
      </c>
    </row>
    <row r="641" spans="1:29" ht="12.5" x14ac:dyDescent="0.25">
      <c r="A641" s="36"/>
      <c r="B641" s="33"/>
      <c r="C641" s="33"/>
      <c r="D641" s="33"/>
      <c r="E641" s="35"/>
      <c r="F641" s="21"/>
      <c r="G641" s="22" t="e">
        <f>VLOOKUP(E641,'Court List'!$A:$C,2,0)</f>
        <v>#N/A</v>
      </c>
      <c r="H641" s="33"/>
      <c r="I641" s="33"/>
      <c r="J641" s="44" t="e">
        <f t="shared" si="27"/>
        <v>#N/A</v>
      </c>
      <c r="K641" s="36"/>
      <c r="L641" s="18">
        <f>SUM('Shuttle Count - Supreme (Nov 20'!C641:D641)</f>
        <v>0</v>
      </c>
      <c r="M641" s="18" t="e">
        <f>VLOOKUP(K641,'Shuttle Purchase'!A:C,3,0)</f>
        <v>#N/A</v>
      </c>
      <c r="N641" s="44" t="e">
        <f t="shared" si="37"/>
        <v>#N/A</v>
      </c>
      <c r="O641" s="24" t="e">
        <f>VLOOKUP(E641,'Court List'!$A:$C,3,0)</f>
        <v>#N/A</v>
      </c>
      <c r="P641" s="18">
        <f>COUNTIF('Pub List'!$C641:$T641,"&lt;&gt;")</f>
        <v>0</v>
      </c>
      <c r="Q641" s="20" t="e">
        <f t="shared" si="28"/>
        <v>#N/A</v>
      </c>
      <c r="R641" s="36"/>
      <c r="S641" s="18">
        <f>COUNTIF('Member List'!$C641:$J641,"&lt;&gt;")</f>
        <v>0</v>
      </c>
      <c r="T641" s="35"/>
      <c r="U641" s="24">
        <f t="shared" si="29"/>
        <v>0</v>
      </c>
      <c r="V641" s="18" t="e">
        <f t="shared" si="30"/>
        <v>#N/A</v>
      </c>
      <c r="W641" s="45" t="e">
        <f t="shared" si="31"/>
        <v>#N/A</v>
      </c>
      <c r="X641" s="20" t="e">
        <f t="shared" si="32"/>
        <v>#N/A</v>
      </c>
      <c r="Y641" s="46" t="e">
        <f t="shared" si="35"/>
        <v>#N/A</v>
      </c>
      <c r="Z641" s="39" t="e">
        <f t="shared" si="33"/>
        <v>#N/A</v>
      </c>
      <c r="AA641" s="39" t="e">
        <f t="shared" si="34"/>
        <v>#N/A</v>
      </c>
      <c r="AB641" s="39"/>
      <c r="AC641" s="48" t="e">
        <f t="shared" si="36"/>
        <v>#N/A</v>
      </c>
    </row>
    <row r="642" spans="1:29" ht="12.5" x14ac:dyDescent="0.25">
      <c r="A642" s="36"/>
      <c r="B642" s="33"/>
      <c r="C642" s="33"/>
      <c r="D642" s="33"/>
      <c r="E642" s="35"/>
      <c r="F642" s="21"/>
      <c r="G642" s="22" t="e">
        <f>VLOOKUP(E642,'Court List'!$A:$C,2,0)</f>
        <v>#N/A</v>
      </c>
      <c r="H642" s="33"/>
      <c r="I642" s="33"/>
      <c r="J642" s="44" t="e">
        <f t="shared" si="27"/>
        <v>#N/A</v>
      </c>
      <c r="K642" s="36"/>
      <c r="L642" s="18">
        <f>SUM('Shuttle Count - Supreme (Nov 20'!C642:D642)</f>
        <v>0</v>
      </c>
      <c r="M642" s="18" t="e">
        <f>VLOOKUP(K642,'Shuttle Purchase'!A:C,3,0)</f>
        <v>#N/A</v>
      </c>
      <c r="N642" s="44" t="e">
        <f t="shared" si="37"/>
        <v>#N/A</v>
      </c>
      <c r="O642" s="24" t="e">
        <f>VLOOKUP(E642,'Court List'!$A:$C,3,0)</f>
        <v>#N/A</v>
      </c>
      <c r="P642" s="18">
        <f>COUNTIF('Pub List'!$C642:$T642,"&lt;&gt;")</f>
        <v>0</v>
      </c>
      <c r="Q642" s="20" t="e">
        <f t="shared" si="28"/>
        <v>#N/A</v>
      </c>
      <c r="R642" s="36"/>
      <c r="S642" s="18">
        <f>COUNTIF('Member List'!$C642:$J642,"&lt;&gt;")</f>
        <v>0</v>
      </c>
      <c r="T642" s="35"/>
      <c r="U642" s="24">
        <f t="shared" si="29"/>
        <v>0</v>
      </c>
      <c r="V642" s="18" t="e">
        <f t="shared" si="30"/>
        <v>#N/A</v>
      </c>
      <c r="W642" s="45" t="e">
        <f t="shared" si="31"/>
        <v>#N/A</v>
      </c>
      <c r="X642" s="20" t="e">
        <f t="shared" si="32"/>
        <v>#N/A</v>
      </c>
      <c r="Y642" s="46" t="e">
        <f t="shared" si="35"/>
        <v>#N/A</v>
      </c>
      <c r="Z642" s="39" t="e">
        <f t="shared" si="33"/>
        <v>#N/A</v>
      </c>
      <c r="AA642" s="39" t="e">
        <f t="shared" si="34"/>
        <v>#N/A</v>
      </c>
      <c r="AB642" s="39"/>
      <c r="AC642" s="48" t="e">
        <f t="shared" si="36"/>
        <v>#N/A</v>
      </c>
    </row>
    <row r="643" spans="1:29" ht="12.5" x14ac:dyDescent="0.25">
      <c r="A643" s="36"/>
      <c r="B643" s="33"/>
      <c r="C643" s="33"/>
      <c r="D643" s="33"/>
      <c r="E643" s="35"/>
      <c r="F643" s="21"/>
      <c r="G643" s="22" t="e">
        <f>VLOOKUP(E643,'Court List'!$A:$C,2,0)</f>
        <v>#N/A</v>
      </c>
      <c r="H643" s="33"/>
      <c r="I643" s="33"/>
      <c r="J643" s="44" t="e">
        <f t="shared" si="27"/>
        <v>#N/A</v>
      </c>
      <c r="K643" s="36"/>
      <c r="L643" s="18">
        <f>SUM('Shuttle Count - Supreme (Nov 20'!C643:D643)</f>
        <v>0</v>
      </c>
      <c r="M643" s="18" t="e">
        <f>VLOOKUP(K643,'Shuttle Purchase'!A:C,3,0)</f>
        <v>#N/A</v>
      </c>
      <c r="N643" s="44" t="e">
        <f t="shared" si="37"/>
        <v>#N/A</v>
      </c>
      <c r="O643" s="24" t="e">
        <f>VLOOKUP(E643,'Court List'!$A:$C,3,0)</f>
        <v>#N/A</v>
      </c>
      <c r="P643" s="18">
        <f>COUNTIF('Pub List'!$C643:$T643,"&lt;&gt;")</f>
        <v>0</v>
      </c>
      <c r="Q643" s="20" t="e">
        <f t="shared" si="28"/>
        <v>#N/A</v>
      </c>
      <c r="R643" s="36"/>
      <c r="S643" s="18">
        <f>COUNTIF('Member List'!$C643:$J643,"&lt;&gt;")</f>
        <v>0</v>
      </c>
      <c r="T643" s="35"/>
      <c r="U643" s="24">
        <f t="shared" si="29"/>
        <v>0</v>
      </c>
      <c r="V643" s="18" t="e">
        <f t="shared" si="30"/>
        <v>#N/A</v>
      </c>
      <c r="W643" s="45" t="e">
        <f t="shared" si="31"/>
        <v>#N/A</v>
      </c>
      <c r="X643" s="20" t="e">
        <f t="shared" si="32"/>
        <v>#N/A</v>
      </c>
      <c r="Y643" s="46" t="e">
        <f t="shared" si="35"/>
        <v>#N/A</v>
      </c>
      <c r="Z643" s="39" t="e">
        <f t="shared" si="33"/>
        <v>#N/A</v>
      </c>
      <c r="AA643" s="39" t="e">
        <f t="shared" si="34"/>
        <v>#N/A</v>
      </c>
      <c r="AB643" s="39"/>
      <c r="AC643" s="48" t="e">
        <f t="shared" si="36"/>
        <v>#N/A</v>
      </c>
    </row>
    <row r="644" spans="1:29" ht="12.5" x14ac:dyDescent="0.25">
      <c r="A644" s="36"/>
      <c r="B644" s="33"/>
      <c r="C644" s="33"/>
      <c r="D644" s="33"/>
      <c r="E644" s="35"/>
      <c r="F644" s="21"/>
      <c r="G644" s="22" t="e">
        <f>VLOOKUP(E644,'Court List'!$A:$C,2,0)</f>
        <v>#N/A</v>
      </c>
      <c r="H644" s="33"/>
      <c r="I644" s="33"/>
      <c r="J644" s="44" t="e">
        <f t="shared" si="27"/>
        <v>#N/A</v>
      </c>
      <c r="K644" s="36"/>
      <c r="L644" s="18">
        <f>SUM('Shuttle Count - Supreme (Nov 20'!C644:D644)</f>
        <v>0</v>
      </c>
      <c r="M644" s="18" t="e">
        <f>VLOOKUP(K644,'Shuttle Purchase'!A:C,3,0)</f>
        <v>#N/A</v>
      </c>
      <c r="N644" s="44" t="e">
        <f t="shared" si="37"/>
        <v>#N/A</v>
      </c>
      <c r="O644" s="24" t="e">
        <f>VLOOKUP(E644,'Court List'!$A:$C,3,0)</f>
        <v>#N/A</v>
      </c>
      <c r="P644" s="18">
        <f>COUNTIF('Pub List'!$C644:$T644,"&lt;&gt;")</f>
        <v>0</v>
      </c>
      <c r="Q644" s="20" t="e">
        <f t="shared" si="28"/>
        <v>#N/A</v>
      </c>
      <c r="R644" s="36"/>
      <c r="S644" s="18">
        <f>COUNTIF('Member List'!$C644:$J644,"&lt;&gt;")</f>
        <v>0</v>
      </c>
      <c r="T644" s="35"/>
      <c r="U644" s="24">
        <f t="shared" si="29"/>
        <v>0</v>
      </c>
      <c r="V644" s="18" t="e">
        <f t="shared" si="30"/>
        <v>#N/A</v>
      </c>
      <c r="W644" s="45" t="e">
        <f t="shared" si="31"/>
        <v>#N/A</v>
      </c>
      <c r="X644" s="20" t="e">
        <f t="shared" si="32"/>
        <v>#N/A</v>
      </c>
      <c r="Y644" s="46" t="e">
        <f t="shared" si="35"/>
        <v>#N/A</v>
      </c>
      <c r="Z644" s="39" t="e">
        <f t="shared" si="33"/>
        <v>#N/A</v>
      </c>
      <c r="AA644" s="39" t="e">
        <f t="shared" si="34"/>
        <v>#N/A</v>
      </c>
      <c r="AB644" s="39"/>
      <c r="AC644" s="48" t="e">
        <f t="shared" si="36"/>
        <v>#N/A</v>
      </c>
    </row>
    <row r="645" spans="1:29" ht="12.5" x14ac:dyDescent="0.25">
      <c r="A645" s="36"/>
      <c r="B645" s="33"/>
      <c r="C645" s="33"/>
      <c r="D645" s="33"/>
      <c r="E645" s="35"/>
      <c r="F645" s="21"/>
      <c r="G645" s="22" t="e">
        <f>VLOOKUP(E645,'Court List'!$A:$C,2,0)</f>
        <v>#N/A</v>
      </c>
      <c r="H645" s="33"/>
      <c r="I645" s="33"/>
      <c r="J645" s="44" t="e">
        <f t="shared" si="27"/>
        <v>#N/A</v>
      </c>
      <c r="K645" s="36"/>
      <c r="L645" s="18">
        <f>SUM('Shuttle Count - Supreme (Nov 20'!C645:D645)</f>
        <v>0</v>
      </c>
      <c r="M645" s="18" t="e">
        <f>VLOOKUP(K645,'Shuttle Purchase'!A:C,3,0)</f>
        <v>#N/A</v>
      </c>
      <c r="N645" s="44" t="e">
        <f t="shared" si="37"/>
        <v>#N/A</v>
      </c>
      <c r="O645" s="24" t="e">
        <f>VLOOKUP(E645,'Court List'!$A:$C,3,0)</f>
        <v>#N/A</v>
      </c>
      <c r="P645" s="18">
        <f>COUNTIF('Pub List'!$C645:$T645,"&lt;&gt;")</f>
        <v>0</v>
      </c>
      <c r="Q645" s="20" t="e">
        <f t="shared" si="28"/>
        <v>#N/A</v>
      </c>
      <c r="R645" s="36"/>
      <c r="S645" s="18">
        <f>COUNTIF('Member List'!$C645:$J645,"&lt;&gt;")</f>
        <v>0</v>
      </c>
      <c r="T645" s="35"/>
      <c r="U645" s="24">
        <f t="shared" si="29"/>
        <v>0</v>
      </c>
      <c r="V645" s="18" t="e">
        <f t="shared" si="30"/>
        <v>#N/A</v>
      </c>
      <c r="W645" s="45" t="e">
        <f t="shared" si="31"/>
        <v>#N/A</v>
      </c>
      <c r="X645" s="20" t="e">
        <f t="shared" si="32"/>
        <v>#N/A</v>
      </c>
      <c r="Y645" s="46" t="e">
        <f t="shared" si="35"/>
        <v>#N/A</v>
      </c>
      <c r="Z645" s="39" t="e">
        <f t="shared" si="33"/>
        <v>#N/A</v>
      </c>
      <c r="AA645" s="39" t="e">
        <f t="shared" si="34"/>
        <v>#N/A</v>
      </c>
      <c r="AB645" s="39"/>
      <c r="AC645" s="48" t="e">
        <f t="shared" si="36"/>
        <v>#N/A</v>
      </c>
    </row>
    <row r="646" spans="1:29" ht="12.5" x14ac:dyDescent="0.25">
      <c r="A646" s="36"/>
      <c r="B646" s="33"/>
      <c r="C646" s="33"/>
      <c r="D646" s="33"/>
      <c r="E646" s="35"/>
      <c r="F646" s="21"/>
      <c r="G646" s="22" t="e">
        <f>VLOOKUP(E646,'Court List'!$A:$C,2,0)</f>
        <v>#N/A</v>
      </c>
      <c r="H646" s="33"/>
      <c r="I646" s="33"/>
      <c r="J646" s="44" t="e">
        <f t="shared" si="27"/>
        <v>#N/A</v>
      </c>
      <c r="K646" s="36"/>
      <c r="L646" s="18">
        <f>SUM('Shuttle Count - Supreme (Nov 20'!C646:D646)</f>
        <v>0</v>
      </c>
      <c r="M646" s="18" t="e">
        <f>VLOOKUP(K646,'Shuttle Purchase'!A:C,3,0)</f>
        <v>#N/A</v>
      </c>
      <c r="N646" s="44" t="e">
        <f t="shared" si="37"/>
        <v>#N/A</v>
      </c>
      <c r="O646" s="24" t="e">
        <f>VLOOKUP(E646,'Court List'!$A:$C,3,0)</f>
        <v>#N/A</v>
      </c>
      <c r="P646" s="18">
        <f>COUNTIF('Pub List'!$C646:$T646,"&lt;&gt;")</f>
        <v>0</v>
      </c>
      <c r="Q646" s="20" t="e">
        <f t="shared" si="28"/>
        <v>#N/A</v>
      </c>
      <c r="R646" s="36"/>
      <c r="S646" s="18">
        <f>COUNTIF('Member List'!$C646:$J646,"&lt;&gt;")</f>
        <v>0</v>
      </c>
      <c r="T646" s="35"/>
      <c r="U646" s="24">
        <f t="shared" si="29"/>
        <v>0</v>
      </c>
      <c r="V646" s="18" t="e">
        <f t="shared" si="30"/>
        <v>#N/A</v>
      </c>
      <c r="W646" s="45" t="e">
        <f t="shared" si="31"/>
        <v>#N/A</v>
      </c>
      <c r="X646" s="20" t="e">
        <f t="shared" si="32"/>
        <v>#N/A</v>
      </c>
      <c r="Y646" s="46" t="e">
        <f t="shared" si="35"/>
        <v>#N/A</v>
      </c>
      <c r="Z646" s="39" t="e">
        <f t="shared" si="33"/>
        <v>#N/A</v>
      </c>
      <c r="AA646" s="39" t="e">
        <f t="shared" si="34"/>
        <v>#N/A</v>
      </c>
      <c r="AB646" s="39"/>
      <c r="AC646" s="48" t="e">
        <f t="shared" si="36"/>
        <v>#N/A</v>
      </c>
    </row>
    <row r="647" spans="1:29" ht="12.5" x14ac:dyDescent="0.25">
      <c r="A647" s="36"/>
      <c r="B647" s="33"/>
      <c r="C647" s="33"/>
      <c r="D647" s="33"/>
      <c r="E647" s="35"/>
      <c r="F647" s="21"/>
      <c r="G647" s="22" t="e">
        <f>VLOOKUP(E647,'Court List'!$A:$C,2,0)</f>
        <v>#N/A</v>
      </c>
      <c r="H647" s="33"/>
      <c r="I647" s="33"/>
      <c r="J647" s="44" t="e">
        <f t="shared" si="27"/>
        <v>#N/A</v>
      </c>
      <c r="K647" s="36"/>
      <c r="L647" s="18">
        <f>SUM('Shuttle Count - Supreme (Nov 20'!C647:D647)</f>
        <v>0</v>
      </c>
      <c r="M647" s="18" t="e">
        <f>VLOOKUP(K647,'Shuttle Purchase'!A:C,3,0)</f>
        <v>#N/A</v>
      </c>
      <c r="N647" s="44" t="e">
        <f t="shared" si="37"/>
        <v>#N/A</v>
      </c>
      <c r="O647" s="24" t="e">
        <f>VLOOKUP(E647,'Court List'!$A:$C,3,0)</f>
        <v>#N/A</v>
      </c>
      <c r="P647" s="18">
        <f>COUNTIF('Pub List'!$C647:$T647,"&lt;&gt;")</f>
        <v>0</v>
      </c>
      <c r="Q647" s="20" t="e">
        <f t="shared" si="28"/>
        <v>#N/A</v>
      </c>
      <c r="R647" s="36"/>
      <c r="S647" s="18">
        <f>COUNTIF('Member List'!$C647:$J647,"&lt;&gt;")</f>
        <v>0</v>
      </c>
      <c r="T647" s="35"/>
      <c r="U647" s="24">
        <f t="shared" si="29"/>
        <v>0</v>
      </c>
      <c r="V647" s="18" t="e">
        <f t="shared" si="30"/>
        <v>#N/A</v>
      </c>
      <c r="W647" s="45" t="e">
        <f t="shared" si="31"/>
        <v>#N/A</v>
      </c>
      <c r="X647" s="20" t="e">
        <f t="shared" si="32"/>
        <v>#N/A</v>
      </c>
      <c r="Y647" s="46" t="e">
        <f t="shared" si="35"/>
        <v>#N/A</v>
      </c>
      <c r="Z647" s="39" t="e">
        <f t="shared" si="33"/>
        <v>#N/A</v>
      </c>
      <c r="AA647" s="39" t="e">
        <f t="shared" si="34"/>
        <v>#N/A</v>
      </c>
      <c r="AB647" s="39"/>
      <c r="AC647" s="48" t="e">
        <f t="shared" si="36"/>
        <v>#N/A</v>
      </c>
    </row>
    <row r="648" spans="1:29" ht="12.5" x14ac:dyDescent="0.25">
      <c r="A648" s="36"/>
      <c r="B648" s="33"/>
      <c r="C648" s="33"/>
      <c r="D648" s="33"/>
      <c r="E648" s="35"/>
      <c r="F648" s="21"/>
      <c r="G648" s="22" t="e">
        <f>VLOOKUP(E648,'Court List'!$A:$C,2,0)</f>
        <v>#N/A</v>
      </c>
      <c r="H648" s="33"/>
      <c r="I648" s="33"/>
      <c r="J648" s="44" t="e">
        <f t="shared" si="27"/>
        <v>#N/A</v>
      </c>
      <c r="K648" s="36"/>
      <c r="L648" s="18">
        <f>SUM('Shuttle Count - Supreme (Nov 20'!C648:D648)</f>
        <v>0</v>
      </c>
      <c r="M648" s="18" t="e">
        <f>VLOOKUP(K648,'Shuttle Purchase'!A:C,3,0)</f>
        <v>#N/A</v>
      </c>
      <c r="N648" s="44" t="e">
        <f t="shared" si="37"/>
        <v>#N/A</v>
      </c>
      <c r="O648" s="24" t="e">
        <f>VLOOKUP(E648,'Court List'!$A:$C,3,0)</f>
        <v>#N/A</v>
      </c>
      <c r="P648" s="18">
        <f>COUNTIF('Pub List'!$C648:$T648,"&lt;&gt;")</f>
        <v>0</v>
      </c>
      <c r="Q648" s="20" t="e">
        <f t="shared" si="28"/>
        <v>#N/A</v>
      </c>
      <c r="R648" s="36"/>
      <c r="S648" s="18">
        <f>COUNTIF('Member List'!$C648:$J648,"&lt;&gt;")</f>
        <v>0</v>
      </c>
      <c r="T648" s="35"/>
      <c r="U648" s="24">
        <f t="shared" si="29"/>
        <v>0</v>
      </c>
      <c r="V648" s="18" t="e">
        <f t="shared" si="30"/>
        <v>#N/A</v>
      </c>
      <c r="W648" s="45" t="e">
        <f t="shared" si="31"/>
        <v>#N/A</v>
      </c>
      <c r="X648" s="20" t="e">
        <f t="shared" si="32"/>
        <v>#N/A</v>
      </c>
      <c r="Y648" s="46" t="e">
        <f t="shared" si="35"/>
        <v>#N/A</v>
      </c>
      <c r="Z648" s="39" t="e">
        <f t="shared" si="33"/>
        <v>#N/A</v>
      </c>
      <c r="AA648" s="39" t="e">
        <f t="shared" si="34"/>
        <v>#N/A</v>
      </c>
      <c r="AB648" s="39"/>
      <c r="AC648" s="48" t="e">
        <f t="shared" si="36"/>
        <v>#N/A</v>
      </c>
    </row>
    <row r="649" spans="1:29" ht="12.5" x14ac:dyDescent="0.25">
      <c r="A649" s="36"/>
      <c r="B649" s="33"/>
      <c r="C649" s="33"/>
      <c r="D649" s="33"/>
      <c r="E649" s="35"/>
      <c r="F649" s="21"/>
      <c r="G649" s="22" t="e">
        <f>VLOOKUP(E649,'Court List'!$A:$C,2,0)</f>
        <v>#N/A</v>
      </c>
      <c r="H649" s="33"/>
      <c r="I649" s="33"/>
      <c r="J649" s="44" t="e">
        <f t="shared" si="27"/>
        <v>#N/A</v>
      </c>
      <c r="K649" s="36"/>
      <c r="L649" s="18">
        <f>SUM('Shuttle Count - Supreme (Nov 20'!C649:D649)</f>
        <v>0</v>
      </c>
      <c r="M649" s="18" t="e">
        <f>VLOOKUP(K649,'Shuttle Purchase'!A:C,3,0)</f>
        <v>#N/A</v>
      </c>
      <c r="N649" s="44" t="e">
        <f t="shared" si="37"/>
        <v>#N/A</v>
      </c>
      <c r="O649" s="24" t="e">
        <f>VLOOKUP(E649,'Court List'!$A:$C,3,0)</f>
        <v>#N/A</v>
      </c>
      <c r="P649" s="18">
        <f>COUNTIF('Pub List'!$C649:$T649,"&lt;&gt;")</f>
        <v>0</v>
      </c>
      <c r="Q649" s="20" t="e">
        <f t="shared" si="28"/>
        <v>#N/A</v>
      </c>
      <c r="R649" s="36"/>
      <c r="S649" s="18">
        <f>COUNTIF('Member List'!$C649:$J649,"&lt;&gt;")</f>
        <v>0</v>
      </c>
      <c r="T649" s="35"/>
      <c r="U649" s="24">
        <f t="shared" si="29"/>
        <v>0</v>
      </c>
      <c r="V649" s="18" t="e">
        <f t="shared" si="30"/>
        <v>#N/A</v>
      </c>
      <c r="W649" s="45" t="e">
        <f t="shared" si="31"/>
        <v>#N/A</v>
      </c>
      <c r="X649" s="20" t="e">
        <f t="shared" si="32"/>
        <v>#N/A</v>
      </c>
      <c r="Y649" s="46" t="e">
        <f t="shared" si="35"/>
        <v>#N/A</v>
      </c>
      <c r="Z649" s="39" t="e">
        <f t="shared" si="33"/>
        <v>#N/A</v>
      </c>
      <c r="AA649" s="39" t="e">
        <f t="shared" si="34"/>
        <v>#N/A</v>
      </c>
      <c r="AB649" s="39"/>
      <c r="AC649" s="48" t="e">
        <f t="shared" si="36"/>
        <v>#N/A</v>
      </c>
    </row>
    <row r="650" spans="1:29" ht="12.5" x14ac:dyDescent="0.25">
      <c r="A650" s="36"/>
      <c r="B650" s="33"/>
      <c r="C650" s="33"/>
      <c r="D650" s="33"/>
      <c r="E650" s="35"/>
      <c r="F650" s="21"/>
      <c r="G650" s="22" t="e">
        <f>VLOOKUP(E650,'Court List'!$A:$C,2,0)</f>
        <v>#N/A</v>
      </c>
      <c r="H650" s="33"/>
      <c r="I650" s="33"/>
      <c r="J650" s="44" t="e">
        <f t="shared" si="27"/>
        <v>#N/A</v>
      </c>
      <c r="K650" s="36"/>
      <c r="L650" s="18">
        <f>SUM('Shuttle Count - Supreme (Nov 20'!C650:D650)</f>
        <v>0</v>
      </c>
      <c r="M650" s="18" t="e">
        <f>VLOOKUP(K650,'Shuttle Purchase'!A:C,3,0)</f>
        <v>#N/A</v>
      </c>
      <c r="N650" s="44" t="e">
        <f t="shared" si="37"/>
        <v>#N/A</v>
      </c>
      <c r="O650" s="24" t="e">
        <f>VLOOKUP(E650,'Court List'!$A:$C,3,0)</f>
        <v>#N/A</v>
      </c>
      <c r="P650" s="18">
        <f>COUNTIF('Pub List'!$C650:$T650,"&lt;&gt;")</f>
        <v>0</v>
      </c>
      <c r="Q650" s="20" t="e">
        <f t="shared" si="28"/>
        <v>#N/A</v>
      </c>
      <c r="R650" s="36"/>
      <c r="S650" s="18">
        <f>COUNTIF('Member List'!$C650:$J650,"&lt;&gt;")</f>
        <v>0</v>
      </c>
      <c r="T650" s="35"/>
      <c r="U650" s="24">
        <f t="shared" si="29"/>
        <v>0</v>
      </c>
      <c r="V650" s="18" t="e">
        <f t="shared" si="30"/>
        <v>#N/A</v>
      </c>
      <c r="W650" s="45" t="e">
        <f t="shared" si="31"/>
        <v>#N/A</v>
      </c>
      <c r="X650" s="20" t="e">
        <f t="shared" si="32"/>
        <v>#N/A</v>
      </c>
      <c r="Y650" s="46" t="e">
        <f t="shared" si="35"/>
        <v>#N/A</v>
      </c>
      <c r="Z650" s="39" t="e">
        <f t="shared" si="33"/>
        <v>#N/A</v>
      </c>
      <c r="AA650" s="39" t="e">
        <f t="shared" si="34"/>
        <v>#N/A</v>
      </c>
      <c r="AB650" s="39"/>
      <c r="AC650" s="48" t="e">
        <f t="shared" si="36"/>
        <v>#N/A</v>
      </c>
    </row>
    <row r="651" spans="1:29" ht="12.5" x14ac:dyDescent="0.25">
      <c r="A651" s="36"/>
      <c r="B651" s="33"/>
      <c r="C651" s="33"/>
      <c r="D651" s="33"/>
      <c r="E651" s="35"/>
      <c r="F651" s="21"/>
      <c r="G651" s="22" t="e">
        <f>VLOOKUP(E651,'Court List'!$A:$C,2,0)</f>
        <v>#N/A</v>
      </c>
      <c r="H651" s="33"/>
      <c r="I651" s="33"/>
      <c r="J651" s="44" t="e">
        <f t="shared" si="27"/>
        <v>#N/A</v>
      </c>
      <c r="K651" s="36"/>
      <c r="L651" s="18">
        <f>SUM('Shuttle Count - Supreme (Nov 20'!C651:D651)</f>
        <v>0</v>
      </c>
      <c r="M651" s="18" t="e">
        <f>VLOOKUP(K651,'Shuttle Purchase'!A:C,3,0)</f>
        <v>#N/A</v>
      </c>
      <c r="N651" s="44" t="e">
        <f t="shared" si="37"/>
        <v>#N/A</v>
      </c>
      <c r="O651" s="24" t="e">
        <f>VLOOKUP(E651,'Court List'!$A:$C,3,0)</f>
        <v>#N/A</v>
      </c>
      <c r="P651" s="18">
        <f>COUNTIF('Pub List'!$C651:$T651,"&lt;&gt;")</f>
        <v>0</v>
      </c>
      <c r="Q651" s="20" t="e">
        <f t="shared" si="28"/>
        <v>#N/A</v>
      </c>
      <c r="R651" s="36"/>
      <c r="S651" s="18">
        <f>COUNTIF('Member List'!$C651:$J651,"&lt;&gt;")</f>
        <v>0</v>
      </c>
      <c r="T651" s="35"/>
      <c r="U651" s="24">
        <f t="shared" si="29"/>
        <v>0</v>
      </c>
      <c r="V651" s="18" t="e">
        <f t="shared" si="30"/>
        <v>#N/A</v>
      </c>
      <c r="W651" s="45" t="e">
        <f t="shared" si="31"/>
        <v>#N/A</v>
      </c>
      <c r="X651" s="20" t="e">
        <f t="shared" si="32"/>
        <v>#N/A</v>
      </c>
      <c r="Y651" s="46" t="e">
        <f t="shared" si="35"/>
        <v>#N/A</v>
      </c>
      <c r="Z651" s="39" t="e">
        <f t="shared" si="33"/>
        <v>#N/A</v>
      </c>
      <c r="AA651" s="39" t="e">
        <f t="shared" si="34"/>
        <v>#N/A</v>
      </c>
      <c r="AB651" s="39"/>
      <c r="AC651" s="48" t="e">
        <f t="shared" si="36"/>
        <v>#N/A</v>
      </c>
    </row>
    <row r="652" spans="1:29" ht="12.5" x14ac:dyDescent="0.25">
      <c r="A652" s="36"/>
      <c r="B652" s="33"/>
      <c r="C652" s="33"/>
      <c r="D652" s="33"/>
      <c r="E652" s="35"/>
      <c r="F652" s="21"/>
      <c r="G652" s="22" t="e">
        <f>VLOOKUP(E652,'Court List'!$A:$C,2,0)</f>
        <v>#N/A</v>
      </c>
      <c r="H652" s="33"/>
      <c r="I652" s="33"/>
      <c r="J652" s="44" t="e">
        <f t="shared" si="27"/>
        <v>#N/A</v>
      </c>
      <c r="K652" s="36"/>
      <c r="L652" s="18">
        <f>SUM('Shuttle Count - Supreme (Nov 20'!C652:D652)</f>
        <v>0</v>
      </c>
      <c r="M652" s="18" t="e">
        <f>VLOOKUP(K652,'Shuttle Purchase'!A:C,3,0)</f>
        <v>#N/A</v>
      </c>
      <c r="N652" s="44" t="e">
        <f t="shared" si="37"/>
        <v>#N/A</v>
      </c>
      <c r="O652" s="24" t="e">
        <f>VLOOKUP(E652,'Court List'!$A:$C,3,0)</f>
        <v>#N/A</v>
      </c>
      <c r="P652" s="18">
        <f>COUNTIF('Pub List'!$C652:$T652,"&lt;&gt;")</f>
        <v>0</v>
      </c>
      <c r="Q652" s="20" t="e">
        <f t="shared" si="28"/>
        <v>#N/A</v>
      </c>
      <c r="R652" s="36"/>
      <c r="S652" s="18">
        <f>COUNTIF('Member List'!$C652:$J652,"&lt;&gt;")</f>
        <v>0</v>
      </c>
      <c r="T652" s="35"/>
      <c r="U652" s="24">
        <f t="shared" si="29"/>
        <v>0</v>
      </c>
      <c r="V652" s="18" t="e">
        <f t="shared" si="30"/>
        <v>#N/A</v>
      </c>
      <c r="W652" s="45" t="e">
        <f t="shared" si="31"/>
        <v>#N/A</v>
      </c>
      <c r="X652" s="20" t="e">
        <f t="shared" si="32"/>
        <v>#N/A</v>
      </c>
      <c r="Y652" s="46" t="e">
        <f t="shared" si="35"/>
        <v>#N/A</v>
      </c>
      <c r="Z652" s="39" t="e">
        <f t="shared" si="33"/>
        <v>#N/A</v>
      </c>
      <c r="AA652" s="39" t="e">
        <f t="shared" si="34"/>
        <v>#N/A</v>
      </c>
      <c r="AB652" s="39"/>
      <c r="AC652" s="48" t="e">
        <f t="shared" si="36"/>
        <v>#N/A</v>
      </c>
    </row>
    <row r="653" spans="1:29" ht="12.5" x14ac:dyDescent="0.25">
      <c r="A653" s="36"/>
      <c r="B653" s="33"/>
      <c r="C653" s="33"/>
      <c r="D653" s="33"/>
      <c r="E653" s="35"/>
      <c r="F653" s="21"/>
      <c r="G653" s="22" t="e">
        <f>VLOOKUP(E653,'Court List'!$A:$C,2,0)</f>
        <v>#N/A</v>
      </c>
      <c r="H653" s="33"/>
      <c r="I653" s="33"/>
      <c r="J653" s="44" t="e">
        <f t="shared" si="27"/>
        <v>#N/A</v>
      </c>
      <c r="K653" s="36"/>
      <c r="L653" s="18">
        <f>SUM('Shuttle Count - Supreme (Nov 20'!C653:D653)</f>
        <v>0</v>
      </c>
      <c r="M653" s="18" t="e">
        <f>VLOOKUP(K653,'Shuttle Purchase'!A:C,3,0)</f>
        <v>#N/A</v>
      </c>
      <c r="N653" s="44" t="e">
        <f t="shared" si="37"/>
        <v>#N/A</v>
      </c>
      <c r="O653" s="24" t="e">
        <f>VLOOKUP(E653,'Court List'!$A:$C,3,0)</f>
        <v>#N/A</v>
      </c>
      <c r="P653" s="18">
        <f>COUNTIF('Pub List'!$C653:$T653,"&lt;&gt;")</f>
        <v>0</v>
      </c>
      <c r="Q653" s="20" t="e">
        <f t="shared" si="28"/>
        <v>#N/A</v>
      </c>
      <c r="R653" s="36"/>
      <c r="S653" s="18">
        <f>COUNTIF('Member List'!$C653:$J653,"&lt;&gt;")</f>
        <v>0</v>
      </c>
      <c r="T653" s="35"/>
      <c r="U653" s="24">
        <f t="shared" si="29"/>
        <v>0</v>
      </c>
      <c r="V653" s="18" t="e">
        <f t="shared" si="30"/>
        <v>#N/A</v>
      </c>
      <c r="W653" s="45" t="e">
        <f t="shared" si="31"/>
        <v>#N/A</v>
      </c>
      <c r="X653" s="20" t="e">
        <f t="shared" si="32"/>
        <v>#N/A</v>
      </c>
      <c r="Y653" s="46" t="e">
        <f t="shared" si="35"/>
        <v>#N/A</v>
      </c>
      <c r="Z653" s="39" t="e">
        <f t="shared" si="33"/>
        <v>#N/A</v>
      </c>
      <c r="AA653" s="39" t="e">
        <f t="shared" si="34"/>
        <v>#N/A</v>
      </c>
      <c r="AB653" s="39"/>
      <c r="AC653" s="48" t="e">
        <f t="shared" si="36"/>
        <v>#N/A</v>
      </c>
    </row>
    <row r="654" spans="1:29" ht="12.5" x14ac:dyDescent="0.25">
      <c r="A654" s="36"/>
      <c r="B654" s="33"/>
      <c r="C654" s="33"/>
      <c r="D654" s="33"/>
      <c r="E654" s="35"/>
      <c r="F654" s="21"/>
      <c r="G654" s="22" t="e">
        <f>VLOOKUP(E654,'Court List'!$A:$C,2,0)</f>
        <v>#N/A</v>
      </c>
      <c r="H654" s="33"/>
      <c r="I654" s="33"/>
      <c r="J654" s="44" t="e">
        <f t="shared" si="27"/>
        <v>#N/A</v>
      </c>
      <c r="K654" s="36"/>
      <c r="L654" s="18">
        <f>SUM('Shuttle Count - Supreme (Nov 20'!C654:D654)</f>
        <v>0</v>
      </c>
      <c r="M654" s="18" t="e">
        <f>VLOOKUP(K654,'Shuttle Purchase'!A:C,3,0)</f>
        <v>#N/A</v>
      </c>
      <c r="N654" s="44" t="e">
        <f t="shared" si="37"/>
        <v>#N/A</v>
      </c>
      <c r="O654" s="24" t="e">
        <f>VLOOKUP(E654,'Court List'!$A:$C,3,0)</f>
        <v>#N/A</v>
      </c>
      <c r="P654" s="18">
        <f>COUNTIF('Pub List'!$C654:$T654,"&lt;&gt;")</f>
        <v>0</v>
      </c>
      <c r="Q654" s="20" t="e">
        <f t="shared" si="28"/>
        <v>#N/A</v>
      </c>
      <c r="R654" s="36"/>
      <c r="S654" s="18">
        <f>COUNTIF('Member List'!$C654:$J654,"&lt;&gt;")</f>
        <v>0</v>
      </c>
      <c r="T654" s="35"/>
      <c r="U654" s="24">
        <f t="shared" si="29"/>
        <v>0</v>
      </c>
      <c r="V654" s="18" t="e">
        <f t="shared" si="30"/>
        <v>#N/A</v>
      </c>
      <c r="W654" s="45" t="e">
        <f t="shared" si="31"/>
        <v>#N/A</v>
      </c>
      <c r="X654" s="20" t="e">
        <f t="shared" si="32"/>
        <v>#N/A</v>
      </c>
      <c r="Y654" s="46" t="e">
        <f t="shared" si="35"/>
        <v>#N/A</v>
      </c>
      <c r="Z654" s="39" t="e">
        <f t="shared" si="33"/>
        <v>#N/A</v>
      </c>
      <c r="AA654" s="39" t="e">
        <f t="shared" si="34"/>
        <v>#N/A</v>
      </c>
      <c r="AB654" s="39"/>
      <c r="AC654" s="48" t="e">
        <f t="shared" si="36"/>
        <v>#N/A</v>
      </c>
    </row>
    <row r="655" spans="1:29" ht="12.5" x14ac:dyDescent="0.25">
      <c r="A655" s="36"/>
      <c r="B655" s="33"/>
      <c r="C655" s="33"/>
      <c r="D655" s="33"/>
      <c r="E655" s="35"/>
      <c r="F655" s="21"/>
      <c r="G655" s="22" t="e">
        <f>VLOOKUP(E655,'Court List'!$A:$C,2,0)</f>
        <v>#N/A</v>
      </c>
      <c r="H655" s="33"/>
      <c r="I655" s="33"/>
      <c r="J655" s="44" t="e">
        <f t="shared" si="27"/>
        <v>#N/A</v>
      </c>
      <c r="K655" s="36"/>
      <c r="L655" s="18">
        <f>SUM('Shuttle Count - Supreme (Nov 20'!C655:D655)</f>
        <v>0</v>
      </c>
      <c r="M655" s="18" t="e">
        <f>VLOOKUP(K655,'Shuttle Purchase'!A:C,3,0)</f>
        <v>#N/A</v>
      </c>
      <c r="N655" s="44" t="e">
        <f t="shared" si="37"/>
        <v>#N/A</v>
      </c>
      <c r="O655" s="24" t="e">
        <f>VLOOKUP(E655,'Court List'!$A:$C,3,0)</f>
        <v>#N/A</v>
      </c>
      <c r="P655" s="18">
        <f>COUNTIF('Pub List'!$C655:$T655,"&lt;&gt;")</f>
        <v>0</v>
      </c>
      <c r="Q655" s="20" t="e">
        <f t="shared" si="28"/>
        <v>#N/A</v>
      </c>
      <c r="R655" s="36"/>
      <c r="S655" s="18">
        <f>COUNTIF('Member List'!$C655:$J655,"&lt;&gt;")</f>
        <v>0</v>
      </c>
      <c r="T655" s="35"/>
      <c r="U655" s="24">
        <f t="shared" si="29"/>
        <v>0</v>
      </c>
      <c r="V655" s="18" t="e">
        <f t="shared" si="30"/>
        <v>#N/A</v>
      </c>
      <c r="W655" s="45" t="e">
        <f t="shared" si="31"/>
        <v>#N/A</v>
      </c>
      <c r="X655" s="20" t="e">
        <f t="shared" si="32"/>
        <v>#N/A</v>
      </c>
      <c r="Y655" s="46" t="e">
        <f t="shared" si="35"/>
        <v>#N/A</v>
      </c>
      <c r="Z655" s="39" t="e">
        <f t="shared" si="33"/>
        <v>#N/A</v>
      </c>
      <c r="AA655" s="39" t="e">
        <f t="shared" si="34"/>
        <v>#N/A</v>
      </c>
      <c r="AB655" s="39"/>
      <c r="AC655" s="48" t="e">
        <f t="shared" si="36"/>
        <v>#N/A</v>
      </c>
    </row>
    <row r="656" spans="1:29" ht="12.5" x14ac:dyDescent="0.25">
      <c r="A656" s="36"/>
      <c r="B656" s="33"/>
      <c r="C656" s="33"/>
      <c r="D656" s="33"/>
      <c r="E656" s="35"/>
      <c r="F656" s="21"/>
      <c r="G656" s="22" t="e">
        <f>VLOOKUP(E656,'Court List'!$A:$C,2,0)</f>
        <v>#N/A</v>
      </c>
      <c r="H656" s="33"/>
      <c r="I656" s="33"/>
      <c r="J656" s="44" t="e">
        <f t="shared" si="27"/>
        <v>#N/A</v>
      </c>
      <c r="K656" s="36"/>
      <c r="L656" s="18">
        <f>SUM('Shuttle Count - Supreme (Nov 20'!C656:D656)</f>
        <v>0</v>
      </c>
      <c r="M656" s="18" t="e">
        <f>VLOOKUP(K656,'Shuttle Purchase'!A:C,3,0)</f>
        <v>#N/A</v>
      </c>
      <c r="N656" s="44" t="e">
        <f t="shared" si="37"/>
        <v>#N/A</v>
      </c>
      <c r="O656" s="24" t="e">
        <f>VLOOKUP(E656,'Court List'!$A:$C,3,0)</f>
        <v>#N/A</v>
      </c>
      <c r="P656" s="18">
        <f>COUNTIF('Pub List'!$C656:$T656,"&lt;&gt;")</f>
        <v>0</v>
      </c>
      <c r="Q656" s="20" t="e">
        <f t="shared" si="28"/>
        <v>#N/A</v>
      </c>
      <c r="R656" s="36"/>
      <c r="S656" s="18">
        <f>COUNTIF('Member List'!$C656:$J656,"&lt;&gt;")</f>
        <v>0</v>
      </c>
      <c r="T656" s="35"/>
      <c r="U656" s="24">
        <f t="shared" si="29"/>
        <v>0</v>
      </c>
      <c r="V656" s="18" t="e">
        <f t="shared" si="30"/>
        <v>#N/A</v>
      </c>
      <c r="W656" s="45" t="e">
        <f t="shared" si="31"/>
        <v>#N/A</v>
      </c>
      <c r="X656" s="20" t="e">
        <f t="shared" si="32"/>
        <v>#N/A</v>
      </c>
      <c r="Y656" s="46" t="e">
        <f t="shared" si="35"/>
        <v>#N/A</v>
      </c>
      <c r="Z656" s="39" t="e">
        <f t="shared" si="33"/>
        <v>#N/A</v>
      </c>
      <c r="AA656" s="39" t="e">
        <f t="shared" si="34"/>
        <v>#N/A</v>
      </c>
      <c r="AB656" s="39"/>
      <c r="AC656" s="48" t="e">
        <f t="shared" si="36"/>
        <v>#N/A</v>
      </c>
    </row>
    <row r="657" spans="1:29" ht="12.5" x14ac:dyDescent="0.25">
      <c r="A657" s="36"/>
      <c r="B657" s="33"/>
      <c r="C657" s="33"/>
      <c r="D657" s="33"/>
      <c r="E657" s="35"/>
      <c r="F657" s="21"/>
      <c r="G657" s="22" t="e">
        <f>VLOOKUP(E657,'Court List'!$A:$C,2,0)</f>
        <v>#N/A</v>
      </c>
      <c r="H657" s="33"/>
      <c r="I657" s="33"/>
      <c r="J657" s="44" t="e">
        <f t="shared" si="27"/>
        <v>#N/A</v>
      </c>
      <c r="K657" s="36"/>
      <c r="L657" s="18">
        <f>SUM('Shuttle Count - Supreme (Nov 20'!C657:D657)</f>
        <v>0</v>
      </c>
      <c r="M657" s="18" t="e">
        <f>VLOOKUP(K657,'Shuttle Purchase'!A:C,3,0)</f>
        <v>#N/A</v>
      </c>
      <c r="N657" s="44" t="e">
        <f t="shared" si="37"/>
        <v>#N/A</v>
      </c>
      <c r="O657" s="24" t="e">
        <f>VLOOKUP(E657,'Court List'!$A:$C,3,0)</f>
        <v>#N/A</v>
      </c>
      <c r="P657" s="18">
        <f>COUNTIF('Pub List'!$C657:$T657,"&lt;&gt;")</f>
        <v>0</v>
      </c>
      <c r="Q657" s="20" t="e">
        <f t="shared" si="28"/>
        <v>#N/A</v>
      </c>
      <c r="R657" s="36"/>
      <c r="S657" s="18">
        <f>COUNTIF('Member List'!$C657:$J657,"&lt;&gt;")</f>
        <v>0</v>
      </c>
      <c r="T657" s="35"/>
      <c r="U657" s="24">
        <f t="shared" si="29"/>
        <v>0</v>
      </c>
      <c r="V657" s="18" t="e">
        <f t="shared" si="30"/>
        <v>#N/A</v>
      </c>
      <c r="W657" s="45" t="e">
        <f t="shared" si="31"/>
        <v>#N/A</v>
      </c>
      <c r="X657" s="20" t="e">
        <f t="shared" si="32"/>
        <v>#N/A</v>
      </c>
      <c r="Y657" s="46" t="e">
        <f t="shared" si="35"/>
        <v>#N/A</v>
      </c>
      <c r="Z657" s="39" t="e">
        <f t="shared" si="33"/>
        <v>#N/A</v>
      </c>
      <c r="AA657" s="39" t="e">
        <f t="shared" si="34"/>
        <v>#N/A</v>
      </c>
      <c r="AB657" s="39"/>
      <c r="AC657" s="48" t="e">
        <f t="shared" si="36"/>
        <v>#N/A</v>
      </c>
    </row>
    <row r="658" spans="1:29" ht="12.5" x14ac:dyDescent="0.25">
      <c r="A658" s="36"/>
      <c r="B658" s="33"/>
      <c r="C658" s="33"/>
      <c r="D658" s="33"/>
      <c r="E658" s="35"/>
      <c r="F658" s="21"/>
      <c r="G658" s="22" t="e">
        <f>VLOOKUP(E658,'Court List'!$A:$C,2,0)</f>
        <v>#N/A</v>
      </c>
      <c r="H658" s="33"/>
      <c r="I658" s="33"/>
      <c r="J658" s="44" t="e">
        <f t="shared" si="27"/>
        <v>#N/A</v>
      </c>
      <c r="K658" s="36"/>
      <c r="L658" s="18">
        <f>SUM('Shuttle Count - Supreme (Nov 20'!C658:D658)</f>
        <v>0</v>
      </c>
      <c r="M658" s="18" t="e">
        <f>VLOOKUP(K658,'Shuttle Purchase'!A:C,3,0)</f>
        <v>#N/A</v>
      </c>
      <c r="N658" s="44" t="e">
        <f t="shared" si="37"/>
        <v>#N/A</v>
      </c>
      <c r="O658" s="24" t="e">
        <f>VLOOKUP(E658,'Court List'!$A:$C,3,0)</f>
        <v>#N/A</v>
      </c>
      <c r="P658" s="18">
        <f>COUNTIF('Pub List'!$C658:$T658,"&lt;&gt;")</f>
        <v>0</v>
      </c>
      <c r="Q658" s="20" t="e">
        <f t="shared" si="28"/>
        <v>#N/A</v>
      </c>
      <c r="R658" s="36"/>
      <c r="S658" s="18">
        <f>COUNTIF('Member List'!$C658:$J658,"&lt;&gt;")</f>
        <v>0</v>
      </c>
      <c r="T658" s="35"/>
      <c r="U658" s="24">
        <f t="shared" si="29"/>
        <v>0</v>
      </c>
      <c r="V658" s="18" t="e">
        <f t="shared" si="30"/>
        <v>#N/A</v>
      </c>
      <c r="W658" s="45" t="e">
        <f t="shared" si="31"/>
        <v>#N/A</v>
      </c>
      <c r="X658" s="20" t="e">
        <f t="shared" si="32"/>
        <v>#N/A</v>
      </c>
      <c r="Y658" s="46" t="e">
        <f t="shared" si="35"/>
        <v>#N/A</v>
      </c>
      <c r="Z658" s="39" t="e">
        <f t="shared" si="33"/>
        <v>#N/A</v>
      </c>
      <c r="AA658" s="39" t="e">
        <f t="shared" si="34"/>
        <v>#N/A</v>
      </c>
      <c r="AB658" s="39"/>
      <c r="AC658" s="48" t="e">
        <f t="shared" si="36"/>
        <v>#N/A</v>
      </c>
    </row>
    <row r="659" spans="1:29" ht="12.5" x14ac:dyDescent="0.25">
      <c r="A659" s="36"/>
      <c r="B659" s="33"/>
      <c r="C659" s="33"/>
      <c r="D659" s="33"/>
      <c r="E659" s="35"/>
      <c r="F659" s="21"/>
      <c r="G659" s="22" t="e">
        <f>VLOOKUP(E659,'Court List'!$A:$C,2,0)</f>
        <v>#N/A</v>
      </c>
      <c r="H659" s="33"/>
      <c r="I659" s="33"/>
      <c r="J659" s="44" t="e">
        <f t="shared" si="27"/>
        <v>#N/A</v>
      </c>
      <c r="K659" s="36"/>
      <c r="L659" s="18">
        <f>SUM('Shuttle Count - Supreme (Nov 20'!C659:D659)</f>
        <v>0</v>
      </c>
      <c r="M659" s="18" t="e">
        <f>VLOOKUP(K659,'Shuttle Purchase'!A:C,3,0)</f>
        <v>#N/A</v>
      </c>
      <c r="N659" s="44" t="e">
        <f t="shared" si="37"/>
        <v>#N/A</v>
      </c>
      <c r="O659" s="24" t="e">
        <f>VLOOKUP(E659,'Court List'!$A:$C,3,0)</f>
        <v>#N/A</v>
      </c>
      <c r="P659" s="18">
        <f>COUNTIF('Pub List'!$C659:$T659,"&lt;&gt;")</f>
        <v>0</v>
      </c>
      <c r="Q659" s="20" t="e">
        <f t="shared" si="28"/>
        <v>#N/A</v>
      </c>
      <c r="R659" s="36"/>
      <c r="S659" s="18">
        <f>COUNTIF('Member List'!$C659:$J659,"&lt;&gt;")</f>
        <v>0</v>
      </c>
      <c r="T659" s="35"/>
      <c r="U659" s="24">
        <f t="shared" si="29"/>
        <v>0</v>
      </c>
      <c r="V659" s="18" t="e">
        <f t="shared" si="30"/>
        <v>#N/A</v>
      </c>
      <c r="W659" s="45" t="e">
        <f t="shared" si="31"/>
        <v>#N/A</v>
      </c>
      <c r="X659" s="20" t="e">
        <f t="shared" si="32"/>
        <v>#N/A</v>
      </c>
      <c r="Y659" s="46" t="e">
        <f t="shared" si="35"/>
        <v>#N/A</v>
      </c>
      <c r="Z659" s="39" t="e">
        <f t="shared" si="33"/>
        <v>#N/A</v>
      </c>
      <c r="AA659" s="39" t="e">
        <f t="shared" si="34"/>
        <v>#N/A</v>
      </c>
      <c r="AB659" s="39"/>
      <c r="AC659" s="48" t="e">
        <f t="shared" si="36"/>
        <v>#N/A</v>
      </c>
    </row>
    <row r="660" spans="1:29" ht="12.5" x14ac:dyDescent="0.25">
      <c r="A660" s="36"/>
      <c r="B660" s="33"/>
      <c r="C660" s="33"/>
      <c r="D660" s="33"/>
      <c r="E660" s="35"/>
      <c r="F660" s="21"/>
      <c r="G660" s="22" t="e">
        <f>VLOOKUP(E660,'Court List'!$A:$C,2,0)</f>
        <v>#N/A</v>
      </c>
      <c r="H660" s="33"/>
      <c r="I660" s="33"/>
      <c r="J660" s="44" t="e">
        <f t="shared" si="27"/>
        <v>#N/A</v>
      </c>
      <c r="K660" s="36"/>
      <c r="L660" s="18">
        <f>SUM('Shuttle Count - Supreme (Nov 20'!C660:D660)</f>
        <v>0</v>
      </c>
      <c r="M660" s="18" t="e">
        <f>VLOOKUP(K660,'Shuttle Purchase'!A:C,3,0)</f>
        <v>#N/A</v>
      </c>
      <c r="N660" s="44" t="e">
        <f t="shared" si="37"/>
        <v>#N/A</v>
      </c>
      <c r="O660" s="24" t="e">
        <f>VLOOKUP(E660,'Court List'!$A:$C,3,0)</f>
        <v>#N/A</v>
      </c>
      <c r="P660" s="18">
        <f>COUNTIF('Pub List'!$C660:$T660,"&lt;&gt;")</f>
        <v>0</v>
      </c>
      <c r="Q660" s="20" t="e">
        <f t="shared" si="28"/>
        <v>#N/A</v>
      </c>
      <c r="R660" s="36"/>
      <c r="S660" s="18">
        <f>COUNTIF('Member List'!$C660:$J660,"&lt;&gt;")</f>
        <v>0</v>
      </c>
      <c r="T660" s="35"/>
      <c r="U660" s="24">
        <f t="shared" si="29"/>
        <v>0</v>
      </c>
      <c r="V660" s="18" t="e">
        <f t="shared" si="30"/>
        <v>#N/A</v>
      </c>
      <c r="W660" s="45" t="e">
        <f t="shared" si="31"/>
        <v>#N/A</v>
      </c>
      <c r="X660" s="20" t="e">
        <f t="shared" si="32"/>
        <v>#N/A</v>
      </c>
      <c r="Y660" s="46" t="e">
        <f t="shared" si="35"/>
        <v>#N/A</v>
      </c>
      <c r="Z660" s="39" t="e">
        <f t="shared" si="33"/>
        <v>#N/A</v>
      </c>
      <c r="AA660" s="39" t="e">
        <f t="shared" si="34"/>
        <v>#N/A</v>
      </c>
      <c r="AB660" s="39"/>
      <c r="AC660" s="48" t="e">
        <f t="shared" si="36"/>
        <v>#N/A</v>
      </c>
    </row>
    <row r="661" spans="1:29" ht="12.5" x14ac:dyDescent="0.25">
      <c r="A661" s="36"/>
      <c r="B661" s="33"/>
      <c r="C661" s="33"/>
      <c r="D661" s="33"/>
      <c r="E661" s="35"/>
      <c r="F661" s="21"/>
      <c r="G661" s="22" t="e">
        <f>VLOOKUP(E661,'Court List'!$A:$C,2,0)</f>
        <v>#N/A</v>
      </c>
      <c r="H661" s="33"/>
      <c r="I661" s="33"/>
      <c r="J661" s="44" t="e">
        <f t="shared" si="27"/>
        <v>#N/A</v>
      </c>
      <c r="K661" s="36"/>
      <c r="L661" s="18">
        <f>SUM('Shuttle Count - Supreme (Nov 20'!C661:D661)</f>
        <v>0</v>
      </c>
      <c r="M661" s="18" t="e">
        <f>VLOOKUP(K661,'Shuttle Purchase'!A:C,3,0)</f>
        <v>#N/A</v>
      </c>
      <c r="N661" s="44" t="e">
        <f t="shared" si="37"/>
        <v>#N/A</v>
      </c>
      <c r="O661" s="24" t="e">
        <f>VLOOKUP(E661,'Court List'!$A:$C,3,0)</f>
        <v>#N/A</v>
      </c>
      <c r="P661" s="18">
        <f>COUNTIF('Pub List'!$C661:$T661,"&lt;&gt;")</f>
        <v>0</v>
      </c>
      <c r="Q661" s="20" t="e">
        <f t="shared" si="28"/>
        <v>#N/A</v>
      </c>
      <c r="R661" s="36"/>
      <c r="S661" s="18">
        <f>COUNTIF('Member List'!$C661:$J661,"&lt;&gt;")</f>
        <v>0</v>
      </c>
      <c r="T661" s="35"/>
      <c r="U661" s="24">
        <f t="shared" si="29"/>
        <v>0</v>
      </c>
      <c r="V661" s="18" t="e">
        <f t="shared" si="30"/>
        <v>#N/A</v>
      </c>
      <c r="W661" s="45" t="e">
        <f t="shared" si="31"/>
        <v>#N/A</v>
      </c>
      <c r="X661" s="20" t="e">
        <f t="shared" si="32"/>
        <v>#N/A</v>
      </c>
      <c r="Y661" s="46" t="e">
        <f t="shared" si="35"/>
        <v>#N/A</v>
      </c>
      <c r="Z661" s="39" t="e">
        <f t="shared" si="33"/>
        <v>#N/A</v>
      </c>
      <c r="AA661" s="39" t="e">
        <f t="shared" si="34"/>
        <v>#N/A</v>
      </c>
      <c r="AB661" s="39"/>
      <c r="AC661" s="48" t="e">
        <f t="shared" si="36"/>
        <v>#N/A</v>
      </c>
    </row>
    <row r="662" spans="1:29" ht="12.5" x14ac:dyDescent="0.25">
      <c r="A662" s="36"/>
      <c r="B662" s="33"/>
      <c r="C662" s="33"/>
      <c r="D662" s="33"/>
      <c r="E662" s="35"/>
      <c r="F662" s="21"/>
      <c r="G662" s="22" t="e">
        <f>VLOOKUP(E662,'Court List'!$A:$C,2,0)</f>
        <v>#N/A</v>
      </c>
      <c r="H662" s="33"/>
      <c r="I662" s="33"/>
      <c r="J662" s="44" t="e">
        <f t="shared" si="27"/>
        <v>#N/A</v>
      </c>
      <c r="K662" s="36"/>
      <c r="L662" s="18">
        <f>SUM('Shuttle Count - Supreme (Nov 20'!C662:D662)</f>
        <v>0</v>
      </c>
      <c r="M662" s="18" t="e">
        <f>VLOOKUP(K662,'Shuttle Purchase'!A:C,3,0)</f>
        <v>#N/A</v>
      </c>
      <c r="N662" s="44" t="e">
        <f t="shared" si="37"/>
        <v>#N/A</v>
      </c>
      <c r="O662" s="24" t="e">
        <f>VLOOKUP(E662,'Court List'!$A:$C,3,0)</f>
        <v>#N/A</v>
      </c>
      <c r="P662" s="18">
        <f>COUNTIF('Pub List'!$C662:$T662,"&lt;&gt;")</f>
        <v>0</v>
      </c>
      <c r="Q662" s="20" t="e">
        <f t="shared" si="28"/>
        <v>#N/A</v>
      </c>
      <c r="R662" s="36"/>
      <c r="S662" s="18">
        <f>COUNTIF('Member List'!$C662:$J662,"&lt;&gt;")</f>
        <v>0</v>
      </c>
      <c r="T662" s="35"/>
      <c r="U662" s="24">
        <f t="shared" si="29"/>
        <v>0</v>
      </c>
      <c r="V662" s="18" t="e">
        <f t="shared" si="30"/>
        <v>#N/A</v>
      </c>
      <c r="W662" s="45" t="e">
        <f t="shared" si="31"/>
        <v>#N/A</v>
      </c>
      <c r="X662" s="20" t="e">
        <f t="shared" si="32"/>
        <v>#N/A</v>
      </c>
      <c r="Y662" s="46" t="e">
        <f t="shared" si="35"/>
        <v>#N/A</v>
      </c>
      <c r="Z662" s="39" t="e">
        <f t="shared" si="33"/>
        <v>#N/A</v>
      </c>
      <c r="AA662" s="39" t="e">
        <f t="shared" si="34"/>
        <v>#N/A</v>
      </c>
      <c r="AB662" s="39"/>
      <c r="AC662" s="48" t="e">
        <f t="shared" si="36"/>
        <v>#N/A</v>
      </c>
    </row>
    <row r="663" spans="1:29" ht="12.5" x14ac:dyDescent="0.25">
      <c r="A663" s="36"/>
      <c r="B663" s="33"/>
      <c r="C663" s="33"/>
      <c r="D663" s="33"/>
      <c r="E663" s="35"/>
      <c r="F663" s="21"/>
      <c r="G663" s="22" t="e">
        <f>VLOOKUP(E663,'Court List'!$A:$C,2,0)</f>
        <v>#N/A</v>
      </c>
      <c r="H663" s="33"/>
      <c r="I663" s="33"/>
      <c r="J663" s="44" t="e">
        <f t="shared" si="27"/>
        <v>#N/A</v>
      </c>
      <c r="K663" s="36"/>
      <c r="L663" s="18">
        <f>SUM('Shuttle Count - Supreme (Nov 20'!C663:D663)</f>
        <v>0</v>
      </c>
      <c r="M663" s="18" t="e">
        <f>VLOOKUP(K663,'Shuttle Purchase'!A:C,3,0)</f>
        <v>#N/A</v>
      </c>
      <c r="N663" s="44" t="e">
        <f t="shared" si="37"/>
        <v>#N/A</v>
      </c>
      <c r="O663" s="24" t="e">
        <f>VLOOKUP(E663,'Court List'!$A:$C,3,0)</f>
        <v>#N/A</v>
      </c>
      <c r="P663" s="18">
        <f>COUNTIF('Pub List'!$C663:$T663,"&lt;&gt;")</f>
        <v>0</v>
      </c>
      <c r="Q663" s="20" t="e">
        <f t="shared" si="28"/>
        <v>#N/A</v>
      </c>
      <c r="R663" s="36"/>
      <c r="S663" s="18">
        <f>COUNTIF('Member List'!$C663:$J663,"&lt;&gt;")</f>
        <v>0</v>
      </c>
      <c r="T663" s="35"/>
      <c r="U663" s="24">
        <f t="shared" si="29"/>
        <v>0</v>
      </c>
      <c r="V663" s="18" t="e">
        <f t="shared" si="30"/>
        <v>#N/A</v>
      </c>
      <c r="W663" s="45" t="e">
        <f t="shared" si="31"/>
        <v>#N/A</v>
      </c>
      <c r="X663" s="20" t="e">
        <f t="shared" si="32"/>
        <v>#N/A</v>
      </c>
      <c r="Y663" s="46" t="e">
        <f t="shared" si="35"/>
        <v>#N/A</v>
      </c>
      <c r="Z663" s="39" t="e">
        <f t="shared" si="33"/>
        <v>#N/A</v>
      </c>
      <c r="AA663" s="39" t="e">
        <f t="shared" si="34"/>
        <v>#N/A</v>
      </c>
      <c r="AB663" s="39"/>
      <c r="AC663" s="48" t="e">
        <f t="shared" si="36"/>
        <v>#N/A</v>
      </c>
    </row>
    <row r="664" spans="1:29" ht="12.5" x14ac:dyDescent="0.25">
      <c r="A664" s="36"/>
      <c r="B664" s="33"/>
      <c r="C664" s="33"/>
      <c r="D664" s="33"/>
      <c r="E664" s="35"/>
      <c r="F664" s="21"/>
      <c r="G664" s="22" t="e">
        <f>VLOOKUP(E664,'Court List'!$A:$C,2,0)</f>
        <v>#N/A</v>
      </c>
      <c r="H664" s="33"/>
      <c r="I664" s="33"/>
      <c r="J664" s="44" t="e">
        <f t="shared" si="27"/>
        <v>#N/A</v>
      </c>
      <c r="K664" s="36"/>
      <c r="L664" s="18">
        <f>SUM('Shuttle Count - Supreme (Nov 20'!C664:D664)</f>
        <v>0</v>
      </c>
      <c r="M664" s="18" t="e">
        <f>VLOOKUP(K664,'Shuttle Purchase'!A:C,3,0)</f>
        <v>#N/A</v>
      </c>
      <c r="N664" s="44" t="e">
        <f t="shared" si="37"/>
        <v>#N/A</v>
      </c>
      <c r="O664" s="24" t="e">
        <f>VLOOKUP(E664,'Court List'!$A:$C,3,0)</f>
        <v>#N/A</v>
      </c>
      <c r="P664" s="18">
        <f>COUNTIF('Pub List'!$C664:$T664,"&lt;&gt;")</f>
        <v>0</v>
      </c>
      <c r="Q664" s="20" t="e">
        <f t="shared" si="28"/>
        <v>#N/A</v>
      </c>
      <c r="R664" s="36"/>
      <c r="S664" s="18">
        <f>COUNTIF('Member List'!$C664:$J664,"&lt;&gt;")</f>
        <v>0</v>
      </c>
      <c r="T664" s="35"/>
      <c r="U664" s="24">
        <f t="shared" si="29"/>
        <v>0</v>
      </c>
      <c r="V664" s="18" t="e">
        <f t="shared" si="30"/>
        <v>#N/A</v>
      </c>
      <c r="W664" s="45" t="e">
        <f t="shared" si="31"/>
        <v>#N/A</v>
      </c>
      <c r="X664" s="20" t="e">
        <f t="shared" si="32"/>
        <v>#N/A</v>
      </c>
      <c r="Y664" s="46" t="e">
        <f t="shared" si="35"/>
        <v>#N/A</v>
      </c>
      <c r="Z664" s="39" t="e">
        <f t="shared" si="33"/>
        <v>#N/A</v>
      </c>
      <c r="AA664" s="39" t="e">
        <f t="shared" si="34"/>
        <v>#N/A</v>
      </c>
      <c r="AB664" s="39"/>
      <c r="AC664" s="48" t="e">
        <f t="shared" si="36"/>
        <v>#N/A</v>
      </c>
    </row>
    <row r="665" spans="1:29" ht="12.5" x14ac:dyDescent="0.25">
      <c r="A665" s="36"/>
      <c r="B665" s="33"/>
      <c r="C665" s="33"/>
      <c r="D665" s="33"/>
      <c r="E665" s="35"/>
      <c r="F665" s="21"/>
      <c r="G665" s="22" t="e">
        <f>VLOOKUP(E665,'Court List'!$A:$C,2,0)</f>
        <v>#N/A</v>
      </c>
      <c r="H665" s="33"/>
      <c r="I665" s="33"/>
      <c r="J665" s="44" t="e">
        <f t="shared" si="27"/>
        <v>#N/A</v>
      </c>
      <c r="K665" s="36"/>
      <c r="L665" s="18">
        <f>SUM('Shuttle Count - Supreme (Nov 20'!C665:D665)</f>
        <v>0</v>
      </c>
      <c r="M665" s="18" t="e">
        <f>VLOOKUP(K665,'Shuttle Purchase'!A:C,3,0)</f>
        <v>#N/A</v>
      </c>
      <c r="N665" s="44" t="e">
        <f t="shared" si="37"/>
        <v>#N/A</v>
      </c>
      <c r="O665" s="24" t="e">
        <f>VLOOKUP(E665,'Court List'!$A:$C,3,0)</f>
        <v>#N/A</v>
      </c>
      <c r="P665" s="18">
        <f>COUNTIF('Pub List'!$C665:$T665,"&lt;&gt;")</f>
        <v>0</v>
      </c>
      <c r="Q665" s="20" t="e">
        <f t="shared" si="28"/>
        <v>#N/A</v>
      </c>
      <c r="R665" s="36"/>
      <c r="S665" s="18">
        <f>COUNTIF('Member List'!$C665:$J665,"&lt;&gt;")</f>
        <v>0</v>
      </c>
      <c r="T665" s="35"/>
      <c r="U665" s="24">
        <f t="shared" si="29"/>
        <v>0</v>
      </c>
      <c r="V665" s="18" t="e">
        <f t="shared" si="30"/>
        <v>#N/A</v>
      </c>
      <c r="W665" s="45" t="e">
        <f t="shared" si="31"/>
        <v>#N/A</v>
      </c>
      <c r="X665" s="20" t="e">
        <f t="shared" si="32"/>
        <v>#N/A</v>
      </c>
      <c r="Y665" s="46" t="e">
        <f t="shared" si="35"/>
        <v>#N/A</v>
      </c>
      <c r="Z665" s="39" t="e">
        <f t="shared" si="33"/>
        <v>#N/A</v>
      </c>
      <c r="AA665" s="39" t="e">
        <f t="shared" si="34"/>
        <v>#N/A</v>
      </c>
      <c r="AB665" s="39"/>
      <c r="AC665" s="48" t="e">
        <f t="shared" si="36"/>
        <v>#N/A</v>
      </c>
    </row>
    <row r="666" spans="1:29" ht="12.5" x14ac:dyDescent="0.25">
      <c r="A666" s="36"/>
      <c r="B666" s="33"/>
      <c r="C666" s="33"/>
      <c r="D666" s="33"/>
      <c r="E666" s="35"/>
      <c r="F666" s="21"/>
      <c r="G666" s="22" t="e">
        <f>VLOOKUP(E666,'Court List'!$A:$C,2,0)</f>
        <v>#N/A</v>
      </c>
      <c r="H666" s="33"/>
      <c r="I666" s="33"/>
      <c r="J666" s="44" t="e">
        <f t="shared" si="27"/>
        <v>#N/A</v>
      </c>
      <c r="K666" s="36"/>
      <c r="L666" s="18">
        <f>SUM('Shuttle Count - Supreme (Nov 20'!C666:D666)</f>
        <v>0</v>
      </c>
      <c r="M666" s="18" t="e">
        <f>VLOOKUP(K666,'Shuttle Purchase'!A:C,3,0)</f>
        <v>#N/A</v>
      </c>
      <c r="N666" s="44" t="e">
        <f t="shared" si="37"/>
        <v>#N/A</v>
      </c>
      <c r="O666" s="24" t="e">
        <f>VLOOKUP(E666,'Court List'!$A:$C,3,0)</f>
        <v>#N/A</v>
      </c>
      <c r="P666" s="18">
        <f>COUNTIF('Pub List'!$C666:$T666,"&lt;&gt;")</f>
        <v>0</v>
      </c>
      <c r="Q666" s="20" t="e">
        <f t="shared" si="28"/>
        <v>#N/A</v>
      </c>
      <c r="R666" s="36"/>
      <c r="S666" s="18">
        <f>COUNTIF('Member List'!$C666:$J666,"&lt;&gt;")</f>
        <v>0</v>
      </c>
      <c r="T666" s="35"/>
      <c r="U666" s="24">
        <f t="shared" si="29"/>
        <v>0</v>
      </c>
      <c r="V666" s="18" t="e">
        <f t="shared" si="30"/>
        <v>#N/A</v>
      </c>
      <c r="W666" s="45" t="e">
        <f t="shared" si="31"/>
        <v>#N/A</v>
      </c>
      <c r="X666" s="20" t="e">
        <f t="shared" si="32"/>
        <v>#N/A</v>
      </c>
      <c r="Y666" s="46" t="e">
        <f t="shared" si="35"/>
        <v>#N/A</v>
      </c>
      <c r="Z666" s="39" t="e">
        <f t="shared" si="33"/>
        <v>#N/A</v>
      </c>
      <c r="AA666" s="39" t="e">
        <f t="shared" si="34"/>
        <v>#N/A</v>
      </c>
      <c r="AB666" s="39"/>
      <c r="AC666" s="48" t="e">
        <f t="shared" si="36"/>
        <v>#N/A</v>
      </c>
    </row>
    <row r="667" spans="1:29" ht="12.5" x14ac:dyDescent="0.25">
      <c r="A667" s="36"/>
      <c r="B667" s="33"/>
      <c r="C667" s="33"/>
      <c r="D667" s="33"/>
      <c r="E667" s="35"/>
      <c r="F667" s="21"/>
      <c r="G667" s="22" t="e">
        <f>VLOOKUP(E667,'Court List'!$A:$C,2,0)</f>
        <v>#N/A</v>
      </c>
      <c r="H667" s="33"/>
      <c r="I667" s="33"/>
      <c r="J667" s="44" t="e">
        <f t="shared" si="27"/>
        <v>#N/A</v>
      </c>
      <c r="K667" s="36"/>
      <c r="L667" s="18">
        <f>SUM('Shuttle Count - Supreme (Nov 20'!C667:D667)</f>
        <v>0</v>
      </c>
      <c r="M667" s="18" t="e">
        <f>VLOOKUP(K667,'Shuttle Purchase'!A:C,3,0)</f>
        <v>#N/A</v>
      </c>
      <c r="N667" s="44" t="e">
        <f t="shared" si="37"/>
        <v>#N/A</v>
      </c>
      <c r="O667" s="24" t="e">
        <f>VLOOKUP(E667,'Court List'!$A:$C,3,0)</f>
        <v>#N/A</v>
      </c>
      <c r="P667" s="18">
        <f>COUNTIF('Pub List'!$C667:$T667,"&lt;&gt;")</f>
        <v>0</v>
      </c>
      <c r="Q667" s="20" t="e">
        <f t="shared" si="28"/>
        <v>#N/A</v>
      </c>
      <c r="R667" s="36"/>
      <c r="S667" s="18">
        <f>COUNTIF('Member List'!$C667:$J667,"&lt;&gt;")</f>
        <v>0</v>
      </c>
      <c r="T667" s="35"/>
      <c r="U667" s="24">
        <f t="shared" si="29"/>
        <v>0</v>
      </c>
      <c r="V667" s="18" t="e">
        <f t="shared" si="30"/>
        <v>#N/A</v>
      </c>
      <c r="W667" s="45" t="e">
        <f t="shared" si="31"/>
        <v>#N/A</v>
      </c>
      <c r="X667" s="20" t="e">
        <f t="shared" si="32"/>
        <v>#N/A</v>
      </c>
      <c r="Y667" s="46" t="e">
        <f t="shared" si="35"/>
        <v>#N/A</v>
      </c>
      <c r="Z667" s="39" t="e">
        <f t="shared" si="33"/>
        <v>#N/A</v>
      </c>
      <c r="AA667" s="39" t="e">
        <f t="shared" si="34"/>
        <v>#N/A</v>
      </c>
      <c r="AB667" s="39"/>
      <c r="AC667" s="48" t="e">
        <f t="shared" si="36"/>
        <v>#N/A</v>
      </c>
    </row>
    <row r="668" spans="1:29" ht="12.5" x14ac:dyDescent="0.25">
      <c r="A668" s="36"/>
      <c r="B668" s="33"/>
      <c r="C668" s="33"/>
      <c r="D668" s="33"/>
      <c r="E668" s="35"/>
      <c r="F668" s="21"/>
      <c r="G668" s="22" t="e">
        <f>VLOOKUP(E668,'Court List'!$A:$C,2,0)</f>
        <v>#N/A</v>
      </c>
      <c r="H668" s="33"/>
      <c r="I668" s="33"/>
      <c r="J668" s="44" t="e">
        <f t="shared" si="27"/>
        <v>#N/A</v>
      </c>
      <c r="K668" s="36"/>
      <c r="L668" s="18">
        <f>SUM('Shuttle Count - Supreme (Nov 20'!C668:D668)</f>
        <v>0</v>
      </c>
      <c r="M668" s="18" t="e">
        <f>VLOOKUP(K668,'Shuttle Purchase'!A:C,3,0)</f>
        <v>#N/A</v>
      </c>
      <c r="N668" s="44" t="e">
        <f t="shared" si="37"/>
        <v>#N/A</v>
      </c>
      <c r="O668" s="24" t="e">
        <f>VLOOKUP(E668,'Court List'!$A:$C,3,0)</f>
        <v>#N/A</v>
      </c>
      <c r="P668" s="18">
        <f>COUNTIF('Pub List'!$C668:$T668,"&lt;&gt;")</f>
        <v>0</v>
      </c>
      <c r="Q668" s="20" t="e">
        <f t="shared" si="28"/>
        <v>#N/A</v>
      </c>
      <c r="R668" s="36"/>
      <c r="S668" s="18">
        <f>COUNTIF('Member List'!$C668:$J668,"&lt;&gt;")</f>
        <v>0</v>
      </c>
      <c r="T668" s="35"/>
      <c r="U668" s="24">
        <f t="shared" si="29"/>
        <v>0</v>
      </c>
      <c r="V668" s="18" t="e">
        <f t="shared" si="30"/>
        <v>#N/A</v>
      </c>
      <c r="W668" s="45" t="e">
        <f t="shared" si="31"/>
        <v>#N/A</v>
      </c>
      <c r="X668" s="20" t="e">
        <f t="shared" si="32"/>
        <v>#N/A</v>
      </c>
      <c r="Y668" s="46" t="e">
        <f t="shared" si="35"/>
        <v>#N/A</v>
      </c>
      <c r="Z668" s="39" t="e">
        <f t="shared" si="33"/>
        <v>#N/A</v>
      </c>
      <c r="AA668" s="39" t="e">
        <f t="shared" si="34"/>
        <v>#N/A</v>
      </c>
      <c r="AB668" s="39"/>
      <c r="AC668" s="48" t="e">
        <f t="shared" si="36"/>
        <v>#N/A</v>
      </c>
    </row>
    <row r="669" spans="1:29" ht="12.5" x14ac:dyDescent="0.25">
      <c r="A669" s="36"/>
      <c r="B669" s="33"/>
      <c r="C669" s="33"/>
      <c r="D669" s="33"/>
      <c r="E669" s="35"/>
      <c r="F669" s="21"/>
      <c r="G669" s="22" t="e">
        <f>VLOOKUP(E669,'Court List'!$A:$C,2,0)</f>
        <v>#N/A</v>
      </c>
      <c r="H669" s="33"/>
      <c r="I669" s="33"/>
      <c r="J669" s="44" t="e">
        <f t="shared" si="27"/>
        <v>#N/A</v>
      </c>
      <c r="K669" s="36"/>
      <c r="L669" s="18">
        <f>SUM('Shuttle Count - Supreme (Nov 20'!C669:D669)</f>
        <v>0</v>
      </c>
      <c r="M669" s="18" t="e">
        <f>VLOOKUP(K669,'Shuttle Purchase'!A:C,3,0)</f>
        <v>#N/A</v>
      </c>
      <c r="N669" s="44" t="e">
        <f t="shared" si="37"/>
        <v>#N/A</v>
      </c>
      <c r="O669" s="24" t="e">
        <f>VLOOKUP(E669,'Court List'!$A:$C,3,0)</f>
        <v>#N/A</v>
      </c>
      <c r="P669" s="18">
        <f>COUNTIF('Pub List'!$C669:$T669,"&lt;&gt;")</f>
        <v>0</v>
      </c>
      <c r="Q669" s="20" t="e">
        <f t="shared" si="28"/>
        <v>#N/A</v>
      </c>
      <c r="R669" s="36"/>
      <c r="S669" s="18">
        <f>COUNTIF('Member List'!$C669:$J669,"&lt;&gt;")</f>
        <v>0</v>
      </c>
      <c r="T669" s="35"/>
      <c r="U669" s="24">
        <f t="shared" si="29"/>
        <v>0</v>
      </c>
      <c r="V669" s="18" t="e">
        <f t="shared" si="30"/>
        <v>#N/A</v>
      </c>
      <c r="W669" s="45" t="e">
        <f t="shared" si="31"/>
        <v>#N/A</v>
      </c>
      <c r="X669" s="20" t="e">
        <f t="shared" si="32"/>
        <v>#N/A</v>
      </c>
      <c r="Y669" s="46" t="e">
        <f t="shared" si="35"/>
        <v>#N/A</v>
      </c>
      <c r="Z669" s="39" t="e">
        <f t="shared" si="33"/>
        <v>#N/A</v>
      </c>
      <c r="AA669" s="39" t="e">
        <f t="shared" si="34"/>
        <v>#N/A</v>
      </c>
      <c r="AB669" s="39"/>
      <c r="AC669" s="48" t="e">
        <f t="shared" si="36"/>
        <v>#N/A</v>
      </c>
    </row>
    <row r="670" spans="1:29" ht="12.5" x14ac:dyDescent="0.25">
      <c r="A670" s="36"/>
      <c r="B670" s="33"/>
      <c r="C670" s="33"/>
      <c r="D670" s="33"/>
      <c r="E670" s="35"/>
      <c r="F670" s="21"/>
      <c r="G670" s="22" t="e">
        <f>VLOOKUP(E670,'Court List'!$A:$C,2,0)</f>
        <v>#N/A</v>
      </c>
      <c r="H670" s="33"/>
      <c r="I670" s="33"/>
      <c r="J670" s="44" t="e">
        <f t="shared" si="27"/>
        <v>#N/A</v>
      </c>
      <c r="K670" s="36"/>
      <c r="L670" s="18">
        <f>SUM('Shuttle Count - Supreme (Nov 20'!C670:D670)</f>
        <v>0</v>
      </c>
      <c r="M670" s="18" t="e">
        <f>VLOOKUP(K670,'Shuttle Purchase'!A:C,3,0)</f>
        <v>#N/A</v>
      </c>
      <c r="N670" s="44" t="e">
        <f t="shared" si="37"/>
        <v>#N/A</v>
      </c>
      <c r="O670" s="24" t="e">
        <f>VLOOKUP(E670,'Court List'!$A:$C,3,0)</f>
        <v>#N/A</v>
      </c>
      <c r="P670" s="18">
        <f>COUNTIF('Pub List'!$C670:$T670,"&lt;&gt;")</f>
        <v>0</v>
      </c>
      <c r="Q670" s="20" t="e">
        <f t="shared" si="28"/>
        <v>#N/A</v>
      </c>
      <c r="R670" s="36"/>
      <c r="S670" s="18">
        <f>COUNTIF('Member List'!$C670:$J670,"&lt;&gt;")</f>
        <v>0</v>
      </c>
      <c r="T670" s="35"/>
      <c r="U670" s="24">
        <f t="shared" si="29"/>
        <v>0</v>
      </c>
      <c r="V670" s="18" t="e">
        <f t="shared" si="30"/>
        <v>#N/A</v>
      </c>
      <c r="W670" s="45" t="e">
        <f t="shared" si="31"/>
        <v>#N/A</v>
      </c>
      <c r="X670" s="20" t="e">
        <f t="shared" si="32"/>
        <v>#N/A</v>
      </c>
      <c r="Y670" s="46" t="e">
        <f t="shared" si="35"/>
        <v>#N/A</v>
      </c>
      <c r="Z670" s="39" t="e">
        <f t="shared" si="33"/>
        <v>#N/A</v>
      </c>
      <c r="AA670" s="39" t="e">
        <f t="shared" si="34"/>
        <v>#N/A</v>
      </c>
      <c r="AB670" s="39"/>
      <c r="AC670" s="48" t="e">
        <f t="shared" si="36"/>
        <v>#N/A</v>
      </c>
    </row>
    <row r="671" spans="1:29" ht="12.5" x14ac:dyDescent="0.25">
      <c r="A671" s="36"/>
      <c r="B671" s="33"/>
      <c r="C671" s="33"/>
      <c r="D671" s="33"/>
      <c r="E671" s="35"/>
      <c r="F671" s="21"/>
      <c r="G671" s="22" t="e">
        <f>VLOOKUP(E671,'Court List'!$A:$C,2,0)</f>
        <v>#N/A</v>
      </c>
      <c r="H671" s="33"/>
      <c r="I671" s="33"/>
      <c r="J671" s="44" t="e">
        <f t="shared" si="27"/>
        <v>#N/A</v>
      </c>
      <c r="K671" s="36"/>
      <c r="L671" s="18">
        <f>SUM('Shuttle Count - Supreme (Nov 20'!C671:D671)</f>
        <v>0</v>
      </c>
      <c r="M671" s="18" t="e">
        <f>VLOOKUP(K671,'Shuttle Purchase'!A:C,3,0)</f>
        <v>#N/A</v>
      </c>
      <c r="N671" s="44" t="e">
        <f t="shared" si="37"/>
        <v>#N/A</v>
      </c>
      <c r="O671" s="24" t="e">
        <f>VLOOKUP(E671,'Court List'!$A:$C,3,0)</f>
        <v>#N/A</v>
      </c>
      <c r="P671" s="18">
        <f>COUNTIF('Pub List'!$C671:$T671,"&lt;&gt;")</f>
        <v>0</v>
      </c>
      <c r="Q671" s="20" t="e">
        <f t="shared" si="28"/>
        <v>#N/A</v>
      </c>
      <c r="R671" s="36"/>
      <c r="S671" s="18">
        <f>COUNTIF('Member List'!$C671:$J671,"&lt;&gt;")</f>
        <v>0</v>
      </c>
      <c r="T671" s="35"/>
      <c r="U671" s="24">
        <f t="shared" si="29"/>
        <v>0</v>
      </c>
      <c r="V671" s="18" t="e">
        <f t="shared" si="30"/>
        <v>#N/A</v>
      </c>
      <c r="W671" s="45" t="e">
        <f t="shared" si="31"/>
        <v>#N/A</v>
      </c>
      <c r="X671" s="20" t="e">
        <f t="shared" si="32"/>
        <v>#N/A</v>
      </c>
      <c r="Y671" s="46" t="e">
        <f t="shared" si="35"/>
        <v>#N/A</v>
      </c>
      <c r="Z671" s="39" t="e">
        <f t="shared" si="33"/>
        <v>#N/A</v>
      </c>
      <c r="AA671" s="39" t="e">
        <f t="shared" si="34"/>
        <v>#N/A</v>
      </c>
      <c r="AB671" s="39"/>
      <c r="AC671" s="48" t="e">
        <f t="shared" si="36"/>
        <v>#N/A</v>
      </c>
    </row>
    <row r="672" spans="1:29" ht="12.5" x14ac:dyDescent="0.25">
      <c r="A672" s="36"/>
      <c r="B672" s="33"/>
      <c r="C672" s="33"/>
      <c r="D672" s="33"/>
      <c r="E672" s="35"/>
      <c r="F672" s="21"/>
      <c r="G672" s="22" t="e">
        <f>VLOOKUP(E672,'Court List'!$A:$C,2,0)</f>
        <v>#N/A</v>
      </c>
      <c r="H672" s="33"/>
      <c r="I672" s="33"/>
      <c r="J672" s="44" t="e">
        <f t="shared" si="27"/>
        <v>#N/A</v>
      </c>
      <c r="K672" s="36"/>
      <c r="L672" s="18">
        <f>SUM('Shuttle Count - Supreme (Nov 20'!C672:D672)</f>
        <v>0</v>
      </c>
      <c r="M672" s="18" t="e">
        <f>VLOOKUP(K672,'Shuttle Purchase'!A:C,3,0)</f>
        <v>#N/A</v>
      </c>
      <c r="N672" s="44" t="e">
        <f t="shared" si="37"/>
        <v>#N/A</v>
      </c>
      <c r="O672" s="24" t="e">
        <f>VLOOKUP(E672,'Court List'!$A:$C,3,0)</f>
        <v>#N/A</v>
      </c>
      <c r="P672" s="18">
        <f>COUNTIF('Pub List'!$C672:$T672,"&lt;&gt;")</f>
        <v>0</v>
      </c>
      <c r="Q672" s="20" t="e">
        <f t="shared" si="28"/>
        <v>#N/A</v>
      </c>
      <c r="R672" s="36"/>
      <c r="S672" s="18">
        <f>COUNTIF('Member List'!$C672:$J672,"&lt;&gt;")</f>
        <v>0</v>
      </c>
      <c r="T672" s="35"/>
      <c r="U672" s="24">
        <f t="shared" si="29"/>
        <v>0</v>
      </c>
      <c r="V672" s="18" t="e">
        <f t="shared" si="30"/>
        <v>#N/A</v>
      </c>
      <c r="W672" s="45" t="e">
        <f t="shared" si="31"/>
        <v>#N/A</v>
      </c>
      <c r="X672" s="20" t="e">
        <f t="shared" si="32"/>
        <v>#N/A</v>
      </c>
      <c r="Y672" s="46" t="e">
        <f t="shared" si="35"/>
        <v>#N/A</v>
      </c>
      <c r="Z672" s="39" t="e">
        <f t="shared" si="33"/>
        <v>#N/A</v>
      </c>
      <c r="AA672" s="39" t="e">
        <f t="shared" si="34"/>
        <v>#N/A</v>
      </c>
      <c r="AB672" s="39"/>
      <c r="AC672" s="48" t="e">
        <f t="shared" si="36"/>
        <v>#N/A</v>
      </c>
    </row>
    <row r="673" spans="1:29" ht="12.5" x14ac:dyDescent="0.25">
      <c r="A673" s="36"/>
      <c r="B673" s="33"/>
      <c r="C673" s="33"/>
      <c r="D673" s="33"/>
      <c r="E673" s="35"/>
      <c r="F673" s="21"/>
      <c r="G673" s="22" t="e">
        <f>VLOOKUP(E673,'Court List'!$A:$C,2,0)</f>
        <v>#N/A</v>
      </c>
      <c r="H673" s="33"/>
      <c r="I673" s="33"/>
      <c r="J673" s="44" t="e">
        <f t="shared" si="27"/>
        <v>#N/A</v>
      </c>
      <c r="K673" s="36"/>
      <c r="L673" s="18">
        <f>SUM('Shuttle Count - Supreme (Nov 20'!C673:D673)</f>
        <v>0</v>
      </c>
      <c r="M673" s="18" t="e">
        <f>VLOOKUP(K673,'Shuttle Purchase'!A:C,3,0)</f>
        <v>#N/A</v>
      </c>
      <c r="N673" s="44" t="e">
        <f t="shared" si="37"/>
        <v>#N/A</v>
      </c>
      <c r="O673" s="24" t="e">
        <f>VLOOKUP(E673,'Court List'!$A:$C,3,0)</f>
        <v>#N/A</v>
      </c>
      <c r="P673" s="18">
        <f>COUNTIF('Pub List'!$C673:$T673,"&lt;&gt;")</f>
        <v>0</v>
      </c>
      <c r="Q673" s="20" t="e">
        <f t="shared" si="28"/>
        <v>#N/A</v>
      </c>
      <c r="R673" s="36"/>
      <c r="S673" s="18">
        <f>COUNTIF('Member List'!$C673:$J673,"&lt;&gt;")</f>
        <v>0</v>
      </c>
      <c r="T673" s="35"/>
      <c r="U673" s="24">
        <f t="shared" si="29"/>
        <v>0</v>
      </c>
      <c r="V673" s="18" t="e">
        <f t="shared" si="30"/>
        <v>#N/A</v>
      </c>
      <c r="W673" s="45" t="e">
        <f t="shared" si="31"/>
        <v>#N/A</v>
      </c>
      <c r="X673" s="20" t="e">
        <f t="shared" si="32"/>
        <v>#N/A</v>
      </c>
      <c r="Y673" s="46" t="e">
        <f t="shared" si="35"/>
        <v>#N/A</v>
      </c>
      <c r="Z673" s="39" t="e">
        <f t="shared" si="33"/>
        <v>#N/A</v>
      </c>
      <c r="AA673" s="39" t="e">
        <f t="shared" si="34"/>
        <v>#N/A</v>
      </c>
      <c r="AB673" s="39"/>
      <c r="AC673" s="48" t="e">
        <f t="shared" si="36"/>
        <v>#N/A</v>
      </c>
    </row>
    <row r="674" spans="1:29" ht="12.5" x14ac:dyDescent="0.25">
      <c r="A674" s="36"/>
      <c r="B674" s="33"/>
      <c r="C674" s="33"/>
      <c r="D674" s="33"/>
      <c r="E674" s="35"/>
      <c r="F674" s="21"/>
      <c r="G674" s="22" t="e">
        <f>VLOOKUP(E674,'Court List'!$A:$C,2,0)</f>
        <v>#N/A</v>
      </c>
      <c r="H674" s="33"/>
      <c r="I674" s="33"/>
      <c r="J674" s="44" t="e">
        <f t="shared" si="27"/>
        <v>#N/A</v>
      </c>
      <c r="K674" s="36"/>
      <c r="L674" s="18">
        <f>SUM('Shuttle Count - Supreme (Nov 20'!C674:D674)</f>
        <v>0</v>
      </c>
      <c r="M674" s="18" t="e">
        <f>VLOOKUP(K674,'Shuttle Purchase'!A:C,3,0)</f>
        <v>#N/A</v>
      </c>
      <c r="N674" s="44" t="e">
        <f t="shared" si="37"/>
        <v>#N/A</v>
      </c>
      <c r="O674" s="24" t="e">
        <f>VLOOKUP(E674,'Court List'!$A:$C,3,0)</f>
        <v>#N/A</v>
      </c>
      <c r="P674" s="18">
        <f>COUNTIF('Pub List'!$C674:$T674,"&lt;&gt;")</f>
        <v>0</v>
      </c>
      <c r="Q674" s="20" t="e">
        <f t="shared" si="28"/>
        <v>#N/A</v>
      </c>
      <c r="R674" s="36"/>
      <c r="S674" s="18">
        <f>COUNTIF('Member List'!$C674:$J674,"&lt;&gt;")</f>
        <v>0</v>
      </c>
      <c r="T674" s="35"/>
      <c r="U674" s="24">
        <f t="shared" si="29"/>
        <v>0</v>
      </c>
      <c r="V674" s="18" t="e">
        <f t="shared" si="30"/>
        <v>#N/A</v>
      </c>
      <c r="W674" s="45" t="e">
        <f t="shared" si="31"/>
        <v>#N/A</v>
      </c>
      <c r="X674" s="20" t="e">
        <f t="shared" si="32"/>
        <v>#N/A</v>
      </c>
      <c r="Y674" s="46" t="e">
        <f t="shared" si="35"/>
        <v>#N/A</v>
      </c>
      <c r="Z674" s="39" t="e">
        <f t="shared" si="33"/>
        <v>#N/A</v>
      </c>
      <c r="AA674" s="39" t="e">
        <f t="shared" si="34"/>
        <v>#N/A</v>
      </c>
      <c r="AB674" s="39"/>
      <c r="AC674" s="48" t="e">
        <f t="shared" si="36"/>
        <v>#N/A</v>
      </c>
    </row>
    <row r="675" spans="1:29" ht="12.5" x14ac:dyDescent="0.25">
      <c r="A675" s="36"/>
      <c r="B675" s="33"/>
      <c r="C675" s="33"/>
      <c r="D675" s="33"/>
      <c r="E675" s="35"/>
      <c r="F675" s="21"/>
      <c r="G675" s="22" t="e">
        <f>VLOOKUP(E675,'Court List'!$A:$C,2,0)</f>
        <v>#N/A</v>
      </c>
      <c r="H675" s="33"/>
      <c r="I675" s="33"/>
      <c r="J675" s="44" t="e">
        <f t="shared" si="27"/>
        <v>#N/A</v>
      </c>
      <c r="K675" s="36"/>
      <c r="L675" s="18">
        <f>SUM('Shuttle Count - Supreme (Nov 20'!C675:D675)</f>
        <v>0</v>
      </c>
      <c r="M675" s="18" t="e">
        <f>VLOOKUP(K675,'Shuttle Purchase'!A:C,3,0)</f>
        <v>#N/A</v>
      </c>
      <c r="N675" s="44" t="e">
        <f t="shared" si="37"/>
        <v>#N/A</v>
      </c>
      <c r="O675" s="24" t="e">
        <f>VLOOKUP(E675,'Court List'!$A:$C,3,0)</f>
        <v>#N/A</v>
      </c>
      <c r="P675" s="18">
        <f>COUNTIF('Pub List'!$C675:$T675,"&lt;&gt;")</f>
        <v>0</v>
      </c>
      <c r="Q675" s="20" t="e">
        <f t="shared" si="28"/>
        <v>#N/A</v>
      </c>
      <c r="R675" s="36"/>
      <c r="S675" s="18">
        <f>COUNTIF('Member List'!$C675:$J675,"&lt;&gt;")</f>
        <v>0</v>
      </c>
      <c r="T675" s="35"/>
      <c r="U675" s="24">
        <f t="shared" si="29"/>
        <v>0</v>
      </c>
      <c r="V675" s="18" t="e">
        <f t="shared" si="30"/>
        <v>#N/A</v>
      </c>
      <c r="W675" s="45" t="e">
        <f t="shared" si="31"/>
        <v>#N/A</v>
      </c>
      <c r="X675" s="20" t="e">
        <f t="shared" si="32"/>
        <v>#N/A</v>
      </c>
      <c r="Y675" s="46" t="e">
        <f t="shared" si="35"/>
        <v>#N/A</v>
      </c>
      <c r="Z675" s="39" t="e">
        <f t="shared" si="33"/>
        <v>#N/A</v>
      </c>
      <c r="AA675" s="39" t="e">
        <f t="shared" si="34"/>
        <v>#N/A</v>
      </c>
      <c r="AB675" s="39"/>
      <c r="AC675" s="48" t="e">
        <f t="shared" si="36"/>
        <v>#N/A</v>
      </c>
    </row>
    <row r="676" spans="1:29" ht="12.5" x14ac:dyDescent="0.25">
      <c r="A676" s="36"/>
      <c r="B676" s="33"/>
      <c r="C676" s="33"/>
      <c r="D676" s="33"/>
      <c r="E676" s="35"/>
      <c r="F676" s="21"/>
      <c r="G676" s="22" t="e">
        <f>VLOOKUP(E676,'Court List'!$A:$C,2,0)</f>
        <v>#N/A</v>
      </c>
      <c r="H676" s="33"/>
      <c r="I676" s="33"/>
      <c r="J676" s="44" t="e">
        <f t="shared" si="27"/>
        <v>#N/A</v>
      </c>
      <c r="K676" s="36"/>
      <c r="L676" s="18">
        <f>SUM('Shuttle Count - Supreme (Nov 20'!C676:D676)</f>
        <v>0</v>
      </c>
      <c r="M676" s="18" t="e">
        <f>VLOOKUP(K676,'Shuttle Purchase'!A:C,3,0)</f>
        <v>#N/A</v>
      </c>
      <c r="N676" s="44" t="e">
        <f t="shared" si="37"/>
        <v>#N/A</v>
      </c>
      <c r="O676" s="24" t="e">
        <f>VLOOKUP(E676,'Court List'!$A:$C,3,0)</f>
        <v>#N/A</v>
      </c>
      <c r="P676" s="18">
        <f>COUNTIF('Pub List'!$C676:$T676,"&lt;&gt;")</f>
        <v>0</v>
      </c>
      <c r="Q676" s="20" t="e">
        <f t="shared" si="28"/>
        <v>#N/A</v>
      </c>
      <c r="R676" s="36"/>
      <c r="S676" s="18">
        <f>COUNTIF('Member List'!$C676:$J676,"&lt;&gt;")</f>
        <v>0</v>
      </c>
      <c r="T676" s="35"/>
      <c r="U676" s="24">
        <f t="shared" si="29"/>
        <v>0</v>
      </c>
      <c r="V676" s="18" t="e">
        <f t="shared" si="30"/>
        <v>#N/A</v>
      </c>
      <c r="W676" s="45" t="e">
        <f t="shared" si="31"/>
        <v>#N/A</v>
      </c>
      <c r="X676" s="20" t="e">
        <f t="shared" si="32"/>
        <v>#N/A</v>
      </c>
      <c r="Y676" s="46" t="e">
        <f t="shared" si="35"/>
        <v>#N/A</v>
      </c>
      <c r="Z676" s="39" t="e">
        <f t="shared" si="33"/>
        <v>#N/A</v>
      </c>
      <c r="AA676" s="39" t="e">
        <f t="shared" si="34"/>
        <v>#N/A</v>
      </c>
      <c r="AB676" s="39"/>
      <c r="AC676" s="48" t="e">
        <f t="shared" si="36"/>
        <v>#N/A</v>
      </c>
    </row>
    <row r="677" spans="1:29" ht="12.5" x14ac:dyDescent="0.25">
      <c r="A677" s="36"/>
      <c r="B677" s="33"/>
      <c r="C677" s="33"/>
      <c r="D677" s="33"/>
      <c r="E677" s="35"/>
      <c r="F677" s="21"/>
      <c r="G677" s="22" t="e">
        <f>VLOOKUP(E677,'Court List'!$A:$C,2,0)</f>
        <v>#N/A</v>
      </c>
      <c r="H677" s="33"/>
      <c r="I677" s="33"/>
      <c r="J677" s="44" t="e">
        <f t="shared" si="27"/>
        <v>#N/A</v>
      </c>
      <c r="K677" s="36"/>
      <c r="L677" s="18">
        <f>SUM('Shuttle Count - Supreme (Nov 20'!C677:D677)</f>
        <v>0</v>
      </c>
      <c r="M677" s="18" t="e">
        <f>VLOOKUP(K677,'Shuttle Purchase'!A:C,3,0)</f>
        <v>#N/A</v>
      </c>
      <c r="N677" s="44" t="e">
        <f t="shared" si="37"/>
        <v>#N/A</v>
      </c>
      <c r="O677" s="24" t="e">
        <f>VLOOKUP(E677,'Court List'!$A:$C,3,0)</f>
        <v>#N/A</v>
      </c>
      <c r="P677" s="18">
        <f>COUNTIF('Pub List'!$C677:$T677,"&lt;&gt;")</f>
        <v>0</v>
      </c>
      <c r="Q677" s="20" t="e">
        <f t="shared" si="28"/>
        <v>#N/A</v>
      </c>
      <c r="R677" s="36"/>
      <c r="S677" s="18">
        <f>COUNTIF('Member List'!$C677:$J677,"&lt;&gt;")</f>
        <v>0</v>
      </c>
      <c r="T677" s="35"/>
      <c r="U677" s="24">
        <f t="shared" si="29"/>
        <v>0</v>
      </c>
      <c r="V677" s="18" t="e">
        <f t="shared" si="30"/>
        <v>#N/A</v>
      </c>
      <c r="W677" s="45" t="e">
        <f t="shared" si="31"/>
        <v>#N/A</v>
      </c>
      <c r="X677" s="20" t="e">
        <f t="shared" si="32"/>
        <v>#N/A</v>
      </c>
      <c r="Y677" s="46" t="e">
        <f t="shared" si="35"/>
        <v>#N/A</v>
      </c>
      <c r="Z677" s="39" t="e">
        <f t="shared" si="33"/>
        <v>#N/A</v>
      </c>
      <c r="AA677" s="39" t="e">
        <f t="shared" si="34"/>
        <v>#N/A</v>
      </c>
      <c r="AB677" s="39"/>
      <c r="AC677" s="48" t="e">
        <f t="shared" si="36"/>
        <v>#N/A</v>
      </c>
    </row>
    <row r="678" spans="1:29" ht="12.5" x14ac:dyDescent="0.25">
      <c r="A678" s="36"/>
      <c r="B678" s="33"/>
      <c r="C678" s="33"/>
      <c r="D678" s="33"/>
      <c r="E678" s="35"/>
      <c r="F678" s="21"/>
      <c r="G678" s="22" t="e">
        <f>VLOOKUP(E678,'Court List'!$A:$C,2,0)</f>
        <v>#N/A</v>
      </c>
      <c r="H678" s="33"/>
      <c r="I678" s="33"/>
      <c r="J678" s="44" t="e">
        <f t="shared" si="27"/>
        <v>#N/A</v>
      </c>
      <c r="K678" s="36"/>
      <c r="L678" s="18">
        <f>SUM('Shuttle Count - Supreme (Nov 20'!C678:D678)</f>
        <v>0</v>
      </c>
      <c r="M678" s="18" t="e">
        <f>VLOOKUP(K678,'Shuttle Purchase'!A:C,3,0)</f>
        <v>#N/A</v>
      </c>
      <c r="N678" s="44" t="e">
        <f t="shared" si="37"/>
        <v>#N/A</v>
      </c>
      <c r="O678" s="24" t="e">
        <f>VLOOKUP(E678,'Court List'!$A:$C,3,0)</f>
        <v>#N/A</v>
      </c>
      <c r="P678" s="18">
        <f>COUNTIF('Pub List'!$C678:$T678,"&lt;&gt;")</f>
        <v>0</v>
      </c>
      <c r="Q678" s="20" t="e">
        <f t="shared" si="28"/>
        <v>#N/A</v>
      </c>
      <c r="R678" s="36"/>
      <c r="S678" s="18">
        <f>COUNTIF('Member List'!$C678:$J678,"&lt;&gt;")</f>
        <v>0</v>
      </c>
      <c r="T678" s="35"/>
      <c r="U678" s="24">
        <f t="shared" si="29"/>
        <v>0</v>
      </c>
      <c r="V678" s="18" t="e">
        <f t="shared" si="30"/>
        <v>#N/A</v>
      </c>
      <c r="W678" s="45" t="e">
        <f t="shared" si="31"/>
        <v>#N/A</v>
      </c>
      <c r="X678" s="20" t="e">
        <f t="shared" si="32"/>
        <v>#N/A</v>
      </c>
      <c r="Y678" s="46" t="e">
        <f t="shared" si="35"/>
        <v>#N/A</v>
      </c>
      <c r="Z678" s="39" t="e">
        <f t="shared" si="33"/>
        <v>#N/A</v>
      </c>
      <c r="AA678" s="39" t="e">
        <f t="shared" si="34"/>
        <v>#N/A</v>
      </c>
      <c r="AB678" s="39"/>
      <c r="AC678" s="48" t="e">
        <f t="shared" si="36"/>
        <v>#N/A</v>
      </c>
    </row>
    <row r="679" spans="1:29" ht="12.5" x14ac:dyDescent="0.25">
      <c r="A679" s="36"/>
      <c r="B679" s="33"/>
      <c r="C679" s="33"/>
      <c r="D679" s="33"/>
      <c r="E679" s="35"/>
      <c r="F679" s="21"/>
      <c r="G679" s="22" t="e">
        <f>VLOOKUP(E679,'Court List'!$A:$C,2,0)</f>
        <v>#N/A</v>
      </c>
      <c r="H679" s="33"/>
      <c r="I679" s="33"/>
      <c r="J679" s="44" t="e">
        <f t="shared" si="27"/>
        <v>#N/A</v>
      </c>
      <c r="K679" s="36"/>
      <c r="L679" s="18">
        <f>SUM('Shuttle Count - Supreme (Nov 20'!C679:D679)</f>
        <v>0</v>
      </c>
      <c r="M679" s="18" t="e">
        <f>VLOOKUP(K679,'Shuttle Purchase'!A:C,3,0)</f>
        <v>#N/A</v>
      </c>
      <c r="N679" s="44" t="e">
        <f t="shared" si="37"/>
        <v>#N/A</v>
      </c>
      <c r="O679" s="24" t="e">
        <f>VLOOKUP(E679,'Court List'!$A:$C,3,0)</f>
        <v>#N/A</v>
      </c>
      <c r="P679" s="18">
        <f>COUNTIF('Pub List'!$C679:$T679,"&lt;&gt;")</f>
        <v>0</v>
      </c>
      <c r="Q679" s="20" t="e">
        <f t="shared" si="28"/>
        <v>#N/A</v>
      </c>
      <c r="R679" s="36"/>
      <c r="S679" s="18">
        <f>COUNTIF('Member List'!$C679:$J679,"&lt;&gt;")</f>
        <v>0</v>
      </c>
      <c r="T679" s="35"/>
      <c r="U679" s="24">
        <f t="shared" si="29"/>
        <v>0</v>
      </c>
      <c r="V679" s="18" t="e">
        <f t="shared" si="30"/>
        <v>#N/A</v>
      </c>
      <c r="W679" s="45" t="e">
        <f t="shared" si="31"/>
        <v>#N/A</v>
      </c>
      <c r="X679" s="20" t="e">
        <f t="shared" si="32"/>
        <v>#N/A</v>
      </c>
      <c r="Y679" s="46" t="e">
        <f t="shared" si="35"/>
        <v>#N/A</v>
      </c>
      <c r="Z679" s="39" t="e">
        <f t="shared" si="33"/>
        <v>#N/A</v>
      </c>
      <c r="AA679" s="39" t="e">
        <f t="shared" si="34"/>
        <v>#N/A</v>
      </c>
      <c r="AB679" s="39"/>
      <c r="AC679" s="48" t="e">
        <f t="shared" si="36"/>
        <v>#N/A</v>
      </c>
    </row>
    <row r="680" spans="1:29" ht="12.5" x14ac:dyDescent="0.25">
      <c r="A680" s="36"/>
      <c r="B680" s="33"/>
      <c r="C680" s="33"/>
      <c r="D680" s="33"/>
      <c r="E680" s="35"/>
      <c r="F680" s="21"/>
      <c r="G680" s="22" t="e">
        <f>VLOOKUP(E680,'Court List'!$A:$C,2,0)</f>
        <v>#N/A</v>
      </c>
      <c r="H680" s="33"/>
      <c r="I680" s="33"/>
      <c r="J680" s="44" t="e">
        <f t="shared" si="27"/>
        <v>#N/A</v>
      </c>
      <c r="K680" s="36"/>
      <c r="L680" s="18">
        <f>SUM('Shuttle Count - Supreme (Nov 20'!C680:D680)</f>
        <v>0</v>
      </c>
      <c r="M680" s="18" t="e">
        <f>VLOOKUP(K680,'Shuttle Purchase'!A:C,3,0)</f>
        <v>#N/A</v>
      </c>
      <c r="N680" s="44" t="e">
        <f t="shared" si="37"/>
        <v>#N/A</v>
      </c>
      <c r="O680" s="24" t="e">
        <f>VLOOKUP(E680,'Court List'!$A:$C,3,0)</f>
        <v>#N/A</v>
      </c>
      <c r="P680" s="18">
        <f>COUNTIF('Pub List'!$C680:$T680,"&lt;&gt;")</f>
        <v>0</v>
      </c>
      <c r="Q680" s="20" t="e">
        <f t="shared" si="28"/>
        <v>#N/A</v>
      </c>
      <c r="R680" s="36"/>
      <c r="S680" s="18">
        <f>COUNTIF('Member List'!$C680:$J680,"&lt;&gt;")</f>
        <v>0</v>
      </c>
      <c r="T680" s="35"/>
      <c r="U680" s="24">
        <f t="shared" si="29"/>
        <v>0</v>
      </c>
      <c r="V680" s="18" t="e">
        <f t="shared" si="30"/>
        <v>#N/A</v>
      </c>
      <c r="W680" s="45" t="e">
        <f t="shared" si="31"/>
        <v>#N/A</v>
      </c>
      <c r="X680" s="20" t="e">
        <f t="shared" si="32"/>
        <v>#N/A</v>
      </c>
      <c r="Y680" s="46" t="e">
        <f t="shared" si="35"/>
        <v>#N/A</v>
      </c>
      <c r="Z680" s="39" t="e">
        <f t="shared" si="33"/>
        <v>#N/A</v>
      </c>
      <c r="AA680" s="39" t="e">
        <f t="shared" si="34"/>
        <v>#N/A</v>
      </c>
      <c r="AB680" s="39"/>
      <c r="AC680" s="48" t="e">
        <f t="shared" si="36"/>
        <v>#N/A</v>
      </c>
    </row>
    <row r="681" spans="1:29" ht="12.5" x14ac:dyDescent="0.25">
      <c r="A681" s="36"/>
      <c r="B681" s="33"/>
      <c r="C681" s="33"/>
      <c r="D681" s="33"/>
      <c r="E681" s="35"/>
      <c r="F681" s="21"/>
      <c r="G681" s="22" t="e">
        <f>VLOOKUP(E681,'Court List'!$A:$C,2,0)</f>
        <v>#N/A</v>
      </c>
      <c r="H681" s="33"/>
      <c r="I681" s="33"/>
      <c r="J681" s="44" t="e">
        <f t="shared" si="27"/>
        <v>#N/A</v>
      </c>
      <c r="K681" s="36"/>
      <c r="L681" s="18">
        <f>SUM('Shuttle Count - Supreme (Nov 20'!C681:D681)</f>
        <v>0</v>
      </c>
      <c r="M681" s="18" t="e">
        <f>VLOOKUP(K681,'Shuttle Purchase'!A:C,3,0)</f>
        <v>#N/A</v>
      </c>
      <c r="N681" s="44" t="e">
        <f t="shared" si="37"/>
        <v>#N/A</v>
      </c>
      <c r="O681" s="24" t="e">
        <f>VLOOKUP(E681,'Court List'!$A:$C,3,0)</f>
        <v>#N/A</v>
      </c>
      <c r="P681" s="18">
        <f>COUNTIF('Pub List'!$C681:$T681,"&lt;&gt;")</f>
        <v>0</v>
      </c>
      <c r="Q681" s="20" t="e">
        <f t="shared" si="28"/>
        <v>#N/A</v>
      </c>
      <c r="R681" s="36"/>
      <c r="S681" s="18">
        <f>COUNTIF('Member List'!$C681:$J681,"&lt;&gt;")</f>
        <v>0</v>
      </c>
      <c r="T681" s="35"/>
      <c r="U681" s="24">
        <f t="shared" si="29"/>
        <v>0</v>
      </c>
      <c r="V681" s="18" t="e">
        <f t="shared" si="30"/>
        <v>#N/A</v>
      </c>
      <c r="W681" s="45" t="e">
        <f t="shared" si="31"/>
        <v>#N/A</v>
      </c>
      <c r="X681" s="20" t="e">
        <f t="shared" si="32"/>
        <v>#N/A</v>
      </c>
      <c r="Y681" s="46" t="e">
        <f t="shared" si="35"/>
        <v>#N/A</v>
      </c>
      <c r="Z681" s="39" t="e">
        <f t="shared" si="33"/>
        <v>#N/A</v>
      </c>
      <c r="AA681" s="39" t="e">
        <f t="shared" si="34"/>
        <v>#N/A</v>
      </c>
      <c r="AB681" s="39"/>
      <c r="AC681" s="48" t="e">
        <f t="shared" si="36"/>
        <v>#N/A</v>
      </c>
    </row>
    <row r="682" spans="1:29" ht="12.5" x14ac:dyDescent="0.25">
      <c r="A682" s="36"/>
      <c r="B682" s="33"/>
      <c r="C682" s="33"/>
      <c r="D682" s="33"/>
      <c r="E682" s="35"/>
      <c r="F682" s="21"/>
      <c r="G682" s="22" t="e">
        <f>VLOOKUP(E682,'Court List'!$A:$C,2,0)</f>
        <v>#N/A</v>
      </c>
      <c r="H682" s="33"/>
      <c r="I682" s="33"/>
      <c r="J682" s="44" t="e">
        <f t="shared" si="27"/>
        <v>#N/A</v>
      </c>
      <c r="K682" s="36"/>
      <c r="L682" s="18">
        <f>SUM('Shuttle Count - Supreme (Nov 20'!C682:D682)</f>
        <v>0</v>
      </c>
      <c r="M682" s="18" t="e">
        <f>VLOOKUP(K682,'Shuttle Purchase'!A:C,3,0)</f>
        <v>#N/A</v>
      </c>
      <c r="N682" s="44" t="e">
        <f t="shared" si="37"/>
        <v>#N/A</v>
      </c>
      <c r="O682" s="24" t="e">
        <f>VLOOKUP(E682,'Court List'!$A:$C,3,0)</f>
        <v>#N/A</v>
      </c>
      <c r="P682" s="18">
        <f>COUNTIF('Pub List'!$C682:$T682,"&lt;&gt;")</f>
        <v>0</v>
      </c>
      <c r="Q682" s="20" t="e">
        <f t="shared" si="28"/>
        <v>#N/A</v>
      </c>
      <c r="R682" s="36"/>
      <c r="S682" s="18">
        <f>COUNTIF('Member List'!$C682:$J682,"&lt;&gt;")</f>
        <v>0</v>
      </c>
      <c r="T682" s="35"/>
      <c r="U682" s="24">
        <f t="shared" si="29"/>
        <v>0</v>
      </c>
      <c r="V682" s="18" t="e">
        <f t="shared" si="30"/>
        <v>#N/A</v>
      </c>
      <c r="W682" s="45" t="e">
        <f t="shared" si="31"/>
        <v>#N/A</v>
      </c>
      <c r="X682" s="20" t="e">
        <f t="shared" si="32"/>
        <v>#N/A</v>
      </c>
      <c r="Y682" s="46" t="e">
        <f t="shared" si="35"/>
        <v>#N/A</v>
      </c>
      <c r="Z682" s="39" t="e">
        <f t="shared" si="33"/>
        <v>#N/A</v>
      </c>
      <c r="AA682" s="39" t="e">
        <f t="shared" si="34"/>
        <v>#N/A</v>
      </c>
      <c r="AB682" s="39"/>
      <c r="AC682" s="48" t="e">
        <f t="shared" si="36"/>
        <v>#N/A</v>
      </c>
    </row>
    <row r="683" spans="1:29" ht="12.5" x14ac:dyDescent="0.25">
      <c r="A683" s="36"/>
      <c r="B683" s="33"/>
      <c r="C683" s="33"/>
      <c r="D683" s="33"/>
      <c r="E683" s="35"/>
      <c r="F683" s="21"/>
      <c r="G683" s="22" t="e">
        <f>VLOOKUP(E683,'Court List'!$A:$C,2,0)</f>
        <v>#N/A</v>
      </c>
      <c r="H683" s="33"/>
      <c r="I683" s="33"/>
      <c r="J683" s="44" t="e">
        <f t="shared" si="27"/>
        <v>#N/A</v>
      </c>
      <c r="K683" s="36"/>
      <c r="L683" s="18">
        <f>SUM('Shuttle Count - Supreme (Nov 20'!C683:D683)</f>
        <v>0</v>
      </c>
      <c r="M683" s="18" t="e">
        <f>VLOOKUP(K683,'Shuttle Purchase'!A:C,3,0)</f>
        <v>#N/A</v>
      </c>
      <c r="N683" s="44" t="e">
        <f t="shared" si="37"/>
        <v>#N/A</v>
      </c>
      <c r="O683" s="24" t="e">
        <f>VLOOKUP(E683,'Court List'!$A:$C,3,0)</f>
        <v>#N/A</v>
      </c>
      <c r="P683" s="18">
        <f>COUNTIF('Pub List'!$C683:$T683,"&lt;&gt;")</f>
        <v>0</v>
      </c>
      <c r="Q683" s="20" t="e">
        <f t="shared" si="28"/>
        <v>#N/A</v>
      </c>
      <c r="R683" s="36"/>
      <c r="S683" s="18">
        <f>COUNTIF('Member List'!$C683:$J683,"&lt;&gt;")</f>
        <v>0</v>
      </c>
      <c r="T683" s="35"/>
      <c r="U683" s="24">
        <f t="shared" si="29"/>
        <v>0</v>
      </c>
      <c r="V683" s="18" t="e">
        <f t="shared" si="30"/>
        <v>#N/A</v>
      </c>
      <c r="W683" s="45" t="e">
        <f t="shared" si="31"/>
        <v>#N/A</v>
      </c>
      <c r="X683" s="20" t="e">
        <f t="shared" si="32"/>
        <v>#N/A</v>
      </c>
      <c r="Y683" s="46" t="e">
        <f t="shared" si="35"/>
        <v>#N/A</v>
      </c>
      <c r="Z683" s="39" t="e">
        <f t="shared" si="33"/>
        <v>#N/A</v>
      </c>
      <c r="AA683" s="39" t="e">
        <f t="shared" si="34"/>
        <v>#N/A</v>
      </c>
      <c r="AB683" s="39"/>
      <c r="AC683" s="48" t="e">
        <f t="shared" si="36"/>
        <v>#N/A</v>
      </c>
    </row>
    <row r="684" spans="1:29" ht="12.5" x14ac:dyDescent="0.25">
      <c r="A684" s="36"/>
      <c r="B684" s="33"/>
      <c r="C684" s="33"/>
      <c r="D684" s="33"/>
      <c r="E684" s="35"/>
      <c r="F684" s="21"/>
      <c r="G684" s="22" t="e">
        <f>VLOOKUP(E684,'Court List'!$A:$C,2,0)</f>
        <v>#N/A</v>
      </c>
      <c r="H684" s="33"/>
      <c r="I684" s="33"/>
      <c r="J684" s="44" t="e">
        <f t="shared" si="27"/>
        <v>#N/A</v>
      </c>
      <c r="K684" s="36"/>
      <c r="L684" s="18">
        <f>SUM('Shuttle Count - Supreme (Nov 20'!C684:D684)</f>
        <v>0</v>
      </c>
      <c r="M684" s="18" t="e">
        <f>VLOOKUP(K684,'Shuttle Purchase'!A:C,3,0)</f>
        <v>#N/A</v>
      </c>
      <c r="N684" s="44" t="e">
        <f t="shared" si="37"/>
        <v>#N/A</v>
      </c>
      <c r="O684" s="24" t="e">
        <f>VLOOKUP(E684,'Court List'!$A:$C,3,0)</f>
        <v>#N/A</v>
      </c>
      <c r="P684" s="18">
        <f>COUNTIF('Pub List'!$C684:$T684,"&lt;&gt;")</f>
        <v>0</v>
      </c>
      <c r="Q684" s="20" t="e">
        <f t="shared" si="28"/>
        <v>#N/A</v>
      </c>
      <c r="R684" s="36"/>
      <c r="S684" s="18">
        <f>COUNTIF('Member List'!$C684:$J684,"&lt;&gt;")</f>
        <v>0</v>
      </c>
      <c r="T684" s="35"/>
      <c r="U684" s="24">
        <f t="shared" si="29"/>
        <v>0</v>
      </c>
      <c r="V684" s="18" t="e">
        <f t="shared" si="30"/>
        <v>#N/A</v>
      </c>
      <c r="W684" s="45" t="e">
        <f t="shared" si="31"/>
        <v>#N/A</v>
      </c>
      <c r="X684" s="20" t="e">
        <f t="shared" si="32"/>
        <v>#N/A</v>
      </c>
      <c r="Y684" s="46" t="e">
        <f t="shared" si="35"/>
        <v>#N/A</v>
      </c>
      <c r="Z684" s="39" t="e">
        <f t="shared" si="33"/>
        <v>#N/A</v>
      </c>
      <c r="AA684" s="39" t="e">
        <f t="shared" si="34"/>
        <v>#N/A</v>
      </c>
      <c r="AB684" s="39"/>
      <c r="AC684" s="48" t="e">
        <f t="shared" si="36"/>
        <v>#N/A</v>
      </c>
    </row>
    <row r="685" spans="1:29" ht="12.5" x14ac:dyDescent="0.25">
      <c r="A685" s="36"/>
      <c r="B685" s="33"/>
      <c r="C685" s="33"/>
      <c r="D685" s="33"/>
      <c r="E685" s="35"/>
      <c r="F685" s="21"/>
      <c r="G685" s="22" t="e">
        <f>VLOOKUP(E685,'Court List'!$A:$C,2,0)</f>
        <v>#N/A</v>
      </c>
      <c r="H685" s="33"/>
      <c r="I685" s="33"/>
      <c r="J685" s="44" t="e">
        <f t="shared" si="27"/>
        <v>#N/A</v>
      </c>
      <c r="K685" s="36"/>
      <c r="L685" s="18">
        <f>SUM('Shuttle Count - Supreme (Nov 20'!C685:D685)</f>
        <v>0</v>
      </c>
      <c r="M685" s="18" t="e">
        <f>VLOOKUP(K685,'Shuttle Purchase'!A:C,3,0)</f>
        <v>#N/A</v>
      </c>
      <c r="N685" s="44" t="e">
        <f t="shared" si="37"/>
        <v>#N/A</v>
      </c>
      <c r="O685" s="24" t="e">
        <f>VLOOKUP(E685,'Court List'!$A:$C,3,0)</f>
        <v>#N/A</v>
      </c>
      <c r="P685" s="18">
        <f>COUNTIF('Pub List'!$C685:$T685,"&lt;&gt;")</f>
        <v>0</v>
      </c>
      <c r="Q685" s="20" t="e">
        <f t="shared" si="28"/>
        <v>#N/A</v>
      </c>
      <c r="R685" s="36"/>
      <c r="S685" s="18">
        <f>COUNTIF('Member List'!$C685:$J685,"&lt;&gt;")</f>
        <v>0</v>
      </c>
      <c r="T685" s="35"/>
      <c r="U685" s="24">
        <f t="shared" si="29"/>
        <v>0</v>
      </c>
      <c r="V685" s="18" t="e">
        <f t="shared" si="30"/>
        <v>#N/A</v>
      </c>
      <c r="W685" s="45" t="e">
        <f t="shared" si="31"/>
        <v>#N/A</v>
      </c>
      <c r="X685" s="20" t="e">
        <f t="shared" si="32"/>
        <v>#N/A</v>
      </c>
      <c r="Y685" s="46" t="e">
        <f t="shared" si="35"/>
        <v>#N/A</v>
      </c>
      <c r="Z685" s="39" t="e">
        <f t="shared" si="33"/>
        <v>#N/A</v>
      </c>
      <c r="AA685" s="39" t="e">
        <f t="shared" si="34"/>
        <v>#N/A</v>
      </c>
      <c r="AB685" s="39"/>
      <c r="AC685" s="48" t="e">
        <f t="shared" si="36"/>
        <v>#N/A</v>
      </c>
    </row>
    <row r="686" spans="1:29" ht="12.5" x14ac:dyDescent="0.25">
      <c r="A686" s="36"/>
      <c r="B686" s="33"/>
      <c r="C686" s="33"/>
      <c r="D686" s="33"/>
      <c r="E686" s="35"/>
      <c r="F686" s="21"/>
      <c r="G686" s="22" t="e">
        <f>VLOOKUP(E686,'Court List'!$A:$C,2,0)</f>
        <v>#N/A</v>
      </c>
      <c r="H686" s="33"/>
      <c r="I686" s="33"/>
      <c r="J686" s="44" t="e">
        <f t="shared" si="27"/>
        <v>#N/A</v>
      </c>
      <c r="K686" s="36"/>
      <c r="L686" s="18">
        <f>SUM('Shuttle Count - Supreme (Nov 20'!C686:D686)</f>
        <v>0</v>
      </c>
      <c r="M686" s="18" t="e">
        <f>VLOOKUP(K686,'Shuttle Purchase'!A:C,3,0)</f>
        <v>#N/A</v>
      </c>
      <c r="N686" s="44" t="e">
        <f t="shared" si="37"/>
        <v>#N/A</v>
      </c>
      <c r="O686" s="24" t="e">
        <f>VLOOKUP(E686,'Court List'!$A:$C,3,0)</f>
        <v>#N/A</v>
      </c>
      <c r="P686" s="18">
        <f>COUNTIF('Pub List'!$C686:$T686,"&lt;&gt;")</f>
        <v>0</v>
      </c>
      <c r="Q686" s="20" t="e">
        <f t="shared" si="28"/>
        <v>#N/A</v>
      </c>
      <c r="R686" s="36"/>
      <c r="S686" s="18">
        <f>COUNTIF('Member List'!$C686:$J686,"&lt;&gt;")</f>
        <v>0</v>
      </c>
      <c r="T686" s="35"/>
      <c r="U686" s="24">
        <f t="shared" si="29"/>
        <v>0</v>
      </c>
      <c r="V686" s="18" t="e">
        <f t="shared" si="30"/>
        <v>#N/A</v>
      </c>
      <c r="W686" s="45" t="e">
        <f t="shared" si="31"/>
        <v>#N/A</v>
      </c>
      <c r="X686" s="20" t="e">
        <f t="shared" si="32"/>
        <v>#N/A</v>
      </c>
      <c r="Y686" s="46" t="e">
        <f t="shared" si="35"/>
        <v>#N/A</v>
      </c>
      <c r="Z686" s="39" t="e">
        <f t="shared" si="33"/>
        <v>#N/A</v>
      </c>
      <c r="AA686" s="39" t="e">
        <f t="shared" si="34"/>
        <v>#N/A</v>
      </c>
      <c r="AB686" s="39"/>
      <c r="AC686" s="48" t="e">
        <f t="shared" si="36"/>
        <v>#N/A</v>
      </c>
    </row>
    <row r="687" spans="1:29" ht="12.5" x14ac:dyDescent="0.25">
      <c r="A687" s="36"/>
      <c r="B687" s="33"/>
      <c r="C687" s="33"/>
      <c r="D687" s="33"/>
      <c r="E687" s="35"/>
      <c r="F687" s="21"/>
      <c r="G687" s="22" t="e">
        <f>VLOOKUP(E687,'Court List'!$A:$C,2,0)</f>
        <v>#N/A</v>
      </c>
      <c r="H687" s="33"/>
      <c r="I687" s="33"/>
      <c r="J687" s="44" t="e">
        <f t="shared" si="27"/>
        <v>#N/A</v>
      </c>
      <c r="K687" s="36"/>
      <c r="L687" s="18">
        <f>SUM('Shuttle Count - Supreme (Nov 20'!C687:D687)</f>
        <v>0</v>
      </c>
      <c r="M687" s="18" t="e">
        <f>VLOOKUP(K687,'Shuttle Purchase'!A:C,3,0)</f>
        <v>#N/A</v>
      </c>
      <c r="N687" s="44" t="e">
        <f t="shared" si="37"/>
        <v>#N/A</v>
      </c>
      <c r="O687" s="24" t="e">
        <f>VLOOKUP(E687,'Court List'!$A:$C,3,0)</f>
        <v>#N/A</v>
      </c>
      <c r="P687" s="18">
        <f>COUNTIF('Pub List'!$C687:$T687,"&lt;&gt;")</f>
        <v>0</v>
      </c>
      <c r="Q687" s="20" t="e">
        <f t="shared" si="28"/>
        <v>#N/A</v>
      </c>
      <c r="R687" s="36"/>
      <c r="S687" s="18">
        <f>COUNTIF('Member List'!$C687:$J687,"&lt;&gt;")</f>
        <v>0</v>
      </c>
      <c r="T687" s="35"/>
      <c r="U687" s="24">
        <f t="shared" si="29"/>
        <v>0</v>
      </c>
      <c r="V687" s="18" t="e">
        <f t="shared" si="30"/>
        <v>#N/A</v>
      </c>
      <c r="W687" s="45" t="e">
        <f t="shared" si="31"/>
        <v>#N/A</v>
      </c>
      <c r="X687" s="20" t="e">
        <f t="shared" si="32"/>
        <v>#N/A</v>
      </c>
      <c r="Y687" s="46" t="e">
        <f t="shared" si="35"/>
        <v>#N/A</v>
      </c>
      <c r="Z687" s="39" t="e">
        <f t="shared" si="33"/>
        <v>#N/A</v>
      </c>
      <c r="AA687" s="39" t="e">
        <f t="shared" si="34"/>
        <v>#N/A</v>
      </c>
      <c r="AB687" s="39"/>
      <c r="AC687" s="48" t="e">
        <f t="shared" si="36"/>
        <v>#N/A</v>
      </c>
    </row>
    <row r="688" spans="1:29" ht="12.5" x14ac:dyDescent="0.25">
      <c r="A688" s="36"/>
      <c r="B688" s="33"/>
      <c r="C688" s="33"/>
      <c r="D688" s="33"/>
      <c r="E688" s="35"/>
      <c r="F688" s="21"/>
      <c r="G688" s="22" t="e">
        <f>VLOOKUP(E688,'Court List'!$A:$C,2,0)</f>
        <v>#N/A</v>
      </c>
      <c r="H688" s="33"/>
      <c r="I688" s="33"/>
      <c r="J688" s="44" t="e">
        <f t="shared" si="27"/>
        <v>#N/A</v>
      </c>
      <c r="K688" s="36"/>
      <c r="L688" s="18">
        <f>SUM('Shuttle Count - Supreme (Nov 20'!C688:D688)</f>
        <v>0</v>
      </c>
      <c r="M688" s="18" t="e">
        <f>VLOOKUP(K688,'Shuttle Purchase'!A:C,3,0)</f>
        <v>#N/A</v>
      </c>
      <c r="N688" s="44" t="e">
        <f t="shared" si="37"/>
        <v>#N/A</v>
      </c>
      <c r="O688" s="24" t="e">
        <f>VLOOKUP(E688,'Court List'!$A:$C,3,0)</f>
        <v>#N/A</v>
      </c>
      <c r="P688" s="18">
        <f>COUNTIF('Pub List'!$C688:$T688,"&lt;&gt;")</f>
        <v>0</v>
      </c>
      <c r="Q688" s="20" t="e">
        <f t="shared" si="28"/>
        <v>#N/A</v>
      </c>
      <c r="R688" s="36"/>
      <c r="S688" s="18">
        <f>COUNTIF('Member List'!$C688:$J688,"&lt;&gt;")</f>
        <v>0</v>
      </c>
      <c r="T688" s="35"/>
      <c r="U688" s="24">
        <f t="shared" si="29"/>
        <v>0</v>
      </c>
      <c r="V688" s="18" t="e">
        <f t="shared" si="30"/>
        <v>#N/A</v>
      </c>
      <c r="W688" s="45" t="e">
        <f t="shared" si="31"/>
        <v>#N/A</v>
      </c>
      <c r="X688" s="20" t="e">
        <f t="shared" si="32"/>
        <v>#N/A</v>
      </c>
      <c r="Y688" s="46" t="e">
        <f t="shared" si="35"/>
        <v>#N/A</v>
      </c>
      <c r="Z688" s="39" t="e">
        <f t="shared" si="33"/>
        <v>#N/A</v>
      </c>
      <c r="AA688" s="39" t="e">
        <f t="shared" si="34"/>
        <v>#N/A</v>
      </c>
      <c r="AB688" s="39"/>
      <c r="AC688" s="48" t="e">
        <f t="shared" si="36"/>
        <v>#N/A</v>
      </c>
    </row>
    <row r="689" spans="1:29" ht="12.5" x14ac:dyDescent="0.25">
      <c r="A689" s="36"/>
      <c r="B689" s="33"/>
      <c r="C689" s="33"/>
      <c r="D689" s="33"/>
      <c r="E689" s="35"/>
      <c r="F689" s="21"/>
      <c r="G689" s="22" t="e">
        <f>VLOOKUP(E689,'Court List'!$A:$C,2,0)</f>
        <v>#N/A</v>
      </c>
      <c r="H689" s="33"/>
      <c r="I689" s="33"/>
      <c r="J689" s="44" t="e">
        <f t="shared" si="27"/>
        <v>#N/A</v>
      </c>
      <c r="K689" s="36"/>
      <c r="L689" s="18">
        <f>SUM('Shuttle Count - Supreme (Nov 20'!C689:D689)</f>
        <v>0</v>
      </c>
      <c r="M689" s="18" t="e">
        <f>VLOOKUP(K689,'Shuttle Purchase'!A:C,3,0)</f>
        <v>#N/A</v>
      </c>
      <c r="N689" s="44" t="e">
        <f t="shared" si="37"/>
        <v>#N/A</v>
      </c>
      <c r="O689" s="24" t="e">
        <f>VLOOKUP(E689,'Court List'!$A:$C,3,0)</f>
        <v>#N/A</v>
      </c>
      <c r="P689" s="18">
        <f>COUNTIF('Pub List'!$C689:$T689,"&lt;&gt;")</f>
        <v>0</v>
      </c>
      <c r="Q689" s="20" t="e">
        <f t="shared" si="28"/>
        <v>#N/A</v>
      </c>
      <c r="R689" s="36"/>
      <c r="S689" s="18">
        <f>COUNTIF('Member List'!$C689:$J689,"&lt;&gt;")</f>
        <v>0</v>
      </c>
      <c r="T689" s="35"/>
      <c r="U689" s="24">
        <f t="shared" si="29"/>
        <v>0</v>
      </c>
      <c r="V689" s="18" t="e">
        <f t="shared" si="30"/>
        <v>#N/A</v>
      </c>
      <c r="W689" s="45" t="e">
        <f t="shared" si="31"/>
        <v>#N/A</v>
      </c>
      <c r="X689" s="20" t="e">
        <f t="shared" si="32"/>
        <v>#N/A</v>
      </c>
      <c r="Y689" s="46" t="e">
        <f t="shared" si="35"/>
        <v>#N/A</v>
      </c>
      <c r="Z689" s="39" t="e">
        <f t="shared" si="33"/>
        <v>#N/A</v>
      </c>
      <c r="AA689" s="39" t="e">
        <f t="shared" si="34"/>
        <v>#N/A</v>
      </c>
      <c r="AB689" s="39"/>
      <c r="AC689" s="48" t="e">
        <f t="shared" si="36"/>
        <v>#N/A</v>
      </c>
    </row>
    <row r="690" spans="1:29" ht="12.5" x14ac:dyDescent="0.25">
      <c r="A690" s="36"/>
      <c r="B690" s="33"/>
      <c r="C690" s="33"/>
      <c r="D690" s="33"/>
      <c r="E690" s="35"/>
      <c r="F690" s="21"/>
      <c r="G690" s="22" t="e">
        <f>VLOOKUP(E690,'Court List'!$A:$C,2,0)</f>
        <v>#N/A</v>
      </c>
      <c r="H690" s="33"/>
      <c r="I690" s="33"/>
      <c r="J690" s="44" t="e">
        <f t="shared" si="27"/>
        <v>#N/A</v>
      </c>
      <c r="K690" s="36"/>
      <c r="L690" s="18">
        <f>SUM('Shuttle Count - Supreme (Nov 20'!C690:D690)</f>
        <v>0</v>
      </c>
      <c r="M690" s="18" t="e">
        <f>VLOOKUP(K690,'Shuttle Purchase'!A:C,3,0)</f>
        <v>#N/A</v>
      </c>
      <c r="N690" s="44" t="e">
        <f t="shared" si="37"/>
        <v>#N/A</v>
      </c>
      <c r="O690" s="24" t="e">
        <f>VLOOKUP(E690,'Court List'!$A:$C,3,0)</f>
        <v>#N/A</v>
      </c>
      <c r="P690" s="18">
        <f>COUNTIF('Pub List'!$C690:$T690,"&lt;&gt;")</f>
        <v>0</v>
      </c>
      <c r="Q690" s="20" t="e">
        <f t="shared" si="28"/>
        <v>#N/A</v>
      </c>
      <c r="R690" s="36"/>
      <c r="S690" s="18">
        <f>COUNTIF('Member List'!$C690:$J690,"&lt;&gt;")</f>
        <v>0</v>
      </c>
      <c r="T690" s="35"/>
      <c r="U690" s="24">
        <f t="shared" si="29"/>
        <v>0</v>
      </c>
      <c r="V690" s="18" t="e">
        <f t="shared" si="30"/>
        <v>#N/A</v>
      </c>
      <c r="W690" s="45" t="e">
        <f t="shared" si="31"/>
        <v>#N/A</v>
      </c>
      <c r="X690" s="20" t="e">
        <f t="shared" si="32"/>
        <v>#N/A</v>
      </c>
      <c r="Y690" s="46" t="e">
        <f t="shared" si="35"/>
        <v>#N/A</v>
      </c>
      <c r="Z690" s="39" t="e">
        <f t="shared" si="33"/>
        <v>#N/A</v>
      </c>
      <c r="AA690" s="39" t="e">
        <f t="shared" si="34"/>
        <v>#N/A</v>
      </c>
      <c r="AB690" s="39"/>
      <c r="AC690" s="48" t="e">
        <f t="shared" si="36"/>
        <v>#N/A</v>
      </c>
    </row>
    <row r="691" spans="1:29" ht="12.5" x14ac:dyDescent="0.25">
      <c r="A691" s="36"/>
      <c r="B691" s="33"/>
      <c r="C691" s="33"/>
      <c r="D691" s="33"/>
      <c r="E691" s="35"/>
      <c r="F691" s="21"/>
      <c r="G691" s="22" t="e">
        <f>VLOOKUP(E691,'Court List'!$A:$C,2,0)</f>
        <v>#N/A</v>
      </c>
      <c r="H691" s="33"/>
      <c r="I691" s="33"/>
      <c r="J691" s="44" t="e">
        <f t="shared" si="27"/>
        <v>#N/A</v>
      </c>
      <c r="K691" s="36"/>
      <c r="L691" s="18">
        <f>SUM('Shuttle Count - Supreme (Nov 20'!C691:D691)</f>
        <v>0</v>
      </c>
      <c r="M691" s="18" t="e">
        <f>VLOOKUP(K691,'Shuttle Purchase'!A:C,3,0)</f>
        <v>#N/A</v>
      </c>
      <c r="N691" s="44" t="e">
        <f t="shared" si="37"/>
        <v>#N/A</v>
      </c>
      <c r="O691" s="24" t="e">
        <f>VLOOKUP(E691,'Court List'!$A:$C,3,0)</f>
        <v>#N/A</v>
      </c>
      <c r="P691" s="18">
        <f>COUNTIF('Pub List'!$C691:$T691,"&lt;&gt;")</f>
        <v>0</v>
      </c>
      <c r="Q691" s="20" t="e">
        <f t="shared" si="28"/>
        <v>#N/A</v>
      </c>
      <c r="R691" s="36"/>
      <c r="S691" s="18">
        <f>COUNTIF('Member List'!$C691:$J691,"&lt;&gt;")</f>
        <v>0</v>
      </c>
      <c r="T691" s="35"/>
      <c r="U691" s="24">
        <f t="shared" si="29"/>
        <v>0</v>
      </c>
      <c r="V691" s="18" t="e">
        <f t="shared" si="30"/>
        <v>#N/A</v>
      </c>
      <c r="W691" s="45" t="e">
        <f t="shared" si="31"/>
        <v>#N/A</v>
      </c>
      <c r="X691" s="20" t="e">
        <f t="shared" si="32"/>
        <v>#N/A</v>
      </c>
      <c r="Y691" s="46" t="e">
        <f t="shared" si="35"/>
        <v>#N/A</v>
      </c>
      <c r="Z691" s="39" t="e">
        <f t="shared" si="33"/>
        <v>#N/A</v>
      </c>
      <c r="AA691" s="39" t="e">
        <f t="shared" si="34"/>
        <v>#N/A</v>
      </c>
      <c r="AB691" s="39"/>
      <c r="AC691" s="48" t="e">
        <f t="shared" si="36"/>
        <v>#N/A</v>
      </c>
    </row>
    <row r="692" spans="1:29" ht="12.5" x14ac:dyDescent="0.25">
      <c r="A692" s="36"/>
      <c r="B692" s="33"/>
      <c r="C692" s="33"/>
      <c r="D692" s="33"/>
      <c r="E692" s="35"/>
      <c r="F692" s="21"/>
      <c r="G692" s="22" t="e">
        <f>VLOOKUP(E692,'Court List'!$A:$C,2,0)</f>
        <v>#N/A</v>
      </c>
      <c r="H692" s="33"/>
      <c r="I692" s="33"/>
      <c r="J692" s="44" t="e">
        <f t="shared" si="27"/>
        <v>#N/A</v>
      </c>
      <c r="K692" s="36"/>
      <c r="L692" s="18">
        <f>SUM('Shuttle Count - Supreme (Nov 20'!C692:D692)</f>
        <v>0</v>
      </c>
      <c r="M692" s="18" t="e">
        <f>VLOOKUP(K692,'Shuttle Purchase'!A:C,3,0)</f>
        <v>#N/A</v>
      </c>
      <c r="N692" s="44" t="e">
        <f t="shared" si="37"/>
        <v>#N/A</v>
      </c>
      <c r="O692" s="24" t="e">
        <f>VLOOKUP(E692,'Court List'!$A:$C,3,0)</f>
        <v>#N/A</v>
      </c>
      <c r="P692" s="18">
        <f>COUNTIF('Pub List'!$C692:$T692,"&lt;&gt;")</f>
        <v>0</v>
      </c>
      <c r="Q692" s="20" t="e">
        <f t="shared" si="28"/>
        <v>#N/A</v>
      </c>
      <c r="R692" s="36"/>
      <c r="S692" s="18">
        <f>COUNTIF('Member List'!$C692:$J692,"&lt;&gt;")</f>
        <v>0</v>
      </c>
      <c r="T692" s="35"/>
      <c r="U692" s="24">
        <f t="shared" si="29"/>
        <v>0</v>
      </c>
      <c r="V692" s="18" t="e">
        <f t="shared" si="30"/>
        <v>#N/A</v>
      </c>
      <c r="W692" s="45" t="e">
        <f t="shared" si="31"/>
        <v>#N/A</v>
      </c>
      <c r="X692" s="20" t="e">
        <f t="shared" si="32"/>
        <v>#N/A</v>
      </c>
      <c r="Y692" s="46" t="e">
        <f t="shared" si="35"/>
        <v>#N/A</v>
      </c>
      <c r="Z692" s="39" t="e">
        <f t="shared" si="33"/>
        <v>#N/A</v>
      </c>
      <c r="AA692" s="39" t="e">
        <f t="shared" si="34"/>
        <v>#N/A</v>
      </c>
      <c r="AB692" s="39"/>
      <c r="AC692" s="48" t="e">
        <f t="shared" si="36"/>
        <v>#N/A</v>
      </c>
    </row>
    <row r="693" spans="1:29" ht="12.5" x14ac:dyDescent="0.25">
      <c r="A693" s="36"/>
      <c r="B693" s="33"/>
      <c r="C693" s="33"/>
      <c r="D693" s="33"/>
      <c r="E693" s="35"/>
      <c r="F693" s="21"/>
      <c r="G693" s="22" t="e">
        <f>VLOOKUP(E693,'Court List'!$A:$C,2,0)</f>
        <v>#N/A</v>
      </c>
      <c r="H693" s="33"/>
      <c r="I693" s="33"/>
      <c r="J693" s="44" t="e">
        <f t="shared" si="27"/>
        <v>#N/A</v>
      </c>
      <c r="K693" s="36"/>
      <c r="L693" s="18">
        <f>SUM('Shuttle Count - Supreme (Nov 20'!C693:D693)</f>
        <v>0</v>
      </c>
      <c r="M693" s="18" t="e">
        <f>VLOOKUP(K693,'Shuttle Purchase'!A:C,3,0)</f>
        <v>#N/A</v>
      </c>
      <c r="N693" s="44" t="e">
        <f t="shared" si="37"/>
        <v>#N/A</v>
      </c>
      <c r="O693" s="24" t="e">
        <f>VLOOKUP(E693,'Court List'!$A:$C,3,0)</f>
        <v>#N/A</v>
      </c>
      <c r="P693" s="18">
        <f>COUNTIF('Pub List'!$C693:$T693,"&lt;&gt;")</f>
        <v>0</v>
      </c>
      <c r="Q693" s="20" t="e">
        <f t="shared" si="28"/>
        <v>#N/A</v>
      </c>
      <c r="R693" s="36"/>
      <c r="S693" s="18">
        <f>COUNTIF('Member List'!$C693:$J693,"&lt;&gt;")</f>
        <v>0</v>
      </c>
      <c r="T693" s="35"/>
      <c r="U693" s="24">
        <f t="shared" si="29"/>
        <v>0</v>
      </c>
      <c r="V693" s="18" t="e">
        <f t="shared" si="30"/>
        <v>#N/A</v>
      </c>
      <c r="W693" s="45" t="e">
        <f t="shared" si="31"/>
        <v>#N/A</v>
      </c>
      <c r="X693" s="20" t="e">
        <f t="shared" si="32"/>
        <v>#N/A</v>
      </c>
      <c r="Y693" s="46" t="e">
        <f t="shared" si="35"/>
        <v>#N/A</v>
      </c>
      <c r="Z693" s="39" t="e">
        <f t="shared" si="33"/>
        <v>#N/A</v>
      </c>
      <c r="AA693" s="39" t="e">
        <f t="shared" si="34"/>
        <v>#N/A</v>
      </c>
      <c r="AB693" s="39"/>
      <c r="AC693" s="48" t="e">
        <f t="shared" si="36"/>
        <v>#N/A</v>
      </c>
    </row>
    <row r="694" spans="1:29" ht="12.5" x14ac:dyDescent="0.25">
      <c r="A694" s="36"/>
      <c r="B694" s="33"/>
      <c r="C694" s="33"/>
      <c r="D694" s="33"/>
      <c r="E694" s="35"/>
      <c r="F694" s="21"/>
      <c r="G694" s="22" t="e">
        <f>VLOOKUP(E694,'Court List'!$A:$C,2,0)</f>
        <v>#N/A</v>
      </c>
      <c r="H694" s="33"/>
      <c r="I694" s="33"/>
      <c r="J694" s="44" t="e">
        <f t="shared" si="27"/>
        <v>#N/A</v>
      </c>
      <c r="K694" s="36"/>
      <c r="L694" s="18">
        <f>SUM('Shuttle Count - Supreme (Nov 20'!C694:D694)</f>
        <v>0</v>
      </c>
      <c r="M694" s="18" t="e">
        <f>VLOOKUP(K694,'Shuttle Purchase'!A:C,3,0)</f>
        <v>#N/A</v>
      </c>
      <c r="N694" s="44" t="e">
        <f t="shared" si="37"/>
        <v>#N/A</v>
      </c>
      <c r="O694" s="24" t="e">
        <f>VLOOKUP(E694,'Court List'!$A:$C,3,0)</f>
        <v>#N/A</v>
      </c>
      <c r="P694" s="18">
        <f>COUNTIF('Pub List'!$C694:$T694,"&lt;&gt;")</f>
        <v>0</v>
      </c>
      <c r="Q694" s="20" t="e">
        <f t="shared" si="28"/>
        <v>#N/A</v>
      </c>
      <c r="R694" s="36"/>
      <c r="S694" s="18">
        <f>COUNTIF('Member List'!$C694:$J694,"&lt;&gt;")</f>
        <v>0</v>
      </c>
      <c r="T694" s="35"/>
      <c r="U694" s="24">
        <f t="shared" si="29"/>
        <v>0</v>
      </c>
      <c r="V694" s="18" t="e">
        <f t="shared" si="30"/>
        <v>#N/A</v>
      </c>
      <c r="W694" s="45" t="e">
        <f t="shared" si="31"/>
        <v>#N/A</v>
      </c>
      <c r="X694" s="20" t="e">
        <f t="shared" si="32"/>
        <v>#N/A</v>
      </c>
      <c r="Y694" s="46" t="e">
        <f t="shared" si="35"/>
        <v>#N/A</v>
      </c>
      <c r="Z694" s="39" t="e">
        <f t="shared" si="33"/>
        <v>#N/A</v>
      </c>
      <c r="AA694" s="39" t="e">
        <f t="shared" si="34"/>
        <v>#N/A</v>
      </c>
      <c r="AB694" s="39"/>
      <c r="AC694" s="48" t="e">
        <f t="shared" si="36"/>
        <v>#N/A</v>
      </c>
    </row>
    <row r="695" spans="1:29" ht="12.5" x14ac:dyDescent="0.25">
      <c r="A695" s="36"/>
      <c r="B695" s="33"/>
      <c r="C695" s="33"/>
      <c r="D695" s="33"/>
      <c r="E695" s="35"/>
      <c r="F695" s="21"/>
      <c r="G695" s="22" t="e">
        <f>VLOOKUP(E695,'Court List'!$A:$C,2,0)</f>
        <v>#N/A</v>
      </c>
      <c r="H695" s="33"/>
      <c r="I695" s="33"/>
      <c r="J695" s="44" t="e">
        <f t="shared" si="27"/>
        <v>#N/A</v>
      </c>
      <c r="K695" s="36"/>
      <c r="L695" s="18">
        <f>SUM('Shuttle Count - Supreme (Nov 20'!C695:D695)</f>
        <v>0</v>
      </c>
      <c r="M695" s="18" t="e">
        <f>VLOOKUP(K695,'Shuttle Purchase'!A:C,3,0)</f>
        <v>#N/A</v>
      </c>
      <c r="N695" s="44" t="e">
        <f t="shared" si="37"/>
        <v>#N/A</v>
      </c>
      <c r="O695" s="24" t="e">
        <f>VLOOKUP(E695,'Court List'!$A:$C,3,0)</f>
        <v>#N/A</v>
      </c>
      <c r="P695" s="18">
        <f>COUNTIF('Pub List'!$C695:$T695,"&lt;&gt;")</f>
        <v>0</v>
      </c>
      <c r="Q695" s="20" t="e">
        <f t="shared" si="28"/>
        <v>#N/A</v>
      </c>
      <c r="R695" s="36"/>
      <c r="S695" s="18">
        <f>COUNTIF('Member List'!$C695:$J695,"&lt;&gt;")</f>
        <v>0</v>
      </c>
      <c r="T695" s="35"/>
      <c r="U695" s="24">
        <f t="shared" si="29"/>
        <v>0</v>
      </c>
      <c r="V695" s="18" t="e">
        <f t="shared" si="30"/>
        <v>#N/A</v>
      </c>
      <c r="W695" s="45" t="e">
        <f t="shared" si="31"/>
        <v>#N/A</v>
      </c>
      <c r="X695" s="20" t="e">
        <f t="shared" si="32"/>
        <v>#N/A</v>
      </c>
      <c r="Y695" s="46" t="e">
        <f t="shared" si="35"/>
        <v>#N/A</v>
      </c>
      <c r="Z695" s="39" t="e">
        <f t="shared" si="33"/>
        <v>#N/A</v>
      </c>
      <c r="AA695" s="39" t="e">
        <f t="shared" si="34"/>
        <v>#N/A</v>
      </c>
      <c r="AB695" s="39"/>
      <c r="AC695" s="48" t="e">
        <f t="shared" si="36"/>
        <v>#N/A</v>
      </c>
    </row>
    <row r="696" spans="1:29" ht="12.5" x14ac:dyDescent="0.25">
      <c r="A696" s="36"/>
      <c r="B696" s="33"/>
      <c r="C696" s="33"/>
      <c r="D696" s="33"/>
      <c r="E696" s="35"/>
      <c r="F696" s="21"/>
      <c r="G696" s="22" t="e">
        <f>VLOOKUP(E696,'Court List'!$A:$C,2,0)</f>
        <v>#N/A</v>
      </c>
      <c r="H696" s="33"/>
      <c r="I696" s="33"/>
      <c r="J696" s="44" t="e">
        <f t="shared" si="27"/>
        <v>#N/A</v>
      </c>
      <c r="K696" s="36"/>
      <c r="L696" s="18">
        <f>SUM('Shuttle Count - Supreme (Nov 20'!C696:D696)</f>
        <v>0</v>
      </c>
      <c r="M696" s="18" t="e">
        <f>VLOOKUP(K696,'Shuttle Purchase'!A:C,3,0)</f>
        <v>#N/A</v>
      </c>
      <c r="N696" s="44" t="e">
        <f t="shared" si="37"/>
        <v>#N/A</v>
      </c>
      <c r="O696" s="24" t="e">
        <f>VLOOKUP(E696,'Court List'!$A:$C,3,0)</f>
        <v>#N/A</v>
      </c>
      <c r="P696" s="18">
        <f>COUNTIF('Pub List'!$C696:$T696,"&lt;&gt;")</f>
        <v>0</v>
      </c>
      <c r="Q696" s="20" t="e">
        <f t="shared" si="28"/>
        <v>#N/A</v>
      </c>
      <c r="R696" s="36"/>
      <c r="S696" s="18">
        <f>COUNTIF('Member List'!$C696:$J696,"&lt;&gt;")</f>
        <v>0</v>
      </c>
      <c r="T696" s="35"/>
      <c r="U696" s="24">
        <f t="shared" si="29"/>
        <v>0</v>
      </c>
      <c r="V696" s="18" t="e">
        <f t="shared" si="30"/>
        <v>#N/A</v>
      </c>
      <c r="W696" s="45" t="e">
        <f t="shared" si="31"/>
        <v>#N/A</v>
      </c>
      <c r="X696" s="20" t="e">
        <f t="shared" si="32"/>
        <v>#N/A</v>
      </c>
      <c r="Y696" s="46" t="e">
        <f t="shared" si="35"/>
        <v>#N/A</v>
      </c>
      <c r="Z696" s="39" t="e">
        <f t="shared" si="33"/>
        <v>#N/A</v>
      </c>
      <c r="AA696" s="39" t="e">
        <f t="shared" si="34"/>
        <v>#N/A</v>
      </c>
      <c r="AB696" s="39"/>
      <c r="AC696" s="48" t="e">
        <f t="shared" si="36"/>
        <v>#N/A</v>
      </c>
    </row>
    <row r="697" spans="1:29" ht="12.5" x14ac:dyDescent="0.25">
      <c r="A697" s="36"/>
      <c r="B697" s="33"/>
      <c r="C697" s="33"/>
      <c r="D697" s="33"/>
      <c r="E697" s="35"/>
      <c r="F697" s="21"/>
      <c r="G697" s="22" t="e">
        <f>VLOOKUP(E697,'Court List'!$A:$C,2,0)</f>
        <v>#N/A</v>
      </c>
      <c r="H697" s="33"/>
      <c r="I697" s="33"/>
      <c r="J697" s="44" t="e">
        <f t="shared" si="27"/>
        <v>#N/A</v>
      </c>
      <c r="K697" s="36"/>
      <c r="L697" s="18">
        <f>SUM('Shuttle Count - Supreme (Nov 20'!C697:D697)</f>
        <v>0</v>
      </c>
      <c r="M697" s="18" t="e">
        <f>VLOOKUP(K697,'Shuttle Purchase'!A:C,3,0)</f>
        <v>#N/A</v>
      </c>
      <c r="N697" s="44" t="e">
        <f t="shared" si="37"/>
        <v>#N/A</v>
      </c>
      <c r="O697" s="24" t="e">
        <f>VLOOKUP(E697,'Court List'!$A:$C,3,0)</f>
        <v>#N/A</v>
      </c>
      <c r="P697" s="18">
        <f>COUNTIF('Pub List'!$C697:$T697,"&lt;&gt;")</f>
        <v>0</v>
      </c>
      <c r="Q697" s="20" t="e">
        <f t="shared" si="28"/>
        <v>#N/A</v>
      </c>
      <c r="R697" s="36"/>
      <c r="S697" s="18">
        <f>COUNTIF('Member List'!$C697:$J697,"&lt;&gt;")</f>
        <v>0</v>
      </c>
      <c r="T697" s="35"/>
      <c r="U697" s="24">
        <f t="shared" si="29"/>
        <v>0</v>
      </c>
      <c r="V697" s="18" t="e">
        <f t="shared" si="30"/>
        <v>#N/A</v>
      </c>
      <c r="W697" s="45" t="e">
        <f t="shared" si="31"/>
        <v>#N/A</v>
      </c>
      <c r="X697" s="20" t="e">
        <f t="shared" si="32"/>
        <v>#N/A</v>
      </c>
      <c r="Y697" s="46" t="e">
        <f t="shared" si="35"/>
        <v>#N/A</v>
      </c>
      <c r="Z697" s="39" t="e">
        <f t="shared" si="33"/>
        <v>#N/A</v>
      </c>
      <c r="AA697" s="39" t="e">
        <f t="shared" si="34"/>
        <v>#N/A</v>
      </c>
      <c r="AB697" s="39"/>
      <c r="AC697" s="48" t="e">
        <f t="shared" si="36"/>
        <v>#N/A</v>
      </c>
    </row>
    <row r="698" spans="1:29" ht="12.5" x14ac:dyDescent="0.25">
      <c r="A698" s="36"/>
      <c r="B698" s="33"/>
      <c r="C698" s="33"/>
      <c r="D698" s="33"/>
      <c r="E698" s="35"/>
      <c r="F698" s="21"/>
      <c r="G698" s="22" t="e">
        <f>VLOOKUP(E698,'Court List'!$A:$C,2,0)</f>
        <v>#N/A</v>
      </c>
      <c r="H698" s="33"/>
      <c r="I698" s="33"/>
      <c r="J698" s="44" t="e">
        <f t="shared" si="27"/>
        <v>#N/A</v>
      </c>
      <c r="K698" s="36"/>
      <c r="L698" s="18">
        <f>SUM('Shuttle Count - Supreme (Nov 20'!C698:D698)</f>
        <v>0</v>
      </c>
      <c r="M698" s="18" t="e">
        <f>VLOOKUP(K698,'Shuttle Purchase'!A:C,3,0)</f>
        <v>#N/A</v>
      </c>
      <c r="N698" s="44" t="e">
        <f t="shared" si="37"/>
        <v>#N/A</v>
      </c>
      <c r="O698" s="24" t="e">
        <f>VLOOKUP(E698,'Court List'!$A:$C,3,0)</f>
        <v>#N/A</v>
      </c>
      <c r="P698" s="18">
        <f>COUNTIF('Pub List'!$C698:$T698,"&lt;&gt;")</f>
        <v>0</v>
      </c>
      <c r="Q698" s="20" t="e">
        <f t="shared" si="28"/>
        <v>#N/A</v>
      </c>
      <c r="R698" s="36"/>
      <c r="S698" s="18">
        <f>COUNTIF('Member List'!$C698:$J698,"&lt;&gt;")</f>
        <v>0</v>
      </c>
      <c r="T698" s="35"/>
      <c r="U698" s="24">
        <f t="shared" si="29"/>
        <v>0</v>
      </c>
      <c r="V698" s="18" t="e">
        <f t="shared" si="30"/>
        <v>#N/A</v>
      </c>
      <c r="W698" s="45" t="e">
        <f t="shared" si="31"/>
        <v>#N/A</v>
      </c>
      <c r="X698" s="20" t="e">
        <f t="shared" si="32"/>
        <v>#N/A</v>
      </c>
      <c r="Y698" s="46" t="e">
        <f t="shared" si="35"/>
        <v>#N/A</v>
      </c>
      <c r="Z698" s="39" t="e">
        <f t="shared" si="33"/>
        <v>#N/A</v>
      </c>
      <c r="AA698" s="39" t="e">
        <f t="shared" si="34"/>
        <v>#N/A</v>
      </c>
      <c r="AB698" s="39"/>
      <c r="AC698" s="48" t="e">
        <f t="shared" si="36"/>
        <v>#N/A</v>
      </c>
    </row>
    <row r="699" spans="1:29" ht="12.5" x14ac:dyDescent="0.25">
      <c r="A699" s="36"/>
      <c r="B699" s="33"/>
      <c r="C699" s="33"/>
      <c r="D699" s="33"/>
      <c r="E699" s="35"/>
      <c r="F699" s="21"/>
      <c r="G699" s="22" t="e">
        <f>VLOOKUP(E699,'Court List'!$A:$C,2,0)</f>
        <v>#N/A</v>
      </c>
      <c r="H699" s="33"/>
      <c r="I699" s="33"/>
      <c r="J699" s="44" t="e">
        <f t="shared" si="27"/>
        <v>#N/A</v>
      </c>
      <c r="K699" s="36"/>
      <c r="L699" s="18">
        <f>SUM('Shuttle Count - Supreme (Nov 20'!C699:D699)</f>
        <v>0</v>
      </c>
      <c r="M699" s="18" t="e">
        <f>VLOOKUP(K699,'Shuttle Purchase'!A:C,3,0)</f>
        <v>#N/A</v>
      </c>
      <c r="N699" s="44" t="e">
        <f t="shared" si="37"/>
        <v>#N/A</v>
      </c>
      <c r="O699" s="24" t="e">
        <f>VLOOKUP(E699,'Court List'!$A:$C,3,0)</f>
        <v>#N/A</v>
      </c>
      <c r="P699" s="18">
        <f>COUNTIF('Pub List'!$C699:$T699,"&lt;&gt;")</f>
        <v>0</v>
      </c>
      <c r="Q699" s="20" t="e">
        <f t="shared" si="28"/>
        <v>#N/A</v>
      </c>
      <c r="R699" s="36"/>
      <c r="S699" s="18">
        <f>COUNTIF('Member List'!$C699:$J699,"&lt;&gt;")</f>
        <v>0</v>
      </c>
      <c r="T699" s="35"/>
      <c r="U699" s="24">
        <f t="shared" si="29"/>
        <v>0</v>
      </c>
      <c r="V699" s="18" t="e">
        <f t="shared" si="30"/>
        <v>#N/A</v>
      </c>
      <c r="W699" s="45" t="e">
        <f t="shared" si="31"/>
        <v>#N/A</v>
      </c>
      <c r="X699" s="20" t="e">
        <f t="shared" si="32"/>
        <v>#N/A</v>
      </c>
      <c r="Y699" s="46" t="e">
        <f t="shared" si="35"/>
        <v>#N/A</v>
      </c>
      <c r="Z699" s="39" t="e">
        <f t="shared" si="33"/>
        <v>#N/A</v>
      </c>
      <c r="AA699" s="39" t="e">
        <f t="shared" si="34"/>
        <v>#N/A</v>
      </c>
      <c r="AB699" s="39"/>
      <c r="AC699" s="48" t="e">
        <f t="shared" si="36"/>
        <v>#N/A</v>
      </c>
    </row>
    <row r="700" spans="1:29" ht="12.5" x14ac:dyDescent="0.25">
      <c r="A700" s="36"/>
      <c r="B700" s="33"/>
      <c r="C700" s="33"/>
      <c r="D700" s="33"/>
      <c r="E700" s="35"/>
      <c r="F700" s="21"/>
      <c r="G700" s="22" t="e">
        <f>VLOOKUP(E700,'Court List'!$A:$C,2,0)</f>
        <v>#N/A</v>
      </c>
      <c r="H700" s="33"/>
      <c r="I700" s="33"/>
      <c r="J700" s="44" t="e">
        <f t="shared" si="27"/>
        <v>#N/A</v>
      </c>
      <c r="K700" s="36"/>
      <c r="L700" s="18">
        <f>SUM('Shuttle Count - Supreme (Nov 20'!C700:D700)</f>
        <v>0</v>
      </c>
      <c r="M700" s="18" t="e">
        <f>VLOOKUP(K700,'Shuttle Purchase'!A:C,3,0)</f>
        <v>#N/A</v>
      </c>
      <c r="N700" s="44" t="e">
        <f t="shared" si="37"/>
        <v>#N/A</v>
      </c>
      <c r="O700" s="24" t="e">
        <f>VLOOKUP(E700,'Court List'!$A:$C,3,0)</f>
        <v>#N/A</v>
      </c>
      <c r="P700" s="18">
        <f>COUNTIF('Pub List'!$C700:$T700,"&lt;&gt;")</f>
        <v>0</v>
      </c>
      <c r="Q700" s="20" t="e">
        <f t="shared" si="28"/>
        <v>#N/A</v>
      </c>
      <c r="R700" s="36"/>
      <c r="S700" s="18">
        <f>COUNTIF('Member List'!$C700:$J700,"&lt;&gt;")</f>
        <v>0</v>
      </c>
      <c r="T700" s="35"/>
      <c r="U700" s="24">
        <f t="shared" si="29"/>
        <v>0</v>
      </c>
      <c r="V700" s="18" t="e">
        <f t="shared" si="30"/>
        <v>#N/A</v>
      </c>
      <c r="W700" s="45" t="e">
        <f t="shared" si="31"/>
        <v>#N/A</v>
      </c>
      <c r="X700" s="20" t="e">
        <f t="shared" si="32"/>
        <v>#N/A</v>
      </c>
      <c r="Y700" s="46" t="e">
        <f t="shared" si="35"/>
        <v>#N/A</v>
      </c>
      <c r="Z700" s="39" t="e">
        <f t="shared" si="33"/>
        <v>#N/A</v>
      </c>
      <c r="AA700" s="39" t="e">
        <f t="shared" si="34"/>
        <v>#N/A</v>
      </c>
      <c r="AB700" s="39"/>
      <c r="AC700" s="48" t="e">
        <f t="shared" si="36"/>
        <v>#N/A</v>
      </c>
    </row>
    <row r="701" spans="1:29" ht="12.5" x14ac:dyDescent="0.25">
      <c r="A701" s="36"/>
      <c r="B701" s="33"/>
      <c r="C701" s="33"/>
      <c r="D701" s="33"/>
      <c r="E701" s="35"/>
      <c r="F701" s="21"/>
      <c r="G701" s="22" t="e">
        <f>VLOOKUP(E701,'Court List'!$A:$C,2,0)</f>
        <v>#N/A</v>
      </c>
      <c r="H701" s="33"/>
      <c r="I701" s="33"/>
      <c r="J701" s="44" t="e">
        <f t="shared" si="27"/>
        <v>#N/A</v>
      </c>
      <c r="K701" s="36"/>
      <c r="L701" s="18">
        <f>SUM('Shuttle Count - Supreme (Nov 20'!C701:D701)</f>
        <v>0</v>
      </c>
      <c r="M701" s="18" t="e">
        <f>VLOOKUP(K701,'Shuttle Purchase'!A:C,3,0)</f>
        <v>#N/A</v>
      </c>
      <c r="N701" s="44" t="e">
        <f t="shared" si="37"/>
        <v>#N/A</v>
      </c>
      <c r="O701" s="24" t="e">
        <f>VLOOKUP(E701,'Court List'!$A:$C,3,0)</f>
        <v>#N/A</v>
      </c>
      <c r="P701" s="18">
        <f>COUNTIF('Pub List'!$C701:$T701,"&lt;&gt;")</f>
        <v>0</v>
      </c>
      <c r="Q701" s="20" t="e">
        <f t="shared" si="28"/>
        <v>#N/A</v>
      </c>
      <c r="R701" s="36"/>
      <c r="S701" s="18">
        <f>COUNTIF('Member List'!$C701:$J701,"&lt;&gt;")</f>
        <v>0</v>
      </c>
      <c r="T701" s="35"/>
      <c r="U701" s="24">
        <f t="shared" si="29"/>
        <v>0</v>
      </c>
      <c r="V701" s="18" t="e">
        <f t="shared" si="30"/>
        <v>#N/A</v>
      </c>
      <c r="W701" s="45" t="e">
        <f t="shared" si="31"/>
        <v>#N/A</v>
      </c>
      <c r="X701" s="20" t="e">
        <f t="shared" si="32"/>
        <v>#N/A</v>
      </c>
      <c r="Y701" s="46" t="e">
        <f t="shared" si="35"/>
        <v>#N/A</v>
      </c>
      <c r="Z701" s="39" t="e">
        <f t="shared" si="33"/>
        <v>#N/A</v>
      </c>
      <c r="AA701" s="39" t="e">
        <f t="shared" si="34"/>
        <v>#N/A</v>
      </c>
      <c r="AB701" s="39"/>
      <c r="AC701" s="48" t="e">
        <f t="shared" si="36"/>
        <v>#N/A</v>
      </c>
    </row>
    <row r="702" spans="1:29" ht="12.5" x14ac:dyDescent="0.25">
      <c r="A702" s="36"/>
      <c r="B702" s="33"/>
      <c r="C702" s="33"/>
      <c r="D702" s="33"/>
      <c r="E702" s="35"/>
      <c r="F702" s="21"/>
      <c r="G702" s="22" t="e">
        <f>VLOOKUP(E702,'Court List'!$A:$C,2,0)</f>
        <v>#N/A</v>
      </c>
      <c r="H702" s="33"/>
      <c r="I702" s="33"/>
      <c r="J702" s="44" t="e">
        <f t="shared" si="27"/>
        <v>#N/A</v>
      </c>
      <c r="K702" s="36"/>
      <c r="L702" s="18">
        <f>SUM('Shuttle Count - Supreme (Nov 20'!C702:D702)</f>
        <v>0</v>
      </c>
      <c r="M702" s="18" t="e">
        <f>VLOOKUP(K702,'Shuttle Purchase'!A:C,3,0)</f>
        <v>#N/A</v>
      </c>
      <c r="N702" s="44" t="e">
        <f t="shared" si="37"/>
        <v>#N/A</v>
      </c>
      <c r="O702" s="24" t="e">
        <f>VLOOKUP(E702,'Court List'!$A:$C,3,0)</f>
        <v>#N/A</v>
      </c>
      <c r="P702" s="18">
        <f>COUNTIF('Pub List'!$C702:$T702,"&lt;&gt;")</f>
        <v>0</v>
      </c>
      <c r="Q702" s="20" t="e">
        <f t="shared" si="28"/>
        <v>#N/A</v>
      </c>
      <c r="R702" s="36"/>
      <c r="S702" s="18">
        <f>COUNTIF('Member List'!$C702:$J702,"&lt;&gt;")</f>
        <v>0</v>
      </c>
      <c r="T702" s="35"/>
      <c r="U702" s="24">
        <f t="shared" si="29"/>
        <v>0</v>
      </c>
      <c r="V702" s="18" t="e">
        <f t="shared" si="30"/>
        <v>#N/A</v>
      </c>
      <c r="W702" s="45" t="e">
        <f t="shared" si="31"/>
        <v>#N/A</v>
      </c>
      <c r="X702" s="20" t="e">
        <f t="shared" si="32"/>
        <v>#N/A</v>
      </c>
      <c r="Y702" s="46" t="e">
        <f t="shared" si="35"/>
        <v>#N/A</v>
      </c>
      <c r="Z702" s="39" t="e">
        <f t="shared" si="33"/>
        <v>#N/A</v>
      </c>
      <c r="AA702" s="39" t="e">
        <f t="shared" si="34"/>
        <v>#N/A</v>
      </c>
      <c r="AB702" s="39"/>
      <c r="AC702" s="48" t="e">
        <f t="shared" si="36"/>
        <v>#N/A</v>
      </c>
    </row>
    <row r="703" spans="1:29" ht="12.5" x14ac:dyDescent="0.25">
      <c r="A703" s="36"/>
      <c r="B703" s="33"/>
      <c r="C703" s="33"/>
      <c r="D703" s="33"/>
      <c r="E703" s="35"/>
      <c r="F703" s="21"/>
      <c r="G703" s="22" t="e">
        <f>VLOOKUP(E703,'Court List'!$A:$C,2,0)</f>
        <v>#N/A</v>
      </c>
      <c r="H703" s="33"/>
      <c r="I703" s="33"/>
      <c r="J703" s="44" t="e">
        <f t="shared" si="27"/>
        <v>#N/A</v>
      </c>
      <c r="K703" s="36"/>
      <c r="L703" s="18">
        <f>SUM('Shuttle Count - Supreme (Nov 20'!C703:D703)</f>
        <v>0</v>
      </c>
      <c r="M703" s="18" t="e">
        <f>VLOOKUP(K703,'Shuttle Purchase'!A:C,3,0)</f>
        <v>#N/A</v>
      </c>
      <c r="N703" s="44" t="e">
        <f t="shared" si="37"/>
        <v>#N/A</v>
      </c>
      <c r="O703" s="24" t="e">
        <f>VLOOKUP(E703,'Court List'!$A:$C,3,0)</f>
        <v>#N/A</v>
      </c>
      <c r="P703" s="18">
        <f>COUNTIF('Pub List'!$C703:$T703,"&lt;&gt;")</f>
        <v>0</v>
      </c>
      <c r="Q703" s="20" t="e">
        <f t="shared" si="28"/>
        <v>#N/A</v>
      </c>
      <c r="R703" s="36"/>
      <c r="S703" s="18">
        <f>COUNTIF('Member List'!$C703:$J703,"&lt;&gt;")</f>
        <v>0</v>
      </c>
      <c r="T703" s="35"/>
      <c r="U703" s="24">
        <f t="shared" si="29"/>
        <v>0</v>
      </c>
      <c r="V703" s="18" t="e">
        <f t="shared" si="30"/>
        <v>#N/A</v>
      </c>
      <c r="W703" s="45" t="e">
        <f t="shared" si="31"/>
        <v>#N/A</v>
      </c>
      <c r="X703" s="20" t="e">
        <f t="shared" si="32"/>
        <v>#N/A</v>
      </c>
      <c r="Y703" s="46" t="e">
        <f t="shared" si="35"/>
        <v>#N/A</v>
      </c>
      <c r="Z703" s="39" t="e">
        <f t="shared" si="33"/>
        <v>#N/A</v>
      </c>
      <c r="AA703" s="39" t="e">
        <f t="shared" si="34"/>
        <v>#N/A</v>
      </c>
      <c r="AB703" s="39"/>
      <c r="AC703" s="48" t="e">
        <f t="shared" si="36"/>
        <v>#N/A</v>
      </c>
    </row>
    <row r="704" spans="1:29" ht="12.5" x14ac:dyDescent="0.25">
      <c r="A704" s="36"/>
      <c r="B704" s="33"/>
      <c r="C704" s="33"/>
      <c r="D704" s="33"/>
      <c r="E704" s="35"/>
      <c r="F704" s="21"/>
      <c r="G704" s="22" t="e">
        <f>VLOOKUP(E704,'Court List'!$A:$C,2,0)</f>
        <v>#N/A</v>
      </c>
      <c r="H704" s="33"/>
      <c r="I704" s="33"/>
      <c r="J704" s="44" t="e">
        <f t="shared" si="27"/>
        <v>#N/A</v>
      </c>
      <c r="K704" s="36"/>
      <c r="L704" s="18">
        <f>SUM('Shuttle Count - Supreme (Nov 20'!C704:D704)</f>
        <v>0</v>
      </c>
      <c r="M704" s="18" t="e">
        <f>VLOOKUP(K704,'Shuttle Purchase'!A:C,3,0)</f>
        <v>#N/A</v>
      </c>
      <c r="N704" s="44" t="e">
        <f t="shared" si="37"/>
        <v>#N/A</v>
      </c>
      <c r="O704" s="24" t="e">
        <f>VLOOKUP(E704,'Court List'!$A:$C,3,0)</f>
        <v>#N/A</v>
      </c>
      <c r="P704" s="18">
        <f>COUNTIF('Pub List'!$C704:$T704,"&lt;&gt;")</f>
        <v>0</v>
      </c>
      <c r="Q704" s="20" t="e">
        <f t="shared" si="28"/>
        <v>#N/A</v>
      </c>
      <c r="R704" s="36"/>
      <c r="S704" s="18">
        <f>COUNTIF('Member List'!$C704:$J704,"&lt;&gt;")</f>
        <v>0</v>
      </c>
      <c r="T704" s="35"/>
      <c r="U704" s="24">
        <f t="shared" si="29"/>
        <v>0</v>
      </c>
      <c r="V704" s="18" t="e">
        <f t="shared" si="30"/>
        <v>#N/A</v>
      </c>
      <c r="W704" s="45" t="e">
        <f t="shared" si="31"/>
        <v>#N/A</v>
      </c>
      <c r="X704" s="20" t="e">
        <f t="shared" si="32"/>
        <v>#N/A</v>
      </c>
      <c r="Y704" s="46" t="e">
        <f t="shared" si="35"/>
        <v>#N/A</v>
      </c>
      <c r="Z704" s="39" t="e">
        <f t="shared" si="33"/>
        <v>#N/A</v>
      </c>
      <c r="AA704" s="39" t="e">
        <f t="shared" si="34"/>
        <v>#N/A</v>
      </c>
      <c r="AB704" s="39"/>
      <c r="AC704" s="48" t="e">
        <f t="shared" si="36"/>
        <v>#N/A</v>
      </c>
    </row>
    <row r="705" spans="1:29" ht="12.5" x14ac:dyDescent="0.25">
      <c r="A705" s="36"/>
      <c r="B705" s="33"/>
      <c r="C705" s="33"/>
      <c r="D705" s="33"/>
      <c r="E705" s="35"/>
      <c r="F705" s="21"/>
      <c r="G705" s="22" t="e">
        <f>VLOOKUP(E705,'Court List'!$A:$C,2,0)</f>
        <v>#N/A</v>
      </c>
      <c r="H705" s="33"/>
      <c r="I705" s="33"/>
      <c r="J705" s="44" t="e">
        <f t="shared" si="27"/>
        <v>#N/A</v>
      </c>
      <c r="K705" s="36"/>
      <c r="L705" s="18">
        <f>SUM('Shuttle Count - Supreme (Nov 20'!C705:D705)</f>
        <v>0</v>
      </c>
      <c r="M705" s="18" t="e">
        <f>VLOOKUP(K705,'Shuttle Purchase'!A:C,3,0)</f>
        <v>#N/A</v>
      </c>
      <c r="N705" s="44" t="e">
        <f t="shared" si="37"/>
        <v>#N/A</v>
      </c>
      <c r="O705" s="24" t="e">
        <f>VLOOKUP(E705,'Court List'!$A:$C,3,0)</f>
        <v>#N/A</v>
      </c>
      <c r="P705" s="18">
        <f>COUNTIF('Pub List'!$C705:$T705,"&lt;&gt;")</f>
        <v>0</v>
      </c>
      <c r="Q705" s="20" t="e">
        <f t="shared" si="28"/>
        <v>#N/A</v>
      </c>
      <c r="R705" s="36"/>
      <c r="S705" s="18">
        <f>COUNTIF('Member List'!$C705:$J705,"&lt;&gt;")</f>
        <v>0</v>
      </c>
      <c r="T705" s="35"/>
      <c r="U705" s="24">
        <f t="shared" si="29"/>
        <v>0</v>
      </c>
      <c r="V705" s="18" t="e">
        <f t="shared" si="30"/>
        <v>#N/A</v>
      </c>
      <c r="W705" s="45" t="e">
        <f t="shared" si="31"/>
        <v>#N/A</v>
      </c>
      <c r="X705" s="20" t="e">
        <f t="shared" si="32"/>
        <v>#N/A</v>
      </c>
      <c r="Y705" s="46" t="e">
        <f t="shared" si="35"/>
        <v>#N/A</v>
      </c>
      <c r="Z705" s="39" t="e">
        <f t="shared" si="33"/>
        <v>#N/A</v>
      </c>
      <c r="AA705" s="39" t="e">
        <f t="shared" si="34"/>
        <v>#N/A</v>
      </c>
      <c r="AB705" s="39"/>
      <c r="AC705" s="48" t="e">
        <f t="shared" si="36"/>
        <v>#N/A</v>
      </c>
    </row>
    <row r="706" spans="1:29" ht="12.5" x14ac:dyDescent="0.25">
      <c r="A706" s="36"/>
      <c r="B706" s="33"/>
      <c r="C706" s="33"/>
      <c r="D706" s="33"/>
      <c r="E706" s="35"/>
      <c r="F706" s="21"/>
      <c r="G706" s="22" t="e">
        <f>VLOOKUP(E706,'Court List'!$A:$C,2,0)</f>
        <v>#N/A</v>
      </c>
      <c r="H706" s="33"/>
      <c r="I706" s="33"/>
      <c r="J706" s="44" t="e">
        <f t="shared" si="27"/>
        <v>#N/A</v>
      </c>
      <c r="K706" s="36"/>
      <c r="L706" s="18">
        <f>SUM('Shuttle Count - Supreme (Nov 20'!C706:D706)</f>
        <v>0</v>
      </c>
      <c r="M706" s="18" t="e">
        <f>VLOOKUP(K706,'Shuttle Purchase'!A:C,3,0)</f>
        <v>#N/A</v>
      </c>
      <c r="N706" s="44" t="e">
        <f t="shared" si="37"/>
        <v>#N/A</v>
      </c>
      <c r="O706" s="24" t="e">
        <f>VLOOKUP(E706,'Court List'!$A:$C,3,0)</f>
        <v>#N/A</v>
      </c>
      <c r="P706" s="18">
        <f>COUNTIF('Pub List'!$C706:$T706,"&lt;&gt;")</f>
        <v>0</v>
      </c>
      <c r="Q706" s="20" t="e">
        <f t="shared" si="28"/>
        <v>#N/A</v>
      </c>
      <c r="R706" s="36"/>
      <c r="S706" s="18">
        <f>COUNTIF('Member List'!$C706:$J706,"&lt;&gt;")</f>
        <v>0</v>
      </c>
      <c r="T706" s="35"/>
      <c r="U706" s="24">
        <f t="shared" si="29"/>
        <v>0</v>
      </c>
      <c r="V706" s="18" t="e">
        <f t="shared" si="30"/>
        <v>#N/A</v>
      </c>
      <c r="W706" s="45" t="e">
        <f t="shared" si="31"/>
        <v>#N/A</v>
      </c>
      <c r="X706" s="20" t="e">
        <f t="shared" si="32"/>
        <v>#N/A</v>
      </c>
      <c r="Y706" s="46" t="e">
        <f t="shared" si="35"/>
        <v>#N/A</v>
      </c>
      <c r="Z706" s="39" t="e">
        <f t="shared" si="33"/>
        <v>#N/A</v>
      </c>
      <c r="AA706" s="39" t="e">
        <f t="shared" si="34"/>
        <v>#N/A</v>
      </c>
      <c r="AB706" s="39"/>
      <c r="AC706" s="48" t="e">
        <f t="shared" si="36"/>
        <v>#N/A</v>
      </c>
    </row>
    <row r="707" spans="1:29" ht="12.5" x14ac:dyDescent="0.25">
      <c r="A707" s="36"/>
      <c r="B707" s="33"/>
      <c r="C707" s="33"/>
      <c r="D707" s="33"/>
      <c r="E707" s="35"/>
      <c r="F707" s="21"/>
      <c r="G707" s="22" t="e">
        <f>VLOOKUP(E707,'Court List'!$A:$C,2,0)</f>
        <v>#N/A</v>
      </c>
      <c r="H707" s="33"/>
      <c r="I707" s="33"/>
      <c r="J707" s="44" t="e">
        <f t="shared" si="27"/>
        <v>#N/A</v>
      </c>
      <c r="K707" s="36"/>
      <c r="L707" s="18">
        <f>SUM('Shuttle Count - Supreme (Nov 20'!C707:D707)</f>
        <v>0</v>
      </c>
      <c r="M707" s="18" t="e">
        <f>VLOOKUP(K707,'Shuttle Purchase'!A:C,3,0)</f>
        <v>#N/A</v>
      </c>
      <c r="N707" s="44" t="e">
        <f t="shared" si="37"/>
        <v>#N/A</v>
      </c>
      <c r="O707" s="24" t="e">
        <f>VLOOKUP(E707,'Court List'!$A:$C,3,0)</f>
        <v>#N/A</v>
      </c>
      <c r="P707" s="18">
        <f>COUNTIF('Pub List'!$C707:$T707,"&lt;&gt;")</f>
        <v>0</v>
      </c>
      <c r="Q707" s="20" t="e">
        <f t="shared" si="28"/>
        <v>#N/A</v>
      </c>
      <c r="R707" s="36"/>
      <c r="S707" s="18">
        <f>COUNTIF('Member List'!$C707:$J707,"&lt;&gt;")</f>
        <v>0</v>
      </c>
      <c r="T707" s="35"/>
      <c r="U707" s="24">
        <f t="shared" si="29"/>
        <v>0</v>
      </c>
      <c r="V707" s="18" t="e">
        <f t="shared" si="30"/>
        <v>#N/A</v>
      </c>
      <c r="W707" s="45" t="e">
        <f t="shared" si="31"/>
        <v>#N/A</v>
      </c>
      <c r="X707" s="20" t="e">
        <f t="shared" si="32"/>
        <v>#N/A</v>
      </c>
      <c r="Y707" s="46" t="e">
        <f t="shared" si="35"/>
        <v>#N/A</v>
      </c>
      <c r="Z707" s="39" t="e">
        <f t="shared" si="33"/>
        <v>#N/A</v>
      </c>
      <c r="AA707" s="39" t="e">
        <f t="shared" si="34"/>
        <v>#N/A</v>
      </c>
      <c r="AB707" s="39"/>
      <c r="AC707" s="48" t="e">
        <f t="shared" si="36"/>
        <v>#N/A</v>
      </c>
    </row>
    <row r="708" spans="1:29" ht="12.5" x14ac:dyDescent="0.25">
      <c r="A708" s="36"/>
      <c r="B708" s="33"/>
      <c r="C708" s="33"/>
      <c r="D708" s="33"/>
      <c r="E708" s="35"/>
      <c r="F708" s="21"/>
      <c r="G708" s="22" t="e">
        <f>VLOOKUP(E708,'Court List'!$A:$C,2,0)</f>
        <v>#N/A</v>
      </c>
      <c r="H708" s="33"/>
      <c r="I708" s="33"/>
      <c r="J708" s="44" t="e">
        <f t="shared" si="27"/>
        <v>#N/A</v>
      </c>
      <c r="K708" s="36"/>
      <c r="L708" s="18">
        <f>SUM('Shuttle Count - Supreme (Nov 20'!C708:D708)</f>
        <v>0</v>
      </c>
      <c r="M708" s="18" t="e">
        <f>VLOOKUP(K708,'Shuttle Purchase'!A:C,3,0)</f>
        <v>#N/A</v>
      </c>
      <c r="N708" s="44" t="e">
        <f t="shared" si="37"/>
        <v>#N/A</v>
      </c>
      <c r="O708" s="24" t="e">
        <f>VLOOKUP(E708,'Court List'!$A:$C,3,0)</f>
        <v>#N/A</v>
      </c>
      <c r="P708" s="18">
        <f>COUNTIF('Pub List'!$C708:$T708,"&lt;&gt;")</f>
        <v>0</v>
      </c>
      <c r="Q708" s="20" t="e">
        <f t="shared" si="28"/>
        <v>#N/A</v>
      </c>
      <c r="R708" s="36"/>
      <c r="S708" s="18">
        <f>COUNTIF('Member List'!$C708:$J708,"&lt;&gt;")</f>
        <v>0</v>
      </c>
      <c r="T708" s="35"/>
      <c r="U708" s="24">
        <f t="shared" si="29"/>
        <v>0</v>
      </c>
      <c r="V708" s="18" t="e">
        <f t="shared" si="30"/>
        <v>#N/A</v>
      </c>
      <c r="W708" s="45" t="e">
        <f t="shared" si="31"/>
        <v>#N/A</v>
      </c>
      <c r="X708" s="20" t="e">
        <f t="shared" si="32"/>
        <v>#N/A</v>
      </c>
      <c r="Y708" s="46" t="e">
        <f t="shared" si="35"/>
        <v>#N/A</v>
      </c>
      <c r="Z708" s="39" t="e">
        <f t="shared" si="33"/>
        <v>#N/A</v>
      </c>
      <c r="AA708" s="39" t="e">
        <f t="shared" si="34"/>
        <v>#N/A</v>
      </c>
      <c r="AB708" s="39"/>
      <c r="AC708" s="48" t="e">
        <f t="shared" si="36"/>
        <v>#N/A</v>
      </c>
    </row>
    <row r="709" spans="1:29" ht="12.5" x14ac:dyDescent="0.25">
      <c r="A709" s="36"/>
      <c r="B709" s="33"/>
      <c r="C709" s="33"/>
      <c r="D709" s="33"/>
      <c r="E709" s="35"/>
      <c r="F709" s="21"/>
      <c r="G709" s="22" t="e">
        <f>VLOOKUP(E709,'Court List'!$A:$C,2,0)</f>
        <v>#N/A</v>
      </c>
      <c r="H709" s="33"/>
      <c r="I709" s="33"/>
      <c r="J709" s="44" t="e">
        <f t="shared" si="27"/>
        <v>#N/A</v>
      </c>
      <c r="K709" s="36"/>
      <c r="L709" s="18">
        <f>SUM('Shuttle Count - Supreme (Nov 20'!C709:D709)</f>
        <v>0</v>
      </c>
      <c r="M709" s="18" t="e">
        <f>VLOOKUP(K709,'Shuttle Purchase'!A:C,3,0)</f>
        <v>#N/A</v>
      </c>
      <c r="N709" s="44" t="e">
        <f t="shared" si="37"/>
        <v>#N/A</v>
      </c>
      <c r="O709" s="24" t="e">
        <f>VLOOKUP(E709,'Court List'!$A:$C,3,0)</f>
        <v>#N/A</v>
      </c>
      <c r="P709" s="18">
        <f>COUNTIF('Pub List'!$C709:$T709,"&lt;&gt;")</f>
        <v>0</v>
      </c>
      <c r="Q709" s="20" t="e">
        <f t="shared" si="28"/>
        <v>#N/A</v>
      </c>
      <c r="R709" s="36"/>
      <c r="S709" s="18">
        <f>COUNTIF('Member List'!$C709:$J709,"&lt;&gt;")</f>
        <v>0</v>
      </c>
      <c r="T709" s="35"/>
      <c r="U709" s="24">
        <f t="shared" si="29"/>
        <v>0</v>
      </c>
      <c r="V709" s="18" t="e">
        <f t="shared" si="30"/>
        <v>#N/A</v>
      </c>
      <c r="W709" s="45" t="e">
        <f t="shared" si="31"/>
        <v>#N/A</v>
      </c>
      <c r="X709" s="20" t="e">
        <f t="shared" si="32"/>
        <v>#N/A</v>
      </c>
      <c r="Y709" s="46" t="e">
        <f t="shared" si="35"/>
        <v>#N/A</v>
      </c>
      <c r="Z709" s="39" t="e">
        <f t="shared" si="33"/>
        <v>#N/A</v>
      </c>
      <c r="AA709" s="39" t="e">
        <f t="shared" si="34"/>
        <v>#N/A</v>
      </c>
      <c r="AB709" s="39"/>
      <c r="AC709" s="48" t="e">
        <f t="shared" si="36"/>
        <v>#N/A</v>
      </c>
    </row>
    <row r="710" spans="1:29" ht="12.5" x14ac:dyDescent="0.25">
      <c r="A710" s="36"/>
      <c r="B710" s="33"/>
      <c r="C710" s="33"/>
      <c r="D710" s="33"/>
      <c r="E710" s="35"/>
      <c r="F710" s="21"/>
      <c r="G710" s="22" t="e">
        <f>VLOOKUP(E710,'Court List'!$A:$C,2,0)</f>
        <v>#N/A</v>
      </c>
      <c r="H710" s="33"/>
      <c r="I710" s="33"/>
      <c r="J710" s="44" t="e">
        <f t="shared" si="27"/>
        <v>#N/A</v>
      </c>
      <c r="K710" s="36"/>
      <c r="L710" s="18">
        <f>SUM('Shuttle Count - Supreme (Nov 20'!C710:D710)</f>
        <v>0</v>
      </c>
      <c r="M710" s="18" t="e">
        <f>VLOOKUP(K710,'Shuttle Purchase'!A:C,3,0)</f>
        <v>#N/A</v>
      </c>
      <c r="N710" s="44" t="e">
        <f t="shared" si="37"/>
        <v>#N/A</v>
      </c>
      <c r="O710" s="24" t="e">
        <f>VLOOKUP(E710,'Court List'!$A:$C,3,0)</f>
        <v>#N/A</v>
      </c>
      <c r="P710" s="18">
        <f>COUNTIF('Pub List'!$C710:$T710,"&lt;&gt;")</f>
        <v>0</v>
      </c>
      <c r="Q710" s="20" t="e">
        <f t="shared" si="28"/>
        <v>#N/A</v>
      </c>
      <c r="R710" s="36"/>
      <c r="S710" s="18">
        <f>COUNTIF('Member List'!$C710:$J710,"&lt;&gt;")</f>
        <v>0</v>
      </c>
      <c r="T710" s="35"/>
      <c r="U710" s="24">
        <f t="shared" si="29"/>
        <v>0</v>
      </c>
      <c r="V710" s="18" t="e">
        <f t="shared" si="30"/>
        <v>#N/A</v>
      </c>
      <c r="W710" s="45" t="e">
        <f t="shared" si="31"/>
        <v>#N/A</v>
      </c>
      <c r="X710" s="20" t="e">
        <f t="shared" si="32"/>
        <v>#N/A</v>
      </c>
      <c r="Y710" s="46" t="e">
        <f t="shared" si="35"/>
        <v>#N/A</v>
      </c>
      <c r="Z710" s="39" t="e">
        <f t="shared" si="33"/>
        <v>#N/A</v>
      </c>
      <c r="AA710" s="39" t="e">
        <f t="shared" si="34"/>
        <v>#N/A</v>
      </c>
      <c r="AB710" s="39"/>
      <c r="AC710" s="48" t="e">
        <f t="shared" si="36"/>
        <v>#N/A</v>
      </c>
    </row>
    <row r="711" spans="1:29" ht="12.5" x14ac:dyDescent="0.25">
      <c r="A711" s="36"/>
      <c r="B711" s="33"/>
      <c r="C711" s="33"/>
      <c r="D711" s="33"/>
      <c r="E711" s="35"/>
      <c r="F711" s="21"/>
      <c r="G711" s="22" t="e">
        <f>VLOOKUP(E711,'Court List'!$A:$C,2,0)</f>
        <v>#N/A</v>
      </c>
      <c r="H711" s="33"/>
      <c r="I711" s="33"/>
      <c r="J711" s="44" t="e">
        <f t="shared" si="27"/>
        <v>#N/A</v>
      </c>
      <c r="K711" s="36"/>
      <c r="L711" s="18">
        <f>SUM('Shuttle Count - Supreme (Nov 20'!C711:D711)</f>
        <v>0</v>
      </c>
      <c r="M711" s="18" t="e">
        <f>VLOOKUP(K711,'Shuttle Purchase'!A:C,3,0)</f>
        <v>#N/A</v>
      </c>
      <c r="N711" s="44" t="e">
        <f t="shared" si="37"/>
        <v>#N/A</v>
      </c>
      <c r="O711" s="24" t="e">
        <f>VLOOKUP(E711,'Court List'!$A:$C,3,0)</f>
        <v>#N/A</v>
      </c>
      <c r="P711" s="18">
        <f>COUNTIF('Pub List'!$C711:$T711,"&lt;&gt;")</f>
        <v>0</v>
      </c>
      <c r="Q711" s="20" t="e">
        <f t="shared" si="28"/>
        <v>#N/A</v>
      </c>
      <c r="R711" s="36"/>
      <c r="S711" s="18">
        <f>COUNTIF('Member List'!$C711:$J711,"&lt;&gt;")</f>
        <v>0</v>
      </c>
      <c r="T711" s="35"/>
      <c r="U711" s="24">
        <f t="shared" si="29"/>
        <v>0</v>
      </c>
      <c r="V711" s="18" t="e">
        <f t="shared" si="30"/>
        <v>#N/A</v>
      </c>
      <c r="W711" s="45" t="e">
        <f t="shared" si="31"/>
        <v>#N/A</v>
      </c>
      <c r="X711" s="20" t="e">
        <f t="shared" si="32"/>
        <v>#N/A</v>
      </c>
      <c r="Y711" s="46" t="e">
        <f t="shared" si="35"/>
        <v>#N/A</v>
      </c>
      <c r="Z711" s="39" t="e">
        <f t="shared" si="33"/>
        <v>#N/A</v>
      </c>
      <c r="AA711" s="39" t="e">
        <f t="shared" si="34"/>
        <v>#N/A</v>
      </c>
      <c r="AB711" s="39"/>
      <c r="AC711" s="48" t="e">
        <f t="shared" si="36"/>
        <v>#N/A</v>
      </c>
    </row>
    <row r="712" spans="1:29" ht="12.5" x14ac:dyDescent="0.25">
      <c r="A712" s="36"/>
      <c r="B712" s="33"/>
      <c r="C712" s="33"/>
      <c r="D712" s="33"/>
      <c r="E712" s="35"/>
      <c r="F712" s="21"/>
      <c r="G712" s="22" t="e">
        <f>VLOOKUP(E712,'Court List'!$A:$C,2,0)</f>
        <v>#N/A</v>
      </c>
      <c r="H712" s="33"/>
      <c r="I712" s="33"/>
      <c r="J712" s="44" t="e">
        <f t="shared" si="27"/>
        <v>#N/A</v>
      </c>
      <c r="K712" s="36"/>
      <c r="L712" s="18">
        <f>SUM('Shuttle Count - Supreme (Nov 20'!C712:D712)</f>
        <v>0</v>
      </c>
      <c r="M712" s="18" t="e">
        <f>VLOOKUP(K712,'Shuttle Purchase'!A:C,3,0)</f>
        <v>#N/A</v>
      </c>
      <c r="N712" s="44" t="e">
        <f t="shared" si="37"/>
        <v>#N/A</v>
      </c>
      <c r="O712" s="24" t="e">
        <f>VLOOKUP(E712,'Court List'!$A:$C,3,0)</f>
        <v>#N/A</v>
      </c>
      <c r="P712" s="18">
        <f>COUNTIF('Pub List'!$C712:$T712,"&lt;&gt;")</f>
        <v>0</v>
      </c>
      <c r="Q712" s="20" t="e">
        <f t="shared" si="28"/>
        <v>#N/A</v>
      </c>
      <c r="R712" s="36"/>
      <c r="S712" s="18">
        <f>COUNTIF('Member List'!$C712:$J712,"&lt;&gt;")</f>
        <v>0</v>
      </c>
      <c r="T712" s="35"/>
      <c r="U712" s="24">
        <f t="shared" si="29"/>
        <v>0</v>
      </c>
      <c r="V712" s="18" t="e">
        <f t="shared" si="30"/>
        <v>#N/A</v>
      </c>
      <c r="W712" s="45" t="e">
        <f t="shared" si="31"/>
        <v>#N/A</v>
      </c>
      <c r="X712" s="20" t="e">
        <f t="shared" si="32"/>
        <v>#N/A</v>
      </c>
      <c r="Y712" s="46" t="e">
        <f t="shared" si="35"/>
        <v>#N/A</v>
      </c>
      <c r="Z712" s="39" t="e">
        <f t="shared" si="33"/>
        <v>#N/A</v>
      </c>
      <c r="AA712" s="39" t="e">
        <f t="shared" si="34"/>
        <v>#N/A</v>
      </c>
      <c r="AB712" s="39"/>
      <c r="AC712" s="48" t="e">
        <f t="shared" si="36"/>
        <v>#N/A</v>
      </c>
    </row>
    <row r="713" spans="1:29" ht="12.5" x14ac:dyDescent="0.25">
      <c r="A713" s="36"/>
      <c r="B713" s="33"/>
      <c r="C713" s="33"/>
      <c r="D713" s="33"/>
      <c r="E713" s="35"/>
      <c r="F713" s="21"/>
      <c r="G713" s="22" t="e">
        <f>VLOOKUP(E713,'Court List'!$A:$C,2,0)</f>
        <v>#N/A</v>
      </c>
      <c r="H713" s="33"/>
      <c r="I713" s="33"/>
      <c r="J713" s="44" t="e">
        <f t="shared" si="27"/>
        <v>#N/A</v>
      </c>
      <c r="K713" s="36"/>
      <c r="L713" s="18">
        <f>SUM('Shuttle Count - Supreme (Nov 20'!C713:D713)</f>
        <v>0</v>
      </c>
      <c r="M713" s="18" t="e">
        <f>VLOOKUP(K713,'Shuttle Purchase'!A:C,3,0)</f>
        <v>#N/A</v>
      </c>
      <c r="N713" s="44" t="e">
        <f t="shared" si="37"/>
        <v>#N/A</v>
      </c>
      <c r="O713" s="24" t="e">
        <f>VLOOKUP(E713,'Court List'!$A:$C,3,0)</f>
        <v>#N/A</v>
      </c>
      <c r="P713" s="18">
        <f>COUNTIF('Pub List'!$C713:$T713,"&lt;&gt;")</f>
        <v>0</v>
      </c>
      <c r="Q713" s="20" t="e">
        <f t="shared" si="28"/>
        <v>#N/A</v>
      </c>
      <c r="R713" s="36"/>
      <c r="S713" s="18">
        <f>COUNTIF('Member List'!$C713:$J713,"&lt;&gt;")</f>
        <v>0</v>
      </c>
      <c r="T713" s="35"/>
      <c r="U713" s="24">
        <f t="shared" si="29"/>
        <v>0</v>
      </c>
      <c r="V713" s="18" t="e">
        <f t="shared" si="30"/>
        <v>#N/A</v>
      </c>
      <c r="W713" s="45" t="e">
        <f t="shared" si="31"/>
        <v>#N/A</v>
      </c>
      <c r="X713" s="20" t="e">
        <f t="shared" si="32"/>
        <v>#N/A</v>
      </c>
      <c r="Y713" s="46" t="e">
        <f t="shared" si="35"/>
        <v>#N/A</v>
      </c>
      <c r="Z713" s="39" t="e">
        <f t="shared" si="33"/>
        <v>#N/A</v>
      </c>
      <c r="AA713" s="39" t="e">
        <f t="shared" si="34"/>
        <v>#N/A</v>
      </c>
      <c r="AB713" s="39"/>
      <c r="AC713" s="48" t="e">
        <f t="shared" si="36"/>
        <v>#N/A</v>
      </c>
    </row>
    <row r="714" spans="1:29" ht="12.5" x14ac:dyDescent="0.25">
      <c r="A714" s="36"/>
      <c r="B714" s="33"/>
      <c r="C714" s="33"/>
      <c r="D714" s="33"/>
      <c r="E714" s="35"/>
      <c r="F714" s="21"/>
      <c r="G714" s="22" t="e">
        <f>VLOOKUP(E714,'Court List'!$A:$C,2,0)</f>
        <v>#N/A</v>
      </c>
      <c r="H714" s="33"/>
      <c r="I714" s="33"/>
      <c r="J714" s="44" t="e">
        <f t="shared" si="27"/>
        <v>#N/A</v>
      </c>
      <c r="K714" s="36"/>
      <c r="L714" s="18">
        <f>SUM('Shuttle Count - Supreme (Nov 20'!C714:D714)</f>
        <v>0</v>
      </c>
      <c r="M714" s="18" t="e">
        <f>VLOOKUP(K714,'Shuttle Purchase'!A:C,3,0)</f>
        <v>#N/A</v>
      </c>
      <c r="N714" s="44" t="e">
        <f t="shared" si="37"/>
        <v>#N/A</v>
      </c>
      <c r="O714" s="24" t="e">
        <f>VLOOKUP(E714,'Court List'!$A:$C,3,0)</f>
        <v>#N/A</v>
      </c>
      <c r="P714" s="18">
        <f>COUNTIF('Pub List'!$C714:$T714,"&lt;&gt;")</f>
        <v>0</v>
      </c>
      <c r="Q714" s="20" t="e">
        <f t="shared" si="28"/>
        <v>#N/A</v>
      </c>
      <c r="R714" s="36"/>
      <c r="S714" s="18">
        <f>COUNTIF('Member List'!$C714:$J714,"&lt;&gt;")</f>
        <v>0</v>
      </c>
      <c r="T714" s="35"/>
      <c r="U714" s="24">
        <f t="shared" si="29"/>
        <v>0</v>
      </c>
      <c r="V714" s="18" t="e">
        <f t="shared" si="30"/>
        <v>#N/A</v>
      </c>
      <c r="W714" s="45" t="e">
        <f t="shared" si="31"/>
        <v>#N/A</v>
      </c>
      <c r="X714" s="20" t="e">
        <f t="shared" si="32"/>
        <v>#N/A</v>
      </c>
      <c r="Y714" s="46" t="e">
        <f t="shared" si="35"/>
        <v>#N/A</v>
      </c>
      <c r="Z714" s="39" t="e">
        <f t="shared" si="33"/>
        <v>#N/A</v>
      </c>
      <c r="AA714" s="39" t="e">
        <f t="shared" si="34"/>
        <v>#N/A</v>
      </c>
      <c r="AB714" s="39"/>
      <c r="AC714" s="48" t="e">
        <f t="shared" si="36"/>
        <v>#N/A</v>
      </c>
    </row>
    <row r="715" spans="1:29" ht="12.5" x14ac:dyDescent="0.25">
      <c r="A715" s="36"/>
      <c r="B715" s="33"/>
      <c r="C715" s="33"/>
      <c r="D715" s="33"/>
      <c r="E715" s="35"/>
      <c r="F715" s="21"/>
      <c r="G715" s="22" t="e">
        <f>VLOOKUP(E715,'Court List'!$A:$C,2,0)</f>
        <v>#N/A</v>
      </c>
      <c r="H715" s="33"/>
      <c r="I715" s="33"/>
      <c r="J715" s="44" t="e">
        <f t="shared" si="27"/>
        <v>#N/A</v>
      </c>
      <c r="K715" s="36"/>
      <c r="L715" s="18">
        <f>SUM('Shuttle Count - Supreme (Nov 20'!C715:D715)</f>
        <v>0</v>
      </c>
      <c r="M715" s="18" t="e">
        <f>VLOOKUP(K715,'Shuttle Purchase'!A:C,3,0)</f>
        <v>#N/A</v>
      </c>
      <c r="N715" s="44" t="e">
        <f t="shared" si="37"/>
        <v>#N/A</v>
      </c>
      <c r="O715" s="24" t="e">
        <f>VLOOKUP(E715,'Court List'!$A:$C,3,0)</f>
        <v>#N/A</v>
      </c>
      <c r="P715" s="18">
        <f>COUNTIF('Pub List'!$C715:$T715,"&lt;&gt;")</f>
        <v>0</v>
      </c>
      <c r="Q715" s="20" t="e">
        <f t="shared" si="28"/>
        <v>#N/A</v>
      </c>
      <c r="R715" s="36"/>
      <c r="S715" s="18">
        <f>COUNTIF('Member List'!$C715:$J715,"&lt;&gt;")</f>
        <v>0</v>
      </c>
      <c r="T715" s="35"/>
      <c r="U715" s="24">
        <f t="shared" si="29"/>
        <v>0</v>
      </c>
      <c r="V715" s="18" t="e">
        <f t="shared" si="30"/>
        <v>#N/A</v>
      </c>
      <c r="W715" s="45" t="e">
        <f t="shared" si="31"/>
        <v>#N/A</v>
      </c>
      <c r="X715" s="20" t="e">
        <f t="shared" si="32"/>
        <v>#N/A</v>
      </c>
      <c r="Y715" s="46" t="e">
        <f t="shared" si="35"/>
        <v>#N/A</v>
      </c>
      <c r="Z715" s="39" t="e">
        <f t="shared" si="33"/>
        <v>#N/A</v>
      </c>
      <c r="AA715" s="39" t="e">
        <f t="shared" si="34"/>
        <v>#N/A</v>
      </c>
      <c r="AB715" s="39"/>
      <c r="AC715" s="48" t="e">
        <f t="shared" si="36"/>
        <v>#N/A</v>
      </c>
    </row>
    <row r="716" spans="1:29" ht="12.5" x14ac:dyDescent="0.25">
      <c r="A716" s="36"/>
      <c r="B716" s="33"/>
      <c r="C716" s="33"/>
      <c r="D716" s="33"/>
      <c r="E716" s="35"/>
      <c r="F716" s="21"/>
      <c r="G716" s="22" t="e">
        <f>VLOOKUP(E716,'Court List'!$A:$C,2,0)</f>
        <v>#N/A</v>
      </c>
      <c r="H716" s="33"/>
      <c r="I716" s="33"/>
      <c r="J716" s="44" t="e">
        <f t="shared" si="27"/>
        <v>#N/A</v>
      </c>
      <c r="K716" s="36"/>
      <c r="L716" s="18">
        <f>SUM('Shuttle Count - Supreme (Nov 20'!C716:D716)</f>
        <v>0</v>
      </c>
      <c r="M716" s="18" t="e">
        <f>VLOOKUP(K716,'Shuttle Purchase'!A:C,3,0)</f>
        <v>#N/A</v>
      </c>
      <c r="N716" s="44" t="e">
        <f t="shared" si="37"/>
        <v>#N/A</v>
      </c>
      <c r="O716" s="24" t="e">
        <f>VLOOKUP(E716,'Court List'!$A:$C,3,0)</f>
        <v>#N/A</v>
      </c>
      <c r="P716" s="18">
        <f>COUNTIF('Pub List'!$C716:$T716,"&lt;&gt;")</f>
        <v>0</v>
      </c>
      <c r="Q716" s="20" t="e">
        <f t="shared" si="28"/>
        <v>#N/A</v>
      </c>
      <c r="R716" s="36"/>
      <c r="S716" s="18">
        <f>COUNTIF('Member List'!$C716:$J716,"&lt;&gt;")</f>
        <v>0</v>
      </c>
      <c r="T716" s="35"/>
      <c r="U716" s="24">
        <f t="shared" si="29"/>
        <v>0</v>
      </c>
      <c r="V716" s="18" t="e">
        <f t="shared" si="30"/>
        <v>#N/A</v>
      </c>
      <c r="W716" s="45" t="e">
        <f t="shared" si="31"/>
        <v>#N/A</v>
      </c>
      <c r="X716" s="20" t="e">
        <f t="shared" si="32"/>
        <v>#N/A</v>
      </c>
      <c r="Y716" s="46" t="e">
        <f t="shared" si="35"/>
        <v>#N/A</v>
      </c>
      <c r="Z716" s="39" t="e">
        <f t="shared" si="33"/>
        <v>#N/A</v>
      </c>
      <c r="AA716" s="39" t="e">
        <f t="shared" si="34"/>
        <v>#N/A</v>
      </c>
      <c r="AB716" s="39"/>
      <c r="AC716" s="48" t="e">
        <f t="shared" si="36"/>
        <v>#N/A</v>
      </c>
    </row>
    <row r="717" spans="1:29" ht="12.5" x14ac:dyDescent="0.25">
      <c r="A717" s="36"/>
      <c r="B717" s="33"/>
      <c r="C717" s="33"/>
      <c r="D717" s="33"/>
      <c r="E717" s="35"/>
      <c r="F717" s="21"/>
      <c r="G717" s="22" t="e">
        <f>VLOOKUP(E717,'Court List'!$A:$C,2,0)</f>
        <v>#N/A</v>
      </c>
      <c r="H717" s="33"/>
      <c r="I717" s="33"/>
      <c r="J717" s="44" t="e">
        <f t="shared" si="27"/>
        <v>#N/A</v>
      </c>
      <c r="K717" s="36"/>
      <c r="L717" s="18">
        <f>SUM('Shuttle Count - Supreme (Nov 20'!C717:D717)</f>
        <v>0</v>
      </c>
      <c r="M717" s="18" t="e">
        <f>VLOOKUP(K717,'Shuttle Purchase'!A:C,3,0)</f>
        <v>#N/A</v>
      </c>
      <c r="N717" s="44" t="e">
        <f t="shared" si="37"/>
        <v>#N/A</v>
      </c>
      <c r="O717" s="24" t="e">
        <f>VLOOKUP(E717,'Court List'!$A:$C,3,0)</f>
        <v>#N/A</v>
      </c>
      <c r="P717" s="18">
        <f>COUNTIF('Pub List'!$C717:$T717,"&lt;&gt;")</f>
        <v>0</v>
      </c>
      <c r="Q717" s="20" t="e">
        <f t="shared" si="28"/>
        <v>#N/A</v>
      </c>
      <c r="R717" s="36"/>
      <c r="S717" s="18">
        <f>COUNTIF('Member List'!$C717:$J717,"&lt;&gt;")</f>
        <v>0</v>
      </c>
      <c r="T717" s="35"/>
      <c r="U717" s="24">
        <f t="shared" si="29"/>
        <v>0</v>
      </c>
      <c r="V717" s="18" t="e">
        <f t="shared" si="30"/>
        <v>#N/A</v>
      </c>
      <c r="W717" s="45" t="e">
        <f t="shared" si="31"/>
        <v>#N/A</v>
      </c>
      <c r="X717" s="20" t="e">
        <f t="shared" si="32"/>
        <v>#N/A</v>
      </c>
      <c r="Y717" s="46" t="e">
        <f t="shared" si="35"/>
        <v>#N/A</v>
      </c>
      <c r="Z717" s="39" t="e">
        <f t="shared" si="33"/>
        <v>#N/A</v>
      </c>
      <c r="AA717" s="39" t="e">
        <f t="shared" si="34"/>
        <v>#N/A</v>
      </c>
      <c r="AB717" s="39"/>
      <c r="AC717" s="48" t="e">
        <f t="shared" si="36"/>
        <v>#N/A</v>
      </c>
    </row>
    <row r="718" spans="1:29" ht="12.5" x14ac:dyDescent="0.25">
      <c r="A718" s="36"/>
      <c r="B718" s="33"/>
      <c r="C718" s="33"/>
      <c r="D718" s="33"/>
      <c r="E718" s="35"/>
      <c r="F718" s="21"/>
      <c r="G718" s="22" t="e">
        <f>VLOOKUP(E718,'Court List'!$A:$C,2,0)</f>
        <v>#N/A</v>
      </c>
      <c r="H718" s="33"/>
      <c r="I718" s="33"/>
      <c r="J718" s="44" t="e">
        <f t="shared" si="27"/>
        <v>#N/A</v>
      </c>
      <c r="K718" s="36"/>
      <c r="L718" s="18">
        <f>SUM('Shuttle Count - Supreme (Nov 20'!C718:D718)</f>
        <v>0</v>
      </c>
      <c r="M718" s="18" t="e">
        <f>VLOOKUP(K718,'Shuttle Purchase'!A:C,3,0)</f>
        <v>#N/A</v>
      </c>
      <c r="N718" s="44" t="e">
        <f t="shared" si="37"/>
        <v>#N/A</v>
      </c>
      <c r="O718" s="24" t="e">
        <f>VLOOKUP(E718,'Court List'!$A:$C,3,0)</f>
        <v>#N/A</v>
      </c>
      <c r="P718" s="18">
        <f>COUNTIF('Pub List'!$C718:$T718,"&lt;&gt;")</f>
        <v>0</v>
      </c>
      <c r="Q718" s="20" t="e">
        <f t="shared" si="28"/>
        <v>#N/A</v>
      </c>
      <c r="R718" s="36"/>
      <c r="S718" s="18">
        <f>COUNTIF('Member List'!$C718:$J718,"&lt;&gt;")</f>
        <v>0</v>
      </c>
      <c r="T718" s="35"/>
      <c r="U718" s="24">
        <f t="shared" si="29"/>
        <v>0</v>
      </c>
      <c r="V718" s="18" t="e">
        <f t="shared" si="30"/>
        <v>#N/A</v>
      </c>
      <c r="W718" s="45" t="e">
        <f t="shared" si="31"/>
        <v>#N/A</v>
      </c>
      <c r="X718" s="20" t="e">
        <f t="shared" si="32"/>
        <v>#N/A</v>
      </c>
      <c r="Y718" s="46" t="e">
        <f t="shared" si="35"/>
        <v>#N/A</v>
      </c>
      <c r="Z718" s="39" t="e">
        <f t="shared" si="33"/>
        <v>#N/A</v>
      </c>
      <c r="AA718" s="39" t="e">
        <f t="shared" si="34"/>
        <v>#N/A</v>
      </c>
      <c r="AB718" s="39"/>
      <c r="AC718" s="48" t="e">
        <f t="shared" si="36"/>
        <v>#N/A</v>
      </c>
    </row>
    <row r="719" spans="1:29" ht="12.5" x14ac:dyDescent="0.25">
      <c r="A719" s="36"/>
      <c r="B719" s="33"/>
      <c r="C719" s="33"/>
      <c r="D719" s="33"/>
      <c r="E719" s="35"/>
      <c r="F719" s="21"/>
      <c r="G719" s="22" t="e">
        <f>VLOOKUP(E719,'Court List'!$A:$C,2,0)</f>
        <v>#N/A</v>
      </c>
      <c r="H719" s="33"/>
      <c r="I719" s="33"/>
      <c r="J719" s="44" t="e">
        <f t="shared" si="27"/>
        <v>#N/A</v>
      </c>
      <c r="K719" s="36"/>
      <c r="L719" s="18">
        <f>SUM('Shuttle Count - Supreme (Nov 20'!C719:D719)</f>
        <v>0</v>
      </c>
      <c r="M719" s="18" t="e">
        <f>VLOOKUP(K719,'Shuttle Purchase'!A:C,3,0)</f>
        <v>#N/A</v>
      </c>
      <c r="N719" s="44" t="e">
        <f t="shared" si="37"/>
        <v>#N/A</v>
      </c>
      <c r="O719" s="24" t="e">
        <f>VLOOKUP(E719,'Court List'!$A:$C,3,0)</f>
        <v>#N/A</v>
      </c>
      <c r="P719" s="18">
        <f>COUNTIF('Pub List'!$C719:$T719,"&lt;&gt;")</f>
        <v>0</v>
      </c>
      <c r="Q719" s="20" t="e">
        <f t="shared" si="28"/>
        <v>#N/A</v>
      </c>
      <c r="R719" s="36"/>
      <c r="S719" s="18">
        <f>COUNTIF('Member List'!$C719:$J719,"&lt;&gt;")</f>
        <v>0</v>
      </c>
      <c r="T719" s="35"/>
      <c r="U719" s="24">
        <f t="shared" si="29"/>
        <v>0</v>
      </c>
      <c r="V719" s="18" t="e">
        <f t="shared" si="30"/>
        <v>#N/A</v>
      </c>
      <c r="W719" s="45" t="e">
        <f t="shared" si="31"/>
        <v>#N/A</v>
      </c>
      <c r="X719" s="20" t="e">
        <f t="shared" si="32"/>
        <v>#N/A</v>
      </c>
      <c r="Y719" s="46" t="e">
        <f t="shared" si="35"/>
        <v>#N/A</v>
      </c>
      <c r="Z719" s="39" t="e">
        <f t="shared" si="33"/>
        <v>#N/A</v>
      </c>
      <c r="AA719" s="39" t="e">
        <f t="shared" si="34"/>
        <v>#N/A</v>
      </c>
      <c r="AB719" s="39"/>
      <c r="AC719" s="48" t="e">
        <f t="shared" si="36"/>
        <v>#N/A</v>
      </c>
    </row>
    <row r="720" spans="1:29" ht="12.5" x14ac:dyDescent="0.25">
      <c r="A720" s="36"/>
      <c r="B720" s="33"/>
      <c r="C720" s="33"/>
      <c r="D720" s="33"/>
      <c r="E720" s="35"/>
      <c r="F720" s="21"/>
      <c r="G720" s="22" t="e">
        <f>VLOOKUP(E720,'Court List'!$A:$C,2,0)</f>
        <v>#N/A</v>
      </c>
      <c r="H720" s="33"/>
      <c r="I720" s="33"/>
      <c r="J720" s="44" t="e">
        <f t="shared" si="27"/>
        <v>#N/A</v>
      </c>
      <c r="K720" s="36"/>
      <c r="L720" s="18">
        <f>SUM('Shuttle Count - Supreme (Nov 20'!C720:D720)</f>
        <v>0</v>
      </c>
      <c r="M720" s="18" t="e">
        <f>VLOOKUP(K720,'Shuttle Purchase'!A:C,3,0)</f>
        <v>#N/A</v>
      </c>
      <c r="N720" s="44" t="e">
        <f t="shared" si="37"/>
        <v>#N/A</v>
      </c>
      <c r="O720" s="24" t="e">
        <f>VLOOKUP(E720,'Court List'!$A:$C,3,0)</f>
        <v>#N/A</v>
      </c>
      <c r="P720" s="18">
        <f>COUNTIF('Pub List'!$C720:$T720,"&lt;&gt;")</f>
        <v>0</v>
      </c>
      <c r="Q720" s="20" t="e">
        <f t="shared" si="28"/>
        <v>#N/A</v>
      </c>
      <c r="R720" s="36"/>
      <c r="S720" s="18">
        <f>COUNTIF('Member List'!$C720:$J720,"&lt;&gt;")</f>
        <v>0</v>
      </c>
      <c r="T720" s="35"/>
      <c r="U720" s="24">
        <f t="shared" si="29"/>
        <v>0</v>
      </c>
      <c r="V720" s="18" t="e">
        <f t="shared" si="30"/>
        <v>#N/A</v>
      </c>
      <c r="W720" s="45" t="e">
        <f t="shared" si="31"/>
        <v>#N/A</v>
      </c>
      <c r="X720" s="20" t="e">
        <f t="shared" si="32"/>
        <v>#N/A</v>
      </c>
      <c r="Y720" s="46" t="e">
        <f t="shared" si="35"/>
        <v>#N/A</v>
      </c>
      <c r="Z720" s="39" t="e">
        <f t="shared" si="33"/>
        <v>#N/A</v>
      </c>
      <c r="AA720" s="39" t="e">
        <f t="shared" si="34"/>
        <v>#N/A</v>
      </c>
      <c r="AB720" s="39"/>
      <c r="AC720" s="48" t="e">
        <f t="shared" si="36"/>
        <v>#N/A</v>
      </c>
    </row>
    <row r="721" spans="1:29" ht="12.5" x14ac:dyDescent="0.25">
      <c r="A721" s="36"/>
      <c r="B721" s="33"/>
      <c r="C721" s="33"/>
      <c r="D721" s="33"/>
      <c r="E721" s="35"/>
      <c r="F721" s="21"/>
      <c r="G721" s="22" t="e">
        <f>VLOOKUP(E721,'Court List'!$A:$C,2,0)</f>
        <v>#N/A</v>
      </c>
      <c r="H721" s="33"/>
      <c r="I721" s="33"/>
      <c r="J721" s="44" t="e">
        <f t="shared" si="27"/>
        <v>#N/A</v>
      </c>
      <c r="K721" s="36"/>
      <c r="L721" s="18">
        <f>SUM('Shuttle Count - Supreme (Nov 20'!C721:D721)</f>
        <v>0</v>
      </c>
      <c r="M721" s="18" t="e">
        <f>VLOOKUP(K721,'Shuttle Purchase'!A:C,3,0)</f>
        <v>#N/A</v>
      </c>
      <c r="N721" s="44" t="e">
        <f t="shared" si="37"/>
        <v>#N/A</v>
      </c>
      <c r="O721" s="24" t="e">
        <f>VLOOKUP(E721,'Court List'!$A:$C,3,0)</f>
        <v>#N/A</v>
      </c>
      <c r="P721" s="18">
        <f>COUNTIF('Pub List'!$C721:$T721,"&lt;&gt;")</f>
        <v>0</v>
      </c>
      <c r="Q721" s="20" t="e">
        <f t="shared" si="28"/>
        <v>#N/A</v>
      </c>
      <c r="R721" s="36"/>
      <c r="S721" s="18">
        <f>COUNTIF('Member List'!$C721:$J721,"&lt;&gt;")</f>
        <v>0</v>
      </c>
      <c r="T721" s="35"/>
      <c r="U721" s="24">
        <f t="shared" si="29"/>
        <v>0</v>
      </c>
      <c r="V721" s="18" t="e">
        <f t="shared" si="30"/>
        <v>#N/A</v>
      </c>
      <c r="W721" s="45" t="e">
        <f t="shared" si="31"/>
        <v>#N/A</v>
      </c>
      <c r="X721" s="20" t="e">
        <f t="shared" si="32"/>
        <v>#N/A</v>
      </c>
      <c r="Y721" s="46" t="e">
        <f t="shared" si="35"/>
        <v>#N/A</v>
      </c>
      <c r="Z721" s="39" t="e">
        <f t="shared" si="33"/>
        <v>#N/A</v>
      </c>
      <c r="AA721" s="39" t="e">
        <f t="shared" si="34"/>
        <v>#N/A</v>
      </c>
      <c r="AB721" s="39"/>
      <c r="AC721" s="48" t="e">
        <f t="shared" si="36"/>
        <v>#N/A</v>
      </c>
    </row>
    <row r="722" spans="1:29" ht="12.5" x14ac:dyDescent="0.25">
      <c r="A722" s="36"/>
      <c r="B722" s="33"/>
      <c r="C722" s="33"/>
      <c r="D722" s="33"/>
      <c r="E722" s="35"/>
      <c r="F722" s="21"/>
      <c r="G722" s="22" t="e">
        <f>VLOOKUP(E722,'Court List'!$A:$C,2,0)</f>
        <v>#N/A</v>
      </c>
      <c r="H722" s="33"/>
      <c r="I722" s="33"/>
      <c r="J722" s="44" t="e">
        <f t="shared" si="27"/>
        <v>#N/A</v>
      </c>
      <c r="K722" s="36"/>
      <c r="L722" s="18">
        <f>SUM('Shuttle Count - Supreme (Nov 20'!C722:D722)</f>
        <v>0</v>
      </c>
      <c r="M722" s="18" t="e">
        <f>VLOOKUP(K722,'Shuttle Purchase'!A:C,3,0)</f>
        <v>#N/A</v>
      </c>
      <c r="N722" s="44" t="e">
        <f t="shared" si="37"/>
        <v>#N/A</v>
      </c>
      <c r="O722" s="24" t="e">
        <f>VLOOKUP(E722,'Court List'!$A:$C,3,0)</f>
        <v>#N/A</v>
      </c>
      <c r="P722" s="18">
        <f>COUNTIF('Pub List'!$C722:$T722,"&lt;&gt;")</f>
        <v>0</v>
      </c>
      <c r="Q722" s="20" t="e">
        <f t="shared" si="28"/>
        <v>#N/A</v>
      </c>
      <c r="R722" s="36"/>
      <c r="S722" s="18">
        <f>COUNTIF('Member List'!$C722:$J722,"&lt;&gt;")</f>
        <v>0</v>
      </c>
      <c r="T722" s="35"/>
      <c r="U722" s="24">
        <f t="shared" si="29"/>
        <v>0</v>
      </c>
      <c r="V722" s="18" t="e">
        <f t="shared" si="30"/>
        <v>#N/A</v>
      </c>
      <c r="W722" s="45" t="e">
        <f t="shared" si="31"/>
        <v>#N/A</v>
      </c>
      <c r="X722" s="20" t="e">
        <f t="shared" si="32"/>
        <v>#N/A</v>
      </c>
      <c r="Y722" s="46" t="e">
        <f t="shared" si="35"/>
        <v>#N/A</v>
      </c>
      <c r="Z722" s="39" t="e">
        <f t="shared" si="33"/>
        <v>#N/A</v>
      </c>
      <c r="AA722" s="39" t="e">
        <f t="shared" si="34"/>
        <v>#N/A</v>
      </c>
      <c r="AB722" s="39"/>
      <c r="AC722" s="48" t="e">
        <f t="shared" si="36"/>
        <v>#N/A</v>
      </c>
    </row>
    <row r="723" spans="1:29" ht="12.5" x14ac:dyDescent="0.25">
      <c r="A723" s="36"/>
      <c r="B723" s="33"/>
      <c r="C723" s="33"/>
      <c r="D723" s="33"/>
      <c r="E723" s="35"/>
      <c r="F723" s="21"/>
      <c r="G723" s="22" t="e">
        <f>VLOOKUP(E723,'Court List'!$A:$C,2,0)</f>
        <v>#N/A</v>
      </c>
      <c r="H723" s="33"/>
      <c r="I723" s="33"/>
      <c r="J723" s="44" t="e">
        <f t="shared" si="27"/>
        <v>#N/A</v>
      </c>
      <c r="K723" s="36"/>
      <c r="L723" s="18">
        <f>SUM('Shuttle Count - Supreme (Nov 20'!C723:D723)</f>
        <v>0</v>
      </c>
      <c r="M723" s="18" t="e">
        <f>VLOOKUP(K723,'Shuttle Purchase'!A:C,3,0)</f>
        <v>#N/A</v>
      </c>
      <c r="N723" s="44" t="e">
        <f t="shared" si="37"/>
        <v>#N/A</v>
      </c>
      <c r="O723" s="24" t="e">
        <f>VLOOKUP(E723,'Court List'!$A:$C,3,0)</f>
        <v>#N/A</v>
      </c>
      <c r="P723" s="18">
        <f>COUNTIF('Pub List'!$C723:$T723,"&lt;&gt;")</f>
        <v>0</v>
      </c>
      <c r="Q723" s="20" t="e">
        <f t="shared" si="28"/>
        <v>#N/A</v>
      </c>
      <c r="R723" s="36"/>
      <c r="S723" s="18">
        <f>COUNTIF('Member List'!$C723:$J723,"&lt;&gt;")</f>
        <v>0</v>
      </c>
      <c r="T723" s="35"/>
      <c r="U723" s="24">
        <f t="shared" si="29"/>
        <v>0</v>
      </c>
      <c r="V723" s="18" t="e">
        <f t="shared" si="30"/>
        <v>#N/A</v>
      </c>
      <c r="W723" s="45" t="e">
        <f t="shared" si="31"/>
        <v>#N/A</v>
      </c>
      <c r="X723" s="20" t="e">
        <f t="shared" si="32"/>
        <v>#N/A</v>
      </c>
      <c r="Y723" s="46" t="e">
        <f t="shared" si="35"/>
        <v>#N/A</v>
      </c>
      <c r="Z723" s="39" t="e">
        <f t="shared" si="33"/>
        <v>#N/A</v>
      </c>
      <c r="AA723" s="39" t="e">
        <f t="shared" si="34"/>
        <v>#N/A</v>
      </c>
      <c r="AB723" s="39"/>
      <c r="AC723" s="48" t="e">
        <f t="shared" si="36"/>
        <v>#N/A</v>
      </c>
    </row>
    <row r="724" spans="1:29" ht="12.5" x14ac:dyDescent="0.25">
      <c r="A724" s="36"/>
      <c r="B724" s="33"/>
      <c r="C724" s="33"/>
      <c r="D724" s="33"/>
      <c r="E724" s="35"/>
      <c r="F724" s="21"/>
      <c r="G724" s="22" t="e">
        <f>VLOOKUP(E724,'Court List'!$A:$C,2,0)</f>
        <v>#N/A</v>
      </c>
      <c r="H724" s="33"/>
      <c r="I724" s="33"/>
      <c r="J724" s="44" t="e">
        <f t="shared" si="27"/>
        <v>#N/A</v>
      </c>
      <c r="K724" s="36"/>
      <c r="L724" s="18">
        <f>SUM('Shuttle Count - Supreme (Nov 20'!C724:D724)</f>
        <v>0</v>
      </c>
      <c r="M724" s="18" t="e">
        <f>VLOOKUP(K724,'Shuttle Purchase'!A:C,3,0)</f>
        <v>#N/A</v>
      </c>
      <c r="N724" s="44" t="e">
        <f t="shared" si="37"/>
        <v>#N/A</v>
      </c>
      <c r="O724" s="24" t="e">
        <f>VLOOKUP(E724,'Court List'!$A:$C,3,0)</f>
        <v>#N/A</v>
      </c>
      <c r="P724" s="18">
        <f>COUNTIF('Pub List'!$C724:$T724,"&lt;&gt;")</f>
        <v>0</v>
      </c>
      <c r="Q724" s="20" t="e">
        <f t="shared" si="28"/>
        <v>#N/A</v>
      </c>
      <c r="R724" s="36"/>
      <c r="S724" s="18">
        <f>COUNTIF('Member List'!$C724:$J724,"&lt;&gt;")</f>
        <v>0</v>
      </c>
      <c r="T724" s="35"/>
      <c r="U724" s="24">
        <f t="shared" si="29"/>
        <v>0</v>
      </c>
      <c r="V724" s="18" t="e">
        <f t="shared" si="30"/>
        <v>#N/A</v>
      </c>
      <c r="W724" s="45" t="e">
        <f t="shared" si="31"/>
        <v>#N/A</v>
      </c>
      <c r="X724" s="20" t="e">
        <f t="shared" si="32"/>
        <v>#N/A</v>
      </c>
      <c r="Y724" s="46" t="e">
        <f t="shared" si="35"/>
        <v>#N/A</v>
      </c>
      <c r="Z724" s="39" t="e">
        <f t="shared" si="33"/>
        <v>#N/A</v>
      </c>
      <c r="AA724" s="39" t="e">
        <f t="shared" si="34"/>
        <v>#N/A</v>
      </c>
      <c r="AB724" s="39"/>
      <c r="AC724" s="48" t="e">
        <f t="shared" si="36"/>
        <v>#N/A</v>
      </c>
    </row>
    <row r="725" spans="1:29" ht="12.5" x14ac:dyDescent="0.25">
      <c r="A725" s="36"/>
      <c r="B725" s="33"/>
      <c r="C725" s="33"/>
      <c r="D725" s="33"/>
      <c r="E725" s="35"/>
      <c r="F725" s="21"/>
      <c r="G725" s="22" t="e">
        <f>VLOOKUP(E725,'Court List'!$A:$C,2,0)</f>
        <v>#N/A</v>
      </c>
      <c r="H725" s="33"/>
      <c r="I725" s="33"/>
      <c r="J725" s="44" t="e">
        <f t="shared" si="27"/>
        <v>#N/A</v>
      </c>
      <c r="K725" s="36"/>
      <c r="L725" s="18">
        <f>SUM('Shuttle Count - Supreme (Nov 20'!C725:D725)</f>
        <v>0</v>
      </c>
      <c r="M725" s="18" t="e">
        <f>VLOOKUP(K725,'Shuttle Purchase'!A:C,3,0)</f>
        <v>#N/A</v>
      </c>
      <c r="N725" s="44" t="e">
        <f t="shared" si="37"/>
        <v>#N/A</v>
      </c>
      <c r="O725" s="24" t="e">
        <f>VLOOKUP(E725,'Court List'!$A:$C,3,0)</f>
        <v>#N/A</v>
      </c>
      <c r="P725" s="18">
        <f>COUNTIF('Pub List'!$C725:$T725,"&lt;&gt;")</f>
        <v>0</v>
      </c>
      <c r="Q725" s="20" t="e">
        <f t="shared" si="28"/>
        <v>#N/A</v>
      </c>
      <c r="R725" s="36"/>
      <c r="S725" s="18">
        <f>COUNTIF('Member List'!$C725:$J725,"&lt;&gt;")</f>
        <v>0</v>
      </c>
      <c r="T725" s="35"/>
      <c r="U725" s="24">
        <f t="shared" si="29"/>
        <v>0</v>
      </c>
      <c r="V725" s="18" t="e">
        <f t="shared" si="30"/>
        <v>#N/A</v>
      </c>
      <c r="W725" s="45" t="e">
        <f t="shared" si="31"/>
        <v>#N/A</v>
      </c>
      <c r="X725" s="20" t="e">
        <f t="shared" si="32"/>
        <v>#N/A</v>
      </c>
      <c r="Y725" s="46" t="e">
        <f t="shared" si="35"/>
        <v>#N/A</v>
      </c>
      <c r="Z725" s="39" t="e">
        <f t="shared" si="33"/>
        <v>#N/A</v>
      </c>
      <c r="AA725" s="39" t="e">
        <f t="shared" si="34"/>
        <v>#N/A</v>
      </c>
      <c r="AB725" s="39"/>
      <c r="AC725" s="48" t="e">
        <f t="shared" si="36"/>
        <v>#N/A</v>
      </c>
    </row>
    <row r="726" spans="1:29" ht="12.5" x14ac:dyDescent="0.25">
      <c r="A726" s="36"/>
      <c r="B726" s="33"/>
      <c r="C726" s="33"/>
      <c r="D726" s="33"/>
      <c r="E726" s="35"/>
      <c r="F726" s="21"/>
      <c r="G726" s="22" t="e">
        <f>VLOOKUP(E726,'Court List'!$A:$C,2,0)</f>
        <v>#N/A</v>
      </c>
      <c r="H726" s="33"/>
      <c r="I726" s="33"/>
      <c r="J726" s="44" t="e">
        <f t="shared" si="27"/>
        <v>#N/A</v>
      </c>
      <c r="K726" s="36"/>
      <c r="L726" s="18">
        <f>SUM('Shuttle Count - Supreme (Nov 20'!C726:D726)</f>
        <v>0</v>
      </c>
      <c r="M726" s="18" t="e">
        <f>VLOOKUP(K726,'Shuttle Purchase'!A:C,3,0)</f>
        <v>#N/A</v>
      </c>
      <c r="N726" s="44" t="e">
        <f t="shared" si="37"/>
        <v>#N/A</v>
      </c>
      <c r="O726" s="24" t="e">
        <f>VLOOKUP(E726,'Court List'!$A:$C,3,0)</f>
        <v>#N/A</v>
      </c>
      <c r="P726" s="18">
        <f>COUNTIF('Pub List'!$C726:$T726,"&lt;&gt;")</f>
        <v>0</v>
      </c>
      <c r="Q726" s="20" t="e">
        <f t="shared" si="28"/>
        <v>#N/A</v>
      </c>
      <c r="R726" s="36"/>
      <c r="S726" s="18">
        <f>COUNTIF('Member List'!$C726:$J726,"&lt;&gt;")</f>
        <v>0</v>
      </c>
      <c r="T726" s="35"/>
      <c r="U726" s="24">
        <f t="shared" si="29"/>
        <v>0</v>
      </c>
      <c r="V726" s="18" t="e">
        <f t="shared" si="30"/>
        <v>#N/A</v>
      </c>
      <c r="W726" s="45" t="e">
        <f t="shared" si="31"/>
        <v>#N/A</v>
      </c>
      <c r="X726" s="20" t="e">
        <f t="shared" si="32"/>
        <v>#N/A</v>
      </c>
      <c r="Y726" s="46" t="e">
        <f t="shared" si="35"/>
        <v>#N/A</v>
      </c>
      <c r="Z726" s="39" t="e">
        <f t="shared" si="33"/>
        <v>#N/A</v>
      </c>
      <c r="AA726" s="39" t="e">
        <f t="shared" si="34"/>
        <v>#N/A</v>
      </c>
      <c r="AB726" s="39"/>
      <c r="AC726" s="48" t="e">
        <f t="shared" si="36"/>
        <v>#N/A</v>
      </c>
    </row>
    <row r="727" spans="1:29" ht="12.5" x14ac:dyDescent="0.25">
      <c r="A727" s="36"/>
      <c r="B727" s="33"/>
      <c r="C727" s="33"/>
      <c r="D727" s="33"/>
      <c r="E727" s="35"/>
      <c r="F727" s="21"/>
      <c r="G727" s="22" t="e">
        <f>VLOOKUP(E727,'Court List'!$A:$C,2,0)</f>
        <v>#N/A</v>
      </c>
      <c r="H727" s="33"/>
      <c r="I727" s="33"/>
      <c r="J727" s="44" t="e">
        <f t="shared" si="27"/>
        <v>#N/A</v>
      </c>
      <c r="K727" s="36"/>
      <c r="L727" s="18">
        <f>SUM('Shuttle Count - Supreme (Nov 20'!C727:D727)</f>
        <v>0</v>
      </c>
      <c r="M727" s="18" t="e">
        <f>VLOOKUP(K727,'Shuttle Purchase'!A:C,3,0)</f>
        <v>#N/A</v>
      </c>
      <c r="N727" s="44" t="e">
        <f t="shared" si="37"/>
        <v>#N/A</v>
      </c>
      <c r="O727" s="24" t="e">
        <f>VLOOKUP(E727,'Court List'!$A:$C,3,0)</f>
        <v>#N/A</v>
      </c>
      <c r="P727" s="18">
        <f>COUNTIF('Pub List'!$C727:$T727,"&lt;&gt;")</f>
        <v>0</v>
      </c>
      <c r="Q727" s="20" t="e">
        <f t="shared" si="28"/>
        <v>#N/A</v>
      </c>
      <c r="R727" s="36"/>
      <c r="S727" s="18">
        <f>COUNTIF('Member List'!$C727:$J727,"&lt;&gt;")</f>
        <v>0</v>
      </c>
      <c r="T727" s="35"/>
      <c r="U727" s="24">
        <f t="shared" si="29"/>
        <v>0</v>
      </c>
      <c r="V727" s="18" t="e">
        <f t="shared" si="30"/>
        <v>#N/A</v>
      </c>
      <c r="W727" s="45" t="e">
        <f t="shared" si="31"/>
        <v>#N/A</v>
      </c>
      <c r="X727" s="20" t="e">
        <f t="shared" si="32"/>
        <v>#N/A</v>
      </c>
      <c r="Y727" s="46" t="e">
        <f t="shared" si="35"/>
        <v>#N/A</v>
      </c>
      <c r="Z727" s="39" t="e">
        <f t="shared" si="33"/>
        <v>#N/A</v>
      </c>
      <c r="AA727" s="39" t="e">
        <f t="shared" si="34"/>
        <v>#N/A</v>
      </c>
      <c r="AB727" s="39"/>
      <c r="AC727" s="48" t="e">
        <f t="shared" si="36"/>
        <v>#N/A</v>
      </c>
    </row>
    <row r="728" spans="1:29" ht="12.5" x14ac:dyDescent="0.25">
      <c r="A728" s="36"/>
      <c r="B728" s="33"/>
      <c r="C728" s="33"/>
      <c r="D728" s="33"/>
      <c r="E728" s="35"/>
      <c r="F728" s="21"/>
      <c r="G728" s="22" t="e">
        <f>VLOOKUP(E728,'Court List'!$A:$C,2,0)</f>
        <v>#N/A</v>
      </c>
      <c r="H728" s="33"/>
      <c r="I728" s="33"/>
      <c r="J728" s="44" t="e">
        <f t="shared" si="27"/>
        <v>#N/A</v>
      </c>
      <c r="K728" s="36"/>
      <c r="L728" s="18">
        <f>SUM('Shuttle Count - Supreme (Nov 20'!C728:D728)</f>
        <v>0</v>
      </c>
      <c r="M728" s="18" t="e">
        <f>VLOOKUP(K728,'Shuttle Purchase'!A:C,3,0)</f>
        <v>#N/A</v>
      </c>
      <c r="N728" s="44" t="e">
        <f t="shared" si="37"/>
        <v>#N/A</v>
      </c>
      <c r="O728" s="24" t="e">
        <f>VLOOKUP(E728,'Court List'!$A:$C,3,0)</f>
        <v>#N/A</v>
      </c>
      <c r="P728" s="18">
        <f>COUNTIF('Pub List'!$C728:$T728,"&lt;&gt;")</f>
        <v>0</v>
      </c>
      <c r="Q728" s="20" t="e">
        <f t="shared" si="28"/>
        <v>#N/A</v>
      </c>
      <c r="R728" s="36"/>
      <c r="S728" s="18">
        <f>COUNTIF('Member List'!$C728:$J728,"&lt;&gt;")</f>
        <v>0</v>
      </c>
      <c r="T728" s="35"/>
      <c r="U728" s="24">
        <f t="shared" si="29"/>
        <v>0</v>
      </c>
      <c r="V728" s="18" t="e">
        <f t="shared" si="30"/>
        <v>#N/A</v>
      </c>
      <c r="W728" s="45" t="e">
        <f t="shared" si="31"/>
        <v>#N/A</v>
      </c>
      <c r="X728" s="20" t="e">
        <f t="shared" si="32"/>
        <v>#N/A</v>
      </c>
      <c r="Y728" s="46" t="e">
        <f t="shared" si="35"/>
        <v>#N/A</v>
      </c>
      <c r="Z728" s="39" t="e">
        <f t="shared" si="33"/>
        <v>#N/A</v>
      </c>
      <c r="AA728" s="39" t="e">
        <f t="shared" si="34"/>
        <v>#N/A</v>
      </c>
      <c r="AB728" s="39"/>
      <c r="AC728" s="48" t="e">
        <f t="shared" si="36"/>
        <v>#N/A</v>
      </c>
    </row>
    <row r="729" spans="1:29" ht="12.5" x14ac:dyDescent="0.25">
      <c r="A729" s="36"/>
      <c r="B729" s="33"/>
      <c r="C729" s="33"/>
      <c r="D729" s="33"/>
      <c r="E729" s="35"/>
      <c r="F729" s="21"/>
      <c r="G729" s="22" t="e">
        <f>VLOOKUP(E729,'Court List'!$A:$C,2,0)</f>
        <v>#N/A</v>
      </c>
      <c r="H729" s="33"/>
      <c r="I729" s="33"/>
      <c r="J729" s="44" t="e">
        <f t="shared" si="27"/>
        <v>#N/A</v>
      </c>
      <c r="K729" s="36"/>
      <c r="L729" s="18">
        <f>SUM('Shuttle Count - Supreme (Nov 20'!C729:D729)</f>
        <v>0</v>
      </c>
      <c r="M729" s="18" t="e">
        <f>VLOOKUP(K729,'Shuttle Purchase'!A:C,3,0)</f>
        <v>#N/A</v>
      </c>
      <c r="N729" s="44" t="e">
        <f t="shared" si="37"/>
        <v>#N/A</v>
      </c>
      <c r="O729" s="24" t="e">
        <f>VLOOKUP(E729,'Court List'!$A:$C,3,0)</f>
        <v>#N/A</v>
      </c>
      <c r="P729" s="18">
        <f>COUNTIF('Pub List'!$C729:$T729,"&lt;&gt;")</f>
        <v>0</v>
      </c>
      <c r="Q729" s="20" t="e">
        <f t="shared" si="28"/>
        <v>#N/A</v>
      </c>
      <c r="R729" s="36"/>
      <c r="S729" s="18">
        <f>COUNTIF('Member List'!$C729:$J729,"&lt;&gt;")</f>
        <v>0</v>
      </c>
      <c r="T729" s="35"/>
      <c r="U729" s="24">
        <f t="shared" si="29"/>
        <v>0</v>
      </c>
      <c r="V729" s="18" t="e">
        <f t="shared" si="30"/>
        <v>#N/A</v>
      </c>
      <c r="W729" s="45" t="e">
        <f t="shared" si="31"/>
        <v>#N/A</v>
      </c>
      <c r="X729" s="20" t="e">
        <f t="shared" si="32"/>
        <v>#N/A</v>
      </c>
      <c r="Y729" s="46" t="e">
        <f t="shared" si="35"/>
        <v>#N/A</v>
      </c>
      <c r="Z729" s="39" t="e">
        <f t="shared" si="33"/>
        <v>#N/A</v>
      </c>
      <c r="AA729" s="39" t="e">
        <f t="shared" si="34"/>
        <v>#N/A</v>
      </c>
      <c r="AB729" s="39"/>
      <c r="AC729" s="48" t="e">
        <f t="shared" si="36"/>
        <v>#N/A</v>
      </c>
    </row>
    <row r="730" spans="1:29" ht="12.5" x14ac:dyDescent="0.25">
      <c r="A730" s="36"/>
      <c r="B730" s="33"/>
      <c r="C730" s="33"/>
      <c r="D730" s="33"/>
      <c r="E730" s="35"/>
      <c r="F730" s="21"/>
      <c r="G730" s="22" t="e">
        <f>VLOOKUP(E730,'Court List'!$A:$C,2,0)</f>
        <v>#N/A</v>
      </c>
      <c r="H730" s="33"/>
      <c r="I730" s="33"/>
      <c r="J730" s="44" t="e">
        <f t="shared" si="27"/>
        <v>#N/A</v>
      </c>
      <c r="K730" s="36"/>
      <c r="L730" s="18">
        <f>SUM('Shuttle Count - Supreme (Nov 20'!C730:D730)</f>
        <v>0</v>
      </c>
      <c r="M730" s="18" t="e">
        <f>VLOOKUP(K730,'Shuttle Purchase'!A:C,3,0)</f>
        <v>#N/A</v>
      </c>
      <c r="N730" s="44" t="e">
        <f t="shared" si="37"/>
        <v>#N/A</v>
      </c>
      <c r="O730" s="24" t="e">
        <f>VLOOKUP(E730,'Court List'!$A:$C,3,0)</f>
        <v>#N/A</v>
      </c>
      <c r="P730" s="18">
        <f>COUNTIF('Pub List'!$C730:$T730,"&lt;&gt;")</f>
        <v>0</v>
      </c>
      <c r="Q730" s="20" t="e">
        <f t="shared" si="28"/>
        <v>#N/A</v>
      </c>
      <c r="R730" s="36"/>
      <c r="S730" s="18">
        <f>COUNTIF('Member List'!$C730:$J730,"&lt;&gt;")</f>
        <v>0</v>
      </c>
      <c r="T730" s="35"/>
      <c r="U730" s="24">
        <f t="shared" si="29"/>
        <v>0</v>
      </c>
      <c r="V730" s="18" t="e">
        <f t="shared" si="30"/>
        <v>#N/A</v>
      </c>
      <c r="W730" s="45" t="e">
        <f t="shared" si="31"/>
        <v>#N/A</v>
      </c>
      <c r="X730" s="20" t="e">
        <f t="shared" si="32"/>
        <v>#N/A</v>
      </c>
      <c r="Y730" s="46" t="e">
        <f t="shared" si="35"/>
        <v>#N/A</v>
      </c>
      <c r="Z730" s="39" t="e">
        <f t="shared" si="33"/>
        <v>#N/A</v>
      </c>
      <c r="AA730" s="39" t="e">
        <f t="shared" si="34"/>
        <v>#N/A</v>
      </c>
      <c r="AB730" s="39"/>
      <c r="AC730" s="48" t="e">
        <f t="shared" si="36"/>
        <v>#N/A</v>
      </c>
    </row>
    <row r="731" spans="1:29" ht="12.5" x14ac:dyDescent="0.25">
      <c r="A731" s="36"/>
      <c r="B731" s="33"/>
      <c r="C731" s="33"/>
      <c r="D731" s="33"/>
      <c r="E731" s="35"/>
      <c r="F731" s="21"/>
      <c r="G731" s="22" t="e">
        <f>VLOOKUP(E731,'Court List'!$A:$C,2,0)</f>
        <v>#N/A</v>
      </c>
      <c r="H731" s="33"/>
      <c r="I731" s="33"/>
      <c r="J731" s="44" t="e">
        <f t="shared" si="27"/>
        <v>#N/A</v>
      </c>
      <c r="K731" s="36"/>
      <c r="L731" s="18">
        <f>SUM('Shuttle Count - Supreme (Nov 20'!C731:D731)</f>
        <v>0</v>
      </c>
      <c r="M731" s="18" t="e">
        <f>VLOOKUP(K731,'Shuttle Purchase'!A:C,3,0)</f>
        <v>#N/A</v>
      </c>
      <c r="N731" s="44" t="e">
        <f t="shared" si="37"/>
        <v>#N/A</v>
      </c>
      <c r="O731" s="24" t="e">
        <f>VLOOKUP(E731,'Court List'!$A:$C,3,0)</f>
        <v>#N/A</v>
      </c>
      <c r="P731" s="18">
        <f>COUNTIF('Pub List'!$C731:$T731,"&lt;&gt;")</f>
        <v>0</v>
      </c>
      <c r="Q731" s="20" t="e">
        <f t="shared" si="28"/>
        <v>#N/A</v>
      </c>
      <c r="R731" s="36"/>
      <c r="S731" s="18">
        <f>COUNTIF('Member List'!$C731:$J731,"&lt;&gt;")</f>
        <v>0</v>
      </c>
      <c r="T731" s="35"/>
      <c r="U731" s="24">
        <f t="shared" si="29"/>
        <v>0</v>
      </c>
      <c r="V731" s="18" t="e">
        <f t="shared" si="30"/>
        <v>#N/A</v>
      </c>
      <c r="W731" s="45" t="e">
        <f t="shared" si="31"/>
        <v>#N/A</v>
      </c>
      <c r="X731" s="20" t="e">
        <f t="shared" si="32"/>
        <v>#N/A</v>
      </c>
      <c r="Y731" s="46" t="e">
        <f t="shared" si="35"/>
        <v>#N/A</v>
      </c>
      <c r="Z731" s="39" t="e">
        <f t="shared" si="33"/>
        <v>#N/A</v>
      </c>
      <c r="AA731" s="39" t="e">
        <f t="shared" si="34"/>
        <v>#N/A</v>
      </c>
      <c r="AB731" s="39"/>
      <c r="AC731" s="48" t="e">
        <f t="shared" si="36"/>
        <v>#N/A</v>
      </c>
    </row>
    <row r="732" spans="1:29" ht="12.5" x14ac:dyDescent="0.25">
      <c r="A732" s="36"/>
      <c r="B732" s="33"/>
      <c r="C732" s="33"/>
      <c r="D732" s="33"/>
      <c r="E732" s="35"/>
      <c r="F732" s="21"/>
      <c r="G732" s="22" t="e">
        <f>VLOOKUP(E732,'Court List'!$A:$C,2,0)</f>
        <v>#N/A</v>
      </c>
      <c r="H732" s="33"/>
      <c r="I732" s="33"/>
      <c r="J732" s="44" t="e">
        <f t="shared" si="27"/>
        <v>#N/A</v>
      </c>
      <c r="K732" s="36"/>
      <c r="L732" s="18">
        <f>SUM('Shuttle Count - Supreme (Nov 20'!C732:D732)</f>
        <v>0</v>
      </c>
      <c r="M732" s="18" t="e">
        <f>VLOOKUP(K732,'Shuttle Purchase'!A:C,3,0)</f>
        <v>#N/A</v>
      </c>
      <c r="N732" s="44" t="e">
        <f t="shared" si="37"/>
        <v>#N/A</v>
      </c>
      <c r="O732" s="24" t="e">
        <f>VLOOKUP(E732,'Court List'!$A:$C,3,0)</f>
        <v>#N/A</v>
      </c>
      <c r="P732" s="18">
        <f>COUNTIF('Pub List'!$C732:$T732,"&lt;&gt;")</f>
        <v>0</v>
      </c>
      <c r="Q732" s="20" t="e">
        <f t="shared" si="28"/>
        <v>#N/A</v>
      </c>
      <c r="R732" s="36"/>
      <c r="S732" s="18">
        <f>COUNTIF('Member List'!$C732:$J732,"&lt;&gt;")</f>
        <v>0</v>
      </c>
      <c r="T732" s="35"/>
      <c r="U732" s="24">
        <f t="shared" si="29"/>
        <v>0</v>
      </c>
      <c r="V732" s="18" t="e">
        <f t="shared" si="30"/>
        <v>#N/A</v>
      </c>
      <c r="W732" s="45" t="e">
        <f t="shared" si="31"/>
        <v>#N/A</v>
      </c>
      <c r="X732" s="20" t="e">
        <f t="shared" si="32"/>
        <v>#N/A</v>
      </c>
      <c r="Y732" s="46" t="e">
        <f t="shared" si="35"/>
        <v>#N/A</v>
      </c>
      <c r="Z732" s="39" t="e">
        <f t="shared" si="33"/>
        <v>#N/A</v>
      </c>
      <c r="AA732" s="39" t="e">
        <f t="shared" si="34"/>
        <v>#N/A</v>
      </c>
      <c r="AB732" s="39"/>
      <c r="AC732" s="48" t="e">
        <f t="shared" si="36"/>
        <v>#N/A</v>
      </c>
    </row>
    <row r="733" spans="1:29" ht="12.5" x14ac:dyDescent="0.25">
      <c r="A733" s="36"/>
      <c r="B733" s="33"/>
      <c r="C733" s="33"/>
      <c r="D733" s="33"/>
      <c r="E733" s="35"/>
      <c r="F733" s="21"/>
      <c r="G733" s="22" t="e">
        <f>VLOOKUP(E733,'Court List'!$A:$C,2,0)</f>
        <v>#N/A</v>
      </c>
      <c r="H733" s="33"/>
      <c r="I733" s="33"/>
      <c r="J733" s="44" t="e">
        <f t="shared" si="27"/>
        <v>#N/A</v>
      </c>
      <c r="K733" s="36"/>
      <c r="L733" s="18">
        <f>SUM('Shuttle Count - Supreme (Nov 20'!C733:D733)</f>
        <v>0</v>
      </c>
      <c r="M733" s="18" t="e">
        <f>VLOOKUP(K733,'Shuttle Purchase'!A:C,3,0)</f>
        <v>#N/A</v>
      </c>
      <c r="N733" s="44" t="e">
        <f t="shared" si="37"/>
        <v>#N/A</v>
      </c>
      <c r="O733" s="24" t="e">
        <f>VLOOKUP(E733,'Court List'!$A:$C,3,0)</f>
        <v>#N/A</v>
      </c>
      <c r="P733" s="18">
        <f>COUNTIF('Pub List'!$C733:$T733,"&lt;&gt;")</f>
        <v>0</v>
      </c>
      <c r="Q733" s="20" t="e">
        <f t="shared" si="28"/>
        <v>#N/A</v>
      </c>
      <c r="R733" s="36"/>
      <c r="S733" s="18">
        <f>COUNTIF('Member List'!$C733:$J733,"&lt;&gt;")</f>
        <v>0</v>
      </c>
      <c r="T733" s="35"/>
      <c r="U733" s="24">
        <f t="shared" si="29"/>
        <v>0</v>
      </c>
      <c r="V733" s="18" t="e">
        <f t="shared" si="30"/>
        <v>#N/A</v>
      </c>
      <c r="W733" s="45" t="e">
        <f t="shared" si="31"/>
        <v>#N/A</v>
      </c>
      <c r="X733" s="20" t="e">
        <f t="shared" si="32"/>
        <v>#N/A</v>
      </c>
      <c r="Y733" s="46" t="e">
        <f t="shared" si="35"/>
        <v>#N/A</v>
      </c>
      <c r="Z733" s="39" t="e">
        <f t="shared" si="33"/>
        <v>#N/A</v>
      </c>
      <c r="AA733" s="39" t="e">
        <f t="shared" si="34"/>
        <v>#N/A</v>
      </c>
      <c r="AB733" s="39"/>
      <c r="AC733" s="48" t="e">
        <f t="shared" si="36"/>
        <v>#N/A</v>
      </c>
    </row>
    <row r="734" spans="1:29" ht="12.5" x14ac:dyDescent="0.25">
      <c r="A734" s="36"/>
      <c r="B734" s="33"/>
      <c r="C734" s="33"/>
      <c r="D734" s="33"/>
      <c r="E734" s="35"/>
      <c r="F734" s="21"/>
      <c r="G734" s="22" t="e">
        <f>VLOOKUP(E734,'Court List'!$A:$C,2,0)</f>
        <v>#N/A</v>
      </c>
      <c r="H734" s="33"/>
      <c r="I734" s="33"/>
      <c r="J734" s="44" t="e">
        <f t="shared" si="27"/>
        <v>#N/A</v>
      </c>
      <c r="K734" s="36"/>
      <c r="L734" s="18">
        <f>SUM('Shuttle Count - Supreme (Nov 20'!C734:D734)</f>
        <v>0</v>
      </c>
      <c r="M734" s="18" t="e">
        <f>VLOOKUP(K734,'Shuttle Purchase'!A:C,3,0)</f>
        <v>#N/A</v>
      </c>
      <c r="N734" s="44" t="e">
        <f t="shared" si="37"/>
        <v>#N/A</v>
      </c>
      <c r="O734" s="24" t="e">
        <f>VLOOKUP(E734,'Court List'!$A:$C,3,0)</f>
        <v>#N/A</v>
      </c>
      <c r="P734" s="18">
        <f>COUNTIF('Pub List'!$C734:$T734,"&lt;&gt;")</f>
        <v>0</v>
      </c>
      <c r="Q734" s="20" t="e">
        <f t="shared" si="28"/>
        <v>#N/A</v>
      </c>
      <c r="R734" s="36"/>
      <c r="S734" s="18">
        <f>COUNTIF('Member List'!$C734:$J734,"&lt;&gt;")</f>
        <v>0</v>
      </c>
      <c r="T734" s="35"/>
      <c r="U734" s="24">
        <f t="shared" si="29"/>
        <v>0</v>
      </c>
      <c r="V734" s="18" t="e">
        <f t="shared" si="30"/>
        <v>#N/A</v>
      </c>
      <c r="W734" s="45" t="e">
        <f t="shared" si="31"/>
        <v>#N/A</v>
      </c>
      <c r="X734" s="20" t="e">
        <f t="shared" si="32"/>
        <v>#N/A</v>
      </c>
      <c r="Y734" s="46" t="e">
        <f t="shared" si="35"/>
        <v>#N/A</v>
      </c>
      <c r="Z734" s="39" t="e">
        <f t="shared" si="33"/>
        <v>#N/A</v>
      </c>
      <c r="AA734" s="39" t="e">
        <f t="shared" si="34"/>
        <v>#N/A</v>
      </c>
      <c r="AB734" s="39"/>
      <c r="AC734" s="48" t="e">
        <f t="shared" si="36"/>
        <v>#N/A</v>
      </c>
    </row>
    <row r="735" spans="1:29" ht="12.5" x14ac:dyDescent="0.25">
      <c r="A735" s="36"/>
      <c r="B735" s="33"/>
      <c r="C735" s="33"/>
      <c r="D735" s="33"/>
      <c r="E735" s="35"/>
      <c r="F735" s="21"/>
      <c r="G735" s="22" t="e">
        <f>VLOOKUP(E735,'Court List'!$A:$C,2,0)</f>
        <v>#N/A</v>
      </c>
      <c r="H735" s="33"/>
      <c r="I735" s="33"/>
      <c r="J735" s="44" t="e">
        <f t="shared" si="27"/>
        <v>#N/A</v>
      </c>
      <c r="K735" s="36"/>
      <c r="L735" s="18">
        <f>SUM('Shuttle Count - Supreme (Nov 20'!C735:D735)</f>
        <v>0</v>
      </c>
      <c r="M735" s="18" t="e">
        <f>VLOOKUP(K735,'Shuttle Purchase'!A:C,3,0)</f>
        <v>#N/A</v>
      </c>
      <c r="N735" s="44" t="e">
        <f t="shared" si="37"/>
        <v>#N/A</v>
      </c>
      <c r="O735" s="24" t="e">
        <f>VLOOKUP(E735,'Court List'!$A:$C,3,0)</f>
        <v>#N/A</v>
      </c>
      <c r="P735" s="18">
        <f>COUNTIF('Pub List'!$C735:$T735,"&lt;&gt;")</f>
        <v>0</v>
      </c>
      <c r="Q735" s="20" t="e">
        <f t="shared" si="28"/>
        <v>#N/A</v>
      </c>
      <c r="R735" s="36"/>
      <c r="S735" s="18">
        <f>COUNTIF('Member List'!$C735:$J735,"&lt;&gt;")</f>
        <v>0</v>
      </c>
      <c r="T735" s="35"/>
      <c r="U735" s="24">
        <f t="shared" si="29"/>
        <v>0</v>
      </c>
      <c r="V735" s="18" t="e">
        <f t="shared" si="30"/>
        <v>#N/A</v>
      </c>
      <c r="W735" s="45" t="e">
        <f t="shared" si="31"/>
        <v>#N/A</v>
      </c>
      <c r="X735" s="20" t="e">
        <f t="shared" si="32"/>
        <v>#N/A</v>
      </c>
      <c r="Y735" s="46" t="e">
        <f t="shared" si="35"/>
        <v>#N/A</v>
      </c>
      <c r="Z735" s="39" t="e">
        <f t="shared" si="33"/>
        <v>#N/A</v>
      </c>
      <c r="AA735" s="39" t="e">
        <f t="shared" si="34"/>
        <v>#N/A</v>
      </c>
      <c r="AB735" s="39"/>
      <c r="AC735" s="48" t="e">
        <f t="shared" si="36"/>
        <v>#N/A</v>
      </c>
    </row>
    <row r="736" spans="1:29" ht="12.5" x14ac:dyDescent="0.25">
      <c r="A736" s="36"/>
      <c r="B736" s="33"/>
      <c r="C736" s="33"/>
      <c r="D736" s="33"/>
      <c r="E736" s="35"/>
      <c r="F736" s="21"/>
      <c r="G736" s="22" t="e">
        <f>VLOOKUP(E736,'Court List'!$A:$C,2,0)</f>
        <v>#N/A</v>
      </c>
      <c r="H736" s="33"/>
      <c r="I736" s="33"/>
      <c r="J736" s="44" t="e">
        <f t="shared" si="27"/>
        <v>#N/A</v>
      </c>
      <c r="K736" s="36"/>
      <c r="L736" s="18">
        <f>SUM('Shuttle Count - Supreme (Nov 20'!C736:D736)</f>
        <v>0</v>
      </c>
      <c r="M736" s="18" t="e">
        <f>VLOOKUP(K736,'Shuttle Purchase'!A:C,3,0)</f>
        <v>#N/A</v>
      </c>
      <c r="N736" s="44" t="e">
        <f t="shared" si="37"/>
        <v>#N/A</v>
      </c>
      <c r="O736" s="24" t="e">
        <f>VLOOKUP(E736,'Court List'!$A:$C,3,0)</f>
        <v>#N/A</v>
      </c>
      <c r="P736" s="18">
        <f>COUNTIF('Pub List'!$C736:$T736,"&lt;&gt;")</f>
        <v>0</v>
      </c>
      <c r="Q736" s="20" t="e">
        <f t="shared" si="28"/>
        <v>#N/A</v>
      </c>
      <c r="R736" s="36"/>
      <c r="S736" s="18">
        <f>COUNTIF('Member List'!$C736:$J736,"&lt;&gt;")</f>
        <v>0</v>
      </c>
      <c r="T736" s="35"/>
      <c r="U736" s="24">
        <f t="shared" si="29"/>
        <v>0</v>
      </c>
      <c r="V736" s="18" t="e">
        <f t="shared" si="30"/>
        <v>#N/A</v>
      </c>
      <c r="W736" s="45" t="e">
        <f t="shared" si="31"/>
        <v>#N/A</v>
      </c>
      <c r="X736" s="20" t="e">
        <f t="shared" si="32"/>
        <v>#N/A</v>
      </c>
      <c r="Y736" s="46" t="e">
        <f t="shared" si="35"/>
        <v>#N/A</v>
      </c>
      <c r="Z736" s="39" t="e">
        <f t="shared" si="33"/>
        <v>#N/A</v>
      </c>
      <c r="AA736" s="39" t="e">
        <f t="shared" si="34"/>
        <v>#N/A</v>
      </c>
      <c r="AB736" s="39"/>
      <c r="AC736" s="48" t="e">
        <f t="shared" si="36"/>
        <v>#N/A</v>
      </c>
    </row>
    <row r="737" spans="1:29" ht="12.5" x14ac:dyDescent="0.25">
      <c r="A737" s="36"/>
      <c r="B737" s="33"/>
      <c r="C737" s="33"/>
      <c r="D737" s="33"/>
      <c r="E737" s="35"/>
      <c r="F737" s="21"/>
      <c r="G737" s="22" t="e">
        <f>VLOOKUP(E737,'Court List'!$A:$C,2,0)</f>
        <v>#N/A</v>
      </c>
      <c r="H737" s="33"/>
      <c r="I737" s="33"/>
      <c r="J737" s="44" t="e">
        <f t="shared" si="27"/>
        <v>#N/A</v>
      </c>
      <c r="K737" s="36"/>
      <c r="L737" s="18">
        <f>SUM('Shuttle Count - Supreme (Nov 20'!C737:D737)</f>
        <v>0</v>
      </c>
      <c r="M737" s="18" t="e">
        <f>VLOOKUP(K737,'Shuttle Purchase'!A:C,3,0)</f>
        <v>#N/A</v>
      </c>
      <c r="N737" s="44" t="e">
        <f t="shared" si="37"/>
        <v>#N/A</v>
      </c>
      <c r="O737" s="24" t="e">
        <f>VLOOKUP(E737,'Court List'!$A:$C,3,0)</f>
        <v>#N/A</v>
      </c>
      <c r="P737" s="18">
        <f>COUNTIF('Pub List'!$C737:$T737,"&lt;&gt;")</f>
        <v>0</v>
      </c>
      <c r="Q737" s="20" t="e">
        <f t="shared" si="28"/>
        <v>#N/A</v>
      </c>
      <c r="R737" s="36"/>
      <c r="S737" s="18">
        <f>COUNTIF('Member List'!$C737:$J737,"&lt;&gt;")</f>
        <v>0</v>
      </c>
      <c r="T737" s="35"/>
      <c r="U737" s="24">
        <f t="shared" si="29"/>
        <v>0</v>
      </c>
      <c r="V737" s="18" t="e">
        <f t="shared" si="30"/>
        <v>#N/A</v>
      </c>
      <c r="W737" s="45" t="e">
        <f t="shared" si="31"/>
        <v>#N/A</v>
      </c>
      <c r="X737" s="20" t="e">
        <f t="shared" si="32"/>
        <v>#N/A</v>
      </c>
      <c r="Y737" s="46" t="e">
        <f t="shared" si="35"/>
        <v>#N/A</v>
      </c>
      <c r="Z737" s="39" t="e">
        <f t="shared" si="33"/>
        <v>#N/A</v>
      </c>
      <c r="AA737" s="39" t="e">
        <f t="shared" si="34"/>
        <v>#N/A</v>
      </c>
      <c r="AB737" s="39"/>
      <c r="AC737" s="48" t="e">
        <f t="shared" si="36"/>
        <v>#N/A</v>
      </c>
    </row>
    <row r="738" spans="1:29" ht="12.5" x14ac:dyDescent="0.25">
      <c r="A738" s="36"/>
      <c r="B738" s="33"/>
      <c r="C738" s="33"/>
      <c r="D738" s="33"/>
      <c r="E738" s="35"/>
      <c r="F738" s="21"/>
      <c r="G738" s="22" t="e">
        <f>VLOOKUP(E738,'Court List'!$A:$C,2,0)</f>
        <v>#N/A</v>
      </c>
      <c r="H738" s="33"/>
      <c r="I738" s="33"/>
      <c r="J738" s="44" t="e">
        <f t="shared" si="27"/>
        <v>#N/A</v>
      </c>
      <c r="K738" s="36"/>
      <c r="L738" s="18">
        <f>SUM('Shuttle Count - Supreme (Nov 20'!C738:D738)</f>
        <v>0</v>
      </c>
      <c r="M738" s="18" t="e">
        <f>VLOOKUP(K738,'Shuttle Purchase'!A:C,3,0)</f>
        <v>#N/A</v>
      </c>
      <c r="N738" s="44" t="e">
        <f t="shared" si="37"/>
        <v>#N/A</v>
      </c>
      <c r="O738" s="24" t="e">
        <f>VLOOKUP(E738,'Court List'!$A:$C,3,0)</f>
        <v>#N/A</v>
      </c>
      <c r="P738" s="18">
        <f>COUNTIF('Pub List'!$C738:$T738,"&lt;&gt;")</f>
        <v>0</v>
      </c>
      <c r="Q738" s="20" t="e">
        <f t="shared" si="28"/>
        <v>#N/A</v>
      </c>
      <c r="R738" s="36"/>
      <c r="S738" s="18">
        <f>COUNTIF('Member List'!$C738:$J738,"&lt;&gt;")</f>
        <v>0</v>
      </c>
      <c r="T738" s="35"/>
      <c r="U738" s="24">
        <f t="shared" si="29"/>
        <v>0</v>
      </c>
      <c r="V738" s="18" t="e">
        <f t="shared" si="30"/>
        <v>#N/A</v>
      </c>
      <c r="W738" s="45" t="e">
        <f t="shared" si="31"/>
        <v>#N/A</v>
      </c>
      <c r="X738" s="20" t="e">
        <f t="shared" si="32"/>
        <v>#N/A</v>
      </c>
      <c r="Y738" s="46" t="e">
        <f t="shared" si="35"/>
        <v>#N/A</v>
      </c>
      <c r="Z738" s="39" t="e">
        <f t="shared" si="33"/>
        <v>#N/A</v>
      </c>
      <c r="AA738" s="39" t="e">
        <f t="shared" si="34"/>
        <v>#N/A</v>
      </c>
      <c r="AB738" s="39"/>
      <c r="AC738" s="48" t="e">
        <f t="shared" si="36"/>
        <v>#N/A</v>
      </c>
    </row>
    <row r="739" spans="1:29" ht="12.5" x14ac:dyDescent="0.25">
      <c r="A739" s="36"/>
      <c r="B739" s="33"/>
      <c r="C739" s="33"/>
      <c r="D739" s="33"/>
      <c r="E739" s="35"/>
      <c r="F739" s="21"/>
      <c r="G739" s="22" t="e">
        <f>VLOOKUP(E739,'Court List'!$A:$C,2,0)</f>
        <v>#N/A</v>
      </c>
      <c r="H739" s="33"/>
      <c r="I739" s="33"/>
      <c r="J739" s="44" t="e">
        <f t="shared" si="27"/>
        <v>#N/A</v>
      </c>
      <c r="K739" s="36"/>
      <c r="L739" s="18">
        <f>SUM('Shuttle Count - Supreme (Nov 20'!C739:D739)</f>
        <v>0</v>
      </c>
      <c r="M739" s="18" t="e">
        <f>VLOOKUP(K739,'Shuttle Purchase'!A:C,3,0)</f>
        <v>#N/A</v>
      </c>
      <c r="N739" s="44" t="e">
        <f t="shared" si="37"/>
        <v>#N/A</v>
      </c>
      <c r="O739" s="24" t="e">
        <f>VLOOKUP(E739,'Court List'!$A:$C,3,0)</f>
        <v>#N/A</v>
      </c>
      <c r="P739" s="18">
        <f>COUNTIF('Pub List'!$C739:$T739,"&lt;&gt;")</f>
        <v>0</v>
      </c>
      <c r="Q739" s="20" t="e">
        <f t="shared" si="28"/>
        <v>#N/A</v>
      </c>
      <c r="R739" s="36"/>
      <c r="S739" s="18">
        <f>COUNTIF('Member List'!$C739:$J739,"&lt;&gt;")</f>
        <v>0</v>
      </c>
      <c r="T739" s="35"/>
      <c r="U739" s="24">
        <f t="shared" si="29"/>
        <v>0</v>
      </c>
      <c r="V739" s="18" t="e">
        <f t="shared" si="30"/>
        <v>#N/A</v>
      </c>
      <c r="W739" s="45" t="e">
        <f t="shared" si="31"/>
        <v>#N/A</v>
      </c>
      <c r="X739" s="20" t="e">
        <f t="shared" si="32"/>
        <v>#N/A</v>
      </c>
      <c r="Y739" s="46" t="e">
        <f t="shared" si="35"/>
        <v>#N/A</v>
      </c>
      <c r="Z739" s="39" t="e">
        <f t="shared" si="33"/>
        <v>#N/A</v>
      </c>
      <c r="AA739" s="39" t="e">
        <f t="shared" si="34"/>
        <v>#N/A</v>
      </c>
      <c r="AB739" s="39"/>
      <c r="AC739" s="48" t="e">
        <f t="shared" si="36"/>
        <v>#N/A</v>
      </c>
    </row>
    <row r="740" spans="1:29" ht="12.5" x14ac:dyDescent="0.25">
      <c r="A740" s="36"/>
      <c r="B740" s="33"/>
      <c r="C740" s="33"/>
      <c r="D740" s="33"/>
      <c r="E740" s="35"/>
      <c r="F740" s="21"/>
      <c r="G740" s="22" t="e">
        <f>VLOOKUP(E740,'Court List'!$A:$C,2,0)</f>
        <v>#N/A</v>
      </c>
      <c r="H740" s="33"/>
      <c r="I740" s="33"/>
      <c r="J740" s="44" t="e">
        <f t="shared" si="27"/>
        <v>#N/A</v>
      </c>
      <c r="K740" s="36"/>
      <c r="L740" s="18">
        <f>SUM('Shuttle Count - Supreme (Nov 20'!C740:D740)</f>
        <v>0</v>
      </c>
      <c r="M740" s="18" t="e">
        <f>VLOOKUP(K740,'Shuttle Purchase'!A:C,3,0)</f>
        <v>#N/A</v>
      </c>
      <c r="N740" s="44" t="e">
        <f t="shared" si="37"/>
        <v>#N/A</v>
      </c>
      <c r="O740" s="24" t="e">
        <f>VLOOKUP(E740,'Court List'!$A:$C,3,0)</f>
        <v>#N/A</v>
      </c>
      <c r="P740" s="18">
        <f>COUNTIF('Pub List'!$C740:$T740,"&lt;&gt;")</f>
        <v>0</v>
      </c>
      <c r="Q740" s="20" t="e">
        <f t="shared" si="28"/>
        <v>#N/A</v>
      </c>
      <c r="R740" s="36"/>
      <c r="S740" s="18">
        <f>COUNTIF('Member List'!$C740:$J740,"&lt;&gt;")</f>
        <v>0</v>
      </c>
      <c r="T740" s="35"/>
      <c r="U740" s="24">
        <f t="shared" si="29"/>
        <v>0</v>
      </c>
      <c r="V740" s="18" t="e">
        <f t="shared" si="30"/>
        <v>#N/A</v>
      </c>
      <c r="W740" s="45" t="e">
        <f t="shared" si="31"/>
        <v>#N/A</v>
      </c>
      <c r="X740" s="20" t="e">
        <f t="shared" si="32"/>
        <v>#N/A</v>
      </c>
      <c r="Y740" s="46" t="e">
        <f t="shared" si="35"/>
        <v>#N/A</v>
      </c>
      <c r="Z740" s="39" t="e">
        <f t="shared" si="33"/>
        <v>#N/A</v>
      </c>
      <c r="AA740" s="39" t="e">
        <f t="shared" si="34"/>
        <v>#N/A</v>
      </c>
      <c r="AB740" s="39"/>
      <c r="AC740" s="48" t="e">
        <f t="shared" si="36"/>
        <v>#N/A</v>
      </c>
    </row>
    <row r="741" spans="1:29" ht="12.5" x14ac:dyDescent="0.25">
      <c r="A741" s="36"/>
      <c r="B741" s="33"/>
      <c r="C741" s="33"/>
      <c r="D741" s="33"/>
      <c r="E741" s="35"/>
      <c r="F741" s="21"/>
      <c r="G741" s="22" t="e">
        <f>VLOOKUP(E741,'Court List'!$A:$C,2,0)</f>
        <v>#N/A</v>
      </c>
      <c r="H741" s="33"/>
      <c r="I741" s="33"/>
      <c r="J741" s="44" t="e">
        <f t="shared" si="27"/>
        <v>#N/A</v>
      </c>
      <c r="K741" s="36"/>
      <c r="L741" s="18">
        <f>SUM('Shuttle Count - Supreme (Nov 20'!C741:D741)</f>
        <v>0</v>
      </c>
      <c r="M741" s="18" t="e">
        <f>VLOOKUP(K741,'Shuttle Purchase'!A:C,3,0)</f>
        <v>#N/A</v>
      </c>
      <c r="N741" s="44" t="e">
        <f t="shared" si="37"/>
        <v>#N/A</v>
      </c>
      <c r="O741" s="24" t="e">
        <f>VLOOKUP(E741,'Court List'!$A:$C,3,0)</f>
        <v>#N/A</v>
      </c>
      <c r="P741" s="18">
        <f>COUNTIF('Pub List'!$C741:$T741,"&lt;&gt;")</f>
        <v>0</v>
      </c>
      <c r="Q741" s="20" t="e">
        <f t="shared" si="28"/>
        <v>#N/A</v>
      </c>
      <c r="R741" s="36"/>
      <c r="S741" s="18">
        <f>COUNTIF('Member List'!$C741:$J741,"&lt;&gt;")</f>
        <v>0</v>
      </c>
      <c r="T741" s="35"/>
      <c r="U741" s="24">
        <f t="shared" si="29"/>
        <v>0</v>
      </c>
      <c r="V741" s="18" t="e">
        <f t="shared" si="30"/>
        <v>#N/A</v>
      </c>
      <c r="W741" s="45" t="e">
        <f t="shared" si="31"/>
        <v>#N/A</v>
      </c>
      <c r="X741" s="20" t="e">
        <f t="shared" si="32"/>
        <v>#N/A</v>
      </c>
      <c r="Y741" s="46" t="e">
        <f t="shared" si="35"/>
        <v>#N/A</v>
      </c>
      <c r="Z741" s="39" t="e">
        <f t="shared" si="33"/>
        <v>#N/A</v>
      </c>
      <c r="AA741" s="39" t="e">
        <f t="shared" si="34"/>
        <v>#N/A</v>
      </c>
      <c r="AB741" s="39"/>
      <c r="AC741" s="48" t="e">
        <f t="shared" si="36"/>
        <v>#N/A</v>
      </c>
    </row>
    <row r="742" spans="1:29" ht="12.5" x14ac:dyDescent="0.25">
      <c r="A742" s="36"/>
      <c r="B742" s="33"/>
      <c r="C742" s="33"/>
      <c r="D742" s="33"/>
      <c r="E742" s="35"/>
      <c r="F742" s="21"/>
      <c r="G742" s="22" t="e">
        <f>VLOOKUP(E742,'Court List'!$A:$C,2,0)</f>
        <v>#N/A</v>
      </c>
      <c r="H742" s="33"/>
      <c r="I742" s="33"/>
      <c r="J742" s="44" t="e">
        <f t="shared" si="27"/>
        <v>#N/A</v>
      </c>
      <c r="K742" s="36"/>
      <c r="L742" s="18">
        <f>SUM('Shuttle Count - Supreme (Nov 20'!C742:D742)</f>
        <v>0</v>
      </c>
      <c r="M742" s="18" t="e">
        <f>VLOOKUP(K742,'Shuttle Purchase'!A:C,3,0)</f>
        <v>#N/A</v>
      </c>
      <c r="N742" s="44" t="e">
        <f t="shared" si="37"/>
        <v>#N/A</v>
      </c>
      <c r="O742" s="24" t="e">
        <f>VLOOKUP(E742,'Court List'!$A:$C,3,0)</f>
        <v>#N/A</v>
      </c>
      <c r="P742" s="18">
        <f>COUNTIF('Pub List'!$C742:$T742,"&lt;&gt;")</f>
        <v>0</v>
      </c>
      <c r="Q742" s="20" t="e">
        <f t="shared" si="28"/>
        <v>#N/A</v>
      </c>
      <c r="R742" s="36"/>
      <c r="S742" s="18">
        <f>COUNTIF('Member List'!$C742:$J742,"&lt;&gt;")</f>
        <v>0</v>
      </c>
      <c r="T742" s="35"/>
      <c r="U742" s="24">
        <f t="shared" si="29"/>
        <v>0</v>
      </c>
      <c r="V742" s="18" t="e">
        <f t="shared" si="30"/>
        <v>#N/A</v>
      </c>
      <c r="W742" s="45" t="e">
        <f t="shared" si="31"/>
        <v>#N/A</v>
      </c>
      <c r="X742" s="20" t="e">
        <f t="shared" si="32"/>
        <v>#N/A</v>
      </c>
      <c r="Y742" s="46" t="e">
        <f t="shared" si="35"/>
        <v>#N/A</v>
      </c>
      <c r="Z742" s="39" t="e">
        <f t="shared" si="33"/>
        <v>#N/A</v>
      </c>
      <c r="AA742" s="39" t="e">
        <f t="shared" si="34"/>
        <v>#N/A</v>
      </c>
      <c r="AB742" s="39"/>
      <c r="AC742" s="48" t="e">
        <f t="shared" si="36"/>
        <v>#N/A</v>
      </c>
    </row>
    <row r="743" spans="1:29" ht="12.5" x14ac:dyDescent="0.25">
      <c r="A743" s="36"/>
      <c r="B743" s="33"/>
      <c r="C743" s="33"/>
      <c r="D743" s="33"/>
      <c r="E743" s="35"/>
      <c r="F743" s="21"/>
      <c r="G743" s="22" t="e">
        <f>VLOOKUP(E743,'Court List'!$A:$C,2,0)</f>
        <v>#N/A</v>
      </c>
      <c r="H743" s="33"/>
      <c r="I743" s="33"/>
      <c r="J743" s="44" t="e">
        <f t="shared" si="27"/>
        <v>#N/A</v>
      </c>
      <c r="K743" s="36"/>
      <c r="L743" s="18">
        <f>SUM('Shuttle Count - Supreme (Nov 20'!C743:D743)</f>
        <v>0</v>
      </c>
      <c r="M743" s="18" t="e">
        <f>VLOOKUP(K743,'Shuttle Purchase'!A:C,3,0)</f>
        <v>#N/A</v>
      </c>
      <c r="N743" s="44" t="e">
        <f t="shared" si="37"/>
        <v>#N/A</v>
      </c>
      <c r="O743" s="24" t="e">
        <f>VLOOKUP(E743,'Court List'!$A:$C,3,0)</f>
        <v>#N/A</v>
      </c>
      <c r="P743" s="18">
        <f>COUNTIF('Pub List'!$C743:$T743,"&lt;&gt;")</f>
        <v>0</v>
      </c>
      <c r="Q743" s="20" t="e">
        <f t="shared" si="28"/>
        <v>#N/A</v>
      </c>
      <c r="R743" s="36"/>
      <c r="S743" s="18">
        <f>COUNTIF('Member List'!$C743:$J743,"&lt;&gt;")</f>
        <v>0</v>
      </c>
      <c r="T743" s="35"/>
      <c r="U743" s="24">
        <f t="shared" si="29"/>
        <v>0</v>
      </c>
      <c r="V743" s="18" t="e">
        <f t="shared" si="30"/>
        <v>#N/A</v>
      </c>
      <c r="W743" s="45" t="e">
        <f t="shared" si="31"/>
        <v>#N/A</v>
      </c>
      <c r="X743" s="20" t="e">
        <f t="shared" si="32"/>
        <v>#N/A</v>
      </c>
      <c r="Y743" s="46" t="e">
        <f t="shared" si="35"/>
        <v>#N/A</v>
      </c>
      <c r="Z743" s="39" t="e">
        <f t="shared" si="33"/>
        <v>#N/A</v>
      </c>
      <c r="AA743" s="39" t="e">
        <f t="shared" si="34"/>
        <v>#N/A</v>
      </c>
      <c r="AB743" s="39"/>
      <c r="AC743" s="48" t="e">
        <f t="shared" si="36"/>
        <v>#N/A</v>
      </c>
    </row>
    <row r="744" spans="1:29" ht="12.5" x14ac:dyDescent="0.25">
      <c r="A744" s="36"/>
      <c r="B744" s="33"/>
      <c r="C744" s="33"/>
      <c r="D744" s="33"/>
      <c r="E744" s="35"/>
      <c r="F744" s="21"/>
      <c r="G744" s="22" t="e">
        <f>VLOOKUP(E744,'Court List'!$A:$C,2,0)</f>
        <v>#N/A</v>
      </c>
      <c r="H744" s="33"/>
      <c r="I744" s="33"/>
      <c r="J744" s="44" t="e">
        <f t="shared" si="27"/>
        <v>#N/A</v>
      </c>
      <c r="K744" s="36"/>
      <c r="L744" s="18">
        <f>SUM('Shuttle Count - Supreme (Nov 20'!C744:D744)</f>
        <v>0</v>
      </c>
      <c r="M744" s="18" t="e">
        <f>VLOOKUP(K744,'Shuttle Purchase'!A:C,3,0)</f>
        <v>#N/A</v>
      </c>
      <c r="N744" s="44" t="e">
        <f t="shared" si="37"/>
        <v>#N/A</v>
      </c>
      <c r="O744" s="24" t="e">
        <f>VLOOKUP(E744,'Court List'!$A:$C,3,0)</f>
        <v>#N/A</v>
      </c>
      <c r="P744" s="18">
        <f>COUNTIF('Pub List'!$C744:$T744,"&lt;&gt;")</f>
        <v>0</v>
      </c>
      <c r="Q744" s="20" t="e">
        <f t="shared" si="28"/>
        <v>#N/A</v>
      </c>
      <c r="R744" s="36"/>
      <c r="S744" s="18">
        <f>COUNTIF('Member List'!$C744:$J744,"&lt;&gt;")</f>
        <v>0</v>
      </c>
      <c r="T744" s="35"/>
      <c r="U744" s="24">
        <f t="shared" si="29"/>
        <v>0</v>
      </c>
      <c r="V744" s="18" t="e">
        <f t="shared" si="30"/>
        <v>#N/A</v>
      </c>
      <c r="W744" s="45" t="e">
        <f t="shared" si="31"/>
        <v>#N/A</v>
      </c>
      <c r="X744" s="20" t="e">
        <f t="shared" si="32"/>
        <v>#N/A</v>
      </c>
      <c r="Y744" s="46" t="e">
        <f t="shared" si="35"/>
        <v>#N/A</v>
      </c>
      <c r="Z744" s="39" t="e">
        <f t="shared" si="33"/>
        <v>#N/A</v>
      </c>
      <c r="AA744" s="39" t="e">
        <f t="shared" si="34"/>
        <v>#N/A</v>
      </c>
      <c r="AB744" s="39"/>
      <c r="AC744" s="48" t="e">
        <f t="shared" si="36"/>
        <v>#N/A</v>
      </c>
    </row>
    <row r="745" spans="1:29" ht="12.5" x14ac:dyDescent="0.25">
      <c r="A745" s="36"/>
      <c r="B745" s="33"/>
      <c r="C745" s="33"/>
      <c r="D745" s="33"/>
      <c r="E745" s="35"/>
      <c r="F745" s="21"/>
      <c r="G745" s="22" t="e">
        <f>VLOOKUP(E745,'Court List'!$A:$C,2,0)</f>
        <v>#N/A</v>
      </c>
      <c r="H745" s="33"/>
      <c r="I745" s="33"/>
      <c r="J745" s="44" t="e">
        <f t="shared" si="27"/>
        <v>#N/A</v>
      </c>
      <c r="K745" s="36"/>
      <c r="L745" s="18">
        <f>SUM('Shuttle Count - Supreme (Nov 20'!C745:D745)</f>
        <v>0</v>
      </c>
      <c r="M745" s="18" t="e">
        <f>VLOOKUP(K745,'Shuttle Purchase'!A:C,3,0)</f>
        <v>#N/A</v>
      </c>
      <c r="N745" s="44" t="e">
        <f t="shared" si="37"/>
        <v>#N/A</v>
      </c>
      <c r="O745" s="24" t="e">
        <f>VLOOKUP(E745,'Court List'!$A:$C,3,0)</f>
        <v>#N/A</v>
      </c>
      <c r="P745" s="18">
        <f>COUNTIF('Pub List'!$C745:$T745,"&lt;&gt;")</f>
        <v>0</v>
      </c>
      <c r="Q745" s="20" t="e">
        <f t="shared" si="28"/>
        <v>#N/A</v>
      </c>
      <c r="R745" s="36"/>
      <c r="S745" s="18">
        <f>COUNTIF('Member List'!$C745:$J745,"&lt;&gt;")</f>
        <v>0</v>
      </c>
      <c r="T745" s="35"/>
      <c r="U745" s="24">
        <f t="shared" si="29"/>
        <v>0</v>
      </c>
      <c r="V745" s="18" t="e">
        <f t="shared" si="30"/>
        <v>#N/A</v>
      </c>
      <c r="W745" s="45" t="e">
        <f t="shared" si="31"/>
        <v>#N/A</v>
      </c>
      <c r="X745" s="20" t="e">
        <f t="shared" si="32"/>
        <v>#N/A</v>
      </c>
      <c r="Y745" s="46" t="e">
        <f t="shared" si="35"/>
        <v>#N/A</v>
      </c>
      <c r="Z745" s="39" t="e">
        <f t="shared" si="33"/>
        <v>#N/A</v>
      </c>
      <c r="AA745" s="39" t="e">
        <f t="shared" si="34"/>
        <v>#N/A</v>
      </c>
      <c r="AB745" s="39"/>
      <c r="AC745" s="48" t="e">
        <f t="shared" si="36"/>
        <v>#N/A</v>
      </c>
    </row>
    <row r="746" spans="1:29" ht="12.5" x14ac:dyDescent="0.25">
      <c r="A746" s="36"/>
      <c r="B746" s="33"/>
      <c r="C746" s="33"/>
      <c r="D746" s="33"/>
      <c r="E746" s="35"/>
      <c r="F746" s="21"/>
      <c r="G746" s="22" t="e">
        <f>VLOOKUP(E746,'Court List'!$A:$C,2,0)</f>
        <v>#N/A</v>
      </c>
      <c r="H746" s="33"/>
      <c r="I746" s="33"/>
      <c r="J746" s="44" t="e">
        <f t="shared" si="27"/>
        <v>#N/A</v>
      </c>
      <c r="K746" s="36"/>
      <c r="L746" s="18">
        <f>SUM('Shuttle Count - Supreme (Nov 20'!C746:D746)</f>
        <v>0</v>
      </c>
      <c r="M746" s="18" t="e">
        <f>VLOOKUP(K746,'Shuttle Purchase'!A:C,3,0)</f>
        <v>#N/A</v>
      </c>
      <c r="N746" s="44" t="e">
        <f t="shared" si="37"/>
        <v>#N/A</v>
      </c>
      <c r="O746" s="24" t="e">
        <f>VLOOKUP(E746,'Court List'!$A:$C,3,0)</f>
        <v>#N/A</v>
      </c>
      <c r="P746" s="18">
        <f>COUNTIF('Pub List'!$C746:$T746,"&lt;&gt;")</f>
        <v>0</v>
      </c>
      <c r="Q746" s="20" t="e">
        <f t="shared" si="28"/>
        <v>#N/A</v>
      </c>
      <c r="R746" s="36"/>
      <c r="S746" s="18">
        <f>COUNTIF('Member List'!$C746:$J746,"&lt;&gt;")</f>
        <v>0</v>
      </c>
      <c r="T746" s="35"/>
      <c r="U746" s="24">
        <f t="shared" si="29"/>
        <v>0</v>
      </c>
      <c r="V746" s="18" t="e">
        <f t="shared" si="30"/>
        <v>#N/A</v>
      </c>
      <c r="W746" s="45" t="e">
        <f t="shared" si="31"/>
        <v>#N/A</v>
      </c>
      <c r="X746" s="20" t="e">
        <f t="shared" si="32"/>
        <v>#N/A</v>
      </c>
      <c r="Y746" s="46" t="e">
        <f t="shared" si="35"/>
        <v>#N/A</v>
      </c>
      <c r="Z746" s="39" t="e">
        <f t="shared" si="33"/>
        <v>#N/A</v>
      </c>
      <c r="AA746" s="39" t="e">
        <f t="shared" si="34"/>
        <v>#N/A</v>
      </c>
      <c r="AB746" s="39"/>
      <c r="AC746" s="48" t="e">
        <f t="shared" si="36"/>
        <v>#N/A</v>
      </c>
    </row>
    <row r="747" spans="1:29" ht="12.5" x14ac:dyDescent="0.25">
      <c r="A747" s="36"/>
      <c r="B747" s="33"/>
      <c r="C747" s="33"/>
      <c r="D747" s="33"/>
      <c r="E747" s="35"/>
      <c r="F747" s="21"/>
      <c r="G747" s="22" t="e">
        <f>VLOOKUP(E747,'Court List'!$A:$C,2,0)</f>
        <v>#N/A</v>
      </c>
      <c r="H747" s="33"/>
      <c r="I747" s="33"/>
      <c r="J747" s="44" t="e">
        <f t="shared" si="27"/>
        <v>#N/A</v>
      </c>
      <c r="K747" s="36"/>
      <c r="L747" s="18">
        <f>SUM('Shuttle Count - Supreme (Nov 20'!C747:D747)</f>
        <v>0</v>
      </c>
      <c r="M747" s="18" t="e">
        <f>VLOOKUP(K747,'Shuttle Purchase'!A:C,3,0)</f>
        <v>#N/A</v>
      </c>
      <c r="N747" s="44" t="e">
        <f t="shared" si="37"/>
        <v>#N/A</v>
      </c>
      <c r="O747" s="24" t="e">
        <f>VLOOKUP(E747,'Court List'!$A:$C,3,0)</f>
        <v>#N/A</v>
      </c>
      <c r="P747" s="18">
        <f>COUNTIF('Pub List'!$C747:$T747,"&lt;&gt;")</f>
        <v>0</v>
      </c>
      <c r="Q747" s="20" t="e">
        <f t="shared" si="28"/>
        <v>#N/A</v>
      </c>
      <c r="R747" s="36"/>
      <c r="S747" s="18">
        <f>COUNTIF('Member List'!$C747:$J747,"&lt;&gt;")</f>
        <v>0</v>
      </c>
      <c r="T747" s="35"/>
      <c r="U747" s="24">
        <f t="shared" si="29"/>
        <v>0</v>
      </c>
      <c r="V747" s="18" t="e">
        <f t="shared" si="30"/>
        <v>#N/A</v>
      </c>
      <c r="W747" s="45" t="e">
        <f t="shared" si="31"/>
        <v>#N/A</v>
      </c>
      <c r="X747" s="20" t="e">
        <f t="shared" si="32"/>
        <v>#N/A</v>
      </c>
      <c r="Y747" s="46" t="e">
        <f t="shared" si="35"/>
        <v>#N/A</v>
      </c>
      <c r="Z747" s="39" t="e">
        <f t="shared" si="33"/>
        <v>#N/A</v>
      </c>
      <c r="AA747" s="39" t="e">
        <f t="shared" si="34"/>
        <v>#N/A</v>
      </c>
      <c r="AB747" s="39"/>
      <c r="AC747" s="48" t="e">
        <f t="shared" si="36"/>
        <v>#N/A</v>
      </c>
    </row>
    <row r="748" spans="1:29" ht="12.5" x14ac:dyDescent="0.25">
      <c r="A748" s="36"/>
      <c r="B748" s="33"/>
      <c r="C748" s="33"/>
      <c r="D748" s="33"/>
      <c r="E748" s="35"/>
      <c r="F748" s="21"/>
      <c r="G748" s="22" t="e">
        <f>VLOOKUP(E748,'Court List'!$A:$C,2,0)</f>
        <v>#N/A</v>
      </c>
      <c r="H748" s="33"/>
      <c r="I748" s="33"/>
      <c r="J748" s="44" t="e">
        <f t="shared" si="27"/>
        <v>#N/A</v>
      </c>
      <c r="K748" s="36"/>
      <c r="L748" s="18">
        <f>SUM('Shuttle Count - Supreme (Nov 20'!C748:D748)</f>
        <v>0</v>
      </c>
      <c r="M748" s="18" t="e">
        <f>VLOOKUP(K748,'Shuttle Purchase'!A:C,3,0)</f>
        <v>#N/A</v>
      </c>
      <c r="N748" s="44" t="e">
        <f t="shared" si="37"/>
        <v>#N/A</v>
      </c>
      <c r="O748" s="24" t="e">
        <f>VLOOKUP(E748,'Court List'!$A:$C,3,0)</f>
        <v>#N/A</v>
      </c>
      <c r="P748" s="18">
        <f>COUNTIF('Pub List'!$C748:$T748,"&lt;&gt;")</f>
        <v>0</v>
      </c>
      <c r="Q748" s="20" t="e">
        <f t="shared" si="28"/>
        <v>#N/A</v>
      </c>
      <c r="R748" s="36"/>
      <c r="S748" s="18">
        <f>COUNTIF('Member List'!$C748:$J748,"&lt;&gt;")</f>
        <v>0</v>
      </c>
      <c r="T748" s="35"/>
      <c r="U748" s="24">
        <f t="shared" si="29"/>
        <v>0</v>
      </c>
      <c r="V748" s="18" t="e">
        <f t="shared" si="30"/>
        <v>#N/A</v>
      </c>
      <c r="W748" s="45" t="e">
        <f t="shared" si="31"/>
        <v>#N/A</v>
      </c>
      <c r="X748" s="20" t="e">
        <f t="shared" si="32"/>
        <v>#N/A</v>
      </c>
      <c r="Y748" s="46" t="e">
        <f t="shared" si="35"/>
        <v>#N/A</v>
      </c>
      <c r="Z748" s="39" t="e">
        <f t="shared" si="33"/>
        <v>#N/A</v>
      </c>
      <c r="AA748" s="39" t="e">
        <f t="shared" si="34"/>
        <v>#N/A</v>
      </c>
      <c r="AB748" s="39"/>
      <c r="AC748" s="48" t="e">
        <f t="shared" si="36"/>
        <v>#N/A</v>
      </c>
    </row>
    <row r="749" spans="1:29" ht="12.5" x14ac:dyDescent="0.25">
      <c r="A749" s="36"/>
      <c r="B749" s="33"/>
      <c r="C749" s="33"/>
      <c r="D749" s="33"/>
      <c r="E749" s="35"/>
      <c r="F749" s="21"/>
      <c r="G749" s="22" t="e">
        <f>VLOOKUP(E749,'Court List'!$A:$C,2,0)</f>
        <v>#N/A</v>
      </c>
      <c r="H749" s="33"/>
      <c r="I749" s="33"/>
      <c r="J749" s="44" t="e">
        <f t="shared" si="27"/>
        <v>#N/A</v>
      </c>
      <c r="K749" s="36"/>
      <c r="L749" s="18">
        <f>SUM('Shuttle Count - Supreme (Nov 20'!C749:D749)</f>
        <v>0</v>
      </c>
      <c r="M749" s="18" t="e">
        <f>VLOOKUP(K749,'Shuttle Purchase'!A:C,3,0)</f>
        <v>#N/A</v>
      </c>
      <c r="N749" s="44" t="e">
        <f t="shared" si="37"/>
        <v>#N/A</v>
      </c>
      <c r="O749" s="24" t="e">
        <f>VLOOKUP(E749,'Court List'!$A:$C,3,0)</f>
        <v>#N/A</v>
      </c>
      <c r="P749" s="18">
        <f>COUNTIF('Pub List'!$C749:$T749,"&lt;&gt;")</f>
        <v>0</v>
      </c>
      <c r="Q749" s="20" t="e">
        <f t="shared" si="28"/>
        <v>#N/A</v>
      </c>
      <c r="R749" s="36"/>
      <c r="S749" s="18">
        <f>COUNTIF('Member List'!$C749:$J749,"&lt;&gt;")</f>
        <v>0</v>
      </c>
      <c r="T749" s="35"/>
      <c r="U749" s="24">
        <f t="shared" si="29"/>
        <v>0</v>
      </c>
      <c r="V749" s="18" t="e">
        <f t="shared" si="30"/>
        <v>#N/A</v>
      </c>
      <c r="W749" s="45" t="e">
        <f t="shared" si="31"/>
        <v>#N/A</v>
      </c>
      <c r="X749" s="20" t="e">
        <f t="shared" si="32"/>
        <v>#N/A</v>
      </c>
      <c r="Y749" s="46" t="e">
        <f t="shared" si="35"/>
        <v>#N/A</v>
      </c>
      <c r="Z749" s="39" t="e">
        <f t="shared" si="33"/>
        <v>#N/A</v>
      </c>
      <c r="AA749" s="39" t="e">
        <f t="shared" si="34"/>
        <v>#N/A</v>
      </c>
      <c r="AB749" s="39"/>
      <c r="AC749" s="48" t="e">
        <f t="shared" si="36"/>
        <v>#N/A</v>
      </c>
    </row>
    <row r="750" spans="1:29" ht="12.5" x14ac:dyDescent="0.25">
      <c r="A750" s="36"/>
      <c r="B750" s="33"/>
      <c r="C750" s="33"/>
      <c r="D750" s="33"/>
      <c r="E750" s="35"/>
      <c r="F750" s="21"/>
      <c r="G750" s="22" t="e">
        <f>VLOOKUP(E750,'Court List'!$A:$C,2,0)</f>
        <v>#N/A</v>
      </c>
      <c r="H750" s="33"/>
      <c r="I750" s="33"/>
      <c r="J750" s="44" t="e">
        <f t="shared" si="27"/>
        <v>#N/A</v>
      </c>
      <c r="K750" s="36"/>
      <c r="L750" s="18">
        <f>SUM('Shuttle Count - Supreme (Nov 20'!C750:D750)</f>
        <v>0</v>
      </c>
      <c r="M750" s="18" t="e">
        <f>VLOOKUP(K750,'Shuttle Purchase'!A:C,3,0)</f>
        <v>#N/A</v>
      </c>
      <c r="N750" s="44" t="e">
        <f t="shared" si="37"/>
        <v>#N/A</v>
      </c>
      <c r="O750" s="24" t="e">
        <f>VLOOKUP(E750,'Court List'!$A:$C,3,0)</f>
        <v>#N/A</v>
      </c>
      <c r="P750" s="18">
        <f>COUNTIF('Pub List'!$C750:$T750,"&lt;&gt;")</f>
        <v>0</v>
      </c>
      <c r="Q750" s="20" t="e">
        <f t="shared" si="28"/>
        <v>#N/A</v>
      </c>
      <c r="R750" s="36"/>
      <c r="S750" s="18">
        <f>COUNTIF('Member List'!$C750:$J750,"&lt;&gt;")</f>
        <v>0</v>
      </c>
      <c r="T750" s="35"/>
      <c r="U750" s="24">
        <f t="shared" si="29"/>
        <v>0</v>
      </c>
      <c r="V750" s="18" t="e">
        <f t="shared" si="30"/>
        <v>#N/A</v>
      </c>
      <c r="W750" s="45" t="e">
        <f t="shared" si="31"/>
        <v>#N/A</v>
      </c>
      <c r="X750" s="20" t="e">
        <f t="shared" si="32"/>
        <v>#N/A</v>
      </c>
      <c r="Y750" s="46" t="e">
        <f t="shared" si="35"/>
        <v>#N/A</v>
      </c>
      <c r="Z750" s="39" t="e">
        <f t="shared" si="33"/>
        <v>#N/A</v>
      </c>
      <c r="AA750" s="39" t="e">
        <f t="shared" si="34"/>
        <v>#N/A</v>
      </c>
      <c r="AB750" s="39"/>
      <c r="AC750" s="48" t="e">
        <f t="shared" si="36"/>
        <v>#N/A</v>
      </c>
    </row>
    <row r="751" spans="1:29" ht="12.5" x14ac:dyDescent="0.25">
      <c r="A751" s="36"/>
      <c r="B751" s="33"/>
      <c r="C751" s="33"/>
      <c r="D751" s="33"/>
      <c r="E751" s="35"/>
      <c r="F751" s="21"/>
      <c r="G751" s="22" t="e">
        <f>VLOOKUP(E751,'Court List'!$A:$C,2,0)</f>
        <v>#N/A</v>
      </c>
      <c r="H751" s="33"/>
      <c r="I751" s="33"/>
      <c r="J751" s="44" t="e">
        <f t="shared" si="27"/>
        <v>#N/A</v>
      </c>
      <c r="K751" s="36"/>
      <c r="L751" s="18">
        <f>SUM('Shuttle Count - Supreme (Nov 20'!C751:D751)</f>
        <v>0</v>
      </c>
      <c r="M751" s="18" t="e">
        <f>VLOOKUP(K751,'Shuttle Purchase'!A:C,3,0)</f>
        <v>#N/A</v>
      </c>
      <c r="N751" s="44" t="e">
        <f t="shared" si="37"/>
        <v>#N/A</v>
      </c>
      <c r="O751" s="24" t="e">
        <f>VLOOKUP(E751,'Court List'!$A:$C,3,0)</f>
        <v>#N/A</v>
      </c>
      <c r="P751" s="18">
        <f>COUNTIF('Pub List'!$C751:$T751,"&lt;&gt;")</f>
        <v>0</v>
      </c>
      <c r="Q751" s="20" t="e">
        <f t="shared" si="28"/>
        <v>#N/A</v>
      </c>
      <c r="R751" s="36"/>
      <c r="S751" s="18">
        <f>COUNTIF('Member List'!$C751:$J751,"&lt;&gt;")</f>
        <v>0</v>
      </c>
      <c r="T751" s="35"/>
      <c r="U751" s="24">
        <f t="shared" si="29"/>
        <v>0</v>
      </c>
      <c r="V751" s="18" t="e">
        <f t="shared" si="30"/>
        <v>#N/A</v>
      </c>
      <c r="W751" s="45" t="e">
        <f t="shared" si="31"/>
        <v>#N/A</v>
      </c>
      <c r="X751" s="20" t="e">
        <f t="shared" si="32"/>
        <v>#N/A</v>
      </c>
      <c r="Y751" s="46" t="e">
        <f t="shared" si="35"/>
        <v>#N/A</v>
      </c>
      <c r="Z751" s="39" t="e">
        <f t="shared" si="33"/>
        <v>#N/A</v>
      </c>
      <c r="AA751" s="39" t="e">
        <f t="shared" si="34"/>
        <v>#N/A</v>
      </c>
      <c r="AB751" s="39"/>
      <c r="AC751" s="48" t="e">
        <f t="shared" si="36"/>
        <v>#N/A</v>
      </c>
    </row>
    <row r="752" spans="1:29" ht="12.5" x14ac:dyDescent="0.25">
      <c r="A752" s="36"/>
      <c r="B752" s="33"/>
      <c r="C752" s="33"/>
      <c r="D752" s="33"/>
      <c r="E752" s="35"/>
      <c r="F752" s="21"/>
      <c r="G752" s="22" t="e">
        <f>VLOOKUP(E752,'Court List'!$A:$C,2,0)</f>
        <v>#N/A</v>
      </c>
      <c r="H752" s="33"/>
      <c r="I752" s="33"/>
      <c r="J752" s="44" t="e">
        <f t="shared" si="27"/>
        <v>#N/A</v>
      </c>
      <c r="K752" s="36"/>
      <c r="L752" s="18">
        <f>SUM('Shuttle Count - Supreme (Nov 20'!C752:D752)</f>
        <v>0</v>
      </c>
      <c r="M752" s="18" t="e">
        <f>VLOOKUP(K752,'Shuttle Purchase'!A:C,3,0)</f>
        <v>#N/A</v>
      </c>
      <c r="N752" s="44" t="e">
        <f t="shared" si="37"/>
        <v>#N/A</v>
      </c>
      <c r="O752" s="24" t="e">
        <f>VLOOKUP(E752,'Court List'!$A:$C,3,0)</f>
        <v>#N/A</v>
      </c>
      <c r="P752" s="18">
        <f>COUNTIF('Pub List'!$C752:$T752,"&lt;&gt;")</f>
        <v>0</v>
      </c>
      <c r="Q752" s="20" t="e">
        <f t="shared" si="28"/>
        <v>#N/A</v>
      </c>
      <c r="R752" s="36"/>
      <c r="S752" s="18">
        <f>COUNTIF('Member List'!$C752:$J752,"&lt;&gt;")</f>
        <v>0</v>
      </c>
      <c r="T752" s="35"/>
      <c r="U752" s="24">
        <f t="shared" si="29"/>
        <v>0</v>
      </c>
      <c r="V752" s="18" t="e">
        <f t="shared" si="30"/>
        <v>#N/A</v>
      </c>
      <c r="W752" s="45" t="e">
        <f t="shared" si="31"/>
        <v>#N/A</v>
      </c>
      <c r="X752" s="20" t="e">
        <f t="shared" si="32"/>
        <v>#N/A</v>
      </c>
      <c r="Y752" s="46" t="e">
        <f t="shared" si="35"/>
        <v>#N/A</v>
      </c>
      <c r="Z752" s="39" t="e">
        <f t="shared" si="33"/>
        <v>#N/A</v>
      </c>
      <c r="AA752" s="39" t="e">
        <f t="shared" si="34"/>
        <v>#N/A</v>
      </c>
      <c r="AB752" s="39"/>
      <c r="AC752" s="48" t="e">
        <f t="shared" si="36"/>
        <v>#N/A</v>
      </c>
    </row>
    <row r="753" spans="1:29" ht="12.5" x14ac:dyDescent="0.25">
      <c r="A753" s="36"/>
      <c r="B753" s="33"/>
      <c r="C753" s="33"/>
      <c r="D753" s="33"/>
      <c r="E753" s="35"/>
      <c r="F753" s="21"/>
      <c r="G753" s="22" t="e">
        <f>VLOOKUP(E753,'Court List'!$A:$C,2,0)</f>
        <v>#N/A</v>
      </c>
      <c r="H753" s="33"/>
      <c r="I753" s="33"/>
      <c r="J753" s="44" t="e">
        <f t="shared" si="27"/>
        <v>#N/A</v>
      </c>
      <c r="K753" s="36"/>
      <c r="L753" s="18">
        <f>SUM('Shuttle Count - Supreme (Nov 20'!C753:D753)</f>
        <v>0</v>
      </c>
      <c r="M753" s="18" t="e">
        <f>VLOOKUP(K753,'Shuttle Purchase'!A:C,3,0)</f>
        <v>#N/A</v>
      </c>
      <c r="N753" s="44" t="e">
        <f t="shared" si="37"/>
        <v>#N/A</v>
      </c>
      <c r="O753" s="24" t="e">
        <f>VLOOKUP(E753,'Court List'!$A:$C,3,0)</f>
        <v>#N/A</v>
      </c>
      <c r="P753" s="18">
        <f>COUNTIF('Pub List'!$C753:$T753,"&lt;&gt;")</f>
        <v>0</v>
      </c>
      <c r="Q753" s="20" t="e">
        <f t="shared" si="28"/>
        <v>#N/A</v>
      </c>
      <c r="R753" s="36"/>
      <c r="S753" s="18">
        <f>COUNTIF('Member List'!$C753:$J753,"&lt;&gt;")</f>
        <v>0</v>
      </c>
      <c r="T753" s="35"/>
      <c r="U753" s="24">
        <f t="shared" si="29"/>
        <v>0</v>
      </c>
      <c r="V753" s="18" t="e">
        <f t="shared" si="30"/>
        <v>#N/A</v>
      </c>
      <c r="W753" s="45" t="e">
        <f t="shared" si="31"/>
        <v>#N/A</v>
      </c>
      <c r="X753" s="20" t="e">
        <f t="shared" si="32"/>
        <v>#N/A</v>
      </c>
      <c r="Y753" s="46" t="e">
        <f t="shared" si="35"/>
        <v>#N/A</v>
      </c>
      <c r="Z753" s="39" t="e">
        <f t="shared" si="33"/>
        <v>#N/A</v>
      </c>
      <c r="AA753" s="39" t="e">
        <f t="shared" si="34"/>
        <v>#N/A</v>
      </c>
      <c r="AB753" s="39"/>
      <c r="AC753" s="48" t="e">
        <f t="shared" si="36"/>
        <v>#N/A</v>
      </c>
    </row>
    <row r="754" spans="1:29" ht="12.5" x14ac:dyDescent="0.25">
      <c r="A754" s="36"/>
      <c r="B754" s="33"/>
      <c r="C754" s="33"/>
      <c r="D754" s="33"/>
      <c r="E754" s="35"/>
      <c r="F754" s="21"/>
      <c r="G754" s="22" t="e">
        <f>VLOOKUP(E754,'Court List'!$A:$C,2,0)</f>
        <v>#N/A</v>
      </c>
      <c r="H754" s="33"/>
      <c r="I754" s="33"/>
      <c r="J754" s="44" t="e">
        <f t="shared" si="27"/>
        <v>#N/A</v>
      </c>
      <c r="K754" s="36"/>
      <c r="L754" s="18">
        <f>SUM('Shuttle Count - Supreme (Nov 20'!C754:D754)</f>
        <v>0</v>
      </c>
      <c r="M754" s="18" t="e">
        <f>VLOOKUP(K754,'Shuttle Purchase'!A:C,3,0)</f>
        <v>#N/A</v>
      </c>
      <c r="N754" s="44" t="e">
        <f t="shared" si="37"/>
        <v>#N/A</v>
      </c>
      <c r="O754" s="24" t="e">
        <f>VLOOKUP(E754,'Court List'!$A:$C,3,0)</f>
        <v>#N/A</v>
      </c>
      <c r="P754" s="18">
        <f>COUNTIF('Pub List'!$C754:$T754,"&lt;&gt;")</f>
        <v>0</v>
      </c>
      <c r="Q754" s="20" t="e">
        <f t="shared" si="28"/>
        <v>#N/A</v>
      </c>
      <c r="R754" s="36"/>
      <c r="S754" s="18">
        <f>COUNTIF('Member List'!$C754:$J754,"&lt;&gt;")</f>
        <v>0</v>
      </c>
      <c r="T754" s="35"/>
      <c r="U754" s="24">
        <f t="shared" si="29"/>
        <v>0</v>
      </c>
      <c r="V754" s="18" t="e">
        <f t="shared" si="30"/>
        <v>#N/A</v>
      </c>
      <c r="W754" s="45" t="e">
        <f t="shared" si="31"/>
        <v>#N/A</v>
      </c>
      <c r="X754" s="20" t="e">
        <f t="shared" si="32"/>
        <v>#N/A</v>
      </c>
      <c r="Y754" s="46" t="e">
        <f t="shared" si="35"/>
        <v>#N/A</v>
      </c>
      <c r="Z754" s="39" t="e">
        <f t="shared" si="33"/>
        <v>#N/A</v>
      </c>
      <c r="AA754" s="39" t="e">
        <f t="shared" si="34"/>
        <v>#N/A</v>
      </c>
      <c r="AB754" s="39"/>
      <c r="AC754" s="48" t="e">
        <f t="shared" si="36"/>
        <v>#N/A</v>
      </c>
    </row>
    <row r="755" spans="1:29" ht="12.5" x14ac:dyDescent="0.25">
      <c r="A755" s="36"/>
      <c r="B755" s="33"/>
      <c r="C755" s="33"/>
      <c r="D755" s="33"/>
      <c r="E755" s="35"/>
      <c r="F755" s="21"/>
      <c r="G755" s="22" t="e">
        <f>VLOOKUP(E755,'Court List'!$A:$C,2,0)</f>
        <v>#N/A</v>
      </c>
      <c r="H755" s="33"/>
      <c r="I755" s="33"/>
      <c r="J755" s="44" t="e">
        <f t="shared" si="27"/>
        <v>#N/A</v>
      </c>
      <c r="K755" s="36"/>
      <c r="L755" s="18">
        <f>SUM('Shuttle Count - Supreme (Nov 20'!C755:D755)</f>
        <v>0</v>
      </c>
      <c r="M755" s="18" t="e">
        <f>VLOOKUP(K755,'Shuttle Purchase'!A:C,3,0)</f>
        <v>#N/A</v>
      </c>
      <c r="N755" s="44" t="e">
        <f t="shared" si="37"/>
        <v>#N/A</v>
      </c>
      <c r="O755" s="24" t="e">
        <f>VLOOKUP(E755,'Court List'!$A:$C,3,0)</f>
        <v>#N/A</v>
      </c>
      <c r="P755" s="18">
        <f>COUNTIF('Pub List'!$C755:$T755,"&lt;&gt;")</f>
        <v>0</v>
      </c>
      <c r="Q755" s="20" t="e">
        <f t="shared" si="28"/>
        <v>#N/A</v>
      </c>
      <c r="R755" s="36"/>
      <c r="S755" s="18">
        <f>COUNTIF('Member List'!$C755:$J755,"&lt;&gt;")</f>
        <v>0</v>
      </c>
      <c r="T755" s="35"/>
      <c r="U755" s="24">
        <f t="shared" si="29"/>
        <v>0</v>
      </c>
      <c r="V755" s="18" t="e">
        <f t="shared" si="30"/>
        <v>#N/A</v>
      </c>
      <c r="W755" s="45" t="e">
        <f t="shared" si="31"/>
        <v>#N/A</v>
      </c>
      <c r="X755" s="20" t="e">
        <f t="shared" si="32"/>
        <v>#N/A</v>
      </c>
      <c r="Y755" s="46" t="e">
        <f t="shared" si="35"/>
        <v>#N/A</v>
      </c>
      <c r="Z755" s="39" t="e">
        <f t="shared" si="33"/>
        <v>#N/A</v>
      </c>
      <c r="AA755" s="39" t="e">
        <f t="shared" si="34"/>
        <v>#N/A</v>
      </c>
      <c r="AB755" s="39"/>
      <c r="AC755" s="48" t="e">
        <f t="shared" si="36"/>
        <v>#N/A</v>
      </c>
    </row>
    <row r="756" spans="1:29" ht="12.5" x14ac:dyDescent="0.25">
      <c r="A756" s="36"/>
      <c r="B756" s="33"/>
      <c r="C756" s="33"/>
      <c r="D756" s="33"/>
      <c r="E756" s="35"/>
      <c r="F756" s="21"/>
      <c r="G756" s="22" t="e">
        <f>VLOOKUP(E756,'Court List'!$A:$C,2,0)</f>
        <v>#N/A</v>
      </c>
      <c r="H756" s="33"/>
      <c r="I756" s="33"/>
      <c r="J756" s="44" t="e">
        <f t="shared" si="27"/>
        <v>#N/A</v>
      </c>
      <c r="K756" s="36"/>
      <c r="L756" s="18">
        <f>SUM('Shuttle Count - Supreme (Nov 20'!C756:D756)</f>
        <v>0</v>
      </c>
      <c r="M756" s="18" t="e">
        <f>VLOOKUP(K756,'Shuttle Purchase'!A:C,3,0)</f>
        <v>#N/A</v>
      </c>
      <c r="N756" s="44" t="e">
        <f t="shared" si="37"/>
        <v>#N/A</v>
      </c>
      <c r="O756" s="24" t="e">
        <f>VLOOKUP(E756,'Court List'!$A:$C,3,0)</f>
        <v>#N/A</v>
      </c>
      <c r="P756" s="18">
        <f>COUNTIF('Pub List'!$C756:$T756,"&lt;&gt;")</f>
        <v>0</v>
      </c>
      <c r="Q756" s="20" t="e">
        <f t="shared" si="28"/>
        <v>#N/A</v>
      </c>
      <c r="R756" s="36"/>
      <c r="S756" s="18">
        <f>COUNTIF('Member List'!$C756:$J756,"&lt;&gt;")</f>
        <v>0</v>
      </c>
      <c r="T756" s="35"/>
      <c r="U756" s="24">
        <f t="shared" si="29"/>
        <v>0</v>
      </c>
      <c r="V756" s="18" t="e">
        <f t="shared" si="30"/>
        <v>#N/A</v>
      </c>
      <c r="W756" s="45" t="e">
        <f t="shared" si="31"/>
        <v>#N/A</v>
      </c>
      <c r="X756" s="20" t="e">
        <f t="shared" si="32"/>
        <v>#N/A</v>
      </c>
      <c r="Y756" s="46" t="e">
        <f t="shared" si="35"/>
        <v>#N/A</v>
      </c>
      <c r="Z756" s="39" t="e">
        <f t="shared" si="33"/>
        <v>#N/A</v>
      </c>
      <c r="AA756" s="39" t="e">
        <f t="shared" si="34"/>
        <v>#N/A</v>
      </c>
      <c r="AB756" s="39"/>
      <c r="AC756" s="48" t="e">
        <f t="shared" si="36"/>
        <v>#N/A</v>
      </c>
    </row>
    <row r="757" spans="1:29" ht="12.5" x14ac:dyDescent="0.25">
      <c r="A757" s="36"/>
      <c r="B757" s="33"/>
      <c r="C757" s="33"/>
      <c r="D757" s="33"/>
      <c r="E757" s="35"/>
      <c r="F757" s="21"/>
      <c r="G757" s="22" t="e">
        <f>VLOOKUP(E757,'Court List'!$A:$C,2,0)</f>
        <v>#N/A</v>
      </c>
      <c r="H757" s="33"/>
      <c r="I757" s="33"/>
      <c r="J757" s="44" t="e">
        <f t="shared" si="27"/>
        <v>#N/A</v>
      </c>
      <c r="K757" s="36"/>
      <c r="L757" s="18">
        <f>SUM('Shuttle Count - Supreme (Nov 20'!C757:D757)</f>
        <v>0</v>
      </c>
      <c r="M757" s="18" t="e">
        <f>VLOOKUP(K757,'Shuttle Purchase'!A:C,3,0)</f>
        <v>#N/A</v>
      </c>
      <c r="N757" s="44" t="e">
        <f t="shared" si="37"/>
        <v>#N/A</v>
      </c>
      <c r="O757" s="24" t="e">
        <f>VLOOKUP(E757,'Court List'!$A:$C,3,0)</f>
        <v>#N/A</v>
      </c>
      <c r="P757" s="18">
        <f>COUNTIF('Pub List'!$C757:$T757,"&lt;&gt;")</f>
        <v>0</v>
      </c>
      <c r="Q757" s="20" t="e">
        <f t="shared" si="28"/>
        <v>#N/A</v>
      </c>
      <c r="R757" s="36"/>
      <c r="S757" s="18">
        <f>COUNTIF('Member List'!$C757:$J757,"&lt;&gt;")</f>
        <v>0</v>
      </c>
      <c r="T757" s="35"/>
      <c r="U757" s="24">
        <f t="shared" si="29"/>
        <v>0</v>
      </c>
      <c r="V757" s="18" t="e">
        <f t="shared" si="30"/>
        <v>#N/A</v>
      </c>
      <c r="W757" s="45" t="e">
        <f t="shared" si="31"/>
        <v>#N/A</v>
      </c>
      <c r="X757" s="20" t="e">
        <f t="shared" si="32"/>
        <v>#N/A</v>
      </c>
      <c r="Y757" s="46" t="e">
        <f t="shared" si="35"/>
        <v>#N/A</v>
      </c>
      <c r="Z757" s="39" t="e">
        <f t="shared" si="33"/>
        <v>#N/A</v>
      </c>
      <c r="AA757" s="39" t="e">
        <f t="shared" si="34"/>
        <v>#N/A</v>
      </c>
      <c r="AB757" s="39"/>
      <c r="AC757" s="48" t="e">
        <f t="shared" si="36"/>
        <v>#N/A</v>
      </c>
    </row>
    <row r="758" spans="1:29" ht="12.5" x14ac:dyDescent="0.25">
      <c r="A758" s="36"/>
      <c r="B758" s="33"/>
      <c r="C758" s="33"/>
      <c r="D758" s="33"/>
      <c r="E758" s="35"/>
      <c r="F758" s="21"/>
      <c r="G758" s="22" t="e">
        <f>VLOOKUP(E758,'Court List'!$A:$C,2,0)</f>
        <v>#N/A</v>
      </c>
      <c r="H758" s="33"/>
      <c r="I758" s="33"/>
      <c r="J758" s="44" t="e">
        <f t="shared" si="27"/>
        <v>#N/A</v>
      </c>
      <c r="K758" s="36"/>
      <c r="L758" s="18">
        <f>SUM('Shuttle Count - Supreme (Nov 20'!C758:D758)</f>
        <v>0</v>
      </c>
      <c r="M758" s="18" t="e">
        <f>VLOOKUP(K758,'Shuttle Purchase'!A:C,3,0)</f>
        <v>#N/A</v>
      </c>
      <c r="N758" s="44" t="e">
        <f t="shared" si="37"/>
        <v>#N/A</v>
      </c>
      <c r="O758" s="24" t="e">
        <f>VLOOKUP(E758,'Court List'!$A:$C,3,0)</f>
        <v>#N/A</v>
      </c>
      <c r="P758" s="18">
        <f>COUNTIF('Pub List'!$C758:$T758,"&lt;&gt;")</f>
        <v>0</v>
      </c>
      <c r="Q758" s="20" t="e">
        <f t="shared" si="28"/>
        <v>#N/A</v>
      </c>
      <c r="R758" s="36"/>
      <c r="S758" s="18">
        <f>COUNTIF('Member List'!$C758:$J758,"&lt;&gt;")</f>
        <v>0</v>
      </c>
      <c r="T758" s="35"/>
      <c r="U758" s="24">
        <f t="shared" si="29"/>
        <v>0</v>
      </c>
      <c r="V758" s="18" t="e">
        <f t="shared" si="30"/>
        <v>#N/A</v>
      </c>
      <c r="W758" s="45" t="e">
        <f t="shared" si="31"/>
        <v>#N/A</v>
      </c>
      <c r="X758" s="20" t="e">
        <f t="shared" si="32"/>
        <v>#N/A</v>
      </c>
      <c r="Y758" s="46" t="e">
        <f t="shared" si="35"/>
        <v>#N/A</v>
      </c>
      <c r="Z758" s="39" t="e">
        <f t="shared" si="33"/>
        <v>#N/A</v>
      </c>
      <c r="AA758" s="39" t="e">
        <f t="shared" si="34"/>
        <v>#N/A</v>
      </c>
      <c r="AB758" s="39"/>
      <c r="AC758" s="48" t="e">
        <f t="shared" si="36"/>
        <v>#N/A</v>
      </c>
    </row>
    <row r="759" spans="1:29" ht="12.5" x14ac:dyDescent="0.25">
      <c r="A759" s="36"/>
      <c r="B759" s="33"/>
      <c r="C759" s="33"/>
      <c r="D759" s="33"/>
      <c r="E759" s="35"/>
      <c r="F759" s="21"/>
      <c r="G759" s="22" t="e">
        <f>VLOOKUP(E759,'Court List'!$A:$C,2,0)</f>
        <v>#N/A</v>
      </c>
      <c r="H759" s="33"/>
      <c r="I759" s="33"/>
      <c r="J759" s="44" t="e">
        <f t="shared" si="27"/>
        <v>#N/A</v>
      </c>
      <c r="K759" s="36"/>
      <c r="L759" s="18">
        <f>SUM('Shuttle Count - Supreme (Nov 20'!C759:D759)</f>
        <v>0</v>
      </c>
      <c r="M759" s="18" t="e">
        <f>VLOOKUP(K759,'Shuttle Purchase'!A:C,3,0)</f>
        <v>#N/A</v>
      </c>
      <c r="N759" s="44" t="e">
        <f t="shared" si="37"/>
        <v>#N/A</v>
      </c>
      <c r="O759" s="24" t="e">
        <f>VLOOKUP(E759,'Court List'!$A:$C,3,0)</f>
        <v>#N/A</v>
      </c>
      <c r="P759" s="18">
        <f>COUNTIF('Pub List'!$C759:$T759,"&lt;&gt;")</f>
        <v>0</v>
      </c>
      <c r="Q759" s="20" t="e">
        <f t="shared" si="28"/>
        <v>#N/A</v>
      </c>
      <c r="R759" s="36"/>
      <c r="S759" s="18">
        <f>COUNTIF('Member List'!$C759:$J759,"&lt;&gt;")</f>
        <v>0</v>
      </c>
      <c r="T759" s="35"/>
      <c r="U759" s="24">
        <f t="shared" si="29"/>
        <v>0</v>
      </c>
      <c r="V759" s="18" t="e">
        <f t="shared" si="30"/>
        <v>#N/A</v>
      </c>
      <c r="W759" s="45" t="e">
        <f t="shared" si="31"/>
        <v>#N/A</v>
      </c>
      <c r="X759" s="20" t="e">
        <f t="shared" si="32"/>
        <v>#N/A</v>
      </c>
      <c r="Y759" s="46" t="e">
        <f t="shared" si="35"/>
        <v>#N/A</v>
      </c>
      <c r="Z759" s="39" t="e">
        <f t="shared" si="33"/>
        <v>#N/A</v>
      </c>
      <c r="AA759" s="39" t="e">
        <f t="shared" si="34"/>
        <v>#N/A</v>
      </c>
      <c r="AB759" s="39"/>
      <c r="AC759" s="48" t="e">
        <f t="shared" si="36"/>
        <v>#N/A</v>
      </c>
    </row>
    <row r="760" spans="1:29" ht="12.5" x14ac:dyDescent="0.25">
      <c r="A760" s="36"/>
      <c r="B760" s="33"/>
      <c r="C760" s="33"/>
      <c r="D760" s="33"/>
      <c r="E760" s="35"/>
      <c r="F760" s="21"/>
      <c r="G760" s="22" t="e">
        <f>VLOOKUP(E760,'Court List'!$A:$C,2,0)</f>
        <v>#N/A</v>
      </c>
      <c r="H760" s="33"/>
      <c r="I760" s="33"/>
      <c r="J760" s="44" t="e">
        <f t="shared" si="27"/>
        <v>#N/A</v>
      </c>
      <c r="K760" s="36"/>
      <c r="L760" s="18">
        <f>SUM('Shuttle Count - Supreme (Nov 20'!C760:D760)</f>
        <v>0</v>
      </c>
      <c r="M760" s="18" t="e">
        <f>VLOOKUP(K760,'Shuttle Purchase'!A:C,3,0)</f>
        <v>#N/A</v>
      </c>
      <c r="N760" s="44" t="e">
        <f t="shared" si="37"/>
        <v>#N/A</v>
      </c>
      <c r="O760" s="24" t="e">
        <f>VLOOKUP(E760,'Court List'!$A:$C,3,0)</f>
        <v>#N/A</v>
      </c>
      <c r="P760" s="18">
        <f>COUNTIF('Pub List'!$C760:$T760,"&lt;&gt;")</f>
        <v>0</v>
      </c>
      <c r="Q760" s="20" t="e">
        <f t="shared" si="28"/>
        <v>#N/A</v>
      </c>
      <c r="R760" s="36"/>
      <c r="S760" s="18">
        <f>COUNTIF('Member List'!$C760:$J760,"&lt;&gt;")</f>
        <v>0</v>
      </c>
      <c r="T760" s="35"/>
      <c r="U760" s="24">
        <f t="shared" si="29"/>
        <v>0</v>
      </c>
      <c r="V760" s="18" t="e">
        <f t="shared" si="30"/>
        <v>#N/A</v>
      </c>
      <c r="W760" s="45" t="e">
        <f t="shared" si="31"/>
        <v>#N/A</v>
      </c>
      <c r="X760" s="20" t="e">
        <f t="shared" si="32"/>
        <v>#N/A</v>
      </c>
      <c r="Y760" s="46" t="e">
        <f t="shared" si="35"/>
        <v>#N/A</v>
      </c>
      <c r="Z760" s="39" t="e">
        <f t="shared" si="33"/>
        <v>#N/A</v>
      </c>
      <c r="AA760" s="39" t="e">
        <f t="shared" si="34"/>
        <v>#N/A</v>
      </c>
      <c r="AB760" s="39"/>
      <c r="AC760" s="48" t="e">
        <f t="shared" si="36"/>
        <v>#N/A</v>
      </c>
    </row>
    <row r="761" spans="1:29" ht="12.5" x14ac:dyDescent="0.25">
      <c r="A761" s="36"/>
      <c r="B761" s="33"/>
      <c r="C761" s="33"/>
      <c r="D761" s="33"/>
      <c r="E761" s="35"/>
      <c r="F761" s="21"/>
      <c r="G761" s="22" t="e">
        <f>VLOOKUP(E761,'Court List'!$A:$C,2,0)</f>
        <v>#N/A</v>
      </c>
      <c r="H761" s="33"/>
      <c r="I761" s="33"/>
      <c r="J761" s="44" t="e">
        <f t="shared" si="27"/>
        <v>#N/A</v>
      </c>
      <c r="K761" s="36"/>
      <c r="L761" s="18">
        <f>SUM('Shuttle Count - Supreme (Nov 20'!C761:D761)</f>
        <v>0</v>
      </c>
      <c r="M761" s="18" t="e">
        <f>VLOOKUP(K761,'Shuttle Purchase'!A:C,3,0)</f>
        <v>#N/A</v>
      </c>
      <c r="N761" s="44" t="e">
        <f t="shared" si="37"/>
        <v>#N/A</v>
      </c>
      <c r="O761" s="24" t="e">
        <f>VLOOKUP(E761,'Court List'!$A:$C,3,0)</f>
        <v>#N/A</v>
      </c>
      <c r="P761" s="18">
        <f>COUNTIF('Pub List'!$C761:$T761,"&lt;&gt;")</f>
        <v>0</v>
      </c>
      <c r="Q761" s="20" t="e">
        <f t="shared" si="28"/>
        <v>#N/A</v>
      </c>
      <c r="R761" s="36"/>
      <c r="S761" s="18">
        <f>COUNTIF('Member List'!$C761:$J761,"&lt;&gt;")</f>
        <v>0</v>
      </c>
      <c r="T761" s="35"/>
      <c r="U761" s="24">
        <f t="shared" si="29"/>
        <v>0</v>
      </c>
      <c r="V761" s="18" t="e">
        <f t="shared" si="30"/>
        <v>#N/A</v>
      </c>
      <c r="W761" s="45" t="e">
        <f t="shared" si="31"/>
        <v>#N/A</v>
      </c>
      <c r="X761" s="20" t="e">
        <f t="shared" si="32"/>
        <v>#N/A</v>
      </c>
      <c r="Y761" s="46" t="e">
        <f t="shared" si="35"/>
        <v>#N/A</v>
      </c>
      <c r="Z761" s="39" t="e">
        <f t="shared" si="33"/>
        <v>#N/A</v>
      </c>
      <c r="AA761" s="39" t="e">
        <f t="shared" si="34"/>
        <v>#N/A</v>
      </c>
      <c r="AB761" s="39"/>
      <c r="AC761" s="48" t="e">
        <f t="shared" si="36"/>
        <v>#N/A</v>
      </c>
    </row>
    <row r="762" spans="1:29" ht="12.5" x14ac:dyDescent="0.25">
      <c r="A762" s="36"/>
      <c r="B762" s="33"/>
      <c r="C762" s="33"/>
      <c r="D762" s="33"/>
      <c r="E762" s="35"/>
      <c r="F762" s="21"/>
      <c r="G762" s="22" t="e">
        <f>VLOOKUP(E762,'Court List'!$A:$C,2,0)</f>
        <v>#N/A</v>
      </c>
      <c r="H762" s="33"/>
      <c r="I762" s="33"/>
      <c r="J762" s="44" t="e">
        <f t="shared" si="27"/>
        <v>#N/A</v>
      </c>
      <c r="K762" s="36"/>
      <c r="L762" s="18">
        <f>SUM('Shuttle Count - Supreme (Nov 20'!C762:D762)</f>
        <v>0</v>
      </c>
      <c r="M762" s="18" t="e">
        <f>VLOOKUP(K762,'Shuttle Purchase'!A:C,3,0)</f>
        <v>#N/A</v>
      </c>
      <c r="N762" s="44" t="e">
        <f t="shared" si="37"/>
        <v>#N/A</v>
      </c>
      <c r="O762" s="24" t="e">
        <f>VLOOKUP(E762,'Court List'!$A:$C,3,0)</f>
        <v>#N/A</v>
      </c>
      <c r="P762" s="18">
        <f>COUNTIF('Pub List'!$C762:$T762,"&lt;&gt;")</f>
        <v>0</v>
      </c>
      <c r="Q762" s="20" t="e">
        <f t="shared" si="28"/>
        <v>#N/A</v>
      </c>
      <c r="R762" s="36"/>
      <c r="S762" s="18">
        <f>COUNTIF('Member List'!$C762:$J762,"&lt;&gt;")</f>
        <v>0</v>
      </c>
      <c r="T762" s="35"/>
      <c r="U762" s="24">
        <f t="shared" si="29"/>
        <v>0</v>
      </c>
      <c r="V762" s="18" t="e">
        <f t="shared" si="30"/>
        <v>#N/A</v>
      </c>
      <c r="W762" s="45" t="e">
        <f t="shared" si="31"/>
        <v>#N/A</v>
      </c>
      <c r="X762" s="20" t="e">
        <f t="shared" si="32"/>
        <v>#N/A</v>
      </c>
      <c r="Y762" s="46" t="e">
        <f t="shared" si="35"/>
        <v>#N/A</v>
      </c>
      <c r="Z762" s="39" t="e">
        <f t="shared" si="33"/>
        <v>#N/A</v>
      </c>
      <c r="AA762" s="39" t="e">
        <f t="shared" si="34"/>
        <v>#N/A</v>
      </c>
      <c r="AB762" s="39"/>
      <c r="AC762" s="48" t="e">
        <f t="shared" si="36"/>
        <v>#N/A</v>
      </c>
    </row>
    <row r="763" spans="1:29" ht="12.5" x14ac:dyDescent="0.25">
      <c r="A763" s="36"/>
      <c r="B763" s="33"/>
      <c r="C763" s="33"/>
      <c r="D763" s="33"/>
      <c r="E763" s="35"/>
      <c r="F763" s="21"/>
      <c r="G763" s="22" t="e">
        <f>VLOOKUP(E763,'Court List'!$A:$C,2,0)</f>
        <v>#N/A</v>
      </c>
      <c r="H763" s="33"/>
      <c r="I763" s="33"/>
      <c r="J763" s="44" t="e">
        <f t="shared" si="27"/>
        <v>#N/A</v>
      </c>
      <c r="K763" s="36"/>
      <c r="L763" s="18">
        <f>SUM('Shuttle Count - Supreme (Nov 20'!C763:D763)</f>
        <v>0</v>
      </c>
      <c r="M763" s="18" t="e">
        <f>VLOOKUP(K763,'Shuttle Purchase'!A:C,3,0)</f>
        <v>#N/A</v>
      </c>
      <c r="N763" s="44" t="e">
        <f t="shared" si="37"/>
        <v>#N/A</v>
      </c>
      <c r="O763" s="24" t="e">
        <f>VLOOKUP(E763,'Court List'!$A:$C,3,0)</f>
        <v>#N/A</v>
      </c>
      <c r="P763" s="18">
        <f>COUNTIF('Pub List'!$C763:$T763,"&lt;&gt;")</f>
        <v>0</v>
      </c>
      <c r="Q763" s="20" t="e">
        <f t="shared" si="28"/>
        <v>#N/A</v>
      </c>
      <c r="R763" s="36"/>
      <c r="S763" s="18">
        <f>COUNTIF('Member List'!$C763:$J763,"&lt;&gt;")</f>
        <v>0</v>
      </c>
      <c r="T763" s="35"/>
      <c r="U763" s="24">
        <f t="shared" si="29"/>
        <v>0</v>
      </c>
      <c r="V763" s="18" t="e">
        <f t="shared" si="30"/>
        <v>#N/A</v>
      </c>
      <c r="W763" s="45" t="e">
        <f t="shared" si="31"/>
        <v>#N/A</v>
      </c>
      <c r="X763" s="20" t="e">
        <f t="shared" si="32"/>
        <v>#N/A</v>
      </c>
      <c r="Y763" s="46" t="e">
        <f t="shared" si="35"/>
        <v>#N/A</v>
      </c>
      <c r="Z763" s="39" t="e">
        <f t="shared" si="33"/>
        <v>#N/A</v>
      </c>
      <c r="AA763" s="39" t="e">
        <f t="shared" si="34"/>
        <v>#N/A</v>
      </c>
      <c r="AB763" s="39"/>
      <c r="AC763" s="48" t="e">
        <f t="shared" si="36"/>
        <v>#N/A</v>
      </c>
    </row>
    <row r="764" spans="1:29" ht="12.5" x14ac:dyDescent="0.25">
      <c r="A764" s="36"/>
      <c r="B764" s="33"/>
      <c r="C764" s="33"/>
      <c r="D764" s="33"/>
      <c r="E764" s="35"/>
      <c r="F764" s="21"/>
      <c r="G764" s="22" t="e">
        <f>VLOOKUP(E764,'Court List'!$A:$C,2,0)</f>
        <v>#N/A</v>
      </c>
      <c r="H764" s="33"/>
      <c r="I764" s="33"/>
      <c r="J764" s="44" t="e">
        <f t="shared" si="27"/>
        <v>#N/A</v>
      </c>
      <c r="K764" s="36"/>
      <c r="L764" s="18">
        <f>SUM('Shuttle Count - Supreme (Nov 20'!C764:D764)</f>
        <v>0</v>
      </c>
      <c r="M764" s="18" t="e">
        <f>VLOOKUP(K764,'Shuttle Purchase'!A:C,3,0)</f>
        <v>#N/A</v>
      </c>
      <c r="N764" s="44" t="e">
        <f t="shared" si="37"/>
        <v>#N/A</v>
      </c>
      <c r="O764" s="24" t="e">
        <f>VLOOKUP(E764,'Court List'!$A:$C,3,0)</f>
        <v>#N/A</v>
      </c>
      <c r="P764" s="18">
        <f>COUNTIF('Pub List'!$C764:$T764,"&lt;&gt;")</f>
        <v>0</v>
      </c>
      <c r="Q764" s="20" t="e">
        <f t="shared" si="28"/>
        <v>#N/A</v>
      </c>
      <c r="R764" s="36"/>
      <c r="S764" s="18">
        <f>COUNTIF('Member List'!$C764:$J764,"&lt;&gt;")</f>
        <v>0</v>
      </c>
      <c r="T764" s="35"/>
      <c r="U764" s="24">
        <f t="shared" si="29"/>
        <v>0</v>
      </c>
      <c r="V764" s="18" t="e">
        <f t="shared" si="30"/>
        <v>#N/A</v>
      </c>
      <c r="W764" s="45" t="e">
        <f t="shared" si="31"/>
        <v>#N/A</v>
      </c>
      <c r="X764" s="20" t="e">
        <f t="shared" si="32"/>
        <v>#N/A</v>
      </c>
      <c r="Y764" s="46" t="e">
        <f t="shared" si="35"/>
        <v>#N/A</v>
      </c>
      <c r="Z764" s="39" t="e">
        <f t="shared" si="33"/>
        <v>#N/A</v>
      </c>
      <c r="AA764" s="39" t="e">
        <f t="shared" si="34"/>
        <v>#N/A</v>
      </c>
      <c r="AB764" s="39"/>
      <c r="AC764" s="48" t="e">
        <f t="shared" si="36"/>
        <v>#N/A</v>
      </c>
    </row>
    <row r="765" spans="1:29" ht="12.5" x14ac:dyDescent="0.25">
      <c r="A765" s="36"/>
      <c r="B765" s="33"/>
      <c r="C765" s="33"/>
      <c r="D765" s="33"/>
      <c r="E765" s="35"/>
      <c r="F765" s="21"/>
      <c r="G765" s="22" t="e">
        <f>VLOOKUP(E765,'Court List'!$A:$C,2,0)</f>
        <v>#N/A</v>
      </c>
      <c r="H765" s="33"/>
      <c r="I765" s="33"/>
      <c r="J765" s="44" t="e">
        <f t="shared" si="27"/>
        <v>#N/A</v>
      </c>
      <c r="K765" s="36"/>
      <c r="L765" s="18">
        <f>SUM('Shuttle Count - Supreme (Nov 20'!C765:D765)</f>
        <v>0</v>
      </c>
      <c r="M765" s="18" t="e">
        <f>VLOOKUP(K765,'Shuttle Purchase'!A:C,3,0)</f>
        <v>#N/A</v>
      </c>
      <c r="N765" s="44" t="e">
        <f t="shared" si="37"/>
        <v>#N/A</v>
      </c>
      <c r="O765" s="24" t="e">
        <f>VLOOKUP(E765,'Court List'!$A:$C,3,0)</f>
        <v>#N/A</v>
      </c>
      <c r="P765" s="18">
        <f>COUNTIF('Pub List'!$C765:$T765,"&lt;&gt;")</f>
        <v>0</v>
      </c>
      <c r="Q765" s="20" t="e">
        <f t="shared" si="28"/>
        <v>#N/A</v>
      </c>
      <c r="R765" s="36"/>
      <c r="S765" s="18">
        <f>COUNTIF('Member List'!$C765:$J765,"&lt;&gt;")</f>
        <v>0</v>
      </c>
      <c r="T765" s="35"/>
      <c r="U765" s="24">
        <f t="shared" si="29"/>
        <v>0</v>
      </c>
      <c r="V765" s="18" t="e">
        <f t="shared" si="30"/>
        <v>#N/A</v>
      </c>
      <c r="W765" s="45" t="e">
        <f t="shared" si="31"/>
        <v>#N/A</v>
      </c>
      <c r="X765" s="20" t="e">
        <f t="shared" si="32"/>
        <v>#N/A</v>
      </c>
      <c r="Y765" s="46" t="e">
        <f t="shared" si="35"/>
        <v>#N/A</v>
      </c>
      <c r="Z765" s="39" t="e">
        <f t="shared" si="33"/>
        <v>#N/A</v>
      </c>
      <c r="AA765" s="39" t="e">
        <f t="shared" si="34"/>
        <v>#N/A</v>
      </c>
      <c r="AB765" s="39"/>
      <c r="AC765" s="48" t="e">
        <f t="shared" si="36"/>
        <v>#N/A</v>
      </c>
    </row>
    <row r="766" spans="1:29" ht="12.5" x14ac:dyDescent="0.25">
      <c r="A766" s="36"/>
      <c r="B766" s="33"/>
      <c r="C766" s="33"/>
      <c r="D766" s="33"/>
      <c r="E766" s="35"/>
      <c r="F766" s="21"/>
      <c r="G766" s="22" t="e">
        <f>VLOOKUP(E766,'Court List'!$A:$C,2,0)</f>
        <v>#N/A</v>
      </c>
      <c r="H766" s="33"/>
      <c r="I766" s="33"/>
      <c r="J766" s="44" t="e">
        <f t="shared" si="27"/>
        <v>#N/A</v>
      </c>
      <c r="K766" s="36"/>
      <c r="L766" s="18">
        <f>SUM('Shuttle Count - Supreme (Nov 20'!C766:D766)</f>
        <v>0</v>
      </c>
      <c r="M766" s="18" t="e">
        <f>VLOOKUP(K766,'Shuttle Purchase'!A:C,3,0)</f>
        <v>#N/A</v>
      </c>
      <c r="N766" s="44" t="e">
        <f t="shared" si="37"/>
        <v>#N/A</v>
      </c>
      <c r="O766" s="24" t="e">
        <f>VLOOKUP(E766,'Court List'!$A:$C,3,0)</f>
        <v>#N/A</v>
      </c>
      <c r="P766" s="18">
        <f>COUNTIF('Pub List'!$C766:$T766,"&lt;&gt;")</f>
        <v>0</v>
      </c>
      <c r="Q766" s="20" t="e">
        <f t="shared" si="28"/>
        <v>#N/A</v>
      </c>
      <c r="R766" s="36"/>
      <c r="S766" s="18">
        <f>COUNTIF('Member List'!$C766:$J766,"&lt;&gt;")</f>
        <v>0</v>
      </c>
      <c r="T766" s="35"/>
      <c r="U766" s="24">
        <f t="shared" si="29"/>
        <v>0</v>
      </c>
      <c r="V766" s="18" t="e">
        <f t="shared" si="30"/>
        <v>#N/A</v>
      </c>
      <c r="W766" s="45" t="e">
        <f t="shared" si="31"/>
        <v>#N/A</v>
      </c>
      <c r="X766" s="20" t="e">
        <f t="shared" si="32"/>
        <v>#N/A</v>
      </c>
      <c r="Y766" s="46" t="e">
        <f t="shared" si="35"/>
        <v>#N/A</v>
      </c>
      <c r="Z766" s="39" t="e">
        <f t="shared" si="33"/>
        <v>#N/A</v>
      </c>
      <c r="AA766" s="39" t="e">
        <f t="shared" si="34"/>
        <v>#N/A</v>
      </c>
      <c r="AB766" s="39"/>
      <c r="AC766" s="48" t="e">
        <f t="shared" si="36"/>
        <v>#N/A</v>
      </c>
    </row>
    <row r="767" spans="1:29" ht="12.5" x14ac:dyDescent="0.25">
      <c r="A767" s="36"/>
      <c r="B767" s="33"/>
      <c r="C767" s="33"/>
      <c r="D767" s="33"/>
      <c r="E767" s="35"/>
      <c r="F767" s="21"/>
      <c r="G767" s="22" t="e">
        <f>VLOOKUP(E767,'Court List'!$A:$C,2,0)</f>
        <v>#N/A</v>
      </c>
      <c r="H767" s="33"/>
      <c r="I767" s="33"/>
      <c r="J767" s="44" t="e">
        <f t="shared" si="27"/>
        <v>#N/A</v>
      </c>
      <c r="K767" s="36"/>
      <c r="L767" s="18">
        <f>SUM('Shuttle Count - Supreme (Nov 20'!C767:D767)</f>
        <v>0</v>
      </c>
      <c r="M767" s="18" t="e">
        <f>VLOOKUP(K767,'Shuttle Purchase'!A:C,3,0)</f>
        <v>#N/A</v>
      </c>
      <c r="N767" s="44" t="e">
        <f t="shared" si="37"/>
        <v>#N/A</v>
      </c>
      <c r="O767" s="24" t="e">
        <f>VLOOKUP(E767,'Court List'!$A:$C,3,0)</f>
        <v>#N/A</v>
      </c>
      <c r="P767" s="18">
        <f>COUNTIF('Pub List'!$C767:$T767,"&lt;&gt;")</f>
        <v>0</v>
      </c>
      <c r="Q767" s="20" t="e">
        <f t="shared" si="28"/>
        <v>#N/A</v>
      </c>
      <c r="R767" s="36"/>
      <c r="S767" s="18">
        <f>COUNTIF('Member List'!$C767:$J767,"&lt;&gt;")</f>
        <v>0</v>
      </c>
      <c r="T767" s="35"/>
      <c r="U767" s="24">
        <f t="shared" si="29"/>
        <v>0</v>
      </c>
      <c r="V767" s="18" t="e">
        <f t="shared" si="30"/>
        <v>#N/A</v>
      </c>
      <c r="W767" s="45" t="e">
        <f t="shared" si="31"/>
        <v>#N/A</v>
      </c>
      <c r="X767" s="20" t="e">
        <f t="shared" si="32"/>
        <v>#N/A</v>
      </c>
      <c r="Y767" s="46" t="e">
        <f t="shared" si="35"/>
        <v>#N/A</v>
      </c>
      <c r="Z767" s="39" t="e">
        <f t="shared" si="33"/>
        <v>#N/A</v>
      </c>
      <c r="AA767" s="39" t="e">
        <f t="shared" si="34"/>
        <v>#N/A</v>
      </c>
      <c r="AB767" s="39"/>
      <c r="AC767" s="48" t="e">
        <f t="shared" si="36"/>
        <v>#N/A</v>
      </c>
    </row>
    <row r="768" spans="1:29" ht="12.5" x14ac:dyDescent="0.25">
      <c r="A768" s="36"/>
      <c r="B768" s="33"/>
      <c r="C768" s="33"/>
      <c r="D768" s="33"/>
      <c r="E768" s="35"/>
      <c r="F768" s="21"/>
      <c r="G768" s="22" t="e">
        <f>VLOOKUP(E768,'Court List'!$A:$C,2,0)</f>
        <v>#N/A</v>
      </c>
      <c r="H768" s="33"/>
      <c r="I768" s="33"/>
      <c r="J768" s="44" t="e">
        <f t="shared" si="27"/>
        <v>#N/A</v>
      </c>
      <c r="K768" s="36"/>
      <c r="L768" s="18">
        <f>SUM('Shuttle Count - Supreme (Nov 20'!C768:D768)</f>
        <v>0</v>
      </c>
      <c r="M768" s="18" t="e">
        <f>VLOOKUP(K768,'Shuttle Purchase'!A:C,3,0)</f>
        <v>#N/A</v>
      </c>
      <c r="N768" s="44" t="e">
        <f t="shared" si="37"/>
        <v>#N/A</v>
      </c>
      <c r="O768" s="24" t="e">
        <f>VLOOKUP(E768,'Court List'!$A:$C,3,0)</f>
        <v>#N/A</v>
      </c>
      <c r="P768" s="18">
        <f>COUNTIF('Pub List'!$C768:$T768,"&lt;&gt;")</f>
        <v>0</v>
      </c>
      <c r="Q768" s="20" t="e">
        <f t="shared" si="28"/>
        <v>#N/A</v>
      </c>
      <c r="R768" s="36"/>
      <c r="S768" s="18">
        <f>COUNTIF('Member List'!$C768:$J768,"&lt;&gt;")</f>
        <v>0</v>
      </c>
      <c r="T768" s="35"/>
      <c r="U768" s="24">
        <f t="shared" si="29"/>
        <v>0</v>
      </c>
      <c r="V768" s="18" t="e">
        <f t="shared" si="30"/>
        <v>#N/A</v>
      </c>
      <c r="W768" s="45" t="e">
        <f t="shared" si="31"/>
        <v>#N/A</v>
      </c>
      <c r="X768" s="20" t="e">
        <f t="shared" si="32"/>
        <v>#N/A</v>
      </c>
      <c r="Y768" s="46" t="e">
        <f t="shared" si="35"/>
        <v>#N/A</v>
      </c>
      <c r="Z768" s="39" t="e">
        <f t="shared" si="33"/>
        <v>#N/A</v>
      </c>
      <c r="AA768" s="39" t="e">
        <f t="shared" si="34"/>
        <v>#N/A</v>
      </c>
      <c r="AB768" s="39"/>
      <c r="AC768" s="48" t="e">
        <f t="shared" si="36"/>
        <v>#N/A</v>
      </c>
    </row>
    <row r="769" spans="1:29" ht="12.5" x14ac:dyDescent="0.25">
      <c r="A769" s="36"/>
      <c r="B769" s="33"/>
      <c r="C769" s="33"/>
      <c r="D769" s="33"/>
      <c r="E769" s="35"/>
      <c r="F769" s="21"/>
      <c r="G769" s="22" t="e">
        <f>VLOOKUP(E769,'Court List'!$A:$C,2,0)</f>
        <v>#N/A</v>
      </c>
      <c r="H769" s="33"/>
      <c r="I769" s="33"/>
      <c r="J769" s="44" t="e">
        <f t="shared" si="27"/>
        <v>#N/A</v>
      </c>
      <c r="K769" s="36"/>
      <c r="L769" s="18">
        <f>SUM('Shuttle Count - Supreme (Nov 20'!C769:D769)</f>
        <v>0</v>
      </c>
      <c r="M769" s="18" t="e">
        <f>VLOOKUP(K769,'Shuttle Purchase'!A:C,3,0)</f>
        <v>#N/A</v>
      </c>
      <c r="N769" s="44" t="e">
        <f t="shared" si="37"/>
        <v>#N/A</v>
      </c>
      <c r="O769" s="24" t="e">
        <f>VLOOKUP(E769,'Court List'!$A:$C,3,0)</f>
        <v>#N/A</v>
      </c>
      <c r="P769" s="18">
        <f>COUNTIF('Pub List'!$C769:$T769,"&lt;&gt;")</f>
        <v>0</v>
      </c>
      <c r="Q769" s="20" t="e">
        <f t="shared" si="28"/>
        <v>#N/A</v>
      </c>
      <c r="R769" s="36"/>
      <c r="S769" s="18">
        <f>COUNTIF('Member List'!$C769:$J769,"&lt;&gt;")</f>
        <v>0</v>
      </c>
      <c r="T769" s="35"/>
      <c r="U769" s="24">
        <f t="shared" si="29"/>
        <v>0</v>
      </c>
      <c r="V769" s="18" t="e">
        <f t="shared" si="30"/>
        <v>#N/A</v>
      </c>
      <c r="W769" s="45" t="e">
        <f t="shared" si="31"/>
        <v>#N/A</v>
      </c>
      <c r="X769" s="20" t="e">
        <f t="shared" si="32"/>
        <v>#N/A</v>
      </c>
      <c r="Y769" s="46" t="e">
        <f t="shared" si="35"/>
        <v>#N/A</v>
      </c>
      <c r="Z769" s="39" t="e">
        <f t="shared" si="33"/>
        <v>#N/A</v>
      </c>
      <c r="AA769" s="39" t="e">
        <f t="shared" si="34"/>
        <v>#N/A</v>
      </c>
      <c r="AB769" s="39"/>
      <c r="AC769" s="48" t="e">
        <f t="shared" si="36"/>
        <v>#N/A</v>
      </c>
    </row>
    <row r="770" spans="1:29" ht="12.5" x14ac:dyDescent="0.25">
      <c r="A770" s="36"/>
      <c r="B770" s="33"/>
      <c r="C770" s="33"/>
      <c r="D770" s="33"/>
      <c r="E770" s="35"/>
      <c r="F770" s="21"/>
      <c r="G770" s="22" t="e">
        <f>VLOOKUP(E770,'Court List'!$A:$C,2,0)</f>
        <v>#N/A</v>
      </c>
      <c r="H770" s="33"/>
      <c r="I770" s="33"/>
      <c r="J770" s="44" t="e">
        <f t="shared" si="27"/>
        <v>#N/A</v>
      </c>
      <c r="K770" s="36"/>
      <c r="L770" s="18">
        <f>SUM('Shuttle Count - Supreme (Nov 20'!C770:D770)</f>
        <v>0</v>
      </c>
      <c r="M770" s="18" t="e">
        <f>VLOOKUP(K770,'Shuttle Purchase'!A:C,3,0)</f>
        <v>#N/A</v>
      </c>
      <c r="N770" s="44" t="e">
        <f t="shared" si="37"/>
        <v>#N/A</v>
      </c>
      <c r="O770" s="24" t="e">
        <f>VLOOKUP(E770,'Court List'!$A:$C,3,0)</f>
        <v>#N/A</v>
      </c>
      <c r="P770" s="18">
        <f>COUNTIF('Pub List'!$C770:$T770,"&lt;&gt;")</f>
        <v>0</v>
      </c>
      <c r="Q770" s="20" t="e">
        <f t="shared" si="28"/>
        <v>#N/A</v>
      </c>
      <c r="R770" s="36"/>
      <c r="S770" s="18">
        <f>COUNTIF('Member List'!$C770:$J770,"&lt;&gt;")</f>
        <v>0</v>
      </c>
      <c r="T770" s="35"/>
      <c r="U770" s="24">
        <f t="shared" si="29"/>
        <v>0</v>
      </c>
      <c r="V770" s="18" t="e">
        <f t="shared" si="30"/>
        <v>#N/A</v>
      </c>
      <c r="W770" s="45" t="e">
        <f t="shared" si="31"/>
        <v>#N/A</v>
      </c>
      <c r="X770" s="20" t="e">
        <f t="shared" si="32"/>
        <v>#N/A</v>
      </c>
      <c r="Y770" s="46" t="e">
        <f t="shared" si="35"/>
        <v>#N/A</v>
      </c>
      <c r="Z770" s="39" t="e">
        <f t="shared" si="33"/>
        <v>#N/A</v>
      </c>
      <c r="AA770" s="39" t="e">
        <f t="shared" si="34"/>
        <v>#N/A</v>
      </c>
      <c r="AB770" s="39"/>
      <c r="AC770" s="48" t="e">
        <f t="shared" si="36"/>
        <v>#N/A</v>
      </c>
    </row>
    <row r="771" spans="1:29" ht="12.5" x14ac:dyDescent="0.25">
      <c r="A771" s="36"/>
      <c r="B771" s="33"/>
      <c r="C771" s="33"/>
      <c r="D771" s="33"/>
      <c r="E771" s="35"/>
      <c r="F771" s="21"/>
      <c r="G771" s="22" t="e">
        <f>VLOOKUP(E771,'Court List'!$A:$C,2,0)</f>
        <v>#N/A</v>
      </c>
      <c r="H771" s="33"/>
      <c r="I771" s="33"/>
      <c r="J771" s="44" t="e">
        <f t="shared" ref="J771:J991" si="38">G771*(H771*I771)</f>
        <v>#N/A</v>
      </c>
      <c r="K771" s="36"/>
      <c r="L771" s="18">
        <f>SUM('Shuttle Count - Supreme (Nov 20'!C771:D771)</f>
        <v>0</v>
      </c>
      <c r="M771" s="18" t="e">
        <f>VLOOKUP(K771,'Shuttle Purchase'!A:C,3,0)</f>
        <v>#N/A</v>
      </c>
      <c r="N771" s="44" t="e">
        <f t="shared" si="37"/>
        <v>#N/A</v>
      </c>
      <c r="O771" s="24" t="e">
        <f>VLOOKUP(E771,'Court List'!$A:$C,3,0)</f>
        <v>#N/A</v>
      </c>
      <c r="P771" s="18">
        <f>COUNTIF('Pub List'!$C771:$T771,"&lt;&gt;")</f>
        <v>0</v>
      </c>
      <c r="Q771" s="20" t="e">
        <f t="shared" ref="Q771:Q991" si="39">O771*P771</f>
        <v>#N/A</v>
      </c>
      <c r="R771" s="36"/>
      <c r="S771" s="18">
        <f>COUNTIF('Member List'!$C771:$J771,"&lt;&gt;")</f>
        <v>0</v>
      </c>
      <c r="T771" s="35"/>
      <c r="U771" s="24">
        <f t="shared" ref="U771:U991" si="40">P771+S771</f>
        <v>0</v>
      </c>
      <c r="V771" s="18" t="e">
        <f t="shared" ref="V771:V991" si="41">Q771</f>
        <v>#N/A</v>
      </c>
      <c r="W771" s="45" t="e">
        <f t="shared" ref="W771:W991" si="42">J771+N771</f>
        <v>#N/A</v>
      </c>
      <c r="X771" s="20" t="e">
        <f t="shared" ref="X771:X991" si="43">V771-W771</f>
        <v>#N/A</v>
      </c>
      <c r="Y771" s="46" t="e">
        <f t="shared" si="35"/>
        <v>#N/A</v>
      </c>
      <c r="Z771" s="39" t="e">
        <f t="shared" ref="Z771:Z991" si="44">V771</f>
        <v>#N/A</v>
      </c>
      <c r="AA771" s="39" t="e">
        <f t="shared" ref="AA771:AA991" si="45">-J771</f>
        <v>#N/A</v>
      </c>
      <c r="AB771" s="39"/>
      <c r="AC771" s="48" t="e">
        <f t="shared" si="36"/>
        <v>#N/A</v>
      </c>
    </row>
    <row r="772" spans="1:29" ht="12.5" x14ac:dyDescent="0.25">
      <c r="A772" s="36"/>
      <c r="B772" s="33"/>
      <c r="C772" s="33"/>
      <c r="D772" s="33"/>
      <c r="E772" s="35"/>
      <c r="F772" s="21"/>
      <c r="G772" s="22" t="e">
        <f>VLOOKUP(E772,'Court List'!$A:$C,2,0)</f>
        <v>#N/A</v>
      </c>
      <c r="H772" s="33"/>
      <c r="I772" s="33"/>
      <c r="J772" s="44" t="e">
        <f t="shared" si="38"/>
        <v>#N/A</v>
      </c>
      <c r="K772" s="36"/>
      <c r="L772" s="18">
        <f>SUM('Shuttle Count - Supreme (Nov 20'!C772:D772)</f>
        <v>0</v>
      </c>
      <c r="M772" s="18" t="e">
        <f>VLOOKUP(K772,'Shuttle Purchase'!A:C,3,0)</f>
        <v>#N/A</v>
      </c>
      <c r="N772" s="44" t="e">
        <f t="shared" si="37"/>
        <v>#N/A</v>
      </c>
      <c r="O772" s="24" t="e">
        <f>VLOOKUP(E772,'Court List'!$A:$C,3,0)</f>
        <v>#N/A</v>
      </c>
      <c r="P772" s="18">
        <f>COUNTIF('Pub List'!$C772:$T772,"&lt;&gt;")</f>
        <v>0</v>
      </c>
      <c r="Q772" s="20" t="e">
        <f t="shared" si="39"/>
        <v>#N/A</v>
      </c>
      <c r="R772" s="36"/>
      <c r="S772" s="18">
        <f>COUNTIF('Member List'!$C772:$J772,"&lt;&gt;")</f>
        <v>0</v>
      </c>
      <c r="T772" s="35"/>
      <c r="U772" s="24">
        <f t="shared" si="40"/>
        <v>0</v>
      </c>
      <c r="V772" s="18" t="e">
        <f t="shared" si="41"/>
        <v>#N/A</v>
      </c>
      <c r="W772" s="45" t="e">
        <f t="shared" si="42"/>
        <v>#N/A</v>
      </c>
      <c r="X772" s="20" t="e">
        <f t="shared" si="43"/>
        <v>#N/A</v>
      </c>
      <c r="Y772" s="46" t="e">
        <f t="shared" ref="Y772:Y991" si="46">Y771+X772</f>
        <v>#N/A</v>
      </c>
      <c r="Z772" s="39" t="e">
        <f t="shared" si="44"/>
        <v>#N/A</v>
      </c>
      <c r="AA772" s="39" t="e">
        <f t="shared" si="45"/>
        <v>#N/A</v>
      </c>
      <c r="AB772" s="39"/>
      <c r="AC772" s="48" t="e">
        <f t="shared" ref="AC772:AC991" si="47">AC771+Z772+AA772+AB772</f>
        <v>#N/A</v>
      </c>
    </row>
    <row r="773" spans="1:29" ht="12.5" x14ac:dyDescent="0.25">
      <c r="A773" s="36"/>
      <c r="B773" s="33"/>
      <c r="C773" s="33"/>
      <c r="D773" s="33"/>
      <c r="E773" s="35"/>
      <c r="F773" s="21"/>
      <c r="G773" s="22" t="e">
        <f>VLOOKUP(E773,'Court List'!$A:$C,2,0)</f>
        <v>#N/A</v>
      </c>
      <c r="H773" s="33"/>
      <c r="I773" s="33"/>
      <c r="J773" s="44" t="e">
        <f t="shared" si="38"/>
        <v>#N/A</v>
      </c>
      <c r="K773" s="36"/>
      <c r="L773" s="18">
        <f>SUM('Shuttle Count - Supreme (Nov 20'!C773:D773)</f>
        <v>0</v>
      </c>
      <c r="M773" s="18" t="e">
        <f>VLOOKUP(K773,'Shuttle Purchase'!A:C,3,0)</f>
        <v>#N/A</v>
      </c>
      <c r="N773" s="44" t="e">
        <f t="shared" si="37"/>
        <v>#N/A</v>
      </c>
      <c r="O773" s="24" t="e">
        <f>VLOOKUP(E773,'Court List'!$A:$C,3,0)</f>
        <v>#N/A</v>
      </c>
      <c r="P773" s="18">
        <f>COUNTIF('Pub List'!$C773:$T773,"&lt;&gt;")</f>
        <v>0</v>
      </c>
      <c r="Q773" s="20" t="e">
        <f t="shared" si="39"/>
        <v>#N/A</v>
      </c>
      <c r="R773" s="36"/>
      <c r="S773" s="18">
        <f>COUNTIF('Member List'!$C773:$J773,"&lt;&gt;")</f>
        <v>0</v>
      </c>
      <c r="T773" s="35"/>
      <c r="U773" s="24">
        <f t="shared" si="40"/>
        <v>0</v>
      </c>
      <c r="V773" s="18" t="e">
        <f t="shared" si="41"/>
        <v>#N/A</v>
      </c>
      <c r="W773" s="45" t="e">
        <f t="shared" si="42"/>
        <v>#N/A</v>
      </c>
      <c r="X773" s="20" t="e">
        <f t="shared" si="43"/>
        <v>#N/A</v>
      </c>
      <c r="Y773" s="46" t="e">
        <f t="shared" si="46"/>
        <v>#N/A</v>
      </c>
      <c r="Z773" s="39" t="e">
        <f t="shared" si="44"/>
        <v>#N/A</v>
      </c>
      <c r="AA773" s="39" t="e">
        <f t="shared" si="45"/>
        <v>#N/A</v>
      </c>
      <c r="AB773" s="39"/>
      <c r="AC773" s="48" t="e">
        <f t="shared" si="47"/>
        <v>#N/A</v>
      </c>
    </row>
    <row r="774" spans="1:29" ht="12.5" x14ac:dyDescent="0.25">
      <c r="A774" s="36"/>
      <c r="B774" s="33"/>
      <c r="C774" s="33"/>
      <c r="D774" s="33"/>
      <c r="E774" s="35"/>
      <c r="F774" s="21"/>
      <c r="G774" s="22" t="e">
        <f>VLOOKUP(E774,'Court List'!$A:$C,2,0)</f>
        <v>#N/A</v>
      </c>
      <c r="H774" s="33"/>
      <c r="I774" s="33"/>
      <c r="J774" s="44" t="e">
        <f t="shared" si="38"/>
        <v>#N/A</v>
      </c>
      <c r="K774" s="36"/>
      <c r="L774" s="18">
        <f>SUM('Shuttle Count - Supreme (Nov 20'!C774:D774)</f>
        <v>0</v>
      </c>
      <c r="M774" s="18" t="e">
        <f>VLOOKUP(K774,'Shuttle Purchase'!A:C,3,0)</f>
        <v>#N/A</v>
      </c>
      <c r="N774" s="44" t="e">
        <f t="shared" si="37"/>
        <v>#N/A</v>
      </c>
      <c r="O774" s="24" t="e">
        <f>VLOOKUP(E774,'Court List'!$A:$C,3,0)</f>
        <v>#N/A</v>
      </c>
      <c r="P774" s="18">
        <f>COUNTIF('Pub List'!$C774:$T774,"&lt;&gt;")</f>
        <v>0</v>
      </c>
      <c r="Q774" s="20" t="e">
        <f t="shared" si="39"/>
        <v>#N/A</v>
      </c>
      <c r="R774" s="36"/>
      <c r="S774" s="18">
        <f>COUNTIF('Member List'!$C774:$J774,"&lt;&gt;")</f>
        <v>0</v>
      </c>
      <c r="T774" s="35"/>
      <c r="U774" s="24">
        <f t="shared" si="40"/>
        <v>0</v>
      </c>
      <c r="V774" s="18" t="e">
        <f t="shared" si="41"/>
        <v>#N/A</v>
      </c>
      <c r="W774" s="45" t="e">
        <f t="shared" si="42"/>
        <v>#N/A</v>
      </c>
      <c r="X774" s="20" t="e">
        <f t="shared" si="43"/>
        <v>#N/A</v>
      </c>
      <c r="Y774" s="46" t="e">
        <f t="shared" si="46"/>
        <v>#N/A</v>
      </c>
      <c r="Z774" s="39" t="e">
        <f t="shared" si="44"/>
        <v>#N/A</v>
      </c>
      <c r="AA774" s="39" t="e">
        <f t="shared" si="45"/>
        <v>#N/A</v>
      </c>
      <c r="AB774" s="39"/>
      <c r="AC774" s="48" t="e">
        <f t="shared" si="47"/>
        <v>#N/A</v>
      </c>
    </row>
    <row r="775" spans="1:29" ht="12.5" x14ac:dyDescent="0.25">
      <c r="A775" s="36"/>
      <c r="B775" s="33"/>
      <c r="C775" s="33"/>
      <c r="D775" s="33"/>
      <c r="E775" s="35"/>
      <c r="F775" s="21"/>
      <c r="G775" s="22" t="e">
        <f>VLOOKUP(E775,'Court List'!$A:$C,2,0)</f>
        <v>#N/A</v>
      </c>
      <c r="H775" s="33"/>
      <c r="I775" s="33"/>
      <c r="J775" s="44" t="e">
        <f t="shared" si="38"/>
        <v>#N/A</v>
      </c>
      <c r="K775" s="36"/>
      <c r="L775" s="18">
        <f>SUM('Shuttle Count - Supreme (Nov 20'!C775:D775)</f>
        <v>0</v>
      </c>
      <c r="M775" s="18" t="e">
        <f>VLOOKUP(K775,'Shuttle Purchase'!A:C,3,0)</f>
        <v>#N/A</v>
      </c>
      <c r="N775" s="44" t="e">
        <f t="shared" si="37"/>
        <v>#N/A</v>
      </c>
      <c r="O775" s="24" t="e">
        <f>VLOOKUP(E775,'Court List'!$A:$C,3,0)</f>
        <v>#N/A</v>
      </c>
      <c r="P775" s="18">
        <f>COUNTIF('Pub List'!$C775:$T775,"&lt;&gt;")</f>
        <v>0</v>
      </c>
      <c r="Q775" s="20" t="e">
        <f t="shared" si="39"/>
        <v>#N/A</v>
      </c>
      <c r="R775" s="36"/>
      <c r="S775" s="18">
        <f>COUNTIF('Member List'!$C775:$J775,"&lt;&gt;")</f>
        <v>0</v>
      </c>
      <c r="T775" s="35"/>
      <c r="U775" s="24">
        <f t="shared" si="40"/>
        <v>0</v>
      </c>
      <c r="V775" s="18" t="e">
        <f t="shared" si="41"/>
        <v>#N/A</v>
      </c>
      <c r="W775" s="45" t="e">
        <f t="shared" si="42"/>
        <v>#N/A</v>
      </c>
      <c r="X775" s="20" t="e">
        <f t="shared" si="43"/>
        <v>#N/A</v>
      </c>
      <c r="Y775" s="46" t="e">
        <f t="shared" si="46"/>
        <v>#N/A</v>
      </c>
      <c r="Z775" s="39" t="e">
        <f t="shared" si="44"/>
        <v>#N/A</v>
      </c>
      <c r="AA775" s="39" t="e">
        <f t="shared" si="45"/>
        <v>#N/A</v>
      </c>
      <c r="AB775" s="39"/>
      <c r="AC775" s="48" t="e">
        <f t="shared" si="47"/>
        <v>#N/A</v>
      </c>
    </row>
    <row r="776" spans="1:29" ht="12.5" x14ac:dyDescent="0.25">
      <c r="A776" s="36"/>
      <c r="B776" s="33"/>
      <c r="C776" s="33"/>
      <c r="D776" s="33"/>
      <c r="E776" s="35"/>
      <c r="F776" s="21"/>
      <c r="G776" s="22" t="e">
        <f>VLOOKUP(E776,'Court List'!$A:$C,2,0)</f>
        <v>#N/A</v>
      </c>
      <c r="H776" s="33"/>
      <c r="I776" s="33"/>
      <c r="J776" s="44" t="e">
        <f t="shared" si="38"/>
        <v>#N/A</v>
      </c>
      <c r="K776" s="36"/>
      <c r="L776" s="18">
        <f>SUM('Shuttle Count - Supreme (Nov 20'!C776:D776)</f>
        <v>0</v>
      </c>
      <c r="M776" s="18" t="e">
        <f>VLOOKUP(K776,'Shuttle Purchase'!A:C,3,0)</f>
        <v>#N/A</v>
      </c>
      <c r="N776" s="44" t="e">
        <f t="shared" si="37"/>
        <v>#N/A</v>
      </c>
      <c r="O776" s="24" t="e">
        <f>VLOOKUP(E776,'Court List'!$A:$C,3,0)</f>
        <v>#N/A</v>
      </c>
      <c r="P776" s="18">
        <f>COUNTIF('Pub List'!$C776:$T776,"&lt;&gt;")</f>
        <v>0</v>
      </c>
      <c r="Q776" s="20" t="e">
        <f t="shared" si="39"/>
        <v>#N/A</v>
      </c>
      <c r="R776" s="36"/>
      <c r="S776" s="18">
        <f>COUNTIF('Member List'!$C776:$J776,"&lt;&gt;")</f>
        <v>0</v>
      </c>
      <c r="T776" s="35"/>
      <c r="U776" s="24">
        <f t="shared" si="40"/>
        <v>0</v>
      </c>
      <c r="V776" s="18" t="e">
        <f t="shared" si="41"/>
        <v>#N/A</v>
      </c>
      <c r="W776" s="45" t="e">
        <f t="shared" si="42"/>
        <v>#N/A</v>
      </c>
      <c r="X776" s="20" t="e">
        <f t="shared" si="43"/>
        <v>#N/A</v>
      </c>
      <c r="Y776" s="46" t="e">
        <f t="shared" si="46"/>
        <v>#N/A</v>
      </c>
      <c r="Z776" s="39" t="e">
        <f t="shared" si="44"/>
        <v>#N/A</v>
      </c>
      <c r="AA776" s="39" t="e">
        <f t="shared" si="45"/>
        <v>#N/A</v>
      </c>
      <c r="AB776" s="39"/>
      <c r="AC776" s="48" t="e">
        <f t="shared" si="47"/>
        <v>#N/A</v>
      </c>
    </row>
    <row r="777" spans="1:29" ht="12.5" x14ac:dyDescent="0.25">
      <c r="A777" s="36"/>
      <c r="B777" s="33"/>
      <c r="C777" s="33"/>
      <c r="D777" s="33"/>
      <c r="E777" s="35"/>
      <c r="F777" s="21"/>
      <c r="G777" s="22" t="e">
        <f>VLOOKUP(E777,'Court List'!$A:$C,2,0)</f>
        <v>#N/A</v>
      </c>
      <c r="H777" s="33"/>
      <c r="I777" s="33"/>
      <c r="J777" s="44" t="e">
        <f t="shared" si="38"/>
        <v>#N/A</v>
      </c>
      <c r="K777" s="36"/>
      <c r="L777" s="18">
        <f>SUM('Shuttle Count - Supreme (Nov 20'!C777:D777)</f>
        <v>0</v>
      </c>
      <c r="M777" s="18" t="e">
        <f>VLOOKUP(K777,'Shuttle Purchase'!A:C,3,0)</f>
        <v>#N/A</v>
      </c>
      <c r="N777" s="44" t="e">
        <f t="shared" si="37"/>
        <v>#N/A</v>
      </c>
      <c r="O777" s="24" t="e">
        <f>VLOOKUP(E777,'Court List'!$A:$C,3,0)</f>
        <v>#N/A</v>
      </c>
      <c r="P777" s="18">
        <f>COUNTIF('Pub List'!$C777:$T777,"&lt;&gt;")</f>
        <v>0</v>
      </c>
      <c r="Q777" s="20" t="e">
        <f t="shared" si="39"/>
        <v>#N/A</v>
      </c>
      <c r="R777" s="36"/>
      <c r="S777" s="18">
        <f>COUNTIF('Member List'!$C777:$J777,"&lt;&gt;")</f>
        <v>0</v>
      </c>
      <c r="T777" s="35"/>
      <c r="U777" s="24">
        <f t="shared" si="40"/>
        <v>0</v>
      </c>
      <c r="V777" s="18" t="e">
        <f t="shared" si="41"/>
        <v>#N/A</v>
      </c>
      <c r="W777" s="45" t="e">
        <f t="shared" si="42"/>
        <v>#N/A</v>
      </c>
      <c r="X777" s="20" t="e">
        <f t="shared" si="43"/>
        <v>#N/A</v>
      </c>
      <c r="Y777" s="46" t="e">
        <f t="shared" si="46"/>
        <v>#N/A</v>
      </c>
      <c r="Z777" s="39" t="e">
        <f t="shared" si="44"/>
        <v>#N/A</v>
      </c>
      <c r="AA777" s="39" t="e">
        <f t="shared" si="45"/>
        <v>#N/A</v>
      </c>
      <c r="AB777" s="39"/>
      <c r="AC777" s="48" t="e">
        <f t="shared" si="47"/>
        <v>#N/A</v>
      </c>
    </row>
    <row r="778" spans="1:29" ht="12.5" x14ac:dyDescent="0.25">
      <c r="A778" s="36"/>
      <c r="B778" s="33"/>
      <c r="C778" s="33"/>
      <c r="D778" s="33"/>
      <c r="E778" s="35"/>
      <c r="F778" s="21"/>
      <c r="G778" s="22" t="e">
        <f>VLOOKUP(E778,'Court List'!$A:$C,2,0)</f>
        <v>#N/A</v>
      </c>
      <c r="H778" s="33"/>
      <c r="I778" s="33"/>
      <c r="J778" s="44" t="e">
        <f t="shared" si="38"/>
        <v>#N/A</v>
      </c>
      <c r="K778" s="36"/>
      <c r="L778" s="18">
        <f>SUM('Shuttle Count - Supreme (Nov 20'!C778:D778)</f>
        <v>0</v>
      </c>
      <c r="M778" s="18" t="e">
        <f>VLOOKUP(K778,'Shuttle Purchase'!A:C,3,0)</f>
        <v>#N/A</v>
      </c>
      <c r="N778" s="44" t="e">
        <f t="shared" si="37"/>
        <v>#N/A</v>
      </c>
      <c r="O778" s="24" t="e">
        <f>VLOOKUP(E778,'Court List'!$A:$C,3,0)</f>
        <v>#N/A</v>
      </c>
      <c r="P778" s="18">
        <f>COUNTIF('Pub List'!$C778:$T778,"&lt;&gt;")</f>
        <v>0</v>
      </c>
      <c r="Q778" s="20" t="e">
        <f t="shared" si="39"/>
        <v>#N/A</v>
      </c>
      <c r="R778" s="36"/>
      <c r="S778" s="18">
        <f>COUNTIF('Member List'!$C778:$J778,"&lt;&gt;")</f>
        <v>0</v>
      </c>
      <c r="T778" s="35"/>
      <c r="U778" s="24">
        <f t="shared" si="40"/>
        <v>0</v>
      </c>
      <c r="V778" s="18" t="e">
        <f t="shared" si="41"/>
        <v>#N/A</v>
      </c>
      <c r="W778" s="45" t="e">
        <f t="shared" si="42"/>
        <v>#N/A</v>
      </c>
      <c r="X778" s="20" t="e">
        <f t="shared" si="43"/>
        <v>#N/A</v>
      </c>
      <c r="Y778" s="46" t="e">
        <f t="shared" si="46"/>
        <v>#N/A</v>
      </c>
      <c r="Z778" s="39" t="e">
        <f t="shared" si="44"/>
        <v>#N/A</v>
      </c>
      <c r="AA778" s="39" t="e">
        <f t="shared" si="45"/>
        <v>#N/A</v>
      </c>
      <c r="AB778" s="39"/>
      <c r="AC778" s="48" t="e">
        <f t="shared" si="47"/>
        <v>#N/A</v>
      </c>
    </row>
    <row r="779" spans="1:29" ht="12.5" x14ac:dyDescent="0.25">
      <c r="A779" s="36"/>
      <c r="B779" s="33"/>
      <c r="C779" s="33"/>
      <c r="D779" s="33"/>
      <c r="E779" s="35"/>
      <c r="F779" s="21"/>
      <c r="G779" s="22" t="e">
        <f>VLOOKUP(E779,'Court List'!$A:$C,2,0)</f>
        <v>#N/A</v>
      </c>
      <c r="H779" s="33"/>
      <c r="I779" s="33"/>
      <c r="J779" s="44" t="e">
        <f t="shared" si="38"/>
        <v>#N/A</v>
      </c>
      <c r="K779" s="36"/>
      <c r="L779" s="18">
        <f>SUM('Shuttle Count - Supreme (Nov 20'!C779:D779)</f>
        <v>0</v>
      </c>
      <c r="M779" s="18" t="e">
        <f>VLOOKUP(K779,'Shuttle Purchase'!A:C,3,0)</f>
        <v>#N/A</v>
      </c>
      <c r="N779" s="44" t="e">
        <f t="shared" si="37"/>
        <v>#N/A</v>
      </c>
      <c r="O779" s="24" t="e">
        <f>VLOOKUP(E779,'Court List'!$A:$C,3,0)</f>
        <v>#N/A</v>
      </c>
      <c r="P779" s="18">
        <f>COUNTIF('Pub List'!$C779:$T779,"&lt;&gt;")</f>
        <v>0</v>
      </c>
      <c r="Q779" s="20" t="e">
        <f t="shared" si="39"/>
        <v>#N/A</v>
      </c>
      <c r="R779" s="36"/>
      <c r="S779" s="18">
        <f>COUNTIF('Member List'!$C779:$J779,"&lt;&gt;")</f>
        <v>0</v>
      </c>
      <c r="T779" s="35"/>
      <c r="U779" s="24">
        <f t="shared" si="40"/>
        <v>0</v>
      </c>
      <c r="V779" s="18" t="e">
        <f t="shared" si="41"/>
        <v>#N/A</v>
      </c>
      <c r="W779" s="45" t="e">
        <f t="shared" si="42"/>
        <v>#N/A</v>
      </c>
      <c r="X779" s="20" t="e">
        <f t="shared" si="43"/>
        <v>#N/A</v>
      </c>
      <c r="Y779" s="46" t="e">
        <f t="shared" si="46"/>
        <v>#N/A</v>
      </c>
      <c r="Z779" s="39" t="e">
        <f t="shared" si="44"/>
        <v>#N/A</v>
      </c>
      <c r="AA779" s="39" t="e">
        <f t="shared" si="45"/>
        <v>#N/A</v>
      </c>
      <c r="AB779" s="39"/>
      <c r="AC779" s="48" t="e">
        <f t="shared" si="47"/>
        <v>#N/A</v>
      </c>
    </row>
    <row r="780" spans="1:29" ht="12.5" x14ac:dyDescent="0.25">
      <c r="A780" s="36"/>
      <c r="B780" s="33"/>
      <c r="C780" s="33"/>
      <c r="D780" s="33"/>
      <c r="E780" s="35"/>
      <c r="F780" s="21"/>
      <c r="G780" s="22" t="e">
        <f>VLOOKUP(E780,'Court List'!$A:$C,2,0)</f>
        <v>#N/A</v>
      </c>
      <c r="H780" s="33"/>
      <c r="I780" s="33"/>
      <c r="J780" s="44" t="e">
        <f t="shared" si="38"/>
        <v>#N/A</v>
      </c>
      <c r="K780" s="36"/>
      <c r="L780" s="18">
        <f>SUM('Shuttle Count - Supreme (Nov 20'!C780:D780)</f>
        <v>0</v>
      </c>
      <c r="M780" s="18" t="e">
        <f>VLOOKUP(K780,'Shuttle Purchase'!A:C,3,0)</f>
        <v>#N/A</v>
      </c>
      <c r="N780" s="44" t="e">
        <f t="shared" si="37"/>
        <v>#N/A</v>
      </c>
      <c r="O780" s="24" t="e">
        <f>VLOOKUP(E780,'Court List'!$A:$C,3,0)</f>
        <v>#N/A</v>
      </c>
      <c r="P780" s="18">
        <f>COUNTIF('Pub List'!$C780:$T780,"&lt;&gt;")</f>
        <v>0</v>
      </c>
      <c r="Q780" s="20" t="e">
        <f t="shared" si="39"/>
        <v>#N/A</v>
      </c>
      <c r="R780" s="36"/>
      <c r="S780" s="18">
        <f>COUNTIF('Member List'!$C780:$J780,"&lt;&gt;")</f>
        <v>0</v>
      </c>
      <c r="T780" s="35"/>
      <c r="U780" s="24">
        <f t="shared" si="40"/>
        <v>0</v>
      </c>
      <c r="V780" s="18" t="e">
        <f t="shared" si="41"/>
        <v>#N/A</v>
      </c>
      <c r="W780" s="45" t="e">
        <f t="shared" si="42"/>
        <v>#N/A</v>
      </c>
      <c r="X780" s="20" t="e">
        <f t="shared" si="43"/>
        <v>#N/A</v>
      </c>
      <c r="Y780" s="46" t="e">
        <f t="shared" si="46"/>
        <v>#N/A</v>
      </c>
      <c r="Z780" s="39" t="e">
        <f t="shared" si="44"/>
        <v>#N/A</v>
      </c>
      <c r="AA780" s="39" t="e">
        <f t="shared" si="45"/>
        <v>#N/A</v>
      </c>
      <c r="AB780" s="39"/>
      <c r="AC780" s="48" t="e">
        <f t="shared" si="47"/>
        <v>#N/A</v>
      </c>
    </row>
    <row r="781" spans="1:29" ht="12.5" x14ac:dyDescent="0.25">
      <c r="A781" s="36"/>
      <c r="B781" s="33"/>
      <c r="C781" s="33"/>
      <c r="D781" s="33"/>
      <c r="E781" s="35"/>
      <c r="F781" s="21"/>
      <c r="G781" s="22" t="e">
        <f>VLOOKUP(E781,'Court List'!$A:$C,2,0)</f>
        <v>#N/A</v>
      </c>
      <c r="H781" s="33"/>
      <c r="I781" s="33"/>
      <c r="J781" s="44" t="e">
        <f t="shared" si="38"/>
        <v>#N/A</v>
      </c>
      <c r="K781" s="36"/>
      <c r="L781" s="18">
        <f>SUM('Shuttle Count - Supreme (Nov 20'!C781:D781)</f>
        <v>0</v>
      </c>
      <c r="M781" s="18" t="e">
        <f>VLOOKUP(K781,'Shuttle Purchase'!A:C,3,0)</f>
        <v>#N/A</v>
      </c>
      <c r="N781" s="44" t="e">
        <f t="shared" si="37"/>
        <v>#N/A</v>
      </c>
      <c r="O781" s="24" t="e">
        <f>VLOOKUP(E781,'Court List'!$A:$C,3,0)</f>
        <v>#N/A</v>
      </c>
      <c r="P781" s="18">
        <f>COUNTIF('Pub List'!$C781:$T781,"&lt;&gt;")</f>
        <v>0</v>
      </c>
      <c r="Q781" s="20" t="e">
        <f t="shared" si="39"/>
        <v>#N/A</v>
      </c>
      <c r="R781" s="36"/>
      <c r="S781" s="18">
        <f>COUNTIF('Member List'!$C781:$J781,"&lt;&gt;")</f>
        <v>0</v>
      </c>
      <c r="T781" s="35"/>
      <c r="U781" s="24">
        <f t="shared" si="40"/>
        <v>0</v>
      </c>
      <c r="V781" s="18" t="e">
        <f t="shared" si="41"/>
        <v>#N/A</v>
      </c>
      <c r="W781" s="45" t="e">
        <f t="shared" si="42"/>
        <v>#N/A</v>
      </c>
      <c r="X781" s="20" t="e">
        <f t="shared" si="43"/>
        <v>#N/A</v>
      </c>
      <c r="Y781" s="46" t="e">
        <f t="shared" si="46"/>
        <v>#N/A</v>
      </c>
      <c r="Z781" s="39" t="e">
        <f t="shared" si="44"/>
        <v>#N/A</v>
      </c>
      <c r="AA781" s="39" t="e">
        <f t="shared" si="45"/>
        <v>#N/A</v>
      </c>
      <c r="AB781" s="39"/>
      <c r="AC781" s="48" t="e">
        <f t="shared" si="47"/>
        <v>#N/A</v>
      </c>
    </row>
    <row r="782" spans="1:29" ht="12.5" x14ac:dyDescent="0.25">
      <c r="A782" s="36"/>
      <c r="B782" s="33"/>
      <c r="C782" s="33"/>
      <c r="D782" s="33"/>
      <c r="E782" s="35"/>
      <c r="F782" s="21"/>
      <c r="G782" s="22" t="e">
        <f>VLOOKUP(E782,'Court List'!$A:$C,2,0)</f>
        <v>#N/A</v>
      </c>
      <c r="H782" s="33"/>
      <c r="I782" s="33"/>
      <c r="J782" s="44" t="e">
        <f t="shared" si="38"/>
        <v>#N/A</v>
      </c>
      <c r="K782" s="36"/>
      <c r="L782" s="18">
        <f>SUM('Shuttle Count - Supreme (Nov 20'!C782:D782)</f>
        <v>0</v>
      </c>
      <c r="M782" s="18" t="e">
        <f>VLOOKUP(K782,'Shuttle Purchase'!A:C,3,0)</f>
        <v>#N/A</v>
      </c>
      <c r="N782" s="44" t="e">
        <f t="shared" si="37"/>
        <v>#N/A</v>
      </c>
      <c r="O782" s="24" t="e">
        <f>VLOOKUP(E782,'Court List'!$A:$C,3,0)</f>
        <v>#N/A</v>
      </c>
      <c r="P782" s="18">
        <f>COUNTIF('Pub List'!$C782:$T782,"&lt;&gt;")</f>
        <v>0</v>
      </c>
      <c r="Q782" s="20" t="e">
        <f t="shared" si="39"/>
        <v>#N/A</v>
      </c>
      <c r="R782" s="36"/>
      <c r="S782" s="18">
        <f>COUNTIF('Member List'!$C782:$J782,"&lt;&gt;")</f>
        <v>0</v>
      </c>
      <c r="T782" s="35"/>
      <c r="U782" s="24">
        <f t="shared" si="40"/>
        <v>0</v>
      </c>
      <c r="V782" s="18" t="e">
        <f t="shared" si="41"/>
        <v>#N/A</v>
      </c>
      <c r="W782" s="45" t="e">
        <f t="shared" si="42"/>
        <v>#N/A</v>
      </c>
      <c r="X782" s="20" t="e">
        <f t="shared" si="43"/>
        <v>#N/A</v>
      </c>
      <c r="Y782" s="46" t="e">
        <f t="shared" si="46"/>
        <v>#N/A</v>
      </c>
      <c r="Z782" s="39" t="e">
        <f t="shared" si="44"/>
        <v>#N/A</v>
      </c>
      <c r="AA782" s="39" t="e">
        <f t="shared" si="45"/>
        <v>#N/A</v>
      </c>
      <c r="AB782" s="39"/>
      <c r="AC782" s="48" t="e">
        <f t="shared" si="47"/>
        <v>#N/A</v>
      </c>
    </row>
    <row r="783" spans="1:29" ht="12.5" x14ac:dyDescent="0.25">
      <c r="A783" s="36"/>
      <c r="B783" s="33"/>
      <c r="C783" s="33"/>
      <c r="D783" s="33"/>
      <c r="E783" s="35"/>
      <c r="F783" s="21"/>
      <c r="G783" s="22" t="e">
        <f>VLOOKUP(E783,'Court List'!$A:$C,2,0)</f>
        <v>#N/A</v>
      </c>
      <c r="H783" s="33"/>
      <c r="I783" s="33"/>
      <c r="J783" s="44" t="e">
        <f t="shared" si="38"/>
        <v>#N/A</v>
      </c>
      <c r="K783" s="36"/>
      <c r="L783" s="18">
        <f>SUM('Shuttle Count - Supreme (Nov 20'!C783:D783)</f>
        <v>0</v>
      </c>
      <c r="M783" s="18" t="e">
        <f>VLOOKUP(K783,'Shuttle Purchase'!A:C,3,0)</f>
        <v>#N/A</v>
      </c>
      <c r="N783" s="44" t="e">
        <f t="shared" si="37"/>
        <v>#N/A</v>
      </c>
      <c r="O783" s="24" t="e">
        <f>VLOOKUP(E783,'Court List'!$A:$C,3,0)</f>
        <v>#N/A</v>
      </c>
      <c r="P783" s="18">
        <f>COUNTIF('Pub List'!$C783:$T783,"&lt;&gt;")</f>
        <v>0</v>
      </c>
      <c r="Q783" s="20" t="e">
        <f t="shared" si="39"/>
        <v>#N/A</v>
      </c>
      <c r="R783" s="36"/>
      <c r="S783" s="18">
        <f>COUNTIF('Member List'!$C783:$J783,"&lt;&gt;")</f>
        <v>0</v>
      </c>
      <c r="T783" s="35"/>
      <c r="U783" s="24">
        <f t="shared" si="40"/>
        <v>0</v>
      </c>
      <c r="V783" s="18" t="e">
        <f t="shared" si="41"/>
        <v>#N/A</v>
      </c>
      <c r="W783" s="45" t="e">
        <f t="shared" si="42"/>
        <v>#N/A</v>
      </c>
      <c r="X783" s="20" t="e">
        <f t="shared" si="43"/>
        <v>#N/A</v>
      </c>
      <c r="Y783" s="46" t="e">
        <f t="shared" si="46"/>
        <v>#N/A</v>
      </c>
      <c r="Z783" s="39" t="e">
        <f t="shared" si="44"/>
        <v>#N/A</v>
      </c>
      <c r="AA783" s="39" t="e">
        <f t="shared" si="45"/>
        <v>#N/A</v>
      </c>
      <c r="AB783" s="39"/>
      <c r="AC783" s="48" t="e">
        <f t="shared" si="47"/>
        <v>#N/A</v>
      </c>
    </row>
    <row r="784" spans="1:29" ht="12.5" x14ac:dyDescent="0.25">
      <c r="A784" s="36"/>
      <c r="B784" s="33"/>
      <c r="C784" s="33"/>
      <c r="D784" s="33"/>
      <c r="E784" s="35"/>
      <c r="F784" s="21"/>
      <c r="G784" s="22" t="e">
        <f>VLOOKUP(E784,'Court List'!$A:$C,2,0)</f>
        <v>#N/A</v>
      </c>
      <c r="H784" s="33"/>
      <c r="I784" s="33"/>
      <c r="J784" s="44" t="e">
        <f t="shared" si="38"/>
        <v>#N/A</v>
      </c>
      <c r="K784" s="36"/>
      <c r="L784" s="18">
        <f>SUM('Shuttle Count - Supreme (Nov 20'!C784:D784)</f>
        <v>0</v>
      </c>
      <c r="M784" s="18" t="e">
        <f>VLOOKUP(K784,'Shuttle Purchase'!A:C,3,0)</f>
        <v>#N/A</v>
      </c>
      <c r="N784" s="44" t="e">
        <f t="shared" si="37"/>
        <v>#N/A</v>
      </c>
      <c r="O784" s="24" t="e">
        <f>VLOOKUP(E784,'Court List'!$A:$C,3,0)</f>
        <v>#N/A</v>
      </c>
      <c r="P784" s="18">
        <f>COUNTIF('Pub List'!$C784:$T784,"&lt;&gt;")</f>
        <v>0</v>
      </c>
      <c r="Q784" s="20" t="e">
        <f t="shared" si="39"/>
        <v>#N/A</v>
      </c>
      <c r="R784" s="36"/>
      <c r="S784" s="18">
        <f>COUNTIF('Member List'!$C784:$J784,"&lt;&gt;")</f>
        <v>0</v>
      </c>
      <c r="T784" s="35"/>
      <c r="U784" s="24">
        <f t="shared" si="40"/>
        <v>0</v>
      </c>
      <c r="V784" s="18" t="e">
        <f t="shared" si="41"/>
        <v>#N/A</v>
      </c>
      <c r="W784" s="45" t="e">
        <f t="shared" si="42"/>
        <v>#N/A</v>
      </c>
      <c r="X784" s="20" t="e">
        <f t="shared" si="43"/>
        <v>#N/A</v>
      </c>
      <c r="Y784" s="46" t="e">
        <f t="shared" si="46"/>
        <v>#N/A</v>
      </c>
      <c r="Z784" s="39" t="e">
        <f t="shared" si="44"/>
        <v>#N/A</v>
      </c>
      <c r="AA784" s="39" t="e">
        <f t="shared" si="45"/>
        <v>#N/A</v>
      </c>
      <c r="AB784" s="39"/>
      <c r="AC784" s="48" t="e">
        <f t="shared" si="47"/>
        <v>#N/A</v>
      </c>
    </row>
    <row r="785" spans="1:29" ht="12.5" x14ac:dyDescent="0.25">
      <c r="A785" s="36"/>
      <c r="B785" s="33"/>
      <c r="C785" s="33"/>
      <c r="D785" s="33"/>
      <c r="E785" s="35"/>
      <c r="F785" s="21"/>
      <c r="G785" s="22" t="e">
        <f>VLOOKUP(E785,'Court List'!$A:$C,2,0)</f>
        <v>#N/A</v>
      </c>
      <c r="H785" s="33"/>
      <c r="I785" s="33"/>
      <c r="J785" s="44" t="e">
        <f t="shared" si="38"/>
        <v>#N/A</v>
      </c>
      <c r="K785" s="36"/>
      <c r="L785" s="18">
        <f>SUM('Shuttle Count - Supreme (Nov 20'!C785:D785)</f>
        <v>0</v>
      </c>
      <c r="M785" s="18" t="e">
        <f>VLOOKUP(K785,'Shuttle Purchase'!A:C,3,0)</f>
        <v>#N/A</v>
      </c>
      <c r="N785" s="44" t="e">
        <f t="shared" si="37"/>
        <v>#N/A</v>
      </c>
      <c r="O785" s="24" t="e">
        <f>VLOOKUP(E785,'Court List'!$A:$C,3,0)</f>
        <v>#N/A</v>
      </c>
      <c r="P785" s="18">
        <f>COUNTIF('Pub List'!$C785:$T785,"&lt;&gt;")</f>
        <v>0</v>
      </c>
      <c r="Q785" s="20" t="e">
        <f t="shared" si="39"/>
        <v>#N/A</v>
      </c>
      <c r="R785" s="36"/>
      <c r="S785" s="18">
        <f>COUNTIF('Member List'!$C785:$J785,"&lt;&gt;")</f>
        <v>0</v>
      </c>
      <c r="T785" s="35"/>
      <c r="U785" s="24">
        <f t="shared" si="40"/>
        <v>0</v>
      </c>
      <c r="V785" s="18" t="e">
        <f t="shared" si="41"/>
        <v>#N/A</v>
      </c>
      <c r="W785" s="45" t="e">
        <f t="shared" si="42"/>
        <v>#N/A</v>
      </c>
      <c r="X785" s="20" t="e">
        <f t="shared" si="43"/>
        <v>#N/A</v>
      </c>
      <c r="Y785" s="46" t="e">
        <f t="shared" si="46"/>
        <v>#N/A</v>
      </c>
      <c r="Z785" s="39" t="e">
        <f t="shared" si="44"/>
        <v>#N/A</v>
      </c>
      <c r="AA785" s="39" t="e">
        <f t="shared" si="45"/>
        <v>#N/A</v>
      </c>
      <c r="AB785" s="39"/>
      <c r="AC785" s="48" t="e">
        <f t="shared" si="47"/>
        <v>#N/A</v>
      </c>
    </row>
    <row r="786" spans="1:29" ht="12.5" x14ac:dyDescent="0.25">
      <c r="A786" s="36"/>
      <c r="B786" s="33"/>
      <c r="C786" s="33"/>
      <c r="D786" s="33"/>
      <c r="E786" s="35"/>
      <c r="F786" s="21"/>
      <c r="G786" s="22" t="e">
        <f>VLOOKUP(E786,'Court List'!$A:$C,2,0)</f>
        <v>#N/A</v>
      </c>
      <c r="H786" s="33"/>
      <c r="I786" s="33"/>
      <c r="J786" s="44" t="e">
        <f t="shared" si="38"/>
        <v>#N/A</v>
      </c>
      <c r="K786" s="36"/>
      <c r="L786" s="18">
        <f>SUM('Shuttle Count - Supreme (Nov 20'!C786:D786)</f>
        <v>0</v>
      </c>
      <c r="M786" s="18" t="e">
        <f>VLOOKUP(K786,'Shuttle Purchase'!A:C,3,0)</f>
        <v>#N/A</v>
      </c>
      <c r="N786" s="44" t="e">
        <f t="shared" si="37"/>
        <v>#N/A</v>
      </c>
      <c r="O786" s="24" t="e">
        <f>VLOOKUP(E786,'Court List'!$A:$C,3,0)</f>
        <v>#N/A</v>
      </c>
      <c r="P786" s="18">
        <f>COUNTIF('Pub List'!$C786:$T786,"&lt;&gt;")</f>
        <v>0</v>
      </c>
      <c r="Q786" s="20" t="e">
        <f t="shared" si="39"/>
        <v>#N/A</v>
      </c>
      <c r="R786" s="36"/>
      <c r="S786" s="18">
        <f>COUNTIF('Member List'!$C786:$J786,"&lt;&gt;")</f>
        <v>0</v>
      </c>
      <c r="T786" s="35"/>
      <c r="U786" s="24">
        <f t="shared" si="40"/>
        <v>0</v>
      </c>
      <c r="V786" s="18" t="e">
        <f t="shared" si="41"/>
        <v>#N/A</v>
      </c>
      <c r="W786" s="45" t="e">
        <f t="shared" si="42"/>
        <v>#N/A</v>
      </c>
      <c r="X786" s="20" t="e">
        <f t="shared" si="43"/>
        <v>#N/A</v>
      </c>
      <c r="Y786" s="46" t="e">
        <f t="shared" si="46"/>
        <v>#N/A</v>
      </c>
      <c r="Z786" s="39" t="e">
        <f t="shared" si="44"/>
        <v>#N/A</v>
      </c>
      <c r="AA786" s="39" t="e">
        <f t="shared" si="45"/>
        <v>#N/A</v>
      </c>
      <c r="AB786" s="39"/>
      <c r="AC786" s="48" t="e">
        <f t="shared" si="47"/>
        <v>#N/A</v>
      </c>
    </row>
    <row r="787" spans="1:29" ht="12.5" x14ac:dyDescent="0.25">
      <c r="A787" s="36"/>
      <c r="B787" s="33"/>
      <c r="C787" s="33"/>
      <c r="D787" s="33"/>
      <c r="E787" s="35"/>
      <c r="F787" s="21"/>
      <c r="G787" s="22" t="e">
        <f>VLOOKUP(E787,'Court List'!$A:$C,2,0)</f>
        <v>#N/A</v>
      </c>
      <c r="H787" s="33"/>
      <c r="I787" s="33"/>
      <c r="J787" s="44" t="e">
        <f t="shared" si="38"/>
        <v>#N/A</v>
      </c>
      <c r="K787" s="36"/>
      <c r="L787" s="18">
        <f>SUM('Shuttle Count - Supreme (Nov 20'!C787:D787)</f>
        <v>0</v>
      </c>
      <c r="M787" s="18" t="e">
        <f>VLOOKUP(K787,'Shuttle Purchase'!A:C,3,0)</f>
        <v>#N/A</v>
      </c>
      <c r="N787" s="44" t="e">
        <f t="shared" si="37"/>
        <v>#N/A</v>
      </c>
      <c r="O787" s="24" t="e">
        <f>VLOOKUP(E787,'Court List'!$A:$C,3,0)</f>
        <v>#N/A</v>
      </c>
      <c r="P787" s="18">
        <f>COUNTIF('Pub List'!$C787:$T787,"&lt;&gt;")</f>
        <v>0</v>
      </c>
      <c r="Q787" s="20" t="e">
        <f t="shared" si="39"/>
        <v>#N/A</v>
      </c>
      <c r="R787" s="36"/>
      <c r="S787" s="18">
        <f>COUNTIF('Member List'!$C787:$J787,"&lt;&gt;")</f>
        <v>0</v>
      </c>
      <c r="T787" s="35"/>
      <c r="U787" s="24">
        <f t="shared" si="40"/>
        <v>0</v>
      </c>
      <c r="V787" s="18" t="e">
        <f t="shared" si="41"/>
        <v>#N/A</v>
      </c>
      <c r="W787" s="45" t="e">
        <f t="shared" si="42"/>
        <v>#N/A</v>
      </c>
      <c r="X787" s="20" t="e">
        <f t="shared" si="43"/>
        <v>#N/A</v>
      </c>
      <c r="Y787" s="46" t="e">
        <f t="shared" si="46"/>
        <v>#N/A</v>
      </c>
      <c r="Z787" s="39" t="e">
        <f t="shared" si="44"/>
        <v>#N/A</v>
      </c>
      <c r="AA787" s="39" t="e">
        <f t="shared" si="45"/>
        <v>#N/A</v>
      </c>
      <c r="AB787" s="39"/>
      <c r="AC787" s="48" t="e">
        <f t="shared" si="47"/>
        <v>#N/A</v>
      </c>
    </row>
    <row r="788" spans="1:29" ht="12.5" x14ac:dyDescent="0.25">
      <c r="A788" s="36"/>
      <c r="B788" s="33"/>
      <c r="C788" s="33"/>
      <c r="D788" s="33"/>
      <c r="E788" s="35"/>
      <c r="F788" s="21"/>
      <c r="G788" s="22" t="e">
        <f>VLOOKUP(E788,'Court List'!$A:$C,2,0)</f>
        <v>#N/A</v>
      </c>
      <c r="H788" s="33"/>
      <c r="I788" s="33"/>
      <c r="J788" s="44" t="e">
        <f t="shared" si="38"/>
        <v>#N/A</v>
      </c>
      <c r="K788" s="36"/>
      <c r="L788" s="18">
        <f>SUM('Shuttle Count - Supreme (Nov 20'!C788:D788)</f>
        <v>0</v>
      </c>
      <c r="M788" s="18" t="e">
        <f>VLOOKUP(K788,'Shuttle Purchase'!A:C,3,0)</f>
        <v>#N/A</v>
      </c>
      <c r="N788" s="44" t="e">
        <f t="shared" si="37"/>
        <v>#N/A</v>
      </c>
      <c r="O788" s="24" t="e">
        <f>VLOOKUP(E788,'Court List'!$A:$C,3,0)</f>
        <v>#N/A</v>
      </c>
      <c r="P788" s="18">
        <f>COUNTIF('Pub List'!$C788:$T788,"&lt;&gt;")</f>
        <v>0</v>
      </c>
      <c r="Q788" s="20" t="e">
        <f t="shared" si="39"/>
        <v>#N/A</v>
      </c>
      <c r="R788" s="36"/>
      <c r="S788" s="18">
        <f>COUNTIF('Member List'!$C788:$J788,"&lt;&gt;")</f>
        <v>0</v>
      </c>
      <c r="T788" s="35"/>
      <c r="U788" s="24">
        <f t="shared" si="40"/>
        <v>0</v>
      </c>
      <c r="V788" s="18" t="e">
        <f t="shared" si="41"/>
        <v>#N/A</v>
      </c>
      <c r="W788" s="45" t="e">
        <f t="shared" si="42"/>
        <v>#N/A</v>
      </c>
      <c r="X788" s="20" t="e">
        <f t="shared" si="43"/>
        <v>#N/A</v>
      </c>
      <c r="Y788" s="46" t="e">
        <f t="shared" si="46"/>
        <v>#N/A</v>
      </c>
      <c r="Z788" s="39" t="e">
        <f t="shared" si="44"/>
        <v>#N/A</v>
      </c>
      <c r="AA788" s="39" t="e">
        <f t="shared" si="45"/>
        <v>#N/A</v>
      </c>
      <c r="AB788" s="39"/>
      <c r="AC788" s="48" t="e">
        <f t="shared" si="47"/>
        <v>#N/A</v>
      </c>
    </row>
    <row r="789" spans="1:29" ht="12.5" x14ac:dyDescent="0.25">
      <c r="A789" s="36"/>
      <c r="B789" s="33"/>
      <c r="C789" s="33"/>
      <c r="D789" s="33"/>
      <c r="E789" s="35"/>
      <c r="F789" s="21"/>
      <c r="G789" s="22" t="e">
        <f>VLOOKUP(E789,'Court List'!$A:$C,2,0)</f>
        <v>#N/A</v>
      </c>
      <c r="H789" s="33"/>
      <c r="I789" s="33"/>
      <c r="J789" s="44" t="e">
        <f t="shared" si="38"/>
        <v>#N/A</v>
      </c>
      <c r="K789" s="36"/>
      <c r="L789" s="18">
        <f>SUM('Shuttle Count - Supreme (Nov 20'!C789:D789)</f>
        <v>0</v>
      </c>
      <c r="M789" s="18" t="e">
        <f>VLOOKUP(K789,'Shuttle Purchase'!A:C,3,0)</f>
        <v>#N/A</v>
      </c>
      <c r="N789" s="44" t="e">
        <f t="shared" si="37"/>
        <v>#N/A</v>
      </c>
      <c r="O789" s="24" t="e">
        <f>VLOOKUP(E789,'Court List'!$A:$C,3,0)</f>
        <v>#N/A</v>
      </c>
      <c r="P789" s="18">
        <f>COUNTIF('Pub List'!$C789:$T789,"&lt;&gt;")</f>
        <v>0</v>
      </c>
      <c r="Q789" s="20" t="e">
        <f t="shared" si="39"/>
        <v>#N/A</v>
      </c>
      <c r="R789" s="36"/>
      <c r="S789" s="18">
        <f>COUNTIF('Member List'!$C789:$J789,"&lt;&gt;")</f>
        <v>0</v>
      </c>
      <c r="T789" s="35"/>
      <c r="U789" s="24">
        <f t="shared" si="40"/>
        <v>0</v>
      </c>
      <c r="V789" s="18" t="e">
        <f t="shared" si="41"/>
        <v>#N/A</v>
      </c>
      <c r="W789" s="45" t="e">
        <f t="shared" si="42"/>
        <v>#N/A</v>
      </c>
      <c r="X789" s="20" t="e">
        <f t="shared" si="43"/>
        <v>#N/A</v>
      </c>
      <c r="Y789" s="46" t="e">
        <f t="shared" si="46"/>
        <v>#N/A</v>
      </c>
      <c r="Z789" s="39" t="e">
        <f t="shared" si="44"/>
        <v>#N/A</v>
      </c>
      <c r="AA789" s="39" t="e">
        <f t="shared" si="45"/>
        <v>#N/A</v>
      </c>
      <c r="AB789" s="39"/>
      <c r="AC789" s="48" t="e">
        <f t="shared" si="47"/>
        <v>#N/A</v>
      </c>
    </row>
    <row r="790" spans="1:29" ht="12.5" x14ac:dyDescent="0.25">
      <c r="A790" s="36"/>
      <c r="B790" s="33"/>
      <c r="C790" s="33"/>
      <c r="D790" s="33"/>
      <c r="E790" s="35"/>
      <c r="F790" s="21"/>
      <c r="G790" s="22" t="e">
        <f>VLOOKUP(E790,'Court List'!$A:$C,2,0)</f>
        <v>#N/A</v>
      </c>
      <c r="H790" s="33"/>
      <c r="I790" s="33"/>
      <c r="J790" s="44" t="e">
        <f t="shared" si="38"/>
        <v>#N/A</v>
      </c>
      <c r="K790" s="36"/>
      <c r="L790" s="18">
        <f>SUM('Shuttle Count - Supreme (Nov 20'!C790:D790)</f>
        <v>0</v>
      </c>
      <c r="M790" s="18" t="e">
        <f>VLOOKUP(K790,'Shuttle Purchase'!A:C,3,0)</f>
        <v>#N/A</v>
      </c>
      <c r="N790" s="44" t="e">
        <f t="shared" si="37"/>
        <v>#N/A</v>
      </c>
      <c r="O790" s="24" t="e">
        <f>VLOOKUP(E790,'Court List'!$A:$C,3,0)</f>
        <v>#N/A</v>
      </c>
      <c r="P790" s="18">
        <f>COUNTIF('Pub List'!$C790:$T790,"&lt;&gt;")</f>
        <v>0</v>
      </c>
      <c r="Q790" s="20" t="e">
        <f t="shared" si="39"/>
        <v>#N/A</v>
      </c>
      <c r="R790" s="36"/>
      <c r="S790" s="18">
        <f>COUNTIF('Member List'!$C790:$J790,"&lt;&gt;")</f>
        <v>0</v>
      </c>
      <c r="T790" s="35"/>
      <c r="U790" s="24">
        <f t="shared" si="40"/>
        <v>0</v>
      </c>
      <c r="V790" s="18" t="e">
        <f t="shared" si="41"/>
        <v>#N/A</v>
      </c>
      <c r="W790" s="45" t="e">
        <f t="shared" si="42"/>
        <v>#N/A</v>
      </c>
      <c r="X790" s="20" t="e">
        <f t="shared" si="43"/>
        <v>#N/A</v>
      </c>
      <c r="Y790" s="46" t="e">
        <f t="shared" si="46"/>
        <v>#N/A</v>
      </c>
      <c r="Z790" s="39" t="e">
        <f t="shared" si="44"/>
        <v>#N/A</v>
      </c>
      <c r="AA790" s="39" t="e">
        <f t="shared" si="45"/>
        <v>#N/A</v>
      </c>
      <c r="AB790" s="39"/>
      <c r="AC790" s="48" t="e">
        <f t="shared" si="47"/>
        <v>#N/A</v>
      </c>
    </row>
    <row r="791" spans="1:29" ht="12.5" x14ac:dyDescent="0.25">
      <c r="A791" s="36"/>
      <c r="B791" s="33"/>
      <c r="C791" s="33"/>
      <c r="D791" s="33"/>
      <c r="E791" s="35"/>
      <c r="F791" s="21"/>
      <c r="G791" s="22" t="e">
        <f>VLOOKUP(E791,'Court List'!$A:$C,2,0)</f>
        <v>#N/A</v>
      </c>
      <c r="H791" s="33"/>
      <c r="I791" s="33"/>
      <c r="J791" s="44" t="e">
        <f t="shared" si="38"/>
        <v>#N/A</v>
      </c>
      <c r="K791" s="36"/>
      <c r="L791" s="18">
        <f>SUM('Shuttle Count - Supreme (Nov 20'!C791:D791)</f>
        <v>0</v>
      </c>
      <c r="M791" s="18" t="e">
        <f>VLOOKUP(K791,'Shuttle Purchase'!A:C,3,0)</f>
        <v>#N/A</v>
      </c>
      <c r="N791" s="44" t="e">
        <f t="shared" si="37"/>
        <v>#N/A</v>
      </c>
      <c r="O791" s="24" t="e">
        <f>VLOOKUP(E791,'Court List'!$A:$C,3,0)</f>
        <v>#N/A</v>
      </c>
      <c r="P791" s="18">
        <f>COUNTIF('Pub List'!$C791:$T791,"&lt;&gt;")</f>
        <v>0</v>
      </c>
      <c r="Q791" s="20" t="e">
        <f t="shared" si="39"/>
        <v>#N/A</v>
      </c>
      <c r="R791" s="36"/>
      <c r="S791" s="18">
        <f>COUNTIF('Member List'!$C791:$J791,"&lt;&gt;")</f>
        <v>0</v>
      </c>
      <c r="T791" s="35"/>
      <c r="U791" s="24">
        <f t="shared" si="40"/>
        <v>0</v>
      </c>
      <c r="V791" s="18" t="e">
        <f t="shared" si="41"/>
        <v>#N/A</v>
      </c>
      <c r="W791" s="45" t="e">
        <f t="shared" si="42"/>
        <v>#N/A</v>
      </c>
      <c r="X791" s="20" t="e">
        <f t="shared" si="43"/>
        <v>#N/A</v>
      </c>
      <c r="Y791" s="46" t="e">
        <f t="shared" si="46"/>
        <v>#N/A</v>
      </c>
      <c r="Z791" s="39" t="e">
        <f t="shared" si="44"/>
        <v>#N/A</v>
      </c>
      <c r="AA791" s="39" t="e">
        <f t="shared" si="45"/>
        <v>#N/A</v>
      </c>
      <c r="AB791" s="39"/>
      <c r="AC791" s="48" t="e">
        <f t="shared" si="47"/>
        <v>#N/A</v>
      </c>
    </row>
    <row r="792" spans="1:29" ht="12.5" x14ac:dyDescent="0.25">
      <c r="A792" s="36"/>
      <c r="B792" s="33"/>
      <c r="C792" s="33"/>
      <c r="D792" s="33"/>
      <c r="E792" s="35"/>
      <c r="F792" s="21"/>
      <c r="G792" s="22" t="e">
        <f>VLOOKUP(E792,'Court List'!$A:$C,2,0)</f>
        <v>#N/A</v>
      </c>
      <c r="H792" s="33"/>
      <c r="I792" s="33"/>
      <c r="J792" s="44" t="e">
        <f t="shared" si="38"/>
        <v>#N/A</v>
      </c>
      <c r="K792" s="36"/>
      <c r="L792" s="18">
        <f>SUM('Shuttle Count - Supreme (Nov 20'!C792:D792)</f>
        <v>0</v>
      </c>
      <c r="M792" s="18" t="e">
        <f>VLOOKUP(K792,'Shuttle Purchase'!A:C,3,0)</f>
        <v>#N/A</v>
      </c>
      <c r="N792" s="44" t="e">
        <f t="shared" si="37"/>
        <v>#N/A</v>
      </c>
      <c r="O792" s="24" t="e">
        <f>VLOOKUP(E792,'Court List'!$A:$C,3,0)</f>
        <v>#N/A</v>
      </c>
      <c r="P792" s="18">
        <f>COUNTIF('Pub List'!$C792:$T792,"&lt;&gt;")</f>
        <v>0</v>
      </c>
      <c r="Q792" s="20" t="e">
        <f t="shared" si="39"/>
        <v>#N/A</v>
      </c>
      <c r="R792" s="36"/>
      <c r="S792" s="18">
        <f>COUNTIF('Member List'!$C792:$J792,"&lt;&gt;")</f>
        <v>0</v>
      </c>
      <c r="T792" s="35"/>
      <c r="U792" s="24">
        <f t="shared" si="40"/>
        <v>0</v>
      </c>
      <c r="V792" s="18" t="e">
        <f t="shared" si="41"/>
        <v>#N/A</v>
      </c>
      <c r="W792" s="45" t="e">
        <f t="shared" si="42"/>
        <v>#N/A</v>
      </c>
      <c r="X792" s="20" t="e">
        <f t="shared" si="43"/>
        <v>#N/A</v>
      </c>
      <c r="Y792" s="46" t="e">
        <f t="shared" si="46"/>
        <v>#N/A</v>
      </c>
      <c r="Z792" s="39" t="e">
        <f t="shared" si="44"/>
        <v>#N/A</v>
      </c>
      <c r="AA792" s="39" t="e">
        <f t="shared" si="45"/>
        <v>#N/A</v>
      </c>
      <c r="AB792" s="39"/>
      <c r="AC792" s="48" t="e">
        <f t="shared" si="47"/>
        <v>#N/A</v>
      </c>
    </row>
    <row r="793" spans="1:29" ht="12.5" x14ac:dyDescent="0.25">
      <c r="A793" s="36"/>
      <c r="B793" s="33"/>
      <c r="C793" s="33"/>
      <c r="D793" s="33"/>
      <c r="E793" s="35"/>
      <c r="F793" s="21"/>
      <c r="G793" s="22" t="e">
        <f>VLOOKUP(E793,'Court List'!$A:$C,2,0)</f>
        <v>#N/A</v>
      </c>
      <c r="H793" s="33"/>
      <c r="I793" s="33"/>
      <c r="J793" s="44" t="e">
        <f t="shared" si="38"/>
        <v>#N/A</v>
      </c>
      <c r="K793" s="36"/>
      <c r="L793" s="18">
        <f>SUM('Shuttle Count - Supreme (Nov 20'!C793:D793)</f>
        <v>0</v>
      </c>
      <c r="M793" s="18" t="e">
        <f>VLOOKUP(K793,'Shuttle Purchase'!A:C,3,0)</f>
        <v>#N/A</v>
      </c>
      <c r="N793" s="44" t="e">
        <f t="shared" si="37"/>
        <v>#N/A</v>
      </c>
      <c r="O793" s="24" t="e">
        <f>VLOOKUP(E793,'Court List'!$A:$C,3,0)</f>
        <v>#N/A</v>
      </c>
      <c r="P793" s="18">
        <f>COUNTIF('Pub List'!$C793:$T793,"&lt;&gt;")</f>
        <v>0</v>
      </c>
      <c r="Q793" s="20" t="e">
        <f t="shared" si="39"/>
        <v>#N/A</v>
      </c>
      <c r="R793" s="36"/>
      <c r="S793" s="18">
        <f>COUNTIF('Member List'!$C793:$J793,"&lt;&gt;")</f>
        <v>0</v>
      </c>
      <c r="T793" s="35"/>
      <c r="U793" s="24">
        <f t="shared" si="40"/>
        <v>0</v>
      </c>
      <c r="V793" s="18" t="e">
        <f t="shared" si="41"/>
        <v>#N/A</v>
      </c>
      <c r="W793" s="45" t="e">
        <f t="shared" si="42"/>
        <v>#N/A</v>
      </c>
      <c r="X793" s="20" t="e">
        <f t="shared" si="43"/>
        <v>#N/A</v>
      </c>
      <c r="Y793" s="46" t="e">
        <f t="shared" si="46"/>
        <v>#N/A</v>
      </c>
      <c r="Z793" s="39" t="e">
        <f t="shared" si="44"/>
        <v>#N/A</v>
      </c>
      <c r="AA793" s="39" t="e">
        <f t="shared" si="45"/>
        <v>#N/A</v>
      </c>
      <c r="AB793" s="39"/>
      <c r="AC793" s="48" t="e">
        <f t="shared" si="47"/>
        <v>#N/A</v>
      </c>
    </row>
    <row r="794" spans="1:29" ht="12.5" x14ac:dyDescent="0.25">
      <c r="A794" s="36"/>
      <c r="B794" s="33"/>
      <c r="C794" s="33"/>
      <c r="D794" s="33"/>
      <c r="E794" s="35"/>
      <c r="F794" s="21"/>
      <c r="G794" s="22" t="e">
        <f>VLOOKUP(E794,'Court List'!$A:$C,2,0)</f>
        <v>#N/A</v>
      </c>
      <c r="H794" s="33"/>
      <c r="I794" s="33"/>
      <c r="J794" s="44" t="e">
        <f t="shared" si="38"/>
        <v>#N/A</v>
      </c>
      <c r="K794" s="36"/>
      <c r="L794" s="18">
        <f>SUM('Shuttle Count - Supreme (Nov 20'!C794:D794)</f>
        <v>0</v>
      </c>
      <c r="M794" s="18" t="e">
        <f>VLOOKUP(K794,'Shuttle Purchase'!A:C,3,0)</f>
        <v>#N/A</v>
      </c>
      <c r="N794" s="44" t="e">
        <f t="shared" si="37"/>
        <v>#N/A</v>
      </c>
      <c r="O794" s="24" t="e">
        <f>VLOOKUP(E794,'Court List'!$A:$C,3,0)</f>
        <v>#N/A</v>
      </c>
      <c r="P794" s="18">
        <f>COUNTIF('Pub List'!$C794:$T794,"&lt;&gt;")</f>
        <v>0</v>
      </c>
      <c r="Q794" s="20" t="e">
        <f t="shared" si="39"/>
        <v>#N/A</v>
      </c>
      <c r="R794" s="36"/>
      <c r="S794" s="18">
        <f>COUNTIF('Member List'!$C794:$J794,"&lt;&gt;")</f>
        <v>0</v>
      </c>
      <c r="T794" s="35"/>
      <c r="U794" s="24">
        <f t="shared" si="40"/>
        <v>0</v>
      </c>
      <c r="V794" s="18" t="e">
        <f t="shared" si="41"/>
        <v>#N/A</v>
      </c>
      <c r="W794" s="45" t="e">
        <f t="shared" si="42"/>
        <v>#N/A</v>
      </c>
      <c r="X794" s="20" t="e">
        <f t="shared" si="43"/>
        <v>#N/A</v>
      </c>
      <c r="Y794" s="46" t="e">
        <f t="shared" si="46"/>
        <v>#N/A</v>
      </c>
      <c r="Z794" s="39" t="e">
        <f t="shared" si="44"/>
        <v>#N/A</v>
      </c>
      <c r="AA794" s="39" t="e">
        <f t="shared" si="45"/>
        <v>#N/A</v>
      </c>
      <c r="AB794" s="39"/>
      <c r="AC794" s="48" t="e">
        <f t="shared" si="47"/>
        <v>#N/A</v>
      </c>
    </row>
    <row r="795" spans="1:29" ht="12.5" x14ac:dyDescent="0.25">
      <c r="A795" s="36"/>
      <c r="B795" s="33"/>
      <c r="C795" s="33"/>
      <c r="D795" s="33"/>
      <c r="E795" s="35"/>
      <c r="F795" s="21"/>
      <c r="G795" s="22" t="e">
        <f>VLOOKUP(E795,'Court List'!$A:$C,2,0)</f>
        <v>#N/A</v>
      </c>
      <c r="H795" s="33"/>
      <c r="I795" s="33"/>
      <c r="J795" s="44" t="e">
        <f t="shared" si="38"/>
        <v>#N/A</v>
      </c>
      <c r="K795" s="36"/>
      <c r="L795" s="18">
        <f>SUM('Shuttle Count - Supreme (Nov 20'!C795:D795)</f>
        <v>0</v>
      </c>
      <c r="M795" s="18" t="e">
        <f>VLOOKUP(K795,'Shuttle Purchase'!A:C,3,0)</f>
        <v>#N/A</v>
      </c>
      <c r="N795" s="44" t="e">
        <f t="shared" si="37"/>
        <v>#N/A</v>
      </c>
      <c r="O795" s="24" t="e">
        <f>VLOOKUP(E795,'Court List'!$A:$C,3,0)</f>
        <v>#N/A</v>
      </c>
      <c r="P795" s="18">
        <f>COUNTIF('Pub List'!$C795:$T795,"&lt;&gt;")</f>
        <v>0</v>
      </c>
      <c r="Q795" s="20" t="e">
        <f t="shared" si="39"/>
        <v>#N/A</v>
      </c>
      <c r="R795" s="36"/>
      <c r="S795" s="18">
        <f>COUNTIF('Member List'!$C795:$J795,"&lt;&gt;")</f>
        <v>0</v>
      </c>
      <c r="T795" s="35"/>
      <c r="U795" s="24">
        <f t="shared" si="40"/>
        <v>0</v>
      </c>
      <c r="V795" s="18" t="e">
        <f t="shared" si="41"/>
        <v>#N/A</v>
      </c>
      <c r="W795" s="45" t="e">
        <f t="shared" si="42"/>
        <v>#N/A</v>
      </c>
      <c r="X795" s="20" t="e">
        <f t="shared" si="43"/>
        <v>#N/A</v>
      </c>
      <c r="Y795" s="46" t="e">
        <f t="shared" si="46"/>
        <v>#N/A</v>
      </c>
      <c r="Z795" s="39" t="e">
        <f t="shared" si="44"/>
        <v>#N/A</v>
      </c>
      <c r="AA795" s="39" t="e">
        <f t="shared" si="45"/>
        <v>#N/A</v>
      </c>
      <c r="AB795" s="39"/>
      <c r="AC795" s="48" t="e">
        <f t="shared" si="47"/>
        <v>#N/A</v>
      </c>
    </row>
    <row r="796" spans="1:29" ht="12.5" x14ac:dyDescent="0.25">
      <c r="A796" s="36"/>
      <c r="B796" s="33"/>
      <c r="C796" s="33"/>
      <c r="D796" s="33"/>
      <c r="E796" s="35"/>
      <c r="F796" s="21"/>
      <c r="G796" s="22" t="e">
        <f>VLOOKUP(E796,'Court List'!$A:$C,2,0)</f>
        <v>#N/A</v>
      </c>
      <c r="H796" s="33"/>
      <c r="I796" s="33"/>
      <c r="J796" s="44" t="e">
        <f t="shared" si="38"/>
        <v>#N/A</v>
      </c>
      <c r="K796" s="36"/>
      <c r="L796" s="18">
        <f>SUM('Shuttle Count - Supreme (Nov 20'!C796:D796)</f>
        <v>0</v>
      </c>
      <c r="M796" s="18" t="e">
        <f>VLOOKUP(K796,'Shuttle Purchase'!A:C,3,0)</f>
        <v>#N/A</v>
      </c>
      <c r="N796" s="44" t="e">
        <f t="shared" si="37"/>
        <v>#N/A</v>
      </c>
      <c r="O796" s="24" t="e">
        <f>VLOOKUP(E796,'Court List'!$A:$C,3,0)</f>
        <v>#N/A</v>
      </c>
      <c r="P796" s="18">
        <f>COUNTIF('Pub List'!$C796:$T796,"&lt;&gt;")</f>
        <v>0</v>
      </c>
      <c r="Q796" s="20" t="e">
        <f t="shared" si="39"/>
        <v>#N/A</v>
      </c>
      <c r="R796" s="36"/>
      <c r="S796" s="18">
        <f>COUNTIF('Member List'!$C796:$J796,"&lt;&gt;")</f>
        <v>0</v>
      </c>
      <c r="T796" s="35"/>
      <c r="U796" s="24">
        <f t="shared" si="40"/>
        <v>0</v>
      </c>
      <c r="V796" s="18" t="e">
        <f t="shared" si="41"/>
        <v>#N/A</v>
      </c>
      <c r="W796" s="45" t="e">
        <f t="shared" si="42"/>
        <v>#N/A</v>
      </c>
      <c r="X796" s="20" t="e">
        <f t="shared" si="43"/>
        <v>#N/A</v>
      </c>
      <c r="Y796" s="46" t="e">
        <f t="shared" si="46"/>
        <v>#N/A</v>
      </c>
      <c r="Z796" s="39" t="e">
        <f t="shared" si="44"/>
        <v>#N/A</v>
      </c>
      <c r="AA796" s="39" t="e">
        <f t="shared" si="45"/>
        <v>#N/A</v>
      </c>
      <c r="AB796" s="39"/>
      <c r="AC796" s="48" t="e">
        <f t="shared" si="47"/>
        <v>#N/A</v>
      </c>
    </row>
    <row r="797" spans="1:29" ht="12.5" x14ac:dyDescent="0.25">
      <c r="A797" s="36"/>
      <c r="B797" s="33"/>
      <c r="C797" s="33"/>
      <c r="D797" s="33"/>
      <c r="E797" s="35"/>
      <c r="F797" s="21"/>
      <c r="G797" s="22" t="e">
        <f>VLOOKUP(E797,'Court List'!$A:$C,2,0)</f>
        <v>#N/A</v>
      </c>
      <c r="H797" s="33"/>
      <c r="I797" s="33"/>
      <c r="J797" s="44" t="e">
        <f t="shared" si="38"/>
        <v>#N/A</v>
      </c>
      <c r="K797" s="36"/>
      <c r="L797" s="18">
        <f>SUM('Shuttle Count - Supreme (Nov 20'!C797:D797)</f>
        <v>0</v>
      </c>
      <c r="M797" s="18" t="e">
        <f>VLOOKUP(K797,'Shuttle Purchase'!A:C,3,0)</f>
        <v>#N/A</v>
      </c>
      <c r="N797" s="44" t="e">
        <f t="shared" si="37"/>
        <v>#N/A</v>
      </c>
      <c r="O797" s="24" t="e">
        <f>VLOOKUP(E797,'Court List'!$A:$C,3,0)</f>
        <v>#N/A</v>
      </c>
      <c r="P797" s="18">
        <f>COUNTIF('Pub List'!$C797:$T797,"&lt;&gt;")</f>
        <v>0</v>
      </c>
      <c r="Q797" s="20" t="e">
        <f t="shared" si="39"/>
        <v>#N/A</v>
      </c>
      <c r="R797" s="36"/>
      <c r="S797" s="18">
        <f>COUNTIF('Member List'!$C797:$J797,"&lt;&gt;")</f>
        <v>0</v>
      </c>
      <c r="T797" s="35"/>
      <c r="U797" s="24">
        <f t="shared" si="40"/>
        <v>0</v>
      </c>
      <c r="V797" s="18" t="e">
        <f t="shared" si="41"/>
        <v>#N/A</v>
      </c>
      <c r="W797" s="45" t="e">
        <f t="shared" si="42"/>
        <v>#N/A</v>
      </c>
      <c r="X797" s="20" t="e">
        <f t="shared" si="43"/>
        <v>#N/A</v>
      </c>
      <c r="Y797" s="46" t="e">
        <f t="shared" si="46"/>
        <v>#N/A</v>
      </c>
      <c r="Z797" s="39" t="e">
        <f t="shared" si="44"/>
        <v>#N/A</v>
      </c>
      <c r="AA797" s="39" t="e">
        <f t="shared" si="45"/>
        <v>#N/A</v>
      </c>
      <c r="AB797" s="39"/>
      <c r="AC797" s="48" t="e">
        <f t="shared" si="47"/>
        <v>#N/A</v>
      </c>
    </row>
    <row r="798" spans="1:29" ht="12.5" x14ac:dyDescent="0.25">
      <c r="A798" s="36"/>
      <c r="B798" s="33"/>
      <c r="C798" s="33"/>
      <c r="D798" s="33"/>
      <c r="E798" s="35"/>
      <c r="F798" s="21"/>
      <c r="G798" s="22" t="e">
        <f>VLOOKUP(E798,'Court List'!$A:$C,2,0)</f>
        <v>#N/A</v>
      </c>
      <c r="H798" s="33"/>
      <c r="I798" s="33"/>
      <c r="J798" s="44" t="e">
        <f t="shared" si="38"/>
        <v>#N/A</v>
      </c>
      <c r="K798" s="36"/>
      <c r="L798" s="18">
        <f>SUM('Shuttle Count - Supreme (Nov 20'!C798:D798)</f>
        <v>0</v>
      </c>
      <c r="M798" s="18" t="e">
        <f>VLOOKUP(K798,'Shuttle Purchase'!A:C,3,0)</f>
        <v>#N/A</v>
      </c>
      <c r="N798" s="44" t="e">
        <f t="shared" si="37"/>
        <v>#N/A</v>
      </c>
      <c r="O798" s="24" t="e">
        <f>VLOOKUP(E798,'Court List'!$A:$C,3,0)</f>
        <v>#N/A</v>
      </c>
      <c r="P798" s="18">
        <f>COUNTIF('Pub List'!$C798:$T798,"&lt;&gt;")</f>
        <v>0</v>
      </c>
      <c r="Q798" s="20" t="e">
        <f t="shared" si="39"/>
        <v>#N/A</v>
      </c>
      <c r="R798" s="36"/>
      <c r="S798" s="18">
        <f>COUNTIF('Member List'!$C798:$J798,"&lt;&gt;")</f>
        <v>0</v>
      </c>
      <c r="T798" s="35"/>
      <c r="U798" s="24">
        <f t="shared" si="40"/>
        <v>0</v>
      </c>
      <c r="V798" s="18" t="e">
        <f t="shared" si="41"/>
        <v>#N/A</v>
      </c>
      <c r="W798" s="45" t="e">
        <f t="shared" si="42"/>
        <v>#N/A</v>
      </c>
      <c r="X798" s="20" t="e">
        <f t="shared" si="43"/>
        <v>#N/A</v>
      </c>
      <c r="Y798" s="46" t="e">
        <f t="shared" si="46"/>
        <v>#N/A</v>
      </c>
      <c r="Z798" s="39" t="e">
        <f t="shared" si="44"/>
        <v>#N/A</v>
      </c>
      <c r="AA798" s="39" t="e">
        <f t="shared" si="45"/>
        <v>#N/A</v>
      </c>
      <c r="AB798" s="39"/>
      <c r="AC798" s="48" t="e">
        <f t="shared" si="47"/>
        <v>#N/A</v>
      </c>
    </row>
    <row r="799" spans="1:29" ht="12.5" x14ac:dyDescent="0.25">
      <c r="A799" s="36"/>
      <c r="B799" s="33"/>
      <c r="C799" s="33"/>
      <c r="D799" s="33"/>
      <c r="E799" s="35"/>
      <c r="F799" s="21"/>
      <c r="G799" s="22" t="e">
        <f>VLOOKUP(E799,'Court List'!$A:$C,2,0)</f>
        <v>#N/A</v>
      </c>
      <c r="H799" s="33"/>
      <c r="I799" s="33"/>
      <c r="J799" s="44" t="e">
        <f t="shared" si="38"/>
        <v>#N/A</v>
      </c>
      <c r="K799" s="36"/>
      <c r="L799" s="18">
        <f>SUM('Shuttle Count - Supreme (Nov 20'!C799:D799)</f>
        <v>0</v>
      </c>
      <c r="M799" s="18" t="e">
        <f>VLOOKUP(K799,'Shuttle Purchase'!A:C,3,0)</f>
        <v>#N/A</v>
      </c>
      <c r="N799" s="44" t="e">
        <f t="shared" si="37"/>
        <v>#N/A</v>
      </c>
      <c r="O799" s="24" t="e">
        <f>VLOOKUP(E799,'Court List'!$A:$C,3,0)</f>
        <v>#N/A</v>
      </c>
      <c r="P799" s="18">
        <f>COUNTIF('Pub List'!$C799:$T799,"&lt;&gt;")</f>
        <v>0</v>
      </c>
      <c r="Q799" s="20" t="e">
        <f t="shared" si="39"/>
        <v>#N/A</v>
      </c>
      <c r="R799" s="36"/>
      <c r="S799" s="18">
        <f>COUNTIF('Member List'!$C799:$J799,"&lt;&gt;")</f>
        <v>0</v>
      </c>
      <c r="T799" s="35"/>
      <c r="U799" s="24">
        <f t="shared" si="40"/>
        <v>0</v>
      </c>
      <c r="V799" s="18" t="e">
        <f t="shared" si="41"/>
        <v>#N/A</v>
      </c>
      <c r="W799" s="45" t="e">
        <f t="shared" si="42"/>
        <v>#N/A</v>
      </c>
      <c r="X799" s="20" t="e">
        <f t="shared" si="43"/>
        <v>#N/A</v>
      </c>
      <c r="Y799" s="46" t="e">
        <f t="shared" si="46"/>
        <v>#N/A</v>
      </c>
      <c r="Z799" s="39" t="e">
        <f t="shared" si="44"/>
        <v>#N/A</v>
      </c>
      <c r="AA799" s="39" t="e">
        <f t="shared" si="45"/>
        <v>#N/A</v>
      </c>
      <c r="AB799" s="39"/>
      <c r="AC799" s="48" t="e">
        <f t="shared" si="47"/>
        <v>#N/A</v>
      </c>
    </row>
    <row r="800" spans="1:29" ht="12.5" x14ac:dyDescent="0.25">
      <c r="A800" s="36"/>
      <c r="B800" s="33"/>
      <c r="C800" s="33"/>
      <c r="D800" s="33"/>
      <c r="E800" s="35"/>
      <c r="F800" s="21"/>
      <c r="G800" s="22" t="e">
        <f>VLOOKUP(E800,'Court List'!$A:$C,2,0)</f>
        <v>#N/A</v>
      </c>
      <c r="H800" s="33"/>
      <c r="I800" s="33"/>
      <c r="J800" s="44" t="e">
        <f t="shared" si="38"/>
        <v>#N/A</v>
      </c>
      <c r="K800" s="36"/>
      <c r="L800" s="18">
        <f>SUM('Shuttle Count - Supreme (Nov 20'!C800:D800)</f>
        <v>0</v>
      </c>
      <c r="M800" s="18" t="e">
        <f>VLOOKUP(K800,'Shuttle Purchase'!A:C,3,0)</f>
        <v>#N/A</v>
      </c>
      <c r="N800" s="44" t="e">
        <f t="shared" si="37"/>
        <v>#N/A</v>
      </c>
      <c r="O800" s="24" t="e">
        <f>VLOOKUP(E800,'Court List'!$A:$C,3,0)</f>
        <v>#N/A</v>
      </c>
      <c r="P800" s="18">
        <f>COUNTIF('Pub List'!$C800:$T800,"&lt;&gt;")</f>
        <v>0</v>
      </c>
      <c r="Q800" s="20" t="e">
        <f t="shared" si="39"/>
        <v>#N/A</v>
      </c>
      <c r="R800" s="36"/>
      <c r="S800" s="18">
        <f>COUNTIF('Member List'!$C800:$J800,"&lt;&gt;")</f>
        <v>0</v>
      </c>
      <c r="T800" s="35"/>
      <c r="U800" s="24">
        <f t="shared" si="40"/>
        <v>0</v>
      </c>
      <c r="V800" s="18" t="e">
        <f t="shared" si="41"/>
        <v>#N/A</v>
      </c>
      <c r="W800" s="45" t="e">
        <f t="shared" si="42"/>
        <v>#N/A</v>
      </c>
      <c r="X800" s="20" t="e">
        <f t="shared" si="43"/>
        <v>#N/A</v>
      </c>
      <c r="Y800" s="46" t="e">
        <f t="shared" si="46"/>
        <v>#N/A</v>
      </c>
      <c r="Z800" s="39" t="e">
        <f t="shared" si="44"/>
        <v>#N/A</v>
      </c>
      <c r="AA800" s="39" t="e">
        <f t="shared" si="45"/>
        <v>#N/A</v>
      </c>
      <c r="AB800" s="39"/>
      <c r="AC800" s="48" t="e">
        <f t="shared" si="47"/>
        <v>#N/A</v>
      </c>
    </row>
    <row r="801" spans="1:29" ht="12.5" x14ac:dyDescent="0.25">
      <c r="A801" s="36"/>
      <c r="B801" s="33"/>
      <c r="C801" s="33"/>
      <c r="D801" s="33"/>
      <c r="E801" s="35"/>
      <c r="F801" s="21"/>
      <c r="G801" s="22" t="e">
        <f>VLOOKUP(E801,'Court List'!$A:$C,2,0)</f>
        <v>#N/A</v>
      </c>
      <c r="H801" s="33"/>
      <c r="I801" s="33"/>
      <c r="J801" s="44" t="e">
        <f t="shared" si="38"/>
        <v>#N/A</v>
      </c>
      <c r="K801" s="36"/>
      <c r="L801" s="18">
        <f>SUM('Shuttle Count - Supreme (Nov 20'!C801:D801)</f>
        <v>0</v>
      </c>
      <c r="M801" s="18" t="e">
        <f>VLOOKUP(K801,'Shuttle Purchase'!A:C,3,0)</f>
        <v>#N/A</v>
      </c>
      <c r="N801" s="44" t="e">
        <f t="shared" si="37"/>
        <v>#N/A</v>
      </c>
      <c r="O801" s="24" t="e">
        <f>VLOOKUP(E801,'Court List'!$A:$C,3,0)</f>
        <v>#N/A</v>
      </c>
      <c r="P801" s="18">
        <f>COUNTIF('Pub List'!$C801:$T801,"&lt;&gt;")</f>
        <v>0</v>
      </c>
      <c r="Q801" s="20" t="e">
        <f t="shared" si="39"/>
        <v>#N/A</v>
      </c>
      <c r="R801" s="36"/>
      <c r="S801" s="18">
        <f>COUNTIF('Member List'!$C801:$J801,"&lt;&gt;")</f>
        <v>0</v>
      </c>
      <c r="T801" s="35"/>
      <c r="U801" s="24">
        <f t="shared" si="40"/>
        <v>0</v>
      </c>
      <c r="V801" s="18" t="e">
        <f t="shared" si="41"/>
        <v>#N/A</v>
      </c>
      <c r="W801" s="45" t="e">
        <f t="shared" si="42"/>
        <v>#N/A</v>
      </c>
      <c r="X801" s="20" t="e">
        <f t="shared" si="43"/>
        <v>#N/A</v>
      </c>
      <c r="Y801" s="46" t="e">
        <f t="shared" si="46"/>
        <v>#N/A</v>
      </c>
      <c r="Z801" s="39" t="e">
        <f t="shared" si="44"/>
        <v>#N/A</v>
      </c>
      <c r="AA801" s="39" t="e">
        <f t="shared" si="45"/>
        <v>#N/A</v>
      </c>
      <c r="AB801" s="39"/>
      <c r="AC801" s="48" t="e">
        <f t="shared" si="47"/>
        <v>#N/A</v>
      </c>
    </row>
    <row r="802" spans="1:29" ht="12.5" x14ac:dyDescent="0.25">
      <c r="A802" s="36"/>
      <c r="B802" s="33"/>
      <c r="C802" s="33"/>
      <c r="D802" s="33"/>
      <c r="E802" s="35"/>
      <c r="F802" s="21"/>
      <c r="G802" s="22" t="e">
        <f>VLOOKUP(E802,'Court List'!$A:$C,2,0)</f>
        <v>#N/A</v>
      </c>
      <c r="H802" s="33"/>
      <c r="I802" s="33"/>
      <c r="J802" s="44" t="e">
        <f t="shared" si="38"/>
        <v>#N/A</v>
      </c>
      <c r="K802" s="36"/>
      <c r="L802" s="18">
        <f>SUM('Shuttle Count - Supreme (Nov 20'!C802:D802)</f>
        <v>0</v>
      </c>
      <c r="M802" s="18" t="e">
        <f>VLOOKUP(K802,'Shuttle Purchase'!A:C,3,0)</f>
        <v>#N/A</v>
      </c>
      <c r="N802" s="44" t="e">
        <f t="shared" si="37"/>
        <v>#N/A</v>
      </c>
      <c r="O802" s="24" t="e">
        <f>VLOOKUP(E802,'Court List'!$A:$C,3,0)</f>
        <v>#N/A</v>
      </c>
      <c r="P802" s="18">
        <f>COUNTIF('Pub List'!$C802:$T802,"&lt;&gt;")</f>
        <v>0</v>
      </c>
      <c r="Q802" s="20" t="e">
        <f t="shared" si="39"/>
        <v>#N/A</v>
      </c>
      <c r="R802" s="36"/>
      <c r="S802" s="18">
        <f>COUNTIF('Member List'!$C802:$J802,"&lt;&gt;")</f>
        <v>0</v>
      </c>
      <c r="T802" s="35"/>
      <c r="U802" s="24">
        <f t="shared" si="40"/>
        <v>0</v>
      </c>
      <c r="V802" s="18" t="e">
        <f t="shared" si="41"/>
        <v>#N/A</v>
      </c>
      <c r="W802" s="45" t="e">
        <f t="shared" si="42"/>
        <v>#N/A</v>
      </c>
      <c r="X802" s="20" t="e">
        <f t="shared" si="43"/>
        <v>#N/A</v>
      </c>
      <c r="Y802" s="46" t="e">
        <f t="shared" si="46"/>
        <v>#N/A</v>
      </c>
      <c r="Z802" s="39" t="e">
        <f t="shared" si="44"/>
        <v>#N/A</v>
      </c>
      <c r="AA802" s="39" t="e">
        <f t="shared" si="45"/>
        <v>#N/A</v>
      </c>
      <c r="AB802" s="39"/>
      <c r="AC802" s="48" t="e">
        <f t="shared" si="47"/>
        <v>#N/A</v>
      </c>
    </row>
    <row r="803" spans="1:29" ht="12.5" x14ac:dyDescent="0.25">
      <c r="A803" s="36"/>
      <c r="B803" s="33"/>
      <c r="C803" s="33"/>
      <c r="D803" s="33"/>
      <c r="E803" s="35"/>
      <c r="F803" s="21"/>
      <c r="G803" s="22" t="e">
        <f>VLOOKUP(E803,'Court List'!$A:$C,2,0)</f>
        <v>#N/A</v>
      </c>
      <c r="H803" s="33"/>
      <c r="I803" s="33"/>
      <c r="J803" s="44" t="e">
        <f t="shared" si="38"/>
        <v>#N/A</v>
      </c>
      <c r="K803" s="36"/>
      <c r="L803" s="18">
        <f>SUM('Shuttle Count - Supreme (Nov 20'!C803:D803)</f>
        <v>0</v>
      </c>
      <c r="M803" s="18" t="e">
        <f>VLOOKUP(K803,'Shuttle Purchase'!A:C,3,0)</f>
        <v>#N/A</v>
      </c>
      <c r="N803" s="44" t="e">
        <f t="shared" si="37"/>
        <v>#N/A</v>
      </c>
      <c r="O803" s="24" t="e">
        <f>VLOOKUP(E803,'Court List'!$A:$C,3,0)</f>
        <v>#N/A</v>
      </c>
      <c r="P803" s="18">
        <f>COUNTIF('Pub List'!$C803:$T803,"&lt;&gt;")</f>
        <v>0</v>
      </c>
      <c r="Q803" s="20" t="e">
        <f t="shared" si="39"/>
        <v>#N/A</v>
      </c>
      <c r="R803" s="36"/>
      <c r="S803" s="18">
        <f>COUNTIF('Member List'!$C803:$J803,"&lt;&gt;")</f>
        <v>0</v>
      </c>
      <c r="T803" s="35"/>
      <c r="U803" s="24">
        <f t="shared" si="40"/>
        <v>0</v>
      </c>
      <c r="V803" s="18" t="e">
        <f t="shared" si="41"/>
        <v>#N/A</v>
      </c>
      <c r="W803" s="45" t="e">
        <f t="shared" si="42"/>
        <v>#N/A</v>
      </c>
      <c r="X803" s="20" t="e">
        <f t="shared" si="43"/>
        <v>#N/A</v>
      </c>
      <c r="Y803" s="46" t="e">
        <f t="shared" si="46"/>
        <v>#N/A</v>
      </c>
      <c r="Z803" s="39" t="e">
        <f t="shared" si="44"/>
        <v>#N/A</v>
      </c>
      <c r="AA803" s="39" t="e">
        <f t="shared" si="45"/>
        <v>#N/A</v>
      </c>
      <c r="AB803" s="39"/>
      <c r="AC803" s="48" t="e">
        <f t="shared" si="47"/>
        <v>#N/A</v>
      </c>
    </row>
    <row r="804" spans="1:29" ht="12.5" x14ac:dyDescent="0.25">
      <c r="A804" s="36"/>
      <c r="B804" s="33"/>
      <c r="C804" s="33"/>
      <c r="D804" s="33"/>
      <c r="E804" s="35"/>
      <c r="F804" s="21"/>
      <c r="G804" s="22" t="e">
        <f>VLOOKUP(E804,'Court List'!$A:$C,2,0)</f>
        <v>#N/A</v>
      </c>
      <c r="H804" s="33"/>
      <c r="I804" s="33"/>
      <c r="J804" s="44" t="e">
        <f t="shared" si="38"/>
        <v>#N/A</v>
      </c>
      <c r="K804" s="36"/>
      <c r="L804" s="18">
        <f>SUM('Shuttle Count - Supreme (Nov 20'!C804:D804)</f>
        <v>0</v>
      </c>
      <c r="M804" s="18" t="e">
        <f>VLOOKUP(K804,'Shuttle Purchase'!A:C,3,0)</f>
        <v>#N/A</v>
      </c>
      <c r="N804" s="44" t="e">
        <f t="shared" si="37"/>
        <v>#N/A</v>
      </c>
      <c r="O804" s="24" t="e">
        <f>VLOOKUP(E804,'Court List'!$A:$C,3,0)</f>
        <v>#N/A</v>
      </c>
      <c r="P804" s="18">
        <f>COUNTIF('Pub List'!$C804:$T804,"&lt;&gt;")</f>
        <v>0</v>
      </c>
      <c r="Q804" s="20" t="e">
        <f t="shared" si="39"/>
        <v>#N/A</v>
      </c>
      <c r="R804" s="36"/>
      <c r="S804" s="18">
        <f>COUNTIF('Member List'!$C804:$J804,"&lt;&gt;")</f>
        <v>0</v>
      </c>
      <c r="T804" s="35"/>
      <c r="U804" s="24">
        <f t="shared" si="40"/>
        <v>0</v>
      </c>
      <c r="V804" s="18" t="e">
        <f t="shared" si="41"/>
        <v>#N/A</v>
      </c>
      <c r="W804" s="45" t="e">
        <f t="shared" si="42"/>
        <v>#N/A</v>
      </c>
      <c r="X804" s="20" t="e">
        <f t="shared" si="43"/>
        <v>#N/A</v>
      </c>
      <c r="Y804" s="46" t="e">
        <f t="shared" si="46"/>
        <v>#N/A</v>
      </c>
      <c r="Z804" s="39" t="e">
        <f t="shared" si="44"/>
        <v>#N/A</v>
      </c>
      <c r="AA804" s="39" t="e">
        <f t="shared" si="45"/>
        <v>#N/A</v>
      </c>
      <c r="AB804" s="39"/>
      <c r="AC804" s="48" t="e">
        <f t="shared" si="47"/>
        <v>#N/A</v>
      </c>
    </row>
    <row r="805" spans="1:29" ht="12.5" x14ac:dyDescent="0.25">
      <c r="A805" s="36"/>
      <c r="B805" s="33"/>
      <c r="C805" s="33"/>
      <c r="D805" s="33"/>
      <c r="E805" s="35"/>
      <c r="F805" s="21"/>
      <c r="G805" s="22" t="e">
        <f>VLOOKUP(E805,'Court List'!$A:$C,2,0)</f>
        <v>#N/A</v>
      </c>
      <c r="H805" s="33"/>
      <c r="I805" s="33"/>
      <c r="J805" s="44" t="e">
        <f t="shared" si="38"/>
        <v>#N/A</v>
      </c>
      <c r="K805" s="36"/>
      <c r="L805" s="18">
        <f>SUM('Shuttle Count - Supreme (Nov 20'!C805:D805)</f>
        <v>0</v>
      </c>
      <c r="M805" s="18" t="e">
        <f>VLOOKUP(K805,'Shuttle Purchase'!A:C,3,0)</f>
        <v>#N/A</v>
      </c>
      <c r="N805" s="44" t="e">
        <f t="shared" si="37"/>
        <v>#N/A</v>
      </c>
      <c r="O805" s="24" t="e">
        <f>VLOOKUP(E805,'Court List'!$A:$C,3,0)</f>
        <v>#N/A</v>
      </c>
      <c r="P805" s="18">
        <f>COUNTIF('Pub List'!$C805:$T805,"&lt;&gt;")</f>
        <v>0</v>
      </c>
      <c r="Q805" s="20" t="e">
        <f t="shared" si="39"/>
        <v>#N/A</v>
      </c>
      <c r="R805" s="36"/>
      <c r="S805" s="18">
        <f>COUNTIF('Member List'!$C805:$J805,"&lt;&gt;")</f>
        <v>0</v>
      </c>
      <c r="T805" s="35"/>
      <c r="U805" s="24">
        <f t="shared" si="40"/>
        <v>0</v>
      </c>
      <c r="V805" s="18" t="e">
        <f t="shared" si="41"/>
        <v>#N/A</v>
      </c>
      <c r="W805" s="45" t="e">
        <f t="shared" si="42"/>
        <v>#N/A</v>
      </c>
      <c r="X805" s="20" t="e">
        <f t="shared" si="43"/>
        <v>#N/A</v>
      </c>
      <c r="Y805" s="46" t="e">
        <f t="shared" si="46"/>
        <v>#N/A</v>
      </c>
      <c r="Z805" s="39" t="e">
        <f t="shared" si="44"/>
        <v>#N/A</v>
      </c>
      <c r="AA805" s="39" t="e">
        <f t="shared" si="45"/>
        <v>#N/A</v>
      </c>
      <c r="AB805" s="39"/>
      <c r="AC805" s="48" t="e">
        <f t="shared" si="47"/>
        <v>#N/A</v>
      </c>
    </row>
    <row r="806" spans="1:29" ht="12.5" x14ac:dyDescent="0.25">
      <c r="A806" s="36"/>
      <c r="B806" s="33"/>
      <c r="C806" s="33"/>
      <c r="D806" s="33"/>
      <c r="E806" s="35"/>
      <c r="F806" s="21"/>
      <c r="G806" s="22" t="e">
        <f>VLOOKUP(E806,'Court List'!$A:$C,2,0)</f>
        <v>#N/A</v>
      </c>
      <c r="H806" s="33"/>
      <c r="I806" s="33"/>
      <c r="J806" s="44" t="e">
        <f t="shared" si="38"/>
        <v>#N/A</v>
      </c>
      <c r="K806" s="36"/>
      <c r="L806" s="18">
        <f>SUM('Shuttle Count - Supreme (Nov 20'!C806:D806)</f>
        <v>0</v>
      </c>
      <c r="M806" s="18" t="e">
        <f>VLOOKUP(K806,'Shuttle Purchase'!A:C,3,0)</f>
        <v>#N/A</v>
      </c>
      <c r="N806" s="44" t="e">
        <f t="shared" si="37"/>
        <v>#N/A</v>
      </c>
      <c r="O806" s="24" t="e">
        <f>VLOOKUP(E806,'Court List'!$A:$C,3,0)</f>
        <v>#N/A</v>
      </c>
      <c r="P806" s="18">
        <f>COUNTIF('Pub List'!$C806:$T806,"&lt;&gt;")</f>
        <v>0</v>
      </c>
      <c r="Q806" s="20" t="e">
        <f t="shared" si="39"/>
        <v>#N/A</v>
      </c>
      <c r="R806" s="36"/>
      <c r="S806" s="18">
        <f>COUNTIF('Member List'!$C806:$J806,"&lt;&gt;")</f>
        <v>0</v>
      </c>
      <c r="T806" s="35"/>
      <c r="U806" s="24">
        <f t="shared" si="40"/>
        <v>0</v>
      </c>
      <c r="V806" s="18" t="e">
        <f t="shared" si="41"/>
        <v>#N/A</v>
      </c>
      <c r="W806" s="45" t="e">
        <f t="shared" si="42"/>
        <v>#N/A</v>
      </c>
      <c r="X806" s="20" t="e">
        <f t="shared" si="43"/>
        <v>#N/A</v>
      </c>
      <c r="Y806" s="46" t="e">
        <f t="shared" si="46"/>
        <v>#N/A</v>
      </c>
      <c r="Z806" s="39" t="e">
        <f t="shared" si="44"/>
        <v>#N/A</v>
      </c>
      <c r="AA806" s="39" t="e">
        <f t="shared" si="45"/>
        <v>#N/A</v>
      </c>
      <c r="AB806" s="39"/>
      <c r="AC806" s="48" t="e">
        <f t="shared" si="47"/>
        <v>#N/A</v>
      </c>
    </row>
    <row r="807" spans="1:29" ht="12.5" x14ac:dyDescent="0.25">
      <c r="A807" s="36"/>
      <c r="B807" s="33"/>
      <c r="C807" s="33"/>
      <c r="D807" s="33"/>
      <c r="E807" s="35"/>
      <c r="F807" s="21"/>
      <c r="G807" s="22" t="e">
        <f>VLOOKUP(E807,'Court List'!$A:$C,2,0)</f>
        <v>#N/A</v>
      </c>
      <c r="H807" s="33"/>
      <c r="I807" s="33"/>
      <c r="J807" s="44" t="e">
        <f t="shared" si="38"/>
        <v>#N/A</v>
      </c>
      <c r="K807" s="36"/>
      <c r="L807" s="18">
        <f>SUM('Shuttle Count - Supreme (Nov 20'!C807:D807)</f>
        <v>0</v>
      </c>
      <c r="M807" s="18" t="e">
        <f>VLOOKUP(K807,'Shuttle Purchase'!A:C,3,0)</f>
        <v>#N/A</v>
      </c>
      <c r="N807" s="44" t="e">
        <f t="shared" si="37"/>
        <v>#N/A</v>
      </c>
      <c r="O807" s="24" t="e">
        <f>VLOOKUP(E807,'Court List'!$A:$C,3,0)</f>
        <v>#N/A</v>
      </c>
      <c r="P807" s="18">
        <f>COUNTIF('Pub List'!$C807:$T807,"&lt;&gt;")</f>
        <v>0</v>
      </c>
      <c r="Q807" s="20" t="e">
        <f t="shared" si="39"/>
        <v>#N/A</v>
      </c>
      <c r="R807" s="36"/>
      <c r="S807" s="18">
        <f>COUNTIF('Member List'!$C807:$J807,"&lt;&gt;")</f>
        <v>0</v>
      </c>
      <c r="T807" s="35"/>
      <c r="U807" s="24">
        <f t="shared" si="40"/>
        <v>0</v>
      </c>
      <c r="V807" s="18" t="e">
        <f t="shared" si="41"/>
        <v>#N/A</v>
      </c>
      <c r="W807" s="45" t="e">
        <f t="shared" si="42"/>
        <v>#N/A</v>
      </c>
      <c r="X807" s="20" t="e">
        <f t="shared" si="43"/>
        <v>#N/A</v>
      </c>
      <c r="Y807" s="46" t="e">
        <f t="shared" si="46"/>
        <v>#N/A</v>
      </c>
      <c r="Z807" s="39" t="e">
        <f t="shared" si="44"/>
        <v>#N/A</v>
      </c>
      <c r="AA807" s="39" t="e">
        <f t="shared" si="45"/>
        <v>#N/A</v>
      </c>
      <c r="AB807" s="39"/>
      <c r="AC807" s="48" t="e">
        <f t="shared" si="47"/>
        <v>#N/A</v>
      </c>
    </row>
    <row r="808" spans="1:29" ht="12.5" x14ac:dyDescent="0.25">
      <c r="A808" s="36"/>
      <c r="B808" s="33"/>
      <c r="C808" s="33"/>
      <c r="D808" s="33"/>
      <c r="E808" s="35"/>
      <c r="F808" s="21"/>
      <c r="G808" s="22" t="e">
        <f>VLOOKUP(E808,'Court List'!$A:$C,2,0)</f>
        <v>#N/A</v>
      </c>
      <c r="H808" s="33"/>
      <c r="I808" s="33"/>
      <c r="J808" s="44" t="e">
        <f t="shared" si="38"/>
        <v>#N/A</v>
      </c>
      <c r="K808" s="36"/>
      <c r="L808" s="18">
        <f>SUM('Shuttle Count - Supreme (Nov 20'!C808:D808)</f>
        <v>0</v>
      </c>
      <c r="M808" s="18" t="e">
        <f>VLOOKUP(K808,'Shuttle Purchase'!A:C,3,0)</f>
        <v>#N/A</v>
      </c>
      <c r="N808" s="44" t="e">
        <f t="shared" si="37"/>
        <v>#N/A</v>
      </c>
      <c r="O808" s="24" t="e">
        <f>VLOOKUP(E808,'Court List'!$A:$C,3,0)</f>
        <v>#N/A</v>
      </c>
      <c r="P808" s="18">
        <f>COUNTIF('Pub List'!$C808:$T808,"&lt;&gt;")</f>
        <v>0</v>
      </c>
      <c r="Q808" s="20" t="e">
        <f t="shared" si="39"/>
        <v>#N/A</v>
      </c>
      <c r="R808" s="36"/>
      <c r="S808" s="18">
        <f>COUNTIF('Member List'!$C808:$J808,"&lt;&gt;")</f>
        <v>0</v>
      </c>
      <c r="T808" s="35"/>
      <c r="U808" s="24">
        <f t="shared" si="40"/>
        <v>0</v>
      </c>
      <c r="V808" s="18" t="e">
        <f t="shared" si="41"/>
        <v>#N/A</v>
      </c>
      <c r="W808" s="45" t="e">
        <f t="shared" si="42"/>
        <v>#N/A</v>
      </c>
      <c r="X808" s="20" t="e">
        <f t="shared" si="43"/>
        <v>#N/A</v>
      </c>
      <c r="Y808" s="46" t="e">
        <f t="shared" si="46"/>
        <v>#N/A</v>
      </c>
      <c r="Z808" s="39" t="e">
        <f t="shared" si="44"/>
        <v>#N/A</v>
      </c>
      <c r="AA808" s="39" t="e">
        <f t="shared" si="45"/>
        <v>#N/A</v>
      </c>
      <c r="AB808" s="39"/>
      <c r="AC808" s="48" t="e">
        <f t="shared" si="47"/>
        <v>#N/A</v>
      </c>
    </row>
    <row r="809" spans="1:29" ht="12.5" x14ac:dyDescent="0.25">
      <c r="A809" s="36"/>
      <c r="B809" s="33"/>
      <c r="C809" s="33"/>
      <c r="D809" s="33"/>
      <c r="E809" s="35"/>
      <c r="F809" s="21"/>
      <c r="G809" s="22" t="e">
        <f>VLOOKUP(E809,'Court List'!$A:$C,2,0)</f>
        <v>#N/A</v>
      </c>
      <c r="H809" s="33"/>
      <c r="I809" s="33"/>
      <c r="J809" s="44" t="e">
        <f t="shared" si="38"/>
        <v>#N/A</v>
      </c>
      <c r="K809" s="36"/>
      <c r="L809" s="18">
        <f>SUM('Shuttle Count - Supreme (Nov 20'!C809:D809)</f>
        <v>0</v>
      </c>
      <c r="M809" s="18" t="e">
        <f>VLOOKUP(K809,'Shuttle Purchase'!A:C,3,0)</f>
        <v>#N/A</v>
      </c>
      <c r="N809" s="44" t="e">
        <f t="shared" si="37"/>
        <v>#N/A</v>
      </c>
      <c r="O809" s="24" t="e">
        <f>VLOOKUP(E809,'Court List'!$A:$C,3,0)</f>
        <v>#N/A</v>
      </c>
      <c r="P809" s="18">
        <f>COUNTIF('Pub List'!$C809:$T809,"&lt;&gt;")</f>
        <v>0</v>
      </c>
      <c r="Q809" s="20" t="e">
        <f t="shared" si="39"/>
        <v>#N/A</v>
      </c>
      <c r="R809" s="36"/>
      <c r="S809" s="18">
        <f>COUNTIF('Member List'!$C809:$J809,"&lt;&gt;")</f>
        <v>0</v>
      </c>
      <c r="T809" s="35"/>
      <c r="U809" s="24">
        <f t="shared" si="40"/>
        <v>0</v>
      </c>
      <c r="V809" s="18" t="e">
        <f t="shared" si="41"/>
        <v>#N/A</v>
      </c>
      <c r="W809" s="45" t="e">
        <f t="shared" si="42"/>
        <v>#N/A</v>
      </c>
      <c r="X809" s="20" t="e">
        <f t="shared" si="43"/>
        <v>#N/A</v>
      </c>
      <c r="Y809" s="46" t="e">
        <f t="shared" si="46"/>
        <v>#N/A</v>
      </c>
      <c r="Z809" s="39" t="e">
        <f t="shared" si="44"/>
        <v>#N/A</v>
      </c>
      <c r="AA809" s="39" t="e">
        <f t="shared" si="45"/>
        <v>#N/A</v>
      </c>
      <c r="AB809" s="39"/>
      <c r="AC809" s="48" t="e">
        <f t="shared" si="47"/>
        <v>#N/A</v>
      </c>
    </row>
    <row r="810" spans="1:29" ht="12.5" x14ac:dyDescent="0.25">
      <c r="A810" s="36"/>
      <c r="B810" s="33"/>
      <c r="C810" s="33"/>
      <c r="D810" s="33"/>
      <c r="E810" s="35"/>
      <c r="F810" s="21"/>
      <c r="G810" s="22" t="e">
        <f>VLOOKUP(E810,'Court List'!$A:$C,2,0)</f>
        <v>#N/A</v>
      </c>
      <c r="H810" s="33"/>
      <c r="I810" s="33"/>
      <c r="J810" s="44" t="e">
        <f t="shared" si="38"/>
        <v>#N/A</v>
      </c>
      <c r="K810" s="36"/>
      <c r="L810" s="18">
        <f>SUM('Shuttle Count - Supreme (Nov 20'!C810:D810)</f>
        <v>0</v>
      </c>
      <c r="M810" s="18" t="e">
        <f>VLOOKUP(K810,'Shuttle Purchase'!A:C,3,0)</f>
        <v>#N/A</v>
      </c>
      <c r="N810" s="44" t="e">
        <f t="shared" si="37"/>
        <v>#N/A</v>
      </c>
      <c r="O810" s="24" t="e">
        <f>VLOOKUP(E810,'Court List'!$A:$C,3,0)</f>
        <v>#N/A</v>
      </c>
      <c r="P810" s="18">
        <f>COUNTIF('Pub List'!$C810:$T810,"&lt;&gt;")</f>
        <v>0</v>
      </c>
      <c r="Q810" s="20" t="e">
        <f t="shared" si="39"/>
        <v>#N/A</v>
      </c>
      <c r="R810" s="36"/>
      <c r="S810" s="18">
        <f>COUNTIF('Member List'!$C810:$J810,"&lt;&gt;")</f>
        <v>0</v>
      </c>
      <c r="T810" s="35"/>
      <c r="U810" s="24">
        <f t="shared" si="40"/>
        <v>0</v>
      </c>
      <c r="V810" s="18" t="e">
        <f t="shared" si="41"/>
        <v>#N/A</v>
      </c>
      <c r="W810" s="45" t="e">
        <f t="shared" si="42"/>
        <v>#N/A</v>
      </c>
      <c r="X810" s="20" t="e">
        <f t="shared" si="43"/>
        <v>#N/A</v>
      </c>
      <c r="Y810" s="46" t="e">
        <f t="shared" si="46"/>
        <v>#N/A</v>
      </c>
      <c r="Z810" s="39" t="e">
        <f t="shared" si="44"/>
        <v>#N/A</v>
      </c>
      <c r="AA810" s="39" t="e">
        <f t="shared" si="45"/>
        <v>#N/A</v>
      </c>
      <c r="AB810" s="39"/>
      <c r="AC810" s="48" t="e">
        <f t="shared" si="47"/>
        <v>#N/A</v>
      </c>
    </row>
    <row r="811" spans="1:29" ht="12.5" x14ac:dyDescent="0.25">
      <c r="A811" s="36"/>
      <c r="B811" s="33"/>
      <c r="C811" s="33"/>
      <c r="D811" s="33"/>
      <c r="E811" s="35"/>
      <c r="F811" s="21"/>
      <c r="G811" s="22" t="e">
        <f>VLOOKUP(E811,'Court List'!$A:$C,2,0)</f>
        <v>#N/A</v>
      </c>
      <c r="H811" s="33"/>
      <c r="I811" s="33"/>
      <c r="J811" s="44" t="e">
        <f t="shared" si="38"/>
        <v>#N/A</v>
      </c>
      <c r="K811" s="36"/>
      <c r="L811" s="18">
        <f>SUM('Shuttle Count - Supreme (Nov 20'!C811:D811)</f>
        <v>0</v>
      </c>
      <c r="M811" s="18" t="e">
        <f>VLOOKUP(K811,'Shuttle Purchase'!A:C,3,0)</f>
        <v>#N/A</v>
      </c>
      <c r="N811" s="44" t="e">
        <f t="shared" si="37"/>
        <v>#N/A</v>
      </c>
      <c r="O811" s="24" t="e">
        <f>VLOOKUP(E811,'Court List'!$A:$C,3,0)</f>
        <v>#N/A</v>
      </c>
      <c r="P811" s="18">
        <f>COUNTIF('Pub List'!$C811:$T811,"&lt;&gt;")</f>
        <v>0</v>
      </c>
      <c r="Q811" s="20" t="e">
        <f t="shared" si="39"/>
        <v>#N/A</v>
      </c>
      <c r="R811" s="36"/>
      <c r="S811" s="18">
        <f>COUNTIF('Member List'!$C811:$J811,"&lt;&gt;")</f>
        <v>0</v>
      </c>
      <c r="T811" s="35"/>
      <c r="U811" s="24">
        <f t="shared" si="40"/>
        <v>0</v>
      </c>
      <c r="V811" s="18" t="e">
        <f t="shared" si="41"/>
        <v>#N/A</v>
      </c>
      <c r="W811" s="45" t="e">
        <f t="shared" si="42"/>
        <v>#N/A</v>
      </c>
      <c r="X811" s="20" t="e">
        <f t="shared" si="43"/>
        <v>#N/A</v>
      </c>
      <c r="Y811" s="46" t="e">
        <f t="shared" si="46"/>
        <v>#N/A</v>
      </c>
      <c r="Z811" s="39" t="e">
        <f t="shared" si="44"/>
        <v>#N/A</v>
      </c>
      <c r="AA811" s="39" t="e">
        <f t="shared" si="45"/>
        <v>#N/A</v>
      </c>
      <c r="AB811" s="39"/>
      <c r="AC811" s="48" t="e">
        <f t="shared" si="47"/>
        <v>#N/A</v>
      </c>
    </row>
    <row r="812" spans="1:29" ht="12.5" x14ac:dyDescent="0.25">
      <c r="A812" s="36"/>
      <c r="B812" s="33"/>
      <c r="C812" s="33"/>
      <c r="D812" s="33"/>
      <c r="E812" s="35"/>
      <c r="F812" s="21"/>
      <c r="G812" s="22" t="e">
        <f>VLOOKUP(E812,'Court List'!$A:$C,2,0)</f>
        <v>#N/A</v>
      </c>
      <c r="H812" s="33"/>
      <c r="I812" s="33"/>
      <c r="J812" s="44" t="e">
        <f t="shared" si="38"/>
        <v>#N/A</v>
      </c>
      <c r="K812" s="36"/>
      <c r="L812" s="18">
        <f>SUM('Shuttle Count - Supreme (Nov 20'!C812:D812)</f>
        <v>0</v>
      </c>
      <c r="M812" s="18" t="e">
        <f>VLOOKUP(K812,'Shuttle Purchase'!A:C,3,0)</f>
        <v>#N/A</v>
      </c>
      <c r="N812" s="44" t="e">
        <f t="shared" si="37"/>
        <v>#N/A</v>
      </c>
      <c r="O812" s="24" t="e">
        <f>VLOOKUP(E812,'Court List'!$A:$C,3,0)</f>
        <v>#N/A</v>
      </c>
      <c r="P812" s="18">
        <f>COUNTIF('Pub List'!$C812:$T812,"&lt;&gt;")</f>
        <v>0</v>
      </c>
      <c r="Q812" s="20" t="e">
        <f t="shared" si="39"/>
        <v>#N/A</v>
      </c>
      <c r="R812" s="36"/>
      <c r="S812" s="18">
        <f>COUNTIF('Member List'!$C812:$J812,"&lt;&gt;")</f>
        <v>0</v>
      </c>
      <c r="T812" s="35"/>
      <c r="U812" s="24">
        <f t="shared" si="40"/>
        <v>0</v>
      </c>
      <c r="V812" s="18" t="e">
        <f t="shared" si="41"/>
        <v>#N/A</v>
      </c>
      <c r="W812" s="45" t="e">
        <f t="shared" si="42"/>
        <v>#N/A</v>
      </c>
      <c r="X812" s="20" t="e">
        <f t="shared" si="43"/>
        <v>#N/A</v>
      </c>
      <c r="Y812" s="46" t="e">
        <f t="shared" si="46"/>
        <v>#N/A</v>
      </c>
      <c r="Z812" s="39" t="e">
        <f t="shared" si="44"/>
        <v>#N/A</v>
      </c>
      <c r="AA812" s="39" t="e">
        <f t="shared" si="45"/>
        <v>#N/A</v>
      </c>
      <c r="AB812" s="39"/>
      <c r="AC812" s="48" t="e">
        <f t="shared" si="47"/>
        <v>#N/A</v>
      </c>
    </row>
    <row r="813" spans="1:29" ht="12.5" x14ac:dyDescent="0.25">
      <c r="A813" s="36"/>
      <c r="B813" s="33"/>
      <c r="C813" s="33"/>
      <c r="D813" s="33"/>
      <c r="E813" s="35"/>
      <c r="F813" s="21"/>
      <c r="G813" s="22" t="e">
        <f>VLOOKUP(E813,'Court List'!$A:$C,2,0)</f>
        <v>#N/A</v>
      </c>
      <c r="H813" s="33"/>
      <c r="I813" s="33"/>
      <c r="J813" s="44" t="e">
        <f t="shared" si="38"/>
        <v>#N/A</v>
      </c>
      <c r="K813" s="36"/>
      <c r="L813" s="18">
        <f>SUM('Shuttle Count - Supreme (Nov 20'!C813:D813)</f>
        <v>0</v>
      </c>
      <c r="M813" s="18" t="e">
        <f>VLOOKUP(K813,'Shuttle Purchase'!A:C,3,0)</f>
        <v>#N/A</v>
      </c>
      <c r="N813" s="44" t="e">
        <f t="shared" si="37"/>
        <v>#N/A</v>
      </c>
      <c r="O813" s="24" t="e">
        <f>VLOOKUP(E813,'Court List'!$A:$C,3,0)</f>
        <v>#N/A</v>
      </c>
      <c r="P813" s="18">
        <f>COUNTIF('Pub List'!$C813:$T813,"&lt;&gt;")</f>
        <v>0</v>
      </c>
      <c r="Q813" s="20" t="e">
        <f t="shared" si="39"/>
        <v>#N/A</v>
      </c>
      <c r="R813" s="36"/>
      <c r="S813" s="18">
        <f>COUNTIF('Member List'!$C813:$J813,"&lt;&gt;")</f>
        <v>0</v>
      </c>
      <c r="T813" s="35"/>
      <c r="U813" s="24">
        <f t="shared" si="40"/>
        <v>0</v>
      </c>
      <c r="V813" s="18" t="e">
        <f t="shared" si="41"/>
        <v>#N/A</v>
      </c>
      <c r="W813" s="45" t="e">
        <f t="shared" si="42"/>
        <v>#N/A</v>
      </c>
      <c r="X813" s="20" t="e">
        <f t="shared" si="43"/>
        <v>#N/A</v>
      </c>
      <c r="Y813" s="46" t="e">
        <f t="shared" si="46"/>
        <v>#N/A</v>
      </c>
      <c r="Z813" s="39" t="e">
        <f t="shared" si="44"/>
        <v>#N/A</v>
      </c>
      <c r="AA813" s="39" t="e">
        <f t="shared" si="45"/>
        <v>#N/A</v>
      </c>
      <c r="AB813" s="39"/>
      <c r="AC813" s="48" t="e">
        <f t="shared" si="47"/>
        <v>#N/A</v>
      </c>
    </row>
    <row r="814" spans="1:29" ht="12.5" x14ac:dyDescent="0.25">
      <c r="A814" s="36"/>
      <c r="B814" s="33"/>
      <c r="C814" s="33"/>
      <c r="D814" s="33"/>
      <c r="E814" s="35"/>
      <c r="F814" s="21"/>
      <c r="G814" s="22" t="e">
        <f>VLOOKUP(E814,'Court List'!$A:$C,2,0)</f>
        <v>#N/A</v>
      </c>
      <c r="H814" s="33"/>
      <c r="I814" s="33"/>
      <c r="J814" s="44" t="e">
        <f t="shared" si="38"/>
        <v>#N/A</v>
      </c>
      <c r="K814" s="36"/>
      <c r="L814" s="18">
        <f>SUM('Shuttle Count - Supreme (Nov 20'!C814:D814)</f>
        <v>0</v>
      </c>
      <c r="M814" s="18" t="e">
        <f>VLOOKUP(K814,'Shuttle Purchase'!A:C,3,0)</f>
        <v>#N/A</v>
      </c>
      <c r="N814" s="44" t="e">
        <f t="shared" si="37"/>
        <v>#N/A</v>
      </c>
      <c r="O814" s="24" t="e">
        <f>VLOOKUP(E814,'Court List'!$A:$C,3,0)</f>
        <v>#N/A</v>
      </c>
      <c r="P814" s="18">
        <f>COUNTIF('Pub List'!$C814:$T814,"&lt;&gt;")</f>
        <v>0</v>
      </c>
      <c r="Q814" s="20" t="e">
        <f t="shared" si="39"/>
        <v>#N/A</v>
      </c>
      <c r="R814" s="36"/>
      <c r="S814" s="18">
        <f>COUNTIF('Member List'!$C814:$J814,"&lt;&gt;")</f>
        <v>0</v>
      </c>
      <c r="T814" s="35"/>
      <c r="U814" s="24">
        <f t="shared" si="40"/>
        <v>0</v>
      </c>
      <c r="V814" s="18" t="e">
        <f t="shared" si="41"/>
        <v>#N/A</v>
      </c>
      <c r="W814" s="45" t="e">
        <f t="shared" si="42"/>
        <v>#N/A</v>
      </c>
      <c r="X814" s="20" t="e">
        <f t="shared" si="43"/>
        <v>#N/A</v>
      </c>
      <c r="Y814" s="46" t="e">
        <f t="shared" si="46"/>
        <v>#N/A</v>
      </c>
      <c r="Z814" s="39" t="e">
        <f t="shared" si="44"/>
        <v>#N/A</v>
      </c>
      <c r="AA814" s="39" t="e">
        <f t="shared" si="45"/>
        <v>#N/A</v>
      </c>
      <c r="AB814" s="39"/>
      <c r="AC814" s="48" t="e">
        <f t="shared" si="47"/>
        <v>#N/A</v>
      </c>
    </row>
    <row r="815" spans="1:29" ht="12.5" x14ac:dyDescent="0.25">
      <c r="A815" s="36"/>
      <c r="B815" s="33"/>
      <c r="C815" s="33"/>
      <c r="D815" s="33"/>
      <c r="E815" s="35"/>
      <c r="F815" s="21"/>
      <c r="G815" s="22" t="e">
        <f>VLOOKUP(E815,'Court List'!$A:$C,2,0)</f>
        <v>#N/A</v>
      </c>
      <c r="H815" s="33"/>
      <c r="I815" s="33"/>
      <c r="J815" s="44" t="e">
        <f t="shared" si="38"/>
        <v>#N/A</v>
      </c>
      <c r="K815" s="36"/>
      <c r="L815" s="18">
        <f>SUM('Shuttle Count - Supreme (Nov 20'!C815:D815)</f>
        <v>0</v>
      </c>
      <c r="M815" s="18" t="e">
        <f>VLOOKUP(K815,'Shuttle Purchase'!A:C,3,0)</f>
        <v>#N/A</v>
      </c>
      <c r="N815" s="44" t="e">
        <f t="shared" si="37"/>
        <v>#N/A</v>
      </c>
      <c r="O815" s="24" t="e">
        <f>VLOOKUP(E815,'Court List'!$A:$C,3,0)</f>
        <v>#N/A</v>
      </c>
      <c r="P815" s="18">
        <f>COUNTIF('Pub List'!$C815:$T815,"&lt;&gt;")</f>
        <v>0</v>
      </c>
      <c r="Q815" s="20" t="e">
        <f t="shared" si="39"/>
        <v>#N/A</v>
      </c>
      <c r="R815" s="36"/>
      <c r="S815" s="18">
        <f>COUNTIF('Member List'!$C815:$J815,"&lt;&gt;")</f>
        <v>0</v>
      </c>
      <c r="T815" s="35"/>
      <c r="U815" s="24">
        <f t="shared" si="40"/>
        <v>0</v>
      </c>
      <c r="V815" s="18" t="e">
        <f t="shared" si="41"/>
        <v>#N/A</v>
      </c>
      <c r="W815" s="45" t="e">
        <f t="shared" si="42"/>
        <v>#N/A</v>
      </c>
      <c r="X815" s="20" t="e">
        <f t="shared" si="43"/>
        <v>#N/A</v>
      </c>
      <c r="Y815" s="46" t="e">
        <f t="shared" si="46"/>
        <v>#N/A</v>
      </c>
      <c r="Z815" s="39" t="e">
        <f t="shared" si="44"/>
        <v>#N/A</v>
      </c>
      <c r="AA815" s="39" t="e">
        <f t="shared" si="45"/>
        <v>#N/A</v>
      </c>
      <c r="AB815" s="39"/>
      <c r="AC815" s="48" t="e">
        <f t="shared" si="47"/>
        <v>#N/A</v>
      </c>
    </row>
    <row r="816" spans="1:29" ht="12.5" x14ac:dyDescent="0.25">
      <c r="A816" s="36"/>
      <c r="B816" s="33"/>
      <c r="C816" s="33"/>
      <c r="D816" s="33"/>
      <c r="E816" s="35"/>
      <c r="F816" s="21"/>
      <c r="G816" s="22" t="e">
        <f>VLOOKUP(E816,'Court List'!$A:$C,2,0)</f>
        <v>#N/A</v>
      </c>
      <c r="H816" s="33"/>
      <c r="I816" s="33"/>
      <c r="J816" s="44" t="e">
        <f t="shared" si="38"/>
        <v>#N/A</v>
      </c>
      <c r="K816" s="36"/>
      <c r="L816" s="18">
        <f>SUM('Shuttle Count - Supreme (Nov 20'!C816:D816)</f>
        <v>0</v>
      </c>
      <c r="M816" s="18" t="e">
        <f>VLOOKUP(K816,'Shuttle Purchase'!A:C,3,0)</f>
        <v>#N/A</v>
      </c>
      <c r="N816" s="44" t="e">
        <f t="shared" si="37"/>
        <v>#N/A</v>
      </c>
      <c r="O816" s="24" t="e">
        <f>VLOOKUP(E816,'Court List'!$A:$C,3,0)</f>
        <v>#N/A</v>
      </c>
      <c r="P816" s="18">
        <f>COUNTIF('Pub List'!$C816:$T816,"&lt;&gt;")</f>
        <v>0</v>
      </c>
      <c r="Q816" s="20" t="e">
        <f t="shared" si="39"/>
        <v>#N/A</v>
      </c>
      <c r="R816" s="36"/>
      <c r="S816" s="18">
        <f>COUNTIF('Member List'!$C816:$J816,"&lt;&gt;")</f>
        <v>0</v>
      </c>
      <c r="T816" s="35"/>
      <c r="U816" s="24">
        <f t="shared" si="40"/>
        <v>0</v>
      </c>
      <c r="V816" s="18" t="e">
        <f t="shared" si="41"/>
        <v>#N/A</v>
      </c>
      <c r="W816" s="45" t="e">
        <f t="shared" si="42"/>
        <v>#N/A</v>
      </c>
      <c r="X816" s="20" t="e">
        <f t="shared" si="43"/>
        <v>#N/A</v>
      </c>
      <c r="Y816" s="46" t="e">
        <f t="shared" si="46"/>
        <v>#N/A</v>
      </c>
      <c r="Z816" s="39" t="e">
        <f t="shared" si="44"/>
        <v>#N/A</v>
      </c>
      <c r="AA816" s="39" t="e">
        <f t="shared" si="45"/>
        <v>#N/A</v>
      </c>
      <c r="AB816" s="39"/>
      <c r="AC816" s="48" t="e">
        <f t="shared" si="47"/>
        <v>#N/A</v>
      </c>
    </row>
    <row r="817" spans="1:29" ht="12.5" x14ac:dyDescent="0.25">
      <c r="A817" s="36"/>
      <c r="B817" s="33"/>
      <c r="C817" s="33"/>
      <c r="D817" s="33"/>
      <c r="E817" s="35"/>
      <c r="F817" s="21"/>
      <c r="G817" s="22" t="e">
        <f>VLOOKUP(E817,'Court List'!$A:$C,2,0)</f>
        <v>#N/A</v>
      </c>
      <c r="H817" s="33"/>
      <c r="I817" s="33"/>
      <c r="J817" s="44" t="e">
        <f t="shared" si="38"/>
        <v>#N/A</v>
      </c>
      <c r="K817" s="36"/>
      <c r="L817" s="18">
        <f>SUM('Shuttle Count - Supreme (Nov 20'!C817:D817)</f>
        <v>0</v>
      </c>
      <c r="M817" s="18" t="e">
        <f>VLOOKUP(K817,'Shuttle Purchase'!A:C,3,0)</f>
        <v>#N/A</v>
      </c>
      <c r="N817" s="44" t="e">
        <f t="shared" si="37"/>
        <v>#N/A</v>
      </c>
      <c r="O817" s="24" t="e">
        <f>VLOOKUP(E817,'Court List'!$A:$C,3,0)</f>
        <v>#N/A</v>
      </c>
      <c r="P817" s="18">
        <f>COUNTIF('Pub List'!$C817:$T817,"&lt;&gt;")</f>
        <v>0</v>
      </c>
      <c r="Q817" s="20" t="e">
        <f t="shared" si="39"/>
        <v>#N/A</v>
      </c>
      <c r="R817" s="36"/>
      <c r="S817" s="18">
        <f>COUNTIF('Member List'!$C817:$J817,"&lt;&gt;")</f>
        <v>0</v>
      </c>
      <c r="T817" s="35"/>
      <c r="U817" s="24">
        <f t="shared" si="40"/>
        <v>0</v>
      </c>
      <c r="V817" s="18" t="e">
        <f t="shared" si="41"/>
        <v>#N/A</v>
      </c>
      <c r="W817" s="45" t="e">
        <f t="shared" si="42"/>
        <v>#N/A</v>
      </c>
      <c r="X817" s="20" t="e">
        <f t="shared" si="43"/>
        <v>#N/A</v>
      </c>
      <c r="Y817" s="46" t="e">
        <f t="shared" si="46"/>
        <v>#N/A</v>
      </c>
      <c r="Z817" s="39" t="e">
        <f t="shared" si="44"/>
        <v>#N/A</v>
      </c>
      <c r="AA817" s="39" t="e">
        <f t="shared" si="45"/>
        <v>#N/A</v>
      </c>
      <c r="AB817" s="39"/>
      <c r="AC817" s="48" t="e">
        <f t="shared" si="47"/>
        <v>#N/A</v>
      </c>
    </row>
    <row r="818" spans="1:29" ht="12.5" x14ac:dyDescent="0.25">
      <c r="A818" s="36"/>
      <c r="B818" s="33"/>
      <c r="C818" s="33"/>
      <c r="D818" s="33"/>
      <c r="E818" s="35"/>
      <c r="F818" s="21"/>
      <c r="G818" s="22" t="e">
        <f>VLOOKUP(E818,'Court List'!$A:$C,2,0)</f>
        <v>#N/A</v>
      </c>
      <c r="H818" s="33"/>
      <c r="I818" s="33"/>
      <c r="J818" s="44" t="e">
        <f t="shared" si="38"/>
        <v>#N/A</v>
      </c>
      <c r="K818" s="36"/>
      <c r="L818" s="18">
        <f>SUM('Shuttle Count - Supreme (Nov 20'!C818:D818)</f>
        <v>0</v>
      </c>
      <c r="M818" s="18" t="e">
        <f>VLOOKUP(K818,'Shuttle Purchase'!A:C,3,0)</f>
        <v>#N/A</v>
      </c>
      <c r="N818" s="44" t="e">
        <f t="shared" si="37"/>
        <v>#N/A</v>
      </c>
      <c r="O818" s="24" t="e">
        <f>VLOOKUP(E818,'Court List'!$A:$C,3,0)</f>
        <v>#N/A</v>
      </c>
      <c r="P818" s="18">
        <f>COUNTIF('Pub List'!$C818:$T818,"&lt;&gt;")</f>
        <v>0</v>
      </c>
      <c r="Q818" s="20" t="e">
        <f t="shared" si="39"/>
        <v>#N/A</v>
      </c>
      <c r="R818" s="36"/>
      <c r="S818" s="18">
        <f>COUNTIF('Member List'!$C818:$J818,"&lt;&gt;")</f>
        <v>0</v>
      </c>
      <c r="T818" s="35"/>
      <c r="U818" s="24">
        <f t="shared" si="40"/>
        <v>0</v>
      </c>
      <c r="V818" s="18" t="e">
        <f t="shared" si="41"/>
        <v>#N/A</v>
      </c>
      <c r="W818" s="45" t="e">
        <f t="shared" si="42"/>
        <v>#N/A</v>
      </c>
      <c r="X818" s="20" t="e">
        <f t="shared" si="43"/>
        <v>#N/A</v>
      </c>
      <c r="Y818" s="46" t="e">
        <f t="shared" si="46"/>
        <v>#N/A</v>
      </c>
      <c r="Z818" s="39" t="e">
        <f t="shared" si="44"/>
        <v>#N/A</v>
      </c>
      <c r="AA818" s="39" t="e">
        <f t="shared" si="45"/>
        <v>#N/A</v>
      </c>
      <c r="AB818" s="39"/>
      <c r="AC818" s="48" t="e">
        <f t="shared" si="47"/>
        <v>#N/A</v>
      </c>
    </row>
    <row r="819" spans="1:29" ht="12.5" x14ac:dyDescent="0.25">
      <c r="A819" s="36"/>
      <c r="B819" s="33"/>
      <c r="C819" s="33"/>
      <c r="D819" s="33"/>
      <c r="E819" s="35"/>
      <c r="F819" s="21"/>
      <c r="G819" s="22" t="e">
        <f>VLOOKUP(E819,'Court List'!$A:$C,2,0)</f>
        <v>#N/A</v>
      </c>
      <c r="H819" s="33"/>
      <c r="I819" s="33"/>
      <c r="J819" s="44" t="e">
        <f t="shared" si="38"/>
        <v>#N/A</v>
      </c>
      <c r="K819" s="36"/>
      <c r="L819" s="18">
        <f>SUM('Shuttle Count - Supreme (Nov 20'!C819:D819)</f>
        <v>0</v>
      </c>
      <c r="M819" s="18" t="e">
        <f>VLOOKUP(K819,'Shuttle Purchase'!A:C,3,0)</f>
        <v>#N/A</v>
      </c>
      <c r="N819" s="44" t="e">
        <f t="shared" si="37"/>
        <v>#N/A</v>
      </c>
      <c r="O819" s="24" t="e">
        <f>VLOOKUP(E819,'Court List'!$A:$C,3,0)</f>
        <v>#N/A</v>
      </c>
      <c r="P819" s="18">
        <f>COUNTIF('Pub List'!$C819:$T819,"&lt;&gt;")</f>
        <v>0</v>
      </c>
      <c r="Q819" s="20" t="e">
        <f t="shared" si="39"/>
        <v>#N/A</v>
      </c>
      <c r="R819" s="36"/>
      <c r="S819" s="18">
        <f>COUNTIF('Member List'!$C819:$J819,"&lt;&gt;")</f>
        <v>0</v>
      </c>
      <c r="T819" s="35"/>
      <c r="U819" s="24">
        <f t="shared" si="40"/>
        <v>0</v>
      </c>
      <c r="V819" s="18" t="e">
        <f t="shared" si="41"/>
        <v>#N/A</v>
      </c>
      <c r="W819" s="45" t="e">
        <f t="shared" si="42"/>
        <v>#N/A</v>
      </c>
      <c r="X819" s="20" t="e">
        <f t="shared" si="43"/>
        <v>#N/A</v>
      </c>
      <c r="Y819" s="46" t="e">
        <f t="shared" si="46"/>
        <v>#N/A</v>
      </c>
      <c r="Z819" s="39" t="e">
        <f t="shared" si="44"/>
        <v>#N/A</v>
      </c>
      <c r="AA819" s="39" t="e">
        <f t="shared" si="45"/>
        <v>#N/A</v>
      </c>
      <c r="AB819" s="39"/>
      <c r="AC819" s="48" t="e">
        <f t="shared" si="47"/>
        <v>#N/A</v>
      </c>
    </row>
    <row r="820" spans="1:29" ht="12.5" x14ac:dyDescent="0.25">
      <c r="A820" s="36"/>
      <c r="B820" s="33"/>
      <c r="C820" s="33"/>
      <c r="D820" s="33"/>
      <c r="E820" s="35"/>
      <c r="F820" s="21"/>
      <c r="G820" s="22" t="e">
        <f>VLOOKUP(E820,'Court List'!$A:$C,2,0)</f>
        <v>#N/A</v>
      </c>
      <c r="H820" s="33"/>
      <c r="I820" s="33"/>
      <c r="J820" s="44" t="e">
        <f t="shared" si="38"/>
        <v>#N/A</v>
      </c>
      <c r="K820" s="36"/>
      <c r="L820" s="18">
        <f>SUM('Shuttle Count - Supreme (Nov 20'!C820:D820)</f>
        <v>0</v>
      </c>
      <c r="M820" s="18" t="e">
        <f>VLOOKUP(K820,'Shuttle Purchase'!A:C,3,0)</f>
        <v>#N/A</v>
      </c>
      <c r="N820" s="44" t="e">
        <f t="shared" si="37"/>
        <v>#N/A</v>
      </c>
      <c r="O820" s="24" t="e">
        <f>VLOOKUP(E820,'Court List'!$A:$C,3,0)</f>
        <v>#N/A</v>
      </c>
      <c r="P820" s="18">
        <f>COUNTIF('Pub List'!$C820:$T820,"&lt;&gt;")</f>
        <v>0</v>
      </c>
      <c r="Q820" s="20" t="e">
        <f t="shared" si="39"/>
        <v>#N/A</v>
      </c>
      <c r="R820" s="36"/>
      <c r="S820" s="18">
        <f>COUNTIF('Member List'!$C820:$J820,"&lt;&gt;")</f>
        <v>0</v>
      </c>
      <c r="T820" s="35"/>
      <c r="U820" s="24">
        <f t="shared" si="40"/>
        <v>0</v>
      </c>
      <c r="V820" s="18" t="e">
        <f t="shared" si="41"/>
        <v>#N/A</v>
      </c>
      <c r="W820" s="45" t="e">
        <f t="shared" si="42"/>
        <v>#N/A</v>
      </c>
      <c r="X820" s="20" t="e">
        <f t="shared" si="43"/>
        <v>#N/A</v>
      </c>
      <c r="Y820" s="46" t="e">
        <f t="shared" si="46"/>
        <v>#N/A</v>
      </c>
      <c r="Z820" s="39" t="e">
        <f t="shared" si="44"/>
        <v>#N/A</v>
      </c>
      <c r="AA820" s="39" t="e">
        <f t="shared" si="45"/>
        <v>#N/A</v>
      </c>
      <c r="AB820" s="39"/>
      <c r="AC820" s="48" t="e">
        <f t="shared" si="47"/>
        <v>#N/A</v>
      </c>
    </row>
    <row r="821" spans="1:29" ht="12.5" x14ac:dyDescent="0.25">
      <c r="A821" s="36"/>
      <c r="B821" s="33"/>
      <c r="C821" s="33"/>
      <c r="D821" s="33"/>
      <c r="E821" s="35"/>
      <c r="F821" s="21"/>
      <c r="G821" s="22" t="e">
        <f>VLOOKUP(E821,'Court List'!$A:$C,2,0)</f>
        <v>#N/A</v>
      </c>
      <c r="H821" s="33"/>
      <c r="I821" s="33"/>
      <c r="J821" s="44" t="e">
        <f t="shared" si="38"/>
        <v>#N/A</v>
      </c>
      <c r="K821" s="36"/>
      <c r="L821" s="18">
        <f>SUM('Shuttle Count - Supreme (Nov 20'!C821:D821)</f>
        <v>0</v>
      </c>
      <c r="M821" s="18" t="e">
        <f>VLOOKUP(K821,'Shuttle Purchase'!A:C,3,0)</f>
        <v>#N/A</v>
      </c>
      <c r="N821" s="44" t="e">
        <f t="shared" si="37"/>
        <v>#N/A</v>
      </c>
      <c r="O821" s="24" t="e">
        <f>VLOOKUP(E821,'Court List'!$A:$C,3,0)</f>
        <v>#N/A</v>
      </c>
      <c r="P821" s="18">
        <f>COUNTIF('Pub List'!$C821:$T821,"&lt;&gt;")</f>
        <v>0</v>
      </c>
      <c r="Q821" s="20" t="e">
        <f t="shared" si="39"/>
        <v>#N/A</v>
      </c>
      <c r="R821" s="36"/>
      <c r="S821" s="18">
        <f>COUNTIF('Member List'!$C821:$J821,"&lt;&gt;")</f>
        <v>0</v>
      </c>
      <c r="T821" s="35"/>
      <c r="U821" s="24">
        <f t="shared" si="40"/>
        <v>0</v>
      </c>
      <c r="V821" s="18" t="e">
        <f t="shared" si="41"/>
        <v>#N/A</v>
      </c>
      <c r="W821" s="45" t="e">
        <f t="shared" si="42"/>
        <v>#N/A</v>
      </c>
      <c r="X821" s="20" t="e">
        <f t="shared" si="43"/>
        <v>#N/A</v>
      </c>
      <c r="Y821" s="46" t="e">
        <f t="shared" si="46"/>
        <v>#N/A</v>
      </c>
      <c r="Z821" s="39" t="e">
        <f t="shared" si="44"/>
        <v>#N/A</v>
      </c>
      <c r="AA821" s="39" t="e">
        <f t="shared" si="45"/>
        <v>#N/A</v>
      </c>
      <c r="AB821" s="39"/>
      <c r="AC821" s="48" t="e">
        <f t="shared" si="47"/>
        <v>#N/A</v>
      </c>
    </row>
    <row r="822" spans="1:29" ht="12.5" x14ac:dyDescent="0.25">
      <c r="A822" s="36"/>
      <c r="B822" s="33"/>
      <c r="C822" s="33"/>
      <c r="D822" s="33"/>
      <c r="E822" s="35"/>
      <c r="F822" s="21"/>
      <c r="G822" s="22" t="e">
        <f>VLOOKUP(E822,'Court List'!$A:$C,2,0)</f>
        <v>#N/A</v>
      </c>
      <c r="H822" s="33"/>
      <c r="I822" s="33"/>
      <c r="J822" s="44" t="e">
        <f t="shared" si="38"/>
        <v>#N/A</v>
      </c>
      <c r="K822" s="36"/>
      <c r="L822" s="18">
        <f>SUM('Shuttle Count - Supreme (Nov 20'!C822:D822)</f>
        <v>0</v>
      </c>
      <c r="M822" s="18" t="e">
        <f>VLOOKUP(K822,'Shuttle Purchase'!A:C,3,0)</f>
        <v>#N/A</v>
      </c>
      <c r="N822" s="44" t="e">
        <f t="shared" si="37"/>
        <v>#N/A</v>
      </c>
      <c r="O822" s="24" t="e">
        <f>VLOOKUP(E822,'Court List'!$A:$C,3,0)</f>
        <v>#N/A</v>
      </c>
      <c r="P822" s="18">
        <f>COUNTIF('Pub List'!$C822:$T822,"&lt;&gt;")</f>
        <v>0</v>
      </c>
      <c r="Q822" s="20" t="e">
        <f t="shared" si="39"/>
        <v>#N/A</v>
      </c>
      <c r="R822" s="36"/>
      <c r="S822" s="18">
        <f>COUNTIF('Member List'!$C822:$J822,"&lt;&gt;")</f>
        <v>0</v>
      </c>
      <c r="T822" s="35"/>
      <c r="U822" s="24">
        <f t="shared" si="40"/>
        <v>0</v>
      </c>
      <c r="V822" s="18" t="e">
        <f t="shared" si="41"/>
        <v>#N/A</v>
      </c>
      <c r="W822" s="45" t="e">
        <f t="shared" si="42"/>
        <v>#N/A</v>
      </c>
      <c r="X822" s="20" t="e">
        <f t="shared" si="43"/>
        <v>#N/A</v>
      </c>
      <c r="Y822" s="46" t="e">
        <f t="shared" si="46"/>
        <v>#N/A</v>
      </c>
      <c r="Z822" s="39" t="e">
        <f t="shared" si="44"/>
        <v>#N/A</v>
      </c>
      <c r="AA822" s="39" t="e">
        <f t="shared" si="45"/>
        <v>#N/A</v>
      </c>
      <c r="AB822" s="39"/>
      <c r="AC822" s="48" t="e">
        <f t="shared" si="47"/>
        <v>#N/A</v>
      </c>
    </row>
    <row r="823" spans="1:29" ht="12.5" x14ac:dyDescent="0.25">
      <c r="A823" s="36"/>
      <c r="B823" s="33"/>
      <c r="C823" s="33"/>
      <c r="D823" s="33"/>
      <c r="E823" s="35"/>
      <c r="F823" s="21"/>
      <c r="G823" s="22" t="e">
        <f>VLOOKUP(E823,'Court List'!$A:$C,2,0)</f>
        <v>#N/A</v>
      </c>
      <c r="H823" s="33"/>
      <c r="I823" s="33"/>
      <c r="J823" s="44" t="e">
        <f t="shared" si="38"/>
        <v>#N/A</v>
      </c>
      <c r="K823" s="36"/>
      <c r="L823" s="18">
        <f>SUM('Shuttle Count - Supreme (Nov 20'!C823:D823)</f>
        <v>0</v>
      </c>
      <c r="M823" s="18" t="e">
        <f>VLOOKUP(K823,'Shuttle Purchase'!A:C,3,0)</f>
        <v>#N/A</v>
      </c>
      <c r="N823" s="44" t="e">
        <f t="shared" si="37"/>
        <v>#N/A</v>
      </c>
      <c r="O823" s="24" t="e">
        <f>VLOOKUP(E823,'Court List'!$A:$C,3,0)</f>
        <v>#N/A</v>
      </c>
      <c r="P823" s="18">
        <f>COUNTIF('Pub List'!$C823:$T823,"&lt;&gt;")</f>
        <v>0</v>
      </c>
      <c r="Q823" s="20" t="e">
        <f t="shared" si="39"/>
        <v>#N/A</v>
      </c>
      <c r="R823" s="36"/>
      <c r="S823" s="18">
        <f>COUNTIF('Member List'!$C823:$J823,"&lt;&gt;")</f>
        <v>0</v>
      </c>
      <c r="T823" s="35"/>
      <c r="U823" s="24">
        <f t="shared" si="40"/>
        <v>0</v>
      </c>
      <c r="V823" s="18" t="e">
        <f t="shared" si="41"/>
        <v>#N/A</v>
      </c>
      <c r="W823" s="45" t="e">
        <f t="shared" si="42"/>
        <v>#N/A</v>
      </c>
      <c r="X823" s="20" t="e">
        <f t="shared" si="43"/>
        <v>#N/A</v>
      </c>
      <c r="Y823" s="46" t="e">
        <f t="shared" si="46"/>
        <v>#N/A</v>
      </c>
      <c r="Z823" s="39" t="e">
        <f t="shared" si="44"/>
        <v>#N/A</v>
      </c>
      <c r="AA823" s="39" t="e">
        <f t="shared" si="45"/>
        <v>#N/A</v>
      </c>
      <c r="AB823" s="39"/>
      <c r="AC823" s="48" t="e">
        <f t="shared" si="47"/>
        <v>#N/A</v>
      </c>
    </row>
    <row r="824" spans="1:29" ht="12.5" x14ac:dyDescent="0.25">
      <c r="A824" s="36"/>
      <c r="B824" s="33"/>
      <c r="C824" s="33"/>
      <c r="D824" s="33"/>
      <c r="E824" s="35"/>
      <c r="F824" s="21"/>
      <c r="G824" s="22" t="e">
        <f>VLOOKUP(E824,'Court List'!$A:$C,2,0)</f>
        <v>#N/A</v>
      </c>
      <c r="H824" s="33"/>
      <c r="I824" s="33"/>
      <c r="J824" s="44" t="e">
        <f t="shared" si="38"/>
        <v>#N/A</v>
      </c>
      <c r="K824" s="36"/>
      <c r="L824" s="18">
        <f>SUM('Shuttle Count - Supreme (Nov 20'!C824:D824)</f>
        <v>0</v>
      </c>
      <c r="M824" s="18" t="e">
        <f>VLOOKUP(K824,'Shuttle Purchase'!A:C,3,0)</f>
        <v>#N/A</v>
      </c>
      <c r="N824" s="44" t="e">
        <f t="shared" ref="N824:N991" si="48">L824*M824</f>
        <v>#N/A</v>
      </c>
      <c r="O824" s="24" t="e">
        <f>VLOOKUP(E824,'Court List'!$A:$C,3,0)</f>
        <v>#N/A</v>
      </c>
      <c r="P824" s="18">
        <f>COUNTIF('Pub List'!$C824:$T824,"&lt;&gt;")</f>
        <v>0</v>
      </c>
      <c r="Q824" s="20" t="e">
        <f t="shared" si="39"/>
        <v>#N/A</v>
      </c>
      <c r="R824" s="36"/>
      <c r="S824" s="18">
        <f>COUNTIF('Member List'!$C824:$J824,"&lt;&gt;")</f>
        <v>0</v>
      </c>
      <c r="T824" s="35"/>
      <c r="U824" s="24">
        <f t="shared" si="40"/>
        <v>0</v>
      </c>
      <c r="V824" s="18" t="e">
        <f t="shared" si="41"/>
        <v>#N/A</v>
      </c>
      <c r="W824" s="45" t="e">
        <f t="shared" si="42"/>
        <v>#N/A</v>
      </c>
      <c r="X824" s="20" t="e">
        <f t="shared" si="43"/>
        <v>#N/A</v>
      </c>
      <c r="Y824" s="46" t="e">
        <f t="shared" si="46"/>
        <v>#N/A</v>
      </c>
      <c r="Z824" s="39" t="e">
        <f t="shared" si="44"/>
        <v>#N/A</v>
      </c>
      <c r="AA824" s="39" t="e">
        <f t="shared" si="45"/>
        <v>#N/A</v>
      </c>
      <c r="AB824" s="39"/>
      <c r="AC824" s="48" t="e">
        <f t="shared" si="47"/>
        <v>#N/A</v>
      </c>
    </row>
    <row r="825" spans="1:29" ht="12.5" x14ac:dyDescent="0.25">
      <c r="A825" s="36"/>
      <c r="B825" s="33"/>
      <c r="C825" s="33"/>
      <c r="D825" s="33"/>
      <c r="E825" s="35"/>
      <c r="F825" s="21"/>
      <c r="G825" s="22" t="e">
        <f>VLOOKUP(E825,'Court List'!$A:$C,2,0)</f>
        <v>#N/A</v>
      </c>
      <c r="H825" s="33"/>
      <c r="I825" s="33"/>
      <c r="J825" s="44" t="e">
        <f t="shared" si="38"/>
        <v>#N/A</v>
      </c>
      <c r="K825" s="36"/>
      <c r="L825" s="18">
        <f>SUM('Shuttle Count - Supreme (Nov 20'!C825:D825)</f>
        <v>0</v>
      </c>
      <c r="M825" s="18" t="e">
        <f>VLOOKUP(K825,'Shuttle Purchase'!A:C,3,0)</f>
        <v>#N/A</v>
      </c>
      <c r="N825" s="44" t="e">
        <f t="shared" si="48"/>
        <v>#N/A</v>
      </c>
      <c r="O825" s="24" t="e">
        <f>VLOOKUP(E825,'Court List'!$A:$C,3,0)</f>
        <v>#N/A</v>
      </c>
      <c r="P825" s="18">
        <f>COUNTIF('Pub List'!$C825:$T825,"&lt;&gt;")</f>
        <v>0</v>
      </c>
      <c r="Q825" s="20" t="e">
        <f t="shared" si="39"/>
        <v>#N/A</v>
      </c>
      <c r="R825" s="36"/>
      <c r="S825" s="18">
        <f>COUNTIF('Member List'!$C825:$J825,"&lt;&gt;")</f>
        <v>0</v>
      </c>
      <c r="T825" s="35"/>
      <c r="U825" s="24">
        <f t="shared" si="40"/>
        <v>0</v>
      </c>
      <c r="V825" s="18" t="e">
        <f t="shared" si="41"/>
        <v>#N/A</v>
      </c>
      <c r="W825" s="45" t="e">
        <f t="shared" si="42"/>
        <v>#N/A</v>
      </c>
      <c r="X825" s="20" t="e">
        <f t="shared" si="43"/>
        <v>#N/A</v>
      </c>
      <c r="Y825" s="46" t="e">
        <f t="shared" si="46"/>
        <v>#N/A</v>
      </c>
      <c r="Z825" s="39" t="e">
        <f t="shared" si="44"/>
        <v>#N/A</v>
      </c>
      <c r="AA825" s="39" t="e">
        <f t="shared" si="45"/>
        <v>#N/A</v>
      </c>
      <c r="AB825" s="39"/>
      <c r="AC825" s="48" t="e">
        <f t="shared" si="47"/>
        <v>#N/A</v>
      </c>
    </row>
    <row r="826" spans="1:29" ht="12.5" x14ac:dyDescent="0.25">
      <c r="A826" s="36"/>
      <c r="B826" s="33"/>
      <c r="C826" s="33"/>
      <c r="D826" s="33"/>
      <c r="E826" s="35"/>
      <c r="F826" s="21"/>
      <c r="G826" s="22" t="e">
        <f>VLOOKUP(E826,'Court List'!$A:$C,2,0)</f>
        <v>#N/A</v>
      </c>
      <c r="H826" s="33"/>
      <c r="I826" s="33"/>
      <c r="J826" s="44" t="e">
        <f t="shared" si="38"/>
        <v>#N/A</v>
      </c>
      <c r="K826" s="36"/>
      <c r="L826" s="18">
        <f>SUM('Shuttle Count - Supreme (Nov 20'!C826:D826)</f>
        <v>0</v>
      </c>
      <c r="M826" s="18" t="e">
        <f>VLOOKUP(K826,'Shuttle Purchase'!A:C,3,0)</f>
        <v>#N/A</v>
      </c>
      <c r="N826" s="44" t="e">
        <f t="shared" si="48"/>
        <v>#N/A</v>
      </c>
      <c r="O826" s="24" t="e">
        <f>VLOOKUP(E826,'Court List'!$A:$C,3,0)</f>
        <v>#N/A</v>
      </c>
      <c r="P826" s="18">
        <f>COUNTIF('Pub List'!$C826:$T826,"&lt;&gt;")</f>
        <v>0</v>
      </c>
      <c r="Q826" s="20" t="e">
        <f t="shared" si="39"/>
        <v>#N/A</v>
      </c>
      <c r="R826" s="36"/>
      <c r="S826" s="18">
        <f>COUNTIF('Member List'!$C826:$J826,"&lt;&gt;")</f>
        <v>0</v>
      </c>
      <c r="T826" s="35"/>
      <c r="U826" s="24">
        <f t="shared" si="40"/>
        <v>0</v>
      </c>
      <c r="V826" s="18" t="e">
        <f t="shared" si="41"/>
        <v>#N/A</v>
      </c>
      <c r="W826" s="45" t="e">
        <f t="shared" si="42"/>
        <v>#N/A</v>
      </c>
      <c r="X826" s="20" t="e">
        <f t="shared" si="43"/>
        <v>#N/A</v>
      </c>
      <c r="Y826" s="46" t="e">
        <f t="shared" si="46"/>
        <v>#N/A</v>
      </c>
      <c r="Z826" s="39" t="e">
        <f t="shared" si="44"/>
        <v>#N/A</v>
      </c>
      <c r="AA826" s="39" t="e">
        <f t="shared" si="45"/>
        <v>#N/A</v>
      </c>
      <c r="AB826" s="39"/>
      <c r="AC826" s="48" t="e">
        <f t="shared" si="47"/>
        <v>#N/A</v>
      </c>
    </row>
    <row r="827" spans="1:29" ht="12.5" x14ac:dyDescent="0.25">
      <c r="A827" s="36"/>
      <c r="B827" s="33"/>
      <c r="C827" s="33"/>
      <c r="D827" s="33"/>
      <c r="E827" s="35"/>
      <c r="F827" s="21"/>
      <c r="G827" s="22" t="e">
        <f>VLOOKUP(E827,'Court List'!$A:$C,2,0)</f>
        <v>#N/A</v>
      </c>
      <c r="H827" s="33"/>
      <c r="I827" s="33"/>
      <c r="J827" s="44" t="e">
        <f t="shared" si="38"/>
        <v>#N/A</v>
      </c>
      <c r="K827" s="36"/>
      <c r="L827" s="18">
        <f>SUM('Shuttle Count - Supreme (Nov 20'!C827:D827)</f>
        <v>0</v>
      </c>
      <c r="M827" s="18" t="e">
        <f>VLOOKUP(K827,'Shuttle Purchase'!A:C,3,0)</f>
        <v>#N/A</v>
      </c>
      <c r="N827" s="44" t="e">
        <f t="shared" si="48"/>
        <v>#N/A</v>
      </c>
      <c r="O827" s="24" t="e">
        <f>VLOOKUP(E827,'Court List'!$A:$C,3,0)</f>
        <v>#N/A</v>
      </c>
      <c r="P827" s="18">
        <f>COUNTIF('Pub List'!$C827:$T827,"&lt;&gt;")</f>
        <v>0</v>
      </c>
      <c r="Q827" s="20" t="e">
        <f t="shared" si="39"/>
        <v>#N/A</v>
      </c>
      <c r="R827" s="36"/>
      <c r="S827" s="18">
        <f>COUNTIF('Member List'!$C827:$J827,"&lt;&gt;")</f>
        <v>0</v>
      </c>
      <c r="T827" s="35"/>
      <c r="U827" s="24">
        <f t="shared" si="40"/>
        <v>0</v>
      </c>
      <c r="V827" s="18" t="e">
        <f t="shared" si="41"/>
        <v>#N/A</v>
      </c>
      <c r="W827" s="45" t="e">
        <f t="shared" si="42"/>
        <v>#N/A</v>
      </c>
      <c r="X827" s="20" t="e">
        <f t="shared" si="43"/>
        <v>#N/A</v>
      </c>
      <c r="Y827" s="46" t="e">
        <f t="shared" si="46"/>
        <v>#N/A</v>
      </c>
      <c r="Z827" s="39" t="e">
        <f t="shared" si="44"/>
        <v>#N/A</v>
      </c>
      <c r="AA827" s="39" t="e">
        <f t="shared" si="45"/>
        <v>#N/A</v>
      </c>
      <c r="AB827" s="39"/>
      <c r="AC827" s="48" t="e">
        <f t="shared" si="47"/>
        <v>#N/A</v>
      </c>
    </row>
    <row r="828" spans="1:29" ht="12.5" x14ac:dyDescent="0.25">
      <c r="A828" s="36"/>
      <c r="B828" s="33"/>
      <c r="C828" s="33"/>
      <c r="D828" s="33"/>
      <c r="E828" s="35"/>
      <c r="F828" s="21"/>
      <c r="G828" s="22" t="e">
        <f>VLOOKUP(E828,'Court List'!$A:$C,2,0)</f>
        <v>#N/A</v>
      </c>
      <c r="H828" s="33"/>
      <c r="I828" s="33"/>
      <c r="J828" s="44" t="e">
        <f t="shared" si="38"/>
        <v>#N/A</v>
      </c>
      <c r="K828" s="36"/>
      <c r="L828" s="18">
        <f>SUM('Shuttle Count - Supreme (Nov 20'!C828:D828)</f>
        <v>0</v>
      </c>
      <c r="M828" s="18" t="e">
        <f>VLOOKUP(K828,'Shuttle Purchase'!A:C,3,0)</f>
        <v>#N/A</v>
      </c>
      <c r="N828" s="44" t="e">
        <f t="shared" si="48"/>
        <v>#N/A</v>
      </c>
      <c r="O828" s="24" t="e">
        <f>VLOOKUP(E828,'Court List'!$A:$C,3,0)</f>
        <v>#N/A</v>
      </c>
      <c r="P828" s="18">
        <f>COUNTIF('Pub List'!$C828:$T828,"&lt;&gt;")</f>
        <v>0</v>
      </c>
      <c r="Q828" s="20" t="e">
        <f t="shared" si="39"/>
        <v>#N/A</v>
      </c>
      <c r="R828" s="36"/>
      <c r="S828" s="18">
        <f>COUNTIF('Member List'!$C828:$J828,"&lt;&gt;")</f>
        <v>0</v>
      </c>
      <c r="T828" s="35"/>
      <c r="U828" s="24">
        <f t="shared" si="40"/>
        <v>0</v>
      </c>
      <c r="V828" s="18" t="e">
        <f t="shared" si="41"/>
        <v>#N/A</v>
      </c>
      <c r="W828" s="45" t="e">
        <f t="shared" si="42"/>
        <v>#N/A</v>
      </c>
      <c r="X828" s="20" t="e">
        <f t="shared" si="43"/>
        <v>#N/A</v>
      </c>
      <c r="Y828" s="46" t="e">
        <f t="shared" si="46"/>
        <v>#N/A</v>
      </c>
      <c r="Z828" s="39" t="e">
        <f t="shared" si="44"/>
        <v>#N/A</v>
      </c>
      <c r="AA828" s="39" t="e">
        <f t="shared" si="45"/>
        <v>#N/A</v>
      </c>
      <c r="AB828" s="39"/>
      <c r="AC828" s="48" t="e">
        <f t="shared" si="47"/>
        <v>#N/A</v>
      </c>
    </row>
    <row r="829" spans="1:29" ht="12.5" x14ac:dyDescent="0.25">
      <c r="A829" s="36"/>
      <c r="B829" s="33"/>
      <c r="C829" s="33"/>
      <c r="D829" s="33"/>
      <c r="E829" s="35"/>
      <c r="F829" s="21"/>
      <c r="G829" s="22" t="e">
        <f>VLOOKUP(E829,'Court List'!$A:$C,2,0)</f>
        <v>#N/A</v>
      </c>
      <c r="H829" s="33"/>
      <c r="I829" s="33"/>
      <c r="J829" s="44" t="e">
        <f t="shared" si="38"/>
        <v>#N/A</v>
      </c>
      <c r="K829" s="36"/>
      <c r="L829" s="18">
        <f>SUM('Shuttle Count - Supreme (Nov 20'!C829:D829)</f>
        <v>0</v>
      </c>
      <c r="M829" s="18" t="e">
        <f>VLOOKUP(K829,'Shuttle Purchase'!A:C,3,0)</f>
        <v>#N/A</v>
      </c>
      <c r="N829" s="44" t="e">
        <f t="shared" si="48"/>
        <v>#N/A</v>
      </c>
      <c r="O829" s="24" t="e">
        <f>VLOOKUP(E829,'Court List'!$A:$C,3,0)</f>
        <v>#N/A</v>
      </c>
      <c r="P829" s="18">
        <f>COUNTIF('Pub List'!$C829:$T829,"&lt;&gt;")</f>
        <v>0</v>
      </c>
      <c r="Q829" s="20" t="e">
        <f t="shared" si="39"/>
        <v>#N/A</v>
      </c>
      <c r="R829" s="36"/>
      <c r="S829" s="18">
        <f>COUNTIF('Member List'!$C829:$J829,"&lt;&gt;")</f>
        <v>0</v>
      </c>
      <c r="T829" s="35"/>
      <c r="U829" s="24">
        <f t="shared" si="40"/>
        <v>0</v>
      </c>
      <c r="V829" s="18" t="e">
        <f t="shared" si="41"/>
        <v>#N/A</v>
      </c>
      <c r="W829" s="45" t="e">
        <f t="shared" si="42"/>
        <v>#N/A</v>
      </c>
      <c r="X829" s="20" t="e">
        <f t="shared" si="43"/>
        <v>#N/A</v>
      </c>
      <c r="Y829" s="46" t="e">
        <f t="shared" si="46"/>
        <v>#N/A</v>
      </c>
      <c r="Z829" s="39" t="e">
        <f t="shared" si="44"/>
        <v>#N/A</v>
      </c>
      <c r="AA829" s="39" t="e">
        <f t="shared" si="45"/>
        <v>#N/A</v>
      </c>
      <c r="AB829" s="39"/>
      <c r="AC829" s="48" t="e">
        <f t="shared" si="47"/>
        <v>#N/A</v>
      </c>
    </row>
    <row r="830" spans="1:29" ht="12.5" x14ac:dyDescent="0.25">
      <c r="A830" s="36"/>
      <c r="B830" s="33"/>
      <c r="C830" s="33"/>
      <c r="D830" s="33"/>
      <c r="E830" s="35"/>
      <c r="F830" s="21"/>
      <c r="G830" s="22" t="e">
        <f>VLOOKUP(E830,'Court List'!$A:$C,2,0)</f>
        <v>#N/A</v>
      </c>
      <c r="H830" s="33"/>
      <c r="I830" s="33"/>
      <c r="J830" s="44" t="e">
        <f t="shared" si="38"/>
        <v>#N/A</v>
      </c>
      <c r="K830" s="36"/>
      <c r="L830" s="18">
        <f>SUM('Shuttle Count - Supreme (Nov 20'!C830:D830)</f>
        <v>0</v>
      </c>
      <c r="M830" s="18" t="e">
        <f>VLOOKUP(K830,'Shuttle Purchase'!A:C,3,0)</f>
        <v>#N/A</v>
      </c>
      <c r="N830" s="44" t="e">
        <f t="shared" si="48"/>
        <v>#N/A</v>
      </c>
      <c r="O830" s="24" t="e">
        <f>VLOOKUP(E830,'Court List'!$A:$C,3,0)</f>
        <v>#N/A</v>
      </c>
      <c r="P830" s="18">
        <f>COUNTIF('Pub List'!$C830:$T830,"&lt;&gt;")</f>
        <v>0</v>
      </c>
      <c r="Q830" s="20" t="e">
        <f t="shared" si="39"/>
        <v>#N/A</v>
      </c>
      <c r="R830" s="36"/>
      <c r="S830" s="18">
        <f>COUNTIF('Member List'!$C830:$J830,"&lt;&gt;")</f>
        <v>0</v>
      </c>
      <c r="T830" s="35"/>
      <c r="U830" s="24">
        <f t="shared" si="40"/>
        <v>0</v>
      </c>
      <c r="V830" s="18" t="e">
        <f t="shared" si="41"/>
        <v>#N/A</v>
      </c>
      <c r="W830" s="45" t="e">
        <f t="shared" si="42"/>
        <v>#N/A</v>
      </c>
      <c r="X830" s="20" t="e">
        <f t="shared" si="43"/>
        <v>#N/A</v>
      </c>
      <c r="Y830" s="46" t="e">
        <f t="shared" si="46"/>
        <v>#N/A</v>
      </c>
      <c r="Z830" s="39" t="e">
        <f t="shared" si="44"/>
        <v>#N/A</v>
      </c>
      <c r="AA830" s="39" t="e">
        <f t="shared" si="45"/>
        <v>#N/A</v>
      </c>
      <c r="AB830" s="39"/>
      <c r="AC830" s="48" t="e">
        <f t="shared" si="47"/>
        <v>#N/A</v>
      </c>
    </row>
    <row r="831" spans="1:29" ht="12.5" x14ac:dyDescent="0.25">
      <c r="A831" s="36"/>
      <c r="B831" s="33"/>
      <c r="C831" s="33"/>
      <c r="D831" s="33"/>
      <c r="E831" s="35"/>
      <c r="F831" s="21"/>
      <c r="G831" s="22" t="e">
        <f>VLOOKUP(E831,'Court List'!$A:$C,2,0)</f>
        <v>#N/A</v>
      </c>
      <c r="H831" s="33"/>
      <c r="I831" s="33"/>
      <c r="J831" s="44" t="e">
        <f t="shared" si="38"/>
        <v>#N/A</v>
      </c>
      <c r="K831" s="36"/>
      <c r="L831" s="18">
        <f>SUM('Shuttle Count - Supreme (Nov 20'!C831:D831)</f>
        <v>0</v>
      </c>
      <c r="M831" s="18" t="e">
        <f>VLOOKUP(K831,'Shuttle Purchase'!A:C,3,0)</f>
        <v>#N/A</v>
      </c>
      <c r="N831" s="44" t="e">
        <f t="shared" si="48"/>
        <v>#N/A</v>
      </c>
      <c r="O831" s="24" t="e">
        <f>VLOOKUP(E831,'Court List'!$A:$C,3,0)</f>
        <v>#N/A</v>
      </c>
      <c r="P831" s="18">
        <f>COUNTIF('Pub List'!$C831:$T831,"&lt;&gt;")</f>
        <v>0</v>
      </c>
      <c r="Q831" s="20" t="e">
        <f t="shared" si="39"/>
        <v>#N/A</v>
      </c>
      <c r="R831" s="36"/>
      <c r="S831" s="18">
        <f>COUNTIF('Member List'!$C831:$J831,"&lt;&gt;")</f>
        <v>0</v>
      </c>
      <c r="T831" s="35"/>
      <c r="U831" s="24">
        <f t="shared" si="40"/>
        <v>0</v>
      </c>
      <c r="V831" s="18" t="e">
        <f t="shared" si="41"/>
        <v>#N/A</v>
      </c>
      <c r="W831" s="45" t="e">
        <f t="shared" si="42"/>
        <v>#N/A</v>
      </c>
      <c r="X831" s="20" t="e">
        <f t="shared" si="43"/>
        <v>#N/A</v>
      </c>
      <c r="Y831" s="46" t="e">
        <f t="shared" si="46"/>
        <v>#N/A</v>
      </c>
      <c r="Z831" s="39" t="e">
        <f t="shared" si="44"/>
        <v>#N/A</v>
      </c>
      <c r="AA831" s="39" t="e">
        <f t="shared" si="45"/>
        <v>#N/A</v>
      </c>
      <c r="AB831" s="39"/>
      <c r="AC831" s="48" t="e">
        <f t="shared" si="47"/>
        <v>#N/A</v>
      </c>
    </row>
    <row r="832" spans="1:29" ht="12.5" x14ac:dyDescent="0.25">
      <c r="A832" s="36"/>
      <c r="B832" s="33"/>
      <c r="C832" s="33"/>
      <c r="D832" s="33"/>
      <c r="E832" s="35"/>
      <c r="F832" s="21"/>
      <c r="G832" s="22" t="e">
        <f>VLOOKUP(E832,'Court List'!$A:$C,2,0)</f>
        <v>#N/A</v>
      </c>
      <c r="H832" s="33"/>
      <c r="I832" s="33"/>
      <c r="J832" s="44" t="e">
        <f t="shared" si="38"/>
        <v>#N/A</v>
      </c>
      <c r="K832" s="36"/>
      <c r="L832" s="18">
        <f>SUM('Shuttle Count - Supreme (Nov 20'!C832:D832)</f>
        <v>0</v>
      </c>
      <c r="M832" s="18" t="e">
        <f>VLOOKUP(K832,'Shuttle Purchase'!A:C,3,0)</f>
        <v>#N/A</v>
      </c>
      <c r="N832" s="44" t="e">
        <f t="shared" si="48"/>
        <v>#N/A</v>
      </c>
      <c r="O832" s="24" t="e">
        <f>VLOOKUP(E832,'Court List'!$A:$C,3,0)</f>
        <v>#N/A</v>
      </c>
      <c r="P832" s="18">
        <f>COUNTIF('Pub List'!$C832:$T832,"&lt;&gt;")</f>
        <v>0</v>
      </c>
      <c r="Q832" s="20" t="e">
        <f t="shared" si="39"/>
        <v>#N/A</v>
      </c>
      <c r="R832" s="36"/>
      <c r="S832" s="18">
        <f>COUNTIF('Member List'!$C832:$J832,"&lt;&gt;")</f>
        <v>0</v>
      </c>
      <c r="T832" s="35"/>
      <c r="U832" s="24">
        <f t="shared" si="40"/>
        <v>0</v>
      </c>
      <c r="V832" s="18" t="e">
        <f t="shared" si="41"/>
        <v>#N/A</v>
      </c>
      <c r="W832" s="45" t="e">
        <f t="shared" si="42"/>
        <v>#N/A</v>
      </c>
      <c r="X832" s="20" t="e">
        <f t="shared" si="43"/>
        <v>#N/A</v>
      </c>
      <c r="Y832" s="46" t="e">
        <f t="shared" si="46"/>
        <v>#N/A</v>
      </c>
      <c r="Z832" s="39" t="e">
        <f t="shared" si="44"/>
        <v>#N/A</v>
      </c>
      <c r="AA832" s="39" t="e">
        <f t="shared" si="45"/>
        <v>#N/A</v>
      </c>
      <c r="AB832" s="39"/>
      <c r="AC832" s="48" t="e">
        <f t="shared" si="47"/>
        <v>#N/A</v>
      </c>
    </row>
    <row r="833" spans="1:29" ht="12.5" x14ac:dyDescent="0.25">
      <c r="A833" s="36"/>
      <c r="B833" s="33"/>
      <c r="C833" s="33"/>
      <c r="D833" s="33"/>
      <c r="E833" s="35"/>
      <c r="F833" s="21"/>
      <c r="G833" s="22" t="e">
        <f>VLOOKUP(E833,'Court List'!$A:$C,2,0)</f>
        <v>#N/A</v>
      </c>
      <c r="H833" s="33"/>
      <c r="I833" s="33"/>
      <c r="J833" s="44" t="e">
        <f t="shared" si="38"/>
        <v>#N/A</v>
      </c>
      <c r="K833" s="36"/>
      <c r="L833" s="18">
        <f>SUM('Shuttle Count - Supreme (Nov 20'!C833:D833)</f>
        <v>0</v>
      </c>
      <c r="M833" s="18" t="e">
        <f>VLOOKUP(K833,'Shuttle Purchase'!A:C,3,0)</f>
        <v>#N/A</v>
      </c>
      <c r="N833" s="44" t="e">
        <f t="shared" si="48"/>
        <v>#N/A</v>
      </c>
      <c r="O833" s="24" t="e">
        <f>VLOOKUP(E833,'Court List'!$A:$C,3,0)</f>
        <v>#N/A</v>
      </c>
      <c r="P833" s="18">
        <f>COUNTIF('Pub List'!$C833:$T833,"&lt;&gt;")</f>
        <v>0</v>
      </c>
      <c r="Q833" s="20" t="e">
        <f t="shared" si="39"/>
        <v>#N/A</v>
      </c>
      <c r="R833" s="36"/>
      <c r="S833" s="18">
        <f>COUNTIF('Member List'!$C833:$J833,"&lt;&gt;")</f>
        <v>0</v>
      </c>
      <c r="T833" s="35"/>
      <c r="U833" s="24">
        <f t="shared" si="40"/>
        <v>0</v>
      </c>
      <c r="V833" s="18" t="e">
        <f t="shared" si="41"/>
        <v>#N/A</v>
      </c>
      <c r="W833" s="45" t="e">
        <f t="shared" si="42"/>
        <v>#N/A</v>
      </c>
      <c r="X833" s="20" t="e">
        <f t="shared" si="43"/>
        <v>#N/A</v>
      </c>
      <c r="Y833" s="46" t="e">
        <f t="shared" si="46"/>
        <v>#N/A</v>
      </c>
      <c r="Z833" s="39" t="e">
        <f t="shared" si="44"/>
        <v>#N/A</v>
      </c>
      <c r="AA833" s="39" t="e">
        <f t="shared" si="45"/>
        <v>#N/A</v>
      </c>
      <c r="AB833" s="39"/>
      <c r="AC833" s="48" t="e">
        <f t="shared" si="47"/>
        <v>#N/A</v>
      </c>
    </row>
    <row r="834" spans="1:29" ht="12.5" x14ac:dyDescent="0.25">
      <c r="A834" s="36"/>
      <c r="B834" s="33"/>
      <c r="C834" s="33"/>
      <c r="D834" s="33"/>
      <c r="E834" s="35"/>
      <c r="F834" s="21"/>
      <c r="G834" s="22" t="e">
        <f>VLOOKUP(E834,'Court List'!$A:$C,2,0)</f>
        <v>#N/A</v>
      </c>
      <c r="H834" s="33"/>
      <c r="I834" s="33"/>
      <c r="J834" s="44" t="e">
        <f t="shared" si="38"/>
        <v>#N/A</v>
      </c>
      <c r="K834" s="36"/>
      <c r="L834" s="18">
        <f>SUM('Shuttle Count - Supreme (Nov 20'!C834:D834)</f>
        <v>0</v>
      </c>
      <c r="M834" s="18" t="e">
        <f>VLOOKUP(K834,'Shuttle Purchase'!A:C,3,0)</f>
        <v>#N/A</v>
      </c>
      <c r="N834" s="44" t="e">
        <f t="shared" si="48"/>
        <v>#N/A</v>
      </c>
      <c r="O834" s="24" t="e">
        <f>VLOOKUP(E834,'Court List'!$A:$C,3,0)</f>
        <v>#N/A</v>
      </c>
      <c r="P834" s="18">
        <f>COUNTIF('Pub List'!$C834:$T834,"&lt;&gt;")</f>
        <v>0</v>
      </c>
      <c r="Q834" s="20" t="e">
        <f t="shared" si="39"/>
        <v>#N/A</v>
      </c>
      <c r="R834" s="36"/>
      <c r="S834" s="18">
        <f>COUNTIF('Member List'!$C834:$J834,"&lt;&gt;")</f>
        <v>0</v>
      </c>
      <c r="T834" s="35"/>
      <c r="U834" s="24">
        <f t="shared" si="40"/>
        <v>0</v>
      </c>
      <c r="V834" s="18" t="e">
        <f t="shared" si="41"/>
        <v>#N/A</v>
      </c>
      <c r="W834" s="45" t="e">
        <f t="shared" si="42"/>
        <v>#N/A</v>
      </c>
      <c r="X834" s="20" t="e">
        <f t="shared" si="43"/>
        <v>#N/A</v>
      </c>
      <c r="Y834" s="46" t="e">
        <f t="shared" si="46"/>
        <v>#N/A</v>
      </c>
      <c r="Z834" s="39" t="e">
        <f t="shared" si="44"/>
        <v>#N/A</v>
      </c>
      <c r="AA834" s="39" t="e">
        <f t="shared" si="45"/>
        <v>#N/A</v>
      </c>
      <c r="AB834" s="39"/>
      <c r="AC834" s="48" t="e">
        <f t="shared" si="47"/>
        <v>#N/A</v>
      </c>
    </row>
    <row r="835" spans="1:29" ht="12.5" x14ac:dyDescent="0.25">
      <c r="A835" s="36"/>
      <c r="B835" s="33"/>
      <c r="C835" s="33"/>
      <c r="D835" s="33"/>
      <c r="E835" s="35"/>
      <c r="F835" s="21"/>
      <c r="G835" s="22" t="e">
        <f>VLOOKUP(E835,'Court List'!$A:$C,2,0)</f>
        <v>#N/A</v>
      </c>
      <c r="H835" s="33"/>
      <c r="I835" s="33"/>
      <c r="J835" s="44" t="e">
        <f t="shared" si="38"/>
        <v>#N/A</v>
      </c>
      <c r="K835" s="36"/>
      <c r="L835" s="18">
        <f>SUM('Shuttle Count - Supreme (Nov 20'!C835:D835)</f>
        <v>0</v>
      </c>
      <c r="M835" s="18" t="e">
        <f>VLOOKUP(K835,'Shuttle Purchase'!A:C,3,0)</f>
        <v>#N/A</v>
      </c>
      <c r="N835" s="44" t="e">
        <f t="shared" si="48"/>
        <v>#N/A</v>
      </c>
      <c r="O835" s="24" t="e">
        <f>VLOOKUP(E835,'Court List'!$A:$C,3,0)</f>
        <v>#N/A</v>
      </c>
      <c r="P835" s="18">
        <f>COUNTIF('Pub List'!$C835:$T835,"&lt;&gt;")</f>
        <v>0</v>
      </c>
      <c r="Q835" s="20" t="e">
        <f t="shared" si="39"/>
        <v>#N/A</v>
      </c>
      <c r="R835" s="36"/>
      <c r="S835" s="18">
        <f>COUNTIF('Member List'!$C835:$J835,"&lt;&gt;")</f>
        <v>0</v>
      </c>
      <c r="T835" s="35"/>
      <c r="U835" s="24">
        <f t="shared" si="40"/>
        <v>0</v>
      </c>
      <c r="V835" s="18" t="e">
        <f t="shared" si="41"/>
        <v>#N/A</v>
      </c>
      <c r="W835" s="45" t="e">
        <f t="shared" si="42"/>
        <v>#N/A</v>
      </c>
      <c r="X835" s="20" t="e">
        <f t="shared" si="43"/>
        <v>#N/A</v>
      </c>
      <c r="Y835" s="46" t="e">
        <f t="shared" si="46"/>
        <v>#N/A</v>
      </c>
      <c r="Z835" s="39" t="e">
        <f t="shared" si="44"/>
        <v>#N/A</v>
      </c>
      <c r="AA835" s="39" t="e">
        <f t="shared" si="45"/>
        <v>#N/A</v>
      </c>
      <c r="AB835" s="39"/>
      <c r="AC835" s="48" t="e">
        <f t="shared" si="47"/>
        <v>#N/A</v>
      </c>
    </row>
    <row r="836" spans="1:29" ht="12.5" x14ac:dyDescent="0.25">
      <c r="A836" s="36"/>
      <c r="B836" s="33"/>
      <c r="C836" s="33"/>
      <c r="D836" s="33"/>
      <c r="E836" s="35"/>
      <c r="F836" s="21"/>
      <c r="G836" s="22" t="e">
        <f>VLOOKUP(E836,'Court List'!$A:$C,2,0)</f>
        <v>#N/A</v>
      </c>
      <c r="H836" s="33"/>
      <c r="I836" s="33"/>
      <c r="J836" s="44" t="e">
        <f t="shared" si="38"/>
        <v>#N/A</v>
      </c>
      <c r="K836" s="36"/>
      <c r="L836" s="18">
        <f>SUM('Shuttle Count - Supreme (Nov 20'!C836:D836)</f>
        <v>0</v>
      </c>
      <c r="M836" s="18" t="e">
        <f>VLOOKUP(K836,'Shuttle Purchase'!A:C,3,0)</f>
        <v>#N/A</v>
      </c>
      <c r="N836" s="44" t="e">
        <f t="shared" si="48"/>
        <v>#N/A</v>
      </c>
      <c r="O836" s="24" t="e">
        <f>VLOOKUP(E836,'Court List'!$A:$C,3,0)</f>
        <v>#N/A</v>
      </c>
      <c r="P836" s="18">
        <f>COUNTIF('Pub List'!$C836:$T836,"&lt;&gt;")</f>
        <v>0</v>
      </c>
      <c r="Q836" s="20" t="e">
        <f t="shared" si="39"/>
        <v>#N/A</v>
      </c>
      <c r="R836" s="36"/>
      <c r="S836" s="18">
        <f>COUNTIF('Member List'!$C836:$J836,"&lt;&gt;")</f>
        <v>0</v>
      </c>
      <c r="T836" s="35"/>
      <c r="U836" s="24">
        <f t="shared" si="40"/>
        <v>0</v>
      </c>
      <c r="V836" s="18" t="e">
        <f t="shared" si="41"/>
        <v>#N/A</v>
      </c>
      <c r="W836" s="45" t="e">
        <f t="shared" si="42"/>
        <v>#N/A</v>
      </c>
      <c r="X836" s="20" t="e">
        <f t="shared" si="43"/>
        <v>#N/A</v>
      </c>
      <c r="Y836" s="46" t="e">
        <f t="shared" si="46"/>
        <v>#N/A</v>
      </c>
      <c r="Z836" s="39" t="e">
        <f t="shared" si="44"/>
        <v>#N/A</v>
      </c>
      <c r="AA836" s="39" t="e">
        <f t="shared" si="45"/>
        <v>#N/A</v>
      </c>
      <c r="AB836" s="39"/>
      <c r="AC836" s="48" t="e">
        <f t="shared" si="47"/>
        <v>#N/A</v>
      </c>
    </row>
    <row r="837" spans="1:29" ht="12.5" x14ac:dyDescent="0.25">
      <c r="A837" s="36"/>
      <c r="B837" s="33"/>
      <c r="C837" s="33"/>
      <c r="D837" s="33"/>
      <c r="E837" s="35"/>
      <c r="F837" s="21"/>
      <c r="G837" s="22" t="e">
        <f>VLOOKUP(E837,'Court List'!$A:$C,2,0)</f>
        <v>#N/A</v>
      </c>
      <c r="H837" s="33"/>
      <c r="I837" s="33"/>
      <c r="J837" s="44" t="e">
        <f t="shared" si="38"/>
        <v>#N/A</v>
      </c>
      <c r="K837" s="36"/>
      <c r="L837" s="18">
        <f>SUM('Shuttle Count - Supreme (Nov 20'!C837:D837)</f>
        <v>0</v>
      </c>
      <c r="M837" s="18" t="e">
        <f>VLOOKUP(K837,'Shuttle Purchase'!A:C,3,0)</f>
        <v>#N/A</v>
      </c>
      <c r="N837" s="44" t="e">
        <f t="shared" si="48"/>
        <v>#N/A</v>
      </c>
      <c r="O837" s="24" t="e">
        <f>VLOOKUP(E837,'Court List'!$A:$C,3,0)</f>
        <v>#N/A</v>
      </c>
      <c r="P837" s="18">
        <f>COUNTIF('Pub List'!$C837:$T837,"&lt;&gt;")</f>
        <v>0</v>
      </c>
      <c r="Q837" s="20" t="e">
        <f t="shared" si="39"/>
        <v>#N/A</v>
      </c>
      <c r="R837" s="36"/>
      <c r="S837" s="18">
        <f>COUNTIF('Member List'!$C837:$J837,"&lt;&gt;")</f>
        <v>0</v>
      </c>
      <c r="T837" s="35"/>
      <c r="U837" s="24">
        <f t="shared" si="40"/>
        <v>0</v>
      </c>
      <c r="V837" s="18" t="e">
        <f t="shared" si="41"/>
        <v>#N/A</v>
      </c>
      <c r="W837" s="45" t="e">
        <f t="shared" si="42"/>
        <v>#N/A</v>
      </c>
      <c r="X837" s="20" t="e">
        <f t="shared" si="43"/>
        <v>#N/A</v>
      </c>
      <c r="Y837" s="46" t="e">
        <f t="shared" si="46"/>
        <v>#N/A</v>
      </c>
      <c r="Z837" s="39" t="e">
        <f t="shared" si="44"/>
        <v>#N/A</v>
      </c>
      <c r="AA837" s="39" t="e">
        <f t="shared" si="45"/>
        <v>#N/A</v>
      </c>
      <c r="AB837" s="39"/>
      <c r="AC837" s="48" t="e">
        <f t="shared" si="47"/>
        <v>#N/A</v>
      </c>
    </row>
    <row r="838" spans="1:29" ht="12.5" x14ac:dyDescent="0.25">
      <c r="A838" s="36"/>
      <c r="B838" s="33"/>
      <c r="C838" s="33"/>
      <c r="D838" s="33"/>
      <c r="E838" s="35"/>
      <c r="F838" s="21"/>
      <c r="G838" s="22" t="e">
        <f>VLOOKUP(E838,'Court List'!$A:$C,2,0)</f>
        <v>#N/A</v>
      </c>
      <c r="H838" s="33"/>
      <c r="I838" s="33"/>
      <c r="J838" s="44" t="e">
        <f t="shared" si="38"/>
        <v>#N/A</v>
      </c>
      <c r="K838" s="36"/>
      <c r="L838" s="18">
        <f>SUM('Shuttle Count - Supreme (Nov 20'!C838:D838)</f>
        <v>0</v>
      </c>
      <c r="M838" s="18" t="e">
        <f>VLOOKUP(K838,'Shuttle Purchase'!A:C,3,0)</f>
        <v>#N/A</v>
      </c>
      <c r="N838" s="44" t="e">
        <f t="shared" si="48"/>
        <v>#N/A</v>
      </c>
      <c r="O838" s="24" t="e">
        <f>VLOOKUP(E838,'Court List'!$A:$C,3,0)</f>
        <v>#N/A</v>
      </c>
      <c r="P838" s="18">
        <f>COUNTIF('Pub List'!$C838:$T838,"&lt;&gt;")</f>
        <v>0</v>
      </c>
      <c r="Q838" s="20" t="e">
        <f t="shared" si="39"/>
        <v>#N/A</v>
      </c>
      <c r="R838" s="36"/>
      <c r="S838" s="18">
        <f>COUNTIF('Member List'!$C838:$J838,"&lt;&gt;")</f>
        <v>0</v>
      </c>
      <c r="T838" s="35"/>
      <c r="U838" s="24">
        <f t="shared" si="40"/>
        <v>0</v>
      </c>
      <c r="V838" s="18" t="e">
        <f t="shared" si="41"/>
        <v>#N/A</v>
      </c>
      <c r="W838" s="45" t="e">
        <f t="shared" si="42"/>
        <v>#N/A</v>
      </c>
      <c r="X838" s="20" t="e">
        <f t="shared" si="43"/>
        <v>#N/A</v>
      </c>
      <c r="Y838" s="46" t="e">
        <f t="shared" si="46"/>
        <v>#N/A</v>
      </c>
      <c r="Z838" s="39" t="e">
        <f t="shared" si="44"/>
        <v>#N/A</v>
      </c>
      <c r="AA838" s="39" t="e">
        <f t="shared" si="45"/>
        <v>#N/A</v>
      </c>
      <c r="AB838" s="39"/>
      <c r="AC838" s="48" t="e">
        <f t="shared" si="47"/>
        <v>#N/A</v>
      </c>
    </row>
    <row r="839" spans="1:29" ht="12.5" x14ac:dyDescent="0.25">
      <c r="A839" s="36"/>
      <c r="B839" s="33"/>
      <c r="C839" s="33"/>
      <c r="D839" s="33"/>
      <c r="E839" s="35"/>
      <c r="F839" s="21"/>
      <c r="G839" s="22" t="e">
        <f>VLOOKUP(E839,'Court List'!$A:$C,2,0)</f>
        <v>#N/A</v>
      </c>
      <c r="H839" s="33"/>
      <c r="I839" s="33"/>
      <c r="J839" s="44" t="e">
        <f t="shared" si="38"/>
        <v>#N/A</v>
      </c>
      <c r="K839" s="36"/>
      <c r="L839" s="18">
        <f>SUM('Shuttle Count - Supreme (Nov 20'!C839:D839)</f>
        <v>0</v>
      </c>
      <c r="M839" s="18" t="e">
        <f>VLOOKUP(K839,'Shuttle Purchase'!A:C,3,0)</f>
        <v>#N/A</v>
      </c>
      <c r="N839" s="44" t="e">
        <f t="shared" si="48"/>
        <v>#N/A</v>
      </c>
      <c r="O839" s="24" t="e">
        <f>VLOOKUP(E839,'Court List'!$A:$C,3,0)</f>
        <v>#N/A</v>
      </c>
      <c r="P839" s="18">
        <f>COUNTIF('Pub List'!$C839:$T839,"&lt;&gt;")</f>
        <v>0</v>
      </c>
      <c r="Q839" s="20" t="e">
        <f t="shared" si="39"/>
        <v>#N/A</v>
      </c>
      <c r="R839" s="36"/>
      <c r="S839" s="18">
        <f>COUNTIF('Member List'!$C839:$J839,"&lt;&gt;")</f>
        <v>0</v>
      </c>
      <c r="T839" s="35"/>
      <c r="U839" s="24">
        <f t="shared" si="40"/>
        <v>0</v>
      </c>
      <c r="V839" s="18" t="e">
        <f t="shared" si="41"/>
        <v>#N/A</v>
      </c>
      <c r="W839" s="45" t="e">
        <f t="shared" si="42"/>
        <v>#N/A</v>
      </c>
      <c r="X839" s="20" t="e">
        <f t="shared" si="43"/>
        <v>#N/A</v>
      </c>
      <c r="Y839" s="46" t="e">
        <f t="shared" si="46"/>
        <v>#N/A</v>
      </c>
      <c r="Z839" s="39" t="e">
        <f t="shared" si="44"/>
        <v>#N/A</v>
      </c>
      <c r="AA839" s="39" t="e">
        <f t="shared" si="45"/>
        <v>#N/A</v>
      </c>
      <c r="AB839" s="39"/>
      <c r="AC839" s="48" t="e">
        <f t="shared" si="47"/>
        <v>#N/A</v>
      </c>
    </row>
    <row r="840" spans="1:29" ht="12.5" x14ac:dyDescent="0.25">
      <c r="A840" s="36"/>
      <c r="B840" s="33"/>
      <c r="C840" s="33"/>
      <c r="D840" s="33"/>
      <c r="E840" s="35"/>
      <c r="F840" s="21"/>
      <c r="G840" s="22" t="e">
        <f>VLOOKUP(E840,'Court List'!$A:$C,2,0)</f>
        <v>#N/A</v>
      </c>
      <c r="H840" s="33"/>
      <c r="I840" s="33"/>
      <c r="J840" s="44" t="e">
        <f t="shared" si="38"/>
        <v>#N/A</v>
      </c>
      <c r="K840" s="36"/>
      <c r="L840" s="18">
        <f>SUM('Shuttle Count - Supreme (Nov 20'!C840:D840)</f>
        <v>0</v>
      </c>
      <c r="M840" s="18" t="e">
        <f>VLOOKUP(K840,'Shuttle Purchase'!A:C,3,0)</f>
        <v>#N/A</v>
      </c>
      <c r="N840" s="44" t="e">
        <f t="shared" si="48"/>
        <v>#N/A</v>
      </c>
      <c r="O840" s="24" t="e">
        <f>VLOOKUP(E840,'Court List'!$A:$C,3,0)</f>
        <v>#N/A</v>
      </c>
      <c r="P840" s="18">
        <f>COUNTIF('Pub List'!$C840:$T840,"&lt;&gt;")</f>
        <v>0</v>
      </c>
      <c r="Q840" s="20" t="e">
        <f t="shared" si="39"/>
        <v>#N/A</v>
      </c>
      <c r="R840" s="36"/>
      <c r="S840" s="18">
        <f>COUNTIF('Member List'!$C840:$J840,"&lt;&gt;")</f>
        <v>0</v>
      </c>
      <c r="T840" s="35"/>
      <c r="U840" s="24">
        <f t="shared" si="40"/>
        <v>0</v>
      </c>
      <c r="V840" s="18" t="e">
        <f t="shared" si="41"/>
        <v>#N/A</v>
      </c>
      <c r="W840" s="45" t="e">
        <f t="shared" si="42"/>
        <v>#N/A</v>
      </c>
      <c r="X840" s="20" t="e">
        <f t="shared" si="43"/>
        <v>#N/A</v>
      </c>
      <c r="Y840" s="46" t="e">
        <f t="shared" si="46"/>
        <v>#N/A</v>
      </c>
      <c r="Z840" s="39" t="e">
        <f t="shared" si="44"/>
        <v>#N/A</v>
      </c>
      <c r="AA840" s="39" t="e">
        <f t="shared" si="45"/>
        <v>#N/A</v>
      </c>
      <c r="AB840" s="39"/>
      <c r="AC840" s="48" t="e">
        <f t="shared" si="47"/>
        <v>#N/A</v>
      </c>
    </row>
    <row r="841" spans="1:29" ht="12.5" x14ac:dyDescent="0.25">
      <c r="A841" s="36"/>
      <c r="B841" s="33"/>
      <c r="C841" s="33"/>
      <c r="D841" s="33"/>
      <c r="E841" s="35"/>
      <c r="F841" s="21"/>
      <c r="G841" s="22" t="e">
        <f>VLOOKUP(E841,'Court List'!$A:$C,2,0)</f>
        <v>#N/A</v>
      </c>
      <c r="H841" s="33"/>
      <c r="I841" s="33"/>
      <c r="J841" s="44" t="e">
        <f t="shared" si="38"/>
        <v>#N/A</v>
      </c>
      <c r="K841" s="36"/>
      <c r="L841" s="18">
        <f>SUM('Shuttle Count - Supreme (Nov 20'!C841:D841)</f>
        <v>0</v>
      </c>
      <c r="M841" s="18" t="e">
        <f>VLOOKUP(K841,'Shuttle Purchase'!A:C,3,0)</f>
        <v>#N/A</v>
      </c>
      <c r="N841" s="44" t="e">
        <f t="shared" si="48"/>
        <v>#N/A</v>
      </c>
      <c r="O841" s="24" t="e">
        <f>VLOOKUP(E841,'Court List'!$A:$C,3,0)</f>
        <v>#N/A</v>
      </c>
      <c r="P841" s="18">
        <f>COUNTIF('Pub List'!$C841:$T841,"&lt;&gt;")</f>
        <v>0</v>
      </c>
      <c r="Q841" s="20" t="e">
        <f t="shared" si="39"/>
        <v>#N/A</v>
      </c>
      <c r="R841" s="36"/>
      <c r="S841" s="18">
        <f>COUNTIF('Member List'!$C841:$J841,"&lt;&gt;")</f>
        <v>0</v>
      </c>
      <c r="T841" s="35"/>
      <c r="U841" s="24">
        <f t="shared" si="40"/>
        <v>0</v>
      </c>
      <c r="V841" s="18" t="e">
        <f t="shared" si="41"/>
        <v>#N/A</v>
      </c>
      <c r="W841" s="45" t="e">
        <f t="shared" si="42"/>
        <v>#N/A</v>
      </c>
      <c r="X841" s="20" t="e">
        <f t="shared" si="43"/>
        <v>#N/A</v>
      </c>
      <c r="Y841" s="46" t="e">
        <f t="shared" si="46"/>
        <v>#N/A</v>
      </c>
      <c r="Z841" s="39" t="e">
        <f t="shared" si="44"/>
        <v>#N/A</v>
      </c>
      <c r="AA841" s="39" t="e">
        <f t="shared" si="45"/>
        <v>#N/A</v>
      </c>
      <c r="AB841" s="39"/>
      <c r="AC841" s="48" t="e">
        <f t="shared" si="47"/>
        <v>#N/A</v>
      </c>
    </row>
    <row r="842" spans="1:29" ht="12.5" x14ac:dyDescent="0.25">
      <c r="A842" s="36"/>
      <c r="B842" s="33"/>
      <c r="C842" s="33"/>
      <c r="D842" s="33"/>
      <c r="E842" s="35"/>
      <c r="F842" s="21"/>
      <c r="G842" s="22" t="e">
        <f>VLOOKUP(E842,'Court List'!$A:$C,2,0)</f>
        <v>#N/A</v>
      </c>
      <c r="H842" s="33"/>
      <c r="I842" s="33"/>
      <c r="J842" s="44" t="e">
        <f t="shared" si="38"/>
        <v>#N/A</v>
      </c>
      <c r="K842" s="36"/>
      <c r="L842" s="18">
        <f>SUM('Shuttle Count - Supreme (Nov 20'!C842:D842)</f>
        <v>0</v>
      </c>
      <c r="M842" s="18" t="e">
        <f>VLOOKUP(K842,'Shuttle Purchase'!A:C,3,0)</f>
        <v>#N/A</v>
      </c>
      <c r="N842" s="44" t="e">
        <f t="shared" si="48"/>
        <v>#N/A</v>
      </c>
      <c r="O842" s="24" t="e">
        <f>VLOOKUP(E842,'Court List'!$A:$C,3,0)</f>
        <v>#N/A</v>
      </c>
      <c r="P842" s="18">
        <f>COUNTIF('Pub List'!$C842:$T842,"&lt;&gt;")</f>
        <v>0</v>
      </c>
      <c r="Q842" s="20" t="e">
        <f t="shared" si="39"/>
        <v>#N/A</v>
      </c>
      <c r="R842" s="36"/>
      <c r="S842" s="18">
        <f>COUNTIF('Member List'!$C842:$J842,"&lt;&gt;")</f>
        <v>0</v>
      </c>
      <c r="T842" s="35"/>
      <c r="U842" s="24">
        <f t="shared" si="40"/>
        <v>0</v>
      </c>
      <c r="V842" s="18" t="e">
        <f t="shared" si="41"/>
        <v>#N/A</v>
      </c>
      <c r="W842" s="45" t="e">
        <f t="shared" si="42"/>
        <v>#N/A</v>
      </c>
      <c r="X842" s="20" t="e">
        <f t="shared" si="43"/>
        <v>#N/A</v>
      </c>
      <c r="Y842" s="46" t="e">
        <f t="shared" si="46"/>
        <v>#N/A</v>
      </c>
      <c r="Z842" s="39" t="e">
        <f t="shared" si="44"/>
        <v>#N/A</v>
      </c>
      <c r="AA842" s="39" t="e">
        <f t="shared" si="45"/>
        <v>#N/A</v>
      </c>
      <c r="AB842" s="39"/>
      <c r="AC842" s="48" t="e">
        <f t="shared" si="47"/>
        <v>#N/A</v>
      </c>
    </row>
    <row r="843" spans="1:29" ht="12.5" x14ac:dyDescent="0.25">
      <c r="A843" s="36"/>
      <c r="B843" s="33"/>
      <c r="C843" s="33"/>
      <c r="D843" s="33"/>
      <c r="E843" s="35"/>
      <c r="F843" s="21"/>
      <c r="G843" s="22" t="e">
        <f>VLOOKUP(E843,'Court List'!$A:$C,2,0)</f>
        <v>#N/A</v>
      </c>
      <c r="H843" s="33"/>
      <c r="I843" s="33"/>
      <c r="J843" s="44" t="e">
        <f t="shared" si="38"/>
        <v>#N/A</v>
      </c>
      <c r="K843" s="36"/>
      <c r="L843" s="18">
        <f>SUM('Shuttle Count - Supreme (Nov 20'!C843:D843)</f>
        <v>0</v>
      </c>
      <c r="M843" s="18" t="e">
        <f>VLOOKUP(K843,'Shuttle Purchase'!A:C,3,0)</f>
        <v>#N/A</v>
      </c>
      <c r="N843" s="44" t="e">
        <f t="shared" si="48"/>
        <v>#N/A</v>
      </c>
      <c r="O843" s="24" t="e">
        <f>VLOOKUP(E843,'Court List'!$A:$C,3,0)</f>
        <v>#N/A</v>
      </c>
      <c r="P843" s="18">
        <f>COUNTIF('Pub List'!$C843:$T843,"&lt;&gt;")</f>
        <v>0</v>
      </c>
      <c r="Q843" s="20" t="e">
        <f t="shared" si="39"/>
        <v>#N/A</v>
      </c>
      <c r="R843" s="36"/>
      <c r="S843" s="18">
        <f>COUNTIF('Member List'!$C843:$J843,"&lt;&gt;")</f>
        <v>0</v>
      </c>
      <c r="T843" s="35"/>
      <c r="U843" s="24">
        <f t="shared" si="40"/>
        <v>0</v>
      </c>
      <c r="V843" s="18" t="e">
        <f t="shared" si="41"/>
        <v>#N/A</v>
      </c>
      <c r="W843" s="45" t="e">
        <f t="shared" si="42"/>
        <v>#N/A</v>
      </c>
      <c r="X843" s="20" t="e">
        <f t="shared" si="43"/>
        <v>#N/A</v>
      </c>
      <c r="Y843" s="46" t="e">
        <f t="shared" si="46"/>
        <v>#N/A</v>
      </c>
      <c r="Z843" s="39" t="e">
        <f t="shared" si="44"/>
        <v>#N/A</v>
      </c>
      <c r="AA843" s="39" t="e">
        <f t="shared" si="45"/>
        <v>#N/A</v>
      </c>
      <c r="AB843" s="39"/>
      <c r="AC843" s="48" t="e">
        <f t="shared" si="47"/>
        <v>#N/A</v>
      </c>
    </row>
    <row r="844" spans="1:29" ht="12.5" x14ac:dyDescent="0.25">
      <c r="A844" s="36"/>
      <c r="B844" s="33"/>
      <c r="C844" s="33"/>
      <c r="D844" s="33"/>
      <c r="E844" s="35"/>
      <c r="F844" s="21"/>
      <c r="G844" s="22" t="e">
        <f>VLOOKUP(E844,'Court List'!$A:$C,2,0)</f>
        <v>#N/A</v>
      </c>
      <c r="H844" s="33"/>
      <c r="I844" s="33"/>
      <c r="J844" s="44" t="e">
        <f t="shared" si="38"/>
        <v>#N/A</v>
      </c>
      <c r="K844" s="36"/>
      <c r="L844" s="18">
        <f>SUM('Shuttle Count - Supreme (Nov 20'!C844:D844)</f>
        <v>0</v>
      </c>
      <c r="M844" s="18" t="e">
        <f>VLOOKUP(K844,'Shuttle Purchase'!A:C,3,0)</f>
        <v>#N/A</v>
      </c>
      <c r="N844" s="44" t="e">
        <f t="shared" si="48"/>
        <v>#N/A</v>
      </c>
      <c r="O844" s="24" t="e">
        <f>VLOOKUP(E844,'Court List'!$A:$C,3,0)</f>
        <v>#N/A</v>
      </c>
      <c r="P844" s="18">
        <f>COUNTIF('Pub List'!$C844:$T844,"&lt;&gt;")</f>
        <v>0</v>
      </c>
      <c r="Q844" s="20" t="e">
        <f t="shared" si="39"/>
        <v>#N/A</v>
      </c>
      <c r="R844" s="36"/>
      <c r="S844" s="18">
        <f>COUNTIF('Member List'!$C844:$J844,"&lt;&gt;")</f>
        <v>0</v>
      </c>
      <c r="T844" s="35"/>
      <c r="U844" s="24">
        <f t="shared" si="40"/>
        <v>0</v>
      </c>
      <c r="V844" s="18" t="e">
        <f t="shared" si="41"/>
        <v>#N/A</v>
      </c>
      <c r="W844" s="45" t="e">
        <f t="shared" si="42"/>
        <v>#N/A</v>
      </c>
      <c r="X844" s="20" t="e">
        <f t="shared" si="43"/>
        <v>#N/A</v>
      </c>
      <c r="Y844" s="46" t="e">
        <f t="shared" si="46"/>
        <v>#N/A</v>
      </c>
      <c r="Z844" s="39" t="e">
        <f t="shared" si="44"/>
        <v>#N/A</v>
      </c>
      <c r="AA844" s="39" t="e">
        <f t="shared" si="45"/>
        <v>#N/A</v>
      </c>
      <c r="AB844" s="39"/>
      <c r="AC844" s="48" t="e">
        <f t="shared" si="47"/>
        <v>#N/A</v>
      </c>
    </row>
    <row r="845" spans="1:29" ht="12.5" x14ac:dyDescent="0.25">
      <c r="A845" s="36"/>
      <c r="B845" s="33"/>
      <c r="C845" s="33"/>
      <c r="D845" s="33"/>
      <c r="E845" s="35"/>
      <c r="F845" s="21"/>
      <c r="G845" s="22" t="e">
        <f>VLOOKUP(E845,'Court List'!$A:$C,2,0)</f>
        <v>#N/A</v>
      </c>
      <c r="H845" s="33"/>
      <c r="I845" s="33"/>
      <c r="J845" s="44" t="e">
        <f t="shared" si="38"/>
        <v>#N/A</v>
      </c>
      <c r="K845" s="36"/>
      <c r="L845" s="18">
        <f>SUM('Shuttle Count - Supreme (Nov 20'!C845:D845)</f>
        <v>0</v>
      </c>
      <c r="M845" s="18" t="e">
        <f>VLOOKUP(K845,'Shuttle Purchase'!A:C,3,0)</f>
        <v>#N/A</v>
      </c>
      <c r="N845" s="44" t="e">
        <f t="shared" si="48"/>
        <v>#N/A</v>
      </c>
      <c r="O845" s="24" t="e">
        <f>VLOOKUP(E845,'Court List'!$A:$C,3,0)</f>
        <v>#N/A</v>
      </c>
      <c r="P845" s="18">
        <f>COUNTIF('Pub List'!$C845:$T845,"&lt;&gt;")</f>
        <v>0</v>
      </c>
      <c r="Q845" s="20" t="e">
        <f t="shared" si="39"/>
        <v>#N/A</v>
      </c>
      <c r="R845" s="36"/>
      <c r="S845" s="18">
        <f>COUNTIF('Member List'!$C845:$J845,"&lt;&gt;")</f>
        <v>0</v>
      </c>
      <c r="T845" s="35"/>
      <c r="U845" s="24">
        <f t="shared" si="40"/>
        <v>0</v>
      </c>
      <c r="V845" s="18" t="e">
        <f t="shared" si="41"/>
        <v>#N/A</v>
      </c>
      <c r="W845" s="45" t="e">
        <f t="shared" si="42"/>
        <v>#N/A</v>
      </c>
      <c r="X845" s="20" t="e">
        <f t="shared" si="43"/>
        <v>#N/A</v>
      </c>
      <c r="Y845" s="46" t="e">
        <f t="shared" si="46"/>
        <v>#N/A</v>
      </c>
      <c r="Z845" s="39" t="e">
        <f t="shared" si="44"/>
        <v>#N/A</v>
      </c>
      <c r="AA845" s="39" t="e">
        <f t="shared" si="45"/>
        <v>#N/A</v>
      </c>
      <c r="AB845" s="39"/>
      <c r="AC845" s="48" t="e">
        <f t="shared" si="47"/>
        <v>#N/A</v>
      </c>
    </row>
    <row r="846" spans="1:29" ht="12.5" x14ac:dyDescent="0.25">
      <c r="A846" s="36"/>
      <c r="B846" s="33"/>
      <c r="C846" s="33"/>
      <c r="D846" s="33"/>
      <c r="E846" s="35"/>
      <c r="F846" s="21"/>
      <c r="G846" s="22" t="e">
        <f>VLOOKUP(E846,'Court List'!$A:$C,2,0)</f>
        <v>#N/A</v>
      </c>
      <c r="H846" s="33"/>
      <c r="I846" s="33"/>
      <c r="J846" s="44" t="e">
        <f t="shared" si="38"/>
        <v>#N/A</v>
      </c>
      <c r="K846" s="36"/>
      <c r="L846" s="18">
        <f>SUM('Shuttle Count - Supreme (Nov 20'!C846:D846)</f>
        <v>0</v>
      </c>
      <c r="M846" s="18" t="e">
        <f>VLOOKUP(K846,'Shuttle Purchase'!A:C,3,0)</f>
        <v>#N/A</v>
      </c>
      <c r="N846" s="44" t="e">
        <f t="shared" si="48"/>
        <v>#N/A</v>
      </c>
      <c r="O846" s="24" t="e">
        <f>VLOOKUP(E846,'Court List'!$A:$C,3,0)</f>
        <v>#N/A</v>
      </c>
      <c r="P846" s="18">
        <f>COUNTIF('Pub List'!$C846:$T846,"&lt;&gt;")</f>
        <v>0</v>
      </c>
      <c r="Q846" s="20" t="e">
        <f t="shared" si="39"/>
        <v>#N/A</v>
      </c>
      <c r="R846" s="36"/>
      <c r="S846" s="18">
        <f>COUNTIF('Member List'!$C846:$J846,"&lt;&gt;")</f>
        <v>0</v>
      </c>
      <c r="T846" s="35"/>
      <c r="U846" s="24">
        <f t="shared" si="40"/>
        <v>0</v>
      </c>
      <c r="V846" s="18" t="e">
        <f t="shared" si="41"/>
        <v>#N/A</v>
      </c>
      <c r="W846" s="45" t="e">
        <f t="shared" si="42"/>
        <v>#N/A</v>
      </c>
      <c r="X846" s="20" t="e">
        <f t="shared" si="43"/>
        <v>#N/A</v>
      </c>
      <c r="Y846" s="46" t="e">
        <f t="shared" si="46"/>
        <v>#N/A</v>
      </c>
      <c r="Z846" s="39" t="e">
        <f t="shared" si="44"/>
        <v>#N/A</v>
      </c>
      <c r="AA846" s="39" t="e">
        <f t="shared" si="45"/>
        <v>#N/A</v>
      </c>
      <c r="AB846" s="39"/>
      <c r="AC846" s="48" t="e">
        <f t="shared" si="47"/>
        <v>#N/A</v>
      </c>
    </row>
    <row r="847" spans="1:29" ht="12.5" x14ac:dyDescent="0.25">
      <c r="A847" s="36"/>
      <c r="B847" s="33"/>
      <c r="C847" s="33"/>
      <c r="D847" s="33"/>
      <c r="E847" s="35"/>
      <c r="F847" s="21"/>
      <c r="G847" s="22" t="e">
        <f>VLOOKUP(E847,'Court List'!$A:$C,2,0)</f>
        <v>#N/A</v>
      </c>
      <c r="H847" s="33"/>
      <c r="I847" s="33"/>
      <c r="J847" s="44" t="e">
        <f t="shared" si="38"/>
        <v>#N/A</v>
      </c>
      <c r="K847" s="36"/>
      <c r="L847" s="18">
        <f>SUM('Shuttle Count - Supreme (Nov 20'!C847:D847)</f>
        <v>0</v>
      </c>
      <c r="M847" s="18" t="e">
        <f>VLOOKUP(K847,'Shuttle Purchase'!A:C,3,0)</f>
        <v>#N/A</v>
      </c>
      <c r="N847" s="44" t="e">
        <f t="shared" si="48"/>
        <v>#N/A</v>
      </c>
      <c r="O847" s="24" t="e">
        <f>VLOOKUP(E847,'Court List'!$A:$C,3,0)</f>
        <v>#N/A</v>
      </c>
      <c r="P847" s="18">
        <f>COUNTIF('Pub List'!$C847:$T847,"&lt;&gt;")</f>
        <v>0</v>
      </c>
      <c r="Q847" s="20" t="e">
        <f t="shared" si="39"/>
        <v>#N/A</v>
      </c>
      <c r="R847" s="36"/>
      <c r="S847" s="18">
        <f>COUNTIF('Member List'!$C847:$J847,"&lt;&gt;")</f>
        <v>0</v>
      </c>
      <c r="T847" s="35"/>
      <c r="U847" s="24">
        <f t="shared" si="40"/>
        <v>0</v>
      </c>
      <c r="V847" s="18" t="e">
        <f t="shared" si="41"/>
        <v>#N/A</v>
      </c>
      <c r="W847" s="45" t="e">
        <f t="shared" si="42"/>
        <v>#N/A</v>
      </c>
      <c r="X847" s="20" t="e">
        <f t="shared" si="43"/>
        <v>#N/A</v>
      </c>
      <c r="Y847" s="46" t="e">
        <f t="shared" si="46"/>
        <v>#N/A</v>
      </c>
      <c r="Z847" s="39" t="e">
        <f t="shared" si="44"/>
        <v>#N/A</v>
      </c>
      <c r="AA847" s="39" t="e">
        <f t="shared" si="45"/>
        <v>#N/A</v>
      </c>
      <c r="AB847" s="39"/>
      <c r="AC847" s="48" t="e">
        <f t="shared" si="47"/>
        <v>#N/A</v>
      </c>
    </row>
    <row r="848" spans="1:29" ht="12.5" x14ac:dyDescent="0.25">
      <c r="A848" s="36"/>
      <c r="B848" s="33"/>
      <c r="C848" s="33"/>
      <c r="D848" s="33"/>
      <c r="E848" s="35"/>
      <c r="F848" s="21"/>
      <c r="G848" s="22" t="e">
        <f>VLOOKUP(E848,'Court List'!$A:$C,2,0)</f>
        <v>#N/A</v>
      </c>
      <c r="H848" s="33"/>
      <c r="I848" s="33"/>
      <c r="J848" s="44" t="e">
        <f t="shared" si="38"/>
        <v>#N/A</v>
      </c>
      <c r="K848" s="36"/>
      <c r="L848" s="18">
        <f>SUM('Shuttle Count - Supreme (Nov 20'!C848:D848)</f>
        <v>0</v>
      </c>
      <c r="M848" s="18" t="e">
        <f>VLOOKUP(K848,'Shuttle Purchase'!A:C,3,0)</f>
        <v>#N/A</v>
      </c>
      <c r="N848" s="44" t="e">
        <f t="shared" si="48"/>
        <v>#N/A</v>
      </c>
      <c r="O848" s="24" t="e">
        <f>VLOOKUP(E848,'Court List'!$A:$C,3,0)</f>
        <v>#N/A</v>
      </c>
      <c r="P848" s="18">
        <f>COUNTIF('Pub List'!$C848:$T848,"&lt;&gt;")</f>
        <v>0</v>
      </c>
      <c r="Q848" s="20" t="e">
        <f t="shared" si="39"/>
        <v>#N/A</v>
      </c>
      <c r="R848" s="36"/>
      <c r="S848" s="18">
        <f>COUNTIF('Member List'!$C848:$J848,"&lt;&gt;")</f>
        <v>0</v>
      </c>
      <c r="T848" s="35"/>
      <c r="U848" s="24">
        <f t="shared" si="40"/>
        <v>0</v>
      </c>
      <c r="V848" s="18" t="e">
        <f t="shared" si="41"/>
        <v>#N/A</v>
      </c>
      <c r="W848" s="45" t="e">
        <f t="shared" si="42"/>
        <v>#N/A</v>
      </c>
      <c r="X848" s="20" t="e">
        <f t="shared" si="43"/>
        <v>#N/A</v>
      </c>
      <c r="Y848" s="46" t="e">
        <f t="shared" si="46"/>
        <v>#N/A</v>
      </c>
      <c r="Z848" s="39" t="e">
        <f t="shared" si="44"/>
        <v>#N/A</v>
      </c>
      <c r="AA848" s="39" t="e">
        <f t="shared" si="45"/>
        <v>#N/A</v>
      </c>
      <c r="AB848" s="39"/>
      <c r="AC848" s="48" t="e">
        <f t="shared" si="47"/>
        <v>#N/A</v>
      </c>
    </row>
    <row r="849" spans="1:29" ht="12.5" x14ac:dyDescent="0.25">
      <c r="A849" s="36"/>
      <c r="B849" s="33"/>
      <c r="C849" s="33"/>
      <c r="D849" s="33"/>
      <c r="E849" s="35"/>
      <c r="F849" s="21"/>
      <c r="G849" s="22" t="e">
        <f>VLOOKUP(E849,'Court List'!$A:$C,2,0)</f>
        <v>#N/A</v>
      </c>
      <c r="H849" s="33"/>
      <c r="I849" s="33"/>
      <c r="J849" s="44" t="e">
        <f t="shared" si="38"/>
        <v>#N/A</v>
      </c>
      <c r="K849" s="36"/>
      <c r="L849" s="18">
        <f>SUM('Shuttle Count - Supreme (Nov 20'!C849:D849)</f>
        <v>0</v>
      </c>
      <c r="M849" s="18" t="e">
        <f>VLOOKUP(K849,'Shuttle Purchase'!A:C,3,0)</f>
        <v>#N/A</v>
      </c>
      <c r="N849" s="44" t="e">
        <f t="shared" si="48"/>
        <v>#N/A</v>
      </c>
      <c r="O849" s="24" t="e">
        <f>VLOOKUP(E849,'Court List'!$A:$C,3,0)</f>
        <v>#N/A</v>
      </c>
      <c r="P849" s="18">
        <f>COUNTIF('Pub List'!$C849:$T849,"&lt;&gt;")</f>
        <v>0</v>
      </c>
      <c r="Q849" s="20" t="e">
        <f t="shared" si="39"/>
        <v>#N/A</v>
      </c>
      <c r="R849" s="36"/>
      <c r="S849" s="18">
        <f>COUNTIF('Member List'!$C849:$J849,"&lt;&gt;")</f>
        <v>0</v>
      </c>
      <c r="T849" s="35"/>
      <c r="U849" s="24">
        <f t="shared" si="40"/>
        <v>0</v>
      </c>
      <c r="V849" s="18" t="e">
        <f t="shared" si="41"/>
        <v>#N/A</v>
      </c>
      <c r="W849" s="45" t="e">
        <f t="shared" si="42"/>
        <v>#N/A</v>
      </c>
      <c r="X849" s="20" t="e">
        <f t="shared" si="43"/>
        <v>#N/A</v>
      </c>
      <c r="Y849" s="46" t="e">
        <f t="shared" si="46"/>
        <v>#N/A</v>
      </c>
      <c r="Z849" s="39" t="e">
        <f t="shared" si="44"/>
        <v>#N/A</v>
      </c>
      <c r="AA849" s="39" t="e">
        <f t="shared" si="45"/>
        <v>#N/A</v>
      </c>
      <c r="AB849" s="39"/>
      <c r="AC849" s="48" t="e">
        <f t="shared" si="47"/>
        <v>#N/A</v>
      </c>
    </row>
    <row r="850" spans="1:29" ht="12.5" x14ac:dyDescent="0.25">
      <c r="A850" s="36"/>
      <c r="B850" s="33"/>
      <c r="C850" s="33"/>
      <c r="D850" s="33"/>
      <c r="E850" s="35"/>
      <c r="F850" s="21"/>
      <c r="G850" s="22" t="e">
        <f>VLOOKUP(E850,'Court List'!$A:$C,2,0)</f>
        <v>#N/A</v>
      </c>
      <c r="H850" s="33"/>
      <c r="I850" s="33"/>
      <c r="J850" s="44" t="e">
        <f t="shared" si="38"/>
        <v>#N/A</v>
      </c>
      <c r="K850" s="36"/>
      <c r="L850" s="18">
        <f>SUM('Shuttle Count - Supreme (Nov 20'!C850:D850)</f>
        <v>0</v>
      </c>
      <c r="M850" s="18" t="e">
        <f>VLOOKUP(K850,'Shuttle Purchase'!A:C,3,0)</f>
        <v>#N/A</v>
      </c>
      <c r="N850" s="44" t="e">
        <f t="shared" si="48"/>
        <v>#N/A</v>
      </c>
      <c r="O850" s="24" t="e">
        <f>VLOOKUP(E850,'Court List'!$A:$C,3,0)</f>
        <v>#N/A</v>
      </c>
      <c r="P850" s="18">
        <f>COUNTIF('Pub List'!$C850:$T850,"&lt;&gt;")</f>
        <v>0</v>
      </c>
      <c r="Q850" s="20" t="e">
        <f t="shared" si="39"/>
        <v>#N/A</v>
      </c>
      <c r="R850" s="36"/>
      <c r="S850" s="18">
        <f>COUNTIF('Member List'!$C850:$J850,"&lt;&gt;")</f>
        <v>0</v>
      </c>
      <c r="T850" s="35"/>
      <c r="U850" s="24">
        <f t="shared" si="40"/>
        <v>0</v>
      </c>
      <c r="V850" s="18" t="e">
        <f t="shared" si="41"/>
        <v>#N/A</v>
      </c>
      <c r="W850" s="45" t="e">
        <f t="shared" si="42"/>
        <v>#N/A</v>
      </c>
      <c r="X850" s="20" t="e">
        <f t="shared" si="43"/>
        <v>#N/A</v>
      </c>
      <c r="Y850" s="46" t="e">
        <f t="shared" si="46"/>
        <v>#N/A</v>
      </c>
      <c r="Z850" s="39" t="e">
        <f t="shared" si="44"/>
        <v>#N/A</v>
      </c>
      <c r="AA850" s="39" t="e">
        <f t="shared" si="45"/>
        <v>#N/A</v>
      </c>
      <c r="AB850" s="39"/>
      <c r="AC850" s="48" t="e">
        <f t="shared" si="47"/>
        <v>#N/A</v>
      </c>
    </row>
    <row r="851" spans="1:29" ht="12.5" x14ac:dyDescent="0.25">
      <c r="A851" s="36"/>
      <c r="B851" s="33"/>
      <c r="C851" s="33"/>
      <c r="D851" s="33"/>
      <c r="E851" s="35"/>
      <c r="F851" s="21"/>
      <c r="G851" s="22" t="e">
        <f>VLOOKUP(E851,'Court List'!$A:$C,2,0)</f>
        <v>#N/A</v>
      </c>
      <c r="H851" s="33"/>
      <c r="I851" s="33"/>
      <c r="J851" s="44" t="e">
        <f t="shared" si="38"/>
        <v>#N/A</v>
      </c>
      <c r="K851" s="36"/>
      <c r="L851" s="18">
        <f>SUM('Shuttle Count - Supreme (Nov 20'!C851:D851)</f>
        <v>0</v>
      </c>
      <c r="M851" s="18" t="e">
        <f>VLOOKUP(K851,'Shuttle Purchase'!A:C,3,0)</f>
        <v>#N/A</v>
      </c>
      <c r="N851" s="44" t="e">
        <f t="shared" si="48"/>
        <v>#N/A</v>
      </c>
      <c r="O851" s="24" t="e">
        <f>VLOOKUP(E851,'Court List'!$A:$C,3,0)</f>
        <v>#N/A</v>
      </c>
      <c r="P851" s="18">
        <f>COUNTIF('Pub List'!$C851:$T851,"&lt;&gt;")</f>
        <v>0</v>
      </c>
      <c r="Q851" s="20" t="e">
        <f t="shared" si="39"/>
        <v>#N/A</v>
      </c>
      <c r="R851" s="36"/>
      <c r="S851" s="18">
        <f>COUNTIF('Member List'!$C851:$J851,"&lt;&gt;")</f>
        <v>0</v>
      </c>
      <c r="T851" s="35"/>
      <c r="U851" s="24">
        <f t="shared" si="40"/>
        <v>0</v>
      </c>
      <c r="V851" s="18" t="e">
        <f t="shared" si="41"/>
        <v>#N/A</v>
      </c>
      <c r="W851" s="45" t="e">
        <f t="shared" si="42"/>
        <v>#N/A</v>
      </c>
      <c r="X851" s="20" t="e">
        <f t="shared" si="43"/>
        <v>#N/A</v>
      </c>
      <c r="Y851" s="46" t="e">
        <f t="shared" si="46"/>
        <v>#N/A</v>
      </c>
      <c r="Z851" s="39" t="e">
        <f t="shared" si="44"/>
        <v>#N/A</v>
      </c>
      <c r="AA851" s="39" t="e">
        <f t="shared" si="45"/>
        <v>#N/A</v>
      </c>
      <c r="AB851" s="39"/>
      <c r="AC851" s="48" t="e">
        <f t="shared" si="47"/>
        <v>#N/A</v>
      </c>
    </row>
    <row r="852" spans="1:29" ht="12.5" x14ac:dyDescent="0.25">
      <c r="A852" s="36"/>
      <c r="B852" s="33"/>
      <c r="C852" s="33"/>
      <c r="D852" s="33"/>
      <c r="E852" s="35"/>
      <c r="F852" s="21"/>
      <c r="G852" s="22" t="e">
        <f>VLOOKUP(E852,'Court List'!$A:$C,2,0)</f>
        <v>#N/A</v>
      </c>
      <c r="H852" s="33"/>
      <c r="I852" s="33"/>
      <c r="J852" s="44" t="e">
        <f t="shared" si="38"/>
        <v>#N/A</v>
      </c>
      <c r="K852" s="36"/>
      <c r="L852" s="18">
        <f>SUM('Shuttle Count - Supreme (Nov 20'!C852:D852)</f>
        <v>0</v>
      </c>
      <c r="M852" s="18" t="e">
        <f>VLOOKUP(K852,'Shuttle Purchase'!A:C,3,0)</f>
        <v>#N/A</v>
      </c>
      <c r="N852" s="44" t="e">
        <f t="shared" si="48"/>
        <v>#N/A</v>
      </c>
      <c r="O852" s="24" t="e">
        <f>VLOOKUP(E852,'Court List'!$A:$C,3,0)</f>
        <v>#N/A</v>
      </c>
      <c r="P852" s="18">
        <f>COUNTIF('Pub List'!$C852:$T852,"&lt;&gt;")</f>
        <v>0</v>
      </c>
      <c r="Q852" s="20" t="e">
        <f t="shared" si="39"/>
        <v>#N/A</v>
      </c>
      <c r="R852" s="36"/>
      <c r="S852" s="18">
        <f>COUNTIF('Member List'!$C852:$J852,"&lt;&gt;")</f>
        <v>0</v>
      </c>
      <c r="T852" s="35"/>
      <c r="U852" s="24">
        <f t="shared" si="40"/>
        <v>0</v>
      </c>
      <c r="V852" s="18" t="e">
        <f t="shared" si="41"/>
        <v>#N/A</v>
      </c>
      <c r="W852" s="45" t="e">
        <f t="shared" si="42"/>
        <v>#N/A</v>
      </c>
      <c r="X852" s="20" t="e">
        <f t="shared" si="43"/>
        <v>#N/A</v>
      </c>
      <c r="Y852" s="46" t="e">
        <f t="shared" si="46"/>
        <v>#N/A</v>
      </c>
      <c r="Z852" s="39" t="e">
        <f t="shared" si="44"/>
        <v>#N/A</v>
      </c>
      <c r="AA852" s="39" t="e">
        <f t="shared" si="45"/>
        <v>#N/A</v>
      </c>
      <c r="AB852" s="39"/>
      <c r="AC852" s="48" t="e">
        <f t="shared" si="47"/>
        <v>#N/A</v>
      </c>
    </row>
    <row r="853" spans="1:29" ht="12.5" x14ac:dyDescent="0.25">
      <c r="A853" s="36"/>
      <c r="B853" s="33"/>
      <c r="C853" s="33"/>
      <c r="D853" s="33"/>
      <c r="E853" s="35"/>
      <c r="F853" s="21"/>
      <c r="G853" s="22" t="e">
        <f>VLOOKUP(E853,'Court List'!$A:$C,2,0)</f>
        <v>#N/A</v>
      </c>
      <c r="H853" s="33"/>
      <c r="I853" s="33"/>
      <c r="J853" s="44" t="e">
        <f t="shared" si="38"/>
        <v>#N/A</v>
      </c>
      <c r="K853" s="36"/>
      <c r="L853" s="18">
        <f>SUM('Shuttle Count - Supreme (Nov 20'!C853:D853)</f>
        <v>0</v>
      </c>
      <c r="M853" s="18" t="e">
        <f>VLOOKUP(K853,'Shuttle Purchase'!A:C,3,0)</f>
        <v>#N/A</v>
      </c>
      <c r="N853" s="44" t="e">
        <f t="shared" si="48"/>
        <v>#N/A</v>
      </c>
      <c r="O853" s="24" t="e">
        <f>VLOOKUP(E853,'Court List'!$A:$C,3,0)</f>
        <v>#N/A</v>
      </c>
      <c r="P853" s="18">
        <f>COUNTIF('Pub List'!$C853:$T853,"&lt;&gt;")</f>
        <v>0</v>
      </c>
      <c r="Q853" s="20" t="e">
        <f t="shared" si="39"/>
        <v>#N/A</v>
      </c>
      <c r="R853" s="36"/>
      <c r="S853" s="18">
        <f>COUNTIF('Member List'!$C853:$J853,"&lt;&gt;")</f>
        <v>0</v>
      </c>
      <c r="T853" s="35"/>
      <c r="U853" s="24">
        <f t="shared" si="40"/>
        <v>0</v>
      </c>
      <c r="V853" s="18" t="e">
        <f t="shared" si="41"/>
        <v>#N/A</v>
      </c>
      <c r="W853" s="45" t="e">
        <f t="shared" si="42"/>
        <v>#N/A</v>
      </c>
      <c r="X853" s="20" t="e">
        <f t="shared" si="43"/>
        <v>#N/A</v>
      </c>
      <c r="Y853" s="46" t="e">
        <f t="shared" si="46"/>
        <v>#N/A</v>
      </c>
      <c r="Z853" s="39" t="e">
        <f t="shared" si="44"/>
        <v>#N/A</v>
      </c>
      <c r="AA853" s="39" t="e">
        <f t="shared" si="45"/>
        <v>#N/A</v>
      </c>
      <c r="AB853" s="39"/>
      <c r="AC853" s="48" t="e">
        <f t="shared" si="47"/>
        <v>#N/A</v>
      </c>
    </row>
    <row r="854" spans="1:29" ht="12.5" x14ac:dyDescent="0.25">
      <c r="A854" s="36"/>
      <c r="B854" s="33"/>
      <c r="C854" s="33"/>
      <c r="D854" s="33"/>
      <c r="E854" s="35"/>
      <c r="F854" s="21"/>
      <c r="G854" s="22" t="e">
        <f>VLOOKUP(E854,'Court List'!$A:$C,2,0)</f>
        <v>#N/A</v>
      </c>
      <c r="H854" s="33"/>
      <c r="I854" s="33"/>
      <c r="J854" s="44" t="e">
        <f t="shared" si="38"/>
        <v>#N/A</v>
      </c>
      <c r="K854" s="36"/>
      <c r="L854" s="18">
        <f>SUM('Shuttle Count - Supreme (Nov 20'!C854:D854)</f>
        <v>0</v>
      </c>
      <c r="M854" s="18" t="e">
        <f>VLOOKUP(K854,'Shuttle Purchase'!A:C,3,0)</f>
        <v>#N/A</v>
      </c>
      <c r="N854" s="44" t="e">
        <f t="shared" si="48"/>
        <v>#N/A</v>
      </c>
      <c r="O854" s="24" t="e">
        <f>VLOOKUP(E854,'Court List'!$A:$C,3,0)</f>
        <v>#N/A</v>
      </c>
      <c r="P854" s="18">
        <f>COUNTIF('Pub List'!$C854:$T854,"&lt;&gt;")</f>
        <v>0</v>
      </c>
      <c r="Q854" s="20" t="e">
        <f t="shared" si="39"/>
        <v>#N/A</v>
      </c>
      <c r="R854" s="36"/>
      <c r="S854" s="18">
        <f>COUNTIF('Member List'!$C854:$J854,"&lt;&gt;")</f>
        <v>0</v>
      </c>
      <c r="T854" s="35"/>
      <c r="U854" s="24">
        <f t="shared" si="40"/>
        <v>0</v>
      </c>
      <c r="V854" s="18" t="e">
        <f t="shared" si="41"/>
        <v>#N/A</v>
      </c>
      <c r="W854" s="45" t="e">
        <f t="shared" si="42"/>
        <v>#N/A</v>
      </c>
      <c r="X854" s="20" t="e">
        <f t="shared" si="43"/>
        <v>#N/A</v>
      </c>
      <c r="Y854" s="46" t="e">
        <f t="shared" si="46"/>
        <v>#N/A</v>
      </c>
      <c r="Z854" s="39" t="e">
        <f t="shared" si="44"/>
        <v>#N/A</v>
      </c>
      <c r="AA854" s="39" t="e">
        <f t="shared" si="45"/>
        <v>#N/A</v>
      </c>
      <c r="AB854" s="39"/>
      <c r="AC854" s="48" t="e">
        <f t="shared" si="47"/>
        <v>#N/A</v>
      </c>
    </row>
    <row r="855" spans="1:29" ht="12.5" x14ac:dyDescent="0.25">
      <c r="A855" s="36"/>
      <c r="B855" s="33"/>
      <c r="C855" s="33"/>
      <c r="D855" s="33"/>
      <c r="E855" s="35"/>
      <c r="F855" s="21"/>
      <c r="G855" s="22" t="e">
        <f>VLOOKUP(E855,'Court List'!$A:$C,2,0)</f>
        <v>#N/A</v>
      </c>
      <c r="H855" s="33"/>
      <c r="I855" s="33"/>
      <c r="J855" s="44" t="e">
        <f t="shared" si="38"/>
        <v>#N/A</v>
      </c>
      <c r="K855" s="36"/>
      <c r="L855" s="18">
        <f>SUM('Shuttle Count - Supreme (Nov 20'!C855:D855)</f>
        <v>0</v>
      </c>
      <c r="M855" s="18" t="e">
        <f>VLOOKUP(K855,'Shuttle Purchase'!A:C,3,0)</f>
        <v>#N/A</v>
      </c>
      <c r="N855" s="44" t="e">
        <f t="shared" si="48"/>
        <v>#N/A</v>
      </c>
      <c r="O855" s="24" t="e">
        <f>VLOOKUP(E855,'Court List'!$A:$C,3,0)</f>
        <v>#N/A</v>
      </c>
      <c r="P855" s="18">
        <f>COUNTIF('Pub List'!$C855:$T855,"&lt;&gt;")</f>
        <v>0</v>
      </c>
      <c r="Q855" s="20" t="e">
        <f t="shared" si="39"/>
        <v>#N/A</v>
      </c>
      <c r="R855" s="36"/>
      <c r="S855" s="18">
        <f>COUNTIF('Member List'!$C855:$J855,"&lt;&gt;")</f>
        <v>0</v>
      </c>
      <c r="T855" s="35"/>
      <c r="U855" s="24">
        <f t="shared" si="40"/>
        <v>0</v>
      </c>
      <c r="V855" s="18" t="e">
        <f t="shared" si="41"/>
        <v>#N/A</v>
      </c>
      <c r="W855" s="45" t="e">
        <f t="shared" si="42"/>
        <v>#N/A</v>
      </c>
      <c r="X855" s="20" t="e">
        <f t="shared" si="43"/>
        <v>#N/A</v>
      </c>
      <c r="Y855" s="46" t="e">
        <f t="shared" si="46"/>
        <v>#N/A</v>
      </c>
      <c r="Z855" s="39" t="e">
        <f t="shared" si="44"/>
        <v>#N/A</v>
      </c>
      <c r="AA855" s="39" t="e">
        <f t="shared" si="45"/>
        <v>#N/A</v>
      </c>
      <c r="AB855" s="39"/>
      <c r="AC855" s="48" t="e">
        <f t="shared" si="47"/>
        <v>#N/A</v>
      </c>
    </row>
    <row r="856" spans="1:29" ht="12.5" x14ac:dyDescent="0.25">
      <c r="A856" s="36"/>
      <c r="B856" s="33"/>
      <c r="C856" s="33"/>
      <c r="D856" s="33"/>
      <c r="E856" s="35"/>
      <c r="F856" s="21"/>
      <c r="G856" s="22" t="e">
        <f>VLOOKUP(E856,'Court List'!$A:$C,2,0)</f>
        <v>#N/A</v>
      </c>
      <c r="H856" s="33"/>
      <c r="I856" s="33"/>
      <c r="J856" s="44" t="e">
        <f t="shared" si="38"/>
        <v>#N/A</v>
      </c>
      <c r="K856" s="36"/>
      <c r="L856" s="18">
        <f>SUM('Shuttle Count - Supreme (Nov 20'!C856:D856)</f>
        <v>0</v>
      </c>
      <c r="M856" s="18" t="e">
        <f>VLOOKUP(K856,'Shuttle Purchase'!A:C,3,0)</f>
        <v>#N/A</v>
      </c>
      <c r="N856" s="44" t="e">
        <f t="shared" si="48"/>
        <v>#N/A</v>
      </c>
      <c r="O856" s="24" t="e">
        <f>VLOOKUP(E856,'Court List'!$A:$C,3,0)</f>
        <v>#N/A</v>
      </c>
      <c r="P856" s="18">
        <f>COUNTIF('Pub List'!$C856:$T856,"&lt;&gt;")</f>
        <v>0</v>
      </c>
      <c r="Q856" s="20" t="e">
        <f t="shared" si="39"/>
        <v>#N/A</v>
      </c>
      <c r="R856" s="36"/>
      <c r="S856" s="18">
        <f>COUNTIF('Member List'!$C856:$J856,"&lt;&gt;")</f>
        <v>0</v>
      </c>
      <c r="T856" s="35"/>
      <c r="U856" s="24">
        <f t="shared" si="40"/>
        <v>0</v>
      </c>
      <c r="V856" s="18" t="e">
        <f t="shared" si="41"/>
        <v>#N/A</v>
      </c>
      <c r="W856" s="45" t="e">
        <f t="shared" si="42"/>
        <v>#N/A</v>
      </c>
      <c r="X856" s="20" t="e">
        <f t="shared" si="43"/>
        <v>#N/A</v>
      </c>
      <c r="Y856" s="46" t="e">
        <f t="shared" si="46"/>
        <v>#N/A</v>
      </c>
      <c r="Z856" s="39" t="e">
        <f t="shared" si="44"/>
        <v>#N/A</v>
      </c>
      <c r="AA856" s="39" t="e">
        <f t="shared" si="45"/>
        <v>#N/A</v>
      </c>
      <c r="AB856" s="39"/>
      <c r="AC856" s="48" t="e">
        <f t="shared" si="47"/>
        <v>#N/A</v>
      </c>
    </row>
    <row r="857" spans="1:29" ht="12.5" x14ac:dyDescent="0.25">
      <c r="A857" s="36"/>
      <c r="B857" s="33"/>
      <c r="C857" s="33"/>
      <c r="D857" s="33"/>
      <c r="E857" s="35"/>
      <c r="F857" s="21"/>
      <c r="G857" s="22" t="e">
        <f>VLOOKUP(E857,'Court List'!$A:$C,2,0)</f>
        <v>#N/A</v>
      </c>
      <c r="H857" s="33"/>
      <c r="I857" s="33"/>
      <c r="J857" s="44" t="e">
        <f t="shared" si="38"/>
        <v>#N/A</v>
      </c>
      <c r="K857" s="36"/>
      <c r="L857" s="18">
        <f>SUM('Shuttle Count - Supreme (Nov 20'!C857:D857)</f>
        <v>0</v>
      </c>
      <c r="M857" s="18" t="e">
        <f>VLOOKUP(K857,'Shuttle Purchase'!A:C,3,0)</f>
        <v>#N/A</v>
      </c>
      <c r="N857" s="44" t="e">
        <f t="shared" si="48"/>
        <v>#N/A</v>
      </c>
      <c r="O857" s="24" t="e">
        <f>VLOOKUP(E857,'Court List'!$A:$C,3,0)</f>
        <v>#N/A</v>
      </c>
      <c r="P857" s="18">
        <f>COUNTIF('Pub List'!$C857:$T857,"&lt;&gt;")</f>
        <v>0</v>
      </c>
      <c r="Q857" s="20" t="e">
        <f t="shared" si="39"/>
        <v>#N/A</v>
      </c>
      <c r="R857" s="36"/>
      <c r="S857" s="18">
        <f>COUNTIF('Member List'!$C857:$J857,"&lt;&gt;")</f>
        <v>0</v>
      </c>
      <c r="T857" s="35"/>
      <c r="U857" s="24">
        <f t="shared" si="40"/>
        <v>0</v>
      </c>
      <c r="V857" s="18" t="e">
        <f t="shared" si="41"/>
        <v>#N/A</v>
      </c>
      <c r="W857" s="45" t="e">
        <f t="shared" si="42"/>
        <v>#N/A</v>
      </c>
      <c r="X857" s="20" t="e">
        <f t="shared" si="43"/>
        <v>#N/A</v>
      </c>
      <c r="Y857" s="46" t="e">
        <f t="shared" si="46"/>
        <v>#N/A</v>
      </c>
      <c r="Z857" s="39" t="e">
        <f t="shared" si="44"/>
        <v>#N/A</v>
      </c>
      <c r="AA857" s="39" t="e">
        <f t="shared" si="45"/>
        <v>#N/A</v>
      </c>
      <c r="AB857" s="39"/>
      <c r="AC857" s="48" t="e">
        <f t="shared" si="47"/>
        <v>#N/A</v>
      </c>
    </row>
    <row r="858" spans="1:29" ht="12.5" x14ac:dyDescent="0.25">
      <c r="A858" s="36"/>
      <c r="B858" s="33"/>
      <c r="C858" s="33"/>
      <c r="D858" s="33"/>
      <c r="E858" s="35"/>
      <c r="F858" s="21"/>
      <c r="G858" s="22" t="e">
        <f>VLOOKUP(E858,'Court List'!$A:$C,2,0)</f>
        <v>#N/A</v>
      </c>
      <c r="H858" s="33"/>
      <c r="I858" s="33"/>
      <c r="J858" s="44" t="e">
        <f t="shared" si="38"/>
        <v>#N/A</v>
      </c>
      <c r="K858" s="36"/>
      <c r="L858" s="18">
        <f>SUM('Shuttle Count - Supreme (Nov 20'!C858:D858)</f>
        <v>0</v>
      </c>
      <c r="M858" s="18" t="e">
        <f>VLOOKUP(K858,'Shuttle Purchase'!A:C,3,0)</f>
        <v>#N/A</v>
      </c>
      <c r="N858" s="44" t="e">
        <f t="shared" si="48"/>
        <v>#N/A</v>
      </c>
      <c r="O858" s="24" t="e">
        <f>VLOOKUP(E858,'Court List'!$A:$C,3,0)</f>
        <v>#N/A</v>
      </c>
      <c r="P858" s="18">
        <f>COUNTIF('Pub List'!$C858:$T858,"&lt;&gt;")</f>
        <v>0</v>
      </c>
      <c r="Q858" s="20" t="e">
        <f t="shared" si="39"/>
        <v>#N/A</v>
      </c>
      <c r="R858" s="36"/>
      <c r="S858" s="18">
        <f>COUNTIF('Member List'!$C858:$J858,"&lt;&gt;")</f>
        <v>0</v>
      </c>
      <c r="T858" s="35"/>
      <c r="U858" s="24">
        <f t="shared" si="40"/>
        <v>0</v>
      </c>
      <c r="V858" s="18" t="e">
        <f t="shared" si="41"/>
        <v>#N/A</v>
      </c>
      <c r="W858" s="45" t="e">
        <f t="shared" si="42"/>
        <v>#N/A</v>
      </c>
      <c r="X858" s="20" t="e">
        <f t="shared" si="43"/>
        <v>#N/A</v>
      </c>
      <c r="Y858" s="46" t="e">
        <f t="shared" si="46"/>
        <v>#N/A</v>
      </c>
      <c r="Z858" s="39" t="e">
        <f t="shared" si="44"/>
        <v>#N/A</v>
      </c>
      <c r="AA858" s="39" t="e">
        <f t="shared" si="45"/>
        <v>#N/A</v>
      </c>
      <c r="AB858" s="39"/>
      <c r="AC858" s="48" t="e">
        <f t="shared" si="47"/>
        <v>#N/A</v>
      </c>
    </row>
    <row r="859" spans="1:29" ht="12.5" x14ac:dyDescent="0.25">
      <c r="A859" s="36"/>
      <c r="B859" s="33"/>
      <c r="C859" s="33"/>
      <c r="D859" s="33"/>
      <c r="E859" s="35"/>
      <c r="F859" s="21"/>
      <c r="G859" s="22" t="e">
        <f>VLOOKUP(E859,'Court List'!$A:$C,2,0)</f>
        <v>#N/A</v>
      </c>
      <c r="H859" s="33"/>
      <c r="I859" s="33"/>
      <c r="J859" s="44" t="e">
        <f t="shared" si="38"/>
        <v>#N/A</v>
      </c>
      <c r="K859" s="36"/>
      <c r="L859" s="18">
        <f>SUM('Shuttle Count - Supreme (Nov 20'!C859:D859)</f>
        <v>0</v>
      </c>
      <c r="M859" s="18" t="e">
        <f>VLOOKUP(K859,'Shuttle Purchase'!A:C,3,0)</f>
        <v>#N/A</v>
      </c>
      <c r="N859" s="44" t="e">
        <f t="shared" si="48"/>
        <v>#N/A</v>
      </c>
      <c r="O859" s="24" t="e">
        <f>VLOOKUP(E859,'Court List'!$A:$C,3,0)</f>
        <v>#N/A</v>
      </c>
      <c r="P859" s="18">
        <f>COUNTIF('Pub List'!$C859:$T859,"&lt;&gt;")</f>
        <v>0</v>
      </c>
      <c r="Q859" s="20" t="e">
        <f t="shared" si="39"/>
        <v>#N/A</v>
      </c>
      <c r="R859" s="36"/>
      <c r="S859" s="18">
        <f>COUNTIF('Member List'!$C859:$J859,"&lt;&gt;")</f>
        <v>0</v>
      </c>
      <c r="T859" s="35"/>
      <c r="U859" s="24">
        <f t="shared" si="40"/>
        <v>0</v>
      </c>
      <c r="V859" s="18" t="e">
        <f t="shared" si="41"/>
        <v>#N/A</v>
      </c>
      <c r="W859" s="45" t="e">
        <f t="shared" si="42"/>
        <v>#N/A</v>
      </c>
      <c r="X859" s="20" t="e">
        <f t="shared" si="43"/>
        <v>#N/A</v>
      </c>
      <c r="Y859" s="46" t="e">
        <f t="shared" si="46"/>
        <v>#N/A</v>
      </c>
      <c r="Z859" s="39" t="e">
        <f t="shared" si="44"/>
        <v>#N/A</v>
      </c>
      <c r="AA859" s="39" t="e">
        <f t="shared" si="45"/>
        <v>#N/A</v>
      </c>
      <c r="AB859" s="39"/>
      <c r="AC859" s="48" t="e">
        <f t="shared" si="47"/>
        <v>#N/A</v>
      </c>
    </row>
    <row r="860" spans="1:29" ht="12.5" x14ac:dyDescent="0.25">
      <c r="A860" s="36"/>
      <c r="B860" s="33"/>
      <c r="C860" s="33"/>
      <c r="D860" s="33"/>
      <c r="E860" s="35"/>
      <c r="F860" s="21"/>
      <c r="G860" s="22" t="e">
        <f>VLOOKUP(E860,'Court List'!$A:$C,2,0)</f>
        <v>#N/A</v>
      </c>
      <c r="H860" s="33"/>
      <c r="I860" s="33"/>
      <c r="J860" s="44" t="e">
        <f t="shared" si="38"/>
        <v>#N/A</v>
      </c>
      <c r="K860" s="36"/>
      <c r="L860" s="18">
        <f>SUM('Shuttle Count - Supreme (Nov 20'!C860:D860)</f>
        <v>0</v>
      </c>
      <c r="M860" s="18" t="e">
        <f>VLOOKUP(K860,'Shuttle Purchase'!A:C,3,0)</f>
        <v>#N/A</v>
      </c>
      <c r="N860" s="44" t="e">
        <f t="shared" si="48"/>
        <v>#N/A</v>
      </c>
      <c r="O860" s="24" t="e">
        <f>VLOOKUP(E860,'Court List'!$A:$C,3,0)</f>
        <v>#N/A</v>
      </c>
      <c r="P860" s="18">
        <f>COUNTIF('Pub List'!$C860:$T860,"&lt;&gt;")</f>
        <v>0</v>
      </c>
      <c r="Q860" s="20" t="e">
        <f t="shared" si="39"/>
        <v>#N/A</v>
      </c>
      <c r="R860" s="36"/>
      <c r="S860" s="18">
        <f>COUNTIF('Member List'!$C860:$J860,"&lt;&gt;")</f>
        <v>0</v>
      </c>
      <c r="T860" s="35"/>
      <c r="U860" s="24">
        <f t="shared" si="40"/>
        <v>0</v>
      </c>
      <c r="V860" s="18" t="e">
        <f t="shared" si="41"/>
        <v>#N/A</v>
      </c>
      <c r="W860" s="45" t="e">
        <f t="shared" si="42"/>
        <v>#N/A</v>
      </c>
      <c r="X860" s="20" t="e">
        <f t="shared" si="43"/>
        <v>#N/A</v>
      </c>
      <c r="Y860" s="46" t="e">
        <f t="shared" si="46"/>
        <v>#N/A</v>
      </c>
      <c r="Z860" s="39" t="e">
        <f t="shared" si="44"/>
        <v>#N/A</v>
      </c>
      <c r="AA860" s="39" t="e">
        <f t="shared" si="45"/>
        <v>#N/A</v>
      </c>
      <c r="AB860" s="39"/>
      <c r="AC860" s="48" t="e">
        <f t="shared" si="47"/>
        <v>#N/A</v>
      </c>
    </row>
    <row r="861" spans="1:29" ht="12.5" x14ac:dyDescent="0.25">
      <c r="A861" s="36"/>
      <c r="B861" s="33"/>
      <c r="C861" s="33"/>
      <c r="D861" s="33"/>
      <c r="E861" s="35"/>
      <c r="F861" s="21"/>
      <c r="G861" s="22" t="e">
        <f>VLOOKUP(E861,'Court List'!$A:$C,2,0)</f>
        <v>#N/A</v>
      </c>
      <c r="H861" s="33"/>
      <c r="I861" s="33"/>
      <c r="J861" s="44" t="e">
        <f t="shared" si="38"/>
        <v>#N/A</v>
      </c>
      <c r="K861" s="36"/>
      <c r="L861" s="18">
        <f>SUM('Shuttle Count - Supreme (Nov 20'!C861:D861)</f>
        <v>0</v>
      </c>
      <c r="M861" s="18" t="e">
        <f>VLOOKUP(K861,'Shuttle Purchase'!A:C,3,0)</f>
        <v>#N/A</v>
      </c>
      <c r="N861" s="44" t="e">
        <f t="shared" si="48"/>
        <v>#N/A</v>
      </c>
      <c r="O861" s="24" t="e">
        <f>VLOOKUP(E861,'Court List'!$A:$C,3,0)</f>
        <v>#N/A</v>
      </c>
      <c r="P861" s="18">
        <f>COUNTIF('Pub List'!$C861:$T861,"&lt;&gt;")</f>
        <v>0</v>
      </c>
      <c r="Q861" s="20" t="e">
        <f t="shared" si="39"/>
        <v>#N/A</v>
      </c>
      <c r="R861" s="36"/>
      <c r="S861" s="18">
        <f>COUNTIF('Member List'!$C861:$J861,"&lt;&gt;")</f>
        <v>0</v>
      </c>
      <c r="T861" s="35"/>
      <c r="U861" s="24">
        <f t="shared" si="40"/>
        <v>0</v>
      </c>
      <c r="V861" s="18" t="e">
        <f t="shared" si="41"/>
        <v>#N/A</v>
      </c>
      <c r="W861" s="45" t="e">
        <f t="shared" si="42"/>
        <v>#N/A</v>
      </c>
      <c r="X861" s="20" t="e">
        <f t="shared" si="43"/>
        <v>#N/A</v>
      </c>
      <c r="Y861" s="46" t="e">
        <f t="shared" si="46"/>
        <v>#N/A</v>
      </c>
      <c r="Z861" s="39" t="e">
        <f t="shared" si="44"/>
        <v>#N/A</v>
      </c>
      <c r="AA861" s="39" t="e">
        <f t="shared" si="45"/>
        <v>#N/A</v>
      </c>
      <c r="AB861" s="39"/>
      <c r="AC861" s="48" t="e">
        <f t="shared" si="47"/>
        <v>#N/A</v>
      </c>
    </row>
    <row r="862" spans="1:29" ht="12.5" x14ac:dyDescent="0.25">
      <c r="A862" s="36"/>
      <c r="B862" s="33"/>
      <c r="C862" s="33"/>
      <c r="D862" s="33"/>
      <c r="E862" s="35"/>
      <c r="F862" s="21"/>
      <c r="G862" s="22" t="e">
        <f>VLOOKUP(E862,'Court List'!$A:$C,2,0)</f>
        <v>#N/A</v>
      </c>
      <c r="H862" s="33"/>
      <c r="I862" s="33"/>
      <c r="J862" s="44" t="e">
        <f t="shared" si="38"/>
        <v>#N/A</v>
      </c>
      <c r="K862" s="36"/>
      <c r="L862" s="18">
        <f>SUM('Shuttle Count - Supreme (Nov 20'!C862:D862)</f>
        <v>0</v>
      </c>
      <c r="M862" s="18" t="e">
        <f>VLOOKUP(K862,'Shuttle Purchase'!A:C,3,0)</f>
        <v>#N/A</v>
      </c>
      <c r="N862" s="44" t="e">
        <f t="shared" si="48"/>
        <v>#N/A</v>
      </c>
      <c r="O862" s="24" t="e">
        <f>VLOOKUP(E862,'Court List'!$A:$C,3,0)</f>
        <v>#N/A</v>
      </c>
      <c r="P862" s="18">
        <f>COUNTIF('Pub List'!$C862:$T862,"&lt;&gt;")</f>
        <v>0</v>
      </c>
      <c r="Q862" s="20" t="e">
        <f t="shared" si="39"/>
        <v>#N/A</v>
      </c>
      <c r="R862" s="36"/>
      <c r="S862" s="18">
        <f>COUNTIF('Member List'!$C862:$J862,"&lt;&gt;")</f>
        <v>0</v>
      </c>
      <c r="T862" s="35"/>
      <c r="U862" s="24">
        <f t="shared" si="40"/>
        <v>0</v>
      </c>
      <c r="V862" s="18" t="e">
        <f t="shared" si="41"/>
        <v>#N/A</v>
      </c>
      <c r="W862" s="45" t="e">
        <f t="shared" si="42"/>
        <v>#N/A</v>
      </c>
      <c r="X862" s="20" t="e">
        <f t="shared" si="43"/>
        <v>#N/A</v>
      </c>
      <c r="Y862" s="46" t="e">
        <f t="shared" si="46"/>
        <v>#N/A</v>
      </c>
      <c r="Z862" s="39" t="e">
        <f t="shared" si="44"/>
        <v>#N/A</v>
      </c>
      <c r="AA862" s="39" t="e">
        <f t="shared" si="45"/>
        <v>#N/A</v>
      </c>
      <c r="AB862" s="39"/>
      <c r="AC862" s="48" t="e">
        <f t="shared" si="47"/>
        <v>#N/A</v>
      </c>
    </row>
    <row r="863" spans="1:29" ht="12.5" x14ac:dyDescent="0.25">
      <c r="A863" s="36"/>
      <c r="B863" s="33"/>
      <c r="C863" s="33"/>
      <c r="D863" s="33"/>
      <c r="E863" s="35"/>
      <c r="F863" s="21"/>
      <c r="G863" s="22" t="e">
        <f>VLOOKUP(E863,'Court List'!$A:$C,2,0)</f>
        <v>#N/A</v>
      </c>
      <c r="H863" s="33"/>
      <c r="I863" s="33"/>
      <c r="J863" s="44" t="e">
        <f t="shared" si="38"/>
        <v>#N/A</v>
      </c>
      <c r="K863" s="36"/>
      <c r="L863" s="18">
        <f>SUM('Shuttle Count - Supreme (Nov 20'!C863:D863)</f>
        <v>0</v>
      </c>
      <c r="M863" s="18" t="e">
        <f>VLOOKUP(K863,'Shuttle Purchase'!A:C,3,0)</f>
        <v>#N/A</v>
      </c>
      <c r="N863" s="44" t="e">
        <f t="shared" si="48"/>
        <v>#N/A</v>
      </c>
      <c r="O863" s="24" t="e">
        <f>VLOOKUP(E863,'Court List'!$A:$C,3,0)</f>
        <v>#N/A</v>
      </c>
      <c r="P863" s="18">
        <f>COUNTIF('Pub List'!$C863:$T863,"&lt;&gt;")</f>
        <v>0</v>
      </c>
      <c r="Q863" s="20" t="e">
        <f t="shared" si="39"/>
        <v>#N/A</v>
      </c>
      <c r="R863" s="36"/>
      <c r="S863" s="18">
        <f>COUNTIF('Member List'!$C863:$J863,"&lt;&gt;")</f>
        <v>0</v>
      </c>
      <c r="T863" s="35"/>
      <c r="U863" s="24">
        <f t="shared" si="40"/>
        <v>0</v>
      </c>
      <c r="V863" s="18" t="e">
        <f t="shared" si="41"/>
        <v>#N/A</v>
      </c>
      <c r="W863" s="45" t="e">
        <f t="shared" si="42"/>
        <v>#N/A</v>
      </c>
      <c r="X863" s="20" t="e">
        <f t="shared" si="43"/>
        <v>#N/A</v>
      </c>
      <c r="Y863" s="46" t="e">
        <f t="shared" si="46"/>
        <v>#N/A</v>
      </c>
      <c r="Z863" s="39" t="e">
        <f t="shared" si="44"/>
        <v>#N/A</v>
      </c>
      <c r="AA863" s="39" t="e">
        <f t="shared" si="45"/>
        <v>#N/A</v>
      </c>
      <c r="AB863" s="39"/>
      <c r="AC863" s="48" t="e">
        <f t="shared" si="47"/>
        <v>#N/A</v>
      </c>
    </row>
    <row r="864" spans="1:29" ht="12.5" x14ac:dyDescent="0.25">
      <c r="A864" s="36"/>
      <c r="B864" s="33"/>
      <c r="C864" s="33"/>
      <c r="D864" s="33"/>
      <c r="E864" s="35"/>
      <c r="F864" s="21"/>
      <c r="G864" s="22" t="e">
        <f>VLOOKUP(E864,'Court List'!$A:$C,2,0)</f>
        <v>#N/A</v>
      </c>
      <c r="H864" s="33"/>
      <c r="I864" s="33"/>
      <c r="J864" s="44" t="e">
        <f t="shared" si="38"/>
        <v>#N/A</v>
      </c>
      <c r="K864" s="36"/>
      <c r="L864" s="18">
        <f>SUM('Shuttle Count - Supreme (Nov 20'!C864:D864)</f>
        <v>0</v>
      </c>
      <c r="M864" s="18" t="e">
        <f>VLOOKUP(K864,'Shuttle Purchase'!A:C,3,0)</f>
        <v>#N/A</v>
      </c>
      <c r="N864" s="44" t="e">
        <f t="shared" si="48"/>
        <v>#N/A</v>
      </c>
      <c r="O864" s="24" t="e">
        <f>VLOOKUP(E864,'Court List'!$A:$C,3,0)</f>
        <v>#N/A</v>
      </c>
      <c r="P864" s="18">
        <f>COUNTIF('Pub List'!$C864:$T864,"&lt;&gt;")</f>
        <v>0</v>
      </c>
      <c r="Q864" s="20" t="e">
        <f t="shared" si="39"/>
        <v>#N/A</v>
      </c>
      <c r="R864" s="36"/>
      <c r="S864" s="18">
        <f>COUNTIF('Member List'!$C864:$J864,"&lt;&gt;")</f>
        <v>0</v>
      </c>
      <c r="T864" s="35"/>
      <c r="U864" s="24">
        <f t="shared" si="40"/>
        <v>0</v>
      </c>
      <c r="V864" s="18" t="e">
        <f t="shared" si="41"/>
        <v>#N/A</v>
      </c>
      <c r="W864" s="45" t="e">
        <f t="shared" si="42"/>
        <v>#N/A</v>
      </c>
      <c r="X864" s="20" t="e">
        <f t="shared" si="43"/>
        <v>#N/A</v>
      </c>
      <c r="Y864" s="46" t="e">
        <f t="shared" si="46"/>
        <v>#N/A</v>
      </c>
      <c r="Z864" s="39" t="e">
        <f t="shared" si="44"/>
        <v>#N/A</v>
      </c>
      <c r="AA864" s="39" t="e">
        <f t="shared" si="45"/>
        <v>#N/A</v>
      </c>
      <c r="AB864" s="39"/>
      <c r="AC864" s="48" t="e">
        <f t="shared" si="47"/>
        <v>#N/A</v>
      </c>
    </row>
    <row r="865" spans="1:29" ht="12.5" x14ac:dyDescent="0.25">
      <c r="A865" s="36"/>
      <c r="B865" s="33"/>
      <c r="C865" s="33"/>
      <c r="D865" s="33"/>
      <c r="E865" s="35"/>
      <c r="F865" s="21"/>
      <c r="G865" s="22" t="e">
        <f>VLOOKUP(E865,'Court List'!$A:$C,2,0)</f>
        <v>#N/A</v>
      </c>
      <c r="H865" s="33"/>
      <c r="I865" s="33"/>
      <c r="J865" s="44" t="e">
        <f t="shared" si="38"/>
        <v>#N/A</v>
      </c>
      <c r="K865" s="36"/>
      <c r="L865" s="18">
        <f>SUM('Shuttle Count - Supreme (Nov 20'!C865:D865)</f>
        <v>0</v>
      </c>
      <c r="M865" s="18" t="e">
        <f>VLOOKUP(K865,'Shuttle Purchase'!A:C,3,0)</f>
        <v>#N/A</v>
      </c>
      <c r="N865" s="44" t="e">
        <f t="shared" si="48"/>
        <v>#N/A</v>
      </c>
      <c r="O865" s="24" t="e">
        <f>VLOOKUP(E865,'Court List'!$A:$C,3,0)</f>
        <v>#N/A</v>
      </c>
      <c r="P865" s="18">
        <f>COUNTIF('Pub List'!$C865:$T865,"&lt;&gt;")</f>
        <v>0</v>
      </c>
      <c r="Q865" s="20" t="e">
        <f t="shared" si="39"/>
        <v>#N/A</v>
      </c>
      <c r="R865" s="36"/>
      <c r="S865" s="18">
        <f>COUNTIF('Member List'!$C865:$J865,"&lt;&gt;")</f>
        <v>0</v>
      </c>
      <c r="T865" s="35"/>
      <c r="U865" s="24">
        <f t="shared" si="40"/>
        <v>0</v>
      </c>
      <c r="V865" s="18" t="e">
        <f t="shared" si="41"/>
        <v>#N/A</v>
      </c>
      <c r="W865" s="45" t="e">
        <f t="shared" si="42"/>
        <v>#N/A</v>
      </c>
      <c r="X865" s="20" t="e">
        <f t="shared" si="43"/>
        <v>#N/A</v>
      </c>
      <c r="Y865" s="46" t="e">
        <f t="shared" si="46"/>
        <v>#N/A</v>
      </c>
      <c r="Z865" s="39" t="e">
        <f t="shared" si="44"/>
        <v>#N/A</v>
      </c>
      <c r="AA865" s="39" t="e">
        <f t="shared" si="45"/>
        <v>#N/A</v>
      </c>
      <c r="AB865" s="39"/>
      <c r="AC865" s="48" t="e">
        <f t="shared" si="47"/>
        <v>#N/A</v>
      </c>
    </row>
    <row r="866" spans="1:29" ht="12.5" x14ac:dyDescent="0.25">
      <c r="A866" s="36"/>
      <c r="B866" s="33"/>
      <c r="C866" s="33"/>
      <c r="D866" s="33"/>
      <c r="E866" s="35"/>
      <c r="F866" s="21"/>
      <c r="G866" s="22" t="e">
        <f>VLOOKUP(E866,'Court List'!$A:$C,2,0)</f>
        <v>#N/A</v>
      </c>
      <c r="H866" s="33"/>
      <c r="I866" s="33"/>
      <c r="J866" s="44" t="e">
        <f t="shared" si="38"/>
        <v>#N/A</v>
      </c>
      <c r="K866" s="36"/>
      <c r="L866" s="18">
        <f>SUM('Shuttle Count - Supreme (Nov 20'!C866:D866)</f>
        <v>0</v>
      </c>
      <c r="M866" s="18" t="e">
        <f>VLOOKUP(K866,'Shuttle Purchase'!A:C,3,0)</f>
        <v>#N/A</v>
      </c>
      <c r="N866" s="44" t="e">
        <f t="shared" si="48"/>
        <v>#N/A</v>
      </c>
      <c r="O866" s="24" t="e">
        <f>VLOOKUP(E866,'Court List'!$A:$C,3,0)</f>
        <v>#N/A</v>
      </c>
      <c r="P866" s="18">
        <f>COUNTIF('Pub List'!$C866:$T866,"&lt;&gt;")</f>
        <v>0</v>
      </c>
      <c r="Q866" s="20" t="e">
        <f t="shared" si="39"/>
        <v>#N/A</v>
      </c>
      <c r="R866" s="36"/>
      <c r="S866" s="18">
        <f>COUNTIF('Member List'!$C866:$J866,"&lt;&gt;")</f>
        <v>0</v>
      </c>
      <c r="T866" s="35"/>
      <c r="U866" s="24">
        <f t="shared" si="40"/>
        <v>0</v>
      </c>
      <c r="V866" s="18" t="e">
        <f t="shared" si="41"/>
        <v>#N/A</v>
      </c>
      <c r="W866" s="45" t="e">
        <f t="shared" si="42"/>
        <v>#N/A</v>
      </c>
      <c r="X866" s="20" t="e">
        <f t="shared" si="43"/>
        <v>#N/A</v>
      </c>
      <c r="Y866" s="46" t="e">
        <f t="shared" si="46"/>
        <v>#N/A</v>
      </c>
      <c r="Z866" s="39" t="e">
        <f t="shared" si="44"/>
        <v>#N/A</v>
      </c>
      <c r="AA866" s="39" t="e">
        <f t="shared" si="45"/>
        <v>#N/A</v>
      </c>
      <c r="AB866" s="39"/>
      <c r="AC866" s="48" t="e">
        <f t="shared" si="47"/>
        <v>#N/A</v>
      </c>
    </row>
    <row r="867" spans="1:29" ht="12.5" x14ac:dyDescent="0.25">
      <c r="A867" s="36"/>
      <c r="B867" s="33"/>
      <c r="C867" s="33"/>
      <c r="D867" s="33"/>
      <c r="E867" s="35"/>
      <c r="F867" s="21"/>
      <c r="G867" s="22" t="e">
        <f>VLOOKUP(E867,'Court List'!$A:$C,2,0)</f>
        <v>#N/A</v>
      </c>
      <c r="H867" s="33"/>
      <c r="I867" s="33"/>
      <c r="J867" s="44" t="e">
        <f t="shared" si="38"/>
        <v>#N/A</v>
      </c>
      <c r="K867" s="36"/>
      <c r="L867" s="18">
        <f>SUM('Shuttle Count - Supreme (Nov 20'!C867:D867)</f>
        <v>0</v>
      </c>
      <c r="M867" s="18" t="e">
        <f>VLOOKUP(K867,'Shuttle Purchase'!A:C,3,0)</f>
        <v>#N/A</v>
      </c>
      <c r="N867" s="44" t="e">
        <f t="shared" si="48"/>
        <v>#N/A</v>
      </c>
      <c r="O867" s="24" t="e">
        <f>VLOOKUP(E867,'Court List'!$A:$C,3,0)</f>
        <v>#N/A</v>
      </c>
      <c r="P867" s="18">
        <f>COUNTIF('Pub List'!$C867:$T867,"&lt;&gt;")</f>
        <v>0</v>
      </c>
      <c r="Q867" s="20" t="e">
        <f t="shared" si="39"/>
        <v>#N/A</v>
      </c>
      <c r="R867" s="36"/>
      <c r="S867" s="18">
        <f>COUNTIF('Member List'!$C867:$J867,"&lt;&gt;")</f>
        <v>0</v>
      </c>
      <c r="T867" s="35"/>
      <c r="U867" s="24">
        <f t="shared" si="40"/>
        <v>0</v>
      </c>
      <c r="V867" s="18" t="e">
        <f t="shared" si="41"/>
        <v>#N/A</v>
      </c>
      <c r="W867" s="45" t="e">
        <f t="shared" si="42"/>
        <v>#N/A</v>
      </c>
      <c r="X867" s="20" t="e">
        <f t="shared" si="43"/>
        <v>#N/A</v>
      </c>
      <c r="Y867" s="46" t="e">
        <f t="shared" si="46"/>
        <v>#N/A</v>
      </c>
      <c r="Z867" s="39" t="e">
        <f t="shared" si="44"/>
        <v>#N/A</v>
      </c>
      <c r="AA867" s="39" t="e">
        <f t="shared" si="45"/>
        <v>#N/A</v>
      </c>
      <c r="AB867" s="39"/>
      <c r="AC867" s="48" t="e">
        <f t="shared" si="47"/>
        <v>#N/A</v>
      </c>
    </row>
    <row r="868" spans="1:29" ht="12.5" x14ac:dyDescent="0.25">
      <c r="A868" s="36"/>
      <c r="B868" s="33"/>
      <c r="C868" s="33"/>
      <c r="D868" s="33"/>
      <c r="E868" s="35"/>
      <c r="F868" s="21"/>
      <c r="G868" s="22" t="e">
        <f>VLOOKUP(E868,'Court List'!$A:$C,2,0)</f>
        <v>#N/A</v>
      </c>
      <c r="H868" s="33"/>
      <c r="I868" s="33"/>
      <c r="J868" s="44" t="e">
        <f t="shared" si="38"/>
        <v>#N/A</v>
      </c>
      <c r="K868" s="36"/>
      <c r="L868" s="18">
        <f>SUM('Shuttle Count - Supreme (Nov 20'!C868:D868)</f>
        <v>0</v>
      </c>
      <c r="M868" s="18" t="e">
        <f>VLOOKUP(K868,'Shuttle Purchase'!A:C,3,0)</f>
        <v>#N/A</v>
      </c>
      <c r="N868" s="44" t="e">
        <f t="shared" si="48"/>
        <v>#N/A</v>
      </c>
      <c r="O868" s="24" t="e">
        <f>VLOOKUP(E868,'Court List'!$A:$C,3,0)</f>
        <v>#N/A</v>
      </c>
      <c r="P868" s="18">
        <f>COUNTIF('Pub List'!$C868:$T868,"&lt;&gt;")</f>
        <v>0</v>
      </c>
      <c r="Q868" s="20" t="e">
        <f t="shared" si="39"/>
        <v>#N/A</v>
      </c>
      <c r="R868" s="36"/>
      <c r="S868" s="18">
        <f>COUNTIF('Member List'!$C868:$J868,"&lt;&gt;")</f>
        <v>0</v>
      </c>
      <c r="T868" s="35"/>
      <c r="U868" s="24">
        <f t="shared" si="40"/>
        <v>0</v>
      </c>
      <c r="V868" s="18" t="e">
        <f t="shared" si="41"/>
        <v>#N/A</v>
      </c>
      <c r="W868" s="45" t="e">
        <f t="shared" si="42"/>
        <v>#N/A</v>
      </c>
      <c r="X868" s="20" t="e">
        <f t="shared" si="43"/>
        <v>#N/A</v>
      </c>
      <c r="Y868" s="46" t="e">
        <f t="shared" si="46"/>
        <v>#N/A</v>
      </c>
      <c r="Z868" s="39" t="e">
        <f t="shared" si="44"/>
        <v>#N/A</v>
      </c>
      <c r="AA868" s="39" t="e">
        <f t="shared" si="45"/>
        <v>#N/A</v>
      </c>
      <c r="AB868" s="39"/>
      <c r="AC868" s="48" t="e">
        <f t="shared" si="47"/>
        <v>#N/A</v>
      </c>
    </row>
    <row r="869" spans="1:29" ht="12.5" x14ac:dyDescent="0.25">
      <c r="A869" s="36"/>
      <c r="B869" s="33"/>
      <c r="C869" s="33"/>
      <c r="D869" s="33"/>
      <c r="E869" s="35"/>
      <c r="F869" s="21"/>
      <c r="G869" s="22" t="e">
        <f>VLOOKUP(E869,'Court List'!$A:$C,2,0)</f>
        <v>#N/A</v>
      </c>
      <c r="H869" s="33"/>
      <c r="I869" s="33"/>
      <c r="J869" s="44" t="e">
        <f t="shared" si="38"/>
        <v>#N/A</v>
      </c>
      <c r="K869" s="36"/>
      <c r="L869" s="18">
        <f>SUM('Shuttle Count - Supreme (Nov 20'!C869:D869)</f>
        <v>0</v>
      </c>
      <c r="M869" s="18" t="e">
        <f>VLOOKUP(K869,'Shuttle Purchase'!A:C,3,0)</f>
        <v>#N/A</v>
      </c>
      <c r="N869" s="44" t="e">
        <f t="shared" si="48"/>
        <v>#N/A</v>
      </c>
      <c r="O869" s="24" t="e">
        <f>VLOOKUP(E869,'Court List'!$A:$C,3,0)</f>
        <v>#N/A</v>
      </c>
      <c r="P869" s="18">
        <f>COUNTIF('Pub List'!$C869:$T869,"&lt;&gt;")</f>
        <v>0</v>
      </c>
      <c r="Q869" s="20" t="e">
        <f t="shared" si="39"/>
        <v>#N/A</v>
      </c>
      <c r="R869" s="36"/>
      <c r="S869" s="18">
        <f>COUNTIF('Member List'!$C869:$J869,"&lt;&gt;")</f>
        <v>0</v>
      </c>
      <c r="T869" s="35"/>
      <c r="U869" s="24">
        <f t="shared" si="40"/>
        <v>0</v>
      </c>
      <c r="V869" s="18" t="e">
        <f t="shared" si="41"/>
        <v>#N/A</v>
      </c>
      <c r="W869" s="45" t="e">
        <f t="shared" si="42"/>
        <v>#N/A</v>
      </c>
      <c r="X869" s="20" t="e">
        <f t="shared" si="43"/>
        <v>#N/A</v>
      </c>
      <c r="Y869" s="46" t="e">
        <f t="shared" si="46"/>
        <v>#N/A</v>
      </c>
      <c r="Z869" s="39" t="e">
        <f t="shared" si="44"/>
        <v>#N/A</v>
      </c>
      <c r="AA869" s="39" t="e">
        <f t="shared" si="45"/>
        <v>#N/A</v>
      </c>
      <c r="AB869" s="39"/>
      <c r="AC869" s="48" t="e">
        <f t="shared" si="47"/>
        <v>#N/A</v>
      </c>
    </row>
    <row r="870" spans="1:29" ht="12.5" x14ac:dyDescent="0.25">
      <c r="A870" s="36"/>
      <c r="B870" s="33"/>
      <c r="C870" s="33"/>
      <c r="D870" s="33"/>
      <c r="E870" s="35"/>
      <c r="F870" s="21"/>
      <c r="G870" s="22" t="e">
        <f>VLOOKUP(E870,'Court List'!$A:$C,2,0)</f>
        <v>#N/A</v>
      </c>
      <c r="H870" s="33"/>
      <c r="I870" s="33"/>
      <c r="J870" s="44" t="e">
        <f t="shared" si="38"/>
        <v>#N/A</v>
      </c>
      <c r="K870" s="36"/>
      <c r="L870" s="18">
        <f>SUM('Shuttle Count - Supreme (Nov 20'!C870:D870)</f>
        <v>0</v>
      </c>
      <c r="M870" s="18" t="e">
        <f>VLOOKUP(K870,'Shuttle Purchase'!A:C,3,0)</f>
        <v>#N/A</v>
      </c>
      <c r="N870" s="44" t="e">
        <f t="shared" si="48"/>
        <v>#N/A</v>
      </c>
      <c r="O870" s="24" t="e">
        <f>VLOOKUP(E870,'Court List'!$A:$C,3,0)</f>
        <v>#N/A</v>
      </c>
      <c r="P870" s="18">
        <f>COUNTIF('Pub List'!$C870:$T870,"&lt;&gt;")</f>
        <v>0</v>
      </c>
      <c r="Q870" s="20" t="e">
        <f t="shared" si="39"/>
        <v>#N/A</v>
      </c>
      <c r="R870" s="36"/>
      <c r="S870" s="18">
        <f>COUNTIF('Member List'!$C870:$J870,"&lt;&gt;")</f>
        <v>0</v>
      </c>
      <c r="T870" s="35"/>
      <c r="U870" s="24">
        <f t="shared" si="40"/>
        <v>0</v>
      </c>
      <c r="V870" s="18" t="e">
        <f t="shared" si="41"/>
        <v>#N/A</v>
      </c>
      <c r="W870" s="45" t="e">
        <f t="shared" si="42"/>
        <v>#N/A</v>
      </c>
      <c r="X870" s="20" t="e">
        <f t="shared" si="43"/>
        <v>#N/A</v>
      </c>
      <c r="Y870" s="46" t="e">
        <f t="shared" si="46"/>
        <v>#N/A</v>
      </c>
      <c r="Z870" s="39" t="e">
        <f t="shared" si="44"/>
        <v>#N/A</v>
      </c>
      <c r="AA870" s="39" t="e">
        <f t="shared" si="45"/>
        <v>#N/A</v>
      </c>
      <c r="AB870" s="39"/>
      <c r="AC870" s="48" t="e">
        <f t="shared" si="47"/>
        <v>#N/A</v>
      </c>
    </row>
    <row r="871" spans="1:29" ht="12.5" x14ac:dyDescent="0.25">
      <c r="A871" s="36"/>
      <c r="B871" s="33"/>
      <c r="C871" s="33"/>
      <c r="D871" s="33"/>
      <c r="E871" s="35"/>
      <c r="F871" s="21"/>
      <c r="G871" s="22" t="e">
        <f>VLOOKUP(E871,'Court List'!$A:$C,2,0)</f>
        <v>#N/A</v>
      </c>
      <c r="H871" s="33"/>
      <c r="I871" s="33"/>
      <c r="J871" s="44" t="e">
        <f t="shared" si="38"/>
        <v>#N/A</v>
      </c>
      <c r="K871" s="36"/>
      <c r="L871" s="18">
        <f>SUM('Shuttle Count - Supreme (Nov 20'!C871:D871)</f>
        <v>0</v>
      </c>
      <c r="M871" s="18" t="e">
        <f>VLOOKUP(K871,'Shuttle Purchase'!A:C,3,0)</f>
        <v>#N/A</v>
      </c>
      <c r="N871" s="44" t="e">
        <f t="shared" si="48"/>
        <v>#N/A</v>
      </c>
      <c r="O871" s="24" t="e">
        <f>VLOOKUP(E871,'Court List'!$A:$C,3,0)</f>
        <v>#N/A</v>
      </c>
      <c r="P871" s="18">
        <f>COUNTIF('Pub List'!$C871:$T871,"&lt;&gt;")</f>
        <v>0</v>
      </c>
      <c r="Q871" s="20" t="e">
        <f t="shared" si="39"/>
        <v>#N/A</v>
      </c>
      <c r="R871" s="36"/>
      <c r="S871" s="18">
        <f>COUNTIF('Member List'!$C871:$J871,"&lt;&gt;")</f>
        <v>0</v>
      </c>
      <c r="T871" s="35"/>
      <c r="U871" s="24">
        <f t="shared" si="40"/>
        <v>0</v>
      </c>
      <c r="V871" s="18" t="e">
        <f t="shared" si="41"/>
        <v>#N/A</v>
      </c>
      <c r="W871" s="45" t="e">
        <f t="shared" si="42"/>
        <v>#N/A</v>
      </c>
      <c r="X871" s="20" t="e">
        <f t="shared" si="43"/>
        <v>#N/A</v>
      </c>
      <c r="Y871" s="46" t="e">
        <f t="shared" si="46"/>
        <v>#N/A</v>
      </c>
      <c r="Z871" s="39" t="e">
        <f t="shared" si="44"/>
        <v>#N/A</v>
      </c>
      <c r="AA871" s="39" t="e">
        <f t="shared" si="45"/>
        <v>#N/A</v>
      </c>
      <c r="AB871" s="39"/>
      <c r="AC871" s="48" t="e">
        <f t="shared" si="47"/>
        <v>#N/A</v>
      </c>
    </row>
    <row r="872" spans="1:29" ht="12.5" x14ac:dyDescent="0.25">
      <c r="A872" s="36"/>
      <c r="B872" s="33"/>
      <c r="C872" s="33"/>
      <c r="D872" s="33"/>
      <c r="E872" s="35"/>
      <c r="F872" s="21"/>
      <c r="G872" s="22" t="e">
        <f>VLOOKUP(E872,'Court List'!$A:$C,2,0)</f>
        <v>#N/A</v>
      </c>
      <c r="H872" s="33"/>
      <c r="I872" s="33"/>
      <c r="J872" s="44" t="e">
        <f t="shared" si="38"/>
        <v>#N/A</v>
      </c>
      <c r="K872" s="36"/>
      <c r="L872" s="18">
        <f>SUM('Shuttle Count - Supreme (Nov 20'!C872:D872)</f>
        <v>0</v>
      </c>
      <c r="M872" s="18" t="e">
        <f>VLOOKUP(K872,'Shuttle Purchase'!A:C,3,0)</f>
        <v>#N/A</v>
      </c>
      <c r="N872" s="44" t="e">
        <f t="shared" si="48"/>
        <v>#N/A</v>
      </c>
      <c r="O872" s="24" t="e">
        <f>VLOOKUP(E872,'Court List'!$A:$C,3,0)</f>
        <v>#N/A</v>
      </c>
      <c r="P872" s="18">
        <f>COUNTIF('Pub List'!$C872:$T872,"&lt;&gt;")</f>
        <v>0</v>
      </c>
      <c r="Q872" s="20" t="e">
        <f t="shared" si="39"/>
        <v>#N/A</v>
      </c>
      <c r="R872" s="36"/>
      <c r="S872" s="18">
        <f>COUNTIF('Member List'!$C872:$J872,"&lt;&gt;")</f>
        <v>0</v>
      </c>
      <c r="T872" s="35"/>
      <c r="U872" s="24">
        <f t="shared" si="40"/>
        <v>0</v>
      </c>
      <c r="V872" s="18" t="e">
        <f t="shared" si="41"/>
        <v>#N/A</v>
      </c>
      <c r="W872" s="45" t="e">
        <f t="shared" si="42"/>
        <v>#N/A</v>
      </c>
      <c r="X872" s="20" t="e">
        <f t="shared" si="43"/>
        <v>#N/A</v>
      </c>
      <c r="Y872" s="46" t="e">
        <f t="shared" si="46"/>
        <v>#N/A</v>
      </c>
      <c r="Z872" s="39" t="e">
        <f t="shared" si="44"/>
        <v>#N/A</v>
      </c>
      <c r="AA872" s="39" t="e">
        <f t="shared" si="45"/>
        <v>#N/A</v>
      </c>
      <c r="AB872" s="39"/>
      <c r="AC872" s="48" t="e">
        <f t="shared" si="47"/>
        <v>#N/A</v>
      </c>
    </row>
    <row r="873" spans="1:29" ht="12.5" x14ac:dyDescent="0.25">
      <c r="A873" s="36"/>
      <c r="B873" s="33"/>
      <c r="C873" s="33"/>
      <c r="D873" s="33"/>
      <c r="E873" s="35"/>
      <c r="F873" s="21"/>
      <c r="G873" s="22" t="e">
        <f>VLOOKUP(E873,'Court List'!$A:$C,2,0)</f>
        <v>#N/A</v>
      </c>
      <c r="H873" s="33"/>
      <c r="I873" s="33"/>
      <c r="J873" s="44" t="e">
        <f t="shared" si="38"/>
        <v>#N/A</v>
      </c>
      <c r="K873" s="36"/>
      <c r="L873" s="18">
        <f>SUM('Shuttle Count - Supreme (Nov 20'!C873:D873)</f>
        <v>0</v>
      </c>
      <c r="M873" s="18" t="e">
        <f>VLOOKUP(K873,'Shuttle Purchase'!A:C,3,0)</f>
        <v>#N/A</v>
      </c>
      <c r="N873" s="44" t="e">
        <f t="shared" si="48"/>
        <v>#N/A</v>
      </c>
      <c r="O873" s="24" t="e">
        <f>VLOOKUP(E873,'Court List'!$A:$C,3,0)</f>
        <v>#N/A</v>
      </c>
      <c r="P873" s="18">
        <f>COUNTIF('Pub List'!$C873:$T873,"&lt;&gt;")</f>
        <v>0</v>
      </c>
      <c r="Q873" s="20" t="e">
        <f t="shared" si="39"/>
        <v>#N/A</v>
      </c>
      <c r="R873" s="36"/>
      <c r="S873" s="18">
        <f>COUNTIF('Member List'!$C873:$J873,"&lt;&gt;")</f>
        <v>0</v>
      </c>
      <c r="T873" s="35"/>
      <c r="U873" s="24">
        <f t="shared" si="40"/>
        <v>0</v>
      </c>
      <c r="V873" s="18" t="e">
        <f t="shared" si="41"/>
        <v>#N/A</v>
      </c>
      <c r="W873" s="45" t="e">
        <f t="shared" si="42"/>
        <v>#N/A</v>
      </c>
      <c r="X873" s="20" t="e">
        <f t="shared" si="43"/>
        <v>#N/A</v>
      </c>
      <c r="Y873" s="46" t="e">
        <f t="shared" si="46"/>
        <v>#N/A</v>
      </c>
      <c r="Z873" s="39" t="e">
        <f t="shared" si="44"/>
        <v>#N/A</v>
      </c>
      <c r="AA873" s="39" t="e">
        <f t="shared" si="45"/>
        <v>#N/A</v>
      </c>
      <c r="AB873" s="39"/>
      <c r="AC873" s="48" t="e">
        <f t="shared" si="47"/>
        <v>#N/A</v>
      </c>
    </row>
    <row r="874" spans="1:29" ht="12.5" x14ac:dyDescent="0.25">
      <c r="A874" s="36"/>
      <c r="B874" s="33"/>
      <c r="C874" s="33"/>
      <c r="D874" s="33"/>
      <c r="E874" s="35"/>
      <c r="F874" s="21"/>
      <c r="G874" s="22" t="e">
        <f>VLOOKUP(E874,'Court List'!$A:$C,2,0)</f>
        <v>#N/A</v>
      </c>
      <c r="H874" s="33"/>
      <c r="I874" s="33"/>
      <c r="J874" s="44" t="e">
        <f t="shared" si="38"/>
        <v>#N/A</v>
      </c>
      <c r="K874" s="36"/>
      <c r="L874" s="18">
        <f>SUM('Shuttle Count - Supreme (Nov 20'!C874:D874)</f>
        <v>0</v>
      </c>
      <c r="M874" s="18" t="e">
        <f>VLOOKUP(K874,'Shuttle Purchase'!A:C,3,0)</f>
        <v>#N/A</v>
      </c>
      <c r="N874" s="44" t="e">
        <f t="shared" si="48"/>
        <v>#N/A</v>
      </c>
      <c r="O874" s="24" t="e">
        <f>VLOOKUP(E874,'Court List'!$A:$C,3,0)</f>
        <v>#N/A</v>
      </c>
      <c r="P874" s="18">
        <f>COUNTIF('Pub List'!$C874:$T874,"&lt;&gt;")</f>
        <v>0</v>
      </c>
      <c r="Q874" s="20" t="e">
        <f t="shared" si="39"/>
        <v>#N/A</v>
      </c>
      <c r="R874" s="36"/>
      <c r="S874" s="18">
        <f>COUNTIF('Member List'!$C874:$J874,"&lt;&gt;")</f>
        <v>0</v>
      </c>
      <c r="T874" s="35"/>
      <c r="U874" s="24">
        <f t="shared" si="40"/>
        <v>0</v>
      </c>
      <c r="V874" s="18" t="e">
        <f t="shared" si="41"/>
        <v>#N/A</v>
      </c>
      <c r="W874" s="45" t="e">
        <f t="shared" si="42"/>
        <v>#N/A</v>
      </c>
      <c r="X874" s="20" t="e">
        <f t="shared" si="43"/>
        <v>#N/A</v>
      </c>
      <c r="Y874" s="46" t="e">
        <f t="shared" si="46"/>
        <v>#N/A</v>
      </c>
      <c r="Z874" s="39" t="e">
        <f t="shared" si="44"/>
        <v>#N/A</v>
      </c>
      <c r="AA874" s="39" t="e">
        <f t="shared" si="45"/>
        <v>#N/A</v>
      </c>
      <c r="AB874" s="39"/>
      <c r="AC874" s="48" t="e">
        <f t="shared" si="47"/>
        <v>#N/A</v>
      </c>
    </row>
    <row r="875" spans="1:29" ht="12.5" x14ac:dyDescent="0.25">
      <c r="A875" s="36"/>
      <c r="B875" s="33"/>
      <c r="C875" s="33"/>
      <c r="D875" s="33"/>
      <c r="E875" s="35"/>
      <c r="F875" s="21"/>
      <c r="G875" s="22" t="e">
        <f>VLOOKUP(E875,'Court List'!$A:$C,2,0)</f>
        <v>#N/A</v>
      </c>
      <c r="H875" s="33"/>
      <c r="I875" s="33"/>
      <c r="J875" s="44" t="e">
        <f t="shared" si="38"/>
        <v>#N/A</v>
      </c>
      <c r="K875" s="36"/>
      <c r="L875" s="18">
        <f>SUM('Shuttle Count - Supreme (Nov 20'!C875:D875)</f>
        <v>0</v>
      </c>
      <c r="M875" s="18" t="e">
        <f>VLOOKUP(K875,'Shuttle Purchase'!A:C,3,0)</f>
        <v>#N/A</v>
      </c>
      <c r="N875" s="44" t="e">
        <f t="shared" si="48"/>
        <v>#N/A</v>
      </c>
      <c r="O875" s="24" t="e">
        <f>VLOOKUP(E875,'Court List'!$A:$C,3,0)</f>
        <v>#N/A</v>
      </c>
      <c r="P875" s="18">
        <f>COUNTIF('Pub List'!$C875:$T875,"&lt;&gt;")</f>
        <v>0</v>
      </c>
      <c r="Q875" s="20" t="e">
        <f t="shared" si="39"/>
        <v>#N/A</v>
      </c>
      <c r="R875" s="36"/>
      <c r="S875" s="18">
        <f>COUNTIF('Member List'!$C875:$J875,"&lt;&gt;")</f>
        <v>0</v>
      </c>
      <c r="T875" s="35"/>
      <c r="U875" s="24">
        <f t="shared" si="40"/>
        <v>0</v>
      </c>
      <c r="V875" s="18" t="e">
        <f t="shared" si="41"/>
        <v>#N/A</v>
      </c>
      <c r="W875" s="45" t="e">
        <f t="shared" si="42"/>
        <v>#N/A</v>
      </c>
      <c r="X875" s="20" t="e">
        <f t="shared" si="43"/>
        <v>#N/A</v>
      </c>
      <c r="Y875" s="46" t="e">
        <f t="shared" si="46"/>
        <v>#N/A</v>
      </c>
      <c r="Z875" s="39" t="e">
        <f t="shared" si="44"/>
        <v>#N/A</v>
      </c>
      <c r="AA875" s="39" t="e">
        <f t="shared" si="45"/>
        <v>#N/A</v>
      </c>
      <c r="AB875" s="39"/>
      <c r="AC875" s="48" t="e">
        <f t="shared" si="47"/>
        <v>#N/A</v>
      </c>
    </row>
    <row r="876" spans="1:29" ht="12.5" x14ac:dyDescent="0.25">
      <c r="A876" s="36"/>
      <c r="B876" s="33"/>
      <c r="C876" s="33"/>
      <c r="D876" s="33"/>
      <c r="E876" s="35"/>
      <c r="F876" s="21"/>
      <c r="G876" s="22" t="e">
        <f>VLOOKUP(E876,'Court List'!$A:$C,2,0)</f>
        <v>#N/A</v>
      </c>
      <c r="H876" s="33"/>
      <c r="I876" s="33"/>
      <c r="J876" s="44" t="e">
        <f t="shared" si="38"/>
        <v>#N/A</v>
      </c>
      <c r="K876" s="36"/>
      <c r="L876" s="18">
        <f>SUM('Shuttle Count - Supreme (Nov 20'!C876:D876)</f>
        <v>0</v>
      </c>
      <c r="M876" s="18" t="e">
        <f>VLOOKUP(K876,'Shuttle Purchase'!A:C,3,0)</f>
        <v>#N/A</v>
      </c>
      <c r="N876" s="44" t="e">
        <f t="shared" si="48"/>
        <v>#N/A</v>
      </c>
      <c r="O876" s="24" t="e">
        <f>VLOOKUP(E876,'Court List'!$A:$C,3,0)</f>
        <v>#N/A</v>
      </c>
      <c r="P876" s="18">
        <f>COUNTIF('Pub List'!$C876:$T876,"&lt;&gt;")</f>
        <v>0</v>
      </c>
      <c r="Q876" s="20" t="e">
        <f t="shared" si="39"/>
        <v>#N/A</v>
      </c>
      <c r="R876" s="36"/>
      <c r="S876" s="18">
        <f>COUNTIF('Member List'!$C876:$J876,"&lt;&gt;")</f>
        <v>0</v>
      </c>
      <c r="T876" s="35"/>
      <c r="U876" s="24">
        <f t="shared" si="40"/>
        <v>0</v>
      </c>
      <c r="V876" s="18" t="e">
        <f t="shared" si="41"/>
        <v>#N/A</v>
      </c>
      <c r="W876" s="45" t="e">
        <f t="shared" si="42"/>
        <v>#N/A</v>
      </c>
      <c r="X876" s="20" t="e">
        <f t="shared" si="43"/>
        <v>#N/A</v>
      </c>
      <c r="Y876" s="46" t="e">
        <f t="shared" si="46"/>
        <v>#N/A</v>
      </c>
      <c r="Z876" s="39" t="e">
        <f t="shared" si="44"/>
        <v>#N/A</v>
      </c>
      <c r="AA876" s="39" t="e">
        <f t="shared" si="45"/>
        <v>#N/A</v>
      </c>
      <c r="AB876" s="39"/>
      <c r="AC876" s="48" t="e">
        <f t="shared" si="47"/>
        <v>#N/A</v>
      </c>
    </row>
    <row r="877" spans="1:29" ht="12.5" x14ac:dyDescent="0.25">
      <c r="A877" s="36"/>
      <c r="B877" s="33"/>
      <c r="C877" s="33"/>
      <c r="D877" s="33"/>
      <c r="E877" s="35"/>
      <c r="F877" s="21"/>
      <c r="G877" s="22" t="e">
        <f>VLOOKUP(E877,'Court List'!$A:$C,2,0)</f>
        <v>#N/A</v>
      </c>
      <c r="H877" s="33"/>
      <c r="I877" s="33"/>
      <c r="J877" s="44" t="e">
        <f t="shared" si="38"/>
        <v>#N/A</v>
      </c>
      <c r="K877" s="36"/>
      <c r="L877" s="18">
        <f>SUM('Shuttle Count - Supreme (Nov 20'!C877:D877)</f>
        <v>0</v>
      </c>
      <c r="M877" s="18" t="e">
        <f>VLOOKUP(K877,'Shuttle Purchase'!A:C,3,0)</f>
        <v>#N/A</v>
      </c>
      <c r="N877" s="44" t="e">
        <f t="shared" si="48"/>
        <v>#N/A</v>
      </c>
      <c r="O877" s="24" t="e">
        <f>VLOOKUP(E877,'Court List'!$A:$C,3,0)</f>
        <v>#N/A</v>
      </c>
      <c r="P877" s="18">
        <f>COUNTIF('Pub List'!$C877:$T877,"&lt;&gt;")</f>
        <v>0</v>
      </c>
      <c r="Q877" s="20" t="e">
        <f t="shared" si="39"/>
        <v>#N/A</v>
      </c>
      <c r="R877" s="36"/>
      <c r="S877" s="18">
        <f>COUNTIF('Member List'!$C877:$J877,"&lt;&gt;")</f>
        <v>0</v>
      </c>
      <c r="T877" s="35"/>
      <c r="U877" s="24">
        <f t="shared" si="40"/>
        <v>0</v>
      </c>
      <c r="V877" s="18" t="e">
        <f t="shared" si="41"/>
        <v>#N/A</v>
      </c>
      <c r="W877" s="45" t="e">
        <f t="shared" si="42"/>
        <v>#N/A</v>
      </c>
      <c r="X877" s="20" t="e">
        <f t="shared" si="43"/>
        <v>#N/A</v>
      </c>
      <c r="Y877" s="46" t="e">
        <f t="shared" si="46"/>
        <v>#N/A</v>
      </c>
      <c r="Z877" s="39" t="e">
        <f t="shared" si="44"/>
        <v>#N/A</v>
      </c>
      <c r="AA877" s="39" t="e">
        <f t="shared" si="45"/>
        <v>#N/A</v>
      </c>
      <c r="AB877" s="39"/>
      <c r="AC877" s="48" t="e">
        <f t="shared" si="47"/>
        <v>#N/A</v>
      </c>
    </row>
    <row r="878" spans="1:29" ht="12.5" x14ac:dyDescent="0.25">
      <c r="A878" s="36"/>
      <c r="B878" s="33"/>
      <c r="C878" s="33"/>
      <c r="D878" s="33"/>
      <c r="E878" s="35"/>
      <c r="F878" s="21"/>
      <c r="G878" s="22" t="e">
        <f>VLOOKUP(E878,'Court List'!$A:$C,2,0)</f>
        <v>#N/A</v>
      </c>
      <c r="H878" s="33"/>
      <c r="I878" s="33"/>
      <c r="J878" s="44" t="e">
        <f t="shared" si="38"/>
        <v>#N/A</v>
      </c>
      <c r="K878" s="36"/>
      <c r="L878" s="18">
        <f>SUM('Shuttle Count - Supreme (Nov 20'!C878:D878)</f>
        <v>0</v>
      </c>
      <c r="M878" s="18" t="e">
        <f>VLOOKUP(K878,'Shuttle Purchase'!A:C,3,0)</f>
        <v>#N/A</v>
      </c>
      <c r="N878" s="44" t="e">
        <f t="shared" si="48"/>
        <v>#N/A</v>
      </c>
      <c r="O878" s="24" t="e">
        <f>VLOOKUP(E878,'Court List'!$A:$C,3,0)</f>
        <v>#N/A</v>
      </c>
      <c r="P878" s="18">
        <f>COUNTIF('Pub List'!$C878:$T878,"&lt;&gt;")</f>
        <v>0</v>
      </c>
      <c r="Q878" s="20" t="e">
        <f t="shared" si="39"/>
        <v>#N/A</v>
      </c>
      <c r="R878" s="36"/>
      <c r="S878" s="18">
        <f>COUNTIF('Member List'!$C878:$J878,"&lt;&gt;")</f>
        <v>0</v>
      </c>
      <c r="T878" s="35"/>
      <c r="U878" s="24">
        <f t="shared" si="40"/>
        <v>0</v>
      </c>
      <c r="V878" s="18" t="e">
        <f t="shared" si="41"/>
        <v>#N/A</v>
      </c>
      <c r="W878" s="45" t="e">
        <f t="shared" si="42"/>
        <v>#N/A</v>
      </c>
      <c r="X878" s="20" t="e">
        <f t="shared" si="43"/>
        <v>#N/A</v>
      </c>
      <c r="Y878" s="46" t="e">
        <f t="shared" si="46"/>
        <v>#N/A</v>
      </c>
      <c r="Z878" s="39" t="e">
        <f t="shared" si="44"/>
        <v>#N/A</v>
      </c>
      <c r="AA878" s="39" t="e">
        <f t="shared" si="45"/>
        <v>#N/A</v>
      </c>
      <c r="AB878" s="39"/>
      <c r="AC878" s="48" t="e">
        <f t="shared" si="47"/>
        <v>#N/A</v>
      </c>
    </row>
    <row r="879" spans="1:29" ht="12.5" x14ac:dyDescent="0.25">
      <c r="A879" s="36"/>
      <c r="B879" s="33"/>
      <c r="C879" s="33"/>
      <c r="D879" s="33"/>
      <c r="E879" s="35"/>
      <c r="F879" s="21"/>
      <c r="G879" s="22" t="e">
        <f>VLOOKUP(E879,'Court List'!$A:$C,2,0)</f>
        <v>#N/A</v>
      </c>
      <c r="H879" s="33"/>
      <c r="I879" s="33"/>
      <c r="J879" s="44" t="e">
        <f t="shared" si="38"/>
        <v>#N/A</v>
      </c>
      <c r="K879" s="36"/>
      <c r="L879" s="18">
        <f>SUM('Shuttle Count - Supreme (Nov 20'!C879:D879)</f>
        <v>0</v>
      </c>
      <c r="M879" s="18" t="e">
        <f>VLOOKUP(K879,'Shuttle Purchase'!A:C,3,0)</f>
        <v>#N/A</v>
      </c>
      <c r="N879" s="44" t="e">
        <f t="shared" si="48"/>
        <v>#N/A</v>
      </c>
      <c r="O879" s="24" t="e">
        <f>VLOOKUP(E879,'Court List'!$A:$C,3,0)</f>
        <v>#N/A</v>
      </c>
      <c r="P879" s="18">
        <f>COUNTIF('Pub List'!$C879:$T879,"&lt;&gt;")</f>
        <v>0</v>
      </c>
      <c r="Q879" s="20" t="e">
        <f t="shared" si="39"/>
        <v>#N/A</v>
      </c>
      <c r="R879" s="36"/>
      <c r="S879" s="18">
        <f>COUNTIF('Member List'!$C879:$J879,"&lt;&gt;")</f>
        <v>0</v>
      </c>
      <c r="T879" s="35"/>
      <c r="U879" s="24">
        <f t="shared" si="40"/>
        <v>0</v>
      </c>
      <c r="V879" s="18" t="e">
        <f t="shared" si="41"/>
        <v>#N/A</v>
      </c>
      <c r="W879" s="45" t="e">
        <f t="shared" si="42"/>
        <v>#N/A</v>
      </c>
      <c r="X879" s="20" t="e">
        <f t="shared" si="43"/>
        <v>#N/A</v>
      </c>
      <c r="Y879" s="46" t="e">
        <f t="shared" si="46"/>
        <v>#N/A</v>
      </c>
      <c r="Z879" s="39" t="e">
        <f t="shared" si="44"/>
        <v>#N/A</v>
      </c>
      <c r="AA879" s="39" t="e">
        <f t="shared" si="45"/>
        <v>#N/A</v>
      </c>
      <c r="AB879" s="39"/>
      <c r="AC879" s="48" t="e">
        <f t="shared" si="47"/>
        <v>#N/A</v>
      </c>
    </row>
    <row r="880" spans="1:29" ht="12.5" x14ac:dyDescent="0.25">
      <c r="A880" s="36"/>
      <c r="B880" s="33"/>
      <c r="C880" s="33"/>
      <c r="D880" s="33"/>
      <c r="E880" s="35"/>
      <c r="F880" s="21"/>
      <c r="G880" s="22" t="e">
        <f>VLOOKUP(E880,'Court List'!$A:$C,2,0)</f>
        <v>#N/A</v>
      </c>
      <c r="H880" s="33"/>
      <c r="I880" s="33"/>
      <c r="J880" s="44" t="e">
        <f t="shared" si="38"/>
        <v>#N/A</v>
      </c>
      <c r="K880" s="36"/>
      <c r="L880" s="18">
        <f>SUM('Shuttle Count - Supreme (Nov 20'!C880:D880)</f>
        <v>0</v>
      </c>
      <c r="M880" s="18" t="e">
        <f>VLOOKUP(K880,'Shuttle Purchase'!A:C,3,0)</f>
        <v>#N/A</v>
      </c>
      <c r="N880" s="44" t="e">
        <f t="shared" si="48"/>
        <v>#N/A</v>
      </c>
      <c r="O880" s="24" t="e">
        <f>VLOOKUP(E880,'Court List'!$A:$C,3,0)</f>
        <v>#N/A</v>
      </c>
      <c r="P880" s="18">
        <f>COUNTIF('Pub List'!$C880:$T880,"&lt;&gt;")</f>
        <v>0</v>
      </c>
      <c r="Q880" s="20" t="e">
        <f t="shared" si="39"/>
        <v>#N/A</v>
      </c>
      <c r="R880" s="36"/>
      <c r="S880" s="18">
        <f>COUNTIF('Member List'!$C880:$J880,"&lt;&gt;")</f>
        <v>0</v>
      </c>
      <c r="T880" s="35"/>
      <c r="U880" s="24">
        <f t="shared" si="40"/>
        <v>0</v>
      </c>
      <c r="V880" s="18" t="e">
        <f t="shared" si="41"/>
        <v>#N/A</v>
      </c>
      <c r="W880" s="45" t="e">
        <f t="shared" si="42"/>
        <v>#N/A</v>
      </c>
      <c r="X880" s="20" t="e">
        <f t="shared" si="43"/>
        <v>#N/A</v>
      </c>
      <c r="Y880" s="46" t="e">
        <f t="shared" si="46"/>
        <v>#N/A</v>
      </c>
      <c r="Z880" s="39" t="e">
        <f t="shared" si="44"/>
        <v>#N/A</v>
      </c>
      <c r="AA880" s="39" t="e">
        <f t="shared" si="45"/>
        <v>#N/A</v>
      </c>
      <c r="AB880" s="39"/>
      <c r="AC880" s="48" t="e">
        <f t="shared" si="47"/>
        <v>#N/A</v>
      </c>
    </row>
    <row r="881" spans="1:29" ht="12.5" x14ac:dyDescent="0.25">
      <c r="A881" s="36"/>
      <c r="B881" s="33"/>
      <c r="C881" s="33"/>
      <c r="D881" s="33"/>
      <c r="E881" s="35"/>
      <c r="F881" s="21"/>
      <c r="G881" s="22" t="e">
        <f>VLOOKUP(E881,'Court List'!$A:$C,2,0)</f>
        <v>#N/A</v>
      </c>
      <c r="H881" s="33"/>
      <c r="I881" s="33"/>
      <c r="J881" s="44" t="e">
        <f t="shared" si="38"/>
        <v>#N/A</v>
      </c>
      <c r="K881" s="36"/>
      <c r="L881" s="18">
        <f>SUM('Shuttle Count - Supreme (Nov 20'!C881:D881)</f>
        <v>0</v>
      </c>
      <c r="M881" s="18" t="e">
        <f>VLOOKUP(K881,'Shuttle Purchase'!A:C,3,0)</f>
        <v>#N/A</v>
      </c>
      <c r="N881" s="44" t="e">
        <f t="shared" si="48"/>
        <v>#N/A</v>
      </c>
      <c r="O881" s="24" t="e">
        <f>VLOOKUP(E881,'Court List'!$A:$C,3,0)</f>
        <v>#N/A</v>
      </c>
      <c r="P881" s="18">
        <f>COUNTIF('Pub List'!$C881:$T881,"&lt;&gt;")</f>
        <v>0</v>
      </c>
      <c r="Q881" s="20" t="e">
        <f t="shared" si="39"/>
        <v>#N/A</v>
      </c>
      <c r="R881" s="36"/>
      <c r="S881" s="18">
        <f>COUNTIF('Member List'!$C881:$J881,"&lt;&gt;")</f>
        <v>0</v>
      </c>
      <c r="T881" s="35"/>
      <c r="U881" s="24">
        <f t="shared" si="40"/>
        <v>0</v>
      </c>
      <c r="V881" s="18" t="e">
        <f t="shared" si="41"/>
        <v>#N/A</v>
      </c>
      <c r="W881" s="45" t="e">
        <f t="shared" si="42"/>
        <v>#N/A</v>
      </c>
      <c r="X881" s="20" t="e">
        <f t="shared" si="43"/>
        <v>#N/A</v>
      </c>
      <c r="Y881" s="46" t="e">
        <f t="shared" si="46"/>
        <v>#N/A</v>
      </c>
      <c r="Z881" s="39" t="e">
        <f t="shared" si="44"/>
        <v>#N/A</v>
      </c>
      <c r="AA881" s="39" t="e">
        <f t="shared" si="45"/>
        <v>#N/A</v>
      </c>
      <c r="AB881" s="39"/>
      <c r="AC881" s="48" t="e">
        <f t="shared" si="47"/>
        <v>#N/A</v>
      </c>
    </row>
    <row r="882" spans="1:29" ht="12.5" x14ac:dyDescent="0.25">
      <c r="A882" s="36"/>
      <c r="B882" s="33"/>
      <c r="C882" s="33"/>
      <c r="D882" s="33"/>
      <c r="E882" s="35"/>
      <c r="F882" s="21"/>
      <c r="G882" s="22" t="e">
        <f>VLOOKUP(E882,'Court List'!$A:$C,2,0)</f>
        <v>#N/A</v>
      </c>
      <c r="H882" s="33"/>
      <c r="I882" s="33"/>
      <c r="J882" s="44" t="e">
        <f t="shared" si="38"/>
        <v>#N/A</v>
      </c>
      <c r="K882" s="36"/>
      <c r="L882" s="18">
        <f>SUM('Shuttle Count - Supreme (Nov 20'!C882:D882)</f>
        <v>0</v>
      </c>
      <c r="M882" s="18" t="e">
        <f>VLOOKUP(K882,'Shuttle Purchase'!A:C,3,0)</f>
        <v>#N/A</v>
      </c>
      <c r="N882" s="44" t="e">
        <f t="shared" si="48"/>
        <v>#N/A</v>
      </c>
      <c r="O882" s="24" t="e">
        <f>VLOOKUP(E882,'Court List'!$A:$C,3,0)</f>
        <v>#N/A</v>
      </c>
      <c r="P882" s="18">
        <f>COUNTIF('Pub List'!$C882:$T882,"&lt;&gt;")</f>
        <v>0</v>
      </c>
      <c r="Q882" s="20" t="e">
        <f t="shared" si="39"/>
        <v>#N/A</v>
      </c>
      <c r="R882" s="36"/>
      <c r="S882" s="18">
        <f>COUNTIF('Member List'!$C882:$J882,"&lt;&gt;")</f>
        <v>0</v>
      </c>
      <c r="T882" s="35"/>
      <c r="U882" s="24">
        <f t="shared" si="40"/>
        <v>0</v>
      </c>
      <c r="V882" s="18" t="e">
        <f t="shared" si="41"/>
        <v>#N/A</v>
      </c>
      <c r="W882" s="45" t="e">
        <f t="shared" si="42"/>
        <v>#N/A</v>
      </c>
      <c r="X882" s="20" t="e">
        <f t="shared" si="43"/>
        <v>#N/A</v>
      </c>
      <c r="Y882" s="46" t="e">
        <f t="shared" si="46"/>
        <v>#N/A</v>
      </c>
      <c r="Z882" s="39" t="e">
        <f t="shared" si="44"/>
        <v>#N/A</v>
      </c>
      <c r="AA882" s="39" t="e">
        <f t="shared" si="45"/>
        <v>#N/A</v>
      </c>
      <c r="AB882" s="39"/>
      <c r="AC882" s="48" t="e">
        <f t="shared" si="47"/>
        <v>#N/A</v>
      </c>
    </row>
    <row r="883" spans="1:29" ht="12.5" x14ac:dyDescent="0.25">
      <c r="A883" s="36"/>
      <c r="B883" s="33"/>
      <c r="C883" s="33"/>
      <c r="D883" s="33"/>
      <c r="E883" s="35"/>
      <c r="F883" s="21"/>
      <c r="G883" s="22" t="e">
        <f>VLOOKUP(E883,'Court List'!$A:$C,2,0)</f>
        <v>#N/A</v>
      </c>
      <c r="H883" s="33"/>
      <c r="I883" s="33"/>
      <c r="J883" s="44" t="e">
        <f t="shared" si="38"/>
        <v>#N/A</v>
      </c>
      <c r="K883" s="36"/>
      <c r="L883" s="18">
        <f>SUM('Shuttle Count - Supreme (Nov 20'!C883:D883)</f>
        <v>0</v>
      </c>
      <c r="M883" s="18" t="e">
        <f>VLOOKUP(K883,'Shuttle Purchase'!A:C,3,0)</f>
        <v>#N/A</v>
      </c>
      <c r="N883" s="44" t="e">
        <f t="shared" si="48"/>
        <v>#N/A</v>
      </c>
      <c r="O883" s="24" t="e">
        <f>VLOOKUP(E883,'Court List'!$A:$C,3,0)</f>
        <v>#N/A</v>
      </c>
      <c r="P883" s="18">
        <f>COUNTIF('Pub List'!$C883:$T883,"&lt;&gt;")</f>
        <v>0</v>
      </c>
      <c r="Q883" s="20" t="e">
        <f t="shared" si="39"/>
        <v>#N/A</v>
      </c>
      <c r="R883" s="36"/>
      <c r="S883" s="18">
        <f>COUNTIF('Member List'!$C883:$J883,"&lt;&gt;")</f>
        <v>0</v>
      </c>
      <c r="T883" s="35"/>
      <c r="U883" s="24">
        <f t="shared" si="40"/>
        <v>0</v>
      </c>
      <c r="V883" s="18" t="e">
        <f t="shared" si="41"/>
        <v>#N/A</v>
      </c>
      <c r="W883" s="45" t="e">
        <f t="shared" si="42"/>
        <v>#N/A</v>
      </c>
      <c r="X883" s="20" t="e">
        <f t="shared" si="43"/>
        <v>#N/A</v>
      </c>
      <c r="Y883" s="46" t="e">
        <f t="shared" si="46"/>
        <v>#N/A</v>
      </c>
      <c r="Z883" s="39" t="e">
        <f t="shared" si="44"/>
        <v>#N/A</v>
      </c>
      <c r="AA883" s="39" t="e">
        <f t="shared" si="45"/>
        <v>#N/A</v>
      </c>
      <c r="AB883" s="39"/>
      <c r="AC883" s="48" t="e">
        <f t="shared" si="47"/>
        <v>#N/A</v>
      </c>
    </row>
    <row r="884" spans="1:29" ht="12.5" x14ac:dyDescent="0.25">
      <c r="A884" s="36"/>
      <c r="B884" s="33"/>
      <c r="C884" s="33"/>
      <c r="D884" s="33"/>
      <c r="E884" s="35"/>
      <c r="F884" s="21"/>
      <c r="G884" s="22" t="e">
        <f>VLOOKUP(E884,'Court List'!$A:$C,2,0)</f>
        <v>#N/A</v>
      </c>
      <c r="H884" s="33"/>
      <c r="I884" s="33"/>
      <c r="J884" s="44" t="e">
        <f t="shared" si="38"/>
        <v>#N/A</v>
      </c>
      <c r="K884" s="36"/>
      <c r="L884" s="18">
        <f>SUM('Shuttle Count - Supreme (Nov 20'!C884:D884)</f>
        <v>0</v>
      </c>
      <c r="M884" s="18" t="e">
        <f>VLOOKUP(K884,'Shuttle Purchase'!A:C,3,0)</f>
        <v>#N/A</v>
      </c>
      <c r="N884" s="44" t="e">
        <f t="shared" si="48"/>
        <v>#N/A</v>
      </c>
      <c r="O884" s="24" t="e">
        <f>VLOOKUP(E884,'Court List'!$A:$C,3,0)</f>
        <v>#N/A</v>
      </c>
      <c r="P884" s="18">
        <f>COUNTIF('Pub List'!$C884:$T884,"&lt;&gt;")</f>
        <v>0</v>
      </c>
      <c r="Q884" s="20" t="e">
        <f t="shared" si="39"/>
        <v>#N/A</v>
      </c>
      <c r="R884" s="36"/>
      <c r="S884" s="18">
        <f>COUNTIF('Member List'!$C884:$J884,"&lt;&gt;")</f>
        <v>0</v>
      </c>
      <c r="T884" s="35"/>
      <c r="U884" s="24">
        <f t="shared" si="40"/>
        <v>0</v>
      </c>
      <c r="V884" s="18" t="e">
        <f t="shared" si="41"/>
        <v>#N/A</v>
      </c>
      <c r="W884" s="45" t="e">
        <f t="shared" si="42"/>
        <v>#N/A</v>
      </c>
      <c r="X884" s="20" t="e">
        <f t="shared" si="43"/>
        <v>#N/A</v>
      </c>
      <c r="Y884" s="46" t="e">
        <f t="shared" si="46"/>
        <v>#N/A</v>
      </c>
      <c r="Z884" s="39" t="e">
        <f t="shared" si="44"/>
        <v>#N/A</v>
      </c>
      <c r="AA884" s="39" t="e">
        <f t="shared" si="45"/>
        <v>#N/A</v>
      </c>
      <c r="AB884" s="39"/>
      <c r="AC884" s="48" t="e">
        <f t="shared" si="47"/>
        <v>#N/A</v>
      </c>
    </row>
    <row r="885" spans="1:29" ht="12.5" x14ac:dyDescent="0.25">
      <c r="A885" s="36"/>
      <c r="B885" s="33"/>
      <c r="C885" s="33"/>
      <c r="D885" s="33"/>
      <c r="E885" s="35"/>
      <c r="F885" s="21"/>
      <c r="G885" s="22" t="e">
        <f>VLOOKUP(E885,'Court List'!$A:$C,2,0)</f>
        <v>#N/A</v>
      </c>
      <c r="H885" s="33"/>
      <c r="I885" s="33"/>
      <c r="J885" s="44" t="e">
        <f t="shared" si="38"/>
        <v>#N/A</v>
      </c>
      <c r="K885" s="36"/>
      <c r="L885" s="18">
        <f>SUM('Shuttle Count - Supreme (Nov 20'!C885:D885)</f>
        <v>0</v>
      </c>
      <c r="M885" s="18" t="e">
        <f>VLOOKUP(K885,'Shuttle Purchase'!A:C,3,0)</f>
        <v>#N/A</v>
      </c>
      <c r="N885" s="44" t="e">
        <f t="shared" si="48"/>
        <v>#N/A</v>
      </c>
      <c r="O885" s="24" t="e">
        <f>VLOOKUP(E885,'Court List'!$A:$C,3,0)</f>
        <v>#N/A</v>
      </c>
      <c r="P885" s="18">
        <f>COUNTIF('Pub List'!$C885:$T885,"&lt;&gt;")</f>
        <v>0</v>
      </c>
      <c r="Q885" s="20" t="e">
        <f t="shared" si="39"/>
        <v>#N/A</v>
      </c>
      <c r="R885" s="36"/>
      <c r="S885" s="18">
        <f>COUNTIF('Member List'!$C885:$J885,"&lt;&gt;")</f>
        <v>0</v>
      </c>
      <c r="T885" s="35"/>
      <c r="U885" s="24">
        <f t="shared" si="40"/>
        <v>0</v>
      </c>
      <c r="V885" s="18" t="e">
        <f t="shared" si="41"/>
        <v>#N/A</v>
      </c>
      <c r="W885" s="45" t="e">
        <f t="shared" si="42"/>
        <v>#N/A</v>
      </c>
      <c r="X885" s="20" t="e">
        <f t="shared" si="43"/>
        <v>#N/A</v>
      </c>
      <c r="Y885" s="46" t="e">
        <f t="shared" si="46"/>
        <v>#N/A</v>
      </c>
      <c r="Z885" s="39" t="e">
        <f t="shared" si="44"/>
        <v>#N/A</v>
      </c>
      <c r="AA885" s="39" t="e">
        <f t="shared" si="45"/>
        <v>#N/A</v>
      </c>
      <c r="AB885" s="39"/>
      <c r="AC885" s="48" t="e">
        <f t="shared" si="47"/>
        <v>#N/A</v>
      </c>
    </row>
    <row r="886" spans="1:29" ht="12.5" x14ac:dyDescent="0.25">
      <c r="A886" s="36"/>
      <c r="B886" s="33"/>
      <c r="C886" s="33"/>
      <c r="D886" s="33"/>
      <c r="E886" s="35"/>
      <c r="F886" s="21"/>
      <c r="G886" s="22" t="e">
        <f>VLOOKUP(E886,'Court List'!$A:$C,2,0)</f>
        <v>#N/A</v>
      </c>
      <c r="H886" s="33"/>
      <c r="I886" s="33"/>
      <c r="J886" s="44" t="e">
        <f t="shared" si="38"/>
        <v>#N/A</v>
      </c>
      <c r="K886" s="36"/>
      <c r="L886" s="18">
        <f>SUM('Shuttle Count - Supreme (Nov 20'!C886:D886)</f>
        <v>0</v>
      </c>
      <c r="M886" s="18" t="e">
        <f>VLOOKUP(K886,'Shuttle Purchase'!A:C,3,0)</f>
        <v>#N/A</v>
      </c>
      <c r="N886" s="44" t="e">
        <f t="shared" si="48"/>
        <v>#N/A</v>
      </c>
      <c r="O886" s="24" t="e">
        <f>VLOOKUP(E886,'Court List'!$A:$C,3,0)</f>
        <v>#N/A</v>
      </c>
      <c r="P886" s="18">
        <f>COUNTIF('Pub List'!$C886:$T886,"&lt;&gt;")</f>
        <v>0</v>
      </c>
      <c r="Q886" s="20" t="e">
        <f t="shared" si="39"/>
        <v>#N/A</v>
      </c>
      <c r="R886" s="36"/>
      <c r="S886" s="18">
        <f>COUNTIF('Member List'!$C886:$J886,"&lt;&gt;")</f>
        <v>0</v>
      </c>
      <c r="T886" s="35"/>
      <c r="U886" s="24">
        <f t="shared" si="40"/>
        <v>0</v>
      </c>
      <c r="V886" s="18" t="e">
        <f t="shared" si="41"/>
        <v>#N/A</v>
      </c>
      <c r="W886" s="45" t="e">
        <f t="shared" si="42"/>
        <v>#N/A</v>
      </c>
      <c r="X886" s="20" t="e">
        <f t="shared" si="43"/>
        <v>#N/A</v>
      </c>
      <c r="Y886" s="46" t="e">
        <f t="shared" si="46"/>
        <v>#N/A</v>
      </c>
      <c r="Z886" s="39" t="e">
        <f t="shared" si="44"/>
        <v>#N/A</v>
      </c>
      <c r="AA886" s="39" t="e">
        <f t="shared" si="45"/>
        <v>#N/A</v>
      </c>
      <c r="AB886" s="39"/>
      <c r="AC886" s="48" t="e">
        <f t="shared" si="47"/>
        <v>#N/A</v>
      </c>
    </row>
    <row r="887" spans="1:29" ht="12.5" x14ac:dyDescent="0.25">
      <c r="A887" s="36"/>
      <c r="B887" s="33"/>
      <c r="C887" s="33"/>
      <c r="D887" s="33"/>
      <c r="E887" s="35"/>
      <c r="F887" s="21"/>
      <c r="G887" s="22" t="e">
        <f>VLOOKUP(E887,'Court List'!$A:$C,2,0)</f>
        <v>#N/A</v>
      </c>
      <c r="H887" s="33"/>
      <c r="I887" s="33"/>
      <c r="J887" s="44" t="e">
        <f t="shared" si="38"/>
        <v>#N/A</v>
      </c>
      <c r="K887" s="36"/>
      <c r="L887" s="18">
        <f>SUM('Shuttle Count - Supreme (Nov 20'!C887:D887)</f>
        <v>0</v>
      </c>
      <c r="M887" s="18" t="e">
        <f>VLOOKUP(K887,'Shuttle Purchase'!A:C,3,0)</f>
        <v>#N/A</v>
      </c>
      <c r="N887" s="44" t="e">
        <f t="shared" si="48"/>
        <v>#N/A</v>
      </c>
      <c r="O887" s="24" t="e">
        <f>VLOOKUP(E887,'Court List'!$A:$C,3,0)</f>
        <v>#N/A</v>
      </c>
      <c r="P887" s="18">
        <f>COUNTIF('Pub List'!$C887:$T887,"&lt;&gt;")</f>
        <v>0</v>
      </c>
      <c r="Q887" s="20" t="e">
        <f t="shared" si="39"/>
        <v>#N/A</v>
      </c>
      <c r="R887" s="36"/>
      <c r="S887" s="18">
        <f>COUNTIF('Member List'!$C887:$J887,"&lt;&gt;")</f>
        <v>0</v>
      </c>
      <c r="T887" s="35"/>
      <c r="U887" s="24">
        <f t="shared" si="40"/>
        <v>0</v>
      </c>
      <c r="V887" s="18" t="e">
        <f t="shared" si="41"/>
        <v>#N/A</v>
      </c>
      <c r="W887" s="45" t="e">
        <f t="shared" si="42"/>
        <v>#N/A</v>
      </c>
      <c r="X887" s="20" t="e">
        <f t="shared" si="43"/>
        <v>#N/A</v>
      </c>
      <c r="Y887" s="46" t="e">
        <f t="shared" si="46"/>
        <v>#N/A</v>
      </c>
      <c r="Z887" s="39" t="e">
        <f t="shared" si="44"/>
        <v>#N/A</v>
      </c>
      <c r="AA887" s="39" t="e">
        <f t="shared" si="45"/>
        <v>#N/A</v>
      </c>
      <c r="AB887" s="39"/>
      <c r="AC887" s="48" t="e">
        <f t="shared" si="47"/>
        <v>#N/A</v>
      </c>
    </row>
    <row r="888" spans="1:29" ht="12.5" x14ac:dyDescent="0.25">
      <c r="A888" s="36"/>
      <c r="B888" s="33"/>
      <c r="C888" s="33"/>
      <c r="D888" s="33"/>
      <c r="E888" s="35"/>
      <c r="F888" s="21"/>
      <c r="G888" s="22" t="e">
        <f>VLOOKUP(E888,'Court List'!$A:$C,2,0)</f>
        <v>#N/A</v>
      </c>
      <c r="H888" s="33"/>
      <c r="I888" s="33"/>
      <c r="J888" s="44" t="e">
        <f t="shared" si="38"/>
        <v>#N/A</v>
      </c>
      <c r="K888" s="36"/>
      <c r="L888" s="18">
        <f>SUM('Shuttle Count - Supreme (Nov 20'!C888:D888)</f>
        <v>0</v>
      </c>
      <c r="M888" s="18" t="e">
        <f>VLOOKUP(K888,'Shuttle Purchase'!A:C,3,0)</f>
        <v>#N/A</v>
      </c>
      <c r="N888" s="44" t="e">
        <f t="shared" si="48"/>
        <v>#N/A</v>
      </c>
      <c r="O888" s="24" t="e">
        <f>VLOOKUP(E888,'Court List'!$A:$C,3,0)</f>
        <v>#N/A</v>
      </c>
      <c r="P888" s="18">
        <f>COUNTIF('Pub List'!$C888:$T888,"&lt;&gt;")</f>
        <v>0</v>
      </c>
      <c r="Q888" s="20" t="e">
        <f t="shared" si="39"/>
        <v>#N/A</v>
      </c>
      <c r="R888" s="36"/>
      <c r="S888" s="18">
        <f>COUNTIF('Member List'!$C888:$J888,"&lt;&gt;")</f>
        <v>0</v>
      </c>
      <c r="T888" s="35"/>
      <c r="U888" s="24">
        <f t="shared" si="40"/>
        <v>0</v>
      </c>
      <c r="V888" s="18" t="e">
        <f t="shared" si="41"/>
        <v>#N/A</v>
      </c>
      <c r="W888" s="45" t="e">
        <f t="shared" si="42"/>
        <v>#N/A</v>
      </c>
      <c r="X888" s="20" t="e">
        <f t="shared" si="43"/>
        <v>#N/A</v>
      </c>
      <c r="Y888" s="46" t="e">
        <f t="shared" si="46"/>
        <v>#N/A</v>
      </c>
      <c r="Z888" s="39" t="e">
        <f t="shared" si="44"/>
        <v>#N/A</v>
      </c>
      <c r="AA888" s="39" t="e">
        <f t="shared" si="45"/>
        <v>#N/A</v>
      </c>
      <c r="AB888" s="39"/>
      <c r="AC888" s="48" t="e">
        <f t="shared" si="47"/>
        <v>#N/A</v>
      </c>
    </row>
    <row r="889" spans="1:29" ht="12.5" x14ac:dyDescent="0.25">
      <c r="A889" s="36"/>
      <c r="B889" s="33"/>
      <c r="C889" s="33"/>
      <c r="D889" s="33"/>
      <c r="E889" s="35"/>
      <c r="F889" s="21"/>
      <c r="G889" s="22" t="e">
        <f>VLOOKUP(E889,'Court List'!$A:$C,2,0)</f>
        <v>#N/A</v>
      </c>
      <c r="H889" s="33"/>
      <c r="I889" s="33"/>
      <c r="J889" s="44" t="e">
        <f t="shared" si="38"/>
        <v>#N/A</v>
      </c>
      <c r="K889" s="36"/>
      <c r="L889" s="18">
        <f>SUM('Shuttle Count - Supreme (Nov 20'!C889:D889)</f>
        <v>0</v>
      </c>
      <c r="M889" s="18" t="e">
        <f>VLOOKUP(K889,'Shuttle Purchase'!A:C,3,0)</f>
        <v>#N/A</v>
      </c>
      <c r="N889" s="44" t="e">
        <f t="shared" si="48"/>
        <v>#N/A</v>
      </c>
      <c r="O889" s="24" t="e">
        <f>VLOOKUP(E889,'Court List'!$A:$C,3,0)</f>
        <v>#N/A</v>
      </c>
      <c r="P889" s="18">
        <f>COUNTIF('Pub List'!$C889:$T889,"&lt;&gt;")</f>
        <v>0</v>
      </c>
      <c r="Q889" s="20" t="e">
        <f t="shared" si="39"/>
        <v>#N/A</v>
      </c>
      <c r="R889" s="36"/>
      <c r="S889" s="18">
        <f>COUNTIF('Member List'!$C889:$J889,"&lt;&gt;")</f>
        <v>0</v>
      </c>
      <c r="T889" s="35"/>
      <c r="U889" s="24">
        <f t="shared" si="40"/>
        <v>0</v>
      </c>
      <c r="V889" s="18" t="e">
        <f t="shared" si="41"/>
        <v>#N/A</v>
      </c>
      <c r="W889" s="45" t="e">
        <f t="shared" si="42"/>
        <v>#N/A</v>
      </c>
      <c r="X889" s="20" t="e">
        <f t="shared" si="43"/>
        <v>#N/A</v>
      </c>
      <c r="Y889" s="46" t="e">
        <f t="shared" si="46"/>
        <v>#N/A</v>
      </c>
      <c r="Z889" s="39" t="e">
        <f t="shared" si="44"/>
        <v>#N/A</v>
      </c>
      <c r="AA889" s="39" t="e">
        <f t="shared" si="45"/>
        <v>#N/A</v>
      </c>
      <c r="AB889" s="39"/>
      <c r="AC889" s="48" t="e">
        <f t="shared" si="47"/>
        <v>#N/A</v>
      </c>
    </row>
    <row r="890" spans="1:29" ht="12.5" x14ac:dyDescent="0.25">
      <c r="A890" s="36"/>
      <c r="B890" s="33"/>
      <c r="C890" s="33"/>
      <c r="D890" s="33"/>
      <c r="E890" s="35"/>
      <c r="F890" s="21"/>
      <c r="G890" s="22" t="e">
        <f>VLOOKUP(E890,'Court List'!$A:$C,2,0)</f>
        <v>#N/A</v>
      </c>
      <c r="H890" s="33"/>
      <c r="I890" s="33"/>
      <c r="J890" s="44" t="e">
        <f t="shared" si="38"/>
        <v>#N/A</v>
      </c>
      <c r="K890" s="36"/>
      <c r="L890" s="18">
        <f>SUM('Shuttle Count - Supreme (Nov 20'!C890:D890)</f>
        <v>0</v>
      </c>
      <c r="M890" s="18" t="e">
        <f>VLOOKUP(K890,'Shuttle Purchase'!A:C,3,0)</f>
        <v>#N/A</v>
      </c>
      <c r="N890" s="44" t="e">
        <f t="shared" si="48"/>
        <v>#N/A</v>
      </c>
      <c r="O890" s="24" t="e">
        <f>VLOOKUP(E890,'Court List'!$A:$C,3,0)</f>
        <v>#N/A</v>
      </c>
      <c r="P890" s="18">
        <f>COUNTIF('Pub List'!$C890:$T890,"&lt;&gt;")</f>
        <v>0</v>
      </c>
      <c r="Q890" s="20" t="e">
        <f t="shared" si="39"/>
        <v>#N/A</v>
      </c>
      <c r="R890" s="36"/>
      <c r="S890" s="18">
        <f>COUNTIF('Member List'!$C890:$J890,"&lt;&gt;")</f>
        <v>0</v>
      </c>
      <c r="T890" s="35"/>
      <c r="U890" s="24">
        <f t="shared" si="40"/>
        <v>0</v>
      </c>
      <c r="V890" s="18" t="e">
        <f t="shared" si="41"/>
        <v>#N/A</v>
      </c>
      <c r="W890" s="45" t="e">
        <f t="shared" si="42"/>
        <v>#N/A</v>
      </c>
      <c r="X890" s="20" t="e">
        <f t="shared" si="43"/>
        <v>#N/A</v>
      </c>
      <c r="Y890" s="46" t="e">
        <f t="shared" si="46"/>
        <v>#N/A</v>
      </c>
      <c r="Z890" s="39" t="e">
        <f t="shared" si="44"/>
        <v>#N/A</v>
      </c>
      <c r="AA890" s="39" t="e">
        <f t="shared" si="45"/>
        <v>#N/A</v>
      </c>
      <c r="AB890" s="39"/>
      <c r="AC890" s="48" t="e">
        <f t="shared" si="47"/>
        <v>#N/A</v>
      </c>
    </row>
    <row r="891" spans="1:29" ht="12.5" x14ac:dyDescent="0.25">
      <c r="A891" s="36"/>
      <c r="B891" s="33"/>
      <c r="C891" s="33"/>
      <c r="D891" s="33"/>
      <c r="E891" s="35"/>
      <c r="F891" s="21"/>
      <c r="G891" s="22" t="e">
        <f>VLOOKUP(E891,'Court List'!$A:$C,2,0)</f>
        <v>#N/A</v>
      </c>
      <c r="H891" s="33"/>
      <c r="I891" s="33"/>
      <c r="J891" s="44" t="e">
        <f t="shared" si="38"/>
        <v>#N/A</v>
      </c>
      <c r="K891" s="36"/>
      <c r="L891" s="18">
        <f>SUM('Shuttle Count - Supreme (Nov 20'!C891:D891)</f>
        <v>0</v>
      </c>
      <c r="M891" s="18" t="e">
        <f>VLOOKUP(K891,'Shuttle Purchase'!A:C,3,0)</f>
        <v>#N/A</v>
      </c>
      <c r="N891" s="44" t="e">
        <f t="shared" si="48"/>
        <v>#N/A</v>
      </c>
      <c r="O891" s="24" t="e">
        <f>VLOOKUP(E891,'Court List'!$A:$C,3,0)</f>
        <v>#N/A</v>
      </c>
      <c r="P891" s="18">
        <f>COUNTIF('Pub List'!$C891:$T891,"&lt;&gt;")</f>
        <v>0</v>
      </c>
      <c r="Q891" s="20" t="e">
        <f t="shared" si="39"/>
        <v>#N/A</v>
      </c>
      <c r="R891" s="36"/>
      <c r="S891" s="18">
        <f>COUNTIF('Member List'!$C891:$J891,"&lt;&gt;")</f>
        <v>0</v>
      </c>
      <c r="T891" s="35"/>
      <c r="U891" s="24">
        <f t="shared" si="40"/>
        <v>0</v>
      </c>
      <c r="V891" s="18" t="e">
        <f t="shared" si="41"/>
        <v>#N/A</v>
      </c>
      <c r="W891" s="45" t="e">
        <f t="shared" si="42"/>
        <v>#N/A</v>
      </c>
      <c r="X891" s="20" t="e">
        <f t="shared" si="43"/>
        <v>#N/A</v>
      </c>
      <c r="Y891" s="46" t="e">
        <f t="shared" si="46"/>
        <v>#N/A</v>
      </c>
      <c r="Z891" s="39" t="e">
        <f t="shared" si="44"/>
        <v>#N/A</v>
      </c>
      <c r="AA891" s="39" t="e">
        <f t="shared" si="45"/>
        <v>#N/A</v>
      </c>
      <c r="AB891" s="39"/>
      <c r="AC891" s="48" t="e">
        <f t="shared" si="47"/>
        <v>#N/A</v>
      </c>
    </row>
    <row r="892" spans="1:29" ht="12.5" x14ac:dyDescent="0.25">
      <c r="A892" s="36"/>
      <c r="B892" s="33"/>
      <c r="C892" s="33"/>
      <c r="D892" s="33"/>
      <c r="E892" s="35"/>
      <c r="F892" s="21"/>
      <c r="G892" s="22" t="e">
        <f>VLOOKUP(E892,'Court List'!$A:$C,2,0)</f>
        <v>#N/A</v>
      </c>
      <c r="H892" s="33"/>
      <c r="I892" s="33"/>
      <c r="J892" s="44" t="e">
        <f t="shared" si="38"/>
        <v>#N/A</v>
      </c>
      <c r="K892" s="36"/>
      <c r="L892" s="18">
        <f>SUM('Shuttle Count - Supreme (Nov 20'!C892:D892)</f>
        <v>0</v>
      </c>
      <c r="M892" s="18" t="e">
        <f>VLOOKUP(K892,'Shuttle Purchase'!A:C,3,0)</f>
        <v>#N/A</v>
      </c>
      <c r="N892" s="44" t="e">
        <f t="shared" si="48"/>
        <v>#N/A</v>
      </c>
      <c r="O892" s="24" t="e">
        <f>VLOOKUP(E892,'Court List'!$A:$C,3,0)</f>
        <v>#N/A</v>
      </c>
      <c r="P892" s="18">
        <f>COUNTIF('Pub List'!$C892:$T892,"&lt;&gt;")</f>
        <v>0</v>
      </c>
      <c r="Q892" s="20" t="e">
        <f t="shared" si="39"/>
        <v>#N/A</v>
      </c>
      <c r="R892" s="36"/>
      <c r="S892" s="18">
        <f>COUNTIF('Member List'!$C892:$J892,"&lt;&gt;")</f>
        <v>0</v>
      </c>
      <c r="T892" s="35"/>
      <c r="U892" s="24">
        <f t="shared" si="40"/>
        <v>0</v>
      </c>
      <c r="V892" s="18" t="e">
        <f t="shared" si="41"/>
        <v>#N/A</v>
      </c>
      <c r="W892" s="45" t="e">
        <f t="shared" si="42"/>
        <v>#N/A</v>
      </c>
      <c r="X892" s="20" t="e">
        <f t="shared" si="43"/>
        <v>#N/A</v>
      </c>
      <c r="Y892" s="46" t="e">
        <f t="shared" si="46"/>
        <v>#N/A</v>
      </c>
      <c r="Z892" s="39" t="e">
        <f t="shared" si="44"/>
        <v>#N/A</v>
      </c>
      <c r="AA892" s="39" t="e">
        <f t="shared" si="45"/>
        <v>#N/A</v>
      </c>
      <c r="AB892" s="39"/>
      <c r="AC892" s="48" t="e">
        <f t="shared" si="47"/>
        <v>#N/A</v>
      </c>
    </row>
    <row r="893" spans="1:29" ht="12.5" x14ac:dyDescent="0.25">
      <c r="A893" s="36"/>
      <c r="B893" s="33"/>
      <c r="C893" s="33"/>
      <c r="D893" s="33"/>
      <c r="E893" s="35"/>
      <c r="F893" s="21"/>
      <c r="G893" s="22" t="e">
        <f>VLOOKUP(E893,'Court List'!$A:$C,2,0)</f>
        <v>#N/A</v>
      </c>
      <c r="H893" s="33"/>
      <c r="I893" s="33"/>
      <c r="J893" s="44" t="e">
        <f t="shared" si="38"/>
        <v>#N/A</v>
      </c>
      <c r="K893" s="36"/>
      <c r="L893" s="18">
        <f>SUM('Shuttle Count - Supreme (Nov 20'!C893:D893)</f>
        <v>0</v>
      </c>
      <c r="M893" s="18" t="e">
        <f>VLOOKUP(K893,'Shuttle Purchase'!A:C,3,0)</f>
        <v>#N/A</v>
      </c>
      <c r="N893" s="44" t="e">
        <f t="shared" si="48"/>
        <v>#N/A</v>
      </c>
      <c r="O893" s="24" t="e">
        <f>VLOOKUP(E893,'Court List'!$A:$C,3,0)</f>
        <v>#N/A</v>
      </c>
      <c r="P893" s="18">
        <f>COUNTIF('Pub List'!$C893:$T893,"&lt;&gt;")</f>
        <v>0</v>
      </c>
      <c r="Q893" s="20" t="e">
        <f t="shared" si="39"/>
        <v>#N/A</v>
      </c>
      <c r="R893" s="36"/>
      <c r="S893" s="18">
        <f>COUNTIF('Member List'!$C893:$J893,"&lt;&gt;")</f>
        <v>0</v>
      </c>
      <c r="T893" s="35"/>
      <c r="U893" s="24">
        <f t="shared" si="40"/>
        <v>0</v>
      </c>
      <c r="V893" s="18" t="e">
        <f t="shared" si="41"/>
        <v>#N/A</v>
      </c>
      <c r="W893" s="45" t="e">
        <f t="shared" si="42"/>
        <v>#N/A</v>
      </c>
      <c r="X893" s="20" t="e">
        <f t="shared" si="43"/>
        <v>#N/A</v>
      </c>
      <c r="Y893" s="46" t="e">
        <f t="shared" si="46"/>
        <v>#N/A</v>
      </c>
      <c r="Z893" s="39" t="e">
        <f t="shared" si="44"/>
        <v>#N/A</v>
      </c>
      <c r="AA893" s="39" t="e">
        <f t="shared" si="45"/>
        <v>#N/A</v>
      </c>
      <c r="AB893" s="39"/>
      <c r="AC893" s="48" t="e">
        <f t="shared" si="47"/>
        <v>#N/A</v>
      </c>
    </row>
    <row r="894" spans="1:29" ht="12.5" x14ac:dyDescent="0.25">
      <c r="A894" s="36"/>
      <c r="B894" s="33"/>
      <c r="C894" s="33"/>
      <c r="D894" s="33"/>
      <c r="E894" s="35"/>
      <c r="F894" s="21"/>
      <c r="G894" s="22" t="e">
        <f>VLOOKUP(E894,'Court List'!$A:$C,2,0)</f>
        <v>#N/A</v>
      </c>
      <c r="H894" s="33"/>
      <c r="I894" s="33"/>
      <c r="J894" s="44" t="e">
        <f t="shared" si="38"/>
        <v>#N/A</v>
      </c>
      <c r="K894" s="36"/>
      <c r="L894" s="18">
        <f>SUM('Shuttle Count - Supreme (Nov 20'!C894:D894)</f>
        <v>0</v>
      </c>
      <c r="M894" s="18" t="e">
        <f>VLOOKUP(K894,'Shuttle Purchase'!A:C,3,0)</f>
        <v>#N/A</v>
      </c>
      <c r="N894" s="44" t="e">
        <f t="shared" si="48"/>
        <v>#N/A</v>
      </c>
      <c r="O894" s="24" t="e">
        <f>VLOOKUP(E894,'Court List'!$A:$C,3,0)</f>
        <v>#N/A</v>
      </c>
      <c r="P894" s="18">
        <f>COUNTIF('Pub List'!$C894:$T894,"&lt;&gt;")</f>
        <v>0</v>
      </c>
      <c r="Q894" s="20" t="e">
        <f t="shared" si="39"/>
        <v>#N/A</v>
      </c>
      <c r="R894" s="36"/>
      <c r="S894" s="18">
        <f>COUNTIF('Member List'!$C894:$J894,"&lt;&gt;")</f>
        <v>0</v>
      </c>
      <c r="T894" s="35"/>
      <c r="U894" s="24">
        <f t="shared" si="40"/>
        <v>0</v>
      </c>
      <c r="V894" s="18" t="e">
        <f t="shared" si="41"/>
        <v>#N/A</v>
      </c>
      <c r="W894" s="45" t="e">
        <f t="shared" si="42"/>
        <v>#N/A</v>
      </c>
      <c r="X894" s="20" t="e">
        <f t="shared" si="43"/>
        <v>#N/A</v>
      </c>
      <c r="Y894" s="46" t="e">
        <f t="shared" si="46"/>
        <v>#N/A</v>
      </c>
      <c r="Z894" s="39" t="e">
        <f t="shared" si="44"/>
        <v>#N/A</v>
      </c>
      <c r="AA894" s="39" t="e">
        <f t="shared" si="45"/>
        <v>#N/A</v>
      </c>
      <c r="AB894" s="39"/>
      <c r="AC894" s="48" t="e">
        <f t="shared" si="47"/>
        <v>#N/A</v>
      </c>
    </row>
    <row r="895" spans="1:29" ht="12.5" x14ac:dyDescent="0.25">
      <c r="A895" s="36"/>
      <c r="B895" s="33"/>
      <c r="C895" s="33"/>
      <c r="D895" s="33"/>
      <c r="E895" s="35"/>
      <c r="F895" s="21"/>
      <c r="G895" s="22" t="e">
        <f>VLOOKUP(E895,'Court List'!$A:$C,2,0)</f>
        <v>#N/A</v>
      </c>
      <c r="H895" s="33"/>
      <c r="I895" s="33"/>
      <c r="J895" s="44" t="e">
        <f t="shared" si="38"/>
        <v>#N/A</v>
      </c>
      <c r="K895" s="36"/>
      <c r="L895" s="18">
        <f>SUM('Shuttle Count - Supreme (Nov 20'!C895:D895)</f>
        <v>0</v>
      </c>
      <c r="M895" s="18" t="e">
        <f>VLOOKUP(K895,'Shuttle Purchase'!A:C,3,0)</f>
        <v>#N/A</v>
      </c>
      <c r="N895" s="44" t="e">
        <f t="shared" si="48"/>
        <v>#N/A</v>
      </c>
      <c r="O895" s="24" t="e">
        <f>VLOOKUP(E895,'Court List'!$A:$C,3,0)</f>
        <v>#N/A</v>
      </c>
      <c r="P895" s="18">
        <f>COUNTIF('Pub List'!$C895:$T895,"&lt;&gt;")</f>
        <v>0</v>
      </c>
      <c r="Q895" s="20" t="e">
        <f t="shared" si="39"/>
        <v>#N/A</v>
      </c>
      <c r="R895" s="36"/>
      <c r="S895" s="18">
        <f>COUNTIF('Member List'!$C895:$J895,"&lt;&gt;")</f>
        <v>0</v>
      </c>
      <c r="T895" s="35"/>
      <c r="U895" s="24">
        <f t="shared" si="40"/>
        <v>0</v>
      </c>
      <c r="V895" s="18" t="e">
        <f t="shared" si="41"/>
        <v>#N/A</v>
      </c>
      <c r="W895" s="45" t="e">
        <f t="shared" si="42"/>
        <v>#N/A</v>
      </c>
      <c r="X895" s="20" t="e">
        <f t="shared" si="43"/>
        <v>#N/A</v>
      </c>
      <c r="Y895" s="46" t="e">
        <f t="shared" si="46"/>
        <v>#N/A</v>
      </c>
      <c r="Z895" s="39" t="e">
        <f t="shared" si="44"/>
        <v>#N/A</v>
      </c>
      <c r="AA895" s="39" t="e">
        <f t="shared" si="45"/>
        <v>#N/A</v>
      </c>
      <c r="AB895" s="39"/>
      <c r="AC895" s="48" t="e">
        <f t="shared" si="47"/>
        <v>#N/A</v>
      </c>
    </row>
    <row r="896" spans="1:29" ht="12.5" x14ac:dyDescent="0.25">
      <c r="A896" s="36"/>
      <c r="B896" s="33"/>
      <c r="C896" s="33"/>
      <c r="D896" s="33"/>
      <c r="E896" s="35"/>
      <c r="F896" s="21"/>
      <c r="G896" s="22" t="e">
        <f>VLOOKUP(E896,'Court List'!$A:$C,2,0)</f>
        <v>#N/A</v>
      </c>
      <c r="H896" s="33"/>
      <c r="I896" s="33"/>
      <c r="J896" s="44" t="e">
        <f t="shared" si="38"/>
        <v>#N/A</v>
      </c>
      <c r="K896" s="36"/>
      <c r="L896" s="18">
        <f>SUM('Shuttle Count - Supreme (Nov 20'!C896:D896)</f>
        <v>0</v>
      </c>
      <c r="M896" s="18" t="e">
        <f>VLOOKUP(K896,'Shuttle Purchase'!A:C,3,0)</f>
        <v>#N/A</v>
      </c>
      <c r="N896" s="44" t="e">
        <f t="shared" si="48"/>
        <v>#N/A</v>
      </c>
      <c r="O896" s="24" t="e">
        <f>VLOOKUP(E896,'Court List'!$A:$C,3,0)</f>
        <v>#N/A</v>
      </c>
      <c r="P896" s="18">
        <f>COUNTIF('Pub List'!$C896:$T896,"&lt;&gt;")</f>
        <v>0</v>
      </c>
      <c r="Q896" s="20" t="e">
        <f t="shared" si="39"/>
        <v>#N/A</v>
      </c>
      <c r="R896" s="36"/>
      <c r="S896" s="18">
        <f>COUNTIF('Member List'!$C896:$J896,"&lt;&gt;")</f>
        <v>0</v>
      </c>
      <c r="T896" s="35"/>
      <c r="U896" s="24">
        <f t="shared" si="40"/>
        <v>0</v>
      </c>
      <c r="V896" s="18" t="e">
        <f t="shared" si="41"/>
        <v>#N/A</v>
      </c>
      <c r="W896" s="45" t="e">
        <f t="shared" si="42"/>
        <v>#N/A</v>
      </c>
      <c r="X896" s="20" t="e">
        <f t="shared" si="43"/>
        <v>#N/A</v>
      </c>
      <c r="Y896" s="46" t="e">
        <f t="shared" si="46"/>
        <v>#N/A</v>
      </c>
      <c r="Z896" s="39" t="e">
        <f t="shared" si="44"/>
        <v>#N/A</v>
      </c>
      <c r="AA896" s="39" t="e">
        <f t="shared" si="45"/>
        <v>#N/A</v>
      </c>
      <c r="AB896" s="39"/>
      <c r="AC896" s="48" t="e">
        <f t="shared" si="47"/>
        <v>#N/A</v>
      </c>
    </row>
    <row r="897" spans="1:29" ht="12.5" x14ac:dyDescent="0.25">
      <c r="A897" s="36"/>
      <c r="B897" s="33"/>
      <c r="C897" s="33"/>
      <c r="D897" s="33"/>
      <c r="E897" s="35"/>
      <c r="F897" s="21"/>
      <c r="G897" s="22" t="e">
        <f>VLOOKUP(E897,'Court List'!$A:$C,2,0)</f>
        <v>#N/A</v>
      </c>
      <c r="H897" s="33"/>
      <c r="I897" s="33"/>
      <c r="J897" s="44" t="e">
        <f t="shared" si="38"/>
        <v>#N/A</v>
      </c>
      <c r="K897" s="36"/>
      <c r="L897" s="18">
        <f>SUM('Shuttle Count - Supreme (Nov 20'!C897:D897)</f>
        <v>0</v>
      </c>
      <c r="M897" s="18" t="e">
        <f>VLOOKUP(K897,'Shuttle Purchase'!A:C,3,0)</f>
        <v>#N/A</v>
      </c>
      <c r="N897" s="44" t="e">
        <f t="shared" si="48"/>
        <v>#N/A</v>
      </c>
      <c r="O897" s="24" t="e">
        <f>VLOOKUP(E897,'Court List'!$A:$C,3,0)</f>
        <v>#N/A</v>
      </c>
      <c r="P897" s="18">
        <f>COUNTIF('Pub List'!$C897:$T897,"&lt;&gt;")</f>
        <v>0</v>
      </c>
      <c r="Q897" s="20" t="e">
        <f t="shared" si="39"/>
        <v>#N/A</v>
      </c>
      <c r="R897" s="36"/>
      <c r="S897" s="18">
        <f>COUNTIF('Member List'!$C897:$J897,"&lt;&gt;")</f>
        <v>0</v>
      </c>
      <c r="T897" s="35"/>
      <c r="U897" s="24">
        <f t="shared" si="40"/>
        <v>0</v>
      </c>
      <c r="V897" s="18" t="e">
        <f t="shared" si="41"/>
        <v>#N/A</v>
      </c>
      <c r="W897" s="45" t="e">
        <f t="shared" si="42"/>
        <v>#N/A</v>
      </c>
      <c r="X897" s="20" t="e">
        <f t="shared" si="43"/>
        <v>#N/A</v>
      </c>
      <c r="Y897" s="46" t="e">
        <f t="shared" si="46"/>
        <v>#N/A</v>
      </c>
      <c r="Z897" s="39" t="e">
        <f t="shared" si="44"/>
        <v>#N/A</v>
      </c>
      <c r="AA897" s="39" t="e">
        <f t="shared" si="45"/>
        <v>#N/A</v>
      </c>
      <c r="AB897" s="39"/>
      <c r="AC897" s="48" t="e">
        <f t="shared" si="47"/>
        <v>#N/A</v>
      </c>
    </row>
    <row r="898" spans="1:29" ht="12.5" x14ac:dyDescent="0.25">
      <c r="A898" s="36"/>
      <c r="B898" s="33"/>
      <c r="C898" s="33"/>
      <c r="D898" s="33"/>
      <c r="E898" s="35"/>
      <c r="F898" s="21"/>
      <c r="G898" s="22" t="e">
        <f>VLOOKUP(E898,'Court List'!$A:$C,2,0)</f>
        <v>#N/A</v>
      </c>
      <c r="H898" s="33"/>
      <c r="I898" s="33"/>
      <c r="J898" s="44" t="e">
        <f t="shared" si="38"/>
        <v>#N/A</v>
      </c>
      <c r="K898" s="36"/>
      <c r="L898" s="18">
        <f>SUM('Shuttle Count - Supreme (Nov 20'!C898:D898)</f>
        <v>0</v>
      </c>
      <c r="M898" s="18" t="e">
        <f>VLOOKUP(K898,'Shuttle Purchase'!A:C,3,0)</f>
        <v>#N/A</v>
      </c>
      <c r="N898" s="44" t="e">
        <f t="shared" si="48"/>
        <v>#N/A</v>
      </c>
      <c r="O898" s="24" t="e">
        <f>VLOOKUP(E898,'Court List'!$A:$C,3,0)</f>
        <v>#N/A</v>
      </c>
      <c r="P898" s="18">
        <f>COUNTIF('Pub List'!$C898:$T898,"&lt;&gt;")</f>
        <v>0</v>
      </c>
      <c r="Q898" s="20" t="e">
        <f t="shared" si="39"/>
        <v>#N/A</v>
      </c>
      <c r="R898" s="36"/>
      <c r="S898" s="18">
        <f>COUNTIF('Member List'!$C898:$J898,"&lt;&gt;")</f>
        <v>0</v>
      </c>
      <c r="T898" s="35"/>
      <c r="U898" s="24">
        <f t="shared" si="40"/>
        <v>0</v>
      </c>
      <c r="V898" s="18" t="e">
        <f t="shared" si="41"/>
        <v>#N/A</v>
      </c>
      <c r="W898" s="45" t="e">
        <f t="shared" si="42"/>
        <v>#N/A</v>
      </c>
      <c r="X898" s="20" t="e">
        <f t="shared" si="43"/>
        <v>#N/A</v>
      </c>
      <c r="Y898" s="46" t="e">
        <f t="shared" si="46"/>
        <v>#N/A</v>
      </c>
      <c r="Z898" s="39" t="e">
        <f t="shared" si="44"/>
        <v>#N/A</v>
      </c>
      <c r="AA898" s="39" t="e">
        <f t="shared" si="45"/>
        <v>#N/A</v>
      </c>
      <c r="AB898" s="39"/>
      <c r="AC898" s="48" t="e">
        <f t="shared" si="47"/>
        <v>#N/A</v>
      </c>
    </row>
    <row r="899" spans="1:29" ht="12.5" x14ac:dyDescent="0.25">
      <c r="A899" s="36"/>
      <c r="B899" s="33"/>
      <c r="C899" s="33"/>
      <c r="D899" s="33"/>
      <c r="E899" s="35"/>
      <c r="F899" s="21"/>
      <c r="G899" s="22" t="e">
        <f>VLOOKUP(E899,'Court List'!$A:$C,2,0)</f>
        <v>#N/A</v>
      </c>
      <c r="H899" s="33"/>
      <c r="I899" s="33"/>
      <c r="J899" s="44" t="e">
        <f t="shared" si="38"/>
        <v>#N/A</v>
      </c>
      <c r="K899" s="36"/>
      <c r="L899" s="18">
        <f>SUM('Shuttle Count - Supreme (Nov 20'!C899:D899)</f>
        <v>0</v>
      </c>
      <c r="M899" s="18" t="e">
        <f>VLOOKUP(K899,'Shuttle Purchase'!A:C,3,0)</f>
        <v>#N/A</v>
      </c>
      <c r="N899" s="44" t="e">
        <f t="shared" si="48"/>
        <v>#N/A</v>
      </c>
      <c r="O899" s="24" t="e">
        <f>VLOOKUP(E899,'Court List'!$A:$C,3,0)</f>
        <v>#N/A</v>
      </c>
      <c r="P899" s="18">
        <f>COUNTIF('Pub List'!$C899:$T899,"&lt;&gt;")</f>
        <v>0</v>
      </c>
      <c r="Q899" s="20" t="e">
        <f t="shared" si="39"/>
        <v>#N/A</v>
      </c>
      <c r="R899" s="36"/>
      <c r="S899" s="18">
        <f>COUNTIF('Member List'!$C899:$J899,"&lt;&gt;")</f>
        <v>0</v>
      </c>
      <c r="T899" s="35"/>
      <c r="U899" s="24">
        <f t="shared" si="40"/>
        <v>0</v>
      </c>
      <c r="V899" s="18" t="e">
        <f t="shared" si="41"/>
        <v>#N/A</v>
      </c>
      <c r="W899" s="45" t="e">
        <f t="shared" si="42"/>
        <v>#N/A</v>
      </c>
      <c r="X899" s="20" t="e">
        <f t="shared" si="43"/>
        <v>#N/A</v>
      </c>
      <c r="Y899" s="46" t="e">
        <f t="shared" si="46"/>
        <v>#N/A</v>
      </c>
      <c r="Z899" s="39" t="e">
        <f t="shared" si="44"/>
        <v>#N/A</v>
      </c>
      <c r="AA899" s="39" t="e">
        <f t="shared" si="45"/>
        <v>#N/A</v>
      </c>
      <c r="AB899" s="39"/>
      <c r="AC899" s="48" t="e">
        <f t="shared" si="47"/>
        <v>#N/A</v>
      </c>
    </row>
    <row r="900" spans="1:29" ht="12.5" x14ac:dyDescent="0.25">
      <c r="A900" s="36"/>
      <c r="B900" s="33"/>
      <c r="C900" s="33"/>
      <c r="D900" s="33"/>
      <c r="E900" s="35"/>
      <c r="F900" s="21"/>
      <c r="G900" s="22" t="e">
        <f>VLOOKUP(E900,'Court List'!$A:$C,2,0)</f>
        <v>#N/A</v>
      </c>
      <c r="H900" s="33"/>
      <c r="I900" s="33"/>
      <c r="J900" s="44" t="e">
        <f t="shared" si="38"/>
        <v>#N/A</v>
      </c>
      <c r="K900" s="36"/>
      <c r="L900" s="18">
        <f>SUM('Shuttle Count - Supreme (Nov 20'!C900:D900)</f>
        <v>0</v>
      </c>
      <c r="M900" s="18" t="e">
        <f>VLOOKUP(K900,'Shuttle Purchase'!A:C,3,0)</f>
        <v>#N/A</v>
      </c>
      <c r="N900" s="44" t="e">
        <f t="shared" si="48"/>
        <v>#N/A</v>
      </c>
      <c r="O900" s="24" t="e">
        <f>VLOOKUP(E900,'Court List'!$A:$C,3,0)</f>
        <v>#N/A</v>
      </c>
      <c r="P900" s="18">
        <f>COUNTIF('Pub List'!$C900:$T900,"&lt;&gt;")</f>
        <v>0</v>
      </c>
      <c r="Q900" s="20" t="e">
        <f t="shared" si="39"/>
        <v>#N/A</v>
      </c>
      <c r="R900" s="36"/>
      <c r="S900" s="18">
        <f>COUNTIF('Member List'!$C900:$J900,"&lt;&gt;")</f>
        <v>0</v>
      </c>
      <c r="T900" s="35"/>
      <c r="U900" s="24">
        <f t="shared" si="40"/>
        <v>0</v>
      </c>
      <c r="V900" s="18" t="e">
        <f t="shared" si="41"/>
        <v>#N/A</v>
      </c>
      <c r="W900" s="45" t="e">
        <f t="shared" si="42"/>
        <v>#N/A</v>
      </c>
      <c r="X900" s="20" t="e">
        <f t="shared" si="43"/>
        <v>#N/A</v>
      </c>
      <c r="Y900" s="46" t="e">
        <f t="shared" si="46"/>
        <v>#N/A</v>
      </c>
      <c r="Z900" s="39" t="e">
        <f t="shared" si="44"/>
        <v>#N/A</v>
      </c>
      <c r="AA900" s="39" t="e">
        <f t="shared" si="45"/>
        <v>#N/A</v>
      </c>
      <c r="AB900" s="39"/>
      <c r="AC900" s="48" t="e">
        <f t="shared" si="47"/>
        <v>#N/A</v>
      </c>
    </row>
    <row r="901" spans="1:29" ht="12.5" x14ac:dyDescent="0.25">
      <c r="A901" s="36"/>
      <c r="B901" s="33"/>
      <c r="C901" s="33"/>
      <c r="D901" s="33"/>
      <c r="E901" s="35"/>
      <c r="F901" s="21"/>
      <c r="G901" s="22" t="e">
        <f>VLOOKUP(E901,'Court List'!$A:$C,2,0)</f>
        <v>#N/A</v>
      </c>
      <c r="H901" s="33"/>
      <c r="I901" s="33"/>
      <c r="J901" s="44" t="e">
        <f t="shared" si="38"/>
        <v>#N/A</v>
      </c>
      <c r="K901" s="36"/>
      <c r="L901" s="18">
        <f>SUM('Shuttle Count - Supreme (Nov 20'!C901:D901)</f>
        <v>0</v>
      </c>
      <c r="M901" s="18" t="e">
        <f>VLOOKUP(K901,'Shuttle Purchase'!A:C,3,0)</f>
        <v>#N/A</v>
      </c>
      <c r="N901" s="44" t="e">
        <f t="shared" si="48"/>
        <v>#N/A</v>
      </c>
      <c r="O901" s="24" t="e">
        <f>VLOOKUP(E901,'Court List'!$A:$C,3,0)</f>
        <v>#N/A</v>
      </c>
      <c r="P901" s="18">
        <f>COUNTIF('Pub List'!$C901:$T901,"&lt;&gt;")</f>
        <v>0</v>
      </c>
      <c r="Q901" s="20" t="e">
        <f t="shared" si="39"/>
        <v>#N/A</v>
      </c>
      <c r="R901" s="36"/>
      <c r="S901" s="18">
        <f>COUNTIF('Member List'!$C901:$J901,"&lt;&gt;")</f>
        <v>0</v>
      </c>
      <c r="T901" s="35"/>
      <c r="U901" s="24">
        <f t="shared" si="40"/>
        <v>0</v>
      </c>
      <c r="V901" s="18" t="e">
        <f t="shared" si="41"/>
        <v>#N/A</v>
      </c>
      <c r="W901" s="45" t="e">
        <f t="shared" si="42"/>
        <v>#N/A</v>
      </c>
      <c r="X901" s="20" t="e">
        <f t="shared" si="43"/>
        <v>#N/A</v>
      </c>
      <c r="Y901" s="46" t="e">
        <f t="shared" si="46"/>
        <v>#N/A</v>
      </c>
      <c r="Z901" s="39" t="e">
        <f t="shared" si="44"/>
        <v>#N/A</v>
      </c>
      <c r="AA901" s="39" t="e">
        <f t="shared" si="45"/>
        <v>#N/A</v>
      </c>
      <c r="AB901" s="39"/>
      <c r="AC901" s="48" t="e">
        <f t="shared" si="47"/>
        <v>#N/A</v>
      </c>
    </row>
    <row r="902" spans="1:29" ht="12.5" x14ac:dyDescent="0.25">
      <c r="A902" s="36"/>
      <c r="B902" s="33"/>
      <c r="C902" s="33"/>
      <c r="D902" s="33"/>
      <c r="E902" s="35"/>
      <c r="F902" s="21"/>
      <c r="G902" s="22" t="e">
        <f>VLOOKUP(E902,'Court List'!$A:$C,2,0)</f>
        <v>#N/A</v>
      </c>
      <c r="H902" s="33"/>
      <c r="I902" s="33"/>
      <c r="J902" s="44" t="e">
        <f t="shared" si="38"/>
        <v>#N/A</v>
      </c>
      <c r="K902" s="36"/>
      <c r="L902" s="18">
        <f>SUM('Shuttle Count - Supreme (Nov 20'!C902:D902)</f>
        <v>0</v>
      </c>
      <c r="M902" s="18" t="e">
        <f>VLOOKUP(K902,'Shuttle Purchase'!A:C,3,0)</f>
        <v>#N/A</v>
      </c>
      <c r="N902" s="44" t="e">
        <f t="shared" si="48"/>
        <v>#N/A</v>
      </c>
      <c r="O902" s="24" t="e">
        <f>VLOOKUP(E902,'Court List'!$A:$C,3,0)</f>
        <v>#N/A</v>
      </c>
      <c r="P902" s="18">
        <f>COUNTIF('Pub List'!$C902:$T902,"&lt;&gt;")</f>
        <v>0</v>
      </c>
      <c r="Q902" s="20" t="e">
        <f t="shared" si="39"/>
        <v>#N/A</v>
      </c>
      <c r="R902" s="36"/>
      <c r="S902" s="18">
        <f>COUNTIF('Member List'!$C902:$J902,"&lt;&gt;")</f>
        <v>0</v>
      </c>
      <c r="T902" s="35"/>
      <c r="U902" s="24">
        <f t="shared" si="40"/>
        <v>0</v>
      </c>
      <c r="V902" s="18" t="e">
        <f t="shared" si="41"/>
        <v>#N/A</v>
      </c>
      <c r="W902" s="45" t="e">
        <f t="shared" si="42"/>
        <v>#N/A</v>
      </c>
      <c r="X902" s="20" t="e">
        <f t="shared" si="43"/>
        <v>#N/A</v>
      </c>
      <c r="Y902" s="46" t="e">
        <f t="shared" si="46"/>
        <v>#N/A</v>
      </c>
      <c r="Z902" s="39" t="e">
        <f t="shared" si="44"/>
        <v>#N/A</v>
      </c>
      <c r="AA902" s="39" t="e">
        <f t="shared" si="45"/>
        <v>#N/A</v>
      </c>
      <c r="AB902" s="39"/>
      <c r="AC902" s="48" t="e">
        <f t="shared" si="47"/>
        <v>#N/A</v>
      </c>
    </row>
    <row r="903" spans="1:29" ht="12.5" x14ac:dyDescent="0.25">
      <c r="A903" s="36"/>
      <c r="B903" s="33"/>
      <c r="C903" s="33"/>
      <c r="D903" s="33"/>
      <c r="E903" s="35"/>
      <c r="F903" s="21"/>
      <c r="G903" s="22" t="e">
        <f>VLOOKUP(E903,'Court List'!$A:$C,2,0)</f>
        <v>#N/A</v>
      </c>
      <c r="H903" s="33"/>
      <c r="I903" s="33"/>
      <c r="J903" s="44" t="e">
        <f t="shared" si="38"/>
        <v>#N/A</v>
      </c>
      <c r="K903" s="36"/>
      <c r="L903" s="18">
        <f>SUM('Shuttle Count - Supreme (Nov 20'!C903:D903)</f>
        <v>0</v>
      </c>
      <c r="M903" s="18" t="e">
        <f>VLOOKUP(K903,'Shuttle Purchase'!A:C,3,0)</f>
        <v>#N/A</v>
      </c>
      <c r="N903" s="44" t="e">
        <f t="shared" si="48"/>
        <v>#N/A</v>
      </c>
      <c r="O903" s="24" t="e">
        <f>VLOOKUP(E903,'Court List'!$A:$C,3,0)</f>
        <v>#N/A</v>
      </c>
      <c r="P903" s="18">
        <f>COUNTIF('Pub List'!$C903:$T903,"&lt;&gt;")</f>
        <v>0</v>
      </c>
      <c r="Q903" s="20" t="e">
        <f t="shared" si="39"/>
        <v>#N/A</v>
      </c>
      <c r="R903" s="36"/>
      <c r="S903" s="18">
        <f>COUNTIF('Member List'!$C903:$J903,"&lt;&gt;")</f>
        <v>0</v>
      </c>
      <c r="T903" s="35"/>
      <c r="U903" s="24">
        <f t="shared" si="40"/>
        <v>0</v>
      </c>
      <c r="V903" s="18" t="e">
        <f t="shared" si="41"/>
        <v>#N/A</v>
      </c>
      <c r="W903" s="45" t="e">
        <f t="shared" si="42"/>
        <v>#N/A</v>
      </c>
      <c r="X903" s="20" t="e">
        <f t="shared" si="43"/>
        <v>#N/A</v>
      </c>
      <c r="Y903" s="46" t="e">
        <f t="shared" si="46"/>
        <v>#N/A</v>
      </c>
      <c r="Z903" s="39" t="e">
        <f t="shared" si="44"/>
        <v>#N/A</v>
      </c>
      <c r="AA903" s="39" t="e">
        <f t="shared" si="45"/>
        <v>#N/A</v>
      </c>
      <c r="AB903" s="39"/>
      <c r="AC903" s="48" t="e">
        <f t="shared" si="47"/>
        <v>#N/A</v>
      </c>
    </row>
    <row r="904" spans="1:29" ht="12.5" x14ac:dyDescent="0.25">
      <c r="A904" s="36"/>
      <c r="B904" s="33"/>
      <c r="C904" s="33"/>
      <c r="D904" s="33"/>
      <c r="E904" s="35"/>
      <c r="F904" s="21"/>
      <c r="G904" s="22" t="e">
        <f>VLOOKUP(E904,'Court List'!$A:$C,2,0)</f>
        <v>#N/A</v>
      </c>
      <c r="H904" s="33"/>
      <c r="I904" s="33"/>
      <c r="J904" s="44" t="e">
        <f t="shared" si="38"/>
        <v>#N/A</v>
      </c>
      <c r="K904" s="36"/>
      <c r="L904" s="18">
        <f>SUM('Shuttle Count - Supreme (Nov 20'!C904:D904)</f>
        <v>0</v>
      </c>
      <c r="M904" s="18" t="e">
        <f>VLOOKUP(K904,'Shuttle Purchase'!A:C,3,0)</f>
        <v>#N/A</v>
      </c>
      <c r="N904" s="44" t="e">
        <f t="shared" si="48"/>
        <v>#N/A</v>
      </c>
      <c r="O904" s="24" t="e">
        <f>VLOOKUP(E904,'Court List'!$A:$C,3,0)</f>
        <v>#N/A</v>
      </c>
      <c r="P904" s="18">
        <f>COUNTIF('Pub List'!$C904:$T904,"&lt;&gt;")</f>
        <v>0</v>
      </c>
      <c r="Q904" s="20" t="e">
        <f t="shared" si="39"/>
        <v>#N/A</v>
      </c>
      <c r="R904" s="36"/>
      <c r="S904" s="18">
        <f>COUNTIF('Member List'!$C904:$J904,"&lt;&gt;")</f>
        <v>0</v>
      </c>
      <c r="T904" s="35"/>
      <c r="U904" s="24">
        <f t="shared" si="40"/>
        <v>0</v>
      </c>
      <c r="V904" s="18" t="e">
        <f t="shared" si="41"/>
        <v>#N/A</v>
      </c>
      <c r="W904" s="45" t="e">
        <f t="shared" si="42"/>
        <v>#N/A</v>
      </c>
      <c r="X904" s="20" t="e">
        <f t="shared" si="43"/>
        <v>#N/A</v>
      </c>
      <c r="Y904" s="46" t="e">
        <f t="shared" si="46"/>
        <v>#N/A</v>
      </c>
      <c r="Z904" s="39" t="e">
        <f t="shared" si="44"/>
        <v>#N/A</v>
      </c>
      <c r="AA904" s="39" t="e">
        <f t="shared" si="45"/>
        <v>#N/A</v>
      </c>
      <c r="AB904" s="39"/>
      <c r="AC904" s="48" t="e">
        <f t="shared" si="47"/>
        <v>#N/A</v>
      </c>
    </row>
    <row r="905" spans="1:29" ht="12.5" x14ac:dyDescent="0.25">
      <c r="A905" s="36"/>
      <c r="B905" s="33"/>
      <c r="C905" s="33"/>
      <c r="D905" s="33"/>
      <c r="E905" s="35"/>
      <c r="F905" s="21"/>
      <c r="G905" s="22" t="e">
        <f>VLOOKUP(E905,'Court List'!$A:$C,2,0)</f>
        <v>#N/A</v>
      </c>
      <c r="H905" s="33"/>
      <c r="I905" s="33"/>
      <c r="J905" s="44" t="e">
        <f t="shared" si="38"/>
        <v>#N/A</v>
      </c>
      <c r="K905" s="36"/>
      <c r="L905" s="18">
        <f>SUM('Shuttle Count - Supreme (Nov 20'!C905:D905)</f>
        <v>0</v>
      </c>
      <c r="M905" s="18" t="e">
        <f>VLOOKUP(K905,'Shuttle Purchase'!A:C,3,0)</f>
        <v>#N/A</v>
      </c>
      <c r="N905" s="44" t="e">
        <f t="shared" si="48"/>
        <v>#N/A</v>
      </c>
      <c r="O905" s="24" t="e">
        <f>VLOOKUP(E905,'Court List'!$A:$C,3,0)</f>
        <v>#N/A</v>
      </c>
      <c r="P905" s="18">
        <f>COUNTIF('Pub List'!$C905:$T905,"&lt;&gt;")</f>
        <v>0</v>
      </c>
      <c r="Q905" s="20" t="e">
        <f t="shared" si="39"/>
        <v>#N/A</v>
      </c>
      <c r="R905" s="36"/>
      <c r="S905" s="18">
        <f>COUNTIF('Member List'!$C905:$J905,"&lt;&gt;")</f>
        <v>0</v>
      </c>
      <c r="T905" s="35"/>
      <c r="U905" s="24">
        <f t="shared" si="40"/>
        <v>0</v>
      </c>
      <c r="V905" s="18" t="e">
        <f t="shared" si="41"/>
        <v>#N/A</v>
      </c>
      <c r="W905" s="45" t="e">
        <f t="shared" si="42"/>
        <v>#N/A</v>
      </c>
      <c r="X905" s="20" t="e">
        <f t="shared" si="43"/>
        <v>#N/A</v>
      </c>
      <c r="Y905" s="46" t="e">
        <f t="shared" si="46"/>
        <v>#N/A</v>
      </c>
      <c r="Z905" s="39" t="e">
        <f t="shared" si="44"/>
        <v>#N/A</v>
      </c>
      <c r="AA905" s="39" t="e">
        <f t="shared" si="45"/>
        <v>#N/A</v>
      </c>
      <c r="AB905" s="39"/>
      <c r="AC905" s="48" t="e">
        <f t="shared" si="47"/>
        <v>#N/A</v>
      </c>
    </row>
    <row r="906" spans="1:29" ht="12.5" x14ac:dyDescent="0.25">
      <c r="A906" s="36"/>
      <c r="B906" s="33"/>
      <c r="C906" s="33"/>
      <c r="D906" s="33"/>
      <c r="E906" s="35"/>
      <c r="F906" s="21"/>
      <c r="G906" s="22" t="e">
        <f>VLOOKUP(E906,'Court List'!$A:$C,2,0)</f>
        <v>#N/A</v>
      </c>
      <c r="H906" s="33"/>
      <c r="I906" s="33"/>
      <c r="J906" s="44" t="e">
        <f t="shared" si="38"/>
        <v>#N/A</v>
      </c>
      <c r="K906" s="36"/>
      <c r="L906" s="18">
        <f>SUM('Shuttle Count - Supreme (Nov 20'!C906:D906)</f>
        <v>0</v>
      </c>
      <c r="M906" s="18" t="e">
        <f>VLOOKUP(K906,'Shuttle Purchase'!A:C,3,0)</f>
        <v>#N/A</v>
      </c>
      <c r="N906" s="44" t="e">
        <f t="shared" si="48"/>
        <v>#N/A</v>
      </c>
      <c r="O906" s="24" t="e">
        <f>VLOOKUP(E906,'Court List'!$A:$C,3,0)</f>
        <v>#N/A</v>
      </c>
      <c r="P906" s="18">
        <f>COUNTIF('Pub List'!$C906:$T906,"&lt;&gt;")</f>
        <v>0</v>
      </c>
      <c r="Q906" s="20" t="e">
        <f t="shared" si="39"/>
        <v>#N/A</v>
      </c>
      <c r="R906" s="36"/>
      <c r="S906" s="18">
        <f>COUNTIF('Member List'!$C906:$J906,"&lt;&gt;")</f>
        <v>0</v>
      </c>
      <c r="T906" s="35"/>
      <c r="U906" s="24">
        <f t="shared" si="40"/>
        <v>0</v>
      </c>
      <c r="V906" s="18" t="e">
        <f t="shared" si="41"/>
        <v>#N/A</v>
      </c>
      <c r="W906" s="45" t="e">
        <f t="shared" si="42"/>
        <v>#N/A</v>
      </c>
      <c r="X906" s="20" t="e">
        <f t="shared" si="43"/>
        <v>#N/A</v>
      </c>
      <c r="Y906" s="46" t="e">
        <f t="shared" si="46"/>
        <v>#N/A</v>
      </c>
      <c r="Z906" s="39" t="e">
        <f t="shared" si="44"/>
        <v>#N/A</v>
      </c>
      <c r="AA906" s="39" t="e">
        <f t="shared" si="45"/>
        <v>#N/A</v>
      </c>
      <c r="AB906" s="39"/>
      <c r="AC906" s="48" t="e">
        <f t="shared" si="47"/>
        <v>#N/A</v>
      </c>
    </row>
    <row r="907" spans="1:29" ht="12.5" x14ac:dyDescent="0.25">
      <c r="A907" s="36"/>
      <c r="B907" s="33"/>
      <c r="C907" s="33"/>
      <c r="D907" s="33"/>
      <c r="E907" s="35"/>
      <c r="F907" s="21"/>
      <c r="G907" s="22" t="e">
        <f>VLOOKUP(E907,'Court List'!$A:$C,2,0)</f>
        <v>#N/A</v>
      </c>
      <c r="H907" s="33"/>
      <c r="I907" s="33"/>
      <c r="J907" s="44" t="e">
        <f t="shared" si="38"/>
        <v>#N/A</v>
      </c>
      <c r="K907" s="36"/>
      <c r="L907" s="18">
        <f>SUM('Shuttle Count - Supreme (Nov 20'!C907:D907)</f>
        <v>0</v>
      </c>
      <c r="M907" s="18" t="e">
        <f>VLOOKUP(K907,'Shuttle Purchase'!A:C,3,0)</f>
        <v>#N/A</v>
      </c>
      <c r="N907" s="44" t="e">
        <f t="shared" si="48"/>
        <v>#N/A</v>
      </c>
      <c r="O907" s="24" t="e">
        <f>VLOOKUP(E907,'Court List'!$A:$C,3,0)</f>
        <v>#N/A</v>
      </c>
      <c r="P907" s="18">
        <f>COUNTIF('Pub List'!$C907:$T907,"&lt;&gt;")</f>
        <v>0</v>
      </c>
      <c r="Q907" s="20" t="e">
        <f t="shared" si="39"/>
        <v>#N/A</v>
      </c>
      <c r="R907" s="36"/>
      <c r="S907" s="18">
        <f>COUNTIF('Member List'!$C907:$J907,"&lt;&gt;")</f>
        <v>0</v>
      </c>
      <c r="T907" s="35"/>
      <c r="U907" s="24">
        <f t="shared" si="40"/>
        <v>0</v>
      </c>
      <c r="V907" s="18" t="e">
        <f t="shared" si="41"/>
        <v>#N/A</v>
      </c>
      <c r="W907" s="45" t="e">
        <f t="shared" si="42"/>
        <v>#N/A</v>
      </c>
      <c r="X907" s="20" t="e">
        <f t="shared" si="43"/>
        <v>#N/A</v>
      </c>
      <c r="Y907" s="46" t="e">
        <f t="shared" si="46"/>
        <v>#N/A</v>
      </c>
      <c r="Z907" s="39" t="e">
        <f t="shared" si="44"/>
        <v>#N/A</v>
      </c>
      <c r="AA907" s="39" t="e">
        <f t="shared" si="45"/>
        <v>#N/A</v>
      </c>
      <c r="AB907" s="39"/>
      <c r="AC907" s="48" t="e">
        <f t="shared" si="47"/>
        <v>#N/A</v>
      </c>
    </row>
    <row r="908" spans="1:29" ht="12.5" x14ac:dyDescent="0.25">
      <c r="A908" s="36"/>
      <c r="B908" s="33"/>
      <c r="C908" s="33"/>
      <c r="D908" s="33"/>
      <c r="E908" s="35"/>
      <c r="F908" s="21"/>
      <c r="G908" s="22" t="e">
        <f>VLOOKUP(E908,'Court List'!$A:$C,2,0)</f>
        <v>#N/A</v>
      </c>
      <c r="H908" s="33"/>
      <c r="I908" s="33"/>
      <c r="J908" s="44" t="e">
        <f t="shared" si="38"/>
        <v>#N/A</v>
      </c>
      <c r="K908" s="36"/>
      <c r="L908" s="18">
        <f>SUM('Shuttle Count - Supreme (Nov 20'!C908:D908)</f>
        <v>0</v>
      </c>
      <c r="M908" s="18" t="e">
        <f>VLOOKUP(K908,'Shuttle Purchase'!A:C,3,0)</f>
        <v>#N/A</v>
      </c>
      <c r="N908" s="44" t="e">
        <f t="shared" si="48"/>
        <v>#N/A</v>
      </c>
      <c r="O908" s="24" t="e">
        <f>VLOOKUP(E908,'Court List'!$A:$C,3,0)</f>
        <v>#N/A</v>
      </c>
      <c r="P908" s="18">
        <f>COUNTIF('Pub List'!$C908:$T908,"&lt;&gt;")</f>
        <v>0</v>
      </c>
      <c r="Q908" s="20" t="e">
        <f t="shared" si="39"/>
        <v>#N/A</v>
      </c>
      <c r="R908" s="36"/>
      <c r="S908" s="18">
        <f>COUNTIF('Member List'!$C908:$J908,"&lt;&gt;")</f>
        <v>0</v>
      </c>
      <c r="T908" s="35"/>
      <c r="U908" s="24">
        <f t="shared" si="40"/>
        <v>0</v>
      </c>
      <c r="V908" s="18" t="e">
        <f t="shared" si="41"/>
        <v>#N/A</v>
      </c>
      <c r="W908" s="45" t="e">
        <f t="shared" si="42"/>
        <v>#N/A</v>
      </c>
      <c r="X908" s="20" t="e">
        <f t="shared" si="43"/>
        <v>#N/A</v>
      </c>
      <c r="Y908" s="46" t="e">
        <f t="shared" si="46"/>
        <v>#N/A</v>
      </c>
      <c r="Z908" s="39" t="e">
        <f t="shared" si="44"/>
        <v>#N/A</v>
      </c>
      <c r="AA908" s="39" t="e">
        <f t="shared" si="45"/>
        <v>#N/A</v>
      </c>
      <c r="AB908" s="39"/>
      <c r="AC908" s="48" t="e">
        <f t="shared" si="47"/>
        <v>#N/A</v>
      </c>
    </row>
    <row r="909" spans="1:29" ht="12.5" x14ac:dyDescent="0.25">
      <c r="A909" s="36"/>
      <c r="B909" s="33"/>
      <c r="C909" s="33"/>
      <c r="D909" s="33"/>
      <c r="E909" s="35"/>
      <c r="F909" s="21"/>
      <c r="G909" s="22" t="e">
        <f>VLOOKUP(E909,'Court List'!$A:$C,2,0)</f>
        <v>#N/A</v>
      </c>
      <c r="H909" s="33"/>
      <c r="I909" s="33"/>
      <c r="J909" s="44" t="e">
        <f t="shared" si="38"/>
        <v>#N/A</v>
      </c>
      <c r="K909" s="36"/>
      <c r="L909" s="18">
        <f>SUM('Shuttle Count - Supreme (Nov 20'!C909:D909)</f>
        <v>0</v>
      </c>
      <c r="M909" s="18" t="e">
        <f>VLOOKUP(K909,'Shuttle Purchase'!A:C,3,0)</f>
        <v>#N/A</v>
      </c>
      <c r="N909" s="44" t="e">
        <f t="shared" si="48"/>
        <v>#N/A</v>
      </c>
      <c r="O909" s="24" t="e">
        <f>VLOOKUP(E909,'Court List'!$A:$C,3,0)</f>
        <v>#N/A</v>
      </c>
      <c r="P909" s="18">
        <f>COUNTIF('Pub List'!$C909:$T909,"&lt;&gt;")</f>
        <v>0</v>
      </c>
      <c r="Q909" s="20" t="e">
        <f t="shared" si="39"/>
        <v>#N/A</v>
      </c>
      <c r="R909" s="36"/>
      <c r="S909" s="18">
        <f>COUNTIF('Member List'!$C909:$J909,"&lt;&gt;")</f>
        <v>0</v>
      </c>
      <c r="T909" s="35"/>
      <c r="U909" s="24">
        <f t="shared" si="40"/>
        <v>0</v>
      </c>
      <c r="V909" s="18" t="e">
        <f t="shared" si="41"/>
        <v>#N/A</v>
      </c>
      <c r="W909" s="45" t="e">
        <f t="shared" si="42"/>
        <v>#N/A</v>
      </c>
      <c r="X909" s="20" t="e">
        <f t="shared" si="43"/>
        <v>#N/A</v>
      </c>
      <c r="Y909" s="46" t="e">
        <f t="shared" si="46"/>
        <v>#N/A</v>
      </c>
      <c r="Z909" s="39" t="e">
        <f t="shared" si="44"/>
        <v>#N/A</v>
      </c>
      <c r="AA909" s="39" t="e">
        <f t="shared" si="45"/>
        <v>#N/A</v>
      </c>
      <c r="AB909" s="39"/>
      <c r="AC909" s="48" t="e">
        <f t="shared" si="47"/>
        <v>#N/A</v>
      </c>
    </row>
    <row r="910" spans="1:29" ht="12.5" x14ac:dyDescent="0.25">
      <c r="A910" s="36"/>
      <c r="B910" s="33"/>
      <c r="C910" s="33"/>
      <c r="D910" s="33"/>
      <c r="E910" s="35"/>
      <c r="F910" s="21"/>
      <c r="G910" s="22" t="e">
        <f>VLOOKUP(E910,'Court List'!$A:$C,2,0)</f>
        <v>#N/A</v>
      </c>
      <c r="H910" s="33"/>
      <c r="I910" s="33"/>
      <c r="J910" s="44" t="e">
        <f t="shared" si="38"/>
        <v>#N/A</v>
      </c>
      <c r="K910" s="36"/>
      <c r="L910" s="18">
        <f>SUM('Shuttle Count - Supreme (Nov 20'!C910:D910)</f>
        <v>0</v>
      </c>
      <c r="M910" s="18" t="e">
        <f>VLOOKUP(K910,'Shuttle Purchase'!A:C,3,0)</f>
        <v>#N/A</v>
      </c>
      <c r="N910" s="44" t="e">
        <f t="shared" si="48"/>
        <v>#N/A</v>
      </c>
      <c r="O910" s="24" t="e">
        <f>VLOOKUP(E910,'Court List'!$A:$C,3,0)</f>
        <v>#N/A</v>
      </c>
      <c r="P910" s="18">
        <f>COUNTIF('Pub List'!$C910:$T910,"&lt;&gt;")</f>
        <v>0</v>
      </c>
      <c r="Q910" s="20" t="e">
        <f t="shared" si="39"/>
        <v>#N/A</v>
      </c>
      <c r="R910" s="36"/>
      <c r="S910" s="18">
        <f>COUNTIF('Member List'!$C910:$J910,"&lt;&gt;")</f>
        <v>0</v>
      </c>
      <c r="T910" s="35"/>
      <c r="U910" s="24">
        <f t="shared" si="40"/>
        <v>0</v>
      </c>
      <c r="V910" s="18" t="e">
        <f t="shared" si="41"/>
        <v>#N/A</v>
      </c>
      <c r="W910" s="45" t="e">
        <f t="shared" si="42"/>
        <v>#N/A</v>
      </c>
      <c r="X910" s="20" t="e">
        <f t="shared" si="43"/>
        <v>#N/A</v>
      </c>
      <c r="Y910" s="46" t="e">
        <f t="shared" si="46"/>
        <v>#N/A</v>
      </c>
      <c r="Z910" s="39" t="e">
        <f t="shared" si="44"/>
        <v>#N/A</v>
      </c>
      <c r="AA910" s="39" t="e">
        <f t="shared" si="45"/>
        <v>#N/A</v>
      </c>
      <c r="AB910" s="39"/>
      <c r="AC910" s="48" t="e">
        <f t="shared" si="47"/>
        <v>#N/A</v>
      </c>
    </row>
    <row r="911" spans="1:29" ht="12.5" x14ac:dyDescent="0.25">
      <c r="A911" s="36"/>
      <c r="B911" s="33"/>
      <c r="C911" s="33"/>
      <c r="D911" s="33"/>
      <c r="E911" s="35"/>
      <c r="F911" s="21"/>
      <c r="G911" s="22" t="e">
        <f>VLOOKUP(E911,'Court List'!$A:$C,2,0)</f>
        <v>#N/A</v>
      </c>
      <c r="H911" s="33"/>
      <c r="I911" s="33"/>
      <c r="J911" s="44" t="e">
        <f t="shared" si="38"/>
        <v>#N/A</v>
      </c>
      <c r="K911" s="36"/>
      <c r="L911" s="18">
        <f>SUM('Shuttle Count - Supreme (Nov 20'!C911:D911)</f>
        <v>0</v>
      </c>
      <c r="M911" s="18" t="e">
        <f>VLOOKUP(K911,'Shuttle Purchase'!A:C,3,0)</f>
        <v>#N/A</v>
      </c>
      <c r="N911" s="44" t="e">
        <f t="shared" si="48"/>
        <v>#N/A</v>
      </c>
      <c r="O911" s="24" t="e">
        <f>VLOOKUP(E911,'Court List'!$A:$C,3,0)</f>
        <v>#N/A</v>
      </c>
      <c r="P911" s="18">
        <f>COUNTIF('Pub List'!$C911:$T911,"&lt;&gt;")</f>
        <v>0</v>
      </c>
      <c r="Q911" s="20" t="e">
        <f t="shared" si="39"/>
        <v>#N/A</v>
      </c>
      <c r="R911" s="36"/>
      <c r="S911" s="18">
        <f>COUNTIF('Member List'!$C911:$J911,"&lt;&gt;")</f>
        <v>0</v>
      </c>
      <c r="T911" s="35"/>
      <c r="U911" s="24">
        <f t="shared" si="40"/>
        <v>0</v>
      </c>
      <c r="V911" s="18" t="e">
        <f t="shared" si="41"/>
        <v>#N/A</v>
      </c>
      <c r="W911" s="45" t="e">
        <f t="shared" si="42"/>
        <v>#N/A</v>
      </c>
      <c r="X911" s="20" t="e">
        <f t="shared" si="43"/>
        <v>#N/A</v>
      </c>
      <c r="Y911" s="46" t="e">
        <f t="shared" si="46"/>
        <v>#N/A</v>
      </c>
      <c r="Z911" s="39" t="e">
        <f t="shared" si="44"/>
        <v>#N/A</v>
      </c>
      <c r="AA911" s="39" t="e">
        <f t="shared" si="45"/>
        <v>#N/A</v>
      </c>
      <c r="AB911" s="39"/>
      <c r="AC911" s="48" t="e">
        <f t="shared" si="47"/>
        <v>#N/A</v>
      </c>
    </row>
    <row r="912" spans="1:29" ht="12.5" x14ac:dyDescent="0.25">
      <c r="A912" s="36"/>
      <c r="B912" s="33"/>
      <c r="C912" s="33"/>
      <c r="D912" s="33"/>
      <c r="E912" s="35"/>
      <c r="F912" s="21"/>
      <c r="G912" s="22" t="e">
        <f>VLOOKUP(E912,'Court List'!$A:$C,2,0)</f>
        <v>#N/A</v>
      </c>
      <c r="H912" s="33"/>
      <c r="I912" s="33"/>
      <c r="J912" s="44" t="e">
        <f t="shared" si="38"/>
        <v>#N/A</v>
      </c>
      <c r="K912" s="36"/>
      <c r="L912" s="18">
        <f>SUM('Shuttle Count - Supreme (Nov 20'!C912:D912)</f>
        <v>0</v>
      </c>
      <c r="M912" s="18" t="e">
        <f>VLOOKUP(K912,'Shuttle Purchase'!A:C,3,0)</f>
        <v>#N/A</v>
      </c>
      <c r="N912" s="44" t="e">
        <f t="shared" si="48"/>
        <v>#N/A</v>
      </c>
      <c r="O912" s="24" t="e">
        <f>VLOOKUP(E912,'Court List'!$A:$C,3,0)</f>
        <v>#N/A</v>
      </c>
      <c r="P912" s="18">
        <f>COUNTIF('Pub List'!$C912:$T912,"&lt;&gt;")</f>
        <v>0</v>
      </c>
      <c r="Q912" s="20" t="e">
        <f t="shared" si="39"/>
        <v>#N/A</v>
      </c>
      <c r="R912" s="36"/>
      <c r="S912" s="18">
        <f>COUNTIF('Member List'!$C912:$J912,"&lt;&gt;")</f>
        <v>0</v>
      </c>
      <c r="T912" s="35"/>
      <c r="U912" s="24">
        <f t="shared" si="40"/>
        <v>0</v>
      </c>
      <c r="V912" s="18" t="e">
        <f t="shared" si="41"/>
        <v>#N/A</v>
      </c>
      <c r="W912" s="45" t="e">
        <f t="shared" si="42"/>
        <v>#N/A</v>
      </c>
      <c r="X912" s="20" t="e">
        <f t="shared" si="43"/>
        <v>#N/A</v>
      </c>
      <c r="Y912" s="46" t="e">
        <f t="shared" si="46"/>
        <v>#N/A</v>
      </c>
      <c r="Z912" s="39" t="e">
        <f t="shared" si="44"/>
        <v>#N/A</v>
      </c>
      <c r="AA912" s="39" t="e">
        <f t="shared" si="45"/>
        <v>#N/A</v>
      </c>
      <c r="AB912" s="39"/>
      <c r="AC912" s="48" t="e">
        <f t="shared" si="47"/>
        <v>#N/A</v>
      </c>
    </row>
    <row r="913" spans="1:29" ht="12.5" x14ac:dyDescent="0.25">
      <c r="A913" s="36"/>
      <c r="B913" s="33"/>
      <c r="C913" s="33"/>
      <c r="D913" s="33"/>
      <c r="E913" s="35"/>
      <c r="F913" s="21"/>
      <c r="G913" s="22" t="e">
        <f>VLOOKUP(E913,'Court List'!$A:$C,2,0)</f>
        <v>#N/A</v>
      </c>
      <c r="H913" s="33"/>
      <c r="I913" s="33"/>
      <c r="J913" s="44" t="e">
        <f t="shared" si="38"/>
        <v>#N/A</v>
      </c>
      <c r="K913" s="36"/>
      <c r="L913" s="18">
        <f>SUM('Shuttle Count - Supreme (Nov 20'!C913:D913)</f>
        <v>0</v>
      </c>
      <c r="M913" s="18" t="e">
        <f>VLOOKUP(K913,'Shuttle Purchase'!A:C,3,0)</f>
        <v>#N/A</v>
      </c>
      <c r="N913" s="44" t="e">
        <f t="shared" si="48"/>
        <v>#N/A</v>
      </c>
      <c r="O913" s="24" t="e">
        <f>VLOOKUP(E913,'Court List'!$A:$C,3,0)</f>
        <v>#N/A</v>
      </c>
      <c r="P913" s="18">
        <f>COUNTIF('Pub List'!$C913:$T913,"&lt;&gt;")</f>
        <v>0</v>
      </c>
      <c r="Q913" s="20" t="e">
        <f t="shared" si="39"/>
        <v>#N/A</v>
      </c>
      <c r="R913" s="36"/>
      <c r="S913" s="18">
        <f>COUNTIF('Member List'!$C913:$J913,"&lt;&gt;")</f>
        <v>0</v>
      </c>
      <c r="T913" s="35"/>
      <c r="U913" s="24">
        <f t="shared" si="40"/>
        <v>0</v>
      </c>
      <c r="V913" s="18" t="e">
        <f t="shared" si="41"/>
        <v>#N/A</v>
      </c>
      <c r="W913" s="45" t="e">
        <f t="shared" si="42"/>
        <v>#N/A</v>
      </c>
      <c r="X913" s="20" t="e">
        <f t="shared" si="43"/>
        <v>#N/A</v>
      </c>
      <c r="Y913" s="46" t="e">
        <f t="shared" si="46"/>
        <v>#N/A</v>
      </c>
      <c r="Z913" s="39" t="e">
        <f t="shared" si="44"/>
        <v>#N/A</v>
      </c>
      <c r="AA913" s="39" t="e">
        <f t="shared" si="45"/>
        <v>#N/A</v>
      </c>
      <c r="AB913" s="39"/>
      <c r="AC913" s="48" t="e">
        <f t="shared" si="47"/>
        <v>#N/A</v>
      </c>
    </row>
    <row r="914" spans="1:29" ht="12.5" x14ac:dyDescent="0.25">
      <c r="A914" s="36"/>
      <c r="B914" s="33"/>
      <c r="C914" s="33"/>
      <c r="D914" s="33"/>
      <c r="E914" s="35"/>
      <c r="F914" s="21"/>
      <c r="G914" s="22" t="e">
        <f>VLOOKUP(E914,'Court List'!$A:$C,2,0)</f>
        <v>#N/A</v>
      </c>
      <c r="H914" s="33"/>
      <c r="I914" s="33"/>
      <c r="J914" s="44" t="e">
        <f t="shared" si="38"/>
        <v>#N/A</v>
      </c>
      <c r="K914" s="36"/>
      <c r="L914" s="18">
        <f>SUM('Shuttle Count - Supreme (Nov 20'!C914:D914)</f>
        <v>0</v>
      </c>
      <c r="M914" s="18" t="e">
        <f>VLOOKUP(K914,'Shuttle Purchase'!A:C,3,0)</f>
        <v>#N/A</v>
      </c>
      <c r="N914" s="44" t="e">
        <f t="shared" si="48"/>
        <v>#N/A</v>
      </c>
      <c r="O914" s="24" t="e">
        <f>VLOOKUP(E914,'Court List'!$A:$C,3,0)</f>
        <v>#N/A</v>
      </c>
      <c r="P914" s="18">
        <f>COUNTIF('Pub List'!$C914:$T914,"&lt;&gt;")</f>
        <v>0</v>
      </c>
      <c r="Q914" s="20" t="e">
        <f t="shared" si="39"/>
        <v>#N/A</v>
      </c>
      <c r="R914" s="36"/>
      <c r="S914" s="18">
        <f>COUNTIF('Member List'!$C914:$J914,"&lt;&gt;")</f>
        <v>0</v>
      </c>
      <c r="T914" s="35"/>
      <c r="U914" s="24">
        <f t="shared" si="40"/>
        <v>0</v>
      </c>
      <c r="V914" s="18" t="e">
        <f t="shared" si="41"/>
        <v>#N/A</v>
      </c>
      <c r="W914" s="45" t="e">
        <f t="shared" si="42"/>
        <v>#N/A</v>
      </c>
      <c r="X914" s="20" t="e">
        <f t="shared" si="43"/>
        <v>#N/A</v>
      </c>
      <c r="Y914" s="46" t="e">
        <f t="shared" si="46"/>
        <v>#N/A</v>
      </c>
      <c r="Z914" s="39" t="e">
        <f t="shared" si="44"/>
        <v>#N/A</v>
      </c>
      <c r="AA914" s="39" t="e">
        <f t="shared" si="45"/>
        <v>#N/A</v>
      </c>
      <c r="AB914" s="39"/>
      <c r="AC914" s="48" t="e">
        <f t="shared" si="47"/>
        <v>#N/A</v>
      </c>
    </row>
    <row r="915" spans="1:29" ht="12.5" x14ac:dyDescent="0.25">
      <c r="A915" s="36"/>
      <c r="B915" s="33"/>
      <c r="C915" s="33"/>
      <c r="D915" s="33"/>
      <c r="E915" s="35"/>
      <c r="F915" s="21"/>
      <c r="G915" s="22" t="e">
        <f>VLOOKUP(E915,'Court List'!$A:$C,2,0)</f>
        <v>#N/A</v>
      </c>
      <c r="H915" s="33"/>
      <c r="I915" s="33"/>
      <c r="J915" s="44" t="e">
        <f t="shared" si="38"/>
        <v>#N/A</v>
      </c>
      <c r="K915" s="36"/>
      <c r="L915" s="18">
        <f>SUM('Shuttle Count - Supreme (Nov 20'!C915:D915)</f>
        <v>0</v>
      </c>
      <c r="M915" s="18" t="e">
        <f>VLOOKUP(K915,'Shuttle Purchase'!A:C,3,0)</f>
        <v>#N/A</v>
      </c>
      <c r="N915" s="44" t="e">
        <f t="shared" si="48"/>
        <v>#N/A</v>
      </c>
      <c r="O915" s="24" t="e">
        <f>VLOOKUP(E915,'Court List'!$A:$C,3,0)</f>
        <v>#N/A</v>
      </c>
      <c r="P915" s="18">
        <f>COUNTIF('Pub List'!$C915:$T915,"&lt;&gt;")</f>
        <v>0</v>
      </c>
      <c r="Q915" s="20" t="e">
        <f t="shared" si="39"/>
        <v>#N/A</v>
      </c>
      <c r="R915" s="36"/>
      <c r="S915" s="18">
        <f>COUNTIF('Member List'!$C915:$J915,"&lt;&gt;")</f>
        <v>0</v>
      </c>
      <c r="T915" s="35"/>
      <c r="U915" s="24">
        <f t="shared" si="40"/>
        <v>0</v>
      </c>
      <c r="V915" s="18" t="e">
        <f t="shared" si="41"/>
        <v>#N/A</v>
      </c>
      <c r="W915" s="45" t="e">
        <f t="shared" si="42"/>
        <v>#N/A</v>
      </c>
      <c r="X915" s="20" t="e">
        <f t="shared" si="43"/>
        <v>#N/A</v>
      </c>
      <c r="Y915" s="46" t="e">
        <f t="shared" si="46"/>
        <v>#N/A</v>
      </c>
      <c r="Z915" s="39" t="e">
        <f t="shared" si="44"/>
        <v>#N/A</v>
      </c>
      <c r="AA915" s="39" t="e">
        <f t="shared" si="45"/>
        <v>#N/A</v>
      </c>
      <c r="AB915" s="39"/>
      <c r="AC915" s="48" t="e">
        <f t="shared" si="47"/>
        <v>#N/A</v>
      </c>
    </row>
    <row r="916" spans="1:29" ht="12.5" x14ac:dyDescent="0.25">
      <c r="A916" s="36"/>
      <c r="B916" s="33"/>
      <c r="C916" s="33"/>
      <c r="D916" s="33"/>
      <c r="E916" s="35"/>
      <c r="F916" s="21"/>
      <c r="G916" s="22" t="e">
        <f>VLOOKUP(E916,'Court List'!$A:$C,2,0)</f>
        <v>#N/A</v>
      </c>
      <c r="H916" s="33"/>
      <c r="I916" s="33"/>
      <c r="J916" s="44" t="e">
        <f t="shared" si="38"/>
        <v>#N/A</v>
      </c>
      <c r="K916" s="36"/>
      <c r="L916" s="18">
        <f>SUM('Shuttle Count - Supreme (Nov 20'!C916:D916)</f>
        <v>0</v>
      </c>
      <c r="M916" s="18" t="e">
        <f>VLOOKUP(K916,'Shuttle Purchase'!A:C,3,0)</f>
        <v>#N/A</v>
      </c>
      <c r="N916" s="44" t="e">
        <f t="shared" si="48"/>
        <v>#N/A</v>
      </c>
      <c r="O916" s="24" t="e">
        <f>VLOOKUP(E916,'Court List'!$A:$C,3,0)</f>
        <v>#N/A</v>
      </c>
      <c r="P916" s="18">
        <f>COUNTIF('Pub List'!$C916:$T916,"&lt;&gt;")</f>
        <v>0</v>
      </c>
      <c r="Q916" s="20" t="e">
        <f t="shared" si="39"/>
        <v>#N/A</v>
      </c>
      <c r="R916" s="36"/>
      <c r="S916" s="18">
        <f>COUNTIF('Member List'!$C916:$J916,"&lt;&gt;")</f>
        <v>0</v>
      </c>
      <c r="T916" s="35"/>
      <c r="U916" s="24">
        <f t="shared" si="40"/>
        <v>0</v>
      </c>
      <c r="V916" s="18" t="e">
        <f t="shared" si="41"/>
        <v>#N/A</v>
      </c>
      <c r="W916" s="45" t="e">
        <f t="shared" si="42"/>
        <v>#N/A</v>
      </c>
      <c r="X916" s="20" t="e">
        <f t="shared" si="43"/>
        <v>#N/A</v>
      </c>
      <c r="Y916" s="46" t="e">
        <f t="shared" si="46"/>
        <v>#N/A</v>
      </c>
      <c r="Z916" s="39" t="e">
        <f t="shared" si="44"/>
        <v>#N/A</v>
      </c>
      <c r="AA916" s="39" t="e">
        <f t="shared" si="45"/>
        <v>#N/A</v>
      </c>
      <c r="AB916" s="39"/>
      <c r="AC916" s="48" t="e">
        <f t="shared" si="47"/>
        <v>#N/A</v>
      </c>
    </row>
    <row r="917" spans="1:29" ht="12.5" x14ac:dyDescent="0.25">
      <c r="A917" s="36"/>
      <c r="B917" s="33"/>
      <c r="C917" s="33"/>
      <c r="D917" s="33"/>
      <c r="E917" s="35"/>
      <c r="F917" s="21"/>
      <c r="G917" s="22" t="e">
        <f>VLOOKUP(E917,'Court List'!$A:$C,2,0)</f>
        <v>#N/A</v>
      </c>
      <c r="H917" s="33"/>
      <c r="I917" s="33"/>
      <c r="J917" s="44" t="e">
        <f t="shared" si="38"/>
        <v>#N/A</v>
      </c>
      <c r="K917" s="36"/>
      <c r="L917" s="18">
        <f>SUM('Shuttle Count - Supreme (Nov 20'!C917:D917)</f>
        <v>0</v>
      </c>
      <c r="M917" s="18" t="e">
        <f>VLOOKUP(K917,'Shuttle Purchase'!A:C,3,0)</f>
        <v>#N/A</v>
      </c>
      <c r="N917" s="44" t="e">
        <f t="shared" si="48"/>
        <v>#N/A</v>
      </c>
      <c r="O917" s="24" t="e">
        <f>VLOOKUP(E917,'Court List'!$A:$C,3,0)</f>
        <v>#N/A</v>
      </c>
      <c r="P917" s="18">
        <f>COUNTIF('Pub List'!$C917:$T917,"&lt;&gt;")</f>
        <v>0</v>
      </c>
      <c r="Q917" s="20" t="e">
        <f t="shared" si="39"/>
        <v>#N/A</v>
      </c>
      <c r="R917" s="36"/>
      <c r="S917" s="18">
        <f>COUNTIF('Member List'!$C917:$J917,"&lt;&gt;")</f>
        <v>0</v>
      </c>
      <c r="T917" s="35"/>
      <c r="U917" s="24">
        <f t="shared" si="40"/>
        <v>0</v>
      </c>
      <c r="V917" s="18" t="e">
        <f t="shared" si="41"/>
        <v>#N/A</v>
      </c>
      <c r="W917" s="45" t="e">
        <f t="shared" si="42"/>
        <v>#N/A</v>
      </c>
      <c r="X917" s="20" t="e">
        <f t="shared" si="43"/>
        <v>#N/A</v>
      </c>
      <c r="Y917" s="46" t="e">
        <f t="shared" si="46"/>
        <v>#N/A</v>
      </c>
      <c r="Z917" s="39" t="e">
        <f t="shared" si="44"/>
        <v>#N/A</v>
      </c>
      <c r="AA917" s="39" t="e">
        <f t="shared" si="45"/>
        <v>#N/A</v>
      </c>
      <c r="AB917" s="39"/>
      <c r="AC917" s="48" t="e">
        <f t="shared" si="47"/>
        <v>#N/A</v>
      </c>
    </row>
    <row r="918" spans="1:29" ht="12.5" x14ac:dyDescent="0.25">
      <c r="A918" s="36"/>
      <c r="B918" s="33"/>
      <c r="C918" s="33"/>
      <c r="D918" s="33"/>
      <c r="E918" s="35"/>
      <c r="F918" s="21"/>
      <c r="G918" s="22" t="e">
        <f>VLOOKUP(E918,'Court List'!$A:$C,2,0)</f>
        <v>#N/A</v>
      </c>
      <c r="H918" s="33"/>
      <c r="I918" s="33"/>
      <c r="J918" s="44" t="e">
        <f t="shared" si="38"/>
        <v>#N/A</v>
      </c>
      <c r="K918" s="36"/>
      <c r="L918" s="18">
        <f>SUM('Shuttle Count - Supreme (Nov 20'!C918:D918)</f>
        <v>0</v>
      </c>
      <c r="M918" s="18" t="e">
        <f>VLOOKUP(K918,'Shuttle Purchase'!A:C,3,0)</f>
        <v>#N/A</v>
      </c>
      <c r="N918" s="44" t="e">
        <f t="shared" si="48"/>
        <v>#N/A</v>
      </c>
      <c r="O918" s="24" t="e">
        <f>VLOOKUP(E918,'Court List'!$A:$C,3,0)</f>
        <v>#N/A</v>
      </c>
      <c r="P918" s="18">
        <f>COUNTIF('Pub List'!$C918:$T918,"&lt;&gt;")</f>
        <v>0</v>
      </c>
      <c r="Q918" s="20" t="e">
        <f t="shared" si="39"/>
        <v>#N/A</v>
      </c>
      <c r="R918" s="36"/>
      <c r="S918" s="18">
        <f>COUNTIF('Member List'!$C918:$J918,"&lt;&gt;")</f>
        <v>0</v>
      </c>
      <c r="T918" s="35"/>
      <c r="U918" s="24">
        <f t="shared" si="40"/>
        <v>0</v>
      </c>
      <c r="V918" s="18" t="e">
        <f t="shared" si="41"/>
        <v>#N/A</v>
      </c>
      <c r="W918" s="45" t="e">
        <f t="shared" si="42"/>
        <v>#N/A</v>
      </c>
      <c r="X918" s="20" t="e">
        <f t="shared" si="43"/>
        <v>#N/A</v>
      </c>
      <c r="Y918" s="46" t="e">
        <f t="shared" si="46"/>
        <v>#N/A</v>
      </c>
      <c r="Z918" s="39" t="e">
        <f t="shared" si="44"/>
        <v>#N/A</v>
      </c>
      <c r="AA918" s="39" t="e">
        <f t="shared" si="45"/>
        <v>#N/A</v>
      </c>
      <c r="AB918" s="39"/>
      <c r="AC918" s="48" t="e">
        <f t="shared" si="47"/>
        <v>#N/A</v>
      </c>
    </row>
    <row r="919" spans="1:29" ht="12.5" x14ac:dyDescent="0.25">
      <c r="A919" s="36"/>
      <c r="B919" s="33"/>
      <c r="C919" s="33"/>
      <c r="D919" s="33"/>
      <c r="E919" s="35"/>
      <c r="F919" s="21"/>
      <c r="G919" s="22" t="e">
        <f>VLOOKUP(E919,'Court List'!$A:$C,2,0)</f>
        <v>#N/A</v>
      </c>
      <c r="H919" s="33"/>
      <c r="I919" s="33"/>
      <c r="J919" s="44" t="e">
        <f t="shared" si="38"/>
        <v>#N/A</v>
      </c>
      <c r="K919" s="36"/>
      <c r="L919" s="18">
        <f>SUM('Shuttle Count - Supreme (Nov 20'!C919:D919)</f>
        <v>0</v>
      </c>
      <c r="M919" s="18" t="e">
        <f>VLOOKUP(K919,'Shuttle Purchase'!A:C,3,0)</f>
        <v>#N/A</v>
      </c>
      <c r="N919" s="44" t="e">
        <f t="shared" si="48"/>
        <v>#N/A</v>
      </c>
      <c r="O919" s="24" t="e">
        <f>VLOOKUP(E919,'Court List'!$A:$C,3,0)</f>
        <v>#N/A</v>
      </c>
      <c r="P919" s="18">
        <f>COUNTIF('Pub List'!$C919:$T919,"&lt;&gt;")</f>
        <v>0</v>
      </c>
      <c r="Q919" s="20" t="e">
        <f t="shared" si="39"/>
        <v>#N/A</v>
      </c>
      <c r="R919" s="36"/>
      <c r="S919" s="18">
        <f>COUNTIF('Member List'!$C919:$J919,"&lt;&gt;")</f>
        <v>0</v>
      </c>
      <c r="T919" s="35"/>
      <c r="U919" s="24">
        <f t="shared" si="40"/>
        <v>0</v>
      </c>
      <c r="V919" s="18" t="e">
        <f t="shared" si="41"/>
        <v>#N/A</v>
      </c>
      <c r="W919" s="45" t="e">
        <f t="shared" si="42"/>
        <v>#N/A</v>
      </c>
      <c r="X919" s="20" t="e">
        <f t="shared" si="43"/>
        <v>#N/A</v>
      </c>
      <c r="Y919" s="46" t="e">
        <f t="shared" si="46"/>
        <v>#N/A</v>
      </c>
      <c r="Z919" s="39" t="e">
        <f t="shared" si="44"/>
        <v>#N/A</v>
      </c>
      <c r="AA919" s="39" t="e">
        <f t="shared" si="45"/>
        <v>#N/A</v>
      </c>
      <c r="AB919" s="39"/>
      <c r="AC919" s="48" t="e">
        <f t="shared" si="47"/>
        <v>#N/A</v>
      </c>
    </row>
    <row r="920" spans="1:29" ht="12.5" x14ac:dyDescent="0.25">
      <c r="A920" s="36"/>
      <c r="B920" s="33"/>
      <c r="C920" s="33"/>
      <c r="D920" s="33"/>
      <c r="E920" s="35"/>
      <c r="F920" s="21"/>
      <c r="G920" s="22" t="e">
        <f>VLOOKUP(E920,'Court List'!$A:$C,2,0)</f>
        <v>#N/A</v>
      </c>
      <c r="H920" s="33"/>
      <c r="I920" s="33"/>
      <c r="J920" s="44" t="e">
        <f t="shared" si="38"/>
        <v>#N/A</v>
      </c>
      <c r="K920" s="36"/>
      <c r="L920" s="18">
        <f>SUM('Shuttle Count - Supreme (Nov 20'!C920:D920)</f>
        <v>0</v>
      </c>
      <c r="M920" s="18" t="e">
        <f>VLOOKUP(K920,'Shuttle Purchase'!A:C,3,0)</f>
        <v>#N/A</v>
      </c>
      <c r="N920" s="44" t="e">
        <f t="shared" si="48"/>
        <v>#N/A</v>
      </c>
      <c r="O920" s="24" t="e">
        <f>VLOOKUP(E920,'Court List'!$A:$C,3,0)</f>
        <v>#N/A</v>
      </c>
      <c r="P920" s="18">
        <f>COUNTIF('Pub List'!$C920:$T920,"&lt;&gt;")</f>
        <v>0</v>
      </c>
      <c r="Q920" s="20" t="e">
        <f t="shared" si="39"/>
        <v>#N/A</v>
      </c>
      <c r="R920" s="36"/>
      <c r="S920" s="18">
        <f>COUNTIF('Member List'!$C920:$J920,"&lt;&gt;")</f>
        <v>0</v>
      </c>
      <c r="T920" s="35"/>
      <c r="U920" s="24">
        <f t="shared" si="40"/>
        <v>0</v>
      </c>
      <c r="V920" s="18" t="e">
        <f t="shared" si="41"/>
        <v>#N/A</v>
      </c>
      <c r="W920" s="45" t="e">
        <f t="shared" si="42"/>
        <v>#N/A</v>
      </c>
      <c r="X920" s="20" t="e">
        <f t="shared" si="43"/>
        <v>#N/A</v>
      </c>
      <c r="Y920" s="46" t="e">
        <f t="shared" si="46"/>
        <v>#N/A</v>
      </c>
      <c r="Z920" s="39" t="e">
        <f t="shared" si="44"/>
        <v>#N/A</v>
      </c>
      <c r="AA920" s="39" t="e">
        <f t="shared" si="45"/>
        <v>#N/A</v>
      </c>
      <c r="AB920" s="39"/>
      <c r="AC920" s="48" t="e">
        <f t="shared" si="47"/>
        <v>#N/A</v>
      </c>
    </row>
    <row r="921" spans="1:29" ht="12.5" x14ac:dyDescent="0.25">
      <c r="A921" s="36"/>
      <c r="B921" s="33"/>
      <c r="C921" s="33"/>
      <c r="D921" s="33"/>
      <c r="E921" s="35"/>
      <c r="F921" s="21"/>
      <c r="G921" s="22" t="e">
        <f>VLOOKUP(E921,'Court List'!$A:$C,2,0)</f>
        <v>#N/A</v>
      </c>
      <c r="H921" s="33"/>
      <c r="I921" s="33"/>
      <c r="J921" s="44" t="e">
        <f t="shared" si="38"/>
        <v>#N/A</v>
      </c>
      <c r="K921" s="36"/>
      <c r="L921" s="18">
        <f>SUM('Shuttle Count - Supreme (Nov 20'!C921:D921)</f>
        <v>0</v>
      </c>
      <c r="M921" s="18" t="e">
        <f>VLOOKUP(K921,'Shuttle Purchase'!A:C,3,0)</f>
        <v>#N/A</v>
      </c>
      <c r="N921" s="44" t="e">
        <f t="shared" si="48"/>
        <v>#N/A</v>
      </c>
      <c r="O921" s="24" t="e">
        <f>VLOOKUP(E921,'Court List'!$A:$C,3,0)</f>
        <v>#N/A</v>
      </c>
      <c r="P921" s="18">
        <f>COUNTIF('Pub List'!$C921:$T921,"&lt;&gt;")</f>
        <v>0</v>
      </c>
      <c r="Q921" s="20" t="e">
        <f t="shared" si="39"/>
        <v>#N/A</v>
      </c>
      <c r="R921" s="36"/>
      <c r="S921" s="18">
        <f>COUNTIF('Member List'!$C921:$J921,"&lt;&gt;")</f>
        <v>0</v>
      </c>
      <c r="T921" s="35"/>
      <c r="U921" s="24">
        <f t="shared" si="40"/>
        <v>0</v>
      </c>
      <c r="V921" s="18" t="e">
        <f t="shared" si="41"/>
        <v>#N/A</v>
      </c>
      <c r="W921" s="45" t="e">
        <f t="shared" si="42"/>
        <v>#N/A</v>
      </c>
      <c r="X921" s="20" t="e">
        <f t="shared" si="43"/>
        <v>#N/A</v>
      </c>
      <c r="Y921" s="46" t="e">
        <f t="shared" si="46"/>
        <v>#N/A</v>
      </c>
      <c r="Z921" s="39" t="e">
        <f t="shared" si="44"/>
        <v>#N/A</v>
      </c>
      <c r="AA921" s="39" t="e">
        <f t="shared" si="45"/>
        <v>#N/A</v>
      </c>
      <c r="AB921" s="39"/>
      <c r="AC921" s="48" t="e">
        <f t="shared" si="47"/>
        <v>#N/A</v>
      </c>
    </row>
    <row r="922" spans="1:29" ht="12.5" x14ac:dyDescent="0.25">
      <c r="A922" s="36"/>
      <c r="B922" s="33"/>
      <c r="C922" s="33"/>
      <c r="D922" s="33"/>
      <c r="E922" s="35"/>
      <c r="F922" s="21"/>
      <c r="G922" s="22" t="e">
        <f>VLOOKUP(E922,'Court List'!$A:$C,2,0)</f>
        <v>#N/A</v>
      </c>
      <c r="H922" s="33"/>
      <c r="I922" s="33"/>
      <c r="J922" s="44" t="e">
        <f t="shared" si="38"/>
        <v>#N/A</v>
      </c>
      <c r="K922" s="36"/>
      <c r="L922" s="18">
        <f>SUM('Shuttle Count - Supreme (Nov 20'!C922:D922)</f>
        <v>0</v>
      </c>
      <c r="M922" s="18" t="e">
        <f>VLOOKUP(K922,'Shuttle Purchase'!A:C,3,0)</f>
        <v>#N/A</v>
      </c>
      <c r="N922" s="44" t="e">
        <f t="shared" si="48"/>
        <v>#N/A</v>
      </c>
      <c r="O922" s="24" t="e">
        <f>VLOOKUP(E922,'Court List'!$A:$C,3,0)</f>
        <v>#N/A</v>
      </c>
      <c r="P922" s="18">
        <f>COUNTIF('Pub List'!$C922:$T922,"&lt;&gt;")</f>
        <v>0</v>
      </c>
      <c r="Q922" s="20" t="e">
        <f t="shared" si="39"/>
        <v>#N/A</v>
      </c>
      <c r="R922" s="36"/>
      <c r="S922" s="18">
        <f>COUNTIF('Member List'!$C922:$J922,"&lt;&gt;")</f>
        <v>0</v>
      </c>
      <c r="T922" s="35"/>
      <c r="U922" s="24">
        <f t="shared" si="40"/>
        <v>0</v>
      </c>
      <c r="V922" s="18" t="e">
        <f t="shared" si="41"/>
        <v>#N/A</v>
      </c>
      <c r="W922" s="45" t="e">
        <f t="shared" si="42"/>
        <v>#N/A</v>
      </c>
      <c r="X922" s="20" t="e">
        <f t="shared" si="43"/>
        <v>#N/A</v>
      </c>
      <c r="Y922" s="46" t="e">
        <f t="shared" si="46"/>
        <v>#N/A</v>
      </c>
      <c r="Z922" s="39" t="e">
        <f t="shared" si="44"/>
        <v>#N/A</v>
      </c>
      <c r="AA922" s="39" t="e">
        <f t="shared" si="45"/>
        <v>#N/A</v>
      </c>
      <c r="AB922" s="39"/>
      <c r="AC922" s="48" t="e">
        <f t="shared" si="47"/>
        <v>#N/A</v>
      </c>
    </row>
    <row r="923" spans="1:29" ht="12.5" x14ac:dyDescent="0.25">
      <c r="A923" s="36"/>
      <c r="B923" s="33"/>
      <c r="C923" s="33"/>
      <c r="D923" s="33"/>
      <c r="E923" s="35"/>
      <c r="F923" s="21"/>
      <c r="G923" s="22" t="e">
        <f>VLOOKUP(E923,'Court List'!$A:$C,2,0)</f>
        <v>#N/A</v>
      </c>
      <c r="H923" s="33"/>
      <c r="I923" s="33"/>
      <c r="J923" s="44" t="e">
        <f t="shared" si="38"/>
        <v>#N/A</v>
      </c>
      <c r="K923" s="36"/>
      <c r="L923" s="18">
        <f>SUM('Shuttle Count - Supreme (Nov 20'!C923:D923)</f>
        <v>0</v>
      </c>
      <c r="M923" s="18" t="e">
        <f>VLOOKUP(K923,'Shuttle Purchase'!A:C,3,0)</f>
        <v>#N/A</v>
      </c>
      <c r="N923" s="44" t="e">
        <f t="shared" si="48"/>
        <v>#N/A</v>
      </c>
      <c r="O923" s="24" t="e">
        <f>VLOOKUP(E923,'Court List'!$A:$C,3,0)</f>
        <v>#N/A</v>
      </c>
      <c r="P923" s="18">
        <f>COUNTIF('Pub List'!$C923:$T923,"&lt;&gt;")</f>
        <v>0</v>
      </c>
      <c r="Q923" s="20" t="e">
        <f t="shared" si="39"/>
        <v>#N/A</v>
      </c>
      <c r="R923" s="36"/>
      <c r="S923" s="18">
        <f>COUNTIF('Member List'!$C923:$J923,"&lt;&gt;")</f>
        <v>0</v>
      </c>
      <c r="T923" s="35"/>
      <c r="U923" s="24">
        <f t="shared" si="40"/>
        <v>0</v>
      </c>
      <c r="V923" s="18" t="e">
        <f t="shared" si="41"/>
        <v>#N/A</v>
      </c>
      <c r="W923" s="45" t="e">
        <f t="shared" si="42"/>
        <v>#N/A</v>
      </c>
      <c r="X923" s="20" t="e">
        <f t="shared" si="43"/>
        <v>#N/A</v>
      </c>
      <c r="Y923" s="46" t="e">
        <f t="shared" si="46"/>
        <v>#N/A</v>
      </c>
      <c r="Z923" s="39" t="e">
        <f t="shared" si="44"/>
        <v>#N/A</v>
      </c>
      <c r="AA923" s="39" t="e">
        <f t="shared" si="45"/>
        <v>#N/A</v>
      </c>
      <c r="AB923" s="39"/>
      <c r="AC923" s="48" t="e">
        <f t="shared" si="47"/>
        <v>#N/A</v>
      </c>
    </row>
    <row r="924" spans="1:29" ht="12.5" x14ac:dyDescent="0.25">
      <c r="A924" s="36"/>
      <c r="B924" s="33"/>
      <c r="C924" s="33"/>
      <c r="D924" s="33"/>
      <c r="E924" s="35"/>
      <c r="F924" s="21"/>
      <c r="G924" s="22" t="e">
        <f>VLOOKUP(E924,'Court List'!$A:$C,2,0)</f>
        <v>#N/A</v>
      </c>
      <c r="H924" s="33"/>
      <c r="I924" s="33"/>
      <c r="J924" s="44" t="e">
        <f t="shared" si="38"/>
        <v>#N/A</v>
      </c>
      <c r="K924" s="36"/>
      <c r="L924" s="18">
        <f>SUM('Shuttle Count - Supreme (Nov 20'!C924:D924)</f>
        <v>0</v>
      </c>
      <c r="M924" s="18" t="e">
        <f>VLOOKUP(K924,'Shuttle Purchase'!A:C,3,0)</f>
        <v>#N/A</v>
      </c>
      <c r="N924" s="44" t="e">
        <f t="shared" si="48"/>
        <v>#N/A</v>
      </c>
      <c r="O924" s="24" t="e">
        <f>VLOOKUP(E924,'Court List'!$A:$C,3,0)</f>
        <v>#N/A</v>
      </c>
      <c r="P924" s="18">
        <f>COUNTIF('Pub List'!$C924:$T924,"&lt;&gt;")</f>
        <v>0</v>
      </c>
      <c r="Q924" s="20" t="e">
        <f t="shared" si="39"/>
        <v>#N/A</v>
      </c>
      <c r="R924" s="36"/>
      <c r="S924" s="18">
        <f>COUNTIF('Member List'!$C924:$J924,"&lt;&gt;")</f>
        <v>0</v>
      </c>
      <c r="T924" s="35"/>
      <c r="U924" s="24">
        <f t="shared" si="40"/>
        <v>0</v>
      </c>
      <c r="V924" s="18" t="e">
        <f t="shared" si="41"/>
        <v>#N/A</v>
      </c>
      <c r="W924" s="45" t="e">
        <f t="shared" si="42"/>
        <v>#N/A</v>
      </c>
      <c r="X924" s="20" t="e">
        <f t="shared" si="43"/>
        <v>#N/A</v>
      </c>
      <c r="Y924" s="46" t="e">
        <f t="shared" si="46"/>
        <v>#N/A</v>
      </c>
      <c r="Z924" s="39" t="e">
        <f t="shared" si="44"/>
        <v>#N/A</v>
      </c>
      <c r="AA924" s="39" t="e">
        <f t="shared" si="45"/>
        <v>#N/A</v>
      </c>
      <c r="AB924" s="39"/>
      <c r="AC924" s="48" t="e">
        <f t="shared" si="47"/>
        <v>#N/A</v>
      </c>
    </row>
    <row r="925" spans="1:29" ht="12.5" x14ac:dyDescent="0.25">
      <c r="A925" s="36"/>
      <c r="B925" s="33"/>
      <c r="C925" s="33"/>
      <c r="D925" s="33"/>
      <c r="E925" s="35"/>
      <c r="F925" s="21"/>
      <c r="G925" s="22" t="e">
        <f>VLOOKUP(E925,'Court List'!$A:$C,2,0)</f>
        <v>#N/A</v>
      </c>
      <c r="H925" s="33"/>
      <c r="I925" s="33"/>
      <c r="J925" s="44" t="e">
        <f t="shared" si="38"/>
        <v>#N/A</v>
      </c>
      <c r="K925" s="36"/>
      <c r="L925" s="18">
        <f>SUM('Shuttle Count - Supreme (Nov 20'!C925:D925)</f>
        <v>0</v>
      </c>
      <c r="M925" s="18" t="e">
        <f>VLOOKUP(K925,'Shuttle Purchase'!A:C,3,0)</f>
        <v>#N/A</v>
      </c>
      <c r="N925" s="44" t="e">
        <f t="shared" si="48"/>
        <v>#N/A</v>
      </c>
      <c r="O925" s="24" t="e">
        <f>VLOOKUP(E925,'Court List'!$A:$C,3,0)</f>
        <v>#N/A</v>
      </c>
      <c r="P925" s="18">
        <f>COUNTIF('Pub List'!$C925:$T925,"&lt;&gt;")</f>
        <v>0</v>
      </c>
      <c r="Q925" s="20" t="e">
        <f t="shared" si="39"/>
        <v>#N/A</v>
      </c>
      <c r="R925" s="36"/>
      <c r="S925" s="18">
        <f>COUNTIF('Member List'!$C925:$J925,"&lt;&gt;")</f>
        <v>0</v>
      </c>
      <c r="T925" s="35"/>
      <c r="U925" s="24">
        <f t="shared" si="40"/>
        <v>0</v>
      </c>
      <c r="V925" s="18" t="e">
        <f t="shared" si="41"/>
        <v>#N/A</v>
      </c>
      <c r="W925" s="45" t="e">
        <f t="shared" si="42"/>
        <v>#N/A</v>
      </c>
      <c r="X925" s="20" t="e">
        <f t="shared" si="43"/>
        <v>#N/A</v>
      </c>
      <c r="Y925" s="46" t="e">
        <f t="shared" si="46"/>
        <v>#N/A</v>
      </c>
      <c r="Z925" s="39" t="e">
        <f t="shared" si="44"/>
        <v>#N/A</v>
      </c>
      <c r="AA925" s="39" t="e">
        <f t="shared" si="45"/>
        <v>#N/A</v>
      </c>
      <c r="AB925" s="39"/>
      <c r="AC925" s="48" t="e">
        <f t="shared" si="47"/>
        <v>#N/A</v>
      </c>
    </row>
    <row r="926" spans="1:29" ht="12.5" x14ac:dyDescent="0.25">
      <c r="A926" s="36"/>
      <c r="B926" s="33"/>
      <c r="C926" s="33"/>
      <c r="D926" s="33"/>
      <c r="E926" s="35"/>
      <c r="F926" s="21"/>
      <c r="G926" s="22" t="e">
        <f>VLOOKUP(E926,'Court List'!$A:$C,2,0)</f>
        <v>#N/A</v>
      </c>
      <c r="H926" s="33"/>
      <c r="I926" s="33"/>
      <c r="J926" s="44" t="e">
        <f t="shared" si="38"/>
        <v>#N/A</v>
      </c>
      <c r="K926" s="36"/>
      <c r="L926" s="18">
        <f>SUM('Shuttle Count - Supreme (Nov 20'!C926:D926)</f>
        <v>0</v>
      </c>
      <c r="M926" s="18" t="e">
        <f>VLOOKUP(K926,'Shuttle Purchase'!A:C,3,0)</f>
        <v>#N/A</v>
      </c>
      <c r="N926" s="44" t="e">
        <f t="shared" si="48"/>
        <v>#N/A</v>
      </c>
      <c r="O926" s="24" t="e">
        <f>VLOOKUP(E926,'Court List'!$A:$C,3,0)</f>
        <v>#N/A</v>
      </c>
      <c r="P926" s="18">
        <f>COUNTIF('Pub List'!$C926:$T926,"&lt;&gt;")</f>
        <v>0</v>
      </c>
      <c r="Q926" s="20" t="e">
        <f t="shared" si="39"/>
        <v>#N/A</v>
      </c>
      <c r="R926" s="36"/>
      <c r="S926" s="18">
        <f>COUNTIF('Member List'!$C926:$J926,"&lt;&gt;")</f>
        <v>0</v>
      </c>
      <c r="T926" s="35"/>
      <c r="U926" s="24">
        <f t="shared" si="40"/>
        <v>0</v>
      </c>
      <c r="V926" s="18" t="e">
        <f t="shared" si="41"/>
        <v>#N/A</v>
      </c>
      <c r="W926" s="45" t="e">
        <f t="shared" si="42"/>
        <v>#N/A</v>
      </c>
      <c r="X926" s="20" t="e">
        <f t="shared" si="43"/>
        <v>#N/A</v>
      </c>
      <c r="Y926" s="46" t="e">
        <f t="shared" si="46"/>
        <v>#N/A</v>
      </c>
      <c r="Z926" s="39" t="e">
        <f t="shared" si="44"/>
        <v>#N/A</v>
      </c>
      <c r="AA926" s="39" t="e">
        <f t="shared" si="45"/>
        <v>#N/A</v>
      </c>
      <c r="AB926" s="39"/>
      <c r="AC926" s="48" t="e">
        <f t="shared" si="47"/>
        <v>#N/A</v>
      </c>
    </row>
    <row r="927" spans="1:29" ht="12.5" x14ac:dyDescent="0.25">
      <c r="A927" s="36"/>
      <c r="B927" s="33"/>
      <c r="C927" s="33"/>
      <c r="D927" s="33"/>
      <c r="E927" s="35"/>
      <c r="F927" s="21"/>
      <c r="G927" s="22" t="e">
        <f>VLOOKUP(E927,'Court List'!$A:$C,2,0)</f>
        <v>#N/A</v>
      </c>
      <c r="H927" s="33"/>
      <c r="I927" s="33"/>
      <c r="J927" s="44" t="e">
        <f t="shared" si="38"/>
        <v>#N/A</v>
      </c>
      <c r="K927" s="36"/>
      <c r="L927" s="18">
        <f>SUM('Shuttle Count - Supreme (Nov 20'!C927:D927)</f>
        <v>0</v>
      </c>
      <c r="M927" s="18" t="e">
        <f>VLOOKUP(K927,'Shuttle Purchase'!A:C,3,0)</f>
        <v>#N/A</v>
      </c>
      <c r="N927" s="44" t="e">
        <f t="shared" si="48"/>
        <v>#N/A</v>
      </c>
      <c r="O927" s="24" t="e">
        <f>VLOOKUP(E927,'Court List'!$A:$C,3,0)</f>
        <v>#N/A</v>
      </c>
      <c r="P927" s="18">
        <f>COUNTIF('Pub List'!$C927:$T927,"&lt;&gt;")</f>
        <v>0</v>
      </c>
      <c r="Q927" s="20" t="e">
        <f t="shared" si="39"/>
        <v>#N/A</v>
      </c>
      <c r="R927" s="36"/>
      <c r="S927" s="18">
        <f>COUNTIF('Member List'!$C927:$J927,"&lt;&gt;")</f>
        <v>0</v>
      </c>
      <c r="T927" s="35"/>
      <c r="U927" s="24">
        <f t="shared" si="40"/>
        <v>0</v>
      </c>
      <c r="V927" s="18" t="e">
        <f t="shared" si="41"/>
        <v>#N/A</v>
      </c>
      <c r="W927" s="45" t="e">
        <f t="shared" si="42"/>
        <v>#N/A</v>
      </c>
      <c r="X927" s="20" t="e">
        <f t="shared" si="43"/>
        <v>#N/A</v>
      </c>
      <c r="Y927" s="46" t="e">
        <f t="shared" si="46"/>
        <v>#N/A</v>
      </c>
      <c r="Z927" s="39" t="e">
        <f t="shared" si="44"/>
        <v>#N/A</v>
      </c>
      <c r="AA927" s="39" t="e">
        <f t="shared" si="45"/>
        <v>#N/A</v>
      </c>
      <c r="AB927" s="39"/>
      <c r="AC927" s="48" t="e">
        <f t="shared" si="47"/>
        <v>#N/A</v>
      </c>
    </row>
    <row r="928" spans="1:29" ht="12.5" x14ac:dyDescent="0.25">
      <c r="A928" s="36"/>
      <c r="B928" s="33"/>
      <c r="C928" s="33"/>
      <c r="D928" s="33"/>
      <c r="E928" s="35"/>
      <c r="F928" s="21"/>
      <c r="G928" s="22" t="e">
        <f>VLOOKUP(E928,'Court List'!$A:$C,2,0)</f>
        <v>#N/A</v>
      </c>
      <c r="H928" s="33"/>
      <c r="I928" s="33"/>
      <c r="J928" s="44" t="e">
        <f t="shared" si="38"/>
        <v>#N/A</v>
      </c>
      <c r="K928" s="36"/>
      <c r="L928" s="18">
        <f>SUM('Shuttle Count - Supreme (Nov 20'!C928:D928)</f>
        <v>0</v>
      </c>
      <c r="M928" s="18" t="e">
        <f>VLOOKUP(K928,'Shuttle Purchase'!A:C,3,0)</f>
        <v>#N/A</v>
      </c>
      <c r="N928" s="44" t="e">
        <f t="shared" si="48"/>
        <v>#N/A</v>
      </c>
      <c r="O928" s="24" t="e">
        <f>VLOOKUP(E928,'Court List'!$A:$C,3,0)</f>
        <v>#N/A</v>
      </c>
      <c r="P928" s="18">
        <f>COUNTIF('Pub List'!$C928:$T928,"&lt;&gt;")</f>
        <v>0</v>
      </c>
      <c r="Q928" s="20" t="e">
        <f t="shared" si="39"/>
        <v>#N/A</v>
      </c>
      <c r="R928" s="36"/>
      <c r="S928" s="18">
        <f>COUNTIF('Member List'!$C928:$J928,"&lt;&gt;")</f>
        <v>0</v>
      </c>
      <c r="T928" s="35"/>
      <c r="U928" s="24">
        <f t="shared" si="40"/>
        <v>0</v>
      </c>
      <c r="V928" s="18" t="e">
        <f t="shared" si="41"/>
        <v>#N/A</v>
      </c>
      <c r="W928" s="45" t="e">
        <f t="shared" si="42"/>
        <v>#N/A</v>
      </c>
      <c r="X928" s="20" t="e">
        <f t="shared" si="43"/>
        <v>#N/A</v>
      </c>
      <c r="Y928" s="46" t="e">
        <f t="shared" si="46"/>
        <v>#N/A</v>
      </c>
      <c r="Z928" s="39" t="e">
        <f t="shared" si="44"/>
        <v>#N/A</v>
      </c>
      <c r="AA928" s="39" t="e">
        <f t="shared" si="45"/>
        <v>#N/A</v>
      </c>
      <c r="AB928" s="39"/>
      <c r="AC928" s="48" t="e">
        <f t="shared" si="47"/>
        <v>#N/A</v>
      </c>
    </row>
    <row r="929" spans="1:29" ht="12.5" x14ac:dyDescent="0.25">
      <c r="A929" s="36"/>
      <c r="B929" s="33"/>
      <c r="C929" s="33"/>
      <c r="D929" s="33"/>
      <c r="E929" s="35"/>
      <c r="F929" s="21"/>
      <c r="G929" s="22" t="e">
        <f>VLOOKUP(E929,'Court List'!$A:$C,2,0)</f>
        <v>#N/A</v>
      </c>
      <c r="H929" s="33"/>
      <c r="I929" s="33"/>
      <c r="J929" s="44" t="e">
        <f t="shared" si="38"/>
        <v>#N/A</v>
      </c>
      <c r="K929" s="36"/>
      <c r="L929" s="18">
        <f>SUM('Shuttle Count - Supreme (Nov 20'!C929:D929)</f>
        <v>0</v>
      </c>
      <c r="M929" s="18" t="e">
        <f>VLOOKUP(K929,'Shuttle Purchase'!A:C,3,0)</f>
        <v>#N/A</v>
      </c>
      <c r="N929" s="44" t="e">
        <f t="shared" si="48"/>
        <v>#N/A</v>
      </c>
      <c r="O929" s="24" t="e">
        <f>VLOOKUP(E929,'Court List'!$A:$C,3,0)</f>
        <v>#N/A</v>
      </c>
      <c r="P929" s="18">
        <f>COUNTIF('Pub List'!$C929:$T929,"&lt;&gt;")</f>
        <v>0</v>
      </c>
      <c r="Q929" s="20" t="e">
        <f t="shared" si="39"/>
        <v>#N/A</v>
      </c>
      <c r="R929" s="36"/>
      <c r="S929" s="18">
        <f>COUNTIF('Member List'!$C929:$J929,"&lt;&gt;")</f>
        <v>0</v>
      </c>
      <c r="T929" s="35"/>
      <c r="U929" s="24">
        <f t="shared" si="40"/>
        <v>0</v>
      </c>
      <c r="V929" s="18" t="e">
        <f t="shared" si="41"/>
        <v>#N/A</v>
      </c>
      <c r="W929" s="45" t="e">
        <f t="shared" si="42"/>
        <v>#N/A</v>
      </c>
      <c r="X929" s="20" t="e">
        <f t="shared" si="43"/>
        <v>#N/A</v>
      </c>
      <c r="Y929" s="46" t="e">
        <f t="shared" si="46"/>
        <v>#N/A</v>
      </c>
      <c r="Z929" s="39" t="e">
        <f t="shared" si="44"/>
        <v>#N/A</v>
      </c>
      <c r="AA929" s="39" t="e">
        <f t="shared" si="45"/>
        <v>#N/A</v>
      </c>
      <c r="AB929" s="39"/>
      <c r="AC929" s="48" t="e">
        <f t="shared" si="47"/>
        <v>#N/A</v>
      </c>
    </row>
    <row r="930" spans="1:29" ht="12.5" x14ac:dyDescent="0.25">
      <c r="A930" s="36"/>
      <c r="B930" s="33"/>
      <c r="C930" s="33"/>
      <c r="D930" s="33"/>
      <c r="E930" s="35"/>
      <c r="F930" s="21"/>
      <c r="G930" s="22" t="e">
        <f>VLOOKUP(E930,'Court List'!$A:$C,2,0)</f>
        <v>#N/A</v>
      </c>
      <c r="H930" s="33"/>
      <c r="I930" s="33"/>
      <c r="J930" s="44" t="e">
        <f t="shared" si="38"/>
        <v>#N/A</v>
      </c>
      <c r="K930" s="36"/>
      <c r="L930" s="18">
        <f>SUM('Shuttle Count - Supreme (Nov 20'!C930:D930)</f>
        <v>0</v>
      </c>
      <c r="M930" s="18" t="e">
        <f>VLOOKUP(K930,'Shuttle Purchase'!A:C,3,0)</f>
        <v>#N/A</v>
      </c>
      <c r="N930" s="44" t="e">
        <f t="shared" si="48"/>
        <v>#N/A</v>
      </c>
      <c r="O930" s="24" t="e">
        <f>VLOOKUP(E930,'Court List'!$A:$C,3,0)</f>
        <v>#N/A</v>
      </c>
      <c r="P930" s="18">
        <f>COUNTIF('Pub List'!$C930:$T930,"&lt;&gt;")</f>
        <v>0</v>
      </c>
      <c r="Q930" s="20" t="e">
        <f t="shared" si="39"/>
        <v>#N/A</v>
      </c>
      <c r="R930" s="36"/>
      <c r="S930" s="18">
        <f>COUNTIF('Member List'!$C930:$J930,"&lt;&gt;")</f>
        <v>0</v>
      </c>
      <c r="T930" s="35"/>
      <c r="U930" s="24">
        <f t="shared" si="40"/>
        <v>0</v>
      </c>
      <c r="V930" s="18" t="e">
        <f t="shared" si="41"/>
        <v>#N/A</v>
      </c>
      <c r="W930" s="45" t="e">
        <f t="shared" si="42"/>
        <v>#N/A</v>
      </c>
      <c r="X930" s="20" t="e">
        <f t="shared" si="43"/>
        <v>#N/A</v>
      </c>
      <c r="Y930" s="46" t="e">
        <f t="shared" si="46"/>
        <v>#N/A</v>
      </c>
      <c r="Z930" s="39" t="e">
        <f t="shared" si="44"/>
        <v>#N/A</v>
      </c>
      <c r="AA930" s="39" t="e">
        <f t="shared" si="45"/>
        <v>#N/A</v>
      </c>
      <c r="AB930" s="39"/>
      <c r="AC930" s="48" t="e">
        <f t="shared" si="47"/>
        <v>#N/A</v>
      </c>
    </row>
    <row r="931" spans="1:29" ht="12.5" x14ac:dyDescent="0.25">
      <c r="A931" s="36"/>
      <c r="B931" s="33"/>
      <c r="C931" s="33"/>
      <c r="D931" s="33"/>
      <c r="E931" s="35"/>
      <c r="F931" s="21"/>
      <c r="G931" s="22" t="e">
        <f>VLOOKUP(E931,'Court List'!$A:$C,2,0)</f>
        <v>#N/A</v>
      </c>
      <c r="H931" s="33"/>
      <c r="I931" s="33"/>
      <c r="J931" s="44" t="e">
        <f t="shared" si="38"/>
        <v>#N/A</v>
      </c>
      <c r="K931" s="36"/>
      <c r="L931" s="18">
        <f>SUM('Shuttle Count - Supreme (Nov 20'!C931:D931)</f>
        <v>0</v>
      </c>
      <c r="M931" s="18" t="e">
        <f>VLOOKUP(K931,'Shuttle Purchase'!A:C,3,0)</f>
        <v>#N/A</v>
      </c>
      <c r="N931" s="44" t="e">
        <f t="shared" si="48"/>
        <v>#N/A</v>
      </c>
      <c r="O931" s="24" t="e">
        <f>VLOOKUP(E931,'Court List'!$A:$C,3,0)</f>
        <v>#N/A</v>
      </c>
      <c r="P931" s="18">
        <f>COUNTIF('Pub List'!$C931:$T931,"&lt;&gt;")</f>
        <v>0</v>
      </c>
      <c r="Q931" s="20" t="e">
        <f t="shared" si="39"/>
        <v>#N/A</v>
      </c>
      <c r="R931" s="36"/>
      <c r="S931" s="18">
        <f>COUNTIF('Member List'!$C931:$J931,"&lt;&gt;")</f>
        <v>0</v>
      </c>
      <c r="T931" s="35"/>
      <c r="U931" s="24">
        <f t="shared" si="40"/>
        <v>0</v>
      </c>
      <c r="V931" s="18" t="e">
        <f t="shared" si="41"/>
        <v>#N/A</v>
      </c>
      <c r="W931" s="45" t="e">
        <f t="shared" si="42"/>
        <v>#N/A</v>
      </c>
      <c r="X931" s="20" t="e">
        <f t="shared" si="43"/>
        <v>#N/A</v>
      </c>
      <c r="Y931" s="46" t="e">
        <f t="shared" si="46"/>
        <v>#N/A</v>
      </c>
      <c r="Z931" s="39" t="e">
        <f t="shared" si="44"/>
        <v>#N/A</v>
      </c>
      <c r="AA931" s="39" t="e">
        <f t="shared" si="45"/>
        <v>#N/A</v>
      </c>
      <c r="AB931" s="39"/>
      <c r="AC931" s="48" t="e">
        <f t="shared" si="47"/>
        <v>#N/A</v>
      </c>
    </row>
    <row r="932" spans="1:29" ht="12.5" x14ac:dyDescent="0.25">
      <c r="A932" s="36"/>
      <c r="B932" s="33"/>
      <c r="C932" s="33"/>
      <c r="D932" s="33"/>
      <c r="E932" s="35"/>
      <c r="F932" s="21"/>
      <c r="G932" s="22" t="e">
        <f>VLOOKUP(E932,'Court List'!$A:$C,2,0)</f>
        <v>#N/A</v>
      </c>
      <c r="H932" s="33"/>
      <c r="I932" s="33"/>
      <c r="J932" s="44" t="e">
        <f t="shared" si="38"/>
        <v>#N/A</v>
      </c>
      <c r="K932" s="36"/>
      <c r="L932" s="18">
        <f>SUM('Shuttle Count - Supreme (Nov 20'!C932:D932)</f>
        <v>0</v>
      </c>
      <c r="M932" s="18" t="e">
        <f>VLOOKUP(K932,'Shuttle Purchase'!A:C,3,0)</f>
        <v>#N/A</v>
      </c>
      <c r="N932" s="44" t="e">
        <f t="shared" si="48"/>
        <v>#N/A</v>
      </c>
      <c r="O932" s="24" t="e">
        <f>VLOOKUP(E932,'Court List'!$A:$C,3,0)</f>
        <v>#N/A</v>
      </c>
      <c r="P932" s="18">
        <f>COUNTIF('Pub List'!$C932:$T932,"&lt;&gt;")</f>
        <v>0</v>
      </c>
      <c r="Q932" s="20" t="e">
        <f t="shared" si="39"/>
        <v>#N/A</v>
      </c>
      <c r="R932" s="36"/>
      <c r="S932" s="18">
        <f>COUNTIF('Member List'!$C932:$J932,"&lt;&gt;")</f>
        <v>0</v>
      </c>
      <c r="T932" s="35"/>
      <c r="U932" s="24">
        <f t="shared" si="40"/>
        <v>0</v>
      </c>
      <c r="V932" s="18" t="e">
        <f t="shared" si="41"/>
        <v>#N/A</v>
      </c>
      <c r="W932" s="45" t="e">
        <f t="shared" si="42"/>
        <v>#N/A</v>
      </c>
      <c r="X932" s="20" t="e">
        <f t="shared" si="43"/>
        <v>#N/A</v>
      </c>
      <c r="Y932" s="46" t="e">
        <f t="shared" si="46"/>
        <v>#N/A</v>
      </c>
      <c r="Z932" s="39" t="e">
        <f t="shared" si="44"/>
        <v>#N/A</v>
      </c>
      <c r="AA932" s="39" t="e">
        <f t="shared" si="45"/>
        <v>#N/A</v>
      </c>
      <c r="AB932" s="39"/>
      <c r="AC932" s="48" t="e">
        <f t="shared" si="47"/>
        <v>#N/A</v>
      </c>
    </row>
    <row r="933" spans="1:29" ht="12.5" x14ac:dyDescent="0.25">
      <c r="A933" s="36"/>
      <c r="B933" s="33"/>
      <c r="C933" s="33"/>
      <c r="D933" s="33"/>
      <c r="E933" s="35"/>
      <c r="F933" s="21"/>
      <c r="G933" s="22" t="e">
        <f>VLOOKUP(E933,'Court List'!$A:$C,2,0)</f>
        <v>#N/A</v>
      </c>
      <c r="H933" s="33"/>
      <c r="I933" s="33"/>
      <c r="J933" s="44" t="e">
        <f t="shared" si="38"/>
        <v>#N/A</v>
      </c>
      <c r="K933" s="36"/>
      <c r="L933" s="18">
        <f>SUM('Shuttle Count - Supreme (Nov 20'!C933:D933)</f>
        <v>0</v>
      </c>
      <c r="M933" s="18" t="e">
        <f>VLOOKUP(K933,'Shuttle Purchase'!A:C,3,0)</f>
        <v>#N/A</v>
      </c>
      <c r="N933" s="44" t="e">
        <f t="shared" si="48"/>
        <v>#N/A</v>
      </c>
      <c r="O933" s="24" t="e">
        <f>VLOOKUP(E933,'Court List'!$A:$C,3,0)</f>
        <v>#N/A</v>
      </c>
      <c r="P933" s="18">
        <f>COUNTIF('Pub List'!$C933:$T933,"&lt;&gt;")</f>
        <v>0</v>
      </c>
      <c r="Q933" s="20" t="e">
        <f t="shared" si="39"/>
        <v>#N/A</v>
      </c>
      <c r="R933" s="36"/>
      <c r="S933" s="18">
        <f>COUNTIF('Member List'!$C933:$J933,"&lt;&gt;")</f>
        <v>0</v>
      </c>
      <c r="T933" s="35"/>
      <c r="U933" s="24">
        <f t="shared" si="40"/>
        <v>0</v>
      </c>
      <c r="V933" s="18" t="e">
        <f t="shared" si="41"/>
        <v>#N/A</v>
      </c>
      <c r="W933" s="45" t="e">
        <f t="shared" si="42"/>
        <v>#N/A</v>
      </c>
      <c r="X933" s="20" t="e">
        <f t="shared" si="43"/>
        <v>#N/A</v>
      </c>
      <c r="Y933" s="46" t="e">
        <f t="shared" si="46"/>
        <v>#N/A</v>
      </c>
      <c r="Z933" s="39" t="e">
        <f t="shared" si="44"/>
        <v>#N/A</v>
      </c>
      <c r="AA933" s="39" t="e">
        <f t="shared" si="45"/>
        <v>#N/A</v>
      </c>
      <c r="AB933" s="39"/>
      <c r="AC933" s="48" t="e">
        <f t="shared" si="47"/>
        <v>#N/A</v>
      </c>
    </row>
    <row r="934" spans="1:29" ht="12.5" x14ac:dyDescent="0.25">
      <c r="A934" s="36"/>
      <c r="B934" s="33"/>
      <c r="C934" s="33"/>
      <c r="D934" s="33"/>
      <c r="E934" s="35"/>
      <c r="F934" s="21"/>
      <c r="G934" s="22" t="e">
        <f>VLOOKUP(E934,'Court List'!$A:$C,2,0)</f>
        <v>#N/A</v>
      </c>
      <c r="H934" s="33"/>
      <c r="I934" s="33"/>
      <c r="J934" s="44" t="e">
        <f t="shared" si="38"/>
        <v>#N/A</v>
      </c>
      <c r="K934" s="36"/>
      <c r="L934" s="18">
        <f>SUM('Shuttle Count - Supreme (Nov 20'!C934:D934)</f>
        <v>0</v>
      </c>
      <c r="M934" s="18" t="e">
        <f>VLOOKUP(K934,'Shuttle Purchase'!A:C,3,0)</f>
        <v>#N/A</v>
      </c>
      <c r="N934" s="44" t="e">
        <f t="shared" si="48"/>
        <v>#N/A</v>
      </c>
      <c r="O934" s="24" t="e">
        <f>VLOOKUP(E934,'Court List'!$A:$C,3,0)</f>
        <v>#N/A</v>
      </c>
      <c r="P934" s="18">
        <f>COUNTIF('Pub List'!$C934:$T934,"&lt;&gt;")</f>
        <v>0</v>
      </c>
      <c r="Q934" s="20" t="e">
        <f t="shared" si="39"/>
        <v>#N/A</v>
      </c>
      <c r="R934" s="36"/>
      <c r="S934" s="18">
        <f>COUNTIF('Member List'!$C934:$J934,"&lt;&gt;")</f>
        <v>0</v>
      </c>
      <c r="T934" s="35"/>
      <c r="U934" s="24">
        <f t="shared" si="40"/>
        <v>0</v>
      </c>
      <c r="V934" s="18" t="e">
        <f t="shared" si="41"/>
        <v>#N/A</v>
      </c>
      <c r="W934" s="45" t="e">
        <f t="shared" si="42"/>
        <v>#N/A</v>
      </c>
      <c r="X934" s="20" t="e">
        <f t="shared" si="43"/>
        <v>#N/A</v>
      </c>
      <c r="Y934" s="46" t="e">
        <f t="shared" si="46"/>
        <v>#N/A</v>
      </c>
      <c r="Z934" s="39" t="e">
        <f t="shared" si="44"/>
        <v>#N/A</v>
      </c>
      <c r="AA934" s="39" t="e">
        <f t="shared" si="45"/>
        <v>#N/A</v>
      </c>
      <c r="AB934" s="39"/>
      <c r="AC934" s="48" t="e">
        <f t="shared" si="47"/>
        <v>#N/A</v>
      </c>
    </row>
    <row r="935" spans="1:29" ht="12.5" x14ac:dyDescent="0.25">
      <c r="A935" s="36"/>
      <c r="B935" s="33"/>
      <c r="C935" s="33"/>
      <c r="D935" s="33"/>
      <c r="E935" s="35"/>
      <c r="F935" s="21"/>
      <c r="G935" s="22" t="e">
        <f>VLOOKUP(E935,'Court List'!$A:$C,2,0)</f>
        <v>#N/A</v>
      </c>
      <c r="H935" s="33"/>
      <c r="I935" s="33"/>
      <c r="J935" s="44" t="e">
        <f t="shared" si="38"/>
        <v>#N/A</v>
      </c>
      <c r="K935" s="36"/>
      <c r="L935" s="18">
        <f>SUM('Shuttle Count - Supreme (Nov 20'!C935:D935)</f>
        <v>0</v>
      </c>
      <c r="M935" s="18" t="e">
        <f>VLOOKUP(K935,'Shuttle Purchase'!A:C,3,0)</f>
        <v>#N/A</v>
      </c>
      <c r="N935" s="44" t="e">
        <f t="shared" si="48"/>
        <v>#N/A</v>
      </c>
      <c r="O935" s="24" t="e">
        <f>VLOOKUP(E935,'Court List'!$A:$C,3,0)</f>
        <v>#N/A</v>
      </c>
      <c r="P935" s="18">
        <f>COUNTIF('Pub List'!$C935:$T935,"&lt;&gt;")</f>
        <v>0</v>
      </c>
      <c r="Q935" s="20" t="e">
        <f t="shared" si="39"/>
        <v>#N/A</v>
      </c>
      <c r="R935" s="36"/>
      <c r="S935" s="18">
        <f>COUNTIF('Member List'!$C935:$J935,"&lt;&gt;")</f>
        <v>0</v>
      </c>
      <c r="T935" s="35"/>
      <c r="U935" s="24">
        <f t="shared" si="40"/>
        <v>0</v>
      </c>
      <c r="V935" s="18" t="e">
        <f t="shared" si="41"/>
        <v>#N/A</v>
      </c>
      <c r="W935" s="45" t="e">
        <f t="shared" si="42"/>
        <v>#N/A</v>
      </c>
      <c r="X935" s="20" t="e">
        <f t="shared" si="43"/>
        <v>#N/A</v>
      </c>
      <c r="Y935" s="46" t="e">
        <f t="shared" si="46"/>
        <v>#N/A</v>
      </c>
      <c r="Z935" s="39" t="e">
        <f t="shared" si="44"/>
        <v>#N/A</v>
      </c>
      <c r="AA935" s="39" t="e">
        <f t="shared" si="45"/>
        <v>#N/A</v>
      </c>
      <c r="AB935" s="39"/>
      <c r="AC935" s="48" t="e">
        <f t="shared" si="47"/>
        <v>#N/A</v>
      </c>
    </row>
    <row r="936" spans="1:29" ht="12.5" x14ac:dyDescent="0.25">
      <c r="A936" s="36"/>
      <c r="B936" s="33"/>
      <c r="C936" s="33"/>
      <c r="D936" s="33"/>
      <c r="E936" s="35"/>
      <c r="F936" s="21"/>
      <c r="G936" s="22" t="e">
        <f>VLOOKUP(E936,'Court List'!$A:$C,2,0)</f>
        <v>#N/A</v>
      </c>
      <c r="H936" s="33"/>
      <c r="I936" s="33"/>
      <c r="J936" s="44" t="e">
        <f t="shared" si="38"/>
        <v>#N/A</v>
      </c>
      <c r="K936" s="36"/>
      <c r="L936" s="18">
        <f>SUM('Shuttle Count - Supreme (Nov 20'!C936:D936)</f>
        <v>0</v>
      </c>
      <c r="M936" s="18" t="e">
        <f>VLOOKUP(K936,'Shuttle Purchase'!A:C,3,0)</f>
        <v>#N/A</v>
      </c>
      <c r="N936" s="44" t="e">
        <f t="shared" si="48"/>
        <v>#N/A</v>
      </c>
      <c r="O936" s="24" t="e">
        <f>VLOOKUP(E936,'Court List'!$A:$C,3,0)</f>
        <v>#N/A</v>
      </c>
      <c r="P936" s="18">
        <f>COUNTIF('Pub List'!$C936:$T936,"&lt;&gt;")</f>
        <v>0</v>
      </c>
      <c r="Q936" s="20" t="e">
        <f t="shared" si="39"/>
        <v>#N/A</v>
      </c>
      <c r="R936" s="36"/>
      <c r="S936" s="18">
        <f>COUNTIF('Member List'!$C936:$J936,"&lt;&gt;")</f>
        <v>0</v>
      </c>
      <c r="T936" s="35"/>
      <c r="U936" s="24">
        <f t="shared" si="40"/>
        <v>0</v>
      </c>
      <c r="V936" s="18" t="e">
        <f t="shared" si="41"/>
        <v>#N/A</v>
      </c>
      <c r="W936" s="45" t="e">
        <f t="shared" si="42"/>
        <v>#N/A</v>
      </c>
      <c r="X936" s="20" t="e">
        <f t="shared" si="43"/>
        <v>#N/A</v>
      </c>
      <c r="Y936" s="46" t="e">
        <f t="shared" si="46"/>
        <v>#N/A</v>
      </c>
      <c r="Z936" s="39" t="e">
        <f t="shared" si="44"/>
        <v>#N/A</v>
      </c>
      <c r="AA936" s="39" t="e">
        <f t="shared" si="45"/>
        <v>#N/A</v>
      </c>
      <c r="AB936" s="39"/>
      <c r="AC936" s="48" t="e">
        <f t="shared" si="47"/>
        <v>#N/A</v>
      </c>
    </row>
    <row r="937" spans="1:29" ht="12.5" x14ac:dyDescent="0.25">
      <c r="A937" s="36"/>
      <c r="B937" s="33"/>
      <c r="C937" s="33"/>
      <c r="D937" s="33"/>
      <c r="E937" s="35"/>
      <c r="F937" s="21"/>
      <c r="G937" s="22" t="e">
        <f>VLOOKUP(E937,'Court List'!$A:$C,2,0)</f>
        <v>#N/A</v>
      </c>
      <c r="H937" s="33"/>
      <c r="I937" s="33"/>
      <c r="J937" s="44" t="e">
        <f t="shared" si="38"/>
        <v>#N/A</v>
      </c>
      <c r="K937" s="36"/>
      <c r="L937" s="18">
        <f>SUM('Shuttle Count - Supreme (Nov 20'!C937:D937)</f>
        <v>0</v>
      </c>
      <c r="M937" s="18" t="e">
        <f>VLOOKUP(K937,'Shuttle Purchase'!A:C,3,0)</f>
        <v>#N/A</v>
      </c>
      <c r="N937" s="44" t="e">
        <f t="shared" si="48"/>
        <v>#N/A</v>
      </c>
      <c r="O937" s="24" t="e">
        <f>VLOOKUP(E937,'Court List'!$A:$C,3,0)</f>
        <v>#N/A</v>
      </c>
      <c r="P937" s="18">
        <f>COUNTIF('Pub List'!$C937:$T937,"&lt;&gt;")</f>
        <v>0</v>
      </c>
      <c r="Q937" s="20" t="e">
        <f t="shared" si="39"/>
        <v>#N/A</v>
      </c>
      <c r="R937" s="36"/>
      <c r="S937" s="18">
        <f>COUNTIF('Member List'!$C937:$J937,"&lt;&gt;")</f>
        <v>0</v>
      </c>
      <c r="T937" s="35"/>
      <c r="U937" s="24">
        <f t="shared" si="40"/>
        <v>0</v>
      </c>
      <c r="V937" s="18" t="e">
        <f t="shared" si="41"/>
        <v>#N/A</v>
      </c>
      <c r="W937" s="45" t="e">
        <f t="shared" si="42"/>
        <v>#N/A</v>
      </c>
      <c r="X937" s="20" t="e">
        <f t="shared" si="43"/>
        <v>#N/A</v>
      </c>
      <c r="Y937" s="46" t="e">
        <f t="shared" si="46"/>
        <v>#N/A</v>
      </c>
      <c r="Z937" s="39" t="e">
        <f t="shared" si="44"/>
        <v>#N/A</v>
      </c>
      <c r="AA937" s="39" t="e">
        <f t="shared" si="45"/>
        <v>#N/A</v>
      </c>
      <c r="AB937" s="39"/>
      <c r="AC937" s="48" t="e">
        <f t="shared" si="47"/>
        <v>#N/A</v>
      </c>
    </row>
    <row r="938" spans="1:29" ht="12.5" x14ac:dyDescent="0.25">
      <c r="A938" s="36"/>
      <c r="B938" s="33"/>
      <c r="C938" s="33"/>
      <c r="D938" s="33"/>
      <c r="E938" s="35"/>
      <c r="F938" s="21"/>
      <c r="G938" s="22" t="e">
        <f>VLOOKUP(E938,'Court List'!$A:$C,2,0)</f>
        <v>#N/A</v>
      </c>
      <c r="H938" s="33"/>
      <c r="I938" s="33"/>
      <c r="J938" s="44" t="e">
        <f t="shared" si="38"/>
        <v>#N/A</v>
      </c>
      <c r="K938" s="36"/>
      <c r="L938" s="18">
        <f>SUM('Shuttle Count - Supreme (Nov 20'!C938:D938)</f>
        <v>0</v>
      </c>
      <c r="M938" s="18" t="e">
        <f>VLOOKUP(K938,'Shuttle Purchase'!A:C,3,0)</f>
        <v>#N/A</v>
      </c>
      <c r="N938" s="44" t="e">
        <f t="shared" si="48"/>
        <v>#N/A</v>
      </c>
      <c r="O938" s="24" t="e">
        <f>VLOOKUP(E938,'Court List'!$A:$C,3,0)</f>
        <v>#N/A</v>
      </c>
      <c r="P938" s="18">
        <f>COUNTIF('Pub List'!$C938:$T938,"&lt;&gt;")</f>
        <v>0</v>
      </c>
      <c r="Q938" s="20" t="e">
        <f t="shared" si="39"/>
        <v>#N/A</v>
      </c>
      <c r="R938" s="36"/>
      <c r="S938" s="18">
        <f>COUNTIF('Member List'!$C938:$J938,"&lt;&gt;")</f>
        <v>0</v>
      </c>
      <c r="T938" s="35"/>
      <c r="U938" s="24">
        <f t="shared" si="40"/>
        <v>0</v>
      </c>
      <c r="V938" s="18" t="e">
        <f t="shared" si="41"/>
        <v>#N/A</v>
      </c>
      <c r="W938" s="45" t="e">
        <f t="shared" si="42"/>
        <v>#N/A</v>
      </c>
      <c r="X938" s="20" t="e">
        <f t="shared" si="43"/>
        <v>#N/A</v>
      </c>
      <c r="Y938" s="46" t="e">
        <f t="shared" si="46"/>
        <v>#N/A</v>
      </c>
      <c r="Z938" s="39" t="e">
        <f t="shared" si="44"/>
        <v>#N/A</v>
      </c>
      <c r="AA938" s="39" t="e">
        <f t="shared" si="45"/>
        <v>#N/A</v>
      </c>
      <c r="AB938" s="39"/>
      <c r="AC938" s="48" t="e">
        <f t="shared" si="47"/>
        <v>#N/A</v>
      </c>
    </row>
    <row r="939" spans="1:29" ht="12.5" x14ac:dyDescent="0.25">
      <c r="A939" s="36"/>
      <c r="B939" s="33"/>
      <c r="C939" s="33"/>
      <c r="D939" s="33"/>
      <c r="E939" s="35"/>
      <c r="F939" s="21"/>
      <c r="G939" s="22" t="e">
        <f>VLOOKUP(E939,'Court List'!$A:$C,2,0)</f>
        <v>#N/A</v>
      </c>
      <c r="H939" s="33"/>
      <c r="I939" s="33"/>
      <c r="J939" s="44" t="e">
        <f t="shared" si="38"/>
        <v>#N/A</v>
      </c>
      <c r="K939" s="36"/>
      <c r="L939" s="18">
        <f>SUM('Shuttle Count - Supreme (Nov 20'!C939:D939)</f>
        <v>0</v>
      </c>
      <c r="M939" s="18" t="e">
        <f>VLOOKUP(K939,'Shuttle Purchase'!A:C,3,0)</f>
        <v>#N/A</v>
      </c>
      <c r="N939" s="44" t="e">
        <f t="shared" si="48"/>
        <v>#N/A</v>
      </c>
      <c r="O939" s="24" t="e">
        <f>VLOOKUP(E939,'Court List'!$A:$C,3,0)</f>
        <v>#N/A</v>
      </c>
      <c r="P939" s="18">
        <f>COUNTIF('Pub List'!$C939:$T939,"&lt;&gt;")</f>
        <v>0</v>
      </c>
      <c r="Q939" s="20" t="e">
        <f t="shared" si="39"/>
        <v>#N/A</v>
      </c>
      <c r="R939" s="36"/>
      <c r="S939" s="18">
        <f>COUNTIF('Member List'!$C939:$J939,"&lt;&gt;")</f>
        <v>0</v>
      </c>
      <c r="T939" s="35"/>
      <c r="U939" s="24">
        <f t="shared" si="40"/>
        <v>0</v>
      </c>
      <c r="V939" s="18" t="e">
        <f t="shared" si="41"/>
        <v>#N/A</v>
      </c>
      <c r="W939" s="45" t="e">
        <f t="shared" si="42"/>
        <v>#N/A</v>
      </c>
      <c r="X939" s="20" t="e">
        <f t="shared" si="43"/>
        <v>#N/A</v>
      </c>
      <c r="Y939" s="46" t="e">
        <f t="shared" si="46"/>
        <v>#N/A</v>
      </c>
      <c r="Z939" s="39" t="e">
        <f t="shared" si="44"/>
        <v>#N/A</v>
      </c>
      <c r="AA939" s="39" t="e">
        <f t="shared" si="45"/>
        <v>#N/A</v>
      </c>
      <c r="AB939" s="39"/>
      <c r="AC939" s="48" t="e">
        <f t="shared" si="47"/>
        <v>#N/A</v>
      </c>
    </row>
    <row r="940" spans="1:29" ht="12.5" x14ac:dyDescent="0.25">
      <c r="A940" s="36"/>
      <c r="B940" s="33"/>
      <c r="C940" s="33"/>
      <c r="D940" s="33"/>
      <c r="E940" s="35"/>
      <c r="F940" s="21"/>
      <c r="G940" s="22" t="e">
        <f>VLOOKUP(E940,'Court List'!$A:$C,2,0)</f>
        <v>#N/A</v>
      </c>
      <c r="H940" s="33"/>
      <c r="I940" s="33"/>
      <c r="J940" s="44" t="e">
        <f t="shared" si="38"/>
        <v>#N/A</v>
      </c>
      <c r="K940" s="36"/>
      <c r="L940" s="18">
        <f>SUM('Shuttle Count - Supreme (Nov 20'!C940:D940)</f>
        <v>0</v>
      </c>
      <c r="M940" s="18" t="e">
        <f>VLOOKUP(K940,'Shuttle Purchase'!A:C,3,0)</f>
        <v>#N/A</v>
      </c>
      <c r="N940" s="44" t="e">
        <f t="shared" si="48"/>
        <v>#N/A</v>
      </c>
      <c r="O940" s="24" t="e">
        <f>VLOOKUP(E940,'Court List'!$A:$C,3,0)</f>
        <v>#N/A</v>
      </c>
      <c r="P940" s="18">
        <f>COUNTIF('Pub List'!$C940:$T940,"&lt;&gt;")</f>
        <v>0</v>
      </c>
      <c r="Q940" s="20" t="e">
        <f t="shared" si="39"/>
        <v>#N/A</v>
      </c>
      <c r="R940" s="36"/>
      <c r="S940" s="18">
        <f>COUNTIF('Member List'!$C940:$J940,"&lt;&gt;")</f>
        <v>0</v>
      </c>
      <c r="T940" s="35"/>
      <c r="U940" s="24">
        <f t="shared" si="40"/>
        <v>0</v>
      </c>
      <c r="V940" s="18" t="e">
        <f t="shared" si="41"/>
        <v>#N/A</v>
      </c>
      <c r="W940" s="45" t="e">
        <f t="shared" si="42"/>
        <v>#N/A</v>
      </c>
      <c r="X940" s="20" t="e">
        <f t="shared" si="43"/>
        <v>#N/A</v>
      </c>
      <c r="Y940" s="46" t="e">
        <f t="shared" si="46"/>
        <v>#N/A</v>
      </c>
      <c r="Z940" s="39" t="e">
        <f t="shared" si="44"/>
        <v>#N/A</v>
      </c>
      <c r="AA940" s="39" t="e">
        <f t="shared" si="45"/>
        <v>#N/A</v>
      </c>
      <c r="AB940" s="39"/>
      <c r="AC940" s="48" t="e">
        <f t="shared" si="47"/>
        <v>#N/A</v>
      </c>
    </row>
    <row r="941" spans="1:29" ht="12.5" x14ac:dyDescent="0.25">
      <c r="A941" s="36"/>
      <c r="B941" s="33"/>
      <c r="C941" s="33"/>
      <c r="D941" s="33"/>
      <c r="E941" s="35"/>
      <c r="F941" s="21"/>
      <c r="G941" s="22" t="e">
        <f>VLOOKUP(E941,'Court List'!$A:$C,2,0)</f>
        <v>#N/A</v>
      </c>
      <c r="H941" s="33"/>
      <c r="I941" s="33"/>
      <c r="J941" s="44" t="e">
        <f t="shared" si="38"/>
        <v>#N/A</v>
      </c>
      <c r="K941" s="36"/>
      <c r="L941" s="18">
        <f>SUM('Shuttle Count - Supreme (Nov 20'!C941:D941)</f>
        <v>0</v>
      </c>
      <c r="M941" s="18" t="e">
        <f>VLOOKUP(K941,'Shuttle Purchase'!A:C,3,0)</f>
        <v>#N/A</v>
      </c>
      <c r="N941" s="44" t="e">
        <f t="shared" si="48"/>
        <v>#N/A</v>
      </c>
      <c r="O941" s="24" t="e">
        <f>VLOOKUP(E941,'Court List'!$A:$C,3,0)</f>
        <v>#N/A</v>
      </c>
      <c r="P941" s="18">
        <f>COUNTIF('Pub List'!$C941:$T941,"&lt;&gt;")</f>
        <v>0</v>
      </c>
      <c r="Q941" s="20" t="e">
        <f t="shared" si="39"/>
        <v>#N/A</v>
      </c>
      <c r="R941" s="36"/>
      <c r="S941" s="18">
        <f>COUNTIF('Member List'!$C941:$J941,"&lt;&gt;")</f>
        <v>0</v>
      </c>
      <c r="T941" s="35"/>
      <c r="U941" s="24">
        <f t="shared" si="40"/>
        <v>0</v>
      </c>
      <c r="V941" s="18" t="e">
        <f t="shared" si="41"/>
        <v>#N/A</v>
      </c>
      <c r="W941" s="45" t="e">
        <f t="shared" si="42"/>
        <v>#N/A</v>
      </c>
      <c r="X941" s="20" t="e">
        <f t="shared" si="43"/>
        <v>#N/A</v>
      </c>
      <c r="Y941" s="46" t="e">
        <f t="shared" si="46"/>
        <v>#N/A</v>
      </c>
      <c r="Z941" s="39" t="e">
        <f t="shared" si="44"/>
        <v>#N/A</v>
      </c>
      <c r="AA941" s="39" t="e">
        <f t="shared" si="45"/>
        <v>#N/A</v>
      </c>
      <c r="AB941" s="39"/>
      <c r="AC941" s="48" t="e">
        <f t="shared" si="47"/>
        <v>#N/A</v>
      </c>
    </row>
    <row r="942" spans="1:29" ht="12.5" x14ac:dyDescent="0.25">
      <c r="A942" s="36"/>
      <c r="B942" s="33"/>
      <c r="C942" s="33"/>
      <c r="D942" s="33"/>
      <c r="E942" s="35"/>
      <c r="F942" s="21"/>
      <c r="G942" s="22" t="e">
        <f>VLOOKUP(E942,'Court List'!$A:$C,2,0)</f>
        <v>#N/A</v>
      </c>
      <c r="H942" s="33"/>
      <c r="I942" s="33"/>
      <c r="J942" s="44" t="e">
        <f t="shared" si="38"/>
        <v>#N/A</v>
      </c>
      <c r="K942" s="36"/>
      <c r="L942" s="18">
        <f>SUM('Shuttle Count - Supreme (Nov 20'!C942:D942)</f>
        <v>0</v>
      </c>
      <c r="M942" s="18" t="e">
        <f>VLOOKUP(K942,'Shuttle Purchase'!A:C,3,0)</f>
        <v>#N/A</v>
      </c>
      <c r="N942" s="44" t="e">
        <f t="shared" si="48"/>
        <v>#N/A</v>
      </c>
      <c r="O942" s="24" t="e">
        <f>VLOOKUP(E942,'Court List'!$A:$C,3,0)</f>
        <v>#N/A</v>
      </c>
      <c r="P942" s="18">
        <f>COUNTIF('Pub List'!$C942:$T942,"&lt;&gt;")</f>
        <v>0</v>
      </c>
      <c r="Q942" s="20" t="e">
        <f t="shared" si="39"/>
        <v>#N/A</v>
      </c>
      <c r="R942" s="36"/>
      <c r="S942" s="18">
        <f>COUNTIF('Member List'!$C942:$J942,"&lt;&gt;")</f>
        <v>0</v>
      </c>
      <c r="T942" s="35"/>
      <c r="U942" s="24">
        <f t="shared" si="40"/>
        <v>0</v>
      </c>
      <c r="V942" s="18" t="e">
        <f t="shared" si="41"/>
        <v>#N/A</v>
      </c>
      <c r="W942" s="45" t="e">
        <f t="shared" si="42"/>
        <v>#N/A</v>
      </c>
      <c r="X942" s="20" t="e">
        <f t="shared" si="43"/>
        <v>#N/A</v>
      </c>
      <c r="Y942" s="46" t="e">
        <f t="shared" si="46"/>
        <v>#N/A</v>
      </c>
      <c r="Z942" s="39" t="e">
        <f t="shared" si="44"/>
        <v>#N/A</v>
      </c>
      <c r="AA942" s="39" t="e">
        <f t="shared" si="45"/>
        <v>#N/A</v>
      </c>
      <c r="AB942" s="39"/>
      <c r="AC942" s="48" t="e">
        <f t="shared" si="47"/>
        <v>#N/A</v>
      </c>
    </row>
    <row r="943" spans="1:29" ht="12.5" x14ac:dyDescent="0.25">
      <c r="A943" s="36"/>
      <c r="B943" s="33"/>
      <c r="C943" s="33"/>
      <c r="D943" s="33"/>
      <c r="E943" s="35"/>
      <c r="F943" s="21"/>
      <c r="G943" s="22" t="e">
        <f>VLOOKUP(E943,'Court List'!$A:$C,2,0)</f>
        <v>#N/A</v>
      </c>
      <c r="H943" s="33"/>
      <c r="I943" s="33"/>
      <c r="J943" s="44" t="e">
        <f t="shared" si="38"/>
        <v>#N/A</v>
      </c>
      <c r="K943" s="36"/>
      <c r="L943" s="18">
        <f>SUM('Shuttle Count - Supreme (Nov 20'!C943:D943)</f>
        <v>0</v>
      </c>
      <c r="M943" s="18" t="e">
        <f>VLOOKUP(K943,'Shuttle Purchase'!A:C,3,0)</f>
        <v>#N/A</v>
      </c>
      <c r="N943" s="44" t="e">
        <f t="shared" si="48"/>
        <v>#N/A</v>
      </c>
      <c r="O943" s="24" t="e">
        <f>VLOOKUP(E943,'Court List'!$A:$C,3,0)</f>
        <v>#N/A</v>
      </c>
      <c r="P943" s="18">
        <f>COUNTIF('Pub List'!$C943:$T943,"&lt;&gt;")</f>
        <v>0</v>
      </c>
      <c r="Q943" s="20" t="e">
        <f t="shared" si="39"/>
        <v>#N/A</v>
      </c>
      <c r="R943" s="36"/>
      <c r="S943" s="18">
        <f>COUNTIF('Member List'!$C943:$J943,"&lt;&gt;")</f>
        <v>0</v>
      </c>
      <c r="T943" s="35"/>
      <c r="U943" s="24">
        <f t="shared" si="40"/>
        <v>0</v>
      </c>
      <c r="V943" s="18" t="e">
        <f t="shared" si="41"/>
        <v>#N/A</v>
      </c>
      <c r="W943" s="45" t="e">
        <f t="shared" si="42"/>
        <v>#N/A</v>
      </c>
      <c r="X943" s="20" t="e">
        <f t="shared" si="43"/>
        <v>#N/A</v>
      </c>
      <c r="Y943" s="46" t="e">
        <f t="shared" si="46"/>
        <v>#N/A</v>
      </c>
      <c r="Z943" s="39" t="e">
        <f t="shared" si="44"/>
        <v>#N/A</v>
      </c>
      <c r="AA943" s="39" t="e">
        <f t="shared" si="45"/>
        <v>#N/A</v>
      </c>
      <c r="AB943" s="39"/>
      <c r="AC943" s="48" t="e">
        <f t="shared" si="47"/>
        <v>#N/A</v>
      </c>
    </row>
    <row r="944" spans="1:29" ht="12.5" x14ac:dyDescent="0.25">
      <c r="A944" s="36"/>
      <c r="B944" s="33"/>
      <c r="C944" s="33"/>
      <c r="D944" s="33"/>
      <c r="E944" s="35"/>
      <c r="F944" s="21"/>
      <c r="G944" s="22" t="e">
        <f>VLOOKUP(E944,'Court List'!$A:$C,2,0)</f>
        <v>#N/A</v>
      </c>
      <c r="H944" s="33"/>
      <c r="I944" s="33"/>
      <c r="J944" s="44" t="e">
        <f t="shared" si="38"/>
        <v>#N/A</v>
      </c>
      <c r="K944" s="36"/>
      <c r="L944" s="18">
        <f>SUM('Shuttle Count - Supreme (Nov 20'!C944:D944)</f>
        <v>0</v>
      </c>
      <c r="M944" s="18" t="e">
        <f>VLOOKUP(K944,'Shuttle Purchase'!A:C,3,0)</f>
        <v>#N/A</v>
      </c>
      <c r="N944" s="44" t="e">
        <f t="shared" si="48"/>
        <v>#N/A</v>
      </c>
      <c r="O944" s="24" t="e">
        <f>VLOOKUP(E944,'Court List'!$A:$C,3,0)</f>
        <v>#N/A</v>
      </c>
      <c r="P944" s="18">
        <f>COUNTIF('Pub List'!$C944:$T944,"&lt;&gt;")</f>
        <v>0</v>
      </c>
      <c r="Q944" s="20" t="e">
        <f t="shared" si="39"/>
        <v>#N/A</v>
      </c>
      <c r="R944" s="36"/>
      <c r="S944" s="18">
        <f>COUNTIF('Member List'!$C944:$J944,"&lt;&gt;")</f>
        <v>0</v>
      </c>
      <c r="T944" s="35"/>
      <c r="U944" s="24">
        <f t="shared" si="40"/>
        <v>0</v>
      </c>
      <c r="V944" s="18" t="e">
        <f t="shared" si="41"/>
        <v>#N/A</v>
      </c>
      <c r="W944" s="45" t="e">
        <f t="shared" si="42"/>
        <v>#N/A</v>
      </c>
      <c r="X944" s="20" t="e">
        <f t="shared" si="43"/>
        <v>#N/A</v>
      </c>
      <c r="Y944" s="46" t="e">
        <f t="shared" si="46"/>
        <v>#N/A</v>
      </c>
      <c r="Z944" s="39" t="e">
        <f t="shared" si="44"/>
        <v>#N/A</v>
      </c>
      <c r="AA944" s="39" t="e">
        <f t="shared" si="45"/>
        <v>#N/A</v>
      </c>
      <c r="AB944" s="39"/>
      <c r="AC944" s="48" t="e">
        <f t="shared" si="47"/>
        <v>#N/A</v>
      </c>
    </row>
    <row r="945" spans="1:29" ht="12.5" x14ac:dyDescent="0.25">
      <c r="A945" s="36"/>
      <c r="B945" s="33"/>
      <c r="C945" s="33"/>
      <c r="D945" s="33"/>
      <c r="E945" s="35"/>
      <c r="F945" s="21"/>
      <c r="G945" s="22" t="e">
        <f>VLOOKUP(E945,'Court List'!$A:$C,2,0)</f>
        <v>#N/A</v>
      </c>
      <c r="H945" s="33"/>
      <c r="I945" s="33"/>
      <c r="J945" s="44" t="e">
        <f t="shared" si="38"/>
        <v>#N/A</v>
      </c>
      <c r="K945" s="36"/>
      <c r="L945" s="18">
        <f>SUM('Shuttle Count - Supreme (Nov 20'!C945:D945)</f>
        <v>0</v>
      </c>
      <c r="M945" s="18" t="e">
        <f>VLOOKUP(K945,'Shuttle Purchase'!A:C,3,0)</f>
        <v>#N/A</v>
      </c>
      <c r="N945" s="44" t="e">
        <f t="shared" si="48"/>
        <v>#N/A</v>
      </c>
      <c r="O945" s="24" t="e">
        <f>VLOOKUP(E945,'Court List'!$A:$C,3,0)</f>
        <v>#N/A</v>
      </c>
      <c r="P945" s="18">
        <f>COUNTIF('Pub List'!$C945:$T945,"&lt;&gt;")</f>
        <v>0</v>
      </c>
      <c r="Q945" s="20" t="e">
        <f t="shared" si="39"/>
        <v>#N/A</v>
      </c>
      <c r="R945" s="36"/>
      <c r="S945" s="18">
        <f>COUNTIF('Member List'!$C945:$J945,"&lt;&gt;")</f>
        <v>0</v>
      </c>
      <c r="T945" s="35"/>
      <c r="U945" s="24">
        <f t="shared" si="40"/>
        <v>0</v>
      </c>
      <c r="V945" s="18" t="e">
        <f t="shared" si="41"/>
        <v>#N/A</v>
      </c>
      <c r="W945" s="45" t="e">
        <f t="shared" si="42"/>
        <v>#N/A</v>
      </c>
      <c r="X945" s="20" t="e">
        <f t="shared" si="43"/>
        <v>#N/A</v>
      </c>
      <c r="Y945" s="46" t="e">
        <f t="shared" si="46"/>
        <v>#N/A</v>
      </c>
      <c r="Z945" s="39" t="e">
        <f t="shared" si="44"/>
        <v>#N/A</v>
      </c>
      <c r="AA945" s="39" t="e">
        <f t="shared" si="45"/>
        <v>#N/A</v>
      </c>
      <c r="AB945" s="39"/>
      <c r="AC945" s="48" t="e">
        <f t="shared" si="47"/>
        <v>#N/A</v>
      </c>
    </row>
    <row r="946" spans="1:29" ht="12.5" x14ac:dyDescent="0.25">
      <c r="A946" s="36"/>
      <c r="B946" s="33"/>
      <c r="C946" s="33"/>
      <c r="D946" s="33"/>
      <c r="E946" s="35"/>
      <c r="F946" s="21"/>
      <c r="G946" s="22" t="e">
        <f>VLOOKUP(E946,'Court List'!$A:$C,2,0)</f>
        <v>#N/A</v>
      </c>
      <c r="H946" s="33"/>
      <c r="I946" s="33"/>
      <c r="J946" s="44" t="e">
        <f t="shared" si="38"/>
        <v>#N/A</v>
      </c>
      <c r="K946" s="36"/>
      <c r="L946" s="18">
        <f>SUM('Shuttle Count - Supreme (Nov 20'!C946:D946)</f>
        <v>0</v>
      </c>
      <c r="M946" s="18" t="e">
        <f>VLOOKUP(K946,'Shuttle Purchase'!A:C,3,0)</f>
        <v>#N/A</v>
      </c>
      <c r="N946" s="44" t="e">
        <f t="shared" si="48"/>
        <v>#N/A</v>
      </c>
      <c r="O946" s="24" t="e">
        <f>VLOOKUP(E946,'Court List'!$A:$C,3,0)</f>
        <v>#N/A</v>
      </c>
      <c r="P946" s="18">
        <f>COUNTIF('Pub List'!$C946:$T946,"&lt;&gt;")</f>
        <v>0</v>
      </c>
      <c r="Q946" s="20" t="e">
        <f t="shared" si="39"/>
        <v>#N/A</v>
      </c>
      <c r="R946" s="36"/>
      <c r="S946" s="18">
        <f>COUNTIF('Member List'!$C946:$J946,"&lt;&gt;")</f>
        <v>0</v>
      </c>
      <c r="T946" s="35"/>
      <c r="U946" s="24">
        <f t="shared" si="40"/>
        <v>0</v>
      </c>
      <c r="V946" s="18" t="e">
        <f t="shared" si="41"/>
        <v>#N/A</v>
      </c>
      <c r="W946" s="45" t="e">
        <f t="shared" si="42"/>
        <v>#N/A</v>
      </c>
      <c r="X946" s="20" t="e">
        <f t="shared" si="43"/>
        <v>#N/A</v>
      </c>
      <c r="Y946" s="46" t="e">
        <f t="shared" si="46"/>
        <v>#N/A</v>
      </c>
      <c r="Z946" s="39" t="e">
        <f t="shared" si="44"/>
        <v>#N/A</v>
      </c>
      <c r="AA946" s="39" t="e">
        <f t="shared" si="45"/>
        <v>#N/A</v>
      </c>
      <c r="AB946" s="39"/>
      <c r="AC946" s="48" t="e">
        <f t="shared" si="47"/>
        <v>#N/A</v>
      </c>
    </row>
    <row r="947" spans="1:29" ht="12.5" x14ac:dyDescent="0.25">
      <c r="A947" s="36"/>
      <c r="B947" s="33"/>
      <c r="C947" s="33"/>
      <c r="D947" s="33"/>
      <c r="E947" s="35"/>
      <c r="F947" s="21"/>
      <c r="G947" s="22" t="e">
        <f>VLOOKUP(E947,'Court List'!$A:$C,2,0)</f>
        <v>#N/A</v>
      </c>
      <c r="H947" s="33"/>
      <c r="I947" s="33"/>
      <c r="J947" s="44" t="e">
        <f t="shared" si="38"/>
        <v>#N/A</v>
      </c>
      <c r="K947" s="36"/>
      <c r="L947" s="18">
        <f>SUM('Shuttle Count - Supreme (Nov 20'!C947:D947)</f>
        <v>0</v>
      </c>
      <c r="M947" s="18" t="e">
        <f>VLOOKUP(K947,'Shuttle Purchase'!A:C,3,0)</f>
        <v>#N/A</v>
      </c>
      <c r="N947" s="44" t="e">
        <f t="shared" si="48"/>
        <v>#N/A</v>
      </c>
      <c r="O947" s="24" t="e">
        <f>VLOOKUP(E947,'Court List'!$A:$C,3,0)</f>
        <v>#N/A</v>
      </c>
      <c r="P947" s="18">
        <f>COUNTIF('Pub List'!$C947:$T947,"&lt;&gt;")</f>
        <v>0</v>
      </c>
      <c r="Q947" s="20" t="e">
        <f t="shared" si="39"/>
        <v>#N/A</v>
      </c>
      <c r="R947" s="36"/>
      <c r="S947" s="18">
        <f>COUNTIF('Member List'!$C947:$J947,"&lt;&gt;")</f>
        <v>0</v>
      </c>
      <c r="T947" s="35"/>
      <c r="U947" s="24">
        <f t="shared" si="40"/>
        <v>0</v>
      </c>
      <c r="V947" s="18" t="e">
        <f t="shared" si="41"/>
        <v>#N/A</v>
      </c>
      <c r="W947" s="45" t="e">
        <f t="shared" si="42"/>
        <v>#N/A</v>
      </c>
      <c r="X947" s="20" t="e">
        <f t="shared" si="43"/>
        <v>#N/A</v>
      </c>
      <c r="Y947" s="46" t="e">
        <f t="shared" si="46"/>
        <v>#N/A</v>
      </c>
      <c r="Z947" s="39" t="e">
        <f t="shared" si="44"/>
        <v>#N/A</v>
      </c>
      <c r="AA947" s="39" t="e">
        <f t="shared" si="45"/>
        <v>#N/A</v>
      </c>
      <c r="AB947" s="39"/>
      <c r="AC947" s="48" t="e">
        <f t="shared" si="47"/>
        <v>#N/A</v>
      </c>
    </row>
    <row r="948" spans="1:29" ht="12.5" x14ac:dyDescent="0.25">
      <c r="A948" s="36"/>
      <c r="B948" s="33"/>
      <c r="C948" s="33"/>
      <c r="D948" s="33"/>
      <c r="E948" s="35"/>
      <c r="F948" s="21"/>
      <c r="G948" s="22" t="e">
        <f>VLOOKUP(E948,'Court List'!$A:$C,2,0)</f>
        <v>#N/A</v>
      </c>
      <c r="H948" s="33"/>
      <c r="I948" s="33"/>
      <c r="J948" s="44" t="e">
        <f t="shared" si="38"/>
        <v>#N/A</v>
      </c>
      <c r="K948" s="36"/>
      <c r="L948" s="18">
        <f>SUM('Shuttle Count - Supreme (Nov 20'!C948:D948)</f>
        <v>0</v>
      </c>
      <c r="M948" s="18" t="e">
        <f>VLOOKUP(K948,'Shuttle Purchase'!A:C,3,0)</f>
        <v>#N/A</v>
      </c>
      <c r="N948" s="44" t="e">
        <f t="shared" si="48"/>
        <v>#N/A</v>
      </c>
      <c r="O948" s="24" t="e">
        <f>VLOOKUP(E948,'Court List'!$A:$C,3,0)</f>
        <v>#N/A</v>
      </c>
      <c r="P948" s="18">
        <f>COUNTIF('Pub List'!$C948:$T948,"&lt;&gt;")</f>
        <v>0</v>
      </c>
      <c r="Q948" s="20" t="e">
        <f t="shared" si="39"/>
        <v>#N/A</v>
      </c>
      <c r="R948" s="36"/>
      <c r="S948" s="18">
        <f>COUNTIF('Member List'!$C948:$J948,"&lt;&gt;")</f>
        <v>0</v>
      </c>
      <c r="T948" s="35"/>
      <c r="U948" s="24">
        <f t="shared" si="40"/>
        <v>0</v>
      </c>
      <c r="V948" s="18" t="e">
        <f t="shared" si="41"/>
        <v>#N/A</v>
      </c>
      <c r="W948" s="45" t="e">
        <f t="shared" si="42"/>
        <v>#N/A</v>
      </c>
      <c r="X948" s="20" t="e">
        <f t="shared" si="43"/>
        <v>#N/A</v>
      </c>
      <c r="Y948" s="46" t="e">
        <f t="shared" si="46"/>
        <v>#N/A</v>
      </c>
      <c r="Z948" s="39" t="e">
        <f t="shared" si="44"/>
        <v>#N/A</v>
      </c>
      <c r="AA948" s="39" t="e">
        <f t="shared" si="45"/>
        <v>#N/A</v>
      </c>
      <c r="AB948" s="39"/>
      <c r="AC948" s="48" t="e">
        <f t="shared" si="47"/>
        <v>#N/A</v>
      </c>
    </row>
    <row r="949" spans="1:29" ht="12.5" x14ac:dyDescent="0.25">
      <c r="A949" s="36"/>
      <c r="B949" s="33"/>
      <c r="C949" s="33"/>
      <c r="D949" s="33"/>
      <c r="E949" s="35"/>
      <c r="F949" s="21"/>
      <c r="G949" s="22" t="e">
        <f>VLOOKUP(E949,'Court List'!$A:$C,2,0)</f>
        <v>#N/A</v>
      </c>
      <c r="H949" s="33"/>
      <c r="I949" s="33"/>
      <c r="J949" s="44" t="e">
        <f t="shared" si="38"/>
        <v>#N/A</v>
      </c>
      <c r="K949" s="36"/>
      <c r="L949" s="18">
        <f>SUM('Shuttle Count - Supreme (Nov 20'!C949:D949)</f>
        <v>0</v>
      </c>
      <c r="M949" s="18" t="e">
        <f>VLOOKUP(K949,'Shuttle Purchase'!A:C,3,0)</f>
        <v>#N/A</v>
      </c>
      <c r="N949" s="44" t="e">
        <f t="shared" si="48"/>
        <v>#N/A</v>
      </c>
      <c r="O949" s="24" t="e">
        <f>VLOOKUP(E949,'Court List'!$A:$C,3,0)</f>
        <v>#N/A</v>
      </c>
      <c r="P949" s="18">
        <f>COUNTIF('Pub List'!$C949:$T949,"&lt;&gt;")</f>
        <v>0</v>
      </c>
      <c r="Q949" s="20" t="e">
        <f t="shared" si="39"/>
        <v>#N/A</v>
      </c>
      <c r="R949" s="36"/>
      <c r="S949" s="18">
        <f>COUNTIF('Member List'!$C949:$J949,"&lt;&gt;")</f>
        <v>0</v>
      </c>
      <c r="T949" s="35"/>
      <c r="U949" s="24">
        <f t="shared" si="40"/>
        <v>0</v>
      </c>
      <c r="V949" s="18" t="e">
        <f t="shared" si="41"/>
        <v>#N/A</v>
      </c>
      <c r="W949" s="45" t="e">
        <f t="shared" si="42"/>
        <v>#N/A</v>
      </c>
      <c r="X949" s="20" t="e">
        <f t="shared" si="43"/>
        <v>#N/A</v>
      </c>
      <c r="Y949" s="46" t="e">
        <f t="shared" si="46"/>
        <v>#N/A</v>
      </c>
      <c r="Z949" s="39" t="e">
        <f t="shared" si="44"/>
        <v>#N/A</v>
      </c>
      <c r="AA949" s="39" t="e">
        <f t="shared" si="45"/>
        <v>#N/A</v>
      </c>
      <c r="AB949" s="39"/>
      <c r="AC949" s="48" t="e">
        <f t="shared" si="47"/>
        <v>#N/A</v>
      </c>
    </row>
    <row r="950" spans="1:29" ht="12.5" x14ac:dyDescent="0.25">
      <c r="A950" s="36"/>
      <c r="B950" s="33"/>
      <c r="C950" s="33"/>
      <c r="D950" s="33"/>
      <c r="E950" s="35"/>
      <c r="F950" s="21"/>
      <c r="G950" s="22" t="e">
        <f>VLOOKUP(E950,'Court List'!$A:$C,2,0)</f>
        <v>#N/A</v>
      </c>
      <c r="H950" s="33"/>
      <c r="I950" s="33"/>
      <c r="J950" s="44" t="e">
        <f t="shared" si="38"/>
        <v>#N/A</v>
      </c>
      <c r="K950" s="36"/>
      <c r="L950" s="18">
        <f>SUM('Shuttle Count - Supreme (Nov 20'!C950:D950)</f>
        <v>0</v>
      </c>
      <c r="M950" s="18" t="e">
        <f>VLOOKUP(K950,'Shuttle Purchase'!A:C,3,0)</f>
        <v>#N/A</v>
      </c>
      <c r="N950" s="44" t="e">
        <f t="shared" si="48"/>
        <v>#N/A</v>
      </c>
      <c r="O950" s="24" t="e">
        <f>VLOOKUP(E950,'Court List'!$A:$C,3,0)</f>
        <v>#N/A</v>
      </c>
      <c r="P950" s="18">
        <f>COUNTIF('Pub List'!$C950:$T950,"&lt;&gt;")</f>
        <v>0</v>
      </c>
      <c r="Q950" s="20" t="e">
        <f t="shared" si="39"/>
        <v>#N/A</v>
      </c>
      <c r="R950" s="36"/>
      <c r="S950" s="18">
        <f>COUNTIF('Member List'!$C950:$J950,"&lt;&gt;")</f>
        <v>0</v>
      </c>
      <c r="T950" s="35"/>
      <c r="U950" s="24">
        <f t="shared" si="40"/>
        <v>0</v>
      </c>
      <c r="V950" s="18" t="e">
        <f t="shared" si="41"/>
        <v>#N/A</v>
      </c>
      <c r="W950" s="45" t="e">
        <f t="shared" si="42"/>
        <v>#N/A</v>
      </c>
      <c r="X950" s="20" t="e">
        <f t="shared" si="43"/>
        <v>#N/A</v>
      </c>
      <c r="Y950" s="46" t="e">
        <f t="shared" si="46"/>
        <v>#N/A</v>
      </c>
      <c r="Z950" s="39" t="e">
        <f t="shared" si="44"/>
        <v>#N/A</v>
      </c>
      <c r="AA950" s="39" t="e">
        <f t="shared" si="45"/>
        <v>#N/A</v>
      </c>
      <c r="AB950" s="39"/>
      <c r="AC950" s="48" t="e">
        <f t="shared" si="47"/>
        <v>#N/A</v>
      </c>
    </row>
    <row r="951" spans="1:29" ht="12.5" x14ac:dyDescent="0.25">
      <c r="A951" s="36"/>
      <c r="B951" s="33"/>
      <c r="C951" s="33"/>
      <c r="D951" s="33"/>
      <c r="E951" s="35"/>
      <c r="F951" s="21"/>
      <c r="G951" s="22" t="e">
        <f>VLOOKUP(E951,'Court List'!$A:$C,2,0)</f>
        <v>#N/A</v>
      </c>
      <c r="H951" s="33"/>
      <c r="I951" s="33"/>
      <c r="J951" s="44" t="e">
        <f t="shared" si="38"/>
        <v>#N/A</v>
      </c>
      <c r="K951" s="36"/>
      <c r="L951" s="18">
        <f>SUM('Shuttle Count - Supreme (Nov 20'!C951:D951)</f>
        <v>0</v>
      </c>
      <c r="M951" s="18" t="e">
        <f>VLOOKUP(K951,'Shuttle Purchase'!A:C,3,0)</f>
        <v>#N/A</v>
      </c>
      <c r="N951" s="44" t="e">
        <f t="shared" si="48"/>
        <v>#N/A</v>
      </c>
      <c r="O951" s="24" t="e">
        <f>VLOOKUP(E951,'Court List'!$A:$C,3,0)</f>
        <v>#N/A</v>
      </c>
      <c r="P951" s="18">
        <f>COUNTIF('Pub List'!$C951:$T951,"&lt;&gt;")</f>
        <v>0</v>
      </c>
      <c r="Q951" s="20" t="e">
        <f t="shared" si="39"/>
        <v>#N/A</v>
      </c>
      <c r="R951" s="36"/>
      <c r="S951" s="18">
        <f>COUNTIF('Member List'!$C951:$J951,"&lt;&gt;")</f>
        <v>0</v>
      </c>
      <c r="T951" s="35"/>
      <c r="U951" s="24">
        <f t="shared" si="40"/>
        <v>0</v>
      </c>
      <c r="V951" s="18" t="e">
        <f t="shared" si="41"/>
        <v>#N/A</v>
      </c>
      <c r="W951" s="45" t="e">
        <f t="shared" si="42"/>
        <v>#N/A</v>
      </c>
      <c r="X951" s="20" t="e">
        <f t="shared" si="43"/>
        <v>#N/A</v>
      </c>
      <c r="Y951" s="46" t="e">
        <f t="shared" si="46"/>
        <v>#N/A</v>
      </c>
      <c r="Z951" s="39" t="e">
        <f t="shared" si="44"/>
        <v>#N/A</v>
      </c>
      <c r="AA951" s="39" t="e">
        <f t="shared" si="45"/>
        <v>#N/A</v>
      </c>
      <c r="AB951" s="39"/>
      <c r="AC951" s="48" t="e">
        <f t="shared" si="47"/>
        <v>#N/A</v>
      </c>
    </row>
    <row r="952" spans="1:29" ht="12.5" x14ac:dyDescent="0.25">
      <c r="A952" s="36"/>
      <c r="B952" s="33"/>
      <c r="C952" s="33"/>
      <c r="D952" s="33"/>
      <c r="E952" s="35"/>
      <c r="F952" s="21"/>
      <c r="G952" s="22" t="e">
        <f>VLOOKUP(E952,'Court List'!$A:$C,2,0)</f>
        <v>#N/A</v>
      </c>
      <c r="H952" s="33"/>
      <c r="I952" s="33"/>
      <c r="J952" s="44" t="e">
        <f t="shared" si="38"/>
        <v>#N/A</v>
      </c>
      <c r="K952" s="36"/>
      <c r="L952" s="18">
        <f>SUM('Shuttle Count - Supreme (Nov 20'!C952:D952)</f>
        <v>0</v>
      </c>
      <c r="M952" s="18" t="e">
        <f>VLOOKUP(K952,'Shuttle Purchase'!A:C,3,0)</f>
        <v>#N/A</v>
      </c>
      <c r="N952" s="44" t="e">
        <f t="shared" si="48"/>
        <v>#N/A</v>
      </c>
      <c r="O952" s="24" t="e">
        <f>VLOOKUP(E952,'Court List'!$A:$C,3,0)</f>
        <v>#N/A</v>
      </c>
      <c r="P952" s="18">
        <f>COUNTIF('Pub List'!$C952:$T952,"&lt;&gt;")</f>
        <v>0</v>
      </c>
      <c r="Q952" s="20" t="e">
        <f t="shared" si="39"/>
        <v>#N/A</v>
      </c>
      <c r="R952" s="36"/>
      <c r="S952" s="18">
        <f>COUNTIF('Member List'!$C952:$J952,"&lt;&gt;")</f>
        <v>0</v>
      </c>
      <c r="T952" s="35"/>
      <c r="U952" s="24">
        <f t="shared" si="40"/>
        <v>0</v>
      </c>
      <c r="V952" s="18" t="e">
        <f t="shared" si="41"/>
        <v>#N/A</v>
      </c>
      <c r="W952" s="45" t="e">
        <f t="shared" si="42"/>
        <v>#N/A</v>
      </c>
      <c r="X952" s="20" t="e">
        <f t="shared" si="43"/>
        <v>#N/A</v>
      </c>
      <c r="Y952" s="46" t="e">
        <f t="shared" si="46"/>
        <v>#N/A</v>
      </c>
      <c r="Z952" s="39" t="e">
        <f t="shared" si="44"/>
        <v>#N/A</v>
      </c>
      <c r="AA952" s="39" t="e">
        <f t="shared" si="45"/>
        <v>#N/A</v>
      </c>
      <c r="AB952" s="39"/>
      <c r="AC952" s="48" t="e">
        <f t="shared" si="47"/>
        <v>#N/A</v>
      </c>
    </row>
    <row r="953" spans="1:29" ht="12.5" x14ac:dyDescent="0.25">
      <c r="A953" s="36"/>
      <c r="B953" s="33"/>
      <c r="C953" s="33"/>
      <c r="D953" s="33"/>
      <c r="E953" s="35"/>
      <c r="F953" s="21"/>
      <c r="G953" s="22" t="e">
        <f>VLOOKUP(E953,'Court List'!$A:$C,2,0)</f>
        <v>#N/A</v>
      </c>
      <c r="H953" s="33"/>
      <c r="I953" s="33"/>
      <c r="J953" s="44" t="e">
        <f t="shared" si="38"/>
        <v>#N/A</v>
      </c>
      <c r="K953" s="36"/>
      <c r="L953" s="18">
        <f>SUM('Shuttle Count - Supreme (Nov 20'!C953:D953)</f>
        <v>0</v>
      </c>
      <c r="M953" s="18" t="e">
        <f>VLOOKUP(K953,'Shuttle Purchase'!A:C,3,0)</f>
        <v>#N/A</v>
      </c>
      <c r="N953" s="44" t="e">
        <f t="shared" si="48"/>
        <v>#N/A</v>
      </c>
      <c r="O953" s="24" t="e">
        <f>VLOOKUP(E953,'Court List'!$A:$C,3,0)</f>
        <v>#N/A</v>
      </c>
      <c r="P953" s="18">
        <f>COUNTIF('Pub List'!$C953:$T953,"&lt;&gt;")</f>
        <v>0</v>
      </c>
      <c r="Q953" s="20" t="e">
        <f t="shared" si="39"/>
        <v>#N/A</v>
      </c>
      <c r="R953" s="36"/>
      <c r="S953" s="18">
        <f>COUNTIF('Member List'!$C953:$J953,"&lt;&gt;")</f>
        <v>0</v>
      </c>
      <c r="T953" s="35"/>
      <c r="U953" s="24">
        <f t="shared" si="40"/>
        <v>0</v>
      </c>
      <c r="V953" s="18" t="e">
        <f t="shared" si="41"/>
        <v>#N/A</v>
      </c>
      <c r="W953" s="45" t="e">
        <f t="shared" si="42"/>
        <v>#N/A</v>
      </c>
      <c r="X953" s="20" t="e">
        <f t="shared" si="43"/>
        <v>#N/A</v>
      </c>
      <c r="Y953" s="46" t="e">
        <f t="shared" si="46"/>
        <v>#N/A</v>
      </c>
      <c r="Z953" s="39" t="e">
        <f t="shared" si="44"/>
        <v>#N/A</v>
      </c>
      <c r="AA953" s="39" t="e">
        <f t="shared" si="45"/>
        <v>#N/A</v>
      </c>
      <c r="AB953" s="39"/>
      <c r="AC953" s="48" t="e">
        <f t="shared" si="47"/>
        <v>#N/A</v>
      </c>
    </row>
    <row r="954" spans="1:29" ht="12.5" x14ac:dyDescent="0.25">
      <c r="A954" s="36"/>
      <c r="B954" s="33"/>
      <c r="C954" s="33"/>
      <c r="D954" s="33"/>
      <c r="E954" s="35"/>
      <c r="F954" s="21"/>
      <c r="G954" s="22" t="e">
        <f>VLOOKUP(E954,'Court List'!$A:$C,2,0)</f>
        <v>#N/A</v>
      </c>
      <c r="H954" s="33"/>
      <c r="I954" s="33"/>
      <c r="J954" s="44" t="e">
        <f t="shared" si="38"/>
        <v>#N/A</v>
      </c>
      <c r="K954" s="36"/>
      <c r="L954" s="18">
        <f>SUM('Shuttle Count - Supreme (Nov 20'!C954:D954)</f>
        <v>0</v>
      </c>
      <c r="M954" s="18" t="e">
        <f>VLOOKUP(K954,'Shuttle Purchase'!A:C,3,0)</f>
        <v>#N/A</v>
      </c>
      <c r="N954" s="44" t="e">
        <f t="shared" si="48"/>
        <v>#N/A</v>
      </c>
      <c r="O954" s="24" t="e">
        <f>VLOOKUP(E954,'Court List'!$A:$C,3,0)</f>
        <v>#N/A</v>
      </c>
      <c r="P954" s="18">
        <f>COUNTIF('Pub List'!$C954:$T954,"&lt;&gt;")</f>
        <v>0</v>
      </c>
      <c r="Q954" s="20" t="e">
        <f t="shared" si="39"/>
        <v>#N/A</v>
      </c>
      <c r="R954" s="36"/>
      <c r="S954" s="18">
        <f>COUNTIF('Member List'!$C954:$J954,"&lt;&gt;")</f>
        <v>0</v>
      </c>
      <c r="T954" s="35"/>
      <c r="U954" s="24">
        <f t="shared" si="40"/>
        <v>0</v>
      </c>
      <c r="V954" s="18" t="e">
        <f t="shared" si="41"/>
        <v>#N/A</v>
      </c>
      <c r="W954" s="45" t="e">
        <f t="shared" si="42"/>
        <v>#N/A</v>
      </c>
      <c r="X954" s="20" t="e">
        <f t="shared" si="43"/>
        <v>#N/A</v>
      </c>
      <c r="Y954" s="46" t="e">
        <f t="shared" si="46"/>
        <v>#N/A</v>
      </c>
      <c r="Z954" s="39" t="e">
        <f t="shared" si="44"/>
        <v>#N/A</v>
      </c>
      <c r="AA954" s="39" t="e">
        <f t="shared" si="45"/>
        <v>#N/A</v>
      </c>
      <c r="AB954" s="39"/>
      <c r="AC954" s="48" t="e">
        <f t="shared" si="47"/>
        <v>#N/A</v>
      </c>
    </row>
    <row r="955" spans="1:29" ht="12.5" x14ac:dyDescent="0.25">
      <c r="A955" s="36"/>
      <c r="B955" s="33"/>
      <c r="C955" s="33"/>
      <c r="D955" s="33"/>
      <c r="E955" s="35"/>
      <c r="F955" s="21"/>
      <c r="G955" s="22" t="e">
        <f>VLOOKUP(E955,'Court List'!$A:$C,2,0)</f>
        <v>#N/A</v>
      </c>
      <c r="H955" s="33"/>
      <c r="I955" s="33"/>
      <c r="J955" s="44" t="e">
        <f t="shared" si="38"/>
        <v>#N/A</v>
      </c>
      <c r="K955" s="36"/>
      <c r="L955" s="18">
        <f>SUM('Shuttle Count - Supreme (Nov 20'!C955:D955)</f>
        <v>0</v>
      </c>
      <c r="M955" s="18" t="e">
        <f>VLOOKUP(K955,'Shuttle Purchase'!A:C,3,0)</f>
        <v>#N/A</v>
      </c>
      <c r="N955" s="44" t="e">
        <f t="shared" si="48"/>
        <v>#N/A</v>
      </c>
      <c r="O955" s="24" t="e">
        <f>VLOOKUP(E955,'Court List'!$A:$C,3,0)</f>
        <v>#N/A</v>
      </c>
      <c r="P955" s="18">
        <f>COUNTIF('Pub List'!$C955:$T955,"&lt;&gt;")</f>
        <v>0</v>
      </c>
      <c r="Q955" s="20" t="e">
        <f t="shared" si="39"/>
        <v>#N/A</v>
      </c>
      <c r="R955" s="36"/>
      <c r="S955" s="18">
        <f>COUNTIF('Member List'!$C955:$J955,"&lt;&gt;")</f>
        <v>0</v>
      </c>
      <c r="T955" s="35"/>
      <c r="U955" s="24">
        <f t="shared" si="40"/>
        <v>0</v>
      </c>
      <c r="V955" s="18" t="e">
        <f t="shared" si="41"/>
        <v>#N/A</v>
      </c>
      <c r="W955" s="45" t="e">
        <f t="shared" si="42"/>
        <v>#N/A</v>
      </c>
      <c r="X955" s="20" t="e">
        <f t="shared" si="43"/>
        <v>#N/A</v>
      </c>
      <c r="Y955" s="46" t="e">
        <f t="shared" si="46"/>
        <v>#N/A</v>
      </c>
      <c r="Z955" s="39" t="e">
        <f t="shared" si="44"/>
        <v>#N/A</v>
      </c>
      <c r="AA955" s="39" t="e">
        <f t="shared" si="45"/>
        <v>#N/A</v>
      </c>
      <c r="AB955" s="39"/>
      <c r="AC955" s="48" t="e">
        <f t="shared" si="47"/>
        <v>#N/A</v>
      </c>
    </row>
    <row r="956" spans="1:29" ht="12.5" x14ac:dyDescent="0.25">
      <c r="A956" s="36"/>
      <c r="B956" s="33"/>
      <c r="C956" s="33"/>
      <c r="D956" s="33"/>
      <c r="E956" s="35"/>
      <c r="F956" s="21"/>
      <c r="G956" s="22" t="e">
        <f>VLOOKUP(E956,'Court List'!$A:$C,2,0)</f>
        <v>#N/A</v>
      </c>
      <c r="H956" s="33"/>
      <c r="I956" s="33"/>
      <c r="J956" s="44" t="e">
        <f t="shared" si="38"/>
        <v>#N/A</v>
      </c>
      <c r="K956" s="36"/>
      <c r="L956" s="18">
        <f>SUM('Shuttle Count - Supreme (Nov 20'!C956:D956)</f>
        <v>0</v>
      </c>
      <c r="M956" s="18" t="e">
        <f>VLOOKUP(K956,'Shuttle Purchase'!A:C,3,0)</f>
        <v>#N/A</v>
      </c>
      <c r="N956" s="44" t="e">
        <f t="shared" si="48"/>
        <v>#N/A</v>
      </c>
      <c r="O956" s="24" t="e">
        <f>VLOOKUP(E956,'Court List'!$A:$C,3,0)</f>
        <v>#N/A</v>
      </c>
      <c r="P956" s="18">
        <f>COUNTIF('Pub List'!$C956:$T956,"&lt;&gt;")</f>
        <v>0</v>
      </c>
      <c r="Q956" s="20" t="e">
        <f t="shared" si="39"/>
        <v>#N/A</v>
      </c>
      <c r="R956" s="36"/>
      <c r="S956" s="18">
        <f>COUNTIF('Member List'!$C956:$J956,"&lt;&gt;")</f>
        <v>0</v>
      </c>
      <c r="T956" s="35"/>
      <c r="U956" s="24">
        <f t="shared" si="40"/>
        <v>0</v>
      </c>
      <c r="V956" s="18" t="e">
        <f t="shared" si="41"/>
        <v>#N/A</v>
      </c>
      <c r="W956" s="45" t="e">
        <f t="shared" si="42"/>
        <v>#N/A</v>
      </c>
      <c r="X956" s="20" t="e">
        <f t="shared" si="43"/>
        <v>#N/A</v>
      </c>
      <c r="Y956" s="46" t="e">
        <f t="shared" si="46"/>
        <v>#N/A</v>
      </c>
      <c r="Z956" s="39" t="e">
        <f t="shared" si="44"/>
        <v>#N/A</v>
      </c>
      <c r="AA956" s="39" t="e">
        <f t="shared" si="45"/>
        <v>#N/A</v>
      </c>
      <c r="AB956" s="39"/>
      <c r="AC956" s="48" t="e">
        <f t="shared" si="47"/>
        <v>#N/A</v>
      </c>
    </row>
    <row r="957" spans="1:29" ht="12.5" x14ac:dyDescent="0.25">
      <c r="A957" s="36"/>
      <c r="B957" s="33"/>
      <c r="C957" s="33"/>
      <c r="D957" s="33"/>
      <c r="E957" s="35"/>
      <c r="F957" s="21"/>
      <c r="G957" s="22" t="e">
        <f>VLOOKUP(E957,'Court List'!$A:$C,2,0)</f>
        <v>#N/A</v>
      </c>
      <c r="H957" s="33"/>
      <c r="I957" s="33"/>
      <c r="J957" s="44" t="e">
        <f t="shared" si="38"/>
        <v>#N/A</v>
      </c>
      <c r="K957" s="36"/>
      <c r="L957" s="18">
        <f>SUM('Shuttle Count - Supreme (Nov 20'!C957:D957)</f>
        <v>0</v>
      </c>
      <c r="M957" s="18" t="e">
        <f>VLOOKUP(K957,'Shuttle Purchase'!A:C,3,0)</f>
        <v>#N/A</v>
      </c>
      <c r="N957" s="44" t="e">
        <f t="shared" si="48"/>
        <v>#N/A</v>
      </c>
      <c r="O957" s="24" t="e">
        <f>VLOOKUP(E957,'Court List'!$A:$C,3,0)</f>
        <v>#N/A</v>
      </c>
      <c r="P957" s="18">
        <f>COUNTIF('Pub List'!$C957:$T957,"&lt;&gt;")</f>
        <v>0</v>
      </c>
      <c r="Q957" s="20" t="e">
        <f t="shared" si="39"/>
        <v>#N/A</v>
      </c>
      <c r="R957" s="36"/>
      <c r="S957" s="18">
        <f>COUNTIF('Member List'!$C957:$J957,"&lt;&gt;")</f>
        <v>0</v>
      </c>
      <c r="T957" s="35"/>
      <c r="U957" s="24">
        <f t="shared" si="40"/>
        <v>0</v>
      </c>
      <c r="V957" s="18" t="e">
        <f t="shared" si="41"/>
        <v>#N/A</v>
      </c>
      <c r="W957" s="45" t="e">
        <f t="shared" si="42"/>
        <v>#N/A</v>
      </c>
      <c r="X957" s="20" t="e">
        <f t="shared" si="43"/>
        <v>#N/A</v>
      </c>
      <c r="Y957" s="46" t="e">
        <f t="shared" si="46"/>
        <v>#N/A</v>
      </c>
      <c r="Z957" s="39" t="e">
        <f t="shared" si="44"/>
        <v>#N/A</v>
      </c>
      <c r="AA957" s="39" t="e">
        <f t="shared" si="45"/>
        <v>#N/A</v>
      </c>
      <c r="AB957" s="39"/>
      <c r="AC957" s="48" t="e">
        <f t="shared" si="47"/>
        <v>#N/A</v>
      </c>
    </row>
    <row r="958" spans="1:29" ht="12.5" x14ac:dyDescent="0.25">
      <c r="A958" s="36"/>
      <c r="B958" s="33"/>
      <c r="C958" s="33"/>
      <c r="D958" s="33"/>
      <c r="E958" s="35"/>
      <c r="F958" s="21"/>
      <c r="G958" s="22" t="e">
        <f>VLOOKUP(E958,'Court List'!$A:$C,2,0)</f>
        <v>#N/A</v>
      </c>
      <c r="H958" s="33"/>
      <c r="I958" s="33"/>
      <c r="J958" s="44" t="e">
        <f t="shared" si="38"/>
        <v>#N/A</v>
      </c>
      <c r="K958" s="36"/>
      <c r="L958" s="18">
        <f>SUM('Shuttle Count - Supreme (Nov 20'!C958:D958)</f>
        <v>0</v>
      </c>
      <c r="M958" s="18" t="e">
        <f>VLOOKUP(K958,'Shuttle Purchase'!A:C,3,0)</f>
        <v>#N/A</v>
      </c>
      <c r="N958" s="44" t="e">
        <f t="shared" si="48"/>
        <v>#N/A</v>
      </c>
      <c r="O958" s="24" t="e">
        <f>VLOOKUP(E958,'Court List'!$A:$C,3,0)</f>
        <v>#N/A</v>
      </c>
      <c r="P958" s="18">
        <f>COUNTIF('Pub List'!$C958:$T958,"&lt;&gt;")</f>
        <v>0</v>
      </c>
      <c r="Q958" s="20" t="e">
        <f t="shared" si="39"/>
        <v>#N/A</v>
      </c>
      <c r="R958" s="36"/>
      <c r="S958" s="18">
        <f>COUNTIF('Member List'!$C958:$J958,"&lt;&gt;")</f>
        <v>0</v>
      </c>
      <c r="T958" s="35"/>
      <c r="U958" s="24">
        <f t="shared" si="40"/>
        <v>0</v>
      </c>
      <c r="V958" s="18" t="e">
        <f t="shared" si="41"/>
        <v>#N/A</v>
      </c>
      <c r="W958" s="45" t="e">
        <f t="shared" si="42"/>
        <v>#N/A</v>
      </c>
      <c r="X958" s="20" t="e">
        <f t="shared" si="43"/>
        <v>#N/A</v>
      </c>
      <c r="Y958" s="46" t="e">
        <f t="shared" si="46"/>
        <v>#N/A</v>
      </c>
      <c r="Z958" s="39" t="e">
        <f t="shared" si="44"/>
        <v>#N/A</v>
      </c>
      <c r="AA958" s="39" t="e">
        <f t="shared" si="45"/>
        <v>#N/A</v>
      </c>
      <c r="AB958" s="39"/>
      <c r="AC958" s="48" t="e">
        <f t="shared" si="47"/>
        <v>#N/A</v>
      </c>
    </row>
    <row r="959" spans="1:29" ht="12.5" x14ac:dyDescent="0.25">
      <c r="A959" s="36"/>
      <c r="B959" s="33"/>
      <c r="C959" s="33"/>
      <c r="D959" s="33"/>
      <c r="E959" s="35"/>
      <c r="F959" s="21"/>
      <c r="G959" s="22" t="e">
        <f>VLOOKUP(E959,'Court List'!$A:$C,2,0)</f>
        <v>#N/A</v>
      </c>
      <c r="H959" s="33"/>
      <c r="I959" s="33"/>
      <c r="J959" s="44" t="e">
        <f t="shared" si="38"/>
        <v>#N/A</v>
      </c>
      <c r="K959" s="36"/>
      <c r="L959" s="18">
        <f>SUM('Shuttle Count - Supreme (Nov 20'!C959:D959)</f>
        <v>0</v>
      </c>
      <c r="M959" s="18" t="e">
        <f>VLOOKUP(K959,'Shuttle Purchase'!A:C,3,0)</f>
        <v>#N/A</v>
      </c>
      <c r="N959" s="44" t="e">
        <f t="shared" si="48"/>
        <v>#N/A</v>
      </c>
      <c r="O959" s="24" t="e">
        <f>VLOOKUP(E959,'Court List'!$A:$C,3,0)</f>
        <v>#N/A</v>
      </c>
      <c r="P959" s="18">
        <f>COUNTIF('Pub List'!$C959:$T959,"&lt;&gt;")</f>
        <v>0</v>
      </c>
      <c r="Q959" s="20" t="e">
        <f t="shared" si="39"/>
        <v>#N/A</v>
      </c>
      <c r="R959" s="36"/>
      <c r="S959" s="18">
        <f>COUNTIF('Member List'!$C959:$J959,"&lt;&gt;")</f>
        <v>0</v>
      </c>
      <c r="T959" s="35"/>
      <c r="U959" s="24">
        <f t="shared" si="40"/>
        <v>0</v>
      </c>
      <c r="V959" s="18" t="e">
        <f t="shared" si="41"/>
        <v>#N/A</v>
      </c>
      <c r="W959" s="45" t="e">
        <f t="shared" si="42"/>
        <v>#N/A</v>
      </c>
      <c r="X959" s="20" t="e">
        <f t="shared" si="43"/>
        <v>#N/A</v>
      </c>
      <c r="Y959" s="46" t="e">
        <f t="shared" si="46"/>
        <v>#N/A</v>
      </c>
      <c r="Z959" s="39" t="e">
        <f t="shared" si="44"/>
        <v>#N/A</v>
      </c>
      <c r="AA959" s="39" t="e">
        <f t="shared" si="45"/>
        <v>#N/A</v>
      </c>
      <c r="AB959" s="39"/>
      <c r="AC959" s="48" t="e">
        <f t="shared" si="47"/>
        <v>#N/A</v>
      </c>
    </row>
    <row r="960" spans="1:29" ht="12.5" x14ac:dyDescent="0.25">
      <c r="A960" s="36"/>
      <c r="B960" s="33"/>
      <c r="C960" s="33"/>
      <c r="D960" s="33"/>
      <c r="E960" s="35"/>
      <c r="F960" s="21"/>
      <c r="G960" s="22" t="e">
        <f>VLOOKUP(E960,'Court List'!$A:$C,2,0)</f>
        <v>#N/A</v>
      </c>
      <c r="H960" s="33"/>
      <c r="I960" s="33"/>
      <c r="J960" s="44" t="e">
        <f t="shared" si="38"/>
        <v>#N/A</v>
      </c>
      <c r="K960" s="36"/>
      <c r="L960" s="18">
        <f>SUM('Shuttle Count - Supreme (Nov 20'!C960:D960)</f>
        <v>0</v>
      </c>
      <c r="M960" s="18" t="e">
        <f>VLOOKUP(K960,'Shuttle Purchase'!A:C,3,0)</f>
        <v>#N/A</v>
      </c>
      <c r="N960" s="44" t="e">
        <f t="shared" si="48"/>
        <v>#N/A</v>
      </c>
      <c r="O960" s="24" t="e">
        <f>VLOOKUP(E960,'Court List'!$A:$C,3,0)</f>
        <v>#N/A</v>
      </c>
      <c r="P960" s="18">
        <f>COUNTIF('Pub List'!$C960:$T960,"&lt;&gt;")</f>
        <v>0</v>
      </c>
      <c r="Q960" s="20" t="e">
        <f t="shared" si="39"/>
        <v>#N/A</v>
      </c>
      <c r="R960" s="36"/>
      <c r="S960" s="18">
        <f>COUNTIF('Member List'!$C960:$J960,"&lt;&gt;")</f>
        <v>0</v>
      </c>
      <c r="T960" s="35"/>
      <c r="U960" s="24">
        <f t="shared" si="40"/>
        <v>0</v>
      </c>
      <c r="V960" s="18" t="e">
        <f t="shared" si="41"/>
        <v>#N/A</v>
      </c>
      <c r="W960" s="45" t="e">
        <f t="shared" si="42"/>
        <v>#N/A</v>
      </c>
      <c r="X960" s="20" t="e">
        <f t="shared" si="43"/>
        <v>#N/A</v>
      </c>
      <c r="Y960" s="46" t="e">
        <f t="shared" si="46"/>
        <v>#N/A</v>
      </c>
      <c r="Z960" s="39" t="e">
        <f t="shared" si="44"/>
        <v>#N/A</v>
      </c>
      <c r="AA960" s="39" t="e">
        <f t="shared" si="45"/>
        <v>#N/A</v>
      </c>
      <c r="AB960" s="39"/>
      <c r="AC960" s="48" t="e">
        <f t="shared" si="47"/>
        <v>#N/A</v>
      </c>
    </row>
    <row r="961" spans="1:29" ht="12.5" x14ac:dyDescent="0.25">
      <c r="A961" s="36"/>
      <c r="B961" s="33"/>
      <c r="C961" s="33"/>
      <c r="D961" s="33"/>
      <c r="E961" s="35"/>
      <c r="F961" s="21"/>
      <c r="G961" s="22" t="e">
        <f>VLOOKUP(E961,'Court List'!$A:$C,2,0)</f>
        <v>#N/A</v>
      </c>
      <c r="H961" s="33"/>
      <c r="I961" s="33"/>
      <c r="J961" s="44" t="e">
        <f t="shared" si="38"/>
        <v>#N/A</v>
      </c>
      <c r="K961" s="36"/>
      <c r="L961" s="18">
        <f>SUM('Shuttle Count - Supreme (Nov 20'!C961:D961)</f>
        <v>0</v>
      </c>
      <c r="M961" s="18" t="e">
        <f>VLOOKUP(K961,'Shuttle Purchase'!A:C,3,0)</f>
        <v>#N/A</v>
      </c>
      <c r="N961" s="44" t="e">
        <f t="shared" si="48"/>
        <v>#N/A</v>
      </c>
      <c r="O961" s="24" t="e">
        <f>VLOOKUP(E961,'Court List'!$A:$C,3,0)</f>
        <v>#N/A</v>
      </c>
      <c r="P961" s="18">
        <f>COUNTIF('Pub List'!$C961:$T961,"&lt;&gt;")</f>
        <v>0</v>
      </c>
      <c r="Q961" s="20" t="e">
        <f t="shared" si="39"/>
        <v>#N/A</v>
      </c>
      <c r="R961" s="36"/>
      <c r="S961" s="18">
        <f>COUNTIF('Member List'!$C961:$J961,"&lt;&gt;")</f>
        <v>0</v>
      </c>
      <c r="T961" s="35"/>
      <c r="U961" s="24">
        <f t="shared" si="40"/>
        <v>0</v>
      </c>
      <c r="V961" s="18" t="e">
        <f t="shared" si="41"/>
        <v>#N/A</v>
      </c>
      <c r="W961" s="45" t="e">
        <f t="shared" si="42"/>
        <v>#N/A</v>
      </c>
      <c r="X961" s="20" t="e">
        <f t="shared" si="43"/>
        <v>#N/A</v>
      </c>
      <c r="Y961" s="46" t="e">
        <f t="shared" si="46"/>
        <v>#N/A</v>
      </c>
      <c r="Z961" s="39" t="e">
        <f t="shared" si="44"/>
        <v>#N/A</v>
      </c>
      <c r="AA961" s="39" t="e">
        <f t="shared" si="45"/>
        <v>#N/A</v>
      </c>
      <c r="AB961" s="39"/>
      <c r="AC961" s="48" t="e">
        <f t="shared" si="47"/>
        <v>#N/A</v>
      </c>
    </row>
    <row r="962" spans="1:29" ht="12.5" x14ac:dyDescent="0.25">
      <c r="A962" s="36"/>
      <c r="B962" s="33"/>
      <c r="C962" s="33"/>
      <c r="D962" s="33"/>
      <c r="E962" s="35"/>
      <c r="F962" s="21"/>
      <c r="G962" s="22" t="e">
        <f>VLOOKUP(E962,'Court List'!$A:$C,2,0)</f>
        <v>#N/A</v>
      </c>
      <c r="H962" s="33"/>
      <c r="I962" s="33"/>
      <c r="J962" s="44" t="e">
        <f t="shared" si="38"/>
        <v>#N/A</v>
      </c>
      <c r="K962" s="36"/>
      <c r="L962" s="18">
        <f>SUM('Shuttle Count - Supreme (Nov 20'!C962:D962)</f>
        <v>0</v>
      </c>
      <c r="M962" s="18" t="e">
        <f>VLOOKUP(K962,'Shuttle Purchase'!A:C,3,0)</f>
        <v>#N/A</v>
      </c>
      <c r="N962" s="44" t="e">
        <f t="shared" si="48"/>
        <v>#N/A</v>
      </c>
      <c r="O962" s="24" t="e">
        <f>VLOOKUP(E962,'Court List'!$A:$C,3,0)</f>
        <v>#N/A</v>
      </c>
      <c r="P962" s="18">
        <f>COUNTIF('Pub List'!$C962:$T962,"&lt;&gt;")</f>
        <v>0</v>
      </c>
      <c r="Q962" s="20" t="e">
        <f t="shared" si="39"/>
        <v>#N/A</v>
      </c>
      <c r="R962" s="36"/>
      <c r="S962" s="18">
        <f>COUNTIF('Member List'!$C962:$J962,"&lt;&gt;")</f>
        <v>0</v>
      </c>
      <c r="T962" s="35"/>
      <c r="U962" s="24">
        <f t="shared" si="40"/>
        <v>0</v>
      </c>
      <c r="V962" s="18" t="e">
        <f t="shared" si="41"/>
        <v>#N/A</v>
      </c>
      <c r="W962" s="45" t="e">
        <f t="shared" si="42"/>
        <v>#N/A</v>
      </c>
      <c r="X962" s="20" t="e">
        <f t="shared" si="43"/>
        <v>#N/A</v>
      </c>
      <c r="Y962" s="46" t="e">
        <f t="shared" si="46"/>
        <v>#N/A</v>
      </c>
      <c r="Z962" s="39" t="e">
        <f t="shared" si="44"/>
        <v>#N/A</v>
      </c>
      <c r="AA962" s="39" t="e">
        <f t="shared" si="45"/>
        <v>#N/A</v>
      </c>
      <c r="AB962" s="39"/>
      <c r="AC962" s="48" t="e">
        <f t="shared" si="47"/>
        <v>#N/A</v>
      </c>
    </row>
    <row r="963" spans="1:29" ht="12.5" x14ac:dyDescent="0.25">
      <c r="A963" s="36"/>
      <c r="B963" s="33"/>
      <c r="C963" s="33"/>
      <c r="D963" s="33"/>
      <c r="E963" s="35"/>
      <c r="F963" s="21"/>
      <c r="G963" s="22" t="e">
        <f>VLOOKUP(E963,'Court List'!$A:$C,2,0)</f>
        <v>#N/A</v>
      </c>
      <c r="H963" s="33"/>
      <c r="I963" s="33"/>
      <c r="J963" s="44" t="e">
        <f t="shared" si="38"/>
        <v>#N/A</v>
      </c>
      <c r="K963" s="36"/>
      <c r="L963" s="18">
        <f>SUM('Shuttle Count - Supreme (Nov 20'!C963:D963)</f>
        <v>0</v>
      </c>
      <c r="M963" s="18" t="e">
        <f>VLOOKUP(K963,'Shuttle Purchase'!A:C,3,0)</f>
        <v>#N/A</v>
      </c>
      <c r="N963" s="44" t="e">
        <f t="shared" si="48"/>
        <v>#N/A</v>
      </c>
      <c r="O963" s="24" t="e">
        <f>VLOOKUP(E963,'Court List'!$A:$C,3,0)</f>
        <v>#N/A</v>
      </c>
      <c r="P963" s="18">
        <f>COUNTIF('Pub List'!$C963:$T963,"&lt;&gt;")</f>
        <v>0</v>
      </c>
      <c r="Q963" s="20" t="e">
        <f t="shared" si="39"/>
        <v>#N/A</v>
      </c>
      <c r="R963" s="36"/>
      <c r="S963" s="18">
        <f>COUNTIF('Member List'!$C963:$J963,"&lt;&gt;")</f>
        <v>0</v>
      </c>
      <c r="T963" s="35"/>
      <c r="U963" s="24">
        <f t="shared" si="40"/>
        <v>0</v>
      </c>
      <c r="V963" s="18" t="e">
        <f t="shared" si="41"/>
        <v>#N/A</v>
      </c>
      <c r="W963" s="45" t="e">
        <f t="shared" si="42"/>
        <v>#N/A</v>
      </c>
      <c r="X963" s="20" t="e">
        <f t="shared" si="43"/>
        <v>#N/A</v>
      </c>
      <c r="Y963" s="46" t="e">
        <f t="shared" si="46"/>
        <v>#N/A</v>
      </c>
      <c r="Z963" s="39" t="e">
        <f t="shared" si="44"/>
        <v>#N/A</v>
      </c>
      <c r="AA963" s="39" t="e">
        <f t="shared" si="45"/>
        <v>#N/A</v>
      </c>
      <c r="AB963" s="39"/>
      <c r="AC963" s="48" t="e">
        <f t="shared" si="47"/>
        <v>#N/A</v>
      </c>
    </row>
    <row r="964" spans="1:29" ht="12.5" x14ac:dyDescent="0.25">
      <c r="A964" s="36"/>
      <c r="B964" s="33"/>
      <c r="C964" s="33"/>
      <c r="D964" s="33"/>
      <c r="E964" s="35"/>
      <c r="F964" s="21"/>
      <c r="G964" s="22" t="e">
        <f>VLOOKUP(E964,'Court List'!$A:$C,2,0)</f>
        <v>#N/A</v>
      </c>
      <c r="H964" s="33"/>
      <c r="I964" s="33"/>
      <c r="J964" s="44" t="e">
        <f t="shared" si="38"/>
        <v>#N/A</v>
      </c>
      <c r="K964" s="36"/>
      <c r="L964" s="18">
        <f>SUM('Shuttle Count - Supreme (Nov 20'!C964:D964)</f>
        <v>0</v>
      </c>
      <c r="M964" s="18" t="e">
        <f>VLOOKUP(K964,'Shuttle Purchase'!A:C,3,0)</f>
        <v>#N/A</v>
      </c>
      <c r="N964" s="44" t="e">
        <f t="shared" si="48"/>
        <v>#N/A</v>
      </c>
      <c r="O964" s="24" t="e">
        <f>VLOOKUP(E964,'Court List'!$A:$C,3,0)</f>
        <v>#N/A</v>
      </c>
      <c r="P964" s="18">
        <f>COUNTIF('Pub List'!$C964:$T964,"&lt;&gt;")</f>
        <v>0</v>
      </c>
      <c r="Q964" s="20" t="e">
        <f t="shared" si="39"/>
        <v>#N/A</v>
      </c>
      <c r="R964" s="36"/>
      <c r="S964" s="18">
        <f>COUNTIF('Member List'!$C964:$J964,"&lt;&gt;")</f>
        <v>0</v>
      </c>
      <c r="T964" s="35"/>
      <c r="U964" s="24">
        <f t="shared" si="40"/>
        <v>0</v>
      </c>
      <c r="V964" s="18" t="e">
        <f t="shared" si="41"/>
        <v>#N/A</v>
      </c>
      <c r="W964" s="45" t="e">
        <f t="shared" si="42"/>
        <v>#N/A</v>
      </c>
      <c r="X964" s="20" t="e">
        <f t="shared" si="43"/>
        <v>#N/A</v>
      </c>
      <c r="Y964" s="46" t="e">
        <f t="shared" si="46"/>
        <v>#N/A</v>
      </c>
      <c r="Z964" s="39" t="e">
        <f t="shared" si="44"/>
        <v>#N/A</v>
      </c>
      <c r="AA964" s="39" t="e">
        <f t="shared" si="45"/>
        <v>#N/A</v>
      </c>
      <c r="AB964" s="39"/>
      <c r="AC964" s="48" t="e">
        <f t="shared" si="47"/>
        <v>#N/A</v>
      </c>
    </row>
    <row r="965" spans="1:29" ht="12.5" x14ac:dyDescent="0.25">
      <c r="A965" s="36"/>
      <c r="B965" s="33"/>
      <c r="C965" s="33"/>
      <c r="D965" s="33"/>
      <c r="E965" s="35"/>
      <c r="F965" s="21"/>
      <c r="G965" s="22" t="e">
        <f>VLOOKUP(E965,'Court List'!$A:$C,2,0)</f>
        <v>#N/A</v>
      </c>
      <c r="H965" s="33"/>
      <c r="I965" s="33"/>
      <c r="J965" s="44" t="e">
        <f t="shared" si="38"/>
        <v>#N/A</v>
      </c>
      <c r="K965" s="36"/>
      <c r="L965" s="18">
        <f>SUM('Shuttle Count - Supreme (Nov 20'!C965:D965)</f>
        <v>0</v>
      </c>
      <c r="M965" s="18" t="e">
        <f>VLOOKUP(K965,'Shuttle Purchase'!A:C,3,0)</f>
        <v>#N/A</v>
      </c>
      <c r="N965" s="44" t="e">
        <f t="shared" si="48"/>
        <v>#N/A</v>
      </c>
      <c r="O965" s="24" t="e">
        <f>VLOOKUP(E965,'Court List'!$A:$C,3,0)</f>
        <v>#N/A</v>
      </c>
      <c r="P965" s="18">
        <f>COUNTIF('Pub List'!$C965:$T965,"&lt;&gt;")</f>
        <v>0</v>
      </c>
      <c r="Q965" s="20" t="e">
        <f t="shared" si="39"/>
        <v>#N/A</v>
      </c>
      <c r="R965" s="36"/>
      <c r="S965" s="18">
        <f>COUNTIF('Member List'!$C965:$J965,"&lt;&gt;")</f>
        <v>0</v>
      </c>
      <c r="T965" s="35"/>
      <c r="U965" s="24">
        <f t="shared" si="40"/>
        <v>0</v>
      </c>
      <c r="V965" s="18" t="e">
        <f t="shared" si="41"/>
        <v>#N/A</v>
      </c>
      <c r="W965" s="45" t="e">
        <f t="shared" si="42"/>
        <v>#N/A</v>
      </c>
      <c r="X965" s="20" t="e">
        <f t="shared" si="43"/>
        <v>#N/A</v>
      </c>
      <c r="Y965" s="46" t="e">
        <f t="shared" si="46"/>
        <v>#N/A</v>
      </c>
      <c r="Z965" s="39" t="e">
        <f t="shared" si="44"/>
        <v>#N/A</v>
      </c>
      <c r="AA965" s="39" t="e">
        <f t="shared" si="45"/>
        <v>#N/A</v>
      </c>
      <c r="AB965" s="39"/>
      <c r="AC965" s="48" t="e">
        <f t="shared" si="47"/>
        <v>#N/A</v>
      </c>
    </row>
    <row r="966" spans="1:29" ht="12.5" x14ac:dyDescent="0.25">
      <c r="A966" s="36"/>
      <c r="B966" s="33"/>
      <c r="C966" s="33"/>
      <c r="D966" s="33"/>
      <c r="E966" s="35"/>
      <c r="F966" s="21"/>
      <c r="G966" s="22" t="e">
        <f>VLOOKUP(E966,'Court List'!$A:$C,2,0)</f>
        <v>#N/A</v>
      </c>
      <c r="H966" s="33"/>
      <c r="I966" s="33"/>
      <c r="J966" s="44" t="e">
        <f t="shared" si="38"/>
        <v>#N/A</v>
      </c>
      <c r="K966" s="36"/>
      <c r="L966" s="18">
        <f>SUM('Shuttle Count - Supreme (Nov 20'!C966:D966)</f>
        <v>0</v>
      </c>
      <c r="M966" s="18" t="e">
        <f>VLOOKUP(K966,'Shuttle Purchase'!A:C,3,0)</f>
        <v>#N/A</v>
      </c>
      <c r="N966" s="44" t="e">
        <f t="shared" si="48"/>
        <v>#N/A</v>
      </c>
      <c r="O966" s="24" t="e">
        <f>VLOOKUP(E966,'Court List'!$A:$C,3,0)</f>
        <v>#N/A</v>
      </c>
      <c r="P966" s="18">
        <f>COUNTIF('Pub List'!$C966:$T966,"&lt;&gt;")</f>
        <v>0</v>
      </c>
      <c r="Q966" s="20" t="e">
        <f t="shared" si="39"/>
        <v>#N/A</v>
      </c>
      <c r="R966" s="36"/>
      <c r="S966" s="18">
        <f>COUNTIF('Member List'!$C966:$J966,"&lt;&gt;")</f>
        <v>0</v>
      </c>
      <c r="T966" s="35"/>
      <c r="U966" s="24">
        <f t="shared" si="40"/>
        <v>0</v>
      </c>
      <c r="V966" s="18" t="e">
        <f t="shared" si="41"/>
        <v>#N/A</v>
      </c>
      <c r="W966" s="45" t="e">
        <f t="shared" si="42"/>
        <v>#N/A</v>
      </c>
      <c r="X966" s="20" t="e">
        <f t="shared" si="43"/>
        <v>#N/A</v>
      </c>
      <c r="Y966" s="46" t="e">
        <f t="shared" si="46"/>
        <v>#N/A</v>
      </c>
      <c r="Z966" s="39" t="e">
        <f t="shared" si="44"/>
        <v>#N/A</v>
      </c>
      <c r="AA966" s="39" t="e">
        <f t="shared" si="45"/>
        <v>#N/A</v>
      </c>
      <c r="AB966" s="39"/>
      <c r="AC966" s="48" t="e">
        <f t="shared" si="47"/>
        <v>#N/A</v>
      </c>
    </row>
    <row r="967" spans="1:29" ht="12.5" x14ac:dyDescent="0.25">
      <c r="A967" s="36"/>
      <c r="B967" s="33"/>
      <c r="C967" s="33"/>
      <c r="D967" s="33"/>
      <c r="E967" s="35"/>
      <c r="F967" s="21"/>
      <c r="G967" s="22" t="e">
        <f>VLOOKUP(E967,'Court List'!$A:$C,2,0)</f>
        <v>#N/A</v>
      </c>
      <c r="H967" s="33"/>
      <c r="I967" s="33"/>
      <c r="J967" s="44" t="e">
        <f t="shared" si="38"/>
        <v>#N/A</v>
      </c>
      <c r="K967" s="36"/>
      <c r="L967" s="18">
        <f>SUM('Shuttle Count - Supreme (Nov 20'!C967:D967)</f>
        <v>0</v>
      </c>
      <c r="M967" s="18" t="e">
        <f>VLOOKUP(K967,'Shuttle Purchase'!A:C,3,0)</f>
        <v>#N/A</v>
      </c>
      <c r="N967" s="44" t="e">
        <f t="shared" si="48"/>
        <v>#N/A</v>
      </c>
      <c r="O967" s="24" t="e">
        <f>VLOOKUP(E967,'Court List'!$A:$C,3,0)</f>
        <v>#N/A</v>
      </c>
      <c r="P967" s="18">
        <f>COUNTIF('Pub List'!$C967:$T967,"&lt;&gt;")</f>
        <v>0</v>
      </c>
      <c r="Q967" s="20" t="e">
        <f t="shared" si="39"/>
        <v>#N/A</v>
      </c>
      <c r="R967" s="36"/>
      <c r="S967" s="18">
        <f>COUNTIF('Member List'!$C967:$J967,"&lt;&gt;")</f>
        <v>0</v>
      </c>
      <c r="T967" s="35"/>
      <c r="U967" s="24">
        <f t="shared" si="40"/>
        <v>0</v>
      </c>
      <c r="V967" s="18" t="e">
        <f t="shared" si="41"/>
        <v>#N/A</v>
      </c>
      <c r="W967" s="45" t="e">
        <f t="shared" si="42"/>
        <v>#N/A</v>
      </c>
      <c r="X967" s="20" t="e">
        <f t="shared" si="43"/>
        <v>#N/A</v>
      </c>
      <c r="Y967" s="46" t="e">
        <f t="shared" si="46"/>
        <v>#N/A</v>
      </c>
      <c r="Z967" s="39" t="e">
        <f t="shared" si="44"/>
        <v>#N/A</v>
      </c>
      <c r="AA967" s="39" t="e">
        <f t="shared" si="45"/>
        <v>#N/A</v>
      </c>
      <c r="AB967" s="39"/>
      <c r="AC967" s="48" t="e">
        <f t="shared" si="47"/>
        <v>#N/A</v>
      </c>
    </row>
    <row r="968" spans="1:29" ht="12.5" x14ac:dyDescent="0.25">
      <c r="A968" s="36"/>
      <c r="B968" s="33"/>
      <c r="C968" s="33"/>
      <c r="D968" s="33"/>
      <c r="E968" s="35"/>
      <c r="F968" s="21"/>
      <c r="G968" s="22" t="e">
        <f>VLOOKUP(E968,'Court List'!$A:$C,2,0)</f>
        <v>#N/A</v>
      </c>
      <c r="H968" s="33"/>
      <c r="I968" s="33"/>
      <c r="J968" s="44" t="e">
        <f t="shared" si="38"/>
        <v>#N/A</v>
      </c>
      <c r="K968" s="36"/>
      <c r="L968" s="18">
        <f>SUM('Shuttle Count - Supreme (Nov 20'!C968:D968)</f>
        <v>0</v>
      </c>
      <c r="M968" s="18" t="e">
        <f>VLOOKUP(K968,'Shuttle Purchase'!A:C,3,0)</f>
        <v>#N/A</v>
      </c>
      <c r="N968" s="44" t="e">
        <f t="shared" si="48"/>
        <v>#N/A</v>
      </c>
      <c r="O968" s="24" t="e">
        <f>VLOOKUP(E968,'Court List'!$A:$C,3,0)</f>
        <v>#N/A</v>
      </c>
      <c r="P968" s="18">
        <f>COUNTIF('Pub List'!$C968:$T968,"&lt;&gt;")</f>
        <v>0</v>
      </c>
      <c r="Q968" s="20" t="e">
        <f t="shared" si="39"/>
        <v>#N/A</v>
      </c>
      <c r="R968" s="36"/>
      <c r="S968" s="18">
        <f>COUNTIF('Member List'!$C968:$J968,"&lt;&gt;")</f>
        <v>0</v>
      </c>
      <c r="T968" s="35"/>
      <c r="U968" s="24">
        <f t="shared" si="40"/>
        <v>0</v>
      </c>
      <c r="V968" s="18" t="e">
        <f t="shared" si="41"/>
        <v>#N/A</v>
      </c>
      <c r="W968" s="45" t="e">
        <f t="shared" si="42"/>
        <v>#N/A</v>
      </c>
      <c r="X968" s="20" t="e">
        <f t="shared" si="43"/>
        <v>#N/A</v>
      </c>
      <c r="Y968" s="46" t="e">
        <f t="shared" si="46"/>
        <v>#N/A</v>
      </c>
      <c r="Z968" s="39" t="e">
        <f t="shared" si="44"/>
        <v>#N/A</v>
      </c>
      <c r="AA968" s="39" t="e">
        <f t="shared" si="45"/>
        <v>#N/A</v>
      </c>
      <c r="AB968" s="39"/>
      <c r="AC968" s="48" t="e">
        <f t="shared" si="47"/>
        <v>#N/A</v>
      </c>
    </row>
    <row r="969" spans="1:29" ht="12.5" x14ac:dyDescent="0.25">
      <c r="A969" s="36"/>
      <c r="B969" s="33"/>
      <c r="C969" s="33"/>
      <c r="D969" s="33"/>
      <c r="E969" s="35"/>
      <c r="F969" s="21"/>
      <c r="G969" s="22" t="e">
        <f>VLOOKUP(E969,'Court List'!$A:$C,2,0)</f>
        <v>#N/A</v>
      </c>
      <c r="H969" s="33"/>
      <c r="I969" s="33"/>
      <c r="J969" s="44" t="e">
        <f t="shared" si="38"/>
        <v>#N/A</v>
      </c>
      <c r="K969" s="36"/>
      <c r="L969" s="18">
        <f>SUM('Shuttle Count - Supreme (Nov 20'!C969:D969)</f>
        <v>0</v>
      </c>
      <c r="M969" s="18" t="e">
        <f>VLOOKUP(K969,'Shuttle Purchase'!A:C,3,0)</f>
        <v>#N/A</v>
      </c>
      <c r="N969" s="44" t="e">
        <f t="shared" si="48"/>
        <v>#N/A</v>
      </c>
      <c r="O969" s="24" t="e">
        <f>VLOOKUP(E969,'Court List'!$A:$C,3,0)</f>
        <v>#N/A</v>
      </c>
      <c r="P969" s="18">
        <f>COUNTIF('Pub List'!$C969:$T969,"&lt;&gt;")</f>
        <v>0</v>
      </c>
      <c r="Q969" s="20" t="e">
        <f t="shared" si="39"/>
        <v>#N/A</v>
      </c>
      <c r="R969" s="36"/>
      <c r="S969" s="18">
        <f>COUNTIF('Member List'!$C969:$J969,"&lt;&gt;")</f>
        <v>0</v>
      </c>
      <c r="T969" s="35"/>
      <c r="U969" s="24">
        <f t="shared" si="40"/>
        <v>0</v>
      </c>
      <c r="V969" s="18" t="e">
        <f t="shared" si="41"/>
        <v>#N/A</v>
      </c>
      <c r="W969" s="45" t="e">
        <f t="shared" si="42"/>
        <v>#N/A</v>
      </c>
      <c r="X969" s="20" t="e">
        <f t="shared" si="43"/>
        <v>#N/A</v>
      </c>
      <c r="Y969" s="46" t="e">
        <f t="shared" si="46"/>
        <v>#N/A</v>
      </c>
      <c r="Z969" s="39" t="e">
        <f t="shared" si="44"/>
        <v>#N/A</v>
      </c>
      <c r="AA969" s="39" t="e">
        <f t="shared" si="45"/>
        <v>#N/A</v>
      </c>
      <c r="AB969" s="39"/>
      <c r="AC969" s="48" t="e">
        <f t="shared" si="47"/>
        <v>#N/A</v>
      </c>
    </row>
    <row r="970" spans="1:29" ht="12.5" x14ac:dyDescent="0.25">
      <c r="A970" s="36"/>
      <c r="B970" s="33"/>
      <c r="C970" s="33"/>
      <c r="D970" s="33"/>
      <c r="E970" s="35"/>
      <c r="F970" s="21"/>
      <c r="G970" s="22" t="e">
        <f>VLOOKUP(E970,'Court List'!$A:$C,2,0)</f>
        <v>#N/A</v>
      </c>
      <c r="H970" s="33"/>
      <c r="I970" s="33"/>
      <c r="J970" s="44" t="e">
        <f t="shared" si="38"/>
        <v>#N/A</v>
      </c>
      <c r="K970" s="36"/>
      <c r="L970" s="18">
        <f>SUM('Shuttle Count - Supreme (Nov 20'!C970:D970)</f>
        <v>0</v>
      </c>
      <c r="M970" s="18" t="e">
        <f>VLOOKUP(K970,'Shuttle Purchase'!A:C,3,0)</f>
        <v>#N/A</v>
      </c>
      <c r="N970" s="44" t="e">
        <f t="shared" si="48"/>
        <v>#N/A</v>
      </c>
      <c r="O970" s="24" t="e">
        <f>VLOOKUP(E970,'Court List'!$A:$C,3,0)</f>
        <v>#N/A</v>
      </c>
      <c r="P970" s="18">
        <f>COUNTIF('Pub List'!$C970:$T970,"&lt;&gt;")</f>
        <v>0</v>
      </c>
      <c r="Q970" s="20" t="e">
        <f t="shared" si="39"/>
        <v>#N/A</v>
      </c>
      <c r="R970" s="36"/>
      <c r="S970" s="18">
        <f>COUNTIF('Member List'!$C970:$J970,"&lt;&gt;")</f>
        <v>0</v>
      </c>
      <c r="T970" s="35"/>
      <c r="U970" s="24">
        <f t="shared" si="40"/>
        <v>0</v>
      </c>
      <c r="V970" s="18" t="e">
        <f t="shared" si="41"/>
        <v>#N/A</v>
      </c>
      <c r="W970" s="45" t="e">
        <f t="shared" si="42"/>
        <v>#N/A</v>
      </c>
      <c r="X970" s="20" t="e">
        <f t="shared" si="43"/>
        <v>#N/A</v>
      </c>
      <c r="Y970" s="46" t="e">
        <f t="shared" si="46"/>
        <v>#N/A</v>
      </c>
      <c r="Z970" s="39" t="e">
        <f t="shared" si="44"/>
        <v>#N/A</v>
      </c>
      <c r="AA970" s="39" t="e">
        <f t="shared" si="45"/>
        <v>#N/A</v>
      </c>
      <c r="AB970" s="39"/>
      <c r="AC970" s="48" t="e">
        <f t="shared" si="47"/>
        <v>#N/A</v>
      </c>
    </row>
    <row r="971" spans="1:29" ht="12.5" x14ac:dyDescent="0.25">
      <c r="A971" s="36"/>
      <c r="B971" s="33"/>
      <c r="C971" s="33"/>
      <c r="D971" s="33"/>
      <c r="E971" s="35"/>
      <c r="F971" s="21"/>
      <c r="G971" s="22" t="e">
        <f>VLOOKUP(E971,'Court List'!$A:$C,2,0)</f>
        <v>#N/A</v>
      </c>
      <c r="H971" s="33"/>
      <c r="I971" s="33"/>
      <c r="J971" s="44" t="e">
        <f t="shared" si="38"/>
        <v>#N/A</v>
      </c>
      <c r="K971" s="36"/>
      <c r="L971" s="18">
        <f>SUM('Shuttle Count - Supreme (Nov 20'!C971:D971)</f>
        <v>0</v>
      </c>
      <c r="M971" s="18" t="e">
        <f>VLOOKUP(K971,'Shuttle Purchase'!A:C,3,0)</f>
        <v>#N/A</v>
      </c>
      <c r="N971" s="44" t="e">
        <f t="shared" si="48"/>
        <v>#N/A</v>
      </c>
      <c r="O971" s="24" t="e">
        <f>VLOOKUP(E971,'Court List'!$A:$C,3,0)</f>
        <v>#N/A</v>
      </c>
      <c r="P971" s="18">
        <f>COUNTIF('Pub List'!$C971:$T971,"&lt;&gt;")</f>
        <v>0</v>
      </c>
      <c r="Q971" s="20" t="e">
        <f t="shared" si="39"/>
        <v>#N/A</v>
      </c>
      <c r="R971" s="36"/>
      <c r="S971" s="18">
        <f>COUNTIF('Member List'!$C971:$J971,"&lt;&gt;")</f>
        <v>0</v>
      </c>
      <c r="T971" s="35"/>
      <c r="U971" s="24">
        <f t="shared" si="40"/>
        <v>0</v>
      </c>
      <c r="V971" s="18" t="e">
        <f t="shared" si="41"/>
        <v>#N/A</v>
      </c>
      <c r="W971" s="45" t="e">
        <f t="shared" si="42"/>
        <v>#N/A</v>
      </c>
      <c r="X971" s="20" t="e">
        <f t="shared" si="43"/>
        <v>#N/A</v>
      </c>
      <c r="Y971" s="46" t="e">
        <f t="shared" si="46"/>
        <v>#N/A</v>
      </c>
      <c r="Z971" s="39" t="e">
        <f t="shared" si="44"/>
        <v>#N/A</v>
      </c>
      <c r="AA971" s="39" t="e">
        <f t="shared" si="45"/>
        <v>#N/A</v>
      </c>
      <c r="AB971" s="39"/>
      <c r="AC971" s="48" t="e">
        <f t="shared" si="47"/>
        <v>#N/A</v>
      </c>
    </row>
    <row r="972" spans="1:29" ht="12.5" x14ac:dyDescent="0.25">
      <c r="A972" s="36"/>
      <c r="B972" s="33"/>
      <c r="C972" s="33"/>
      <c r="D972" s="33"/>
      <c r="E972" s="35"/>
      <c r="F972" s="21"/>
      <c r="G972" s="22" t="e">
        <f>VLOOKUP(E972,'Court List'!$A:$C,2,0)</f>
        <v>#N/A</v>
      </c>
      <c r="H972" s="33"/>
      <c r="I972" s="33"/>
      <c r="J972" s="44" t="e">
        <f t="shared" si="38"/>
        <v>#N/A</v>
      </c>
      <c r="K972" s="36"/>
      <c r="L972" s="18">
        <f>SUM('Shuttle Count - Supreme (Nov 20'!C972:D972)</f>
        <v>0</v>
      </c>
      <c r="M972" s="18" t="e">
        <f>VLOOKUP(K972,'Shuttle Purchase'!A:C,3,0)</f>
        <v>#N/A</v>
      </c>
      <c r="N972" s="44" t="e">
        <f t="shared" si="48"/>
        <v>#N/A</v>
      </c>
      <c r="O972" s="24" t="e">
        <f>VLOOKUP(E972,'Court List'!$A:$C,3,0)</f>
        <v>#N/A</v>
      </c>
      <c r="P972" s="18">
        <f>COUNTIF('Pub List'!$C972:$T972,"&lt;&gt;")</f>
        <v>0</v>
      </c>
      <c r="Q972" s="20" t="e">
        <f t="shared" si="39"/>
        <v>#N/A</v>
      </c>
      <c r="R972" s="36"/>
      <c r="S972" s="18">
        <f>COUNTIF('Member List'!$C972:$J972,"&lt;&gt;")</f>
        <v>0</v>
      </c>
      <c r="T972" s="35"/>
      <c r="U972" s="24">
        <f t="shared" si="40"/>
        <v>0</v>
      </c>
      <c r="V972" s="18" t="e">
        <f t="shared" si="41"/>
        <v>#N/A</v>
      </c>
      <c r="W972" s="45" t="e">
        <f t="shared" si="42"/>
        <v>#N/A</v>
      </c>
      <c r="X972" s="20" t="e">
        <f t="shared" si="43"/>
        <v>#N/A</v>
      </c>
      <c r="Y972" s="46" t="e">
        <f t="shared" si="46"/>
        <v>#N/A</v>
      </c>
      <c r="Z972" s="39" t="e">
        <f t="shared" si="44"/>
        <v>#N/A</v>
      </c>
      <c r="AA972" s="39" t="e">
        <f t="shared" si="45"/>
        <v>#N/A</v>
      </c>
      <c r="AB972" s="39"/>
      <c r="AC972" s="48" t="e">
        <f t="shared" si="47"/>
        <v>#N/A</v>
      </c>
    </row>
    <row r="973" spans="1:29" ht="12.5" x14ac:dyDescent="0.25">
      <c r="A973" s="36"/>
      <c r="B973" s="33"/>
      <c r="C973" s="33"/>
      <c r="D973" s="33"/>
      <c r="E973" s="35"/>
      <c r="F973" s="21"/>
      <c r="G973" s="22" t="e">
        <f>VLOOKUP(E973,'Court List'!$A:$C,2,0)</f>
        <v>#N/A</v>
      </c>
      <c r="H973" s="33"/>
      <c r="I973" s="33"/>
      <c r="J973" s="44" t="e">
        <f t="shared" si="38"/>
        <v>#N/A</v>
      </c>
      <c r="K973" s="36"/>
      <c r="L973" s="18">
        <f>SUM('Shuttle Count - Supreme (Nov 20'!C973:D973)</f>
        <v>0</v>
      </c>
      <c r="M973" s="18" t="e">
        <f>VLOOKUP(K973,'Shuttle Purchase'!A:C,3,0)</f>
        <v>#N/A</v>
      </c>
      <c r="N973" s="44" t="e">
        <f t="shared" si="48"/>
        <v>#N/A</v>
      </c>
      <c r="O973" s="24" t="e">
        <f>VLOOKUP(E973,'Court List'!$A:$C,3,0)</f>
        <v>#N/A</v>
      </c>
      <c r="P973" s="18">
        <f>COUNTIF('Pub List'!$C973:$T973,"&lt;&gt;")</f>
        <v>0</v>
      </c>
      <c r="Q973" s="20" t="e">
        <f t="shared" si="39"/>
        <v>#N/A</v>
      </c>
      <c r="R973" s="36"/>
      <c r="S973" s="18">
        <f>COUNTIF('Member List'!$C973:$J973,"&lt;&gt;")</f>
        <v>0</v>
      </c>
      <c r="T973" s="35"/>
      <c r="U973" s="24">
        <f t="shared" si="40"/>
        <v>0</v>
      </c>
      <c r="V973" s="18" t="e">
        <f t="shared" si="41"/>
        <v>#N/A</v>
      </c>
      <c r="W973" s="45" t="e">
        <f t="shared" si="42"/>
        <v>#N/A</v>
      </c>
      <c r="X973" s="20" t="e">
        <f t="shared" si="43"/>
        <v>#N/A</v>
      </c>
      <c r="Y973" s="46" t="e">
        <f t="shared" si="46"/>
        <v>#N/A</v>
      </c>
      <c r="Z973" s="39" t="e">
        <f t="shared" si="44"/>
        <v>#N/A</v>
      </c>
      <c r="AA973" s="39" t="e">
        <f t="shared" si="45"/>
        <v>#N/A</v>
      </c>
      <c r="AB973" s="39"/>
      <c r="AC973" s="48" t="e">
        <f t="shared" si="47"/>
        <v>#N/A</v>
      </c>
    </row>
    <row r="974" spans="1:29" ht="12.5" x14ac:dyDescent="0.25">
      <c r="A974" s="36"/>
      <c r="B974" s="33"/>
      <c r="C974" s="33"/>
      <c r="D974" s="33"/>
      <c r="E974" s="35"/>
      <c r="F974" s="21"/>
      <c r="G974" s="22" t="e">
        <f>VLOOKUP(E974,'Court List'!$A:$C,2,0)</f>
        <v>#N/A</v>
      </c>
      <c r="H974" s="33"/>
      <c r="I974" s="33"/>
      <c r="J974" s="44" t="e">
        <f t="shared" si="38"/>
        <v>#N/A</v>
      </c>
      <c r="K974" s="36"/>
      <c r="L974" s="18">
        <f>SUM('Shuttle Count - Supreme (Nov 20'!C974:D974)</f>
        <v>0</v>
      </c>
      <c r="M974" s="18" t="e">
        <f>VLOOKUP(K974,'Shuttle Purchase'!A:C,3,0)</f>
        <v>#N/A</v>
      </c>
      <c r="N974" s="44" t="e">
        <f t="shared" si="48"/>
        <v>#N/A</v>
      </c>
      <c r="O974" s="24" t="e">
        <f>VLOOKUP(E974,'Court List'!$A:$C,3,0)</f>
        <v>#N/A</v>
      </c>
      <c r="P974" s="18">
        <f>COUNTIF('Pub List'!$C974:$T974,"&lt;&gt;")</f>
        <v>0</v>
      </c>
      <c r="Q974" s="20" t="e">
        <f t="shared" si="39"/>
        <v>#N/A</v>
      </c>
      <c r="R974" s="36"/>
      <c r="S974" s="18">
        <f>COUNTIF('Member List'!$C974:$J974,"&lt;&gt;")</f>
        <v>0</v>
      </c>
      <c r="T974" s="35"/>
      <c r="U974" s="24">
        <f t="shared" si="40"/>
        <v>0</v>
      </c>
      <c r="V974" s="18" t="e">
        <f t="shared" si="41"/>
        <v>#N/A</v>
      </c>
      <c r="W974" s="45" t="e">
        <f t="shared" si="42"/>
        <v>#N/A</v>
      </c>
      <c r="X974" s="20" t="e">
        <f t="shared" si="43"/>
        <v>#N/A</v>
      </c>
      <c r="Y974" s="46" t="e">
        <f t="shared" si="46"/>
        <v>#N/A</v>
      </c>
      <c r="Z974" s="39" t="e">
        <f t="shared" si="44"/>
        <v>#N/A</v>
      </c>
      <c r="AA974" s="39" t="e">
        <f t="shared" si="45"/>
        <v>#N/A</v>
      </c>
      <c r="AB974" s="39"/>
      <c r="AC974" s="48" t="e">
        <f t="shared" si="47"/>
        <v>#N/A</v>
      </c>
    </row>
    <row r="975" spans="1:29" ht="12.5" x14ac:dyDescent="0.25">
      <c r="A975" s="36"/>
      <c r="B975" s="33"/>
      <c r="C975" s="33"/>
      <c r="D975" s="33"/>
      <c r="E975" s="35"/>
      <c r="F975" s="21"/>
      <c r="G975" s="22" t="e">
        <f>VLOOKUP(E975,'Court List'!$A:$C,2,0)</f>
        <v>#N/A</v>
      </c>
      <c r="H975" s="33"/>
      <c r="I975" s="33"/>
      <c r="J975" s="44" t="e">
        <f t="shared" si="38"/>
        <v>#N/A</v>
      </c>
      <c r="K975" s="36"/>
      <c r="L975" s="18">
        <f>SUM('Shuttle Count - Supreme (Nov 20'!C975:D975)</f>
        <v>0</v>
      </c>
      <c r="M975" s="18" t="e">
        <f>VLOOKUP(K975,'Shuttle Purchase'!A:C,3,0)</f>
        <v>#N/A</v>
      </c>
      <c r="N975" s="44" t="e">
        <f t="shared" si="48"/>
        <v>#N/A</v>
      </c>
      <c r="O975" s="24" t="e">
        <f>VLOOKUP(E975,'Court List'!$A:$C,3,0)</f>
        <v>#N/A</v>
      </c>
      <c r="P975" s="18">
        <f>COUNTIF('Pub List'!$C975:$T975,"&lt;&gt;")</f>
        <v>0</v>
      </c>
      <c r="Q975" s="20" t="e">
        <f t="shared" si="39"/>
        <v>#N/A</v>
      </c>
      <c r="R975" s="36"/>
      <c r="S975" s="18">
        <f>COUNTIF('Member List'!$C975:$J975,"&lt;&gt;")</f>
        <v>0</v>
      </c>
      <c r="T975" s="35"/>
      <c r="U975" s="24">
        <f t="shared" si="40"/>
        <v>0</v>
      </c>
      <c r="V975" s="18" t="e">
        <f t="shared" si="41"/>
        <v>#N/A</v>
      </c>
      <c r="W975" s="45" t="e">
        <f t="shared" si="42"/>
        <v>#N/A</v>
      </c>
      <c r="X975" s="20" t="e">
        <f t="shared" si="43"/>
        <v>#N/A</v>
      </c>
      <c r="Y975" s="46" t="e">
        <f t="shared" si="46"/>
        <v>#N/A</v>
      </c>
      <c r="Z975" s="39" t="e">
        <f t="shared" si="44"/>
        <v>#N/A</v>
      </c>
      <c r="AA975" s="39" t="e">
        <f t="shared" si="45"/>
        <v>#N/A</v>
      </c>
      <c r="AB975" s="39"/>
      <c r="AC975" s="48" t="e">
        <f t="shared" si="47"/>
        <v>#N/A</v>
      </c>
    </row>
    <row r="976" spans="1:29" ht="12.5" x14ac:dyDescent="0.25">
      <c r="A976" s="36"/>
      <c r="B976" s="33"/>
      <c r="C976" s="33"/>
      <c r="D976" s="33"/>
      <c r="E976" s="35"/>
      <c r="F976" s="21"/>
      <c r="G976" s="22" t="e">
        <f>VLOOKUP(E976,'Court List'!$A:$C,2,0)</f>
        <v>#N/A</v>
      </c>
      <c r="H976" s="33"/>
      <c r="I976" s="33"/>
      <c r="J976" s="44" t="e">
        <f t="shared" si="38"/>
        <v>#N/A</v>
      </c>
      <c r="K976" s="36"/>
      <c r="L976" s="18">
        <f>SUM('Shuttle Count - Supreme (Nov 20'!C976:D976)</f>
        <v>0</v>
      </c>
      <c r="M976" s="18" t="e">
        <f>VLOOKUP(K976,'Shuttle Purchase'!A:C,3,0)</f>
        <v>#N/A</v>
      </c>
      <c r="N976" s="44" t="e">
        <f t="shared" si="48"/>
        <v>#N/A</v>
      </c>
      <c r="O976" s="24" t="e">
        <f>VLOOKUP(E976,'Court List'!$A:$C,3,0)</f>
        <v>#N/A</v>
      </c>
      <c r="P976" s="18">
        <f>COUNTIF('Pub List'!$C976:$T976,"&lt;&gt;")</f>
        <v>0</v>
      </c>
      <c r="Q976" s="20" t="e">
        <f t="shared" si="39"/>
        <v>#N/A</v>
      </c>
      <c r="R976" s="36"/>
      <c r="S976" s="18">
        <f>COUNTIF('Member List'!$C976:$J976,"&lt;&gt;")</f>
        <v>0</v>
      </c>
      <c r="T976" s="35"/>
      <c r="U976" s="24">
        <f t="shared" si="40"/>
        <v>0</v>
      </c>
      <c r="V976" s="18" t="e">
        <f t="shared" si="41"/>
        <v>#N/A</v>
      </c>
      <c r="W976" s="45" t="e">
        <f t="shared" si="42"/>
        <v>#N/A</v>
      </c>
      <c r="X976" s="20" t="e">
        <f t="shared" si="43"/>
        <v>#N/A</v>
      </c>
      <c r="Y976" s="46" t="e">
        <f t="shared" si="46"/>
        <v>#N/A</v>
      </c>
      <c r="Z976" s="39" t="e">
        <f t="shared" si="44"/>
        <v>#N/A</v>
      </c>
      <c r="AA976" s="39" t="e">
        <f t="shared" si="45"/>
        <v>#N/A</v>
      </c>
      <c r="AB976" s="39"/>
      <c r="AC976" s="48" t="e">
        <f t="shared" si="47"/>
        <v>#N/A</v>
      </c>
    </row>
    <row r="977" spans="1:29" ht="12.5" x14ac:dyDescent="0.25">
      <c r="A977" s="36"/>
      <c r="B977" s="33"/>
      <c r="C977" s="33"/>
      <c r="D977" s="33"/>
      <c r="E977" s="35"/>
      <c r="F977" s="21"/>
      <c r="G977" s="22" t="e">
        <f>VLOOKUP(E977,'Court List'!$A:$C,2,0)</f>
        <v>#N/A</v>
      </c>
      <c r="H977" s="33"/>
      <c r="I977" s="33"/>
      <c r="J977" s="44" t="e">
        <f t="shared" si="38"/>
        <v>#N/A</v>
      </c>
      <c r="K977" s="36"/>
      <c r="L977" s="18">
        <f>SUM('Shuttle Count - Supreme (Nov 20'!C977:D977)</f>
        <v>0</v>
      </c>
      <c r="M977" s="18" t="e">
        <f>VLOOKUP(K977,'Shuttle Purchase'!A:C,3,0)</f>
        <v>#N/A</v>
      </c>
      <c r="N977" s="44" t="e">
        <f t="shared" si="48"/>
        <v>#N/A</v>
      </c>
      <c r="O977" s="24" t="e">
        <f>VLOOKUP(E977,'Court List'!$A:$C,3,0)</f>
        <v>#N/A</v>
      </c>
      <c r="P977" s="18">
        <f>COUNTIF('Pub List'!$C977:$T977,"&lt;&gt;")</f>
        <v>0</v>
      </c>
      <c r="Q977" s="20" t="e">
        <f t="shared" si="39"/>
        <v>#N/A</v>
      </c>
      <c r="R977" s="36"/>
      <c r="S977" s="18">
        <f>COUNTIF('Member List'!$C977:$J977,"&lt;&gt;")</f>
        <v>0</v>
      </c>
      <c r="T977" s="35"/>
      <c r="U977" s="24">
        <f t="shared" si="40"/>
        <v>0</v>
      </c>
      <c r="V977" s="18" t="e">
        <f t="shared" si="41"/>
        <v>#N/A</v>
      </c>
      <c r="W977" s="45" t="e">
        <f t="shared" si="42"/>
        <v>#N/A</v>
      </c>
      <c r="X977" s="20" t="e">
        <f t="shared" si="43"/>
        <v>#N/A</v>
      </c>
      <c r="Y977" s="46" t="e">
        <f t="shared" si="46"/>
        <v>#N/A</v>
      </c>
      <c r="Z977" s="39" t="e">
        <f t="shared" si="44"/>
        <v>#N/A</v>
      </c>
      <c r="AA977" s="39" t="e">
        <f t="shared" si="45"/>
        <v>#N/A</v>
      </c>
      <c r="AB977" s="39"/>
      <c r="AC977" s="48" t="e">
        <f t="shared" si="47"/>
        <v>#N/A</v>
      </c>
    </row>
    <row r="978" spans="1:29" ht="12.5" x14ac:dyDescent="0.25">
      <c r="A978" s="36"/>
      <c r="B978" s="33"/>
      <c r="C978" s="33"/>
      <c r="D978" s="33"/>
      <c r="E978" s="35"/>
      <c r="F978" s="21"/>
      <c r="G978" s="22" t="e">
        <f>VLOOKUP(E978,'Court List'!$A:$C,2,0)</f>
        <v>#N/A</v>
      </c>
      <c r="H978" s="33"/>
      <c r="I978" s="33"/>
      <c r="J978" s="44" t="e">
        <f t="shared" si="38"/>
        <v>#N/A</v>
      </c>
      <c r="K978" s="36"/>
      <c r="L978" s="18">
        <f>SUM('Shuttle Count - Supreme (Nov 20'!C978:D978)</f>
        <v>0</v>
      </c>
      <c r="M978" s="18" t="e">
        <f>VLOOKUP(K978,'Shuttle Purchase'!A:C,3,0)</f>
        <v>#N/A</v>
      </c>
      <c r="N978" s="44" t="e">
        <f t="shared" si="48"/>
        <v>#N/A</v>
      </c>
      <c r="O978" s="24" t="e">
        <f>VLOOKUP(E978,'Court List'!$A:$C,3,0)</f>
        <v>#N/A</v>
      </c>
      <c r="P978" s="18">
        <f>COUNTIF('Pub List'!$C978:$T978,"&lt;&gt;")</f>
        <v>0</v>
      </c>
      <c r="Q978" s="20" t="e">
        <f t="shared" si="39"/>
        <v>#N/A</v>
      </c>
      <c r="R978" s="36"/>
      <c r="S978" s="18">
        <f>COUNTIF('Member List'!$C978:$J978,"&lt;&gt;")</f>
        <v>0</v>
      </c>
      <c r="T978" s="35"/>
      <c r="U978" s="24">
        <f t="shared" si="40"/>
        <v>0</v>
      </c>
      <c r="V978" s="18" t="e">
        <f t="shared" si="41"/>
        <v>#N/A</v>
      </c>
      <c r="W978" s="45" t="e">
        <f t="shared" si="42"/>
        <v>#N/A</v>
      </c>
      <c r="X978" s="20" t="e">
        <f t="shared" si="43"/>
        <v>#N/A</v>
      </c>
      <c r="Y978" s="46" t="e">
        <f t="shared" si="46"/>
        <v>#N/A</v>
      </c>
      <c r="Z978" s="39" t="e">
        <f t="shared" si="44"/>
        <v>#N/A</v>
      </c>
      <c r="AA978" s="39" t="e">
        <f t="shared" si="45"/>
        <v>#N/A</v>
      </c>
      <c r="AB978" s="39"/>
      <c r="AC978" s="48" t="e">
        <f t="shared" si="47"/>
        <v>#N/A</v>
      </c>
    </row>
    <row r="979" spans="1:29" ht="12.5" x14ac:dyDescent="0.25">
      <c r="A979" s="36"/>
      <c r="B979" s="33"/>
      <c r="C979" s="33"/>
      <c r="D979" s="33"/>
      <c r="E979" s="35"/>
      <c r="F979" s="21"/>
      <c r="G979" s="22" t="e">
        <f>VLOOKUP(E979,'Court List'!$A:$C,2,0)</f>
        <v>#N/A</v>
      </c>
      <c r="H979" s="33"/>
      <c r="I979" s="33"/>
      <c r="J979" s="44" t="e">
        <f t="shared" si="38"/>
        <v>#N/A</v>
      </c>
      <c r="K979" s="36"/>
      <c r="L979" s="18">
        <f>SUM('Shuttle Count - Supreme (Nov 20'!C979:D979)</f>
        <v>0</v>
      </c>
      <c r="M979" s="18" t="e">
        <f>VLOOKUP(K979,'Shuttle Purchase'!A:C,3,0)</f>
        <v>#N/A</v>
      </c>
      <c r="N979" s="44" t="e">
        <f t="shared" si="48"/>
        <v>#N/A</v>
      </c>
      <c r="O979" s="24" t="e">
        <f>VLOOKUP(E979,'Court List'!$A:$C,3,0)</f>
        <v>#N/A</v>
      </c>
      <c r="P979" s="18">
        <f>COUNTIF('Pub List'!$C979:$T979,"&lt;&gt;")</f>
        <v>0</v>
      </c>
      <c r="Q979" s="20" t="e">
        <f t="shared" si="39"/>
        <v>#N/A</v>
      </c>
      <c r="R979" s="36"/>
      <c r="S979" s="18">
        <f>COUNTIF('Member List'!$C979:$J979,"&lt;&gt;")</f>
        <v>0</v>
      </c>
      <c r="T979" s="35"/>
      <c r="U979" s="24">
        <f t="shared" si="40"/>
        <v>0</v>
      </c>
      <c r="V979" s="18" t="e">
        <f t="shared" si="41"/>
        <v>#N/A</v>
      </c>
      <c r="W979" s="45" t="e">
        <f t="shared" si="42"/>
        <v>#N/A</v>
      </c>
      <c r="X979" s="20" t="e">
        <f t="shared" si="43"/>
        <v>#N/A</v>
      </c>
      <c r="Y979" s="46" t="e">
        <f t="shared" si="46"/>
        <v>#N/A</v>
      </c>
      <c r="Z979" s="39" t="e">
        <f t="shared" si="44"/>
        <v>#N/A</v>
      </c>
      <c r="AA979" s="39" t="e">
        <f t="shared" si="45"/>
        <v>#N/A</v>
      </c>
      <c r="AB979" s="39"/>
      <c r="AC979" s="48" t="e">
        <f t="shared" si="47"/>
        <v>#N/A</v>
      </c>
    </row>
    <row r="980" spans="1:29" ht="12.5" x14ac:dyDescent="0.25">
      <c r="A980" s="36"/>
      <c r="B980" s="33"/>
      <c r="C980" s="33"/>
      <c r="D980" s="33"/>
      <c r="E980" s="35"/>
      <c r="F980" s="21"/>
      <c r="G980" s="22" t="e">
        <f>VLOOKUP(E980,'Court List'!$A:$C,2,0)</f>
        <v>#N/A</v>
      </c>
      <c r="H980" s="33"/>
      <c r="I980" s="33"/>
      <c r="J980" s="44" t="e">
        <f t="shared" si="38"/>
        <v>#N/A</v>
      </c>
      <c r="K980" s="36"/>
      <c r="L980" s="18">
        <f>SUM('Shuttle Count - Supreme (Nov 20'!C980:D980)</f>
        <v>0</v>
      </c>
      <c r="M980" s="18" t="e">
        <f>VLOOKUP(K980,'Shuttle Purchase'!A:C,3,0)</f>
        <v>#N/A</v>
      </c>
      <c r="N980" s="44" t="e">
        <f t="shared" si="48"/>
        <v>#N/A</v>
      </c>
      <c r="O980" s="24" t="e">
        <f>VLOOKUP(E980,'Court List'!$A:$C,3,0)</f>
        <v>#N/A</v>
      </c>
      <c r="P980" s="18">
        <f>COUNTIF('Pub List'!$C980:$T980,"&lt;&gt;")</f>
        <v>0</v>
      </c>
      <c r="Q980" s="20" t="e">
        <f t="shared" si="39"/>
        <v>#N/A</v>
      </c>
      <c r="R980" s="36"/>
      <c r="S980" s="18">
        <f>COUNTIF('Member List'!$C980:$J980,"&lt;&gt;")</f>
        <v>0</v>
      </c>
      <c r="T980" s="35"/>
      <c r="U980" s="24">
        <f t="shared" si="40"/>
        <v>0</v>
      </c>
      <c r="V980" s="18" t="e">
        <f t="shared" si="41"/>
        <v>#N/A</v>
      </c>
      <c r="W980" s="45" t="e">
        <f t="shared" si="42"/>
        <v>#N/A</v>
      </c>
      <c r="X980" s="20" t="e">
        <f t="shared" si="43"/>
        <v>#N/A</v>
      </c>
      <c r="Y980" s="46" t="e">
        <f t="shared" si="46"/>
        <v>#N/A</v>
      </c>
      <c r="Z980" s="39" t="e">
        <f t="shared" si="44"/>
        <v>#N/A</v>
      </c>
      <c r="AA980" s="39" t="e">
        <f t="shared" si="45"/>
        <v>#N/A</v>
      </c>
      <c r="AB980" s="39"/>
      <c r="AC980" s="48" t="e">
        <f t="shared" si="47"/>
        <v>#N/A</v>
      </c>
    </row>
    <row r="981" spans="1:29" ht="12.5" x14ac:dyDescent="0.25">
      <c r="A981" s="36"/>
      <c r="B981" s="33"/>
      <c r="C981" s="33"/>
      <c r="D981" s="33"/>
      <c r="E981" s="35"/>
      <c r="F981" s="21"/>
      <c r="G981" s="22" t="e">
        <f>VLOOKUP(E981,'Court List'!$A:$C,2,0)</f>
        <v>#N/A</v>
      </c>
      <c r="H981" s="33"/>
      <c r="I981" s="33"/>
      <c r="J981" s="44" t="e">
        <f t="shared" si="38"/>
        <v>#N/A</v>
      </c>
      <c r="K981" s="36"/>
      <c r="L981" s="18">
        <f>SUM('Shuttle Count - Supreme (Nov 20'!C981:D981)</f>
        <v>0</v>
      </c>
      <c r="M981" s="18" t="e">
        <f>VLOOKUP(K981,'Shuttle Purchase'!A:C,3,0)</f>
        <v>#N/A</v>
      </c>
      <c r="N981" s="44" t="e">
        <f t="shared" si="48"/>
        <v>#N/A</v>
      </c>
      <c r="O981" s="24" t="e">
        <f>VLOOKUP(E981,'Court List'!$A:$C,3,0)</f>
        <v>#N/A</v>
      </c>
      <c r="P981" s="18">
        <f>COUNTIF('Pub List'!$C981:$T981,"&lt;&gt;")</f>
        <v>0</v>
      </c>
      <c r="Q981" s="20" t="e">
        <f t="shared" si="39"/>
        <v>#N/A</v>
      </c>
      <c r="R981" s="36"/>
      <c r="S981" s="18">
        <f>COUNTIF('Member List'!$C981:$J981,"&lt;&gt;")</f>
        <v>0</v>
      </c>
      <c r="T981" s="35"/>
      <c r="U981" s="24">
        <f t="shared" si="40"/>
        <v>0</v>
      </c>
      <c r="V981" s="18" t="e">
        <f t="shared" si="41"/>
        <v>#N/A</v>
      </c>
      <c r="W981" s="45" t="e">
        <f t="shared" si="42"/>
        <v>#N/A</v>
      </c>
      <c r="X981" s="20" t="e">
        <f t="shared" si="43"/>
        <v>#N/A</v>
      </c>
      <c r="Y981" s="46" t="e">
        <f t="shared" si="46"/>
        <v>#N/A</v>
      </c>
      <c r="Z981" s="39" t="e">
        <f t="shared" si="44"/>
        <v>#N/A</v>
      </c>
      <c r="AA981" s="39" t="e">
        <f t="shared" si="45"/>
        <v>#N/A</v>
      </c>
      <c r="AB981" s="39"/>
      <c r="AC981" s="48" t="e">
        <f t="shared" si="47"/>
        <v>#N/A</v>
      </c>
    </row>
    <row r="982" spans="1:29" ht="12.5" x14ac:dyDescent="0.25">
      <c r="A982" s="36"/>
      <c r="B982" s="33"/>
      <c r="C982" s="33"/>
      <c r="D982" s="33"/>
      <c r="E982" s="35"/>
      <c r="F982" s="21"/>
      <c r="G982" s="22" t="e">
        <f>VLOOKUP(E982,'Court List'!$A:$C,2,0)</f>
        <v>#N/A</v>
      </c>
      <c r="H982" s="33"/>
      <c r="I982" s="33"/>
      <c r="J982" s="44" t="e">
        <f t="shared" si="38"/>
        <v>#N/A</v>
      </c>
      <c r="K982" s="36"/>
      <c r="L982" s="18">
        <f>SUM('Shuttle Count - Supreme (Nov 20'!C982:D982)</f>
        <v>0</v>
      </c>
      <c r="M982" s="18" t="e">
        <f>VLOOKUP(K982,'Shuttle Purchase'!A:C,3,0)</f>
        <v>#N/A</v>
      </c>
      <c r="N982" s="44" t="e">
        <f t="shared" si="48"/>
        <v>#N/A</v>
      </c>
      <c r="O982" s="24" t="e">
        <f>VLOOKUP(E982,'Court List'!$A:$C,3,0)</f>
        <v>#N/A</v>
      </c>
      <c r="P982" s="18">
        <f>COUNTIF('Pub List'!$C982:$T982,"&lt;&gt;")</f>
        <v>0</v>
      </c>
      <c r="Q982" s="20" t="e">
        <f t="shared" si="39"/>
        <v>#N/A</v>
      </c>
      <c r="R982" s="36"/>
      <c r="S982" s="18">
        <f>COUNTIF('Member List'!$C982:$J982,"&lt;&gt;")</f>
        <v>0</v>
      </c>
      <c r="T982" s="35"/>
      <c r="U982" s="24">
        <f t="shared" si="40"/>
        <v>0</v>
      </c>
      <c r="V982" s="18" t="e">
        <f t="shared" si="41"/>
        <v>#N/A</v>
      </c>
      <c r="W982" s="45" t="e">
        <f t="shared" si="42"/>
        <v>#N/A</v>
      </c>
      <c r="X982" s="20" t="e">
        <f t="shared" si="43"/>
        <v>#N/A</v>
      </c>
      <c r="Y982" s="46" t="e">
        <f t="shared" si="46"/>
        <v>#N/A</v>
      </c>
      <c r="Z982" s="39" t="e">
        <f t="shared" si="44"/>
        <v>#N/A</v>
      </c>
      <c r="AA982" s="39" t="e">
        <f t="shared" si="45"/>
        <v>#N/A</v>
      </c>
      <c r="AB982" s="39"/>
      <c r="AC982" s="48" t="e">
        <f t="shared" si="47"/>
        <v>#N/A</v>
      </c>
    </row>
    <row r="983" spans="1:29" ht="12.5" x14ac:dyDescent="0.25">
      <c r="A983" s="36"/>
      <c r="B983" s="33"/>
      <c r="C983" s="33"/>
      <c r="D983" s="33"/>
      <c r="E983" s="35"/>
      <c r="F983" s="21"/>
      <c r="G983" s="22" t="e">
        <f>VLOOKUP(E983,'Court List'!$A:$C,2,0)</f>
        <v>#N/A</v>
      </c>
      <c r="H983" s="33"/>
      <c r="I983" s="33"/>
      <c r="J983" s="44" t="e">
        <f t="shared" si="38"/>
        <v>#N/A</v>
      </c>
      <c r="K983" s="36"/>
      <c r="L983" s="18">
        <f>SUM('Shuttle Count - Supreme (Nov 20'!C983:D983)</f>
        <v>0</v>
      </c>
      <c r="M983" s="18" t="e">
        <f>VLOOKUP(K983,'Shuttle Purchase'!A:C,3,0)</f>
        <v>#N/A</v>
      </c>
      <c r="N983" s="44" t="e">
        <f t="shared" si="48"/>
        <v>#N/A</v>
      </c>
      <c r="O983" s="24" t="e">
        <f>VLOOKUP(E983,'Court List'!$A:$C,3,0)</f>
        <v>#N/A</v>
      </c>
      <c r="P983" s="18">
        <f>COUNTIF('Pub List'!$C983:$T983,"&lt;&gt;")</f>
        <v>0</v>
      </c>
      <c r="Q983" s="20" t="e">
        <f t="shared" si="39"/>
        <v>#N/A</v>
      </c>
      <c r="R983" s="36"/>
      <c r="S983" s="18">
        <f>COUNTIF('Member List'!$C983:$J983,"&lt;&gt;")</f>
        <v>0</v>
      </c>
      <c r="T983" s="35"/>
      <c r="U983" s="24">
        <f t="shared" si="40"/>
        <v>0</v>
      </c>
      <c r="V983" s="18" t="e">
        <f t="shared" si="41"/>
        <v>#N/A</v>
      </c>
      <c r="W983" s="45" t="e">
        <f t="shared" si="42"/>
        <v>#N/A</v>
      </c>
      <c r="X983" s="20" t="e">
        <f t="shared" si="43"/>
        <v>#N/A</v>
      </c>
      <c r="Y983" s="46" t="e">
        <f t="shared" si="46"/>
        <v>#N/A</v>
      </c>
      <c r="Z983" s="39" t="e">
        <f t="shared" si="44"/>
        <v>#N/A</v>
      </c>
      <c r="AA983" s="39" t="e">
        <f t="shared" si="45"/>
        <v>#N/A</v>
      </c>
      <c r="AB983" s="39"/>
      <c r="AC983" s="48" t="e">
        <f t="shared" si="47"/>
        <v>#N/A</v>
      </c>
    </row>
    <row r="984" spans="1:29" ht="12.5" x14ac:dyDescent="0.25">
      <c r="A984" s="36"/>
      <c r="B984" s="33"/>
      <c r="C984" s="33"/>
      <c r="D984" s="33"/>
      <c r="E984" s="35"/>
      <c r="F984" s="21"/>
      <c r="G984" s="22" t="e">
        <f>VLOOKUP(E984,'Court List'!$A:$C,2,0)</f>
        <v>#N/A</v>
      </c>
      <c r="H984" s="33"/>
      <c r="I984" s="33"/>
      <c r="J984" s="44" t="e">
        <f t="shared" si="38"/>
        <v>#N/A</v>
      </c>
      <c r="K984" s="36"/>
      <c r="L984" s="18">
        <f>SUM('Shuttle Count - Supreme (Nov 20'!C984:D984)</f>
        <v>0</v>
      </c>
      <c r="M984" s="18" t="e">
        <f>VLOOKUP(K984,'Shuttle Purchase'!A:C,3,0)</f>
        <v>#N/A</v>
      </c>
      <c r="N984" s="44" t="e">
        <f t="shared" si="48"/>
        <v>#N/A</v>
      </c>
      <c r="O984" s="24" t="e">
        <f>VLOOKUP(E984,'Court List'!$A:$C,3,0)</f>
        <v>#N/A</v>
      </c>
      <c r="P984" s="18">
        <f>COUNTIF('Pub List'!$C984:$T984,"&lt;&gt;")</f>
        <v>0</v>
      </c>
      <c r="Q984" s="20" t="e">
        <f t="shared" si="39"/>
        <v>#N/A</v>
      </c>
      <c r="R984" s="36"/>
      <c r="S984" s="18">
        <f>COUNTIF('Member List'!$C984:$J984,"&lt;&gt;")</f>
        <v>0</v>
      </c>
      <c r="T984" s="35"/>
      <c r="U984" s="24">
        <f t="shared" si="40"/>
        <v>0</v>
      </c>
      <c r="V984" s="18" t="e">
        <f t="shared" si="41"/>
        <v>#N/A</v>
      </c>
      <c r="W984" s="45" t="e">
        <f t="shared" si="42"/>
        <v>#N/A</v>
      </c>
      <c r="X984" s="20" t="e">
        <f t="shared" si="43"/>
        <v>#N/A</v>
      </c>
      <c r="Y984" s="46" t="e">
        <f t="shared" si="46"/>
        <v>#N/A</v>
      </c>
      <c r="Z984" s="39" t="e">
        <f t="shared" si="44"/>
        <v>#N/A</v>
      </c>
      <c r="AA984" s="39" t="e">
        <f t="shared" si="45"/>
        <v>#N/A</v>
      </c>
      <c r="AB984" s="39"/>
      <c r="AC984" s="48" t="e">
        <f t="shared" si="47"/>
        <v>#N/A</v>
      </c>
    </row>
    <row r="985" spans="1:29" ht="12.5" x14ac:dyDescent="0.25">
      <c r="A985" s="36"/>
      <c r="B985" s="33"/>
      <c r="C985" s="33"/>
      <c r="D985" s="33"/>
      <c r="E985" s="35"/>
      <c r="F985" s="21"/>
      <c r="G985" s="22" t="e">
        <f>VLOOKUP(E985,'Court List'!$A:$C,2,0)</f>
        <v>#N/A</v>
      </c>
      <c r="H985" s="33"/>
      <c r="I985" s="33"/>
      <c r="J985" s="44" t="e">
        <f t="shared" si="38"/>
        <v>#N/A</v>
      </c>
      <c r="K985" s="36"/>
      <c r="L985" s="18">
        <f>SUM('Shuttle Count - Supreme (Nov 20'!C985:D985)</f>
        <v>0</v>
      </c>
      <c r="M985" s="18" t="e">
        <f>VLOOKUP(K985,'Shuttle Purchase'!A:C,3,0)</f>
        <v>#N/A</v>
      </c>
      <c r="N985" s="44" t="e">
        <f t="shared" si="48"/>
        <v>#N/A</v>
      </c>
      <c r="O985" s="24" t="e">
        <f>VLOOKUP(E985,'Court List'!$A:$C,3,0)</f>
        <v>#N/A</v>
      </c>
      <c r="P985" s="18">
        <f>COUNTIF('Pub List'!$C985:$T985,"&lt;&gt;")</f>
        <v>0</v>
      </c>
      <c r="Q985" s="20" t="e">
        <f t="shared" si="39"/>
        <v>#N/A</v>
      </c>
      <c r="R985" s="36"/>
      <c r="S985" s="18">
        <f>COUNTIF('Member List'!$C985:$J985,"&lt;&gt;")</f>
        <v>0</v>
      </c>
      <c r="T985" s="35"/>
      <c r="U985" s="24">
        <f t="shared" si="40"/>
        <v>0</v>
      </c>
      <c r="V985" s="18" t="e">
        <f t="shared" si="41"/>
        <v>#N/A</v>
      </c>
      <c r="W985" s="45" t="e">
        <f t="shared" si="42"/>
        <v>#N/A</v>
      </c>
      <c r="X985" s="20" t="e">
        <f t="shared" si="43"/>
        <v>#N/A</v>
      </c>
      <c r="Y985" s="46" t="e">
        <f t="shared" si="46"/>
        <v>#N/A</v>
      </c>
      <c r="Z985" s="39" t="e">
        <f t="shared" si="44"/>
        <v>#N/A</v>
      </c>
      <c r="AA985" s="39" t="e">
        <f t="shared" si="45"/>
        <v>#N/A</v>
      </c>
      <c r="AB985" s="39"/>
      <c r="AC985" s="48" t="e">
        <f t="shared" si="47"/>
        <v>#N/A</v>
      </c>
    </row>
    <row r="986" spans="1:29" ht="12.5" x14ac:dyDescent="0.25">
      <c r="A986" s="36"/>
      <c r="B986" s="33"/>
      <c r="C986" s="33"/>
      <c r="D986" s="33"/>
      <c r="E986" s="35"/>
      <c r="F986" s="21"/>
      <c r="G986" s="22" t="e">
        <f>VLOOKUP(E986,'Court List'!$A:$C,2,0)</f>
        <v>#N/A</v>
      </c>
      <c r="H986" s="33"/>
      <c r="I986" s="33"/>
      <c r="J986" s="44" t="e">
        <f t="shared" si="38"/>
        <v>#N/A</v>
      </c>
      <c r="K986" s="36"/>
      <c r="L986" s="18">
        <f>SUM('Shuttle Count - Supreme (Nov 20'!C986:D986)</f>
        <v>0</v>
      </c>
      <c r="M986" s="18" t="e">
        <f>VLOOKUP(K986,'Shuttle Purchase'!A:C,3,0)</f>
        <v>#N/A</v>
      </c>
      <c r="N986" s="44" t="e">
        <f t="shared" si="48"/>
        <v>#N/A</v>
      </c>
      <c r="O986" s="24" t="e">
        <f>VLOOKUP(E986,'Court List'!$A:$C,3,0)</f>
        <v>#N/A</v>
      </c>
      <c r="P986" s="18">
        <f>COUNTIF('Pub List'!$C986:$T986,"&lt;&gt;")</f>
        <v>0</v>
      </c>
      <c r="Q986" s="20" t="e">
        <f t="shared" si="39"/>
        <v>#N/A</v>
      </c>
      <c r="R986" s="36"/>
      <c r="S986" s="18">
        <f>COUNTIF('Member List'!$C986:$J986,"&lt;&gt;")</f>
        <v>0</v>
      </c>
      <c r="T986" s="35"/>
      <c r="U986" s="24">
        <f t="shared" si="40"/>
        <v>0</v>
      </c>
      <c r="V986" s="18" t="e">
        <f t="shared" si="41"/>
        <v>#N/A</v>
      </c>
      <c r="W986" s="45" t="e">
        <f t="shared" si="42"/>
        <v>#N/A</v>
      </c>
      <c r="X986" s="20" t="e">
        <f t="shared" si="43"/>
        <v>#N/A</v>
      </c>
      <c r="Y986" s="46" t="e">
        <f t="shared" si="46"/>
        <v>#N/A</v>
      </c>
      <c r="Z986" s="39" t="e">
        <f t="shared" si="44"/>
        <v>#N/A</v>
      </c>
      <c r="AA986" s="39" t="e">
        <f t="shared" si="45"/>
        <v>#N/A</v>
      </c>
      <c r="AB986" s="39"/>
      <c r="AC986" s="48" t="e">
        <f t="shared" si="47"/>
        <v>#N/A</v>
      </c>
    </row>
    <row r="987" spans="1:29" ht="12.5" x14ac:dyDescent="0.25">
      <c r="A987" s="36"/>
      <c r="B987" s="33"/>
      <c r="C987" s="33"/>
      <c r="D987" s="33"/>
      <c r="E987" s="35"/>
      <c r="F987" s="21"/>
      <c r="G987" s="22" t="e">
        <f>VLOOKUP(E987,'Court List'!$A:$C,2,0)</f>
        <v>#N/A</v>
      </c>
      <c r="H987" s="33"/>
      <c r="I987" s="33"/>
      <c r="J987" s="44" t="e">
        <f t="shared" si="38"/>
        <v>#N/A</v>
      </c>
      <c r="K987" s="36"/>
      <c r="L987" s="18">
        <f>SUM('Shuttle Count - Supreme (Nov 20'!C987:D987)</f>
        <v>0</v>
      </c>
      <c r="M987" s="18" t="e">
        <f>VLOOKUP(K987,'Shuttle Purchase'!A:C,3,0)</f>
        <v>#N/A</v>
      </c>
      <c r="N987" s="44" t="e">
        <f t="shared" si="48"/>
        <v>#N/A</v>
      </c>
      <c r="O987" s="24" t="e">
        <f>VLOOKUP(E987,'Court List'!$A:$C,3,0)</f>
        <v>#N/A</v>
      </c>
      <c r="P987" s="18">
        <f>COUNTIF('Pub List'!$C987:$T987,"&lt;&gt;")</f>
        <v>0</v>
      </c>
      <c r="Q987" s="20" t="e">
        <f t="shared" si="39"/>
        <v>#N/A</v>
      </c>
      <c r="R987" s="36"/>
      <c r="S987" s="18">
        <f>COUNTIF('Member List'!$C987:$J987,"&lt;&gt;")</f>
        <v>0</v>
      </c>
      <c r="T987" s="35"/>
      <c r="U987" s="24">
        <f t="shared" si="40"/>
        <v>0</v>
      </c>
      <c r="V987" s="18" t="e">
        <f t="shared" si="41"/>
        <v>#N/A</v>
      </c>
      <c r="W987" s="45" t="e">
        <f t="shared" si="42"/>
        <v>#N/A</v>
      </c>
      <c r="X987" s="20" t="e">
        <f t="shared" si="43"/>
        <v>#N/A</v>
      </c>
      <c r="Y987" s="46" t="e">
        <f t="shared" si="46"/>
        <v>#N/A</v>
      </c>
      <c r="Z987" s="39" t="e">
        <f t="shared" si="44"/>
        <v>#N/A</v>
      </c>
      <c r="AA987" s="39" t="e">
        <f t="shared" si="45"/>
        <v>#N/A</v>
      </c>
      <c r="AB987" s="39"/>
      <c r="AC987" s="48" t="e">
        <f t="shared" si="47"/>
        <v>#N/A</v>
      </c>
    </row>
    <row r="988" spans="1:29" ht="12.5" x14ac:dyDescent="0.25">
      <c r="A988" s="36"/>
      <c r="B988" s="33"/>
      <c r="C988" s="33"/>
      <c r="D988" s="33"/>
      <c r="E988" s="35"/>
      <c r="F988" s="21"/>
      <c r="G988" s="22" t="e">
        <f>VLOOKUP(E988,'Court List'!$A:$C,2,0)</f>
        <v>#N/A</v>
      </c>
      <c r="H988" s="33"/>
      <c r="I988" s="33"/>
      <c r="J988" s="44" t="e">
        <f t="shared" si="38"/>
        <v>#N/A</v>
      </c>
      <c r="K988" s="36"/>
      <c r="L988" s="18">
        <f>SUM('Shuttle Count - Supreme (Nov 20'!C988:D988)</f>
        <v>0</v>
      </c>
      <c r="M988" s="18" t="e">
        <f>VLOOKUP(K988,'Shuttle Purchase'!A:C,3,0)</f>
        <v>#N/A</v>
      </c>
      <c r="N988" s="44" t="e">
        <f t="shared" si="48"/>
        <v>#N/A</v>
      </c>
      <c r="O988" s="24" t="e">
        <f>VLOOKUP(E988,'Court List'!$A:$C,3,0)</f>
        <v>#N/A</v>
      </c>
      <c r="P988" s="18">
        <f>COUNTIF('Pub List'!$C988:$T988,"&lt;&gt;")</f>
        <v>0</v>
      </c>
      <c r="Q988" s="20" t="e">
        <f t="shared" si="39"/>
        <v>#N/A</v>
      </c>
      <c r="R988" s="36"/>
      <c r="S988" s="18">
        <f>COUNTIF('Member List'!$C988:$J988,"&lt;&gt;")</f>
        <v>0</v>
      </c>
      <c r="T988" s="35"/>
      <c r="U988" s="24">
        <f t="shared" si="40"/>
        <v>0</v>
      </c>
      <c r="V988" s="18" t="e">
        <f t="shared" si="41"/>
        <v>#N/A</v>
      </c>
      <c r="W988" s="45" t="e">
        <f t="shared" si="42"/>
        <v>#N/A</v>
      </c>
      <c r="X988" s="20" t="e">
        <f t="shared" si="43"/>
        <v>#N/A</v>
      </c>
      <c r="Y988" s="46" t="e">
        <f t="shared" si="46"/>
        <v>#N/A</v>
      </c>
      <c r="Z988" s="39" t="e">
        <f t="shared" si="44"/>
        <v>#N/A</v>
      </c>
      <c r="AA988" s="39" t="e">
        <f t="shared" si="45"/>
        <v>#N/A</v>
      </c>
      <c r="AB988" s="39"/>
      <c r="AC988" s="48" t="e">
        <f t="shared" si="47"/>
        <v>#N/A</v>
      </c>
    </row>
    <row r="989" spans="1:29" ht="12.5" x14ac:dyDescent="0.25">
      <c r="A989" s="36"/>
      <c r="B989" s="33"/>
      <c r="C989" s="33"/>
      <c r="D989" s="33"/>
      <c r="E989" s="35"/>
      <c r="F989" s="21"/>
      <c r="G989" s="22" t="e">
        <f>VLOOKUP(E989,'Court List'!$A:$C,2,0)</f>
        <v>#N/A</v>
      </c>
      <c r="H989" s="33"/>
      <c r="I989" s="33"/>
      <c r="J989" s="44" t="e">
        <f t="shared" si="38"/>
        <v>#N/A</v>
      </c>
      <c r="K989" s="36"/>
      <c r="L989" s="18">
        <f>SUM('Shuttle Count - Supreme (Nov 20'!C989:D989)</f>
        <v>0</v>
      </c>
      <c r="M989" s="18" t="e">
        <f>VLOOKUP(K989,'Shuttle Purchase'!A:C,3,0)</f>
        <v>#N/A</v>
      </c>
      <c r="N989" s="44" t="e">
        <f t="shared" si="48"/>
        <v>#N/A</v>
      </c>
      <c r="O989" s="24" t="e">
        <f>VLOOKUP(E989,'Court List'!$A:$C,3,0)</f>
        <v>#N/A</v>
      </c>
      <c r="P989" s="18">
        <f>COUNTIF('Pub List'!$C989:$T989,"&lt;&gt;")</f>
        <v>0</v>
      </c>
      <c r="Q989" s="20" t="e">
        <f t="shared" si="39"/>
        <v>#N/A</v>
      </c>
      <c r="R989" s="36"/>
      <c r="S989" s="18">
        <f>COUNTIF('Member List'!$C989:$J989,"&lt;&gt;")</f>
        <v>0</v>
      </c>
      <c r="T989" s="35"/>
      <c r="U989" s="24">
        <f t="shared" si="40"/>
        <v>0</v>
      </c>
      <c r="V989" s="18" t="e">
        <f t="shared" si="41"/>
        <v>#N/A</v>
      </c>
      <c r="W989" s="45" t="e">
        <f t="shared" si="42"/>
        <v>#N/A</v>
      </c>
      <c r="X989" s="20" t="e">
        <f t="shared" si="43"/>
        <v>#N/A</v>
      </c>
      <c r="Y989" s="46" t="e">
        <f t="shared" si="46"/>
        <v>#N/A</v>
      </c>
      <c r="Z989" s="39" t="e">
        <f t="shared" si="44"/>
        <v>#N/A</v>
      </c>
      <c r="AA989" s="39" t="e">
        <f t="shared" si="45"/>
        <v>#N/A</v>
      </c>
      <c r="AB989" s="39"/>
      <c r="AC989" s="48" t="e">
        <f t="shared" si="47"/>
        <v>#N/A</v>
      </c>
    </row>
    <row r="990" spans="1:29" ht="12.5" x14ac:dyDescent="0.25">
      <c r="A990" s="36"/>
      <c r="B990" s="33"/>
      <c r="C990" s="33"/>
      <c r="D990" s="33"/>
      <c r="E990" s="35"/>
      <c r="F990" s="21"/>
      <c r="G990" s="22" t="e">
        <f>VLOOKUP(E990,'Court List'!$A:$C,2,0)</f>
        <v>#N/A</v>
      </c>
      <c r="H990" s="33"/>
      <c r="I990" s="33"/>
      <c r="J990" s="44" t="e">
        <f t="shared" si="38"/>
        <v>#N/A</v>
      </c>
      <c r="K990" s="36"/>
      <c r="L990" s="18">
        <f>SUM('Shuttle Count - Supreme (Nov 20'!C990:D990)</f>
        <v>0</v>
      </c>
      <c r="M990" s="18" t="e">
        <f>VLOOKUP(K990,'Shuttle Purchase'!A:C,3,0)</f>
        <v>#N/A</v>
      </c>
      <c r="N990" s="44" t="e">
        <f t="shared" si="48"/>
        <v>#N/A</v>
      </c>
      <c r="O990" s="24" t="e">
        <f>VLOOKUP(E990,'Court List'!$A:$C,3,0)</f>
        <v>#N/A</v>
      </c>
      <c r="P990" s="18">
        <f>COUNTIF('Pub List'!$C990:$T990,"&lt;&gt;")</f>
        <v>0</v>
      </c>
      <c r="Q990" s="20" t="e">
        <f t="shared" si="39"/>
        <v>#N/A</v>
      </c>
      <c r="R990" s="36"/>
      <c r="S990" s="18">
        <f>COUNTIF('Member List'!$C990:$J990,"&lt;&gt;")</f>
        <v>0</v>
      </c>
      <c r="T990" s="35"/>
      <c r="U990" s="24">
        <f t="shared" si="40"/>
        <v>0</v>
      </c>
      <c r="V990" s="18" t="e">
        <f t="shared" si="41"/>
        <v>#N/A</v>
      </c>
      <c r="W990" s="45" t="e">
        <f t="shared" si="42"/>
        <v>#N/A</v>
      </c>
      <c r="X990" s="20" t="e">
        <f t="shared" si="43"/>
        <v>#N/A</v>
      </c>
      <c r="Y990" s="46" t="e">
        <f t="shared" si="46"/>
        <v>#N/A</v>
      </c>
      <c r="Z990" s="39" t="e">
        <f t="shared" si="44"/>
        <v>#N/A</v>
      </c>
      <c r="AA990" s="39" t="e">
        <f t="shared" si="45"/>
        <v>#N/A</v>
      </c>
      <c r="AB990" s="39"/>
      <c r="AC990" s="48" t="e">
        <f t="shared" si="47"/>
        <v>#N/A</v>
      </c>
    </row>
    <row r="991" spans="1:29" ht="12.5" x14ac:dyDescent="0.25">
      <c r="A991" s="49"/>
      <c r="B991" s="50"/>
      <c r="C991" s="50"/>
      <c r="D991" s="50"/>
      <c r="E991" s="51"/>
      <c r="F991" s="52"/>
      <c r="G991" s="53" t="e">
        <f>VLOOKUP(E991,'Court List'!$A:$C,2,0)</f>
        <v>#N/A</v>
      </c>
      <c r="H991" s="50"/>
      <c r="I991" s="50"/>
      <c r="J991" s="54" t="e">
        <f t="shared" si="38"/>
        <v>#N/A</v>
      </c>
      <c r="K991" s="49"/>
      <c r="L991" s="55">
        <f>SUM('Shuttle Count - Supreme (Nov 20'!C991:D991)</f>
        <v>0</v>
      </c>
      <c r="M991" s="55" t="e">
        <f>VLOOKUP(K991,'Shuttle Purchase'!A:C,3,0)</f>
        <v>#N/A</v>
      </c>
      <c r="N991" s="54" t="e">
        <f t="shared" si="48"/>
        <v>#N/A</v>
      </c>
      <c r="O991" s="56" t="e">
        <f>VLOOKUP(E991,'Court List'!$A:$C,3,0)</f>
        <v>#N/A</v>
      </c>
      <c r="P991" s="55">
        <f>COUNTIF('Pub List'!$C991:$T991,"&lt;&gt;")</f>
        <v>0</v>
      </c>
      <c r="Q991" s="57" t="e">
        <f t="shared" si="39"/>
        <v>#N/A</v>
      </c>
      <c r="R991" s="49"/>
      <c r="S991" s="55">
        <f>COUNTIF('Member List'!$C991:$J991,"&lt;&gt;")</f>
        <v>0</v>
      </c>
      <c r="T991" s="51"/>
      <c r="U991" s="56">
        <f t="shared" si="40"/>
        <v>0</v>
      </c>
      <c r="V991" s="55" t="e">
        <f t="shared" si="41"/>
        <v>#N/A</v>
      </c>
      <c r="W991" s="58" t="e">
        <f t="shared" si="42"/>
        <v>#N/A</v>
      </c>
      <c r="X991" s="57" t="e">
        <f t="shared" si="43"/>
        <v>#N/A</v>
      </c>
      <c r="Y991" s="59" t="e">
        <f t="shared" si="46"/>
        <v>#N/A</v>
      </c>
      <c r="Z991" s="60" t="e">
        <f t="shared" si="44"/>
        <v>#N/A</v>
      </c>
      <c r="AA991" s="60" t="e">
        <f t="shared" si="45"/>
        <v>#N/A</v>
      </c>
      <c r="AB991" s="60"/>
      <c r="AC991" s="48" t="e">
        <f t="shared" si="47"/>
        <v>#N/A</v>
      </c>
    </row>
  </sheetData>
  <autoFilter ref="A4:AC991" xr:uid="{00000000-0009-0000-0000-000001000000}"/>
  <mergeCells count="6">
    <mergeCell ref="Y4:AC4"/>
    <mergeCell ref="G4:J4"/>
    <mergeCell ref="K4:N4"/>
    <mergeCell ref="O4:Q4"/>
    <mergeCell ref="R4:T4"/>
    <mergeCell ref="U4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99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3" max="20" width="24.36328125" customWidth="1"/>
  </cols>
  <sheetData>
    <row r="1" spans="1:20" x14ac:dyDescent="0.3">
      <c r="A1" s="3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">
      <c r="A5" s="61" t="s">
        <v>9</v>
      </c>
      <c r="B5" s="61" t="s">
        <v>10</v>
      </c>
      <c r="C5" s="62" t="s">
        <v>82</v>
      </c>
      <c r="D5" s="62" t="s">
        <v>83</v>
      </c>
      <c r="E5" s="62" t="s">
        <v>84</v>
      </c>
      <c r="F5" s="62" t="s">
        <v>85</v>
      </c>
      <c r="G5" s="62" t="s">
        <v>86</v>
      </c>
      <c r="H5" s="62" t="s">
        <v>87</v>
      </c>
      <c r="I5" s="62" t="s">
        <v>88</v>
      </c>
      <c r="J5" s="62" t="s">
        <v>89</v>
      </c>
      <c r="K5" s="62" t="s">
        <v>90</v>
      </c>
      <c r="L5" s="62" t="s">
        <v>91</v>
      </c>
      <c r="M5" s="62" t="s">
        <v>92</v>
      </c>
      <c r="N5" s="62" t="s">
        <v>93</v>
      </c>
      <c r="O5" s="62" t="s">
        <v>94</v>
      </c>
      <c r="P5" s="62" t="s">
        <v>95</v>
      </c>
      <c r="Q5" s="62" t="s">
        <v>96</v>
      </c>
      <c r="R5" s="62" t="s">
        <v>97</v>
      </c>
      <c r="S5" s="62" t="s">
        <v>98</v>
      </c>
      <c r="T5" s="62" t="s">
        <v>99</v>
      </c>
    </row>
    <row r="6" spans="1:20" ht="15.75" customHeight="1" x14ac:dyDescent="0.25">
      <c r="A6" s="63">
        <f>'Profit &amp; Loss'!A6</f>
        <v>45955</v>
      </c>
      <c r="B6" s="33" t="str">
        <f>'Profit &amp; Loss'!B6</f>
        <v>Sat</v>
      </c>
      <c r="C6" s="33" t="s">
        <v>100</v>
      </c>
      <c r="D6" s="33" t="s">
        <v>101</v>
      </c>
      <c r="E6" s="33" t="s">
        <v>102</v>
      </c>
      <c r="F6" s="33" t="s">
        <v>103</v>
      </c>
      <c r="G6" s="33" t="s">
        <v>104</v>
      </c>
      <c r="H6" s="33" t="s">
        <v>105</v>
      </c>
      <c r="I6" s="33" t="s">
        <v>106</v>
      </c>
      <c r="J6" s="33" t="s">
        <v>107</v>
      </c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ht="15.75" customHeight="1" x14ac:dyDescent="0.25">
      <c r="A7" s="63">
        <f>'Profit &amp; Loss'!A7</f>
        <v>45960</v>
      </c>
      <c r="B7" s="33" t="str">
        <f>'Profit &amp; Loss'!B7</f>
        <v>Thurs</v>
      </c>
      <c r="C7" s="33" t="s">
        <v>108</v>
      </c>
      <c r="D7" s="33" t="s">
        <v>109</v>
      </c>
      <c r="E7" s="33" t="s">
        <v>110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ht="15.75" customHeight="1" x14ac:dyDescent="0.25">
      <c r="A8" s="63">
        <f>'Profit &amp; Loss'!A8</f>
        <v>45963</v>
      </c>
      <c r="B8" s="33" t="str">
        <f>'Profit &amp; Loss'!B8</f>
        <v>Sun</v>
      </c>
      <c r="C8" s="33" t="s">
        <v>100</v>
      </c>
      <c r="D8" s="33" t="s">
        <v>111</v>
      </c>
      <c r="E8" s="33" t="s">
        <v>112</v>
      </c>
      <c r="F8" s="33" t="s">
        <v>113</v>
      </c>
      <c r="G8" s="33" t="s">
        <v>105</v>
      </c>
      <c r="H8" s="33" t="s">
        <v>114</v>
      </c>
      <c r="I8" s="33" t="s">
        <v>109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9" spans="1:20" ht="15.75" customHeight="1" x14ac:dyDescent="0.25">
      <c r="A9" s="63">
        <f>'Profit &amp; Loss'!A9</f>
        <v>45965</v>
      </c>
      <c r="B9" s="33" t="str">
        <f>'Profit &amp; Loss'!B9</f>
        <v>Tues</v>
      </c>
      <c r="C9" s="33" t="s">
        <v>112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spans="1:20" ht="15.75" customHeight="1" x14ac:dyDescent="0.25">
      <c r="A10" s="63">
        <f>'Profit &amp; Loss'!A10</f>
        <v>45969</v>
      </c>
      <c r="B10" s="33" t="str">
        <f>'Profit &amp; Loss'!B10</f>
        <v>Sat</v>
      </c>
      <c r="C10" s="33" t="s">
        <v>100</v>
      </c>
      <c r="D10" s="33" t="s">
        <v>115</v>
      </c>
      <c r="E10" s="33" t="s">
        <v>103</v>
      </c>
      <c r="F10" s="33" t="s">
        <v>116</v>
      </c>
      <c r="G10" s="33" t="s">
        <v>117</v>
      </c>
      <c r="H10" s="33" t="s">
        <v>118</v>
      </c>
      <c r="I10" s="33" t="s">
        <v>119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</row>
    <row r="11" spans="1:20" ht="15.75" customHeight="1" x14ac:dyDescent="0.25">
      <c r="A11" s="63">
        <f>'Profit &amp; Loss'!A11</f>
        <v>45973</v>
      </c>
      <c r="B11" s="33" t="str">
        <f>'Profit &amp; Loss'!B11</f>
        <v>Wed</v>
      </c>
      <c r="C11" s="33" t="s">
        <v>120</v>
      </c>
      <c r="D11" s="33" t="s">
        <v>118</v>
      </c>
      <c r="E11" s="33" t="s">
        <v>108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</row>
    <row r="12" spans="1:20" ht="15.75" customHeight="1" x14ac:dyDescent="0.25">
      <c r="A12" s="63">
        <f>'Profit &amp; Loss'!A12</f>
        <v>45977</v>
      </c>
      <c r="B12" s="33" t="str">
        <f>'Profit &amp; Loss'!B12</f>
        <v>Sun</v>
      </c>
      <c r="C12" s="33" t="s">
        <v>100</v>
      </c>
      <c r="D12" s="33" t="s">
        <v>121</v>
      </c>
      <c r="E12" s="33" t="s">
        <v>122</v>
      </c>
      <c r="F12" s="33" t="s">
        <v>123</v>
      </c>
      <c r="G12" s="33" t="s">
        <v>124</v>
      </c>
      <c r="H12" s="33" t="s">
        <v>125</v>
      </c>
      <c r="I12" s="33" t="s">
        <v>126</v>
      </c>
      <c r="J12" s="33" t="s">
        <v>127</v>
      </c>
      <c r="K12" s="33" t="s">
        <v>119</v>
      </c>
      <c r="L12" s="33" t="s">
        <v>128</v>
      </c>
      <c r="M12" s="33" t="s">
        <v>105</v>
      </c>
      <c r="N12" s="33"/>
      <c r="O12" s="33"/>
      <c r="P12" s="33"/>
      <c r="Q12" s="33"/>
      <c r="R12" s="33"/>
      <c r="S12" s="33"/>
      <c r="T12" s="33"/>
    </row>
    <row r="13" spans="1:20" ht="15.75" customHeight="1" x14ac:dyDescent="0.25">
      <c r="A13" s="63">
        <f>'Profit &amp; Loss'!A13</f>
        <v>45978</v>
      </c>
      <c r="B13" s="33" t="str">
        <f>'Profit &amp; Loss'!B13</f>
        <v>Mon</v>
      </c>
      <c r="C13" s="33" t="s">
        <v>117</v>
      </c>
      <c r="D13" s="33" t="s">
        <v>129</v>
      </c>
      <c r="E13" s="33" t="s">
        <v>130</v>
      </c>
      <c r="F13" s="33" t="s">
        <v>112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ht="15.75" customHeight="1" x14ac:dyDescent="0.25">
      <c r="A14" s="63">
        <f>'Profit &amp; Loss'!A14</f>
        <v>45979</v>
      </c>
      <c r="B14" s="33" t="str">
        <f>'Profit &amp; Loss'!B14</f>
        <v>Tues</v>
      </c>
      <c r="C14" s="33" t="s">
        <v>131</v>
      </c>
      <c r="D14" s="33" t="s">
        <v>132</v>
      </c>
      <c r="E14" s="33" t="s">
        <v>133</v>
      </c>
      <c r="F14" s="33" t="s">
        <v>134</v>
      </c>
      <c r="G14" s="33" t="s">
        <v>120</v>
      </c>
      <c r="H14" s="33" t="s">
        <v>135</v>
      </c>
      <c r="I14" s="33" t="s">
        <v>116</v>
      </c>
      <c r="J14" s="33" t="s">
        <v>108</v>
      </c>
      <c r="K14" s="33" t="s">
        <v>136</v>
      </c>
      <c r="L14" s="33" t="s">
        <v>112</v>
      </c>
      <c r="M14" s="33"/>
      <c r="N14" s="33"/>
      <c r="O14" s="33"/>
      <c r="P14" s="33"/>
      <c r="Q14" s="33"/>
      <c r="R14" s="33"/>
      <c r="S14" s="33"/>
      <c r="T14" s="33"/>
    </row>
    <row r="15" spans="1:20" ht="15.75" customHeight="1" x14ac:dyDescent="0.25">
      <c r="A15" s="63">
        <f>'Profit &amp; Loss'!A15</f>
        <v>45981</v>
      </c>
      <c r="B15" s="33" t="str">
        <f>'Profit &amp; Loss'!B15</f>
        <v>Thurs</v>
      </c>
      <c r="C15" s="33" t="s">
        <v>119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1:20" ht="15.75" customHeight="1" x14ac:dyDescent="0.25">
      <c r="A16" s="63">
        <f>'Profit &amp; Loss'!A16</f>
        <v>45984</v>
      </c>
      <c r="B16" s="33" t="str">
        <f>'Profit &amp; Loss'!B16</f>
        <v>Sun</v>
      </c>
      <c r="C16" s="33" t="s">
        <v>100</v>
      </c>
      <c r="D16" s="33" t="s">
        <v>103</v>
      </c>
      <c r="E16" s="33" t="s">
        <v>137</v>
      </c>
      <c r="F16" s="33" t="s">
        <v>138</v>
      </c>
      <c r="G16" s="33" t="s">
        <v>139</v>
      </c>
      <c r="H16" s="33" t="s">
        <v>140</v>
      </c>
      <c r="I16" s="33" t="s">
        <v>141</v>
      </c>
      <c r="J16" s="33" t="s">
        <v>142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</row>
    <row r="17" spans="1:20" ht="15.75" customHeight="1" x14ac:dyDescent="0.25">
      <c r="A17" s="63">
        <f>'Profit &amp; Loss'!A17</f>
        <v>45987</v>
      </c>
      <c r="B17" s="33" t="str">
        <f>'Profit &amp; Loss'!B17</f>
        <v>Wed</v>
      </c>
      <c r="C17" s="33" t="s">
        <v>121</v>
      </c>
      <c r="D17" s="33" t="s">
        <v>122</v>
      </c>
      <c r="E17" s="33" t="s">
        <v>143</v>
      </c>
      <c r="F17" s="33" t="s">
        <v>144</v>
      </c>
      <c r="G17" s="33" t="s">
        <v>108</v>
      </c>
      <c r="H17" s="33" t="s">
        <v>145</v>
      </c>
      <c r="I17" s="33" t="s">
        <v>146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</row>
    <row r="18" spans="1:20" ht="15.75" customHeight="1" x14ac:dyDescent="0.25">
      <c r="A18" s="63">
        <f>'Profit &amp; Loss'!A18</f>
        <v>45988</v>
      </c>
      <c r="B18" s="33" t="str">
        <f>'Profit &amp; Loss'!B18</f>
        <v>Thurs</v>
      </c>
      <c r="C18" s="33" t="s">
        <v>110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</row>
    <row r="19" spans="1:20" ht="15.75" customHeight="1" x14ac:dyDescent="0.25">
      <c r="A19" s="63">
        <f>'Profit &amp; Loss'!A19</f>
        <v>45991</v>
      </c>
      <c r="B19" s="33" t="str">
        <f>'Profit &amp; Loss'!B19</f>
        <v>Sun</v>
      </c>
      <c r="C19" s="33" t="s">
        <v>121</v>
      </c>
      <c r="D19" s="33" t="s">
        <v>122</v>
      </c>
      <c r="E19" s="33" t="s">
        <v>100</v>
      </c>
      <c r="F19" s="33" t="s">
        <v>147</v>
      </c>
      <c r="G19" s="33" t="s">
        <v>148</v>
      </c>
      <c r="H19" s="33" t="s">
        <v>149</v>
      </c>
      <c r="I19" s="33" t="s">
        <v>150</v>
      </c>
      <c r="J19" s="33" t="s">
        <v>151</v>
      </c>
      <c r="K19" s="33" t="s">
        <v>152</v>
      </c>
      <c r="L19" s="33" t="s">
        <v>153</v>
      </c>
      <c r="M19" s="33"/>
      <c r="N19" s="33"/>
      <c r="O19" s="33"/>
      <c r="P19" s="33"/>
      <c r="Q19" s="33"/>
      <c r="R19" s="33"/>
      <c r="S19" s="33"/>
      <c r="T19" s="33"/>
    </row>
    <row r="20" spans="1:20" ht="15.75" customHeight="1" x14ac:dyDescent="0.25">
      <c r="A20" s="63">
        <f>'Profit &amp; Loss'!A20</f>
        <v>45998</v>
      </c>
      <c r="B20" s="33" t="str">
        <f>'Profit &amp; Loss'!B20</f>
        <v>Sun</v>
      </c>
      <c r="C20" s="33" t="s">
        <v>100</v>
      </c>
      <c r="D20" s="33" t="s">
        <v>121</v>
      </c>
      <c r="E20" s="33" t="s">
        <v>122</v>
      </c>
      <c r="F20" s="33" t="s">
        <v>153</v>
      </c>
      <c r="G20" s="33" t="s">
        <v>152</v>
      </c>
      <c r="H20" s="33" t="s">
        <v>104</v>
      </c>
      <c r="I20" s="33" t="s">
        <v>147</v>
      </c>
      <c r="J20" s="33" t="s">
        <v>154</v>
      </c>
      <c r="K20" s="33" t="s">
        <v>119</v>
      </c>
      <c r="L20" s="33" t="s">
        <v>155</v>
      </c>
      <c r="M20" s="33" t="s">
        <v>128</v>
      </c>
      <c r="N20" s="33" t="s">
        <v>139</v>
      </c>
      <c r="O20" s="33" t="s">
        <v>140</v>
      </c>
      <c r="P20" s="33"/>
      <c r="Q20" s="33"/>
      <c r="R20" s="33"/>
      <c r="S20" s="33"/>
      <c r="T20" s="33"/>
    </row>
    <row r="21" spans="1:20" ht="15.75" customHeight="1" x14ac:dyDescent="0.25">
      <c r="A21" s="63">
        <f>'Profit &amp; Loss'!A21</f>
        <v>45999</v>
      </c>
      <c r="B21" s="33" t="str">
        <f>'Profit &amp; Loss'!B21</f>
        <v>Mon</v>
      </c>
      <c r="C21" s="33" t="s">
        <v>112</v>
      </c>
      <c r="D21" s="33" t="s">
        <v>156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 ht="15.75" customHeight="1" x14ac:dyDescent="0.25">
      <c r="A22" s="63">
        <f>'Profit &amp; Loss'!A22</f>
        <v>46001</v>
      </c>
      <c r="B22" s="33" t="str">
        <f>'Profit &amp; Loss'!B22</f>
        <v>Wed</v>
      </c>
      <c r="C22" s="33" t="s">
        <v>112</v>
      </c>
      <c r="D22" s="33" t="s">
        <v>120</v>
      </c>
      <c r="E22" s="33" t="s">
        <v>116</v>
      </c>
      <c r="F22" s="33" t="s">
        <v>108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 spans="1:20" ht="15.75" customHeight="1" x14ac:dyDescent="0.25">
      <c r="A23" s="63">
        <f>'Profit &amp; Loss'!A23</f>
        <v>46004</v>
      </c>
      <c r="B23" s="33" t="str">
        <f>'Profit &amp; Loss'!B23</f>
        <v>Sat</v>
      </c>
      <c r="C23" s="33" t="s">
        <v>157</v>
      </c>
      <c r="D23" s="33" t="s">
        <v>158</v>
      </c>
      <c r="E23" s="33" t="s">
        <v>159</v>
      </c>
      <c r="F23" s="33" t="s">
        <v>112</v>
      </c>
      <c r="G23" s="33" t="s">
        <v>117</v>
      </c>
      <c r="H23" s="33" t="s">
        <v>160</v>
      </c>
      <c r="I23" s="33" t="s">
        <v>161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 spans="1:20" ht="15.75" customHeight="1" x14ac:dyDescent="0.25">
      <c r="A24" s="63">
        <f>'Profit &amp; Loss'!A24</f>
        <v>46006</v>
      </c>
      <c r="B24" s="33" t="str">
        <f>'Profit &amp; Loss'!B24</f>
        <v>Mon</v>
      </c>
      <c r="C24" s="33" t="s">
        <v>112</v>
      </c>
      <c r="D24" s="33" t="s">
        <v>139</v>
      </c>
      <c r="E24" s="33" t="s">
        <v>162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 spans="1:20" ht="15.75" customHeight="1" x14ac:dyDescent="0.25">
      <c r="A25" s="63">
        <f>'Profit &amp; Loss'!A25</f>
        <v>46011</v>
      </c>
      <c r="B25" s="33" t="str">
        <f>'Profit &amp; Loss'!B25</f>
        <v>Sat</v>
      </c>
      <c r="C25" s="33" t="s">
        <v>121</v>
      </c>
      <c r="D25" s="33" t="s">
        <v>122</v>
      </c>
      <c r="E25" s="33" t="s">
        <v>100</v>
      </c>
      <c r="F25" s="33" t="s">
        <v>163</v>
      </c>
      <c r="G25" s="33" t="s">
        <v>109</v>
      </c>
      <c r="H25" s="33" t="s">
        <v>164</v>
      </c>
      <c r="I25" s="33" t="s">
        <v>165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 spans="1:20" ht="15.75" customHeight="1" x14ac:dyDescent="0.25">
      <c r="A26" s="63">
        <f>'Profit &amp; Loss'!A26</f>
        <v>46017</v>
      </c>
      <c r="B26" s="33" t="str">
        <f>'Profit &amp; Loss'!B26</f>
        <v>Fri</v>
      </c>
      <c r="C26" s="33" t="s">
        <v>100</v>
      </c>
      <c r="D26" s="33" t="s">
        <v>166</v>
      </c>
      <c r="E26" s="33" t="s">
        <v>153</v>
      </c>
      <c r="F26" s="33" t="s">
        <v>101</v>
      </c>
      <c r="G26" s="33" t="s">
        <v>131</v>
      </c>
      <c r="H26" s="33" t="s">
        <v>132</v>
      </c>
      <c r="I26" s="33" t="s">
        <v>167</v>
      </c>
      <c r="J26" s="33" t="s">
        <v>168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 spans="1:20" ht="15.75" customHeight="1" x14ac:dyDescent="0.25">
      <c r="A27" s="63">
        <f>'Profit &amp; Loss'!A27</f>
        <v>46019</v>
      </c>
      <c r="B27" s="33" t="str">
        <f>'Profit &amp; Loss'!B27</f>
        <v>Sun</v>
      </c>
      <c r="C27" s="33" t="s">
        <v>169</v>
      </c>
      <c r="D27" s="33" t="s">
        <v>112</v>
      </c>
      <c r="E27" s="33" t="s">
        <v>105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 spans="1:20" ht="15.75" customHeight="1" x14ac:dyDescent="0.25">
      <c r="A28" s="63">
        <f>'Profit &amp; Loss'!A28</f>
        <v>46020</v>
      </c>
      <c r="B28" s="33" t="str">
        <f>'Profit &amp; Loss'!B28</f>
        <v>Mon</v>
      </c>
      <c r="C28" s="33" t="s">
        <v>170</v>
      </c>
      <c r="D28" s="33" t="s">
        <v>145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 spans="1:20" ht="15.75" customHeight="1" x14ac:dyDescent="0.25">
      <c r="A29" s="63">
        <f>'Profit &amp; Loss'!A29</f>
        <v>46024</v>
      </c>
      <c r="B29" s="33" t="str">
        <f>'Profit &amp; Loss'!B29</f>
        <v>Fri</v>
      </c>
      <c r="C29" s="33" t="s">
        <v>171</v>
      </c>
      <c r="D29" s="33" t="s">
        <v>144</v>
      </c>
      <c r="E29" s="33" t="s">
        <v>131</v>
      </c>
      <c r="F29" s="33" t="s">
        <v>132</v>
      </c>
      <c r="G29" s="33" t="s">
        <v>112</v>
      </c>
      <c r="H29" s="33" t="s">
        <v>145</v>
      </c>
      <c r="I29" s="33" t="s">
        <v>172</v>
      </c>
      <c r="J29" s="33" t="s">
        <v>119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 spans="1:20" ht="15.75" customHeight="1" x14ac:dyDescent="0.25">
      <c r="A30" s="63">
        <f>'Profit &amp; Loss'!A30</f>
        <v>46026</v>
      </c>
      <c r="B30" s="33" t="str">
        <f>'Profit &amp; Loss'!B30</f>
        <v>Sun</v>
      </c>
      <c r="C30" s="33" t="s">
        <v>100</v>
      </c>
      <c r="D30" s="33" t="s">
        <v>153</v>
      </c>
      <c r="E30" s="33" t="s">
        <v>170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 spans="1:20" ht="15.75" customHeight="1" x14ac:dyDescent="0.25">
      <c r="A31" s="63">
        <f>'Profit &amp; Loss'!A31</f>
        <v>46033</v>
      </c>
      <c r="B31" s="33" t="str">
        <f>'Profit &amp; Loss'!B31</f>
        <v>Sun</v>
      </c>
      <c r="C31" s="33" t="s">
        <v>100</v>
      </c>
      <c r="D31" s="33" t="s">
        <v>173</v>
      </c>
      <c r="E31" s="33" t="s">
        <v>174</v>
      </c>
      <c r="F31" s="33" t="s">
        <v>175</v>
      </c>
      <c r="G31" s="33" t="s">
        <v>176</v>
      </c>
      <c r="H31" s="33" t="s">
        <v>114</v>
      </c>
      <c r="I31" s="33" t="s">
        <v>163</v>
      </c>
      <c r="J31" s="33" t="s">
        <v>131</v>
      </c>
      <c r="K31" s="33" t="s">
        <v>132</v>
      </c>
      <c r="L31" s="33" t="s">
        <v>152</v>
      </c>
      <c r="M31" s="33" t="s">
        <v>177</v>
      </c>
      <c r="N31" s="33" t="s">
        <v>178</v>
      </c>
      <c r="O31" s="33" t="s">
        <v>119</v>
      </c>
      <c r="P31" s="33" t="s">
        <v>103</v>
      </c>
      <c r="Q31" s="33"/>
      <c r="R31" s="33"/>
      <c r="S31" s="33"/>
      <c r="T31" s="33"/>
    </row>
    <row r="32" spans="1:20" ht="15.75" customHeight="1" x14ac:dyDescent="0.25">
      <c r="A32" s="63">
        <f>'Profit &amp; Loss'!A32</f>
        <v>46036</v>
      </c>
      <c r="B32" s="33" t="str">
        <f>'Profit &amp; Loss'!B32</f>
        <v>Wed</v>
      </c>
      <c r="C32" s="33" t="s">
        <v>100</v>
      </c>
      <c r="D32" s="33" t="s">
        <v>145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 ht="12.5" x14ac:dyDescent="0.25">
      <c r="A33" s="63">
        <f>'Profit &amp; Loss'!A33</f>
        <v>46038</v>
      </c>
      <c r="B33" s="33" t="str">
        <f>'Profit &amp; Loss'!B33</f>
        <v>Fri</v>
      </c>
      <c r="C33" s="33" t="s">
        <v>105</v>
      </c>
      <c r="D33" s="33" t="s">
        <v>144</v>
      </c>
      <c r="E33" s="33" t="s">
        <v>179</v>
      </c>
      <c r="F33" s="33" t="s">
        <v>180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ht="12.5" x14ac:dyDescent="0.25">
      <c r="A34" s="63">
        <f>'Profit &amp; Loss'!A34</f>
        <v>46040</v>
      </c>
      <c r="B34" s="33" t="str">
        <f>'Profit &amp; Loss'!B34</f>
        <v>Sun</v>
      </c>
      <c r="C34" s="33" t="s">
        <v>100</v>
      </c>
      <c r="D34" s="33" t="s">
        <v>131</v>
      </c>
      <c r="E34" s="33" t="s">
        <v>132</v>
      </c>
      <c r="F34" s="33" t="s">
        <v>181</v>
      </c>
      <c r="G34" s="33" t="s">
        <v>152</v>
      </c>
      <c r="H34" s="33" t="s">
        <v>112</v>
      </c>
      <c r="I34" s="33" t="s">
        <v>182</v>
      </c>
      <c r="J34" s="33" t="s">
        <v>119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12.5" x14ac:dyDescent="0.25">
      <c r="A35" s="63">
        <f>'Profit &amp; Loss'!A35</f>
        <v>46044</v>
      </c>
      <c r="B35" s="33" t="str">
        <f>'Profit &amp; Loss'!B35</f>
        <v>Thurs</v>
      </c>
      <c r="C35" s="33" t="s">
        <v>108</v>
      </c>
      <c r="D35" s="33" t="s">
        <v>111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ht="12.5" x14ac:dyDescent="0.25">
      <c r="A36" s="63">
        <f>'Profit &amp; Loss'!A36</f>
        <v>46047</v>
      </c>
      <c r="B36" s="33" t="str">
        <f>'Profit &amp; Loss'!B36</f>
        <v>Sun</v>
      </c>
      <c r="C36" s="33" t="s">
        <v>100</v>
      </c>
      <c r="D36" s="33" t="s">
        <v>139</v>
      </c>
      <c r="E36" s="33" t="s">
        <v>183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 ht="12.5" x14ac:dyDescent="0.25">
      <c r="A37" s="63">
        <f>'Profit &amp; Loss'!A37</f>
        <v>46050</v>
      </c>
      <c r="B37" s="33" t="str">
        <f>'Profit &amp; Loss'!B37</f>
        <v>Wed</v>
      </c>
      <c r="C37" s="33" t="s">
        <v>184</v>
      </c>
      <c r="D37" s="33" t="s">
        <v>111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 ht="12.5" x14ac:dyDescent="0.25">
      <c r="A38" s="63">
        <f>'Profit &amp; Loss'!A38</f>
        <v>46054</v>
      </c>
      <c r="B38" s="33" t="str">
        <f>'Profit &amp; Loss'!B38</f>
        <v>Sun</v>
      </c>
      <c r="C38" s="33" t="s">
        <v>100</v>
      </c>
      <c r="D38" s="33" t="s">
        <v>153</v>
      </c>
      <c r="E38" s="33" t="s">
        <v>185</v>
      </c>
      <c r="F38" s="33" t="s">
        <v>186</v>
      </c>
      <c r="G38" s="33" t="s">
        <v>112</v>
      </c>
      <c r="H38" s="33" t="s">
        <v>105</v>
      </c>
      <c r="I38" s="33" t="s">
        <v>170</v>
      </c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 ht="12.5" x14ac:dyDescent="0.25">
      <c r="A39" s="63">
        <f>'Profit &amp; Loss'!A39</f>
        <v>46060</v>
      </c>
      <c r="B39" s="33" t="str">
        <f>'Profit &amp; Loss'!B39</f>
        <v>Sat</v>
      </c>
      <c r="C39" s="33" t="s">
        <v>187</v>
      </c>
      <c r="D39" s="33" t="s">
        <v>112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 ht="12.5" x14ac:dyDescent="0.25">
      <c r="A40" s="63">
        <f>'Profit &amp; Loss'!A40</f>
        <v>46061</v>
      </c>
      <c r="B40" s="33" t="str">
        <f>'Profit &amp; Loss'!B40</f>
        <v>Sun</v>
      </c>
      <c r="C40" s="33" t="s">
        <v>100</v>
      </c>
      <c r="D40" s="33" t="s">
        <v>153</v>
      </c>
      <c r="E40" s="33" t="s">
        <v>188</v>
      </c>
      <c r="F40" s="33" t="s">
        <v>170</v>
      </c>
      <c r="G40" s="33" t="s">
        <v>139</v>
      </c>
      <c r="H40" s="33" t="s">
        <v>189</v>
      </c>
      <c r="I40" s="33" t="s">
        <v>190</v>
      </c>
      <c r="J40" s="33" t="s">
        <v>191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 ht="12.5" x14ac:dyDescent="0.25">
      <c r="A41" s="63">
        <f>'Profit &amp; Loss'!A41</f>
        <v>46065</v>
      </c>
      <c r="B41" s="33" t="str">
        <f>'Profit &amp; Loss'!B41</f>
        <v>Thurs</v>
      </c>
      <c r="C41" s="33" t="s">
        <v>108</v>
      </c>
      <c r="D41" s="33" t="s">
        <v>187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 ht="12.5" x14ac:dyDescent="0.25">
      <c r="A42" s="63">
        <f>'Profit &amp; Loss'!A42</f>
        <v>46066</v>
      </c>
      <c r="B42" s="33" t="str">
        <f>'Profit &amp; Loss'!B42</f>
        <v>Fri</v>
      </c>
      <c r="C42" s="33" t="s">
        <v>156</v>
      </c>
      <c r="D42" s="33" t="s">
        <v>192</v>
      </c>
      <c r="E42" s="33" t="s">
        <v>144</v>
      </c>
      <c r="F42" s="33" t="s">
        <v>115</v>
      </c>
      <c r="G42" s="33" t="s">
        <v>193</v>
      </c>
      <c r="H42" s="33" t="s">
        <v>139</v>
      </c>
      <c r="I42" s="33" t="s">
        <v>189</v>
      </c>
      <c r="J42" s="33" t="s">
        <v>187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ht="12.5" x14ac:dyDescent="0.25">
      <c r="A43" s="63">
        <f>'Profit &amp; Loss'!A43</f>
        <v>46067</v>
      </c>
      <c r="B43" s="33" t="str">
        <f>'Profit &amp; Loss'!B43</f>
        <v>Sat</v>
      </c>
      <c r="C43" s="33" t="s">
        <v>100</v>
      </c>
      <c r="D43" s="33" t="s">
        <v>192</v>
      </c>
      <c r="E43" s="33" t="s">
        <v>114</v>
      </c>
      <c r="F43" s="33" t="s">
        <v>109</v>
      </c>
      <c r="G43" s="33" t="s">
        <v>194</v>
      </c>
      <c r="H43" s="33" t="s">
        <v>170</v>
      </c>
      <c r="I43" s="33" t="s">
        <v>103</v>
      </c>
      <c r="J43" s="33" t="s">
        <v>117</v>
      </c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ht="12.5" x14ac:dyDescent="0.25">
      <c r="A44" s="63">
        <f>'Profit &amp; Loss'!A44</f>
        <v>46076</v>
      </c>
      <c r="B44" s="33" t="str">
        <f>'Profit &amp; Loss'!B44</f>
        <v>Mon</v>
      </c>
      <c r="C44" s="33" t="s">
        <v>100</v>
      </c>
      <c r="D44" s="33" t="s">
        <v>103</v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ht="12.5" x14ac:dyDescent="0.25">
      <c r="A45" s="63">
        <f>'Profit &amp; Loss'!A45</f>
        <v>46077</v>
      </c>
      <c r="B45" s="33" t="str">
        <f>'Profit &amp; Loss'!B45</f>
        <v>Tues</v>
      </c>
      <c r="C45" s="33" t="s">
        <v>114</v>
      </c>
      <c r="D45" s="33" t="s">
        <v>110</v>
      </c>
      <c r="E45" s="33" t="s">
        <v>112</v>
      </c>
      <c r="F45" s="33" t="s">
        <v>109</v>
      </c>
      <c r="G45" s="33" t="s">
        <v>183</v>
      </c>
      <c r="H45" s="33" t="s">
        <v>195</v>
      </c>
      <c r="I45" s="33" t="s">
        <v>196</v>
      </c>
      <c r="J45" s="33" t="s">
        <v>108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ht="12.5" x14ac:dyDescent="0.25">
      <c r="A46" s="63">
        <f>'Profit &amp; Loss'!A46</f>
        <v>46082</v>
      </c>
      <c r="B46" s="33" t="str">
        <f>'Profit &amp; Loss'!B46</f>
        <v>Sun</v>
      </c>
      <c r="C46" s="33" t="s">
        <v>183</v>
      </c>
      <c r="D46" s="33" t="s">
        <v>112</v>
      </c>
      <c r="E46" s="33" t="s">
        <v>119</v>
      </c>
      <c r="F46" s="33" t="s">
        <v>139</v>
      </c>
      <c r="G46" s="33" t="s">
        <v>189</v>
      </c>
      <c r="H46" s="33" t="s">
        <v>190</v>
      </c>
      <c r="I46" s="33" t="s">
        <v>191</v>
      </c>
      <c r="J46" s="33" t="s">
        <v>197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ht="12.5" x14ac:dyDescent="0.25">
      <c r="A47" s="63">
        <f>'Profit &amp; Loss'!A47</f>
        <v>46084</v>
      </c>
      <c r="B47" s="33" t="str">
        <f>'Profit &amp; Loss'!B47</f>
        <v>Tues</v>
      </c>
      <c r="C47" s="33" t="s">
        <v>109</v>
      </c>
      <c r="D47" s="33" t="s">
        <v>105</v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12.5" x14ac:dyDescent="0.25">
      <c r="A48" s="63">
        <f>'Profit &amp; Loss'!A48</f>
        <v>46087</v>
      </c>
      <c r="B48" s="33" t="str">
        <f>'Profit &amp; Loss'!B48</f>
        <v>Fri</v>
      </c>
      <c r="C48" s="33" t="s">
        <v>109</v>
      </c>
      <c r="D48" s="33" t="s">
        <v>156</v>
      </c>
      <c r="E48" s="33" t="s">
        <v>110</v>
      </c>
      <c r="F48" s="33" t="s">
        <v>198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12.5" x14ac:dyDescent="0.25">
      <c r="A49" s="63">
        <f>'Profit &amp; Loss'!A49</f>
        <v>46089</v>
      </c>
      <c r="B49" s="33" t="str">
        <f>'Profit &amp; Loss'!B49</f>
        <v>Sun</v>
      </c>
      <c r="C49" s="33" t="s">
        <v>100</v>
      </c>
      <c r="D49" s="33" t="s">
        <v>114</v>
      </c>
      <c r="E49" s="33" t="s">
        <v>123</v>
      </c>
      <c r="F49" s="33" t="s">
        <v>124</v>
      </c>
      <c r="G49" s="33" t="s">
        <v>199</v>
      </c>
      <c r="H49" s="33" t="s">
        <v>200</v>
      </c>
      <c r="I49" s="33" t="s">
        <v>201</v>
      </c>
      <c r="J49" s="33" t="s">
        <v>103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ht="12.5" x14ac:dyDescent="0.25">
      <c r="A50" s="63">
        <f>'Profit &amp; Loss'!A50</f>
        <v>46096</v>
      </c>
      <c r="B50" s="33" t="str">
        <f>'Profit &amp; Loss'!B50</f>
        <v>Sun</v>
      </c>
      <c r="C50" s="33" t="s">
        <v>100</v>
      </c>
      <c r="D50" s="33" t="s">
        <v>114</v>
      </c>
      <c r="E50" s="33" t="s">
        <v>202</v>
      </c>
      <c r="F50" s="33" t="s">
        <v>203</v>
      </c>
      <c r="G50" s="33" t="s">
        <v>183</v>
      </c>
      <c r="H50" s="33" t="s">
        <v>170</v>
      </c>
      <c r="I50" s="33" t="s">
        <v>109</v>
      </c>
      <c r="J50" s="33" t="s">
        <v>204</v>
      </c>
      <c r="K50" s="33" t="s">
        <v>205</v>
      </c>
      <c r="L50" s="33" t="s">
        <v>144</v>
      </c>
      <c r="M50" s="33"/>
      <c r="N50" s="33"/>
      <c r="O50" s="33"/>
      <c r="P50" s="33"/>
      <c r="Q50" s="33"/>
      <c r="R50" s="33"/>
      <c r="S50" s="33"/>
      <c r="T50" s="33"/>
    </row>
    <row r="51" spans="1:20" ht="12.5" x14ac:dyDescent="0.25">
      <c r="A51" s="63">
        <f>'Profit &amp; Loss'!A51</f>
        <v>46099</v>
      </c>
      <c r="B51" s="33" t="str">
        <f>'Profit &amp; Loss'!B51</f>
        <v>Wed</v>
      </c>
      <c r="C51" s="33" t="s">
        <v>128</v>
      </c>
      <c r="D51" s="33" t="s">
        <v>103</v>
      </c>
      <c r="E51" s="33" t="s">
        <v>206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 ht="12.5" x14ac:dyDescent="0.25">
      <c r="A52" s="63">
        <f>'Profit &amp; Loss'!A52</f>
        <v>46103</v>
      </c>
      <c r="B52" s="33" t="str">
        <f>'Profit &amp; Loss'!B52</f>
        <v>Sun</v>
      </c>
      <c r="C52" s="33" t="s">
        <v>100</v>
      </c>
      <c r="D52" s="33" t="s">
        <v>114</v>
      </c>
      <c r="E52" s="33" t="s">
        <v>152</v>
      </c>
      <c r="F52" s="33" t="s">
        <v>112</v>
      </c>
      <c r="G52" s="33" t="s">
        <v>207</v>
      </c>
      <c r="H52" s="33" t="s">
        <v>208</v>
      </c>
      <c r="I52" s="33" t="s">
        <v>149</v>
      </c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</row>
    <row r="53" spans="1:20" ht="12.5" x14ac:dyDescent="0.25">
      <c r="A53" s="63">
        <f>'Profit &amp; Loss'!A53</f>
        <v>46104</v>
      </c>
      <c r="B53" s="33" t="str">
        <f>'Profit &amp; Loss'!B53</f>
        <v>Mon</v>
      </c>
      <c r="C53" s="33" t="s">
        <v>103</v>
      </c>
      <c r="D53" s="33" t="s">
        <v>209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 ht="12.5" x14ac:dyDescent="0.25">
      <c r="A54" s="63">
        <f>'Profit &amp; Loss'!A54</f>
        <v>46115</v>
      </c>
      <c r="B54" s="33" t="str">
        <f>'Profit &amp; Loss'!B54</f>
        <v>Fri</v>
      </c>
      <c r="C54" s="33" t="s">
        <v>210</v>
      </c>
      <c r="D54" s="33" t="s">
        <v>211</v>
      </c>
      <c r="E54" s="33" t="s">
        <v>212</v>
      </c>
      <c r="F54" s="33" t="s">
        <v>213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 ht="12.5" x14ac:dyDescent="0.25">
      <c r="A55" s="63">
        <f>'Profit &amp; Loss'!A55</f>
        <v>46124</v>
      </c>
      <c r="B55" s="33" t="str">
        <f>'Profit &amp; Loss'!B55</f>
        <v>Sun</v>
      </c>
      <c r="C55" s="33" t="s">
        <v>137</v>
      </c>
      <c r="D55" s="33" t="s">
        <v>100</v>
      </c>
      <c r="E55" s="33" t="s">
        <v>214</v>
      </c>
      <c r="F55" s="33" t="s">
        <v>209</v>
      </c>
      <c r="G55" s="33" t="s">
        <v>114</v>
      </c>
      <c r="H55" s="33" t="s">
        <v>215</v>
      </c>
      <c r="I55" s="33" t="s">
        <v>178</v>
      </c>
      <c r="J55" s="33" t="s">
        <v>149</v>
      </c>
      <c r="K55" s="33" t="s">
        <v>216</v>
      </c>
      <c r="L55" s="33" t="s">
        <v>217</v>
      </c>
      <c r="M55" s="33"/>
      <c r="N55" s="33"/>
      <c r="O55" s="33"/>
      <c r="P55" s="33"/>
      <c r="Q55" s="33"/>
      <c r="R55" s="33"/>
      <c r="S55" s="33"/>
      <c r="T55" s="33"/>
    </row>
    <row r="56" spans="1:20" ht="12.5" x14ac:dyDescent="0.25">
      <c r="A56" s="63">
        <f>'Profit &amp; Loss'!A56</f>
        <v>46125</v>
      </c>
      <c r="B56" s="33" t="str">
        <f>'Profit &amp; Loss'!B56</f>
        <v>Mon</v>
      </c>
      <c r="C56" s="33" t="s">
        <v>156</v>
      </c>
      <c r="D56" s="33" t="s">
        <v>103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1:20" ht="12.5" x14ac:dyDescent="0.25">
      <c r="A57" s="63">
        <f>'Profit &amp; Loss'!A57</f>
        <v>46128</v>
      </c>
      <c r="B57" s="33" t="str">
        <f>'Profit &amp; Loss'!B57</f>
        <v>Thurs</v>
      </c>
      <c r="C57" s="33" t="s">
        <v>178</v>
      </c>
      <c r="D57" s="33" t="s">
        <v>218</v>
      </c>
      <c r="E57" s="33" t="s">
        <v>219</v>
      </c>
      <c r="F57" s="33" t="s">
        <v>220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 spans="1:20" ht="12.5" x14ac:dyDescent="0.25">
      <c r="A58" s="63">
        <f>'Profit &amp; Loss'!A58</f>
        <v>46130</v>
      </c>
      <c r="B58" s="33" t="str">
        <f>'Profit &amp; Loss'!B58</f>
        <v>Sat</v>
      </c>
      <c r="C58" s="33" t="s">
        <v>121</v>
      </c>
      <c r="D58" s="33" t="s">
        <v>122</v>
      </c>
      <c r="E58" s="33" t="s">
        <v>100</v>
      </c>
      <c r="F58" s="33" t="s">
        <v>110</v>
      </c>
      <c r="G58" s="33" t="s">
        <v>149</v>
      </c>
      <c r="H58" s="33" t="s">
        <v>216</v>
      </c>
      <c r="I58" s="33" t="s">
        <v>103</v>
      </c>
      <c r="J58" s="33" t="s">
        <v>109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 spans="1:20" ht="12.5" x14ac:dyDescent="0.25">
      <c r="A59" s="63">
        <f>'Profit &amp; Loss'!A59</f>
        <v>46132</v>
      </c>
      <c r="B59" s="33" t="str">
        <f>'Profit &amp; Loss'!B59</f>
        <v>Mon</v>
      </c>
      <c r="C59" s="33" t="s">
        <v>109</v>
      </c>
      <c r="D59" s="33" t="s">
        <v>139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spans="1:20" ht="12.5" x14ac:dyDescent="0.25">
      <c r="A60" s="63">
        <f>'Profit &amp; Loss'!A60</f>
        <v>46134</v>
      </c>
      <c r="B60" s="33" t="str">
        <f>'Profit &amp; Loss'!B60</f>
        <v>Wed</v>
      </c>
      <c r="C60" s="33" t="s">
        <v>109</v>
      </c>
      <c r="D60" s="33" t="s">
        <v>103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 spans="1:20" ht="12.5" x14ac:dyDescent="0.25">
      <c r="A61" s="63">
        <f>'Profit &amp; Loss'!A61</f>
        <v>46138</v>
      </c>
      <c r="B61" s="33" t="str">
        <f>'Profit &amp; Loss'!B61</f>
        <v>Sun</v>
      </c>
      <c r="C61" s="33" t="s">
        <v>100</v>
      </c>
      <c r="D61" s="33" t="s">
        <v>103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1:20" ht="12.5" x14ac:dyDescent="0.25">
      <c r="A62" s="63">
        <f>'Profit &amp; Loss'!A62</f>
        <v>46140</v>
      </c>
      <c r="B62" s="33" t="str">
        <f>'Profit &amp; Loss'!B62</f>
        <v>Tues</v>
      </c>
      <c r="C62" s="33" t="s">
        <v>221</v>
      </c>
      <c r="D62" s="33" t="s">
        <v>222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 spans="1:20" ht="12.5" x14ac:dyDescent="0.25">
      <c r="A63" s="63">
        <f>'Profit &amp; Loss'!A63</f>
        <v>46141</v>
      </c>
      <c r="B63" s="33" t="str">
        <f>'Profit &amp; Loss'!B63</f>
        <v>Wed</v>
      </c>
      <c r="C63" s="33" t="s">
        <v>223</v>
      </c>
      <c r="D63" s="33" t="s">
        <v>103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 ht="12.5" x14ac:dyDescent="0.25">
      <c r="A64" s="63">
        <f>'Profit &amp; Loss'!A64</f>
        <v>46144</v>
      </c>
      <c r="B64" s="33" t="str">
        <f>'Profit &amp; Loss'!B64</f>
        <v>Sat</v>
      </c>
      <c r="C64" s="33" t="s">
        <v>100</v>
      </c>
      <c r="D64" s="33" t="s">
        <v>109</v>
      </c>
      <c r="E64" s="33" t="s">
        <v>103</v>
      </c>
      <c r="F64" s="33" t="s">
        <v>224</v>
      </c>
      <c r="G64" s="33" t="s">
        <v>222</v>
      </c>
      <c r="H64" s="33" t="s">
        <v>225</v>
      </c>
      <c r="I64" s="33" t="s">
        <v>128</v>
      </c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 spans="1:20" ht="12.5" x14ac:dyDescent="0.25">
      <c r="A65" s="63">
        <f>'Profit &amp; Loss'!A65</f>
        <v>46152</v>
      </c>
      <c r="B65" s="33" t="str">
        <f>'Profit &amp; Loss'!B65</f>
        <v>Sun</v>
      </c>
      <c r="C65" s="33" t="s">
        <v>100</v>
      </c>
      <c r="D65" s="33" t="s">
        <v>121</v>
      </c>
      <c r="E65" s="33" t="s">
        <v>122</v>
      </c>
      <c r="F65" s="33" t="s">
        <v>153</v>
      </c>
      <c r="G65" s="33" t="s">
        <v>109</v>
      </c>
      <c r="H65" s="33" t="s">
        <v>128</v>
      </c>
      <c r="I65" s="33" t="s">
        <v>152</v>
      </c>
      <c r="J65" s="33" t="s">
        <v>178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 spans="1:20" ht="12.5" x14ac:dyDescent="0.25">
      <c r="A66" s="63">
        <f>'Profit &amp; Loss'!A66</f>
        <v>46156</v>
      </c>
      <c r="B66" s="33" t="str">
        <f>'Profit &amp; Loss'!B66</f>
        <v>Thurs</v>
      </c>
      <c r="C66" s="33" t="s">
        <v>109</v>
      </c>
      <c r="D66" s="33" t="s">
        <v>226</v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</row>
    <row r="67" spans="1:20" ht="12.5" x14ac:dyDescent="0.25">
      <c r="A67" s="63">
        <f>'Profit &amp; Loss'!A67</f>
        <v>46157</v>
      </c>
      <c r="B67" s="33" t="str">
        <f>'Profit &amp; Loss'!B67</f>
        <v>Fri</v>
      </c>
      <c r="C67" s="33" t="s">
        <v>153</v>
      </c>
      <c r="D67" s="33" t="s">
        <v>144</v>
      </c>
      <c r="E67" s="33" t="s">
        <v>227</v>
      </c>
      <c r="F67" s="33" t="s">
        <v>228</v>
      </c>
      <c r="G67" s="33" t="s">
        <v>229</v>
      </c>
      <c r="H67" s="33" t="s">
        <v>230</v>
      </c>
      <c r="I67" s="33" t="s">
        <v>231</v>
      </c>
      <c r="J67" s="33" t="s">
        <v>232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</row>
    <row r="68" spans="1:20" ht="12.5" x14ac:dyDescent="0.25">
      <c r="A68" s="63">
        <f>'Profit &amp; Loss'!A68</f>
        <v>46158</v>
      </c>
      <c r="B68" s="33" t="str">
        <f>'Profit &amp; Loss'!B68</f>
        <v>Sat</v>
      </c>
      <c r="C68" s="33" t="s">
        <v>109</v>
      </c>
      <c r="D68" s="33" t="s">
        <v>233</v>
      </c>
      <c r="E68" s="33" t="s">
        <v>234</v>
      </c>
      <c r="F68" s="33" t="s">
        <v>235</v>
      </c>
      <c r="G68" s="33" t="s">
        <v>236</v>
      </c>
      <c r="H68" s="33" t="s">
        <v>117</v>
      </c>
      <c r="I68" s="33" t="s">
        <v>129</v>
      </c>
      <c r="J68" s="33" t="s">
        <v>119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</row>
    <row r="69" spans="1:20" ht="12.5" x14ac:dyDescent="0.25">
      <c r="A69" s="63">
        <f>'Profit &amp; Loss'!A69</f>
        <v>46160</v>
      </c>
      <c r="B69" s="33" t="str">
        <f>'Profit &amp; Loss'!B69</f>
        <v>Mon</v>
      </c>
      <c r="C69" s="33" t="s">
        <v>237</v>
      </c>
      <c r="D69" s="33" t="s">
        <v>238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ht="12.5" x14ac:dyDescent="0.25">
      <c r="A70" s="63">
        <f>'Profit &amp; Loss'!A70</f>
        <v>46166</v>
      </c>
      <c r="B70" s="33" t="str">
        <f>'Profit &amp; Loss'!B70</f>
        <v>Sun</v>
      </c>
      <c r="C70" s="33" t="s">
        <v>100</v>
      </c>
      <c r="D70" s="33" t="s">
        <v>233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ht="12.5" x14ac:dyDescent="0.25">
      <c r="A71" s="63">
        <f>'Profit &amp; Loss'!A71</f>
        <v>46171</v>
      </c>
      <c r="B71" s="33" t="str">
        <f>'Profit &amp; Loss'!B71</f>
        <v>Fri</v>
      </c>
      <c r="C71" s="33" t="s">
        <v>109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</row>
    <row r="72" spans="1:20" ht="12.5" x14ac:dyDescent="0.25">
      <c r="A72" s="63">
        <f>'Profit &amp; Loss'!A72</f>
        <v>46172</v>
      </c>
      <c r="B72" s="33" t="str">
        <f>'Profit &amp; Loss'!B72</f>
        <v>Sat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</row>
    <row r="73" spans="1:20" ht="12.5" x14ac:dyDescent="0.25">
      <c r="A73" s="63">
        <f>'Profit &amp; Loss'!A73</f>
        <v>46180</v>
      </c>
      <c r="B73" s="33" t="str">
        <f>'Profit &amp; Loss'!B73</f>
        <v>Sun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</row>
    <row r="74" spans="1:20" ht="12.5" x14ac:dyDescent="0.25">
      <c r="A74" s="63">
        <f>'Profit &amp; Loss'!A74</f>
        <v>0</v>
      </c>
      <c r="B74" s="33">
        <f>'Profit &amp; Loss'!B74</f>
        <v>0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</row>
    <row r="75" spans="1:20" ht="12.5" x14ac:dyDescent="0.25">
      <c r="A75" s="63">
        <f>'Profit &amp; Loss'!A75</f>
        <v>0</v>
      </c>
      <c r="B75" s="33">
        <f>'Profit &amp; Loss'!B75</f>
        <v>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</row>
    <row r="76" spans="1:20" ht="12.5" x14ac:dyDescent="0.25">
      <c r="A76" s="63">
        <f>'Profit &amp; Loss'!A76</f>
        <v>0</v>
      </c>
      <c r="B76" s="33">
        <f>'Profit &amp; Loss'!B76</f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</row>
    <row r="77" spans="1:20" ht="12.5" x14ac:dyDescent="0.25">
      <c r="A77" s="63">
        <f>'Profit &amp; Loss'!A77</f>
        <v>0</v>
      </c>
      <c r="B77" s="33">
        <f>'Profit &amp; Loss'!B77</f>
        <v>0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</row>
    <row r="78" spans="1:20" ht="12.5" x14ac:dyDescent="0.25">
      <c r="A78" s="63">
        <f>'Profit &amp; Loss'!A78</f>
        <v>0</v>
      </c>
      <c r="B78" s="33">
        <f>'Profit &amp; Loss'!B78</f>
        <v>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</row>
    <row r="79" spans="1:20" ht="12.5" x14ac:dyDescent="0.25">
      <c r="A79" s="63">
        <f>'Profit &amp; Loss'!A79</f>
        <v>0</v>
      </c>
      <c r="B79" s="33">
        <f>'Profit &amp; Loss'!B79</f>
        <v>0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</row>
    <row r="80" spans="1:20" ht="12.5" x14ac:dyDescent="0.25">
      <c r="A80" s="63">
        <f>'Profit &amp; Loss'!A80</f>
        <v>0</v>
      </c>
      <c r="B80" s="33">
        <f>'Profit &amp; Loss'!B80</f>
        <v>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</row>
    <row r="81" spans="1:20" ht="12.5" x14ac:dyDescent="0.25">
      <c r="A81" s="63">
        <f>'Profit &amp; Loss'!A81</f>
        <v>0</v>
      </c>
      <c r="B81" s="33">
        <f>'Profit &amp; Loss'!B81</f>
        <v>0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</row>
    <row r="82" spans="1:20" ht="12.5" x14ac:dyDescent="0.25">
      <c r="A82" s="63">
        <f>'Profit &amp; Loss'!A82</f>
        <v>0</v>
      </c>
      <c r="B82" s="33">
        <f>'Profit &amp; Loss'!B82</f>
        <v>0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</row>
    <row r="83" spans="1:20" ht="12.5" x14ac:dyDescent="0.25">
      <c r="A83" s="63">
        <f>'Profit &amp; Loss'!A83</f>
        <v>0</v>
      </c>
      <c r="B83" s="33">
        <f>'Profit &amp; Loss'!B83</f>
        <v>0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</row>
    <row r="84" spans="1:20" ht="12.5" x14ac:dyDescent="0.25">
      <c r="A84" s="63">
        <f>'Profit &amp; Loss'!A84</f>
        <v>0</v>
      </c>
      <c r="B84" s="33">
        <f>'Profit &amp; Loss'!B84</f>
        <v>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</row>
    <row r="85" spans="1:20" ht="12.5" x14ac:dyDescent="0.25">
      <c r="A85" s="63">
        <f>'Profit &amp; Loss'!A85</f>
        <v>0</v>
      </c>
      <c r="B85" s="33">
        <f>'Profit &amp; Loss'!B85</f>
        <v>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</row>
    <row r="86" spans="1:20" ht="12.5" x14ac:dyDescent="0.25">
      <c r="A86" s="63">
        <f>'Profit &amp; Loss'!A86</f>
        <v>0</v>
      </c>
      <c r="B86" s="33">
        <f>'Profit &amp; Loss'!B86</f>
        <v>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</row>
    <row r="87" spans="1:20" ht="12.5" x14ac:dyDescent="0.25">
      <c r="A87" s="63">
        <f>'Profit &amp; Loss'!A87</f>
        <v>0</v>
      </c>
      <c r="B87" s="33">
        <f>'Profit &amp; Loss'!B87</f>
        <v>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</row>
    <row r="88" spans="1:20" ht="12.5" x14ac:dyDescent="0.25">
      <c r="A88" s="63">
        <f>'Profit &amp; Loss'!A88</f>
        <v>0</v>
      </c>
      <c r="B88" s="33">
        <f>'Profit &amp; Loss'!B88</f>
        <v>0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</row>
    <row r="89" spans="1:20" ht="12.5" x14ac:dyDescent="0.25">
      <c r="A89" s="63">
        <f>'Profit &amp; Loss'!A89</f>
        <v>0</v>
      </c>
      <c r="B89" s="33">
        <f>'Profit &amp; Loss'!B89</f>
        <v>0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</row>
    <row r="90" spans="1:20" ht="12.5" x14ac:dyDescent="0.25">
      <c r="A90" s="63">
        <f>'Profit &amp; Loss'!A90</f>
        <v>0</v>
      </c>
      <c r="B90" s="33">
        <f>'Profit &amp; Loss'!B90</f>
        <v>0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</row>
    <row r="91" spans="1:20" ht="12.5" x14ac:dyDescent="0.25">
      <c r="A91" s="63">
        <f>'Profit &amp; Loss'!A91</f>
        <v>0</v>
      </c>
      <c r="B91" s="33">
        <f>'Profit &amp; Loss'!B91</f>
        <v>0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</row>
    <row r="92" spans="1:20" ht="12.5" x14ac:dyDescent="0.25">
      <c r="A92" s="63">
        <f>'Profit &amp; Loss'!A92</f>
        <v>0</v>
      </c>
      <c r="B92" s="33">
        <f>'Profit &amp; Loss'!B92</f>
        <v>0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</row>
    <row r="93" spans="1:20" ht="12.5" x14ac:dyDescent="0.25">
      <c r="A93" s="63">
        <f>'Profit &amp; Loss'!A93</f>
        <v>0</v>
      </c>
      <c r="B93" s="33">
        <f>'Profit &amp; Loss'!B93</f>
        <v>0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</row>
    <row r="94" spans="1:20" ht="12.5" x14ac:dyDescent="0.25">
      <c r="A94" s="63">
        <f>'Profit &amp; Loss'!A94</f>
        <v>0</v>
      </c>
      <c r="B94" s="33">
        <f>'Profit &amp; Loss'!B94</f>
        <v>0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</row>
    <row r="95" spans="1:20" ht="12.5" x14ac:dyDescent="0.25">
      <c r="A95" s="63">
        <f>'Profit &amp; Loss'!A95</f>
        <v>0</v>
      </c>
      <c r="B95" s="33">
        <f>'Profit &amp; Loss'!B95</f>
        <v>0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</row>
    <row r="96" spans="1:20" ht="12.5" x14ac:dyDescent="0.25">
      <c r="A96" s="63">
        <f>'Profit &amp; Loss'!A96</f>
        <v>0</v>
      </c>
      <c r="B96" s="33">
        <f>'Profit &amp; Loss'!B96</f>
        <v>0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</row>
    <row r="97" spans="1:20" ht="12.5" x14ac:dyDescent="0.25">
      <c r="A97" s="63">
        <f>'Profit &amp; Loss'!A97</f>
        <v>0</v>
      </c>
      <c r="B97" s="33">
        <f>'Profit &amp; Loss'!B97</f>
        <v>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</row>
    <row r="98" spans="1:20" ht="12.5" x14ac:dyDescent="0.25">
      <c r="A98" s="63">
        <f>'Profit &amp; Loss'!A98</f>
        <v>0</v>
      </c>
      <c r="B98" s="33">
        <f>'Profit &amp; Loss'!B98</f>
        <v>0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</row>
    <row r="99" spans="1:20" ht="12.5" x14ac:dyDescent="0.25">
      <c r="A99" s="63">
        <f>'Profit &amp; Loss'!A99</f>
        <v>0</v>
      </c>
      <c r="B99" s="33">
        <f>'Profit &amp; Loss'!B99</f>
        <v>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</row>
    <row r="100" spans="1:20" ht="12.5" x14ac:dyDescent="0.25">
      <c r="A100" s="63">
        <f>'Profit &amp; Loss'!A100</f>
        <v>0</v>
      </c>
      <c r="B100" s="33">
        <f>'Profit &amp; Loss'!B100</f>
        <v>0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</row>
    <row r="101" spans="1:20" ht="12.5" x14ac:dyDescent="0.25">
      <c r="A101" s="63">
        <f>'Profit &amp; Loss'!A101</f>
        <v>0</v>
      </c>
      <c r="B101" s="33">
        <f>'Profit &amp; Loss'!B101</f>
        <v>0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</row>
    <row r="102" spans="1:20" ht="12.5" x14ac:dyDescent="0.25">
      <c r="A102" s="63">
        <f>'Profit &amp; Loss'!A102</f>
        <v>0</v>
      </c>
      <c r="B102" s="33">
        <f>'Profit &amp; Loss'!B102</f>
        <v>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</row>
    <row r="103" spans="1:20" ht="12.5" x14ac:dyDescent="0.25">
      <c r="A103" s="63">
        <f>'Profit &amp; Loss'!A103</f>
        <v>0</v>
      </c>
      <c r="B103" s="33">
        <f>'Profit &amp; Loss'!B103</f>
        <v>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</row>
    <row r="104" spans="1:20" ht="12.5" x14ac:dyDescent="0.25">
      <c r="A104" s="63">
        <f>'Profit &amp; Loss'!A104</f>
        <v>0</v>
      </c>
      <c r="B104" s="33">
        <f>'Profit &amp; Loss'!B104</f>
        <v>0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</row>
    <row r="105" spans="1:20" ht="12.5" x14ac:dyDescent="0.25">
      <c r="A105" s="63">
        <f>'Profit &amp; Loss'!A105</f>
        <v>0</v>
      </c>
      <c r="B105" s="33">
        <f>'Profit &amp; Loss'!B105</f>
        <v>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</row>
    <row r="106" spans="1:20" ht="12.5" x14ac:dyDescent="0.25">
      <c r="A106" s="63">
        <f>'Profit &amp; Loss'!A106</f>
        <v>0</v>
      </c>
      <c r="B106" s="33">
        <f>'Profit &amp; Loss'!B106</f>
        <v>0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</row>
    <row r="107" spans="1:20" ht="12.5" x14ac:dyDescent="0.25">
      <c r="A107" s="63">
        <f>'Profit &amp; Loss'!A107</f>
        <v>0</v>
      </c>
      <c r="B107" s="33">
        <f>'Profit &amp; Loss'!B107</f>
        <v>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</row>
    <row r="108" spans="1:20" ht="12.5" x14ac:dyDescent="0.25">
      <c r="A108" s="63">
        <f>'Profit &amp; Loss'!A108</f>
        <v>0</v>
      </c>
      <c r="B108" s="33">
        <f>'Profit &amp; Loss'!B108</f>
        <v>0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</row>
    <row r="109" spans="1:20" ht="12.5" x14ac:dyDescent="0.25">
      <c r="A109" s="63">
        <f>'Profit &amp; Loss'!A109</f>
        <v>0</v>
      </c>
      <c r="B109" s="33">
        <f>'Profit &amp; Loss'!B109</f>
        <v>0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</row>
    <row r="110" spans="1:20" ht="12.5" x14ac:dyDescent="0.25">
      <c r="A110" s="63">
        <f>'Profit &amp; Loss'!A110</f>
        <v>0</v>
      </c>
      <c r="B110" s="33">
        <f>'Profit &amp; Loss'!B110</f>
        <v>0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</row>
    <row r="111" spans="1:20" ht="12.5" x14ac:dyDescent="0.25">
      <c r="A111" s="63">
        <f>'Profit &amp; Loss'!A111</f>
        <v>0</v>
      </c>
      <c r="B111" s="33">
        <f>'Profit &amp; Loss'!B111</f>
        <v>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</row>
    <row r="112" spans="1:20" ht="12.5" x14ac:dyDescent="0.25">
      <c r="A112" s="63">
        <f>'Profit &amp; Loss'!A112</f>
        <v>0</v>
      </c>
      <c r="B112" s="33">
        <f>'Profit &amp; Loss'!B112</f>
        <v>0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</row>
    <row r="113" spans="1:20" ht="12.5" x14ac:dyDescent="0.25">
      <c r="A113" s="63">
        <f>'Profit &amp; Loss'!A113</f>
        <v>0</v>
      </c>
      <c r="B113" s="33">
        <f>'Profit &amp; Loss'!B113</f>
        <v>0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</row>
    <row r="114" spans="1:20" ht="12.5" x14ac:dyDescent="0.25">
      <c r="A114" s="63">
        <f>'Profit &amp; Loss'!A114</f>
        <v>0</v>
      </c>
      <c r="B114" s="33">
        <f>'Profit &amp; Loss'!B114</f>
        <v>0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</row>
    <row r="115" spans="1:20" ht="12.5" x14ac:dyDescent="0.25">
      <c r="A115" s="63">
        <f>'Profit &amp; Loss'!A115</f>
        <v>0</v>
      </c>
      <c r="B115" s="33">
        <f>'Profit &amp; Loss'!B115</f>
        <v>0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</row>
    <row r="116" spans="1:20" ht="12.5" x14ac:dyDescent="0.25">
      <c r="A116" s="63">
        <f>'Profit &amp; Loss'!A116</f>
        <v>0</v>
      </c>
      <c r="B116" s="33">
        <f>'Profit &amp; Loss'!B116</f>
        <v>0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</row>
    <row r="117" spans="1:20" ht="12.5" x14ac:dyDescent="0.25">
      <c r="A117" s="63">
        <f>'Profit &amp; Loss'!A117</f>
        <v>0</v>
      </c>
      <c r="B117" s="33">
        <f>'Profit &amp; Loss'!B117</f>
        <v>0</v>
      </c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</row>
    <row r="118" spans="1:20" ht="12.5" x14ac:dyDescent="0.25">
      <c r="A118" s="63">
        <f>'Profit &amp; Loss'!A118</f>
        <v>0</v>
      </c>
      <c r="B118" s="33">
        <f>'Profit &amp; Loss'!B118</f>
        <v>0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</row>
    <row r="119" spans="1:20" ht="12.5" x14ac:dyDescent="0.25">
      <c r="A119" s="63">
        <f>'Profit &amp; Loss'!A119</f>
        <v>0</v>
      </c>
      <c r="B119" s="33">
        <f>'Profit &amp; Loss'!B119</f>
        <v>0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</row>
    <row r="120" spans="1:20" ht="12.5" x14ac:dyDescent="0.25">
      <c r="A120" s="63">
        <f>'Profit &amp; Loss'!A120</f>
        <v>0</v>
      </c>
      <c r="B120" s="33">
        <f>'Profit &amp; Loss'!B120</f>
        <v>0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</row>
    <row r="121" spans="1:20" ht="12.5" x14ac:dyDescent="0.25">
      <c r="A121" s="63">
        <f>'Profit &amp; Loss'!A121</f>
        <v>0</v>
      </c>
      <c r="B121" s="33">
        <f>'Profit &amp; Loss'!B121</f>
        <v>0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</row>
    <row r="122" spans="1:20" ht="12.5" x14ac:dyDescent="0.25">
      <c r="A122" s="63">
        <f>'Profit &amp; Loss'!A122</f>
        <v>0</v>
      </c>
      <c r="B122" s="33">
        <f>'Profit &amp; Loss'!B122</f>
        <v>0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</row>
    <row r="123" spans="1:20" ht="12.5" x14ac:dyDescent="0.25">
      <c r="A123" s="63">
        <f>'Profit &amp; Loss'!A123</f>
        <v>0</v>
      </c>
      <c r="B123" s="33">
        <f>'Profit &amp; Loss'!B123</f>
        <v>0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</row>
    <row r="124" spans="1:20" ht="12.5" x14ac:dyDescent="0.25">
      <c r="A124" s="63">
        <f>'Profit &amp; Loss'!A124</f>
        <v>0</v>
      </c>
      <c r="B124" s="33">
        <f>'Profit &amp; Loss'!B124</f>
        <v>0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</row>
    <row r="125" spans="1:20" ht="12.5" x14ac:dyDescent="0.25">
      <c r="A125" s="63">
        <f>'Profit &amp; Loss'!A125</f>
        <v>0</v>
      </c>
      <c r="B125" s="33">
        <f>'Profit &amp; Loss'!B125</f>
        <v>0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</row>
    <row r="126" spans="1:20" ht="12.5" x14ac:dyDescent="0.25">
      <c r="A126" s="63">
        <f>'Profit &amp; Loss'!A126</f>
        <v>0</v>
      </c>
      <c r="B126" s="33">
        <f>'Profit &amp; Loss'!B126</f>
        <v>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</row>
    <row r="127" spans="1:20" ht="12.5" x14ac:dyDescent="0.25">
      <c r="A127" s="63">
        <f>'Profit &amp; Loss'!A127</f>
        <v>0</v>
      </c>
      <c r="B127" s="33">
        <f>'Profit &amp; Loss'!B127</f>
        <v>0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</row>
    <row r="128" spans="1:20" ht="12.5" x14ac:dyDescent="0.25">
      <c r="A128" s="63">
        <f>'Profit &amp; Loss'!A128</f>
        <v>0</v>
      </c>
      <c r="B128" s="33">
        <f>'Profit &amp; Loss'!B128</f>
        <v>0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</row>
    <row r="129" spans="1:20" ht="12.5" x14ac:dyDescent="0.25">
      <c r="A129" s="63">
        <f>'Profit &amp; Loss'!A129</f>
        <v>0</v>
      </c>
      <c r="B129" s="33">
        <f>'Profit &amp; Loss'!B129</f>
        <v>0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</row>
    <row r="130" spans="1:20" ht="12.5" x14ac:dyDescent="0.25">
      <c r="A130" s="63">
        <f>'Profit &amp; Loss'!A130</f>
        <v>0</v>
      </c>
      <c r="B130" s="33">
        <f>'Profit &amp; Loss'!B130</f>
        <v>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</row>
    <row r="131" spans="1:20" ht="12.5" x14ac:dyDescent="0.25">
      <c r="A131" s="63">
        <f>'Profit &amp; Loss'!A131</f>
        <v>0</v>
      </c>
      <c r="B131" s="33">
        <f>'Profit &amp; Loss'!B131</f>
        <v>0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</row>
    <row r="132" spans="1:20" ht="12.5" x14ac:dyDescent="0.25">
      <c r="A132" s="63">
        <f>'Profit &amp; Loss'!A132</f>
        <v>0</v>
      </c>
      <c r="B132" s="33">
        <f>'Profit &amp; Loss'!B132</f>
        <v>0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</row>
    <row r="133" spans="1:20" ht="12.5" x14ac:dyDescent="0.25">
      <c r="A133" s="63">
        <f>'Profit &amp; Loss'!A133</f>
        <v>0</v>
      </c>
      <c r="B133" s="33">
        <f>'Profit &amp; Loss'!B133</f>
        <v>0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</row>
    <row r="134" spans="1:20" ht="12.5" x14ac:dyDescent="0.25">
      <c r="A134" s="63">
        <f>'Profit &amp; Loss'!A134</f>
        <v>0</v>
      </c>
      <c r="B134" s="33">
        <f>'Profit &amp; Loss'!B134</f>
        <v>0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</row>
    <row r="135" spans="1:20" ht="12.5" x14ac:dyDescent="0.25">
      <c r="A135" s="63">
        <f>'Profit &amp; Loss'!A135</f>
        <v>0</v>
      </c>
      <c r="B135" s="33">
        <f>'Profit &amp; Loss'!B135</f>
        <v>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</row>
    <row r="136" spans="1:20" ht="12.5" x14ac:dyDescent="0.25">
      <c r="A136" s="63">
        <f>'Profit &amp; Loss'!A136</f>
        <v>0</v>
      </c>
      <c r="B136" s="33">
        <f>'Profit &amp; Loss'!B136</f>
        <v>0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</row>
    <row r="137" spans="1:20" ht="12.5" x14ac:dyDescent="0.25">
      <c r="A137" s="63">
        <f>'Profit &amp; Loss'!A137</f>
        <v>0</v>
      </c>
      <c r="B137" s="33">
        <f>'Profit &amp; Loss'!B137</f>
        <v>0</v>
      </c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</row>
    <row r="138" spans="1:20" ht="12.5" x14ac:dyDescent="0.25">
      <c r="A138" s="63">
        <f>'Profit &amp; Loss'!A138</f>
        <v>0</v>
      </c>
      <c r="B138" s="33">
        <f>'Profit &amp; Loss'!B138</f>
        <v>0</v>
      </c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</row>
    <row r="139" spans="1:20" ht="12.5" x14ac:dyDescent="0.25">
      <c r="A139" s="63">
        <f>'Profit &amp; Loss'!A139</f>
        <v>0</v>
      </c>
      <c r="B139" s="33">
        <f>'Profit &amp; Loss'!B139</f>
        <v>0</v>
      </c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</row>
    <row r="140" spans="1:20" ht="12.5" x14ac:dyDescent="0.25">
      <c r="A140" s="63">
        <f>'Profit &amp; Loss'!A140</f>
        <v>0</v>
      </c>
      <c r="B140" s="33">
        <f>'Profit &amp; Loss'!B140</f>
        <v>0</v>
      </c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</row>
    <row r="141" spans="1:20" ht="12.5" x14ac:dyDescent="0.25">
      <c r="A141" s="63">
        <f>'Profit &amp; Loss'!A141</f>
        <v>0</v>
      </c>
      <c r="B141" s="33">
        <f>'Profit &amp; Loss'!B141</f>
        <v>0</v>
      </c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</row>
    <row r="142" spans="1:20" ht="12.5" x14ac:dyDescent="0.25">
      <c r="A142" s="63">
        <f>'Profit &amp; Loss'!A142</f>
        <v>0</v>
      </c>
      <c r="B142" s="33">
        <f>'Profit &amp; Loss'!B142</f>
        <v>0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</row>
    <row r="143" spans="1:20" ht="12.5" x14ac:dyDescent="0.25">
      <c r="A143" s="63">
        <f>'Profit &amp; Loss'!A143</f>
        <v>0</v>
      </c>
      <c r="B143" s="33">
        <f>'Profit &amp; Loss'!B143</f>
        <v>0</v>
      </c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</row>
    <row r="144" spans="1:20" ht="12.5" x14ac:dyDescent="0.25">
      <c r="A144" s="63">
        <f>'Profit &amp; Loss'!A144</f>
        <v>0</v>
      </c>
      <c r="B144" s="33">
        <f>'Profit &amp; Loss'!B144</f>
        <v>0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</row>
    <row r="145" spans="1:20" ht="12.5" x14ac:dyDescent="0.25">
      <c r="A145" s="63">
        <f>'Profit &amp; Loss'!A145</f>
        <v>0</v>
      </c>
      <c r="B145" s="33">
        <f>'Profit &amp; Loss'!B145</f>
        <v>0</v>
      </c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</row>
    <row r="146" spans="1:20" ht="12.5" x14ac:dyDescent="0.25">
      <c r="A146" s="63">
        <f>'Profit &amp; Loss'!A146</f>
        <v>0</v>
      </c>
      <c r="B146" s="33">
        <f>'Profit &amp; Loss'!B146</f>
        <v>0</v>
      </c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</row>
    <row r="147" spans="1:20" ht="12.5" x14ac:dyDescent="0.25">
      <c r="A147" s="63">
        <f>'Profit &amp; Loss'!A147</f>
        <v>0</v>
      </c>
      <c r="B147" s="33">
        <f>'Profit &amp; Loss'!B147</f>
        <v>0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</row>
    <row r="148" spans="1:20" ht="12.5" x14ac:dyDescent="0.25">
      <c r="A148" s="63">
        <f>'Profit &amp; Loss'!A148</f>
        <v>0</v>
      </c>
      <c r="B148" s="33">
        <f>'Profit &amp; Loss'!B148</f>
        <v>0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</row>
    <row r="149" spans="1:20" ht="12.5" x14ac:dyDescent="0.25">
      <c r="A149" s="63">
        <f>'Profit &amp; Loss'!A149</f>
        <v>0</v>
      </c>
      <c r="B149" s="33">
        <f>'Profit &amp; Loss'!B149</f>
        <v>0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</row>
    <row r="150" spans="1:20" ht="12.5" x14ac:dyDescent="0.25">
      <c r="A150" s="63">
        <f>'Profit &amp; Loss'!A150</f>
        <v>0</v>
      </c>
      <c r="B150" s="33">
        <f>'Profit &amp; Loss'!B150</f>
        <v>0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</row>
    <row r="151" spans="1:20" ht="12.5" x14ac:dyDescent="0.25">
      <c r="A151" s="63">
        <f>'Profit &amp; Loss'!A151</f>
        <v>0</v>
      </c>
      <c r="B151" s="33">
        <f>'Profit &amp; Loss'!B151</f>
        <v>0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</row>
    <row r="152" spans="1:20" ht="12.5" x14ac:dyDescent="0.25">
      <c r="A152" s="63">
        <f>'Profit &amp; Loss'!A152</f>
        <v>0</v>
      </c>
      <c r="B152" s="33">
        <f>'Profit &amp; Loss'!B152</f>
        <v>0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</row>
    <row r="153" spans="1:20" ht="12.5" x14ac:dyDescent="0.25">
      <c r="A153" s="63">
        <f>'Profit &amp; Loss'!A153</f>
        <v>0</v>
      </c>
      <c r="B153" s="33">
        <f>'Profit &amp; Loss'!B153</f>
        <v>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</row>
    <row r="154" spans="1:20" ht="12.5" x14ac:dyDescent="0.25">
      <c r="A154" s="63">
        <f>'Profit &amp; Loss'!A154</f>
        <v>0</v>
      </c>
      <c r="B154" s="33">
        <f>'Profit &amp; Loss'!B154</f>
        <v>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</row>
    <row r="155" spans="1:20" ht="12.5" x14ac:dyDescent="0.25">
      <c r="A155" s="63">
        <f>'Profit &amp; Loss'!A155</f>
        <v>0</v>
      </c>
      <c r="B155" s="33">
        <f>'Profit &amp; Loss'!B155</f>
        <v>0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</row>
    <row r="156" spans="1:20" ht="12.5" x14ac:dyDescent="0.25">
      <c r="A156" s="63">
        <f>'Profit &amp; Loss'!A156</f>
        <v>0</v>
      </c>
      <c r="B156" s="33">
        <f>'Profit &amp; Loss'!B156</f>
        <v>0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</row>
    <row r="157" spans="1:20" ht="12.5" x14ac:dyDescent="0.25">
      <c r="A157" s="63">
        <f>'Profit &amp; Loss'!A157</f>
        <v>0</v>
      </c>
      <c r="B157" s="33">
        <f>'Profit &amp; Loss'!B157</f>
        <v>0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</row>
    <row r="158" spans="1:20" ht="12.5" x14ac:dyDescent="0.25">
      <c r="A158" s="63">
        <f>'Profit &amp; Loss'!A158</f>
        <v>0</v>
      </c>
      <c r="B158" s="33">
        <f>'Profit &amp; Loss'!B158</f>
        <v>0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</row>
    <row r="159" spans="1:20" ht="12.5" x14ac:dyDescent="0.25">
      <c r="A159" s="63">
        <f>'Profit &amp; Loss'!A159</f>
        <v>0</v>
      </c>
      <c r="B159" s="33">
        <f>'Profit &amp; Loss'!B159</f>
        <v>0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</row>
    <row r="160" spans="1:20" ht="12.5" x14ac:dyDescent="0.25">
      <c r="A160" s="63">
        <f>'Profit &amp; Loss'!A160</f>
        <v>0</v>
      </c>
      <c r="B160" s="33">
        <f>'Profit &amp; Loss'!B160</f>
        <v>0</v>
      </c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</row>
    <row r="161" spans="1:20" ht="12.5" x14ac:dyDescent="0.25">
      <c r="A161" s="63">
        <f>'Profit &amp; Loss'!A161</f>
        <v>0</v>
      </c>
      <c r="B161" s="33">
        <f>'Profit &amp; Loss'!B161</f>
        <v>0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</row>
    <row r="162" spans="1:20" ht="12.5" x14ac:dyDescent="0.25">
      <c r="A162" s="63">
        <f>'Profit &amp; Loss'!A162</f>
        <v>0</v>
      </c>
      <c r="B162" s="33">
        <f>'Profit &amp; Loss'!B162</f>
        <v>0</v>
      </c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</row>
    <row r="163" spans="1:20" ht="12.5" x14ac:dyDescent="0.25">
      <c r="A163" s="63">
        <f>'Profit &amp; Loss'!A163</f>
        <v>0</v>
      </c>
      <c r="B163" s="33">
        <f>'Profit &amp; Loss'!B163</f>
        <v>0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</row>
    <row r="164" spans="1:20" ht="12.5" x14ac:dyDescent="0.25">
      <c r="A164" s="63">
        <f>'Profit &amp; Loss'!A164</f>
        <v>0</v>
      </c>
      <c r="B164" s="33">
        <f>'Profit &amp; Loss'!B164</f>
        <v>0</v>
      </c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</row>
    <row r="165" spans="1:20" ht="12.5" x14ac:dyDescent="0.25">
      <c r="A165" s="63">
        <f>'Profit &amp; Loss'!A165</f>
        <v>0</v>
      </c>
      <c r="B165" s="33">
        <f>'Profit &amp; Loss'!B165</f>
        <v>0</v>
      </c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</row>
    <row r="166" spans="1:20" ht="12.5" x14ac:dyDescent="0.25">
      <c r="A166" s="63">
        <f>'Profit &amp; Loss'!A166</f>
        <v>0</v>
      </c>
      <c r="B166" s="33">
        <f>'Profit &amp; Loss'!B166</f>
        <v>0</v>
      </c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</row>
    <row r="167" spans="1:20" ht="12.5" x14ac:dyDescent="0.25">
      <c r="A167" s="63">
        <f>'Profit &amp; Loss'!A167</f>
        <v>0</v>
      </c>
      <c r="B167" s="33">
        <f>'Profit &amp; Loss'!B167</f>
        <v>0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</row>
    <row r="168" spans="1:20" ht="12.5" x14ac:dyDescent="0.25">
      <c r="A168" s="63">
        <f>'Profit &amp; Loss'!A168</f>
        <v>0</v>
      </c>
      <c r="B168" s="33">
        <f>'Profit &amp; Loss'!B168</f>
        <v>0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</row>
    <row r="169" spans="1:20" ht="12.5" x14ac:dyDescent="0.25">
      <c r="A169" s="63">
        <f>'Profit &amp; Loss'!A169</f>
        <v>0</v>
      </c>
      <c r="B169" s="33">
        <f>'Profit &amp; Loss'!B169</f>
        <v>0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</row>
    <row r="170" spans="1:20" ht="12.5" x14ac:dyDescent="0.25">
      <c r="A170" s="63">
        <f>'Profit &amp; Loss'!A170</f>
        <v>0</v>
      </c>
      <c r="B170" s="33">
        <f>'Profit &amp; Loss'!B170</f>
        <v>0</v>
      </c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</row>
    <row r="171" spans="1:20" ht="12.5" x14ac:dyDescent="0.25">
      <c r="A171" s="63">
        <f>'Profit &amp; Loss'!A171</f>
        <v>0</v>
      </c>
      <c r="B171" s="33">
        <f>'Profit &amp; Loss'!B171</f>
        <v>0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</row>
    <row r="172" spans="1:20" ht="12.5" x14ac:dyDescent="0.25">
      <c r="A172" s="63">
        <f>'Profit &amp; Loss'!A172</f>
        <v>0</v>
      </c>
      <c r="B172" s="33">
        <f>'Profit &amp; Loss'!B172</f>
        <v>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</row>
    <row r="173" spans="1:20" ht="12.5" x14ac:dyDescent="0.25">
      <c r="A173" s="63">
        <f>'Profit &amp; Loss'!A173</f>
        <v>0</v>
      </c>
      <c r="B173" s="33">
        <f>'Profit &amp; Loss'!B173</f>
        <v>0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</row>
    <row r="174" spans="1:20" ht="12.5" x14ac:dyDescent="0.25">
      <c r="A174" s="63">
        <f>'Profit &amp; Loss'!A174</f>
        <v>0</v>
      </c>
      <c r="B174" s="33">
        <f>'Profit &amp; Loss'!B174</f>
        <v>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</row>
    <row r="175" spans="1:20" ht="12.5" x14ac:dyDescent="0.25">
      <c r="A175" s="63">
        <f>'Profit &amp; Loss'!A175</f>
        <v>0</v>
      </c>
      <c r="B175" s="33">
        <f>'Profit &amp; Loss'!B175</f>
        <v>0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</row>
    <row r="176" spans="1:20" ht="12.5" x14ac:dyDescent="0.25">
      <c r="A176" s="63">
        <f>'Profit &amp; Loss'!A176</f>
        <v>0</v>
      </c>
      <c r="B176" s="33">
        <f>'Profit &amp; Loss'!B176</f>
        <v>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</row>
    <row r="177" spans="1:20" ht="12.5" x14ac:dyDescent="0.25">
      <c r="A177" s="63">
        <f>'Profit &amp; Loss'!A177</f>
        <v>0</v>
      </c>
      <c r="B177" s="33">
        <f>'Profit &amp; Loss'!B177</f>
        <v>0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</row>
    <row r="178" spans="1:20" ht="12.5" x14ac:dyDescent="0.25">
      <c r="A178" s="63">
        <f>'Profit &amp; Loss'!A178</f>
        <v>0</v>
      </c>
      <c r="B178" s="33">
        <f>'Profit &amp; Loss'!B178</f>
        <v>0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</row>
    <row r="179" spans="1:20" ht="12.5" x14ac:dyDescent="0.25">
      <c r="A179" s="63">
        <f>'Profit &amp; Loss'!A179</f>
        <v>0</v>
      </c>
      <c r="B179" s="33">
        <f>'Profit &amp; Loss'!B179</f>
        <v>0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</row>
    <row r="180" spans="1:20" ht="12.5" x14ac:dyDescent="0.25">
      <c r="A180" s="63">
        <f>'Profit &amp; Loss'!A180</f>
        <v>0</v>
      </c>
      <c r="B180" s="33">
        <f>'Profit &amp; Loss'!B180</f>
        <v>0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</row>
    <row r="181" spans="1:20" ht="12.5" x14ac:dyDescent="0.25">
      <c r="A181" s="63">
        <f>'Profit &amp; Loss'!A181</f>
        <v>0</v>
      </c>
      <c r="B181" s="33">
        <f>'Profit &amp; Loss'!B181</f>
        <v>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</row>
    <row r="182" spans="1:20" ht="12.5" x14ac:dyDescent="0.25">
      <c r="A182" s="63">
        <f>'Profit &amp; Loss'!A182</f>
        <v>0</v>
      </c>
      <c r="B182" s="33">
        <f>'Profit &amp; Loss'!B182</f>
        <v>0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</row>
    <row r="183" spans="1:20" ht="12.5" x14ac:dyDescent="0.25">
      <c r="A183" s="63">
        <f>'Profit &amp; Loss'!A183</f>
        <v>0</v>
      </c>
      <c r="B183" s="33">
        <f>'Profit &amp; Loss'!B183</f>
        <v>0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</row>
    <row r="184" spans="1:20" ht="12.5" x14ac:dyDescent="0.25">
      <c r="A184" s="63">
        <f>'Profit &amp; Loss'!A184</f>
        <v>0</v>
      </c>
      <c r="B184" s="33">
        <f>'Profit &amp; Loss'!B184</f>
        <v>0</v>
      </c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</row>
    <row r="185" spans="1:20" ht="12.5" x14ac:dyDescent="0.25">
      <c r="A185" s="63">
        <f>'Profit &amp; Loss'!A185</f>
        <v>0</v>
      </c>
      <c r="B185" s="33">
        <f>'Profit &amp; Loss'!B185</f>
        <v>0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</row>
    <row r="186" spans="1:20" ht="12.5" x14ac:dyDescent="0.25">
      <c r="A186" s="63">
        <f>'Profit &amp; Loss'!A186</f>
        <v>0</v>
      </c>
      <c r="B186" s="33">
        <f>'Profit &amp; Loss'!B186</f>
        <v>0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</row>
    <row r="187" spans="1:20" ht="12.5" x14ac:dyDescent="0.25">
      <c r="A187" s="63">
        <f>'Profit &amp; Loss'!A187</f>
        <v>0</v>
      </c>
      <c r="B187" s="33">
        <f>'Profit &amp; Loss'!B187</f>
        <v>0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</row>
    <row r="188" spans="1:20" ht="12.5" x14ac:dyDescent="0.25">
      <c r="A188" s="63">
        <f>'Profit &amp; Loss'!A188</f>
        <v>0</v>
      </c>
      <c r="B188" s="33">
        <f>'Profit &amp; Loss'!B188</f>
        <v>0</v>
      </c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</row>
    <row r="189" spans="1:20" ht="12.5" x14ac:dyDescent="0.25">
      <c r="A189" s="63">
        <f>'Profit &amp; Loss'!A189</f>
        <v>0</v>
      </c>
      <c r="B189" s="33">
        <f>'Profit &amp; Loss'!B189</f>
        <v>0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</row>
    <row r="190" spans="1:20" ht="12.5" x14ac:dyDescent="0.25">
      <c r="A190" s="63">
        <f>'Profit &amp; Loss'!A190</f>
        <v>0</v>
      </c>
      <c r="B190" s="33">
        <f>'Profit &amp; Loss'!B190</f>
        <v>0</v>
      </c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</row>
    <row r="191" spans="1:20" ht="12.5" x14ac:dyDescent="0.25">
      <c r="A191" s="63">
        <f>'Profit &amp; Loss'!A191</f>
        <v>0</v>
      </c>
      <c r="B191" s="33">
        <f>'Profit &amp; Loss'!B191</f>
        <v>0</v>
      </c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</row>
    <row r="192" spans="1:20" ht="12.5" x14ac:dyDescent="0.25">
      <c r="A192" s="63">
        <f>'Profit &amp; Loss'!A192</f>
        <v>0</v>
      </c>
      <c r="B192" s="33">
        <f>'Profit &amp; Loss'!B192</f>
        <v>0</v>
      </c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</row>
    <row r="193" spans="1:20" ht="12.5" x14ac:dyDescent="0.25">
      <c r="A193" s="63">
        <f>'Profit &amp; Loss'!A193</f>
        <v>0</v>
      </c>
      <c r="B193" s="33">
        <f>'Profit &amp; Loss'!B193</f>
        <v>0</v>
      </c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</row>
    <row r="194" spans="1:20" ht="12.5" x14ac:dyDescent="0.25">
      <c r="A194" s="63">
        <f>'Profit &amp; Loss'!A194</f>
        <v>0</v>
      </c>
      <c r="B194" s="33">
        <f>'Profit &amp; Loss'!B194</f>
        <v>0</v>
      </c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</row>
    <row r="195" spans="1:20" ht="12.5" x14ac:dyDescent="0.25">
      <c r="A195" s="63">
        <f>'Profit &amp; Loss'!A195</f>
        <v>0</v>
      </c>
      <c r="B195" s="33">
        <f>'Profit &amp; Loss'!B195</f>
        <v>0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</row>
    <row r="196" spans="1:20" ht="12.5" x14ac:dyDescent="0.25">
      <c r="A196" s="63">
        <f>'Profit &amp; Loss'!A196</f>
        <v>0</v>
      </c>
      <c r="B196" s="33">
        <f>'Profit &amp; Loss'!B196</f>
        <v>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</row>
    <row r="197" spans="1:20" ht="12.5" x14ac:dyDescent="0.25">
      <c r="A197" s="63">
        <f>'Profit &amp; Loss'!A197</f>
        <v>0</v>
      </c>
      <c r="B197" s="33">
        <f>'Profit &amp; Loss'!B197</f>
        <v>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</row>
    <row r="198" spans="1:20" ht="12.5" x14ac:dyDescent="0.25">
      <c r="A198" s="63">
        <f>'Profit &amp; Loss'!A198</f>
        <v>0</v>
      </c>
      <c r="B198" s="33">
        <f>'Profit &amp; Loss'!B198</f>
        <v>0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</row>
    <row r="199" spans="1:20" ht="12.5" x14ac:dyDescent="0.25">
      <c r="A199" s="63">
        <f>'Profit &amp; Loss'!A199</f>
        <v>0</v>
      </c>
      <c r="B199" s="33">
        <f>'Profit &amp; Loss'!B199</f>
        <v>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</row>
    <row r="200" spans="1:20" ht="12.5" x14ac:dyDescent="0.25">
      <c r="A200" s="63">
        <f>'Profit &amp; Loss'!A200</f>
        <v>0</v>
      </c>
      <c r="B200" s="33">
        <f>'Profit &amp; Loss'!B200</f>
        <v>0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</row>
    <row r="201" spans="1:20" ht="12.5" x14ac:dyDescent="0.25">
      <c r="A201" s="63">
        <f>'Profit &amp; Loss'!A201</f>
        <v>0</v>
      </c>
      <c r="B201" s="33">
        <f>'Profit &amp; Loss'!B201</f>
        <v>0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</row>
    <row r="202" spans="1:20" ht="12.5" x14ac:dyDescent="0.25">
      <c r="A202" s="63">
        <f>'Profit &amp; Loss'!A202</f>
        <v>0</v>
      </c>
      <c r="B202" s="33">
        <f>'Profit &amp; Loss'!B202</f>
        <v>0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</row>
    <row r="203" spans="1:20" ht="12.5" x14ac:dyDescent="0.25">
      <c r="A203" s="63">
        <f>'Profit &amp; Loss'!A203</f>
        <v>0</v>
      </c>
      <c r="B203" s="33">
        <f>'Profit &amp; Loss'!B203</f>
        <v>0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</row>
    <row r="204" spans="1:20" ht="12.5" x14ac:dyDescent="0.25">
      <c r="A204" s="63">
        <f>'Profit &amp; Loss'!A204</f>
        <v>0</v>
      </c>
      <c r="B204" s="33">
        <f>'Profit &amp; Loss'!B204</f>
        <v>0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</row>
    <row r="205" spans="1:20" ht="12.5" x14ac:dyDescent="0.25">
      <c r="A205" s="63">
        <f>'Profit &amp; Loss'!A205</f>
        <v>0</v>
      </c>
      <c r="B205" s="33">
        <f>'Profit &amp; Loss'!B205</f>
        <v>0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</row>
    <row r="206" spans="1:20" ht="12.5" x14ac:dyDescent="0.25">
      <c r="A206" s="63">
        <f>'Profit &amp; Loss'!A206</f>
        <v>0</v>
      </c>
      <c r="B206" s="33">
        <f>'Profit &amp; Loss'!B206</f>
        <v>0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</row>
    <row r="207" spans="1:20" ht="12.5" x14ac:dyDescent="0.25">
      <c r="A207" s="63">
        <f>'Profit &amp; Loss'!A207</f>
        <v>0</v>
      </c>
      <c r="B207" s="33">
        <f>'Profit &amp; Loss'!B207</f>
        <v>0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</row>
    <row r="208" spans="1:20" ht="12.5" x14ac:dyDescent="0.25">
      <c r="A208" s="63">
        <f>'Profit &amp; Loss'!A208</f>
        <v>0</v>
      </c>
      <c r="B208" s="33">
        <f>'Profit &amp; Loss'!B208</f>
        <v>0</v>
      </c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</row>
    <row r="209" spans="1:20" ht="12.5" x14ac:dyDescent="0.25">
      <c r="A209" s="63">
        <f>'Profit &amp; Loss'!A209</f>
        <v>0</v>
      </c>
      <c r="B209" s="33">
        <f>'Profit &amp; Loss'!B209</f>
        <v>0</v>
      </c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</row>
    <row r="210" spans="1:20" ht="12.5" x14ac:dyDescent="0.25">
      <c r="A210" s="63">
        <f>'Profit &amp; Loss'!A210</f>
        <v>0</v>
      </c>
      <c r="B210" s="33">
        <f>'Profit &amp; Loss'!B210</f>
        <v>0</v>
      </c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</row>
    <row r="211" spans="1:20" ht="12.5" x14ac:dyDescent="0.25">
      <c r="A211" s="63">
        <f>'Profit &amp; Loss'!A211</f>
        <v>0</v>
      </c>
      <c r="B211" s="33">
        <f>'Profit &amp; Loss'!B211</f>
        <v>0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</row>
    <row r="212" spans="1:20" ht="12.5" x14ac:dyDescent="0.25">
      <c r="A212" s="63">
        <f>'Profit &amp; Loss'!A212</f>
        <v>0</v>
      </c>
      <c r="B212" s="33">
        <f>'Profit &amp; Loss'!B212</f>
        <v>0</v>
      </c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</row>
    <row r="213" spans="1:20" ht="12.5" x14ac:dyDescent="0.25">
      <c r="A213" s="63">
        <f>'Profit &amp; Loss'!A213</f>
        <v>0</v>
      </c>
      <c r="B213" s="33">
        <f>'Profit &amp; Loss'!B213</f>
        <v>0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</row>
    <row r="214" spans="1:20" ht="12.5" x14ac:dyDescent="0.25">
      <c r="A214" s="63">
        <f>'Profit &amp; Loss'!A214</f>
        <v>0</v>
      </c>
      <c r="B214" s="33">
        <f>'Profit &amp; Loss'!B214</f>
        <v>0</v>
      </c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</row>
    <row r="215" spans="1:20" ht="12.5" x14ac:dyDescent="0.25">
      <c r="A215" s="63">
        <f>'Profit &amp; Loss'!A215</f>
        <v>0</v>
      </c>
      <c r="B215" s="33">
        <f>'Profit &amp; Loss'!B215</f>
        <v>0</v>
      </c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</row>
    <row r="216" spans="1:20" ht="12.5" x14ac:dyDescent="0.25">
      <c r="A216" s="63">
        <f>'Profit &amp; Loss'!A216</f>
        <v>0</v>
      </c>
      <c r="B216" s="33">
        <f>'Profit &amp; Loss'!B216</f>
        <v>0</v>
      </c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</row>
    <row r="217" spans="1:20" ht="12.5" x14ac:dyDescent="0.25">
      <c r="A217" s="63">
        <f>'Profit &amp; Loss'!A217</f>
        <v>0</v>
      </c>
      <c r="B217" s="33">
        <f>'Profit &amp; Loss'!B217</f>
        <v>0</v>
      </c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</row>
    <row r="218" spans="1:20" ht="12.5" x14ac:dyDescent="0.25">
      <c r="A218" s="63">
        <f>'Profit &amp; Loss'!A218</f>
        <v>0</v>
      </c>
      <c r="B218" s="33">
        <f>'Profit &amp; Loss'!B218</f>
        <v>0</v>
      </c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</row>
    <row r="219" spans="1:20" ht="12.5" x14ac:dyDescent="0.25">
      <c r="A219" s="63">
        <f>'Profit &amp; Loss'!A219</f>
        <v>0</v>
      </c>
      <c r="B219" s="33">
        <f>'Profit &amp; Loss'!B219</f>
        <v>0</v>
      </c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</row>
    <row r="220" spans="1:20" ht="12.5" x14ac:dyDescent="0.25">
      <c r="A220" s="63">
        <f>'Profit &amp; Loss'!A220</f>
        <v>0</v>
      </c>
      <c r="B220" s="33">
        <f>'Profit &amp; Loss'!B220</f>
        <v>0</v>
      </c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</row>
    <row r="221" spans="1:20" ht="12.5" x14ac:dyDescent="0.25">
      <c r="A221" s="63">
        <f>'Profit &amp; Loss'!A221</f>
        <v>0</v>
      </c>
      <c r="B221" s="33">
        <f>'Profit &amp; Loss'!B221</f>
        <v>0</v>
      </c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</row>
    <row r="222" spans="1:20" ht="12.5" x14ac:dyDescent="0.25">
      <c r="A222" s="63">
        <f>'Profit &amp; Loss'!A222</f>
        <v>0</v>
      </c>
      <c r="B222" s="33">
        <f>'Profit &amp; Loss'!B222</f>
        <v>0</v>
      </c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</row>
    <row r="223" spans="1:20" ht="12.5" x14ac:dyDescent="0.25">
      <c r="A223" s="63">
        <f>'Profit &amp; Loss'!A223</f>
        <v>0</v>
      </c>
      <c r="B223" s="33">
        <f>'Profit &amp; Loss'!B223</f>
        <v>0</v>
      </c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</row>
    <row r="224" spans="1:20" ht="12.5" x14ac:dyDescent="0.25">
      <c r="A224" s="63">
        <f>'Profit &amp; Loss'!A224</f>
        <v>0</v>
      </c>
      <c r="B224" s="33">
        <f>'Profit &amp; Loss'!B224</f>
        <v>0</v>
      </c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</row>
    <row r="225" spans="1:20" ht="12.5" x14ac:dyDescent="0.25">
      <c r="A225" s="63">
        <f>'Profit &amp; Loss'!A225</f>
        <v>0</v>
      </c>
      <c r="B225" s="33">
        <f>'Profit &amp; Loss'!B225</f>
        <v>0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</row>
    <row r="226" spans="1:20" ht="12.5" x14ac:dyDescent="0.25">
      <c r="A226" s="63">
        <f>'Profit &amp; Loss'!A226</f>
        <v>0</v>
      </c>
      <c r="B226" s="33">
        <f>'Profit &amp; Loss'!B226</f>
        <v>0</v>
      </c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</row>
    <row r="227" spans="1:20" ht="12.5" x14ac:dyDescent="0.25">
      <c r="A227" s="63">
        <f>'Profit &amp; Loss'!A227</f>
        <v>0</v>
      </c>
      <c r="B227" s="33">
        <f>'Profit &amp; Loss'!B227</f>
        <v>0</v>
      </c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</row>
    <row r="228" spans="1:20" ht="12.5" x14ac:dyDescent="0.25">
      <c r="A228" s="63">
        <f>'Profit &amp; Loss'!A228</f>
        <v>0</v>
      </c>
      <c r="B228" s="33">
        <f>'Profit &amp; Loss'!B228</f>
        <v>0</v>
      </c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</row>
    <row r="229" spans="1:20" ht="12.5" x14ac:dyDescent="0.25">
      <c r="A229" s="63">
        <f>'Profit &amp; Loss'!A229</f>
        <v>0</v>
      </c>
      <c r="B229" s="33">
        <f>'Profit &amp; Loss'!B229</f>
        <v>0</v>
      </c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</row>
    <row r="230" spans="1:20" ht="12.5" x14ac:dyDescent="0.25">
      <c r="A230" s="63">
        <f>'Profit &amp; Loss'!A230</f>
        <v>0</v>
      </c>
      <c r="B230" s="33">
        <f>'Profit &amp; Loss'!B230</f>
        <v>0</v>
      </c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</row>
    <row r="231" spans="1:20" ht="12.5" x14ac:dyDescent="0.25">
      <c r="A231" s="63">
        <f>'Profit &amp; Loss'!A231</f>
        <v>0</v>
      </c>
      <c r="B231" s="33">
        <f>'Profit &amp; Loss'!B231</f>
        <v>0</v>
      </c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</row>
    <row r="232" spans="1:20" ht="12.5" x14ac:dyDescent="0.25">
      <c r="A232" s="63">
        <f>'Profit &amp; Loss'!A232</f>
        <v>0</v>
      </c>
      <c r="B232" s="33">
        <f>'Profit &amp; Loss'!B232</f>
        <v>0</v>
      </c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</row>
    <row r="233" spans="1:20" ht="12.5" x14ac:dyDescent="0.25">
      <c r="A233" s="63">
        <f>'Profit &amp; Loss'!A233</f>
        <v>0</v>
      </c>
      <c r="B233" s="33">
        <f>'Profit &amp; Loss'!B233</f>
        <v>0</v>
      </c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</row>
    <row r="234" spans="1:20" ht="12.5" x14ac:dyDescent="0.25">
      <c r="A234" s="63">
        <f>'Profit &amp; Loss'!A234</f>
        <v>0</v>
      </c>
      <c r="B234" s="33">
        <f>'Profit &amp; Loss'!B234</f>
        <v>0</v>
      </c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</row>
    <row r="235" spans="1:20" ht="12.5" x14ac:dyDescent="0.25">
      <c r="A235" s="63">
        <f>'Profit &amp; Loss'!A235</f>
        <v>0</v>
      </c>
      <c r="B235" s="33">
        <f>'Profit &amp; Loss'!B235</f>
        <v>0</v>
      </c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</row>
    <row r="236" spans="1:20" ht="12.5" x14ac:dyDescent="0.25">
      <c r="A236" s="63">
        <f>'Profit &amp; Loss'!A236</f>
        <v>0</v>
      </c>
      <c r="B236" s="33">
        <f>'Profit &amp; Loss'!B236</f>
        <v>0</v>
      </c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</row>
    <row r="237" spans="1:20" ht="12.5" x14ac:dyDescent="0.25">
      <c r="A237" s="63">
        <f>'Profit &amp; Loss'!A237</f>
        <v>0</v>
      </c>
      <c r="B237" s="33">
        <f>'Profit &amp; Loss'!B237</f>
        <v>0</v>
      </c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</row>
    <row r="238" spans="1:20" ht="12.5" x14ac:dyDescent="0.25">
      <c r="A238" s="63">
        <f>'Profit &amp; Loss'!A238</f>
        <v>0</v>
      </c>
      <c r="B238" s="33">
        <f>'Profit &amp; Loss'!B238</f>
        <v>0</v>
      </c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</row>
    <row r="239" spans="1:20" ht="12.5" x14ac:dyDescent="0.25">
      <c r="A239" s="63">
        <f>'Profit &amp; Loss'!A239</f>
        <v>0</v>
      </c>
      <c r="B239" s="33">
        <f>'Profit &amp; Loss'!B239</f>
        <v>0</v>
      </c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</row>
    <row r="240" spans="1:20" ht="12.5" x14ac:dyDescent="0.25">
      <c r="A240" s="63">
        <f>'Profit &amp; Loss'!A240</f>
        <v>0</v>
      </c>
      <c r="B240" s="33">
        <f>'Profit &amp; Loss'!B240</f>
        <v>0</v>
      </c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</row>
    <row r="241" spans="1:20" ht="12.5" x14ac:dyDescent="0.25">
      <c r="A241" s="63">
        <f>'Profit &amp; Loss'!A241</f>
        <v>0</v>
      </c>
      <c r="B241" s="33">
        <f>'Profit &amp; Loss'!B241</f>
        <v>0</v>
      </c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</row>
    <row r="242" spans="1:20" ht="12.5" x14ac:dyDescent="0.25">
      <c r="A242" s="63">
        <f>'Profit &amp; Loss'!A242</f>
        <v>0</v>
      </c>
      <c r="B242" s="33">
        <f>'Profit &amp; Loss'!B242</f>
        <v>0</v>
      </c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</row>
    <row r="243" spans="1:20" ht="12.5" x14ac:dyDescent="0.25">
      <c r="A243" s="63">
        <f>'Profit &amp; Loss'!A243</f>
        <v>0</v>
      </c>
      <c r="B243" s="33">
        <f>'Profit &amp; Loss'!B243</f>
        <v>0</v>
      </c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</row>
    <row r="244" spans="1:20" ht="12.5" x14ac:dyDescent="0.25">
      <c r="A244" s="63">
        <f>'Profit &amp; Loss'!A244</f>
        <v>0</v>
      </c>
      <c r="B244" s="33">
        <f>'Profit &amp; Loss'!B244</f>
        <v>0</v>
      </c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</row>
    <row r="245" spans="1:20" ht="12.5" x14ac:dyDescent="0.25">
      <c r="A245" s="63">
        <f>'Profit &amp; Loss'!A245</f>
        <v>0</v>
      </c>
      <c r="B245" s="33">
        <f>'Profit &amp; Loss'!B245</f>
        <v>0</v>
      </c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</row>
    <row r="246" spans="1:20" ht="12.5" x14ac:dyDescent="0.25">
      <c r="A246" s="63">
        <f>'Profit &amp; Loss'!A246</f>
        <v>0</v>
      </c>
      <c r="B246" s="33">
        <f>'Profit &amp; Loss'!B246</f>
        <v>0</v>
      </c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</row>
    <row r="247" spans="1:20" ht="12.5" x14ac:dyDescent="0.25">
      <c r="A247" s="63">
        <f>'Profit &amp; Loss'!A247</f>
        <v>0</v>
      </c>
      <c r="B247" s="33">
        <f>'Profit &amp; Loss'!B247</f>
        <v>0</v>
      </c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</row>
    <row r="248" spans="1:20" ht="12.5" x14ac:dyDescent="0.25">
      <c r="A248" s="63">
        <f>'Profit &amp; Loss'!A248</f>
        <v>0</v>
      </c>
      <c r="B248" s="33">
        <f>'Profit &amp; Loss'!B248</f>
        <v>0</v>
      </c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</row>
    <row r="249" spans="1:20" ht="12.5" x14ac:dyDescent="0.25">
      <c r="A249" s="63">
        <f>'Profit &amp; Loss'!A249</f>
        <v>0</v>
      </c>
      <c r="B249" s="33">
        <f>'Profit &amp; Loss'!B249</f>
        <v>0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</row>
    <row r="250" spans="1:20" ht="12.5" x14ac:dyDescent="0.25">
      <c r="A250" s="63">
        <f>'Profit &amp; Loss'!A250</f>
        <v>0</v>
      </c>
      <c r="B250" s="33">
        <f>'Profit &amp; Loss'!B250</f>
        <v>0</v>
      </c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</row>
    <row r="251" spans="1:20" ht="12.5" x14ac:dyDescent="0.25">
      <c r="A251" s="63">
        <f>'Profit &amp; Loss'!A251</f>
        <v>0</v>
      </c>
      <c r="B251" s="33">
        <f>'Profit &amp; Loss'!B251</f>
        <v>0</v>
      </c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2.5" x14ac:dyDescent="0.25">
      <c r="A252" s="63">
        <f>'Profit &amp; Loss'!A252</f>
        <v>0</v>
      </c>
      <c r="B252" s="33">
        <f>'Profit &amp; Loss'!B252</f>
        <v>0</v>
      </c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</row>
    <row r="253" spans="1:20" ht="12.5" x14ac:dyDescent="0.25">
      <c r="A253" s="63">
        <f>'Profit &amp; Loss'!A253</f>
        <v>0</v>
      </c>
      <c r="B253" s="33">
        <f>'Profit &amp; Loss'!B253</f>
        <v>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</row>
    <row r="254" spans="1:20" ht="12.5" x14ac:dyDescent="0.25">
      <c r="A254" s="63">
        <f>'Profit &amp; Loss'!A254</f>
        <v>0</v>
      </c>
      <c r="B254" s="33">
        <f>'Profit &amp; Loss'!B254</f>
        <v>0</v>
      </c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</row>
    <row r="255" spans="1:20" ht="12.5" x14ac:dyDescent="0.25">
      <c r="A255" s="63">
        <f>'Profit &amp; Loss'!A255</f>
        <v>0</v>
      </c>
      <c r="B255" s="33">
        <f>'Profit &amp; Loss'!B255</f>
        <v>0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</row>
    <row r="256" spans="1:20" ht="12.5" x14ac:dyDescent="0.25">
      <c r="A256" s="63">
        <f>'Profit &amp; Loss'!A256</f>
        <v>0</v>
      </c>
      <c r="B256" s="33">
        <f>'Profit &amp; Loss'!B256</f>
        <v>0</v>
      </c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</row>
    <row r="257" spans="1:20" ht="12.5" x14ac:dyDescent="0.25">
      <c r="A257" s="63">
        <f>'Profit &amp; Loss'!A257</f>
        <v>0</v>
      </c>
      <c r="B257" s="33">
        <f>'Profit &amp; Loss'!B257</f>
        <v>0</v>
      </c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</row>
    <row r="258" spans="1:20" ht="12.5" x14ac:dyDescent="0.25">
      <c r="A258" s="63">
        <f>'Profit &amp; Loss'!A258</f>
        <v>0</v>
      </c>
      <c r="B258" s="33">
        <f>'Profit &amp; Loss'!B258</f>
        <v>0</v>
      </c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</row>
    <row r="259" spans="1:20" ht="12.5" x14ac:dyDescent="0.25">
      <c r="A259" s="63">
        <f>'Profit &amp; Loss'!A259</f>
        <v>0</v>
      </c>
      <c r="B259" s="33">
        <f>'Profit &amp; Loss'!B259</f>
        <v>0</v>
      </c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</row>
    <row r="260" spans="1:20" ht="12.5" x14ac:dyDescent="0.25">
      <c r="A260" s="63">
        <f>'Profit &amp; Loss'!A260</f>
        <v>0</v>
      </c>
      <c r="B260" s="33">
        <f>'Profit &amp; Loss'!B260</f>
        <v>0</v>
      </c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</row>
    <row r="261" spans="1:20" ht="12.5" x14ac:dyDescent="0.25">
      <c r="A261" s="63">
        <f>'Profit &amp; Loss'!A261</f>
        <v>0</v>
      </c>
      <c r="B261" s="33">
        <f>'Profit &amp; Loss'!B261</f>
        <v>0</v>
      </c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</row>
    <row r="262" spans="1:20" ht="12.5" x14ac:dyDescent="0.25">
      <c r="A262" s="63">
        <f>'Profit &amp; Loss'!A262</f>
        <v>0</v>
      </c>
      <c r="B262" s="33">
        <f>'Profit &amp; Loss'!B262</f>
        <v>0</v>
      </c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</row>
    <row r="263" spans="1:20" ht="12.5" x14ac:dyDescent="0.25">
      <c r="A263" s="63">
        <f>'Profit &amp; Loss'!A263</f>
        <v>0</v>
      </c>
      <c r="B263" s="33">
        <f>'Profit &amp; Loss'!B263</f>
        <v>0</v>
      </c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</row>
    <row r="264" spans="1:20" ht="12.5" x14ac:dyDescent="0.25">
      <c r="A264" s="63">
        <f>'Profit &amp; Loss'!A264</f>
        <v>0</v>
      </c>
      <c r="B264" s="33">
        <f>'Profit &amp; Loss'!B264</f>
        <v>0</v>
      </c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</row>
    <row r="265" spans="1:20" ht="12.5" x14ac:dyDescent="0.25">
      <c r="A265" s="63">
        <f>'Profit &amp; Loss'!A265</f>
        <v>0</v>
      </c>
      <c r="B265" s="33">
        <f>'Profit &amp; Loss'!B265</f>
        <v>0</v>
      </c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</row>
    <row r="266" spans="1:20" ht="12.5" x14ac:dyDescent="0.25">
      <c r="A266" s="63">
        <f>'Profit &amp; Loss'!A266</f>
        <v>0</v>
      </c>
      <c r="B266" s="33">
        <f>'Profit &amp; Loss'!B266</f>
        <v>0</v>
      </c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</row>
    <row r="267" spans="1:20" ht="12.5" x14ac:dyDescent="0.25">
      <c r="A267" s="63">
        <f>'Profit &amp; Loss'!A267</f>
        <v>0</v>
      </c>
      <c r="B267" s="33">
        <f>'Profit &amp; Loss'!B267</f>
        <v>0</v>
      </c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</row>
    <row r="268" spans="1:20" ht="12.5" x14ac:dyDescent="0.25">
      <c r="A268" s="63">
        <f>'Profit &amp; Loss'!A268</f>
        <v>0</v>
      </c>
      <c r="B268" s="33">
        <f>'Profit &amp; Loss'!B268</f>
        <v>0</v>
      </c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</row>
    <row r="269" spans="1:20" ht="12.5" x14ac:dyDescent="0.25">
      <c r="A269" s="63">
        <f>'Profit &amp; Loss'!A269</f>
        <v>0</v>
      </c>
      <c r="B269" s="33">
        <f>'Profit &amp; Loss'!B269</f>
        <v>0</v>
      </c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</row>
    <row r="270" spans="1:20" ht="12.5" x14ac:dyDescent="0.25">
      <c r="A270" s="63">
        <f>'Profit &amp; Loss'!A270</f>
        <v>0</v>
      </c>
      <c r="B270" s="33">
        <f>'Profit &amp; Loss'!B270</f>
        <v>0</v>
      </c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</row>
    <row r="271" spans="1:20" ht="12.5" x14ac:dyDescent="0.25">
      <c r="A271" s="63">
        <f>'Profit &amp; Loss'!A271</f>
        <v>0</v>
      </c>
      <c r="B271" s="33">
        <f>'Profit &amp; Loss'!B271</f>
        <v>0</v>
      </c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</row>
    <row r="272" spans="1:20" ht="12.5" x14ac:dyDescent="0.25">
      <c r="A272" s="63">
        <f>'Profit &amp; Loss'!A272</f>
        <v>0</v>
      </c>
      <c r="B272" s="33">
        <f>'Profit &amp; Loss'!B272</f>
        <v>0</v>
      </c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</row>
    <row r="273" spans="1:20" ht="12.5" x14ac:dyDescent="0.25">
      <c r="A273" s="63">
        <f>'Profit &amp; Loss'!A273</f>
        <v>0</v>
      </c>
      <c r="B273" s="33">
        <f>'Profit &amp; Loss'!B273</f>
        <v>0</v>
      </c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</row>
    <row r="274" spans="1:20" ht="12.5" x14ac:dyDescent="0.25">
      <c r="A274" s="63">
        <f>'Profit &amp; Loss'!A274</f>
        <v>0</v>
      </c>
      <c r="B274" s="33">
        <f>'Profit &amp; Loss'!B274</f>
        <v>0</v>
      </c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</row>
    <row r="275" spans="1:20" ht="12.5" x14ac:dyDescent="0.25">
      <c r="A275" s="63">
        <f>'Profit &amp; Loss'!A275</f>
        <v>0</v>
      </c>
      <c r="B275" s="33">
        <f>'Profit &amp; Loss'!B275</f>
        <v>0</v>
      </c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</row>
    <row r="276" spans="1:20" ht="12.5" x14ac:dyDescent="0.25">
      <c r="A276" s="63">
        <f>'Profit &amp; Loss'!A276</f>
        <v>0</v>
      </c>
      <c r="B276" s="33">
        <f>'Profit &amp; Loss'!B276</f>
        <v>0</v>
      </c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</row>
    <row r="277" spans="1:20" ht="12.5" x14ac:dyDescent="0.25">
      <c r="A277" s="63">
        <f>'Profit &amp; Loss'!A277</f>
        <v>0</v>
      </c>
      <c r="B277" s="33">
        <f>'Profit &amp; Loss'!B277</f>
        <v>0</v>
      </c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</row>
    <row r="278" spans="1:20" ht="12.5" x14ac:dyDescent="0.25">
      <c r="A278" s="63">
        <f>'Profit &amp; Loss'!A278</f>
        <v>0</v>
      </c>
      <c r="B278" s="33">
        <f>'Profit &amp; Loss'!B278</f>
        <v>0</v>
      </c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</row>
    <row r="279" spans="1:20" ht="12.5" x14ac:dyDescent="0.25">
      <c r="A279" s="63">
        <f>'Profit &amp; Loss'!A279</f>
        <v>0</v>
      </c>
      <c r="B279" s="33">
        <f>'Profit &amp; Loss'!B279</f>
        <v>0</v>
      </c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</row>
    <row r="280" spans="1:20" ht="12.5" x14ac:dyDescent="0.25">
      <c r="A280" s="63">
        <f>'Profit &amp; Loss'!A280</f>
        <v>0</v>
      </c>
      <c r="B280" s="33">
        <f>'Profit &amp; Loss'!B280</f>
        <v>0</v>
      </c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</row>
    <row r="281" spans="1:20" ht="12.5" x14ac:dyDescent="0.25">
      <c r="A281" s="63">
        <f>'Profit &amp; Loss'!A281</f>
        <v>0</v>
      </c>
      <c r="B281" s="33">
        <f>'Profit &amp; Loss'!B281</f>
        <v>0</v>
      </c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</row>
    <row r="282" spans="1:20" ht="12.5" x14ac:dyDescent="0.25">
      <c r="A282" s="63">
        <f>'Profit &amp; Loss'!A282</f>
        <v>0</v>
      </c>
      <c r="B282" s="33">
        <f>'Profit &amp; Loss'!B282</f>
        <v>0</v>
      </c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</row>
    <row r="283" spans="1:20" ht="12.5" x14ac:dyDescent="0.25">
      <c r="A283" s="63">
        <f>'Profit &amp; Loss'!A283</f>
        <v>0</v>
      </c>
      <c r="B283" s="33">
        <f>'Profit &amp; Loss'!B283</f>
        <v>0</v>
      </c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</row>
    <row r="284" spans="1:20" ht="12.5" x14ac:dyDescent="0.25">
      <c r="A284" s="63">
        <f>'Profit &amp; Loss'!A284</f>
        <v>0</v>
      </c>
      <c r="B284" s="33">
        <f>'Profit &amp; Loss'!B284</f>
        <v>0</v>
      </c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</row>
    <row r="285" spans="1:20" ht="12.5" x14ac:dyDescent="0.25">
      <c r="A285" s="63">
        <f>'Profit &amp; Loss'!A285</f>
        <v>0</v>
      </c>
      <c r="B285" s="33">
        <f>'Profit &amp; Loss'!B285</f>
        <v>0</v>
      </c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</row>
    <row r="286" spans="1:20" ht="12.5" x14ac:dyDescent="0.25">
      <c r="A286" s="63">
        <f>'Profit &amp; Loss'!A286</f>
        <v>0</v>
      </c>
      <c r="B286" s="33">
        <f>'Profit &amp; Loss'!B286</f>
        <v>0</v>
      </c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</row>
    <row r="287" spans="1:20" ht="12.5" x14ac:dyDescent="0.25">
      <c r="A287" s="63">
        <f>'Profit &amp; Loss'!A287</f>
        <v>0</v>
      </c>
      <c r="B287" s="33">
        <f>'Profit &amp; Loss'!B287</f>
        <v>0</v>
      </c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</row>
    <row r="288" spans="1:20" ht="12.5" x14ac:dyDescent="0.25">
      <c r="A288" s="63">
        <f>'Profit &amp; Loss'!A288</f>
        <v>0</v>
      </c>
      <c r="B288" s="33">
        <f>'Profit &amp; Loss'!B288</f>
        <v>0</v>
      </c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</row>
    <row r="289" spans="1:20" ht="12.5" x14ac:dyDescent="0.25">
      <c r="A289" s="63">
        <f>'Profit &amp; Loss'!A289</f>
        <v>0</v>
      </c>
      <c r="B289" s="33">
        <f>'Profit &amp; Loss'!B289</f>
        <v>0</v>
      </c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</row>
    <row r="290" spans="1:20" ht="12.5" x14ac:dyDescent="0.25">
      <c r="A290" s="63">
        <f>'Profit &amp; Loss'!A290</f>
        <v>0</v>
      </c>
      <c r="B290" s="33">
        <f>'Profit &amp; Loss'!B290</f>
        <v>0</v>
      </c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</row>
    <row r="291" spans="1:20" ht="12.5" x14ac:dyDescent="0.25">
      <c r="A291" s="63">
        <f>'Profit &amp; Loss'!A291</f>
        <v>0</v>
      </c>
      <c r="B291" s="33">
        <f>'Profit &amp; Loss'!B291</f>
        <v>0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</row>
    <row r="292" spans="1:20" ht="12.5" x14ac:dyDescent="0.25">
      <c r="A292" s="63">
        <f>'Profit &amp; Loss'!A292</f>
        <v>0</v>
      </c>
      <c r="B292" s="33">
        <f>'Profit &amp; Loss'!B292</f>
        <v>0</v>
      </c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</row>
    <row r="293" spans="1:20" ht="12.5" x14ac:dyDescent="0.25">
      <c r="A293" s="63">
        <f>'Profit &amp; Loss'!A293</f>
        <v>0</v>
      </c>
      <c r="B293" s="33">
        <f>'Profit &amp; Loss'!B293</f>
        <v>0</v>
      </c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</row>
    <row r="294" spans="1:20" ht="12.5" x14ac:dyDescent="0.25">
      <c r="A294" s="63">
        <f>'Profit &amp; Loss'!A294</f>
        <v>0</v>
      </c>
      <c r="B294" s="33">
        <f>'Profit &amp; Loss'!B294</f>
        <v>0</v>
      </c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</row>
    <row r="295" spans="1:20" ht="12.5" x14ac:dyDescent="0.25">
      <c r="A295" s="63">
        <f>'Profit &amp; Loss'!A295</f>
        <v>0</v>
      </c>
      <c r="B295" s="33">
        <f>'Profit &amp; Loss'!B295</f>
        <v>0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</row>
    <row r="296" spans="1:20" ht="12.5" x14ac:dyDescent="0.25">
      <c r="A296" s="63">
        <f>'Profit &amp; Loss'!A296</f>
        <v>0</v>
      </c>
      <c r="B296" s="33">
        <f>'Profit &amp; Loss'!B296</f>
        <v>0</v>
      </c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</row>
    <row r="297" spans="1:20" ht="12.5" x14ac:dyDescent="0.25">
      <c r="A297" s="63">
        <f>'Profit &amp; Loss'!A297</f>
        <v>0</v>
      </c>
      <c r="B297" s="33">
        <f>'Profit &amp; Loss'!B297</f>
        <v>0</v>
      </c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</row>
    <row r="298" spans="1:20" ht="12.5" x14ac:dyDescent="0.25">
      <c r="A298" s="63">
        <f>'Profit &amp; Loss'!A298</f>
        <v>0</v>
      </c>
      <c r="B298" s="33">
        <f>'Profit &amp; Loss'!B298</f>
        <v>0</v>
      </c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</row>
    <row r="299" spans="1:20" ht="12.5" x14ac:dyDescent="0.25">
      <c r="A299" s="63">
        <f>'Profit &amp; Loss'!A299</f>
        <v>0</v>
      </c>
      <c r="B299" s="33">
        <f>'Profit &amp; Loss'!B299</f>
        <v>0</v>
      </c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</row>
    <row r="300" spans="1:20" ht="12.5" x14ac:dyDescent="0.25">
      <c r="A300" s="63">
        <f>'Profit &amp; Loss'!A300</f>
        <v>0</v>
      </c>
      <c r="B300" s="33">
        <f>'Profit &amp; Loss'!B300</f>
        <v>0</v>
      </c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</row>
    <row r="301" spans="1:20" ht="12.5" x14ac:dyDescent="0.25">
      <c r="A301" s="63">
        <f>'Profit &amp; Loss'!A301</f>
        <v>0</v>
      </c>
      <c r="B301" s="33">
        <f>'Profit &amp; Loss'!B301</f>
        <v>0</v>
      </c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</row>
    <row r="302" spans="1:20" ht="12.5" x14ac:dyDescent="0.25">
      <c r="A302" s="63">
        <f>'Profit &amp; Loss'!A302</f>
        <v>0</v>
      </c>
      <c r="B302" s="33">
        <f>'Profit &amp; Loss'!B302</f>
        <v>0</v>
      </c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</row>
    <row r="303" spans="1:20" ht="12.5" x14ac:dyDescent="0.25">
      <c r="A303" s="63">
        <f>'Profit &amp; Loss'!A303</f>
        <v>0</v>
      </c>
      <c r="B303" s="33">
        <f>'Profit &amp; Loss'!B303</f>
        <v>0</v>
      </c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</row>
    <row r="304" spans="1:20" ht="12.5" x14ac:dyDescent="0.25">
      <c r="A304" s="63">
        <f>'Profit &amp; Loss'!A304</f>
        <v>0</v>
      </c>
      <c r="B304" s="33">
        <f>'Profit &amp; Loss'!B304</f>
        <v>0</v>
      </c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</row>
    <row r="305" spans="1:20" ht="12.5" x14ac:dyDescent="0.25">
      <c r="A305" s="63">
        <f>'Profit &amp; Loss'!A305</f>
        <v>0</v>
      </c>
      <c r="B305" s="33">
        <f>'Profit &amp; Loss'!B305</f>
        <v>0</v>
      </c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</row>
    <row r="306" spans="1:20" ht="12.5" x14ac:dyDescent="0.25">
      <c r="A306" s="63">
        <f>'Profit &amp; Loss'!A306</f>
        <v>0</v>
      </c>
      <c r="B306" s="33">
        <f>'Profit &amp; Loss'!B306</f>
        <v>0</v>
      </c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</row>
    <row r="307" spans="1:20" ht="12.5" x14ac:dyDescent="0.25">
      <c r="A307" s="63">
        <f>'Profit &amp; Loss'!A307</f>
        <v>0</v>
      </c>
      <c r="B307" s="33">
        <f>'Profit &amp; Loss'!B307</f>
        <v>0</v>
      </c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</row>
    <row r="308" spans="1:20" ht="12.5" x14ac:dyDescent="0.25">
      <c r="A308" s="63">
        <f>'Profit &amp; Loss'!A308</f>
        <v>0</v>
      </c>
      <c r="B308" s="33">
        <f>'Profit &amp; Loss'!B308</f>
        <v>0</v>
      </c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</row>
    <row r="309" spans="1:20" ht="12.5" x14ac:dyDescent="0.25">
      <c r="A309" s="63">
        <f>'Profit &amp; Loss'!A309</f>
        <v>0</v>
      </c>
      <c r="B309" s="33">
        <f>'Profit &amp; Loss'!B309</f>
        <v>0</v>
      </c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</row>
    <row r="310" spans="1:20" ht="12.5" x14ac:dyDescent="0.25">
      <c r="A310" s="63">
        <f>'Profit &amp; Loss'!A310</f>
        <v>0</v>
      </c>
      <c r="B310" s="33">
        <f>'Profit &amp; Loss'!B310</f>
        <v>0</v>
      </c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</row>
    <row r="311" spans="1:20" ht="12.5" x14ac:dyDescent="0.25">
      <c r="A311" s="63">
        <f>'Profit &amp; Loss'!A311</f>
        <v>0</v>
      </c>
      <c r="B311" s="33">
        <f>'Profit &amp; Loss'!B311</f>
        <v>0</v>
      </c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</row>
    <row r="312" spans="1:20" ht="12.5" x14ac:dyDescent="0.25">
      <c r="A312" s="63">
        <f>'Profit &amp; Loss'!A312</f>
        <v>0</v>
      </c>
      <c r="B312" s="33">
        <f>'Profit &amp; Loss'!B312</f>
        <v>0</v>
      </c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</row>
    <row r="313" spans="1:20" ht="12.5" x14ac:dyDescent="0.25">
      <c r="A313" s="63">
        <f>'Profit &amp; Loss'!A313</f>
        <v>0</v>
      </c>
      <c r="B313" s="33">
        <f>'Profit &amp; Loss'!B313</f>
        <v>0</v>
      </c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</row>
    <row r="314" spans="1:20" ht="12.5" x14ac:dyDescent="0.25">
      <c r="A314" s="63">
        <f>'Profit &amp; Loss'!A314</f>
        <v>0</v>
      </c>
      <c r="B314" s="33">
        <f>'Profit &amp; Loss'!B314</f>
        <v>0</v>
      </c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</row>
    <row r="315" spans="1:20" ht="12.5" x14ac:dyDescent="0.25">
      <c r="A315" s="63">
        <f>'Profit &amp; Loss'!A315</f>
        <v>0</v>
      </c>
      <c r="B315" s="33">
        <f>'Profit &amp; Loss'!B315</f>
        <v>0</v>
      </c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</row>
    <row r="316" spans="1:20" ht="12.5" x14ac:dyDescent="0.25">
      <c r="A316" s="63">
        <f>'Profit &amp; Loss'!A316</f>
        <v>0</v>
      </c>
      <c r="B316" s="33">
        <f>'Profit &amp; Loss'!B316</f>
        <v>0</v>
      </c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</row>
    <row r="317" spans="1:20" ht="12.5" x14ac:dyDescent="0.25">
      <c r="A317" s="63">
        <f>'Profit &amp; Loss'!A317</f>
        <v>0</v>
      </c>
      <c r="B317" s="33">
        <f>'Profit &amp; Loss'!B317</f>
        <v>0</v>
      </c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</row>
    <row r="318" spans="1:20" ht="12.5" x14ac:dyDescent="0.25">
      <c r="A318" s="63">
        <f>'Profit &amp; Loss'!A318</f>
        <v>0</v>
      </c>
      <c r="B318" s="33">
        <f>'Profit &amp; Loss'!B318</f>
        <v>0</v>
      </c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</row>
    <row r="319" spans="1:20" ht="12.5" x14ac:dyDescent="0.25">
      <c r="A319" s="63">
        <f>'Profit &amp; Loss'!A319</f>
        <v>0</v>
      </c>
      <c r="B319" s="33">
        <f>'Profit &amp; Loss'!B319</f>
        <v>0</v>
      </c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</row>
    <row r="320" spans="1:20" ht="12.5" x14ac:dyDescent="0.25">
      <c r="A320" s="63">
        <f>'Profit &amp; Loss'!A320</f>
        <v>0</v>
      </c>
      <c r="B320" s="33">
        <f>'Profit &amp; Loss'!B320</f>
        <v>0</v>
      </c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</row>
    <row r="321" spans="1:20" ht="12.5" x14ac:dyDescent="0.25">
      <c r="A321" s="63">
        <f>'Profit &amp; Loss'!A321</f>
        <v>0</v>
      </c>
      <c r="B321" s="33">
        <f>'Profit &amp; Loss'!B321</f>
        <v>0</v>
      </c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</row>
    <row r="322" spans="1:20" ht="12.5" x14ac:dyDescent="0.25">
      <c r="A322" s="63">
        <f>'Profit &amp; Loss'!A322</f>
        <v>0</v>
      </c>
      <c r="B322" s="33">
        <f>'Profit &amp; Loss'!B322</f>
        <v>0</v>
      </c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</row>
    <row r="323" spans="1:20" ht="12.5" x14ac:dyDescent="0.25">
      <c r="A323" s="63">
        <f>'Profit &amp; Loss'!A323</f>
        <v>0</v>
      </c>
      <c r="B323" s="33">
        <f>'Profit &amp; Loss'!B323</f>
        <v>0</v>
      </c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</row>
    <row r="324" spans="1:20" ht="12.5" x14ac:dyDescent="0.25">
      <c r="A324" s="63">
        <f>'Profit &amp; Loss'!A324</f>
        <v>0</v>
      </c>
      <c r="B324" s="33">
        <f>'Profit &amp; Loss'!B324</f>
        <v>0</v>
      </c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</row>
    <row r="325" spans="1:20" ht="12.5" x14ac:dyDescent="0.25">
      <c r="A325" s="63">
        <f>'Profit &amp; Loss'!A325</f>
        <v>0</v>
      </c>
      <c r="B325" s="33">
        <f>'Profit &amp; Loss'!B325</f>
        <v>0</v>
      </c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</row>
    <row r="326" spans="1:20" ht="12.5" x14ac:dyDescent="0.25">
      <c r="A326" s="63">
        <f>'Profit &amp; Loss'!A326</f>
        <v>0</v>
      </c>
      <c r="B326" s="33">
        <f>'Profit &amp; Loss'!B326</f>
        <v>0</v>
      </c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</row>
    <row r="327" spans="1:20" ht="12.5" x14ac:dyDescent="0.25">
      <c r="A327" s="63">
        <f>'Profit &amp; Loss'!A327</f>
        <v>0</v>
      </c>
      <c r="B327" s="33">
        <f>'Profit &amp; Loss'!B327</f>
        <v>0</v>
      </c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</row>
    <row r="328" spans="1:20" ht="12.5" x14ac:dyDescent="0.25">
      <c r="A328" s="63">
        <f>'Profit &amp; Loss'!A328</f>
        <v>0</v>
      </c>
      <c r="B328" s="33">
        <f>'Profit &amp; Loss'!B328</f>
        <v>0</v>
      </c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</row>
    <row r="329" spans="1:20" ht="12.5" x14ac:dyDescent="0.25">
      <c r="A329" s="63">
        <f>'Profit &amp; Loss'!A329</f>
        <v>0</v>
      </c>
      <c r="B329" s="33">
        <f>'Profit &amp; Loss'!B329</f>
        <v>0</v>
      </c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</row>
    <row r="330" spans="1:20" ht="12.5" x14ac:dyDescent="0.25">
      <c r="A330" s="63">
        <f>'Profit &amp; Loss'!A330</f>
        <v>0</v>
      </c>
      <c r="B330" s="33">
        <f>'Profit &amp; Loss'!B330</f>
        <v>0</v>
      </c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</row>
    <row r="331" spans="1:20" ht="12.5" x14ac:dyDescent="0.25">
      <c r="A331" s="63">
        <f>'Profit &amp; Loss'!A331</f>
        <v>0</v>
      </c>
      <c r="B331" s="33">
        <f>'Profit &amp; Loss'!B331</f>
        <v>0</v>
      </c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</row>
    <row r="332" spans="1:20" ht="12.5" x14ac:dyDescent="0.25">
      <c r="A332" s="63">
        <f>'Profit &amp; Loss'!A332</f>
        <v>0</v>
      </c>
      <c r="B332" s="33">
        <f>'Profit &amp; Loss'!B332</f>
        <v>0</v>
      </c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</row>
    <row r="333" spans="1:20" ht="12.5" x14ac:dyDescent="0.25">
      <c r="A333" s="63">
        <f>'Profit &amp; Loss'!A333</f>
        <v>0</v>
      </c>
      <c r="B333" s="33">
        <f>'Profit &amp; Loss'!B333</f>
        <v>0</v>
      </c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</row>
    <row r="334" spans="1:20" ht="12.5" x14ac:dyDescent="0.25">
      <c r="A334" s="63">
        <f>'Profit &amp; Loss'!A334</f>
        <v>0</v>
      </c>
      <c r="B334" s="33">
        <f>'Profit &amp; Loss'!B334</f>
        <v>0</v>
      </c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</row>
    <row r="335" spans="1:20" ht="12.5" x14ac:dyDescent="0.25">
      <c r="A335" s="63">
        <f>'Profit &amp; Loss'!A335</f>
        <v>0</v>
      </c>
      <c r="B335" s="33">
        <f>'Profit &amp; Loss'!B335</f>
        <v>0</v>
      </c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</row>
    <row r="336" spans="1:20" ht="12.5" x14ac:dyDescent="0.25">
      <c r="A336" s="63">
        <f>'Profit &amp; Loss'!A336</f>
        <v>0</v>
      </c>
      <c r="B336" s="33">
        <f>'Profit &amp; Loss'!B336</f>
        <v>0</v>
      </c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</row>
    <row r="337" spans="1:20" ht="12.5" x14ac:dyDescent="0.25">
      <c r="A337" s="63">
        <f>'Profit &amp; Loss'!A337</f>
        <v>0</v>
      </c>
      <c r="B337" s="33">
        <f>'Profit &amp; Loss'!B337</f>
        <v>0</v>
      </c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</row>
    <row r="338" spans="1:20" ht="12.5" x14ac:dyDescent="0.25">
      <c r="A338" s="63">
        <f>'Profit &amp; Loss'!A338</f>
        <v>0</v>
      </c>
      <c r="B338" s="33">
        <f>'Profit &amp; Loss'!B338</f>
        <v>0</v>
      </c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</row>
    <row r="339" spans="1:20" ht="12.5" x14ac:dyDescent="0.25">
      <c r="A339" s="63">
        <f>'Profit &amp; Loss'!A339</f>
        <v>0</v>
      </c>
      <c r="B339" s="33">
        <f>'Profit &amp; Loss'!B339</f>
        <v>0</v>
      </c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</row>
    <row r="340" spans="1:20" ht="12.5" x14ac:dyDescent="0.25">
      <c r="A340" s="63">
        <f>'Profit &amp; Loss'!A340</f>
        <v>0</v>
      </c>
      <c r="B340" s="33">
        <f>'Profit &amp; Loss'!B340</f>
        <v>0</v>
      </c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</row>
    <row r="341" spans="1:20" ht="12.5" x14ac:dyDescent="0.25">
      <c r="A341" s="63">
        <f>'Profit &amp; Loss'!A341</f>
        <v>0</v>
      </c>
      <c r="B341" s="33">
        <f>'Profit &amp; Loss'!B341</f>
        <v>0</v>
      </c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</row>
    <row r="342" spans="1:20" ht="12.5" x14ac:dyDescent="0.25">
      <c r="A342" s="63">
        <f>'Profit &amp; Loss'!A342</f>
        <v>0</v>
      </c>
      <c r="B342" s="33">
        <f>'Profit &amp; Loss'!B342</f>
        <v>0</v>
      </c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</row>
    <row r="343" spans="1:20" ht="12.5" x14ac:dyDescent="0.25">
      <c r="A343" s="63">
        <f>'Profit &amp; Loss'!A343</f>
        <v>0</v>
      </c>
      <c r="B343" s="33">
        <f>'Profit &amp; Loss'!B343</f>
        <v>0</v>
      </c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</row>
    <row r="344" spans="1:20" ht="12.5" x14ac:dyDescent="0.25">
      <c r="A344" s="63">
        <f>'Profit &amp; Loss'!A344</f>
        <v>0</v>
      </c>
      <c r="B344" s="33">
        <f>'Profit &amp; Loss'!B344</f>
        <v>0</v>
      </c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</row>
    <row r="345" spans="1:20" ht="12.5" x14ac:dyDescent="0.25">
      <c r="A345" s="63">
        <f>'Profit &amp; Loss'!A345</f>
        <v>0</v>
      </c>
      <c r="B345" s="33">
        <f>'Profit &amp; Loss'!B345</f>
        <v>0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</row>
    <row r="346" spans="1:20" ht="12.5" x14ac:dyDescent="0.25">
      <c r="A346" s="63">
        <f>'Profit &amp; Loss'!A346</f>
        <v>0</v>
      </c>
      <c r="B346" s="33">
        <f>'Profit &amp; Loss'!B346</f>
        <v>0</v>
      </c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</row>
    <row r="347" spans="1:20" ht="12.5" x14ac:dyDescent="0.25">
      <c r="A347" s="63">
        <f>'Profit &amp; Loss'!A347</f>
        <v>0</v>
      </c>
      <c r="B347" s="33">
        <f>'Profit &amp; Loss'!B347</f>
        <v>0</v>
      </c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</row>
    <row r="348" spans="1:20" ht="12.5" x14ac:dyDescent="0.25">
      <c r="A348" s="63">
        <f>'Profit &amp; Loss'!A348</f>
        <v>0</v>
      </c>
      <c r="B348" s="33">
        <f>'Profit &amp; Loss'!B348</f>
        <v>0</v>
      </c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</row>
    <row r="349" spans="1:20" ht="12.5" x14ac:dyDescent="0.25">
      <c r="A349" s="63">
        <f>'Profit &amp; Loss'!A349</f>
        <v>0</v>
      </c>
      <c r="B349" s="33">
        <f>'Profit &amp; Loss'!B349</f>
        <v>0</v>
      </c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</row>
    <row r="350" spans="1:20" ht="12.5" x14ac:dyDescent="0.25">
      <c r="A350" s="63">
        <f>'Profit &amp; Loss'!A350</f>
        <v>0</v>
      </c>
      <c r="B350" s="33">
        <f>'Profit &amp; Loss'!B350</f>
        <v>0</v>
      </c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</row>
    <row r="351" spans="1:20" ht="12.5" x14ac:dyDescent="0.25">
      <c r="A351" s="63">
        <f>'Profit &amp; Loss'!A351</f>
        <v>0</v>
      </c>
      <c r="B351" s="33">
        <f>'Profit &amp; Loss'!B351</f>
        <v>0</v>
      </c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</row>
    <row r="352" spans="1:20" ht="12.5" x14ac:dyDescent="0.25">
      <c r="A352" s="63">
        <f>'Profit &amp; Loss'!A352</f>
        <v>0</v>
      </c>
      <c r="B352" s="33">
        <f>'Profit &amp; Loss'!B352</f>
        <v>0</v>
      </c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</row>
    <row r="353" spans="1:20" ht="12.5" x14ac:dyDescent="0.25">
      <c r="A353" s="63">
        <f>'Profit &amp; Loss'!A353</f>
        <v>0</v>
      </c>
      <c r="B353" s="33">
        <f>'Profit &amp; Loss'!B353</f>
        <v>0</v>
      </c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</row>
    <row r="354" spans="1:20" ht="12.5" x14ac:dyDescent="0.25">
      <c r="A354" s="63">
        <f>'Profit &amp; Loss'!A354</f>
        <v>0</v>
      </c>
      <c r="B354" s="33">
        <f>'Profit &amp; Loss'!B354</f>
        <v>0</v>
      </c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</row>
    <row r="355" spans="1:20" ht="12.5" x14ac:dyDescent="0.25">
      <c r="A355" s="63">
        <f>'Profit &amp; Loss'!A355</f>
        <v>0</v>
      </c>
      <c r="B355" s="33">
        <f>'Profit &amp; Loss'!B355</f>
        <v>0</v>
      </c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</row>
    <row r="356" spans="1:20" ht="12.5" x14ac:dyDescent="0.25">
      <c r="A356" s="63">
        <f>'Profit &amp; Loss'!A356</f>
        <v>0</v>
      </c>
      <c r="B356" s="33">
        <f>'Profit &amp; Loss'!B356</f>
        <v>0</v>
      </c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</row>
    <row r="357" spans="1:20" ht="12.5" x14ac:dyDescent="0.25">
      <c r="A357" s="63">
        <f>'Profit &amp; Loss'!A357</f>
        <v>0</v>
      </c>
      <c r="B357" s="33">
        <f>'Profit &amp; Loss'!B357</f>
        <v>0</v>
      </c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</row>
    <row r="358" spans="1:20" ht="12.5" x14ac:dyDescent="0.25">
      <c r="A358" s="63">
        <f>'Profit &amp; Loss'!A358</f>
        <v>0</v>
      </c>
      <c r="B358" s="33">
        <f>'Profit &amp; Loss'!B358</f>
        <v>0</v>
      </c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</row>
    <row r="359" spans="1:20" ht="12.5" x14ac:dyDescent="0.25">
      <c r="A359" s="63">
        <f>'Profit &amp; Loss'!A359</f>
        <v>0</v>
      </c>
      <c r="B359" s="33">
        <f>'Profit &amp; Loss'!B359</f>
        <v>0</v>
      </c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</row>
    <row r="360" spans="1:20" ht="12.5" x14ac:dyDescent="0.25">
      <c r="A360" s="63">
        <f>'Profit &amp; Loss'!A360</f>
        <v>0</v>
      </c>
      <c r="B360" s="33">
        <f>'Profit &amp; Loss'!B360</f>
        <v>0</v>
      </c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</row>
    <row r="361" spans="1:20" ht="12.5" x14ac:dyDescent="0.25">
      <c r="A361" s="63">
        <f>'Profit &amp; Loss'!A361</f>
        <v>0</v>
      </c>
      <c r="B361" s="33">
        <f>'Profit &amp; Loss'!B361</f>
        <v>0</v>
      </c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</row>
    <row r="362" spans="1:20" ht="12.5" x14ac:dyDescent="0.25">
      <c r="A362" s="63">
        <f>'Profit &amp; Loss'!A362</f>
        <v>0</v>
      </c>
      <c r="B362" s="33">
        <f>'Profit &amp; Loss'!B362</f>
        <v>0</v>
      </c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</row>
    <row r="363" spans="1:20" ht="12.5" x14ac:dyDescent="0.25">
      <c r="A363" s="63">
        <f>'Profit &amp; Loss'!A363</f>
        <v>0</v>
      </c>
      <c r="B363" s="33">
        <f>'Profit &amp; Loss'!B363</f>
        <v>0</v>
      </c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</row>
    <row r="364" spans="1:20" ht="12.5" x14ac:dyDescent="0.25">
      <c r="A364" s="63">
        <f>'Profit &amp; Loss'!A364</f>
        <v>0</v>
      </c>
      <c r="B364" s="33">
        <f>'Profit &amp; Loss'!B364</f>
        <v>0</v>
      </c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</row>
    <row r="365" spans="1:20" ht="12.5" x14ac:dyDescent="0.25">
      <c r="A365" s="63">
        <f>'Profit &amp; Loss'!A365</f>
        <v>0</v>
      </c>
      <c r="B365" s="33">
        <f>'Profit &amp; Loss'!B365</f>
        <v>0</v>
      </c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</row>
    <row r="366" spans="1:20" ht="12.5" x14ac:dyDescent="0.25">
      <c r="A366" s="63">
        <f>'Profit &amp; Loss'!A366</f>
        <v>0</v>
      </c>
      <c r="B366" s="33">
        <f>'Profit &amp; Loss'!B366</f>
        <v>0</v>
      </c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</row>
    <row r="367" spans="1:20" ht="12.5" x14ac:dyDescent="0.25">
      <c r="A367" s="63">
        <f>'Profit &amp; Loss'!A367</f>
        <v>0</v>
      </c>
      <c r="B367" s="33">
        <f>'Profit &amp; Loss'!B367</f>
        <v>0</v>
      </c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</row>
    <row r="368" spans="1:20" ht="12.5" x14ac:dyDescent="0.25">
      <c r="A368" s="63">
        <f>'Profit &amp; Loss'!A368</f>
        <v>0</v>
      </c>
      <c r="B368" s="33">
        <f>'Profit &amp; Loss'!B368</f>
        <v>0</v>
      </c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</row>
    <row r="369" spans="1:20" ht="12.5" x14ac:dyDescent="0.25">
      <c r="A369" s="63">
        <f>'Profit &amp; Loss'!A369</f>
        <v>0</v>
      </c>
      <c r="B369" s="33">
        <f>'Profit &amp; Loss'!B369</f>
        <v>0</v>
      </c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</row>
    <row r="370" spans="1:20" ht="12.5" x14ac:dyDescent="0.25">
      <c r="A370" s="63">
        <f>'Profit &amp; Loss'!A370</f>
        <v>0</v>
      </c>
      <c r="B370" s="33">
        <f>'Profit &amp; Loss'!B370</f>
        <v>0</v>
      </c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</row>
    <row r="371" spans="1:20" ht="12.5" x14ac:dyDescent="0.25">
      <c r="A371" s="63">
        <f>'Profit &amp; Loss'!A371</f>
        <v>0</v>
      </c>
      <c r="B371" s="33">
        <f>'Profit &amp; Loss'!B371</f>
        <v>0</v>
      </c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</row>
    <row r="372" spans="1:20" ht="12.5" x14ac:dyDescent="0.25">
      <c r="A372" s="63">
        <f>'Profit &amp; Loss'!A372</f>
        <v>0</v>
      </c>
      <c r="B372" s="33">
        <f>'Profit &amp; Loss'!B372</f>
        <v>0</v>
      </c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</row>
    <row r="373" spans="1:20" ht="12.5" x14ac:dyDescent="0.25">
      <c r="A373" s="63">
        <f>'Profit &amp; Loss'!A373</f>
        <v>0</v>
      </c>
      <c r="B373" s="33">
        <f>'Profit &amp; Loss'!B373</f>
        <v>0</v>
      </c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</row>
    <row r="374" spans="1:20" ht="12.5" x14ac:dyDescent="0.25">
      <c r="A374" s="63">
        <f>'Profit &amp; Loss'!A374</f>
        <v>0</v>
      </c>
      <c r="B374" s="33">
        <f>'Profit &amp; Loss'!B374</f>
        <v>0</v>
      </c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</row>
    <row r="375" spans="1:20" ht="12.5" x14ac:dyDescent="0.25">
      <c r="A375" s="63">
        <f>'Profit &amp; Loss'!A375</f>
        <v>0</v>
      </c>
      <c r="B375" s="33">
        <f>'Profit &amp; Loss'!B375</f>
        <v>0</v>
      </c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</row>
    <row r="376" spans="1:20" ht="12.5" x14ac:dyDescent="0.25">
      <c r="A376" s="63">
        <f>'Profit &amp; Loss'!A376</f>
        <v>0</v>
      </c>
      <c r="B376" s="33">
        <f>'Profit &amp; Loss'!B376</f>
        <v>0</v>
      </c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</row>
    <row r="377" spans="1:20" ht="12.5" x14ac:dyDescent="0.25">
      <c r="A377" s="63">
        <f>'Profit &amp; Loss'!A377</f>
        <v>0</v>
      </c>
      <c r="B377" s="33">
        <f>'Profit &amp; Loss'!B377</f>
        <v>0</v>
      </c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</row>
    <row r="378" spans="1:20" ht="12.5" x14ac:dyDescent="0.25">
      <c r="A378" s="63">
        <f>'Profit &amp; Loss'!A378</f>
        <v>0</v>
      </c>
      <c r="B378" s="33">
        <f>'Profit &amp; Loss'!B378</f>
        <v>0</v>
      </c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</row>
    <row r="379" spans="1:20" ht="12.5" x14ac:dyDescent="0.25">
      <c r="A379" s="63">
        <f>'Profit &amp; Loss'!A379</f>
        <v>0</v>
      </c>
      <c r="B379" s="33">
        <f>'Profit &amp; Loss'!B379</f>
        <v>0</v>
      </c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</row>
    <row r="380" spans="1:20" ht="12.5" x14ac:dyDescent="0.25">
      <c r="A380" s="63">
        <f>'Profit &amp; Loss'!A380</f>
        <v>0</v>
      </c>
      <c r="B380" s="33">
        <f>'Profit &amp; Loss'!B380</f>
        <v>0</v>
      </c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</row>
    <row r="381" spans="1:20" ht="12.5" x14ac:dyDescent="0.25">
      <c r="A381" s="63">
        <f>'Profit &amp; Loss'!A381</f>
        <v>0</v>
      </c>
      <c r="B381" s="33">
        <f>'Profit &amp; Loss'!B381</f>
        <v>0</v>
      </c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</row>
    <row r="382" spans="1:20" ht="12.5" x14ac:dyDescent="0.25">
      <c r="A382" s="63">
        <f>'Profit &amp; Loss'!A382</f>
        <v>0</v>
      </c>
      <c r="B382" s="33">
        <f>'Profit &amp; Loss'!B382</f>
        <v>0</v>
      </c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</row>
    <row r="383" spans="1:20" ht="12.5" x14ac:dyDescent="0.25">
      <c r="A383" s="63">
        <f>'Profit &amp; Loss'!A383</f>
        <v>0</v>
      </c>
      <c r="B383" s="33">
        <f>'Profit &amp; Loss'!B383</f>
        <v>0</v>
      </c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</row>
    <row r="384" spans="1:20" ht="12.5" x14ac:dyDescent="0.25">
      <c r="A384" s="63">
        <f>'Profit &amp; Loss'!A384</f>
        <v>0</v>
      </c>
      <c r="B384" s="33">
        <f>'Profit &amp; Loss'!B384</f>
        <v>0</v>
      </c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</row>
    <row r="385" spans="1:20" ht="12.5" x14ac:dyDescent="0.25">
      <c r="A385" s="63">
        <f>'Profit &amp; Loss'!A385</f>
        <v>0</v>
      </c>
      <c r="B385" s="33">
        <f>'Profit &amp; Loss'!B385</f>
        <v>0</v>
      </c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</row>
    <row r="386" spans="1:20" ht="12.5" x14ac:dyDescent="0.25">
      <c r="A386" s="63">
        <f>'Profit &amp; Loss'!A386</f>
        <v>0</v>
      </c>
      <c r="B386" s="33">
        <f>'Profit &amp; Loss'!B386</f>
        <v>0</v>
      </c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</row>
    <row r="387" spans="1:20" ht="12.5" x14ac:dyDescent="0.25">
      <c r="A387" s="63">
        <f>'Profit &amp; Loss'!A387</f>
        <v>0</v>
      </c>
      <c r="B387" s="33">
        <f>'Profit &amp; Loss'!B387</f>
        <v>0</v>
      </c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</row>
    <row r="388" spans="1:20" ht="12.5" x14ac:dyDescent="0.25">
      <c r="A388" s="63">
        <f>'Profit &amp; Loss'!A388</f>
        <v>0</v>
      </c>
      <c r="B388" s="33">
        <f>'Profit &amp; Loss'!B388</f>
        <v>0</v>
      </c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</row>
    <row r="389" spans="1:20" ht="12.5" x14ac:dyDescent="0.25">
      <c r="A389" s="63">
        <f>'Profit &amp; Loss'!A389</f>
        <v>0</v>
      </c>
      <c r="B389" s="33">
        <f>'Profit &amp; Loss'!B389</f>
        <v>0</v>
      </c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</row>
    <row r="390" spans="1:20" ht="12.5" x14ac:dyDescent="0.25">
      <c r="A390" s="63">
        <f>'Profit &amp; Loss'!A390</f>
        <v>0</v>
      </c>
      <c r="B390" s="33">
        <f>'Profit &amp; Loss'!B390</f>
        <v>0</v>
      </c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</row>
    <row r="391" spans="1:20" ht="12.5" x14ac:dyDescent="0.25">
      <c r="A391" s="63">
        <f>'Profit &amp; Loss'!A391</f>
        <v>0</v>
      </c>
      <c r="B391" s="33">
        <f>'Profit &amp; Loss'!B391</f>
        <v>0</v>
      </c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</row>
    <row r="392" spans="1:20" ht="12.5" x14ac:dyDescent="0.25">
      <c r="A392" s="63">
        <f>'Profit &amp; Loss'!A392</f>
        <v>0</v>
      </c>
      <c r="B392" s="33">
        <f>'Profit &amp; Loss'!B392</f>
        <v>0</v>
      </c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</row>
    <row r="393" spans="1:20" ht="12.5" x14ac:dyDescent="0.25">
      <c r="A393" s="63">
        <f>'Profit &amp; Loss'!A393</f>
        <v>0</v>
      </c>
      <c r="B393" s="33">
        <f>'Profit &amp; Loss'!B393</f>
        <v>0</v>
      </c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</row>
    <row r="394" spans="1:20" ht="12.5" x14ac:dyDescent="0.25">
      <c r="A394" s="63">
        <f>'Profit &amp; Loss'!A394</f>
        <v>0</v>
      </c>
      <c r="B394" s="33">
        <f>'Profit &amp; Loss'!B394</f>
        <v>0</v>
      </c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</row>
    <row r="395" spans="1:20" ht="12.5" x14ac:dyDescent="0.25">
      <c r="A395" s="63">
        <f>'Profit &amp; Loss'!A395</f>
        <v>0</v>
      </c>
      <c r="B395" s="33">
        <f>'Profit &amp; Loss'!B395</f>
        <v>0</v>
      </c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</row>
    <row r="396" spans="1:20" ht="12.5" x14ac:dyDescent="0.25">
      <c r="A396" s="63">
        <f>'Profit &amp; Loss'!A396</f>
        <v>0</v>
      </c>
      <c r="B396" s="33">
        <f>'Profit &amp; Loss'!B396</f>
        <v>0</v>
      </c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</row>
    <row r="397" spans="1:20" ht="12.5" x14ac:dyDescent="0.25">
      <c r="A397" s="63">
        <f>'Profit &amp; Loss'!A397</f>
        <v>0</v>
      </c>
      <c r="B397" s="33">
        <f>'Profit &amp; Loss'!B397</f>
        <v>0</v>
      </c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</row>
    <row r="398" spans="1:20" ht="12.5" x14ac:dyDescent="0.25">
      <c r="A398" s="63">
        <f>'Profit &amp; Loss'!A398</f>
        <v>0</v>
      </c>
      <c r="B398" s="33">
        <f>'Profit &amp; Loss'!B398</f>
        <v>0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</row>
    <row r="399" spans="1:20" ht="12.5" x14ac:dyDescent="0.25">
      <c r="A399" s="63">
        <f>'Profit &amp; Loss'!A399</f>
        <v>0</v>
      </c>
      <c r="B399" s="33">
        <f>'Profit &amp; Loss'!B399</f>
        <v>0</v>
      </c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</row>
    <row r="400" spans="1:20" ht="12.5" x14ac:dyDescent="0.25">
      <c r="A400" s="63">
        <f>'Profit &amp; Loss'!A400</f>
        <v>0</v>
      </c>
      <c r="B400" s="33">
        <f>'Profit &amp; Loss'!B400</f>
        <v>0</v>
      </c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</row>
    <row r="401" spans="1:20" ht="12.5" x14ac:dyDescent="0.25">
      <c r="A401" s="63">
        <f>'Profit &amp; Loss'!A401</f>
        <v>0</v>
      </c>
      <c r="B401" s="33">
        <f>'Profit &amp; Loss'!B401</f>
        <v>0</v>
      </c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</row>
    <row r="402" spans="1:20" ht="12.5" x14ac:dyDescent="0.25">
      <c r="A402" s="63">
        <f>'Profit &amp; Loss'!A402</f>
        <v>0</v>
      </c>
      <c r="B402" s="33">
        <f>'Profit &amp; Loss'!B402</f>
        <v>0</v>
      </c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</row>
    <row r="403" spans="1:20" ht="12.5" x14ac:dyDescent="0.25">
      <c r="A403" s="63">
        <f>'Profit &amp; Loss'!A403</f>
        <v>0</v>
      </c>
      <c r="B403" s="33">
        <f>'Profit &amp; Loss'!B403</f>
        <v>0</v>
      </c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</row>
    <row r="404" spans="1:20" ht="12.5" x14ac:dyDescent="0.25">
      <c r="A404" s="63">
        <f>'Profit &amp; Loss'!A404</f>
        <v>0</v>
      </c>
      <c r="B404" s="33">
        <f>'Profit &amp; Loss'!B404</f>
        <v>0</v>
      </c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</row>
    <row r="405" spans="1:20" ht="12.5" x14ac:dyDescent="0.25">
      <c r="A405" s="63">
        <f>'Profit &amp; Loss'!A405</f>
        <v>0</v>
      </c>
      <c r="B405" s="33">
        <f>'Profit &amp; Loss'!B405</f>
        <v>0</v>
      </c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</row>
    <row r="406" spans="1:20" ht="12.5" x14ac:dyDescent="0.25">
      <c r="A406" s="63">
        <f>'Profit &amp; Loss'!A406</f>
        <v>0</v>
      </c>
      <c r="B406" s="33">
        <f>'Profit &amp; Loss'!B406</f>
        <v>0</v>
      </c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</row>
    <row r="407" spans="1:20" ht="12.5" x14ac:dyDescent="0.25">
      <c r="A407" s="63">
        <f>'Profit &amp; Loss'!A407</f>
        <v>0</v>
      </c>
      <c r="B407" s="33">
        <f>'Profit &amp; Loss'!B407</f>
        <v>0</v>
      </c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</row>
    <row r="408" spans="1:20" ht="12.5" x14ac:dyDescent="0.25">
      <c r="A408" s="63">
        <f>'Profit &amp; Loss'!A408</f>
        <v>0</v>
      </c>
      <c r="B408" s="33">
        <f>'Profit &amp; Loss'!B408</f>
        <v>0</v>
      </c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</row>
    <row r="409" spans="1:20" ht="12.5" x14ac:dyDescent="0.25">
      <c r="A409" s="63">
        <f>'Profit &amp; Loss'!A409</f>
        <v>0</v>
      </c>
      <c r="B409" s="33">
        <f>'Profit &amp; Loss'!B409</f>
        <v>0</v>
      </c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</row>
    <row r="410" spans="1:20" ht="12.5" x14ac:dyDescent="0.25">
      <c r="A410" s="63">
        <f>'Profit &amp; Loss'!A410</f>
        <v>0</v>
      </c>
      <c r="B410" s="33">
        <f>'Profit &amp; Loss'!B410</f>
        <v>0</v>
      </c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</row>
    <row r="411" spans="1:20" ht="12.5" x14ac:dyDescent="0.25">
      <c r="A411" s="63">
        <f>'Profit &amp; Loss'!A411</f>
        <v>0</v>
      </c>
      <c r="B411" s="33">
        <f>'Profit &amp; Loss'!B411</f>
        <v>0</v>
      </c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</row>
    <row r="412" spans="1:20" ht="12.5" x14ac:dyDescent="0.25">
      <c r="A412" s="63">
        <f>'Profit &amp; Loss'!A412</f>
        <v>0</v>
      </c>
      <c r="B412" s="33">
        <f>'Profit &amp; Loss'!B412</f>
        <v>0</v>
      </c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</row>
    <row r="413" spans="1:20" ht="12.5" x14ac:dyDescent="0.25">
      <c r="A413" s="63">
        <f>'Profit &amp; Loss'!A413</f>
        <v>0</v>
      </c>
      <c r="B413" s="33">
        <f>'Profit &amp; Loss'!B413</f>
        <v>0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</row>
    <row r="414" spans="1:20" ht="12.5" x14ac:dyDescent="0.25">
      <c r="A414" s="63">
        <f>'Profit &amp; Loss'!A414</f>
        <v>0</v>
      </c>
      <c r="B414" s="33">
        <f>'Profit &amp; Loss'!B414</f>
        <v>0</v>
      </c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</row>
    <row r="415" spans="1:20" ht="12.5" x14ac:dyDescent="0.25">
      <c r="A415" s="63">
        <f>'Profit &amp; Loss'!A415</f>
        <v>0</v>
      </c>
      <c r="B415" s="33">
        <f>'Profit &amp; Loss'!B415</f>
        <v>0</v>
      </c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</row>
    <row r="416" spans="1:20" ht="12.5" x14ac:dyDescent="0.25">
      <c r="A416" s="63">
        <f>'Profit &amp; Loss'!A416</f>
        <v>0</v>
      </c>
      <c r="B416" s="33">
        <f>'Profit &amp; Loss'!B416</f>
        <v>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</row>
    <row r="417" spans="1:20" ht="12.5" x14ac:dyDescent="0.25">
      <c r="A417" s="63">
        <f>'Profit &amp; Loss'!A417</f>
        <v>0</v>
      </c>
      <c r="B417" s="33">
        <f>'Profit &amp; Loss'!B417</f>
        <v>0</v>
      </c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</row>
    <row r="418" spans="1:20" ht="12.5" x14ac:dyDescent="0.25">
      <c r="A418" s="63">
        <f>'Profit &amp; Loss'!A418</f>
        <v>0</v>
      </c>
      <c r="B418" s="33">
        <f>'Profit &amp; Loss'!B418</f>
        <v>0</v>
      </c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</row>
    <row r="419" spans="1:20" ht="12.5" x14ac:dyDescent="0.25">
      <c r="A419" s="63">
        <f>'Profit &amp; Loss'!A419</f>
        <v>0</v>
      </c>
      <c r="B419" s="33">
        <f>'Profit &amp; Loss'!B419</f>
        <v>0</v>
      </c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</row>
    <row r="420" spans="1:20" ht="12.5" x14ac:dyDescent="0.25">
      <c r="A420" s="63">
        <f>'Profit &amp; Loss'!A420</f>
        <v>0</v>
      </c>
      <c r="B420" s="33">
        <f>'Profit &amp; Loss'!B420</f>
        <v>0</v>
      </c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</row>
    <row r="421" spans="1:20" ht="12.5" x14ac:dyDescent="0.25">
      <c r="A421" s="63">
        <f>'Profit &amp; Loss'!A421</f>
        <v>0</v>
      </c>
      <c r="B421" s="33">
        <f>'Profit &amp; Loss'!B421</f>
        <v>0</v>
      </c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</row>
    <row r="422" spans="1:20" ht="12.5" x14ac:dyDescent="0.25">
      <c r="A422" s="63">
        <f>'Profit &amp; Loss'!A422</f>
        <v>0</v>
      </c>
      <c r="B422" s="33">
        <f>'Profit &amp; Loss'!B422</f>
        <v>0</v>
      </c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</row>
    <row r="423" spans="1:20" ht="12.5" x14ac:dyDescent="0.25">
      <c r="A423" s="63">
        <f>'Profit &amp; Loss'!A423</f>
        <v>0</v>
      </c>
      <c r="B423" s="33">
        <f>'Profit &amp; Loss'!B423</f>
        <v>0</v>
      </c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</row>
    <row r="424" spans="1:20" ht="12.5" x14ac:dyDescent="0.25">
      <c r="A424" s="63">
        <f>'Profit &amp; Loss'!A424</f>
        <v>0</v>
      </c>
      <c r="B424" s="33">
        <f>'Profit &amp; Loss'!B424</f>
        <v>0</v>
      </c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</row>
    <row r="425" spans="1:20" ht="12.5" x14ac:dyDescent="0.25">
      <c r="A425" s="63">
        <f>'Profit &amp; Loss'!A425</f>
        <v>0</v>
      </c>
      <c r="B425" s="33">
        <f>'Profit &amp; Loss'!B425</f>
        <v>0</v>
      </c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</row>
    <row r="426" spans="1:20" ht="12.5" x14ac:dyDescent="0.25">
      <c r="A426" s="63">
        <f>'Profit &amp; Loss'!A426</f>
        <v>0</v>
      </c>
      <c r="B426" s="33">
        <f>'Profit &amp; Loss'!B426</f>
        <v>0</v>
      </c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</row>
    <row r="427" spans="1:20" ht="12.5" x14ac:dyDescent="0.25">
      <c r="A427" s="63">
        <f>'Profit &amp; Loss'!A427</f>
        <v>0</v>
      </c>
      <c r="B427" s="33">
        <f>'Profit &amp; Loss'!B427</f>
        <v>0</v>
      </c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</row>
    <row r="428" spans="1:20" ht="12.5" x14ac:dyDescent="0.25">
      <c r="A428" s="63">
        <f>'Profit &amp; Loss'!A428</f>
        <v>0</v>
      </c>
      <c r="B428" s="33">
        <f>'Profit &amp; Loss'!B428</f>
        <v>0</v>
      </c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</row>
    <row r="429" spans="1:20" ht="12.5" x14ac:dyDescent="0.25">
      <c r="A429" s="63">
        <f>'Profit &amp; Loss'!A429</f>
        <v>0</v>
      </c>
      <c r="B429" s="33">
        <f>'Profit &amp; Loss'!B429</f>
        <v>0</v>
      </c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</row>
    <row r="430" spans="1:20" ht="12.5" x14ac:dyDescent="0.25">
      <c r="A430" s="63">
        <f>'Profit &amp; Loss'!A430</f>
        <v>0</v>
      </c>
      <c r="B430" s="33">
        <f>'Profit &amp; Loss'!B430</f>
        <v>0</v>
      </c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</row>
    <row r="431" spans="1:20" ht="12.5" x14ac:dyDescent="0.25">
      <c r="A431" s="63">
        <f>'Profit &amp; Loss'!A431</f>
        <v>0</v>
      </c>
      <c r="B431" s="33">
        <f>'Profit &amp; Loss'!B431</f>
        <v>0</v>
      </c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</row>
    <row r="432" spans="1:20" ht="12.5" x14ac:dyDescent="0.25">
      <c r="A432" s="63">
        <f>'Profit &amp; Loss'!A432</f>
        <v>0</v>
      </c>
      <c r="B432" s="33">
        <f>'Profit &amp; Loss'!B432</f>
        <v>0</v>
      </c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</row>
    <row r="433" spans="1:20" ht="12.5" x14ac:dyDescent="0.25">
      <c r="A433" s="63">
        <f>'Profit &amp; Loss'!A433</f>
        <v>0</v>
      </c>
      <c r="B433" s="33">
        <f>'Profit &amp; Loss'!B433</f>
        <v>0</v>
      </c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</row>
    <row r="434" spans="1:20" ht="12.5" x14ac:dyDescent="0.25">
      <c r="A434" s="63">
        <f>'Profit &amp; Loss'!A434</f>
        <v>0</v>
      </c>
      <c r="B434" s="33">
        <f>'Profit &amp; Loss'!B434</f>
        <v>0</v>
      </c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</row>
    <row r="435" spans="1:20" ht="12.5" x14ac:dyDescent="0.25">
      <c r="A435" s="63">
        <f>'Profit &amp; Loss'!A435</f>
        <v>0</v>
      </c>
      <c r="B435" s="33">
        <f>'Profit &amp; Loss'!B435</f>
        <v>0</v>
      </c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</row>
    <row r="436" spans="1:20" ht="12.5" x14ac:dyDescent="0.25">
      <c r="A436" s="63">
        <f>'Profit &amp; Loss'!A436</f>
        <v>0</v>
      </c>
      <c r="B436" s="33">
        <f>'Profit &amp; Loss'!B436</f>
        <v>0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</row>
    <row r="437" spans="1:20" ht="12.5" x14ac:dyDescent="0.25">
      <c r="A437" s="63">
        <f>'Profit &amp; Loss'!A437</f>
        <v>0</v>
      </c>
      <c r="B437" s="33">
        <f>'Profit &amp; Loss'!B437</f>
        <v>0</v>
      </c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</row>
    <row r="438" spans="1:20" ht="12.5" x14ac:dyDescent="0.25">
      <c r="A438" s="63">
        <f>'Profit &amp; Loss'!A438</f>
        <v>0</v>
      </c>
      <c r="B438" s="33">
        <f>'Profit &amp; Loss'!B438</f>
        <v>0</v>
      </c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</row>
    <row r="439" spans="1:20" ht="12.5" x14ac:dyDescent="0.25">
      <c r="A439" s="63">
        <f>'Profit &amp; Loss'!A439</f>
        <v>0</v>
      </c>
      <c r="B439" s="33">
        <f>'Profit &amp; Loss'!B439</f>
        <v>0</v>
      </c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</row>
    <row r="440" spans="1:20" ht="12.5" x14ac:dyDescent="0.25">
      <c r="A440" s="63">
        <f>'Profit &amp; Loss'!A440</f>
        <v>0</v>
      </c>
      <c r="B440" s="33">
        <f>'Profit &amp; Loss'!B440</f>
        <v>0</v>
      </c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</row>
    <row r="441" spans="1:20" ht="12.5" x14ac:dyDescent="0.25">
      <c r="A441" s="63">
        <f>'Profit &amp; Loss'!A441</f>
        <v>0</v>
      </c>
      <c r="B441" s="33">
        <f>'Profit &amp; Loss'!B441</f>
        <v>0</v>
      </c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</row>
    <row r="442" spans="1:20" ht="12.5" x14ac:dyDescent="0.25">
      <c r="A442" s="63">
        <f>'Profit &amp; Loss'!A442</f>
        <v>0</v>
      </c>
      <c r="B442" s="33">
        <f>'Profit &amp; Loss'!B442</f>
        <v>0</v>
      </c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</row>
    <row r="443" spans="1:20" ht="12.5" x14ac:dyDescent="0.25">
      <c r="A443" s="63">
        <f>'Profit &amp; Loss'!A443</f>
        <v>0</v>
      </c>
      <c r="B443" s="33">
        <f>'Profit &amp; Loss'!B443</f>
        <v>0</v>
      </c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</row>
    <row r="444" spans="1:20" ht="12.5" x14ac:dyDescent="0.25">
      <c r="A444" s="63">
        <f>'Profit &amp; Loss'!A444</f>
        <v>0</v>
      </c>
      <c r="B444" s="33">
        <f>'Profit &amp; Loss'!B444</f>
        <v>0</v>
      </c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</row>
    <row r="445" spans="1:20" ht="12.5" x14ac:dyDescent="0.25">
      <c r="A445" s="63">
        <f>'Profit &amp; Loss'!A445</f>
        <v>0</v>
      </c>
      <c r="B445" s="33">
        <f>'Profit &amp; Loss'!B445</f>
        <v>0</v>
      </c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</row>
    <row r="446" spans="1:20" ht="12.5" x14ac:dyDescent="0.25">
      <c r="A446" s="63">
        <f>'Profit &amp; Loss'!A446</f>
        <v>0</v>
      </c>
      <c r="B446" s="33">
        <f>'Profit &amp; Loss'!B446</f>
        <v>0</v>
      </c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</row>
    <row r="447" spans="1:20" ht="12.5" x14ac:dyDescent="0.25">
      <c r="A447" s="63">
        <f>'Profit &amp; Loss'!A447</f>
        <v>0</v>
      </c>
      <c r="B447" s="33">
        <f>'Profit &amp; Loss'!B447</f>
        <v>0</v>
      </c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</row>
    <row r="448" spans="1:20" ht="12.5" x14ac:dyDescent="0.25">
      <c r="A448" s="63">
        <f>'Profit &amp; Loss'!A448</f>
        <v>0</v>
      </c>
      <c r="B448" s="33">
        <f>'Profit &amp; Loss'!B448</f>
        <v>0</v>
      </c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</row>
    <row r="449" spans="1:20" ht="12.5" x14ac:dyDescent="0.25">
      <c r="A449" s="63">
        <f>'Profit &amp; Loss'!A449</f>
        <v>0</v>
      </c>
      <c r="B449" s="33">
        <f>'Profit &amp; Loss'!B449</f>
        <v>0</v>
      </c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</row>
    <row r="450" spans="1:20" ht="12.5" x14ac:dyDescent="0.25">
      <c r="A450" s="63">
        <f>'Profit &amp; Loss'!A450</f>
        <v>0</v>
      </c>
      <c r="B450" s="33">
        <f>'Profit &amp; Loss'!B450</f>
        <v>0</v>
      </c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</row>
    <row r="451" spans="1:20" ht="12.5" x14ac:dyDescent="0.25">
      <c r="A451" s="63">
        <f>'Profit &amp; Loss'!A451</f>
        <v>0</v>
      </c>
      <c r="B451" s="33">
        <f>'Profit &amp; Loss'!B451</f>
        <v>0</v>
      </c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</row>
    <row r="452" spans="1:20" ht="12.5" x14ac:dyDescent="0.25">
      <c r="A452" s="63">
        <f>'Profit &amp; Loss'!A452</f>
        <v>0</v>
      </c>
      <c r="B452" s="33">
        <f>'Profit &amp; Loss'!B452</f>
        <v>0</v>
      </c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</row>
    <row r="453" spans="1:20" ht="12.5" x14ac:dyDescent="0.25">
      <c r="A453" s="63">
        <f>'Profit &amp; Loss'!A453</f>
        <v>0</v>
      </c>
      <c r="B453" s="33">
        <f>'Profit &amp; Loss'!B453</f>
        <v>0</v>
      </c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</row>
    <row r="454" spans="1:20" ht="12.5" x14ac:dyDescent="0.25">
      <c r="A454" s="63">
        <f>'Profit &amp; Loss'!A454</f>
        <v>0</v>
      </c>
      <c r="B454" s="33">
        <f>'Profit &amp; Loss'!B454</f>
        <v>0</v>
      </c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</row>
    <row r="455" spans="1:20" ht="12.5" x14ac:dyDescent="0.25">
      <c r="A455" s="63">
        <f>'Profit &amp; Loss'!A455</f>
        <v>0</v>
      </c>
      <c r="B455" s="33">
        <f>'Profit &amp; Loss'!B455</f>
        <v>0</v>
      </c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</row>
    <row r="456" spans="1:20" ht="12.5" x14ac:dyDescent="0.25">
      <c r="A456" s="63">
        <f>'Profit &amp; Loss'!A456</f>
        <v>0</v>
      </c>
      <c r="B456" s="33">
        <f>'Profit &amp; Loss'!B456</f>
        <v>0</v>
      </c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</row>
    <row r="457" spans="1:20" ht="12.5" x14ac:dyDescent="0.25">
      <c r="A457" s="63">
        <f>'Profit &amp; Loss'!A457</f>
        <v>0</v>
      </c>
      <c r="B457" s="33">
        <f>'Profit &amp; Loss'!B457</f>
        <v>0</v>
      </c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</row>
    <row r="458" spans="1:20" ht="12.5" x14ac:dyDescent="0.25">
      <c r="A458" s="63">
        <f>'Profit &amp; Loss'!A458</f>
        <v>0</v>
      </c>
      <c r="B458" s="33">
        <f>'Profit &amp; Loss'!B458</f>
        <v>0</v>
      </c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</row>
    <row r="459" spans="1:20" ht="12.5" x14ac:dyDescent="0.25">
      <c r="A459" s="63">
        <f>'Profit &amp; Loss'!A459</f>
        <v>0</v>
      </c>
      <c r="B459" s="33">
        <f>'Profit &amp; Loss'!B459</f>
        <v>0</v>
      </c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</row>
    <row r="460" spans="1:20" ht="12.5" x14ac:dyDescent="0.25">
      <c r="A460" s="63">
        <f>'Profit &amp; Loss'!A460</f>
        <v>0</v>
      </c>
      <c r="B460" s="33">
        <f>'Profit &amp; Loss'!B460</f>
        <v>0</v>
      </c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</row>
    <row r="461" spans="1:20" ht="12.5" x14ac:dyDescent="0.25">
      <c r="A461" s="63">
        <f>'Profit &amp; Loss'!A461</f>
        <v>0</v>
      </c>
      <c r="B461" s="33">
        <f>'Profit &amp; Loss'!B461</f>
        <v>0</v>
      </c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</row>
    <row r="462" spans="1:20" ht="12.5" x14ac:dyDescent="0.25">
      <c r="A462" s="63">
        <f>'Profit &amp; Loss'!A462</f>
        <v>0</v>
      </c>
      <c r="B462" s="33">
        <f>'Profit &amp; Loss'!B462</f>
        <v>0</v>
      </c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</row>
    <row r="463" spans="1:20" ht="12.5" x14ac:dyDescent="0.25">
      <c r="A463" s="63">
        <f>'Profit &amp; Loss'!A463</f>
        <v>0</v>
      </c>
      <c r="B463" s="33">
        <f>'Profit &amp; Loss'!B463</f>
        <v>0</v>
      </c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</row>
    <row r="464" spans="1:20" ht="12.5" x14ac:dyDescent="0.25">
      <c r="A464" s="63">
        <f>'Profit &amp; Loss'!A464</f>
        <v>0</v>
      </c>
      <c r="B464" s="33">
        <f>'Profit &amp; Loss'!B464</f>
        <v>0</v>
      </c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</row>
    <row r="465" spans="1:20" ht="12.5" x14ac:dyDescent="0.25">
      <c r="A465" s="63">
        <f>'Profit &amp; Loss'!A465</f>
        <v>0</v>
      </c>
      <c r="B465" s="33">
        <f>'Profit &amp; Loss'!B465</f>
        <v>0</v>
      </c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</row>
    <row r="466" spans="1:20" ht="12.5" x14ac:dyDescent="0.25">
      <c r="A466" s="63">
        <f>'Profit &amp; Loss'!A466</f>
        <v>0</v>
      </c>
      <c r="B466" s="33">
        <f>'Profit &amp; Loss'!B466</f>
        <v>0</v>
      </c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</row>
    <row r="467" spans="1:20" ht="12.5" x14ac:dyDescent="0.25">
      <c r="A467" s="63">
        <f>'Profit &amp; Loss'!A467</f>
        <v>0</v>
      </c>
      <c r="B467" s="33">
        <f>'Profit &amp; Loss'!B467</f>
        <v>0</v>
      </c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</row>
    <row r="468" spans="1:20" ht="12.5" x14ac:dyDescent="0.25">
      <c r="A468" s="63">
        <f>'Profit &amp; Loss'!A468</f>
        <v>0</v>
      </c>
      <c r="B468" s="33">
        <f>'Profit &amp; Loss'!B468</f>
        <v>0</v>
      </c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</row>
    <row r="469" spans="1:20" ht="12.5" x14ac:dyDescent="0.25">
      <c r="A469" s="63">
        <f>'Profit &amp; Loss'!A469</f>
        <v>0</v>
      </c>
      <c r="B469" s="33">
        <f>'Profit &amp; Loss'!B469</f>
        <v>0</v>
      </c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</row>
    <row r="470" spans="1:20" ht="12.5" x14ac:dyDescent="0.25">
      <c r="A470" s="63">
        <f>'Profit &amp; Loss'!A470</f>
        <v>0</v>
      </c>
      <c r="B470" s="33">
        <f>'Profit &amp; Loss'!B470</f>
        <v>0</v>
      </c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</row>
    <row r="471" spans="1:20" ht="12.5" x14ac:dyDescent="0.25">
      <c r="A471" s="63">
        <f>'Profit &amp; Loss'!A471</f>
        <v>0</v>
      </c>
      <c r="B471" s="33">
        <f>'Profit &amp; Loss'!B471</f>
        <v>0</v>
      </c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</row>
    <row r="472" spans="1:20" ht="12.5" x14ac:dyDescent="0.25">
      <c r="A472" s="63">
        <f>'Profit &amp; Loss'!A472</f>
        <v>0</v>
      </c>
      <c r="B472" s="33">
        <f>'Profit &amp; Loss'!B472</f>
        <v>0</v>
      </c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</row>
    <row r="473" spans="1:20" ht="12.5" x14ac:dyDescent="0.25">
      <c r="A473" s="63">
        <f>'Profit &amp; Loss'!A473</f>
        <v>0</v>
      </c>
      <c r="B473" s="33">
        <f>'Profit &amp; Loss'!B473</f>
        <v>0</v>
      </c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</row>
    <row r="474" spans="1:20" ht="12.5" x14ac:dyDescent="0.25">
      <c r="A474" s="63">
        <f>'Profit &amp; Loss'!A474</f>
        <v>0</v>
      </c>
      <c r="B474" s="33">
        <f>'Profit &amp; Loss'!B474</f>
        <v>0</v>
      </c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</row>
    <row r="475" spans="1:20" ht="12.5" x14ac:dyDescent="0.25">
      <c r="A475" s="63">
        <f>'Profit &amp; Loss'!A475</f>
        <v>0</v>
      </c>
      <c r="B475" s="33">
        <f>'Profit &amp; Loss'!B475</f>
        <v>0</v>
      </c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</row>
    <row r="476" spans="1:20" ht="12.5" x14ac:dyDescent="0.25">
      <c r="A476" s="63">
        <f>'Profit &amp; Loss'!A476</f>
        <v>0</v>
      </c>
      <c r="B476" s="33">
        <f>'Profit &amp; Loss'!B476</f>
        <v>0</v>
      </c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</row>
    <row r="477" spans="1:20" ht="12.5" x14ac:dyDescent="0.25">
      <c r="A477" s="63">
        <f>'Profit &amp; Loss'!A477</f>
        <v>0</v>
      </c>
      <c r="B477" s="33">
        <f>'Profit &amp; Loss'!B477</f>
        <v>0</v>
      </c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</row>
    <row r="478" spans="1:20" ht="12.5" x14ac:dyDescent="0.25">
      <c r="A478" s="63">
        <f>'Profit &amp; Loss'!A478</f>
        <v>0</v>
      </c>
      <c r="B478" s="33">
        <f>'Profit &amp; Loss'!B478</f>
        <v>0</v>
      </c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</row>
    <row r="479" spans="1:20" ht="12.5" x14ac:dyDescent="0.25">
      <c r="A479" s="63">
        <f>'Profit &amp; Loss'!A479</f>
        <v>0</v>
      </c>
      <c r="B479" s="33">
        <f>'Profit &amp; Loss'!B479</f>
        <v>0</v>
      </c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</row>
    <row r="480" spans="1:20" ht="12.5" x14ac:dyDescent="0.25">
      <c r="A480" s="63">
        <f>'Profit &amp; Loss'!A480</f>
        <v>0</v>
      </c>
      <c r="B480" s="33">
        <f>'Profit &amp; Loss'!B480</f>
        <v>0</v>
      </c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</row>
    <row r="481" spans="1:20" ht="12.5" x14ac:dyDescent="0.25">
      <c r="A481" s="63">
        <f>'Profit &amp; Loss'!A481</f>
        <v>0</v>
      </c>
      <c r="B481" s="33">
        <f>'Profit &amp; Loss'!B481</f>
        <v>0</v>
      </c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</row>
    <row r="482" spans="1:20" ht="12.5" x14ac:dyDescent="0.25">
      <c r="A482" s="63">
        <f>'Profit &amp; Loss'!A482</f>
        <v>0</v>
      </c>
      <c r="B482" s="33">
        <f>'Profit &amp; Loss'!B482</f>
        <v>0</v>
      </c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</row>
    <row r="483" spans="1:20" ht="12.5" x14ac:dyDescent="0.25">
      <c r="A483" s="63">
        <f>'Profit &amp; Loss'!A483</f>
        <v>0</v>
      </c>
      <c r="B483" s="33">
        <f>'Profit &amp; Loss'!B483</f>
        <v>0</v>
      </c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</row>
    <row r="484" spans="1:20" ht="12.5" x14ac:dyDescent="0.25">
      <c r="A484" s="63">
        <f>'Profit &amp; Loss'!A484</f>
        <v>0</v>
      </c>
      <c r="B484" s="33">
        <f>'Profit &amp; Loss'!B484</f>
        <v>0</v>
      </c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</row>
    <row r="485" spans="1:20" ht="12.5" x14ac:dyDescent="0.25">
      <c r="A485" s="63">
        <f>'Profit &amp; Loss'!A485</f>
        <v>0</v>
      </c>
      <c r="B485" s="33">
        <f>'Profit &amp; Loss'!B485</f>
        <v>0</v>
      </c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</row>
    <row r="486" spans="1:20" ht="12.5" x14ac:dyDescent="0.25">
      <c r="A486" s="63">
        <f>'Profit &amp; Loss'!A486</f>
        <v>0</v>
      </c>
      <c r="B486" s="33">
        <f>'Profit &amp; Loss'!B486</f>
        <v>0</v>
      </c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</row>
    <row r="487" spans="1:20" ht="12.5" x14ac:dyDescent="0.25">
      <c r="A487" s="63">
        <f>'Profit &amp; Loss'!A487</f>
        <v>0</v>
      </c>
      <c r="B487" s="33">
        <f>'Profit &amp; Loss'!B487</f>
        <v>0</v>
      </c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</row>
    <row r="488" spans="1:20" ht="12.5" x14ac:dyDescent="0.25">
      <c r="A488" s="63">
        <f>'Profit &amp; Loss'!A488</f>
        <v>0</v>
      </c>
      <c r="B488" s="33">
        <f>'Profit &amp; Loss'!B488</f>
        <v>0</v>
      </c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</row>
    <row r="489" spans="1:20" ht="12.5" x14ac:dyDescent="0.25">
      <c r="A489" s="63">
        <f>'Profit &amp; Loss'!A489</f>
        <v>0</v>
      </c>
      <c r="B489" s="33">
        <f>'Profit &amp; Loss'!B489</f>
        <v>0</v>
      </c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</row>
    <row r="490" spans="1:20" ht="12.5" x14ac:dyDescent="0.25">
      <c r="A490" s="63">
        <f>'Profit &amp; Loss'!A490</f>
        <v>0</v>
      </c>
      <c r="B490" s="33">
        <f>'Profit &amp; Loss'!B490</f>
        <v>0</v>
      </c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</row>
    <row r="491" spans="1:20" ht="12.5" x14ac:dyDescent="0.25">
      <c r="A491" s="63">
        <f>'Profit &amp; Loss'!A491</f>
        <v>0</v>
      </c>
      <c r="B491" s="33">
        <f>'Profit &amp; Loss'!B491</f>
        <v>0</v>
      </c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</row>
    <row r="492" spans="1:20" ht="12.5" x14ac:dyDescent="0.25">
      <c r="A492" s="63">
        <f>'Profit &amp; Loss'!A492</f>
        <v>0</v>
      </c>
      <c r="B492" s="33">
        <f>'Profit &amp; Loss'!B492</f>
        <v>0</v>
      </c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</row>
    <row r="493" spans="1:20" ht="12.5" x14ac:dyDescent="0.25">
      <c r="A493" s="63">
        <f>'Profit &amp; Loss'!A493</f>
        <v>0</v>
      </c>
      <c r="B493" s="33">
        <f>'Profit &amp; Loss'!B493</f>
        <v>0</v>
      </c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</row>
    <row r="494" spans="1:20" ht="12.5" x14ac:dyDescent="0.25">
      <c r="A494" s="63">
        <f>'Profit &amp; Loss'!A494</f>
        <v>0</v>
      </c>
      <c r="B494" s="33">
        <f>'Profit &amp; Loss'!B494</f>
        <v>0</v>
      </c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</row>
    <row r="495" spans="1:20" ht="12.5" x14ac:dyDescent="0.25">
      <c r="A495" s="63">
        <f>'Profit &amp; Loss'!A495</f>
        <v>0</v>
      </c>
      <c r="B495" s="33">
        <f>'Profit &amp; Loss'!B495</f>
        <v>0</v>
      </c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</row>
    <row r="496" spans="1:20" ht="12.5" x14ac:dyDescent="0.25">
      <c r="A496" s="63">
        <f>'Profit &amp; Loss'!A496</f>
        <v>0</v>
      </c>
      <c r="B496" s="33">
        <f>'Profit &amp; Loss'!B496</f>
        <v>0</v>
      </c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</row>
    <row r="497" spans="1:20" ht="12.5" x14ac:dyDescent="0.25">
      <c r="A497" s="63">
        <f>'Profit &amp; Loss'!A497</f>
        <v>0</v>
      </c>
      <c r="B497" s="33">
        <f>'Profit &amp; Loss'!B497</f>
        <v>0</v>
      </c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</row>
    <row r="498" spans="1:20" ht="12.5" x14ac:dyDescent="0.25">
      <c r="A498" s="63">
        <f>'Profit &amp; Loss'!A498</f>
        <v>0</v>
      </c>
      <c r="B498" s="33">
        <f>'Profit &amp; Loss'!B498</f>
        <v>0</v>
      </c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</row>
    <row r="499" spans="1:20" ht="12.5" x14ac:dyDescent="0.25">
      <c r="A499" s="63">
        <f>'Profit &amp; Loss'!A499</f>
        <v>0</v>
      </c>
      <c r="B499" s="33">
        <f>'Profit &amp; Loss'!B499</f>
        <v>0</v>
      </c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</row>
    <row r="500" spans="1:20" ht="12.5" x14ac:dyDescent="0.25">
      <c r="A500" s="63">
        <f>'Profit &amp; Loss'!A500</f>
        <v>0</v>
      </c>
      <c r="B500" s="33">
        <f>'Profit &amp; Loss'!B500</f>
        <v>0</v>
      </c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</row>
    <row r="501" spans="1:20" ht="12.5" x14ac:dyDescent="0.25">
      <c r="A501" s="63">
        <f>'Profit &amp; Loss'!A501</f>
        <v>0</v>
      </c>
      <c r="B501" s="33">
        <f>'Profit &amp; Loss'!B501</f>
        <v>0</v>
      </c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</row>
    <row r="502" spans="1:20" ht="12.5" x14ac:dyDescent="0.25">
      <c r="A502" s="63">
        <f>'Profit &amp; Loss'!A502</f>
        <v>0</v>
      </c>
      <c r="B502" s="33">
        <f>'Profit &amp; Loss'!B502</f>
        <v>0</v>
      </c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</row>
    <row r="503" spans="1:20" ht="12.5" x14ac:dyDescent="0.25">
      <c r="A503" s="63">
        <f>'Profit &amp; Loss'!A503</f>
        <v>0</v>
      </c>
      <c r="B503" s="33">
        <f>'Profit &amp; Loss'!B503</f>
        <v>0</v>
      </c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</row>
    <row r="504" spans="1:20" ht="12.5" x14ac:dyDescent="0.25">
      <c r="A504" s="63">
        <f>'Profit &amp; Loss'!A504</f>
        <v>0</v>
      </c>
      <c r="B504" s="33">
        <f>'Profit &amp; Loss'!B504</f>
        <v>0</v>
      </c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</row>
    <row r="505" spans="1:20" ht="12.5" x14ac:dyDescent="0.25">
      <c r="A505" s="63">
        <f>'Profit &amp; Loss'!A505</f>
        <v>0</v>
      </c>
      <c r="B505" s="33">
        <f>'Profit &amp; Loss'!B505</f>
        <v>0</v>
      </c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</row>
    <row r="506" spans="1:20" ht="12.5" x14ac:dyDescent="0.25">
      <c r="A506" s="63">
        <f>'Profit &amp; Loss'!A506</f>
        <v>0</v>
      </c>
      <c r="B506" s="33">
        <f>'Profit &amp; Loss'!B506</f>
        <v>0</v>
      </c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</row>
    <row r="507" spans="1:20" ht="12.5" x14ac:dyDescent="0.25">
      <c r="A507" s="63">
        <f>'Profit &amp; Loss'!A507</f>
        <v>0</v>
      </c>
      <c r="B507" s="33">
        <f>'Profit &amp; Loss'!B507</f>
        <v>0</v>
      </c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</row>
    <row r="508" spans="1:20" ht="12.5" x14ac:dyDescent="0.25">
      <c r="A508" s="63">
        <f>'Profit &amp; Loss'!A508</f>
        <v>0</v>
      </c>
      <c r="B508" s="33">
        <f>'Profit &amp; Loss'!B508</f>
        <v>0</v>
      </c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</row>
    <row r="509" spans="1:20" ht="12.5" x14ac:dyDescent="0.25">
      <c r="A509" s="63">
        <f>'Profit &amp; Loss'!A509</f>
        <v>0</v>
      </c>
      <c r="B509" s="33">
        <f>'Profit &amp; Loss'!B509</f>
        <v>0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</row>
    <row r="510" spans="1:20" ht="12.5" x14ac:dyDescent="0.25">
      <c r="A510" s="63">
        <f>'Profit &amp; Loss'!A510</f>
        <v>0</v>
      </c>
      <c r="B510" s="33">
        <f>'Profit &amp; Loss'!B510</f>
        <v>0</v>
      </c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</row>
    <row r="511" spans="1:20" ht="12.5" x14ac:dyDescent="0.25">
      <c r="A511" s="63">
        <f>'Profit &amp; Loss'!A511</f>
        <v>0</v>
      </c>
      <c r="B511" s="33">
        <f>'Profit &amp; Loss'!B511</f>
        <v>0</v>
      </c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</row>
    <row r="512" spans="1:20" ht="12.5" x14ac:dyDescent="0.25">
      <c r="A512" s="63">
        <f>'Profit &amp; Loss'!A512</f>
        <v>0</v>
      </c>
      <c r="B512" s="33">
        <f>'Profit &amp; Loss'!B512</f>
        <v>0</v>
      </c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</row>
    <row r="513" spans="1:20" ht="12.5" x14ac:dyDescent="0.25">
      <c r="A513" s="63">
        <f>'Profit &amp; Loss'!A513</f>
        <v>0</v>
      </c>
      <c r="B513" s="33">
        <f>'Profit &amp; Loss'!B513</f>
        <v>0</v>
      </c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</row>
    <row r="514" spans="1:20" ht="12.5" x14ac:dyDescent="0.25">
      <c r="A514" s="63">
        <f>'Profit &amp; Loss'!A514</f>
        <v>0</v>
      </c>
      <c r="B514" s="33">
        <f>'Profit &amp; Loss'!B514</f>
        <v>0</v>
      </c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</row>
    <row r="515" spans="1:20" ht="12.5" x14ac:dyDescent="0.25">
      <c r="A515" s="63">
        <f>'Profit &amp; Loss'!A515</f>
        <v>0</v>
      </c>
      <c r="B515" s="33">
        <f>'Profit &amp; Loss'!B515</f>
        <v>0</v>
      </c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</row>
    <row r="516" spans="1:20" ht="12.5" x14ac:dyDescent="0.25">
      <c r="A516" s="63">
        <f>'Profit &amp; Loss'!A516</f>
        <v>0</v>
      </c>
      <c r="B516" s="33">
        <f>'Profit &amp; Loss'!B516</f>
        <v>0</v>
      </c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</row>
    <row r="517" spans="1:20" ht="12.5" x14ac:dyDescent="0.25">
      <c r="A517" s="63">
        <f>'Profit &amp; Loss'!A517</f>
        <v>0</v>
      </c>
      <c r="B517" s="33">
        <f>'Profit &amp; Loss'!B517</f>
        <v>0</v>
      </c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</row>
    <row r="518" spans="1:20" ht="12.5" x14ac:dyDescent="0.25">
      <c r="A518" s="63">
        <f>'Profit &amp; Loss'!A518</f>
        <v>0</v>
      </c>
      <c r="B518" s="33">
        <f>'Profit &amp; Loss'!B518</f>
        <v>0</v>
      </c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</row>
    <row r="519" spans="1:20" ht="12.5" x14ac:dyDescent="0.25">
      <c r="A519" s="63">
        <f>'Profit &amp; Loss'!A519</f>
        <v>0</v>
      </c>
      <c r="B519" s="33">
        <f>'Profit &amp; Loss'!B519</f>
        <v>0</v>
      </c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</row>
    <row r="520" spans="1:20" ht="12.5" x14ac:dyDescent="0.25">
      <c r="A520" s="63">
        <f>'Profit &amp; Loss'!A520</f>
        <v>0</v>
      </c>
      <c r="B520" s="33">
        <f>'Profit &amp; Loss'!B520</f>
        <v>0</v>
      </c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</row>
    <row r="521" spans="1:20" ht="12.5" x14ac:dyDescent="0.25">
      <c r="A521" s="63">
        <f>'Profit &amp; Loss'!A521</f>
        <v>0</v>
      </c>
      <c r="B521" s="33">
        <f>'Profit &amp; Loss'!B521</f>
        <v>0</v>
      </c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</row>
    <row r="522" spans="1:20" ht="12.5" x14ac:dyDescent="0.25">
      <c r="A522" s="63">
        <f>'Profit &amp; Loss'!A522</f>
        <v>0</v>
      </c>
      <c r="B522" s="33">
        <f>'Profit &amp; Loss'!B522</f>
        <v>0</v>
      </c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</row>
    <row r="523" spans="1:20" ht="12.5" x14ac:dyDescent="0.25">
      <c r="A523" s="63">
        <f>'Profit &amp; Loss'!A523</f>
        <v>0</v>
      </c>
      <c r="B523" s="33">
        <f>'Profit &amp; Loss'!B523</f>
        <v>0</v>
      </c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</row>
    <row r="524" spans="1:20" ht="12.5" x14ac:dyDescent="0.25">
      <c r="A524" s="63">
        <f>'Profit &amp; Loss'!A524</f>
        <v>0</v>
      </c>
      <c r="B524" s="33">
        <f>'Profit &amp; Loss'!B524</f>
        <v>0</v>
      </c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</row>
    <row r="525" spans="1:20" ht="12.5" x14ac:dyDescent="0.25">
      <c r="A525" s="63">
        <f>'Profit &amp; Loss'!A525</f>
        <v>0</v>
      </c>
      <c r="B525" s="33">
        <f>'Profit &amp; Loss'!B525</f>
        <v>0</v>
      </c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</row>
    <row r="526" spans="1:20" ht="12.5" x14ac:dyDescent="0.25">
      <c r="A526" s="63">
        <f>'Profit &amp; Loss'!A526</f>
        <v>0</v>
      </c>
      <c r="B526" s="33">
        <f>'Profit &amp; Loss'!B526</f>
        <v>0</v>
      </c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</row>
    <row r="527" spans="1:20" ht="12.5" x14ac:dyDescent="0.25">
      <c r="A527" s="63">
        <f>'Profit &amp; Loss'!A527</f>
        <v>0</v>
      </c>
      <c r="B527" s="33">
        <f>'Profit &amp; Loss'!B527</f>
        <v>0</v>
      </c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</row>
    <row r="528" spans="1:20" ht="12.5" x14ac:dyDescent="0.25">
      <c r="A528" s="63">
        <f>'Profit &amp; Loss'!A528</f>
        <v>0</v>
      </c>
      <c r="B528" s="33">
        <f>'Profit &amp; Loss'!B528</f>
        <v>0</v>
      </c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</row>
    <row r="529" spans="1:20" ht="12.5" x14ac:dyDescent="0.25">
      <c r="A529" s="63">
        <f>'Profit &amp; Loss'!A529</f>
        <v>0</v>
      </c>
      <c r="B529" s="33">
        <f>'Profit &amp; Loss'!B529</f>
        <v>0</v>
      </c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</row>
    <row r="530" spans="1:20" ht="12.5" x14ac:dyDescent="0.25">
      <c r="A530" s="63">
        <f>'Profit &amp; Loss'!A530</f>
        <v>0</v>
      </c>
      <c r="B530" s="33">
        <f>'Profit &amp; Loss'!B530</f>
        <v>0</v>
      </c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</row>
    <row r="531" spans="1:20" ht="12.5" x14ac:dyDescent="0.25">
      <c r="A531" s="63">
        <f>'Profit &amp; Loss'!A531</f>
        <v>0</v>
      </c>
      <c r="B531" s="33">
        <f>'Profit &amp; Loss'!B531</f>
        <v>0</v>
      </c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</row>
    <row r="532" spans="1:20" ht="12.5" x14ac:dyDescent="0.25">
      <c r="A532" s="63">
        <f>'Profit &amp; Loss'!A532</f>
        <v>0</v>
      </c>
      <c r="B532" s="33">
        <f>'Profit &amp; Loss'!B532</f>
        <v>0</v>
      </c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</row>
    <row r="533" spans="1:20" ht="12.5" x14ac:dyDescent="0.25">
      <c r="A533" s="63">
        <f>'Profit &amp; Loss'!A533</f>
        <v>0</v>
      </c>
      <c r="B533" s="33">
        <f>'Profit &amp; Loss'!B533</f>
        <v>0</v>
      </c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</row>
    <row r="534" spans="1:20" ht="12.5" x14ac:dyDescent="0.25">
      <c r="A534" s="63">
        <f>'Profit &amp; Loss'!A534</f>
        <v>0</v>
      </c>
      <c r="B534" s="33">
        <f>'Profit &amp; Loss'!B534</f>
        <v>0</v>
      </c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</row>
    <row r="535" spans="1:20" ht="12.5" x14ac:dyDescent="0.25">
      <c r="A535" s="63">
        <f>'Profit &amp; Loss'!A535</f>
        <v>0</v>
      </c>
      <c r="B535" s="33">
        <f>'Profit &amp; Loss'!B535</f>
        <v>0</v>
      </c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</row>
    <row r="536" spans="1:20" ht="12.5" x14ac:dyDescent="0.25">
      <c r="A536" s="63">
        <f>'Profit &amp; Loss'!A536</f>
        <v>0</v>
      </c>
      <c r="B536" s="33">
        <f>'Profit &amp; Loss'!B536</f>
        <v>0</v>
      </c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</row>
    <row r="537" spans="1:20" ht="12.5" x14ac:dyDescent="0.25">
      <c r="A537" s="63">
        <f>'Profit &amp; Loss'!A537</f>
        <v>0</v>
      </c>
      <c r="B537" s="33">
        <f>'Profit &amp; Loss'!B537</f>
        <v>0</v>
      </c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</row>
    <row r="538" spans="1:20" ht="12.5" x14ac:dyDescent="0.25">
      <c r="A538" s="63">
        <f>'Profit &amp; Loss'!A538</f>
        <v>0</v>
      </c>
      <c r="B538" s="33">
        <f>'Profit &amp; Loss'!B538</f>
        <v>0</v>
      </c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</row>
    <row r="539" spans="1:20" ht="12.5" x14ac:dyDescent="0.25">
      <c r="A539" s="63">
        <f>'Profit &amp; Loss'!A539</f>
        <v>0</v>
      </c>
      <c r="B539" s="33">
        <f>'Profit &amp; Loss'!B539</f>
        <v>0</v>
      </c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</row>
    <row r="540" spans="1:20" ht="12.5" x14ac:dyDescent="0.25">
      <c r="A540" s="63">
        <f>'Profit &amp; Loss'!A540</f>
        <v>0</v>
      </c>
      <c r="B540" s="33">
        <f>'Profit &amp; Loss'!B540</f>
        <v>0</v>
      </c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</row>
    <row r="541" spans="1:20" ht="12.5" x14ac:dyDescent="0.25">
      <c r="A541" s="63">
        <f>'Profit &amp; Loss'!A541</f>
        <v>0</v>
      </c>
      <c r="B541" s="33">
        <f>'Profit &amp; Loss'!B541</f>
        <v>0</v>
      </c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</row>
    <row r="542" spans="1:20" ht="12.5" x14ac:dyDescent="0.25">
      <c r="A542" s="63">
        <f>'Profit &amp; Loss'!A542</f>
        <v>0</v>
      </c>
      <c r="B542" s="33">
        <f>'Profit &amp; Loss'!B542</f>
        <v>0</v>
      </c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</row>
    <row r="543" spans="1:20" ht="12.5" x14ac:dyDescent="0.25">
      <c r="A543" s="63">
        <f>'Profit &amp; Loss'!A543</f>
        <v>0</v>
      </c>
      <c r="B543" s="33">
        <f>'Profit &amp; Loss'!B543</f>
        <v>0</v>
      </c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</row>
    <row r="544" spans="1:20" ht="12.5" x14ac:dyDescent="0.25">
      <c r="A544" s="63">
        <f>'Profit &amp; Loss'!A544</f>
        <v>0</v>
      </c>
      <c r="B544" s="33">
        <f>'Profit &amp; Loss'!B544</f>
        <v>0</v>
      </c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</row>
    <row r="545" spans="1:20" ht="12.5" x14ac:dyDescent="0.25">
      <c r="A545" s="63">
        <f>'Profit &amp; Loss'!A545</f>
        <v>0</v>
      </c>
      <c r="B545" s="33">
        <f>'Profit &amp; Loss'!B545</f>
        <v>0</v>
      </c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</row>
    <row r="546" spans="1:20" ht="12.5" x14ac:dyDescent="0.25">
      <c r="A546" s="63">
        <f>'Profit &amp; Loss'!A546</f>
        <v>0</v>
      </c>
      <c r="B546" s="33">
        <f>'Profit &amp; Loss'!B546</f>
        <v>0</v>
      </c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</row>
    <row r="547" spans="1:20" ht="12.5" x14ac:dyDescent="0.25">
      <c r="A547" s="63">
        <f>'Profit &amp; Loss'!A547</f>
        <v>0</v>
      </c>
      <c r="B547" s="33">
        <f>'Profit &amp; Loss'!B547</f>
        <v>0</v>
      </c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</row>
    <row r="548" spans="1:20" ht="12.5" x14ac:dyDescent="0.25">
      <c r="A548" s="63">
        <f>'Profit &amp; Loss'!A548</f>
        <v>0</v>
      </c>
      <c r="B548" s="33">
        <f>'Profit &amp; Loss'!B548</f>
        <v>0</v>
      </c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</row>
    <row r="549" spans="1:20" ht="12.5" x14ac:dyDescent="0.25">
      <c r="A549" s="63">
        <f>'Profit &amp; Loss'!A549</f>
        <v>0</v>
      </c>
      <c r="B549" s="33">
        <f>'Profit &amp; Loss'!B549</f>
        <v>0</v>
      </c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</row>
    <row r="550" spans="1:20" ht="12.5" x14ac:dyDescent="0.25">
      <c r="A550" s="63">
        <f>'Profit &amp; Loss'!A550</f>
        <v>0</v>
      </c>
      <c r="B550" s="33">
        <f>'Profit &amp; Loss'!B550</f>
        <v>0</v>
      </c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</row>
    <row r="551" spans="1:20" ht="12.5" x14ac:dyDescent="0.25">
      <c r="A551" s="63">
        <f>'Profit &amp; Loss'!A551</f>
        <v>0</v>
      </c>
      <c r="B551" s="33">
        <f>'Profit &amp; Loss'!B551</f>
        <v>0</v>
      </c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</row>
    <row r="552" spans="1:20" ht="12.5" x14ac:dyDescent="0.25">
      <c r="A552" s="63">
        <f>'Profit &amp; Loss'!A552</f>
        <v>0</v>
      </c>
      <c r="B552" s="33">
        <f>'Profit &amp; Loss'!B552</f>
        <v>0</v>
      </c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</row>
    <row r="553" spans="1:20" ht="12.5" x14ac:dyDescent="0.25">
      <c r="A553" s="63">
        <f>'Profit &amp; Loss'!A553</f>
        <v>0</v>
      </c>
      <c r="B553" s="33">
        <f>'Profit &amp; Loss'!B553</f>
        <v>0</v>
      </c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</row>
    <row r="554" spans="1:20" ht="12.5" x14ac:dyDescent="0.25">
      <c r="A554" s="63">
        <f>'Profit &amp; Loss'!A554</f>
        <v>0</v>
      </c>
      <c r="B554" s="33">
        <f>'Profit &amp; Loss'!B554</f>
        <v>0</v>
      </c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</row>
    <row r="555" spans="1:20" ht="12.5" x14ac:dyDescent="0.25">
      <c r="A555" s="63">
        <f>'Profit &amp; Loss'!A555</f>
        <v>0</v>
      </c>
      <c r="B555" s="33">
        <f>'Profit &amp; Loss'!B555</f>
        <v>0</v>
      </c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</row>
    <row r="556" spans="1:20" ht="12.5" x14ac:dyDescent="0.25">
      <c r="A556" s="63">
        <f>'Profit &amp; Loss'!A556</f>
        <v>0</v>
      </c>
      <c r="B556" s="33">
        <f>'Profit &amp; Loss'!B556</f>
        <v>0</v>
      </c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</row>
    <row r="557" spans="1:20" ht="12.5" x14ac:dyDescent="0.25">
      <c r="A557" s="63">
        <f>'Profit &amp; Loss'!A557</f>
        <v>0</v>
      </c>
      <c r="B557" s="33">
        <f>'Profit &amp; Loss'!B557</f>
        <v>0</v>
      </c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</row>
    <row r="558" spans="1:20" ht="12.5" x14ac:dyDescent="0.25">
      <c r="A558" s="63">
        <f>'Profit &amp; Loss'!A558</f>
        <v>0</v>
      </c>
      <c r="B558" s="33">
        <f>'Profit &amp; Loss'!B558</f>
        <v>0</v>
      </c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</row>
    <row r="559" spans="1:20" ht="12.5" x14ac:dyDescent="0.25">
      <c r="A559" s="63">
        <f>'Profit &amp; Loss'!A559</f>
        <v>0</v>
      </c>
      <c r="B559" s="33">
        <f>'Profit &amp; Loss'!B559</f>
        <v>0</v>
      </c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</row>
    <row r="560" spans="1:20" ht="12.5" x14ac:dyDescent="0.25">
      <c r="A560" s="63">
        <f>'Profit &amp; Loss'!A560</f>
        <v>0</v>
      </c>
      <c r="B560" s="33">
        <f>'Profit &amp; Loss'!B560</f>
        <v>0</v>
      </c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</row>
    <row r="561" spans="1:20" ht="12.5" x14ac:dyDescent="0.25">
      <c r="A561" s="63">
        <f>'Profit &amp; Loss'!A561</f>
        <v>0</v>
      </c>
      <c r="B561" s="33">
        <f>'Profit &amp; Loss'!B561</f>
        <v>0</v>
      </c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</row>
    <row r="562" spans="1:20" ht="12.5" x14ac:dyDescent="0.25">
      <c r="A562" s="63">
        <f>'Profit &amp; Loss'!A562</f>
        <v>0</v>
      </c>
      <c r="B562" s="33">
        <f>'Profit &amp; Loss'!B562</f>
        <v>0</v>
      </c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</row>
    <row r="563" spans="1:20" ht="12.5" x14ac:dyDescent="0.25">
      <c r="A563" s="63">
        <f>'Profit &amp; Loss'!A563</f>
        <v>0</v>
      </c>
      <c r="B563" s="33">
        <f>'Profit &amp; Loss'!B563</f>
        <v>0</v>
      </c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</row>
    <row r="564" spans="1:20" ht="12.5" x14ac:dyDescent="0.25">
      <c r="A564" s="63">
        <f>'Profit &amp; Loss'!A564</f>
        <v>0</v>
      </c>
      <c r="B564" s="33">
        <f>'Profit &amp; Loss'!B564</f>
        <v>0</v>
      </c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</row>
    <row r="565" spans="1:20" ht="12.5" x14ac:dyDescent="0.25">
      <c r="A565" s="63">
        <f>'Profit &amp; Loss'!A565</f>
        <v>0</v>
      </c>
      <c r="B565" s="33">
        <f>'Profit &amp; Loss'!B565</f>
        <v>0</v>
      </c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</row>
    <row r="566" spans="1:20" ht="12.5" x14ac:dyDescent="0.25">
      <c r="A566" s="63">
        <f>'Profit &amp; Loss'!A566</f>
        <v>0</v>
      </c>
      <c r="B566" s="33">
        <f>'Profit &amp; Loss'!B566</f>
        <v>0</v>
      </c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</row>
    <row r="567" spans="1:20" ht="12.5" x14ac:dyDescent="0.25">
      <c r="A567" s="63">
        <f>'Profit &amp; Loss'!A567</f>
        <v>0</v>
      </c>
      <c r="B567" s="33">
        <f>'Profit &amp; Loss'!B567</f>
        <v>0</v>
      </c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</row>
    <row r="568" spans="1:20" ht="12.5" x14ac:dyDescent="0.25">
      <c r="A568" s="63">
        <f>'Profit &amp; Loss'!A568</f>
        <v>0</v>
      </c>
      <c r="B568" s="33">
        <f>'Profit &amp; Loss'!B568</f>
        <v>0</v>
      </c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</row>
    <row r="569" spans="1:20" ht="12.5" x14ac:dyDescent="0.25">
      <c r="A569" s="63">
        <f>'Profit &amp; Loss'!A569</f>
        <v>0</v>
      </c>
      <c r="B569" s="33">
        <f>'Profit &amp; Loss'!B569</f>
        <v>0</v>
      </c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</row>
    <row r="570" spans="1:20" ht="12.5" x14ac:dyDescent="0.25">
      <c r="A570" s="63">
        <f>'Profit &amp; Loss'!A570</f>
        <v>0</v>
      </c>
      <c r="B570" s="33">
        <f>'Profit &amp; Loss'!B570</f>
        <v>0</v>
      </c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</row>
    <row r="571" spans="1:20" ht="12.5" x14ac:dyDescent="0.25">
      <c r="A571" s="63">
        <f>'Profit &amp; Loss'!A571</f>
        <v>0</v>
      </c>
      <c r="B571" s="33">
        <f>'Profit &amp; Loss'!B571</f>
        <v>0</v>
      </c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</row>
    <row r="572" spans="1:20" ht="12.5" x14ac:dyDescent="0.25">
      <c r="A572" s="63">
        <f>'Profit &amp; Loss'!A572</f>
        <v>0</v>
      </c>
      <c r="B572" s="33">
        <f>'Profit &amp; Loss'!B572</f>
        <v>0</v>
      </c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</row>
    <row r="573" spans="1:20" ht="12.5" x14ac:dyDescent="0.25">
      <c r="A573" s="63">
        <f>'Profit &amp; Loss'!A573</f>
        <v>0</v>
      </c>
      <c r="B573" s="33">
        <f>'Profit &amp; Loss'!B573</f>
        <v>0</v>
      </c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</row>
    <row r="574" spans="1:20" ht="12.5" x14ac:dyDescent="0.25">
      <c r="A574" s="63">
        <f>'Profit &amp; Loss'!A574</f>
        <v>0</v>
      </c>
      <c r="B574" s="33">
        <f>'Profit &amp; Loss'!B574</f>
        <v>0</v>
      </c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</row>
    <row r="575" spans="1:20" ht="12.5" x14ac:dyDescent="0.25">
      <c r="A575" s="63">
        <f>'Profit &amp; Loss'!A575</f>
        <v>0</v>
      </c>
      <c r="B575" s="33">
        <f>'Profit &amp; Loss'!B575</f>
        <v>0</v>
      </c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</row>
    <row r="576" spans="1:20" ht="12.5" x14ac:dyDescent="0.25">
      <c r="A576" s="63">
        <f>'Profit &amp; Loss'!A576</f>
        <v>0</v>
      </c>
      <c r="B576" s="33">
        <f>'Profit &amp; Loss'!B576</f>
        <v>0</v>
      </c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</row>
    <row r="577" spans="1:20" ht="12.5" x14ac:dyDescent="0.25">
      <c r="A577" s="63">
        <f>'Profit &amp; Loss'!A577</f>
        <v>0</v>
      </c>
      <c r="B577" s="33">
        <f>'Profit &amp; Loss'!B577</f>
        <v>0</v>
      </c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</row>
    <row r="578" spans="1:20" ht="12.5" x14ac:dyDescent="0.25">
      <c r="A578" s="63">
        <f>'Profit &amp; Loss'!A578</f>
        <v>0</v>
      </c>
      <c r="B578" s="33">
        <f>'Profit &amp; Loss'!B578</f>
        <v>0</v>
      </c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</row>
    <row r="579" spans="1:20" ht="12.5" x14ac:dyDescent="0.25">
      <c r="A579" s="63">
        <f>'Profit &amp; Loss'!A579</f>
        <v>0</v>
      </c>
      <c r="B579" s="33">
        <f>'Profit &amp; Loss'!B579</f>
        <v>0</v>
      </c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</row>
    <row r="580" spans="1:20" ht="12.5" x14ac:dyDescent="0.25">
      <c r="A580" s="63">
        <f>'Profit &amp; Loss'!A580</f>
        <v>0</v>
      </c>
      <c r="B580" s="33">
        <f>'Profit &amp; Loss'!B580</f>
        <v>0</v>
      </c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</row>
    <row r="581" spans="1:20" ht="12.5" x14ac:dyDescent="0.25">
      <c r="A581" s="63">
        <f>'Profit &amp; Loss'!A581</f>
        <v>0</v>
      </c>
      <c r="B581" s="33">
        <f>'Profit &amp; Loss'!B581</f>
        <v>0</v>
      </c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</row>
    <row r="582" spans="1:20" ht="12.5" x14ac:dyDescent="0.25">
      <c r="A582" s="63">
        <f>'Profit &amp; Loss'!A582</f>
        <v>0</v>
      </c>
      <c r="B582" s="33">
        <f>'Profit &amp; Loss'!B582</f>
        <v>0</v>
      </c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</row>
    <row r="583" spans="1:20" ht="12.5" x14ac:dyDescent="0.25">
      <c r="A583" s="63">
        <f>'Profit &amp; Loss'!A583</f>
        <v>0</v>
      </c>
      <c r="B583" s="33">
        <f>'Profit &amp; Loss'!B583</f>
        <v>0</v>
      </c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</row>
    <row r="584" spans="1:20" ht="12.5" x14ac:dyDescent="0.25">
      <c r="A584" s="63">
        <f>'Profit &amp; Loss'!A584</f>
        <v>0</v>
      </c>
      <c r="B584" s="33">
        <f>'Profit &amp; Loss'!B584</f>
        <v>0</v>
      </c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</row>
    <row r="585" spans="1:20" ht="12.5" x14ac:dyDescent="0.25">
      <c r="A585" s="63">
        <f>'Profit &amp; Loss'!A585</f>
        <v>0</v>
      </c>
      <c r="B585" s="33">
        <f>'Profit &amp; Loss'!B585</f>
        <v>0</v>
      </c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</row>
    <row r="586" spans="1:20" ht="12.5" x14ac:dyDescent="0.25">
      <c r="A586" s="63">
        <f>'Profit &amp; Loss'!A586</f>
        <v>0</v>
      </c>
      <c r="B586" s="33">
        <f>'Profit &amp; Loss'!B586</f>
        <v>0</v>
      </c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</row>
    <row r="587" spans="1:20" ht="12.5" x14ac:dyDescent="0.25">
      <c r="A587" s="63">
        <f>'Profit &amp; Loss'!A587</f>
        <v>0</v>
      </c>
      <c r="B587" s="33">
        <f>'Profit &amp; Loss'!B587</f>
        <v>0</v>
      </c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</row>
    <row r="588" spans="1:20" ht="12.5" x14ac:dyDescent="0.25">
      <c r="A588" s="63">
        <f>'Profit &amp; Loss'!A588</f>
        <v>0</v>
      </c>
      <c r="B588" s="33">
        <f>'Profit &amp; Loss'!B588</f>
        <v>0</v>
      </c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</row>
    <row r="589" spans="1:20" ht="12.5" x14ac:dyDescent="0.25">
      <c r="A589" s="63">
        <f>'Profit &amp; Loss'!A589</f>
        <v>0</v>
      </c>
      <c r="B589" s="33">
        <f>'Profit &amp; Loss'!B589</f>
        <v>0</v>
      </c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</row>
    <row r="590" spans="1:20" ht="12.5" x14ac:dyDescent="0.25">
      <c r="A590" s="63">
        <f>'Profit &amp; Loss'!A590</f>
        <v>0</v>
      </c>
      <c r="B590" s="33">
        <f>'Profit &amp; Loss'!B590</f>
        <v>0</v>
      </c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</row>
    <row r="591" spans="1:20" ht="12.5" x14ac:dyDescent="0.25">
      <c r="A591" s="63">
        <f>'Profit &amp; Loss'!A591</f>
        <v>0</v>
      </c>
      <c r="B591" s="33">
        <f>'Profit &amp; Loss'!B591</f>
        <v>0</v>
      </c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</row>
    <row r="592" spans="1:20" ht="12.5" x14ac:dyDescent="0.25">
      <c r="A592" s="63">
        <f>'Profit &amp; Loss'!A592</f>
        <v>0</v>
      </c>
      <c r="B592" s="33">
        <f>'Profit &amp; Loss'!B592</f>
        <v>0</v>
      </c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</row>
    <row r="593" spans="1:20" ht="12.5" x14ac:dyDescent="0.25">
      <c r="A593" s="63">
        <f>'Profit &amp; Loss'!A593</f>
        <v>0</v>
      </c>
      <c r="B593" s="33">
        <f>'Profit &amp; Loss'!B593</f>
        <v>0</v>
      </c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</row>
    <row r="594" spans="1:20" ht="12.5" x14ac:dyDescent="0.25">
      <c r="A594" s="63">
        <f>'Profit &amp; Loss'!A594</f>
        <v>0</v>
      </c>
      <c r="B594" s="33">
        <f>'Profit &amp; Loss'!B594</f>
        <v>0</v>
      </c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</row>
    <row r="595" spans="1:20" ht="12.5" x14ac:dyDescent="0.25">
      <c r="A595" s="63">
        <f>'Profit &amp; Loss'!A595</f>
        <v>0</v>
      </c>
      <c r="B595" s="33">
        <f>'Profit &amp; Loss'!B595</f>
        <v>0</v>
      </c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</row>
    <row r="596" spans="1:20" ht="12.5" x14ac:dyDescent="0.25">
      <c r="A596" s="63">
        <f>'Profit &amp; Loss'!A596</f>
        <v>0</v>
      </c>
      <c r="B596" s="33">
        <f>'Profit &amp; Loss'!B596</f>
        <v>0</v>
      </c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</row>
    <row r="597" spans="1:20" ht="12.5" x14ac:dyDescent="0.25">
      <c r="A597" s="63">
        <f>'Profit &amp; Loss'!A597</f>
        <v>0</v>
      </c>
      <c r="B597" s="33">
        <f>'Profit &amp; Loss'!B597</f>
        <v>0</v>
      </c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</row>
    <row r="598" spans="1:20" ht="12.5" x14ac:dyDescent="0.25">
      <c r="A598" s="63">
        <f>'Profit &amp; Loss'!A598</f>
        <v>0</v>
      </c>
      <c r="B598" s="33">
        <f>'Profit &amp; Loss'!B598</f>
        <v>0</v>
      </c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</row>
    <row r="599" spans="1:20" ht="12.5" x14ac:dyDescent="0.25">
      <c r="A599" s="63">
        <f>'Profit &amp; Loss'!A599</f>
        <v>0</v>
      </c>
      <c r="B599" s="33">
        <f>'Profit &amp; Loss'!B599</f>
        <v>0</v>
      </c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</row>
    <row r="600" spans="1:20" ht="12.5" x14ac:dyDescent="0.25">
      <c r="A600" s="63">
        <f>'Profit &amp; Loss'!A600</f>
        <v>0</v>
      </c>
      <c r="B600" s="33">
        <f>'Profit &amp; Loss'!B600</f>
        <v>0</v>
      </c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</row>
    <row r="601" spans="1:20" ht="12.5" x14ac:dyDescent="0.25">
      <c r="A601" s="63">
        <f>'Profit &amp; Loss'!A601</f>
        <v>0</v>
      </c>
      <c r="B601" s="33">
        <f>'Profit &amp; Loss'!B601</f>
        <v>0</v>
      </c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</row>
    <row r="602" spans="1:20" ht="12.5" x14ac:dyDescent="0.25">
      <c r="A602" s="63">
        <f>'Profit &amp; Loss'!A602</f>
        <v>0</v>
      </c>
      <c r="B602" s="33">
        <f>'Profit &amp; Loss'!B602</f>
        <v>0</v>
      </c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</row>
    <row r="603" spans="1:20" ht="12.5" x14ac:dyDescent="0.25">
      <c r="A603" s="63">
        <f>'Profit &amp; Loss'!A603</f>
        <v>0</v>
      </c>
      <c r="B603" s="33">
        <f>'Profit &amp; Loss'!B603</f>
        <v>0</v>
      </c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</row>
    <row r="604" spans="1:20" ht="12.5" x14ac:dyDescent="0.25">
      <c r="A604" s="63">
        <f>'Profit &amp; Loss'!A604</f>
        <v>0</v>
      </c>
      <c r="B604" s="33">
        <f>'Profit &amp; Loss'!B604</f>
        <v>0</v>
      </c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</row>
    <row r="605" spans="1:20" ht="12.5" x14ac:dyDescent="0.25">
      <c r="A605" s="63">
        <f>'Profit &amp; Loss'!A605</f>
        <v>0</v>
      </c>
      <c r="B605" s="33">
        <f>'Profit &amp; Loss'!B605</f>
        <v>0</v>
      </c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</row>
    <row r="606" spans="1:20" ht="12.5" x14ac:dyDescent="0.25">
      <c r="A606" s="63">
        <f>'Profit &amp; Loss'!A606</f>
        <v>0</v>
      </c>
      <c r="B606" s="33">
        <f>'Profit &amp; Loss'!B606</f>
        <v>0</v>
      </c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</row>
    <row r="607" spans="1:20" ht="12.5" x14ac:dyDescent="0.25">
      <c r="A607" s="63">
        <f>'Profit &amp; Loss'!A607</f>
        <v>0</v>
      </c>
      <c r="B607" s="33">
        <f>'Profit &amp; Loss'!B607</f>
        <v>0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</row>
    <row r="608" spans="1:20" ht="12.5" x14ac:dyDescent="0.25">
      <c r="A608" s="63">
        <f>'Profit &amp; Loss'!A608</f>
        <v>0</v>
      </c>
      <c r="B608" s="33">
        <f>'Profit &amp; Loss'!B608</f>
        <v>0</v>
      </c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</row>
    <row r="609" spans="1:20" ht="12.5" x14ac:dyDescent="0.25">
      <c r="A609" s="63">
        <f>'Profit &amp; Loss'!A609</f>
        <v>0</v>
      </c>
      <c r="B609" s="33">
        <f>'Profit &amp; Loss'!B609</f>
        <v>0</v>
      </c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</row>
    <row r="610" spans="1:20" ht="12.5" x14ac:dyDescent="0.25">
      <c r="A610" s="63">
        <f>'Profit &amp; Loss'!A610</f>
        <v>0</v>
      </c>
      <c r="B610" s="33">
        <f>'Profit &amp; Loss'!B610</f>
        <v>0</v>
      </c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</row>
    <row r="611" spans="1:20" ht="12.5" x14ac:dyDescent="0.25">
      <c r="A611" s="63">
        <f>'Profit &amp; Loss'!A611</f>
        <v>0</v>
      </c>
      <c r="B611" s="33">
        <f>'Profit &amp; Loss'!B611</f>
        <v>0</v>
      </c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</row>
    <row r="612" spans="1:20" ht="12.5" x14ac:dyDescent="0.25">
      <c r="A612" s="63">
        <f>'Profit &amp; Loss'!A612</f>
        <v>0</v>
      </c>
      <c r="B612" s="33">
        <f>'Profit &amp; Loss'!B612</f>
        <v>0</v>
      </c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</row>
    <row r="613" spans="1:20" ht="12.5" x14ac:dyDescent="0.25">
      <c r="A613" s="63">
        <f>'Profit &amp; Loss'!A613</f>
        <v>0</v>
      </c>
      <c r="B613" s="33">
        <f>'Profit &amp; Loss'!B613</f>
        <v>0</v>
      </c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</row>
    <row r="614" spans="1:20" ht="12.5" x14ac:dyDescent="0.25">
      <c r="A614" s="63">
        <f>'Profit &amp; Loss'!A614</f>
        <v>0</v>
      </c>
      <c r="B614" s="33">
        <f>'Profit &amp; Loss'!B614</f>
        <v>0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</row>
    <row r="615" spans="1:20" ht="12.5" x14ac:dyDescent="0.25">
      <c r="A615" s="63">
        <f>'Profit &amp; Loss'!A615</f>
        <v>0</v>
      </c>
      <c r="B615" s="33">
        <f>'Profit &amp; Loss'!B615</f>
        <v>0</v>
      </c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</row>
    <row r="616" spans="1:20" ht="12.5" x14ac:dyDescent="0.25">
      <c r="A616" s="63">
        <f>'Profit &amp; Loss'!A616</f>
        <v>0</v>
      </c>
      <c r="B616" s="33">
        <f>'Profit &amp; Loss'!B616</f>
        <v>0</v>
      </c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</row>
    <row r="617" spans="1:20" ht="12.5" x14ac:dyDescent="0.25">
      <c r="A617" s="63">
        <f>'Profit &amp; Loss'!A617</f>
        <v>0</v>
      </c>
      <c r="B617" s="33">
        <f>'Profit &amp; Loss'!B617</f>
        <v>0</v>
      </c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</row>
    <row r="618" spans="1:20" ht="12.5" x14ac:dyDescent="0.25">
      <c r="A618" s="63">
        <f>'Profit &amp; Loss'!A618</f>
        <v>0</v>
      </c>
      <c r="B618" s="33">
        <f>'Profit &amp; Loss'!B618</f>
        <v>0</v>
      </c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</row>
    <row r="619" spans="1:20" ht="12.5" x14ac:dyDescent="0.25">
      <c r="A619" s="63">
        <f>'Profit &amp; Loss'!A619</f>
        <v>0</v>
      </c>
      <c r="B619" s="33">
        <f>'Profit &amp; Loss'!B619</f>
        <v>0</v>
      </c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</row>
    <row r="620" spans="1:20" ht="12.5" x14ac:dyDescent="0.25">
      <c r="A620" s="63">
        <f>'Profit &amp; Loss'!A620</f>
        <v>0</v>
      </c>
      <c r="B620" s="33">
        <f>'Profit &amp; Loss'!B620</f>
        <v>0</v>
      </c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</row>
    <row r="621" spans="1:20" ht="12.5" x14ac:dyDescent="0.25">
      <c r="A621" s="63">
        <f>'Profit &amp; Loss'!A621</f>
        <v>0</v>
      </c>
      <c r="B621" s="33">
        <f>'Profit &amp; Loss'!B621</f>
        <v>0</v>
      </c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</row>
    <row r="622" spans="1:20" ht="12.5" x14ac:dyDescent="0.25">
      <c r="A622" s="63">
        <f>'Profit &amp; Loss'!A622</f>
        <v>0</v>
      </c>
      <c r="B622" s="33">
        <f>'Profit &amp; Loss'!B622</f>
        <v>0</v>
      </c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</row>
    <row r="623" spans="1:20" ht="12.5" x14ac:dyDescent="0.25">
      <c r="A623" s="63">
        <f>'Profit &amp; Loss'!A623</f>
        <v>0</v>
      </c>
      <c r="B623" s="33">
        <f>'Profit &amp; Loss'!B623</f>
        <v>0</v>
      </c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</row>
    <row r="624" spans="1:20" ht="12.5" x14ac:dyDescent="0.25">
      <c r="A624" s="63">
        <f>'Profit &amp; Loss'!A624</f>
        <v>0</v>
      </c>
      <c r="B624" s="33">
        <f>'Profit &amp; Loss'!B624</f>
        <v>0</v>
      </c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</row>
    <row r="625" spans="1:20" ht="12.5" x14ac:dyDescent="0.25">
      <c r="A625" s="63">
        <f>'Profit &amp; Loss'!A625</f>
        <v>0</v>
      </c>
      <c r="B625" s="33">
        <f>'Profit &amp; Loss'!B625</f>
        <v>0</v>
      </c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</row>
    <row r="626" spans="1:20" ht="12.5" x14ac:dyDescent="0.25">
      <c r="A626" s="63">
        <f>'Profit &amp; Loss'!A626</f>
        <v>0</v>
      </c>
      <c r="B626" s="33">
        <f>'Profit &amp; Loss'!B626</f>
        <v>0</v>
      </c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</row>
    <row r="627" spans="1:20" ht="12.5" x14ac:dyDescent="0.25">
      <c r="A627" s="63">
        <f>'Profit &amp; Loss'!A627</f>
        <v>0</v>
      </c>
      <c r="B627" s="33">
        <f>'Profit &amp; Loss'!B627</f>
        <v>0</v>
      </c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</row>
    <row r="628" spans="1:20" ht="12.5" x14ac:dyDescent="0.25">
      <c r="A628" s="63">
        <f>'Profit &amp; Loss'!A628</f>
        <v>0</v>
      </c>
      <c r="B628" s="33">
        <f>'Profit &amp; Loss'!B628</f>
        <v>0</v>
      </c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</row>
    <row r="629" spans="1:20" ht="12.5" x14ac:dyDescent="0.25">
      <c r="A629" s="63">
        <f>'Profit &amp; Loss'!A629</f>
        <v>0</v>
      </c>
      <c r="B629" s="33">
        <f>'Profit &amp; Loss'!B629</f>
        <v>0</v>
      </c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</row>
    <row r="630" spans="1:20" ht="12.5" x14ac:dyDescent="0.25">
      <c r="A630" s="63">
        <f>'Profit &amp; Loss'!A630</f>
        <v>0</v>
      </c>
      <c r="B630" s="33">
        <f>'Profit &amp; Loss'!B630</f>
        <v>0</v>
      </c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</row>
    <row r="631" spans="1:20" ht="12.5" x14ac:dyDescent="0.25">
      <c r="A631" s="63">
        <f>'Profit &amp; Loss'!A631</f>
        <v>0</v>
      </c>
      <c r="B631" s="33">
        <f>'Profit &amp; Loss'!B631</f>
        <v>0</v>
      </c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</row>
    <row r="632" spans="1:20" ht="12.5" x14ac:dyDescent="0.25">
      <c r="A632" s="63">
        <f>'Profit &amp; Loss'!A632</f>
        <v>0</v>
      </c>
      <c r="B632" s="33">
        <f>'Profit &amp; Loss'!B632</f>
        <v>0</v>
      </c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</row>
    <row r="633" spans="1:20" ht="12.5" x14ac:dyDescent="0.25">
      <c r="A633" s="63">
        <f>'Profit &amp; Loss'!A633</f>
        <v>0</v>
      </c>
      <c r="B633" s="33">
        <f>'Profit &amp; Loss'!B633</f>
        <v>0</v>
      </c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</row>
    <row r="634" spans="1:20" ht="12.5" x14ac:dyDescent="0.25">
      <c r="A634" s="63">
        <f>'Profit &amp; Loss'!A634</f>
        <v>0</v>
      </c>
      <c r="B634" s="33">
        <f>'Profit &amp; Loss'!B634</f>
        <v>0</v>
      </c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</row>
    <row r="635" spans="1:20" ht="12.5" x14ac:dyDescent="0.25">
      <c r="A635" s="63">
        <f>'Profit &amp; Loss'!A635</f>
        <v>0</v>
      </c>
      <c r="B635" s="33">
        <f>'Profit &amp; Loss'!B635</f>
        <v>0</v>
      </c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</row>
    <row r="636" spans="1:20" ht="12.5" x14ac:dyDescent="0.25">
      <c r="A636" s="63">
        <f>'Profit &amp; Loss'!A636</f>
        <v>0</v>
      </c>
      <c r="B636" s="33">
        <f>'Profit &amp; Loss'!B636</f>
        <v>0</v>
      </c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</row>
    <row r="637" spans="1:20" ht="12.5" x14ac:dyDescent="0.25">
      <c r="A637" s="63">
        <f>'Profit &amp; Loss'!A637</f>
        <v>0</v>
      </c>
      <c r="B637" s="33">
        <f>'Profit &amp; Loss'!B637</f>
        <v>0</v>
      </c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</row>
    <row r="638" spans="1:20" ht="12.5" x14ac:dyDescent="0.25">
      <c r="A638" s="63">
        <f>'Profit &amp; Loss'!A638</f>
        <v>0</v>
      </c>
      <c r="B638" s="33">
        <f>'Profit &amp; Loss'!B638</f>
        <v>0</v>
      </c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</row>
    <row r="639" spans="1:20" ht="12.5" x14ac:dyDescent="0.25">
      <c r="A639" s="63">
        <f>'Profit &amp; Loss'!A639</f>
        <v>0</v>
      </c>
      <c r="B639" s="33">
        <f>'Profit &amp; Loss'!B639</f>
        <v>0</v>
      </c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</row>
    <row r="640" spans="1:20" ht="12.5" x14ac:dyDescent="0.25">
      <c r="A640" s="63">
        <f>'Profit &amp; Loss'!A640</f>
        <v>0</v>
      </c>
      <c r="B640" s="33">
        <f>'Profit &amp; Loss'!B640</f>
        <v>0</v>
      </c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</row>
    <row r="641" spans="1:20" ht="12.5" x14ac:dyDescent="0.25">
      <c r="A641" s="63">
        <f>'Profit &amp; Loss'!A641</f>
        <v>0</v>
      </c>
      <c r="B641" s="33">
        <f>'Profit &amp; Loss'!B641</f>
        <v>0</v>
      </c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</row>
    <row r="642" spans="1:20" ht="12.5" x14ac:dyDescent="0.25">
      <c r="A642" s="63">
        <f>'Profit &amp; Loss'!A642</f>
        <v>0</v>
      </c>
      <c r="B642" s="33">
        <f>'Profit &amp; Loss'!B642</f>
        <v>0</v>
      </c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</row>
    <row r="643" spans="1:20" ht="12.5" x14ac:dyDescent="0.25">
      <c r="A643" s="63">
        <f>'Profit &amp; Loss'!A643</f>
        <v>0</v>
      </c>
      <c r="B643" s="33">
        <f>'Profit &amp; Loss'!B643</f>
        <v>0</v>
      </c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</row>
    <row r="644" spans="1:20" ht="12.5" x14ac:dyDescent="0.25">
      <c r="A644" s="63">
        <f>'Profit &amp; Loss'!A644</f>
        <v>0</v>
      </c>
      <c r="B644" s="33">
        <f>'Profit &amp; Loss'!B644</f>
        <v>0</v>
      </c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</row>
    <row r="645" spans="1:20" ht="12.5" x14ac:dyDescent="0.25">
      <c r="A645" s="63">
        <f>'Profit &amp; Loss'!A645</f>
        <v>0</v>
      </c>
      <c r="B645" s="33">
        <f>'Profit &amp; Loss'!B645</f>
        <v>0</v>
      </c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</row>
    <row r="646" spans="1:20" ht="12.5" x14ac:dyDescent="0.25">
      <c r="A646" s="63">
        <f>'Profit &amp; Loss'!A646</f>
        <v>0</v>
      </c>
      <c r="B646" s="33">
        <f>'Profit &amp; Loss'!B646</f>
        <v>0</v>
      </c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</row>
    <row r="647" spans="1:20" ht="12.5" x14ac:dyDescent="0.25">
      <c r="A647" s="63">
        <f>'Profit &amp; Loss'!A647</f>
        <v>0</v>
      </c>
      <c r="B647" s="33">
        <f>'Profit &amp; Loss'!B647</f>
        <v>0</v>
      </c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</row>
    <row r="648" spans="1:20" ht="12.5" x14ac:dyDescent="0.25">
      <c r="A648" s="63">
        <f>'Profit &amp; Loss'!A648</f>
        <v>0</v>
      </c>
      <c r="B648" s="33">
        <f>'Profit &amp; Loss'!B648</f>
        <v>0</v>
      </c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</row>
    <row r="649" spans="1:20" ht="12.5" x14ac:dyDescent="0.25">
      <c r="A649" s="63">
        <f>'Profit &amp; Loss'!A649</f>
        <v>0</v>
      </c>
      <c r="B649" s="33">
        <f>'Profit &amp; Loss'!B649</f>
        <v>0</v>
      </c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</row>
    <row r="650" spans="1:20" ht="12.5" x14ac:dyDescent="0.25">
      <c r="A650" s="63">
        <f>'Profit &amp; Loss'!A650</f>
        <v>0</v>
      </c>
      <c r="B650" s="33">
        <f>'Profit &amp; Loss'!B650</f>
        <v>0</v>
      </c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</row>
    <row r="651" spans="1:20" ht="12.5" x14ac:dyDescent="0.25">
      <c r="A651" s="63">
        <f>'Profit &amp; Loss'!A651</f>
        <v>0</v>
      </c>
      <c r="B651" s="33">
        <f>'Profit &amp; Loss'!B651</f>
        <v>0</v>
      </c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</row>
    <row r="652" spans="1:20" ht="12.5" x14ac:dyDescent="0.25">
      <c r="A652" s="63">
        <f>'Profit &amp; Loss'!A652</f>
        <v>0</v>
      </c>
      <c r="B652" s="33">
        <f>'Profit &amp; Loss'!B652</f>
        <v>0</v>
      </c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</row>
    <row r="653" spans="1:20" ht="12.5" x14ac:dyDescent="0.25">
      <c r="A653" s="63">
        <f>'Profit &amp; Loss'!A653</f>
        <v>0</v>
      </c>
      <c r="B653" s="33">
        <f>'Profit &amp; Loss'!B653</f>
        <v>0</v>
      </c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</row>
    <row r="654" spans="1:20" ht="12.5" x14ac:dyDescent="0.25">
      <c r="A654" s="63">
        <f>'Profit &amp; Loss'!A654</f>
        <v>0</v>
      </c>
      <c r="B654" s="33">
        <f>'Profit &amp; Loss'!B654</f>
        <v>0</v>
      </c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</row>
    <row r="655" spans="1:20" ht="12.5" x14ac:dyDescent="0.25">
      <c r="A655" s="63">
        <f>'Profit &amp; Loss'!A655</f>
        <v>0</v>
      </c>
      <c r="B655" s="33">
        <f>'Profit &amp; Loss'!B655</f>
        <v>0</v>
      </c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</row>
    <row r="656" spans="1:20" ht="12.5" x14ac:dyDescent="0.25">
      <c r="A656" s="63">
        <f>'Profit &amp; Loss'!A656</f>
        <v>0</v>
      </c>
      <c r="B656" s="33">
        <f>'Profit &amp; Loss'!B656</f>
        <v>0</v>
      </c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</row>
    <row r="657" spans="1:20" ht="12.5" x14ac:dyDescent="0.25">
      <c r="A657" s="63">
        <f>'Profit &amp; Loss'!A657</f>
        <v>0</v>
      </c>
      <c r="B657" s="33">
        <f>'Profit &amp; Loss'!B657</f>
        <v>0</v>
      </c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</row>
    <row r="658" spans="1:20" ht="12.5" x14ac:dyDescent="0.25">
      <c r="A658" s="63">
        <f>'Profit &amp; Loss'!A658</f>
        <v>0</v>
      </c>
      <c r="B658" s="33">
        <f>'Profit &amp; Loss'!B658</f>
        <v>0</v>
      </c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</row>
    <row r="659" spans="1:20" ht="12.5" x14ac:dyDescent="0.25">
      <c r="A659" s="63">
        <f>'Profit &amp; Loss'!A659</f>
        <v>0</v>
      </c>
      <c r="B659" s="33">
        <f>'Profit &amp; Loss'!B659</f>
        <v>0</v>
      </c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</row>
    <row r="660" spans="1:20" ht="12.5" x14ac:dyDescent="0.25">
      <c r="A660" s="63">
        <f>'Profit &amp; Loss'!A660</f>
        <v>0</v>
      </c>
      <c r="B660" s="33">
        <f>'Profit &amp; Loss'!B660</f>
        <v>0</v>
      </c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</row>
    <row r="661" spans="1:20" ht="12.5" x14ac:dyDescent="0.25">
      <c r="A661" s="63">
        <f>'Profit &amp; Loss'!A661</f>
        <v>0</v>
      </c>
      <c r="B661" s="33">
        <f>'Profit &amp; Loss'!B661</f>
        <v>0</v>
      </c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</row>
    <row r="662" spans="1:20" ht="12.5" x14ac:dyDescent="0.25">
      <c r="A662" s="63">
        <f>'Profit &amp; Loss'!A662</f>
        <v>0</v>
      </c>
      <c r="B662" s="33">
        <f>'Profit &amp; Loss'!B662</f>
        <v>0</v>
      </c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</row>
    <row r="663" spans="1:20" ht="12.5" x14ac:dyDescent="0.25">
      <c r="A663" s="63">
        <f>'Profit &amp; Loss'!A663</f>
        <v>0</v>
      </c>
      <c r="B663" s="33">
        <f>'Profit &amp; Loss'!B663</f>
        <v>0</v>
      </c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</row>
    <row r="664" spans="1:20" ht="12.5" x14ac:dyDescent="0.25">
      <c r="A664" s="63">
        <f>'Profit &amp; Loss'!A664</f>
        <v>0</v>
      </c>
      <c r="B664" s="33">
        <f>'Profit &amp; Loss'!B664</f>
        <v>0</v>
      </c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</row>
    <row r="665" spans="1:20" ht="12.5" x14ac:dyDescent="0.25">
      <c r="A665" s="63">
        <f>'Profit &amp; Loss'!A665</f>
        <v>0</v>
      </c>
      <c r="B665" s="33">
        <f>'Profit &amp; Loss'!B665</f>
        <v>0</v>
      </c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</row>
    <row r="666" spans="1:20" ht="12.5" x14ac:dyDescent="0.25">
      <c r="A666" s="63">
        <f>'Profit &amp; Loss'!A666</f>
        <v>0</v>
      </c>
      <c r="B666" s="33">
        <f>'Profit &amp; Loss'!B666</f>
        <v>0</v>
      </c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</row>
    <row r="667" spans="1:20" ht="12.5" x14ac:dyDescent="0.25">
      <c r="A667" s="63">
        <f>'Profit &amp; Loss'!A667</f>
        <v>0</v>
      </c>
      <c r="B667" s="33">
        <f>'Profit &amp; Loss'!B667</f>
        <v>0</v>
      </c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</row>
    <row r="668" spans="1:20" ht="12.5" x14ac:dyDescent="0.25">
      <c r="A668" s="63">
        <f>'Profit &amp; Loss'!A668</f>
        <v>0</v>
      </c>
      <c r="B668" s="33">
        <f>'Profit &amp; Loss'!B668</f>
        <v>0</v>
      </c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</row>
    <row r="669" spans="1:20" ht="12.5" x14ac:dyDescent="0.25">
      <c r="A669" s="63">
        <f>'Profit &amp; Loss'!A669</f>
        <v>0</v>
      </c>
      <c r="B669" s="33">
        <f>'Profit &amp; Loss'!B669</f>
        <v>0</v>
      </c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</row>
    <row r="670" spans="1:20" ht="12.5" x14ac:dyDescent="0.25">
      <c r="A670" s="63">
        <f>'Profit &amp; Loss'!A670</f>
        <v>0</v>
      </c>
      <c r="B670" s="33">
        <f>'Profit &amp; Loss'!B670</f>
        <v>0</v>
      </c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</row>
    <row r="671" spans="1:20" ht="12.5" x14ac:dyDescent="0.25">
      <c r="A671" s="63">
        <f>'Profit &amp; Loss'!A671</f>
        <v>0</v>
      </c>
      <c r="B671" s="33">
        <f>'Profit &amp; Loss'!B671</f>
        <v>0</v>
      </c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</row>
    <row r="672" spans="1:20" ht="12.5" x14ac:dyDescent="0.25">
      <c r="A672" s="63">
        <f>'Profit &amp; Loss'!A672</f>
        <v>0</v>
      </c>
      <c r="B672" s="33">
        <f>'Profit &amp; Loss'!B672</f>
        <v>0</v>
      </c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</row>
    <row r="673" spans="1:20" ht="12.5" x14ac:dyDescent="0.25">
      <c r="A673" s="63">
        <f>'Profit &amp; Loss'!A673</f>
        <v>0</v>
      </c>
      <c r="B673" s="33">
        <f>'Profit &amp; Loss'!B673</f>
        <v>0</v>
      </c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</row>
    <row r="674" spans="1:20" ht="12.5" x14ac:dyDescent="0.25">
      <c r="A674" s="63">
        <f>'Profit &amp; Loss'!A674</f>
        <v>0</v>
      </c>
      <c r="B674" s="33">
        <f>'Profit &amp; Loss'!B674</f>
        <v>0</v>
      </c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</row>
    <row r="675" spans="1:20" ht="12.5" x14ac:dyDescent="0.25">
      <c r="A675" s="63">
        <f>'Profit &amp; Loss'!A675</f>
        <v>0</v>
      </c>
      <c r="B675" s="33">
        <f>'Profit &amp; Loss'!B675</f>
        <v>0</v>
      </c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</row>
    <row r="676" spans="1:20" ht="12.5" x14ac:dyDescent="0.25">
      <c r="A676" s="63">
        <f>'Profit &amp; Loss'!A676</f>
        <v>0</v>
      </c>
      <c r="B676" s="33">
        <f>'Profit &amp; Loss'!B676</f>
        <v>0</v>
      </c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</row>
    <row r="677" spans="1:20" ht="12.5" x14ac:dyDescent="0.25">
      <c r="A677" s="63">
        <f>'Profit &amp; Loss'!A677</f>
        <v>0</v>
      </c>
      <c r="B677" s="33">
        <f>'Profit &amp; Loss'!B677</f>
        <v>0</v>
      </c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</row>
    <row r="678" spans="1:20" ht="12.5" x14ac:dyDescent="0.25">
      <c r="A678" s="63">
        <f>'Profit &amp; Loss'!A678</f>
        <v>0</v>
      </c>
      <c r="B678" s="33">
        <f>'Profit &amp; Loss'!B678</f>
        <v>0</v>
      </c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</row>
    <row r="679" spans="1:20" ht="12.5" x14ac:dyDescent="0.25">
      <c r="A679" s="63">
        <f>'Profit &amp; Loss'!A679</f>
        <v>0</v>
      </c>
      <c r="B679" s="33">
        <f>'Profit &amp; Loss'!B679</f>
        <v>0</v>
      </c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</row>
    <row r="680" spans="1:20" ht="12.5" x14ac:dyDescent="0.25">
      <c r="A680" s="63">
        <f>'Profit &amp; Loss'!A680</f>
        <v>0</v>
      </c>
      <c r="B680" s="33">
        <f>'Profit &amp; Loss'!B680</f>
        <v>0</v>
      </c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</row>
    <row r="681" spans="1:20" ht="12.5" x14ac:dyDescent="0.25">
      <c r="A681" s="63">
        <f>'Profit &amp; Loss'!A681</f>
        <v>0</v>
      </c>
      <c r="B681" s="33">
        <f>'Profit &amp; Loss'!B681</f>
        <v>0</v>
      </c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</row>
    <row r="682" spans="1:20" ht="12.5" x14ac:dyDescent="0.25">
      <c r="A682" s="63">
        <f>'Profit &amp; Loss'!A682</f>
        <v>0</v>
      </c>
      <c r="B682" s="33">
        <f>'Profit &amp; Loss'!B682</f>
        <v>0</v>
      </c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</row>
    <row r="683" spans="1:20" ht="12.5" x14ac:dyDescent="0.25">
      <c r="A683" s="63">
        <f>'Profit &amp; Loss'!A683</f>
        <v>0</v>
      </c>
      <c r="B683" s="33">
        <f>'Profit &amp; Loss'!B683</f>
        <v>0</v>
      </c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</row>
    <row r="684" spans="1:20" ht="12.5" x14ac:dyDescent="0.25">
      <c r="A684" s="63">
        <f>'Profit &amp; Loss'!A684</f>
        <v>0</v>
      </c>
      <c r="B684" s="33">
        <f>'Profit &amp; Loss'!B684</f>
        <v>0</v>
      </c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</row>
    <row r="685" spans="1:20" ht="12.5" x14ac:dyDescent="0.25">
      <c r="A685" s="63">
        <f>'Profit &amp; Loss'!A685</f>
        <v>0</v>
      </c>
      <c r="B685" s="33">
        <f>'Profit &amp; Loss'!B685</f>
        <v>0</v>
      </c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</row>
    <row r="686" spans="1:20" ht="12.5" x14ac:dyDescent="0.25">
      <c r="A686" s="63">
        <f>'Profit &amp; Loss'!A686</f>
        <v>0</v>
      </c>
      <c r="B686" s="33">
        <f>'Profit &amp; Loss'!B686</f>
        <v>0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</row>
    <row r="687" spans="1:20" ht="12.5" x14ac:dyDescent="0.25">
      <c r="A687" s="63">
        <f>'Profit &amp; Loss'!A687</f>
        <v>0</v>
      </c>
      <c r="B687" s="33">
        <f>'Profit &amp; Loss'!B687</f>
        <v>0</v>
      </c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</row>
    <row r="688" spans="1:20" ht="12.5" x14ac:dyDescent="0.25">
      <c r="A688" s="63">
        <f>'Profit &amp; Loss'!A688</f>
        <v>0</v>
      </c>
      <c r="B688" s="33">
        <f>'Profit &amp; Loss'!B688</f>
        <v>0</v>
      </c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</row>
    <row r="689" spans="1:20" ht="12.5" x14ac:dyDescent="0.25">
      <c r="A689" s="63">
        <f>'Profit &amp; Loss'!A689</f>
        <v>0</v>
      </c>
      <c r="B689" s="33">
        <f>'Profit &amp; Loss'!B689</f>
        <v>0</v>
      </c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</row>
    <row r="690" spans="1:20" ht="12.5" x14ac:dyDescent="0.25">
      <c r="A690" s="63">
        <f>'Profit &amp; Loss'!A690</f>
        <v>0</v>
      </c>
      <c r="B690" s="33">
        <f>'Profit &amp; Loss'!B690</f>
        <v>0</v>
      </c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</row>
    <row r="691" spans="1:20" ht="12.5" x14ac:dyDescent="0.25">
      <c r="A691" s="63">
        <f>'Profit &amp; Loss'!A691</f>
        <v>0</v>
      </c>
      <c r="B691" s="33">
        <f>'Profit &amp; Loss'!B691</f>
        <v>0</v>
      </c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</row>
    <row r="692" spans="1:20" ht="12.5" x14ac:dyDescent="0.25">
      <c r="A692" s="63">
        <f>'Profit &amp; Loss'!A692</f>
        <v>0</v>
      </c>
      <c r="B692" s="33">
        <f>'Profit &amp; Loss'!B692</f>
        <v>0</v>
      </c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</row>
    <row r="693" spans="1:20" ht="12.5" x14ac:dyDescent="0.25">
      <c r="A693" s="63">
        <f>'Profit &amp; Loss'!A693</f>
        <v>0</v>
      </c>
      <c r="B693" s="33">
        <f>'Profit &amp; Loss'!B693</f>
        <v>0</v>
      </c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</row>
    <row r="694" spans="1:20" ht="12.5" x14ac:dyDescent="0.25">
      <c r="A694" s="63">
        <f>'Profit &amp; Loss'!A694</f>
        <v>0</v>
      </c>
      <c r="B694" s="33">
        <f>'Profit &amp; Loss'!B694</f>
        <v>0</v>
      </c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</row>
    <row r="695" spans="1:20" ht="12.5" x14ac:dyDescent="0.25">
      <c r="A695" s="63">
        <f>'Profit &amp; Loss'!A695</f>
        <v>0</v>
      </c>
      <c r="B695" s="33">
        <f>'Profit &amp; Loss'!B695</f>
        <v>0</v>
      </c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</row>
    <row r="696" spans="1:20" ht="12.5" x14ac:dyDescent="0.25">
      <c r="A696" s="63">
        <f>'Profit &amp; Loss'!A696</f>
        <v>0</v>
      </c>
      <c r="B696" s="33">
        <f>'Profit &amp; Loss'!B696</f>
        <v>0</v>
      </c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</row>
    <row r="697" spans="1:20" ht="12.5" x14ac:dyDescent="0.25">
      <c r="A697" s="63">
        <f>'Profit &amp; Loss'!A697</f>
        <v>0</v>
      </c>
      <c r="B697" s="33">
        <f>'Profit &amp; Loss'!B697</f>
        <v>0</v>
      </c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</row>
    <row r="698" spans="1:20" ht="12.5" x14ac:dyDescent="0.25">
      <c r="A698" s="63">
        <f>'Profit &amp; Loss'!A698</f>
        <v>0</v>
      </c>
      <c r="B698" s="33">
        <f>'Profit &amp; Loss'!B698</f>
        <v>0</v>
      </c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</row>
    <row r="699" spans="1:20" ht="12.5" x14ac:dyDescent="0.25">
      <c r="A699" s="63">
        <f>'Profit &amp; Loss'!A699</f>
        <v>0</v>
      </c>
      <c r="B699" s="33">
        <f>'Profit &amp; Loss'!B699</f>
        <v>0</v>
      </c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</row>
    <row r="700" spans="1:20" ht="12.5" x14ac:dyDescent="0.25">
      <c r="A700" s="63">
        <f>'Profit &amp; Loss'!A700</f>
        <v>0</v>
      </c>
      <c r="B700" s="33">
        <f>'Profit &amp; Loss'!B700</f>
        <v>0</v>
      </c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</row>
    <row r="701" spans="1:20" ht="12.5" x14ac:dyDescent="0.25">
      <c r="A701" s="63">
        <f>'Profit &amp; Loss'!A701</f>
        <v>0</v>
      </c>
      <c r="B701" s="33">
        <f>'Profit &amp; Loss'!B701</f>
        <v>0</v>
      </c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</row>
    <row r="702" spans="1:20" ht="12.5" x14ac:dyDescent="0.25">
      <c r="A702" s="63">
        <f>'Profit &amp; Loss'!A702</f>
        <v>0</v>
      </c>
      <c r="B702" s="33">
        <f>'Profit &amp; Loss'!B702</f>
        <v>0</v>
      </c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</row>
    <row r="703" spans="1:20" ht="12.5" x14ac:dyDescent="0.25">
      <c r="A703" s="63">
        <f>'Profit &amp; Loss'!A703</f>
        <v>0</v>
      </c>
      <c r="B703" s="33">
        <f>'Profit &amp; Loss'!B703</f>
        <v>0</v>
      </c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</row>
    <row r="704" spans="1:20" ht="12.5" x14ac:dyDescent="0.25">
      <c r="A704" s="63">
        <f>'Profit &amp; Loss'!A704</f>
        <v>0</v>
      </c>
      <c r="B704" s="33">
        <f>'Profit &amp; Loss'!B704</f>
        <v>0</v>
      </c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</row>
    <row r="705" spans="1:20" ht="12.5" x14ac:dyDescent="0.25">
      <c r="A705" s="63">
        <f>'Profit &amp; Loss'!A705</f>
        <v>0</v>
      </c>
      <c r="B705" s="33">
        <f>'Profit &amp; Loss'!B705</f>
        <v>0</v>
      </c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</row>
    <row r="706" spans="1:20" ht="12.5" x14ac:dyDescent="0.25">
      <c r="A706" s="63">
        <f>'Profit &amp; Loss'!A706</f>
        <v>0</v>
      </c>
      <c r="B706" s="33">
        <f>'Profit &amp; Loss'!B706</f>
        <v>0</v>
      </c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</row>
    <row r="707" spans="1:20" ht="12.5" x14ac:dyDescent="0.25">
      <c r="A707" s="63">
        <f>'Profit &amp; Loss'!A707</f>
        <v>0</v>
      </c>
      <c r="B707" s="33">
        <f>'Profit &amp; Loss'!B707</f>
        <v>0</v>
      </c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</row>
    <row r="708" spans="1:20" ht="12.5" x14ac:dyDescent="0.25">
      <c r="A708" s="63">
        <f>'Profit &amp; Loss'!A708</f>
        <v>0</v>
      </c>
      <c r="B708" s="33">
        <f>'Profit &amp; Loss'!B708</f>
        <v>0</v>
      </c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</row>
    <row r="709" spans="1:20" ht="12.5" x14ac:dyDescent="0.25">
      <c r="A709" s="63">
        <f>'Profit &amp; Loss'!A709</f>
        <v>0</v>
      </c>
      <c r="B709" s="33">
        <f>'Profit &amp; Loss'!B709</f>
        <v>0</v>
      </c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</row>
    <row r="710" spans="1:20" ht="12.5" x14ac:dyDescent="0.25">
      <c r="A710" s="63">
        <f>'Profit &amp; Loss'!A710</f>
        <v>0</v>
      </c>
      <c r="B710" s="33">
        <f>'Profit &amp; Loss'!B710</f>
        <v>0</v>
      </c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</row>
    <row r="711" spans="1:20" ht="12.5" x14ac:dyDescent="0.25">
      <c r="A711" s="63">
        <f>'Profit &amp; Loss'!A711</f>
        <v>0</v>
      </c>
      <c r="B711" s="33">
        <f>'Profit &amp; Loss'!B711</f>
        <v>0</v>
      </c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</row>
    <row r="712" spans="1:20" ht="12.5" x14ac:dyDescent="0.25">
      <c r="A712" s="63">
        <f>'Profit &amp; Loss'!A712</f>
        <v>0</v>
      </c>
      <c r="B712" s="33">
        <f>'Profit &amp; Loss'!B712</f>
        <v>0</v>
      </c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</row>
    <row r="713" spans="1:20" ht="12.5" x14ac:dyDescent="0.25">
      <c r="A713" s="63">
        <f>'Profit &amp; Loss'!A713</f>
        <v>0</v>
      </c>
      <c r="B713" s="33">
        <f>'Profit &amp; Loss'!B713</f>
        <v>0</v>
      </c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</row>
    <row r="714" spans="1:20" ht="12.5" x14ac:dyDescent="0.25">
      <c r="A714" s="63">
        <f>'Profit &amp; Loss'!A714</f>
        <v>0</v>
      </c>
      <c r="B714" s="33">
        <f>'Profit &amp; Loss'!B714</f>
        <v>0</v>
      </c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</row>
    <row r="715" spans="1:20" ht="12.5" x14ac:dyDescent="0.25">
      <c r="A715" s="63">
        <f>'Profit &amp; Loss'!A715</f>
        <v>0</v>
      </c>
      <c r="B715" s="33">
        <f>'Profit &amp; Loss'!B715</f>
        <v>0</v>
      </c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</row>
    <row r="716" spans="1:20" ht="12.5" x14ac:dyDescent="0.25">
      <c r="A716" s="63">
        <f>'Profit &amp; Loss'!A716</f>
        <v>0</v>
      </c>
      <c r="B716" s="33">
        <f>'Profit &amp; Loss'!B716</f>
        <v>0</v>
      </c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</row>
    <row r="717" spans="1:20" ht="12.5" x14ac:dyDescent="0.25">
      <c r="A717" s="63">
        <f>'Profit &amp; Loss'!A717</f>
        <v>0</v>
      </c>
      <c r="B717" s="33">
        <f>'Profit &amp; Loss'!B717</f>
        <v>0</v>
      </c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</row>
    <row r="718" spans="1:20" ht="12.5" x14ac:dyDescent="0.25">
      <c r="A718" s="63">
        <f>'Profit &amp; Loss'!A718</f>
        <v>0</v>
      </c>
      <c r="B718" s="33">
        <f>'Profit &amp; Loss'!B718</f>
        <v>0</v>
      </c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</row>
    <row r="719" spans="1:20" ht="12.5" x14ac:dyDescent="0.25">
      <c r="A719" s="63">
        <f>'Profit &amp; Loss'!A719</f>
        <v>0</v>
      </c>
      <c r="B719" s="33">
        <f>'Profit &amp; Loss'!B719</f>
        <v>0</v>
      </c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</row>
    <row r="720" spans="1:20" ht="12.5" x14ac:dyDescent="0.25">
      <c r="A720" s="63">
        <f>'Profit &amp; Loss'!A720</f>
        <v>0</v>
      </c>
      <c r="B720" s="33">
        <f>'Profit &amp; Loss'!B720</f>
        <v>0</v>
      </c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</row>
    <row r="721" spans="1:20" ht="12.5" x14ac:dyDescent="0.25">
      <c r="A721" s="63">
        <f>'Profit &amp; Loss'!A721</f>
        <v>0</v>
      </c>
      <c r="B721" s="33">
        <f>'Profit &amp; Loss'!B721</f>
        <v>0</v>
      </c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</row>
    <row r="722" spans="1:20" ht="12.5" x14ac:dyDescent="0.25">
      <c r="A722" s="63">
        <f>'Profit &amp; Loss'!A722</f>
        <v>0</v>
      </c>
      <c r="B722" s="33">
        <f>'Profit &amp; Loss'!B722</f>
        <v>0</v>
      </c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</row>
    <row r="723" spans="1:20" ht="12.5" x14ac:dyDescent="0.25">
      <c r="A723" s="63">
        <f>'Profit &amp; Loss'!A723</f>
        <v>0</v>
      </c>
      <c r="B723" s="33">
        <f>'Profit &amp; Loss'!B723</f>
        <v>0</v>
      </c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</row>
    <row r="724" spans="1:20" ht="12.5" x14ac:dyDescent="0.25">
      <c r="A724" s="63">
        <f>'Profit &amp; Loss'!A724</f>
        <v>0</v>
      </c>
      <c r="B724" s="33">
        <f>'Profit &amp; Loss'!B724</f>
        <v>0</v>
      </c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</row>
    <row r="725" spans="1:20" ht="12.5" x14ac:dyDescent="0.25">
      <c r="A725" s="63">
        <f>'Profit &amp; Loss'!A725</f>
        <v>0</v>
      </c>
      <c r="B725" s="33">
        <f>'Profit &amp; Loss'!B725</f>
        <v>0</v>
      </c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</row>
    <row r="726" spans="1:20" ht="12.5" x14ac:dyDescent="0.25">
      <c r="A726" s="63">
        <f>'Profit &amp; Loss'!A726</f>
        <v>0</v>
      </c>
      <c r="B726" s="33">
        <f>'Profit &amp; Loss'!B726</f>
        <v>0</v>
      </c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</row>
    <row r="727" spans="1:20" ht="12.5" x14ac:dyDescent="0.25">
      <c r="A727" s="63">
        <f>'Profit &amp; Loss'!A727</f>
        <v>0</v>
      </c>
      <c r="B727" s="33">
        <f>'Profit &amp; Loss'!B727</f>
        <v>0</v>
      </c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</row>
    <row r="728" spans="1:20" ht="12.5" x14ac:dyDescent="0.25">
      <c r="A728" s="63">
        <f>'Profit &amp; Loss'!A728</f>
        <v>0</v>
      </c>
      <c r="B728" s="33">
        <f>'Profit &amp; Loss'!B728</f>
        <v>0</v>
      </c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</row>
    <row r="729" spans="1:20" ht="12.5" x14ac:dyDescent="0.25">
      <c r="A729" s="63">
        <f>'Profit &amp; Loss'!A729</f>
        <v>0</v>
      </c>
      <c r="B729" s="33">
        <f>'Profit &amp; Loss'!B729</f>
        <v>0</v>
      </c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</row>
    <row r="730" spans="1:20" ht="12.5" x14ac:dyDescent="0.25">
      <c r="A730" s="63">
        <f>'Profit &amp; Loss'!A730</f>
        <v>0</v>
      </c>
      <c r="B730" s="33">
        <f>'Profit &amp; Loss'!B730</f>
        <v>0</v>
      </c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</row>
    <row r="731" spans="1:20" ht="12.5" x14ac:dyDescent="0.25">
      <c r="A731" s="63">
        <f>'Profit &amp; Loss'!A731</f>
        <v>0</v>
      </c>
      <c r="B731" s="33">
        <f>'Profit &amp; Loss'!B731</f>
        <v>0</v>
      </c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</row>
    <row r="732" spans="1:20" ht="12.5" x14ac:dyDescent="0.25">
      <c r="A732" s="63">
        <f>'Profit &amp; Loss'!A732</f>
        <v>0</v>
      </c>
      <c r="B732" s="33">
        <f>'Profit &amp; Loss'!B732</f>
        <v>0</v>
      </c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</row>
    <row r="733" spans="1:20" ht="12.5" x14ac:dyDescent="0.25">
      <c r="A733" s="63">
        <f>'Profit &amp; Loss'!A733</f>
        <v>0</v>
      </c>
      <c r="B733" s="33">
        <f>'Profit &amp; Loss'!B733</f>
        <v>0</v>
      </c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</row>
    <row r="734" spans="1:20" ht="12.5" x14ac:dyDescent="0.25">
      <c r="A734" s="63">
        <f>'Profit &amp; Loss'!A734</f>
        <v>0</v>
      </c>
      <c r="B734" s="33">
        <f>'Profit &amp; Loss'!B734</f>
        <v>0</v>
      </c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</row>
    <row r="735" spans="1:20" ht="12.5" x14ac:dyDescent="0.25">
      <c r="A735" s="63">
        <f>'Profit &amp; Loss'!A735</f>
        <v>0</v>
      </c>
      <c r="B735" s="33">
        <f>'Profit &amp; Loss'!B735</f>
        <v>0</v>
      </c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</row>
    <row r="736" spans="1:20" ht="12.5" x14ac:dyDescent="0.25">
      <c r="A736" s="63">
        <f>'Profit &amp; Loss'!A736</f>
        <v>0</v>
      </c>
      <c r="B736" s="33">
        <f>'Profit &amp; Loss'!B736</f>
        <v>0</v>
      </c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</row>
    <row r="737" spans="1:20" ht="12.5" x14ac:dyDescent="0.25">
      <c r="A737" s="63">
        <f>'Profit &amp; Loss'!A737</f>
        <v>0</v>
      </c>
      <c r="B737" s="33">
        <f>'Profit &amp; Loss'!B737</f>
        <v>0</v>
      </c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</row>
    <row r="738" spans="1:20" ht="12.5" x14ac:dyDescent="0.25">
      <c r="A738" s="63">
        <f>'Profit &amp; Loss'!A738</f>
        <v>0</v>
      </c>
      <c r="B738" s="33">
        <f>'Profit &amp; Loss'!B738</f>
        <v>0</v>
      </c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</row>
    <row r="739" spans="1:20" ht="12.5" x14ac:dyDescent="0.25">
      <c r="A739" s="63">
        <f>'Profit &amp; Loss'!A739</f>
        <v>0</v>
      </c>
      <c r="B739" s="33">
        <f>'Profit &amp; Loss'!B739</f>
        <v>0</v>
      </c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</row>
    <row r="740" spans="1:20" ht="12.5" x14ac:dyDescent="0.25">
      <c r="A740" s="63">
        <f>'Profit &amp; Loss'!A740</f>
        <v>0</v>
      </c>
      <c r="B740" s="33">
        <f>'Profit &amp; Loss'!B740</f>
        <v>0</v>
      </c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</row>
    <row r="741" spans="1:20" ht="12.5" x14ac:dyDescent="0.25">
      <c r="A741" s="63">
        <f>'Profit &amp; Loss'!A741</f>
        <v>0</v>
      </c>
      <c r="B741" s="33">
        <f>'Profit &amp; Loss'!B741</f>
        <v>0</v>
      </c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</row>
    <row r="742" spans="1:20" ht="12.5" x14ac:dyDescent="0.25">
      <c r="A742" s="63">
        <f>'Profit &amp; Loss'!A742</f>
        <v>0</v>
      </c>
      <c r="B742" s="33">
        <f>'Profit &amp; Loss'!B742</f>
        <v>0</v>
      </c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</row>
    <row r="743" spans="1:20" ht="12.5" x14ac:dyDescent="0.25">
      <c r="A743" s="63">
        <f>'Profit &amp; Loss'!A743</f>
        <v>0</v>
      </c>
      <c r="B743" s="33">
        <f>'Profit &amp; Loss'!B743</f>
        <v>0</v>
      </c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</row>
    <row r="744" spans="1:20" ht="12.5" x14ac:dyDescent="0.25">
      <c r="A744" s="63">
        <f>'Profit &amp; Loss'!A744</f>
        <v>0</v>
      </c>
      <c r="B744" s="33">
        <f>'Profit &amp; Loss'!B744</f>
        <v>0</v>
      </c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</row>
    <row r="745" spans="1:20" ht="12.5" x14ac:dyDescent="0.25">
      <c r="A745" s="63">
        <f>'Profit &amp; Loss'!A745</f>
        <v>0</v>
      </c>
      <c r="B745" s="33">
        <f>'Profit &amp; Loss'!B745</f>
        <v>0</v>
      </c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</row>
    <row r="746" spans="1:20" ht="12.5" x14ac:dyDescent="0.25">
      <c r="A746" s="63">
        <f>'Profit &amp; Loss'!A746</f>
        <v>0</v>
      </c>
      <c r="B746" s="33">
        <f>'Profit &amp; Loss'!B746</f>
        <v>0</v>
      </c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</row>
    <row r="747" spans="1:20" ht="12.5" x14ac:dyDescent="0.25">
      <c r="A747" s="63">
        <f>'Profit &amp; Loss'!A747</f>
        <v>0</v>
      </c>
      <c r="B747" s="33">
        <f>'Profit &amp; Loss'!B747</f>
        <v>0</v>
      </c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</row>
    <row r="748" spans="1:20" ht="12.5" x14ac:dyDescent="0.25">
      <c r="A748" s="63">
        <f>'Profit &amp; Loss'!A748</f>
        <v>0</v>
      </c>
      <c r="B748" s="33">
        <f>'Profit &amp; Loss'!B748</f>
        <v>0</v>
      </c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</row>
    <row r="749" spans="1:20" ht="12.5" x14ac:dyDescent="0.25">
      <c r="A749" s="63">
        <f>'Profit &amp; Loss'!A749</f>
        <v>0</v>
      </c>
      <c r="B749" s="33">
        <f>'Profit &amp; Loss'!B749</f>
        <v>0</v>
      </c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</row>
    <row r="750" spans="1:20" ht="12.5" x14ac:dyDescent="0.25">
      <c r="A750" s="63">
        <f>'Profit &amp; Loss'!A750</f>
        <v>0</v>
      </c>
      <c r="B750" s="33">
        <f>'Profit &amp; Loss'!B750</f>
        <v>0</v>
      </c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</row>
    <row r="751" spans="1:20" ht="12.5" x14ac:dyDescent="0.25">
      <c r="A751" s="63">
        <f>'Profit &amp; Loss'!A751</f>
        <v>0</v>
      </c>
      <c r="B751" s="33">
        <f>'Profit &amp; Loss'!B751</f>
        <v>0</v>
      </c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</row>
    <row r="752" spans="1:20" ht="12.5" x14ac:dyDescent="0.25">
      <c r="A752" s="63">
        <f>'Profit &amp; Loss'!A752</f>
        <v>0</v>
      </c>
      <c r="B752" s="33">
        <f>'Profit &amp; Loss'!B752</f>
        <v>0</v>
      </c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</row>
    <row r="753" spans="1:20" ht="12.5" x14ac:dyDescent="0.25">
      <c r="A753" s="63">
        <f>'Profit &amp; Loss'!A753</f>
        <v>0</v>
      </c>
      <c r="B753" s="33">
        <f>'Profit &amp; Loss'!B753</f>
        <v>0</v>
      </c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</row>
    <row r="754" spans="1:20" ht="12.5" x14ac:dyDescent="0.25">
      <c r="A754" s="63">
        <f>'Profit &amp; Loss'!A754</f>
        <v>0</v>
      </c>
      <c r="B754" s="33">
        <f>'Profit &amp; Loss'!B754</f>
        <v>0</v>
      </c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</row>
    <row r="755" spans="1:20" ht="12.5" x14ac:dyDescent="0.25">
      <c r="A755" s="63">
        <f>'Profit &amp; Loss'!A755</f>
        <v>0</v>
      </c>
      <c r="B755" s="33">
        <f>'Profit &amp; Loss'!B755</f>
        <v>0</v>
      </c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</row>
    <row r="756" spans="1:20" ht="12.5" x14ac:dyDescent="0.25">
      <c r="A756" s="63">
        <f>'Profit &amp; Loss'!A756</f>
        <v>0</v>
      </c>
      <c r="B756" s="33">
        <f>'Profit &amp; Loss'!B756</f>
        <v>0</v>
      </c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</row>
    <row r="757" spans="1:20" ht="12.5" x14ac:dyDescent="0.25">
      <c r="A757" s="63">
        <f>'Profit &amp; Loss'!A757</f>
        <v>0</v>
      </c>
      <c r="B757" s="33">
        <f>'Profit &amp; Loss'!B757</f>
        <v>0</v>
      </c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</row>
    <row r="758" spans="1:20" ht="12.5" x14ac:dyDescent="0.25">
      <c r="A758" s="63">
        <f>'Profit &amp; Loss'!A758</f>
        <v>0</v>
      </c>
      <c r="B758" s="33">
        <f>'Profit &amp; Loss'!B758</f>
        <v>0</v>
      </c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</row>
    <row r="759" spans="1:20" ht="12.5" x14ac:dyDescent="0.25">
      <c r="A759" s="63">
        <f>'Profit &amp; Loss'!A759</f>
        <v>0</v>
      </c>
      <c r="B759" s="33">
        <f>'Profit &amp; Loss'!B759</f>
        <v>0</v>
      </c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</row>
    <row r="760" spans="1:20" ht="12.5" x14ac:dyDescent="0.25">
      <c r="A760" s="63">
        <f>'Profit &amp; Loss'!A760</f>
        <v>0</v>
      </c>
      <c r="B760" s="33">
        <f>'Profit &amp; Loss'!B760</f>
        <v>0</v>
      </c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</row>
    <row r="761" spans="1:20" ht="12.5" x14ac:dyDescent="0.25">
      <c r="A761" s="63">
        <f>'Profit &amp; Loss'!A761</f>
        <v>0</v>
      </c>
      <c r="B761" s="33">
        <f>'Profit &amp; Loss'!B761</f>
        <v>0</v>
      </c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</row>
    <row r="762" spans="1:20" ht="12.5" x14ac:dyDescent="0.25">
      <c r="A762" s="63">
        <f>'Profit &amp; Loss'!A762</f>
        <v>0</v>
      </c>
      <c r="B762" s="33">
        <f>'Profit &amp; Loss'!B762</f>
        <v>0</v>
      </c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</row>
    <row r="763" spans="1:20" ht="12.5" x14ac:dyDescent="0.25">
      <c r="A763" s="63">
        <f>'Profit &amp; Loss'!A763</f>
        <v>0</v>
      </c>
      <c r="B763" s="33">
        <f>'Profit &amp; Loss'!B763</f>
        <v>0</v>
      </c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</row>
    <row r="764" spans="1:20" ht="12.5" x14ac:dyDescent="0.25">
      <c r="A764" s="63">
        <f>'Profit &amp; Loss'!A764</f>
        <v>0</v>
      </c>
      <c r="B764" s="33">
        <f>'Profit &amp; Loss'!B764</f>
        <v>0</v>
      </c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</row>
    <row r="765" spans="1:20" ht="12.5" x14ac:dyDescent="0.25">
      <c r="A765" s="63">
        <f>'Profit &amp; Loss'!A765</f>
        <v>0</v>
      </c>
      <c r="B765" s="33">
        <f>'Profit &amp; Loss'!B765</f>
        <v>0</v>
      </c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</row>
    <row r="766" spans="1:20" ht="12.5" x14ac:dyDescent="0.25">
      <c r="A766" s="63">
        <f>'Profit &amp; Loss'!A766</f>
        <v>0</v>
      </c>
      <c r="B766" s="33">
        <f>'Profit &amp; Loss'!B766</f>
        <v>0</v>
      </c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</row>
    <row r="767" spans="1:20" ht="12.5" x14ac:dyDescent="0.25">
      <c r="A767" s="63">
        <f>'Profit &amp; Loss'!A767</f>
        <v>0</v>
      </c>
      <c r="B767" s="33">
        <f>'Profit &amp; Loss'!B767</f>
        <v>0</v>
      </c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</row>
    <row r="768" spans="1:20" ht="12.5" x14ac:dyDescent="0.25">
      <c r="A768" s="63">
        <f>'Profit &amp; Loss'!A768</f>
        <v>0</v>
      </c>
      <c r="B768" s="33">
        <f>'Profit &amp; Loss'!B768</f>
        <v>0</v>
      </c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</row>
    <row r="769" spans="1:20" ht="12.5" x14ac:dyDescent="0.25">
      <c r="A769" s="63">
        <f>'Profit &amp; Loss'!A769</f>
        <v>0</v>
      </c>
      <c r="B769" s="33">
        <f>'Profit &amp; Loss'!B769</f>
        <v>0</v>
      </c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</row>
    <row r="770" spans="1:20" ht="12.5" x14ac:dyDescent="0.25">
      <c r="A770" s="63">
        <f>'Profit &amp; Loss'!A770</f>
        <v>0</v>
      </c>
      <c r="B770" s="33">
        <f>'Profit &amp; Loss'!B770</f>
        <v>0</v>
      </c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</row>
    <row r="771" spans="1:20" ht="12.5" x14ac:dyDescent="0.25">
      <c r="A771" s="63">
        <f>'Profit &amp; Loss'!A771</f>
        <v>0</v>
      </c>
      <c r="B771" s="33">
        <f>'Profit &amp; Loss'!B771</f>
        <v>0</v>
      </c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</row>
    <row r="772" spans="1:20" ht="12.5" x14ac:dyDescent="0.25">
      <c r="A772" s="63">
        <f>'Profit &amp; Loss'!A772</f>
        <v>0</v>
      </c>
      <c r="B772" s="33">
        <f>'Profit &amp; Loss'!B772</f>
        <v>0</v>
      </c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</row>
    <row r="773" spans="1:20" ht="12.5" x14ac:dyDescent="0.25">
      <c r="A773" s="63">
        <f>'Profit &amp; Loss'!A773</f>
        <v>0</v>
      </c>
      <c r="B773" s="33">
        <f>'Profit &amp; Loss'!B773</f>
        <v>0</v>
      </c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</row>
    <row r="774" spans="1:20" ht="12.5" x14ac:dyDescent="0.25">
      <c r="A774" s="63">
        <f>'Profit &amp; Loss'!A774</f>
        <v>0</v>
      </c>
      <c r="B774" s="33">
        <f>'Profit &amp; Loss'!B774</f>
        <v>0</v>
      </c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</row>
    <row r="775" spans="1:20" ht="12.5" x14ac:dyDescent="0.25">
      <c r="A775" s="63">
        <f>'Profit &amp; Loss'!A775</f>
        <v>0</v>
      </c>
      <c r="B775" s="33">
        <f>'Profit &amp; Loss'!B775</f>
        <v>0</v>
      </c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</row>
    <row r="776" spans="1:20" ht="12.5" x14ac:dyDescent="0.25">
      <c r="A776" s="63">
        <f>'Profit &amp; Loss'!A776</f>
        <v>0</v>
      </c>
      <c r="B776" s="33">
        <f>'Profit &amp; Loss'!B776</f>
        <v>0</v>
      </c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</row>
    <row r="777" spans="1:20" ht="12.5" x14ac:dyDescent="0.25">
      <c r="A777" s="63">
        <f>'Profit &amp; Loss'!A777</f>
        <v>0</v>
      </c>
      <c r="B777" s="33">
        <f>'Profit &amp; Loss'!B777</f>
        <v>0</v>
      </c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</row>
    <row r="778" spans="1:20" ht="12.5" x14ac:dyDescent="0.25">
      <c r="A778" s="63">
        <f>'Profit &amp; Loss'!A778</f>
        <v>0</v>
      </c>
      <c r="B778" s="33">
        <f>'Profit &amp; Loss'!B778</f>
        <v>0</v>
      </c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</row>
    <row r="779" spans="1:20" ht="12.5" x14ac:dyDescent="0.25">
      <c r="A779" s="63">
        <f>'Profit &amp; Loss'!A779</f>
        <v>0</v>
      </c>
      <c r="B779" s="33">
        <f>'Profit &amp; Loss'!B779</f>
        <v>0</v>
      </c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</row>
    <row r="780" spans="1:20" ht="12.5" x14ac:dyDescent="0.25">
      <c r="A780" s="63">
        <f>'Profit &amp; Loss'!A780</f>
        <v>0</v>
      </c>
      <c r="B780" s="33">
        <f>'Profit &amp; Loss'!B780</f>
        <v>0</v>
      </c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</row>
    <row r="781" spans="1:20" ht="12.5" x14ac:dyDescent="0.25">
      <c r="A781" s="63">
        <f>'Profit &amp; Loss'!A781</f>
        <v>0</v>
      </c>
      <c r="B781" s="33">
        <f>'Profit &amp; Loss'!B781</f>
        <v>0</v>
      </c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</row>
    <row r="782" spans="1:20" ht="12.5" x14ac:dyDescent="0.25">
      <c r="A782" s="63">
        <f>'Profit &amp; Loss'!A782</f>
        <v>0</v>
      </c>
      <c r="B782" s="33">
        <f>'Profit &amp; Loss'!B782</f>
        <v>0</v>
      </c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</row>
    <row r="783" spans="1:20" ht="12.5" x14ac:dyDescent="0.25">
      <c r="A783" s="63">
        <f>'Profit &amp; Loss'!A783</f>
        <v>0</v>
      </c>
      <c r="B783" s="33">
        <f>'Profit &amp; Loss'!B783</f>
        <v>0</v>
      </c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</row>
    <row r="784" spans="1:20" ht="12.5" x14ac:dyDescent="0.25">
      <c r="A784" s="63">
        <f>'Profit &amp; Loss'!A784</f>
        <v>0</v>
      </c>
      <c r="B784" s="33">
        <f>'Profit &amp; Loss'!B784</f>
        <v>0</v>
      </c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</row>
    <row r="785" spans="1:20" ht="12.5" x14ac:dyDescent="0.25">
      <c r="A785" s="63">
        <f>'Profit &amp; Loss'!A785</f>
        <v>0</v>
      </c>
      <c r="B785" s="33">
        <f>'Profit &amp; Loss'!B785</f>
        <v>0</v>
      </c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</row>
    <row r="786" spans="1:20" ht="12.5" x14ac:dyDescent="0.25">
      <c r="A786" s="63">
        <f>'Profit &amp; Loss'!A786</f>
        <v>0</v>
      </c>
      <c r="B786" s="33">
        <f>'Profit &amp; Loss'!B786</f>
        <v>0</v>
      </c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</row>
    <row r="787" spans="1:20" ht="12.5" x14ac:dyDescent="0.25">
      <c r="A787" s="63">
        <f>'Profit &amp; Loss'!A787</f>
        <v>0</v>
      </c>
      <c r="B787" s="33">
        <f>'Profit &amp; Loss'!B787</f>
        <v>0</v>
      </c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</row>
    <row r="788" spans="1:20" ht="12.5" x14ac:dyDescent="0.25">
      <c r="A788" s="63">
        <f>'Profit &amp; Loss'!A788</f>
        <v>0</v>
      </c>
      <c r="B788" s="33">
        <f>'Profit &amp; Loss'!B788</f>
        <v>0</v>
      </c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</row>
    <row r="789" spans="1:20" ht="12.5" x14ac:dyDescent="0.25">
      <c r="A789" s="63">
        <f>'Profit &amp; Loss'!A789</f>
        <v>0</v>
      </c>
      <c r="B789" s="33">
        <f>'Profit &amp; Loss'!B789</f>
        <v>0</v>
      </c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</row>
    <row r="790" spans="1:20" ht="12.5" x14ac:dyDescent="0.25">
      <c r="A790" s="63">
        <f>'Profit &amp; Loss'!A790</f>
        <v>0</v>
      </c>
      <c r="B790" s="33">
        <f>'Profit &amp; Loss'!B790</f>
        <v>0</v>
      </c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</row>
    <row r="791" spans="1:20" ht="12.5" x14ac:dyDescent="0.25">
      <c r="A791" s="63">
        <f>'Profit &amp; Loss'!A791</f>
        <v>0</v>
      </c>
      <c r="B791" s="33">
        <f>'Profit &amp; Loss'!B791</f>
        <v>0</v>
      </c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</row>
    <row r="792" spans="1:20" ht="12.5" x14ac:dyDescent="0.25">
      <c r="A792" s="63">
        <f>'Profit &amp; Loss'!A792</f>
        <v>0</v>
      </c>
      <c r="B792" s="33">
        <f>'Profit &amp; Loss'!B792</f>
        <v>0</v>
      </c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</row>
    <row r="793" spans="1:20" ht="12.5" x14ac:dyDescent="0.25">
      <c r="A793" s="63">
        <f>'Profit &amp; Loss'!A793</f>
        <v>0</v>
      </c>
      <c r="B793" s="33">
        <f>'Profit &amp; Loss'!B793</f>
        <v>0</v>
      </c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</row>
    <row r="794" spans="1:20" ht="12.5" x14ac:dyDescent="0.25">
      <c r="A794" s="63">
        <f>'Profit &amp; Loss'!A794</f>
        <v>0</v>
      </c>
      <c r="B794" s="33">
        <f>'Profit &amp; Loss'!B794</f>
        <v>0</v>
      </c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</row>
    <row r="795" spans="1:20" ht="12.5" x14ac:dyDescent="0.25">
      <c r="A795" s="63">
        <f>'Profit &amp; Loss'!A795</f>
        <v>0</v>
      </c>
      <c r="B795" s="33">
        <f>'Profit &amp; Loss'!B795</f>
        <v>0</v>
      </c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</row>
    <row r="796" spans="1:20" ht="12.5" x14ac:dyDescent="0.25">
      <c r="A796" s="63">
        <f>'Profit &amp; Loss'!A796</f>
        <v>0</v>
      </c>
      <c r="B796" s="33">
        <f>'Profit &amp; Loss'!B796</f>
        <v>0</v>
      </c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</row>
    <row r="797" spans="1:20" ht="12.5" x14ac:dyDescent="0.25">
      <c r="A797" s="63">
        <f>'Profit &amp; Loss'!A797</f>
        <v>0</v>
      </c>
      <c r="B797" s="33">
        <f>'Profit &amp; Loss'!B797</f>
        <v>0</v>
      </c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</row>
    <row r="798" spans="1:20" ht="12.5" x14ac:dyDescent="0.25">
      <c r="A798" s="63">
        <f>'Profit &amp; Loss'!A798</f>
        <v>0</v>
      </c>
      <c r="B798" s="33">
        <f>'Profit &amp; Loss'!B798</f>
        <v>0</v>
      </c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</row>
    <row r="799" spans="1:20" ht="12.5" x14ac:dyDescent="0.25">
      <c r="A799" s="63">
        <f>'Profit &amp; Loss'!A799</f>
        <v>0</v>
      </c>
      <c r="B799" s="33">
        <f>'Profit &amp; Loss'!B799</f>
        <v>0</v>
      </c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</row>
    <row r="800" spans="1:20" ht="12.5" x14ac:dyDescent="0.25">
      <c r="A800" s="63">
        <f>'Profit &amp; Loss'!A800</f>
        <v>0</v>
      </c>
      <c r="B800" s="33">
        <f>'Profit &amp; Loss'!B800</f>
        <v>0</v>
      </c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</row>
    <row r="801" spans="1:20" ht="12.5" x14ac:dyDescent="0.25">
      <c r="A801" s="63">
        <f>'Profit &amp; Loss'!A801</f>
        <v>0</v>
      </c>
      <c r="B801" s="33">
        <f>'Profit &amp; Loss'!B801</f>
        <v>0</v>
      </c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</row>
    <row r="802" spans="1:20" ht="12.5" x14ac:dyDescent="0.25">
      <c r="A802" s="63">
        <f>'Profit &amp; Loss'!A802</f>
        <v>0</v>
      </c>
      <c r="B802" s="33">
        <f>'Profit &amp; Loss'!B802</f>
        <v>0</v>
      </c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</row>
    <row r="803" spans="1:20" ht="12.5" x14ac:dyDescent="0.25">
      <c r="A803" s="63">
        <f>'Profit &amp; Loss'!A803</f>
        <v>0</v>
      </c>
      <c r="B803" s="33">
        <f>'Profit &amp; Loss'!B803</f>
        <v>0</v>
      </c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</row>
    <row r="804" spans="1:20" ht="12.5" x14ac:dyDescent="0.25">
      <c r="A804" s="63">
        <f>'Profit &amp; Loss'!A804</f>
        <v>0</v>
      </c>
      <c r="B804" s="33">
        <f>'Profit &amp; Loss'!B804</f>
        <v>0</v>
      </c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</row>
    <row r="805" spans="1:20" ht="12.5" x14ac:dyDescent="0.25">
      <c r="A805" s="63">
        <f>'Profit &amp; Loss'!A805</f>
        <v>0</v>
      </c>
      <c r="B805" s="33">
        <f>'Profit &amp; Loss'!B805</f>
        <v>0</v>
      </c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</row>
    <row r="806" spans="1:20" ht="12.5" x14ac:dyDescent="0.25">
      <c r="A806" s="63">
        <f>'Profit &amp; Loss'!A806</f>
        <v>0</v>
      </c>
      <c r="B806" s="33">
        <f>'Profit &amp; Loss'!B806</f>
        <v>0</v>
      </c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</row>
    <row r="807" spans="1:20" ht="12.5" x14ac:dyDescent="0.25">
      <c r="A807" s="63">
        <f>'Profit &amp; Loss'!A807</f>
        <v>0</v>
      </c>
      <c r="B807" s="33">
        <f>'Profit &amp; Loss'!B807</f>
        <v>0</v>
      </c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</row>
    <row r="808" spans="1:20" ht="12.5" x14ac:dyDescent="0.25">
      <c r="A808" s="63">
        <f>'Profit &amp; Loss'!A808</f>
        <v>0</v>
      </c>
      <c r="B808" s="33">
        <f>'Profit &amp; Loss'!B808</f>
        <v>0</v>
      </c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</row>
    <row r="809" spans="1:20" ht="12.5" x14ac:dyDescent="0.25">
      <c r="A809" s="63">
        <f>'Profit &amp; Loss'!A809</f>
        <v>0</v>
      </c>
      <c r="B809" s="33">
        <f>'Profit &amp; Loss'!B809</f>
        <v>0</v>
      </c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</row>
    <row r="810" spans="1:20" ht="12.5" x14ac:dyDescent="0.25">
      <c r="A810" s="63">
        <f>'Profit &amp; Loss'!A810</f>
        <v>0</v>
      </c>
      <c r="B810" s="33">
        <f>'Profit &amp; Loss'!B810</f>
        <v>0</v>
      </c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</row>
    <row r="811" spans="1:20" ht="12.5" x14ac:dyDescent="0.25">
      <c r="A811" s="63">
        <f>'Profit &amp; Loss'!A811</f>
        <v>0</v>
      </c>
      <c r="B811" s="33">
        <f>'Profit &amp; Loss'!B811</f>
        <v>0</v>
      </c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</row>
    <row r="812" spans="1:20" ht="12.5" x14ac:dyDescent="0.25">
      <c r="A812" s="63">
        <f>'Profit &amp; Loss'!A812</f>
        <v>0</v>
      </c>
      <c r="B812" s="33">
        <f>'Profit &amp; Loss'!B812</f>
        <v>0</v>
      </c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</row>
    <row r="813" spans="1:20" ht="12.5" x14ac:dyDescent="0.25">
      <c r="A813" s="63">
        <f>'Profit &amp; Loss'!A813</f>
        <v>0</v>
      </c>
      <c r="B813" s="33">
        <f>'Profit &amp; Loss'!B813</f>
        <v>0</v>
      </c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</row>
    <row r="814" spans="1:20" ht="12.5" x14ac:dyDescent="0.25">
      <c r="A814" s="63">
        <f>'Profit &amp; Loss'!A814</f>
        <v>0</v>
      </c>
      <c r="B814" s="33">
        <f>'Profit &amp; Loss'!B814</f>
        <v>0</v>
      </c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</row>
    <row r="815" spans="1:20" ht="12.5" x14ac:dyDescent="0.25">
      <c r="A815" s="63">
        <f>'Profit &amp; Loss'!A815</f>
        <v>0</v>
      </c>
      <c r="B815" s="33">
        <f>'Profit &amp; Loss'!B815</f>
        <v>0</v>
      </c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</row>
    <row r="816" spans="1:20" ht="12.5" x14ac:dyDescent="0.25">
      <c r="A816" s="63">
        <f>'Profit &amp; Loss'!A816</f>
        <v>0</v>
      </c>
      <c r="B816" s="33">
        <f>'Profit &amp; Loss'!B816</f>
        <v>0</v>
      </c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</row>
    <row r="817" spans="1:20" ht="12.5" x14ac:dyDescent="0.25">
      <c r="A817" s="63">
        <f>'Profit &amp; Loss'!A817</f>
        <v>0</v>
      </c>
      <c r="B817" s="33">
        <f>'Profit &amp; Loss'!B817</f>
        <v>0</v>
      </c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</row>
    <row r="818" spans="1:20" ht="12.5" x14ac:dyDescent="0.25">
      <c r="A818" s="63">
        <f>'Profit &amp; Loss'!A818</f>
        <v>0</v>
      </c>
      <c r="B818" s="33">
        <f>'Profit &amp; Loss'!B818</f>
        <v>0</v>
      </c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</row>
    <row r="819" spans="1:20" ht="12.5" x14ac:dyDescent="0.25">
      <c r="A819" s="63">
        <f>'Profit &amp; Loss'!A819</f>
        <v>0</v>
      </c>
      <c r="B819" s="33">
        <f>'Profit &amp; Loss'!B819</f>
        <v>0</v>
      </c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</row>
    <row r="820" spans="1:20" ht="12.5" x14ac:dyDescent="0.25">
      <c r="A820" s="63">
        <f>'Profit &amp; Loss'!A820</f>
        <v>0</v>
      </c>
      <c r="B820" s="33">
        <f>'Profit &amp; Loss'!B820</f>
        <v>0</v>
      </c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</row>
    <row r="821" spans="1:20" ht="12.5" x14ac:dyDescent="0.25">
      <c r="A821" s="63">
        <f>'Profit &amp; Loss'!A821</f>
        <v>0</v>
      </c>
      <c r="B821" s="33">
        <f>'Profit &amp; Loss'!B821</f>
        <v>0</v>
      </c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</row>
    <row r="822" spans="1:20" ht="12.5" x14ac:dyDescent="0.25">
      <c r="A822" s="63">
        <f>'Profit &amp; Loss'!A822</f>
        <v>0</v>
      </c>
      <c r="B822" s="33">
        <f>'Profit &amp; Loss'!B822</f>
        <v>0</v>
      </c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</row>
    <row r="823" spans="1:20" ht="12.5" x14ac:dyDescent="0.25">
      <c r="A823" s="63">
        <f>'Profit &amp; Loss'!A823</f>
        <v>0</v>
      </c>
      <c r="B823" s="33">
        <f>'Profit &amp; Loss'!B823</f>
        <v>0</v>
      </c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</row>
    <row r="824" spans="1:20" ht="12.5" x14ac:dyDescent="0.25">
      <c r="A824" s="63">
        <f>'Profit &amp; Loss'!A824</f>
        <v>0</v>
      </c>
      <c r="B824" s="33">
        <f>'Profit &amp; Loss'!B824</f>
        <v>0</v>
      </c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</row>
    <row r="825" spans="1:20" ht="12.5" x14ac:dyDescent="0.25">
      <c r="A825" s="63">
        <f>'Profit &amp; Loss'!A825</f>
        <v>0</v>
      </c>
      <c r="B825" s="33">
        <f>'Profit &amp; Loss'!B825</f>
        <v>0</v>
      </c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</row>
    <row r="826" spans="1:20" ht="12.5" x14ac:dyDescent="0.25">
      <c r="A826" s="63">
        <f>'Profit &amp; Loss'!A826</f>
        <v>0</v>
      </c>
      <c r="B826" s="33">
        <f>'Profit &amp; Loss'!B826</f>
        <v>0</v>
      </c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</row>
    <row r="827" spans="1:20" ht="12.5" x14ac:dyDescent="0.25">
      <c r="A827" s="63">
        <f>'Profit &amp; Loss'!A827</f>
        <v>0</v>
      </c>
      <c r="B827" s="33">
        <f>'Profit &amp; Loss'!B827</f>
        <v>0</v>
      </c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</row>
    <row r="828" spans="1:20" ht="12.5" x14ac:dyDescent="0.25">
      <c r="A828" s="63">
        <f>'Profit &amp; Loss'!A828</f>
        <v>0</v>
      </c>
      <c r="B828" s="33">
        <f>'Profit &amp; Loss'!B828</f>
        <v>0</v>
      </c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</row>
    <row r="829" spans="1:20" ht="12.5" x14ac:dyDescent="0.25">
      <c r="A829" s="63">
        <f>'Profit &amp; Loss'!A829</f>
        <v>0</v>
      </c>
      <c r="B829" s="33">
        <f>'Profit &amp; Loss'!B829</f>
        <v>0</v>
      </c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</row>
    <row r="830" spans="1:20" ht="12.5" x14ac:dyDescent="0.25">
      <c r="A830" s="63">
        <f>'Profit &amp; Loss'!A830</f>
        <v>0</v>
      </c>
      <c r="B830" s="33">
        <f>'Profit &amp; Loss'!B830</f>
        <v>0</v>
      </c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</row>
    <row r="831" spans="1:20" ht="12.5" x14ac:dyDescent="0.25">
      <c r="A831" s="63">
        <f>'Profit &amp; Loss'!A831</f>
        <v>0</v>
      </c>
      <c r="B831" s="33">
        <f>'Profit &amp; Loss'!B831</f>
        <v>0</v>
      </c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</row>
    <row r="832" spans="1:20" ht="12.5" x14ac:dyDescent="0.25">
      <c r="A832" s="63">
        <f>'Profit &amp; Loss'!A832</f>
        <v>0</v>
      </c>
      <c r="B832" s="33">
        <f>'Profit &amp; Loss'!B832</f>
        <v>0</v>
      </c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</row>
    <row r="833" spans="1:20" ht="12.5" x14ac:dyDescent="0.25">
      <c r="A833" s="63">
        <f>'Profit &amp; Loss'!A833</f>
        <v>0</v>
      </c>
      <c r="B833" s="33">
        <f>'Profit &amp; Loss'!B833</f>
        <v>0</v>
      </c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</row>
    <row r="834" spans="1:20" ht="12.5" x14ac:dyDescent="0.25">
      <c r="A834" s="63">
        <f>'Profit &amp; Loss'!A834</f>
        <v>0</v>
      </c>
      <c r="B834" s="33">
        <f>'Profit &amp; Loss'!B834</f>
        <v>0</v>
      </c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</row>
    <row r="835" spans="1:20" ht="12.5" x14ac:dyDescent="0.25">
      <c r="A835" s="63">
        <f>'Profit &amp; Loss'!A835</f>
        <v>0</v>
      </c>
      <c r="B835" s="33">
        <f>'Profit &amp; Loss'!B835</f>
        <v>0</v>
      </c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</row>
    <row r="836" spans="1:20" ht="12.5" x14ac:dyDescent="0.25">
      <c r="A836" s="63">
        <f>'Profit &amp; Loss'!A836</f>
        <v>0</v>
      </c>
      <c r="B836" s="33">
        <f>'Profit &amp; Loss'!B836</f>
        <v>0</v>
      </c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</row>
    <row r="837" spans="1:20" ht="12.5" x14ac:dyDescent="0.25">
      <c r="A837" s="63">
        <f>'Profit &amp; Loss'!A837</f>
        <v>0</v>
      </c>
      <c r="B837" s="33">
        <f>'Profit &amp; Loss'!B837</f>
        <v>0</v>
      </c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</row>
    <row r="838" spans="1:20" ht="12.5" x14ac:dyDescent="0.25">
      <c r="A838" s="63">
        <f>'Profit &amp; Loss'!A838</f>
        <v>0</v>
      </c>
      <c r="B838" s="33">
        <f>'Profit &amp; Loss'!B838</f>
        <v>0</v>
      </c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</row>
    <row r="839" spans="1:20" ht="12.5" x14ac:dyDescent="0.25">
      <c r="A839" s="63">
        <f>'Profit &amp; Loss'!A839</f>
        <v>0</v>
      </c>
      <c r="B839" s="33">
        <f>'Profit &amp; Loss'!B839</f>
        <v>0</v>
      </c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</row>
    <row r="840" spans="1:20" ht="12.5" x14ac:dyDescent="0.25">
      <c r="A840" s="63">
        <f>'Profit &amp; Loss'!A840</f>
        <v>0</v>
      </c>
      <c r="B840" s="33">
        <f>'Profit &amp; Loss'!B840</f>
        <v>0</v>
      </c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</row>
    <row r="841" spans="1:20" ht="12.5" x14ac:dyDescent="0.25">
      <c r="A841" s="63">
        <f>'Profit &amp; Loss'!A841</f>
        <v>0</v>
      </c>
      <c r="B841" s="33">
        <f>'Profit &amp; Loss'!B841</f>
        <v>0</v>
      </c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</row>
    <row r="842" spans="1:20" ht="12.5" x14ac:dyDescent="0.25">
      <c r="A842" s="63">
        <f>'Profit &amp; Loss'!A842</f>
        <v>0</v>
      </c>
      <c r="B842" s="33">
        <f>'Profit &amp; Loss'!B842</f>
        <v>0</v>
      </c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</row>
    <row r="843" spans="1:20" ht="12.5" x14ac:dyDescent="0.25">
      <c r="A843" s="63">
        <f>'Profit &amp; Loss'!A843</f>
        <v>0</v>
      </c>
      <c r="B843" s="33">
        <f>'Profit &amp; Loss'!B843</f>
        <v>0</v>
      </c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</row>
    <row r="844" spans="1:20" ht="12.5" x14ac:dyDescent="0.25">
      <c r="A844" s="63">
        <f>'Profit &amp; Loss'!A844</f>
        <v>0</v>
      </c>
      <c r="B844" s="33">
        <f>'Profit &amp; Loss'!B844</f>
        <v>0</v>
      </c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</row>
    <row r="845" spans="1:20" ht="12.5" x14ac:dyDescent="0.25">
      <c r="A845" s="63">
        <f>'Profit &amp; Loss'!A845</f>
        <v>0</v>
      </c>
      <c r="B845" s="33">
        <f>'Profit &amp; Loss'!B845</f>
        <v>0</v>
      </c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</row>
    <row r="846" spans="1:20" ht="12.5" x14ac:dyDescent="0.25">
      <c r="A846" s="63">
        <f>'Profit &amp; Loss'!A846</f>
        <v>0</v>
      </c>
      <c r="B846" s="33">
        <f>'Profit &amp; Loss'!B846</f>
        <v>0</v>
      </c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</row>
    <row r="847" spans="1:20" ht="12.5" x14ac:dyDescent="0.25">
      <c r="A847" s="63">
        <f>'Profit &amp; Loss'!A847</f>
        <v>0</v>
      </c>
      <c r="B847" s="33">
        <f>'Profit &amp; Loss'!B847</f>
        <v>0</v>
      </c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</row>
    <row r="848" spans="1:20" ht="12.5" x14ac:dyDescent="0.25">
      <c r="A848" s="63">
        <f>'Profit &amp; Loss'!A848</f>
        <v>0</v>
      </c>
      <c r="B848" s="33">
        <f>'Profit &amp; Loss'!B848</f>
        <v>0</v>
      </c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</row>
    <row r="849" spans="1:20" ht="12.5" x14ac:dyDescent="0.25">
      <c r="A849" s="63">
        <f>'Profit &amp; Loss'!A849</f>
        <v>0</v>
      </c>
      <c r="B849" s="33">
        <f>'Profit &amp; Loss'!B849</f>
        <v>0</v>
      </c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</row>
    <row r="850" spans="1:20" ht="12.5" x14ac:dyDescent="0.25">
      <c r="A850" s="63">
        <f>'Profit &amp; Loss'!A850</f>
        <v>0</v>
      </c>
      <c r="B850" s="33">
        <f>'Profit &amp; Loss'!B850</f>
        <v>0</v>
      </c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</row>
    <row r="851" spans="1:20" ht="12.5" x14ac:dyDescent="0.25">
      <c r="A851" s="63">
        <f>'Profit &amp; Loss'!A851</f>
        <v>0</v>
      </c>
      <c r="B851" s="33">
        <f>'Profit &amp; Loss'!B851</f>
        <v>0</v>
      </c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</row>
    <row r="852" spans="1:20" ht="12.5" x14ac:dyDescent="0.25">
      <c r="A852" s="63">
        <f>'Profit &amp; Loss'!A852</f>
        <v>0</v>
      </c>
      <c r="B852" s="33">
        <f>'Profit &amp; Loss'!B852</f>
        <v>0</v>
      </c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</row>
    <row r="853" spans="1:20" ht="12.5" x14ac:dyDescent="0.25">
      <c r="A853" s="63">
        <f>'Profit &amp; Loss'!A853</f>
        <v>0</v>
      </c>
      <c r="B853" s="33">
        <f>'Profit &amp; Loss'!B853</f>
        <v>0</v>
      </c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</row>
    <row r="854" spans="1:20" ht="12.5" x14ac:dyDescent="0.25">
      <c r="A854" s="63">
        <f>'Profit &amp; Loss'!A854</f>
        <v>0</v>
      </c>
      <c r="B854" s="33">
        <f>'Profit &amp; Loss'!B854</f>
        <v>0</v>
      </c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</row>
    <row r="855" spans="1:20" ht="12.5" x14ac:dyDescent="0.25">
      <c r="A855" s="63">
        <f>'Profit &amp; Loss'!A855</f>
        <v>0</v>
      </c>
      <c r="B855" s="33">
        <f>'Profit &amp; Loss'!B855</f>
        <v>0</v>
      </c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</row>
    <row r="856" spans="1:20" ht="12.5" x14ac:dyDescent="0.25">
      <c r="A856" s="63">
        <f>'Profit &amp; Loss'!A856</f>
        <v>0</v>
      </c>
      <c r="B856" s="33">
        <f>'Profit &amp; Loss'!B856</f>
        <v>0</v>
      </c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</row>
    <row r="857" spans="1:20" ht="12.5" x14ac:dyDescent="0.25">
      <c r="A857" s="63">
        <f>'Profit &amp; Loss'!A857</f>
        <v>0</v>
      </c>
      <c r="B857" s="33">
        <f>'Profit &amp; Loss'!B857</f>
        <v>0</v>
      </c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</row>
    <row r="858" spans="1:20" ht="12.5" x14ac:dyDescent="0.25">
      <c r="A858" s="63">
        <f>'Profit &amp; Loss'!A858</f>
        <v>0</v>
      </c>
      <c r="B858" s="33">
        <f>'Profit &amp; Loss'!B858</f>
        <v>0</v>
      </c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</row>
    <row r="859" spans="1:20" ht="12.5" x14ac:dyDescent="0.25">
      <c r="A859" s="63">
        <f>'Profit &amp; Loss'!A859</f>
        <v>0</v>
      </c>
      <c r="B859" s="33">
        <f>'Profit &amp; Loss'!B859</f>
        <v>0</v>
      </c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</row>
    <row r="860" spans="1:20" ht="12.5" x14ac:dyDescent="0.25">
      <c r="A860" s="63">
        <f>'Profit &amp; Loss'!A860</f>
        <v>0</v>
      </c>
      <c r="B860" s="33">
        <f>'Profit &amp; Loss'!B860</f>
        <v>0</v>
      </c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</row>
    <row r="861" spans="1:20" ht="12.5" x14ac:dyDescent="0.25">
      <c r="A861" s="63">
        <f>'Profit &amp; Loss'!A861</f>
        <v>0</v>
      </c>
      <c r="B861" s="33">
        <f>'Profit &amp; Loss'!B861</f>
        <v>0</v>
      </c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</row>
    <row r="862" spans="1:20" ht="12.5" x14ac:dyDescent="0.25">
      <c r="A862" s="63">
        <f>'Profit &amp; Loss'!A862</f>
        <v>0</v>
      </c>
      <c r="B862" s="33">
        <f>'Profit &amp; Loss'!B862</f>
        <v>0</v>
      </c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</row>
    <row r="863" spans="1:20" ht="12.5" x14ac:dyDescent="0.25">
      <c r="A863" s="63">
        <f>'Profit &amp; Loss'!A863</f>
        <v>0</v>
      </c>
      <c r="B863" s="33">
        <f>'Profit &amp; Loss'!B863</f>
        <v>0</v>
      </c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</row>
    <row r="864" spans="1:20" ht="12.5" x14ac:dyDescent="0.25">
      <c r="A864" s="63">
        <f>'Profit &amp; Loss'!A864</f>
        <v>0</v>
      </c>
      <c r="B864" s="33">
        <f>'Profit &amp; Loss'!B864</f>
        <v>0</v>
      </c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</row>
    <row r="865" spans="1:20" ht="12.5" x14ac:dyDescent="0.25">
      <c r="A865" s="63">
        <f>'Profit &amp; Loss'!A865</f>
        <v>0</v>
      </c>
      <c r="B865" s="33">
        <f>'Profit &amp; Loss'!B865</f>
        <v>0</v>
      </c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</row>
    <row r="866" spans="1:20" ht="12.5" x14ac:dyDescent="0.25">
      <c r="A866" s="63">
        <f>'Profit &amp; Loss'!A866</f>
        <v>0</v>
      </c>
      <c r="B866" s="33">
        <f>'Profit &amp; Loss'!B866</f>
        <v>0</v>
      </c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</row>
    <row r="867" spans="1:20" ht="12.5" x14ac:dyDescent="0.25">
      <c r="A867" s="63">
        <f>'Profit &amp; Loss'!A867</f>
        <v>0</v>
      </c>
      <c r="B867" s="33">
        <f>'Profit &amp; Loss'!B867</f>
        <v>0</v>
      </c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</row>
    <row r="868" spans="1:20" ht="12.5" x14ac:dyDescent="0.25">
      <c r="A868" s="63">
        <f>'Profit &amp; Loss'!A868</f>
        <v>0</v>
      </c>
      <c r="B868" s="33">
        <f>'Profit &amp; Loss'!B868</f>
        <v>0</v>
      </c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</row>
    <row r="869" spans="1:20" ht="12.5" x14ac:dyDescent="0.25">
      <c r="A869" s="63">
        <f>'Profit &amp; Loss'!A869</f>
        <v>0</v>
      </c>
      <c r="B869" s="33">
        <f>'Profit &amp; Loss'!B869</f>
        <v>0</v>
      </c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</row>
    <row r="870" spans="1:20" ht="12.5" x14ac:dyDescent="0.25">
      <c r="A870" s="63">
        <f>'Profit &amp; Loss'!A870</f>
        <v>0</v>
      </c>
      <c r="B870" s="33">
        <f>'Profit &amp; Loss'!B870</f>
        <v>0</v>
      </c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</row>
    <row r="871" spans="1:20" ht="12.5" x14ac:dyDescent="0.25">
      <c r="A871" s="63">
        <f>'Profit &amp; Loss'!A871</f>
        <v>0</v>
      </c>
      <c r="B871" s="33">
        <f>'Profit &amp; Loss'!B871</f>
        <v>0</v>
      </c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</row>
    <row r="872" spans="1:20" ht="12.5" x14ac:dyDescent="0.25">
      <c r="A872" s="63">
        <f>'Profit &amp; Loss'!A872</f>
        <v>0</v>
      </c>
      <c r="B872" s="33">
        <f>'Profit &amp; Loss'!B872</f>
        <v>0</v>
      </c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</row>
    <row r="873" spans="1:20" ht="12.5" x14ac:dyDescent="0.25">
      <c r="A873" s="63">
        <f>'Profit &amp; Loss'!A873</f>
        <v>0</v>
      </c>
      <c r="B873" s="33">
        <f>'Profit &amp; Loss'!B873</f>
        <v>0</v>
      </c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</row>
    <row r="874" spans="1:20" ht="12.5" x14ac:dyDescent="0.25">
      <c r="A874" s="63">
        <f>'Profit &amp; Loss'!A874</f>
        <v>0</v>
      </c>
      <c r="B874" s="33">
        <f>'Profit &amp; Loss'!B874</f>
        <v>0</v>
      </c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</row>
    <row r="875" spans="1:20" ht="12.5" x14ac:dyDescent="0.25">
      <c r="A875" s="63">
        <f>'Profit &amp; Loss'!A875</f>
        <v>0</v>
      </c>
      <c r="B875" s="33">
        <f>'Profit &amp; Loss'!B875</f>
        <v>0</v>
      </c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</row>
    <row r="876" spans="1:20" ht="12.5" x14ac:dyDescent="0.25">
      <c r="A876" s="63">
        <f>'Profit &amp; Loss'!A876</f>
        <v>0</v>
      </c>
      <c r="B876" s="33">
        <f>'Profit &amp; Loss'!B876</f>
        <v>0</v>
      </c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</row>
    <row r="877" spans="1:20" ht="12.5" x14ac:dyDescent="0.25">
      <c r="A877" s="63">
        <f>'Profit &amp; Loss'!A877</f>
        <v>0</v>
      </c>
      <c r="B877" s="33">
        <f>'Profit &amp; Loss'!B877</f>
        <v>0</v>
      </c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</row>
    <row r="878" spans="1:20" ht="12.5" x14ac:dyDescent="0.25">
      <c r="A878" s="63">
        <f>'Profit &amp; Loss'!A878</f>
        <v>0</v>
      </c>
      <c r="B878" s="33">
        <f>'Profit &amp; Loss'!B878</f>
        <v>0</v>
      </c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</row>
    <row r="879" spans="1:20" ht="12.5" x14ac:dyDescent="0.25">
      <c r="A879" s="63">
        <f>'Profit &amp; Loss'!A879</f>
        <v>0</v>
      </c>
      <c r="B879" s="33">
        <f>'Profit &amp; Loss'!B879</f>
        <v>0</v>
      </c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</row>
    <row r="880" spans="1:20" ht="12.5" x14ac:dyDescent="0.25">
      <c r="A880" s="63">
        <f>'Profit &amp; Loss'!A880</f>
        <v>0</v>
      </c>
      <c r="B880" s="33">
        <f>'Profit &amp; Loss'!B880</f>
        <v>0</v>
      </c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</row>
    <row r="881" spans="1:20" ht="12.5" x14ac:dyDescent="0.25">
      <c r="A881" s="63">
        <f>'Profit &amp; Loss'!A881</f>
        <v>0</v>
      </c>
      <c r="B881" s="33">
        <f>'Profit &amp; Loss'!B881</f>
        <v>0</v>
      </c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</row>
    <row r="882" spans="1:20" ht="12.5" x14ac:dyDescent="0.25">
      <c r="A882" s="63">
        <f>'Profit &amp; Loss'!A882</f>
        <v>0</v>
      </c>
      <c r="B882" s="33">
        <f>'Profit &amp; Loss'!B882</f>
        <v>0</v>
      </c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</row>
    <row r="883" spans="1:20" ht="12.5" x14ac:dyDescent="0.25">
      <c r="A883" s="63">
        <f>'Profit &amp; Loss'!A883</f>
        <v>0</v>
      </c>
      <c r="B883" s="33">
        <f>'Profit &amp; Loss'!B883</f>
        <v>0</v>
      </c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</row>
    <row r="884" spans="1:20" ht="12.5" x14ac:dyDescent="0.25">
      <c r="A884" s="63">
        <f>'Profit &amp; Loss'!A884</f>
        <v>0</v>
      </c>
      <c r="B884" s="33">
        <f>'Profit &amp; Loss'!B884</f>
        <v>0</v>
      </c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</row>
    <row r="885" spans="1:20" ht="12.5" x14ac:dyDescent="0.25">
      <c r="A885" s="63">
        <f>'Profit &amp; Loss'!A885</f>
        <v>0</v>
      </c>
      <c r="B885" s="33">
        <f>'Profit &amp; Loss'!B885</f>
        <v>0</v>
      </c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</row>
    <row r="886" spans="1:20" ht="12.5" x14ac:dyDescent="0.25">
      <c r="A886" s="63">
        <f>'Profit &amp; Loss'!A886</f>
        <v>0</v>
      </c>
      <c r="B886" s="33">
        <f>'Profit &amp; Loss'!B886</f>
        <v>0</v>
      </c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</row>
    <row r="887" spans="1:20" ht="12.5" x14ac:dyDescent="0.25">
      <c r="A887" s="63">
        <f>'Profit &amp; Loss'!A887</f>
        <v>0</v>
      </c>
      <c r="B887" s="33">
        <f>'Profit &amp; Loss'!B887</f>
        <v>0</v>
      </c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</row>
    <row r="888" spans="1:20" ht="12.5" x14ac:dyDescent="0.25">
      <c r="A888" s="63">
        <f>'Profit &amp; Loss'!A888</f>
        <v>0</v>
      </c>
      <c r="B888" s="33">
        <f>'Profit &amp; Loss'!B888</f>
        <v>0</v>
      </c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</row>
    <row r="889" spans="1:20" ht="12.5" x14ac:dyDescent="0.25">
      <c r="A889" s="63">
        <f>'Profit &amp; Loss'!A889</f>
        <v>0</v>
      </c>
      <c r="B889" s="33">
        <f>'Profit &amp; Loss'!B889</f>
        <v>0</v>
      </c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</row>
    <row r="890" spans="1:20" ht="12.5" x14ac:dyDescent="0.25">
      <c r="A890" s="63">
        <f>'Profit &amp; Loss'!A890</f>
        <v>0</v>
      </c>
      <c r="B890" s="33">
        <f>'Profit &amp; Loss'!B890</f>
        <v>0</v>
      </c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</row>
    <row r="891" spans="1:20" ht="12.5" x14ac:dyDescent="0.25">
      <c r="A891" s="63">
        <f>'Profit &amp; Loss'!A891</f>
        <v>0</v>
      </c>
      <c r="B891" s="33">
        <f>'Profit &amp; Loss'!B891</f>
        <v>0</v>
      </c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</row>
    <row r="892" spans="1:20" ht="12.5" x14ac:dyDescent="0.25">
      <c r="A892" s="63">
        <f>'Profit &amp; Loss'!A892</f>
        <v>0</v>
      </c>
      <c r="B892" s="33">
        <f>'Profit &amp; Loss'!B892</f>
        <v>0</v>
      </c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</row>
    <row r="893" spans="1:20" ht="12.5" x14ac:dyDescent="0.25">
      <c r="A893" s="63">
        <f>'Profit &amp; Loss'!A893</f>
        <v>0</v>
      </c>
      <c r="B893" s="33">
        <f>'Profit &amp; Loss'!B893</f>
        <v>0</v>
      </c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</row>
    <row r="894" spans="1:20" ht="12.5" x14ac:dyDescent="0.25">
      <c r="A894" s="63">
        <f>'Profit &amp; Loss'!A894</f>
        <v>0</v>
      </c>
      <c r="B894" s="33">
        <f>'Profit &amp; Loss'!B894</f>
        <v>0</v>
      </c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</row>
    <row r="895" spans="1:20" ht="12.5" x14ac:dyDescent="0.25">
      <c r="A895" s="63">
        <f>'Profit &amp; Loss'!A895</f>
        <v>0</v>
      </c>
      <c r="B895" s="33">
        <f>'Profit &amp; Loss'!B895</f>
        <v>0</v>
      </c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</row>
    <row r="896" spans="1:20" ht="12.5" x14ac:dyDescent="0.25">
      <c r="A896" s="63">
        <f>'Profit &amp; Loss'!A896</f>
        <v>0</v>
      </c>
      <c r="B896" s="33">
        <f>'Profit &amp; Loss'!B896</f>
        <v>0</v>
      </c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</row>
    <row r="897" spans="1:20" ht="12.5" x14ac:dyDescent="0.25">
      <c r="A897" s="63">
        <f>'Profit &amp; Loss'!A897</f>
        <v>0</v>
      </c>
      <c r="B897" s="33">
        <f>'Profit &amp; Loss'!B897</f>
        <v>0</v>
      </c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</row>
    <row r="898" spans="1:20" ht="12.5" x14ac:dyDescent="0.25">
      <c r="A898" s="63">
        <f>'Profit &amp; Loss'!A898</f>
        <v>0</v>
      </c>
      <c r="B898" s="33">
        <f>'Profit &amp; Loss'!B898</f>
        <v>0</v>
      </c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</row>
    <row r="899" spans="1:20" ht="12.5" x14ac:dyDescent="0.25">
      <c r="A899" s="63">
        <f>'Profit &amp; Loss'!A899</f>
        <v>0</v>
      </c>
      <c r="B899" s="33">
        <f>'Profit &amp; Loss'!B899</f>
        <v>0</v>
      </c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</row>
    <row r="900" spans="1:20" ht="12.5" x14ac:dyDescent="0.25">
      <c r="A900" s="63">
        <f>'Profit &amp; Loss'!A900</f>
        <v>0</v>
      </c>
      <c r="B900" s="33">
        <f>'Profit &amp; Loss'!B900</f>
        <v>0</v>
      </c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</row>
    <row r="901" spans="1:20" ht="12.5" x14ac:dyDescent="0.25">
      <c r="A901" s="63">
        <f>'Profit &amp; Loss'!A901</f>
        <v>0</v>
      </c>
      <c r="B901" s="33">
        <f>'Profit &amp; Loss'!B901</f>
        <v>0</v>
      </c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</row>
    <row r="902" spans="1:20" ht="12.5" x14ac:dyDescent="0.25">
      <c r="A902" s="63">
        <f>'Profit &amp; Loss'!A902</f>
        <v>0</v>
      </c>
      <c r="B902" s="33">
        <f>'Profit &amp; Loss'!B902</f>
        <v>0</v>
      </c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</row>
    <row r="903" spans="1:20" ht="12.5" x14ac:dyDescent="0.25">
      <c r="A903" s="63">
        <f>'Profit &amp; Loss'!A903</f>
        <v>0</v>
      </c>
      <c r="B903" s="33">
        <f>'Profit &amp; Loss'!B903</f>
        <v>0</v>
      </c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</row>
    <row r="904" spans="1:20" ht="12.5" x14ac:dyDescent="0.25">
      <c r="A904" s="63">
        <f>'Profit &amp; Loss'!A904</f>
        <v>0</v>
      </c>
      <c r="B904" s="33">
        <f>'Profit &amp; Loss'!B904</f>
        <v>0</v>
      </c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</row>
    <row r="905" spans="1:20" ht="12.5" x14ac:dyDescent="0.25">
      <c r="A905" s="63">
        <f>'Profit &amp; Loss'!A905</f>
        <v>0</v>
      </c>
      <c r="B905" s="33">
        <f>'Profit &amp; Loss'!B905</f>
        <v>0</v>
      </c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</row>
    <row r="906" spans="1:20" ht="12.5" x14ac:dyDescent="0.25">
      <c r="A906" s="63">
        <f>'Profit &amp; Loss'!A906</f>
        <v>0</v>
      </c>
      <c r="B906" s="33">
        <f>'Profit &amp; Loss'!B906</f>
        <v>0</v>
      </c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</row>
    <row r="907" spans="1:20" ht="12.5" x14ac:dyDescent="0.25">
      <c r="A907" s="63">
        <f>'Profit &amp; Loss'!A907</f>
        <v>0</v>
      </c>
      <c r="B907" s="33">
        <f>'Profit &amp; Loss'!B907</f>
        <v>0</v>
      </c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</row>
    <row r="908" spans="1:20" ht="12.5" x14ac:dyDescent="0.25">
      <c r="A908" s="63">
        <f>'Profit &amp; Loss'!A908</f>
        <v>0</v>
      </c>
      <c r="B908" s="33">
        <f>'Profit &amp; Loss'!B908</f>
        <v>0</v>
      </c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</row>
    <row r="909" spans="1:20" ht="12.5" x14ac:dyDescent="0.25">
      <c r="A909" s="63">
        <f>'Profit &amp; Loss'!A909</f>
        <v>0</v>
      </c>
      <c r="B909" s="33">
        <f>'Profit &amp; Loss'!B909</f>
        <v>0</v>
      </c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</row>
    <row r="910" spans="1:20" ht="12.5" x14ac:dyDescent="0.25">
      <c r="A910" s="63">
        <f>'Profit &amp; Loss'!A910</f>
        <v>0</v>
      </c>
      <c r="B910" s="33">
        <f>'Profit &amp; Loss'!B910</f>
        <v>0</v>
      </c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</row>
    <row r="911" spans="1:20" ht="12.5" x14ac:dyDescent="0.25">
      <c r="A911" s="63">
        <f>'Profit &amp; Loss'!A911</f>
        <v>0</v>
      </c>
      <c r="B911" s="33">
        <f>'Profit &amp; Loss'!B911</f>
        <v>0</v>
      </c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</row>
    <row r="912" spans="1:20" ht="12.5" x14ac:dyDescent="0.25">
      <c r="A912" s="63">
        <f>'Profit &amp; Loss'!A912</f>
        <v>0</v>
      </c>
      <c r="B912" s="33">
        <f>'Profit &amp; Loss'!B912</f>
        <v>0</v>
      </c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</row>
    <row r="913" spans="1:20" ht="12.5" x14ac:dyDescent="0.25">
      <c r="A913" s="63">
        <f>'Profit &amp; Loss'!A913</f>
        <v>0</v>
      </c>
      <c r="B913" s="33">
        <f>'Profit &amp; Loss'!B913</f>
        <v>0</v>
      </c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</row>
    <row r="914" spans="1:20" ht="12.5" x14ac:dyDescent="0.25">
      <c r="A914" s="63">
        <f>'Profit &amp; Loss'!A914</f>
        <v>0</v>
      </c>
      <c r="B914" s="33">
        <f>'Profit &amp; Loss'!B914</f>
        <v>0</v>
      </c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</row>
    <row r="915" spans="1:20" ht="12.5" x14ac:dyDescent="0.25">
      <c r="A915" s="63">
        <f>'Profit &amp; Loss'!A915</f>
        <v>0</v>
      </c>
      <c r="B915" s="33">
        <f>'Profit &amp; Loss'!B915</f>
        <v>0</v>
      </c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</row>
    <row r="916" spans="1:20" ht="12.5" x14ac:dyDescent="0.25">
      <c r="A916" s="63">
        <f>'Profit &amp; Loss'!A916</f>
        <v>0</v>
      </c>
      <c r="B916" s="33">
        <f>'Profit &amp; Loss'!B916</f>
        <v>0</v>
      </c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</row>
    <row r="917" spans="1:20" ht="12.5" x14ac:dyDescent="0.25">
      <c r="A917" s="63">
        <f>'Profit &amp; Loss'!A917</f>
        <v>0</v>
      </c>
      <c r="B917" s="33">
        <f>'Profit &amp; Loss'!B917</f>
        <v>0</v>
      </c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</row>
    <row r="918" spans="1:20" ht="12.5" x14ac:dyDescent="0.25">
      <c r="A918" s="63">
        <f>'Profit &amp; Loss'!A918</f>
        <v>0</v>
      </c>
      <c r="B918" s="33">
        <f>'Profit &amp; Loss'!B918</f>
        <v>0</v>
      </c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</row>
    <row r="919" spans="1:20" ht="12.5" x14ac:dyDescent="0.25">
      <c r="A919" s="63">
        <f>'Profit &amp; Loss'!A919</f>
        <v>0</v>
      </c>
      <c r="B919" s="33">
        <f>'Profit &amp; Loss'!B919</f>
        <v>0</v>
      </c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</row>
    <row r="920" spans="1:20" ht="12.5" x14ac:dyDescent="0.25">
      <c r="A920" s="63">
        <f>'Profit &amp; Loss'!A920</f>
        <v>0</v>
      </c>
      <c r="B920" s="33">
        <f>'Profit &amp; Loss'!B920</f>
        <v>0</v>
      </c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</row>
    <row r="921" spans="1:20" ht="12.5" x14ac:dyDescent="0.25">
      <c r="A921" s="63">
        <f>'Profit &amp; Loss'!A921</f>
        <v>0</v>
      </c>
      <c r="B921" s="33">
        <f>'Profit &amp; Loss'!B921</f>
        <v>0</v>
      </c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</row>
    <row r="922" spans="1:20" ht="12.5" x14ac:dyDescent="0.25">
      <c r="A922" s="63">
        <f>'Profit &amp; Loss'!A922</f>
        <v>0</v>
      </c>
      <c r="B922" s="33">
        <f>'Profit &amp; Loss'!B922</f>
        <v>0</v>
      </c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</row>
    <row r="923" spans="1:20" ht="12.5" x14ac:dyDescent="0.25">
      <c r="A923" s="63">
        <f>'Profit &amp; Loss'!A923</f>
        <v>0</v>
      </c>
      <c r="B923" s="33">
        <f>'Profit &amp; Loss'!B923</f>
        <v>0</v>
      </c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</row>
    <row r="924" spans="1:20" ht="12.5" x14ac:dyDescent="0.25">
      <c r="A924" s="63">
        <f>'Profit &amp; Loss'!A924</f>
        <v>0</v>
      </c>
      <c r="B924" s="33">
        <f>'Profit &amp; Loss'!B924</f>
        <v>0</v>
      </c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</row>
    <row r="925" spans="1:20" ht="12.5" x14ac:dyDescent="0.25">
      <c r="A925" s="63">
        <f>'Profit &amp; Loss'!A925</f>
        <v>0</v>
      </c>
      <c r="B925" s="33">
        <f>'Profit &amp; Loss'!B925</f>
        <v>0</v>
      </c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</row>
    <row r="926" spans="1:20" ht="12.5" x14ac:dyDescent="0.25">
      <c r="A926" s="63">
        <f>'Profit &amp; Loss'!A926</f>
        <v>0</v>
      </c>
      <c r="B926" s="33">
        <f>'Profit &amp; Loss'!B926</f>
        <v>0</v>
      </c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</row>
    <row r="927" spans="1:20" ht="12.5" x14ac:dyDescent="0.25">
      <c r="A927" s="63">
        <f>'Profit &amp; Loss'!A927</f>
        <v>0</v>
      </c>
      <c r="B927" s="33">
        <f>'Profit &amp; Loss'!B927</f>
        <v>0</v>
      </c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</row>
    <row r="928" spans="1:20" ht="12.5" x14ac:dyDescent="0.25">
      <c r="A928" s="63">
        <f>'Profit &amp; Loss'!A928</f>
        <v>0</v>
      </c>
      <c r="B928" s="33">
        <f>'Profit &amp; Loss'!B928</f>
        <v>0</v>
      </c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</row>
    <row r="929" spans="1:20" ht="12.5" x14ac:dyDescent="0.25">
      <c r="A929" s="63">
        <f>'Profit &amp; Loss'!A929</f>
        <v>0</v>
      </c>
      <c r="B929" s="33">
        <f>'Profit &amp; Loss'!B929</f>
        <v>0</v>
      </c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</row>
    <row r="930" spans="1:20" ht="12.5" x14ac:dyDescent="0.25">
      <c r="A930" s="63">
        <f>'Profit &amp; Loss'!A930</f>
        <v>0</v>
      </c>
      <c r="B930" s="33">
        <f>'Profit &amp; Loss'!B930</f>
        <v>0</v>
      </c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</row>
    <row r="931" spans="1:20" ht="12.5" x14ac:dyDescent="0.25">
      <c r="A931" s="63">
        <f>'Profit &amp; Loss'!A931</f>
        <v>0</v>
      </c>
      <c r="B931" s="33">
        <f>'Profit &amp; Loss'!B931</f>
        <v>0</v>
      </c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</row>
    <row r="932" spans="1:20" ht="12.5" x14ac:dyDescent="0.25">
      <c r="A932" s="63">
        <f>'Profit &amp; Loss'!A932</f>
        <v>0</v>
      </c>
      <c r="B932" s="33">
        <f>'Profit &amp; Loss'!B932</f>
        <v>0</v>
      </c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</row>
    <row r="933" spans="1:20" ht="12.5" x14ac:dyDescent="0.25">
      <c r="A933" s="63">
        <f>'Profit &amp; Loss'!A933</f>
        <v>0</v>
      </c>
      <c r="B933" s="33">
        <f>'Profit &amp; Loss'!B933</f>
        <v>0</v>
      </c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</row>
    <row r="934" spans="1:20" ht="12.5" x14ac:dyDescent="0.25">
      <c r="A934" s="63">
        <f>'Profit &amp; Loss'!A934</f>
        <v>0</v>
      </c>
      <c r="B934" s="33">
        <f>'Profit &amp; Loss'!B934</f>
        <v>0</v>
      </c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</row>
    <row r="935" spans="1:20" ht="12.5" x14ac:dyDescent="0.25">
      <c r="A935" s="63">
        <f>'Profit &amp; Loss'!A935</f>
        <v>0</v>
      </c>
      <c r="B935" s="33">
        <f>'Profit &amp; Loss'!B935</f>
        <v>0</v>
      </c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</row>
    <row r="936" spans="1:20" ht="12.5" x14ac:dyDescent="0.25">
      <c r="A936" s="63">
        <f>'Profit &amp; Loss'!A936</f>
        <v>0</v>
      </c>
      <c r="B936" s="33">
        <f>'Profit &amp; Loss'!B936</f>
        <v>0</v>
      </c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</row>
    <row r="937" spans="1:20" ht="12.5" x14ac:dyDescent="0.25">
      <c r="A937" s="63">
        <f>'Profit &amp; Loss'!A937</f>
        <v>0</v>
      </c>
      <c r="B937" s="33">
        <f>'Profit &amp; Loss'!B937</f>
        <v>0</v>
      </c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</row>
    <row r="938" spans="1:20" ht="12.5" x14ac:dyDescent="0.25">
      <c r="A938" s="63">
        <f>'Profit &amp; Loss'!A938</f>
        <v>0</v>
      </c>
      <c r="B938" s="33">
        <f>'Profit &amp; Loss'!B938</f>
        <v>0</v>
      </c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</row>
    <row r="939" spans="1:20" ht="12.5" x14ac:dyDescent="0.25">
      <c r="A939" s="63">
        <f>'Profit &amp; Loss'!A939</f>
        <v>0</v>
      </c>
      <c r="B939" s="33">
        <f>'Profit &amp; Loss'!B939</f>
        <v>0</v>
      </c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</row>
    <row r="940" spans="1:20" ht="12.5" x14ac:dyDescent="0.25">
      <c r="A940" s="63">
        <f>'Profit &amp; Loss'!A940</f>
        <v>0</v>
      </c>
      <c r="B940" s="33">
        <f>'Profit &amp; Loss'!B940</f>
        <v>0</v>
      </c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</row>
    <row r="941" spans="1:20" ht="12.5" x14ac:dyDescent="0.25">
      <c r="A941" s="63">
        <f>'Profit &amp; Loss'!A941</f>
        <v>0</v>
      </c>
      <c r="B941" s="33">
        <f>'Profit &amp; Loss'!B941</f>
        <v>0</v>
      </c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</row>
    <row r="942" spans="1:20" ht="12.5" x14ac:dyDescent="0.25">
      <c r="A942" s="63">
        <f>'Profit &amp; Loss'!A942</f>
        <v>0</v>
      </c>
      <c r="B942" s="33">
        <f>'Profit &amp; Loss'!B942</f>
        <v>0</v>
      </c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</row>
    <row r="943" spans="1:20" ht="12.5" x14ac:dyDescent="0.25">
      <c r="A943" s="63">
        <f>'Profit &amp; Loss'!A943</f>
        <v>0</v>
      </c>
      <c r="B943" s="33">
        <f>'Profit &amp; Loss'!B943</f>
        <v>0</v>
      </c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</row>
    <row r="944" spans="1:20" ht="12.5" x14ac:dyDescent="0.25">
      <c r="A944" s="63">
        <f>'Profit &amp; Loss'!A944</f>
        <v>0</v>
      </c>
      <c r="B944" s="33">
        <f>'Profit &amp; Loss'!B944</f>
        <v>0</v>
      </c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</row>
    <row r="945" spans="1:20" ht="12.5" x14ac:dyDescent="0.25">
      <c r="A945" s="63">
        <f>'Profit &amp; Loss'!A945</f>
        <v>0</v>
      </c>
      <c r="B945" s="33">
        <f>'Profit &amp; Loss'!B945</f>
        <v>0</v>
      </c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</row>
    <row r="946" spans="1:20" ht="12.5" x14ac:dyDescent="0.25">
      <c r="A946" s="63">
        <f>'Profit &amp; Loss'!A946</f>
        <v>0</v>
      </c>
      <c r="B946" s="33">
        <f>'Profit &amp; Loss'!B946</f>
        <v>0</v>
      </c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</row>
    <row r="947" spans="1:20" ht="12.5" x14ac:dyDescent="0.25">
      <c r="A947" s="63">
        <f>'Profit &amp; Loss'!A947</f>
        <v>0</v>
      </c>
      <c r="B947" s="33">
        <f>'Profit &amp; Loss'!B947</f>
        <v>0</v>
      </c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</row>
    <row r="948" spans="1:20" ht="12.5" x14ac:dyDescent="0.25">
      <c r="A948" s="63">
        <f>'Profit &amp; Loss'!A948</f>
        <v>0</v>
      </c>
      <c r="B948" s="33">
        <f>'Profit &amp; Loss'!B948</f>
        <v>0</v>
      </c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</row>
    <row r="949" spans="1:20" ht="12.5" x14ac:dyDescent="0.25">
      <c r="A949" s="63">
        <f>'Profit &amp; Loss'!A949</f>
        <v>0</v>
      </c>
      <c r="B949" s="33">
        <f>'Profit &amp; Loss'!B949</f>
        <v>0</v>
      </c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</row>
    <row r="950" spans="1:20" ht="12.5" x14ac:dyDescent="0.25">
      <c r="A950" s="63">
        <f>'Profit &amp; Loss'!A950</f>
        <v>0</v>
      </c>
      <c r="B950" s="33">
        <f>'Profit &amp; Loss'!B950</f>
        <v>0</v>
      </c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</row>
    <row r="951" spans="1:20" ht="12.5" x14ac:dyDescent="0.25">
      <c r="A951" s="63">
        <f>'Profit &amp; Loss'!A951</f>
        <v>0</v>
      </c>
      <c r="B951" s="33">
        <f>'Profit &amp; Loss'!B951</f>
        <v>0</v>
      </c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</row>
    <row r="952" spans="1:20" ht="12.5" x14ac:dyDescent="0.25">
      <c r="A952" s="63">
        <f>'Profit &amp; Loss'!A952</f>
        <v>0</v>
      </c>
      <c r="B952" s="33">
        <f>'Profit &amp; Loss'!B952</f>
        <v>0</v>
      </c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</row>
    <row r="953" spans="1:20" ht="12.5" x14ac:dyDescent="0.25">
      <c r="A953" s="63">
        <f>'Profit &amp; Loss'!A953</f>
        <v>0</v>
      </c>
      <c r="B953" s="33">
        <f>'Profit &amp; Loss'!B953</f>
        <v>0</v>
      </c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</row>
    <row r="954" spans="1:20" ht="12.5" x14ac:dyDescent="0.25">
      <c r="A954" s="63">
        <f>'Profit &amp; Loss'!A954</f>
        <v>0</v>
      </c>
      <c r="B954" s="33">
        <f>'Profit &amp; Loss'!B954</f>
        <v>0</v>
      </c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</row>
    <row r="955" spans="1:20" ht="12.5" x14ac:dyDescent="0.25">
      <c r="A955" s="63">
        <f>'Profit &amp; Loss'!A955</f>
        <v>0</v>
      </c>
      <c r="B955" s="33">
        <f>'Profit &amp; Loss'!B955</f>
        <v>0</v>
      </c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</row>
    <row r="956" spans="1:20" ht="12.5" x14ac:dyDescent="0.25">
      <c r="A956" s="63">
        <f>'Profit &amp; Loss'!A956</f>
        <v>0</v>
      </c>
      <c r="B956" s="33">
        <f>'Profit &amp; Loss'!B956</f>
        <v>0</v>
      </c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</row>
    <row r="957" spans="1:20" ht="12.5" x14ac:dyDescent="0.25">
      <c r="A957" s="63">
        <f>'Profit &amp; Loss'!A957</f>
        <v>0</v>
      </c>
      <c r="B957" s="33">
        <f>'Profit &amp; Loss'!B957</f>
        <v>0</v>
      </c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</row>
    <row r="958" spans="1:20" ht="12.5" x14ac:dyDescent="0.25">
      <c r="A958" s="63">
        <f>'Profit &amp; Loss'!A958</f>
        <v>0</v>
      </c>
      <c r="B958" s="33">
        <f>'Profit &amp; Loss'!B958</f>
        <v>0</v>
      </c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</row>
    <row r="959" spans="1:20" ht="12.5" x14ac:dyDescent="0.25">
      <c r="A959" s="63">
        <f>'Profit &amp; Loss'!A959</f>
        <v>0</v>
      </c>
      <c r="B959" s="33">
        <f>'Profit &amp; Loss'!B959</f>
        <v>0</v>
      </c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</row>
    <row r="960" spans="1:20" ht="12.5" x14ac:dyDescent="0.25">
      <c r="A960" s="63">
        <f>'Profit &amp; Loss'!A960</f>
        <v>0</v>
      </c>
      <c r="B960" s="33">
        <f>'Profit &amp; Loss'!B960</f>
        <v>0</v>
      </c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</row>
    <row r="961" spans="1:20" ht="12.5" x14ac:dyDescent="0.25">
      <c r="A961" s="63">
        <f>'Profit &amp; Loss'!A961</f>
        <v>0</v>
      </c>
      <c r="B961" s="33">
        <f>'Profit &amp; Loss'!B961</f>
        <v>0</v>
      </c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</row>
    <row r="962" spans="1:20" ht="12.5" x14ac:dyDescent="0.25">
      <c r="A962" s="63">
        <f>'Profit &amp; Loss'!A962</f>
        <v>0</v>
      </c>
      <c r="B962" s="33">
        <f>'Profit &amp; Loss'!B962</f>
        <v>0</v>
      </c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</row>
    <row r="963" spans="1:20" ht="12.5" x14ac:dyDescent="0.25">
      <c r="A963" s="63">
        <f>'Profit &amp; Loss'!A963</f>
        <v>0</v>
      </c>
      <c r="B963" s="33">
        <f>'Profit &amp; Loss'!B963</f>
        <v>0</v>
      </c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</row>
    <row r="964" spans="1:20" ht="12.5" x14ac:dyDescent="0.25">
      <c r="A964" s="63">
        <f>'Profit &amp; Loss'!A964</f>
        <v>0</v>
      </c>
      <c r="B964" s="33">
        <f>'Profit &amp; Loss'!B964</f>
        <v>0</v>
      </c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</row>
    <row r="965" spans="1:20" ht="12.5" x14ac:dyDescent="0.25">
      <c r="A965" s="63">
        <f>'Profit &amp; Loss'!A965</f>
        <v>0</v>
      </c>
      <c r="B965" s="33">
        <f>'Profit &amp; Loss'!B965</f>
        <v>0</v>
      </c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</row>
    <row r="966" spans="1:20" ht="12.5" x14ac:dyDescent="0.25">
      <c r="A966" s="63">
        <f>'Profit &amp; Loss'!A966</f>
        <v>0</v>
      </c>
      <c r="B966" s="33">
        <f>'Profit &amp; Loss'!B966</f>
        <v>0</v>
      </c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</row>
    <row r="967" spans="1:20" ht="12.5" x14ac:dyDescent="0.25">
      <c r="A967" s="63">
        <f>'Profit &amp; Loss'!A967</f>
        <v>0</v>
      </c>
      <c r="B967" s="33">
        <f>'Profit &amp; Loss'!B967</f>
        <v>0</v>
      </c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</row>
    <row r="968" spans="1:20" ht="12.5" x14ac:dyDescent="0.25">
      <c r="A968" s="63">
        <f>'Profit &amp; Loss'!A968</f>
        <v>0</v>
      </c>
      <c r="B968" s="33">
        <f>'Profit &amp; Loss'!B968</f>
        <v>0</v>
      </c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</row>
    <row r="969" spans="1:20" ht="12.5" x14ac:dyDescent="0.25">
      <c r="A969" s="63">
        <f>'Profit &amp; Loss'!A969</f>
        <v>0</v>
      </c>
      <c r="B969" s="33">
        <f>'Profit &amp; Loss'!B969</f>
        <v>0</v>
      </c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</row>
    <row r="970" spans="1:20" ht="12.5" x14ac:dyDescent="0.25">
      <c r="A970" s="63">
        <f>'Profit &amp; Loss'!A970</f>
        <v>0</v>
      </c>
      <c r="B970" s="33">
        <f>'Profit &amp; Loss'!B970</f>
        <v>0</v>
      </c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</row>
    <row r="971" spans="1:20" ht="12.5" x14ac:dyDescent="0.25">
      <c r="A971" s="63">
        <f>'Profit &amp; Loss'!A971</f>
        <v>0</v>
      </c>
      <c r="B971" s="33">
        <f>'Profit &amp; Loss'!B971</f>
        <v>0</v>
      </c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</row>
    <row r="972" spans="1:20" ht="12.5" x14ac:dyDescent="0.25">
      <c r="A972" s="63">
        <f>'Profit &amp; Loss'!A972</f>
        <v>0</v>
      </c>
      <c r="B972" s="33">
        <f>'Profit &amp; Loss'!B972</f>
        <v>0</v>
      </c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</row>
    <row r="973" spans="1:20" ht="12.5" x14ac:dyDescent="0.25">
      <c r="A973" s="63">
        <f>'Profit &amp; Loss'!A973</f>
        <v>0</v>
      </c>
      <c r="B973" s="33">
        <f>'Profit &amp; Loss'!B973</f>
        <v>0</v>
      </c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</row>
    <row r="974" spans="1:20" ht="12.5" x14ac:dyDescent="0.25">
      <c r="A974" s="63">
        <f>'Profit &amp; Loss'!A974</f>
        <v>0</v>
      </c>
      <c r="B974" s="33">
        <f>'Profit &amp; Loss'!B974</f>
        <v>0</v>
      </c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</row>
    <row r="975" spans="1:20" ht="12.5" x14ac:dyDescent="0.25">
      <c r="A975" s="63">
        <f>'Profit &amp; Loss'!A975</f>
        <v>0</v>
      </c>
      <c r="B975" s="33">
        <f>'Profit &amp; Loss'!B975</f>
        <v>0</v>
      </c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</row>
    <row r="976" spans="1:20" ht="12.5" x14ac:dyDescent="0.25">
      <c r="A976" s="63">
        <f>'Profit &amp; Loss'!A976</f>
        <v>0</v>
      </c>
      <c r="B976" s="33">
        <f>'Profit &amp; Loss'!B976</f>
        <v>0</v>
      </c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</row>
    <row r="977" spans="1:20" ht="12.5" x14ac:dyDescent="0.25">
      <c r="A977" s="63">
        <f>'Profit &amp; Loss'!A977</f>
        <v>0</v>
      </c>
      <c r="B977" s="33">
        <f>'Profit &amp; Loss'!B977</f>
        <v>0</v>
      </c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</row>
    <row r="978" spans="1:20" ht="12.5" x14ac:dyDescent="0.25">
      <c r="A978" s="63">
        <f>'Profit &amp; Loss'!A978</f>
        <v>0</v>
      </c>
      <c r="B978" s="33">
        <f>'Profit &amp; Loss'!B978</f>
        <v>0</v>
      </c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</row>
    <row r="979" spans="1:20" ht="12.5" x14ac:dyDescent="0.25">
      <c r="A979" s="63">
        <f>'Profit &amp; Loss'!A979</f>
        <v>0</v>
      </c>
      <c r="B979" s="33">
        <f>'Profit &amp; Loss'!B979</f>
        <v>0</v>
      </c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</row>
    <row r="980" spans="1:20" ht="12.5" x14ac:dyDescent="0.25">
      <c r="A980" s="63">
        <f>'Profit &amp; Loss'!A980</f>
        <v>0</v>
      </c>
      <c r="B980" s="33">
        <f>'Profit &amp; Loss'!B980</f>
        <v>0</v>
      </c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</row>
    <row r="981" spans="1:20" ht="12.5" x14ac:dyDescent="0.25">
      <c r="A981" s="63">
        <f>'Profit &amp; Loss'!A981</f>
        <v>0</v>
      </c>
      <c r="B981" s="33">
        <f>'Profit &amp; Loss'!B981</f>
        <v>0</v>
      </c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</row>
    <row r="982" spans="1:20" ht="12.5" x14ac:dyDescent="0.25">
      <c r="A982" s="63">
        <f>'Profit &amp; Loss'!A982</f>
        <v>0</v>
      </c>
      <c r="B982" s="33">
        <f>'Profit &amp; Loss'!B982</f>
        <v>0</v>
      </c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</row>
    <row r="983" spans="1:20" ht="12.5" x14ac:dyDescent="0.25">
      <c r="A983" s="63">
        <f>'Profit &amp; Loss'!A983</f>
        <v>0</v>
      </c>
      <c r="B983" s="33">
        <f>'Profit &amp; Loss'!B983</f>
        <v>0</v>
      </c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</row>
    <row r="984" spans="1:20" ht="12.5" x14ac:dyDescent="0.25">
      <c r="A984" s="63">
        <f>'Profit &amp; Loss'!A984</f>
        <v>0</v>
      </c>
      <c r="B984" s="33">
        <f>'Profit &amp; Loss'!B984</f>
        <v>0</v>
      </c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</row>
    <row r="985" spans="1:20" ht="12.5" x14ac:dyDescent="0.25">
      <c r="A985" s="63">
        <f>'Profit &amp; Loss'!A985</f>
        <v>0</v>
      </c>
      <c r="B985" s="33">
        <f>'Profit &amp; Loss'!B985</f>
        <v>0</v>
      </c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</row>
    <row r="986" spans="1:20" ht="12.5" x14ac:dyDescent="0.25">
      <c r="A986" s="63">
        <f>'Profit &amp; Loss'!A986</f>
        <v>0</v>
      </c>
      <c r="B986" s="33">
        <f>'Profit &amp; Loss'!B986</f>
        <v>0</v>
      </c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</row>
    <row r="987" spans="1:20" ht="12.5" x14ac:dyDescent="0.25">
      <c r="A987" s="63">
        <f>'Profit &amp; Loss'!A987</f>
        <v>0</v>
      </c>
      <c r="B987" s="33">
        <f>'Profit &amp; Loss'!B987</f>
        <v>0</v>
      </c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</row>
    <row r="988" spans="1:20" ht="12.5" x14ac:dyDescent="0.25">
      <c r="A988" s="63">
        <f>'Profit &amp; Loss'!A988</f>
        <v>0</v>
      </c>
      <c r="B988" s="33">
        <f>'Profit &amp; Loss'!B988</f>
        <v>0</v>
      </c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</row>
    <row r="989" spans="1:20" ht="12.5" x14ac:dyDescent="0.25">
      <c r="A989" s="63">
        <f>'Profit &amp; Loss'!A989</f>
        <v>0</v>
      </c>
      <c r="B989" s="33">
        <f>'Profit &amp; Loss'!B989</f>
        <v>0</v>
      </c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</row>
    <row r="990" spans="1:20" ht="12.5" x14ac:dyDescent="0.25">
      <c r="A990" s="63">
        <f>'Profit &amp; Loss'!A990</f>
        <v>0</v>
      </c>
      <c r="B990" s="33">
        <f>'Profit &amp; Loss'!B990</f>
        <v>0</v>
      </c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</row>
    <row r="991" spans="1:20" ht="12.5" x14ac:dyDescent="0.25">
      <c r="A991" s="63">
        <f>'Profit &amp; Loss'!A991</f>
        <v>0</v>
      </c>
      <c r="B991" s="33">
        <f>'Profit &amp; Loss'!B991</f>
        <v>0</v>
      </c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</row>
    <row r="992" spans="1:20" ht="12.5" x14ac:dyDescent="0.25">
      <c r="A992" s="63">
        <f>'Profit &amp; Loss'!A992</f>
        <v>0</v>
      </c>
      <c r="B992" s="33">
        <f>'Profit &amp; Loss'!B992</f>
        <v>0</v>
      </c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</row>
    <row r="993" spans="1:20" ht="12.5" x14ac:dyDescent="0.25">
      <c r="A993" s="63">
        <f>'Profit &amp; Loss'!A993</f>
        <v>0</v>
      </c>
      <c r="B993" s="33">
        <f>'Profit &amp; Loss'!B993</f>
        <v>0</v>
      </c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</row>
    <row r="994" spans="1:20" ht="12.5" x14ac:dyDescent="0.25">
      <c r="A994" s="63">
        <f>'Profit &amp; Loss'!A994</f>
        <v>0</v>
      </c>
      <c r="B994" s="33">
        <f>'Profit &amp; Loss'!B994</f>
        <v>0</v>
      </c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</row>
    <row r="995" spans="1:20" ht="12.5" x14ac:dyDescent="0.25">
      <c r="A995" s="63">
        <f>'Profit &amp; Loss'!A995</f>
        <v>0</v>
      </c>
      <c r="B995" s="33">
        <f>'Profit &amp; Loss'!B995</f>
        <v>0</v>
      </c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</row>
    <row r="996" spans="1:20" ht="12.5" x14ac:dyDescent="0.25">
      <c r="A996" s="63">
        <f>'Profit &amp; Loss'!A996</f>
        <v>0</v>
      </c>
      <c r="B996" s="33">
        <f>'Profit &amp; Loss'!B996</f>
        <v>0</v>
      </c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</row>
    <row r="997" spans="1:20" ht="12.5" x14ac:dyDescent="0.25">
      <c r="A997" s="63">
        <f>'Profit &amp; Loss'!A997</f>
        <v>0</v>
      </c>
      <c r="B997" s="33">
        <f>'Profit &amp; Loss'!B997</f>
        <v>0</v>
      </c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</row>
    <row r="998" spans="1:20" ht="12.5" x14ac:dyDescent="0.25">
      <c r="A998" s="63">
        <f>'Profit &amp; Loss'!A998</f>
        <v>0</v>
      </c>
      <c r="B998" s="33">
        <f>'Profit &amp; Loss'!B998</f>
        <v>0</v>
      </c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</row>
    <row r="999" spans="1:20" ht="12.5" x14ac:dyDescent="0.25">
      <c r="A999" s="63">
        <f>'Profit &amp; Loss'!A999</f>
        <v>0</v>
      </c>
      <c r="B999" s="33">
        <f>'Profit &amp; Loss'!B999</f>
        <v>0</v>
      </c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'Pub List-Selection'!$A$4:$A999</xm:f>
          </x14:formula1>
          <xm:sqref>C6:T28 C29:H29 J29:T29 C30:T999</xm:sqref>
        </x14:dataValidation>
        <x14:dataValidation type="list" allowBlank="1" showErrorMessage="1" xr:uid="{00000000-0002-0000-0200-000001000000}">
          <x14:formula1>
            <xm:f>'Pub List-Selection'!$A$4:$A999</xm:f>
          </x14:formula1>
          <xm:sqref>I29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3" max="10" width="16.26953125" customWidth="1"/>
  </cols>
  <sheetData>
    <row r="1" spans="1:26" x14ac:dyDescent="0.3">
      <c r="A1" s="3" t="s">
        <v>239</v>
      </c>
      <c r="B1" s="4"/>
      <c r="C1" s="4"/>
      <c r="D1" s="4"/>
      <c r="E1" s="4"/>
      <c r="F1" s="4"/>
      <c r="G1" s="4"/>
      <c r="H1" s="4"/>
      <c r="I1" s="4"/>
      <c r="J1" s="4"/>
    </row>
    <row r="2" spans="1:26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26" ht="15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26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26" x14ac:dyDescent="0.3">
      <c r="A5" s="61" t="s">
        <v>9</v>
      </c>
      <c r="B5" s="61" t="s">
        <v>10</v>
      </c>
      <c r="C5" s="62" t="s">
        <v>240</v>
      </c>
      <c r="D5" s="62" t="s">
        <v>241</v>
      </c>
      <c r="E5" s="62" t="s">
        <v>242</v>
      </c>
      <c r="F5" s="62" t="s">
        <v>243</v>
      </c>
      <c r="G5" s="62" t="s">
        <v>244</v>
      </c>
      <c r="H5" s="62" t="s">
        <v>245</v>
      </c>
      <c r="I5" s="62" t="s">
        <v>246</v>
      </c>
      <c r="J5" s="62" t="s">
        <v>247</v>
      </c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63">
        <f>'Profit &amp; Loss'!A6</f>
        <v>45955</v>
      </c>
      <c r="B6" s="33" t="str">
        <f>'Profit &amp; Loss'!B6</f>
        <v>Sat</v>
      </c>
      <c r="C6" s="33" t="s">
        <v>248</v>
      </c>
      <c r="D6" s="33" t="s">
        <v>249</v>
      </c>
      <c r="E6" s="33" t="s">
        <v>250</v>
      </c>
      <c r="F6" s="33" t="s">
        <v>217</v>
      </c>
      <c r="G6" s="33"/>
      <c r="H6" s="33"/>
      <c r="I6" s="33"/>
      <c r="J6" s="33"/>
    </row>
    <row r="7" spans="1:26" ht="15.75" customHeight="1" x14ac:dyDescent="0.25">
      <c r="A7" s="63">
        <f>'Profit &amp; Loss'!A7</f>
        <v>45960</v>
      </c>
      <c r="B7" s="33" t="str">
        <f>'Profit &amp; Loss'!B7</f>
        <v>Thurs</v>
      </c>
      <c r="C7" s="33" t="s">
        <v>250</v>
      </c>
      <c r="D7" s="33" t="s">
        <v>251</v>
      </c>
      <c r="E7" s="33" t="s">
        <v>252</v>
      </c>
      <c r="F7" s="33"/>
      <c r="G7" s="33"/>
      <c r="H7" s="33"/>
      <c r="I7" s="33"/>
      <c r="J7" s="33"/>
    </row>
    <row r="8" spans="1:26" ht="15.75" customHeight="1" x14ac:dyDescent="0.25">
      <c r="A8" s="63">
        <f>'Profit &amp; Loss'!A8</f>
        <v>45963</v>
      </c>
      <c r="B8" s="33" t="str">
        <f>'Profit &amp; Loss'!B8</f>
        <v>Sun</v>
      </c>
      <c r="C8" s="33" t="s">
        <v>250</v>
      </c>
      <c r="D8" s="33" t="s">
        <v>253</v>
      </c>
      <c r="E8" s="33" t="s">
        <v>251</v>
      </c>
      <c r="F8" s="33" t="s">
        <v>252</v>
      </c>
      <c r="G8" s="33" t="s">
        <v>217</v>
      </c>
      <c r="H8" s="33"/>
      <c r="I8" s="33"/>
      <c r="J8" s="33"/>
    </row>
    <row r="9" spans="1:26" ht="15.75" customHeight="1" x14ac:dyDescent="0.25">
      <c r="A9" s="63">
        <f>'Profit &amp; Loss'!A9</f>
        <v>45965</v>
      </c>
      <c r="B9" s="33" t="str">
        <f>'Profit &amp; Loss'!B9</f>
        <v>Tues</v>
      </c>
      <c r="C9" s="33" t="s">
        <v>250</v>
      </c>
      <c r="D9" s="33" t="s">
        <v>253</v>
      </c>
      <c r="E9" s="33" t="s">
        <v>251</v>
      </c>
      <c r="F9" s="33" t="s">
        <v>252</v>
      </c>
      <c r="G9" s="33" t="s">
        <v>217</v>
      </c>
      <c r="H9" s="33"/>
      <c r="I9" s="33"/>
      <c r="J9" s="33"/>
    </row>
    <row r="10" spans="1:26" ht="15.75" customHeight="1" x14ac:dyDescent="0.25">
      <c r="A10" s="63">
        <f>'Profit &amp; Loss'!A10</f>
        <v>45969</v>
      </c>
      <c r="B10" s="33" t="str">
        <f>'Profit &amp; Loss'!B10</f>
        <v>Sat</v>
      </c>
      <c r="C10" s="33" t="s">
        <v>249</v>
      </c>
      <c r="D10" s="33" t="s">
        <v>248</v>
      </c>
      <c r="E10" s="33" t="s">
        <v>253</v>
      </c>
      <c r="F10" s="33" t="s">
        <v>251</v>
      </c>
      <c r="G10" s="33" t="s">
        <v>254</v>
      </c>
      <c r="H10" s="33"/>
      <c r="I10" s="33"/>
      <c r="J10" s="33"/>
    </row>
    <row r="11" spans="1:26" ht="15.75" customHeight="1" x14ac:dyDescent="0.25">
      <c r="A11" s="63">
        <f>'Profit &amp; Loss'!A11</f>
        <v>45973</v>
      </c>
      <c r="B11" s="33" t="str">
        <f>'Profit &amp; Loss'!B11</f>
        <v>Wed</v>
      </c>
      <c r="C11" s="33" t="s">
        <v>253</v>
      </c>
      <c r="D11" s="33" t="s">
        <v>249</v>
      </c>
      <c r="E11" s="33" t="s">
        <v>251</v>
      </c>
      <c r="F11" s="33"/>
      <c r="G11" s="33"/>
      <c r="H11" s="33"/>
      <c r="I11" s="33"/>
      <c r="J11" s="33"/>
    </row>
    <row r="12" spans="1:26" ht="15.75" customHeight="1" x14ac:dyDescent="0.25">
      <c r="A12" s="63">
        <f>'Profit &amp; Loss'!A12</f>
        <v>45977</v>
      </c>
      <c r="B12" s="33" t="str">
        <f>'Profit &amp; Loss'!B12</f>
        <v>Sun</v>
      </c>
      <c r="C12" s="33" t="s">
        <v>250</v>
      </c>
      <c r="D12" s="33" t="s">
        <v>253</v>
      </c>
      <c r="E12" s="33" t="s">
        <v>249</v>
      </c>
      <c r="F12" s="33" t="s">
        <v>251</v>
      </c>
      <c r="G12" s="33" t="s">
        <v>248</v>
      </c>
      <c r="H12" s="33" t="s">
        <v>252</v>
      </c>
      <c r="I12" s="33" t="s">
        <v>254</v>
      </c>
      <c r="J12" s="33"/>
    </row>
    <row r="13" spans="1:26" ht="15.75" customHeight="1" x14ac:dyDescent="0.25">
      <c r="A13" s="63">
        <f>'Profit &amp; Loss'!A13</f>
        <v>45978</v>
      </c>
      <c r="B13" s="33" t="str">
        <f>'Profit &amp; Loss'!B13</f>
        <v>Mon</v>
      </c>
      <c r="C13" s="33" t="s">
        <v>250</v>
      </c>
      <c r="D13" s="33" t="s">
        <v>253</v>
      </c>
      <c r="E13" s="33"/>
      <c r="F13" s="33"/>
      <c r="G13" s="33"/>
      <c r="H13" s="33"/>
      <c r="I13" s="33"/>
      <c r="J13" s="33"/>
    </row>
    <row r="14" spans="1:26" ht="15.75" customHeight="1" x14ac:dyDescent="0.25">
      <c r="A14" s="63">
        <f>'Profit &amp; Loss'!A14</f>
        <v>45979</v>
      </c>
      <c r="B14" s="33" t="str">
        <f>'Profit &amp; Loss'!B14</f>
        <v>Tues</v>
      </c>
      <c r="C14" s="33" t="s">
        <v>249</v>
      </c>
      <c r="D14" s="33" t="s">
        <v>248</v>
      </c>
      <c r="E14" s="33"/>
      <c r="F14" s="33"/>
      <c r="G14" s="33"/>
      <c r="H14" s="33"/>
      <c r="I14" s="33"/>
      <c r="J14" s="33"/>
    </row>
    <row r="15" spans="1:26" ht="15.75" customHeight="1" x14ac:dyDescent="0.25">
      <c r="A15" s="63">
        <f>'Profit &amp; Loss'!A15</f>
        <v>45981</v>
      </c>
      <c r="B15" s="33" t="str">
        <f>'Profit &amp; Loss'!B15</f>
        <v>Thurs</v>
      </c>
      <c r="C15" s="33" t="s">
        <v>250</v>
      </c>
      <c r="D15" s="33" t="s">
        <v>253</v>
      </c>
      <c r="E15" s="33" t="s">
        <v>251</v>
      </c>
      <c r="F15" s="33" t="s">
        <v>252</v>
      </c>
      <c r="G15" s="33" t="s">
        <v>217</v>
      </c>
      <c r="H15" s="33"/>
      <c r="I15" s="33"/>
      <c r="J15" s="33"/>
    </row>
    <row r="16" spans="1:26" ht="15.75" customHeight="1" x14ac:dyDescent="0.25">
      <c r="A16" s="63">
        <f>'Profit &amp; Loss'!A16</f>
        <v>45984</v>
      </c>
      <c r="B16" s="33" t="str">
        <f>'Profit &amp; Loss'!B16</f>
        <v>Sun</v>
      </c>
      <c r="C16" s="33" t="s">
        <v>250</v>
      </c>
      <c r="D16" s="33" t="s">
        <v>253</v>
      </c>
      <c r="E16" s="33" t="s">
        <v>251</v>
      </c>
      <c r="F16" s="33" t="s">
        <v>252</v>
      </c>
      <c r="G16" s="33"/>
      <c r="H16" s="33"/>
      <c r="I16" s="33"/>
      <c r="J16" s="33"/>
    </row>
    <row r="17" spans="1:10" ht="15.75" customHeight="1" x14ac:dyDescent="0.25">
      <c r="A17" s="63">
        <f>'Profit &amp; Loss'!A17</f>
        <v>45987</v>
      </c>
      <c r="B17" s="33" t="str">
        <f>'Profit &amp; Loss'!B17</f>
        <v>Wed</v>
      </c>
      <c r="C17" s="33" t="s">
        <v>250</v>
      </c>
      <c r="D17" s="33" t="s">
        <v>253</v>
      </c>
      <c r="E17" s="33" t="s">
        <v>251</v>
      </c>
      <c r="F17" s="33" t="s">
        <v>252</v>
      </c>
      <c r="G17" s="33" t="s">
        <v>217</v>
      </c>
      <c r="H17" s="33"/>
      <c r="I17" s="33"/>
      <c r="J17" s="33"/>
    </row>
    <row r="18" spans="1:10" ht="15.75" customHeight="1" x14ac:dyDescent="0.25">
      <c r="A18" s="63">
        <f>'Profit &amp; Loss'!A18</f>
        <v>45988</v>
      </c>
      <c r="B18" s="33" t="str">
        <f>'Profit &amp; Loss'!B18</f>
        <v>Thurs</v>
      </c>
      <c r="C18" s="33" t="s">
        <v>250</v>
      </c>
      <c r="D18" s="33" t="s">
        <v>253</v>
      </c>
      <c r="E18" s="33" t="s">
        <v>251</v>
      </c>
      <c r="F18" s="33" t="s">
        <v>252</v>
      </c>
      <c r="G18" s="33" t="s">
        <v>217</v>
      </c>
      <c r="H18" s="33"/>
      <c r="I18" s="33"/>
      <c r="J18" s="33"/>
    </row>
    <row r="19" spans="1:10" ht="15.75" customHeight="1" x14ac:dyDescent="0.25">
      <c r="A19" s="63">
        <f>'Profit &amp; Loss'!A19</f>
        <v>45991</v>
      </c>
      <c r="B19" s="33" t="str">
        <f>'Profit &amp; Loss'!B19</f>
        <v>Sun</v>
      </c>
      <c r="C19" s="33" t="s">
        <v>251</v>
      </c>
      <c r="D19" s="33" t="s">
        <v>252</v>
      </c>
      <c r="E19" s="33"/>
      <c r="F19" s="33"/>
      <c r="G19" s="33"/>
      <c r="H19" s="33"/>
      <c r="I19" s="33"/>
      <c r="J19" s="33"/>
    </row>
    <row r="20" spans="1:10" ht="15.75" customHeight="1" x14ac:dyDescent="0.25">
      <c r="A20" s="63">
        <f>'Profit &amp; Loss'!A20</f>
        <v>45998</v>
      </c>
      <c r="B20" s="33" t="str">
        <f>'Profit &amp; Loss'!B20</f>
        <v>Sun</v>
      </c>
      <c r="C20" s="33" t="s">
        <v>250</v>
      </c>
      <c r="D20" s="33" t="s">
        <v>253</v>
      </c>
      <c r="E20" s="33" t="s">
        <v>251</v>
      </c>
      <c r="F20" s="33" t="s">
        <v>252</v>
      </c>
      <c r="G20" s="33" t="s">
        <v>217</v>
      </c>
      <c r="H20" s="33"/>
      <c r="I20" s="33"/>
      <c r="J20" s="33"/>
    </row>
    <row r="21" spans="1:10" ht="15.75" customHeight="1" x14ac:dyDescent="0.25">
      <c r="A21" s="63">
        <f>'Profit &amp; Loss'!A21</f>
        <v>45999</v>
      </c>
      <c r="B21" s="33" t="str">
        <f>'Profit &amp; Loss'!B21</f>
        <v>Mon</v>
      </c>
      <c r="C21" s="33" t="s">
        <v>250</v>
      </c>
      <c r="D21" s="33" t="s">
        <v>253</v>
      </c>
      <c r="E21" s="33" t="s">
        <v>251</v>
      </c>
      <c r="F21" s="33" t="s">
        <v>252</v>
      </c>
      <c r="G21" s="33"/>
      <c r="H21" s="33"/>
      <c r="I21" s="33"/>
      <c r="J21" s="33"/>
    </row>
    <row r="22" spans="1:10" ht="15.75" customHeight="1" x14ac:dyDescent="0.25">
      <c r="A22" s="63">
        <f>'Profit &amp; Loss'!A22</f>
        <v>46001</v>
      </c>
      <c r="B22" s="33" t="str">
        <f>'Profit &amp; Loss'!B22</f>
        <v>Wed</v>
      </c>
      <c r="C22" s="33" t="s">
        <v>250</v>
      </c>
      <c r="D22" s="33" t="s">
        <v>253</v>
      </c>
      <c r="E22" s="33"/>
      <c r="F22" s="33"/>
      <c r="G22" s="33"/>
      <c r="H22" s="33"/>
      <c r="I22" s="33"/>
      <c r="J22" s="33"/>
    </row>
    <row r="23" spans="1:10" ht="15.75" customHeight="1" x14ac:dyDescent="0.25">
      <c r="A23" s="63">
        <f>'Profit &amp; Loss'!A23</f>
        <v>46004</v>
      </c>
      <c r="B23" s="33" t="str">
        <f>'Profit &amp; Loss'!B23</f>
        <v>Sat</v>
      </c>
      <c r="C23" s="33" t="s">
        <v>250</v>
      </c>
      <c r="D23" s="33" t="s">
        <v>253</v>
      </c>
      <c r="E23" s="33" t="s">
        <v>251</v>
      </c>
      <c r="F23" s="33" t="s">
        <v>252</v>
      </c>
      <c r="G23" s="33" t="s">
        <v>217</v>
      </c>
      <c r="H23" s="33"/>
      <c r="I23" s="33"/>
      <c r="J23" s="33"/>
    </row>
    <row r="24" spans="1:10" ht="15.75" customHeight="1" x14ac:dyDescent="0.25">
      <c r="A24" s="63">
        <f>'Profit &amp; Loss'!A24</f>
        <v>46006</v>
      </c>
      <c r="B24" s="33" t="str">
        <f>'Profit &amp; Loss'!B24</f>
        <v>Mon</v>
      </c>
      <c r="C24" s="33" t="s">
        <v>250</v>
      </c>
      <c r="D24" s="33" t="s">
        <v>250</v>
      </c>
      <c r="E24" s="33" t="s">
        <v>249</v>
      </c>
      <c r="F24" s="33"/>
      <c r="G24" s="33"/>
      <c r="H24" s="33"/>
      <c r="I24" s="33"/>
      <c r="J24" s="33"/>
    </row>
    <row r="25" spans="1:10" ht="15.75" customHeight="1" x14ac:dyDescent="0.25">
      <c r="A25" s="63">
        <f>'Profit &amp; Loss'!A25</f>
        <v>46011</v>
      </c>
      <c r="B25" s="33" t="str">
        <f>'Profit &amp; Loss'!B25</f>
        <v>Sat</v>
      </c>
      <c r="C25" s="33" t="s">
        <v>250</v>
      </c>
      <c r="D25" s="33" t="s">
        <v>253</v>
      </c>
      <c r="E25" s="33" t="s">
        <v>251</v>
      </c>
      <c r="F25" s="33" t="s">
        <v>252</v>
      </c>
      <c r="G25" s="33"/>
      <c r="H25" s="33"/>
      <c r="I25" s="33"/>
      <c r="J25" s="33"/>
    </row>
    <row r="26" spans="1:10" ht="15.75" customHeight="1" x14ac:dyDescent="0.25">
      <c r="A26" s="63">
        <f>'Profit &amp; Loss'!A26</f>
        <v>46017</v>
      </c>
      <c r="B26" s="33" t="str">
        <f>'Profit &amp; Loss'!B26</f>
        <v>Fri</v>
      </c>
      <c r="C26" s="33" t="s">
        <v>250</v>
      </c>
      <c r="D26" s="33" t="s">
        <v>253</v>
      </c>
      <c r="E26" s="33" t="s">
        <v>251</v>
      </c>
      <c r="F26" s="33" t="s">
        <v>252</v>
      </c>
      <c r="G26" s="33"/>
      <c r="H26" s="33"/>
      <c r="I26" s="33"/>
      <c r="J26" s="33"/>
    </row>
    <row r="27" spans="1:10" ht="15.75" customHeight="1" x14ac:dyDescent="0.25">
      <c r="A27" s="63">
        <f>'Profit &amp; Loss'!A27</f>
        <v>46019</v>
      </c>
      <c r="B27" s="33" t="str">
        <f>'Profit &amp; Loss'!B27</f>
        <v>Sun</v>
      </c>
      <c r="C27" s="33" t="s">
        <v>253</v>
      </c>
      <c r="D27" s="33" t="s">
        <v>251</v>
      </c>
      <c r="E27" s="33" t="s">
        <v>252</v>
      </c>
      <c r="F27" s="33"/>
      <c r="G27" s="33"/>
      <c r="H27" s="33"/>
      <c r="I27" s="33"/>
      <c r="J27" s="33"/>
    </row>
    <row r="28" spans="1:10" ht="15.75" customHeight="1" x14ac:dyDescent="0.25">
      <c r="A28" s="63">
        <f>'Profit &amp; Loss'!A28</f>
        <v>46020</v>
      </c>
      <c r="B28" s="33" t="str">
        <f>'Profit &amp; Loss'!B28</f>
        <v>Mon</v>
      </c>
      <c r="C28" s="33" t="s">
        <v>250</v>
      </c>
      <c r="D28" s="33" t="s">
        <v>253</v>
      </c>
      <c r="E28" s="33" t="s">
        <v>251</v>
      </c>
      <c r="F28" s="33" t="s">
        <v>252</v>
      </c>
      <c r="G28" s="33"/>
      <c r="H28" s="33"/>
      <c r="I28" s="33"/>
      <c r="J28" s="33"/>
    </row>
    <row r="29" spans="1:10" ht="15.75" customHeight="1" x14ac:dyDescent="0.25">
      <c r="A29" s="63">
        <f>'Profit &amp; Loss'!A29</f>
        <v>46024</v>
      </c>
      <c r="B29" s="33" t="str">
        <f>'Profit &amp; Loss'!B29</f>
        <v>Fri</v>
      </c>
      <c r="C29" s="33" t="s">
        <v>250</v>
      </c>
      <c r="D29" s="33" t="s">
        <v>253</v>
      </c>
      <c r="E29" s="33" t="s">
        <v>251</v>
      </c>
      <c r="F29" s="33" t="s">
        <v>252</v>
      </c>
      <c r="G29" s="33"/>
      <c r="H29" s="33"/>
      <c r="I29" s="33"/>
      <c r="J29" s="33"/>
    </row>
    <row r="30" spans="1:10" ht="15.75" customHeight="1" x14ac:dyDescent="0.25">
      <c r="A30" s="63">
        <f>'Profit &amp; Loss'!A30</f>
        <v>46026</v>
      </c>
      <c r="B30" s="33" t="str">
        <f>'Profit &amp; Loss'!B30</f>
        <v>Sun</v>
      </c>
      <c r="C30" s="33" t="s">
        <v>251</v>
      </c>
      <c r="D30" s="33" t="s">
        <v>252</v>
      </c>
      <c r="E30" s="33" t="s">
        <v>217</v>
      </c>
      <c r="F30" s="33"/>
      <c r="G30" s="33"/>
      <c r="H30" s="33"/>
      <c r="I30" s="33"/>
      <c r="J30" s="33"/>
    </row>
    <row r="31" spans="1:10" ht="15.75" customHeight="1" x14ac:dyDescent="0.25">
      <c r="A31" s="63">
        <f>'Profit &amp; Loss'!A31</f>
        <v>46033</v>
      </c>
      <c r="B31" s="33" t="str">
        <f>'Profit &amp; Loss'!B31</f>
        <v>Sun</v>
      </c>
      <c r="C31" s="33" t="s">
        <v>250</v>
      </c>
      <c r="D31" s="33" t="s">
        <v>253</v>
      </c>
      <c r="E31" s="33" t="s">
        <v>251</v>
      </c>
      <c r="F31" s="33" t="s">
        <v>252</v>
      </c>
      <c r="G31" s="33"/>
      <c r="H31" s="33"/>
      <c r="I31" s="33"/>
      <c r="J31" s="33"/>
    </row>
    <row r="32" spans="1:10" ht="15.75" customHeight="1" x14ac:dyDescent="0.25">
      <c r="A32" s="63">
        <f>'Profit &amp; Loss'!A32</f>
        <v>46036</v>
      </c>
      <c r="B32" s="33" t="str">
        <f>'Profit &amp; Loss'!B32</f>
        <v>Wed</v>
      </c>
      <c r="C32" s="33" t="s">
        <v>250</v>
      </c>
      <c r="D32" s="33" t="s">
        <v>253</v>
      </c>
      <c r="E32" s="33" t="s">
        <v>251</v>
      </c>
      <c r="F32" s="33" t="s">
        <v>252</v>
      </c>
      <c r="G32" s="33"/>
      <c r="H32" s="33"/>
      <c r="I32" s="33"/>
      <c r="J32" s="33"/>
    </row>
    <row r="33" spans="1:10" ht="12.5" x14ac:dyDescent="0.25">
      <c r="A33" s="63">
        <f>'Profit &amp; Loss'!A33</f>
        <v>46038</v>
      </c>
      <c r="B33" s="33" t="str">
        <f>'Profit &amp; Loss'!B33</f>
        <v>Fri</v>
      </c>
      <c r="C33" s="33" t="s">
        <v>251</v>
      </c>
      <c r="D33" s="33" t="s">
        <v>252</v>
      </c>
      <c r="E33" s="33"/>
      <c r="F33" s="33"/>
      <c r="G33" s="33"/>
      <c r="H33" s="33"/>
      <c r="I33" s="33"/>
      <c r="J33" s="33"/>
    </row>
    <row r="34" spans="1:10" ht="12.5" x14ac:dyDescent="0.25">
      <c r="A34" s="63">
        <f>'Profit &amp; Loss'!A34</f>
        <v>46040</v>
      </c>
      <c r="B34" s="33" t="str">
        <f>'Profit &amp; Loss'!B34</f>
        <v>Sun</v>
      </c>
      <c r="C34" s="33" t="s">
        <v>250</v>
      </c>
      <c r="D34" s="33" t="s">
        <v>253</v>
      </c>
      <c r="E34" s="33" t="s">
        <v>251</v>
      </c>
      <c r="F34" s="33" t="s">
        <v>252</v>
      </c>
      <c r="G34" s="33"/>
      <c r="H34" s="33"/>
      <c r="I34" s="33"/>
      <c r="J34" s="33"/>
    </row>
    <row r="35" spans="1:10" ht="12.5" x14ac:dyDescent="0.25">
      <c r="A35" s="63">
        <f>'Profit &amp; Loss'!A35</f>
        <v>46044</v>
      </c>
      <c r="B35" s="33" t="str">
        <f>'Profit &amp; Loss'!B35</f>
        <v>Thurs</v>
      </c>
      <c r="C35" s="33" t="s">
        <v>250</v>
      </c>
      <c r="D35" s="33" t="s">
        <v>253</v>
      </c>
      <c r="E35" s="33" t="s">
        <v>251</v>
      </c>
      <c r="F35" s="33" t="s">
        <v>252</v>
      </c>
      <c r="G35" s="33"/>
      <c r="H35" s="33"/>
      <c r="I35" s="33"/>
      <c r="J35" s="33"/>
    </row>
    <row r="36" spans="1:10" ht="12.5" x14ac:dyDescent="0.25">
      <c r="A36" s="63">
        <f>'Profit &amp; Loss'!A36</f>
        <v>46047</v>
      </c>
      <c r="B36" s="33" t="str">
        <f>'Profit &amp; Loss'!B36</f>
        <v>Sun</v>
      </c>
      <c r="C36" s="33" t="s">
        <v>250</v>
      </c>
      <c r="D36" s="33" t="s">
        <v>253</v>
      </c>
      <c r="E36" s="33" t="s">
        <v>217</v>
      </c>
      <c r="F36" s="33"/>
      <c r="G36" s="33"/>
      <c r="H36" s="33"/>
      <c r="I36" s="33"/>
      <c r="J36" s="33"/>
    </row>
    <row r="37" spans="1:10" ht="12.5" x14ac:dyDescent="0.25">
      <c r="A37" s="63">
        <f>'Profit &amp; Loss'!A37</f>
        <v>46050</v>
      </c>
      <c r="B37" s="33" t="str">
        <f>'Profit &amp; Loss'!B37</f>
        <v>Wed</v>
      </c>
      <c r="C37" s="33" t="s">
        <v>250</v>
      </c>
      <c r="D37" s="33" t="s">
        <v>253</v>
      </c>
      <c r="E37" s="33" t="s">
        <v>251</v>
      </c>
      <c r="F37" s="33" t="s">
        <v>252</v>
      </c>
      <c r="G37" s="33"/>
      <c r="H37" s="33"/>
      <c r="I37" s="33"/>
      <c r="J37" s="33"/>
    </row>
    <row r="38" spans="1:10" ht="12.5" x14ac:dyDescent="0.25">
      <c r="A38" s="63">
        <f>'Profit &amp; Loss'!A38</f>
        <v>46054</v>
      </c>
      <c r="B38" s="33" t="str">
        <f>'Profit &amp; Loss'!B38</f>
        <v>Sun</v>
      </c>
      <c r="C38" s="33" t="s">
        <v>250</v>
      </c>
      <c r="D38" s="33" t="s">
        <v>253</v>
      </c>
      <c r="E38" s="33" t="s">
        <v>251</v>
      </c>
      <c r="F38" s="33" t="s">
        <v>252</v>
      </c>
      <c r="G38" s="33" t="s">
        <v>217</v>
      </c>
      <c r="H38" s="33"/>
      <c r="I38" s="33"/>
      <c r="J38" s="33"/>
    </row>
    <row r="39" spans="1:10" ht="12.5" x14ac:dyDescent="0.25">
      <c r="A39" s="63">
        <f>'Profit &amp; Loss'!A39</f>
        <v>46060</v>
      </c>
      <c r="B39" s="33" t="str">
        <f>'Profit &amp; Loss'!B39</f>
        <v>Sat</v>
      </c>
      <c r="C39" s="33" t="s">
        <v>250</v>
      </c>
      <c r="D39" s="33" t="s">
        <v>253</v>
      </c>
      <c r="E39" s="33" t="s">
        <v>251</v>
      </c>
      <c r="F39" s="33" t="s">
        <v>252</v>
      </c>
      <c r="G39" s="33"/>
      <c r="H39" s="33"/>
      <c r="I39" s="33"/>
      <c r="J39" s="33"/>
    </row>
    <row r="40" spans="1:10" ht="12.5" x14ac:dyDescent="0.25">
      <c r="A40" s="63">
        <f>'Profit &amp; Loss'!A40</f>
        <v>46061</v>
      </c>
      <c r="B40" s="33" t="str">
        <f>'Profit &amp; Loss'!B40</f>
        <v>Sun</v>
      </c>
      <c r="C40" s="33" t="s">
        <v>250</v>
      </c>
      <c r="D40" s="33" t="s">
        <v>253</v>
      </c>
      <c r="E40" s="33" t="s">
        <v>251</v>
      </c>
      <c r="F40" s="33" t="s">
        <v>252</v>
      </c>
      <c r="G40" s="33"/>
      <c r="H40" s="33"/>
      <c r="I40" s="33"/>
      <c r="J40" s="33"/>
    </row>
    <row r="41" spans="1:10" ht="12.5" x14ac:dyDescent="0.25">
      <c r="A41" s="63">
        <f>'Profit &amp; Loss'!A41</f>
        <v>46065</v>
      </c>
      <c r="B41" s="33" t="str">
        <f>'Profit &amp; Loss'!B41</f>
        <v>Thurs</v>
      </c>
      <c r="C41" s="33" t="s">
        <v>250</v>
      </c>
      <c r="D41" s="33" t="s">
        <v>253</v>
      </c>
      <c r="E41" s="33" t="s">
        <v>251</v>
      </c>
      <c r="F41" s="33" t="s">
        <v>252</v>
      </c>
      <c r="G41" s="33"/>
      <c r="H41" s="33"/>
      <c r="I41" s="33"/>
      <c r="J41" s="33"/>
    </row>
    <row r="42" spans="1:10" ht="12.5" x14ac:dyDescent="0.25">
      <c r="A42" s="63">
        <f>'Profit &amp; Loss'!A42</f>
        <v>46066</v>
      </c>
      <c r="B42" s="33" t="str">
        <f>'Profit &amp; Loss'!B42</f>
        <v>Fri</v>
      </c>
      <c r="C42" s="33" t="s">
        <v>250</v>
      </c>
      <c r="D42" s="33" t="s">
        <v>253</v>
      </c>
      <c r="E42" s="33" t="s">
        <v>251</v>
      </c>
      <c r="F42" s="33" t="s">
        <v>252</v>
      </c>
      <c r="G42" s="33"/>
      <c r="H42" s="33"/>
      <c r="I42" s="33"/>
      <c r="J42" s="33"/>
    </row>
    <row r="43" spans="1:10" ht="12.5" x14ac:dyDescent="0.25">
      <c r="A43" s="63">
        <f>'Profit &amp; Loss'!A43</f>
        <v>46067</v>
      </c>
      <c r="B43" s="33" t="str">
        <f>'Profit &amp; Loss'!B43</f>
        <v>Sat</v>
      </c>
      <c r="C43" s="33" t="s">
        <v>250</v>
      </c>
      <c r="D43" s="33" t="s">
        <v>253</v>
      </c>
      <c r="E43" s="33" t="s">
        <v>251</v>
      </c>
      <c r="F43" s="33" t="s">
        <v>252</v>
      </c>
      <c r="G43" s="33"/>
      <c r="H43" s="33"/>
      <c r="I43" s="33"/>
      <c r="J43" s="33"/>
    </row>
    <row r="44" spans="1:10" ht="12.5" x14ac:dyDescent="0.25">
      <c r="A44" s="63">
        <f>'Profit &amp; Loss'!A44</f>
        <v>46076</v>
      </c>
      <c r="B44" s="33" t="str">
        <f>'Profit &amp; Loss'!B44</f>
        <v>Mon</v>
      </c>
      <c r="C44" s="33" t="s">
        <v>250</v>
      </c>
      <c r="D44" s="33" t="s">
        <v>253</v>
      </c>
      <c r="E44" s="33" t="s">
        <v>251</v>
      </c>
      <c r="F44" s="33" t="s">
        <v>252</v>
      </c>
      <c r="G44" s="33"/>
      <c r="H44" s="33"/>
      <c r="I44" s="33"/>
      <c r="J44" s="33"/>
    </row>
    <row r="45" spans="1:10" ht="12.5" x14ac:dyDescent="0.25">
      <c r="A45" s="63">
        <f>'Profit &amp; Loss'!A45</f>
        <v>46077</v>
      </c>
      <c r="B45" s="33" t="str">
        <f>'Profit &amp; Loss'!B45</f>
        <v>Tues</v>
      </c>
      <c r="C45" s="33" t="s">
        <v>250</v>
      </c>
      <c r="D45" s="33" t="s">
        <v>253</v>
      </c>
      <c r="E45" s="33" t="s">
        <v>251</v>
      </c>
      <c r="F45" s="33" t="s">
        <v>252</v>
      </c>
      <c r="G45" s="33"/>
      <c r="H45" s="33"/>
      <c r="I45" s="33"/>
      <c r="J45" s="33"/>
    </row>
    <row r="46" spans="1:10" ht="12.5" x14ac:dyDescent="0.25">
      <c r="A46" s="63">
        <f>'Profit &amp; Loss'!A46</f>
        <v>46082</v>
      </c>
      <c r="B46" s="33" t="str">
        <f>'Profit &amp; Loss'!B46</f>
        <v>Sun</v>
      </c>
      <c r="C46" s="33" t="s">
        <v>250</v>
      </c>
      <c r="D46" s="33" t="s">
        <v>253</v>
      </c>
      <c r="E46" s="33" t="s">
        <v>251</v>
      </c>
      <c r="F46" s="33" t="s">
        <v>252</v>
      </c>
      <c r="G46" s="33"/>
      <c r="H46" s="33"/>
      <c r="I46" s="33"/>
      <c r="J46" s="33"/>
    </row>
    <row r="47" spans="1:10" ht="12.5" x14ac:dyDescent="0.25">
      <c r="A47" s="63">
        <f>'Profit &amp; Loss'!A47</f>
        <v>46084</v>
      </c>
      <c r="B47" s="33" t="str">
        <f>'Profit &amp; Loss'!B47</f>
        <v>Tues</v>
      </c>
      <c r="C47" s="33" t="s">
        <v>250</v>
      </c>
      <c r="D47" s="33" t="s">
        <v>253</v>
      </c>
      <c r="E47" s="33" t="s">
        <v>251</v>
      </c>
      <c r="F47" s="33" t="s">
        <v>252</v>
      </c>
      <c r="G47" s="33"/>
      <c r="H47" s="33"/>
      <c r="I47" s="33"/>
      <c r="J47" s="33"/>
    </row>
    <row r="48" spans="1:10" ht="12.5" x14ac:dyDescent="0.25">
      <c r="A48" s="63">
        <f>'Profit &amp; Loss'!A48</f>
        <v>46087</v>
      </c>
      <c r="B48" s="33" t="str">
        <f>'Profit &amp; Loss'!B48</f>
        <v>Fri</v>
      </c>
      <c r="C48" s="33" t="s">
        <v>250</v>
      </c>
      <c r="D48" s="33" t="s">
        <v>253</v>
      </c>
      <c r="E48" s="33"/>
      <c r="F48" s="33"/>
      <c r="G48" s="33"/>
      <c r="H48" s="33"/>
      <c r="I48" s="33"/>
      <c r="J48" s="33"/>
    </row>
    <row r="49" spans="1:10" ht="12.5" x14ac:dyDescent="0.25">
      <c r="A49" s="63">
        <f>'Profit &amp; Loss'!A49</f>
        <v>46089</v>
      </c>
      <c r="B49" s="33" t="str">
        <f>'Profit &amp; Loss'!B49</f>
        <v>Sun</v>
      </c>
      <c r="C49" s="33" t="s">
        <v>250</v>
      </c>
      <c r="D49" s="33" t="s">
        <v>253</v>
      </c>
      <c r="E49" s="33" t="s">
        <v>251</v>
      </c>
      <c r="F49" s="33" t="s">
        <v>252</v>
      </c>
      <c r="G49" s="33"/>
      <c r="H49" s="33"/>
      <c r="I49" s="33"/>
      <c r="J49" s="33"/>
    </row>
    <row r="50" spans="1:10" ht="12.5" x14ac:dyDescent="0.25">
      <c r="A50" s="63">
        <f>'Profit &amp; Loss'!A50</f>
        <v>46096</v>
      </c>
      <c r="B50" s="33" t="str">
        <f>'Profit &amp; Loss'!B50</f>
        <v>Sun</v>
      </c>
      <c r="C50" s="33" t="s">
        <v>217</v>
      </c>
      <c r="D50" s="33" t="s">
        <v>253</v>
      </c>
      <c r="E50" s="33"/>
      <c r="F50" s="33"/>
      <c r="G50" s="33"/>
      <c r="H50" s="33"/>
      <c r="I50" s="33"/>
      <c r="J50" s="33"/>
    </row>
    <row r="51" spans="1:10" ht="12.5" x14ac:dyDescent="0.25">
      <c r="A51" s="63">
        <f>'Profit &amp; Loss'!A51</f>
        <v>46099</v>
      </c>
      <c r="B51" s="33" t="str">
        <f>'Profit &amp; Loss'!B51</f>
        <v>Wed</v>
      </c>
      <c r="C51" s="33" t="s">
        <v>252</v>
      </c>
      <c r="D51" s="33" t="s">
        <v>253</v>
      </c>
      <c r="E51" s="33" t="s">
        <v>251</v>
      </c>
      <c r="F51" s="33"/>
      <c r="G51" s="33"/>
      <c r="H51" s="33"/>
      <c r="I51" s="33"/>
      <c r="J51" s="33"/>
    </row>
    <row r="52" spans="1:10" ht="12.5" x14ac:dyDescent="0.25">
      <c r="A52" s="63">
        <f>'Profit &amp; Loss'!A52</f>
        <v>46103</v>
      </c>
      <c r="B52" s="33" t="str">
        <f>'Profit &amp; Loss'!B52</f>
        <v>Sun</v>
      </c>
      <c r="C52" s="33" t="s">
        <v>250</v>
      </c>
      <c r="D52" s="33" t="s">
        <v>253</v>
      </c>
      <c r="E52" s="33" t="s">
        <v>251</v>
      </c>
      <c r="F52" s="33" t="s">
        <v>252</v>
      </c>
      <c r="G52" s="33" t="s">
        <v>217</v>
      </c>
      <c r="H52" s="33"/>
      <c r="I52" s="33"/>
      <c r="J52" s="33"/>
    </row>
    <row r="53" spans="1:10" ht="12.5" x14ac:dyDescent="0.25">
      <c r="A53" s="63">
        <f>'Profit &amp; Loss'!A53</f>
        <v>46104</v>
      </c>
      <c r="B53" s="33" t="str">
        <f>'Profit &amp; Loss'!B53</f>
        <v>Mon</v>
      </c>
      <c r="C53" s="33" t="s">
        <v>250</v>
      </c>
      <c r="D53" s="33" t="s">
        <v>253</v>
      </c>
      <c r="E53" s="33" t="s">
        <v>251</v>
      </c>
      <c r="F53" s="33" t="s">
        <v>252</v>
      </c>
      <c r="G53" s="33"/>
      <c r="H53" s="33"/>
      <c r="I53" s="33"/>
      <c r="J53" s="33"/>
    </row>
    <row r="54" spans="1:10" ht="12.5" x14ac:dyDescent="0.25">
      <c r="A54" s="63">
        <f>'Profit &amp; Loss'!A54</f>
        <v>46115</v>
      </c>
      <c r="B54" s="33" t="str">
        <f>'Profit &amp; Loss'!B54</f>
        <v>Fri</v>
      </c>
      <c r="C54" s="33" t="s">
        <v>251</v>
      </c>
      <c r="D54" s="33" t="s">
        <v>252</v>
      </c>
      <c r="E54" s="33"/>
      <c r="F54" s="33"/>
      <c r="G54" s="33"/>
      <c r="H54" s="33"/>
      <c r="I54" s="33"/>
      <c r="J54" s="33"/>
    </row>
    <row r="55" spans="1:10" ht="12.5" x14ac:dyDescent="0.25">
      <c r="A55" s="63">
        <f>'Profit &amp; Loss'!A55</f>
        <v>46124</v>
      </c>
      <c r="B55" s="33" t="str">
        <f>'Profit &amp; Loss'!B55</f>
        <v>Sun</v>
      </c>
      <c r="C55" s="33" t="s">
        <v>251</v>
      </c>
      <c r="D55" s="33" t="s">
        <v>252</v>
      </c>
      <c r="E55" s="33"/>
      <c r="F55" s="33"/>
      <c r="G55" s="33"/>
      <c r="H55" s="33"/>
      <c r="I55" s="33"/>
      <c r="J55" s="33"/>
    </row>
    <row r="56" spans="1:10" ht="12.5" x14ac:dyDescent="0.25">
      <c r="A56" s="63">
        <f>'Profit &amp; Loss'!A56</f>
        <v>46125</v>
      </c>
      <c r="B56" s="33" t="str">
        <f>'Profit &amp; Loss'!B56</f>
        <v>Mon</v>
      </c>
      <c r="C56" s="33" t="s">
        <v>250</v>
      </c>
      <c r="D56" s="33" t="s">
        <v>253</v>
      </c>
      <c r="E56" s="33" t="s">
        <v>251</v>
      </c>
      <c r="F56" s="33" t="s">
        <v>252</v>
      </c>
      <c r="G56" s="33"/>
      <c r="H56" s="33"/>
      <c r="I56" s="33"/>
      <c r="J56" s="33"/>
    </row>
    <row r="57" spans="1:10" ht="12.5" x14ac:dyDescent="0.25">
      <c r="A57" s="63">
        <f>'Profit &amp; Loss'!A57</f>
        <v>46128</v>
      </c>
      <c r="B57" s="33" t="str">
        <f>'Profit &amp; Loss'!B57</f>
        <v>Thurs</v>
      </c>
      <c r="C57" s="33" t="s">
        <v>251</v>
      </c>
      <c r="D57" s="33" t="s">
        <v>252</v>
      </c>
      <c r="E57" s="33"/>
      <c r="F57" s="33"/>
      <c r="G57" s="33"/>
      <c r="H57" s="33"/>
      <c r="I57" s="33"/>
      <c r="J57" s="33"/>
    </row>
    <row r="58" spans="1:10" ht="12.5" x14ac:dyDescent="0.25">
      <c r="A58" s="63">
        <f>'Profit &amp; Loss'!A58</f>
        <v>46130</v>
      </c>
      <c r="B58" s="33" t="str">
        <f>'Profit &amp; Loss'!B58</f>
        <v>Sat</v>
      </c>
      <c r="C58" s="33" t="s">
        <v>250</v>
      </c>
      <c r="D58" s="33" t="s">
        <v>253</v>
      </c>
      <c r="E58" s="33" t="s">
        <v>251</v>
      </c>
      <c r="F58" s="33" t="s">
        <v>252</v>
      </c>
      <c r="G58" s="33"/>
      <c r="H58" s="33"/>
      <c r="I58" s="33"/>
      <c r="J58" s="33"/>
    </row>
    <row r="59" spans="1:10" ht="12.5" x14ac:dyDescent="0.25">
      <c r="A59" s="63">
        <f>'Profit &amp; Loss'!A59</f>
        <v>46132</v>
      </c>
      <c r="B59" s="33" t="str">
        <f>'Profit &amp; Loss'!B59</f>
        <v>Mon</v>
      </c>
      <c r="C59" s="33" t="s">
        <v>250</v>
      </c>
      <c r="D59" s="33" t="s">
        <v>253</v>
      </c>
      <c r="E59" s="33" t="s">
        <v>251</v>
      </c>
      <c r="F59" s="33" t="s">
        <v>252</v>
      </c>
      <c r="G59" s="33"/>
      <c r="H59" s="33"/>
      <c r="I59" s="33"/>
      <c r="J59" s="33"/>
    </row>
    <row r="60" spans="1:10" ht="12.5" x14ac:dyDescent="0.25">
      <c r="A60" s="63">
        <f>'Profit &amp; Loss'!A60</f>
        <v>46134</v>
      </c>
      <c r="B60" s="33" t="str">
        <f>'Profit &amp; Loss'!B60</f>
        <v>Wed</v>
      </c>
      <c r="C60" s="33" t="s">
        <v>250</v>
      </c>
      <c r="D60" s="33" t="s">
        <v>253</v>
      </c>
      <c r="E60" s="33" t="s">
        <v>251</v>
      </c>
      <c r="F60" s="33" t="s">
        <v>252</v>
      </c>
      <c r="G60" s="33"/>
      <c r="H60" s="33"/>
      <c r="I60" s="33"/>
      <c r="J60" s="33"/>
    </row>
    <row r="61" spans="1:10" ht="12.5" x14ac:dyDescent="0.25">
      <c r="A61" s="63">
        <f>'Profit &amp; Loss'!A61</f>
        <v>46138</v>
      </c>
      <c r="B61" s="33" t="str">
        <f>'Profit &amp; Loss'!B61</f>
        <v>Sun</v>
      </c>
      <c r="C61" s="33" t="s">
        <v>250</v>
      </c>
      <c r="D61" s="33" t="s">
        <v>253</v>
      </c>
      <c r="E61" s="33" t="s">
        <v>251</v>
      </c>
      <c r="F61" s="33" t="s">
        <v>252</v>
      </c>
      <c r="G61" s="33"/>
      <c r="H61" s="33"/>
      <c r="I61" s="33"/>
      <c r="J61" s="33"/>
    </row>
    <row r="62" spans="1:10" ht="12.5" x14ac:dyDescent="0.25">
      <c r="A62" s="63">
        <f>'Profit &amp; Loss'!A62</f>
        <v>46140</v>
      </c>
      <c r="B62" s="33" t="str">
        <f>'Profit &amp; Loss'!B62</f>
        <v>Tues</v>
      </c>
      <c r="C62" s="33" t="s">
        <v>250</v>
      </c>
      <c r="D62" s="33" t="s">
        <v>253</v>
      </c>
      <c r="E62" s="33" t="s">
        <v>251</v>
      </c>
      <c r="F62" s="33" t="s">
        <v>252</v>
      </c>
      <c r="G62" s="33"/>
      <c r="H62" s="33"/>
      <c r="I62" s="33"/>
      <c r="J62" s="33"/>
    </row>
    <row r="63" spans="1:10" ht="12.5" x14ac:dyDescent="0.25">
      <c r="A63" s="63">
        <f>'Profit &amp; Loss'!A63</f>
        <v>46141</v>
      </c>
      <c r="B63" s="33" t="str">
        <f>'Profit &amp; Loss'!B63</f>
        <v>Wed</v>
      </c>
      <c r="C63" s="33" t="s">
        <v>250</v>
      </c>
      <c r="D63" s="33" t="s">
        <v>253</v>
      </c>
      <c r="E63" s="33" t="s">
        <v>251</v>
      </c>
      <c r="F63" s="33" t="s">
        <v>252</v>
      </c>
      <c r="G63" s="33"/>
      <c r="H63" s="33"/>
      <c r="I63" s="33"/>
      <c r="J63" s="33"/>
    </row>
    <row r="64" spans="1:10" ht="12.5" x14ac:dyDescent="0.25">
      <c r="A64" s="63">
        <f>'Profit &amp; Loss'!A64</f>
        <v>46144</v>
      </c>
      <c r="B64" s="33" t="str">
        <f>'Profit &amp; Loss'!B64</f>
        <v>Sat</v>
      </c>
      <c r="C64" s="33" t="s">
        <v>250</v>
      </c>
      <c r="D64" s="33" t="s">
        <v>253</v>
      </c>
      <c r="E64" s="33" t="s">
        <v>251</v>
      </c>
      <c r="F64" s="33" t="s">
        <v>252</v>
      </c>
      <c r="G64" s="33" t="s">
        <v>217</v>
      </c>
      <c r="H64" s="33"/>
      <c r="I64" s="33"/>
      <c r="J64" s="33"/>
    </row>
    <row r="65" spans="1:10" ht="12.5" x14ac:dyDescent="0.25">
      <c r="A65" s="63">
        <f>'Profit &amp; Loss'!A65</f>
        <v>46152</v>
      </c>
      <c r="B65" s="33" t="str">
        <f>'Profit &amp; Loss'!B65</f>
        <v>Sun</v>
      </c>
      <c r="C65" s="33" t="s">
        <v>250</v>
      </c>
      <c r="D65" s="33" t="s">
        <v>253</v>
      </c>
      <c r="E65" s="33" t="s">
        <v>251</v>
      </c>
      <c r="F65" s="33" t="s">
        <v>252</v>
      </c>
      <c r="G65" s="33"/>
      <c r="H65" s="33"/>
      <c r="I65" s="33"/>
      <c r="J65" s="33"/>
    </row>
    <row r="66" spans="1:10" ht="12.5" x14ac:dyDescent="0.25">
      <c r="A66" s="63">
        <f>'Profit &amp; Loss'!A66</f>
        <v>46156</v>
      </c>
      <c r="B66" s="33" t="str">
        <f>'Profit &amp; Loss'!B66</f>
        <v>Thurs</v>
      </c>
      <c r="C66" s="33" t="s">
        <v>250</v>
      </c>
      <c r="D66" s="33" t="s">
        <v>253</v>
      </c>
      <c r="E66" s="33" t="s">
        <v>251</v>
      </c>
      <c r="F66" s="33" t="s">
        <v>252</v>
      </c>
      <c r="G66" s="33"/>
      <c r="H66" s="33"/>
      <c r="I66" s="33"/>
      <c r="J66" s="33"/>
    </row>
    <row r="67" spans="1:10" ht="12.5" x14ac:dyDescent="0.25">
      <c r="A67" s="63">
        <f>'Profit &amp; Loss'!A67</f>
        <v>46157</v>
      </c>
      <c r="B67" s="33" t="str">
        <f>'Profit &amp; Loss'!B67</f>
        <v>Fri</v>
      </c>
      <c r="C67" s="33" t="s">
        <v>251</v>
      </c>
      <c r="D67" s="33" t="s">
        <v>252</v>
      </c>
      <c r="E67" s="33" t="s">
        <v>250</v>
      </c>
      <c r="F67" s="33" t="s">
        <v>253</v>
      </c>
      <c r="G67" s="33"/>
      <c r="H67" s="33"/>
      <c r="I67" s="33"/>
      <c r="J67" s="33"/>
    </row>
    <row r="68" spans="1:10" ht="12.5" x14ac:dyDescent="0.25">
      <c r="A68" s="63">
        <f>'Profit &amp; Loss'!A68</f>
        <v>46158</v>
      </c>
      <c r="B68" s="33" t="str">
        <f>'Profit &amp; Loss'!B68</f>
        <v>Sat</v>
      </c>
      <c r="C68" s="33" t="s">
        <v>251</v>
      </c>
      <c r="D68" s="33" t="s">
        <v>252</v>
      </c>
      <c r="E68" s="33" t="s">
        <v>250</v>
      </c>
      <c r="F68" s="33" t="s">
        <v>253</v>
      </c>
      <c r="G68" s="33"/>
      <c r="H68" s="33"/>
      <c r="I68" s="33"/>
      <c r="J68" s="33"/>
    </row>
    <row r="69" spans="1:10" ht="12.5" x14ac:dyDescent="0.25">
      <c r="A69" s="63">
        <f>'Profit &amp; Loss'!A69</f>
        <v>46160</v>
      </c>
      <c r="B69" s="33" t="str">
        <f>'Profit &amp; Loss'!B69</f>
        <v>Mon</v>
      </c>
      <c r="C69" s="33" t="s">
        <v>250</v>
      </c>
      <c r="D69" s="33" t="s">
        <v>253</v>
      </c>
      <c r="E69" s="33" t="s">
        <v>251</v>
      </c>
      <c r="F69" s="33" t="s">
        <v>252</v>
      </c>
      <c r="G69" s="33"/>
      <c r="H69" s="33"/>
      <c r="I69" s="33"/>
      <c r="J69" s="33"/>
    </row>
    <row r="70" spans="1:10" ht="12.5" x14ac:dyDescent="0.25">
      <c r="A70" s="63">
        <f>'Profit &amp; Loss'!A70</f>
        <v>46166</v>
      </c>
      <c r="B70" s="33" t="str">
        <f>'Profit &amp; Loss'!B70</f>
        <v>Sun</v>
      </c>
      <c r="C70" s="33" t="s">
        <v>250</v>
      </c>
      <c r="D70" s="33" t="s">
        <v>253</v>
      </c>
      <c r="E70" s="33"/>
      <c r="F70" s="33"/>
      <c r="G70" s="33"/>
      <c r="H70" s="33"/>
      <c r="I70" s="33"/>
      <c r="J70" s="33"/>
    </row>
    <row r="71" spans="1:10" ht="12.5" x14ac:dyDescent="0.25">
      <c r="A71" s="63">
        <f>'Profit &amp; Loss'!A71</f>
        <v>46171</v>
      </c>
      <c r="B71" s="33" t="str">
        <f>'Profit &amp; Loss'!B71</f>
        <v>Fri</v>
      </c>
      <c r="C71" s="33" t="s">
        <v>250</v>
      </c>
      <c r="D71" s="33" t="s">
        <v>253</v>
      </c>
      <c r="E71" s="33"/>
      <c r="F71" s="33"/>
      <c r="G71" s="33"/>
      <c r="H71" s="33"/>
      <c r="I71" s="33"/>
      <c r="J71" s="33"/>
    </row>
    <row r="72" spans="1:10" ht="12.5" x14ac:dyDescent="0.25">
      <c r="A72" s="63">
        <f>'Profit &amp; Loss'!A72</f>
        <v>46172</v>
      </c>
      <c r="B72" s="33" t="str">
        <f>'Profit &amp; Loss'!B72</f>
        <v>Sat</v>
      </c>
      <c r="C72" s="33" t="s">
        <v>251</v>
      </c>
      <c r="D72" s="33" t="s">
        <v>252</v>
      </c>
      <c r="E72" s="33"/>
      <c r="F72" s="33"/>
      <c r="G72" s="33"/>
      <c r="H72" s="33"/>
      <c r="I72" s="33"/>
      <c r="J72" s="33"/>
    </row>
    <row r="73" spans="1:10" ht="12.5" x14ac:dyDescent="0.25">
      <c r="A73" s="63">
        <f>'Profit &amp; Loss'!A73</f>
        <v>46180</v>
      </c>
      <c r="B73" s="33" t="str">
        <f>'Profit &amp; Loss'!B73</f>
        <v>Sun</v>
      </c>
      <c r="C73" s="33" t="s">
        <v>250</v>
      </c>
      <c r="D73" s="33" t="s">
        <v>253</v>
      </c>
      <c r="E73" s="33"/>
      <c r="F73" s="33"/>
      <c r="G73" s="33"/>
      <c r="H73" s="33"/>
      <c r="I73" s="33"/>
      <c r="J73" s="33"/>
    </row>
    <row r="74" spans="1:10" ht="12.5" x14ac:dyDescent="0.25">
      <c r="A74" s="63">
        <f>'Profit &amp; Loss'!A74</f>
        <v>0</v>
      </c>
      <c r="B74" s="33">
        <f>'Profit &amp; Loss'!B74</f>
        <v>0</v>
      </c>
      <c r="C74" s="33"/>
      <c r="D74" s="33"/>
      <c r="E74" s="33"/>
      <c r="F74" s="33"/>
      <c r="G74" s="33"/>
      <c r="H74" s="33"/>
      <c r="I74" s="33"/>
      <c r="J74" s="33"/>
    </row>
    <row r="75" spans="1:10" ht="12.5" x14ac:dyDescent="0.25">
      <c r="A75" s="63">
        <f>'Profit &amp; Loss'!A75</f>
        <v>0</v>
      </c>
      <c r="B75" s="33">
        <f>'Profit &amp; Loss'!B75</f>
        <v>0</v>
      </c>
      <c r="C75" s="33"/>
      <c r="D75" s="33"/>
      <c r="E75" s="33"/>
      <c r="F75" s="33"/>
      <c r="G75" s="33"/>
      <c r="H75" s="33"/>
      <c r="I75" s="33"/>
      <c r="J75" s="33"/>
    </row>
    <row r="76" spans="1:10" ht="12.5" x14ac:dyDescent="0.25">
      <c r="A76" s="63">
        <f>'Profit &amp; Loss'!A76</f>
        <v>0</v>
      </c>
      <c r="B76" s="33">
        <f>'Profit &amp; Loss'!B76</f>
        <v>0</v>
      </c>
      <c r="C76" s="33"/>
      <c r="D76" s="33"/>
      <c r="E76" s="33"/>
      <c r="F76" s="33"/>
      <c r="G76" s="33"/>
      <c r="H76" s="33"/>
      <c r="I76" s="33"/>
      <c r="J76" s="33"/>
    </row>
    <row r="77" spans="1:10" ht="12.5" x14ac:dyDescent="0.25">
      <c r="A77" s="63">
        <f>'Profit &amp; Loss'!A77</f>
        <v>0</v>
      </c>
      <c r="B77" s="33">
        <f>'Profit &amp; Loss'!B77</f>
        <v>0</v>
      </c>
      <c r="C77" s="33"/>
      <c r="D77" s="33"/>
      <c r="E77" s="33"/>
      <c r="F77" s="33"/>
      <c r="G77" s="33"/>
      <c r="H77" s="33"/>
      <c r="I77" s="33"/>
      <c r="J77" s="33"/>
    </row>
    <row r="78" spans="1:10" ht="12.5" x14ac:dyDescent="0.25">
      <c r="A78" s="63">
        <f>'Profit &amp; Loss'!A78</f>
        <v>0</v>
      </c>
      <c r="B78" s="33">
        <f>'Profit &amp; Loss'!B78</f>
        <v>0</v>
      </c>
      <c r="C78" s="33"/>
      <c r="D78" s="33"/>
      <c r="E78" s="33"/>
      <c r="F78" s="33"/>
      <c r="G78" s="33"/>
      <c r="H78" s="33"/>
      <c r="I78" s="33"/>
      <c r="J78" s="33"/>
    </row>
    <row r="79" spans="1:10" ht="12.5" x14ac:dyDescent="0.25">
      <c r="A79" s="63">
        <f>'Profit &amp; Loss'!A79</f>
        <v>0</v>
      </c>
      <c r="B79" s="33">
        <f>'Profit &amp; Loss'!B79</f>
        <v>0</v>
      </c>
      <c r="C79" s="33"/>
      <c r="D79" s="33"/>
      <c r="E79" s="33"/>
      <c r="F79" s="33"/>
      <c r="G79" s="33"/>
      <c r="H79" s="33"/>
      <c r="I79" s="33"/>
      <c r="J79" s="33"/>
    </row>
    <row r="80" spans="1:10" ht="12.5" x14ac:dyDescent="0.25">
      <c r="A80" s="63">
        <f>'Profit &amp; Loss'!A80</f>
        <v>0</v>
      </c>
      <c r="B80" s="33">
        <f>'Profit &amp; Loss'!B80</f>
        <v>0</v>
      </c>
      <c r="C80" s="33"/>
      <c r="D80" s="33"/>
      <c r="E80" s="33"/>
      <c r="F80" s="33"/>
      <c r="G80" s="33"/>
      <c r="H80" s="33"/>
      <c r="I80" s="33"/>
      <c r="J80" s="33"/>
    </row>
    <row r="81" spans="1:10" ht="12.5" x14ac:dyDescent="0.25">
      <c r="A81" s="63">
        <f>'Profit &amp; Loss'!A81</f>
        <v>0</v>
      </c>
      <c r="B81" s="33">
        <f>'Profit &amp; Loss'!B81</f>
        <v>0</v>
      </c>
      <c r="C81" s="33"/>
      <c r="D81" s="33"/>
      <c r="E81" s="33"/>
      <c r="F81" s="33"/>
      <c r="G81" s="33"/>
      <c r="H81" s="33"/>
      <c r="I81" s="33"/>
      <c r="J81" s="33"/>
    </row>
    <row r="82" spans="1:10" ht="12.5" x14ac:dyDescent="0.25">
      <c r="A82" s="63">
        <f>'Profit &amp; Loss'!A82</f>
        <v>0</v>
      </c>
      <c r="B82" s="33">
        <f>'Profit &amp; Loss'!B82</f>
        <v>0</v>
      </c>
      <c r="C82" s="33"/>
      <c r="D82" s="33"/>
      <c r="E82" s="33"/>
      <c r="F82" s="33"/>
      <c r="G82" s="33"/>
      <c r="H82" s="33"/>
      <c r="I82" s="33"/>
      <c r="J82" s="33"/>
    </row>
    <row r="83" spans="1:10" ht="12.5" x14ac:dyDescent="0.25">
      <c r="A83" s="63">
        <f>'Profit &amp; Loss'!A83</f>
        <v>0</v>
      </c>
      <c r="B83" s="33">
        <f>'Profit &amp; Loss'!B83</f>
        <v>0</v>
      </c>
      <c r="C83" s="33"/>
      <c r="D83" s="33"/>
      <c r="E83" s="33"/>
      <c r="F83" s="33"/>
      <c r="G83" s="33"/>
      <c r="H83" s="33"/>
      <c r="I83" s="33"/>
      <c r="J83" s="33"/>
    </row>
    <row r="84" spans="1:10" ht="12.5" x14ac:dyDescent="0.25">
      <c r="A84" s="63">
        <f>'Profit &amp; Loss'!A84</f>
        <v>0</v>
      </c>
      <c r="B84" s="33">
        <f>'Profit &amp; Loss'!B84</f>
        <v>0</v>
      </c>
      <c r="C84" s="33"/>
      <c r="D84" s="33"/>
      <c r="E84" s="33"/>
      <c r="F84" s="33"/>
      <c r="G84" s="33"/>
      <c r="H84" s="33"/>
      <c r="I84" s="33"/>
      <c r="J84" s="33"/>
    </row>
    <row r="85" spans="1:10" ht="12.5" x14ac:dyDescent="0.25">
      <c r="A85" s="63">
        <f>'Profit &amp; Loss'!A85</f>
        <v>0</v>
      </c>
      <c r="B85" s="33">
        <f>'Profit &amp; Loss'!B85</f>
        <v>0</v>
      </c>
      <c r="C85" s="33"/>
      <c r="D85" s="33"/>
      <c r="E85" s="33"/>
      <c r="F85" s="33"/>
      <c r="G85" s="33"/>
      <c r="H85" s="33"/>
      <c r="I85" s="33"/>
      <c r="J85" s="33"/>
    </row>
    <row r="86" spans="1:10" ht="12.5" x14ac:dyDescent="0.25">
      <c r="A86" s="63">
        <f>'Profit &amp; Loss'!A86</f>
        <v>0</v>
      </c>
      <c r="B86" s="33">
        <f>'Profit &amp; Loss'!B86</f>
        <v>0</v>
      </c>
      <c r="C86" s="33"/>
      <c r="D86" s="33"/>
      <c r="E86" s="33"/>
      <c r="F86" s="33"/>
      <c r="G86" s="33"/>
      <c r="H86" s="33"/>
      <c r="I86" s="33"/>
      <c r="J86" s="33"/>
    </row>
    <row r="87" spans="1:10" ht="12.5" x14ac:dyDescent="0.25">
      <c r="A87" s="63">
        <f>'Profit &amp; Loss'!A87</f>
        <v>0</v>
      </c>
      <c r="B87" s="33">
        <f>'Profit &amp; Loss'!B87</f>
        <v>0</v>
      </c>
      <c r="C87" s="33"/>
      <c r="D87" s="33"/>
      <c r="E87" s="33"/>
      <c r="F87" s="33"/>
      <c r="G87" s="33"/>
      <c r="H87" s="33"/>
      <c r="I87" s="33"/>
      <c r="J87" s="33"/>
    </row>
    <row r="88" spans="1:10" ht="12.5" x14ac:dyDescent="0.25">
      <c r="A88" s="63">
        <f>'Profit &amp; Loss'!A88</f>
        <v>0</v>
      </c>
      <c r="B88" s="33">
        <f>'Profit &amp; Loss'!B88</f>
        <v>0</v>
      </c>
      <c r="C88" s="33"/>
      <c r="D88" s="33"/>
      <c r="E88" s="33"/>
      <c r="F88" s="33"/>
      <c r="G88" s="33"/>
      <c r="H88" s="33"/>
      <c r="I88" s="33"/>
      <c r="J88" s="33"/>
    </row>
    <row r="89" spans="1:10" ht="12.5" x14ac:dyDescent="0.25">
      <c r="A89" s="63">
        <f>'Profit &amp; Loss'!A89</f>
        <v>0</v>
      </c>
      <c r="B89" s="33">
        <f>'Profit &amp; Loss'!B89</f>
        <v>0</v>
      </c>
      <c r="C89" s="33"/>
      <c r="D89" s="33"/>
      <c r="E89" s="33"/>
      <c r="F89" s="33"/>
      <c r="G89" s="33"/>
      <c r="H89" s="33"/>
      <c r="I89" s="33"/>
      <c r="J89" s="33"/>
    </row>
    <row r="90" spans="1:10" ht="12.5" x14ac:dyDescent="0.25">
      <c r="A90" s="63">
        <f>'Profit &amp; Loss'!A90</f>
        <v>0</v>
      </c>
      <c r="B90" s="33">
        <f>'Profit &amp; Loss'!B90</f>
        <v>0</v>
      </c>
      <c r="C90" s="33"/>
      <c r="D90" s="33"/>
      <c r="E90" s="33"/>
      <c r="F90" s="33"/>
      <c r="G90" s="33"/>
      <c r="H90" s="33"/>
      <c r="I90" s="33"/>
      <c r="J90" s="33"/>
    </row>
    <row r="91" spans="1:10" ht="12.5" x14ac:dyDescent="0.25">
      <c r="A91" s="63">
        <f>'Profit &amp; Loss'!A91</f>
        <v>0</v>
      </c>
      <c r="B91" s="33">
        <f>'Profit &amp; Loss'!B91</f>
        <v>0</v>
      </c>
      <c r="C91" s="33"/>
      <c r="D91" s="33"/>
      <c r="E91" s="33"/>
      <c r="F91" s="33"/>
      <c r="G91" s="33"/>
      <c r="H91" s="33"/>
      <c r="I91" s="33"/>
      <c r="J91" s="33"/>
    </row>
    <row r="92" spans="1:10" ht="12.5" x14ac:dyDescent="0.25">
      <c r="A92" s="63">
        <f>'Profit &amp; Loss'!A92</f>
        <v>0</v>
      </c>
      <c r="B92" s="33">
        <f>'Profit &amp; Loss'!B92</f>
        <v>0</v>
      </c>
      <c r="C92" s="33"/>
      <c r="D92" s="33"/>
      <c r="E92" s="33"/>
      <c r="F92" s="33"/>
      <c r="G92" s="33"/>
      <c r="H92" s="33"/>
      <c r="I92" s="33"/>
      <c r="J92" s="33"/>
    </row>
    <row r="93" spans="1:10" ht="12.5" x14ac:dyDescent="0.25">
      <c r="A93" s="63">
        <f>'Profit &amp; Loss'!A93</f>
        <v>0</v>
      </c>
      <c r="B93" s="33">
        <f>'Profit &amp; Loss'!B93</f>
        <v>0</v>
      </c>
      <c r="C93" s="33"/>
      <c r="D93" s="33"/>
      <c r="E93" s="33"/>
      <c r="F93" s="33"/>
      <c r="G93" s="33"/>
      <c r="H93" s="33"/>
      <c r="I93" s="33"/>
      <c r="J93" s="33"/>
    </row>
    <row r="94" spans="1:10" ht="12.5" x14ac:dyDescent="0.25">
      <c r="A94" s="63">
        <f>'Profit &amp; Loss'!A94</f>
        <v>0</v>
      </c>
      <c r="B94" s="33">
        <f>'Profit &amp; Loss'!B94</f>
        <v>0</v>
      </c>
      <c r="C94" s="33"/>
      <c r="D94" s="33"/>
      <c r="E94" s="33"/>
      <c r="F94" s="33"/>
      <c r="G94" s="33"/>
      <c r="H94" s="33"/>
      <c r="I94" s="33"/>
      <c r="J94" s="33"/>
    </row>
    <row r="95" spans="1:10" ht="12.5" x14ac:dyDescent="0.25">
      <c r="A95" s="63">
        <f>'Profit &amp; Loss'!A95</f>
        <v>0</v>
      </c>
      <c r="B95" s="33">
        <f>'Profit &amp; Loss'!B95</f>
        <v>0</v>
      </c>
      <c r="C95" s="33"/>
      <c r="D95" s="33"/>
      <c r="E95" s="33"/>
      <c r="F95" s="33"/>
      <c r="G95" s="33"/>
      <c r="H95" s="33"/>
      <c r="I95" s="33"/>
      <c r="J95" s="33"/>
    </row>
    <row r="96" spans="1:10" ht="12.5" x14ac:dyDescent="0.25">
      <c r="A96" s="63">
        <f>'Profit &amp; Loss'!A96</f>
        <v>0</v>
      </c>
      <c r="B96" s="33">
        <f>'Profit &amp; Loss'!B96</f>
        <v>0</v>
      </c>
      <c r="C96" s="33"/>
      <c r="D96" s="33"/>
      <c r="E96" s="33"/>
      <c r="F96" s="33"/>
      <c r="G96" s="33"/>
      <c r="H96" s="33"/>
      <c r="I96" s="33"/>
      <c r="J96" s="33"/>
    </row>
    <row r="97" spans="1:10" ht="12.5" x14ac:dyDescent="0.25">
      <c r="A97" s="63">
        <f>'Profit &amp; Loss'!A97</f>
        <v>0</v>
      </c>
      <c r="B97" s="33">
        <f>'Profit &amp; Loss'!B97</f>
        <v>0</v>
      </c>
      <c r="C97" s="33"/>
      <c r="D97" s="33"/>
      <c r="E97" s="33"/>
      <c r="F97" s="33"/>
      <c r="G97" s="33"/>
      <c r="H97" s="33"/>
      <c r="I97" s="33"/>
      <c r="J97" s="33"/>
    </row>
    <row r="98" spans="1:10" ht="12.5" x14ac:dyDescent="0.25">
      <c r="A98" s="63">
        <f>'Profit &amp; Loss'!A98</f>
        <v>0</v>
      </c>
      <c r="B98" s="33">
        <f>'Profit &amp; Loss'!B98</f>
        <v>0</v>
      </c>
      <c r="C98" s="33"/>
      <c r="D98" s="33"/>
      <c r="E98" s="33"/>
      <c r="F98" s="33"/>
      <c r="G98" s="33"/>
      <c r="H98" s="33"/>
      <c r="I98" s="33"/>
      <c r="J98" s="33"/>
    </row>
    <row r="99" spans="1:10" ht="12.5" x14ac:dyDescent="0.25">
      <c r="A99" s="63">
        <f>'Profit &amp; Loss'!A99</f>
        <v>0</v>
      </c>
      <c r="B99" s="33">
        <f>'Profit &amp; Loss'!B99</f>
        <v>0</v>
      </c>
      <c r="C99" s="33"/>
      <c r="D99" s="33"/>
      <c r="E99" s="33"/>
      <c r="F99" s="33"/>
      <c r="G99" s="33"/>
      <c r="H99" s="33"/>
      <c r="I99" s="33"/>
      <c r="J99" s="33"/>
    </row>
    <row r="100" spans="1:10" ht="12.5" x14ac:dyDescent="0.25">
      <c r="A100" s="63">
        <f>'Profit &amp; Loss'!A100</f>
        <v>0</v>
      </c>
      <c r="B100" s="33">
        <f>'Profit &amp; Loss'!B100</f>
        <v>0</v>
      </c>
      <c r="C100" s="33"/>
      <c r="D100" s="33"/>
      <c r="E100" s="33"/>
      <c r="F100" s="33"/>
      <c r="G100" s="33"/>
      <c r="H100" s="33"/>
      <c r="I100" s="33"/>
      <c r="J100" s="33"/>
    </row>
    <row r="101" spans="1:10" ht="12.5" x14ac:dyDescent="0.25">
      <c r="A101" s="63">
        <f>'Profit &amp; Loss'!A101</f>
        <v>0</v>
      </c>
      <c r="B101" s="33">
        <f>'Profit &amp; Loss'!B101</f>
        <v>0</v>
      </c>
      <c r="C101" s="33"/>
      <c r="D101" s="33"/>
      <c r="E101" s="33"/>
      <c r="F101" s="33"/>
      <c r="G101" s="33"/>
      <c r="H101" s="33"/>
      <c r="I101" s="33"/>
      <c r="J101" s="33"/>
    </row>
    <row r="102" spans="1:10" ht="12.5" x14ac:dyDescent="0.25">
      <c r="A102" s="63">
        <f>'Profit &amp; Loss'!A102</f>
        <v>0</v>
      </c>
      <c r="B102" s="33">
        <f>'Profit &amp; Loss'!B102</f>
        <v>0</v>
      </c>
      <c r="C102" s="33"/>
      <c r="D102" s="33"/>
      <c r="E102" s="33"/>
      <c r="F102" s="33"/>
      <c r="G102" s="33"/>
      <c r="H102" s="33"/>
      <c r="I102" s="33"/>
      <c r="J102" s="33"/>
    </row>
    <row r="103" spans="1:10" ht="12.5" x14ac:dyDescent="0.25">
      <c r="A103" s="63">
        <f>'Profit &amp; Loss'!A103</f>
        <v>0</v>
      </c>
      <c r="B103" s="33">
        <f>'Profit &amp; Loss'!B103</f>
        <v>0</v>
      </c>
      <c r="C103" s="33"/>
      <c r="D103" s="33"/>
      <c r="E103" s="33"/>
      <c r="F103" s="33"/>
      <c r="G103" s="33"/>
      <c r="H103" s="33"/>
      <c r="I103" s="33"/>
      <c r="J103" s="33"/>
    </row>
    <row r="104" spans="1:10" ht="12.5" x14ac:dyDescent="0.25">
      <c r="A104" s="63">
        <f>'Profit &amp; Loss'!A104</f>
        <v>0</v>
      </c>
      <c r="B104" s="33">
        <f>'Profit &amp; Loss'!B104</f>
        <v>0</v>
      </c>
      <c r="C104" s="33"/>
      <c r="D104" s="33"/>
      <c r="E104" s="33"/>
      <c r="F104" s="33"/>
      <c r="G104" s="33"/>
      <c r="H104" s="33"/>
      <c r="I104" s="33"/>
      <c r="J104" s="33"/>
    </row>
    <row r="105" spans="1:10" ht="12.5" x14ac:dyDescent="0.25">
      <c r="A105" s="63">
        <f>'Profit &amp; Loss'!A105</f>
        <v>0</v>
      </c>
      <c r="B105" s="33">
        <f>'Profit &amp; Loss'!B105</f>
        <v>0</v>
      </c>
      <c r="C105" s="33"/>
      <c r="D105" s="33"/>
      <c r="E105" s="33"/>
      <c r="F105" s="33"/>
      <c r="G105" s="33"/>
      <c r="H105" s="33"/>
      <c r="I105" s="33"/>
      <c r="J105" s="33"/>
    </row>
    <row r="106" spans="1:10" ht="12.5" x14ac:dyDescent="0.25">
      <c r="A106" s="63">
        <f>'Profit &amp; Loss'!A106</f>
        <v>0</v>
      </c>
      <c r="B106" s="33">
        <f>'Profit &amp; Loss'!B106</f>
        <v>0</v>
      </c>
      <c r="C106" s="33"/>
      <c r="D106" s="33"/>
      <c r="E106" s="33"/>
      <c r="F106" s="33"/>
      <c r="G106" s="33"/>
      <c r="H106" s="33"/>
      <c r="I106" s="33"/>
      <c r="J106" s="33"/>
    </row>
    <row r="107" spans="1:10" ht="12.5" x14ac:dyDescent="0.25">
      <c r="A107" s="63">
        <f>'Profit &amp; Loss'!A107</f>
        <v>0</v>
      </c>
      <c r="B107" s="33">
        <f>'Profit &amp; Loss'!B107</f>
        <v>0</v>
      </c>
      <c r="C107" s="33"/>
      <c r="D107" s="33"/>
      <c r="E107" s="33"/>
      <c r="F107" s="33"/>
      <c r="G107" s="33"/>
      <c r="H107" s="33"/>
      <c r="I107" s="33"/>
      <c r="J107" s="33"/>
    </row>
    <row r="108" spans="1:10" ht="12.5" x14ac:dyDescent="0.25">
      <c r="A108" s="63">
        <f>'Profit &amp; Loss'!A108</f>
        <v>0</v>
      </c>
      <c r="B108" s="33">
        <f>'Profit &amp; Loss'!B108</f>
        <v>0</v>
      </c>
      <c r="C108" s="33"/>
      <c r="D108" s="33"/>
      <c r="E108" s="33"/>
      <c r="F108" s="33"/>
      <c r="G108" s="33"/>
      <c r="H108" s="33"/>
      <c r="I108" s="33"/>
      <c r="J108" s="33"/>
    </row>
    <row r="109" spans="1:10" ht="12.5" x14ac:dyDescent="0.25">
      <c r="A109" s="63">
        <f>'Profit &amp; Loss'!A109</f>
        <v>0</v>
      </c>
      <c r="B109" s="33">
        <f>'Profit &amp; Loss'!B109</f>
        <v>0</v>
      </c>
      <c r="C109" s="33"/>
      <c r="D109" s="33"/>
      <c r="E109" s="33"/>
      <c r="F109" s="33"/>
      <c r="G109" s="33"/>
      <c r="H109" s="33"/>
      <c r="I109" s="33"/>
      <c r="J109" s="33"/>
    </row>
    <row r="110" spans="1:10" ht="12.5" x14ac:dyDescent="0.25">
      <c r="A110" s="63">
        <f>'Profit &amp; Loss'!A110</f>
        <v>0</v>
      </c>
      <c r="B110" s="33">
        <f>'Profit &amp; Loss'!B110</f>
        <v>0</v>
      </c>
      <c r="C110" s="33"/>
      <c r="D110" s="33"/>
      <c r="E110" s="33"/>
      <c r="F110" s="33"/>
      <c r="G110" s="33"/>
      <c r="H110" s="33"/>
      <c r="I110" s="33"/>
      <c r="J110" s="33"/>
    </row>
    <row r="111" spans="1:10" ht="12.5" x14ac:dyDescent="0.25">
      <c r="A111" s="63">
        <f>'Profit &amp; Loss'!A111</f>
        <v>0</v>
      </c>
      <c r="B111" s="33">
        <f>'Profit &amp; Loss'!B111</f>
        <v>0</v>
      </c>
      <c r="C111" s="33"/>
      <c r="D111" s="33"/>
      <c r="E111" s="33"/>
      <c r="F111" s="33"/>
      <c r="G111" s="33"/>
      <c r="H111" s="33"/>
      <c r="I111" s="33"/>
      <c r="J111" s="33"/>
    </row>
    <row r="112" spans="1:10" ht="12.5" x14ac:dyDescent="0.25">
      <c r="A112" s="63">
        <f>'Profit &amp; Loss'!A112</f>
        <v>0</v>
      </c>
      <c r="B112" s="33">
        <f>'Profit &amp; Loss'!B112</f>
        <v>0</v>
      </c>
      <c r="C112" s="33"/>
      <c r="D112" s="33"/>
      <c r="E112" s="33"/>
      <c r="F112" s="33"/>
      <c r="G112" s="33"/>
      <c r="H112" s="33"/>
      <c r="I112" s="33"/>
      <c r="J112" s="33"/>
    </row>
    <row r="113" spans="1:10" ht="12.5" x14ac:dyDescent="0.25">
      <c r="A113" s="63">
        <f>'Profit &amp; Loss'!A113</f>
        <v>0</v>
      </c>
      <c r="B113" s="33">
        <f>'Profit &amp; Loss'!B113</f>
        <v>0</v>
      </c>
      <c r="C113" s="33"/>
      <c r="D113" s="33"/>
      <c r="E113" s="33"/>
      <c r="F113" s="33"/>
      <c r="G113" s="33"/>
      <c r="H113" s="33"/>
      <c r="I113" s="33"/>
      <c r="J113" s="33"/>
    </row>
    <row r="114" spans="1:10" ht="12.5" x14ac:dyDescent="0.25">
      <c r="A114" s="63">
        <f>'Profit &amp; Loss'!A114</f>
        <v>0</v>
      </c>
      <c r="B114" s="33">
        <f>'Profit &amp; Loss'!B114</f>
        <v>0</v>
      </c>
      <c r="C114" s="33"/>
      <c r="D114" s="33"/>
      <c r="E114" s="33"/>
      <c r="F114" s="33"/>
      <c r="G114" s="33"/>
      <c r="H114" s="33"/>
      <c r="I114" s="33"/>
      <c r="J114" s="33"/>
    </row>
    <row r="115" spans="1:10" ht="12.5" x14ac:dyDescent="0.25">
      <c r="A115" s="63">
        <f>'Profit &amp; Loss'!A115</f>
        <v>0</v>
      </c>
      <c r="B115" s="33">
        <f>'Profit &amp; Loss'!B115</f>
        <v>0</v>
      </c>
      <c r="C115" s="33"/>
      <c r="D115" s="33"/>
      <c r="E115" s="33"/>
      <c r="F115" s="33"/>
      <c r="G115" s="33"/>
      <c r="H115" s="33"/>
      <c r="I115" s="33"/>
      <c r="J115" s="33"/>
    </row>
    <row r="116" spans="1:10" ht="12.5" x14ac:dyDescent="0.25">
      <c r="A116" s="63">
        <f>'Profit &amp; Loss'!A116</f>
        <v>0</v>
      </c>
      <c r="B116" s="33">
        <f>'Profit &amp; Loss'!B116</f>
        <v>0</v>
      </c>
      <c r="C116" s="33"/>
      <c r="D116" s="33"/>
      <c r="E116" s="33"/>
      <c r="F116" s="33"/>
      <c r="G116" s="33"/>
      <c r="H116" s="33"/>
      <c r="I116" s="33"/>
      <c r="J116" s="33"/>
    </row>
    <row r="117" spans="1:10" ht="12.5" x14ac:dyDescent="0.25">
      <c r="A117" s="63">
        <f>'Profit &amp; Loss'!A117</f>
        <v>0</v>
      </c>
      <c r="B117" s="33">
        <f>'Profit &amp; Loss'!B117</f>
        <v>0</v>
      </c>
      <c r="C117" s="33"/>
      <c r="D117" s="33"/>
      <c r="E117" s="33"/>
      <c r="F117" s="33"/>
      <c r="G117" s="33"/>
      <c r="H117" s="33"/>
      <c r="I117" s="33"/>
      <c r="J117" s="33"/>
    </row>
    <row r="118" spans="1:10" ht="12.5" x14ac:dyDescent="0.25">
      <c r="A118" s="63">
        <f>'Profit &amp; Loss'!A118</f>
        <v>0</v>
      </c>
      <c r="B118" s="33">
        <f>'Profit &amp; Loss'!B118</f>
        <v>0</v>
      </c>
      <c r="C118" s="33"/>
      <c r="D118" s="33"/>
      <c r="E118" s="33"/>
      <c r="F118" s="33"/>
      <c r="G118" s="33"/>
      <c r="H118" s="33"/>
      <c r="I118" s="33"/>
      <c r="J118" s="33"/>
    </row>
    <row r="119" spans="1:10" ht="12.5" x14ac:dyDescent="0.25">
      <c r="A119" s="63">
        <f>'Profit &amp; Loss'!A119</f>
        <v>0</v>
      </c>
      <c r="B119" s="33">
        <f>'Profit &amp; Loss'!B119</f>
        <v>0</v>
      </c>
      <c r="C119" s="33"/>
      <c r="D119" s="33"/>
      <c r="E119" s="33"/>
      <c r="F119" s="33"/>
      <c r="G119" s="33"/>
      <c r="H119" s="33"/>
      <c r="I119" s="33"/>
      <c r="J119" s="33"/>
    </row>
    <row r="120" spans="1:10" ht="12.5" x14ac:dyDescent="0.25">
      <c r="A120" s="63">
        <f>'Profit &amp; Loss'!A120</f>
        <v>0</v>
      </c>
      <c r="B120" s="33">
        <f>'Profit &amp; Loss'!B120</f>
        <v>0</v>
      </c>
      <c r="C120" s="33"/>
      <c r="D120" s="33"/>
      <c r="E120" s="33"/>
      <c r="F120" s="33"/>
      <c r="G120" s="33"/>
      <c r="H120" s="33"/>
      <c r="I120" s="33"/>
      <c r="J120" s="33"/>
    </row>
    <row r="121" spans="1:10" ht="12.5" x14ac:dyDescent="0.25">
      <c r="A121" s="63">
        <f>'Profit &amp; Loss'!A121</f>
        <v>0</v>
      </c>
      <c r="B121" s="33">
        <f>'Profit &amp; Loss'!B121</f>
        <v>0</v>
      </c>
      <c r="C121" s="33"/>
      <c r="D121" s="33"/>
      <c r="E121" s="33"/>
      <c r="F121" s="33"/>
      <c r="G121" s="33"/>
      <c r="H121" s="33"/>
      <c r="I121" s="33"/>
      <c r="J121" s="33"/>
    </row>
    <row r="122" spans="1:10" ht="12.5" x14ac:dyDescent="0.25">
      <c r="A122" s="63">
        <f>'Profit &amp; Loss'!A122</f>
        <v>0</v>
      </c>
      <c r="B122" s="33">
        <f>'Profit &amp; Loss'!B122</f>
        <v>0</v>
      </c>
      <c r="C122" s="33"/>
      <c r="D122" s="33"/>
      <c r="E122" s="33"/>
      <c r="F122" s="33"/>
      <c r="G122" s="33"/>
      <c r="H122" s="33"/>
      <c r="I122" s="33"/>
      <c r="J122" s="33"/>
    </row>
    <row r="123" spans="1:10" ht="12.5" x14ac:dyDescent="0.25">
      <c r="A123" s="63">
        <f>'Profit &amp; Loss'!A123</f>
        <v>0</v>
      </c>
      <c r="B123" s="33">
        <f>'Profit &amp; Loss'!B123</f>
        <v>0</v>
      </c>
      <c r="C123" s="33"/>
      <c r="D123" s="33"/>
      <c r="E123" s="33"/>
      <c r="F123" s="33"/>
      <c r="G123" s="33"/>
      <c r="H123" s="33"/>
      <c r="I123" s="33"/>
      <c r="J123" s="33"/>
    </row>
    <row r="124" spans="1:10" ht="12.5" x14ac:dyDescent="0.25">
      <c r="A124" s="63">
        <f>'Profit &amp; Loss'!A124</f>
        <v>0</v>
      </c>
      <c r="B124" s="33">
        <f>'Profit &amp; Loss'!B124</f>
        <v>0</v>
      </c>
      <c r="C124" s="33"/>
      <c r="D124" s="33"/>
      <c r="E124" s="33"/>
      <c r="F124" s="33"/>
      <c r="G124" s="33"/>
      <c r="H124" s="33"/>
      <c r="I124" s="33"/>
      <c r="J124" s="33"/>
    </row>
    <row r="125" spans="1:10" ht="12.5" x14ac:dyDescent="0.25">
      <c r="A125" s="63">
        <f>'Profit &amp; Loss'!A125</f>
        <v>0</v>
      </c>
      <c r="B125" s="33">
        <f>'Profit &amp; Loss'!B125</f>
        <v>0</v>
      </c>
      <c r="C125" s="33"/>
      <c r="D125" s="33"/>
      <c r="E125" s="33"/>
      <c r="F125" s="33"/>
      <c r="G125" s="33"/>
      <c r="H125" s="33"/>
      <c r="I125" s="33"/>
      <c r="J125" s="33"/>
    </row>
    <row r="126" spans="1:10" ht="12.5" x14ac:dyDescent="0.25">
      <c r="A126" s="63">
        <f>'Profit &amp; Loss'!A126</f>
        <v>0</v>
      </c>
      <c r="B126" s="33">
        <f>'Profit &amp; Loss'!B126</f>
        <v>0</v>
      </c>
      <c r="C126" s="33"/>
      <c r="D126" s="33"/>
      <c r="E126" s="33"/>
      <c r="F126" s="33"/>
      <c r="G126" s="33"/>
      <c r="H126" s="33"/>
      <c r="I126" s="33"/>
      <c r="J126" s="33"/>
    </row>
    <row r="127" spans="1:10" ht="12.5" x14ac:dyDescent="0.25">
      <c r="A127" s="63">
        <f>'Profit &amp; Loss'!A127</f>
        <v>0</v>
      </c>
      <c r="B127" s="33">
        <f>'Profit &amp; Loss'!B127</f>
        <v>0</v>
      </c>
      <c r="C127" s="33"/>
      <c r="D127" s="33"/>
      <c r="E127" s="33"/>
      <c r="F127" s="33"/>
      <c r="G127" s="33"/>
      <c r="H127" s="33"/>
      <c r="I127" s="33"/>
      <c r="J127" s="33"/>
    </row>
    <row r="128" spans="1:10" ht="12.5" x14ac:dyDescent="0.25">
      <c r="A128" s="63">
        <f>'Profit &amp; Loss'!A128</f>
        <v>0</v>
      </c>
      <c r="B128" s="33">
        <f>'Profit &amp; Loss'!B128</f>
        <v>0</v>
      </c>
      <c r="C128" s="33"/>
      <c r="D128" s="33"/>
      <c r="E128" s="33"/>
      <c r="F128" s="33"/>
      <c r="G128" s="33"/>
      <c r="H128" s="33"/>
      <c r="I128" s="33"/>
      <c r="J128" s="33"/>
    </row>
    <row r="129" spans="1:10" ht="12.5" x14ac:dyDescent="0.25">
      <c r="A129" s="63">
        <f>'Profit &amp; Loss'!A129</f>
        <v>0</v>
      </c>
      <c r="B129" s="33">
        <f>'Profit &amp; Loss'!B129</f>
        <v>0</v>
      </c>
      <c r="C129" s="33"/>
      <c r="D129" s="33"/>
      <c r="E129" s="33"/>
      <c r="F129" s="33"/>
      <c r="G129" s="33"/>
      <c r="H129" s="33"/>
      <c r="I129" s="33"/>
      <c r="J129" s="33"/>
    </row>
    <row r="130" spans="1:10" ht="12.5" x14ac:dyDescent="0.25">
      <c r="A130" s="63">
        <f>'Profit &amp; Loss'!A130</f>
        <v>0</v>
      </c>
      <c r="B130" s="33">
        <f>'Profit &amp; Loss'!B130</f>
        <v>0</v>
      </c>
      <c r="C130" s="33"/>
      <c r="D130" s="33"/>
      <c r="E130" s="33"/>
      <c r="F130" s="33"/>
      <c r="G130" s="33"/>
      <c r="H130" s="33"/>
      <c r="I130" s="33"/>
      <c r="J130" s="33"/>
    </row>
    <row r="131" spans="1:10" ht="12.5" x14ac:dyDescent="0.25">
      <c r="A131" s="63">
        <f>'Profit &amp; Loss'!A131</f>
        <v>0</v>
      </c>
      <c r="B131" s="33">
        <f>'Profit &amp; Loss'!B131</f>
        <v>0</v>
      </c>
      <c r="C131" s="33"/>
      <c r="D131" s="33"/>
      <c r="E131" s="33"/>
      <c r="F131" s="33"/>
      <c r="G131" s="33"/>
      <c r="H131" s="33"/>
      <c r="I131" s="33"/>
      <c r="J131" s="33"/>
    </row>
    <row r="132" spans="1:10" ht="12.5" x14ac:dyDescent="0.25">
      <c r="A132" s="63">
        <f>'Profit &amp; Loss'!A132</f>
        <v>0</v>
      </c>
      <c r="B132" s="33">
        <f>'Profit &amp; Loss'!B132</f>
        <v>0</v>
      </c>
      <c r="C132" s="33"/>
      <c r="D132" s="33"/>
      <c r="E132" s="33"/>
      <c r="F132" s="33"/>
      <c r="G132" s="33"/>
      <c r="H132" s="33"/>
      <c r="I132" s="33"/>
      <c r="J132" s="33"/>
    </row>
    <row r="133" spans="1:10" ht="12.5" x14ac:dyDescent="0.25">
      <c r="A133" s="63">
        <f>'Profit &amp; Loss'!A133</f>
        <v>0</v>
      </c>
      <c r="B133" s="33">
        <f>'Profit &amp; Loss'!B133</f>
        <v>0</v>
      </c>
      <c r="C133" s="33"/>
      <c r="D133" s="33"/>
      <c r="E133" s="33"/>
      <c r="F133" s="33"/>
      <c r="G133" s="33"/>
      <c r="H133" s="33"/>
      <c r="I133" s="33"/>
      <c r="J133" s="33"/>
    </row>
    <row r="134" spans="1:10" ht="12.5" x14ac:dyDescent="0.25">
      <c r="A134" s="63">
        <f>'Profit &amp; Loss'!A134</f>
        <v>0</v>
      </c>
      <c r="B134" s="33">
        <f>'Profit &amp; Loss'!B134</f>
        <v>0</v>
      </c>
      <c r="C134" s="33"/>
      <c r="D134" s="33"/>
      <c r="E134" s="33"/>
      <c r="F134" s="33"/>
      <c r="G134" s="33"/>
      <c r="H134" s="33"/>
      <c r="I134" s="33"/>
      <c r="J134" s="33"/>
    </row>
    <row r="135" spans="1:10" ht="12.5" x14ac:dyDescent="0.25">
      <c r="A135" s="63">
        <f>'Profit &amp; Loss'!A135</f>
        <v>0</v>
      </c>
      <c r="B135" s="33">
        <f>'Profit &amp; Loss'!B135</f>
        <v>0</v>
      </c>
      <c r="C135" s="33"/>
      <c r="D135" s="33"/>
      <c r="E135" s="33"/>
      <c r="F135" s="33"/>
      <c r="G135" s="33"/>
      <c r="H135" s="33"/>
      <c r="I135" s="33"/>
      <c r="J135" s="33"/>
    </row>
    <row r="136" spans="1:10" ht="12.5" x14ac:dyDescent="0.25">
      <c r="A136" s="63">
        <f>'Profit &amp; Loss'!A136</f>
        <v>0</v>
      </c>
      <c r="B136" s="33">
        <f>'Profit &amp; Loss'!B136</f>
        <v>0</v>
      </c>
      <c r="C136" s="33"/>
      <c r="D136" s="33"/>
      <c r="E136" s="33"/>
      <c r="F136" s="33"/>
      <c r="G136" s="33"/>
      <c r="H136" s="33"/>
      <c r="I136" s="33"/>
      <c r="J136" s="33"/>
    </row>
    <row r="137" spans="1:10" ht="12.5" x14ac:dyDescent="0.25">
      <c r="A137" s="63">
        <f>'Profit &amp; Loss'!A137</f>
        <v>0</v>
      </c>
      <c r="B137" s="33">
        <f>'Profit &amp; Loss'!B137</f>
        <v>0</v>
      </c>
      <c r="C137" s="33"/>
      <c r="D137" s="33"/>
      <c r="E137" s="33"/>
      <c r="F137" s="33"/>
      <c r="G137" s="33"/>
      <c r="H137" s="33"/>
      <c r="I137" s="33"/>
      <c r="J137" s="33"/>
    </row>
    <row r="138" spans="1:10" ht="12.5" x14ac:dyDescent="0.25">
      <c r="A138" s="63">
        <f>'Profit &amp; Loss'!A138</f>
        <v>0</v>
      </c>
      <c r="B138" s="33">
        <f>'Profit &amp; Loss'!B138</f>
        <v>0</v>
      </c>
      <c r="C138" s="33"/>
      <c r="D138" s="33"/>
      <c r="E138" s="33"/>
      <c r="F138" s="33"/>
      <c r="G138" s="33"/>
      <c r="H138" s="33"/>
      <c r="I138" s="33"/>
      <c r="J138" s="33"/>
    </row>
    <row r="139" spans="1:10" ht="12.5" x14ac:dyDescent="0.25">
      <c r="A139" s="63">
        <f>'Profit &amp; Loss'!A139</f>
        <v>0</v>
      </c>
      <c r="B139" s="33">
        <f>'Profit &amp; Loss'!B139</f>
        <v>0</v>
      </c>
      <c r="C139" s="33"/>
      <c r="D139" s="33"/>
      <c r="E139" s="33"/>
      <c r="F139" s="33"/>
      <c r="G139" s="33"/>
      <c r="H139" s="33"/>
      <c r="I139" s="33"/>
      <c r="J139" s="33"/>
    </row>
    <row r="140" spans="1:10" ht="12.5" x14ac:dyDescent="0.25">
      <c r="A140" s="63">
        <f>'Profit &amp; Loss'!A140</f>
        <v>0</v>
      </c>
      <c r="B140" s="33">
        <f>'Profit &amp; Loss'!B140</f>
        <v>0</v>
      </c>
      <c r="C140" s="33"/>
      <c r="D140" s="33"/>
      <c r="E140" s="33"/>
      <c r="F140" s="33"/>
      <c r="G140" s="33"/>
      <c r="H140" s="33"/>
      <c r="I140" s="33"/>
      <c r="J140" s="33"/>
    </row>
    <row r="141" spans="1:10" ht="12.5" x14ac:dyDescent="0.25">
      <c r="A141" s="63">
        <f>'Profit &amp; Loss'!A141</f>
        <v>0</v>
      </c>
      <c r="B141" s="33">
        <f>'Profit &amp; Loss'!B141</f>
        <v>0</v>
      </c>
      <c r="C141" s="33"/>
      <c r="D141" s="33"/>
      <c r="E141" s="33"/>
      <c r="F141" s="33"/>
      <c r="G141" s="33"/>
      <c r="H141" s="33"/>
      <c r="I141" s="33"/>
      <c r="J141" s="33"/>
    </row>
    <row r="142" spans="1:10" ht="12.5" x14ac:dyDescent="0.25">
      <c r="A142" s="63">
        <f>'Profit &amp; Loss'!A142</f>
        <v>0</v>
      </c>
      <c r="B142" s="33">
        <f>'Profit &amp; Loss'!B142</f>
        <v>0</v>
      </c>
      <c r="C142" s="33"/>
      <c r="D142" s="33"/>
      <c r="E142" s="33"/>
      <c r="F142" s="33"/>
      <c r="G142" s="33"/>
      <c r="H142" s="33"/>
      <c r="I142" s="33"/>
      <c r="J142" s="33"/>
    </row>
    <row r="143" spans="1:10" ht="12.5" x14ac:dyDescent="0.25">
      <c r="A143" s="63">
        <f>'Profit &amp; Loss'!A143</f>
        <v>0</v>
      </c>
      <c r="B143" s="33">
        <f>'Profit &amp; Loss'!B143</f>
        <v>0</v>
      </c>
      <c r="C143" s="33"/>
      <c r="D143" s="33"/>
      <c r="E143" s="33"/>
      <c r="F143" s="33"/>
      <c r="G143" s="33"/>
      <c r="H143" s="33"/>
      <c r="I143" s="33"/>
      <c r="J143" s="33"/>
    </row>
    <row r="144" spans="1:10" ht="12.5" x14ac:dyDescent="0.25">
      <c r="A144" s="63">
        <f>'Profit &amp; Loss'!A144</f>
        <v>0</v>
      </c>
      <c r="B144" s="33">
        <f>'Profit &amp; Loss'!B144</f>
        <v>0</v>
      </c>
      <c r="C144" s="33"/>
      <c r="D144" s="33"/>
      <c r="E144" s="33"/>
      <c r="F144" s="33"/>
      <c r="G144" s="33"/>
      <c r="H144" s="33"/>
      <c r="I144" s="33"/>
      <c r="J144" s="33"/>
    </row>
    <row r="145" spans="1:10" ht="12.5" x14ac:dyDescent="0.25">
      <c r="A145" s="63">
        <f>'Profit &amp; Loss'!A145</f>
        <v>0</v>
      </c>
      <c r="B145" s="33">
        <f>'Profit &amp; Loss'!B145</f>
        <v>0</v>
      </c>
      <c r="C145" s="33"/>
      <c r="D145" s="33"/>
      <c r="E145" s="33"/>
      <c r="F145" s="33"/>
      <c r="G145" s="33"/>
      <c r="H145" s="33"/>
      <c r="I145" s="33"/>
      <c r="J145" s="33"/>
    </row>
    <row r="146" spans="1:10" ht="12.5" x14ac:dyDescent="0.25">
      <c r="A146" s="63">
        <f>'Profit &amp; Loss'!A146</f>
        <v>0</v>
      </c>
      <c r="B146" s="33">
        <f>'Profit &amp; Loss'!B146</f>
        <v>0</v>
      </c>
      <c r="C146" s="33"/>
      <c r="D146" s="33"/>
      <c r="E146" s="33"/>
      <c r="F146" s="33"/>
      <c r="G146" s="33"/>
      <c r="H146" s="33"/>
      <c r="I146" s="33"/>
      <c r="J146" s="33"/>
    </row>
    <row r="147" spans="1:10" ht="12.5" x14ac:dyDescent="0.25">
      <c r="A147" s="63">
        <f>'Profit &amp; Loss'!A147</f>
        <v>0</v>
      </c>
      <c r="B147" s="33">
        <f>'Profit &amp; Loss'!B147</f>
        <v>0</v>
      </c>
      <c r="C147" s="33"/>
      <c r="D147" s="33"/>
      <c r="E147" s="33"/>
      <c r="F147" s="33"/>
      <c r="G147" s="33"/>
      <c r="H147" s="33"/>
      <c r="I147" s="33"/>
      <c r="J147" s="33"/>
    </row>
    <row r="148" spans="1:10" ht="12.5" x14ac:dyDescent="0.25">
      <c r="A148" s="63">
        <f>'Profit &amp; Loss'!A148</f>
        <v>0</v>
      </c>
      <c r="B148" s="33">
        <f>'Profit &amp; Loss'!B148</f>
        <v>0</v>
      </c>
      <c r="C148" s="33"/>
      <c r="D148" s="33"/>
      <c r="E148" s="33"/>
      <c r="F148" s="33"/>
      <c r="G148" s="33"/>
      <c r="H148" s="33"/>
      <c r="I148" s="33"/>
      <c r="J148" s="33"/>
    </row>
    <row r="149" spans="1:10" ht="12.5" x14ac:dyDescent="0.25">
      <c r="A149" s="63">
        <f>'Profit &amp; Loss'!A149</f>
        <v>0</v>
      </c>
      <c r="B149" s="33">
        <f>'Profit &amp; Loss'!B149</f>
        <v>0</v>
      </c>
      <c r="C149" s="33"/>
      <c r="D149" s="33"/>
      <c r="E149" s="33"/>
      <c r="F149" s="33"/>
      <c r="G149" s="33"/>
      <c r="H149" s="33"/>
      <c r="I149" s="33"/>
      <c r="J149" s="33"/>
    </row>
    <row r="150" spans="1:10" ht="12.5" x14ac:dyDescent="0.25">
      <c r="A150" s="63">
        <f>'Profit &amp; Loss'!A150</f>
        <v>0</v>
      </c>
      <c r="B150" s="33">
        <f>'Profit &amp; Loss'!B150</f>
        <v>0</v>
      </c>
      <c r="C150" s="33"/>
      <c r="D150" s="33"/>
      <c r="E150" s="33"/>
      <c r="F150" s="33"/>
      <c r="G150" s="33"/>
      <c r="H150" s="33"/>
      <c r="I150" s="33"/>
      <c r="J150" s="33"/>
    </row>
    <row r="151" spans="1:10" ht="12.5" x14ac:dyDescent="0.25">
      <c r="A151" s="63">
        <f>'Profit &amp; Loss'!A151</f>
        <v>0</v>
      </c>
      <c r="B151" s="33">
        <f>'Profit &amp; Loss'!B151</f>
        <v>0</v>
      </c>
      <c r="C151" s="33"/>
      <c r="D151" s="33"/>
      <c r="E151" s="33"/>
      <c r="F151" s="33"/>
      <c r="G151" s="33"/>
      <c r="H151" s="33"/>
      <c r="I151" s="33"/>
      <c r="J151" s="33"/>
    </row>
    <row r="152" spans="1:10" ht="12.5" x14ac:dyDescent="0.25">
      <c r="A152" s="63">
        <f>'Profit &amp; Loss'!A152</f>
        <v>0</v>
      </c>
      <c r="B152" s="33">
        <f>'Profit &amp; Loss'!B152</f>
        <v>0</v>
      </c>
      <c r="C152" s="33"/>
      <c r="D152" s="33"/>
      <c r="E152" s="33"/>
      <c r="F152" s="33"/>
      <c r="G152" s="33"/>
      <c r="H152" s="33"/>
      <c r="I152" s="33"/>
      <c r="J152" s="33"/>
    </row>
    <row r="153" spans="1:10" ht="12.5" x14ac:dyDescent="0.25">
      <c r="A153" s="63">
        <f>'Profit &amp; Loss'!A153</f>
        <v>0</v>
      </c>
      <c r="B153" s="33">
        <f>'Profit &amp; Loss'!B153</f>
        <v>0</v>
      </c>
      <c r="C153" s="33"/>
      <c r="D153" s="33"/>
      <c r="E153" s="33"/>
      <c r="F153" s="33"/>
      <c r="G153" s="33"/>
      <c r="H153" s="33"/>
      <c r="I153" s="33"/>
      <c r="J153" s="33"/>
    </row>
    <row r="154" spans="1:10" ht="12.5" x14ac:dyDescent="0.25">
      <c r="A154" s="63">
        <f>'Profit &amp; Loss'!A154</f>
        <v>0</v>
      </c>
      <c r="B154" s="33">
        <f>'Profit &amp; Loss'!B154</f>
        <v>0</v>
      </c>
      <c r="C154" s="33"/>
      <c r="D154" s="33"/>
      <c r="E154" s="33"/>
      <c r="F154" s="33"/>
      <c r="G154" s="33"/>
      <c r="H154" s="33"/>
      <c r="I154" s="33"/>
      <c r="J154" s="33"/>
    </row>
    <row r="155" spans="1:10" ht="12.5" x14ac:dyDescent="0.25">
      <c r="A155" s="63">
        <f>'Profit &amp; Loss'!A155</f>
        <v>0</v>
      </c>
      <c r="B155" s="33">
        <f>'Profit &amp; Loss'!B155</f>
        <v>0</v>
      </c>
      <c r="C155" s="33"/>
      <c r="D155" s="33"/>
      <c r="E155" s="33"/>
      <c r="F155" s="33"/>
      <c r="G155" s="33"/>
      <c r="H155" s="33"/>
      <c r="I155" s="33"/>
      <c r="J155" s="33"/>
    </row>
    <row r="156" spans="1:10" ht="12.5" x14ac:dyDescent="0.25">
      <c r="A156" s="63">
        <f>'Profit &amp; Loss'!A156</f>
        <v>0</v>
      </c>
      <c r="B156" s="33">
        <f>'Profit &amp; Loss'!B156</f>
        <v>0</v>
      </c>
      <c r="C156" s="33"/>
      <c r="D156" s="33"/>
      <c r="E156" s="33"/>
      <c r="F156" s="33"/>
      <c r="G156" s="33"/>
      <c r="H156" s="33"/>
      <c r="I156" s="33"/>
      <c r="J156" s="33"/>
    </row>
    <row r="157" spans="1:10" ht="12.5" x14ac:dyDescent="0.25">
      <c r="A157" s="63">
        <f>'Profit &amp; Loss'!A157</f>
        <v>0</v>
      </c>
      <c r="B157" s="33">
        <f>'Profit &amp; Loss'!B157</f>
        <v>0</v>
      </c>
      <c r="C157" s="33"/>
      <c r="D157" s="33"/>
      <c r="E157" s="33"/>
      <c r="F157" s="33"/>
      <c r="G157" s="33"/>
      <c r="H157" s="33"/>
      <c r="I157" s="33"/>
      <c r="J157" s="33"/>
    </row>
    <row r="158" spans="1:10" ht="12.5" x14ac:dyDescent="0.25">
      <c r="A158" s="63">
        <f>'Profit &amp; Loss'!A158</f>
        <v>0</v>
      </c>
      <c r="B158" s="33">
        <f>'Profit &amp; Loss'!B158</f>
        <v>0</v>
      </c>
      <c r="C158" s="33"/>
      <c r="D158" s="33"/>
      <c r="E158" s="33"/>
      <c r="F158" s="33"/>
      <c r="G158" s="33"/>
      <c r="H158" s="33"/>
      <c r="I158" s="33"/>
      <c r="J158" s="33"/>
    </row>
    <row r="159" spans="1:10" ht="12.5" x14ac:dyDescent="0.25">
      <c r="A159" s="63">
        <f>'Profit &amp; Loss'!A159</f>
        <v>0</v>
      </c>
      <c r="B159" s="33">
        <f>'Profit &amp; Loss'!B159</f>
        <v>0</v>
      </c>
      <c r="C159" s="33"/>
      <c r="D159" s="33"/>
      <c r="E159" s="33"/>
      <c r="F159" s="33"/>
      <c r="G159" s="33"/>
      <c r="H159" s="33"/>
      <c r="I159" s="33"/>
      <c r="J159" s="33"/>
    </row>
    <row r="160" spans="1:10" ht="12.5" x14ac:dyDescent="0.25">
      <c r="A160" s="63">
        <f>'Profit &amp; Loss'!A160</f>
        <v>0</v>
      </c>
      <c r="B160" s="33">
        <f>'Profit &amp; Loss'!B160</f>
        <v>0</v>
      </c>
      <c r="C160" s="33"/>
      <c r="D160" s="33"/>
      <c r="E160" s="33"/>
      <c r="F160" s="33"/>
      <c r="G160" s="33"/>
      <c r="H160" s="33"/>
      <c r="I160" s="33"/>
      <c r="J160" s="33"/>
    </row>
    <row r="161" spans="1:10" ht="12.5" x14ac:dyDescent="0.25">
      <c r="A161" s="63">
        <f>'Profit &amp; Loss'!A161</f>
        <v>0</v>
      </c>
      <c r="B161" s="33">
        <f>'Profit &amp; Loss'!B161</f>
        <v>0</v>
      </c>
      <c r="C161" s="33"/>
      <c r="D161" s="33"/>
      <c r="E161" s="33"/>
      <c r="F161" s="33"/>
      <c r="G161" s="33"/>
      <c r="H161" s="33"/>
      <c r="I161" s="33"/>
      <c r="J161" s="33"/>
    </row>
    <row r="162" spans="1:10" ht="12.5" x14ac:dyDescent="0.25">
      <c r="A162" s="63">
        <f>'Profit &amp; Loss'!A162</f>
        <v>0</v>
      </c>
      <c r="B162" s="33">
        <f>'Profit &amp; Loss'!B162</f>
        <v>0</v>
      </c>
      <c r="C162" s="33"/>
      <c r="D162" s="33"/>
      <c r="E162" s="33"/>
      <c r="F162" s="33"/>
      <c r="G162" s="33"/>
      <c r="H162" s="33"/>
      <c r="I162" s="33"/>
      <c r="J162" s="33"/>
    </row>
    <row r="163" spans="1:10" ht="12.5" x14ac:dyDescent="0.25">
      <c r="A163" s="63">
        <f>'Profit &amp; Loss'!A163</f>
        <v>0</v>
      </c>
      <c r="B163" s="33">
        <f>'Profit &amp; Loss'!B163</f>
        <v>0</v>
      </c>
      <c r="C163" s="33"/>
      <c r="D163" s="33"/>
      <c r="E163" s="33"/>
      <c r="F163" s="33"/>
      <c r="G163" s="33"/>
      <c r="H163" s="33"/>
      <c r="I163" s="33"/>
      <c r="J163" s="33"/>
    </row>
    <row r="164" spans="1:10" ht="12.5" x14ac:dyDescent="0.25">
      <c r="A164" s="63">
        <f>'Profit &amp; Loss'!A164</f>
        <v>0</v>
      </c>
      <c r="B164" s="33">
        <f>'Profit &amp; Loss'!B164</f>
        <v>0</v>
      </c>
      <c r="C164" s="33"/>
      <c r="D164" s="33"/>
      <c r="E164" s="33"/>
      <c r="F164" s="33"/>
      <c r="G164" s="33"/>
      <c r="H164" s="33"/>
      <c r="I164" s="33"/>
      <c r="J164" s="33"/>
    </row>
    <row r="165" spans="1:10" ht="12.5" x14ac:dyDescent="0.25">
      <c r="A165" s="63">
        <f>'Profit &amp; Loss'!A165</f>
        <v>0</v>
      </c>
      <c r="B165" s="33">
        <f>'Profit &amp; Loss'!B165</f>
        <v>0</v>
      </c>
      <c r="C165" s="33"/>
      <c r="D165" s="33"/>
      <c r="E165" s="33"/>
      <c r="F165" s="33"/>
      <c r="G165" s="33"/>
      <c r="H165" s="33"/>
      <c r="I165" s="33"/>
      <c r="J165" s="33"/>
    </row>
    <row r="166" spans="1:10" ht="12.5" x14ac:dyDescent="0.25">
      <c r="A166" s="63">
        <f>'Profit &amp; Loss'!A166</f>
        <v>0</v>
      </c>
      <c r="B166" s="33">
        <f>'Profit &amp; Loss'!B166</f>
        <v>0</v>
      </c>
      <c r="C166" s="33"/>
      <c r="D166" s="33"/>
      <c r="E166" s="33"/>
      <c r="F166" s="33"/>
      <c r="G166" s="33"/>
      <c r="H166" s="33"/>
      <c r="I166" s="33"/>
      <c r="J166" s="33"/>
    </row>
    <row r="167" spans="1:10" ht="12.5" x14ac:dyDescent="0.25">
      <c r="A167" s="63">
        <f>'Profit &amp; Loss'!A167</f>
        <v>0</v>
      </c>
      <c r="B167" s="33">
        <f>'Profit &amp; Loss'!B167</f>
        <v>0</v>
      </c>
      <c r="C167" s="33"/>
      <c r="D167" s="33"/>
      <c r="E167" s="33"/>
      <c r="F167" s="33"/>
      <c r="G167" s="33"/>
      <c r="H167" s="33"/>
      <c r="I167" s="33"/>
      <c r="J167" s="33"/>
    </row>
    <row r="168" spans="1:10" ht="12.5" x14ac:dyDescent="0.25">
      <c r="A168" s="63">
        <f>'Profit &amp; Loss'!A168</f>
        <v>0</v>
      </c>
      <c r="B168" s="33">
        <f>'Profit &amp; Loss'!B168</f>
        <v>0</v>
      </c>
      <c r="C168" s="33"/>
      <c r="D168" s="33"/>
      <c r="E168" s="33"/>
      <c r="F168" s="33"/>
      <c r="G168" s="33"/>
      <c r="H168" s="33"/>
      <c r="I168" s="33"/>
      <c r="J168" s="33"/>
    </row>
    <row r="169" spans="1:10" ht="12.5" x14ac:dyDescent="0.25">
      <c r="A169" s="63">
        <f>'Profit &amp; Loss'!A169</f>
        <v>0</v>
      </c>
      <c r="B169" s="33">
        <f>'Profit &amp; Loss'!B169</f>
        <v>0</v>
      </c>
      <c r="C169" s="33"/>
      <c r="D169" s="33"/>
      <c r="E169" s="33"/>
      <c r="F169" s="33"/>
      <c r="G169" s="33"/>
      <c r="H169" s="33"/>
      <c r="I169" s="33"/>
      <c r="J169" s="33"/>
    </row>
    <row r="170" spans="1:10" ht="12.5" x14ac:dyDescent="0.25">
      <c r="A170" s="63">
        <f>'Profit &amp; Loss'!A170</f>
        <v>0</v>
      </c>
      <c r="B170" s="33">
        <f>'Profit &amp; Loss'!B170</f>
        <v>0</v>
      </c>
      <c r="C170" s="33"/>
      <c r="D170" s="33"/>
      <c r="E170" s="33"/>
      <c r="F170" s="33"/>
      <c r="G170" s="33"/>
      <c r="H170" s="33"/>
      <c r="I170" s="33"/>
      <c r="J170" s="33"/>
    </row>
    <row r="171" spans="1:10" ht="12.5" x14ac:dyDescent="0.25">
      <c r="A171" s="63">
        <f>'Profit &amp; Loss'!A171</f>
        <v>0</v>
      </c>
      <c r="B171" s="33">
        <f>'Profit &amp; Loss'!B171</f>
        <v>0</v>
      </c>
      <c r="C171" s="33"/>
      <c r="D171" s="33"/>
      <c r="E171" s="33"/>
      <c r="F171" s="33"/>
      <c r="G171" s="33"/>
      <c r="H171" s="33"/>
      <c r="I171" s="33"/>
      <c r="J171" s="33"/>
    </row>
    <row r="172" spans="1:10" ht="12.5" x14ac:dyDescent="0.25">
      <c r="A172" s="63">
        <f>'Profit &amp; Loss'!A172</f>
        <v>0</v>
      </c>
      <c r="B172" s="33">
        <f>'Profit &amp; Loss'!B172</f>
        <v>0</v>
      </c>
      <c r="C172" s="33"/>
      <c r="D172" s="33"/>
      <c r="E172" s="33"/>
      <c r="F172" s="33"/>
      <c r="G172" s="33"/>
      <c r="H172" s="33"/>
      <c r="I172" s="33"/>
      <c r="J172" s="33"/>
    </row>
    <row r="173" spans="1:10" ht="12.5" x14ac:dyDescent="0.25">
      <c r="A173" s="63">
        <f>'Profit &amp; Loss'!A173</f>
        <v>0</v>
      </c>
      <c r="B173" s="33">
        <f>'Profit &amp; Loss'!B173</f>
        <v>0</v>
      </c>
      <c r="C173" s="33"/>
      <c r="D173" s="33"/>
      <c r="E173" s="33"/>
      <c r="F173" s="33"/>
      <c r="G173" s="33"/>
      <c r="H173" s="33"/>
      <c r="I173" s="33"/>
      <c r="J173" s="33"/>
    </row>
    <row r="174" spans="1:10" ht="12.5" x14ac:dyDescent="0.25">
      <c r="A174" s="63">
        <f>'Profit &amp; Loss'!A174</f>
        <v>0</v>
      </c>
      <c r="B174" s="33">
        <f>'Profit &amp; Loss'!B174</f>
        <v>0</v>
      </c>
      <c r="C174" s="33"/>
      <c r="D174" s="33"/>
      <c r="E174" s="33"/>
      <c r="F174" s="33"/>
      <c r="G174" s="33"/>
      <c r="H174" s="33"/>
      <c r="I174" s="33"/>
      <c r="J174" s="33"/>
    </row>
    <row r="175" spans="1:10" ht="12.5" x14ac:dyDescent="0.25">
      <c r="A175" s="63">
        <f>'Profit &amp; Loss'!A175</f>
        <v>0</v>
      </c>
      <c r="B175" s="33">
        <f>'Profit &amp; Loss'!B175</f>
        <v>0</v>
      </c>
      <c r="C175" s="33"/>
      <c r="D175" s="33"/>
      <c r="E175" s="33"/>
      <c r="F175" s="33"/>
      <c r="G175" s="33"/>
      <c r="H175" s="33"/>
      <c r="I175" s="33"/>
      <c r="J175" s="33"/>
    </row>
    <row r="176" spans="1:10" ht="12.5" x14ac:dyDescent="0.25">
      <c r="A176" s="63">
        <f>'Profit &amp; Loss'!A176</f>
        <v>0</v>
      </c>
      <c r="B176" s="33">
        <f>'Profit &amp; Loss'!B176</f>
        <v>0</v>
      </c>
      <c r="C176" s="33"/>
      <c r="D176" s="33"/>
      <c r="E176" s="33"/>
      <c r="F176" s="33"/>
      <c r="G176" s="33"/>
      <c r="H176" s="33"/>
      <c r="I176" s="33"/>
      <c r="J176" s="33"/>
    </row>
    <row r="177" spans="1:10" ht="12.5" x14ac:dyDescent="0.25">
      <c r="A177" s="63">
        <f>'Profit &amp; Loss'!A177</f>
        <v>0</v>
      </c>
      <c r="B177" s="33">
        <f>'Profit &amp; Loss'!B177</f>
        <v>0</v>
      </c>
      <c r="C177" s="33"/>
      <c r="D177" s="33"/>
      <c r="E177" s="33"/>
      <c r="F177" s="33"/>
      <c r="G177" s="33"/>
      <c r="H177" s="33"/>
      <c r="I177" s="33"/>
      <c r="J177" s="33"/>
    </row>
    <row r="178" spans="1:10" ht="12.5" x14ac:dyDescent="0.25">
      <c r="A178" s="63">
        <f>'Profit &amp; Loss'!A178</f>
        <v>0</v>
      </c>
      <c r="B178" s="33">
        <f>'Profit &amp; Loss'!B178</f>
        <v>0</v>
      </c>
      <c r="C178" s="33"/>
      <c r="D178" s="33"/>
      <c r="E178" s="33"/>
      <c r="F178" s="33"/>
      <c r="G178" s="33"/>
      <c r="H178" s="33"/>
      <c r="I178" s="33"/>
      <c r="J178" s="33"/>
    </row>
    <row r="179" spans="1:10" ht="12.5" x14ac:dyDescent="0.25">
      <c r="A179" s="63">
        <f>'Profit &amp; Loss'!A179</f>
        <v>0</v>
      </c>
      <c r="B179" s="33">
        <f>'Profit &amp; Loss'!B179</f>
        <v>0</v>
      </c>
      <c r="C179" s="33"/>
      <c r="D179" s="33"/>
      <c r="E179" s="33"/>
      <c r="F179" s="33"/>
      <c r="G179" s="33"/>
      <c r="H179" s="33"/>
      <c r="I179" s="33"/>
      <c r="J179" s="33"/>
    </row>
    <row r="180" spans="1:10" ht="12.5" x14ac:dyDescent="0.25">
      <c r="A180" s="63">
        <f>'Profit &amp; Loss'!A180</f>
        <v>0</v>
      </c>
      <c r="B180" s="33">
        <f>'Profit &amp; Loss'!B180</f>
        <v>0</v>
      </c>
      <c r="C180" s="33"/>
      <c r="D180" s="33"/>
      <c r="E180" s="33"/>
      <c r="F180" s="33"/>
      <c r="G180" s="33"/>
      <c r="H180" s="33"/>
      <c r="I180" s="33"/>
      <c r="J180" s="33"/>
    </row>
    <row r="181" spans="1:10" ht="12.5" x14ac:dyDescent="0.25">
      <c r="A181" s="63">
        <f>'Profit &amp; Loss'!A181</f>
        <v>0</v>
      </c>
      <c r="B181" s="33">
        <f>'Profit &amp; Loss'!B181</f>
        <v>0</v>
      </c>
      <c r="C181" s="33"/>
      <c r="D181" s="33"/>
      <c r="E181" s="33"/>
      <c r="F181" s="33"/>
      <c r="G181" s="33"/>
      <c r="H181" s="33"/>
      <c r="I181" s="33"/>
      <c r="J181" s="33"/>
    </row>
    <row r="182" spans="1:10" ht="12.5" x14ac:dyDescent="0.25">
      <c r="A182" s="63">
        <f>'Profit &amp; Loss'!A182</f>
        <v>0</v>
      </c>
      <c r="B182" s="33">
        <f>'Profit &amp; Loss'!B182</f>
        <v>0</v>
      </c>
      <c r="C182" s="33"/>
      <c r="D182" s="33"/>
      <c r="E182" s="33"/>
      <c r="F182" s="33"/>
      <c r="G182" s="33"/>
      <c r="H182" s="33"/>
      <c r="I182" s="33"/>
      <c r="J182" s="33"/>
    </row>
    <row r="183" spans="1:10" ht="12.5" x14ac:dyDescent="0.25">
      <c r="A183" s="63">
        <f>'Profit &amp; Loss'!A183</f>
        <v>0</v>
      </c>
      <c r="B183" s="33">
        <f>'Profit &amp; Loss'!B183</f>
        <v>0</v>
      </c>
      <c r="C183" s="33"/>
      <c r="D183" s="33"/>
      <c r="E183" s="33"/>
      <c r="F183" s="33"/>
      <c r="G183" s="33"/>
      <c r="H183" s="33"/>
      <c r="I183" s="33"/>
      <c r="J183" s="33"/>
    </row>
    <row r="184" spans="1:10" ht="12.5" x14ac:dyDescent="0.25">
      <c r="A184" s="63">
        <f>'Profit &amp; Loss'!A184</f>
        <v>0</v>
      </c>
      <c r="B184" s="33">
        <f>'Profit &amp; Loss'!B184</f>
        <v>0</v>
      </c>
      <c r="C184" s="33"/>
      <c r="D184" s="33"/>
      <c r="E184" s="33"/>
      <c r="F184" s="33"/>
      <c r="G184" s="33"/>
      <c r="H184" s="33"/>
      <c r="I184" s="33"/>
      <c r="J184" s="33"/>
    </row>
    <row r="185" spans="1:10" ht="12.5" x14ac:dyDescent="0.25">
      <c r="A185" s="63">
        <f>'Profit &amp; Loss'!A185</f>
        <v>0</v>
      </c>
      <c r="B185" s="33">
        <f>'Profit &amp; Loss'!B185</f>
        <v>0</v>
      </c>
      <c r="C185" s="33"/>
      <c r="D185" s="33"/>
      <c r="E185" s="33"/>
      <c r="F185" s="33"/>
      <c r="G185" s="33"/>
      <c r="H185" s="33"/>
      <c r="I185" s="33"/>
      <c r="J185" s="33"/>
    </row>
    <row r="186" spans="1:10" ht="12.5" x14ac:dyDescent="0.25">
      <c r="A186" s="63">
        <f>'Profit &amp; Loss'!A186</f>
        <v>0</v>
      </c>
      <c r="B186" s="33">
        <f>'Profit &amp; Loss'!B186</f>
        <v>0</v>
      </c>
      <c r="C186" s="33"/>
      <c r="D186" s="33"/>
      <c r="E186" s="33"/>
      <c r="F186" s="33"/>
      <c r="G186" s="33"/>
      <c r="H186" s="33"/>
      <c r="I186" s="33"/>
      <c r="J186" s="33"/>
    </row>
    <row r="187" spans="1:10" ht="12.5" x14ac:dyDescent="0.25">
      <c r="A187" s="63">
        <f>'Profit &amp; Loss'!A187</f>
        <v>0</v>
      </c>
      <c r="B187" s="33">
        <f>'Profit &amp; Loss'!B187</f>
        <v>0</v>
      </c>
      <c r="C187" s="33"/>
      <c r="D187" s="33"/>
      <c r="E187" s="33"/>
      <c r="F187" s="33"/>
      <c r="G187" s="33"/>
      <c r="H187" s="33"/>
      <c r="I187" s="33"/>
      <c r="J187" s="33"/>
    </row>
    <row r="188" spans="1:10" ht="12.5" x14ac:dyDescent="0.25">
      <c r="A188" s="63">
        <f>'Profit &amp; Loss'!A188</f>
        <v>0</v>
      </c>
      <c r="B188" s="33">
        <f>'Profit &amp; Loss'!B188</f>
        <v>0</v>
      </c>
      <c r="C188" s="33"/>
      <c r="D188" s="33"/>
      <c r="E188" s="33"/>
      <c r="F188" s="33"/>
      <c r="G188" s="33"/>
      <c r="H188" s="33"/>
      <c r="I188" s="33"/>
      <c r="J188" s="33"/>
    </row>
    <row r="189" spans="1:10" ht="12.5" x14ac:dyDescent="0.25">
      <c r="A189" s="63">
        <f>'Profit &amp; Loss'!A189</f>
        <v>0</v>
      </c>
      <c r="B189" s="33">
        <f>'Profit &amp; Loss'!B189</f>
        <v>0</v>
      </c>
      <c r="C189" s="33"/>
      <c r="D189" s="33"/>
      <c r="E189" s="33"/>
      <c r="F189" s="33"/>
      <c r="G189" s="33"/>
      <c r="H189" s="33"/>
      <c r="I189" s="33"/>
      <c r="J189" s="33"/>
    </row>
    <row r="190" spans="1:10" ht="12.5" x14ac:dyDescent="0.25">
      <c r="A190" s="63">
        <f>'Profit &amp; Loss'!A190</f>
        <v>0</v>
      </c>
      <c r="B190" s="33">
        <f>'Profit &amp; Loss'!B190</f>
        <v>0</v>
      </c>
      <c r="C190" s="33"/>
      <c r="D190" s="33"/>
      <c r="E190" s="33"/>
      <c r="F190" s="33"/>
      <c r="G190" s="33"/>
      <c r="H190" s="33"/>
      <c r="I190" s="33"/>
      <c r="J190" s="33"/>
    </row>
    <row r="191" spans="1:10" ht="12.5" x14ac:dyDescent="0.25">
      <c r="A191" s="63">
        <f>'Profit &amp; Loss'!A191</f>
        <v>0</v>
      </c>
      <c r="B191" s="33">
        <f>'Profit &amp; Loss'!B191</f>
        <v>0</v>
      </c>
      <c r="C191" s="33"/>
      <c r="D191" s="33"/>
      <c r="E191" s="33"/>
      <c r="F191" s="33"/>
      <c r="G191" s="33"/>
      <c r="H191" s="33"/>
      <c r="I191" s="33"/>
      <c r="J191" s="33"/>
    </row>
    <row r="192" spans="1:10" ht="12.5" x14ac:dyDescent="0.25">
      <c r="A192" s="63">
        <f>'Profit &amp; Loss'!A192</f>
        <v>0</v>
      </c>
      <c r="B192" s="33">
        <f>'Profit &amp; Loss'!B192</f>
        <v>0</v>
      </c>
      <c r="C192" s="33"/>
      <c r="D192" s="33"/>
      <c r="E192" s="33"/>
      <c r="F192" s="33"/>
      <c r="G192" s="33"/>
      <c r="H192" s="33"/>
      <c r="I192" s="33"/>
      <c r="J192" s="33"/>
    </row>
    <row r="193" spans="1:10" ht="12.5" x14ac:dyDescent="0.25">
      <c r="A193" s="63">
        <f>'Profit &amp; Loss'!A193</f>
        <v>0</v>
      </c>
      <c r="B193" s="33">
        <f>'Profit &amp; Loss'!B193</f>
        <v>0</v>
      </c>
      <c r="C193" s="33"/>
      <c r="D193" s="33"/>
      <c r="E193" s="33"/>
      <c r="F193" s="33"/>
      <c r="G193" s="33"/>
      <c r="H193" s="33"/>
      <c r="I193" s="33"/>
      <c r="J193" s="33"/>
    </row>
    <row r="194" spans="1:10" ht="12.5" x14ac:dyDescent="0.25">
      <c r="A194" s="63">
        <f>'Profit &amp; Loss'!A194</f>
        <v>0</v>
      </c>
      <c r="B194" s="33">
        <f>'Profit &amp; Loss'!B194</f>
        <v>0</v>
      </c>
      <c r="C194" s="33"/>
      <c r="D194" s="33"/>
      <c r="E194" s="33"/>
      <c r="F194" s="33"/>
      <c r="G194" s="33"/>
      <c r="H194" s="33"/>
      <c r="I194" s="33"/>
      <c r="J194" s="33"/>
    </row>
    <row r="195" spans="1:10" ht="12.5" x14ac:dyDescent="0.25">
      <c r="A195" s="63">
        <f>'Profit &amp; Loss'!A195</f>
        <v>0</v>
      </c>
      <c r="B195" s="33">
        <f>'Profit &amp; Loss'!B195</f>
        <v>0</v>
      </c>
      <c r="C195" s="33"/>
      <c r="D195" s="33"/>
      <c r="E195" s="33"/>
      <c r="F195" s="33"/>
      <c r="G195" s="33"/>
      <c r="H195" s="33"/>
      <c r="I195" s="33"/>
      <c r="J195" s="33"/>
    </row>
    <row r="196" spans="1:10" ht="12.5" x14ac:dyDescent="0.25">
      <c r="A196" s="63">
        <f>'Profit &amp; Loss'!A196</f>
        <v>0</v>
      </c>
      <c r="B196" s="33">
        <f>'Profit &amp; Loss'!B196</f>
        <v>0</v>
      </c>
      <c r="C196" s="33"/>
      <c r="D196" s="33"/>
      <c r="E196" s="33"/>
      <c r="F196" s="33"/>
      <c r="G196" s="33"/>
      <c r="H196" s="33"/>
      <c r="I196" s="33"/>
      <c r="J196" s="33"/>
    </row>
    <row r="197" spans="1:10" ht="12.5" x14ac:dyDescent="0.25">
      <c r="A197" s="63">
        <f>'Profit &amp; Loss'!A197</f>
        <v>0</v>
      </c>
      <c r="B197" s="33">
        <f>'Profit &amp; Loss'!B197</f>
        <v>0</v>
      </c>
      <c r="C197" s="33"/>
      <c r="D197" s="33"/>
      <c r="E197" s="33"/>
      <c r="F197" s="33"/>
      <c r="G197" s="33"/>
      <c r="H197" s="33"/>
      <c r="I197" s="33"/>
      <c r="J197" s="33"/>
    </row>
    <row r="198" spans="1:10" ht="12.5" x14ac:dyDescent="0.25">
      <c r="A198" s="63">
        <f>'Profit &amp; Loss'!A198</f>
        <v>0</v>
      </c>
      <c r="B198" s="33">
        <f>'Profit &amp; Loss'!B198</f>
        <v>0</v>
      </c>
      <c r="C198" s="33"/>
      <c r="D198" s="33"/>
      <c r="E198" s="33"/>
      <c r="F198" s="33"/>
      <c r="G198" s="33"/>
      <c r="H198" s="33"/>
      <c r="I198" s="33"/>
      <c r="J198" s="33"/>
    </row>
    <row r="199" spans="1:10" ht="12.5" x14ac:dyDescent="0.25">
      <c r="A199" s="63">
        <f>'Profit &amp; Loss'!A199</f>
        <v>0</v>
      </c>
      <c r="B199" s="33">
        <f>'Profit &amp; Loss'!B199</f>
        <v>0</v>
      </c>
      <c r="C199" s="33"/>
      <c r="D199" s="33"/>
      <c r="E199" s="33"/>
      <c r="F199" s="33"/>
      <c r="G199" s="33"/>
      <c r="H199" s="33"/>
      <c r="I199" s="33"/>
      <c r="J199" s="33"/>
    </row>
    <row r="200" spans="1:10" ht="12.5" x14ac:dyDescent="0.25">
      <c r="A200" s="63">
        <f>'Profit &amp; Loss'!A200</f>
        <v>0</v>
      </c>
      <c r="B200" s="33">
        <f>'Profit &amp; Loss'!B200</f>
        <v>0</v>
      </c>
      <c r="C200" s="33"/>
      <c r="D200" s="33"/>
      <c r="E200" s="33"/>
      <c r="F200" s="33"/>
      <c r="G200" s="33"/>
      <c r="H200" s="33"/>
      <c r="I200" s="33"/>
      <c r="J200" s="33"/>
    </row>
    <row r="201" spans="1:10" ht="12.5" x14ac:dyDescent="0.25">
      <c r="A201" s="63">
        <f>'Profit &amp; Loss'!A201</f>
        <v>0</v>
      </c>
      <c r="B201" s="33">
        <f>'Profit &amp; Loss'!B201</f>
        <v>0</v>
      </c>
      <c r="C201" s="33"/>
      <c r="D201" s="33"/>
      <c r="E201" s="33"/>
      <c r="F201" s="33"/>
      <c r="G201" s="33"/>
      <c r="H201" s="33"/>
      <c r="I201" s="33"/>
      <c r="J201" s="33"/>
    </row>
    <row r="202" spans="1:10" ht="12.5" x14ac:dyDescent="0.25">
      <c r="A202" s="63">
        <f>'Profit &amp; Loss'!A202</f>
        <v>0</v>
      </c>
      <c r="B202" s="33">
        <f>'Profit &amp; Loss'!B202</f>
        <v>0</v>
      </c>
      <c r="C202" s="33"/>
      <c r="D202" s="33"/>
      <c r="E202" s="33"/>
      <c r="F202" s="33"/>
      <c r="G202" s="33"/>
      <c r="H202" s="33"/>
      <c r="I202" s="33"/>
      <c r="J202" s="33"/>
    </row>
    <row r="203" spans="1:10" ht="12.5" x14ac:dyDescent="0.25">
      <c r="A203" s="63">
        <f>'Profit &amp; Loss'!A203</f>
        <v>0</v>
      </c>
      <c r="B203" s="33">
        <f>'Profit &amp; Loss'!B203</f>
        <v>0</v>
      </c>
      <c r="C203" s="33"/>
      <c r="D203" s="33"/>
      <c r="E203" s="33"/>
      <c r="F203" s="33"/>
      <c r="G203" s="33"/>
      <c r="H203" s="33"/>
      <c r="I203" s="33"/>
      <c r="J203" s="33"/>
    </row>
    <row r="204" spans="1:10" ht="12.5" x14ac:dyDescent="0.25">
      <c r="A204" s="63">
        <f>'Profit &amp; Loss'!A204</f>
        <v>0</v>
      </c>
      <c r="B204" s="33">
        <f>'Profit &amp; Loss'!B204</f>
        <v>0</v>
      </c>
      <c r="C204" s="33"/>
      <c r="D204" s="33"/>
      <c r="E204" s="33"/>
      <c r="F204" s="33"/>
      <c r="G204" s="33"/>
      <c r="H204" s="33"/>
      <c r="I204" s="33"/>
      <c r="J204" s="33"/>
    </row>
    <row r="205" spans="1:10" ht="12.5" x14ac:dyDescent="0.25">
      <c r="A205" s="63">
        <f>'Profit &amp; Loss'!A205</f>
        <v>0</v>
      </c>
      <c r="B205" s="33">
        <f>'Profit &amp; Loss'!B205</f>
        <v>0</v>
      </c>
      <c r="C205" s="33"/>
      <c r="D205" s="33"/>
      <c r="E205" s="33"/>
      <c r="F205" s="33"/>
      <c r="G205" s="33"/>
      <c r="H205" s="33"/>
      <c r="I205" s="33"/>
      <c r="J205" s="33"/>
    </row>
    <row r="206" spans="1:10" ht="12.5" x14ac:dyDescent="0.25">
      <c r="A206" s="63">
        <f>'Profit &amp; Loss'!A206</f>
        <v>0</v>
      </c>
      <c r="B206" s="33">
        <f>'Profit &amp; Loss'!B206</f>
        <v>0</v>
      </c>
      <c r="C206" s="33"/>
      <c r="D206" s="33"/>
      <c r="E206" s="33"/>
      <c r="F206" s="33"/>
      <c r="G206" s="33"/>
      <c r="H206" s="33"/>
      <c r="I206" s="33"/>
      <c r="J206" s="33"/>
    </row>
    <row r="207" spans="1:10" ht="12.5" x14ac:dyDescent="0.25">
      <c r="A207" s="63">
        <f>'Profit &amp; Loss'!A207</f>
        <v>0</v>
      </c>
      <c r="B207" s="33">
        <f>'Profit &amp; Loss'!B207</f>
        <v>0</v>
      </c>
      <c r="C207" s="33"/>
      <c r="D207" s="33"/>
      <c r="E207" s="33"/>
      <c r="F207" s="33"/>
      <c r="G207" s="33"/>
      <c r="H207" s="33"/>
      <c r="I207" s="33"/>
      <c r="J207" s="33"/>
    </row>
    <row r="208" spans="1:10" ht="12.5" x14ac:dyDescent="0.25">
      <c r="A208" s="63">
        <f>'Profit &amp; Loss'!A208</f>
        <v>0</v>
      </c>
      <c r="B208" s="33">
        <f>'Profit &amp; Loss'!B208</f>
        <v>0</v>
      </c>
      <c r="C208" s="33"/>
      <c r="D208" s="33"/>
      <c r="E208" s="33"/>
      <c r="F208" s="33"/>
      <c r="G208" s="33"/>
      <c r="H208" s="33"/>
      <c r="I208" s="33"/>
      <c r="J208" s="33"/>
    </row>
    <row r="209" spans="1:10" ht="12.5" x14ac:dyDescent="0.25">
      <c r="A209" s="63">
        <f>'Profit &amp; Loss'!A209</f>
        <v>0</v>
      </c>
      <c r="B209" s="33">
        <f>'Profit &amp; Loss'!B209</f>
        <v>0</v>
      </c>
      <c r="C209" s="33"/>
      <c r="D209" s="33"/>
      <c r="E209" s="33"/>
      <c r="F209" s="33"/>
      <c r="G209" s="33"/>
      <c r="H209" s="33"/>
      <c r="I209" s="33"/>
      <c r="J209" s="33"/>
    </row>
    <row r="210" spans="1:10" ht="12.5" x14ac:dyDescent="0.25">
      <c r="A210" s="63">
        <f>'Profit &amp; Loss'!A210</f>
        <v>0</v>
      </c>
      <c r="B210" s="33">
        <f>'Profit &amp; Loss'!B210</f>
        <v>0</v>
      </c>
      <c r="C210" s="33"/>
      <c r="D210" s="33"/>
      <c r="E210" s="33"/>
      <c r="F210" s="33"/>
      <c r="G210" s="33"/>
      <c r="H210" s="33"/>
      <c r="I210" s="33"/>
      <c r="J210" s="33"/>
    </row>
    <row r="211" spans="1:10" ht="12.5" x14ac:dyDescent="0.25">
      <c r="A211" s="63">
        <f>'Profit &amp; Loss'!A211</f>
        <v>0</v>
      </c>
      <c r="B211" s="33">
        <f>'Profit &amp; Loss'!B211</f>
        <v>0</v>
      </c>
      <c r="C211" s="33"/>
      <c r="D211" s="33"/>
      <c r="E211" s="33"/>
      <c r="F211" s="33"/>
      <c r="G211" s="33"/>
      <c r="H211" s="33"/>
      <c r="I211" s="33"/>
      <c r="J211" s="33"/>
    </row>
    <row r="212" spans="1:10" ht="12.5" x14ac:dyDescent="0.25">
      <c r="A212" s="63">
        <f>'Profit &amp; Loss'!A212</f>
        <v>0</v>
      </c>
      <c r="B212" s="33">
        <f>'Profit &amp; Loss'!B212</f>
        <v>0</v>
      </c>
      <c r="C212" s="33"/>
      <c r="D212" s="33"/>
      <c r="E212" s="33"/>
      <c r="F212" s="33"/>
      <c r="G212" s="33"/>
      <c r="H212" s="33"/>
      <c r="I212" s="33"/>
      <c r="J212" s="33"/>
    </row>
    <row r="213" spans="1:10" ht="12.5" x14ac:dyDescent="0.25">
      <c r="A213" s="63">
        <f>'Profit &amp; Loss'!A213</f>
        <v>0</v>
      </c>
      <c r="B213" s="33">
        <f>'Profit &amp; Loss'!B213</f>
        <v>0</v>
      </c>
      <c r="C213" s="33"/>
      <c r="D213" s="33"/>
      <c r="E213" s="33"/>
      <c r="F213" s="33"/>
      <c r="G213" s="33"/>
      <c r="H213" s="33"/>
      <c r="I213" s="33"/>
      <c r="J213" s="33"/>
    </row>
    <row r="214" spans="1:10" ht="12.5" x14ac:dyDescent="0.25">
      <c r="A214" s="63">
        <f>'Profit &amp; Loss'!A214</f>
        <v>0</v>
      </c>
      <c r="B214" s="33">
        <f>'Profit &amp; Loss'!B214</f>
        <v>0</v>
      </c>
      <c r="C214" s="33"/>
      <c r="D214" s="33"/>
      <c r="E214" s="33"/>
      <c r="F214" s="33"/>
      <c r="G214" s="33"/>
      <c r="H214" s="33"/>
      <c r="I214" s="33"/>
      <c r="J214" s="33"/>
    </row>
    <row r="215" spans="1:10" ht="12.5" x14ac:dyDescent="0.25">
      <c r="A215" s="63">
        <f>'Profit &amp; Loss'!A215</f>
        <v>0</v>
      </c>
      <c r="B215" s="33">
        <f>'Profit &amp; Loss'!B215</f>
        <v>0</v>
      </c>
      <c r="C215" s="33"/>
      <c r="D215" s="33"/>
      <c r="E215" s="33"/>
      <c r="F215" s="33"/>
      <c r="G215" s="33"/>
      <c r="H215" s="33"/>
      <c r="I215" s="33"/>
      <c r="J215" s="33"/>
    </row>
    <row r="216" spans="1:10" ht="12.5" x14ac:dyDescent="0.25">
      <c r="A216" s="63">
        <f>'Profit &amp; Loss'!A216</f>
        <v>0</v>
      </c>
      <c r="B216" s="33">
        <f>'Profit &amp; Loss'!B216</f>
        <v>0</v>
      </c>
      <c r="C216" s="33"/>
      <c r="D216" s="33"/>
      <c r="E216" s="33"/>
      <c r="F216" s="33"/>
      <c r="G216" s="33"/>
      <c r="H216" s="33"/>
      <c r="I216" s="33"/>
      <c r="J216" s="33"/>
    </row>
    <row r="217" spans="1:10" ht="12.5" x14ac:dyDescent="0.25">
      <c r="A217" s="63">
        <f>'Profit &amp; Loss'!A217</f>
        <v>0</v>
      </c>
      <c r="B217" s="33">
        <f>'Profit &amp; Loss'!B217</f>
        <v>0</v>
      </c>
      <c r="C217" s="33"/>
      <c r="D217" s="33"/>
      <c r="E217" s="33"/>
      <c r="F217" s="33"/>
      <c r="G217" s="33"/>
      <c r="H217" s="33"/>
      <c r="I217" s="33"/>
      <c r="J217" s="33"/>
    </row>
    <row r="218" spans="1:10" ht="12.5" x14ac:dyDescent="0.25">
      <c r="A218" s="63">
        <f>'Profit &amp; Loss'!A218</f>
        <v>0</v>
      </c>
      <c r="B218" s="33">
        <f>'Profit &amp; Loss'!B218</f>
        <v>0</v>
      </c>
      <c r="C218" s="33"/>
      <c r="D218" s="33"/>
      <c r="E218" s="33"/>
      <c r="F218" s="33"/>
      <c r="G218" s="33"/>
      <c r="H218" s="33"/>
      <c r="I218" s="33"/>
      <c r="J218" s="33"/>
    </row>
    <row r="219" spans="1:10" ht="12.5" x14ac:dyDescent="0.25">
      <c r="A219" s="63">
        <f>'Profit &amp; Loss'!A219</f>
        <v>0</v>
      </c>
      <c r="B219" s="33">
        <f>'Profit &amp; Loss'!B219</f>
        <v>0</v>
      </c>
      <c r="C219" s="33"/>
      <c r="D219" s="33"/>
      <c r="E219" s="33"/>
      <c r="F219" s="33"/>
      <c r="G219" s="33"/>
      <c r="H219" s="33"/>
      <c r="I219" s="33"/>
      <c r="J219" s="33"/>
    </row>
    <row r="220" spans="1:10" ht="12.5" x14ac:dyDescent="0.25">
      <c r="A220" s="63">
        <f>'Profit &amp; Loss'!A220</f>
        <v>0</v>
      </c>
      <c r="B220" s="33">
        <f>'Profit &amp; Loss'!B220</f>
        <v>0</v>
      </c>
      <c r="C220" s="33"/>
      <c r="D220" s="33"/>
      <c r="E220" s="33"/>
      <c r="F220" s="33"/>
      <c r="G220" s="33"/>
      <c r="H220" s="33"/>
      <c r="I220" s="33"/>
      <c r="J220" s="33"/>
    </row>
    <row r="221" spans="1:10" ht="12.5" x14ac:dyDescent="0.25">
      <c r="A221" s="63">
        <f>'Profit &amp; Loss'!A221</f>
        <v>0</v>
      </c>
      <c r="B221" s="33">
        <f>'Profit &amp; Loss'!B221</f>
        <v>0</v>
      </c>
      <c r="C221" s="33"/>
      <c r="D221" s="33"/>
      <c r="E221" s="33"/>
      <c r="F221" s="33"/>
      <c r="G221" s="33"/>
      <c r="H221" s="33"/>
      <c r="I221" s="33"/>
      <c r="J221" s="33"/>
    </row>
    <row r="222" spans="1:10" ht="12.5" x14ac:dyDescent="0.25">
      <c r="A222" s="63">
        <f>'Profit &amp; Loss'!A222</f>
        <v>0</v>
      </c>
      <c r="B222" s="33">
        <f>'Profit &amp; Loss'!B222</f>
        <v>0</v>
      </c>
      <c r="C222" s="33"/>
      <c r="D222" s="33"/>
      <c r="E222" s="33"/>
      <c r="F222" s="33"/>
      <c r="G222" s="33"/>
      <c r="H222" s="33"/>
      <c r="I222" s="33"/>
      <c r="J222" s="33"/>
    </row>
    <row r="223" spans="1:10" ht="12.5" x14ac:dyDescent="0.25">
      <c r="A223" s="63">
        <f>'Profit &amp; Loss'!A223</f>
        <v>0</v>
      </c>
      <c r="B223" s="33">
        <f>'Profit &amp; Loss'!B223</f>
        <v>0</v>
      </c>
      <c r="C223" s="33"/>
      <c r="D223" s="33"/>
      <c r="E223" s="33"/>
      <c r="F223" s="33"/>
      <c r="G223" s="33"/>
      <c r="H223" s="33"/>
      <c r="I223" s="33"/>
      <c r="J223" s="33"/>
    </row>
    <row r="224" spans="1:10" ht="12.5" x14ac:dyDescent="0.25">
      <c r="A224" s="63">
        <f>'Profit &amp; Loss'!A224</f>
        <v>0</v>
      </c>
      <c r="B224" s="33">
        <f>'Profit &amp; Loss'!B224</f>
        <v>0</v>
      </c>
      <c r="C224" s="33"/>
      <c r="D224" s="33"/>
      <c r="E224" s="33"/>
      <c r="F224" s="33"/>
      <c r="G224" s="33"/>
      <c r="H224" s="33"/>
      <c r="I224" s="33"/>
      <c r="J224" s="33"/>
    </row>
    <row r="225" spans="1:10" ht="12.5" x14ac:dyDescent="0.25">
      <c r="A225" s="63">
        <f>'Profit &amp; Loss'!A225</f>
        <v>0</v>
      </c>
      <c r="B225" s="33">
        <f>'Profit &amp; Loss'!B225</f>
        <v>0</v>
      </c>
      <c r="C225" s="33"/>
      <c r="D225" s="33"/>
      <c r="E225" s="33"/>
      <c r="F225" s="33"/>
      <c r="G225" s="33"/>
      <c r="H225" s="33"/>
      <c r="I225" s="33"/>
      <c r="J225" s="33"/>
    </row>
    <row r="226" spans="1:10" ht="12.5" x14ac:dyDescent="0.25">
      <c r="A226" s="63">
        <f>'Profit &amp; Loss'!A226</f>
        <v>0</v>
      </c>
      <c r="B226" s="33">
        <f>'Profit &amp; Loss'!B226</f>
        <v>0</v>
      </c>
      <c r="C226" s="33"/>
      <c r="D226" s="33"/>
      <c r="E226" s="33"/>
      <c r="F226" s="33"/>
      <c r="G226" s="33"/>
      <c r="H226" s="33"/>
      <c r="I226" s="33"/>
      <c r="J226" s="33"/>
    </row>
    <row r="227" spans="1:10" ht="12.5" x14ac:dyDescent="0.25">
      <c r="A227" s="63">
        <f>'Profit &amp; Loss'!A227</f>
        <v>0</v>
      </c>
      <c r="B227" s="33">
        <f>'Profit &amp; Loss'!B227</f>
        <v>0</v>
      </c>
      <c r="C227" s="33"/>
      <c r="D227" s="33"/>
      <c r="E227" s="33"/>
      <c r="F227" s="33"/>
      <c r="G227" s="33"/>
      <c r="H227" s="33"/>
      <c r="I227" s="33"/>
      <c r="J227" s="33"/>
    </row>
    <row r="228" spans="1:10" ht="12.5" x14ac:dyDescent="0.25">
      <c r="A228" s="63">
        <f>'Profit &amp; Loss'!A228</f>
        <v>0</v>
      </c>
      <c r="B228" s="33">
        <f>'Profit &amp; Loss'!B228</f>
        <v>0</v>
      </c>
      <c r="C228" s="33"/>
      <c r="D228" s="33"/>
      <c r="E228" s="33"/>
      <c r="F228" s="33"/>
      <c r="G228" s="33"/>
      <c r="H228" s="33"/>
      <c r="I228" s="33"/>
      <c r="J228" s="33"/>
    </row>
    <row r="229" spans="1:10" ht="12.5" x14ac:dyDescent="0.25">
      <c r="A229" s="63">
        <f>'Profit &amp; Loss'!A229</f>
        <v>0</v>
      </c>
      <c r="B229" s="33">
        <f>'Profit &amp; Loss'!B229</f>
        <v>0</v>
      </c>
      <c r="C229" s="33"/>
      <c r="D229" s="33"/>
      <c r="E229" s="33"/>
      <c r="F229" s="33"/>
      <c r="G229" s="33"/>
      <c r="H229" s="33"/>
      <c r="I229" s="33"/>
      <c r="J229" s="33"/>
    </row>
    <row r="230" spans="1:10" ht="12.5" x14ac:dyDescent="0.25">
      <c r="A230" s="63">
        <f>'Profit &amp; Loss'!A230</f>
        <v>0</v>
      </c>
      <c r="B230" s="33">
        <f>'Profit &amp; Loss'!B230</f>
        <v>0</v>
      </c>
      <c r="C230" s="33"/>
      <c r="D230" s="33"/>
      <c r="E230" s="33"/>
      <c r="F230" s="33"/>
      <c r="G230" s="33"/>
      <c r="H230" s="33"/>
      <c r="I230" s="33"/>
      <c r="J230" s="33"/>
    </row>
    <row r="231" spans="1:10" ht="12.5" x14ac:dyDescent="0.25">
      <c r="A231" s="63">
        <f>'Profit &amp; Loss'!A231</f>
        <v>0</v>
      </c>
      <c r="B231" s="33">
        <f>'Profit &amp; Loss'!B231</f>
        <v>0</v>
      </c>
      <c r="C231" s="33"/>
      <c r="D231" s="33"/>
      <c r="E231" s="33"/>
      <c r="F231" s="33"/>
      <c r="G231" s="33"/>
      <c r="H231" s="33"/>
      <c r="I231" s="33"/>
      <c r="J231" s="33"/>
    </row>
    <row r="232" spans="1:10" ht="12.5" x14ac:dyDescent="0.25">
      <c r="A232" s="63">
        <f>'Profit &amp; Loss'!A232</f>
        <v>0</v>
      </c>
      <c r="B232" s="33">
        <f>'Profit &amp; Loss'!B232</f>
        <v>0</v>
      </c>
      <c r="C232" s="33"/>
      <c r="D232" s="33"/>
      <c r="E232" s="33"/>
      <c r="F232" s="33"/>
      <c r="G232" s="33"/>
      <c r="H232" s="33"/>
      <c r="I232" s="33"/>
      <c r="J232" s="33"/>
    </row>
    <row r="233" spans="1:10" ht="12.5" x14ac:dyDescent="0.25">
      <c r="A233" s="63">
        <f>'Profit &amp; Loss'!A233</f>
        <v>0</v>
      </c>
      <c r="B233" s="33">
        <f>'Profit &amp; Loss'!B233</f>
        <v>0</v>
      </c>
      <c r="C233" s="33"/>
      <c r="D233" s="33"/>
      <c r="E233" s="33"/>
      <c r="F233" s="33"/>
      <c r="G233" s="33"/>
      <c r="H233" s="33"/>
      <c r="I233" s="33"/>
      <c r="J233" s="33"/>
    </row>
    <row r="234" spans="1:10" ht="12.5" x14ac:dyDescent="0.25">
      <c r="A234" s="63">
        <f>'Profit &amp; Loss'!A234</f>
        <v>0</v>
      </c>
      <c r="B234" s="33">
        <f>'Profit &amp; Loss'!B234</f>
        <v>0</v>
      </c>
      <c r="C234" s="33"/>
      <c r="D234" s="33"/>
      <c r="E234" s="33"/>
      <c r="F234" s="33"/>
      <c r="G234" s="33"/>
      <c r="H234" s="33"/>
      <c r="I234" s="33"/>
      <c r="J234" s="33"/>
    </row>
    <row r="235" spans="1:10" ht="12.5" x14ac:dyDescent="0.25">
      <c r="A235" s="63">
        <f>'Profit &amp; Loss'!A235</f>
        <v>0</v>
      </c>
      <c r="B235" s="33">
        <f>'Profit &amp; Loss'!B235</f>
        <v>0</v>
      </c>
      <c r="C235" s="33"/>
      <c r="D235" s="33"/>
      <c r="E235" s="33"/>
      <c r="F235" s="33"/>
      <c r="G235" s="33"/>
      <c r="H235" s="33"/>
      <c r="I235" s="33"/>
      <c r="J235" s="33"/>
    </row>
    <row r="236" spans="1:10" ht="12.5" x14ac:dyDescent="0.25">
      <c r="A236" s="63">
        <f>'Profit &amp; Loss'!A236</f>
        <v>0</v>
      </c>
      <c r="B236" s="33">
        <f>'Profit &amp; Loss'!B236</f>
        <v>0</v>
      </c>
      <c r="C236" s="33"/>
      <c r="D236" s="33"/>
      <c r="E236" s="33"/>
      <c r="F236" s="33"/>
      <c r="G236" s="33"/>
      <c r="H236" s="33"/>
      <c r="I236" s="33"/>
      <c r="J236" s="33"/>
    </row>
    <row r="237" spans="1:10" ht="12.5" x14ac:dyDescent="0.25">
      <c r="A237" s="63">
        <f>'Profit &amp; Loss'!A237</f>
        <v>0</v>
      </c>
      <c r="B237" s="33">
        <f>'Profit &amp; Loss'!B237</f>
        <v>0</v>
      </c>
      <c r="C237" s="33"/>
      <c r="D237" s="33"/>
      <c r="E237" s="33"/>
      <c r="F237" s="33"/>
      <c r="G237" s="33"/>
      <c r="H237" s="33"/>
      <c r="I237" s="33"/>
      <c r="J237" s="33"/>
    </row>
    <row r="238" spans="1:10" ht="12.5" x14ac:dyDescent="0.25">
      <c r="A238" s="63">
        <f>'Profit &amp; Loss'!A238</f>
        <v>0</v>
      </c>
      <c r="B238" s="33">
        <f>'Profit &amp; Loss'!B238</f>
        <v>0</v>
      </c>
      <c r="C238" s="33"/>
      <c r="D238" s="33"/>
      <c r="E238" s="33"/>
      <c r="F238" s="33"/>
      <c r="G238" s="33"/>
      <c r="H238" s="33"/>
      <c r="I238" s="33"/>
      <c r="J238" s="33"/>
    </row>
    <row r="239" spans="1:10" ht="12.5" x14ac:dyDescent="0.25">
      <c r="A239" s="63">
        <f>'Profit &amp; Loss'!A239</f>
        <v>0</v>
      </c>
      <c r="B239" s="33">
        <f>'Profit &amp; Loss'!B239</f>
        <v>0</v>
      </c>
      <c r="C239" s="33"/>
      <c r="D239" s="33"/>
      <c r="E239" s="33"/>
      <c r="F239" s="33"/>
      <c r="G239" s="33"/>
      <c r="H239" s="33"/>
      <c r="I239" s="33"/>
      <c r="J239" s="33"/>
    </row>
    <row r="240" spans="1:10" ht="12.5" x14ac:dyDescent="0.25">
      <c r="A240" s="63">
        <f>'Profit &amp; Loss'!A240</f>
        <v>0</v>
      </c>
      <c r="B240" s="33">
        <f>'Profit &amp; Loss'!B240</f>
        <v>0</v>
      </c>
      <c r="C240" s="33"/>
      <c r="D240" s="33"/>
      <c r="E240" s="33"/>
      <c r="F240" s="33"/>
      <c r="G240" s="33"/>
      <c r="H240" s="33"/>
      <c r="I240" s="33"/>
      <c r="J240" s="33"/>
    </row>
    <row r="241" spans="1:10" ht="12.5" x14ac:dyDescent="0.25">
      <c r="A241" s="63">
        <f>'Profit &amp; Loss'!A241</f>
        <v>0</v>
      </c>
      <c r="B241" s="33">
        <f>'Profit &amp; Loss'!B241</f>
        <v>0</v>
      </c>
      <c r="C241" s="33"/>
      <c r="D241" s="33"/>
      <c r="E241" s="33"/>
      <c r="F241" s="33"/>
      <c r="G241" s="33"/>
      <c r="H241" s="33"/>
      <c r="I241" s="33"/>
      <c r="J241" s="33"/>
    </row>
    <row r="242" spans="1:10" ht="12.5" x14ac:dyDescent="0.25">
      <c r="A242" s="63">
        <f>'Profit &amp; Loss'!A242</f>
        <v>0</v>
      </c>
      <c r="B242" s="33">
        <f>'Profit &amp; Loss'!B242</f>
        <v>0</v>
      </c>
      <c r="C242" s="33"/>
      <c r="D242" s="33"/>
      <c r="E242" s="33"/>
      <c r="F242" s="33"/>
      <c r="G242" s="33"/>
      <c r="H242" s="33"/>
      <c r="I242" s="33"/>
      <c r="J242" s="33"/>
    </row>
    <row r="243" spans="1:10" ht="12.5" x14ac:dyDescent="0.25">
      <c r="A243" s="63">
        <f>'Profit &amp; Loss'!A243</f>
        <v>0</v>
      </c>
      <c r="B243" s="33">
        <f>'Profit &amp; Loss'!B243</f>
        <v>0</v>
      </c>
      <c r="C243" s="33"/>
      <c r="D243" s="33"/>
      <c r="E243" s="33"/>
      <c r="F243" s="33"/>
      <c r="G243" s="33"/>
      <c r="H243" s="33"/>
      <c r="I243" s="33"/>
      <c r="J243" s="33"/>
    </row>
    <row r="244" spans="1:10" ht="12.5" x14ac:dyDescent="0.25">
      <c r="A244" s="63">
        <f>'Profit &amp; Loss'!A244</f>
        <v>0</v>
      </c>
      <c r="B244" s="33">
        <f>'Profit &amp; Loss'!B244</f>
        <v>0</v>
      </c>
      <c r="C244" s="33"/>
      <c r="D244" s="33"/>
      <c r="E244" s="33"/>
      <c r="F244" s="33"/>
      <c r="G244" s="33"/>
      <c r="H244" s="33"/>
      <c r="I244" s="33"/>
      <c r="J244" s="33"/>
    </row>
    <row r="245" spans="1:10" ht="12.5" x14ac:dyDescent="0.25">
      <c r="A245" s="63">
        <f>'Profit &amp; Loss'!A245</f>
        <v>0</v>
      </c>
      <c r="B245" s="33">
        <f>'Profit &amp; Loss'!B245</f>
        <v>0</v>
      </c>
      <c r="C245" s="33"/>
      <c r="D245" s="33"/>
      <c r="E245" s="33"/>
      <c r="F245" s="33"/>
      <c r="G245" s="33"/>
      <c r="H245" s="33"/>
      <c r="I245" s="33"/>
      <c r="J245" s="33"/>
    </row>
    <row r="246" spans="1:10" ht="12.5" x14ac:dyDescent="0.25">
      <c r="A246" s="63">
        <f>'Profit &amp; Loss'!A246</f>
        <v>0</v>
      </c>
      <c r="B246" s="33">
        <f>'Profit &amp; Loss'!B246</f>
        <v>0</v>
      </c>
      <c r="C246" s="33"/>
      <c r="D246" s="33"/>
      <c r="E246" s="33"/>
      <c r="F246" s="33"/>
      <c r="G246" s="33"/>
      <c r="H246" s="33"/>
      <c r="I246" s="33"/>
      <c r="J246" s="33"/>
    </row>
    <row r="247" spans="1:10" ht="12.5" x14ac:dyDescent="0.25">
      <c r="A247" s="63">
        <f>'Profit &amp; Loss'!A247</f>
        <v>0</v>
      </c>
      <c r="B247" s="33">
        <f>'Profit &amp; Loss'!B247</f>
        <v>0</v>
      </c>
      <c r="C247" s="33"/>
      <c r="D247" s="33"/>
      <c r="E247" s="33"/>
      <c r="F247" s="33"/>
      <c r="G247" s="33"/>
      <c r="H247" s="33"/>
      <c r="I247" s="33"/>
      <c r="J247" s="33"/>
    </row>
    <row r="248" spans="1:10" ht="12.5" x14ac:dyDescent="0.25">
      <c r="A248" s="63">
        <f>'Profit &amp; Loss'!A248</f>
        <v>0</v>
      </c>
      <c r="B248" s="33">
        <f>'Profit &amp; Loss'!B248</f>
        <v>0</v>
      </c>
      <c r="C248" s="33"/>
      <c r="D248" s="33"/>
      <c r="E248" s="33"/>
      <c r="F248" s="33"/>
      <c r="G248" s="33"/>
      <c r="H248" s="33"/>
      <c r="I248" s="33"/>
      <c r="J248" s="33"/>
    </row>
    <row r="249" spans="1:10" ht="12.5" x14ac:dyDescent="0.25">
      <c r="A249" s="63">
        <f>'Profit &amp; Loss'!A249</f>
        <v>0</v>
      </c>
      <c r="B249" s="33">
        <f>'Profit &amp; Loss'!B249</f>
        <v>0</v>
      </c>
      <c r="C249" s="33"/>
      <c r="D249" s="33"/>
      <c r="E249" s="33"/>
      <c r="F249" s="33"/>
      <c r="G249" s="33"/>
      <c r="H249" s="33"/>
      <c r="I249" s="33"/>
      <c r="J249" s="33"/>
    </row>
    <row r="250" spans="1:10" ht="12.5" x14ac:dyDescent="0.25">
      <c r="A250" s="63">
        <f>'Profit &amp; Loss'!A250</f>
        <v>0</v>
      </c>
      <c r="B250" s="33">
        <f>'Profit &amp; Loss'!B250</f>
        <v>0</v>
      </c>
      <c r="C250" s="33"/>
      <c r="D250" s="33"/>
      <c r="E250" s="33"/>
      <c r="F250" s="33"/>
      <c r="G250" s="33"/>
      <c r="H250" s="33"/>
      <c r="I250" s="33"/>
      <c r="J250" s="33"/>
    </row>
    <row r="251" spans="1:10" ht="12.5" x14ac:dyDescent="0.25">
      <c r="A251" s="63">
        <f>'Profit &amp; Loss'!A251</f>
        <v>0</v>
      </c>
      <c r="B251" s="33">
        <f>'Profit &amp; Loss'!B251</f>
        <v>0</v>
      </c>
      <c r="C251" s="33"/>
      <c r="D251" s="33"/>
      <c r="E251" s="33"/>
      <c r="F251" s="33"/>
      <c r="G251" s="33"/>
      <c r="H251" s="33"/>
      <c r="I251" s="33"/>
      <c r="J251" s="33"/>
    </row>
    <row r="252" spans="1:10" ht="12.5" x14ac:dyDescent="0.25">
      <c r="A252" s="63">
        <f>'Profit &amp; Loss'!A252</f>
        <v>0</v>
      </c>
      <c r="B252" s="33">
        <f>'Profit &amp; Loss'!B252</f>
        <v>0</v>
      </c>
      <c r="C252" s="33"/>
      <c r="D252" s="33"/>
      <c r="E252" s="33"/>
      <c r="F252" s="33"/>
      <c r="G252" s="33"/>
      <c r="H252" s="33"/>
      <c r="I252" s="33"/>
      <c r="J252" s="33"/>
    </row>
    <row r="253" spans="1:10" ht="12.5" x14ac:dyDescent="0.25">
      <c r="A253" s="63">
        <f>'Profit &amp; Loss'!A253</f>
        <v>0</v>
      </c>
      <c r="B253" s="33">
        <f>'Profit &amp; Loss'!B253</f>
        <v>0</v>
      </c>
      <c r="C253" s="33"/>
      <c r="D253" s="33"/>
      <c r="E253" s="33"/>
      <c r="F253" s="33"/>
      <c r="G253" s="33"/>
      <c r="H253" s="33"/>
      <c r="I253" s="33"/>
      <c r="J253" s="33"/>
    </row>
    <row r="254" spans="1:10" ht="12.5" x14ac:dyDescent="0.25">
      <c r="A254" s="63">
        <f>'Profit &amp; Loss'!A254</f>
        <v>0</v>
      </c>
      <c r="B254" s="33">
        <f>'Profit &amp; Loss'!B254</f>
        <v>0</v>
      </c>
      <c r="C254" s="33"/>
      <c r="D254" s="33"/>
      <c r="E254" s="33"/>
      <c r="F254" s="33"/>
      <c r="G254" s="33"/>
      <c r="H254" s="33"/>
      <c r="I254" s="33"/>
      <c r="J254" s="33"/>
    </row>
    <row r="255" spans="1:10" ht="12.5" x14ac:dyDescent="0.25">
      <c r="A255" s="63">
        <f>'Profit &amp; Loss'!A255</f>
        <v>0</v>
      </c>
      <c r="B255" s="33">
        <f>'Profit &amp; Loss'!B255</f>
        <v>0</v>
      </c>
      <c r="C255" s="33"/>
      <c r="D255" s="33"/>
      <c r="E255" s="33"/>
      <c r="F255" s="33"/>
      <c r="G255" s="33"/>
      <c r="H255" s="33"/>
      <c r="I255" s="33"/>
      <c r="J255" s="33"/>
    </row>
    <row r="256" spans="1:10" ht="12.5" x14ac:dyDescent="0.25">
      <c r="A256" s="63">
        <f>'Profit &amp; Loss'!A256</f>
        <v>0</v>
      </c>
      <c r="B256" s="33">
        <f>'Profit &amp; Loss'!B256</f>
        <v>0</v>
      </c>
      <c r="C256" s="33"/>
      <c r="D256" s="33"/>
      <c r="E256" s="33"/>
      <c r="F256" s="33"/>
      <c r="G256" s="33"/>
      <c r="H256" s="33"/>
      <c r="I256" s="33"/>
      <c r="J256" s="33"/>
    </row>
    <row r="257" spans="1:10" ht="12.5" x14ac:dyDescent="0.25">
      <c r="A257" s="63">
        <f>'Profit &amp; Loss'!A257</f>
        <v>0</v>
      </c>
      <c r="B257" s="33">
        <f>'Profit &amp; Loss'!B257</f>
        <v>0</v>
      </c>
      <c r="C257" s="33"/>
      <c r="D257" s="33"/>
      <c r="E257" s="33"/>
      <c r="F257" s="33"/>
      <c r="G257" s="33"/>
      <c r="H257" s="33"/>
      <c r="I257" s="33"/>
      <c r="J257" s="33"/>
    </row>
    <row r="258" spans="1:10" ht="12.5" x14ac:dyDescent="0.25">
      <c r="A258" s="63">
        <f>'Profit &amp; Loss'!A258</f>
        <v>0</v>
      </c>
      <c r="B258" s="33">
        <f>'Profit &amp; Loss'!B258</f>
        <v>0</v>
      </c>
      <c r="C258" s="33"/>
      <c r="D258" s="33"/>
      <c r="E258" s="33"/>
      <c r="F258" s="33"/>
      <c r="G258" s="33"/>
      <c r="H258" s="33"/>
      <c r="I258" s="33"/>
      <c r="J258" s="33"/>
    </row>
    <row r="259" spans="1:10" ht="12.5" x14ac:dyDescent="0.25">
      <c r="A259" s="63">
        <f>'Profit &amp; Loss'!A259</f>
        <v>0</v>
      </c>
      <c r="B259" s="33">
        <f>'Profit &amp; Loss'!B259</f>
        <v>0</v>
      </c>
      <c r="C259" s="33"/>
      <c r="D259" s="33"/>
      <c r="E259" s="33"/>
      <c r="F259" s="33"/>
      <c r="G259" s="33"/>
      <c r="H259" s="33"/>
      <c r="I259" s="33"/>
      <c r="J259" s="33"/>
    </row>
    <row r="260" spans="1:10" ht="12.5" x14ac:dyDescent="0.25">
      <c r="A260" s="63">
        <f>'Profit &amp; Loss'!A260</f>
        <v>0</v>
      </c>
      <c r="B260" s="33">
        <f>'Profit &amp; Loss'!B260</f>
        <v>0</v>
      </c>
      <c r="C260" s="33"/>
      <c r="D260" s="33"/>
      <c r="E260" s="33"/>
      <c r="F260" s="33"/>
      <c r="G260" s="33"/>
      <c r="H260" s="33"/>
      <c r="I260" s="33"/>
      <c r="J260" s="33"/>
    </row>
    <row r="261" spans="1:10" ht="12.5" x14ac:dyDescent="0.25">
      <c r="A261" s="63">
        <f>'Profit &amp; Loss'!A261</f>
        <v>0</v>
      </c>
      <c r="B261" s="33">
        <f>'Profit &amp; Loss'!B261</f>
        <v>0</v>
      </c>
      <c r="C261" s="33"/>
      <c r="D261" s="33"/>
      <c r="E261" s="33"/>
      <c r="F261" s="33"/>
      <c r="G261" s="33"/>
      <c r="H261" s="33"/>
      <c r="I261" s="33"/>
      <c r="J261" s="33"/>
    </row>
    <row r="262" spans="1:10" ht="12.5" x14ac:dyDescent="0.25">
      <c r="A262" s="63">
        <f>'Profit &amp; Loss'!A262</f>
        <v>0</v>
      </c>
      <c r="B262" s="33">
        <f>'Profit &amp; Loss'!B262</f>
        <v>0</v>
      </c>
      <c r="C262" s="33"/>
      <c r="D262" s="33"/>
      <c r="E262" s="33"/>
      <c r="F262" s="33"/>
      <c r="G262" s="33"/>
      <c r="H262" s="33"/>
      <c r="I262" s="33"/>
      <c r="J262" s="33"/>
    </row>
    <row r="263" spans="1:10" ht="12.5" x14ac:dyDescent="0.25">
      <c r="A263" s="63">
        <f>'Profit &amp; Loss'!A263</f>
        <v>0</v>
      </c>
      <c r="B263" s="33">
        <f>'Profit &amp; Loss'!B263</f>
        <v>0</v>
      </c>
      <c r="C263" s="33"/>
      <c r="D263" s="33"/>
      <c r="E263" s="33"/>
      <c r="F263" s="33"/>
      <c r="G263" s="33"/>
      <c r="H263" s="33"/>
      <c r="I263" s="33"/>
      <c r="J263" s="33"/>
    </row>
    <row r="264" spans="1:10" ht="12.5" x14ac:dyDescent="0.25">
      <c r="A264" s="63">
        <f>'Profit &amp; Loss'!A264</f>
        <v>0</v>
      </c>
      <c r="B264" s="33">
        <f>'Profit &amp; Loss'!B264</f>
        <v>0</v>
      </c>
      <c r="C264" s="33"/>
      <c r="D264" s="33"/>
      <c r="E264" s="33"/>
      <c r="F264" s="33"/>
      <c r="G264" s="33"/>
      <c r="H264" s="33"/>
      <c r="I264" s="33"/>
      <c r="J264" s="33"/>
    </row>
    <row r="265" spans="1:10" ht="12.5" x14ac:dyDescent="0.25">
      <c r="A265" s="63">
        <f>'Profit &amp; Loss'!A265</f>
        <v>0</v>
      </c>
      <c r="B265" s="33">
        <f>'Profit &amp; Loss'!B265</f>
        <v>0</v>
      </c>
      <c r="C265" s="33"/>
      <c r="D265" s="33"/>
      <c r="E265" s="33"/>
      <c r="F265" s="33"/>
      <c r="G265" s="33"/>
      <c r="H265" s="33"/>
      <c r="I265" s="33"/>
      <c r="J265" s="33"/>
    </row>
    <row r="266" spans="1:10" ht="12.5" x14ac:dyDescent="0.25">
      <c r="A266" s="63">
        <f>'Profit &amp; Loss'!A266</f>
        <v>0</v>
      </c>
      <c r="B266" s="33">
        <f>'Profit &amp; Loss'!B266</f>
        <v>0</v>
      </c>
      <c r="C266" s="33"/>
      <c r="D266" s="33"/>
      <c r="E266" s="33"/>
      <c r="F266" s="33"/>
      <c r="G266" s="33"/>
      <c r="H266" s="33"/>
      <c r="I266" s="33"/>
      <c r="J266" s="33"/>
    </row>
    <row r="267" spans="1:10" ht="12.5" x14ac:dyDescent="0.25">
      <c r="A267" s="63">
        <f>'Profit &amp; Loss'!A267</f>
        <v>0</v>
      </c>
      <c r="B267" s="33">
        <f>'Profit &amp; Loss'!B267</f>
        <v>0</v>
      </c>
      <c r="C267" s="33"/>
      <c r="D267" s="33"/>
      <c r="E267" s="33"/>
      <c r="F267" s="33"/>
      <c r="G267" s="33"/>
      <c r="H267" s="33"/>
      <c r="I267" s="33"/>
      <c r="J267" s="33"/>
    </row>
    <row r="268" spans="1:10" ht="12.5" x14ac:dyDescent="0.25">
      <c r="A268" s="63">
        <f>'Profit &amp; Loss'!A268</f>
        <v>0</v>
      </c>
      <c r="B268" s="33">
        <f>'Profit &amp; Loss'!B268</f>
        <v>0</v>
      </c>
      <c r="C268" s="33"/>
      <c r="D268" s="33"/>
      <c r="E268" s="33"/>
      <c r="F268" s="33"/>
      <c r="G268" s="33"/>
      <c r="H268" s="33"/>
      <c r="I268" s="33"/>
      <c r="J268" s="33"/>
    </row>
    <row r="269" spans="1:10" ht="12.5" x14ac:dyDescent="0.25">
      <c r="A269" s="63">
        <f>'Profit &amp; Loss'!A269</f>
        <v>0</v>
      </c>
      <c r="B269" s="33">
        <f>'Profit &amp; Loss'!B269</f>
        <v>0</v>
      </c>
      <c r="C269" s="33"/>
      <c r="D269" s="33"/>
      <c r="E269" s="33"/>
      <c r="F269" s="33"/>
      <c r="G269" s="33"/>
      <c r="H269" s="33"/>
      <c r="I269" s="33"/>
      <c r="J269" s="33"/>
    </row>
    <row r="270" spans="1:10" ht="12.5" x14ac:dyDescent="0.25">
      <c r="A270" s="63">
        <f>'Profit &amp; Loss'!A270</f>
        <v>0</v>
      </c>
      <c r="B270" s="33">
        <f>'Profit &amp; Loss'!B270</f>
        <v>0</v>
      </c>
      <c r="C270" s="33"/>
      <c r="D270" s="33"/>
      <c r="E270" s="33"/>
      <c r="F270" s="33"/>
      <c r="G270" s="33"/>
      <c r="H270" s="33"/>
      <c r="I270" s="33"/>
      <c r="J270" s="33"/>
    </row>
    <row r="271" spans="1:10" ht="12.5" x14ac:dyDescent="0.25">
      <c r="A271" s="63">
        <f>'Profit &amp; Loss'!A271</f>
        <v>0</v>
      </c>
      <c r="B271" s="33">
        <f>'Profit &amp; Loss'!B271</f>
        <v>0</v>
      </c>
      <c r="C271" s="33"/>
      <c r="D271" s="33"/>
      <c r="E271" s="33"/>
      <c r="F271" s="33"/>
      <c r="G271" s="33"/>
      <c r="H271" s="33"/>
      <c r="I271" s="33"/>
      <c r="J271" s="33"/>
    </row>
    <row r="272" spans="1:10" ht="12.5" x14ac:dyDescent="0.25">
      <c r="A272" s="63">
        <f>'Profit &amp; Loss'!A272</f>
        <v>0</v>
      </c>
      <c r="B272" s="33">
        <f>'Profit &amp; Loss'!B272</f>
        <v>0</v>
      </c>
      <c r="C272" s="33"/>
      <c r="D272" s="33"/>
      <c r="E272" s="33"/>
      <c r="F272" s="33"/>
      <c r="G272" s="33"/>
      <c r="H272" s="33"/>
      <c r="I272" s="33"/>
      <c r="J272" s="33"/>
    </row>
    <row r="273" spans="1:10" ht="12.5" x14ac:dyDescent="0.25">
      <c r="A273" s="63">
        <f>'Profit &amp; Loss'!A273</f>
        <v>0</v>
      </c>
      <c r="B273" s="33">
        <f>'Profit &amp; Loss'!B273</f>
        <v>0</v>
      </c>
      <c r="C273" s="33"/>
      <c r="D273" s="33"/>
      <c r="E273" s="33"/>
      <c r="F273" s="33"/>
      <c r="G273" s="33"/>
      <c r="H273" s="33"/>
      <c r="I273" s="33"/>
      <c r="J273" s="33"/>
    </row>
    <row r="274" spans="1:10" ht="12.5" x14ac:dyDescent="0.25">
      <c r="A274" s="63">
        <f>'Profit &amp; Loss'!A274</f>
        <v>0</v>
      </c>
      <c r="B274" s="33">
        <f>'Profit &amp; Loss'!B274</f>
        <v>0</v>
      </c>
      <c r="C274" s="33"/>
      <c r="D274" s="33"/>
      <c r="E274" s="33"/>
      <c r="F274" s="33"/>
      <c r="G274" s="33"/>
      <c r="H274" s="33"/>
      <c r="I274" s="33"/>
      <c r="J274" s="33"/>
    </row>
    <row r="275" spans="1:10" ht="12.5" x14ac:dyDescent="0.25">
      <c r="A275" s="63">
        <f>'Profit &amp; Loss'!A275</f>
        <v>0</v>
      </c>
      <c r="B275" s="33">
        <f>'Profit &amp; Loss'!B275</f>
        <v>0</v>
      </c>
      <c r="C275" s="33"/>
      <c r="D275" s="33"/>
      <c r="E275" s="33"/>
      <c r="F275" s="33"/>
      <c r="G275" s="33"/>
      <c r="H275" s="33"/>
      <c r="I275" s="33"/>
      <c r="J275" s="33"/>
    </row>
    <row r="276" spans="1:10" ht="12.5" x14ac:dyDescent="0.25">
      <c r="A276" s="63">
        <f>'Profit &amp; Loss'!A276</f>
        <v>0</v>
      </c>
      <c r="B276" s="33">
        <f>'Profit &amp; Loss'!B276</f>
        <v>0</v>
      </c>
      <c r="C276" s="33"/>
      <c r="D276" s="33"/>
      <c r="E276" s="33"/>
      <c r="F276" s="33"/>
      <c r="G276" s="33"/>
      <c r="H276" s="33"/>
      <c r="I276" s="33"/>
      <c r="J276" s="33"/>
    </row>
    <row r="277" spans="1:10" ht="12.5" x14ac:dyDescent="0.25">
      <c r="A277" s="63">
        <f>'Profit &amp; Loss'!A277</f>
        <v>0</v>
      </c>
      <c r="B277" s="33">
        <f>'Profit &amp; Loss'!B277</f>
        <v>0</v>
      </c>
      <c r="C277" s="33"/>
      <c r="D277" s="33"/>
      <c r="E277" s="33"/>
      <c r="F277" s="33"/>
      <c r="G277" s="33"/>
      <c r="H277" s="33"/>
      <c r="I277" s="33"/>
      <c r="J277" s="33"/>
    </row>
    <row r="278" spans="1:10" ht="12.5" x14ac:dyDescent="0.25">
      <c r="A278" s="63">
        <f>'Profit &amp; Loss'!A278</f>
        <v>0</v>
      </c>
      <c r="B278" s="33">
        <f>'Profit &amp; Loss'!B278</f>
        <v>0</v>
      </c>
      <c r="C278" s="33"/>
      <c r="D278" s="33"/>
      <c r="E278" s="33"/>
      <c r="F278" s="33"/>
      <c r="G278" s="33"/>
      <c r="H278" s="33"/>
      <c r="I278" s="33"/>
      <c r="J278" s="33"/>
    </row>
    <row r="279" spans="1:10" ht="12.5" x14ac:dyDescent="0.25">
      <c r="A279" s="63">
        <f>'Profit &amp; Loss'!A279</f>
        <v>0</v>
      </c>
      <c r="B279" s="33">
        <f>'Profit &amp; Loss'!B279</f>
        <v>0</v>
      </c>
      <c r="C279" s="33"/>
      <c r="D279" s="33"/>
      <c r="E279" s="33"/>
      <c r="F279" s="33"/>
      <c r="G279" s="33"/>
      <c r="H279" s="33"/>
      <c r="I279" s="33"/>
      <c r="J279" s="33"/>
    </row>
    <row r="280" spans="1:10" ht="12.5" x14ac:dyDescent="0.25">
      <c r="A280" s="63">
        <f>'Profit &amp; Loss'!A280</f>
        <v>0</v>
      </c>
      <c r="B280" s="33">
        <f>'Profit &amp; Loss'!B280</f>
        <v>0</v>
      </c>
      <c r="C280" s="33"/>
      <c r="D280" s="33"/>
      <c r="E280" s="33"/>
      <c r="F280" s="33"/>
      <c r="G280" s="33"/>
      <c r="H280" s="33"/>
      <c r="I280" s="33"/>
      <c r="J280" s="33"/>
    </row>
    <row r="281" spans="1:10" ht="12.5" x14ac:dyDescent="0.25">
      <c r="A281" s="63">
        <f>'Profit &amp; Loss'!A281</f>
        <v>0</v>
      </c>
      <c r="B281" s="33">
        <f>'Profit &amp; Loss'!B281</f>
        <v>0</v>
      </c>
      <c r="C281" s="33"/>
      <c r="D281" s="33"/>
      <c r="E281" s="33"/>
      <c r="F281" s="33"/>
      <c r="G281" s="33"/>
      <c r="H281" s="33"/>
      <c r="I281" s="33"/>
      <c r="J281" s="33"/>
    </row>
    <row r="282" spans="1:10" ht="12.5" x14ac:dyDescent="0.25">
      <c r="A282" s="63">
        <f>'Profit &amp; Loss'!A282</f>
        <v>0</v>
      </c>
      <c r="B282" s="33">
        <f>'Profit &amp; Loss'!B282</f>
        <v>0</v>
      </c>
      <c r="C282" s="33"/>
      <c r="D282" s="33"/>
      <c r="E282" s="33"/>
      <c r="F282" s="33"/>
      <c r="G282" s="33"/>
      <c r="H282" s="33"/>
      <c r="I282" s="33"/>
      <c r="J282" s="33"/>
    </row>
    <row r="283" spans="1:10" ht="12.5" x14ac:dyDescent="0.25">
      <c r="A283" s="63">
        <f>'Profit &amp; Loss'!A283</f>
        <v>0</v>
      </c>
      <c r="B283" s="33">
        <f>'Profit &amp; Loss'!B283</f>
        <v>0</v>
      </c>
      <c r="C283" s="33"/>
      <c r="D283" s="33"/>
      <c r="E283" s="33"/>
      <c r="F283" s="33"/>
      <c r="G283" s="33"/>
      <c r="H283" s="33"/>
      <c r="I283" s="33"/>
      <c r="J283" s="33"/>
    </row>
    <row r="284" spans="1:10" ht="12.5" x14ac:dyDescent="0.25">
      <c r="A284" s="63">
        <f>'Profit &amp; Loss'!A284</f>
        <v>0</v>
      </c>
      <c r="B284" s="33">
        <f>'Profit &amp; Loss'!B284</f>
        <v>0</v>
      </c>
      <c r="C284" s="33"/>
      <c r="D284" s="33"/>
      <c r="E284" s="33"/>
      <c r="F284" s="33"/>
      <c r="G284" s="33"/>
      <c r="H284" s="33"/>
      <c r="I284" s="33"/>
      <c r="J284" s="33"/>
    </row>
    <row r="285" spans="1:10" ht="12.5" x14ac:dyDescent="0.25">
      <c r="A285" s="63">
        <f>'Profit &amp; Loss'!A285</f>
        <v>0</v>
      </c>
      <c r="B285" s="33">
        <f>'Profit &amp; Loss'!B285</f>
        <v>0</v>
      </c>
      <c r="C285" s="33"/>
      <c r="D285" s="33"/>
      <c r="E285" s="33"/>
      <c r="F285" s="33"/>
      <c r="G285" s="33"/>
      <c r="H285" s="33"/>
      <c r="I285" s="33"/>
      <c r="J285" s="33"/>
    </row>
    <row r="286" spans="1:10" ht="12.5" x14ac:dyDescent="0.25">
      <c r="A286" s="63">
        <f>'Profit &amp; Loss'!A286</f>
        <v>0</v>
      </c>
      <c r="B286" s="33">
        <f>'Profit &amp; Loss'!B286</f>
        <v>0</v>
      </c>
      <c r="C286" s="33"/>
      <c r="D286" s="33"/>
      <c r="E286" s="33"/>
      <c r="F286" s="33"/>
      <c r="G286" s="33"/>
      <c r="H286" s="33"/>
      <c r="I286" s="33"/>
      <c r="J286" s="33"/>
    </row>
    <row r="287" spans="1:10" ht="12.5" x14ac:dyDescent="0.25">
      <c r="A287" s="63">
        <f>'Profit &amp; Loss'!A287</f>
        <v>0</v>
      </c>
      <c r="B287" s="33">
        <f>'Profit &amp; Loss'!B287</f>
        <v>0</v>
      </c>
      <c r="C287" s="33"/>
      <c r="D287" s="33"/>
      <c r="E287" s="33"/>
      <c r="F287" s="33"/>
      <c r="G287" s="33"/>
      <c r="H287" s="33"/>
      <c r="I287" s="33"/>
      <c r="J287" s="33"/>
    </row>
    <row r="288" spans="1:10" ht="12.5" x14ac:dyDescent="0.25">
      <c r="A288" s="63">
        <f>'Profit &amp; Loss'!A288</f>
        <v>0</v>
      </c>
      <c r="B288" s="33">
        <f>'Profit &amp; Loss'!B288</f>
        <v>0</v>
      </c>
      <c r="C288" s="33"/>
      <c r="D288" s="33"/>
      <c r="E288" s="33"/>
      <c r="F288" s="33"/>
      <c r="G288" s="33"/>
      <c r="H288" s="33"/>
      <c r="I288" s="33"/>
      <c r="J288" s="33"/>
    </row>
    <row r="289" spans="1:10" ht="12.5" x14ac:dyDescent="0.25">
      <c r="A289" s="63">
        <f>'Profit &amp; Loss'!A289</f>
        <v>0</v>
      </c>
      <c r="B289" s="33">
        <f>'Profit &amp; Loss'!B289</f>
        <v>0</v>
      </c>
      <c r="C289" s="33"/>
      <c r="D289" s="33"/>
      <c r="E289" s="33"/>
      <c r="F289" s="33"/>
      <c r="G289" s="33"/>
      <c r="H289" s="33"/>
      <c r="I289" s="33"/>
      <c r="J289" s="33"/>
    </row>
    <row r="290" spans="1:10" ht="12.5" x14ac:dyDescent="0.25">
      <c r="A290" s="63">
        <f>'Profit &amp; Loss'!A290</f>
        <v>0</v>
      </c>
      <c r="B290" s="33">
        <f>'Profit &amp; Loss'!B290</f>
        <v>0</v>
      </c>
      <c r="C290" s="33"/>
      <c r="D290" s="33"/>
      <c r="E290" s="33"/>
      <c r="F290" s="33"/>
      <c r="G290" s="33"/>
      <c r="H290" s="33"/>
      <c r="I290" s="33"/>
      <c r="J290" s="33"/>
    </row>
    <row r="291" spans="1:10" ht="12.5" x14ac:dyDescent="0.25">
      <c r="A291" s="63">
        <f>'Profit &amp; Loss'!A291</f>
        <v>0</v>
      </c>
      <c r="B291" s="33">
        <f>'Profit &amp; Loss'!B291</f>
        <v>0</v>
      </c>
      <c r="C291" s="33"/>
      <c r="D291" s="33"/>
      <c r="E291" s="33"/>
      <c r="F291" s="33"/>
      <c r="G291" s="33"/>
      <c r="H291" s="33"/>
      <c r="I291" s="33"/>
      <c r="J291" s="33"/>
    </row>
    <row r="292" spans="1:10" ht="12.5" x14ac:dyDescent="0.25">
      <c r="A292" s="63">
        <f>'Profit &amp; Loss'!A292</f>
        <v>0</v>
      </c>
      <c r="B292" s="33">
        <f>'Profit &amp; Loss'!B292</f>
        <v>0</v>
      </c>
      <c r="C292" s="33"/>
      <c r="D292" s="33"/>
      <c r="E292" s="33"/>
      <c r="F292" s="33"/>
      <c r="G292" s="33"/>
      <c r="H292" s="33"/>
      <c r="I292" s="33"/>
      <c r="J292" s="33"/>
    </row>
    <row r="293" spans="1:10" ht="12.5" x14ac:dyDescent="0.25">
      <c r="A293" s="63">
        <f>'Profit &amp; Loss'!A293</f>
        <v>0</v>
      </c>
      <c r="B293" s="33">
        <f>'Profit &amp; Loss'!B293</f>
        <v>0</v>
      </c>
      <c r="C293" s="33"/>
      <c r="D293" s="33"/>
      <c r="E293" s="33"/>
      <c r="F293" s="33"/>
      <c r="G293" s="33"/>
      <c r="H293" s="33"/>
      <c r="I293" s="33"/>
      <c r="J293" s="33"/>
    </row>
    <row r="294" spans="1:10" ht="12.5" x14ac:dyDescent="0.25">
      <c r="A294" s="63">
        <f>'Profit &amp; Loss'!A294</f>
        <v>0</v>
      </c>
      <c r="B294" s="33">
        <f>'Profit &amp; Loss'!B294</f>
        <v>0</v>
      </c>
      <c r="C294" s="33"/>
      <c r="D294" s="33"/>
      <c r="E294" s="33"/>
      <c r="F294" s="33"/>
      <c r="G294" s="33"/>
      <c r="H294" s="33"/>
      <c r="I294" s="33"/>
      <c r="J294" s="33"/>
    </row>
    <row r="295" spans="1:10" ht="12.5" x14ac:dyDescent="0.25">
      <c r="A295" s="63">
        <f>'Profit &amp; Loss'!A295</f>
        <v>0</v>
      </c>
      <c r="B295" s="33">
        <f>'Profit &amp; Loss'!B295</f>
        <v>0</v>
      </c>
      <c r="C295" s="33"/>
      <c r="D295" s="33"/>
      <c r="E295" s="33"/>
      <c r="F295" s="33"/>
      <c r="G295" s="33"/>
      <c r="H295" s="33"/>
      <c r="I295" s="33"/>
      <c r="J295" s="33"/>
    </row>
    <row r="296" spans="1:10" ht="12.5" x14ac:dyDescent="0.25">
      <c r="A296" s="63">
        <f>'Profit &amp; Loss'!A296</f>
        <v>0</v>
      </c>
      <c r="B296" s="33">
        <f>'Profit &amp; Loss'!B296</f>
        <v>0</v>
      </c>
      <c r="C296" s="33"/>
      <c r="D296" s="33"/>
      <c r="E296" s="33"/>
      <c r="F296" s="33"/>
      <c r="G296" s="33"/>
      <c r="H296" s="33"/>
      <c r="I296" s="33"/>
      <c r="J296" s="33"/>
    </row>
    <row r="297" spans="1:10" ht="12.5" x14ac:dyDescent="0.25">
      <c r="A297" s="63">
        <f>'Profit &amp; Loss'!A297</f>
        <v>0</v>
      </c>
      <c r="B297" s="33">
        <f>'Profit &amp; Loss'!B297</f>
        <v>0</v>
      </c>
      <c r="C297" s="33"/>
      <c r="D297" s="33"/>
      <c r="E297" s="33"/>
      <c r="F297" s="33"/>
      <c r="G297" s="33"/>
      <c r="H297" s="33"/>
      <c r="I297" s="33"/>
      <c r="J297" s="33"/>
    </row>
    <row r="298" spans="1:10" ht="12.5" x14ac:dyDescent="0.25">
      <c r="A298" s="63">
        <f>'Profit &amp; Loss'!A298</f>
        <v>0</v>
      </c>
      <c r="B298" s="33">
        <f>'Profit &amp; Loss'!B298</f>
        <v>0</v>
      </c>
      <c r="C298" s="33"/>
      <c r="D298" s="33"/>
      <c r="E298" s="33"/>
      <c r="F298" s="33"/>
      <c r="G298" s="33"/>
      <c r="H298" s="33"/>
      <c r="I298" s="33"/>
      <c r="J298" s="33"/>
    </row>
    <row r="299" spans="1:10" ht="12.5" x14ac:dyDescent="0.25">
      <c r="A299" s="63">
        <f>'Profit &amp; Loss'!A299</f>
        <v>0</v>
      </c>
      <c r="B299" s="33">
        <f>'Profit &amp; Loss'!B299</f>
        <v>0</v>
      </c>
      <c r="C299" s="33"/>
      <c r="D299" s="33"/>
      <c r="E299" s="33"/>
      <c r="F299" s="33"/>
      <c r="G299" s="33"/>
      <c r="H299" s="33"/>
      <c r="I299" s="33"/>
      <c r="J299" s="33"/>
    </row>
    <row r="300" spans="1:10" ht="12.5" x14ac:dyDescent="0.25">
      <c r="A300" s="63">
        <f>'Profit &amp; Loss'!A300</f>
        <v>0</v>
      </c>
      <c r="B300" s="33">
        <f>'Profit &amp; Loss'!B300</f>
        <v>0</v>
      </c>
      <c r="C300" s="33"/>
      <c r="D300" s="33"/>
      <c r="E300" s="33"/>
      <c r="F300" s="33"/>
      <c r="G300" s="33"/>
      <c r="H300" s="33"/>
      <c r="I300" s="33"/>
      <c r="J300" s="33"/>
    </row>
    <row r="301" spans="1:10" ht="12.5" x14ac:dyDescent="0.25">
      <c r="A301" s="63">
        <f>'Profit &amp; Loss'!A301</f>
        <v>0</v>
      </c>
      <c r="B301" s="33">
        <f>'Profit &amp; Loss'!B301</f>
        <v>0</v>
      </c>
      <c r="C301" s="33"/>
      <c r="D301" s="33"/>
      <c r="E301" s="33"/>
      <c r="F301" s="33"/>
      <c r="G301" s="33"/>
      <c r="H301" s="33"/>
      <c r="I301" s="33"/>
      <c r="J301" s="33"/>
    </row>
    <row r="302" spans="1:10" ht="12.5" x14ac:dyDescent="0.25">
      <c r="A302" s="63">
        <f>'Profit &amp; Loss'!A302</f>
        <v>0</v>
      </c>
      <c r="B302" s="33">
        <f>'Profit &amp; Loss'!B302</f>
        <v>0</v>
      </c>
      <c r="C302" s="33"/>
      <c r="D302" s="33"/>
      <c r="E302" s="33"/>
      <c r="F302" s="33"/>
      <c r="G302" s="33"/>
      <c r="H302" s="33"/>
      <c r="I302" s="33"/>
      <c r="J302" s="33"/>
    </row>
    <row r="303" spans="1:10" ht="12.5" x14ac:dyDescent="0.25">
      <c r="A303" s="63">
        <f>'Profit &amp; Loss'!A303</f>
        <v>0</v>
      </c>
      <c r="B303" s="33">
        <f>'Profit &amp; Loss'!B303</f>
        <v>0</v>
      </c>
      <c r="C303" s="33"/>
      <c r="D303" s="33"/>
      <c r="E303" s="33"/>
      <c r="F303" s="33"/>
      <c r="G303" s="33"/>
      <c r="H303" s="33"/>
      <c r="I303" s="33"/>
      <c r="J303" s="33"/>
    </row>
    <row r="304" spans="1:10" ht="12.5" x14ac:dyDescent="0.25">
      <c r="A304" s="63">
        <f>'Profit &amp; Loss'!A304</f>
        <v>0</v>
      </c>
      <c r="B304" s="33">
        <f>'Profit &amp; Loss'!B304</f>
        <v>0</v>
      </c>
      <c r="C304" s="33"/>
      <c r="D304" s="33"/>
      <c r="E304" s="33"/>
      <c r="F304" s="33"/>
      <c r="G304" s="33"/>
      <c r="H304" s="33"/>
      <c r="I304" s="33"/>
      <c r="J304" s="33"/>
    </row>
    <row r="305" spans="1:10" ht="12.5" x14ac:dyDescent="0.25">
      <c r="A305" s="63">
        <f>'Profit &amp; Loss'!A305</f>
        <v>0</v>
      </c>
      <c r="B305" s="33">
        <f>'Profit &amp; Loss'!B305</f>
        <v>0</v>
      </c>
      <c r="C305" s="33"/>
      <c r="D305" s="33"/>
      <c r="E305" s="33"/>
      <c r="F305" s="33"/>
      <c r="G305" s="33"/>
      <c r="H305" s="33"/>
      <c r="I305" s="33"/>
      <c r="J305" s="33"/>
    </row>
    <row r="306" spans="1:10" ht="12.5" x14ac:dyDescent="0.25">
      <c r="A306" s="63">
        <f>'Profit &amp; Loss'!A306</f>
        <v>0</v>
      </c>
      <c r="B306" s="33">
        <f>'Profit &amp; Loss'!B306</f>
        <v>0</v>
      </c>
      <c r="C306" s="33"/>
      <c r="D306" s="33"/>
      <c r="E306" s="33"/>
      <c r="F306" s="33"/>
      <c r="G306" s="33"/>
      <c r="H306" s="33"/>
      <c r="I306" s="33"/>
      <c r="J306" s="33"/>
    </row>
    <row r="307" spans="1:10" ht="12.5" x14ac:dyDescent="0.25">
      <c r="A307" s="63">
        <f>'Profit &amp; Loss'!A307</f>
        <v>0</v>
      </c>
      <c r="B307" s="33">
        <f>'Profit &amp; Loss'!B307</f>
        <v>0</v>
      </c>
      <c r="C307" s="33"/>
      <c r="D307" s="33"/>
      <c r="E307" s="33"/>
      <c r="F307" s="33"/>
      <c r="G307" s="33"/>
      <c r="H307" s="33"/>
      <c r="I307" s="33"/>
      <c r="J307" s="33"/>
    </row>
    <row r="308" spans="1:10" ht="12.5" x14ac:dyDescent="0.25">
      <c r="A308" s="63">
        <f>'Profit &amp; Loss'!A308</f>
        <v>0</v>
      </c>
      <c r="B308" s="33">
        <f>'Profit &amp; Loss'!B308</f>
        <v>0</v>
      </c>
      <c r="C308" s="33"/>
      <c r="D308" s="33"/>
      <c r="E308" s="33"/>
      <c r="F308" s="33"/>
      <c r="G308" s="33"/>
      <c r="H308" s="33"/>
      <c r="I308" s="33"/>
      <c r="J308" s="33"/>
    </row>
    <row r="309" spans="1:10" ht="12.5" x14ac:dyDescent="0.25">
      <c r="A309" s="63">
        <f>'Profit &amp; Loss'!A309</f>
        <v>0</v>
      </c>
      <c r="B309" s="33">
        <f>'Profit &amp; Loss'!B309</f>
        <v>0</v>
      </c>
      <c r="C309" s="33"/>
      <c r="D309" s="33"/>
      <c r="E309" s="33"/>
      <c r="F309" s="33"/>
      <c r="G309" s="33"/>
      <c r="H309" s="33"/>
      <c r="I309" s="33"/>
      <c r="J309" s="33"/>
    </row>
    <row r="310" spans="1:10" ht="12.5" x14ac:dyDescent="0.25">
      <c r="A310" s="63">
        <f>'Profit &amp; Loss'!A310</f>
        <v>0</v>
      </c>
      <c r="B310" s="33">
        <f>'Profit &amp; Loss'!B310</f>
        <v>0</v>
      </c>
      <c r="C310" s="33"/>
      <c r="D310" s="33"/>
      <c r="E310" s="33"/>
      <c r="F310" s="33"/>
      <c r="G310" s="33"/>
      <c r="H310" s="33"/>
      <c r="I310" s="33"/>
      <c r="J310" s="33"/>
    </row>
    <row r="311" spans="1:10" ht="12.5" x14ac:dyDescent="0.25">
      <c r="A311" s="63">
        <f>'Profit &amp; Loss'!A311</f>
        <v>0</v>
      </c>
      <c r="B311" s="33">
        <f>'Profit &amp; Loss'!B311</f>
        <v>0</v>
      </c>
      <c r="C311" s="33"/>
      <c r="D311" s="33"/>
      <c r="E311" s="33"/>
      <c r="F311" s="33"/>
      <c r="G311" s="33"/>
      <c r="H311" s="33"/>
      <c r="I311" s="33"/>
      <c r="J311" s="33"/>
    </row>
    <row r="312" spans="1:10" ht="12.5" x14ac:dyDescent="0.25">
      <c r="A312" s="63">
        <f>'Profit &amp; Loss'!A312</f>
        <v>0</v>
      </c>
      <c r="B312" s="33">
        <f>'Profit &amp; Loss'!B312</f>
        <v>0</v>
      </c>
      <c r="C312" s="33"/>
      <c r="D312" s="33"/>
      <c r="E312" s="33"/>
      <c r="F312" s="33"/>
      <c r="G312" s="33"/>
      <c r="H312" s="33"/>
      <c r="I312" s="33"/>
      <c r="J312" s="33"/>
    </row>
    <row r="313" spans="1:10" ht="12.5" x14ac:dyDescent="0.25">
      <c r="A313" s="63">
        <f>'Profit &amp; Loss'!A313</f>
        <v>0</v>
      </c>
      <c r="B313" s="33">
        <f>'Profit &amp; Loss'!B313</f>
        <v>0</v>
      </c>
      <c r="C313" s="33"/>
      <c r="D313" s="33"/>
      <c r="E313" s="33"/>
      <c r="F313" s="33"/>
      <c r="G313" s="33"/>
      <c r="H313" s="33"/>
      <c r="I313" s="33"/>
      <c r="J313" s="33"/>
    </row>
    <row r="314" spans="1:10" ht="12.5" x14ac:dyDescent="0.25">
      <c r="A314" s="63">
        <f>'Profit &amp; Loss'!A314</f>
        <v>0</v>
      </c>
      <c r="B314" s="33">
        <f>'Profit &amp; Loss'!B314</f>
        <v>0</v>
      </c>
      <c r="C314" s="33"/>
      <c r="D314" s="33"/>
      <c r="E314" s="33"/>
      <c r="F314" s="33"/>
      <c r="G314" s="33"/>
      <c r="H314" s="33"/>
      <c r="I314" s="33"/>
      <c r="J314" s="33"/>
    </row>
    <row r="315" spans="1:10" ht="12.5" x14ac:dyDescent="0.25">
      <c r="A315" s="63">
        <f>'Profit &amp; Loss'!A315</f>
        <v>0</v>
      </c>
      <c r="B315" s="33">
        <f>'Profit &amp; Loss'!B315</f>
        <v>0</v>
      </c>
      <c r="C315" s="33"/>
      <c r="D315" s="33"/>
      <c r="E315" s="33"/>
      <c r="F315" s="33"/>
      <c r="G315" s="33"/>
      <c r="H315" s="33"/>
      <c r="I315" s="33"/>
      <c r="J315" s="33"/>
    </row>
    <row r="316" spans="1:10" ht="12.5" x14ac:dyDescent="0.25">
      <c r="A316" s="63">
        <f>'Profit &amp; Loss'!A316</f>
        <v>0</v>
      </c>
      <c r="B316" s="33">
        <f>'Profit &amp; Loss'!B316</f>
        <v>0</v>
      </c>
      <c r="C316" s="33"/>
      <c r="D316" s="33"/>
      <c r="E316" s="33"/>
      <c r="F316" s="33"/>
      <c r="G316" s="33"/>
      <c r="H316" s="33"/>
      <c r="I316" s="33"/>
      <c r="J316" s="33"/>
    </row>
    <row r="317" spans="1:10" ht="12.5" x14ac:dyDescent="0.25">
      <c r="A317" s="63">
        <f>'Profit &amp; Loss'!A317</f>
        <v>0</v>
      </c>
      <c r="B317" s="33">
        <f>'Profit &amp; Loss'!B317</f>
        <v>0</v>
      </c>
      <c r="C317" s="33"/>
      <c r="D317" s="33"/>
      <c r="E317" s="33"/>
      <c r="F317" s="33"/>
      <c r="G317" s="33"/>
      <c r="H317" s="33"/>
      <c r="I317" s="33"/>
      <c r="J317" s="33"/>
    </row>
    <row r="318" spans="1:10" ht="12.5" x14ac:dyDescent="0.25">
      <c r="A318" s="63">
        <f>'Profit &amp; Loss'!A318</f>
        <v>0</v>
      </c>
      <c r="B318" s="33">
        <f>'Profit &amp; Loss'!B318</f>
        <v>0</v>
      </c>
      <c r="C318" s="33"/>
      <c r="D318" s="33"/>
      <c r="E318" s="33"/>
      <c r="F318" s="33"/>
      <c r="G318" s="33"/>
      <c r="H318" s="33"/>
      <c r="I318" s="33"/>
      <c r="J318" s="33"/>
    </row>
    <row r="319" spans="1:10" ht="12.5" x14ac:dyDescent="0.25">
      <c r="A319" s="63">
        <f>'Profit &amp; Loss'!A319</f>
        <v>0</v>
      </c>
      <c r="B319" s="33">
        <f>'Profit &amp; Loss'!B319</f>
        <v>0</v>
      </c>
      <c r="C319" s="33"/>
      <c r="D319" s="33"/>
      <c r="E319" s="33"/>
      <c r="F319" s="33"/>
      <c r="G319" s="33"/>
      <c r="H319" s="33"/>
      <c r="I319" s="33"/>
      <c r="J319" s="33"/>
    </row>
    <row r="320" spans="1:10" ht="12.5" x14ac:dyDescent="0.25">
      <c r="A320" s="63">
        <f>'Profit &amp; Loss'!A320</f>
        <v>0</v>
      </c>
      <c r="B320" s="33">
        <f>'Profit &amp; Loss'!B320</f>
        <v>0</v>
      </c>
      <c r="C320" s="33"/>
      <c r="D320" s="33"/>
      <c r="E320" s="33"/>
      <c r="F320" s="33"/>
      <c r="G320" s="33"/>
      <c r="H320" s="33"/>
      <c r="I320" s="33"/>
      <c r="J320" s="33"/>
    </row>
    <row r="321" spans="1:10" ht="12.5" x14ac:dyDescent="0.25">
      <c r="A321" s="63">
        <f>'Profit &amp; Loss'!A321</f>
        <v>0</v>
      </c>
      <c r="B321" s="33">
        <f>'Profit &amp; Loss'!B321</f>
        <v>0</v>
      </c>
      <c r="C321" s="33"/>
      <c r="D321" s="33"/>
      <c r="E321" s="33"/>
      <c r="F321" s="33"/>
      <c r="G321" s="33"/>
      <c r="H321" s="33"/>
      <c r="I321" s="33"/>
      <c r="J321" s="33"/>
    </row>
    <row r="322" spans="1:10" ht="12.5" x14ac:dyDescent="0.25">
      <c r="A322" s="63">
        <f>'Profit &amp; Loss'!A322</f>
        <v>0</v>
      </c>
      <c r="B322" s="33">
        <f>'Profit &amp; Loss'!B322</f>
        <v>0</v>
      </c>
      <c r="C322" s="33"/>
      <c r="D322" s="33"/>
      <c r="E322" s="33"/>
      <c r="F322" s="33"/>
      <c r="G322" s="33"/>
      <c r="H322" s="33"/>
      <c r="I322" s="33"/>
      <c r="J322" s="33"/>
    </row>
    <row r="323" spans="1:10" ht="12.5" x14ac:dyDescent="0.25">
      <c r="A323" s="63">
        <f>'Profit &amp; Loss'!A323</f>
        <v>0</v>
      </c>
      <c r="B323" s="33">
        <f>'Profit &amp; Loss'!B323</f>
        <v>0</v>
      </c>
      <c r="C323" s="33"/>
      <c r="D323" s="33"/>
      <c r="E323" s="33"/>
      <c r="F323" s="33"/>
      <c r="G323" s="33"/>
      <c r="H323" s="33"/>
      <c r="I323" s="33"/>
      <c r="J323" s="33"/>
    </row>
    <row r="324" spans="1:10" ht="12.5" x14ac:dyDescent="0.25">
      <c r="A324" s="63">
        <f>'Profit &amp; Loss'!A324</f>
        <v>0</v>
      </c>
      <c r="B324" s="33">
        <f>'Profit &amp; Loss'!B324</f>
        <v>0</v>
      </c>
      <c r="C324" s="33"/>
      <c r="D324" s="33"/>
      <c r="E324" s="33"/>
      <c r="F324" s="33"/>
      <c r="G324" s="33"/>
      <c r="H324" s="33"/>
      <c r="I324" s="33"/>
      <c r="J324" s="33"/>
    </row>
    <row r="325" spans="1:10" ht="12.5" x14ac:dyDescent="0.25">
      <c r="A325" s="63">
        <f>'Profit &amp; Loss'!A325</f>
        <v>0</v>
      </c>
      <c r="B325" s="33">
        <f>'Profit &amp; Loss'!B325</f>
        <v>0</v>
      </c>
      <c r="C325" s="33"/>
      <c r="D325" s="33"/>
      <c r="E325" s="33"/>
      <c r="F325" s="33"/>
      <c r="G325" s="33"/>
      <c r="H325" s="33"/>
      <c r="I325" s="33"/>
      <c r="J325" s="33"/>
    </row>
    <row r="326" spans="1:10" ht="12.5" x14ac:dyDescent="0.25">
      <c r="A326" s="63">
        <f>'Profit &amp; Loss'!A326</f>
        <v>0</v>
      </c>
      <c r="B326" s="33">
        <f>'Profit &amp; Loss'!B326</f>
        <v>0</v>
      </c>
      <c r="C326" s="33"/>
      <c r="D326" s="33"/>
      <c r="E326" s="33"/>
      <c r="F326" s="33"/>
      <c r="G326" s="33"/>
      <c r="H326" s="33"/>
      <c r="I326" s="33"/>
      <c r="J326" s="33"/>
    </row>
    <row r="327" spans="1:10" ht="12.5" x14ac:dyDescent="0.25">
      <c r="A327" s="63">
        <f>'Profit &amp; Loss'!A327</f>
        <v>0</v>
      </c>
      <c r="B327" s="33">
        <f>'Profit &amp; Loss'!B327</f>
        <v>0</v>
      </c>
      <c r="C327" s="33"/>
      <c r="D327" s="33"/>
      <c r="E327" s="33"/>
      <c r="F327" s="33"/>
      <c r="G327" s="33"/>
      <c r="H327" s="33"/>
      <c r="I327" s="33"/>
      <c r="J327" s="33"/>
    </row>
    <row r="328" spans="1:10" ht="12.5" x14ac:dyDescent="0.25">
      <c r="A328" s="63">
        <f>'Profit &amp; Loss'!A328</f>
        <v>0</v>
      </c>
      <c r="B328" s="33">
        <f>'Profit &amp; Loss'!B328</f>
        <v>0</v>
      </c>
      <c r="C328" s="33"/>
      <c r="D328" s="33"/>
      <c r="E328" s="33"/>
      <c r="F328" s="33"/>
      <c r="G328" s="33"/>
      <c r="H328" s="33"/>
      <c r="I328" s="33"/>
      <c r="J328" s="33"/>
    </row>
    <row r="329" spans="1:10" ht="12.5" x14ac:dyDescent="0.25">
      <c r="A329" s="63">
        <f>'Profit &amp; Loss'!A329</f>
        <v>0</v>
      </c>
      <c r="B329" s="33">
        <f>'Profit &amp; Loss'!B329</f>
        <v>0</v>
      </c>
      <c r="C329" s="33"/>
      <c r="D329" s="33"/>
      <c r="E329" s="33"/>
      <c r="F329" s="33"/>
      <c r="G329" s="33"/>
      <c r="H329" s="33"/>
      <c r="I329" s="33"/>
      <c r="J329" s="33"/>
    </row>
    <row r="330" spans="1:10" ht="12.5" x14ac:dyDescent="0.25">
      <c r="A330" s="63">
        <f>'Profit &amp; Loss'!A330</f>
        <v>0</v>
      </c>
      <c r="B330" s="33">
        <f>'Profit &amp; Loss'!B330</f>
        <v>0</v>
      </c>
      <c r="C330" s="33"/>
      <c r="D330" s="33"/>
      <c r="E330" s="33"/>
      <c r="F330" s="33"/>
      <c r="G330" s="33"/>
      <c r="H330" s="33"/>
      <c r="I330" s="33"/>
      <c r="J330" s="33"/>
    </row>
    <row r="331" spans="1:10" ht="12.5" x14ac:dyDescent="0.25">
      <c r="A331" s="63">
        <f>'Profit &amp; Loss'!A331</f>
        <v>0</v>
      </c>
      <c r="B331" s="33">
        <f>'Profit &amp; Loss'!B331</f>
        <v>0</v>
      </c>
      <c r="C331" s="33"/>
      <c r="D331" s="33"/>
      <c r="E331" s="33"/>
      <c r="F331" s="33"/>
      <c r="G331" s="33"/>
      <c r="H331" s="33"/>
      <c r="I331" s="33"/>
      <c r="J331" s="33"/>
    </row>
    <row r="332" spans="1:10" ht="12.5" x14ac:dyDescent="0.25">
      <c r="A332" s="63">
        <f>'Profit &amp; Loss'!A332</f>
        <v>0</v>
      </c>
      <c r="B332" s="33">
        <f>'Profit &amp; Loss'!B332</f>
        <v>0</v>
      </c>
      <c r="C332" s="33"/>
      <c r="D332" s="33"/>
      <c r="E332" s="33"/>
      <c r="F332" s="33"/>
      <c r="G332" s="33"/>
      <c r="H332" s="33"/>
      <c r="I332" s="33"/>
      <c r="J332" s="33"/>
    </row>
    <row r="333" spans="1:10" ht="12.5" x14ac:dyDescent="0.25">
      <c r="A333" s="63">
        <f>'Profit &amp; Loss'!A333</f>
        <v>0</v>
      </c>
      <c r="B333" s="33">
        <f>'Profit &amp; Loss'!B333</f>
        <v>0</v>
      </c>
      <c r="C333" s="33"/>
      <c r="D333" s="33"/>
      <c r="E333" s="33"/>
      <c r="F333" s="33"/>
      <c r="G333" s="33"/>
      <c r="H333" s="33"/>
      <c r="I333" s="33"/>
      <c r="J333" s="33"/>
    </row>
    <row r="334" spans="1:10" ht="12.5" x14ac:dyDescent="0.25">
      <c r="A334" s="63">
        <f>'Profit &amp; Loss'!A334</f>
        <v>0</v>
      </c>
      <c r="B334" s="33">
        <f>'Profit &amp; Loss'!B334</f>
        <v>0</v>
      </c>
      <c r="C334" s="33"/>
      <c r="D334" s="33"/>
      <c r="E334" s="33"/>
      <c r="F334" s="33"/>
      <c r="G334" s="33"/>
      <c r="H334" s="33"/>
      <c r="I334" s="33"/>
      <c r="J334" s="33"/>
    </row>
    <row r="335" spans="1:10" ht="12.5" x14ac:dyDescent="0.25">
      <c r="A335" s="63">
        <f>'Profit &amp; Loss'!A335</f>
        <v>0</v>
      </c>
      <c r="B335" s="33">
        <f>'Profit &amp; Loss'!B335</f>
        <v>0</v>
      </c>
      <c r="C335" s="33"/>
      <c r="D335" s="33"/>
      <c r="E335" s="33"/>
      <c r="F335" s="33"/>
      <c r="G335" s="33"/>
      <c r="H335" s="33"/>
      <c r="I335" s="33"/>
      <c r="J335" s="33"/>
    </row>
    <row r="336" spans="1:10" ht="12.5" x14ac:dyDescent="0.25">
      <c r="A336" s="63">
        <f>'Profit &amp; Loss'!A336</f>
        <v>0</v>
      </c>
      <c r="B336" s="33">
        <f>'Profit &amp; Loss'!B336</f>
        <v>0</v>
      </c>
      <c r="C336" s="33"/>
      <c r="D336" s="33"/>
      <c r="E336" s="33"/>
      <c r="F336" s="33"/>
      <c r="G336" s="33"/>
      <c r="H336" s="33"/>
      <c r="I336" s="33"/>
      <c r="J336" s="33"/>
    </row>
    <row r="337" spans="1:10" ht="12.5" x14ac:dyDescent="0.25">
      <c r="A337" s="63">
        <f>'Profit &amp; Loss'!A337</f>
        <v>0</v>
      </c>
      <c r="B337" s="33">
        <f>'Profit &amp; Loss'!B337</f>
        <v>0</v>
      </c>
      <c r="C337" s="33"/>
      <c r="D337" s="33"/>
      <c r="E337" s="33"/>
      <c r="F337" s="33"/>
      <c r="G337" s="33"/>
      <c r="H337" s="33"/>
      <c r="I337" s="33"/>
      <c r="J337" s="33"/>
    </row>
    <row r="338" spans="1:10" ht="12.5" x14ac:dyDescent="0.25">
      <c r="A338" s="63">
        <f>'Profit &amp; Loss'!A338</f>
        <v>0</v>
      </c>
      <c r="B338" s="33">
        <f>'Profit &amp; Loss'!B338</f>
        <v>0</v>
      </c>
      <c r="C338" s="33"/>
      <c r="D338" s="33"/>
      <c r="E338" s="33"/>
      <c r="F338" s="33"/>
      <c r="G338" s="33"/>
      <c r="H338" s="33"/>
      <c r="I338" s="33"/>
      <c r="J338" s="33"/>
    </row>
    <row r="339" spans="1:10" ht="12.5" x14ac:dyDescent="0.25">
      <c r="A339" s="63">
        <f>'Profit &amp; Loss'!A339</f>
        <v>0</v>
      </c>
      <c r="B339" s="33">
        <f>'Profit &amp; Loss'!B339</f>
        <v>0</v>
      </c>
      <c r="C339" s="33"/>
      <c r="D339" s="33"/>
      <c r="E339" s="33"/>
      <c r="F339" s="33"/>
      <c r="G339" s="33"/>
      <c r="H339" s="33"/>
      <c r="I339" s="33"/>
      <c r="J339" s="33"/>
    </row>
    <row r="340" spans="1:10" ht="12.5" x14ac:dyDescent="0.25">
      <c r="A340" s="63">
        <f>'Profit &amp; Loss'!A340</f>
        <v>0</v>
      </c>
      <c r="B340" s="33">
        <f>'Profit &amp; Loss'!B340</f>
        <v>0</v>
      </c>
      <c r="C340" s="33"/>
      <c r="D340" s="33"/>
      <c r="E340" s="33"/>
      <c r="F340" s="33"/>
      <c r="G340" s="33"/>
      <c r="H340" s="33"/>
      <c r="I340" s="33"/>
      <c r="J340" s="33"/>
    </row>
    <row r="341" spans="1:10" ht="12.5" x14ac:dyDescent="0.25">
      <c r="A341" s="63">
        <f>'Profit &amp; Loss'!A341</f>
        <v>0</v>
      </c>
      <c r="B341" s="33">
        <f>'Profit &amp; Loss'!B341</f>
        <v>0</v>
      </c>
      <c r="C341" s="33"/>
      <c r="D341" s="33"/>
      <c r="E341" s="33"/>
      <c r="F341" s="33"/>
      <c r="G341" s="33"/>
      <c r="H341" s="33"/>
      <c r="I341" s="33"/>
      <c r="J341" s="33"/>
    </row>
    <row r="342" spans="1:10" ht="12.5" x14ac:dyDescent="0.25">
      <c r="A342" s="63">
        <f>'Profit &amp; Loss'!A342</f>
        <v>0</v>
      </c>
      <c r="B342" s="33">
        <f>'Profit &amp; Loss'!B342</f>
        <v>0</v>
      </c>
      <c r="C342" s="33"/>
      <c r="D342" s="33"/>
      <c r="E342" s="33"/>
      <c r="F342" s="33"/>
      <c r="G342" s="33"/>
      <c r="H342" s="33"/>
      <c r="I342" s="33"/>
      <c r="J342" s="33"/>
    </row>
    <row r="343" spans="1:10" ht="12.5" x14ac:dyDescent="0.25">
      <c r="A343" s="63">
        <f>'Profit &amp; Loss'!A343</f>
        <v>0</v>
      </c>
      <c r="B343" s="33">
        <f>'Profit &amp; Loss'!B343</f>
        <v>0</v>
      </c>
      <c r="C343" s="33"/>
      <c r="D343" s="33"/>
      <c r="E343" s="33"/>
      <c r="F343" s="33"/>
      <c r="G343" s="33"/>
      <c r="H343" s="33"/>
      <c r="I343" s="33"/>
      <c r="J343" s="33"/>
    </row>
    <row r="344" spans="1:10" ht="12.5" x14ac:dyDescent="0.25">
      <c r="A344" s="63">
        <f>'Profit &amp; Loss'!A344</f>
        <v>0</v>
      </c>
      <c r="B344" s="33">
        <f>'Profit &amp; Loss'!B344</f>
        <v>0</v>
      </c>
      <c r="C344" s="33"/>
      <c r="D344" s="33"/>
      <c r="E344" s="33"/>
      <c r="F344" s="33"/>
      <c r="G344" s="33"/>
      <c r="H344" s="33"/>
      <c r="I344" s="33"/>
      <c r="J344" s="33"/>
    </row>
    <row r="345" spans="1:10" ht="12.5" x14ac:dyDescent="0.25">
      <c r="A345" s="63">
        <f>'Profit &amp; Loss'!A345</f>
        <v>0</v>
      </c>
      <c r="B345" s="33">
        <f>'Profit &amp; Loss'!B345</f>
        <v>0</v>
      </c>
      <c r="C345" s="33"/>
      <c r="D345" s="33"/>
      <c r="E345" s="33"/>
      <c r="F345" s="33"/>
      <c r="G345" s="33"/>
      <c r="H345" s="33"/>
      <c r="I345" s="33"/>
      <c r="J345" s="33"/>
    </row>
    <row r="346" spans="1:10" ht="12.5" x14ac:dyDescent="0.25">
      <c r="A346" s="63">
        <f>'Profit &amp; Loss'!A346</f>
        <v>0</v>
      </c>
      <c r="B346" s="33">
        <f>'Profit &amp; Loss'!B346</f>
        <v>0</v>
      </c>
      <c r="C346" s="33"/>
      <c r="D346" s="33"/>
      <c r="E346" s="33"/>
      <c r="F346" s="33"/>
      <c r="G346" s="33"/>
      <c r="H346" s="33"/>
      <c r="I346" s="33"/>
      <c r="J346" s="33"/>
    </row>
    <row r="347" spans="1:10" ht="12.5" x14ac:dyDescent="0.25">
      <c r="A347" s="63">
        <f>'Profit &amp; Loss'!A347</f>
        <v>0</v>
      </c>
      <c r="B347" s="33">
        <f>'Profit &amp; Loss'!B347</f>
        <v>0</v>
      </c>
      <c r="C347" s="33"/>
      <c r="D347" s="33"/>
      <c r="E347" s="33"/>
      <c r="F347" s="33"/>
      <c r="G347" s="33"/>
      <c r="H347" s="33"/>
      <c r="I347" s="33"/>
      <c r="J347" s="33"/>
    </row>
    <row r="348" spans="1:10" ht="12.5" x14ac:dyDescent="0.25">
      <c r="A348" s="63">
        <f>'Profit &amp; Loss'!A348</f>
        <v>0</v>
      </c>
      <c r="B348" s="33">
        <f>'Profit &amp; Loss'!B348</f>
        <v>0</v>
      </c>
      <c r="C348" s="33"/>
      <c r="D348" s="33"/>
      <c r="E348" s="33"/>
      <c r="F348" s="33"/>
      <c r="G348" s="33"/>
      <c r="H348" s="33"/>
      <c r="I348" s="33"/>
      <c r="J348" s="33"/>
    </row>
    <row r="349" spans="1:10" ht="12.5" x14ac:dyDescent="0.25">
      <c r="A349" s="63">
        <f>'Profit &amp; Loss'!A349</f>
        <v>0</v>
      </c>
      <c r="B349" s="33">
        <f>'Profit &amp; Loss'!B349</f>
        <v>0</v>
      </c>
      <c r="C349" s="33"/>
      <c r="D349" s="33"/>
      <c r="E349" s="33"/>
      <c r="F349" s="33"/>
      <c r="G349" s="33"/>
      <c r="H349" s="33"/>
      <c r="I349" s="33"/>
      <c r="J349" s="33"/>
    </row>
    <row r="350" spans="1:10" ht="12.5" x14ac:dyDescent="0.25">
      <c r="A350" s="63">
        <f>'Profit &amp; Loss'!A350</f>
        <v>0</v>
      </c>
      <c r="B350" s="33">
        <f>'Profit &amp; Loss'!B350</f>
        <v>0</v>
      </c>
      <c r="C350" s="33"/>
      <c r="D350" s="33"/>
      <c r="E350" s="33"/>
      <c r="F350" s="33"/>
      <c r="G350" s="33"/>
      <c r="H350" s="33"/>
      <c r="I350" s="33"/>
      <c r="J350" s="33"/>
    </row>
    <row r="351" spans="1:10" ht="12.5" x14ac:dyDescent="0.25">
      <c r="A351" s="63">
        <f>'Profit &amp; Loss'!A351</f>
        <v>0</v>
      </c>
      <c r="B351" s="33">
        <f>'Profit &amp; Loss'!B351</f>
        <v>0</v>
      </c>
      <c r="C351" s="33"/>
      <c r="D351" s="33"/>
      <c r="E351" s="33"/>
      <c r="F351" s="33"/>
      <c r="G351" s="33"/>
      <c r="H351" s="33"/>
      <c r="I351" s="33"/>
      <c r="J351" s="33"/>
    </row>
    <row r="352" spans="1:10" ht="12.5" x14ac:dyDescent="0.25">
      <c r="A352" s="63">
        <f>'Profit &amp; Loss'!A352</f>
        <v>0</v>
      </c>
      <c r="B352" s="33">
        <f>'Profit &amp; Loss'!B352</f>
        <v>0</v>
      </c>
      <c r="C352" s="33"/>
      <c r="D352" s="33"/>
      <c r="E352" s="33"/>
      <c r="F352" s="33"/>
      <c r="G352" s="33"/>
      <c r="H352" s="33"/>
      <c r="I352" s="33"/>
      <c r="J352" s="33"/>
    </row>
    <row r="353" spans="1:10" ht="12.5" x14ac:dyDescent="0.25">
      <c r="A353" s="63">
        <f>'Profit &amp; Loss'!A353</f>
        <v>0</v>
      </c>
      <c r="B353" s="33">
        <f>'Profit &amp; Loss'!B353</f>
        <v>0</v>
      </c>
      <c r="C353" s="33"/>
      <c r="D353" s="33"/>
      <c r="E353" s="33"/>
      <c r="F353" s="33"/>
      <c r="G353" s="33"/>
      <c r="H353" s="33"/>
      <c r="I353" s="33"/>
      <c r="J353" s="33"/>
    </row>
    <row r="354" spans="1:10" ht="12.5" x14ac:dyDescent="0.25">
      <c r="A354" s="63">
        <f>'Profit &amp; Loss'!A354</f>
        <v>0</v>
      </c>
      <c r="B354" s="33">
        <f>'Profit &amp; Loss'!B354</f>
        <v>0</v>
      </c>
      <c r="C354" s="33"/>
      <c r="D354" s="33"/>
      <c r="E354" s="33"/>
      <c r="F354" s="33"/>
      <c r="G354" s="33"/>
      <c r="H354" s="33"/>
      <c r="I354" s="33"/>
      <c r="J354" s="33"/>
    </row>
    <row r="355" spans="1:10" ht="12.5" x14ac:dyDescent="0.25">
      <c r="A355" s="63">
        <f>'Profit &amp; Loss'!A355</f>
        <v>0</v>
      </c>
      <c r="B355" s="33">
        <f>'Profit &amp; Loss'!B355</f>
        <v>0</v>
      </c>
      <c r="C355" s="33"/>
      <c r="D355" s="33"/>
      <c r="E355" s="33"/>
      <c r="F355" s="33"/>
      <c r="G355" s="33"/>
      <c r="H355" s="33"/>
      <c r="I355" s="33"/>
      <c r="J355" s="33"/>
    </row>
    <row r="356" spans="1:10" ht="12.5" x14ac:dyDescent="0.25">
      <c r="A356" s="63">
        <f>'Profit &amp; Loss'!A356</f>
        <v>0</v>
      </c>
      <c r="B356" s="33">
        <f>'Profit &amp; Loss'!B356</f>
        <v>0</v>
      </c>
      <c r="C356" s="33"/>
      <c r="D356" s="33"/>
      <c r="E356" s="33"/>
      <c r="F356" s="33"/>
      <c r="G356" s="33"/>
      <c r="H356" s="33"/>
      <c r="I356" s="33"/>
      <c r="J356" s="33"/>
    </row>
    <row r="357" spans="1:10" ht="12.5" x14ac:dyDescent="0.25">
      <c r="A357" s="63">
        <f>'Profit &amp; Loss'!A357</f>
        <v>0</v>
      </c>
      <c r="B357" s="33">
        <f>'Profit &amp; Loss'!B357</f>
        <v>0</v>
      </c>
      <c r="C357" s="33"/>
      <c r="D357" s="33"/>
      <c r="E357" s="33"/>
      <c r="F357" s="33"/>
      <c r="G357" s="33"/>
      <c r="H357" s="33"/>
      <c r="I357" s="33"/>
      <c r="J357" s="33"/>
    </row>
    <row r="358" spans="1:10" ht="12.5" x14ac:dyDescent="0.25">
      <c r="A358" s="63">
        <f>'Profit &amp; Loss'!A358</f>
        <v>0</v>
      </c>
      <c r="B358" s="33">
        <f>'Profit &amp; Loss'!B358</f>
        <v>0</v>
      </c>
      <c r="C358" s="33"/>
      <c r="D358" s="33"/>
      <c r="E358" s="33"/>
      <c r="F358" s="33"/>
      <c r="G358" s="33"/>
      <c r="H358" s="33"/>
      <c r="I358" s="33"/>
      <c r="J358" s="33"/>
    </row>
    <row r="359" spans="1:10" ht="12.5" x14ac:dyDescent="0.25">
      <c r="A359" s="63">
        <f>'Profit &amp; Loss'!A359</f>
        <v>0</v>
      </c>
      <c r="B359" s="33">
        <f>'Profit &amp; Loss'!B359</f>
        <v>0</v>
      </c>
      <c r="C359" s="33"/>
      <c r="D359" s="33"/>
      <c r="E359" s="33"/>
      <c r="F359" s="33"/>
      <c r="G359" s="33"/>
      <c r="H359" s="33"/>
      <c r="I359" s="33"/>
      <c r="J359" s="33"/>
    </row>
    <row r="360" spans="1:10" ht="12.5" x14ac:dyDescent="0.25">
      <c r="A360" s="63">
        <f>'Profit &amp; Loss'!A360</f>
        <v>0</v>
      </c>
      <c r="B360" s="33">
        <f>'Profit &amp; Loss'!B360</f>
        <v>0</v>
      </c>
      <c r="C360" s="33"/>
      <c r="D360" s="33"/>
      <c r="E360" s="33"/>
      <c r="F360" s="33"/>
      <c r="G360" s="33"/>
      <c r="H360" s="33"/>
      <c r="I360" s="33"/>
      <c r="J360" s="33"/>
    </row>
    <row r="361" spans="1:10" ht="12.5" x14ac:dyDescent="0.25">
      <c r="A361" s="63">
        <f>'Profit &amp; Loss'!A361</f>
        <v>0</v>
      </c>
      <c r="B361" s="33">
        <f>'Profit &amp; Loss'!B361</f>
        <v>0</v>
      </c>
      <c r="C361" s="33"/>
      <c r="D361" s="33"/>
      <c r="E361" s="33"/>
      <c r="F361" s="33"/>
      <c r="G361" s="33"/>
      <c r="H361" s="33"/>
      <c r="I361" s="33"/>
      <c r="J361" s="33"/>
    </row>
    <row r="362" spans="1:10" ht="12.5" x14ac:dyDescent="0.25">
      <c r="A362" s="63">
        <f>'Profit &amp; Loss'!A362</f>
        <v>0</v>
      </c>
      <c r="B362" s="33">
        <f>'Profit &amp; Loss'!B362</f>
        <v>0</v>
      </c>
      <c r="C362" s="33"/>
      <c r="D362" s="33"/>
      <c r="E362" s="33"/>
      <c r="F362" s="33"/>
      <c r="G362" s="33"/>
      <c r="H362" s="33"/>
      <c r="I362" s="33"/>
      <c r="J362" s="33"/>
    </row>
    <row r="363" spans="1:10" ht="12.5" x14ac:dyDescent="0.25">
      <c r="A363" s="63">
        <f>'Profit &amp; Loss'!A363</f>
        <v>0</v>
      </c>
      <c r="B363" s="33">
        <f>'Profit &amp; Loss'!B363</f>
        <v>0</v>
      </c>
      <c r="C363" s="33"/>
      <c r="D363" s="33"/>
      <c r="E363" s="33"/>
      <c r="F363" s="33"/>
      <c r="G363" s="33"/>
      <c r="H363" s="33"/>
      <c r="I363" s="33"/>
      <c r="J363" s="33"/>
    </row>
    <row r="364" spans="1:10" ht="12.5" x14ac:dyDescent="0.25">
      <c r="A364" s="63">
        <f>'Profit &amp; Loss'!A364</f>
        <v>0</v>
      </c>
      <c r="B364" s="33">
        <f>'Profit &amp; Loss'!B364</f>
        <v>0</v>
      </c>
      <c r="C364" s="33"/>
      <c r="D364" s="33"/>
      <c r="E364" s="33"/>
      <c r="F364" s="33"/>
      <c r="G364" s="33"/>
      <c r="H364" s="33"/>
      <c r="I364" s="33"/>
      <c r="J364" s="33"/>
    </row>
    <row r="365" spans="1:10" ht="12.5" x14ac:dyDescent="0.25">
      <c r="A365" s="63">
        <f>'Profit &amp; Loss'!A365</f>
        <v>0</v>
      </c>
      <c r="B365" s="33">
        <f>'Profit &amp; Loss'!B365</f>
        <v>0</v>
      </c>
      <c r="C365" s="33"/>
      <c r="D365" s="33"/>
      <c r="E365" s="33"/>
      <c r="F365" s="33"/>
      <c r="G365" s="33"/>
      <c r="H365" s="33"/>
      <c r="I365" s="33"/>
      <c r="J365" s="33"/>
    </row>
    <row r="366" spans="1:10" ht="12.5" x14ac:dyDescent="0.25">
      <c r="A366" s="63">
        <f>'Profit &amp; Loss'!A366</f>
        <v>0</v>
      </c>
      <c r="B366" s="33">
        <f>'Profit &amp; Loss'!B366</f>
        <v>0</v>
      </c>
      <c r="C366" s="33"/>
      <c r="D366" s="33"/>
      <c r="E366" s="33"/>
      <c r="F366" s="33"/>
      <c r="G366" s="33"/>
      <c r="H366" s="33"/>
      <c r="I366" s="33"/>
      <c r="J366" s="33"/>
    </row>
    <row r="367" spans="1:10" ht="12.5" x14ac:dyDescent="0.25">
      <c r="A367" s="63">
        <f>'Profit &amp; Loss'!A367</f>
        <v>0</v>
      </c>
      <c r="B367" s="33">
        <f>'Profit &amp; Loss'!B367</f>
        <v>0</v>
      </c>
      <c r="C367" s="33"/>
      <c r="D367" s="33"/>
      <c r="E367" s="33"/>
      <c r="F367" s="33"/>
      <c r="G367" s="33"/>
      <c r="H367" s="33"/>
      <c r="I367" s="33"/>
      <c r="J367" s="33"/>
    </row>
    <row r="368" spans="1:10" ht="12.5" x14ac:dyDescent="0.25">
      <c r="A368" s="63">
        <f>'Profit &amp; Loss'!A368</f>
        <v>0</v>
      </c>
      <c r="B368" s="33">
        <f>'Profit &amp; Loss'!B368</f>
        <v>0</v>
      </c>
      <c r="C368" s="33"/>
      <c r="D368" s="33"/>
      <c r="E368" s="33"/>
      <c r="F368" s="33"/>
      <c r="G368" s="33"/>
      <c r="H368" s="33"/>
      <c r="I368" s="33"/>
      <c r="J368" s="33"/>
    </row>
    <row r="369" spans="1:10" ht="12.5" x14ac:dyDescent="0.25">
      <c r="A369" s="63">
        <f>'Profit &amp; Loss'!A369</f>
        <v>0</v>
      </c>
      <c r="B369" s="33">
        <f>'Profit &amp; Loss'!B369</f>
        <v>0</v>
      </c>
      <c r="C369" s="33"/>
      <c r="D369" s="33"/>
      <c r="E369" s="33"/>
      <c r="F369" s="33"/>
      <c r="G369" s="33"/>
      <c r="H369" s="33"/>
      <c r="I369" s="33"/>
      <c r="J369" s="33"/>
    </row>
    <row r="370" spans="1:10" ht="12.5" x14ac:dyDescent="0.25">
      <c r="A370" s="63">
        <f>'Profit &amp; Loss'!A370</f>
        <v>0</v>
      </c>
      <c r="B370" s="33">
        <f>'Profit &amp; Loss'!B370</f>
        <v>0</v>
      </c>
      <c r="C370" s="33"/>
      <c r="D370" s="33"/>
      <c r="E370" s="33"/>
      <c r="F370" s="33"/>
      <c r="G370" s="33"/>
      <c r="H370" s="33"/>
      <c r="I370" s="33"/>
      <c r="J370" s="33"/>
    </row>
    <row r="371" spans="1:10" ht="12.5" x14ac:dyDescent="0.25">
      <c r="A371" s="63">
        <f>'Profit &amp; Loss'!A371</f>
        <v>0</v>
      </c>
      <c r="B371" s="33">
        <f>'Profit &amp; Loss'!B371</f>
        <v>0</v>
      </c>
      <c r="C371" s="33"/>
      <c r="D371" s="33"/>
      <c r="E371" s="33"/>
      <c r="F371" s="33"/>
      <c r="G371" s="33"/>
      <c r="H371" s="33"/>
      <c r="I371" s="33"/>
      <c r="J371" s="33"/>
    </row>
    <row r="372" spans="1:10" ht="12.5" x14ac:dyDescent="0.25">
      <c r="A372" s="63">
        <f>'Profit &amp; Loss'!A372</f>
        <v>0</v>
      </c>
      <c r="B372" s="33">
        <f>'Profit &amp; Loss'!B372</f>
        <v>0</v>
      </c>
      <c r="C372" s="33"/>
      <c r="D372" s="33"/>
      <c r="E372" s="33"/>
      <c r="F372" s="33"/>
      <c r="G372" s="33"/>
      <c r="H372" s="33"/>
      <c r="I372" s="33"/>
      <c r="J372" s="33"/>
    </row>
    <row r="373" spans="1:10" ht="12.5" x14ac:dyDescent="0.25">
      <c r="A373" s="63">
        <f>'Profit &amp; Loss'!A373</f>
        <v>0</v>
      </c>
      <c r="B373" s="33">
        <f>'Profit &amp; Loss'!B373</f>
        <v>0</v>
      </c>
      <c r="C373" s="33"/>
      <c r="D373" s="33"/>
      <c r="E373" s="33"/>
      <c r="F373" s="33"/>
      <c r="G373" s="33"/>
      <c r="H373" s="33"/>
      <c r="I373" s="33"/>
      <c r="J373" s="33"/>
    </row>
    <row r="374" spans="1:10" ht="12.5" x14ac:dyDescent="0.25">
      <c r="A374" s="63">
        <f>'Profit &amp; Loss'!A374</f>
        <v>0</v>
      </c>
      <c r="B374" s="33">
        <f>'Profit &amp; Loss'!B374</f>
        <v>0</v>
      </c>
      <c r="C374" s="33"/>
      <c r="D374" s="33"/>
      <c r="E374" s="33"/>
      <c r="F374" s="33"/>
      <c r="G374" s="33"/>
      <c r="H374" s="33"/>
      <c r="I374" s="33"/>
      <c r="J374" s="33"/>
    </row>
    <row r="375" spans="1:10" ht="12.5" x14ac:dyDescent="0.25">
      <c r="A375" s="63">
        <f>'Profit &amp; Loss'!A375</f>
        <v>0</v>
      </c>
      <c r="B375" s="33">
        <f>'Profit &amp; Loss'!B375</f>
        <v>0</v>
      </c>
      <c r="C375" s="33"/>
      <c r="D375" s="33"/>
      <c r="E375" s="33"/>
      <c r="F375" s="33"/>
      <c r="G375" s="33"/>
      <c r="H375" s="33"/>
      <c r="I375" s="33"/>
      <c r="J375" s="33"/>
    </row>
    <row r="376" spans="1:10" ht="12.5" x14ac:dyDescent="0.25">
      <c r="A376" s="63">
        <f>'Profit &amp; Loss'!A376</f>
        <v>0</v>
      </c>
      <c r="B376" s="33">
        <f>'Profit &amp; Loss'!B376</f>
        <v>0</v>
      </c>
      <c r="C376" s="33"/>
      <c r="D376" s="33"/>
      <c r="E376" s="33"/>
      <c r="F376" s="33"/>
      <c r="G376" s="33"/>
      <c r="H376" s="33"/>
      <c r="I376" s="33"/>
      <c r="J376" s="33"/>
    </row>
    <row r="377" spans="1:10" ht="12.5" x14ac:dyDescent="0.25">
      <c r="A377" s="63">
        <f>'Profit &amp; Loss'!A377</f>
        <v>0</v>
      </c>
      <c r="B377" s="33">
        <f>'Profit &amp; Loss'!B377</f>
        <v>0</v>
      </c>
      <c r="C377" s="33"/>
      <c r="D377" s="33"/>
      <c r="E377" s="33"/>
      <c r="F377" s="33"/>
      <c r="G377" s="33"/>
      <c r="H377" s="33"/>
      <c r="I377" s="33"/>
      <c r="J377" s="33"/>
    </row>
    <row r="378" spans="1:10" ht="12.5" x14ac:dyDescent="0.25">
      <c r="A378" s="63">
        <f>'Profit &amp; Loss'!A378</f>
        <v>0</v>
      </c>
      <c r="B378" s="33">
        <f>'Profit &amp; Loss'!B378</f>
        <v>0</v>
      </c>
      <c r="C378" s="33"/>
      <c r="D378" s="33"/>
      <c r="E378" s="33"/>
      <c r="F378" s="33"/>
      <c r="G378" s="33"/>
      <c r="H378" s="33"/>
      <c r="I378" s="33"/>
      <c r="J378" s="33"/>
    </row>
    <row r="379" spans="1:10" ht="12.5" x14ac:dyDescent="0.25">
      <c r="A379" s="63">
        <f>'Profit &amp; Loss'!A379</f>
        <v>0</v>
      </c>
      <c r="B379" s="33">
        <f>'Profit &amp; Loss'!B379</f>
        <v>0</v>
      </c>
      <c r="C379" s="33"/>
      <c r="D379" s="33"/>
      <c r="E379" s="33"/>
      <c r="F379" s="33"/>
      <c r="G379" s="33"/>
      <c r="H379" s="33"/>
      <c r="I379" s="33"/>
      <c r="J379" s="33"/>
    </row>
    <row r="380" spans="1:10" ht="12.5" x14ac:dyDescent="0.25">
      <c r="A380" s="63">
        <f>'Profit &amp; Loss'!A380</f>
        <v>0</v>
      </c>
      <c r="B380" s="33">
        <f>'Profit &amp; Loss'!B380</f>
        <v>0</v>
      </c>
      <c r="C380" s="33"/>
      <c r="D380" s="33"/>
      <c r="E380" s="33"/>
      <c r="F380" s="33"/>
      <c r="G380" s="33"/>
      <c r="H380" s="33"/>
      <c r="I380" s="33"/>
      <c r="J380" s="33"/>
    </row>
    <row r="381" spans="1:10" ht="12.5" x14ac:dyDescent="0.25">
      <c r="A381" s="63">
        <f>'Profit &amp; Loss'!A381</f>
        <v>0</v>
      </c>
      <c r="B381" s="33">
        <f>'Profit &amp; Loss'!B381</f>
        <v>0</v>
      </c>
      <c r="C381" s="33"/>
      <c r="D381" s="33"/>
      <c r="E381" s="33"/>
      <c r="F381" s="33"/>
      <c r="G381" s="33"/>
      <c r="H381" s="33"/>
      <c r="I381" s="33"/>
      <c r="J381" s="33"/>
    </row>
    <row r="382" spans="1:10" ht="12.5" x14ac:dyDescent="0.25">
      <c r="A382" s="63">
        <f>'Profit &amp; Loss'!A382</f>
        <v>0</v>
      </c>
      <c r="B382" s="33">
        <f>'Profit &amp; Loss'!B382</f>
        <v>0</v>
      </c>
      <c r="C382" s="33"/>
      <c r="D382" s="33"/>
      <c r="E382" s="33"/>
      <c r="F382" s="33"/>
      <c r="G382" s="33"/>
      <c r="H382" s="33"/>
      <c r="I382" s="33"/>
      <c r="J382" s="33"/>
    </row>
    <row r="383" spans="1:10" ht="12.5" x14ac:dyDescent="0.25">
      <c r="A383" s="63">
        <f>'Profit &amp; Loss'!A383</f>
        <v>0</v>
      </c>
      <c r="B383" s="33">
        <f>'Profit &amp; Loss'!B383</f>
        <v>0</v>
      </c>
      <c r="C383" s="33"/>
      <c r="D383" s="33"/>
      <c r="E383" s="33"/>
      <c r="F383" s="33"/>
      <c r="G383" s="33"/>
      <c r="H383" s="33"/>
      <c r="I383" s="33"/>
      <c r="J383" s="33"/>
    </row>
    <row r="384" spans="1:10" ht="12.5" x14ac:dyDescent="0.25">
      <c r="A384" s="63">
        <f>'Profit &amp; Loss'!A384</f>
        <v>0</v>
      </c>
      <c r="B384" s="33">
        <f>'Profit &amp; Loss'!B384</f>
        <v>0</v>
      </c>
      <c r="C384" s="33"/>
      <c r="D384" s="33"/>
      <c r="E384" s="33"/>
      <c r="F384" s="33"/>
      <c r="G384" s="33"/>
      <c r="H384" s="33"/>
      <c r="I384" s="33"/>
      <c r="J384" s="33"/>
    </row>
    <row r="385" spans="1:10" ht="12.5" x14ac:dyDescent="0.25">
      <c r="A385" s="63">
        <f>'Profit &amp; Loss'!A385</f>
        <v>0</v>
      </c>
      <c r="B385" s="33">
        <f>'Profit &amp; Loss'!B385</f>
        <v>0</v>
      </c>
      <c r="C385" s="33"/>
      <c r="D385" s="33"/>
      <c r="E385" s="33"/>
      <c r="F385" s="33"/>
      <c r="G385" s="33"/>
      <c r="H385" s="33"/>
      <c r="I385" s="33"/>
      <c r="J385" s="33"/>
    </row>
    <row r="386" spans="1:10" ht="12.5" x14ac:dyDescent="0.25">
      <c r="A386" s="63">
        <f>'Profit &amp; Loss'!A386</f>
        <v>0</v>
      </c>
      <c r="B386" s="33">
        <f>'Profit &amp; Loss'!B386</f>
        <v>0</v>
      </c>
      <c r="C386" s="33"/>
      <c r="D386" s="33"/>
      <c r="E386" s="33"/>
      <c r="F386" s="33"/>
      <c r="G386" s="33"/>
      <c r="H386" s="33"/>
      <c r="I386" s="33"/>
      <c r="J386" s="33"/>
    </row>
    <row r="387" spans="1:10" ht="12.5" x14ac:dyDescent="0.25">
      <c r="A387" s="63">
        <f>'Profit &amp; Loss'!A387</f>
        <v>0</v>
      </c>
      <c r="B387" s="33">
        <f>'Profit &amp; Loss'!B387</f>
        <v>0</v>
      </c>
      <c r="C387" s="33"/>
      <c r="D387" s="33"/>
      <c r="E387" s="33"/>
      <c r="F387" s="33"/>
      <c r="G387" s="33"/>
      <c r="H387" s="33"/>
      <c r="I387" s="33"/>
      <c r="J387" s="33"/>
    </row>
    <row r="388" spans="1:10" ht="12.5" x14ac:dyDescent="0.25">
      <c r="A388" s="63">
        <f>'Profit &amp; Loss'!A388</f>
        <v>0</v>
      </c>
      <c r="B388" s="33">
        <f>'Profit &amp; Loss'!B388</f>
        <v>0</v>
      </c>
      <c r="C388" s="33"/>
      <c r="D388" s="33"/>
      <c r="E388" s="33"/>
      <c r="F388" s="33"/>
      <c r="G388" s="33"/>
      <c r="H388" s="33"/>
      <c r="I388" s="33"/>
      <c r="J388" s="33"/>
    </row>
    <row r="389" spans="1:10" ht="12.5" x14ac:dyDescent="0.25">
      <c r="A389" s="63">
        <f>'Profit &amp; Loss'!A389</f>
        <v>0</v>
      </c>
      <c r="B389" s="33">
        <f>'Profit &amp; Loss'!B389</f>
        <v>0</v>
      </c>
      <c r="C389" s="33"/>
      <c r="D389" s="33"/>
      <c r="E389" s="33"/>
      <c r="F389" s="33"/>
      <c r="G389" s="33"/>
      <c r="H389" s="33"/>
      <c r="I389" s="33"/>
      <c r="J389" s="33"/>
    </row>
    <row r="390" spans="1:10" ht="12.5" x14ac:dyDescent="0.25">
      <c r="A390" s="63">
        <f>'Profit &amp; Loss'!A390</f>
        <v>0</v>
      </c>
      <c r="B390" s="33">
        <f>'Profit &amp; Loss'!B390</f>
        <v>0</v>
      </c>
      <c r="C390" s="33"/>
      <c r="D390" s="33"/>
      <c r="E390" s="33"/>
      <c r="F390" s="33"/>
      <c r="G390" s="33"/>
      <c r="H390" s="33"/>
      <c r="I390" s="33"/>
      <c r="J390" s="33"/>
    </row>
    <row r="391" spans="1:10" ht="12.5" x14ac:dyDescent="0.25">
      <c r="A391" s="63">
        <f>'Profit &amp; Loss'!A391</f>
        <v>0</v>
      </c>
      <c r="B391" s="33">
        <f>'Profit &amp; Loss'!B391</f>
        <v>0</v>
      </c>
      <c r="C391" s="33"/>
      <c r="D391" s="33"/>
      <c r="E391" s="33"/>
      <c r="F391" s="33"/>
      <c r="G391" s="33"/>
      <c r="H391" s="33"/>
      <c r="I391" s="33"/>
      <c r="J391" s="33"/>
    </row>
    <row r="392" spans="1:10" ht="12.5" x14ac:dyDescent="0.25">
      <c r="A392" s="63">
        <f>'Profit &amp; Loss'!A392</f>
        <v>0</v>
      </c>
      <c r="B392" s="33">
        <f>'Profit &amp; Loss'!B392</f>
        <v>0</v>
      </c>
      <c r="C392" s="33"/>
      <c r="D392" s="33"/>
      <c r="E392" s="33"/>
      <c r="F392" s="33"/>
      <c r="G392" s="33"/>
      <c r="H392" s="33"/>
      <c r="I392" s="33"/>
      <c r="J392" s="33"/>
    </row>
    <row r="393" spans="1:10" ht="12.5" x14ac:dyDescent="0.25">
      <c r="A393" s="63">
        <f>'Profit &amp; Loss'!A393</f>
        <v>0</v>
      </c>
      <c r="B393" s="33">
        <f>'Profit &amp; Loss'!B393</f>
        <v>0</v>
      </c>
      <c r="C393" s="33"/>
      <c r="D393" s="33"/>
      <c r="E393" s="33"/>
      <c r="F393" s="33"/>
      <c r="G393" s="33"/>
      <c r="H393" s="33"/>
      <c r="I393" s="33"/>
      <c r="J393" s="33"/>
    </row>
    <row r="394" spans="1:10" ht="12.5" x14ac:dyDescent="0.25">
      <c r="A394" s="63">
        <f>'Profit &amp; Loss'!A394</f>
        <v>0</v>
      </c>
      <c r="B394" s="33">
        <f>'Profit &amp; Loss'!B394</f>
        <v>0</v>
      </c>
      <c r="C394" s="33"/>
      <c r="D394" s="33"/>
      <c r="E394" s="33"/>
      <c r="F394" s="33"/>
      <c r="G394" s="33"/>
      <c r="H394" s="33"/>
      <c r="I394" s="33"/>
      <c r="J394" s="33"/>
    </row>
    <row r="395" spans="1:10" ht="12.5" x14ac:dyDescent="0.25">
      <c r="A395" s="63">
        <f>'Profit &amp; Loss'!A395</f>
        <v>0</v>
      </c>
      <c r="B395" s="33">
        <f>'Profit &amp; Loss'!B395</f>
        <v>0</v>
      </c>
      <c r="C395" s="33"/>
      <c r="D395" s="33"/>
      <c r="E395" s="33"/>
      <c r="F395" s="33"/>
      <c r="G395" s="33"/>
      <c r="H395" s="33"/>
      <c r="I395" s="33"/>
      <c r="J395" s="33"/>
    </row>
    <row r="396" spans="1:10" ht="12.5" x14ac:dyDescent="0.25">
      <c r="A396" s="63">
        <f>'Profit &amp; Loss'!A396</f>
        <v>0</v>
      </c>
      <c r="B396" s="33">
        <f>'Profit &amp; Loss'!B396</f>
        <v>0</v>
      </c>
      <c r="C396" s="33"/>
      <c r="D396" s="33"/>
      <c r="E396" s="33"/>
      <c r="F396" s="33"/>
      <c r="G396" s="33"/>
      <c r="H396" s="33"/>
      <c r="I396" s="33"/>
      <c r="J396" s="33"/>
    </row>
    <row r="397" spans="1:10" ht="12.5" x14ac:dyDescent="0.25">
      <c r="A397" s="63">
        <f>'Profit &amp; Loss'!A397</f>
        <v>0</v>
      </c>
      <c r="B397" s="33">
        <f>'Profit &amp; Loss'!B397</f>
        <v>0</v>
      </c>
      <c r="C397" s="33"/>
      <c r="D397" s="33"/>
      <c r="E397" s="33"/>
      <c r="F397" s="33"/>
      <c r="G397" s="33"/>
      <c r="H397" s="33"/>
      <c r="I397" s="33"/>
      <c r="J397" s="33"/>
    </row>
    <row r="398" spans="1:10" ht="12.5" x14ac:dyDescent="0.25">
      <c r="A398" s="63">
        <f>'Profit &amp; Loss'!A398</f>
        <v>0</v>
      </c>
      <c r="B398" s="33">
        <f>'Profit &amp; Loss'!B398</f>
        <v>0</v>
      </c>
      <c r="C398" s="33"/>
      <c r="D398" s="33"/>
      <c r="E398" s="33"/>
      <c r="F398" s="33"/>
      <c r="G398" s="33"/>
      <c r="H398" s="33"/>
      <c r="I398" s="33"/>
      <c r="J398" s="33"/>
    </row>
    <row r="399" spans="1:10" ht="12.5" x14ac:dyDescent="0.25">
      <c r="A399" s="63">
        <f>'Profit &amp; Loss'!A399</f>
        <v>0</v>
      </c>
      <c r="B399" s="33">
        <f>'Profit &amp; Loss'!B399</f>
        <v>0</v>
      </c>
      <c r="C399" s="33"/>
      <c r="D399" s="33"/>
      <c r="E399" s="33"/>
      <c r="F399" s="33"/>
      <c r="G399" s="33"/>
      <c r="H399" s="33"/>
      <c r="I399" s="33"/>
      <c r="J399" s="33"/>
    </row>
    <row r="400" spans="1:10" ht="12.5" x14ac:dyDescent="0.25">
      <c r="A400" s="63">
        <f>'Profit &amp; Loss'!A400</f>
        <v>0</v>
      </c>
      <c r="B400" s="33">
        <f>'Profit &amp; Loss'!B400</f>
        <v>0</v>
      </c>
      <c r="C400" s="33"/>
      <c r="D400" s="33"/>
      <c r="E400" s="33"/>
      <c r="F400" s="33"/>
      <c r="G400" s="33"/>
      <c r="H400" s="33"/>
      <c r="I400" s="33"/>
      <c r="J400" s="33"/>
    </row>
    <row r="401" spans="1:10" ht="12.5" x14ac:dyDescent="0.25">
      <c r="A401" s="63">
        <f>'Profit &amp; Loss'!A401</f>
        <v>0</v>
      </c>
      <c r="B401" s="33">
        <f>'Profit &amp; Loss'!B401</f>
        <v>0</v>
      </c>
      <c r="C401" s="33"/>
      <c r="D401" s="33"/>
      <c r="E401" s="33"/>
      <c r="F401" s="33"/>
      <c r="G401" s="33"/>
      <c r="H401" s="33"/>
      <c r="I401" s="33"/>
      <c r="J401" s="33"/>
    </row>
    <row r="402" spans="1:10" ht="12.5" x14ac:dyDescent="0.25">
      <c r="A402" s="63">
        <f>'Profit &amp; Loss'!A402</f>
        <v>0</v>
      </c>
      <c r="B402" s="33">
        <f>'Profit &amp; Loss'!B402</f>
        <v>0</v>
      </c>
      <c r="C402" s="33"/>
      <c r="D402" s="33"/>
      <c r="E402" s="33"/>
      <c r="F402" s="33"/>
      <c r="G402" s="33"/>
      <c r="H402" s="33"/>
      <c r="I402" s="33"/>
      <c r="J402" s="33"/>
    </row>
    <row r="403" spans="1:10" ht="12.5" x14ac:dyDescent="0.25">
      <c r="A403" s="63">
        <f>'Profit &amp; Loss'!A403</f>
        <v>0</v>
      </c>
      <c r="B403" s="33">
        <f>'Profit &amp; Loss'!B403</f>
        <v>0</v>
      </c>
      <c r="C403" s="33"/>
      <c r="D403" s="33"/>
      <c r="E403" s="33"/>
      <c r="F403" s="33"/>
      <c r="G403" s="33"/>
      <c r="H403" s="33"/>
      <c r="I403" s="33"/>
      <c r="J403" s="33"/>
    </row>
    <row r="404" spans="1:10" ht="12.5" x14ac:dyDescent="0.25">
      <c r="A404" s="63">
        <f>'Profit &amp; Loss'!A404</f>
        <v>0</v>
      </c>
      <c r="B404" s="33">
        <f>'Profit &amp; Loss'!B404</f>
        <v>0</v>
      </c>
      <c r="C404" s="33"/>
      <c r="D404" s="33"/>
      <c r="E404" s="33"/>
      <c r="F404" s="33"/>
      <c r="G404" s="33"/>
      <c r="H404" s="33"/>
      <c r="I404" s="33"/>
      <c r="J404" s="33"/>
    </row>
    <row r="405" spans="1:10" ht="12.5" x14ac:dyDescent="0.25">
      <c r="A405" s="63">
        <f>'Profit &amp; Loss'!A405</f>
        <v>0</v>
      </c>
      <c r="B405" s="33">
        <f>'Profit &amp; Loss'!B405</f>
        <v>0</v>
      </c>
      <c r="C405" s="33"/>
      <c r="D405" s="33"/>
      <c r="E405" s="33"/>
      <c r="F405" s="33"/>
      <c r="G405" s="33"/>
      <c r="H405" s="33"/>
      <c r="I405" s="33"/>
      <c r="J405" s="33"/>
    </row>
    <row r="406" spans="1:10" ht="12.5" x14ac:dyDescent="0.25">
      <c r="A406" s="63">
        <f>'Profit &amp; Loss'!A406</f>
        <v>0</v>
      </c>
      <c r="B406" s="33">
        <f>'Profit &amp; Loss'!B406</f>
        <v>0</v>
      </c>
      <c r="C406" s="33"/>
      <c r="D406" s="33"/>
      <c r="E406" s="33"/>
      <c r="F406" s="33"/>
      <c r="G406" s="33"/>
      <c r="H406" s="33"/>
      <c r="I406" s="33"/>
      <c r="J406" s="33"/>
    </row>
    <row r="407" spans="1:10" ht="12.5" x14ac:dyDescent="0.25">
      <c r="A407" s="63">
        <f>'Profit &amp; Loss'!A407</f>
        <v>0</v>
      </c>
      <c r="B407" s="33">
        <f>'Profit &amp; Loss'!B407</f>
        <v>0</v>
      </c>
      <c r="C407" s="33"/>
      <c r="D407" s="33"/>
      <c r="E407" s="33"/>
      <c r="F407" s="33"/>
      <c r="G407" s="33"/>
      <c r="H407" s="33"/>
      <c r="I407" s="33"/>
      <c r="J407" s="33"/>
    </row>
    <row r="408" spans="1:10" ht="12.5" x14ac:dyDescent="0.25">
      <c r="A408" s="63">
        <f>'Profit &amp; Loss'!A408</f>
        <v>0</v>
      </c>
      <c r="B408" s="33">
        <f>'Profit &amp; Loss'!B408</f>
        <v>0</v>
      </c>
      <c r="C408" s="33"/>
      <c r="D408" s="33"/>
      <c r="E408" s="33"/>
      <c r="F408" s="33"/>
      <c r="G408" s="33"/>
      <c r="H408" s="33"/>
      <c r="I408" s="33"/>
      <c r="J408" s="33"/>
    </row>
    <row r="409" spans="1:10" ht="12.5" x14ac:dyDescent="0.25">
      <c r="A409" s="63">
        <f>'Profit &amp; Loss'!A409</f>
        <v>0</v>
      </c>
      <c r="B409" s="33">
        <f>'Profit &amp; Loss'!B409</f>
        <v>0</v>
      </c>
      <c r="C409" s="33"/>
      <c r="D409" s="33"/>
      <c r="E409" s="33"/>
      <c r="F409" s="33"/>
      <c r="G409" s="33"/>
      <c r="H409" s="33"/>
      <c r="I409" s="33"/>
      <c r="J409" s="33"/>
    </row>
    <row r="410" spans="1:10" ht="12.5" x14ac:dyDescent="0.25">
      <c r="A410" s="63">
        <f>'Profit &amp; Loss'!A410</f>
        <v>0</v>
      </c>
      <c r="B410" s="33">
        <f>'Profit &amp; Loss'!B410</f>
        <v>0</v>
      </c>
      <c r="C410" s="33"/>
      <c r="D410" s="33"/>
      <c r="E410" s="33"/>
      <c r="F410" s="33"/>
      <c r="G410" s="33"/>
      <c r="H410" s="33"/>
      <c r="I410" s="33"/>
      <c r="J410" s="33"/>
    </row>
    <row r="411" spans="1:10" ht="12.5" x14ac:dyDescent="0.25">
      <c r="A411" s="63">
        <f>'Profit &amp; Loss'!A411</f>
        <v>0</v>
      </c>
      <c r="B411" s="33">
        <f>'Profit &amp; Loss'!B411</f>
        <v>0</v>
      </c>
      <c r="C411" s="33"/>
      <c r="D411" s="33"/>
      <c r="E411" s="33"/>
      <c r="F411" s="33"/>
      <c r="G411" s="33"/>
      <c r="H411" s="33"/>
      <c r="I411" s="33"/>
      <c r="J411" s="33"/>
    </row>
    <row r="412" spans="1:10" ht="12.5" x14ac:dyDescent="0.25">
      <c r="A412" s="63">
        <f>'Profit &amp; Loss'!A412</f>
        <v>0</v>
      </c>
      <c r="B412" s="33">
        <f>'Profit &amp; Loss'!B412</f>
        <v>0</v>
      </c>
      <c r="C412" s="33"/>
      <c r="D412" s="33"/>
      <c r="E412" s="33"/>
      <c r="F412" s="33"/>
      <c r="G412" s="33"/>
      <c r="H412" s="33"/>
      <c r="I412" s="33"/>
      <c r="J412" s="33"/>
    </row>
    <row r="413" spans="1:10" ht="12.5" x14ac:dyDescent="0.25">
      <c r="A413" s="63">
        <f>'Profit &amp; Loss'!A413</f>
        <v>0</v>
      </c>
      <c r="B413" s="33">
        <f>'Profit &amp; Loss'!B413</f>
        <v>0</v>
      </c>
      <c r="C413" s="33"/>
      <c r="D413" s="33"/>
      <c r="E413" s="33"/>
      <c r="F413" s="33"/>
      <c r="G413" s="33"/>
      <c r="H413" s="33"/>
      <c r="I413" s="33"/>
      <c r="J413" s="33"/>
    </row>
    <row r="414" spans="1:10" ht="12.5" x14ac:dyDescent="0.25">
      <c r="A414" s="63">
        <f>'Profit &amp; Loss'!A414</f>
        <v>0</v>
      </c>
      <c r="B414" s="33">
        <f>'Profit &amp; Loss'!B414</f>
        <v>0</v>
      </c>
      <c r="C414" s="33"/>
      <c r="D414" s="33"/>
      <c r="E414" s="33"/>
      <c r="F414" s="33"/>
      <c r="G414" s="33"/>
      <c r="H414" s="33"/>
      <c r="I414" s="33"/>
      <c r="J414" s="33"/>
    </row>
    <row r="415" spans="1:10" ht="12.5" x14ac:dyDescent="0.25">
      <c r="A415" s="63">
        <f>'Profit &amp; Loss'!A415</f>
        <v>0</v>
      </c>
      <c r="B415" s="33">
        <f>'Profit &amp; Loss'!B415</f>
        <v>0</v>
      </c>
      <c r="C415" s="33"/>
      <c r="D415" s="33"/>
      <c r="E415" s="33"/>
      <c r="F415" s="33"/>
      <c r="G415" s="33"/>
      <c r="H415" s="33"/>
      <c r="I415" s="33"/>
      <c r="J415" s="33"/>
    </row>
    <row r="416" spans="1:10" ht="12.5" x14ac:dyDescent="0.25">
      <c r="A416" s="63">
        <f>'Profit &amp; Loss'!A416</f>
        <v>0</v>
      </c>
      <c r="B416" s="33">
        <f>'Profit &amp; Loss'!B416</f>
        <v>0</v>
      </c>
      <c r="C416" s="33"/>
      <c r="D416" s="33"/>
      <c r="E416" s="33"/>
      <c r="F416" s="33"/>
      <c r="G416" s="33"/>
      <c r="H416" s="33"/>
      <c r="I416" s="33"/>
      <c r="J416" s="33"/>
    </row>
    <row r="417" spans="1:10" ht="12.5" x14ac:dyDescent="0.25">
      <c r="A417" s="63">
        <f>'Profit &amp; Loss'!A417</f>
        <v>0</v>
      </c>
      <c r="B417" s="33">
        <f>'Profit &amp; Loss'!B417</f>
        <v>0</v>
      </c>
      <c r="C417" s="33"/>
      <c r="D417" s="33"/>
      <c r="E417" s="33"/>
      <c r="F417" s="33"/>
      <c r="G417" s="33"/>
      <c r="H417" s="33"/>
      <c r="I417" s="33"/>
      <c r="J417" s="33"/>
    </row>
    <row r="418" spans="1:10" ht="12.5" x14ac:dyDescent="0.25">
      <c r="A418" s="63">
        <f>'Profit &amp; Loss'!A418</f>
        <v>0</v>
      </c>
      <c r="B418" s="33">
        <f>'Profit &amp; Loss'!B418</f>
        <v>0</v>
      </c>
      <c r="C418" s="33"/>
      <c r="D418" s="33"/>
      <c r="E418" s="33"/>
      <c r="F418" s="33"/>
      <c r="G418" s="33"/>
      <c r="H418" s="33"/>
      <c r="I418" s="33"/>
      <c r="J418" s="33"/>
    </row>
    <row r="419" spans="1:10" ht="12.5" x14ac:dyDescent="0.25">
      <c r="A419" s="63">
        <f>'Profit &amp; Loss'!A419</f>
        <v>0</v>
      </c>
      <c r="B419" s="33">
        <f>'Profit &amp; Loss'!B419</f>
        <v>0</v>
      </c>
      <c r="C419" s="33"/>
      <c r="D419" s="33"/>
      <c r="E419" s="33"/>
      <c r="F419" s="33"/>
      <c r="G419" s="33"/>
      <c r="H419" s="33"/>
      <c r="I419" s="33"/>
      <c r="J419" s="33"/>
    </row>
    <row r="420" spans="1:10" ht="12.5" x14ac:dyDescent="0.25">
      <c r="A420" s="63">
        <f>'Profit &amp; Loss'!A420</f>
        <v>0</v>
      </c>
      <c r="B420" s="33">
        <f>'Profit &amp; Loss'!B420</f>
        <v>0</v>
      </c>
      <c r="C420" s="33"/>
      <c r="D420" s="33"/>
      <c r="E420" s="33"/>
      <c r="F420" s="33"/>
      <c r="G420" s="33"/>
      <c r="H420" s="33"/>
      <c r="I420" s="33"/>
      <c r="J420" s="33"/>
    </row>
    <row r="421" spans="1:10" ht="12.5" x14ac:dyDescent="0.25">
      <c r="A421" s="63">
        <f>'Profit &amp; Loss'!A421</f>
        <v>0</v>
      </c>
      <c r="B421" s="33">
        <f>'Profit &amp; Loss'!B421</f>
        <v>0</v>
      </c>
      <c r="C421" s="33"/>
      <c r="D421" s="33"/>
      <c r="E421" s="33"/>
      <c r="F421" s="33"/>
      <c r="G421" s="33"/>
      <c r="H421" s="33"/>
      <c r="I421" s="33"/>
      <c r="J421" s="33"/>
    </row>
    <row r="422" spans="1:10" ht="12.5" x14ac:dyDescent="0.25">
      <c r="A422" s="63">
        <f>'Profit &amp; Loss'!A422</f>
        <v>0</v>
      </c>
      <c r="B422" s="33">
        <f>'Profit &amp; Loss'!B422</f>
        <v>0</v>
      </c>
      <c r="C422" s="33"/>
      <c r="D422" s="33"/>
      <c r="E422" s="33"/>
      <c r="F422" s="33"/>
      <c r="G422" s="33"/>
      <c r="H422" s="33"/>
      <c r="I422" s="33"/>
      <c r="J422" s="33"/>
    </row>
    <row r="423" spans="1:10" ht="12.5" x14ac:dyDescent="0.25">
      <c r="A423" s="63">
        <f>'Profit &amp; Loss'!A423</f>
        <v>0</v>
      </c>
      <c r="B423" s="33">
        <f>'Profit &amp; Loss'!B423</f>
        <v>0</v>
      </c>
      <c r="C423" s="33"/>
      <c r="D423" s="33"/>
      <c r="E423" s="33"/>
      <c r="F423" s="33"/>
      <c r="G423" s="33"/>
      <c r="H423" s="33"/>
      <c r="I423" s="33"/>
      <c r="J423" s="33"/>
    </row>
    <row r="424" spans="1:10" ht="12.5" x14ac:dyDescent="0.25">
      <c r="A424" s="63">
        <f>'Profit &amp; Loss'!A424</f>
        <v>0</v>
      </c>
      <c r="B424" s="33">
        <f>'Profit &amp; Loss'!B424</f>
        <v>0</v>
      </c>
      <c r="C424" s="33"/>
      <c r="D424" s="33"/>
      <c r="E424" s="33"/>
      <c r="F424" s="33"/>
      <c r="G424" s="33"/>
      <c r="H424" s="33"/>
      <c r="I424" s="33"/>
      <c r="J424" s="33"/>
    </row>
    <row r="425" spans="1:10" ht="12.5" x14ac:dyDescent="0.25">
      <c r="A425" s="63">
        <f>'Profit &amp; Loss'!A425</f>
        <v>0</v>
      </c>
      <c r="B425" s="33">
        <f>'Profit &amp; Loss'!B425</f>
        <v>0</v>
      </c>
      <c r="C425" s="33"/>
      <c r="D425" s="33"/>
      <c r="E425" s="33"/>
      <c r="F425" s="33"/>
      <c r="G425" s="33"/>
      <c r="H425" s="33"/>
      <c r="I425" s="33"/>
      <c r="J425" s="33"/>
    </row>
    <row r="426" spans="1:10" ht="12.5" x14ac:dyDescent="0.25">
      <c r="A426" s="63">
        <f>'Profit &amp; Loss'!A426</f>
        <v>0</v>
      </c>
      <c r="B426" s="33">
        <f>'Profit &amp; Loss'!B426</f>
        <v>0</v>
      </c>
      <c r="C426" s="33"/>
      <c r="D426" s="33"/>
      <c r="E426" s="33"/>
      <c r="F426" s="33"/>
      <c r="G426" s="33"/>
      <c r="H426" s="33"/>
      <c r="I426" s="33"/>
      <c r="J426" s="33"/>
    </row>
    <row r="427" spans="1:10" ht="12.5" x14ac:dyDescent="0.25">
      <c r="A427" s="63">
        <f>'Profit &amp; Loss'!A427</f>
        <v>0</v>
      </c>
      <c r="B427" s="33">
        <f>'Profit &amp; Loss'!B427</f>
        <v>0</v>
      </c>
      <c r="C427" s="33"/>
      <c r="D427" s="33"/>
      <c r="E427" s="33"/>
      <c r="F427" s="33"/>
      <c r="G427" s="33"/>
      <c r="H427" s="33"/>
      <c r="I427" s="33"/>
      <c r="J427" s="33"/>
    </row>
    <row r="428" spans="1:10" ht="12.5" x14ac:dyDescent="0.25">
      <c r="A428" s="63">
        <f>'Profit &amp; Loss'!A428</f>
        <v>0</v>
      </c>
      <c r="B428" s="33">
        <f>'Profit &amp; Loss'!B428</f>
        <v>0</v>
      </c>
      <c r="C428" s="33"/>
      <c r="D428" s="33"/>
      <c r="E428" s="33"/>
      <c r="F428" s="33"/>
      <c r="G428" s="33"/>
      <c r="H428" s="33"/>
      <c r="I428" s="33"/>
      <c r="J428" s="33"/>
    </row>
    <row r="429" spans="1:10" ht="12.5" x14ac:dyDescent="0.25">
      <c r="A429" s="63">
        <f>'Profit &amp; Loss'!A429</f>
        <v>0</v>
      </c>
      <c r="B429" s="33">
        <f>'Profit &amp; Loss'!B429</f>
        <v>0</v>
      </c>
      <c r="C429" s="33"/>
      <c r="D429" s="33"/>
      <c r="E429" s="33"/>
      <c r="F429" s="33"/>
      <c r="G429" s="33"/>
      <c r="H429" s="33"/>
      <c r="I429" s="33"/>
      <c r="J429" s="33"/>
    </row>
    <row r="430" spans="1:10" ht="12.5" x14ac:dyDescent="0.25">
      <c r="A430" s="63">
        <f>'Profit &amp; Loss'!A430</f>
        <v>0</v>
      </c>
      <c r="B430" s="33">
        <f>'Profit &amp; Loss'!B430</f>
        <v>0</v>
      </c>
      <c r="C430" s="33"/>
      <c r="D430" s="33"/>
      <c r="E430" s="33"/>
      <c r="F430" s="33"/>
      <c r="G430" s="33"/>
      <c r="H430" s="33"/>
      <c r="I430" s="33"/>
      <c r="J430" s="33"/>
    </row>
    <row r="431" spans="1:10" ht="12.5" x14ac:dyDescent="0.25">
      <c r="A431" s="63">
        <f>'Profit &amp; Loss'!A431</f>
        <v>0</v>
      </c>
      <c r="B431" s="33">
        <f>'Profit &amp; Loss'!B431</f>
        <v>0</v>
      </c>
      <c r="C431" s="33"/>
      <c r="D431" s="33"/>
      <c r="E431" s="33"/>
      <c r="F431" s="33"/>
      <c r="G431" s="33"/>
      <c r="H431" s="33"/>
      <c r="I431" s="33"/>
      <c r="J431" s="33"/>
    </row>
    <row r="432" spans="1:10" ht="12.5" x14ac:dyDescent="0.25">
      <c r="A432" s="63">
        <f>'Profit &amp; Loss'!A432</f>
        <v>0</v>
      </c>
      <c r="B432" s="33">
        <f>'Profit &amp; Loss'!B432</f>
        <v>0</v>
      </c>
      <c r="C432" s="33"/>
      <c r="D432" s="33"/>
      <c r="E432" s="33"/>
      <c r="F432" s="33"/>
      <c r="G432" s="33"/>
      <c r="H432" s="33"/>
      <c r="I432" s="33"/>
      <c r="J432" s="33"/>
    </row>
    <row r="433" spans="1:10" ht="12.5" x14ac:dyDescent="0.25">
      <c r="A433" s="63">
        <f>'Profit &amp; Loss'!A433</f>
        <v>0</v>
      </c>
      <c r="B433" s="33">
        <f>'Profit &amp; Loss'!B433</f>
        <v>0</v>
      </c>
      <c r="C433" s="33"/>
      <c r="D433" s="33"/>
      <c r="E433" s="33"/>
      <c r="F433" s="33"/>
      <c r="G433" s="33"/>
      <c r="H433" s="33"/>
      <c r="I433" s="33"/>
      <c r="J433" s="33"/>
    </row>
    <row r="434" spans="1:10" ht="12.5" x14ac:dyDescent="0.25">
      <c r="A434" s="63">
        <f>'Profit &amp; Loss'!A434</f>
        <v>0</v>
      </c>
      <c r="B434" s="33">
        <f>'Profit &amp; Loss'!B434</f>
        <v>0</v>
      </c>
      <c r="C434" s="33"/>
      <c r="D434" s="33"/>
      <c r="E434" s="33"/>
      <c r="F434" s="33"/>
      <c r="G434" s="33"/>
      <c r="H434" s="33"/>
      <c r="I434" s="33"/>
      <c r="J434" s="33"/>
    </row>
    <row r="435" spans="1:10" ht="12.5" x14ac:dyDescent="0.25">
      <c r="A435" s="63">
        <f>'Profit &amp; Loss'!A435</f>
        <v>0</v>
      </c>
      <c r="B435" s="33">
        <f>'Profit &amp; Loss'!B435</f>
        <v>0</v>
      </c>
      <c r="C435" s="33"/>
      <c r="D435" s="33"/>
      <c r="E435" s="33"/>
      <c r="F435" s="33"/>
      <c r="G435" s="33"/>
      <c r="H435" s="33"/>
      <c r="I435" s="33"/>
      <c r="J435" s="33"/>
    </row>
    <row r="436" spans="1:10" ht="12.5" x14ac:dyDescent="0.25">
      <c r="A436" s="63">
        <f>'Profit &amp; Loss'!A436</f>
        <v>0</v>
      </c>
      <c r="B436" s="33">
        <f>'Profit &amp; Loss'!B436</f>
        <v>0</v>
      </c>
      <c r="C436" s="33"/>
      <c r="D436" s="33"/>
      <c r="E436" s="33"/>
      <c r="F436" s="33"/>
      <c r="G436" s="33"/>
      <c r="H436" s="33"/>
      <c r="I436" s="33"/>
      <c r="J436" s="33"/>
    </row>
    <row r="437" spans="1:10" ht="12.5" x14ac:dyDescent="0.25">
      <c r="A437" s="63">
        <f>'Profit &amp; Loss'!A437</f>
        <v>0</v>
      </c>
      <c r="B437" s="33">
        <f>'Profit &amp; Loss'!B437</f>
        <v>0</v>
      </c>
      <c r="C437" s="33"/>
      <c r="D437" s="33"/>
      <c r="E437" s="33"/>
      <c r="F437" s="33"/>
      <c r="G437" s="33"/>
      <c r="H437" s="33"/>
      <c r="I437" s="33"/>
      <c r="J437" s="33"/>
    </row>
    <row r="438" spans="1:10" ht="12.5" x14ac:dyDescent="0.25">
      <c r="A438" s="63">
        <f>'Profit &amp; Loss'!A438</f>
        <v>0</v>
      </c>
      <c r="B438" s="33">
        <f>'Profit &amp; Loss'!B438</f>
        <v>0</v>
      </c>
      <c r="C438" s="33"/>
      <c r="D438" s="33"/>
      <c r="E438" s="33"/>
      <c r="F438" s="33"/>
      <c r="G438" s="33"/>
      <c r="H438" s="33"/>
      <c r="I438" s="33"/>
      <c r="J438" s="33"/>
    </row>
    <row r="439" spans="1:10" ht="12.5" x14ac:dyDescent="0.25">
      <c r="A439" s="63">
        <f>'Profit &amp; Loss'!A439</f>
        <v>0</v>
      </c>
      <c r="B439" s="33">
        <f>'Profit &amp; Loss'!B439</f>
        <v>0</v>
      </c>
      <c r="C439" s="33"/>
      <c r="D439" s="33"/>
      <c r="E439" s="33"/>
      <c r="F439" s="33"/>
      <c r="G439" s="33"/>
      <c r="H439" s="33"/>
      <c r="I439" s="33"/>
      <c r="J439" s="33"/>
    </row>
    <row r="440" spans="1:10" ht="12.5" x14ac:dyDescent="0.25">
      <c r="A440" s="63">
        <f>'Profit &amp; Loss'!A440</f>
        <v>0</v>
      </c>
      <c r="B440" s="33">
        <f>'Profit &amp; Loss'!B440</f>
        <v>0</v>
      </c>
      <c r="C440" s="33"/>
      <c r="D440" s="33"/>
      <c r="E440" s="33"/>
      <c r="F440" s="33"/>
      <c r="G440" s="33"/>
      <c r="H440" s="33"/>
      <c r="I440" s="33"/>
      <c r="J440" s="33"/>
    </row>
    <row r="441" spans="1:10" ht="12.5" x14ac:dyDescent="0.25">
      <c r="A441" s="63">
        <f>'Profit &amp; Loss'!A441</f>
        <v>0</v>
      </c>
      <c r="B441" s="33">
        <f>'Profit &amp; Loss'!B441</f>
        <v>0</v>
      </c>
      <c r="C441" s="33"/>
      <c r="D441" s="33"/>
      <c r="E441" s="33"/>
      <c r="F441" s="33"/>
      <c r="G441" s="33"/>
      <c r="H441" s="33"/>
      <c r="I441" s="33"/>
      <c r="J441" s="33"/>
    </row>
    <row r="442" spans="1:10" ht="12.5" x14ac:dyDescent="0.25">
      <c r="A442" s="63">
        <f>'Profit &amp; Loss'!A442</f>
        <v>0</v>
      </c>
      <c r="B442" s="33">
        <f>'Profit &amp; Loss'!B442</f>
        <v>0</v>
      </c>
      <c r="C442" s="33"/>
      <c r="D442" s="33"/>
      <c r="E442" s="33"/>
      <c r="F442" s="33"/>
      <c r="G442" s="33"/>
      <c r="H442" s="33"/>
      <c r="I442" s="33"/>
      <c r="J442" s="33"/>
    </row>
    <row r="443" spans="1:10" ht="12.5" x14ac:dyDescent="0.25">
      <c r="A443" s="63">
        <f>'Profit &amp; Loss'!A443</f>
        <v>0</v>
      </c>
      <c r="B443" s="33">
        <f>'Profit &amp; Loss'!B443</f>
        <v>0</v>
      </c>
      <c r="C443" s="33"/>
      <c r="D443" s="33"/>
      <c r="E443" s="33"/>
      <c r="F443" s="33"/>
      <c r="G443" s="33"/>
      <c r="H443" s="33"/>
      <c r="I443" s="33"/>
      <c r="J443" s="33"/>
    </row>
    <row r="444" spans="1:10" ht="12.5" x14ac:dyDescent="0.25">
      <c r="A444" s="63">
        <f>'Profit &amp; Loss'!A444</f>
        <v>0</v>
      </c>
      <c r="B444" s="33">
        <f>'Profit &amp; Loss'!B444</f>
        <v>0</v>
      </c>
      <c r="C444" s="33"/>
      <c r="D444" s="33"/>
      <c r="E444" s="33"/>
      <c r="F444" s="33"/>
      <c r="G444" s="33"/>
      <c r="H444" s="33"/>
      <c r="I444" s="33"/>
      <c r="J444" s="33"/>
    </row>
    <row r="445" spans="1:10" ht="12.5" x14ac:dyDescent="0.25">
      <c r="A445" s="63">
        <f>'Profit &amp; Loss'!A445</f>
        <v>0</v>
      </c>
      <c r="B445" s="33">
        <f>'Profit &amp; Loss'!B445</f>
        <v>0</v>
      </c>
      <c r="C445" s="33"/>
      <c r="D445" s="33"/>
      <c r="E445" s="33"/>
      <c r="F445" s="33"/>
      <c r="G445" s="33"/>
      <c r="H445" s="33"/>
      <c r="I445" s="33"/>
      <c r="J445" s="33"/>
    </row>
    <row r="446" spans="1:10" ht="12.5" x14ac:dyDescent="0.25">
      <c r="A446" s="63">
        <f>'Profit &amp; Loss'!A446</f>
        <v>0</v>
      </c>
      <c r="B446" s="33">
        <f>'Profit &amp; Loss'!B446</f>
        <v>0</v>
      </c>
      <c r="C446" s="33"/>
      <c r="D446" s="33"/>
      <c r="E446" s="33"/>
      <c r="F446" s="33"/>
      <c r="G446" s="33"/>
      <c r="H446" s="33"/>
      <c r="I446" s="33"/>
      <c r="J446" s="33"/>
    </row>
    <row r="447" spans="1:10" ht="12.5" x14ac:dyDescent="0.25">
      <c r="A447" s="63">
        <f>'Profit &amp; Loss'!A447</f>
        <v>0</v>
      </c>
      <c r="B447" s="33">
        <f>'Profit &amp; Loss'!B447</f>
        <v>0</v>
      </c>
      <c r="C447" s="33"/>
      <c r="D447" s="33"/>
      <c r="E447" s="33"/>
      <c r="F447" s="33"/>
      <c r="G447" s="33"/>
      <c r="H447" s="33"/>
      <c r="I447" s="33"/>
      <c r="J447" s="33"/>
    </row>
    <row r="448" spans="1:10" ht="12.5" x14ac:dyDescent="0.25">
      <c r="A448" s="63">
        <f>'Profit &amp; Loss'!A448</f>
        <v>0</v>
      </c>
      <c r="B448" s="33">
        <f>'Profit &amp; Loss'!B448</f>
        <v>0</v>
      </c>
      <c r="C448" s="33"/>
      <c r="D448" s="33"/>
      <c r="E448" s="33"/>
      <c r="F448" s="33"/>
      <c r="G448" s="33"/>
      <c r="H448" s="33"/>
      <c r="I448" s="33"/>
      <c r="J448" s="33"/>
    </row>
    <row r="449" spans="1:10" ht="12.5" x14ac:dyDescent="0.25">
      <c r="A449" s="63">
        <f>'Profit &amp; Loss'!A449</f>
        <v>0</v>
      </c>
      <c r="B449" s="33">
        <f>'Profit &amp; Loss'!B449</f>
        <v>0</v>
      </c>
      <c r="C449" s="33"/>
      <c r="D449" s="33"/>
      <c r="E449" s="33"/>
      <c r="F449" s="33"/>
      <c r="G449" s="33"/>
      <c r="H449" s="33"/>
      <c r="I449" s="33"/>
      <c r="J449" s="33"/>
    </row>
    <row r="450" spans="1:10" ht="12.5" x14ac:dyDescent="0.25">
      <c r="A450" s="63">
        <f>'Profit &amp; Loss'!A450</f>
        <v>0</v>
      </c>
      <c r="B450" s="33">
        <f>'Profit &amp; Loss'!B450</f>
        <v>0</v>
      </c>
      <c r="C450" s="33"/>
      <c r="D450" s="33"/>
      <c r="E450" s="33"/>
      <c r="F450" s="33"/>
      <c r="G450" s="33"/>
      <c r="H450" s="33"/>
      <c r="I450" s="33"/>
      <c r="J450" s="33"/>
    </row>
    <row r="451" spans="1:10" ht="12.5" x14ac:dyDescent="0.25">
      <c r="A451" s="63">
        <f>'Profit &amp; Loss'!A451</f>
        <v>0</v>
      </c>
      <c r="B451" s="33">
        <f>'Profit &amp; Loss'!B451</f>
        <v>0</v>
      </c>
      <c r="C451" s="33"/>
      <c r="D451" s="33"/>
      <c r="E451" s="33"/>
      <c r="F451" s="33"/>
      <c r="G451" s="33"/>
      <c r="H451" s="33"/>
      <c r="I451" s="33"/>
      <c r="J451" s="33"/>
    </row>
    <row r="452" spans="1:10" ht="12.5" x14ac:dyDescent="0.25">
      <c r="A452" s="63">
        <f>'Profit &amp; Loss'!A452</f>
        <v>0</v>
      </c>
      <c r="B452" s="33">
        <f>'Profit &amp; Loss'!B452</f>
        <v>0</v>
      </c>
      <c r="C452" s="33"/>
      <c r="D452" s="33"/>
      <c r="E452" s="33"/>
      <c r="F452" s="33"/>
      <c r="G452" s="33"/>
      <c r="H452" s="33"/>
      <c r="I452" s="33"/>
      <c r="J452" s="33"/>
    </row>
    <row r="453" spans="1:10" ht="12.5" x14ac:dyDescent="0.25">
      <c r="A453" s="63">
        <f>'Profit &amp; Loss'!A453</f>
        <v>0</v>
      </c>
      <c r="B453" s="33">
        <f>'Profit &amp; Loss'!B453</f>
        <v>0</v>
      </c>
      <c r="C453" s="33"/>
      <c r="D453" s="33"/>
      <c r="E453" s="33"/>
      <c r="F453" s="33"/>
      <c r="G453" s="33"/>
      <c r="H453" s="33"/>
      <c r="I453" s="33"/>
      <c r="J453" s="33"/>
    </row>
    <row r="454" spans="1:10" ht="12.5" x14ac:dyDescent="0.25">
      <c r="A454" s="63">
        <f>'Profit &amp; Loss'!A454</f>
        <v>0</v>
      </c>
      <c r="B454" s="33">
        <f>'Profit &amp; Loss'!B454</f>
        <v>0</v>
      </c>
      <c r="C454" s="33"/>
      <c r="D454" s="33"/>
      <c r="E454" s="33"/>
      <c r="F454" s="33"/>
      <c r="G454" s="33"/>
      <c r="H454" s="33"/>
      <c r="I454" s="33"/>
      <c r="J454" s="33"/>
    </row>
    <row r="455" spans="1:10" ht="12.5" x14ac:dyDescent="0.25">
      <c r="A455" s="63">
        <f>'Profit &amp; Loss'!A455</f>
        <v>0</v>
      </c>
      <c r="B455" s="33">
        <f>'Profit &amp; Loss'!B455</f>
        <v>0</v>
      </c>
      <c r="C455" s="33"/>
      <c r="D455" s="33"/>
      <c r="E455" s="33"/>
      <c r="F455" s="33"/>
      <c r="G455" s="33"/>
      <c r="H455" s="33"/>
      <c r="I455" s="33"/>
      <c r="J455" s="33"/>
    </row>
    <row r="456" spans="1:10" ht="12.5" x14ac:dyDescent="0.25">
      <c r="A456" s="63">
        <f>'Profit &amp; Loss'!A456</f>
        <v>0</v>
      </c>
      <c r="B456" s="33">
        <f>'Profit &amp; Loss'!B456</f>
        <v>0</v>
      </c>
      <c r="C456" s="33"/>
      <c r="D456" s="33"/>
      <c r="E456" s="33"/>
      <c r="F456" s="33"/>
      <c r="G456" s="33"/>
      <c r="H456" s="33"/>
      <c r="I456" s="33"/>
      <c r="J456" s="33"/>
    </row>
    <row r="457" spans="1:10" ht="12.5" x14ac:dyDescent="0.25">
      <c r="A457" s="63">
        <f>'Profit &amp; Loss'!A457</f>
        <v>0</v>
      </c>
      <c r="B457" s="33">
        <f>'Profit &amp; Loss'!B457</f>
        <v>0</v>
      </c>
      <c r="C457" s="33"/>
      <c r="D457" s="33"/>
      <c r="E457" s="33"/>
      <c r="F457" s="33"/>
      <c r="G457" s="33"/>
      <c r="H457" s="33"/>
      <c r="I457" s="33"/>
      <c r="J457" s="33"/>
    </row>
    <row r="458" spans="1:10" ht="12.5" x14ac:dyDescent="0.25">
      <c r="A458" s="63">
        <f>'Profit &amp; Loss'!A458</f>
        <v>0</v>
      </c>
      <c r="B458" s="33">
        <f>'Profit &amp; Loss'!B458</f>
        <v>0</v>
      </c>
      <c r="C458" s="33"/>
      <c r="D458" s="33"/>
      <c r="E458" s="33"/>
      <c r="F458" s="33"/>
      <c r="G458" s="33"/>
      <c r="H458" s="33"/>
      <c r="I458" s="33"/>
      <c r="J458" s="33"/>
    </row>
    <row r="459" spans="1:10" ht="12.5" x14ac:dyDescent="0.25">
      <c r="A459" s="63">
        <f>'Profit &amp; Loss'!A459</f>
        <v>0</v>
      </c>
      <c r="B459" s="33">
        <f>'Profit &amp; Loss'!B459</f>
        <v>0</v>
      </c>
      <c r="C459" s="33"/>
      <c r="D459" s="33"/>
      <c r="E459" s="33"/>
      <c r="F459" s="33"/>
      <c r="G459" s="33"/>
      <c r="H459" s="33"/>
      <c r="I459" s="33"/>
      <c r="J459" s="33"/>
    </row>
    <row r="460" spans="1:10" ht="12.5" x14ac:dyDescent="0.25">
      <c r="A460" s="63">
        <f>'Profit &amp; Loss'!A460</f>
        <v>0</v>
      </c>
      <c r="B460" s="33">
        <f>'Profit &amp; Loss'!B460</f>
        <v>0</v>
      </c>
      <c r="C460" s="33"/>
      <c r="D460" s="33"/>
      <c r="E460" s="33"/>
      <c r="F460" s="33"/>
      <c r="G460" s="33"/>
      <c r="H460" s="33"/>
      <c r="I460" s="33"/>
      <c r="J460" s="33"/>
    </row>
    <row r="461" spans="1:10" ht="12.5" x14ac:dyDescent="0.25">
      <c r="A461" s="63">
        <f>'Profit &amp; Loss'!A461</f>
        <v>0</v>
      </c>
      <c r="B461" s="33">
        <f>'Profit &amp; Loss'!B461</f>
        <v>0</v>
      </c>
      <c r="C461" s="33"/>
      <c r="D461" s="33"/>
      <c r="E461" s="33"/>
      <c r="F461" s="33"/>
      <c r="G461" s="33"/>
      <c r="H461" s="33"/>
      <c r="I461" s="33"/>
      <c r="J461" s="33"/>
    </row>
    <row r="462" spans="1:10" ht="12.5" x14ac:dyDescent="0.25">
      <c r="A462" s="63">
        <f>'Profit &amp; Loss'!A462</f>
        <v>0</v>
      </c>
      <c r="B462" s="33">
        <f>'Profit &amp; Loss'!B462</f>
        <v>0</v>
      </c>
      <c r="C462" s="33"/>
      <c r="D462" s="33"/>
      <c r="E462" s="33"/>
      <c r="F462" s="33"/>
      <c r="G462" s="33"/>
      <c r="H462" s="33"/>
      <c r="I462" s="33"/>
      <c r="J462" s="33"/>
    </row>
    <row r="463" spans="1:10" ht="12.5" x14ac:dyDescent="0.25">
      <c r="A463" s="63">
        <f>'Profit &amp; Loss'!A463</f>
        <v>0</v>
      </c>
      <c r="B463" s="33">
        <f>'Profit &amp; Loss'!B463</f>
        <v>0</v>
      </c>
      <c r="C463" s="33"/>
      <c r="D463" s="33"/>
      <c r="E463" s="33"/>
      <c r="F463" s="33"/>
      <c r="G463" s="33"/>
      <c r="H463" s="33"/>
      <c r="I463" s="33"/>
      <c r="J463" s="33"/>
    </row>
    <row r="464" spans="1:10" ht="12.5" x14ac:dyDescent="0.25">
      <c r="A464" s="63">
        <f>'Profit &amp; Loss'!A464</f>
        <v>0</v>
      </c>
      <c r="B464" s="33">
        <f>'Profit &amp; Loss'!B464</f>
        <v>0</v>
      </c>
      <c r="C464" s="33"/>
      <c r="D464" s="33"/>
      <c r="E464" s="33"/>
      <c r="F464" s="33"/>
      <c r="G464" s="33"/>
      <c r="H464" s="33"/>
      <c r="I464" s="33"/>
      <c r="J464" s="33"/>
    </row>
    <row r="465" spans="1:10" ht="12.5" x14ac:dyDescent="0.25">
      <c r="A465" s="63">
        <f>'Profit &amp; Loss'!A465</f>
        <v>0</v>
      </c>
      <c r="B465" s="33">
        <f>'Profit &amp; Loss'!B465</f>
        <v>0</v>
      </c>
      <c r="C465" s="33"/>
      <c r="D465" s="33"/>
      <c r="E465" s="33"/>
      <c r="F465" s="33"/>
      <c r="G465" s="33"/>
      <c r="H465" s="33"/>
      <c r="I465" s="33"/>
      <c r="J465" s="33"/>
    </row>
    <row r="466" spans="1:10" ht="12.5" x14ac:dyDescent="0.25">
      <c r="A466" s="63">
        <f>'Profit &amp; Loss'!A466</f>
        <v>0</v>
      </c>
      <c r="B466" s="33">
        <f>'Profit &amp; Loss'!B466</f>
        <v>0</v>
      </c>
      <c r="C466" s="33"/>
      <c r="D466" s="33"/>
      <c r="E466" s="33"/>
      <c r="F466" s="33"/>
      <c r="G466" s="33"/>
      <c r="H466" s="33"/>
      <c r="I466" s="33"/>
      <c r="J466" s="33"/>
    </row>
    <row r="467" spans="1:10" ht="12.5" x14ac:dyDescent="0.25">
      <c r="A467" s="63">
        <f>'Profit &amp; Loss'!A467</f>
        <v>0</v>
      </c>
      <c r="B467" s="33">
        <f>'Profit &amp; Loss'!B467</f>
        <v>0</v>
      </c>
      <c r="C467" s="33"/>
      <c r="D467" s="33"/>
      <c r="E467" s="33"/>
      <c r="F467" s="33"/>
      <c r="G467" s="33"/>
      <c r="H467" s="33"/>
      <c r="I467" s="33"/>
      <c r="J467" s="33"/>
    </row>
    <row r="468" spans="1:10" ht="12.5" x14ac:dyDescent="0.25">
      <c r="A468" s="63">
        <f>'Profit &amp; Loss'!A468</f>
        <v>0</v>
      </c>
      <c r="B468" s="33">
        <f>'Profit &amp; Loss'!B468</f>
        <v>0</v>
      </c>
      <c r="C468" s="33"/>
      <c r="D468" s="33"/>
      <c r="E468" s="33"/>
      <c r="F468" s="33"/>
      <c r="G468" s="33"/>
      <c r="H468" s="33"/>
      <c r="I468" s="33"/>
      <c r="J468" s="33"/>
    </row>
    <row r="469" spans="1:10" ht="12.5" x14ac:dyDescent="0.25">
      <c r="A469" s="63">
        <f>'Profit &amp; Loss'!A469</f>
        <v>0</v>
      </c>
      <c r="B469" s="33">
        <f>'Profit &amp; Loss'!B469</f>
        <v>0</v>
      </c>
      <c r="C469" s="33"/>
      <c r="D469" s="33"/>
      <c r="E469" s="33"/>
      <c r="F469" s="33"/>
      <c r="G469" s="33"/>
      <c r="H469" s="33"/>
      <c r="I469" s="33"/>
      <c r="J469" s="33"/>
    </row>
    <row r="470" spans="1:10" ht="12.5" x14ac:dyDescent="0.25">
      <c r="A470" s="63">
        <f>'Profit &amp; Loss'!A470</f>
        <v>0</v>
      </c>
      <c r="B470" s="33">
        <f>'Profit &amp; Loss'!B470</f>
        <v>0</v>
      </c>
      <c r="C470" s="33"/>
      <c r="D470" s="33"/>
      <c r="E470" s="33"/>
      <c r="F470" s="33"/>
      <c r="G470" s="33"/>
      <c r="H470" s="33"/>
      <c r="I470" s="33"/>
      <c r="J470" s="33"/>
    </row>
    <row r="471" spans="1:10" ht="12.5" x14ac:dyDescent="0.25">
      <c r="A471" s="63">
        <f>'Profit &amp; Loss'!A471</f>
        <v>0</v>
      </c>
      <c r="B471" s="33">
        <f>'Profit &amp; Loss'!B471</f>
        <v>0</v>
      </c>
      <c r="C471" s="33"/>
      <c r="D471" s="33"/>
      <c r="E471" s="33"/>
      <c r="F471" s="33"/>
      <c r="G471" s="33"/>
      <c r="H471" s="33"/>
      <c r="I471" s="33"/>
      <c r="J471" s="33"/>
    </row>
    <row r="472" spans="1:10" ht="12.5" x14ac:dyDescent="0.25">
      <c r="A472" s="63">
        <f>'Profit &amp; Loss'!A472</f>
        <v>0</v>
      </c>
      <c r="B472" s="33">
        <f>'Profit &amp; Loss'!B472</f>
        <v>0</v>
      </c>
      <c r="C472" s="33"/>
      <c r="D472" s="33"/>
      <c r="E472" s="33"/>
      <c r="F472" s="33"/>
      <c r="G472" s="33"/>
      <c r="H472" s="33"/>
      <c r="I472" s="33"/>
      <c r="J472" s="33"/>
    </row>
    <row r="473" spans="1:10" ht="12.5" x14ac:dyDescent="0.25">
      <c r="A473" s="63">
        <f>'Profit &amp; Loss'!A473</f>
        <v>0</v>
      </c>
      <c r="B473" s="33">
        <f>'Profit &amp; Loss'!B473</f>
        <v>0</v>
      </c>
      <c r="C473" s="33"/>
      <c r="D473" s="33"/>
      <c r="E473" s="33"/>
      <c r="F473" s="33"/>
      <c r="G473" s="33"/>
      <c r="H473" s="33"/>
      <c r="I473" s="33"/>
      <c r="J473" s="33"/>
    </row>
    <row r="474" spans="1:10" ht="12.5" x14ac:dyDescent="0.25">
      <c r="A474" s="63">
        <f>'Profit &amp; Loss'!A474</f>
        <v>0</v>
      </c>
      <c r="B474" s="33">
        <f>'Profit &amp; Loss'!B474</f>
        <v>0</v>
      </c>
      <c r="C474" s="33"/>
      <c r="D474" s="33"/>
      <c r="E474" s="33"/>
      <c r="F474" s="33"/>
      <c r="G474" s="33"/>
      <c r="H474" s="33"/>
      <c r="I474" s="33"/>
      <c r="J474" s="33"/>
    </row>
    <row r="475" spans="1:10" ht="12.5" x14ac:dyDescent="0.25">
      <c r="A475" s="63">
        <f>'Profit &amp; Loss'!A475</f>
        <v>0</v>
      </c>
      <c r="B475" s="33">
        <f>'Profit &amp; Loss'!B475</f>
        <v>0</v>
      </c>
      <c r="C475" s="33"/>
      <c r="D475" s="33"/>
      <c r="E475" s="33"/>
      <c r="F475" s="33"/>
      <c r="G475" s="33"/>
      <c r="H475" s="33"/>
      <c r="I475" s="33"/>
      <c r="J475" s="33"/>
    </row>
    <row r="476" spans="1:10" ht="12.5" x14ac:dyDescent="0.25">
      <c r="A476" s="63">
        <f>'Profit &amp; Loss'!A476</f>
        <v>0</v>
      </c>
      <c r="B476" s="33">
        <f>'Profit &amp; Loss'!B476</f>
        <v>0</v>
      </c>
      <c r="C476" s="33"/>
      <c r="D476" s="33"/>
      <c r="E476" s="33"/>
      <c r="F476" s="33"/>
      <c r="G476" s="33"/>
      <c r="H476" s="33"/>
      <c r="I476" s="33"/>
      <c r="J476" s="33"/>
    </row>
    <row r="477" spans="1:10" ht="12.5" x14ac:dyDescent="0.25">
      <c r="A477" s="63">
        <f>'Profit &amp; Loss'!A477</f>
        <v>0</v>
      </c>
      <c r="B477" s="33">
        <f>'Profit &amp; Loss'!B477</f>
        <v>0</v>
      </c>
      <c r="C477" s="33"/>
      <c r="D477" s="33"/>
      <c r="E477" s="33"/>
      <c r="F477" s="33"/>
      <c r="G477" s="33"/>
      <c r="H477" s="33"/>
      <c r="I477" s="33"/>
      <c r="J477" s="33"/>
    </row>
    <row r="478" spans="1:10" ht="12.5" x14ac:dyDescent="0.25">
      <c r="A478" s="63">
        <f>'Profit &amp; Loss'!A478</f>
        <v>0</v>
      </c>
      <c r="B478" s="33">
        <f>'Profit &amp; Loss'!B478</f>
        <v>0</v>
      </c>
      <c r="C478" s="33"/>
      <c r="D478" s="33"/>
      <c r="E478" s="33"/>
      <c r="F478" s="33"/>
      <c r="G478" s="33"/>
      <c r="H478" s="33"/>
      <c r="I478" s="33"/>
      <c r="J478" s="33"/>
    </row>
    <row r="479" spans="1:10" ht="12.5" x14ac:dyDescent="0.25">
      <c r="A479" s="63">
        <f>'Profit &amp; Loss'!A479</f>
        <v>0</v>
      </c>
      <c r="B479" s="33">
        <f>'Profit &amp; Loss'!B479</f>
        <v>0</v>
      </c>
      <c r="C479" s="33"/>
      <c r="D479" s="33"/>
      <c r="E479" s="33"/>
      <c r="F479" s="33"/>
      <c r="G479" s="33"/>
      <c r="H479" s="33"/>
      <c r="I479" s="33"/>
      <c r="J479" s="33"/>
    </row>
    <row r="480" spans="1:10" ht="12.5" x14ac:dyDescent="0.25">
      <c r="A480" s="63">
        <f>'Profit &amp; Loss'!A480</f>
        <v>0</v>
      </c>
      <c r="B480" s="33">
        <f>'Profit &amp; Loss'!B480</f>
        <v>0</v>
      </c>
      <c r="C480" s="33"/>
      <c r="D480" s="33"/>
      <c r="E480" s="33"/>
      <c r="F480" s="33"/>
      <c r="G480" s="33"/>
      <c r="H480" s="33"/>
      <c r="I480" s="33"/>
      <c r="J480" s="33"/>
    </row>
    <row r="481" spans="1:10" ht="12.5" x14ac:dyDescent="0.25">
      <c r="A481" s="63">
        <f>'Profit &amp; Loss'!A481</f>
        <v>0</v>
      </c>
      <c r="B481" s="33">
        <f>'Profit &amp; Loss'!B481</f>
        <v>0</v>
      </c>
      <c r="C481" s="33"/>
      <c r="D481" s="33"/>
      <c r="E481" s="33"/>
      <c r="F481" s="33"/>
      <c r="G481" s="33"/>
      <c r="H481" s="33"/>
      <c r="I481" s="33"/>
      <c r="J481" s="33"/>
    </row>
    <row r="482" spans="1:10" ht="12.5" x14ac:dyDescent="0.25">
      <c r="A482" s="63">
        <f>'Profit &amp; Loss'!A482</f>
        <v>0</v>
      </c>
      <c r="B482" s="33">
        <f>'Profit &amp; Loss'!B482</f>
        <v>0</v>
      </c>
      <c r="C482" s="33"/>
      <c r="D482" s="33"/>
      <c r="E482" s="33"/>
      <c r="F482" s="33"/>
      <c r="G482" s="33"/>
      <c r="H482" s="33"/>
      <c r="I482" s="33"/>
      <c r="J482" s="33"/>
    </row>
    <row r="483" spans="1:10" ht="12.5" x14ac:dyDescent="0.25">
      <c r="A483" s="63">
        <f>'Profit &amp; Loss'!A483</f>
        <v>0</v>
      </c>
      <c r="B483" s="33">
        <f>'Profit &amp; Loss'!B483</f>
        <v>0</v>
      </c>
      <c r="C483" s="33"/>
      <c r="D483" s="33"/>
      <c r="E483" s="33"/>
      <c r="F483" s="33"/>
      <c r="G483" s="33"/>
      <c r="H483" s="33"/>
      <c r="I483" s="33"/>
      <c r="J483" s="33"/>
    </row>
    <row r="484" spans="1:10" ht="12.5" x14ac:dyDescent="0.25">
      <c r="A484" s="63">
        <f>'Profit &amp; Loss'!A484</f>
        <v>0</v>
      </c>
      <c r="B484" s="33">
        <f>'Profit &amp; Loss'!B484</f>
        <v>0</v>
      </c>
      <c r="C484" s="33"/>
      <c r="D484" s="33"/>
      <c r="E484" s="33"/>
      <c r="F484" s="33"/>
      <c r="G484" s="33"/>
      <c r="H484" s="33"/>
      <c r="I484" s="33"/>
      <c r="J484" s="33"/>
    </row>
    <row r="485" spans="1:10" ht="12.5" x14ac:dyDescent="0.25">
      <c r="A485" s="63">
        <f>'Profit &amp; Loss'!A485</f>
        <v>0</v>
      </c>
      <c r="B485" s="33">
        <f>'Profit &amp; Loss'!B485</f>
        <v>0</v>
      </c>
      <c r="C485" s="33"/>
      <c r="D485" s="33"/>
      <c r="E485" s="33"/>
      <c r="F485" s="33"/>
      <c r="G485" s="33"/>
      <c r="H485" s="33"/>
      <c r="I485" s="33"/>
      <c r="J485" s="33"/>
    </row>
    <row r="486" spans="1:10" ht="12.5" x14ac:dyDescent="0.25">
      <c r="A486" s="63">
        <f>'Profit &amp; Loss'!A486</f>
        <v>0</v>
      </c>
      <c r="B486" s="33">
        <f>'Profit &amp; Loss'!B486</f>
        <v>0</v>
      </c>
      <c r="C486" s="33"/>
      <c r="D486" s="33"/>
      <c r="E486" s="33"/>
      <c r="F486" s="33"/>
      <c r="G486" s="33"/>
      <c r="H486" s="33"/>
      <c r="I486" s="33"/>
      <c r="J486" s="33"/>
    </row>
    <row r="487" spans="1:10" ht="12.5" x14ac:dyDescent="0.25">
      <c r="A487" s="63">
        <f>'Profit &amp; Loss'!A487</f>
        <v>0</v>
      </c>
      <c r="B487" s="33">
        <f>'Profit &amp; Loss'!B487</f>
        <v>0</v>
      </c>
      <c r="C487" s="33"/>
      <c r="D487" s="33"/>
      <c r="E487" s="33"/>
      <c r="F487" s="33"/>
      <c r="G487" s="33"/>
      <c r="H487" s="33"/>
      <c r="I487" s="33"/>
      <c r="J487" s="33"/>
    </row>
    <row r="488" spans="1:10" ht="12.5" x14ac:dyDescent="0.25">
      <c r="A488" s="63">
        <f>'Profit &amp; Loss'!A488</f>
        <v>0</v>
      </c>
      <c r="B488" s="33">
        <f>'Profit &amp; Loss'!B488</f>
        <v>0</v>
      </c>
      <c r="C488" s="33"/>
      <c r="D488" s="33"/>
      <c r="E488" s="33"/>
      <c r="F488" s="33"/>
      <c r="G488" s="33"/>
      <c r="H488" s="33"/>
      <c r="I488" s="33"/>
      <c r="J488" s="33"/>
    </row>
    <row r="489" spans="1:10" ht="12.5" x14ac:dyDescent="0.25">
      <c r="A489" s="63">
        <f>'Profit &amp; Loss'!A489</f>
        <v>0</v>
      </c>
      <c r="B489" s="33">
        <f>'Profit &amp; Loss'!B489</f>
        <v>0</v>
      </c>
      <c r="C489" s="33"/>
      <c r="D489" s="33"/>
      <c r="E489" s="33"/>
      <c r="F489" s="33"/>
      <c r="G489" s="33"/>
      <c r="H489" s="33"/>
      <c r="I489" s="33"/>
      <c r="J489" s="33"/>
    </row>
    <row r="490" spans="1:10" ht="12.5" x14ac:dyDescent="0.25">
      <c r="A490" s="63">
        <f>'Profit &amp; Loss'!A490</f>
        <v>0</v>
      </c>
      <c r="B490" s="33">
        <f>'Profit &amp; Loss'!B490</f>
        <v>0</v>
      </c>
      <c r="C490" s="33"/>
      <c r="D490" s="33"/>
      <c r="E490" s="33"/>
      <c r="F490" s="33"/>
      <c r="G490" s="33"/>
      <c r="H490" s="33"/>
      <c r="I490" s="33"/>
      <c r="J490" s="33"/>
    </row>
    <row r="491" spans="1:10" ht="12.5" x14ac:dyDescent="0.25">
      <c r="A491" s="63">
        <f>'Profit &amp; Loss'!A491</f>
        <v>0</v>
      </c>
      <c r="B491" s="33">
        <f>'Profit &amp; Loss'!B491</f>
        <v>0</v>
      </c>
      <c r="C491" s="33"/>
      <c r="D491" s="33"/>
      <c r="E491" s="33"/>
      <c r="F491" s="33"/>
      <c r="G491" s="33"/>
      <c r="H491" s="33"/>
      <c r="I491" s="33"/>
      <c r="J491" s="33"/>
    </row>
    <row r="492" spans="1:10" ht="12.5" x14ac:dyDescent="0.25">
      <c r="A492" s="63">
        <f>'Profit &amp; Loss'!A492</f>
        <v>0</v>
      </c>
      <c r="B492" s="33">
        <f>'Profit &amp; Loss'!B492</f>
        <v>0</v>
      </c>
      <c r="C492" s="33"/>
      <c r="D492" s="33"/>
      <c r="E492" s="33"/>
      <c r="F492" s="33"/>
      <c r="G492" s="33"/>
      <c r="H492" s="33"/>
      <c r="I492" s="33"/>
      <c r="J492" s="33"/>
    </row>
    <row r="493" spans="1:10" ht="12.5" x14ac:dyDescent="0.25">
      <c r="A493" s="63">
        <f>'Profit &amp; Loss'!A493</f>
        <v>0</v>
      </c>
      <c r="B493" s="33">
        <f>'Profit &amp; Loss'!B493</f>
        <v>0</v>
      </c>
      <c r="C493" s="33"/>
      <c r="D493" s="33"/>
      <c r="E493" s="33"/>
      <c r="F493" s="33"/>
      <c r="G493" s="33"/>
      <c r="H493" s="33"/>
      <c r="I493" s="33"/>
      <c r="J493" s="33"/>
    </row>
    <row r="494" spans="1:10" ht="12.5" x14ac:dyDescent="0.25">
      <c r="A494" s="63">
        <f>'Profit &amp; Loss'!A494</f>
        <v>0</v>
      </c>
      <c r="B494" s="33">
        <f>'Profit &amp; Loss'!B494</f>
        <v>0</v>
      </c>
      <c r="C494" s="33"/>
      <c r="D494" s="33"/>
      <c r="E494" s="33"/>
      <c r="F494" s="33"/>
      <c r="G494" s="33"/>
      <c r="H494" s="33"/>
      <c r="I494" s="33"/>
      <c r="J494" s="33"/>
    </row>
    <row r="495" spans="1:10" ht="12.5" x14ac:dyDescent="0.25">
      <c r="A495" s="63">
        <f>'Profit &amp; Loss'!A495</f>
        <v>0</v>
      </c>
      <c r="B495" s="33">
        <f>'Profit &amp; Loss'!B495</f>
        <v>0</v>
      </c>
      <c r="C495" s="33"/>
      <c r="D495" s="33"/>
      <c r="E495" s="33"/>
      <c r="F495" s="33"/>
      <c r="G495" s="33"/>
      <c r="H495" s="33"/>
      <c r="I495" s="33"/>
      <c r="J495" s="33"/>
    </row>
    <row r="496" spans="1:10" ht="12.5" x14ac:dyDescent="0.25">
      <c r="A496" s="63">
        <f>'Profit &amp; Loss'!A496</f>
        <v>0</v>
      </c>
      <c r="B496" s="33">
        <f>'Profit &amp; Loss'!B496</f>
        <v>0</v>
      </c>
      <c r="C496" s="33"/>
      <c r="D496" s="33"/>
      <c r="E496" s="33"/>
      <c r="F496" s="33"/>
      <c r="G496" s="33"/>
      <c r="H496" s="33"/>
      <c r="I496" s="33"/>
      <c r="J496" s="33"/>
    </row>
    <row r="497" spans="1:10" ht="12.5" x14ac:dyDescent="0.25">
      <c r="A497" s="63">
        <f>'Profit &amp; Loss'!A497</f>
        <v>0</v>
      </c>
      <c r="B497" s="33">
        <f>'Profit &amp; Loss'!B497</f>
        <v>0</v>
      </c>
      <c r="C497" s="33"/>
      <c r="D497" s="33"/>
      <c r="E497" s="33"/>
      <c r="F497" s="33"/>
      <c r="G497" s="33"/>
      <c r="H497" s="33"/>
      <c r="I497" s="33"/>
      <c r="J497" s="33"/>
    </row>
    <row r="498" spans="1:10" ht="12.5" x14ac:dyDescent="0.25">
      <c r="A498" s="63">
        <f>'Profit &amp; Loss'!A498</f>
        <v>0</v>
      </c>
      <c r="B498" s="33">
        <f>'Profit &amp; Loss'!B498</f>
        <v>0</v>
      </c>
      <c r="C498" s="33"/>
      <c r="D498" s="33"/>
      <c r="E498" s="33"/>
      <c r="F498" s="33"/>
      <c r="G498" s="33"/>
      <c r="H498" s="33"/>
      <c r="I498" s="33"/>
      <c r="J498" s="33"/>
    </row>
    <row r="499" spans="1:10" ht="12.5" x14ac:dyDescent="0.25">
      <c r="A499" s="63">
        <f>'Profit &amp; Loss'!A499</f>
        <v>0</v>
      </c>
      <c r="B499" s="33">
        <f>'Profit &amp; Loss'!B499</f>
        <v>0</v>
      </c>
      <c r="C499" s="33"/>
      <c r="D499" s="33"/>
      <c r="E499" s="33"/>
      <c r="F499" s="33"/>
      <c r="G499" s="33"/>
      <c r="H499" s="33"/>
      <c r="I499" s="33"/>
      <c r="J499" s="33"/>
    </row>
    <row r="500" spans="1:10" ht="12.5" x14ac:dyDescent="0.25">
      <c r="A500" s="63">
        <f>'Profit &amp; Loss'!A500</f>
        <v>0</v>
      </c>
      <c r="B500" s="33">
        <f>'Profit &amp; Loss'!B500</f>
        <v>0</v>
      </c>
      <c r="C500" s="33"/>
      <c r="D500" s="33"/>
      <c r="E500" s="33"/>
      <c r="F500" s="33"/>
      <c r="G500" s="33"/>
      <c r="H500" s="33"/>
      <c r="I500" s="33"/>
      <c r="J500" s="33"/>
    </row>
    <row r="501" spans="1:10" ht="12.5" x14ac:dyDescent="0.25">
      <c r="A501" s="63">
        <f>'Profit &amp; Loss'!A501</f>
        <v>0</v>
      </c>
      <c r="B501" s="33">
        <f>'Profit &amp; Loss'!B501</f>
        <v>0</v>
      </c>
      <c r="C501" s="33"/>
      <c r="D501" s="33"/>
      <c r="E501" s="33"/>
      <c r="F501" s="33"/>
      <c r="G501" s="33"/>
      <c r="H501" s="33"/>
      <c r="I501" s="33"/>
      <c r="J501" s="33"/>
    </row>
    <row r="502" spans="1:10" ht="12.5" x14ac:dyDescent="0.25">
      <c r="A502" s="63">
        <f>'Profit &amp; Loss'!A502</f>
        <v>0</v>
      </c>
      <c r="B502" s="33">
        <f>'Profit &amp; Loss'!B502</f>
        <v>0</v>
      </c>
      <c r="C502" s="33"/>
      <c r="D502" s="33"/>
      <c r="E502" s="33"/>
      <c r="F502" s="33"/>
      <c r="G502" s="33"/>
      <c r="H502" s="33"/>
      <c r="I502" s="33"/>
      <c r="J502" s="33"/>
    </row>
    <row r="503" spans="1:10" ht="12.5" x14ac:dyDescent="0.25">
      <c r="A503" s="63">
        <f>'Profit &amp; Loss'!A503</f>
        <v>0</v>
      </c>
      <c r="B503" s="33">
        <f>'Profit &amp; Loss'!B503</f>
        <v>0</v>
      </c>
      <c r="C503" s="33"/>
      <c r="D503" s="33"/>
      <c r="E503" s="33"/>
      <c r="F503" s="33"/>
      <c r="G503" s="33"/>
      <c r="H503" s="33"/>
      <c r="I503" s="33"/>
      <c r="J503" s="33"/>
    </row>
    <row r="504" spans="1:10" ht="12.5" x14ac:dyDescent="0.25">
      <c r="A504" s="63">
        <f>'Profit &amp; Loss'!A504</f>
        <v>0</v>
      </c>
      <c r="B504" s="33">
        <f>'Profit &amp; Loss'!B504</f>
        <v>0</v>
      </c>
      <c r="C504" s="33"/>
      <c r="D504" s="33"/>
      <c r="E504" s="33"/>
      <c r="F504" s="33"/>
      <c r="G504" s="33"/>
      <c r="H504" s="33"/>
      <c r="I504" s="33"/>
      <c r="J504" s="33"/>
    </row>
    <row r="505" spans="1:10" ht="12.5" x14ac:dyDescent="0.25">
      <c r="A505" s="63">
        <f>'Profit &amp; Loss'!A505</f>
        <v>0</v>
      </c>
      <c r="B505" s="33">
        <f>'Profit &amp; Loss'!B505</f>
        <v>0</v>
      </c>
      <c r="C505" s="33"/>
      <c r="D505" s="33"/>
      <c r="E505" s="33"/>
      <c r="F505" s="33"/>
      <c r="G505" s="33"/>
      <c r="H505" s="33"/>
      <c r="I505" s="33"/>
      <c r="J505" s="33"/>
    </row>
    <row r="506" spans="1:10" ht="12.5" x14ac:dyDescent="0.25">
      <c r="A506" s="63">
        <f>'Profit &amp; Loss'!A506</f>
        <v>0</v>
      </c>
      <c r="B506" s="33">
        <f>'Profit &amp; Loss'!B506</f>
        <v>0</v>
      </c>
      <c r="C506" s="33"/>
      <c r="D506" s="33"/>
      <c r="E506" s="33"/>
      <c r="F506" s="33"/>
      <c r="G506" s="33"/>
      <c r="H506" s="33"/>
      <c r="I506" s="33"/>
      <c r="J506" s="33"/>
    </row>
    <row r="507" spans="1:10" ht="12.5" x14ac:dyDescent="0.25">
      <c r="A507" s="63">
        <f>'Profit &amp; Loss'!A507</f>
        <v>0</v>
      </c>
      <c r="B507" s="33">
        <f>'Profit &amp; Loss'!B507</f>
        <v>0</v>
      </c>
      <c r="C507" s="33"/>
      <c r="D507" s="33"/>
      <c r="E507" s="33"/>
      <c r="F507" s="33"/>
      <c r="G507" s="33"/>
      <c r="H507" s="33"/>
      <c r="I507" s="33"/>
      <c r="J507" s="33"/>
    </row>
    <row r="508" spans="1:10" ht="12.5" x14ac:dyDescent="0.25">
      <c r="A508" s="63">
        <f>'Profit &amp; Loss'!A508</f>
        <v>0</v>
      </c>
      <c r="B508" s="33">
        <f>'Profit &amp; Loss'!B508</f>
        <v>0</v>
      </c>
      <c r="C508" s="33"/>
      <c r="D508" s="33"/>
      <c r="E508" s="33"/>
      <c r="F508" s="33"/>
      <c r="G508" s="33"/>
      <c r="H508" s="33"/>
      <c r="I508" s="33"/>
      <c r="J508" s="33"/>
    </row>
    <row r="509" spans="1:10" ht="12.5" x14ac:dyDescent="0.25">
      <c r="A509" s="63">
        <f>'Profit &amp; Loss'!A509</f>
        <v>0</v>
      </c>
      <c r="B509" s="33">
        <f>'Profit &amp; Loss'!B509</f>
        <v>0</v>
      </c>
      <c r="C509" s="33"/>
      <c r="D509" s="33"/>
      <c r="E509" s="33"/>
      <c r="F509" s="33"/>
      <c r="G509" s="33"/>
      <c r="H509" s="33"/>
      <c r="I509" s="33"/>
      <c r="J509" s="33"/>
    </row>
    <row r="510" spans="1:10" ht="12.5" x14ac:dyDescent="0.25">
      <c r="A510" s="63">
        <f>'Profit &amp; Loss'!A510</f>
        <v>0</v>
      </c>
      <c r="B510" s="33">
        <f>'Profit &amp; Loss'!B510</f>
        <v>0</v>
      </c>
      <c r="C510" s="33"/>
      <c r="D510" s="33"/>
      <c r="E510" s="33"/>
      <c r="F510" s="33"/>
      <c r="G510" s="33"/>
      <c r="H510" s="33"/>
      <c r="I510" s="33"/>
      <c r="J510" s="33"/>
    </row>
    <row r="511" spans="1:10" ht="12.5" x14ac:dyDescent="0.25">
      <c r="A511" s="63">
        <f>'Profit &amp; Loss'!A511</f>
        <v>0</v>
      </c>
      <c r="B511" s="33">
        <f>'Profit &amp; Loss'!B511</f>
        <v>0</v>
      </c>
      <c r="C511" s="33"/>
      <c r="D511" s="33"/>
      <c r="E511" s="33"/>
      <c r="F511" s="33"/>
      <c r="G511" s="33"/>
      <c r="H511" s="33"/>
      <c r="I511" s="33"/>
      <c r="J511" s="33"/>
    </row>
    <row r="512" spans="1:10" ht="12.5" x14ac:dyDescent="0.25">
      <c r="A512" s="63">
        <f>'Profit &amp; Loss'!A512</f>
        <v>0</v>
      </c>
      <c r="B512" s="33">
        <f>'Profit &amp; Loss'!B512</f>
        <v>0</v>
      </c>
      <c r="C512" s="33"/>
      <c r="D512" s="33"/>
      <c r="E512" s="33"/>
      <c r="F512" s="33"/>
      <c r="G512" s="33"/>
      <c r="H512" s="33"/>
      <c r="I512" s="33"/>
      <c r="J512" s="33"/>
    </row>
    <row r="513" spans="1:10" ht="12.5" x14ac:dyDescent="0.25">
      <c r="A513" s="63">
        <f>'Profit &amp; Loss'!A513</f>
        <v>0</v>
      </c>
      <c r="B513" s="33">
        <f>'Profit &amp; Loss'!B513</f>
        <v>0</v>
      </c>
      <c r="C513" s="33"/>
      <c r="D513" s="33"/>
      <c r="E513" s="33"/>
      <c r="F513" s="33"/>
      <c r="G513" s="33"/>
      <c r="H513" s="33"/>
      <c r="I513" s="33"/>
      <c r="J513" s="33"/>
    </row>
    <row r="514" spans="1:10" ht="12.5" x14ac:dyDescent="0.25">
      <c r="A514" s="63">
        <f>'Profit &amp; Loss'!A514</f>
        <v>0</v>
      </c>
      <c r="B514" s="33">
        <f>'Profit &amp; Loss'!B514</f>
        <v>0</v>
      </c>
      <c r="C514" s="33"/>
      <c r="D514" s="33"/>
      <c r="E514" s="33"/>
      <c r="F514" s="33"/>
      <c r="G514" s="33"/>
      <c r="H514" s="33"/>
      <c r="I514" s="33"/>
      <c r="J514" s="33"/>
    </row>
    <row r="515" spans="1:10" ht="12.5" x14ac:dyDescent="0.25">
      <c r="A515" s="63">
        <f>'Profit &amp; Loss'!A515</f>
        <v>0</v>
      </c>
      <c r="B515" s="33">
        <f>'Profit &amp; Loss'!B515</f>
        <v>0</v>
      </c>
      <c r="C515" s="33"/>
      <c r="D515" s="33"/>
      <c r="E515" s="33"/>
      <c r="F515" s="33"/>
      <c r="G515" s="33"/>
      <c r="H515" s="33"/>
      <c r="I515" s="33"/>
      <c r="J515" s="33"/>
    </row>
    <row r="516" spans="1:10" ht="12.5" x14ac:dyDescent="0.25">
      <c r="A516" s="63">
        <f>'Profit &amp; Loss'!A516</f>
        <v>0</v>
      </c>
      <c r="B516" s="33">
        <f>'Profit &amp; Loss'!B516</f>
        <v>0</v>
      </c>
      <c r="C516" s="33"/>
      <c r="D516" s="33"/>
      <c r="E516" s="33"/>
      <c r="F516" s="33"/>
      <c r="G516" s="33"/>
      <c r="H516" s="33"/>
      <c r="I516" s="33"/>
      <c r="J516" s="33"/>
    </row>
    <row r="517" spans="1:10" ht="12.5" x14ac:dyDescent="0.25">
      <c r="A517" s="63">
        <f>'Profit &amp; Loss'!A517</f>
        <v>0</v>
      </c>
      <c r="B517" s="33">
        <f>'Profit &amp; Loss'!B517</f>
        <v>0</v>
      </c>
      <c r="C517" s="33"/>
      <c r="D517" s="33"/>
      <c r="E517" s="33"/>
      <c r="F517" s="33"/>
      <c r="G517" s="33"/>
      <c r="H517" s="33"/>
      <c r="I517" s="33"/>
      <c r="J517" s="33"/>
    </row>
    <row r="518" spans="1:10" ht="12.5" x14ac:dyDescent="0.25">
      <c r="A518" s="63">
        <f>'Profit &amp; Loss'!A518</f>
        <v>0</v>
      </c>
      <c r="B518" s="33">
        <f>'Profit &amp; Loss'!B518</f>
        <v>0</v>
      </c>
      <c r="C518" s="33"/>
      <c r="D518" s="33"/>
      <c r="E518" s="33"/>
      <c r="F518" s="33"/>
      <c r="G518" s="33"/>
      <c r="H518" s="33"/>
      <c r="I518" s="33"/>
      <c r="J518" s="33"/>
    </row>
    <row r="519" spans="1:10" ht="12.5" x14ac:dyDescent="0.25">
      <c r="A519" s="63">
        <f>'Profit &amp; Loss'!A519</f>
        <v>0</v>
      </c>
      <c r="B519" s="33">
        <f>'Profit &amp; Loss'!B519</f>
        <v>0</v>
      </c>
      <c r="C519" s="33"/>
      <c r="D519" s="33"/>
      <c r="E519" s="33"/>
      <c r="F519" s="33"/>
      <c r="G519" s="33"/>
      <c r="H519" s="33"/>
      <c r="I519" s="33"/>
      <c r="J519" s="33"/>
    </row>
    <row r="520" spans="1:10" ht="12.5" x14ac:dyDescent="0.25">
      <c r="A520" s="63">
        <f>'Profit &amp; Loss'!A520</f>
        <v>0</v>
      </c>
      <c r="B520" s="33">
        <f>'Profit &amp; Loss'!B520</f>
        <v>0</v>
      </c>
      <c r="C520" s="33"/>
      <c r="D520" s="33"/>
      <c r="E520" s="33"/>
      <c r="F520" s="33"/>
      <c r="G520" s="33"/>
      <c r="H520" s="33"/>
      <c r="I520" s="33"/>
      <c r="J520" s="33"/>
    </row>
    <row r="521" spans="1:10" ht="12.5" x14ac:dyDescent="0.25">
      <c r="A521" s="63">
        <f>'Profit &amp; Loss'!A521</f>
        <v>0</v>
      </c>
      <c r="B521" s="33">
        <f>'Profit &amp; Loss'!B521</f>
        <v>0</v>
      </c>
      <c r="C521" s="33"/>
      <c r="D521" s="33"/>
      <c r="E521" s="33"/>
      <c r="F521" s="33"/>
      <c r="G521" s="33"/>
      <c r="H521" s="33"/>
      <c r="I521" s="33"/>
      <c r="J521" s="33"/>
    </row>
    <row r="522" spans="1:10" ht="12.5" x14ac:dyDescent="0.25">
      <c r="A522" s="63">
        <f>'Profit &amp; Loss'!A522</f>
        <v>0</v>
      </c>
      <c r="B522" s="33">
        <f>'Profit &amp; Loss'!B522</f>
        <v>0</v>
      </c>
      <c r="C522" s="33"/>
      <c r="D522" s="33"/>
      <c r="E522" s="33"/>
      <c r="F522" s="33"/>
      <c r="G522" s="33"/>
      <c r="H522" s="33"/>
      <c r="I522" s="33"/>
      <c r="J522" s="33"/>
    </row>
    <row r="523" spans="1:10" ht="12.5" x14ac:dyDescent="0.25">
      <c r="A523" s="63">
        <f>'Profit &amp; Loss'!A523</f>
        <v>0</v>
      </c>
      <c r="B523" s="33">
        <f>'Profit &amp; Loss'!B523</f>
        <v>0</v>
      </c>
      <c r="C523" s="33"/>
      <c r="D523" s="33"/>
      <c r="E523" s="33"/>
      <c r="F523" s="33"/>
      <c r="G523" s="33"/>
      <c r="H523" s="33"/>
      <c r="I523" s="33"/>
      <c r="J523" s="33"/>
    </row>
    <row r="524" spans="1:10" ht="12.5" x14ac:dyDescent="0.25">
      <c r="A524" s="63">
        <f>'Profit &amp; Loss'!A524</f>
        <v>0</v>
      </c>
      <c r="B524" s="33">
        <f>'Profit &amp; Loss'!B524</f>
        <v>0</v>
      </c>
      <c r="C524" s="33"/>
      <c r="D524" s="33"/>
      <c r="E524" s="33"/>
      <c r="F524" s="33"/>
      <c r="G524" s="33"/>
      <c r="H524" s="33"/>
      <c r="I524" s="33"/>
      <c r="J524" s="33"/>
    </row>
    <row r="525" spans="1:10" ht="12.5" x14ac:dyDescent="0.25">
      <c r="A525" s="63">
        <f>'Profit &amp; Loss'!A525</f>
        <v>0</v>
      </c>
      <c r="B525" s="33">
        <f>'Profit &amp; Loss'!B525</f>
        <v>0</v>
      </c>
      <c r="C525" s="33"/>
      <c r="D525" s="33"/>
      <c r="E525" s="33"/>
      <c r="F525" s="33"/>
      <c r="G525" s="33"/>
      <c r="H525" s="33"/>
      <c r="I525" s="33"/>
      <c r="J525" s="33"/>
    </row>
    <row r="526" spans="1:10" ht="12.5" x14ac:dyDescent="0.25">
      <c r="A526" s="63">
        <f>'Profit &amp; Loss'!A526</f>
        <v>0</v>
      </c>
      <c r="B526" s="33">
        <f>'Profit &amp; Loss'!B526</f>
        <v>0</v>
      </c>
      <c r="C526" s="33"/>
      <c r="D526" s="33"/>
      <c r="E526" s="33"/>
      <c r="F526" s="33"/>
      <c r="G526" s="33"/>
      <c r="H526" s="33"/>
      <c r="I526" s="33"/>
      <c r="J526" s="33"/>
    </row>
    <row r="527" spans="1:10" ht="12.5" x14ac:dyDescent="0.25">
      <c r="A527" s="63">
        <f>'Profit &amp; Loss'!A527</f>
        <v>0</v>
      </c>
      <c r="B527" s="33">
        <f>'Profit &amp; Loss'!B527</f>
        <v>0</v>
      </c>
      <c r="C527" s="33"/>
      <c r="D527" s="33"/>
      <c r="E527" s="33"/>
      <c r="F527" s="33"/>
      <c r="G527" s="33"/>
      <c r="H527" s="33"/>
      <c r="I527" s="33"/>
      <c r="J527" s="33"/>
    </row>
    <row r="528" spans="1:10" ht="12.5" x14ac:dyDescent="0.25">
      <c r="A528" s="63">
        <f>'Profit &amp; Loss'!A528</f>
        <v>0</v>
      </c>
      <c r="B528" s="33">
        <f>'Profit &amp; Loss'!B528</f>
        <v>0</v>
      </c>
      <c r="C528" s="33"/>
      <c r="D528" s="33"/>
      <c r="E528" s="33"/>
      <c r="F528" s="33"/>
      <c r="G528" s="33"/>
      <c r="H528" s="33"/>
      <c r="I528" s="33"/>
      <c r="J528" s="33"/>
    </row>
    <row r="529" spans="1:10" ht="12.5" x14ac:dyDescent="0.25">
      <c r="A529" s="63">
        <f>'Profit &amp; Loss'!A529</f>
        <v>0</v>
      </c>
      <c r="B529" s="33">
        <f>'Profit &amp; Loss'!B529</f>
        <v>0</v>
      </c>
      <c r="C529" s="33"/>
      <c r="D529" s="33"/>
      <c r="E529" s="33"/>
      <c r="F529" s="33"/>
      <c r="G529" s="33"/>
      <c r="H529" s="33"/>
      <c r="I529" s="33"/>
      <c r="J529" s="33"/>
    </row>
    <row r="530" spans="1:10" ht="12.5" x14ac:dyDescent="0.25">
      <c r="A530" s="63">
        <f>'Profit &amp; Loss'!A530</f>
        <v>0</v>
      </c>
      <c r="B530" s="33">
        <f>'Profit &amp; Loss'!B530</f>
        <v>0</v>
      </c>
      <c r="C530" s="33"/>
      <c r="D530" s="33"/>
      <c r="E530" s="33"/>
      <c r="F530" s="33"/>
      <c r="G530" s="33"/>
      <c r="H530" s="33"/>
      <c r="I530" s="33"/>
      <c r="J530" s="33"/>
    </row>
    <row r="531" spans="1:10" ht="12.5" x14ac:dyDescent="0.25">
      <c r="A531" s="63">
        <f>'Profit &amp; Loss'!A531</f>
        <v>0</v>
      </c>
      <c r="B531" s="33">
        <f>'Profit &amp; Loss'!B531</f>
        <v>0</v>
      </c>
      <c r="C531" s="33"/>
      <c r="D531" s="33"/>
      <c r="E531" s="33"/>
      <c r="F531" s="33"/>
      <c r="G531" s="33"/>
      <c r="H531" s="33"/>
      <c r="I531" s="33"/>
      <c r="J531" s="33"/>
    </row>
    <row r="532" spans="1:10" ht="12.5" x14ac:dyDescent="0.25">
      <c r="A532" s="63">
        <f>'Profit &amp; Loss'!A532</f>
        <v>0</v>
      </c>
      <c r="B532" s="33">
        <f>'Profit &amp; Loss'!B532</f>
        <v>0</v>
      </c>
      <c r="C532" s="33"/>
      <c r="D532" s="33"/>
      <c r="E532" s="33"/>
      <c r="F532" s="33"/>
      <c r="G532" s="33"/>
      <c r="H532" s="33"/>
      <c r="I532" s="33"/>
      <c r="J532" s="33"/>
    </row>
    <row r="533" spans="1:10" ht="12.5" x14ac:dyDescent="0.25">
      <c r="A533" s="63">
        <f>'Profit &amp; Loss'!A533</f>
        <v>0</v>
      </c>
      <c r="B533" s="33">
        <f>'Profit &amp; Loss'!B533</f>
        <v>0</v>
      </c>
      <c r="C533" s="33"/>
      <c r="D533" s="33"/>
      <c r="E533" s="33"/>
      <c r="F533" s="33"/>
      <c r="G533" s="33"/>
      <c r="H533" s="33"/>
      <c r="I533" s="33"/>
      <c r="J533" s="33"/>
    </row>
    <row r="534" spans="1:10" ht="12.5" x14ac:dyDescent="0.25">
      <c r="A534" s="63">
        <f>'Profit &amp; Loss'!A534</f>
        <v>0</v>
      </c>
      <c r="B534" s="33">
        <f>'Profit &amp; Loss'!B534</f>
        <v>0</v>
      </c>
      <c r="C534" s="33"/>
      <c r="D534" s="33"/>
      <c r="E534" s="33"/>
      <c r="F534" s="33"/>
      <c r="G534" s="33"/>
      <c r="H534" s="33"/>
      <c r="I534" s="33"/>
      <c r="J534" s="33"/>
    </row>
    <row r="535" spans="1:10" ht="12.5" x14ac:dyDescent="0.25">
      <c r="A535" s="63">
        <f>'Profit &amp; Loss'!A535</f>
        <v>0</v>
      </c>
      <c r="B535" s="33">
        <f>'Profit &amp; Loss'!B535</f>
        <v>0</v>
      </c>
      <c r="C535" s="33"/>
      <c r="D535" s="33"/>
      <c r="E535" s="33"/>
      <c r="F535" s="33"/>
      <c r="G535" s="33"/>
      <c r="H535" s="33"/>
      <c r="I535" s="33"/>
      <c r="J535" s="33"/>
    </row>
    <row r="536" spans="1:10" ht="12.5" x14ac:dyDescent="0.25">
      <c r="A536" s="63">
        <f>'Profit &amp; Loss'!A536</f>
        <v>0</v>
      </c>
      <c r="B536" s="33">
        <f>'Profit &amp; Loss'!B536</f>
        <v>0</v>
      </c>
      <c r="C536" s="33"/>
      <c r="D536" s="33"/>
      <c r="E536" s="33"/>
      <c r="F536" s="33"/>
      <c r="G536" s="33"/>
      <c r="H536" s="33"/>
      <c r="I536" s="33"/>
      <c r="J536" s="33"/>
    </row>
    <row r="537" spans="1:10" ht="12.5" x14ac:dyDescent="0.25">
      <c r="A537" s="63">
        <f>'Profit &amp; Loss'!A537</f>
        <v>0</v>
      </c>
      <c r="B537" s="33">
        <f>'Profit &amp; Loss'!B537</f>
        <v>0</v>
      </c>
      <c r="C537" s="33"/>
      <c r="D537" s="33"/>
      <c r="E537" s="33"/>
      <c r="F537" s="33"/>
      <c r="G537" s="33"/>
      <c r="H537" s="33"/>
      <c r="I537" s="33"/>
      <c r="J537" s="33"/>
    </row>
    <row r="538" spans="1:10" ht="12.5" x14ac:dyDescent="0.25">
      <c r="A538" s="63">
        <f>'Profit &amp; Loss'!A538</f>
        <v>0</v>
      </c>
      <c r="B538" s="33">
        <f>'Profit &amp; Loss'!B538</f>
        <v>0</v>
      </c>
      <c r="C538" s="33"/>
      <c r="D538" s="33"/>
      <c r="E538" s="33"/>
      <c r="F538" s="33"/>
      <c r="G538" s="33"/>
      <c r="H538" s="33"/>
      <c r="I538" s="33"/>
      <c r="J538" s="33"/>
    </row>
    <row r="539" spans="1:10" ht="12.5" x14ac:dyDescent="0.25">
      <c r="A539" s="63">
        <f>'Profit &amp; Loss'!A539</f>
        <v>0</v>
      </c>
      <c r="B539" s="33">
        <f>'Profit &amp; Loss'!B539</f>
        <v>0</v>
      </c>
      <c r="C539" s="33"/>
      <c r="D539" s="33"/>
      <c r="E539" s="33"/>
      <c r="F539" s="33"/>
      <c r="G539" s="33"/>
      <c r="H539" s="33"/>
      <c r="I539" s="33"/>
      <c r="J539" s="33"/>
    </row>
    <row r="540" spans="1:10" ht="12.5" x14ac:dyDescent="0.25">
      <c r="A540" s="63">
        <f>'Profit &amp; Loss'!A540</f>
        <v>0</v>
      </c>
      <c r="B540" s="33">
        <f>'Profit &amp; Loss'!B540</f>
        <v>0</v>
      </c>
      <c r="C540" s="33"/>
      <c r="D540" s="33"/>
      <c r="E540" s="33"/>
      <c r="F540" s="33"/>
      <c r="G540" s="33"/>
      <c r="H540" s="33"/>
      <c r="I540" s="33"/>
      <c r="J540" s="33"/>
    </row>
    <row r="541" spans="1:10" ht="12.5" x14ac:dyDescent="0.25">
      <c r="A541" s="63">
        <f>'Profit &amp; Loss'!A541</f>
        <v>0</v>
      </c>
      <c r="B541" s="33">
        <f>'Profit &amp; Loss'!B541</f>
        <v>0</v>
      </c>
      <c r="C541" s="33"/>
      <c r="D541" s="33"/>
      <c r="E541" s="33"/>
      <c r="F541" s="33"/>
      <c r="G541" s="33"/>
      <c r="H541" s="33"/>
      <c r="I541" s="33"/>
      <c r="J541" s="33"/>
    </row>
    <row r="542" spans="1:10" ht="12.5" x14ac:dyDescent="0.25">
      <c r="A542" s="63">
        <f>'Profit &amp; Loss'!A542</f>
        <v>0</v>
      </c>
      <c r="B542" s="33">
        <f>'Profit &amp; Loss'!B542</f>
        <v>0</v>
      </c>
      <c r="C542" s="33"/>
      <c r="D542" s="33"/>
      <c r="E542" s="33"/>
      <c r="F542" s="33"/>
      <c r="G542" s="33"/>
      <c r="H542" s="33"/>
      <c r="I542" s="33"/>
      <c r="J542" s="33"/>
    </row>
    <row r="543" spans="1:10" ht="12.5" x14ac:dyDescent="0.25">
      <c r="A543" s="63">
        <f>'Profit &amp; Loss'!A543</f>
        <v>0</v>
      </c>
      <c r="B543" s="33">
        <f>'Profit &amp; Loss'!B543</f>
        <v>0</v>
      </c>
      <c r="C543" s="33"/>
      <c r="D543" s="33"/>
      <c r="E543" s="33"/>
      <c r="F543" s="33"/>
      <c r="G543" s="33"/>
      <c r="H543" s="33"/>
      <c r="I543" s="33"/>
      <c r="J543" s="33"/>
    </row>
    <row r="544" spans="1:10" ht="12.5" x14ac:dyDescent="0.25">
      <c r="A544" s="63">
        <f>'Profit &amp; Loss'!A544</f>
        <v>0</v>
      </c>
      <c r="B544" s="33">
        <f>'Profit &amp; Loss'!B544</f>
        <v>0</v>
      </c>
      <c r="C544" s="33"/>
      <c r="D544" s="33"/>
      <c r="E544" s="33"/>
      <c r="F544" s="33"/>
      <c r="G544" s="33"/>
      <c r="H544" s="33"/>
      <c r="I544" s="33"/>
      <c r="J544" s="33"/>
    </row>
    <row r="545" spans="1:10" ht="12.5" x14ac:dyDescent="0.25">
      <c r="A545" s="63">
        <f>'Profit &amp; Loss'!A545</f>
        <v>0</v>
      </c>
      <c r="B545" s="33">
        <f>'Profit &amp; Loss'!B545</f>
        <v>0</v>
      </c>
      <c r="C545" s="33"/>
      <c r="D545" s="33"/>
      <c r="E545" s="33"/>
      <c r="F545" s="33"/>
      <c r="G545" s="33"/>
      <c r="H545" s="33"/>
      <c r="I545" s="33"/>
      <c r="J545" s="33"/>
    </row>
    <row r="546" spans="1:10" ht="12.5" x14ac:dyDescent="0.25">
      <c r="A546" s="63">
        <f>'Profit &amp; Loss'!A546</f>
        <v>0</v>
      </c>
      <c r="B546" s="33">
        <f>'Profit &amp; Loss'!B546</f>
        <v>0</v>
      </c>
      <c r="C546" s="33"/>
      <c r="D546" s="33"/>
      <c r="E546" s="33"/>
      <c r="F546" s="33"/>
      <c r="G546" s="33"/>
      <c r="H546" s="33"/>
      <c r="I546" s="33"/>
      <c r="J546" s="33"/>
    </row>
    <row r="547" spans="1:10" ht="12.5" x14ac:dyDescent="0.25">
      <c r="A547" s="63">
        <f>'Profit &amp; Loss'!A547</f>
        <v>0</v>
      </c>
      <c r="B547" s="33">
        <f>'Profit &amp; Loss'!B547</f>
        <v>0</v>
      </c>
      <c r="C547" s="33"/>
      <c r="D547" s="33"/>
      <c r="E547" s="33"/>
      <c r="F547" s="33"/>
      <c r="G547" s="33"/>
      <c r="H547" s="33"/>
      <c r="I547" s="33"/>
      <c r="J547" s="33"/>
    </row>
    <row r="548" spans="1:10" ht="12.5" x14ac:dyDescent="0.25">
      <c r="A548" s="63">
        <f>'Profit &amp; Loss'!A548</f>
        <v>0</v>
      </c>
      <c r="B548" s="33">
        <f>'Profit &amp; Loss'!B548</f>
        <v>0</v>
      </c>
      <c r="C548" s="33"/>
      <c r="D548" s="33"/>
      <c r="E548" s="33"/>
      <c r="F548" s="33"/>
      <c r="G548" s="33"/>
      <c r="H548" s="33"/>
      <c r="I548" s="33"/>
      <c r="J548" s="33"/>
    </row>
    <row r="549" spans="1:10" ht="12.5" x14ac:dyDescent="0.25">
      <c r="A549" s="63">
        <f>'Profit &amp; Loss'!A549</f>
        <v>0</v>
      </c>
      <c r="B549" s="33">
        <f>'Profit &amp; Loss'!B549</f>
        <v>0</v>
      </c>
      <c r="C549" s="33"/>
      <c r="D549" s="33"/>
      <c r="E549" s="33"/>
      <c r="F549" s="33"/>
      <c r="G549" s="33"/>
      <c r="H549" s="33"/>
      <c r="I549" s="33"/>
      <c r="J549" s="33"/>
    </row>
    <row r="550" spans="1:10" ht="12.5" x14ac:dyDescent="0.25">
      <c r="A550" s="63">
        <f>'Profit &amp; Loss'!A550</f>
        <v>0</v>
      </c>
      <c r="B550" s="33">
        <f>'Profit &amp; Loss'!B550</f>
        <v>0</v>
      </c>
      <c r="C550" s="33"/>
      <c r="D550" s="33"/>
      <c r="E550" s="33"/>
      <c r="F550" s="33"/>
      <c r="G550" s="33"/>
      <c r="H550" s="33"/>
      <c r="I550" s="33"/>
      <c r="J550" s="33"/>
    </row>
    <row r="551" spans="1:10" ht="12.5" x14ac:dyDescent="0.25">
      <c r="A551" s="63">
        <f>'Profit &amp; Loss'!A551</f>
        <v>0</v>
      </c>
      <c r="B551" s="33">
        <f>'Profit &amp; Loss'!B551</f>
        <v>0</v>
      </c>
      <c r="C551" s="33"/>
      <c r="D551" s="33"/>
      <c r="E551" s="33"/>
      <c r="F551" s="33"/>
      <c r="G551" s="33"/>
      <c r="H551" s="33"/>
      <c r="I551" s="33"/>
      <c r="J551" s="33"/>
    </row>
    <row r="552" spans="1:10" ht="12.5" x14ac:dyDescent="0.25">
      <c r="A552" s="63">
        <f>'Profit &amp; Loss'!A552</f>
        <v>0</v>
      </c>
      <c r="B552" s="33">
        <f>'Profit &amp; Loss'!B552</f>
        <v>0</v>
      </c>
      <c r="C552" s="33"/>
      <c r="D552" s="33"/>
      <c r="E552" s="33"/>
      <c r="F552" s="33"/>
      <c r="G552" s="33"/>
      <c r="H552" s="33"/>
      <c r="I552" s="33"/>
      <c r="J552" s="33"/>
    </row>
    <row r="553" spans="1:10" ht="12.5" x14ac:dyDescent="0.25">
      <c r="A553" s="63">
        <f>'Profit &amp; Loss'!A553</f>
        <v>0</v>
      </c>
      <c r="B553" s="33">
        <f>'Profit &amp; Loss'!B553</f>
        <v>0</v>
      </c>
      <c r="C553" s="33"/>
      <c r="D553" s="33"/>
      <c r="E553" s="33"/>
      <c r="F553" s="33"/>
      <c r="G553" s="33"/>
      <c r="H553" s="33"/>
      <c r="I553" s="33"/>
      <c r="J553" s="33"/>
    </row>
    <row r="554" spans="1:10" ht="12.5" x14ac:dyDescent="0.25">
      <c r="A554" s="63">
        <f>'Profit &amp; Loss'!A554</f>
        <v>0</v>
      </c>
      <c r="B554" s="33">
        <f>'Profit &amp; Loss'!B554</f>
        <v>0</v>
      </c>
      <c r="C554" s="33"/>
      <c r="D554" s="33"/>
      <c r="E554" s="33"/>
      <c r="F554" s="33"/>
      <c r="G554" s="33"/>
      <c r="H554" s="33"/>
      <c r="I554" s="33"/>
      <c r="J554" s="33"/>
    </row>
    <row r="555" spans="1:10" ht="12.5" x14ac:dyDescent="0.25">
      <c r="A555" s="63">
        <f>'Profit &amp; Loss'!A555</f>
        <v>0</v>
      </c>
      <c r="B555" s="33">
        <f>'Profit &amp; Loss'!B555</f>
        <v>0</v>
      </c>
      <c r="C555" s="33"/>
      <c r="D555" s="33"/>
      <c r="E555" s="33"/>
      <c r="F555" s="33"/>
      <c r="G555" s="33"/>
      <c r="H555" s="33"/>
      <c r="I555" s="33"/>
      <c r="J555" s="33"/>
    </row>
    <row r="556" spans="1:10" ht="12.5" x14ac:dyDescent="0.25">
      <c r="A556" s="63">
        <f>'Profit &amp; Loss'!A556</f>
        <v>0</v>
      </c>
      <c r="B556" s="33">
        <f>'Profit &amp; Loss'!B556</f>
        <v>0</v>
      </c>
      <c r="C556" s="33"/>
      <c r="D556" s="33"/>
      <c r="E556" s="33"/>
      <c r="F556" s="33"/>
      <c r="G556" s="33"/>
      <c r="H556" s="33"/>
      <c r="I556" s="33"/>
      <c r="J556" s="33"/>
    </row>
    <row r="557" spans="1:10" ht="12.5" x14ac:dyDescent="0.25">
      <c r="A557" s="63">
        <f>'Profit &amp; Loss'!A557</f>
        <v>0</v>
      </c>
      <c r="B557" s="33">
        <f>'Profit &amp; Loss'!B557</f>
        <v>0</v>
      </c>
      <c r="C557" s="33"/>
      <c r="D557" s="33"/>
      <c r="E557" s="33"/>
      <c r="F557" s="33"/>
      <c r="G557" s="33"/>
      <c r="H557" s="33"/>
      <c r="I557" s="33"/>
      <c r="J557" s="33"/>
    </row>
    <row r="558" spans="1:10" ht="12.5" x14ac:dyDescent="0.25">
      <c r="A558" s="63">
        <f>'Profit &amp; Loss'!A558</f>
        <v>0</v>
      </c>
      <c r="B558" s="33">
        <f>'Profit &amp; Loss'!B558</f>
        <v>0</v>
      </c>
      <c r="C558" s="33"/>
      <c r="D558" s="33"/>
      <c r="E558" s="33"/>
      <c r="F558" s="33"/>
      <c r="G558" s="33"/>
      <c r="H558" s="33"/>
      <c r="I558" s="33"/>
      <c r="J558" s="33"/>
    </row>
    <row r="559" spans="1:10" ht="12.5" x14ac:dyDescent="0.25">
      <c r="A559" s="63">
        <f>'Profit &amp; Loss'!A559</f>
        <v>0</v>
      </c>
      <c r="B559" s="33">
        <f>'Profit &amp; Loss'!B559</f>
        <v>0</v>
      </c>
      <c r="C559" s="33"/>
      <c r="D559" s="33"/>
      <c r="E559" s="33"/>
      <c r="F559" s="33"/>
      <c r="G559" s="33"/>
      <c r="H559" s="33"/>
      <c r="I559" s="33"/>
      <c r="J559" s="33"/>
    </row>
    <row r="560" spans="1:10" ht="12.5" x14ac:dyDescent="0.25">
      <c r="A560" s="63">
        <f>'Profit &amp; Loss'!A560</f>
        <v>0</v>
      </c>
      <c r="B560" s="33">
        <f>'Profit &amp; Loss'!B560</f>
        <v>0</v>
      </c>
      <c r="C560" s="33"/>
      <c r="D560" s="33"/>
      <c r="E560" s="33"/>
      <c r="F560" s="33"/>
      <c r="G560" s="33"/>
      <c r="H560" s="33"/>
      <c r="I560" s="33"/>
      <c r="J560" s="33"/>
    </row>
    <row r="561" spans="1:10" ht="12.5" x14ac:dyDescent="0.25">
      <c r="A561" s="63">
        <f>'Profit &amp; Loss'!A561</f>
        <v>0</v>
      </c>
      <c r="B561" s="33">
        <f>'Profit &amp; Loss'!B561</f>
        <v>0</v>
      </c>
      <c r="C561" s="33"/>
      <c r="D561" s="33"/>
      <c r="E561" s="33"/>
      <c r="F561" s="33"/>
      <c r="G561" s="33"/>
      <c r="H561" s="33"/>
      <c r="I561" s="33"/>
      <c r="J561" s="33"/>
    </row>
    <row r="562" spans="1:10" ht="12.5" x14ac:dyDescent="0.25">
      <c r="A562" s="63">
        <f>'Profit &amp; Loss'!A562</f>
        <v>0</v>
      </c>
      <c r="B562" s="33">
        <f>'Profit &amp; Loss'!B562</f>
        <v>0</v>
      </c>
      <c r="C562" s="33"/>
      <c r="D562" s="33"/>
      <c r="E562" s="33"/>
      <c r="F562" s="33"/>
      <c r="G562" s="33"/>
      <c r="H562" s="33"/>
      <c r="I562" s="33"/>
      <c r="J562" s="33"/>
    </row>
    <row r="563" spans="1:10" ht="12.5" x14ac:dyDescent="0.25">
      <c r="A563" s="63">
        <f>'Profit &amp; Loss'!A563</f>
        <v>0</v>
      </c>
      <c r="B563" s="33">
        <f>'Profit &amp; Loss'!B563</f>
        <v>0</v>
      </c>
      <c r="C563" s="33"/>
      <c r="D563" s="33"/>
      <c r="E563" s="33"/>
      <c r="F563" s="33"/>
      <c r="G563" s="33"/>
      <c r="H563" s="33"/>
      <c r="I563" s="33"/>
      <c r="J563" s="33"/>
    </row>
    <row r="564" spans="1:10" ht="12.5" x14ac:dyDescent="0.25">
      <c r="A564" s="63">
        <f>'Profit &amp; Loss'!A564</f>
        <v>0</v>
      </c>
      <c r="B564" s="33">
        <f>'Profit &amp; Loss'!B564</f>
        <v>0</v>
      </c>
      <c r="C564" s="33"/>
      <c r="D564" s="33"/>
      <c r="E564" s="33"/>
      <c r="F564" s="33"/>
      <c r="G564" s="33"/>
      <c r="H564" s="33"/>
      <c r="I564" s="33"/>
      <c r="J564" s="33"/>
    </row>
    <row r="565" spans="1:10" ht="12.5" x14ac:dyDescent="0.25">
      <c r="A565" s="63">
        <f>'Profit &amp; Loss'!A565</f>
        <v>0</v>
      </c>
      <c r="B565" s="33">
        <f>'Profit &amp; Loss'!B565</f>
        <v>0</v>
      </c>
      <c r="C565" s="33"/>
      <c r="D565" s="33"/>
      <c r="E565" s="33"/>
      <c r="F565" s="33"/>
      <c r="G565" s="33"/>
      <c r="H565" s="33"/>
      <c r="I565" s="33"/>
      <c r="J565" s="33"/>
    </row>
    <row r="566" spans="1:10" ht="12.5" x14ac:dyDescent="0.25">
      <c r="A566" s="63">
        <f>'Profit &amp; Loss'!A566</f>
        <v>0</v>
      </c>
      <c r="B566" s="33">
        <f>'Profit &amp; Loss'!B566</f>
        <v>0</v>
      </c>
      <c r="C566" s="33"/>
      <c r="D566" s="33"/>
      <c r="E566" s="33"/>
      <c r="F566" s="33"/>
      <c r="G566" s="33"/>
      <c r="H566" s="33"/>
      <c r="I566" s="33"/>
      <c r="J566" s="33"/>
    </row>
    <row r="567" spans="1:10" ht="12.5" x14ac:dyDescent="0.25">
      <c r="A567" s="63">
        <f>'Profit &amp; Loss'!A567</f>
        <v>0</v>
      </c>
      <c r="B567" s="33">
        <f>'Profit &amp; Loss'!B567</f>
        <v>0</v>
      </c>
      <c r="C567" s="33"/>
      <c r="D567" s="33"/>
      <c r="E567" s="33"/>
      <c r="F567" s="33"/>
      <c r="G567" s="33"/>
      <c r="H567" s="33"/>
      <c r="I567" s="33"/>
      <c r="J567" s="33"/>
    </row>
    <row r="568" spans="1:10" ht="12.5" x14ac:dyDescent="0.25">
      <c r="A568" s="63">
        <f>'Profit &amp; Loss'!A568</f>
        <v>0</v>
      </c>
      <c r="B568" s="33">
        <f>'Profit &amp; Loss'!B568</f>
        <v>0</v>
      </c>
      <c r="C568" s="33"/>
      <c r="D568" s="33"/>
      <c r="E568" s="33"/>
      <c r="F568" s="33"/>
      <c r="G568" s="33"/>
      <c r="H568" s="33"/>
      <c r="I568" s="33"/>
      <c r="J568" s="33"/>
    </row>
    <row r="569" spans="1:10" ht="12.5" x14ac:dyDescent="0.25">
      <c r="A569" s="63">
        <f>'Profit &amp; Loss'!A569</f>
        <v>0</v>
      </c>
      <c r="B569" s="33">
        <f>'Profit &amp; Loss'!B569</f>
        <v>0</v>
      </c>
      <c r="C569" s="33"/>
      <c r="D569" s="33"/>
      <c r="E569" s="33"/>
      <c r="F569" s="33"/>
      <c r="G569" s="33"/>
      <c r="H569" s="33"/>
      <c r="I569" s="33"/>
      <c r="J569" s="33"/>
    </row>
    <row r="570" spans="1:10" ht="12.5" x14ac:dyDescent="0.25">
      <c r="A570" s="63">
        <f>'Profit &amp; Loss'!A570</f>
        <v>0</v>
      </c>
      <c r="B570" s="33">
        <f>'Profit &amp; Loss'!B570</f>
        <v>0</v>
      </c>
      <c r="C570" s="33"/>
      <c r="D570" s="33"/>
      <c r="E570" s="33"/>
      <c r="F570" s="33"/>
      <c r="G570" s="33"/>
      <c r="H570" s="33"/>
      <c r="I570" s="33"/>
      <c r="J570" s="33"/>
    </row>
    <row r="571" spans="1:10" ht="12.5" x14ac:dyDescent="0.25">
      <c r="A571" s="63">
        <f>'Profit &amp; Loss'!A571</f>
        <v>0</v>
      </c>
      <c r="B571" s="33">
        <f>'Profit &amp; Loss'!B571</f>
        <v>0</v>
      </c>
      <c r="C571" s="33"/>
      <c r="D571" s="33"/>
      <c r="E571" s="33"/>
      <c r="F571" s="33"/>
      <c r="G571" s="33"/>
      <c r="H571" s="33"/>
      <c r="I571" s="33"/>
      <c r="J571" s="33"/>
    </row>
    <row r="572" spans="1:10" ht="12.5" x14ac:dyDescent="0.25">
      <c r="A572" s="63">
        <f>'Profit &amp; Loss'!A572</f>
        <v>0</v>
      </c>
      <c r="B572" s="33">
        <f>'Profit &amp; Loss'!B572</f>
        <v>0</v>
      </c>
      <c r="C572" s="33"/>
      <c r="D572" s="33"/>
      <c r="E572" s="33"/>
      <c r="F572" s="33"/>
      <c r="G572" s="33"/>
      <c r="H572" s="33"/>
      <c r="I572" s="33"/>
      <c r="J572" s="33"/>
    </row>
    <row r="573" spans="1:10" ht="12.5" x14ac:dyDescent="0.25">
      <c r="A573" s="63">
        <f>'Profit &amp; Loss'!A573</f>
        <v>0</v>
      </c>
      <c r="B573" s="33">
        <f>'Profit &amp; Loss'!B573</f>
        <v>0</v>
      </c>
      <c r="C573" s="33"/>
      <c r="D573" s="33"/>
      <c r="E573" s="33"/>
      <c r="F573" s="33"/>
      <c r="G573" s="33"/>
      <c r="H573" s="33"/>
      <c r="I573" s="33"/>
      <c r="J573" s="33"/>
    </row>
    <row r="574" spans="1:10" ht="12.5" x14ac:dyDescent="0.25">
      <c r="A574" s="63">
        <f>'Profit &amp; Loss'!A574</f>
        <v>0</v>
      </c>
      <c r="B574" s="33">
        <f>'Profit &amp; Loss'!B574</f>
        <v>0</v>
      </c>
      <c r="C574" s="33"/>
      <c r="D574" s="33"/>
      <c r="E574" s="33"/>
      <c r="F574" s="33"/>
      <c r="G574" s="33"/>
      <c r="H574" s="33"/>
      <c r="I574" s="33"/>
      <c r="J574" s="33"/>
    </row>
    <row r="575" spans="1:10" ht="12.5" x14ac:dyDescent="0.25">
      <c r="A575" s="63">
        <f>'Profit &amp; Loss'!A575</f>
        <v>0</v>
      </c>
      <c r="B575" s="33">
        <f>'Profit &amp; Loss'!B575</f>
        <v>0</v>
      </c>
      <c r="C575" s="33"/>
      <c r="D575" s="33"/>
      <c r="E575" s="33"/>
      <c r="F575" s="33"/>
      <c r="G575" s="33"/>
      <c r="H575" s="33"/>
      <c r="I575" s="33"/>
      <c r="J575" s="33"/>
    </row>
    <row r="576" spans="1:10" ht="12.5" x14ac:dyDescent="0.25">
      <c r="A576" s="63">
        <f>'Profit &amp; Loss'!A576</f>
        <v>0</v>
      </c>
      <c r="B576" s="33">
        <f>'Profit &amp; Loss'!B576</f>
        <v>0</v>
      </c>
      <c r="C576" s="33"/>
      <c r="D576" s="33"/>
      <c r="E576" s="33"/>
      <c r="F576" s="33"/>
      <c r="G576" s="33"/>
      <c r="H576" s="33"/>
      <c r="I576" s="33"/>
      <c r="J576" s="33"/>
    </row>
    <row r="577" spans="1:10" ht="12.5" x14ac:dyDescent="0.25">
      <c r="A577" s="63">
        <f>'Profit &amp; Loss'!A577</f>
        <v>0</v>
      </c>
      <c r="B577" s="33">
        <f>'Profit &amp; Loss'!B577</f>
        <v>0</v>
      </c>
      <c r="C577" s="33"/>
      <c r="D577" s="33"/>
      <c r="E577" s="33"/>
      <c r="F577" s="33"/>
      <c r="G577" s="33"/>
      <c r="H577" s="33"/>
      <c r="I577" s="33"/>
      <c r="J577" s="33"/>
    </row>
    <row r="578" spans="1:10" ht="12.5" x14ac:dyDescent="0.25">
      <c r="A578" s="63">
        <f>'Profit &amp; Loss'!A578</f>
        <v>0</v>
      </c>
      <c r="B578" s="33">
        <f>'Profit &amp; Loss'!B578</f>
        <v>0</v>
      </c>
      <c r="C578" s="33"/>
      <c r="D578" s="33"/>
      <c r="E578" s="33"/>
      <c r="F578" s="33"/>
      <c r="G578" s="33"/>
      <c r="H578" s="33"/>
      <c r="I578" s="33"/>
      <c r="J578" s="33"/>
    </row>
    <row r="579" spans="1:10" ht="12.5" x14ac:dyDescent="0.25">
      <c r="A579" s="63">
        <f>'Profit &amp; Loss'!A579</f>
        <v>0</v>
      </c>
      <c r="B579" s="33">
        <f>'Profit &amp; Loss'!B579</f>
        <v>0</v>
      </c>
      <c r="C579" s="33"/>
      <c r="D579" s="33"/>
      <c r="E579" s="33"/>
      <c r="F579" s="33"/>
      <c r="G579" s="33"/>
      <c r="H579" s="33"/>
      <c r="I579" s="33"/>
      <c r="J579" s="33"/>
    </row>
    <row r="580" spans="1:10" ht="12.5" x14ac:dyDescent="0.25">
      <c r="A580" s="63">
        <f>'Profit &amp; Loss'!A580</f>
        <v>0</v>
      </c>
      <c r="B580" s="33">
        <f>'Profit &amp; Loss'!B580</f>
        <v>0</v>
      </c>
      <c r="C580" s="33"/>
      <c r="D580" s="33"/>
      <c r="E580" s="33"/>
      <c r="F580" s="33"/>
      <c r="G580" s="33"/>
      <c r="H580" s="33"/>
      <c r="I580" s="33"/>
      <c r="J580" s="33"/>
    </row>
    <row r="581" spans="1:10" ht="12.5" x14ac:dyDescent="0.25">
      <c r="A581" s="63">
        <f>'Profit &amp; Loss'!A581</f>
        <v>0</v>
      </c>
      <c r="B581" s="33">
        <f>'Profit &amp; Loss'!B581</f>
        <v>0</v>
      </c>
      <c r="C581" s="33"/>
      <c r="D581" s="33"/>
      <c r="E581" s="33"/>
      <c r="F581" s="33"/>
      <c r="G581" s="33"/>
      <c r="H581" s="33"/>
      <c r="I581" s="33"/>
      <c r="J581" s="33"/>
    </row>
    <row r="582" spans="1:10" ht="12.5" x14ac:dyDescent="0.25">
      <c r="A582" s="63">
        <f>'Profit &amp; Loss'!A582</f>
        <v>0</v>
      </c>
      <c r="B582" s="33">
        <f>'Profit &amp; Loss'!B582</f>
        <v>0</v>
      </c>
      <c r="C582" s="33"/>
      <c r="D582" s="33"/>
      <c r="E582" s="33"/>
      <c r="F582" s="33"/>
      <c r="G582" s="33"/>
      <c r="H582" s="33"/>
      <c r="I582" s="33"/>
      <c r="J582" s="33"/>
    </row>
    <row r="583" spans="1:10" ht="12.5" x14ac:dyDescent="0.25">
      <c r="A583" s="63">
        <f>'Profit &amp; Loss'!A583</f>
        <v>0</v>
      </c>
      <c r="B583" s="33">
        <f>'Profit &amp; Loss'!B583</f>
        <v>0</v>
      </c>
      <c r="C583" s="33"/>
      <c r="D583" s="33"/>
      <c r="E583" s="33"/>
      <c r="F583" s="33"/>
      <c r="G583" s="33"/>
      <c r="H583" s="33"/>
      <c r="I583" s="33"/>
      <c r="J583" s="33"/>
    </row>
    <row r="584" spans="1:10" ht="12.5" x14ac:dyDescent="0.25">
      <c r="A584" s="63">
        <f>'Profit &amp; Loss'!A584</f>
        <v>0</v>
      </c>
      <c r="B584" s="33">
        <f>'Profit &amp; Loss'!B584</f>
        <v>0</v>
      </c>
      <c r="C584" s="33"/>
      <c r="D584" s="33"/>
      <c r="E584" s="33"/>
      <c r="F584" s="33"/>
      <c r="G584" s="33"/>
      <c r="H584" s="33"/>
      <c r="I584" s="33"/>
      <c r="J584" s="33"/>
    </row>
    <row r="585" spans="1:10" ht="12.5" x14ac:dyDescent="0.25">
      <c r="A585" s="63">
        <f>'Profit &amp; Loss'!A585</f>
        <v>0</v>
      </c>
      <c r="B585" s="33">
        <f>'Profit &amp; Loss'!B585</f>
        <v>0</v>
      </c>
      <c r="C585" s="33"/>
      <c r="D585" s="33"/>
      <c r="E585" s="33"/>
      <c r="F585" s="33"/>
      <c r="G585" s="33"/>
      <c r="H585" s="33"/>
      <c r="I585" s="33"/>
      <c r="J585" s="33"/>
    </row>
    <row r="586" spans="1:10" ht="12.5" x14ac:dyDescent="0.25">
      <c r="A586" s="63">
        <f>'Profit &amp; Loss'!A586</f>
        <v>0</v>
      </c>
      <c r="B586" s="33">
        <f>'Profit &amp; Loss'!B586</f>
        <v>0</v>
      </c>
      <c r="C586" s="33"/>
      <c r="D586" s="33"/>
      <c r="E586" s="33"/>
      <c r="F586" s="33"/>
      <c r="G586" s="33"/>
      <c r="H586" s="33"/>
      <c r="I586" s="33"/>
      <c r="J586" s="33"/>
    </row>
    <row r="587" spans="1:10" ht="12.5" x14ac:dyDescent="0.25">
      <c r="A587" s="63">
        <f>'Profit &amp; Loss'!A587</f>
        <v>0</v>
      </c>
      <c r="B587" s="33">
        <f>'Profit &amp; Loss'!B587</f>
        <v>0</v>
      </c>
      <c r="C587" s="33"/>
      <c r="D587" s="33"/>
      <c r="E587" s="33"/>
      <c r="F587" s="33"/>
      <c r="G587" s="33"/>
      <c r="H587" s="33"/>
      <c r="I587" s="33"/>
      <c r="J587" s="33"/>
    </row>
    <row r="588" spans="1:10" ht="12.5" x14ac:dyDescent="0.25">
      <c r="A588" s="63">
        <f>'Profit &amp; Loss'!A588</f>
        <v>0</v>
      </c>
      <c r="B588" s="33">
        <f>'Profit &amp; Loss'!B588</f>
        <v>0</v>
      </c>
      <c r="C588" s="33"/>
      <c r="D588" s="33"/>
      <c r="E588" s="33"/>
      <c r="F588" s="33"/>
      <c r="G588" s="33"/>
      <c r="H588" s="33"/>
      <c r="I588" s="33"/>
      <c r="J588" s="33"/>
    </row>
    <row r="589" spans="1:10" ht="12.5" x14ac:dyDescent="0.25">
      <c r="A589" s="63">
        <f>'Profit &amp; Loss'!A589</f>
        <v>0</v>
      </c>
      <c r="B589" s="33">
        <f>'Profit &amp; Loss'!B589</f>
        <v>0</v>
      </c>
      <c r="C589" s="33"/>
      <c r="D589" s="33"/>
      <c r="E589" s="33"/>
      <c r="F589" s="33"/>
      <c r="G589" s="33"/>
      <c r="H589" s="33"/>
      <c r="I589" s="33"/>
      <c r="J589" s="33"/>
    </row>
    <row r="590" spans="1:10" ht="12.5" x14ac:dyDescent="0.25">
      <c r="A590" s="63">
        <f>'Profit &amp; Loss'!A590</f>
        <v>0</v>
      </c>
      <c r="B590" s="33">
        <f>'Profit &amp; Loss'!B590</f>
        <v>0</v>
      </c>
      <c r="C590" s="33"/>
      <c r="D590" s="33"/>
      <c r="E590" s="33"/>
      <c r="F590" s="33"/>
      <c r="G590" s="33"/>
      <c r="H590" s="33"/>
      <c r="I590" s="33"/>
      <c r="J590" s="33"/>
    </row>
    <row r="591" spans="1:10" ht="12.5" x14ac:dyDescent="0.25">
      <c r="A591" s="63">
        <f>'Profit &amp; Loss'!A591</f>
        <v>0</v>
      </c>
      <c r="B591" s="33">
        <f>'Profit &amp; Loss'!B591</f>
        <v>0</v>
      </c>
      <c r="C591" s="33"/>
      <c r="D591" s="33"/>
      <c r="E591" s="33"/>
      <c r="F591" s="33"/>
      <c r="G591" s="33"/>
      <c r="H591" s="33"/>
      <c r="I591" s="33"/>
      <c r="J591" s="33"/>
    </row>
    <row r="592" spans="1:10" ht="12.5" x14ac:dyDescent="0.25">
      <c r="A592" s="63">
        <f>'Profit &amp; Loss'!A592</f>
        <v>0</v>
      </c>
      <c r="B592" s="33">
        <f>'Profit &amp; Loss'!B592</f>
        <v>0</v>
      </c>
      <c r="C592" s="33"/>
      <c r="D592" s="33"/>
      <c r="E592" s="33"/>
      <c r="F592" s="33"/>
      <c r="G592" s="33"/>
      <c r="H592" s="33"/>
      <c r="I592" s="33"/>
      <c r="J592" s="33"/>
    </row>
    <row r="593" spans="1:10" ht="12.5" x14ac:dyDescent="0.25">
      <c r="A593" s="63">
        <f>'Profit &amp; Loss'!A593</f>
        <v>0</v>
      </c>
      <c r="B593" s="33">
        <f>'Profit &amp; Loss'!B593</f>
        <v>0</v>
      </c>
      <c r="C593" s="33"/>
      <c r="D593" s="33"/>
      <c r="E593" s="33"/>
      <c r="F593" s="33"/>
      <c r="G593" s="33"/>
      <c r="H593" s="33"/>
      <c r="I593" s="33"/>
      <c r="J593" s="33"/>
    </row>
    <row r="594" spans="1:10" ht="12.5" x14ac:dyDescent="0.25">
      <c r="A594" s="63">
        <f>'Profit &amp; Loss'!A594</f>
        <v>0</v>
      </c>
      <c r="B594" s="33">
        <f>'Profit &amp; Loss'!B594</f>
        <v>0</v>
      </c>
      <c r="C594" s="33"/>
      <c r="D594" s="33"/>
      <c r="E594" s="33"/>
      <c r="F594" s="33"/>
      <c r="G594" s="33"/>
      <c r="H594" s="33"/>
      <c r="I594" s="33"/>
      <c r="J594" s="33"/>
    </row>
    <row r="595" spans="1:10" ht="12.5" x14ac:dyDescent="0.25">
      <c r="A595" s="63">
        <f>'Profit &amp; Loss'!A595</f>
        <v>0</v>
      </c>
      <c r="B595" s="33">
        <f>'Profit &amp; Loss'!B595</f>
        <v>0</v>
      </c>
      <c r="C595" s="33"/>
      <c r="D595" s="33"/>
      <c r="E595" s="33"/>
      <c r="F595" s="33"/>
      <c r="G595" s="33"/>
      <c r="H595" s="33"/>
      <c r="I595" s="33"/>
      <c r="J595" s="33"/>
    </row>
    <row r="596" spans="1:10" ht="12.5" x14ac:dyDescent="0.25">
      <c r="A596" s="63">
        <f>'Profit &amp; Loss'!A596</f>
        <v>0</v>
      </c>
      <c r="B596" s="33">
        <f>'Profit &amp; Loss'!B596</f>
        <v>0</v>
      </c>
      <c r="C596" s="33"/>
      <c r="D596" s="33"/>
      <c r="E596" s="33"/>
      <c r="F596" s="33"/>
      <c r="G596" s="33"/>
      <c r="H596" s="33"/>
      <c r="I596" s="33"/>
      <c r="J596" s="33"/>
    </row>
    <row r="597" spans="1:10" ht="12.5" x14ac:dyDescent="0.25">
      <c r="A597" s="63">
        <f>'Profit &amp; Loss'!A597</f>
        <v>0</v>
      </c>
      <c r="B597" s="33">
        <f>'Profit &amp; Loss'!B597</f>
        <v>0</v>
      </c>
      <c r="C597" s="33"/>
      <c r="D597" s="33"/>
      <c r="E597" s="33"/>
      <c r="F597" s="33"/>
      <c r="G597" s="33"/>
      <c r="H597" s="33"/>
      <c r="I597" s="33"/>
      <c r="J597" s="33"/>
    </row>
    <row r="598" spans="1:10" ht="12.5" x14ac:dyDescent="0.25">
      <c r="A598" s="63">
        <f>'Profit &amp; Loss'!A598</f>
        <v>0</v>
      </c>
      <c r="B598" s="33">
        <f>'Profit &amp; Loss'!B598</f>
        <v>0</v>
      </c>
      <c r="C598" s="33"/>
      <c r="D598" s="33"/>
      <c r="E598" s="33"/>
      <c r="F598" s="33"/>
      <c r="G598" s="33"/>
      <c r="H598" s="33"/>
      <c r="I598" s="33"/>
      <c r="J598" s="33"/>
    </row>
    <row r="599" spans="1:10" ht="12.5" x14ac:dyDescent="0.25">
      <c r="A599" s="63">
        <f>'Profit &amp; Loss'!A599</f>
        <v>0</v>
      </c>
      <c r="B599" s="33">
        <f>'Profit &amp; Loss'!B599</f>
        <v>0</v>
      </c>
      <c r="C599" s="33"/>
      <c r="D599" s="33"/>
      <c r="E599" s="33"/>
      <c r="F599" s="33"/>
      <c r="G599" s="33"/>
      <c r="H599" s="33"/>
      <c r="I599" s="33"/>
      <c r="J599" s="33"/>
    </row>
    <row r="600" spans="1:10" ht="12.5" x14ac:dyDescent="0.25">
      <c r="A600" s="63">
        <f>'Profit &amp; Loss'!A600</f>
        <v>0</v>
      </c>
      <c r="B600" s="33">
        <f>'Profit &amp; Loss'!B600</f>
        <v>0</v>
      </c>
      <c r="C600" s="33"/>
      <c r="D600" s="33"/>
      <c r="E600" s="33"/>
      <c r="F600" s="33"/>
      <c r="G600" s="33"/>
      <c r="H600" s="33"/>
      <c r="I600" s="33"/>
      <c r="J600" s="33"/>
    </row>
    <row r="601" spans="1:10" ht="12.5" x14ac:dyDescent="0.25">
      <c r="A601" s="63">
        <f>'Profit &amp; Loss'!A601</f>
        <v>0</v>
      </c>
      <c r="B601" s="33">
        <f>'Profit &amp; Loss'!B601</f>
        <v>0</v>
      </c>
      <c r="C601" s="33"/>
      <c r="D601" s="33"/>
      <c r="E601" s="33"/>
      <c r="F601" s="33"/>
      <c r="G601" s="33"/>
      <c r="H601" s="33"/>
      <c r="I601" s="33"/>
      <c r="J601" s="33"/>
    </row>
    <row r="602" spans="1:10" ht="12.5" x14ac:dyDescent="0.25">
      <c r="A602" s="63">
        <f>'Profit &amp; Loss'!A602</f>
        <v>0</v>
      </c>
      <c r="B602" s="33">
        <f>'Profit &amp; Loss'!B602</f>
        <v>0</v>
      </c>
      <c r="C602" s="33"/>
      <c r="D602" s="33"/>
      <c r="E602" s="33"/>
      <c r="F602" s="33"/>
      <c r="G602" s="33"/>
      <c r="H602" s="33"/>
      <c r="I602" s="33"/>
      <c r="J602" s="33"/>
    </row>
    <row r="603" spans="1:10" ht="12.5" x14ac:dyDescent="0.25">
      <c r="A603" s="63">
        <f>'Profit &amp; Loss'!A603</f>
        <v>0</v>
      </c>
      <c r="B603" s="33">
        <f>'Profit &amp; Loss'!B603</f>
        <v>0</v>
      </c>
      <c r="C603" s="33"/>
      <c r="D603" s="33"/>
      <c r="E603" s="33"/>
      <c r="F603" s="33"/>
      <c r="G603" s="33"/>
      <c r="H603" s="33"/>
      <c r="I603" s="33"/>
      <c r="J603" s="33"/>
    </row>
    <row r="604" spans="1:10" ht="12.5" x14ac:dyDescent="0.25">
      <c r="A604" s="63">
        <f>'Profit &amp; Loss'!A604</f>
        <v>0</v>
      </c>
      <c r="B604" s="33">
        <f>'Profit &amp; Loss'!B604</f>
        <v>0</v>
      </c>
      <c r="C604" s="33"/>
      <c r="D604" s="33"/>
      <c r="E604" s="33"/>
      <c r="F604" s="33"/>
      <c r="G604" s="33"/>
      <c r="H604" s="33"/>
      <c r="I604" s="33"/>
      <c r="J604" s="33"/>
    </row>
    <row r="605" spans="1:10" ht="12.5" x14ac:dyDescent="0.25">
      <c r="A605" s="63">
        <f>'Profit &amp; Loss'!A605</f>
        <v>0</v>
      </c>
      <c r="B605" s="33">
        <f>'Profit &amp; Loss'!B605</f>
        <v>0</v>
      </c>
      <c r="C605" s="33"/>
      <c r="D605" s="33"/>
      <c r="E605" s="33"/>
      <c r="F605" s="33"/>
      <c r="G605" s="33"/>
      <c r="H605" s="33"/>
      <c r="I605" s="33"/>
      <c r="J605" s="33"/>
    </row>
    <row r="606" spans="1:10" ht="12.5" x14ac:dyDescent="0.25">
      <c r="A606" s="63">
        <f>'Profit &amp; Loss'!A606</f>
        <v>0</v>
      </c>
      <c r="B606" s="33">
        <f>'Profit &amp; Loss'!B606</f>
        <v>0</v>
      </c>
      <c r="C606" s="33"/>
      <c r="D606" s="33"/>
      <c r="E606" s="33"/>
      <c r="F606" s="33"/>
      <c r="G606" s="33"/>
      <c r="H606" s="33"/>
      <c r="I606" s="33"/>
      <c r="J606" s="33"/>
    </row>
    <row r="607" spans="1:10" ht="12.5" x14ac:dyDescent="0.25">
      <c r="A607" s="63">
        <f>'Profit &amp; Loss'!A607</f>
        <v>0</v>
      </c>
      <c r="B607" s="33">
        <f>'Profit &amp; Loss'!B607</f>
        <v>0</v>
      </c>
      <c r="C607" s="33"/>
      <c r="D607" s="33"/>
      <c r="E607" s="33"/>
      <c r="F607" s="33"/>
      <c r="G607" s="33"/>
      <c r="H607" s="33"/>
      <c r="I607" s="33"/>
      <c r="J607" s="33"/>
    </row>
    <row r="608" spans="1:10" ht="12.5" x14ac:dyDescent="0.25">
      <c r="A608" s="63">
        <f>'Profit &amp; Loss'!A608</f>
        <v>0</v>
      </c>
      <c r="B608" s="33">
        <f>'Profit &amp; Loss'!B608</f>
        <v>0</v>
      </c>
      <c r="C608" s="33"/>
      <c r="D608" s="33"/>
      <c r="E608" s="33"/>
      <c r="F608" s="33"/>
      <c r="G608" s="33"/>
      <c r="H608" s="33"/>
      <c r="I608" s="33"/>
      <c r="J608" s="33"/>
    </row>
    <row r="609" spans="1:10" ht="12.5" x14ac:dyDescent="0.25">
      <c r="A609" s="63">
        <f>'Profit &amp; Loss'!A609</f>
        <v>0</v>
      </c>
      <c r="B609" s="33">
        <f>'Profit &amp; Loss'!B609</f>
        <v>0</v>
      </c>
      <c r="C609" s="33"/>
      <c r="D609" s="33"/>
      <c r="E609" s="33"/>
      <c r="F609" s="33"/>
      <c r="G609" s="33"/>
      <c r="H609" s="33"/>
      <c r="I609" s="33"/>
      <c r="J609" s="33"/>
    </row>
    <row r="610" spans="1:10" ht="12.5" x14ac:dyDescent="0.25">
      <c r="A610" s="63">
        <f>'Profit &amp; Loss'!A610</f>
        <v>0</v>
      </c>
      <c r="B610" s="33">
        <f>'Profit &amp; Loss'!B610</f>
        <v>0</v>
      </c>
      <c r="C610" s="33"/>
      <c r="D610" s="33"/>
      <c r="E610" s="33"/>
      <c r="F610" s="33"/>
      <c r="G610" s="33"/>
      <c r="H610" s="33"/>
      <c r="I610" s="33"/>
      <c r="J610" s="33"/>
    </row>
    <row r="611" spans="1:10" ht="12.5" x14ac:dyDescent="0.25">
      <c r="A611" s="63">
        <f>'Profit &amp; Loss'!A611</f>
        <v>0</v>
      </c>
      <c r="B611" s="33">
        <f>'Profit &amp; Loss'!B611</f>
        <v>0</v>
      </c>
      <c r="C611" s="33"/>
      <c r="D611" s="33"/>
      <c r="E611" s="33"/>
      <c r="F611" s="33"/>
      <c r="G611" s="33"/>
      <c r="H611" s="33"/>
      <c r="I611" s="33"/>
      <c r="J611" s="33"/>
    </row>
    <row r="612" spans="1:10" ht="12.5" x14ac:dyDescent="0.25">
      <c r="A612" s="63">
        <f>'Profit &amp; Loss'!A612</f>
        <v>0</v>
      </c>
      <c r="B612" s="33">
        <f>'Profit &amp; Loss'!B612</f>
        <v>0</v>
      </c>
      <c r="C612" s="33"/>
      <c r="D612" s="33"/>
      <c r="E612" s="33"/>
      <c r="F612" s="33"/>
      <c r="G612" s="33"/>
      <c r="H612" s="33"/>
      <c r="I612" s="33"/>
      <c r="J612" s="33"/>
    </row>
    <row r="613" spans="1:10" ht="12.5" x14ac:dyDescent="0.25">
      <c r="A613" s="63">
        <f>'Profit &amp; Loss'!A613</f>
        <v>0</v>
      </c>
      <c r="B613" s="33">
        <f>'Profit &amp; Loss'!B613</f>
        <v>0</v>
      </c>
      <c r="C613" s="33"/>
      <c r="D613" s="33"/>
      <c r="E613" s="33"/>
      <c r="F613" s="33"/>
      <c r="G613" s="33"/>
      <c r="H613" s="33"/>
      <c r="I613" s="33"/>
      <c r="J613" s="33"/>
    </row>
    <row r="614" spans="1:10" ht="12.5" x14ac:dyDescent="0.25">
      <c r="A614" s="63">
        <f>'Profit &amp; Loss'!A614</f>
        <v>0</v>
      </c>
      <c r="B614" s="33">
        <f>'Profit &amp; Loss'!B614</f>
        <v>0</v>
      </c>
      <c r="C614" s="33"/>
      <c r="D614" s="33"/>
      <c r="E614" s="33"/>
      <c r="F614" s="33"/>
      <c r="G614" s="33"/>
      <c r="H614" s="33"/>
      <c r="I614" s="33"/>
      <c r="J614" s="33"/>
    </row>
    <row r="615" spans="1:10" ht="12.5" x14ac:dyDescent="0.25">
      <c r="A615" s="63">
        <f>'Profit &amp; Loss'!A615</f>
        <v>0</v>
      </c>
      <c r="B615" s="33">
        <f>'Profit &amp; Loss'!B615</f>
        <v>0</v>
      </c>
      <c r="C615" s="33"/>
      <c r="D615" s="33"/>
      <c r="E615" s="33"/>
      <c r="F615" s="33"/>
      <c r="G615" s="33"/>
      <c r="H615" s="33"/>
      <c r="I615" s="33"/>
      <c r="J615" s="33"/>
    </row>
    <row r="616" spans="1:10" ht="12.5" x14ac:dyDescent="0.25">
      <c r="A616" s="63">
        <f>'Profit &amp; Loss'!A616</f>
        <v>0</v>
      </c>
      <c r="B616" s="33">
        <f>'Profit &amp; Loss'!B616</f>
        <v>0</v>
      </c>
      <c r="C616" s="33"/>
      <c r="D616" s="33"/>
      <c r="E616" s="33"/>
      <c r="F616" s="33"/>
      <c r="G616" s="33"/>
      <c r="H616" s="33"/>
      <c r="I616" s="33"/>
      <c r="J616" s="33"/>
    </row>
    <row r="617" spans="1:10" ht="12.5" x14ac:dyDescent="0.25">
      <c r="A617" s="63">
        <f>'Profit &amp; Loss'!A617</f>
        <v>0</v>
      </c>
      <c r="B617" s="33">
        <f>'Profit &amp; Loss'!B617</f>
        <v>0</v>
      </c>
      <c r="C617" s="33"/>
      <c r="D617" s="33"/>
      <c r="E617" s="33"/>
      <c r="F617" s="33"/>
      <c r="G617" s="33"/>
      <c r="H617" s="33"/>
      <c r="I617" s="33"/>
      <c r="J617" s="33"/>
    </row>
    <row r="618" spans="1:10" ht="12.5" x14ac:dyDescent="0.25">
      <c r="A618" s="63">
        <f>'Profit &amp; Loss'!A618</f>
        <v>0</v>
      </c>
      <c r="B618" s="33">
        <f>'Profit &amp; Loss'!B618</f>
        <v>0</v>
      </c>
      <c r="C618" s="33"/>
      <c r="D618" s="33"/>
      <c r="E618" s="33"/>
      <c r="F618" s="33"/>
      <c r="G618" s="33"/>
      <c r="H618" s="33"/>
      <c r="I618" s="33"/>
      <c r="J618" s="33"/>
    </row>
    <row r="619" spans="1:10" ht="12.5" x14ac:dyDescent="0.25">
      <c r="A619" s="63">
        <f>'Profit &amp; Loss'!A619</f>
        <v>0</v>
      </c>
      <c r="B619" s="33">
        <f>'Profit &amp; Loss'!B619</f>
        <v>0</v>
      </c>
      <c r="C619" s="33"/>
      <c r="D619" s="33"/>
      <c r="E619" s="33"/>
      <c r="F619" s="33"/>
      <c r="G619" s="33"/>
      <c r="H619" s="33"/>
      <c r="I619" s="33"/>
      <c r="J619" s="33"/>
    </row>
    <row r="620" spans="1:10" ht="12.5" x14ac:dyDescent="0.25">
      <c r="A620" s="63">
        <f>'Profit &amp; Loss'!A620</f>
        <v>0</v>
      </c>
      <c r="B620" s="33">
        <f>'Profit &amp; Loss'!B620</f>
        <v>0</v>
      </c>
      <c r="C620" s="33"/>
      <c r="D620" s="33"/>
      <c r="E620" s="33"/>
      <c r="F620" s="33"/>
      <c r="G620" s="33"/>
      <c r="H620" s="33"/>
      <c r="I620" s="33"/>
      <c r="J620" s="33"/>
    </row>
    <row r="621" spans="1:10" ht="12.5" x14ac:dyDescent="0.25">
      <c r="A621" s="63">
        <f>'Profit &amp; Loss'!A621</f>
        <v>0</v>
      </c>
      <c r="B621" s="33">
        <f>'Profit &amp; Loss'!B621</f>
        <v>0</v>
      </c>
      <c r="C621" s="33"/>
      <c r="D621" s="33"/>
      <c r="E621" s="33"/>
      <c r="F621" s="33"/>
      <c r="G621" s="33"/>
      <c r="H621" s="33"/>
      <c r="I621" s="33"/>
      <c r="J621" s="33"/>
    </row>
    <row r="622" spans="1:10" ht="12.5" x14ac:dyDescent="0.25">
      <c r="A622" s="63">
        <f>'Profit &amp; Loss'!A622</f>
        <v>0</v>
      </c>
      <c r="B622" s="33">
        <f>'Profit &amp; Loss'!B622</f>
        <v>0</v>
      </c>
      <c r="C622" s="33"/>
      <c r="D622" s="33"/>
      <c r="E622" s="33"/>
      <c r="F622" s="33"/>
      <c r="G622" s="33"/>
      <c r="H622" s="33"/>
      <c r="I622" s="33"/>
      <c r="J622" s="33"/>
    </row>
    <row r="623" spans="1:10" ht="12.5" x14ac:dyDescent="0.25">
      <c r="A623" s="63">
        <f>'Profit &amp; Loss'!A623</f>
        <v>0</v>
      </c>
      <c r="B623" s="33">
        <f>'Profit &amp; Loss'!B623</f>
        <v>0</v>
      </c>
      <c r="C623" s="33"/>
      <c r="D623" s="33"/>
      <c r="E623" s="33"/>
      <c r="F623" s="33"/>
      <c r="G623" s="33"/>
      <c r="H623" s="33"/>
      <c r="I623" s="33"/>
      <c r="J623" s="33"/>
    </row>
    <row r="624" spans="1:10" ht="12.5" x14ac:dyDescent="0.25">
      <c r="A624" s="63">
        <f>'Profit &amp; Loss'!A624</f>
        <v>0</v>
      </c>
      <c r="B624" s="33">
        <f>'Profit &amp; Loss'!B624</f>
        <v>0</v>
      </c>
      <c r="C624" s="33"/>
      <c r="D624" s="33"/>
      <c r="E624" s="33"/>
      <c r="F624" s="33"/>
      <c r="G624" s="33"/>
      <c r="H624" s="33"/>
      <c r="I624" s="33"/>
      <c r="J624" s="33"/>
    </row>
    <row r="625" spans="1:10" ht="12.5" x14ac:dyDescent="0.25">
      <c r="A625" s="63">
        <f>'Profit &amp; Loss'!A625</f>
        <v>0</v>
      </c>
      <c r="B625" s="33">
        <f>'Profit &amp; Loss'!B625</f>
        <v>0</v>
      </c>
      <c r="C625" s="33"/>
      <c r="D625" s="33"/>
      <c r="E625" s="33"/>
      <c r="F625" s="33"/>
      <c r="G625" s="33"/>
      <c r="H625" s="33"/>
      <c r="I625" s="33"/>
      <c r="J625" s="33"/>
    </row>
    <row r="626" spans="1:10" ht="12.5" x14ac:dyDescent="0.25">
      <c r="A626" s="63">
        <f>'Profit &amp; Loss'!A626</f>
        <v>0</v>
      </c>
      <c r="B626" s="33">
        <f>'Profit &amp; Loss'!B626</f>
        <v>0</v>
      </c>
      <c r="C626" s="33"/>
      <c r="D626" s="33"/>
      <c r="E626" s="33"/>
      <c r="F626" s="33"/>
      <c r="G626" s="33"/>
      <c r="H626" s="33"/>
      <c r="I626" s="33"/>
      <c r="J626" s="33"/>
    </row>
    <row r="627" spans="1:10" ht="12.5" x14ac:dyDescent="0.25">
      <c r="A627" s="63">
        <f>'Profit &amp; Loss'!A627</f>
        <v>0</v>
      </c>
      <c r="B627" s="33">
        <f>'Profit &amp; Loss'!B627</f>
        <v>0</v>
      </c>
      <c r="C627" s="33"/>
      <c r="D627" s="33"/>
      <c r="E627" s="33"/>
      <c r="F627" s="33"/>
      <c r="G627" s="33"/>
      <c r="H627" s="33"/>
      <c r="I627" s="33"/>
      <c r="J627" s="33"/>
    </row>
    <row r="628" spans="1:10" ht="12.5" x14ac:dyDescent="0.25">
      <c r="A628" s="63">
        <f>'Profit &amp; Loss'!A628</f>
        <v>0</v>
      </c>
      <c r="B628" s="33">
        <f>'Profit &amp; Loss'!B628</f>
        <v>0</v>
      </c>
      <c r="C628" s="33"/>
      <c r="D628" s="33"/>
      <c r="E628" s="33"/>
      <c r="F628" s="33"/>
      <c r="G628" s="33"/>
      <c r="H628" s="33"/>
      <c r="I628" s="33"/>
      <c r="J628" s="33"/>
    </row>
    <row r="629" spans="1:10" ht="12.5" x14ac:dyDescent="0.25">
      <c r="A629" s="63">
        <f>'Profit &amp; Loss'!A629</f>
        <v>0</v>
      </c>
      <c r="B629" s="33">
        <f>'Profit &amp; Loss'!B629</f>
        <v>0</v>
      </c>
      <c r="C629" s="33"/>
      <c r="D629" s="33"/>
      <c r="E629" s="33"/>
      <c r="F629" s="33"/>
      <c r="G629" s="33"/>
      <c r="H629" s="33"/>
      <c r="I629" s="33"/>
      <c r="J629" s="33"/>
    </row>
    <row r="630" spans="1:10" ht="12.5" x14ac:dyDescent="0.25">
      <c r="A630" s="63">
        <f>'Profit &amp; Loss'!A630</f>
        <v>0</v>
      </c>
      <c r="B630" s="33">
        <f>'Profit &amp; Loss'!B630</f>
        <v>0</v>
      </c>
      <c r="C630" s="33"/>
      <c r="D630" s="33"/>
      <c r="E630" s="33"/>
      <c r="F630" s="33"/>
      <c r="G630" s="33"/>
      <c r="H630" s="33"/>
      <c r="I630" s="33"/>
      <c r="J630" s="33"/>
    </row>
    <row r="631" spans="1:10" ht="12.5" x14ac:dyDescent="0.25">
      <c r="A631" s="63">
        <f>'Profit &amp; Loss'!A631</f>
        <v>0</v>
      </c>
      <c r="B631" s="33">
        <f>'Profit &amp; Loss'!B631</f>
        <v>0</v>
      </c>
      <c r="C631" s="33"/>
      <c r="D631" s="33"/>
      <c r="E631" s="33"/>
      <c r="F631" s="33"/>
      <c r="G631" s="33"/>
      <c r="H631" s="33"/>
      <c r="I631" s="33"/>
      <c r="J631" s="33"/>
    </row>
    <row r="632" spans="1:10" ht="12.5" x14ac:dyDescent="0.25">
      <c r="A632" s="63">
        <f>'Profit &amp; Loss'!A632</f>
        <v>0</v>
      </c>
      <c r="B632" s="33">
        <f>'Profit &amp; Loss'!B632</f>
        <v>0</v>
      </c>
      <c r="C632" s="33"/>
      <c r="D632" s="33"/>
      <c r="E632" s="33"/>
      <c r="F632" s="33"/>
      <c r="G632" s="33"/>
      <c r="H632" s="33"/>
      <c r="I632" s="33"/>
      <c r="J632" s="33"/>
    </row>
    <row r="633" spans="1:10" ht="12.5" x14ac:dyDescent="0.25">
      <c r="A633" s="63">
        <f>'Profit &amp; Loss'!A633</f>
        <v>0</v>
      </c>
      <c r="B633" s="33">
        <f>'Profit &amp; Loss'!B633</f>
        <v>0</v>
      </c>
      <c r="C633" s="33"/>
      <c r="D633" s="33"/>
      <c r="E633" s="33"/>
      <c r="F633" s="33"/>
      <c r="G633" s="33"/>
      <c r="H633" s="33"/>
      <c r="I633" s="33"/>
      <c r="J633" s="33"/>
    </row>
    <row r="634" spans="1:10" ht="12.5" x14ac:dyDescent="0.25">
      <c r="A634" s="63">
        <f>'Profit &amp; Loss'!A634</f>
        <v>0</v>
      </c>
      <c r="B634" s="33">
        <f>'Profit &amp; Loss'!B634</f>
        <v>0</v>
      </c>
      <c r="C634" s="33"/>
      <c r="D634" s="33"/>
      <c r="E634" s="33"/>
      <c r="F634" s="33"/>
      <c r="G634" s="33"/>
      <c r="H634" s="33"/>
      <c r="I634" s="33"/>
      <c r="J634" s="33"/>
    </row>
    <row r="635" spans="1:10" ht="12.5" x14ac:dyDescent="0.25">
      <c r="A635" s="63">
        <f>'Profit &amp; Loss'!A635</f>
        <v>0</v>
      </c>
      <c r="B635" s="33">
        <f>'Profit &amp; Loss'!B635</f>
        <v>0</v>
      </c>
      <c r="C635" s="33"/>
      <c r="D635" s="33"/>
      <c r="E635" s="33"/>
      <c r="F635" s="33"/>
      <c r="G635" s="33"/>
      <c r="H635" s="33"/>
      <c r="I635" s="33"/>
      <c r="J635" s="33"/>
    </row>
    <row r="636" spans="1:10" ht="12.5" x14ac:dyDescent="0.25">
      <c r="A636" s="63">
        <f>'Profit &amp; Loss'!A636</f>
        <v>0</v>
      </c>
      <c r="B636" s="33">
        <f>'Profit &amp; Loss'!B636</f>
        <v>0</v>
      </c>
      <c r="C636" s="33"/>
      <c r="D636" s="33"/>
      <c r="E636" s="33"/>
      <c r="F636" s="33"/>
      <c r="G636" s="33"/>
      <c r="H636" s="33"/>
      <c r="I636" s="33"/>
      <c r="J636" s="33"/>
    </row>
    <row r="637" spans="1:10" ht="12.5" x14ac:dyDescent="0.25">
      <c r="A637" s="63">
        <f>'Profit &amp; Loss'!A637</f>
        <v>0</v>
      </c>
      <c r="B637" s="33">
        <f>'Profit &amp; Loss'!B637</f>
        <v>0</v>
      </c>
      <c r="C637" s="33"/>
      <c r="D637" s="33"/>
      <c r="E637" s="33"/>
      <c r="F637" s="33"/>
      <c r="G637" s="33"/>
      <c r="H637" s="33"/>
      <c r="I637" s="33"/>
      <c r="J637" s="33"/>
    </row>
    <row r="638" spans="1:10" ht="12.5" x14ac:dyDescent="0.25">
      <c r="A638" s="63">
        <f>'Profit &amp; Loss'!A638</f>
        <v>0</v>
      </c>
      <c r="B638" s="33">
        <f>'Profit &amp; Loss'!B638</f>
        <v>0</v>
      </c>
      <c r="C638" s="33"/>
      <c r="D638" s="33"/>
      <c r="E638" s="33"/>
      <c r="F638" s="33"/>
      <c r="G638" s="33"/>
      <c r="H638" s="33"/>
      <c r="I638" s="33"/>
      <c r="J638" s="33"/>
    </row>
    <row r="639" spans="1:10" ht="12.5" x14ac:dyDescent="0.25">
      <c r="A639" s="63">
        <f>'Profit &amp; Loss'!A639</f>
        <v>0</v>
      </c>
      <c r="B639" s="33">
        <f>'Profit &amp; Loss'!B639</f>
        <v>0</v>
      </c>
      <c r="C639" s="33"/>
      <c r="D639" s="33"/>
      <c r="E639" s="33"/>
      <c r="F639" s="33"/>
      <c r="G639" s="33"/>
      <c r="H639" s="33"/>
      <c r="I639" s="33"/>
      <c r="J639" s="33"/>
    </row>
    <row r="640" spans="1:10" ht="12.5" x14ac:dyDescent="0.25">
      <c r="A640" s="63">
        <f>'Profit &amp; Loss'!A640</f>
        <v>0</v>
      </c>
      <c r="B640" s="33">
        <f>'Profit &amp; Loss'!B640</f>
        <v>0</v>
      </c>
      <c r="C640" s="33"/>
      <c r="D640" s="33"/>
      <c r="E640" s="33"/>
      <c r="F640" s="33"/>
      <c r="G640" s="33"/>
      <c r="H640" s="33"/>
      <c r="I640" s="33"/>
      <c r="J640" s="33"/>
    </row>
    <row r="641" spans="1:10" ht="12.5" x14ac:dyDescent="0.25">
      <c r="A641" s="63">
        <f>'Profit &amp; Loss'!A641</f>
        <v>0</v>
      </c>
      <c r="B641" s="33">
        <f>'Profit &amp; Loss'!B641</f>
        <v>0</v>
      </c>
      <c r="C641" s="33"/>
      <c r="D641" s="33"/>
      <c r="E641" s="33"/>
      <c r="F641" s="33"/>
      <c r="G641" s="33"/>
      <c r="H641" s="33"/>
      <c r="I641" s="33"/>
      <c r="J641" s="33"/>
    </row>
    <row r="642" spans="1:10" ht="12.5" x14ac:dyDescent="0.25">
      <c r="A642" s="63">
        <f>'Profit &amp; Loss'!A642</f>
        <v>0</v>
      </c>
      <c r="B642" s="33">
        <f>'Profit &amp; Loss'!B642</f>
        <v>0</v>
      </c>
      <c r="C642" s="33"/>
      <c r="D642" s="33"/>
      <c r="E642" s="33"/>
      <c r="F642" s="33"/>
      <c r="G642" s="33"/>
      <c r="H642" s="33"/>
      <c r="I642" s="33"/>
      <c r="J642" s="33"/>
    </row>
    <row r="643" spans="1:10" ht="12.5" x14ac:dyDescent="0.25">
      <c r="A643" s="63">
        <f>'Profit &amp; Loss'!A643</f>
        <v>0</v>
      </c>
      <c r="B643" s="33">
        <f>'Profit &amp; Loss'!B643</f>
        <v>0</v>
      </c>
      <c r="C643" s="33"/>
      <c r="D643" s="33"/>
      <c r="E643" s="33"/>
      <c r="F643" s="33"/>
      <c r="G643" s="33"/>
      <c r="H643" s="33"/>
      <c r="I643" s="33"/>
      <c r="J643" s="33"/>
    </row>
    <row r="644" spans="1:10" ht="12.5" x14ac:dyDescent="0.25">
      <c r="A644" s="63">
        <f>'Profit &amp; Loss'!A644</f>
        <v>0</v>
      </c>
      <c r="B644" s="33">
        <f>'Profit &amp; Loss'!B644</f>
        <v>0</v>
      </c>
      <c r="C644" s="33"/>
      <c r="D644" s="33"/>
      <c r="E644" s="33"/>
      <c r="F644" s="33"/>
      <c r="G644" s="33"/>
      <c r="H644" s="33"/>
      <c r="I644" s="33"/>
      <c r="J644" s="33"/>
    </row>
    <row r="645" spans="1:10" ht="12.5" x14ac:dyDescent="0.25">
      <c r="A645" s="63">
        <f>'Profit &amp; Loss'!A645</f>
        <v>0</v>
      </c>
      <c r="B645" s="33">
        <f>'Profit &amp; Loss'!B645</f>
        <v>0</v>
      </c>
      <c r="C645" s="33"/>
      <c r="D645" s="33"/>
      <c r="E645" s="33"/>
      <c r="F645" s="33"/>
      <c r="G645" s="33"/>
      <c r="H645" s="33"/>
      <c r="I645" s="33"/>
      <c r="J645" s="33"/>
    </row>
    <row r="646" spans="1:10" ht="12.5" x14ac:dyDescent="0.25">
      <c r="A646" s="63">
        <f>'Profit &amp; Loss'!A646</f>
        <v>0</v>
      </c>
      <c r="B646" s="33">
        <f>'Profit &amp; Loss'!B646</f>
        <v>0</v>
      </c>
      <c r="C646" s="33"/>
      <c r="D646" s="33"/>
      <c r="E646" s="33"/>
      <c r="F646" s="33"/>
      <c r="G646" s="33"/>
      <c r="H646" s="33"/>
      <c r="I646" s="33"/>
      <c r="J646" s="33"/>
    </row>
    <row r="647" spans="1:10" ht="12.5" x14ac:dyDescent="0.25">
      <c r="A647" s="63">
        <f>'Profit &amp; Loss'!A647</f>
        <v>0</v>
      </c>
      <c r="B647" s="33">
        <f>'Profit &amp; Loss'!B647</f>
        <v>0</v>
      </c>
      <c r="C647" s="33"/>
      <c r="D647" s="33"/>
      <c r="E647" s="33"/>
      <c r="F647" s="33"/>
      <c r="G647" s="33"/>
      <c r="H647" s="33"/>
      <c r="I647" s="33"/>
      <c r="J647" s="33"/>
    </row>
    <row r="648" spans="1:10" ht="12.5" x14ac:dyDescent="0.25">
      <c r="A648" s="63">
        <f>'Profit &amp; Loss'!A648</f>
        <v>0</v>
      </c>
      <c r="B648" s="33">
        <f>'Profit &amp; Loss'!B648</f>
        <v>0</v>
      </c>
      <c r="C648" s="33"/>
      <c r="D648" s="33"/>
      <c r="E648" s="33"/>
      <c r="F648" s="33"/>
      <c r="G648" s="33"/>
      <c r="H648" s="33"/>
      <c r="I648" s="33"/>
      <c r="J648" s="33"/>
    </row>
    <row r="649" spans="1:10" ht="12.5" x14ac:dyDescent="0.25">
      <c r="A649" s="63">
        <f>'Profit &amp; Loss'!A649</f>
        <v>0</v>
      </c>
      <c r="B649" s="33">
        <f>'Profit &amp; Loss'!B649</f>
        <v>0</v>
      </c>
      <c r="C649" s="33"/>
      <c r="D649" s="33"/>
      <c r="E649" s="33"/>
      <c r="F649" s="33"/>
      <c r="G649" s="33"/>
      <c r="H649" s="33"/>
      <c r="I649" s="33"/>
      <c r="J649" s="33"/>
    </row>
    <row r="650" spans="1:10" ht="12.5" x14ac:dyDescent="0.25">
      <c r="A650" s="63">
        <f>'Profit &amp; Loss'!A650</f>
        <v>0</v>
      </c>
      <c r="B650" s="33">
        <f>'Profit &amp; Loss'!B650</f>
        <v>0</v>
      </c>
      <c r="C650" s="33"/>
      <c r="D650" s="33"/>
      <c r="E650" s="33"/>
      <c r="F650" s="33"/>
      <c r="G650" s="33"/>
      <c r="H650" s="33"/>
      <c r="I650" s="33"/>
      <c r="J650" s="33"/>
    </row>
    <row r="651" spans="1:10" ht="12.5" x14ac:dyDescent="0.25">
      <c r="A651" s="63">
        <f>'Profit &amp; Loss'!A651</f>
        <v>0</v>
      </c>
      <c r="B651" s="33">
        <f>'Profit &amp; Loss'!B651</f>
        <v>0</v>
      </c>
      <c r="C651" s="33"/>
      <c r="D651" s="33"/>
      <c r="E651" s="33"/>
      <c r="F651" s="33"/>
      <c r="G651" s="33"/>
      <c r="H651" s="33"/>
      <c r="I651" s="33"/>
      <c r="J651" s="33"/>
    </row>
    <row r="652" spans="1:10" ht="12.5" x14ac:dyDescent="0.25">
      <c r="A652" s="63">
        <f>'Profit &amp; Loss'!A652</f>
        <v>0</v>
      </c>
      <c r="B652" s="33">
        <f>'Profit &amp; Loss'!B652</f>
        <v>0</v>
      </c>
      <c r="C652" s="33"/>
      <c r="D652" s="33"/>
      <c r="E652" s="33"/>
      <c r="F652" s="33"/>
      <c r="G652" s="33"/>
      <c r="H652" s="33"/>
      <c r="I652" s="33"/>
      <c r="J652" s="33"/>
    </row>
    <row r="653" spans="1:10" ht="12.5" x14ac:dyDescent="0.25">
      <c r="A653" s="63">
        <f>'Profit &amp; Loss'!A653</f>
        <v>0</v>
      </c>
      <c r="B653" s="33">
        <f>'Profit &amp; Loss'!B653</f>
        <v>0</v>
      </c>
      <c r="C653" s="33"/>
      <c r="D653" s="33"/>
      <c r="E653" s="33"/>
      <c r="F653" s="33"/>
      <c r="G653" s="33"/>
      <c r="H653" s="33"/>
      <c r="I653" s="33"/>
      <c r="J653" s="33"/>
    </row>
    <row r="654" spans="1:10" ht="12.5" x14ac:dyDescent="0.25">
      <c r="A654" s="63">
        <f>'Profit &amp; Loss'!A654</f>
        <v>0</v>
      </c>
      <c r="B654" s="33">
        <f>'Profit &amp; Loss'!B654</f>
        <v>0</v>
      </c>
      <c r="C654" s="33"/>
      <c r="D654" s="33"/>
      <c r="E654" s="33"/>
      <c r="F654" s="33"/>
      <c r="G654" s="33"/>
      <c r="H654" s="33"/>
      <c r="I654" s="33"/>
      <c r="J654" s="33"/>
    </row>
    <row r="655" spans="1:10" ht="12.5" x14ac:dyDescent="0.25">
      <c r="A655" s="63">
        <f>'Profit &amp; Loss'!A655</f>
        <v>0</v>
      </c>
      <c r="B655" s="33">
        <f>'Profit &amp; Loss'!B655</f>
        <v>0</v>
      </c>
      <c r="C655" s="33"/>
      <c r="D655" s="33"/>
      <c r="E655" s="33"/>
      <c r="F655" s="33"/>
      <c r="G655" s="33"/>
      <c r="H655" s="33"/>
      <c r="I655" s="33"/>
      <c r="J655" s="33"/>
    </row>
    <row r="656" spans="1:10" ht="12.5" x14ac:dyDescent="0.25">
      <c r="A656" s="63">
        <f>'Profit &amp; Loss'!A656</f>
        <v>0</v>
      </c>
      <c r="B656" s="33">
        <f>'Profit &amp; Loss'!B656</f>
        <v>0</v>
      </c>
      <c r="C656" s="33"/>
      <c r="D656" s="33"/>
      <c r="E656" s="33"/>
      <c r="F656" s="33"/>
      <c r="G656" s="33"/>
      <c r="H656" s="33"/>
      <c r="I656" s="33"/>
      <c r="J656" s="33"/>
    </row>
    <row r="657" spans="1:10" ht="12.5" x14ac:dyDescent="0.25">
      <c r="A657" s="63">
        <f>'Profit &amp; Loss'!A657</f>
        <v>0</v>
      </c>
      <c r="B657" s="33">
        <f>'Profit &amp; Loss'!B657</f>
        <v>0</v>
      </c>
      <c r="C657" s="33"/>
      <c r="D657" s="33"/>
      <c r="E657" s="33"/>
      <c r="F657" s="33"/>
      <c r="G657" s="33"/>
      <c r="H657" s="33"/>
      <c r="I657" s="33"/>
      <c r="J657" s="33"/>
    </row>
    <row r="658" spans="1:10" ht="12.5" x14ac:dyDescent="0.25">
      <c r="A658" s="63">
        <f>'Profit &amp; Loss'!A658</f>
        <v>0</v>
      </c>
      <c r="B658" s="33">
        <f>'Profit &amp; Loss'!B658</f>
        <v>0</v>
      </c>
      <c r="C658" s="33"/>
      <c r="D658" s="33"/>
      <c r="E658" s="33"/>
      <c r="F658" s="33"/>
      <c r="G658" s="33"/>
      <c r="H658" s="33"/>
      <c r="I658" s="33"/>
      <c r="J658" s="33"/>
    </row>
    <row r="659" spans="1:10" ht="12.5" x14ac:dyDescent="0.25">
      <c r="A659" s="63">
        <f>'Profit &amp; Loss'!A659</f>
        <v>0</v>
      </c>
      <c r="B659" s="33">
        <f>'Profit &amp; Loss'!B659</f>
        <v>0</v>
      </c>
      <c r="C659" s="33"/>
      <c r="D659" s="33"/>
      <c r="E659" s="33"/>
      <c r="F659" s="33"/>
      <c r="G659" s="33"/>
      <c r="H659" s="33"/>
      <c r="I659" s="33"/>
      <c r="J659" s="33"/>
    </row>
    <row r="660" spans="1:10" ht="12.5" x14ac:dyDescent="0.25">
      <c r="A660" s="63">
        <f>'Profit &amp; Loss'!A660</f>
        <v>0</v>
      </c>
      <c r="B660" s="33">
        <f>'Profit &amp; Loss'!B660</f>
        <v>0</v>
      </c>
      <c r="C660" s="33"/>
      <c r="D660" s="33"/>
      <c r="E660" s="33"/>
      <c r="F660" s="33"/>
      <c r="G660" s="33"/>
      <c r="H660" s="33"/>
      <c r="I660" s="33"/>
      <c r="J660" s="33"/>
    </row>
    <row r="661" spans="1:10" ht="12.5" x14ac:dyDescent="0.25">
      <c r="A661" s="63">
        <f>'Profit &amp; Loss'!A661</f>
        <v>0</v>
      </c>
      <c r="B661" s="33">
        <f>'Profit &amp; Loss'!B661</f>
        <v>0</v>
      </c>
      <c r="C661" s="33"/>
      <c r="D661" s="33"/>
      <c r="E661" s="33"/>
      <c r="F661" s="33"/>
      <c r="G661" s="33"/>
      <c r="H661" s="33"/>
      <c r="I661" s="33"/>
      <c r="J661" s="33"/>
    </row>
    <row r="662" spans="1:10" ht="12.5" x14ac:dyDescent="0.25">
      <c r="A662" s="63">
        <f>'Profit &amp; Loss'!A662</f>
        <v>0</v>
      </c>
      <c r="B662" s="33">
        <f>'Profit &amp; Loss'!B662</f>
        <v>0</v>
      </c>
      <c r="C662" s="33"/>
      <c r="D662" s="33"/>
      <c r="E662" s="33"/>
      <c r="F662" s="33"/>
      <c r="G662" s="33"/>
      <c r="H662" s="33"/>
      <c r="I662" s="33"/>
      <c r="J662" s="33"/>
    </row>
    <row r="663" spans="1:10" ht="12.5" x14ac:dyDescent="0.25">
      <c r="A663" s="63">
        <f>'Profit &amp; Loss'!A663</f>
        <v>0</v>
      </c>
      <c r="B663" s="33">
        <f>'Profit &amp; Loss'!B663</f>
        <v>0</v>
      </c>
      <c r="C663" s="33"/>
      <c r="D663" s="33"/>
      <c r="E663" s="33"/>
      <c r="F663" s="33"/>
      <c r="G663" s="33"/>
      <c r="H663" s="33"/>
      <c r="I663" s="33"/>
      <c r="J663" s="33"/>
    </row>
    <row r="664" spans="1:10" ht="12.5" x14ac:dyDescent="0.25">
      <c r="A664" s="63">
        <f>'Profit &amp; Loss'!A664</f>
        <v>0</v>
      </c>
      <c r="B664" s="33">
        <f>'Profit &amp; Loss'!B664</f>
        <v>0</v>
      </c>
      <c r="C664" s="33"/>
      <c r="D664" s="33"/>
      <c r="E664" s="33"/>
      <c r="F664" s="33"/>
      <c r="G664" s="33"/>
      <c r="H664" s="33"/>
      <c r="I664" s="33"/>
      <c r="J664" s="33"/>
    </row>
    <row r="665" spans="1:10" ht="12.5" x14ac:dyDescent="0.25">
      <c r="A665" s="63">
        <f>'Profit &amp; Loss'!A665</f>
        <v>0</v>
      </c>
      <c r="B665" s="33">
        <f>'Profit &amp; Loss'!B665</f>
        <v>0</v>
      </c>
      <c r="C665" s="33"/>
      <c r="D665" s="33"/>
      <c r="E665" s="33"/>
      <c r="F665" s="33"/>
      <c r="G665" s="33"/>
      <c r="H665" s="33"/>
      <c r="I665" s="33"/>
      <c r="J665" s="33"/>
    </row>
    <row r="666" spans="1:10" ht="12.5" x14ac:dyDescent="0.25">
      <c r="A666" s="63">
        <f>'Profit &amp; Loss'!A666</f>
        <v>0</v>
      </c>
      <c r="B666" s="33">
        <f>'Profit &amp; Loss'!B666</f>
        <v>0</v>
      </c>
      <c r="C666" s="33"/>
      <c r="D666" s="33"/>
      <c r="E666" s="33"/>
      <c r="F666" s="33"/>
      <c r="G666" s="33"/>
      <c r="H666" s="33"/>
      <c r="I666" s="33"/>
      <c r="J666" s="33"/>
    </row>
    <row r="667" spans="1:10" ht="12.5" x14ac:dyDescent="0.25">
      <c r="A667" s="63">
        <f>'Profit &amp; Loss'!A667</f>
        <v>0</v>
      </c>
      <c r="B667" s="33">
        <f>'Profit &amp; Loss'!B667</f>
        <v>0</v>
      </c>
      <c r="C667" s="33"/>
      <c r="D667" s="33"/>
      <c r="E667" s="33"/>
      <c r="F667" s="33"/>
      <c r="G667" s="33"/>
      <c r="H667" s="33"/>
      <c r="I667" s="33"/>
      <c r="J667" s="33"/>
    </row>
    <row r="668" spans="1:10" ht="12.5" x14ac:dyDescent="0.25">
      <c r="A668" s="63">
        <f>'Profit &amp; Loss'!A668</f>
        <v>0</v>
      </c>
      <c r="B668" s="33">
        <f>'Profit &amp; Loss'!B668</f>
        <v>0</v>
      </c>
      <c r="C668" s="33"/>
      <c r="D668" s="33"/>
      <c r="E668" s="33"/>
      <c r="F668" s="33"/>
      <c r="G668" s="33"/>
      <c r="H668" s="33"/>
      <c r="I668" s="33"/>
      <c r="J668" s="33"/>
    </row>
    <row r="669" spans="1:10" ht="12.5" x14ac:dyDescent="0.25">
      <c r="A669" s="63">
        <f>'Profit &amp; Loss'!A669</f>
        <v>0</v>
      </c>
      <c r="B669" s="33">
        <f>'Profit &amp; Loss'!B669</f>
        <v>0</v>
      </c>
      <c r="C669" s="33"/>
      <c r="D669" s="33"/>
      <c r="E669" s="33"/>
      <c r="F669" s="33"/>
      <c r="G669" s="33"/>
      <c r="H669" s="33"/>
      <c r="I669" s="33"/>
      <c r="J669" s="33"/>
    </row>
    <row r="670" spans="1:10" ht="12.5" x14ac:dyDescent="0.25">
      <c r="A670" s="63">
        <f>'Profit &amp; Loss'!A670</f>
        <v>0</v>
      </c>
      <c r="B670" s="33">
        <f>'Profit &amp; Loss'!B670</f>
        <v>0</v>
      </c>
      <c r="C670" s="33"/>
      <c r="D670" s="33"/>
      <c r="E670" s="33"/>
      <c r="F670" s="33"/>
      <c r="G670" s="33"/>
      <c r="H670" s="33"/>
      <c r="I670" s="33"/>
      <c r="J670" s="33"/>
    </row>
    <row r="671" spans="1:10" ht="12.5" x14ac:dyDescent="0.25">
      <c r="A671" s="63">
        <f>'Profit &amp; Loss'!A671</f>
        <v>0</v>
      </c>
      <c r="B671" s="33">
        <f>'Profit &amp; Loss'!B671</f>
        <v>0</v>
      </c>
      <c r="C671" s="33"/>
      <c r="D671" s="33"/>
      <c r="E671" s="33"/>
      <c r="F671" s="33"/>
      <c r="G671" s="33"/>
      <c r="H671" s="33"/>
      <c r="I671" s="33"/>
      <c r="J671" s="33"/>
    </row>
    <row r="672" spans="1:10" ht="12.5" x14ac:dyDescent="0.25">
      <c r="A672" s="63">
        <f>'Profit &amp; Loss'!A672</f>
        <v>0</v>
      </c>
      <c r="B672" s="33">
        <f>'Profit &amp; Loss'!B672</f>
        <v>0</v>
      </c>
      <c r="C672" s="33"/>
      <c r="D672" s="33"/>
      <c r="E672" s="33"/>
      <c r="F672" s="33"/>
      <c r="G672" s="33"/>
      <c r="H672" s="33"/>
      <c r="I672" s="33"/>
      <c r="J672" s="33"/>
    </row>
    <row r="673" spans="1:10" ht="12.5" x14ac:dyDescent="0.25">
      <c r="A673" s="63">
        <f>'Profit &amp; Loss'!A673</f>
        <v>0</v>
      </c>
      <c r="B673" s="33">
        <f>'Profit &amp; Loss'!B673</f>
        <v>0</v>
      </c>
      <c r="C673" s="33"/>
      <c r="D673" s="33"/>
      <c r="E673" s="33"/>
      <c r="F673" s="33"/>
      <c r="G673" s="33"/>
      <c r="H673" s="33"/>
      <c r="I673" s="33"/>
      <c r="J673" s="33"/>
    </row>
    <row r="674" spans="1:10" ht="12.5" x14ac:dyDescent="0.25">
      <c r="A674" s="63">
        <f>'Profit &amp; Loss'!A674</f>
        <v>0</v>
      </c>
      <c r="B674" s="33">
        <f>'Profit &amp; Loss'!B674</f>
        <v>0</v>
      </c>
      <c r="C674" s="33"/>
      <c r="D674" s="33"/>
      <c r="E674" s="33"/>
      <c r="F674" s="33"/>
      <c r="G674" s="33"/>
      <c r="H674" s="33"/>
      <c r="I674" s="33"/>
      <c r="J674" s="33"/>
    </row>
    <row r="675" spans="1:10" ht="12.5" x14ac:dyDescent="0.25">
      <c r="A675" s="63">
        <f>'Profit &amp; Loss'!A675</f>
        <v>0</v>
      </c>
      <c r="B675" s="33">
        <f>'Profit &amp; Loss'!B675</f>
        <v>0</v>
      </c>
      <c r="C675" s="33"/>
      <c r="D675" s="33"/>
      <c r="E675" s="33"/>
      <c r="F675" s="33"/>
      <c r="G675" s="33"/>
      <c r="H675" s="33"/>
      <c r="I675" s="33"/>
      <c r="J675" s="33"/>
    </row>
    <row r="676" spans="1:10" ht="12.5" x14ac:dyDescent="0.25">
      <c r="A676" s="63">
        <f>'Profit &amp; Loss'!A676</f>
        <v>0</v>
      </c>
      <c r="B676" s="33">
        <f>'Profit &amp; Loss'!B676</f>
        <v>0</v>
      </c>
      <c r="C676" s="33"/>
      <c r="D676" s="33"/>
      <c r="E676" s="33"/>
      <c r="F676" s="33"/>
      <c r="G676" s="33"/>
      <c r="H676" s="33"/>
      <c r="I676" s="33"/>
      <c r="J676" s="33"/>
    </row>
    <row r="677" spans="1:10" ht="12.5" x14ac:dyDescent="0.25">
      <c r="A677" s="63">
        <f>'Profit &amp; Loss'!A677</f>
        <v>0</v>
      </c>
      <c r="B677" s="33">
        <f>'Profit &amp; Loss'!B677</f>
        <v>0</v>
      </c>
      <c r="C677" s="33"/>
      <c r="D677" s="33"/>
      <c r="E677" s="33"/>
      <c r="F677" s="33"/>
      <c r="G677" s="33"/>
      <c r="H677" s="33"/>
      <c r="I677" s="33"/>
      <c r="J677" s="33"/>
    </row>
    <row r="678" spans="1:10" ht="12.5" x14ac:dyDescent="0.25">
      <c r="A678" s="63">
        <f>'Profit &amp; Loss'!A678</f>
        <v>0</v>
      </c>
      <c r="B678" s="33">
        <f>'Profit &amp; Loss'!B678</f>
        <v>0</v>
      </c>
      <c r="C678" s="33"/>
      <c r="D678" s="33"/>
      <c r="E678" s="33"/>
      <c r="F678" s="33"/>
      <c r="G678" s="33"/>
      <c r="H678" s="33"/>
      <c r="I678" s="33"/>
      <c r="J678" s="33"/>
    </row>
    <row r="679" spans="1:10" ht="12.5" x14ac:dyDescent="0.25">
      <c r="A679" s="63">
        <f>'Profit &amp; Loss'!A679</f>
        <v>0</v>
      </c>
      <c r="B679" s="33">
        <f>'Profit &amp; Loss'!B679</f>
        <v>0</v>
      </c>
      <c r="C679" s="33"/>
      <c r="D679" s="33"/>
      <c r="E679" s="33"/>
      <c r="F679" s="33"/>
      <c r="G679" s="33"/>
      <c r="H679" s="33"/>
      <c r="I679" s="33"/>
      <c r="J679" s="33"/>
    </row>
    <row r="680" spans="1:10" ht="12.5" x14ac:dyDescent="0.25">
      <c r="A680" s="63">
        <f>'Profit &amp; Loss'!A680</f>
        <v>0</v>
      </c>
      <c r="B680" s="33">
        <f>'Profit &amp; Loss'!B680</f>
        <v>0</v>
      </c>
      <c r="C680" s="33"/>
      <c r="D680" s="33"/>
      <c r="E680" s="33"/>
      <c r="F680" s="33"/>
      <c r="G680" s="33"/>
      <c r="H680" s="33"/>
      <c r="I680" s="33"/>
      <c r="J680" s="33"/>
    </row>
    <row r="681" spans="1:10" ht="12.5" x14ac:dyDescent="0.25">
      <c r="A681" s="63">
        <f>'Profit &amp; Loss'!A681</f>
        <v>0</v>
      </c>
      <c r="B681" s="33">
        <f>'Profit &amp; Loss'!B681</f>
        <v>0</v>
      </c>
      <c r="C681" s="33"/>
      <c r="D681" s="33"/>
      <c r="E681" s="33"/>
      <c r="F681" s="33"/>
      <c r="G681" s="33"/>
      <c r="H681" s="33"/>
      <c r="I681" s="33"/>
      <c r="J681" s="33"/>
    </row>
    <row r="682" spans="1:10" ht="12.5" x14ac:dyDescent="0.25">
      <c r="A682" s="63">
        <f>'Profit &amp; Loss'!A682</f>
        <v>0</v>
      </c>
      <c r="B682" s="33">
        <f>'Profit &amp; Loss'!B682</f>
        <v>0</v>
      </c>
      <c r="C682" s="33"/>
      <c r="D682" s="33"/>
      <c r="E682" s="33"/>
      <c r="F682" s="33"/>
      <c r="G682" s="33"/>
      <c r="H682" s="33"/>
      <c r="I682" s="33"/>
      <c r="J682" s="33"/>
    </row>
    <row r="683" spans="1:10" ht="12.5" x14ac:dyDescent="0.25">
      <c r="A683" s="63">
        <f>'Profit &amp; Loss'!A683</f>
        <v>0</v>
      </c>
      <c r="B683" s="33">
        <f>'Profit &amp; Loss'!B683</f>
        <v>0</v>
      </c>
      <c r="C683" s="33"/>
      <c r="D683" s="33"/>
      <c r="E683" s="33"/>
      <c r="F683" s="33"/>
      <c r="G683" s="33"/>
      <c r="H683" s="33"/>
      <c r="I683" s="33"/>
      <c r="J683" s="33"/>
    </row>
    <row r="684" spans="1:10" ht="12.5" x14ac:dyDescent="0.25">
      <c r="A684" s="63">
        <f>'Profit &amp; Loss'!A684</f>
        <v>0</v>
      </c>
      <c r="B684" s="33">
        <f>'Profit &amp; Loss'!B684</f>
        <v>0</v>
      </c>
      <c r="C684" s="33"/>
      <c r="D684" s="33"/>
      <c r="E684" s="33"/>
      <c r="F684" s="33"/>
      <c r="G684" s="33"/>
      <c r="H684" s="33"/>
      <c r="I684" s="33"/>
      <c r="J684" s="33"/>
    </row>
    <row r="685" spans="1:10" ht="12.5" x14ac:dyDescent="0.25">
      <c r="A685" s="63">
        <f>'Profit &amp; Loss'!A685</f>
        <v>0</v>
      </c>
      <c r="B685" s="33">
        <f>'Profit &amp; Loss'!B685</f>
        <v>0</v>
      </c>
      <c r="C685" s="33"/>
      <c r="D685" s="33"/>
      <c r="E685" s="33"/>
      <c r="F685" s="33"/>
      <c r="G685" s="33"/>
      <c r="H685" s="33"/>
      <c r="I685" s="33"/>
      <c r="J685" s="33"/>
    </row>
    <row r="686" spans="1:10" ht="12.5" x14ac:dyDescent="0.25">
      <c r="A686" s="63">
        <f>'Profit &amp; Loss'!A686</f>
        <v>0</v>
      </c>
      <c r="B686" s="33">
        <f>'Profit &amp; Loss'!B686</f>
        <v>0</v>
      </c>
      <c r="C686" s="33"/>
      <c r="D686" s="33"/>
      <c r="E686" s="33"/>
      <c r="F686" s="33"/>
      <c r="G686" s="33"/>
      <c r="H686" s="33"/>
      <c r="I686" s="33"/>
      <c r="J686" s="33"/>
    </row>
    <row r="687" spans="1:10" ht="12.5" x14ac:dyDescent="0.25">
      <c r="A687" s="63">
        <f>'Profit &amp; Loss'!A687</f>
        <v>0</v>
      </c>
      <c r="B687" s="33">
        <f>'Profit &amp; Loss'!B687</f>
        <v>0</v>
      </c>
      <c r="C687" s="33"/>
      <c r="D687" s="33"/>
      <c r="E687" s="33"/>
      <c r="F687" s="33"/>
      <c r="G687" s="33"/>
      <c r="H687" s="33"/>
      <c r="I687" s="33"/>
      <c r="J687" s="33"/>
    </row>
    <row r="688" spans="1:10" ht="12.5" x14ac:dyDescent="0.25">
      <c r="A688" s="63">
        <f>'Profit &amp; Loss'!A688</f>
        <v>0</v>
      </c>
      <c r="B688" s="33">
        <f>'Profit &amp; Loss'!B688</f>
        <v>0</v>
      </c>
      <c r="C688" s="33"/>
      <c r="D688" s="33"/>
      <c r="E688" s="33"/>
      <c r="F688" s="33"/>
      <c r="G688" s="33"/>
      <c r="H688" s="33"/>
      <c r="I688" s="33"/>
      <c r="J688" s="33"/>
    </row>
    <row r="689" spans="1:10" ht="12.5" x14ac:dyDescent="0.25">
      <c r="A689" s="63">
        <f>'Profit &amp; Loss'!A689</f>
        <v>0</v>
      </c>
      <c r="B689" s="33">
        <f>'Profit &amp; Loss'!B689</f>
        <v>0</v>
      </c>
      <c r="C689" s="33"/>
      <c r="D689" s="33"/>
      <c r="E689" s="33"/>
      <c r="F689" s="33"/>
      <c r="G689" s="33"/>
      <c r="H689" s="33"/>
      <c r="I689" s="33"/>
      <c r="J689" s="33"/>
    </row>
    <row r="690" spans="1:10" ht="12.5" x14ac:dyDescent="0.25">
      <c r="A690" s="63">
        <f>'Profit &amp; Loss'!A690</f>
        <v>0</v>
      </c>
      <c r="B690" s="33">
        <f>'Profit &amp; Loss'!B690</f>
        <v>0</v>
      </c>
      <c r="C690" s="33"/>
      <c r="D690" s="33"/>
      <c r="E690" s="33"/>
      <c r="F690" s="33"/>
      <c r="G690" s="33"/>
      <c r="H690" s="33"/>
      <c r="I690" s="33"/>
      <c r="J690" s="33"/>
    </row>
    <row r="691" spans="1:10" ht="12.5" x14ac:dyDescent="0.25">
      <c r="A691" s="63">
        <f>'Profit &amp; Loss'!A691</f>
        <v>0</v>
      </c>
      <c r="B691" s="33">
        <f>'Profit &amp; Loss'!B691</f>
        <v>0</v>
      </c>
      <c r="C691" s="33"/>
      <c r="D691" s="33"/>
      <c r="E691" s="33"/>
      <c r="F691" s="33"/>
      <c r="G691" s="33"/>
      <c r="H691" s="33"/>
      <c r="I691" s="33"/>
      <c r="J691" s="33"/>
    </row>
    <row r="692" spans="1:10" ht="12.5" x14ac:dyDescent="0.25">
      <c r="A692" s="63">
        <f>'Profit &amp; Loss'!A692</f>
        <v>0</v>
      </c>
      <c r="B692" s="33">
        <f>'Profit &amp; Loss'!B692</f>
        <v>0</v>
      </c>
      <c r="C692" s="33"/>
      <c r="D692" s="33"/>
      <c r="E692" s="33"/>
      <c r="F692" s="33"/>
      <c r="G692" s="33"/>
      <c r="H692" s="33"/>
      <c r="I692" s="33"/>
      <c r="J692" s="33"/>
    </row>
    <row r="693" spans="1:10" ht="12.5" x14ac:dyDescent="0.25">
      <c r="A693" s="63">
        <f>'Profit &amp; Loss'!A693</f>
        <v>0</v>
      </c>
      <c r="B693" s="33">
        <f>'Profit &amp; Loss'!B693</f>
        <v>0</v>
      </c>
      <c r="C693" s="33"/>
      <c r="D693" s="33"/>
      <c r="E693" s="33"/>
      <c r="F693" s="33"/>
      <c r="G693" s="33"/>
      <c r="H693" s="33"/>
      <c r="I693" s="33"/>
      <c r="J693" s="33"/>
    </row>
    <row r="694" spans="1:10" ht="12.5" x14ac:dyDescent="0.25">
      <c r="A694" s="63">
        <f>'Profit &amp; Loss'!A694</f>
        <v>0</v>
      </c>
      <c r="B694" s="33">
        <f>'Profit &amp; Loss'!B694</f>
        <v>0</v>
      </c>
      <c r="C694" s="33"/>
      <c r="D694" s="33"/>
      <c r="E694" s="33"/>
      <c r="F694" s="33"/>
      <c r="G694" s="33"/>
      <c r="H694" s="33"/>
      <c r="I694" s="33"/>
      <c r="J694" s="33"/>
    </row>
    <row r="695" spans="1:10" ht="12.5" x14ac:dyDescent="0.25">
      <c r="A695" s="63">
        <f>'Profit &amp; Loss'!A695</f>
        <v>0</v>
      </c>
      <c r="B695" s="33">
        <f>'Profit &amp; Loss'!B695</f>
        <v>0</v>
      </c>
      <c r="C695" s="33"/>
      <c r="D695" s="33"/>
      <c r="E695" s="33"/>
      <c r="F695" s="33"/>
      <c r="G695" s="33"/>
      <c r="H695" s="33"/>
      <c r="I695" s="33"/>
      <c r="J695" s="33"/>
    </row>
    <row r="696" spans="1:10" ht="12.5" x14ac:dyDescent="0.25">
      <c r="A696" s="63">
        <f>'Profit &amp; Loss'!A696</f>
        <v>0</v>
      </c>
      <c r="B696" s="33">
        <f>'Profit &amp; Loss'!B696</f>
        <v>0</v>
      </c>
      <c r="C696" s="33"/>
      <c r="D696" s="33"/>
      <c r="E696" s="33"/>
      <c r="F696" s="33"/>
      <c r="G696" s="33"/>
      <c r="H696" s="33"/>
      <c r="I696" s="33"/>
      <c r="J696" s="33"/>
    </row>
    <row r="697" spans="1:10" ht="12.5" x14ac:dyDescent="0.25">
      <c r="A697" s="63">
        <f>'Profit &amp; Loss'!A697</f>
        <v>0</v>
      </c>
      <c r="B697" s="33">
        <f>'Profit &amp; Loss'!B697</f>
        <v>0</v>
      </c>
      <c r="C697" s="33"/>
      <c r="D697" s="33"/>
      <c r="E697" s="33"/>
      <c r="F697" s="33"/>
      <c r="G697" s="33"/>
      <c r="H697" s="33"/>
      <c r="I697" s="33"/>
      <c r="J697" s="33"/>
    </row>
    <row r="698" spans="1:10" ht="12.5" x14ac:dyDescent="0.25">
      <c r="A698" s="63">
        <f>'Profit &amp; Loss'!A698</f>
        <v>0</v>
      </c>
      <c r="B698" s="33">
        <f>'Profit &amp; Loss'!B698</f>
        <v>0</v>
      </c>
      <c r="C698" s="33"/>
      <c r="D698" s="33"/>
      <c r="E698" s="33"/>
      <c r="F698" s="33"/>
      <c r="G698" s="33"/>
      <c r="H698" s="33"/>
      <c r="I698" s="33"/>
      <c r="J698" s="33"/>
    </row>
    <row r="699" spans="1:10" ht="12.5" x14ac:dyDescent="0.25">
      <c r="A699" s="63">
        <f>'Profit &amp; Loss'!A699</f>
        <v>0</v>
      </c>
      <c r="B699" s="33">
        <f>'Profit &amp; Loss'!B699</f>
        <v>0</v>
      </c>
      <c r="C699" s="33"/>
      <c r="D699" s="33"/>
      <c r="E699" s="33"/>
      <c r="F699" s="33"/>
      <c r="G699" s="33"/>
      <c r="H699" s="33"/>
      <c r="I699" s="33"/>
      <c r="J699" s="33"/>
    </row>
    <row r="700" spans="1:10" ht="12.5" x14ac:dyDescent="0.25">
      <c r="A700" s="63">
        <f>'Profit &amp; Loss'!A700</f>
        <v>0</v>
      </c>
      <c r="B700" s="33">
        <f>'Profit &amp; Loss'!B700</f>
        <v>0</v>
      </c>
      <c r="C700" s="33"/>
      <c r="D700" s="33"/>
      <c r="E700" s="33"/>
      <c r="F700" s="33"/>
      <c r="G700" s="33"/>
      <c r="H700" s="33"/>
      <c r="I700" s="33"/>
      <c r="J700" s="33"/>
    </row>
    <row r="701" spans="1:10" ht="12.5" x14ac:dyDescent="0.25">
      <c r="A701" s="63">
        <f>'Profit &amp; Loss'!A701</f>
        <v>0</v>
      </c>
      <c r="B701" s="33">
        <f>'Profit &amp; Loss'!B701</f>
        <v>0</v>
      </c>
      <c r="C701" s="33"/>
      <c r="D701" s="33"/>
      <c r="E701" s="33"/>
      <c r="F701" s="33"/>
      <c r="G701" s="33"/>
      <c r="H701" s="33"/>
      <c r="I701" s="33"/>
      <c r="J701" s="33"/>
    </row>
    <row r="702" spans="1:10" ht="12.5" x14ac:dyDescent="0.25">
      <c r="A702" s="63">
        <f>'Profit &amp; Loss'!A702</f>
        <v>0</v>
      </c>
      <c r="B702" s="33">
        <f>'Profit &amp; Loss'!B702</f>
        <v>0</v>
      </c>
      <c r="C702" s="33"/>
      <c r="D702" s="33"/>
      <c r="E702" s="33"/>
      <c r="F702" s="33"/>
      <c r="G702" s="33"/>
      <c r="H702" s="33"/>
      <c r="I702" s="33"/>
      <c r="J702" s="33"/>
    </row>
    <row r="703" spans="1:10" ht="12.5" x14ac:dyDescent="0.25">
      <c r="A703" s="63">
        <f>'Profit &amp; Loss'!A703</f>
        <v>0</v>
      </c>
      <c r="B703" s="33">
        <f>'Profit &amp; Loss'!B703</f>
        <v>0</v>
      </c>
      <c r="C703" s="33"/>
      <c r="D703" s="33"/>
      <c r="E703" s="33"/>
      <c r="F703" s="33"/>
      <c r="G703" s="33"/>
      <c r="H703" s="33"/>
      <c r="I703" s="33"/>
      <c r="J703" s="33"/>
    </row>
    <row r="704" spans="1:10" ht="12.5" x14ac:dyDescent="0.25">
      <c r="A704" s="63">
        <f>'Profit &amp; Loss'!A704</f>
        <v>0</v>
      </c>
      <c r="B704" s="33">
        <f>'Profit &amp; Loss'!B704</f>
        <v>0</v>
      </c>
      <c r="C704" s="33"/>
      <c r="D704" s="33"/>
      <c r="E704" s="33"/>
      <c r="F704" s="33"/>
      <c r="G704" s="33"/>
      <c r="H704" s="33"/>
      <c r="I704" s="33"/>
      <c r="J704" s="33"/>
    </row>
    <row r="705" spans="1:10" ht="12.5" x14ac:dyDescent="0.25">
      <c r="A705" s="63">
        <f>'Profit &amp; Loss'!A705</f>
        <v>0</v>
      </c>
      <c r="B705" s="33">
        <f>'Profit &amp; Loss'!B705</f>
        <v>0</v>
      </c>
      <c r="C705" s="33"/>
      <c r="D705" s="33"/>
      <c r="E705" s="33"/>
      <c r="F705" s="33"/>
      <c r="G705" s="33"/>
      <c r="H705" s="33"/>
      <c r="I705" s="33"/>
      <c r="J705" s="33"/>
    </row>
    <row r="706" spans="1:10" ht="12.5" x14ac:dyDescent="0.25">
      <c r="A706" s="63">
        <f>'Profit &amp; Loss'!A706</f>
        <v>0</v>
      </c>
      <c r="B706" s="33">
        <f>'Profit &amp; Loss'!B706</f>
        <v>0</v>
      </c>
      <c r="C706" s="33"/>
      <c r="D706" s="33"/>
      <c r="E706" s="33"/>
      <c r="F706" s="33"/>
      <c r="G706" s="33"/>
      <c r="H706" s="33"/>
      <c r="I706" s="33"/>
      <c r="J706" s="33"/>
    </row>
    <row r="707" spans="1:10" ht="12.5" x14ac:dyDescent="0.25">
      <c r="A707" s="63">
        <f>'Profit &amp; Loss'!A707</f>
        <v>0</v>
      </c>
      <c r="B707" s="33">
        <f>'Profit &amp; Loss'!B707</f>
        <v>0</v>
      </c>
      <c r="C707" s="33"/>
      <c r="D707" s="33"/>
      <c r="E707" s="33"/>
      <c r="F707" s="33"/>
      <c r="G707" s="33"/>
      <c r="H707" s="33"/>
      <c r="I707" s="33"/>
      <c r="J707" s="33"/>
    </row>
    <row r="708" spans="1:10" ht="12.5" x14ac:dyDescent="0.25">
      <c r="A708" s="63">
        <f>'Profit &amp; Loss'!A708</f>
        <v>0</v>
      </c>
      <c r="B708" s="33">
        <f>'Profit &amp; Loss'!B708</f>
        <v>0</v>
      </c>
      <c r="C708" s="33"/>
      <c r="D708" s="33"/>
      <c r="E708" s="33"/>
      <c r="F708" s="33"/>
      <c r="G708" s="33"/>
      <c r="H708" s="33"/>
      <c r="I708" s="33"/>
      <c r="J708" s="33"/>
    </row>
    <row r="709" spans="1:10" ht="12.5" x14ac:dyDescent="0.25">
      <c r="A709" s="63">
        <f>'Profit &amp; Loss'!A709</f>
        <v>0</v>
      </c>
      <c r="B709" s="33">
        <f>'Profit &amp; Loss'!B709</f>
        <v>0</v>
      </c>
      <c r="C709" s="33"/>
      <c r="D709" s="33"/>
      <c r="E709" s="33"/>
      <c r="F709" s="33"/>
      <c r="G709" s="33"/>
      <c r="H709" s="33"/>
      <c r="I709" s="33"/>
      <c r="J709" s="33"/>
    </row>
    <row r="710" spans="1:10" ht="12.5" x14ac:dyDescent="0.25">
      <c r="A710" s="63">
        <f>'Profit &amp; Loss'!A710</f>
        <v>0</v>
      </c>
      <c r="B710" s="33">
        <f>'Profit &amp; Loss'!B710</f>
        <v>0</v>
      </c>
      <c r="C710" s="33"/>
      <c r="D710" s="33"/>
      <c r="E710" s="33"/>
      <c r="F710" s="33"/>
      <c r="G710" s="33"/>
      <c r="H710" s="33"/>
      <c r="I710" s="33"/>
      <c r="J710" s="33"/>
    </row>
    <row r="711" spans="1:10" ht="12.5" x14ac:dyDescent="0.25">
      <c r="A711" s="63">
        <f>'Profit &amp; Loss'!A711</f>
        <v>0</v>
      </c>
      <c r="B711" s="33">
        <f>'Profit &amp; Loss'!B711</f>
        <v>0</v>
      </c>
      <c r="C711" s="33"/>
      <c r="D711" s="33"/>
      <c r="E711" s="33"/>
      <c r="F711" s="33"/>
      <c r="G711" s="33"/>
      <c r="H711" s="33"/>
      <c r="I711" s="33"/>
      <c r="J711" s="33"/>
    </row>
    <row r="712" spans="1:10" ht="12.5" x14ac:dyDescent="0.25">
      <c r="A712" s="63">
        <f>'Profit &amp; Loss'!A712</f>
        <v>0</v>
      </c>
      <c r="B712" s="33">
        <f>'Profit &amp; Loss'!B712</f>
        <v>0</v>
      </c>
      <c r="C712" s="33"/>
      <c r="D712" s="33"/>
      <c r="E712" s="33"/>
      <c r="F712" s="33"/>
      <c r="G712" s="33"/>
      <c r="H712" s="33"/>
      <c r="I712" s="33"/>
      <c r="J712" s="33"/>
    </row>
    <row r="713" spans="1:10" ht="12.5" x14ac:dyDescent="0.25">
      <c r="A713" s="63">
        <f>'Profit &amp; Loss'!A713</f>
        <v>0</v>
      </c>
      <c r="B713" s="33">
        <f>'Profit &amp; Loss'!B713</f>
        <v>0</v>
      </c>
      <c r="C713" s="33"/>
      <c r="D713" s="33"/>
      <c r="E713" s="33"/>
      <c r="F713" s="33"/>
      <c r="G713" s="33"/>
      <c r="H713" s="33"/>
      <c r="I713" s="33"/>
      <c r="J713" s="33"/>
    </row>
    <row r="714" spans="1:10" ht="12.5" x14ac:dyDescent="0.25">
      <c r="A714" s="63">
        <f>'Profit &amp; Loss'!A714</f>
        <v>0</v>
      </c>
      <c r="B714" s="33">
        <f>'Profit &amp; Loss'!B714</f>
        <v>0</v>
      </c>
      <c r="C714" s="33"/>
      <c r="D714" s="33"/>
      <c r="E714" s="33"/>
      <c r="F714" s="33"/>
      <c r="G714" s="33"/>
      <c r="H714" s="33"/>
      <c r="I714" s="33"/>
      <c r="J714" s="33"/>
    </row>
    <row r="715" spans="1:10" ht="12.5" x14ac:dyDescent="0.25">
      <c r="A715" s="63">
        <f>'Profit &amp; Loss'!A715</f>
        <v>0</v>
      </c>
      <c r="B715" s="33">
        <f>'Profit &amp; Loss'!B715</f>
        <v>0</v>
      </c>
      <c r="C715" s="33"/>
      <c r="D715" s="33"/>
      <c r="E715" s="33"/>
      <c r="F715" s="33"/>
      <c r="G715" s="33"/>
      <c r="H715" s="33"/>
      <c r="I715" s="33"/>
      <c r="J715" s="33"/>
    </row>
    <row r="716" spans="1:10" ht="12.5" x14ac:dyDescent="0.25">
      <c r="A716" s="63">
        <f>'Profit &amp; Loss'!A716</f>
        <v>0</v>
      </c>
      <c r="B716" s="33">
        <f>'Profit &amp; Loss'!B716</f>
        <v>0</v>
      </c>
      <c r="C716" s="33"/>
      <c r="D716" s="33"/>
      <c r="E716" s="33"/>
      <c r="F716" s="33"/>
      <c r="G716" s="33"/>
      <c r="H716" s="33"/>
      <c r="I716" s="33"/>
      <c r="J716" s="33"/>
    </row>
    <row r="717" spans="1:10" ht="12.5" x14ac:dyDescent="0.25">
      <c r="A717" s="63">
        <f>'Profit &amp; Loss'!A717</f>
        <v>0</v>
      </c>
      <c r="B717" s="33">
        <f>'Profit &amp; Loss'!B717</f>
        <v>0</v>
      </c>
      <c r="C717" s="33"/>
      <c r="D717" s="33"/>
      <c r="E717" s="33"/>
      <c r="F717" s="33"/>
      <c r="G717" s="33"/>
      <c r="H717" s="33"/>
      <c r="I717" s="33"/>
      <c r="J717" s="33"/>
    </row>
    <row r="718" spans="1:10" ht="12.5" x14ac:dyDescent="0.25">
      <c r="A718" s="63">
        <f>'Profit &amp; Loss'!A718</f>
        <v>0</v>
      </c>
      <c r="B718" s="33">
        <f>'Profit &amp; Loss'!B718</f>
        <v>0</v>
      </c>
      <c r="C718" s="33"/>
      <c r="D718" s="33"/>
      <c r="E718" s="33"/>
      <c r="F718" s="33"/>
      <c r="G718" s="33"/>
      <c r="H718" s="33"/>
      <c r="I718" s="33"/>
      <c r="J718" s="33"/>
    </row>
    <row r="719" spans="1:10" ht="12.5" x14ac:dyDescent="0.25">
      <c r="A719" s="63">
        <f>'Profit &amp; Loss'!A719</f>
        <v>0</v>
      </c>
      <c r="B719" s="33">
        <f>'Profit &amp; Loss'!B719</f>
        <v>0</v>
      </c>
      <c r="C719" s="33"/>
      <c r="D719" s="33"/>
      <c r="E719" s="33"/>
      <c r="F719" s="33"/>
      <c r="G719" s="33"/>
      <c r="H719" s="33"/>
      <c r="I719" s="33"/>
      <c r="J719" s="33"/>
    </row>
    <row r="720" spans="1:10" ht="12.5" x14ac:dyDescent="0.25">
      <c r="A720" s="63">
        <f>'Profit &amp; Loss'!A720</f>
        <v>0</v>
      </c>
      <c r="B720" s="33">
        <f>'Profit &amp; Loss'!B720</f>
        <v>0</v>
      </c>
      <c r="C720" s="33"/>
      <c r="D720" s="33"/>
      <c r="E720" s="33"/>
      <c r="F720" s="33"/>
      <c r="G720" s="33"/>
      <c r="H720" s="33"/>
      <c r="I720" s="33"/>
      <c r="J720" s="33"/>
    </row>
    <row r="721" spans="1:10" ht="12.5" x14ac:dyDescent="0.25">
      <c r="A721" s="63">
        <f>'Profit &amp; Loss'!A721</f>
        <v>0</v>
      </c>
      <c r="B721" s="33">
        <f>'Profit &amp; Loss'!B721</f>
        <v>0</v>
      </c>
      <c r="C721" s="33"/>
      <c r="D721" s="33"/>
      <c r="E721" s="33"/>
      <c r="F721" s="33"/>
      <c r="G721" s="33"/>
      <c r="H721" s="33"/>
      <c r="I721" s="33"/>
      <c r="J721" s="33"/>
    </row>
    <row r="722" spans="1:10" ht="12.5" x14ac:dyDescent="0.25">
      <c r="A722" s="63">
        <f>'Profit &amp; Loss'!A722</f>
        <v>0</v>
      </c>
      <c r="B722" s="33">
        <f>'Profit &amp; Loss'!B722</f>
        <v>0</v>
      </c>
      <c r="C722" s="33"/>
      <c r="D722" s="33"/>
      <c r="E722" s="33"/>
      <c r="F722" s="33"/>
      <c r="G722" s="33"/>
      <c r="H722" s="33"/>
      <c r="I722" s="33"/>
      <c r="J722" s="33"/>
    </row>
    <row r="723" spans="1:10" ht="12.5" x14ac:dyDescent="0.25">
      <c r="A723" s="63">
        <f>'Profit &amp; Loss'!A723</f>
        <v>0</v>
      </c>
      <c r="B723" s="33">
        <f>'Profit &amp; Loss'!B723</f>
        <v>0</v>
      </c>
      <c r="C723" s="33"/>
      <c r="D723" s="33"/>
      <c r="E723" s="33"/>
      <c r="F723" s="33"/>
      <c r="G723" s="33"/>
      <c r="H723" s="33"/>
      <c r="I723" s="33"/>
      <c r="J723" s="33"/>
    </row>
    <row r="724" spans="1:10" ht="12.5" x14ac:dyDescent="0.25">
      <c r="A724" s="63">
        <f>'Profit &amp; Loss'!A724</f>
        <v>0</v>
      </c>
      <c r="B724" s="33">
        <f>'Profit &amp; Loss'!B724</f>
        <v>0</v>
      </c>
      <c r="C724" s="33"/>
      <c r="D724" s="33"/>
      <c r="E724" s="33"/>
      <c r="F724" s="33"/>
      <c r="G724" s="33"/>
      <c r="H724" s="33"/>
      <c r="I724" s="33"/>
      <c r="J724" s="33"/>
    </row>
    <row r="725" spans="1:10" ht="12.5" x14ac:dyDescent="0.25">
      <c r="A725" s="63">
        <f>'Profit &amp; Loss'!A725</f>
        <v>0</v>
      </c>
      <c r="B725" s="33">
        <f>'Profit &amp; Loss'!B725</f>
        <v>0</v>
      </c>
      <c r="C725" s="33"/>
      <c r="D725" s="33"/>
      <c r="E725" s="33"/>
      <c r="F725" s="33"/>
      <c r="G725" s="33"/>
      <c r="H725" s="33"/>
      <c r="I725" s="33"/>
      <c r="J725" s="33"/>
    </row>
    <row r="726" spans="1:10" ht="12.5" x14ac:dyDescent="0.25">
      <c r="A726" s="63">
        <f>'Profit &amp; Loss'!A726</f>
        <v>0</v>
      </c>
      <c r="B726" s="33">
        <f>'Profit &amp; Loss'!B726</f>
        <v>0</v>
      </c>
      <c r="C726" s="33"/>
      <c r="D726" s="33"/>
      <c r="E726" s="33"/>
      <c r="F726" s="33"/>
      <c r="G726" s="33"/>
      <c r="H726" s="33"/>
      <c r="I726" s="33"/>
      <c r="J726" s="33"/>
    </row>
    <row r="727" spans="1:10" ht="12.5" x14ac:dyDescent="0.25">
      <c r="A727" s="63">
        <f>'Profit &amp; Loss'!A727</f>
        <v>0</v>
      </c>
      <c r="B727" s="33">
        <f>'Profit &amp; Loss'!B727</f>
        <v>0</v>
      </c>
      <c r="C727" s="33"/>
      <c r="D727" s="33"/>
      <c r="E727" s="33"/>
      <c r="F727" s="33"/>
      <c r="G727" s="33"/>
      <c r="H727" s="33"/>
      <c r="I727" s="33"/>
      <c r="J727" s="33"/>
    </row>
    <row r="728" spans="1:10" ht="12.5" x14ac:dyDescent="0.25">
      <c r="A728" s="63">
        <f>'Profit &amp; Loss'!A728</f>
        <v>0</v>
      </c>
      <c r="B728" s="33">
        <f>'Profit &amp; Loss'!B728</f>
        <v>0</v>
      </c>
      <c r="C728" s="33"/>
      <c r="D728" s="33"/>
      <c r="E728" s="33"/>
      <c r="F728" s="33"/>
      <c r="G728" s="33"/>
      <c r="H728" s="33"/>
      <c r="I728" s="33"/>
      <c r="J728" s="33"/>
    </row>
    <row r="729" spans="1:10" ht="12.5" x14ac:dyDescent="0.25">
      <c r="A729" s="63">
        <f>'Profit &amp; Loss'!A729</f>
        <v>0</v>
      </c>
      <c r="B729" s="33">
        <f>'Profit &amp; Loss'!B729</f>
        <v>0</v>
      </c>
      <c r="C729" s="33"/>
      <c r="D729" s="33"/>
      <c r="E729" s="33"/>
      <c r="F729" s="33"/>
      <c r="G729" s="33"/>
      <c r="H729" s="33"/>
      <c r="I729" s="33"/>
      <c r="J729" s="33"/>
    </row>
    <row r="730" spans="1:10" ht="12.5" x14ac:dyDescent="0.25">
      <c r="A730" s="63">
        <f>'Profit &amp; Loss'!A730</f>
        <v>0</v>
      </c>
      <c r="B730" s="33">
        <f>'Profit &amp; Loss'!B730</f>
        <v>0</v>
      </c>
      <c r="C730" s="33"/>
      <c r="D730" s="33"/>
      <c r="E730" s="33"/>
      <c r="F730" s="33"/>
      <c r="G730" s="33"/>
      <c r="H730" s="33"/>
      <c r="I730" s="33"/>
      <c r="J730" s="33"/>
    </row>
    <row r="731" spans="1:10" ht="12.5" x14ac:dyDescent="0.25">
      <c r="A731" s="63">
        <f>'Profit &amp; Loss'!A731</f>
        <v>0</v>
      </c>
      <c r="B731" s="33">
        <f>'Profit &amp; Loss'!B731</f>
        <v>0</v>
      </c>
      <c r="C731" s="33"/>
      <c r="D731" s="33"/>
      <c r="E731" s="33"/>
      <c r="F731" s="33"/>
      <c r="G731" s="33"/>
      <c r="H731" s="33"/>
      <c r="I731" s="33"/>
      <c r="J731" s="33"/>
    </row>
    <row r="732" spans="1:10" ht="12.5" x14ac:dyDescent="0.25">
      <c r="A732" s="63">
        <f>'Profit &amp; Loss'!A732</f>
        <v>0</v>
      </c>
      <c r="B732" s="33">
        <f>'Profit &amp; Loss'!B732</f>
        <v>0</v>
      </c>
      <c r="C732" s="33"/>
      <c r="D732" s="33"/>
      <c r="E732" s="33"/>
      <c r="F732" s="33"/>
      <c r="G732" s="33"/>
      <c r="H732" s="33"/>
      <c r="I732" s="33"/>
      <c r="J732" s="33"/>
    </row>
    <row r="733" spans="1:10" ht="12.5" x14ac:dyDescent="0.25">
      <c r="A733" s="63">
        <f>'Profit &amp; Loss'!A733</f>
        <v>0</v>
      </c>
      <c r="B733" s="33">
        <f>'Profit &amp; Loss'!B733</f>
        <v>0</v>
      </c>
      <c r="C733" s="33"/>
      <c r="D733" s="33"/>
      <c r="E733" s="33"/>
      <c r="F733" s="33"/>
      <c r="G733" s="33"/>
      <c r="H733" s="33"/>
      <c r="I733" s="33"/>
      <c r="J733" s="33"/>
    </row>
    <row r="734" spans="1:10" ht="12.5" x14ac:dyDescent="0.25">
      <c r="A734" s="63">
        <f>'Profit &amp; Loss'!A734</f>
        <v>0</v>
      </c>
      <c r="B734" s="33">
        <f>'Profit &amp; Loss'!B734</f>
        <v>0</v>
      </c>
      <c r="C734" s="33"/>
      <c r="D734" s="33"/>
      <c r="E734" s="33"/>
      <c r="F734" s="33"/>
      <c r="G734" s="33"/>
      <c r="H734" s="33"/>
      <c r="I734" s="33"/>
      <c r="J734" s="33"/>
    </row>
    <row r="735" spans="1:10" ht="12.5" x14ac:dyDescent="0.25">
      <c r="A735" s="63">
        <f>'Profit &amp; Loss'!A735</f>
        <v>0</v>
      </c>
      <c r="B735" s="33">
        <f>'Profit &amp; Loss'!B735</f>
        <v>0</v>
      </c>
      <c r="C735" s="33"/>
      <c r="D735" s="33"/>
      <c r="E735" s="33"/>
      <c r="F735" s="33"/>
      <c r="G735" s="33"/>
      <c r="H735" s="33"/>
      <c r="I735" s="33"/>
      <c r="J735" s="33"/>
    </row>
    <row r="736" spans="1:10" ht="12.5" x14ac:dyDescent="0.25">
      <c r="A736" s="63">
        <f>'Profit &amp; Loss'!A736</f>
        <v>0</v>
      </c>
      <c r="B736" s="33">
        <f>'Profit &amp; Loss'!B736</f>
        <v>0</v>
      </c>
      <c r="C736" s="33"/>
      <c r="D736" s="33"/>
      <c r="E736" s="33"/>
      <c r="F736" s="33"/>
      <c r="G736" s="33"/>
      <c r="H736" s="33"/>
      <c r="I736" s="33"/>
      <c r="J736" s="33"/>
    </row>
    <row r="737" spans="1:10" ht="12.5" x14ac:dyDescent="0.25">
      <c r="A737" s="63">
        <f>'Profit &amp; Loss'!A737</f>
        <v>0</v>
      </c>
      <c r="B737" s="33">
        <f>'Profit &amp; Loss'!B737</f>
        <v>0</v>
      </c>
      <c r="C737" s="33"/>
      <c r="D737" s="33"/>
      <c r="E737" s="33"/>
      <c r="F737" s="33"/>
      <c r="G737" s="33"/>
      <c r="H737" s="33"/>
      <c r="I737" s="33"/>
      <c r="J737" s="33"/>
    </row>
    <row r="738" spans="1:10" ht="12.5" x14ac:dyDescent="0.25">
      <c r="A738" s="63">
        <f>'Profit &amp; Loss'!A738</f>
        <v>0</v>
      </c>
      <c r="B738" s="33">
        <f>'Profit &amp; Loss'!B738</f>
        <v>0</v>
      </c>
      <c r="C738" s="33"/>
      <c r="D738" s="33"/>
      <c r="E738" s="33"/>
      <c r="F738" s="33"/>
      <c r="G738" s="33"/>
      <c r="H738" s="33"/>
      <c r="I738" s="33"/>
      <c r="J738" s="33"/>
    </row>
    <row r="739" spans="1:10" ht="12.5" x14ac:dyDescent="0.25">
      <c r="A739" s="63">
        <f>'Profit &amp; Loss'!A739</f>
        <v>0</v>
      </c>
      <c r="B739" s="33">
        <f>'Profit &amp; Loss'!B739</f>
        <v>0</v>
      </c>
      <c r="C739" s="33"/>
      <c r="D739" s="33"/>
      <c r="E739" s="33"/>
      <c r="F739" s="33"/>
      <c r="G739" s="33"/>
      <c r="H739" s="33"/>
      <c r="I739" s="33"/>
      <c r="J739" s="33"/>
    </row>
    <row r="740" spans="1:10" ht="12.5" x14ac:dyDescent="0.25">
      <c r="A740" s="63">
        <f>'Profit &amp; Loss'!A740</f>
        <v>0</v>
      </c>
      <c r="B740" s="33">
        <f>'Profit &amp; Loss'!B740</f>
        <v>0</v>
      </c>
      <c r="C740" s="33"/>
      <c r="D740" s="33"/>
      <c r="E740" s="33"/>
      <c r="F740" s="33"/>
      <c r="G740" s="33"/>
      <c r="H740" s="33"/>
      <c r="I740" s="33"/>
      <c r="J740" s="33"/>
    </row>
    <row r="741" spans="1:10" ht="12.5" x14ac:dyDescent="0.25">
      <c r="A741" s="63">
        <f>'Profit &amp; Loss'!A741</f>
        <v>0</v>
      </c>
      <c r="B741" s="33">
        <f>'Profit &amp; Loss'!B741</f>
        <v>0</v>
      </c>
      <c r="C741" s="33"/>
      <c r="D741" s="33"/>
      <c r="E741" s="33"/>
      <c r="F741" s="33"/>
      <c r="G741" s="33"/>
      <c r="H741" s="33"/>
      <c r="I741" s="33"/>
      <c r="J741" s="33"/>
    </row>
    <row r="742" spans="1:10" ht="12.5" x14ac:dyDescent="0.25">
      <c r="A742" s="63">
        <f>'Profit &amp; Loss'!A742</f>
        <v>0</v>
      </c>
      <c r="B742" s="33">
        <f>'Profit &amp; Loss'!B742</f>
        <v>0</v>
      </c>
      <c r="C742" s="33"/>
      <c r="D742" s="33"/>
      <c r="E742" s="33"/>
      <c r="F742" s="33"/>
      <c r="G742" s="33"/>
      <c r="H742" s="33"/>
      <c r="I742" s="33"/>
      <c r="J742" s="33"/>
    </row>
    <row r="743" spans="1:10" ht="12.5" x14ac:dyDescent="0.25">
      <c r="A743" s="63">
        <f>'Profit &amp; Loss'!A743</f>
        <v>0</v>
      </c>
      <c r="B743" s="33">
        <f>'Profit &amp; Loss'!B743</f>
        <v>0</v>
      </c>
      <c r="C743" s="33"/>
      <c r="D743" s="33"/>
      <c r="E743" s="33"/>
      <c r="F743" s="33"/>
      <c r="G743" s="33"/>
      <c r="H743" s="33"/>
      <c r="I743" s="33"/>
      <c r="J743" s="33"/>
    </row>
    <row r="744" spans="1:10" ht="12.5" x14ac:dyDescent="0.25">
      <c r="A744" s="63">
        <f>'Profit &amp; Loss'!A744</f>
        <v>0</v>
      </c>
      <c r="B744" s="33">
        <f>'Profit &amp; Loss'!B744</f>
        <v>0</v>
      </c>
      <c r="C744" s="33"/>
      <c r="D744" s="33"/>
      <c r="E744" s="33"/>
      <c r="F744" s="33"/>
      <c r="G744" s="33"/>
      <c r="H744" s="33"/>
      <c r="I744" s="33"/>
      <c r="J744" s="33"/>
    </row>
    <row r="745" spans="1:10" ht="12.5" x14ac:dyDescent="0.25">
      <c r="A745" s="63">
        <f>'Profit &amp; Loss'!A745</f>
        <v>0</v>
      </c>
      <c r="B745" s="33">
        <f>'Profit &amp; Loss'!B745</f>
        <v>0</v>
      </c>
      <c r="C745" s="33"/>
      <c r="D745" s="33"/>
      <c r="E745" s="33"/>
      <c r="F745" s="33"/>
      <c r="G745" s="33"/>
      <c r="H745" s="33"/>
      <c r="I745" s="33"/>
      <c r="J745" s="33"/>
    </row>
    <row r="746" spans="1:10" ht="12.5" x14ac:dyDescent="0.25">
      <c r="A746" s="63">
        <f>'Profit &amp; Loss'!A746</f>
        <v>0</v>
      </c>
      <c r="B746" s="33">
        <f>'Profit &amp; Loss'!B746</f>
        <v>0</v>
      </c>
      <c r="C746" s="33"/>
      <c r="D746" s="33"/>
      <c r="E746" s="33"/>
      <c r="F746" s="33"/>
      <c r="G746" s="33"/>
      <c r="H746" s="33"/>
      <c r="I746" s="33"/>
      <c r="J746" s="33"/>
    </row>
    <row r="747" spans="1:10" ht="12.5" x14ac:dyDescent="0.25">
      <c r="A747" s="63">
        <f>'Profit &amp; Loss'!A747</f>
        <v>0</v>
      </c>
      <c r="B747" s="33">
        <f>'Profit &amp; Loss'!B747</f>
        <v>0</v>
      </c>
      <c r="C747" s="33"/>
      <c r="D747" s="33"/>
      <c r="E747" s="33"/>
      <c r="F747" s="33"/>
      <c r="G747" s="33"/>
      <c r="H747" s="33"/>
      <c r="I747" s="33"/>
      <c r="J747" s="33"/>
    </row>
    <row r="748" spans="1:10" ht="12.5" x14ac:dyDescent="0.25">
      <c r="A748" s="63">
        <f>'Profit &amp; Loss'!A748</f>
        <v>0</v>
      </c>
      <c r="B748" s="33">
        <f>'Profit &amp; Loss'!B748</f>
        <v>0</v>
      </c>
      <c r="C748" s="33"/>
      <c r="D748" s="33"/>
      <c r="E748" s="33"/>
      <c r="F748" s="33"/>
      <c r="G748" s="33"/>
      <c r="H748" s="33"/>
      <c r="I748" s="33"/>
      <c r="J748" s="33"/>
    </row>
    <row r="749" spans="1:10" ht="12.5" x14ac:dyDescent="0.25">
      <c r="A749" s="63">
        <f>'Profit &amp; Loss'!A749</f>
        <v>0</v>
      </c>
      <c r="B749" s="33">
        <f>'Profit &amp; Loss'!B749</f>
        <v>0</v>
      </c>
      <c r="C749" s="33"/>
      <c r="D749" s="33"/>
      <c r="E749" s="33"/>
      <c r="F749" s="33"/>
      <c r="G749" s="33"/>
      <c r="H749" s="33"/>
      <c r="I749" s="33"/>
      <c r="J749" s="33"/>
    </row>
    <row r="750" spans="1:10" ht="12.5" x14ac:dyDescent="0.25">
      <c r="A750" s="63">
        <f>'Profit &amp; Loss'!A750</f>
        <v>0</v>
      </c>
      <c r="B750" s="33">
        <f>'Profit &amp; Loss'!B750</f>
        <v>0</v>
      </c>
      <c r="C750" s="33"/>
      <c r="D750" s="33"/>
      <c r="E750" s="33"/>
      <c r="F750" s="33"/>
      <c r="G750" s="33"/>
      <c r="H750" s="33"/>
      <c r="I750" s="33"/>
      <c r="J750" s="33"/>
    </row>
    <row r="751" spans="1:10" ht="12.5" x14ac:dyDescent="0.25">
      <c r="A751" s="63">
        <f>'Profit &amp; Loss'!A751</f>
        <v>0</v>
      </c>
      <c r="B751" s="33">
        <f>'Profit &amp; Loss'!B751</f>
        <v>0</v>
      </c>
      <c r="C751" s="33"/>
      <c r="D751" s="33"/>
      <c r="E751" s="33"/>
      <c r="F751" s="33"/>
      <c r="G751" s="33"/>
      <c r="H751" s="33"/>
      <c r="I751" s="33"/>
      <c r="J751" s="33"/>
    </row>
    <row r="752" spans="1:10" ht="12.5" x14ac:dyDescent="0.25">
      <c r="A752" s="63">
        <f>'Profit &amp; Loss'!A752</f>
        <v>0</v>
      </c>
      <c r="B752" s="33">
        <f>'Profit &amp; Loss'!B752</f>
        <v>0</v>
      </c>
      <c r="C752" s="33"/>
      <c r="D752" s="33"/>
      <c r="E752" s="33"/>
      <c r="F752" s="33"/>
      <c r="G752" s="33"/>
      <c r="H752" s="33"/>
      <c r="I752" s="33"/>
      <c r="J752" s="33"/>
    </row>
    <row r="753" spans="1:10" ht="12.5" x14ac:dyDescent="0.25">
      <c r="A753" s="63">
        <f>'Profit &amp; Loss'!A753</f>
        <v>0</v>
      </c>
      <c r="B753" s="33">
        <f>'Profit &amp; Loss'!B753</f>
        <v>0</v>
      </c>
      <c r="C753" s="33"/>
      <c r="D753" s="33"/>
      <c r="E753" s="33"/>
      <c r="F753" s="33"/>
      <c r="G753" s="33"/>
      <c r="H753" s="33"/>
      <c r="I753" s="33"/>
      <c r="J753" s="33"/>
    </row>
    <row r="754" spans="1:10" ht="12.5" x14ac:dyDescent="0.25">
      <c r="A754" s="63">
        <f>'Profit &amp; Loss'!A754</f>
        <v>0</v>
      </c>
      <c r="B754" s="33">
        <f>'Profit &amp; Loss'!B754</f>
        <v>0</v>
      </c>
      <c r="C754" s="33"/>
      <c r="D754" s="33"/>
      <c r="E754" s="33"/>
      <c r="F754" s="33"/>
      <c r="G754" s="33"/>
      <c r="H754" s="33"/>
      <c r="I754" s="33"/>
      <c r="J754" s="33"/>
    </row>
    <row r="755" spans="1:10" ht="12.5" x14ac:dyDescent="0.25">
      <c r="A755" s="63">
        <f>'Profit &amp; Loss'!A755</f>
        <v>0</v>
      </c>
      <c r="B755" s="33">
        <f>'Profit &amp; Loss'!B755</f>
        <v>0</v>
      </c>
      <c r="C755" s="33"/>
      <c r="D755" s="33"/>
      <c r="E755" s="33"/>
      <c r="F755" s="33"/>
      <c r="G755" s="33"/>
      <c r="H755" s="33"/>
      <c r="I755" s="33"/>
      <c r="J755" s="33"/>
    </row>
    <row r="756" spans="1:10" ht="12.5" x14ac:dyDescent="0.25">
      <c r="A756" s="63">
        <f>'Profit &amp; Loss'!A756</f>
        <v>0</v>
      </c>
      <c r="B756" s="33">
        <f>'Profit &amp; Loss'!B756</f>
        <v>0</v>
      </c>
      <c r="C756" s="33"/>
      <c r="D756" s="33"/>
      <c r="E756" s="33"/>
      <c r="F756" s="33"/>
      <c r="G756" s="33"/>
      <c r="H756" s="33"/>
      <c r="I756" s="33"/>
      <c r="J756" s="33"/>
    </row>
    <row r="757" spans="1:10" ht="12.5" x14ac:dyDescent="0.25">
      <c r="A757" s="63">
        <f>'Profit &amp; Loss'!A757</f>
        <v>0</v>
      </c>
      <c r="B757" s="33">
        <f>'Profit &amp; Loss'!B757</f>
        <v>0</v>
      </c>
      <c r="C757" s="33"/>
      <c r="D757" s="33"/>
      <c r="E757" s="33"/>
      <c r="F757" s="33"/>
      <c r="G757" s="33"/>
      <c r="H757" s="33"/>
      <c r="I757" s="33"/>
      <c r="J757" s="33"/>
    </row>
    <row r="758" spans="1:10" ht="12.5" x14ac:dyDescent="0.25">
      <c r="A758" s="63">
        <f>'Profit &amp; Loss'!A758</f>
        <v>0</v>
      </c>
      <c r="B758" s="33">
        <f>'Profit &amp; Loss'!B758</f>
        <v>0</v>
      </c>
      <c r="C758" s="33"/>
      <c r="D758" s="33"/>
      <c r="E758" s="33"/>
      <c r="F758" s="33"/>
      <c r="G758" s="33"/>
      <c r="H758" s="33"/>
      <c r="I758" s="33"/>
      <c r="J758" s="33"/>
    </row>
    <row r="759" spans="1:10" ht="12.5" x14ac:dyDescent="0.25">
      <c r="A759" s="63">
        <f>'Profit &amp; Loss'!A759</f>
        <v>0</v>
      </c>
      <c r="B759" s="33">
        <f>'Profit &amp; Loss'!B759</f>
        <v>0</v>
      </c>
      <c r="C759" s="33"/>
      <c r="D759" s="33"/>
      <c r="E759" s="33"/>
      <c r="F759" s="33"/>
      <c r="G759" s="33"/>
      <c r="H759" s="33"/>
      <c r="I759" s="33"/>
      <c r="J759" s="33"/>
    </row>
    <row r="760" spans="1:10" ht="12.5" x14ac:dyDescent="0.25">
      <c r="A760" s="63">
        <f>'Profit &amp; Loss'!A760</f>
        <v>0</v>
      </c>
      <c r="B760" s="33">
        <f>'Profit &amp; Loss'!B760</f>
        <v>0</v>
      </c>
      <c r="C760" s="33"/>
      <c r="D760" s="33"/>
      <c r="E760" s="33"/>
      <c r="F760" s="33"/>
      <c r="G760" s="33"/>
      <c r="H760" s="33"/>
      <c r="I760" s="33"/>
      <c r="J760" s="33"/>
    </row>
    <row r="761" spans="1:10" ht="12.5" x14ac:dyDescent="0.25">
      <c r="A761" s="63">
        <f>'Profit &amp; Loss'!A761</f>
        <v>0</v>
      </c>
      <c r="B761" s="33">
        <f>'Profit &amp; Loss'!B761</f>
        <v>0</v>
      </c>
      <c r="C761" s="33"/>
      <c r="D761" s="33"/>
      <c r="E761" s="33"/>
      <c r="F761" s="33"/>
      <c r="G761" s="33"/>
      <c r="H761" s="33"/>
      <c r="I761" s="33"/>
      <c r="J761" s="33"/>
    </row>
    <row r="762" spans="1:10" ht="12.5" x14ac:dyDescent="0.25">
      <c r="A762" s="63">
        <f>'Profit &amp; Loss'!A762</f>
        <v>0</v>
      </c>
      <c r="B762" s="33">
        <f>'Profit &amp; Loss'!B762</f>
        <v>0</v>
      </c>
      <c r="C762" s="33"/>
      <c r="D762" s="33"/>
      <c r="E762" s="33"/>
      <c r="F762" s="33"/>
      <c r="G762" s="33"/>
      <c r="H762" s="33"/>
      <c r="I762" s="33"/>
      <c r="J762" s="33"/>
    </row>
    <row r="763" spans="1:10" ht="12.5" x14ac:dyDescent="0.25">
      <c r="A763" s="63">
        <f>'Profit &amp; Loss'!A763</f>
        <v>0</v>
      </c>
      <c r="B763" s="33">
        <f>'Profit &amp; Loss'!B763</f>
        <v>0</v>
      </c>
      <c r="C763" s="33"/>
      <c r="D763" s="33"/>
      <c r="E763" s="33"/>
      <c r="F763" s="33"/>
      <c r="G763" s="33"/>
      <c r="H763" s="33"/>
      <c r="I763" s="33"/>
      <c r="J763" s="33"/>
    </row>
    <row r="764" spans="1:10" ht="12.5" x14ac:dyDescent="0.25">
      <c r="A764" s="63">
        <f>'Profit &amp; Loss'!A764</f>
        <v>0</v>
      </c>
      <c r="B764" s="33">
        <f>'Profit &amp; Loss'!B764</f>
        <v>0</v>
      </c>
      <c r="C764" s="33"/>
      <c r="D764" s="33"/>
      <c r="E764" s="33"/>
      <c r="F764" s="33"/>
      <c r="G764" s="33"/>
      <c r="H764" s="33"/>
      <c r="I764" s="33"/>
      <c r="J764" s="33"/>
    </row>
    <row r="765" spans="1:10" ht="12.5" x14ac:dyDescent="0.25">
      <c r="A765" s="63">
        <f>'Profit &amp; Loss'!A765</f>
        <v>0</v>
      </c>
      <c r="B765" s="33">
        <f>'Profit &amp; Loss'!B765</f>
        <v>0</v>
      </c>
      <c r="C765" s="33"/>
      <c r="D765" s="33"/>
      <c r="E765" s="33"/>
      <c r="F765" s="33"/>
      <c r="G765" s="33"/>
      <c r="H765" s="33"/>
      <c r="I765" s="33"/>
      <c r="J765" s="33"/>
    </row>
    <row r="766" spans="1:10" ht="12.5" x14ac:dyDescent="0.25">
      <c r="A766" s="63">
        <f>'Profit &amp; Loss'!A766</f>
        <v>0</v>
      </c>
      <c r="B766" s="33">
        <f>'Profit &amp; Loss'!B766</f>
        <v>0</v>
      </c>
      <c r="C766" s="33"/>
      <c r="D766" s="33"/>
      <c r="E766" s="33"/>
      <c r="F766" s="33"/>
      <c r="G766" s="33"/>
      <c r="H766" s="33"/>
      <c r="I766" s="33"/>
      <c r="J766" s="33"/>
    </row>
    <row r="767" spans="1:10" ht="12.5" x14ac:dyDescent="0.25">
      <c r="A767" s="63">
        <f>'Profit &amp; Loss'!A767</f>
        <v>0</v>
      </c>
      <c r="B767" s="33">
        <f>'Profit &amp; Loss'!B767</f>
        <v>0</v>
      </c>
      <c r="C767" s="33"/>
      <c r="D767" s="33"/>
      <c r="E767" s="33"/>
      <c r="F767" s="33"/>
      <c r="G767" s="33"/>
      <c r="H767" s="33"/>
      <c r="I767" s="33"/>
      <c r="J767" s="33"/>
    </row>
    <row r="768" spans="1:10" ht="12.5" x14ac:dyDescent="0.25">
      <c r="A768" s="63">
        <f>'Profit &amp; Loss'!A768</f>
        <v>0</v>
      </c>
      <c r="B768" s="33">
        <f>'Profit &amp; Loss'!B768</f>
        <v>0</v>
      </c>
      <c r="C768" s="33"/>
      <c r="D768" s="33"/>
      <c r="E768" s="33"/>
      <c r="F768" s="33"/>
      <c r="G768" s="33"/>
      <c r="H768" s="33"/>
      <c r="I768" s="33"/>
      <c r="J768" s="33"/>
    </row>
    <row r="769" spans="1:10" ht="12.5" x14ac:dyDescent="0.25">
      <c r="A769" s="63">
        <f>'Profit &amp; Loss'!A769</f>
        <v>0</v>
      </c>
      <c r="B769" s="33">
        <f>'Profit &amp; Loss'!B769</f>
        <v>0</v>
      </c>
      <c r="C769" s="33"/>
      <c r="D769" s="33"/>
      <c r="E769" s="33"/>
      <c r="F769" s="33"/>
      <c r="G769" s="33"/>
      <c r="H769" s="33"/>
      <c r="I769" s="33"/>
      <c r="J769" s="33"/>
    </row>
    <row r="770" spans="1:10" ht="12.5" x14ac:dyDescent="0.25">
      <c r="A770" s="63">
        <f>'Profit &amp; Loss'!A770</f>
        <v>0</v>
      </c>
      <c r="B770" s="33">
        <f>'Profit &amp; Loss'!B770</f>
        <v>0</v>
      </c>
      <c r="C770" s="33"/>
      <c r="D770" s="33"/>
      <c r="E770" s="33"/>
      <c r="F770" s="33"/>
      <c r="G770" s="33"/>
      <c r="H770" s="33"/>
      <c r="I770" s="33"/>
      <c r="J770" s="33"/>
    </row>
    <row r="771" spans="1:10" ht="12.5" x14ac:dyDescent="0.25">
      <c r="A771" s="63">
        <f>'Profit &amp; Loss'!A771</f>
        <v>0</v>
      </c>
      <c r="B771" s="33">
        <f>'Profit &amp; Loss'!B771</f>
        <v>0</v>
      </c>
      <c r="C771" s="33"/>
      <c r="D771" s="33"/>
      <c r="E771" s="33"/>
      <c r="F771" s="33"/>
      <c r="G771" s="33"/>
      <c r="H771" s="33"/>
      <c r="I771" s="33"/>
      <c r="J771" s="33"/>
    </row>
    <row r="772" spans="1:10" ht="12.5" x14ac:dyDescent="0.25">
      <c r="A772" s="63">
        <f>'Profit &amp; Loss'!A772</f>
        <v>0</v>
      </c>
      <c r="B772" s="33">
        <f>'Profit &amp; Loss'!B772</f>
        <v>0</v>
      </c>
      <c r="C772" s="33"/>
      <c r="D772" s="33"/>
      <c r="E772" s="33"/>
      <c r="F772" s="33"/>
      <c r="G772" s="33"/>
      <c r="H772" s="33"/>
      <c r="I772" s="33"/>
      <c r="J772" s="33"/>
    </row>
    <row r="773" spans="1:10" ht="12.5" x14ac:dyDescent="0.25">
      <c r="A773" s="63">
        <f>'Profit &amp; Loss'!A773</f>
        <v>0</v>
      </c>
      <c r="B773" s="33">
        <f>'Profit &amp; Loss'!B773</f>
        <v>0</v>
      </c>
      <c r="C773" s="33"/>
      <c r="D773" s="33"/>
      <c r="E773" s="33"/>
      <c r="F773" s="33"/>
      <c r="G773" s="33"/>
      <c r="H773" s="33"/>
      <c r="I773" s="33"/>
      <c r="J773" s="33"/>
    </row>
    <row r="774" spans="1:10" ht="12.5" x14ac:dyDescent="0.25">
      <c r="A774" s="63">
        <f>'Profit &amp; Loss'!A774</f>
        <v>0</v>
      </c>
      <c r="B774" s="33">
        <f>'Profit &amp; Loss'!B774</f>
        <v>0</v>
      </c>
      <c r="C774" s="33"/>
      <c r="D774" s="33"/>
      <c r="E774" s="33"/>
      <c r="F774" s="33"/>
      <c r="G774" s="33"/>
      <c r="H774" s="33"/>
      <c r="I774" s="33"/>
      <c r="J774" s="33"/>
    </row>
    <row r="775" spans="1:10" ht="12.5" x14ac:dyDescent="0.25">
      <c r="A775" s="63">
        <f>'Profit &amp; Loss'!A775</f>
        <v>0</v>
      </c>
      <c r="B775" s="33">
        <f>'Profit &amp; Loss'!B775</f>
        <v>0</v>
      </c>
      <c r="C775" s="33"/>
      <c r="D775" s="33"/>
      <c r="E775" s="33"/>
      <c r="F775" s="33"/>
      <c r="G775" s="33"/>
      <c r="H775" s="33"/>
      <c r="I775" s="33"/>
      <c r="J775" s="33"/>
    </row>
    <row r="776" spans="1:10" ht="12.5" x14ac:dyDescent="0.25">
      <c r="A776" s="63">
        <f>'Profit &amp; Loss'!A776</f>
        <v>0</v>
      </c>
      <c r="B776" s="33">
        <f>'Profit &amp; Loss'!B776</f>
        <v>0</v>
      </c>
      <c r="C776" s="33"/>
      <c r="D776" s="33"/>
      <c r="E776" s="33"/>
      <c r="F776" s="33"/>
      <c r="G776" s="33"/>
      <c r="H776" s="33"/>
      <c r="I776" s="33"/>
      <c r="J776" s="33"/>
    </row>
    <row r="777" spans="1:10" ht="12.5" x14ac:dyDescent="0.25">
      <c r="A777" s="63">
        <f>'Profit &amp; Loss'!A777</f>
        <v>0</v>
      </c>
      <c r="B777" s="33">
        <f>'Profit &amp; Loss'!B777</f>
        <v>0</v>
      </c>
      <c r="C777" s="33"/>
      <c r="D777" s="33"/>
      <c r="E777" s="33"/>
      <c r="F777" s="33"/>
      <c r="G777" s="33"/>
      <c r="H777" s="33"/>
      <c r="I777" s="33"/>
      <c r="J777" s="33"/>
    </row>
    <row r="778" spans="1:10" ht="12.5" x14ac:dyDescent="0.25">
      <c r="A778" s="63">
        <f>'Profit &amp; Loss'!A778</f>
        <v>0</v>
      </c>
      <c r="B778" s="33">
        <f>'Profit &amp; Loss'!B778</f>
        <v>0</v>
      </c>
      <c r="C778" s="33"/>
      <c r="D778" s="33"/>
      <c r="E778" s="33"/>
      <c r="F778" s="33"/>
      <c r="G778" s="33"/>
      <c r="H778" s="33"/>
      <c r="I778" s="33"/>
      <c r="J778" s="33"/>
    </row>
    <row r="779" spans="1:10" ht="12.5" x14ac:dyDescent="0.25">
      <c r="A779" s="63">
        <f>'Profit &amp; Loss'!A779</f>
        <v>0</v>
      </c>
      <c r="B779" s="33">
        <f>'Profit &amp; Loss'!B779</f>
        <v>0</v>
      </c>
      <c r="C779" s="33"/>
      <c r="D779" s="33"/>
      <c r="E779" s="33"/>
      <c r="F779" s="33"/>
      <c r="G779" s="33"/>
      <c r="H779" s="33"/>
      <c r="I779" s="33"/>
      <c r="J779" s="33"/>
    </row>
    <row r="780" spans="1:10" ht="12.5" x14ac:dyDescent="0.25">
      <c r="A780" s="63">
        <f>'Profit &amp; Loss'!A780</f>
        <v>0</v>
      </c>
      <c r="B780" s="33">
        <f>'Profit &amp; Loss'!B780</f>
        <v>0</v>
      </c>
      <c r="C780" s="33"/>
      <c r="D780" s="33"/>
      <c r="E780" s="33"/>
      <c r="F780" s="33"/>
      <c r="G780" s="33"/>
      <c r="H780" s="33"/>
      <c r="I780" s="33"/>
      <c r="J780" s="33"/>
    </row>
    <row r="781" spans="1:10" ht="12.5" x14ac:dyDescent="0.25">
      <c r="A781" s="63">
        <f>'Profit &amp; Loss'!A781</f>
        <v>0</v>
      </c>
      <c r="B781" s="33">
        <f>'Profit &amp; Loss'!B781</f>
        <v>0</v>
      </c>
      <c r="C781" s="33"/>
      <c r="D781" s="33"/>
      <c r="E781" s="33"/>
      <c r="F781" s="33"/>
      <c r="G781" s="33"/>
      <c r="H781" s="33"/>
      <c r="I781" s="33"/>
      <c r="J781" s="33"/>
    </row>
    <row r="782" spans="1:10" ht="12.5" x14ac:dyDescent="0.25">
      <c r="A782" s="63">
        <f>'Profit &amp; Loss'!A782</f>
        <v>0</v>
      </c>
      <c r="B782" s="33">
        <f>'Profit &amp; Loss'!B782</f>
        <v>0</v>
      </c>
      <c r="C782" s="33"/>
      <c r="D782" s="33"/>
      <c r="E782" s="33"/>
      <c r="F782" s="33"/>
      <c r="G782" s="33"/>
      <c r="H782" s="33"/>
      <c r="I782" s="33"/>
      <c r="J782" s="33"/>
    </row>
    <row r="783" spans="1:10" ht="12.5" x14ac:dyDescent="0.25">
      <c r="A783" s="63">
        <f>'Profit &amp; Loss'!A783</f>
        <v>0</v>
      </c>
      <c r="B783" s="33">
        <f>'Profit &amp; Loss'!B783</f>
        <v>0</v>
      </c>
      <c r="C783" s="33"/>
      <c r="D783" s="33"/>
      <c r="E783" s="33"/>
      <c r="F783" s="33"/>
      <c r="G783" s="33"/>
      <c r="H783" s="33"/>
      <c r="I783" s="33"/>
      <c r="J783" s="33"/>
    </row>
    <row r="784" spans="1:10" ht="12.5" x14ac:dyDescent="0.25">
      <c r="A784" s="63">
        <f>'Profit &amp; Loss'!A784</f>
        <v>0</v>
      </c>
      <c r="B784" s="33">
        <f>'Profit &amp; Loss'!B784</f>
        <v>0</v>
      </c>
      <c r="C784" s="33"/>
      <c r="D784" s="33"/>
      <c r="E784" s="33"/>
      <c r="F784" s="33"/>
      <c r="G784" s="33"/>
      <c r="H784" s="33"/>
      <c r="I784" s="33"/>
      <c r="J784" s="33"/>
    </row>
    <row r="785" spans="1:10" ht="12.5" x14ac:dyDescent="0.25">
      <c r="A785" s="63">
        <f>'Profit &amp; Loss'!A785</f>
        <v>0</v>
      </c>
      <c r="B785" s="33">
        <f>'Profit &amp; Loss'!B785</f>
        <v>0</v>
      </c>
      <c r="C785" s="33"/>
      <c r="D785" s="33"/>
      <c r="E785" s="33"/>
      <c r="F785" s="33"/>
      <c r="G785" s="33"/>
      <c r="H785" s="33"/>
      <c r="I785" s="33"/>
      <c r="J785" s="33"/>
    </row>
    <row r="786" spans="1:10" ht="12.5" x14ac:dyDescent="0.25">
      <c r="A786" s="63">
        <f>'Profit &amp; Loss'!A786</f>
        <v>0</v>
      </c>
      <c r="B786" s="33">
        <f>'Profit &amp; Loss'!B786</f>
        <v>0</v>
      </c>
      <c r="C786" s="33"/>
      <c r="D786" s="33"/>
      <c r="E786" s="33"/>
      <c r="F786" s="33"/>
      <c r="G786" s="33"/>
      <c r="H786" s="33"/>
      <c r="I786" s="33"/>
      <c r="J786" s="33"/>
    </row>
    <row r="787" spans="1:10" ht="12.5" x14ac:dyDescent="0.25">
      <c r="A787" s="63">
        <f>'Profit &amp; Loss'!A787</f>
        <v>0</v>
      </c>
      <c r="B787" s="33">
        <f>'Profit &amp; Loss'!B787</f>
        <v>0</v>
      </c>
      <c r="C787" s="33"/>
      <c r="D787" s="33"/>
      <c r="E787" s="33"/>
      <c r="F787" s="33"/>
      <c r="G787" s="33"/>
      <c r="H787" s="33"/>
      <c r="I787" s="33"/>
      <c r="J787" s="33"/>
    </row>
    <row r="788" spans="1:10" ht="12.5" x14ac:dyDescent="0.25">
      <c r="A788" s="63">
        <f>'Profit &amp; Loss'!A788</f>
        <v>0</v>
      </c>
      <c r="B788" s="33">
        <f>'Profit &amp; Loss'!B788</f>
        <v>0</v>
      </c>
      <c r="C788" s="33"/>
      <c r="D788" s="33"/>
      <c r="E788" s="33"/>
      <c r="F788" s="33"/>
      <c r="G788" s="33"/>
      <c r="H788" s="33"/>
      <c r="I788" s="33"/>
      <c r="J788" s="33"/>
    </row>
    <row r="789" spans="1:10" ht="12.5" x14ac:dyDescent="0.25">
      <c r="A789" s="63">
        <f>'Profit &amp; Loss'!A789</f>
        <v>0</v>
      </c>
      <c r="B789" s="33">
        <f>'Profit &amp; Loss'!B789</f>
        <v>0</v>
      </c>
      <c r="C789" s="33"/>
      <c r="D789" s="33"/>
      <c r="E789" s="33"/>
      <c r="F789" s="33"/>
      <c r="G789" s="33"/>
      <c r="H789" s="33"/>
      <c r="I789" s="33"/>
      <c r="J789" s="33"/>
    </row>
    <row r="790" spans="1:10" ht="12.5" x14ac:dyDescent="0.25">
      <c r="A790" s="63">
        <f>'Profit &amp; Loss'!A790</f>
        <v>0</v>
      </c>
      <c r="B790" s="33">
        <f>'Profit &amp; Loss'!B790</f>
        <v>0</v>
      </c>
      <c r="C790" s="33"/>
      <c r="D790" s="33"/>
      <c r="E790" s="33"/>
      <c r="F790" s="33"/>
      <c r="G790" s="33"/>
      <c r="H790" s="33"/>
      <c r="I790" s="33"/>
      <c r="J790" s="33"/>
    </row>
    <row r="791" spans="1:10" ht="12.5" x14ac:dyDescent="0.25">
      <c r="A791" s="63">
        <f>'Profit &amp; Loss'!A791</f>
        <v>0</v>
      </c>
      <c r="B791" s="33">
        <f>'Profit &amp; Loss'!B791</f>
        <v>0</v>
      </c>
      <c r="C791" s="33"/>
      <c r="D791" s="33"/>
      <c r="E791" s="33"/>
      <c r="F791" s="33"/>
      <c r="G791" s="33"/>
      <c r="H791" s="33"/>
      <c r="I791" s="33"/>
      <c r="J791" s="33"/>
    </row>
    <row r="792" spans="1:10" ht="12.5" x14ac:dyDescent="0.25">
      <c r="A792" s="63">
        <f>'Profit &amp; Loss'!A792</f>
        <v>0</v>
      </c>
      <c r="B792" s="33">
        <f>'Profit &amp; Loss'!B792</f>
        <v>0</v>
      </c>
      <c r="C792" s="33"/>
      <c r="D792" s="33"/>
      <c r="E792" s="33"/>
      <c r="F792" s="33"/>
      <c r="G792" s="33"/>
      <c r="H792" s="33"/>
      <c r="I792" s="33"/>
      <c r="J792" s="33"/>
    </row>
    <row r="793" spans="1:10" ht="12.5" x14ac:dyDescent="0.25">
      <c r="A793" s="63">
        <f>'Profit &amp; Loss'!A793</f>
        <v>0</v>
      </c>
      <c r="B793" s="33">
        <f>'Profit &amp; Loss'!B793</f>
        <v>0</v>
      </c>
      <c r="C793" s="33"/>
      <c r="D793" s="33"/>
      <c r="E793" s="33"/>
      <c r="F793" s="33"/>
      <c r="G793" s="33"/>
      <c r="H793" s="33"/>
      <c r="I793" s="33"/>
      <c r="J793" s="33"/>
    </row>
    <row r="794" spans="1:10" ht="12.5" x14ac:dyDescent="0.25">
      <c r="A794" s="63">
        <f>'Profit &amp; Loss'!A794</f>
        <v>0</v>
      </c>
      <c r="B794" s="33">
        <f>'Profit &amp; Loss'!B794</f>
        <v>0</v>
      </c>
      <c r="C794" s="33"/>
      <c r="D794" s="33"/>
      <c r="E794" s="33"/>
      <c r="F794" s="33"/>
      <c r="G794" s="33"/>
      <c r="H794" s="33"/>
      <c r="I794" s="33"/>
      <c r="J794" s="33"/>
    </row>
    <row r="795" spans="1:10" ht="12.5" x14ac:dyDescent="0.25">
      <c r="A795" s="63">
        <f>'Profit &amp; Loss'!A795</f>
        <v>0</v>
      </c>
      <c r="B795" s="33">
        <f>'Profit &amp; Loss'!B795</f>
        <v>0</v>
      </c>
      <c r="C795" s="33"/>
      <c r="D795" s="33"/>
      <c r="E795" s="33"/>
      <c r="F795" s="33"/>
      <c r="G795" s="33"/>
      <c r="H795" s="33"/>
      <c r="I795" s="33"/>
      <c r="J795" s="33"/>
    </row>
    <row r="796" spans="1:10" ht="12.5" x14ac:dyDescent="0.25">
      <c r="A796" s="63">
        <f>'Profit &amp; Loss'!A796</f>
        <v>0</v>
      </c>
      <c r="B796" s="33">
        <f>'Profit &amp; Loss'!B796</f>
        <v>0</v>
      </c>
      <c r="C796" s="33"/>
      <c r="D796" s="33"/>
      <c r="E796" s="33"/>
      <c r="F796" s="33"/>
      <c r="G796" s="33"/>
      <c r="H796" s="33"/>
      <c r="I796" s="33"/>
      <c r="J796" s="33"/>
    </row>
    <row r="797" spans="1:10" ht="12.5" x14ac:dyDescent="0.25">
      <c r="A797" s="63">
        <f>'Profit &amp; Loss'!A797</f>
        <v>0</v>
      </c>
      <c r="B797" s="33">
        <f>'Profit &amp; Loss'!B797</f>
        <v>0</v>
      </c>
      <c r="C797" s="33"/>
      <c r="D797" s="33"/>
      <c r="E797" s="33"/>
      <c r="F797" s="33"/>
      <c r="G797" s="33"/>
      <c r="H797" s="33"/>
      <c r="I797" s="33"/>
      <c r="J797" s="33"/>
    </row>
    <row r="798" spans="1:10" ht="12.5" x14ac:dyDescent="0.25">
      <c r="A798" s="63">
        <f>'Profit &amp; Loss'!A798</f>
        <v>0</v>
      </c>
      <c r="B798" s="33">
        <f>'Profit &amp; Loss'!B798</f>
        <v>0</v>
      </c>
      <c r="C798" s="33"/>
      <c r="D798" s="33"/>
      <c r="E798" s="33"/>
      <c r="F798" s="33"/>
      <c r="G798" s="33"/>
      <c r="H798" s="33"/>
      <c r="I798" s="33"/>
      <c r="J798" s="33"/>
    </row>
    <row r="799" spans="1:10" ht="12.5" x14ac:dyDescent="0.25">
      <c r="A799" s="63">
        <f>'Profit &amp; Loss'!A799</f>
        <v>0</v>
      </c>
      <c r="B799" s="33">
        <f>'Profit &amp; Loss'!B799</f>
        <v>0</v>
      </c>
      <c r="C799" s="33"/>
      <c r="D799" s="33"/>
      <c r="E799" s="33"/>
      <c r="F799" s="33"/>
      <c r="G799" s="33"/>
      <c r="H799" s="33"/>
      <c r="I799" s="33"/>
      <c r="J799" s="33"/>
    </row>
    <row r="800" spans="1:10" ht="12.5" x14ac:dyDescent="0.25">
      <c r="A800" s="63">
        <f>'Profit &amp; Loss'!A800</f>
        <v>0</v>
      </c>
      <c r="B800" s="33">
        <f>'Profit &amp; Loss'!B800</f>
        <v>0</v>
      </c>
      <c r="C800" s="33"/>
      <c r="D800" s="33"/>
      <c r="E800" s="33"/>
      <c r="F800" s="33"/>
      <c r="G800" s="33"/>
      <c r="H800" s="33"/>
      <c r="I800" s="33"/>
      <c r="J800" s="33"/>
    </row>
    <row r="801" spans="1:10" ht="12.5" x14ac:dyDescent="0.25">
      <c r="A801" s="63">
        <f>'Profit &amp; Loss'!A801</f>
        <v>0</v>
      </c>
      <c r="B801" s="33">
        <f>'Profit &amp; Loss'!B801</f>
        <v>0</v>
      </c>
      <c r="C801" s="33"/>
      <c r="D801" s="33"/>
      <c r="E801" s="33"/>
      <c r="F801" s="33"/>
      <c r="G801" s="33"/>
      <c r="H801" s="33"/>
      <c r="I801" s="33"/>
      <c r="J801" s="33"/>
    </row>
    <row r="802" spans="1:10" ht="12.5" x14ac:dyDescent="0.25">
      <c r="A802" s="63">
        <f>'Profit &amp; Loss'!A802</f>
        <v>0</v>
      </c>
      <c r="B802" s="33">
        <f>'Profit &amp; Loss'!B802</f>
        <v>0</v>
      </c>
      <c r="C802" s="33"/>
      <c r="D802" s="33"/>
      <c r="E802" s="33"/>
      <c r="F802" s="33"/>
      <c r="G802" s="33"/>
      <c r="H802" s="33"/>
      <c r="I802" s="33"/>
      <c r="J802" s="33"/>
    </row>
    <row r="803" spans="1:10" ht="12.5" x14ac:dyDescent="0.25">
      <c r="A803" s="63">
        <f>'Profit &amp; Loss'!A803</f>
        <v>0</v>
      </c>
      <c r="B803" s="33">
        <f>'Profit &amp; Loss'!B803</f>
        <v>0</v>
      </c>
      <c r="C803" s="33"/>
      <c r="D803" s="33"/>
      <c r="E803" s="33"/>
      <c r="F803" s="33"/>
      <c r="G803" s="33"/>
      <c r="H803" s="33"/>
      <c r="I803" s="33"/>
      <c r="J803" s="33"/>
    </row>
    <row r="804" spans="1:10" ht="12.5" x14ac:dyDescent="0.25">
      <c r="A804" s="63">
        <f>'Profit &amp; Loss'!A804</f>
        <v>0</v>
      </c>
      <c r="B804" s="33">
        <f>'Profit &amp; Loss'!B804</f>
        <v>0</v>
      </c>
      <c r="C804" s="33"/>
      <c r="D804" s="33"/>
      <c r="E804" s="33"/>
      <c r="F804" s="33"/>
      <c r="G804" s="33"/>
      <c r="H804" s="33"/>
      <c r="I804" s="33"/>
      <c r="J804" s="33"/>
    </row>
    <row r="805" spans="1:10" ht="12.5" x14ac:dyDescent="0.25">
      <c r="A805" s="63">
        <f>'Profit &amp; Loss'!A805</f>
        <v>0</v>
      </c>
      <c r="B805" s="33">
        <f>'Profit &amp; Loss'!B805</f>
        <v>0</v>
      </c>
      <c r="C805" s="33"/>
      <c r="D805" s="33"/>
      <c r="E805" s="33"/>
      <c r="F805" s="33"/>
      <c r="G805" s="33"/>
      <c r="H805" s="33"/>
      <c r="I805" s="33"/>
      <c r="J805" s="33"/>
    </row>
    <row r="806" spans="1:10" ht="12.5" x14ac:dyDescent="0.25">
      <c r="A806" s="63">
        <f>'Profit &amp; Loss'!A806</f>
        <v>0</v>
      </c>
      <c r="B806" s="33">
        <f>'Profit &amp; Loss'!B806</f>
        <v>0</v>
      </c>
      <c r="C806" s="33"/>
      <c r="D806" s="33"/>
      <c r="E806" s="33"/>
      <c r="F806" s="33"/>
      <c r="G806" s="33"/>
      <c r="H806" s="33"/>
      <c r="I806" s="33"/>
      <c r="J806" s="33"/>
    </row>
    <row r="807" spans="1:10" ht="12.5" x14ac:dyDescent="0.25">
      <c r="A807" s="63">
        <f>'Profit &amp; Loss'!A807</f>
        <v>0</v>
      </c>
      <c r="B807" s="33">
        <f>'Profit &amp; Loss'!B807</f>
        <v>0</v>
      </c>
      <c r="C807" s="33"/>
      <c r="D807" s="33"/>
      <c r="E807" s="33"/>
      <c r="F807" s="33"/>
      <c r="G807" s="33"/>
      <c r="H807" s="33"/>
      <c r="I807" s="33"/>
      <c r="J807" s="33"/>
    </row>
    <row r="808" spans="1:10" ht="12.5" x14ac:dyDescent="0.25">
      <c r="A808" s="63">
        <f>'Profit &amp; Loss'!A808</f>
        <v>0</v>
      </c>
      <c r="B808" s="33">
        <f>'Profit &amp; Loss'!B808</f>
        <v>0</v>
      </c>
      <c r="C808" s="33"/>
      <c r="D808" s="33"/>
      <c r="E808" s="33"/>
      <c r="F808" s="33"/>
      <c r="G808" s="33"/>
      <c r="H808" s="33"/>
      <c r="I808" s="33"/>
      <c r="J808" s="33"/>
    </row>
    <row r="809" spans="1:10" ht="12.5" x14ac:dyDescent="0.25">
      <c r="A809" s="63">
        <f>'Profit &amp; Loss'!A809</f>
        <v>0</v>
      </c>
      <c r="B809" s="33">
        <f>'Profit &amp; Loss'!B809</f>
        <v>0</v>
      </c>
      <c r="C809" s="33"/>
      <c r="D809" s="33"/>
      <c r="E809" s="33"/>
      <c r="F809" s="33"/>
      <c r="G809" s="33"/>
      <c r="H809" s="33"/>
      <c r="I809" s="33"/>
      <c r="J809" s="33"/>
    </row>
    <row r="810" spans="1:10" ht="12.5" x14ac:dyDescent="0.25">
      <c r="A810" s="63">
        <f>'Profit &amp; Loss'!A810</f>
        <v>0</v>
      </c>
      <c r="B810" s="33">
        <f>'Profit &amp; Loss'!B810</f>
        <v>0</v>
      </c>
      <c r="C810" s="33"/>
      <c r="D810" s="33"/>
      <c r="E810" s="33"/>
      <c r="F810" s="33"/>
      <c r="G810" s="33"/>
      <c r="H810" s="33"/>
      <c r="I810" s="33"/>
      <c r="J810" s="33"/>
    </row>
    <row r="811" spans="1:10" ht="12.5" x14ac:dyDescent="0.25">
      <c r="A811" s="63">
        <f>'Profit &amp; Loss'!A811</f>
        <v>0</v>
      </c>
      <c r="B811" s="33">
        <f>'Profit &amp; Loss'!B811</f>
        <v>0</v>
      </c>
      <c r="C811" s="33"/>
      <c r="D811" s="33"/>
      <c r="E811" s="33"/>
      <c r="F811" s="33"/>
      <c r="G811" s="33"/>
      <c r="H811" s="33"/>
      <c r="I811" s="33"/>
      <c r="J811" s="33"/>
    </row>
    <row r="812" spans="1:10" ht="12.5" x14ac:dyDescent="0.25">
      <c r="A812" s="63">
        <f>'Profit &amp; Loss'!A812</f>
        <v>0</v>
      </c>
      <c r="B812" s="33">
        <f>'Profit &amp; Loss'!B812</f>
        <v>0</v>
      </c>
      <c r="C812" s="33"/>
      <c r="D812" s="33"/>
      <c r="E812" s="33"/>
      <c r="F812" s="33"/>
      <c r="G812" s="33"/>
      <c r="H812" s="33"/>
      <c r="I812" s="33"/>
      <c r="J812" s="33"/>
    </row>
    <row r="813" spans="1:10" ht="12.5" x14ac:dyDescent="0.25">
      <c r="A813" s="63">
        <f>'Profit &amp; Loss'!A813</f>
        <v>0</v>
      </c>
      <c r="B813" s="33">
        <f>'Profit &amp; Loss'!B813</f>
        <v>0</v>
      </c>
      <c r="C813" s="33"/>
      <c r="D813" s="33"/>
      <c r="E813" s="33"/>
      <c r="F813" s="33"/>
      <c r="G813" s="33"/>
      <c r="H813" s="33"/>
      <c r="I813" s="33"/>
      <c r="J813" s="33"/>
    </row>
    <row r="814" spans="1:10" ht="12.5" x14ac:dyDescent="0.25">
      <c r="A814" s="63">
        <f>'Profit &amp; Loss'!A814</f>
        <v>0</v>
      </c>
      <c r="B814" s="33">
        <f>'Profit &amp; Loss'!B814</f>
        <v>0</v>
      </c>
      <c r="C814" s="33"/>
      <c r="D814" s="33"/>
      <c r="E814" s="33"/>
      <c r="F814" s="33"/>
      <c r="G814" s="33"/>
      <c r="H814" s="33"/>
      <c r="I814" s="33"/>
      <c r="J814" s="33"/>
    </row>
    <row r="815" spans="1:10" ht="12.5" x14ac:dyDescent="0.25">
      <c r="A815" s="63">
        <f>'Profit &amp; Loss'!A815</f>
        <v>0</v>
      </c>
      <c r="B815" s="33">
        <f>'Profit &amp; Loss'!B815</f>
        <v>0</v>
      </c>
      <c r="C815" s="33"/>
      <c r="D815" s="33"/>
      <c r="E815" s="33"/>
      <c r="F815" s="33"/>
      <c r="G815" s="33"/>
      <c r="H815" s="33"/>
      <c r="I815" s="33"/>
      <c r="J815" s="33"/>
    </row>
    <row r="816" spans="1:10" ht="12.5" x14ac:dyDescent="0.25">
      <c r="A816" s="63">
        <f>'Profit &amp; Loss'!A816</f>
        <v>0</v>
      </c>
      <c r="B816" s="33">
        <f>'Profit &amp; Loss'!B816</f>
        <v>0</v>
      </c>
      <c r="C816" s="33"/>
      <c r="D816" s="33"/>
      <c r="E816" s="33"/>
      <c r="F816" s="33"/>
      <c r="G816" s="33"/>
      <c r="H816" s="33"/>
      <c r="I816" s="33"/>
      <c r="J816" s="33"/>
    </row>
    <row r="817" spans="1:10" ht="12.5" x14ac:dyDescent="0.25">
      <c r="A817" s="63">
        <f>'Profit &amp; Loss'!A817</f>
        <v>0</v>
      </c>
      <c r="B817" s="33">
        <f>'Profit &amp; Loss'!B817</f>
        <v>0</v>
      </c>
      <c r="C817" s="33"/>
      <c r="D817" s="33"/>
      <c r="E817" s="33"/>
      <c r="F817" s="33"/>
      <c r="G817" s="33"/>
      <c r="H817" s="33"/>
      <c r="I817" s="33"/>
      <c r="J817" s="33"/>
    </row>
    <row r="818" spans="1:10" ht="12.5" x14ac:dyDescent="0.25">
      <c r="A818" s="63">
        <f>'Profit &amp; Loss'!A818</f>
        <v>0</v>
      </c>
      <c r="B818" s="33">
        <f>'Profit &amp; Loss'!B818</f>
        <v>0</v>
      </c>
      <c r="C818" s="33"/>
      <c r="D818" s="33"/>
      <c r="E818" s="33"/>
      <c r="F818" s="33"/>
      <c r="G818" s="33"/>
      <c r="H818" s="33"/>
      <c r="I818" s="33"/>
      <c r="J818" s="33"/>
    </row>
    <row r="819" spans="1:10" ht="12.5" x14ac:dyDescent="0.25">
      <c r="A819" s="63">
        <f>'Profit &amp; Loss'!A819</f>
        <v>0</v>
      </c>
      <c r="B819" s="33">
        <f>'Profit &amp; Loss'!B819</f>
        <v>0</v>
      </c>
      <c r="C819" s="33"/>
      <c r="D819" s="33"/>
      <c r="E819" s="33"/>
      <c r="F819" s="33"/>
      <c r="G819" s="33"/>
      <c r="H819" s="33"/>
      <c r="I819" s="33"/>
      <c r="J819" s="33"/>
    </row>
    <row r="820" spans="1:10" ht="12.5" x14ac:dyDescent="0.25">
      <c r="A820" s="63">
        <f>'Profit &amp; Loss'!A820</f>
        <v>0</v>
      </c>
      <c r="B820" s="33">
        <f>'Profit &amp; Loss'!B820</f>
        <v>0</v>
      </c>
      <c r="C820" s="33"/>
      <c r="D820" s="33"/>
      <c r="E820" s="33"/>
      <c r="F820" s="33"/>
      <c r="G820" s="33"/>
      <c r="H820" s="33"/>
      <c r="I820" s="33"/>
      <c r="J820" s="33"/>
    </row>
    <row r="821" spans="1:10" ht="12.5" x14ac:dyDescent="0.25">
      <c r="A821" s="63">
        <f>'Profit &amp; Loss'!A821</f>
        <v>0</v>
      </c>
      <c r="B821" s="33">
        <f>'Profit &amp; Loss'!B821</f>
        <v>0</v>
      </c>
      <c r="C821" s="33"/>
      <c r="D821" s="33"/>
      <c r="E821" s="33"/>
      <c r="F821" s="33"/>
      <c r="G821" s="33"/>
      <c r="H821" s="33"/>
      <c r="I821" s="33"/>
      <c r="J821" s="33"/>
    </row>
    <row r="822" spans="1:10" ht="12.5" x14ac:dyDescent="0.25">
      <c r="A822" s="63">
        <f>'Profit &amp; Loss'!A822</f>
        <v>0</v>
      </c>
      <c r="B822" s="33">
        <f>'Profit &amp; Loss'!B822</f>
        <v>0</v>
      </c>
      <c r="C822" s="33"/>
      <c r="D822" s="33"/>
      <c r="E822" s="33"/>
      <c r="F822" s="33"/>
      <c r="G822" s="33"/>
      <c r="H822" s="33"/>
      <c r="I822" s="33"/>
      <c r="J822" s="33"/>
    </row>
    <row r="823" spans="1:10" ht="12.5" x14ac:dyDescent="0.25">
      <c r="A823" s="63">
        <f>'Profit &amp; Loss'!A823</f>
        <v>0</v>
      </c>
      <c r="B823" s="33">
        <f>'Profit &amp; Loss'!B823</f>
        <v>0</v>
      </c>
      <c r="C823" s="33"/>
      <c r="D823" s="33"/>
      <c r="E823" s="33"/>
      <c r="F823" s="33"/>
      <c r="G823" s="33"/>
      <c r="H823" s="33"/>
      <c r="I823" s="33"/>
      <c r="J823" s="33"/>
    </row>
    <row r="824" spans="1:10" ht="12.5" x14ac:dyDescent="0.25">
      <c r="A824" s="63">
        <f>'Profit &amp; Loss'!A824</f>
        <v>0</v>
      </c>
      <c r="B824" s="33">
        <f>'Profit &amp; Loss'!B824</f>
        <v>0</v>
      </c>
      <c r="C824" s="33"/>
      <c r="D824" s="33"/>
      <c r="E824" s="33"/>
      <c r="F824" s="33"/>
      <c r="G824" s="33"/>
      <c r="H824" s="33"/>
      <c r="I824" s="33"/>
      <c r="J824" s="33"/>
    </row>
    <row r="825" spans="1:10" ht="12.5" x14ac:dyDescent="0.25">
      <c r="A825" s="63">
        <f>'Profit &amp; Loss'!A825</f>
        <v>0</v>
      </c>
      <c r="B825" s="33">
        <f>'Profit &amp; Loss'!B825</f>
        <v>0</v>
      </c>
      <c r="C825" s="33"/>
      <c r="D825" s="33"/>
      <c r="E825" s="33"/>
      <c r="F825" s="33"/>
      <c r="G825" s="33"/>
      <c r="H825" s="33"/>
      <c r="I825" s="33"/>
      <c r="J825" s="33"/>
    </row>
    <row r="826" spans="1:10" ht="12.5" x14ac:dyDescent="0.25">
      <c r="A826" s="63">
        <f>'Profit &amp; Loss'!A826</f>
        <v>0</v>
      </c>
      <c r="B826" s="33">
        <f>'Profit &amp; Loss'!B826</f>
        <v>0</v>
      </c>
      <c r="C826" s="33"/>
      <c r="D826" s="33"/>
      <c r="E826" s="33"/>
      <c r="F826" s="33"/>
      <c r="G826" s="33"/>
      <c r="H826" s="33"/>
      <c r="I826" s="33"/>
      <c r="J826" s="33"/>
    </row>
    <row r="827" spans="1:10" ht="12.5" x14ac:dyDescent="0.25">
      <c r="A827" s="63">
        <f>'Profit &amp; Loss'!A827</f>
        <v>0</v>
      </c>
      <c r="B827" s="33">
        <f>'Profit &amp; Loss'!B827</f>
        <v>0</v>
      </c>
      <c r="C827" s="33"/>
      <c r="D827" s="33"/>
      <c r="E827" s="33"/>
      <c r="F827" s="33"/>
      <c r="G827" s="33"/>
      <c r="H827" s="33"/>
      <c r="I827" s="33"/>
      <c r="J827" s="33"/>
    </row>
    <row r="828" spans="1:10" ht="12.5" x14ac:dyDescent="0.25">
      <c r="A828" s="63">
        <f>'Profit &amp; Loss'!A828</f>
        <v>0</v>
      </c>
      <c r="B828" s="33">
        <f>'Profit &amp; Loss'!B828</f>
        <v>0</v>
      </c>
      <c r="C828" s="33"/>
      <c r="D828" s="33"/>
      <c r="E828" s="33"/>
      <c r="F828" s="33"/>
      <c r="G828" s="33"/>
      <c r="H828" s="33"/>
      <c r="I828" s="33"/>
      <c r="J828" s="33"/>
    </row>
    <row r="829" spans="1:10" ht="12.5" x14ac:dyDescent="0.25">
      <c r="A829" s="63">
        <f>'Profit &amp; Loss'!A829</f>
        <v>0</v>
      </c>
      <c r="B829" s="33">
        <f>'Profit &amp; Loss'!B829</f>
        <v>0</v>
      </c>
      <c r="C829" s="33"/>
      <c r="D829" s="33"/>
      <c r="E829" s="33"/>
      <c r="F829" s="33"/>
      <c r="G829" s="33"/>
      <c r="H829" s="33"/>
      <c r="I829" s="33"/>
      <c r="J829" s="33"/>
    </row>
    <row r="830" spans="1:10" ht="12.5" x14ac:dyDescent="0.25">
      <c r="A830" s="63">
        <f>'Profit &amp; Loss'!A830</f>
        <v>0</v>
      </c>
      <c r="B830" s="33">
        <f>'Profit &amp; Loss'!B830</f>
        <v>0</v>
      </c>
      <c r="C830" s="33"/>
      <c r="D830" s="33"/>
      <c r="E830" s="33"/>
      <c r="F830" s="33"/>
      <c r="G830" s="33"/>
      <c r="H830" s="33"/>
      <c r="I830" s="33"/>
      <c r="J830" s="33"/>
    </row>
    <row r="831" spans="1:10" ht="12.5" x14ac:dyDescent="0.25">
      <c r="A831" s="63">
        <f>'Profit &amp; Loss'!A831</f>
        <v>0</v>
      </c>
      <c r="B831" s="33">
        <f>'Profit &amp; Loss'!B831</f>
        <v>0</v>
      </c>
      <c r="C831" s="33"/>
      <c r="D831" s="33"/>
      <c r="E831" s="33"/>
      <c r="F831" s="33"/>
      <c r="G831" s="33"/>
      <c r="H831" s="33"/>
      <c r="I831" s="33"/>
      <c r="J831" s="33"/>
    </row>
    <row r="832" spans="1:10" ht="12.5" x14ac:dyDescent="0.25">
      <c r="A832" s="63">
        <f>'Profit &amp; Loss'!A832</f>
        <v>0</v>
      </c>
      <c r="B832" s="33">
        <f>'Profit &amp; Loss'!B832</f>
        <v>0</v>
      </c>
      <c r="C832" s="33"/>
      <c r="D832" s="33"/>
      <c r="E832" s="33"/>
      <c r="F832" s="33"/>
      <c r="G832" s="33"/>
      <c r="H832" s="33"/>
      <c r="I832" s="33"/>
      <c r="J832" s="33"/>
    </row>
    <row r="833" spans="1:10" ht="12.5" x14ac:dyDescent="0.25">
      <c r="A833" s="63">
        <f>'Profit &amp; Loss'!A833</f>
        <v>0</v>
      </c>
      <c r="B833" s="33">
        <f>'Profit &amp; Loss'!B833</f>
        <v>0</v>
      </c>
      <c r="C833" s="33"/>
      <c r="D833" s="33"/>
      <c r="E833" s="33"/>
      <c r="F833" s="33"/>
      <c r="G833" s="33"/>
      <c r="H833" s="33"/>
      <c r="I833" s="33"/>
      <c r="J833" s="33"/>
    </row>
    <row r="834" spans="1:10" ht="12.5" x14ac:dyDescent="0.25">
      <c r="A834" s="63">
        <f>'Profit &amp; Loss'!A834</f>
        <v>0</v>
      </c>
      <c r="B834" s="33">
        <f>'Profit &amp; Loss'!B834</f>
        <v>0</v>
      </c>
      <c r="C834" s="33"/>
      <c r="D834" s="33"/>
      <c r="E834" s="33"/>
      <c r="F834" s="33"/>
      <c r="G834" s="33"/>
      <c r="H834" s="33"/>
      <c r="I834" s="33"/>
      <c r="J834" s="33"/>
    </row>
    <row r="835" spans="1:10" ht="12.5" x14ac:dyDescent="0.25">
      <c r="A835" s="63">
        <f>'Profit &amp; Loss'!A835</f>
        <v>0</v>
      </c>
      <c r="B835" s="33">
        <f>'Profit &amp; Loss'!B835</f>
        <v>0</v>
      </c>
      <c r="C835" s="33"/>
      <c r="D835" s="33"/>
      <c r="E835" s="33"/>
      <c r="F835" s="33"/>
      <c r="G835" s="33"/>
      <c r="H835" s="33"/>
      <c r="I835" s="33"/>
      <c r="J835" s="33"/>
    </row>
    <row r="836" spans="1:10" ht="12.5" x14ac:dyDescent="0.25">
      <c r="A836" s="63">
        <f>'Profit &amp; Loss'!A836</f>
        <v>0</v>
      </c>
      <c r="B836" s="33">
        <f>'Profit &amp; Loss'!B836</f>
        <v>0</v>
      </c>
      <c r="C836" s="33"/>
      <c r="D836" s="33"/>
      <c r="E836" s="33"/>
      <c r="F836" s="33"/>
      <c r="G836" s="33"/>
      <c r="H836" s="33"/>
      <c r="I836" s="33"/>
      <c r="J836" s="33"/>
    </row>
    <row r="837" spans="1:10" ht="12.5" x14ac:dyDescent="0.25">
      <c r="A837" s="63">
        <f>'Profit &amp; Loss'!A837</f>
        <v>0</v>
      </c>
      <c r="B837" s="33">
        <f>'Profit &amp; Loss'!B837</f>
        <v>0</v>
      </c>
      <c r="C837" s="33"/>
      <c r="D837" s="33"/>
      <c r="E837" s="33"/>
      <c r="F837" s="33"/>
      <c r="G837" s="33"/>
      <c r="H837" s="33"/>
      <c r="I837" s="33"/>
      <c r="J837" s="33"/>
    </row>
    <row r="838" spans="1:10" ht="12.5" x14ac:dyDescent="0.25">
      <c r="A838" s="63">
        <f>'Profit &amp; Loss'!A838</f>
        <v>0</v>
      </c>
      <c r="B838" s="33">
        <f>'Profit &amp; Loss'!B838</f>
        <v>0</v>
      </c>
      <c r="C838" s="33"/>
      <c r="D838" s="33"/>
      <c r="E838" s="33"/>
      <c r="F838" s="33"/>
      <c r="G838" s="33"/>
      <c r="H838" s="33"/>
      <c r="I838" s="33"/>
      <c r="J838" s="33"/>
    </row>
    <row r="839" spans="1:10" ht="12.5" x14ac:dyDescent="0.25">
      <c r="A839" s="63">
        <f>'Profit &amp; Loss'!A839</f>
        <v>0</v>
      </c>
      <c r="B839" s="33">
        <f>'Profit &amp; Loss'!B839</f>
        <v>0</v>
      </c>
      <c r="C839" s="33"/>
      <c r="D839" s="33"/>
      <c r="E839" s="33"/>
      <c r="F839" s="33"/>
      <c r="G839" s="33"/>
      <c r="H839" s="33"/>
      <c r="I839" s="33"/>
      <c r="J839" s="33"/>
    </row>
    <row r="840" spans="1:10" ht="12.5" x14ac:dyDescent="0.25">
      <c r="A840" s="63">
        <f>'Profit &amp; Loss'!A840</f>
        <v>0</v>
      </c>
      <c r="B840" s="33">
        <f>'Profit &amp; Loss'!B840</f>
        <v>0</v>
      </c>
      <c r="C840" s="33"/>
      <c r="D840" s="33"/>
      <c r="E840" s="33"/>
      <c r="F840" s="33"/>
      <c r="G840" s="33"/>
      <c r="H840" s="33"/>
      <c r="I840" s="33"/>
      <c r="J840" s="33"/>
    </row>
    <row r="841" spans="1:10" ht="12.5" x14ac:dyDescent="0.25">
      <c r="A841" s="63">
        <f>'Profit &amp; Loss'!A841</f>
        <v>0</v>
      </c>
      <c r="B841" s="33">
        <f>'Profit &amp; Loss'!B841</f>
        <v>0</v>
      </c>
      <c r="C841" s="33"/>
      <c r="D841" s="33"/>
      <c r="E841" s="33"/>
      <c r="F841" s="33"/>
      <c r="G841" s="33"/>
      <c r="H841" s="33"/>
      <c r="I841" s="33"/>
      <c r="J841" s="33"/>
    </row>
    <row r="842" spans="1:10" ht="12.5" x14ac:dyDescent="0.25">
      <c r="A842" s="63">
        <f>'Profit &amp; Loss'!A842</f>
        <v>0</v>
      </c>
      <c r="B842" s="33">
        <f>'Profit &amp; Loss'!B842</f>
        <v>0</v>
      </c>
      <c r="C842" s="33"/>
      <c r="D842" s="33"/>
      <c r="E842" s="33"/>
      <c r="F842" s="33"/>
      <c r="G842" s="33"/>
      <c r="H842" s="33"/>
      <c r="I842" s="33"/>
      <c r="J842" s="33"/>
    </row>
    <row r="843" spans="1:10" ht="12.5" x14ac:dyDescent="0.25">
      <c r="A843" s="63">
        <f>'Profit &amp; Loss'!A843</f>
        <v>0</v>
      </c>
      <c r="B843" s="33">
        <f>'Profit &amp; Loss'!B843</f>
        <v>0</v>
      </c>
      <c r="C843" s="33"/>
      <c r="D843" s="33"/>
      <c r="E843" s="33"/>
      <c r="F843" s="33"/>
      <c r="G843" s="33"/>
      <c r="H843" s="33"/>
      <c r="I843" s="33"/>
      <c r="J843" s="33"/>
    </row>
    <row r="844" spans="1:10" ht="12.5" x14ac:dyDescent="0.25">
      <c r="A844" s="63">
        <f>'Profit &amp; Loss'!A844</f>
        <v>0</v>
      </c>
      <c r="B844" s="33">
        <f>'Profit &amp; Loss'!B844</f>
        <v>0</v>
      </c>
      <c r="C844" s="33"/>
      <c r="D844" s="33"/>
      <c r="E844" s="33"/>
      <c r="F844" s="33"/>
      <c r="G844" s="33"/>
      <c r="H844" s="33"/>
      <c r="I844" s="33"/>
      <c r="J844" s="33"/>
    </row>
    <row r="845" spans="1:10" ht="12.5" x14ac:dyDescent="0.25">
      <c r="A845" s="63">
        <f>'Profit &amp; Loss'!A845</f>
        <v>0</v>
      </c>
      <c r="B845" s="33">
        <f>'Profit &amp; Loss'!B845</f>
        <v>0</v>
      </c>
      <c r="C845" s="33"/>
      <c r="D845" s="33"/>
      <c r="E845" s="33"/>
      <c r="F845" s="33"/>
      <c r="G845" s="33"/>
      <c r="H845" s="33"/>
      <c r="I845" s="33"/>
      <c r="J845" s="33"/>
    </row>
    <row r="846" spans="1:10" ht="12.5" x14ac:dyDescent="0.25">
      <c r="A846" s="63">
        <f>'Profit &amp; Loss'!A846</f>
        <v>0</v>
      </c>
      <c r="B846" s="33">
        <f>'Profit &amp; Loss'!B846</f>
        <v>0</v>
      </c>
      <c r="C846" s="33"/>
      <c r="D846" s="33"/>
      <c r="E846" s="33"/>
      <c r="F846" s="33"/>
      <c r="G846" s="33"/>
      <c r="H846" s="33"/>
      <c r="I846" s="33"/>
      <c r="J846" s="33"/>
    </row>
    <row r="847" spans="1:10" ht="12.5" x14ac:dyDescent="0.25">
      <c r="A847" s="63">
        <f>'Profit &amp; Loss'!A847</f>
        <v>0</v>
      </c>
      <c r="B847" s="33">
        <f>'Profit &amp; Loss'!B847</f>
        <v>0</v>
      </c>
      <c r="C847" s="33"/>
      <c r="D847" s="33"/>
      <c r="E847" s="33"/>
      <c r="F847" s="33"/>
      <c r="G847" s="33"/>
      <c r="H847" s="33"/>
      <c r="I847" s="33"/>
      <c r="J847" s="33"/>
    </row>
    <row r="848" spans="1:10" ht="12.5" x14ac:dyDescent="0.25">
      <c r="A848" s="63">
        <f>'Profit &amp; Loss'!A848</f>
        <v>0</v>
      </c>
      <c r="B848" s="33">
        <f>'Profit &amp; Loss'!B848</f>
        <v>0</v>
      </c>
      <c r="C848" s="33"/>
      <c r="D848" s="33"/>
      <c r="E848" s="33"/>
      <c r="F848" s="33"/>
      <c r="G848" s="33"/>
      <c r="H848" s="33"/>
      <c r="I848" s="33"/>
      <c r="J848" s="33"/>
    </row>
    <row r="849" spans="1:10" ht="12.5" x14ac:dyDescent="0.25">
      <c r="A849" s="63">
        <f>'Profit &amp; Loss'!A849</f>
        <v>0</v>
      </c>
      <c r="B849" s="33">
        <f>'Profit &amp; Loss'!B849</f>
        <v>0</v>
      </c>
      <c r="C849" s="33"/>
      <c r="D849" s="33"/>
      <c r="E849" s="33"/>
      <c r="F849" s="33"/>
      <c r="G849" s="33"/>
      <c r="H849" s="33"/>
      <c r="I849" s="33"/>
      <c r="J849" s="33"/>
    </row>
    <row r="850" spans="1:10" ht="12.5" x14ac:dyDescent="0.25">
      <c r="A850" s="63">
        <f>'Profit &amp; Loss'!A850</f>
        <v>0</v>
      </c>
      <c r="B850" s="33">
        <f>'Profit &amp; Loss'!B850</f>
        <v>0</v>
      </c>
      <c r="C850" s="33"/>
      <c r="D850" s="33"/>
      <c r="E850" s="33"/>
      <c r="F850" s="33"/>
      <c r="G850" s="33"/>
      <c r="H850" s="33"/>
      <c r="I850" s="33"/>
      <c r="J850" s="33"/>
    </row>
    <row r="851" spans="1:10" ht="12.5" x14ac:dyDescent="0.25">
      <c r="A851" s="63">
        <f>'Profit &amp; Loss'!A851</f>
        <v>0</v>
      </c>
      <c r="B851" s="33">
        <f>'Profit &amp; Loss'!B851</f>
        <v>0</v>
      </c>
      <c r="C851" s="33"/>
      <c r="D851" s="33"/>
      <c r="E851" s="33"/>
      <c r="F851" s="33"/>
      <c r="G851" s="33"/>
      <c r="H851" s="33"/>
      <c r="I851" s="33"/>
      <c r="J851" s="33"/>
    </row>
    <row r="852" spans="1:10" ht="12.5" x14ac:dyDescent="0.25">
      <c r="A852" s="63">
        <f>'Profit &amp; Loss'!A852</f>
        <v>0</v>
      </c>
      <c r="B852" s="33">
        <f>'Profit &amp; Loss'!B852</f>
        <v>0</v>
      </c>
      <c r="C852" s="33"/>
      <c r="D852" s="33"/>
      <c r="E852" s="33"/>
      <c r="F852" s="33"/>
      <c r="G852" s="33"/>
      <c r="H852" s="33"/>
      <c r="I852" s="33"/>
      <c r="J852" s="33"/>
    </row>
    <row r="853" spans="1:10" ht="12.5" x14ac:dyDescent="0.25">
      <c r="A853" s="63">
        <f>'Profit &amp; Loss'!A853</f>
        <v>0</v>
      </c>
      <c r="B853" s="33">
        <f>'Profit &amp; Loss'!B853</f>
        <v>0</v>
      </c>
      <c r="C853" s="33"/>
      <c r="D853" s="33"/>
      <c r="E853" s="33"/>
      <c r="F853" s="33"/>
      <c r="G853" s="33"/>
      <c r="H853" s="33"/>
      <c r="I853" s="33"/>
      <c r="J853" s="33"/>
    </row>
    <row r="854" spans="1:10" ht="12.5" x14ac:dyDescent="0.25">
      <c r="A854" s="63">
        <f>'Profit &amp; Loss'!A854</f>
        <v>0</v>
      </c>
      <c r="B854" s="33">
        <f>'Profit &amp; Loss'!B854</f>
        <v>0</v>
      </c>
      <c r="C854" s="33"/>
      <c r="D854" s="33"/>
      <c r="E854" s="33"/>
      <c r="F854" s="33"/>
      <c r="G854" s="33"/>
      <c r="H854" s="33"/>
      <c r="I854" s="33"/>
      <c r="J854" s="33"/>
    </row>
    <row r="855" spans="1:10" ht="12.5" x14ac:dyDescent="0.25">
      <c r="A855" s="63">
        <f>'Profit &amp; Loss'!A855</f>
        <v>0</v>
      </c>
      <c r="B855" s="33">
        <f>'Profit &amp; Loss'!B855</f>
        <v>0</v>
      </c>
      <c r="C855" s="33"/>
      <c r="D855" s="33"/>
      <c r="E855" s="33"/>
      <c r="F855" s="33"/>
      <c r="G855" s="33"/>
      <c r="H855" s="33"/>
      <c r="I855" s="33"/>
      <c r="J855" s="33"/>
    </row>
    <row r="856" spans="1:10" ht="12.5" x14ac:dyDescent="0.25">
      <c r="A856" s="63">
        <f>'Profit &amp; Loss'!A856</f>
        <v>0</v>
      </c>
      <c r="B856" s="33">
        <f>'Profit &amp; Loss'!B856</f>
        <v>0</v>
      </c>
      <c r="C856" s="33"/>
      <c r="D856" s="33"/>
      <c r="E856" s="33"/>
      <c r="F856" s="33"/>
      <c r="G856" s="33"/>
      <c r="H856" s="33"/>
      <c r="I856" s="33"/>
      <c r="J856" s="33"/>
    </row>
    <row r="857" spans="1:10" ht="12.5" x14ac:dyDescent="0.25">
      <c r="A857" s="63">
        <f>'Profit &amp; Loss'!A857</f>
        <v>0</v>
      </c>
      <c r="B857" s="33">
        <f>'Profit &amp; Loss'!B857</f>
        <v>0</v>
      </c>
      <c r="C857" s="33"/>
      <c r="D857" s="33"/>
      <c r="E857" s="33"/>
      <c r="F857" s="33"/>
      <c r="G857" s="33"/>
      <c r="H857" s="33"/>
      <c r="I857" s="33"/>
      <c r="J857" s="33"/>
    </row>
    <row r="858" spans="1:10" ht="12.5" x14ac:dyDescent="0.25">
      <c r="A858" s="63">
        <f>'Profit &amp; Loss'!A858</f>
        <v>0</v>
      </c>
      <c r="B858" s="33">
        <f>'Profit &amp; Loss'!B858</f>
        <v>0</v>
      </c>
      <c r="C858" s="33"/>
      <c r="D858" s="33"/>
      <c r="E858" s="33"/>
      <c r="F858" s="33"/>
      <c r="G858" s="33"/>
      <c r="H858" s="33"/>
      <c r="I858" s="33"/>
      <c r="J858" s="33"/>
    </row>
    <row r="859" spans="1:10" ht="12.5" x14ac:dyDescent="0.25">
      <c r="A859" s="63">
        <f>'Profit &amp; Loss'!A859</f>
        <v>0</v>
      </c>
      <c r="B859" s="33">
        <f>'Profit &amp; Loss'!B859</f>
        <v>0</v>
      </c>
      <c r="C859" s="33"/>
      <c r="D859" s="33"/>
      <c r="E859" s="33"/>
      <c r="F859" s="33"/>
      <c r="G859" s="33"/>
      <c r="H859" s="33"/>
      <c r="I859" s="33"/>
      <c r="J859" s="33"/>
    </row>
    <row r="860" spans="1:10" ht="12.5" x14ac:dyDescent="0.25">
      <c r="A860" s="63">
        <f>'Profit &amp; Loss'!A860</f>
        <v>0</v>
      </c>
      <c r="B860" s="33">
        <f>'Profit &amp; Loss'!B860</f>
        <v>0</v>
      </c>
      <c r="C860" s="33"/>
      <c r="D860" s="33"/>
      <c r="E860" s="33"/>
      <c r="F860" s="33"/>
      <c r="G860" s="33"/>
      <c r="H860" s="33"/>
      <c r="I860" s="33"/>
      <c r="J860" s="33"/>
    </row>
    <row r="861" spans="1:10" ht="12.5" x14ac:dyDescent="0.25">
      <c r="A861" s="63">
        <f>'Profit &amp; Loss'!A861</f>
        <v>0</v>
      </c>
      <c r="B861" s="33">
        <f>'Profit &amp; Loss'!B861</f>
        <v>0</v>
      </c>
      <c r="C861" s="33"/>
      <c r="D861" s="33"/>
      <c r="E861" s="33"/>
      <c r="F861" s="33"/>
      <c r="G861" s="33"/>
      <c r="H861" s="33"/>
      <c r="I861" s="33"/>
      <c r="J861" s="33"/>
    </row>
    <row r="862" spans="1:10" ht="12.5" x14ac:dyDescent="0.25">
      <c r="A862" s="63">
        <f>'Profit &amp; Loss'!A862</f>
        <v>0</v>
      </c>
      <c r="B862" s="33">
        <f>'Profit &amp; Loss'!B862</f>
        <v>0</v>
      </c>
      <c r="C862" s="33"/>
      <c r="D862" s="33"/>
      <c r="E862" s="33"/>
      <c r="F862" s="33"/>
      <c r="G862" s="33"/>
      <c r="H862" s="33"/>
      <c r="I862" s="33"/>
      <c r="J862" s="33"/>
    </row>
    <row r="863" spans="1:10" ht="12.5" x14ac:dyDescent="0.25">
      <c r="A863" s="63">
        <f>'Profit &amp; Loss'!A863</f>
        <v>0</v>
      </c>
      <c r="B863" s="33">
        <f>'Profit &amp; Loss'!B863</f>
        <v>0</v>
      </c>
      <c r="C863" s="33"/>
      <c r="D863" s="33"/>
      <c r="E863" s="33"/>
      <c r="F863" s="33"/>
      <c r="G863" s="33"/>
      <c r="H863" s="33"/>
      <c r="I863" s="33"/>
      <c r="J863" s="33"/>
    </row>
    <row r="864" spans="1:10" ht="12.5" x14ac:dyDescent="0.25">
      <c r="A864" s="63">
        <f>'Profit &amp; Loss'!A864</f>
        <v>0</v>
      </c>
      <c r="B864" s="33">
        <f>'Profit &amp; Loss'!B864</f>
        <v>0</v>
      </c>
      <c r="C864" s="33"/>
      <c r="D864" s="33"/>
      <c r="E864" s="33"/>
      <c r="F864" s="33"/>
      <c r="G864" s="33"/>
      <c r="H864" s="33"/>
      <c r="I864" s="33"/>
      <c r="J864" s="33"/>
    </row>
    <row r="865" spans="1:10" ht="12.5" x14ac:dyDescent="0.25">
      <c r="A865" s="63">
        <f>'Profit &amp; Loss'!A865</f>
        <v>0</v>
      </c>
      <c r="B865" s="33">
        <f>'Profit &amp; Loss'!B865</f>
        <v>0</v>
      </c>
      <c r="C865" s="33"/>
      <c r="D865" s="33"/>
      <c r="E865" s="33"/>
      <c r="F865" s="33"/>
      <c r="G865" s="33"/>
      <c r="H865" s="33"/>
      <c r="I865" s="33"/>
      <c r="J865" s="33"/>
    </row>
    <row r="866" spans="1:10" ht="12.5" x14ac:dyDescent="0.25">
      <c r="A866" s="63">
        <f>'Profit &amp; Loss'!A866</f>
        <v>0</v>
      </c>
      <c r="B866" s="33">
        <f>'Profit &amp; Loss'!B866</f>
        <v>0</v>
      </c>
      <c r="C866" s="33"/>
      <c r="D866" s="33"/>
      <c r="E866" s="33"/>
      <c r="F866" s="33"/>
      <c r="G866" s="33"/>
      <c r="H866" s="33"/>
      <c r="I866" s="33"/>
      <c r="J866" s="33"/>
    </row>
    <row r="867" spans="1:10" ht="12.5" x14ac:dyDescent="0.25">
      <c r="A867" s="63">
        <f>'Profit &amp; Loss'!A867</f>
        <v>0</v>
      </c>
      <c r="B867" s="33">
        <f>'Profit &amp; Loss'!B867</f>
        <v>0</v>
      </c>
      <c r="C867" s="33"/>
      <c r="D867" s="33"/>
      <c r="E867" s="33"/>
      <c r="F867" s="33"/>
      <c r="G867" s="33"/>
      <c r="H867" s="33"/>
      <c r="I867" s="33"/>
      <c r="J867" s="33"/>
    </row>
    <row r="868" spans="1:10" ht="12.5" x14ac:dyDescent="0.25">
      <c r="A868" s="63">
        <f>'Profit &amp; Loss'!A868</f>
        <v>0</v>
      </c>
      <c r="B868" s="33">
        <f>'Profit &amp; Loss'!B868</f>
        <v>0</v>
      </c>
      <c r="C868" s="33"/>
      <c r="D868" s="33"/>
      <c r="E868" s="33"/>
      <c r="F868" s="33"/>
      <c r="G868" s="33"/>
      <c r="H868" s="33"/>
      <c r="I868" s="33"/>
      <c r="J868" s="33"/>
    </row>
    <row r="869" spans="1:10" ht="12.5" x14ac:dyDescent="0.25">
      <c r="A869" s="63">
        <f>'Profit &amp; Loss'!A869</f>
        <v>0</v>
      </c>
      <c r="B869" s="33">
        <f>'Profit &amp; Loss'!B869</f>
        <v>0</v>
      </c>
      <c r="C869" s="33"/>
      <c r="D869" s="33"/>
      <c r="E869" s="33"/>
      <c r="F869" s="33"/>
      <c r="G869" s="33"/>
      <c r="H869" s="33"/>
      <c r="I869" s="33"/>
      <c r="J869" s="33"/>
    </row>
    <row r="870" spans="1:10" ht="12.5" x14ac:dyDescent="0.25">
      <c r="A870" s="63">
        <f>'Profit &amp; Loss'!A870</f>
        <v>0</v>
      </c>
      <c r="B870" s="33">
        <f>'Profit &amp; Loss'!B870</f>
        <v>0</v>
      </c>
      <c r="C870" s="33"/>
      <c r="D870" s="33"/>
      <c r="E870" s="33"/>
      <c r="F870" s="33"/>
      <c r="G870" s="33"/>
      <c r="H870" s="33"/>
      <c r="I870" s="33"/>
      <c r="J870" s="33"/>
    </row>
    <row r="871" spans="1:10" ht="12.5" x14ac:dyDescent="0.25">
      <c r="A871" s="63">
        <f>'Profit &amp; Loss'!A871</f>
        <v>0</v>
      </c>
      <c r="B871" s="33">
        <f>'Profit &amp; Loss'!B871</f>
        <v>0</v>
      </c>
      <c r="C871" s="33"/>
      <c r="D871" s="33"/>
      <c r="E871" s="33"/>
      <c r="F871" s="33"/>
      <c r="G871" s="33"/>
      <c r="H871" s="33"/>
      <c r="I871" s="33"/>
      <c r="J871" s="33"/>
    </row>
    <row r="872" spans="1:10" ht="12.5" x14ac:dyDescent="0.25">
      <c r="A872" s="63">
        <f>'Profit &amp; Loss'!A872</f>
        <v>0</v>
      </c>
      <c r="B872" s="33">
        <f>'Profit &amp; Loss'!B872</f>
        <v>0</v>
      </c>
      <c r="C872" s="33"/>
      <c r="D872" s="33"/>
      <c r="E872" s="33"/>
      <c r="F872" s="33"/>
      <c r="G872" s="33"/>
      <c r="H872" s="33"/>
      <c r="I872" s="33"/>
      <c r="J872" s="33"/>
    </row>
    <row r="873" spans="1:10" ht="12.5" x14ac:dyDescent="0.25">
      <c r="A873" s="63">
        <f>'Profit &amp; Loss'!A873</f>
        <v>0</v>
      </c>
      <c r="B873" s="33">
        <f>'Profit &amp; Loss'!B873</f>
        <v>0</v>
      </c>
      <c r="C873" s="33"/>
      <c r="D873" s="33"/>
      <c r="E873" s="33"/>
      <c r="F873" s="33"/>
      <c r="G873" s="33"/>
      <c r="H873" s="33"/>
      <c r="I873" s="33"/>
      <c r="J873" s="33"/>
    </row>
    <row r="874" spans="1:10" ht="12.5" x14ac:dyDescent="0.25">
      <c r="A874" s="63">
        <f>'Profit &amp; Loss'!A874</f>
        <v>0</v>
      </c>
      <c r="B874" s="33">
        <f>'Profit &amp; Loss'!B874</f>
        <v>0</v>
      </c>
      <c r="C874" s="33"/>
      <c r="D874" s="33"/>
      <c r="E874" s="33"/>
      <c r="F874" s="33"/>
      <c r="G874" s="33"/>
      <c r="H874" s="33"/>
      <c r="I874" s="33"/>
      <c r="J874" s="33"/>
    </row>
    <row r="875" spans="1:10" ht="12.5" x14ac:dyDescent="0.25">
      <c r="A875" s="63">
        <f>'Profit &amp; Loss'!A875</f>
        <v>0</v>
      </c>
      <c r="B875" s="33">
        <f>'Profit &amp; Loss'!B875</f>
        <v>0</v>
      </c>
      <c r="C875" s="33"/>
      <c r="D875" s="33"/>
      <c r="E875" s="33"/>
      <c r="F875" s="33"/>
      <c r="G875" s="33"/>
      <c r="H875" s="33"/>
      <c r="I875" s="33"/>
      <c r="J875" s="33"/>
    </row>
    <row r="876" spans="1:10" ht="12.5" x14ac:dyDescent="0.25">
      <c r="A876" s="63">
        <f>'Profit &amp; Loss'!A876</f>
        <v>0</v>
      </c>
      <c r="B876" s="33">
        <f>'Profit &amp; Loss'!B876</f>
        <v>0</v>
      </c>
      <c r="C876" s="33"/>
      <c r="D876" s="33"/>
      <c r="E876" s="33"/>
      <c r="F876" s="33"/>
      <c r="G876" s="33"/>
      <c r="H876" s="33"/>
      <c r="I876" s="33"/>
      <c r="J876" s="33"/>
    </row>
    <row r="877" spans="1:10" ht="12.5" x14ac:dyDescent="0.25">
      <c r="A877" s="63">
        <f>'Profit &amp; Loss'!A877</f>
        <v>0</v>
      </c>
      <c r="B877" s="33">
        <f>'Profit &amp; Loss'!B877</f>
        <v>0</v>
      </c>
      <c r="C877" s="33"/>
      <c r="D877" s="33"/>
      <c r="E877" s="33"/>
      <c r="F877" s="33"/>
      <c r="G877" s="33"/>
      <c r="H877" s="33"/>
      <c r="I877" s="33"/>
      <c r="J877" s="33"/>
    </row>
    <row r="878" spans="1:10" ht="12.5" x14ac:dyDescent="0.25">
      <c r="A878" s="63">
        <f>'Profit &amp; Loss'!A878</f>
        <v>0</v>
      </c>
      <c r="B878" s="33">
        <f>'Profit &amp; Loss'!B878</f>
        <v>0</v>
      </c>
      <c r="C878" s="33"/>
      <c r="D878" s="33"/>
      <c r="E878" s="33"/>
      <c r="F878" s="33"/>
      <c r="G878" s="33"/>
      <c r="H878" s="33"/>
      <c r="I878" s="33"/>
      <c r="J878" s="33"/>
    </row>
    <row r="879" spans="1:10" ht="12.5" x14ac:dyDescent="0.25">
      <c r="A879" s="63">
        <f>'Profit &amp; Loss'!A879</f>
        <v>0</v>
      </c>
      <c r="B879" s="33">
        <f>'Profit &amp; Loss'!B879</f>
        <v>0</v>
      </c>
      <c r="C879" s="33"/>
      <c r="D879" s="33"/>
      <c r="E879" s="33"/>
      <c r="F879" s="33"/>
      <c r="G879" s="33"/>
      <c r="H879" s="33"/>
      <c r="I879" s="33"/>
      <c r="J879" s="33"/>
    </row>
    <row r="880" spans="1:10" ht="12.5" x14ac:dyDescent="0.25">
      <c r="A880" s="63">
        <f>'Profit &amp; Loss'!A880</f>
        <v>0</v>
      </c>
      <c r="B880" s="33">
        <f>'Profit &amp; Loss'!B880</f>
        <v>0</v>
      </c>
      <c r="C880" s="33"/>
      <c r="D880" s="33"/>
      <c r="E880" s="33"/>
      <c r="F880" s="33"/>
      <c r="G880" s="33"/>
      <c r="H880" s="33"/>
      <c r="I880" s="33"/>
      <c r="J880" s="33"/>
    </row>
    <row r="881" spans="1:10" ht="12.5" x14ac:dyDescent="0.25">
      <c r="A881" s="63">
        <f>'Profit &amp; Loss'!A881</f>
        <v>0</v>
      </c>
      <c r="B881" s="33">
        <f>'Profit &amp; Loss'!B881</f>
        <v>0</v>
      </c>
      <c r="C881" s="33"/>
      <c r="D881" s="33"/>
      <c r="E881" s="33"/>
      <c r="F881" s="33"/>
      <c r="G881" s="33"/>
      <c r="H881" s="33"/>
      <c r="I881" s="33"/>
      <c r="J881" s="33"/>
    </row>
    <row r="882" spans="1:10" ht="12.5" x14ac:dyDescent="0.25">
      <c r="A882" s="63">
        <f>'Profit &amp; Loss'!A882</f>
        <v>0</v>
      </c>
      <c r="B882" s="33">
        <f>'Profit &amp; Loss'!B882</f>
        <v>0</v>
      </c>
      <c r="C882" s="33"/>
      <c r="D882" s="33"/>
      <c r="E882" s="33"/>
      <c r="F882" s="33"/>
      <c r="G882" s="33"/>
      <c r="H882" s="33"/>
      <c r="I882" s="33"/>
      <c r="J882" s="33"/>
    </row>
    <row r="883" spans="1:10" ht="12.5" x14ac:dyDescent="0.25">
      <c r="A883" s="63">
        <f>'Profit &amp; Loss'!A883</f>
        <v>0</v>
      </c>
      <c r="B883" s="33">
        <f>'Profit &amp; Loss'!B883</f>
        <v>0</v>
      </c>
      <c r="C883" s="33"/>
      <c r="D883" s="33"/>
      <c r="E883" s="33"/>
      <c r="F883" s="33"/>
      <c r="G883" s="33"/>
      <c r="H883" s="33"/>
      <c r="I883" s="33"/>
      <c r="J883" s="33"/>
    </row>
    <row r="884" spans="1:10" ht="12.5" x14ac:dyDescent="0.25">
      <c r="A884" s="63">
        <f>'Profit &amp; Loss'!A884</f>
        <v>0</v>
      </c>
      <c r="B884" s="33">
        <f>'Profit &amp; Loss'!B884</f>
        <v>0</v>
      </c>
      <c r="C884" s="33"/>
      <c r="D884" s="33"/>
      <c r="E884" s="33"/>
      <c r="F884" s="33"/>
      <c r="G884" s="33"/>
      <c r="H884" s="33"/>
      <c r="I884" s="33"/>
      <c r="J884" s="33"/>
    </row>
    <row r="885" spans="1:10" ht="12.5" x14ac:dyDescent="0.25">
      <c r="A885" s="63">
        <f>'Profit &amp; Loss'!A885</f>
        <v>0</v>
      </c>
      <c r="B885" s="33">
        <f>'Profit &amp; Loss'!B885</f>
        <v>0</v>
      </c>
      <c r="C885" s="33"/>
      <c r="D885" s="33"/>
      <c r="E885" s="33"/>
      <c r="F885" s="33"/>
      <c r="G885" s="33"/>
      <c r="H885" s="33"/>
      <c r="I885" s="33"/>
      <c r="J885" s="33"/>
    </row>
    <row r="886" spans="1:10" ht="12.5" x14ac:dyDescent="0.25">
      <c r="A886" s="63">
        <f>'Profit &amp; Loss'!A886</f>
        <v>0</v>
      </c>
      <c r="B886" s="33">
        <f>'Profit &amp; Loss'!B886</f>
        <v>0</v>
      </c>
      <c r="C886" s="33"/>
      <c r="D886" s="33"/>
      <c r="E886" s="33"/>
      <c r="F886" s="33"/>
      <c r="G886" s="33"/>
      <c r="H886" s="33"/>
      <c r="I886" s="33"/>
      <c r="J886" s="33"/>
    </row>
    <row r="887" spans="1:10" ht="12.5" x14ac:dyDescent="0.25">
      <c r="A887" s="63">
        <f>'Profit &amp; Loss'!A887</f>
        <v>0</v>
      </c>
      <c r="B887" s="33">
        <f>'Profit &amp; Loss'!B887</f>
        <v>0</v>
      </c>
      <c r="C887" s="33"/>
      <c r="D887" s="33"/>
      <c r="E887" s="33"/>
      <c r="F887" s="33"/>
      <c r="G887" s="33"/>
      <c r="H887" s="33"/>
      <c r="I887" s="33"/>
      <c r="J887" s="33"/>
    </row>
    <row r="888" spans="1:10" ht="12.5" x14ac:dyDescent="0.25">
      <c r="A888" s="63">
        <f>'Profit &amp; Loss'!A888</f>
        <v>0</v>
      </c>
      <c r="B888" s="33">
        <f>'Profit &amp; Loss'!B888</f>
        <v>0</v>
      </c>
      <c r="C888" s="33"/>
      <c r="D888" s="33"/>
      <c r="E888" s="33"/>
      <c r="F888" s="33"/>
      <c r="G888" s="33"/>
      <c r="H888" s="33"/>
      <c r="I888" s="33"/>
      <c r="J888" s="33"/>
    </row>
    <row r="889" spans="1:10" ht="12.5" x14ac:dyDescent="0.25">
      <c r="A889" s="63">
        <f>'Profit &amp; Loss'!A889</f>
        <v>0</v>
      </c>
      <c r="B889" s="33">
        <f>'Profit &amp; Loss'!B889</f>
        <v>0</v>
      </c>
      <c r="C889" s="33"/>
      <c r="D889" s="33"/>
      <c r="E889" s="33"/>
      <c r="F889" s="33"/>
      <c r="G889" s="33"/>
      <c r="H889" s="33"/>
      <c r="I889" s="33"/>
      <c r="J889" s="33"/>
    </row>
    <row r="890" spans="1:10" ht="12.5" x14ac:dyDescent="0.25">
      <c r="A890" s="63">
        <f>'Profit &amp; Loss'!A890</f>
        <v>0</v>
      </c>
      <c r="B890" s="33">
        <f>'Profit &amp; Loss'!B890</f>
        <v>0</v>
      </c>
      <c r="C890" s="33"/>
      <c r="D890" s="33"/>
      <c r="E890" s="33"/>
      <c r="F890" s="33"/>
      <c r="G890" s="33"/>
      <c r="H890" s="33"/>
      <c r="I890" s="33"/>
      <c r="J890" s="33"/>
    </row>
    <row r="891" spans="1:10" ht="12.5" x14ac:dyDescent="0.25">
      <c r="A891" s="63">
        <f>'Profit &amp; Loss'!A891</f>
        <v>0</v>
      </c>
      <c r="B891" s="33">
        <f>'Profit &amp; Loss'!B891</f>
        <v>0</v>
      </c>
      <c r="C891" s="33"/>
      <c r="D891" s="33"/>
      <c r="E891" s="33"/>
      <c r="F891" s="33"/>
      <c r="G891" s="33"/>
      <c r="H891" s="33"/>
      <c r="I891" s="33"/>
      <c r="J891" s="33"/>
    </row>
    <row r="892" spans="1:10" ht="12.5" x14ac:dyDescent="0.25">
      <c r="A892" s="63">
        <f>'Profit &amp; Loss'!A892</f>
        <v>0</v>
      </c>
      <c r="B892" s="33">
        <f>'Profit &amp; Loss'!B892</f>
        <v>0</v>
      </c>
      <c r="C892" s="33"/>
      <c r="D892" s="33"/>
      <c r="E892" s="33"/>
      <c r="F892" s="33"/>
      <c r="G892" s="33"/>
      <c r="H892" s="33"/>
      <c r="I892" s="33"/>
      <c r="J892" s="33"/>
    </row>
    <row r="893" spans="1:10" ht="12.5" x14ac:dyDescent="0.25">
      <c r="A893" s="63">
        <f>'Profit &amp; Loss'!A893</f>
        <v>0</v>
      </c>
      <c r="B893" s="33">
        <f>'Profit &amp; Loss'!B893</f>
        <v>0</v>
      </c>
      <c r="C893" s="33"/>
      <c r="D893" s="33"/>
      <c r="E893" s="33"/>
      <c r="F893" s="33"/>
      <c r="G893" s="33"/>
      <c r="H893" s="33"/>
      <c r="I893" s="33"/>
      <c r="J893" s="33"/>
    </row>
    <row r="894" spans="1:10" ht="12.5" x14ac:dyDescent="0.25">
      <c r="A894" s="63">
        <f>'Profit &amp; Loss'!A894</f>
        <v>0</v>
      </c>
      <c r="B894" s="33">
        <f>'Profit &amp; Loss'!B894</f>
        <v>0</v>
      </c>
      <c r="C894" s="33"/>
      <c r="D894" s="33"/>
      <c r="E894" s="33"/>
      <c r="F894" s="33"/>
      <c r="G894" s="33"/>
      <c r="H894" s="33"/>
      <c r="I894" s="33"/>
      <c r="J894" s="33"/>
    </row>
    <row r="895" spans="1:10" ht="12.5" x14ac:dyDescent="0.25">
      <c r="A895" s="63">
        <f>'Profit &amp; Loss'!A895</f>
        <v>0</v>
      </c>
      <c r="B895" s="33">
        <f>'Profit &amp; Loss'!B895</f>
        <v>0</v>
      </c>
      <c r="C895" s="33"/>
      <c r="D895" s="33"/>
      <c r="E895" s="33"/>
      <c r="F895" s="33"/>
      <c r="G895" s="33"/>
      <c r="H895" s="33"/>
      <c r="I895" s="33"/>
      <c r="J895" s="33"/>
    </row>
    <row r="896" spans="1:10" ht="12.5" x14ac:dyDescent="0.25">
      <c r="A896" s="63">
        <f>'Profit &amp; Loss'!A896</f>
        <v>0</v>
      </c>
      <c r="B896" s="33">
        <f>'Profit &amp; Loss'!B896</f>
        <v>0</v>
      </c>
      <c r="C896" s="33"/>
      <c r="D896" s="33"/>
      <c r="E896" s="33"/>
      <c r="F896" s="33"/>
      <c r="G896" s="33"/>
      <c r="H896" s="33"/>
      <c r="I896" s="33"/>
      <c r="J896" s="33"/>
    </row>
    <row r="897" spans="1:10" ht="12.5" x14ac:dyDescent="0.25">
      <c r="A897" s="63">
        <f>'Profit &amp; Loss'!A897</f>
        <v>0</v>
      </c>
      <c r="B897" s="33">
        <f>'Profit &amp; Loss'!B897</f>
        <v>0</v>
      </c>
      <c r="C897" s="33"/>
      <c r="D897" s="33"/>
      <c r="E897" s="33"/>
      <c r="F897" s="33"/>
      <c r="G897" s="33"/>
      <c r="H897" s="33"/>
      <c r="I897" s="33"/>
      <c r="J897" s="33"/>
    </row>
    <row r="898" spans="1:10" ht="12.5" x14ac:dyDescent="0.25">
      <c r="A898" s="63">
        <f>'Profit &amp; Loss'!A898</f>
        <v>0</v>
      </c>
      <c r="B898" s="33">
        <f>'Profit &amp; Loss'!B898</f>
        <v>0</v>
      </c>
      <c r="C898" s="33"/>
      <c r="D898" s="33"/>
      <c r="E898" s="33"/>
      <c r="F898" s="33"/>
      <c r="G898" s="33"/>
      <c r="H898" s="33"/>
      <c r="I898" s="33"/>
      <c r="J898" s="33"/>
    </row>
    <row r="899" spans="1:10" ht="12.5" x14ac:dyDescent="0.25">
      <c r="A899" s="63">
        <f>'Profit &amp; Loss'!A899</f>
        <v>0</v>
      </c>
      <c r="B899" s="33">
        <f>'Profit &amp; Loss'!B899</f>
        <v>0</v>
      </c>
      <c r="C899" s="33"/>
      <c r="D899" s="33"/>
      <c r="E899" s="33"/>
      <c r="F899" s="33"/>
      <c r="G899" s="33"/>
      <c r="H899" s="33"/>
      <c r="I899" s="33"/>
      <c r="J899" s="33"/>
    </row>
    <row r="900" spans="1:10" ht="12.5" x14ac:dyDescent="0.25">
      <c r="A900" s="63">
        <f>'Profit &amp; Loss'!A900</f>
        <v>0</v>
      </c>
      <c r="B900" s="33">
        <f>'Profit &amp; Loss'!B900</f>
        <v>0</v>
      </c>
      <c r="C900" s="33"/>
      <c r="D900" s="33"/>
      <c r="E900" s="33"/>
      <c r="F900" s="33"/>
      <c r="G900" s="33"/>
      <c r="H900" s="33"/>
      <c r="I900" s="33"/>
      <c r="J900" s="33"/>
    </row>
    <row r="901" spans="1:10" ht="12.5" x14ac:dyDescent="0.25">
      <c r="A901" s="63">
        <f>'Profit &amp; Loss'!A901</f>
        <v>0</v>
      </c>
      <c r="B901" s="33">
        <f>'Profit &amp; Loss'!B901</f>
        <v>0</v>
      </c>
      <c r="C901" s="33"/>
      <c r="D901" s="33"/>
      <c r="E901" s="33"/>
      <c r="F901" s="33"/>
      <c r="G901" s="33"/>
      <c r="H901" s="33"/>
      <c r="I901" s="33"/>
      <c r="J901" s="33"/>
    </row>
    <row r="902" spans="1:10" ht="12.5" x14ac:dyDescent="0.25">
      <c r="A902" s="63">
        <f>'Profit &amp; Loss'!A902</f>
        <v>0</v>
      </c>
      <c r="B902" s="33">
        <f>'Profit &amp; Loss'!B902</f>
        <v>0</v>
      </c>
      <c r="C902" s="33"/>
      <c r="D902" s="33"/>
      <c r="E902" s="33"/>
      <c r="F902" s="33"/>
      <c r="G902" s="33"/>
      <c r="H902" s="33"/>
      <c r="I902" s="33"/>
      <c r="J902" s="33"/>
    </row>
    <row r="903" spans="1:10" ht="12.5" x14ac:dyDescent="0.25">
      <c r="A903" s="63">
        <f>'Profit &amp; Loss'!A903</f>
        <v>0</v>
      </c>
      <c r="B903" s="33">
        <f>'Profit &amp; Loss'!B903</f>
        <v>0</v>
      </c>
      <c r="C903" s="33"/>
      <c r="D903" s="33"/>
      <c r="E903" s="33"/>
      <c r="F903" s="33"/>
      <c r="G903" s="33"/>
      <c r="H903" s="33"/>
      <c r="I903" s="33"/>
      <c r="J903" s="33"/>
    </row>
    <row r="904" spans="1:10" ht="12.5" x14ac:dyDescent="0.25">
      <c r="A904" s="63">
        <f>'Profit &amp; Loss'!A904</f>
        <v>0</v>
      </c>
      <c r="B904" s="33">
        <f>'Profit &amp; Loss'!B904</f>
        <v>0</v>
      </c>
      <c r="C904" s="33"/>
      <c r="D904" s="33"/>
      <c r="E904" s="33"/>
      <c r="F904" s="33"/>
      <c r="G904" s="33"/>
      <c r="H904" s="33"/>
      <c r="I904" s="33"/>
      <c r="J904" s="33"/>
    </row>
    <row r="905" spans="1:10" ht="12.5" x14ac:dyDescent="0.25">
      <c r="A905" s="63">
        <f>'Profit &amp; Loss'!A905</f>
        <v>0</v>
      </c>
      <c r="B905" s="33">
        <f>'Profit &amp; Loss'!B905</f>
        <v>0</v>
      </c>
      <c r="C905" s="33"/>
      <c r="D905" s="33"/>
      <c r="E905" s="33"/>
      <c r="F905" s="33"/>
      <c r="G905" s="33"/>
      <c r="H905" s="33"/>
      <c r="I905" s="33"/>
      <c r="J905" s="33"/>
    </row>
    <row r="906" spans="1:10" ht="12.5" x14ac:dyDescent="0.25">
      <c r="A906" s="63">
        <f>'Profit &amp; Loss'!A906</f>
        <v>0</v>
      </c>
      <c r="B906" s="33">
        <f>'Profit &amp; Loss'!B906</f>
        <v>0</v>
      </c>
      <c r="C906" s="33"/>
      <c r="D906" s="33"/>
      <c r="E906" s="33"/>
      <c r="F906" s="33"/>
      <c r="G906" s="33"/>
      <c r="H906" s="33"/>
      <c r="I906" s="33"/>
      <c r="J906" s="33"/>
    </row>
    <row r="907" spans="1:10" ht="12.5" x14ac:dyDescent="0.25">
      <c r="A907" s="63">
        <f>'Profit &amp; Loss'!A907</f>
        <v>0</v>
      </c>
      <c r="B907" s="33">
        <f>'Profit &amp; Loss'!B907</f>
        <v>0</v>
      </c>
      <c r="C907" s="33"/>
      <c r="D907" s="33"/>
      <c r="E907" s="33"/>
      <c r="F907" s="33"/>
      <c r="G907" s="33"/>
      <c r="H907" s="33"/>
      <c r="I907" s="33"/>
      <c r="J907" s="33"/>
    </row>
    <row r="908" spans="1:10" ht="12.5" x14ac:dyDescent="0.25">
      <c r="A908" s="63">
        <f>'Profit &amp; Loss'!A908</f>
        <v>0</v>
      </c>
      <c r="B908" s="33">
        <f>'Profit &amp; Loss'!B908</f>
        <v>0</v>
      </c>
      <c r="C908" s="33"/>
      <c r="D908" s="33"/>
      <c r="E908" s="33"/>
      <c r="F908" s="33"/>
      <c r="G908" s="33"/>
      <c r="H908" s="33"/>
      <c r="I908" s="33"/>
      <c r="J908" s="33"/>
    </row>
    <row r="909" spans="1:10" ht="12.5" x14ac:dyDescent="0.25">
      <c r="A909" s="63">
        <f>'Profit &amp; Loss'!A909</f>
        <v>0</v>
      </c>
      <c r="B909" s="33">
        <f>'Profit &amp; Loss'!B909</f>
        <v>0</v>
      </c>
      <c r="C909" s="33"/>
      <c r="D909" s="33"/>
      <c r="E909" s="33"/>
      <c r="F909" s="33"/>
      <c r="G909" s="33"/>
      <c r="H909" s="33"/>
      <c r="I909" s="33"/>
      <c r="J909" s="33"/>
    </row>
    <row r="910" spans="1:10" ht="12.5" x14ac:dyDescent="0.25">
      <c r="A910" s="63">
        <f>'Profit &amp; Loss'!A910</f>
        <v>0</v>
      </c>
      <c r="B910" s="33">
        <f>'Profit &amp; Loss'!B910</f>
        <v>0</v>
      </c>
      <c r="C910" s="33"/>
      <c r="D910" s="33"/>
      <c r="E910" s="33"/>
      <c r="F910" s="33"/>
      <c r="G910" s="33"/>
      <c r="H910" s="33"/>
      <c r="I910" s="33"/>
      <c r="J910" s="33"/>
    </row>
    <row r="911" spans="1:10" ht="12.5" x14ac:dyDescent="0.25">
      <c r="A911" s="63">
        <f>'Profit &amp; Loss'!A911</f>
        <v>0</v>
      </c>
      <c r="B911" s="33">
        <f>'Profit &amp; Loss'!B911</f>
        <v>0</v>
      </c>
      <c r="C911" s="33"/>
      <c r="D911" s="33"/>
      <c r="E911" s="33"/>
      <c r="F911" s="33"/>
      <c r="G911" s="33"/>
      <c r="H911" s="33"/>
      <c r="I911" s="33"/>
      <c r="J911" s="33"/>
    </row>
    <row r="912" spans="1:10" ht="12.5" x14ac:dyDescent="0.25">
      <c r="A912" s="63">
        <f>'Profit &amp; Loss'!A912</f>
        <v>0</v>
      </c>
      <c r="B912" s="33">
        <f>'Profit &amp; Loss'!B912</f>
        <v>0</v>
      </c>
      <c r="C912" s="33"/>
      <c r="D912" s="33"/>
      <c r="E912" s="33"/>
      <c r="F912" s="33"/>
      <c r="G912" s="33"/>
      <c r="H912" s="33"/>
      <c r="I912" s="33"/>
      <c r="J912" s="33"/>
    </row>
    <row r="913" spans="1:10" ht="12.5" x14ac:dyDescent="0.25">
      <c r="A913" s="63">
        <f>'Profit &amp; Loss'!A913</f>
        <v>0</v>
      </c>
      <c r="B913" s="33">
        <f>'Profit &amp; Loss'!B913</f>
        <v>0</v>
      </c>
      <c r="C913" s="33"/>
      <c r="D913" s="33"/>
      <c r="E913" s="33"/>
      <c r="F913" s="33"/>
      <c r="G913" s="33"/>
      <c r="H913" s="33"/>
      <c r="I913" s="33"/>
      <c r="J913" s="33"/>
    </row>
    <row r="914" spans="1:10" ht="12.5" x14ac:dyDescent="0.25">
      <c r="A914" s="63">
        <f>'Profit &amp; Loss'!A914</f>
        <v>0</v>
      </c>
      <c r="B914" s="33">
        <f>'Profit &amp; Loss'!B914</f>
        <v>0</v>
      </c>
      <c r="C914" s="33"/>
      <c r="D914" s="33"/>
      <c r="E914" s="33"/>
      <c r="F914" s="33"/>
      <c r="G914" s="33"/>
      <c r="H914" s="33"/>
      <c r="I914" s="33"/>
      <c r="J914" s="33"/>
    </row>
    <row r="915" spans="1:10" ht="12.5" x14ac:dyDescent="0.25">
      <c r="A915" s="63">
        <f>'Profit &amp; Loss'!A915</f>
        <v>0</v>
      </c>
      <c r="B915" s="33">
        <f>'Profit &amp; Loss'!B915</f>
        <v>0</v>
      </c>
      <c r="C915" s="33"/>
      <c r="D915" s="33"/>
      <c r="E915" s="33"/>
      <c r="F915" s="33"/>
      <c r="G915" s="33"/>
      <c r="H915" s="33"/>
      <c r="I915" s="33"/>
      <c r="J915" s="33"/>
    </row>
    <row r="916" spans="1:10" ht="12.5" x14ac:dyDescent="0.25">
      <c r="A916" s="63">
        <f>'Profit &amp; Loss'!A916</f>
        <v>0</v>
      </c>
      <c r="B916" s="33">
        <f>'Profit &amp; Loss'!B916</f>
        <v>0</v>
      </c>
      <c r="C916" s="33"/>
      <c r="D916" s="33"/>
      <c r="E916" s="33"/>
      <c r="F916" s="33"/>
      <c r="G916" s="33"/>
      <c r="H916" s="33"/>
      <c r="I916" s="33"/>
      <c r="J916" s="33"/>
    </row>
    <row r="917" spans="1:10" ht="12.5" x14ac:dyDescent="0.25">
      <c r="A917" s="63">
        <f>'Profit &amp; Loss'!A917</f>
        <v>0</v>
      </c>
      <c r="B917" s="33">
        <f>'Profit &amp; Loss'!B917</f>
        <v>0</v>
      </c>
      <c r="C917" s="33"/>
      <c r="D917" s="33"/>
      <c r="E917" s="33"/>
      <c r="F917" s="33"/>
      <c r="G917" s="33"/>
      <c r="H917" s="33"/>
      <c r="I917" s="33"/>
      <c r="J917" s="33"/>
    </row>
    <row r="918" spans="1:10" ht="12.5" x14ac:dyDescent="0.25">
      <c r="A918" s="63">
        <f>'Profit &amp; Loss'!A918</f>
        <v>0</v>
      </c>
      <c r="B918" s="33">
        <f>'Profit &amp; Loss'!B918</f>
        <v>0</v>
      </c>
      <c r="C918" s="33"/>
      <c r="D918" s="33"/>
      <c r="E918" s="33"/>
      <c r="F918" s="33"/>
      <c r="G918" s="33"/>
      <c r="H918" s="33"/>
      <c r="I918" s="33"/>
      <c r="J918" s="33"/>
    </row>
    <row r="919" spans="1:10" ht="12.5" x14ac:dyDescent="0.25">
      <c r="A919" s="63">
        <f>'Profit &amp; Loss'!A919</f>
        <v>0</v>
      </c>
      <c r="B919" s="33">
        <f>'Profit &amp; Loss'!B919</f>
        <v>0</v>
      </c>
      <c r="C919" s="33"/>
      <c r="D919" s="33"/>
      <c r="E919" s="33"/>
      <c r="F919" s="33"/>
      <c r="G919" s="33"/>
      <c r="H919" s="33"/>
      <c r="I919" s="33"/>
      <c r="J919" s="33"/>
    </row>
    <row r="920" spans="1:10" ht="12.5" x14ac:dyDescent="0.25">
      <c r="A920" s="63">
        <f>'Profit &amp; Loss'!A920</f>
        <v>0</v>
      </c>
      <c r="B920" s="33">
        <f>'Profit &amp; Loss'!B920</f>
        <v>0</v>
      </c>
      <c r="C920" s="33"/>
      <c r="D920" s="33"/>
      <c r="E920" s="33"/>
      <c r="F920" s="33"/>
      <c r="G920" s="33"/>
      <c r="H920" s="33"/>
      <c r="I920" s="33"/>
      <c r="J920" s="33"/>
    </row>
    <row r="921" spans="1:10" ht="12.5" x14ac:dyDescent="0.25">
      <c r="A921" s="63">
        <f>'Profit &amp; Loss'!A921</f>
        <v>0</v>
      </c>
      <c r="B921" s="33">
        <f>'Profit &amp; Loss'!B921</f>
        <v>0</v>
      </c>
      <c r="C921" s="33"/>
      <c r="D921" s="33"/>
      <c r="E921" s="33"/>
      <c r="F921" s="33"/>
      <c r="G921" s="33"/>
      <c r="H921" s="33"/>
      <c r="I921" s="33"/>
      <c r="J921" s="33"/>
    </row>
    <row r="922" spans="1:10" ht="12.5" x14ac:dyDescent="0.25">
      <c r="A922" s="63">
        <f>'Profit &amp; Loss'!A922</f>
        <v>0</v>
      </c>
      <c r="B922" s="33">
        <f>'Profit &amp; Loss'!B922</f>
        <v>0</v>
      </c>
      <c r="C922" s="33"/>
      <c r="D922" s="33"/>
      <c r="E922" s="33"/>
      <c r="F922" s="33"/>
      <c r="G922" s="33"/>
      <c r="H922" s="33"/>
      <c r="I922" s="33"/>
      <c r="J922" s="33"/>
    </row>
    <row r="923" spans="1:10" ht="12.5" x14ac:dyDescent="0.25">
      <c r="A923" s="63">
        <f>'Profit &amp; Loss'!A923</f>
        <v>0</v>
      </c>
      <c r="B923" s="33">
        <f>'Profit &amp; Loss'!B923</f>
        <v>0</v>
      </c>
      <c r="C923" s="33"/>
      <c r="D923" s="33"/>
      <c r="E923" s="33"/>
      <c r="F923" s="33"/>
      <c r="G923" s="33"/>
      <c r="H923" s="33"/>
      <c r="I923" s="33"/>
      <c r="J923" s="33"/>
    </row>
    <row r="924" spans="1:10" ht="12.5" x14ac:dyDescent="0.25">
      <c r="A924" s="63">
        <f>'Profit &amp; Loss'!A924</f>
        <v>0</v>
      </c>
      <c r="B924" s="33">
        <f>'Profit &amp; Loss'!B924</f>
        <v>0</v>
      </c>
      <c r="C924" s="33"/>
      <c r="D924" s="33"/>
      <c r="E924" s="33"/>
      <c r="F924" s="33"/>
      <c r="G924" s="33"/>
      <c r="H924" s="33"/>
      <c r="I924" s="33"/>
      <c r="J924" s="33"/>
    </row>
    <row r="925" spans="1:10" ht="12.5" x14ac:dyDescent="0.25">
      <c r="A925" s="63">
        <f>'Profit &amp; Loss'!A925</f>
        <v>0</v>
      </c>
      <c r="B925" s="33">
        <f>'Profit &amp; Loss'!B925</f>
        <v>0</v>
      </c>
      <c r="C925" s="33"/>
      <c r="D925" s="33"/>
      <c r="E925" s="33"/>
      <c r="F925" s="33"/>
      <c r="G925" s="33"/>
      <c r="H925" s="33"/>
      <c r="I925" s="33"/>
      <c r="J925" s="33"/>
    </row>
    <row r="926" spans="1:10" ht="12.5" x14ac:dyDescent="0.25">
      <c r="A926" s="63">
        <f>'Profit &amp; Loss'!A926</f>
        <v>0</v>
      </c>
      <c r="B926" s="33">
        <f>'Profit &amp; Loss'!B926</f>
        <v>0</v>
      </c>
      <c r="C926" s="33"/>
      <c r="D926" s="33"/>
      <c r="E926" s="33"/>
      <c r="F926" s="33"/>
      <c r="G926" s="33"/>
      <c r="H926" s="33"/>
      <c r="I926" s="33"/>
      <c r="J926" s="33"/>
    </row>
    <row r="927" spans="1:10" ht="12.5" x14ac:dyDescent="0.25">
      <c r="A927" s="63">
        <f>'Profit &amp; Loss'!A927</f>
        <v>0</v>
      </c>
      <c r="B927" s="33">
        <f>'Profit &amp; Loss'!B927</f>
        <v>0</v>
      </c>
      <c r="C927" s="33"/>
      <c r="D927" s="33"/>
      <c r="E927" s="33"/>
      <c r="F927" s="33"/>
      <c r="G927" s="33"/>
      <c r="H927" s="33"/>
      <c r="I927" s="33"/>
      <c r="J927" s="33"/>
    </row>
    <row r="928" spans="1:10" ht="12.5" x14ac:dyDescent="0.25">
      <c r="A928" s="63">
        <f>'Profit &amp; Loss'!A928</f>
        <v>0</v>
      </c>
      <c r="B928" s="33">
        <f>'Profit &amp; Loss'!B928</f>
        <v>0</v>
      </c>
      <c r="C928" s="33"/>
      <c r="D928" s="33"/>
      <c r="E928" s="33"/>
      <c r="F928" s="33"/>
      <c r="G928" s="33"/>
      <c r="H928" s="33"/>
      <c r="I928" s="33"/>
      <c r="J928" s="33"/>
    </row>
    <row r="929" spans="1:10" ht="12.5" x14ac:dyDescent="0.25">
      <c r="A929" s="63">
        <f>'Profit &amp; Loss'!A929</f>
        <v>0</v>
      </c>
      <c r="B929" s="33">
        <f>'Profit &amp; Loss'!B929</f>
        <v>0</v>
      </c>
      <c r="C929" s="33"/>
      <c r="D929" s="33"/>
      <c r="E929" s="33"/>
      <c r="F929" s="33"/>
      <c r="G929" s="33"/>
      <c r="H929" s="33"/>
      <c r="I929" s="33"/>
      <c r="J929" s="33"/>
    </row>
    <row r="930" spans="1:10" ht="12.5" x14ac:dyDescent="0.25">
      <c r="A930" s="63">
        <f>'Profit &amp; Loss'!A930</f>
        <v>0</v>
      </c>
      <c r="B930" s="33">
        <f>'Profit &amp; Loss'!B930</f>
        <v>0</v>
      </c>
      <c r="C930" s="33"/>
      <c r="D930" s="33"/>
      <c r="E930" s="33"/>
      <c r="F930" s="33"/>
      <c r="G930" s="33"/>
      <c r="H930" s="33"/>
      <c r="I930" s="33"/>
      <c r="J930" s="33"/>
    </row>
    <row r="931" spans="1:10" ht="12.5" x14ac:dyDescent="0.25">
      <c r="A931" s="63">
        <f>'Profit &amp; Loss'!A931</f>
        <v>0</v>
      </c>
      <c r="B931" s="33">
        <f>'Profit &amp; Loss'!B931</f>
        <v>0</v>
      </c>
      <c r="C931" s="33"/>
      <c r="D931" s="33"/>
      <c r="E931" s="33"/>
      <c r="F931" s="33"/>
      <c r="G931" s="33"/>
      <c r="H931" s="33"/>
      <c r="I931" s="33"/>
      <c r="J931" s="33"/>
    </row>
    <row r="932" spans="1:10" ht="12.5" x14ac:dyDescent="0.25">
      <c r="A932" s="63">
        <f>'Profit &amp; Loss'!A932</f>
        <v>0</v>
      </c>
      <c r="B932" s="33">
        <f>'Profit &amp; Loss'!B932</f>
        <v>0</v>
      </c>
      <c r="C932" s="33"/>
      <c r="D932" s="33"/>
      <c r="E932" s="33"/>
      <c r="F932" s="33"/>
      <c r="G932" s="33"/>
      <c r="H932" s="33"/>
      <c r="I932" s="33"/>
      <c r="J932" s="33"/>
    </row>
    <row r="933" spans="1:10" ht="12.5" x14ac:dyDescent="0.25">
      <c r="A933" s="63">
        <f>'Profit &amp; Loss'!A933</f>
        <v>0</v>
      </c>
      <c r="B933" s="33">
        <f>'Profit &amp; Loss'!B933</f>
        <v>0</v>
      </c>
      <c r="C933" s="33"/>
      <c r="D933" s="33"/>
      <c r="E933" s="33"/>
      <c r="F933" s="33"/>
      <c r="G933" s="33"/>
      <c r="H933" s="33"/>
      <c r="I933" s="33"/>
      <c r="J933" s="33"/>
    </row>
    <row r="934" spans="1:10" ht="12.5" x14ac:dyDescent="0.25">
      <c r="A934" s="63">
        <f>'Profit &amp; Loss'!A934</f>
        <v>0</v>
      </c>
      <c r="B934" s="33">
        <f>'Profit &amp; Loss'!B934</f>
        <v>0</v>
      </c>
      <c r="C934" s="33"/>
      <c r="D934" s="33"/>
      <c r="E934" s="33"/>
      <c r="F934" s="33"/>
      <c r="G934" s="33"/>
      <c r="H934" s="33"/>
      <c r="I934" s="33"/>
      <c r="J934" s="33"/>
    </row>
    <row r="935" spans="1:10" ht="12.5" x14ac:dyDescent="0.25">
      <c r="A935" s="63">
        <f>'Profit &amp; Loss'!A935</f>
        <v>0</v>
      </c>
      <c r="B935" s="33">
        <f>'Profit &amp; Loss'!B935</f>
        <v>0</v>
      </c>
      <c r="C935" s="33"/>
      <c r="D935" s="33"/>
      <c r="E935" s="33"/>
      <c r="F935" s="33"/>
      <c r="G935" s="33"/>
      <c r="H935" s="33"/>
      <c r="I935" s="33"/>
      <c r="J935" s="33"/>
    </row>
    <row r="936" spans="1:10" ht="12.5" x14ac:dyDescent="0.25">
      <c r="A936" s="63">
        <f>'Profit &amp; Loss'!A936</f>
        <v>0</v>
      </c>
      <c r="B936" s="33">
        <f>'Profit &amp; Loss'!B936</f>
        <v>0</v>
      </c>
      <c r="C936" s="33"/>
      <c r="D936" s="33"/>
      <c r="E936" s="33"/>
      <c r="F936" s="33"/>
      <c r="G936" s="33"/>
      <c r="H936" s="33"/>
      <c r="I936" s="33"/>
      <c r="J936" s="33"/>
    </row>
    <row r="937" spans="1:10" ht="12.5" x14ac:dyDescent="0.25">
      <c r="A937" s="63">
        <f>'Profit &amp; Loss'!A937</f>
        <v>0</v>
      </c>
      <c r="B937" s="33">
        <f>'Profit &amp; Loss'!B937</f>
        <v>0</v>
      </c>
      <c r="C937" s="33"/>
      <c r="D937" s="33"/>
      <c r="E937" s="33"/>
      <c r="F937" s="33"/>
      <c r="G937" s="33"/>
      <c r="H937" s="33"/>
      <c r="I937" s="33"/>
      <c r="J937" s="33"/>
    </row>
    <row r="938" spans="1:10" ht="12.5" x14ac:dyDescent="0.25">
      <c r="A938" s="63">
        <f>'Profit &amp; Loss'!A938</f>
        <v>0</v>
      </c>
      <c r="B938" s="33">
        <f>'Profit &amp; Loss'!B938</f>
        <v>0</v>
      </c>
      <c r="C938" s="33"/>
      <c r="D938" s="33"/>
      <c r="E938" s="33"/>
      <c r="F938" s="33"/>
      <c r="G938" s="33"/>
      <c r="H938" s="33"/>
      <c r="I938" s="33"/>
      <c r="J938" s="33"/>
    </row>
    <row r="939" spans="1:10" ht="12.5" x14ac:dyDescent="0.25">
      <c r="A939" s="63">
        <f>'Profit &amp; Loss'!A939</f>
        <v>0</v>
      </c>
      <c r="B939" s="33">
        <f>'Profit &amp; Loss'!B939</f>
        <v>0</v>
      </c>
      <c r="C939" s="33"/>
      <c r="D939" s="33"/>
      <c r="E939" s="33"/>
      <c r="F939" s="33"/>
      <c r="G939" s="33"/>
      <c r="H939" s="33"/>
      <c r="I939" s="33"/>
      <c r="J939" s="33"/>
    </row>
    <row r="940" spans="1:10" ht="12.5" x14ac:dyDescent="0.25">
      <c r="A940" s="63">
        <f>'Profit &amp; Loss'!A940</f>
        <v>0</v>
      </c>
      <c r="B940" s="33">
        <f>'Profit &amp; Loss'!B940</f>
        <v>0</v>
      </c>
      <c r="C940" s="33"/>
      <c r="D940" s="33"/>
      <c r="E940" s="33"/>
      <c r="F940" s="33"/>
      <c r="G940" s="33"/>
      <c r="H940" s="33"/>
      <c r="I940" s="33"/>
      <c r="J940" s="33"/>
    </row>
    <row r="941" spans="1:10" ht="12.5" x14ac:dyDescent="0.25">
      <c r="A941" s="63">
        <f>'Profit &amp; Loss'!A941</f>
        <v>0</v>
      </c>
      <c r="B941" s="33">
        <f>'Profit &amp; Loss'!B941</f>
        <v>0</v>
      </c>
      <c r="C941" s="33"/>
      <c r="D941" s="33"/>
      <c r="E941" s="33"/>
      <c r="F941" s="33"/>
      <c r="G941" s="33"/>
      <c r="H941" s="33"/>
      <c r="I941" s="33"/>
      <c r="J941" s="33"/>
    </row>
    <row r="942" spans="1:10" ht="12.5" x14ac:dyDescent="0.25">
      <c r="A942" s="63">
        <f>'Profit &amp; Loss'!A942</f>
        <v>0</v>
      </c>
      <c r="B942" s="33">
        <f>'Profit &amp; Loss'!B942</f>
        <v>0</v>
      </c>
      <c r="C942" s="33"/>
      <c r="D942" s="33"/>
      <c r="E942" s="33"/>
      <c r="F942" s="33"/>
      <c r="G942" s="33"/>
      <c r="H942" s="33"/>
      <c r="I942" s="33"/>
      <c r="J942" s="33"/>
    </row>
    <row r="943" spans="1:10" ht="12.5" x14ac:dyDescent="0.25">
      <c r="A943" s="63">
        <f>'Profit &amp; Loss'!A943</f>
        <v>0</v>
      </c>
      <c r="B943" s="33">
        <f>'Profit &amp; Loss'!B943</f>
        <v>0</v>
      </c>
      <c r="C943" s="33"/>
      <c r="D943" s="33"/>
      <c r="E943" s="33"/>
      <c r="F943" s="33"/>
      <c r="G943" s="33"/>
      <c r="H943" s="33"/>
      <c r="I943" s="33"/>
      <c r="J943" s="33"/>
    </row>
    <row r="944" spans="1:10" ht="12.5" x14ac:dyDescent="0.25">
      <c r="A944" s="63">
        <f>'Profit &amp; Loss'!A944</f>
        <v>0</v>
      </c>
      <c r="B944" s="33">
        <f>'Profit &amp; Loss'!B944</f>
        <v>0</v>
      </c>
      <c r="C944" s="33"/>
      <c r="D944" s="33"/>
      <c r="E944" s="33"/>
      <c r="F944" s="33"/>
      <c r="G944" s="33"/>
      <c r="H944" s="33"/>
      <c r="I944" s="33"/>
      <c r="J944" s="33"/>
    </row>
    <row r="945" spans="1:10" ht="12.5" x14ac:dyDescent="0.25">
      <c r="A945" s="63">
        <f>'Profit &amp; Loss'!A945</f>
        <v>0</v>
      </c>
      <c r="B945" s="33">
        <f>'Profit &amp; Loss'!B945</f>
        <v>0</v>
      </c>
      <c r="C945" s="33"/>
      <c r="D945" s="33"/>
      <c r="E945" s="33"/>
      <c r="F945" s="33"/>
      <c r="G945" s="33"/>
      <c r="H945" s="33"/>
      <c r="I945" s="33"/>
      <c r="J945" s="33"/>
    </row>
    <row r="946" spans="1:10" ht="12.5" x14ac:dyDescent="0.25">
      <c r="A946" s="63">
        <f>'Profit &amp; Loss'!A946</f>
        <v>0</v>
      </c>
      <c r="B946" s="33">
        <f>'Profit &amp; Loss'!B946</f>
        <v>0</v>
      </c>
      <c r="C946" s="33"/>
      <c r="D946" s="33"/>
      <c r="E946" s="33"/>
      <c r="F946" s="33"/>
      <c r="G946" s="33"/>
      <c r="H946" s="33"/>
      <c r="I946" s="33"/>
      <c r="J946" s="33"/>
    </row>
    <row r="947" spans="1:10" ht="12.5" x14ac:dyDescent="0.25">
      <c r="A947" s="63">
        <f>'Profit &amp; Loss'!A947</f>
        <v>0</v>
      </c>
      <c r="B947" s="33">
        <f>'Profit &amp; Loss'!B947</f>
        <v>0</v>
      </c>
      <c r="C947" s="33"/>
      <c r="D947" s="33"/>
      <c r="E947" s="33"/>
      <c r="F947" s="33"/>
      <c r="G947" s="33"/>
      <c r="H947" s="33"/>
      <c r="I947" s="33"/>
      <c r="J947" s="33"/>
    </row>
    <row r="948" spans="1:10" ht="12.5" x14ac:dyDescent="0.25">
      <c r="A948" s="63">
        <f>'Profit &amp; Loss'!A948</f>
        <v>0</v>
      </c>
      <c r="B948" s="33">
        <f>'Profit &amp; Loss'!B948</f>
        <v>0</v>
      </c>
      <c r="C948" s="33"/>
      <c r="D948" s="33"/>
      <c r="E948" s="33"/>
      <c r="F948" s="33"/>
      <c r="G948" s="33"/>
      <c r="H948" s="33"/>
      <c r="I948" s="33"/>
      <c r="J948" s="33"/>
    </row>
    <row r="949" spans="1:10" ht="12.5" x14ac:dyDescent="0.25">
      <c r="A949" s="63">
        <f>'Profit &amp; Loss'!A949</f>
        <v>0</v>
      </c>
      <c r="B949" s="33">
        <f>'Profit &amp; Loss'!B949</f>
        <v>0</v>
      </c>
      <c r="C949" s="33"/>
      <c r="D949" s="33"/>
      <c r="E949" s="33"/>
      <c r="F949" s="33"/>
      <c r="G949" s="33"/>
      <c r="H949" s="33"/>
      <c r="I949" s="33"/>
      <c r="J949" s="33"/>
    </row>
    <row r="950" spans="1:10" ht="12.5" x14ac:dyDescent="0.25">
      <c r="A950" s="63">
        <f>'Profit &amp; Loss'!A950</f>
        <v>0</v>
      </c>
      <c r="B950" s="33">
        <f>'Profit &amp; Loss'!B950</f>
        <v>0</v>
      </c>
      <c r="C950" s="33"/>
      <c r="D950" s="33"/>
      <c r="E950" s="33"/>
      <c r="F950" s="33"/>
      <c r="G950" s="33"/>
      <c r="H950" s="33"/>
      <c r="I950" s="33"/>
      <c r="J950" s="33"/>
    </row>
    <row r="951" spans="1:10" ht="12.5" x14ac:dyDescent="0.25">
      <c r="A951" s="63">
        <f>'Profit &amp; Loss'!A951</f>
        <v>0</v>
      </c>
      <c r="B951" s="33">
        <f>'Profit &amp; Loss'!B951</f>
        <v>0</v>
      </c>
      <c r="C951" s="33"/>
      <c r="D951" s="33"/>
      <c r="E951" s="33"/>
      <c r="F951" s="33"/>
      <c r="G951" s="33"/>
      <c r="H951" s="33"/>
      <c r="I951" s="33"/>
      <c r="J951" s="33"/>
    </row>
    <row r="952" spans="1:10" ht="12.5" x14ac:dyDescent="0.25">
      <c r="A952" s="63">
        <f>'Profit &amp; Loss'!A952</f>
        <v>0</v>
      </c>
      <c r="B952" s="33">
        <f>'Profit &amp; Loss'!B952</f>
        <v>0</v>
      </c>
      <c r="C952" s="33"/>
      <c r="D952" s="33"/>
      <c r="E952" s="33"/>
      <c r="F952" s="33"/>
      <c r="G952" s="33"/>
      <c r="H952" s="33"/>
      <c r="I952" s="33"/>
      <c r="J952" s="33"/>
    </row>
    <row r="953" spans="1:10" ht="12.5" x14ac:dyDescent="0.25">
      <c r="A953" s="63">
        <f>'Profit &amp; Loss'!A953</f>
        <v>0</v>
      </c>
      <c r="B953" s="33">
        <f>'Profit &amp; Loss'!B953</f>
        <v>0</v>
      </c>
      <c r="C953" s="33"/>
      <c r="D953" s="33"/>
      <c r="E953" s="33"/>
      <c r="F953" s="33"/>
      <c r="G953" s="33"/>
      <c r="H953" s="33"/>
      <c r="I953" s="33"/>
      <c r="J953" s="33"/>
    </row>
    <row r="954" spans="1:10" ht="12.5" x14ac:dyDescent="0.25">
      <c r="A954" s="63">
        <f>'Profit &amp; Loss'!A954</f>
        <v>0</v>
      </c>
      <c r="B954" s="33">
        <f>'Profit &amp; Loss'!B954</f>
        <v>0</v>
      </c>
      <c r="C954" s="33"/>
      <c r="D954" s="33"/>
      <c r="E954" s="33"/>
      <c r="F954" s="33"/>
      <c r="G954" s="33"/>
      <c r="H954" s="33"/>
      <c r="I954" s="33"/>
      <c r="J954" s="33"/>
    </row>
    <row r="955" spans="1:10" ht="12.5" x14ac:dyDescent="0.25">
      <c r="A955" s="63">
        <f>'Profit &amp; Loss'!A955</f>
        <v>0</v>
      </c>
      <c r="B955" s="33">
        <f>'Profit &amp; Loss'!B955</f>
        <v>0</v>
      </c>
      <c r="C955" s="33"/>
      <c r="D955" s="33"/>
      <c r="E955" s="33"/>
      <c r="F955" s="33"/>
      <c r="G955" s="33"/>
      <c r="H955" s="33"/>
      <c r="I955" s="33"/>
      <c r="J955" s="33"/>
    </row>
    <row r="956" spans="1:10" ht="12.5" x14ac:dyDescent="0.25">
      <c r="A956" s="63">
        <f>'Profit &amp; Loss'!A956</f>
        <v>0</v>
      </c>
      <c r="B956" s="33">
        <f>'Profit &amp; Loss'!B956</f>
        <v>0</v>
      </c>
      <c r="C956" s="33"/>
      <c r="D956" s="33"/>
      <c r="E956" s="33"/>
      <c r="F956" s="33"/>
      <c r="G956" s="33"/>
      <c r="H956" s="33"/>
      <c r="I956" s="33"/>
      <c r="J956" s="33"/>
    </row>
    <row r="957" spans="1:10" ht="12.5" x14ac:dyDescent="0.25">
      <c r="A957" s="63">
        <f>'Profit &amp; Loss'!A957</f>
        <v>0</v>
      </c>
      <c r="B957" s="33">
        <f>'Profit &amp; Loss'!B957</f>
        <v>0</v>
      </c>
      <c r="C957" s="33"/>
      <c r="D957" s="33"/>
      <c r="E957" s="33"/>
      <c r="F957" s="33"/>
      <c r="G957" s="33"/>
      <c r="H957" s="33"/>
      <c r="I957" s="33"/>
      <c r="J957" s="33"/>
    </row>
    <row r="958" spans="1:10" ht="12.5" x14ac:dyDescent="0.25">
      <c r="A958" s="63">
        <f>'Profit &amp; Loss'!A958</f>
        <v>0</v>
      </c>
      <c r="B958" s="33">
        <f>'Profit &amp; Loss'!B958</f>
        <v>0</v>
      </c>
      <c r="C958" s="33"/>
      <c r="D958" s="33"/>
      <c r="E958" s="33"/>
      <c r="F958" s="33"/>
      <c r="G958" s="33"/>
      <c r="H958" s="33"/>
      <c r="I958" s="33"/>
      <c r="J958" s="33"/>
    </row>
    <row r="959" spans="1:10" ht="12.5" x14ac:dyDescent="0.25">
      <c r="A959" s="63">
        <f>'Profit &amp; Loss'!A959</f>
        <v>0</v>
      </c>
      <c r="B959" s="33">
        <f>'Profit &amp; Loss'!B959</f>
        <v>0</v>
      </c>
      <c r="C959" s="33"/>
      <c r="D959" s="33"/>
      <c r="E959" s="33"/>
      <c r="F959" s="33"/>
      <c r="G959" s="33"/>
      <c r="H959" s="33"/>
      <c r="I959" s="33"/>
      <c r="J959" s="33"/>
    </row>
    <row r="960" spans="1:10" ht="12.5" x14ac:dyDescent="0.25">
      <c r="A960" s="63">
        <f>'Profit &amp; Loss'!A960</f>
        <v>0</v>
      </c>
      <c r="B960" s="33">
        <f>'Profit &amp; Loss'!B960</f>
        <v>0</v>
      </c>
      <c r="C960" s="33"/>
      <c r="D960" s="33"/>
      <c r="E960" s="33"/>
      <c r="F960" s="33"/>
      <c r="G960" s="33"/>
      <c r="H960" s="33"/>
      <c r="I960" s="33"/>
      <c r="J960" s="33"/>
    </row>
    <row r="961" spans="1:10" ht="12.5" x14ac:dyDescent="0.25">
      <c r="A961" s="63">
        <f>'Profit &amp; Loss'!A961</f>
        <v>0</v>
      </c>
      <c r="B961" s="33">
        <f>'Profit &amp; Loss'!B961</f>
        <v>0</v>
      </c>
      <c r="C961" s="33"/>
      <c r="D961" s="33"/>
      <c r="E961" s="33"/>
      <c r="F961" s="33"/>
      <c r="G961" s="33"/>
      <c r="H961" s="33"/>
      <c r="I961" s="33"/>
      <c r="J961" s="33"/>
    </row>
    <row r="962" spans="1:10" ht="12.5" x14ac:dyDescent="0.25">
      <c r="A962" s="63">
        <f>'Profit &amp; Loss'!A962</f>
        <v>0</v>
      </c>
      <c r="B962" s="33">
        <f>'Profit &amp; Loss'!B962</f>
        <v>0</v>
      </c>
      <c r="C962" s="33"/>
      <c r="D962" s="33"/>
      <c r="E962" s="33"/>
      <c r="F962" s="33"/>
      <c r="G962" s="33"/>
      <c r="H962" s="33"/>
      <c r="I962" s="33"/>
      <c r="J962" s="33"/>
    </row>
    <row r="963" spans="1:10" ht="12.5" x14ac:dyDescent="0.25">
      <c r="A963" s="63">
        <f>'Profit &amp; Loss'!A963</f>
        <v>0</v>
      </c>
      <c r="B963" s="33">
        <f>'Profit &amp; Loss'!B963</f>
        <v>0</v>
      </c>
      <c r="C963" s="33"/>
      <c r="D963" s="33"/>
      <c r="E963" s="33"/>
      <c r="F963" s="33"/>
      <c r="G963" s="33"/>
      <c r="H963" s="33"/>
      <c r="I963" s="33"/>
      <c r="J963" s="33"/>
    </row>
    <row r="964" spans="1:10" ht="12.5" x14ac:dyDescent="0.25">
      <c r="A964" s="63">
        <f>'Profit &amp; Loss'!A964</f>
        <v>0</v>
      </c>
      <c r="B964" s="33">
        <f>'Profit &amp; Loss'!B964</f>
        <v>0</v>
      </c>
      <c r="C964" s="33"/>
      <c r="D964" s="33"/>
      <c r="E964" s="33"/>
      <c r="F964" s="33"/>
      <c r="G964" s="33"/>
      <c r="H964" s="33"/>
      <c r="I964" s="33"/>
      <c r="J964" s="33"/>
    </row>
    <row r="965" spans="1:10" ht="12.5" x14ac:dyDescent="0.25">
      <c r="A965" s="63">
        <f>'Profit &amp; Loss'!A965</f>
        <v>0</v>
      </c>
      <c r="B965" s="33">
        <f>'Profit &amp; Loss'!B965</f>
        <v>0</v>
      </c>
      <c r="C965" s="33"/>
      <c r="D965" s="33"/>
      <c r="E965" s="33"/>
      <c r="F965" s="33"/>
      <c r="G965" s="33"/>
      <c r="H965" s="33"/>
      <c r="I965" s="33"/>
      <c r="J965" s="33"/>
    </row>
    <row r="966" spans="1:10" ht="12.5" x14ac:dyDescent="0.25">
      <c r="A966" s="63">
        <f>'Profit &amp; Loss'!A966</f>
        <v>0</v>
      </c>
      <c r="B966" s="33">
        <f>'Profit &amp; Loss'!B966</f>
        <v>0</v>
      </c>
      <c r="C966" s="33"/>
      <c r="D966" s="33"/>
      <c r="E966" s="33"/>
      <c r="F966" s="33"/>
      <c r="G966" s="33"/>
      <c r="H966" s="33"/>
      <c r="I966" s="33"/>
      <c r="J966" s="33"/>
    </row>
    <row r="967" spans="1:10" ht="12.5" x14ac:dyDescent="0.25">
      <c r="A967" s="63">
        <f>'Profit &amp; Loss'!A967</f>
        <v>0</v>
      </c>
      <c r="B967" s="33">
        <f>'Profit &amp; Loss'!B967</f>
        <v>0</v>
      </c>
      <c r="C967" s="33"/>
      <c r="D967" s="33"/>
      <c r="E967" s="33"/>
      <c r="F967" s="33"/>
      <c r="G967" s="33"/>
      <c r="H967" s="33"/>
      <c r="I967" s="33"/>
      <c r="J967" s="33"/>
    </row>
    <row r="968" spans="1:10" ht="12.5" x14ac:dyDescent="0.25">
      <c r="A968" s="63">
        <f>'Profit &amp; Loss'!A968</f>
        <v>0</v>
      </c>
      <c r="B968" s="33">
        <f>'Profit &amp; Loss'!B968</f>
        <v>0</v>
      </c>
      <c r="C968" s="33"/>
      <c r="D968" s="33"/>
      <c r="E968" s="33"/>
      <c r="F968" s="33"/>
      <c r="G968" s="33"/>
      <c r="H968" s="33"/>
      <c r="I968" s="33"/>
      <c r="J968" s="33"/>
    </row>
    <row r="969" spans="1:10" ht="12.5" x14ac:dyDescent="0.25">
      <c r="A969" s="63">
        <f>'Profit &amp; Loss'!A969</f>
        <v>0</v>
      </c>
      <c r="B969" s="33">
        <f>'Profit &amp; Loss'!B969</f>
        <v>0</v>
      </c>
      <c r="C969" s="33"/>
      <c r="D969" s="33"/>
      <c r="E969" s="33"/>
      <c r="F969" s="33"/>
      <c r="G969" s="33"/>
      <c r="H969" s="33"/>
      <c r="I969" s="33"/>
      <c r="J969" s="33"/>
    </row>
    <row r="970" spans="1:10" ht="12.5" x14ac:dyDescent="0.25">
      <c r="A970" s="63">
        <f>'Profit &amp; Loss'!A970</f>
        <v>0</v>
      </c>
      <c r="B970" s="33">
        <f>'Profit &amp; Loss'!B970</f>
        <v>0</v>
      </c>
      <c r="C970" s="33"/>
      <c r="D970" s="33"/>
      <c r="E970" s="33"/>
      <c r="F970" s="33"/>
      <c r="G970" s="33"/>
      <c r="H970" s="33"/>
      <c r="I970" s="33"/>
      <c r="J970" s="33"/>
    </row>
    <row r="971" spans="1:10" ht="12.5" x14ac:dyDescent="0.25">
      <c r="A971" s="63">
        <f>'Profit &amp; Loss'!A971</f>
        <v>0</v>
      </c>
      <c r="B971" s="33">
        <f>'Profit &amp; Loss'!B971</f>
        <v>0</v>
      </c>
      <c r="C971" s="33"/>
      <c r="D971" s="33"/>
      <c r="E971" s="33"/>
      <c r="F971" s="33"/>
      <c r="G971" s="33"/>
      <c r="H971" s="33"/>
      <c r="I971" s="33"/>
      <c r="J971" s="33"/>
    </row>
    <row r="972" spans="1:10" ht="12.5" x14ac:dyDescent="0.25">
      <c r="A972" s="63">
        <f>'Profit &amp; Loss'!A972</f>
        <v>0</v>
      </c>
      <c r="B972" s="33">
        <f>'Profit &amp; Loss'!B972</f>
        <v>0</v>
      </c>
      <c r="C972" s="33"/>
      <c r="D972" s="33"/>
      <c r="E972" s="33"/>
      <c r="F972" s="33"/>
      <c r="G972" s="33"/>
      <c r="H972" s="33"/>
      <c r="I972" s="33"/>
      <c r="J972" s="33"/>
    </row>
    <row r="973" spans="1:10" ht="12.5" x14ac:dyDescent="0.25">
      <c r="A973" s="63">
        <f>'Profit &amp; Loss'!A973</f>
        <v>0</v>
      </c>
      <c r="B973" s="33">
        <f>'Profit &amp; Loss'!B973</f>
        <v>0</v>
      </c>
      <c r="C973" s="33"/>
      <c r="D973" s="33"/>
      <c r="E973" s="33"/>
      <c r="F973" s="33"/>
      <c r="G973" s="33"/>
      <c r="H973" s="33"/>
      <c r="I973" s="33"/>
      <c r="J973" s="33"/>
    </row>
    <row r="974" spans="1:10" ht="12.5" x14ac:dyDescent="0.25">
      <c r="A974" s="63">
        <f>'Profit &amp; Loss'!A974</f>
        <v>0</v>
      </c>
      <c r="B974" s="33">
        <f>'Profit &amp; Loss'!B974</f>
        <v>0</v>
      </c>
      <c r="C974" s="33"/>
      <c r="D974" s="33"/>
      <c r="E974" s="33"/>
      <c r="F974" s="33"/>
      <c r="G974" s="33"/>
      <c r="H974" s="33"/>
      <c r="I974" s="33"/>
      <c r="J974" s="33"/>
    </row>
    <row r="975" spans="1:10" ht="12.5" x14ac:dyDescent="0.25">
      <c r="A975" s="63">
        <f>'Profit &amp; Loss'!A975</f>
        <v>0</v>
      </c>
      <c r="B975" s="33">
        <f>'Profit &amp; Loss'!B975</f>
        <v>0</v>
      </c>
      <c r="C975" s="33"/>
      <c r="D975" s="33"/>
      <c r="E975" s="33"/>
      <c r="F975" s="33"/>
      <c r="G975" s="33"/>
      <c r="H975" s="33"/>
      <c r="I975" s="33"/>
      <c r="J975" s="33"/>
    </row>
    <row r="976" spans="1:10" ht="12.5" x14ac:dyDescent="0.25">
      <c r="A976" s="63">
        <f>'Profit &amp; Loss'!A976</f>
        <v>0</v>
      </c>
      <c r="B976" s="33">
        <f>'Profit &amp; Loss'!B976</f>
        <v>0</v>
      </c>
      <c r="C976" s="33"/>
      <c r="D976" s="33"/>
      <c r="E976" s="33"/>
      <c r="F976" s="33"/>
      <c r="G976" s="33"/>
      <c r="H976" s="33"/>
      <c r="I976" s="33"/>
      <c r="J976" s="33"/>
    </row>
    <row r="977" spans="1:10" ht="12.5" x14ac:dyDescent="0.25">
      <c r="A977" s="63">
        <f>'Profit &amp; Loss'!A977</f>
        <v>0</v>
      </c>
      <c r="B977" s="33">
        <f>'Profit &amp; Loss'!B977</f>
        <v>0</v>
      </c>
      <c r="C977" s="33"/>
      <c r="D977" s="33"/>
      <c r="E977" s="33"/>
      <c r="F977" s="33"/>
      <c r="G977" s="33"/>
      <c r="H977" s="33"/>
      <c r="I977" s="33"/>
      <c r="J977" s="33"/>
    </row>
    <row r="978" spans="1:10" ht="12.5" x14ac:dyDescent="0.25">
      <c r="A978" s="63">
        <f>'Profit &amp; Loss'!A978</f>
        <v>0</v>
      </c>
      <c r="B978" s="33">
        <f>'Profit &amp; Loss'!B978</f>
        <v>0</v>
      </c>
      <c r="C978" s="33"/>
      <c r="D978" s="33"/>
      <c r="E978" s="33"/>
      <c r="F978" s="33"/>
      <c r="G978" s="33"/>
      <c r="H978" s="33"/>
      <c r="I978" s="33"/>
      <c r="J978" s="33"/>
    </row>
    <row r="979" spans="1:10" ht="12.5" x14ac:dyDescent="0.25">
      <c r="A979" s="63">
        <f>'Profit &amp; Loss'!A979</f>
        <v>0</v>
      </c>
      <c r="B979" s="33">
        <f>'Profit &amp; Loss'!B979</f>
        <v>0</v>
      </c>
      <c r="C979" s="33"/>
      <c r="D979" s="33"/>
      <c r="E979" s="33"/>
      <c r="F979" s="33"/>
      <c r="G979" s="33"/>
      <c r="H979" s="33"/>
      <c r="I979" s="33"/>
      <c r="J979" s="33"/>
    </row>
    <row r="980" spans="1:10" ht="12.5" x14ac:dyDescent="0.25">
      <c r="A980" s="63">
        <f>'Profit &amp; Loss'!A980</f>
        <v>0</v>
      </c>
      <c r="B980" s="33">
        <f>'Profit &amp; Loss'!B980</f>
        <v>0</v>
      </c>
      <c r="C980" s="33"/>
      <c r="D980" s="33"/>
      <c r="E980" s="33"/>
      <c r="F980" s="33"/>
      <c r="G980" s="33"/>
      <c r="H980" s="33"/>
      <c r="I980" s="33"/>
      <c r="J980" s="33"/>
    </row>
    <row r="981" spans="1:10" ht="12.5" x14ac:dyDescent="0.25">
      <c r="A981" s="63">
        <f>'Profit &amp; Loss'!A981</f>
        <v>0</v>
      </c>
      <c r="B981" s="33">
        <f>'Profit &amp; Loss'!B981</f>
        <v>0</v>
      </c>
      <c r="C981" s="33"/>
      <c r="D981" s="33"/>
      <c r="E981" s="33"/>
      <c r="F981" s="33"/>
      <c r="G981" s="33"/>
      <c r="H981" s="33"/>
      <c r="I981" s="33"/>
      <c r="J981" s="33"/>
    </row>
    <row r="982" spans="1:10" ht="12.5" x14ac:dyDescent="0.25">
      <c r="A982" s="63">
        <f>'Profit &amp; Loss'!A982</f>
        <v>0</v>
      </c>
      <c r="B982" s="33">
        <f>'Profit &amp; Loss'!B982</f>
        <v>0</v>
      </c>
      <c r="C982" s="33"/>
      <c r="D982" s="33"/>
      <c r="E982" s="33"/>
      <c r="F982" s="33"/>
      <c r="G982" s="33"/>
      <c r="H982" s="33"/>
      <c r="I982" s="33"/>
      <c r="J982" s="33"/>
    </row>
    <row r="983" spans="1:10" ht="12.5" x14ac:dyDescent="0.25">
      <c r="A983" s="63">
        <f>'Profit &amp; Loss'!A983</f>
        <v>0</v>
      </c>
      <c r="B983" s="33">
        <f>'Profit &amp; Loss'!B983</f>
        <v>0</v>
      </c>
      <c r="C983" s="33"/>
      <c r="D983" s="33"/>
      <c r="E983" s="33"/>
      <c r="F983" s="33"/>
      <c r="G983" s="33"/>
      <c r="H983" s="33"/>
      <c r="I983" s="33"/>
      <c r="J983" s="33"/>
    </row>
    <row r="984" spans="1:10" ht="12.5" x14ac:dyDescent="0.25">
      <c r="A984" s="63">
        <f>'Profit &amp; Loss'!A984</f>
        <v>0</v>
      </c>
      <c r="B984" s="33">
        <f>'Profit &amp; Loss'!B984</f>
        <v>0</v>
      </c>
      <c r="C984" s="33"/>
      <c r="D984" s="33"/>
      <c r="E984" s="33"/>
      <c r="F984" s="33"/>
      <c r="G984" s="33"/>
      <c r="H984" s="33"/>
      <c r="I984" s="33"/>
      <c r="J984" s="33"/>
    </row>
    <row r="985" spans="1:10" ht="12.5" x14ac:dyDescent="0.25">
      <c r="A985" s="63">
        <f>'Profit &amp; Loss'!A985</f>
        <v>0</v>
      </c>
      <c r="B985" s="33">
        <f>'Profit &amp; Loss'!B985</f>
        <v>0</v>
      </c>
      <c r="C985" s="33"/>
      <c r="D985" s="33"/>
      <c r="E985" s="33"/>
      <c r="F985" s="33"/>
      <c r="G985" s="33"/>
      <c r="H985" s="33"/>
      <c r="I985" s="33"/>
      <c r="J985" s="33"/>
    </row>
    <row r="986" spans="1:10" ht="12.5" x14ac:dyDescent="0.25">
      <c r="A986" s="63">
        <f>'Profit &amp; Loss'!A986</f>
        <v>0</v>
      </c>
      <c r="B986" s="33">
        <f>'Profit &amp; Loss'!B986</f>
        <v>0</v>
      </c>
      <c r="C986" s="33"/>
      <c r="D986" s="33"/>
      <c r="E986" s="33"/>
      <c r="F986" s="33"/>
      <c r="G986" s="33"/>
      <c r="H986" s="33"/>
      <c r="I986" s="33"/>
      <c r="J986" s="33"/>
    </row>
    <row r="987" spans="1:10" ht="12.5" x14ac:dyDescent="0.25">
      <c r="A987" s="63">
        <f>'Profit &amp; Loss'!A987</f>
        <v>0</v>
      </c>
      <c r="B987" s="33">
        <f>'Profit &amp; Loss'!B987</f>
        <v>0</v>
      </c>
      <c r="C987" s="33"/>
      <c r="D987" s="33"/>
      <c r="E987" s="33"/>
      <c r="F987" s="33"/>
      <c r="G987" s="33"/>
      <c r="H987" s="33"/>
      <c r="I987" s="33"/>
      <c r="J987" s="33"/>
    </row>
    <row r="988" spans="1:10" ht="12.5" x14ac:dyDescent="0.25">
      <c r="A988" s="63">
        <f>'Profit &amp; Loss'!A988</f>
        <v>0</v>
      </c>
      <c r="B988" s="33">
        <f>'Profit &amp; Loss'!B988</f>
        <v>0</v>
      </c>
      <c r="C988" s="33"/>
      <c r="D988" s="33"/>
      <c r="E988" s="33"/>
      <c r="F988" s="33"/>
      <c r="G988" s="33"/>
      <c r="H988" s="33"/>
      <c r="I988" s="33"/>
      <c r="J988" s="33"/>
    </row>
    <row r="989" spans="1:10" ht="12.5" x14ac:dyDescent="0.25">
      <c r="A989" s="63">
        <f>'Profit &amp; Loss'!A989</f>
        <v>0</v>
      </c>
      <c r="B989" s="33">
        <f>'Profit &amp; Loss'!B989</f>
        <v>0</v>
      </c>
      <c r="C989" s="33"/>
      <c r="D989" s="33"/>
      <c r="E989" s="33"/>
      <c r="F989" s="33"/>
      <c r="G989" s="33"/>
      <c r="H989" s="33"/>
      <c r="I989" s="33"/>
      <c r="J989" s="33"/>
    </row>
    <row r="990" spans="1:10" ht="12.5" x14ac:dyDescent="0.25">
      <c r="A990" s="63">
        <f>'Profit &amp; Loss'!A990</f>
        <v>0</v>
      </c>
      <c r="B990" s="33">
        <f>'Profit &amp; Loss'!B990</f>
        <v>0</v>
      </c>
      <c r="C990" s="33"/>
      <c r="D990" s="33"/>
      <c r="E990" s="33"/>
      <c r="F990" s="33"/>
      <c r="G990" s="33"/>
      <c r="H990" s="33"/>
      <c r="I990" s="33"/>
      <c r="J990" s="33"/>
    </row>
    <row r="991" spans="1:10" ht="12.5" x14ac:dyDescent="0.25">
      <c r="A991" s="63">
        <f>'Profit &amp; Loss'!A991</f>
        <v>0</v>
      </c>
      <c r="B991" s="33">
        <f>'Profit &amp; Loss'!B991</f>
        <v>0</v>
      </c>
      <c r="C991" s="33"/>
      <c r="D991" s="33"/>
      <c r="E991" s="33"/>
      <c r="F991" s="33"/>
      <c r="G991" s="33"/>
      <c r="H991" s="33"/>
      <c r="I991" s="33"/>
      <c r="J991" s="33"/>
    </row>
    <row r="992" spans="1:10" ht="12.5" x14ac:dyDescent="0.25">
      <c r="A992" s="63">
        <f>'Profit &amp; Loss'!A992</f>
        <v>0</v>
      </c>
      <c r="B992" s="33">
        <f>'Profit &amp; Loss'!B992</f>
        <v>0</v>
      </c>
      <c r="C992" s="33"/>
      <c r="D992" s="33"/>
      <c r="E992" s="33"/>
      <c r="F992" s="33"/>
      <c r="G992" s="33"/>
      <c r="H992" s="33"/>
      <c r="I992" s="33"/>
      <c r="J992" s="33"/>
    </row>
    <row r="993" spans="1:10" ht="12.5" x14ac:dyDescent="0.25">
      <c r="A993" s="63">
        <f>'Profit &amp; Loss'!A993</f>
        <v>0</v>
      </c>
      <c r="B993" s="33">
        <f>'Profit &amp; Loss'!B993</f>
        <v>0</v>
      </c>
      <c r="C993" s="33"/>
      <c r="D993" s="33"/>
      <c r="E993" s="33"/>
      <c r="F993" s="33"/>
      <c r="G993" s="33"/>
      <c r="H993" s="33"/>
      <c r="I993" s="33"/>
      <c r="J993" s="33"/>
    </row>
    <row r="994" spans="1:10" ht="12.5" x14ac:dyDescent="0.25">
      <c r="A994" s="63">
        <f>'Profit &amp; Loss'!A994</f>
        <v>0</v>
      </c>
      <c r="B994" s="33">
        <f>'Profit &amp; Loss'!B994</f>
        <v>0</v>
      </c>
      <c r="C994" s="33"/>
      <c r="D994" s="33"/>
      <c r="E994" s="33"/>
      <c r="F994" s="33"/>
      <c r="G994" s="33"/>
      <c r="H994" s="33"/>
      <c r="I994" s="33"/>
      <c r="J994" s="33"/>
    </row>
    <row r="995" spans="1:10" ht="12.5" x14ac:dyDescent="0.25">
      <c r="A995" s="63">
        <f>'Profit &amp; Loss'!A995</f>
        <v>0</v>
      </c>
      <c r="B995" s="33">
        <f>'Profit &amp; Loss'!B995</f>
        <v>0</v>
      </c>
      <c r="C995" s="33"/>
      <c r="D995" s="33"/>
      <c r="E995" s="33"/>
      <c r="F995" s="33"/>
      <c r="G995" s="33"/>
      <c r="H995" s="33"/>
      <c r="I995" s="33"/>
      <c r="J995" s="33"/>
    </row>
    <row r="996" spans="1:10" ht="12.5" x14ac:dyDescent="0.25">
      <c r="A996" s="63">
        <f>'Profit &amp; Loss'!A996</f>
        <v>0</v>
      </c>
      <c r="B996" s="33">
        <f>'Profit &amp; Loss'!B996</f>
        <v>0</v>
      </c>
      <c r="C996" s="33"/>
      <c r="D996" s="33"/>
      <c r="E996" s="33"/>
      <c r="F996" s="33"/>
      <c r="G996" s="33"/>
      <c r="H996" s="33"/>
      <c r="I996" s="33"/>
      <c r="J996" s="33"/>
    </row>
    <row r="997" spans="1:10" ht="12.5" x14ac:dyDescent="0.25">
      <c r="A997" s="63">
        <f>'Profit &amp; Loss'!A997</f>
        <v>0</v>
      </c>
      <c r="B997" s="33">
        <f>'Profit &amp; Loss'!B997</f>
        <v>0</v>
      </c>
      <c r="C997" s="33"/>
      <c r="D997" s="33"/>
      <c r="E997" s="33"/>
      <c r="F997" s="33"/>
      <c r="G997" s="33"/>
      <c r="H997" s="33"/>
      <c r="I997" s="33"/>
      <c r="J997" s="33"/>
    </row>
    <row r="998" spans="1:10" ht="12.5" x14ac:dyDescent="0.25">
      <c r="A998" s="63">
        <f>'Profit &amp; Loss'!A998</f>
        <v>0</v>
      </c>
      <c r="B998" s="33">
        <f>'Profit &amp; Loss'!B998</f>
        <v>0</v>
      </c>
      <c r="C998" s="33"/>
      <c r="D998" s="33"/>
      <c r="E998" s="33"/>
      <c r="F998" s="33"/>
      <c r="G998" s="33"/>
      <c r="H998" s="33"/>
      <c r="I998" s="33"/>
      <c r="J998" s="33"/>
    </row>
    <row r="999" spans="1:10" ht="12.5" x14ac:dyDescent="0.25">
      <c r="A999" s="63">
        <f>'Profit &amp; Loss'!A999</f>
        <v>0</v>
      </c>
      <c r="B999" s="33">
        <f>'Profit &amp; Loss'!B999</f>
        <v>0</v>
      </c>
      <c r="C999" s="33"/>
      <c r="D999" s="33"/>
      <c r="E999" s="33"/>
      <c r="F999" s="33"/>
      <c r="G999" s="33"/>
      <c r="H999" s="33"/>
      <c r="I999" s="33"/>
      <c r="J999" s="33"/>
    </row>
  </sheetData>
  <dataValidations count="1">
    <dataValidation type="list" allowBlank="1" showErrorMessage="1" sqref="C6:J999" xr:uid="{00000000-0002-0000-0300-000000000000}">
      <formula1>"Belle,Boo,Hazel,Hui Min,Seet,Wei Cong,Yiling,Lionell"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6328125" defaultRowHeight="15.75" customHeight="1" x14ac:dyDescent="0.25"/>
  <cols>
    <col min="1" max="1" width="30.36328125" customWidth="1"/>
    <col min="4" max="4" width="13.08984375" customWidth="1"/>
    <col min="6" max="6" width="21" customWidth="1"/>
    <col min="8" max="8" width="17.26953125" customWidth="1"/>
    <col min="10" max="10" width="17.7265625" customWidth="1"/>
    <col min="12" max="12" width="18" customWidth="1"/>
  </cols>
  <sheetData>
    <row r="1" spans="1:26" x14ac:dyDescent="0.3">
      <c r="A1" s="3" t="s">
        <v>255</v>
      </c>
      <c r="D1" s="4"/>
      <c r="E1" s="4"/>
      <c r="F1" s="4"/>
      <c r="G1" s="4"/>
      <c r="H1" s="4"/>
      <c r="I1" s="4"/>
      <c r="J1" s="4"/>
      <c r="K1" s="4"/>
      <c r="L1" s="4"/>
    </row>
    <row r="2" spans="1:26" ht="15.75" customHeight="1" x14ac:dyDescent="0.25">
      <c r="D2" s="4"/>
      <c r="E2" s="4"/>
      <c r="F2" s="4"/>
      <c r="G2" s="4"/>
      <c r="H2" s="4"/>
      <c r="I2" s="4"/>
      <c r="J2" s="4"/>
      <c r="K2" s="4"/>
      <c r="L2" s="4"/>
    </row>
    <row r="3" spans="1:26" ht="15.75" customHeight="1" x14ac:dyDescent="0.25">
      <c r="D3" s="4"/>
      <c r="E3" s="132"/>
      <c r="F3" s="133"/>
      <c r="G3" s="4"/>
      <c r="H3" s="4"/>
      <c r="I3" s="4"/>
      <c r="J3" s="4"/>
      <c r="K3" s="4"/>
      <c r="L3" s="4"/>
    </row>
    <row r="4" spans="1:26" ht="15.75" customHeight="1" x14ac:dyDescent="0.25">
      <c r="A4" s="64" t="s">
        <v>19</v>
      </c>
      <c r="B4" s="65" t="s">
        <v>256</v>
      </c>
      <c r="C4" s="65" t="s">
        <v>257</v>
      </c>
      <c r="D4" s="66" t="s">
        <v>258</v>
      </c>
      <c r="E4" s="134" t="s">
        <v>259</v>
      </c>
      <c r="F4" s="135"/>
      <c r="G4" s="134" t="s">
        <v>260</v>
      </c>
      <c r="H4" s="131"/>
      <c r="I4" s="134" t="s">
        <v>261</v>
      </c>
      <c r="J4" s="131"/>
      <c r="K4" s="134" t="s">
        <v>262</v>
      </c>
      <c r="L4" s="131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.75" customHeight="1" x14ac:dyDescent="0.25">
      <c r="A5" s="68" t="s">
        <v>40</v>
      </c>
      <c r="B5" s="69">
        <v>41.35</v>
      </c>
      <c r="C5" s="69">
        <f t="shared" ref="C5:C10" si="0">B5/12</f>
        <v>3.4458333333333333</v>
      </c>
      <c r="D5" s="70"/>
      <c r="E5" s="71">
        <v>87</v>
      </c>
      <c r="F5" s="72" t="str">
        <f>QUOTIENT(E5,12) &amp; " tubes and " &amp; MOD(E5,12) &amp; " shuttles"</f>
        <v>7 tubes and 3 shuttles</v>
      </c>
      <c r="G5" s="71">
        <v>144</v>
      </c>
      <c r="H5" s="70" t="str">
        <f>QUOTIENT(G5,12) &amp; " tubes and " &amp; MOD(G5,12) &amp; " shuttles"</f>
        <v>12 tubes and 0 shuttles</v>
      </c>
      <c r="I5" s="71">
        <v>12</v>
      </c>
      <c r="J5" s="70" t="str">
        <f t="shared" ref="J5:J7" si="1">QUOTIENT(I5,12) &amp; " tubes and " &amp; MOD(I5,12) &amp; " shuttles"</f>
        <v>1 tubes and 0 shuttles</v>
      </c>
      <c r="K5" s="71">
        <v>29</v>
      </c>
      <c r="L5" s="70" t="str">
        <f>QUOTIENT(K5,12) &amp; " tubes and " &amp; MOD(K5,12) &amp; " shuttles"</f>
        <v>2 tubes and 5 shuttles</v>
      </c>
    </row>
    <row r="6" spans="1:26" ht="15.75" customHeight="1" x14ac:dyDescent="0.25">
      <c r="A6" s="73" t="s">
        <v>263</v>
      </c>
      <c r="B6" s="74">
        <v>29.33</v>
      </c>
      <c r="C6" s="74">
        <f t="shared" si="0"/>
        <v>2.4441666666666664</v>
      </c>
      <c r="D6" s="75"/>
      <c r="E6" s="76" t="s">
        <v>264</v>
      </c>
      <c r="F6" s="77" t="s">
        <v>264</v>
      </c>
      <c r="G6" s="76" t="s">
        <v>264</v>
      </c>
      <c r="H6" s="75" t="s">
        <v>264</v>
      </c>
      <c r="I6" s="76">
        <v>17</v>
      </c>
      <c r="J6" s="75" t="str">
        <f t="shared" si="1"/>
        <v>1 tubes and 5 shuttles</v>
      </c>
      <c r="K6" s="76" t="s">
        <v>264</v>
      </c>
      <c r="L6" s="75" t="s">
        <v>264</v>
      </c>
    </row>
    <row r="7" spans="1:26" ht="15.75" customHeight="1" x14ac:dyDescent="0.25">
      <c r="A7" s="73" t="s">
        <v>265</v>
      </c>
      <c r="B7" s="74">
        <v>33.36</v>
      </c>
      <c r="C7" s="74">
        <f t="shared" si="0"/>
        <v>2.78</v>
      </c>
      <c r="D7" s="75"/>
      <c r="E7" s="76" t="s">
        <v>264</v>
      </c>
      <c r="F7" s="77" t="s">
        <v>264</v>
      </c>
      <c r="G7" s="76" t="s">
        <v>264</v>
      </c>
      <c r="H7" s="75" t="s">
        <v>264</v>
      </c>
      <c r="I7" s="76">
        <v>5</v>
      </c>
      <c r="J7" s="75" t="str">
        <f t="shared" si="1"/>
        <v>0 tubes and 5 shuttles</v>
      </c>
      <c r="K7" s="76" t="s">
        <v>264</v>
      </c>
      <c r="L7" s="75" t="s">
        <v>264</v>
      </c>
    </row>
    <row r="8" spans="1:26" ht="15.75" customHeight="1" x14ac:dyDescent="0.25">
      <c r="A8" s="73" t="s">
        <v>70</v>
      </c>
      <c r="B8" s="74">
        <f>428.58/10</f>
        <v>42.857999999999997</v>
      </c>
      <c r="C8" s="74">
        <f t="shared" si="0"/>
        <v>3.5714999999999999</v>
      </c>
      <c r="D8" s="78">
        <v>45990</v>
      </c>
      <c r="E8" s="76">
        <v>53</v>
      </c>
      <c r="F8" s="77" t="str">
        <f t="shared" ref="F8:F11" si="2">QUOTIENT(E8,12) &amp; " tubes and " &amp; MOD(E8,12) &amp; " shuttles"</f>
        <v>4 tubes and 5 shuttles</v>
      </c>
      <c r="G8" s="76">
        <v>67</v>
      </c>
      <c r="H8" s="75" t="str">
        <f t="shared" ref="H8:H9" si="3">QUOTIENT(G8,12) &amp; " tubes and " &amp; MOD(G8,12) &amp; " shuttles"</f>
        <v>5 tubes and 7 shuttles</v>
      </c>
      <c r="I8" s="76" t="s">
        <v>264</v>
      </c>
      <c r="J8" s="75" t="s">
        <v>264</v>
      </c>
      <c r="K8" s="76" t="s">
        <v>264</v>
      </c>
      <c r="L8" s="75" t="s">
        <v>264</v>
      </c>
    </row>
    <row r="9" spans="1:26" ht="15.75" customHeight="1" x14ac:dyDescent="0.25">
      <c r="A9" s="73" t="s">
        <v>58</v>
      </c>
      <c r="B9" s="74">
        <f>415.97/10</f>
        <v>41.597000000000001</v>
      </c>
      <c r="C9" s="74">
        <f t="shared" si="0"/>
        <v>3.4664166666666669</v>
      </c>
      <c r="D9" s="78">
        <v>45990</v>
      </c>
      <c r="E9" s="76">
        <v>24</v>
      </c>
      <c r="F9" s="77" t="str">
        <f t="shared" si="2"/>
        <v>2 tubes and 0 shuttles</v>
      </c>
      <c r="G9" s="76">
        <v>96</v>
      </c>
      <c r="H9" s="75" t="str">
        <f t="shared" si="3"/>
        <v>8 tubes and 0 shuttles</v>
      </c>
      <c r="I9" s="76" t="s">
        <v>264</v>
      </c>
      <c r="J9" s="75" t="s">
        <v>264</v>
      </c>
      <c r="K9" s="76" t="s">
        <v>264</v>
      </c>
      <c r="L9" s="75" t="s">
        <v>264</v>
      </c>
    </row>
    <row r="10" spans="1:26" ht="15.75" customHeight="1" x14ac:dyDescent="0.25">
      <c r="A10" s="76" t="s">
        <v>266</v>
      </c>
      <c r="B10" s="74">
        <v>40</v>
      </c>
      <c r="C10" s="74">
        <f t="shared" si="0"/>
        <v>3.3333333333333335</v>
      </c>
      <c r="D10" s="78">
        <v>46033</v>
      </c>
      <c r="E10" s="76">
        <v>12</v>
      </c>
      <c r="F10" s="77" t="str">
        <f t="shared" si="2"/>
        <v>1 tubes and 0 shuttles</v>
      </c>
      <c r="G10" s="76"/>
      <c r="H10" s="75"/>
      <c r="I10" s="76"/>
      <c r="J10" s="75"/>
      <c r="K10" s="76"/>
      <c r="L10" s="75"/>
    </row>
    <row r="11" spans="1:26" ht="15.75" customHeight="1" x14ac:dyDescent="0.25">
      <c r="A11" s="76" t="s">
        <v>267</v>
      </c>
      <c r="B11" s="74">
        <f>438.86/10</f>
        <v>43.886000000000003</v>
      </c>
      <c r="C11" s="74">
        <f>B11/12</f>
        <v>3.6571666666666669</v>
      </c>
      <c r="D11" s="78">
        <v>46110</v>
      </c>
      <c r="E11" s="76">
        <v>0</v>
      </c>
      <c r="F11" s="77" t="str">
        <f t="shared" si="2"/>
        <v>0 tubes and 0 shuttles</v>
      </c>
      <c r="G11" s="76">
        <v>120</v>
      </c>
      <c r="H11" s="75" t="str">
        <f>QUOTIENT(G11,12) &amp; " tubes and " &amp; MOD(G11,12) &amp; " shuttles"</f>
        <v>10 tubes and 0 shuttles</v>
      </c>
      <c r="I11" s="76"/>
      <c r="J11" s="75"/>
      <c r="K11" s="76"/>
      <c r="L11" s="75"/>
    </row>
    <row r="12" spans="1:26" ht="15.75" customHeight="1" x14ac:dyDescent="0.25">
      <c r="A12" s="79"/>
      <c r="B12" s="80"/>
      <c r="C12" s="80"/>
      <c r="D12" s="75"/>
      <c r="E12" s="76"/>
      <c r="F12" s="77"/>
      <c r="G12" s="76"/>
      <c r="H12" s="75"/>
      <c r="I12" s="76"/>
      <c r="J12" s="75"/>
      <c r="K12" s="76"/>
      <c r="L12" s="75"/>
    </row>
    <row r="13" spans="1:26" ht="15.75" customHeight="1" x14ac:dyDescent="0.25">
      <c r="A13" s="79"/>
      <c r="B13" s="80"/>
      <c r="C13" s="80"/>
      <c r="D13" s="75"/>
      <c r="E13" s="76"/>
      <c r="F13" s="77"/>
      <c r="G13" s="76"/>
      <c r="H13" s="75"/>
      <c r="I13" s="76"/>
      <c r="J13" s="75"/>
      <c r="K13" s="76"/>
      <c r="L13" s="75"/>
    </row>
    <row r="14" spans="1:26" ht="15.75" customHeight="1" x14ac:dyDescent="0.25">
      <c r="A14" s="79"/>
      <c r="B14" s="80"/>
      <c r="C14" s="80"/>
      <c r="D14" s="75"/>
      <c r="E14" s="76"/>
      <c r="F14" s="77"/>
      <c r="G14" s="76"/>
      <c r="H14" s="75"/>
      <c r="I14" s="76"/>
      <c r="J14" s="75"/>
      <c r="K14" s="76"/>
      <c r="L14" s="75"/>
    </row>
    <row r="15" spans="1:26" ht="15.75" customHeight="1" x14ac:dyDescent="0.25">
      <c r="A15" s="79"/>
      <c r="B15" s="80"/>
      <c r="C15" s="80"/>
      <c r="D15" s="75"/>
      <c r="E15" s="76"/>
      <c r="F15" s="77"/>
      <c r="G15" s="76"/>
      <c r="H15" s="75"/>
      <c r="I15" s="76"/>
      <c r="J15" s="75"/>
      <c r="K15" s="76"/>
      <c r="L15" s="75"/>
    </row>
    <row r="16" spans="1:26" ht="15.75" customHeight="1" x14ac:dyDescent="0.25">
      <c r="A16" s="79"/>
      <c r="B16" s="80"/>
      <c r="C16" s="80"/>
      <c r="D16" s="75"/>
      <c r="E16" s="76"/>
      <c r="F16" s="77"/>
      <c r="G16" s="76"/>
      <c r="H16" s="75"/>
      <c r="I16" s="76"/>
      <c r="J16" s="75"/>
      <c r="K16" s="76"/>
      <c r="L16" s="75"/>
    </row>
    <row r="17" spans="1:12" ht="15.75" customHeight="1" x14ac:dyDescent="0.25">
      <c r="A17" s="79"/>
      <c r="B17" s="80"/>
      <c r="C17" s="80"/>
      <c r="D17" s="75"/>
      <c r="E17" s="76"/>
      <c r="F17" s="77"/>
      <c r="G17" s="76"/>
      <c r="H17" s="75"/>
      <c r="I17" s="76"/>
      <c r="J17" s="75"/>
      <c r="K17" s="76"/>
      <c r="L17" s="75"/>
    </row>
    <row r="18" spans="1:12" ht="15.75" customHeight="1" x14ac:dyDescent="0.25">
      <c r="A18" s="79"/>
      <c r="B18" s="80"/>
      <c r="C18" s="80"/>
      <c r="D18" s="75"/>
      <c r="E18" s="76"/>
      <c r="F18" s="77"/>
      <c r="G18" s="76"/>
      <c r="H18" s="75"/>
      <c r="I18" s="76"/>
      <c r="J18" s="75"/>
      <c r="K18" s="76"/>
      <c r="L18" s="75"/>
    </row>
    <row r="19" spans="1:12" ht="15.75" customHeight="1" x14ac:dyDescent="0.25">
      <c r="A19" s="79"/>
      <c r="B19" s="80"/>
      <c r="C19" s="80"/>
      <c r="D19" s="75"/>
      <c r="E19" s="76"/>
      <c r="F19" s="77"/>
      <c r="G19" s="76"/>
      <c r="H19" s="75"/>
      <c r="I19" s="76"/>
      <c r="J19" s="75"/>
      <c r="K19" s="76"/>
      <c r="L19" s="75"/>
    </row>
    <row r="20" spans="1:12" ht="15.75" customHeight="1" x14ac:dyDescent="0.25">
      <c r="A20" s="79"/>
      <c r="B20" s="80"/>
      <c r="C20" s="80"/>
      <c r="D20" s="75"/>
      <c r="E20" s="76"/>
      <c r="F20" s="77"/>
      <c r="G20" s="76"/>
      <c r="H20" s="75"/>
      <c r="I20" s="76"/>
      <c r="J20" s="75"/>
      <c r="K20" s="76"/>
      <c r="L20" s="75"/>
    </row>
    <row r="21" spans="1:12" ht="15.75" customHeight="1" x14ac:dyDescent="0.25">
      <c r="A21" s="79"/>
      <c r="B21" s="80"/>
      <c r="C21" s="80"/>
      <c r="D21" s="75"/>
      <c r="E21" s="76"/>
      <c r="F21" s="77"/>
      <c r="G21" s="76"/>
      <c r="H21" s="75"/>
      <c r="I21" s="76"/>
      <c r="J21" s="75"/>
      <c r="K21" s="76"/>
      <c r="L21" s="75"/>
    </row>
    <row r="22" spans="1:12" ht="15.75" customHeight="1" x14ac:dyDescent="0.25">
      <c r="A22" s="79"/>
      <c r="B22" s="80"/>
      <c r="C22" s="80"/>
      <c r="D22" s="75"/>
      <c r="E22" s="76"/>
      <c r="F22" s="77"/>
      <c r="G22" s="76"/>
      <c r="H22" s="75"/>
      <c r="I22" s="76"/>
      <c r="J22" s="75"/>
      <c r="K22" s="76"/>
      <c r="L22" s="75"/>
    </row>
    <row r="23" spans="1:12" ht="15.75" customHeight="1" x14ac:dyDescent="0.25">
      <c r="A23" s="79"/>
      <c r="B23" s="80"/>
      <c r="C23" s="80"/>
      <c r="D23" s="75"/>
      <c r="E23" s="76"/>
      <c r="F23" s="77"/>
      <c r="G23" s="76"/>
      <c r="H23" s="75"/>
      <c r="I23" s="76"/>
      <c r="J23" s="75"/>
      <c r="K23" s="76"/>
      <c r="L23" s="75"/>
    </row>
    <row r="24" spans="1:12" ht="15.75" customHeight="1" x14ac:dyDescent="0.25">
      <c r="A24" s="79"/>
      <c r="B24" s="80"/>
      <c r="C24" s="80"/>
      <c r="D24" s="75"/>
      <c r="E24" s="76"/>
      <c r="F24" s="77"/>
      <c r="G24" s="76"/>
      <c r="H24" s="75"/>
      <c r="I24" s="76"/>
      <c r="J24" s="75"/>
      <c r="K24" s="76"/>
      <c r="L24" s="75"/>
    </row>
    <row r="25" spans="1:12" ht="15.75" customHeight="1" x14ac:dyDescent="0.25">
      <c r="A25" s="79"/>
      <c r="B25" s="80"/>
      <c r="C25" s="80"/>
      <c r="D25" s="75"/>
      <c r="E25" s="76"/>
      <c r="F25" s="77"/>
      <c r="G25" s="76"/>
      <c r="H25" s="75"/>
      <c r="I25" s="76"/>
      <c r="J25" s="75"/>
      <c r="K25" s="76"/>
      <c r="L25" s="75"/>
    </row>
    <row r="26" spans="1:12" ht="15.75" customHeight="1" x14ac:dyDescent="0.25">
      <c r="A26" s="79"/>
      <c r="B26" s="80"/>
      <c r="C26" s="80"/>
      <c r="D26" s="75"/>
      <c r="E26" s="76"/>
      <c r="F26" s="77"/>
      <c r="G26" s="76"/>
      <c r="H26" s="75"/>
      <c r="I26" s="76"/>
      <c r="J26" s="75"/>
      <c r="K26" s="76"/>
      <c r="L26" s="75"/>
    </row>
    <row r="27" spans="1:12" ht="15.75" customHeight="1" x14ac:dyDescent="0.25">
      <c r="A27" s="79"/>
      <c r="B27" s="80"/>
      <c r="C27" s="80"/>
      <c r="D27" s="75"/>
      <c r="E27" s="76"/>
      <c r="F27" s="77"/>
      <c r="G27" s="76"/>
      <c r="H27" s="75"/>
      <c r="I27" s="76"/>
      <c r="J27" s="75"/>
      <c r="K27" s="76"/>
      <c r="L27" s="75"/>
    </row>
    <row r="28" spans="1:12" ht="15.75" customHeight="1" x14ac:dyDescent="0.25">
      <c r="A28" s="79"/>
      <c r="B28" s="80"/>
      <c r="C28" s="80"/>
      <c r="D28" s="75"/>
      <c r="E28" s="76"/>
      <c r="F28" s="77"/>
      <c r="G28" s="76"/>
      <c r="H28" s="75"/>
      <c r="I28" s="76"/>
      <c r="J28" s="75"/>
      <c r="K28" s="76"/>
      <c r="L28" s="75"/>
    </row>
    <row r="29" spans="1:12" ht="15.75" customHeight="1" x14ac:dyDescent="0.25">
      <c r="A29" s="79"/>
      <c r="B29" s="80"/>
      <c r="C29" s="80"/>
      <c r="D29" s="75"/>
      <c r="E29" s="76"/>
      <c r="F29" s="77"/>
      <c r="G29" s="76"/>
      <c r="H29" s="75"/>
      <c r="I29" s="76"/>
      <c r="J29" s="75"/>
      <c r="K29" s="76"/>
      <c r="L29" s="75"/>
    </row>
    <row r="30" spans="1:12" ht="15.75" customHeight="1" x14ac:dyDescent="0.25">
      <c r="A30" s="79"/>
      <c r="B30" s="80"/>
      <c r="C30" s="80"/>
      <c r="D30" s="75"/>
      <c r="E30" s="76"/>
      <c r="F30" s="77"/>
      <c r="G30" s="76"/>
      <c r="H30" s="75"/>
      <c r="I30" s="76"/>
      <c r="J30" s="75"/>
      <c r="K30" s="76"/>
      <c r="L30" s="75"/>
    </row>
    <row r="31" spans="1:12" ht="15.75" customHeight="1" x14ac:dyDescent="0.25">
      <c r="A31" s="79"/>
      <c r="B31" s="80"/>
      <c r="C31" s="80"/>
      <c r="D31" s="75"/>
      <c r="E31" s="76"/>
      <c r="F31" s="77"/>
      <c r="G31" s="76"/>
      <c r="H31" s="75"/>
      <c r="I31" s="76"/>
      <c r="J31" s="75"/>
      <c r="K31" s="76"/>
      <c r="L31" s="75"/>
    </row>
    <row r="32" spans="1:12" ht="12.5" x14ac:dyDescent="0.25">
      <c r="A32" s="79"/>
      <c r="B32" s="80"/>
      <c r="C32" s="80"/>
      <c r="D32" s="75"/>
      <c r="E32" s="76"/>
      <c r="F32" s="77"/>
      <c r="G32" s="76"/>
      <c r="H32" s="75"/>
      <c r="I32" s="76"/>
      <c r="J32" s="75"/>
      <c r="K32" s="76"/>
      <c r="L32" s="75"/>
    </row>
    <row r="33" spans="1:12" ht="12.5" x14ac:dyDescent="0.25">
      <c r="A33" s="79"/>
      <c r="B33" s="80"/>
      <c r="C33" s="80"/>
      <c r="D33" s="75"/>
      <c r="E33" s="76"/>
      <c r="F33" s="77"/>
      <c r="G33" s="76"/>
      <c r="H33" s="75"/>
      <c r="I33" s="76"/>
      <c r="J33" s="75"/>
      <c r="K33" s="76"/>
      <c r="L33" s="75"/>
    </row>
    <row r="34" spans="1:12" ht="12.5" x14ac:dyDescent="0.25">
      <c r="A34" s="79"/>
      <c r="B34" s="80"/>
      <c r="C34" s="80"/>
      <c r="D34" s="75"/>
      <c r="E34" s="76"/>
      <c r="F34" s="77"/>
      <c r="G34" s="76"/>
      <c r="H34" s="75"/>
      <c r="I34" s="76"/>
      <c r="J34" s="75"/>
      <c r="K34" s="76"/>
      <c r="L34" s="75"/>
    </row>
    <row r="35" spans="1:12" ht="12.5" x14ac:dyDescent="0.25">
      <c r="A35" s="79"/>
      <c r="B35" s="80"/>
      <c r="C35" s="80"/>
      <c r="D35" s="75"/>
      <c r="E35" s="76"/>
      <c r="F35" s="77"/>
      <c r="G35" s="76"/>
      <c r="H35" s="75"/>
      <c r="I35" s="76"/>
      <c r="J35" s="75"/>
      <c r="K35" s="76"/>
      <c r="L35" s="75"/>
    </row>
    <row r="36" spans="1:12" ht="12.5" x14ac:dyDescent="0.25">
      <c r="A36" s="79"/>
      <c r="B36" s="80"/>
      <c r="C36" s="80"/>
      <c r="D36" s="75"/>
      <c r="E36" s="76"/>
      <c r="F36" s="77"/>
      <c r="G36" s="76"/>
      <c r="H36" s="75"/>
      <c r="I36" s="76"/>
      <c r="J36" s="75"/>
      <c r="K36" s="76"/>
      <c r="L36" s="75"/>
    </row>
    <row r="37" spans="1:12" ht="12.5" x14ac:dyDescent="0.25">
      <c r="A37" s="79"/>
      <c r="B37" s="80"/>
      <c r="C37" s="80"/>
      <c r="D37" s="75"/>
      <c r="E37" s="76"/>
      <c r="F37" s="77"/>
      <c r="G37" s="76"/>
      <c r="H37" s="75"/>
      <c r="I37" s="76"/>
      <c r="J37" s="75"/>
      <c r="K37" s="76"/>
      <c r="L37" s="75"/>
    </row>
    <row r="38" spans="1:12" ht="12.5" x14ac:dyDescent="0.25">
      <c r="A38" s="79"/>
      <c r="B38" s="80"/>
      <c r="C38" s="80"/>
      <c r="D38" s="75"/>
      <c r="E38" s="76"/>
      <c r="F38" s="77"/>
      <c r="G38" s="76"/>
      <c r="H38" s="75"/>
      <c r="I38" s="76"/>
      <c r="J38" s="75"/>
      <c r="K38" s="76"/>
      <c r="L38" s="75"/>
    </row>
    <row r="39" spans="1:12" ht="12.5" x14ac:dyDescent="0.25">
      <c r="A39" s="79"/>
      <c r="B39" s="80"/>
      <c r="C39" s="80"/>
      <c r="D39" s="75"/>
      <c r="E39" s="76"/>
      <c r="F39" s="77"/>
      <c r="G39" s="76"/>
      <c r="H39" s="75"/>
      <c r="I39" s="76"/>
      <c r="J39" s="75"/>
      <c r="K39" s="76"/>
      <c r="L39" s="75"/>
    </row>
    <row r="40" spans="1:12" ht="12.5" x14ac:dyDescent="0.25">
      <c r="A40" s="79"/>
      <c r="B40" s="80"/>
      <c r="C40" s="80"/>
      <c r="D40" s="75"/>
      <c r="E40" s="76"/>
      <c r="F40" s="77"/>
      <c r="G40" s="76"/>
      <c r="H40" s="75"/>
      <c r="I40" s="76"/>
      <c r="J40" s="75"/>
      <c r="K40" s="76"/>
      <c r="L40" s="75"/>
    </row>
    <row r="41" spans="1:12" ht="12.5" x14ac:dyDescent="0.25">
      <c r="A41" s="79"/>
      <c r="B41" s="80"/>
      <c r="C41" s="80"/>
      <c r="D41" s="75"/>
      <c r="E41" s="76"/>
      <c r="F41" s="77"/>
      <c r="G41" s="76"/>
      <c r="H41" s="75"/>
      <c r="I41" s="76"/>
      <c r="J41" s="75"/>
      <c r="K41" s="76"/>
      <c r="L41" s="75"/>
    </row>
    <row r="42" spans="1:12" ht="12.5" x14ac:dyDescent="0.25">
      <c r="A42" s="79"/>
      <c r="B42" s="80"/>
      <c r="C42" s="80"/>
      <c r="D42" s="75"/>
      <c r="E42" s="76"/>
      <c r="F42" s="77"/>
      <c r="G42" s="76"/>
      <c r="H42" s="75"/>
      <c r="I42" s="76"/>
      <c r="J42" s="75"/>
      <c r="K42" s="76"/>
      <c r="L42" s="75"/>
    </row>
    <row r="43" spans="1:12" ht="12.5" x14ac:dyDescent="0.25">
      <c r="A43" s="79"/>
      <c r="B43" s="80"/>
      <c r="C43" s="80"/>
      <c r="D43" s="75"/>
      <c r="E43" s="76"/>
      <c r="F43" s="77"/>
      <c r="G43" s="76"/>
      <c r="H43" s="75"/>
      <c r="I43" s="76"/>
      <c r="J43" s="75"/>
      <c r="K43" s="76"/>
      <c r="L43" s="75"/>
    </row>
    <row r="44" spans="1:12" ht="12.5" x14ac:dyDescent="0.25">
      <c r="A44" s="79"/>
      <c r="B44" s="80"/>
      <c r="C44" s="80"/>
      <c r="D44" s="75"/>
      <c r="E44" s="76"/>
      <c r="F44" s="77"/>
      <c r="G44" s="76"/>
      <c r="H44" s="75"/>
      <c r="I44" s="76"/>
      <c r="J44" s="75"/>
      <c r="K44" s="76"/>
      <c r="L44" s="75"/>
    </row>
    <row r="45" spans="1:12" ht="12.5" x14ac:dyDescent="0.25">
      <c r="A45" s="79"/>
      <c r="B45" s="80"/>
      <c r="C45" s="80"/>
      <c r="D45" s="75"/>
      <c r="E45" s="76"/>
      <c r="F45" s="77"/>
      <c r="G45" s="76"/>
      <c r="H45" s="75"/>
      <c r="I45" s="76"/>
      <c r="J45" s="75"/>
      <c r="K45" s="76"/>
      <c r="L45" s="75"/>
    </row>
    <row r="46" spans="1:12" ht="12.5" x14ac:dyDescent="0.25">
      <c r="A46" s="79"/>
      <c r="B46" s="80"/>
      <c r="C46" s="80"/>
      <c r="D46" s="75"/>
      <c r="E46" s="76"/>
      <c r="F46" s="77"/>
      <c r="G46" s="76"/>
      <c r="H46" s="75"/>
      <c r="I46" s="76"/>
      <c r="J46" s="75"/>
      <c r="K46" s="76"/>
      <c r="L46" s="75"/>
    </row>
    <row r="47" spans="1:12" ht="12.5" x14ac:dyDescent="0.25">
      <c r="A47" s="79"/>
      <c r="B47" s="80"/>
      <c r="C47" s="80"/>
      <c r="D47" s="75"/>
      <c r="E47" s="76"/>
      <c r="F47" s="77"/>
      <c r="G47" s="76"/>
      <c r="H47" s="75"/>
      <c r="I47" s="76"/>
      <c r="J47" s="75"/>
      <c r="K47" s="76"/>
      <c r="L47" s="75"/>
    </row>
    <row r="48" spans="1:12" ht="12.5" x14ac:dyDescent="0.25">
      <c r="A48" s="79"/>
      <c r="B48" s="80"/>
      <c r="C48" s="80"/>
      <c r="D48" s="75"/>
      <c r="E48" s="76"/>
      <c r="F48" s="77"/>
      <c r="G48" s="76"/>
      <c r="H48" s="75"/>
      <c r="I48" s="76"/>
      <c r="J48" s="75"/>
      <c r="K48" s="76"/>
      <c r="L48" s="75"/>
    </row>
    <row r="49" spans="1:12" ht="12.5" x14ac:dyDescent="0.25">
      <c r="A49" s="79"/>
      <c r="B49" s="80"/>
      <c r="C49" s="80"/>
      <c r="D49" s="75"/>
      <c r="E49" s="76"/>
      <c r="F49" s="77"/>
      <c r="G49" s="76"/>
      <c r="H49" s="75"/>
      <c r="I49" s="76"/>
      <c r="J49" s="75"/>
      <c r="K49" s="76"/>
      <c r="L49" s="75"/>
    </row>
    <row r="50" spans="1:12" ht="12.5" x14ac:dyDescent="0.25">
      <c r="A50" s="79"/>
      <c r="B50" s="80"/>
      <c r="C50" s="80"/>
      <c r="D50" s="75"/>
      <c r="E50" s="76"/>
      <c r="F50" s="77"/>
      <c r="G50" s="76"/>
      <c r="H50" s="75"/>
      <c r="I50" s="76"/>
      <c r="J50" s="75"/>
      <c r="K50" s="76"/>
      <c r="L50" s="75"/>
    </row>
    <row r="51" spans="1:12" ht="12.5" x14ac:dyDescent="0.25">
      <c r="A51" s="79"/>
      <c r="B51" s="80"/>
      <c r="C51" s="80"/>
      <c r="D51" s="75"/>
      <c r="E51" s="76"/>
      <c r="F51" s="77"/>
      <c r="G51" s="76"/>
      <c r="H51" s="75"/>
      <c r="I51" s="76"/>
      <c r="J51" s="75"/>
      <c r="K51" s="76"/>
      <c r="L51" s="75"/>
    </row>
    <row r="52" spans="1:12" ht="12.5" x14ac:dyDescent="0.25">
      <c r="A52" s="79"/>
      <c r="B52" s="80"/>
      <c r="C52" s="80"/>
      <c r="D52" s="75"/>
      <c r="E52" s="76"/>
      <c r="F52" s="77"/>
      <c r="G52" s="76"/>
      <c r="H52" s="75"/>
      <c r="I52" s="76"/>
      <c r="J52" s="75"/>
      <c r="K52" s="76"/>
      <c r="L52" s="75"/>
    </row>
    <row r="53" spans="1:12" ht="12.5" x14ac:dyDescent="0.25">
      <c r="A53" s="79"/>
      <c r="B53" s="80"/>
      <c r="C53" s="80"/>
      <c r="D53" s="75"/>
      <c r="E53" s="76"/>
      <c r="F53" s="77"/>
      <c r="G53" s="76"/>
      <c r="H53" s="75"/>
      <c r="I53" s="76"/>
      <c r="J53" s="75"/>
      <c r="K53" s="76"/>
      <c r="L53" s="75"/>
    </row>
    <row r="54" spans="1:12" ht="12.5" x14ac:dyDescent="0.25">
      <c r="A54" s="79"/>
      <c r="B54" s="80"/>
      <c r="C54" s="80"/>
      <c r="D54" s="75"/>
      <c r="E54" s="76"/>
      <c r="F54" s="77"/>
      <c r="G54" s="76"/>
      <c r="H54" s="75"/>
      <c r="I54" s="76"/>
      <c r="J54" s="75"/>
      <c r="K54" s="76"/>
      <c r="L54" s="75"/>
    </row>
    <row r="55" spans="1:12" ht="12.5" x14ac:dyDescent="0.25">
      <c r="A55" s="79"/>
      <c r="B55" s="80"/>
      <c r="C55" s="80"/>
      <c r="D55" s="75"/>
      <c r="E55" s="76"/>
      <c r="F55" s="77"/>
      <c r="G55" s="76"/>
      <c r="H55" s="75"/>
      <c r="I55" s="76"/>
      <c r="J55" s="75"/>
      <c r="K55" s="76"/>
      <c r="L55" s="75"/>
    </row>
    <row r="56" spans="1:12" ht="12.5" x14ac:dyDescent="0.25">
      <c r="A56" s="79"/>
      <c r="B56" s="80"/>
      <c r="C56" s="80"/>
      <c r="D56" s="75"/>
      <c r="E56" s="76"/>
      <c r="F56" s="77"/>
      <c r="G56" s="76"/>
      <c r="H56" s="75"/>
      <c r="I56" s="76"/>
      <c r="J56" s="75"/>
      <c r="K56" s="76"/>
      <c r="L56" s="75"/>
    </row>
    <row r="57" spans="1:12" ht="12.5" x14ac:dyDescent="0.25">
      <c r="A57" s="79"/>
      <c r="B57" s="80"/>
      <c r="C57" s="80"/>
      <c r="D57" s="75"/>
      <c r="E57" s="76"/>
      <c r="F57" s="77"/>
      <c r="G57" s="76"/>
      <c r="H57" s="75"/>
      <c r="I57" s="76"/>
      <c r="J57" s="75"/>
      <c r="K57" s="76"/>
      <c r="L57" s="75"/>
    </row>
    <row r="58" spans="1:12" ht="12.5" x14ac:dyDescent="0.25">
      <c r="A58" s="79"/>
      <c r="B58" s="80"/>
      <c r="C58" s="80"/>
      <c r="D58" s="75"/>
      <c r="E58" s="76"/>
      <c r="F58" s="77"/>
      <c r="G58" s="76"/>
      <c r="H58" s="75"/>
      <c r="I58" s="76"/>
      <c r="J58" s="75"/>
      <c r="K58" s="76"/>
      <c r="L58" s="75"/>
    </row>
    <row r="59" spans="1:12" ht="12.5" x14ac:dyDescent="0.25">
      <c r="A59" s="79"/>
      <c r="B59" s="80"/>
      <c r="C59" s="80"/>
      <c r="D59" s="75"/>
      <c r="E59" s="76"/>
      <c r="F59" s="77"/>
      <c r="G59" s="76"/>
      <c r="H59" s="75"/>
      <c r="I59" s="76"/>
      <c r="J59" s="75"/>
      <c r="K59" s="76"/>
      <c r="L59" s="75"/>
    </row>
    <row r="60" spans="1:12" ht="12.5" x14ac:dyDescent="0.25">
      <c r="A60" s="79"/>
      <c r="B60" s="80"/>
      <c r="C60" s="80"/>
      <c r="D60" s="75"/>
      <c r="E60" s="76"/>
      <c r="F60" s="77"/>
      <c r="G60" s="76"/>
      <c r="H60" s="75"/>
      <c r="I60" s="76"/>
      <c r="J60" s="75"/>
      <c r="K60" s="76"/>
      <c r="L60" s="75"/>
    </row>
    <row r="61" spans="1:12" ht="12.5" x14ac:dyDescent="0.25">
      <c r="A61" s="79"/>
      <c r="B61" s="80"/>
      <c r="C61" s="80"/>
      <c r="D61" s="75"/>
      <c r="E61" s="76"/>
      <c r="F61" s="77"/>
      <c r="G61" s="76"/>
      <c r="H61" s="75"/>
      <c r="I61" s="76"/>
      <c r="J61" s="75"/>
      <c r="K61" s="76"/>
      <c r="L61" s="75"/>
    </row>
    <row r="62" spans="1:12" ht="12.5" x14ac:dyDescent="0.25">
      <c r="A62" s="79"/>
      <c r="B62" s="80"/>
      <c r="C62" s="80"/>
      <c r="D62" s="75"/>
      <c r="E62" s="76"/>
      <c r="F62" s="77"/>
      <c r="G62" s="76"/>
      <c r="H62" s="75"/>
      <c r="I62" s="76"/>
      <c r="J62" s="75"/>
      <c r="K62" s="76"/>
      <c r="L62" s="75"/>
    </row>
    <row r="63" spans="1:12" ht="12.5" x14ac:dyDescent="0.25">
      <c r="A63" s="79"/>
      <c r="B63" s="80"/>
      <c r="C63" s="80"/>
      <c r="D63" s="75"/>
      <c r="E63" s="76"/>
      <c r="F63" s="77"/>
      <c r="G63" s="76"/>
      <c r="H63" s="75"/>
      <c r="I63" s="76"/>
      <c r="J63" s="75"/>
      <c r="K63" s="76"/>
      <c r="L63" s="75"/>
    </row>
    <row r="64" spans="1:12" ht="12.5" x14ac:dyDescent="0.25">
      <c r="A64" s="79"/>
      <c r="B64" s="80"/>
      <c r="C64" s="80"/>
      <c r="D64" s="75"/>
      <c r="E64" s="76"/>
      <c r="F64" s="77"/>
      <c r="G64" s="76"/>
      <c r="H64" s="75"/>
      <c r="I64" s="76"/>
      <c r="J64" s="75"/>
      <c r="K64" s="76"/>
      <c r="L64" s="75"/>
    </row>
    <row r="65" spans="1:12" ht="12.5" x14ac:dyDescent="0.25">
      <c r="A65" s="79"/>
      <c r="B65" s="80"/>
      <c r="C65" s="80"/>
      <c r="D65" s="75"/>
      <c r="E65" s="76"/>
      <c r="F65" s="77"/>
      <c r="G65" s="76"/>
      <c r="H65" s="75"/>
      <c r="I65" s="76"/>
      <c r="J65" s="75"/>
      <c r="K65" s="76"/>
      <c r="L65" s="75"/>
    </row>
    <row r="66" spans="1:12" ht="12.5" x14ac:dyDescent="0.25">
      <c r="A66" s="79"/>
      <c r="B66" s="80"/>
      <c r="C66" s="80"/>
      <c r="D66" s="75"/>
      <c r="E66" s="76"/>
      <c r="F66" s="77"/>
      <c r="G66" s="76"/>
      <c r="H66" s="75"/>
      <c r="I66" s="76"/>
      <c r="J66" s="75"/>
      <c r="K66" s="76"/>
      <c r="L66" s="75"/>
    </row>
    <row r="67" spans="1:12" ht="12.5" x14ac:dyDescent="0.25">
      <c r="A67" s="79"/>
      <c r="B67" s="80"/>
      <c r="C67" s="80"/>
      <c r="D67" s="75"/>
      <c r="E67" s="76"/>
      <c r="F67" s="77"/>
      <c r="G67" s="76"/>
      <c r="H67" s="75"/>
      <c r="I67" s="76"/>
      <c r="J67" s="75"/>
      <c r="K67" s="76"/>
      <c r="L67" s="75"/>
    </row>
    <row r="68" spans="1:12" ht="12.5" x14ac:dyDescent="0.25">
      <c r="A68" s="79"/>
      <c r="B68" s="80"/>
      <c r="C68" s="80"/>
      <c r="D68" s="75"/>
      <c r="E68" s="76"/>
      <c r="F68" s="77"/>
      <c r="G68" s="76"/>
      <c r="H68" s="75"/>
      <c r="I68" s="76"/>
      <c r="J68" s="75"/>
      <c r="K68" s="76"/>
      <c r="L68" s="75"/>
    </row>
    <row r="69" spans="1:12" ht="12.5" x14ac:dyDescent="0.25">
      <c r="A69" s="79"/>
      <c r="B69" s="80"/>
      <c r="C69" s="80"/>
      <c r="D69" s="75"/>
      <c r="E69" s="76"/>
      <c r="F69" s="77"/>
      <c r="G69" s="76"/>
      <c r="H69" s="75"/>
      <c r="I69" s="76"/>
      <c r="J69" s="75"/>
      <c r="K69" s="76"/>
      <c r="L69" s="75"/>
    </row>
    <row r="70" spans="1:12" ht="12.5" x14ac:dyDescent="0.25">
      <c r="A70" s="79"/>
      <c r="B70" s="80"/>
      <c r="C70" s="80"/>
      <c r="D70" s="75"/>
      <c r="E70" s="76"/>
      <c r="F70" s="77"/>
      <c r="G70" s="76"/>
      <c r="H70" s="75"/>
      <c r="I70" s="76"/>
      <c r="J70" s="75"/>
      <c r="K70" s="76"/>
      <c r="L70" s="75"/>
    </row>
    <row r="71" spans="1:12" ht="12.5" x14ac:dyDescent="0.25">
      <c r="A71" s="79"/>
      <c r="B71" s="80"/>
      <c r="C71" s="80"/>
      <c r="D71" s="75"/>
      <c r="E71" s="76"/>
      <c r="F71" s="77"/>
      <c r="G71" s="76"/>
      <c r="H71" s="75"/>
      <c r="I71" s="76"/>
      <c r="J71" s="75"/>
      <c r="K71" s="76"/>
      <c r="L71" s="75"/>
    </row>
    <row r="72" spans="1:12" ht="12.5" x14ac:dyDescent="0.25">
      <c r="A72" s="79"/>
      <c r="B72" s="80"/>
      <c r="C72" s="80"/>
      <c r="D72" s="75"/>
      <c r="E72" s="76"/>
      <c r="F72" s="77"/>
      <c r="G72" s="76"/>
      <c r="H72" s="75"/>
      <c r="I72" s="76"/>
      <c r="J72" s="75"/>
      <c r="K72" s="76"/>
      <c r="L72" s="75"/>
    </row>
    <row r="73" spans="1:12" ht="12.5" x14ac:dyDescent="0.25">
      <c r="A73" s="79"/>
      <c r="B73" s="80"/>
      <c r="C73" s="80"/>
      <c r="D73" s="75"/>
      <c r="E73" s="76"/>
      <c r="F73" s="77"/>
      <c r="G73" s="76"/>
      <c r="H73" s="75"/>
      <c r="I73" s="76"/>
      <c r="J73" s="75"/>
      <c r="K73" s="76"/>
      <c r="L73" s="75"/>
    </row>
    <row r="74" spans="1:12" ht="12.5" x14ac:dyDescent="0.25">
      <c r="A74" s="79"/>
      <c r="B74" s="80"/>
      <c r="C74" s="80"/>
      <c r="D74" s="75"/>
      <c r="E74" s="76"/>
      <c r="F74" s="77"/>
      <c r="G74" s="76"/>
      <c r="H74" s="75"/>
      <c r="I74" s="76"/>
      <c r="J74" s="75"/>
      <c r="K74" s="76"/>
      <c r="L74" s="75"/>
    </row>
    <row r="75" spans="1:12" ht="12.5" x14ac:dyDescent="0.25">
      <c r="A75" s="79"/>
      <c r="B75" s="80"/>
      <c r="C75" s="80"/>
      <c r="D75" s="75"/>
      <c r="E75" s="76"/>
      <c r="F75" s="77"/>
      <c r="G75" s="76"/>
      <c r="H75" s="75"/>
      <c r="I75" s="76"/>
      <c r="J75" s="75"/>
      <c r="K75" s="76"/>
      <c r="L75" s="75"/>
    </row>
    <row r="76" spans="1:12" ht="12.5" x14ac:dyDescent="0.25">
      <c r="A76" s="79"/>
      <c r="B76" s="80"/>
      <c r="C76" s="80"/>
      <c r="D76" s="75"/>
      <c r="E76" s="76"/>
      <c r="F76" s="77"/>
      <c r="G76" s="76"/>
      <c r="H76" s="75"/>
      <c r="I76" s="76"/>
      <c r="J76" s="75"/>
      <c r="K76" s="76"/>
      <c r="L76" s="75"/>
    </row>
    <row r="77" spans="1:12" ht="12.5" x14ac:dyDescent="0.25">
      <c r="A77" s="79"/>
      <c r="B77" s="80"/>
      <c r="C77" s="80"/>
      <c r="D77" s="75"/>
      <c r="E77" s="76"/>
      <c r="F77" s="77"/>
      <c r="G77" s="76"/>
      <c r="H77" s="75"/>
      <c r="I77" s="76"/>
      <c r="J77" s="75"/>
      <c r="K77" s="76"/>
      <c r="L77" s="75"/>
    </row>
    <row r="78" spans="1:12" ht="12.5" x14ac:dyDescent="0.25">
      <c r="A78" s="79"/>
      <c r="B78" s="80"/>
      <c r="C78" s="80"/>
      <c r="D78" s="75"/>
      <c r="E78" s="76"/>
      <c r="F78" s="77"/>
      <c r="G78" s="76"/>
      <c r="H78" s="75"/>
      <c r="I78" s="76"/>
      <c r="J78" s="75"/>
      <c r="K78" s="76"/>
      <c r="L78" s="75"/>
    </row>
    <row r="79" spans="1:12" ht="12.5" x14ac:dyDescent="0.25">
      <c r="A79" s="79"/>
      <c r="B79" s="80"/>
      <c r="C79" s="80"/>
      <c r="D79" s="75"/>
      <c r="E79" s="76"/>
      <c r="F79" s="77"/>
      <c r="G79" s="76"/>
      <c r="H79" s="75"/>
      <c r="I79" s="76"/>
      <c r="J79" s="75"/>
      <c r="K79" s="76"/>
      <c r="L79" s="75"/>
    </row>
    <row r="80" spans="1:12" ht="12.5" x14ac:dyDescent="0.25">
      <c r="A80" s="79"/>
      <c r="B80" s="80"/>
      <c r="C80" s="80"/>
      <c r="D80" s="75"/>
      <c r="E80" s="76"/>
      <c r="F80" s="77"/>
      <c r="G80" s="76"/>
      <c r="H80" s="75"/>
      <c r="I80" s="76"/>
      <c r="J80" s="75"/>
      <c r="K80" s="76"/>
      <c r="L80" s="75"/>
    </row>
    <row r="81" spans="1:12" ht="12.5" x14ac:dyDescent="0.25">
      <c r="A81" s="79"/>
      <c r="B81" s="80"/>
      <c r="C81" s="80"/>
      <c r="D81" s="75"/>
      <c r="E81" s="76"/>
      <c r="F81" s="77"/>
      <c r="G81" s="76"/>
      <c r="H81" s="75"/>
      <c r="I81" s="76"/>
      <c r="J81" s="75"/>
      <c r="K81" s="76"/>
      <c r="L81" s="75"/>
    </row>
    <row r="82" spans="1:12" ht="12.5" x14ac:dyDescent="0.25">
      <c r="A82" s="79"/>
      <c r="B82" s="80"/>
      <c r="C82" s="80"/>
      <c r="D82" s="75"/>
      <c r="E82" s="76"/>
      <c r="F82" s="77"/>
      <c r="G82" s="76"/>
      <c r="H82" s="75"/>
      <c r="I82" s="76"/>
      <c r="J82" s="75"/>
      <c r="K82" s="76"/>
      <c r="L82" s="75"/>
    </row>
    <row r="83" spans="1:12" ht="12.5" x14ac:dyDescent="0.25">
      <c r="A83" s="79"/>
      <c r="B83" s="80"/>
      <c r="C83" s="80"/>
      <c r="D83" s="75"/>
      <c r="E83" s="76"/>
      <c r="F83" s="77"/>
      <c r="G83" s="76"/>
      <c r="H83" s="75"/>
      <c r="I83" s="76"/>
      <c r="J83" s="75"/>
      <c r="K83" s="76"/>
      <c r="L83" s="75"/>
    </row>
    <row r="84" spans="1:12" ht="12.5" x14ac:dyDescent="0.25">
      <c r="A84" s="79"/>
      <c r="B84" s="80"/>
      <c r="C84" s="80"/>
      <c r="D84" s="75"/>
      <c r="E84" s="76"/>
      <c r="F84" s="77"/>
      <c r="G84" s="76"/>
      <c r="H84" s="75"/>
      <c r="I84" s="76"/>
      <c r="J84" s="75"/>
      <c r="K84" s="76"/>
      <c r="L84" s="75"/>
    </row>
    <row r="85" spans="1:12" ht="12.5" x14ac:dyDescent="0.25">
      <c r="A85" s="79"/>
      <c r="B85" s="80"/>
      <c r="C85" s="80"/>
      <c r="D85" s="75"/>
      <c r="E85" s="76"/>
      <c r="F85" s="77"/>
      <c r="G85" s="76"/>
      <c r="H85" s="75"/>
      <c r="I85" s="76"/>
      <c r="J85" s="75"/>
      <c r="K85" s="76"/>
      <c r="L85" s="75"/>
    </row>
    <row r="86" spans="1:12" ht="12.5" x14ac:dyDescent="0.25">
      <c r="A86" s="79"/>
      <c r="B86" s="80"/>
      <c r="C86" s="80"/>
      <c r="D86" s="75"/>
      <c r="E86" s="76"/>
      <c r="F86" s="77"/>
      <c r="G86" s="76"/>
      <c r="H86" s="75"/>
      <c r="I86" s="76"/>
      <c r="J86" s="75"/>
      <c r="K86" s="76"/>
      <c r="L86" s="75"/>
    </row>
    <row r="87" spans="1:12" ht="12.5" x14ac:dyDescent="0.25">
      <c r="A87" s="79"/>
      <c r="B87" s="80"/>
      <c r="C87" s="80"/>
      <c r="D87" s="75"/>
      <c r="E87" s="76"/>
      <c r="F87" s="77"/>
      <c r="G87" s="76"/>
      <c r="H87" s="75"/>
      <c r="I87" s="76"/>
      <c r="J87" s="75"/>
      <c r="K87" s="76"/>
      <c r="L87" s="75"/>
    </row>
    <row r="88" spans="1:12" ht="12.5" x14ac:dyDescent="0.25">
      <c r="A88" s="79"/>
      <c r="B88" s="80"/>
      <c r="C88" s="80"/>
      <c r="D88" s="75"/>
      <c r="E88" s="76"/>
      <c r="F88" s="77"/>
      <c r="G88" s="76"/>
      <c r="H88" s="75"/>
      <c r="I88" s="76"/>
      <c r="J88" s="75"/>
      <c r="K88" s="76"/>
      <c r="L88" s="75"/>
    </row>
    <row r="89" spans="1:12" ht="12.5" x14ac:dyDescent="0.25">
      <c r="A89" s="79"/>
      <c r="B89" s="80"/>
      <c r="C89" s="80"/>
      <c r="D89" s="75"/>
      <c r="E89" s="76"/>
      <c r="F89" s="77"/>
      <c r="G89" s="76"/>
      <c r="H89" s="75"/>
      <c r="I89" s="76"/>
      <c r="J89" s="75"/>
      <c r="K89" s="76"/>
      <c r="L89" s="75"/>
    </row>
    <row r="90" spans="1:12" ht="12.5" x14ac:dyDescent="0.25">
      <c r="A90" s="79"/>
      <c r="B90" s="80"/>
      <c r="C90" s="80"/>
      <c r="D90" s="75"/>
      <c r="E90" s="76"/>
      <c r="F90" s="77"/>
      <c r="G90" s="76"/>
      <c r="H90" s="75"/>
      <c r="I90" s="76"/>
      <c r="J90" s="75"/>
      <c r="K90" s="76"/>
      <c r="L90" s="75"/>
    </row>
    <row r="91" spans="1:12" ht="12.5" x14ac:dyDescent="0.25">
      <c r="A91" s="79"/>
      <c r="B91" s="80"/>
      <c r="C91" s="80"/>
      <c r="D91" s="75"/>
      <c r="E91" s="76"/>
      <c r="F91" s="77"/>
      <c r="G91" s="76"/>
      <c r="H91" s="75"/>
      <c r="I91" s="76"/>
      <c r="J91" s="75"/>
      <c r="K91" s="76"/>
      <c r="L91" s="75"/>
    </row>
    <row r="92" spans="1:12" ht="12.5" x14ac:dyDescent="0.25">
      <c r="A92" s="79"/>
      <c r="B92" s="80"/>
      <c r="C92" s="80"/>
      <c r="D92" s="75"/>
      <c r="E92" s="76"/>
      <c r="F92" s="77"/>
      <c r="G92" s="76"/>
      <c r="H92" s="75"/>
      <c r="I92" s="76"/>
      <c r="J92" s="75"/>
      <c r="K92" s="76"/>
      <c r="L92" s="75"/>
    </row>
    <row r="93" spans="1:12" ht="12.5" x14ac:dyDescent="0.25">
      <c r="A93" s="79"/>
      <c r="B93" s="80"/>
      <c r="C93" s="80"/>
      <c r="D93" s="75"/>
      <c r="E93" s="76"/>
      <c r="F93" s="77"/>
      <c r="G93" s="76"/>
      <c r="H93" s="75"/>
      <c r="I93" s="76"/>
      <c r="J93" s="75"/>
      <c r="K93" s="76"/>
      <c r="L93" s="75"/>
    </row>
    <row r="94" spans="1:12" ht="12.5" x14ac:dyDescent="0.25">
      <c r="A94" s="79"/>
      <c r="B94" s="80"/>
      <c r="C94" s="80"/>
      <c r="D94" s="75"/>
      <c r="E94" s="76"/>
      <c r="F94" s="77"/>
      <c r="G94" s="76"/>
      <c r="H94" s="75"/>
      <c r="I94" s="76"/>
      <c r="J94" s="75"/>
      <c r="K94" s="76"/>
      <c r="L94" s="75"/>
    </row>
    <row r="95" spans="1:12" ht="12.5" x14ac:dyDescent="0.25">
      <c r="A95" s="79"/>
      <c r="B95" s="80"/>
      <c r="C95" s="80"/>
      <c r="D95" s="75"/>
      <c r="E95" s="76"/>
      <c r="F95" s="77"/>
      <c r="G95" s="76"/>
      <c r="H95" s="75"/>
      <c r="I95" s="76"/>
      <c r="J95" s="75"/>
      <c r="K95" s="76"/>
      <c r="L95" s="75"/>
    </row>
    <row r="96" spans="1:12" ht="12.5" x14ac:dyDescent="0.25">
      <c r="A96" s="79"/>
      <c r="B96" s="80"/>
      <c r="C96" s="80"/>
      <c r="D96" s="75"/>
      <c r="E96" s="76"/>
      <c r="F96" s="77"/>
      <c r="G96" s="76"/>
      <c r="H96" s="75"/>
      <c r="I96" s="76"/>
      <c r="J96" s="75"/>
      <c r="K96" s="76"/>
      <c r="L96" s="75"/>
    </row>
    <row r="97" spans="1:12" ht="12.5" x14ac:dyDescent="0.25">
      <c r="A97" s="79"/>
      <c r="B97" s="80"/>
      <c r="C97" s="80"/>
      <c r="D97" s="75"/>
      <c r="E97" s="76"/>
      <c r="F97" s="77"/>
      <c r="G97" s="76"/>
      <c r="H97" s="75"/>
      <c r="I97" s="76"/>
      <c r="J97" s="75"/>
      <c r="K97" s="76"/>
      <c r="L97" s="75"/>
    </row>
    <row r="98" spans="1:12" ht="12.5" x14ac:dyDescent="0.25">
      <c r="A98" s="79"/>
      <c r="B98" s="80"/>
      <c r="C98" s="80"/>
      <c r="D98" s="75"/>
      <c r="E98" s="76"/>
      <c r="F98" s="77"/>
      <c r="G98" s="76"/>
      <c r="H98" s="75"/>
      <c r="I98" s="76"/>
      <c r="J98" s="75"/>
      <c r="K98" s="76"/>
      <c r="L98" s="75"/>
    </row>
    <row r="99" spans="1:12" ht="12.5" x14ac:dyDescent="0.25">
      <c r="A99" s="79"/>
      <c r="B99" s="80"/>
      <c r="C99" s="80"/>
      <c r="D99" s="75"/>
      <c r="E99" s="76"/>
      <c r="F99" s="77"/>
      <c r="G99" s="76"/>
      <c r="H99" s="75"/>
      <c r="I99" s="76"/>
      <c r="J99" s="75"/>
      <c r="K99" s="76"/>
      <c r="L99" s="75"/>
    </row>
    <row r="100" spans="1:12" ht="12.5" x14ac:dyDescent="0.25">
      <c r="A100" s="79"/>
      <c r="B100" s="80"/>
      <c r="C100" s="80"/>
      <c r="D100" s="75"/>
      <c r="E100" s="76"/>
      <c r="F100" s="77"/>
      <c r="G100" s="76"/>
      <c r="H100" s="75"/>
      <c r="I100" s="76"/>
      <c r="J100" s="75"/>
      <c r="K100" s="76"/>
      <c r="L100" s="75"/>
    </row>
    <row r="101" spans="1:12" ht="12.5" x14ac:dyDescent="0.25">
      <c r="A101" s="79"/>
      <c r="B101" s="80"/>
      <c r="C101" s="80"/>
      <c r="D101" s="75"/>
      <c r="E101" s="76"/>
      <c r="F101" s="77"/>
      <c r="G101" s="76"/>
      <c r="H101" s="75"/>
      <c r="I101" s="76"/>
      <c r="J101" s="75"/>
      <c r="K101" s="76"/>
      <c r="L101" s="75"/>
    </row>
    <row r="102" spans="1:12" ht="12.5" x14ac:dyDescent="0.25">
      <c r="A102" s="79"/>
      <c r="B102" s="80"/>
      <c r="C102" s="80"/>
      <c r="D102" s="75"/>
      <c r="E102" s="76"/>
      <c r="F102" s="77"/>
      <c r="G102" s="76"/>
      <c r="H102" s="75"/>
      <c r="I102" s="76"/>
      <c r="J102" s="75"/>
      <c r="K102" s="76"/>
      <c r="L102" s="75"/>
    </row>
    <row r="103" spans="1:12" ht="12.5" x14ac:dyDescent="0.25">
      <c r="A103" s="79"/>
      <c r="B103" s="80"/>
      <c r="C103" s="80"/>
      <c r="D103" s="75"/>
      <c r="E103" s="76"/>
      <c r="F103" s="77"/>
      <c r="G103" s="76"/>
      <c r="H103" s="75"/>
      <c r="I103" s="76"/>
      <c r="J103" s="75"/>
      <c r="K103" s="76"/>
      <c r="L103" s="75"/>
    </row>
    <row r="104" spans="1:12" ht="12.5" x14ac:dyDescent="0.25">
      <c r="A104" s="79"/>
      <c r="B104" s="80"/>
      <c r="C104" s="80"/>
      <c r="D104" s="75"/>
      <c r="E104" s="76"/>
      <c r="F104" s="77"/>
      <c r="G104" s="76"/>
      <c r="H104" s="75"/>
      <c r="I104" s="76"/>
      <c r="J104" s="75"/>
      <c r="K104" s="76"/>
      <c r="L104" s="75"/>
    </row>
    <row r="105" spans="1:12" ht="12.5" x14ac:dyDescent="0.25">
      <c r="A105" s="79"/>
      <c r="B105" s="80"/>
      <c r="C105" s="80"/>
      <c r="D105" s="75"/>
      <c r="E105" s="76"/>
      <c r="F105" s="77"/>
      <c r="G105" s="76"/>
      <c r="H105" s="75"/>
      <c r="I105" s="76"/>
      <c r="J105" s="75"/>
      <c r="K105" s="76"/>
      <c r="L105" s="75"/>
    </row>
    <row r="106" spans="1:12" ht="12.5" x14ac:dyDescent="0.25">
      <c r="A106" s="79"/>
      <c r="B106" s="80"/>
      <c r="C106" s="80"/>
      <c r="D106" s="75"/>
      <c r="E106" s="76"/>
      <c r="F106" s="77"/>
      <c r="G106" s="76"/>
      <c r="H106" s="75"/>
      <c r="I106" s="76"/>
      <c r="J106" s="75"/>
      <c r="K106" s="76"/>
      <c r="L106" s="75"/>
    </row>
    <row r="107" spans="1:12" ht="12.5" x14ac:dyDescent="0.25">
      <c r="A107" s="79"/>
      <c r="B107" s="80"/>
      <c r="C107" s="80"/>
      <c r="D107" s="75"/>
      <c r="E107" s="76"/>
      <c r="F107" s="77"/>
      <c r="G107" s="76"/>
      <c r="H107" s="75"/>
      <c r="I107" s="76"/>
      <c r="J107" s="75"/>
      <c r="K107" s="76"/>
      <c r="L107" s="75"/>
    </row>
    <row r="108" spans="1:12" ht="12.5" x14ac:dyDescent="0.25">
      <c r="A108" s="79"/>
      <c r="B108" s="80"/>
      <c r="C108" s="80"/>
      <c r="D108" s="75"/>
      <c r="E108" s="76"/>
      <c r="F108" s="77"/>
      <c r="G108" s="76"/>
      <c r="H108" s="75"/>
      <c r="I108" s="76"/>
      <c r="J108" s="75"/>
      <c r="K108" s="76"/>
      <c r="L108" s="75"/>
    </row>
    <row r="109" spans="1:12" ht="12.5" x14ac:dyDescent="0.25">
      <c r="A109" s="79"/>
      <c r="B109" s="80"/>
      <c r="C109" s="80"/>
      <c r="D109" s="75"/>
      <c r="E109" s="76"/>
      <c r="F109" s="77"/>
      <c r="G109" s="76"/>
      <c r="H109" s="75"/>
      <c r="I109" s="76"/>
      <c r="J109" s="75"/>
      <c r="K109" s="76"/>
      <c r="L109" s="75"/>
    </row>
    <row r="110" spans="1:12" ht="12.5" x14ac:dyDescent="0.25">
      <c r="A110" s="79"/>
      <c r="B110" s="80"/>
      <c r="C110" s="80"/>
      <c r="D110" s="75"/>
      <c r="E110" s="76"/>
      <c r="F110" s="77"/>
      <c r="G110" s="76"/>
      <c r="H110" s="75"/>
      <c r="I110" s="76"/>
      <c r="J110" s="75"/>
      <c r="K110" s="76"/>
      <c r="L110" s="75"/>
    </row>
    <row r="111" spans="1:12" ht="12.5" x14ac:dyDescent="0.25">
      <c r="A111" s="79"/>
      <c r="B111" s="80"/>
      <c r="C111" s="80"/>
      <c r="D111" s="75"/>
      <c r="E111" s="76"/>
      <c r="F111" s="77"/>
      <c r="G111" s="76"/>
      <c r="H111" s="75"/>
      <c r="I111" s="76"/>
      <c r="J111" s="75"/>
      <c r="K111" s="76"/>
      <c r="L111" s="75"/>
    </row>
    <row r="112" spans="1:12" ht="12.5" x14ac:dyDescent="0.25">
      <c r="A112" s="79"/>
      <c r="B112" s="80"/>
      <c r="C112" s="80"/>
      <c r="D112" s="75"/>
      <c r="E112" s="76"/>
      <c r="F112" s="77"/>
      <c r="G112" s="76"/>
      <c r="H112" s="75"/>
      <c r="I112" s="76"/>
      <c r="J112" s="75"/>
      <c r="K112" s="76"/>
      <c r="L112" s="75"/>
    </row>
    <row r="113" spans="1:12" ht="12.5" x14ac:dyDescent="0.25">
      <c r="A113" s="79"/>
      <c r="B113" s="80"/>
      <c r="C113" s="80"/>
      <c r="D113" s="75"/>
      <c r="E113" s="76"/>
      <c r="F113" s="77"/>
      <c r="G113" s="76"/>
      <c r="H113" s="75"/>
      <c r="I113" s="76"/>
      <c r="J113" s="75"/>
      <c r="K113" s="76"/>
      <c r="L113" s="75"/>
    </row>
    <row r="114" spans="1:12" ht="12.5" x14ac:dyDescent="0.25">
      <c r="A114" s="79"/>
      <c r="B114" s="80"/>
      <c r="C114" s="80"/>
      <c r="D114" s="75"/>
      <c r="E114" s="76"/>
      <c r="F114" s="77"/>
      <c r="G114" s="76"/>
      <c r="H114" s="75"/>
      <c r="I114" s="76"/>
      <c r="J114" s="75"/>
      <c r="K114" s="76"/>
      <c r="L114" s="75"/>
    </row>
    <row r="115" spans="1:12" ht="12.5" x14ac:dyDescent="0.25">
      <c r="A115" s="79"/>
      <c r="B115" s="80"/>
      <c r="C115" s="80"/>
      <c r="D115" s="75"/>
      <c r="E115" s="76"/>
      <c r="F115" s="77"/>
      <c r="G115" s="76"/>
      <c r="H115" s="75"/>
      <c r="I115" s="76"/>
      <c r="J115" s="75"/>
      <c r="K115" s="76"/>
      <c r="L115" s="75"/>
    </row>
    <row r="116" spans="1:12" ht="12.5" x14ac:dyDescent="0.25">
      <c r="A116" s="79"/>
      <c r="B116" s="80"/>
      <c r="C116" s="80"/>
      <c r="D116" s="75"/>
      <c r="E116" s="76"/>
      <c r="F116" s="77"/>
      <c r="G116" s="76"/>
      <c r="H116" s="75"/>
      <c r="I116" s="76"/>
      <c r="J116" s="75"/>
      <c r="K116" s="76"/>
      <c r="L116" s="75"/>
    </row>
    <row r="117" spans="1:12" ht="12.5" x14ac:dyDescent="0.25">
      <c r="A117" s="79"/>
      <c r="B117" s="80"/>
      <c r="C117" s="80"/>
      <c r="D117" s="75"/>
      <c r="E117" s="76"/>
      <c r="F117" s="77"/>
      <c r="G117" s="76"/>
      <c r="H117" s="75"/>
      <c r="I117" s="76"/>
      <c r="J117" s="75"/>
      <c r="K117" s="76"/>
      <c r="L117" s="75"/>
    </row>
    <row r="118" spans="1:12" ht="12.5" x14ac:dyDescent="0.25">
      <c r="A118" s="79"/>
      <c r="B118" s="80"/>
      <c r="C118" s="80"/>
      <c r="D118" s="75"/>
      <c r="E118" s="76"/>
      <c r="F118" s="77"/>
      <c r="G118" s="76"/>
      <c r="H118" s="75"/>
      <c r="I118" s="76"/>
      <c r="J118" s="75"/>
      <c r="K118" s="76"/>
      <c r="L118" s="75"/>
    </row>
    <row r="119" spans="1:12" ht="12.5" x14ac:dyDescent="0.25">
      <c r="A119" s="79"/>
      <c r="B119" s="80"/>
      <c r="C119" s="80"/>
      <c r="D119" s="75"/>
      <c r="E119" s="76"/>
      <c r="F119" s="77"/>
      <c r="G119" s="76"/>
      <c r="H119" s="75"/>
      <c r="I119" s="76"/>
      <c r="J119" s="75"/>
      <c r="K119" s="76"/>
      <c r="L119" s="75"/>
    </row>
    <row r="120" spans="1:12" ht="12.5" x14ac:dyDescent="0.25">
      <c r="A120" s="79"/>
      <c r="B120" s="80"/>
      <c r="C120" s="80"/>
      <c r="D120" s="75"/>
      <c r="E120" s="76"/>
      <c r="F120" s="77"/>
      <c r="G120" s="76"/>
      <c r="H120" s="75"/>
      <c r="I120" s="76"/>
      <c r="J120" s="75"/>
      <c r="K120" s="76"/>
      <c r="L120" s="75"/>
    </row>
    <row r="121" spans="1:12" ht="12.5" x14ac:dyDescent="0.25">
      <c r="A121" s="79"/>
      <c r="B121" s="80"/>
      <c r="C121" s="80"/>
      <c r="D121" s="75"/>
      <c r="E121" s="76"/>
      <c r="F121" s="77"/>
      <c r="G121" s="76"/>
      <c r="H121" s="75"/>
      <c r="I121" s="76"/>
      <c r="J121" s="75"/>
      <c r="K121" s="76"/>
      <c r="L121" s="75"/>
    </row>
    <row r="122" spans="1:12" ht="12.5" x14ac:dyDescent="0.25">
      <c r="A122" s="79"/>
      <c r="B122" s="80"/>
      <c r="C122" s="80"/>
      <c r="D122" s="75"/>
      <c r="E122" s="76"/>
      <c r="F122" s="77"/>
      <c r="G122" s="76"/>
      <c r="H122" s="75"/>
      <c r="I122" s="76"/>
      <c r="J122" s="75"/>
      <c r="K122" s="76"/>
      <c r="L122" s="75"/>
    </row>
    <row r="123" spans="1:12" ht="12.5" x14ac:dyDescent="0.25">
      <c r="A123" s="79"/>
      <c r="B123" s="80"/>
      <c r="C123" s="80"/>
      <c r="D123" s="75"/>
      <c r="E123" s="76"/>
      <c r="F123" s="77"/>
      <c r="G123" s="76"/>
      <c r="H123" s="75"/>
      <c r="I123" s="76"/>
      <c r="J123" s="75"/>
      <c r="K123" s="76"/>
      <c r="L123" s="75"/>
    </row>
    <row r="124" spans="1:12" ht="12.5" x14ac:dyDescent="0.25">
      <c r="A124" s="79"/>
      <c r="B124" s="80"/>
      <c r="C124" s="80"/>
      <c r="D124" s="75"/>
      <c r="E124" s="76"/>
      <c r="F124" s="77"/>
      <c r="G124" s="76"/>
      <c r="H124" s="75"/>
      <c r="I124" s="76"/>
      <c r="J124" s="75"/>
      <c r="K124" s="76"/>
      <c r="L124" s="75"/>
    </row>
    <row r="125" spans="1:12" ht="12.5" x14ac:dyDescent="0.25">
      <c r="A125" s="79"/>
      <c r="B125" s="80"/>
      <c r="C125" s="80"/>
      <c r="D125" s="75"/>
      <c r="E125" s="76"/>
      <c r="F125" s="77"/>
      <c r="G125" s="76"/>
      <c r="H125" s="75"/>
      <c r="I125" s="76"/>
      <c r="J125" s="75"/>
      <c r="K125" s="76"/>
      <c r="L125" s="75"/>
    </row>
    <row r="126" spans="1:12" ht="12.5" x14ac:dyDescent="0.25">
      <c r="A126" s="79"/>
      <c r="B126" s="80"/>
      <c r="C126" s="80"/>
      <c r="D126" s="75"/>
      <c r="E126" s="76"/>
      <c r="F126" s="77"/>
      <c r="G126" s="76"/>
      <c r="H126" s="75"/>
      <c r="I126" s="76"/>
      <c r="J126" s="75"/>
      <c r="K126" s="76"/>
      <c r="L126" s="75"/>
    </row>
    <row r="127" spans="1:12" ht="12.5" x14ac:dyDescent="0.25">
      <c r="A127" s="79"/>
      <c r="B127" s="80"/>
      <c r="C127" s="80"/>
      <c r="D127" s="75"/>
      <c r="E127" s="76"/>
      <c r="F127" s="77"/>
      <c r="G127" s="76"/>
      <c r="H127" s="75"/>
      <c r="I127" s="76"/>
      <c r="J127" s="75"/>
      <c r="K127" s="76"/>
      <c r="L127" s="75"/>
    </row>
    <row r="128" spans="1:12" ht="12.5" x14ac:dyDescent="0.25">
      <c r="A128" s="79"/>
      <c r="B128" s="80"/>
      <c r="C128" s="80"/>
      <c r="D128" s="75"/>
      <c r="E128" s="76"/>
      <c r="F128" s="77"/>
      <c r="G128" s="76"/>
      <c r="H128" s="75"/>
      <c r="I128" s="76"/>
      <c r="J128" s="75"/>
      <c r="K128" s="76"/>
      <c r="L128" s="75"/>
    </row>
    <row r="129" spans="1:12" ht="12.5" x14ac:dyDescent="0.25">
      <c r="A129" s="79"/>
      <c r="B129" s="80"/>
      <c r="C129" s="80"/>
      <c r="D129" s="75"/>
      <c r="E129" s="76"/>
      <c r="F129" s="77"/>
      <c r="G129" s="76"/>
      <c r="H129" s="75"/>
      <c r="I129" s="76"/>
      <c r="J129" s="75"/>
      <c r="K129" s="76"/>
      <c r="L129" s="75"/>
    </row>
    <row r="130" spans="1:12" ht="12.5" x14ac:dyDescent="0.25">
      <c r="A130" s="79"/>
      <c r="B130" s="80"/>
      <c r="C130" s="80"/>
      <c r="D130" s="75"/>
      <c r="E130" s="76"/>
      <c r="F130" s="77"/>
      <c r="G130" s="76"/>
      <c r="H130" s="75"/>
      <c r="I130" s="76"/>
      <c r="J130" s="75"/>
      <c r="K130" s="76"/>
      <c r="L130" s="75"/>
    </row>
    <row r="131" spans="1:12" ht="12.5" x14ac:dyDescent="0.25">
      <c r="A131" s="79"/>
      <c r="B131" s="80"/>
      <c r="C131" s="80"/>
      <c r="D131" s="75"/>
      <c r="E131" s="76"/>
      <c r="F131" s="77"/>
      <c r="G131" s="76"/>
      <c r="H131" s="75"/>
      <c r="I131" s="76"/>
      <c r="J131" s="75"/>
      <c r="K131" s="76"/>
      <c r="L131" s="75"/>
    </row>
    <row r="132" spans="1:12" ht="12.5" x14ac:dyDescent="0.25">
      <c r="A132" s="79"/>
      <c r="B132" s="80"/>
      <c r="C132" s="80"/>
      <c r="D132" s="75"/>
      <c r="E132" s="76"/>
      <c r="F132" s="77"/>
      <c r="G132" s="76"/>
      <c r="H132" s="75"/>
      <c r="I132" s="76"/>
      <c r="J132" s="75"/>
      <c r="K132" s="76"/>
      <c r="L132" s="75"/>
    </row>
    <row r="133" spans="1:12" ht="12.5" x14ac:dyDescent="0.25">
      <c r="A133" s="79"/>
      <c r="B133" s="80"/>
      <c r="C133" s="80"/>
      <c r="D133" s="75"/>
      <c r="E133" s="76"/>
      <c r="F133" s="77"/>
      <c r="G133" s="76"/>
      <c r="H133" s="75"/>
      <c r="I133" s="76"/>
      <c r="J133" s="75"/>
      <c r="K133" s="76"/>
      <c r="L133" s="75"/>
    </row>
    <row r="134" spans="1:12" ht="12.5" x14ac:dyDescent="0.25">
      <c r="A134" s="79"/>
      <c r="B134" s="80"/>
      <c r="C134" s="80"/>
      <c r="D134" s="75"/>
      <c r="E134" s="76"/>
      <c r="F134" s="77"/>
      <c r="G134" s="76"/>
      <c r="H134" s="75"/>
      <c r="I134" s="76"/>
      <c r="J134" s="75"/>
      <c r="K134" s="76"/>
      <c r="L134" s="75"/>
    </row>
    <row r="135" spans="1:12" ht="12.5" x14ac:dyDescent="0.25">
      <c r="A135" s="79"/>
      <c r="B135" s="80"/>
      <c r="C135" s="80"/>
      <c r="D135" s="75"/>
      <c r="E135" s="76"/>
      <c r="F135" s="77"/>
      <c r="G135" s="76"/>
      <c r="H135" s="75"/>
      <c r="I135" s="76"/>
      <c r="J135" s="75"/>
      <c r="K135" s="76"/>
      <c r="L135" s="75"/>
    </row>
    <row r="136" spans="1:12" ht="12.5" x14ac:dyDescent="0.25">
      <c r="A136" s="79"/>
      <c r="B136" s="80"/>
      <c r="C136" s="80"/>
      <c r="D136" s="75"/>
      <c r="E136" s="76"/>
      <c r="F136" s="77"/>
      <c r="G136" s="76"/>
      <c r="H136" s="75"/>
      <c r="I136" s="76"/>
      <c r="J136" s="75"/>
      <c r="K136" s="76"/>
      <c r="L136" s="75"/>
    </row>
    <row r="137" spans="1:12" ht="12.5" x14ac:dyDescent="0.25">
      <c r="A137" s="79"/>
      <c r="B137" s="80"/>
      <c r="C137" s="80"/>
      <c r="D137" s="75"/>
      <c r="E137" s="76"/>
      <c r="F137" s="77"/>
      <c r="G137" s="76"/>
      <c r="H137" s="75"/>
      <c r="I137" s="76"/>
      <c r="J137" s="75"/>
      <c r="K137" s="76"/>
      <c r="L137" s="75"/>
    </row>
    <row r="138" spans="1:12" ht="12.5" x14ac:dyDescent="0.25">
      <c r="A138" s="79"/>
      <c r="B138" s="80"/>
      <c r="C138" s="80"/>
      <c r="D138" s="75"/>
      <c r="E138" s="76"/>
      <c r="F138" s="77"/>
      <c r="G138" s="76"/>
      <c r="H138" s="75"/>
      <c r="I138" s="76"/>
      <c r="J138" s="75"/>
      <c r="K138" s="76"/>
      <c r="L138" s="75"/>
    </row>
    <row r="139" spans="1:12" ht="12.5" x14ac:dyDescent="0.25">
      <c r="A139" s="79"/>
      <c r="B139" s="80"/>
      <c r="C139" s="80"/>
      <c r="D139" s="75"/>
      <c r="E139" s="76"/>
      <c r="F139" s="77"/>
      <c r="G139" s="76"/>
      <c r="H139" s="75"/>
      <c r="I139" s="76"/>
      <c r="J139" s="75"/>
      <c r="K139" s="76"/>
      <c r="L139" s="75"/>
    </row>
    <row r="140" spans="1:12" ht="12.5" x14ac:dyDescent="0.25">
      <c r="A140" s="79"/>
      <c r="B140" s="80"/>
      <c r="C140" s="80"/>
      <c r="D140" s="75"/>
      <c r="E140" s="76"/>
      <c r="F140" s="77"/>
      <c r="G140" s="76"/>
      <c r="H140" s="75"/>
      <c r="I140" s="76"/>
      <c r="J140" s="75"/>
      <c r="K140" s="76"/>
      <c r="L140" s="75"/>
    </row>
    <row r="141" spans="1:12" ht="12.5" x14ac:dyDescent="0.25">
      <c r="A141" s="79"/>
      <c r="B141" s="80"/>
      <c r="C141" s="80"/>
      <c r="D141" s="75"/>
      <c r="E141" s="76"/>
      <c r="F141" s="77"/>
      <c r="G141" s="76"/>
      <c r="H141" s="75"/>
      <c r="I141" s="76"/>
      <c r="J141" s="75"/>
      <c r="K141" s="76"/>
      <c r="L141" s="75"/>
    </row>
    <row r="142" spans="1:12" ht="12.5" x14ac:dyDescent="0.25">
      <c r="A142" s="79"/>
      <c r="B142" s="80"/>
      <c r="C142" s="80"/>
      <c r="D142" s="75"/>
      <c r="E142" s="76"/>
      <c r="F142" s="77"/>
      <c r="G142" s="76"/>
      <c r="H142" s="75"/>
      <c r="I142" s="76"/>
      <c r="J142" s="75"/>
      <c r="K142" s="76"/>
      <c r="L142" s="75"/>
    </row>
    <row r="143" spans="1:12" ht="12.5" x14ac:dyDescent="0.25">
      <c r="A143" s="79"/>
      <c r="B143" s="80"/>
      <c r="C143" s="80"/>
      <c r="D143" s="75"/>
      <c r="E143" s="76"/>
      <c r="F143" s="77"/>
      <c r="G143" s="76"/>
      <c r="H143" s="75"/>
      <c r="I143" s="76"/>
      <c r="J143" s="75"/>
      <c r="K143" s="76"/>
      <c r="L143" s="75"/>
    </row>
    <row r="144" spans="1:12" ht="12.5" x14ac:dyDescent="0.25">
      <c r="A144" s="79"/>
      <c r="B144" s="80"/>
      <c r="C144" s="80"/>
      <c r="D144" s="75"/>
      <c r="E144" s="76"/>
      <c r="F144" s="77"/>
      <c r="G144" s="76"/>
      <c r="H144" s="75"/>
      <c r="I144" s="76"/>
      <c r="J144" s="75"/>
      <c r="K144" s="76"/>
      <c r="L144" s="75"/>
    </row>
    <row r="145" spans="1:12" ht="12.5" x14ac:dyDescent="0.25">
      <c r="A145" s="79"/>
      <c r="B145" s="80"/>
      <c r="C145" s="80"/>
      <c r="D145" s="75"/>
      <c r="E145" s="76"/>
      <c r="F145" s="77"/>
      <c r="G145" s="76"/>
      <c r="H145" s="75"/>
      <c r="I145" s="76"/>
      <c r="J145" s="75"/>
      <c r="K145" s="76"/>
      <c r="L145" s="75"/>
    </row>
    <row r="146" spans="1:12" ht="12.5" x14ac:dyDescent="0.25">
      <c r="A146" s="79"/>
      <c r="B146" s="80"/>
      <c r="C146" s="80"/>
      <c r="D146" s="75"/>
      <c r="E146" s="76"/>
      <c r="F146" s="77"/>
      <c r="G146" s="76"/>
      <c r="H146" s="75"/>
      <c r="I146" s="76"/>
      <c r="J146" s="75"/>
      <c r="K146" s="76"/>
      <c r="L146" s="75"/>
    </row>
    <row r="147" spans="1:12" ht="12.5" x14ac:dyDescent="0.25">
      <c r="A147" s="79"/>
      <c r="B147" s="80"/>
      <c r="C147" s="80"/>
      <c r="D147" s="75"/>
      <c r="E147" s="76"/>
      <c r="F147" s="77"/>
      <c r="G147" s="76"/>
      <c r="H147" s="75"/>
      <c r="I147" s="76"/>
      <c r="J147" s="75"/>
      <c r="K147" s="76"/>
      <c r="L147" s="75"/>
    </row>
    <row r="148" spans="1:12" ht="12.5" x14ac:dyDescent="0.25">
      <c r="A148" s="79"/>
      <c r="B148" s="80"/>
      <c r="C148" s="80"/>
      <c r="D148" s="75"/>
      <c r="E148" s="76"/>
      <c r="F148" s="77"/>
      <c r="G148" s="76"/>
      <c r="H148" s="75"/>
      <c r="I148" s="76"/>
      <c r="J148" s="75"/>
      <c r="K148" s="76"/>
      <c r="L148" s="75"/>
    </row>
    <row r="149" spans="1:12" ht="12.5" x14ac:dyDescent="0.25">
      <c r="A149" s="79"/>
      <c r="B149" s="80"/>
      <c r="C149" s="80"/>
      <c r="D149" s="75"/>
      <c r="E149" s="76"/>
      <c r="F149" s="77"/>
      <c r="G149" s="76"/>
      <c r="H149" s="75"/>
      <c r="I149" s="76"/>
      <c r="J149" s="75"/>
      <c r="K149" s="76"/>
      <c r="L149" s="75"/>
    </row>
    <row r="150" spans="1:12" ht="12.5" x14ac:dyDescent="0.25">
      <c r="A150" s="79"/>
      <c r="B150" s="80"/>
      <c r="C150" s="80"/>
      <c r="D150" s="75"/>
      <c r="E150" s="76"/>
      <c r="F150" s="77"/>
      <c r="G150" s="76"/>
      <c r="H150" s="75"/>
      <c r="I150" s="76"/>
      <c r="J150" s="75"/>
      <c r="K150" s="76"/>
      <c r="L150" s="75"/>
    </row>
    <row r="151" spans="1:12" ht="12.5" x14ac:dyDescent="0.25">
      <c r="A151" s="79"/>
      <c r="B151" s="80"/>
      <c r="C151" s="80"/>
      <c r="D151" s="75"/>
      <c r="E151" s="76"/>
      <c r="F151" s="77"/>
      <c r="G151" s="76"/>
      <c r="H151" s="75"/>
      <c r="I151" s="76"/>
      <c r="J151" s="75"/>
      <c r="K151" s="76"/>
      <c r="L151" s="75"/>
    </row>
    <row r="152" spans="1:12" ht="12.5" x14ac:dyDescent="0.25">
      <c r="A152" s="79"/>
      <c r="B152" s="80"/>
      <c r="C152" s="80"/>
      <c r="D152" s="75"/>
      <c r="E152" s="76"/>
      <c r="F152" s="77"/>
      <c r="G152" s="76"/>
      <c r="H152" s="75"/>
      <c r="I152" s="76"/>
      <c r="J152" s="75"/>
      <c r="K152" s="76"/>
      <c r="L152" s="75"/>
    </row>
    <row r="153" spans="1:12" ht="12.5" x14ac:dyDescent="0.25">
      <c r="A153" s="79"/>
      <c r="B153" s="80"/>
      <c r="C153" s="80"/>
      <c r="D153" s="75"/>
      <c r="E153" s="76"/>
      <c r="F153" s="77"/>
      <c r="G153" s="76"/>
      <c r="H153" s="75"/>
      <c r="I153" s="76"/>
      <c r="J153" s="75"/>
      <c r="K153" s="76"/>
      <c r="L153" s="75"/>
    </row>
    <row r="154" spans="1:12" ht="12.5" x14ac:dyDescent="0.25">
      <c r="A154" s="79"/>
      <c r="B154" s="80"/>
      <c r="C154" s="80"/>
      <c r="D154" s="75"/>
      <c r="E154" s="76"/>
      <c r="F154" s="77"/>
      <c r="G154" s="76"/>
      <c r="H154" s="75"/>
      <c r="I154" s="76"/>
      <c r="J154" s="75"/>
      <c r="K154" s="76"/>
      <c r="L154" s="75"/>
    </row>
    <row r="155" spans="1:12" ht="12.5" x14ac:dyDescent="0.25">
      <c r="A155" s="79"/>
      <c r="B155" s="80"/>
      <c r="C155" s="80"/>
      <c r="D155" s="75"/>
      <c r="E155" s="76"/>
      <c r="F155" s="77"/>
      <c r="G155" s="76"/>
      <c r="H155" s="75"/>
      <c r="I155" s="76"/>
      <c r="J155" s="75"/>
      <c r="K155" s="76"/>
      <c r="L155" s="75"/>
    </row>
    <row r="156" spans="1:12" ht="12.5" x14ac:dyDescent="0.25">
      <c r="A156" s="79"/>
      <c r="B156" s="80"/>
      <c r="C156" s="80"/>
      <c r="D156" s="75"/>
      <c r="E156" s="76"/>
      <c r="F156" s="77"/>
      <c r="G156" s="76"/>
      <c r="H156" s="75"/>
      <c r="I156" s="76"/>
      <c r="J156" s="75"/>
      <c r="K156" s="76"/>
      <c r="L156" s="75"/>
    </row>
    <row r="157" spans="1:12" ht="12.5" x14ac:dyDescent="0.25">
      <c r="A157" s="79"/>
      <c r="B157" s="80"/>
      <c r="C157" s="80"/>
      <c r="D157" s="75"/>
      <c r="E157" s="76"/>
      <c r="F157" s="77"/>
      <c r="G157" s="76"/>
      <c r="H157" s="75"/>
      <c r="I157" s="76"/>
      <c r="J157" s="75"/>
      <c r="K157" s="76"/>
      <c r="L157" s="75"/>
    </row>
    <row r="158" spans="1:12" ht="12.5" x14ac:dyDescent="0.25">
      <c r="A158" s="79"/>
      <c r="B158" s="80"/>
      <c r="C158" s="80"/>
      <c r="D158" s="75"/>
      <c r="E158" s="76"/>
      <c r="F158" s="77"/>
      <c r="G158" s="76"/>
      <c r="H158" s="75"/>
      <c r="I158" s="76"/>
      <c r="J158" s="75"/>
      <c r="K158" s="76"/>
      <c r="L158" s="75"/>
    </row>
    <row r="159" spans="1:12" ht="12.5" x14ac:dyDescent="0.25">
      <c r="A159" s="79"/>
      <c r="B159" s="80"/>
      <c r="C159" s="80"/>
      <c r="D159" s="75"/>
      <c r="E159" s="76"/>
      <c r="F159" s="77"/>
      <c r="G159" s="76"/>
      <c r="H159" s="75"/>
      <c r="I159" s="76"/>
      <c r="J159" s="75"/>
      <c r="K159" s="76"/>
      <c r="L159" s="75"/>
    </row>
    <row r="160" spans="1:12" ht="12.5" x14ac:dyDescent="0.25">
      <c r="A160" s="79"/>
      <c r="B160" s="80"/>
      <c r="C160" s="80"/>
      <c r="D160" s="75"/>
      <c r="E160" s="76"/>
      <c r="F160" s="77"/>
      <c r="G160" s="76"/>
      <c r="H160" s="75"/>
      <c r="I160" s="76"/>
      <c r="J160" s="75"/>
      <c r="K160" s="76"/>
      <c r="L160" s="75"/>
    </row>
    <row r="161" spans="1:12" ht="12.5" x14ac:dyDescent="0.25">
      <c r="A161" s="79"/>
      <c r="B161" s="80"/>
      <c r="C161" s="80"/>
      <c r="D161" s="75"/>
      <c r="E161" s="76"/>
      <c r="F161" s="77"/>
      <c r="G161" s="76"/>
      <c r="H161" s="75"/>
      <c r="I161" s="76"/>
      <c r="J161" s="75"/>
      <c r="K161" s="76"/>
      <c r="L161" s="75"/>
    </row>
    <row r="162" spans="1:12" ht="12.5" x14ac:dyDescent="0.25">
      <c r="A162" s="79"/>
      <c r="B162" s="80"/>
      <c r="C162" s="80"/>
      <c r="D162" s="75"/>
      <c r="E162" s="76"/>
      <c r="F162" s="77"/>
      <c r="G162" s="76"/>
      <c r="H162" s="75"/>
      <c r="I162" s="76"/>
      <c r="J162" s="75"/>
      <c r="K162" s="76"/>
      <c r="L162" s="75"/>
    </row>
    <row r="163" spans="1:12" ht="12.5" x14ac:dyDescent="0.25">
      <c r="A163" s="79"/>
      <c r="B163" s="80"/>
      <c r="C163" s="80"/>
      <c r="D163" s="75"/>
      <c r="E163" s="76"/>
      <c r="F163" s="77"/>
      <c r="G163" s="76"/>
      <c r="H163" s="75"/>
      <c r="I163" s="76"/>
      <c r="J163" s="75"/>
      <c r="K163" s="76"/>
      <c r="L163" s="75"/>
    </row>
    <row r="164" spans="1:12" ht="12.5" x14ac:dyDescent="0.25">
      <c r="A164" s="79"/>
      <c r="B164" s="80"/>
      <c r="C164" s="80"/>
      <c r="D164" s="75"/>
      <c r="E164" s="76"/>
      <c r="F164" s="77"/>
      <c r="G164" s="76"/>
      <c r="H164" s="75"/>
      <c r="I164" s="76"/>
      <c r="J164" s="75"/>
      <c r="K164" s="76"/>
      <c r="L164" s="75"/>
    </row>
    <row r="165" spans="1:12" ht="12.5" x14ac:dyDescent="0.25">
      <c r="A165" s="79"/>
      <c r="B165" s="80"/>
      <c r="C165" s="80"/>
      <c r="D165" s="75"/>
      <c r="E165" s="76"/>
      <c r="F165" s="77"/>
      <c r="G165" s="76"/>
      <c r="H165" s="75"/>
      <c r="I165" s="76"/>
      <c r="J165" s="75"/>
      <c r="K165" s="76"/>
      <c r="L165" s="75"/>
    </row>
    <row r="166" spans="1:12" ht="12.5" x14ac:dyDescent="0.25">
      <c r="A166" s="79"/>
      <c r="B166" s="80"/>
      <c r="C166" s="80"/>
      <c r="D166" s="75"/>
      <c r="E166" s="76"/>
      <c r="F166" s="77"/>
      <c r="G166" s="76"/>
      <c r="H166" s="75"/>
      <c r="I166" s="76"/>
      <c r="J166" s="75"/>
      <c r="K166" s="76"/>
      <c r="L166" s="75"/>
    </row>
    <row r="167" spans="1:12" ht="12.5" x14ac:dyDescent="0.25">
      <c r="A167" s="79"/>
      <c r="B167" s="80"/>
      <c r="C167" s="80"/>
      <c r="D167" s="75"/>
      <c r="E167" s="76"/>
      <c r="F167" s="77"/>
      <c r="G167" s="76"/>
      <c r="H167" s="75"/>
      <c r="I167" s="76"/>
      <c r="J167" s="75"/>
      <c r="K167" s="76"/>
      <c r="L167" s="75"/>
    </row>
    <row r="168" spans="1:12" ht="12.5" x14ac:dyDescent="0.25">
      <c r="A168" s="79"/>
      <c r="B168" s="80"/>
      <c r="C168" s="80"/>
      <c r="D168" s="75"/>
      <c r="E168" s="76"/>
      <c r="F168" s="77"/>
      <c r="G168" s="76"/>
      <c r="H168" s="75"/>
      <c r="I168" s="76"/>
      <c r="J168" s="75"/>
      <c r="K168" s="76"/>
      <c r="L168" s="75"/>
    </row>
    <row r="169" spans="1:12" ht="12.5" x14ac:dyDescent="0.25">
      <c r="A169" s="79"/>
      <c r="B169" s="80"/>
      <c r="C169" s="80"/>
      <c r="D169" s="75"/>
      <c r="E169" s="76"/>
      <c r="F169" s="77"/>
      <c r="G169" s="76"/>
      <c r="H169" s="75"/>
      <c r="I169" s="76"/>
      <c r="J169" s="75"/>
      <c r="K169" s="76"/>
      <c r="L169" s="75"/>
    </row>
    <row r="170" spans="1:12" ht="12.5" x14ac:dyDescent="0.25">
      <c r="A170" s="79"/>
      <c r="B170" s="80"/>
      <c r="C170" s="80"/>
      <c r="D170" s="75"/>
      <c r="E170" s="76"/>
      <c r="F170" s="77"/>
      <c r="G170" s="76"/>
      <c r="H170" s="75"/>
      <c r="I170" s="76"/>
      <c r="J170" s="75"/>
      <c r="K170" s="76"/>
      <c r="L170" s="75"/>
    </row>
    <row r="171" spans="1:12" ht="12.5" x14ac:dyDescent="0.25">
      <c r="A171" s="79"/>
      <c r="B171" s="80"/>
      <c r="C171" s="80"/>
      <c r="D171" s="75"/>
      <c r="E171" s="76"/>
      <c r="F171" s="77"/>
      <c r="G171" s="76"/>
      <c r="H171" s="75"/>
      <c r="I171" s="76"/>
      <c r="J171" s="75"/>
      <c r="K171" s="76"/>
      <c r="L171" s="75"/>
    </row>
    <row r="172" spans="1:12" ht="12.5" x14ac:dyDescent="0.25">
      <c r="A172" s="79"/>
      <c r="B172" s="80"/>
      <c r="C172" s="80"/>
      <c r="D172" s="75"/>
      <c r="E172" s="76"/>
      <c r="F172" s="77"/>
      <c r="G172" s="76"/>
      <c r="H172" s="75"/>
      <c r="I172" s="76"/>
      <c r="J172" s="75"/>
      <c r="K172" s="76"/>
      <c r="L172" s="75"/>
    </row>
    <row r="173" spans="1:12" ht="12.5" x14ac:dyDescent="0.25">
      <c r="A173" s="79"/>
      <c r="B173" s="80"/>
      <c r="C173" s="80"/>
      <c r="D173" s="75"/>
      <c r="E173" s="76"/>
      <c r="F173" s="77"/>
      <c r="G173" s="76"/>
      <c r="H173" s="75"/>
      <c r="I173" s="76"/>
      <c r="J173" s="75"/>
      <c r="K173" s="76"/>
      <c r="L173" s="75"/>
    </row>
    <row r="174" spans="1:12" ht="12.5" x14ac:dyDescent="0.25">
      <c r="A174" s="79"/>
      <c r="B174" s="80"/>
      <c r="C174" s="80"/>
      <c r="D174" s="75"/>
      <c r="E174" s="76"/>
      <c r="F174" s="77"/>
      <c r="G174" s="76"/>
      <c r="H174" s="75"/>
      <c r="I174" s="76"/>
      <c r="J174" s="75"/>
      <c r="K174" s="76"/>
      <c r="L174" s="75"/>
    </row>
    <row r="175" spans="1:12" ht="12.5" x14ac:dyDescent="0.25">
      <c r="A175" s="79"/>
      <c r="B175" s="80"/>
      <c r="C175" s="80"/>
      <c r="D175" s="75"/>
      <c r="E175" s="76"/>
      <c r="F175" s="77"/>
      <c r="G175" s="76"/>
      <c r="H175" s="75"/>
      <c r="I175" s="76"/>
      <c r="J175" s="75"/>
      <c r="K175" s="76"/>
      <c r="L175" s="75"/>
    </row>
    <row r="176" spans="1:12" ht="12.5" x14ac:dyDescent="0.25">
      <c r="A176" s="79"/>
      <c r="B176" s="80"/>
      <c r="C176" s="80"/>
      <c r="D176" s="75"/>
      <c r="E176" s="76"/>
      <c r="F176" s="77"/>
      <c r="G176" s="76"/>
      <c r="H176" s="75"/>
      <c r="I176" s="76"/>
      <c r="J176" s="75"/>
      <c r="K176" s="76"/>
      <c r="L176" s="75"/>
    </row>
    <row r="177" spans="1:12" ht="12.5" x14ac:dyDescent="0.25">
      <c r="A177" s="79"/>
      <c r="B177" s="80"/>
      <c r="C177" s="80"/>
      <c r="D177" s="75"/>
      <c r="E177" s="76"/>
      <c r="F177" s="77"/>
      <c r="G177" s="76"/>
      <c r="H177" s="75"/>
      <c r="I177" s="76"/>
      <c r="J177" s="75"/>
      <c r="K177" s="76"/>
      <c r="L177" s="75"/>
    </row>
    <row r="178" spans="1:12" ht="12.5" x14ac:dyDescent="0.25">
      <c r="A178" s="79"/>
      <c r="B178" s="80"/>
      <c r="C178" s="80"/>
      <c r="D178" s="75"/>
      <c r="E178" s="76"/>
      <c r="F178" s="77"/>
      <c r="G178" s="76"/>
      <c r="H178" s="75"/>
      <c r="I178" s="76"/>
      <c r="J178" s="75"/>
      <c r="K178" s="76"/>
      <c r="L178" s="75"/>
    </row>
    <row r="179" spans="1:12" ht="12.5" x14ac:dyDescent="0.25">
      <c r="A179" s="79"/>
      <c r="B179" s="80"/>
      <c r="C179" s="80"/>
      <c r="D179" s="75"/>
      <c r="E179" s="76"/>
      <c r="F179" s="77"/>
      <c r="G179" s="76"/>
      <c r="H179" s="75"/>
      <c r="I179" s="76"/>
      <c r="J179" s="75"/>
      <c r="K179" s="76"/>
      <c r="L179" s="75"/>
    </row>
    <row r="180" spans="1:12" ht="12.5" x14ac:dyDescent="0.25">
      <c r="A180" s="79"/>
      <c r="B180" s="80"/>
      <c r="C180" s="80"/>
      <c r="D180" s="75"/>
      <c r="E180" s="76"/>
      <c r="F180" s="77"/>
      <c r="G180" s="76"/>
      <c r="H180" s="75"/>
      <c r="I180" s="76"/>
      <c r="J180" s="75"/>
      <c r="K180" s="76"/>
      <c r="L180" s="75"/>
    </row>
    <row r="181" spans="1:12" ht="12.5" x14ac:dyDescent="0.25">
      <c r="A181" s="79"/>
      <c r="B181" s="80"/>
      <c r="C181" s="80"/>
      <c r="D181" s="75"/>
      <c r="E181" s="76"/>
      <c r="F181" s="77"/>
      <c r="G181" s="76"/>
      <c r="H181" s="75"/>
      <c r="I181" s="76"/>
      <c r="J181" s="75"/>
      <c r="K181" s="76"/>
      <c r="L181" s="75"/>
    </row>
    <row r="182" spans="1:12" ht="12.5" x14ac:dyDescent="0.25">
      <c r="A182" s="79"/>
      <c r="B182" s="80"/>
      <c r="C182" s="80"/>
      <c r="D182" s="75"/>
      <c r="E182" s="76"/>
      <c r="F182" s="77"/>
      <c r="G182" s="76"/>
      <c r="H182" s="75"/>
      <c r="I182" s="76"/>
      <c r="J182" s="75"/>
      <c r="K182" s="76"/>
      <c r="L182" s="75"/>
    </row>
    <row r="183" spans="1:12" ht="12.5" x14ac:dyDescent="0.25">
      <c r="A183" s="79"/>
      <c r="B183" s="80"/>
      <c r="C183" s="80"/>
      <c r="D183" s="75"/>
      <c r="E183" s="76"/>
      <c r="F183" s="77"/>
      <c r="G183" s="76"/>
      <c r="H183" s="75"/>
      <c r="I183" s="76"/>
      <c r="J183" s="75"/>
      <c r="K183" s="76"/>
      <c r="L183" s="75"/>
    </row>
    <row r="184" spans="1:12" ht="12.5" x14ac:dyDescent="0.25">
      <c r="A184" s="79"/>
      <c r="B184" s="80"/>
      <c r="C184" s="80"/>
      <c r="D184" s="75"/>
      <c r="E184" s="76"/>
      <c r="F184" s="77"/>
      <c r="G184" s="76"/>
      <c r="H184" s="75"/>
      <c r="I184" s="76"/>
      <c r="J184" s="75"/>
      <c r="K184" s="76"/>
      <c r="L184" s="75"/>
    </row>
    <row r="185" spans="1:12" ht="12.5" x14ac:dyDescent="0.25">
      <c r="A185" s="79"/>
      <c r="B185" s="80"/>
      <c r="C185" s="80"/>
      <c r="D185" s="75"/>
      <c r="E185" s="76"/>
      <c r="F185" s="77"/>
      <c r="G185" s="76"/>
      <c r="H185" s="75"/>
      <c r="I185" s="76"/>
      <c r="J185" s="75"/>
      <c r="K185" s="76"/>
      <c r="L185" s="75"/>
    </row>
    <row r="186" spans="1:12" ht="12.5" x14ac:dyDescent="0.25">
      <c r="A186" s="79"/>
      <c r="B186" s="80"/>
      <c r="C186" s="80"/>
      <c r="D186" s="75"/>
      <c r="E186" s="76"/>
      <c r="F186" s="77"/>
      <c r="G186" s="76"/>
      <c r="H186" s="75"/>
      <c r="I186" s="76"/>
      <c r="J186" s="75"/>
      <c r="K186" s="76"/>
      <c r="L186" s="75"/>
    </row>
    <row r="187" spans="1:12" ht="12.5" x14ac:dyDescent="0.25">
      <c r="A187" s="79"/>
      <c r="B187" s="80"/>
      <c r="C187" s="80"/>
      <c r="D187" s="75"/>
      <c r="E187" s="76"/>
      <c r="F187" s="77"/>
      <c r="G187" s="76"/>
      <c r="H187" s="75"/>
      <c r="I187" s="76"/>
      <c r="J187" s="75"/>
      <c r="K187" s="76"/>
      <c r="L187" s="75"/>
    </row>
    <row r="188" spans="1:12" ht="12.5" x14ac:dyDescent="0.25">
      <c r="A188" s="79"/>
      <c r="B188" s="80"/>
      <c r="C188" s="80"/>
      <c r="D188" s="75"/>
      <c r="E188" s="76"/>
      <c r="F188" s="77"/>
      <c r="G188" s="76"/>
      <c r="H188" s="75"/>
      <c r="I188" s="76"/>
      <c r="J188" s="75"/>
      <c r="K188" s="76"/>
      <c r="L188" s="75"/>
    </row>
    <row r="189" spans="1:12" ht="12.5" x14ac:dyDescent="0.25">
      <c r="A189" s="79"/>
      <c r="B189" s="80"/>
      <c r="C189" s="80"/>
      <c r="D189" s="75"/>
      <c r="E189" s="76"/>
      <c r="F189" s="77"/>
      <c r="G189" s="76"/>
      <c r="H189" s="75"/>
      <c r="I189" s="76"/>
      <c r="J189" s="75"/>
      <c r="K189" s="76"/>
      <c r="L189" s="75"/>
    </row>
    <row r="190" spans="1:12" ht="12.5" x14ac:dyDescent="0.25">
      <c r="A190" s="79"/>
      <c r="B190" s="80"/>
      <c r="C190" s="80"/>
      <c r="D190" s="75"/>
      <c r="E190" s="76"/>
      <c r="F190" s="77"/>
      <c r="G190" s="76"/>
      <c r="H190" s="75"/>
      <c r="I190" s="76"/>
      <c r="J190" s="75"/>
      <c r="K190" s="76"/>
      <c r="L190" s="75"/>
    </row>
    <row r="191" spans="1:12" ht="12.5" x14ac:dyDescent="0.25">
      <c r="A191" s="79"/>
      <c r="B191" s="80"/>
      <c r="C191" s="80"/>
      <c r="D191" s="75"/>
      <c r="E191" s="76"/>
      <c r="F191" s="77"/>
      <c r="G191" s="76"/>
      <c r="H191" s="75"/>
      <c r="I191" s="76"/>
      <c r="J191" s="75"/>
      <c r="K191" s="76"/>
      <c r="L191" s="75"/>
    </row>
    <row r="192" spans="1:12" ht="12.5" x14ac:dyDescent="0.25">
      <c r="A192" s="79"/>
      <c r="B192" s="80"/>
      <c r="C192" s="80"/>
      <c r="D192" s="75"/>
      <c r="E192" s="76"/>
      <c r="F192" s="77"/>
      <c r="G192" s="76"/>
      <c r="H192" s="75"/>
      <c r="I192" s="76"/>
      <c r="J192" s="75"/>
      <c r="K192" s="76"/>
      <c r="L192" s="75"/>
    </row>
    <row r="193" spans="1:12" ht="12.5" x14ac:dyDescent="0.25">
      <c r="A193" s="79"/>
      <c r="B193" s="80"/>
      <c r="C193" s="80"/>
      <c r="D193" s="75"/>
      <c r="E193" s="76"/>
      <c r="F193" s="77"/>
      <c r="G193" s="76"/>
      <c r="H193" s="75"/>
      <c r="I193" s="76"/>
      <c r="J193" s="75"/>
      <c r="K193" s="76"/>
      <c r="L193" s="75"/>
    </row>
    <row r="194" spans="1:12" ht="12.5" x14ac:dyDescent="0.25">
      <c r="A194" s="79"/>
      <c r="B194" s="80"/>
      <c r="C194" s="80"/>
      <c r="D194" s="75"/>
      <c r="E194" s="76"/>
      <c r="F194" s="77"/>
      <c r="G194" s="76"/>
      <c r="H194" s="75"/>
      <c r="I194" s="76"/>
      <c r="J194" s="75"/>
      <c r="K194" s="76"/>
      <c r="L194" s="75"/>
    </row>
    <row r="195" spans="1:12" ht="12.5" x14ac:dyDescent="0.25">
      <c r="A195" s="79"/>
      <c r="B195" s="80"/>
      <c r="C195" s="80"/>
      <c r="D195" s="75"/>
      <c r="E195" s="76"/>
      <c r="F195" s="77"/>
      <c r="G195" s="76"/>
      <c r="H195" s="75"/>
      <c r="I195" s="76"/>
      <c r="J195" s="75"/>
      <c r="K195" s="76"/>
      <c r="L195" s="75"/>
    </row>
    <row r="196" spans="1:12" ht="12.5" x14ac:dyDescent="0.25">
      <c r="A196" s="79"/>
      <c r="B196" s="80"/>
      <c r="C196" s="80"/>
      <c r="D196" s="75"/>
      <c r="E196" s="76"/>
      <c r="F196" s="77"/>
      <c r="G196" s="76"/>
      <c r="H196" s="75"/>
      <c r="I196" s="76"/>
      <c r="J196" s="75"/>
      <c r="K196" s="76"/>
      <c r="L196" s="75"/>
    </row>
    <row r="197" spans="1:12" ht="12.5" x14ac:dyDescent="0.25">
      <c r="A197" s="79"/>
      <c r="B197" s="80"/>
      <c r="C197" s="80"/>
      <c r="D197" s="75"/>
      <c r="E197" s="76"/>
      <c r="F197" s="77"/>
      <c r="G197" s="76"/>
      <c r="H197" s="75"/>
      <c r="I197" s="76"/>
      <c r="J197" s="75"/>
      <c r="K197" s="76"/>
      <c r="L197" s="75"/>
    </row>
    <row r="198" spans="1:12" ht="12.5" x14ac:dyDescent="0.25">
      <c r="A198" s="79"/>
      <c r="B198" s="80"/>
      <c r="C198" s="80"/>
      <c r="D198" s="75"/>
      <c r="E198" s="76"/>
      <c r="F198" s="77"/>
      <c r="G198" s="76"/>
      <c r="H198" s="75"/>
      <c r="I198" s="76"/>
      <c r="J198" s="75"/>
      <c r="K198" s="76"/>
      <c r="L198" s="75"/>
    </row>
    <row r="199" spans="1:12" ht="12.5" x14ac:dyDescent="0.25">
      <c r="A199" s="79"/>
      <c r="B199" s="80"/>
      <c r="C199" s="80"/>
      <c r="D199" s="75"/>
      <c r="E199" s="76"/>
      <c r="F199" s="77"/>
      <c r="G199" s="76"/>
      <c r="H199" s="75"/>
      <c r="I199" s="76"/>
      <c r="J199" s="75"/>
      <c r="K199" s="76"/>
      <c r="L199" s="75"/>
    </row>
    <row r="200" spans="1:12" ht="12.5" x14ac:dyDescent="0.25">
      <c r="A200" s="79"/>
      <c r="B200" s="80"/>
      <c r="C200" s="80"/>
      <c r="D200" s="75"/>
      <c r="E200" s="76"/>
      <c r="F200" s="77"/>
      <c r="G200" s="76"/>
      <c r="H200" s="75"/>
      <c r="I200" s="76"/>
      <c r="J200" s="75"/>
      <c r="K200" s="76"/>
      <c r="L200" s="75"/>
    </row>
    <row r="201" spans="1:12" ht="12.5" x14ac:dyDescent="0.25">
      <c r="A201" s="79"/>
      <c r="B201" s="80"/>
      <c r="C201" s="80"/>
      <c r="D201" s="75"/>
      <c r="E201" s="76"/>
      <c r="F201" s="77"/>
      <c r="G201" s="76"/>
      <c r="H201" s="75"/>
      <c r="I201" s="76"/>
      <c r="J201" s="75"/>
      <c r="K201" s="76"/>
      <c r="L201" s="75"/>
    </row>
    <row r="202" spans="1:12" ht="12.5" x14ac:dyDescent="0.25">
      <c r="A202" s="79"/>
      <c r="B202" s="80"/>
      <c r="C202" s="80"/>
      <c r="D202" s="75"/>
      <c r="E202" s="76"/>
      <c r="F202" s="77"/>
      <c r="G202" s="76"/>
      <c r="H202" s="75"/>
      <c r="I202" s="76"/>
      <c r="J202" s="75"/>
      <c r="K202" s="76"/>
      <c r="L202" s="75"/>
    </row>
    <row r="203" spans="1:12" ht="12.5" x14ac:dyDescent="0.25">
      <c r="A203" s="79"/>
      <c r="B203" s="80"/>
      <c r="C203" s="80"/>
      <c r="D203" s="75"/>
      <c r="E203" s="76"/>
      <c r="F203" s="77"/>
      <c r="G203" s="76"/>
      <c r="H203" s="75"/>
      <c r="I203" s="76"/>
      <c r="J203" s="75"/>
      <c r="K203" s="76"/>
      <c r="L203" s="75"/>
    </row>
    <row r="204" spans="1:12" ht="12.5" x14ac:dyDescent="0.25">
      <c r="A204" s="79"/>
      <c r="B204" s="80"/>
      <c r="C204" s="80"/>
      <c r="D204" s="75"/>
      <c r="E204" s="76"/>
      <c r="F204" s="77"/>
      <c r="G204" s="76"/>
      <c r="H204" s="75"/>
      <c r="I204" s="76"/>
      <c r="J204" s="75"/>
      <c r="K204" s="76"/>
      <c r="L204" s="75"/>
    </row>
    <row r="205" spans="1:12" ht="12.5" x14ac:dyDescent="0.25">
      <c r="A205" s="79"/>
      <c r="B205" s="80"/>
      <c r="C205" s="80"/>
      <c r="D205" s="75"/>
      <c r="E205" s="76"/>
      <c r="F205" s="77"/>
      <c r="G205" s="76"/>
      <c r="H205" s="75"/>
      <c r="I205" s="76"/>
      <c r="J205" s="75"/>
      <c r="K205" s="76"/>
      <c r="L205" s="75"/>
    </row>
    <row r="206" spans="1:12" ht="12.5" x14ac:dyDescent="0.25">
      <c r="A206" s="79"/>
      <c r="B206" s="80"/>
      <c r="C206" s="80"/>
      <c r="D206" s="75"/>
      <c r="E206" s="76"/>
      <c r="F206" s="77"/>
      <c r="G206" s="76"/>
      <c r="H206" s="75"/>
      <c r="I206" s="76"/>
      <c r="J206" s="75"/>
      <c r="K206" s="76"/>
      <c r="L206" s="75"/>
    </row>
    <row r="207" spans="1:12" ht="12.5" x14ac:dyDescent="0.25">
      <c r="A207" s="79"/>
      <c r="B207" s="80"/>
      <c r="C207" s="80"/>
      <c r="D207" s="75"/>
      <c r="E207" s="76"/>
      <c r="F207" s="77"/>
      <c r="G207" s="76"/>
      <c r="H207" s="75"/>
      <c r="I207" s="76"/>
      <c r="J207" s="75"/>
      <c r="K207" s="76"/>
      <c r="L207" s="75"/>
    </row>
    <row r="208" spans="1:12" ht="12.5" x14ac:dyDescent="0.25">
      <c r="A208" s="79"/>
      <c r="B208" s="80"/>
      <c r="C208" s="80"/>
      <c r="D208" s="75"/>
      <c r="E208" s="76"/>
      <c r="F208" s="77"/>
      <c r="G208" s="76"/>
      <c r="H208" s="75"/>
      <c r="I208" s="76"/>
      <c r="J208" s="75"/>
      <c r="K208" s="76"/>
      <c r="L208" s="75"/>
    </row>
    <row r="209" spans="1:12" ht="12.5" x14ac:dyDescent="0.25">
      <c r="A209" s="79"/>
      <c r="B209" s="80"/>
      <c r="C209" s="80"/>
      <c r="D209" s="75"/>
      <c r="E209" s="76"/>
      <c r="F209" s="77"/>
      <c r="G209" s="76"/>
      <c r="H209" s="75"/>
      <c r="I209" s="76"/>
      <c r="J209" s="75"/>
      <c r="K209" s="76"/>
      <c r="L209" s="75"/>
    </row>
    <row r="210" spans="1:12" ht="12.5" x14ac:dyDescent="0.25">
      <c r="A210" s="79"/>
      <c r="B210" s="80"/>
      <c r="C210" s="80"/>
      <c r="D210" s="75"/>
      <c r="E210" s="76"/>
      <c r="F210" s="77"/>
      <c r="G210" s="76"/>
      <c r="H210" s="75"/>
      <c r="I210" s="76"/>
      <c r="J210" s="75"/>
      <c r="K210" s="76"/>
      <c r="L210" s="75"/>
    </row>
    <row r="211" spans="1:12" ht="12.5" x14ac:dyDescent="0.25">
      <c r="A211" s="79"/>
      <c r="B211" s="80"/>
      <c r="C211" s="80"/>
      <c r="D211" s="75"/>
      <c r="E211" s="76"/>
      <c r="F211" s="77"/>
      <c r="G211" s="76"/>
      <c r="H211" s="75"/>
      <c r="I211" s="76"/>
      <c r="J211" s="75"/>
      <c r="K211" s="76"/>
      <c r="L211" s="75"/>
    </row>
    <row r="212" spans="1:12" ht="12.5" x14ac:dyDescent="0.25">
      <c r="A212" s="79"/>
      <c r="B212" s="80"/>
      <c r="C212" s="80"/>
      <c r="D212" s="75"/>
      <c r="E212" s="76"/>
      <c r="F212" s="77"/>
      <c r="G212" s="76"/>
      <c r="H212" s="75"/>
      <c r="I212" s="76"/>
      <c r="J212" s="75"/>
      <c r="K212" s="76"/>
      <c r="L212" s="75"/>
    </row>
    <row r="213" spans="1:12" ht="12.5" x14ac:dyDescent="0.25">
      <c r="A213" s="79"/>
      <c r="B213" s="80"/>
      <c r="C213" s="80"/>
      <c r="D213" s="75"/>
      <c r="E213" s="76"/>
      <c r="F213" s="77"/>
      <c r="G213" s="76"/>
      <c r="H213" s="75"/>
      <c r="I213" s="76"/>
      <c r="J213" s="75"/>
      <c r="K213" s="76"/>
      <c r="L213" s="75"/>
    </row>
    <row r="214" spans="1:12" ht="12.5" x14ac:dyDescent="0.25">
      <c r="A214" s="79"/>
      <c r="B214" s="80"/>
      <c r="C214" s="80"/>
      <c r="D214" s="75"/>
      <c r="E214" s="76"/>
      <c r="F214" s="77"/>
      <c r="G214" s="76"/>
      <c r="H214" s="75"/>
      <c r="I214" s="76"/>
      <c r="J214" s="75"/>
      <c r="K214" s="76"/>
      <c r="L214" s="75"/>
    </row>
    <row r="215" spans="1:12" ht="12.5" x14ac:dyDescent="0.25">
      <c r="A215" s="79"/>
      <c r="B215" s="80"/>
      <c r="C215" s="80"/>
      <c r="D215" s="75"/>
      <c r="E215" s="76"/>
      <c r="F215" s="77"/>
      <c r="G215" s="76"/>
      <c r="H215" s="75"/>
      <c r="I215" s="76"/>
      <c r="J215" s="75"/>
      <c r="K215" s="76"/>
      <c r="L215" s="75"/>
    </row>
    <row r="216" spans="1:12" ht="12.5" x14ac:dyDescent="0.25">
      <c r="A216" s="79"/>
      <c r="B216" s="80"/>
      <c r="C216" s="80"/>
      <c r="D216" s="75"/>
      <c r="E216" s="76"/>
      <c r="F216" s="77"/>
      <c r="G216" s="76"/>
      <c r="H216" s="75"/>
      <c r="I216" s="76"/>
      <c r="J216" s="75"/>
      <c r="K216" s="76"/>
      <c r="L216" s="75"/>
    </row>
    <row r="217" spans="1:12" ht="12.5" x14ac:dyDescent="0.25">
      <c r="A217" s="79"/>
      <c r="B217" s="80"/>
      <c r="C217" s="80"/>
      <c r="D217" s="75"/>
      <c r="E217" s="76"/>
      <c r="F217" s="77"/>
      <c r="G217" s="76"/>
      <c r="H217" s="75"/>
      <c r="I217" s="76"/>
      <c r="J217" s="75"/>
      <c r="K217" s="76"/>
      <c r="L217" s="75"/>
    </row>
    <row r="218" spans="1:12" ht="12.5" x14ac:dyDescent="0.25">
      <c r="A218" s="79"/>
      <c r="B218" s="80"/>
      <c r="C218" s="80"/>
      <c r="D218" s="75"/>
      <c r="E218" s="76"/>
      <c r="F218" s="77"/>
      <c r="G218" s="76"/>
      <c r="H218" s="75"/>
      <c r="I218" s="76"/>
      <c r="J218" s="75"/>
      <c r="K218" s="76"/>
      <c r="L218" s="75"/>
    </row>
    <row r="219" spans="1:12" ht="12.5" x14ac:dyDescent="0.25">
      <c r="A219" s="79"/>
      <c r="B219" s="80"/>
      <c r="C219" s="80"/>
      <c r="D219" s="75"/>
      <c r="E219" s="76"/>
      <c r="F219" s="77"/>
      <c r="G219" s="76"/>
      <c r="H219" s="75"/>
      <c r="I219" s="76"/>
      <c r="J219" s="75"/>
      <c r="K219" s="76"/>
      <c r="L219" s="75"/>
    </row>
    <row r="220" spans="1:12" ht="12.5" x14ac:dyDescent="0.25">
      <c r="A220" s="79"/>
      <c r="B220" s="80"/>
      <c r="C220" s="80"/>
      <c r="D220" s="75"/>
      <c r="E220" s="76"/>
      <c r="F220" s="77"/>
      <c r="G220" s="76"/>
      <c r="H220" s="75"/>
      <c r="I220" s="76"/>
      <c r="J220" s="75"/>
      <c r="K220" s="76"/>
      <c r="L220" s="75"/>
    </row>
    <row r="221" spans="1:12" ht="12.5" x14ac:dyDescent="0.25">
      <c r="A221" s="79"/>
      <c r="B221" s="80"/>
      <c r="C221" s="80"/>
      <c r="D221" s="75"/>
      <c r="E221" s="76"/>
      <c r="F221" s="77"/>
      <c r="G221" s="76"/>
      <c r="H221" s="75"/>
      <c r="I221" s="76"/>
      <c r="J221" s="75"/>
      <c r="K221" s="76"/>
      <c r="L221" s="75"/>
    </row>
    <row r="222" spans="1:12" ht="12.5" x14ac:dyDescent="0.25">
      <c r="A222" s="79"/>
      <c r="B222" s="80"/>
      <c r="C222" s="80"/>
      <c r="D222" s="75"/>
      <c r="E222" s="76"/>
      <c r="F222" s="77"/>
      <c r="G222" s="76"/>
      <c r="H222" s="75"/>
      <c r="I222" s="76"/>
      <c r="J222" s="75"/>
      <c r="K222" s="76"/>
      <c r="L222" s="75"/>
    </row>
    <row r="223" spans="1:12" ht="12.5" x14ac:dyDescent="0.25">
      <c r="A223" s="79"/>
      <c r="B223" s="80"/>
      <c r="C223" s="80"/>
      <c r="D223" s="75"/>
      <c r="E223" s="76"/>
      <c r="F223" s="77"/>
      <c r="G223" s="76"/>
      <c r="H223" s="75"/>
      <c r="I223" s="76"/>
      <c r="J223" s="75"/>
      <c r="K223" s="76"/>
      <c r="L223" s="75"/>
    </row>
    <row r="224" spans="1:12" ht="12.5" x14ac:dyDescent="0.25">
      <c r="A224" s="79"/>
      <c r="B224" s="80"/>
      <c r="C224" s="80"/>
      <c r="D224" s="75"/>
      <c r="E224" s="76"/>
      <c r="F224" s="77"/>
      <c r="G224" s="76"/>
      <c r="H224" s="75"/>
      <c r="I224" s="76"/>
      <c r="J224" s="75"/>
      <c r="K224" s="76"/>
      <c r="L224" s="75"/>
    </row>
    <row r="225" spans="1:12" ht="12.5" x14ac:dyDescent="0.25">
      <c r="A225" s="79"/>
      <c r="B225" s="80"/>
      <c r="C225" s="80"/>
      <c r="D225" s="75"/>
      <c r="E225" s="76"/>
      <c r="F225" s="77"/>
      <c r="G225" s="76"/>
      <c r="H225" s="75"/>
      <c r="I225" s="76"/>
      <c r="J225" s="75"/>
      <c r="K225" s="76"/>
      <c r="L225" s="75"/>
    </row>
    <row r="226" spans="1:12" ht="12.5" x14ac:dyDescent="0.25">
      <c r="A226" s="79"/>
      <c r="B226" s="80"/>
      <c r="C226" s="80"/>
      <c r="D226" s="75"/>
      <c r="E226" s="76"/>
      <c r="F226" s="77"/>
      <c r="G226" s="76"/>
      <c r="H226" s="75"/>
      <c r="I226" s="76"/>
      <c r="J226" s="75"/>
      <c r="K226" s="76"/>
      <c r="L226" s="75"/>
    </row>
    <row r="227" spans="1:12" ht="12.5" x14ac:dyDescent="0.25">
      <c r="A227" s="79"/>
      <c r="B227" s="80"/>
      <c r="C227" s="80"/>
      <c r="D227" s="75"/>
      <c r="E227" s="76"/>
      <c r="F227" s="77"/>
      <c r="G227" s="76"/>
      <c r="H227" s="75"/>
      <c r="I227" s="76"/>
      <c r="J227" s="75"/>
      <c r="K227" s="76"/>
      <c r="L227" s="75"/>
    </row>
    <row r="228" spans="1:12" ht="12.5" x14ac:dyDescent="0.25">
      <c r="A228" s="79"/>
      <c r="B228" s="80"/>
      <c r="C228" s="80"/>
      <c r="D228" s="75"/>
      <c r="E228" s="76"/>
      <c r="F228" s="77"/>
      <c r="G228" s="76"/>
      <c r="H228" s="75"/>
      <c r="I228" s="76"/>
      <c r="J228" s="75"/>
      <c r="K228" s="76"/>
      <c r="L228" s="75"/>
    </row>
    <row r="229" spans="1:12" ht="12.5" x14ac:dyDescent="0.25">
      <c r="A229" s="79"/>
      <c r="B229" s="80"/>
      <c r="C229" s="80"/>
      <c r="D229" s="75"/>
      <c r="E229" s="76"/>
      <c r="F229" s="77"/>
      <c r="G229" s="76"/>
      <c r="H229" s="75"/>
      <c r="I229" s="76"/>
      <c r="J229" s="75"/>
      <c r="K229" s="76"/>
      <c r="L229" s="75"/>
    </row>
    <row r="230" spans="1:12" ht="12.5" x14ac:dyDescent="0.25">
      <c r="A230" s="79"/>
      <c r="B230" s="80"/>
      <c r="C230" s="80"/>
      <c r="D230" s="75"/>
      <c r="E230" s="76"/>
      <c r="F230" s="77"/>
      <c r="G230" s="76"/>
      <c r="H230" s="75"/>
      <c r="I230" s="76"/>
      <c r="J230" s="75"/>
      <c r="K230" s="76"/>
      <c r="L230" s="75"/>
    </row>
    <row r="231" spans="1:12" ht="12.5" x14ac:dyDescent="0.25">
      <c r="A231" s="79"/>
      <c r="B231" s="80"/>
      <c r="C231" s="80"/>
      <c r="D231" s="75"/>
      <c r="E231" s="76"/>
      <c r="F231" s="77"/>
      <c r="G231" s="76"/>
      <c r="H231" s="75"/>
      <c r="I231" s="76"/>
      <c r="J231" s="75"/>
      <c r="K231" s="76"/>
      <c r="L231" s="75"/>
    </row>
    <row r="232" spans="1:12" ht="12.5" x14ac:dyDescent="0.25">
      <c r="A232" s="79"/>
      <c r="B232" s="80"/>
      <c r="C232" s="80"/>
      <c r="D232" s="75"/>
      <c r="E232" s="76"/>
      <c r="F232" s="77"/>
      <c r="G232" s="76"/>
      <c r="H232" s="75"/>
      <c r="I232" s="76"/>
      <c r="J232" s="75"/>
      <c r="K232" s="76"/>
      <c r="L232" s="75"/>
    </row>
    <row r="233" spans="1:12" ht="12.5" x14ac:dyDescent="0.25">
      <c r="A233" s="79"/>
      <c r="B233" s="80"/>
      <c r="C233" s="80"/>
      <c r="D233" s="75"/>
      <c r="E233" s="76"/>
      <c r="F233" s="77"/>
      <c r="G233" s="76"/>
      <c r="H233" s="75"/>
      <c r="I233" s="76"/>
      <c r="J233" s="75"/>
      <c r="K233" s="76"/>
      <c r="L233" s="75"/>
    </row>
    <row r="234" spans="1:12" ht="12.5" x14ac:dyDescent="0.25">
      <c r="A234" s="79"/>
      <c r="B234" s="80"/>
      <c r="C234" s="80"/>
      <c r="D234" s="75"/>
      <c r="E234" s="76"/>
      <c r="F234" s="77"/>
      <c r="G234" s="76"/>
      <c r="H234" s="75"/>
      <c r="I234" s="76"/>
      <c r="J234" s="75"/>
      <c r="K234" s="76"/>
      <c r="L234" s="75"/>
    </row>
    <row r="235" spans="1:12" ht="12.5" x14ac:dyDescent="0.25">
      <c r="A235" s="79"/>
      <c r="B235" s="80"/>
      <c r="C235" s="80"/>
      <c r="D235" s="75"/>
      <c r="E235" s="76"/>
      <c r="F235" s="77"/>
      <c r="G235" s="76"/>
      <c r="H235" s="75"/>
      <c r="I235" s="76"/>
      <c r="J235" s="75"/>
      <c r="K235" s="76"/>
      <c r="L235" s="75"/>
    </row>
    <row r="236" spans="1:12" ht="12.5" x14ac:dyDescent="0.25">
      <c r="A236" s="79"/>
      <c r="B236" s="80"/>
      <c r="C236" s="80"/>
      <c r="D236" s="75"/>
      <c r="E236" s="76"/>
      <c r="F236" s="77"/>
      <c r="G236" s="76"/>
      <c r="H236" s="75"/>
      <c r="I236" s="76"/>
      <c r="J236" s="75"/>
      <c r="K236" s="76"/>
      <c r="L236" s="75"/>
    </row>
    <row r="237" spans="1:12" ht="12.5" x14ac:dyDescent="0.25">
      <c r="A237" s="79"/>
      <c r="B237" s="80"/>
      <c r="C237" s="80"/>
      <c r="D237" s="75"/>
      <c r="E237" s="76"/>
      <c r="F237" s="77"/>
      <c r="G237" s="76"/>
      <c r="H237" s="75"/>
      <c r="I237" s="76"/>
      <c r="J237" s="75"/>
      <c r="K237" s="76"/>
      <c r="L237" s="75"/>
    </row>
    <row r="238" spans="1:12" ht="12.5" x14ac:dyDescent="0.25">
      <c r="A238" s="79"/>
      <c r="B238" s="80"/>
      <c r="C238" s="80"/>
      <c r="D238" s="75"/>
      <c r="E238" s="76"/>
      <c r="F238" s="77"/>
      <c r="G238" s="76"/>
      <c r="H238" s="75"/>
      <c r="I238" s="76"/>
      <c r="J238" s="75"/>
      <c r="K238" s="76"/>
      <c r="L238" s="75"/>
    </row>
    <row r="239" spans="1:12" ht="12.5" x14ac:dyDescent="0.25">
      <c r="A239" s="79"/>
      <c r="B239" s="80"/>
      <c r="C239" s="80"/>
      <c r="D239" s="75"/>
      <c r="E239" s="76"/>
      <c r="F239" s="77"/>
      <c r="G239" s="76"/>
      <c r="H239" s="75"/>
      <c r="I239" s="76"/>
      <c r="J239" s="75"/>
      <c r="K239" s="76"/>
      <c r="L239" s="75"/>
    </row>
    <row r="240" spans="1:12" ht="12.5" x14ac:dyDescent="0.25">
      <c r="A240" s="79"/>
      <c r="B240" s="80"/>
      <c r="C240" s="80"/>
      <c r="D240" s="75"/>
      <c r="E240" s="76"/>
      <c r="F240" s="77"/>
      <c r="G240" s="76"/>
      <c r="H240" s="75"/>
      <c r="I240" s="76"/>
      <c r="J240" s="75"/>
      <c r="K240" s="76"/>
      <c r="L240" s="75"/>
    </row>
    <row r="241" spans="1:12" ht="12.5" x14ac:dyDescent="0.25">
      <c r="A241" s="79"/>
      <c r="B241" s="80"/>
      <c r="C241" s="80"/>
      <c r="D241" s="75"/>
      <c r="E241" s="76"/>
      <c r="F241" s="77"/>
      <c r="G241" s="76"/>
      <c r="H241" s="75"/>
      <c r="I241" s="76"/>
      <c r="J241" s="75"/>
      <c r="K241" s="76"/>
      <c r="L241" s="75"/>
    </row>
    <row r="242" spans="1:12" ht="12.5" x14ac:dyDescent="0.25">
      <c r="A242" s="79"/>
      <c r="B242" s="80"/>
      <c r="C242" s="80"/>
      <c r="D242" s="75"/>
      <c r="E242" s="76"/>
      <c r="F242" s="77"/>
      <c r="G242" s="76"/>
      <c r="H242" s="75"/>
      <c r="I242" s="76"/>
      <c r="J242" s="75"/>
      <c r="K242" s="76"/>
      <c r="L242" s="75"/>
    </row>
    <row r="243" spans="1:12" ht="12.5" x14ac:dyDescent="0.25">
      <c r="A243" s="79"/>
      <c r="B243" s="80"/>
      <c r="C243" s="80"/>
      <c r="D243" s="75"/>
      <c r="E243" s="76"/>
      <c r="F243" s="77"/>
      <c r="G243" s="76"/>
      <c r="H243" s="75"/>
      <c r="I243" s="76"/>
      <c r="J243" s="75"/>
      <c r="K243" s="76"/>
      <c r="L243" s="75"/>
    </row>
    <row r="244" spans="1:12" ht="12.5" x14ac:dyDescent="0.25">
      <c r="A244" s="79"/>
      <c r="B244" s="80"/>
      <c r="C244" s="80"/>
      <c r="D244" s="75"/>
      <c r="E244" s="76"/>
      <c r="F244" s="77"/>
      <c r="G244" s="76"/>
      <c r="H244" s="75"/>
      <c r="I244" s="76"/>
      <c r="J244" s="75"/>
      <c r="K244" s="76"/>
      <c r="L244" s="75"/>
    </row>
    <row r="245" spans="1:12" ht="12.5" x14ac:dyDescent="0.25">
      <c r="A245" s="79"/>
      <c r="B245" s="80"/>
      <c r="C245" s="80"/>
      <c r="D245" s="75"/>
      <c r="E245" s="76"/>
      <c r="F245" s="77"/>
      <c r="G245" s="76"/>
      <c r="H245" s="75"/>
      <c r="I245" s="76"/>
      <c r="J245" s="75"/>
      <c r="K245" s="76"/>
      <c r="L245" s="75"/>
    </row>
    <row r="246" spans="1:12" ht="12.5" x14ac:dyDescent="0.25">
      <c r="A246" s="79"/>
      <c r="B246" s="80"/>
      <c r="C246" s="80"/>
      <c r="D246" s="75"/>
      <c r="E246" s="76"/>
      <c r="F246" s="77"/>
      <c r="G246" s="76"/>
      <c r="H246" s="75"/>
      <c r="I246" s="76"/>
      <c r="J246" s="75"/>
      <c r="K246" s="76"/>
      <c r="L246" s="75"/>
    </row>
    <row r="247" spans="1:12" ht="12.5" x14ac:dyDescent="0.25">
      <c r="A247" s="79"/>
      <c r="B247" s="80"/>
      <c r="C247" s="80"/>
      <c r="D247" s="75"/>
      <c r="E247" s="76"/>
      <c r="F247" s="77"/>
      <c r="G247" s="76"/>
      <c r="H247" s="75"/>
      <c r="I247" s="76"/>
      <c r="J247" s="75"/>
      <c r="K247" s="76"/>
      <c r="L247" s="75"/>
    </row>
    <row r="248" spans="1:12" ht="12.5" x14ac:dyDescent="0.25">
      <c r="A248" s="79"/>
      <c r="B248" s="80"/>
      <c r="C248" s="80"/>
      <c r="D248" s="75"/>
      <c r="E248" s="76"/>
      <c r="F248" s="77"/>
      <c r="G248" s="76"/>
      <c r="H248" s="75"/>
      <c r="I248" s="76"/>
      <c r="J248" s="75"/>
      <c r="K248" s="76"/>
      <c r="L248" s="75"/>
    </row>
    <row r="249" spans="1:12" ht="12.5" x14ac:dyDescent="0.25">
      <c r="A249" s="79"/>
      <c r="B249" s="80"/>
      <c r="C249" s="80"/>
      <c r="D249" s="75"/>
      <c r="E249" s="76"/>
      <c r="F249" s="77"/>
      <c r="G249" s="76"/>
      <c r="H249" s="75"/>
      <c r="I249" s="76"/>
      <c r="J249" s="75"/>
      <c r="K249" s="76"/>
      <c r="L249" s="75"/>
    </row>
    <row r="250" spans="1:12" ht="12.5" x14ac:dyDescent="0.25">
      <c r="A250" s="79"/>
      <c r="B250" s="80"/>
      <c r="C250" s="80"/>
      <c r="D250" s="75"/>
      <c r="E250" s="76"/>
      <c r="F250" s="77"/>
      <c r="G250" s="76"/>
      <c r="H250" s="75"/>
      <c r="I250" s="76"/>
      <c r="J250" s="75"/>
      <c r="K250" s="76"/>
      <c r="L250" s="75"/>
    </row>
    <row r="251" spans="1:12" ht="12.5" x14ac:dyDescent="0.25">
      <c r="A251" s="79"/>
      <c r="B251" s="80"/>
      <c r="C251" s="80"/>
      <c r="D251" s="75"/>
      <c r="E251" s="76"/>
      <c r="F251" s="77"/>
      <c r="G251" s="76"/>
      <c r="H251" s="75"/>
      <c r="I251" s="76"/>
      <c r="J251" s="75"/>
      <c r="K251" s="76"/>
      <c r="L251" s="75"/>
    </row>
    <row r="252" spans="1:12" ht="12.5" x14ac:dyDescent="0.25">
      <c r="A252" s="79"/>
      <c r="B252" s="80"/>
      <c r="C252" s="80"/>
      <c r="D252" s="75"/>
      <c r="E252" s="76"/>
      <c r="F252" s="77"/>
      <c r="G252" s="76"/>
      <c r="H252" s="75"/>
      <c r="I252" s="76"/>
      <c r="J252" s="75"/>
      <c r="K252" s="76"/>
      <c r="L252" s="75"/>
    </row>
    <row r="253" spans="1:12" ht="12.5" x14ac:dyDescent="0.25">
      <c r="A253" s="79"/>
      <c r="B253" s="80"/>
      <c r="C253" s="80"/>
      <c r="D253" s="75"/>
      <c r="E253" s="76"/>
      <c r="F253" s="77"/>
      <c r="G253" s="76"/>
      <c r="H253" s="75"/>
      <c r="I253" s="76"/>
      <c r="J253" s="75"/>
      <c r="K253" s="76"/>
      <c r="L253" s="75"/>
    </row>
    <row r="254" spans="1:12" ht="12.5" x14ac:dyDescent="0.25">
      <c r="A254" s="79"/>
      <c r="B254" s="80"/>
      <c r="C254" s="80"/>
      <c r="D254" s="75"/>
      <c r="E254" s="76"/>
      <c r="F254" s="77"/>
      <c r="G254" s="76"/>
      <c r="H254" s="75"/>
      <c r="I254" s="76"/>
      <c r="J254" s="75"/>
      <c r="K254" s="76"/>
      <c r="L254" s="75"/>
    </row>
    <row r="255" spans="1:12" ht="12.5" x14ac:dyDescent="0.25">
      <c r="A255" s="79"/>
      <c r="B255" s="80"/>
      <c r="C255" s="80"/>
      <c r="D255" s="75"/>
      <c r="E255" s="76"/>
      <c r="F255" s="77"/>
      <c r="G255" s="76"/>
      <c r="H255" s="75"/>
      <c r="I255" s="76"/>
      <c r="J255" s="75"/>
      <c r="K255" s="76"/>
      <c r="L255" s="75"/>
    </row>
    <row r="256" spans="1:12" ht="12.5" x14ac:dyDescent="0.25">
      <c r="A256" s="79"/>
      <c r="B256" s="80"/>
      <c r="C256" s="80"/>
      <c r="D256" s="75"/>
      <c r="E256" s="76"/>
      <c r="F256" s="77"/>
      <c r="G256" s="76"/>
      <c r="H256" s="75"/>
      <c r="I256" s="76"/>
      <c r="J256" s="75"/>
      <c r="K256" s="76"/>
      <c r="L256" s="75"/>
    </row>
    <row r="257" spans="1:12" ht="12.5" x14ac:dyDescent="0.25">
      <c r="A257" s="79"/>
      <c r="B257" s="80"/>
      <c r="C257" s="80"/>
      <c r="D257" s="75"/>
      <c r="E257" s="76"/>
      <c r="F257" s="77"/>
      <c r="G257" s="76"/>
      <c r="H257" s="75"/>
      <c r="I257" s="76"/>
      <c r="J257" s="75"/>
      <c r="K257" s="76"/>
      <c r="L257" s="75"/>
    </row>
    <row r="258" spans="1:12" ht="12.5" x14ac:dyDescent="0.25">
      <c r="A258" s="79"/>
      <c r="B258" s="80"/>
      <c r="C258" s="80"/>
      <c r="D258" s="75"/>
      <c r="E258" s="76"/>
      <c r="F258" s="77"/>
      <c r="G258" s="76"/>
      <c r="H258" s="75"/>
      <c r="I258" s="76"/>
      <c r="J258" s="75"/>
      <c r="K258" s="76"/>
      <c r="L258" s="75"/>
    </row>
    <row r="259" spans="1:12" ht="12.5" x14ac:dyDescent="0.25">
      <c r="A259" s="79"/>
      <c r="B259" s="80"/>
      <c r="C259" s="80"/>
      <c r="D259" s="75"/>
      <c r="E259" s="76"/>
      <c r="F259" s="77"/>
      <c r="G259" s="76"/>
      <c r="H259" s="75"/>
      <c r="I259" s="76"/>
      <c r="J259" s="75"/>
      <c r="K259" s="76"/>
      <c r="L259" s="75"/>
    </row>
    <row r="260" spans="1:12" ht="12.5" x14ac:dyDescent="0.25">
      <c r="A260" s="79"/>
      <c r="B260" s="80"/>
      <c r="C260" s="80"/>
      <c r="D260" s="75"/>
      <c r="E260" s="76"/>
      <c r="F260" s="77"/>
      <c r="G260" s="76"/>
      <c r="H260" s="75"/>
      <c r="I260" s="76"/>
      <c r="J260" s="75"/>
      <c r="K260" s="76"/>
      <c r="L260" s="75"/>
    </row>
    <row r="261" spans="1:12" ht="12.5" x14ac:dyDescent="0.25">
      <c r="A261" s="79"/>
      <c r="B261" s="80"/>
      <c r="C261" s="80"/>
      <c r="D261" s="75"/>
      <c r="E261" s="76"/>
      <c r="F261" s="77"/>
      <c r="G261" s="76"/>
      <c r="H261" s="75"/>
      <c r="I261" s="76"/>
      <c r="J261" s="75"/>
      <c r="K261" s="76"/>
      <c r="L261" s="75"/>
    </row>
    <row r="262" spans="1:12" ht="12.5" x14ac:dyDescent="0.25">
      <c r="A262" s="79"/>
      <c r="B262" s="80"/>
      <c r="C262" s="80"/>
      <c r="D262" s="75"/>
      <c r="E262" s="76"/>
      <c r="F262" s="77"/>
      <c r="G262" s="76"/>
      <c r="H262" s="75"/>
      <c r="I262" s="76"/>
      <c r="J262" s="75"/>
      <c r="K262" s="76"/>
      <c r="L262" s="75"/>
    </row>
    <row r="263" spans="1:12" ht="12.5" x14ac:dyDescent="0.25">
      <c r="A263" s="79"/>
      <c r="B263" s="80"/>
      <c r="C263" s="80"/>
      <c r="D263" s="75"/>
      <c r="E263" s="76"/>
      <c r="F263" s="77"/>
      <c r="G263" s="76"/>
      <c r="H263" s="75"/>
      <c r="I263" s="76"/>
      <c r="J263" s="75"/>
      <c r="K263" s="76"/>
      <c r="L263" s="75"/>
    </row>
    <row r="264" spans="1:12" ht="12.5" x14ac:dyDescent="0.25">
      <c r="A264" s="79"/>
      <c r="B264" s="80"/>
      <c r="C264" s="80"/>
      <c r="D264" s="75"/>
      <c r="E264" s="76"/>
      <c r="F264" s="77"/>
      <c r="G264" s="76"/>
      <c r="H264" s="75"/>
      <c r="I264" s="76"/>
      <c r="J264" s="75"/>
      <c r="K264" s="76"/>
      <c r="L264" s="75"/>
    </row>
    <row r="265" spans="1:12" ht="12.5" x14ac:dyDescent="0.25">
      <c r="A265" s="79"/>
      <c r="B265" s="80"/>
      <c r="C265" s="80"/>
      <c r="D265" s="75"/>
      <c r="E265" s="76"/>
      <c r="F265" s="77"/>
      <c r="G265" s="76"/>
      <c r="H265" s="75"/>
      <c r="I265" s="76"/>
      <c r="J265" s="75"/>
      <c r="K265" s="76"/>
      <c r="L265" s="75"/>
    </row>
    <row r="266" spans="1:12" ht="12.5" x14ac:dyDescent="0.25">
      <c r="A266" s="79"/>
      <c r="B266" s="80"/>
      <c r="C266" s="80"/>
      <c r="D266" s="75"/>
      <c r="E266" s="76"/>
      <c r="F266" s="77"/>
      <c r="G266" s="76"/>
      <c r="H266" s="75"/>
      <c r="I266" s="76"/>
      <c r="J266" s="75"/>
      <c r="K266" s="76"/>
      <c r="L266" s="75"/>
    </row>
    <row r="267" spans="1:12" ht="12.5" x14ac:dyDescent="0.25">
      <c r="A267" s="79"/>
      <c r="B267" s="80"/>
      <c r="C267" s="80"/>
      <c r="D267" s="75"/>
      <c r="E267" s="76"/>
      <c r="F267" s="77"/>
      <c r="G267" s="76"/>
      <c r="H267" s="75"/>
      <c r="I267" s="76"/>
      <c r="J267" s="75"/>
      <c r="K267" s="76"/>
      <c r="L267" s="75"/>
    </row>
    <row r="268" spans="1:12" ht="12.5" x14ac:dyDescent="0.25">
      <c r="A268" s="79"/>
      <c r="B268" s="80"/>
      <c r="C268" s="80"/>
      <c r="D268" s="75"/>
      <c r="E268" s="76"/>
      <c r="F268" s="77"/>
      <c r="G268" s="76"/>
      <c r="H268" s="75"/>
      <c r="I268" s="76"/>
      <c r="J268" s="75"/>
      <c r="K268" s="76"/>
      <c r="L268" s="75"/>
    </row>
    <row r="269" spans="1:12" ht="12.5" x14ac:dyDescent="0.25">
      <c r="A269" s="79"/>
      <c r="B269" s="80"/>
      <c r="C269" s="80"/>
      <c r="D269" s="75"/>
      <c r="E269" s="76"/>
      <c r="F269" s="77"/>
      <c r="G269" s="76"/>
      <c r="H269" s="75"/>
      <c r="I269" s="76"/>
      <c r="J269" s="75"/>
      <c r="K269" s="76"/>
      <c r="L269" s="75"/>
    </row>
    <row r="270" spans="1:12" ht="12.5" x14ac:dyDescent="0.25">
      <c r="A270" s="79"/>
      <c r="B270" s="80"/>
      <c r="C270" s="80"/>
      <c r="D270" s="75"/>
      <c r="E270" s="76"/>
      <c r="F270" s="77"/>
      <c r="G270" s="76"/>
      <c r="H270" s="75"/>
      <c r="I270" s="76"/>
      <c r="J270" s="75"/>
      <c r="K270" s="76"/>
      <c r="L270" s="75"/>
    </row>
    <row r="271" spans="1:12" ht="12.5" x14ac:dyDescent="0.25">
      <c r="A271" s="79"/>
      <c r="B271" s="80"/>
      <c r="C271" s="80"/>
      <c r="D271" s="75"/>
      <c r="E271" s="76"/>
      <c r="F271" s="77"/>
      <c r="G271" s="76"/>
      <c r="H271" s="75"/>
      <c r="I271" s="76"/>
      <c r="J271" s="75"/>
      <c r="K271" s="76"/>
      <c r="L271" s="75"/>
    </row>
    <row r="272" spans="1:12" ht="12.5" x14ac:dyDescent="0.25">
      <c r="A272" s="79"/>
      <c r="B272" s="80"/>
      <c r="C272" s="80"/>
      <c r="D272" s="75"/>
      <c r="E272" s="76"/>
      <c r="F272" s="77"/>
      <c r="G272" s="76"/>
      <c r="H272" s="75"/>
      <c r="I272" s="76"/>
      <c r="J272" s="75"/>
      <c r="K272" s="76"/>
      <c r="L272" s="75"/>
    </row>
    <row r="273" spans="1:12" ht="12.5" x14ac:dyDescent="0.25">
      <c r="A273" s="79"/>
      <c r="B273" s="80"/>
      <c r="C273" s="80"/>
      <c r="D273" s="75"/>
      <c r="E273" s="76"/>
      <c r="F273" s="77"/>
      <c r="G273" s="76"/>
      <c r="H273" s="75"/>
      <c r="I273" s="76"/>
      <c r="J273" s="75"/>
      <c r="K273" s="76"/>
      <c r="L273" s="75"/>
    </row>
    <row r="274" spans="1:12" ht="12.5" x14ac:dyDescent="0.25">
      <c r="A274" s="79"/>
      <c r="B274" s="80"/>
      <c r="C274" s="80"/>
      <c r="D274" s="75"/>
      <c r="E274" s="76"/>
      <c r="F274" s="77"/>
      <c r="G274" s="76"/>
      <c r="H274" s="75"/>
      <c r="I274" s="76"/>
      <c r="J274" s="75"/>
      <c r="K274" s="76"/>
      <c r="L274" s="75"/>
    </row>
    <row r="275" spans="1:12" ht="12.5" x14ac:dyDescent="0.25">
      <c r="A275" s="79"/>
      <c r="B275" s="80"/>
      <c r="C275" s="80"/>
      <c r="D275" s="75"/>
      <c r="E275" s="76"/>
      <c r="F275" s="77"/>
      <c r="G275" s="76"/>
      <c r="H275" s="75"/>
      <c r="I275" s="76"/>
      <c r="J275" s="75"/>
      <c r="K275" s="76"/>
      <c r="L275" s="75"/>
    </row>
    <row r="276" spans="1:12" ht="12.5" x14ac:dyDescent="0.25">
      <c r="A276" s="79"/>
      <c r="B276" s="80"/>
      <c r="C276" s="80"/>
      <c r="D276" s="75"/>
      <c r="E276" s="76"/>
      <c r="F276" s="77"/>
      <c r="G276" s="76"/>
      <c r="H276" s="75"/>
      <c r="I276" s="76"/>
      <c r="J276" s="75"/>
      <c r="K276" s="76"/>
      <c r="L276" s="75"/>
    </row>
    <row r="277" spans="1:12" ht="12.5" x14ac:dyDescent="0.25">
      <c r="A277" s="79"/>
      <c r="B277" s="80"/>
      <c r="C277" s="80"/>
      <c r="D277" s="75"/>
      <c r="E277" s="76"/>
      <c r="F277" s="77"/>
      <c r="G277" s="76"/>
      <c r="H277" s="75"/>
      <c r="I277" s="76"/>
      <c r="J277" s="75"/>
      <c r="K277" s="76"/>
      <c r="L277" s="75"/>
    </row>
    <row r="278" spans="1:12" ht="12.5" x14ac:dyDescent="0.25">
      <c r="A278" s="79"/>
      <c r="B278" s="80"/>
      <c r="C278" s="80"/>
      <c r="D278" s="75"/>
      <c r="E278" s="76"/>
      <c r="F278" s="77"/>
      <c r="G278" s="76"/>
      <c r="H278" s="75"/>
      <c r="I278" s="76"/>
      <c r="J278" s="75"/>
      <c r="K278" s="76"/>
      <c r="L278" s="75"/>
    </row>
    <row r="279" spans="1:12" ht="12.5" x14ac:dyDescent="0.25">
      <c r="A279" s="79"/>
      <c r="B279" s="80"/>
      <c r="C279" s="80"/>
      <c r="D279" s="75"/>
      <c r="E279" s="76"/>
      <c r="F279" s="77"/>
      <c r="G279" s="76"/>
      <c r="H279" s="75"/>
      <c r="I279" s="76"/>
      <c r="J279" s="75"/>
      <c r="K279" s="76"/>
      <c r="L279" s="75"/>
    </row>
    <row r="280" spans="1:12" ht="12.5" x14ac:dyDescent="0.25">
      <c r="A280" s="79"/>
      <c r="B280" s="80"/>
      <c r="C280" s="80"/>
      <c r="D280" s="75"/>
      <c r="E280" s="76"/>
      <c r="F280" s="77"/>
      <c r="G280" s="76"/>
      <c r="H280" s="75"/>
      <c r="I280" s="76"/>
      <c r="J280" s="75"/>
      <c r="K280" s="76"/>
      <c r="L280" s="75"/>
    </row>
    <row r="281" spans="1:12" ht="12.5" x14ac:dyDescent="0.25">
      <c r="A281" s="79"/>
      <c r="B281" s="80"/>
      <c r="C281" s="80"/>
      <c r="D281" s="75"/>
      <c r="E281" s="76"/>
      <c r="F281" s="77"/>
      <c r="G281" s="76"/>
      <c r="H281" s="75"/>
      <c r="I281" s="76"/>
      <c r="J281" s="75"/>
      <c r="K281" s="76"/>
      <c r="L281" s="75"/>
    </row>
    <row r="282" spans="1:12" ht="12.5" x14ac:dyDescent="0.25">
      <c r="A282" s="79"/>
      <c r="B282" s="80"/>
      <c r="C282" s="80"/>
      <c r="D282" s="75"/>
      <c r="E282" s="76"/>
      <c r="F282" s="77"/>
      <c r="G282" s="76"/>
      <c r="H282" s="75"/>
      <c r="I282" s="76"/>
      <c r="J282" s="75"/>
      <c r="K282" s="76"/>
      <c r="L282" s="75"/>
    </row>
    <row r="283" spans="1:12" ht="12.5" x14ac:dyDescent="0.25">
      <c r="A283" s="79"/>
      <c r="B283" s="80"/>
      <c r="C283" s="80"/>
      <c r="D283" s="75"/>
      <c r="E283" s="76"/>
      <c r="F283" s="77"/>
      <c r="G283" s="76"/>
      <c r="H283" s="75"/>
      <c r="I283" s="76"/>
      <c r="J283" s="75"/>
      <c r="K283" s="76"/>
      <c r="L283" s="75"/>
    </row>
    <row r="284" spans="1:12" ht="12.5" x14ac:dyDescent="0.25">
      <c r="A284" s="79"/>
      <c r="B284" s="80"/>
      <c r="C284" s="80"/>
      <c r="D284" s="75"/>
      <c r="E284" s="76"/>
      <c r="F284" s="77"/>
      <c r="G284" s="76"/>
      <c r="H284" s="75"/>
      <c r="I284" s="76"/>
      <c r="J284" s="75"/>
      <c r="K284" s="76"/>
      <c r="L284" s="75"/>
    </row>
    <row r="285" spans="1:12" ht="12.5" x14ac:dyDescent="0.25">
      <c r="A285" s="79"/>
      <c r="B285" s="80"/>
      <c r="C285" s="80"/>
      <c r="D285" s="75"/>
      <c r="E285" s="76"/>
      <c r="F285" s="77"/>
      <c r="G285" s="76"/>
      <c r="H285" s="75"/>
      <c r="I285" s="76"/>
      <c r="J285" s="75"/>
      <c r="K285" s="76"/>
      <c r="L285" s="75"/>
    </row>
    <row r="286" spans="1:12" ht="12.5" x14ac:dyDescent="0.25">
      <c r="A286" s="79"/>
      <c r="B286" s="80"/>
      <c r="C286" s="80"/>
      <c r="D286" s="75"/>
      <c r="E286" s="76"/>
      <c r="F286" s="77"/>
      <c r="G286" s="76"/>
      <c r="H286" s="75"/>
      <c r="I286" s="76"/>
      <c r="J286" s="75"/>
      <c r="K286" s="76"/>
      <c r="L286" s="75"/>
    </row>
    <row r="287" spans="1:12" ht="12.5" x14ac:dyDescent="0.25">
      <c r="A287" s="79"/>
      <c r="B287" s="80"/>
      <c r="C287" s="80"/>
      <c r="D287" s="75"/>
      <c r="E287" s="76"/>
      <c r="F287" s="77"/>
      <c r="G287" s="76"/>
      <c r="H287" s="75"/>
      <c r="I287" s="76"/>
      <c r="J287" s="75"/>
      <c r="K287" s="76"/>
      <c r="L287" s="75"/>
    </row>
    <row r="288" spans="1:12" ht="12.5" x14ac:dyDescent="0.25">
      <c r="A288" s="79"/>
      <c r="B288" s="80"/>
      <c r="C288" s="80"/>
      <c r="D288" s="75"/>
      <c r="E288" s="76"/>
      <c r="F288" s="77"/>
      <c r="G288" s="76"/>
      <c r="H288" s="75"/>
      <c r="I288" s="76"/>
      <c r="J288" s="75"/>
      <c r="K288" s="76"/>
      <c r="L288" s="75"/>
    </row>
    <row r="289" spans="1:12" ht="12.5" x14ac:dyDescent="0.25">
      <c r="A289" s="79"/>
      <c r="B289" s="80"/>
      <c r="C289" s="80"/>
      <c r="D289" s="75"/>
      <c r="E289" s="76"/>
      <c r="F289" s="77"/>
      <c r="G289" s="76"/>
      <c r="H289" s="75"/>
      <c r="I289" s="76"/>
      <c r="J289" s="75"/>
      <c r="K289" s="76"/>
      <c r="L289" s="75"/>
    </row>
    <row r="290" spans="1:12" ht="12.5" x14ac:dyDescent="0.25">
      <c r="A290" s="79"/>
      <c r="B290" s="80"/>
      <c r="C290" s="80"/>
      <c r="D290" s="75"/>
      <c r="E290" s="76"/>
      <c r="F290" s="77"/>
      <c r="G290" s="76"/>
      <c r="H290" s="75"/>
      <c r="I290" s="76"/>
      <c r="J290" s="75"/>
      <c r="K290" s="76"/>
      <c r="L290" s="75"/>
    </row>
    <row r="291" spans="1:12" ht="12.5" x14ac:dyDescent="0.25">
      <c r="A291" s="79"/>
      <c r="B291" s="80"/>
      <c r="C291" s="80"/>
      <c r="D291" s="75"/>
      <c r="E291" s="76"/>
      <c r="F291" s="77"/>
      <c r="G291" s="76"/>
      <c r="H291" s="75"/>
      <c r="I291" s="76"/>
      <c r="J291" s="75"/>
      <c r="K291" s="76"/>
      <c r="L291" s="75"/>
    </row>
    <row r="292" spans="1:12" ht="12.5" x14ac:dyDescent="0.25">
      <c r="A292" s="79"/>
      <c r="B292" s="80"/>
      <c r="C292" s="80"/>
      <c r="D292" s="75"/>
      <c r="E292" s="76"/>
      <c r="F292" s="77"/>
      <c r="G292" s="76"/>
      <c r="H292" s="75"/>
      <c r="I292" s="76"/>
      <c r="J292" s="75"/>
      <c r="K292" s="76"/>
      <c r="L292" s="75"/>
    </row>
    <row r="293" spans="1:12" ht="12.5" x14ac:dyDescent="0.25">
      <c r="A293" s="79"/>
      <c r="B293" s="80"/>
      <c r="C293" s="80"/>
      <c r="D293" s="75"/>
      <c r="E293" s="76"/>
      <c r="F293" s="77"/>
      <c r="G293" s="76"/>
      <c r="H293" s="75"/>
      <c r="I293" s="76"/>
      <c r="J293" s="75"/>
      <c r="K293" s="76"/>
      <c r="L293" s="75"/>
    </row>
    <row r="294" spans="1:12" ht="12.5" x14ac:dyDescent="0.25">
      <c r="A294" s="79"/>
      <c r="B294" s="80"/>
      <c r="C294" s="80"/>
      <c r="D294" s="75"/>
      <c r="E294" s="76"/>
      <c r="F294" s="77"/>
      <c r="G294" s="76"/>
      <c r="H294" s="75"/>
      <c r="I294" s="76"/>
      <c r="J294" s="75"/>
      <c r="K294" s="76"/>
      <c r="L294" s="75"/>
    </row>
    <row r="295" spans="1:12" ht="12.5" x14ac:dyDescent="0.25">
      <c r="A295" s="79"/>
      <c r="B295" s="80"/>
      <c r="C295" s="80"/>
      <c r="D295" s="75"/>
      <c r="E295" s="76"/>
      <c r="F295" s="77"/>
      <c r="G295" s="76"/>
      <c r="H295" s="75"/>
      <c r="I295" s="76"/>
      <c r="J295" s="75"/>
      <c r="K295" s="76"/>
      <c r="L295" s="75"/>
    </row>
    <row r="296" spans="1:12" ht="12.5" x14ac:dyDescent="0.25">
      <c r="A296" s="79"/>
      <c r="B296" s="80"/>
      <c r="C296" s="80"/>
      <c r="D296" s="75"/>
      <c r="E296" s="76"/>
      <c r="F296" s="77"/>
      <c r="G296" s="76"/>
      <c r="H296" s="75"/>
      <c r="I296" s="76"/>
      <c r="J296" s="75"/>
      <c r="K296" s="76"/>
      <c r="L296" s="75"/>
    </row>
    <row r="297" spans="1:12" ht="12.5" x14ac:dyDescent="0.25">
      <c r="A297" s="79"/>
      <c r="B297" s="80"/>
      <c r="C297" s="80"/>
      <c r="D297" s="75"/>
      <c r="E297" s="76"/>
      <c r="F297" s="77"/>
      <c r="G297" s="76"/>
      <c r="H297" s="75"/>
      <c r="I297" s="76"/>
      <c r="J297" s="75"/>
      <c r="K297" s="76"/>
      <c r="L297" s="75"/>
    </row>
    <row r="298" spans="1:12" ht="12.5" x14ac:dyDescent="0.25">
      <c r="A298" s="79"/>
      <c r="B298" s="80"/>
      <c r="C298" s="80"/>
      <c r="D298" s="75"/>
      <c r="E298" s="76"/>
      <c r="F298" s="77"/>
      <c r="G298" s="76"/>
      <c r="H298" s="75"/>
      <c r="I298" s="76"/>
      <c r="J298" s="75"/>
      <c r="K298" s="76"/>
      <c r="L298" s="75"/>
    </row>
    <row r="299" spans="1:12" ht="12.5" x14ac:dyDescent="0.25">
      <c r="A299" s="79"/>
      <c r="B299" s="80"/>
      <c r="C299" s="80"/>
      <c r="D299" s="75"/>
      <c r="E299" s="76"/>
      <c r="F299" s="77"/>
      <c r="G299" s="76"/>
      <c r="H299" s="75"/>
      <c r="I299" s="76"/>
      <c r="J299" s="75"/>
      <c r="K299" s="76"/>
      <c r="L299" s="75"/>
    </row>
    <row r="300" spans="1:12" ht="12.5" x14ac:dyDescent="0.25">
      <c r="A300" s="79"/>
      <c r="B300" s="80"/>
      <c r="C300" s="80"/>
      <c r="D300" s="75"/>
      <c r="E300" s="76"/>
      <c r="F300" s="77"/>
      <c r="G300" s="76"/>
      <c r="H300" s="75"/>
      <c r="I300" s="76"/>
      <c r="J300" s="75"/>
      <c r="K300" s="76"/>
      <c r="L300" s="75"/>
    </row>
    <row r="301" spans="1:12" ht="12.5" x14ac:dyDescent="0.25">
      <c r="A301" s="79"/>
      <c r="B301" s="80"/>
      <c r="C301" s="80"/>
      <c r="D301" s="75"/>
      <c r="E301" s="76"/>
      <c r="F301" s="77"/>
      <c r="G301" s="76"/>
      <c r="H301" s="75"/>
      <c r="I301" s="76"/>
      <c r="J301" s="75"/>
      <c r="K301" s="76"/>
      <c r="L301" s="75"/>
    </row>
    <row r="302" spans="1:12" ht="12.5" x14ac:dyDescent="0.25">
      <c r="A302" s="79"/>
      <c r="B302" s="80"/>
      <c r="C302" s="80"/>
      <c r="D302" s="75"/>
      <c r="E302" s="76"/>
      <c r="F302" s="77"/>
      <c r="G302" s="76"/>
      <c r="H302" s="75"/>
      <c r="I302" s="76"/>
      <c r="J302" s="75"/>
      <c r="K302" s="76"/>
      <c r="L302" s="75"/>
    </row>
    <row r="303" spans="1:12" ht="12.5" x14ac:dyDescent="0.25">
      <c r="A303" s="79"/>
      <c r="B303" s="80"/>
      <c r="C303" s="80"/>
      <c r="D303" s="75"/>
      <c r="E303" s="76"/>
      <c r="F303" s="77"/>
      <c r="G303" s="76"/>
      <c r="H303" s="75"/>
      <c r="I303" s="76"/>
      <c r="J303" s="75"/>
      <c r="K303" s="76"/>
      <c r="L303" s="75"/>
    </row>
    <row r="304" spans="1:12" ht="12.5" x14ac:dyDescent="0.25">
      <c r="A304" s="79"/>
      <c r="B304" s="80"/>
      <c r="C304" s="80"/>
      <c r="D304" s="75"/>
      <c r="E304" s="76"/>
      <c r="F304" s="77"/>
      <c r="G304" s="76"/>
      <c r="H304" s="75"/>
      <c r="I304" s="76"/>
      <c r="J304" s="75"/>
      <c r="K304" s="76"/>
      <c r="L304" s="75"/>
    </row>
    <row r="305" spans="1:12" ht="12.5" x14ac:dyDescent="0.25">
      <c r="A305" s="79"/>
      <c r="B305" s="80"/>
      <c r="C305" s="80"/>
      <c r="D305" s="75"/>
      <c r="E305" s="76"/>
      <c r="F305" s="77"/>
      <c r="G305" s="76"/>
      <c r="H305" s="75"/>
      <c r="I305" s="76"/>
      <c r="J305" s="75"/>
      <c r="K305" s="76"/>
      <c r="L305" s="75"/>
    </row>
    <row r="306" spans="1:12" ht="12.5" x14ac:dyDescent="0.25">
      <c r="A306" s="79"/>
      <c r="B306" s="80"/>
      <c r="C306" s="80"/>
      <c r="D306" s="75"/>
      <c r="E306" s="76"/>
      <c r="F306" s="77"/>
      <c r="G306" s="76"/>
      <c r="H306" s="75"/>
      <c r="I306" s="76"/>
      <c r="J306" s="75"/>
      <c r="K306" s="76"/>
      <c r="L306" s="75"/>
    </row>
    <row r="307" spans="1:12" ht="12.5" x14ac:dyDescent="0.25">
      <c r="A307" s="79"/>
      <c r="B307" s="80"/>
      <c r="C307" s="80"/>
      <c r="D307" s="75"/>
      <c r="E307" s="76"/>
      <c r="F307" s="77"/>
      <c r="G307" s="76"/>
      <c r="H307" s="75"/>
      <c r="I307" s="76"/>
      <c r="J307" s="75"/>
      <c r="K307" s="76"/>
      <c r="L307" s="75"/>
    </row>
    <row r="308" spans="1:12" ht="12.5" x14ac:dyDescent="0.25">
      <c r="A308" s="79"/>
      <c r="B308" s="80"/>
      <c r="C308" s="80"/>
      <c r="D308" s="75"/>
      <c r="E308" s="76"/>
      <c r="F308" s="77"/>
      <c r="G308" s="76"/>
      <c r="H308" s="75"/>
      <c r="I308" s="76"/>
      <c r="J308" s="75"/>
      <c r="K308" s="76"/>
      <c r="L308" s="75"/>
    </row>
    <row r="309" spans="1:12" ht="12.5" x14ac:dyDescent="0.25">
      <c r="A309" s="79"/>
      <c r="B309" s="80"/>
      <c r="C309" s="80"/>
      <c r="D309" s="75"/>
      <c r="E309" s="76"/>
      <c r="F309" s="77"/>
      <c r="G309" s="76"/>
      <c r="H309" s="75"/>
      <c r="I309" s="76"/>
      <c r="J309" s="75"/>
      <c r="K309" s="76"/>
      <c r="L309" s="75"/>
    </row>
    <row r="310" spans="1:12" ht="12.5" x14ac:dyDescent="0.25">
      <c r="A310" s="79"/>
      <c r="B310" s="80"/>
      <c r="C310" s="80"/>
      <c r="D310" s="75"/>
      <c r="E310" s="76"/>
      <c r="F310" s="77"/>
      <c r="G310" s="76"/>
      <c r="H310" s="75"/>
      <c r="I310" s="76"/>
      <c r="J310" s="75"/>
      <c r="K310" s="76"/>
      <c r="L310" s="75"/>
    </row>
    <row r="311" spans="1:12" ht="12.5" x14ac:dyDescent="0.25">
      <c r="A311" s="79"/>
      <c r="B311" s="80"/>
      <c r="C311" s="80"/>
      <c r="D311" s="75"/>
      <c r="E311" s="76"/>
      <c r="F311" s="77"/>
      <c r="G311" s="76"/>
      <c r="H311" s="75"/>
      <c r="I311" s="76"/>
      <c r="J311" s="75"/>
      <c r="K311" s="76"/>
      <c r="L311" s="75"/>
    </row>
    <row r="312" spans="1:12" ht="12.5" x14ac:dyDescent="0.25">
      <c r="A312" s="79"/>
      <c r="B312" s="80"/>
      <c r="C312" s="80"/>
      <c r="D312" s="75"/>
      <c r="E312" s="76"/>
      <c r="F312" s="77"/>
      <c r="G312" s="76"/>
      <c r="H312" s="75"/>
      <c r="I312" s="76"/>
      <c r="J312" s="75"/>
      <c r="K312" s="76"/>
      <c r="L312" s="75"/>
    </row>
    <row r="313" spans="1:12" ht="12.5" x14ac:dyDescent="0.25">
      <c r="A313" s="79"/>
      <c r="B313" s="80"/>
      <c r="C313" s="80"/>
      <c r="D313" s="75"/>
      <c r="E313" s="76"/>
      <c r="F313" s="77"/>
      <c r="G313" s="76"/>
      <c r="H313" s="75"/>
      <c r="I313" s="76"/>
      <c r="J313" s="75"/>
      <c r="K313" s="76"/>
      <c r="L313" s="75"/>
    </row>
    <row r="314" spans="1:12" ht="12.5" x14ac:dyDescent="0.25">
      <c r="A314" s="79"/>
      <c r="B314" s="80"/>
      <c r="C314" s="80"/>
      <c r="D314" s="75"/>
      <c r="E314" s="76"/>
      <c r="F314" s="77"/>
      <c r="G314" s="76"/>
      <c r="H314" s="75"/>
      <c r="I314" s="76"/>
      <c r="J314" s="75"/>
      <c r="K314" s="76"/>
      <c r="L314" s="75"/>
    </row>
    <row r="315" spans="1:12" ht="12.5" x14ac:dyDescent="0.25">
      <c r="A315" s="79"/>
      <c r="B315" s="80"/>
      <c r="C315" s="80"/>
      <c r="D315" s="75"/>
      <c r="E315" s="76"/>
      <c r="F315" s="77"/>
      <c r="G315" s="76"/>
      <c r="H315" s="75"/>
      <c r="I315" s="76"/>
      <c r="J315" s="75"/>
      <c r="K315" s="76"/>
      <c r="L315" s="75"/>
    </row>
    <row r="316" spans="1:12" ht="12.5" x14ac:dyDescent="0.25">
      <c r="A316" s="79"/>
      <c r="B316" s="80"/>
      <c r="C316" s="80"/>
      <c r="D316" s="75"/>
      <c r="E316" s="76"/>
      <c r="F316" s="77"/>
      <c r="G316" s="76"/>
      <c r="H316" s="75"/>
      <c r="I316" s="76"/>
      <c r="J316" s="75"/>
      <c r="K316" s="76"/>
      <c r="L316" s="75"/>
    </row>
    <row r="317" spans="1:12" ht="12.5" x14ac:dyDescent="0.25">
      <c r="A317" s="79"/>
      <c r="B317" s="80"/>
      <c r="C317" s="80"/>
      <c r="D317" s="75"/>
      <c r="E317" s="76"/>
      <c r="F317" s="77"/>
      <c r="G317" s="76"/>
      <c r="H317" s="75"/>
      <c r="I317" s="76"/>
      <c r="J317" s="75"/>
      <c r="K317" s="76"/>
      <c r="L317" s="75"/>
    </row>
    <row r="318" spans="1:12" ht="12.5" x14ac:dyDescent="0.25">
      <c r="A318" s="79"/>
      <c r="B318" s="80"/>
      <c r="C318" s="80"/>
      <c r="D318" s="75"/>
      <c r="E318" s="76"/>
      <c r="F318" s="77"/>
      <c r="G318" s="76"/>
      <c r="H318" s="75"/>
      <c r="I318" s="76"/>
      <c r="J318" s="75"/>
      <c r="K318" s="76"/>
      <c r="L318" s="75"/>
    </row>
    <row r="319" spans="1:12" ht="12.5" x14ac:dyDescent="0.25">
      <c r="A319" s="79"/>
      <c r="B319" s="80"/>
      <c r="C319" s="80"/>
      <c r="D319" s="75"/>
      <c r="E319" s="76"/>
      <c r="F319" s="77"/>
      <c r="G319" s="76"/>
      <c r="H319" s="75"/>
      <c r="I319" s="76"/>
      <c r="J319" s="75"/>
      <c r="K319" s="76"/>
      <c r="L319" s="75"/>
    </row>
    <row r="320" spans="1:12" ht="12.5" x14ac:dyDescent="0.25">
      <c r="A320" s="79"/>
      <c r="B320" s="80"/>
      <c r="C320" s="80"/>
      <c r="D320" s="75"/>
      <c r="E320" s="76"/>
      <c r="F320" s="77"/>
      <c r="G320" s="76"/>
      <c r="H320" s="75"/>
      <c r="I320" s="76"/>
      <c r="J320" s="75"/>
      <c r="K320" s="76"/>
      <c r="L320" s="75"/>
    </row>
    <row r="321" spans="1:12" ht="12.5" x14ac:dyDescent="0.25">
      <c r="A321" s="79"/>
      <c r="B321" s="80"/>
      <c r="C321" s="80"/>
      <c r="D321" s="75"/>
      <c r="E321" s="76"/>
      <c r="F321" s="77"/>
      <c r="G321" s="76"/>
      <c r="H321" s="75"/>
      <c r="I321" s="76"/>
      <c r="J321" s="75"/>
      <c r="K321" s="76"/>
      <c r="L321" s="75"/>
    </row>
    <row r="322" spans="1:12" ht="12.5" x14ac:dyDescent="0.25">
      <c r="A322" s="79"/>
      <c r="B322" s="80"/>
      <c r="C322" s="80"/>
      <c r="D322" s="75"/>
      <c r="E322" s="76"/>
      <c r="F322" s="77"/>
      <c r="G322" s="76"/>
      <c r="H322" s="75"/>
      <c r="I322" s="76"/>
      <c r="J322" s="75"/>
      <c r="K322" s="76"/>
      <c r="L322" s="75"/>
    </row>
    <row r="323" spans="1:12" ht="12.5" x14ac:dyDescent="0.25">
      <c r="A323" s="79"/>
      <c r="B323" s="80"/>
      <c r="C323" s="80"/>
      <c r="D323" s="75"/>
      <c r="E323" s="76"/>
      <c r="F323" s="77"/>
      <c r="G323" s="76"/>
      <c r="H323" s="75"/>
      <c r="I323" s="76"/>
      <c r="J323" s="75"/>
      <c r="K323" s="76"/>
      <c r="L323" s="75"/>
    </row>
    <row r="324" spans="1:12" ht="12.5" x14ac:dyDescent="0.25">
      <c r="A324" s="79"/>
      <c r="B324" s="80"/>
      <c r="C324" s="80"/>
      <c r="D324" s="75"/>
      <c r="E324" s="76"/>
      <c r="F324" s="77"/>
      <c r="G324" s="76"/>
      <c r="H324" s="75"/>
      <c r="I324" s="76"/>
      <c r="J324" s="75"/>
      <c r="K324" s="76"/>
      <c r="L324" s="75"/>
    </row>
    <row r="325" spans="1:12" ht="12.5" x14ac:dyDescent="0.25">
      <c r="A325" s="79"/>
      <c r="B325" s="80"/>
      <c r="C325" s="80"/>
      <c r="D325" s="75"/>
      <c r="E325" s="76"/>
      <c r="F325" s="77"/>
      <c r="G325" s="76"/>
      <c r="H325" s="75"/>
      <c r="I325" s="76"/>
      <c r="J325" s="75"/>
      <c r="K325" s="76"/>
      <c r="L325" s="75"/>
    </row>
    <row r="326" spans="1:12" ht="12.5" x14ac:dyDescent="0.25">
      <c r="A326" s="79"/>
      <c r="B326" s="80"/>
      <c r="C326" s="80"/>
      <c r="D326" s="75"/>
      <c r="E326" s="76"/>
      <c r="F326" s="77"/>
      <c r="G326" s="76"/>
      <c r="H326" s="75"/>
      <c r="I326" s="76"/>
      <c r="J326" s="75"/>
      <c r="K326" s="76"/>
      <c r="L326" s="75"/>
    </row>
    <row r="327" spans="1:12" ht="12.5" x14ac:dyDescent="0.25">
      <c r="A327" s="79"/>
      <c r="B327" s="80"/>
      <c r="C327" s="80"/>
      <c r="D327" s="75"/>
      <c r="E327" s="76"/>
      <c r="F327" s="77"/>
      <c r="G327" s="76"/>
      <c r="H327" s="75"/>
      <c r="I327" s="76"/>
      <c r="J327" s="75"/>
      <c r="K327" s="76"/>
      <c r="L327" s="75"/>
    </row>
    <row r="328" spans="1:12" ht="12.5" x14ac:dyDescent="0.25">
      <c r="A328" s="79"/>
      <c r="B328" s="80"/>
      <c r="C328" s="80"/>
      <c r="D328" s="75"/>
      <c r="E328" s="76"/>
      <c r="F328" s="77"/>
      <c r="G328" s="76"/>
      <c r="H328" s="75"/>
      <c r="I328" s="76"/>
      <c r="J328" s="75"/>
      <c r="K328" s="76"/>
      <c r="L328" s="75"/>
    </row>
    <row r="329" spans="1:12" ht="12.5" x14ac:dyDescent="0.25">
      <c r="A329" s="79"/>
      <c r="B329" s="80"/>
      <c r="C329" s="80"/>
      <c r="D329" s="75"/>
      <c r="E329" s="76"/>
      <c r="F329" s="77"/>
      <c r="G329" s="76"/>
      <c r="H329" s="75"/>
      <c r="I329" s="76"/>
      <c r="J329" s="75"/>
      <c r="K329" s="76"/>
      <c r="L329" s="75"/>
    </row>
    <row r="330" spans="1:12" ht="12.5" x14ac:dyDescent="0.25">
      <c r="A330" s="79"/>
      <c r="B330" s="80"/>
      <c r="C330" s="80"/>
      <c r="D330" s="75"/>
      <c r="E330" s="76"/>
      <c r="F330" s="77"/>
      <c r="G330" s="76"/>
      <c r="H330" s="75"/>
      <c r="I330" s="76"/>
      <c r="J330" s="75"/>
      <c r="K330" s="76"/>
      <c r="L330" s="75"/>
    </row>
    <row r="331" spans="1:12" ht="12.5" x14ac:dyDescent="0.25">
      <c r="A331" s="79"/>
      <c r="B331" s="80"/>
      <c r="C331" s="80"/>
      <c r="D331" s="75"/>
      <c r="E331" s="76"/>
      <c r="F331" s="77"/>
      <c r="G331" s="76"/>
      <c r="H331" s="75"/>
      <c r="I331" s="76"/>
      <c r="J331" s="75"/>
      <c r="K331" s="76"/>
      <c r="L331" s="75"/>
    </row>
    <row r="332" spans="1:12" ht="12.5" x14ac:dyDescent="0.25">
      <c r="A332" s="79"/>
      <c r="B332" s="80"/>
      <c r="C332" s="80"/>
      <c r="D332" s="75"/>
      <c r="E332" s="76"/>
      <c r="F332" s="77"/>
      <c r="G332" s="76"/>
      <c r="H332" s="75"/>
      <c r="I332" s="76"/>
      <c r="J332" s="75"/>
      <c r="K332" s="76"/>
      <c r="L332" s="75"/>
    </row>
    <row r="333" spans="1:12" ht="12.5" x14ac:dyDescent="0.25">
      <c r="A333" s="79"/>
      <c r="B333" s="80"/>
      <c r="C333" s="80"/>
      <c r="D333" s="75"/>
      <c r="E333" s="76"/>
      <c r="F333" s="77"/>
      <c r="G333" s="76"/>
      <c r="H333" s="75"/>
      <c r="I333" s="76"/>
      <c r="J333" s="75"/>
      <c r="K333" s="76"/>
      <c r="L333" s="75"/>
    </row>
    <row r="334" spans="1:12" ht="12.5" x14ac:dyDescent="0.25">
      <c r="A334" s="79"/>
      <c r="B334" s="80"/>
      <c r="C334" s="80"/>
      <c r="D334" s="75"/>
      <c r="E334" s="76"/>
      <c r="F334" s="77"/>
      <c r="G334" s="76"/>
      <c r="H334" s="75"/>
      <c r="I334" s="76"/>
      <c r="J334" s="75"/>
      <c r="K334" s="76"/>
      <c r="L334" s="75"/>
    </row>
    <row r="335" spans="1:12" ht="12.5" x14ac:dyDescent="0.25">
      <c r="A335" s="79"/>
      <c r="B335" s="80"/>
      <c r="C335" s="80"/>
      <c r="D335" s="75"/>
      <c r="E335" s="76"/>
      <c r="F335" s="77"/>
      <c r="G335" s="76"/>
      <c r="H335" s="75"/>
      <c r="I335" s="76"/>
      <c r="J335" s="75"/>
      <c r="K335" s="76"/>
      <c r="L335" s="75"/>
    </row>
    <row r="336" spans="1:12" ht="12.5" x14ac:dyDescent="0.25">
      <c r="A336" s="79"/>
      <c r="B336" s="80"/>
      <c r="C336" s="80"/>
      <c r="D336" s="75"/>
      <c r="E336" s="76"/>
      <c r="F336" s="77"/>
      <c r="G336" s="76"/>
      <c r="H336" s="75"/>
      <c r="I336" s="76"/>
      <c r="J336" s="75"/>
      <c r="K336" s="76"/>
      <c r="L336" s="75"/>
    </row>
    <row r="337" spans="1:12" ht="12.5" x14ac:dyDescent="0.25">
      <c r="A337" s="79"/>
      <c r="B337" s="80"/>
      <c r="C337" s="80"/>
      <c r="D337" s="75"/>
      <c r="E337" s="76"/>
      <c r="F337" s="77"/>
      <c r="G337" s="76"/>
      <c r="H337" s="75"/>
      <c r="I337" s="76"/>
      <c r="J337" s="75"/>
      <c r="K337" s="76"/>
      <c r="L337" s="75"/>
    </row>
    <row r="338" spans="1:12" ht="12.5" x14ac:dyDescent="0.25">
      <c r="A338" s="79"/>
      <c r="B338" s="80"/>
      <c r="C338" s="80"/>
      <c r="D338" s="75"/>
      <c r="E338" s="76"/>
      <c r="F338" s="77"/>
      <c r="G338" s="76"/>
      <c r="H338" s="75"/>
      <c r="I338" s="76"/>
      <c r="J338" s="75"/>
      <c r="K338" s="76"/>
      <c r="L338" s="75"/>
    </row>
    <row r="339" spans="1:12" ht="12.5" x14ac:dyDescent="0.25">
      <c r="A339" s="79"/>
      <c r="B339" s="80"/>
      <c r="C339" s="80"/>
      <c r="D339" s="75"/>
      <c r="E339" s="76"/>
      <c r="F339" s="77"/>
      <c r="G339" s="76"/>
      <c r="H339" s="75"/>
      <c r="I339" s="76"/>
      <c r="J339" s="75"/>
      <c r="K339" s="76"/>
      <c r="L339" s="75"/>
    </row>
    <row r="340" spans="1:12" ht="12.5" x14ac:dyDescent="0.25">
      <c r="A340" s="79"/>
      <c r="B340" s="80"/>
      <c r="C340" s="80"/>
      <c r="D340" s="75"/>
      <c r="E340" s="76"/>
      <c r="F340" s="77"/>
      <c r="G340" s="76"/>
      <c r="H340" s="75"/>
      <c r="I340" s="76"/>
      <c r="J340" s="75"/>
      <c r="K340" s="76"/>
      <c r="L340" s="75"/>
    </row>
    <row r="341" spans="1:12" ht="12.5" x14ac:dyDescent="0.25">
      <c r="A341" s="79"/>
      <c r="B341" s="80"/>
      <c r="C341" s="80"/>
      <c r="D341" s="75"/>
      <c r="E341" s="76"/>
      <c r="F341" s="77"/>
      <c r="G341" s="76"/>
      <c r="H341" s="75"/>
      <c r="I341" s="76"/>
      <c r="J341" s="75"/>
      <c r="K341" s="76"/>
      <c r="L341" s="75"/>
    </row>
    <row r="342" spans="1:12" ht="12.5" x14ac:dyDescent="0.25">
      <c r="A342" s="79"/>
      <c r="B342" s="80"/>
      <c r="C342" s="80"/>
      <c r="D342" s="75"/>
      <c r="E342" s="76"/>
      <c r="F342" s="77"/>
      <c r="G342" s="76"/>
      <c r="H342" s="75"/>
      <c r="I342" s="76"/>
      <c r="J342" s="75"/>
      <c r="K342" s="76"/>
      <c r="L342" s="75"/>
    </row>
    <row r="343" spans="1:12" ht="12.5" x14ac:dyDescent="0.25">
      <c r="A343" s="79"/>
      <c r="B343" s="80"/>
      <c r="C343" s="80"/>
      <c r="D343" s="75"/>
      <c r="E343" s="76"/>
      <c r="F343" s="77"/>
      <c r="G343" s="76"/>
      <c r="H343" s="75"/>
      <c r="I343" s="76"/>
      <c r="J343" s="75"/>
      <c r="K343" s="76"/>
      <c r="L343" s="75"/>
    </row>
    <row r="344" spans="1:12" ht="12.5" x14ac:dyDescent="0.25">
      <c r="A344" s="79"/>
      <c r="B344" s="80"/>
      <c r="C344" s="80"/>
      <c r="D344" s="75"/>
      <c r="E344" s="76"/>
      <c r="F344" s="77"/>
      <c r="G344" s="76"/>
      <c r="H344" s="75"/>
      <c r="I344" s="76"/>
      <c r="J344" s="75"/>
      <c r="K344" s="76"/>
      <c r="L344" s="75"/>
    </row>
    <row r="345" spans="1:12" ht="12.5" x14ac:dyDescent="0.25">
      <c r="A345" s="79"/>
      <c r="B345" s="80"/>
      <c r="C345" s="80"/>
      <c r="D345" s="75"/>
      <c r="E345" s="76"/>
      <c r="F345" s="77"/>
      <c r="G345" s="76"/>
      <c r="H345" s="75"/>
      <c r="I345" s="76"/>
      <c r="J345" s="75"/>
      <c r="K345" s="76"/>
      <c r="L345" s="75"/>
    </row>
    <row r="346" spans="1:12" ht="12.5" x14ac:dyDescent="0.25">
      <c r="A346" s="79"/>
      <c r="B346" s="80"/>
      <c r="C346" s="80"/>
      <c r="D346" s="75"/>
      <c r="E346" s="76"/>
      <c r="F346" s="77"/>
      <c r="G346" s="76"/>
      <c r="H346" s="75"/>
      <c r="I346" s="76"/>
      <c r="J346" s="75"/>
      <c r="K346" s="76"/>
      <c r="L346" s="75"/>
    </row>
    <row r="347" spans="1:12" ht="12.5" x14ac:dyDescent="0.25">
      <c r="A347" s="79"/>
      <c r="B347" s="80"/>
      <c r="C347" s="80"/>
      <c r="D347" s="75"/>
      <c r="E347" s="76"/>
      <c r="F347" s="77"/>
      <c r="G347" s="76"/>
      <c r="H347" s="75"/>
      <c r="I347" s="76"/>
      <c r="J347" s="75"/>
      <c r="K347" s="76"/>
      <c r="L347" s="75"/>
    </row>
    <row r="348" spans="1:12" ht="12.5" x14ac:dyDescent="0.25">
      <c r="A348" s="79"/>
      <c r="B348" s="80"/>
      <c r="C348" s="80"/>
      <c r="D348" s="75"/>
      <c r="E348" s="76"/>
      <c r="F348" s="77"/>
      <c r="G348" s="76"/>
      <c r="H348" s="75"/>
      <c r="I348" s="76"/>
      <c r="J348" s="75"/>
      <c r="K348" s="76"/>
      <c r="L348" s="75"/>
    </row>
    <row r="349" spans="1:12" ht="12.5" x14ac:dyDescent="0.25">
      <c r="A349" s="79"/>
      <c r="B349" s="80"/>
      <c r="C349" s="80"/>
      <c r="D349" s="75"/>
      <c r="E349" s="76"/>
      <c r="F349" s="77"/>
      <c r="G349" s="76"/>
      <c r="H349" s="75"/>
      <c r="I349" s="76"/>
      <c r="J349" s="75"/>
      <c r="K349" s="76"/>
      <c r="L349" s="75"/>
    </row>
    <row r="350" spans="1:12" ht="12.5" x14ac:dyDescent="0.25">
      <c r="A350" s="79"/>
      <c r="B350" s="80"/>
      <c r="C350" s="80"/>
      <c r="D350" s="75"/>
      <c r="E350" s="76"/>
      <c r="F350" s="77"/>
      <c r="G350" s="76"/>
      <c r="H350" s="75"/>
      <c r="I350" s="76"/>
      <c r="J350" s="75"/>
      <c r="K350" s="76"/>
      <c r="L350" s="75"/>
    </row>
    <row r="351" spans="1:12" ht="12.5" x14ac:dyDescent="0.25">
      <c r="A351" s="79"/>
      <c r="B351" s="80"/>
      <c r="C351" s="80"/>
      <c r="D351" s="75"/>
      <c r="E351" s="76"/>
      <c r="F351" s="77"/>
      <c r="G351" s="76"/>
      <c r="H351" s="75"/>
      <c r="I351" s="76"/>
      <c r="J351" s="75"/>
      <c r="K351" s="76"/>
      <c r="L351" s="75"/>
    </row>
    <row r="352" spans="1:12" ht="12.5" x14ac:dyDescent="0.25">
      <c r="A352" s="79"/>
      <c r="B352" s="80"/>
      <c r="C352" s="80"/>
      <c r="D352" s="75"/>
      <c r="E352" s="76"/>
      <c r="F352" s="77"/>
      <c r="G352" s="76"/>
      <c r="H352" s="75"/>
      <c r="I352" s="76"/>
      <c r="J352" s="75"/>
      <c r="K352" s="76"/>
      <c r="L352" s="75"/>
    </row>
    <row r="353" spans="1:12" ht="12.5" x14ac:dyDescent="0.25">
      <c r="A353" s="79"/>
      <c r="B353" s="80"/>
      <c r="C353" s="80"/>
      <c r="D353" s="75"/>
      <c r="E353" s="76"/>
      <c r="F353" s="77"/>
      <c r="G353" s="76"/>
      <c r="H353" s="75"/>
      <c r="I353" s="76"/>
      <c r="J353" s="75"/>
      <c r="K353" s="76"/>
      <c r="L353" s="75"/>
    </row>
    <row r="354" spans="1:12" ht="12.5" x14ac:dyDescent="0.25">
      <c r="A354" s="79"/>
      <c r="B354" s="80"/>
      <c r="C354" s="80"/>
      <c r="D354" s="75"/>
      <c r="E354" s="76"/>
      <c r="F354" s="77"/>
      <c r="G354" s="76"/>
      <c r="H354" s="75"/>
      <c r="I354" s="76"/>
      <c r="J354" s="75"/>
      <c r="K354" s="76"/>
      <c r="L354" s="75"/>
    </row>
    <row r="355" spans="1:12" ht="12.5" x14ac:dyDescent="0.25">
      <c r="A355" s="79"/>
      <c r="B355" s="80"/>
      <c r="C355" s="80"/>
      <c r="D355" s="75"/>
      <c r="E355" s="76"/>
      <c r="F355" s="77"/>
      <c r="G355" s="76"/>
      <c r="H355" s="75"/>
      <c r="I355" s="76"/>
      <c r="J355" s="75"/>
      <c r="K355" s="76"/>
      <c r="L355" s="75"/>
    </row>
    <row r="356" spans="1:12" ht="12.5" x14ac:dyDescent="0.25">
      <c r="A356" s="79"/>
      <c r="B356" s="80"/>
      <c r="C356" s="80"/>
      <c r="D356" s="75"/>
      <c r="E356" s="76"/>
      <c r="F356" s="77"/>
      <c r="G356" s="76"/>
      <c r="H356" s="75"/>
      <c r="I356" s="76"/>
      <c r="J356" s="75"/>
      <c r="K356" s="76"/>
      <c r="L356" s="75"/>
    </row>
    <row r="357" spans="1:12" ht="12.5" x14ac:dyDescent="0.25">
      <c r="A357" s="79"/>
      <c r="B357" s="80"/>
      <c r="C357" s="80"/>
      <c r="D357" s="75"/>
      <c r="E357" s="76"/>
      <c r="F357" s="77"/>
      <c r="G357" s="76"/>
      <c r="H357" s="75"/>
      <c r="I357" s="76"/>
      <c r="J357" s="75"/>
      <c r="K357" s="76"/>
      <c r="L357" s="75"/>
    </row>
    <row r="358" spans="1:12" ht="12.5" x14ac:dyDescent="0.25">
      <c r="A358" s="79"/>
      <c r="B358" s="80"/>
      <c r="C358" s="80"/>
      <c r="D358" s="75"/>
      <c r="E358" s="76"/>
      <c r="F358" s="77"/>
      <c r="G358" s="76"/>
      <c r="H358" s="75"/>
      <c r="I358" s="76"/>
      <c r="J358" s="75"/>
      <c r="K358" s="76"/>
      <c r="L358" s="75"/>
    </row>
    <row r="359" spans="1:12" ht="12.5" x14ac:dyDescent="0.25">
      <c r="A359" s="79"/>
      <c r="B359" s="80"/>
      <c r="C359" s="80"/>
      <c r="D359" s="75"/>
      <c r="E359" s="76"/>
      <c r="F359" s="77"/>
      <c r="G359" s="76"/>
      <c r="H359" s="75"/>
      <c r="I359" s="76"/>
      <c r="J359" s="75"/>
      <c r="K359" s="76"/>
      <c r="L359" s="75"/>
    </row>
    <row r="360" spans="1:12" ht="12.5" x14ac:dyDescent="0.25">
      <c r="A360" s="79"/>
      <c r="B360" s="80"/>
      <c r="C360" s="80"/>
      <c r="D360" s="75"/>
      <c r="E360" s="76"/>
      <c r="F360" s="77"/>
      <c r="G360" s="76"/>
      <c r="H360" s="75"/>
      <c r="I360" s="76"/>
      <c r="J360" s="75"/>
      <c r="K360" s="76"/>
      <c r="L360" s="75"/>
    </row>
    <row r="361" spans="1:12" ht="12.5" x14ac:dyDescent="0.25">
      <c r="A361" s="79"/>
      <c r="B361" s="80"/>
      <c r="C361" s="80"/>
      <c r="D361" s="75"/>
      <c r="E361" s="76"/>
      <c r="F361" s="77"/>
      <c r="G361" s="76"/>
      <c r="H361" s="75"/>
      <c r="I361" s="76"/>
      <c r="J361" s="75"/>
      <c r="K361" s="76"/>
      <c r="L361" s="75"/>
    </row>
    <row r="362" spans="1:12" ht="12.5" x14ac:dyDescent="0.25">
      <c r="A362" s="79"/>
      <c r="B362" s="80"/>
      <c r="C362" s="80"/>
      <c r="D362" s="75"/>
      <c r="E362" s="76"/>
      <c r="F362" s="77"/>
      <c r="G362" s="76"/>
      <c r="H362" s="75"/>
      <c r="I362" s="76"/>
      <c r="J362" s="75"/>
      <c r="K362" s="76"/>
      <c r="L362" s="75"/>
    </row>
    <row r="363" spans="1:12" ht="12.5" x14ac:dyDescent="0.25">
      <c r="A363" s="79"/>
      <c r="B363" s="80"/>
      <c r="C363" s="80"/>
      <c r="D363" s="75"/>
      <c r="E363" s="76"/>
      <c r="F363" s="77"/>
      <c r="G363" s="76"/>
      <c r="H363" s="75"/>
      <c r="I363" s="76"/>
      <c r="J363" s="75"/>
      <c r="K363" s="76"/>
      <c r="L363" s="75"/>
    </row>
    <row r="364" spans="1:12" ht="12.5" x14ac:dyDescent="0.25">
      <c r="A364" s="79"/>
      <c r="B364" s="80"/>
      <c r="C364" s="80"/>
      <c r="D364" s="75"/>
      <c r="E364" s="76"/>
      <c r="F364" s="77"/>
      <c r="G364" s="76"/>
      <c r="H364" s="75"/>
      <c r="I364" s="76"/>
      <c r="J364" s="75"/>
      <c r="K364" s="76"/>
      <c r="L364" s="75"/>
    </row>
    <row r="365" spans="1:12" ht="12.5" x14ac:dyDescent="0.25">
      <c r="A365" s="79"/>
      <c r="B365" s="80"/>
      <c r="C365" s="80"/>
      <c r="D365" s="75"/>
      <c r="E365" s="76"/>
      <c r="F365" s="77"/>
      <c r="G365" s="76"/>
      <c r="H365" s="75"/>
      <c r="I365" s="76"/>
      <c r="J365" s="75"/>
      <c r="K365" s="76"/>
      <c r="L365" s="75"/>
    </row>
    <row r="366" spans="1:12" ht="12.5" x14ac:dyDescent="0.25">
      <c r="A366" s="79"/>
      <c r="B366" s="80"/>
      <c r="C366" s="80"/>
      <c r="D366" s="75"/>
      <c r="E366" s="76"/>
      <c r="F366" s="77"/>
      <c r="G366" s="76"/>
      <c r="H366" s="75"/>
      <c r="I366" s="76"/>
      <c r="J366" s="75"/>
      <c r="K366" s="76"/>
      <c r="L366" s="75"/>
    </row>
    <row r="367" spans="1:12" ht="12.5" x14ac:dyDescent="0.25">
      <c r="A367" s="79"/>
      <c r="B367" s="80"/>
      <c r="C367" s="80"/>
      <c r="D367" s="75"/>
      <c r="E367" s="76"/>
      <c r="F367" s="77"/>
      <c r="G367" s="76"/>
      <c r="H367" s="75"/>
      <c r="I367" s="76"/>
      <c r="J367" s="75"/>
      <c r="K367" s="76"/>
      <c r="L367" s="75"/>
    </row>
    <row r="368" spans="1:12" ht="12.5" x14ac:dyDescent="0.25">
      <c r="A368" s="79"/>
      <c r="B368" s="80"/>
      <c r="C368" s="80"/>
      <c r="D368" s="75"/>
      <c r="E368" s="76"/>
      <c r="F368" s="77"/>
      <c r="G368" s="76"/>
      <c r="H368" s="75"/>
      <c r="I368" s="76"/>
      <c r="J368" s="75"/>
      <c r="K368" s="76"/>
      <c r="L368" s="75"/>
    </row>
    <row r="369" spans="1:12" ht="12.5" x14ac:dyDescent="0.25">
      <c r="A369" s="79"/>
      <c r="B369" s="80"/>
      <c r="C369" s="80"/>
      <c r="D369" s="75"/>
      <c r="E369" s="76"/>
      <c r="F369" s="77"/>
      <c r="G369" s="76"/>
      <c r="H369" s="75"/>
      <c r="I369" s="76"/>
      <c r="J369" s="75"/>
      <c r="K369" s="76"/>
      <c r="L369" s="75"/>
    </row>
    <row r="370" spans="1:12" ht="12.5" x14ac:dyDescent="0.25">
      <c r="A370" s="79"/>
      <c r="B370" s="80"/>
      <c r="C370" s="80"/>
      <c r="D370" s="75"/>
      <c r="E370" s="76"/>
      <c r="F370" s="77"/>
      <c r="G370" s="76"/>
      <c r="H370" s="75"/>
      <c r="I370" s="76"/>
      <c r="J370" s="75"/>
      <c r="K370" s="76"/>
      <c r="L370" s="75"/>
    </row>
    <row r="371" spans="1:12" ht="12.5" x14ac:dyDescent="0.25">
      <c r="A371" s="79"/>
      <c r="B371" s="80"/>
      <c r="C371" s="80"/>
      <c r="D371" s="75"/>
      <c r="E371" s="76"/>
      <c r="F371" s="77"/>
      <c r="G371" s="76"/>
      <c r="H371" s="75"/>
      <c r="I371" s="76"/>
      <c r="J371" s="75"/>
      <c r="K371" s="76"/>
      <c r="L371" s="75"/>
    </row>
    <row r="372" spans="1:12" ht="12.5" x14ac:dyDescent="0.25">
      <c r="A372" s="79"/>
      <c r="B372" s="80"/>
      <c r="C372" s="80"/>
      <c r="D372" s="75"/>
      <c r="E372" s="76"/>
      <c r="F372" s="77"/>
      <c r="G372" s="76"/>
      <c r="H372" s="75"/>
      <c r="I372" s="76"/>
      <c r="J372" s="75"/>
      <c r="K372" s="76"/>
      <c r="L372" s="75"/>
    </row>
    <row r="373" spans="1:12" ht="12.5" x14ac:dyDescent="0.25">
      <c r="A373" s="79"/>
      <c r="B373" s="80"/>
      <c r="C373" s="80"/>
      <c r="D373" s="75"/>
      <c r="E373" s="76"/>
      <c r="F373" s="77"/>
      <c r="G373" s="76"/>
      <c r="H373" s="75"/>
      <c r="I373" s="76"/>
      <c r="J373" s="75"/>
      <c r="K373" s="76"/>
      <c r="L373" s="75"/>
    </row>
    <row r="374" spans="1:12" ht="12.5" x14ac:dyDescent="0.25">
      <c r="A374" s="79"/>
      <c r="B374" s="80"/>
      <c r="C374" s="80"/>
      <c r="D374" s="75"/>
      <c r="E374" s="76"/>
      <c r="F374" s="77"/>
      <c r="G374" s="76"/>
      <c r="H374" s="75"/>
      <c r="I374" s="76"/>
      <c r="J374" s="75"/>
      <c r="K374" s="76"/>
      <c r="L374" s="75"/>
    </row>
    <row r="375" spans="1:12" ht="12.5" x14ac:dyDescent="0.25">
      <c r="A375" s="79"/>
      <c r="B375" s="80"/>
      <c r="C375" s="80"/>
      <c r="D375" s="75"/>
      <c r="E375" s="76"/>
      <c r="F375" s="77"/>
      <c r="G375" s="76"/>
      <c r="H375" s="75"/>
      <c r="I375" s="76"/>
      <c r="J375" s="75"/>
      <c r="K375" s="76"/>
      <c r="L375" s="75"/>
    </row>
    <row r="376" spans="1:12" ht="12.5" x14ac:dyDescent="0.25">
      <c r="A376" s="79"/>
      <c r="B376" s="80"/>
      <c r="C376" s="80"/>
      <c r="D376" s="75"/>
      <c r="E376" s="76"/>
      <c r="F376" s="77"/>
      <c r="G376" s="76"/>
      <c r="H376" s="75"/>
      <c r="I376" s="76"/>
      <c r="J376" s="75"/>
      <c r="K376" s="76"/>
      <c r="L376" s="75"/>
    </row>
    <row r="377" spans="1:12" ht="12.5" x14ac:dyDescent="0.25">
      <c r="A377" s="79"/>
      <c r="B377" s="80"/>
      <c r="C377" s="80"/>
      <c r="D377" s="75"/>
      <c r="E377" s="76"/>
      <c r="F377" s="77"/>
      <c r="G377" s="76"/>
      <c r="H377" s="75"/>
      <c r="I377" s="76"/>
      <c r="J377" s="75"/>
      <c r="K377" s="76"/>
      <c r="L377" s="75"/>
    </row>
    <row r="378" spans="1:12" ht="12.5" x14ac:dyDescent="0.25">
      <c r="A378" s="79"/>
      <c r="B378" s="80"/>
      <c r="C378" s="80"/>
      <c r="D378" s="75"/>
      <c r="E378" s="76"/>
      <c r="F378" s="77"/>
      <c r="G378" s="76"/>
      <c r="H378" s="75"/>
      <c r="I378" s="76"/>
      <c r="J378" s="75"/>
      <c r="K378" s="76"/>
      <c r="L378" s="75"/>
    </row>
    <row r="379" spans="1:12" ht="12.5" x14ac:dyDescent="0.25">
      <c r="A379" s="79"/>
      <c r="B379" s="80"/>
      <c r="C379" s="80"/>
      <c r="D379" s="75"/>
      <c r="E379" s="76"/>
      <c r="F379" s="77"/>
      <c r="G379" s="76"/>
      <c r="H379" s="75"/>
      <c r="I379" s="76"/>
      <c r="J379" s="75"/>
      <c r="K379" s="76"/>
      <c r="L379" s="75"/>
    </row>
    <row r="380" spans="1:12" ht="12.5" x14ac:dyDescent="0.25">
      <c r="A380" s="79"/>
      <c r="B380" s="80"/>
      <c r="C380" s="80"/>
      <c r="D380" s="75"/>
      <c r="E380" s="76"/>
      <c r="F380" s="77"/>
      <c r="G380" s="76"/>
      <c r="H380" s="75"/>
      <c r="I380" s="76"/>
      <c r="J380" s="75"/>
      <c r="K380" s="76"/>
      <c r="L380" s="75"/>
    </row>
    <row r="381" spans="1:12" ht="12.5" x14ac:dyDescent="0.25">
      <c r="A381" s="79"/>
      <c r="B381" s="80"/>
      <c r="C381" s="80"/>
      <c r="D381" s="75"/>
      <c r="E381" s="76"/>
      <c r="F381" s="77"/>
      <c r="G381" s="76"/>
      <c r="H381" s="75"/>
      <c r="I381" s="76"/>
      <c r="J381" s="75"/>
      <c r="K381" s="76"/>
      <c r="L381" s="75"/>
    </row>
    <row r="382" spans="1:12" ht="12.5" x14ac:dyDescent="0.25">
      <c r="A382" s="79"/>
      <c r="B382" s="80"/>
      <c r="C382" s="80"/>
      <c r="D382" s="75"/>
      <c r="E382" s="76"/>
      <c r="F382" s="77"/>
      <c r="G382" s="76"/>
      <c r="H382" s="75"/>
      <c r="I382" s="76"/>
      <c r="J382" s="75"/>
      <c r="K382" s="76"/>
      <c r="L382" s="75"/>
    </row>
    <row r="383" spans="1:12" ht="12.5" x14ac:dyDescent="0.25">
      <c r="A383" s="79"/>
      <c r="B383" s="80"/>
      <c r="C383" s="80"/>
      <c r="D383" s="75"/>
      <c r="E383" s="76"/>
      <c r="F383" s="77"/>
      <c r="G383" s="76"/>
      <c r="H383" s="75"/>
      <c r="I383" s="76"/>
      <c r="J383" s="75"/>
      <c r="K383" s="76"/>
      <c r="L383" s="75"/>
    </row>
    <row r="384" spans="1:12" ht="12.5" x14ac:dyDescent="0.25">
      <c r="A384" s="79"/>
      <c r="B384" s="80"/>
      <c r="C384" s="80"/>
      <c r="D384" s="75"/>
      <c r="E384" s="76"/>
      <c r="F384" s="77"/>
      <c r="G384" s="76"/>
      <c r="H384" s="75"/>
      <c r="I384" s="76"/>
      <c r="J384" s="75"/>
      <c r="K384" s="76"/>
      <c r="L384" s="75"/>
    </row>
    <row r="385" spans="1:12" ht="12.5" x14ac:dyDescent="0.25">
      <c r="A385" s="79"/>
      <c r="B385" s="80"/>
      <c r="C385" s="80"/>
      <c r="D385" s="75"/>
      <c r="E385" s="76"/>
      <c r="F385" s="77"/>
      <c r="G385" s="76"/>
      <c r="H385" s="75"/>
      <c r="I385" s="76"/>
      <c r="J385" s="75"/>
      <c r="K385" s="76"/>
      <c r="L385" s="75"/>
    </row>
    <row r="386" spans="1:12" ht="12.5" x14ac:dyDescent="0.25">
      <c r="A386" s="79"/>
      <c r="B386" s="80"/>
      <c r="C386" s="80"/>
      <c r="D386" s="75"/>
      <c r="E386" s="76"/>
      <c r="F386" s="77"/>
      <c r="G386" s="76"/>
      <c r="H386" s="75"/>
      <c r="I386" s="76"/>
      <c r="J386" s="75"/>
      <c r="K386" s="76"/>
      <c r="L386" s="75"/>
    </row>
    <row r="387" spans="1:12" ht="12.5" x14ac:dyDescent="0.25">
      <c r="A387" s="79"/>
      <c r="B387" s="80"/>
      <c r="C387" s="80"/>
      <c r="D387" s="75"/>
      <c r="E387" s="76"/>
      <c r="F387" s="77"/>
      <c r="G387" s="76"/>
      <c r="H387" s="75"/>
      <c r="I387" s="76"/>
      <c r="J387" s="75"/>
      <c r="K387" s="76"/>
      <c r="L387" s="75"/>
    </row>
    <row r="388" spans="1:12" ht="12.5" x14ac:dyDescent="0.25">
      <c r="A388" s="79"/>
      <c r="B388" s="80"/>
      <c r="C388" s="80"/>
      <c r="D388" s="75"/>
      <c r="E388" s="76"/>
      <c r="F388" s="77"/>
      <c r="G388" s="76"/>
      <c r="H388" s="75"/>
      <c r="I388" s="76"/>
      <c r="J388" s="75"/>
      <c r="K388" s="76"/>
      <c r="L388" s="75"/>
    </row>
    <row r="389" spans="1:12" ht="12.5" x14ac:dyDescent="0.25">
      <c r="A389" s="79"/>
      <c r="B389" s="80"/>
      <c r="C389" s="80"/>
      <c r="D389" s="75"/>
      <c r="E389" s="76"/>
      <c r="F389" s="77"/>
      <c r="G389" s="76"/>
      <c r="H389" s="75"/>
      <c r="I389" s="76"/>
      <c r="J389" s="75"/>
      <c r="K389" s="76"/>
      <c r="L389" s="75"/>
    </row>
    <row r="390" spans="1:12" ht="12.5" x14ac:dyDescent="0.25">
      <c r="A390" s="79"/>
      <c r="B390" s="80"/>
      <c r="C390" s="80"/>
      <c r="D390" s="75"/>
      <c r="E390" s="76"/>
      <c r="F390" s="77"/>
      <c r="G390" s="76"/>
      <c r="H390" s="75"/>
      <c r="I390" s="76"/>
      <c r="J390" s="75"/>
      <c r="K390" s="76"/>
      <c r="L390" s="75"/>
    </row>
    <row r="391" spans="1:12" ht="12.5" x14ac:dyDescent="0.25">
      <c r="A391" s="79"/>
      <c r="B391" s="80"/>
      <c r="C391" s="80"/>
      <c r="D391" s="75"/>
      <c r="E391" s="76"/>
      <c r="F391" s="77"/>
      <c r="G391" s="76"/>
      <c r="H391" s="75"/>
      <c r="I391" s="76"/>
      <c r="J391" s="75"/>
      <c r="K391" s="76"/>
      <c r="L391" s="75"/>
    </row>
    <row r="392" spans="1:12" ht="12.5" x14ac:dyDescent="0.25">
      <c r="A392" s="79"/>
      <c r="B392" s="80"/>
      <c r="C392" s="80"/>
      <c r="D392" s="75"/>
      <c r="E392" s="76"/>
      <c r="F392" s="77"/>
      <c r="G392" s="76"/>
      <c r="H392" s="75"/>
      <c r="I392" s="76"/>
      <c r="J392" s="75"/>
      <c r="K392" s="76"/>
      <c r="L392" s="75"/>
    </row>
    <row r="393" spans="1:12" ht="12.5" x14ac:dyDescent="0.25">
      <c r="A393" s="79"/>
      <c r="B393" s="80"/>
      <c r="C393" s="80"/>
      <c r="D393" s="75"/>
      <c r="E393" s="76"/>
      <c r="F393" s="77"/>
      <c r="G393" s="76"/>
      <c r="H393" s="75"/>
      <c r="I393" s="76"/>
      <c r="J393" s="75"/>
      <c r="K393" s="76"/>
      <c r="L393" s="75"/>
    </row>
    <row r="394" spans="1:12" ht="12.5" x14ac:dyDescent="0.25">
      <c r="A394" s="79"/>
      <c r="B394" s="80"/>
      <c r="C394" s="80"/>
      <c r="D394" s="75"/>
      <c r="E394" s="76"/>
      <c r="F394" s="77"/>
      <c r="G394" s="76"/>
      <c r="H394" s="75"/>
      <c r="I394" s="76"/>
      <c r="J394" s="75"/>
      <c r="K394" s="76"/>
      <c r="L394" s="75"/>
    </row>
    <row r="395" spans="1:12" ht="12.5" x14ac:dyDescent="0.25">
      <c r="A395" s="79"/>
      <c r="B395" s="80"/>
      <c r="C395" s="80"/>
      <c r="D395" s="75"/>
      <c r="E395" s="76"/>
      <c r="F395" s="77"/>
      <c r="G395" s="76"/>
      <c r="H395" s="75"/>
      <c r="I395" s="76"/>
      <c r="J395" s="75"/>
      <c r="K395" s="76"/>
      <c r="L395" s="75"/>
    </row>
    <row r="396" spans="1:12" ht="12.5" x14ac:dyDescent="0.25">
      <c r="A396" s="79"/>
      <c r="B396" s="80"/>
      <c r="C396" s="80"/>
      <c r="D396" s="75"/>
      <c r="E396" s="76"/>
      <c r="F396" s="77"/>
      <c r="G396" s="76"/>
      <c r="H396" s="75"/>
      <c r="I396" s="76"/>
      <c r="J396" s="75"/>
      <c r="K396" s="76"/>
      <c r="L396" s="75"/>
    </row>
    <row r="397" spans="1:12" ht="12.5" x14ac:dyDescent="0.25">
      <c r="A397" s="79"/>
      <c r="B397" s="80"/>
      <c r="C397" s="80"/>
      <c r="D397" s="75"/>
      <c r="E397" s="76"/>
      <c r="F397" s="77"/>
      <c r="G397" s="76"/>
      <c r="H397" s="75"/>
      <c r="I397" s="76"/>
      <c r="J397" s="75"/>
      <c r="K397" s="76"/>
      <c r="L397" s="75"/>
    </row>
    <row r="398" spans="1:12" ht="12.5" x14ac:dyDescent="0.25">
      <c r="A398" s="79"/>
      <c r="B398" s="80"/>
      <c r="C398" s="80"/>
      <c r="D398" s="75"/>
      <c r="E398" s="76"/>
      <c r="F398" s="77"/>
      <c r="G398" s="76"/>
      <c r="H398" s="75"/>
      <c r="I398" s="76"/>
      <c r="J398" s="75"/>
      <c r="K398" s="76"/>
      <c r="L398" s="75"/>
    </row>
    <row r="399" spans="1:12" ht="12.5" x14ac:dyDescent="0.25">
      <c r="A399" s="79"/>
      <c r="B399" s="80"/>
      <c r="C399" s="80"/>
      <c r="D399" s="75"/>
      <c r="E399" s="76"/>
      <c r="F399" s="77"/>
      <c r="G399" s="76"/>
      <c r="H399" s="75"/>
      <c r="I399" s="76"/>
      <c r="J399" s="75"/>
      <c r="K399" s="76"/>
      <c r="L399" s="75"/>
    </row>
    <row r="400" spans="1:12" ht="12.5" x14ac:dyDescent="0.25">
      <c r="A400" s="79"/>
      <c r="B400" s="80"/>
      <c r="C400" s="80"/>
      <c r="D400" s="75"/>
      <c r="E400" s="76"/>
      <c r="F400" s="77"/>
      <c r="G400" s="76"/>
      <c r="H400" s="75"/>
      <c r="I400" s="76"/>
      <c r="J400" s="75"/>
      <c r="K400" s="76"/>
      <c r="L400" s="75"/>
    </row>
    <row r="401" spans="1:12" ht="12.5" x14ac:dyDescent="0.25">
      <c r="A401" s="79"/>
      <c r="B401" s="80"/>
      <c r="C401" s="80"/>
      <c r="D401" s="75"/>
      <c r="E401" s="76"/>
      <c r="F401" s="77"/>
      <c r="G401" s="76"/>
      <c r="H401" s="75"/>
      <c r="I401" s="76"/>
      <c r="J401" s="75"/>
      <c r="K401" s="76"/>
      <c r="L401" s="75"/>
    </row>
    <row r="402" spans="1:12" ht="12.5" x14ac:dyDescent="0.25">
      <c r="A402" s="79"/>
      <c r="B402" s="80"/>
      <c r="C402" s="80"/>
      <c r="D402" s="75"/>
      <c r="E402" s="76"/>
      <c r="F402" s="77"/>
      <c r="G402" s="76"/>
      <c r="H402" s="75"/>
      <c r="I402" s="76"/>
      <c r="J402" s="75"/>
      <c r="K402" s="76"/>
      <c r="L402" s="75"/>
    </row>
    <row r="403" spans="1:12" ht="12.5" x14ac:dyDescent="0.25">
      <c r="A403" s="79"/>
      <c r="B403" s="80"/>
      <c r="C403" s="80"/>
      <c r="D403" s="75"/>
      <c r="E403" s="76"/>
      <c r="F403" s="77"/>
      <c r="G403" s="76"/>
      <c r="H403" s="75"/>
      <c r="I403" s="76"/>
      <c r="J403" s="75"/>
      <c r="K403" s="76"/>
      <c r="L403" s="75"/>
    </row>
    <row r="404" spans="1:12" ht="12.5" x14ac:dyDescent="0.25">
      <c r="A404" s="79"/>
      <c r="B404" s="80"/>
      <c r="C404" s="80"/>
      <c r="D404" s="75"/>
      <c r="E404" s="76"/>
      <c r="F404" s="77"/>
      <c r="G404" s="76"/>
      <c r="H404" s="75"/>
      <c r="I404" s="76"/>
      <c r="J404" s="75"/>
      <c r="K404" s="76"/>
      <c r="L404" s="75"/>
    </row>
    <row r="405" spans="1:12" ht="12.5" x14ac:dyDescent="0.25">
      <c r="A405" s="79"/>
      <c r="B405" s="80"/>
      <c r="C405" s="80"/>
      <c r="D405" s="75"/>
      <c r="E405" s="76"/>
      <c r="F405" s="77"/>
      <c r="G405" s="76"/>
      <c r="H405" s="75"/>
      <c r="I405" s="76"/>
      <c r="J405" s="75"/>
      <c r="K405" s="76"/>
      <c r="L405" s="75"/>
    </row>
    <row r="406" spans="1:12" ht="12.5" x14ac:dyDescent="0.25">
      <c r="A406" s="79"/>
      <c r="B406" s="80"/>
      <c r="C406" s="80"/>
      <c r="D406" s="75"/>
      <c r="E406" s="76"/>
      <c r="F406" s="77"/>
      <c r="G406" s="76"/>
      <c r="H406" s="75"/>
      <c r="I406" s="76"/>
      <c r="J406" s="75"/>
      <c r="K406" s="76"/>
      <c r="L406" s="75"/>
    </row>
    <row r="407" spans="1:12" ht="12.5" x14ac:dyDescent="0.25">
      <c r="A407" s="79"/>
      <c r="B407" s="80"/>
      <c r="C407" s="80"/>
      <c r="D407" s="75"/>
      <c r="E407" s="76"/>
      <c r="F407" s="77"/>
      <c r="G407" s="76"/>
      <c r="H407" s="75"/>
      <c r="I407" s="76"/>
      <c r="J407" s="75"/>
      <c r="K407" s="76"/>
      <c r="L407" s="75"/>
    </row>
    <row r="408" spans="1:12" ht="12.5" x14ac:dyDescent="0.25">
      <c r="A408" s="79"/>
      <c r="B408" s="80"/>
      <c r="C408" s="80"/>
      <c r="D408" s="75"/>
      <c r="E408" s="76"/>
      <c r="F408" s="77"/>
      <c r="G408" s="76"/>
      <c r="H408" s="75"/>
      <c r="I408" s="76"/>
      <c r="J408" s="75"/>
      <c r="K408" s="76"/>
      <c r="L408" s="75"/>
    </row>
    <row r="409" spans="1:12" ht="12.5" x14ac:dyDescent="0.25">
      <c r="A409" s="79"/>
      <c r="B409" s="80"/>
      <c r="C409" s="80"/>
      <c r="D409" s="75"/>
      <c r="E409" s="76"/>
      <c r="F409" s="77"/>
      <c r="G409" s="76"/>
      <c r="H409" s="75"/>
      <c r="I409" s="76"/>
      <c r="J409" s="75"/>
      <c r="K409" s="76"/>
      <c r="L409" s="75"/>
    </row>
    <row r="410" spans="1:12" ht="12.5" x14ac:dyDescent="0.25">
      <c r="A410" s="79"/>
      <c r="B410" s="80"/>
      <c r="C410" s="80"/>
      <c r="D410" s="75"/>
      <c r="E410" s="76"/>
      <c r="F410" s="77"/>
      <c r="G410" s="76"/>
      <c r="H410" s="75"/>
      <c r="I410" s="76"/>
      <c r="J410" s="75"/>
      <c r="K410" s="76"/>
      <c r="L410" s="75"/>
    </row>
    <row r="411" spans="1:12" ht="12.5" x14ac:dyDescent="0.25">
      <c r="A411" s="79"/>
      <c r="B411" s="80"/>
      <c r="C411" s="80"/>
      <c r="D411" s="75"/>
      <c r="E411" s="76"/>
      <c r="F411" s="77"/>
      <c r="G411" s="76"/>
      <c r="H411" s="75"/>
      <c r="I411" s="76"/>
      <c r="J411" s="75"/>
      <c r="K411" s="76"/>
      <c r="L411" s="75"/>
    </row>
    <row r="412" spans="1:12" ht="12.5" x14ac:dyDescent="0.25">
      <c r="A412" s="79"/>
      <c r="B412" s="80"/>
      <c r="C412" s="80"/>
      <c r="D412" s="75"/>
      <c r="E412" s="76"/>
      <c r="F412" s="77"/>
      <c r="G412" s="76"/>
      <c r="H412" s="75"/>
      <c r="I412" s="76"/>
      <c r="J412" s="75"/>
      <c r="K412" s="76"/>
      <c r="L412" s="75"/>
    </row>
    <row r="413" spans="1:12" ht="12.5" x14ac:dyDescent="0.25">
      <c r="A413" s="79"/>
      <c r="B413" s="80"/>
      <c r="C413" s="80"/>
      <c r="D413" s="75"/>
      <c r="E413" s="76"/>
      <c r="F413" s="77"/>
      <c r="G413" s="76"/>
      <c r="H413" s="75"/>
      <c r="I413" s="76"/>
      <c r="J413" s="75"/>
      <c r="K413" s="76"/>
      <c r="L413" s="75"/>
    </row>
    <row r="414" spans="1:12" ht="12.5" x14ac:dyDescent="0.25">
      <c r="A414" s="79"/>
      <c r="B414" s="80"/>
      <c r="C414" s="80"/>
      <c r="D414" s="75"/>
      <c r="E414" s="76"/>
      <c r="F414" s="77"/>
      <c r="G414" s="76"/>
      <c r="H414" s="75"/>
      <c r="I414" s="76"/>
      <c r="J414" s="75"/>
      <c r="K414" s="76"/>
      <c r="L414" s="75"/>
    </row>
    <row r="415" spans="1:12" ht="12.5" x14ac:dyDescent="0.25">
      <c r="A415" s="79"/>
      <c r="B415" s="80"/>
      <c r="C415" s="80"/>
      <c r="D415" s="75"/>
      <c r="E415" s="76"/>
      <c r="F415" s="77"/>
      <c r="G415" s="76"/>
      <c r="H415" s="75"/>
      <c r="I415" s="76"/>
      <c r="J415" s="75"/>
      <c r="K415" s="76"/>
      <c r="L415" s="75"/>
    </row>
    <row r="416" spans="1:12" ht="12.5" x14ac:dyDescent="0.25">
      <c r="A416" s="79"/>
      <c r="B416" s="80"/>
      <c r="C416" s="80"/>
      <c r="D416" s="75"/>
      <c r="E416" s="76"/>
      <c r="F416" s="77"/>
      <c r="G416" s="76"/>
      <c r="H416" s="75"/>
      <c r="I416" s="76"/>
      <c r="J416" s="75"/>
      <c r="K416" s="76"/>
      <c r="L416" s="75"/>
    </row>
    <row r="417" spans="1:12" ht="12.5" x14ac:dyDescent="0.25">
      <c r="A417" s="79"/>
      <c r="B417" s="80"/>
      <c r="C417" s="80"/>
      <c r="D417" s="75"/>
      <c r="E417" s="76"/>
      <c r="F417" s="77"/>
      <c r="G417" s="76"/>
      <c r="H417" s="75"/>
      <c r="I417" s="76"/>
      <c r="J417" s="75"/>
      <c r="K417" s="76"/>
      <c r="L417" s="75"/>
    </row>
    <row r="418" spans="1:12" ht="12.5" x14ac:dyDescent="0.25">
      <c r="A418" s="79"/>
      <c r="B418" s="80"/>
      <c r="C418" s="80"/>
      <c r="D418" s="75"/>
      <c r="E418" s="76"/>
      <c r="F418" s="77"/>
      <c r="G418" s="76"/>
      <c r="H418" s="75"/>
      <c r="I418" s="76"/>
      <c r="J418" s="75"/>
      <c r="K418" s="76"/>
      <c r="L418" s="75"/>
    </row>
    <row r="419" spans="1:12" ht="12.5" x14ac:dyDescent="0.25">
      <c r="A419" s="79"/>
      <c r="B419" s="80"/>
      <c r="C419" s="80"/>
      <c r="D419" s="75"/>
      <c r="E419" s="76"/>
      <c r="F419" s="77"/>
      <c r="G419" s="76"/>
      <c r="H419" s="75"/>
      <c r="I419" s="76"/>
      <c r="J419" s="75"/>
      <c r="K419" s="76"/>
      <c r="L419" s="75"/>
    </row>
    <row r="420" spans="1:12" ht="12.5" x14ac:dyDescent="0.25">
      <c r="A420" s="79"/>
      <c r="B420" s="80"/>
      <c r="C420" s="80"/>
      <c r="D420" s="75"/>
      <c r="E420" s="76"/>
      <c r="F420" s="77"/>
      <c r="G420" s="76"/>
      <c r="H420" s="75"/>
      <c r="I420" s="76"/>
      <c r="J420" s="75"/>
      <c r="K420" s="76"/>
      <c r="L420" s="75"/>
    </row>
    <row r="421" spans="1:12" ht="12.5" x14ac:dyDescent="0.25">
      <c r="A421" s="79"/>
      <c r="B421" s="80"/>
      <c r="C421" s="80"/>
      <c r="D421" s="75"/>
      <c r="E421" s="76"/>
      <c r="F421" s="77"/>
      <c r="G421" s="76"/>
      <c r="H421" s="75"/>
      <c r="I421" s="76"/>
      <c r="J421" s="75"/>
      <c r="K421" s="76"/>
      <c r="L421" s="75"/>
    </row>
    <row r="422" spans="1:12" ht="12.5" x14ac:dyDescent="0.25">
      <c r="A422" s="79"/>
      <c r="B422" s="80"/>
      <c r="C422" s="80"/>
      <c r="D422" s="75"/>
      <c r="E422" s="76"/>
      <c r="F422" s="77"/>
      <c r="G422" s="76"/>
      <c r="H422" s="75"/>
      <c r="I422" s="76"/>
      <c r="J422" s="75"/>
      <c r="K422" s="76"/>
      <c r="L422" s="75"/>
    </row>
    <row r="423" spans="1:12" ht="12.5" x14ac:dyDescent="0.25">
      <c r="A423" s="79"/>
      <c r="B423" s="80"/>
      <c r="C423" s="80"/>
      <c r="D423" s="75"/>
      <c r="E423" s="76"/>
      <c r="F423" s="77"/>
      <c r="G423" s="76"/>
      <c r="H423" s="75"/>
      <c r="I423" s="76"/>
      <c r="J423" s="75"/>
      <c r="K423" s="76"/>
      <c r="L423" s="75"/>
    </row>
    <row r="424" spans="1:12" ht="12.5" x14ac:dyDescent="0.25">
      <c r="A424" s="79"/>
      <c r="B424" s="80"/>
      <c r="C424" s="80"/>
      <c r="D424" s="75"/>
      <c r="E424" s="76"/>
      <c r="F424" s="77"/>
      <c r="G424" s="76"/>
      <c r="H424" s="75"/>
      <c r="I424" s="76"/>
      <c r="J424" s="75"/>
      <c r="K424" s="76"/>
      <c r="L424" s="75"/>
    </row>
    <row r="425" spans="1:12" ht="12.5" x14ac:dyDescent="0.25">
      <c r="A425" s="79"/>
      <c r="B425" s="80"/>
      <c r="C425" s="80"/>
      <c r="D425" s="75"/>
      <c r="E425" s="76"/>
      <c r="F425" s="77"/>
      <c r="G425" s="76"/>
      <c r="H425" s="75"/>
      <c r="I425" s="76"/>
      <c r="J425" s="75"/>
      <c r="K425" s="76"/>
      <c r="L425" s="75"/>
    </row>
    <row r="426" spans="1:12" ht="12.5" x14ac:dyDescent="0.25">
      <c r="A426" s="79"/>
      <c r="B426" s="80"/>
      <c r="C426" s="80"/>
      <c r="D426" s="75"/>
      <c r="E426" s="76"/>
      <c r="F426" s="77"/>
      <c r="G426" s="76"/>
      <c r="H426" s="75"/>
      <c r="I426" s="76"/>
      <c r="J426" s="75"/>
      <c r="K426" s="76"/>
      <c r="L426" s="75"/>
    </row>
    <row r="427" spans="1:12" ht="12.5" x14ac:dyDescent="0.25">
      <c r="A427" s="79"/>
      <c r="B427" s="80"/>
      <c r="C427" s="80"/>
      <c r="D427" s="75"/>
      <c r="E427" s="76"/>
      <c r="F427" s="77"/>
      <c r="G427" s="76"/>
      <c r="H427" s="75"/>
      <c r="I427" s="76"/>
      <c r="J427" s="75"/>
      <c r="K427" s="76"/>
      <c r="L427" s="75"/>
    </row>
    <row r="428" spans="1:12" ht="12.5" x14ac:dyDescent="0.25">
      <c r="A428" s="79"/>
      <c r="B428" s="80"/>
      <c r="C428" s="80"/>
      <c r="D428" s="75"/>
      <c r="E428" s="76"/>
      <c r="F428" s="77"/>
      <c r="G428" s="76"/>
      <c r="H428" s="75"/>
      <c r="I428" s="76"/>
      <c r="J428" s="75"/>
      <c r="K428" s="76"/>
      <c r="L428" s="75"/>
    </row>
    <row r="429" spans="1:12" ht="12.5" x14ac:dyDescent="0.25">
      <c r="A429" s="79"/>
      <c r="B429" s="80"/>
      <c r="C429" s="80"/>
      <c r="D429" s="75"/>
      <c r="E429" s="76"/>
      <c r="F429" s="77"/>
      <c r="G429" s="76"/>
      <c r="H429" s="75"/>
      <c r="I429" s="76"/>
      <c r="J429" s="75"/>
      <c r="K429" s="76"/>
      <c r="L429" s="75"/>
    </row>
    <row r="430" spans="1:12" ht="12.5" x14ac:dyDescent="0.25">
      <c r="A430" s="79"/>
      <c r="B430" s="80"/>
      <c r="C430" s="80"/>
      <c r="D430" s="75"/>
      <c r="E430" s="76"/>
      <c r="F430" s="77"/>
      <c r="G430" s="76"/>
      <c r="H430" s="75"/>
      <c r="I430" s="76"/>
      <c r="J430" s="75"/>
      <c r="K430" s="76"/>
      <c r="L430" s="75"/>
    </row>
    <row r="431" spans="1:12" ht="12.5" x14ac:dyDescent="0.25">
      <c r="A431" s="79"/>
      <c r="B431" s="80"/>
      <c r="C431" s="80"/>
      <c r="D431" s="75"/>
      <c r="E431" s="76"/>
      <c r="F431" s="77"/>
      <c r="G431" s="76"/>
      <c r="H431" s="75"/>
      <c r="I431" s="76"/>
      <c r="J431" s="75"/>
      <c r="K431" s="76"/>
      <c r="L431" s="75"/>
    </row>
    <row r="432" spans="1:12" ht="12.5" x14ac:dyDescent="0.25">
      <c r="A432" s="79"/>
      <c r="B432" s="80"/>
      <c r="C432" s="80"/>
      <c r="D432" s="75"/>
      <c r="E432" s="76"/>
      <c r="F432" s="77"/>
      <c r="G432" s="76"/>
      <c r="H432" s="75"/>
      <c r="I432" s="76"/>
      <c r="J432" s="75"/>
      <c r="K432" s="76"/>
      <c r="L432" s="75"/>
    </row>
    <row r="433" spans="1:12" ht="12.5" x14ac:dyDescent="0.25">
      <c r="A433" s="79"/>
      <c r="B433" s="80"/>
      <c r="C433" s="80"/>
      <c r="D433" s="75"/>
      <c r="E433" s="76"/>
      <c r="F433" s="77"/>
      <c r="G433" s="76"/>
      <c r="H433" s="75"/>
      <c r="I433" s="76"/>
      <c r="J433" s="75"/>
      <c r="K433" s="76"/>
      <c r="L433" s="75"/>
    </row>
    <row r="434" spans="1:12" ht="12.5" x14ac:dyDescent="0.25">
      <c r="A434" s="79"/>
      <c r="B434" s="80"/>
      <c r="C434" s="80"/>
      <c r="D434" s="75"/>
      <c r="E434" s="76"/>
      <c r="F434" s="77"/>
      <c r="G434" s="76"/>
      <c r="H434" s="75"/>
      <c r="I434" s="76"/>
      <c r="J434" s="75"/>
      <c r="K434" s="76"/>
      <c r="L434" s="75"/>
    </row>
    <row r="435" spans="1:12" ht="12.5" x14ac:dyDescent="0.25">
      <c r="A435" s="79"/>
      <c r="B435" s="80"/>
      <c r="C435" s="80"/>
      <c r="D435" s="75"/>
      <c r="E435" s="76"/>
      <c r="F435" s="77"/>
      <c r="G435" s="76"/>
      <c r="H435" s="75"/>
      <c r="I435" s="76"/>
      <c r="J435" s="75"/>
      <c r="K435" s="76"/>
      <c r="L435" s="75"/>
    </row>
    <row r="436" spans="1:12" ht="12.5" x14ac:dyDescent="0.25">
      <c r="A436" s="79"/>
      <c r="B436" s="80"/>
      <c r="C436" s="80"/>
      <c r="D436" s="75"/>
      <c r="E436" s="76"/>
      <c r="F436" s="77"/>
      <c r="G436" s="76"/>
      <c r="H436" s="75"/>
      <c r="I436" s="76"/>
      <c r="J436" s="75"/>
      <c r="K436" s="76"/>
      <c r="L436" s="75"/>
    </row>
    <row r="437" spans="1:12" ht="12.5" x14ac:dyDescent="0.25">
      <c r="A437" s="79"/>
      <c r="B437" s="80"/>
      <c r="C437" s="80"/>
      <c r="D437" s="75"/>
      <c r="E437" s="76"/>
      <c r="F437" s="77"/>
      <c r="G437" s="76"/>
      <c r="H437" s="75"/>
      <c r="I437" s="76"/>
      <c r="J437" s="75"/>
      <c r="K437" s="76"/>
      <c r="L437" s="75"/>
    </row>
    <row r="438" spans="1:12" ht="12.5" x14ac:dyDescent="0.25">
      <c r="A438" s="79"/>
      <c r="B438" s="80"/>
      <c r="C438" s="80"/>
      <c r="D438" s="75"/>
      <c r="E438" s="76"/>
      <c r="F438" s="77"/>
      <c r="G438" s="76"/>
      <c r="H438" s="75"/>
      <c r="I438" s="76"/>
      <c r="J438" s="75"/>
      <c r="K438" s="76"/>
      <c r="L438" s="75"/>
    </row>
    <row r="439" spans="1:12" ht="12.5" x14ac:dyDescent="0.25">
      <c r="A439" s="79"/>
      <c r="B439" s="80"/>
      <c r="C439" s="80"/>
      <c r="D439" s="75"/>
      <c r="E439" s="76"/>
      <c r="F439" s="77"/>
      <c r="G439" s="76"/>
      <c r="H439" s="75"/>
      <c r="I439" s="76"/>
      <c r="J439" s="75"/>
      <c r="K439" s="76"/>
      <c r="L439" s="75"/>
    </row>
    <row r="440" spans="1:12" ht="12.5" x14ac:dyDescent="0.25">
      <c r="A440" s="79"/>
      <c r="B440" s="80"/>
      <c r="C440" s="80"/>
      <c r="D440" s="75"/>
      <c r="E440" s="76"/>
      <c r="F440" s="77"/>
      <c r="G440" s="76"/>
      <c r="H440" s="75"/>
      <c r="I440" s="76"/>
      <c r="J440" s="75"/>
      <c r="K440" s="76"/>
      <c r="L440" s="75"/>
    </row>
    <row r="441" spans="1:12" ht="12.5" x14ac:dyDescent="0.25">
      <c r="A441" s="79"/>
      <c r="B441" s="80"/>
      <c r="C441" s="80"/>
      <c r="D441" s="75"/>
      <c r="E441" s="76"/>
      <c r="F441" s="77"/>
      <c r="G441" s="76"/>
      <c r="H441" s="75"/>
      <c r="I441" s="76"/>
      <c r="J441" s="75"/>
      <c r="K441" s="76"/>
      <c r="L441" s="75"/>
    </row>
    <row r="442" spans="1:12" ht="12.5" x14ac:dyDescent="0.25">
      <c r="A442" s="79"/>
      <c r="B442" s="80"/>
      <c r="C442" s="80"/>
      <c r="D442" s="75"/>
      <c r="E442" s="76"/>
      <c r="F442" s="77"/>
      <c r="G442" s="76"/>
      <c r="H442" s="75"/>
      <c r="I442" s="76"/>
      <c r="J442" s="75"/>
      <c r="K442" s="76"/>
      <c r="L442" s="75"/>
    </row>
    <row r="443" spans="1:12" ht="12.5" x14ac:dyDescent="0.25">
      <c r="A443" s="79"/>
      <c r="B443" s="80"/>
      <c r="C443" s="80"/>
      <c r="D443" s="75"/>
      <c r="E443" s="76"/>
      <c r="F443" s="77"/>
      <c r="G443" s="76"/>
      <c r="H443" s="75"/>
      <c r="I443" s="76"/>
      <c r="J443" s="75"/>
      <c r="K443" s="76"/>
      <c r="L443" s="75"/>
    </row>
    <row r="444" spans="1:12" ht="12.5" x14ac:dyDescent="0.25">
      <c r="A444" s="79"/>
      <c r="B444" s="80"/>
      <c r="C444" s="80"/>
      <c r="D444" s="75"/>
      <c r="E444" s="76"/>
      <c r="F444" s="77"/>
      <c r="G444" s="76"/>
      <c r="H444" s="75"/>
      <c r="I444" s="76"/>
      <c r="J444" s="75"/>
      <c r="K444" s="76"/>
      <c r="L444" s="75"/>
    </row>
    <row r="445" spans="1:12" ht="12.5" x14ac:dyDescent="0.25">
      <c r="A445" s="79"/>
      <c r="B445" s="80"/>
      <c r="C445" s="80"/>
      <c r="D445" s="75"/>
      <c r="E445" s="76"/>
      <c r="F445" s="77"/>
      <c r="G445" s="76"/>
      <c r="H445" s="75"/>
      <c r="I445" s="76"/>
      <c r="J445" s="75"/>
      <c r="K445" s="76"/>
      <c r="L445" s="75"/>
    </row>
    <row r="446" spans="1:12" ht="12.5" x14ac:dyDescent="0.25">
      <c r="A446" s="79"/>
      <c r="B446" s="80"/>
      <c r="C446" s="80"/>
      <c r="D446" s="75"/>
      <c r="E446" s="76"/>
      <c r="F446" s="77"/>
      <c r="G446" s="76"/>
      <c r="H446" s="75"/>
      <c r="I446" s="76"/>
      <c r="J446" s="75"/>
      <c r="K446" s="76"/>
      <c r="L446" s="75"/>
    </row>
    <row r="447" spans="1:12" ht="12.5" x14ac:dyDescent="0.25">
      <c r="A447" s="79"/>
      <c r="B447" s="80"/>
      <c r="C447" s="80"/>
      <c r="D447" s="75"/>
      <c r="E447" s="76"/>
      <c r="F447" s="77"/>
      <c r="G447" s="76"/>
      <c r="H447" s="75"/>
      <c r="I447" s="76"/>
      <c r="J447" s="75"/>
      <c r="K447" s="76"/>
      <c r="L447" s="75"/>
    </row>
    <row r="448" spans="1:12" ht="12.5" x14ac:dyDescent="0.25">
      <c r="A448" s="79"/>
      <c r="B448" s="80"/>
      <c r="C448" s="80"/>
      <c r="D448" s="75"/>
      <c r="E448" s="76"/>
      <c r="F448" s="77"/>
      <c r="G448" s="76"/>
      <c r="H448" s="75"/>
      <c r="I448" s="76"/>
      <c r="J448" s="75"/>
      <c r="K448" s="76"/>
      <c r="L448" s="75"/>
    </row>
    <row r="449" spans="1:12" ht="12.5" x14ac:dyDescent="0.25">
      <c r="A449" s="79"/>
      <c r="B449" s="80"/>
      <c r="C449" s="80"/>
      <c r="D449" s="75"/>
      <c r="E449" s="76"/>
      <c r="F449" s="77"/>
      <c r="G449" s="76"/>
      <c r="H449" s="75"/>
      <c r="I449" s="76"/>
      <c r="J449" s="75"/>
      <c r="K449" s="76"/>
      <c r="L449" s="75"/>
    </row>
    <row r="450" spans="1:12" ht="12.5" x14ac:dyDescent="0.25">
      <c r="A450" s="79"/>
      <c r="B450" s="80"/>
      <c r="C450" s="80"/>
      <c r="D450" s="75"/>
      <c r="E450" s="76"/>
      <c r="F450" s="77"/>
      <c r="G450" s="76"/>
      <c r="H450" s="75"/>
      <c r="I450" s="76"/>
      <c r="J450" s="75"/>
      <c r="K450" s="76"/>
      <c r="L450" s="75"/>
    </row>
    <row r="451" spans="1:12" ht="12.5" x14ac:dyDescent="0.25">
      <c r="A451" s="79"/>
      <c r="B451" s="80"/>
      <c r="C451" s="80"/>
      <c r="D451" s="75"/>
      <c r="E451" s="76"/>
      <c r="F451" s="77"/>
      <c r="G451" s="76"/>
      <c r="H451" s="75"/>
      <c r="I451" s="76"/>
      <c r="J451" s="75"/>
      <c r="K451" s="76"/>
      <c r="L451" s="75"/>
    </row>
    <row r="452" spans="1:12" ht="12.5" x14ac:dyDescent="0.25">
      <c r="A452" s="79"/>
      <c r="B452" s="80"/>
      <c r="C452" s="80"/>
      <c r="D452" s="75"/>
      <c r="E452" s="76"/>
      <c r="F452" s="77"/>
      <c r="G452" s="76"/>
      <c r="H452" s="75"/>
      <c r="I452" s="76"/>
      <c r="J452" s="75"/>
      <c r="K452" s="76"/>
      <c r="L452" s="75"/>
    </row>
    <row r="453" spans="1:12" ht="12.5" x14ac:dyDescent="0.25">
      <c r="A453" s="79"/>
      <c r="B453" s="80"/>
      <c r="C453" s="80"/>
      <c r="D453" s="75"/>
      <c r="E453" s="76"/>
      <c r="F453" s="77"/>
      <c r="G453" s="76"/>
      <c r="H453" s="75"/>
      <c r="I453" s="76"/>
      <c r="J453" s="75"/>
      <c r="K453" s="76"/>
      <c r="L453" s="75"/>
    </row>
    <row r="454" spans="1:12" ht="12.5" x14ac:dyDescent="0.25">
      <c r="A454" s="79"/>
      <c r="B454" s="80"/>
      <c r="C454" s="80"/>
      <c r="D454" s="75"/>
      <c r="E454" s="76"/>
      <c r="F454" s="77"/>
      <c r="G454" s="76"/>
      <c r="H454" s="75"/>
      <c r="I454" s="76"/>
      <c r="J454" s="75"/>
      <c r="K454" s="76"/>
      <c r="L454" s="75"/>
    </row>
    <row r="455" spans="1:12" ht="12.5" x14ac:dyDescent="0.25">
      <c r="A455" s="79"/>
      <c r="B455" s="80"/>
      <c r="C455" s="80"/>
      <c r="D455" s="75"/>
      <c r="E455" s="76"/>
      <c r="F455" s="77"/>
      <c r="G455" s="76"/>
      <c r="H455" s="75"/>
      <c r="I455" s="76"/>
      <c r="J455" s="75"/>
      <c r="K455" s="76"/>
      <c r="L455" s="75"/>
    </row>
    <row r="456" spans="1:12" ht="12.5" x14ac:dyDescent="0.25">
      <c r="A456" s="79"/>
      <c r="B456" s="80"/>
      <c r="C456" s="80"/>
      <c r="D456" s="75"/>
      <c r="E456" s="76"/>
      <c r="F456" s="77"/>
      <c r="G456" s="76"/>
      <c r="H456" s="75"/>
      <c r="I456" s="76"/>
      <c r="J456" s="75"/>
      <c r="K456" s="76"/>
      <c r="L456" s="75"/>
    </row>
    <row r="457" spans="1:12" ht="12.5" x14ac:dyDescent="0.25">
      <c r="A457" s="79"/>
      <c r="B457" s="80"/>
      <c r="C457" s="80"/>
      <c r="D457" s="75"/>
      <c r="E457" s="76"/>
      <c r="F457" s="77"/>
      <c r="G457" s="76"/>
      <c r="H457" s="75"/>
      <c r="I457" s="76"/>
      <c r="J457" s="75"/>
      <c r="K457" s="76"/>
      <c r="L457" s="75"/>
    </row>
    <row r="458" spans="1:12" ht="12.5" x14ac:dyDescent="0.25">
      <c r="A458" s="79"/>
      <c r="B458" s="80"/>
      <c r="C458" s="80"/>
      <c r="D458" s="75"/>
      <c r="E458" s="76"/>
      <c r="F458" s="77"/>
      <c r="G458" s="76"/>
      <c r="H458" s="75"/>
      <c r="I458" s="76"/>
      <c r="J458" s="75"/>
      <c r="K458" s="76"/>
      <c r="L458" s="75"/>
    </row>
    <row r="459" spans="1:12" ht="12.5" x14ac:dyDescent="0.25">
      <c r="A459" s="79"/>
      <c r="B459" s="80"/>
      <c r="C459" s="80"/>
      <c r="D459" s="75"/>
      <c r="E459" s="76"/>
      <c r="F459" s="77"/>
      <c r="G459" s="76"/>
      <c r="H459" s="75"/>
      <c r="I459" s="76"/>
      <c r="J459" s="75"/>
      <c r="K459" s="76"/>
      <c r="L459" s="75"/>
    </row>
    <row r="460" spans="1:12" ht="12.5" x14ac:dyDescent="0.25">
      <c r="A460" s="79"/>
      <c r="B460" s="80"/>
      <c r="C460" s="80"/>
      <c r="D460" s="75"/>
      <c r="E460" s="76"/>
      <c r="F460" s="77"/>
      <c r="G460" s="76"/>
      <c r="H460" s="75"/>
      <c r="I460" s="76"/>
      <c r="J460" s="75"/>
      <c r="K460" s="76"/>
      <c r="L460" s="75"/>
    </row>
    <row r="461" spans="1:12" ht="12.5" x14ac:dyDescent="0.25">
      <c r="A461" s="79"/>
      <c r="B461" s="80"/>
      <c r="C461" s="80"/>
      <c r="D461" s="75"/>
      <c r="E461" s="76"/>
      <c r="F461" s="77"/>
      <c r="G461" s="76"/>
      <c r="H461" s="75"/>
      <c r="I461" s="76"/>
      <c r="J461" s="75"/>
      <c r="K461" s="76"/>
      <c r="L461" s="75"/>
    </row>
    <row r="462" spans="1:12" ht="12.5" x14ac:dyDescent="0.25">
      <c r="A462" s="79"/>
      <c r="B462" s="80"/>
      <c r="C462" s="80"/>
      <c r="D462" s="75"/>
      <c r="E462" s="76"/>
      <c r="F462" s="77"/>
      <c r="G462" s="76"/>
      <c r="H462" s="75"/>
      <c r="I462" s="76"/>
      <c r="J462" s="75"/>
      <c r="K462" s="76"/>
      <c r="L462" s="75"/>
    </row>
    <row r="463" spans="1:12" ht="12.5" x14ac:dyDescent="0.25">
      <c r="A463" s="79"/>
      <c r="B463" s="80"/>
      <c r="C463" s="80"/>
      <c r="D463" s="75"/>
      <c r="E463" s="76"/>
      <c r="F463" s="77"/>
      <c r="G463" s="76"/>
      <c r="H463" s="75"/>
      <c r="I463" s="76"/>
      <c r="J463" s="75"/>
      <c r="K463" s="76"/>
      <c r="L463" s="75"/>
    </row>
    <row r="464" spans="1:12" ht="12.5" x14ac:dyDescent="0.25">
      <c r="A464" s="79"/>
      <c r="B464" s="80"/>
      <c r="C464" s="80"/>
      <c r="D464" s="75"/>
      <c r="E464" s="76"/>
      <c r="F464" s="77"/>
      <c r="G464" s="76"/>
      <c r="H464" s="75"/>
      <c r="I464" s="76"/>
      <c r="J464" s="75"/>
      <c r="K464" s="76"/>
      <c r="L464" s="75"/>
    </row>
    <row r="465" spans="1:12" ht="12.5" x14ac:dyDescent="0.25">
      <c r="A465" s="79"/>
      <c r="B465" s="80"/>
      <c r="C465" s="80"/>
      <c r="D465" s="75"/>
      <c r="E465" s="76"/>
      <c r="F465" s="77"/>
      <c r="G465" s="76"/>
      <c r="H465" s="75"/>
      <c r="I465" s="76"/>
      <c r="J465" s="75"/>
      <c r="K465" s="76"/>
      <c r="L465" s="75"/>
    </row>
    <row r="466" spans="1:12" ht="12.5" x14ac:dyDescent="0.25">
      <c r="A466" s="79"/>
      <c r="B466" s="80"/>
      <c r="C466" s="80"/>
      <c r="D466" s="75"/>
      <c r="E466" s="76"/>
      <c r="F466" s="77"/>
      <c r="G466" s="76"/>
      <c r="H466" s="75"/>
      <c r="I466" s="76"/>
      <c r="J466" s="75"/>
      <c r="K466" s="76"/>
      <c r="L466" s="75"/>
    </row>
    <row r="467" spans="1:12" ht="12.5" x14ac:dyDescent="0.25">
      <c r="A467" s="79"/>
      <c r="B467" s="80"/>
      <c r="C467" s="80"/>
      <c r="D467" s="75"/>
      <c r="E467" s="76"/>
      <c r="F467" s="77"/>
      <c r="G467" s="76"/>
      <c r="H467" s="75"/>
      <c r="I467" s="76"/>
      <c r="J467" s="75"/>
      <c r="K467" s="76"/>
      <c r="L467" s="75"/>
    </row>
    <row r="468" spans="1:12" ht="12.5" x14ac:dyDescent="0.25">
      <c r="A468" s="79"/>
      <c r="B468" s="80"/>
      <c r="C468" s="80"/>
      <c r="D468" s="75"/>
      <c r="E468" s="76"/>
      <c r="F468" s="77"/>
      <c r="G468" s="76"/>
      <c r="H468" s="75"/>
      <c r="I468" s="76"/>
      <c r="J468" s="75"/>
      <c r="K468" s="76"/>
      <c r="L468" s="75"/>
    </row>
    <row r="469" spans="1:12" ht="12.5" x14ac:dyDescent="0.25">
      <c r="A469" s="79"/>
      <c r="B469" s="80"/>
      <c r="C469" s="80"/>
      <c r="D469" s="75"/>
      <c r="E469" s="76"/>
      <c r="F469" s="77"/>
      <c r="G469" s="76"/>
      <c r="H469" s="75"/>
      <c r="I469" s="76"/>
      <c r="J469" s="75"/>
      <c r="K469" s="76"/>
      <c r="L469" s="75"/>
    </row>
    <row r="470" spans="1:12" ht="12.5" x14ac:dyDescent="0.25">
      <c r="A470" s="79"/>
      <c r="B470" s="80"/>
      <c r="C470" s="80"/>
      <c r="D470" s="75"/>
      <c r="E470" s="76"/>
      <c r="F470" s="77"/>
      <c r="G470" s="76"/>
      <c r="H470" s="75"/>
      <c r="I470" s="76"/>
      <c r="J470" s="75"/>
      <c r="K470" s="76"/>
      <c r="L470" s="75"/>
    </row>
    <row r="471" spans="1:12" ht="12.5" x14ac:dyDescent="0.25">
      <c r="A471" s="79"/>
      <c r="B471" s="80"/>
      <c r="C471" s="80"/>
      <c r="D471" s="75"/>
      <c r="E471" s="76"/>
      <c r="F471" s="77"/>
      <c r="G471" s="76"/>
      <c r="H471" s="75"/>
      <c r="I471" s="76"/>
      <c r="J471" s="75"/>
      <c r="K471" s="76"/>
      <c r="L471" s="75"/>
    </row>
    <row r="472" spans="1:12" ht="12.5" x14ac:dyDescent="0.25">
      <c r="A472" s="79"/>
      <c r="B472" s="80"/>
      <c r="C472" s="80"/>
      <c r="D472" s="75"/>
      <c r="E472" s="76"/>
      <c r="F472" s="77"/>
      <c r="G472" s="76"/>
      <c r="H472" s="75"/>
      <c r="I472" s="76"/>
      <c r="J472" s="75"/>
      <c r="K472" s="76"/>
      <c r="L472" s="75"/>
    </row>
    <row r="473" spans="1:12" ht="12.5" x14ac:dyDescent="0.25">
      <c r="A473" s="79"/>
      <c r="B473" s="80"/>
      <c r="C473" s="80"/>
      <c r="D473" s="75"/>
      <c r="E473" s="76"/>
      <c r="F473" s="77"/>
      <c r="G473" s="76"/>
      <c r="H473" s="75"/>
      <c r="I473" s="76"/>
      <c r="J473" s="75"/>
      <c r="K473" s="76"/>
      <c r="L473" s="75"/>
    </row>
    <row r="474" spans="1:12" ht="12.5" x14ac:dyDescent="0.25">
      <c r="A474" s="79"/>
      <c r="B474" s="80"/>
      <c r="C474" s="80"/>
      <c r="D474" s="75"/>
      <c r="E474" s="76"/>
      <c r="F474" s="77"/>
      <c r="G474" s="76"/>
      <c r="H474" s="75"/>
      <c r="I474" s="76"/>
      <c r="J474" s="75"/>
      <c r="K474" s="76"/>
      <c r="L474" s="75"/>
    </row>
    <row r="475" spans="1:12" ht="12.5" x14ac:dyDescent="0.25">
      <c r="A475" s="79"/>
      <c r="B475" s="80"/>
      <c r="C475" s="80"/>
      <c r="D475" s="75"/>
      <c r="E475" s="76"/>
      <c r="F475" s="77"/>
      <c r="G475" s="76"/>
      <c r="H475" s="75"/>
      <c r="I475" s="76"/>
      <c r="J475" s="75"/>
      <c r="K475" s="76"/>
      <c r="L475" s="75"/>
    </row>
    <row r="476" spans="1:12" ht="12.5" x14ac:dyDescent="0.25">
      <c r="A476" s="79"/>
      <c r="B476" s="80"/>
      <c r="C476" s="80"/>
      <c r="D476" s="75"/>
      <c r="E476" s="76"/>
      <c r="F476" s="77"/>
      <c r="G476" s="76"/>
      <c r="H476" s="75"/>
      <c r="I476" s="76"/>
      <c r="J476" s="75"/>
      <c r="K476" s="76"/>
      <c r="L476" s="75"/>
    </row>
    <row r="477" spans="1:12" ht="12.5" x14ac:dyDescent="0.25">
      <c r="A477" s="79"/>
      <c r="B477" s="80"/>
      <c r="C477" s="80"/>
      <c r="D477" s="75"/>
      <c r="E477" s="76"/>
      <c r="F477" s="77"/>
      <c r="G477" s="76"/>
      <c r="H477" s="75"/>
      <c r="I477" s="76"/>
      <c r="J477" s="75"/>
      <c r="K477" s="76"/>
      <c r="L477" s="75"/>
    </row>
    <row r="478" spans="1:12" ht="12.5" x14ac:dyDescent="0.25">
      <c r="A478" s="79"/>
      <c r="B478" s="80"/>
      <c r="C478" s="80"/>
      <c r="D478" s="75"/>
      <c r="E478" s="76"/>
      <c r="F478" s="77"/>
      <c r="G478" s="76"/>
      <c r="H478" s="75"/>
      <c r="I478" s="76"/>
      <c r="J478" s="75"/>
      <c r="K478" s="76"/>
      <c r="L478" s="75"/>
    </row>
    <row r="479" spans="1:12" ht="12.5" x14ac:dyDescent="0.25">
      <c r="A479" s="79"/>
      <c r="B479" s="80"/>
      <c r="C479" s="80"/>
      <c r="D479" s="75"/>
      <c r="E479" s="76"/>
      <c r="F479" s="77"/>
      <c r="G479" s="76"/>
      <c r="H479" s="75"/>
      <c r="I479" s="76"/>
      <c r="J479" s="75"/>
      <c r="K479" s="76"/>
      <c r="L479" s="75"/>
    </row>
    <row r="480" spans="1:12" ht="12.5" x14ac:dyDescent="0.25">
      <c r="A480" s="79"/>
      <c r="B480" s="80"/>
      <c r="C480" s="80"/>
      <c r="D480" s="75"/>
      <c r="E480" s="76"/>
      <c r="F480" s="77"/>
      <c r="G480" s="76"/>
      <c r="H480" s="75"/>
      <c r="I480" s="76"/>
      <c r="J480" s="75"/>
      <c r="K480" s="76"/>
      <c r="L480" s="75"/>
    </row>
    <row r="481" spans="1:12" ht="12.5" x14ac:dyDescent="0.25">
      <c r="A481" s="79"/>
      <c r="B481" s="80"/>
      <c r="C481" s="80"/>
      <c r="D481" s="75"/>
      <c r="E481" s="76"/>
      <c r="F481" s="77"/>
      <c r="G481" s="76"/>
      <c r="H481" s="75"/>
      <c r="I481" s="76"/>
      <c r="J481" s="75"/>
      <c r="K481" s="76"/>
      <c r="L481" s="75"/>
    </row>
    <row r="482" spans="1:12" ht="12.5" x14ac:dyDescent="0.25">
      <c r="A482" s="79"/>
      <c r="B482" s="80"/>
      <c r="C482" s="80"/>
      <c r="D482" s="75"/>
      <c r="E482" s="76"/>
      <c r="F482" s="77"/>
      <c r="G482" s="76"/>
      <c r="H482" s="75"/>
      <c r="I482" s="76"/>
      <c r="J482" s="75"/>
      <c r="K482" s="76"/>
      <c r="L482" s="75"/>
    </row>
    <row r="483" spans="1:12" ht="12.5" x14ac:dyDescent="0.25">
      <c r="A483" s="79"/>
      <c r="B483" s="80"/>
      <c r="C483" s="80"/>
      <c r="D483" s="75"/>
      <c r="E483" s="76"/>
      <c r="F483" s="77"/>
      <c r="G483" s="76"/>
      <c r="H483" s="75"/>
      <c r="I483" s="76"/>
      <c r="J483" s="75"/>
      <c r="K483" s="76"/>
      <c r="L483" s="75"/>
    </row>
    <row r="484" spans="1:12" ht="12.5" x14ac:dyDescent="0.25">
      <c r="A484" s="79"/>
      <c r="B484" s="80"/>
      <c r="C484" s="80"/>
      <c r="D484" s="75"/>
      <c r="E484" s="76"/>
      <c r="F484" s="77"/>
      <c r="G484" s="76"/>
      <c r="H484" s="75"/>
      <c r="I484" s="76"/>
      <c r="J484" s="75"/>
      <c r="K484" s="76"/>
      <c r="L484" s="75"/>
    </row>
    <row r="485" spans="1:12" ht="12.5" x14ac:dyDescent="0.25">
      <c r="A485" s="79"/>
      <c r="B485" s="80"/>
      <c r="C485" s="80"/>
      <c r="D485" s="75"/>
      <c r="E485" s="76"/>
      <c r="F485" s="77"/>
      <c r="G485" s="76"/>
      <c r="H485" s="75"/>
      <c r="I485" s="76"/>
      <c r="J485" s="75"/>
      <c r="K485" s="76"/>
      <c r="L485" s="75"/>
    </row>
    <row r="486" spans="1:12" ht="12.5" x14ac:dyDescent="0.25">
      <c r="A486" s="79"/>
      <c r="B486" s="80"/>
      <c r="C486" s="80"/>
      <c r="D486" s="75"/>
      <c r="E486" s="76"/>
      <c r="F486" s="77"/>
      <c r="G486" s="76"/>
      <c r="H486" s="75"/>
      <c r="I486" s="76"/>
      <c r="J486" s="75"/>
      <c r="K486" s="76"/>
      <c r="L486" s="75"/>
    </row>
    <row r="487" spans="1:12" ht="12.5" x14ac:dyDescent="0.25">
      <c r="A487" s="79"/>
      <c r="B487" s="80"/>
      <c r="C487" s="80"/>
      <c r="D487" s="75"/>
      <c r="E487" s="76"/>
      <c r="F487" s="77"/>
      <c r="G487" s="76"/>
      <c r="H487" s="75"/>
      <c r="I487" s="76"/>
      <c r="J487" s="75"/>
      <c r="K487" s="76"/>
      <c r="L487" s="75"/>
    </row>
    <row r="488" spans="1:12" ht="12.5" x14ac:dyDescent="0.25">
      <c r="A488" s="79"/>
      <c r="B488" s="80"/>
      <c r="C488" s="80"/>
      <c r="D488" s="75"/>
      <c r="E488" s="76"/>
      <c r="F488" s="77"/>
      <c r="G488" s="76"/>
      <c r="H488" s="75"/>
      <c r="I488" s="76"/>
      <c r="J488" s="75"/>
      <c r="K488" s="76"/>
      <c r="L488" s="75"/>
    </row>
    <row r="489" spans="1:12" ht="12.5" x14ac:dyDescent="0.25">
      <c r="A489" s="79"/>
      <c r="B489" s="80"/>
      <c r="C489" s="80"/>
      <c r="D489" s="75"/>
      <c r="E489" s="76"/>
      <c r="F489" s="77"/>
      <c r="G489" s="76"/>
      <c r="H489" s="75"/>
      <c r="I489" s="76"/>
      <c r="J489" s="75"/>
      <c r="K489" s="76"/>
      <c r="L489" s="75"/>
    </row>
    <row r="490" spans="1:12" ht="12.5" x14ac:dyDescent="0.25">
      <c r="A490" s="79"/>
      <c r="B490" s="80"/>
      <c r="C490" s="80"/>
      <c r="D490" s="75"/>
      <c r="E490" s="76"/>
      <c r="F490" s="77"/>
      <c r="G490" s="76"/>
      <c r="H490" s="75"/>
      <c r="I490" s="76"/>
      <c r="J490" s="75"/>
      <c r="K490" s="76"/>
      <c r="L490" s="75"/>
    </row>
    <row r="491" spans="1:12" ht="12.5" x14ac:dyDescent="0.25">
      <c r="A491" s="79"/>
      <c r="B491" s="80"/>
      <c r="C491" s="80"/>
      <c r="D491" s="75"/>
      <c r="E491" s="76"/>
      <c r="F491" s="77"/>
      <c r="G491" s="76"/>
      <c r="H491" s="75"/>
      <c r="I491" s="76"/>
      <c r="J491" s="75"/>
      <c r="K491" s="76"/>
      <c r="L491" s="75"/>
    </row>
    <row r="492" spans="1:12" ht="12.5" x14ac:dyDescent="0.25">
      <c r="A492" s="79"/>
      <c r="B492" s="80"/>
      <c r="C492" s="80"/>
      <c r="D492" s="75"/>
      <c r="E492" s="76"/>
      <c r="F492" s="77"/>
      <c r="G492" s="76"/>
      <c r="H492" s="75"/>
      <c r="I492" s="76"/>
      <c r="J492" s="75"/>
      <c r="K492" s="76"/>
      <c r="L492" s="75"/>
    </row>
    <row r="493" spans="1:12" ht="12.5" x14ac:dyDescent="0.25">
      <c r="A493" s="79"/>
      <c r="B493" s="80"/>
      <c r="C493" s="80"/>
      <c r="D493" s="75"/>
      <c r="E493" s="76"/>
      <c r="F493" s="77"/>
      <c r="G493" s="76"/>
      <c r="H493" s="75"/>
      <c r="I493" s="76"/>
      <c r="J493" s="75"/>
      <c r="K493" s="76"/>
      <c r="L493" s="75"/>
    </row>
    <row r="494" spans="1:12" ht="12.5" x14ac:dyDescent="0.25">
      <c r="A494" s="79"/>
      <c r="B494" s="80"/>
      <c r="C494" s="80"/>
      <c r="D494" s="75"/>
      <c r="E494" s="76"/>
      <c r="F494" s="77"/>
      <c r="G494" s="76"/>
      <c r="H494" s="75"/>
      <c r="I494" s="76"/>
      <c r="J494" s="75"/>
      <c r="K494" s="76"/>
      <c r="L494" s="75"/>
    </row>
    <row r="495" spans="1:12" ht="12.5" x14ac:dyDescent="0.25">
      <c r="A495" s="79"/>
      <c r="B495" s="80"/>
      <c r="C495" s="80"/>
      <c r="D495" s="75"/>
      <c r="E495" s="76"/>
      <c r="F495" s="77"/>
      <c r="G495" s="76"/>
      <c r="H495" s="75"/>
      <c r="I495" s="76"/>
      <c r="J495" s="75"/>
      <c r="K495" s="76"/>
      <c r="L495" s="75"/>
    </row>
    <row r="496" spans="1:12" ht="12.5" x14ac:dyDescent="0.25">
      <c r="A496" s="79"/>
      <c r="B496" s="80"/>
      <c r="C496" s="80"/>
      <c r="D496" s="75"/>
      <c r="E496" s="76"/>
      <c r="F496" s="77"/>
      <c r="G496" s="76"/>
      <c r="H496" s="75"/>
      <c r="I496" s="76"/>
      <c r="J496" s="75"/>
      <c r="K496" s="76"/>
      <c r="L496" s="75"/>
    </row>
    <row r="497" spans="1:12" ht="12.5" x14ac:dyDescent="0.25">
      <c r="A497" s="79"/>
      <c r="B497" s="80"/>
      <c r="C497" s="80"/>
      <c r="D497" s="75"/>
      <c r="E497" s="76"/>
      <c r="F497" s="77"/>
      <c r="G497" s="76"/>
      <c r="H497" s="75"/>
      <c r="I497" s="76"/>
      <c r="J497" s="75"/>
      <c r="K497" s="76"/>
      <c r="L497" s="75"/>
    </row>
    <row r="498" spans="1:12" ht="12.5" x14ac:dyDescent="0.25">
      <c r="A498" s="79"/>
      <c r="B498" s="80"/>
      <c r="C498" s="80"/>
      <c r="D498" s="75"/>
      <c r="E498" s="76"/>
      <c r="F498" s="77"/>
      <c r="G498" s="76"/>
      <c r="H498" s="75"/>
      <c r="I498" s="76"/>
      <c r="J498" s="75"/>
      <c r="K498" s="76"/>
      <c r="L498" s="75"/>
    </row>
    <row r="499" spans="1:12" ht="12.5" x14ac:dyDescent="0.25">
      <c r="A499" s="79"/>
      <c r="B499" s="80"/>
      <c r="C499" s="80"/>
      <c r="D499" s="75"/>
      <c r="E499" s="76"/>
      <c r="F499" s="77"/>
      <c r="G499" s="76"/>
      <c r="H499" s="75"/>
      <c r="I499" s="76"/>
      <c r="J499" s="75"/>
      <c r="K499" s="76"/>
      <c r="L499" s="75"/>
    </row>
    <row r="500" spans="1:12" ht="12.5" x14ac:dyDescent="0.25">
      <c r="A500" s="79"/>
      <c r="B500" s="80"/>
      <c r="C500" s="80"/>
      <c r="D500" s="75"/>
      <c r="E500" s="76"/>
      <c r="F500" s="77"/>
      <c r="G500" s="76"/>
      <c r="H500" s="75"/>
      <c r="I500" s="76"/>
      <c r="J500" s="75"/>
      <c r="K500" s="76"/>
      <c r="L500" s="75"/>
    </row>
    <row r="501" spans="1:12" ht="12.5" x14ac:dyDescent="0.25">
      <c r="A501" s="79"/>
      <c r="B501" s="80"/>
      <c r="C501" s="80"/>
      <c r="D501" s="75"/>
      <c r="E501" s="76"/>
      <c r="F501" s="77"/>
      <c r="G501" s="76"/>
      <c r="H501" s="75"/>
      <c r="I501" s="76"/>
      <c r="J501" s="75"/>
      <c r="K501" s="76"/>
      <c r="L501" s="75"/>
    </row>
    <row r="502" spans="1:12" ht="12.5" x14ac:dyDescent="0.25">
      <c r="A502" s="79"/>
      <c r="B502" s="80"/>
      <c r="C502" s="80"/>
      <c r="D502" s="75"/>
      <c r="E502" s="76"/>
      <c r="F502" s="77"/>
      <c r="G502" s="76"/>
      <c r="H502" s="75"/>
      <c r="I502" s="76"/>
      <c r="J502" s="75"/>
      <c r="K502" s="76"/>
      <c r="L502" s="75"/>
    </row>
    <row r="503" spans="1:12" ht="12.5" x14ac:dyDescent="0.25">
      <c r="A503" s="79"/>
      <c r="B503" s="80"/>
      <c r="C503" s="80"/>
      <c r="D503" s="75"/>
      <c r="E503" s="76"/>
      <c r="F503" s="77"/>
      <c r="G503" s="76"/>
      <c r="H503" s="75"/>
      <c r="I503" s="76"/>
      <c r="J503" s="75"/>
      <c r="K503" s="76"/>
      <c r="L503" s="75"/>
    </row>
    <row r="504" spans="1:12" ht="12.5" x14ac:dyDescent="0.25">
      <c r="A504" s="79"/>
      <c r="B504" s="80"/>
      <c r="C504" s="80"/>
      <c r="D504" s="75"/>
      <c r="E504" s="76"/>
      <c r="F504" s="77"/>
      <c r="G504" s="76"/>
      <c r="H504" s="75"/>
      <c r="I504" s="76"/>
      <c r="J504" s="75"/>
      <c r="K504" s="76"/>
      <c r="L504" s="75"/>
    </row>
    <row r="505" spans="1:12" ht="12.5" x14ac:dyDescent="0.25">
      <c r="A505" s="79"/>
      <c r="B505" s="80"/>
      <c r="C505" s="80"/>
      <c r="D505" s="75"/>
      <c r="E505" s="76"/>
      <c r="F505" s="77"/>
      <c r="G505" s="76"/>
      <c r="H505" s="75"/>
      <c r="I505" s="76"/>
      <c r="J505" s="75"/>
      <c r="K505" s="76"/>
      <c r="L505" s="75"/>
    </row>
    <row r="506" spans="1:12" ht="12.5" x14ac:dyDescent="0.25">
      <c r="A506" s="79"/>
      <c r="B506" s="80"/>
      <c r="C506" s="80"/>
      <c r="D506" s="75"/>
      <c r="E506" s="76"/>
      <c r="F506" s="77"/>
      <c r="G506" s="76"/>
      <c r="H506" s="75"/>
      <c r="I506" s="76"/>
      <c r="J506" s="75"/>
      <c r="K506" s="76"/>
      <c r="L506" s="75"/>
    </row>
    <row r="507" spans="1:12" ht="12.5" x14ac:dyDescent="0.25">
      <c r="A507" s="79"/>
      <c r="B507" s="80"/>
      <c r="C507" s="80"/>
      <c r="D507" s="75"/>
      <c r="E507" s="76"/>
      <c r="F507" s="77"/>
      <c r="G507" s="76"/>
      <c r="H507" s="75"/>
      <c r="I507" s="76"/>
      <c r="J507" s="75"/>
      <c r="K507" s="76"/>
      <c r="L507" s="75"/>
    </row>
    <row r="508" spans="1:12" ht="12.5" x14ac:dyDescent="0.25">
      <c r="A508" s="79"/>
      <c r="B508" s="80"/>
      <c r="C508" s="80"/>
      <c r="D508" s="75"/>
      <c r="E508" s="76"/>
      <c r="F508" s="77"/>
      <c r="G508" s="76"/>
      <c r="H508" s="75"/>
      <c r="I508" s="76"/>
      <c r="J508" s="75"/>
      <c r="K508" s="76"/>
      <c r="L508" s="75"/>
    </row>
    <row r="509" spans="1:12" ht="12.5" x14ac:dyDescent="0.25">
      <c r="A509" s="79"/>
      <c r="B509" s="80"/>
      <c r="C509" s="80"/>
      <c r="D509" s="75"/>
      <c r="E509" s="76"/>
      <c r="F509" s="77"/>
      <c r="G509" s="76"/>
      <c r="H509" s="75"/>
      <c r="I509" s="76"/>
      <c r="J509" s="75"/>
      <c r="K509" s="76"/>
      <c r="L509" s="75"/>
    </row>
    <row r="510" spans="1:12" ht="12.5" x14ac:dyDescent="0.25">
      <c r="A510" s="79"/>
      <c r="B510" s="80"/>
      <c r="C510" s="80"/>
      <c r="D510" s="75"/>
      <c r="E510" s="76"/>
      <c r="F510" s="77"/>
      <c r="G510" s="76"/>
      <c r="H510" s="75"/>
      <c r="I510" s="76"/>
      <c r="J510" s="75"/>
      <c r="K510" s="76"/>
      <c r="L510" s="75"/>
    </row>
    <row r="511" spans="1:12" ht="12.5" x14ac:dyDescent="0.25">
      <c r="A511" s="79"/>
      <c r="B511" s="80"/>
      <c r="C511" s="80"/>
      <c r="D511" s="75"/>
      <c r="E511" s="76"/>
      <c r="F511" s="77"/>
      <c r="G511" s="76"/>
      <c r="H511" s="75"/>
      <c r="I511" s="76"/>
      <c r="J511" s="75"/>
      <c r="K511" s="76"/>
      <c r="L511" s="75"/>
    </row>
    <row r="512" spans="1:12" ht="12.5" x14ac:dyDescent="0.25">
      <c r="A512" s="79"/>
      <c r="B512" s="80"/>
      <c r="C512" s="80"/>
      <c r="D512" s="75"/>
      <c r="E512" s="76"/>
      <c r="F512" s="77"/>
      <c r="G512" s="76"/>
      <c r="H512" s="75"/>
      <c r="I512" s="76"/>
      <c r="J512" s="75"/>
      <c r="K512" s="76"/>
      <c r="L512" s="75"/>
    </row>
    <row r="513" spans="1:12" ht="12.5" x14ac:dyDescent="0.25">
      <c r="A513" s="79"/>
      <c r="B513" s="80"/>
      <c r="C513" s="80"/>
      <c r="D513" s="75"/>
      <c r="E513" s="76"/>
      <c r="F513" s="77"/>
      <c r="G513" s="76"/>
      <c r="H513" s="75"/>
      <c r="I513" s="76"/>
      <c r="J513" s="75"/>
      <c r="K513" s="76"/>
      <c r="L513" s="75"/>
    </row>
    <row r="514" spans="1:12" ht="12.5" x14ac:dyDescent="0.25">
      <c r="A514" s="79"/>
      <c r="B514" s="80"/>
      <c r="C514" s="80"/>
      <c r="D514" s="75"/>
      <c r="E514" s="76"/>
      <c r="F514" s="77"/>
      <c r="G514" s="76"/>
      <c r="H514" s="75"/>
      <c r="I514" s="76"/>
      <c r="J514" s="75"/>
      <c r="K514" s="76"/>
      <c r="L514" s="75"/>
    </row>
    <row r="515" spans="1:12" ht="12.5" x14ac:dyDescent="0.25">
      <c r="A515" s="79"/>
      <c r="B515" s="80"/>
      <c r="C515" s="80"/>
      <c r="D515" s="75"/>
      <c r="E515" s="76"/>
      <c r="F515" s="77"/>
      <c r="G515" s="76"/>
      <c r="H515" s="75"/>
      <c r="I515" s="76"/>
      <c r="J515" s="75"/>
      <c r="K515" s="76"/>
      <c r="L515" s="75"/>
    </row>
    <row r="516" spans="1:12" ht="12.5" x14ac:dyDescent="0.25">
      <c r="A516" s="79"/>
      <c r="B516" s="80"/>
      <c r="C516" s="80"/>
      <c r="D516" s="75"/>
      <c r="E516" s="76"/>
      <c r="F516" s="77"/>
      <c r="G516" s="76"/>
      <c r="H516" s="75"/>
      <c r="I516" s="76"/>
      <c r="J516" s="75"/>
      <c r="K516" s="76"/>
      <c r="L516" s="75"/>
    </row>
    <row r="517" spans="1:12" ht="12.5" x14ac:dyDescent="0.25">
      <c r="A517" s="79"/>
      <c r="B517" s="80"/>
      <c r="C517" s="80"/>
      <c r="D517" s="75"/>
      <c r="E517" s="76"/>
      <c r="F517" s="77"/>
      <c r="G517" s="76"/>
      <c r="H517" s="75"/>
      <c r="I517" s="76"/>
      <c r="J517" s="75"/>
      <c r="K517" s="76"/>
      <c r="L517" s="75"/>
    </row>
    <row r="518" spans="1:12" ht="12.5" x14ac:dyDescent="0.25">
      <c r="A518" s="79"/>
      <c r="B518" s="80"/>
      <c r="C518" s="80"/>
      <c r="D518" s="75"/>
      <c r="E518" s="76"/>
      <c r="F518" s="77"/>
      <c r="G518" s="76"/>
      <c r="H518" s="75"/>
      <c r="I518" s="76"/>
      <c r="J518" s="75"/>
      <c r="K518" s="76"/>
      <c r="L518" s="75"/>
    </row>
    <row r="519" spans="1:12" ht="12.5" x14ac:dyDescent="0.25">
      <c r="A519" s="79"/>
      <c r="B519" s="80"/>
      <c r="C519" s="80"/>
      <c r="D519" s="75"/>
      <c r="E519" s="76"/>
      <c r="F519" s="77"/>
      <c r="G519" s="76"/>
      <c r="H519" s="75"/>
      <c r="I519" s="76"/>
      <c r="J519" s="75"/>
      <c r="K519" s="76"/>
      <c r="L519" s="75"/>
    </row>
    <row r="520" spans="1:12" ht="12.5" x14ac:dyDescent="0.25">
      <c r="A520" s="79"/>
      <c r="B520" s="80"/>
      <c r="C520" s="80"/>
      <c r="D520" s="75"/>
      <c r="E520" s="76"/>
      <c r="F520" s="77"/>
      <c r="G520" s="76"/>
      <c r="H520" s="75"/>
      <c r="I520" s="76"/>
      <c r="J520" s="75"/>
      <c r="K520" s="76"/>
      <c r="L520" s="75"/>
    </row>
    <row r="521" spans="1:12" ht="12.5" x14ac:dyDescent="0.25">
      <c r="A521" s="79"/>
      <c r="B521" s="80"/>
      <c r="C521" s="80"/>
      <c r="D521" s="75"/>
      <c r="E521" s="76"/>
      <c r="F521" s="77"/>
      <c r="G521" s="76"/>
      <c r="H521" s="75"/>
      <c r="I521" s="76"/>
      <c r="J521" s="75"/>
      <c r="K521" s="76"/>
      <c r="L521" s="75"/>
    </row>
    <row r="522" spans="1:12" ht="12.5" x14ac:dyDescent="0.25">
      <c r="A522" s="79"/>
      <c r="B522" s="80"/>
      <c r="C522" s="80"/>
      <c r="D522" s="75"/>
      <c r="E522" s="76"/>
      <c r="F522" s="77"/>
      <c r="G522" s="76"/>
      <c r="H522" s="75"/>
      <c r="I522" s="76"/>
      <c r="J522" s="75"/>
      <c r="K522" s="76"/>
      <c r="L522" s="75"/>
    </row>
    <row r="523" spans="1:12" ht="12.5" x14ac:dyDescent="0.25">
      <c r="A523" s="79"/>
      <c r="B523" s="80"/>
      <c r="C523" s="80"/>
      <c r="D523" s="75"/>
      <c r="E523" s="76"/>
      <c r="F523" s="77"/>
      <c r="G523" s="76"/>
      <c r="H523" s="75"/>
      <c r="I523" s="76"/>
      <c r="J523" s="75"/>
      <c r="K523" s="76"/>
      <c r="L523" s="75"/>
    </row>
    <row r="524" spans="1:12" ht="12.5" x14ac:dyDescent="0.25">
      <c r="A524" s="79"/>
      <c r="B524" s="80"/>
      <c r="C524" s="80"/>
      <c r="D524" s="75"/>
      <c r="E524" s="76"/>
      <c r="F524" s="77"/>
      <c r="G524" s="76"/>
      <c r="H524" s="75"/>
      <c r="I524" s="76"/>
      <c r="J524" s="75"/>
      <c r="K524" s="76"/>
      <c r="L524" s="75"/>
    </row>
    <row r="525" spans="1:12" ht="12.5" x14ac:dyDescent="0.25">
      <c r="A525" s="79"/>
      <c r="B525" s="80"/>
      <c r="C525" s="80"/>
      <c r="D525" s="75"/>
      <c r="E525" s="76"/>
      <c r="F525" s="77"/>
      <c r="G525" s="76"/>
      <c r="H525" s="75"/>
      <c r="I525" s="76"/>
      <c r="J525" s="75"/>
      <c r="K525" s="76"/>
      <c r="L525" s="75"/>
    </row>
    <row r="526" spans="1:12" ht="12.5" x14ac:dyDescent="0.25">
      <c r="A526" s="79"/>
      <c r="B526" s="80"/>
      <c r="C526" s="80"/>
      <c r="D526" s="75"/>
      <c r="E526" s="76"/>
      <c r="F526" s="77"/>
      <c r="G526" s="76"/>
      <c r="H526" s="75"/>
      <c r="I526" s="76"/>
      <c r="J526" s="75"/>
      <c r="K526" s="76"/>
      <c r="L526" s="75"/>
    </row>
    <row r="527" spans="1:12" ht="12.5" x14ac:dyDescent="0.25">
      <c r="A527" s="79"/>
      <c r="B527" s="80"/>
      <c r="C527" s="80"/>
      <c r="D527" s="75"/>
      <c r="E527" s="76"/>
      <c r="F527" s="77"/>
      <c r="G527" s="76"/>
      <c r="H527" s="75"/>
      <c r="I527" s="76"/>
      <c r="J527" s="75"/>
      <c r="K527" s="76"/>
      <c r="L527" s="75"/>
    </row>
    <row r="528" spans="1:12" ht="12.5" x14ac:dyDescent="0.25">
      <c r="A528" s="79"/>
      <c r="B528" s="80"/>
      <c r="C528" s="80"/>
      <c r="D528" s="75"/>
      <c r="E528" s="76"/>
      <c r="F528" s="77"/>
      <c r="G528" s="76"/>
      <c r="H528" s="75"/>
      <c r="I528" s="76"/>
      <c r="J528" s="75"/>
      <c r="K528" s="76"/>
      <c r="L528" s="75"/>
    </row>
    <row r="529" spans="1:12" ht="12.5" x14ac:dyDescent="0.25">
      <c r="A529" s="79"/>
      <c r="B529" s="80"/>
      <c r="C529" s="80"/>
      <c r="D529" s="75"/>
      <c r="E529" s="76"/>
      <c r="F529" s="77"/>
      <c r="G529" s="76"/>
      <c r="H529" s="75"/>
      <c r="I529" s="76"/>
      <c r="J529" s="75"/>
      <c r="K529" s="76"/>
      <c r="L529" s="75"/>
    </row>
    <row r="530" spans="1:12" ht="12.5" x14ac:dyDescent="0.25">
      <c r="A530" s="79"/>
      <c r="B530" s="80"/>
      <c r="C530" s="80"/>
      <c r="D530" s="75"/>
      <c r="E530" s="76"/>
      <c r="F530" s="77"/>
      <c r="G530" s="76"/>
      <c r="H530" s="75"/>
      <c r="I530" s="76"/>
      <c r="J530" s="75"/>
      <c r="K530" s="76"/>
      <c r="L530" s="75"/>
    </row>
    <row r="531" spans="1:12" ht="12.5" x14ac:dyDescent="0.25">
      <c r="A531" s="79"/>
      <c r="B531" s="80"/>
      <c r="C531" s="80"/>
      <c r="D531" s="75"/>
      <c r="E531" s="76"/>
      <c r="F531" s="77"/>
      <c r="G531" s="76"/>
      <c r="H531" s="75"/>
      <c r="I531" s="76"/>
      <c r="J531" s="75"/>
      <c r="K531" s="76"/>
      <c r="L531" s="75"/>
    </row>
    <row r="532" spans="1:12" ht="12.5" x14ac:dyDescent="0.25">
      <c r="A532" s="79"/>
      <c r="B532" s="80"/>
      <c r="C532" s="80"/>
      <c r="D532" s="75"/>
      <c r="E532" s="76"/>
      <c r="F532" s="77"/>
      <c r="G532" s="76"/>
      <c r="H532" s="75"/>
      <c r="I532" s="76"/>
      <c r="J532" s="75"/>
      <c r="K532" s="76"/>
      <c r="L532" s="75"/>
    </row>
    <row r="533" spans="1:12" ht="12.5" x14ac:dyDescent="0.25">
      <c r="A533" s="79"/>
      <c r="B533" s="80"/>
      <c r="C533" s="80"/>
      <c r="D533" s="75"/>
      <c r="E533" s="76"/>
      <c r="F533" s="77"/>
      <c r="G533" s="76"/>
      <c r="H533" s="75"/>
      <c r="I533" s="76"/>
      <c r="J533" s="75"/>
      <c r="K533" s="76"/>
      <c r="L533" s="75"/>
    </row>
    <row r="534" spans="1:12" ht="12.5" x14ac:dyDescent="0.25">
      <c r="A534" s="79"/>
      <c r="B534" s="80"/>
      <c r="C534" s="80"/>
      <c r="D534" s="75"/>
      <c r="E534" s="76"/>
      <c r="F534" s="77"/>
      <c r="G534" s="76"/>
      <c r="H534" s="75"/>
      <c r="I534" s="76"/>
      <c r="J534" s="75"/>
      <c r="K534" s="76"/>
      <c r="L534" s="75"/>
    </row>
    <row r="535" spans="1:12" ht="12.5" x14ac:dyDescent="0.25">
      <c r="A535" s="79"/>
      <c r="B535" s="80"/>
      <c r="C535" s="80"/>
      <c r="D535" s="75"/>
      <c r="E535" s="76"/>
      <c r="F535" s="77"/>
      <c r="G535" s="76"/>
      <c r="H535" s="75"/>
      <c r="I535" s="76"/>
      <c r="J535" s="75"/>
      <c r="K535" s="76"/>
      <c r="L535" s="75"/>
    </row>
    <row r="536" spans="1:12" ht="12.5" x14ac:dyDescent="0.25">
      <c r="A536" s="79"/>
      <c r="B536" s="80"/>
      <c r="C536" s="80"/>
      <c r="D536" s="75"/>
      <c r="E536" s="76"/>
      <c r="F536" s="77"/>
      <c r="G536" s="76"/>
      <c r="H536" s="75"/>
      <c r="I536" s="76"/>
      <c r="J536" s="75"/>
      <c r="K536" s="76"/>
      <c r="L536" s="75"/>
    </row>
    <row r="537" spans="1:12" ht="12.5" x14ac:dyDescent="0.25">
      <c r="A537" s="79"/>
      <c r="B537" s="80"/>
      <c r="C537" s="80"/>
      <c r="D537" s="75"/>
      <c r="E537" s="76"/>
      <c r="F537" s="77"/>
      <c r="G537" s="76"/>
      <c r="H537" s="75"/>
      <c r="I537" s="76"/>
      <c r="J537" s="75"/>
      <c r="K537" s="76"/>
      <c r="L537" s="75"/>
    </row>
    <row r="538" spans="1:12" ht="12.5" x14ac:dyDescent="0.25">
      <c r="A538" s="79"/>
      <c r="B538" s="80"/>
      <c r="C538" s="80"/>
      <c r="D538" s="75"/>
      <c r="E538" s="76"/>
      <c r="F538" s="77"/>
      <c r="G538" s="76"/>
      <c r="H538" s="75"/>
      <c r="I538" s="76"/>
      <c r="J538" s="75"/>
      <c r="K538" s="76"/>
      <c r="L538" s="75"/>
    </row>
    <row r="539" spans="1:12" ht="12.5" x14ac:dyDescent="0.25">
      <c r="A539" s="79"/>
      <c r="B539" s="80"/>
      <c r="C539" s="80"/>
      <c r="D539" s="75"/>
      <c r="E539" s="76"/>
      <c r="F539" s="77"/>
      <c r="G539" s="76"/>
      <c r="H539" s="75"/>
      <c r="I539" s="76"/>
      <c r="J539" s="75"/>
      <c r="K539" s="76"/>
      <c r="L539" s="75"/>
    </row>
    <row r="540" spans="1:12" ht="12.5" x14ac:dyDescent="0.25">
      <c r="A540" s="79"/>
      <c r="B540" s="80"/>
      <c r="C540" s="80"/>
      <c r="D540" s="75"/>
      <c r="E540" s="76"/>
      <c r="F540" s="77"/>
      <c r="G540" s="76"/>
      <c r="H540" s="75"/>
      <c r="I540" s="76"/>
      <c r="J540" s="75"/>
      <c r="K540" s="76"/>
      <c r="L540" s="75"/>
    </row>
    <row r="541" spans="1:12" ht="12.5" x14ac:dyDescent="0.25">
      <c r="A541" s="79"/>
      <c r="B541" s="80"/>
      <c r="C541" s="80"/>
      <c r="D541" s="75"/>
      <c r="E541" s="76"/>
      <c r="F541" s="77"/>
      <c r="G541" s="76"/>
      <c r="H541" s="75"/>
      <c r="I541" s="76"/>
      <c r="J541" s="75"/>
      <c r="K541" s="76"/>
      <c r="L541" s="75"/>
    </row>
    <row r="542" spans="1:12" ht="12.5" x14ac:dyDescent="0.25">
      <c r="A542" s="79"/>
      <c r="B542" s="80"/>
      <c r="C542" s="80"/>
      <c r="D542" s="75"/>
      <c r="E542" s="76"/>
      <c r="F542" s="77"/>
      <c r="G542" s="76"/>
      <c r="H542" s="75"/>
      <c r="I542" s="76"/>
      <c r="J542" s="75"/>
      <c r="K542" s="76"/>
      <c r="L542" s="75"/>
    </row>
    <row r="543" spans="1:12" ht="12.5" x14ac:dyDescent="0.25">
      <c r="A543" s="79"/>
      <c r="B543" s="80"/>
      <c r="C543" s="80"/>
      <c r="D543" s="75"/>
      <c r="E543" s="76"/>
      <c r="F543" s="77"/>
      <c r="G543" s="76"/>
      <c r="H543" s="75"/>
      <c r="I543" s="76"/>
      <c r="J543" s="75"/>
      <c r="K543" s="76"/>
      <c r="L543" s="75"/>
    </row>
    <row r="544" spans="1:12" ht="12.5" x14ac:dyDescent="0.25">
      <c r="A544" s="79"/>
      <c r="B544" s="80"/>
      <c r="C544" s="80"/>
      <c r="D544" s="75"/>
      <c r="E544" s="76"/>
      <c r="F544" s="77"/>
      <c r="G544" s="76"/>
      <c r="H544" s="75"/>
      <c r="I544" s="76"/>
      <c r="J544" s="75"/>
      <c r="K544" s="76"/>
      <c r="L544" s="75"/>
    </row>
    <row r="545" spans="1:12" ht="12.5" x14ac:dyDescent="0.25">
      <c r="A545" s="79"/>
      <c r="B545" s="80"/>
      <c r="C545" s="80"/>
      <c r="D545" s="75"/>
      <c r="E545" s="76"/>
      <c r="F545" s="77"/>
      <c r="G545" s="76"/>
      <c r="H545" s="75"/>
      <c r="I545" s="76"/>
      <c r="J545" s="75"/>
      <c r="K545" s="76"/>
      <c r="L545" s="75"/>
    </row>
    <row r="546" spans="1:12" ht="12.5" x14ac:dyDescent="0.25">
      <c r="A546" s="79"/>
      <c r="B546" s="80"/>
      <c r="C546" s="80"/>
      <c r="D546" s="75"/>
      <c r="E546" s="76"/>
      <c r="F546" s="77"/>
      <c r="G546" s="76"/>
      <c r="H546" s="75"/>
      <c r="I546" s="76"/>
      <c r="J546" s="75"/>
      <c r="K546" s="76"/>
      <c r="L546" s="75"/>
    </row>
    <row r="547" spans="1:12" ht="12.5" x14ac:dyDescent="0.25">
      <c r="A547" s="79"/>
      <c r="B547" s="80"/>
      <c r="C547" s="80"/>
      <c r="D547" s="75"/>
      <c r="E547" s="76"/>
      <c r="F547" s="77"/>
      <c r="G547" s="76"/>
      <c r="H547" s="75"/>
      <c r="I547" s="76"/>
      <c r="J547" s="75"/>
      <c r="K547" s="76"/>
      <c r="L547" s="75"/>
    </row>
    <row r="548" spans="1:12" ht="12.5" x14ac:dyDescent="0.25">
      <c r="A548" s="79"/>
      <c r="B548" s="80"/>
      <c r="C548" s="80"/>
      <c r="D548" s="75"/>
      <c r="E548" s="76"/>
      <c r="F548" s="77"/>
      <c r="G548" s="76"/>
      <c r="H548" s="75"/>
      <c r="I548" s="76"/>
      <c r="J548" s="75"/>
      <c r="K548" s="76"/>
      <c r="L548" s="75"/>
    </row>
    <row r="549" spans="1:12" ht="12.5" x14ac:dyDescent="0.25">
      <c r="A549" s="79"/>
      <c r="B549" s="80"/>
      <c r="C549" s="80"/>
      <c r="D549" s="75"/>
      <c r="E549" s="76"/>
      <c r="F549" s="77"/>
      <c r="G549" s="76"/>
      <c r="H549" s="75"/>
      <c r="I549" s="76"/>
      <c r="J549" s="75"/>
      <c r="K549" s="76"/>
      <c r="L549" s="75"/>
    </row>
    <row r="550" spans="1:12" ht="12.5" x14ac:dyDescent="0.25">
      <c r="A550" s="79"/>
      <c r="B550" s="80"/>
      <c r="C550" s="80"/>
      <c r="D550" s="75"/>
      <c r="E550" s="76"/>
      <c r="F550" s="77"/>
      <c r="G550" s="76"/>
      <c r="H550" s="75"/>
      <c r="I550" s="76"/>
      <c r="J550" s="75"/>
      <c r="K550" s="76"/>
      <c r="L550" s="75"/>
    </row>
    <row r="551" spans="1:12" ht="12.5" x14ac:dyDescent="0.25">
      <c r="A551" s="79"/>
      <c r="B551" s="80"/>
      <c r="C551" s="80"/>
      <c r="D551" s="75"/>
      <c r="E551" s="76"/>
      <c r="F551" s="77"/>
      <c r="G551" s="76"/>
      <c r="H551" s="75"/>
      <c r="I551" s="76"/>
      <c r="J551" s="75"/>
      <c r="K551" s="76"/>
      <c r="L551" s="75"/>
    </row>
    <row r="552" spans="1:12" ht="12.5" x14ac:dyDescent="0.25">
      <c r="A552" s="79"/>
      <c r="B552" s="80"/>
      <c r="C552" s="80"/>
      <c r="D552" s="75"/>
      <c r="E552" s="76"/>
      <c r="F552" s="77"/>
      <c r="G552" s="76"/>
      <c r="H552" s="75"/>
      <c r="I552" s="76"/>
      <c r="J552" s="75"/>
      <c r="K552" s="76"/>
      <c r="L552" s="75"/>
    </row>
    <row r="553" spans="1:12" ht="12.5" x14ac:dyDescent="0.25">
      <c r="A553" s="79"/>
      <c r="B553" s="80"/>
      <c r="C553" s="80"/>
      <c r="D553" s="75"/>
      <c r="E553" s="76"/>
      <c r="F553" s="77"/>
      <c r="G553" s="76"/>
      <c r="H553" s="75"/>
      <c r="I553" s="76"/>
      <c r="J553" s="75"/>
      <c r="K553" s="76"/>
      <c r="L553" s="75"/>
    </row>
    <row r="554" spans="1:12" ht="12.5" x14ac:dyDescent="0.25">
      <c r="A554" s="79"/>
      <c r="B554" s="80"/>
      <c r="C554" s="80"/>
      <c r="D554" s="75"/>
      <c r="E554" s="76"/>
      <c r="F554" s="77"/>
      <c r="G554" s="76"/>
      <c r="H554" s="75"/>
      <c r="I554" s="76"/>
      <c r="J554" s="75"/>
      <c r="K554" s="76"/>
      <c r="L554" s="75"/>
    </row>
    <row r="555" spans="1:12" ht="12.5" x14ac:dyDescent="0.25">
      <c r="A555" s="79"/>
      <c r="B555" s="80"/>
      <c r="C555" s="80"/>
      <c r="D555" s="75"/>
      <c r="E555" s="76"/>
      <c r="F555" s="77"/>
      <c r="G555" s="76"/>
      <c r="H555" s="75"/>
      <c r="I555" s="76"/>
      <c r="J555" s="75"/>
      <c r="K555" s="76"/>
      <c r="L555" s="75"/>
    </row>
    <row r="556" spans="1:12" ht="12.5" x14ac:dyDescent="0.25">
      <c r="A556" s="79"/>
      <c r="B556" s="80"/>
      <c r="C556" s="80"/>
      <c r="D556" s="75"/>
      <c r="E556" s="76"/>
      <c r="F556" s="77"/>
      <c r="G556" s="76"/>
      <c r="H556" s="75"/>
      <c r="I556" s="76"/>
      <c r="J556" s="75"/>
      <c r="K556" s="76"/>
      <c r="L556" s="75"/>
    </row>
    <row r="557" spans="1:12" ht="12.5" x14ac:dyDescent="0.25">
      <c r="A557" s="79"/>
      <c r="B557" s="80"/>
      <c r="C557" s="80"/>
      <c r="D557" s="75"/>
      <c r="E557" s="76"/>
      <c r="F557" s="77"/>
      <c r="G557" s="76"/>
      <c r="H557" s="75"/>
      <c r="I557" s="76"/>
      <c r="J557" s="75"/>
      <c r="K557" s="76"/>
      <c r="L557" s="75"/>
    </row>
    <row r="558" spans="1:12" ht="12.5" x14ac:dyDescent="0.25">
      <c r="A558" s="79"/>
      <c r="B558" s="80"/>
      <c r="C558" s="80"/>
      <c r="D558" s="75"/>
      <c r="E558" s="76"/>
      <c r="F558" s="77"/>
      <c r="G558" s="76"/>
      <c r="H558" s="75"/>
      <c r="I558" s="76"/>
      <c r="J558" s="75"/>
      <c r="K558" s="76"/>
      <c r="L558" s="75"/>
    </row>
    <row r="559" spans="1:12" ht="12.5" x14ac:dyDescent="0.25">
      <c r="A559" s="79"/>
      <c r="B559" s="80"/>
      <c r="C559" s="80"/>
      <c r="D559" s="75"/>
      <c r="E559" s="76"/>
      <c r="F559" s="77"/>
      <c r="G559" s="76"/>
      <c r="H559" s="75"/>
      <c r="I559" s="76"/>
      <c r="J559" s="75"/>
      <c r="K559" s="76"/>
      <c r="L559" s="75"/>
    </row>
    <row r="560" spans="1:12" ht="12.5" x14ac:dyDescent="0.25">
      <c r="A560" s="79"/>
      <c r="B560" s="80"/>
      <c r="C560" s="80"/>
      <c r="D560" s="75"/>
      <c r="E560" s="76"/>
      <c r="F560" s="77"/>
      <c r="G560" s="76"/>
      <c r="H560" s="75"/>
      <c r="I560" s="76"/>
      <c r="J560" s="75"/>
      <c r="K560" s="76"/>
      <c r="L560" s="75"/>
    </row>
    <row r="561" spans="1:12" ht="12.5" x14ac:dyDescent="0.25">
      <c r="A561" s="79"/>
      <c r="B561" s="80"/>
      <c r="C561" s="80"/>
      <c r="D561" s="75"/>
      <c r="E561" s="76"/>
      <c r="F561" s="77"/>
      <c r="G561" s="76"/>
      <c r="H561" s="75"/>
      <c r="I561" s="76"/>
      <c r="J561" s="75"/>
      <c r="K561" s="76"/>
      <c r="L561" s="75"/>
    </row>
    <row r="562" spans="1:12" ht="12.5" x14ac:dyDescent="0.25">
      <c r="A562" s="79"/>
      <c r="B562" s="80"/>
      <c r="C562" s="80"/>
      <c r="D562" s="75"/>
      <c r="E562" s="76"/>
      <c r="F562" s="77"/>
      <c r="G562" s="76"/>
      <c r="H562" s="75"/>
      <c r="I562" s="76"/>
      <c r="J562" s="75"/>
      <c r="K562" s="76"/>
      <c r="L562" s="75"/>
    </row>
    <row r="563" spans="1:12" ht="12.5" x14ac:dyDescent="0.25">
      <c r="A563" s="79"/>
      <c r="B563" s="80"/>
      <c r="C563" s="80"/>
      <c r="D563" s="75"/>
      <c r="E563" s="76"/>
      <c r="F563" s="77"/>
      <c r="G563" s="76"/>
      <c r="H563" s="75"/>
      <c r="I563" s="76"/>
      <c r="J563" s="75"/>
      <c r="K563" s="76"/>
      <c r="L563" s="75"/>
    </row>
    <row r="564" spans="1:12" ht="12.5" x14ac:dyDescent="0.25">
      <c r="A564" s="79"/>
      <c r="B564" s="80"/>
      <c r="C564" s="80"/>
      <c r="D564" s="75"/>
      <c r="E564" s="76"/>
      <c r="F564" s="77"/>
      <c r="G564" s="76"/>
      <c r="H564" s="75"/>
      <c r="I564" s="76"/>
      <c r="J564" s="75"/>
      <c r="K564" s="76"/>
      <c r="L564" s="75"/>
    </row>
    <row r="565" spans="1:12" ht="12.5" x14ac:dyDescent="0.25">
      <c r="A565" s="79"/>
      <c r="B565" s="80"/>
      <c r="C565" s="80"/>
      <c r="D565" s="75"/>
      <c r="E565" s="76"/>
      <c r="F565" s="77"/>
      <c r="G565" s="76"/>
      <c r="H565" s="75"/>
      <c r="I565" s="76"/>
      <c r="J565" s="75"/>
      <c r="K565" s="76"/>
      <c r="L565" s="75"/>
    </row>
    <row r="566" spans="1:12" ht="12.5" x14ac:dyDescent="0.25">
      <c r="A566" s="79"/>
      <c r="B566" s="80"/>
      <c r="C566" s="80"/>
      <c r="D566" s="75"/>
      <c r="E566" s="76"/>
      <c r="F566" s="77"/>
      <c r="G566" s="76"/>
      <c r="H566" s="75"/>
      <c r="I566" s="76"/>
      <c r="J566" s="75"/>
      <c r="K566" s="76"/>
      <c r="L566" s="75"/>
    </row>
    <row r="567" spans="1:12" ht="12.5" x14ac:dyDescent="0.25">
      <c r="A567" s="79"/>
      <c r="B567" s="80"/>
      <c r="C567" s="80"/>
      <c r="D567" s="75"/>
      <c r="E567" s="76"/>
      <c r="F567" s="77"/>
      <c r="G567" s="76"/>
      <c r="H567" s="75"/>
      <c r="I567" s="76"/>
      <c r="J567" s="75"/>
      <c r="K567" s="76"/>
      <c r="L567" s="75"/>
    </row>
    <row r="568" spans="1:12" ht="12.5" x14ac:dyDescent="0.25">
      <c r="A568" s="79"/>
      <c r="B568" s="80"/>
      <c r="C568" s="80"/>
      <c r="D568" s="75"/>
      <c r="E568" s="76"/>
      <c r="F568" s="77"/>
      <c r="G568" s="76"/>
      <c r="H568" s="75"/>
      <c r="I568" s="76"/>
      <c r="J568" s="75"/>
      <c r="K568" s="76"/>
      <c r="L568" s="75"/>
    </row>
    <row r="569" spans="1:12" ht="12.5" x14ac:dyDescent="0.25">
      <c r="A569" s="79"/>
      <c r="B569" s="80"/>
      <c r="C569" s="80"/>
      <c r="D569" s="75"/>
      <c r="E569" s="76"/>
      <c r="F569" s="77"/>
      <c r="G569" s="76"/>
      <c r="H569" s="75"/>
      <c r="I569" s="76"/>
      <c r="J569" s="75"/>
      <c r="K569" s="76"/>
      <c r="L569" s="75"/>
    </row>
    <row r="570" spans="1:12" ht="12.5" x14ac:dyDescent="0.25">
      <c r="A570" s="79"/>
      <c r="B570" s="80"/>
      <c r="C570" s="80"/>
      <c r="D570" s="75"/>
      <c r="E570" s="76"/>
      <c r="F570" s="77"/>
      <c r="G570" s="76"/>
      <c r="H570" s="75"/>
      <c r="I570" s="76"/>
      <c r="J570" s="75"/>
      <c r="K570" s="76"/>
      <c r="L570" s="75"/>
    </row>
    <row r="571" spans="1:12" ht="12.5" x14ac:dyDescent="0.25">
      <c r="A571" s="79"/>
      <c r="B571" s="80"/>
      <c r="C571" s="80"/>
      <c r="D571" s="75"/>
      <c r="E571" s="76"/>
      <c r="F571" s="77"/>
      <c r="G571" s="76"/>
      <c r="H571" s="75"/>
      <c r="I571" s="76"/>
      <c r="J571" s="75"/>
      <c r="K571" s="76"/>
      <c r="L571" s="75"/>
    </row>
    <row r="572" spans="1:12" ht="12.5" x14ac:dyDescent="0.25">
      <c r="A572" s="79"/>
      <c r="B572" s="80"/>
      <c r="C572" s="80"/>
      <c r="D572" s="75"/>
      <c r="E572" s="76"/>
      <c r="F572" s="77"/>
      <c r="G572" s="76"/>
      <c r="H572" s="75"/>
      <c r="I572" s="76"/>
      <c r="J572" s="75"/>
      <c r="K572" s="76"/>
      <c r="L572" s="75"/>
    </row>
    <row r="573" spans="1:12" ht="12.5" x14ac:dyDescent="0.25">
      <c r="A573" s="79"/>
      <c r="B573" s="80"/>
      <c r="C573" s="80"/>
      <c r="D573" s="75"/>
      <c r="E573" s="76"/>
      <c r="F573" s="77"/>
      <c r="G573" s="76"/>
      <c r="H573" s="75"/>
      <c r="I573" s="76"/>
      <c r="J573" s="75"/>
      <c r="K573" s="76"/>
      <c r="L573" s="75"/>
    </row>
    <row r="574" spans="1:12" ht="12.5" x14ac:dyDescent="0.25">
      <c r="A574" s="79"/>
      <c r="B574" s="80"/>
      <c r="C574" s="80"/>
      <c r="D574" s="75"/>
      <c r="E574" s="76"/>
      <c r="F574" s="77"/>
      <c r="G574" s="76"/>
      <c r="H574" s="75"/>
      <c r="I574" s="76"/>
      <c r="J574" s="75"/>
      <c r="K574" s="76"/>
      <c r="L574" s="75"/>
    </row>
    <row r="575" spans="1:12" ht="12.5" x14ac:dyDescent="0.25">
      <c r="A575" s="79"/>
      <c r="B575" s="80"/>
      <c r="C575" s="80"/>
      <c r="D575" s="75"/>
      <c r="E575" s="76"/>
      <c r="F575" s="77"/>
      <c r="G575" s="76"/>
      <c r="H575" s="75"/>
      <c r="I575" s="76"/>
      <c r="J575" s="75"/>
      <c r="K575" s="76"/>
      <c r="L575" s="75"/>
    </row>
    <row r="576" spans="1:12" ht="12.5" x14ac:dyDescent="0.25">
      <c r="A576" s="79"/>
      <c r="B576" s="80"/>
      <c r="C576" s="80"/>
      <c r="D576" s="75"/>
      <c r="E576" s="76"/>
      <c r="F576" s="77"/>
      <c r="G576" s="76"/>
      <c r="H576" s="75"/>
      <c r="I576" s="76"/>
      <c r="J576" s="75"/>
      <c r="K576" s="76"/>
      <c r="L576" s="75"/>
    </row>
    <row r="577" spans="1:12" ht="12.5" x14ac:dyDescent="0.25">
      <c r="A577" s="79"/>
      <c r="B577" s="80"/>
      <c r="C577" s="80"/>
      <c r="D577" s="75"/>
      <c r="E577" s="76"/>
      <c r="F577" s="77"/>
      <c r="G577" s="76"/>
      <c r="H577" s="75"/>
      <c r="I577" s="76"/>
      <c r="J577" s="75"/>
      <c r="K577" s="76"/>
      <c r="L577" s="75"/>
    </row>
    <row r="578" spans="1:12" ht="12.5" x14ac:dyDescent="0.25">
      <c r="A578" s="79"/>
      <c r="B578" s="80"/>
      <c r="C578" s="80"/>
      <c r="D578" s="75"/>
      <c r="E578" s="76"/>
      <c r="F578" s="77"/>
      <c r="G578" s="76"/>
      <c r="H578" s="75"/>
      <c r="I578" s="76"/>
      <c r="J578" s="75"/>
      <c r="K578" s="76"/>
      <c r="L578" s="75"/>
    </row>
    <row r="579" spans="1:12" ht="12.5" x14ac:dyDescent="0.25">
      <c r="A579" s="79"/>
      <c r="B579" s="80"/>
      <c r="C579" s="80"/>
      <c r="D579" s="75"/>
      <c r="E579" s="76"/>
      <c r="F579" s="77"/>
      <c r="G579" s="76"/>
      <c r="H579" s="75"/>
      <c r="I579" s="76"/>
      <c r="J579" s="75"/>
      <c r="K579" s="76"/>
      <c r="L579" s="75"/>
    </row>
    <row r="580" spans="1:12" ht="12.5" x14ac:dyDescent="0.25">
      <c r="A580" s="79"/>
      <c r="B580" s="80"/>
      <c r="C580" s="80"/>
      <c r="D580" s="75"/>
      <c r="E580" s="76"/>
      <c r="F580" s="77"/>
      <c r="G580" s="76"/>
      <c r="H580" s="75"/>
      <c r="I580" s="76"/>
      <c r="J580" s="75"/>
      <c r="K580" s="76"/>
      <c r="L580" s="75"/>
    </row>
    <row r="581" spans="1:12" ht="12.5" x14ac:dyDescent="0.25">
      <c r="A581" s="79"/>
      <c r="B581" s="80"/>
      <c r="C581" s="80"/>
      <c r="D581" s="75"/>
      <c r="E581" s="76"/>
      <c r="F581" s="77"/>
      <c r="G581" s="76"/>
      <c r="H581" s="75"/>
      <c r="I581" s="76"/>
      <c r="J581" s="75"/>
      <c r="K581" s="76"/>
      <c r="L581" s="75"/>
    </row>
    <row r="582" spans="1:12" ht="12.5" x14ac:dyDescent="0.25">
      <c r="A582" s="79"/>
      <c r="B582" s="80"/>
      <c r="C582" s="80"/>
      <c r="D582" s="75"/>
      <c r="E582" s="76"/>
      <c r="F582" s="77"/>
      <c r="G582" s="76"/>
      <c r="H582" s="75"/>
      <c r="I582" s="76"/>
      <c r="J582" s="75"/>
      <c r="K582" s="76"/>
      <c r="L582" s="75"/>
    </row>
    <row r="583" spans="1:12" ht="12.5" x14ac:dyDescent="0.25">
      <c r="A583" s="79"/>
      <c r="B583" s="80"/>
      <c r="C583" s="80"/>
      <c r="D583" s="75"/>
      <c r="E583" s="76"/>
      <c r="F583" s="77"/>
      <c r="G583" s="76"/>
      <c r="H583" s="75"/>
      <c r="I583" s="76"/>
      <c r="J583" s="75"/>
      <c r="K583" s="76"/>
      <c r="L583" s="75"/>
    </row>
    <row r="584" spans="1:12" ht="12.5" x14ac:dyDescent="0.25">
      <c r="A584" s="79"/>
      <c r="B584" s="80"/>
      <c r="C584" s="80"/>
      <c r="D584" s="75"/>
      <c r="E584" s="76"/>
      <c r="F584" s="77"/>
      <c r="G584" s="76"/>
      <c r="H584" s="75"/>
      <c r="I584" s="76"/>
      <c r="J584" s="75"/>
      <c r="K584" s="76"/>
      <c r="L584" s="75"/>
    </row>
    <row r="585" spans="1:12" ht="12.5" x14ac:dyDescent="0.25">
      <c r="A585" s="79"/>
      <c r="B585" s="80"/>
      <c r="C585" s="80"/>
      <c r="D585" s="75"/>
      <c r="E585" s="76"/>
      <c r="F585" s="77"/>
      <c r="G585" s="76"/>
      <c r="H585" s="75"/>
      <c r="I585" s="76"/>
      <c r="J585" s="75"/>
      <c r="K585" s="76"/>
      <c r="L585" s="75"/>
    </row>
    <row r="586" spans="1:12" ht="12.5" x14ac:dyDescent="0.25">
      <c r="A586" s="79"/>
      <c r="B586" s="80"/>
      <c r="C586" s="80"/>
      <c r="D586" s="75"/>
      <c r="E586" s="76"/>
      <c r="F586" s="77"/>
      <c r="G586" s="76"/>
      <c r="H586" s="75"/>
      <c r="I586" s="76"/>
      <c r="J586" s="75"/>
      <c r="K586" s="76"/>
      <c r="L586" s="75"/>
    </row>
    <row r="587" spans="1:12" ht="12.5" x14ac:dyDescent="0.25">
      <c r="A587" s="79"/>
      <c r="B587" s="80"/>
      <c r="C587" s="80"/>
      <c r="D587" s="75"/>
      <c r="E587" s="76"/>
      <c r="F587" s="77"/>
      <c r="G587" s="76"/>
      <c r="H587" s="75"/>
      <c r="I587" s="76"/>
      <c r="J587" s="75"/>
      <c r="K587" s="76"/>
      <c r="L587" s="75"/>
    </row>
    <row r="588" spans="1:12" ht="12.5" x14ac:dyDescent="0.25">
      <c r="A588" s="79"/>
      <c r="B588" s="80"/>
      <c r="C588" s="80"/>
      <c r="D588" s="75"/>
      <c r="E588" s="76"/>
      <c r="F588" s="77"/>
      <c r="G588" s="76"/>
      <c r="H588" s="75"/>
      <c r="I588" s="76"/>
      <c r="J588" s="75"/>
      <c r="K588" s="76"/>
      <c r="L588" s="75"/>
    </row>
    <row r="589" spans="1:12" ht="12.5" x14ac:dyDescent="0.25">
      <c r="A589" s="79"/>
      <c r="B589" s="80"/>
      <c r="C589" s="80"/>
      <c r="D589" s="75"/>
      <c r="E589" s="76"/>
      <c r="F589" s="77"/>
      <c r="G589" s="76"/>
      <c r="H589" s="75"/>
      <c r="I589" s="76"/>
      <c r="J589" s="75"/>
      <c r="K589" s="76"/>
      <c r="L589" s="75"/>
    </row>
    <row r="590" spans="1:12" ht="12.5" x14ac:dyDescent="0.25">
      <c r="A590" s="79"/>
      <c r="B590" s="80"/>
      <c r="C590" s="80"/>
      <c r="D590" s="75"/>
      <c r="E590" s="76"/>
      <c r="F590" s="77"/>
      <c r="G590" s="76"/>
      <c r="H590" s="75"/>
      <c r="I590" s="76"/>
      <c r="J590" s="75"/>
      <c r="K590" s="76"/>
      <c r="L590" s="75"/>
    </row>
    <row r="591" spans="1:12" ht="12.5" x14ac:dyDescent="0.25">
      <c r="A591" s="79"/>
      <c r="B591" s="80"/>
      <c r="C591" s="80"/>
      <c r="D591" s="75"/>
      <c r="E591" s="76"/>
      <c r="F591" s="77"/>
      <c r="G591" s="76"/>
      <c r="H591" s="75"/>
      <c r="I591" s="76"/>
      <c r="J591" s="75"/>
      <c r="K591" s="76"/>
      <c r="L591" s="75"/>
    </row>
    <row r="592" spans="1:12" ht="12.5" x14ac:dyDescent="0.25">
      <c r="A592" s="79"/>
      <c r="B592" s="80"/>
      <c r="C592" s="80"/>
      <c r="D592" s="75"/>
      <c r="E592" s="76"/>
      <c r="F592" s="77"/>
      <c r="G592" s="76"/>
      <c r="H592" s="75"/>
      <c r="I592" s="76"/>
      <c r="J592" s="75"/>
      <c r="K592" s="76"/>
      <c r="L592" s="75"/>
    </row>
    <row r="593" spans="1:12" ht="12.5" x14ac:dyDescent="0.25">
      <c r="A593" s="79"/>
      <c r="B593" s="80"/>
      <c r="C593" s="80"/>
      <c r="D593" s="75"/>
      <c r="E593" s="76"/>
      <c r="F593" s="77"/>
      <c r="G593" s="76"/>
      <c r="H593" s="75"/>
      <c r="I593" s="76"/>
      <c r="J593" s="75"/>
      <c r="K593" s="76"/>
      <c r="L593" s="75"/>
    </row>
    <row r="594" spans="1:12" ht="12.5" x14ac:dyDescent="0.25">
      <c r="A594" s="79"/>
      <c r="B594" s="80"/>
      <c r="C594" s="80"/>
      <c r="D594" s="75"/>
      <c r="E594" s="76"/>
      <c r="F594" s="77"/>
      <c r="G594" s="76"/>
      <c r="H594" s="75"/>
      <c r="I594" s="76"/>
      <c r="J594" s="75"/>
      <c r="K594" s="76"/>
      <c r="L594" s="75"/>
    </row>
    <row r="595" spans="1:12" ht="12.5" x14ac:dyDescent="0.25">
      <c r="A595" s="79"/>
      <c r="B595" s="80"/>
      <c r="C595" s="80"/>
      <c r="D595" s="75"/>
      <c r="E595" s="76"/>
      <c r="F595" s="77"/>
      <c r="G595" s="76"/>
      <c r="H595" s="75"/>
      <c r="I595" s="76"/>
      <c r="J595" s="75"/>
      <c r="K595" s="76"/>
      <c r="L595" s="75"/>
    </row>
    <row r="596" spans="1:12" ht="12.5" x14ac:dyDescent="0.25">
      <c r="A596" s="79"/>
      <c r="B596" s="80"/>
      <c r="C596" s="80"/>
      <c r="D596" s="75"/>
      <c r="E596" s="76"/>
      <c r="F596" s="77"/>
      <c r="G596" s="76"/>
      <c r="H596" s="75"/>
      <c r="I596" s="76"/>
      <c r="J596" s="75"/>
      <c r="K596" s="76"/>
      <c r="L596" s="75"/>
    </row>
    <row r="597" spans="1:12" ht="12.5" x14ac:dyDescent="0.25">
      <c r="A597" s="79"/>
      <c r="B597" s="80"/>
      <c r="C597" s="80"/>
      <c r="D597" s="75"/>
      <c r="E597" s="76"/>
      <c r="F597" s="77"/>
      <c r="G597" s="76"/>
      <c r="H597" s="75"/>
      <c r="I597" s="76"/>
      <c r="J597" s="75"/>
      <c r="K597" s="76"/>
      <c r="L597" s="75"/>
    </row>
    <row r="598" spans="1:12" ht="12.5" x14ac:dyDescent="0.25">
      <c r="A598" s="79"/>
      <c r="B598" s="80"/>
      <c r="C598" s="80"/>
      <c r="D598" s="75"/>
      <c r="E598" s="76"/>
      <c r="F598" s="77"/>
      <c r="G598" s="76"/>
      <c r="H598" s="75"/>
      <c r="I598" s="76"/>
      <c r="J598" s="75"/>
      <c r="K598" s="76"/>
      <c r="L598" s="75"/>
    </row>
    <row r="599" spans="1:12" ht="12.5" x14ac:dyDescent="0.25">
      <c r="A599" s="79"/>
      <c r="B599" s="80"/>
      <c r="C599" s="80"/>
      <c r="D599" s="75"/>
      <c r="E599" s="76"/>
      <c r="F599" s="77"/>
      <c r="G599" s="76"/>
      <c r="H599" s="75"/>
      <c r="I599" s="76"/>
      <c r="J599" s="75"/>
      <c r="K599" s="76"/>
      <c r="L599" s="75"/>
    </row>
    <row r="600" spans="1:12" ht="12.5" x14ac:dyDescent="0.25">
      <c r="A600" s="79"/>
      <c r="B600" s="80"/>
      <c r="C600" s="80"/>
      <c r="D600" s="75"/>
      <c r="E600" s="76"/>
      <c r="F600" s="77"/>
      <c r="G600" s="76"/>
      <c r="H600" s="75"/>
      <c r="I600" s="76"/>
      <c r="J600" s="75"/>
      <c r="K600" s="76"/>
      <c r="L600" s="75"/>
    </row>
    <row r="601" spans="1:12" ht="12.5" x14ac:dyDescent="0.25">
      <c r="A601" s="79"/>
      <c r="B601" s="80"/>
      <c r="C601" s="80"/>
      <c r="D601" s="75"/>
      <c r="E601" s="76"/>
      <c r="F601" s="77"/>
      <c r="G601" s="76"/>
      <c r="H601" s="75"/>
      <c r="I601" s="76"/>
      <c r="J601" s="75"/>
      <c r="K601" s="76"/>
      <c r="L601" s="75"/>
    </row>
    <row r="602" spans="1:12" ht="12.5" x14ac:dyDescent="0.25">
      <c r="A602" s="79"/>
      <c r="B602" s="80"/>
      <c r="C602" s="80"/>
      <c r="D602" s="75"/>
      <c r="E602" s="76"/>
      <c r="F602" s="77"/>
      <c r="G602" s="76"/>
      <c r="H602" s="75"/>
      <c r="I602" s="76"/>
      <c r="J602" s="75"/>
      <c r="K602" s="76"/>
      <c r="L602" s="75"/>
    </row>
    <row r="603" spans="1:12" ht="12.5" x14ac:dyDescent="0.25">
      <c r="A603" s="79"/>
      <c r="B603" s="80"/>
      <c r="C603" s="80"/>
      <c r="D603" s="75"/>
      <c r="E603" s="76"/>
      <c r="F603" s="77"/>
      <c r="G603" s="76"/>
      <c r="H603" s="75"/>
      <c r="I603" s="76"/>
      <c r="J603" s="75"/>
      <c r="K603" s="76"/>
      <c r="L603" s="75"/>
    </row>
    <row r="604" spans="1:12" ht="12.5" x14ac:dyDescent="0.25">
      <c r="A604" s="79"/>
      <c r="B604" s="80"/>
      <c r="C604" s="80"/>
      <c r="D604" s="75"/>
      <c r="E604" s="76"/>
      <c r="F604" s="77"/>
      <c r="G604" s="76"/>
      <c r="H604" s="75"/>
      <c r="I604" s="76"/>
      <c r="J604" s="75"/>
      <c r="K604" s="76"/>
      <c r="L604" s="75"/>
    </row>
    <row r="605" spans="1:12" ht="12.5" x14ac:dyDescent="0.25">
      <c r="A605" s="79"/>
      <c r="B605" s="80"/>
      <c r="C605" s="80"/>
      <c r="D605" s="75"/>
      <c r="E605" s="76"/>
      <c r="F605" s="77"/>
      <c r="G605" s="76"/>
      <c r="H605" s="75"/>
      <c r="I605" s="76"/>
      <c r="J605" s="75"/>
      <c r="K605" s="76"/>
      <c r="L605" s="75"/>
    </row>
    <row r="606" spans="1:12" ht="12.5" x14ac:dyDescent="0.25">
      <c r="A606" s="79"/>
      <c r="B606" s="80"/>
      <c r="C606" s="80"/>
      <c r="D606" s="75"/>
      <c r="E606" s="76"/>
      <c r="F606" s="77"/>
      <c r="G606" s="76"/>
      <c r="H606" s="75"/>
      <c r="I606" s="76"/>
      <c r="J606" s="75"/>
      <c r="K606" s="76"/>
      <c r="L606" s="75"/>
    </row>
    <row r="607" spans="1:12" ht="12.5" x14ac:dyDescent="0.25">
      <c r="A607" s="79"/>
      <c r="B607" s="80"/>
      <c r="C607" s="80"/>
      <c r="D607" s="75"/>
      <c r="E607" s="76"/>
      <c r="F607" s="77"/>
      <c r="G607" s="76"/>
      <c r="H607" s="75"/>
      <c r="I607" s="76"/>
      <c r="J607" s="75"/>
      <c r="K607" s="76"/>
      <c r="L607" s="75"/>
    </row>
    <row r="608" spans="1:12" ht="12.5" x14ac:dyDescent="0.25">
      <c r="A608" s="79"/>
      <c r="B608" s="80"/>
      <c r="C608" s="80"/>
      <c r="D608" s="75"/>
      <c r="E608" s="76"/>
      <c r="F608" s="77"/>
      <c r="G608" s="76"/>
      <c r="H608" s="75"/>
      <c r="I608" s="76"/>
      <c r="J608" s="75"/>
      <c r="K608" s="76"/>
      <c r="L608" s="75"/>
    </row>
    <row r="609" spans="1:12" ht="12.5" x14ac:dyDescent="0.25">
      <c r="A609" s="79"/>
      <c r="B609" s="80"/>
      <c r="C609" s="80"/>
      <c r="D609" s="75"/>
      <c r="E609" s="76"/>
      <c r="F609" s="77"/>
      <c r="G609" s="76"/>
      <c r="H609" s="75"/>
      <c r="I609" s="76"/>
      <c r="J609" s="75"/>
      <c r="K609" s="76"/>
      <c r="L609" s="75"/>
    </row>
    <row r="610" spans="1:12" ht="12.5" x14ac:dyDescent="0.25">
      <c r="A610" s="79"/>
      <c r="B610" s="80"/>
      <c r="C610" s="80"/>
      <c r="D610" s="75"/>
      <c r="E610" s="76"/>
      <c r="F610" s="77"/>
      <c r="G610" s="76"/>
      <c r="H610" s="75"/>
      <c r="I610" s="76"/>
      <c r="J610" s="75"/>
      <c r="K610" s="76"/>
      <c r="L610" s="75"/>
    </row>
    <row r="611" spans="1:12" ht="12.5" x14ac:dyDescent="0.25">
      <c r="A611" s="79"/>
      <c r="B611" s="80"/>
      <c r="C611" s="80"/>
      <c r="D611" s="75"/>
      <c r="E611" s="76"/>
      <c r="F611" s="77"/>
      <c r="G611" s="76"/>
      <c r="H611" s="75"/>
      <c r="I611" s="76"/>
      <c r="J611" s="75"/>
      <c r="K611" s="76"/>
      <c r="L611" s="75"/>
    </row>
    <row r="612" spans="1:12" ht="12.5" x14ac:dyDescent="0.25">
      <c r="A612" s="79"/>
      <c r="B612" s="80"/>
      <c r="C612" s="80"/>
      <c r="D612" s="75"/>
      <c r="E612" s="76"/>
      <c r="F612" s="77"/>
      <c r="G612" s="76"/>
      <c r="H612" s="75"/>
      <c r="I612" s="76"/>
      <c r="J612" s="75"/>
      <c r="K612" s="76"/>
      <c r="L612" s="75"/>
    </row>
    <row r="613" spans="1:12" ht="12.5" x14ac:dyDescent="0.25">
      <c r="A613" s="79"/>
      <c r="B613" s="80"/>
      <c r="C613" s="80"/>
      <c r="D613" s="75"/>
      <c r="E613" s="76"/>
      <c r="F613" s="77"/>
      <c r="G613" s="76"/>
      <c r="H613" s="75"/>
      <c r="I613" s="76"/>
      <c r="J613" s="75"/>
      <c r="K613" s="76"/>
      <c r="L613" s="75"/>
    </row>
    <row r="614" spans="1:12" ht="12.5" x14ac:dyDescent="0.25">
      <c r="A614" s="79"/>
      <c r="B614" s="80"/>
      <c r="C614" s="80"/>
      <c r="D614" s="75"/>
      <c r="E614" s="76"/>
      <c r="F614" s="77"/>
      <c r="G614" s="76"/>
      <c r="H614" s="75"/>
      <c r="I614" s="76"/>
      <c r="J614" s="75"/>
      <c r="K614" s="76"/>
      <c r="L614" s="75"/>
    </row>
    <row r="615" spans="1:12" ht="12.5" x14ac:dyDescent="0.25">
      <c r="A615" s="79"/>
      <c r="B615" s="80"/>
      <c r="C615" s="80"/>
      <c r="D615" s="75"/>
      <c r="E615" s="76"/>
      <c r="F615" s="77"/>
      <c r="G615" s="76"/>
      <c r="H615" s="75"/>
      <c r="I615" s="76"/>
      <c r="J615" s="75"/>
      <c r="K615" s="76"/>
      <c r="L615" s="75"/>
    </row>
    <row r="616" spans="1:12" ht="12.5" x14ac:dyDescent="0.25">
      <c r="A616" s="79"/>
      <c r="B616" s="80"/>
      <c r="C616" s="80"/>
      <c r="D616" s="75"/>
      <c r="E616" s="76"/>
      <c r="F616" s="77"/>
      <c r="G616" s="76"/>
      <c r="H616" s="75"/>
      <c r="I616" s="76"/>
      <c r="J616" s="75"/>
      <c r="K616" s="76"/>
      <c r="L616" s="75"/>
    </row>
    <row r="617" spans="1:12" ht="12.5" x14ac:dyDescent="0.25">
      <c r="A617" s="79"/>
      <c r="B617" s="80"/>
      <c r="C617" s="80"/>
      <c r="D617" s="75"/>
      <c r="E617" s="76"/>
      <c r="F617" s="77"/>
      <c r="G617" s="76"/>
      <c r="H617" s="75"/>
      <c r="I617" s="76"/>
      <c r="J617" s="75"/>
      <c r="K617" s="76"/>
      <c r="L617" s="75"/>
    </row>
    <row r="618" spans="1:12" ht="12.5" x14ac:dyDescent="0.25">
      <c r="A618" s="79"/>
      <c r="B618" s="80"/>
      <c r="C618" s="80"/>
      <c r="D618" s="75"/>
      <c r="E618" s="76"/>
      <c r="F618" s="77"/>
      <c r="G618" s="76"/>
      <c r="H618" s="75"/>
      <c r="I618" s="76"/>
      <c r="J618" s="75"/>
      <c r="K618" s="76"/>
      <c r="L618" s="75"/>
    </row>
    <row r="619" spans="1:12" ht="12.5" x14ac:dyDescent="0.25">
      <c r="A619" s="79"/>
      <c r="B619" s="80"/>
      <c r="C619" s="80"/>
      <c r="D619" s="75"/>
      <c r="E619" s="76"/>
      <c r="F619" s="77"/>
      <c r="G619" s="76"/>
      <c r="H619" s="75"/>
      <c r="I619" s="76"/>
      <c r="J619" s="75"/>
      <c r="K619" s="76"/>
      <c r="L619" s="75"/>
    </row>
    <row r="620" spans="1:12" ht="12.5" x14ac:dyDescent="0.25">
      <c r="A620" s="79"/>
      <c r="B620" s="80"/>
      <c r="C620" s="80"/>
      <c r="D620" s="75"/>
      <c r="E620" s="76"/>
      <c r="F620" s="77"/>
      <c r="G620" s="76"/>
      <c r="H620" s="75"/>
      <c r="I620" s="76"/>
      <c r="J620" s="75"/>
      <c r="K620" s="76"/>
      <c r="L620" s="75"/>
    </row>
    <row r="621" spans="1:12" ht="12.5" x14ac:dyDescent="0.25">
      <c r="A621" s="79"/>
      <c r="B621" s="80"/>
      <c r="C621" s="80"/>
      <c r="D621" s="75"/>
      <c r="E621" s="76"/>
      <c r="F621" s="77"/>
      <c r="G621" s="76"/>
      <c r="H621" s="75"/>
      <c r="I621" s="76"/>
      <c r="J621" s="75"/>
      <c r="K621" s="76"/>
      <c r="L621" s="75"/>
    </row>
    <row r="622" spans="1:12" ht="12.5" x14ac:dyDescent="0.25">
      <c r="A622" s="79"/>
      <c r="B622" s="80"/>
      <c r="C622" s="80"/>
      <c r="D622" s="75"/>
      <c r="E622" s="76"/>
      <c r="F622" s="77"/>
      <c r="G622" s="76"/>
      <c r="H622" s="75"/>
      <c r="I622" s="76"/>
      <c r="J622" s="75"/>
      <c r="K622" s="76"/>
      <c r="L622" s="75"/>
    </row>
    <row r="623" spans="1:12" ht="12.5" x14ac:dyDescent="0.25">
      <c r="A623" s="79"/>
      <c r="B623" s="80"/>
      <c r="C623" s="80"/>
      <c r="D623" s="75"/>
      <c r="E623" s="76"/>
      <c r="F623" s="77"/>
      <c r="G623" s="76"/>
      <c r="H623" s="75"/>
      <c r="I623" s="76"/>
      <c r="J623" s="75"/>
      <c r="K623" s="76"/>
      <c r="L623" s="75"/>
    </row>
    <row r="624" spans="1:12" ht="12.5" x14ac:dyDescent="0.25">
      <c r="A624" s="79"/>
      <c r="B624" s="80"/>
      <c r="C624" s="80"/>
      <c r="D624" s="75"/>
      <c r="E624" s="76"/>
      <c r="F624" s="77"/>
      <c r="G624" s="76"/>
      <c r="H624" s="75"/>
      <c r="I624" s="76"/>
      <c r="J624" s="75"/>
      <c r="K624" s="76"/>
      <c r="L624" s="75"/>
    </row>
    <row r="625" spans="1:12" ht="12.5" x14ac:dyDescent="0.25">
      <c r="A625" s="79"/>
      <c r="B625" s="80"/>
      <c r="C625" s="80"/>
      <c r="D625" s="75"/>
      <c r="E625" s="76"/>
      <c r="F625" s="77"/>
      <c r="G625" s="76"/>
      <c r="H625" s="75"/>
      <c r="I625" s="76"/>
      <c r="J625" s="75"/>
      <c r="K625" s="76"/>
      <c r="L625" s="75"/>
    </row>
    <row r="626" spans="1:12" ht="12.5" x14ac:dyDescent="0.25">
      <c r="A626" s="79"/>
      <c r="B626" s="80"/>
      <c r="C626" s="80"/>
      <c r="D626" s="75"/>
      <c r="E626" s="76"/>
      <c r="F626" s="77"/>
      <c r="G626" s="76"/>
      <c r="H626" s="75"/>
      <c r="I626" s="76"/>
      <c r="J626" s="75"/>
      <c r="K626" s="76"/>
      <c r="L626" s="75"/>
    </row>
    <row r="627" spans="1:12" ht="12.5" x14ac:dyDescent="0.25">
      <c r="A627" s="79"/>
      <c r="B627" s="80"/>
      <c r="C627" s="80"/>
      <c r="D627" s="75"/>
      <c r="E627" s="76"/>
      <c r="F627" s="77"/>
      <c r="G627" s="76"/>
      <c r="H627" s="75"/>
      <c r="I627" s="76"/>
      <c r="J627" s="75"/>
      <c r="K627" s="76"/>
      <c r="L627" s="75"/>
    </row>
    <row r="628" spans="1:12" ht="12.5" x14ac:dyDescent="0.25">
      <c r="A628" s="79"/>
      <c r="B628" s="80"/>
      <c r="C628" s="80"/>
      <c r="D628" s="75"/>
      <c r="E628" s="76"/>
      <c r="F628" s="77"/>
      <c r="G628" s="76"/>
      <c r="H628" s="75"/>
      <c r="I628" s="76"/>
      <c r="J628" s="75"/>
      <c r="K628" s="76"/>
      <c r="L628" s="75"/>
    </row>
    <row r="629" spans="1:12" ht="12.5" x14ac:dyDescent="0.25">
      <c r="A629" s="79"/>
      <c r="B629" s="80"/>
      <c r="C629" s="80"/>
      <c r="D629" s="75"/>
      <c r="E629" s="76"/>
      <c r="F629" s="77"/>
      <c r="G629" s="76"/>
      <c r="H629" s="75"/>
      <c r="I629" s="76"/>
      <c r="J629" s="75"/>
      <c r="K629" s="76"/>
      <c r="L629" s="75"/>
    </row>
    <row r="630" spans="1:12" ht="12.5" x14ac:dyDescent="0.25">
      <c r="A630" s="79"/>
      <c r="B630" s="80"/>
      <c r="C630" s="80"/>
      <c r="D630" s="75"/>
      <c r="E630" s="76"/>
      <c r="F630" s="77"/>
      <c r="G630" s="76"/>
      <c r="H630" s="75"/>
      <c r="I630" s="76"/>
      <c r="J630" s="75"/>
      <c r="K630" s="76"/>
      <c r="L630" s="75"/>
    </row>
    <row r="631" spans="1:12" ht="12.5" x14ac:dyDescent="0.25">
      <c r="A631" s="79"/>
      <c r="B631" s="80"/>
      <c r="C631" s="80"/>
      <c r="D631" s="75"/>
      <c r="E631" s="76"/>
      <c r="F631" s="77"/>
      <c r="G631" s="76"/>
      <c r="H631" s="75"/>
      <c r="I631" s="76"/>
      <c r="J631" s="75"/>
      <c r="K631" s="76"/>
      <c r="L631" s="75"/>
    </row>
    <row r="632" spans="1:12" ht="12.5" x14ac:dyDescent="0.25">
      <c r="A632" s="79"/>
      <c r="B632" s="80"/>
      <c r="C632" s="80"/>
      <c r="D632" s="75"/>
      <c r="E632" s="76"/>
      <c r="F632" s="77"/>
      <c r="G632" s="76"/>
      <c r="H632" s="75"/>
      <c r="I632" s="76"/>
      <c r="J632" s="75"/>
      <c r="K632" s="76"/>
      <c r="L632" s="75"/>
    </row>
    <row r="633" spans="1:12" ht="12.5" x14ac:dyDescent="0.25">
      <c r="A633" s="79"/>
      <c r="B633" s="80"/>
      <c r="C633" s="80"/>
      <c r="D633" s="75"/>
      <c r="E633" s="76"/>
      <c r="F633" s="77"/>
      <c r="G633" s="76"/>
      <c r="H633" s="75"/>
      <c r="I633" s="76"/>
      <c r="J633" s="75"/>
      <c r="K633" s="76"/>
      <c r="L633" s="75"/>
    </row>
    <row r="634" spans="1:12" ht="12.5" x14ac:dyDescent="0.25">
      <c r="A634" s="79"/>
      <c r="B634" s="80"/>
      <c r="C634" s="80"/>
      <c r="D634" s="75"/>
      <c r="E634" s="76"/>
      <c r="F634" s="77"/>
      <c r="G634" s="76"/>
      <c r="H634" s="75"/>
      <c r="I634" s="76"/>
      <c r="J634" s="75"/>
      <c r="K634" s="76"/>
      <c r="L634" s="75"/>
    </row>
    <row r="635" spans="1:12" ht="12.5" x14ac:dyDescent="0.25">
      <c r="A635" s="79"/>
      <c r="B635" s="80"/>
      <c r="C635" s="80"/>
      <c r="D635" s="75"/>
      <c r="E635" s="76"/>
      <c r="F635" s="77"/>
      <c r="G635" s="76"/>
      <c r="H635" s="75"/>
      <c r="I635" s="76"/>
      <c r="J635" s="75"/>
      <c r="K635" s="76"/>
      <c r="L635" s="75"/>
    </row>
    <row r="636" spans="1:12" ht="12.5" x14ac:dyDescent="0.25">
      <c r="A636" s="79"/>
      <c r="B636" s="80"/>
      <c r="C636" s="80"/>
      <c r="D636" s="75"/>
      <c r="E636" s="76"/>
      <c r="F636" s="77"/>
      <c r="G636" s="76"/>
      <c r="H636" s="75"/>
      <c r="I636" s="76"/>
      <c r="J636" s="75"/>
      <c r="K636" s="76"/>
      <c r="L636" s="75"/>
    </row>
    <row r="637" spans="1:12" ht="12.5" x14ac:dyDescent="0.25">
      <c r="A637" s="79"/>
      <c r="B637" s="80"/>
      <c r="C637" s="80"/>
      <c r="D637" s="75"/>
      <c r="E637" s="76"/>
      <c r="F637" s="77"/>
      <c r="G637" s="76"/>
      <c r="H637" s="75"/>
      <c r="I637" s="76"/>
      <c r="J637" s="75"/>
      <c r="K637" s="76"/>
      <c r="L637" s="75"/>
    </row>
    <row r="638" spans="1:12" ht="12.5" x14ac:dyDescent="0.25">
      <c r="A638" s="79"/>
      <c r="B638" s="80"/>
      <c r="C638" s="80"/>
      <c r="D638" s="75"/>
      <c r="E638" s="76"/>
      <c r="F638" s="77"/>
      <c r="G638" s="76"/>
      <c r="H638" s="75"/>
      <c r="I638" s="76"/>
      <c r="J638" s="75"/>
      <c r="K638" s="76"/>
      <c r="L638" s="75"/>
    </row>
    <row r="639" spans="1:12" ht="12.5" x14ac:dyDescent="0.25">
      <c r="A639" s="79"/>
      <c r="B639" s="80"/>
      <c r="C639" s="80"/>
      <c r="D639" s="75"/>
      <c r="E639" s="76"/>
      <c r="F639" s="77"/>
      <c r="G639" s="76"/>
      <c r="H639" s="75"/>
      <c r="I639" s="76"/>
      <c r="J639" s="75"/>
      <c r="K639" s="76"/>
      <c r="L639" s="75"/>
    </row>
    <row r="640" spans="1:12" ht="12.5" x14ac:dyDescent="0.25">
      <c r="A640" s="79"/>
      <c r="B640" s="80"/>
      <c r="C640" s="80"/>
      <c r="D640" s="75"/>
      <c r="E640" s="76"/>
      <c r="F640" s="77"/>
      <c r="G640" s="76"/>
      <c r="H640" s="75"/>
      <c r="I640" s="76"/>
      <c r="J640" s="75"/>
      <c r="K640" s="76"/>
      <c r="L640" s="75"/>
    </row>
    <row r="641" spans="1:12" ht="12.5" x14ac:dyDescent="0.25">
      <c r="A641" s="79"/>
      <c r="B641" s="80"/>
      <c r="C641" s="80"/>
      <c r="D641" s="75"/>
      <c r="E641" s="76"/>
      <c r="F641" s="77"/>
      <c r="G641" s="76"/>
      <c r="H641" s="75"/>
      <c r="I641" s="76"/>
      <c r="J641" s="75"/>
      <c r="K641" s="76"/>
      <c r="L641" s="75"/>
    </row>
    <row r="642" spans="1:12" ht="12.5" x14ac:dyDescent="0.25">
      <c r="A642" s="79"/>
      <c r="B642" s="80"/>
      <c r="C642" s="80"/>
      <c r="D642" s="75"/>
      <c r="E642" s="76"/>
      <c r="F642" s="77"/>
      <c r="G642" s="76"/>
      <c r="H642" s="75"/>
      <c r="I642" s="76"/>
      <c r="J642" s="75"/>
      <c r="K642" s="76"/>
      <c r="L642" s="75"/>
    </row>
    <row r="643" spans="1:12" ht="12.5" x14ac:dyDescent="0.25">
      <c r="A643" s="79"/>
      <c r="B643" s="80"/>
      <c r="C643" s="80"/>
      <c r="D643" s="75"/>
      <c r="E643" s="76"/>
      <c r="F643" s="77"/>
      <c r="G643" s="76"/>
      <c r="H643" s="75"/>
      <c r="I643" s="76"/>
      <c r="J643" s="75"/>
      <c r="K643" s="76"/>
      <c r="L643" s="75"/>
    </row>
    <row r="644" spans="1:12" ht="12.5" x14ac:dyDescent="0.25">
      <c r="A644" s="79"/>
      <c r="B644" s="80"/>
      <c r="C644" s="80"/>
      <c r="D644" s="75"/>
      <c r="E644" s="76"/>
      <c r="F644" s="77"/>
      <c r="G644" s="76"/>
      <c r="H644" s="75"/>
      <c r="I644" s="76"/>
      <c r="J644" s="75"/>
      <c r="K644" s="76"/>
      <c r="L644" s="75"/>
    </row>
    <row r="645" spans="1:12" ht="12.5" x14ac:dyDescent="0.25">
      <c r="A645" s="79"/>
      <c r="B645" s="80"/>
      <c r="C645" s="80"/>
      <c r="D645" s="75"/>
      <c r="E645" s="76"/>
      <c r="F645" s="77"/>
      <c r="G645" s="76"/>
      <c r="H645" s="75"/>
      <c r="I645" s="76"/>
      <c r="J645" s="75"/>
      <c r="K645" s="76"/>
      <c r="L645" s="75"/>
    </row>
    <row r="646" spans="1:12" ht="12.5" x14ac:dyDescent="0.25">
      <c r="A646" s="79"/>
      <c r="B646" s="80"/>
      <c r="C646" s="80"/>
      <c r="D646" s="75"/>
      <c r="E646" s="76"/>
      <c r="F646" s="77"/>
      <c r="G646" s="76"/>
      <c r="H646" s="75"/>
      <c r="I646" s="76"/>
      <c r="J646" s="75"/>
      <c r="K646" s="76"/>
      <c r="L646" s="75"/>
    </row>
    <row r="647" spans="1:12" ht="12.5" x14ac:dyDescent="0.25">
      <c r="A647" s="79"/>
      <c r="B647" s="80"/>
      <c r="C647" s="80"/>
      <c r="D647" s="75"/>
      <c r="E647" s="76"/>
      <c r="F647" s="77"/>
      <c r="G647" s="76"/>
      <c r="H647" s="75"/>
      <c r="I647" s="76"/>
      <c r="J647" s="75"/>
      <c r="K647" s="76"/>
      <c r="L647" s="75"/>
    </row>
    <row r="648" spans="1:12" ht="12.5" x14ac:dyDescent="0.25">
      <c r="A648" s="79"/>
      <c r="B648" s="80"/>
      <c r="C648" s="80"/>
      <c r="D648" s="75"/>
      <c r="E648" s="76"/>
      <c r="F648" s="77"/>
      <c r="G648" s="76"/>
      <c r="H648" s="75"/>
      <c r="I648" s="76"/>
      <c r="J648" s="75"/>
      <c r="K648" s="76"/>
      <c r="L648" s="75"/>
    </row>
    <row r="649" spans="1:12" ht="12.5" x14ac:dyDescent="0.25">
      <c r="A649" s="79"/>
      <c r="B649" s="80"/>
      <c r="C649" s="80"/>
      <c r="D649" s="75"/>
      <c r="E649" s="76"/>
      <c r="F649" s="77"/>
      <c r="G649" s="76"/>
      <c r="H649" s="75"/>
      <c r="I649" s="76"/>
      <c r="J649" s="75"/>
      <c r="K649" s="76"/>
      <c r="L649" s="75"/>
    </row>
    <row r="650" spans="1:12" ht="12.5" x14ac:dyDescent="0.25">
      <c r="A650" s="79"/>
      <c r="B650" s="80"/>
      <c r="C650" s="80"/>
      <c r="D650" s="75"/>
      <c r="E650" s="76"/>
      <c r="F650" s="77"/>
      <c r="G650" s="76"/>
      <c r="H650" s="75"/>
      <c r="I650" s="76"/>
      <c r="J650" s="75"/>
      <c r="K650" s="76"/>
      <c r="L650" s="75"/>
    </row>
    <row r="651" spans="1:12" ht="12.5" x14ac:dyDescent="0.25">
      <c r="A651" s="79"/>
      <c r="B651" s="80"/>
      <c r="C651" s="80"/>
      <c r="D651" s="75"/>
      <c r="E651" s="76"/>
      <c r="F651" s="77"/>
      <c r="G651" s="76"/>
      <c r="H651" s="75"/>
      <c r="I651" s="76"/>
      <c r="J651" s="75"/>
      <c r="K651" s="76"/>
      <c r="L651" s="75"/>
    </row>
    <row r="652" spans="1:12" ht="12.5" x14ac:dyDescent="0.25">
      <c r="A652" s="79"/>
      <c r="B652" s="80"/>
      <c r="C652" s="80"/>
      <c r="D652" s="75"/>
      <c r="E652" s="76"/>
      <c r="F652" s="77"/>
      <c r="G652" s="76"/>
      <c r="H652" s="75"/>
      <c r="I652" s="76"/>
      <c r="J652" s="75"/>
      <c r="K652" s="76"/>
      <c r="L652" s="75"/>
    </row>
    <row r="653" spans="1:12" ht="12.5" x14ac:dyDescent="0.25">
      <c r="A653" s="79"/>
      <c r="B653" s="80"/>
      <c r="C653" s="80"/>
      <c r="D653" s="75"/>
      <c r="E653" s="76"/>
      <c r="F653" s="77"/>
      <c r="G653" s="76"/>
      <c r="H653" s="75"/>
      <c r="I653" s="76"/>
      <c r="J653" s="75"/>
      <c r="K653" s="76"/>
      <c r="L653" s="75"/>
    </row>
    <row r="654" spans="1:12" ht="12.5" x14ac:dyDescent="0.25">
      <c r="A654" s="79"/>
      <c r="B654" s="80"/>
      <c r="C654" s="80"/>
      <c r="D654" s="75"/>
      <c r="E654" s="76"/>
      <c r="F654" s="77"/>
      <c r="G654" s="76"/>
      <c r="H654" s="75"/>
      <c r="I654" s="76"/>
      <c r="J654" s="75"/>
      <c r="K654" s="76"/>
      <c r="L654" s="75"/>
    </row>
    <row r="655" spans="1:12" ht="12.5" x14ac:dyDescent="0.25">
      <c r="A655" s="79"/>
      <c r="B655" s="80"/>
      <c r="C655" s="80"/>
      <c r="D655" s="75"/>
      <c r="E655" s="76"/>
      <c r="F655" s="77"/>
      <c r="G655" s="76"/>
      <c r="H655" s="75"/>
      <c r="I655" s="76"/>
      <c r="J655" s="75"/>
      <c r="K655" s="76"/>
      <c r="L655" s="75"/>
    </row>
    <row r="656" spans="1:12" ht="12.5" x14ac:dyDescent="0.25">
      <c r="A656" s="79"/>
      <c r="B656" s="80"/>
      <c r="C656" s="80"/>
      <c r="D656" s="75"/>
      <c r="E656" s="76"/>
      <c r="F656" s="77"/>
      <c r="G656" s="76"/>
      <c r="H656" s="75"/>
      <c r="I656" s="76"/>
      <c r="J656" s="75"/>
      <c r="K656" s="76"/>
      <c r="L656" s="75"/>
    </row>
    <row r="657" spans="1:12" ht="12.5" x14ac:dyDescent="0.25">
      <c r="A657" s="79"/>
      <c r="B657" s="80"/>
      <c r="C657" s="80"/>
      <c r="D657" s="75"/>
      <c r="E657" s="76"/>
      <c r="F657" s="77"/>
      <c r="G657" s="76"/>
      <c r="H657" s="75"/>
      <c r="I657" s="76"/>
      <c r="J657" s="75"/>
      <c r="K657" s="76"/>
      <c r="L657" s="75"/>
    </row>
    <row r="658" spans="1:12" ht="12.5" x14ac:dyDescent="0.25">
      <c r="A658" s="79"/>
      <c r="B658" s="80"/>
      <c r="C658" s="80"/>
      <c r="D658" s="75"/>
      <c r="E658" s="76"/>
      <c r="F658" s="77"/>
      <c r="G658" s="76"/>
      <c r="H658" s="75"/>
      <c r="I658" s="76"/>
      <c r="J658" s="75"/>
      <c r="K658" s="76"/>
      <c r="L658" s="75"/>
    </row>
    <row r="659" spans="1:12" ht="12.5" x14ac:dyDescent="0.25">
      <c r="A659" s="79"/>
      <c r="B659" s="80"/>
      <c r="C659" s="80"/>
      <c r="D659" s="75"/>
      <c r="E659" s="76"/>
      <c r="F659" s="77"/>
      <c r="G659" s="76"/>
      <c r="H659" s="75"/>
      <c r="I659" s="76"/>
      <c r="J659" s="75"/>
      <c r="K659" s="76"/>
      <c r="L659" s="75"/>
    </row>
    <row r="660" spans="1:12" ht="12.5" x14ac:dyDescent="0.25">
      <c r="A660" s="79"/>
      <c r="B660" s="80"/>
      <c r="C660" s="80"/>
      <c r="D660" s="75"/>
      <c r="E660" s="76"/>
      <c r="F660" s="77"/>
      <c r="G660" s="76"/>
      <c r="H660" s="75"/>
      <c r="I660" s="76"/>
      <c r="J660" s="75"/>
      <c r="K660" s="76"/>
      <c r="L660" s="75"/>
    </row>
    <row r="661" spans="1:12" ht="12.5" x14ac:dyDescent="0.25">
      <c r="A661" s="79"/>
      <c r="B661" s="80"/>
      <c r="C661" s="80"/>
      <c r="D661" s="75"/>
      <c r="E661" s="76"/>
      <c r="F661" s="77"/>
      <c r="G661" s="76"/>
      <c r="H661" s="75"/>
      <c r="I661" s="76"/>
      <c r="J661" s="75"/>
      <c r="K661" s="76"/>
      <c r="L661" s="75"/>
    </row>
    <row r="662" spans="1:12" ht="12.5" x14ac:dyDescent="0.25">
      <c r="A662" s="79"/>
      <c r="B662" s="80"/>
      <c r="C662" s="80"/>
      <c r="D662" s="75"/>
      <c r="E662" s="76"/>
      <c r="F662" s="77"/>
      <c r="G662" s="76"/>
      <c r="H662" s="75"/>
      <c r="I662" s="76"/>
      <c r="J662" s="75"/>
      <c r="K662" s="76"/>
      <c r="L662" s="75"/>
    </row>
    <row r="663" spans="1:12" ht="12.5" x14ac:dyDescent="0.25">
      <c r="A663" s="79"/>
      <c r="B663" s="80"/>
      <c r="C663" s="80"/>
      <c r="D663" s="75"/>
      <c r="E663" s="76"/>
      <c r="F663" s="77"/>
      <c r="G663" s="76"/>
      <c r="H663" s="75"/>
      <c r="I663" s="76"/>
      <c r="J663" s="75"/>
      <c r="K663" s="76"/>
      <c r="L663" s="75"/>
    </row>
    <row r="664" spans="1:12" ht="12.5" x14ac:dyDescent="0.25">
      <c r="A664" s="79"/>
      <c r="B664" s="80"/>
      <c r="C664" s="80"/>
      <c r="D664" s="75"/>
      <c r="E664" s="76"/>
      <c r="F664" s="77"/>
      <c r="G664" s="76"/>
      <c r="H664" s="75"/>
      <c r="I664" s="76"/>
      <c r="J664" s="75"/>
      <c r="K664" s="76"/>
      <c r="L664" s="75"/>
    </row>
    <row r="665" spans="1:12" ht="12.5" x14ac:dyDescent="0.25">
      <c r="A665" s="79"/>
      <c r="B665" s="80"/>
      <c r="C665" s="80"/>
      <c r="D665" s="75"/>
      <c r="E665" s="76"/>
      <c r="F665" s="77"/>
      <c r="G665" s="76"/>
      <c r="H665" s="75"/>
      <c r="I665" s="76"/>
      <c r="J665" s="75"/>
      <c r="K665" s="76"/>
      <c r="L665" s="75"/>
    </row>
    <row r="666" spans="1:12" ht="12.5" x14ac:dyDescent="0.25">
      <c r="A666" s="79"/>
      <c r="B666" s="80"/>
      <c r="C666" s="80"/>
      <c r="D666" s="75"/>
      <c r="E666" s="76"/>
      <c r="F666" s="77"/>
      <c r="G666" s="76"/>
      <c r="H666" s="75"/>
      <c r="I666" s="76"/>
      <c r="J666" s="75"/>
      <c r="K666" s="76"/>
      <c r="L666" s="75"/>
    </row>
    <row r="667" spans="1:12" ht="12.5" x14ac:dyDescent="0.25">
      <c r="A667" s="79"/>
      <c r="B667" s="80"/>
      <c r="C667" s="80"/>
      <c r="D667" s="75"/>
      <c r="E667" s="76"/>
      <c r="F667" s="77"/>
      <c r="G667" s="76"/>
      <c r="H667" s="75"/>
      <c r="I667" s="76"/>
      <c r="J667" s="75"/>
      <c r="K667" s="76"/>
      <c r="L667" s="75"/>
    </row>
    <row r="668" spans="1:12" ht="12.5" x14ac:dyDescent="0.25">
      <c r="A668" s="79"/>
      <c r="B668" s="80"/>
      <c r="C668" s="80"/>
      <c r="D668" s="75"/>
      <c r="E668" s="76"/>
      <c r="F668" s="77"/>
      <c r="G668" s="76"/>
      <c r="H668" s="75"/>
      <c r="I668" s="76"/>
      <c r="J668" s="75"/>
      <c r="K668" s="76"/>
      <c r="L668" s="75"/>
    </row>
    <row r="669" spans="1:12" ht="12.5" x14ac:dyDescent="0.25">
      <c r="A669" s="79"/>
      <c r="B669" s="80"/>
      <c r="C669" s="80"/>
      <c r="D669" s="75"/>
      <c r="E669" s="76"/>
      <c r="F669" s="77"/>
      <c r="G669" s="76"/>
      <c r="H669" s="75"/>
      <c r="I669" s="76"/>
      <c r="J669" s="75"/>
      <c r="K669" s="76"/>
      <c r="L669" s="75"/>
    </row>
    <row r="670" spans="1:12" ht="12.5" x14ac:dyDescent="0.25">
      <c r="A670" s="79"/>
      <c r="B670" s="80"/>
      <c r="C670" s="80"/>
      <c r="D670" s="75"/>
      <c r="E670" s="76"/>
      <c r="F670" s="77"/>
      <c r="G670" s="76"/>
      <c r="H670" s="75"/>
      <c r="I670" s="76"/>
      <c r="J670" s="75"/>
      <c r="K670" s="76"/>
      <c r="L670" s="75"/>
    </row>
    <row r="671" spans="1:12" ht="12.5" x14ac:dyDescent="0.25">
      <c r="A671" s="79"/>
      <c r="B671" s="80"/>
      <c r="C671" s="80"/>
      <c r="D671" s="75"/>
      <c r="E671" s="76"/>
      <c r="F671" s="77"/>
      <c r="G671" s="76"/>
      <c r="H671" s="75"/>
      <c r="I671" s="76"/>
      <c r="J671" s="75"/>
      <c r="K671" s="76"/>
      <c r="L671" s="75"/>
    </row>
    <row r="672" spans="1:12" ht="12.5" x14ac:dyDescent="0.25">
      <c r="A672" s="79"/>
      <c r="B672" s="80"/>
      <c r="C672" s="80"/>
      <c r="D672" s="75"/>
      <c r="E672" s="76"/>
      <c r="F672" s="77"/>
      <c r="G672" s="76"/>
      <c r="H672" s="75"/>
      <c r="I672" s="76"/>
      <c r="J672" s="75"/>
      <c r="K672" s="76"/>
      <c r="L672" s="75"/>
    </row>
    <row r="673" spans="1:12" ht="12.5" x14ac:dyDescent="0.25">
      <c r="A673" s="79"/>
      <c r="B673" s="80"/>
      <c r="C673" s="80"/>
      <c r="D673" s="75"/>
      <c r="E673" s="76"/>
      <c r="F673" s="77"/>
      <c r="G673" s="76"/>
      <c r="H673" s="75"/>
      <c r="I673" s="76"/>
      <c r="J673" s="75"/>
      <c r="K673" s="76"/>
      <c r="L673" s="75"/>
    </row>
    <row r="674" spans="1:12" ht="12.5" x14ac:dyDescent="0.25">
      <c r="A674" s="79"/>
      <c r="B674" s="80"/>
      <c r="C674" s="80"/>
      <c r="D674" s="75"/>
      <c r="E674" s="76"/>
      <c r="F674" s="77"/>
      <c r="G674" s="76"/>
      <c r="H674" s="75"/>
      <c r="I674" s="76"/>
      <c r="J674" s="75"/>
      <c r="K674" s="76"/>
      <c r="L674" s="75"/>
    </row>
    <row r="675" spans="1:12" ht="12.5" x14ac:dyDescent="0.25">
      <c r="A675" s="79"/>
      <c r="B675" s="80"/>
      <c r="C675" s="80"/>
      <c r="D675" s="75"/>
      <c r="E675" s="76"/>
      <c r="F675" s="77"/>
      <c r="G675" s="76"/>
      <c r="H675" s="75"/>
      <c r="I675" s="76"/>
      <c r="J675" s="75"/>
      <c r="K675" s="76"/>
      <c r="L675" s="75"/>
    </row>
    <row r="676" spans="1:12" ht="12.5" x14ac:dyDescent="0.25">
      <c r="A676" s="79"/>
      <c r="B676" s="80"/>
      <c r="C676" s="80"/>
      <c r="D676" s="75"/>
      <c r="E676" s="76"/>
      <c r="F676" s="77"/>
      <c r="G676" s="76"/>
      <c r="H676" s="75"/>
      <c r="I676" s="76"/>
      <c r="J676" s="75"/>
      <c r="K676" s="76"/>
      <c r="L676" s="75"/>
    </row>
    <row r="677" spans="1:12" ht="12.5" x14ac:dyDescent="0.25">
      <c r="A677" s="79"/>
      <c r="B677" s="80"/>
      <c r="C677" s="80"/>
      <c r="D677" s="75"/>
      <c r="E677" s="76"/>
      <c r="F677" s="77"/>
      <c r="G677" s="76"/>
      <c r="H677" s="75"/>
      <c r="I677" s="76"/>
      <c r="J677" s="75"/>
      <c r="K677" s="76"/>
      <c r="L677" s="75"/>
    </row>
    <row r="678" spans="1:12" ht="12.5" x14ac:dyDescent="0.25">
      <c r="A678" s="79"/>
      <c r="B678" s="80"/>
      <c r="C678" s="80"/>
      <c r="D678" s="75"/>
      <c r="E678" s="76"/>
      <c r="F678" s="77"/>
      <c r="G678" s="76"/>
      <c r="H678" s="75"/>
      <c r="I678" s="76"/>
      <c r="J678" s="75"/>
      <c r="K678" s="76"/>
      <c r="L678" s="75"/>
    </row>
    <row r="679" spans="1:12" ht="12.5" x14ac:dyDescent="0.25">
      <c r="A679" s="79"/>
      <c r="B679" s="80"/>
      <c r="C679" s="80"/>
      <c r="D679" s="75"/>
      <c r="E679" s="76"/>
      <c r="F679" s="77"/>
      <c r="G679" s="76"/>
      <c r="H679" s="75"/>
      <c r="I679" s="76"/>
      <c r="J679" s="75"/>
      <c r="K679" s="76"/>
      <c r="L679" s="75"/>
    </row>
    <row r="680" spans="1:12" ht="12.5" x14ac:dyDescent="0.25">
      <c r="A680" s="79"/>
      <c r="B680" s="80"/>
      <c r="C680" s="80"/>
      <c r="D680" s="75"/>
      <c r="E680" s="76"/>
      <c r="F680" s="77"/>
      <c r="G680" s="76"/>
      <c r="H680" s="75"/>
      <c r="I680" s="76"/>
      <c r="J680" s="75"/>
      <c r="K680" s="76"/>
      <c r="L680" s="75"/>
    </row>
    <row r="681" spans="1:12" ht="12.5" x14ac:dyDescent="0.25">
      <c r="A681" s="79"/>
      <c r="B681" s="80"/>
      <c r="C681" s="80"/>
      <c r="D681" s="75"/>
      <c r="E681" s="76"/>
      <c r="F681" s="77"/>
      <c r="G681" s="76"/>
      <c r="H681" s="75"/>
      <c r="I681" s="76"/>
      <c r="J681" s="75"/>
      <c r="K681" s="76"/>
      <c r="L681" s="75"/>
    </row>
    <row r="682" spans="1:12" ht="12.5" x14ac:dyDescent="0.25">
      <c r="A682" s="79"/>
      <c r="B682" s="80"/>
      <c r="C682" s="80"/>
      <c r="D682" s="75"/>
      <c r="E682" s="76"/>
      <c r="F682" s="77"/>
      <c r="G682" s="76"/>
      <c r="H682" s="75"/>
      <c r="I682" s="76"/>
      <c r="J682" s="75"/>
      <c r="K682" s="76"/>
      <c r="L682" s="75"/>
    </row>
    <row r="683" spans="1:12" ht="12.5" x14ac:dyDescent="0.25">
      <c r="A683" s="79"/>
      <c r="B683" s="80"/>
      <c r="C683" s="80"/>
      <c r="D683" s="75"/>
      <c r="E683" s="76"/>
      <c r="F683" s="77"/>
      <c r="G683" s="76"/>
      <c r="H683" s="75"/>
      <c r="I683" s="76"/>
      <c r="J683" s="75"/>
      <c r="K683" s="76"/>
      <c r="L683" s="75"/>
    </row>
    <row r="684" spans="1:12" ht="12.5" x14ac:dyDescent="0.25">
      <c r="A684" s="79"/>
      <c r="B684" s="80"/>
      <c r="C684" s="80"/>
      <c r="D684" s="75"/>
      <c r="E684" s="76"/>
      <c r="F684" s="77"/>
      <c r="G684" s="76"/>
      <c r="H684" s="75"/>
      <c r="I684" s="76"/>
      <c r="J684" s="75"/>
      <c r="K684" s="76"/>
      <c r="L684" s="75"/>
    </row>
    <row r="685" spans="1:12" ht="12.5" x14ac:dyDescent="0.25">
      <c r="A685" s="79"/>
      <c r="B685" s="80"/>
      <c r="C685" s="80"/>
      <c r="D685" s="75"/>
      <c r="E685" s="76"/>
      <c r="F685" s="77"/>
      <c r="G685" s="76"/>
      <c r="H685" s="75"/>
      <c r="I685" s="76"/>
      <c r="J685" s="75"/>
      <c r="K685" s="76"/>
      <c r="L685" s="75"/>
    </row>
    <row r="686" spans="1:12" ht="12.5" x14ac:dyDescent="0.25">
      <c r="A686" s="79"/>
      <c r="B686" s="80"/>
      <c r="C686" s="80"/>
      <c r="D686" s="75"/>
      <c r="E686" s="76"/>
      <c r="F686" s="77"/>
      <c r="G686" s="76"/>
      <c r="H686" s="75"/>
      <c r="I686" s="76"/>
      <c r="J686" s="75"/>
      <c r="K686" s="76"/>
      <c r="L686" s="75"/>
    </row>
    <row r="687" spans="1:12" ht="12.5" x14ac:dyDescent="0.25">
      <c r="A687" s="79"/>
      <c r="B687" s="80"/>
      <c r="C687" s="80"/>
      <c r="D687" s="75"/>
      <c r="E687" s="76"/>
      <c r="F687" s="77"/>
      <c r="G687" s="76"/>
      <c r="H687" s="75"/>
      <c r="I687" s="76"/>
      <c r="J687" s="75"/>
      <c r="K687" s="76"/>
      <c r="L687" s="75"/>
    </row>
    <row r="688" spans="1:12" ht="12.5" x14ac:dyDescent="0.25">
      <c r="A688" s="79"/>
      <c r="B688" s="80"/>
      <c r="C688" s="80"/>
      <c r="D688" s="75"/>
      <c r="E688" s="76"/>
      <c r="F688" s="77"/>
      <c r="G688" s="76"/>
      <c r="H688" s="75"/>
      <c r="I688" s="76"/>
      <c r="J688" s="75"/>
      <c r="K688" s="76"/>
      <c r="L688" s="75"/>
    </row>
    <row r="689" spans="1:12" ht="12.5" x14ac:dyDescent="0.25">
      <c r="A689" s="79"/>
      <c r="B689" s="80"/>
      <c r="C689" s="80"/>
      <c r="D689" s="75"/>
      <c r="E689" s="76"/>
      <c r="F689" s="77"/>
      <c r="G689" s="76"/>
      <c r="H689" s="75"/>
      <c r="I689" s="76"/>
      <c r="J689" s="75"/>
      <c r="K689" s="76"/>
      <c r="L689" s="75"/>
    </row>
    <row r="690" spans="1:12" ht="12.5" x14ac:dyDescent="0.25">
      <c r="A690" s="79"/>
      <c r="B690" s="80"/>
      <c r="C690" s="80"/>
      <c r="D690" s="75"/>
      <c r="E690" s="76"/>
      <c r="F690" s="77"/>
      <c r="G690" s="76"/>
      <c r="H690" s="75"/>
      <c r="I690" s="76"/>
      <c r="J690" s="75"/>
      <c r="K690" s="76"/>
      <c r="L690" s="75"/>
    </row>
    <row r="691" spans="1:12" ht="12.5" x14ac:dyDescent="0.25">
      <c r="A691" s="79"/>
      <c r="B691" s="80"/>
      <c r="C691" s="80"/>
      <c r="D691" s="75"/>
      <c r="E691" s="76"/>
      <c r="F691" s="77"/>
      <c r="G691" s="76"/>
      <c r="H691" s="75"/>
      <c r="I691" s="76"/>
      <c r="J691" s="75"/>
      <c r="K691" s="76"/>
      <c r="L691" s="75"/>
    </row>
    <row r="692" spans="1:12" ht="12.5" x14ac:dyDescent="0.25">
      <c r="A692" s="79"/>
      <c r="B692" s="80"/>
      <c r="C692" s="80"/>
      <c r="D692" s="75"/>
      <c r="E692" s="76"/>
      <c r="F692" s="77"/>
      <c r="G692" s="76"/>
      <c r="H692" s="75"/>
      <c r="I692" s="76"/>
      <c r="J692" s="75"/>
      <c r="K692" s="76"/>
      <c r="L692" s="75"/>
    </row>
    <row r="693" spans="1:12" ht="12.5" x14ac:dyDescent="0.25">
      <c r="A693" s="79"/>
      <c r="B693" s="80"/>
      <c r="C693" s="80"/>
      <c r="D693" s="75"/>
      <c r="E693" s="76"/>
      <c r="F693" s="77"/>
      <c r="G693" s="76"/>
      <c r="H693" s="75"/>
      <c r="I693" s="76"/>
      <c r="J693" s="75"/>
      <c r="K693" s="76"/>
      <c r="L693" s="75"/>
    </row>
    <row r="694" spans="1:12" ht="12.5" x14ac:dyDescent="0.25">
      <c r="A694" s="79"/>
      <c r="B694" s="80"/>
      <c r="C694" s="80"/>
      <c r="D694" s="75"/>
      <c r="E694" s="76"/>
      <c r="F694" s="77"/>
      <c r="G694" s="76"/>
      <c r="H694" s="75"/>
      <c r="I694" s="76"/>
      <c r="J694" s="75"/>
      <c r="K694" s="76"/>
      <c r="L694" s="75"/>
    </row>
    <row r="695" spans="1:12" ht="12.5" x14ac:dyDescent="0.25">
      <c r="A695" s="79"/>
      <c r="B695" s="80"/>
      <c r="C695" s="80"/>
      <c r="D695" s="75"/>
      <c r="E695" s="76"/>
      <c r="F695" s="77"/>
      <c r="G695" s="76"/>
      <c r="H695" s="75"/>
      <c r="I695" s="76"/>
      <c r="J695" s="75"/>
      <c r="K695" s="76"/>
      <c r="L695" s="75"/>
    </row>
    <row r="696" spans="1:12" ht="12.5" x14ac:dyDescent="0.25">
      <c r="A696" s="79"/>
      <c r="B696" s="80"/>
      <c r="C696" s="80"/>
      <c r="D696" s="75"/>
      <c r="E696" s="76"/>
      <c r="F696" s="77"/>
      <c r="G696" s="76"/>
      <c r="H696" s="75"/>
      <c r="I696" s="76"/>
      <c r="J696" s="75"/>
      <c r="K696" s="76"/>
      <c r="L696" s="75"/>
    </row>
    <row r="697" spans="1:12" ht="12.5" x14ac:dyDescent="0.25">
      <c r="A697" s="79"/>
      <c r="B697" s="80"/>
      <c r="C697" s="80"/>
      <c r="D697" s="75"/>
      <c r="E697" s="76"/>
      <c r="F697" s="77"/>
      <c r="G697" s="76"/>
      <c r="H697" s="75"/>
      <c r="I697" s="76"/>
      <c r="J697" s="75"/>
      <c r="K697" s="76"/>
      <c r="L697" s="75"/>
    </row>
    <row r="698" spans="1:12" ht="12.5" x14ac:dyDescent="0.25">
      <c r="A698" s="79"/>
      <c r="B698" s="80"/>
      <c r="C698" s="80"/>
      <c r="D698" s="75"/>
      <c r="E698" s="76"/>
      <c r="F698" s="77"/>
      <c r="G698" s="76"/>
      <c r="H698" s="75"/>
      <c r="I698" s="76"/>
      <c r="J698" s="75"/>
      <c r="K698" s="76"/>
      <c r="L698" s="75"/>
    </row>
    <row r="699" spans="1:12" ht="12.5" x14ac:dyDescent="0.25">
      <c r="A699" s="79"/>
      <c r="B699" s="80"/>
      <c r="C699" s="80"/>
      <c r="D699" s="75"/>
      <c r="E699" s="76"/>
      <c r="F699" s="77"/>
      <c r="G699" s="76"/>
      <c r="H699" s="75"/>
      <c r="I699" s="76"/>
      <c r="J699" s="75"/>
      <c r="K699" s="76"/>
      <c r="L699" s="75"/>
    </row>
    <row r="700" spans="1:12" ht="12.5" x14ac:dyDescent="0.25">
      <c r="A700" s="79"/>
      <c r="B700" s="80"/>
      <c r="C700" s="80"/>
      <c r="D700" s="75"/>
      <c r="E700" s="76"/>
      <c r="F700" s="77"/>
      <c r="G700" s="76"/>
      <c r="H700" s="75"/>
      <c r="I700" s="76"/>
      <c r="J700" s="75"/>
      <c r="K700" s="76"/>
      <c r="L700" s="75"/>
    </row>
    <row r="701" spans="1:12" ht="12.5" x14ac:dyDescent="0.25">
      <c r="A701" s="79"/>
      <c r="B701" s="80"/>
      <c r="C701" s="80"/>
      <c r="D701" s="75"/>
      <c r="E701" s="76"/>
      <c r="F701" s="77"/>
      <c r="G701" s="76"/>
      <c r="H701" s="75"/>
      <c r="I701" s="76"/>
      <c r="J701" s="75"/>
      <c r="K701" s="76"/>
      <c r="L701" s="75"/>
    </row>
    <row r="702" spans="1:12" ht="12.5" x14ac:dyDescent="0.25">
      <c r="A702" s="79"/>
      <c r="B702" s="80"/>
      <c r="C702" s="80"/>
      <c r="D702" s="75"/>
      <c r="E702" s="76"/>
      <c r="F702" s="77"/>
      <c r="G702" s="76"/>
      <c r="H702" s="75"/>
      <c r="I702" s="76"/>
      <c r="J702" s="75"/>
      <c r="K702" s="76"/>
      <c r="L702" s="75"/>
    </row>
    <row r="703" spans="1:12" ht="12.5" x14ac:dyDescent="0.25">
      <c r="A703" s="79"/>
      <c r="B703" s="80"/>
      <c r="C703" s="80"/>
      <c r="D703" s="75"/>
      <c r="E703" s="76"/>
      <c r="F703" s="77"/>
      <c r="G703" s="76"/>
      <c r="H703" s="75"/>
      <c r="I703" s="76"/>
      <c r="J703" s="75"/>
      <c r="K703" s="76"/>
      <c r="L703" s="75"/>
    </row>
    <row r="704" spans="1:12" ht="12.5" x14ac:dyDescent="0.25">
      <c r="A704" s="79"/>
      <c r="B704" s="80"/>
      <c r="C704" s="80"/>
      <c r="D704" s="75"/>
      <c r="E704" s="76"/>
      <c r="F704" s="77"/>
      <c r="G704" s="76"/>
      <c r="H704" s="75"/>
      <c r="I704" s="76"/>
      <c r="J704" s="75"/>
      <c r="K704" s="76"/>
      <c r="L704" s="75"/>
    </row>
    <row r="705" spans="1:12" ht="12.5" x14ac:dyDescent="0.25">
      <c r="A705" s="79"/>
      <c r="B705" s="80"/>
      <c r="C705" s="80"/>
      <c r="D705" s="75"/>
      <c r="E705" s="76"/>
      <c r="F705" s="77"/>
      <c r="G705" s="76"/>
      <c r="H705" s="75"/>
      <c r="I705" s="76"/>
      <c r="J705" s="75"/>
      <c r="K705" s="76"/>
      <c r="L705" s="75"/>
    </row>
    <row r="706" spans="1:12" ht="12.5" x14ac:dyDescent="0.25">
      <c r="A706" s="79"/>
      <c r="B706" s="80"/>
      <c r="C706" s="80"/>
      <c r="D706" s="75"/>
      <c r="E706" s="76"/>
      <c r="F706" s="77"/>
      <c r="G706" s="76"/>
      <c r="H706" s="75"/>
      <c r="I706" s="76"/>
      <c r="J706" s="75"/>
      <c r="K706" s="76"/>
      <c r="L706" s="75"/>
    </row>
    <row r="707" spans="1:12" ht="12.5" x14ac:dyDescent="0.25">
      <c r="A707" s="79"/>
      <c r="B707" s="80"/>
      <c r="C707" s="80"/>
      <c r="D707" s="75"/>
      <c r="E707" s="76"/>
      <c r="F707" s="77"/>
      <c r="G707" s="76"/>
      <c r="H707" s="75"/>
      <c r="I707" s="76"/>
      <c r="J707" s="75"/>
      <c r="K707" s="76"/>
      <c r="L707" s="75"/>
    </row>
    <row r="708" spans="1:12" ht="12.5" x14ac:dyDescent="0.25">
      <c r="A708" s="79"/>
      <c r="B708" s="80"/>
      <c r="C708" s="80"/>
      <c r="D708" s="75"/>
      <c r="E708" s="76"/>
      <c r="F708" s="77"/>
      <c r="G708" s="76"/>
      <c r="H708" s="75"/>
      <c r="I708" s="76"/>
      <c r="J708" s="75"/>
      <c r="K708" s="76"/>
      <c r="L708" s="75"/>
    </row>
    <row r="709" spans="1:12" ht="12.5" x14ac:dyDescent="0.25">
      <c r="A709" s="79"/>
      <c r="B709" s="80"/>
      <c r="C709" s="80"/>
      <c r="D709" s="75"/>
      <c r="E709" s="76"/>
      <c r="F709" s="77"/>
      <c r="G709" s="76"/>
      <c r="H709" s="75"/>
      <c r="I709" s="76"/>
      <c r="J709" s="75"/>
      <c r="K709" s="76"/>
      <c r="L709" s="75"/>
    </row>
    <row r="710" spans="1:12" ht="12.5" x14ac:dyDescent="0.25">
      <c r="A710" s="79"/>
      <c r="B710" s="80"/>
      <c r="C710" s="80"/>
      <c r="D710" s="75"/>
      <c r="E710" s="76"/>
      <c r="F710" s="77"/>
      <c r="G710" s="76"/>
      <c r="H710" s="75"/>
      <c r="I710" s="76"/>
      <c r="J710" s="75"/>
      <c r="K710" s="76"/>
      <c r="L710" s="75"/>
    </row>
    <row r="711" spans="1:12" ht="12.5" x14ac:dyDescent="0.25">
      <c r="A711" s="79"/>
      <c r="B711" s="80"/>
      <c r="C711" s="80"/>
      <c r="D711" s="75"/>
      <c r="E711" s="76"/>
      <c r="F711" s="77"/>
      <c r="G711" s="76"/>
      <c r="H711" s="75"/>
      <c r="I711" s="76"/>
      <c r="J711" s="75"/>
      <c r="K711" s="76"/>
      <c r="L711" s="75"/>
    </row>
    <row r="712" spans="1:12" ht="12.5" x14ac:dyDescent="0.25">
      <c r="A712" s="79"/>
      <c r="B712" s="80"/>
      <c r="C712" s="80"/>
      <c r="D712" s="75"/>
      <c r="E712" s="76"/>
      <c r="F712" s="77"/>
      <c r="G712" s="76"/>
      <c r="H712" s="75"/>
      <c r="I712" s="76"/>
      <c r="J712" s="75"/>
      <c r="K712" s="76"/>
      <c r="L712" s="75"/>
    </row>
    <row r="713" spans="1:12" ht="12.5" x14ac:dyDescent="0.25">
      <c r="A713" s="79"/>
      <c r="B713" s="80"/>
      <c r="C713" s="80"/>
      <c r="D713" s="75"/>
      <c r="E713" s="76"/>
      <c r="F713" s="77"/>
      <c r="G713" s="76"/>
      <c r="H713" s="75"/>
      <c r="I713" s="76"/>
      <c r="J713" s="75"/>
      <c r="K713" s="76"/>
      <c r="L713" s="75"/>
    </row>
    <row r="714" spans="1:12" ht="12.5" x14ac:dyDescent="0.25">
      <c r="A714" s="79"/>
      <c r="B714" s="80"/>
      <c r="C714" s="80"/>
      <c r="D714" s="75"/>
      <c r="E714" s="76"/>
      <c r="F714" s="77"/>
      <c r="G714" s="76"/>
      <c r="H714" s="75"/>
      <c r="I714" s="76"/>
      <c r="J714" s="75"/>
      <c r="K714" s="76"/>
      <c r="L714" s="75"/>
    </row>
    <row r="715" spans="1:12" ht="12.5" x14ac:dyDescent="0.25">
      <c r="A715" s="79"/>
      <c r="B715" s="80"/>
      <c r="C715" s="80"/>
      <c r="D715" s="75"/>
      <c r="E715" s="76"/>
      <c r="F715" s="77"/>
      <c r="G715" s="76"/>
      <c r="H715" s="75"/>
      <c r="I715" s="76"/>
      <c r="J715" s="75"/>
      <c r="K715" s="76"/>
      <c r="L715" s="75"/>
    </row>
    <row r="716" spans="1:12" ht="12.5" x14ac:dyDescent="0.25">
      <c r="A716" s="79"/>
      <c r="B716" s="80"/>
      <c r="C716" s="80"/>
      <c r="D716" s="75"/>
      <c r="E716" s="76"/>
      <c r="F716" s="77"/>
      <c r="G716" s="76"/>
      <c r="H716" s="75"/>
      <c r="I716" s="76"/>
      <c r="J716" s="75"/>
      <c r="K716" s="76"/>
      <c r="L716" s="75"/>
    </row>
    <row r="717" spans="1:12" ht="12.5" x14ac:dyDescent="0.25">
      <c r="A717" s="79"/>
      <c r="B717" s="80"/>
      <c r="C717" s="80"/>
      <c r="D717" s="75"/>
      <c r="E717" s="76"/>
      <c r="F717" s="77"/>
      <c r="G717" s="76"/>
      <c r="H717" s="75"/>
      <c r="I717" s="76"/>
      <c r="J717" s="75"/>
      <c r="K717" s="76"/>
      <c r="L717" s="75"/>
    </row>
    <row r="718" spans="1:12" ht="12.5" x14ac:dyDescent="0.25">
      <c r="A718" s="79"/>
      <c r="B718" s="80"/>
      <c r="C718" s="80"/>
      <c r="D718" s="75"/>
      <c r="E718" s="76"/>
      <c r="F718" s="77"/>
      <c r="G718" s="76"/>
      <c r="H718" s="75"/>
      <c r="I718" s="76"/>
      <c r="J718" s="75"/>
      <c r="K718" s="76"/>
      <c r="L718" s="75"/>
    </row>
    <row r="719" spans="1:12" ht="12.5" x14ac:dyDescent="0.25">
      <c r="A719" s="79"/>
      <c r="B719" s="80"/>
      <c r="C719" s="80"/>
      <c r="D719" s="75"/>
      <c r="E719" s="76"/>
      <c r="F719" s="77"/>
      <c r="G719" s="76"/>
      <c r="H719" s="75"/>
      <c r="I719" s="76"/>
      <c r="J719" s="75"/>
      <c r="K719" s="76"/>
      <c r="L719" s="75"/>
    </row>
    <row r="720" spans="1:12" ht="12.5" x14ac:dyDescent="0.25">
      <c r="A720" s="79"/>
      <c r="B720" s="80"/>
      <c r="C720" s="80"/>
      <c r="D720" s="75"/>
      <c r="E720" s="76"/>
      <c r="F720" s="77"/>
      <c r="G720" s="76"/>
      <c r="H720" s="75"/>
      <c r="I720" s="76"/>
      <c r="J720" s="75"/>
      <c r="K720" s="76"/>
      <c r="L720" s="75"/>
    </row>
    <row r="721" spans="1:12" ht="12.5" x14ac:dyDescent="0.25">
      <c r="A721" s="79"/>
      <c r="B721" s="80"/>
      <c r="C721" s="80"/>
      <c r="D721" s="75"/>
      <c r="E721" s="76"/>
      <c r="F721" s="77"/>
      <c r="G721" s="76"/>
      <c r="H721" s="75"/>
      <c r="I721" s="76"/>
      <c r="J721" s="75"/>
      <c r="K721" s="76"/>
      <c r="L721" s="75"/>
    </row>
    <row r="722" spans="1:12" ht="12.5" x14ac:dyDescent="0.25">
      <c r="A722" s="79"/>
      <c r="B722" s="80"/>
      <c r="C722" s="80"/>
      <c r="D722" s="75"/>
      <c r="E722" s="76"/>
      <c r="F722" s="77"/>
      <c r="G722" s="76"/>
      <c r="H722" s="75"/>
      <c r="I722" s="76"/>
      <c r="J722" s="75"/>
      <c r="K722" s="76"/>
      <c r="L722" s="75"/>
    </row>
    <row r="723" spans="1:12" ht="12.5" x14ac:dyDescent="0.25">
      <c r="A723" s="79"/>
      <c r="B723" s="80"/>
      <c r="C723" s="80"/>
      <c r="D723" s="75"/>
      <c r="E723" s="76"/>
      <c r="F723" s="77"/>
      <c r="G723" s="76"/>
      <c r="H723" s="75"/>
      <c r="I723" s="76"/>
      <c r="J723" s="75"/>
      <c r="K723" s="76"/>
      <c r="L723" s="75"/>
    </row>
    <row r="724" spans="1:12" ht="12.5" x14ac:dyDescent="0.25">
      <c r="A724" s="79"/>
      <c r="B724" s="80"/>
      <c r="C724" s="80"/>
      <c r="D724" s="75"/>
      <c r="E724" s="76"/>
      <c r="F724" s="77"/>
      <c r="G724" s="76"/>
      <c r="H724" s="75"/>
      <c r="I724" s="76"/>
      <c r="J724" s="75"/>
      <c r="K724" s="76"/>
      <c r="L724" s="75"/>
    </row>
    <row r="725" spans="1:12" ht="12.5" x14ac:dyDescent="0.25">
      <c r="A725" s="79"/>
      <c r="B725" s="80"/>
      <c r="C725" s="80"/>
      <c r="D725" s="75"/>
      <c r="E725" s="76"/>
      <c r="F725" s="77"/>
      <c r="G725" s="76"/>
      <c r="H725" s="75"/>
      <c r="I725" s="76"/>
      <c r="J725" s="75"/>
      <c r="K725" s="76"/>
      <c r="L725" s="75"/>
    </row>
    <row r="726" spans="1:12" ht="12.5" x14ac:dyDescent="0.25">
      <c r="A726" s="79"/>
      <c r="B726" s="80"/>
      <c r="C726" s="80"/>
      <c r="D726" s="75"/>
      <c r="E726" s="76"/>
      <c r="F726" s="77"/>
      <c r="G726" s="76"/>
      <c r="H726" s="75"/>
      <c r="I726" s="76"/>
      <c r="J726" s="75"/>
      <c r="K726" s="76"/>
      <c r="L726" s="75"/>
    </row>
    <row r="727" spans="1:12" ht="12.5" x14ac:dyDescent="0.25">
      <c r="A727" s="79"/>
      <c r="B727" s="80"/>
      <c r="C727" s="80"/>
      <c r="D727" s="75"/>
      <c r="E727" s="76"/>
      <c r="F727" s="77"/>
      <c r="G727" s="76"/>
      <c r="H727" s="75"/>
      <c r="I727" s="76"/>
      <c r="J727" s="75"/>
      <c r="K727" s="76"/>
      <c r="L727" s="75"/>
    </row>
    <row r="728" spans="1:12" ht="12.5" x14ac:dyDescent="0.25">
      <c r="A728" s="79"/>
      <c r="B728" s="80"/>
      <c r="C728" s="80"/>
      <c r="D728" s="75"/>
      <c r="E728" s="76"/>
      <c r="F728" s="77"/>
      <c r="G728" s="76"/>
      <c r="H728" s="75"/>
      <c r="I728" s="76"/>
      <c r="J728" s="75"/>
      <c r="K728" s="76"/>
      <c r="L728" s="75"/>
    </row>
    <row r="729" spans="1:12" ht="12.5" x14ac:dyDescent="0.25">
      <c r="A729" s="79"/>
      <c r="B729" s="80"/>
      <c r="C729" s="80"/>
      <c r="D729" s="75"/>
      <c r="E729" s="76"/>
      <c r="F729" s="77"/>
      <c r="G729" s="76"/>
      <c r="H729" s="75"/>
      <c r="I729" s="76"/>
      <c r="J729" s="75"/>
      <c r="K729" s="76"/>
      <c r="L729" s="75"/>
    </row>
    <row r="730" spans="1:12" ht="12.5" x14ac:dyDescent="0.25">
      <c r="A730" s="79"/>
      <c r="B730" s="80"/>
      <c r="C730" s="80"/>
      <c r="D730" s="75"/>
      <c r="E730" s="76"/>
      <c r="F730" s="77"/>
      <c r="G730" s="76"/>
      <c r="H730" s="75"/>
      <c r="I730" s="76"/>
      <c r="J730" s="75"/>
      <c r="K730" s="76"/>
      <c r="L730" s="75"/>
    </row>
    <row r="731" spans="1:12" ht="12.5" x14ac:dyDescent="0.25">
      <c r="A731" s="79"/>
      <c r="B731" s="80"/>
      <c r="C731" s="80"/>
      <c r="D731" s="75"/>
      <c r="E731" s="76"/>
      <c r="F731" s="77"/>
      <c r="G731" s="76"/>
      <c r="H731" s="75"/>
      <c r="I731" s="76"/>
      <c r="J731" s="75"/>
      <c r="K731" s="76"/>
      <c r="L731" s="75"/>
    </row>
    <row r="732" spans="1:12" ht="12.5" x14ac:dyDescent="0.25">
      <c r="A732" s="79"/>
      <c r="B732" s="80"/>
      <c r="C732" s="80"/>
      <c r="D732" s="75"/>
      <c r="E732" s="76"/>
      <c r="F732" s="77"/>
      <c r="G732" s="76"/>
      <c r="H732" s="75"/>
      <c r="I732" s="76"/>
      <c r="J732" s="75"/>
      <c r="K732" s="76"/>
      <c r="L732" s="75"/>
    </row>
    <row r="733" spans="1:12" ht="12.5" x14ac:dyDescent="0.25">
      <c r="A733" s="79"/>
      <c r="B733" s="80"/>
      <c r="C733" s="80"/>
      <c r="D733" s="75"/>
      <c r="E733" s="76"/>
      <c r="F733" s="77"/>
      <c r="G733" s="76"/>
      <c r="H733" s="75"/>
      <c r="I733" s="76"/>
      <c r="J733" s="75"/>
      <c r="K733" s="76"/>
      <c r="L733" s="75"/>
    </row>
    <row r="734" spans="1:12" ht="12.5" x14ac:dyDescent="0.25">
      <c r="A734" s="79"/>
      <c r="B734" s="80"/>
      <c r="C734" s="80"/>
      <c r="D734" s="75"/>
      <c r="E734" s="76"/>
      <c r="F734" s="77"/>
      <c r="G734" s="76"/>
      <c r="H734" s="75"/>
      <c r="I734" s="76"/>
      <c r="J734" s="75"/>
      <c r="K734" s="76"/>
      <c r="L734" s="75"/>
    </row>
    <row r="735" spans="1:12" ht="12.5" x14ac:dyDescent="0.25">
      <c r="A735" s="79"/>
      <c r="B735" s="80"/>
      <c r="C735" s="80"/>
      <c r="D735" s="75"/>
      <c r="E735" s="76"/>
      <c r="F735" s="77"/>
      <c r="G735" s="76"/>
      <c r="H735" s="75"/>
      <c r="I735" s="76"/>
      <c r="J735" s="75"/>
      <c r="K735" s="76"/>
      <c r="L735" s="75"/>
    </row>
    <row r="736" spans="1:12" ht="12.5" x14ac:dyDescent="0.25">
      <c r="A736" s="79"/>
      <c r="B736" s="80"/>
      <c r="C736" s="80"/>
      <c r="D736" s="75"/>
      <c r="E736" s="76"/>
      <c r="F736" s="77"/>
      <c r="G736" s="76"/>
      <c r="H736" s="75"/>
      <c r="I736" s="76"/>
      <c r="J736" s="75"/>
      <c r="K736" s="76"/>
      <c r="L736" s="75"/>
    </row>
    <row r="737" spans="1:12" ht="12.5" x14ac:dyDescent="0.25">
      <c r="A737" s="79"/>
      <c r="B737" s="80"/>
      <c r="C737" s="80"/>
      <c r="D737" s="75"/>
      <c r="E737" s="76"/>
      <c r="F737" s="77"/>
      <c r="G737" s="76"/>
      <c r="H737" s="75"/>
      <c r="I737" s="76"/>
      <c r="J737" s="75"/>
      <c r="K737" s="76"/>
      <c r="L737" s="75"/>
    </row>
    <row r="738" spans="1:12" ht="12.5" x14ac:dyDescent="0.25">
      <c r="A738" s="79"/>
      <c r="B738" s="80"/>
      <c r="C738" s="80"/>
      <c r="D738" s="75"/>
      <c r="E738" s="76"/>
      <c r="F738" s="77"/>
      <c r="G738" s="76"/>
      <c r="H738" s="75"/>
      <c r="I738" s="76"/>
      <c r="J738" s="75"/>
      <c r="K738" s="76"/>
      <c r="L738" s="75"/>
    </row>
    <row r="739" spans="1:12" ht="12.5" x14ac:dyDescent="0.25">
      <c r="A739" s="79"/>
      <c r="B739" s="80"/>
      <c r="C739" s="80"/>
      <c r="D739" s="75"/>
      <c r="E739" s="76"/>
      <c r="F739" s="77"/>
      <c r="G739" s="76"/>
      <c r="H739" s="75"/>
      <c r="I739" s="76"/>
      <c r="J739" s="75"/>
      <c r="K739" s="76"/>
      <c r="L739" s="75"/>
    </row>
    <row r="740" spans="1:12" ht="12.5" x14ac:dyDescent="0.25">
      <c r="A740" s="79"/>
      <c r="B740" s="80"/>
      <c r="C740" s="80"/>
      <c r="D740" s="75"/>
      <c r="E740" s="76"/>
      <c r="F740" s="77"/>
      <c r="G740" s="76"/>
      <c r="H740" s="75"/>
      <c r="I740" s="76"/>
      <c r="J740" s="75"/>
      <c r="K740" s="76"/>
      <c r="L740" s="75"/>
    </row>
    <row r="741" spans="1:12" ht="12.5" x14ac:dyDescent="0.25">
      <c r="A741" s="79"/>
      <c r="B741" s="80"/>
      <c r="C741" s="80"/>
      <c r="D741" s="75"/>
      <c r="E741" s="76"/>
      <c r="F741" s="77"/>
      <c r="G741" s="76"/>
      <c r="H741" s="75"/>
      <c r="I741" s="76"/>
      <c r="J741" s="75"/>
      <c r="K741" s="76"/>
      <c r="L741" s="75"/>
    </row>
    <row r="742" spans="1:12" ht="12.5" x14ac:dyDescent="0.25">
      <c r="A742" s="79"/>
      <c r="B742" s="80"/>
      <c r="C742" s="80"/>
      <c r="D742" s="75"/>
      <c r="E742" s="76"/>
      <c r="F742" s="77"/>
      <c r="G742" s="76"/>
      <c r="H742" s="75"/>
      <c r="I742" s="76"/>
      <c r="J742" s="75"/>
      <c r="K742" s="76"/>
      <c r="L742" s="75"/>
    </row>
    <row r="743" spans="1:12" ht="12.5" x14ac:dyDescent="0.25">
      <c r="A743" s="79"/>
      <c r="B743" s="80"/>
      <c r="C743" s="80"/>
      <c r="D743" s="75"/>
      <c r="E743" s="76"/>
      <c r="F743" s="77"/>
      <c r="G743" s="76"/>
      <c r="H743" s="75"/>
      <c r="I743" s="76"/>
      <c r="J743" s="75"/>
      <c r="K743" s="76"/>
      <c r="L743" s="75"/>
    </row>
    <row r="744" spans="1:12" ht="12.5" x14ac:dyDescent="0.25">
      <c r="A744" s="79"/>
      <c r="B744" s="80"/>
      <c r="C744" s="80"/>
      <c r="D744" s="75"/>
      <c r="E744" s="76"/>
      <c r="F744" s="77"/>
      <c r="G744" s="76"/>
      <c r="H744" s="75"/>
      <c r="I744" s="76"/>
      <c r="J744" s="75"/>
      <c r="K744" s="76"/>
      <c r="L744" s="75"/>
    </row>
    <row r="745" spans="1:12" ht="12.5" x14ac:dyDescent="0.25">
      <c r="A745" s="79"/>
      <c r="B745" s="80"/>
      <c r="C745" s="80"/>
      <c r="D745" s="75"/>
      <c r="E745" s="76"/>
      <c r="F745" s="77"/>
      <c r="G745" s="76"/>
      <c r="H745" s="75"/>
      <c r="I745" s="76"/>
      <c r="J745" s="75"/>
      <c r="K745" s="76"/>
      <c r="L745" s="75"/>
    </row>
    <row r="746" spans="1:12" ht="12.5" x14ac:dyDescent="0.25">
      <c r="A746" s="79"/>
      <c r="B746" s="80"/>
      <c r="C746" s="80"/>
      <c r="D746" s="75"/>
      <c r="E746" s="76"/>
      <c r="F746" s="77"/>
      <c r="G746" s="76"/>
      <c r="H746" s="75"/>
      <c r="I746" s="76"/>
      <c r="J746" s="75"/>
      <c r="K746" s="76"/>
      <c r="L746" s="75"/>
    </row>
    <row r="747" spans="1:12" ht="12.5" x14ac:dyDescent="0.25">
      <c r="A747" s="79"/>
      <c r="B747" s="80"/>
      <c r="C747" s="80"/>
      <c r="D747" s="75"/>
      <c r="E747" s="76"/>
      <c r="F747" s="77"/>
      <c r="G747" s="76"/>
      <c r="H747" s="75"/>
      <c r="I747" s="76"/>
      <c r="J747" s="75"/>
      <c r="K747" s="76"/>
      <c r="L747" s="75"/>
    </row>
    <row r="748" spans="1:12" ht="12.5" x14ac:dyDescent="0.25">
      <c r="A748" s="79"/>
      <c r="B748" s="80"/>
      <c r="C748" s="80"/>
      <c r="D748" s="75"/>
      <c r="E748" s="76"/>
      <c r="F748" s="77"/>
      <c r="G748" s="76"/>
      <c r="H748" s="75"/>
      <c r="I748" s="76"/>
      <c r="J748" s="75"/>
      <c r="K748" s="76"/>
      <c r="L748" s="75"/>
    </row>
    <row r="749" spans="1:12" ht="12.5" x14ac:dyDescent="0.25">
      <c r="A749" s="79"/>
      <c r="B749" s="80"/>
      <c r="C749" s="80"/>
      <c r="D749" s="75"/>
      <c r="E749" s="76"/>
      <c r="F749" s="77"/>
      <c r="G749" s="76"/>
      <c r="H749" s="75"/>
      <c r="I749" s="76"/>
      <c r="J749" s="75"/>
      <c r="K749" s="76"/>
      <c r="L749" s="75"/>
    </row>
    <row r="750" spans="1:12" ht="12.5" x14ac:dyDescent="0.25">
      <c r="A750" s="79"/>
      <c r="B750" s="80"/>
      <c r="C750" s="80"/>
      <c r="D750" s="75"/>
      <c r="E750" s="76"/>
      <c r="F750" s="77"/>
      <c r="G750" s="76"/>
      <c r="H750" s="75"/>
      <c r="I750" s="76"/>
      <c r="J750" s="75"/>
      <c r="K750" s="76"/>
      <c r="L750" s="75"/>
    </row>
    <row r="751" spans="1:12" ht="12.5" x14ac:dyDescent="0.25">
      <c r="A751" s="79"/>
      <c r="B751" s="80"/>
      <c r="C751" s="80"/>
      <c r="D751" s="75"/>
      <c r="E751" s="76"/>
      <c r="F751" s="77"/>
      <c r="G751" s="76"/>
      <c r="H751" s="75"/>
      <c r="I751" s="76"/>
      <c r="J751" s="75"/>
      <c r="K751" s="76"/>
      <c r="L751" s="75"/>
    </row>
    <row r="752" spans="1:12" ht="12.5" x14ac:dyDescent="0.25">
      <c r="A752" s="79"/>
      <c r="B752" s="80"/>
      <c r="C752" s="80"/>
      <c r="D752" s="75"/>
      <c r="E752" s="76"/>
      <c r="F752" s="77"/>
      <c r="G752" s="76"/>
      <c r="H752" s="75"/>
      <c r="I752" s="76"/>
      <c r="J752" s="75"/>
      <c r="K752" s="76"/>
      <c r="L752" s="75"/>
    </row>
    <row r="753" spans="1:12" ht="12.5" x14ac:dyDescent="0.25">
      <c r="A753" s="79"/>
      <c r="B753" s="80"/>
      <c r="C753" s="80"/>
      <c r="D753" s="75"/>
      <c r="E753" s="76"/>
      <c r="F753" s="77"/>
      <c r="G753" s="76"/>
      <c r="H753" s="75"/>
      <c r="I753" s="76"/>
      <c r="J753" s="75"/>
      <c r="K753" s="76"/>
      <c r="L753" s="75"/>
    </row>
    <row r="754" spans="1:12" ht="12.5" x14ac:dyDescent="0.25">
      <c r="A754" s="79"/>
      <c r="B754" s="80"/>
      <c r="C754" s="80"/>
      <c r="D754" s="75"/>
      <c r="E754" s="76"/>
      <c r="F754" s="77"/>
      <c r="G754" s="76"/>
      <c r="H754" s="75"/>
      <c r="I754" s="76"/>
      <c r="J754" s="75"/>
      <c r="K754" s="76"/>
      <c r="L754" s="75"/>
    </row>
    <row r="755" spans="1:12" ht="12.5" x14ac:dyDescent="0.25">
      <c r="A755" s="79"/>
      <c r="B755" s="80"/>
      <c r="C755" s="80"/>
      <c r="D755" s="75"/>
      <c r="E755" s="76"/>
      <c r="F755" s="77"/>
      <c r="G755" s="76"/>
      <c r="H755" s="75"/>
      <c r="I755" s="76"/>
      <c r="J755" s="75"/>
      <c r="K755" s="76"/>
      <c r="L755" s="75"/>
    </row>
    <row r="756" spans="1:12" ht="12.5" x14ac:dyDescent="0.25">
      <c r="A756" s="79"/>
      <c r="B756" s="80"/>
      <c r="C756" s="80"/>
      <c r="D756" s="75"/>
      <c r="E756" s="76"/>
      <c r="F756" s="77"/>
      <c r="G756" s="76"/>
      <c r="H756" s="75"/>
      <c r="I756" s="76"/>
      <c r="J756" s="75"/>
      <c r="K756" s="76"/>
      <c r="L756" s="75"/>
    </row>
    <row r="757" spans="1:12" ht="12.5" x14ac:dyDescent="0.25">
      <c r="A757" s="79"/>
      <c r="B757" s="80"/>
      <c r="C757" s="80"/>
      <c r="D757" s="75"/>
      <c r="E757" s="76"/>
      <c r="F757" s="77"/>
      <c r="G757" s="76"/>
      <c r="H757" s="75"/>
      <c r="I757" s="76"/>
      <c r="J757" s="75"/>
      <c r="K757" s="76"/>
      <c r="L757" s="75"/>
    </row>
    <row r="758" spans="1:12" ht="12.5" x14ac:dyDescent="0.25">
      <c r="A758" s="79"/>
      <c r="B758" s="80"/>
      <c r="C758" s="80"/>
      <c r="D758" s="75"/>
      <c r="E758" s="76"/>
      <c r="F758" s="77"/>
      <c r="G758" s="76"/>
      <c r="H758" s="75"/>
      <c r="I758" s="76"/>
      <c r="J758" s="75"/>
      <c r="K758" s="76"/>
      <c r="L758" s="75"/>
    </row>
    <row r="759" spans="1:12" ht="12.5" x14ac:dyDescent="0.25">
      <c r="A759" s="79"/>
      <c r="B759" s="80"/>
      <c r="C759" s="80"/>
      <c r="D759" s="75"/>
      <c r="E759" s="76"/>
      <c r="F759" s="77"/>
      <c r="G759" s="76"/>
      <c r="H759" s="75"/>
      <c r="I759" s="76"/>
      <c r="J759" s="75"/>
      <c r="K759" s="76"/>
      <c r="L759" s="75"/>
    </row>
    <row r="760" spans="1:12" ht="12.5" x14ac:dyDescent="0.25">
      <c r="A760" s="79"/>
      <c r="B760" s="80"/>
      <c r="C760" s="80"/>
      <c r="D760" s="75"/>
      <c r="E760" s="76"/>
      <c r="F760" s="77"/>
      <c r="G760" s="76"/>
      <c r="H760" s="75"/>
      <c r="I760" s="76"/>
      <c r="J760" s="75"/>
      <c r="K760" s="76"/>
      <c r="L760" s="75"/>
    </row>
    <row r="761" spans="1:12" ht="12.5" x14ac:dyDescent="0.25">
      <c r="A761" s="79"/>
      <c r="B761" s="80"/>
      <c r="C761" s="80"/>
      <c r="D761" s="75"/>
      <c r="E761" s="76"/>
      <c r="F761" s="77"/>
      <c r="G761" s="76"/>
      <c r="H761" s="75"/>
      <c r="I761" s="76"/>
      <c r="J761" s="75"/>
      <c r="K761" s="76"/>
      <c r="L761" s="75"/>
    </row>
    <row r="762" spans="1:12" ht="12.5" x14ac:dyDescent="0.25">
      <c r="A762" s="79"/>
      <c r="B762" s="80"/>
      <c r="C762" s="80"/>
      <c r="D762" s="75"/>
      <c r="E762" s="76"/>
      <c r="F762" s="77"/>
      <c r="G762" s="76"/>
      <c r="H762" s="75"/>
      <c r="I762" s="76"/>
      <c r="J762" s="75"/>
      <c r="K762" s="76"/>
      <c r="L762" s="75"/>
    </row>
    <row r="763" spans="1:12" ht="12.5" x14ac:dyDescent="0.25">
      <c r="A763" s="79"/>
      <c r="B763" s="80"/>
      <c r="C763" s="80"/>
      <c r="D763" s="75"/>
      <c r="E763" s="76"/>
      <c r="F763" s="77"/>
      <c r="G763" s="76"/>
      <c r="H763" s="75"/>
      <c r="I763" s="76"/>
      <c r="J763" s="75"/>
      <c r="K763" s="76"/>
      <c r="L763" s="75"/>
    </row>
    <row r="764" spans="1:12" ht="12.5" x14ac:dyDescent="0.25">
      <c r="A764" s="79"/>
      <c r="B764" s="80"/>
      <c r="C764" s="80"/>
      <c r="D764" s="75"/>
      <c r="E764" s="76"/>
      <c r="F764" s="77"/>
      <c r="G764" s="76"/>
      <c r="H764" s="75"/>
      <c r="I764" s="76"/>
      <c r="J764" s="75"/>
      <c r="K764" s="76"/>
      <c r="L764" s="75"/>
    </row>
    <row r="765" spans="1:12" ht="12.5" x14ac:dyDescent="0.25">
      <c r="A765" s="79"/>
      <c r="B765" s="80"/>
      <c r="C765" s="80"/>
      <c r="D765" s="75"/>
      <c r="E765" s="76"/>
      <c r="F765" s="77"/>
      <c r="G765" s="76"/>
      <c r="H765" s="75"/>
      <c r="I765" s="76"/>
      <c r="J765" s="75"/>
      <c r="K765" s="76"/>
      <c r="L765" s="75"/>
    </row>
    <row r="766" spans="1:12" ht="12.5" x14ac:dyDescent="0.25">
      <c r="A766" s="79"/>
      <c r="B766" s="80"/>
      <c r="C766" s="80"/>
      <c r="D766" s="75"/>
      <c r="E766" s="76"/>
      <c r="F766" s="77"/>
      <c r="G766" s="76"/>
      <c r="H766" s="75"/>
      <c r="I766" s="76"/>
      <c r="J766" s="75"/>
      <c r="K766" s="76"/>
      <c r="L766" s="75"/>
    </row>
    <row r="767" spans="1:12" ht="12.5" x14ac:dyDescent="0.25">
      <c r="A767" s="79"/>
      <c r="B767" s="80"/>
      <c r="C767" s="80"/>
      <c r="D767" s="75"/>
      <c r="E767" s="76"/>
      <c r="F767" s="77"/>
      <c r="G767" s="76"/>
      <c r="H767" s="75"/>
      <c r="I767" s="76"/>
      <c r="J767" s="75"/>
      <c r="K767" s="76"/>
      <c r="L767" s="75"/>
    </row>
    <row r="768" spans="1:12" ht="12.5" x14ac:dyDescent="0.25">
      <c r="A768" s="79"/>
      <c r="B768" s="80"/>
      <c r="C768" s="80"/>
      <c r="D768" s="75"/>
      <c r="E768" s="76"/>
      <c r="F768" s="77"/>
      <c r="G768" s="76"/>
      <c r="H768" s="75"/>
      <c r="I768" s="76"/>
      <c r="J768" s="75"/>
      <c r="K768" s="76"/>
      <c r="L768" s="75"/>
    </row>
    <row r="769" spans="1:12" ht="12.5" x14ac:dyDescent="0.25">
      <c r="A769" s="79"/>
      <c r="B769" s="80"/>
      <c r="C769" s="80"/>
      <c r="D769" s="75"/>
      <c r="E769" s="76"/>
      <c r="F769" s="77"/>
      <c r="G769" s="76"/>
      <c r="H769" s="75"/>
      <c r="I769" s="76"/>
      <c r="J769" s="75"/>
      <c r="K769" s="76"/>
      <c r="L769" s="75"/>
    </row>
    <row r="770" spans="1:12" ht="12.5" x14ac:dyDescent="0.25">
      <c r="A770" s="79"/>
      <c r="B770" s="80"/>
      <c r="C770" s="80"/>
      <c r="D770" s="75"/>
      <c r="E770" s="76"/>
      <c r="F770" s="77"/>
      <c r="G770" s="76"/>
      <c r="H770" s="75"/>
      <c r="I770" s="76"/>
      <c r="J770" s="75"/>
      <c r="K770" s="76"/>
      <c r="L770" s="75"/>
    </row>
    <row r="771" spans="1:12" ht="12.5" x14ac:dyDescent="0.25">
      <c r="A771" s="79"/>
      <c r="B771" s="80"/>
      <c r="C771" s="80"/>
      <c r="D771" s="75"/>
      <c r="E771" s="76"/>
      <c r="F771" s="77"/>
      <c r="G771" s="76"/>
      <c r="H771" s="75"/>
      <c r="I771" s="76"/>
      <c r="J771" s="75"/>
      <c r="K771" s="76"/>
      <c r="L771" s="75"/>
    </row>
    <row r="772" spans="1:12" ht="12.5" x14ac:dyDescent="0.25">
      <c r="A772" s="79"/>
      <c r="B772" s="80"/>
      <c r="C772" s="80"/>
      <c r="D772" s="75"/>
      <c r="E772" s="76"/>
      <c r="F772" s="77"/>
      <c r="G772" s="76"/>
      <c r="H772" s="75"/>
      <c r="I772" s="76"/>
      <c r="J772" s="75"/>
      <c r="K772" s="76"/>
      <c r="L772" s="75"/>
    </row>
    <row r="773" spans="1:12" ht="12.5" x14ac:dyDescent="0.25">
      <c r="A773" s="79"/>
      <c r="B773" s="80"/>
      <c r="C773" s="80"/>
      <c r="D773" s="75"/>
      <c r="E773" s="76"/>
      <c r="F773" s="77"/>
      <c r="G773" s="76"/>
      <c r="H773" s="75"/>
      <c r="I773" s="76"/>
      <c r="J773" s="75"/>
      <c r="K773" s="76"/>
      <c r="L773" s="75"/>
    </row>
    <row r="774" spans="1:12" ht="12.5" x14ac:dyDescent="0.25">
      <c r="A774" s="79"/>
      <c r="B774" s="80"/>
      <c r="C774" s="80"/>
      <c r="D774" s="75"/>
      <c r="E774" s="76"/>
      <c r="F774" s="77"/>
      <c r="G774" s="76"/>
      <c r="H774" s="75"/>
      <c r="I774" s="76"/>
      <c r="J774" s="75"/>
      <c r="K774" s="76"/>
      <c r="L774" s="75"/>
    </row>
    <row r="775" spans="1:12" ht="12.5" x14ac:dyDescent="0.25">
      <c r="A775" s="79"/>
      <c r="B775" s="80"/>
      <c r="C775" s="80"/>
      <c r="D775" s="75"/>
      <c r="E775" s="76"/>
      <c r="F775" s="77"/>
      <c r="G775" s="76"/>
      <c r="H775" s="75"/>
      <c r="I775" s="76"/>
      <c r="J775" s="75"/>
      <c r="K775" s="76"/>
      <c r="L775" s="75"/>
    </row>
    <row r="776" spans="1:12" ht="12.5" x14ac:dyDescent="0.25">
      <c r="A776" s="79"/>
      <c r="B776" s="80"/>
      <c r="C776" s="80"/>
      <c r="D776" s="75"/>
      <c r="E776" s="76"/>
      <c r="F776" s="77"/>
      <c r="G776" s="76"/>
      <c r="H776" s="75"/>
      <c r="I776" s="76"/>
      <c r="J776" s="75"/>
      <c r="K776" s="76"/>
      <c r="L776" s="75"/>
    </row>
    <row r="777" spans="1:12" ht="12.5" x14ac:dyDescent="0.25">
      <c r="A777" s="79"/>
      <c r="B777" s="80"/>
      <c r="C777" s="80"/>
      <c r="D777" s="75"/>
      <c r="E777" s="76"/>
      <c r="F777" s="77"/>
      <c r="G777" s="76"/>
      <c r="H777" s="75"/>
      <c r="I777" s="76"/>
      <c r="J777" s="75"/>
      <c r="K777" s="76"/>
      <c r="L777" s="75"/>
    </row>
    <row r="778" spans="1:12" ht="12.5" x14ac:dyDescent="0.25">
      <c r="A778" s="79"/>
      <c r="B778" s="80"/>
      <c r="C778" s="80"/>
      <c r="D778" s="75"/>
      <c r="E778" s="76"/>
      <c r="F778" s="77"/>
      <c r="G778" s="76"/>
      <c r="H778" s="75"/>
      <c r="I778" s="76"/>
      <c r="J778" s="75"/>
      <c r="K778" s="76"/>
      <c r="L778" s="75"/>
    </row>
    <row r="779" spans="1:12" ht="12.5" x14ac:dyDescent="0.25">
      <c r="A779" s="79"/>
      <c r="B779" s="80"/>
      <c r="C779" s="80"/>
      <c r="D779" s="75"/>
      <c r="E779" s="76"/>
      <c r="F779" s="77"/>
      <c r="G779" s="76"/>
      <c r="H779" s="75"/>
      <c r="I779" s="76"/>
      <c r="J779" s="75"/>
      <c r="K779" s="76"/>
      <c r="L779" s="75"/>
    </row>
    <row r="780" spans="1:12" ht="12.5" x14ac:dyDescent="0.25">
      <c r="A780" s="79"/>
      <c r="B780" s="80"/>
      <c r="C780" s="80"/>
      <c r="D780" s="75"/>
      <c r="E780" s="76"/>
      <c r="F780" s="77"/>
      <c r="G780" s="76"/>
      <c r="H780" s="75"/>
      <c r="I780" s="76"/>
      <c r="J780" s="75"/>
      <c r="K780" s="76"/>
      <c r="L780" s="75"/>
    </row>
    <row r="781" spans="1:12" ht="12.5" x14ac:dyDescent="0.25">
      <c r="A781" s="79"/>
      <c r="B781" s="80"/>
      <c r="C781" s="80"/>
      <c r="D781" s="75"/>
      <c r="E781" s="76"/>
      <c r="F781" s="77"/>
      <c r="G781" s="76"/>
      <c r="H781" s="75"/>
      <c r="I781" s="76"/>
      <c r="J781" s="75"/>
      <c r="K781" s="76"/>
      <c r="L781" s="75"/>
    </row>
    <row r="782" spans="1:12" ht="12.5" x14ac:dyDescent="0.25">
      <c r="A782" s="79"/>
      <c r="B782" s="80"/>
      <c r="C782" s="80"/>
      <c r="D782" s="75"/>
      <c r="E782" s="76"/>
      <c r="F782" s="77"/>
      <c r="G782" s="76"/>
      <c r="H782" s="75"/>
      <c r="I782" s="76"/>
      <c r="J782" s="75"/>
      <c r="K782" s="76"/>
      <c r="L782" s="75"/>
    </row>
    <row r="783" spans="1:12" ht="12.5" x14ac:dyDescent="0.25">
      <c r="A783" s="79"/>
      <c r="B783" s="80"/>
      <c r="C783" s="80"/>
      <c r="D783" s="75"/>
      <c r="E783" s="76"/>
      <c r="F783" s="77"/>
      <c r="G783" s="76"/>
      <c r="H783" s="75"/>
      <c r="I783" s="76"/>
      <c r="J783" s="75"/>
      <c r="K783" s="76"/>
      <c r="L783" s="75"/>
    </row>
    <row r="784" spans="1:12" ht="12.5" x14ac:dyDescent="0.25">
      <c r="A784" s="79"/>
      <c r="B784" s="80"/>
      <c r="C784" s="80"/>
      <c r="D784" s="75"/>
      <c r="E784" s="76"/>
      <c r="F784" s="77"/>
      <c r="G784" s="76"/>
      <c r="H784" s="75"/>
      <c r="I784" s="76"/>
      <c r="J784" s="75"/>
      <c r="K784" s="76"/>
      <c r="L784" s="75"/>
    </row>
    <row r="785" spans="1:12" ht="12.5" x14ac:dyDescent="0.25">
      <c r="A785" s="79"/>
      <c r="B785" s="80"/>
      <c r="C785" s="80"/>
      <c r="D785" s="75"/>
      <c r="E785" s="76"/>
      <c r="F785" s="77"/>
      <c r="G785" s="76"/>
      <c r="H785" s="75"/>
      <c r="I785" s="76"/>
      <c r="J785" s="75"/>
      <c r="K785" s="76"/>
      <c r="L785" s="75"/>
    </row>
    <row r="786" spans="1:12" ht="12.5" x14ac:dyDescent="0.25">
      <c r="A786" s="79"/>
      <c r="B786" s="80"/>
      <c r="C786" s="80"/>
      <c r="D786" s="75"/>
      <c r="E786" s="76"/>
      <c r="F786" s="77"/>
      <c r="G786" s="76"/>
      <c r="H786" s="75"/>
      <c r="I786" s="76"/>
      <c r="J786" s="75"/>
      <c r="K786" s="76"/>
      <c r="L786" s="75"/>
    </row>
    <row r="787" spans="1:12" ht="12.5" x14ac:dyDescent="0.25">
      <c r="A787" s="79"/>
      <c r="B787" s="80"/>
      <c r="C787" s="80"/>
      <c r="D787" s="75"/>
      <c r="E787" s="76"/>
      <c r="F787" s="77"/>
      <c r="G787" s="76"/>
      <c r="H787" s="75"/>
      <c r="I787" s="76"/>
      <c r="J787" s="75"/>
      <c r="K787" s="76"/>
      <c r="L787" s="75"/>
    </row>
    <row r="788" spans="1:12" ht="12.5" x14ac:dyDescent="0.25">
      <c r="A788" s="79"/>
      <c r="B788" s="80"/>
      <c r="C788" s="80"/>
      <c r="D788" s="75"/>
      <c r="E788" s="76"/>
      <c r="F788" s="77"/>
      <c r="G788" s="76"/>
      <c r="H788" s="75"/>
      <c r="I788" s="76"/>
      <c r="J788" s="75"/>
      <c r="K788" s="76"/>
      <c r="L788" s="75"/>
    </row>
    <row r="789" spans="1:12" ht="12.5" x14ac:dyDescent="0.25">
      <c r="A789" s="79"/>
      <c r="B789" s="80"/>
      <c r="C789" s="80"/>
      <c r="D789" s="75"/>
      <c r="E789" s="76"/>
      <c r="F789" s="77"/>
      <c r="G789" s="76"/>
      <c r="H789" s="75"/>
      <c r="I789" s="76"/>
      <c r="J789" s="75"/>
      <c r="K789" s="76"/>
      <c r="L789" s="75"/>
    </row>
    <row r="790" spans="1:12" ht="12.5" x14ac:dyDescent="0.25">
      <c r="A790" s="79"/>
      <c r="B790" s="80"/>
      <c r="C790" s="80"/>
      <c r="D790" s="75"/>
      <c r="E790" s="76"/>
      <c r="F790" s="77"/>
      <c r="G790" s="76"/>
      <c r="H790" s="75"/>
      <c r="I790" s="76"/>
      <c r="J790" s="75"/>
      <c r="K790" s="76"/>
      <c r="L790" s="75"/>
    </row>
    <row r="791" spans="1:12" ht="12.5" x14ac:dyDescent="0.25">
      <c r="A791" s="79"/>
      <c r="B791" s="80"/>
      <c r="C791" s="80"/>
      <c r="D791" s="75"/>
      <c r="E791" s="76"/>
      <c r="F791" s="77"/>
      <c r="G791" s="76"/>
      <c r="H791" s="75"/>
      <c r="I791" s="76"/>
      <c r="J791" s="75"/>
      <c r="K791" s="76"/>
      <c r="L791" s="75"/>
    </row>
    <row r="792" spans="1:12" ht="12.5" x14ac:dyDescent="0.25">
      <c r="A792" s="79"/>
      <c r="B792" s="80"/>
      <c r="C792" s="80"/>
      <c r="D792" s="75"/>
      <c r="E792" s="76"/>
      <c r="F792" s="77"/>
      <c r="G792" s="76"/>
      <c r="H792" s="75"/>
      <c r="I792" s="76"/>
      <c r="J792" s="75"/>
      <c r="K792" s="76"/>
      <c r="L792" s="75"/>
    </row>
    <row r="793" spans="1:12" ht="12.5" x14ac:dyDescent="0.25">
      <c r="A793" s="79"/>
      <c r="B793" s="80"/>
      <c r="C793" s="80"/>
      <c r="D793" s="75"/>
      <c r="E793" s="76"/>
      <c r="F793" s="77"/>
      <c r="G793" s="76"/>
      <c r="H793" s="75"/>
      <c r="I793" s="76"/>
      <c r="J793" s="75"/>
      <c r="K793" s="76"/>
      <c r="L793" s="75"/>
    </row>
    <row r="794" spans="1:12" ht="12.5" x14ac:dyDescent="0.25">
      <c r="A794" s="79"/>
      <c r="B794" s="80"/>
      <c r="C794" s="80"/>
      <c r="D794" s="75"/>
      <c r="E794" s="76"/>
      <c r="F794" s="77"/>
      <c r="G794" s="76"/>
      <c r="H794" s="75"/>
      <c r="I794" s="76"/>
      <c r="J794" s="75"/>
      <c r="K794" s="76"/>
      <c r="L794" s="75"/>
    </row>
    <row r="795" spans="1:12" ht="12.5" x14ac:dyDescent="0.25">
      <c r="A795" s="79"/>
      <c r="B795" s="80"/>
      <c r="C795" s="80"/>
      <c r="D795" s="75"/>
      <c r="E795" s="76"/>
      <c r="F795" s="77"/>
      <c r="G795" s="76"/>
      <c r="H795" s="75"/>
      <c r="I795" s="76"/>
      <c r="J795" s="75"/>
      <c r="K795" s="76"/>
      <c r="L795" s="75"/>
    </row>
    <row r="796" spans="1:12" ht="12.5" x14ac:dyDescent="0.25">
      <c r="A796" s="79"/>
      <c r="B796" s="80"/>
      <c r="C796" s="80"/>
      <c r="D796" s="75"/>
      <c r="E796" s="76"/>
      <c r="F796" s="77"/>
      <c r="G796" s="76"/>
      <c r="H796" s="75"/>
      <c r="I796" s="76"/>
      <c r="J796" s="75"/>
      <c r="K796" s="76"/>
      <c r="L796" s="75"/>
    </row>
    <row r="797" spans="1:12" ht="12.5" x14ac:dyDescent="0.25">
      <c r="A797" s="79"/>
      <c r="B797" s="80"/>
      <c r="C797" s="80"/>
      <c r="D797" s="75"/>
      <c r="E797" s="76"/>
      <c r="F797" s="77"/>
      <c r="G797" s="76"/>
      <c r="H797" s="75"/>
      <c r="I797" s="76"/>
      <c r="J797" s="75"/>
      <c r="K797" s="76"/>
      <c r="L797" s="75"/>
    </row>
    <row r="798" spans="1:12" ht="12.5" x14ac:dyDescent="0.25">
      <c r="A798" s="79"/>
      <c r="B798" s="80"/>
      <c r="C798" s="80"/>
      <c r="D798" s="75"/>
      <c r="E798" s="76"/>
      <c r="F798" s="77"/>
      <c r="G798" s="76"/>
      <c r="H798" s="75"/>
      <c r="I798" s="76"/>
      <c r="J798" s="75"/>
      <c r="K798" s="76"/>
      <c r="L798" s="75"/>
    </row>
    <row r="799" spans="1:12" ht="12.5" x14ac:dyDescent="0.25">
      <c r="A799" s="79"/>
      <c r="B799" s="80"/>
      <c r="C799" s="80"/>
      <c r="D799" s="75"/>
      <c r="E799" s="76"/>
      <c r="F799" s="77"/>
      <c r="G799" s="76"/>
      <c r="H799" s="75"/>
      <c r="I799" s="76"/>
      <c r="J799" s="75"/>
      <c r="K799" s="76"/>
      <c r="L799" s="75"/>
    </row>
    <row r="800" spans="1:12" ht="12.5" x14ac:dyDescent="0.25">
      <c r="A800" s="79"/>
      <c r="B800" s="80"/>
      <c r="C800" s="80"/>
      <c r="D800" s="75"/>
      <c r="E800" s="76"/>
      <c r="F800" s="77"/>
      <c r="G800" s="76"/>
      <c r="H800" s="75"/>
      <c r="I800" s="76"/>
      <c r="J800" s="75"/>
      <c r="K800" s="76"/>
      <c r="L800" s="75"/>
    </row>
    <row r="801" spans="1:12" ht="12.5" x14ac:dyDescent="0.25">
      <c r="A801" s="79"/>
      <c r="B801" s="80"/>
      <c r="C801" s="80"/>
      <c r="D801" s="75"/>
      <c r="E801" s="76"/>
      <c r="F801" s="77"/>
      <c r="G801" s="76"/>
      <c r="H801" s="75"/>
      <c r="I801" s="76"/>
      <c r="J801" s="75"/>
      <c r="K801" s="76"/>
      <c r="L801" s="75"/>
    </row>
    <row r="802" spans="1:12" ht="12.5" x14ac:dyDescent="0.25">
      <c r="A802" s="79"/>
      <c r="B802" s="80"/>
      <c r="C802" s="80"/>
      <c r="D802" s="75"/>
      <c r="E802" s="76"/>
      <c r="F802" s="77"/>
      <c r="G802" s="76"/>
      <c r="H802" s="75"/>
      <c r="I802" s="76"/>
      <c r="J802" s="75"/>
      <c r="K802" s="76"/>
      <c r="L802" s="75"/>
    </row>
    <row r="803" spans="1:12" ht="12.5" x14ac:dyDescent="0.25">
      <c r="A803" s="79"/>
      <c r="B803" s="80"/>
      <c r="C803" s="80"/>
      <c r="D803" s="75"/>
      <c r="E803" s="76"/>
      <c r="F803" s="77"/>
      <c r="G803" s="76"/>
      <c r="H803" s="75"/>
      <c r="I803" s="76"/>
      <c r="J803" s="75"/>
      <c r="K803" s="76"/>
      <c r="L803" s="75"/>
    </row>
    <row r="804" spans="1:12" ht="12.5" x14ac:dyDescent="0.25">
      <c r="A804" s="79"/>
      <c r="B804" s="80"/>
      <c r="C804" s="80"/>
      <c r="D804" s="75"/>
      <c r="E804" s="76"/>
      <c r="F804" s="77"/>
      <c r="G804" s="76"/>
      <c r="H804" s="75"/>
      <c r="I804" s="76"/>
      <c r="J804" s="75"/>
      <c r="K804" s="76"/>
      <c r="L804" s="75"/>
    </row>
    <row r="805" spans="1:12" ht="12.5" x14ac:dyDescent="0.25">
      <c r="A805" s="79"/>
      <c r="B805" s="80"/>
      <c r="C805" s="80"/>
      <c r="D805" s="75"/>
      <c r="E805" s="76"/>
      <c r="F805" s="77"/>
      <c r="G805" s="76"/>
      <c r="H805" s="75"/>
      <c r="I805" s="76"/>
      <c r="J805" s="75"/>
      <c r="K805" s="76"/>
      <c r="L805" s="75"/>
    </row>
    <row r="806" spans="1:12" ht="12.5" x14ac:dyDescent="0.25">
      <c r="A806" s="79"/>
      <c r="B806" s="80"/>
      <c r="C806" s="80"/>
      <c r="D806" s="75"/>
      <c r="E806" s="76"/>
      <c r="F806" s="77"/>
      <c r="G806" s="76"/>
      <c r="H806" s="75"/>
      <c r="I806" s="76"/>
      <c r="J806" s="75"/>
      <c r="K806" s="76"/>
      <c r="L806" s="75"/>
    </row>
    <row r="807" spans="1:12" ht="12.5" x14ac:dyDescent="0.25">
      <c r="A807" s="79"/>
      <c r="B807" s="80"/>
      <c r="C807" s="80"/>
      <c r="D807" s="75"/>
      <c r="E807" s="76"/>
      <c r="F807" s="77"/>
      <c r="G807" s="76"/>
      <c r="H807" s="75"/>
      <c r="I807" s="76"/>
      <c r="J807" s="75"/>
      <c r="K807" s="76"/>
      <c r="L807" s="75"/>
    </row>
    <row r="808" spans="1:12" ht="12.5" x14ac:dyDescent="0.25">
      <c r="A808" s="79"/>
      <c r="B808" s="80"/>
      <c r="C808" s="80"/>
      <c r="D808" s="75"/>
      <c r="E808" s="76"/>
      <c r="F808" s="77"/>
      <c r="G808" s="76"/>
      <c r="H808" s="75"/>
      <c r="I808" s="76"/>
      <c r="J808" s="75"/>
      <c r="K808" s="76"/>
      <c r="L808" s="75"/>
    </row>
    <row r="809" spans="1:12" ht="12.5" x14ac:dyDescent="0.25">
      <c r="A809" s="79"/>
      <c r="B809" s="80"/>
      <c r="C809" s="80"/>
      <c r="D809" s="75"/>
      <c r="E809" s="76"/>
      <c r="F809" s="77"/>
      <c r="G809" s="76"/>
      <c r="H809" s="75"/>
      <c r="I809" s="76"/>
      <c r="J809" s="75"/>
      <c r="K809" s="76"/>
      <c r="L809" s="75"/>
    </row>
    <row r="810" spans="1:12" ht="12.5" x14ac:dyDescent="0.25">
      <c r="A810" s="79"/>
      <c r="B810" s="80"/>
      <c r="C810" s="80"/>
      <c r="D810" s="75"/>
      <c r="E810" s="76"/>
      <c r="F810" s="77"/>
      <c r="G810" s="76"/>
      <c r="H810" s="75"/>
      <c r="I810" s="76"/>
      <c r="J810" s="75"/>
      <c r="K810" s="76"/>
      <c r="L810" s="75"/>
    </row>
    <row r="811" spans="1:12" ht="12.5" x14ac:dyDescent="0.25">
      <c r="A811" s="79"/>
      <c r="B811" s="80"/>
      <c r="C811" s="80"/>
      <c r="D811" s="75"/>
      <c r="E811" s="76"/>
      <c r="F811" s="77"/>
      <c r="G811" s="76"/>
      <c r="H811" s="75"/>
      <c r="I811" s="76"/>
      <c r="J811" s="75"/>
      <c r="K811" s="76"/>
      <c r="L811" s="75"/>
    </row>
    <row r="812" spans="1:12" ht="12.5" x14ac:dyDescent="0.25">
      <c r="A812" s="79"/>
      <c r="B812" s="80"/>
      <c r="C812" s="80"/>
      <c r="D812" s="75"/>
      <c r="E812" s="76"/>
      <c r="F812" s="77"/>
      <c r="G812" s="76"/>
      <c r="H812" s="75"/>
      <c r="I812" s="76"/>
      <c r="J812" s="75"/>
      <c r="K812" s="76"/>
      <c r="L812" s="75"/>
    </row>
    <row r="813" spans="1:12" ht="12.5" x14ac:dyDescent="0.25">
      <c r="A813" s="79"/>
      <c r="B813" s="80"/>
      <c r="C813" s="80"/>
      <c r="D813" s="75"/>
      <c r="E813" s="76"/>
      <c r="F813" s="77"/>
      <c r="G813" s="76"/>
      <c r="H813" s="75"/>
      <c r="I813" s="76"/>
      <c r="J813" s="75"/>
      <c r="K813" s="76"/>
      <c r="L813" s="75"/>
    </row>
    <row r="814" spans="1:12" ht="12.5" x14ac:dyDescent="0.25">
      <c r="A814" s="79"/>
      <c r="B814" s="80"/>
      <c r="C814" s="80"/>
      <c r="D814" s="75"/>
      <c r="E814" s="76"/>
      <c r="F814" s="77"/>
      <c r="G814" s="76"/>
      <c r="H814" s="75"/>
      <c r="I814" s="76"/>
      <c r="J814" s="75"/>
      <c r="K814" s="76"/>
      <c r="L814" s="75"/>
    </row>
    <row r="815" spans="1:12" ht="12.5" x14ac:dyDescent="0.25">
      <c r="A815" s="79"/>
      <c r="B815" s="80"/>
      <c r="C815" s="80"/>
      <c r="D815" s="75"/>
      <c r="E815" s="76"/>
      <c r="F815" s="77"/>
      <c r="G815" s="76"/>
      <c r="H815" s="75"/>
      <c r="I815" s="76"/>
      <c r="J815" s="75"/>
      <c r="K815" s="76"/>
      <c r="L815" s="75"/>
    </row>
    <row r="816" spans="1:12" ht="12.5" x14ac:dyDescent="0.25">
      <c r="A816" s="79"/>
      <c r="B816" s="80"/>
      <c r="C816" s="80"/>
      <c r="D816" s="75"/>
      <c r="E816" s="76"/>
      <c r="F816" s="77"/>
      <c r="G816" s="76"/>
      <c r="H816" s="75"/>
      <c r="I816" s="76"/>
      <c r="J816" s="75"/>
      <c r="K816" s="76"/>
      <c r="L816" s="75"/>
    </row>
    <row r="817" spans="1:12" ht="12.5" x14ac:dyDescent="0.25">
      <c r="A817" s="79"/>
      <c r="B817" s="80"/>
      <c r="C817" s="80"/>
      <c r="D817" s="75"/>
      <c r="E817" s="76"/>
      <c r="F817" s="77"/>
      <c r="G817" s="76"/>
      <c r="H817" s="75"/>
      <c r="I817" s="76"/>
      <c r="J817" s="75"/>
      <c r="K817" s="76"/>
      <c r="L817" s="75"/>
    </row>
    <row r="818" spans="1:12" ht="12.5" x14ac:dyDescent="0.25">
      <c r="A818" s="79"/>
      <c r="B818" s="80"/>
      <c r="C818" s="80"/>
      <c r="D818" s="75"/>
      <c r="E818" s="76"/>
      <c r="F818" s="77"/>
      <c r="G818" s="76"/>
      <c r="H818" s="75"/>
      <c r="I818" s="76"/>
      <c r="J818" s="75"/>
      <c r="K818" s="76"/>
      <c r="L818" s="75"/>
    </row>
    <row r="819" spans="1:12" ht="12.5" x14ac:dyDescent="0.25">
      <c r="A819" s="79"/>
      <c r="B819" s="80"/>
      <c r="C819" s="80"/>
      <c r="D819" s="75"/>
      <c r="E819" s="76"/>
      <c r="F819" s="77"/>
      <c r="G819" s="76"/>
      <c r="H819" s="75"/>
      <c r="I819" s="76"/>
      <c r="J819" s="75"/>
      <c r="K819" s="76"/>
      <c r="L819" s="75"/>
    </row>
    <row r="820" spans="1:12" ht="12.5" x14ac:dyDescent="0.25">
      <c r="A820" s="79"/>
      <c r="B820" s="80"/>
      <c r="C820" s="80"/>
      <c r="D820" s="75"/>
      <c r="E820" s="76"/>
      <c r="F820" s="77"/>
      <c r="G820" s="76"/>
      <c r="H820" s="75"/>
      <c r="I820" s="76"/>
      <c r="J820" s="75"/>
      <c r="K820" s="76"/>
      <c r="L820" s="75"/>
    </row>
    <row r="821" spans="1:12" ht="12.5" x14ac:dyDescent="0.25">
      <c r="A821" s="79"/>
      <c r="B821" s="80"/>
      <c r="C821" s="80"/>
      <c r="D821" s="75"/>
      <c r="E821" s="76"/>
      <c r="F821" s="77"/>
      <c r="G821" s="76"/>
      <c r="H821" s="75"/>
      <c r="I821" s="76"/>
      <c r="J821" s="75"/>
      <c r="K821" s="76"/>
      <c r="L821" s="75"/>
    </row>
    <row r="822" spans="1:12" ht="12.5" x14ac:dyDescent="0.25">
      <c r="A822" s="79"/>
      <c r="B822" s="80"/>
      <c r="C822" s="80"/>
      <c r="D822" s="75"/>
      <c r="E822" s="76"/>
      <c r="F822" s="77"/>
      <c r="G822" s="76"/>
      <c r="H822" s="75"/>
      <c r="I822" s="76"/>
      <c r="J822" s="75"/>
      <c r="K822" s="76"/>
      <c r="L822" s="75"/>
    </row>
    <row r="823" spans="1:12" ht="12.5" x14ac:dyDescent="0.25">
      <c r="A823" s="79"/>
      <c r="B823" s="80"/>
      <c r="C823" s="80"/>
      <c r="D823" s="75"/>
      <c r="E823" s="76"/>
      <c r="F823" s="77"/>
      <c r="G823" s="76"/>
      <c r="H823" s="75"/>
      <c r="I823" s="76"/>
      <c r="J823" s="75"/>
      <c r="K823" s="76"/>
      <c r="L823" s="75"/>
    </row>
    <row r="824" spans="1:12" ht="12.5" x14ac:dyDescent="0.25">
      <c r="A824" s="79"/>
      <c r="B824" s="80"/>
      <c r="C824" s="80"/>
      <c r="D824" s="75"/>
      <c r="E824" s="76"/>
      <c r="F824" s="77"/>
      <c r="G824" s="76"/>
      <c r="H824" s="75"/>
      <c r="I824" s="76"/>
      <c r="J824" s="75"/>
      <c r="K824" s="76"/>
      <c r="L824" s="75"/>
    </row>
    <row r="825" spans="1:12" ht="12.5" x14ac:dyDescent="0.25">
      <c r="A825" s="79"/>
      <c r="B825" s="80"/>
      <c r="C825" s="80"/>
      <c r="D825" s="75"/>
      <c r="E825" s="76"/>
      <c r="F825" s="77"/>
      <c r="G825" s="76"/>
      <c r="H825" s="75"/>
      <c r="I825" s="76"/>
      <c r="J825" s="75"/>
      <c r="K825" s="76"/>
      <c r="L825" s="75"/>
    </row>
    <row r="826" spans="1:12" ht="12.5" x14ac:dyDescent="0.25">
      <c r="A826" s="79"/>
      <c r="B826" s="80"/>
      <c r="C826" s="80"/>
      <c r="D826" s="75"/>
      <c r="E826" s="76"/>
      <c r="F826" s="77"/>
      <c r="G826" s="76"/>
      <c r="H826" s="75"/>
      <c r="I826" s="76"/>
      <c r="J826" s="75"/>
      <c r="K826" s="76"/>
      <c r="L826" s="75"/>
    </row>
    <row r="827" spans="1:12" ht="12.5" x14ac:dyDescent="0.25">
      <c r="A827" s="79"/>
      <c r="B827" s="80"/>
      <c r="C827" s="80"/>
      <c r="D827" s="75"/>
      <c r="E827" s="76"/>
      <c r="F827" s="77"/>
      <c r="G827" s="76"/>
      <c r="H827" s="75"/>
      <c r="I827" s="76"/>
      <c r="J827" s="75"/>
      <c r="K827" s="76"/>
      <c r="L827" s="75"/>
    </row>
    <row r="828" spans="1:12" ht="12.5" x14ac:dyDescent="0.25">
      <c r="A828" s="79"/>
      <c r="B828" s="80"/>
      <c r="C828" s="80"/>
      <c r="D828" s="75"/>
      <c r="E828" s="76"/>
      <c r="F828" s="77"/>
      <c r="G828" s="76"/>
      <c r="H828" s="75"/>
      <c r="I828" s="76"/>
      <c r="J828" s="75"/>
      <c r="K828" s="76"/>
      <c r="L828" s="75"/>
    </row>
    <row r="829" spans="1:12" ht="12.5" x14ac:dyDescent="0.25">
      <c r="A829" s="79"/>
      <c r="B829" s="80"/>
      <c r="C829" s="80"/>
      <c r="D829" s="75"/>
      <c r="E829" s="76"/>
      <c r="F829" s="77"/>
      <c r="G829" s="76"/>
      <c r="H829" s="75"/>
      <c r="I829" s="76"/>
      <c r="J829" s="75"/>
      <c r="K829" s="76"/>
      <c r="L829" s="75"/>
    </row>
    <row r="830" spans="1:12" ht="12.5" x14ac:dyDescent="0.25">
      <c r="A830" s="79"/>
      <c r="B830" s="80"/>
      <c r="C830" s="80"/>
      <c r="D830" s="75"/>
      <c r="E830" s="76"/>
      <c r="F830" s="77"/>
      <c r="G830" s="76"/>
      <c r="H830" s="75"/>
      <c r="I830" s="76"/>
      <c r="J830" s="75"/>
      <c r="K830" s="76"/>
      <c r="L830" s="75"/>
    </row>
    <row r="831" spans="1:12" ht="12.5" x14ac:dyDescent="0.25">
      <c r="A831" s="79"/>
      <c r="B831" s="80"/>
      <c r="C831" s="80"/>
      <c r="D831" s="75"/>
      <c r="E831" s="76"/>
      <c r="F831" s="77"/>
      <c r="G831" s="76"/>
      <c r="H831" s="75"/>
      <c r="I831" s="76"/>
      <c r="J831" s="75"/>
      <c r="K831" s="76"/>
      <c r="L831" s="75"/>
    </row>
    <row r="832" spans="1:12" ht="12.5" x14ac:dyDescent="0.25">
      <c r="A832" s="79"/>
      <c r="B832" s="80"/>
      <c r="C832" s="80"/>
      <c r="D832" s="75"/>
      <c r="E832" s="76"/>
      <c r="F832" s="77"/>
      <c r="G832" s="76"/>
      <c r="H832" s="75"/>
      <c r="I832" s="76"/>
      <c r="J832" s="75"/>
      <c r="K832" s="76"/>
      <c r="L832" s="75"/>
    </row>
    <row r="833" spans="1:12" ht="12.5" x14ac:dyDescent="0.25">
      <c r="A833" s="79"/>
      <c r="B833" s="80"/>
      <c r="C833" s="80"/>
      <c r="D833" s="75"/>
      <c r="E833" s="76"/>
      <c r="F833" s="77"/>
      <c r="G833" s="76"/>
      <c r="H833" s="75"/>
      <c r="I833" s="76"/>
      <c r="J833" s="75"/>
      <c r="K833" s="76"/>
      <c r="L833" s="75"/>
    </row>
    <row r="834" spans="1:12" ht="12.5" x14ac:dyDescent="0.25">
      <c r="A834" s="79"/>
      <c r="B834" s="80"/>
      <c r="C834" s="80"/>
      <c r="D834" s="75"/>
      <c r="E834" s="76"/>
      <c r="F834" s="77"/>
      <c r="G834" s="76"/>
      <c r="H834" s="75"/>
      <c r="I834" s="76"/>
      <c r="J834" s="75"/>
      <c r="K834" s="76"/>
      <c r="L834" s="75"/>
    </row>
    <row r="835" spans="1:12" ht="12.5" x14ac:dyDescent="0.25">
      <c r="A835" s="79"/>
      <c r="B835" s="80"/>
      <c r="C835" s="80"/>
      <c r="D835" s="75"/>
      <c r="E835" s="76"/>
      <c r="F835" s="77"/>
      <c r="G835" s="76"/>
      <c r="H835" s="75"/>
      <c r="I835" s="76"/>
      <c r="J835" s="75"/>
      <c r="K835" s="76"/>
      <c r="L835" s="75"/>
    </row>
    <row r="836" spans="1:12" ht="12.5" x14ac:dyDescent="0.25">
      <c r="A836" s="79"/>
      <c r="B836" s="80"/>
      <c r="C836" s="80"/>
      <c r="D836" s="75"/>
      <c r="E836" s="76"/>
      <c r="F836" s="77"/>
      <c r="G836" s="76"/>
      <c r="H836" s="75"/>
      <c r="I836" s="76"/>
      <c r="J836" s="75"/>
      <c r="K836" s="76"/>
      <c r="L836" s="75"/>
    </row>
    <row r="837" spans="1:12" ht="12.5" x14ac:dyDescent="0.25">
      <c r="A837" s="79"/>
      <c r="B837" s="80"/>
      <c r="C837" s="80"/>
      <c r="D837" s="75"/>
      <c r="E837" s="76"/>
      <c r="F837" s="77"/>
      <c r="G837" s="76"/>
      <c r="H837" s="75"/>
      <c r="I837" s="76"/>
      <c r="J837" s="75"/>
      <c r="K837" s="76"/>
      <c r="L837" s="75"/>
    </row>
    <row r="838" spans="1:12" ht="12.5" x14ac:dyDescent="0.25">
      <c r="A838" s="79"/>
      <c r="B838" s="80"/>
      <c r="C838" s="80"/>
      <c r="D838" s="75"/>
      <c r="E838" s="76"/>
      <c r="F838" s="77"/>
      <c r="G838" s="76"/>
      <c r="H838" s="75"/>
      <c r="I838" s="76"/>
      <c r="J838" s="75"/>
      <c r="K838" s="76"/>
      <c r="L838" s="75"/>
    </row>
    <row r="839" spans="1:12" ht="12.5" x14ac:dyDescent="0.25">
      <c r="A839" s="79"/>
      <c r="B839" s="80"/>
      <c r="C839" s="80"/>
      <c r="D839" s="75"/>
      <c r="E839" s="76"/>
      <c r="F839" s="77"/>
      <c r="G839" s="76"/>
      <c r="H839" s="75"/>
      <c r="I839" s="76"/>
      <c r="J839" s="75"/>
      <c r="K839" s="76"/>
      <c r="L839" s="75"/>
    </row>
    <row r="840" spans="1:12" ht="12.5" x14ac:dyDescent="0.25">
      <c r="A840" s="79"/>
      <c r="B840" s="80"/>
      <c r="C840" s="80"/>
      <c r="D840" s="75"/>
      <c r="E840" s="76"/>
      <c r="F840" s="77"/>
      <c r="G840" s="76"/>
      <c r="H840" s="75"/>
      <c r="I840" s="76"/>
      <c r="J840" s="75"/>
      <c r="K840" s="76"/>
      <c r="L840" s="75"/>
    </row>
    <row r="841" spans="1:12" ht="12.5" x14ac:dyDescent="0.25">
      <c r="A841" s="79"/>
      <c r="B841" s="80"/>
      <c r="C841" s="80"/>
      <c r="D841" s="75"/>
      <c r="E841" s="76"/>
      <c r="F841" s="77"/>
      <c r="G841" s="76"/>
      <c r="H841" s="75"/>
      <c r="I841" s="76"/>
      <c r="J841" s="75"/>
      <c r="K841" s="76"/>
      <c r="L841" s="75"/>
    </row>
    <row r="842" spans="1:12" ht="12.5" x14ac:dyDescent="0.25">
      <c r="A842" s="79"/>
      <c r="B842" s="80"/>
      <c r="C842" s="80"/>
      <c r="D842" s="75"/>
      <c r="E842" s="76"/>
      <c r="F842" s="77"/>
      <c r="G842" s="76"/>
      <c r="H842" s="75"/>
      <c r="I842" s="76"/>
      <c r="J842" s="75"/>
      <c r="K842" s="76"/>
      <c r="L842" s="75"/>
    </row>
    <row r="843" spans="1:12" ht="12.5" x14ac:dyDescent="0.25">
      <c r="A843" s="79"/>
      <c r="B843" s="80"/>
      <c r="C843" s="80"/>
      <c r="D843" s="75"/>
      <c r="E843" s="76"/>
      <c r="F843" s="77"/>
      <c r="G843" s="76"/>
      <c r="H843" s="75"/>
      <c r="I843" s="76"/>
      <c r="J843" s="75"/>
      <c r="K843" s="76"/>
      <c r="L843" s="75"/>
    </row>
    <row r="844" spans="1:12" ht="12.5" x14ac:dyDescent="0.25">
      <c r="A844" s="79"/>
      <c r="B844" s="80"/>
      <c r="C844" s="80"/>
      <c r="D844" s="75"/>
      <c r="E844" s="76"/>
      <c r="F844" s="77"/>
      <c r="G844" s="76"/>
      <c r="H844" s="75"/>
      <c r="I844" s="76"/>
      <c r="J844" s="75"/>
      <c r="K844" s="76"/>
      <c r="L844" s="75"/>
    </row>
    <row r="845" spans="1:12" ht="12.5" x14ac:dyDescent="0.25">
      <c r="A845" s="79"/>
      <c r="B845" s="80"/>
      <c r="C845" s="80"/>
      <c r="D845" s="75"/>
      <c r="E845" s="76"/>
      <c r="F845" s="77"/>
      <c r="G845" s="76"/>
      <c r="H845" s="75"/>
      <c r="I845" s="76"/>
      <c r="J845" s="75"/>
      <c r="K845" s="76"/>
      <c r="L845" s="75"/>
    </row>
    <row r="846" spans="1:12" ht="12.5" x14ac:dyDescent="0.25">
      <c r="A846" s="79"/>
      <c r="B846" s="80"/>
      <c r="C846" s="80"/>
      <c r="D846" s="75"/>
      <c r="E846" s="76"/>
      <c r="F846" s="77"/>
      <c r="G846" s="76"/>
      <c r="H846" s="75"/>
      <c r="I846" s="76"/>
      <c r="J846" s="75"/>
      <c r="K846" s="76"/>
      <c r="L846" s="75"/>
    </row>
    <row r="847" spans="1:12" ht="12.5" x14ac:dyDescent="0.25">
      <c r="A847" s="79"/>
      <c r="B847" s="80"/>
      <c r="C847" s="80"/>
      <c r="D847" s="75"/>
      <c r="E847" s="76"/>
      <c r="F847" s="77"/>
      <c r="G847" s="76"/>
      <c r="H847" s="75"/>
      <c r="I847" s="76"/>
      <c r="J847" s="75"/>
      <c r="K847" s="76"/>
      <c r="L847" s="75"/>
    </row>
    <row r="848" spans="1:12" ht="12.5" x14ac:dyDescent="0.25">
      <c r="A848" s="79"/>
      <c r="B848" s="80"/>
      <c r="C848" s="80"/>
      <c r="D848" s="75"/>
      <c r="E848" s="76"/>
      <c r="F848" s="77"/>
      <c r="G848" s="76"/>
      <c r="H848" s="75"/>
      <c r="I848" s="76"/>
      <c r="J848" s="75"/>
      <c r="K848" s="76"/>
      <c r="L848" s="75"/>
    </row>
    <row r="849" spans="1:12" ht="12.5" x14ac:dyDescent="0.25">
      <c r="A849" s="79"/>
      <c r="B849" s="80"/>
      <c r="C849" s="80"/>
      <c r="D849" s="75"/>
      <c r="E849" s="76"/>
      <c r="F849" s="77"/>
      <c r="G849" s="76"/>
      <c r="H849" s="75"/>
      <c r="I849" s="76"/>
      <c r="J849" s="75"/>
      <c r="K849" s="76"/>
      <c r="L849" s="75"/>
    </row>
    <row r="850" spans="1:12" ht="12.5" x14ac:dyDescent="0.25">
      <c r="A850" s="79"/>
      <c r="B850" s="80"/>
      <c r="C850" s="80"/>
      <c r="D850" s="75"/>
      <c r="E850" s="76"/>
      <c r="F850" s="77"/>
      <c r="G850" s="76"/>
      <c r="H850" s="75"/>
      <c r="I850" s="76"/>
      <c r="J850" s="75"/>
      <c r="K850" s="76"/>
      <c r="L850" s="75"/>
    </row>
    <row r="851" spans="1:12" ht="12.5" x14ac:dyDescent="0.25">
      <c r="A851" s="79"/>
      <c r="B851" s="80"/>
      <c r="C851" s="80"/>
      <c r="D851" s="75"/>
      <c r="E851" s="76"/>
      <c r="F851" s="77"/>
      <c r="G851" s="76"/>
      <c r="H851" s="75"/>
      <c r="I851" s="76"/>
      <c r="J851" s="75"/>
      <c r="K851" s="76"/>
      <c r="L851" s="75"/>
    </row>
    <row r="852" spans="1:12" ht="12.5" x14ac:dyDescent="0.25">
      <c r="A852" s="79"/>
      <c r="B852" s="80"/>
      <c r="C852" s="80"/>
      <c r="D852" s="75"/>
      <c r="E852" s="76"/>
      <c r="F852" s="77"/>
      <c r="G852" s="76"/>
      <c r="H852" s="75"/>
      <c r="I852" s="76"/>
      <c r="J852" s="75"/>
      <c r="K852" s="76"/>
      <c r="L852" s="75"/>
    </row>
    <row r="853" spans="1:12" ht="12.5" x14ac:dyDescent="0.25">
      <c r="A853" s="79"/>
      <c r="B853" s="80"/>
      <c r="C853" s="80"/>
      <c r="D853" s="75"/>
      <c r="E853" s="76"/>
      <c r="F853" s="77"/>
      <c r="G853" s="76"/>
      <c r="H853" s="75"/>
      <c r="I853" s="76"/>
      <c r="J853" s="75"/>
      <c r="K853" s="76"/>
      <c r="L853" s="75"/>
    </row>
    <row r="854" spans="1:12" ht="12.5" x14ac:dyDescent="0.25">
      <c r="A854" s="79"/>
      <c r="B854" s="80"/>
      <c r="C854" s="80"/>
      <c r="D854" s="75"/>
      <c r="E854" s="76"/>
      <c r="F854" s="77"/>
      <c r="G854" s="76"/>
      <c r="H854" s="75"/>
      <c r="I854" s="76"/>
      <c r="J854" s="75"/>
      <c r="K854" s="76"/>
      <c r="L854" s="75"/>
    </row>
    <row r="855" spans="1:12" ht="12.5" x14ac:dyDescent="0.25">
      <c r="A855" s="79"/>
      <c r="B855" s="80"/>
      <c r="C855" s="80"/>
      <c r="D855" s="75"/>
      <c r="E855" s="76"/>
      <c r="F855" s="77"/>
      <c r="G855" s="76"/>
      <c r="H855" s="75"/>
      <c r="I855" s="76"/>
      <c r="J855" s="75"/>
      <c r="K855" s="76"/>
      <c r="L855" s="75"/>
    </row>
    <row r="856" spans="1:12" ht="12.5" x14ac:dyDescent="0.25">
      <c r="A856" s="79"/>
      <c r="B856" s="80"/>
      <c r="C856" s="80"/>
      <c r="D856" s="75"/>
      <c r="E856" s="76"/>
      <c r="F856" s="77"/>
      <c r="G856" s="76"/>
      <c r="H856" s="75"/>
      <c r="I856" s="76"/>
      <c r="J856" s="75"/>
      <c r="K856" s="76"/>
      <c r="L856" s="75"/>
    </row>
    <row r="857" spans="1:12" ht="12.5" x14ac:dyDescent="0.25">
      <c r="A857" s="79"/>
      <c r="B857" s="80"/>
      <c r="C857" s="80"/>
      <c r="D857" s="75"/>
      <c r="E857" s="76"/>
      <c r="F857" s="77"/>
      <c r="G857" s="76"/>
      <c r="H857" s="75"/>
      <c r="I857" s="76"/>
      <c r="J857" s="75"/>
      <c r="K857" s="76"/>
      <c r="L857" s="75"/>
    </row>
    <row r="858" spans="1:12" ht="12.5" x14ac:dyDescent="0.25">
      <c r="A858" s="79"/>
      <c r="B858" s="80"/>
      <c r="C858" s="80"/>
      <c r="D858" s="75"/>
      <c r="E858" s="76"/>
      <c r="F858" s="77"/>
      <c r="G858" s="76"/>
      <c r="H858" s="75"/>
      <c r="I858" s="76"/>
      <c r="J858" s="75"/>
      <c r="K858" s="76"/>
      <c r="L858" s="75"/>
    </row>
    <row r="859" spans="1:12" ht="12.5" x14ac:dyDescent="0.25">
      <c r="A859" s="79"/>
      <c r="B859" s="80"/>
      <c r="C859" s="80"/>
      <c r="D859" s="75"/>
      <c r="E859" s="76"/>
      <c r="F859" s="77"/>
      <c r="G859" s="76"/>
      <c r="H859" s="75"/>
      <c r="I859" s="76"/>
      <c r="J859" s="75"/>
      <c r="K859" s="76"/>
      <c r="L859" s="75"/>
    </row>
    <row r="860" spans="1:12" ht="12.5" x14ac:dyDescent="0.25">
      <c r="A860" s="79"/>
      <c r="B860" s="80"/>
      <c r="C860" s="80"/>
      <c r="D860" s="75"/>
      <c r="E860" s="76"/>
      <c r="F860" s="77"/>
      <c r="G860" s="76"/>
      <c r="H860" s="75"/>
      <c r="I860" s="76"/>
      <c r="J860" s="75"/>
      <c r="K860" s="76"/>
      <c r="L860" s="75"/>
    </row>
    <row r="861" spans="1:12" ht="12.5" x14ac:dyDescent="0.25">
      <c r="A861" s="79"/>
      <c r="B861" s="80"/>
      <c r="C861" s="80"/>
      <c r="D861" s="75"/>
      <c r="E861" s="76"/>
      <c r="F861" s="77"/>
      <c r="G861" s="76"/>
      <c r="H861" s="75"/>
      <c r="I861" s="76"/>
      <c r="J861" s="75"/>
      <c r="K861" s="76"/>
      <c r="L861" s="75"/>
    </row>
    <row r="862" spans="1:12" ht="12.5" x14ac:dyDescent="0.25">
      <c r="A862" s="79"/>
      <c r="B862" s="80"/>
      <c r="C862" s="80"/>
      <c r="D862" s="75"/>
      <c r="E862" s="76"/>
      <c r="F862" s="77"/>
      <c r="G862" s="76"/>
      <c r="H862" s="75"/>
      <c r="I862" s="76"/>
      <c r="J862" s="75"/>
      <c r="K862" s="76"/>
      <c r="L862" s="75"/>
    </row>
    <row r="863" spans="1:12" ht="12.5" x14ac:dyDescent="0.25">
      <c r="A863" s="79"/>
      <c r="B863" s="80"/>
      <c r="C863" s="80"/>
      <c r="D863" s="75"/>
      <c r="E863" s="76"/>
      <c r="F863" s="77"/>
      <c r="G863" s="76"/>
      <c r="H863" s="75"/>
      <c r="I863" s="76"/>
      <c r="J863" s="75"/>
      <c r="K863" s="76"/>
      <c r="L863" s="75"/>
    </row>
    <row r="864" spans="1:12" ht="12.5" x14ac:dyDescent="0.25">
      <c r="A864" s="79"/>
      <c r="B864" s="80"/>
      <c r="C864" s="80"/>
      <c r="D864" s="75"/>
      <c r="E864" s="76"/>
      <c r="F864" s="77"/>
      <c r="G864" s="76"/>
      <c r="H864" s="75"/>
      <c r="I864" s="76"/>
      <c r="J864" s="75"/>
      <c r="K864" s="76"/>
      <c r="L864" s="75"/>
    </row>
    <row r="865" spans="1:12" ht="12.5" x14ac:dyDescent="0.25">
      <c r="A865" s="79"/>
      <c r="B865" s="80"/>
      <c r="C865" s="80"/>
      <c r="D865" s="75"/>
      <c r="E865" s="76"/>
      <c r="F865" s="77"/>
      <c r="G865" s="76"/>
      <c r="H865" s="75"/>
      <c r="I865" s="76"/>
      <c r="J865" s="75"/>
      <c r="K865" s="76"/>
      <c r="L865" s="75"/>
    </row>
    <row r="866" spans="1:12" ht="12.5" x14ac:dyDescent="0.25">
      <c r="A866" s="79"/>
      <c r="B866" s="80"/>
      <c r="C866" s="80"/>
      <c r="D866" s="75"/>
      <c r="E866" s="76"/>
      <c r="F866" s="77"/>
      <c r="G866" s="76"/>
      <c r="H866" s="75"/>
      <c r="I866" s="76"/>
      <c r="J866" s="75"/>
      <c r="K866" s="76"/>
      <c r="L866" s="75"/>
    </row>
    <row r="867" spans="1:12" ht="12.5" x14ac:dyDescent="0.25">
      <c r="A867" s="79"/>
      <c r="B867" s="80"/>
      <c r="C867" s="80"/>
      <c r="D867" s="75"/>
      <c r="E867" s="76"/>
      <c r="F867" s="77"/>
      <c r="G867" s="76"/>
      <c r="H867" s="75"/>
      <c r="I867" s="76"/>
      <c r="J867" s="75"/>
      <c r="K867" s="76"/>
      <c r="L867" s="75"/>
    </row>
    <row r="868" spans="1:12" ht="12.5" x14ac:dyDescent="0.25">
      <c r="A868" s="79"/>
      <c r="B868" s="80"/>
      <c r="C868" s="80"/>
      <c r="D868" s="75"/>
      <c r="E868" s="76"/>
      <c r="F868" s="77"/>
      <c r="G868" s="76"/>
      <c r="H868" s="75"/>
      <c r="I868" s="76"/>
      <c r="J868" s="75"/>
      <c r="K868" s="76"/>
      <c r="L868" s="75"/>
    </row>
    <row r="869" spans="1:12" ht="12.5" x14ac:dyDescent="0.25">
      <c r="A869" s="79"/>
      <c r="B869" s="80"/>
      <c r="C869" s="80"/>
      <c r="D869" s="75"/>
      <c r="E869" s="76"/>
      <c r="F869" s="77"/>
      <c r="G869" s="76"/>
      <c r="H869" s="75"/>
      <c r="I869" s="76"/>
      <c r="J869" s="75"/>
      <c r="K869" s="76"/>
      <c r="L869" s="75"/>
    </row>
    <row r="870" spans="1:12" ht="12.5" x14ac:dyDescent="0.25">
      <c r="A870" s="79"/>
      <c r="B870" s="80"/>
      <c r="C870" s="80"/>
      <c r="D870" s="75"/>
      <c r="E870" s="76"/>
      <c r="F870" s="77"/>
      <c r="G870" s="76"/>
      <c r="H870" s="75"/>
      <c r="I870" s="76"/>
      <c r="J870" s="75"/>
      <c r="K870" s="76"/>
      <c r="L870" s="75"/>
    </row>
    <row r="871" spans="1:12" ht="12.5" x14ac:dyDescent="0.25">
      <c r="A871" s="79"/>
      <c r="B871" s="80"/>
      <c r="C871" s="80"/>
      <c r="D871" s="75"/>
      <c r="E871" s="76"/>
      <c r="F871" s="77"/>
      <c r="G871" s="76"/>
      <c r="H871" s="75"/>
      <c r="I871" s="76"/>
      <c r="J871" s="75"/>
      <c r="K871" s="76"/>
      <c r="L871" s="75"/>
    </row>
    <row r="872" spans="1:12" ht="12.5" x14ac:dyDescent="0.25">
      <c r="A872" s="79"/>
      <c r="B872" s="80"/>
      <c r="C872" s="80"/>
      <c r="D872" s="75"/>
      <c r="E872" s="76"/>
      <c r="F872" s="77"/>
      <c r="G872" s="76"/>
      <c r="H872" s="75"/>
      <c r="I872" s="76"/>
      <c r="J872" s="75"/>
      <c r="K872" s="76"/>
      <c r="L872" s="75"/>
    </row>
    <row r="873" spans="1:12" ht="12.5" x14ac:dyDescent="0.25">
      <c r="A873" s="79"/>
      <c r="B873" s="80"/>
      <c r="C873" s="80"/>
      <c r="D873" s="75"/>
      <c r="E873" s="76"/>
      <c r="F873" s="77"/>
      <c r="G873" s="76"/>
      <c r="H873" s="75"/>
      <c r="I873" s="76"/>
      <c r="J873" s="75"/>
      <c r="K873" s="76"/>
      <c r="L873" s="75"/>
    </row>
    <row r="874" spans="1:12" ht="12.5" x14ac:dyDescent="0.25">
      <c r="A874" s="79"/>
      <c r="B874" s="80"/>
      <c r="C874" s="80"/>
      <c r="D874" s="75"/>
      <c r="E874" s="76"/>
      <c r="F874" s="77"/>
      <c r="G874" s="76"/>
      <c r="H874" s="75"/>
      <c r="I874" s="76"/>
      <c r="J874" s="75"/>
      <c r="K874" s="76"/>
      <c r="L874" s="75"/>
    </row>
    <row r="875" spans="1:12" ht="12.5" x14ac:dyDescent="0.25">
      <c r="A875" s="79"/>
      <c r="B875" s="80"/>
      <c r="C875" s="80"/>
      <c r="D875" s="75"/>
      <c r="E875" s="76"/>
      <c r="F875" s="77"/>
      <c r="G875" s="76"/>
      <c r="H875" s="75"/>
      <c r="I875" s="76"/>
      <c r="J875" s="75"/>
      <c r="K875" s="76"/>
      <c r="L875" s="75"/>
    </row>
    <row r="876" spans="1:12" ht="12.5" x14ac:dyDescent="0.25">
      <c r="A876" s="79"/>
      <c r="B876" s="80"/>
      <c r="C876" s="80"/>
      <c r="D876" s="75"/>
      <c r="E876" s="76"/>
      <c r="F876" s="77"/>
      <c r="G876" s="76"/>
      <c r="H876" s="75"/>
      <c r="I876" s="76"/>
      <c r="J876" s="75"/>
      <c r="K876" s="76"/>
      <c r="L876" s="75"/>
    </row>
    <row r="877" spans="1:12" ht="12.5" x14ac:dyDescent="0.25">
      <c r="A877" s="79"/>
      <c r="B877" s="80"/>
      <c r="C877" s="80"/>
      <c r="D877" s="75"/>
      <c r="E877" s="76"/>
      <c r="F877" s="77"/>
      <c r="G877" s="76"/>
      <c r="H877" s="75"/>
      <c r="I877" s="76"/>
      <c r="J877" s="75"/>
      <c r="K877" s="76"/>
      <c r="L877" s="75"/>
    </row>
    <row r="878" spans="1:12" ht="12.5" x14ac:dyDescent="0.25">
      <c r="A878" s="79"/>
      <c r="B878" s="80"/>
      <c r="C878" s="80"/>
      <c r="D878" s="75"/>
      <c r="E878" s="76"/>
      <c r="F878" s="77"/>
      <c r="G878" s="76"/>
      <c r="H878" s="75"/>
      <c r="I878" s="76"/>
      <c r="J878" s="75"/>
      <c r="K878" s="76"/>
      <c r="L878" s="75"/>
    </row>
    <row r="879" spans="1:12" ht="12.5" x14ac:dyDescent="0.25">
      <c r="A879" s="79"/>
      <c r="B879" s="80"/>
      <c r="C879" s="80"/>
      <c r="D879" s="75"/>
      <c r="E879" s="76"/>
      <c r="F879" s="77"/>
      <c r="G879" s="76"/>
      <c r="H879" s="75"/>
      <c r="I879" s="76"/>
      <c r="J879" s="75"/>
      <c r="K879" s="76"/>
      <c r="L879" s="75"/>
    </row>
    <row r="880" spans="1:12" ht="12.5" x14ac:dyDescent="0.25">
      <c r="A880" s="79"/>
      <c r="B880" s="80"/>
      <c r="C880" s="80"/>
      <c r="D880" s="75"/>
      <c r="E880" s="76"/>
      <c r="F880" s="77"/>
      <c r="G880" s="76"/>
      <c r="H880" s="75"/>
      <c r="I880" s="76"/>
      <c r="J880" s="75"/>
      <c r="K880" s="76"/>
      <c r="L880" s="75"/>
    </row>
    <row r="881" spans="1:12" ht="12.5" x14ac:dyDescent="0.25">
      <c r="A881" s="79"/>
      <c r="B881" s="80"/>
      <c r="C881" s="80"/>
      <c r="D881" s="75"/>
      <c r="E881" s="76"/>
      <c r="F881" s="77"/>
      <c r="G881" s="76"/>
      <c r="H881" s="75"/>
      <c r="I881" s="76"/>
      <c r="J881" s="75"/>
      <c r="K881" s="76"/>
      <c r="L881" s="75"/>
    </row>
    <row r="882" spans="1:12" ht="12.5" x14ac:dyDescent="0.25">
      <c r="A882" s="79"/>
      <c r="B882" s="80"/>
      <c r="C882" s="80"/>
      <c r="D882" s="75"/>
      <c r="E882" s="76"/>
      <c r="F882" s="77"/>
      <c r="G882" s="76"/>
      <c r="H882" s="75"/>
      <c r="I882" s="76"/>
      <c r="J882" s="75"/>
      <c r="K882" s="76"/>
      <c r="L882" s="75"/>
    </row>
    <row r="883" spans="1:12" ht="12.5" x14ac:dyDescent="0.25">
      <c r="A883" s="79"/>
      <c r="B883" s="80"/>
      <c r="C883" s="80"/>
      <c r="D883" s="75"/>
      <c r="E883" s="76"/>
      <c r="F883" s="77"/>
      <c r="G883" s="76"/>
      <c r="H883" s="75"/>
      <c r="I883" s="76"/>
      <c r="J883" s="75"/>
      <c r="K883" s="76"/>
      <c r="L883" s="75"/>
    </row>
    <row r="884" spans="1:12" ht="12.5" x14ac:dyDescent="0.25">
      <c r="A884" s="79"/>
      <c r="B884" s="80"/>
      <c r="C884" s="80"/>
      <c r="D884" s="75"/>
      <c r="E884" s="76"/>
      <c r="F884" s="77"/>
      <c r="G884" s="76"/>
      <c r="H884" s="75"/>
      <c r="I884" s="76"/>
      <c r="J884" s="75"/>
      <c r="K884" s="76"/>
      <c r="L884" s="75"/>
    </row>
    <row r="885" spans="1:12" ht="12.5" x14ac:dyDescent="0.25">
      <c r="A885" s="79"/>
      <c r="B885" s="80"/>
      <c r="C885" s="80"/>
      <c r="D885" s="75"/>
      <c r="E885" s="76"/>
      <c r="F885" s="77"/>
      <c r="G885" s="76"/>
      <c r="H885" s="75"/>
      <c r="I885" s="76"/>
      <c r="J885" s="75"/>
      <c r="K885" s="76"/>
      <c r="L885" s="75"/>
    </row>
    <row r="886" spans="1:12" ht="12.5" x14ac:dyDescent="0.25">
      <c r="A886" s="79"/>
      <c r="B886" s="80"/>
      <c r="C886" s="80"/>
      <c r="D886" s="75"/>
      <c r="E886" s="76"/>
      <c r="F886" s="77"/>
      <c r="G886" s="76"/>
      <c r="H886" s="75"/>
      <c r="I886" s="76"/>
      <c r="J886" s="75"/>
      <c r="K886" s="76"/>
      <c r="L886" s="75"/>
    </row>
    <row r="887" spans="1:12" ht="12.5" x14ac:dyDescent="0.25">
      <c r="A887" s="79"/>
      <c r="B887" s="80"/>
      <c r="C887" s="80"/>
      <c r="D887" s="75"/>
      <c r="E887" s="76"/>
      <c r="F887" s="77"/>
      <c r="G887" s="76"/>
      <c r="H887" s="75"/>
      <c r="I887" s="76"/>
      <c r="J887" s="75"/>
      <c r="K887" s="76"/>
      <c r="L887" s="75"/>
    </row>
    <row r="888" spans="1:12" ht="12.5" x14ac:dyDescent="0.25">
      <c r="A888" s="79"/>
      <c r="B888" s="80"/>
      <c r="C888" s="80"/>
      <c r="D888" s="75"/>
      <c r="E888" s="76"/>
      <c r="F888" s="77"/>
      <c r="G888" s="76"/>
      <c r="H888" s="75"/>
      <c r="I888" s="76"/>
      <c r="J888" s="75"/>
      <c r="K888" s="76"/>
      <c r="L888" s="75"/>
    </row>
    <row r="889" spans="1:12" ht="12.5" x14ac:dyDescent="0.25">
      <c r="A889" s="79"/>
      <c r="B889" s="80"/>
      <c r="C889" s="80"/>
      <c r="D889" s="75"/>
      <c r="E889" s="76"/>
      <c r="F889" s="77"/>
      <c r="G889" s="76"/>
      <c r="H889" s="75"/>
      <c r="I889" s="76"/>
      <c r="J889" s="75"/>
      <c r="K889" s="76"/>
      <c r="L889" s="75"/>
    </row>
    <row r="890" spans="1:12" ht="12.5" x14ac:dyDescent="0.25">
      <c r="A890" s="79"/>
      <c r="B890" s="80"/>
      <c r="C890" s="80"/>
      <c r="D890" s="75"/>
      <c r="E890" s="76"/>
      <c r="F890" s="77"/>
      <c r="G890" s="76"/>
      <c r="H890" s="75"/>
      <c r="I890" s="76"/>
      <c r="J890" s="75"/>
      <c r="K890" s="76"/>
      <c r="L890" s="75"/>
    </row>
    <row r="891" spans="1:12" ht="12.5" x14ac:dyDescent="0.25">
      <c r="A891" s="79"/>
      <c r="B891" s="80"/>
      <c r="C891" s="80"/>
      <c r="D891" s="75"/>
      <c r="E891" s="76"/>
      <c r="F891" s="77"/>
      <c r="G891" s="76"/>
      <c r="H891" s="75"/>
      <c r="I891" s="76"/>
      <c r="J891" s="75"/>
      <c r="K891" s="76"/>
      <c r="L891" s="75"/>
    </row>
    <row r="892" spans="1:12" ht="12.5" x14ac:dyDescent="0.25">
      <c r="A892" s="79"/>
      <c r="B892" s="80"/>
      <c r="C892" s="80"/>
      <c r="D892" s="75"/>
      <c r="E892" s="76"/>
      <c r="F892" s="77"/>
      <c r="G892" s="76"/>
      <c r="H892" s="75"/>
      <c r="I892" s="76"/>
      <c r="J892" s="75"/>
      <c r="K892" s="76"/>
      <c r="L892" s="75"/>
    </row>
    <row r="893" spans="1:12" ht="12.5" x14ac:dyDescent="0.25">
      <c r="A893" s="79"/>
      <c r="B893" s="80"/>
      <c r="C893" s="80"/>
      <c r="D893" s="75"/>
      <c r="E893" s="76"/>
      <c r="F893" s="77"/>
      <c r="G893" s="76"/>
      <c r="H893" s="75"/>
      <c r="I893" s="76"/>
      <c r="J893" s="75"/>
      <c r="K893" s="76"/>
      <c r="L893" s="75"/>
    </row>
    <row r="894" spans="1:12" ht="12.5" x14ac:dyDescent="0.25">
      <c r="A894" s="79"/>
      <c r="B894" s="80"/>
      <c r="C894" s="80"/>
      <c r="D894" s="75"/>
      <c r="E894" s="76"/>
      <c r="F894" s="77"/>
      <c r="G894" s="76"/>
      <c r="H894" s="75"/>
      <c r="I894" s="76"/>
      <c r="J894" s="75"/>
      <c r="K894" s="76"/>
      <c r="L894" s="75"/>
    </row>
    <row r="895" spans="1:12" ht="12.5" x14ac:dyDescent="0.25">
      <c r="A895" s="79"/>
      <c r="B895" s="80"/>
      <c r="C895" s="80"/>
      <c r="D895" s="75"/>
      <c r="E895" s="76"/>
      <c r="F895" s="77"/>
      <c r="G895" s="76"/>
      <c r="H895" s="75"/>
      <c r="I895" s="76"/>
      <c r="J895" s="75"/>
      <c r="K895" s="76"/>
      <c r="L895" s="75"/>
    </row>
    <row r="896" spans="1:12" ht="12.5" x14ac:dyDescent="0.25">
      <c r="A896" s="79"/>
      <c r="B896" s="80"/>
      <c r="C896" s="80"/>
      <c r="D896" s="75"/>
      <c r="E896" s="76"/>
      <c r="F896" s="77"/>
      <c r="G896" s="76"/>
      <c r="H896" s="75"/>
      <c r="I896" s="76"/>
      <c r="J896" s="75"/>
      <c r="K896" s="76"/>
      <c r="L896" s="75"/>
    </row>
    <row r="897" spans="1:12" ht="12.5" x14ac:dyDescent="0.25">
      <c r="A897" s="79"/>
      <c r="B897" s="80"/>
      <c r="C897" s="80"/>
      <c r="D897" s="75"/>
      <c r="E897" s="76"/>
      <c r="F897" s="77"/>
      <c r="G897" s="76"/>
      <c r="H897" s="75"/>
      <c r="I897" s="76"/>
      <c r="J897" s="75"/>
      <c r="K897" s="76"/>
      <c r="L897" s="75"/>
    </row>
    <row r="898" spans="1:12" ht="12.5" x14ac:dyDescent="0.25">
      <c r="A898" s="79"/>
      <c r="B898" s="80"/>
      <c r="C898" s="80"/>
      <c r="D898" s="75"/>
      <c r="E898" s="76"/>
      <c r="F898" s="77"/>
      <c r="G898" s="76"/>
      <c r="H898" s="75"/>
      <c r="I898" s="76"/>
      <c r="J898" s="75"/>
      <c r="K898" s="76"/>
      <c r="L898" s="75"/>
    </row>
    <row r="899" spans="1:12" ht="12.5" x14ac:dyDescent="0.25">
      <c r="A899" s="79"/>
      <c r="B899" s="80"/>
      <c r="C899" s="80"/>
      <c r="D899" s="75"/>
      <c r="E899" s="76"/>
      <c r="F899" s="77"/>
      <c r="G899" s="76"/>
      <c r="H899" s="75"/>
      <c r="I899" s="76"/>
      <c r="J899" s="75"/>
      <c r="K899" s="76"/>
      <c r="L899" s="75"/>
    </row>
    <row r="900" spans="1:12" ht="12.5" x14ac:dyDescent="0.25">
      <c r="A900" s="79"/>
      <c r="B900" s="80"/>
      <c r="C900" s="80"/>
      <c r="D900" s="75"/>
      <c r="E900" s="76"/>
      <c r="F900" s="77"/>
      <c r="G900" s="76"/>
      <c r="H900" s="75"/>
      <c r="I900" s="76"/>
      <c r="J900" s="75"/>
      <c r="K900" s="76"/>
      <c r="L900" s="75"/>
    </row>
    <row r="901" spans="1:12" ht="12.5" x14ac:dyDescent="0.25">
      <c r="A901" s="79"/>
      <c r="B901" s="80"/>
      <c r="C901" s="80"/>
      <c r="D901" s="75"/>
      <c r="E901" s="76"/>
      <c r="F901" s="77"/>
      <c r="G901" s="76"/>
      <c r="H901" s="75"/>
      <c r="I901" s="76"/>
      <c r="J901" s="75"/>
      <c r="K901" s="76"/>
      <c r="L901" s="75"/>
    </row>
    <row r="902" spans="1:12" ht="12.5" x14ac:dyDescent="0.25">
      <c r="A902" s="79"/>
      <c r="B902" s="80"/>
      <c r="C902" s="80"/>
      <c r="D902" s="75"/>
      <c r="E902" s="76"/>
      <c r="F902" s="77"/>
      <c r="G902" s="76"/>
      <c r="H902" s="75"/>
      <c r="I902" s="76"/>
      <c r="J902" s="75"/>
      <c r="K902" s="76"/>
      <c r="L902" s="75"/>
    </row>
    <row r="903" spans="1:12" ht="12.5" x14ac:dyDescent="0.25">
      <c r="A903" s="79"/>
      <c r="B903" s="80"/>
      <c r="C903" s="80"/>
      <c r="D903" s="75"/>
      <c r="E903" s="76"/>
      <c r="F903" s="77"/>
      <c r="G903" s="76"/>
      <c r="H903" s="75"/>
      <c r="I903" s="76"/>
      <c r="J903" s="75"/>
      <c r="K903" s="76"/>
      <c r="L903" s="75"/>
    </row>
    <row r="904" spans="1:12" ht="12.5" x14ac:dyDescent="0.25">
      <c r="A904" s="79"/>
      <c r="B904" s="80"/>
      <c r="C904" s="80"/>
      <c r="D904" s="75"/>
      <c r="E904" s="76"/>
      <c r="F904" s="77"/>
      <c r="G904" s="76"/>
      <c r="H904" s="75"/>
      <c r="I904" s="76"/>
      <c r="J904" s="75"/>
      <c r="K904" s="76"/>
      <c r="L904" s="75"/>
    </row>
    <row r="905" spans="1:12" ht="12.5" x14ac:dyDescent="0.25">
      <c r="A905" s="79"/>
      <c r="B905" s="80"/>
      <c r="C905" s="80"/>
      <c r="D905" s="75"/>
      <c r="E905" s="76"/>
      <c r="F905" s="77"/>
      <c r="G905" s="76"/>
      <c r="H905" s="75"/>
      <c r="I905" s="76"/>
      <c r="J905" s="75"/>
      <c r="K905" s="76"/>
      <c r="L905" s="75"/>
    </row>
    <row r="906" spans="1:12" ht="12.5" x14ac:dyDescent="0.25">
      <c r="A906" s="79"/>
      <c r="B906" s="80"/>
      <c r="C906" s="80"/>
      <c r="D906" s="75"/>
      <c r="E906" s="76"/>
      <c r="F906" s="77"/>
      <c r="G906" s="76"/>
      <c r="H906" s="75"/>
      <c r="I906" s="76"/>
      <c r="J906" s="75"/>
      <c r="K906" s="76"/>
      <c r="L906" s="75"/>
    </row>
    <row r="907" spans="1:12" ht="12.5" x14ac:dyDescent="0.25">
      <c r="A907" s="79"/>
      <c r="B907" s="80"/>
      <c r="C907" s="80"/>
      <c r="D907" s="75"/>
      <c r="E907" s="76"/>
      <c r="F907" s="77"/>
      <c r="G907" s="76"/>
      <c r="H907" s="75"/>
      <c r="I907" s="76"/>
      <c r="J907" s="75"/>
      <c r="K907" s="76"/>
      <c r="L907" s="75"/>
    </row>
    <row r="908" spans="1:12" ht="12.5" x14ac:dyDescent="0.25">
      <c r="A908" s="79"/>
      <c r="B908" s="80"/>
      <c r="C908" s="80"/>
      <c r="D908" s="75"/>
      <c r="E908" s="76"/>
      <c r="F908" s="77"/>
      <c r="G908" s="76"/>
      <c r="H908" s="75"/>
      <c r="I908" s="76"/>
      <c r="J908" s="75"/>
      <c r="K908" s="76"/>
      <c r="L908" s="75"/>
    </row>
    <row r="909" spans="1:12" ht="12.5" x14ac:dyDescent="0.25">
      <c r="A909" s="79"/>
      <c r="B909" s="80"/>
      <c r="C909" s="80"/>
      <c r="D909" s="75"/>
      <c r="E909" s="76"/>
      <c r="F909" s="77"/>
      <c r="G909" s="76"/>
      <c r="H909" s="75"/>
      <c r="I909" s="76"/>
      <c r="J909" s="75"/>
      <c r="K909" s="76"/>
      <c r="L909" s="75"/>
    </row>
    <row r="910" spans="1:12" ht="12.5" x14ac:dyDescent="0.25">
      <c r="A910" s="79"/>
      <c r="B910" s="80"/>
      <c r="C910" s="80"/>
      <c r="D910" s="75"/>
      <c r="E910" s="76"/>
      <c r="F910" s="77"/>
      <c r="G910" s="76"/>
      <c r="H910" s="75"/>
      <c r="I910" s="76"/>
      <c r="J910" s="75"/>
      <c r="K910" s="76"/>
      <c r="L910" s="75"/>
    </row>
    <row r="911" spans="1:12" ht="12.5" x14ac:dyDescent="0.25">
      <c r="A911" s="79"/>
      <c r="B911" s="80"/>
      <c r="C911" s="80"/>
      <c r="D911" s="75"/>
      <c r="E911" s="76"/>
      <c r="F911" s="77"/>
      <c r="G911" s="76"/>
      <c r="H911" s="75"/>
      <c r="I911" s="76"/>
      <c r="J911" s="75"/>
      <c r="K911" s="76"/>
      <c r="L911" s="75"/>
    </row>
    <row r="912" spans="1:12" ht="12.5" x14ac:dyDescent="0.25">
      <c r="A912" s="79"/>
      <c r="B912" s="80"/>
      <c r="C912" s="80"/>
      <c r="D912" s="75"/>
      <c r="E912" s="76"/>
      <c r="F912" s="77"/>
      <c r="G912" s="76"/>
      <c r="H912" s="75"/>
      <c r="I912" s="76"/>
      <c r="J912" s="75"/>
      <c r="K912" s="76"/>
      <c r="L912" s="75"/>
    </row>
    <row r="913" spans="1:12" ht="12.5" x14ac:dyDescent="0.25">
      <c r="A913" s="79"/>
      <c r="B913" s="80"/>
      <c r="C913" s="80"/>
      <c r="D913" s="75"/>
      <c r="E913" s="76"/>
      <c r="F913" s="77"/>
      <c r="G913" s="76"/>
      <c r="H913" s="75"/>
      <c r="I913" s="76"/>
      <c r="J913" s="75"/>
      <c r="K913" s="76"/>
      <c r="L913" s="75"/>
    </row>
    <row r="914" spans="1:12" ht="12.5" x14ac:dyDescent="0.25">
      <c r="A914" s="79"/>
      <c r="B914" s="80"/>
      <c r="C914" s="80"/>
      <c r="D914" s="75"/>
      <c r="E914" s="76"/>
      <c r="F914" s="77"/>
      <c r="G914" s="76"/>
      <c r="H914" s="75"/>
      <c r="I914" s="76"/>
      <c r="J914" s="75"/>
      <c r="K914" s="76"/>
      <c r="L914" s="75"/>
    </row>
    <row r="915" spans="1:12" ht="12.5" x14ac:dyDescent="0.25">
      <c r="A915" s="79"/>
      <c r="B915" s="80"/>
      <c r="C915" s="80"/>
      <c r="D915" s="75"/>
      <c r="E915" s="76"/>
      <c r="F915" s="77"/>
      <c r="G915" s="76"/>
      <c r="H915" s="75"/>
      <c r="I915" s="76"/>
      <c r="J915" s="75"/>
      <c r="K915" s="76"/>
      <c r="L915" s="75"/>
    </row>
    <row r="916" spans="1:12" ht="12.5" x14ac:dyDescent="0.25">
      <c r="A916" s="79"/>
      <c r="B916" s="80"/>
      <c r="C916" s="80"/>
      <c r="D916" s="75"/>
      <c r="E916" s="76"/>
      <c r="F916" s="77"/>
      <c r="G916" s="76"/>
      <c r="H916" s="75"/>
      <c r="I916" s="76"/>
      <c r="J916" s="75"/>
      <c r="K916" s="76"/>
      <c r="L916" s="75"/>
    </row>
    <row r="917" spans="1:12" ht="12.5" x14ac:dyDescent="0.25">
      <c r="A917" s="79"/>
      <c r="B917" s="80"/>
      <c r="C917" s="80"/>
      <c r="D917" s="75"/>
      <c r="E917" s="76"/>
      <c r="F917" s="77"/>
      <c r="G917" s="76"/>
      <c r="H917" s="75"/>
      <c r="I917" s="76"/>
      <c r="J917" s="75"/>
      <c r="K917" s="76"/>
      <c r="L917" s="75"/>
    </row>
    <row r="918" spans="1:12" ht="12.5" x14ac:dyDescent="0.25">
      <c r="A918" s="79"/>
      <c r="B918" s="80"/>
      <c r="C918" s="80"/>
      <c r="D918" s="75"/>
      <c r="E918" s="76"/>
      <c r="F918" s="77"/>
      <c r="G918" s="76"/>
      <c r="H918" s="75"/>
      <c r="I918" s="76"/>
      <c r="J918" s="75"/>
      <c r="K918" s="76"/>
      <c r="L918" s="75"/>
    </row>
    <row r="919" spans="1:12" ht="12.5" x14ac:dyDescent="0.25">
      <c r="A919" s="79"/>
      <c r="B919" s="80"/>
      <c r="C919" s="80"/>
      <c r="D919" s="75"/>
      <c r="E919" s="76"/>
      <c r="F919" s="77"/>
      <c r="G919" s="76"/>
      <c r="H919" s="75"/>
      <c r="I919" s="76"/>
      <c r="J919" s="75"/>
      <c r="K919" s="76"/>
      <c r="L919" s="75"/>
    </row>
    <row r="920" spans="1:12" ht="12.5" x14ac:dyDescent="0.25">
      <c r="A920" s="79"/>
      <c r="B920" s="80"/>
      <c r="C920" s="80"/>
      <c r="D920" s="75"/>
      <c r="E920" s="76"/>
      <c r="F920" s="77"/>
      <c r="G920" s="76"/>
      <c r="H920" s="75"/>
      <c r="I920" s="76"/>
      <c r="J920" s="75"/>
      <c r="K920" s="76"/>
      <c r="L920" s="75"/>
    </row>
    <row r="921" spans="1:12" ht="12.5" x14ac:dyDescent="0.25">
      <c r="A921" s="79"/>
      <c r="B921" s="80"/>
      <c r="C921" s="80"/>
      <c r="D921" s="75"/>
      <c r="E921" s="76"/>
      <c r="F921" s="77"/>
      <c r="G921" s="76"/>
      <c r="H921" s="75"/>
      <c r="I921" s="76"/>
      <c r="J921" s="75"/>
      <c r="K921" s="76"/>
      <c r="L921" s="75"/>
    </row>
    <row r="922" spans="1:12" ht="12.5" x14ac:dyDescent="0.25">
      <c r="A922" s="79"/>
      <c r="B922" s="80"/>
      <c r="C922" s="80"/>
      <c r="D922" s="75"/>
      <c r="E922" s="76"/>
      <c r="F922" s="77"/>
      <c r="G922" s="76"/>
      <c r="H922" s="75"/>
      <c r="I922" s="76"/>
      <c r="J922" s="75"/>
      <c r="K922" s="76"/>
      <c r="L922" s="75"/>
    </row>
    <row r="923" spans="1:12" ht="12.5" x14ac:dyDescent="0.25">
      <c r="A923" s="79"/>
      <c r="B923" s="80"/>
      <c r="C923" s="80"/>
      <c r="D923" s="75"/>
      <c r="E923" s="76"/>
      <c r="F923" s="77"/>
      <c r="G923" s="76"/>
      <c r="H923" s="75"/>
      <c r="I923" s="76"/>
      <c r="J923" s="75"/>
      <c r="K923" s="76"/>
      <c r="L923" s="75"/>
    </row>
    <row r="924" spans="1:12" ht="12.5" x14ac:dyDescent="0.25">
      <c r="A924" s="79"/>
      <c r="B924" s="80"/>
      <c r="C924" s="80"/>
      <c r="D924" s="75"/>
      <c r="E924" s="76"/>
      <c r="F924" s="77"/>
      <c r="G924" s="76"/>
      <c r="H924" s="75"/>
      <c r="I924" s="76"/>
      <c r="J924" s="75"/>
      <c r="K924" s="76"/>
      <c r="L924" s="75"/>
    </row>
    <row r="925" spans="1:12" ht="12.5" x14ac:dyDescent="0.25">
      <c r="A925" s="79"/>
      <c r="B925" s="80"/>
      <c r="C925" s="80"/>
      <c r="D925" s="75"/>
      <c r="E925" s="76"/>
      <c r="F925" s="77"/>
      <c r="G925" s="76"/>
      <c r="H925" s="75"/>
      <c r="I925" s="76"/>
      <c r="J925" s="75"/>
      <c r="K925" s="76"/>
      <c r="L925" s="75"/>
    </row>
    <row r="926" spans="1:12" ht="12.5" x14ac:dyDescent="0.25">
      <c r="A926" s="79"/>
      <c r="B926" s="80"/>
      <c r="C926" s="80"/>
      <c r="D926" s="75"/>
      <c r="E926" s="76"/>
      <c r="F926" s="77"/>
      <c r="G926" s="76"/>
      <c r="H926" s="75"/>
      <c r="I926" s="76"/>
      <c r="J926" s="75"/>
      <c r="K926" s="76"/>
      <c r="L926" s="75"/>
    </row>
    <row r="927" spans="1:12" ht="12.5" x14ac:dyDescent="0.25">
      <c r="A927" s="79"/>
      <c r="B927" s="80"/>
      <c r="C927" s="80"/>
      <c r="D927" s="75"/>
      <c r="E927" s="76"/>
      <c r="F927" s="77"/>
      <c r="G927" s="76"/>
      <c r="H927" s="75"/>
      <c r="I927" s="76"/>
      <c r="J927" s="75"/>
      <c r="K927" s="76"/>
      <c r="L927" s="75"/>
    </row>
    <row r="928" spans="1:12" ht="12.5" x14ac:dyDescent="0.25">
      <c r="A928" s="79"/>
      <c r="B928" s="80"/>
      <c r="C928" s="80"/>
      <c r="D928" s="75"/>
      <c r="E928" s="76"/>
      <c r="F928" s="77"/>
      <c r="G928" s="76"/>
      <c r="H928" s="75"/>
      <c r="I928" s="76"/>
      <c r="J928" s="75"/>
      <c r="K928" s="76"/>
      <c r="L928" s="75"/>
    </row>
    <row r="929" spans="1:12" ht="12.5" x14ac:dyDescent="0.25">
      <c r="A929" s="79"/>
      <c r="B929" s="80"/>
      <c r="C929" s="80"/>
      <c r="D929" s="75"/>
      <c r="E929" s="76"/>
      <c r="F929" s="77"/>
      <c r="G929" s="76"/>
      <c r="H929" s="75"/>
      <c r="I929" s="76"/>
      <c r="J929" s="75"/>
      <c r="K929" s="76"/>
      <c r="L929" s="75"/>
    </row>
    <row r="930" spans="1:12" ht="12.5" x14ac:dyDescent="0.25">
      <c r="A930" s="79"/>
      <c r="B930" s="80"/>
      <c r="C930" s="80"/>
      <c r="D930" s="75"/>
      <c r="E930" s="76"/>
      <c r="F930" s="77"/>
      <c r="G930" s="76"/>
      <c r="H930" s="75"/>
      <c r="I930" s="76"/>
      <c r="J930" s="75"/>
      <c r="K930" s="76"/>
      <c r="L930" s="75"/>
    </row>
    <row r="931" spans="1:12" ht="12.5" x14ac:dyDescent="0.25">
      <c r="A931" s="79"/>
      <c r="B931" s="80"/>
      <c r="C931" s="80"/>
      <c r="D931" s="75"/>
      <c r="E931" s="76"/>
      <c r="F931" s="77"/>
      <c r="G931" s="76"/>
      <c r="H931" s="75"/>
      <c r="I931" s="76"/>
      <c r="J931" s="75"/>
      <c r="K931" s="76"/>
      <c r="L931" s="75"/>
    </row>
    <row r="932" spans="1:12" ht="12.5" x14ac:dyDescent="0.25">
      <c r="A932" s="79"/>
      <c r="B932" s="80"/>
      <c r="C932" s="80"/>
      <c r="D932" s="75"/>
      <c r="E932" s="76"/>
      <c r="F932" s="77"/>
      <c r="G932" s="76"/>
      <c r="H932" s="75"/>
      <c r="I932" s="76"/>
      <c r="J932" s="75"/>
      <c r="K932" s="76"/>
      <c r="L932" s="75"/>
    </row>
    <row r="933" spans="1:12" ht="12.5" x14ac:dyDescent="0.25">
      <c r="A933" s="79"/>
      <c r="B933" s="80"/>
      <c r="C933" s="80"/>
      <c r="D933" s="75"/>
      <c r="E933" s="76"/>
      <c r="F933" s="77"/>
      <c r="G933" s="76"/>
      <c r="H933" s="75"/>
      <c r="I933" s="76"/>
      <c r="J933" s="75"/>
      <c r="K933" s="76"/>
      <c r="L933" s="75"/>
    </row>
    <row r="934" spans="1:12" ht="12.5" x14ac:dyDescent="0.25">
      <c r="A934" s="79"/>
      <c r="B934" s="80"/>
      <c r="C934" s="80"/>
      <c r="D934" s="75"/>
      <c r="E934" s="76"/>
      <c r="F934" s="77"/>
      <c r="G934" s="76"/>
      <c r="H934" s="75"/>
      <c r="I934" s="76"/>
      <c r="J934" s="75"/>
      <c r="K934" s="76"/>
      <c r="L934" s="75"/>
    </row>
    <row r="935" spans="1:12" ht="12.5" x14ac:dyDescent="0.25">
      <c r="A935" s="79"/>
      <c r="B935" s="80"/>
      <c r="C935" s="80"/>
      <c r="D935" s="75"/>
      <c r="E935" s="76"/>
      <c r="F935" s="77"/>
      <c r="G935" s="76"/>
      <c r="H935" s="75"/>
      <c r="I935" s="76"/>
      <c r="J935" s="75"/>
      <c r="K935" s="76"/>
      <c r="L935" s="75"/>
    </row>
    <row r="936" spans="1:12" ht="12.5" x14ac:dyDescent="0.25">
      <c r="A936" s="79"/>
      <c r="B936" s="80"/>
      <c r="C936" s="80"/>
      <c r="D936" s="75"/>
      <c r="E936" s="76"/>
      <c r="F936" s="77"/>
      <c r="G936" s="76"/>
      <c r="H936" s="75"/>
      <c r="I936" s="76"/>
      <c r="J936" s="75"/>
      <c r="K936" s="76"/>
      <c r="L936" s="75"/>
    </row>
    <row r="937" spans="1:12" ht="12.5" x14ac:dyDescent="0.25">
      <c r="A937" s="79"/>
      <c r="B937" s="80"/>
      <c r="C937" s="80"/>
      <c r="D937" s="75"/>
      <c r="E937" s="76"/>
      <c r="F937" s="77"/>
      <c r="G937" s="76"/>
      <c r="H937" s="75"/>
      <c r="I937" s="76"/>
      <c r="J937" s="75"/>
      <c r="K937" s="76"/>
      <c r="L937" s="75"/>
    </row>
    <row r="938" spans="1:12" ht="12.5" x14ac:dyDescent="0.25">
      <c r="A938" s="79"/>
      <c r="B938" s="80"/>
      <c r="C938" s="80"/>
      <c r="D938" s="75"/>
      <c r="E938" s="76"/>
      <c r="F938" s="77"/>
      <c r="G938" s="76"/>
      <c r="H938" s="75"/>
      <c r="I938" s="76"/>
      <c r="J938" s="75"/>
      <c r="K938" s="76"/>
      <c r="L938" s="75"/>
    </row>
    <row r="939" spans="1:12" ht="12.5" x14ac:dyDescent="0.25">
      <c r="A939" s="79"/>
      <c r="B939" s="80"/>
      <c r="C939" s="80"/>
      <c r="D939" s="75"/>
      <c r="E939" s="76"/>
      <c r="F939" s="77"/>
      <c r="G939" s="76"/>
      <c r="H939" s="75"/>
      <c r="I939" s="76"/>
      <c r="J939" s="75"/>
      <c r="K939" s="76"/>
      <c r="L939" s="75"/>
    </row>
    <row r="940" spans="1:12" ht="12.5" x14ac:dyDescent="0.25">
      <c r="A940" s="79"/>
      <c r="B940" s="80"/>
      <c r="C940" s="80"/>
      <c r="D940" s="75"/>
      <c r="E940" s="76"/>
      <c r="F940" s="77"/>
      <c r="G940" s="76"/>
      <c r="H940" s="75"/>
      <c r="I940" s="76"/>
      <c r="J940" s="75"/>
      <c r="K940" s="76"/>
      <c r="L940" s="75"/>
    </row>
    <row r="941" spans="1:12" ht="12.5" x14ac:dyDescent="0.25">
      <c r="A941" s="79"/>
      <c r="B941" s="80"/>
      <c r="C941" s="80"/>
      <c r="D941" s="75"/>
      <c r="E941" s="76"/>
      <c r="F941" s="77"/>
      <c r="G941" s="76"/>
      <c r="H941" s="75"/>
      <c r="I941" s="76"/>
      <c r="J941" s="75"/>
      <c r="K941" s="76"/>
      <c r="L941" s="75"/>
    </row>
    <row r="942" spans="1:12" ht="12.5" x14ac:dyDescent="0.25">
      <c r="A942" s="79"/>
      <c r="B942" s="80"/>
      <c r="C942" s="80"/>
      <c r="D942" s="75"/>
      <c r="E942" s="76"/>
      <c r="F942" s="77"/>
      <c r="G942" s="76"/>
      <c r="H942" s="75"/>
      <c r="I942" s="76"/>
      <c r="J942" s="75"/>
      <c r="K942" s="76"/>
      <c r="L942" s="75"/>
    </row>
    <row r="943" spans="1:12" ht="12.5" x14ac:dyDescent="0.25">
      <c r="A943" s="79"/>
      <c r="B943" s="80"/>
      <c r="C943" s="80"/>
      <c r="D943" s="75"/>
      <c r="E943" s="76"/>
      <c r="F943" s="77"/>
      <c r="G943" s="76"/>
      <c r="H943" s="75"/>
      <c r="I943" s="76"/>
      <c r="J943" s="75"/>
      <c r="K943" s="76"/>
      <c r="L943" s="75"/>
    </row>
    <row r="944" spans="1:12" ht="12.5" x14ac:dyDescent="0.25">
      <c r="A944" s="79"/>
      <c r="B944" s="80"/>
      <c r="C944" s="80"/>
      <c r="D944" s="75"/>
      <c r="E944" s="76"/>
      <c r="F944" s="77"/>
      <c r="G944" s="76"/>
      <c r="H944" s="75"/>
      <c r="I944" s="76"/>
      <c r="J944" s="75"/>
      <c r="K944" s="76"/>
      <c r="L944" s="75"/>
    </row>
    <row r="945" spans="1:12" ht="12.5" x14ac:dyDescent="0.25">
      <c r="A945" s="79"/>
      <c r="B945" s="80"/>
      <c r="C945" s="80"/>
      <c r="D945" s="75"/>
      <c r="E945" s="76"/>
      <c r="F945" s="77"/>
      <c r="G945" s="76"/>
      <c r="H945" s="75"/>
      <c r="I945" s="76"/>
      <c r="J945" s="75"/>
      <c r="K945" s="76"/>
      <c r="L945" s="75"/>
    </row>
    <row r="946" spans="1:12" ht="12.5" x14ac:dyDescent="0.25">
      <c r="A946" s="79"/>
      <c r="B946" s="80"/>
      <c r="C946" s="80"/>
      <c r="D946" s="75"/>
      <c r="E946" s="76"/>
      <c r="F946" s="77"/>
      <c r="G946" s="76"/>
      <c r="H946" s="75"/>
      <c r="I946" s="76"/>
      <c r="J946" s="75"/>
      <c r="K946" s="76"/>
      <c r="L946" s="75"/>
    </row>
    <row r="947" spans="1:12" ht="12.5" x14ac:dyDescent="0.25">
      <c r="A947" s="79"/>
      <c r="B947" s="80"/>
      <c r="C947" s="80"/>
      <c r="D947" s="75"/>
      <c r="E947" s="76"/>
      <c r="F947" s="77"/>
      <c r="G947" s="76"/>
      <c r="H947" s="75"/>
      <c r="I947" s="76"/>
      <c r="J947" s="75"/>
      <c r="K947" s="76"/>
      <c r="L947" s="75"/>
    </row>
    <row r="948" spans="1:12" ht="12.5" x14ac:dyDescent="0.25">
      <c r="A948" s="79"/>
      <c r="B948" s="80"/>
      <c r="C948" s="80"/>
      <c r="D948" s="75"/>
      <c r="E948" s="76"/>
      <c r="F948" s="77"/>
      <c r="G948" s="76"/>
      <c r="H948" s="75"/>
      <c r="I948" s="76"/>
      <c r="J948" s="75"/>
      <c r="K948" s="76"/>
      <c r="L948" s="75"/>
    </row>
    <row r="949" spans="1:12" ht="12.5" x14ac:dyDescent="0.25">
      <c r="A949" s="79"/>
      <c r="B949" s="80"/>
      <c r="C949" s="80"/>
      <c r="D949" s="75"/>
      <c r="E949" s="76"/>
      <c r="F949" s="77"/>
      <c r="G949" s="76"/>
      <c r="H949" s="75"/>
      <c r="I949" s="76"/>
      <c r="J949" s="75"/>
      <c r="K949" s="76"/>
      <c r="L949" s="75"/>
    </row>
    <row r="950" spans="1:12" ht="12.5" x14ac:dyDescent="0.25">
      <c r="A950" s="79"/>
      <c r="B950" s="80"/>
      <c r="C950" s="80"/>
      <c r="D950" s="75"/>
      <c r="E950" s="76"/>
      <c r="F950" s="77"/>
      <c r="G950" s="76"/>
      <c r="H950" s="75"/>
      <c r="I950" s="76"/>
      <c r="J950" s="75"/>
      <c r="K950" s="76"/>
      <c r="L950" s="75"/>
    </row>
    <row r="951" spans="1:12" ht="12.5" x14ac:dyDescent="0.25">
      <c r="A951" s="79"/>
      <c r="B951" s="80"/>
      <c r="C951" s="80"/>
      <c r="D951" s="75"/>
      <c r="E951" s="76"/>
      <c r="F951" s="77"/>
      <c r="G951" s="76"/>
      <c r="H951" s="75"/>
      <c r="I951" s="76"/>
      <c r="J951" s="75"/>
      <c r="K951" s="76"/>
      <c r="L951" s="75"/>
    </row>
    <row r="952" spans="1:12" ht="12.5" x14ac:dyDescent="0.25">
      <c r="A952" s="79"/>
      <c r="B952" s="80"/>
      <c r="C952" s="80"/>
      <c r="D952" s="75"/>
      <c r="E952" s="76"/>
      <c r="F952" s="77"/>
      <c r="G952" s="76"/>
      <c r="H952" s="75"/>
      <c r="I952" s="76"/>
      <c r="J952" s="75"/>
      <c r="K952" s="76"/>
      <c r="L952" s="75"/>
    </row>
    <row r="953" spans="1:12" ht="12.5" x14ac:dyDescent="0.25">
      <c r="A953" s="79"/>
      <c r="B953" s="80"/>
      <c r="C953" s="80"/>
      <c r="D953" s="75"/>
      <c r="E953" s="76"/>
      <c r="F953" s="77"/>
      <c r="G953" s="76"/>
      <c r="H953" s="75"/>
      <c r="I953" s="76"/>
      <c r="J953" s="75"/>
      <c r="K953" s="76"/>
      <c r="L953" s="75"/>
    </row>
    <row r="954" spans="1:12" ht="12.5" x14ac:dyDescent="0.25">
      <c r="A954" s="79"/>
      <c r="B954" s="80"/>
      <c r="C954" s="80"/>
      <c r="D954" s="75"/>
      <c r="E954" s="76"/>
      <c r="F954" s="77"/>
      <c r="G954" s="76"/>
      <c r="H954" s="75"/>
      <c r="I954" s="76"/>
      <c r="J954" s="75"/>
      <c r="K954" s="76"/>
      <c r="L954" s="75"/>
    </row>
    <row r="955" spans="1:12" ht="12.5" x14ac:dyDescent="0.25">
      <c r="A955" s="79"/>
      <c r="B955" s="80"/>
      <c r="C955" s="80"/>
      <c r="D955" s="75"/>
      <c r="E955" s="76"/>
      <c r="F955" s="77"/>
      <c r="G955" s="76"/>
      <c r="H955" s="75"/>
      <c r="I955" s="76"/>
      <c r="J955" s="75"/>
      <c r="K955" s="76"/>
      <c r="L955" s="75"/>
    </row>
    <row r="956" spans="1:12" ht="12.5" x14ac:dyDescent="0.25">
      <c r="A956" s="79"/>
      <c r="B956" s="80"/>
      <c r="C956" s="80"/>
      <c r="D956" s="75"/>
      <c r="E956" s="76"/>
      <c r="F956" s="77"/>
      <c r="G956" s="76"/>
      <c r="H956" s="75"/>
      <c r="I956" s="76"/>
      <c r="J956" s="75"/>
      <c r="K956" s="76"/>
      <c r="L956" s="75"/>
    </row>
    <row r="957" spans="1:12" ht="12.5" x14ac:dyDescent="0.25">
      <c r="A957" s="79"/>
      <c r="B957" s="80"/>
      <c r="C957" s="80"/>
      <c r="D957" s="75"/>
      <c r="E957" s="76"/>
      <c r="F957" s="77"/>
      <c r="G957" s="76"/>
      <c r="H957" s="75"/>
      <c r="I957" s="76"/>
      <c r="J957" s="75"/>
      <c r="K957" s="76"/>
      <c r="L957" s="75"/>
    </row>
    <row r="958" spans="1:12" ht="12.5" x14ac:dyDescent="0.25">
      <c r="A958" s="79"/>
      <c r="B958" s="80"/>
      <c r="C958" s="80"/>
      <c r="D958" s="75"/>
      <c r="E958" s="76"/>
      <c r="F958" s="77"/>
      <c r="G958" s="76"/>
      <c r="H958" s="75"/>
      <c r="I958" s="76"/>
      <c r="J958" s="75"/>
      <c r="K958" s="76"/>
      <c r="L958" s="75"/>
    </row>
    <row r="959" spans="1:12" ht="12.5" x14ac:dyDescent="0.25">
      <c r="A959" s="79"/>
      <c r="B959" s="80"/>
      <c r="C959" s="80"/>
      <c r="D959" s="75"/>
      <c r="E959" s="76"/>
      <c r="F959" s="77"/>
      <c r="G959" s="76"/>
      <c r="H959" s="75"/>
      <c r="I959" s="76"/>
      <c r="J959" s="75"/>
      <c r="K959" s="76"/>
      <c r="L959" s="75"/>
    </row>
    <row r="960" spans="1:12" ht="12.5" x14ac:dyDescent="0.25">
      <c r="A960" s="79"/>
      <c r="B960" s="80"/>
      <c r="C960" s="80"/>
      <c r="D960" s="75"/>
      <c r="E960" s="76"/>
      <c r="F960" s="77"/>
      <c r="G960" s="76"/>
      <c r="H960" s="75"/>
      <c r="I960" s="76"/>
      <c r="J960" s="75"/>
      <c r="K960" s="76"/>
      <c r="L960" s="75"/>
    </row>
    <row r="961" spans="1:12" ht="12.5" x14ac:dyDescent="0.25">
      <c r="A961" s="79"/>
      <c r="B961" s="80"/>
      <c r="C961" s="80"/>
      <c r="D961" s="75"/>
      <c r="E961" s="76"/>
      <c r="F961" s="77"/>
      <c r="G961" s="76"/>
      <c r="H961" s="75"/>
      <c r="I961" s="76"/>
      <c r="J961" s="75"/>
      <c r="K961" s="76"/>
      <c r="L961" s="75"/>
    </row>
    <row r="962" spans="1:12" ht="12.5" x14ac:dyDescent="0.25">
      <c r="A962" s="79"/>
      <c r="B962" s="80"/>
      <c r="C962" s="80"/>
      <c r="D962" s="75"/>
      <c r="E962" s="76"/>
      <c r="F962" s="77"/>
      <c r="G962" s="76"/>
      <c r="H962" s="75"/>
      <c r="I962" s="76"/>
      <c r="J962" s="75"/>
      <c r="K962" s="76"/>
      <c r="L962" s="75"/>
    </row>
    <row r="963" spans="1:12" ht="12.5" x14ac:dyDescent="0.25">
      <c r="A963" s="79"/>
      <c r="B963" s="80"/>
      <c r="C963" s="80"/>
      <c r="D963" s="75"/>
      <c r="E963" s="76"/>
      <c r="F963" s="77"/>
      <c r="G963" s="76"/>
      <c r="H963" s="75"/>
      <c r="I963" s="76"/>
      <c r="J963" s="75"/>
      <c r="K963" s="76"/>
      <c r="L963" s="75"/>
    </row>
    <row r="964" spans="1:12" ht="12.5" x14ac:dyDescent="0.25">
      <c r="A964" s="79"/>
      <c r="B964" s="80"/>
      <c r="C964" s="80"/>
      <c r="D964" s="75"/>
      <c r="E964" s="76"/>
      <c r="F964" s="77"/>
      <c r="G964" s="76"/>
      <c r="H964" s="75"/>
      <c r="I964" s="76"/>
      <c r="J964" s="75"/>
      <c r="K964" s="76"/>
      <c r="L964" s="75"/>
    </row>
    <row r="965" spans="1:12" ht="12.5" x14ac:dyDescent="0.25">
      <c r="A965" s="79"/>
      <c r="B965" s="80"/>
      <c r="C965" s="80"/>
      <c r="D965" s="75"/>
      <c r="E965" s="76"/>
      <c r="F965" s="77"/>
      <c r="G965" s="76"/>
      <c r="H965" s="75"/>
      <c r="I965" s="76"/>
      <c r="J965" s="75"/>
      <c r="K965" s="76"/>
      <c r="L965" s="75"/>
    </row>
    <row r="966" spans="1:12" ht="12.5" x14ac:dyDescent="0.25">
      <c r="A966" s="79"/>
      <c r="B966" s="80"/>
      <c r="C966" s="80"/>
      <c r="D966" s="75"/>
      <c r="E966" s="76"/>
      <c r="F966" s="77"/>
      <c r="G966" s="76"/>
      <c r="H966" s="75"/>
      <c r="I966" s="76"/>
      <c r="J966" s="75"/>
      <c r="K966" s="76"/>
      <c r="L966" s="75"/>
    </row>
    <row r="967" spans="1:12" ht="12.5" x14ac:dyDescent="0.25">
      <c r="A967" s="79"/>
      <c r="B967" s="80"/>
      <c r="C967" s="80"/>
      <c r="D967" s="75"/>
      <c r="E967" s="76"/>
      <c r="F967" s="77"/>
      <c r="G967" s="76"/>
      <c r="H967" s="75"/>
      <c r="I967" s="76"/>
      <c r="J967" s="75"/>
      <c r="K967" s="76"/>
      <c r="L967" s="75"/>
    </row>
    <row r="968" spans="1:12" ht="12.5" x14ac:dyDescent="0.25">
      <c r="A968" s="79"/>
      <c r="B968" s="80"/>
      <c r="C968" s="80"/>
      <c r="D968" s="75"/>
      <c r="E968" s="76"/>
      <c r="F968" s="77"/>
      <c r="G968" s="76"/>
      <c r="H968" s="75"/>
      <c r="I968" s="76"/>
      <c r="J968" s="75"/>
      <c r="K968" s="76"/>
      <c r="L968" s="75"/>
    </row>
    <row r="969" spans="1:12" ht="12.5" x14ac:dyDescent="0.25">
      <c r="A969" s="79"/>
      <c r="B969" s="80"/>
      <c r="C969" s="80"/>
      <c r="D969" s="75"/>
      <c r="E969" s="76"/>
      <c r="F969" s="77"/>
      <c r="G969" s="76"/>
      <c r="H969" s="75"/>
      <c r="I969" s="76"/>
      <c r="J969" s="75"/>
      <c r="K969" s="76"/>
      <c r="L969" s="75"/>
    </row>
    <row r="970" spans="1:12" ht="12.5" x14ac:dyDescent="0.25">
      <c r="A970" s="79"/>
      <c r="B970" s="80"/>
      <c r="C970" s="80"/>
      <c r="D970" s="75"/>
      <c r="E970" s="76"/>
      <c r="F970" s="77"/>
      <c r="G970" s="76"/>
      <c r="H970" s="75"/>
      <c r="I970" s="76"/>
      <c r="J970" s="75"/>
      <c r="K970" s="76"/>
      <c r="L970" s="75"/>
    </row>
    <row r="971" spans="1:12" ht="12.5" x14ac:dyDescent="0.25">
      <c r="A971" s="79"/>
      <c r="B971" s="80"/>
      <c r="C971" s="80"/>
      <c r="D971" s="75"/>
      <c r="E971" s="76"/>
      <c r="F971" s="77"/>
      <c r="G971" s="76"/>
      <c r="H971" s="75"/>
      <c r="I971" s="76"/>
      <c r="J971" s="75"/>
      <c r="K971" s="76"/>
      <c r="L971" s="75"/>
    </row>
    <row r="972" spans="1:12" ht="12.5" x14ac:dyDescent="0.25">
      <c r="A972" s="79"/>
      <c r="B972" s="80"/>
      <c r="C972" s="80"/>
      <c r="D972" s="75"/>
      <c r="E972" s="76"/>
      <c r="F972" s="77"/>
      <c r="G972" s="76"/>
      <c r="H972" s="75"/>
      <c r="I972" s="76"/>
      <c r="J972" s="75"/>
      <c r="K972" s="76"/>
      <c r="L972" s="75"/>
    </row>
    <row r="973" spans="1:12" ht="12.5" x14ac:dyDescent="0.25">
      <c r="A973" s="79"/>
      <c r="B973" s="80"/>
      <c r="C973" s="80"/>
      <c r="D973" s="75"/>
      <c r="E973" s="76"/>
      <c r="F973" s="77"/>
      <c r="G973" s="76"/>
      <c r="H973" s="75"/>
      <c r="I973" s="76"/>
      <c r="J973" s="75"/>
      <c r="K973" s="76"/>
      <c r="L973" s="75"/>
    </row>
    <row r="974" spans="1:12" ht="12.5" x14ac:dyDescent="0.25">
      <c r="A974" s="79"/>
      <c r="B974" s="80"/>
      <c r="C974" s="80"/>
      <c r="D974" s="75"/>
      <c r="E974" s="76"/>
      <c r="F974" s="77"/>
      <c r="G974" s="76"/>
      <c r="H974" s="75"/>
      <c r="I974" s="76"/>
      <c r="J974" s="75"/>
      <c r="K974" s="76"/>
      <c r="L974" s="75"/>
    </row>
    <row r="975" spans="1:12" ht="12.5" x14ac:dyDescent="0.25">
      <c r="A975" s="79"/>
      <c r="B975" s="80"/>
      <c r="C975" s="80"/>
      <c r="D975" s="75"/>
      <c r="E975" s="76"/>
      <c r="F975" s="77"/>
      <c r="G975" s="76"/>
      <c r="H975" s="75"/>
      <c r="I975" s="76"/>
      <c r="J975" s="75"/>
      <c r="K975" s="76"/>
      <c r="L975" s="75"/>
    </row>
    <row r="976" spans="1:12" ht="12.5" x14ac:dyDescent="0.25">
      <c r="A976" s="79"/>
      <c r="B976" s="80"/>
      <c r="C976" s="80"/>
      <c r="D976" s="75"/>
      <c r="E976" s="76"/>
      <c r="F976" s="77"/>
      <c r="G976" s="76"/>
      <c r="H976" s="75"/>
      <c r="I976" s="76"/>
      <c r="J976" s="75"/>
      <c r="K976" s="76"/>
      <c r="L976" s="75"/>
    </row>
    <row r="977" spans="1:12" ht="12.5" x14ac:dyDescent="0.25">
      <c r="A977" s="79"/>
      <c r="B977" s="80"/>
      <c r="C977" s="80"/>
      <c r="D977" s="75"/>
      <c r="E977" s="76"/>
      <c r="F977" s="77"/>
      <c r="G977" s="76"/>
      <c r="H977" s="75"/>
      <c r="I977" s="76"/>
      <c r="J977" s="75"/>
      <c r="K977" s="76"/>
      <c r="L977" s="75"/>
    </row>
    <row r="978" spans="1:12" ht="12.5" x14ac:dyDescent="0.25">
      <c r="A978" s="79"/>
      <c r="B978" s="80"/>
      <c r="C978" s="80"/>
      <c r="D978" s="75"/>
      <c r="E978" s="76"/>
      <c r="F978" s="77"/>
      <c r="G978" s="76"/>
      <c r="H978" s="75"/>
      <c r="I978" s="76"/>
      <c r="J978" s="75"/>
      <c r="K978" s="76"/>
      <c r="L978" s="75"/>
    </row>
    <row r="979" spans="1:12" ht="12.5" x14ac:dyDescent="0.25">
      <c r="A979" s="79"/>
      <c r="B979" s="80"/>
      <c r="C979" s="80"/>
      <c r="D979" s="75"/>
      <c r="E979" s="76"/>
      <c r="F979" s="77"/>
      <c r="G979" s="76"/>
      <c r="H979" s="75"/>
      <c r="I979" s="76"/>
      <c r="J979" s="75"/>
      <c r="K979" s="76"/>
      <c r="L979" s="75"/>
    </row>
    <row r="980" spans="1:12" ht="12.5" x14ac:dyDescent="0.25">
      <c r="A980" s="79"/>
      <c r="B980" s="80"/>
      <c r="C980" s="80"/>
      <c r="D980" s="75"/>
      <c r="E980" s="76"/>
      <c r="F980" s="77"/>
      <c r="G980" s="76"/>
      <c r="H980" s="75"/>
      <c r="I980" s="76"/>
      <c r="J980" s="75"/>
      <c r="K980" s="76"/>
      <c r="L980" s="75"/>
    </row>
    <row r="981" spans="1:12" ht="12.5" x14ac:dyDescent="0.25">
      <c r="A981" s="79"/>
      <c r="B981" s="80"/>
      <c r="C981" s="80"/>
      <c r="D981" s="75"/>
      <c r="E981" s="76"/>
      <c r="F981" s="77"/>
      <c r="G981" s="76"/>
      <c r="H981" s="75"/>
      <c r="I981" s="76"/>
      <c r="J981" s="75"/>
      <c r="K981" s="76"/>
      <c r="L981" s="75"/>
    </row>
    <row r="982" spans="1:12" ht="12.5" x14ac:dyDescent="0.25">
      <c r="A982" s="79"/>
      <c r="B982" s="80"/>
      <c r="C982" s="80"/>
      <c r="D982" s="75"/>
      <c r="E982" s="76"/>
      <c r="F982" s="77"/>
      <c r="G982" s="76"/>
      <c r="H982" s="75"/>
      <c r="I982" s="76"/>
      <c r="J982" s="75"/>
      <c r="K982" s="76"/>
      <c r="L982" s="75"/>
    </row>
    <row r="983" spans="1:12" ht="12.5" x14ac:dyDescent="0.25">
      <c r="A983" s="79"/>
      <c r="B983" s="80"/>
      <c r="C983" s="80"/>
      <c r="D983" s="75"/>
      <c r="E983" s="76"/>
      <c r="F983" s="77"/>
      <c r="G983" s="76"/>
      <c r="H983" s="75"/>
      <c r="I983" s="76"/>
      <c r="J983" s="75"/>
      <c r="K983" s="76"/>
      <c r="L983" s="75"/>
    </row>
    <row r="984" spans="1:12" ht="12.5" x14ac:dyDescent="0.25">
      <c r="A984" s="79"/>
      <c r="B984" s="80"/>
      <c r="C984" s="80"/>
      <c r="D984" s="75"/>
      <c r="E984" s="76"/>
      <c r="F984" s="77"/>
      <c r="G984" s="76"/>
      <c r="H984" s="75"/>
      <c r="I984" s="76"/>
      <c r="J984" s="75"/>
      <c r="K984" s="76"/>
      <c r="L984" s="75"/>
    </row>
    <row r="985" spans="1:12" ht="12.5" x14ac:dyDescent="0.25">
      <c r="A985" s="79"/>
      <c r="B985" s="80"/>
      <c r="C985" s="80"/>
      <c r="D985" s="75"/>
      <c r="E985" s="76"/>
      <c r="F985" s="77"/>
      <c r="G985" s="76"/>
      <c r="H985" s="75"/>
      <c r="I985" s="76"/>
      <c r="J985" s="75"/>
      <c r="K985" s="76"/>
      <c r="L985" s="75"/>
    </row>
    <row r="986" spans="1:12" ht="12.5" x14ac:dyDescent="0.25">
      <c r="A986" s="79"/>
      <c r="B986" s="80"/>
      <c r="C986" s="80"/>
      <c r="D986" s="75"/>
      <c r="E986" s="76"/>
      <c r="F986" s="77"/>
      <c r="G986" s="76"/>
      <c r="H986" s="75"/>
      <c r="I986" s="76"/>
      <c r="J986" s="75"/>
      <c r="K986" s="76"/>
      <c r="L986" s="75"/>
    </row>
    <row r="987" spans="1:12" ht="12.5" x14ac:dyDescent="0.25">
      <c r="A987" s="79"/>
      <c r="B987" s="80"/>
      <c r="C987" s="80"/>
      <c r="D987" s="75"/>
      <c r="E987" s="76"/>
      <c r="F987" s="77"/>
      <c r="G987" s="76"/>
      <c r="H987" s="75"/>
      <c r="I987" s="76"/>
      <c r="J987" s="75"/>
      <c r="K987" s="76"/>
      <c r="L987" s="75"/>
    </row>
    <row r="988" spans="1:12" ht="12.5" x14ac:dyDescent="0.25">
      <c r="A988" s="79"/>
      <c r="B988" s="80"/>
      <c r="C988" s="80"/>
      <c r="D988" s="75"/>
      <c r="E988" s="76"/>
      <c r="F988" s="77"/>
      <c r="G988" s="76"/>
      <c r="H988" s="75"/>
      <c r="I988" s="76"/>
      <c r="J988" s="75"/>
      <c r="K988" s="76"/>
      <c r="L988" s="75"/>
    </row>
    <row r="989" spans="1:12" ht="12.5" x14ac:dyDescent="0.25">
      <c r="A989" s="79"/>
      <c r="B989" s="80"/>
      <c r="C989" s="80"/>
      <c r="D989" s="75"/>
      <c r="E989" s="76"/>
      <c r="F989" s="77"/>
      <c r="G989" s="76"/>
      <c r="H989" s="75"/>
      <c r="I989" s="76"/>
      <c r="J989" s="75"/>
      <c r="K989" s="76"/>
      <c r="L989" s="75"/>
    </row>
    <row r="990" spans="1:12" ht="12.5" x14ac:dyDescent="0.25">
      <c r="A990" s="79"/>
      <c r="B990" s="80"/>
      <c r="C990" s="80"/>
      <c r="D990" s="75"/>
      <c r="E990" s="76"/>
      <c r="F990" s="77"/>
      <c r="G990" s="76"/>
      <c r="H990" s="75"/>
      <c r="I990" s="76"/>
      <c r="J990" s="75"/>
      <c r="K990" s="76"/>
      <c r="L990" s="75"/>
    </row>
    <row r="991" spans="1:12" ht="12.5" x14ac:dyDescent="0.25">
      <c r="A991" s="79"/>
      <c r="B991" s="80"/>
      <c r="C991" s="80"/>
      <c r="D991" s="75"/>
      <c r="E991" s="76"/>
      <c r="F991" s="77"/>
      <c r="G991" s="76"/>
      <c r="H991" s="75"/>
      <c r="I991" s="76"/>
      <c r="J991" s="75"/>
      <c r="K991" s="76"/>
      <c r="L991" s="75"/>
    </row>
    <row r="992" spans="1:12" ht="12.5" x14ac:dyDescent="0.25">
      <c r="A992" s="79"/>
      <c r="B992" s="80"/>
      <c r="C992" s="80"/>
      <c r="D992" s="75"/>
      <c r="E992" s="76"/>
      <c r="F992" s="77"/>
      <c r="G992" s="76"/>
      <c r="H992" s="75"/>
      <c r="I992" s="76"/>
      <c r="J992" s="75"/>
      <c r="K992" s="76"/>
      <c r="L992" s="75"/>
    </row>
    <row r="993" spans="1:12" ht="12.5" x14ac:dyDescent="0.25">
      <c r="A993" s="79"/>
      <c r="B993" s="80"/>
      <c r="C993" s="80"/>
      <c r="D993" s="75"/>
      <c r="E993" s="76"/>
      <c r="F993" s="77"/>
      <c r="G993" s="76"/>
      <c r="H993" s="75"/>
      <c r="I993" s="76"/>
      <c r="J993" s="75"/>
      <c r="K993" s="76"/>
      <c r="L993" s="75"/>
    </row>
    <row r="994" spans="1:12" ht="12.5" x14ac:dyDescent="0.25">
      <c r="A994" s="79"/>
      <c r="B994" s="80"/>
      <c r="C994" s="80"/>
      <c r="D994" s="75"/>
      <c r="E994" s="76"/>
      <c r="F994" s="77"/>
      <c r="G994" s="76"/>
      <c r="H994" s="75"/>
      <c r="I994" s="76"/>
      <c r="J994" s="75"/>
      <c r="K994" s="76"/>
      <c r="L994" s="75"/>
    </row>
    <row r="995" spans="1:12" ht="12.5" x14ac:dyDescent="0.25">
      <c r="A995" s="79"/>
      <c r="B995" s="80"/>
      <c r="C995" s="80"/>
      <c r="D995" s="75"/>
      <c r="E995" s="76"/>
      <c r="F995" s="77"/>
      <c r="G995" s="76"/>
      <c r="H995" s="75"/>
      <c r="I995" s="76"/>
      <c r="J995" s="75"/>
      <c r="K995" s="76"/>
      <c r="L995" s="75"/>
    </row>
    <row r="996" spans="1:12" ht="12.5" x14ac:dyDescent="0.25">
      <c r="A996" s="79"/>
      <c r="B996" s="80"/>
      <c r="C996" s="80"/>
      <c r="D996" s="75"/>
      <c r="E996" s="76"/>
      <c r="F996" s="77"/>
      <c r="G996" s="76"/>
      <c r="H996" s="75"/>
      <c r="I996" s="76"/>
      <c r="J996" s="75"/>
      <c r="K996" s="76"/>
      <c r="L996" s="75"/>
    </row>
    <row r="997" spans="1:12" ht="12.5" x14ac:dyDescent="0.25">
      <c r="A997" s="79"/>
      <c r="B997" s="80"/>
      <c r="C997" s="80"/>
      <c r="D997" s="75"/>
      <c r="E997" s="76"/>
      <c r="F997" s="77"/>
      <c r="G997" s="76"/>
      <c r="H997" s="75"/>
      <c r="I997" s="76"/>
      <c r="J997" s="75"/>
      <c r="K997" s="76"/>
      <c r="L997" s="75"/>
    </row>
    <row r="998" spans="1:12" ht="12.5" x14ac:dyDescent="0.25">
      <c r="A998" s="79"/>
      <c r="B998" s="80"/>
      <c r="C998" s="80"/>
      <c r="D998" s="75"/>
      <c r="E998" s="76"/>
      <c r="F998" s="77"/>
      <c r="G998" s="76"/>
      <c r="H998" s="75"/>
      <c r="I998" s="76"/>
      <c r="J998" s="75"/>
      <c r="K998" s="76"/>
      <c r="L998" s="75"/>
    </row>
    <row r="999" spans="1:12" ht="12.5" x14ac:dyDescent="0.25">
      <c r="A999" s="79"/>
      <c r="B999" s="80"/>
      <c r="C999" s="80"/>
      <c r="D999" s="75"/>
      <c r="E999" s="76"/>
      <c r="F999" s="77"/>
      <c r="G999" s="76"/>
      <c r="H999" s="75"/>
      <c r="I999" s="76"/>
      <c r="J999" s="75"/>
      <c r="K999" s="76"/>
      <c r="L999" s="75"/>
    </row>
    <row r="1000" spans="1:12" ht="12.5" x14ac:dyDescent="0.25">
      <c r="A1000" s="81"/>
      <c r="B1000" s="82"/>
      <c r="C1000" s="82"/>
      <c r="D1000" s="83"/>
      <c r="E1000" s="84"/>
      <c r="F1000" s="85"/>
      <c r="G1000" s="84"/>
      <c r="H1000" s="83"/>
      <c r="I1000" s="84"/>
      <c r="J1000" s="83"/>
      <c r="K1000" s="84"/>
      <c r="L1000" s="83"/>
    </row>
  </sheetData>
  <mergeCells count="5">
    <mergeCell ref="E3:F3"/>
    <mergeCell ref="E4:F4"/>
    <mergeCell ref="G4:H4"/>
    <mergeCell ref="I4:J4"/>
    <mergeCell ref="K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98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8" max="8" width="17.36328125" customWidth="1"/>
    <col min="10" max="10" width="17.6328125" customWidth="1"/>
    <col min="11" max="11" width="12.6328125" hidden="1"/>
    <col min="12" max="12" width="17.26953125" hidden="1" customWidth="1"/>
    <col min="13" max="13" width="12.6328125" hidden="1"/>
    <col min="14" max="14" width="17.26953125" hidden="1" customWidth="1"/>
    <col min="16" max="16" width="18.6328125" customWidth="1"/>
    <col min="17" max="17" width="16.7265625" customWidth="1"/>
  </cols>
  <sheetData>
    <row r="1" spans="1:16" x14ac:dyDescent="0.3">
      <c r="A1" s="86" t="s">
        <v>268</v>
      </c>
      <c r="C1" s="4"/>
      <c r="D1" s="4"/>
      <c r="G1" s="4"/>
      <c r="I1" s="4"/>
      <c r="K1" s="4"/>
      <c r="M1" s="4"/>
      <c r="O1" s="4"/>
    </row>
    <row r="2" spans="1:16" ht="15.75" customHeight="1" x14ac:dyDescent="0.25">
      <c r="C2" s="4"/>
      <c r="D2" s="4"/>
      <c r="G2" s="4"/>
      <c r="I2" s="4"/>
      <c r="K2" s="4"/>
      <c r="M2" s="4"/>
      <c r="O2" s="4"/>
    </row>
    <row r="3" spans="1:16" ht="15.75" customHeight="1" x14ac:dyDescent="0.25">
      <c r="A3" s="4"/>
      <c r="B3" s="4"/>
      <c r="C3" s="4"/>
      <c r="D3" s="4"/>
      <c r="E3" s="4"/>
      <c r="F3" s="4"/>
      <c r="G3" s="4"/>
      <c r="I3" s="4"/>
      <c r="K3" s="4"/>
      <c r="M3" s="4"/>
      <c r="O3" s="4"/>
    </row>
    <row r="4" spans="1:16" x14ac:dyDescent="0.3">
      <c r="A4" s="4"/>
      <c r="B4" s="4"/>
      <c r="C4" s="136" t="s">
        <v>269</v>
      </c>
      <c r="D4" s="137"/>
      <c r="E4" s="137"/>
      <c r="F4" s="138"/>
      <c r="G4" s="129" t="s">
        <v>270</v>
      </c>
      <c r="H4" s="130"/>
      <c r="I4" s="130"/>
      <c r="J4" s="130"/>
      <c r="K4" s="130"/>
      <c r="L4" s="130"/>
      <c r="M4" s="130"/>
      <c r="N4" s="131"/>
      <c r="O4" s="139" t="s">
        <v>271</v>
      </c>
      <c r="P4" s="128"/>
    </row>
    <row r="5" spans="1:16" x14ac:dyDescent="0.3">
      <c r="A5" s="87" t="s">
        <v>9</v>
      </c>
      <c r="B5" s="88" t="s">
        <v>10</v>
      </c>
      <c r="C5" s="89" t="s">
        <v>272</v>
      </c>
      <c r="D5" s="90" t="s">
        <v>273</v>
      </c>
      <c r="E5" s="90" t="s">
        <v>249</v>
      </c>
      <c r="F5" s="91" t="s">
        <v>248</v>
      </c>
      <c r="G5" s="129" t="s">
        <v>272</v>
      </c>
      <c r="H5" s="131"/>
      <c r="I5" s="129" t="s">
        <v>273</v>
      </c>
      <c r="J5" s="131"/>
      <c r="K5" s="126" t="s">
        <v>249</v>
      </c>
      <c r="L5" s="128"/>
      <c r="M5" s="129" t="s">
        <v>248</v>
      </c>
      <c r="N5" s="131"/>
      <c r="O5" s="140"/>
      <c r="P5" s="141"/>
    </row>
    <row r="6" spans="1:16" ht="15.75" customHeight="1" x14ac:dyDescent="0.25">
      <c r="A6" s="92">
        <f>'Profit &amp; Loss'!A6</f>
        <v>45955</v>
      </c>
      <c r="B6" s="93" t="str">
        <f>'Profit &amp; Loss'!B6</f>
        <v>Sat</v>
      </c>
      <c r="C6" s="94"/>
      <c r="D6" s="95"/>
      <c r="E6" s="95"/>
      <c r="F6" s="96">
        <v>11</v>
      </c>
      <c r="G6" s="97">
        <f>IF(C6=" ",'Shuttle Purchase'!E5,'Shuttle Purchase'!E5-C6)</f>
        <v>87</v>
      </c>
      <c r="H6" s="98" t="str">
        <f t="shared" ref="H6:H260" si="0">QUOTIENT(G6,12) &amp; " tubes and " &amp; MOD(G6,12) &amp; " shuttles"</f>
        <v>7 tubes and 3 shuttles</v>
      </c>
      <c r="I6" s="24">
        <f>IF(D6=" ",'Shuttle Purchase'!G5,'Shuttle Purchase'!G5-D6)</f>
        <v>144</v>
      </c>
      <c r="J6" s="99" t="str">
        <f t="shared" ref="J6:J260" si="1">QUOTIENT(I6,12) &amp; " tubes and " &amp; MOD(I6,12) &amp; " shuttles"</f>
        <v>12 tubes and 0 shuttles</v>
      </c>
      <c r="K6" s="94">
        <f>IF(E6=" ",'Shuttle Purchase'!I5,'Shuttle Purchase'!I5-E6)</f>
        <v>12</v>
      </c>
      <c r="L6" s="100" t="str">
        <f t="shared" ref="L6:L260" si="2">QUOTIENT(K6,12) &amp; " tubes and " &amp; MOD(K6,12) &amp; " shuttles"</f>
        <v>1 tubes and 0 shuttles</v>
      </c>
      <c r="M6" s="45">
        <f>IF(F6=" ",'Shuttle Purchase'!K5,'Shuttle Purchase'!K5-F6)</f>
        <v>18</v>
      </c>
      <c r="N6" s="98" t="str">
        <f t="shared" ref="N6:N260" si="3">QUOTIENT(M6,12) &amp; " tubes and " &amp; MOD(M6,12) &amp; " shuttles"</f>
        <v>1 tubes and 6 shuttles</v>
      </c>
      <c r="O6" s="24">
        <f t="shared" ref="O6:O260" si="4">SUM(G6:M6)</f>
        <v>261</v>
      </c>
      <c r="P6" s="98" t="str">
        <f t="shared" ref="P6:P260" si="5">QUOTIENT(O6,12) &amp; " tubes and " &amp; MOD(O6,12) &amp; " shuttles"</f>
        <v>21 tubes and 9 shuttles</v>
      </c>
    </row>
    <row r="7" spans="1:16" ht="15.75" customHeight="1" x14ac:dyDescent="0.25">
      <c r="A7" s="32">
        <f>'Profit &amp; Loss'!A7</f>
        <v>45960</v>
      </c>
      <c r="B7" s="35" t="str">
        <f>'Profit &amp; Loss'!B7</f>
        <v>Thurs</v>
      </c>
      <c r="C7" s="36">
        <v>5</v>
      </c>
      <c r="D7" s="33"/>
      <c r="E7" s="33"/>
      <c r="F7" s="101"/>
      <c r="G7" s="102">
        <f t="shared" ref="G7:G35" si="6">IF(C7=" ",G6,G6-C7)</f>
        <v>82</v>
      </c>
      <c r="H7" s="103" t="str">
        <f t="shared" si="0"/>
        <v>6 tubes and 10 shuttles</v>
      </c>
      <c r="I7" s="36">
        <f t="shared" ref="I7:I35" si="7">IF(D7=" ",I6,I6-D7)</f>
        <v>144</v>
      </c>
      <c r="J7" s="104" t="str">
        <f t="shared" si="1"/>
        <v>12 tubes and 0 shuttles</v>
      </c>
      <c r="K7" s="36">
        <f t="shared" ref="K7:K35" si="8">IF(E7=" ",K6,K6-E7)</f>
        <v>12</v>
      </c>
      <c r="L7" s="103" t="str">
        <f t="shared" si="2"/>
        <v>1 tubes and 0 shuttles</v>
      </c>
      <c r="M7" s="105">
        <f t="shared" ref="M7:M35" si="9">IF(F7=" ",M6,M6-F7)</f>
        <v>18</v>
      </c>
      <c r="N7" s="103" t="str">
        <f t="shared" si="3"/>
        <v>1 tubes and 6 shuttles</v>
      </c>
      <c r="O7" s="36">
        <f t="shared" si="4"/>
        <v>256</v>
      </c>
      <c r="P7" s="103" t="str">
        <f t="shared" si="5"/>
        <v>21 tubes and 4 shuttles</v>
      </c>
    </row>
    <row r="8" spans="1:16" ht="15.75" customHeight="1" x14ac:dyDescent="0.25">
      <c r="A8" s="32">
        <f>'Profit &amp; Loss'!A8</f>
        <v>45963</v>
      </c>
      <c r="B8" s="35" t="str">
        <f>'Profit &amp; Loss'!B8</f>
        <v>Sun</v>
      </c>
      <c r="C8" s="36"/>
      <c r="D8" s="33">
        <v>11</v>
      </c>
      <c r="E8" s="33"/>
      <c r="F8" s="101"/>
      <c r="G8" s="102">
        <f t="shared" si="6"/>
        <v>82</v>
      </c>
      <c r="H8" s="103" t="str">
        <f t="shared" si="0"/>
        <v>6 tubes and 10 shuttles</v>
      </c>
      <c r="I8" s="36">
        <f t="shared" si="7"/>
        <v>133</v>
      </c>
      <c r="J8" s="104" t="str">
        <f t="shared" si="1"/>
        <v>11 tubes and 1 shuttles</v>
      </c>
      <c r="K8" s="36">
        <f t="shared" si="8"/>
        <v>12</v>
      </c>
      <c r="L8" s="103" t="str">
        <f t="shared" si="2"/>
        <v>1 tubes and 0 shuttles</v>
      </c>
      <c r="M8" s="105">
        <f t="shared" si="9"/>
        <v>18</v>
      </c>
      <c r="N8" s="103" t="str">
        <f t="shared" si="3"/>
        <v>1 tubes and 6 shuttles</v>
      </c>
      <c r="O8" s="36">
        <f t="shared" si="4"/>
        <v>245</v>
      </c>
      <c r="P8" s="103" t="str">
        <f t="shared" si="5"/>
        <v>20 tubes and 5 shuttles</v>
      </c>
    </row>
    <row r="9" spans="1:16" ht="15.75" customHeight="1" x14ac:dyDescent="0.25">
      <c r="A9" s="32">
        <f>'Profit &amp; Loss'!A9</f>
        <v>45965</v>
      </c>
      <c r="B9" s="35" t="str">
        <f>'Profit &amp; Loss'!B9</f>
        <v>Tues</v>
      </c>
      <c r="C9" s="36">
        <v>2</v>
      </c>
      <c r="D9" s="33">
        <v>1</v>
      </c>
      <c r="E9" s="33"/>
      <c r="F9" s="101"/>
      <c r="G9" s="102">
        <f t="shared" si="6"/>
        <v>80</v>
      </c>
      <c r="H9" s="103" t="str">
        <f t="shared" si="0"/>
        <v>6 tubes and 8 shuttles</v>
      </c>
      <c r="I9" s="36">
        <f t="shared" si="7"/>
        <v>132</v>
      </c>
      <c r="J9" s="104" t="str">
        <f t="shared" si="1"/>
        <v>11 tubes and 0 shuttles</v>
      </c>
      <c r="K9" s="36">
        <f t="shared" si="8"/>
        <v>12</v>
      </c>
      <c r="L9" s="103" t="str">
        <f t="shared" si="2"/>
        <v>1 tubes and 0 shuttles</v>
      </c>
      <c r="M9" s="105">
        <f t="shared" si="9"/>
        <v>18</v>
      </c>
      <c r="N9" s="103" t="str">
        <f t="shared" si="3"/>
        <v>1 tubes and 6 shuttles</v>
      </c>
      <c r="O9" s="36">
        <f t="shared" si="4"/>
        <v>242</v>
      </c>
      <c r="P9" s="103" t="str">
        <f t="shared" si="5"/>
        <v>20 tubes and 2 shuttles</v>
      </c>
    </row>
    <row r="10" spans="1:16" ht="15.75" customHeight="1" x14ac:dyDescent="0.25">
      <c r="A10" s="32">
        <f>'Profit &amp; Loss'!A10</f>
        <v>45969</v>
      </c>
      <c r="B10" s="35" t="str">
        <f>'Profit &amp; Loss'!B10</f>
        <v>Sat</v>
      </c>
      <c r="C10" s="36"/>
      <c r="D10" s="33">
        <v>9</v>
      </c>
      <c r="E10" s="33"/>
      <c r="F10" s="101"/>
      <c r="G10" s="102">
        <f t="shared" si="6"/>
        <v>80</v>
      </c>
      <c r="H10" s="103" t="str">
        <f t="shared" si="0"/>
        <v>6 tubes and 8 shuttles</v>
      </c>
      <c r="I10" s="36">
        <f t="shared" si="7"/>
        <v>123</v>
      </c>
      <c r="J10" s="104" t="str">
        <f t="shared" si="1"/>
        <v>10 tubes and 3 shuttles</v>
      </c>
      <c r="K10" s="36">
        <f t="shared" si="8"/>
        <v>12</v>
      </c>
      <c r="L10" s="103" t="str">
        <f t="shared" si="2"/>
        <v>1 tubes and 0 shuttles</v>
      </c>
      <c r="M10" s="105">
        <f t="shared" si="9"/>
        <v>18</v>
      </c>
      <c r="N10" s="103" t="str">
        <f t="shared" si="3"/>
        <v>1 tubes and 6 shuttles</v>
      </c>
      <c r="O10" s="36">
        <f t="shared" si="4"/>
        <v>233</v>
      </c>
      <c r="P10" s="103" t="str">
        <f t="shared" si="5"/>
        <v>19 tubes and 5 shuttles</v>
      </c>
    </row>
    <row r="11" spans="1:16" ht="15.75" customHeight="1" x14ac:dyDescent="0.25">
      <c r="A11" s="32">
        <f>'Profit &amp; Loss'!A11</f>
        <v>45973</v>
      </c>
      <c r="B11" s="35" t="str">
        <f>'Profit &amp; Loss'!B11</f>
        <v>Wed</v>
      </c>
      <c r="C11" s="36"/>
      <c r="D11" s="33">
        <v>3</v>
      </c>
      <c r="E11" s="33">
        <v>2</v>
      </c>
      <c r="F11" s="101"/>
      <c r="G11" s="102">
        <f t="shared" si="6"/>
        <v>80</v>
      </c>
      <c r="H11" s="103" t="str">
        <f t="shared" si="0"/>
        <v>6 tubes and 8 shuttles</v>
      </c>
      <c r="I11" s="36">
        <f t="shared" si="7"/>
        <v>120</v>
      </c>
      <c r="J11" s="104" t="str">
        <f t="shared" si="1"/>
        <v>10 tubes and 0 shuttles</v>
      </c>
      <c r="K11" s="36">
        <f t="shared" si="8"/>
        <v>10</v>
      </c>
      <c r="L11" s="103" t="str">
        <f t="shared" si="2"/>
        <v>0 tubes and 10 shuttles</v>
      </c>
      <c r="M11" s="105">
        <f t="shared" si="9"/>
        <v>18</v>
      </c>
      <c r="N11" s="103" t="str">
        <f t="shared" si="3"/>
        <v>1 tubes and 6 shuttles</v>
      </c>
      <c r="O11" s="36">
        <f t="shared" si="4"/>
        <v>228</v>
      </c>
      <c r="P11" s="103" t="str">
        <f t="shared" si="5"/>
        <v>19 tubes and 0 shuttles</v>
      </c>
    </row>
    <row r="12" spans="1:16" ht="15.75" customHeight="1" x14ac:dyDescent="0.25">
      <c r="A12" s="32">
        <f>'Profit &amp; Loss'!A12</f>
        <v>45977</v>
      </c>
      <c r="B12" s="35" t="str">
        <f>'Profit &amp; Loss'!B12</f>
        <v>Sun</v>
      </c>
      <c r="C12" s="36"/>
      <c r="D12" s="33"/>
      <c r="E12" s="33"/>
      <c r="F12" s="101">
        <v>18</v>
      </c>
      <c r="G12" s="102">
        <f t="shared" si="6"/>
        <v>80</v>
      </c>
      <c r="H12" s="103" t="str">
        <f t="shared" si="0"/>
        <v>6 tubes and 8 shuttles</v>
      </c>
      <c r="I12" s="36">
        <f t="shared" si="7"/>
        <v>120</v>
      </c>
      <c r="J12" s="104" t="str">
        <f t="shared" si="1"/>
        <v>10 tubes and 0 shuttles</v>
      </c>
      <c r="K12" s="36">
        <f t="shared" si="8"/>
        <v>10</v>
      </c>
      <c r="L12" s="103" t="str">
        <f t="shared" si="2"/>
        <v>0 tubes and 10 shuttles</v>
      </c>
      <c r="M12" s="105">
        <f t="shared" si="9"/>
        <v>0</v>
      </c>
      <c r="N12" s="103" t="str">
        <f t="shared" si="3"/>
        <v>0 tubes and 0 shuttles</v>
      </c>
      <c r="O12" s="36">
        <f t="shared" si="4"/>
        <v>210</v>
      </c>
      <c r="P12" s="103" t="str">
        <f t="shared" si="5"/>
        <v>17 tubes and 6 shuttles</v>
      </c>
    </row>
    <row r="13" spans="1:16" ht="15.75" customHeight="1" x14ac:dyDescent="0.25">
      <c r="A13" s="32">
        <f>'Profit &amp; Loss'!A13</f>
        <v>45978</v>
      </c>
      <c r="B13" s="35" t="str">
        <f>'Profit &amp; Loss'!B13</f>
        <v>Mon</v>
      </c>
      <c r="C13" s="36">
        <v>5</v>
      </c>
      <c r="D13" s="33"/>
      <c r="E13" s="33"/>
      <c r="F13" s="101"/>
      <c r="G13" s="102">
        <f t="shared" si="6"/>
        <v>75</v>
      </c>
      <c r="H13" s="103" t="str">
        <f t="shared" si="0"/>
        <v>6 tubes and 3 shuttles</v>
      </c>
      <c r="I13" s="36">
        <f t="shared" si="7"/>
        <v>120</v>
      </c>
      <c r="J13" s="104" t="str">
        <f t="shared" si="1"/>
        <v>10 tubes and 0 shuttles</v>
      </c>
      <c r="K13" s="36">
        <f t="shared" si="8"/>
        <v>10</v>
      </c>
      <c r="L13" s="103" t="str">
        <f t="shared" si="2"/>
        <v>0 tubes and 10 shuttles</v>
      </c>
      <c r="M13" s="105">
        <f t="shared" si="9"/>
        <v>0</v>
      </c>
      <c r="N13" s="103" t="str">
        <f t="shared" si="3"/>
        <v>0 tubes and 0 shuttles</v>
      </c>
      <c r="O13" s="36">
        <f t="shared" si="4"/>
        <v>205</v>
      </c>
      <c r="P13" s="103" t="str">
        <f t="shared" si="5"/>
        <v>17 tubes and 1 shuttles</v>
      </c>
    </row>
    <row r="14" spans="1:16" ht="15.75" customHeight="1" x14ac:dyDescent="0.25">
      <c r="A14" s="32">
        <f>'Profit &amp; Loss'!A14</f>
        <v>45979</v>
      </c>
      <c r="B14" s="35" t="str">
        <f>'Profit &amp; Loss'!B14</f>
        <v>Tues</v>
      </c>
      <c r="C14" s="36"/>
      <c r="D14" s="33"/>
      <c r="E14" s="33">
        <v>10</v>
      </c>
      <c r="F14" s="101"/>
      <c r="G14" s="102">
        <f t="shared" si="6"/>
        <v>75</v>
      </c>
      <c r="H14" s="103" t="str">
        <f t="shared" si="0"/>
        <v>6 tubes and 3 shuttles</v>
      </c>
      <c r="I14" s="36">
        <f t="shared" si="7"/>
        <v>120</v>
      </c>
      <c r="J14" s="104" t="str">
        <f t="shared" si="1"/>
        <v>10 tubes and 0 shuttles</v>
      </c>
      <c r="K14" s="36">
        <f t="shared" si="8"/>
        <v>0</v>
      </c>
      <c r="L14" s="103" t="str">
        <f t="shared" si="2"/>
        <v>0 tubes and 0 shuttles</v>
      </c>
      <c r="M14" s="105">
        <f t="shared" si="9"/>
        <v>0</v>
      </c>
      <c r="N14" s="103" t="str">
        <f t="shared" si="3"/>
        <v>0 tubes and 0 shuttles</v>
      </c>
      <c r="O14" s="36">
        <f t="shared" si="4"/>
        <v>195</v>
      </c>
      <c r="P14" s="103" t="str">
        <f t="shared" si="5"/>
        <v>16 tubes and 3 shuttles</v>
      </c>
    </row>
    <row r="15" spans="1:16" ht="15.75" customHeight="1" x14ac:dyDescent="0.25">
      <c r="A15" s="32">
        <f>'Profit &amp; Loss'!A15</f>
        <v>45981</v>
      </c>
      <c r="B15" s="35" t="str">
        <f>'Profit &amp; Loss'!B15</f>
        <v>Thurs</v>
      </c>
      <c r="C15" s="36"/>
      <c r="D15" s="33">
        <v>4</v>
      </c>
      <c r="E15" s="33"/>
      <c r="F15" s="101"/>
      <c r="G15" s="102">
        <f t="shared" si="6"/>
        <v>75</v>
      </c>
      <c r="H15" s="103" t="str">
        <f t="shared" si="0"/>
        <v>6 tubes and 3 shuttles</v>
      </c>
      <c r="I15" s="36">
        <f t="shared" si="7"/>
        <v>116</v>
      </c>
      <c r="J15" s="104" t="str">
        <f t="shared" si="1"/>
        <v>9 tubes and 8 shuttles</v>
      </c>
      <c r="K15" s="36">
        <f t="shared" si="8"/>
        <v>0</v>
      </c>
      <c r="L15" s="103" t="str">
        <f t="shared" si="2"/>
        <v>0 tubes and 0 shuttles</v>
      </c>
      <c r="M15" s="105">
        <f t="shared" si="9"/>
        <v>0</v>
      </c>
      <c r="N15" s="103" t="str">
        <f t="shared" si="3"/>
        <v>0 tubes and 0 shuttles</v>
      </c>
      <c r="O15" s="36">
        <f t="shared" si="4"/>
        <v>191</v>
      </c>
      <c r="P15" s="103" t="str">
        <f t="shared" si="5"/>
        <v>15 tubes and 11 shuttles</v>
      </c>
    </row>
    <row r="16" spans="1:16" ht="15.75" customHeight="1" x14ac:dyDescent="0.25">
      <c r="A16" s="32">
        <f>'Profit &amp; Loss'!A16</f>
        <v>45984</v>
      </c>
      <c r="B16" s="35" t="str">
        <f>'Profit &amp; Loss'!B16</f>
        <v>Sun</v>
      </c>
      <c r="C16" s="36">
        <v>3</v>
      </c>
      <c r="D16" s="33">
        <v>8</v>
      </c>
      <c r="E16" s="33"/>
      <c r="F16" s="101"/>
      <c r="G16" s="102">
        <f t="shared" si="6"/>
        <v>72</v>
      </c>
      <c r="H16" s="103" t="str">
        <f t="shared" si="0"/>
        <v>6 tubes and 0 shuttles</v>
      </c>
      <c r="I16" s="36">
        <f t="shared" si="7"/>
        <v>108</v>
      </c>
      <c r="J16" s="104" t="str">
        <f t="shared" si="1"/>
        <v>9 tubes and 0 shuttles</v>
      </c>
      <c r="K16" s="36">
        <f t="shared" si="8"/>
        <v>0</v>
      </c>
      <c r="L16" s="103" t="str">
        <f t="shared" si="2"/>
        <v>0 tubes and 0 shuttles</v>
      </c>
      <c r="M16" s="105">
        <f t="shared" si="9"/>
        <v>0</v>
      </c>
      <c r="N16" s="103" t="str">
        <f t="shared" si="3"/>
        <v>0 tubes and 0 shuttles</v>
      </c>
      <c r="O16" s="36">
        <f t="shared" si="4"/>
        <v>180</v>
      </c>
      <c r="P16" s="103" t="str">
        <f t="shared" si="5"/>
        <v>15 tubes and 0 shuttles</v>
      </c>
    </row>
    <row r="17" spans="1:16" ht="15.75" customHeight="1" x14ac:dyDescent="0.25">
      <c r="A17" s="32">
        <f>'Profit &amp; Loss'!A17</f>
        <v>45987</v>
      </c>
      <c r="B17" s="35" t="str">
        <f>'Profit &amp; Loss'!B17</f>
        <v>Wed</v>
      </c>
      <c r="C17" s="36"/>
      <c r="D17" s="33">
        <v>12</v>
      </c>
      <c r="E17" s="33"/>
      <c r="F17" s="101"/>
      <c r="G17" s="102">
        <f t="shared" si="6"/>
        <v>72</v>
      </c>
      <c r="H17" s="103" t="str">
        <f t="shared" si="0"/>
        <v>6 tubes and 0 shuttles</v>
      </c>
      <c r="I17" s="36">
        <f t="shared" si="7"/>
        <v>96</v>
      </c>
      <c r="J17" s="104" t="str">
        <f t="shared" si="1"/>
        <v>8 tubes and 0 shuttles</v>
      </c>
      <c r="K17" s="36">
        <f t="shared" si="8"/>
        <v>0</v>
      </c>
      <c r="L17" s="103" t="str">
        <f t="shared" si="2"/>
        <v>0 tubes and 0 shuttles</v>
      </c>
      <c r="M17" s="105">
        <f t="shared" si="9"/>
        <v>0</v>
      </c>
      <c r="N17" s="103" t="str">
        <f t="shared" si="3"/>
        <v>0 tubes and 0 shuttles</v>
      </c>
      <c r="O17" s="36">
        <f t="shared" si="4"/>
        <v>168</v>
      </c>
      <c r="P17" s="103" t="str">
        <f t="shared" si="5"/>
        <v>14 tubes and 0 shuttles</v>
      </c>
    </row>
    <row r="18" spans="1:16" ht="15.75" customHeight="1" x14ac:dyDescent="0.25">
      <c r="A18" s="32">
        <f>'Profit &amp; Loss'!A18</f>
        <v>45988</v>
      </c>
      <c r="B18" s="35" t="str">
        <f>'Profit &amp; Loss'!B18</f>
        <v>Thurs</v>
      </c>
      <c r="C18" s="36">
        <v>3</v>
      </c>
      <c r="D18" s="33"/>
      <c r="E18" s="33"/>
      <c r="F18" s="101"/>
      <c r="G18" s="102">
        <f t="shared" si="6"/>
        <v>69</v>
      </c>
      <c r="H18" s="103" t="str">
        <f t="shared" si="0"/>
        <v>5 tubes and 9 shuttles</v>
      </c>
      <c r="I18" s="36">
        <f t="shared" si="7"/>
        <v>96</v>
      </c>
      <c r="J18" s="104" t="str">
        <f t="shared" si="1"/>
        <v>8 tubes and 0 shuttles</v>
      </c>
      <c r="K18" s="36">
        <f t="shared" si="8"/>
        <v>0</v>
      </c>
      <c r="L18" s="103" t="str">
        <f t="shared" si="2"/>
        <v>0 tubes and 0 shuttles</v>
      </c>
      <c r="M18" s="105">
        <f t="shared" si="9"/>
        <v>0</v>
      </c>
      <c r="N18" s="103" t="str">
        <f t="shared" si="3"/>
        <v>0 tubes and 0 shuttles</v>
      </c>
      <c r="O18" s="36">
        <f t="shared" si="4"/>
        <v>165</v>
      </c>
      <c r="P18" s="103" t="str">
        <f t="shared" si="5"/>
        <v>13 tubes and 9 shuttles</v>
      </c>
    </row>
    <row r="19" spans="1:16" ht="15.75" customHeight="1" x14ac:dyDescent="0.25">
      <c r="A19" s="32">
        <f>'Profit &amp; Loss'!A19</f>
        <v>45991</v>
      </c>
      <c r="B19" s="35" t="str">
        <f>'Profit &amp; Loss'!B19</f>
        <v>Sun</v>
      </c>
      <c r="C19" s="36">
        <v>6</v>
      </c>
      <c r="D19" s="33">
        <v>4</v>
      </c>
      <c r="E19" s="33"/>
      <c r="F19" s="101"/>
      <c r="G19" s="102">
        <f t="shared" si="6"/>
        <v>63</v>
      </c>
      <c r="H19" s="103" t="str">
        <f t="shared" si="0"/>
        <v>5 tubes and 3 shuttles</v>
      </c>
      <c r="I19" s="36">
        <f t="shared" si="7"/>
        <v>92</v>
      </c>
      <c r="J19" s="104" t="str">
        <f t="shared" si="1"/>
        <v>7 tubes and 8 shuttles</v>
      </c>
      <c r="K19" s="36">
        <f t="shared" si="8"/>
        <v>0</v>
      </c>
      <c r="L19" s="103" t="str">
        <f t="shared" si="2"/>
        <v>0 tubes and 0 shuttles</v>
      </c>
      <c r="M19" s="105">
        <f t="shared" si="9"/>
        <v>0</v>
      </c>
      <c r="N19" s="103" t="str">
        <f t="shared" si="3"/>
        <v>0 tubes and 0 shuttles</v>
      </c>
      <c r="O19" s="36">
        <f t="shared" si="4"/>
        <v>155</v>
      </c>
      <c r="P19" s="103" t="str">
        <f t="shared" si="5"/>
        <v>12 tubes and 11 shuttles</v>
      </c>
    </row>
    <row r="20" spans="1:16" ht="15.75" customHeight="1" x14ac:dyDescent="0.25">
      <c r="A20" s="32">
        <f>'Profit &amp; Loss'!A20</f>
        <v>45998</v>
      </c>
      <c r="B20" s="35" t="str">
        <f>'Profit &amp; Loss'!B20</f>
        <v>Sun</v>
      </c>
      <c r="C20" s="36">
        <v>19</v>
      </c>
      <c r="D20" s="33"/>
      <c r="E20" s="33"/>
      <c r="F20" s="101"/>
      <c r="G20" s="102">
        <f t="shared" si="6"/>
        <v>44</v>
      </c>
      <c r="H20" s="103" t="str">
        <f t="shared" si="0"/>
        <v>3 tubes and 8 shuttles</v>
      </c>
      <c r="I20" s="36">
        <f t="shared" si="7"/>
        <v>92</v>
      </c>
      <c r="J20" s="104" t="str">
        <f t="shared" si="1"/>
        <v>7 tubes and 8 shuttles</v>
      </c>
      <c r="K20" s="36">
        <f t="shared" si="8"/>
        <v>0</v>
      </c>
      <c r="L20" s="103" t="str">
        <f t="shared" si="2"/>
        <v>0 tubes and 0 shuttles</v>
      </c>
      <c r="M20" s="105">
        <f t="shared" si="9"/>
        <v>0</v>
      </c>
      <c r="N20" s="103" t="str">
        <f t="shared" si="3"/>
        <v>0 tubes and 0 shuttles</v>
      </c>
      <c r="O20" s="36">
        <f t="shared" si="4"/>
        <v>136</v>
      </c>
      <c r="P20" s="103" t="str">
        <f t="shared" si="5"/>
        <v>11 tubes and 4 shuttles</v>
      </c>
    </row>
    <row r="21" spans="1:16" ht="15.75" customHeight="1" x14ac:dyDescent="0.25">
      <c r="A21" s="32">
        <f>'Profit &amp; Loss'!A21</f>
        <v>45999</v>
      </c>
      <c r="B21" s="35" t="str">
        <f>'Profit &amp; Loss'!B21</f>
        <v>Mon</v>
      </c>
      <c r="C21" s="36"/>
      <c r="D21" s="33">
        <v>5</v>
      </c>
      <c r="E21" s="33"/>
      <c r="F21" s="101"/>
      <c r="G21" s="102">
        <f t="shared" si="6"/>
        <v>44</v>
      </c>
      <c r="H21" s="103" t="str">
        <f t="shared" si="0"/>
        <v>3 tubes and 8 shuttles</v>
      </c>
      <c r="I21" s="36">
        <f t="shared" si="7"/>
        <v>87</v>
      </c>
      <c r="J21" s="104" t="str">
        <f t="shared" si="1"/>
        <v>7 tubes and 3 shuttles</v>
      </c>
      <c r="K21" s="36">
        <f t="shared" si="8"/>
        <v>0</v>
      </c>
      <c r="L21" s="103" t="str">
        <f t="shared" si="2"/>
        <v>0 tubes and 0 shuttles</v>
      </c>
      <c r="M21" s="105">
        <f t="shared" si="9"/>
        <v>0</v>
      </c>
      <c r="N21" s="103" t="str">
        <f t="shared" si="3"/>
        <v>0 tubes and 0 shuttles</v>
      </c>
      <c r="O21" s="36">
        <f t="shared" si="4"/>
        <v>131</v>
      </c>
      <c r="P21" s="103" t="str">
        <f t="shared" si="5"/>
        <v>10 tubes and 11 shuttles</v>
      </c>
    </row>
    <row r="22" spans="1:16" ht="15.75" customHeight="1" x14ac:dyDescent="0.25">
      <c r="A22" s="32">
        <f>'Profit &amp; Loss'!A22</f>
        <v>46001</v>
      </c>
      <c r="B22" s="35" t="str">
        <f>'Profit &amp; Loss'!B22</f>
        <v>Wed</v>
      </c>
      <c r="C22" s="36">
        <v>5</v>
      </c>
      <c r="D22" s="33"/>
      <c r="E22" s="33"/>
      <c r="F22" s="101"/>
      <c r="G22" s="102">
        <f t="shared" si="6"/>
        <v>39</v>
      </c>
      <c r="H22" s="103" t="str">
        <f t="shared" si="0"/>
        <v>3 tubes and 3 shuttles</v>
      </c>
      <c r="I22" s="36">
        <f t="shared" si="7"/>
        <v>87</v>
      </c>
      <c r="J22" s="104" t="str">
        <f t="shared" si="1"/>
        <v>7 tubes and 3 shuttles</v>
      </c>
      <c r="K22" s="36">
        <f t="shared" si="8"/>
        <v>0</v>
      </c>
      <c r="L22" s="103" t="str">
        <f t="shared" si="2"/>
        <v>0 tubes and 0 shuttles</v>
      </c>
      <c r="M22" s="105">
        <f t="shared" si="9"/>
        <v>0</v>
      </c>
      <c r="N22" s="103" t="str">
        <f t="shared" si="3"/>
        <v>0 tubes and 0 shuttles</v>
      </c>
      <c r="O22" s="36">
        <f t="shared" si="4"/>
        <v>126</v>
      </c>
      <c r="P22" s="103" t="str">
        <f t="shared" si="5"/>
        <v>10 tubes and 6 shuttles</v>
      </c>
    </row>
    <row r="23" spans="1:16" ht="15.75" customHeight="1" x14ac:dyDescent="0.25">
      <c r="A23" s="32">
        <f>'Profit &amp; Loss'!A23</f>
        <v>46004</v>
      </c>
      <c r="B23" s="35" t="str">
        <f>'Profit &amp; Loss'!B23</f>
        <v>Sat</v>
      </c>
      <c r="C23" s="36">
        <v>9</v>
      </c>
      <c r="D23" s="33">
        <v>3</v>
      </c>
      <c r="E23" s="33"/>
      <c r="F23" s="101"/>
      <c r="G23" s="102">
        <f t="shared" si="6"/>
        <v>30</v>
      </c>
      <c r="H23" s="103" t="str">
        <f t="shared" si="0"/>
        <v>2 tubes and 6 shuttles</v>
      </c>
      <c r="I23" s="36">
        <f t="shared" si="7"/>
        <v>84</v>
      </c>
      <c r="J23" s="104" t="str">
        <f t="shared" si="1"/>
        <v>7 tubes and 0 shuttles</v>
      </c>
      <c r="K23" s="36">
        <f t="shared" si="8"/>
        <v>0</v>
      </c>
      <c r="L23" s="103" t="str">
        <f t="shared" si="2"/>
        <v>0 tubes and 0 shuttles</v>
      </c>
      <c r="M23" s="105">
        <f t="shared" si="9"/>
        <v>0</v>
      </c>
      <c r="N23" s="103" t="str">
        <f t="shared" si="3"/>
        <v>0 tubes and 0 shuttles</v>
      </c>
      <c r="O23" s="36">
        <f t="shared" si="4"/>
        <v>114</v>
      </c>
      <c r="P23" s="103" t="str">
        <f t="shared" si="5"/>
        <v>9 tubes and 6 shuttles</v>
      </c>
    </row>
    <row r="24" spans="1:16" ht="15.75" customHeight="1" x14ac:dyDescent="0.25">
      <c r="A24" s="32">
        <f>'Profit &amp; Loss'!A24</f>
        <v>46006</v>
      </c>
      <c r="B24" s="35" t="str">
        <f>'Profit &amp; Loss'!B24</f>
        <v>Mon</v>
      </c>
      <c r="C24" s="36">
        <v>5</v>
      </c>
      <c r="D24" s="33"/>
      <c r="E24" s="33"/>
      <c r="F24" s="101"/>
      <c r="G24" s="102">
        <f t="shared" si="6"/>
        <v>25</v>
      </c>
      <c r="H24" s="103" t="str">
        <f t="shared" si="0"/>
        <v>2 tubes and 1 shuttles</v>
      </c>
      <c r="I24" s="36">
        <f t="shared" si="7"/>
        <v>84</v>
      </c>
      <c r="J24" s="104" t="str">
        <f t="shared" si="1"/>
        <v>7 tubes and 0 shuttles</v>
      </c>
      <c r="K24" s="36">
        <f t="shared" si="8"/>
        <v>0</v>
      </c>
      <c r="L24" s="103" t="str">
        <f t="shared" si="2"/>
        <v>0 tubes and 0 shuttles</v>
      </c>
      <c r="M24" s="105">
        <f t="shared" si="9"/>
        <v>0</v>
      </c>
      <c r="N24" s="103" t="str">
        <f t="shared" si="3"/>
        <v>0 tubes and 0 shuttles</v>
      </c>
      <c r="O24" s="36">
        <f t="shared" si="4"/>
        <v>109</v>
      </c>
      <c r="P24" s="103" t="str">
        <f t="shared" si="5"/>
        <v>9 tubes and 1 shuttles</v>
      </c>
    </row>
    <row r="25" spans="1:16" ht="15.75" customHeight="1" x14ac:dyDescent="0.25">
      <c r="A25" s="32">
        <f>'Profit &amp; Loss'!A25</f>
        <v>46011</v>
      </c>
      <c r="B25" s="35" t="str">
        <f>'Profit &amp; Loss'!B25</f>
        <v>Sat</v>
      </c>
      <c r="C25" s="36"/>
      <c r="D25" s="33">
        <v>10</v>
      </c>
      <c r="E25" s="33"/>
      <c r="F25" s="101"/>
      <c r="G25" s="102">
        <f t="shared" si="6"/>
        <v>25</v>
      </c>
      <c r="H25" s="103" t="str">
        <f t="shared" si="0"/>
        <v>2 tubes and 1 shuttles</v>
      </c>
      <c r="I25" s="36">
        <f t="shared" si="7"/>
        <v>74</v>
      </c>
      <c r="J25" s="104" t="str">
        <f t="shared" si="1"/>
        <v>6 tubes and 2 shuttles</v>
      </c>
      <c r="K25" s="36">
        <f t="shared" si="8"/>
        <v>0</v>
      </c>
      <c r="L25" s="103" t="str">
        <f t="shared" si="2"/>
        <v>0 tubes and 0 shuttles</v>
      </c>
      <c r="M25" s="105">
        <f t="shared" si="9"/>
        <v>0</v>
      </c>
      <c r="N25" s="103" t="str">
        <f t="shared" si="3"/>
        <v>0 tubes and 0 shuttles</v>
      </c>
      <c r="O25" s="36">
        <f t="shared" si="4"/>
        <v>99</v>
      </c>
      <c r="P25" s="103" t="str">
        <f t="shared" si="5"/>
        <v>8 tubes and 3 shuttles</v>
      </c>
    </row>
    <row r="26" spans="1:16" ht="15.75" customHeight="1" x14ac:dyDescent="0.25">
      <c r="A26" s="32">
        <f>'Profit &amp; Loss'!A26</f>
        <v>46017</v>
      </c>
      <c r="B26" s="35" t="str">
        <f>'Profit &amp; Loss'!B26</f>
        <v>Fri</v>
      </c>
      <c r="C26" s="36">
        <v>6</v>
      </c>
      <c r="D26" s="33">
        <v>5</v>
      </c>
      <c r="E26" s="33"/>
      <c r="F26" s="101"/>
      <c r="G26" s="102">
        <f t="shared" si="6"/>
        <v>19</v>
      </c>
      <c r="H26" s="103" t="str">
        <f t="shared" si="0"/>
        <v>1 tubes and 7 shuttles</v>
      </c>
      <c r="I26" s="36">
        <f t="shared" si="7"/>
        <v>69</v>
      </c>
      <c r="J26" s="104" t="str">
        <f t="shared" si="1"/>
        <v>5 tubes and 9 shuttles</v>
      </c>
      <c r="K26" s="36">
        <f t="shared" si="8"/>
        <v>0</v>
      </c>
      <c r="L26" s="103" t="str">
        <f t="shared" si="2"/>
        <v>0 tubes and 0 shuttles</v>
      </c>
      <c r="M26" s="105">
        <f t="shared" si="9"/>
        <v>0</v>
      </c>
      <c r="N26" s="103" t="str">
        <f t="shared" si="3"/>
        <v>0 tubes and 0 shuttles</v>
      </c>
      <c r="O26" s="36">
        <f t="shared" si="4"/>
        <v>88</v>
      </c>
      <c r="P26" s="103" t="str">
        <f t="shared" si="5"/>
        <v>7 tubes and 4 shuttles</v>
      </c>
    </row>
    <row r="27" spans="1:16" ht="15.75" customHeight="1" x14ac:dyDescent="0.25">
      <c r="A27" s="32">
        <f>'Profit &amp; Loss'!A27</f>
        <v>46019</v>
      </c>
      <c r="B27" s="35" t="str">
        <f>'Profit &amp; Loss'!B27</f>
        <v>Sun</v>
      </c>
      <c r="C27" s="36"/>
      <c r="D27" s="33">
        <v>6</v>
      </c>
      <c r="E27" s="33"/>
      <c r="F27" s="101"/>
      <c r="G27" s="102">
        <f t="shared" si="6"/>
        <v>19</v>
      </c>
      <c r="H27" s="103" t="str">
        <f t="shared" si="0"/>
        <v>1 tubes and 7 shuttles</v>
      </c>
      <c r="I27" s="36">
        <f t="shared" si="7"/>
        <v>63</v>
      </c>
      <c r="J27" s="104" t="str">
        <f t="shared" si="1"/>
        <v>5 tubes and 3 shuttles</v>
      </c>
      <c r="K27" s="36">
        <f t="shared" si="8"/>
        <v>0</v>
      </c>
      <c r="L27" s="103" t="str">
        <f t="shared" si="2"/>
        <v>0 tubes and 0 shuttles</v>
      </c>
      <c r="M27" s="105">
        <f t="shared" si="9"/>
        <v>0</v>
      </c>
      <c r="N27" s="103" t="str">
        <f t="shared" si="3"/>
        <v>0 tubes and 0 shuttles</v>
      </c>
      <c r="O27" s="36">
        <f t="shared" si="4"/>
        <v>82</v>
      </c>
      <c r="P27" s="103" t="str">
        <f t="shared" si="5"/>
        <v>6 tubes and 10 shuttles</v>
      </c>
    </row>
    <row r="28" spans="1:16" ht="15.75" customHeight="1" x14ac:dyDescent="0.25">
      <c r="A28" s="32">
        <f>'Profit &amp; Loss'!A28</f>
        <v>46020</v>
      </c>
      <c r="B28" s="35" t="str">
        <f>'Profit &amp; Loss'!B28</f>
        <v>Mon</v>
      </c>
      <c r="C28" s="36">
        <v>2</v>
      </c>
      <c r="D28" s="33">
        <v>3</v>
      </c>
      <c r="E28" s="33"/>
      <c r="F28" s="101"/>
      <c r="G28" s="102">
        <f t="shared" si="6"/>
        <v>17</v>
      </c>
      <c r="H28" s="103" t="str">
        <f t="shared" si="0"/>
        <v>1 tubes and 5 shuttles</v>
      </c>
      <c r="I28" s="36">
        <f t="shared" si="7"/>
        <v>60</v>
      </c>
      <c r="J28" s="104" t="str">
        <f t="shared" si="1"/>
        <v>5 tubes and 0 shuttles</v>
      </c>
      <c r="K28" s="36">
        <f t="shared" si="8"/>
        <v>0</v>
      </c>
      <c r="L28" s="103" t="str">
        <f t="shared" si="2"/>
        <v>0 tubes and 0 shuttles</v>
      </c>
      <c r="M28" s="105">
        <f t="shared" si="9"/>
        <v>0</v>
      </c>
      <c r="N28" s="103" t="str">
        <f t="shared" si="3"/>
        <v>0 tubes and 0 shuttles</v>
      </c>
      <c r="O28" s="36">
        <f t="shared" si="4"/>
        <v>77</v>
      </c>
      <c r="P28" s="103" t="str">
        <f t="shared" si="5"/>
        <v>6 tubes and 5 shuttles</v>
      </c>
    </row>
    <row r="29" spans="1:16" ht="15.75" customHeight="1" x14ac:dyDescent="0.25">
      <c r="A29" s="32">
        <f>'Profit &amp; Loss'!A29</f>
        <v>46024</v>
      </c>
      <c r="B29" s="35" t="str">
        <f>'Profit &amp; Loss'!B29</f>
        <v>Fri</v>
      </c>
      <c r="C29" s="36">
        <v>3</v>
      </c>
      <c r="D29" s="33">
        <v>12</v>
      </c>
      <c r="E29" s="33"/>
      <c r="F29" s="101"/>
      <c r="G29" s="102">
        <f t="shared" si="6"/>
        <v>14</v>
      </c>
      <c r="H29" s="103" t="str">
        <f t="shared" si="0"/>
        <v>1 tubes and 2 shuttles</v>
      </c>
      <c r="I29" s="36">
        <f t="shared" si="7"/>
        <v>48</v>
      </c>
      <c r="J29" s="104" t="str">
        <f t="shared" si="1"/>
        <v>4 tubes and 0 shuttles</v>
      </c>
      <c r="K29" s="36">
        <f t="shared" si="8"/>
        <v>0</v>
      </c>
      <c r="L29" s="103" t="str">
        <f t="shared" si="2"/>
        <v>0 tubes and 0 shuttles</v>
      </c>
      <c r="M29" s="105">
        <f t="shared" si="9"/>
        <v>0</v>
      </c>
      <c r="N29" s="103" t="str">
        <f t="shared" si="3"/>
        <v>0 tubes and 0 shuttles</v>
      </c>
      <c r="O29" s="36">
        <f t="shared" si="4"/>
        <v>62</v>
      </c>
      <c r="P29" s="103" t="str">
        <f t="shared" si="5"/>
        <v>5 tubes and 2 shuttles</v>
      </c>
    </row>
    <row r="30" spans="1:16" ht="15.75" customHeight="1" x14ac:dyDescent="0.25">
      <c r="A30" s="32">
        <f>'Profit &amp; Loss'!A30</f>
        <v>46026</v>
      </c>
      <c r="B30" s="35" t="str">
        <f>'Profit &amp; Loss'!B30</f>
        <v>Sun</v>
      </c>
      <c r="C30" s="36"/>
      <c r="D30" s="33"/>
      <c r="E30" s="33"/>
      <c r="F30" s="101"/>
      <c r="G30" s="102">
        <f t="shared" si="6"/>
        <v>14</v>
      </c>
      <c r="H30" s="103" t="str">
        <f t="shared" si="0"/>
        <v>1 tubes and 2 shuttles</v>
      </c>
      <c r="I30" s="36">
        <f t="shared" si="7"/>
        <v>48</v>
      </c>
      <c r="J30" s="104" t="str">
        <f t="shared" si="1"/>
        <v>4 tubes and 0 shuttles</v>
      </c>
      <c r="K30" s="36">
        <f t="shared" si="8"/>
        <v>0</v>
      </c>
      <c r="L30" s="103" t="str">
        <f t="shared" si="2"/>
        <v>0 tubes and 0 shuttles</v>
      </c>
      <c r="M30" s="105">
        <f t="shared" si="9"/>
        <v>0</v>
      </c>
      <c r="N30" s="103" t="str">
        <f t="shared" si="3"/>
        <v>0 tubes and 0 shuttles</v>
      </c>
      <c r="O30" s="36">
        <f t="shared" si="4"/>
        <v>62</v>
      </c>
      <c r="P30" s="103" t="str">
        <f t="shared" si="5"/>
        <v>5 tubes and 2 shuttles</v>
      </c>
    </row>
    <row r="31" spans="1:16" ht="15.75" customHeight="1" x14ac:dyDescent="0.25">
      <c r="A31" s="32">
        <f>'Profit &amp; Loss'!A31</f>
        <v>46033</v>
      </c>
      <c r="B31" s="35" t="str">
        <f>'Profit &amp; Loss'!B31</f>
        <v>Sun</v>
      </c>
      <c r="C31" s="36"/>
      <c r="D31" s="33">
        <v>10</v>
      </c>
      <c r="E31" s="33"/>
      <c r="F31" s="101"/>
      <c r="G31" s="102">
        <f t="shared" si="6"/>
        <v>14</v>
      </c>
      <c r="H31" s="103" t="str">
        <f t="shared" si="0"/>
        <v>1 tubes and 2 shuttles</v>
      </c>
      <c r="I31" s="36">
        <f t="shared" si="7"/>
        <v>38</v>
      </c>
      <c r="J31" s="104" t="str">
        <f t="shared" si="1"/>
        <v>3 tubes and 2 shuttles</v>
      </c>
      <c r="K31" s="36">
        <f t="shared" si="8"/>
        <v>0</v>
      </c>
      <c r="L31" s="103" t="str">
        <f t="shared" si="2"/>
        <v>0 tubes and 0 shuttles</v>
      </c>
      <c r="M31" s="105">
        <f t="shared" si="9"/>
        <v>0</v>
      </c>
      <c r="N31" s="103" t="str">
        <f t="shared" si="3"/>
        <v>0 tubes and 0 shuttles</v>
      </c>
      <c r="O31" s="36">
        <f t="shared" si="4"/>
        <v>52</v>
      </c>
      <c r="P31" s="103" t="str">
        <f t="shared" si="5"/>
        <v>4 tubes and 4 shuttles</v>
      </c>
    </row>
    <row r="32" spans="1:16" ht="15.75" customHeight="1" x14ac:dyDescent="0.25">
      <c r="A32" s="32">
        <f>'Profit &amp; Loss'!A32</f>
        <v>46036</v>
      </c>
      <c r="B32" s="35" t="str">
        <f>'Profit &amp; Loss'!B32</f>
        <v>Wed</v>
      </c>
      <c r="C32" s="36"/>
      <c r="D32" s="33">
        <v>2</v>
      </c>
      <c r="E32" s="33"/>
      <c r="F32" s="101"/>
      <c r="G32" s="102">
        <f t="shared" si="6"/>
        <v>14</v>
      </c>
      <c r="H32" s="103" t="str">
        <f t="shared" si="0"/>
        <v>1 tubes and 2 shuttles</v>
      </c>
      <c r="I32" s="36">
        <f t="shared" si="7"/>
        <v>36</v>
      </c>
      <c r="J32" s="104" t="str">
        <f t="shared" si="1"/>
        <v>3 tubes and 0 shuttles</v>
      </c>
      <c r="K32" s="36">
        <f t="shared" si="8"/>
        <v>0</v>
      </c>
      <c r="L32" s="103" t="str">
        <f t="shared" si="2"/>
        <v>0 tubes and 0 shuttles</v>
      </c>
      <c r="M32" s="105">
        <f t="shared" si="9"/>
        <v>0</v>
      </c>
      <c r="N32" s="103" t="str">
        <f t="shared" si="3"/>
        <v>0 tubes and 0 shuttles</v>
      </c>
      <c r="O32" s="36">
        <f t="shared" si="4"/>
        <v>50</v>
      </c>
      <c r="P32" s="103" t="str">
        <f t="shared" si="5"/>
        <v>4 tubes and 2 shuttles</v>
      </c>
    </row>
    <row r="33" spans="1:28" ht="12.5" x14ac:dyDescent="0.25">
      <c r="A33" s="32">
        <f>'Profit &amp; Loss'!A33</f>
        <v>46038</v>
      </c>
      <c r="B33" s="35" t="str">
        <f>'Profit &amp; Loss'!B33</f>
        <v>Fri</v>
      </c>
      <c r="C33" s="36"/>
      <c r="D33" s="33">
        <v>7</v>
      </c>
      <c r="E33" s="33"/>
      <c r="F33" s="101"/>
      <c r="G33" s="102">
        <f t="shared" si="6"/>
        <v>14</v>
      </c>
      <c r="H33" s="103" t="str">
        <f t="shared" si="0"/>
        <v>1 tubes and 2 shuttles</v>
      </c>
      <c r="I33" s="36">
        <f t="shared" si="7"/>
        <v>29</v>
      </c>
      <c r="J33" s="104" t="str">
        <f t="shared" si="1"/>
        <v>2 tubes and 5 shuttles</v>
      </c>
      <c r="K33" s="36">
        <f t="shared" si="8"/>
        <v>0</v>
      </c>
      <c r="L33" s="103" t="str">
        <f t="shared" si="2"/>
        <v>0 tubes and 0 shuttles</v>
      </c>
      <c r="M33" s="105">
        <f t="shared" si="9"/>
        <v>0</v>
      </c>
      <c r="N33" s="103" t="str">
        <f t="shared" si="3"/>
        <v>0 tubes and 0 shuttles</v>
      </c>
      <c r="O33" s="36">
        <f t="shared" si="4"/>
        <v>43</v>
      </c>
      <c r="P33" s="103" t="str">
        <f t="shared" si="5"/>
        <v>3 tubes and 7 shuttles</v>
      </c>
    </row>
    <row r="34" spans="1:28" ht="12.5" x14ac:dyDescent="0.25">
      <c r="A34" s="32">
        <f>'Profit &amp; Loss'!A34</f>
        <v>46040</v>
      </c>
      <c r="B34" s="35" t="str">
        <f>'Profit &amp; Loss'!B34</f>
        <v>Sun</v>
      </c>
      <c r="C34" s="36">
        <v>8</v>
      </c>
      <c r="D34" s="33">
        <v>5</v>
      </c>
      <c r="E34" s="33"/>
      <c r="F34" s="101"/>
      <c r="G34" s="102">
        <f t="shared" si="6"/>
        <v>6</v>
      </c>
      <c r="H34" s="103" t="str">
        <f t="shared" si="0"/>
        <v>0 tubes and 6 shuttles</v>
      </c>
      <c r="I34" s="36">
        <f t="shared" si="7"/>
        <v>24</v>
      </c>
      <c r="J34" s="104" t="str">
        <f t="shared" si="1"/>
        <v>2 tubes and 0 shuttles</v>
      </c>
      <c r="K34" s="36">
        <f t="shared" si="8"/>
        <v>0</v>
      </c>
      <c r="L34" s="103" t="str">
        <f t="shared" si="2"/>
        <v>0 tubes and 0 shuttles</v>
      </c>
      <c r="M34" s="105">
        <f t="shared" si="9"/>
        <v>0</v>
      </c>
      <c r="N34" s="103" t="str">
        <f t="shared" si="3"/>
        <v>0 tubes and 0 shuttles</v>
      </c>
      <c r="O34" s="36">
        <f t="shared" si="4"/>
        <v>30</v>
      </c>
      <c r="P34" s="103" t="str">
        <f t="shared" si="5"/>
        <v>2 tubes and 6 shuttles</v>
      </c>
    </row>
    <row r="35" spans="1:28" ht="12.5" x14ac:dyDescent="0.25">
      <c r="A35" s="32">
        <f>'Profit &amp; Loss'!A35</f>
        <v>46044</v>
      </c>
      <c r="B35" s="35" t="str">
        <f>'Profit &amp; Loss'!B35</f>
        <v>Thurs</v>
      </c>
      <c r="C35" s="36"/>
      <c r="D35" s="33">
        <v>5</v>
      </c>
      <c r="E35" s="33"/>
      <c r="F35" s="101"/>
      <c r="G35" s="102">
        <f t="shared" si="6"/>
        <v>6</v>
      </c>
      <c r="H35" s="103" t="str">
        <f t="shared" si="0"/>
        <v>0 tubes and 6 shuttles</v>
      </c>
      <c r="I35" s="36">
        <f t="shared" si="7"/>
        <v>19</v>
      </c>
      <c r="J35" s="104" t="str">
        <f t="shared" si="1"/>
        <v>1 tubes and 7 shuttles</v>
      </c>
      <c r="K35" s="36">
        <f t="shared" si="8"/>
        <v>0</v>
      </c>
      <c r="L35" s="103" t="str">
        <f t="shared" si="2"/>
        <v>0 tubes and 0 shuttles</v>
      </c>
      <c r="M35" s="105">
        <f t="shared" si="9"/>
        <v>0</v>
      </c>
      <c r="N35" s="103" t="str">
        <f t="shared" si="3"/>
        <v>0 tubes and 0 shuttles</v>
      </c>
      <c r="O35" s="36">
        <f t="shared" si="4"/>
        <v>25</v>
      </c>
      <c r="P35" s="103" t="str">
        <f t="shared" si="5"/>
        <v>2 tubes and 1 shuttles</v>
      </c>
    </row>
    <row r="36" spans="1:28" ht="12.5" x14ac:dyDescent="0.25">
      <c r="A36" s="32">
        <f>'Profit &amp; Loss'!A36</f>
        <v>46047</v>
      </c>
      <c r="B36" s="35" t="str">
        <f>'Profit &amp; Loss'!B36</f>
        <v>Sun</v>
      </c>
      <c r="C36" s="36">
        <v>4</v>
      </c>
      <c r="D36" s="33"/>
      <c r="E36" s="33"/>
      <c r="F36" s="101"/>
      <c r="G36" s="102">
        <f>IF(C36=" ",G37,G37-C36)</f>
        <v>2</v>
      </c>
      <c r="H36" s="103" t="str">
        <f t="shared" si="0"/>
        <v>0 tubes and 2 shuttles</v>
      </c>
      <c r="I36" s="36">
        <f>IF(D36=" ",I37,I37-D36)</f>
        <v>14</v>
      </c>
      <c r="J36" s="104" t="str">
        <f t="shared" si="1"/>
        <v>1 tubes and 2 shuttles</v>
      </c>
      <c r="K36" s="36">
        <f>IF(E36=" ",K37,K37-E36)</f>
        <v>0</v>
      </c>
      <c r="L36" s="103" t="str">
        <f t="shared" si="2"/>
        <v>0 tubes and 0 shuttles</v>
      </c>
      <c r="M36" s="105">
        <f>IF(F36=" ",M37,M37-F36)</f>
        <v>0</v>
      </c>
      <c r="N36" s="103" t="str">
        <f t="shared" si="3"/>
        <v>0 tubes and 0 shuttles</v>
      </c>
      <c r="O36" s="36">
        <f t="shared" si="4"/>
        <v>16</v>
      </c>
      <c r="P36" s="103" t="str">
        <f t="shared" si="5"/>
        <v>1 tubes and 4 shuttles</v>
      </c>
    </row>
    <row r="37" spans="1:28" ht="12.5" x14ac:dyDescent="0.25">
      <c r="A37" s="32">
        <f>'Profit &amp; Loss'!A37</f>
        <v>46050</v>
      </c>
      <c r="B37" s="35" t="str">
        <f>'Profit &amp; Loss'!B37</f>
        <v>Wed</v>
      </c>
      <c r="C37" s="36"/>
      <c r="D37" s="33">
        <v>5</v>
      </c>
      <c r="E37" s="33"/>
      <c r="F37" s="101"/>
      <c r="G37" s="102">
        <f t="shared" ref="G37:G38" si="10">IF(C37=" ",G35,G35-C37)</f>
        <v>6</v>
      </c>
      <c r="H37" s="103" t="str">
        <f t="shared" si="0"/>
        <v>0 tubes and 6 shuttles</v>
      </c>
      <c r="I37" s="36">
        <f t="shared" ref="I37:I38" si="11">IF(D37=" ",I35,I35-D37)</f>
        <v>14</v>
      </c>
      <c r="J37" s="104" t="str">
        <f t="shared" si="1"/>
        <v>1 tubes and 2 shuttles</v>
      </c>
      <c r="K37" s="36">
        <f t="shared" ref="K37:K38" si="12">IF(E37=" ",K35,K35-E37)</f>
        <v>0</v>
      </c>
      <c r="L37" s="103" t="str">
        <f t="shared" si="2"/>
        <v>0 tubes and 0 shuttles</v>
      </c>
      <c r="M37" s="105">
        <f t="shared" ref="M37:M38" si="13">IF(F37=" ",M35,M35-F37)</f>
        <v>0</v>
      </c>
      <c r="N37" s="103" t="str">
        <f t="shared" si="3"/>
        <v>0 tubes and 0 shuttles</v>
      </c>
      <c r="O37" s="36">
        <f t="shared" si="4"/>
        <v>20</v>
      </c>
      <c r="P37" s="103" t="str">
        <f t="shared" si="5"/>
        <v>1 tubes and 8 shuttles</v>
      </c>
    </row>
    <row r="38" spans="1:28" ht="12.5" x14ac:dyDescent="0.25">
      <c r="A38" s="32">
        <f>'Profit &amp; Loss'!A38</f>
        <v>46054</v>
      </c>
      <c r="B38" s="35" t="str">
        <f>'Profit &amp; Loss'!B38</f>
        <v>Sun</v>
      </c>
      <c r="C38" s="36"/>
      <c r="D38" s="33">
        <v>10</v>
      </c>
      <c r="E38" s="33"/>
      <c r="F38" s="101"/>
      <c r="G38" s="102">
        <f t="shared" si="10"/>
        <v>2</v>
      </c>
      <c r="H38" s="103" t="str">
        <f t="shared" si="0"/>
        <v>0 tubes and 2 shuttles</v>
      </c>
      <c r="I38" s="36">
        <f t="shared" si="11"/>
        <v>4</v>
      </c>
      <c r="J38" s="104" t="str">
        <f t="shared" si="1"/>
        <v>0 tubes and 4 shuttles</v>
      </c>
      <c r="K38" s="36">
        <f t="shared" si="12"/>
        <v>0</v>
      </c>
      <c r="L38" s="103" t="str">
        <f t="shared" si="2"/>
        <v>0 tubes and 0 shuttles</v>
      </c>
      <c r="M38" s="105">
        <f t="shared" si="13"/>
        <v>0</v>
      </c>
      <c r="N38" s="103" t="str">
        <f t="shared" si="3"/>
        <v>0 tubes and 0 shuttles</v>
      </c>
      <c r="O38" s="36">
        <f t="shared" si="4"/>
        <v>6</v>
      </c>
      <c r="P38" s="103" t="str">
        <f t="shared" si="5"/>
        <v>0 tubes and 6 shuttles</v>
      </c>
    </row>
    <row r="39" spans="1:28" ht="12.5" x14ac:dyDescent="0.25">
      <c r="A39" s="32">
        <f>'Profit &amp; Loss'!A39</f>
        <v>46060</v>
      </c>
      <c r="B39" s="35" t="str">
        <f>'Profit &amp; Loss'!B39</f>
        <v>Sat</v>
      </c>
      <c r="C39" s="36"/>
      <c r="D39" s="33">
        <v>4</v>
      </c>
      <c r="E39" s="33"/>
      <c r="F39" s="101"/>
      <c r="G39" s="102">
        <f t="shared" ref="G39:G293" si="14">IF(C39=" ",G38,G38-C39)</f>
        <v>2</v>
      </c>
      <c r="H39" s="103" t="str">
        <f t="shared" si="0"/>
        <v>0 tubes and 2 shuttles</v>
      </c>
      <c r="I39" s="36">
        <f t="shared" ref="I39:I293" si="15">IF(D39=" ",I38,I38-D39)</f>
        <v>0</v>
      </c>
      <c r="J39" s="104" t="str">
        <f t="shared" si="1"/>
        <v>0 tubes and 0 shuttles</v>
      </c>
      <c r="K39" s="36">
        <f t="shared" ref="K39:K293" si="16">IF(E39=" ",K38,K38-E39)</f>
        <v>0</v>
      </c>
      <c r="L39" s="103" t="str">
        <f t="shared" si="2"/>
        <v>0 tubes and 0 shuttles</v>
      </c>
      <c r="M39" s="105">
        <f t="shared" ref="M39:M293" si="17">IF(F39=" ",M38,M38-F39)</f>
        <v>0</v>
      </c>
      <c r="N39" s="103" t="str">
        <f t="shared" si="3"/>
        <v>0 tubes and 0 shuttles</v>
      </c>
      <c r="O39" s="36">
        <f t="shared" si="4"/>
        <v>2</v>
      </c>
      <c r="P39" s="103" t="str">
        <f t="shared" si="5"/>
        <v>0 tubes and 2 shuttles</v>
      </c>
    </row>
    <row r="40" spans="1:28" ht="12.5" x14ac:dyDescent="0.25">
      <c r="A40" s="32">
        <f>'Profit &amp; Loss'!A40</f>
        <v>46061</v>
      </c>
      <c r="B40" s="35" t="str">
        <f>'Profit &amp; Loss'!B40</f>
        <v>Sun</v>
      </c>
      <c r="C40" s="36"/>
      <c r="D40" s="33"/>
      <c r="E40" s="33"/>
      <c r="F40" s="101"/>
      <c r="G40" s="102">
        <f t="shared" si="14"/>
        <v>2</v>
      </c>
      <c r="H40" s="103" t="str">
        <f t="shared" si="0"/>
        <v>0 tubes and 2 shuttles</v>
      </c>
      <c r="I40" s="36">
        <f t="shared" si="15"/>
        <v>0</v>
      </c>
      <c r="J40" s="104" t="str">
        <f t="shared" si="1"/>
        <v>0 tubes and 0 shuttles</v>
      </c>
      <c r="K40" s="36">
        <f t="shared" si="16"/>
        <v>0</v>
      </c>
      <c r="L40" s="103" t="str">
        <f t="shared" si="2"/>
        <v>0 tubes and 0 shuttles</v>
      </c>
      <c r="M40" s="105">
        <f t="shared" si="17"/>
        <v>0</v>
      </c>
      <c r="N40" s="103" t="str">
        <f t="shared" si="3"/>
        <v>0 tubes and 0 shuttles</v>
      </c>
      <c r="O40" s="36">
        <f t="shared" si="4"/>
        <v>2</v>
      </c>
      <c r="P40" s="103" t="str">
        <f t="shared" si="5"/>
        <v>0 tubes and 2 shuttles</v>
      </c>
    </row>
    <row r="41" spans="1:28" ht="12.5" x14ac:dyDescent="0.25">
      <c r="A41" s="32">
        <f>'Profit &amp; Loss'!A41</f>
        <v>46065</v>
      </c>
      <c r="B41" s="35" t="str">
        <f>'Profit &amp; Loss'!B41</f>
        <v>Thurs</v>
      </c>
      <c r="C41" s="36"/>
      <c r="D41" s="33"/>
      <c r="E41" s="33"/>
      <c r="F41" s="101"/>
      <c r="G41" s="102">
        <f t="shared" si="14"/>
        <v>2</v>
      </c>
      <c r="H41" s="103" t="str">
        <f t="shared" si="0"/>
        <v>0 tubes and 2 shuttles</v>
      </c>
      <c r="I41" s="36">
        <f t="shared" si="15"/>
        <v>0</v>
      </c>
      <c r="J41" s="104" t="str">
        <f t="shared" si="1"/>
        <v>0 tubes and 0 shuttles</v>
      </c>
      <c r="K41" s="36">
        <f t="shared" si="16"/>
        <v>0</v>
      </c>
      <c r="L41" s="103" t="str">
        <f t="shared" si="2"/>
        <v>0 tubes and 0 shuttles</v>
      </c>
      <c r="M41" s="105">
        <f t="shared" si="17"/>
        <v>0</v>
      </c>
      <c r="N41" s="103" t="str">
        <f t="shared" si="3"/>
        <v>0 tubes and 0 shuttles</v>
      </c>
      <c r="O41" s="36">
        <f t="shared" si="4"/>
        <v>2</v>
      </c>
      <c r="P41" s="103" t="str">
        <f t="shared" si="5"/>
        <v>0 tubes and 2 shuttles</v>
      </c>
    </row>
    <row r="42" spans="1:28" ht="12.5" x14ac:dyDescent="0.25">
      <c r="A42" s="106">
        <f>'Profit &amp; Loss'!A42</f>
        <v>46066</v>
      </c>
      <c r="B42" s="107" t="str">
        <f>'Profit &amp; Loss'!B42</f>
        <v>Fri</v>
      </c>
      <c r="C42" s="108">
        <v>2</v>
      </c>
      <c r="D42" s="109"/>
      <c r="E42" s="109"/>
      <c r="F42" s="110"/>
      <c r="G42" s="111">
        <f t="shared" si="14"/>
        <v>0</v>
      </c>
      <c r="H42" s="112" t="str">
        <f t="shared" si="0"/>
        <v>0 tubes and 0 shuttles</v>
      </c>
      <c r="I42" s="108">
        <f t="shared" si="15"/>
        <v>0</v>
      </c>
      <c r="J42" s="113" t="str">
        <f t="shared" si="1"/>
        <v>0 tubes and 0 shuttles</v>
      </c>
      <c r="K42" s="108">
        <f t="shared" si="16"/>
        <v>0</v>
      </c>
      <c r="L42" s="112" t="str">
        <f t="shared" si="2"/>
        <v>0 tubes and 0 shuttles</v>
      </c>
      <c r="M42" s="114">
        <f t="shared" si="17"/>
        <v>0</v>
      </c>
      <c r="N42" s="112" t="str">
        <f t="shared" si="3"/>
        <v>0 tubes and 0 shuttles</v>
      </c>
      <c r="O42" s="108">
        <f t="shared" si="4"/>
        <v>0</v>
      </c>
      <c r="P42" s="112" t="str">
        <f t="shared" si="5"/>
        <v>0 tubes and 0 shuttles</v>
      </c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spans="1:28" ht="12.5" x14ac:dyDescent="0.25">
      <c r="A43" s="32">
        <f>'Profit &amp; Loss'!A43</f>
        <v>46067</v>
      </c>
      <c r="B43" s="35" t="str">
        <f>'Profit &amp; Loss'!B43</f>
        <v>Sat</v>
      </c>
      <c r="C43" s="36"/>
      <c r="D43" s="33"/>
      <c r="E43" s="33"/>
      <c r="F43" s="101"/>
      <c r="G43" s="102">
        <f t="shared" si="14"/>
        <v>0</v>
      </c>
      <c r="H43" s="103" t="str">
        <f t="shared" si="0"/>
        <v>0 tubes and 0 shuttles</v>
      </c>
      <c r="I43" s="36">
        <f t="shared" si="15"/>
        <v>0</v>
      </c>
      <c r="J43" s="104" t="str">
        <f t="shared" si="1"/>
        <v>0 tubes and 0 shuttles</v>
      </c>
      <c r="K43" s="36">
        <f t="shared" si="16"/>
        <v>0</v>
      </c>
      <c r="L43" s="103" t="str">
        <f t="shared" si="2"/>
        <v>0 tubes and 0 shuttles</v>
      </c>
      <c r="M43" s="105">
        <f t="shared" si="17"/>
        <v>0</v>
      </c>
      <c r="N43" s="103" t="str">
        <f t="shared" si="3"/>
        <v>0 tubes and 0 shuttles</v>
      </c>
      <c r="O43" s="36">
        <f t="shared" si="4"/>
        <v>0</v>
      </c>
      <c r="P43" s="103" t="str">
        <f t="shared" si="5"/>
        <v>0 tubes and 0 shuttles</v>
      </c>
    </row>
    <row r="44" spans="1:28" ht="12.5" x14ac:dyDescent="0.25">
      <c r="A44" s="32">
        <f>'Profit &amp; Loss'!A44</f>
        <v>46076</v>
      </c>
      <c r="B44" s="35" t="str">
        <f>'Profit &amp; Loss'!B44</f>
        <v>Mon</v>
      </c>
      <c r="C44" s="36"/>
      <c r="D44" s="33"/>
      <c r="E44" s="33"/>
      <c r="F44" s="101"/>
      <c r="G44" s="102">
        <f t="shared" si="14"/>
        <v>0</v>
      </c>
      <c r="H44" s="103" t="str">
        <f t="shared" si="0"/>
        <v>0 tubes and 0 shuttles</v>
      </c>
      <c r="I44" s="36">
        <f t="shared" si="15"/>
        <v>0</v>
      </c>
      <c r="J44" s="104" t="str">
        <f t="shared" si="1"/>
        <v>0 tubes and 0 shuttles</v>
      </c>
      <c r="K44" s="36">
        <f t="shared" si="16"/>
        <v>0</v>
      </c>
      <c r="L44" s="103" t="str">
        <f t="shared" si="2"/>
        <v>0 tubes and 0 shuttles</v>
      </c>
      <c r="M44" s="105">
        <f t="shared" si="17"/>
        <v>0</v>
      </c>
      <c r="N44" s="103" t="str">
        <f t="shared" si="3"/>
        <v>0 tubes and 0 shuttles</v>
      </c>
      <c r="O44" s="36">
        <f t="shared" si="4"/>
        <v>0</v>
      </c>
      <c r="P44" s="103" t="str">
        <f t="shared" si="5"/>
        <v>0 tubes and 0 shuttles</v>
      </c>
    </row>
    <row r="45" spans="1:28" ht="12.5" x14ac:dyDescent="0.25">
      <c r="A45" s="32">
        <f>'Profit &amp; Loss'!A45</f>
        <v>46077</v>
      </c>
      <c r="B45" s="35" t="str">
        <f>'Profit &amp; Loss'!B45</f>
        <v>Tues</v>
      </c>
      <c r="C45" s="36"/>
      <c r="D45" s="33"/>
      <c r="E45" s="33"/>
      <c r="F45" s="101"/>
      <c r="G45" s="102">
        <f t="shared" si="14"/>
        <v>0</v>
      </c>
      <c r="H45" s="103" t="str">
        <f t="shared" si="0"/>
        <v>0 tubes and 0 shuttles</v>
      </c>
      <c r="I45" s="36">
        <f t="shared" si="15"/>
        <v>0</v>
      </c>
      <c r="J45" s="104" t="str">
        <f t="shared" si="1"/>
        <v>0 tubes and 0 shuttles</v>
      </c>
      <c r="K45" s="36">
        <f t="shared" si="16"/>
        <v>0</v>
      </c>
      <c r="L45" s="103" t="str">
        <f t="shared" si="2"/>
        <v>0 tubes and 0 shuttles</v>
      </c>
      <c r="M45" s="105">
        <f t="shared" si="17"/>
        <v>0</v>
      </c>
      <c r="N45" s="103" t="str">
        <f t="shared" si="3"/>
        <v>0 tubes and 0 shuttles</v>
      </c>
      <c r="O45" s="36">
        <f t="shared" si="4"/>
        <v>0</v>
      </c>
      <c r="P45" s="103" t="str">
        <f t="shared" si="5"/>
        <v>0 tubes and 0 shuttles</v>
      </c>
    </row>
    <row r="46" spans="1:28" ht="12.5" x14ac:dyDescent="0.25">
      <c r="A46" s="32">
        <f>'Profit &amp; Loss'!A46</f>
        <v>46082</v>
      </c>
      <c r="B46" s="35" t="str">
        <f>'Profit &amp; Loss'!B46</f>
        <v>Sun</v>
      </c>
      <c r="C46" s="36"/>
      <c r="D46" s="33"/>
      <c r="E46" s="33"/>
      <c r="F46" s="101"/>
      <c r="G46" s="102">
        <f t="shared" si="14"/>
        <v>0</v>
      </c>
      <c r="H46" s="103" t="str">
        <f t="shared" si="0"/>
        <v>0 tubes and 0 shuttles</v>
      </c>
      <c r="I46" s="36">
        <f t="shared" si="15"/>
        <v>0</v>
      </c>
      <c r="J46" s="104" t="str">
        <f t="shared" si="1"/>
        <v>0 tubes and 0 shuttles</v>
      </c>
      <c r="K46" s="36">
        <f t="shared" si="16"/>
        <v>0</v>
      </c>
      <c r="L46" s="103" t="str">
        <f t="shared" si="2"/>
        <v>0 tubes and 0 shuttles</v>
      </c>
      <c r="M46" s="105">
        <f t="shared" si="17"/>
        <v>0</v>
      </c>
      <c r="N46" s="103" t="str">
        <f t="shared" si="3"/>
        <v>0 tubes and 0 shuttles</v>
      </c>
      <c r="O46" s="36">
        <f t="shared" si="4"/>
        <v>0</v>
      </c>
      <c r="P46" s="103" t="str">
        <f t="shared" si="5"/>
        <v>0 tubes and 0 shuttles</v>
      </c>
    </row>
    <row r="47" spans="1:28" ht="12.5" x14ac:dyDescent="0.25">
      <c r="A47" s="32">
        <f>'Profit &amp; Loss'!A47</f>
        <v>46084</v>
      </c>
      <c r="B47" s="35" t="str">
        <f>'Profit &amp; Loss'!B47</f>
        <v>Tues</v>
      </c>
      <c r="C47" s="36"/>
      <c r="D47" s="33"/>
      <c r="E47" s="33"/>
      <c r="F47" s="101"/>
      <c r="G47" s="102">
        <f t="shared" si="14"/>
        <v>0</v>
      </c>
      <c r="H47" s="103" t="str">
        <f t="shared" si="0"/>
        <v>0 tubes and 0 shuttles</v>
      </c>
      <c r="I47" s="36">
        <f t="shared" si="15"/>
        <v>0</v>
      </c>
      <c r="J47" s="104" t="str">
        <f t="shared" si="1"/>
        <v>0 tubes and 0 shuttles</v>
      </c>
      <c r="K47" s="36">
        <f t="shared" si="16"/>
        <v>0</v>
      </c>
      <c r="L47" s="103" t="str">
        <f t="shared" si="2"/>
        <v>0 tubes and 0 shuttles</v>
      </c>
      <c r="M47" s="105">
        <f t="shared" si="17"/>
        <v>0</v>
      </c>
      <c r="N47" s="103" t="str">
        <f t="shared" si="3"/>
        <v>0 tubes and 0 shuttles</v>
      </c>
      <c r="O47" s="36">
        <f t="shared" si="4"/>
        <v>0</v>
      </c>
      <c r="P47" s="103" t="str">
        <f t="shared" si="5"/>
        <v>0 tubes and 0 shuttles</v>
      </c>
    </row>
    <row r="48" spans="1:28" ht="12.5" x14ac:dyDescent="0.25">
      <c r="A48" s="32">
        <f>'Profit &amp; Loss'!A48</f>
        <v>46087</v>
      </c>
      <c r="B48" s="35" t="str">
        <f>'Profit &amp; Loss'!B48</f>
        <v>Fri</v>
      </c>
      <c r="C48" s="36"/>
      <c r="D48" s="33"/>
      <c r="E48" s="33"/>
      <c r="F48" s="101"/>
      <c r="G48" s="102">
        <f t="shared" si="14"/>
        <v>0</v>
      </c>
      <c r="H48" s="103" t="str">
        <f t="shared" si="0"/>
        <v>0 tubes and 0 shuttles</v>
      </c>
      <c r="I48" s="36">
        <f t="shared" si="15"/>
        <v>0</v>
      </c>
      <c r="J48" s="104" t="str">
        <f t="shared" si="1"/>
        <v>0 tubes and 0 shuttles</v>
      </c>
      <c r="K48" s="36">
        <f t="shared" si="16"/>
        <v>0</v>
      </c>
      <c r="L48" s="103" t="str">
        <f t="shared" si="2"/>
        <v>0 tubes and 0 shuttles</v>
      </c>
      <c r="M48" s="105">
        <f t="shared" si="17"/>
        <v>0</v>
      </c>
      <c r="N48" s="103" t="str">
        <f t="shared" si="3"/>
        <v>0 tubes and 0 shuttles</v>
      </c>
      <c r="O48" s="36">
        <f t="shared" si="4"/>
        <v>0</v>
      </c>
      <c r="P48" s="103" t="str">
        <f t="shared" si="5"/>
        <v>0 tubes and 0 shuttles</v>
      </c>
    </row>
    <row r="49" spans="1:16" ht="12.5" x14ac:dyDescent="0.25">
      <c r="A49" s="32">
        <f>'Profit &amp; Loss'!A49</f>
        <v>46089</v>
      </c>
      <c r="B49" s="35" t="str">
        <f>'Profit &amp; Loss'!B49</f>
        <v>Sun</v>
      </c>
      <c r="C49" s="36"/>
      <c r="D49" s="33"/>
      <c r="E49" s="33"/>
      <c r="F49" s="101"/>
      <c r="G49" s="102">
        <f t="shared" si="14"/>
        <v>0</v>
      </c>
      <c r="H49" s="103" t="str">
        <f t="shared" si="0"/>
        <v>0 tubes and 0 shuttles</v>
      </c>
      <c r="I49" s="36">
        <f t="shared" si="15"/>
        <v>0</v>
      </c>
      <c r="J49" s="104" t="str">
        <f t="shared" si="1"/>
        <v>0 tubes and 0 shuttles</v>
      </c>
      <c r="K49" s="36">
        <f t="shared" si="16"/>
        <v>0</v>
      </c>
      <c r="L49" s="103" t="str">
        <f t="shared" si="2"/>
        <v>0 tubes and 0 shuttles</v>
      </c>
      <c r="M49" s="105">
        <f t="shared" si="17"/>
        <v>0</v>
      </c>
      <c r="N49" s="103" t="str">
        <f t="shared" si="3"/>
        <v>0 tubes and 0 shuttles</v>
      </c>
      <c r="O49" s="36">
        <f t="shared" si="4"/>
        <v>0</v>
      </c>
      <c r="P49" s="103" t="str">
        <f t="shared" si="5"/>
        <v>0 tubes and 0 shuttles</v>
      </c>
    </row>
    <row r="50" spans="1:16" ht="12.5" x14ac:dyDescent="0.25">
      <c r="A50" s="32">
        <f>'Profit &amp; Loss'!A50</f>
        <v>46096</v>
      </c>
      <c r="B50" s="35" t="str">
        <f>'Profit &amp; Loss'!B50</f>
        <v>Sun</v>
      </c>
      <c r="C50" s="36"/>
      <c r="D50" s="33"/>
      <c r="E50" s="33"/>
      <c r="F50" s="101"/>
      <c r="G50" s="102">
        <f t="shared" si="14"/>
        <v>0</v>
      </c>
      <c r="H50" s="103" t="str">
        <f t="shared" si="0"/>
        <v>0 tubes and 0 shuttles</v>
      </c>
      <c r="I50" s="36">
        <f t="shared" si="15"/>
        <v>0</v>
      </c>
      <c r="J50" s="104" t="str">
        <f t="shared" si="1"/>
        <v>0 tubes and 0 shuttles</v>
      </c>
      <c r="K50" s="36">
        <f t="shared" si="16"/>
        <v>0</v>
      </c>
      <c r="L50" s="103" t="str">
        <f t="shared" si="2"/>
        <v>0 tubes and 0 shuttles</v>
      </c>
      <c r="M50" s="105">
        <f t="shared" si="17"/>
        <v>0</v>
      </c>
      <c r="N50" s="103" t="str">
        <f t="shared" si="3"/>
        <v>0 tubes and 0 shuttles</v>
      </c>
      <c r="O50" s="36">
        <f t="shared" si="4"/>
        <v>0</v>
      </c>
      <c r="P50" s="103" t="str">
        <f t="shared" si="5"/>
        <v>0 tubes and 0 shuttles</v>
      </c>
    </row>
    <row r="51" spans="1:16" ht="12.5" x14ac:dyDescent="0.25">
      <c r="A51" s="32">
        <f>'Profit &amp; Loss'!A51</f>
        <v>46099</v>
      </c>
      <c r="B51" s="35" t="str">
        <f>'Profit &amp; Loss'!B51</f>
        <v>Wed</v>
      </c>
      <c r="C51" s="36"/>
      <c r="D51" s="33"/>
      <c r="E51" s="33"/>
      <c r="F51" s="101"/>
      <c r="G51" s="102">
        <f t="shared" si="14"/>
        <v>0</v>
      </c>
      <c r="H51" s="103" t="str">
        <f t="shared" si="0"/>
        <v>0 tubes and 0 shuttles</v>
      </c>
      <c r="I51" s="36">
        <f t="shared" si="15"/>
        <v>0</v>
      </c>
      <c r="J51" s="104" t="str">
        <f t="shared" si="1"/>
        <v>0 tubes and 0 shuttles</v>
      </c>
      <c r="K51" s="36">
        <f t="shared" si="16"/>
        <v>0</v>
      </c>
      <c r="L51" s="103" t="str">
        <f t="shared" si="2"/>
        <v>0 tubes and 0 shuttles</v>
      </c>
      <c r="M51" s="105">
        <f t="shared" si="17"/>
        <v>0</v>
      </c>
      <c r="N51" s="103" t="str">
        <f t="shared" si="3"/>
        <v>0 tubes and 0 shuttles</v>
      </c>
      <c r="O51" s="36">
        <f t="shared" si="4"/>
        <v>0</v>
      </c>
      <c r="P51" s="103" t="str">
        <f t="shared" si="5"/>
        <v>0 tubes and 0 shuttles</v>
      </c>
    </row>
    <row r="52" spans="1:16" ht="12.5" x14ac:dyDescent="0.25">
      <c r="A52" s="32">
        <f>'Profit &amp; Loss'!A52</f>
        <v>46103</v>
      </c>
      <c r="B52" s="35" t="str">
        <f>'Profit &amp; Loss'!B52</f>
        <v>Sun</v>
      </c>
      <c r="C52" s="36"/>
      <c r="D52" s="33"/>
      <c r="E52" s="33"/>
      <c r="F52" s="101"/>
      <c r="G52" s="102">
        <f t="shared" si="14"/>
        <v>0</v>
      </c>
      <c r="H52" s="103" t="str">
        <f t="shared" si="0"/>
        <v>0 tubes and 0 shuttles</v>
      </c>
      <c r="I52" s="36">
        <f t="shared" si="15"/>
        <v>0</v>
      </c>
      <c r="J52" s="104" t="str">
        <f t="shared" si="1"/>
        <v>0 tubes and 0 shuttles</v>
      </c>
      <c r="K52" s="36">
        <f t="shared" si="16"/>
        <v>0</v>
      </c>
      <c r="L52" s="103" t="str">
        <f t="shared" si="2"/>
        <v>0 tubes and 0 shuttles</v>
      </c>
      <c r="M52" s="105">
        <f t="shared" si="17"/>
        <v>0</v>
      </c>
      <c r="N52" s="103" t="str">
        <f t="shared" si="3"/>
        <v>0 tubes and 0 shuttles</v>
      </c>
      <c r="O52" s="36">
        <f t="shared" si="4"/>
        <v>0</v>
      </c>
      <c r="P52" s="103" t="str">
        <f t="shared" si="5"/>
        <v>0 tubes and 0 shuttles</v>
      </c>
    </row>
    <row r="53" spans="1:16" ht="12.5" x14ac:dyDescent="0.25">
      <c r="A53" s="32">
        <f>'Profit &amp; Loss'!A53</f>
        <v>46104</v>
      </c>
      <c r="B53" s="35" t="str">
        <f>'Profit &amp; Loss'!B53</f>
        <v>Mon</v>
      </c>
      <c r="C53" s="36"/>
      <c r="D53" s="33"/>
      <c r="E53" s="33"/>
      <c r="F53" s="101"/>
      <c r="G53" s="102">
        <f t="shared" si="14"/>
        <v>0</v>
      </c>
      <c r="H53" s="103" t="str">
        <f t="shared" si="0"/>
        <v>0 tubes and 0 shuttles</v>
      </c>
      <c r="I53" s="36">
        <f t="shared" si="15"/>
        <v>0</v>
      </c>
      <c r="J53" s="104" t="str">
        <f t="shared" si="1"/>
        <v>0 tubes and 0 shuttles</v>
      </c>
      <c r="K53" s="36">
        <f t="shared" si="16"/>
        <v>0</v>
      </c>
      <c r="L53" s="103" t="str">
        <f t="shared" si="2"/>
        <v>0 tubes and 0 shuttles</v>
      </c>
      <c r="M53" s="105">
        <f t="shared" si="17"/>
        <v>0</v>
      </c>
      <c r="N53" s="103" t="str">
        <f t="shared" si="3"/>
        <v>0 tubes and 0 shuttles</v>
      </c>
      <c r="O53" s="36">
        <f t="shared" si="4"/>
        <v>0</v>
      </c>
      <c r="P53" s="103" t="str">
        <f t="shared" si="5"/>
        <v>0 tubes and 0 shuttles</v>
      </c>
    </row>
    <row r="54" spans="1:16" ht="12.5" x14ac:dyDescent="0.25">
      <c r="A54" s="32">
        <f>'Profit &amp; Loss'!A54</f>
        <v>46115</v>
      </c>
      <c r="B54" s="35" t="str">
        <f>'Profit &amp; Loss'!B54</f>
        <v>Fri</v>
      </c>
      <c r="C54" s="36"/>
      <c r="D54" s="33"/>
      <c r="E54" s="33"/>
      <c r="F54" s="101"/>
      <c r="G54" s="102">
        <f t="shared" si="14"/>
        <v>0</v>
      </c>
      <c r="H54" s="103" t="str">
        <f t="shared" si="0"/>
        <v>0 tubes and 0 shuttles</v>
      </c>
      <c r="I54" s="36">
        <f t="shared" si="15"/>
        <v>0</v>
      </c>
      <c r="J54" s="104" t="str">
        <f t="shared" si="1"/>
        <v>0 tubes and 0 shuttles</v>
      </c>
      <c r="K54" s="36">
        <f t="shared" si="16"/>
        <v>0</v>
      </c>
      <c r="L54" s="103" t="str">
        <f t="shared" si="2"/>
        <v>0 tubes and 0 shuttles</v>
      </c>
      <c r="M54" s="105">
        <f t="shared" si="17"/>
        <v>0</v>
      </c>
      <c r="N54" s="103" t="str">
        <f t="shared" si="3"/>
        <v>0 tubes and 0 shuttles</v>
      </c>
      <c r="O54" s="36">
        <f t="shared" si="4"/>
        <v>0</v>
      </c>
      <c r="P54" s="103" t="str">
        <f t="shared" si="5"/>
        <v>0 tubes and 0 shuttles</v>
      </c>
    </row>
    <row r="55" spans="1:16" ht="12.5" x14ac:dyDescent="0.25">
      <c r="A55" s="32">
        <f>'Profit &amp; Loss'!A55</f>
        <v>46124</v>
      </c>
      <c r="B55" s="35" t="str">
        <f>'Profit &amp; Loss'!B55</f>
        <v>Sun</v>
      </c>
      <c r="C55" s="36"/>
      <c r="D55" s="33"/>
      <c r="E55" s="33"/>
      <c r="F55" s="101"/>
      <c r="G55" s="102">
        <f t="shared" si="14"/>
        <v>0</v>
      </c>
      <c r="H55" s="103" t="str">
        <f t="shared" si="0"/>
        <v>0 tubes and 0 shuttles</v>
      </c>
      <c r="I55" s="36">
        <f t="shared" si="15"/>
        <v>0</v>
      </c>
      <c r="J55" s="104" t="str">
        <f t="shared" si="1"/>
        <v>0 tubes and 0 shuttles</v>
      </c>
      <c r="K55" s="36">
        <f t="shared" si="16"/>
        <v>0</v>
      </c>
      <c r="L55" s="103" t="str">
        <f t="shared" si="2"/>
        <v>0 tubes and 0 shuttles</v>
      </c>
      <c r="M55" s="105">
        <f t="shared" si="17"/>
        <v>0</v>
      </c>
      <c r="N55" s="103" t="str">
        <f t="shared" si="3"/>
        <v>0 tubes and 0 shuttles</v>
      </c>
      <c r="O55" s="36">
        <f t="shared" si="4"/>
        <v>0</v>
      </c>
      <c r="P55" s="103" t="str">
        <f t="shared" si="5"/>
        <v>0 tubes and 0 shuttles</v>
      </c>
    </row>
    <row r="56" spans="1:16" ht="12.5" x14ac:dyDescent="0.25">
      <c r="A56" s="32">
        <f>'Profit &amp; Loss'!A56</f>
        <v>46125</v>
      </c>
      <c r="B56" s="35" t="str">
        <f>'Profit &amp; Loss'!B56</f>
        <v>Mon</v>
      </c>
      <c r="C56" s="36"/>
      <c r="D56" s="33"/>
      <c r="E56" s="33"/>
      <c r="F56" s="101"/>
      <c r="G56" s="102">
        <f t="shared" si="14"/>
        <v>0</v>
      </c>
      <c r="H56" s="103" t="str">
        <f t="shared" si="0"/>
        <v>0 tubes and 0 shuttles</v>
      </c>
      <c r="I56" s="36">
        <f t="shared" si="15"/>
        <v>0</v>
      </c>
      <c r="J56" s="104" t="str">
        <f t="shared" si="1"/>
        <v>0 tubes and 0 shuttles</v>
      </c>
      <c r="K56" s="36">
        <f t="shared" si="16"/>
        <v>0</v>
      </c>
      <c r="L56" s="103" t="str">
        <f t="shared" si="2"/>
        <v>0 tubes and 0 shuttles</v>
      </c>
      <c r="M56" s="105">
        <f t="shared" si="17"/>
        <v>0</v>
      </c>
      <c r="N56" s="103" t="str">
        <f t="shared" si="3"/>
        <v>0 tubes and 0 shuttles</v>
      </c>
      <c r="O56" s="36">
        <f t="shared" si="4"/>
        <v>0</v>
      </c>
      <c r="P56" s="103" t="str">
        <f t="shared" si="5"/>
        <v>0 tubes and 0 shuttles</v>
      </c>
    </row>
    <row r="57" spans="1:16" ht="12.5" x14ac:dyDescent="0.25">
      <c r="A57" s="32">
        <f>'Profit &amp; Loss'!A58</f>
        <v>46130</v>
      </c>
      <c r="B57" s="35" t="str">
        <f>'Profit &amp; Loss'!B58</f>
        <v>Sat</v>
      </c>
      <c r="C57" s="36"/>
      <c r="D57" s="33"/>
      <c r="E57" s="33"/>
      <c r="F57" s="101"/>
      <c r="G57" s="102">
        <f t="shared" si="14"/>
        <v>0</v>
      </c>
      <c r="H57" s="103" t="str">
        <f t="shared" si="0"/>
        <v>0 tubes and 0 shuttles</v>
      </c>
      <c r="I57" s="36">
        <f t="shared" si="15"/>
        <v>0</v>
      </c>
      <c r="J57" s="104" t="str">
        <f t="shared" si="1"/>
        <v>0 tubes and 0 shuttles</v>
      </c>
      <c r="K57" s="36">
        <f t="shared" si="16"/>
        <v>0</v>
      </c>
      <c r="L57" s="103" t="str">
        <f t="shared" si="2"/>
        <v>0 tubes and 0 shuttles</v>
      </c>
      <c r="M57" s="105">
        <f t="shared" si="17"/>
        <v>0</v>
      </c>
      <c r="N57" s="103" t="str">
        <f t="shared" si="3"/>
        <v>0 tubes and 0 shuttles</v>
      </c>
      <c r="O57" s="36">
        <f t="shared" si="4"/>
        <v>0</v>
      </c>
      <c r="P57" s="103" t="str">
        <f t="shared" si="5"/>
        <v>0 tubes and 0 shuttles</v>
      </c>
    </row>
    <row r="58" spans="1:16" ht="12.5" x14ac:dyDescent="0.25">
      <c r="A58" s="32">
        <f>'Profit &amp; Loss'!A59</f>
        <v>46132</v>
      </c>
      <c r="B58" s="35" t="str">
        <f>'Profit &amp; Loss'!B59</f>
        <v>Mon</v>
      </c>
      <c r="C58" s="36"/>
      <c r="D58" s="33"/>
      <c r="E58" s="33"/>
      <c r="F58" s="101"/>
      <c r="G58" s="102">
        <f t="shared" si="14"/>
        <v>0</v>
      </c>
      <c r="H58" s="103" t="str">
        <f t="shared" si="0"/>
        <v>0 tubes and 0 shuttles</v>
      </c>
      <c r="I58" s="36">
        <f t="shared" si="15"/>
        <v>0</v>
      </c>
      <c r="J58" s="104" t="str">
        <f t="shared" si="1"/>
        <v>0 tubes and 0 shuttles</v>
      </c>
      <c r="K58" s="36">
        <f t="shared" si="16"/>
        <v>0</v>
      </c>
      <c r="L58" s="103" t="str">
        <f t="shared" si="2"/>
        <v>0 tubes and 0 shuttles</v>
      </c>
      <c r="M58" s="105">
        <f t="shared" si="17"/>
        <v>0</v>
      </c>
      <c r="N58" s="103" t="str">
        <f t="shared" si="3"/>
        <v>0 tubes and 0 shuttles</v>
      </c>
      <c r="O58" s="36">
        <f t="shared" si="4"/>
        <v>0</v>
      </c>
      <c r="P58" s="103" t="str">
        <f t="shared" si="5"/>
        <v>0 tubes and 0 shuttles</v>
      </c>
    </row>
    <row r="59" spans="1:16" ht="12.5" x14ac:dyDescent="0.25">
      <c r="A59" s="32">
        <f>'Profit &amp; Loss'!A57</f>
        <v>46128</v>
      </c>
      <c r="B59" s="35" t="str">
        <f>'Profit &amp; Loss'!B57</f>
        <v>Thurs</v>
      </c>
      <c r="C59" s="36"/>
      <c r="D59" s="33"/>
      <c r="E59" s="33"/>
      <c r="F59" s="101"/>
      <c r="G59" s="102">
        <f t="shared" si="14"/>
        <v>0</v>
      </c>
      <c r="H59" s="103" t="str">
        <f t="shared" si="0"/>
        <v>0 tubes and 0 shuttles</v>
      </c>
      <c r="I59" s="36">
        <f t="shared" si="15"/>
        <v>0</v>
      </c>
      <c r="J59" s="104" t="str">
        <f t="shared" si="1"/>
        <v>0 tubes and 0 shuttles</v>
      </c>
      <c r="K59" s="36">
        <f t="shared" si="16"/>
        <v>0</v>
      </c>
      <c r="L59" s="103" t="str">
        <f t="shared" si="2"/>
        <v>0 tubes and 0 shuttles</v>
      </c>
      <c r="M59" s="105">
        <f t="shared" si="17"/>
        <v>0</v>
      </c>
      <c r="N59" s="103" t="str">
        <f t="shared" si="3"/>
        <v>0 tubes and 0 shuttles</v>
      </c>
      <c r="O59" s="36">
        <f t="shared" si="4"/>
        <v>0</v>
      </c>
      <c r="P59" s="103" t="str">
        <f t="shared" si="5"/>
        <v>0 tubes and 0 shuttles</v>
      </c>
    </row>
    <row r="60" spans="1:16" ht="12.5" x14ac:dyDescent="0.25">
      <c r="A60" s="32">
        <f>'Profit &amp; Loss'!A60</f>
        <v>46134</v>
      </c>
      <c r="B60" s="35" t="str">
        <f>'Profit &amp; Loss'!B60</f>
        <v>Wed</v>
      </c>
      <c r="C60" s="36"/>
      <c r="D60" s="33"/>
      <c r="E60" s="33"/>
      <c r="F60" s="101"/>
      <c r="G60" s="102">
        <f t="shared" si="14"/>
        <v>0</v>
      </c>
      <c r="H60" s="103" t="str">
        <f t="shared" si="0"/>
        <v>0 tubes and 0 shuttles</v>
      </c>
      <c r="I60" s="36">
        <f t="shared" si="15"/>
        <v>0</v>
      </c>
      <c r="J60" s="104" t="str">
        <f t="shared" si="1"/>
        <v>0 tubes and 0 shuttles</v>
      </c>
      <c r="K60" s="36">
        <f t="shared" si="16"/>
        <v>0</v>
      </c>
      <c r="L60" s="103" t="str">
        <f t="shared" si="2"/>
        <v>0 tubes and 0 shuttles</v>
      </c>
      <c r="M60" s="105">
        <f t="shared" si="17"/>
        <v>0</v>
      </c>
      <c r="N60" s="103" t="str">
        <f t="shared" si="3"/>
        <v>0 tubes and 0 shuttles</v>
      </c>
      <c r="O60" s="36">
        <f t="shared" si="4"/>
        <v>0</v>
      </c>
      <c r="P60" s="103" t="str">
        <f t="shared" si="5"/>
        <v>0 tubes and 0 shuttles</v>
      </c>
    </row>
    <row r="61" spans="1:16" ht="12.5" x14ac:dyDescent="0.25">
      <c r="A61" s="32">
        <f>'Profit &amp; Loss'!A61</f>
        <v>46138</v>
      </c>
      <c r="B61" s="35" t="str">
        <f>'Profit &amp; Loss'!B61</f>
        <v>Sun</v>
      </c>
      <c r="C61" s="36"/>
      <c r="D61" s="33"/>
      <c r="E61" s="33"/>
      <c r="F61" s="101"/>
      <c r="G61" s="102">
        <f t="shared" si="14"/>
        <v>0</v>
      </c>
      <c r="H61" s="103" t="str">
        <f t="shared" si="0"/>
        <v>0 tubes and 0 shuttles</v>
      </c>
      <c r="I61" s="36">
        <f t="shared" si="15"/>
        <v>0</v>
      </c>
      <c r="J61" s="104" t="str">
        <f t="shared" si="1"/>
        <v>0 tubes and 0 shuttles</v>
      </c>
      <c r="K61" s="36">
        <f t="shared" si="16"/>
        <v>0</v>
      </c>
      <c r="L61" s="103" t="str">
        <f t="shared" si="2"/>
        <v>0 tubes and 0 shuttles</v>
      </c>
      <c r="M61" s="105">
        <f t="shared" si="17"/>
        <v>0</v>
      </c>
      <c r="N61" s="103" t="str">
        <f t="shared" si="3"/>
        <v>0 tubes and 0 shuttles</v>
      </c>
      <c r="O61" s="36">
        <f t="shared" si="4"/>
        <v>0</v>
      </c>
      <c r="P61" s="103" t="str">
        <f t="shared" si="5"/>
        <v>0 tubes and 0 shuttles</v>
      </c>
    </row>
    <row r="62" spans="1:16" ht="12.5" x14ac:dyDescent="0.25">
      <c r="A62" s="32">
        <f>'Profit &amp; Loss'!A62</f>
        <v>46140</v>
      </c>
      <c r="B62" s="35" t="str">
        <f>'Profit &amp; Loss'!B62</f>
        <v>Tues</v>
      </c>
      <c r="C62" s="36"/>
      <c r="D62" s="33"/>
      <c r="E62" s="33"/>
      <c r="F62" s="101"/>
      <c r="G62" s="102">
        <f t="shared" si="14"/>
        <v>0</v>
      </c>
      <c r="H62" s="103" t="str">
        <f t="shared" si="0"/>
        <v>0 tubes and 0 shuttles</v>
      </c>
      <c r="I62" s="36">
        <f t="shared" si="15"/>
        <v>0</v>
      </c>
      <c r="J62" s="104" t="str">
        <f t="shared" si="1"/>
        <v>0 tubes and 0 shuttles</v>
      </c>
      <c r="K62" s="36">
        <f t="shared" si="16"/>
        <v>0</v>
      </c>
      <c r="L62" s="103" t="str">
        <f t="shared" si="2"/>
        <v>0 tubes and 0 shuttles</v>
      </c>
      <c r="M62" s="105">
        <f t="shared" si="17"/>
        <v>0</v>
      </c>
      <c r="N62" s="103" t="str">
        <f t="shared" si="3"/>
        <v>0 tubes and 0 shuttles</v>
      </c>
      <c r="O62" s="36">
        <f t="shared" si="4"/>
        <v>0</v>
      </c>
      <c r="P62" s="103" t="str">
        <f t="shared" si="5"/>
        <v>0 tubes and 0 shuttles</v>
      </c>
    </row>
    <row r="63" spans="1:16" ht="12.5" x14ac:dyDescent="0.25">
      <c r="A63" s="32">
        <f>'Profit &amp; Loss'!A63</f>
        <v>46141</v>
      </c>
      <c r="B63" s="35" t="str">
        <f>'Profit &amp; Loss'!B63</f>
        <v>Wed</v>
      </c>
      <c r="C63" s="36"/>
      <c r="D63" s="33"/>
      <c r="E63" s="33"/>
      <c r="F63" s="101"/>
      <c r="G63" s="102">
        <f t="shared" si="14"/>
        <v>0</v>
      </c>
      <c r="H63" s="103" t="str">
        <f t="shared" si="0"/>
        <v>0 tubes and 0 shuttles</v>
      </c>
      <c r="I63" s="36">
        <f t="shared" si="15"/>
        <v>0</v>
      </c>
      <c r="J63" s="104" t="str">
        <f t="shared" si="1"/>
        <v>0 tubes and 0 shuttles</v>
      </c>
      <c r="K63" s="36">
        <f t="shared" si="16"/>
        <v>0</v>
      </c>
      <c r="L63" s="103" t="str">
        <f t="shared" si="2"/>
        <v>0 tubes and 0 shuttles</v>
      </c>
      <c r="M63" s="105">
        <f t="shared" si="17"/>
        <v>0</v>
      </c>
      <c r="N63" s="103" t="str">
        <f t="shared" si="3"/>
        <v>0 tubes and 0 shuttles</v>
      </c>
      <c r="O63" s="36">
        <f t="shared" si="4"/>
        <v>0</v>
      </c>
      <c r="P63" s="103" t="str">
        <f t="shared" si="5"/>
        <v>0 tubes and 0 shuttles</v>
      </c>
    </row>
    <row r="64" spans="1:16" ht="12.5" x14ac:dyDescent="0.25">
      <c r="A64" s="32">
        <f>'Profit &amp; Loss'!A64</f>
        <v>46144</v>
      </c>
      <c r="B64" s="35" t="str">
        <f>'Profit &amp; Loss'!B64</f>
        <v>Sat</v>
      </c>
      <c r="C64" s="36"/>
      <c r="D64" s="33"/>
      <c r="E64" s="33"/>
      <c r="F64" s="101"/>
      <c r="G64" s="102">
        <f t="shared" si="14"/>
        <v>0</v>
      </c>
      <c r="H64" s="103" t="str">
        <f t="shared" si="0"/>
        <v>0 tubes and 0 shuttles</v>
      </c>
      <c r="I64" s="36">
        <f t="shared" si="15"/>
        <v>0</v>
      </c>
      <c r="J64" s="104" t="str">
        <f t="shared" si="1"/>
        <v>0 tubes and 0 shuttles</v>
      </c>
      <c r="K64" s="36">
        <f t="shared" si="16"/>
        <v>0</v>
      </c>
      <c r="L64" s="103" t="str">
        <f t="shared" si="2"/>
        <v>0 tubes and 0 shuttles</v>
      </c>
      <c r="M64" s="105">
        <f t="shared" si="17"/>
        <v>0</v>
      </c>
      <c r="N64" s="103" t="str">
        <f t="shared" si="3"/>
        <v>0 tubes and 0 shuttles</v>
      </c>
      <c r="O64" s="36">
        <f t="shared" si="4"/>
        <v>0</v>
      </c>
      <c r="P64" s="103" t="str">
        <f t="shared" si="5"/>
        <v>0 tubes and 0 shuttles</v>
      </c>
    </row>
    <row r="65" spans="1:16" ht="12.5" x14ac:dyDescent="0.25">
      <c r="A65" s="32">
        <f>'Profit &amp; Loss'!A65</f>
        <v>46152</v>
      </c>
      <c r="B65" s="35" t="str">
        <f>'Profit &amp; Loss'!B65</f>
        <v>Sun</v>
      </c>
      <c r="C65" s="36"/>
      <c r="D65" s="33"/>
      <c r="E65" s="33"/>
      <c r="F65" s="101"/>
      <c r="G65" s="102">
        <f t="shared" si="14"/>
        <v>0</v>
      </c>
      <c r="H65" s="103" t="str">
        <f t="shared" si="0"/>
        <v>0 tubes and 0 shuttles</v>
      </c>
      <c r="I65" s="36">
        <f t="shared" si="15"/>
        <v>0</v>
      </c>
      <c r="J65" s="104" t="str">
        <f t="shared" si="1"/>
        <v>0 tubes and 0 shuttles</v>
      </c>
      <c r="K65" s="36">
        <f t="shared" si="16"/>
        <v>0</v>
      </c>
      <c r="L65" s="103" t="str">
        <f t="shared" si="2"/>
        <v>0 tubes and 0 shuttles</v>
      </c>
      <c r="M65" s="105">
        <f t="shared" si="17"/>
        <v>0</v>
      </c>
      <c r="N65" s="103" t="str">
        <f t="shared" si="3"/>
        <v>0 tubes and 0 shuttles</v>
      </c>
      <c r="O65" s="36">
        <f t="shared" si="4"/>
        <v>0</v>
      </c>
      <c r="P65" s="103" t="str">
        <f t="shared" si="5"/>
        <v>0 tubes and 0 shuttles</v>
      </c>
    </row>
    <row r="66" spans="1:16" ht="12.5" x14ac:dyDescent="0.25">
      <c r="A66" s="32">
        <f>'Profit &amp; Loss'!A66</f>
        <v>46156</v>
      </c>
      <c r="B66" s="35" t="str">
        <f>'Profit &amp; Loss'!B66</f>
        <v>Thurs</v>
      </c>
      <c r="C66" s="36"/>
      <c r="D66" s="33"/>
      <c r="E66" s="33"/>
      <c r="F66" s="101"/>
      <c r="G66" s="102">
        <f t="shared" si="14"/>
        <v>0</v>
      </c>
      <c r="H66" s="103" t="str">
        <f t="shared" si="0"/>
        <v>0 tubes and 0 shuttles</v>
      </c>
      <c r="I66" s="36">
        <f t="shared" si="15"/>
        <v>0</v>
      </c>
      <c r="J66" s="104" t="str">
        <f t="shared" si="1"/>
        <v>0 tubes and 0 shuttles</v>
      </c>
      <c r="K66" s="36">
        <f t="shared" si="16"/>
        <v>0</v>
      </c>
      <c r="L66" s="103" t="str">
        <f t="shared" si="2"/>
        <v>0 tubes and 0 shuttles</v>
      </c>
      <c r="M66" s="105">
        <f t="shared" si="17"/>
        <v>0</v>
      </c>
      <c r="N66" s="103" t="str">
        <f t="shared" si="3"/>
        <v>0 tubes and 0 shuttles</v>
      </c>
      <c r="O66" s="36">
        <f t="shared" si="4"/>
        <v>0</v>
      </c>
      <c r="P66" s="103" t="str">
        <f t="shared" si="5"/>
        <v>0 tubes and 0 shuttles</v>
      </c>
    </row>
    <row r="67" spans="1:16" ht="12.5" x14ac:dyDescent="0.25">
      <c r="A67" s="32">
        <f>'Profit &amp; Loss'!A67</f>
        <v>46157</v>
      </c>
      <c r="B67" s="35" t="str">
        <f>'Profit &amp; Loss'!B67</f>
        <v>Fri</v>
      </c>
      <c r="C67" s="36"/>
      <c r="D67" s="33"/>
      <c r="E67" s="33"/>
      <c r="F67" s="101"/>
      <c r="G67" s="102">
        <f t="shared" si="14"/>
        <v>0</v>
      </c>
      <c r="H67" s="103" t="str">
        <f t="shared" si="0"/>
        <v>0 tubes and 0 shuttles</v>
      </c>
      <c r="I67" s="36">
        <f t="shared" si="15"/>
        <v>0</v>
      </c>
      <c r="J67" s="104" t="str">
        <f t="shared" si="1"/>
        <v>0 tubes and 0 shuttles</v>
      </c>
      <c r="K67" s="36">
        <f t="shared" si="16"/>
        <v>0</v>
      </c>
      <c r="L67" s="103" t="str">
        <f t="shared" si="2"/>
        <v>0 tubes and 0 shuttles</v>
      </c>
      <c r="M67" s="105">
        <f t="shared" si="17"/>
        <v>0</v>
      </c>
      <c r="N67" s="103" t="str">
        <f t="shared" si="3"/>
        <v>0 tubes and 0 shuttles</v>
      </c>
      <c r="O67" s="36">
        <f t="shared" si="4"/>
        <v>0</v>
      </c>
      <c r="P67" s="103" t="str">
        <f t="shared" si="5"/>
        <v>0 tubes and 0 shuttles</v>
      </c>
    </row>
    <row r="68" spans="1:16" ht="12.5" x14ac:dyDescent="0.25">
      <c r="A68" s="32">
        <f>'Profit &amp; Loss'!A68</f>
        <v>46158</v>
      </c>
      <c r="B68" s="35" t="str">
        <f>'Profit &amp; Loss'!B68</f>
        <v>Sat</v>
      </c>
      <c r="C68" s="36"/>
      <c r="D68" s="33"/>
      <c r="E68" s="33"/>
      <c r="F68" s="101"/>
      <c r="G68" s="102">
        <f t="shared" si="14"/>
        <v>0</v>
      </c>
      <c r="H68" s="103" t="str">
        <f t="shared" si="0"/>
        <v>0 tubes and 0 shuttles</v>
      </c>
      <c r="I68" s="36">
        <f t="shared" si="15"/>
        <v>0</v>
      </c>
      <c r="J68" s="104" t="str">
        <f t="shared" si="1"/>
        <v>0 tubes and 0 shuttles</v>
      </c>
      <c r="K68" s="36">
        <f t="shared" si="16"/>
        <v>0</v>
      </c>
      <c r="L68" s="103" t="str">
        <f t="shared" si="2"/>
        <v>0 tubes and 0 shuttles</v>
      </c>
      <c r="M68" s="105">
        <f t="shared" si="17"/>
        <v>0</v>
      </c>
      <c r="N68" s="103" t="str">
        <f t="shared" si="3"/>
        <v>0 tubes and 0 shuttles</v>
      </c>
      <c r="O68" s="36">
        <f t="shared" si="4"/>
        <v>0</v>
      </c>
      <c r="P68" s="103" t="str">
        <f t="shared" si="5"/>
        <v>0 tubes and 0 shuttles</v>
      </c>
    </row>
    <row r="69" spans="1:16" ht="12.5" x14ac:dyDescent="0.25">
      <c r="A69" s="32">
        <f>'Profit &amp; Loss'!A69</f>
        <v>46160</v>
      </c>
      <c r="B69" s="35" t="str">
        <f>'Profit &amp; Loss'!B69</f>
        <v>Mon</v>
      </c>
      <c r="C69" s="36"/>
      <c r="D69" s="33"/>
      <c r="E69" s="33"/>
      <c r="F69" s="101"/>
      <c r="G69" s="102">
        <f t="shared" si="14"/>
        <v>0</v>
      </c>
      <c r="H69" s="103" t="str">
        <f t="shared" si="0"/>
        <v>0 tubes and 0 shuttles</v>
      </c>
      <c r="I69" s="36">
        <f t="shared" si="15"/>
        <v>0</v>
      </c>
      <c r="J69" s="104" t="str">
        <f t="shared" si="1"/>
        <v>0 tubes and 0 shuttles</v>
      </c>
      <c r="K69" s="36">
        <f t="shared" si="16"/>
        <v>0</v>
      </c>
      <c r="L69" s="103" t="str">
        <f t="shared" si="2"/>
        <v>0 tubes and 0 shuttles</v>
      </c>
      <c r="M69" s="105">
        <f t="shared" si="17"/>
        <v>0</v>
      </c>
      <c r="N69" s="103" t="str">
        <f t="shared" si="3"/>
        <v>0 tubes and 0 shuttles</v>
      </c>
      <c r="O69" s="36">
        <f t="shared" si="4"/>
        <v>0</v>
      </c>
      <c r="P69" s="103" t="str">
        <f t="shared" si="5"/>
        <v>0 tubes and 0 shuttles</v>
      </c>
    </row>
    <row r="70" spans="1:16" ht="12.5" x14ac:dyDescent="0.25">
      <c r="A70" s="32">
        <f>'Profit &amp; Loss'!A70</f>
        <v>46166</v>
      </c>
      <c r="B70" s="35" t="str">
        <f>'Profit &amp; Loss'!B70</f>
        <v>Sun</v>
      </c>
      <c r="C70" s="36"/>
      <c r="D70" s="33"/>
      <c r="E70" s="33"/>
      <c r="F70" s="101"/>
      <c r="G70" s="102">
        <f t="shared" si="14"/>
        <v>0</v>
      </c>
      <c r="H70" s="103" t="str">
        <f t="shared" si="0"/>
        <v>0 tubes and 0 shuttles</v>
      </c>
      <c r="I70" s="36">
        <f t="shared" si="15"/>
        <v>0</v>
      </c>
      <c r="J70" s="104" t="str">
        <f t="shared" si="1"/>
        <v>0 tubes and 0 shuttles</v>
      </c>
      <c r="K70" s="36">
        <f t="shared" si="16"/>
        <v>0</v>
      </c>
      <c r="L70" s="103" t="str">
        <f t="shared" si="2"/>
        <v>0 tubes and 0 shuttles</v>
      </c>
      <c r="M70" s="105">
        <f t="shared" si="17"/>
        <v>0</v>
      </c>
      <c r="N70" s="103" t="str">
        <f t="shared" si="3"/>
        <v>0 tubes and 0 shuttles</v>
      </c>
      <c r="O70" s="36">
        <f t="shared" si="4"/>
        <v>0</v>
      </c>
      <c r="P70" s="103" t="str">
        <f t="shared" si="5"/>
        <v>0 tubes and 0 shuttles</v>
      </c>
    </row>
    <row r="71" spans="1:16" ht="12.5" x14ac:dyDescent="0.25">
      <c r="A71" s="32">
        <f>'Profit &amp; Loss'!A71</f>
        <v>46171</v>
      </c>
      <c r="B71" s="35" t="str">
        <f>'Profit &amp; Loss'!B71</f>
        <v>Fri</v>
      </c>
      <c r="C71" s="36"/>
      <c r="D71" s="33"/>
      <c r="E71" s="33"/>
      <c r="F71" s="101"/>
      <c r="G71" s="102">
        <f t="shared" si="14"/>
        <v>0</v>
      </c>
      <c r="H71" s="103" t="str">
        <f t="shared" si="0"/>
        <v>0 tubes and 0 shuttles</v>
      </c>
      <c r="I71" s="36">
        <f t="shared" si="15"/>
        <v>0</v>
      </c>
      <c r="J71" s="104" t="str">
        <f t="shared" si="1"/>
        <v>0 tubes and 0 shuttles</v>
      </c>
      <c r="K71" s="36">
        <f t="shared" si="16"/>
        <v>0</v>
      </c>
      <c r="L71" s="103" t="str">
        <f t="shared" si="2"/>
        <v>0 tubes and 0 shuttles</v>
      </c>
      <c r="M71" s="105">
        <f t="shared" si="17"/>
        <v>0</v>
      </c>
      <c r="N71" s="103" t="str">
        <f t="shared" si="3"/>
        <v>0 tubes and 0 shuttles</v>
      </c>
      <c r="O71" s="36">
        <f t="shared" si="4"/>
        <v>0</v>
      </c>
      <c r="P71" s="103" t="str">
        <f t="shared" si="5"/>
        <v>0 tubes and 0 shuttles</v>
      </c>
    </row>
    <row r="72" spans="1:16" ht="12.5" x14ac:dyDescent="0.25">
      <c r="A72" s="32">
        <f>'Profit &amp; Loss'!A72</f>
        <v>46172</v>
      </c>
      <c r="B72" s="35" t="str">
        <f>'Profit &amp; Loss'!B72</f>
        <v>Sat</v>
      </c>
      <c r="C72" s="36"/>
      <c r="D72" s="33"/>
      <c r="E72" s="33"/>
      <c r="F72" s="101"/>
      <c r="G72" s="102">
        <f t="shared" si="14"/>
        <v>0</v>
      </c>
      <c r="H72" s="103" t="str">
        <f t="shared" si="0"/>
        <v>0 tubes and 0 shuttles</v>
      </c>
      <c r="I72" s="36">
        <f t="shared" si="15"/>
        <v>0</v>
      </c>
      <c r="J72" s="104" t="str">
        <f t="shared" si="1"/>
        <v>0 tubes and 0 shuttles</v>
      </c>
      <c r="K72" s="36">
        <f t="shared" si="16"/>
        <v>0</v>
      </c>
      <c r="L72" s="103" t="str">
        <f t="shared" si="2"/>
        <v>0 tubes and 0 shuttles</v>
      </c>
      <c r="M72" s="105">
        <f t="shared" si="17"/>
        <v>0</v>
      </c>
      <c r="N72" s="103" t="str">
        <f t="shared" si="3"/>
        <v>0 tubes and 0 shuttles</v>
      </c>
      <c r="O72" s="36">
        <f t="shared" si="4"/>
        <v>0</v>
      </c>
      <c r="P72" s="103" t="str">
        <f t="shared" si="5"/>
        <v>0 tubes and 0 shuttles</v>
      </c>
    </row>
    <row r="73" spans="1:16" ht="12.5" x14ac:dyDescent="0.25">
      <c r="A73" s="32">
        <f>'Profit &amp; Loss'!A73</f>
        <v>46180</v>
      </c>
      <c r="B73" s="35" t="str">
        <f>'Profit &amp; Loss'!B73</f>
        <v>Sun</v>
      </c>
      <c r="C73" s="36"/>
      <c r="D73" s="33"/>
      <c r="E73" s="33"/>
      <c r="F73" s="101"/>
      <c r="G73" s="102">
        <f t="shared" si="14"/>
        <v>0</v>
      </c>
      <c r="H73" s="103" t="str">
        <f t="shared" si="0"/>
        <v>0 tubes and 0 shuttles</v>
      </c>
      <c r="I73" s="36">
        <f t="shared" si="15"/>
        <v>0</v>
      </c>
      <c r="J73" s="104" t="str">
        <f t="shared" si="1"/>
        <v>0 tubes and 0 shuttles</v>
      </c>
      <c r="K73" s="36">
        <f t="shared" si="16"/>
        <v>0</v>
      </c>
      <c r="L73" s="103" t="str">
        <f t="shared" si="2"/>
        <v>0 tubes and 0 shuttles</v>
      </c>
      <c r="M73" s="105">
        <f t="shared" si="17"/>
        <v>0</v>
      </c>
      <c r="N73" s="103" t="str">
        <f t="shared" si="3"/>
        <v>0 tubes and 0 shuttles</v>
      </c>
      <c r="O73" s="36">
        <f t="shared" si="4"/>
        <v>0</v>
      </c>
      <c r="P73" s="103" t="str">
        <f t="shared" si="5"/>
        <v>0 tubes and 0 shuttles</v>
      </c>
    </row>
    <row r="74" spans="1:16" ht="12.5" x14ac:dyDescent="0.25">
      <c r="A74" s="32">
        <f>'Profit &amp; Loss'!A74</f>
        <v>0</v>
      </c>
      <c r="B74" s="35">
        <f>'Profit &amp; Loss'!B74</f>
        <v>0</v>
      </c>
      <c r="C74" s="36"/>
      <c r="D74" s="33"/>
      <c r="E74" s="33"/>
      <c r="F74" s="101"/>
      <c r="G74" s="102">
        <f t="shared" si="14"/>
        <v>0</v>
      </c>
      <c r="H74" s="103" t="str">
        <f t="shared" si="0"/>
        <v>0 tubes and 0 shuttles</v>
      </c>
      <c r="I74" s="36">
        <f t="shared" si="15"/>
        <v>0</v>
      </c>
      <c r="J74" s="104" t="str">
        <f t="shared" si="1"/>
        <v>0 tubes and 0 shuttles</v>
      </c>
      <c r="K74" s="36">
        <f t="shared" si="16"/>
        <v>0</v>
      </c>
      <c r="L74" s="103" t="str">
        <f t="shared" si="2"/>
        <v>0 tubes and 0 shuttles</v>
      </c>
      <c r="M74" s="105">
        <f t="shared" si="17"/>
        <v>0</v>
      </c>
      <c r="N74" s="103" t="str">
        <f t="shared" si="3"/>
        <v>0 tubes and 0 shuttles</v>
      </c>
      <c r="O74" s="36">
        <f t="shared" si="4"/>
        <v>0</v>
      </c>
      <c r="P74" s="103" t="str">
        <f t="shared" si="5"/>
        <v>0 tubes and 0 shuttles</v>
      </c>
    </row>
    <row r="75" spans="1:16" ht="12.5" x14ac:dyDescent="0.25">
      <c r="A75" s="32">
        <f>'Profit &amp; Loss'!A75</f>
        <v>0</v>
      </c>
      <c r="B75" s="35">
        <f>'Profit &amp; Loss'!B75</f>
        <v>0</v>
      </c>
      <c r="C75" s="36"/>
      <c r="D75" s="33"/>
      <c r="E75" s="33"/>
      <c r="F75" s="101"/>
      <c r="G75" s="102">
        <f t="shared" si="14"/>
        <v>0</v>
      </c>
      <c r="H75" s="103" t="str">
        <f t="shared" si="0"/>
        <v>0 tubes and 0 shuttles</v>
      </c>
      <c r="I75" s="36">
        <f t="shared" si="15"/>
        <v>0</v>
      </c>
      <c r="J75" s="104" t="str">
        <f t="shared" si="1"/>
        <v>0 tubes and 0 shuttles</v>
      </c>
      <c r="K75" s="36">
        <f t="shared" si="16"/>
        <v>0</v>
      </c>
      <c r="L75" s="103" t="str">
        <f t="shared" si="2"/>
        <v>0 tubes and 0 shuttles</v>
      </c>
      <c r="M75" s="105">
        <f t="shared" si="17"/>
        <v>0</v>
      </c>
      <c r="N75" s="103" t="str">
        <f t="shared" si="3"/>
        <v>0 tubes and 0 shuttles</v>
      </c>
      <c r="O75" s="36">
        <f t="shared" si="4"/>
        <v>0</v>
      </c>
      <c r="P75" s="103" t="str">
        <f t="shared" si="5"/>
        <v>0 tubes and 0 shuttles</v>
      </c>
    </row>
    <row r="76" spans="1:16" ht="12.5" x14ac:dyDescent="0.25">
      <c r="A76" s="32">
        <f>'Profit &amp; Loss'!A76</f>
        <v>0</v>
      </c>
      <c r="B76" s="35">
        <f>'Profit &amp; Loss'!B76</f>
        <v>0</v>
      </c>
      <c r="C76" s="36"/>
      <c r="D76" s="33"/>
      <c r="E76" s="33"/>
      <c r="F76" s="101"/>
      <c r="G76" s="102">
        <f t="shared" si="14"/>
        <v>0</v>
      </c>
      <c r="H76" s="103" t="str">
        <f t="shared" si="0"/>
        <v>0 tubes and 0 shuttles</v>
      </c>
      <c r="I76" s="36">
        <f t="shared" si="15"/>
        <v>0</v>
      </c>
      <c r="J76" s="104" t="str">
        <f t="shared" si="1"/>
        <v>0 tubes and 0 shuttles</v>
      </c>
      <c r="K76" s="36">
        <f t="shared" si="16"/>
        <v>0</v>
      </c>
      <c r="L76" s="103" t="str">
        <f t="shared" si="2"/>
        <v>0 tubes and 0 shuttles</v>
      </c>
      <c r="M76" s="105">
        <f t="shared" si="17"/>
        <v>0</v>
      </c>
      <c r="N76" s="103" t="str">
        <f t="shared" si="3"/>
        <v>0 tubes and 0 shuttles</v>
      </c>
      <c r="O76" s="36">
        <f t="shared" si="4"/>
        <v>0</v>
      </c>
      <c r="P76" s="103" t="str">
        <f t="shared" si="5"/>
        <v>0 tubes and 0 shuttles</v>
      </c>
    </row>
    <row r="77" spans="1:16" ht="12.5" x14ac:dyDescent="0.25">
      <c r="A77" s="32">
        <f>'Profit &amp; Loss'!A77</f>
        <v>0</v>
      </c>
      <c r="B77" s="35">
        <f>'Profit &amp; Loss'!B77</f>
        <v>0</v>
      </c>
      <c r="C77" s="36"/>
      <c r="D77" s="33"/>
      <c r="E77" s="33"/>
      <c r="F77" s="101"/>
      <c r="G77" s="102">
        <f t="shared" si="14"/>
        <v>0</v>
      </c>
      <c r="H77" s="103" t="str">
        <f t="shared" si="0"/>
        <v>0 tubes and 0 shuttles</v>
      </c>
      <c r="I77" s="36">
        <f t="shared" si="15"/>
        <v>0</v>
      </c>
      <c r="J77" s="104" t="str">
        <f t="shared" si="1"/>
        <v>0 tubes and 0 shuttles</v>
      </c>
      <c r="K77" s="36">
        <f t="shared" si="16"/>
        <v>0</v>
      </c>
      <c r="L77" s="103" t="str">
        <f t="shared" si="2"/>
        <v>0 tubes and 0 shuttles</v>
      </c>
      <c r="M77" s="105">
        <f t="shared" si="17"/>
        <v>0</v>
      </c>
      <c r="N77" s="103" t="str">
        <f t="shared" si="3"/>
        <v>0 tubes and 0 shuttles</v>
      </c>
      <c r="O77" s="36">
        <f t="shared" si="4"/>
        <v>0</v>
      </c>
      <c r="P77" s="103" t="str">
        <f t="shared" si="5"/>
        <v>0 tubes and 0 shuttles</v>
      </c>
    </row>
    <row r="78" spans="1:16" ht="12.5" x14ac:dyDescent="0.25">
      <c r="A78" s="32">
        <f>'Profit &amp; Loss'!A78</f>
        <v>0</v>
      </c>
      <c r="B78" s="35">
        <f>'Profit &amp; Loss'!B78</f>
        <v>0</v>
      </c>
      <c r="C78" s="36"/>
      <c r="D78" s="33"/>
      <c r="E78" s="33"/>
      <c r="F78" s="101"/>
      <c r="G78" s="102">
        <f t="shared" si="14"/>
        <v>0</v>
      </c>
      <c r="H78" s="103" t="str">
        <f t="shared" si="0"/>
        <v>0 tubes and 0 shuttles</v>
      </c>
      <c r="I78" s="36">
        <f t="shared" si="15"/>
        <v>0</v>
      </c>
      <c r="J78" s="104" t="str">
        <f t="shared" si="1"/>
        <v>0 tubes and 0 shuttles</v>
      </c>
      <c r="K78" s="36">
        <f t="shared" si="16"/>
        <v>0</v>
      </c>
      <c r="L78" s="103" t="str">
        <f t="shared" si="2"/>
        <v>0 tubes and 0 shuttles</v>
      </c>
      <c r="M78" s="105">
        <f t="shared" si="17"/>
        <v>0</v>
      </c>
      <c r="N78" s="103" t="str">
        <f t="shared" si="3"/>
        <v>0 tubes and 0 shuttles</v>
      </c>
      <c r="O78" s="36">
        <f t="shared" si="4"/>
        <v>0</v>
      </c>
      <c r="P78" s="103" t="str">
        <f t="shared" si="5"/>
        <v>0 tubes and 0 shuttles</v>
      </c>
    </row>
    <row r="79" spans="1:16" ht="12.5" x14ac:dyDescent="0.25">
      <c r="A79" s="32">
        <f>'Profit &amp; Loss'!A79</f>
        <v>0</v>
      </c>
      <c r="B79" s="35">
        <f>'Profit &amp; Loss'!B79</f>
        <v>0</v>
      </c>
      <c r="C79" s="36"/>
      <c r="D79" s="33"/>
      <c r="E79" s="33"/>
      <c r="F79" s="101"/>
      <c r="G79" s="102">
        <f t="shared" si="14"/>
        <v>0</v>
      </c>
      <c r="H79" s="103" t="str">
        <f t="shared" si="0"/>
        <v>0 tubes and 0 shuttles</v>
      </c>
      <c r="I79" s="36">
        <f t="shared" si="15"/>
        <v>0</v>
      </c>
      <c r="J79" s="104" t="str">
        <f t="shared" si="1"/>
        <v>0 tubes and 0 shuttles</v>
      </c>
      <c r="K79" s="36">
        <f t="shared" si="16"/>
        <v>0</v>
      </c>
      <c r="L79" s="103" t="str">
        <f t="shared" si="2"/>
        <v>0 tubes and 0 shuttles</v>
      </c>
      <c r="M79" s="105">
        <f t="shared" si="17"/>
        <v>0</v>
      </c>
      <c r="N79" s="103" t="str">
        <f t="shared" si="3"/>
        <v>0 tubes and 0 shuttles</v>
      </c>
      <c r="O79" s="36">
        <f t="shared" si="4"/>
        <v>0</v>
      </c>
      <c r="P79" s="103" t="str">
        <f t="shared" si="5"/>
        <v>0 tubes and 0 shuttles</v>
      </c>
    </row>
    <row r="80" spans="1:16" ht="12.5" x14ac:dyDescent="0.25">
      <c r="A80" s="32">
        <f>'Profit &amp; Loss'!A80</f>
        <v>0</v>
      </c>
      <c r="B80" s="35">
        <f>'Profit &amp; Loss'!B80</f>
        <v>0</v>
      </c>
      <c r="C80" s="36"/>
      <c r="D80" s="33"/>
      <c r="E80" s="33"/>
      <c r="F80" s="101"/>
      <c r="G80" s="102">
        <f t="shared" si="14"/>
        <v>0</v>
      </c>
      <c r="H80" s="103" t="str">
        <f t="shared" si="0"/>
        <v>0 tubes and 0 shuttles</v>
      </c>
      <c r="I80" s="36">
        <f t="shared" si="15"/>
        <v>0</v>
      </c>
      <c r="J80" s="104" t="str">
        <f t="shared" si="1"/>
        <v>0 tubes and 0 shuttles</v>
      </c>
      <c r="K80" s="36">
        <f t="shared" si="16"/>
        <v>0</v>
      </c>
      <c r="L80" s="103" t="str">
        <f t="shared" si="2"/>
        <v>0 tubes and 0 shuttles</v>
      </c>
      <c r="M80" s="105">
        <f t="shared" si="17"/>
        <v>0</v>
      </c>
      <c r="N80" s="103" t="str">
        <f t="shared" si="3"/>
        <v>0 tubes and 0 shuttles</v>
      </c>
      <c r="O80" s="36">
        <f t="shared" si="4"/>
        <v>0</v>
      </c>
      <c r="P80" s="103" t="str">
        <f t="shared" si="5"/>
        <v>0 tubes and 0 shuttles</v>
      </c>
    </row>
    <row r="81" spans="1:16" ht="12.5" x14ac:dyDescent="0.25">
      <c r="A81" s="32">
        <f>'Profit &amp; Loss'!A81</f>
        <v>0</v>
      </c>
      <c r="B81" s="35">
        <f>'Profit &amp; Loss'!B81</f>
        <v>0</v>
      </c>
      <c r="C81" s="36"/>
      <c r="D81" s="33"/>
      <c r="E81" s="33"/>
      <c r="F81" s="101"/>
      <c r="G81" s="102">
        <f t="shared" si="14"/>
        <v>0</v>
      </c>
      <c r="H81" s="103" t="str">
        <f t="shared" si="0"/>
        <v>0 tubes and 0 shuttles</v>
      </c>
      <c r="I81" s="36">
        <f t="shared" si="15"/>
        <v>0</v>
      </c>
      <c r="J81" s="104" t="str">
        <f t="shared" si="1"/>
        <v>0 tubes and 0 shuttles</v>
      </c>
      <c r="K81" s="36">
        <f t="shared" si="16"/>
        <v>0</v>
      </c>
      <c r="L81" s="103" t="str">
        <f t="shared" si="2"/>
        <v>0 tubes and 0 shuttles</v>
      </c>
      <c r="M81" s="105">
        <f t="shared" si="17"/>
        <v>0</v>
      </c>
      <c r="N81" s="103" t="str">
        <f t="shared" si="3"/>
        <v>0 tubes and 0 shuttles</v>
      </c>
      <c r="O81" s="36">
        <f t="shared" si="4"/>
        <v>0</v>
      </c>
      <c r="P81" s="103" t="str">
        <f t="shared" si="5"/>
        <v>0 tubes and 0 shuttles</v>
      </c>
    </row>
    <row r="82" spans="1:16" ht="12.5" x14ac:dyDescent="0.25">
      <c r="A82" s="32">
        <f>'Profit &amp; Loss'!A82</f>
        <v>0</v>
      </c>
      <c r="B82" s="35">
        <f>'Profit &amp; Loss'!B82</f>
        <v>0</v>
      </c>
      <c r="C82" s="36"/>
      <c r="D82" s="33"/>
      <c r="E82" s="33"/>
      <c r="F82" s="101"/>
      <c r="G82" s="102">
        <f t="shared" si="14"/>
        <v>0</v>
      </c>
      <c r="H82" s="103" t="str">
        <f t="shared" si="0"/>
        <v>0 tubes and 0 shuttles</v>
      </c>
      <c r="I82" s="36">
        <f t="shared" si="15"/>
        <v>0</v>
      </c>
      <c r="J82" s="104" t="str">
        <f t="shared" si="1"/>
        <v>0 tubes and 0 shuttles</v>
      </c>
      <c r="K82" s="36">
        <f t="shared" si="16"/>
        <v>0</v>
      </c>
      <c r="L82" s="103" t="str">
        <f t="shared" si="2"/>
        <v>0 tubes and 0 shuttles</v>
      </c>
      <c r="M82" s="105">
        <f t="shared" si="17"/>
        <v>0</v>
      </c>
      <c r="N82" s="103" t="str">
        <f t="shared" si="3"/>
        <v>0 tubes and 0 shuttles</v>
      </c>
      <c r="O82" s="36">
        <f t="shared" si="4"/>
        <v>0</v>
      </c>
      <c r="P82" s="103" t="str">
        <f t="shared" si="5"/>
        <v>0 tubes and 0 shuttles</v>
      </c>
    </row>
    <row r="83" spans="1:16" ht="12.5" x14ac:dyDescent="0.25">
      <c r="A83" s="32">
        <f>'Profit &amp; Loss'!A83</f>
        <v>0</v>
      </c>
      <c r="B83" s="35">
        <f>'Profit &amp; Loss'!B83</f>
        <v>0</v>
      </c>
      <c r="C83" s="36"/>
      <c r="D83" s="33"/>
      <c r="E83" s="33"/>
      <c r="F83" s="101"/>
      <c r="G83" s="102">
        <f t="shared" si="14"/>
        <v>0</v>
      </c>
      <c r="H83" s="103" t="str">
        <f t="shared" si="0"/>
        <v>0 tubes and 0 shuttles</v>
      </c>
      <c r="I83" s="36">
        <f t="shared" si="15"/>
        <v>0</v>
      </c>
      <c r="J83" s="104" t="str">
        <f t="shared" si="1"/>
        <v>0 tubes and 0 shuttles</v>
      </c>
      <c r="K83" s="36">
        <f t="shared" si="16"/>
        <v>0</v>
      </c>
      <c r="L83" s="103" t="str">
        <f t="shared" si="2"/>
        <v>0 tubes and 0 shuttles</v>
      </c>
      <c r="M83" s="105">
        <f t="shared" si="17"/>
        <v>0</v>
      </c>
      <c r="N83" s="103" t="str">
        <f t="shared" si="3"/>
        <v>0 tubes and 0 shuttles</v>
      </c>
      <c r="O83" s="36">
        <f t="shared" si="4"/>
        <v>0</v>
      </c>
      <c r="P83" s="103" t="str">
        <f t="shared" si="5"/>
        <v>0 tubes and 0 shuttles</v>
      </c>
    </row>
    <row r="84" spans="1:16" ht="12.5" x14ac:dyDescent="0.25">
      <c r="A84" s="32">
        <f>'Profit &amp; Loss'!A84</f>
        <v>0</v>
      </c>
      <c r="B84" s="35">
        <f>'Profit &amp; Loss'!B84</f>
        <v>0</v>
      </c>
      <c r="C84" s="36"/>
      <c r="D84" s="33"/>
      <c r="E84" s="33"/>
      <c r="F84" s="101"/>
      <c r="G84" s="102">
        <f t="shared" si="14"/>
        <v>0</v>
      </c>
      <c r="H84" s="103" t="str">
        <f t="shared" si="0"/>
        <v>0 tubes and 0 shuttles</v>
      </c>
      <c r="I84" s="36">
        <f t="shared" si="15"/>
        <v>0</v>
      </c>
      <c r="J84" s="104" t="str">
        <f t="shared" si="1"/>
        <v>0 tubes and 0 shuttles</v>
      </c>
      <c r="K84" s="36">
        <f t="shared" si="16"/>
        <v>0</v>
      </c>
      <c r="L84" s="103" t="str">
        <f t="shared" si="2"/>
        <v>0 tubes and 0 shuttles</v>
      </c>
      <c r="M84" s="105">
        <f t="shared" si="17"/>
        <v>0</v>
      </c>
      <c r="N84" s="103" t="str">
        <f t="shared" si="3"/>
        <v>0 tubes and 0 shuttles</v>
      </c>
      <c r="O84" s="36">
        <f t="shared" si="4"/>
        <v>0</v>
      </c>
      <c r="P84" s="103" t="str">
        <f t="shared" si="5"/>
        <v>0 tubes and 0 shuttles</v>
      </c>
    </row>
    <row r="85" spans="1:16" ht="12.5" x14ac:dyDescent="0.25">
      <c r="A85" s="32">
        <f>'Profit &amp; Loss'!A85</f>
        <v>0</v>
      </c>
      <c r="B85" s="35">
        <f>'Profit &amp; Loss'!B85</f>
        <v>0</v>
      </c>
      <c r="C85" s="36"/>
      <c r="D85" s="33"/>
      <c r="E85" s="33"/>
      <c r="F85" s="101"/>
      <c r="G85" s="102">
        <f t="shared" si="14"/>
        <v>0</v>
      </c>
      <c r="H85" s="103" t="str">
        <f t="shared" si="0"/>
        <v>0 tubes and 0 shuttles</v>
      </c>
      <c r="I85" s="36">
        <f t="shared" si="15"/>
        <v>0</v>
      </c>
      <c r="J85" s="104" t="str">
        <f t="shared" si="1"/>
        <v>0 tubes and 0 shuttles</v>
      </c>
      <c r="K85" s="36">
        <f t="shared" si="16"/>
        <v>0</v>
      </c>
      <c r="L85" s="103" t="str">
        <f t="shared" si="2"/>
        <v>0 tubes and 0 shuttles</v>
      </c>
      <c r="M85" s="105">
        <f t="shared" si="17"/>
        <v>0</v>
      </c>
      <c r="N85" s="103" t="str">
        <f t="shared" si="3"/>
        <v>0 tubes and 0 shuttles</v>
      </c>
      <c r="O85" s="36">
        <f t="shared" si="4"/>
        <v>0</v>
      </c>
      <c r="P85" s="103" t="str">
        <f t="shared" si="5"/>
        <v>0 tubes and 0 shuttles</v>
      </c>
    </row>
    <row r="86" spans="1:16" ht="12.5" x14ac:dyDescent="0.25">
      <c r="A86" s="32">
        <f>'Profit &amp; Loss'!A86</f>
        <v>0</v>
      </c>
      <c r="B86" s="35">
        <f>'Profit &amp; Loss'!B86</f>
        <v>0</v>
      </c>
      <c r="C86" s="36"/>
      <c r="D86" s="33"/>
      <c r="E86" s="33"/>
      <c r="F86" s="101"/>
      <c r="G86" s="102">
        <f t="shared" si="14"/>
        <v>0</v>
      </c>
      <c r="H86" s="103" t="str">
        <f t="shared" si="0"/>
        <v>0 tubes and 0 shuttles</v>
      </c>
      <c r="I86" s="36">
        <f t="shared" si="15"/>
        <v>0</v>
      </c>
      <c r="J86" s="104" t="str">
        <f t="shared" si="1"/>
        <v>0 tubes and 0 shuttles</v>
      </c>
      <c r="K86" s="36">
        <f t="shared" si="16"/>
        <v>0</v>
      </c>
      <c r="L86" s="103" t="str">
        <f t="shared" si="2"/>
        <v>0 tubes and 0 shuttles</v>
      </c>
      <c r="M86" s="105">
        <f t="shared" si="17"/>
        <v>0</v>
      </c>
      <c r="N86" s="103" t="str">
        <f t="shared" si="3"/>
        <v>0 tubes and 0 shuttles</v>
      </c>
      <c r="O86" s="36">
        <f t="shared" si="4"/>
        <v>0</v>
      </c>
      <c r="P86" s="103" t="str">
        <f t="shared" si="5"/>
        <v>0 tubes and 0 shuttles</v>
      </c>
    </row>
    <row r="87" spans="1:16" ht="12.5" x14ac:dyDescent="0.25">
      <c r="A87" s="32">
        <f>'Profit &amp; Loss'!A87</f>
        <v>0</v>
      </c>
      <c r="B87" s="35">
        <f>'Profit &amp; Loss'!B87</f>
        <v>0</v>
      </c>
      <c r="C87" s="36"/>
      <c r="D87" s="33"/>
      <c r="E87" s="33"/>
      <c r="F87" s="101"/>
      <c r="G87" s="102">
        <f t="shared" si="14"/>
        <v>0</v>
      </c>
      <c r="H87" s="103" t="str">
        <f t="shared" si="0"/>
        <v>0 tubes and 0 shuttles</v>
      </c>
      <c r="I87" s="36">
        <f t="shared" si="15"/>
        <v>0</v>
      </c>
      <c r="J87" s="104" t="str">
        <f t="shared" si="1"/>
        <v>0 tubes and 0 shuttles</v>
      </c>
      <c r="K87" s="36">
        <f t="shared" si="16"/>
        <v>0</v>
      </c>
      <c r="L87" s="103" t="str">
        <f t="shared" si="2"/>
        <v>0 tubes and 0 shuttles</v>
      </c>
      <c r="M87" s="105">
        <f t="shared" si="17"/>
        <v>0</v>
      </c>
      <c r="N87" s="103" t="str">
        <f t="shared" si="3"/>
        <v>0 tubes and 0 shuttles</v>
      </c>
      <c r="O87" s="36">
        <f t="shared" si="4"/>
        <v>0</v>
      </c>
      <c r="P87" s="103" t="str">
        <f t="shared" si="5"/>
        <v>0 tubes and 0 shuttles</v>
      </c>
    </row>
    <row r="88" spans="1:16" ht="12.5" x14ac:dyDescent="0.25">
      <c r="A88" s="32">
        <f>'Profit &amp; Loss'!A88</f>
        <v>0</v>
      </c>
      <c r="B88" s="35">
        <f>'Profit &amp; Loss'!B88</f>
        <v>0</v>
      </c>
      <c r="C88" s="36"/>
      <c r="D88" s="33"/>
      <c r="E88" s="33"/>
      <c r="F88" s="101"/>
      <c r="G88" s="102">
        <f t="shared" si="14"/>
        <v>0</v>
      </c>
      <c r="H88" s="103" t="str">
        <f t="shared" si="0"/>
        <v>0 tubes and 0 shuttles</v>
      </c>
      <c r="I88" s="36">
        <f t="shared" si="15"/>
        <v>0</v>
      </c>
      <c r="J88" s="104" t="str">
        <f t="shared" si="1"/>
        <v>0 tubes and 0 shuttles</v>
      </c>
      <c r="K88" s="36">
        <f t="shared" si="16"/>
        <v>0</v>
      </c>
      <c r="L88" s="103" t="str">
        <f t="shared" si="2"/>
        <v>0 tubes and 0 shuttles</v>
      </c>
      <c r="M88" s="105">
        <f t="shared" si="17"/>
        <v>0</v>
      </c>
      <c r="N88" s="103" t="str">
        <f t="shared" si="3"/>
        <v>0 tubes and 0 shuttles</v>
      </c>
      <c r="O88" s="36">
        <f t="shared" si="4"/>
        <v>0</v>
      </c>
      <c r="P88" s="103" t="str">
        <f t="shared" si="5"/>
        <v>0 tubes and 0 shuttles</v>
      </c>
    </row>
    <row r="89" spans="1:16" ht="12.5" x14ac:dyDescent="0.25">
      <c r="A89" s="32">
        <f>'Profit &amp; Loss'!A89</f>
        <v>0</v>
      </c>
      <c r="B89" s="35">
        <f>'Profit &amp; Loss'!B89</f>
        <v>0</v>
      </c>
      <c r="C89" s="36"/>
      <c r="D89" s="33"/>
      <c r="E89" s="33"/>
      <c r="F89" s="101"/>
      <c r="G89" s="102">
        <f t="shared" si="14"/>
        <v>0</v>
      </c>
      <c r="H89" s="103" t="str">
        <f t="shared" si="0"/>
        <v>0 tubes and 0 shuttles</v>
      </c>
      <c r="I89" s="36">
        <f t="shared" si="15"/>
        <v>0</v>
      </c>
      <c r="J89" s="104" t="str">
        <f t="shared" si="1"/>
        <v>0 tubes and 0 shuttles</v>
      </c>
      <c r="K89" s="36">
        <f t="shared" si="16"/>
        <v>0</v>
      </c>
      <c r="L89" s="103" t="str">
        <f t="shared" si="2"/>
        <v>0 tubes and 0 shuttles</v>
      </c>
      <c r="M89" s="105">
        <f t="shared" si="17"/>
        <v>0</v>
      </c>
      <c r="N89" s="103" t="str">
        <f t="shared" si="3"/>
        <v>0 tubes and 0 shuttles</v>
      </c>
      <c r="O89" s="36">
        <f t="shared" si="4"/>
        <v>0</v>
      </c>
      <c r="P89" s="103" t="str">
        <f t="shared" si="5"/>
        <v>0 tubes and 0 shuttles</v>
      </c>
    </row>
    <row r="90" spans="1:16" ht="12.5" x14ac:dyDescent="0.25">
      <c r="A90" s="32">
        <f>'Profit &amp; Loss'!A90</f>
        <v>0</v>
      </c>
      <c r="B90" s="35">
        <f>'Profit &amp; Loss'!B90</f>
        <v>0</v>
      </c>
      <c r="C90" s="36"/>
      <c r="D90" s="33"/>
      <c r="E90" s="33"/>
      <c r="F90" s="101"/>
      <c r="G90" s="102">
        <f t="shared" si="14"/>
        <v>0</v>
      </c>
      <c r="H90" s="103" t="str">
        <f t="shared" si="0"/>
        <v>0 tubes and 0 shuttles</v>
      </c>
      <c r="I90" s="36">
        <f t="shared" si="15"/>
        <v>0</v>
      </c>
      <c r="J90" s="104" t="str">
        <f t="shared" si="1"/>
        <v>0 tubes and 0 shuttles</v>
      </c>
      <c r="K90" s="36">
        <f t="shared" si="16"/>
        <v>0</v>
      </c>
      <c r="L90" s="103" t="str">
        <f t="shared" si="2"/>
        <v>0 tubes and 0 shuttles</v>
      </c>
      <c r="M90" s="105">
        <f t="shared" si="17"/>
        <v>0</v>
      </c>
      <c r="N90" s="103" t="str">
        <f t="shared" si="3"/>
        <v>0 tubes and 0 shuttles</v>
      </c>
      <c r="O90" s="36">
        <f t="shared" si="4"/>
        <v>0</v>
      </c>
      <c r="P90" s="103" t="str">
        <f t="shared" si="5"/>
        <v>0 tubes and 0 shuttles</v>
      </c>
    </row>
    <row r="91" spans="1:16" ht="12.5" x14ac:dyDescent="0.25">
      <c r="A91" s="32">
        <f>'Profit &amp; Loss'!A91</f>
        <v>0</v>
      </c>
      <c r="B91" s="35">
        <f>'Profit &amp; Loss'!B91</f>
        <v>0</v>
      </c>
      <c r="C91" s="36"/>
      <c r="D91" s="33"/>
      <c r="E91" s="33"/>
      <c r="F91" s="101"/>
      <c r="G91" s="102">
        <f t="shared" si="14"/>
        <v>0</v>
      </c>
      <c r="H91" s="103" t="str">
        <f t="shared" si="0"/>
        <v>0 tubes and 0 shuttles</v>
      </c>
      <c r="I91" s="36">
        <f t="shared" si="15"/>
        <v>0</v>
      </c>
      <c r="J91" s="104" t="str">
        <f t="shared" si="1"/>
        <v>0 tubes and 0 shuttles</v>
      </c>
      <c r="K91" s="36">
        <f t="shared" si="16"/>
        <v>0</v>
      </c>
      <c r="L91" s="103" t="str">
        <f t="shared" si="2"/>
        <v>0 tubes and 0 shuttles</v>
      </c>
      <c r="M91" s="105">
        <f t="shared" si="17"/>
        <v>0</v>
      </c>
      <c r="N91" s="103" t="str">
        <f t="shared" si="3"/>
        <v>0 tubes and 0 shuttles</v>
      </c>
      <c r="O91" s="36">
        <f t="shared" si="4"/>
        <v>0</v>
      </c>
      <c r="P91" s="103" t="str">
        <f t="shared" si="5"/>
        <v>0 tubes and 0 shuttles</v>
      </c>
    </row>
    <row r="92" spans="1:16" ht="12.5" x14ac:dyDescent="0.25">
      <c r="A92" s="32">
        <f>'Profit &amp; Loss'!A92</f>
        <v>0</v>
      </c>
      <c r="B92" s="35">
        <f>'Profit &amp; Loss'!B92</f>
        <v>0</v>
      </c>
      <c r="C92" s="36"/>
      <c r="D92" s="33"/>
      <c r="E92" s="33"/>
      <c r="F92" s="101"/>
      <c r="G92" s="102">
        <f t="shared" si="14"/>
        <v>0</v>
      </c>
      <c r="H92" s="103" t="str">
        <f t="shared" si="0"/>
        <v>0 tubes and 0 shuttles</v>
      </c>
      <c r="I92" s="36">
        <f t="shared" si="15"/>
        <v>0</v>
      </c>
      <c r="J92" s="104" t="str">
        <f t="shared" si="1"/>
        <v>0 tubes and 0 shuttles</v>
      </c>
      <c r="K92" s="36">
        <f t="shared" si="16"/>
        <v>0</v>
      </c>
      <c r="L92" s="103" t="str">
        <f t="shared" si="2"/>
        <v>0 tubes and 0 shuttles</v>
      </c>
      <c r="M92" s="105">
        <f t="shared" si="17"/>
        <v>0</v>
      </c>
      <c r="N92" s="103" t="str">
        <f t="shared" si="3"/>
        <v>0 tubes and 0 shuttles</v>
      </c>
      <c r="O92" s="36">
        <f t="shared" si="4"/>
        <v>0</v>
      </c>
      <c r="P92" s="103" t="str">
        <f t="shared" si="5"/>
        <v>0 tubes and 0 shuttles</v>
      </c>
    </row>
    <row r="93" spans="1:16" ht="12.5" x14ac:dyDescent="0.25">
      <c r="A93" s="32">
        <f>'Profit &amp; Loss'!A93</f>
        <v>0</v>
      </c>
      <c r="B93" s="35">
        <f>'Profit &amp; Loss'!B93</f>
        <v>0</v>
      </c>
      <c r="C93" s="36"/>
      <c r="D93" s="33"/>
      <c r="E93" s="33"/>
      <c r="F93" s="101"/>
      <c r="G93" s="102">
        <f t="shared" si="14"/>
        <v>0</v>
      </c>
      <c r="H93" s="103" t="str">
        <f t="shared" si="0"/>
        <v>0 tubes and 0 shuttles</v>
      </c>
      <c r="I93" s="36">
        <f t="shared" si="15"/>
        <v>0</v>
      </c>
      <c r="J93" s="104" t="str">
        <f t="shared" si="1"/>
        <v>0 tubes and 0 shuttles</v>
      </c>
      <c r="K93" s="36">
        <f t="shared" si="16"/>
        <v>0</v>
      </c>
      <c r="L93" s="103" t="str">
        <f t="shared" si="2"/>
        <v>0 tubes and 0 shuttles</v>
      </c>
      <c r="M93" s="105">
        <f t="shared" si="17"/>
        <v>0</v>
      </c>
      <c r="N93" s="103" t="str">
        <f t="shared" si="3"/>
        <v>0 tubes and 0 shuttles</v>
      </c>
      <c r="O93" s="36">
        <f t="shared" si="4"/>
        <v>0</v>
      </c>
      <c r="P93" s="103" t="str">
        <f t="shared" si="5"/>
        <v>0 tubes and 0 shuttles</v>
      </c>
    </row>
    <row r="94" spans="1:16" ht="12.5" x14ac:dyDescent="0.25">
      <c r="A94" s="32">
        <f>'Profit &amp; Loss'!A94</f>
        <v>0</v>
      </c>
      <c r="B94" s="35">
        <f>'Profit &amp; Loss'!B94</f>
        <v>0</v>
      </c>
      <c r="C94" s="36"/>
      <c r="D94" s="33"/>
      <c r="E94" s="33"/>
      <c r="F94" s="101"/>
      <c r="G94" s="102">
        <f t="shared" si="14"/>
        <v>0</v>
      </c>
      <c r="H94" s="103" t="str">
        <f t="shared" si="0"/>
        <v>0 tubes and 0 shuttles</v>
      </c>
      <c r="I94" s="36">
        <f t="shared" si="15"/>
        <v>0</v>
      </c>
      <c r="J94" s="104" t="str">
        <f t="shared" si="1"/>
        <v>0 tubes and 0 shuttles</v>
      </c>
      <c r="K94" s="36">
        <f t="shared" si="16"/>
        <v>0</v>
      </c>
      <c r="L94" s="103" t="str">
        <f t="shared" si="2"/>
        <v>0 tubes and 0 shuttles</v>
      </c>
      <c r="M94" s="105">
        <f t="shared" si="17"/>
        <v>0</v>
      </c>
      <c r="N94" s="103" t="str">
        <f t="shared" si="3"/>
        <v>0 tubes and 0 shuttles</v>
      </c>
      <c r="O94" s="36">
        <f t="shared" si="4"/>
        <v>0</v>
      </c>
      <c r="P94" s="103" t="str">
        <f t="shared" si="5"/>
        <v>0 tubes and 0 shuttles</v>
      </c>
    </row>
    <row r="95" spans="1:16" ht="12.5" x14ac:dyDescent="0.25">
      <c r="A95" s="32">
        <f>'Profit &amp; Loss'!A95</f>
        <v>0</v>
      </c>
      <c r="B95" s="35">
        <f>'Profit &amp; Loss'!B95</f>
        <v>0</v>
      </c>
      <c r="C95" s="36"/>
      <c r="D95" s="33"/>
      <c r="E95" s="33"/>
      <c r="F95" s="101"/>
      <c r="G95" s="102">
        <f t="shared" si="14"/>
        <v>0</v>
      </c>
      <c r="H95" s="103" t="str">
        <f t="shared" si="0"/>
        <v>0 tubes and 0 shuttles</v>
      </c>
      <c r="I95" s="36">
        <f t="shared" si="15"/>
        <v>0</v>
      </c>
      <c r="J95" s="104" t="str">
        <f t="shared" si="1"/>
        <v>0 tubes and 0 shuttles</v>
      </c>
      <c r="K95" s="36">
        <f t="shared" si="16"/>
        <v>0</v>
      </c>
      <c r="L95" s="103" t="str">
        <f t="shared" si="2"/>
        <v>0 tubes and 0 shuttles</v>
      </c>
      <c r="M95" s="105">
        <f t="shared" si="17"/>
        <v>0</v>
      </c>
      <c r="N95" s="103" t="str">
        <f t="shared" si="3"/>
        <v>0 tubes and 0 shuttles</v>
      </c>
      <c r="O95" s="36">
        <f t="shared" si="4"/>
        <v>0</v>
      </c>
      <c r="P95" s="103" t="str">
        <f t="shared" si="5"/>
        <v>0 tubes and 0 shuttles</v>
      </c>
    </row>
    <row r="96" spans="1:16" ht="12.5" x14ac:dyDescent="0.25">
      <c r="A96" s="32">
        <f>'Profit &amp; Loss'!A96</f>
        <v>0</v>
      </c>
      <c r="B96" s="35">
        <f>'Profit &amp; Loss'!B96</f>
        <v>0</v>
      </c>
      <c r="C96" s="36"/>
      <c r="D96" s="33"/>
      <c r="E96" s="33"/>
      <c r="F96" s="101"/>
      <c r="G96" s="102">
        <f t="shared" si="14"/>
        <v>0</v>
      </c>
      <c r="H96" s="103" t="str">
        <f t="shared" si="0"/>
        <v>0 tubes and 0 shuttles</v>
      </c>
      <c r="I96" s="36">
        <f t="shared" si="15"/>
        <v>0</v>
      </c>
      <c r="J96" s="104" t="str">
        <f t="shared" si="1"/>
        <v>0 tubes and 0 shuttles</v>
      </c>
      <c r="K96" s="36">
        <f t="shared" si="16"/>
        <v>0</v>
      </c>
      <c r="L96" s="103" t="str">
        <f t="shared" si="2"/>
        <v>0 tubes and 0 shuttles</v>
      </c>
      <c r="M96" s="105">
        <f t="shared" si="17"/>
        <v>0</v>
      </c>
      <c r="N96" s="103" t="str">
        <f t="shared" si="3"/>
        <v>0 tubes and 0 shuttles</v>
      </c>
      <c r="O96" s="36">
        <f t="shared" si="4"/>
        <v>0</v>
      </c>
      <c r="P96" s="103" t="str">
        <f t="shared" si="5"/>
        <v>0 tubes and 0 shuttles</v>
      </c>
    </row>
    <row r="97" spans="1:16" ht="12.5" x14ac:dyDescent="0.25">
      <c r="A97" s="32">
        <f>'Profit &amp; Loss'!A97</f>
        <v>0</v>
      </c>
      <c r="B97" s="35">
        <f>'Profit &amp; Loss'!B97</f>
        <v>0</v>
      </c>
      <c r="C97" s="36"/>
      <c r="D97" s="33"/>
      <c r="E97" s="33"/>
      <c r="F97" s="101"/>
      <c r="G97" s="102">
        <f t="shared" si="14"/>
        <v>0</v>
      </c>
      <c r="H97" s="103" t="str">
        <f t="shared" si="0"/>
        <v>0 tubes and 0 shuttles</v>
      </c>
      <c r="I97" s="36">
        <f t="shared" si="15"/>
        <v>0</v>
      </c>
      <c r="J97" s="104" t="str">
        <f t="shared" si="1"/>
        <v>0 tubes and 0 shuttles</v>
      </c>
      <c r="K97" s="36">
        <f t="shared" si="16"/>
        <v>0</v>
      </c>
      <c r="L97" s="103" t="str">
        <f t="shared" si="2"/>
        <v>0 tubes and 0 shuttles</v>
      </c>
      <c r="M97" s="105">
        <f t="shared" si="17"/>
        <v>0</v>
      </c>
      <c r="N97" s="103" t="str">
        <f t="shared" si="3"/>
        <v>0 tubes and 0 shuttles</v>
      </c>
      <c r="O97" s="36">
        <f t="shared" si="4"/>
        <v>0</v>
      </c>
      <c r="P97" s="103" t="str">
        <f t="shared" si="5"/>
        <v>0 tubes and 0 shuttles</v>
      </c>
    </row>
    <row r="98" spans="1:16" ht="12.5" x14ac:dyDescent="0.25">
      <c r="A98" s="32">
        <f>'Profit &amp; Loss'!A98</f>
        <v>0</v>
      </c>
      <c r="B98" s="35">
        <f>'Profit &amp; Loss'!B98</f>
        <v>0</v>
      </c>
      <c r="C98" s="36"/>
      <c r="D98" s="33"/>
      <c r="E98" s="33"/>
      <c r="F98" s="101"/>
      <c r="G98" s="102">
        <f t="shared" si="14"/>
        <v>0</v>
      </c>
      <c r="H98" s="103" t="str">
        <f t="shared" si="0"/>
        <v>0 tubes and 0 shuttles</v>
      </c>
      <c r="I98" s="36">
        <f t="shared" si="15"/>
        <v>0</v>
      </c>
      <c r="J98" s="104" t="str">
        <f t="shared" si="1"/>
        <v>0 tubes and 0 shuttles</v>
      </c>
      <c r="K98" s="36">
        <f t="shared" si="16"/>
        <v>0</v>
      </c>
      <c r="L98" s="103" t="str">
        <f t="shared" si="2"/>
        <v>0 tubes and 0 shuttles</v>
      </c>
      <c r="M98" s="105">
        <f t="shared" si="17"/>
        <v>0</v>
      </c>
      <c r="N98" s="103" t="str">
        <f t="shared" si="3"/>
        <v>0 tubes and 0 shuttles</v>
      </c>
      <c r="O98" s="36">
        <f t="shared" si="4"/>
        <v>0</v>
      </c>
      <c r="P98" s="103" t="str">
        <f t="shared" si="5"/>
        <v>0 tubes and 0 shuttles</v>
      </c>
    </row>
    <row r="99" spans="1:16" ht="12.5" x14ac:dyDescent="0.25">
      <c r="A99" s="32">
        <f>'Profit &amp; Loss'!A99</f>
        <v>0</v>
      </c>
      <c r="B99" s="35">
        <f>'Profit &amp; Loss'!B99</f>
        <v>0</v>
      </c>
      <c r="C99" s="36"/>
      <c r="D99" s="33"/>
      <c r="E99" s="33"/>
      <c r="F99" s="101"/>
      <c r="G99" s="102">
        <f t="shared" si="14"/>
        <v>0</v>
      </c>
      <c r="H99" s="103" t="str">
        <f t="shared" si="0"/>
        <v>0 tubes and 0 shuttles</v>
      </c>
      <c r="I99" s="36">
        <f t="shared" si="15"/>
        <v>0</v>
      </c>
      <c r="J99" s="104" t="str">
        <f t="shared" si="1"/>
        <v>0 tubes and 0 shuttles</v>
      </c>
      <c r="K99" s="36">
        <f t="shared" si="16"/>
        <v>0</v>
      </c>
      <c r="L99" s="103" t="str">
        <f t="shared" si="2"/>
        <v>0 tubes and 0 shuttles</v>
      </c>
      <c r="M99" s="105">
        <f t="shared" si="17"/>
        <v>0</v>
      </c>
      <c r="N99" s="103" t="str">
        <f t="shared" si="3"/>
        <v>0 tubes and 0 shuttles</v>
      </c>
      <c r="O99" s="36">
        <f t="shared" si="4"/>
        <v>0</v>
      </c>
      <c r="P99" s="103" t="str">
        <f t="shared" si="5"/>
        <v>0 tubes and 0 shuttles</v>
      </c>
    </row>
    <row r="100" spans="1:16" ht="12.5" x14ac:dyDescent="0.25">
      <c r="A100" s="32">
        <f>'Profit &amp; Loss'!A100</f>
        <v>0</v>
      </c>
      <c r="B100" s="35">
        <f>'Profit &amp; Loss'!B100</f>
        <v>0</v>
      </c>
      <c r="C100" s="36"/>
      <c r="D100" s="33"/>
      <c r="E100" s="33"/>
      <c r="F100" s="101"/>
      <c r="G100" s="102">
        <f t="shared" si="14"/>
        <v>0</v>
      </c>
      <c r="H100" s="103" t="str">
        <f t="shared" si="0"/>
        <v>0 tubes and 0 shuttles</v>
      </c>
      <c r="I100" s="36">
        <f t="shared" si="15"/>
        <v>0</v>
      </c>
      <c r="J100" s="104" t="str">
        <f t="shared" si="1"/>
        <v>0 tubes and 0 shuttles</v>
      </c>
      <c r="K100" s="36">
        <f t="shared" si="16"/>
        <v>0</v>
      </c>
      <c r="L100" s="103" t="str">
        <f t="shared" si="2"/>
        <v>0 tubes and 0 shuttles</v>
      </c>
      <c r="M100" s="105">
        <f t="shared" si="17"/>
        <v>0</v>
      </c>
      <c r="N100" s="103" t="str">
        <f t="shared" si="3"/>
        <v>0 tubes and 0 shuttles</v>
      </c>
      <c r="O100" s="36">
        <f t="shared" si="4"/>
        <v>0</v>
      </c>
      <c r="P100" s="103" t="str">
        <f t="shared" si="5"/>
        <v>0 tubes and 0 shuttles</v>
      </c>
    </row>
    <row r="101" spans="1:16" ht="12.5" x14ac:dyDescent="0.25">
      <c r="A101" s="32">
        <f>'Profit &amp; Loss'!A101</f>
        <v>0</v>
      </c>
      <c r="B101" s="35">
        <f>'Profit &amp; Loss'!B101</f>
        <v>0</v>
      </c>
      <c r="C101" s="36"/>
      <c r="D101" s="33"/>
      <c r="E101" s="33"/>
      <c r="F101" s="101"/>
      <c r="G101" s="102">
        <f t="shared" si="14"/>
        <v>0</v>
      </c>
      <c r="H101" s="103" t="str">
        <f t="shared" si="0"/>
        <v>0 tubes and 0 shuttles</v>
      </c>
      <c r="I101" s="36">
        <f t="shared" si="15"/>
        <v>0</v>
      </c>
      <c r="J101" s="104" t="str">
        <f t="shared" si="1"/>
        <v>0 tubes and 0 shuttles</v>
      </c>
      <c r="K101" s="36">
        <f t="shared" si="16"/>
        <v>0</v>
      </c>
      <c r="L101" s="103" t="str">
        <f t="shared" si="2"/>
        <v>0 tubes and 0 shuttles</v>
      </c>
      <c r="M101" s="105">
        <f t="shared" si="17"/>
        <v>0</v>
      </c>
      <c r="N101" s="103" t="str">
        <f t="shared" si="3"/>
        <v>0 tubes and 0 shuttles</v>
      </c>
      <c r="O101" s="36">
        <f t="shared" si="4"/>
        <v>0</v>
      </c>
      <c r="P101" s="103" t="str">
        <f t="shared" si="5"/>
        <v>0 tubes and 0 shuttles</v>
      </c>
    </row>
    <row r="102" spans="1:16" ht="12.5" x14ac:dyDescent="0.25">
      <c r="A102" s="32">
        <f>'Profit &amp; Loss'!A102</f>
        <v>0</v>
      </c>
      <c r="B102" s="35">
        <f>'Profit &amp; Loss'!B102</f>
        <v>0</v>
      </c>
      <c r="C102" s="36"/>
      <c r="D102" s="33"/>
      <c r="E102" s="33"/>
      <c r="F102" s="101"/>
      <c r="G102" s="102">
        <f t="shared" si="14"/>
        <v>0</v>
      </c>
      <c r="H102" s="103" t="str">
        <f t="shared" si="0"/>
        <v>0 tubes and 0 shuttles</v>
      </c>
      <c r="I102" s="36">
        <f t="shared" si="15"/>
        <v>0</v>
      </c>
      <c r="J102" s="104" t="str">
        <f t="shared" si="1"/>
        <v>0 tubes and 0 shuttles</v>
      </c>
      <c r="K102" s="36">
        <f t="shared" si="16"/>
        <v>0</v>
      </c>
      <c r="L102" s="103" t="str">
        <f t="shared" si="2"/>
        <v>0 tubes and 0 shuttles</v>
      </c>
      <c r="M102" s="105">
        <f t="shared" si="17"/>
        <v>0</v>
      </c>
      <c r="N102" s="103" t="str">
        <f t="shared" si="3"/>
        <v>0 tubes and 0 shuttles</v>
      </c>
      <c r="O102" s="36">
        <f t="shared" si="4"/>
        <v>0</v>
      </c>
      <c r="P102" s="103" t="str">
        <f t="shared" si="5"/>
        <v>0 tubes and 0 shuttles</v>
      </c>
    </row>
    <row r="103" spans="1:16" ht="12.5" x14ac:dyDescent="0.25">
      <c r="A103" s="32">
        <f>'Profit &amp; Loss'!A103</f>
        <v>0</v>
      </c>
      <c r="B103" s="35">
        <f>'Profit &amp; Loss'!B103</f>
        <v>0</v>
      </c>
      <c r="C103" s="36"/>
      <c r="D103" s="33"/>
      <c r="E103" s="33"/>
      <c r="F103" s="101"/>
      <c r="G103" s="102">
        <f t="shared" si="14"/>
        <v>0</v>
      </c>
      <c r="H103" s="103" t="str">
        <f t="shared" si="0"/>
        <v>0 tubes and 0 shuttles</v>
      </c>
      <c r="I103" s="36">
        <f t="shared" si="15"/>
        <v>0</v>
      </c>
      <c r="J103" s="104" t="str">
        <f t="shared" si="1"/>
        <v>0 tubes and 0 shuttles</v>
      </c>
      <c r="K103" s="36">
        <f t="shared" si="16"/>
        <v>0</v>
      </c>
      <c r="L103" s="103" t="str">
        <f t="shared" si="2"/>
        <v>0 tubes and 0 shuttles</v>
      </c>
      <c r="M103" s="105">
        <f t="shared" si="17"/>
        <v>0</v>
      </c>
      <c r="N103" s="103" t="str">
        <f t="shared" si="3"/>
        <v>0 tubes and 0 shuttles</v>
      </c>
      <c r="O103" s="36">
        <f t="shared" si="4"/>
        <v>0</v>
      </c>
      <c r="P103" s="103" t="str">
        <f t="shared" si="5"/>
        <v>0 tubes and 0 shuttles</v>
      </c>
    </row>
    <row r="104" spans="1:16" ht="12.5" x14ac:dyDescent="0.25">
      <c r="A104" s="32">
        <f>'Profit &amp; Loss'!A104</f>
        <v>0</v>
      </c>
      <c r="B104" s="35">
        <f>'Profit &amp; Loss'!B104</f>
        <v>0</v>
      </c>
      <c r="C104" s="36"/>
      <c r="D104" s="33"/>
      <c r="E104" s="33"/>
      <c r="F104" s="101"/>
      <c r="G104" s="102">
        <f t="shared" si="14"/>
        <v>0</v>
      </c>
      <c r="H104" s="103" t="str">
        <f t="shared" si="0"/>
        <v>0 tubes and 0 shuttles</v>
      </c>
      <c r="I104" s="36">
        <f t="shared" si="15"/>
        <v>0</v>
      </c>
      <c r="J104" s="104" t="str">
        <f t="shared" si="1"/>
        <v>0 tubes and 0 shuttles</v>
      </c>
      <c r="K104" s="36">
        <f t="shared" si="16"/>
        <v>0</v>
      </c>
      <c r="L104" s="103" t="str">
        <f t="shared" si="2"/>
        <v>0 tubes and 0 shuttles</v>
      </c>
      <c r="M104" s="105">
        <f t="shared" si="17"/>
        <v>0</v>
      </c>
      <c r="N104" s="103" t="str">
        <f t="shared" si="3"/>
        <v>0 tubes and 0 shuttles</v>
      </c>
      <c r="O104" s="36">
        <f t="shared" si="4"/>
        <v>0</v>
      </c>
      <c r="P104" s="103" t="str">
        <f t="shared" si="5"/>
        <v>0 tubes and 0 shuttles</v>
      </c>
    </row>
    <row r="105" spans="1:16" ht="12.5" x14ac:dyDescent="0.25">
      <c r="A105" s="32">
        <f>'Profit &amp; Loss'!A105</f>
        <v>0</v>
      </c>
      <c r="B105" s="35">
        <f>'Profit &amp; Loss'!B105</f>
        <v>0</v>
      </c>
      <c r="C105" s="36"/>
      <c r="D105" s="33"/>
      <c r="E105" s="33"/>
      <c r="F105" s="101"/>
      <c r="G105" s="102">
        <f t="shared" si="14"/>
        <v>0</v>
      </c>
      <c r="H105" s="103" t="str">
        <f t="shared" si="0"/>
        <v>0 tubes and 0 shuttles</v>
      </c>
      <c r="I105" s="36">
        <f t="shared" si="15"/>
        <v>0</v>
      </c>
      <c r="J105" s="104" t="str">
        <f t="shared" si="1"/>
        <v>0 tubes and 0 shuttles</v>
      </c>
      <c r="K105" s="36">
        <f t="shared" si="16"/>
        <v>0</v>
      </c>
      <c r="L105" s="103" t="str">
        <f t="shared" si="2"/>
        <v>0 tubes and 0 shuttles</v>
      </c>
      <c r="M105" s="105">
        <f t="shared" si="17"/>
        <v>0</v>
      </c>
      <c r="N105" s="103" t="str">
        <f t="shared" si="3"/>
        <v>0 tubes and 0 shuttles</v>
      </c>
      <c r="O105" s="36">
        <f t="shared" si="4"/>
        <v>0</v>
      </c>
      <c r="P105" s="103" t="str">
        <f t="shared" si="5"/>
        <v>0 tubes and 0 shuttles</v>
      </c>
    </row>
    <row r="106" spans="1:16" ht="12.5" x14ac:dyDescent="0.25">
      <c r="A106" s="32">
        <f>'Profit &amp; Loss'!A106</f>
        <v>0</v>
      </c>
      <c r="B106" s="35">
        <f>'Profit &amp; Loss'!B106</f>
        <v>0</v>
      </c>
      <c r="C106" s="36"/>
      <c r="D106" s="33"/>
      <c r="E106" s="33"/>
      <c r="F106" s="101"/>
      <c r="G106" s="102">
        <f t="shared" si="14"/>
        <v>0</v>
      </c>
      <c r="H106" s="103" t="str">
        <f t="shared" si="0"/>
        <v>0 tubes and 0 shuttles</v>
      </c>
      <c r="I106" s="36">
        <f t="shared" si="15"/>
        <v>0</v>
      </c>
      <c r="J106" s="104" t="str">
        <f t="shared" si="1"/>
        <v>0 tubes and 0 shuttles</v>
      </c>
      <c r="K106" s="36">
        <f t="shared" si="16"/>
        <v>0</v>
      </c>
      <c r="L106" s="103" t="str">
        <f t="shared" si="2"/>
        <v>0 tubes and 0 shuttles</v>
      </c>
      <c r="M106" s="105">
        <f t="shared" si="17"/>
        <v>0</v>
      </c>
      <c r="N106" s="103" t="str">
        <f t="shared" si="3"/>
        <v>0 tubes and 0 shuttles</v>
      </c>
      <c r="O106" s="36">
        <f t="shared" si="4"/>
        <v>0</v>
      </c>
      <c r="P106" s="103" t="str">
        <f t="shared" si="5"/>
        <v>0 tubes and 0 shuttles</v>
      </c>
    </row>
    <row r="107" spans="1:16" ht="12.5" x14ac:dyDescent="0.25">
      <c r="A107" s="32">
        <f>'Profit &amp; Loss'!A107</f>
        <v>0</v>
      </c>
      <c r="B107" s="35">
        <f>'Profit &amp; Loss'!B107</f>
        <v>0</v>
      </c>
      <c r="C107" s="36"/>
      <c r="D107" s="33"/>
      <c r="E107" s="33"/>
      <c r="F107" s="101"/>
      <c r="G107" s="102">
        <f t="shared" si="14"/>
        <v>0</v>
      </c>
      <c r="H107" s="103" t="str">
        <f t="shared" si="0"/>
        <v>0 tubes and 0 shuttles</v>
      </c>
      <c r="I107" s="36">
        <f t="shared" si="15"/>
        <v>0</v>
      </c>
      <c r="J107" s="104" t="str">
        <f t="shared" si="1"/>
        <v>0 tubes and 0 shuttles</v>
      </c>
      <c r="K107" s="36">
        <f t="shared" si="16"/>
        <v>0</v>
      </c>
      <c r="L107" s="103" t="str">
        <f t="shared" si="2"/>
        <v>0 tubes and 0 shuttles</v>
      </c>
      <c r="M107" s="105">
        <f t="shared" si="17"/>
        <v>0</v>
      </c>
      <c r="N107" s="103" t="str">
        <f t="shared" si="3"/>
        <v>0 tubes and 0 shuttles</v>
      </c>
      <c r="O107" s="36">
        <f t="shared" si="4"/>
        <v>0</v>
      </c>
      <c r="P107" s="103" t="str">
        <f t="shared" si="5"/>
        <v>0 tubes and 0 shuttles</v>
      </c>
    </row>
    <row r="108" spans="1:16" ht="12.5" x14ac:dyDescent="0.25">
      <c r="A108" s="32">
        <f>'Profit &amp; Loss'!A108</f>
        <v>0</v>
      </c>
      <c r="B108" s="35">
        <f>'Profit &amp; Loss'!B108</f>
        <v>0</v>
      </c>
      <c r="C108" s="36"/>
      <c r="D108" s="33"/>
      <c r="E108" s="33"/>
      <c r="F108" s="101"/>
      <c r="G108" s="102">
        <f t="shared" si="14"/>
        <v>0</v>
      </c>
      <c r="H108" s="103" t="str">
        <f t="shared" si="0"/>
        <v>0 tubes and 0 shuttles</v>
      </c>
      <c r="I108" s="36">
        <f t="shared" si="15"/>
        <v>0</v>
      </c>
      <c r="J108" s="104" t="str">
        <f t="shared" si="1"/>
        <v>0 tubes and 0 shuttles</v>
      </c>
      <c r="K108" s="36">
        <f t="shared" si="16"/>
        <v>0</v>
      </c>
      <c r="L108" s="103" t="str">
        <f t="shared" si="2"/>
        <v>0 tubes and 0 shuttles</v>
      </c>
      <c r="M108" s="105">
        <f t="shared" si="17"/>
        <v>0</v>
      </c>
      <c r="N108" s="103" t="str">
        <f t="shared" si="3"/>
        <v>0 tubes and 0 shuttles</v>
      </c>
      <c r="O108" s="36">
        <f t="shared" si="4"/>
        <v>0</v>
      </c>
      <c r="P108" s="103" t="str">
        <f t="shared" si="5"/>
        <v>0 tubes and 0 shuttles</v>
      </c>
    </row>
    <row r="109" spans="1:16" ht="12.5" x14ac:dyDescent="0.25">
      <c r="A109" s="32">
        <f>'Profit &amp; Loss'!A109</f>
        <v>0</v>
      </c>
      <c r="B109" s="35">
        <f>'Profit &amp; Loss'!B109</f>
        <v>0</v>
      </c>
      <c r="C109" s="36"/>
      <c r="D109" s="33"/>
      <c r="E109" s="33"/>
      <c r="F109" s="101"/>
      <c r="G109" s="102">
        <f t="shared" si="14"/>
        <v>0</v>
      </c>
      <c r="H109" s="103" t="str">
        <f t="shared" si="0"/>
        <v>0 tubes and 0 shuttles</v>
      </c>
      <c r="I109" s="36">
        <f t="shared" si="15"/>
        <v>0</v>
      </c>
      <c r="J109" s="104" t="str">
        <f t="shared" si="1"/>
        <v>0 tubes and 0 shuttles</v>
      </c>
      <c r="K109" s="36">
        <f t="shared" si="16"/>
        <v>0</v>
      </c>
      <c r="L109" s="103" t="str">
        <f t="shared" si="2"/>
        <v>0 tubes and 0 shuttles</v>
      </c>
      <c r="M109" s="105">
        <f t="shared" si="17"/>
        <v>0</v>
      </c>
      <c r="N109" s="103" t="str">
        <f t="shared" si="3"/>
        <v>0 tubes and 0 shuttles</v>
      </c>
      <c r="O109" s="36">
        <f t="shared" si="4"/>
        <v>0</v>
      </c>
      <c r="P109" s="103" t="str">
        <f t="shared" si="5"/>
        <v>0 tubes and 0 shuttles</v>
      </c>
    </row>
    <row r="110" spans="1:16" ht="12.5" x14ac:dyDescent="0.25">
      <c r="A110" s="32">
        <f>'Profit &amp; Loss'!A110</f>
        <v>0</v>
      </c>
      <c r="B110" s="35">
        <f>'Profit &amp; Loss'!B110</f>
        <v>0</v>
      </c>
      <c r="C110" s="36"/>
      <c r="D110" s="33"/>
      <c r="E110" s="33"/>
      <c r="F110" s="101"/>
      <c r="G110" s="102">
        <f t="shared" si="14"/>
        <v>0</v>
      </c>
      <c r="H110" s="103" t="str">
        <f t="shared" si="0"/>
        <v>0 tubes and 0 shuttles</v>
      </c>
      <c r="I110" s="36">
        <f t="shared" si="15"/>
        <v>0</v>
      </c>
      <c r="J110" s="104" t="str">
        <f t="shared" si="1"/>
        <v>0 tubes and 0 shuttles</v>
      </c>
      <c r="K110" s="36">
        <f t="shared" si="16"/>
        <v>0</v>
      </c>
      <c r="L110" s="103" t="str">
        <f t="shared" si="2"/>
        <v>0 tubes and 0 shuttles</v>
      </c>
      <c r="M110" s="105">
        <f t="shared" si="17"/>
        <v>0</v>
      </c>
      <c r="N110" s="103" t="str">
        <f t="shared" si="3"/>
        <v>0 tubes and 0 shuttles</v>
      </c>
      <c r="O110" s="36">
        <f t="shared" si="4"/>
        <v>0</v>
      </c>
      <c r="P110" s="103" t="str">
        <f t="shared" si="5"/>
        <v>0 tubes and 0 shuttles</v>
      </c>
    </row>
    <row r="111" spans="1:16" ht="12.5" x14ac:dyDescent="0.25">
      <c r="A111" s="32">
        <f>'Profit &amp; Loss'!A111</f>
        <v>0</v>
      </c>
      <c r="B111" s="35">
        <f>'Profit &amp; Loss'!B111</f>
        <v>0</v>
      </c>
      <c r="C111" s="36"/>
      <c r="D111" s="33"/>
      <c r="E111" s="33"/>
      <c r="F111" s="101"/>
      <c r="G111" s="102">
        <f t="shared" si="14"/>
        <v>0</v>
      </c>
      <c r="H111" s="103" t="str">
        <f t="shared" si="0"/>
        <v>0 tubes and 0 shuttles</v>
      </c>
      <c r="I111" s="36">
        <f t="shared" si="15"/>
        <v>0</v>
      </c>
      <c r="J111" s="104" t="str">
        <f t="shared" si="1"/>
        <v>0 tubes and 0 shuttles</v>
      </c>
      <c r="K111" s="36">
        <f t="shared" si="16"/>
        <v>0</v>
      </c>
      <c r="L111" s="103" t="str">
        <f t="shared" si="2"/>
        <v>0 tubes and 0 shuttles</v>
      </c>
      <c r="M111" s="105">
        <f t="shared" si="17"/>
        <v>0</v>
      </c>
      <c r="N111" s="103" t="str">
        <f t="shared" si="3"/>
        <v>0 tubes and 0 shuttles</v>
      </c>
      <c r="O111" s="36">
        <f t="shared" si="4"/>
        <v>0</v>
      </c>
      <c r="P111" s="103" t="str">
        <f t="shared" si="5"/>
        <v>0 tubes and 0 shuttles</v>
      </c>
    </row>
    <row r="112" spans="1:16" ht="12.5" x14ac:dyDescent="0.25">
      <c r="A112" s="32">
        <f>'Profit &amp; Loss'!A112</f>
        <v>0</v>
      </c>
      <c r="B112" s="35">
        <f>'Profit &amp; Loss'!B112</f>
        <v>0</v>
      </c>
      <c r="C112" s="36"/>
      <c r="D112" s="33"/>
      <c r="E112" s="33"/>
      <c r="F112" s="101"/>
      <c r="G112" s="102">
        <f t="shared" si="14"/>
        <v>0</v>
      </c>
      <c r="H112" s="103" t="str">
        <f t="shared" si="0"/>
        <v>0 tubes and 0 shuttles</v>
      </c>
      <c r="I112" s="36">
        <f t="shared" si="15"/>
        <v>0</v>
      </c>
      <c r="J112" s="104" t="str">
        <f t="shared" si="1"/>
        <v>0 tubes and 0 shuttles</v>
      </c>
      <c r="K112" s="36">
        <f t="shared" si="16"/>
        <v>0</v>
      </c>
      <c r="L112" s="103" t="str">
        <f t="shared" si="2"/>
        <v>0 tubes and 0 shuttles</v>
      </c>
      <c r="M112" s="105">
        <f t="shared" si="17"/>
        <v>0</v>
      </c>
      <c r="N112" s="103" t="str">
        <f t="shared" si="3"/>
        <v>0 tubes and 0 shuttles</v>
      </c>
      <c r="O112" s="36">
        <f t="shared" si="4"/>
        <v>0</v>
      </c>
      <c r="P112" s="103" t="str">
        <f t="shared" si="5"/>
        <v>0 tubes and 0 shuttles</v>
      </c>
    </row>
    <row r="113" spans="1:16" ht="12.5" x14ac:dyDescent="0.25">
      <c r="A113" s="32">
        <f>'Profit &amp; Loss'!A113</f>
        <v>0</v>
      </c>
      <c r="B113" s="35">
        <f>'Profit &amp; Loss'!B113</f>
        <v>0</v>
      </c>
      <c r="C113" s="36"/>
      <c r="D113" s="33"/>
      <c r="E113" s="33"/>
      <c r="F113" s="101"/>
      <c r="G113" s="102">
        <f t="shared" si="14"/>
        <v>0</v>
      </c>
      <c r="H113" s="103" t="str">
        <f t="shared" si="0"/>
        <v>0 tubes and 0 shuttles</v>
      </c>
      <c r="I113" s="36">
        <f t="shared" si="15"/>
        <v>0</v>
      </c>
      <c r="J113" s="104" t="str">
        <f t="shared" si="1"/>
        <v>0 tubes and 0 shuttles</v>
      </c>
      <c r="K113" s="36">
        <f t="shared" si="16"/>
        <v>0</v>
      </c>
      <c r="L113" s="103" t="str">
        <f t="shared" si="2"/>
        <v>0 tubes and 0 shuttles</v>
      </c>
      <c r="M113" s="105">
        <f t="shared" si="17"/>
        <v>0</v>
      </c>
      <c r="N113" s="103" t="str">
        <f t="shared" si="3"/>
        <v>0 tubes and 0 shuttles</v>
      </c>
      <c r="O113" s="36">
        <f t="shared" si="4"/>
        <v>0</v>
      </c>
      <c r="P113" s="103" t="str">
        <f t="shared" si="5"/>
        <v>0 tubes and 0 shuttles</v>
      </c>
    </row>
    <row r="114" spans="1:16" ht="12.5" x14ac:dyDescent="0.25">
      <c r="A114" s="32">
        <f>'Profit &amp; Loss'!A114</f>
        <v>0</v>
      </c>
      <c r="B114" s="35">
        <f>'Profit &amp; Loss'!B114</f>
        <v>0</v>
      </c>
      <c r="C114" s="36"/>
      <c r="D114" s="33"/>
      <c r="E114" s="33"/>
      <c r="F114" s="101"/>
      <c r="G114" s="102">
        <f t="shared" si="14"/>
        <v>0</v>
      </c>
      <c r="H114" s="103" t="str">
        <f t="shared" si="0"/>
        <v>0 tubes and 0 shuttles</v>
      </c>
      <c r="I114" s="36">
        <f t="shared" si="15"/>
        <v>0</v>
      </c>
      <c r="J114" s="104" t="str">
        <f t="shared" si="1"/>
        <v>0 tubes and 0 shuttles</v>
      </c>
      <c r="K114" s="36">
        <f t="shared" si="16"/>
        <v>0</v>
      </c>
      <c r="L114" s="103" t="str">
        <f t="shared" si="2"/>
        <v>0 tubes and 0 shuttles</v>
      </c>
      <c r="M114" s="105">
        <f t="shared" si="17"/>
        <v>0</v>
      </c>
      <c r="N114" s="103" t="str">
        <f t="shared" si="3"/>
        <v>0 tubes and 0 shuttles</v>
      </c>
      <c r="O114" s="36">
        <f t="shared" si="4"/>
        <v>0</v>
      </c>
      <c r="P114" s="103" t="str">
        <f t="shared" si="5"/>
        <v>0 tubes and 0 shuttles</v>
      </c>
    </row>
    <row r="115" spans="1:16" ht="12.5" x14ac:dyDescent="0.25">
      <c r="A115" s="32">
        <f>'Profit &amp; Loss'!A115</f>
        <v>0</v>
      </c>
      <c r="B115" s="35">
        <f>'Profit &amp; Loss'!B115</f>
        <v>0</v>
      </c>
      <c r="C115" s="36"/>
      <c r="D115" s="33"/>
      <c r="E115" s="33"/>
      <c r="F115" s="101"/>
      <c r="G115" s="102">
        <f t="shared" si="14"/>
        <v>0</v>
      </c>
      <c r="H115" s="103" t="str">
        <f t="shared" si="0"/>
        <v>0 tubes and 0 shuttles</v>
      </c>
      <c r="I115" s="36">
        <f t="shared" si="15"/>
        <v>0</v>
      </c>
      <c r="J115" s="104" t="str">
        <f t="shared" si="1"/>
        <v>0 tubes and 0 shuttles</v>
      </c>
      <c r="K115" s="36">
        <f t="shared" si="16"/>
        <v>0</v>
      </c>
      <c r="L115" s="103" t="str">
        <f t="shared" si="2"/>
        <v>0 tubes and 0 shuttles</v>
      </c>
      <c r="M115" s="105">
        <f t="shared" si="17"/>
        <v>0</v>
      </c>
      <c r="N115" s="103" t="str">
        <f t="shared" si="3"/>
        <v>0 tubes and 0 shuttles</v>
      </c>
      <c r="O115" s="36">
        <f t="shared" si="4"/>
        <v>0</v>
      </c>
      <c r="P115" s="103" t="str">
        <f t="shared" si="5"/>
        <v>0 tubes and 0 shuttles</v>
      </c>
    </row>
    <row r="116" spans="1:16" ht="12.5" x14ac:dyDescent="0.25">
      <c r="A116" s="32">
        <f>'Profit &amp; Loss'!A116</f>
        <v>0</v>
      </c>
      <c r="B116" s="35">
        <f>'Profit &amp; Loss'!B116</f>
        <v>0</v>
      </c>
      <c r="C116" s="36"/>
      <c r="D116" s="33"/>
      <c r="E116" s="33"/>
      <c r="F116" s="101"/>
      <c r="G116" s="102">
        <f t="shared" si="14"/>
        <v>0</v>
      </c>
      <c r="H116" s="103" t="str">
        <f t="shared" si="0"/>
        <v>0 tubes and 0 shuttles</v>
      </c>
      <c r="I116" s="36">
        <f t="shared" si="15"/>
        <v>0</v>
      </c>
      <c r="J116" s="104" t="str">
        <f t="shared" si="1"/>
        <v>0 tubes and 0 shuttles</v>
      </c>
      <c r="K116" s="36">
        <f t="shared" si="16"/>
        <v>0</v>
      </c>
      <c r="L116" s="103" t="str">
        <f t="shared" si="2"/>
        <v>0 tubes and 0 shuttles</v>
      </c>
      <c r="M116" s="105">
        <f t="shared" si="17"/>
        <v>0</v>
      </c>
      <c r="N116" s="103" t="str">
        <f t="shared" si="3"/>
        <v>0 tubes and 0 shuttles</v>
      </c>
      <c r="O116" s="36">
        <f t="shared" si="4"/>
        <v>0</v>
      </c>
      <c r="P116" s="103" t="str">
        <f t="shared" si="5"/>
        <v>0 tubes and 0 shuttles</v>
      </c>
    </row>
    <row r="117" spans="1:16" ht="12.5" x14ac:dyDescent="0.25">
      <c r="A117" s="32">
        <f>'Profit &amp; Loss'!A117</f>
        <v>0</v>
      </c>
      <c r="B117" s="35">
        <f>'Profit &amp; Loss'!B117</f>
        <v>0</v>
      </c>
      <c r="C117" s="36"/>
      <c r="D117" s="33"/>
      <c r="E117" s="33"/>
      <c r="F117" s="101"/>
      <c r="G117" s="102">
        <f t="shared" si="14"/>
        <v>0</v>
      </c>
      <c r="H117" s="103" t="str">
        <f t="shared" si="0"/>
        <v>0 tubes and 0 shuttles</v>
      </c>
      <c r="I117" s="36">
        <f t="shared" si="15"/>
        <v>0</v>
      </c>
      <c r="J117" s="104" t="str">
        <f t="shared" si="1"/>
        <v>0 tubes and 0 shuttles</v>
      </c>
      <c r="K117" s="36">
        <f t="shared" si="16"/>
        <v>0</v>
      </c>
      <c r="L117" s="103" t="str">
        <f t="shared" si="2"/>
        <v>0 tubes and 0 shuttles</v>
      </c>
      <c r="M117" s="105">
        <f t="shared" si="17"/>
        <v>0</v>
      </c>
      <c r="N117" s="103" t="str">
        <f t="shared" si="3"/>
        <v>0 tubes and 0 shuttles</v>
      </c>
      <c r="O117" s="36">
        <f t="shared" si="4"/>
        <v>0</v>
      </c>
      <c r="P117" s="103" t="str">
        <f t="shared" si="5"/>
        <v>0 tubes and 0 shuttles</v>
      </c>
    </row>
    <row r="118" spans="1:16" ht="12.5" x14ac:dyDescent="0.25">
      <c r="A118" s="32">
        <f>'Profit &amp; Loss'!A118</f>
        <v>0</v>
      </c>
      <c r="B118" s="35">
        <f>'Profit &amp; Loss'!B118</f>
        <v>0</v>
      </c>
      <c r="C118" s="36"/>
      <c r="D118" s="33"/>
      <c r="E118" s="33"/>
      <c r="F118" s="101"/>
      <c r="G118" s="102">
        <f t="shared" si="14"/>
        <v>0</v>
      </c>
      <c r="H118" s="103" t="str">
        <f t="shared" si="0"/>
        <v>0 tubes and 0 shuttles</v>
      </c>
      <c r="I118" s="36">
        <f t="shared" si="15"/>
        <v>0</v>
      </c>
      <c r="J118" s="104" t="str">
        <f t="shared" si="1"/>
        <v>0 tubes and 0 shuttles</v>
      </c>
      <c r="K118" s="36">
        <f t="shared" si="16"/>
        <v>0</v>
      </c>
      <c r="L118" s="103" t="str">
        <f t="shared" si="2"/>
        <v>0 tubes and 0 shuttles</v>
      </c>
      <c r="M118" s="105">
        <f t="shared" si="17"/>
        <v>0</v>
      </c>
      <c r="N118" s="103" t="str">
        <f t="shared" si="3"/>
        <v>0 tubes and 0 shuttles</v>
      </c>
      <c r="O118" s="36">
        <f t="shared" si="4"/>
        <v>0</v>
      </c>
      <c r="P118" s="103" t="str">
        <f t="shared" si="5"/>
        <v>0 tubes and 0 shuttles</v>
      </c>
    </row>
    <row r="119" spans="1:16" ht="12.5" x14ac:dyDescent="0.25">
      <c r="A119" s="32">
        <f>'Profit &amp; Loss'!A119</f>
        <v>0</v>
      </c>
      <c r="B119" s="35">
        <f>'Profit &amp; Loss'!B119</f>
        <v>0</v>
      </c>
      <c r="C119" s="36"/>
      <c r="D119" s="33"/>
      <c r="E119" s="33"/>
      <c r="F119" s="101"/>
      <c r="G119" s="102">
        <f t="shared" si="14"/>
        <v>0</v>
      </c>
      <c r="H119" s="103" t="str">
        <f t="shared" si="0"/>
        <v>0 tubes and 0 shuttles</v>
      </c>
      <c r="I119" s="36">
        <f t="shared" si="15"/>
        <v>0</v>
      </c>
      <c r="J119" s="104" t="str">
        <f t="shared" si="1"/>
        <v>0 tubes and 0 shuttles</v>
      </c>
      <c r="K119" s="36">
        <f t="shared" si="16"/>
        <v>0</v>
      </c>
      <c r="L119" s="103" t="str">
        <f t="shared" si="2"/>
        <v>0 tubes and 0 shuttles</v>
      </c>
      <c r="M119" s="105">
        <f t="shared" si="17"/>
        <v>0</v>
      </c>
      <c r="N119" s="103" t="str">
        <f t="shared" si="3"/>
        <v>0 tubes and 0 shuttles</v>
      </c>
      <c r="O119" s="36">
        <f t="shared" si="4"/>
        <v>0</v>
      </c>
      <c r="P119" s="103" t="str">
        <f t="shared" si="5"/>
        <v>0 tubes and 0 shuttles</v>
      </c>
    </row>
    <row r="120" spans="1:16" ht="12.5" x14ac:dyDescent="0.25">
      <c r="A120" s="32">
        <f>'Profit &amp; Loss'!A120</f>
        <v>0</v>
      </c>
      <c r="B120" s="35">
        <f>'Profit &amp; Loss'!B120</f>
        <v>0</v>
      </c>
      <c r="C120" s="36"/>
      <c r="D120" s="33"/>
      <c r="E120" s="33"/>
      <c r="F120" s="101"/>
      <c r="G120" s="102">
        <f t="shared" si="14"/>
        <v>0</v>
      </c>
      <c r="H120" s="103" t="str">
        <f t="shared" si="0"/>
        <v>0 tubes and 0 shuttles</v>
      </c>
      <c r="I120" s="36">
        <f t="shared" si="15"/>
        <v>0</v>
      </c>
      <c r="J120" s="104" t="str">
        <f t="shared" si="1"/>
        <v>0 tubes and 0 shuttles</v>
      </c>
      <c r="K120" s="36">
        <f t="shared" si="16"/>
        <v>0</v>
      </c>
      <c r="L120" s="103" t="str">
        <f t="shared" si="2"/>
        <v>0 tubes and 0 shuttles</v>
      </c>
      <c r="M120" s="105">
        <f t="shared" si="17"/>
        <v>0</v>
      </c>
      <c r="N120" s="103" t="str">
        <f t="shared" si="3"/>
        <v>0 tubes and 0 shuttles</v>
      </c>
      <c r="O120" s="36">
        <f t="shared" si="4"/>
        <v>0</v>
      </c>
      <c r="P120" s="103" t="str">
        <f t="shared" si="5"/>
        <v>0 tubes and 0 shuttles</v>
      </c>
    </row>
    <row r="121" spans="1:16" ht="12.5" x14ac:dyDescent="0.25">
      <c r="A121" s="32">
        <f>'Profit &amp; Loss'!A121</f>
        <v>0</v>
      </c>
      <c r="B121" s="35">
        <f>'Profit &amp; Loss'!B121</f>
        <v>0</v>
      </c>
      <c r="C121" s="36"/>
      <c r="D121" s="33"/>
      <c r="E121" s="33"/>
      <c r="F121" s="101"/>
      <c r="G121" s="102">
        <f t="shared" si="14"/>
        <v>0</v>
      </c>
      <c r="H121" s="103" t="str">
        <f t="shared" si="0"/>
        <v>0 tubes and 0 shuttles</v>
      </c>
      <c r="I121" s="36">
        <f t="shared" si="15"/>
        <v>0</v>
      </c>
      <c r="J121" s="104" t="str">
        <f t="shared" si="1"/>
        <v>0 tubes and 0 shuttles</v>
      </c>
      <c r="K121" s="36">
        <f t="shared" si="16"/>
        <v>0</v>
      </c>
      <c r="L121" s="103" t="str">
        <f t="shared" si="2"/>
        <v>0 tubes and 0 shuttles</v>
      </c>
      <c r="M121" s="105">
        <f t="shared" si="17"/>
        <v>0</v>
      </c>
      <c r="N121" s="103" t="str">
        <f t="shared" si="3"/>
        <v>0 tubes and 0 shuttles</v>
      </c>
      <c r="O121" s="36">
        <f t="shared" si="4"/>
        <v>0</v>
      </c>
      <c r="P121" s="103" t="str">
        <f t="shared" si="5"/>
        <v>0 tubes and 0 shuttles</v>
      </c>
    </row>
    <row r="122" spans="1:16" ht="12.5" x14ac:dyDescent="0.25">
      <c r="A122" s="32">
        <f>'Profit &amp; Loss'!A122</f>
        <v>0</v>
      </c>
      <c r="B122" s="35">
        <f>'Profit &amp; Loss'!B122</f>
        <v>0</v>
      </c>
      <c r="C122" s="36"/>
      <c r="D122" s="33"/>
      <c r="E122" s="33"/>
      <c r="F122" s="101"/>
      <c r="G122" s="102">
        <f t="shared" si="14"/>
        <v>0</v>
      </c>
      <c r="H122" s="103" t="str">
        <f t="shared" si="0"/>
        <v>0 tubes and 0 shuttles</v>
      </c>
      <c r="I122" s="36">
        <f t="shared" si="15"/>
        <v>0</v>
      </c>
      <c r="J122" s="104" t="str">
        <f t="shared" si="1"/>
        <v>0 tubes and 0 shuttles</v>
      </c>
      <c r="K122" s="36">
        <f t="shared" si="16"/>
        <v>0</v>
      </c>
      <c r="L122" s="103" t="str">
        <f t="shared" si="2"/>
        <v>0 tubes and 0 shuttles</v>
      </c>
      <c r="M122" s="105">
        <f t="shared" si="17"/>
        <v>0</v>
      </c>
      <c r="N122" s="103" t="str">
        <f t="shared" si="3"/>
        <v>0 tubes and 0 shuttles</v>
      </c>
      <c r="O122" s="36">
        <f t="shared" si="4"/>
        <v>0</v>
      </c>
      <c r="P122" s="103" t="str">
        <f t="shared" si="5"/>
        <v>0 tubes and 0 shuttles</v>
      </c>
    </row>
    <row r="123" spans="1:16" ht="12.5" x14ac:dyDescent="0.25">
      <c r="A123" s="32">
        <f>'Profit &amp; Loss'!A123</f>
        <v>0</v>
      </c>
      <c r="B123" s="35">
        <f>'Profit &amp; Loss'!B123</f>
        <v>0</v>
      </c>
      <c r="C123" s="36"/>
      <c r="D123" s="33"/>
      <c r="E123" s="33"/>
      <c r="F123" s="101"/>
      <c r="G123" s="102">
        <f t="shared" si="14"/>
        <v>0</v>
      </c>
      <c r="H123" s="103" t="str">
        <f t="shared" si="0"/>
        <v>0 tubes and 0 shuttles</v>
      </c>
      <c r="I123" s="36">
        <f t="shared" si="15"/>
        <v>0</v>
      </c>
      <c r="J123" s="104" t="str">
        <f t="shared" si="1"/>
        <v>0 tubes and 0 shuttles</v>
      </c>
      <c r="K123" s="36">
        <f t="shared" si="16"/>
        <v>0</v>
      </c>
      <c r="L123" s="103" t="str">
        <f t="shared" si="2"/>
        <v>0 tubes and 0 shuttles</v>
      </c>
      <c r="M123" s="105">
        <f t="shared" si="17"/>
        <v>0</v>
      </c>
      <c r="N123" s="103" t="str">
        <f t="shared" si="3"/>
        <v>0 tubes and 0 shuttles</v>
      </c>
      <c r="O123" s="36">
        <f t="shared" si="4"/>
        <v>0</v>
      </c>
      <c r="P123" s="103" t="str">
        <f t="shared" si="5"/>
        <v>0 tubes and 0 shuttles</v>
      </c>
    </row>
    <row r="124" spans="1:16" ht="12.5" x14ac:dyDescent="0.25">
      <c r="A124" s="32">
        <f>'Profit &amp; Loss'!A124</f>
        <v>0</v>
      </c>
      <c r="B124" s="35">
        <f>'Profit &amp; Loss'!B124</f>
        <v>0</v>
      </c>
      <c r="C124" s="36"/>
      <c r="D124" s="33"/>
      <c r="E124" s="33"/>
      <c r="F124" s="101"/>
      <c r="G124" s="102">
        <f t="shared" si="14"/>
        <v>0</v>
      </c>
      <c r="H124" s="103" t="str">
        <f t="shared" si="0"/>
        <v>0 tubes and 0 shuttles</v>
      </c>
      <c r="I124" s="36">
        <f t="shared" si="15"/>
        <v>0</v>
      </c>
      <c r="J124" s="104" t="str">
        <f t="shared" si="1"/>
        <v>0 tubes and 0 shuttles</v>
      </c>
      <c r="K124" s="36">
        <f t="shared" si="16"/>
        <v>0</v>
      </c>
      <c r="L124" s="103" t="str">
        <f t="shared" si="2"/>
        <v>0 tubes and 0 shuttles</v>
      </c>
      <c r="M124" s="105">
        <f t="shared" si="17"/>
        <v>0</v>
      </c>
      <c r="N124" s="103" t="str">
        <f t="shared" si="3"/>
        <v>0 tubes and 0 shuttles</v>
      </c>
      <c r="O124" s="36">
        <f t="shared" si="4"/>
        <v>0</v>
      </c>
      <c r="P124" s="103" t="str">
        <f t="shared" si="5"/>
        <v>0 tubes and 0 shuttles</v>
      </c>
    </row>
    <row r="125" spans="1:16" ht="12.5" x14ac:dyDescent="0.25">
      <c r="A125" s="32">
        <f>'Profit &amp; Loss'!A125</f>
        <v>0</v>
      </c>
      <c r="B125" s="35">
        <f>'Profit &amp; Loss'!B125</f>
        <v>0</v>
      </c>
      <c r="C125" s="36"/>
      <c r="D125" s="33"/>
      <c r="E125" s="33"/>
      <c r="F125" s="101"/>
      <c r="G125" s="102">
        <f t="shared" si="14"/>
        <v>0</v>
      </c>
      <c r="H125" s="103" t="str">
        <f t="shared" si="0"/>
        <v>0 tubes and 0 shuttles</v>
      </c>
      <c r="I125" s="36">
        <f t="shared" si="15"/>
        <v>0</v>
      </c>
      <c r="J125" s="104" t="str">
        <f t="shared" si="1"/>
        <v>0 tubes and 0 shuttles</v>
      </c>
      <c r="K125" s="36">
        <f t="shared" si="16"/>
        <v>0</v>
      </c>
      <c r="L125" s="103" t="str">
        <f t="shared" si="2"/>
        <v>0 tubes and 0 shuttles</v>
      </c>
      <c r="M125" s="105">
        <f t="shared" si="17"/>
        <v>0</v>
      </c>
      <c r="N125" s="103" t="str">
        <f t="shared" si="3"/>
        <v>0 tubes and 0 shuttles</v>
      </c>
      <c r="O125" s="36">
        <f t="shared" si="4"/>
        <v>0</v>
      </c>
      <c r="P125" s="103" t="str">
        <f t="shared" si="5"/>
        <v>0 tubes and 0 shuttles</v>
      </c>
    </row>
    <row r="126" spans="1:16" ht="12.5" x14ac:dyDescent="0.25">
      <c r="A126" s="32">
        <f>'Profit &amp; Loss'!A126</f>
        <v>0</v>
      </c>
      <c r="B126" s="35">
        <f>'Profit &amp; Loss'!B126</f>
        <v>0</v>
      </c>
      <c r="C126" s="36"/>
      <c r="D126" s="33"/>
      <c r="E126" s="33"/>
      <c r="F126" s="101"/>
      <c r="G126" s="102">
        <f t="shared" si="14"/>
        <v>0</v>
      </c>
      <c r="H126" s="103" t="str">
        <f t="shared" si="0"/>
        <v>0 tubes and 0 shuttles</v>
      </c>
      <c r="I126" s="36">
        <f t="shared" si="15"/>
        <v>0</v>
      </c>
      <c r="J126" s="104" t="str">
        <f t="shared" si="1"/>
        <v>0 tubes and 0 shuttles</v>
      </c>
      <c r="K126" s="36">
        <f t="shared" si="16"/>
        <v>0</v>
      </c>
      <c r="L126" s="103" t="str">
        <f t="shared" si="2"/>
        <v>0 tubes and 0 shuttles</v>
      </c>
      <c r="M126" s="105">
        <f t="shared" si="17"/>
        <v>0</v>
      </c>
      <c r="N126" s="103" t="str">
        <f t="shared" si="3"/>
        <v>0 tubes and 0 shuttles</v>
      </c>
      <c r="O126" s="36">
        <f t="shared" si="4"/>
        <v>0</v>
      </c>
      <c r="P126" s="103" t="str">
        <f t="shared" si="5"/>
        <v>0 tubes and 0 shuttles</v>
      </c>
    </row>
    <row r="127" spans="1:16" ht="12.5" x14ac:dyDescent="0.25">
      <c r="A127" s="32">
        <f>'Profit &amp; Loss'!A127</f>
        <v>0</v>
      </c>
      <c r="B127" s="35">
        <f>'Profit &amp; Loss'!B127</f>
        <v>0</v>
      </c>
      <c r="C127" s="36"/>
      <c r="D127" s="33"/>
      <c r="E127" s="33"/>
      <c r="F127" s="101"/>
      <c r="G127" s="102">
        <f t="shared" si="14"/>
        <v>0</v>
      </c>
      <c r="H127" s="103" t="str">
        <f t="shared" si="0"/>
        <v>0 tubes and 0 shuttles</v>
      </c>
      <c r="I127" s="36">
        <f t="shared" si="15"/>
        <v>0</v>
      </c>
      <c r="J127" s="104" t="str">
        <f t="shared" si="1"/>
        <v>0 tubes and 0 shuttles</v>
      </c>
      <c r="K127" s="36">
        <f t="shared" si="16"/>
        <v>0</v>
      </c>
      <c r="L127" s="103" t="str">
        <f t="shared" si="2"/>
        <v>0 tubes and 0 shuttles</v>
      </c>
      <c r="M127" s="105">
        <f t="shared" si="17"/>
        <v>0</v>
      </c>
      <c r="N127" s="103" t="str">
        <f t="shared" si="3"/>
        <v>0 tubes and 0 shuttles</v>
      </c>
      <c r="O127" s="36">
        <f t="shared" si="4"/>
        <v>0</v>
      </c>
      <c r="P127" s="103" t="str">
        <f t="shared" si="5"/>
        <v>0 tubes and 0 shuttles</v>
      </c>
    </row>
    <row r="128" spans="1:16" ht="12.5" x14ac:dyDescent="0.25">
      <c r="A128" s="32">
        <f>'Profit &amp; Loss'!A128</f>
        <v>0</v>
      </c>
      <c r="B128" s="35">
        <f>'Profit &amp; Loss'!B128</f>
        <v>0</v>
      </c>
      <c r="C128" s="36"/>
      <c r="D128" s="33"/>
      <c r="E128" s="33"/>
      <c r="F128" s="101"/>
      <c r="G128" s="102">
        <f t="shared" si="14"/>
        <v>0</v>
      </c>
      <c r="H128" s="103" t="str">
        <f t="shared" si="0"/>
        <v>0 tubes and 0 shuttles</v>
      </c>
      <c r="I128" s="36">
        <f t="shared" si="15"/>
        <v>0</v>
      </c>
      <c r="J128" s="104" t="str">
        <f t="shared" si="1"/>
        <v>0 tubes and 0 shuttles</v>
      </c>
      <c r="K128" s="36">
        <f t="shared" si="16"/>
        <v>0</v>
      </c>
      <c r="L128" s="103" t="str">
        <f t="shared" si="2"/>
        <v>0 tubes and 0 shuttles</v>
      </c>
      <c r="M128" s="105">
        <f t="shared" si="17"/>
        <v>0</v>
      </c>
      <c r="N128" s="103" t="str">
        <f t="shared" si="3"/>
        <v>0 tubes and 0 shuttles</v>
      </c>
      <c r="O128" s="36">
        <f t="shared" si="4"/>
        <v>0</v>
      </c>
      <c r="P128" s="103" t="str">
        <f t="shared" si="5"/>
        <v>0 tubes and 0 shuttles</v>
      </c>
    </row>
    <row r="129" spans="1:16" ht="12.5" x14ac:dyDescent="0.25">
      <c r="A129" s="32">
        <f>'Profit &amp; Loss'!A129</f>
        <v>0</v>
      </c>
      <c r="B129" s="35">
        <f>'Profit &amp; Loss'!B129</f>
        <v>0</v>
      </c>
      <c r="C129" s="36"/>
      <c r="D129" s="33"/>
      <c r="E129" s="33"/>
      <c r="F129" s="101"/>
      <c r="G129" s="102">
        <f t="shared" si="14"/>
        <v>0</v>
      </c>
      <c r="H129" s="103" t="str">
        <f t="shared" si="0"/>
        <v>0 tubes and 0 shuttles</v>
      </c>
      <c r="I129" s="36">
        <f t="shared" si="15"/>
        <v>0</v>
      </c>
      <c r="J129" s="104" t="str">
        <f t="shared" si="1"/>
        <v>0 tubes and 0 shuttles</v>
      </c>
      <c r="K129" s="36">
        <f t="shared" si="16"/>
        <v>0</v>
      </c>
      <c r="L129" s="103" t="str">
        <f t="shared" si="2"/>
        <v>0 tubes and 0 shuttles</v>
      </c>
      <c r="M129" s="105">
        <f t="shared" si="17"/>
        <v>0</v>
      </c>
      <c r="N129" s="103" t="str">
        <f t="shared" si="3"/>
        <v>0 tubes and 0 shuttles</v>
      </c>
      <c r="O129" s="36">
        <f t="shared" si="4"/>
        <v>0</v>
      </c>
      <c r="P129" s="103" t="str">
        <f t="shared" si="5"/>
        <v>0 tubes and 0 shuttles</v>
      </c>
    </row>
    <row r="130" spans="1:16" ht="12.5" x14ac:dyDescent="0.25">
      <c r="A130" s="32">
        <f>'Profit &amp; Loss'!A130</f>
        <v>0</v>
      </c>
      <c r="B130" s="35">
        <f>'Profit &amp; Loss'!B130</f>
        <v>0</v>
      </c>
      <c r="C130" s="36"/>
      <c r="D130" s="33"/>
      <c r="E130" s="33"/>
      <c r="F130" s="101"/>
      <c r="G130" s="102">
        <f t="shared" si="14"/>
        <v>0</v>
      </c>
      <c r="H130" s="103" t="str">
        <f t="shared" si="0"/>
        <v>0 tubes and 0 shuttles</v>
      </c>
      <c r="I130" s="36">
        <f t="shared" si="15"/>
        <v>0</v>
      </c>
      <c r="J130" s="104" t="str">
        <f t="shared" si="1"/>
        <v>0 tubes and 0 shuttles</v>
      </c>
      <c r="K130" s="36">
        <f t="shared" si="16"/>
        <v>0</v>
      </c>
      <c r="L130" s="103" t="str">
        <f t="shared" si="2"/>
        <v>0 tubes and 0 shuttles</v>
      </c>
      <c r="M130" s="105">
        <f t="shared" si="17"/>
        <v>0</v>
      </c>
      <c r="N130" s="103" t="str">
        <f t="shared" si="3"/>
        <v>0 tubes and 0 shuttles</v>
      </c>
      <c r="O130" s="36">
        <f t="shared" si="4"/>
        <v>0</v>
      </c>
      <c r="P130" s="103" t="str">
        <f t="shared" si="5"/>
        <v>0 tubes and 0 shuttles</v>
      </c>
    </row>
    <row r="131" spans="1:16" ht="12.5" x14ac:dyDescent="0.25">
      <c r="A131" s="32">
        <f>'Profit &amp; Loss'!A131</f>
        <v>0</v>
      </c>
      <c r="B131" s="35">
        <f>'Profit &amp; Loss'!B131</f>
        <v>0</v>
      </c>
      <c r="C131" s="36"/>
      <c r="D131" s="33"/>
      <c r="E131" s="33"/>
      <c r="F131" s="101"/>
      <c r="G131" s="102">
        <f t="shared" si="14"/>
        <v>0</v>
      </c>
      <c r="H131" s="103" t="str">
        <f t="shared" si="0"/>
        <v>0 tubes and 0 shuttles</v>
      </c>
      <c r="I131" s="36">
        <f t="shared" si="15"/>
        <v>0</v>
      </c>
      <c r="J131" s="104" t="str">
        <f t="shared" si="1"/>
        <v>0 tubes and 0 shuttles</v>
      </c>
      <c r="K131" s="36">
        <f t="shared" si="16"/>
        <v>0</v>
      </c>
      <c r="L131" s="103" t="str">
        <f t="shared" si="2"/>
        <v>0 tubes and 0 shuttles</v>
      </c>
      <c r="M131" s="105">
        <f t="shared" si="17"/>
        <v>0</v>
      </c>
      <c r="N131" s="103" t="str">
        <f t="shared" si="3"/>
        <v>0 tubes and 0 shuttles</v>
      </c>
      <c r="O131" s="36">
        <f t="shared" si="4"/>
        <v>0</v>
      </c>
      <c r="P131" s="103" t="str">
        <f t="shared" si="5"/>
        <v>0 tubes and 0 shuttles</v>
      </c>
    </row>
    <row r="132" spans="1:16" ht="12.5" x14ac:dyDescent="0.25">
      <c r="A132" s="32">
        <f>'Profit &amp; Loss'!A132</f>
        <v>0</v>
      </c>
      <c r="B132" s="35">
        <f>'Profit &amp; Loss'!B132</f>
        <v>0</v>
      </c>
      <c r="C132" s="36"/>
      <c r="D132" s="33"/>
      <c r="E132" s="33"/>
      <c r="F132" s="101"/>
      <c r="G132" s="102">
        <f t="shared" si="14"/>
        <v>0</v>
      </c>
      <c r="H132" s="103" t="str">
        <f t="shared" si="0"/>
        <v>0 tubes and 0 shuttles</v>
      </c>
      <c r="I132" s="36">
        <f t="shared" si="15"/>
        <v>0</v>
      </c>
      <c r="J132" s="104" t="str">
        <f t="shared" si="1"/>
        <v>0 tubes and 0 shuttles</v>
      </c>
      <c r="K132" s="36">
        <f t="shared" si="16"/>
        <v>0</v>
      </c>
      <c r="L132" s="103" t="str">
        <f t="shared" si="2"/>
        <v>0 tubes and 0 shuttles</v>
      </c>
      <c r="M132" s="105">
        <f t="shared" si="17"/>
        <v>0</v>
      </c>
      <c r="N132" s="103" t="str">
        <f t="shared" si="3"/>
        <v>0 tubes and 0 shuttles</v>
      </c>
      <c r="O132" s="36">
        <f t="shared" si="4"/>
        <v>0</v>
      </c>
      <c r="P132" s="103" t="str">
        <f t="shared" si="5"/>
        <v>0 tubes and 0 shuttles</v>
      </c>
    </row>
    <row r="133" spans="1:16" ht="12.5" x14ac:dyDescent="0.25">
      <c r="A133" s="32">
        <f>'Profit &amp; Loss'!A133</f>
        <v>0</v>
      </c>
      <c r="B133" s="35">
        <f>'Profit &amp; Loss'!B133</f>
        <v>0</v>
      </c>
      <c r="C133" s="36"/>
      <c r="D133" s="33"/>
      <c r="E133" s="33"/>
      <c r="F133" s="101"/>
      <c r="G133" s="102">
        <f t="shared" si="14"/>
        <v>0</v>
      </c>
      <c r="H133" s="103" t="str">
        <f t="shared" si="0"/>
        <v>0 tubes and 0 shuttles</v>
      </c>
      <c r="I133" s="36">
        <f t="shared" si="15"/>
        <v>0</v>
      </c>
      <c r="J133" s="104" t="str">
        <f t="shared" si="1"/>
        <v>0 tubes and 0 shuttles</v>
      </c>
      <c r="K133" s="36">
        <f t="shared" si="16"/>
        <v>0</v>
      </c>
      <c r="L133" s="103" t="str">
        <f t="shared" si="2"/>
        <v>0 tubes and 0 shuttles</v>
      </c>
      <c r="M133" s="105">
        <f t="shared" si="17"/>
        <v>0</v>
      </c>
      <c r="N133" s="103" t="str">
        <f t="shared" si="3"/>
        <v>0 tubes and 0 shuttles</v>
      </c>
      <c r="O133" s="36">
        <f t="shared" si="4"/>
        <v>0</v>
      </c>
      <c r="P133" s="103" t="str">
        <f t="shared" si="5"/>
        <v>0 tubes and 0 shuttles</v>
      </c>
    </row>
    <row r="134" spans="1:16" ht="12.5" x14ac:dyDescent="0.25">
      <c r="A134" s="32">
        <f>'Profit &amp; Loss'!A134</f>
        <v>0</v>
      </c>
      <c r="B134" s="35">
        <f>'Profit &amp; Loss'!B134</f>
        <v>0</v>
      </c>
      <c r="C134" s="36"/>
      <c r="D134" s="33"/>
      <c r="E134" s="33"/>
      <c r="F134" s="101"/>
      <c r="G134" s="102">
        <f t="shared" si="14"/>
        <v>0</v>
      </c>
      <c r="H134" s="103" t="str">
        <f t="shared" si="0"/>
        <v>0 tubes and 0 shuttles</v>
      </c>
      <c r="I134" s="36">
        <f t="shared" si="15"/>
        <v>0</v>
      </c>
      <c r="J134" s="104" t="str">
        <f t="shared" si="1"/>
        <v>0 tubes and 0 shuttles</v>
      </c>
      <c r="K134" s="36">
        <f t="shared" si="16"/>
        <v>0</v>
      </c>
      <c r="L134" s="103" t="str">
        <f t="shared" si="2"/>
        <v>0 tubes and 0 shuttles</v>
      </c>
      <c r="M134" s="105">
        <f t="shared" si="17"/>
        <v>0</v>
      </c>
      <c r="N134" s="103" t="str">
        <f t="shared" si="3"/>
        <v>0 tubes and 0 shuttles</v>
      </c>
      <c r="O134" s="36">
        <f t="shared" si="4"/>
        <v>0</v>
      </c>
      <c r="P134" s="103" t="str">
        <f t="shared" si="5"/>
        <v>0 tubes and 0 shuttles</v>
      </c>
    </row>
    <row r="135" spans="1:16" ht="12.5" x14ac:dyDescent="0.25">
      <c r="A135" s="32">
        <f>'Profit &amp; Loss'!A135</f>
        <v>0</v>
      </c>
      <c r="B135" s="35">
        <f>'Profit &amp; Loss'!B135</f>
        <v>0</v>
      </c>
      <c r="C135" s="36"/>
      <c r="D135" s="33"/>
      <c r="E135" s="33"/>
      <c r="F135" s="101"/>
      <c r="G135" s="102">
        <f t="shared" si="14"/>
        <v>0</v>
      </c>
      <c r="H135" s="103" t="str">
        <f t="shared" si="0"/>
        <v>0 tubes and 0 shuttles</v>
      </c>
      <c r="I135" s="36">
        <f t="shared" si="15"/>
        <v>0</v>
      </c>
      <c r="J135" s="104" t="str">
        <f t="shared" si="1"/>
        <v>0 tubes and 0 shuttles</v>
      </c>
      <c r="K135" s="36">
        <f t="shared" si="16"/>
        <v>0</v>
      </c>
      <c r="L135" s="103" t="str">
        <f t="shared" si="2"/>
        <v>0 tubes and 0 shuttles</v>
      </c>
      <c r="M135" s="105">
        <f t="shared" si="17"/>
        <v>0</v>
      </c>
      <c r="N135" s="103" t="str">
        <f t="shared" si="3"/>
        <v>0 tubes and 0 shuttles</v>
      </c>
      <c r="O135" s="36">
        <f t="shared" si="4"/>
        <v>0</v>
      </c>
      <c r="P135" s="103" t="str">
        <f t="shared" si="5"/>
        <v>0 tubes and 0 shuttles</v>
      </c>
    </row>
    <row r="136" spans="1:16" ht="12.5" x14ac:dyDescent="0.25">
      <c r="A136" s="32">
        <f>'Profit &amp; Loss'!A136</f>
        <v>0</v>
      </c>
      <c r="B136" s="35">
        <f>'Profit &amp; Loss'!B136</f>
        <v>0</v>
      </c>
      <c r="C136" s="36"/>
      <c r="D136" s="33"/>
      <c r="E136" s="33"/>
      <c r="F136" s="101"/>
      <c r="G136" s="102">
        <f t="shared" si="14"/>
        <v>0</v>
      </c>
      <c r="H136" s="103" t="str">
        <f t="shared" si="0"/>
        <v>0 tubes and 0 shuttles</v>
      </c>
      <c r="I136" s="36">
        <f t="shared" si="15"/>
        <v>0</v>
      </c>
      <c r="J136" s="104" t="str">
        <f t="shared" si="1"/>
        <v>0 tubes and 0 shuttles</v>
      </c>
      <c r="K136" s="36">
        <f t="shared" si="16"/>
        <v>0</v>
      </c>
      <c r="L136" s="103" t="str">
        <f t="shared" si="2"/>
        <v>0 tubes and 0 shuttles</v>
      </c>
      <c r="M136" s="105">
        <f t="shared" si="17"/>
        <v>0</v>
      </c>
      <c r="N136" s="103" t="str">
        <f t="shared" si="3"/>
        <v>0 tubes and 0 shuttles</v>
      </c>
      <c r="O136" s="36">
        <f t="shared" si="4"/>
        <v>0</v>
      </c>
      <c r="P136" s="103" t="str">
        <f t="shared" si="5"/>
        <v>0 tubes and 0 shuttles</v>
      </c>
    </row>
    <row r="137" spans="1:16" ht="12.5" x14ac:dyDescent="0.25">
      <c r="A137" s="32">
        <f>'Profit &amp; Loss'!A137</f>
        <v>0</v>
      </c>
      <c r="B137" s="35">
        <f>'Profit &amp; Loss'!B137</f>
        <v>0</v>
      </c>
      <c r="C137" s="36"/>
      <c r="D137" s="33"/>
      <c r="E137" s="33"/>
      <c r="F137" s="101"/>
      <c r="G137" s="102">
        <f t="shared" si="14"/>
        <v>0</v>
      </c>
      <c r="H137" s="103" t="str">
        <f t="shared" si="0"/>
        <v>0 tubes and 0 shuttles</v>
      </c>
      <c r="I137" s="36">
        <f t="shared" si="15"/>
        <v>0</v>
      </c>
      <c r="J137" s="104" t="str">
        <f t="shared" si="1"/>
        <v>0 tubes and 0 shuttles</v>
      </c>
      <c r="K137" s="36">
        <f t="shared" si="16"/>
        <v>0</v>
      </c>
      <c r="L137" s="103" t="str">
        <f t="shared" si="2"/>
        <v>0 tubes and 0 shuttles</v>
      </c>
      <c r="M137" s="105">
        <f t="shared" si="17"/>
        <v>0</v>
      </c>
      <c r="N137" s="103" t="str">
        <f t="shared" si="3"/>
        <v>0 tubes and 0 shuttles</v>
      </c>
      <c r="O137" s="36">
        <f t="shared" si="4"/>
        <v>0</v>
      </c>
      <c r="P137" s="103" t="str">
        <f t="shared" si="5"/>
        <v>0 tubes and 0 shuttles</v>
      </c>
    </row>
    <row r="138" spans="1:16" ht="12.5" x14ac:dyDescent="0.25">
      <c r="A138" s="32">
        <f>'Profit &amp; Loss'!A138</f>
        <v>0</v>
      </c>
      <c r="B138" s="35">
        <f>'Profit &amp; Loss'!B138</f>
        <v>0</v>
      </c>
      <c r="C138" s="36"/>
      <c r="D138" s="33"/>
      <c r="E138" s="33"/>
      <c r="F138" s="101"/>
      <c r="G138" s="102">
        <f t="shared" si="14"/>
        <v>0</v>
      </c>
      <c r="H138" s="103" t="str">
        <f t="shared" si="0"/>
        <v>0 tubes and 0 shuttles</v>
      </c>
      <c r="I138" s="36">
        <f t="shared" si="15"/>
        <v>0</v>
      </c>
      <c r="J138" s="104" t="str">
        <f t="shared" si="1"/>
        <v>0 tubes and 0 shuttles</v>
      </c>
      <c r="K138" s="36">
        <f t="shared" si="16"/>
        <v>0</v>
      </c>
      <c r="L138" s="103" t="str">
        <f t="shared" si="2"/>
        <v>0 tubes and 0 shuttles</v>
      </c>
      <c r="M138" s="105">
        <f t="shared" si="17"/>
        <v>0</v>
      </c>
      <c r="N138" s="103" t="str">
        <f t="shared" si="3"/>
        <v>0 tubes and 0 shuttles</v>
      </c>
      <c r="O138" s="36">
        <f t="shared" si="4"/>
        <v>0</v>
      </c>
      <c r="P138" s="103" t="str">
        <f t="shared" si="5"/>
        <v>0 tubes and 0 shuttles</v>
      </c>
    </row>
    <row r="139" spans="1:16" ht="12.5" x14ac:dyDescent="0.25">
      <c r="A139" s="32">
        <f>'Profit &amp; Loss'!A139</f>
        <v>0</v>
      </c>
      <c r="B139" s="35">
        <f>'Profit &amp; Loss'!B139</f>
        <v>0</v>
      </c>
      <c r="C139" s="36"/>
      <c r="D139" s="33"/>
      <c r="E139" s="33"/>
      <c r="F139" s="101"/>
      <c r="G139" s="102">
        <f t="shared" si="14"/>
        <v>0</v>
      </c>
      <c r="H139" s="103" t="str">
        <f t="shared" si="0"/>
        <v>0 tubes and 0 shuttles</v>
      </c>
      <c r="I139" s="36">
        <f t="shared" si="15"/>
        <v>0</v>
      </c>
      <c r="J139" s="104" t="str">
        <f t="shared" si="1"/>
        <v>0 tubes and 0 shuttles</v>
      </c>
      <c r="K139" s="36">
        <f t="shared" si="16"/>
        <v>0</v>
      </c>
      <c r="L139" s="103" t="str">
        <f t="shared" si="2"/>
        <v>0 tubes and 0 shuttles</v>
      </c>
      <c r="M139" s="105">
        <f t="shared" si="17"/>
        <v>0</v>
      </c>
      <c r="N139" s="103" t="str">
        <f t="shared" si="3"/>
        <v>0 tubes and 0 shuttles</v>
      </c>
      <c r="O139" s="36">
        <f t="shared" si="4"/>
        <v>0</v>
      </c>
      <c r="P139" s="103" t="str">
        <f t="shared" si="5"/>
        <v>0 tubes and 0 shuttles</v>
      </c>
    </row>
    <row r="140" spans="1:16" ht="12.5" x14ac:dyDescent="0.25">
      <c r="A140" s="32">
        <f>'Profit &amp; Loss'!A140</f>
        <v>0</v>
      </c>
      <c r="B140" s="35">
        <f>'Profit &amp; Loss'!B140</f>
        <v>0</v>
      </c>
      <c r="C140" s="36"/>
      <c r="D140" s="33"/>
      <c r="E140" s="33"/>
      <c r="F140" s="101"/>
      <c r="G140" s="102">
        <f t="shared" si="14"/>
        <v>0</v>
      </c>
      <c r="H140" s="103" t="str">
        <f t="shared" si="0"/>
        <v>0 tubes and 0 shuttles</v>
      </c>
      <c r="I140" s="36">
        <f t="shared" si="15"/>
        <v>0</v>
      </c>
      <c r="J140" s="104" t="str">
        <f t="shared" si="1"/>
        <v>0 tubes and 0 shuttles</v>
      </c>
      <c r="K140" s="36">
        <f t="shared" si="16"/>
        <v>0</v>
      </c>
      <c r="L140" s="103" t="str">
        <f t="shared" si="2"/>
        <v>0 tubes and 0 shuttles</v>
      </c>
      <c r="M140" s="105">
        <f t="shared" si="17"/>
        <v>0</v>
      </c>
      <c r="N140" s="103" t="str">
        <f t="shared" si="3"/>
        <v>0 tubes and 0 shuttles</v>
      </c>
      <c r="O140" s="36">
        <f t="shared" si="4"/>
        <v>0</v>
      </c>
      <c r="P140" s="103" t="str">
        <f t="shared" si="5"/>
        <v>0 tubes and 0 shuttles</v>
      </c>
    </row>
    <row r="141" spans="1:16" ht="12.5" x14ac:dyDescent="0.25">
      <c r="A141" s="32">
        <f>'Profit &amp; Loss'!A141</f>
        <v>0</v>
      </c>
      <c r="B141" s="35">
        <f>'Profit &amp; Loss'!B141</f>
        <v>0</v>
      </c>
      <c r="C141" s="36"/>
      <c r="D141" s="33"/>
      <c r="E141" s="33"/>
      <c r="F141" s="101"/>
      <c r="G141" s="102">
        <f t="shared" si="14"/>
        <v>0</v>
      </c>
      <c r="H141" s="103" t="str">
        <f t="shared" si="0"/>
        <v>0 tubes and 0 shuttles</v>
      </c>
      <c r="I141" s="36">
        <f t="shared" si="15"/>
        <v>0</v>
      </c>
      <c r="J141" s="104" t="str">
        <f t="shared" si="1"/>
        <v>0 tubes and 0 shuttles</v>
      </c>
      <c r="K141" s="36">
        <f t="shared" si="16"/>
        <v>0</v>
      </c>
      <c r="L141" s="103" t="str">
        <f t="shared" si="2"/>
        <v>0 tubes and 0 shuttles</v>
      </c>
      <c r="M141" s="105">
        <f t="shared" si="17"/>
        <v>0</v>
      </c>
      <c r="N141" s="103" t="str">
        <f t="shared" si="3"/>
        <v>0 tubes and 0 shuttles</v>
      </c>
      <c r="O141" s="36">
        <f t="shared" si="4"/>
        <v>0</v>
      </c>
      <c r="P141" s="103" t="str">
        <f t="shared" si="5"/>
        <v>0 tubes and 0 shuttles</v>
      </c>
    </row>
    <row r="142" spans="1:16" ht="12.5" x14ac:dyDescent="0.25">
      <c r="A142" s="32">
        <f>'Profit &amp; Loss'!A142</f>
        <v>0</v>
      </c>
      <c r="B142" s="35">
        <f>'Profit &amp; Loss'!B142</f>
        <v>0</v>
      </c>
      <c r="C142" s="36"/>
      <c r="D142" s="33"/>
      <c r="E142" s="33"/>
      <c r="F142" s="101"/>
      <c r="G142" s="102">
        <f t="shared" si="14"/>
        <v>0</v>
      </c>
      <c r="H142" s="103" t="str">
        <f t="shared" si="0"/>
        <v>0 tubes and 0 shuttles</v>
      </c>
      <c r="I142" s="36">
        <f t="shared" si="15"/>
        <v>0</v>
      </c>
      <c r="J142" s="104" t="str">
        <f t="shared" si="1"/>
        <v>0 tubes and 0 shuttles</v>
      </c>
      <c r="K142" s="36">
        <f t="shared" si="16"/>
        <v>0</v>
      </c>
      <c r="L142" s="103" t="str">
        <f t="shared" si="2"/>
        <v>0 tubes and 0 shuttles</v>
      </c>
      <c r="M142" s="105">
        <f t="shared" si="17"/>
        <v>0</v>
      </c>
      <c r="N142" s="103" t="str">
        <f t="shared" si="3"/>
        <v>0 tubes and 0 shuttles</v>
      </c>
      <c r="O142" s="36">
        <f t="shared" si="4"/>
        <v>0</v>
      </c>
      <c r="P142" s="103" t="str">
        <f t="shared" si="5"/>
        <v>0 tubes and 0 shuttles</v>
      </c>
    </row>
    <row r="143" spans="1:16" ht="12.5" x14ac:dyDescent="0.25">
      <c r="A143" s="32">
        <f>'Profit &amp; Loss'!A143</f>
        <v>0</v>
      </c>
      <c r="B143" s="35">
        <f>'Profit &amp; Loss'!B143</f>
        <v>0</v>
      </c>
      <c r="C143" s="36"/>
      <c r="D143" s="33"/>
      <c r="E143" s="33"/>
      <c r="F143" s="101"/>
      <c r="G143" s="102">
        <f t="shared" si="14"/>
        <v>0</v>
      </c>
      <c r="H143" s="103" t="str">
        <f t="shared" si="0"/>
        <v>0 tubes and 0 shuttles</v>
      </c>
      <c r="I143" s="36">
        <f t="shared" si="15"/>
        <v>0</v>
      </c>
      <c r="J143" s="104" t="str">
        <f t="shared" si="1"/>
        <v>0 tubes and 0 shuttles</v>
      </c>
      <c r="K143" s="36">
        <f t="shared" si="16"/>
        <v>0</v>
      </c>
      <c r="L143" s="103" t="str">
        <f t="shared" si="2"/>
        <v>0 tubes and 0 shuttles</v>
      </c>
      <c r="M143" s="105">
        <f t="shared" si="17"/>
        <v>0</v>
      </c>
      <c r="N143" s="103" t="str">
        <f t="shared" si="3"/>
        <v>0 tubes and 0 shuttles</v>
      </c>
      <c r="O143" s="36">
        <f t="shared" si="4"/>
        <v>0</v>
      </c>
      <c r="P143" s="103" t="str">
        <f t="shared" si="5"/>
        <v>0 tubes and 0 shuttles</v>
      </c>
    </row>
    <row r="144" spans="1:16" ht="12.5" x14ac:dyDescent="0.25">
      <c r="A144" s="32">
        <f>'Profit &amp; Loss'!A144</f>
        <v>0</v>
      </c>
      <c r="B144" s="35">
        <f>'Profit &amp; Loss'!B144</f>
        <v>0</v>
      </c>
      <c r="C144" s="36"/>
      <c r="D144" s="33"/>
      <c r="E144" s="33"/>
      <c r="F144" s="101"/>
      <c r="G144" s="102">
        <f t="shared" si="14"/>
        <v>0</v>
      </c>
      <c r="H144" s="103" t="str">
        <f t="shared" si="0"/>
        <v>0 tubes and 0 shuttles</v>
      </c>
      <c r="I144" s="36">
        <f t="shared" si="15"/>
        <v>0</v>
      </c>
      <c r="J144" s="104" t="str">
        <f t="shared" si="1"/>
        <v>0 tubes and 0 shuttles</v>
      </c>
      <c r="K144" s="36">
        <f t="shared" si="16"/>
        <v>0</v>
      </c>
      <c r="L144" s="103" t="str">
        <f t="shared" si="2"/>
        <v>0 tubes and 0 shuttles</v>
      </c>
      <c r="M144" s="105">
        <f t="shared" si="17"/>
        <v>0</v>
      </c>
      <c r="N144" s="103" t="str">
        <f t="shared" si="3"/>
        <v>0 tubes and 0 shuttles</v>
      </c>
      <c r="O144" s="36">
        <f t="shared" si="4"/>
        <v>0</v>
      </c>
      <c r="P144" s="103" t="str">
        <f t="shared" si="5"/>
        <v>0 tubes and 0 shuttles</v>
      </c>
    </row>
    <row r="145" spans="1:16" ht="12.5" x14ac:dyDescent="0.25">
      <c r="A145" s="32">
        <f>'Profit &amp; Loss'!A145</f>
        <v>0</v>
      </c>
      <c r="B145" s="35">
        <f>'Profit &amp; Loss'!B145</f>
        <v>0</v>
      </c>
      <c r="C145" s="36"/>
      <c r="D145" s="33"/>
      <c r="E145" s="33"/>
      <c r="F145" s="101"/>
      <c r="G145" s="102">
        <f t="shared" si="14"/>
        <v>0</v>
      </c>
      <c r="H145" s="103" t="str">
        <f t="shared" si="0"/>
        <v>0 tubes and 0 shuttles</v>
      </c>
      <c r="I145" s="36">
        <f t="shared" si="15"/>
        <v>0</v>
      </c>
      <c r="J145" s="104" t="str">
        <f t="shared" si="1"/>
        <v>0 tubes and 0 shuttles</v>
      </c>
      <c r="K145" s="36">
        <f t="shared" si="16"/>
        <v>0</v>
      </c>
      <c r="L145" s="103" t="str">
        <f t="shared" si="2"/>
        <v>0 tubes and 0 shuttles</v>
      </c>
      <c r="M145" s="105">
        <f t="shared" si="17"/>
        <v>0</v>
      </c>
      <c r="N145" s="103" t="str">
        <f t="shared" si="3"/>
        <v>0 tubes and 0 shuttles</v>
      </c>
      <c r="O145" s="36">
        <f t="shared" si="4"/>
        <v>0</v>
      </c>
      <c r="P145" s="103" t="str">
        <f t="shared" si="5"/>
        <v>0 tubes and 0 shuttles</v>
      </c>
    </row>
    <row r="146" spans="1:16" ht="12.5" x14ac:dyDescent="0.25">
      <c r="A146" s="32">
        <f>'Profit &amp; Loss'!A146</f>
        <v>0</v>
      </c>
      <c r="B146" s="35">
        <f>'Profit &amp; Loss'!B146</f>
        <v>0</v>
      </c>
      <c r="C146" s="36"/>
      <c r="D146" s="33"/>
      <c r="E146" s="33"/>
      <c r="F146" s="101"/>
      <c r="G146" s="102">
        <f t="shared" si="14"/>
        <v>0</v>
      </c>
      <c r="H146" s="103" t="str">
        <f t="shared" si="0"/>
        <v>0 tubes and 0 shuttles</v>
      </c>
      <c r="I146" s="36">
        <f t="shared" si="15"/>
        <v>0</v>
      </c>
      <c r="J146" s="104" t="str">
        <f t="shared" si="1"/>
        <v>0 tubes and 0 shuttles</v>
      </c>
      <c r="K146" s="36">
        <f t="shared" si="16"/>
        <v>0</v>
      </c>
      <c r="L146" s="103" t="str">
        <f t="shared" si="2"/>
        <v>0 tubes and 0 shuttles</v>
      </c>
      <c r="M146" s="105">
        <f t="shared" si="17"/>
        <v>0</v>
      </c>
      <c r="N146" s="103" t="str">
        <f t="shared" si="3"/>
        <v>0 tubes and 0 shuttles</v>
      </c>
      <c r="O146" s="36">
        <f t="shared" si="4"/>
        <v>0</v>
      </c>
      <c r="P146" s="103" t="str">
        <f t="shared" si="5"/>
        <v>0 tubes and 0 shuttles</v>
      </c>
    </row>
    <row r="147" spans="1:16" ht="12.5" x14ac:dyDescent="0.25">
      <c r="A147" s="32">
        <f>'Profit &amp; Loss'!A147</f>
        <v>0</v>
      </c>
      <c r="B147" s="35">
        <f>'Profit &amp; Loss'!B147</f>
        <v>0</v>
      </c>
      <c r="C147" s="36"/>
      <c r="D147" s="33"/>
      <c r="E147" s="33"/>
      <c r="F147" s="101"/>
      <c r="G147" s="102">
        <f t="shared" si="14"/>
        <v>0</v>
      </c>
      <c r="H147" s="103" t="str">
        <f t="shared" si="0"/>
        <v>0 tubes and 0 shuttles</v>
      </c>
      <c r="I147" s="36">
        <f t="shared" si="15"/>
        <v>0</v>
      </c>
      <c r="J147" s="104" t="str">
        <f t="shared" si="1"/>
        <v>0 tubes and 0 shuttles</v>
      </c>
      <c r="K147" s="36">
        <f t="shared" si="16"/>
        <v>0</v>
      </c>
      <c r="L147" s="103" t="str">
        <f t="shared" si="2"/>
        <v>0 tubes and 0 shuttles</v>
      </c>
      <c r="M147" s="105">
        <f t="shared" si="17"/>
        <v>0</v>
      </c>
      <c r="N147" s="103" t="str">
        <f t="shared" si="3"/>
        <v>0 tubes and 0 shuttles</v>
      </c>
      <c r="O147" s="36">
        <f t="shared" si="4"/>
        <v>0</v>
      </c>
      <c r="P147" s="103" t="str">
        <f t="shared" si="5"/>
        <v>0 tubes and 0 shuttles</v>
      </c>
    </row>
    <row r="148" spans="1:16" ht="12.5" x14ac:dyDescent="0.25">
      <c r="A148" s="32">
        <f>'Profit &amp; Loss'!A148</f>
        <v>0</v>
      </c>
      <c r="B148" s="35">
        <f>'Profit &amp; Loss'!B148</f>
        <v>0</v>
      </c>
      <c r="C148" s="36"/>
      <c r="D148" s="33"/>
      <c r="E148" s="33"/>
      <c r="F148" s="101"/>
      <c r="G148" s="102">
        <f t="shared" si="14"/>
        <v>0</v>
      </c>
      <c r="H148" s="103" t="str">
        <f t="shared" si="0"/>
        <v>0 tubes and 0 shuttles</v>
      </c>
      <c r="I148" s="36">
        <f t="shared" si="15"/>
        <v>0</v>
      </c>
      <c r="J148" s="104" t="str">
        <f t="shared" si="1"/>
        <v>0 tubes and 0 shuttles</v>
      </c>
      <c r="K148" s="36">
        <f t="shared" si="16"/>
        <v>0</v>
      </c>
      <c r="L148" s="103" t="str">
        <f t="shared" si="2"/>
        <v>0 tubes and 0 shuttles</v>
      </c>
      <c r="M148" s="105">
        <f t="shared" si="17"/>
        <v>0</v>
      </c>
      <c r="N148" s="103" t="str">
        <f t="shared" si="3"/>
        <v>0 tubes and 0 shuttles</v>
      </c>
      <c r="O148" s="36">
        <f t="shared" si="4"/>
        <v>0</v>
      </c>
      <c r="P148" s="103" t="str">
        <f t="shared" si="5"/>
        <v>0 tubes and 0 shuttles</v>
      </c>
    </row>
    <row r="149" spans="1:16" ht="12.5" x14ac:dyDescent="0.25">
      <c r="A149" s="32">
        <f>'Profit &amp; Loss'!A149</f>
        <v>0</v>
      </c>
      <c r="B149" s="35">
        <f>'Profit &amp; Loss'!B149</f>
        <v>0</v>
      </c>
      <c r="C149" s="36"/>
      <c r="D149" s="33"/>
      <c r="E149" s="33"/>
      <c r="F149" s="101"/>
      <c r="G149" s="102">
        <f t="shared" si="14"/>
        <v>0</v>
      </c>
      <c r="H149" s="103" t="str">
        <f t="shared" si="0"/>
        <v>0 tubes and 0 shuttles</v>
      </c>
      <c r="I149" s="36">
        <f t="shared" si="15"/>
        <v>0</v>
      </c>
      <c r="J149" s="104" t="str">
        <f t="shared" si="1"/>
        <v>0 tubes and 0 shuttles</v>
      </c>
      <c r="K149" s="36">
        <f t="shared" si="16"/>
        <v>0</v>
      </c>
      <c r="L149" s="103" t="str">
        <f t="shared" si="2"/>
        <v>0 tubes and 0 shuttles</v>
      </c>
      <c r="M149" s="105">
        <f t="shared" si="17"/>
        <v>0</v>
      </c>
      <c r="N149" s="103" t="str">
        <f t="shared" si="3"/>
        <v>0 tubes and 0 shuttles</v>
      </c>
      <c r="O149" s="36">
        <f t="shared" si="4"/>
        <v>0</v>
      </c>
      <c r="P149" s="103" t="str">
        <f t="shared" si="5"/>
        <v>0 tubes and 0 shuttles</v>
      </c>
    </row>
    <row r="150" spans="1:16" ht="12.5" x14ac:dyDescent="0.25">
      <c r="A150" s="32">
        <f>'Profit &amp; Loss'!A150</f>
        <v>0</v>
      </c>
      <c r="B150" s="35">
        <f>'Profit &amp; Loss'!B150</f>
        <v>0</v>
      </c>
      <c r="C150" s="36"/>
      <c r="D150" s="33"/>
      <c r="E150" s="33"/>
      <c r="F150" s="101"/>
      <c r="G150" s="102">
        <f t="shared" si="14"/>
        <v>0</v>
      </c>
      <c r="H150" s="103" t="str">
        <f t="shared" si="0"/>
        <v>0 tubes and 0 shuttles</v>
      </c>
      <c r="I150" s="36">
        <f t="shared" si="15"/>
        <v>0</v>
      </c>
      <c r="J150" s="104" t="str">
        <f t="shared" si="1"/>
        <v>0 tubes and 0 shuttles</v>
      </c>
      <c r="K150" s="36">
        <f t="shared" si="16"/>
        <v>0</v>
      </c>
      <c r="L150" s="103" t="str">
        <f t="shared" si="2"/>
        <v>0 tubes and 0 shuttles</v>
      </c>
      <c r="M150" s="105">
        <f t="shared" si="17"/>
        <v>0</v>
      </c>
      <c r="N150" s="103" t="str">
        <f t="shared" si="3"/>
        <v>0 tubes and 0 shuttles</v>
      </c>
      <c r="O150" s="36">
        <f t="shared" si="4"/>
        <v>0</v>
      </c>
      <c r="P150" s="103" t="str">
        <f t="shared" si="5"/>
        <v>0 tubes and 0 shuttles</v>
      </c>
    </row>
    <row r="151" spans="1:16" ht="12.5" x14ac:dyDescent="0.25">
      <c r="A151" s="32">
        <f>'Profit &amp; Loss'!A151</f>
        <v>0</v>
      </c>
      <c r="B151" s="35">
        <f>'Profit &amp; Loss'!B151</f>
        <v>0</v>
      </c>
      <c r="C151" s="36"/>
      <c r="D151" s="33"/>
      <c r="E151" s="33"/>
      <c r="F151" s="101"/>
      <c r="G151" s="102">
        <f t="shared" si="14"/>
        <v>0</v>
      </c>
      <c r="H151" s="103" t="str">
        <f t="shared" si="0"/>
        <v>0 tubes and 0 shuttles</v>
      </c>
      <c r="I151" s="36">
        <f t="shared" si="15"/>
        <v>0</v>
      </c>
      <c r="J151" s="104" t="str">
        <f t="shared" si="1"/>
        <v>0 tubes and 0 shuttles</v>
      </c>
      <c r="K151" s="36">
        <f t="shared" si="16"/>
        <v>0</v>
      </c>
      <c r="L151" s="103" t="str">
        <f t="shared" si="2"/>
        <v>0 tubes and 0 shuttles</v>
      </c>
      <c r="M151" s="105">
        <f t="shared" si="17"/>
        <v>0</v>
      </c>
      <c r="N151" s="103" t="str">
        <f t="shared" si="3"/>
        <v>0 tubes and 0 shuttles</v>
      </c>
      <c r="O151" s="36">
        <f t="shared" si="4"/>
        <v>0</v>
      </c>
      <c r="P151" s="103" t="str">
        <f t="shared" si="5"/>
        <v>0 tubes and 0 shuttles</v>
      </c>
    </row>
    <row r="152" spans="1:16" ht="12.5" x14ac:dyDescent="0.25">
      <c r="A152" s="32">
        <f>'Profit &amp; Loss'!A152</f>
        <v>0</v>
      </c>
      <c r="B152" s="35">
        <f>'Profit &amp; Loss'!B152</f>
        <v>0</v>
      </c>
      <c r="C152" s="36"/>
      <c r="D152" s="33"/>
      <c r="E152" s="33"/>
      <c r="F152" s="101"/>
      <c r="G152" s="102">
        <f t="shared" si="14"/>
        <v>0</v>
      </c>
      <c r="H152" s="103" t="str">
        <f t="shared" si="0"/>
        <v>0 tubes and 0 shuttles</v>
      </c>
      <c r="I152" s="36">
        <f t="shared" si="15"/>
        <v>0</v>
      </c>
      <c r="J152" s="104" t="str">
        <f t="shared" si="1"/>
        <v>0 tubes and 0 shuttles</v>
      </c>
      <c r="K152" s="36">
        <f t="shared" si="16"/>
        <v>0</v>
      </c>
      <c r="L152" s="103" t="str">
        <f t="shared" si="2"/>
        <v>0 tubes and 0 shuttles</v>
      </c>
      <c r="M152" s="105">
        <f t="shared" si="17"/>
        <v>0</v>
      </c>
      <c r="N152" s="103" t="str">
        <f t="shared" si="3"/>
        <v>0 tubes and 0 shuttles</v>
      </c>
      <c r="O152" s="36">
        <f t="shared" si="4"/>
        <v>0</v>
      </c>
      <c r="P152" s="103" t="str">
        <f t="shared" si="5"/>
        <v>0 tubes and 0 shuttles</v>
      </c>
    </row>
    <row r="153" spans="1:16" ht="12.5" x14ac:dyDescent="0.25">
      <c r="A153" s="32">
        <f>'Profit &amp; Loss'!A153</f>
        <v>0</v>
      </c>
      <c r="B153" s="35">
        <f>'Profit &amp; Loss'!B153</f>
        <v>0</v>
      </c>
      <c r="C153" s="36"/>
      <c r="D153" s="33"/>
      <c r="E153" s="33"/>
      <c r="F153" s="101"/>
      <c r="G153" s="102">
        <f t="shared" si="14"/>
        <v>0</v>
      </c>
      <c r="H153" s="103" t="str">
        <f t="shared" si="0"/>
        <v>0 tubes and 0 shuttles</v>
      </c>
      <c r="I153" s="36">
        <f t="shared" si="15"/>
        <v>0</v>
      </c>
      <c r="J153" s="104" t="str">
        <f t="shared" si="1"/>
        <v>0 tubes and 0 shuttles</v>
      </c>
      <c r="K153" s="36">
        <f t="shared" si="16"/>
        <v>0</v>
      </c>
      <c r="L153" s="103" t="str">
        <f t="shared" si="2"/>
        <v>0 tubes and 0 shuttles</v>
      </c>
      <c r="M153" s="105">
        <f t="shared" si="17"/>
        <v>0</v>
      </c>
      <c r="N153" s="103" t="str">
        <f t="shared" si="3"/>
        <v>0 tubes and 0 shuttles</v>
      </c>
      <c r="O153" s="36">
        <f t="shared" si="4"/>
        <v>0</v>
      </c>
      <c r="P153" s="103" t="str">
        <f t="shared" si="5"/>
        <v>0 tubes and 0 shuttles</v>
      </c>
    </row>
    <row r="154" spans="1:16" ht="12.5" x14ac:dyDescent="0.25">
      <c r="A154" s="32">
        <f>'Profit &amp; Loss'!A154</f>
        <v>0</v>
      </c>
      <c r="B154" s="35">
        <f>'Profit &amp; Loss'!B154</f>
        <v>0</v>
      </c>
      <c r="C154" s="36"/>
      <c r="D154" s="33"/>
      <c r="E154" s="33"/>
      <c r="F154" s="101"/>
      <c r="G154" s="102">
        <f t="shared" si="14"/>
        <v>0</v>
      </c>
      <c r="H154" s="103" t="str">
        <f t="shared" si="0"/>
        <v>0 tubes and 0 shuttles</v>
      </c>
      <c r="I154" s="36">
        <f t="shared" si="15"/>
        <v>0</v>
      </c>
      <c r="J154" s="104" t="str">
        <f t="shared" si="1"/>
        <v>0 tubes and 0 shuttles</v>
      </c>
      <c r="K154" s="36">
        <f t="shared" si="16"/>
        <v>0</v>
      </c>
      <c r="L154" s="103" t="str">
        <f t="shared" si="2"/>
        <v>0 tubes and 0 shuttles</v>
      </c>
      <c r="M154" s="105">
        <f t="shared" si="17"/>
        <v>0</v>
      </c>
      <c r="N154" s="103" t="str">
        <f t="shared" si="3"/>
        <v>0 tubes and 0 shuttles</v>
      </c>
      <c r="O154" s="36">
        <f t="shared" si="4"/>
        <v>0</v>
      </c>
      <c r="P154" s="103" t="str">
        <f t="shared" si="5"/>
        <v>0 tubes and 0 shuttles</v>
      </c>
    </row>
    <row r="155" spans="1:16" ht="12.5" x14ac:dyDescent="0.25">
      <c r="A155" s="32">
        <f>'Profit &amp; Loss'!A155</f>
        <v>0</v>
      </c>
      <c r="B155" s="35">
        <f>'Profit &amp; Loss'!B155</f>
        <v>0</v>
      </c>
      <c r="C155" s="36"/>
      <c r="D155" s="33"/>
      <c r="E155" s="33"/>
      <c r="F155" s="101"/>
      <c r="G155" s="102">
        <f t="shared" si="14"/>
        <v>0</v>
      </c>
      <c r="H155" s="103" t="str">
        <f t="shared" si="0"/>
        <v>0 tubes and 0 shuttles</v>
      </c>
      <c r="I155" s="36">
        <f t="shared" si="15"/>
        <v>0</v>
      </c>
      <c r="J155" s="104" t="str">
        <f t="shared" si="1"/>
        <v>0 tubes and 0 shuttles</v>
      </c>
      <c r="K155" s="36">
        <f t="shared" si="16"/>
        <v>0</v>
      </c>
      <c r="L155" s="103" t="str">
        <f t="shared" si="2"/>
        <v>0 tubes and 0 shuttles</v>
      </c>
      <c r="M155" s="105">
        <f t="shared" si="17"/>
        <v>0</v>
      </c>
      <c r="N155" s="103" t="str">
        <f t="shared" si="3"/>
        <v>0 tubes and 0 shuttles</v>
      </c>
      <c r="O155" s="36">
        <f t="shared" si="4"/>
        <v>0</v>
      </c>
      <c r="P155" s="103" t="str">
        <f t="shared" si="5"/>
        <v>0 tubes and 0 shuttles</v>
      </c>
    </row>
    <row r="156" spans="1:16" ht="12.5" x14ac:dyDescent="0.25">
      <c r="A156" s="32">
        <f>'Profit &amp; Loss'!A156</f>
        <v>0</v>
      </c>
      <c r="B156" s="35">
        <f>'Profit &amp; Loss'!B156</f>
        <v>0</v>
      </c>
      <c r="C156" s="36"/>
      <c r="D156" s="33"/>
      <c r="E156" s="33"/>
      <c r="F156" s="101"/>
      <c r="G156" s="102">
        <f t="shared" si="14"/>
        <v>0</v>
      </c>
      <c r="H156" s="103" t="str">
        <f t="shared" si="0"/>
        <v>0 tubes and 0 shuttles</v>
      </c>
      <c r="I156" s="36">
        <f t="shared" si="15"/>
        <v>0</v>
      </c>
      <c r="J156" s="104" t="str">
        <f t="shared" si="1"/>
        <v>0 tubes and 0 shuttles</v>
      </c>
      <c r="K156" s="36">
        <f t="shared" si="16"/>
        <v>0</v>
      </c>
      <c r="L156" s="103" t="str">
        <f t="shared" si="2"/>
        <v>0 tubes and 0 shuttles</v>
      </c>
      <c r="M156" s="105">
        <f t="shared" si="17"/>
        <v>0</v>
      </c>
      <c r="N156" s="103" t="str">
        <f t="shared" si="3"/>
        <v>0 tubes and 0 shuttles</v>
      </c>
      <c r="O156" s="36">
        <f t="shared" si="4"/>
        <v>0</v>
      </c>
      <c r="P156" s="103" t="str">
        <f t="shared" si="5"/>
        <v>0 tubes and 0 shuttles</v>
      </c>
    </row>
    <row r="157" spans="1:16" ht="12.5" x14ac:dyDescent="0.25">
      <c r="A157" s="32">
        <f>'Profit &amp; Loss'!A157</f>
        <v>0</v>
      </c>
      <c r="B157" s="35">
        <f>'Profit &amp; Loss'!B157</f>
        <v>0</v>
      </c>
      <c r="C157" s="36"/>
      <c r="D157" s="33"/>
      <c r="E157" s="33"/>
      <c r="F157" s="101"/>
      <c r="G157" s="102">
        <f t="shared" si="14"/>
        <v>0</v>
      </c>
      <c r="H157" s="103" t="str">
        <f t="shared" si="0"/>
        <v>0 tubes and 0 shuttles</v>
      </c>
      <c r="I157" s="36">
        <f t="shared" si="15"/>
        <v>0</v>
      </c>
      <c r="J157" s="104" t="str">
        <f t="shared" si="1"/>
        <v>0 tubes and 0 shuttles</v>
      </c>
      <c r="K157" s="36">
        <f t="shared" si="16"/>
        <v>0</v>
      </c>
      <c r="L157" s="103" t="str">
        <f t="shared" si="2"/>
        <v>0 tubes and 0 shuttles</v>
      </c>
      <c r="M157" s="105">
        <f t="shared" si="17"/>
        <v>0</v>
      </c>
      <c r="N157" s="103" t="str">
        <f t="shared" si="3"/>
        <v>0 tubes and 0 shuttles</v>
      </c>
      <c r="O157" s="36">
        <f t="shared" si="4"/>
        <v>0</v>
      </c>
      <c r="P157" s="103" t="str">
        <f t="shared" si="5"/>
        <v>0 tubes and 0 shuttles</v>
      </c>
    </row>
    <row r="158" spans="1:16" ht="12.5" x14ac:dyDescent="0.25">
      <c r="A158" s="32">
        <f>'Profit &amp; Loss'!A158</f>
        <v>0</v>
      </c>
      <c r="B158" s="35">
        <f>'Profit &amp; Loss'!B158</f>
        <v>0</v>
      </c>
      <c r="C158" s="36"/>
      <c r="D158" s="33"/>
      <c r="E158" s="33"/>
      <c r="F158" s="101"/>
      <c r="G158" s="102">
        <f t="shared" si="14"/>
        <v>0</v>
      </c>
      <c r="H158" s="103" t="str">
        <f t="shared" si="0"/>
        <v>0 tubes and 0 shuttles</v>
      </c>
      <c r="I158" s="36">
        <f t="shared" si="15"/>
        <v>0</v>
      </c>
      <c r="J158" s="104" t="str">
        <f t="shared" si="1"/>
        <v>0 tubes and 0 shuttles</v>
      </c>
      <c r="K158" s="36">
        <f t="shared" si="16"/>
        <v>0</v>
      </c>
      <c r="L158" s="103" t="str">
        <f t="shared" si="2"/>
        <v>0 tubes and 0 shuttles</v>
      </c>
      <c r="M158" s="105">
        <f t="shared" si="17"/>
        <v>0</v>
      </c>
      <c r="N158" s="103" t="str">
        <f t="shared" si="3"/>
        <v>0 tubes and 0 shuttles</v>
      </c>
      <c r="O158" s="36">
        <f t="shared" si="4"/>
        <v>0</v>
      </c>
      <c r="P158" s="103" t="str">
        <f t="shared" si="5"/>
        <v>0 tubes and 0 shuttles</v>
      </c>
    </row>
    <row r="159" spans="1:16" ht="12.5" x14ac:dyDescent="0.25">
      <c r="A159" s="32">
        <f>'Profit &amp; Loss'!A159</f>
        <v>0</v>
      </c>
      <c r="B159" s="35">
        <f>'Profit &amp; Loss'!B159</f>
        <v>0</v>
      </c>
      <c r="C159" s="36"/>
      <c r="D159" s="33"/>
      <c r="E159" s="33"/>
      <c r="F159" s="101"/>
      <c r="G159" s="102">
        <f t="shared" si="14"/>
        <v>0</v>
      </c>
      <c r="H159" s="103" t="str">
        <f t="shared" si="0"/>
        <v>0 tubes and 0 shuttles</v>
      </c>
      <c r="I159" s="36">
        <f t="shared" si="15"/>
        <v>0</v>
      </c>
      <c r="J159" s="104" t="str">
        <f t="shared" si="1"/>
        <v>0 tubes and 0 shuttles</v>
      </c>
      <c r="K159" s="36">
        <f t="shared" si="16"/>
        <v>0</v>
      </c>
      <c r="L159" s="103" t="str">
        <f t="shared" si="2"/>
        <v>0 tubes and 0 shuttles</v>
      </c>
      <c r="M159" s="105">
        <f t="shared" si="17"/>
        <v>0</v>
      </c>
      <c r="N159" s="103" t="str">
        <f t="shared" si="3"/>
        <v>0 tubes and 0 shuttles</v>
      </c>
      <c r="O159" s="36">
        <f t="shared" si="4"/>
        <v>0</v>
      </c>
      <c r="P159" s="103" t="str">
        <f t="shared" si="5"/>
        <v>0 tubes and 0 shuttles</v>
      </c>
    </row>
    <row r="160" spans="1:16" ht="12.5" x14ac:dyDescent="0.25">
      <c r="A160" s="32">
        <f>'Profit &amp; Loss'!A160</f>
        <v>0</v>
      </c>
      <c r="B160" s="35">
        <f>'Profit &amp; Loss'!B160</f>
        <v>0</v>
      </c>
      <c r="C160" s="36"/>
      <c r="D160" s="33"/>
      <c r="E160" s="33"/>
      <c r="F160" s="101"/>
      <c r="G160" s="102">
        <f t="shared" si="14"/>
        <v>0</v>
      </c>
      <c r="H160" s="103" t="str">
        <f t="shared" si="0"/>
        <v>0 tubes and 0 shuttles</v>
      </c>
      <c r="I160" s="36">
        <f t="shared" si="15"/>
        <v>0</v>
      </c>
      <c r="J160" s="104" t="str">
        <f t="shared" si="1"/>
        <v>0 tubes and 0 shuttles</v>
      </c>
      <c r="K160" s="36">
        <f t="shared" si="16"/>
        <v>0</v>
      </c>
      <c r="L160" s="103" t="str">
        <f t="shared" si="2"/>
        <v>0 tubes and 0 shuttles</v>
      </c>
      <c r="M160" s="105">
        <f t="shared" si="17"/>
        <v>0</v>
      </c>
      <c r="N160" s="103" t="str">
        <f t="shared" si="3"/>
        <v>0 tubes and 0 shuttles</v>
      </c>
      <c r="O160" s="36">
        <f t="shared" si="4"/>
        <v>0</v>
      </c>
      <c r="P160" s="103" t="str">
        <f t="shared" si="5"/>
        <v>0 tubes and 0 shuttles</v>
      </c>
    </row>
    <row r="161" spans="1:16" ht="12.5" x14ac:dyDescent="0.25">
      <c r="A161" s="32">
        <f>'Profit &amp; Loss'!A161</f>
        <v>0</v>
      </c>
      <c r="B161" s="35">
        <f>'Profit &amp; Loss'!B161</f>
        <v>0</v>
      </c>
      <c r="C161" s="36"/>
      <c r="D161" s="33"/>
      <c r="E161" s="33"/>
      <c r="F161" s="101"/>
      <c r="G161" s="102">
        <f t="shared" si="14"/>
        <v>0</v>
      </c>
      <c r="H161" s="103" t="str">
        <f t="shared" si="0"/>
        <v>0 tubes and 0 shuttles</v>
      </c>
      <c r="I161" s="36">
        <f t="shared" si="15"/>
        <v>0</v>
      </c>
      <c r="J161" s="104" t="str">
        <f t="shared" si="1"/>
        <v>0 tubes and 0 shuttles</v>
      </c>
      <c r="K161" s="36">
        <f t="shared" si="16"/>
        <v>0</v>
      </c>
      <c r="L161" s="103" t="str">
        <f t="shared" si="2"/>
        <v>0 tubes and 0 shuttles</v>
      </c>
      <c r="M161" s="105">
        <f t="shared" si="17"/>
        <v>0</v>
      </c>
      <c r="N161" s="103" t="str">
        <f t="shared" si="3"/>
        <v>0 tubes and 0 shuttles</v>
      </c>
      <c r="O161" s="36">
        <f t="shared" si="4"/>
        <v>0</v>
      </c>
      <c r="P161" s="103" t="str">
        <f t="shared" si="5"/>
        <v>0 tubes and 0 shuttles</v>
      </c>
    </row>
    <row r="162" spans="1:16" ht="12.5" x14ac:dyDescent="0.25">
      <c r="A162" s="32">
        <f>'Profit &amp; Loss'!A162</f>
        <v>0</v>
      </c>
      <c r="B162" s="35">
        <f>'Profit &amp; Loss'!B162</f>
        <v>0</v>
      </c>
      <c r="C162" s="36"/>
      <c r="D162" s="33"/>
      <c r="E162" s="33"/>
      <c r="F162" s="101"/>
      <c r="G162" s="102">
        <f t="shared" si="14"/>
        <v>0</v>
      </c>
      <c r="H162" s="103" t="str">
        <f t="shared" si="0"/>
        <v>0 tubes and 0 shuttles</v>
      </c>
      <c r="I162" s="36">
        <f t="shared" si="15"/>
        <v>0</v>
      </c>
      <c r="J162" s="104" t="str">
        <f t="shared" si="1"/>
        <v>0 tubes and 0 shuttles</v>
      </c>
      <c r="K162" s="36">
        <f t="shared" si="16"/>
        <v>0</v>
      </c>
      <c r="L162" s="103" t="str">
        <f t="shared" si="2"/>
        <v>0 tubes and 0 shuttles</v>
      </c>
      <c r="M162" s="105">
        <f t="shared" si="17"/>
        <v>0</v>
      </c>
      <c r="N162" s="103" t="str">
        <f t="shared" si="3"/>
        <v>0 tubes and 0 shuttles</v>
      </c>
      <c r="O162" s="36">
        <f t="shared" si="4"/>
        <v>0</v>
      </c>
      <c r="P162" s="103" t="str">
        <f t="shared" si="5"/>
        <v>0 tubes and 0 shuttles</v>
      </c>
    </row>
    <row r="163" spans="1:16" ht="12.5" x14ac:dyDescent="0.25">
      <c r="A163" s="32">
        <f>'Profit &amp; Loss'!A163</f>
        <v>0</v>
      </c>
      <c r="B163" s="35">
        <f>'Profit &amp; Loss'!B163</f>
        <v>0</v>
      </c>
      <c r="C163" s="36"/>
      <c r="D163" s="33"/>
      <c r="E163" s="33"/>
      <c r="F163" s="101"/>
      <c r="G163" s="102">
        <f t="shared" si="14"/>
        <v>0</v>
      </c>
      <c r="H163" s="103" t="str">
        <f t="shared" si="0"/>
        <v>0 tubes and 0 shuttles</v>
      </c>
      <c r="I163" s="36">
        <f t="shared" si="15"/>
        <v>0</v>
      </c>
      <c r="J163" s="104" t="str">
        <f t="shared" si="1"/>
        <v>0 tubes and 0 shuttles</v>
      </c>
      <c r="K163" s="36">
        <f t="shared" si="16"/>
        <v>0</v>
      </c>
      <c r="L163" s="103" t="str">
        <f t="shared" si="2"/>
        <v>0 tubes and 0 shuttles</v>
      </c>
      <c r="M163" s="105">
        <f t="shared" si="17"/>
        <v>0</v>
      </c>
      <c r="N163" s="103" t="str">
        <f t="shared" si="3"/>
        <v>0 tubes and 0 shuttles</v>
      </c>
      <c r="O163" s="36">
        <f t="shared" si="4"/>
        <v>0</v>
      </c>
      <c r="P163" s="103" t="str">
        <f t="shared" si="5"/>
        <v>0 tubes and 0 shuttles</v>
      </c>
    </row>
    <row r="164" spans="1:16" ht="12.5" x14ac:dyDescent="0.25">
      <c r="A164" s="32">
        <f>'Profit &amp; Loss'!A164</f>
        <v>0</v>
      </c>
      <c r="B164" s="35">
        <f>'Profit &amp; Loss'!B164</f>
        <v>0</v>
      </c>
      <c r="C164" s="36"/>
      <c r="D164" s="33"/>
      <c r="E164" s="33"/>
      <c r="F164" s="101"/>
      <c r="G164" s="102">
        <f t="shared" si="14"/>
        <v>0</v>
      </c>
      <c r="H164" s="103" t="str">
        <f t="shared" si="0"/>
        <v>0 tubes and 0 shuttles</v>
      </c>
      <c r="I164" s="36">
        <f t="shared" si="15"/>
        <v>0</v>
      </c>
      <c r="J164" s="104" t="str">
        <f t="shared" si="1"/>
        <v>0 tubes and 0 shuttles</v>
      </c>
      <c r="K164" s="36">
        <f t="shared" si="16"/>
        <v>0</v>
      </c>
      <c r="L164" s="103" t="str">
        <f t="shared" si="2"/>
        <v>0 tubes and 0 shuttles</v>
      </c>
      <c r="M164" s="105">
        <f t="shared" si="17"/>
        <v>0</v>
      </c>
      <c r="N164" s="103" t="str">
        <f t="shared" si="3"/>
        <v>0 tubes and 0 shuttles</v>
      </c>
      <c r="O164" s="36">
        <f t="shared" si="4"/>
        <v>0</v>
      </c>
      <c r="P164" s="103" t="str">
        <f t="shared" si="5"/>
        <v>0 tubes and 0 shuttles</v>
      </c>
    </row>
    <row r="165" spans="1:16" ht="12.5" x14ac:dyDescent="0.25">
      <c r="A165" s="32">
        <f>'Profit &amp; Loss'!A165</f>
        <v>0</v>
      </c>
      <c r="B165" s="35">
        <f>'Profit &amp; Loss'!B165</f>
        <v>0</v>
      </c>
      <c r="C165" s="36"/>
      <c r="D165" s="33"/>
      <c r="E165" s="33"/>
      <c r="F165" s="101"/>
      <c r="G165" s="102">
        <f t="shared" si="14"/>
        <v>0</v>
      </c>
      <c r="H165" s="103" t="str">
        <f t="shared" si="0"/>
        <v>0 tubes and 0 shuttles</v>
      </c>
      <c r="I165" s="36">
        <f t="shared" si="15"/>
        <v>0</v>
      </c>
      <c r="J165" s="104" t="str">
        <f t="shared" si="1"/>
        <v>0 tubes and 0 shuttles</v>
      </c>
      <c r="K165" s="36">
        <f t="shared" si="16"/>
        <v>0</v>
      </c>
      <c r="L165" s="103" t="str">
        <f t="shared" si="2"/>
        <v>0 tubes and 0 shuttles</v>
      </c>
      <c r="M165" s="105">
        <f t="shared" si="17"/>
        <v>0</v>
      </c>
      <c r="N165" s="103" t="str">
        <f t="shared" si="3"/>
        <v>0 tubes and 0 shuttles</v>
      </c>
      <c r="O165" s="36">
        <f t="shared" si="4"/>
        <v>0</v>
      </c>
      <c r="P165" s="103" t="str">
        <f t="shared" si="5"/>
        <v>0 tubes and 0 shuttles</v>
      </c>
    </row>
    <row r="166" spans="1:16" ht="12.5" x14ac:dyDescent="0.25">
      <c r="A166" s="32">
        <f>'Profit &amp; Loss'!A166</f>
        <v>0</v>
      </c>
      <c r="B166" s="35">
        <f>'Profit &amp; Loss'!B166</f>
        <v>0</v>
      </c>
      <c r="C166" s="36"/>
      <c r="D166" s="33"/>
      <c r="E166" s="33"/>
      <c r="F166" s="101"/>
      <c r="G166" s="102">
        <f t="shared" si="14"/>
        <v>0</v>
      </c>
      <c r="H166" s="103" t="str">
        <f t="shared" si="0"/>
        <v>0 tubes and 0 shuttles</v>
      </c>
      <c r="I166" s="36">
        <f t="shared" si="15"/>
        <v>0</v>
      </c>
      <c r="J166" s="104" t="str">
        <f t="shared" si="1"/>
        <v>0 tubes and 0 shuttles</v>
      </c>
      <c r="K166" s="36">
        <f t="shared" si="16"/>
        <v>0</v>
      </c>
      <c r="L166" s="103" t="str">
        <f t="shared" si="2"/>
        <v>0 tubes and 0 shuttles</v>
      </c>
      <c r="M166" s="105">
        <f t="shared" si="17"/>
        <v>0</v>
      </c>
      <c r="N166" s="103" t="str">
        <f t="shared" si="3"/>
        <v>0 tubes and 0 shuttles</v>
      </c>
      <c r="O166" s="36">
        <f t="shared" si="4"/>
        <v>0</v>
      </c>
      <c r="P166" s="103" t="str">
        <f t="shared" si="5"/>
        <v>0 tubes and 0 shuttles</v>
      </c>
    </row>
    <row r="167" spans="1:16" ht="12.5" x14ac:dyDescent="0.25">
      <c r="A167" s="32">
        <f>'Profit &amp; Loss'!A167</f>
        <v>0</v>
      </c>
      <c r="B167" s="35">
        <f>'Profit &amp; Loss'!B167</f>
        <v>0</v>
      </c>
      <c r="C167" s="36"/>
      <c r="D167" s="33"/>
      <c r="E167" s="33"/>
      <c r="F167" s="101"/>
      <c r="G167" s="102">
        <f t="shared" si="14"/>
        <v>0</v>
      </c>
      <c r="H167" s="103" t="str">
        <f t="shared" si="0"/>
        <v>0 tubes and 0 shuttles</v>
      </c>
      <c r="I167" s="36">
        <f t="shared" si="15"/>
        <v>0</v>
      </c>
      <c r="J167" s="104" t="str">
        <f t="shared" si="1"/>
        <v>0 tubes and 0 shuttles</v>
      </c>
      <c r="K167" s="36">
        <f t="shared" si="16"/>
        <v>0</v>
      </c>
      <c r="L167" s="103" t="str">
        <f t="shared" si="2"/>
        <v>0 tubes and 0 shuttles</v>
      </c>
      <c r="M167" s="105">
        <f t="shared" si="17"/>
        <v>0</v>
      </c>
      <c r="N167" s="103" t="str">
        <f t="shared" si="3"/>
        <v>0 tubes and 0 shuttles</v>
      </c>
      <c r="O167" s="36">
        <f t="shared" si="4"/>
        <v>0</v>
      </c>
      <c r="P167" s="103" t="str">
        <f t="shared" si="5"/>
        <v>0 tubes and 0 shuttles</v>
      </c>
    </row>
    <row r="168" spans="1:16" ht="12.5" x14ac:dyDescent="0.25">
      <c r="A168" s="32">
        <f>'Profit &amp; Loss'!A168</f>
        <v>0</v>
      </c>
      <c r="B168" s="35">
        <f>'Profit &amp; Loss'!B168</f>
        <v>0</v>
      </c>
      <c r="C168" s="36"/>
      <c r="D168" s="33"/>
      <c r="E168" s="33"/>
      <c r="F168" s="101"/>
      <c r="G168" s="102">
        <f t="shared" si="14"/>
        <v>0</v>
      </c>
      <c r="H168" s="103" t="str">
        <f t="shared" si="0"/>
        <v>0 tubes and 0 shuttles</v>
      </c>
      <c r="I168" s="36">
        <f t="shared" si="15"/>
        <v>0</v>
      </c>
      <c r="J168" s="104" t="str">
        <f t="shared" si="1"/>
        <v>0 tubes and 0 shuttles</v>
      </c>
      <c r="K168" s="36">
        <f t="shared" si="16"/>
        <v>0</v>
      </c>
      <c r="L168" s="103" t="str">
        <f t="shared" si="2"/>
        <v>0 tubes and 0 shuttles</v>
      </c>
      <c r="M168" s="105">
        <f t="shared" si="17"/>
        <v>0</v>
      </c>
      <c r="N168" s="103" t="str">
        <f t="shared" si="3"/>
        <v>0 tubes and 0 shuttles</v>
      </c>
      <c r="O168" s="36">
        <f t="shared" si="4"/>
        <v>0</v>
      </c>
      <c r="P168" s="103" t="str">
        <f t="shared" si="5"/>
        <v>0 tubes and 0 shuttles</v>
      </c>
    </row>
    <row r="169" spans="1:16" ht="12.5" x14ac:dyDescent="0.25">
      <c r="A169" s="32">
        <f>'Profit &amp; Loss'!A169</f>
        <v>0</v>
      </c>
      <c r="B169" s="35">
        <f>'Profit &amp; Loss'!B169</f>
        <v>0</v>
      </c>
      <c r="C169" s="36"/>
      <c r="D169" s="33"/>
      <c r="E169" s="33"/>
      <c r="F169" s="101"/>
      <c r="G169" s="102">
        <f t="shared" si="14"/>
        <v>0</v>
      </c>
      <c r="H169" s="103" t="str">
        <f t="shared" si="0"/>
        <v>0 tubes and 0 shuttles</v>
      </c>
      <c r="I169" s="36">
        <f t="shared" si="15"/>
        <v>0</v>
      </c>
      <c r="J169" s="104" t="str">
        <f t="shared" si="1"/>
        <v>0 tubes and 0 shuttles</v>
      </c>
      <c r="K169" s="36">
        <f t="shared" si="16"/>
        <v>0</v>
      </c>
      <c r="L169" s="103" t="str">
        <f t="shared" si="2"/>
        <v>0 tubes and 0 shuttles</v>
      </c>
      <c r="M169" s="105">
        <f t="shared" si="17"/>
        <v>0</v>
      </c>
      <c r="N169" s="103" t="str">
        <f t="shared" si="3"/>
        <v>0 tubes and 0 shuttles</v>
      </c>
      <c r="O169" s="36">
        <f t="shared" si="4"/>
        <v>0</v>
      </c>
      <c r="P169" s="103" t="str">
        <f t="shared" si="5"/>
        <v>0 tubes and 0 shuttles</v>
      </c>
    </row>
    <row r="170" spans="1:16" ht="12.5" x14ac:dyDescent="0.25">
      <c r="A170" s="32">
        <f>'Profit &amp; Loss'!A170</f>
        <v>0</v>
      </c>
      <c r="B170" s="35">
        <f>'Profit &amp; Loss'!B170</f>
        <v>0</v>
      </c>
      <c r="C170" s="36"/>
      <c r="D170" s="33"/>
      <c r="E170" s="33"/>
      <c r="F170" s="101"/>
      <c r="G170" s="102">
        <f t="shared" si="14"/>
        <v>0</v>
      </c>
      <c r="H170" s="103" t="str">
        <f t="shared" si="0"/>
        <v>0 tubes and 0 shuttles</v>
      </c>
      <c r="I170" s="36">
        <f t="shared" si="15"/>
        <v>0</v>
      </c>
      <c r="J170" s="104" t="str">
        <f t="shared" si="1"/>
        <v>0 tubes and 0 shuttles</v>
      </c>
      <c r="K170" s="36">
        <f t="shared" si="16"/>
        <v>0</v>
      </c>
      <c r="L170" s="103" t="str">
        <f t="shared" si="2"/>
        <v>0 tubes and 0 shuttles</v>
      </c>
      <c r="M170" s="105">
        <f t="shared" si="17"/>
        <v>0</v>
      </c>
      <c r="N170" s="103" t="str">
        <f t="shared" si="3"/>
        <v>0 tubes and 0 shuttles</v>
      </c>
      <c r="O170" s="36">
        <f t="shared" si="4"/>
        <v>0</v>
      </c>
      <c r="P170" s="103" t="str">
        <f t="shared" si="5"/>
        <v>0 tubes and 0 shuttles</v>
      </c>
    </row>
    <row r="171" spans="1:16" ht="12.5" x14ac:dyDescent="0.25">
      <c r="A171" s="32">
        <f>'Profit &amp; Loss'!A171</f>
        <v>0</v>
      </c>
      <c r="B171" s="35">
        <f>'Profit &amp; Loss'!B171</f>
        <v>0</v>
      </c>
      <c r="C171" s="36"/>
      <c r="D171" s="33"/>
      <c r="E171" s="33"/>
      <c r="F171" s="101"/>
      <c r="G171" s="102">
        <f t="shared" si="14"/>
        <v>0</v>
      </c>
      <c r="H171" s="103" t="str">
        <f t="shared" si="0"/>
        <v>0 tubes and 0 shuttles</v>
      </c>
      <c r="I171" s="36">
        <f t="shared" si="15"/>
        <v>0</v>
      </c>
      <c r="J171" s="104" t="str">
        <f t="shared" si="1"/>
        <v>0 tubes and 0 shuttles</v>
      </c>
      <c r="K171" s="36">
        <f t="shared" si="16"/>
        <v>0</v>
      </c>
      <c r="L171" s="103" t="str">
        <f t="shared" si="2"/>
        <v>0 tubes and 0 shuttles</v>
      </c>
      <c r="M171" s="105">
        <f t="shared" si="17"/>
        <v>0</v>
      </c>
      <c r="N171" s="103" t="str">
        <f t="shared" si="3"/>
        <v>0 tubes and 0 shuttles</v>
      </c>
      <c r="O171" s="36">
        <f t="shared" si="4"/>
        <v>0</v>
      </c>
      <c r="P171" s="103" t="str">
        <f t="shared" si="5"/>
        <v>0 tubes and 0 shuttles</v>
      </c>
    </row>
    <row r="172" spans="1:16" ht="12.5" x14ac:dyDescent="0.25">
      <c r="A172" s="32">
        <f>'Profit &amp; Loss'!A172</f>
        <v>0</v>
      </c>
      <c r="B172" s="35">
        <f>'Profit &amp; Loss'!B172</f>
        <v>0</v>
      </c>
      <c r="C172" s="36"/>
      <c r="D172" s="33"/>
      <c r="E172" s="33"/>
      <c r="F172" s="101"/>
      <c r="G172" s="102">
        <f t="shared" si="14"/>
        <v>0</v>
      </c>
      <c r="H172" s="103" t="str">
        <f t="shared" si="0"/>
        <v>0 tubes and 0 shuttles</v>
      </c>
      <c r="I172" s="36">
        <f t="shared" si="15"/>
        <v>0</v>
      </c>
      <c r="J172" s="104" t="str">
        <f t="shared" si="1"/>
        <v>0 tubes and 0 shuttles</v>
      </c>
      <c r="K172" s="36">
        <f t="shared" si="16"/>
        <v>0</v>
      </c>
      <c r="L172" s="103" t="str">
        <f t="shared" si="2"/>
        <v>0 tubes and 0 shuttles</v>
      </c>
      <c r="M172" s="105">
        <f t="shared" si="17"/>
        <v>0</v>
      </c>
      <c r="N172" s="103" t="str">
        <f t="shared" si="3"/>
        <v>0 tubes and 0 shuttles</v>
      </c>
      <c r="O172" s="36">
        <f t="shared" si="4"/>
        <v>0</v>
      </c>
      <c r="P172" s="103" t="str">
        <f t="shared" si="5"/>
        <v>0 tubes and 0 shuttles</v>
      </c>
    </row>
    <row r="173" spans="1:16" ht="12.5" x14ac:dyDescent="0.25">
      <c r="A173" s="32">
        <f>'Profit &amp; Loss'!A173</f>
        <v>0</v>
      </c>
      <c r="B173" s="35">
        <f>'Profit &amp; Loss'!B173</f>
        <v>0</v>
      </c>
      <c r="C173" s="36"/>
      <c r="D173" s="33"/>
      <c r="E173" s="33"/>
      <c r="F173" s="101"/>
      <c r="G173" s="102">
        <f t="shared" si="14"/>
        <v>0</v>
      </c>
      <c r="H173" s="103" t="str">
        <f t="shared" si="0"/>
        <v>0 tubes and 0 shuttles</v>
      </c>
      <c r="I173" s="36">
        <f t="shared" si="15"/>
        <v>0</v>
      </c>
      <c r="J173" s="104" t="str">
        <f t="shared" si="1"/>
        <v>0 tubes and 0 shuttles</v>
      </c>
      <c r="K173" s="36">
        <f t="shared" si="16"/>
        <v>0</v>
      </c>
      <c r="L173" s="103" t="str">
        <f t="shared" si="2"/>
        <v>0 tubes and 0 shuttles</v>
      </c>
      <c r="M173" s="105">
        <f t="shared" si="17"/>
        <v>0</v>
      </c>
      <c r="N173" s="103" t="str">
        <f t="shared" si="3"/>
        <v>0 tubes and 0 shuttles</v>
      </c>
      <c r="O173" s="36">
        <f t="shared" si="4"/>
        <v>0</v>
      </c>
      <c r="P173" s="103" t="str">
        <f t="shared" si="5"/>
        <v>0 tubes and 0 shuttles</v>
      </c>
    </row>
    <row r="174" spans="1:16" ht="12.5" x14ac:dyDescent="0.25">
      <c r="A174" s="32">
        <f>'Profit &amp; Loss'!A174</f>
        <v>0</v>
      </c>
      <c r="B174" s="35">
        <f>'Profit &amp; Loss'!B174</f>
        <v>0</v>
      </c>
      <c r="C174" s="36"/>
      <c r="D174" s="33"/>
      <c r="E174" s="33"/>
      <c r="F174" s="101"/>
      <c r="G174" s="102">
        <f t="shared" si="14"/>
        <v>0</v>
      </c>
      <c r="H174" s="103" t="str">
        <f t="shared" si="0"/>
        <v>0 tubes and 0 shuttles</v>
      </c>
      <c r="I174" s="36">
        <f t="shared" si="15"/>
        <v>0</v>
      </c>
      <c r="J174" s="104" t="str">
        <f t="shared" si="1"/>
        <v>0 tubes and 0 shuttles</v>
      </c>
      <c r="K174" s="36">
        <f t="shared" si="16"/>
        <v>0</v>
      </c>
      <c r="L174" s="103" t="str">
        <f t="shared" si="2"/>
        <v>0 tubes and 0 shuttles</v>
      </c>
      <c r="M174" s="105">
        <f t="shared" si="17"/>
        <v>0</v>
      </c>
      <c r="N174" s="103" t="str">
        <f t="shared" si="3"/>
        <v>0 tubes and 0 shuttles</v>
      </c>
      <c r="O174" s="36">
        <f t="shared" si="4"/>
        <v>0</v>
      </c>
      <c r="P174" s="103" t="str">
        <f t="shared" si="5"/>
        <v>0 tubes and 0 shuttles</v>
      </c>
    </row>
    <row r="175" spans="1:16" ht="12.5" x14ac:dyDescent="0.25">
      <c r="A175" s="32">
        <f>'Profit &amp; Loss'!A175</f>
        <v>0</v>
      </c>
      <c r="B175" s="35">
        <f>'Profit &amp; Loss'!B175</f>
        <v>0</v>
      </c>
      <c r="C175" s="36"/>
      <c r="D175" s="33"/>
      <c r="E175" s="33"/>
      <c r="F175" s="101"/>
      <c r="G175" s="102">
        <f t="shared" si="14"/>
        <v>0</v>
      </c>
      <c r="H175" s="103" t="str">
        <f t="shared" si="0"/>
        <v>0 tubes and 0 shuttles</v>
      </c>
      <c r="I175" s="36">
        <f t="shared" si="15"/>
        <v>0</v>
      </c>
      <c r="J175" s="104" t="str">
        <f t="shared" si="1"/>
        <v>0 tubes and 0 shuttles</v>
      </c>
      <c r="K175" s="36">
        <f t="shared" si="16"/>
        <v>0</v>
      </c>
      <c r="L175" s="103" t="str">
        <f t="shared" si="2"/>
        <v>0 tubes and 0 shuttles</v>
      </c>
      <c r="M175" s="105">
        <f t="shared" si="17"/>
        <v>0</v>
      </c>
      <c r="N175" s="103" t="str">
        <f t="shared" si="3"/>
        <v>0 tubes and 0 shuttles</v>
      </c>
      <c r="O175" s="36">
        <f t="shared" si="4"/>
        <v>0</v>
      </c>
      <c r="P175" s="103" t="str">
        <f t="shared" si="5"/>
        <v>0 tubes and 0 shuttles</v>
      </c>
    </row>
    <row r="176" spans="1:16" ht="12.5" x14ac:dyDescent="0.25">
      <c r="A176" s="32">
        <f>'Profit &amp; Loss'!A176</f>
        <v>0</v>
      </c>
      <c r="B176" s="35">
        <f>'Profit &amp; Loss'!B176</f>
        <v>0</v>
      </c>
      <c r="C176" s="36"/>
      <c r="D176" s="33"/>
      <c r="E176" s="33"/>
      <c r="F176" s="101"/>
      <c r="G176" s="102">
        <f t="shared" si="14"/>
        <v>0</v>
      </c>
      <c r="H176" s="103" t="str">
        <f t="shared" si="0"/>
        <v>0 tubes and 0 shuttles</v>
      </c>
      <c r="I176" s="36">
        <f t="shared" si="15"/>
        <v>0</v>
      </c>
      <c r="J176" s="104" t="str">
        <f t="shared" si="1"/>
        <v>0 tubes and 0 shuttles</v>
      </c>
      <c r="K176" s="36">
        <f t="shared" si="16"/>
        <v>0</v>
      </c>
      <c r="L176" s="103" t="str">
        <f t="shared" si="2"/>
        <v>0 tubes and 0 shuttles</v>
      </c>
      <c r="M176" s="105">
        <f t="shared" si="17"/>
        <v>0</v>
      </c>
      <c r="N176" s="103" t="str">
        <f t="shared" si="3"/>
        <v>0 tubes and 0 shuttles</v>
      </c>
      <c r="O176" s="36">
        <f t="shared" si="4"/>
        <v>0</v>
      </c>
      <c r="P176" s="103" t="str">
        <f t="shared" si="5"/>
        <v>0 tubes and 0 shuttles</v>
      </c>
    </row>
    <row r="177" spans="1:16" ht="12.5" x14ac:dyDescent="0.25">
      <c r="A177" s="32">
        <f>'Profit &amp; Loss'!A177</f>
        <v>0</v>
      </c>
      <c r="B177" s="35">
        <f>'Profit &amp; Loss'!B177</f>
        <v>0</v>
      </c>
      <c r="C177" s="36"/>
      <c r="D177" s="33"/>
      <c r="E177" s="33"/>
      <c r="F177" s="101"/>
      <c r="G177" s="102">
        <f t="shared" si="14"/>
        <v>0</v>
      </c>
      <c r="H177" s="103" t="str">
        <f t="shared" si="0"/>
        <v>0 tubes and 0 shuttles</v>
      </c>
      <c r="I177" s="36">
        <f t="shared" si="15"/>
        <v>0</v>
      </c>
      <c r="J177" s="104" t="str">
        <f t="shared" si="1"/>
        <v>0 tubes and 0 shuttles</v>
      </c>
      <c r="K177" s="36">
        <f t="shared" si="16"/>
        <v>0</v>
      </c>
      <c r="L177" s="103" t="str">
        <f t="shared" si="2"/>
        <v>0 tubes and 0 shuttles</v>
      </c>
      <c r="M177" s="105">
        <f t="shared" si="17"/>
        <v>0</v>
      </c>
      <c r="N177" s="103" t="str">
        <f t="shared" si="3"/>
        <v>0 tubes and 0 shuttles</v>
      </c>
      <c r="O177" s="36">
        <f t="shared" si="4"/>
        <v>0</v>
      </c>
      <c r="P177" s="103" t="str">
        <f t="shared" si="5"/>
        <v>0 tubes and 0 shuttles</v>
      </c>
    </row>
    <row r="178" spans="1:16" ht="12.5" x14ac:dyDescent="0.25">
      <c r="A178" s="32">
        <f>'Profit &amp; Loss'!A178</f>
        <v>0</v>
      </c>
      <c r="B178" s="35">
        <f>'Profit &amp; Loss'!B178</f>
        <v>0</v>
      </c>
      <c r="C178" s="36"/>
      <c r="D178" s="33"/>
      <c r="E178" s="33"/>
      <c r="F178" s="101"/>
      <c r="G178" s="102">
        <f t="shared" si="14"/>
        <v>0</v>
      </c>
      <c r="H178" s="103" t="str">
        <f t="shared" si="0"/>
        <v>0 tubes and 0 shuttles</v>
      </c>
      <c r="I178" s="36">
        <f t="shared" si="15"/>
        <v>0</v>
      </c>
      <c r="J178" s="104" t="str">
        <f t="shared" si="1"/>
        <v>0 tubes and 0 shuttles</v>
      </c>
      <c r="K178" s="36">
        <f t="shared" si="16"/>
        <v>0</v>
      </c>
      <c r="L178" s="103" t="str">
        <f t="shared" si="2"/>
        <v>0 tubes and 0 shuttles</v>
      </c>
      <c r="M178" s="105">
        <f t="shared" si="17"/>
        <v>0</v>
      </c>
      <c r="N178" s="103" t="str">
        <f t="shared" si="3"/>
        <v>0 tubes and 0 shuttles</v>
      </c>
      <c r="O178" s="36">
        <f t="shared" si="4"/>
        <v>0</v>
      </c>
      <c r="P178" s="103" t="str">
        <f t="shared" si="5"/>
        <v>0 tubes and 0 shuttles</v>
      </c>
    </row>
    <row r="179" spans="1:16" ht="12.5" x14ac:dyDescent="0.25">
      <c r="A179" s="32">
        <f>'Profit &amp; Loss'!A179</f>
        <v>0</v>
      </c>
      <c r="B179" s="35">
        <f>'Profit &amp; Loss'!B179</f>
        <v>0</v>
      </c>
      <c r="C179" s="36"/>
      <c r="D179" s="33"/>
      <c r="E179" s="33"/>
      <c r="F179" s="101"/>
      <c r="G179" s="102">
        <f t="shared" si="14"/>
        <v>0</v>
      </c>
      <c r="H179" s="103" t="str">
        <f t="shared" si="0"/>
        <v>0 tubes and 0 shuttles</v>
      </c>
      <c r="I179" s="36">
        <f t="shared" si="15"/>
        <v>0</v>
      </c>
      <c r="J179" s="104" t="str">
        <f t="shared" si="1"/>
        <v>0 tubes and 0 shuttles</v>
      </c>
      <c r="K179" s="36">
        <f t="shared" si="16"/>
        <v>0</v>
      </c>
      <c r="L179" s="103" t="str">
        <f t="shared" si="2"/>
        <v>0 tubes and 0 shuttles</v>
      </c>
      <c r="M179" s="105">
        <f t="shared" si="17"/>
        <v>0</v>
      </c>
      <c r="N179" s="103" t="str">
        <f t="shared" si="3"/>
        <v>0 tubes and 0 shuttles</v>
      </c>
      <c r="O179" s="36">
        <f t="shared" si="4"/>
        <v>0</v>
      </c>
      <c r="P179" s="103" t="str">
        <f t="shared" si="5"/>
        <v>0 tubes and 0 shuttles</v>
      </c>
    </row>
    <row r="180" spans="1:16" ht="12.5" x14ac:dyDescent="0.25">
      <c r="A180" s="32">
        <f>'Profit &amp; Loss'!A180</f>
        <v>0</v>
      </c>
      <c r="B180" s="35">
        <f>'Profit &amp; Loss'!B180</f>
        <v>0</v>
      </c>
      <c r="C180" s="36"/>
      <c r="D180" s="33"/>
      <c r="E180" s="33"/>
      <c r="F180" s="101"/>
      <c r="G180" s="102">
        <f t="shared" si="14"/>
        <v>0</v>
      </c>
      <c r="H180" s="103" t="str">
        <f t="shared" si="0"/>
        <v>0 tubes and 0 shuttles</v>
      </c>
      <c r="I180" s="36">
        <f t="shared" si="15"/>
        <v>0</v>
      </c>
      <c r="J180" s="104" t="str">
        <f t="shared" si="1"/>
        <v>0 tubes and 0 shuttles</v>
      </c>
      <c r="K180" s="36">
        <f t="shared" si="16"/>
        <v>0</v>
      </c>
      <c r="L180" s="103" t="str">
        <f t="shared" si="2"/>
        <v>0 tubes and 0 shuttles</v>
      </c>
      <c r="M180" s="105">
        <f t="shared" si="17"/>
        <v>0</v>
      </c>
      <c r="N180" s="103" t="str">
        <f t="shared" si="3"/>
        <v>0 tubes and 0 shuttles</v>
      </c>
      <c r="O180" s="36">
        <f t="shared" si="4"/>
        <v>0</v>
      </c>
      <c r="P180" s="103" t="str">
        <f t="shared" si="5"/>
        <v>0 tubes and 0 shuttles</v>
      </c>
    </row>
    <row r="181" spans="1:16" ht="12.5" x14ac:dyDescent="0.25">
      <c r="A181" s="32">
        <f>'Profit &amp; Loss'!A181</f>
        <v>0</v>
      </c>
      <c r="B181" s="35">
        <f>'Profit &amp; Loss'!B181</f>
        <v>0</v>
      </c>
      <c r="C181" s="36"/>
      <c r="D181" s="33"/>
      <c r="E181" s="33"/>
      <c r="F181" s="101"/>
      <c r="G181" s="102">
        <f t="shared" si="14"/>
        <v>0</v>
      </c>
      <c r="H181" s="103" t="str">
        <f t="shared" si="0"/>
        <v>0 tubes and 0 shuttles</v>
      </c>
      <c r="I181" s="36">
        <f t="shared" si="15"/>
        <v>0</v>
      </c>
      <c r="J181" s="104" t="str">
        <f t="shared" si="1"/>
        <v>0 tubes and 0 shuttles</v>
      </c>
      <c r="K181" s="36">
        <f t="shared" si="16"/>
        <v>0</v>
      </c>
      <c r="L181" s="103" t="str">
        <f t="shared" si="2"/>
        <v>0 tubes and 0 shuttles</v>
      </c>
      <c r="M181" s="105">
        <f t="shared" si="17"/>
        <v>0</v>
      </c>
      <c r="N181" s="103" t="str">
        <f t="shared" si="3"/>
        <v>0 tubes and 0 shuttles</v>
      </c>
      <c r="O181" s="36">
        <f t="shared" si="4"/>
        <v>0</v>
      </c>
      <c r="P181" s="103" t="str">
        <f t="shared" si="5"/>
        <v>0 tubes and 0 shuttles</v>
      </c>
    </row>
    <row r="182" spans="1:16" ht="12.5" x14ac:dyDescent="0.25">
      <c r="A182" s="32">
        <f>'Profit &amp; Loss'!A182</f>
        <v>0</v>
      </c>
      <c r="B182" s="35">
        <f>'Profit &amp; Loss'!B182</f>
        <v>0</v>
      </c>
      <c r="C182" s="36"/>
      <c r="D182" s="33"/>
      <c r="E182" s="33"/>
      <c r="F182" s="101"/>
      <c r="G182" s="102">
        <f t="shared" si="14"/>
        <v>0</v>
      </c>
      <c r="H182" s="103" t="str">
        <f t="shared" si="0"/>
        <v>0 tubes and 0 shuttles</v>
      </c>
      <c r="I182" s="36">
        <f t="shared" si="15"/>
        <v>0</v>
      </c>
      <c r="J182" s="104" t="str">
        <f t="shared" si="1"/>
        <v>0 tubes and 0 shuttles</v>
      </c>
      <c r="K182" s="36">
        <f t="shared" si="16"/>
        <v>0</v>
      </c>
      <c r="L182" s="103" t="str">
        <f t="shared" si="2"/>
        <v>0 tubes and 0 shuttles</v>
      </c>
      <c r="M182" s="105">
        <f t="shared" si="17"/>
        <v>0</v>
      </c>
      <c r="N182" s="103" t="str">
        <f t="shared" si="3"/>
        <v>0 tubes and 0 shuttles</v>
      </c>
      <c r="O182" s="36">
        <f t="shared" si="4"/>
        <v>0</v>
      </c>
      <c r="P182" s="103" t="str">
        <f t="shared" si="5"/>
        <v>0 tubes and 0 shuttles</v>
      </c>
    </row>
    <row r="183" spans="1:16" ht="12.5" x14ac:dyDescent="0.25">
      <c r="A183" s="32">
        <f>'Profit &amp; Loss'!A183</f>
        <v>0</v>
      </c>
      <c r="B183" s="35">
        <f>'Profit &amp; Loss'!B183</f>
        <v>0</v>
      </c>
      <c r="C183" s="36"/>
      <c r="D183" s="33"/>
      <c r="E183" s="33"/>
      <c r="F183" s="101"/>
      <c r="G183" s="102">
        <f t="shared" si="14"/>
        <v>0</v>
      </c>
      <c r="H183" s="103" t="str">
        <f t="shared" si="0"/>
        <v>0 tubes and 0 shuttles</v>
      </c>
      <c r="I183" s="36">
        <f t="shared" si="15"/>
        <v>0</v>
      </c>
      <c r="J183" s="104" t="str">
        <f t="shared" si="1"/>
        <v>0 tubes and 0 shuttles</v>
      </c>
      <c r="K183" s="36">
        <f t="shared" si="16"/>
        <v>0</v>
      </c>
      <c r="L183" s="103" t="str">
        <f t="shared" si="2"/>
        <v>0 tubes and 0 shuttles</v>
      </c>
      <c r="M183" s="105">
        <f t="shared" si="17"/>
        <v>0</v>
      </c>
      <c r="N183" s="103" t="str">
        <f t="shared" si="3"/>
        <v>0 tubes and 0 shuttles</v>
      </c>
      <c r="O183" s="36">
        <f t="shared" si="4"/>
        <v>0</v>
      </c>
      <c r="P183" s="103" t="str">
        <f t="shared" si="5"/>
        <v>0 tubes and 0 shuttles</v>
      </c>
    </row>
    <row r="184" spans="1:16" ht="12.5" x14ac:dyDescent="0.25">
      <c r="A184" s="32">
        <f>'Profit &amp; Loss'!A184</f>
        <v>0</v>
      </c>
      <c r="B184" s="35">
        <f>'Profit &amp; Loss'!B184</f>
        <v>0</v>
      </c>
      <c r="C184" s="36"/>
      <c r="D184" s="33"/>
      <c r="E184" s="33"/>
      <c r="F184" s="101"/>
      <c r="G184" s="102">
        <f t="shared" si="14"/>
        <v>0</v>
      </c>
      <c r="H184" s="103" t="str">
        <f t="shared" si="0"/>
        <v>0 tubes and 0 shuttles</v>
      </c>
      <c r="I184" s="36">
        <f t="shared" si="15"/>
        <v>0</v>
      </c>
      <c r="J184" s="104" t="str">
        <f t="shared" si="1"/>
        <v>0 tubes and 0 shuttles</v>
      </c>
      <c r="K184" s="36">
        <f t="shared" si="16"/>
        <v>0</v>
      </c>
      <c r="L184" s="103" t="str">
        <f t="shared" si="2"/>
        <v>0 tubes and 0 shuttles</v>
      </c>
      <c r="M184" s="105">
        <f t="shared" si="17"/>
        <v>0</v>
      </c>
      <c r="N184" s="103" t="str">
        <f t="shared" si="3"/>
        <v>0 tubes and 0 shuttles</v>
      </c>
      <c r="O184" s="36">
        <f t="shared" si="4"/>
        <v>0</v>
      </c>
      <c r="P184" s="103" t="str">
        <f t="shared" si="5"/>
        <v>0 tubes and 0 shuttles</v>
      </c>
    </row>
    <row r="185" spans="1:16" ht="12.5" x14ac:dyDescent="0.25">
      <c r="A185" s="32">
        <f>'Profit &amp; Loss'!A185</f>
        <v>0</v>
      </c>
      <c r="B185" s="35">
        <f>'Profit &amp; Loss'!B185</f>
        <v>0</v>
      </c>
      <c r="C185" s="36"/>
      <c r="D185" s="33"/>
      <c r="E185" s="33"/>
      <c r="F185" s="101"/>
      <c r="G185" s="102">
        <f t="shared" si="14"/>
        <v>0</v>
      </c>
      <c r="H185" s="103" t="str">
        <f t="shared" si="0"/>
        <v>0 tubes and 0 shuttles</v>
      </c>
      <c r="I185" s="36">
        <f t="shared" si="15"/>
        <v>0</v>
      </c>
      <c r="J185" s="104" t="str">
        <f t="shared" si="1"/>
        <v>0 tubes and 0 shuttles</v>
      </c>
      <c r="K185" s="36">
        <f t="shared" si="16"/>
        <v>0</v>
      </c>
      <c r="L185" s="103" t="str">
        <f t="shared" si="2"/>
        <v>0 tubes and 0 shuttles</v>
      </c>
      <c r="M185" s="105">
        <f t="shared" si="17"/>
        <v>0</v>
      </c>
      <c r="N185" s="103" t="str">
        <f t="shared" si="3"/>
        <v>0 tubes and 0 shuttles</v>
      </c>
      <c r="O185" s="36">
        <f t="shared" si="4"/>
        <v>0</v>
      </c>
      <c r="P185" s="103" t="str">
        <f t="shared" si="5"/>
        <v>0 tubes and 0 shuttles</v>
      </c>
    </row>
    <row r="186" spans="1:16" ht="12.5" x14ac:dyDescent="0.25">
      <c r="A186" s="32">
        <f>'Profit &amp; Loss'!A186</f>
        <v>0</v>
      </c>
      <c r="B186" s="35">
        <f>'Profit &amp; Loss'!B186</f>
        <v>0</v>
      </c>
      <c r="C186" s="36"/>
      <c r="D186" s="33"/>
      <c r="E186" s="33"/>
      <c r="F186" s="101"/>
      <c r="G186" s="102">
        <f t="shared" si="14"/>
        <v>0</v>
      </c>
      <c r="H186" s="103" t="str">
        <f t="shared" si="0"/>
        <v>0 tubes and 0 shuttles</v>
      </c>
      <c r="I186" s="36">
        <f t="shared" si="15"/>
        <v>0</v>
      </c>
      <c r="J186" s="104" t="str">
        <f t="shared" si="1"/>
        <v>0 tubes and 0 shuttles</v>
      </c>
      <c r="K186" s="36">
        <f t="shared" si="16"/>
        <v>0</v>
      </c>
      <c r="L186" s="103" t="str">
        <f t="shared" si="2"/>
        <v>0 tubes and 0 shuttles</v>
      </c>
      <c r="M186" s="105">
        <f t="shared" si="17"/>
        <v>0</v>
      </c>
      <c r="N186" s="103" t="str">
        <f t="shared" si="3"/>
        <v>0 tubes and 0 shuttles</v>
      </c>
      <c r="O186" s="36">
        <f t="shared" si="4"/>
        <v>0</v>
      </c>
      <c r="P186" s="103" t="str">
        <f t="shared" si="5"/>
        <v>0 tubes and 0 shuttles</v>
      </c>
    </row>
    <row r="187" spans="1:16" ht="12.5" x14ac:dyDescent="0.25">
      <c r="A187" s="32">
        <f>'Profit &amp; Loss'!A187</f>
        <v>0</v>
      </c>
      <c r="B187" s="35">
        <f>'Profit &amp; Loss'!B187</f>
        <v>0</v>
      </c>
      <c r="C187" s="36"/>
      <c r="D187" s="33"/>
      <c r="E187" s="33"/>
      <c r="F187" s="101"/>
      <c r="G187" s="102">
        <f t="shared" si="14"/>
        <v>0</v>
      </c>
      <c r="H187" s="103" t="str">
        <f t="shared" si="0"/>
        <v>0 tubes and 0 shuttles</v>
      </c>
      <c r="I187" s="36">
        <f t="shared" si="15"/>
        <v>0</v>
      </c>
      <c r="J187" s="104" t="str">
        <f t="shared" si="1"/>
        <v>0 tubes and 0 shuttles</v>
      </c>
      <c r="K187" s="36">
        <f t="shared" si="16"/>
        <v>0</v>
      </c>
      <c r="L187" s="103" t="str">
        <f t="shared" si="2"/>
        <v>0 tubes and 0 shuttles</v>
      </c>
      <c r="M187" s="105">
        <f t="shared" si="17"/>
        <v>0</v>
      </c>
      <c r="N187" s="103" t="str">
        <f t="shared" si="3"/>
        <v>0 tubes and 0 shuttles</v>
      </c>
      <c r="O187" s="36">
        <f t="shared" si="4"/>
        <v>0</v>
      </c>
      <c r="P187" s="103" t="str">
        <f t="shared" si="5"/>
        <v>0 tubes and 0 shuttles</v>
      </c>
    </row>
    <row r="188" spans="1:16" ht="12.5" x14ac:dyDescent="0.25">
      <c r="A188" s="32">
        <f>'Profit &amp; Loss'!A188</f>
        <v>0</v>
      </c>
      <c r="B188" s="35">
        <f>'Profit &amp; Loss'!B188</f>
        <v>0</v>
      </c>
      <c r="C188" s="36"/>
      <c r="D188" s="33"/>
      <c r="E188" s="33"/>
      <c r="F188" s="101"/>
      <c r="G188" s="102">
        <f t="shared" si="14"/>
        <v>0</v>
      </c>
      <c r="H188" s="103" t="str">
        <f t="shared" si="0"/>
        <v>0 tubes and 0 shuttles</v>
      </c>
      <c r="I188" s="36">
        <f t="shared" si="15"/>
        <v>0</v>
      </c>
      <c r="J188" s="104" t="str">
        <f t="shared" si="1"/>
        <v>0 tubes and 0 shuttles</v>
      </c>
      <c r="K188" s="36">
        <f t="shared" si="16"/>
        <v>0</v>
      </c>
      <c r="L188" s="103" t="str">
        <f t="shared" si="2"/>
        <v>0 tubes and 0 shuttles</v>
      </c>
      <c r="M188" s="105">
        <f t="shared" si="17"/>
        <v>0</v>
      </c>
      <c r="N188" s="103" t="str">
        <f t="shared" si="3"/>
        <v>0 tubes and 0 shuttles</v>
      </c>
      <c r="O188" s="36">
        <f t="shared" si="4"/>
        <v>0</v>
      </c>
      <c r="P188" s="103" t="str">
        <f t="shared" si="5"/>
        <v>0 tubes and 0 shuttles</v>
      </c>
    </row>
    <row r="189" spans="1:16" ht="12.5" x14ac:dyDescent="0.25">
      <c r="A189" s="32">
        <f>'Profit &amp; Loss'!A189</f>
        <v>0</v>
      </c>
      <c r="B189" s="35">
        <f>'Profit &amp; Loss'!B189</f>
        <v>0</v>
      </c>
      <c r="C189" s="36"/>
      <c r="D189" s="33"/>
      <c r="E189" s="33"/>
      <c r="F189" s="101"/>
      <c r="G189" s="102">
        <f t="shared" si="14"/>
        <v>0</v>
      </c>
      <c r="H189" s="103" t="str">
        <f t="shared" si="0"/>
        <v>0 tubes and 0 shuttles</v>
      </c>
      <c r="I189" s="36">
        <f t="shared" si="15"/>
        <v>0</v>
      </c>
      <c r="J189" s="104" t="str">
        <f t="shared" si="1"/>
        <v>0 tubes and 0 shuttles</v>
      </c>
      <c r="K189" s="36">
        <f t="shared" si="16"/>
        <v>0</v>
      </c>
      <c r="L189" s="103" t="str">
        <f t="shared" si="2"/>
        <v>0 tubes and 0 shuttles</v>
      </c>
      <c r="M189" s="105">
        <f t="shared" si="17"/>
        <v>0</v>
      </c>
      <c r="N189" s="103" t="str">
        <f t="shared" si="3"/>
        <v>0 tubes and 0 shuttles</v>
      </c>
      <c r="O189" s="36">
        <f t="shared" si="4"/>
        <v>0</v>
      </c>
      <c r="P189" s="103" t="str">
        <f t="shared" si="5"/>
        <v>0 tubes and 0 shuttles</v>
      </c>
    </row>
    <row r="190" spans="1:16" ht="12.5" x14ac:dyDescent="0.25">
      <c r="A190" s="32">
        <f>'Profit &amp; Loss'!A190</f>
        <v>0</v>
      </c>
      <c r="B190" s="35">
        <f>'Profit &amp; Loss'!B190</f>
        <v>0</v>
      </c>
      <c r="C190" s="36"/>
      <c r="D190" s="33"/>
      <c r="E190" s="33"/>
      <c r="F190" s="101"/>
      <c r="G190" s="102">
        <f t="shared" si="14"/>
        <v>0</v>
      </c>
      <c r="H190" s="103" t="str">
        <f t="shared" si="0"/>
        <v>0 tubes and 0 shuttles</v>
      </c>
      <c r="I190" s="36">
        <f t="shared" si="15"/>
        <v>0</v>
      </c>
      <c r="J190" s="104" t="str">
        <f t="shared" si="1"/>
        <v>0 tubes and 0 shuttles</v>
      </c>
      <c r="K190" s="36">
        <f t="shared" si="16"/>
        <v>0</v>
      </c>
      <c r="L190" s="103" t="str">
        <f t="shared" si="2"/>
        <v>0 tubes and 0 shuttles</v>
      </c>
      <c r="M190" s="105">
        <f t="shared" si="17"/>
        <v>0</v>
      </c>
      <c r="N190" s="103" t="str">
        <f t="shared" si="3"/>
        <v>0 tubes and 0 shuttles</v>
      </c>
      <c r="O190" s="36">
        <f t="shared" si="4"/>
        <v>0</v>
      </c>
      <c r="P190" s="103" t="str">
        <f t="shared" si="5"/>
        <v>0 tubes and 0 shuttles</v>
      </c>
    </row>
    <row r="191" spans="1:16" ht="12.5" x14ac:dyDescent="0.25">
      <c r="A191" s="32">
        <f>'Profit &amp; Loss'!A191</f>
        <v>0</v>
      </c>
      <c r="B191" s="35">
        <f>'Profit &amp; Loss'!B191</f>
        <v>0</v>
      </c>
      <c r="C191" s="36"/>
      <c r="D191" s="33"/>
      <c r="E191" s="33"/>
      <c r="F191" s="101"/>
      <c r="G191" s="102">
        <f t="shared" si="14"/>
        <v>0</v>
      </c>
      <c r="H191" s="103" t="str">
        <f t="shared" si="0"/>
        <v>0 tubes and 0 shuttles</v>
      </c>
      <c r="I191" s="36">
        <f t="shared" si="15"/>
        <v>0</v>
      </c>
      <c r="J191" s="104" t="str">
        <f t="shared" si="1"/>
        <v>0 tubes and 0 shuttles</v>
      </c>
      <c r="K191" s="36">
        <f t="shared" si="16"/>
        <v>0</v>
      </c>
      <c r="L191" s="103" t="str">
        <f t="shared" si="2"/>
        <v>0 tubes and 0 shuttles</v>
      </c>
      <c r="M191" s="105">
        <f t="shared" si="17"/>
        <v>0</v>
      </c>
      <c r="N191" s="103" t="str">
        <f t="shared" si="3"/>
        <v>0 tubes and 0 shuttles</v>
      </c>
      <c r="O191" s="36">
        <f t="shared" si="4"/>
        <v>0</v>
      </c>
      <c r="P191" s="103" t="str">
        <f t="shared" si="5"/>
        <v>0 tubes and 0 shuttles</v>
      </c>
    </row>
    <row r="192" spans="1:16" ht="12.5" x14ac:dyDescent="0.25">
      <c r="A192" s="32">
        <f>'Profit &amp; Loss'!A192</f>
        <v>0</v>
      </c>
      <c r="B192" s="35">
        <f>'Profit &amp; Loss'!B192</f>
        <v>0</v>
      </c>
      <c r="C192" s="36"/>
      <c r="D192" s="33"/>
      <c r="E192" s="33"/>
      <c r="F192" s="101"/>
      <c r="G192" s="102">
        <f t="shared" si="14"/>
        <v>0</v>
      </c>
      <c r="H192" s="103" t="str">
        <f t="shared" si="0"/>
        <v>0 tubes and 0 shuttles</v>
      </c>
      <c r="I192" s="36">
        <f t="shared" si="15"/>
        <v>0</v>
      </c>
      <c r="J192" s="104" t="str">
        <f t="shared" si="1"/>
        <v>0 tubes and 0 shuttles</v>
      </c>
      <c r="K192" s="36">
        <f t="shared" si="16"/>
        <v>0</v>
      </c>
      <c r="L192" s="103" t="str">
        <f t="shared" si="2"/>
        <v>0 tubes and 0 shuttles</v>
      </c>
      <c r="M192" s="105">
        <f t="shared" si="17"/>
        <v>0</v>
      </c>
      <c r="N192" s="103" t="str">
        <f t="shared" si="3"/>
        <v>0 tubes and 0 shuttles</v>
      </c>
      <c r="O192" s="36">
        <f t="shared" si="4"/>
        <v>0</v>
      </c>
      <c r="P192" s="103" t="str">
        <f t="shared" si="5"/>
        <v>0 tubes and 0 shuttles</v>
      </c>
    </row>
    <row r="193" spans="1:16" ht="12.5" x14ac:dyDescent="0.25">
      <c r="A193" s="32">
        <f>'Profit &amp; Loss'!A193</f>
        <v>0</v>
      </c>
      <c r="B193" s="35">
        <f>'Profit &amp; Loss'!B193</f>
        <v>0</v>
      </c>
      <c r="C193" s="36"/>
      <c r="D193" s="33"/>
      <c r="E193" s="33"/>
      <c r="F193" s="101"/>
      <c r="G193" s="102">
        <f t="shared" si="14"/>
        <v>0</v>
      </c>
      <c r="H193" s="103" t="str">
        <f t="shared" si="0"/>
        <v>0 tubes and 0 shuttles</v>
      </c>
      <c r="I193" s="36">
        <f t="shared" si="15"/>
        <v>0</v>
      </c>
      <c r="J193" s="104" t="str">
        <f t="shared" si="1"/>
        <v>0 tubes and 0 shuttles</v>
      </c>
      <c r="K193" s="36">
        <f t="shared" si="16"/>
        <v>0</v>
      </c>
      <c r="L193" s="103" t="str">
        <f t="shared" si="2"/>
        <v>0 tubes and 0 shuttles</v>
      </c>
      <c r="M193" s="105">
        <f t="shared" si="17"/>
        <v>0</v>
      </c>
      <c r="N193" s="103" t="str">
        <f t="shared" si="3"/>
        <v>0 tubes and 0 shuttles</v>
      </c>
      <c r="O193" s="36">
        <f t="shared" si="4"/>
        <v>0</v>
      </c>
      <c r="P193" s="103" t="str">
        <f t="shared" si="5"/>
        <v>0 tubes and 0 shuttles</v>
      </c>
    </row>
    <row r="194" spans="1:16" ht="12.5" x14ac:dyDescent="0.25">
      <c r="A194" s="32">
        <f>'Profit &amp; Loss'!A194</f>
        <v>0</v>
      </c>
      <c r="B194" s="35">
        <f>'Profit &amp; Loss'!B194</f>
        <v>0</v>
      </c>
      <c r="C194" s="36"/>
      <c r="D194" s="33"/>
      <c r="E194" s="33"/>
      <c r="F194" s="101"/>
      <c r="G194" s="102">
        <f t="shared" si="14"/>
        <v>0</v>
      </c>
      <c r="H194" s="103" t="str">
        <f t="shared" si="0"/>
        <v>0 tubes and 0 shuttles</v>
      </c>
      <c r="I194" s="36">
        <f t="shared" si="15"/>
        <v>0</v>
      </c>
      <c r="J194" s="104" t="str">
        <f t="shared" si="1"/>
        <v>0 tubes and 0 shuttles</v>
      </c>
      <c r="K194" s="36">
        <f t="shared" si="16"/>
        <v>0</v>
      </c>
      <c r="L194" s="103" t="str">
        <f t="shared" si="2"/>
        <v>0 tubes and 0 shuttles</v>
      </c>
      <c r="M194" s="105">
        <f t="shared" si="17"/>
        <v>0</v>
      </c>
      <c r="N194" s="103" t="str">
        <f t="shared" si="3"/>
        <v>0 tubes and 0 shuttles</v>
      </c>
      <c r="O194" s="36">
        <f t="shared" si="4"/>
        <v>0</v>
      </c>
      <c r="P194" s="103" t="str">
        <f t="shared" si="5"/>
        <v>0 tubes and 0 shuttles</v>
      </c>
    </row>
    <row r="195" spans="1:16" ht="12.5" x14ac:dyDescent="0.25">
      <c r="A195" s="32">
        <f>'Profit &amp; Loss'!A195</f>
        <v>0</v>
      </c>
      <c r="B195" s="35">
        <f>'Profit &amp; Loss'!B195</f>
        <v>0</v>
      </c>
      <c r="C195" s="36"/>
      <c r="D195" s="33"/>
      <c r="E195" s="33"/>
      <c r="F195" s="101"/>
      <c r="G195" s="102">
        <f t="shared" si="14"/>
        <v>0</v>
      </c>
      <c r="H195" s="103" t="str">
        <f t="shared" si="0"/>
        <v>0 tubes and 0 shuttles</v>
      </c>
      <c r="I195" s="36">
        <f t="shared" si="15"/>
        <v>0</v>
      </c>
      <c r="J195" s="104" t="str">
        <f t="shared" si="1"/>
        <v>0 tubes and 0 shuttles</v>
      </c>
      <c r="K195" s="36">
        <f t="shared" si="16"/>
        <v>0</v>
      </c>
      <c r="L195" s="103" t="str">
        <f t="shared" si="2"/>
        <v>0 tubes and 0 shuttles</v>
      </c>
      <c r="M195" s="105">
        <f t="shared" si="17"/>
        <v>0</v>
      </c>
      <c r="N195" s="103" t="str">
        <f t="shared" si="3"/>
        <v>0 tubes and 0 shuttles</v>
      </c>
      <c r="O195" s="36">
        <f t="shared" si="4"/>
        <v>0</v>
      </c>
      <c r="P195" s="103" t="str">
        <f t="shared" si="5"/>
        <v>0 tubes and 0 shuttles</v>
      </c>
    </row>
    <row r="196" spans="1:16" ht="12.5" x14ac:dyDescent="0.25">
      <c r="A196" s="32">
        <f>'Profit &amp; Loss'!A196</f>
        <v>0</v>
      </c>
      <c r="B196" s="35">
        <f>'Profit &amp; Loss'!B196</f>
        <v>0</v>
      </c>
      <c r="C196" s="36"/>
      <c r="D196" s="33"/>
      <c r="E196" s="33"/>
      <c r="F196" s="101"/>
      <c r="G196" s="102">
        <f t="shared" si="14"/>
        <v>0</v>
      </c>
      <c r="H196" s="103" t="str">
        <f t="shared" si="0"/>
        <v>0 tubes and 0 shuttles</v>
      </c>
      <c r="I196" s="36">
        <f t="shared" si="15"/>
        <v>0</v>
      </c>
      <c r="J196" s="104" t="str">
        <f t="shared" si="1"/>
        <v>0 tubes and 0 shuttles</v>
      </c>
      <c r="K196" s="36">
        <f t="shared" si="16"/>
        <v>0</v>
      </c>
      <c r="L196" s="103" t="str">
        <f t="shared" si="2"/>
        <v>0 tubes and 0 shuttles</v>
      </c>
      <c r="M196" s="105">
        <f t="shared" si="17"/>
        <v>0</v>
      </c>
      <c r="N196" s="103" t="str">
        <f t="shared" si="3"/>
        <v>0 tubes and 0 shuttles</v>
      </c>
      <c r="O196" s="36">
        <f t="shared" si="4"/>
        <v>0</v>
      </c>
      <c r="P196" s="103" t="str">
        <f t="shared" si="5"/>
        <v>0 tubes and 0 shuttles</v>
      </c>
    </row>
    <row r="197" spans="1:16" ht="12.5" x14ac:dyDescent="0.25">
      <c r="A197" s="32">
        <f>'Profit &amp; Loss'!A197</f>
        <v>0</v>
      </c>
      <c r="B197" s="35">
        <f>'Profit &amp; Loss'!B197</f>
        <v>0</v>
      </c>
      <c r="C197" s="36"/>
      <c r="D197" s="33"/>
      <c r="E197" s="33"/>
      <c r="F197" s="101"/>
      <c r="G197" s="102">
        <f t="shared" si="14"/>
        <v>0</v>
      </c>
      <c r="H197" s="103" t="str">
        <f t="shared" si="0"/>
        <v>0 tubes and 0 shuttles</v>
      </c>
      <c r="I197" s="36">
        <f t="shared" si="15"/>
        <v>0</v>
      </c>
      <c r="J197" s="104" t="str">
        <f t="shared" si="1"/>
        <v>0 tubes and 0 shuttles</v>
      </c>
      <c r="K197" s="36">
        <f t="shared" si="16"/>
        <v>0</v>
      </c>
      <c r="L197" s="103" t="str">
        <f t="shared" si="2"/>
        <v>0 tubes and 0 shuttles</v>
      </c>
      <c r="M197" s="105">
        <f t="shared" si="17"/>
        <v>0</v>
      </c>
      <c r="N197" s="103" t="str">
        <f t="shared" si="3"/>
        <v>0 tubes and 0 shuttles</v>
      </c>
      <c r="O197" s="36">
        <f t="shared" si="4"/>
        <v>0</v>
      </c>
      <c r="P197" s="103" t="str">
        <f t="shared" si="5"/>
        <v>0 tubes and 0 shuttles</v>
      </c>
    </row>
    <row r="198" spans="1:16" ht="12.5" x14ac:dyDescent="0.25">
      <c r="A198" s="32">
        <f>'Profit &amp; Loss'!A198</f>
        <v>0</v>
      </c>
      <c r="B198" s="35">
        <f>'Profit &amp; Loss'!B198</f>
        <v>0</v>
      </c>
      <c r="C198" s="36"/>
      <c r="D198" s="33"/>
      <c r="E198" s="33"/>
      <c r="F198" s="101"/>
      <c r="G198" s="102">
        <f t="shared" si="14"/>
        <v>0</v>
      </c>
      <c r="H198" s="103" t="str">
        <f t="shared" si="0"/>
        <v>0 tubes and 0 shuttles</v>
      </c>
      <c r="I198" s="36">
        <f t="shared" si="15"/>
        <v>0</v>
      </c>
      <c r="J198" s="104" t="str">
        <f t="shared" si="1"/>
        <v>0 tubes and 0 shuttles</v>
      </c>
      <c r="K198" s="36">
        <f t="shared" si="16"/>
        <v>0</v>
      </c>
      <c r="L198" s="103" t="str">
        <f t="shared" si="2"/>
        <v>0 tubes and 0 shuttles</v>
      </c>
      <c r="M198" s="105">
        <f t="shared" si="17"/>
        <v>0</v>
      </c>
      <c r="N198" s="103" t="str">
        <f t="shared" si="3"/>
        <v>0 tubes and 0 shuttles</v>
      </c>
      <c r="O198" s="36">
        <f t="shared" si="4"/>
        <v>0</v>
      </c>
      <c r="P198" s="103" t="str">
        <f t="shared" si="5"/>
        <v>0 tubes and 0 shuttles</v>
      </c>
    </row>
    <row r="199" spans="1:16" ht="12.5" x14ac:dyDescent="0.25">
      <c r="A199" s="32">
        <f>'Profit &amp; Loss'!A199</f>
        <v>0</v>
      </c>
      <c r="B199" s="35">
        <f>'Profit &amp; Loss'!B199</f>
        <v>0</v>
      </c>
      <c r="C199" s="36"/>
      <c r="D199" s="33"/>
      <c r="E199" s="33"/>
      <c r="F199" s="101"/>
      <c r="G199" s="102">
        <f t="shared" si="14"/>
        <v>0</v>
      </c>
      <c r="H199" s="103" t="str">
        <f t="shared" si="0"/>
        <v>0 tubes and 0 shuttles</v>
      </c>
      <c r="I199" s="36">
        <f t="shared" si="15"/>
        <v>0</v>
      </c>
      <c r="J199" s="104" t="str">
        <f t="shared" si="1"/>
        <v>0 tubes and 0 shuttles</v>
      </c>
      <c r="K199" s="36">
        <f t="shared" si="16"/>
        <v>0</v>
      </c>
      <c r="L199" s="103" t="str">
        <f t="shared" si="2"/>
        <v>0 tubes and 0 shuttles</v>
      </c>
      <c r="M199" s="105">
        <f t="shared" si="17"/>
        <v>0</v>
      </c>
      <c r="N199" s="103" t="str">
        <f t="shared" si="3"/>
        <v>0 tubes and 0 shuttles</v>
      </c>
      <c r="O199" s="36">
        <f t="shared" si="4"/>
        <v>0</v>
      </c>
      <c r="P199" s="103" t="str">
        <f t="shared" si="5"/>
        <v>0 tubes and 0 shuttles</v>
      </c>
    </row>
    <row r="200" spans="1:16" ht="12.5" x14ac:dyDescent="0.25">
      <c r="A200" s="32">
        <f>'Profit &amp; Loss'!A200</f>
        <v>0</v>
      </c>
      <c r="B200" s="35">
        <f>'Profit &amp; Loss'!B200</f>
        <v>0</v>
      </c>
      <c r="C200" s="36"/>
      <c r="D200" s="33"/>
      <c r="E200" s="33"/>
      <c r="F200" s="101"/>
      <c r="G200" s="102">
        <f t="shared" si="14"/>
        <v>0</v>
      </c>
      <c r="H200" s="103" t="str">
        <f t="shared" si="0"/>
        <v>0 tubes and 0 shuttles</v>
      </c>
      <c r="I200" s="36">
        <f t="shared" si="15"/>
        <v>0</v>
      </c>
      <c r="J200" s="104" t="str">
        <f t="shared" si="1"/>
        <v>0 tubes and 0 shuttles</v>
      </c>
      <c r="K200" s="36">
        <f t="shared" si="16"/>
        <v>0</v>
      </c>
      <c r="L200" s="103" t="str">
        <f t="shared" si="2"/>
        <v>0 tubes and 0 shuttles</v>
      </c>
      <c r="M200" s="105">
        <f t="shared" si="17"/>
        <v>0</v>
      </c>
      <c r="N200" s="103" t="str">
        <f t="shared" si="3"/>
        <v>0 tubes and 0 shuttles</v>
      </c>
      <c r="O200" s="36">
        <f t="shared" si="4"/>
        <v>0</v>
      </c>
      <c r="P200" s="103" t="str">
        <f t="shared" si="5"/>
        <v>0 tubes and 0 shuttles</v>
      </c>
    </row>
    <row r="201" spans="1:16" ht="12.5" x14ac:dyDescent="0.25">
      <c r="A201" s="32">
        <f>'Profit &amp; Loss'!A201</f>
        <v>0</v>
      </c>
      <c r="B201" s="35">
        <f>'Profit &amp; Loss'!B201</f>
        <v>0</v>
      </c>
      <c r="C201" s="36"/>
      <c r="D201" s="33"/>
      <c r="E201" s="33"/>
      <c r="F201" s="101"/>
      <c r="G201" s="102">
        <f t="shared" si="14"/>
        <v>0</v>
      </c>
      <c r="H201" s="103" t="str">
        <f t="shared" si="0"/>
        <v>0 tubes and 0 shuttles</v>
      </c>
      <c r="I201" s="36">
        <f t="shared" si="15"/>
        <v>0</v>
      </c>
      <c r="J201" s="104" t="str">
        <f t="shared" si="1"/>
        <v>0 tubes and 0 shuttles</v>
      </c>
      <c r="K201" s="36">
        <f t="shared" si="16"/>
        <v>0</v>
      </c>
      <c r="L201" s="103" t="str">
        <f t="shared" si="2"/>
        <v>0 tubes and 0 shuttles</v>
      </c>
      <c r="M201" s="105">
        <f t="shared" si="17"/>
        <v>0</v>
      </c>
      <c r="N201" s="103" t="str">
        <f t="shared" si="3"/>
        <v>0 tubes and 0 shuttles</v>
      </c>
      <c r="O201" s="36">
        <f t="shared" si="4"/>
        <v>0</v>
      </c>
      <c r="P201" s="103" t="str">
        <f t="shared" si="5"/>
        <v>0 tubes and 0 shuttles</v>
      </c>
    </row>
    <row r="202" spans="1:16" ht="12.5" x14ac:dyDescent="0.25">
      <c r="A202" s="32">
        <f>'Profit &amp; Loss'!A202</f>
        <v>0</v>
      </c>
      <c r="B202" s="35">
        <f>'Profit &amp; Loss'!B202</f>
        <v>0</v>
      </c>
      <c r="C202" s="36"/>
      <c r="D202" s="33"/>
      <c r="E202" s="33"/>
      <c r="F202" s="101"/>
      <c r="G202" s="102">
        <f t="shared" si="14"/>
        <v>0</v>
      </c>
      <c r="H202" s="103" t="str">
        <f t="shared" si="0"/>
        <v>0 tubes and 0 shuttles</v>
      </c>
      <c r="I202" s="36">
        <f t="shared" si="15"/>
        <v>0</v>
      </c>
      <c r="J202" s="104" t="str">
        <f t="shared" si="1"/>
        <v>0 tubes and 0 shuttles</v>
      </c>
      <c r="K202" s="36">
        <f t="shared" si="16"/>
        <v>0</v>
      </c>
      <c r="L202" s="103" t="str">
        <f t="shared" si="2"/>
        <v>0 tubes and 0 shuttles</v>
      </c>
      <c r="M202" s="105">
        <f t="shared" si="17"/>
        <v>0</v>
      </c>
      <c r="N202" s="103" t="str">
        <f t="shared" si="3"/>
        <v>0 tubes and 0 shuttles</v>
      </c>
      <c r="O202" s="36">
        <f t="shared" si="4"/>
        <v>0</v>
      </c>
      <c r="P202" s="103" t="str">
        <f t="shared" si="5"/>
        <v>0 tubes and 0 shuttles</v>
      </c>
    </row>
    <row r="203" spans="1:16" ht="12.5" x14ac:dyDescent="0.25">
      <c r="A203" s="32">
        <f>'Profit &amp; Loss'!A203</f>
        <v>0</v>
      </c>
      <c r="B203" s="35">
        <f>'Profit &amp; Loss'!B203</f>
        <v>0</v>
      </c>
      <c r="C203" s="36"/>
      <c r="D203" s="33"/>
      <c r="E203" s="33"/>
      <c r="F203" s="101"/>
      <c r="G203" s="102">
        <f t="shared" si="14"/>
        <v>0</v>
      </c>
      <c r="H203" s="103" t="str">
        <f t="shared" si="0"/>
        <v>0 tubes and 0 shuttles</v>
      </c>
      <c r="I203" s="36">
        <f t="shared" si="15"/>
        <v>0</v>
      </c>
      <c r="J203" s="104" t="str">
        <f t="shared" si="1"/>
        <v>0 tubes and 0 shuttles</v>
      </c>
      <c r="K203" s="36">
        <f t="shared" si="16"/>
        <v>0</v>
      </c>
      <c r="L203" s="103" t="str">
        <f t="shared" si="2"/>
        <v>0 tubes and 0 shuttles</v>
      </c>
      <c r="M203" s="105">
        <f t="shared" si="17"/>
        <v>0</v>
      </c>
      <c r="N203" s="103" t="str">
        <f t="shared" si="3"/>
        <v>0 tubes and 0 shuttles</v>
      </c>
      <c r="O203" s="36">
        <f t="shared" si="4"/>
        <v>0</v>
      </c>
      <c r="P203" s="103" t="str">
        <f t="shared" si="5"/>
        <v>0 tubes and 0 shuttles</v>
      </c>
    </row>
    <row r="204" spans="1:16" ht="12.5" x14ac:dyDescent="0.25">
      <c r="A204" s="32">
        <f>'Profit &amp; Loss'!A204</f>
        <v>0</v>
      </c>
      <c r="B204" s="35">
        <f>'Profit &amp; Loss'!B204</f>
        <v>0</v>
      </c>
      <c r="C204" s="36"/>
      <c r="D204" s="33"/>
      <c r="E204" s="33"/>
      <c r="F204" s="101"/>
      <c r="G204" s="102">
        <f t="shared" si="14"/>
        <v>0</v>
      </c>
      <c r="H204" s="103" t="str">
        <f t="shared" si="0"/>
        <v>0 tubes and 0 shuttles</v>
      </c>
      <c r="I204" s="36">
        <f t="shared" si="15"/>
        <v>0</v>
      </c>
      <c r="J204" s="104" t="str">
        <f t="shared" si="1"/>
        <v>0 tubes and 0 shuttles</v>
      </c>
      <c r="K204" s="36">
        <f t="shared" si="16"/>
        <v>0</v>
      </c>
      <c r="L204" s="103" t="str">
        <f t="shared" si="2"/>
        <v>0 tubes and 0 shuttles</v>
      </c>
      <c r="M204" s="105">
        <f t="shared" si="17"/>
        <v>0</v>
      </c>
      <c r="N204" s="103" t="str">
        <f t="shared" si="3"/>
        <v>0 tubes and 0 shuttles</v>
      </c>
      <c r="O204" s="36">
        <f t="shared" si="4"/>
        <v>0</v>
      </c>
      <c r="P204" s="103" t="str">
        <f t="shared" si="5"/>
        <v>0 tubes and 0 shuttles</v>
      </c>
    </row>
    <row r="205" spans="1:16" ht="12.5" x14ac:dyDescent="0.25">
      <c r="A205" s="32">
        <f>'Profit &amp; Loss'!A205</f>
        <v>0</v>
      </c>
      <c r="B205" s="35">
        <f>'Profit &amp; Loss'!B205</f>
        <v>0</v>
      </c>
      <c r="C205" s="36"/>
      <c r="D205" s="33"/>
      <c r="E205" s="33"/>
      <c r="F205" s="101"/>
      <c r="G205" s="102">
        <f t="shared" si="14"/>
        <v>0</v>
      </c>
      <c r="H205" s="103" t="str">
        <f t="shared" si="0"/>
        <v>0 tubes and 0 shuttles</v>
      </c>
      <c r="I205" s="36">
        <f t="shared" si="15"/>
        <v>0</v>
      </c>
      <c r="J205" s="104" t="str">
        <f t="shared" si="1"/>
        <v>0 tubes and 0 shuttles</v>
      </c>
      <c r="K205" s="36">
        <f t="shared" si="16"/>
        <v>0</v>
      </c>
      <c r="L205" s="103" t="str">
        <f t="shared" si="2"/>
        <v>0 tubes and 0 shuttles</v>
      </c>
      <c r="M205" s="105">
        <f t="shared" si="17"/>
        <v>0</v>
      </c>
      <c r="N205" s="103" t="str">
        <f t="shared" si="3"/>
        <v>0 tubes and 0 shuttles</v>
      </c>
      <c r="O205" s="36">
        <f t="shared" si="4"/>
        <v>0</v>
      </c>
      <c r="P205" s="103" t="str">
        <f t="shared" si="5"/>
        <v>0 tubes and 0 shuttles</v>
      </c>
    </row>
    <row r="206" spans="1:16" ht="12.5" x14ac:dyDescent="0.25">
      <c r="A206" s="32">
        <f>'Profit &amp; Loss'!A206</f>
        <v>0</v>
      </c>
      <c r="B206" s="35">
        <f>'Profit &amp; Loss'!B206</f>
        <v>0</v>
      </c>
      <c r="C206" s="36"/>
      <c r="D206" s="33"/>
      <c r="E206" s="33"/>
      <c r="F206" s="101"/>
      <c r="G206" s="102">
        <f t="shared" si="14"/>
        <v>0</v>
      </c>
      <c r="H206" s="103" t="str">
        <f t="shared" si="0"/>
        <v>0 tubes and 0 shuttles</v>
      </c>
      <c r="I206" s="36">
        <f t="shared" si="15"/>
        <v>0</v>
      </c>
      <c r="J206" s="104" t="str">
        <f t="shared" si="1"/>
        <v>0 tubes and 0 shuttles</v>
      </c>
      <c r="K206" s="36">
        <f t="shared" si="16"/>
        <v>0</v>
      </c>
      <c r="L206" s="103" t="str">
        <f t="shared" si="2"/>
        <v>0 tubes and 0 shuttles</v>
      </c>
      <c r="M206" s="105">
        <f t="shared" si="17"/>
        <v>0</v>
      </c>
      <c r="N206" s="103" t="str">
        <f t="shared" si="3"/>
        <v>0 tubes and 0 shuttles</v>
      </c>
      <c r="O206" s="36">
        <f t="shared" si="4"/>
        <v>0</v>
      </c>
      <c r="P206" s="103" t="str">
        <f t="shared" si="5"/>
        <v>0 tubes and 0 shuttles</v>
      </c>
    </row>
    <row r="207" spans="1:16" ht="12.5" x14ac:dyDescent="0.25">
      <c r="A207" s="32">
        <f>'Profit &amp; Loss'!A207</f>
        <v>0</v>
      </c>
      <c r="B207" s="35">
        <f>'Profit &amp; Loss'!B207</f>
        <v>0</v>
      </c>
      <c r="C207" s="36"/>
      <c r="D207" s="33"/>
      <c r="E207" s="33"/>
      <c r="F207" s="101"/>
      <c r="G207" s="102">
        <f t="shared" si="14"/>
        <v>0</v>
      </c>
      <c r="H207" s="103" t="str">
        <f t="shared" si="0"/>
        <v>0 tubes and 0 shuttles</v>
      </c>
      <c r="I207" s="36">
        <f t="shared" si="15"/>
        <v>0</v>
      </c>
      <c r="J207" s="104" t="str">
        <f t="shared" si="1"/>
        <v>0 tubes and 0 shuttles</v>
      </c>
      <c r="K207" s="36">
        <f t="shared" si="16"/>
        <v>0</v>
      </c>
      <c r="L207" s="103" t="str">
        <f t="shared" si="2"/>
        <v>0 tubes and 0 shuttles</v>
      </c>
      <c r="M207" s="105">
        <f t="shared" si="17"/>
        <v>0</v>
      </c>
      <c r="N207" s="103" t="str">
        <f t="shared" si="3"/>
        <v>0 tubes and 0 shuttles</v>
      </c>
      <c r="O207" s="36">
        <f t="shared" si="4"/>
        <v>0</v>
      </c>
      <c r="P207" s="103" t="str">
        <f t="shared" si="5"/>
        <v>0 tubes and 0 shuttles</v>
      </c>
    </row>
    <row r="208" spans="1:16" ht="12.5" x14ac:dyDescent="0.25">
      <c r="A208" s="32">
        <f>'Profit &amp; Loss'!A208</f>
        <v>0</v>
      </c>
      <c r="B208" s="35">
        <f>'Profit &amp; Loss'!B208</f>
        <v>0</v>
      </c>
      <c r="C208" s="36"/>
      <c r="D208" s="33"/>
      <c r="E208" s="33"/>
      <c r="F208" s="101"/>
      <c r="G208" s="102">
        <f t="shared" si="14"/>
        <v>0</v>
      </c>
      <c r="H208" s="103" t="str">
        <f t="shared" si="0"/>
        <v>0 tubes and 0 shuttles</v>
      </c>
      <c r="I208" s="36">
        <f t="shared" si="15"/>
        <v>0</v>
      </c>
      <c r="J208" s="104" t="str">
        <f t="shared" si="1"/>
        <v>0 tubes and 0 shuttles</v>
      </c>
      <c r="K208" s="36">
        <f t="shared" si="16"/>
        <v>0</v>
      </c>
      <c r="L208" s="103" t="str">
        <f t="shared" si="2"/>
        <v>0 tubes and 0 shuttles</v>
      </c>
      <c r="M208" s="105">
        <f t="shared" si="17"/>
        <v>0</v>
      </c>
      <c r="N208" s="103" t="str">
        <f t="shared" si="3"/>
        <v>0 tubes and 0 shuttles</v>
      </c>
      <c r="O208" s="36">
        <f t="shared" si="4"/>
        <v>0</v>
      </c>
      <c r="P208" s="103" t="str">
        <f t="shared" si="5"/>
        <v>0 tubes and 0 shuttles</v>
      </c>
    </row>
    <row r="209" spans="1:16" ht="12.5" x14ac:dyDescent="0.25">
      <c r="A209" s="32">
        <f>'Profit &amp; Loss'!A209</f>
        <v>0</v>
      </c>
      <c r="B209" s="35">
        <f>'Profit &amp; Loss'!B209</f>
        <v>0</v>
      </c>
      <c r="C209" s="36"/>
      <c r="D209" s="33"/>
      <c r="E209" s="33"/>
      <c r="F209" s="101"/>
      <c r="G209" s="102">
        <f t="shared" si="14"/>
        <v>0</v>
      </c>
      <c r="H209" s="103" t="str">
        <f t="shared" si="0"/>
        <v>0 tubes and 0 shuttles</v>
      </c>
      <c r="I209" s="36">
        <f t="shared" si="15"/>
        <v>0</v>
      </c>
      <c r="J209" s="104" t="str">
        <f t="shared" si="1"/>
        <v>0 tubes and 0 shuttles</v>
      </c>
      <c r="K209" s="36">
        <f t="shared" si="16"/>
        <v>0</v>
      </c>
      <c r="L209" s="103" t="str">
        <f t="shared" si="2"/>
        <v>0 tubes and 0 shuttles</v>
      </c>
      <c r="M209" s="105">
        <f t="shared" si="17"/>
        <v>0</v>
      </c>
      <c r="N209" s="103" t="str">
        <f t="shared" si="3"/>
        <v>0 tubes and 0 shuttles</v>
      </c>
      <c r="O209" s="36">
        <f t="shared" si="4"/>
        <v>0</v>
      </c>
      <c r="P209" s="103" t="str">
        <f t="shared" si="5"/>
        <v>0 tubes and 0 shuttles</v>
      </c>
    </row>
    <row r="210" spans="1:16" ht="12.5" x14ac:dyDescent="0.25">
      <c r="A210" s="32">
        <f>'Profit &amp; Loss'!A210</f>
        <v>0</v>
      </c>
      <c r="B210" s="35">
        <f>'Profit &amp; Loss'!B210</f>
        <v>0</v>
      </c>
      <c r="C210" s="36"/>
      <c r="D210" s="33"/>
      <c r="E210" s="33"/>
      <c r="F210" s="101"/>
      <c r="G210" s="102">
        <f t="shared" si="14"/>
        <v>0</v>
      </c>
      <c r="H210" s="103" t="str">
        <f t="shared" si="0"/>
        <v>0 tubes and 0 shuttles</v>
      </c>
      <c r="I210" s="36">
        <f t="shared" si="15"/>
        <v>0</v>
      </c>
      <c r="J210" s="104" t="str">
        <f t="shared" si="1"/>
        <v>0 tubes and 0 shuttles</v>
      </c>
      <c r="K210" s="36">
        <f t="shared" si="16"/>
        <v>0</v>
      </c>
      <c r="L210" s="103" t="str">
        <f t="shared" si="2"/>
        <v>0 tubes and 0 shuttles</v>
      </c>
      <c r="M210" s="105">
        <f t="shared" si="17"/>
        <v>0</v>
      </c>
      <c r="N210" s="103" t="str">
        <f t="shared" si="3"/>
        <v>0 tubes and 0 shuttles</v>
      </c>
      <c r="O210" s="36">
        <f t="shared" si="4"/>
        <v>0</v>
      </c>
      <c r="P210" s="103" t="str">
        <f t="shared" si="5"/>
        <v>0 tubes and 0 shuttles</v>
      </c>
    </row>
    <row r="211" spans="1:16" ht="12.5" x14ac:dyDescent="0.25">
      <c r="A211" s="32">
        <f>'Profit &amp; Loss'!A211</f>
        <v>0</v>
      </c>
      <c r="B211" s="35">
        <f>'Profit &amp; Loss'!B211</f>
        <v>0</v>
      </c>
      <c r="C211" s="36"/>
      <c r="D211" s="33"/>
      <c r="E211" s="33"/>
      <c r="F211" s="101"/>
      <c r="G211" s="102">
        <f t="shared" si="14"/>
        <v>0</v>
      </c>
      <c r="H211" s="103" t="str">
        <f t="shared" si="0"/>
        <v>0 tubes and 0 shuttles</v>
      </c>
      <c r="I211" s="36">
        <f t="shared" si="15"/>
        <v>0</v>
      </c>
      <c r="J211" s="104" t="str">
        <f t="shared" si="1"/>
        <v>0 tubes and 0 shuttles</v>
      </c>
      <c r="K211" s="36">
        <f t="shared" si="16"/>
        <v>0</v>
      </c>
      <c r="L211" s="103" t="str">
        <f t="shared" si="2"/>
        <v>0 tubes and 0 shuttles</v>
      </c>
      <c r="M211" s="105">
        <f t="shared" si="17"/>
        <v>0</v>
      </c>
      <c r="N211" s="103" t="str">
        <f t="shared" si="3"/>
        <v>0 tubes and 0 shuttles</v>
      </c>
      <c r="O211" s="36">
        <f t="shared" si="4"/>
        <v>0</v>
      </c>
      <c r="P211" s="103" t="str">
        <f t="shared" si="5"/>
        <v>0 tubes and 0 shuttles</v>
      </c>
    </row>
    <row r="212" spans="1:16" ht="12.5" x14ac:dyDescent="0.25">
      <c r="A212" s="32">
        <f>'Profit &amp; Loss'!A212</f>
        <v>0</v>
      </c>
      <c r="B212" s="35">
        <f>'Profit &amp; Loss'!B212</f>
        <v>0</v>
      </c>
      <c r="C212" s="36"/>
      <c r="D212" s="33"/>
      <c r="E212" s="33"/>
      <c r="F212" s="101"/>
      <c r="G212" s="102">
        <f t="shared" si="14"/>
        <v>0</v>
      </c>
      <c r="H212" s="103" t="str">
        <f t="shared" si="0"/>
        <v>0 tubes and 0 shuttles</v>
      </c>
      <c r="I212" s="36">
        <f t="shared" si="15"/>
        <v>0</v>
      </c>
      <c r="J212" s="104" t="str">
        <f t="shared" si="1"/>
        <v>0 tubes and 0 shuttles</v>
      </c>
      <c r="K212" s="36">
        <f t="shared" si="16"/>
        <v>0</v>
      </c>
      <c r="L212" s="103" t="str">
        <f t="shared" si="2"/>
        <v>0 tubes and 0 shuttles</v>
      </c>
      <c r="M212" s="105">
        <f t="shared" si="17"/>
        <v>0</v>
      </c>
      <c r="N212" s="103" t="str">
        <f t="shared" si="3"/>
        <v>0 tubes and 0 shuttles</v>
      </c>
      <c r="O212" s="36">
        <f t="shared" si="4"/>
        <v>0</v>
      </c>
      <c r="P212" s="103" t="str">
        <f t="shared" si="5"/>
        <v>0 tubes and 0 shuttles</v>
      </c>
    </row>
    <row r="213" spans="1:16" ht="12.5" x14ac:dyDescent="0.25">
      <c r="A213" s="32">
        <f>'Profit &amp; Loss'!A213</f>
        <v>0</v>
      </c>
      <c r="B213" s="35">
        <f>'Profit &amp; Loss'!B213</f>
        <v>0</v>
      </c>
      <c r="C213" s="36"/>
      <c r="D213" s="33"/>
      <c r="E213" s="33"/>
      <c r="F213" s="101"/>
      <c r="G213" s="102">
        <f t="shared" si="14"/>
        <v>0</v>
      </c>
      <c r="H213" s="103" t="str">
        <f t="shared" si="0"/>
        <v>0 tubes and 0 shuttles</v>
      </c>
      <c r="I213" s="36">
        <f t="shared" si="15"/>
        <v>0</v>
      </c>
      <c r="J213" s="104" t="str">
        <f t="shared" si="1"/>
        <v>0 tubes and 0 shuttles</v>
      </c>
      <c r="K213" s="36">
        <f t="shared" si="16"/>
        <v>0</v>
      </c>
      <c r="L213" s="103" t="str">
        <f t="shared" si="2"/>
        <v>0 tubes and 0 shuttles</v>
      </c>
      <c r="M213" s="105">
        <f t="shared" si="17"/>
        <v>0</v>
      </c>
      <c r="N213" s="103" t="str">
        <f t="shared" si="3"/>
        <v>0 tubes and 0 shuttles</v>
      </c>
      <c r="O213" s="36">
        <f t="shared" si="4"/>
        <v>0</v>
      </c>
      <c r="P213" s="103" t="str">
        <f t="shared" si="5"/>
        <v>0 tubes and 0 shuttles</v>
      </c>
    </row>
    <row r="214" spans="1:16" ht="12.5" x14ac:dyDescent="0.25">
      <c r="A214" s="32">
        <f>'Profit &amp; Loss'!A214</f>
        <v>0</v>
      </c>
      <c r="B214" s="35">
        <f>'Profit &amp; Loss'!B214</f>
        <v>0</v>
      </c>
      <c r="C214" s="36"/>
      <c r="D214" s="33"/>
      <c r="E214" s="33"/>
      <c r="F214" s="101"/>
      <c r="G214" s="102">
        <f t="shared" si="14"/>
        <v>0</v>
      </c>
      <c r="H214" s="103" t="str">
        <f t="shared" si="0"/>
        <v>0 tubes and 0 shuttles</v>
      </c>
      <c r="I214" s="36">
        <f t="shared" si="15"/>
        <v>0</v>
      </c>
      <c r="J214" s="104" t="str">
        <f t="shared" si="1"/>
        <v>0 tubes and 0 shuttles</v>
      </c>
      <c r="K214" s="36">
        <f t="shared" si="16"/>
        <v>0</v>
      </c>
      <c r="L214" s="103" t="str">
        <f t="shared" si="2"/>
        <v>0 tubes and 0 shuttles</v>
      </c>
      <c r="M214" s="105">
        <f t="shared" si="17"/>
        <v>0</v>
      </c>
      <c r="N214" s="103" t="str">
        <f t="shared" si="3"/>
        <v>0 tubes and 0 shuttles</v>
      </c>
      <c r="O214" s="36">
        <f t="shared" si="4"/>
        <v>0</v>
      </c>
      <c r="P214" s="103" t="str">
        <f t="shared" si="5"/>
        <v>0 tubes and 0 shuttles</v>
      </c>
    </row>
    <row r="215" spans="1:16" ht="12.5" x14ac:dyDescent="0.25">
      <c r="A215" s="32">
        <f>'Profit &amp; Loss'!A215</f>
        <v>0</v>
      </c>
      <c r="B215" s="35">
        <f>'Profit &amp; Loss'!B215</f>
        <v>0</v>
      </c>
      <c r="C215" s="36"/>
      <c r="D215" s="33"/>
      <c r="E215" s="33"/>
      <c r="F215" s="101"/>
      <c r="G215" s="102">
        <f t="shared" si="14"/>
        <v>0</v>
      </c>
      <c r="H215" s="103" t="str">
        <f t="shared" si="0"/>
        <v>0 tubes and 0 shuttles</v>
      </c>
      <c r="I215" s="36">
        <f t="shared" si="15"/>
        <v>0</v>
      </c>
      <c r="J215" s="104" t="str">
        <f t="shared" si="1"/>
        <v>0 tubes and 0 shuttles</v>
      </c>
      <c r="K215" s="36">
        <f t="shared" si="16"/>
        <v>0</v>
      </c>
      <c r="L215" s="103" t="str">
        <f t="shared" si="2"/>
        <v>0 tubes and 0 shuttles</v>
      </c>
      <c r="M215" s="105">
        <f t="shared" si="17"/>
        <v>0</v>
      </c>
      <c r="N215" s="103" t="str">
        <f t="shared" si="3"/>
        <v>0 tubes and 0 shuttles</v>
      </c>
      <c r="O215" s="36">
        <f t="shared" si="4"/>
        <v>0</v>
      </c>
      <c r="P215" s="103" t="str">
        <f t="shared" si="5"/>
        <v>0 tubes and 0 shuttles</v>
      </c>
    </row>
    <row r="216" spans="1:16" ht="12.5" x14ac:dyDescent="0.25">
      <c r="A216" s="32">
        <f>'Profit &amp; Loss'!A216</f>
        <v>0</v>
      </c>
      <c r="B216" s="35">
        <f>'Profit &amp; Loss'!B216</f>
        <v>0</v>
      </c>
      <c r="C216" s="36"/>
      <c r="D216" s="33"/>
      <c r="E216" s="33"/>
      <c r="F216" s="101"/>
      <c r="G216" s="102">
        <f t="shared" si="14"/>
        <v>0</v>
      </c>
      <c r="H216" s="103" t="str">
        <f t="shared" si="0"/>
        <v>0 tubes and 0 shuttles</v>
      </c>
      <c r="I216" s="36">
        <f t="shared" si="15"/>
        <v>0</v>
      </c>
      <c r="J216" s="104" t="str">
        <f t="shared" si="1"/>
        <v>0 tubes and 0 shuttles</v>
      </c>
      <c r="K216" s="36">
        <f t="shared" si="16"/>
        <v>0</v>
      </c>
      <c r="L216" s="103" t="str">
        <f t="shared" si="2"/>
        <v>0 tubes and 0 shuttles</v>
      </c>
      <c r="M216" s="105">
        <f t="shared" si="17"/>
        <v>0</v>
      </c>
      <c r="N216" s="103" t="str">
        <f t="shared" si="3"/>
        <v>0 tubes and 0 shuttles</v>
      </c>
      <c r="O216" s="36">
        <f t="shared" si="4"/>
        <v>0</v>
      </c>
      <c r="P216" s="103" t="str">
        <f t="shared" si="5"/>
        <v>0 tubes and 0 shuttles</v>
      </c>
    </row>
    <row r="217" spans="1:16" ht="12.5" x14ac:dyDescent="0.25">
      <c r="A217" s="32">
        <f>'Profit &amp; Loss'!A217</f>
        <v>0</v>
      </c>
      <c r="B217" s="35">
        <f>'Profit &amp; Loss'!B217</f>
        <v>0</v>
      </c>
      <c r="C217" s="36"/>
      <c r="D217" s="33"/>
      <c r="E217" s="33"/>
      <c r="F217" s="101"/>
      <c r="G217" s="102">
        <f t="shared" si="14"/>
        <v>0</v>
      </c>
      <c r="H217" s="103" t="str">
        <f t="shared" si="0"/>
        <v>0 tubes and 0 shuttles</v>
      </c>
      <c r="I217" s="36">
        <f t="shared" si="15"/>
        <v>0</v>
      </c>
      <c r="J217" s="104" t="str">
        <f t="shared" si="1"/>
        <v>0 tubes and 0 shuttles</v>
      </c>
      <c r="K217" s="36">
        <f t="shared" si="16"/>
        <v>0</v>
      </c>
      <c r="L217" s="103" t="str">
        <f t="shared" si="2"/>
        <v>0 tubes and 0 shuttles</v>
      </c>
      <c r="M217" s="105">
        <f t="shared" si="17"/>
        <v>0</v>
      </c>
      <c r="N217" s="103" t="str">
        <f t="shared" si="3"/>
        <v>0 tubes and 0 shuttles</v>
      </c>
      <c r="O217" s="36">
        <f t="shared" si="4"/>
        <v>0</v>
      </c>
      <c r="P217" s="103" t="str">
        <f t="shared" si="5"/>
        <v>0 tubes and 0 shuttles</v>
      </c>
    </row>
    <row r="218" spans="1:16" ht="12.5" x14ac:dyDescent="0.25">
      <c r="A218" s="32">
        <f>'Profit &amp; Loss'!A218</f>
        <v>0</v>
      </c>
      <c r="B218" s="35">
        <f>'Profit &amp; Loss'!B218</f>
        <v>0</v>
      </c>
      <c r="C218" s="36"/>
      <c r="D218" s="33"/>
      <c r="E218" s="33"/>
      <c r="F218" s="101"/>
      <c r="G218" s="102">
        <f t="shared" si="14"/>
        <v>0</v>
      </c>
      <c r="H218" s="103" t="str">
        <f t="shared" si="0"/>
        <v>0 tubes and 0 shuttles</v>
      </c>
      <c r="I218" s="36">
        <f t="shared" si="15"/>
        <v>0</v>
      </c>
      <c r="J218" s="104" t="str">
        <f t="shared" si="1"/>
        <v>0 tubes and 0 shuttles</v>
      </c>
      <c r="K218" s="36">
        <f t="shared" si="16"/>
        <v>0</v>
      </c>
      <c r="L218" s="103" t="str">
        <f t="shared" si="2"/>
        <v>0 tubes and 0 shuttles</v>
      </c>
      <c r="M218" s="105">
        <f t="shared" si="17"/>
        <v>0</v>
      </c>
      <c r="N218" s="103" t="str">
        <f t="shared" si="3"/>
        <v>0 tubes and 0 shuttles</v>
      </c>
      <c r="O218" s="36">
        <f t="shared" si="4"/>
        <v>0</v>
      </c>
      <c r="P218" s="103" t="str">
        <f t="shared" si="5"/>
        <v>0 tubes and 0 shuttles</v>
      </c>
    </row>
    <row r="219" spans="1:16" ht="12.5" x14ac:dyDescent="0.25">
      <c r="A219" s="32">
        <f>'Profit &amp; Loss'!A219</f>
        <v>0</v>
      </c>
      <c r="B219" s="35">
        <f>'Profit &amp; Loss'!B219</f>
        <v>0</v>
      </c>
      <c r="C219" s="36"/>
      <c r="D219" s="33"/>
      <c r="E219" s="33"/>
      <c r="F219" s="101"/>
      <c r="G219" s="102">
        <f t="shared" si="14"/>
        <v>0</v>
      </c>
      <c r="H219" s="103" t="str">
        <f t="shared" si="0"/>
        <v>0 tubes and 0 shuttles</v>
      </c>
      <c r="I219" s="36">
        <f t="shared" si="15"/>
        <v>0</v>
      </c>
      <c r="J219" s="104" t="str">
        <f t="shared" si="1"/>
        <v>0 tubes and 0 shuttles</v>
      </c>
      <c r="K219" s="36">
        <f t="shared" si="16"/>
        <v>0</v>
      </c>
      <c r="L219" s="103" t="str">
        <f t="shared" si="2"/>
        <v>0 tubes and 0 shuttles</v>
      </c>
      <c r="M219" s="105">
        <f t="shared" si="17"/>
        <v>0</v>
      </c>
      <c r="N219" s="103" t="str">
        <f t="shared" si="3"/>
        <v>0 tubes and 0 shuttles</v>
      </c>
      <c r="O219" s="36">
        <f t="shared" si="4"/>
        <v>0</v>
      </c>
      <c r="P219" s="103" t="str">
        <f t="shared" si="5"/>
        <v>0 tubes and 0 shuttles</v>
      </c>
    </row>
    <row r="220" spans="1:16" ht="12.5" x14ac:dyDescent="0.25">
      <c r="A220" s="32">
        <f>'Profit &amp; Loss'!A220</f>
        <v>0</v>
      </c>
      <c r="B220" s="35">
        <f>'Profit &amp; Loss'!B220</f>
        <v>0</v>
      </c>
      <c r="C220" s="36"/>
      <c r="D220" s="33"/>
      <c r="E220" s="33"/>
      <c r="F220" s="101"/>
      <c r="G220" s="102">
        <f t="shared" si="14"/>
        <v>0</v>
      </c>
      <c r="H220" s="103" t="str">
        <f t="shared" si="0"/>
        <v>0 tubes and 0 shuttles</v>
      </c>
      <c r="I220" s="36">
        <f t="shared" si="15"/>
        <v>0</v>
      </c>
      <c r="J220" s="104" t="str">
        <f t="shared" si="1"/>
        <v>0 tubes and 0 shuttles</v>
      </c>
      <c r="K220" s="36">
        <f t="shared" si="16"/>
        <v>0</v>
      </c>
      <c r="L220" s="103" t="str">
        <f t="shared" si="2"/>
        <v>0 tubes and 0 shuttles</v>
      </c>
      <c r="M220" s="105">
        <f t="shared" si="17"/>
        <v>0</v>
      </c>
      <c r="N220" s="103" t="str">
        <f t="shared" si="3"/>
        <v>0 tubes and 0 shuttles</v>
      </c>
      <c r="O220" s="36">
        <f t="shared" si="4"/>
        <v>0</v>
      </c>
      <c r="P220" s="103" t="str">
        <f t="shared" si="5"/>
        <v>0 tubes and 0 shuttles</v>
      </c>
    </row>
    <row r="221" spans="1:16" ht="12.5" x14ac:dyDescent="0.25">
      <c r="A221" s="32">
        <f>'Profit &amp; Loss'!A221</f>
        <v>0</v>
      </c>
      <c r="B221" s="35">
        <f>'Profit &amp; Loss'!B221</f>
        <v>0</v>
      </c>
      <c r="C221" s="36"/>
      <c r="D221" s="33"/>
      <c r="E221" s="33"/>
      <c r="F221" s="101"/>
      <c r="G221" s="102">
        <f t="shared" si="14"/>
        <v>0</v>
      </c>
      <c r="H221" s="103" t="str">
        <f t="shared" si="0"/>
        <v>0 tubes and 0 shuttles</v>
      </c>
      <c r="I221" s="36">
        <f t="shared" si="15"/>
        <v>0</v>
      </c>
      <c r="J221" s="104" t="str">
        <f t="shared" si="1"/>
        <v>0 tubes and 0 shuttles</v>
      </c>
      <c r="K221" s="36">
        <f t="shared" si="16"/>
        <v>0</v>
      </c>
      <c r="L221" s="103" t="str">
        <f t="shared" si="2"/>
        <v>0 tubes and 0 shuttles</v>
      </c>
      <c r="M221" s="105">
        <f t="shared" si="17"/>
        <v>0</v>
      </c>
      <c r="N221" s="103" t="str">
        <f t="shared" si="3"/>
        <v>0 tubes and 0 shuttles</v>
      </c>
      <c r="O221" s="36">
        <f t="shared" si="4"/>
        <v>0</v>
      </c>
      <c r="P221" s="103" t="str">
        <f t="shared" si="5"/>
        <v>0 tubes and 0 shuttles</v>
      </c>
    </row>
    <row r="222" spans="1:16" ht="12.5" x14ac:dyDescent="0.25">
      <c r="A222" s="32">
        <f>'Profit &amp; Loss'!A222</f>
        <v>0</v>
      </c>
      <c r="B222" s="35">
        <f>'Profit &amp; Loss'!B222</f>
        <v>0</v>
      </c>
      <c r="C222" s="36"/>
      <c r="D222" s="33"/>
      <c r="E222" s="33"/>
      <c r="F222" s="101"/>
      <c r="G222" s="102">
        <f t="shared" si="14"/>
        <v>0</v>
      </c>
      <c r="H222" s="103" t="str">
        <f t="shared" si="0"/>
        <v>0 tubes and 0 shuttles</v>
      </c>
      <c r="I222" s="36">
        <f t="shared" si="15"/>
        <v>0</v>
      </c>
      <c r="J222" s="104" t="str">
        <f t="shared" si="1"/>
        <v>0 tubes and 0 shuttles</v>
      </c>
      <c r="K222" s="36">
        <f t="shared" si="16"/>
        <v>0</v>
      </c>
      <c r="L222" s="103" t="str">
        <f t="shared" si="2"/>
        <v>0 tubes and 0 shuttles</v>
      </c>
      <c r="M222" s="105">
        <f t="shared" si="17"/>
        <v>0</v>
      </c>
      <c r="N222" s="103" t="str">
        <f t="shared" si="3"/>
        <v>0 tubes and 0 shuttles</v>
      </c>
      <c r="O222" s="36">
        <f t="shared" si="4"/>
        <v>0</v>
      </c>
      <c r="P222" s="103" t="str">
        <f t="shared" si="5"/>
        <v>0 tubes and 0 shuttles</v>
      </c>
    </row>
    <row r="223" spans="1:16" ht="12.5" x14ac:dyDescent="0.25">
      <c r="A223" s="32">
        <f>'Profit &amp; Loss'!A223</f>
        <v>0</v>
      </c>
      <c r="B223" s="35">
        <f>'Profit &amp; Loss'!B223</f>
        <v>0</v>
      </c>
      <c r="C223" s="36"/>
      <c r="D223" s="33"/>
      <c r="E223" s="33"/>
      <c r="F223" s="101"/>
      <c r="G223" s="102">
        <f t="shared" si="14"/>
        <v>0</v>
      </c>
      <c r="H223" s="103" t="str">
        <f t="shared" si="0"/>
        <v>0 tubes and 0 shuttles</v>
      </c>
      <c r="I223" s="36">
        <f t="shared" si="15"/>
        <v>0</v>
      </c>
      <c r="J223" s="104" t="str">
        <f t="shared" si="1"/>
        <v>0 tubes and 0 shuttles</v>
      </c>
      <c r="K223" s="36">
        <f t="shared" si="16"/>
        <v>0</v>
      </c>
      <c r="L223" s="103" t="str">
        <f t="shared" si="2"/>
        <v>0 tubes and 0 shuttles</v>
      </c>
      <c r="M223" s="105">
        <f t="shared" si="17"/>
        <v>0</v>
      </c>
      <c r="N223" s="103" t="str">
        <f t="shared" si="3"/>
        <v>0 tubes and 0 shuttles</v>
      </c>
      <c r="O223" s="36">
        <f t="shared" si="4"/>
        <v>0</v>
      </c>
      <c r="P223" s="103" t="str">
        <f t="shared" si="5"/>
        <v>0 tubes and 0 shuttles</v>
      </c>
    </row>
    <row r="224" spans="1:16" ht="12.5" x14ac:dyDescent="0.25">
      <c r="A224" s="32">
        <f>'Profit &amp; Loss'!A224</f>
        <v>0</v>
      </c>
      <c r="B224" s="35">
        <f>'Profit &amp; Loss'!B224</f>
        <v>0</v>
      </c>
      <c r="C224" s="36"/>
      <c r="D224" s="33"/>
      <c r="E224" s="33"/>
      <c r="F224" s="101"/>
      <c r="G224" s="102">
        <f t="shared" si="14"/>
        <v>0</v>
      </c>
      <c r="H224" s="103" t="str">
        <f t="shared" si="0"/>
        <v>0 tubes and 0 shuttles</v>
      </c>
      <c r="I224" s="36">
        <f t="shared" si="15"/>
        <v>0</v>
      </c>
      <c r="J224" s="104" t="str">
        <f t="shared" si="1"/>
        <v>0 tubes and 0 shuttles</v>
      </c>
      <c r="K224" s="36">
        <f t="shared" si="16"/>
        <v>0</v>
      </c>
      <c r="L224" s="103" t="str">
        <f t="shared" si="2"/>
        <v>0 tubes and 0 shuttles</v>
      </c>
      <c r="M224" s="105">
        <f t="shared" si="17"/>
        <v>0</v>
      </c>
      <c r="N224" s="103" t="str">
        <f t="shared" si="3"/>
        <v>0 tubes and 0 shuttles</v>
      </c>
      <c r="O224" s="36">
        <f t="shared" si="4"/>
        <v>0</v>
      </c>
      <c r="P224" s="103" t="str">
        <f t="shared" si="5"/>
        <v>0 tubes and 0 shuttles</v>
      </c>
    </row>
    <row r="225" spans="1:16" ht="12.5" x14ac:dyDescent="0.25">
      <c r="A225" s="32">
        <f>'Profit &amp; Loss'!A225</f>
        <v>0</v>
      </c>
      <c r="B225" s="35">
        <f>'Profit &amp; Loss'!B225</f>
        <v>0</v>
      </c>
      <c r="C225" s="36"/>
      <c r="D225" s="33"/>
      <c r="E225" s="33"/>
      <c r="F225" s="101"/>
      <c r="G225" s="102">
        <f t="shared" si="14"/>
        <v>0</v>
      </c>
      <c r="H225" s="103" t="str">
        <f t="shared" si="0"/>
        <v>0 tubes and 0 shuttles</v>
      </c>
      <c r="I225" s="36">
        <f t="shared" si="15"/>
        <v>0</v>
      </c>
      <c r="J225" s="104" t="str">
        <f t="shared" si="1"/>
        <v>0 tubes and 0 shuttles</v>
      </c>
      <c r="K225" s="36">
        <f t="shared" si="16"/>
        <v>0</v>
      </c>
      <c r="L225" s="103" t="str">
        <f t="shared" si="2"/>
        <v>0 tubes and 0 shuttles</v>
      </c>
      <c r="M225" s="105">
        <f t="shared" si="17"/>
        <v>0</v>
      </c>
      <c r="N225" s="103" t="str">
        <f t="shared" si="3"/>
        <v>0 tubes and 0 shuttles</v>
      </c>
      <c r="O225" s="36">
        <f t="shared" si="4"/>
        <v>0</v>
      </c>
      <c r="P225" s="103" t="str">
        <f t="shared" si="5"/>
        <v>0 tubes and 0 shuttles</v>
      </c>
    </row>
    <row r="226" spans="1:16" ht="12.5" x14ac:dyDescent="0.25">
      <c r="A226" s="32">
        <f>'Profit &amp; Loss'!A226</f>
        <v>0</v>
      </c>
      <c r="B226" s="35">
        <f>'Profit &amp; Loss'!B226</f>
        <v>0</v>
      </c>
      <c r="C226" s="36"/>
      <c r="D226" s="33"/>
      <c r="E226" s="33"/>
      <c r="F226" s="101"/>
      <c r="G226" s="102">
        <f t="shared" si="14"/>
        <v>0</v>
      </c>
      <c r="H226" s="103" t="str">
        <f t="shared" si="0"/>
        <v>0 tubes and 0 shuttles</v>
      </c>
      <c r="I226" s="36">
        <f t="shared" si="15"/>
        <v>0</v>
      </c>
      <c r="J226" s="104" t="str">
        <f t="shared" si="1"/>
        <v>0 tubes and 0 shuttles</v>
      </c>
      <c r="K226" s="36">
        <f t="shared" si="16"/>
        <v>0</v>
      </c>
      <c r="L226" s="103" t="str">
        <f t="shared" si="2"/>
        <v>0 tubes and 0 shuttles</v>
      </c>
      <c r="M226" s="105">
        <f t="shared" si="17"/>
        <v>0</v>
      </c>
      <c r="N226" s="103" t="str">
        <f t="shared" si="3"/>
        <v>0 tubes and 0 shuttles</v>
      </c>
      <c r="O226" s="36">
        <f t="shared" si="4"/>
        <v>0</v>
      </c>
      <c r="P226" s="103" t="str">
        <f t="shared" si="5"/>
        <v>0 tubes and 0 shuttles</v>
      </c>
    </row>
    <row r="227" spans="1:16" ht="12.5" x14ac:dyDescent="0.25">
      <c r="A227" s="32">
        <f>'Profit &amp; Loss'!A227</f>
        <v>0</v>
      </c>
      <c r="B227" s="35">
        <f>'Profit &amp; Loss'!B227</f>
        <v>0</v>
      </c>
      <c r="C227" s="36"/>
      <c r="D227" s="33"/>
      <c r="E227" s="33"/>
      <c r="F227" s="101"/>
      <c r="G227" s="102">
        <f t="shared" si="14"/>
        <v>0</v>
      </c>
      <c r="H227" s="103" t="str">
        <f t="shared" si="0"/>
        <v>0 tubes and 0 shuttles</v>
      </c>
      <c r="I227" s="36">
        <f t="shared" si="15"/>
        <v>0</v>
      </c>
      <c r="J227" s="104" t="str">
        <f t="shared" si="1"/>
        <v>0 tubes and 0 shuttles</v>
      </c>
      <c r="K227" s="36">
        <f t="shared" si="16"/>
        <v>0</v>
      </c>
      <c r="L227" s="103" t="str">
        <f t="shared" si="2"/>
        <v>0 tubes and 0 shuttles</v>
      </c>
      <c r="M227" s="105">
        <f t="shared" si="17"/>
        <v>0</v>
      </c>
      <c r="N227" s="103" t="str">
        <f t="shared" si="3"/>
        <v>0 tubes and 0 shuttles</v>
      </c>
      <c r="O227" s="36">
        <f t="shared" si="4"/>
        <v>0</v>
      </c>
      <c r="P227" s="103" t="str">
        <f t="shared" si="5"/>
        <v>0 tubes and 0 shuttles</v>
      </c>
    </row>
    <row r="228" spans="1:16" ht="12.5" x14ac:dyDescent="0.25">
      <c r="A228" s="32">
        <f>'Profit &amp; Loss'!A228</f>
        <v>0</v>
      </c>
      <c r="B228" s="35">
        <f>'Profit &amp; Loss'!B228</f>
        <v>0</v>
      </c>
      <c r="C228" s="36"/>
      <c r="D228" s="33"/>
      <c r="E228" s="33"/>
      <c r="F228" s="101"/>
      <c r="G228" s="102">
        <f t="shared" si="14"/>
        <v>0</v>
      </c>
      <c r="H228" s="103" t="str">
        <f t="shared" si="0"/>
        <v>0 tubes and 0 shuttles</v>
      </c>
      <c r="I228" s="36">
        <f t="shared" si="15"/>
        <v>0</v>
      </c>
      <c r="J228" s="104" t="str">
        <f t="shared" si="1"/>
        <v>0 tubes and 0 shuttles</v>
      </c>
      <c r="K228" s="36">
        <f t="shared" si="16"/>
        <v>0</v>
      </c>
      <c r="L228" s="103" t="str">
        <f t="shared" si="2"/>
        <v>0 tubes and 0 shuttles</v>
      </c>
      <c r="M228" s="105">
        <f t="shared" si="17"/>
        <v>0</v>
      </c>
      <c r="N228" s="103" t="str">
        <f t="shared" si="3"/>
        <v>0 tubes and 0 shuttles</v>
      </c>
      <c r="O228" s="36">
        <f t="shared" si="4"/>
        <v>0</v>
      </c>
      <c r="P228" s="103" t="str">
        <f t="shared" si="5"/>
        <v>0 tubes and 0 shuttles</v>
      </c>
    </row>
    <row r="229" spans="1:16" ht="12.5" x14ac:dyDescent="0.25">
      <c r="A229" s="32">
        <f>'Profit &amp; Loss'!A229</f>
        <v>0</v>
      </c>
      <c r="B229" s="35">
        <f>'Profit &amp; Loss'!B229</f>
        <v>0</v>
      </c>
      <c r="C229" s="36"/>
      <c r="D229" s="33"/>
      <c r="E229" s="33"/>
      <c r="F229" s="101"/>
      <c r="G229" s="102">
        <f t="shared" si="14"/>
        <v>0</v>
      </c>
      <c r="H229" s="103" t="str">
        <f t="shared" si="0"/>
        <v>0 tubes and 0 shuttles</v>
      </c>
      <c r="I229" s="36">
        <f t="shared" si="15"/>
        <v>0</v>
      </c>
      <c r="J229" s="104" t="str">
        <f t="shared" si="1"/>
        <v>0 tubes and 0 shuttles</v>
      </c>
      <c r="K229" s="36">
        <f t="shared" si="16"/>
        <v>0</v>
      </c>
      <c r="L229" s="103" t="str">
        <f t="shared" si="2"/>
        <v>0 tubes and 0 shuttles</v>
      </c>
      <c r="M229" s="105">
        <f t="shared" si="17"/>
        <v>0</v>
      </c>
      <c r="N229" s="103" t="str">
        <f t="shared" si="3"/>
        <v>0 tubes and 0 shuttles</v>
      </c>
      <c r="O229" s="36">
        <f t="shared" si="4"/>
        <v>0</v>
      </c>
      <c r="P229" s="103" t="str">
        <f t="shared" si="5"/>
        <v>0 tubes and 0 shuttles</v>
      </c>
    </row>
    <row r="230" spans="1:16" ht="12.5" x14ac:dyDescent="0.25">
      <c r="A230" s="32">
        <f>'Profit &amp; Loss'!A230</f>
        <v>0</v>
      </c>
      <c r="B230" s="35">
        <f>'Profit &amp; Loss'!B230</f>
        <v>0</v>
      </c>
      <c r="C230" s="36"/>
      <c r="D230" s="33"/>
      <c r="E230" s="33"/>
      <c r="F230" s="101"/>
      <c r="G230" s="102">
        <f t="shared" si="14"/>
        <v>0</v>
      </c>
      <c r="H230" s="103" t="str">
        <f t="shared" si="0"/>
        <v>0 tubes and 0 shuttles</v>
      </c>
      <c r="I230" s="36">
        <f t="shared" si="15"/>
        <v>0</v>
      </c>
      <c r="J230" s="104" t="str">
        <f t="shared" si="1"/>
        <v>0 tubes and 0 shuttles</v>
      </c>
      <c r="K230" s="36">
        <f t="shared" si="16"/>
        <v>0</v>
      </c>
      <c r="L230" s="103" t="str">
        <f t="shared" si="2"/>
        <v>0 tubes and 0 shuttles</v>
      </c>
      <c r="M230" s="105">
        <f t="shared" si="17"/>
        <v>0</v>
      </c>
      <c r="N230" s="103" t="str">
        <f t="shared" si="3"/>
        <v>0 tubes and 0 shuttles</v>
      </c>
      <c r="O230" s="36">
        <f t="shared" si="4"/>
        <v>0</v>
      </c>
      <c r="P230" s="103" t="str">
        <f t="shared" si="5"/>
        <v>0 tubes and 0 shuttles</v>
      </c>
    </row>
    <row r="231" spans="1:16" ht="12.5" x14ac:dyDescent="0.25">
      <c r="A231" s="32">
        <f>'Profit &amp; Loss'!A231</f>
        <v>0</v>
      </c>
      <c r="B231" s="35">
        <f>'Profit &amp; Loss'!B231</f>
        <v>0</v>
      </c>
      <c r="C231" s="36"/>
      <c r="D231" s="33"/>
      <c r="E231" s="33"/>
      <c r="F231" s="101"/>
      <c r="G231" s="102">
        <f t="shared" si="14"/>
        <v>0</v>
      </c>
      <c r="H231" s="103" t="str">
        <f t="shared" si="0"/>
        <v>0 tubes and 0 shuttles</v>
      </c>
      <c r="I231" s="36">
        <f t="shared" si="15"/>
        <v>0</v>
      </c>
      <c r="J231" s="104" t="str">
        <f t="shared" si="1"/>
        <v>0 tubes and 0 shuttles</v>
      </c>
      <c r="K231" s="36">
        <f t="shared" si="16"/>
        <v>0</v>
      </c>
      <c r="L231" s="103" t="str">
        <f t="shared" si="2"/>
        <v>0 tubes and 0 shuttles</v>
      </c>
      <c r="M231" s="105">
        <f t="shared" si="17"/>
        <v>0</v>
      </c>
      <c r="N231" s="103" t="str">
        <f t="shared" si="3"/>
        <v>0 tubes and 0 shuttles</v>
      </c>
      <c r="O231" s="36">
        <f t="shared" si="4"/>
        <v>0</v>
      </c>
      <c r="P231" s="103" t="str">
        <f t="shared" si="5"/>
        <v>0 tubes and 0 shuttles</v>
      </c>
    </row>
    <row r="232" spans="1:16" ht="12.5" x14ac:dyDescent="0.25">
      <c r="A232" s="32">
        <f>'Profit &amp; Loss'!A232</f>
        <v>0</v>
      </c>
      <c r="B232" s="35">
        <f>'Profit &amp; Loss'!B232</f>
        <v>0</v>
      </c>
      <c r="C232" s="36"/>
      <c r="D232" s="33"/>
      <c r="E232" s="33"/>
      <c r="F232" s="101"/>
      <c r="G232" s="102">
        <f t="shared" si="14"/>
        <v>0</v>
      </c>
      <c r="H232" s="103" t="str">
        <f t="shared" si="0"/>
        <v>0 tubes and 0 shuttles</v>
      </c>
      <c r="I232" s="36">
        <f t="shared" si="15"/>
        <v>0</v>
      </c>
      <c r="J232" s="104" t="str">
        <f t="shared" si="1"/>
        <v>0 tubes and 0 shuttles</v>
      </c>
      <c r="K232" s="36">
        <f t="shared" si="16"/>
        <v>0</v>
      </c>
      <c r="L232" s="103" t="str">
        <f t="shared" si="2"/>
        <v>0 tubes and 0 shuttles</v>
      </c>
      <c r="M232" s="105">
        <f t="shared" si="17"/>
        <v>0</v>
      </c>
      <c r="N232" s="103" t="str">
        <f t="shared" si="3"/>
        <v>0 tubes and 0 shuttles</v>
      </c>
      <c r="O232" s="36">
        <f t="shared" si="4"/>
        <v>0</v>
      </c>
      <c r="P232" s="103" t="str">
        <f t="shared" si="5"/>
        <v>0 tubes and 0 shuttles</v>
      </c>
    </row>
    <row r="233" spans="1:16" ht="12.5" x14ac:dyDescent="0.25">
      <c r="A233" s="32">
        <f>'Profit &amp; Loss'!A233</f>
        <v>0</v>
      </c>
      <c r="B233" s="35">
        <f>'Profit &amp; Loss'!B233</f>
        <v>0</v>
      </c>
      <c r="C233" s="36"/>
      <c r="D233" s="33"/>
      <c r="E233" s="33"/>
      <c r="F233" s="101"/>
      <c r="G233" s="102">
        <f t="shared" si="14"/>
        <v>0</v>
      </c>
      <c r="H233" s="103" t="str">
        <f t="shared" si="0"/>
        <v>0 tubes and 0 shuttles</v>
      </c>
      <c r="I233" s="36">
        <f t="shared" si="15"/>
        <v>0</v>
      </c>
      <c r="J233" s="104" t="str">
        <f t="shared" si="1"/>
        <v>0 tubes and 0 shuttles</v>
      </c>
      <c r="K233" s="36">
        <f t="shared" si="16"/>
        <v>0</v>
      </c>
      <c r="L233" s="103" t="str">
        <f t="shared" si="2"/>
        <v>0 tubes and 0 shuttles</v>
      </c>
      <c r="M233" s="105">
        <f t="shared" si="17"/>
        <v>0</v>
      </c>
      <c r="N233" s="103" t="str">
        <f t="shared" si="3"/>
        <v>0 tubes and 0 shuttles</v>
      </c>
      <c r="O233" s="36">
        <f t="shared" si="4"/>
        <v>0</v>
      </c>
      <c r="P233" s="103" t="str">
        <f t="shared" si="5"/>
        <v>0 tubes and 0 shuttles</v>
      </c>
    </row>
    <row r="234" spans="1:16" ht="12.5" x14ac:dyDescent="0.25">
      <c r="A234" s="32">
        <f>'Profit &amp; Loss'!A234</f>
        <v>0</v>
      </c>
      <c r="B234" s="35">
        <f>'Profit &amp; Loss'!B234</f>
        <v>0</v>
      </c>
      <c r="C234" s="36"/>
      <c r="D234" s="33"/>
      <c r="E234" s="33"/>
      <c r="F234" s="101"/>
      <c r="G234" s="102">
        <f t="shared" si="14"/>
        <v>0</v>
      </c>
      <c r="H234" s="103" t="str">
        <f t="shared" si="0"/>
        <v>0 tubes and 0 shuttles</v>
      </c>
      <c r="I234" s="36">
        <f t="shared" si="15"/>
        <v>0</v>
      </c>
      <c r="J234" s="104" t="str">
        <f t="shared" si="1"/>
        <v>0 tubes and 0 shuttles</v>
      </c>
      <c r="K234" s="36">
        <f t="shared" si="16"/>
        <v>0</v>
      </c>
      <c r="L234" s="103" t="str">
        <f t="shared" si="2"/>
        <v>0 tubes and 0 shuttles</v>
      </c>
      <c r="M234" s="105">
        <f t="shared" si="17"/>
        <v>0</v>
      </c>
      <c r="N234" s="103" t="str">
        <f t="shared" si="3"/>
        <v>0 tubes and 0 shuttles</v>
      </c>
      <c r="O234" s="36">
        <f t="shared" si="4"/>
        <v>0</v>
      </c>
      <c r="P234" s="103" t="str">
        <f t="shared" si="5"/>
        <v>0 tubes and 0 shuttles</v>
      </c>
    </row>
    <row r="235" spans="1:16" ht="12.5" x14ac:dyDescent="0.25">
      <c r="A235" s="32">
        <f>'Profit &amp; Loss'!A235</f>
        <v>0</v>
      </c>
      <c r="B235" s="35">
        <f>'Profit &amp; Loss'!B235</f>
        <v>0</v>
      </c>
      <c r="C235" s="36"/>
      <c r="D235" s="33"/>
      <c r="E235" s="33"/>
      <c r="F235" s="101"/>
      <c r="G235" s="102">
        <f t="shared" si="14"/>
        <v>0</v>
      </c>
      <c r="H235" s="103" t="str">
        <f t="shared" si="0"/>
        <v>0 tubes and 0 shuttles</v>
      </c>
      <c r="I235" s="36">
        <f t="shared" si="15"/>
        <v>0</v>
      </c>
      <c r="J235" s="104" t="str">
        <f t="shared" si="1"/>
        <v>0 tubes and 0 shuttles</v>
      </c>
      <c r="K235" s="36">
        <f t="shared" si="16"/>
        <v>0</v>
      </c>
      <c r="L235" s="103" t="str">
        <f t="shared" si="2"/>
        <v>0 tubes and 0 shuttles</v>
      </c>
      <c r="M235" s="105">
        <f t="shared" si="17"/>
        <v>0</v>
      </c>
      <c r="N235" s="103" t="str">
        <f t="shared" si="3"/>
        <v>0 tubes and 0 shuttles</v>
      </c>
      <c r="O235" s="36">
        <f t="shared" si="4"/>
        <v>0</v>
      </c>
      <c r="P235" s="103" t="str">
        <f t="shared" si="5"/>
        <v>0 tubes and 0 shuttles</v>
      </c>
    </row>
    <row r="236" spans="1:16" ht="12.5" x14ac:dyDescent="0.25">
      <c r="A236" s="32">
        <f>'Profit &amp; Loss'!A236</f>
        <v>0</v>
      </c>
      <c r="B236" s="35">
        <f>'Profit &amp; Loss'!B236</f>
        <v>0</v>
      </c>
      <c r="C236" s="36"/>
      <c r="D236" s="33"/>
      <c r="E236" s="33"/>
      <c r="F236" s="101"/>
      <c r="G236" s="102">
        <f t="shared" si="14"/>
        <v>0</v>
      </c>
      <c r="H236" s="103" t="str">
        <f t="shared" si="0"/>
        <v>0 tubes and 0 shuttles</v>
      </c>
      <c r="I236" s="36">
        <f t="shared" si="15"/>
        <v>0</v>
      </c>
      <c r="J236" s="104" t="str">
        <f t="shared" si="1"/>
        <v>0 tubes and 0 shuttles</v>
      </c>
      <c r="K236" s="36">
        <f t="shared" si="16"/>
        <v>0</v>
      </c>
      <c r="L236" s="103" t="str">
        <f t="shared" si="2"/>
        <v>0 tubes and 0 shuttles</v>
      </c>
      <c r="M236" s="105">
        <f t="shared" si="17"/>
        <v>0</v>
      </c>
      <c r="N236" s="103" t="str">
        <f t="shared" si="3"/>
        <v>0 tubes and 0 shuttles</v>
      </c>
      <c r="O236" s="36">
        <f t="shared" si="4"/>
        <v>0</v>
      </c>
      <c r="P236" s="103" t="str">
        <f t="shared" si="5"/>
        <v>0 tubes and 0 shuttles</v>
      </c>
    </row>
    <row r="237" spans="1:16" ht="12.5" x14ac:dyDescent="0.25">
      <c r="A237" s="32">
        <f>'Profit &amp; Loss'!A237</f>
        <v>0</v>
      </c>
      <c r="B237" s="35">
        <f>'Profit &amp; Loss'!B237</f>
        <v>0</v>
      </c>
      <c r="C237" s="36"/>
      <c r="D237" s="33"/>
      <c r="E237" s="33"/>
      <c r="F237" s="101"/>
      <c r="G237" s="102">
        <f t="shared" si="14"/>
        <v>0</v>
      </c>
      <c r="H237" s="103" t="str">
        <f t="shared" si="0"/>
        <v>0 tubes and 0 shuttles</v>
      </c>
      <c r="I237" s="36">
        <f t="shared" si="15"/>
        <v>0</v>
      </c>
      <c r="J237" s="104" t="str">
        <f t="shared" si="1"/>
        <v>0 tubes and 0 shuttles</v>
      </c>
      <c r="K237" s="36">
        <f t="shared" si="16"/>
        <v>0</v>
      </c>
      <c r="L237" s="103" t="str">
        <f t="shared" si="2"/>
        <v>0 tubes and 0 shuttles</v>
      </c>
      <c r="M237" s="105">
        <f t="shared" si="17"/>
        <v>0</v>
      </c>
      <c r="N237" s="103" t="str">
        <f t="shared" si="3"/>
        <v>0 tubes and 0 shuttles</v>
      </c>
      <c r="O237" s="36">
        <f t="shared" si="4"/>
        <v>0</v>
      </c>
      <c r="P237" s="103" t="str">
        <f t="shared" si="5"/>
        <v>0 tubes and 0 shuttles</v>
      </c>
    </row>
    <row r="238" spans="1:16" ht="12.5" x14ac:dyDescent="0.25">
      <c r="A238" s="32">
        <f>'Profit &amp; Loss'!A238</f>
        <v>0</v>
      </c>
      <c r="B238" s="35">
        <f>'Profit &amp; Loss'!B238</f>
        <v>0</v>
      </c>
      <c r="C238" s="36"/>
      <c r="D238" s="33"/>
      <c r="E238" s="33"/>
      <c r="F238" s="101"/>
      <c r="G238" s="102">
        <f t="shared" si="14"/>
        <v>0</v>
      </c>
      <c r="H238" s="103" t="str">
        <f t="shared" si="0"/>
        <v>0 tubes and 0 shuttles</v>
      </c>
      <c r="I238" s="36">
        <f t="shared" si="15"/>
        <v>0</v>
      </c>
      <c r="J238" s="104" t="str">
        <f t="shared" si="1"/>
        <v>0 tubes and 0 shuttles</v>
      </c>
      <c r="K238" s="36">
        <f t="shared" si="16"/>
        <v>0</v>
      </c>
      <c r="L238" s="103" t="str">
        <f t="shared" si="2"/>
        <v>0 tubes and 0 shuttles</v>
      </c>
      <c r="M238" s="105">
        <f t="shared" si="17"/>
        <v>0</v>
      </c>
      <c r="N238" s="103" t="str">
        <f t="shared" si="3"/>
        <v>0 tubes and 0 shuttles</v>
      </c>
      <c r="O238" s="36">
        <f t="shared" si="4"/>
        <v>0</v>
      </c>
      <c r="P238" s="103" t="str">
        <f t="shared" si="5"/>
        <v>0 tubes and 0 shuttles</v>
      </c>
    </row>
    <row r="239" spans="1:16" ht="12.5" x14ac:dyDescent="0.25">
      <c r="A239" s="32">
        <f>'Profit &amp; Loss'!A239</f>
        <v>0</v>
      </c>
      <c r="B239" s="35">
        <f>'Profit &amp; Loss'!B239</f>
        <v>0</v>
      </c>
      <c r="C239" s="36"/>
      <c r="D239" s="33"/>
      <c r="E239" s="33"/>
      <c r="F239" s="101"/>
      <c r="G239" s="102">
        <f t="shared" si="14"/>
        <v>0</v>
      </c>
      <c r="H239" s="103" t="str">
        <f t="shared" si="0"/>
        <v>0 tubes and 0 shuttles</v>
      </c>
      <c r="I239" s="36">
        <f t="shared" si="15"/>
        <v>0</v>
      </c>
      <c r="J239" s="104" t="str">
        <f t="shared" si="1"/>
        <v>0 tubes and 0 shuttles</v>
      </c>
      <c r="K239" s="36">
        <f t="shared" si="16"/>
        <v>0</v>
      </c>
      <c r="L239" s="103" t="str">
        <f t="shared" si="2"/>
        <v>0 tubes and 0 shuttles</v>
      </c>
      <c r="M239" s="105">
        <f t="shared" si="17"/>
        <v>0</v>
      </c>
      <c r="N239" s="103" t="str">
        <f t="shared" si="3"/>
        <v>0 tubes and 0 shuttles</v>
      </c>
      <c r="O239" s="36">
        <f t="shared" si="4"/>
        <v>0</v>
      </c>
      <c r="P239" s="103" t="str">
        <f t="shared" si="5"/>
        <v>0 tubes and 0 shuttles</v>
      </c>
    </row>
    <row r="240" spans="1:16" ht="12.5" x14ac:dyDescent="0.25">
      <c r="A240" s="32">
        <f>'Profit &amp; Loss'!A240</f>
        <v>0</v>
      </c>
      <c r="B240" s="35">
        <f>'Profit &amp; Loss'!B240</f>
        <v>0</v>
      </c>
      <c r="C240" s="36"/>
      <c r="D240" s="33"/>
      <c r="E240" s="33"/>
      <c r="F240" s="101"/>
      <c r="G240" s="102">
        <f t="shared" si="14"/>
        <v>0</v>
      </c>
      <c r="H240" s="103" t="str">
        <f t="shared" si="0"/>
        <v>0 tubes and 0 shuttles</v>
      </c>
      <c r="I240" s="36">
        <f t="shared" si="15"/>
        <v>0</v>
      </c>
      <c r="J240" s="104" t="str">
        <f t="shared" si="1"/>
        <v>0 tubes and 0 shuttles</v>
      </c>
      <c r="K240" s="36">
        <f t="shared" si="16"/>
        <v>0</v>
      </c>
      <c r="L240" s="103" t="str">
        <f t="shared" si="2"/>
        <v>0 tubes and 0 shuttles</v>
      </c>
      <c r="M240" s="105">
        <f t="shared" si="17"/>
        <v>0</v>
      </c>
      <c r="N240" s="103" t="str">
        <f t="shared" si="3"/>
        <v>0 tubes and 0 shuttles</v>
      </c>
      <c r="O240" s="36">
        <f t="shared" si="4"/>
        <v>0</v>
      </c>
      <c r="P240" s="103" t="str">
        <f t="shared" si="5"/>
        <v>0 tubes and 0 shuttles</v>
      </c>
    </row>
    <row r="241" spans="1:16" ht="12.5" x14ac:dyDescent="0.25">
      <c r="A241" s="32">
        <f>'Profit &amp; Loss'!A241</f>
        <v>0</v>
      </c>
      <c r="B241" s="35">
        <f>'Profit &amp; Loss'!B241</f>
        <v>0</v>
      </c>
      <c r="C241" s="36"/>
      <c r="D241" s="33"/>
      <c r="E241" s="33"/>
      <c r="F241" s="101"/>
      <c r="G241" s="102">
        <f t="shared" si="14"/>
        <v>0</v>
      </c>
      <c r="H241" s="103" t="str">
        <f t="shared" si="0"/>
        <v>0 tubes and 0 shuttles</v>
      </c>
      <c r="I241" s="36">
        <f t="shared" si="15"/>
        <v>0</v>
      </c>
      <c r="J241" s="104" t="str">
        <f t="shared" si="1"/>
        <v>0 tubes and 0 shuttles</v>
      </c>
      <c r="K241" s="36">
        <f t="shared" si="16"/>
        <v>0</v>
      </c>
      <c r="L241" s="103" t="str">
        <f t="shared" si="2"/>
        <v>0 tubes and 0 shuttles</v>
      </c>
      <c r="M241" s="105">
        <f t="shared" si="17"/>
        <v>0</v>
      </c>
      <c r="N241" s="103" t="str">
        <f t="shared" si="3"/>
        <v>0 tubes and 0 shuttles</v>
      </c>
      <c r="O241" s="36">
        <f t="shared" si="4"/>
        <v>0</v>
      </c>
      <c r="P241" s="103" t="str">
        <f t="shared" si="5"/>
        <v>0 tubes and 0 shuttles</v>
      </c>
    </row>
    <row r="242" spans="1:16" ht="12.5" x14ac:dyDescent="0.25">
      <c r="A242" s="32">
        <f>'Profit &amp; Loss'!A242</f>
        <v>0</v>
      </c>
      <c r="B242" s="35">
        <f>'Profit &amp; Loss'!B242</f>
        <v>0</v>
      </c>
      <c r="C242" s="36"/>
      <c r="D242" s="33"/>
      <c r="E242" s="33"/>
      <c r="F242" s="101"/>
      <c r="G242" s="102">
        <f t="shared" si="14"/>
        <v>0</v>
      </c>
      <c r="H242" s="103" t="str">
        <f t="shared" si="0"/>
        <v>0 tubes and 0 shuttles</v>
      </c>
      <c r="I242" s="36">
        <f t="shared" si="15"/>
        <v>0</v>
      </c>
      <c r="J242" s="104" t="str">
        <f t="shared" si="1"/>
        <v>0 tubes and 0 shuttles</v>
      </c>
      <c r="K242" s="36">
        <f t="shared" si="16"/>
        <v>0</v>
      </c>
      <c r="L242" s="103" t="str">
        <f t="shared" si="2"/>
        <v>0 tubes and 0 shuttles</v>
      </c>
      <c r="M242" s="105">
        <f t="shared" si="17"/>
        <v>0</v>
      </c>
      <c r="N242" s="103" t="str">
        <f t="shared" si="3"/>
        <v>0 tubes and 0 shuttles</v>
      </c>
      <c r="O242" s="36">
        <f t="shared" si="4"/>
        <v>0</v>
      </c>
      <c r="P242" s="103" t="str">
        <f t="shared" si="5"/>
        <v>0 tubes and 0 shuttles</v>
      </c>
    </row>
    <row r="243" spans="1:16" ht="12.5" x14ac:dyDescent="0.25">
      <c r="A243" s="32">
        <f>'Profit &amp; Loss'!A243</f>
        <v>0</v>
      </c>
      <c r="B243" s="35">
        <f>'Profit &amp; Loss'!B243</f>
        <v>0</v>
      </c>
      <c r="C243" s="36"/>
      <c r="D243" s="33"/>
      <c r="E243" s="33"/>
      <c r="F243" s="101"/>
      <c r="G243" s="102">
        <f t="shared" si="14"/>
        <v>0</v>
      </c>
      <c r="H243" s="103" t="str">
        <f t="shared" si="0"/>
        <v>0 tubes and 0 shuttles</v>
      </c>
      <c r="I243" s="36">
        <f t="shared" si="15"/>
        <v>0</v>
      </c>
      <c r="J243" s="104" t="str">
        <f t="shared" si="1"/>
        <v>0 tubes and 0 shuttles</v>
      </c>
      <c r="K243" s="36">
        <f t="shared" si="16"/>
        <v>0</v>
      </c>
      <c r="L243" s="103" t="str">
        <f t="shared" si="2"/>
        <v>0 tubes and 0 shuttles</v>
      </c>
      <c r="M243" s="105">
        <f t="shared" si="17"/>
        <v>0</v>
      </c>
      <c r="N243" s="103" t="str">
        <f t="shared" si="3"/>
        <v>0 tubes and 0 shuttles</v>
      </c>
      <c r="O243" s="36">
        <f t="shared" si="4"/>
        <v>0</v>
      </c>
      <c r="P243" s="103" t="str">
        <f t="shared" si="5"/>
        <v>0 tubes and 0 shuttles</v>
      </c>
    </row>
    <row r="244" spans="1:16" ht="12.5" x14ac:dyDescent="0.25">
      <c r="A244" s="32">
        <f>'Profit &amp; Loss'!A244</f>
        <v>0</v>
      </c>
      <c r="B244" s="35">
        <f>'Profit &amp; Loss'!B244</f>
        <v>0</v>
      </c>
      <c r="C244" s="36"/>
      <c r="D244" s="33"/>
      <c r="E244" s="33"/>
      <c r="F244" s="101"/>
      <c r="G244" s="102">
        <f t="shared" si="14"/>
        <v>0</v>
      </c>
      <c r="H244" s="103" t="str">
        <f t="shared" si="0"/>
        <v>0 tubes and 0 shuttles</v>
      </c>
      <c r="I244" s="36">
        <f t="shared" si="15"/>
        <v>0</v>
      </c>
      <c r="J244" s="104" t="str">
        <f t="shared" si="1"/>
        <v>0 tubes and 0 shuttles</v>
      </c>
      <c r="K244" s="36">
        <f t="shared" si="16"/>
        <v>0</v>
      </c>
      <c r="L244" s="103" t="str">
        <f t="shared" si="2"/>
        <v>0 tubes and 0 shuttles</v>
      </c>
      <c r="M244" s="105">
        <f t="shared" si="17"/>
        <v>0</v>
      </c>
      <c r="N244" s="103" t="str">
        <f t="shared" si="3"/>
        <v>0 tubes and 0 shuttles</v>
      </c>
      <c r="O244" s="36">
        <f t="shared" si="4"/>
        <v>0</v>
      </c>
      <c r="P244" s="103" t="str">
        <f t="shared" si="5"/>
        <v>0 tubes and 0 shuttles</v>
      </c>
    </row>
    <row r="245" spans="1:16" ht="12.5" x14ac:dyDescent="0.25">
      <c r="A245" s="32">
        <f>'Profit &amp; Loss'!A245</f>
        <v>0</v>
      </c>
      <c r="B245" s="35">
        <f>'Profit &amp; Loss'!B245</f>
        <v>0</v>
      </c>
      <c r="C245" s="36"/>
      <c r="D245" s="33"/>
      <c r="E245" s="33"/>
      <c r="F245" s="101"/>
      <c r="G245" s="102">
        <f t="shared" si="14"/>
        <v>0</v>
      </c>
      <c r="H245" s="103" t="str">
        <f t="shared" si="0"/>
        <v>0 tubes and 0 shuttles</v>
      </c>
      <c r="I245" s="36">
        <f t="shared" si="15"/>
        <v>0</v>
      </c>
      <c r="J245" s="104" t="str">
        <f t="shared" si="1"/>
        <v>0 tubes and 0 shuttles</v>
      </c>
      <c r="K245" s="36">
        <f t="shared" si="16"/>
        <v>0</v>
      </c>
      <c r="L245" s="103" t="str">
        <f t="shared" si="2"/>
        <v>0 tubes and 0 shuttles</v>
      </c>
      <c r="M245" s="105">
        <f t="shared" si="17"/>
        <v>0</v>
      </c>
      <c r="N245" s="103" t="str">
        <f t="shared" si="3"/>
        <v>0 tubes and 0 shuttles</v>
      </c>
      <c r="O245" s="36">
        <f t="shared" si="4"/>
        <v>0</v>
      </c>
      <c r="P245" s="103" t="str">
        <f t="shared" si="5"/>
        <v>0 tubes and 0 shuttles</v>
      </c>
    </row>
    <row r="246" spans="1:16" ht="12.5" x14ac:dyDescent="0.25">
      <c r="A246" s="32">
        <f>'Profit &amp; Loss'!A246</f>
        <v>0</v>
      </c>
      <c r="B246" s="35">
        <f>'Profit &amp; Loss'!B246</f>
        <v>0</v>
      </c>
      <c r="C246" s="36"/>
      <c r="D246" s="33"/>
      <c r="E246" s="33"/>
      <c r="F246" s="101"/>
      <c r="G246" s="102">
        <f t="shared" si="14"/>
        <v>0</v>
      </c>
      <c r="H246" s="103" t="str">
        <f t="shared" si="0"/>
        <v>0 tubes and 0 shuttles</v>
      </c>
      <c r="I246" s="36">
        <f t="shared" si="15"/>
        <v>0</v>
      </c>
      <c r="J246" s="104" t="str">
        <f t="shared" si="1"/>
        <v>0 tubes and 0 shuttles</v>
      </c>
      <c r="K246" s="36">
        <f t="shared" si="16"/>
        <v>0</v>
      </c>
      <c r="L246" s="103" t="str">
        <f t="shared" si="2"/>
        <v>0 tubes and 0 shuttles</v>
      </c>
      <c r="M246" s="105">
        <f t="shared" si="17"/>
        <v>0</v>
      </c>
      <c r="N246" s="103" t="str">
        <f t="shared" si="3"/>
        <v>0 tubes and 0 shuttles</v>
      </c>
      <c r="O246" s="36">
        <f t="shared" si="4"/>
        <v>0</v>
      </c>
      <c r="P246" s="103" t="str">
        <f t="shared" si="5"/>
        <v>0 tubes and 0 shuttles</v>
      </c>
    </row>
    <row r="247" spans="1:16" ht="12.5" x14ac:dyDescent="0.25">
      <c r="A247" s="32">
        <f>'Profit &amp; Loss'!A247</f>
        <v>0</v>
      </c>
      <c r="B247" s="35">
        <f>'Profit &amp; Loss'!B247</f>
        <v>0</v>
      </c>
      <c r="C247" s="36"/>
      <c r="D247" s="33"/>
      <c r="E247" s="33"/>
      <c r="F247" s="101"/>
      <c r="G247" s="102">
        <f t="shared" si="14"/>
        <v>0</v>
      </c>
      <c r="H247" s="103" t="str">
        <f t="shared" si="0"/>
        <v>0 tubes and 0 shuttles</v>
      </c>
      <c r="I247" s="36">
        <f t="shared" si="15"/>
        <v>0</v>
      </c>
      <c r="J247" s="104" t="str">
        <f t="shared" si="1"/>
        <v>0 tubes and 0 shuttles</v>
      </c>
      <c r="K247" s="36">
        <f t="shared" si="16"/>
        <v>0</v>
      </c>
      <c r="L247" s="103" t="str">
        <f t="shared" si="2"/>
        <v>0 tubes and 0 shuttles</v>
      </c>
      <c r="M247" s="105">
        <f t="shared" si="17"/>
        <v>0</v>
      </c>
      <c r="N247" s="103" t="str">
        <f t="shared" si="3"/>
        <v>0 tubes and 0 shuttles</v>
      </c>
      <c r="O247" s="36">
        <f t="shared" si="4"/>
        <v>0</v>
      </c>
      <c r="P247" s="103" t="str">
        <f t="shared" si="5"/>
        <v>0 tubes and 0 shuttles</v>
      </c>
    </row>
    <row r="248" spans="1:16" ht="12.5" x14ac:dyDescent="0.25">
      <c r="A248" s="32">
        <f>'Profit &amp; Loss'!A248</f>
        <v>0</v>
      </c>
      <c r="B248" s="35">
        <f>'Profit &amp; Loss'!B248</f>
        <v>0</v>
      </c>
      <c r="C248" s="36"/>
      <c r="D248" s="33"/>
      <c r="E248" s="33"/>
      <c r="F248" s="101"/>
      <c r="G248" s="102">
        <f t="shared" si="14"/>
        <v>0</v>
      </c>
      <c r="H248" s="103" t="str">
        <f t="shared" si="0"/>
        <v>0 tubes and 0 shuttles</v>
      </c>
      <c r="I248" s="36">
        <f t="shared" si="15"/>
        <v>0</v>
      </c>
      <c r="J248" s="104" t="str">
        <f t="shared" si="1"/>
        <v>0 tubes and 0 shuttles</v>
      </c>
      <c r="K248" s="36">
        <f t="shared" si="16"/>
        <v>0</v>
      </c>
      <c r="L248" s="103" t="str">
        <f t="shared" si="2"/>
        <v>0 tubes and 0 shuttles</v>
      </c>
      <c r="M248" s="105">
        <f t="shared" si="17"/>
        <v>0</v>
      </c>
      <c r="N248" s="103" t="str">
        <f t="shared" si="3"/>
        <v>0 tubes and 0 shuttles</v>
      </c>
      <c r="O248" s="36">
        <f t="shared" si="4"/>
        <v>0</v>
      </c>
      <c r="P248" s="103" t="str">
        <f t="shared" si="5"/>
        <v>0 tubes and 0 shuttles</v>
      </c>
    </row>
    <row r="249" spans="1:16" ht="12.5" x14ac:dyDescent="0.25">
      <c r="A249" s="32">
        <f>'Profit &amp; Loss'!A249</f>
        <v>0</v>
      </c>
      <c r="B249" s="35">
        <f>'Profit &amp; Loss'!B249</f>
        <v>0</v>
      </c>
      <c r="C249" s="36"/>
      <c r="D249" s="33"/>
      <c r="E249" s="33"/>
      <c r="F249" s="101"/>
      <c r="G249" s="102">
        <f t="shared" si="14"/>
        <v>0</v>
      </c>
      <c r="H249" s="103" t="str">
        <f t="shared" si="0"/>
        <v>0 tubes and 0 shuttles</v>
      </c>
      <c r="I249" s="36">
        <f t="shared" si="15"/>
        <v>0</v>
      </c>
      <c r="J249" s="104" t="str">
        <f t="shared" si="1"/>
        <v>0 tubes and 0 shuttles</v>
      </c>
      <c r="K249" s="36">
        <f t="shared" si="16"/>
        <v>0</v>
      </c>
      <c r="L249" s="103" t="str">
        <f t="shared" si="2"/>
        <v>0 tubes and 0 shuttles</v>
      </c>
      <c r="M249" s="105">
        <f t="shared" si="17"/>
        <v>0</v>
      </c>
      <c r="N249" s="103" t="str">
        <f t="shared" si="3"/>
        <v>0 tubes and 0 shuttles</v>
      </c>
      <c r="O249" s="36">
        <f t="shared" si="4"/>
        <v>0</v>
      </c>
      <c r="P249" s="103" t="str">
        <f t="shared" si="5"/>
        <v>0 tubes and 0 shuttles</v>
      </c>
    </row>
    <row r="250" spans="1:16" ht="12.5" x14ac:dyDescent="0.25">
      <c r="A250" s="32">
        <f>'Profit &amp; Loss'!A250</f>
        <v>0</v>
      </c>
      <c r="B250" s="35">
        <f>'Profit &amp; Loss'!B250</f>
        <v>0</v>
      </c>
      <c r="C250" s="36"/>
      <c r="D250" s="33"/>
      <c r="E250" s="33"/>
      <c r="F250" s="101"/>
      <c r="G250" s="102">
        <f t="shared" si="14"/>
        <v>0</v>
      </c>
      <c r="H250" s="103" t="str">
        <f t="shared" si="0"/>
        <v>0 tubes and 0 shuttles</v>
      </c>
      <c r="I250" s="36">
        <f t="shared" si="15"/>
        <v>0</v>
      </c>
      <c r="J250" s="104" t="str">
        <f t="shared" si="1"/>
        <v>0 tubes and 0 shuttles</v>
      </c>
      <c r="K250" s="36">
        <f t="shared" si="16"/>
        <v>0</v>
      </c>
      <c r="L250" s="103" t="str">
        <f t="shared" si="2"/>
        <v>0 tubes and 0 shuttles</v>
      </c>
      <c r="M250" s="105">
        <f t="shared" si="17"/>
        <v>0</v>
      </c>
      <c r="N250" s="103" t="str">
        <f t="shared" si="3"/>
        <v>0 tubes and 0 shuttles</v>
      </c>
      <c r="O250" s="36">
        <f t="shared" si="4"/>
        <v>0</v>
      </c>
      <c r="P250" s="103" t="str">
        <f t="shared" si="5"/>
        <v>0 tubes and 0 shuttles</v>
      </c>
    </row>
    <row r="251" spans="1:16" ht="12.5" x14ac:dyDescent="0.25">
      <c r="A251" s="32">
        <f>'Profit &amp; Loss'!A251</f>
        <v>0</v>
      </c>
      <c r="B251" s="35">
        <f>'Profit &amp; Loss'!B251</f>
        <v>0</v>
      </c>
      <c r="C251" s="36"/>
      <c r="D251" s="33"/>
      <c r="E251" s="33"/>
      <c r="F251" s="101"/>
      <c r="G251" s="102">
        <f t="shared" si="14"/>
        <v>0</v>
      </c>
      <c r="H251" s="103" t="str">
        <f t="shared" si="0"/>
        <v>0 tubes and 0 shuttles</v>
      </c>
      <c r="I251" s="36">
        <f t="shared" si="15"/>
        <v>0</v>
      </c>
      <c r="J251" s="104" t="str">
        <f t="shared" si="1"/>
        <v>0 tubes and 0 shuttles</v>
      </c>
      <c r="K251" s="36">
        <f t="shared" si="16"/>
        <v>0</v>
      </c>
      <c r="L251" s="103" t="str">
        <f t="shared" si="2"/>
        <v>0 tubes and 0 shuttles</v>
      </c>
      <c r="M251" s="105">
        <f t="shared" si="17"/>
        <v>0</v>
      </c>
      <c r="N251" s="103" t="str">
        <f t="shared" si="3"/>
        <v>0 tubes and 0 shuttles</v>
      </c>
      <c r="O251" s="36">
        <f t="shared" si="4"/>
        <v>0</v>
      </c>
      <c r="P251" s="103" t="str">
        <f t="shared" si="5"/>
        <v>0 tubes and 0 shuttles</v>
      </c>
    </row>
    <row r="252" spans="1:16" ht="12.5" x14ac:dyDescent="0.25">
      <c r="A252" s="32">
        <f>'Profit &amp; Loss'!A252</f>
        <v>0</v>
      </c>
      <c r="B252" s="35">
        <f>'Profit &amp; Loss'!B252</f>
        <v>0</v>
      </c>
      <c r="C252" s="36"/>
      <c r="D252" s="33"/>
      <c r="E252" s="33"/>
      <c r="F252" s="101"/>
      <c r="G252" s="102">
        <f t="shared" si="14"/>
        <v>0</v>
      </c>
      <c r="H252" s="103" t="str">
        <f t="shared" si="0"/>
        <v>0 tubes and 0 shuttles</v>
      </c>
      <c r="I252" s="36">
        <f t="shared" si="15"/>
        <v>0</v>
      </c>
      <c r="J252" s="104" t="str">
        <f t="shared" si="1"/>
        <v>0 tubes and 0 shuttles</v>
      </c>
      <c r="K252" s="36">
        <f t="shared" si="16"/>
        <v>0</v>
      </c>
      <c r="L252" s="103" t="str">
        <f t="shared" si="2"/>
        <v>0 tubes and 0 shuttles</v>
      </c>
      <c r="M252" s="105">
        <f t="shared" si="17"/>
        <v>0</v>
      </c>
      <c r="N252" s="103" t="str">
        <f t="shared" si="3"/>
        <v>0 tubes and 0 shuttles</v>
      </c>
      <c r="O252" s="36">
        <f t="shared" si="4"/>
        <v>0</v>
      </c>
      <c r="P252" s="103" t="str">
        <f t="shared" si="5"/>
        <v>0 tubes and 0 shuttles</v>
      </c>
    </row>
    <row r="253" spans="1:16" ht="12.5" x14ac:dyDescent="0.25">
      <c r="A253" s="32">
        <f>'Profit &amp; Loss'!A253</f>
        <v>0</v>
      </c>
      <c r="B253" s="35">
        <f>'Profit &amp; Loss'!B253</f>
        <v>0</v>
      </c>
      <c r="C253" s="36"/>
      <c r="D253" s="33"/>
      <c r="E253" s="33"/>
      <c r="F253" s="101"/>
      <c r="G253" s="102">
        <f t="shared" si="14"/>
        <v>0</v>
      </c>
      <c r="H253" s="103" t="str">
        <f t="shared" si="0"/>
        <v>0 tubes and 0 shuttles</v>
      </c>
      <c r="I253" s="36">
        <f t="shared" si="15"/>
        <v>0</v>
      </c>
      <c r="J253" s="104" t="str">
        <f t="shared" si="1"/>
        <v>0 tubes and 0 shuttles</v>
      </c>
      <c r="K253" s="36">
        <f t="shared" si="16"/>
        <v>0</v>
      </c>
      <c r="L253" s="103" t="str">
        <f t="shared" si="2"/>
        <v>0 tubes and 0 shuttles</v>
      </c>
      <c r="M253" s="105">
        <f t="shared" si="17"/>
        <v>0</v>
      </c>
      <c r="N253" s="103" t="str">
        <f t="shared" si="3"/>
        <v>0 tubes and 0 shuttles</v>
      </c>
      <c r="O253" s="36">
        <f t="shared" si="4"/>
        <v>0</v>
      </c>
      <c r="P253" s="103" t="str">
        <f t="shared" si="5"/>
        <v>0 tubes and 0 shuttles</v>
      </c>
    </row>
    <row r="254" spans="1:16" ht="12.5" x14ac:dyDescent="0.25">
      <c r="A254" s="32">
        <f>'Profit &amp; Loss'!A254</f>
        <v>0</v>
      </c>
      <c r="B254" s="35">
        <f>'Profit &amp; Loss'!B254</f>
        <v>0</v>
      </c>
      <c r="C254" s="36"/>
      <c r="D254" s="33"/>
      <c r="E254" s="33"/>
      <c r="F254" s="101"/>
      <c r="G254" s="102">
        <f t="shared" si="14"/>
        <v>0</v>
      </c>
      <c r="H254" s="103" t="str">
        <f t="shared" si="0"/>
        <v>0 tubes and 0 shuttles</v>
      </c>
      <c r="I254" s="36">
        <f t="shared" si="15"/>
        <v>0</v>
      </c>
      <c r="J254" s="104" t="str">
        <f t="shared" si="1"/>
        <v>0 tubes and 0 shuttles</v>
      </c>
      <c r="K254" s="36">
        <f t="shared" si="16"/>
        <v>0</v>
      </c>
      <c r="L254" s="103" t="str">
        <f t="shared" si="2"/>
        <v>0 tubes and 0 shuttles</v>
      </c>
      <c r="M254" s="105">
        <f t="shared" si="17"/>
        <v>0</v>
      </c>
      <c r="N254" s="103" t="str">
        <f t="shared" si="3"/>
        <v>0 tubes and 0 shuttles</v>
      </c>
      <c r="O254" s="36">
        <f t="shared" si="4"/>
        <v>0</v>
      </c>
      <c r="P254" s="103" t="str">
        <f t="shared" si="5"/>
        <v>0 tubes and 0 shuttles</v>
      </c>
    </row>
    <row r="255" spans="1:16" ht="12.5" x14ac:dyDescent="0.25">
      <c r="A255" s="32">
        <f>'Profit &amp; Loss'!A255</f>
        <v>0</v>
      </c>
      <c r="B255" s="35">
        <f>'Profit &amp; Loss'!B255</f>
        <v>0</v>
      </c>
      <c r="C255" s="36"/>
      <c r="D255" s="33"/>
      <c r="E255" s="33"/>
      <c r="F255" s="101"/>
      <c r="G255" s="102">
        <f t="shared" si="14"/>
        <v>0</v>
      </c>
      <c r="H255" s="103" t="str">
        <f t="shared" si="0"/>
        <v>0 tubes and 0 shuttles</v>
      </c>
      <c r="I255" s="36">
        <f t="shared" si="15"/>
        <v>0</v>
      </c>
      <c r="J255" s="104" t="str">
        <f t="shared" si="1"/>
        <v>0 tubes and 0 shuttles</v>
      </c>
      <c r="K255" s="36">
        <f t="shared" si="16"/>
        <v>0</v>
      </c>
      <c r="L255" s="103" t="str">
        <f t="shared" si="2"/>
        <v>0 tubes and 0 shuttles</v>
      </c>
      <c r="M255" s="105">
        <f t="shared" si="17"/>
        <v>0</v>
      </c>
      <c r="N255" s="103" t="str">
        <f t="shared" si="3"/>
        <v>0 tubes and 0 shuttles</v>
      </c>
      <c r="O255" s="36">
        <f t="shared" si="4"/>
        <v>0</v>
      </c>
      <c r="P255" s="103" t="str">
        <f t="shared" si="5"/>
        <v>0 tubes and 0 shuttles</v>
      </c>
    </row>
    <row r="256" spans="1:16" ht="12.5" x14ac:dyDescent="0.25">
      <c r="A256" s="32">
        <f>'Profit &amp; Loss'!A256</f>
        <v>0</v>
      </c>
      <c r="B256" s="35">
        <f>'Profit &amp; Loss'!B256</f>
        <v>0</v>
      </c>
      <c r="C256" s="36"/>
      <c r="D256" s="33"/>
      <c r="E256" s="33"/>
      <c r="F256" s="101"/>
      <c r="G256" s="102">
        <f t="shared" si="14"/>
        <v>0</v>
      </c>
      <c r="H256" s="103" t="str">
        <f t="shared" si="0"/>
        <v>0 tubes and 0 shuttles</v>
      </c>
      <c r="I256" s="36">
        <f t="shared" si="15"/>
        <v>0</v>
      </c>
      <c r="J256" s="104" t="str">
        <f t="shared" si="1"/>
        <v>0 tubes and 0 shuttles</v>
      </c>
      <c r="K256" s="36">
        <f t="shared" si="16"/>
        <v>0</v>
      </c>
      <c r="L256" s="103" t="str">
        <f t="shared" si="2"/>
        <v>0 tubes and 0 shuttles</v>
      </c>
      <c r="M256" s="105">
        <f t="shared" si="17"/>
        <v>0</v>
      </c>
      <c r="N256" s="103" t="str">
        <f t="shared" si="3"/>
        <v>0 tubes and 0 shuttles</v>
      </c>
      <c r="O256" s="36">
        <f t="shared" si="4"/>
        <v>0</v>
      </c>
      <c r="P256" s="103" t="str">
        <f t="shared" si="5"/>
        <v>0 tubes and 0 shuttles</v>
      </c>
    </row>
    <row r="257" spans="1:16" ht="12.5" x14ac:dyDescent="0.25">
      <c r="A257" s="32">
        <f>'Profit &amp; Loss'!A257</f>
        <v>0</v>
      </c>
      <c r="B257" s="35">
        <f>'Profit &amp; Loss'!B257</f>
        <v>0</v>
      </c>
      <c r="C257" s="36"/>
      <c r="D257" s="33"/>
      <c r="E257" s="33"/>
      <c r="F257" s="101"/>
      <c r="G257" s="102">
        <f t="shared" si="14"/>
        <v>0</v>
      </c>
      <c r="H257" s="103" t="str">
        <f t="shared" si="0"/>
        <v>0 tubes and 0 shuttles</v>
      </c>
      <c r="I257" s="36">
        <f t="shared" si="15"/>
        <v>0</v>
      </c>
      <c r="J257" s="104" t="str">
        <f t="shared" si="1"/>
        <v>0 tubes and 0 shuttles</v>
      </c>
      <c r="K257" s="36">
        <f t="shared" si="16"/>
        <v>0</v>
      </c>
      <c r="L257" s="103" t="str">
        <f t="shared" si="2"/>
        <v>0 tubes and 0 shuttles</v>
      </c>
      <c r="M257" s="105">
        <f t="shared" si="17"/>
        <v>0</v>
      </c>
      <c r="N257" s="103" t="str">
        <f t="shared" si="3"/>
        <v>0 tubes and 0 shuttles</v>
      </c>
      <c r="O257" s="36">
        <f t="shared" si="4"/>
        <v>0</v>
      </c>
      <c r="P257" s="103" t="str">
        <f t="shared" si="5"/>
        <v>0 tubes and 0 shuttles</v>
      </c>
    </row>
    <row r="258" spans="1:16" ht="12.5" x14ac:dyDescent="0.25">
      <c r="A258" s="32">
        <f>'Profit &amp; Loss'!A258</f>
        <v>0</v>
      </c>
      <c r="B258" s="35">
        <f>'Profit &amp; Loss'!B258</f>
        <v>0</v>
      </c>
      <c r="C258" s="36"/>
      <c r="D258" s="33"/>
      <c r="E258" s="33"/>
      <c r="F258" s="101"/>
      <c r="G258" s="102">
        <f t="shared" si="14"/>
        <v>0</v>
      </c>
      <c r="H258" s="103" t="str">
        <f t="shared" si="0"/>
        <v>0 tubes and 0 shuttles</v>
      </c>
      <c r="I258" s="36">
        <f t="shared" si="15"/>
        <v>0</v>
      </c>
      <c r="J258" s="104" t="str">
        <f t="shared" si="1"/>
        <v>0 tubes and 0 shuttles</v>
      </c>
      <c r="K258" s="36">
        <f t="shared" si="16"/>
        <v>0</v>
      </c>
      <c r="L258" s="103" t="str">
        <f t="shared" si="2"/>
        <v>0 tubes and 0 shuttles</v>
      </c>
      <c r="M258" s="105">
        <f t="shared" si="17"/>
        <v>0</v>
      </c>
      <c r="N258" s="103" t="str">
        <f t="shared" si="3"/>
        <v>0 tubes and 0 shuttles</v>
      </c>
      <c r="O258" s="36">
        <f t="shared" si="4"/>
        <v>0</v>
      </c>
      <c r="P258" s="103" t="str">
        <f t="shared" si="5"/>
        <v>0 tubes and 0 shuttles</v>
      </c>
    </row>
    <row r="259" spans="1:16" ht="12.5" x14ac:dyDescent="0.25">
      <c r="A259" s="32">
        <f>'Profit &amp; Loss'!A259</f>
        <v>0</v>
      </c>
      <c r="B259" s="35">
        <f>'Profit &amp; Loss'!B259</f>
        <v>0</v>
      </c>
      <c r="C259" s="36"/>
      <c r="D259" s="33"/>
      <c r="E259" s="33"/>
      <c r="F259" s="101"/>
      <c r="G259" s="102">
        <f t="shared" si="14"/>
        <v>0</v>
      </c>
      <c r="H259" s="103" t="str">
        <f t="shared" si="0"/>
        <v>0 tubes and 0 shuttles</v>
      </c>
      <c r="I259" s="36">
        <f t="shared" si="15"/>
        <v>0</v>
      </c>
      <c r="J259" s="104" t="str">
        <f t="shared" si="1"/>
        <v>0 tubes and 0 shuttles</v>
      </c>
      <c r="K259" s="36">
        <f t="shared" si="16"/>
        <v>0</v>
      </c>
      <c r="L259" s="103" t="str">
        <f t="shared" si="2"/>
        <v>0 tubes and 0 shuttles</v>
      </c>
      <c r="M259" s="105">
        <f t="shared" si="17"/>
        <v>0</v>
      </c>
      <c r="N259" s="103" t="str">
        <f t="shared" si="3"/>
        <v>0 tubes and 0 shuttles</v>
      </c>
      <c r="O259" s="36">
        <f t="shared" si="4"/>
        <v>0</v>
      </c>
      <c r="P259" s="103" t="str">
        <f t="shared" si="5"/>
        <v>0 tubes and 0 shuttles</v>
      </c>
    </row>
    <row r="260" spans="1:16" ht="12.5" x14ac:dyDescent="0.25">
      <c r="A260" s="32">
        <f>'Profit &amp; Loss'!A260</f>
        <v>0</v>
      </c>
      <c r="B260" s="35">
        <f>'Profit &amp; Loss'!B260</f>
        <v>0</v>
      </c>
      <c r="C260" s="36"/>
      <c r="D260" s="33"/>
      <c r="E260" s="33"/>
      <c r="F260" s="101"/>
      <c r="G260" s="102">
        <f t="shared" si="14"/>
        <v>0</v>
      </c>
      <c r="H260" s="103" t="str">
        <f t="shared" si="0"/>
        <v>0 tubes and 0 shuttles</v>
      </c>
      <c r="I260" s="36">
        <f t="shared" si="15"/>
        <v>0</v>
      </c>
      <c r="J260" s="104" t="str">
        <f t="shared" si="1"/>
        <v>0 tubes and 0 shuttles</v>
      </c>
      <c r="K260" s="36">
        <f t="shared" si="16"/>
        <v>0</v>
      </c>
      <c r="L260" s="103" t="str">
        <f t="shared" si="2"/>
        <v>0 tubes and 0 shuttles</v>
      </c>
      <c r="M260" s="105">
        <f t="shared" si="17"/>
        <v>0</v>
      </c>
      <c r="N260" s="103" t="str">
        <f t="shared" si="3"/>
        <v>0 tubes and 0 shuttles</v>
      </c>
      <c r="O260" s="36">
        <f t="shared" si="4"/>
        <v>0</v>
      </c>
      <c r="P260" s="103" t="str">
        <f t="shared" si="5"/>
        <v>0 tubes and 0 shuttles</v>
      </c>
    </row>
    <row r="261" spans="1:16" ht="12.5" x14ac:dyDescent="0.25">
      <c r="A261" s="32">
        <f>'Profit &amp; Loss'!A261</f>
        <v>0</v>
      </c>
      <c r="B261" s="35">
        <f>'Profit &amp; Loss'!B261</f>
        <v>0</v>
      </c>
      <c r="C261" s="36"/>
      <c r="D261" s="33"/>
      <c r="E261" s="33"/>
      <c r="F261" s="101"/>
      <c r="G261" s="102">
        <f t="shared" si="14"/>
        <v>0</v>
      </c>
      <c r="H261" s="103" t="str">
        <f t="shared" ref="H261:H515" si="18">QUOTIENT(G261,12) &amp; " tubes and " &amp; MOD(G261,12) &amp; " shuttles"</f>
        <v>0 tubes and 0 shuttles</v>
      </c>
      <c r="I261" s="36">
        <f t="shared" si="15"/>
        <v>0</v>
      </c>
      <c r="J261" s="104" t="str">
        <f t="shared" ref="J261:J515" si="19">QUOTIENT(I261,12) &amp; " tubes and " &amp; MOD(I261,12) &amp; " shuttles"</f>
        <v>0 tubes and 0 shuttles</v>
      </c>
      <c r="K261" s="36">
        <f t="shared" si="16"/>
        <v>0</v>
      </c>
      <c r="L261" s="103" t="str">
        <f t="shared" ref="L261:L515" si="20">QUOTIENT(K261,12) &amp; " tubes and " &amp; MOD(K261,12) &amp; " shuttles"</f>
        <v>0 tubes and 0 shuttles</v>
      </c>
      <c r="M261" s="105">
        <f t="shared" si="17"/>
        <v>0</v>
      </c>
      <c r="N261" s="103" t="str">
        <f t="shared" ref="N261:N515" si="21">QUOTIENT(M261,12) &amp; " tubes and " &amp; MOD(M261,12) &amp; " shuttles"</f>
        <v>0 tubes and 0 shuttles</v>
      </c>
      <c r="O261" s="36">
        <f t="shared" ref="O261:O515" si="22">SUM(G261:M261)</f>
        <v>0</v>
      </c>
      <c r="P261" s="103" t="str">
        <f t="shared" ref="P261:P515" si="23">QUOTIENT(O261,12) &amp; " tubes and " &amp; MOD(O261,12) &amp; " shuttles"</f>
        <v>0 tubes and 0 shuttles</v>
      </c>
    </row>
    <row r="262" spans="1:16" ht="12.5" x14ac:dyDescent="0.25">
      <c r="A262" s="32">
        <f>'Profit &amp; Loss'!A262</f>
        <v>0</v>
      </c>
      <c r="B262" s="35">
        <f>'Profit &amp; Loss'!B262</f>
        <v>0</v>
      </c>
      <c r="C262" s="36"/>
      <c r="D262" s="33"/>
      <c r="E262" s="33"/>
      <c r="F262" s="101"/>
      <c r="G262" s="102">
        <f t="shared" si="14"/>
        <v>0</v>
      </c>
      <c r="H262" s="103" t="str">
        <f t="shared" si="18"/>
        <v>0 tubes and 0 shuttles</v>
      </c>
      <c r="I262" s="36">
        <f t="shared" si="15"/>
        <v>0</v>
      </c>
      <c r="J262" s="104" t="str">
        <f t="shared" si="19"/>
        <v>0 tubes and 0 shuttles</v>
      </c>
      <c r="K262" s="36">
        <f t="shared" si="16"/>
        <v>0</v>
      </c>
      <c r="L262" s="103" t="str">
        <f t="shared" si="20"/>
        <v>0 tubes and 0 shuttles</v>
      </c>
      <c r="M262" s="105">
        <f t="shared" si="17"/>
        <v>0</v>
      </c>
      <c r="N262" s="103" t="str">
        <f t="shared" si="21"/>
        <v>0 tubes and 0 shuttles</v>
      </c>
      <c r="O262" s="36">
        <f t="shared" si="22"/>
        <v>0</v>
      </c>
      <c r="P262" s="103" t="str">
        <f t="shared" si="23"/>
        <v>0 tubes and 0 shuttles</v>
      </c>
    </row>
    <row r="263" spans="1:16" ht="12.5" x14ac:dyDescent="0.25">
      <c r="A263" s="32">
        <f>'Profit &amp; Loss'!A263</f>
        <v>0</v>
      </c>
      <c r="B263" s="35">
        <f>'Profit &amp; Loss'!B263</f>
        <v>0</v>
      </c>
      <c r="C263" s="36"/>
      <c r="D263" s="33"/>
      <c r="E263" s="33"/>
      <c r="F263" s="101"/>
      <c r="G263" s="102">
        <f t="shared" si="14"/>
        <v>0</v>
      </c>
      <c r="H263" s="103" t="str">
        <f t="shared" si="18"/>
        <v>0 tubes and 0 shuttles</v>
      </c>
      <c r="I263" s="36">
        <f t="shared" si="15"/>
        <v>0</v>
      </c>
      <c r="J263" s="104" t="str">
        <f t="shared" si="19"/>
        <v>0 tubes and 0 shuttles</v>
      </c>
      <c r="K263" s="36">
        <f t="shared" si="16"/>
        <v>0</v>
      </c>
      <c r="L263" s="103" t="str">
        <f t="shared" si="20"/>
        <v>0 tubes and 0 shuttles</v>
      </c>
      <c r="M263" s="105">
        <f t="shared" si="17"/>
        <v>0</v>
      </c>
      <c r="N263" s="103" t="str">
        <f t="shared" si="21"/>
        <v>0 tubes and 0 shuttles</v>
      </c>
      <c r="O263" s="36">
        <f t="shared" si="22"/>
        <v>0</v>
      </c>
      <c r="P263" s="103" t="str">
        <f t="shared" si="23"/>
        <v>0 tubes and 0 shuttles</v>
      </c>
    </row>
    <row r="264" spans="1:16" ht="12.5" x14ac:dyDescent="0.25">
      <c r="A264" s="32">
        <f>'Profit &amp; Loss'!A264</f>
        <v>0</v>
      </c>
      <c r="B264" s="35">
        <f>'Profit &amp; Loss'!B264</f>
        <v>0</v>
      </c>
      <c r="C264" s="36"/>
      <c r="D264" s="33"/>
      <c r="E264" s="33"/>
      <c r="F264" s="101"/>
      <c r="G264" s="102">
        <f t="shared" si="14"/>
        <v>0</v>
      </c>
      <c r="H264" s="103" t="str">
        <f t="shared" si="18"/>
        <v>0 tubes and 0 shuttles</v>
      </c>
      <c r="I264" s="36">
        <f t="shared" si="15"/>
        <v>0</v>
      </c>
      <c r="J264" s="104" t="str">
        <f t="shared" si="19"/>
        <v>0 tubes and 0 shuttles</v>
      </c>
      <c r="K264" s="36">
        <f t="shared" si="16"/>
        <v>0</v>
      </c>
      <c r="L264" s="103" t="str">
        <f t="shared" si="20"/>
        <v>0 tubes and 0 shuttles</v>
      </c>
      <c r="M264" s="105">
        <f t="shared" si="17"/>
        <v>0</v>
      </c>
      <c r="N264" s="103" t="str">
        <f t="shared" si="21"/>
        <v>0 tubes and 0 shuttles</v>
      </c>
      <c r="O264" s="36">
        <f t="shared" si="22"/>
        <v>0</v>
      </c>
      <c r="P264" s="103" t="str">
        <f t="shared" si="23"/>
        <v>0 tubes and 0 shuttles</v>
      </c>
    </row>
    <row r="265" spans="1:16" ht="12.5" x14ac:dyDescent="0.25">
      <c r="A265" s="32">
        <f>'Profit &amp; Loss'!A265</f>
        <v>0</v>
      </c>
      <c r="B265" s="35">
        <f>'Profit &amp; Loss'!B265</f>
        <v>0</v>
      </c>
      <c r="C265" s="36"/>
      <c r="D265" s="33"/>
      <c r="E265" s="33"/>
      <c r="F265" s="101"/>
      <c r="G265" s="102">
        <f t="shared" si="14"/>
        <v>0</v>
      </c>
      <c r="H265" s="103" t="str">
        <f t="shared" si="18"/>
        <v>0 tubes and 0 shuttles</v>
      </c>
      <c r="I265" s="36">
        <f t="shared" si="15"/>
        <v>0</v>
      </c>
      <c r="J265" s="104" t="str">
        <f t="shared" si="19"/>
        <v>0 tubes and 0 shuttles</v>
      </c>
      <c r="K265" s="36">
        <f t="shared" si="16"/>
        <v>0</v>
      </c>
      <c r="L265" s="103" t="str">
        <f t="shared" si="20"/>
        <v>0 tubes and 0 shuttles</v>
      </c>
      <c r="M265" s="105">
        <f t="shared" si="17"/>
        <v>0</v>
      </c>
      <c r="N265" s="103" t="str">
        <f t="shared" si="21"/>
        <v>0 tubes and 0 shuttles</v>
      </c>
      <c r="O265" s="36">
        <f t="shared" si="22"/>
        <v>0</v>
      </c>
      <c r="P265" s="103" t="str">
        <f t="shared" si="23"/>
        <v>0 tubes and 0 shuttles</v>
      </c>
    </row>
    <row r="266" spans="1:16" ht="12.5" x14ac:dyDescent="0.25">
      <c r="A266" s="32">
        <f>'Profit &amp; Loss'!A266</f>
        <v>0</v>
      </c>
      <c r="B266" s="35">
        <f>'Profit &amp; Loss'!B266</f>
        <v>0</v>
      </c>
      <c r="C266" s="36"/>
      <c r="D266" s="33"/>
      <c r="E266" s="33"/>
      <c r="F266" s="101"/>
      <c r="G266" s="102">
        <f t="shared" si="14"/>
        <v>0</v>
      </c>
      <c r="H266" s="103" t="str">
        <f t="shared" si="18"/>
        <v>0 tubes and 0 shuttles</v>
      </c>
      <c r="I266" s="36">
        <f t="shared" si="15"/>
        <v>0</v>
      </c>
      <c r="J266" s="104" t="str">
        <f t="shared" si="19"/>
        <v>0 tubes and 0 shuttles</v>
      </c>
      <c r="K266" s="36">
        <f t="shared" si="16"/>
        <v>0</v>
      </c>
      <c r="L266" s="103" t="str">
        <f t="shared" si="20"/>
        <v>0 tubes and 0 shuttles</v>
      </c>
      <c r="M266" s="105">
        <f t="shared" si="17"/>
        <v>0</v>
      </c>
      <c r="N266" s="103" t="str">
        <f t="shared" si="21"/>
        <v>0 tubes and 0 shuttles</v>
      </c>
      <c r="O266" s="36">
        <f t="shared" si="22"/>
        <v>0</v>
      </c>
      <c r="P266" s="103" t="str">
        <f t="shared" si="23"/>
        <v>0 tubes and 0 shuttles</v>
      </c>
    </row>
    <row r="267" spans="1:16" ht="12.5" x14ac:dyDescent="0.25">
      <c r="A267" s="32">
        <f>'Profit &amp; Loss'!A267</f>
        <v>0</v>
      </c>
      <c r="B267" s="35">
        <f>'Profit &amp; Loss'!B267</f>
        <v>0</v>
      </c>
      <c r="C267" s="36"/>
      <c r="D267" s="33"/>
      <c r="E267" s="33"/>
      <c r="F267" s="101"/>
      <c r="G267" s="102">
        <f t="shared" si="14"/>
        <v>0</v>
      </c>
      <c r="H267" s="103" t="str">
        <f t="shared" si="18"/>
        <v>0 tubes and 0 shuttles</v>
      </c>
      <c r="I267" s="36">
        <f t="shared" si="15"/>
        <v>0</v>
      </c>
      <c r="J267" s="104" t="str">
        <f t="shared" si="19"/>
        <v>0 tubes and 0 shuttles</v>
      </c>
      <c r="K267" s="36">
        <f t="shared" si="16"/>
        <v>0</v>
      </c>
      <c r="L267" s="103" t="str">
        <f t="shared" si="20"/>
        <v>0 tubes and 0 shuttles</v>
      </c>
      <c r="M267" s="105">
        <f t="shared" si="17"/>
        <v>0</v>
      </c>
      <c r="N267" s="103" t="str">
        <f t="shared" si="21"/>
        <v>0 tubes and 0 shuttles</v>
      </c>
      <c r="O267" s="36">
        <f t="shared" si="22"/>
        <v>0</v>
      </c>
      <c r="P267" s="103" t="str">
        <f t="shared" si="23"/>
        <v>0 tubes and 0 shuttles</v>
      </c>
    </row>
    <row r="268" spans="1:16" ht="12.5" x14ac:dyDescent="0.25">
      <c r="A268" s="32">
        <f>'Profit &amp; Loss'!A268</f>
        <v>0</v>
      </c>
      <c r="B268" s="35">
        <f>'Profit &amp; Loss'!B268</f>
        <v>0</v>
      </c>
      <c r="C268" s="36"/>
      <c r="D268" s="33"/>
      <c r="E268" s="33"/>
      <c r="F268" s="101"/>
      <c r="G268" s="102">
        <f t="shared" si="14"/>
        <v>0</v>
      </c>
      <c r="H268" s="103" t="str">
        <f t="shared" si="18"/>
        <v>0 tubes and 0 shuttles</v>
      </c>
      <c r="I268" s="36">
        <f t="shared" si="15"/>
        <v>0</v>
      </c>
      <c r="J268" s="104" t="str">
        <f t="shared" si="19"/>
        <v>0 tubes and 0 shuttles</v>
      </c>
      <c r="K268" s="36">
        <f t="shared" si="16"/>
        <v>0</v>
      </c>
      <c r="L268" s="103" t="str">
        <f t="shared" si="20"/>
        <v>0 tubes and 0 shuttles</v>
      </c>
      <c r="M268" s="105">
        <f t="shared" si="17"/>
        <v>0</v>
      </c>
      <c r="N268" s="103" t="str">
        <f t="shared" si="21"/>
        <v>0 tubes and 0 shuttles</v>
      </c>
      <c r="O268" s="36">
        <f t="shared" si="22"/>
        <v>0</v>
      </c>
      <c r="P268" s="103" t="str">
        <f t="shared" si="23"/>
        <v>0 tubes and 0 shuttles</v>
      </c>
    </row>
    <row r="269" spans="1:16" ht="12.5" x14ac:dyDescent="0.25">
      <c r="A269" s="32">
        <f>'Profit &amp; Loss'!A269</f>
        <v>0</v>
      </c>
      <c r="B269" s="35">
        <f>'Profit &amp; Loss'!B269</f>
        <v>0</v>
      </c>
      <c r="C269" s="36"/>
      <c r="D269" s="33"/>
      <c r="E269" s="33"/>
      <c r="F269" s="101"/>
      <c r="G269" s="102">
        <f t="shared" si="14"/>
        <v>0</v>
      </c>
      <c r="H269" s="103" t="str">
        <f t="shared" si="18"/>
        <v>0 tubes and 0 shuttles</v>
      </c>
      <c r="I269" s="36">
        <f t="shared" si="15"/>
        <v>0</v>
      </c>
      <c r="J269" s="104" t="str">
        <f t="shared" si="19"/>
        <v>0 tubes and 0 shuttles</v>
      </c>
      <c r="K269" s="36">
        <f t="shared" si="16"/>
        <v>0</v>
      </c>
      <c r="L269" s="103" t="str">
        <f t="shared" si="20"/>
        <v>0 tubes and 0 shuttles</v>
      </c>
      <c r="M269" s="105">
        <f t="shared" si="17"/>
        <v>0</v>
      </c>
      <c r="N269" s="103" t="str">
        <f t="shared" si="21"/>
        <v>0 tubes and 0 shuttles</v>
      </c>
      <c r="O269" s="36">
        <f t="shared" si="22"/>
        <v>0</v>
      </c>
      <c r="P269" s="103" t="str">
        <f t="shared" si="23"/>
        <v>0 tubes and 0 shuttles</v>
      </c>
    </row>
    <row r="270" spans="1:16" ht="12.5" x14ac:dyDescent="0.25">
      <c r="A270" s="32">
        <f>'Profit &amp; Loss'!A270</f>
        <v>0</v>
      </c>
      <c r="B270" s="35">
        <f>'Profit &amp; Loss'!B270</f>
        <v>0</v>
      </c>
      <c r="C270" s="36"/>
      <c r="D270" s="33"/>
      <c r="E270" s="33"/>
      <c r="F270" s="101"/>
      <c r="G270" s="102">
        <f t="shared" si="14"/>
        <v>0</v>
      </c>
      <c r="H270" s="103" t="str">
        <f t="shared" si="18"/>
        <v>0 tubes and 0 shuttles</v>
      </c>
      <c r="I270" s="36">
        <f t="shared" si="15"/>
        <v>0</v>
      </c>
      <c r="J270" s="104" t="str">
        <f t="shared" si="19"/>
        <v>0 tubes and 0 shuttles</v>
      </c>
      <c r="K270" s="36">
        <f t="shared" si="16"/>
        <v>0</v>
      </c>
      <c r="L270" s="103" t="str">
        <f t="shared" si="20"/>
        <v>0 tubes and 0 shuttles</v>
      </c>
      <c r="M270" s="105">
        <f t="shared" si="17"/>
        <v>0</v>
      </c>
      <c r="N270" s="103" t="str">
        <f t="shared" si="21"/>
        <v>0 tubes and 0 shuttles</v>
      </c>
      <c r="O270" s="36">
        <f t="shared" si="22"/>
        <v>0</v>
      </c>
      <c r="P270" s="103" t="str">
        <f t="shared" si="23"/>
        <v>0 tubes and 0 shuttles</v>
      </c>
    </row>
    <row r="271" spans="1:16" ht="12.5" x14ac:dyDescent="0.25">
      <c r="A271" s="32">
        <f>'Profit &amp; Loss'!A271</f>
        <v>0</v>
      </c>
      <c r="B271" s="35">
        <f>'Profit &amp; Loss'!B271</f>
        <v>0</v>
      </c>
      <c r="C271" s="36"/>
      <c r="D271" s="33"/>
      <c r="E271" s="33"/>
      <c r="F271" s="101"/>
      <c r="G271" s="102">
        <f t="shared" si="14"/>
        <v>0</v>
      </c>
      <c r="H271" s="103" t="str">
        <f t="shared" si="18"/>
        <v>0 tubes and 0 shuttles</v>
      </c>
      <c r="I271" s="36">
        <f t="shared" si="15"/>
        <v>0</v>
      </c>
      <c r="J271" s="104" t="str">
        <f t="shared" si="19"/>
        <v>0 tubes and 0 shuttles</v>
      </c>
      <c r="K271" s="36">
        <f t="shared" si="16"/>
        <v>0</v>
      </c>
      <c r="L271" s="103" t="str">
        <f t="shared" si="20"/>
        <v>0 tubes and 0 shuttles</v>
      </c>
      <c r="M271" s="105">
        <f t="shared" si="17"/>
        <v>0</v>
      </c>
      <c r="N271" s="103" t="str">
        <f t="shared" si="21"/>
        <v>0 tubes and 0 shuttles</v>
      </c>
      <c r="O271" s="36">
        <f t="shared" si="22"/>
        <v>0</v>
      </c>
      <c r="P271" s="103" t="str">
        <f t="shared" si="23"/>
        <v>0 tubes and 0 shuttles</v>
      </c>
    </row>
    <row r="272" spans="1:16" ht="12.5" x14ac:dyDescent="0.25">
      <c r="A272" s="32">
        <f>'Profit &amp; Loss'!A272</f>
        <v>0</v>
      </c>
      <c r="B272" s="35">
        <f>'Profit &amp; Loss'!B272</f>
        <v>0</v>
      </c>
      <c r="C272" s="36"/>
      <c r="D272" s="33"/>
      <c r="E272" s="33"/>
      <c r="F272" s="101"/>
      <c r="G272" s="102">
        <f t="shared" si="14"/>
        <v>0</v>
      </c>
      <c r="H272" s="103" t="str">
        <f t="shared" si="18"/>
        <v>0 tubes and 0 shuttles</v>
      </c>
      <c r="I272" s="36">
        <f t="shared" si="15"/>
        <v>0</v>
      </c>
      <c r="J272" s="104" t="str">
        <f t="shared" si="19"/>
        <v>0 tubes and 0 shuttles</v>
      </c>
      <c r="K272" s="36">
        <f t="shared" si="16"/>
        <v>0</v>
      </c>
      <c r="L272" s="103" t="str">
        <f t="shared" si="20"/>
        <v>0 tubes and 0 shuttles</v>
      </c>
      <c r="M272" s="105">
        <f t="shared" si="17"/>
        <v>0</v>
      </c>
      <c r="N272" s="103" t="str">
        <f t="shared" si="21"/>
        <v>0 tubes and 0 shuttles</v>
      </c>
      <c r="O272" s="36">
        <f t="shared" si="22"/>
        <v>0</v>
      </c>
      <c r="P272" s="103" t="str">
        <f t="shared" si="23"/>
        <v>0 tubes and 0 shuttles</v>
      </c>
    </row>
    <row r="273" spans="1:16" ht="12.5" x14ac:dyDescent="0.25">
      <c r="A273" s="32">
        <f>'Profit &amp; Loss'!A273</f>
        <v>0</v>
      </c>
      <c r="B273" s="35">
        <f>'Profit &amp; Loss'!B273</f>
        <v>0</v>
      </c>
      <c r="C273" s="36"/>
      <c r="D273" s="33"/>
      <c r="E273" s="33"/>
      <c r="F273" s="101"/>
      <c r="G273" s="102">
        <f t="shared" si="14"/>
        <v>0</v>
      </c>
      <c r="H273" s="103" t="str">
        <f t="shared" si="18"/>
        <v>0 tubes and 0 shuttles</v>
      </c>
      <c r="I273" s="36">
        <f t="shared" si="15"/>
        <v>0</v>
      </c>
      <c r="J273" s="104" t="str">
        <f t="shared" si="19"/>
        <v>0 tubes and 0 shuttles</v>
      </c>
      <c r="K273" s="36">
        <f t="shared" si="16"/>
        <v>0</v>
      </c>
      <c r="L273" s="103" t="str">
        <f t="shared" si="20"/>
        <v>0 tubes and 0 shuttles</v>
      </c>
      <c r="M273" s="105">
        <f t="shared" si="17"/>
        <v>0</v>
      </c>
      <c r="N273" s="103" t="str">
        <f t="shared" si="21"/>
        <v>0 tubes and 0 shuttles</v>
      </c>
      <c r="O273" s="36">
        <f t="shared" si="22"/>
        <v>0</v>
      </c>
      <c r="P273" s="103" t="str">
        <f t="shared" si="23"/>
        <v>0 tubes and 0 shuttles</v>
      </c>
    </row>
    <row r="274" spans="1:16" ht="12.5" x14ac:dyDescent="0.25">
      <c r="A274" s="32">
        <f>'Profit &amp; Loss'!A274</f>
        <v>0</v>
      </c>
      <c r="B274" s="35">
        <f>'Profit &amp; Loss'!B274</f>
        <v>0</v>
      </c>
      <c r="C274" s="36"/>
      <c r="D274" s="33"/>
      <c r="E274" s="33"/>
      <c r="F274" s="101"/>
      <c r="G274" s="102">
        <f t="shared" si="14"/>
        <v>0</v>
      </c>
      <c r="H274" s="103" t="str">
        <f t="shared" si="18"/>
        <v>0 tubes and 0 shuttles</v>
      </c>
      <c r="I274" s="36">
        <f t="shared" si="15"/>
        <v>0</v>
      </c>
      <c r="J274" s="104" t="str">
        <f t="shared" si="19"/>
        <v>0 tubes and 0 shuttles</v>
      </c>
      <c r="K274" s="36">
        <f t="shared" si="16"/>
        <v>0</v>
      </c>
      <c r="L274" s="103" t="str">
        <f t="shared" si="20"/>
        <v>0 tubes and 0 shuttles</v>
      </c>
      <c r="M274" s="105">
        <f t="shared" si="17"/>
        <v>0</v>
      </c>
      <c r="N274" s="103" t="str">
        <f t="shared" si="21"/>
        <v>0 tubes and 0 shuttles</v>
      </c>
      <c r="O274" s="36">
        <f t="shared" si="22"/>
        <v>0</v>
      </c>
      <c r="P274" s="103" t="str">
        <f t="shared" si="23"/>
        <v>0 tubes and 0 shuttles</v>
      </c>
    </row>
    <row r="275" spans="1:16" ht="12.5" x14ac:dyDescent="0.25">
      <c r="A275" s="32">
        <f>'Profit &amp; Loss'!A275</f>
        <v>0</v>
      </c>
      <c r="B275" s="35">
        <f>'Profit &amp; Loss'!B275</f>
        <v>0</v>
      </c>
      <c r="C275" s="36"/>
      <c r="D275" s="33"/>
      <c r="E275" s="33"/>
      <c r="F275" s="101"/>
      <c r="G275" s="102">
        <f t="shared" si="14"/>
        <v>0</v>
      </c>
      <c r="H275" s="103" t="str">
        <f t="shared" si="18"/>
        <v>0 tubes and 0 shuttles</v>
      </c>
      <c r="I275" s="36">
        <f t="shared" si="15"/>
        <v>0</v>
      </c>
      <c r="J275" s="104" t="str">
        <f t="shared" si="19"/>
        <v>0 tubes and 0 shuttles</v>
      </c>
      <c r="K275" s="36">
        <f t="shared" si="16"/>
        <v>0</v>
      </c>
      <c r="L275" s="103" t="str">
        <f t="shared" si="20"/>
        <v>0 tubes and 0 shuttles</v>
      </c>
      <c r="M275" s="105">
        <f t="shared" si="17"/>
        <v>0</v>
      </c>
      <c r="N275" s="103" t="str">
        <f t="shared" si="21"/>
        <v>0 tubes and 0 shuttles</v>
      </c>
      <c r="O275" s="36">
        <f t="shared" si="22"/>
        <v>0</v>
      </c>
      <c r="P275" s="103" t="str">
        <f t="shared" si="23"/>
        <v>0 tubes and 0 shuttles</v>
      </c>
    </row>
    <row r="276" spans="1:16" ht="12.5" x14ac:dyDescent="0.25">
      <c r="A276" s="32">
        <f>'Profit &amp; Loss'!A276</f>
        <v>0</v>
      </c>
      <c r="B276" s="35">
        <f>'Profit &amp; Loss'!B276</f>
        <v>0</v>
      </c>
      <c r="C276" s="36"/>
      <c r="D276" s="33"/>
      <c r="E276" s="33"/>
      <c r="F276" s="101"/>
      <c r="G276" s="102">
        <f t="shared" si="14"/>
        <v>0</v>
      </c>
      <c r="H276" s="103" t="str">
        <f t="shared" si="18"/>
        <v>0 tubes and 0 shuttles</v>
      </c>
      <c r="I276" s="36">
        <f t="shared" si="15"/>
        <v>0</v>
      </c>
      <c r="J276" s="104" t="str">
        <f t="shared" si="19"/>
        <v>0 tubes and 0 shuttles</v>
      </c>
      <c r="K276" s="36">
        <f t="shared" si="16"/>
        <v>0</v>
      </c>
      <c r="L276" s="103" t="str">
        <f t="shared" si="20"/>
        <v>0 tubes and 0 shuttles</v>
      </c>
      <c r="M276" s="105">
        <f t="shared" si="17"/>
        <v>0</v>
      </c>
      <c r="N276" s="103" t="str">
        <f t="shared" si="21"/>
        <v>0 tubes and 0 shuttles</v>
      </c>
      <c r="O276" s="36">
        <f t="shared" si="22"/>
        <v>0</v>
      </c>
      <c r="P276" s="103" t="str">
        <f t="shared" si="23"/>
        <v>0 tubes and 0 shuttles</v>
      </c>
    </row>
    <row r="277" spans="1:16" ht="12.5" x14ac:dyDescent="0.25">
      <c r="A277" s="32">
        <f>'Profit &amp; Loss'!A277</f>
        <v>0</v>
      </c>
      <c r="B277" s="35">
        <f>'Profit &amp; Loss'!B277</f>
        <v>0</v>
      </c>
      <c r="C277" s="36"/>
      <c r="D277" s="33"/>
      <c r="E277" s="33"/>
      <c r="F277" s="101"/>
      <c r="G277" s="102">
        <f t="shared" si="14"/>
        <v>0</v>
      </c>
      <c r="H277" s="103" t="str">
        <f t="shared" si="18"/>
        <v>0 tubes and 0 shuttles</v>
      </c>
      <c r="I277" s="36">
        <f t="shared" si="15"/>
        <v>0</v>
      </c>
      <c r="J277" s="104" t="str">
        <f t="shared" si="19"/>
        <v>0 tubes and 0 shuttles</v>
      </c>
      <c r="K277" s="36">
        <f t="shared" si="16"/>
        <v>0</v>
      </c>
      <c r="L277" s="103" t="str">
        <f t="shared" si="20"/>
        <v>0 tubes and 0 shuttles</v>
      </c>
      <c r="M277" s="105">
        <f t="shared" si="17"/>
        <v>0</v>
      </c>
      <c r="N277" s="103" t="str">
        <f t="shared" si="21"/>
        <v>0 tubes and 0 shuttles</v>
      </c>
      <c r="O277" s="36">
        <f t="shared" si="22"/>
        <v>0</v>
      </c>
      <c r="P277" s="103" t="str">
        <f t="shared" si="23"/>
        <v>0 tubes and 0 shuttles</v>
      </c>
    </row>
    <row r="278" spans="1:16" ht="12.5" x14ac:dyDescent="0.25">
      <c r="A278" s="32">
        <f>'Profit &amp; Loss'!A278</f>
        <v>0</v>
      </c>
      <c r="B278" s="35">
        <f>'Profit &amp; Loss'!B278</f>
        <v>0</v>
      </c>
      <c r="C278" s="36"/>
      <c r="D278" s="33"/>
      <c r="E278" s="33"/>
      <c r="F278" s="101"/>
      <c r="G278" s="102">
        <f t="shared" si="14"/>
        <v>0</v>
      </c>
      <c r="H278" s="103" t="str">
        <f t="shared" si="18"/>
        <v>0 tubes and 0 shuttles</v>
      </c>
      <c r="I278" s="36">
        <f t="shared" si="15"/>
        <v>0</v>
      </c>
      <c r="J278" s="104" t="str">
        <f t="shared" si="19"/>
        <v>0 tubes and 0 shuttles</v>
      </c>
      <c r="K278" s="36">
        <f t="shared" si="16"/>
        <v>0</v>
      </c>
      <c r="L278" s="103" t="str">
        <f t="shared" si="20"/>
        <v>0 tubes and 0 shuttles</v>
      </c>
      <c r="M278" s="105">
        <f t="shared" si="17"/>
        <v>0</v>
      </c>
      <c r="N278" s="103" t="str">
        <f t="shared" si="21"/>
        <v>0 tubes and 0 shuttles</v>
      </c>
      <c r="O278" s="36">
        <f t="shared" si="22"/>
        <v>0</v>
      </c>
      <c r="P278" s="103" t="str">
        <f t="shared" si="23"/>
        <v>0 tubes and 0 shuttles</v>
      </c>
    </row>
    <row r="279" spans="1:16" ht="12.5" x14ac:dyDescent="0.25">
      <c r="A279" s="32">
        <f>'Profit &amp; Loss'!A279</f>
        <v>0</v>
      </c>
      <c r="B279" s="35">
        <f>'Profit &amp; Loss'!B279</f>
        <v>0</v>
      </c>
      <c r="C279" s="36"/>
      <c r="D279" s="33"/>
      <c r="E279" s="33"/>
      <c r="F279" s="101"/>
      <c r="G279" s="102">
        <f t="shared" si="14"/>
        <v>0</v>
      </c>
      <c r="H279" s="103" t="str">
        <f t="shared" si="18"/>
        <v>0 tubes and 0 shuttles</v>
      </c>
      <c r="I279" s="36">
        <f t="shared" si="15"/>
        <v>0</v>
      </c>
      <c r="J279" s="104" t="str">
        <f t="shared" si="19"/>
        <v>0 tubes and 0 shuttles</v>
      </c>
      <c r="K279" s="36">
        <f t="shared" si="16"/>
        <v>0</v>
      </c>
      <c r="L279" s="103" t="str">
        <f t="shared" si="20"/>
        <v>0 tubes and 0 shuttles</v>
      </c>
      <c r="M279" s="105">
        <f t="shared" si="17"/>
        <v>0</v>
      </c>
      <c r="N279" s="103" t="str">
        <f t="shared" si="21"/>
        <v>0 tubes and 0 shuttles</v>
      </c>
      <c r="O279" s="36">
        <f t="shared" si="22"/>
        <v>0</v>
      </c>
      <c r="P279" s="103" t="str">
        <f t="shared" si="23"/>
        <v>0 tubes and 0 shuttles</v>
      </c>
    </row>
    <row r="280" spans="1:16" ht="12.5" x14ac:dyDescent="0.25">
      <c r="A280" s="32">
        <f>'Profit &amp; Loss'!A280</f>
        <v>0</v>
      </c>
      <c r="B280" s="35">
        <f>'Profit &amp; Loss'!B280</f>
        <v>0</v>
      </c>
      <c r="C280" s="36"/>
      <c r="D280" s="33"/>
      <c r="E280" s="33"/>
      <c r="F280" s="101"/>
      <c r="G280" s="102">
        <f t="shared" si="14"/>
        <v>0</v>
      </c>
      <c r="H280" s="103" t="str">
        <f t="shared" si="18"/>
        <v>0 tubes and 0 shuttles</v>
      </c>
      <c r="I280" s="36">
        <f t="shared" si="15"/>
        <v>0</v>
      </c>
      <c r="J280" s="104" t="str">
        <f t="shared" si="19"/>
        <v>0 tubes and 0 shuttles</v>
      </c>
      <c r="K280" s="36">
        <f t="shared" si="16"/>
        <v>0</v>
      </c>
      <c r="L280" s="103" t="str">
        <f t="shared" si="20"/>
        <v>0 tubes and 0 shuttles</v>
      </c>
      <c r="M280" s="105">
        <f t="shared" si="17"/>
        <v>0</v>
      </c>
      <c r="N280" s="103" t="str">
        <f t="shared" si="21"/>
        <v>0 tubes and 0 shuttles</v>
      </c>
      <c r="O280" s="36">
        <f t="shared" si="22"/>
        <v>0</v>
      </c>
      <c r="P280" s="103" t="str">
        <f t="shared" si="23"/>
        <v>0 tubes and 0 shuttles</v>
      </c>
    </row>
    <row r="281" spans="1:16" ht="12.5" x14ac:dyDescent="0.25">
      <c r="A281" s="32">
        <f>'Profit &amp; Loss'!A281</f>
        <v>0</v>
      </c>
      <c r="B281" s="35">
        <f>'Profit &amp; Loss'!B281</f>
        <v>0</v>
      </c>
      <c r="C281" s="36"/>
      <c r="D281" s="33"/>
      <c r="E281" s="33"/>
      <c r="F281" s="101"/>
      <c r="G281" s="102">
        <f t="shared" si="14"/>
        <v>0</v>
      </c>
      <c r="H281" s="103" t="str">
        <f t="shared" si="18"/>
        <v>0 tubes and 0 shuttles</v>
      </c>
      <c r="I281" s="36">
        <f t="shared" si="15"/>
        <v>0</v>
      </c>
      <c r="J281" s="104" t="str">
        <f t="shared" si="19"/>
        <v>0 tubes and 0 shuttles</v>
      </c>
      <c r="K281" s="36">
        <f t="shared" si="16"/>
        <v>0</v>
      </c>
      <c r="L281" s="103" t="str">
        <f t="shared" si="20"/>
        <v>0 tubes and 0 shuttles</v>
      </c>
      <c r="M281" s="105">
        <f t="shared" si="17"/>
        <v>0</v>
      </c>
      <c r="N281" s="103" t="str">
        <f t="shared" si="21"/>
        <v>0 tubes and 0 shuttles</v>
      </c>
      <c r="O281" s="36">
        <f t="shared" si="22"/>
        <v>0</v>
      </c>
      <c r="P281" s="103" t="str">
        <f t="shared" si="23"/>
        <v>0 tubes and 0 shuttles</v>
      </c>
    </row>
    <row r="282" spans="1:16" ht="12.5" x14ac:dyDescent="0.25">
      <c r="A282" s="32">
        <f>'Profit &amp; Loss'!A282</f>
        <v>0</v>
      </c>
      <c r="B282" s="35">
        <f>'Profit &amp; Loss'!B282</f>
        <v>0</v>
      </c>
      <c r="C282" s="36"/>
      <c r="D282" s="33"/>
      <c r="E282" s="33"/>
      <c r="F282" s="101"/>
      <c r="G282" s="102">
        <f t="shared" si="14"/>
        <v>0</v>
      </c>
      <c r="H282" s="103" t="str">
        <f t="shared" si="18"/>
        <v>0 tubes and 0 shuttles</v>
      </c>
      <c r="I282" s="36">
        <f t="shared" si="15"/>
        <v>0</v>
      </c>
      <c r="J282" s="104" t="str">
        <f t="shared" si="19"/>
        <v>0 tubes and 0 shuttles</v>
      </c>
      <c r="K282" s="36">
        <f t="shared" si="16"/>
        <v>0</v>
      </c>
      <c r="L282" s="103" t="str">
        <f t="shared" si="20"/>
        <v>0 tubes and 0 shuttles</v>
      </c>
      <c r="M282" s="105">
        <f t="shared" si="17"/>
        <v>0</v>
      </c>
      <c r="N282" s="103" t="str">
        <f t="shared" si="21"/>
        <v>0 tubes and 0 shuttles</v>
      </c>
      <c r="O282" s="36">
        <f t="shared" si="22"/>
        <v>0</v>
      </c>
      <c r="P282" s="103" t="str">
        <f t="shared" si="23"/>
        <v>0 tubes and 0 shuttles</v>
      </c>
    </row>
    <row r="283" spans="1:16" ht="12.5" x14ac:dyDescent="0.25">
      <c r="A283" s="32">
        <f>'Profit &amp; Loss'!A283</f>
        <v>0</v>
      </c>
      <c r="B283" s="35">
        <f>'Profit &amp; Loss'!B283</f>
        <v>0</v>
      </c>
      <c r="C283" s="36"/>
      <c r="D283" s="33"/>
      <c r="E283" s="33"/>
      <c r="F283" s="101"/>
      <c r="G283" s="102">
        <f t="shared" si="14"/>
        <v>0</v>
      </c>
      <c r="H283" s="103" t="str">
        <f t="shared" si="18"/>
        <v>0 tubes and 0 shuttles</v>
      </c>
      <c r="I283" s="36">
        <f t="shared" si="15"/>
        <v>0</v>
      </c>
      <c r="J283" s="104" t="str">
        <f t="shared" si="19"/>
        <v>0 tubes and 0 shuttles</v>
      </c>
      <c r="K283" s="36">
        <f t="shared" si="16"/>
        <v>0</v>
      </c>
      <c r="L283" s="103" t="str">
        <f t="shared" si="20"/>
        <v>0 tubes and 0 shuttles</v>
      </c>
      <c r="M283" s="105">
        <f t="shared" si="17"/>
        <v>0</v>
      </c>
      <c r="N283" s="103" t="str">
        <f t="shared" si="21"/>
        <v>0 tubes and 0 shuttles</v>
      </c>
      <c r="O283" s="36">
        <f t="shared" si="22"/>
        <v>0</v>
      </c>
      <c r="P283" s="103" t="str">
        <f t="shared" si="23"/>
        <v>0 tubes and 0 shuttles</v>
      </c>
    </row>
    <row r="284" spans="1:16" ht="12.5" x14ac:dyDescent="0.25">
      <c r="A284" s="32">
        <f>'Profit &amp; Loss'!A284</f>
        <v>0</v>
      </c>
      <c r="B284" s="35">
        <f>'Profit &amp; Loss'!B284</f>
        <v>0</v>
      </c>
      <c r="C284" s="36"/>
      <c r="D284" s="33"/>
      <c r="E284" s="33"/>
      <c r="F284" s="101"/>
      <c r="G284" s="102">
        <f t="shared" si="14"/>
        <v>0</v>
      </c>
      <c r="H284" s="103" t="str">
        <f t="shared" si="18"/>
        <v>0 tubes and 0 shuttles</v>
      </c>
      <c r="I284" s="36">
        <f t="shared" si="15"/>
        <v>0</v>
      </c>
      <c r="J284" s="104" t="str">
        <f t="shared" si="19"/>
        <v>0 tubes and 0 shuttles</v>
      </c>
      <c r="K284" s="36">
        <f t="shared" si="16"/>
        <v>0</v>
      </c>
      <c r="L284" s="103" t="str">
        <f t="shared" si="20"/>
        <v>0 tubes and 0 shuttles</v>
      </c>
      <c r="M284" s="105">
        <f t="shared" si="17"/>
        <v>0</v>
      </c>
      <c r="N284" s="103" t="str">
        <f t="shared" si="21"/>
        <v>0 tubes and 0 shuttles</v>
      </c>
      <c r="O284" s="36">
        <f t="shared" si="22"/>
        <v>0</v>
      </c>
      <c r="P284" s="103" t="str">
        <f t="shared" si="23"/>
        <v>0 tubes and 0 shuttles</v>
      </c>
    </row>
    <row r="285" spans="1:16" ht="12.5" x14ac:dyDescent="0.25">
      <c r="A285" s="32">
        <f>'Profit &amp; Loss'!A285</f>
        <v>0</v>
      </c>
      <c r="B285" s="35">
        <f>'Profit &amp; Loss'!B285</f>
        <v>0</v>
      </c>
      <c r="C285" s="36"/>
      <c r="D285" s="33"/>
      <c r="E285" s="33"/>
      <c r="F285" s="101"/>
      <c r="G285" s="102">
        <f t="shared" si="14"/>
        <v>0</v>
      </c>
      <c r="H285" s="103" t="str">
        <f t="shared" si="18"/>
        <v>0 tubes and 0 shuttles</v>
      </c>
      <c r="I285" s="36">
        <f t="shared" si="15"/>
        <v>0</v>
      </c>
      <c r="J285" s="104" t="str">
        <f t="shared" si="19"/>
        <v>0 tubes and 0 shuttles</v>
      </c>
      <c r="K285" s="36">
        <f t="shared" si="16"/>
        <v>0</v>
      </c>
      <c r="L285" s="103" t="str">
        <f t="shared" si="20"/>
        <v>0 tubes and 0 shuttles</v>
      </c>
      <c r="M285" s="105">
        <f t="shared" si="17"/>
        <v>0</v>
      </c>
      <c r="N285" s="103" t="str">
        <f t="shared" si="21"/>
        <v>0 tubes and 0 shuttles</v>
      </c>
      <c r="O285" s="36">
        <f t="shared" si="22"/>
        <v>0</v>
      </c>
      <c r="P285" s="103" t="str">
        <f t="shared" si="23"/>
        <v>0 tubes and 0 shuttles</v>
      </c>
    </row>
    <row r="286" spans="1:16" ht="12.5" x14ac:dyDescent="0.25">
      <c r="A286" s="32">
        <f>'Profit &amp; Loss'!A286</f>
        <v>0</v>
      </c>
      <c r="B286" s="35">
        <f>'Profit &amp; Loss'!B286</f>
        <v>0</v>
      </c>
      <c r="C286" s="36"/>
      <c r="D286" s="33"/>
      <c r="E286" s="33"/>
      <c r="F286" s="101"/>
      <c r="G286" s="102">
        <f t="shared" si="14"/>
        <v>0</v>
      </c>
      <c r="H286" s="103" t="str">
        <f t="shared" si="18"/>
        <v>0 tubes and 0 shuttles</v>
      </c>
      <c r="I286" s="36">
        <f t="shared" si="15"/>
        <v>0</v>
      </c>
      <c r="J286" s="104" t="str">
        <f t="shared" si="19"/>
        <v>0 tubes and 0 shuttles</v>
      </c>
      <c r="K286" s="36">
        <f t="shared" si="16"/>
        <v>0</v>
      </c>
      <c r="L286" s="103" t="str">
        <f t="shared" si="20"/>
        <v>0 tubes and 0 shuttles</v>
      </c>
      <c r="M286" s="105">
        <f t="shared" si="17"/>
        <v>0</v>
      </c>
      <c r="N286" s="103" t="str">
        <f t="shared" si="21"/>
        <v>0 tubes and 0 shuttles</v>
      </c>
      <c r="O286" s="36">
        <f t="shared" si="22"/>
        <v>0</v>
      </c>
      <c r="P286" s="103" t="str">
        <f t="shared" si="23"/>
        <v>0 tubes and 0 shuttles</v>
      </c>
    </row>
    <row r="287" spans="1:16" ht="12.5" x14ac:dyDescent="0.25">
      <c r="A287" s="32">
        <f>'Profit &amp; Loss'!A287</f>
        <v>0</v>
      </c>
      <c r="B287" s="35">
        <f>'Profit &amp; Loss'!B287</f>
        <v>0</v>
      </c>
      <c r="C287" s="36"/>
      <c r="D287" s="33"/>
      <c r="E287" s="33"/>
      <c r="F287" s="101"/>
      <c r="G287" s="102">
        <f t="shared" si="14"/>
        <v>0</v>
      </c>
      <c r="H287" s="103" t="str">
        <f t="shared" si="18"/>
        <v>0 tubes and 0 shuttles</v>
      </c>
      <c r="I287" s="36">
        <f t="shared" si="15"/>
        <v>0</v>
      </c>
      <c r="J287" s="104" t="str">
        <f t="shared" si="19"/>
        <v>0 tubes and 0 shuttles</v>
      </c>
      <c r="K287" s="36">
        <f t="shared" si="16"/>
        <v>0</v>
      </c>
      <c r="L287" s="103" t="str">
        <f t="shared" si="20"/>
        <v>0 tubes and 0 shuttles</v>
      </c>
      <c r="M287" s="105">
        <f t="shared" si="17"/>
        <v>0</v>
      </c>
      <c r="N287" s="103" t="str">
        <f t="shared" si="21"/>
        <v>0 tubes and 0 shuttles</v>
      </c>
      <c r="O287" s="36">
        <f t="shared" si="22"/>
        <v>0</v>
      </c>
      <c r="P287" s="103" t="str">
        <f t="shared" si="23"/>
        <v>0 tubes and 0 shuttles</v>
      </c>
    </row>
    <row r="288" spans="1:16" ht="12.5" x14ac:dyDescent="0.25">
      <c r="A288" s="32">
        <f>'Profit &amp; Loss'!A288</f>
        <v>0</v>
      </c>
      <c r="B288" s="35">
        <f>'Profit &amp; Loss'!B288</f>
        <v>0</v>
      </c>
      <c r="C288" s="36"/>
      <c r="D288" s="33"/>
      <c r="E288" s="33"/>
      <c r="F288" s="101"/>
      <c r="G288" s="102">
        <f t="shared" si="14"/>
        <v>0</v>
      </c>
      <c r="H288" s="103" t="str">
        <f t="shared" si="18"/>
        <v>0 tubes and 0 shuttles</v>
      </c>
      <c r="I288" s="36">
        <f t="shared" si="15"/>
        <v>0</v>
      </c>
      <c r="J288" s="104" t="str">
        <f t="shared" si="19"/>
        <v>0 tubes and 0 shuttles</v>
      </c>
      <c r="K288" s="36">
        <f t="shared" si="16"/>
        <v>0</v>
      </c>
      <c r="L288" s="103" t="str">
        <f t="shared" si="20"/>
        <v>0 tubes and 0 shuttles</v>
      </c>
      <c r="M288" s="105">
        <f t="shared" si="17"/>
        <v>0</v>
      </c>
      <c r="N288" s="103" t="str">
        <f t="shared" si="21"/>
        <v>0 tubes and 0 shuttles</v>
      </c>
      <c r="O288" s="36">
        <f t="shared" si="22"/>
        <v>0</v>
      </c>
      <c r="P288" s="103" t="str">
        <f t="shared" si="23"/>
        <v>0 tubes and 0 shuttles</v>
      </c>
    </row>
    <row r="289" spans="1:16" ht="12.5" x14ac:dyDescent="0.25">
      <c r="A289" s="32">
        <f>'Profit &amp; Loss'!A289</f>
        <v>0</v>
      </c>
      <c r="B289" s="35">
        <f>'Profit &amp; Loss'!B289</f>
        <v>0</v>
      </c>
      <c r="C289" s="36"/>
      <c r="D289" s="33"/>
      <c r="E289" s="33"/>
      <c r="F289" s="101"/>
      <c r="G289" s="102">
        <f t="shared" si="14"/>
        <v>0</v>
      </c>
      <c r="H289" s="103" t="str">
        <f t="shared" si="18"/>
        <v>0 tubes and 0 shuttles</v>
      </c>
      <c r="I289" s="36">
        <f t="shared" si="15"/>
        <v>0</v>
      </c>
      <c r="J289" s="104" t="str">
        <f t="shared" si="19"/>
        <v>0 tubes and 0 shuttles</v>
      </c>
      <c r="K289" s="36">
        <f t="shared" si="16"/>
        <v>0</v>
      </c>
      <c r="L289" s="103" t="str">
        <f t="shared" si="20"/>
        <v>0 tubes and 0 shuttles</v>
      </c>
      <c r="M289" s="105">
        <f t="shared" si="17"/>
        <v>0</v>
      </c>
      <c r="N289" s="103" t="str">
        <f t="shared" si="21"/>
        <v>0 tubes and 0 shuttles</v>
      </c>
      <c r="O289" s="36">
        <f t="shared" si="22"/>
        <v>0</v>
      </c>
      <c r="P289" s="103" t="str">
        <f t="shared" si="23"/>
        <v>0 tubes and 0 shuttles</v>
      </c>
    </row>
    <row r="290" spans="1:16" ht="12.5" x14ac:dyDescent="0.25">
      <c r="A290" s="32">
        <f>'Profit &amp; Loss'!A290</f>
        <v>0</v>
      </c>
      <c r="B290" s="35">
        <f>'Profit &amp; Loss'!B290</f>
        <v>0</v>
      </c>
      <c r="C290" s="36"/>
      <c r="D290" s="33"/>
      <c r="E290" s="33"/>
      <c r="F290" s="101"/>
      <c r="G290" s="102">
        <f t="shared" si="14"/>
        <v>0</v>
      </c>
      <c r="H290" s="103" t="str">
        <f t="shared" si="18"/>
        <v>0 tubes and 0 shuttles</v>
      </c>
      <c r="I290" s="36">
        <f t="shared" si="15"/>
        <v>0</v>
      </c>
      <c r="J290" s="104" t="str">
        <f t="shared" si="19"/>
        <v>0 tubes and 0 shuttles</v>
      </c>
      <c r="K290" s="36">
        <f t="shared" si="16"/>
        <v>0</v>
      </c>
      <c r="L290" s="103" t="str">
        <f t="shared" si="20"/>
        <v>0 tubes and 0 shuttles</v>
      </c>
      <c r="M290" s="105">
        <f t="shared" si="17"/>
        <v>0</v>
      </c>
      <c r="N290" s="103" t="str">
        <f t="shared" si="21"/>
        <v>0 tubes and 0 shuttles</v>
      </c>
      <c r="O290" s="36">
        <f t="shared" si="22"/>
        <v>0</v>
      </c>
      <c r="P290" s="103" t="str">
        <f t="shared" si="23"/>
        <v>0 tubes and 0 shuttles</v>
      </c>
    </row>
    <row r="291" spans="1:16" ht="12.5" x14ac:dyDescent="0.25">
      <c r="A291" s="32">
        <f>'Profit &amp; Loss'!A291</f>
        <v>0</v>
      </c>
      <c r="B291" s="35">
        <f>'Profit &amp; Loss'!B291</f>
        <v>0</v>
      </c>
      <c r="C291" s="36"/>
      <c r="D291" s="33"/>
      <c r="E291" s="33"/>
      <c r="F291" s="101"/>
      <c r="G291" s="102">
        <f t="shared" si="14"/>
        <v>0</v>
      </c>
      <c r="H291" s="103" t="str">
        <f t="shared" si="18"/>
        <v>0 tubes and 0 shuttles</v>
      </c>
      <c r="I291" s="36">
        <f t="shared" si="15"/>
        <v>0</v>
      </c>
      <c r="J291" s="104" t="str">
        <f t="shared" si="19"/>
        <v>0 tubes and 0 shuttles</v>
      </c>
      <c r="K291" s="36">
        <f t="shared" si="16"/>
        <v>0</v>
      </c>
      <c r="L291" s="103" t="str">
        <f t="shared" si="20"/>
        <v>0 tubes and 0 shuttles</v>
      </c>
      <c r="M291" s="105">
        <f t="shared" si="17"/>
        <v>0</v>
      </c>
      <c r="N291" s="103" t="str">
        <f t="shared" si="21"/>
        <v>0 tubes and 0 shuttles</v>
      </c>
      <c r="O291" s="36">
        <f t="shared" si="22"/>
        <v>0</v>
      </c>
      <c r="P291" s="103" t="str">
        <f t="shared" si="23"/>
        <v>0 tubes and 0 shuttles</v>
      </c>
    </row>
    <row r="292" spans="1:16" ht="12.5" x14ac:dyDescent="0.25">
      <c r="A292" s="32">
        <f>'Profit &amp; Loss'!A292</f>
        <v>0</v>
      </c>
      <c r="B292" s="35">
        <f>'Profit &amp; Loss'!B292</f>
        <v>0</v>
      </c>
      <c r="C292" s="36"/>
      <c r="D292" s="33"/>
      <c r="E292" s="33"/>
      <c r="F292" s="101"/>
      <c r="G292" s="102">
        <f t="shared" si="14"/>
        <v>0</v>
      </c>
      <c r="H292" s="103" t="str">
        <f t="shared" si="18"/>
        <v>0 tubes and 0 shuttles</v>
      </c>
      <c r="I292" s="36">
        <f t="shared" si="15"/>
        <v>0</v>
      </c>
      <c r="J292" s="104" t="str">
        <f t="shared" si="19"/>
        <v>0 tubes and 0 shuttles</v>
      </c>
      <c r="K292" s="36">
        <f t="shared" si="16"/>
        <v>0</v>
      </c>
      <c r="L292" s="103" t="str">
        <f t="shared" si="20"/>
        <v>0 tubes and 0 shuttles</v>
      </c>
      <c r="M292" s="105">
        <f t="shared" si="17"/>
        <v>0</v>
      </c>
      <c r="N292" s="103" t="str">
        <f t="shared" si="21"/>
        <v>0 tubes and 0 shuttles</v>
      </c>
      <c r="O292" s="36">
        <f t="shared" si="22"/>
        <v>0</v>
      </c>
      <c r="P292" s="103" t="str">
        <f t="shared" si="23"/>
        <v>0 tubes and 0 shuttles</v>
      </c>
    </row>
    <row r="293" spans="1:16" ht="12.5" x14ac:dyDescent="0.25">
      <c r="A293" s="32">
        <f>'Profit &amp; Loss'!A293</f>
        <v>0</v>
      </c>
      <c r="B293" s="35">
        <f>'Profit &amp; Loss'!B293</f>
        <v>0</v>
      </c>
      <c r="C293" s="36"/>
      <c r="D293" s="33"/>
      <c r="E293" s="33"/>
      <c r="F293" s="101"/>
      <c r="G293" s="102">
        <f t="shared" si="14"/>
        <v>0</v>
      </c>
      <c r="H293" s="103" t="str">
        <f t="shared" si="18"/>
        <v>0 tubes and 0 shuttles</v>
      </c>
      <c r="I293" s="36">
        <f t="shared" si="15"/>
        <v>0</v>
      </c>
      <c r="J293" s="104" t="str">
        <f t="shared" si="19"/>
        <v>0 tubes and 0 shuttles</v>
      </c>
      <c r="K293" s="36">
        <f t="shared" si="16"/>
        <v>0</v>
      </c>
      <c r="L293" s="103" t="str">
        <f t="shared" si="20"/>
        <v>0 tubes and 0 shuttles</v>
      </c>
      <c r="M293" s="105">
        <f t="shared" si="17"/>
        <v>0</v>
      </c>
      <c r="N293" s="103" t="str">
        <f t="shared" si="21"/>
        <v>0 tubes and 0 shuttles</v>
      </c>
      <c r="O293" s="36">
        <f t="shared" si="22"/>
        <v>0</v>
      </c>
      <c r="P293" s="103" t="str">
        <f t="shared" si="23"/>
        <v>0 tubes and 0 shuttles</v>
      </c>
    </row>
    <row r="294" spans="1:16" ht="12.5" x14ac:dyDescent="0.25">
      <c r="A294" s="32">
        <f>'Profit &amp; Loss'!A294</f>
        <v>0</v>
      </c>
      <c r="B294" s="35">
        <f>'Profit &amp; Loss'!B294</f>
        <v>0</v>
      </c>
      <c r="C294" s="36"/>
      <c r="D294" s="33"/>
      <c r="E294" s="33"/>
      <c r="F294" s="101"/>
      <c r="G294" s="102">
        <f t="shared" ref="G294:G548" si="24">IF(C294=" ",G293,G293-C294)</f>
        <v>0</v>
      </c>
      <c r="H294" s="103" t="str">
        <f t="shared" si="18"/>
        <v>0 tubes and 0 shuttles</v>
      </c>
      <c r="I294" s="36">
        <f t="shared" ref="I294:I548" si="25">IF(D294=" ",I293,I293-D294)</f>
        <v>0</v>
      </c>
      <c r="J294" s="104" t="str">
        <f t="shared" si="19"/>
        <v>0 tubes and 0 shuttles</v>
      </c>
      <c r="K294" s="36">
        <f t="shared" ref="K294:K548" si="26">IF(E294=" ",K293,K293-E294)</f>
        <v>0</v>
      </c>
      <c r="L294" s="103" t="str">
        <f t="shared" si="20"/>
        <v>0 tubes and 0 shuttles</v>
      </c>
      <c r="M294" s="105">
        <f t="shared" ref="M294:M548" si="27">IF(F294=" ",M293,M293-F294)</f>
        <v>0</v>
      </c>
      <c r="N294" s="103" t="str">
        <f t="shared" si="21"/>
        <v>0 tubes and 0 shuttles</v>
      </c>
      <c r="O294" s="36">
        <f t="shared" si="22"/>
        <v>0</v>
      </c>
      <c r="P294" s="103" t="str">
        <f t="shared" si="23"/>
        <v>0 tubes and 0 shuttles</v>
      </c>
    </row>
    <row r="295" spans="1:16" ht="12.5" x14ac:dyDescent="0.25">
      <c r="A295" s="32">
        <f>'Profit &amp; Loss'!A295</f>
        <v>0</v>
      </c>
      <c r="B295" s="35">
        <f>'Profit &amp; Loss'!B295</f>
        <v>0</v>
      </c>
      <c r="C295" s="36"/>
      <c r="D295" s="33"/>
      <c r="E295" s="33"/>
      <c r="F295" s="101"/>
      <c r="G295" s="102">
        <f t="shared" si="24"/>
        <v>0</v>
      </c>
      <c r="H295" s="103" t="str">
        <f t="shared" si="18"/>
        <v>0 tubes and 0 shuttles</v>
      </c>
      <c r="I295" s="36">
        <f t="shared" si="25"/>
        <v>0</v>
      </c>
      <c r="J295" s="104" t="str">
        <f t="shared" si="19"/>
        <v>0 tubes and 0 shuttles</v>
      </c>
      <c r="K295" s="36">
        <f t="shared" si="26"/>
        <v>0</v>
      </c>
      <c r="L295" s="103" t="str">
        <f t="shared" si="20"/>
        <v>0 tubes and 0 shuttles</v>
      </c>
      <c r="M295" s="105">
        <f t="shared" si="27"/>
        <v>0</v>
      </c>
      <c r="N295" s="103" t="str">
        <f t="shared" si="21"/>
        <v>0 tubes and 0 shuttles</v>
      </c>
      <c r="O295" s="36">
        <f t="shared" si="22"/>
        <v>0</v>
      </c>
      <c r="P295" s="103" t="str">
        <f t="shared" si="23"/>
        <v>0 tubes and 0 shuttles</v>
      </c>
    </row>
    <row r="296" spans="1:16" ht="12.5" x14ac:dyDescent="0.25">
      <c r="A296" s="32">
        <f>'Profit &amp; Loss'!A296</f>
        <v>0</v>
      </c>
      <c r="B296" s="35">
        <f>'Profit &amp; Loss'!B296</f>
        <v>0</v>
      </c>
      <c r="C296" s="36"/>
      <c r="D296" s="33"/>
      <c r="E296" s="33"/>
      <c r="F296" s="101"/>
      <c r="G296" s="102">
        <f t="shared" si="24"/>
        <v>0</v>
      </c>
      <c r="H296" s="103" t="str">
        <f t="shared" si="18"/>
        <v>0 tubes and 0 shuttles</v>
      </c>
      <c r="I296" s="36">
        <f t="shared" si="25"/>
        <v>0</v>
      </c>
      <c r="J296" s="104" t="str">
        <f t="shared" si="19"/>
        <v>0 tubes and 0 shuttles</v>
      </c>
      <c r="K296" s="36">
        <f t="shared" si="26"/>
        <v>0</v>
      </c>
      <c r="L296" s="103" t="str">
        <f t="shared" si="20"/>
        <v>0 tubes and 0 shuttles</v>
      </c>
      <c r="M296" s="105">
        <f t="shared" si="27"/>
        <v>0</v>
      </c>
      <c r="N296" s="103" t="str">
        <f t="shared" si="21"/>
        <v>0 tubes and 0 shuttles</v>
      </c>
      <c r="O296" s="36">
        <f t="shared" si="22"/>
        <v>0</v>
      </c>
      <c r="P296" s="103" t="str">
        <f t="shared" si="23"/>
        <v>0 tubes and 0 shuttles</v>
      </c>
    </row>
    <row r="297" spans="1:16" ht="12.5" x14ac:dyDescent="0.25">
      <c r="A297" s="32">
        <f>'Profit &amp; Loss'!A297</f>
        <v>0</v>
      </c>
      <c r="B297" s="35">
        <f>'Profit &amp; Loss'!B297</f>
        <v>0</v>
      </c>
      <c r="C297" s="36"/>
      <c r="D297" s="33"/>
      <c r="E297" s="33"/>
      <c r="F297" s="101"/>
      <c r="G297" s="102">
        <f t="shared" si="24"/>
        <v>0</v>
      </c>
      <c r="H297" s="103" t="str">
        <f t="shared" si="18"/>
        <v>0 tubes and 0 shuttles</v>
      </c>
      <c r="I297" s="36">
        <f t="shared" si="25"/>
        <v>0</v>
      </c>
      <c r="J297" s="104" t="str">
        <f t="shared" si="19"/>
        <v>0 tubes and 0 shuttles</v>
      </c>
      <c r="K297" s="36">
        <f t="shared" si="26"/>
        <v>0</v>
      </c>
      <c r="L297" s="103" t="str">
        <f t="shared" si="20"/>
        <v>0 tubes and 0 shuttles</v>
      </c>
      <c r="M297" s="105">
        <f t="shared" si="27"/>
        <v>0</v>
      </c>
      <c r="N297" s="103" t="str">
        <f t="shared" si="21"/>
        <v>0 tubes and 0 shuttles</v>
      </c>
      <c r="O297" s="36">
        <f t="shared" si="22"/>
        <v>0</v>
      </c>
      <c r="P297" s="103" t="str">
        <f t="shared" si="23"/>
        <v>0 tubes and 0 shuttles</v>
      </c>
    </row>
    <row r="298" spans="1:16" ht="12.5" x14ac:dyDescent="0.25">
      <c r="A298" s="32">
        <f>'Profit &amp; Loss'!A298</f>
        <v>0</v>
      </c>
      <c r="B298" s="35">
        <f>'Profit &amp; Loss'!B298</f>
        <v>0</v>
      </c>
      <c r="C298" s="36"/>
      <c r="D298" s="33"/>
      <c r="E298" s="33"/>
      <c r="F298" s="101"/>
      <c r="G298" s="102">
        <f t="shared" si="24"/>
        <v>0</v>
      </c>
      <c r="H298" s="103" t="str">
        <f t="shared" si="18"/>
        <v>0 tubes and 0 shuttles</v>
      </c>
      <c r="I298" s="36">
        <f t="shared" si="25"/>
        <v>0</v>
      </c>
      <c r="J298" s="104" t="str">
        <f t="shared" si="19"/>
        <v>0 tubes and 0 shuttles</v>
      </c>
      <c r="K298" s="36">
        <f t="shared" si="26"/>
        <v>0</v>
      </c>
      <c r="L298" s="103" t="str">
        <f t="shared" si="20"/>
        <v>0 tubes and 0 shuttles</v>
      </c>
      <c r="M298" s="105">
        <f t="shared" si="27"/>
        <v>0</v>
      </c>
      <c r="N298" s="103" t="str">
        <f t="shared" si="21"/>
        <v>0 tubes and 0 shuttles</v>
      </c>
      <c r="O298" s="36">
        <f t="shared" si="22"/>
        <v>0</v>
      </c>
      <c r="P298" s="103" t="str">
        <f t="shared" si="23"/>
        <v>0 tubes and 0 shuttles</v>
      </c>
    </row>
    <row r="299" spans="1:16" ht="12.5" x14ac:dyDescent="0.25">
      <c r="A299" s="32">
        <f>'Profit &amp; Loss'!A299</f>
        <v>0</v>
      </c>
      <c r="B299" s="35">
        <f>'Profit &amp; Loss'!B299</f>
        <v>0</v>
      </c>
      <c r="C299" s="36"/>
      <c r="D299" s="33"/>
      <c r="E299" s="33"/>
      <c r="F299" s="101"/>
      <c r="G299" s="102">
        <f t="shared" si="24"/>
        <v>0</v>
      </c>
      <c r="H299" s="103" t="str">
        <f t="shared" si="18"/>
        <v>0 tubes and 0 shuttles</v>
      </c>
      <c r="I299" s="36">
        <f t="shared" si="25"/>
        <v>0</v>
      </c>
      <c r="J299" s="104" t="str">
        <f t="shared" si="19"/>
        <v>0 tubes and 0 shuttles</v>
      </c>
      <c r="K299" s="36">
        <f t="shared" si="26"/>
        <v>0</v>
      </c>
      <c r="L299" s="103" t="str">
        <f t="shared" si="20"/>
        <v>0 tubes and 0 shuttles</v>
      </c>
      <c r="M299" s="105">
        <f t="shared" si="27"/>
        <v>0</v>
      </c>
      <c r="N299" s="103" t="str">
        <f t="shared" si="21"/>
        <v>0 tubes and 0 shuttles</v>
      </c>
      <c r="O299" s="36">
        <f t="shared" si="22"/>
        <v>0</v>
      </c>
      <c r="P299" s="103" t="str">
        <f t="shared" si="23"/>
        <v>0 tubes and 0 shuttles</v>
      </c>
    </row>
    <row r="300" spans="1:16" ht="12.5" x14ac:dyDescent="0.25">
      <c r="A300" s="32">
        <f>'Profit &amp; Loss'!A300</f>
        <v>0</v>
      </c>
      <c r="B300" s="35">
        <f>'Profit &amp; Loss'!B300</f>
        <v>0</v>
      </c>
      <c r="C300" s="36"/>
      <c r="D300" s="33"/>
      <c r="E300" s="33"/>
      <c r="F300" s="101"/>
      <c r="G300" s="102">
        <f t="shared" si="24"/>
        <v>0</v>
      </c>
      <c r="H300" s="103" t="str">
        <f t="shared" si="18"/>
        <v>0 tubes and 0 shuttles</v>
      </c>
      <c r="I300" s="36">
        <f t="shared" si="25"/>
        <v>0</v>
      </c>
      <c r="J300" s="104" t="str">
        <f t="shared" si="19"/>
        <v>0 tubes and 0 shuttles</v>
      </c>
      <c r="K300" s="36">
        <f t="shared" si="26"/>
        <v>0</v>
      </c>
      <c r="L300" s="103" t="str">
        <f t="shared" si="20"/>
        <v>0 tubes and 0 shuttles</v>
      </c>
      <c r="M300" s="105">
        <f t="shared" si="27"/>
        <v>0</v>
      </c>
      <c r="N300" s="103" t="str">
        <f t="shared" si="21"/>
        <v>0 tubes and 0 shuttles</v>
      </c>
      <c r="O300" s="36">
        <f t="shared" si="22"/>
        <v>0</v>
      </c>
      <c r="P300" s="103" t="str">
        <f t="shared" si="23"/>
        <v>0 tubes and 0 shuttles</v>
      </c>
    </row>
    <row r="301" spans="1:16" ht="12.5" x14ac:dyDescent="0.25">
      <c r="A301" s="32">
        <f>'Profit &amp; Loss'!A301</f>
        <v>0</v>
      </c>
      <c r="B301" s="35">
        <f>'Profit &amp; Loss'!B301</f>
        <v>0</v>
      </c>
      <c r="C301" s="36"/>
      <c r="D301" s="33"/>
      <c r="E301" s="33"/>
      <c r="F301" s="101"/>
      <c r="G301" s="102">
        <f t="shared" si="24"/>
        <v>0</v>
      </c>
      <c r="H301" s="103" t="str">
        <f t="shared" si="18"/>
        <v>0 tubes and 0 shuttles</v>
      </c>
      <c r="I301" s="36">
        <f t="shared" si="25"/>
        <v>0</v>
      </c>
      <c r="J301" s="104" t="str">
        <f t="shared" si="19"/>
        <v>0 tubes and 0 shuttles</v>
      </c>
      <c r="K301" s="36">
        <f t="shared" si="26"/>
        <v>0</v>
      </c>
      <c r="L301" s="103" t="str">
        <f t="shared" si="20"/>
        <v>0 tubes and 0 shuttles</v>
      </c>
      <c r="M301" s="105">
        <f t="shared" si="27"/>
        <v>0</v>
      </c>
      <c r="N301" s="103" t="str">
        <f t="shared" si="21"/>
        <v>0 tubes and 0 shuttles</v>
      </c>
      <c r="O301" s="36">
        <f t="shared" si="22"/>
        <v>0</v>
      </c>
      <c r="P301" s="103" t="str">
        <f t="shared" si="23"/>
        <v>0 tubes and 0 shuttles</v>
      </c>
    </row>
    <row r="302" spans="1:16" ht="12.5" x14ac:dyDescent="0.25">
      <c r="A302" s="32">
        <f>'Profit &amp; Loss'!A302</f>
        <v>0</v>
      </c>
      <c r="B302" s="35">
        <f>'Profit &amp; Loss'!B302</f>
        <v>0</v>
      </c>
      <c r="C302" s="36"/>
      <c r="D302" s="33"/>
      <c r="E302" s="33"/>
      <c r="F302" s="101"/>
      <c r="G302" s="102">
        <f t="shared" si="24"/>
        <v>0</v>
      </c>
      <c r="H302" s="103" t="str">
        <f t="shared" si="18"/>
        <v>0 tubes and 0 shuttles</v>
      </c>
      <c r="I302" s="36">
        <f t="shared" si="25"/>
        <v>0</v>
      </c>
      <c r="J302" s="104" t="str">
        <f t="shared" si="19"/>
        <v>0 tubes and 0 shuttles</v>
      </c>
      <c r="K302" s="36">
        <f t="shared" si="26"/>
        <v>0</v>
      </c>
      <c r="L302" s="103" t="str">
        <f t="shared" si="20"/>
        <v>0 tubes and 0 shuttles</v>
      </c>
      <c r="M302" s="105">
        <f t="shared" si="27"/>
        <v>0</v>
      </c>
      <c r="N302" s="103" t="str">
        <f t="shared" si="21"/>
        <v>0 tubes and 0 shuttles</v>
      </c>
      <c r="O302" s="36">
        <f t="shared" si="22"/>
        <v>0</v>
      </c>
      <c r="P302" s="103" t="str">
        <f t="shared" si="23"/>
        <v>0 tubes and 0 shuttles</v>
      </c>
    </row>
    <row r="303" spans="1:16" ht="12.5" x14ac:dyDescent="0.25">
      <c r="A303" s="32">
        <f>'Profit &amp; Loss'!A303</f>
        <v>0</v>
      </c>
      <c r="B303" s="35">
        <f>'Profit &amp; Loss'!B303</f>
        <v>0</v>
      </c>
      <c r="C303" s="36"/>
      <c r="D303" s="33"/>
      <c r="E303" s="33"/>
      <c r="F303" s="101"/>
      <c r="G303" s="102">
        <f t="shared" si="24"/>
        <v>0</v>
      </c>
      <c r="H303" s="103" t="str">
        <f t="shared" si="18"/>
        <v>0 tubes and 0 shuttles</v>
      </c>
      <c r="I303" s="36">
        <f t="shared" si="25"/>
        <v>0</v>
      </c>
      <c r="J303" s="104" t="str">
        <f t="shared" si="19"/>
        <v>0 tubes and 0 shuttles</v>
      </c>
      <c r="K303" s="36">
        <f t="shared" si="26"/>
        <v>0</v>
      </c>
      <c r="L303" s="103" t="str">
        <f t="shared" si="20"/>
        <v>0 tubes and 0 shuttles</v>
      </c>
      <c r="M303" s="105">
        <f t="shared" si="27"/>
        <v>0</v>
      </c>
      <c r="N303" s="103" t="str">
        <f t="shared" si="21"/>
        <v>0 tubes and 0 shuttles</v>
      </c>
      <c r="O303" s="36">
        <f t="shared" si="22"/>
        <v>0</v>
      </c>
      <c r="P303" s="103" t="str">
        <f t="shared" si="23"/>
        <v>0 tubes and 0 shuttles</v>
      </c>
    </row>
    <row r="304" spans="1:16" ht="12.5" x14ac:dyDescent="0.25">
      <c r="A304" s="32">
        <f>'Profit &amp; Loss'!A304</f>
        <v>0</v>
      </c>
      <c r="B304" s="35">
        <f>'Profit &amp; Loss'!B304</f>
        <v>0</v>
      </c>
      <c r="C304" s="36"/>
      <c r="D304" s="33"/>
      <c r="E304" s="33"/>
      <c r="F304" s="101"/>
      <c r="G304" s="102">
        <f t="shared" si="24"/>
        <v>0</v>
      </c>
      <c r="H304" s="103" t="str">
        <f t="shared" si="18"/>
        <v>0 tubes and 0 shuttles</v>
      </c>
      <c r="I304" s="36">
        <f t="shared" si="25"/>
        <v>0</v>
      </c>
      <c r="J304" s="104" t="str">
        <f t="shared" si="19"/>
        <v>0 tubes and 0 shuttles</v>
      </c>
      <c r="K304" s="36">
        <f t="shared" si="26"/>
        <v>0</v>
      </c>
      <c r="L304" s="103" t="str">
        <f t="shared" si="20"/>
        <v>0 tubes and 0 shuttles</v>
      </c>
      <c r="M304" s="105">
        <f t="shared" si="27"/>
        <v>0</v>
      </c>
      <c r="N304" s="103" t="str">
        <f t="shared" si="21"/>
        <v>0 tubes and 0 shuttles</v>
      </c>
      <c r="O304" s="36">
        <f t="shared" si="22"/>
        <v>0</v>
      </c>
      <c r="P304" s="103" t="str">
        <f t="shared" si="23"/>
        <v>0 tubes and 0 shuttles</v>
      </c>
    </row>
    <row r="305" spans="1:16" ht="12.5" x14ac:dyDescent="0.25">
      <c r="A305" s="32">
        <f>'Profit &amp; Loss'!A305</f>
        <v>0</v>
      </c>
      <c r="B305" s="35">
        <f>'Profit &amp; Loss'!B305</f>
        <v>0</v>
      </c>
      <c r="C305" s="36"/>
      <c r="D305" s="33"/>
      <c r="E305" s="33"/>
      <c r="F305" s="101"/>
      <c r="G305" s="102">
        <f t="shared" si="24"/>
        <v>0</v>
      </c>
      <c r="H305" s="103" t="str">
        <f t="shared" si="18"/>
        <v>0 tubes and 0 shuttles</v>
      </c>
      <c r="I305" s="36">
        <f t="shared" si="25"/>
        <v>0</v>
      </c>
      <c r="J305" s="104" t="str">
        <f t="shared" si="19"/>
        <v>0 tubes and 0 shuttles</v>
      </c>
      <c r="K305" s="36">
        <f t="shared" si="26"/>
        <v>0</v>
      </c>
      <c r="L305" s="103" t="str">
        <f t="shared" si="20"/>
        <v>0 tubes and 0 shuttles</v>
      </c>
      <c r="M305" s="105">
        <f t="shared" si="27"/>
        <v>0</v>
      </c>
      <c r="N305" s="103" t="str">
        <f t="shared" si="21"/>
        <v>0 tubes and 0 shuttles</v>
      </c>
      <c r="O305" s="36">
        <f t="shared" si="22"/>
        <v>0</v>
      </c>
      <c r="P305" s="103" t="str">
        <f t="shared" si="23"/>
        <v>0 tubes and 0 shuttles</v>
      </c>
    </row>
    <row r="306" spans="1:16" ht="12.5" x14ac:dyDescent="0.25">
      <c r="A306" s="32">
        <f>'Profit &amp; Loss'!A306</f>
        <v>0</v>
      </c>
      <c r="B306" s="35">
        <f>'Profit &amp; Loss'!B306</f>
        <v>0</v>
      </c>
      <c r="C306" s="36"/>
      <c r="D306" s="33"/>
      <c r="E306" s="33"/>
      <c r="F306" s="101"/>
      <c r="G306" s="102">
        <f t="shared" si="24"/>
        <v>0</v>
      </c>
      <c r="H306" s="103" t="str">
        <f t="shared" si="18"/>
        <v>0 tubes and 0 shuttles</v>
      </c>
      <c r="I306" s="36">
        <f t="shared" si="25"/>
        <v>0</v>
      </c>
      <c r="J306" s="104" t="str">
        <f t="shared" si="19"/>
        <v>0 tubes and 0 shuttles</v>
      </c>
      <c r="K306" s="36">
        <f t="shared" si="26"/>
        <v>0</v>
      </c>
      <c r="L306" s="103" t="str">
        <f t="shared" si="20"/>
        <v>0 tubes and 0 shuttles</v>
      </c>
      <c r="M306" s="105">
        <f t="shared" si="27"/>
        <v>0</v>
      </c>
      <c r="N306" s="103" t="str">
        <f t="shared" si="21"/>
        <v>0 tubes and 0 shuttles</v>
      </c>
      <c r="O306" s="36">
        <f t="shared" si="22"/>
        <v>0</v>
      </c>
      <c r="P306" s="103" t="str">
        <f t="shared" si="23"/>
        <v>0 tubes and 0 shuttles</v>
      </c>
    </row>
    <row r="307" spans="1:16" ht="12.5" x14ac:dyDescent="0.25">
      <c r="A307" s="32">
        <f>'Profit &amp; Loss'!A307</f>
        <v>0</v>
      </c>
      <c r="B307" s="35">
        <f>'Profit &amp; Loss'!B307</f>
        <v>0</v>
      </c>
      <c r="C307" s="36"/>
      <c r="D307" s="33"/>
      <c r="E307" s="33"/>
      <c r="F307" s="101"/>
      <c r="G307" s="102">
        <f t="shared" si="24"/>
        <v>0</v>
      </c>
      <c r="H307" s="103" t="str">
        <f t="shared" si="18"/>
        <v>0 tubes and 0 shuttles</v>
      </c>
      <c r="I307" s="36">
        <f t="shared" si="25"/>
        <v>0</v>
      </c>
      <c r="J307" s="104" t="str">
        <f t="shared" si="19"/>
        <v>0 tubes and 0 shuttles</v>
      </c>
      <c r="K307" s="36">
        <f t="shared" si="26"/>
        <v>0</v>
      </c>
      <c r="L307" s="103" t="str">
        <f t="shared" si="20"/>
        <v>0 tubes and 0 shuttles</v>
      </c>
      <c r="M307" s="105">
        <f t="shared" si="27"/>
        <v>0</v>
      </c>
      <c r="N307" s="103" t="str">
        <f t="shared" si="21"/>
        <v>0 tubes and 0 shuttles</v>
      </c>
      <c r="O307" s="36">
        <f t="shared" si="22"/>
        <v>0</v>
      </c>
      <c r="P307" s="103" t="str">
        <f t="shared" si="23"/>
        <v>0 tubes and 0 shuttles</v>
      </c>
    </row>
    <row r="308" spans="1:16" ht="12.5" x14ac:dyDescent="0.25">
      <c r="A308" s="32">
        <f>'Profit &amp; Loss'!A308</f>
        <v>0</v>
      </c>
      <c r="B308" s="35">
        <f>'Profit &amp; Loss'!B308</f>
        <v>0</v>
      </c>
      <c r="C308" s="36"/>
      <c r="D308" s="33"/>
      <c r="E308" s="33"/>
      <c r="F308" s="101"/>
      <c r="G308" s="102">
        <f t="shared" si="24"/>
        <v>0</v>
      </c>
      <c r="H308" s="103" t="str">
        <f t="shared" si="18"/>
        <v>0 tubes and 0 shuttles</v>
      </c>
      <c r="I308" s="36">
        <f t="shared" si="25"/>
        <v>0</v>
      </c>
      <c r="J308" s="104" t="str">
        <f t="shared" si="19"/>
        <v>0 tubes and 0 shuttles</v>
      </c>
      <c r="K308" s="36">
        <f t="shared" si="26"/>
        <v>0</v>
      </c>
      <c r="L308" s="103" t="str">
        <f t="shared" si="20"/>
        <v>0 tubes and 0 shuttles</v>
      </c>
      <c r="M308" s="105">
        <f t="shared" si="27"/>
        <v>0</v>
      </c>
      <c r="N308" s="103" t="str">
        <f t="shared" si="21"/>
        <v>0 tubes and 0 shuttles</v>
      </c>
      <c r="O308" s="36">
        <f t="shared" si="22"/>
        <v>0</v>
      </c>
      <c r="P308" s="103" t="str">
        <f t="shared" si="23"/>
        <v>0 tubes and 0 shuttles</v>
      </c>
    </row>
    <row r="309" spans="1:16" ht="12.5" x14ac:dyDescent="0.25">
      <c r="A309" s="32">
        <f>'Profit &amp; Loss'!A309</f>
        <v>0</v>
      </c>
      <c r="B309" s="35">
        <f>'Profit &amp; Loss'!B309</f>
        <v>0</v>
      </c>
      <c r="C309" s="36"/>
      <c r="D309" s="33"/>
      <c r="E309" s="33"/>
      <c r="F309" s="101"/>
      <c r="G309" s="102">
        <f t="shared" si="24"/>
        <v>0</v>
      </c>
      <c r="H309" s="103" t="str">
        <f t="shared" si="18"/>
        <v>0 tubes and 0 shuttles</v>
      </c>
      <c r="I309" s="36">
        <f t="shared" si="25"/>
        <v>0</v>
      </c>
      <c r="J309" s="104" t="str">
        <f t="shared" si="19"/>
        <v>0 tubes and 0 shuttles</v>
      </c>
      <c r="K309" s="36">
        <f t="shared" si="26"/>
        <v>0</v>
      </c>
      <c r="L309" s="103" t="str">
        <f t="shared" si="20"/>
        <v>0 tubes and 0 shuttles</v>
      </c>
      <c r="M309" s="105">
        <f t="shared" si="27"/>
        <v>0</v>
      </c>
      <c r="N309" s="103" t="str">
        <f t="shared" si="21"/>
        <v>0 tubes and 0 shuttles</v>
      </c>
      <c r="O309" s="36">
        <f t="shared" si="22"/>
        <v>0</v>
      </c>
      <c r="P309" s="103" t="str">
        <f t="shared" si="23"/>
        <v>0 tubes and 0 shuttles</v>
      </c>
    </row>
    <row r="310" spans="1:16" ht="12.5" x14ac:dyDescent="0.25">
      <c r="A310" s="32">
        <f>'Profit &amp; Loss'!A310</f>
        <v>0</v>
      </c>
      <c r="B310" s="35">
        <f>'Profit &amp; Loss'!B310</f>
        <v>0</v>
      </c>
      <c r="C310" s="36"/>
      <c r="D310" s="33"/>
      <c r="E310" s="33"/>
      <c r="F310" s="101"/>
      <c r="G310" s="102">
        <f t="shared" si="24"/>
        <v>0</v>
      </c>
      <c r="H310" s="103" t="str">
        <f t="shared" si="18"/>
        <v>0 tubes and 0 shuttles</v>
      </c>
      <c r="I310" s="36">
        <f t="shared" si="25"/>
        <v>0</v>
      </c>
      <c r="J310" s="104" t="str">
        <f t="shared" si="19"/>
        <v>0 tubes and 0 shuttles</v>
      </c>
      <c r="K310" s="36">
        <f t="shared" si="26"/>
        <v>0</v>
      </c>
      <c r="L310" s="103" t="str">
        <f t="shared" si="20"/>
        <v>0 tubes and 0 shuttles</v>
      </c>
      <c r="M310" s="105">
        <f t="shared" si="27"/>
        <v>0</v>
      </c>
      <c r="N310" s="103" t="str">
        <f t="shared" si="21"/>
        <v>0 tubes and 0 shuttles</v>
      </c>
      <c r="O310" s="36">
        <f t="shared" si="22"/>
        <v>0</v>
      </c>
      <c r="P310" s="103" t="str">
        <f t="shared" si="23"/>
        <v>0 tubes and 0 shuttles</v>
      </c>
    </row>
    <row r="311" spans="1:16" ht="12.5" x14ac:dyDescent="0.25">
      <c r="A311" s="32">
        <f>'Profit &amp; Loss'!A311</f>
        <v>0</v>
      </c>
      <c r="B311" s="35">
        <f>'Profit &amp; Loss'!B311</f>
        <v>0</v>
      </c>
      <c r="C311" s="36"/>
      <c r="D311" s="33"/>
      <c r="E311" s="33"/>
      <c r="F311" s="101"/>
      <c r="G311" s="102">
        <f t="shared" si="24"/>
        <v>0</v>
      </c>
      <c r="H311" s="103" t="str">
        <f t="shared" si="18"/>
        <v>0 tubes and 0 shuttles</v>
      </c>
      <c r="I311" s="36">
        <f t="shared" si="25"/>
        <v>0</v>
      </c>
      <c r="J311" s="104" t="str">
        <f t="shared" si="19"/>
        <v>0 tubes and 0 shuttles</v>
      </c>
      <c r="K311" s="36">
        <f t="shared" si="26"/>
        <v>0</v>
      </c>
      <c r="L311" s="103" t="str">
        <f t="shared" si="20"/>
        <v>0 tubes and 0 shuttles</v>
      </c>
      <c r="M311" s="105">
        <f t="shared" si="27"/>
        <v>0</v>
      </c>
      <c r="N311" s="103" t="str">
        <f t="shared" si="21"/>
        <v>0 tubes and 0 shuttles</v>
      </c>
      <c r="O311" s="36">
        <f t="shared" si="22"/>
        <v>0</v>
      </c>
      <c r="P311" s="103" t="str">
        <f t="shared" si="23"/>
        <v>0 tubes and 0 shuttles</v>
      </c>
    </row>
    <row r="312" spans="1:16" ht="12.5" x14ac:dyDescent="0.25">
      <c r="A312" s="32">
        <f>'Profit &amp; Loss'!A312</f>
        <v>0</v>
      </c>
      <c r="B312" s="35">
        <f>'Profit &amp; Loss'!B312</f>
        <v>0</v>
      </c>
      <c r="C312" s="36"/>
      <c r="D312" s="33"/>
      <c r="E312" s="33"/>
      <c r="F312" s="101"/>
      <c r="G312" s="102">
        <f t="shared" si="24"/>
        <v>0</v>
      </c>
      <c r="H312" s="103" t="str">
        <f t="shared" si="18"/>
        <v>0 tubes and 0 shuttles</v>
      </c>
      <c r="I312" s="36">
        <f t="shared" si="25"/>
        <v>0</v>
      </c>
      <c r="J312" s="104" t="str">
        <f t="shared" si="19"/>
        <v>0 tubes and 0 shuttles</v>
      </c>
      <c r="K312" s="36">
        <f t="shared" si="26"/>
        <v>0</v>
      </c>
      <c r="L312" s="103" t="str">
        <f t="shared" si="20"/>
        <v>0 tubes and 0 shuttles</v>
      </c>
      <c r="M312" s="105">
        <f t="shared" si="27"/>
        <v>0</v>
      </c>
      <c r="N312" s="103" t="str">
        <f t="shared" si="21"/>
        <v>0 tubes and 0 shuttles</v>
      </c>
      <c r="O312" s="36">
        <f t="shared" si="22"/>
        <v>0</v>
      </c>
      <c r="P312" s="103" t="str">
        <f t="shared" si="23"/>
        <v>0 tubes and 0 shuttles</v>
      </c>
    </row>
    <row r="313" spans="1:16" ht="12.5" x14ac:dyDescent="0.25">
      <c r="A313" s="32">
        <f>'Profit &amp; Loss'!A313</f>
        <v>0</v>
      </c>
      <c r="B313" s="35">
        <f>'Profit &amp; Loss'!B313</f>
        <v>0</v>
      </c>
      <c r="C313" s="36"/>
      <c r="D313" s="33"/>
      <c r="E313" s="33"/>
      <c r="F313" s="101"/>
      <c r="G313" s="102">
        <f t="shared" si="24"/>
        <v>0</v>
      </c>
      <c r="H313" s="103" t="str">
        <f t="shared" si="18"/>
        <v>0 tubes and 0 shuttles</v>
      </c>
      <c r="I313" s="36">
        <f t="shared" si="25"/>
        <v>0</v>
      </c>
      <c r="J313" s="104" t="str">
        <f t="shared" si="19"/>
        <v>0 tubes and 0 shuttles</v>
      </c>
      <c r="K313" s="36">
        <f t="shared" si="26"/>
        <v>0</v>
      </c>
      <c r="L313" s="103" t="str">
        <f t="shared" si="20"/>
        <v>0 tubes and 0 shuttles</v>
      </c>
      <c r="M313" s="105">
        <f t="shared" si="27"/>
        <v>0</v>
      </c>
      <c r="N313" s="103" t="str">
        <f t="shared" si="21"/>
        <v>0 tubes and 0 shuttles</v>
      </c>
      <c r="O313" s="36">
        <f t="shared" si="22"/>
        <v>0</v>
      </c>
      <c r="P313" s="103" t="str">
        <f t="shared" si="23"/>
        <v>0 tubes and 0 shuttles</v>
      </c>
    </row>
    <row r="314" spans="1:16" ht="12.5" x14ac:dyDescent="0.25">
      <c r="A314" s="32">
        <f>'Profit &amp; Loss'!A314</f>
        <v>0</v>
      </c>
      <c r="B314" s="35">
        <f>'Profit &amp; Loss'!B314</f>
        <v>0</v>
      </c>
      <c r="C314" s="36"/>
      <c r="D314" s="33"/>
      <c r="E314" s="33"/>
      <c r="F314" s="101"/>
      <c r="G314" s="102">
        <f t="shared" si="24"/>
        <v>0</v>
      </c>
      <c r="H314" s="103" t="str">
        <f t="shared" si="18"/>
        <v>0 tubes and 0 shuttles</v>
      </c>
      <c r="I314" s="36">
        <f t="shared" si="25"/>
        <v>0</v>
      </c>
      <c r="J314" s="104" t="str">
        <f t="shared" si="19"/>
        <v>0 tubes and 0 shuttles</v>
      </c>
      <c r="K314" s="36">
        <f t="shared" si="26"/>
        <v>0</v>
      </c>
      <c r="L314" s="103" t="str">
        <f t="shared" si="20"/>
        <v>0 tubes and 0 shuttles</v>
      </c>
      <c r="M314" s="105">
        <f t="shared" si="27"/>
        <v>0</v>
      </c>
      <c r="N314" s="103" t="str">
        <f t="shared" si="21"/>
        <v>0 tubes and 0 shuttles</v>
      </c>
      <c r="O314" s="36">
        <f t="shared" si="22"/>
        <v>0</v>
      </c>
      <c r="P314" s="103" t="str">
        <f t="shared" si="23"/>
        <v>0 tubes and 0 shuttles</v>
      </c>
    </row>
    <row r="315" spans="1:16" ht="12.5" x14ac:dyDescent="0.25">
      <c r="A315" s="32">
        <f>'Profit &amp; Loss'!A315</f>
        <v>0</v>
      </c>
      <c r="B315" s="35">
        <f>'Profit &amp; Loss'!B315</f>
        <v>0</v>
      </c>
      <c r="C315" s="36"/>
      <c r="D315" s="33"/>
      <c r="E315" s="33"/>
      <c r="F315" s="101"/>
      <c r="G315" s="102">
        <f t="shared" si="24"/>
        <v>0</v>
      </c>
      <c r="H315" s="103" t="str">
        <f t="shared" si="18"/>
        <v>0 tubes and 0 shuttles</v>
      </c>
      <c r="I315" s="36">
        <f t="shared" si="25"/>
        <v>0</v>
      </c>
      <c r="J315" s="104" t="str">
        <f t="shared" si="19"/>
        <v>0 tubes and 0 shuttles</v>
      </c>
      <c r="K315" s="36">
        <f t="shared" si="26"/>
        <v>0</v>
      </c>
      <c r="L315" s="103" t="str">
        <f t="shared" si="20"/>
        <v>0 tubes and 0 shuttles</v>
      </c>
      <c r="M315" s="105">
        <f t="shared" si="27"/>
        <v>0</v>
      </c>
      <c r="N315" s="103" t="str">
        <f t="shared" si="21"/>
        <v>0 tubes and 0 shuttles</v>
      </c>
      <c r="O315" s="36">
        <f t="shared" si="22"/>
        <v>0</v>
      </c>
      <c r="P315" s="103" t="str">
        <f t="shared" si="23"/>
        <v>0 tubes and 0 shuttles</v>
      </c>
    </row>
    <row r="316" spans="1:16" ht="12.5" x14ac:dyDescent="0.25">
      <c r="A316" s="32">
        <f>'Profit &amp; Loss'!A316</f>
        <v>0</v>
      </c>
      <c r="B316" s="35">
        <f>'Profit &amp; Loss'!B316</f>
        <v>0</v>
      </c>
      <c r="C316" s="36"/>
      <c r="D316" s="33"/>
      <c r="E316" s="33"/>
      <c r="F316" s="101"/>
      <c r="G316" s="102">
        <f t="shared" si="24"/>
        <v>0</v>
      </c>
      <c r="H316" s="103" t="str">
        <f t="shared" si="18"/>
        <v>0 tubes and 0 shuttles</v>
      </c>
      <c r="I316" s="36">
        <f t="shared" si="25"/>
        <v>0</v>
      </c>
      <c r="J316" s="104" t="str">
        <f t="shared" si="19"/>
        <v>0 tubes and 0 shuttles</v>
      </c>
      <c r="K316" s="36">
        <f t="shared" si="26"/>
        <v>0</v>
      </c>
      <c r="L316" s="103" t="str">
        <f t="shared" si="20"/>
        <v>0 tubes and 0 shuttles</v>
      </c>
      <c r="M316" s="105">
        <f t="shared" si="27"/>
        <v>0</v>
      </c>
      <c r="N316" s="103" t="str">
        <f t="shared" si="21"/>
        <v>0 tubes and 0 shuttles</v>
      </c>
      <c r="O316" s="36">
        <f t="shared" si="22"/>
        <v>0</v>
      </c>
      <c r="P316" s="103" t="str">
        <f t="shared" si="23"/>
        <v>0 tubes and 0 shuttles</v>
      </c>
    </row>
    <row r="317" spans="1:16" ht="12.5" x14ac:dyDescent="0.25">
      <c r="A317" s="32">
        <f>'Profit &amp; Loss'!A317</f>
        <v>0</v>
      </c>
      <c r="B317" s="35">
        <f>'Profit &amp; Loss'!B317</f>
        <v>0</v>
      </c>
      <c r="C317" s="36"/>
      <c r="D317" s="33"/>
      <c r="E317" s="33"/>
      <c r="F317" s="101"/>
      <c r="G317" s="102">
        <f t="shared" si="24"/>
        <v>0</v>
      </c>
      <c r="H317" s="103" t="str">
        <f t="shared" si="18"/>
        <v>0 tubes and 0 shuttles</v>
      </c>
      <c r="I317" s="36">
        <f t="shared" si="25"/>
        <v>0</v>
      </c>
      <c r="J317" s="104" t="str">
        <f t="shared" si="19"/>
        <v>0 tubes and 0 shuttles</v>
      </c>
      <c r="K317" s="36">
        <f t="shared" si="26"/>
        <v>0</v>
      </c>
      <c r="L317" s="103" t="str">
        <f t="shared" si="20"/>
        <v>0 tubes and 0 shuttles</v>
      </c>
      <c r="M317" s="105">
        <f t="shared" si="27"/>
        <v>0</v>
      </c>
      <c r="N317" s="103" t="str">
        <f t="shared" si="21"/>
        <v>0 tubes and 0 shuttles</v>
      </c>
      <c r="O317" s="36">
        <f t="shared" si="22"/>
        <v>0</v>
      </c>
      <c r="P317" s="103" t="str">
        <f t="shared" si="23"/>
        <v>0 tubes and 0 shuttles</v>
      </c>
    </row>
    <row r="318" spans="1:16" ht="12.5" x14ac:dyDescent="0.25">
      <c r="A318" s="32">
        <f>'Profit &amp; Loss'!A318</f>
        <v>0</v>
      </c>
      <c r="B318" s="35">
        <f>'Profit &amp; Loss'!B318</f>
        <v>0</v>
      </c>
      <c r="C318" s="36"/>
      <c r="D318" s="33"/>
      <c r="E318" s="33"/>
      <c r="F318" s="101"/>
      <c r="G318" s="102">
        <f t="shared" si="24"/>
        <v>0</v>
      </c>
      <c r="H318" s="103" t="str">
        <f t="shared" si="18"/>
        <v>0 tubes and 0 shuttles</v>
      </c>
      <c r="I318" s="36">
        <f t="shared" si="25"/>
        <v>0</v>
      </c>
      <c r="J318" s="104" t="str">
        <f t="shared" si="19"/>
        <v>0 tubes and 0 shuttles</v>
      </c>
      <c r="K318" s="36">
        <f t="shared" si="26"/>
        <v>0</v>
      </c>
      <c r="L318" s="103" t="str">
        <f t="shared" si="20"/>
        <v>0 tubes and 0 shuttles</v>
      </c>
      <c r="M318" s="105">
        <f t="shared" si="27"/>
        <v>0</v>
      </c>
      <c r="N318" s="103" t="str">
        <f t="shared" si="21"/>
        <v>0 tubes and 0 shuttles</v>
      </c>
      <c r="O318" s="36">
        <f t="shared" si="22"/>
        <v>0</v>
      </c>
      <c r="P318" s="103" t="str">
        <f t="shared" si="23"/>
        <v>0 tubes and 0 shuttles</v>
      </c>
    </row>
    <row r="319" spans="1:16" ht="12.5" x14ac:dyDescent="0.25">
      <c r="A319" s="32">
        <f>'Profit &amp; Loss'!A319</f>
        <v>0</v>
      </c>
      <c r="B319" s="35">
        <f>'Profit &amp; Loss'!B319</f>
        <v>0</v>
      </c>
      <c r="C319" s="36"/>
      <c r="D319" s="33"/>
      <c r="E319" s="33"/>
      <c r="F319" s="101"/>
      <c r="G319" s="102">
        <f t="shared" si="24"/>
        <v>0</v>
      </c>
      <c r="H319" s="103" t="str">
        <f t="shared" si="18"/>
        <v>0 tubes and 0 shuttles</v>
      </c>
      <c r="I319" s="36">
        <f t="shared" si="25"/>
        <v>0</v>
      </c>
      <c r="J319" s="104" t="str">
        <f t="shared" si="19"/>
        <v>0 tubes and 0 shuttles</v>
      </c>
      <c r="K319" s="36">
        <f t="shared" si="26"/>
        <v>0</v>
      </c>
      <c r="L319" s="103" t="str">
        <f t="shared" si="20"/>
        <v>0 tubes and 0 shuttles</v>
      </c>
      <c r="M319" s="105">
        <f t="shared" si="27"/>
        <v>0</v>
      </c>
      <c r="N319" s="103" t="str">
        <f t="shared" si="21"/>
        <v>0 tubes and 0 shuttles</v>
      </c>
      <c r="O319" s="36">
        <f t="shared" si="22"/>
        <v>0</v>
      </c>
      <c r="P319" s="103" t="str">
        <f t="shared" si="23"/>
        <v>0 tubes and 0 shuttles</v>
      </c>
    </row>
    <row r="320" spans="1:16" ht="12.5" x14ac:dyDescent="0.25">
      <c r="A320" s="32">
        <f>'Profit &amp; Loss'!A320</f>
        <v>0</v>
      </c>
      <c r="B320" s="35">
        <f>'Profit &amp; Loss'!B320</f>
        <v>0</v>
      </c>
      <c r="C320" s="36"/>
      <c r="D320" s="33"/>
      <c r="E320" s="33"/>
      <c r="F320" s="101"/>
      <c r="G320" s="102">
        <f t="shared" si="24"/>
        <v>0</v>
      </c>
      <c r="H320" s="103" t="str">
        <f t="shared" si="18"/>
        <v>0 tubes and 0 shuttles</v>
      </c>
      <c r="I320" s="36">
        <f t="shared" si="25"/>
        <v>0</v>
      </c>
      <c r="J320" s="104" t="str">
        <f t="shared" si="19"/>
        <v>0 tubes and 0 shuttles</v>
      </c>
      <c r="K320" s="36">
        <f t="shared" si="26"/>
        <v>0</v>
      </c>
      <c r="L320" s="103" t="str">
        <f t="shared" si="20"/>
        <v>0 tubes and 0 shuttles</v>
      </c>
      <c r="M320" s="105">
        <f t="shared" si="27"/>
        <v>0</v>
      </c>
      <c r="N320" s="103" t="str">
        <f t="shared" si="21"/>
        <v>0 tubes and 0 shuttles</v>
      </c>
      <c r="O320" s="36">
        <f t="shared" si="22"/>
        <v>0</v>
      </c>
      <c r="P320" s="103" t="str">
        <f t="shared" si="23"/>
        <v>0 tubes and 0 shuttles</v>
      </c>
    </row>
    <row r="321" spans="1:16" ht="12.5" x14ac:dyDescent="0.25">
      <c r="A321" s="32">
        <f>'Profit &amp; Loss'!A321</f>
        <v>0</v>
      </c>
      <c r="B321" s="35">
        <f>'Profit &amp; Loss'!B321</f>
        <v>0</v>
      </c>
      <c r="C321" s="36"/>
      <c r="D321" s="33"/>
      <c r="E321" s="33"/>
      <c r="F321" s="101"/>
      <c r="G321" s="102">
        <f t="shared" si="24"/>
        <v>0</v>
      </c>
      <c r="H321" s="103" t="str">
        <f t="shared" si="18"/>
        <v>0 tubes and 0 shuttles</v>
      </c>
      <c r="I321" s="36">
        <f t="shared" si="25"/>
        <v>0</v>
      </c>
      <c r="J321" s="104" t="str">
        <f t="shared" si="19"/>
        <v>0 tubes and 0 shuttles</v>
      </c>
      <c r="K321" s="36">
        <f t="shared" si="26"/>
        <v>0</v>
      </c>
      <c r="L321" s="103" t="str">
        <f t="shared" si="20"/>
        <v>0 tubes and 0 shuttles</v>
      </c>
      <c r="M321" s="105">
        <f t="shared" si="27"/>
        <v>0</v>
      </c>
      <c r="N321" s="103" t="str">
        <f t="shared" si="21"/>
        <v>0 tubes and 0 shuttles</v>
      </c>
      <c r="O321" s="36">
        <f t="shared" si="22"/>
        <v>0</v>
      </c>
      <c r="P321" s="103" t="str">
        <f t="shared" si="23"/>
        <v>0 tubes and 0 shuttles</v>
      </c>
    </row>
    <row r="322" spans="1:16" ht="12.5" x14ac:dyDescent="0.25">
      <c r="A322" s="32">
        <f>'Profit &amp; Loss'!A322</f>
        <v>0</v>
      </c>
      <c r="B322" s="35">
        <f>'Profit &amp; Loss'!B322</f>
        <v>0</v>
      </c>
      <c r="C322" s="36"/>
      <c r="D322" s="33"/>
      <c r="E322" s="33"/>
      <c r="F322" s="101"/>
      <c r="G322" s="102">
        <f t="shared" si="24"/>
        <v>0</v>
      </c>
      <c r="H322" s="103" t="str">
        <f t="shared" si="18"/>
        <v>0 tubes and 0 shuttles</v>
      </c>
      <c r="I322" s="36">
        <f t="shared" si="25"/>
        <v>0</v>
      </c>
      <c r="J322" s="104" t="str">
        <f t="shared" si="19"/>
        <v>0 tubes and 0 shuttles</v>
      </c>
      <c r="K322" s="36">
        <f t="shared" si="26"/>
        <v>0</v>
      </c>
      <c r="L322" s="103" t="str">
        <f t="shared" si="20"/>
        <v>0 tubes and 0 shuttles</v>
      </c>
      <c r="M322" s="105">
        <f t="shared" si="27"/>
        <v>0</v>
      </c>
      <c r="N322" s="103" t="str">
        <f t="shared" si="21"/>
        <v>0 tubes and 0 shuttles</v>
      </c>
      <c r="O322" s="36">
        <f t="shared" si="22"/>
        <v>0</v>
      </c>
      <c r="P322" s="103" t="str">
        <f t="shared" si="23"/>
        <v>0 tubes and 0 shuttles</v>
      </c>
    </row>
    <row r="323" spans="1:16" ht="12.5" x14ac:dyDescent="0.25">
      <c r="A323" s="32">
        <f>'Profit &amp; Loss'!A323</f>
        <v>0</v>
      </c>
      <c r="B323" s="35">
        <f>'Profit &amp; Loss'!B323</f>
        <v>0</v>
      </c>
      <c r="C323" s="36"/>
      <c r="D323" s="33"/>
      <c r="E323" s="33"/>
      <c r="F323" s="101"/>
      <c r="G323" s="102">
        <f t="shared" si="24"/>
        <v>0</v>
      </c>
      <c r="H323" s="103" t="str">
        <f t="shared" si="18"/>
        <v>0 tubes and 0 shuttles</v>
      </c>
      <c r="I323" s="36">
        <f t="shared" si="25"/>
        <v>0</v>
      </c>
      <c r="J323" s="104" t="str">
        <f t="shared" si="19"/>
        <v>0 tubes and 0 shuttles</v>
      </c>
      <c r="K323" s="36">
        <f t="shared" si="26"/>
        <v>0</v>
      </c>
      <c r="L323" s="103" t="str">
        <f t="shared" si="20"/>
        <v>0 tubes and 0 shuttles</v>
      </c>
      <c r="M323" s="105">
        <f t="shared" si="27"/>
        <v>0</v>
      </c>
      <c r="N323" s="103" t="str">
        <f t="shared" si="21"/>
        <v>0 tubes and 0 shuttles</v>
      </c>
      <c r="O323" s="36">
        <f t="shared" si="22"/>
        <v>0</v>
      </c>
      <c r="P323" s="103" t="str">
        <f t="shared" si="23"/>
        <v>0 tubes and 0 shuttles</v>
      </c>
    </row>
    <row r="324" spans="1:16" ht="12.5" x14ac:dyDescent="0.25">
      <c r="A324" s="32">
        <f>'Profit &amp; Loss'!A324</f>
        <v>0</v>
      </c>
      <c r="B324" s="35">
        <f>'Profit &amp; Loss'!B324</f>
        <v>0</v>
      </c>
      <c r="C324" s="36"/>
      <c r="D324" s="33"/>
      <c r="E324" s="33"/>
      <c r="F324" s="101"/>
      <c r="G324" s="102">
        <f t="shared" si="24"/>
        <v>0</v>
      </c>
      <c r="H324" s="103" t="str">
        <f t="shared" si="18"/>
        <v>0 tubes and 0 shuttles</v>
      </c>
      <c r="I324" s="36">
        <f t="shared" si="25"/>
        <v>0</v>
      </c>
      <c r="J324" s="104" t="str">
        <f t="shared" si="19"/>
        <v>0 tubes and 0 shuttles</v>
      </c>
      <c r="K324" s="36">
        <f t="shared" si="26"/>
        <v>0</v>
      </c>
      <c r="L324" s="103" t="str">
        <f t="shared" si="20"/>
        <v>0 tubes and 0 shuttles</v>
      </c>
      <c r="M324" s="105">
        <f t="shared" si="27"/>
        <v>0</v>
      </c>
      <c r="N324" s="103" t="str">
        <f t="shared" si="21"/>
        <v>0 tubes and 0 shuttles</v>
      </c>
      <c r="O324" s="36">
        <f t="shared" si="22"/>
        <v>0</v>
      </c>
      <c r="P324" s="103" t="str">
        <f t="shared" si="23"/>
        <v>0 tubes and 0 shuttles</v>
      </c>
    </row>
    <row r="325" spans="1:16" ht="12.5" x14ac:dyDescent="0.25">
      <c r="A325" s="32">
        <f>'Profit &amp; Loss'!A325</f>
        <v>0</v>
      </c>
      <c r="B325" s="35">
        <f>'Profit &amp; Loss'!B325</f>
        <v>0</v>
      </c>
      <c r="C325" s="36"/>
      <c r="D325" s="33"/>
      <c r="E325" s="33"/>
      <c r="F325" s="101"/>
      <c r="G325" s="102">
        <f t="shared" si="24"/>
        <v>0</v>
      </c>
      <c r="H325" s="103" t="str">
        <f t="shared" si="18"/>
        <v>0 tubes and 0 shuttles</v>
      </c>
      <c r="I325" s="36">
        <f t="shared" si="25"/>
        <v>0</v>
      </c>
      <c r="J325" s="104" t="str">
        <f t="shared" si="19"/>
        <v>0 tubes and 0 shuttles</v>
      </c>
      <c r="K325" s="36">
        <f t="shared" si="26"/>
        <v>0</v>
      </c>
      <c r="L325" s="103" t="str">
        <f t="shared" si="20"/>
        <v>0 tubes and 0 shuttles</v>
      </c>
      <c r="M325" s="105">
        <f t="shared" si="27"/>
        <v>0</v>
      </c>
      <c r="N325" s="103" t="str">
        <f t="shared" si="21"/>
        <v>0 tubes and 0 shuttles</v>
      </c>
      <c r="O325" s="36">
        <f t="shared" si="22"/>
        <v>0</v>
      </c>
      <c r="P325" s="103" t="str">
        <f t="shared" si="23"/>
        <v>0 tubes and 0 shuttles</v>
      </c>
    </row>
    <row r="326" spans="1:16" ht="12.5" x14ac:dyDescent="0.25">
      <c r="A326" s="32">
        <f>'Profit &amp; Loss'!A326</f>
        <v>0</v>
      </c>
      <c r="B326" s="35">
        <f>'Profit &amp; Loss'!B326</f>
        <v>0</v>
      </c>
      <c r="C326" s="36"/>
      <c r="D326" s="33"/>
      <c r="E326" s="33"/>
      <c r="F326" s="101"/>
      <c r="G326" s="102">
        <f t="shared" si="24"/>
        <v>0</v>
      </c>
      <c r="H326" s="103" t="str">
        <f t="shared" si="18"/>
        <v>0 tubes and 0 shuttles</v>
      </c>
      <c r="I326" s="36">
        <f t="shared" si="25"/>
        <v>0</v>
      </c>
      <c r="J326" s="104" t="str">
        <f t="shared" si="19"/>
        <v>0 tubes and 0 shuttles</v>
      </c>
      <c r="K326" s="36">
        <f t="shared" si="26"/>
        <v>0</v>
      </c>
      <c r="L326" s="103" t="str">
        <f t="shared" si="20"/>
        <v>0 tubes and 0 shuttles</v>
      </c>
      <c r="M326" s="105">
        <f t="shared" si="27"/>
        <v>0</v>
      </c>
      <c r="N326" s="103" t="str">
        <f t="shared" si="21"/>
        <v>0 tubes and 0 shuttles</v>
      </c>
      <c r="O326" s="36">
        <f t="shared" si="22"/>
        <v>0</v>
      </c>
      <c r="P326" s="103" t="str">
        <f t="shared" si="23"/>
        <v>0 tubes and 0 shuttles</v>
      </c>
    </row>
    <row r="327" spans="1:16" ht="12.5" x14ac:dyDescent="0.25">
      <c r="A327" s="32">
        <f>'Profit &amp; Loss'!A327</f>
        <v>0</v>
      </c>
      <c r="B327" s="35">
        <f>'Profit &amp; Loss'!B327</f>
        <v>0</v>
      </c>
      <c r="C327" s="36"/>
      <c r="D327" s="33"/>
      <c r="E327" s="33"/>
      <c r="F327" s="101"/>
      <c r="G327" s="102">
        <f t="shared" si="24"/>
        <v>0</v>
      </c>
      <c r="H327" s="103" t="str">
        <f t="shared" si="18"/>
        <v>0 tubes and 0 shuttles</v>
      </c>
      <c r="I327" s="36">
        <f t="shared" si="25"/>
        <v>0</v>
      </c>
      <c r="J327" s="104" t="str">
        <f t="shared" si="19"/>
        <v>0 tubes and 0 shuttles</v>
      </c>
      <c r="K327" s="36">
        <f t="shared" si="26"/>
        <v>0</v>
      </c>
      <c r="L327" s="103" t="str">
        <f t="shared" si="20"/>
        <v>0 tubes and 0 shuttles</v>
      </c>
      <c r="M327" s="105">
        <f t="shared" si="27"/>
        <v>0</v>
      </c>
      <c r="N327" s="103" t="str">
        <f t="shared" si="21"/>
        <v>0 tubes and 0 shuttles</v>
      </c>
      <c r="O327" s="36">
        <f t="shared" si="22"/>
        <v>0</v>
      </c>
      <c r="P327" s="103" t="str">
        <f t="shared" si="23"/>
        <v>0 tubes and 0 shuttles</v>
      </c>
    </row>
    <row r="328" spans="1:16" ht="12.5" x14ac:dyDescent="0.25">
      <c r="A328" s="32">
        <f>'Profit &amp; Loss'!A328</f>
        <v>0</v>
      </c>
      <c r="B328" s="35">
        <f>'Profit &amp; Loss'!B328</f>
        <v>0</v>
      </c>
      <c r="C328" s="36"/>
      <c r="D328" s="33"/>
      <c r="E328" s="33"/>
      <c r="F328" s="101"/>
      <c r="G328" s="102">
        <f t="shared" si="24"/>
        <v>0</v>
      </c>
      <c r="H328" s="103" t="str">
        <f t="shared" si="18"/>
        <v>0 tubes and 0 shuttles</v>
      </c>
      <c r="I328" s="36">
        <f t="shared" si="25"/>
        <v>0</v>
      </c>
      <c r="J328" s="104" t="str">
        <f t="shared" si="19"/>
        <v>0 tubes and 0 shuttles</v>
      </c>
      <c r="K328" s="36">
        <f t="shared" si="26"/>
        <v>0</v>
      </c>
      <c r="L328" s="103" t="str">
        <f t="shared" si="20"/>
        <v>0 tubes and 0 shuttles</v>
      </c>
      <c r="M328" s="105">
        <f t="shared" si="27"/>
        <v>0</v>
      </c>
      <c r="N328" s="103" t="str">
        <f t="shared" si="21"/>
        <v>0 tubes and 0 shuttles</v>
      </c>
      <c r="O328" s="36">
        <f t="shared" si="22"/>
        <v>0</v>
      </c>
      <c r="P328" s="103" t="str">
        <f t="shared" si="23"/>
        <v>0 tubes and 0 shuttles</v>
      </c>
    </row>
    <row r="329" spans="1:16" ht="12.5" x14ac:dyDescent="0.25">
      <c r="A329" s="32">
        <f>'Profit &amp; Loss'!A329</f>
        <v>0</v>
      </c>
      <c r="B329" s="35">
        <f>'Profit &amp; Loss'!B329</f>
        <v>0</v>
      </c>
      <c r="C329" s="36"/>
      <c r="D329" s="33"/>
      <c r="E329" s="33"/>
      <c r="F329" s="101"/>
      <c r="G329" s="102">
        <f t="shared" si="24"/>
        <v>0</v>
      </c>
      <c r="H329" s="103" t="str">
        <f t="shared" si="18"/>
        <v>0 tubes and 0 shuttles</v>
      </c>
      <c r="I329" s="36">
        <f t="shared" si="25"/>
        <v>0</v>
      </c>
      <c r="J329" s="104" t="str">
        <f t="shared" si="19"/>
        <v>0 tubes and 0 shuttles</v>
      </c>
      <c r="K329" s="36">
        <f t="shared" si="26"/>
        <v>0</v>
      </c>
      <c r="L329" s="103" t="str">
        <f t="shared" si="20"/>
        <v>0 tubes and 0 shuttles</v>
      </c>
      <c r="M329" s="105">
        <f t="shared" si="27"/>
        <v>0</v>
      </c>
      <c r="N329" s="103" t="str">
        <f t="shared" si="21"/>
        <v>0 tubes and 0 shuttles</v>
      </c>
      <c r="O329" s="36">
        <f t="shared" si="22"/>
        <v>0</v>
      </c>
      <c r="P329" s="103" t="str">
        <f t="shared" si="23"/>
        <v>0 tubes and 0 shuttles</v>
      </c>
    </row>
    <row r="330" spans="1:16" ht="12.5" x14ac:dyDescent="0.25">
      <c r="A330" s="32">
        <f>'Profit &amp; Loss'!A330</f>
        <v>0</v>
      </c>
      <c r="B330" s="35">
        <f>'Profit &amp; Loss'!B330</f>
        <v>0</v>
      </c>
      <c r="C330" s="36"/>
      <c r="D330" s="33"/>
      <c r="E330" s="33"/>
      <c r="F330" s="101"/>
      <c r="G330" s="102">
        <f t="shared" si="24"/>
        <v>0</v>
      </c>
      <c r="H330" s="103" t="str">
        <f t="shared" si="18"/>
        <v>0 tubes and 0 shuttles</v>
      </c>
      <c r="I330" s="36">
        <f t="shared" si="25"/>
        <v>0</v>
      </c>
      <c r="J330" s="104" t="str">
        <f t="shared" si="19"/>
        <v>0 tubes and 0 shuttles</v>
      </c>
      <c r="K330" s="36">
        <f t="shared" si="26"/>
        <v>0</v>
      </c>
      <c r="L330" s="103" t="str">
        <f t="shared" si="20"/>
        <v>0 tubes and 0 shuttles</v>
      </c>
      <c r="M330" s="105">
        <f t="shared" si="27"/>
        <v>0</v>
      </c>
      <c r="N330" s="103" t="str">
        <f t="shared" si="21"/>
        <v>0 tubes and 0 shuttles</v>
      </c>
      <c r="O330" s="36">
        <f t="shared" si="22"/>
        <v>0</v>
      </c>
      <c r="P330" s="103" t="str">
        <f t="shared" si="23"/>
        <v>0 tubes and 0 shuttles</v>
      </c>
    </row>
    <row r="331" spans="1:16" ht="12.5" x14ac:dyDescent="0.25">
      <c r="A331" s="32">
        <f>'Profit &amp; Loss'!A331</f>
        <v>0</v>
      </c>
      <c r="B331" s="35">
        <f>'Profit &amp; Loss'!B331</f>
        <v>0</v>
      </c>
      <c r="C331" s="36"/>
      <c r="D331" s="33"/>
      <c r="E331" s="33"/>
      <c r="F331" s="101"/>
      <c r="G331" s="102">
        <f t="shared" si="24"/>
        <v>0</v>
      </c>
      <c r="H331" s="103" t="str">
        <f t="shared" si="18"/>
        <v>0 tubes and 0 shuttles</v>
      </c>
      <c r="I331" s="36">
        <f t="shared" si="25"/>
        <v>0</v>
      </c>
      <c r="J331" s="104" t="str">
        <f t="shared" si="19"/>
        <v>0 tubes and 0 shuttles</v>
      </c>
      <c r="K331" s="36">
        <f t="shared" si="26"/>
        <v>0</v>
      </c>
      <c r="L331" s="103" t="str">
        <f t="shared" si="20"/>
        <v>0 tubes and 0 shuttles</v>
      </c>
      <c r="M331" s="105">
        <f t="shared" si="27"/>
        <v>0</v>
      </c>
      <c r="N331" s="103" t="str">
        <f t="shared" si="21"/>
        <v>0 tubes and 0 shuttles</v>
      </c>
      <c r="O331" s="36">
        <f t="shared" si="22"/>
        <v>0</v>
      </c>
      <c r="P331" s="103" t="str">
        <f t="shared" si="23"/>
        <v>0 tubes and 0 shuttles</v>
      </c>
    </row>
    <row r="332" spans="1:16" ht="12.5" x14ac:dyDescent="0.25">
      <c r="A332" s="32">
        <f>'Profit &amp; Loss'!A332</f>
        <v>0</v>
      </c>
      <c r="B332" s="35">
        <f>'Profit &amp; Loss'!B332</f>
        <v>0</v>
      </c>
      <c r="C332" s="36"/>
      <c r="D332" s="33"/>
      <c r="E332" s="33"/>
      <c r="F332" s="101"/>
      <c r="G332" s="102">
        <f t="shared" si="24"/>
        <v>0</v>
      </c>
      <c r="H332" s="103" t="str">
        <f t="shared" si="18"/>
        <v>0 tubes and 0 shuttles</v>
      </c>
      <c r="I332" s="36">
        <f t="shared" si="25"/>
        <v>0</v>
      </c>
      <c r="J332" s="104" t="str">
        <f t="shared" si="19"/>
        <v>0 tubes and 0 shuttles</v>
      </c>
      <c r="K332" s="36">
        <f t="shared" si="26"/>
        <v>0</v>
      </c>
      <c r="L332" s="103" t="str">
        <f t="shared" si="20"/>
        <v>0 tubes and 0 shuttles</v>
      </c>
      <c r="M332" s="105">
        <f t="shared" si="27"/>
        <v>0</v>
      </c>
      <c r="N332" s="103" t="str">
        <f t="shared" si="21"/>
        <v>0 tubes and 0 shuttles</v>
      </c>
      <c r="O332" s="36">
        <f t="shared" si="22"/>
        <v>0</v>
      </c>
      <c r="P332" s="103" t="str">
        <f t="shared" si="23"/>
        <v>0 tubes and 0 shuttles</v>
      </c>
    </row>
    <row r="333" spans="1:16" ht="12.5" x14ac:dyDescent="0.25">
      <c r="A333" s="32">
        <f>'Profit &amp; Loss'!A333</f>
        <v>0</v>
      </c>
      <c r="B333" s="35">
        <f>'Profit &amp; Loss'!B333</f>
        <v>0</v>
      </c>
      <c r="C333" s="36"/>
      <c r="D333" s="33"/>
      <c r="E333" s="33"/>
      <c r="F333" s="101"/>
      <c r="G333" s="102">
        <f t="shared" si="24"/>
        <v>0</v>
      </c>
      <c r="H333" s="103" t="str">
        <f t="shared" si="18"/>
        <v>0 tubes and 0 shuttles</v>
      </c>
      <c r="I333" s="36">
        <f t="shared" si="25"/>
        <v>0</v>
      </c>
      <c r="J333" s="104" t="str">
        <f t="shared" si="19"/>
        <v>0 tubes and 0 shuttles</v>
      </c>
      <c r="K333" s="36">
        <f t="shared" si="26"/>
        <v>0</v>
      </c>
      <c r="L333" s="103" t="str">
        <f t="shared" si="20"/>
        <v>0 tubes and 0 shuttles</v>
      </c>
      <c r="M333" s="105">
        <f t="shared" si="27"/>
        <v>0</v>
      </c>
      <c r="N333" s="103" t="str">
        <f t="shared" si="21"/>
        <v>0 tubes and 0 shuttles</v>
      </c>
      <c r="O333" s="36">
        <f t="shared" si="22"/>
        <v>0</v>
      </c>
      <c r="P333" s="103" t="str">
        <f t="shared" si="23"/>
        <v>0 tubes and 0 shuttles</v>
      </c>
    </row>
    <row r="334" spans="1:16" ht="12.5" x14ac:dyDescent="0.25">
      <c r="A334" s="32">
        <f>'Profit &amp; Loss'!A334</f>
        <v>0</v>
      </c>
      <c r="B334" s="35">
        <f>'Profit &amp; Loss'!B334</f>
        <v>0</v>
      </c>
      <c r="C334" s="36"/>
      <c r="D334" s="33"/>
      <c r="E334" s="33"/>
      <c r="F334" s="101"/>
      <c r="G334" s="102">
        <f t="shared" si="24"/>
        <v>0</v>
      </c>
      <c r="H334" s="103" t="str">
        <f t="shared" si="18"/>
        <v>0 tubes and 0 shuttles</v>
      </c>
      <c r="I334" s="36">
        <f t="shared" si="25"/>
        <v>0</v>
      </c>
      <c r="J334" s="104" t="str">
        <f t="shared" si="19"/>
        <v>0 tubes and 0 shuttles</v>
      </c>
      <c r="K334" s="36">
        <f t="shared" si="26"/>
        <v>0</v>
      </c>
      <c r="L334" s="103" t="str">
        <f t="shared" si="20"/>
        <v>0 tubes and 0 shuttles</v>
      </c>
      <c r="M334" s="105">
        <f t="shared" si="27"/>
        <v>0</v>
      </c>
      <c r="N334" s="103" t="str">
        <f t="shared" si="21"/>
        <v>0 tubes and 0 shuttles</v>
      </c>
      <c r="O334" s="36">
        <f t="shared" si="22"/>
        <v>0</v>
      </c>
      <c r="P334" s="103" t="str">
        <f t="shared" si="23"/>
        <v>0 tubes and 0 shuttles</v>
      </c>
    </row>
    <row r="335" spans="1:16" ht="12.5" x14ac:dyDescent="0.25">
      <c r="A335" s="32">
        <f>'Profit &amp; Loss'!A335</f>
        <v>0</v>
      </c>
      <c r="B335" s="35">
        <f>'Profit &amp; Loss'!B335</f>
        <v>0</v>
      </c>
      <c r="C335" s="36"/>
      <c r="D335" s="33"/>
      <c r="E335" s="33"/>
      <c r="F335" s="101"/>
      <c r="G335" s="102">
        <f t="shared" si="24"/>
        <v>0</v>
      </c>
      <c r="H335" s="103" t="str">
        <f t="shared" si="18"/>
        <v>0 tubes and 0 shuttles</v>
      </c>
      <c r="I335" s="36">
        <f t="shared" si="25"/>
        <v>0</v>
      </c>
      <c r="J335" s="104" t="str">
        <f t="shared" si="19"/>
        <v>0 tubes and 0 shuttles</v>
      </c>
      <c r="K335" s="36">
        <f t="shared" si="26"/>
        <v>0</v>
      </c>
      <c r="L335" s="103" t="str">
        <f t="shared" si="20"/>
        <v>0 tubes and 0 shuttles</v>
      </c>
      <c r="M335" s="105">
        <f t="shared" si="27"/>
        <v>0</v>
      </c>
      <c r="N335" s="103" t="str">
        <f t="shared" si="21"/>
        <v>0 tubes and 0 shuttles</v>
      </c>
      <c r="O335" s="36">
        <f t="shared" si="22"/>
        <v>0</v>
      </c>
      <c r="P335" s="103" t="str">
        <f t="shared" si="23"/>
        <v>0 tubes and 0 shuttles</v>
      </c>
    </row>
    <row r="336" spans="1:16" ht="12.5" x14ac:dyDescent="0.25">
      <c r="A336" s="32">
        <f>'Profit &amp; Loss'!A336</f>
        <v>0</v>
      </c>
      <c r="B336" s="35">
        <f>'Profit &amp; Loss'!B336</f>
        <v>0</v>
      </c>
      <c r="C336" s="36"/>
      <c r="D336" s="33"/>
      <c r="E336" s="33"/>
      <c r="F336" s="101"/>
      <c r="G336" s="102">
        <f t="shared" si="24"/>
        <v>0</v>
      </c>
      <c r="H336" s="103" t="str">
        <f t="shared" si="18"/>
        <v>0 tubes and 0 shuttles</v>
      </c>
      <c r="I336" s="36">
        <f t="shared" si="25"/>
        <v>0</v>
      </c>
      <c r="J336" s="104" t="str">
        <f t="shared" si="19"/>
        <v>0 tubes and 0 shuttles</v>
      </c>
      <c r="K336" s="36">
        <f t="shared" si="26"/>
        <v>0</v>
      </c>
      <c r="L336" s="103" t="str">
        <f t="shared" si="20"/>
        <v>0 tubes and 0 shuttles</v>
      </c>
      <c r="M336" s="105">
        <f t="shared" si="27"/>
        <v>0</v>
      </c>
      <c r="N336" s="103" t="str">
        <f t="shared" si="21"/>
        <v>0 tubes and 0 shuttles</v>
      </c>
      <c r="O336" s="36">
        <f t="shared" si="22"/>
        <v>0</v>
      </c>
      <c r="P336" s="103" t="str">
        <f t="shared" si="23"/>
        <v>0 tubes and 0 shuttles</v>
      </c>
    </row>
    <row r="337" spans="1:16" ht="12.5" x14ac:dyDescent="0.25">
      <c r="A337" s="32">
        <f>'Profit &amp; Loss'!A337</f>
        <v>0</v>
      </c>
      <c r="B337" s="35">
        <f>'Profit &amp; Loss'!B337</f>
        <v>0</v>
      </c>
      <c r="C337" s="36"/>
      <c r="D337" s="33"/>
      <c r="E337" s="33"/>
      <c r="F337" s="101"/>
      <c r="G337" s="102">
        <f t="shared" si="24"/>
        <v>0</v>
      </c>
      <c r="H337" s="103" t="str">
        <f t="shared" si="18"/>
        <v>0 tubes and 0 shuttles</v>
      </c>
      <c r="I337" s="36">
        <f t="shared" si="25"/>
        <v>0</v>
      </c>
      <c r="J337" s="104" t="str">
        <f t="shared" si="19"/>
        <v>0 tubes and 0 shuttles</v>
      </c>
      <c r="K337" s="36">
        <f t="shared" si="26"/>
        <v>0</v>
      </c>
      <c r="L337" s="103" t="str">
        <f t="shared" si="20"/>
        <v>0 tubes and 0 shuttles</v>
      </c>
      <c r="M337" s="105">
        <f t="shared" si="27"/>
        <v>0</v>
      </c>
      <c r="N337" s="103" t="str">
        <f t="shared" si="21"/>
        <v>0 tubes and 0 shuttles</v>
      </c>
      <c r="O337" s="36">
        <f t="shared" si="22"/>
        <v>0</v>
      </c>
      <c r="P337" s="103" t="str">
        <f t="shared" si="23"/>
        <v>0 tubes and 0 shuttles</v>
      </c>
    </row>
    <row r="338" spans="1:16" ht="12.5" x14ac:dyDescent="0.25">
      <c r="A338" s="32">
        <f>'Profit &amp; Loss'!A338</f>
        <v>0</v>
      </c>
      <c r="B338" s="35">
        <f>'Profit &amp; Loss'!B338</f>
        <v>0</v>
      </c>
      <c r="C338" s="36"/>
      <c r="D338" s="33"/>
      <c r="E338" s="33"/>
      <c r="F338" s="101"/>
      <c r="G338" s="102">
        <f t="shared" si="24"/>
        <v>0</v>
      </c>
      <c r="H338" s="103" t="str">
        <f t="shared" si="18"/>
        <v>0 tubes and 0 shuttles</v>
      </c>
      <c r="I338" s="36">
        <f t="shared" si="25"/>
        <v>0</v>
      </c>
      <c r="J338" s="104" t="str">
        <f t="shared" si="19"/>
        <v>0 tubes and 0 shuttles</v>
      </c>
      <c r="K338" s="36">
        <f t="shared" si="26"/>
        <v>0</v>
      </c>
      <c r="L338" s="103" t="str">
        <f t="shared" si="20"/>
        <v>0 tubes and 0 shuttles</v>
      </c>
      <c r="M338" s="105">
        <f t="shared" si="27"/>
        <v>0</v>
      </c>
      <c r="N338" s="103" t="str">
        <f t="shared" si="21"/>
        <v>0 tubes and 0 shuttles</v>
      </c>
      <c r="O338" s="36">
        <f t="shared" si="22"/>
        <v>0</v>
      </c>
      <c r="P338" s="103" t="str">
        <f t="shared" si="23"/>
        <v>0 tubes and 0 shuttles</v>
      </c>
    </row>
    <row r="339" spans="1:16" ht="12.5" x14ac:dyDescent="0.25">
      <c r="A339" s="32">
        <f>'Profit &amp; Loss'!A339</f>
        <v>0</v>
      </c>
      <c r="B339" s="35">
        <f>'Profit &amp; Loss'!B339</f>
        <v>0</v>
      </c>
      <c r="C339" s="36"/>
      <c r="D339" s="33"/>
      <c r="E339" s="33"/>
      <c r="F339" s="101"/>
      <c r="G339" s="102">
        <f t="shared" si="24"/>
        <v>0</v>
      </c>
      <c r="H339" s="103" t="str">
        <f t="shared" si="18"/>
        <v>0 tubes and 0 shuttles</v>
      </c>
      <c r="I339" s="36">
        <f t="shared" si="25"/>
        <v>0</v>
      </c>
      <c r="J339" s="104" t="str">
        <f t="shared" si="19"/>
        <v>0 tubes and 0 shuttles</v>
      </c>
      <c r="K339" s="36">
        <f t="shared" si="26"/>
        <v>0</v>
      </c>
      <c r="L339" s="103" t="str">
        <f t="shared" si="20"/>
        <v>0 tubes and 0 shuttles</v>
      </c>
      <c r="M339" s="105">
        <f t="shared" si="27"/>
        <v>0</v>
      </c>
      <c r="N339" s="103" t="str">
        <f t="shared" si="21"/>
        <v>0 tubes and 0 shuttles</v>
      </c>
      <c r="O339" s="36">
        <f t="shared" si="22"/>
        <v>0</v>
      </c>
      <c r="P339" s="103" t="str">
        <f t="shared" si="23"/>
        <v>0 tubes and 0 shuttles</v>
      </c>
    </row>
    <row r="340" spans="1:16" ht="12.5" x14ac:dyDescent="0.25">
      <c r="A340" s="32">
        <f>'Profit &amp; Loss'!A340</f>
        <v>0</v>
      </c>
      <c r="B340" s="35">
        <f>'Profit &amp; Loss'!B340</f>
        <v>0</v>
      </c>
      <c r="C340" s="36"/>
      <c r="D340" s="33"/>
      <c r="E340" s="33"/>
      <c r="F340" s="101"/>
      <c r="G340" s="102">
        <f t="shared" si="24"/>
        <v>0</v>
      </c>
      <c r="H340" s="103" t="str">
        <f t="shared" si="18"/>
        <v>0 tubes and 0 shuttles</v>
      </c>
      <c r="I340" s="36">
        <f t="shared" si="25"/>
        <v>0</v>
      </c>
      <c r="J340" s="104" t="str">
        <f t="shared" si="19"/>
        <v>0 tubes and 0 shuttles</v>
      </c>
      <c r="K340" s="36">
        <f t="shared" si="26"/>
        <v>0</v>
      </c>
      <c r="L340" s="103" t="str">
        <f t="shared" si="20"/>
        <v>0 tubes and 0 shuttles</v>
      </c>
      <c r="M340" s="105">
        <f t="shared" si="27"/>
        <v>0</v>
      </c>
      <c r="N340" s="103" t="str">
        <f t="shared" si="21"/>
        <v>0 tubes and 0 shuttles</v>
      </c>
      <c r="O340" s="36">
        <f t="shared" si="22"/>
        <v>0</v>
      </c>
      <c r="P340" s="103" t="str">
        <f t="shared" si="23"/>
        <v>0 tubes and 0 shuttles</v>
      </c>
    </row>
    <row r="341" spans="1:16" ht="12.5" x14ac:dyDescent="0.25">
      <c r="A341" s="32">
        <f>'Profit &amp; Loss'!A341</f>
        <v>0</v>
      </c>
      <c r="B341" s="35">
        <f>'Profit &amp; Loss'!B341</f>
        <v>0</v>
      </c>
      <c r="C341" s="36"/>
      <c r="D341" s="33"/>
      <c r="E341" s="33"/>
      <c r="F341" s="101"/>
      <c r="G341" s="102">
        <f t="shared" si="24"/>
        <v>0</v>
      </c>
      <c r="H341" s="103" t="str">
        <f t="shared" si="18"/>
        <v>0 tubes and 0 shuttles</v>
      </c>
      <c r="I341" s="36">
        <f t="shared" si="25"/>
        <v>0</v>
      </c>
      <c r="J341" s="104" t="str">
        <f t="shared" si="19"/>
        <v>0 tubes and 0 shuttles</v>
      </c>
      <c r="K341" s="36">
        <f t="shared" si="26"/>
        <v>0</v>
      </c>
      <c r="L341" s="103" t="str">
        <f t="shared" si="20"/>
        <v>0 tubes and 0 shuttles</v>
      </c>
      <c r="M341" s="105">
        <f t="shared" si="27"/>
        <v>0</v>
      </c>
      <c r="N341" s="103" t="str">
        <f t="shared" si="21"/>
        <v>0 tubes and 0 shuttles</v>
      </c>
      <c r="O341" s="36">
        <f t="shared" si="22"/>
        <v>0</v>
      </c>
      <c r="P341" s="103" t="str">
        <f t="shared" si="23"/>
        <v>0 tubes and 0 shuttles</v>
      </c>
    </row>
    <row r="342" spans="1:16" ht="12.5" x14ac:dyDescent="0.25">
      <c r="A342" s="32">
        <f>'Profit &amp; Loss'!A342</f>
        <v>0</v>
      </c>
      <c r="B342" s="35">
        <f>'Profit &amp; Loss'!B342</f>
        <v>0</v>
      </c>
      <c r="C342" s="36"/>
      <c r="D342" s="33"/>
      <c r="E342" s="33"/>
      <c r="F342" s="101"/>
      <c r="G342" s="102">
        <f t="shared" si="24"/>
        <v>0</v>
      </c>
      <c r="H342" s="103" t="str">
        <f t="shared" si="18"/>
        <v>0 tubes and 0 shuttles</v>
      </c>
      <c r="I342" s="36">
        <f t="shared" si="25"/>
        <v>0</v>
      </c>
      <c r="J342" s="104" t="str">
        <f t="shared" si="19"/>
        <v>0 tubes and 0 shuttles</v>
      </c>
      <c r="K342" s="36">
        <f t="shared" si="26"/>
        <v>0</v>
      </c>
      <c r="L342" s="103" t="str">
        <f t="shared" si="20"/>
        <v>0 tubes and 0 shuttles</v>
      </c>
      <c r="M342" s="105">
        <f t="shared" si="27"/>
        <v>0</v>
      </c>
      <c r="N342" s="103" t="str">
        <f t="shared" si="21"/>
        <v>0 tubes and 0 shuttles</v>
      </c>
      <c r="O342" s="36">
        <f t="shared" si="22"/>
        <v>0</v>
      </c>
      <c r="P342" s="103" t="str">
        <f t="shared" si="23"/>
        <v>0 tubes and 0 shuttles</v>
      </c>
    </row>
    <row r="343" spans="1:16" ht="12.5" x14ac:dyDescent="0.25">
      <c r="A343" s="32">
        <f>'Profit &amp; Loss'!A343</f>
        <v>0</v>
      </c>
      <c r="B343" s="35">
        <f>'Profit &amp; Loss'!B343</f>
        <v>0</v>
      </c>
      <c r="C343" s="36"/>
      <c r="D343" s="33"/>
      <c r="E343" s="33"/>
      <c r="F343" s="101"/>
      <c r="G343" s="102">
        <f t="shared" si="24"/>
        <v>0</v>
      </c>
      <c r="H343" s="103" t="str">
        <f t="shared" si="18"/>
        <v>0 tubes and 0 shuttles</v>
      </c>
      <c r="I343" s="36">
        <f t="shared" si="25"/>
        <v>0</v>
      </c>
      <c r="J343" s="104" t="str">
        <f t="shared" si="19"/>
        <v>0 tubes and 0 shuttles</v>
      </c>
      <c r="K343" s="36">
        <f t="shared" si="26"/>
        <v>0</v>
      </c>
      <c r="L343" s="103" t="str">
        <f t="shared" si="20"/>
        <v>0 tubes and 0 shuttles</v>
      </c>
      <c r="M343" s="105">
        <f t="shared" si="27"/>
        <v>0</v>
      </c>
      <c r="N343" s="103" t="str">
        <f t="shared" si="21"/>
        <v>0 tubes and 0 shuttles</v>
      </c>
      <c r="O343" s="36">
        <f t="shared" si="22"/>
        <v>0</v>
      </c>
      <c r="P343" s="103" t="str">
        <f t="shared" si="23"/>
        <v>0 tubes and 0 shuttles</v>
      </c>
    </row>
    <row r="344" spans="1:16" ht="12.5" x14ac:dyDescent="0.25">
      <c r="A344" s="32">
        <f>'Profit &amp; Loss'!A344</f>
        <v>0</v>
      </c>
      <c r="B344" s="35">
        <f>'Profit &amp; Loss'!B344</f>
        <v>0</v>
      </c>
      <c r="C344" s="36"/>
      <c r="D344" s="33"/>
      <c r="E344" s="33"/>
      <c r="F344" s="101"/>
      <c r="G344" s="102">
        <f t="shared" si="24"/>
        <v>0</v>
      </c>
      <c r="H344" s="103" t="str">
        <f t="shared" si="18"/>
        <v>0 tubes and 0 shuttles</v>
      </c>
      <c r="I344" s="36">
        <f t="shared" si="25"/>
        <v>0</v>
      </c>
      <c r="J344" s="104" t="str">
        <f t="shared" si="19"/>
        <v>0 tubes and 0 shuttles</v>
      </c>
      <c r="K344" s="36">
        <f t="shared" si="26"/>
        <v>0</v>
      </c>
      <c r="L344" s="103" t="str">
        <f t="shared" si="20"/>
        <v>0 tubes and 0 shuttles</v>
      </c>
      <c r="M344" s="105">
        <f t="shared" si="27"/>
        <v>0</v>
      </c>
      <c r="N344" s="103" t="str">
        <f t="shared" si="21"/>
        <v>0 tubes and 0 shuttles</v>
      </c>
      <c r="O344" s="36">
        <f t="shared" si="22"/>
        <v>0</v>
      </c>
      <c r="P344" s="103" t="str">
        <f t="shared" si="23"/>
        <v>0 tubes and 0 shuttles</v>
      </c>
    </row>
    <row r="345" spans="1:16" ht="12.5" x14ac:dyDescent="0.25">
      <c r="A345" s="32">
        <f>'Profit &amp; Loss'!A345</f>
        <v>0</v>
      </c>
      <c r="B345" s="35">
        <f>'Profit &amp; Loss'!B345</f>
        <v>0</v>
      </c>
      <c r="C345" s="36"/>
      <c r="D345" s="33"/>
      <c r="E345" s="33"/>
      <c r="F345" s="101"/>
      <c r="G345" s="102">
        <f t="shared" si="24"/>
        <v>0</v>
      </c>
      <c r="H345" s="103" t="str">
        <f t="shared" si="18"/>
        <v>0 tubes and 0 shuttles</v>
      </c>
      <c r="I345" s="36">
        <f t="shared" si="25"/>
        <v>0</v>
      </c>
      <c r="J345" s="104" t="str">
        <f t="shared" si="19"/>
        <v>0 tubes and 0 shuttles</v>
      </c>
      <c r="K345" s="36">
        <f t="shared" si="26"/>
        <v>0</v>
      </c>
      <c r="L345" s="103" t="str">
        <f t="shared" si="20"/>
        <v>0 tubes and 0 shuttles</v>
      </c>
      <c r="M345" s="105">
        <f t="shared" si="27"/>
        <v>0</v>
      </c>
      <c r="N345" s="103" t="str">
        <f t="shared" si="21"/>
        <v>0 tubes and 0 shuttles</v>
      </c>
      <c r="O345" s="36">
        <f t="shared" si="22"/>
        <v>0</v>
      </c>
      <c r="P345" s="103" t="str">
        <f t="shared" si="23"/>
        <v>0 tubes and 0 shuttles</v>
      </c>
    </row>
    <row r="346" spans="1:16" ht="12.5" x14ac:dyDescent="0.25">
      <c r="A346" s="32">
        <f>'Profit &amp; Loss'!A346</f>
        <v>0</v>
      </c>
      <c r="B346" s="35">
        <f>'Profit &amp; Loss'!B346</f>
        <v>0</v>
      </c>
      <c r="C346" s="36"/>
      <c r="D346" s="33"/>
      <c r="E346" s="33"/>
      <c r="F346" s="101"/>
      <c r="G346" s="102">
        <f t="shared" si="24"/>
        <v>0</v>
      </c>
      <c r="H346" s="103" t="str">
        <f t="shared" si="18"/>
        <v>0 tubes and 0 shuttles</v>
      </c>
      <c r="I346" s="36">
        <f t="shared" si="25"/>
        <v>0</v>
      </c>
      <c r="J346" s="104" t="str">
        <f t="shared" si="19"/>
        <v>0 tubes and 0 shuttles</v>
      </c>
      <c r="K346" s="36">
        <f t="shared" si="26"/>
        <v>0</v>
      </c>
      <c r="L346" s="103" t="str">
        <f t="shared" si="20"/>
        <v>0 tubes and 0 shuttles</v>
      </c>
      <c r="M346" s="105">
        <f t="shared" si="27"/>
        <v>0</v>
      </c>
      <c r="N346" s="103" t="str">
        <f t="shared" si="21"/>
        <v>0 tubes and 0 shuttles</v>
      </c>
      <c r="O346" s="36">
        <f t="shared" si="22"/>
        <v>0</v>
      </c>
      <c r="P346" s="103" t="str">
        <f t="shared" si="23"/>
        <v>0 tubes and 0 shuttles</v>
      </c>
    </row>
    <row r="347" spans="1:16" ht="12.5" x14ac:dyDescent="0.25">
      <c r="A347" s="32">
        <f>'Profit &amp; Loss'!A347</f>
        <v>0</v>
      </c>
      <c r="B347" s="35">
        <f>'Profit &amp; Loss'!B347</f>
        <v>0</v>
      </c>
      <c r="C347" s="36"/>
      <c r="D347" s="33"/>
      <c r="E347" s="33"/>
      <c r="F347" s="101"/>
      <c r="G347" s="102">
        <f t="shared" si="24"/>
        <v>0</v>
      </c>
      <c r="H347" s="103" t="str">
        <f t="shared" si="18"/>
        <v>0 tubes and 0 shuttles</v>
      </c>
      <c r="I347" s="36">
        <f t="shared" si="25"/>
        <v>0</v>
      </c>
      <c r="J347" s="104" t="str">
        <f t="shared" si="19"/>
        <v>0 tubes and 0 shuttles</v>
      </c>
      <c r="K347" s="36">
        <f t="shared" si="26"/>
        <v>0</v>
      </c>
      <c r="L347" s="103" t="str">
        <f t="shared" si="20"/>
        <v>0 tubes and 0 shuttles</v>
      </c>
      <c r="M347" s="105">
        <f t="shared" si="27"/>
        <v>0</v>
      </c>
      <c r="N347" s="103" t="str">
        <f t="shared" si="21"/>
        <v>0 tubes and 0 shuttles</v>
      </c>
      <c r="O347" s="36">
        <f t="shared" si="22"/>
        <v>0</v>
      </c>
      <c r="P347" s="103" t="str">
        <f t="shared" si="23"/>
        <v>0 tubes and 0 shuttles</v>
      </c>
    </row>
    <row r="348" spans="1:16" ht="12.5" x14ac:dyDescent="0.25">
      <c r="A348" s="32">
        <f>'Profit &amp; Loss'!A348</f>
        <v>0</v>
      </c>
      <c r="B348" s="35">
        <f>'Profit &amp; Loss'!B348</f>
        <v>0</v>
      </c>
      <c r="C348" s="36"/>
      <c r="D348" s="33"/>
      <c r="E348" s="33"/>
      <c r="F348" s="101"/>
      <c r="G348" s="102">
        <f t="shared" si="24"/>
        <v>0</v>
      </c>
      <c r="H348" s="103" t="str">
        <f t="shared" si="18"/>
        <v>0 tubes and 0 shuttles</v>
      </c>
      <c r="I348" s="36">
        <f t="shared" si="25"/>
        <v>0</v>
      </c>
      <c r="J348" s="104" t="str">
        <f t="shared" si="19"/>
        <v>0 tubes and 0 shuttles</v>
      </c>
      <c r="K348" s="36">
        <f t="shared" si="26"/>
        <v>0</v>
      </c>
      <c r="L348" s="103" t="str">
        <f t="shared" si="20"/>
        <v>0 tubes and 0 shuttles</v>
      </c>
      <c r="M348" s="105">
        <f t="shared" si="27"/>
        <v>0</v>
      </c>
      <c r="N348" s="103" t="str">
        <f t="shared" si="21"/>
        <v>0 tubes and 0 shuttles</v>
      </c>
      <c r="O348" s="36">
        <f t="shared" si="22"/>
        <v>0</v>
      </c>
      <c r="P348" s="103" t="str">
        <f t="shared" si="23"/>
        <v>0 tubes and 0 shuttles</v>
      </c>
    </row>
    <row r="349" spans="1:16" ht="12.5" x14ac:dyDescent="0.25">
      <c r="A349" s="32">
        <f>'Profit &amp; Loss'!A349</f>
        <v>0</v>
      </c>
      <c r="B349" s="35">
        <f>'Profit &amp; Loss'!B349</f>
        <v>0</v>
      </c>
      <c r="C349" s="36"/>
      <c r="D349" s="33"/>
      <c r="E349" s="33"/>
      <c r="F349" s="101"/>
      <c r="G349" s="102">
        <f t="shared" si="24"/>
        <v>0</v>
      </c>
      <c r="H349" s="103" t="str">
        <f t="shared" si="18"/>
        <v>0 tubes and 0 shuttles</v>
      </c>
      <c r="I349" s="36">
        <f t="shared" si="25"/>
        <v>0</v>
      </c>
      <c r="J349" s="104" t="str">
        <f t="shared" si="19"/>
        <v>0 tubes and 0 shuttles</v>
      </c>
      <c r="K349" s="36">
        <f t="shared" si="26"/>
        <v>0</v>
      </c>
      <c r="L349" s="103" t="str">
        <f t="shared" si="20"/>
        <v>0 tubes and 0 shuttles</v>
      </c>
      <c r="M349" s="105">
        <f t="shared" si="27"/>
        <v>0</v>
      </c>
      <c r="N349" s="103" t="str">
        <f t="shared" si="21"/>
        <v>0 tubes and 0 shuttles</v>
      </c>
      <c r="O349" s="36">
        <f t="shared" si="22"/>
        <v>0</v>
      </c>
      <c r="P349" s="103" t="str">
        <f t="shared" si="23"/>
        <v>0 tubes and 0 shuttles</v>
      </c>
    </row>
    <row r="350" spans="1:16" ht="12.5" x14ac:dyDescent="0.25">
      <c r="A350" s="32">
        <f>'Profit &amp; Loss'!A350</f>
        <v>0</v>
      </c>
      <c r="B350" s="35">
        <f>'Profit &amp; Loss'!B350</f>
        <v>0</v>
      </c>
      <c r="C350" s="36"/>
      <c r="D350" s="33"/>
      <c r="E350" s="33"/>
      <c r="F350" s="101"/>
      <c r="G350" s="102">
        <f t="shared" si="24"/>
        <v>0</v>
      </c>
      <c r="H350" s="103" t="str">
        <f t="shared" si="18"/>
        <v>0 tubes and 0 shuttles</v>
      </c>
      <c r="I350" s="36">
        <f t="shared" si="25"/>
        <v>0</v>
      </c>
      <c r="J350" s="104" t="str">
        <f t="shared" si="19"/>
        <v>0 tubes and 0 shuttles</v>
      </c>
      <c r="K350" s="36">
        <f t="shared" si="26"/>
        <v>0</v>
      </c>
      <c r="L350" s="103" t="str">
        <f t="shared" si="20"/>
        <v>0 tubes and 0 shuttles</v>
      </c>
      <c r="M350" s="105">
        <f t="shared" si="27"/>
        <v>0</v>
      </c>
      <c r="N350" s="103" t="str">
        <f t="shared" si="21"/>
        <v>0 tubes and 0 shuttles</v>
      </c>
      <c r="O350" s="36">
        <f t="shared" si="22"/>
        <v>0</v>
      </c>
      <c r="P350" s="103" t="str">
        <f t="shared" si="23"/>
        <v>0 tubes and 0 shuttles</v>
      </c>
    </row>
    <row r="351" spans="1:16" ht="12.5" x14ac:dyDescent="0.25">
      <c r="A351" s="32">
        <f>'Profit &amp; Loss'!A351</f>
        <v>0</v>
      </c>
      <c r="B351" s="35">
        <f>'Profit &amp; Loss'!B351</f>
        <v>0</v>
      </c>
      <c r="C351" s="36"/>
      <c r="D351" s="33"/>
      <c r="E351" s="33"/>
      <c r="F351" s="101"/>
      <c r="G351" s="102">
        <f t="shared" si="24"/>
        <v>0</v>
      </c>
      <c r="H351" s="103" t="str">
        <f t="shared" si="18"/>
        <v>0 tubes and 0 shuttles</v>
      </c>
      <c r="I351" s="36">
        <f t="shared" si="25"/>
        <v>0</v>
      </c>
      <c r="J351" s="104" t="str">
        <f t="shared" si="19"/>
        <v>0 tubes and 0 shuttles</v>
      </c>
      <c r="K351" s="36">
        <f t="shared" si="26"/>
        <v>0</v>
      </c>
      <c r="L351" s="103" t="str">
        <f t="shared" si="20"/>
        <v>0 tubes and 0 shuttles</v>
      </c>
      <c r="M351" s="105">
        <f t="shared" si="27"/>
        <v>0</v>
      </c>
      <c r="N351" s="103" t="str">
        <f t="shared" si="21"/>
        <v>0 tubes and 0 shuttles</v>
      </c>
      <c r="O351" s="36">
        <f t="shared" si="22"/>
        <v>0</v>
      </c>
      <c r="P351" s="103" t="str">
        <f t="shared" si="23"/>
        <v>0 tubes and 0 shuttles</v>
      </c>
    </row>
    <row r="352" spans="1:16" ht="12.5" x14ac:dyDescent="0.25">
      <c r="A352" s="32">
        <f>'Profit &amp; Loss'!A352</f>
        <v>0</v>
      </c>
      <c r="B352" s="35">
        <f>'Profit &amp; Loss'!B352</f>
        <v>0</v>
      </c>
      <c r="C352" s="36"/>
      <c r="D352" s="33"/>
      <c r="E352" s="33"/>
      <c r="F352" s="101"/>
      <c r="G352" s="102">
        <f t="shared" si="24"/>
        <v>0</v>
      </c>
      <c r="H352" s="103" t="str">
        <f t="shared" si="18"/>
        <v>0 tubes and 0 shuttles</v>
      </c>
      <c r="I352" s="36">
        <f t="shared" si="25"/>
        <v>0</v>
      </c>
      <c r="J352" s="104" t="str">
        <f t="shared" si="19"/>
        <v>0 tubes and 0 shuttles</v>
      </c>
      <c r="K352" s="36">
        <f t="shared" si="26"/>
        <v>0</v>
      </c>
      <c r="L352" s="103" t="str">
        <f t="shared" si="20"/>
        <v>0 tubes and 0 shuttles</v>
      </c>
      <c r="M352" s="105">
        <f t="shared" si="27"/>
        <v>0</v>
      </c>
      <c r="N352" s="103" t="str">
        <f t="shared" si="21"/>
        <v>0 tubes and 0 shuttles</v>
      </c>
      <c r="O352" s="36">
        <f t="shared" si="22"/>
        <v>0</v>
      </c>
      <c r="P352" s="103" t="str">
        <f t="shared" si="23"/>
        <v>0 tubes and 0 shuttles</v>
      </c>
    </row>
    <row r="353" spans="1:16" ht="12.5" x14ac:dyDescent="0.25">
      <c r="A353" s="32">
        <f>'Profit &amp; Loss'!A353</f>
        <v>0</v>
      </c>
      <c r="B353" s="35">
        <f>'Profit &amp; Loss'!B353</f>
        <v>0</v>
      </c>
      <c r="C353" s="36"/>
      <c r="D353" s="33"/>
      <c r="E353" s="33"/>
      <c r="F353" s="101"/>
      <c r="G353" s="102">
        <f t="shared" si="24"/>
        <v>0</v>
      </c>
      <c r="H353" s="103" t="str">
        <f t="shared" si="18"/>
        <v>0 tubes and 0 shuttles</v>
      </c>
      <c r="I353" s="36">
        <f t="shared" si="25"/>
        <v>0</v>
      </c>
      <c r="J353" s="104" t="str">
        <f t="shared" si="19"/>
        <v>0 tubes and 0 shuttles</v>
      </c>
      <c r="K353" s="36">
        <f t="shared" si="26"/>
        <v>0</v>
      </c>
      <c r="L353" s="103" t="str">
        <f t="shared" si="20"/>
        <v>0 tubes and 0 shuttles</v>
      </c>
      <c r="M353" s="105">
        <f t="shared" si="27"/>
        <v>0</v>
      </c>
      <c r="N353" s="103" t="str">
        <f t="shared" si="21"/>
        <v>0 tubes and 0 shuttles</v>
      </c>
      <c r="O353" s="36">
        <f t="shared" si="22"/>
        <v>0</v>
      </c>
      <c r="P353" s="103" t="str">
        <f t="shared" si="23"/>
        <v>0 tubes and 0 shuttles</v>
      </c>
    </row>
    <row r="354" spans="1:16" ht="12.5" x14ac:dyDescent="0.25">
      <c r="A354" s="32">
        <f>'Profit &amp; Loss'!A354</f>
        <v>0</v>
      </c>
      <c r="B354" s="35">
        <f>'Profit &amp; Loss'!B354</f>
        <v>0</v>
      </c>
      <c r="C354" s="36"/>
      <c r="D354" s="33"/>
      <c r="E354" s="33"/>
      <c r="F354" s="101"/>
      <c r="G354" s="102">
        <f t="shared" si="24"/>
        <v>0</v>
      </c>
      <c r="H354" s="103" t="str">
        <f t="shared" si="18"/>
        <v>0 tubes and 0 shuttles</v>
      </c>
      <c r="I354" s="36">
        <f t="shared" si="25"/>
        <v>0</v>
      </c>
      <c r="J354" s="104" t="str">
        <f t="shared" si="19"/>
        <v>0 tubes and 0 shuttles</v>
      </c>
      <c r="K354" s="36">
        <f t="shared" si="26"/>
        <v>0</v>
      </c>
      <c r="L354" s="103" t="str">
        <f t="shared" si="20"/>
        <v>0 tubes and 0 shuttles</v>
      </c>
      <c r="M354" s="105">
        <f t="shared" si="27"/>
        <v>0</v>
      </c>
      <c r="N354" s="103" t="str">
        <f t="shared" si="21"/>
        <v>0 tubes and 0 shuttles</v>
      </c>
      <c r="O354" s="36">
        <f t="shared" si="22"/>
        <v>0</v>
      </c>
      <c r="P354" s="103" t="str">
        <f t="shared" si="23"/>
        <v>0 tubes and 0 shuttles</v>
      </c>
    </row>
    <row r="355" spans="1:16" ht="12.5" x14ac:dyDescent="0.25">
      <c r="A355" s="32">
        <f>'Profit &amp; Loss'!A355</f>
        <v>0</v>
      </c>
      <c r="B355" s="35">
        <f>'Profit &amp; Loss'!B355</f>
        <v>0</v>
      </c>
      <c r="C355" s="36"/>
      <c r="D355" s="33"/>
      <c r="E355" s="33"/>
      <c r="F355" s="101"/>
      <c r="G355" s="102">
        <f t="shared" si="24"/>
        <v>0</v>
      </c>
      <c r="H355" s="103" t="str">
        <f t="shared" si="18"/>
        <v>0 tubes and 0 shuttles</v>
      </c>
      <c r="I355" s="36">
        <f t="shared" si="25"/>
        <v>0</v>
      </c>
      <c r="J355" s="104" t="str">
        <f t="shared" si="19"/>
        <v>0 tubes and 0 shuttles</v>
      </c>
      <c r="K355" s="36">
        <f t="shared" si="26"/>
        <v>0</v>
      </c>
      <c r="L355" s="103" t="str">
        <f t="shared" si="20"/>
        <v>0 tubes and 0 shuttles</v>
      </c>
      <c r="M355" s="105">
        <f t="shared" si="27"/>
        <v>0</v>
      </c>
      <c r="N355" s="103" t="str">
        <f t="shared" si="21"/>
        <v>0 tubes and 0 shuttles</v>
      </c>
      <c r="O355" s="36">
        <f t="shared" si="22"/>
        <v>0</v>
      </c>
      <c r="P355" s="103" t="str">
        <f t="shared" si="23"/>
        <v>0 tubes and 0 shuttles</v>
      </c>
    </row>
    <row r="356" spans="1:16" ht="12.5" x14ac:dyDescent="0.25">
      <c r="A356" s="32">
        <f>'Profit &amp; Loss'!A356</f>
        <v>0</v>
      </c>
      <c r="B356" s="35">
        <f>'Profit &amp; Loss'!B356</f>
        <v>0</v>
      </c>
      <c r="C356" s="36"/>
      <c r="D356" s="33"/>
      <c r="E356" s="33"/>
      <c r="F356" s="101"/>
      <c r="G356" s="102">
        <f t="shared" si="24"/>
        <v>0</v>
      </c>
      <c r="H356" s="103" t="str">
        <f t="shared" si="18"/>
        <v>0 tubes and 0 shuttles</v>
      </c>
      <c r="I356" s="36">
        <f t="shared" si="25"/>
        <v>0</v>
      </c>
      <c r="J356" s="104" t="str">
        <f t="shared" si="19"/>
        <v>0 tubes and 0 shuttles</v>
      </c>
      <c r="K356" s="36">
        <f t="shared" si="26"/>
        <v>0</v>
      </c>
      <c r="L356" s="103" t="str">
        <f t="shared" si="20"/>
        <v>0 tubes and 0 shuttles</v>
      </c>
      <c r="M356" s="105">
        <f t="shared" si="27"/>
        <v>0</v>
      </c>
      <c r="N356" s="103" t="str">
        <f t="shared" si="21"/>
        <v>0 tubes and 0 shuttles</v>
      </c>
      <c r="O356" s="36">
        <f t="shared" si="22"/>
        <v>0</v>
      </c>
      <c r="P356" s="103" t="str">
        <f t="shared" si="23"/>
        <v>0 tubes and 0 shuttles</v>
      </c>
    </row>
    <row r="357" spans="1:16" ht="12.5" x14ac:dyDescent="0.25">
      <c r="A357" s="32">
        <f>'Profit &amp; Loss'!A357</f>
        <v>0</v>
      </c>
      <c r="B357" s="35">
        <f>'Profit &amp; Loss'!B357</f>
        <v>0</v>
      </c>
      <c r="C357" s="36"/>
      <c r="D357" s="33"/>
      <c r="E357" s="33"/>
      <c r="F357" s="101"/>
      <c r="G357" s="102">
        <f t="shared" si="24"/>
        <v>0</v>
      </c>
      <c r="H357" s="103" t="str">
        <f t="shared" si="18"/>
        <v>0 tubes and 0 shuttles</v>
      </c>
      <c r="I357" s="36">
        <f t="shared" si="25"/>
        <v>0</v>
      </c>
      <c r="J357" s="104" t="str">
        <f t="shared" si="19"/>
        <v>0 tubes and 0 shuttles</v>
      </c>
      <c r="K357" s="36">
        <f t="shared" si="26"/>
        <v>0</v>
      </c>
      <c r="L357" s="103" t="str">
        <f t="shared" si="20"/>
        <v>0 tubes and 0 shuttles</v>
      </c>
      <c r="M357" s="105">
        <f t="shared" si="27"/>
        <v>0</v>
      </c>
      <c r="N357" s="103" t="str">
        <f t="shared" si="21"/>
        <v>0 tubes and 0 shuttles</v>
      </c>
      <c r="O357" s="36">
        <f t="shared" si="22"/>
        <v>0</v>
      </c>
      <c r="P357" s="103" t="str">
        <f t="shared" si="23"/>
        <v>0 tubes and 0 shuttles</v>
      </c>
    </row>
    <row r="358" spans="1:16" ht="12.5" x14ac:dyDescent="0.25">
      <c r="A358" s="32">
        <f>'Profit &amp; Loss'!A358</f>
        <v>0</v>
      </c>
      <c r="B358" s="35">
        <f>'Profit &amp; Loss'!B358</f>
        <v>0</v>
      </c>
      <c r="C358" s="36"/>
      <c r="D358" s="33"/>
      <c r="E358" s="33"/>
      <c r="F358" s="101"/>
      <c r="G358" s="102">
        <f t="shared" si="24"/>
        <v>0</v>
      </c>
      <c r="H358" s="103" t="str">
        <f t="shared" si="18"/>
        <v>0 tubes and 0 shuttles</v>
      </c>
      <c r="I358" s="36">
        <f t="shared" si="25"/>
        <v>0</v>
      </c>
      <c r="J358" s="104" t="str">
        <f t="shared" si="19"/>
        <v>0 tubes and 0 shuttles</v>
      </c>
      <c r="K358" s="36">
        <f t="shared" si="26"/>
        <v>0</v>
      </c>
      <c r="L358" s="103" t="str">
        <f t="shared" si="20"/>
        <v>0 tubes and 0 shuttles</v>
      </c>
      <c r="M358" s="105">
        <f t="shared" si="27"/>
        <v>0</v>
      </c>
      <c r="N358" s="103" t="str">
        <f t="shared" si="21"/>
        <v>0 tubes and 0 shuttles</v>
      </c>
      <c r="O358" s="36">
        <f t="shared" si="22"/>
        <v>0</v>
      </c>
      <c r="P358" s="103" t="str">
        <f t="shared" si="23"/>
        <v>0 tubes and 0 shuttles</v>
      </c>
    </row>
    <row r="359" spans="1:16" ht="12.5" x14ac:dyDescent="0.25">
      <c r="A359" s="32">
        <f>'Profit &amp; Loss'!A359</f>
        <v>0</v>
      </c>
      <c r="B359" s="35">
        <f>'Profit &amp; Loss'!B359</f>
        <v>0</v>
      </c>
      <c r="C359" s="36"/>
      <c r="D359" s="33"/>
      <c r="E359" s="33"/>
      <c r="F359" s="101"/>
      <c r="G359" s="102">
        <f t="shared" si="24"/>
        <v>0</v>
      </c>
      <c r="H359" s="103" t="str">
        <f t="shared" si="18"/>
        <v>0 tubes and 0 shuttles</v>
      </c>
      <c r="I359" s="36">
        <f t="shared" si="25"/>
        <v>0</v>
      </c>
      <c r="J359" s="104" t="str">
        <f t="shared" si="19"/>
        <v>0 tubes and 0 shuttles</v>
      </c>
      <c r="K359" s="36">
        <f t="shared" si="26"/>
        <v>0</v>
      </c>
      <c r="L359" s="103" t="str">
        <f t="shared" si="20"/>
        <v>0 tubes and 0 shuttles</v>
      </c>
      <c r="M359" s="105">
        <f t="shared" si="27"/>
        <v>0</v>
      </c>
      <c r="N359" s="103" t="str">
        <f t="shared" si="21"/>
        <v>0 tubes and 0 shuttles</v>
      </c>
      <c r="O359" s="36">
        <f t="shared" si="22"/>
        <v>0</v>
      </c>
      <c r="P359" s="103" t="str">
        <f t="shared" si="23"/>
        <v>0 tubes and 0 shuttles</v>
      </c>
    </row>
    <row r="360" spans="1:16" ht="12.5" x14ac:dyDescent="0.25">
      <c r="A360" s="32">
        <f>'Profit &amp; Loss'!A360</f>
        <v>0</v>
      </c>
      <c r="B360" s="35">
        <f>'Profit &amp; Loss'!B360</f>
        <v>0</v>
      </c>
      <c r="C360" s="36"/>
      <c r="D360" s="33"/>
      <c r="E360" s="33"/>
      <c r="F360" s="101"/>
      <c r="G360" s="102">
        <f t="shared" si="24"/>
        <v>0</v>
      </c>
      <c r="H360" s="103" t="str">
        <f t="shared" si="18"/>
        <v>0 tubes and 0 shuttles</v>
      </c>
      <c r="I360" s="36">
        <f t="shared" si="25"/>
        <v>0</v>
      </c>
      <c r="J360" s="104" t="str">
        <f t="shared" si="19"/>
        <v>0 tubes and 0 shuttles</v>
      </c>
      <c r="K360" s="36">
        <f t="shared" si="26"/>
        <v>0</v>
      </c>
      <c r="L360" s="103" t="str">
        <f t="shared" si="20"/>
        <v>0 tubes and 0 shuttles</v>
      </c>
      <c r="M360" s="105">
        <f t="shared" si="27"/>
        <v>0</v>
      </c>
      <c r="N360" s="103" t="str">
        <f t="shared" si="21"/>
        <v>0 tubes and 0 shuttles</v>
      </c>
      <c r="O360" s="36">
        <f t="shared" si="22"/>
        <v>0</v>
      </c>
      <c r="P360" s="103" t="str">
        <f t="shared" si="23"/>
        <v>0 tubes and 0 shuttles</v>
      </c>
    </row>
    <row r="361" spans="1:16" ht="12.5" x14ac:dyDescent="0.25">
      <c r="A361" s="32">
        <f>'Profit &amp; Loss'!A361</f>
        <v>0</v>
      </c>
      <c r="B361" s="35">
        <f>'Profit &amp; Loss'!B361</f>
        <v>0</v>
      </c>
      <c r="C361" s="36"/>
      <c r="D361" s="33"/>
      <c r="E361" s="33"/>
      <c r="F361" s="101"/>
      <c r="G361" s="102">
        <f t="shared" si="24"/>
        <v>0</v>
      </c>
      <c r="H361" s="103" t="str">
        <f t="shared" si="18"/>
        <v>0 tubes and 0 shuttles</v>
      </c>
      <c r="I361" s="36">
        <f t="shared" si="25"/>
        <v>0</v>
      </c>
      <c r="J361" s="104" t="str">
        <f t="shared" si="19"/>
        <v>0 tubes and 0 shuttles</v>
      </c>
      <c r="K361" s="36">
        <f t="shared" si="26"/>
        <v>0</v>
      </c>
      <c r="L361" s="103" t="str">
        <f t="shared" si="20"/>
        <v>0 tubes and 0 shuttles</v>
      </c>
      <c r="M361" s="105">
        <f t="shared" si="27"/>
        <v>0</v>
      </c>
      <c r="N361" s="103" t="str">
        <f t="shared" si="21"/>
        <v>0 tubes and 0 shuttles</v>
      </c>
      <c r="O361" s="36">
        <f t="shared" si="22"/>
        <v>0</v>
      </c>
      <c r="P361" s="103" t="str">
        <f t="shared" si="23"/>
        <v>0 tubes and 0 shuttles</v>
      </c>
    </row>
    <row r="362" spans="1:16" ht="12.5" x14ac:dyDescent="0.25">
      <c r="A362" s="32">
        <f>'Profit &amp; Loss'!A362</f>
        <v>0</v>
      </c>
      <c r="B362" s="35">
        <f>'Profit &amp; Loss'!B362</f>
        <v>0</v>
      </c>
      <c r="C362" s="36"/>
      <c r="D362" s="33"/>
      <c r="E362" s="33"/>
      <c r="F362" s="101"/>
      <c r="G362" s="102">
        <f t="shared" si="24"/>
        <v>0</v>
      </c>
      <c r="H362" s="103" t="str">
        <f t="shared" si="18"/>
        <v>0 tubes and 0 shuttles</v>
      </c>
      <c r="I362" s="36">
        <f t="shared" si="25"/>
        <v>0</v>
      </c>
      <c r="J362" s="104" t="str">
        <f t="shared" si="19"/>
        <v>0 tubes and 0 shuttles</v>
      </c>
      <c r="K362" s="36">
        <f t="shared" si="26"/>
        <v>0</v>
      </c>
      <c r="L362" s="103" t="str">
        <f t="shared" si="20"/>
        <v>0 tubes and 0 shuttles</v>
      </c>
      <c r="M362" s="105">
        <f t="shared" si="27"/>
        <v>0</v>
      </c>
      <c r="N362" s="103" t="str">
        <f t="shared" si="21"/>
        <v>0 tubes and 0 shuttles</v>
      </c>
      <c r="O362" s="36">
        <f t="shared" si="22"/>
        <v>0</v>
      </c>
      <c r="P362" s="103" t="str">
        <f t="shared" si="23"/>
        <v>0 tubes and 0 shuttles</v>
      </c>
    </row>
    <row r="363" spans="1:16" ht="12.5" x14ac:dyDescent="0.25">
      <c r="A363" s="32">
        <f>'Profit &amp; Loss'!A363</f>
        <v>0</v>
      </c>
      <c r="B363" s="35">
        <f>'Profit &amp; Loss'!B363</f>
        <v>0</v>
      </c>
      <c r="C363" s="36"/>
      <c r="D363" s="33"/>
      <c r="E363" s="33"/>
      <c r="F363" s="101"/>
      <c r="G363" s="102">
        <f t="shared" si="24"/>
        <v>0</v>
      </c>
      <c r="H363" s="103" t="str">
        <f t="shared" si="18"/>
        <v>0 tubes and 0 shuttles</v>
      </c>
      <c r="I363" s="36">
        <f t="shared" si="25"/>
        <v>0</v>
      </c>
      <c r="J363" s="104" t="str">
        <f t="shared" si="19"/>
        <v>0 tubes and 0 shuttles</v>
      </c>
      <c r="K363" s="36">
        <f t="shared" si="26"/>
        <v>0</v>
      </c>
      <c r="L363" s="103" t="str">
        <f t="shared" si="20"/>
        <v>0 tubes and 0 shuttles</v>
      </c>
      <c r="M363" s="105">
        <f t="shared" si="27"/>
        <v>0</v>
      </c>
      <c r="N363" s="103" t="str">
        <f t="shared" si="21"/>
        <v>0 tubes and 0 shuttles</v>
      </c>
      <c r="O363" s="36">
        <f t="shared" si="22"/>
        <v>0</v>
      </c>
      <c r="P363" s="103" t="str">
        <f t="shared" si="23"/>
        <v>0 tubes and 0 shuttles</v>
      </c>
    </row>
    <row r="364" spans="1:16" ht="12.5" x14ac:dyDescent="0.25">
      <c r="A364" s="32">
        <f>'Profit &amp; Loss'!A364</f>
        <v>0</v>
      </c>
      <c r="B364" s="35">
        <f>'Profit &amp; Loss'!B364</f>
        <v>0</v>
      </c>
      <c r="C364" s="36"/>
      <c r="D364" s="33"/>
      <c r="E364" s="33"/>
      <c r="F364" s="101"/>
      <c r="G364" s="102">
        <f t="shared" si="24"/>
        <v>0</v>
      </c>
      <c r="H364" s="103" t="str">
        <f t="shared" si="18"/>
        <v>0 tubes and 0 shuttles</v>
      </c>
      <c r="I364" s="36">
        <f t="shared" si="25"/>
        <v>0</v>
      </c>
      <c r="J364" s="104" t="str">
        <f t="shared" si="19"/>
        <v>0 tubes and 0 shuttles</v>
      </c>
      <c r="K364" s="36">
        <f t="shared" si="26"/>
        <v>0</v>
      </c>
      <c r="L364" s="103" t="str">
        <f t="shared" si="20"/>
        <v>0 tubes and 0 shuttles</v>
      </c>
      <c r="M364" s="105">
        <f t="shared" si="27"/>
        <v>0</v>
      </c>
      <c r="N364" s="103" t="str">
        <f t="shared" si="21"/>
        <v>0 tubes and 0 shuttles</v>
      </c>
      <c r="O364" s="36">
        <f t="shared" si="22"/>
        <v>0</v>
      </c>
      <c r="P364" s="103" t="str">
        <f t="shared" si="23"/>
        <v>0 tubes and 0 shuttles</v>
      </c>
    </row>
    <row r="365" spans="1:16" ht="12.5" x14ac:dyDescent="0.25">
      <c r="A365" s="32">
        <f>'Profit &amp; Loss'!A365</f>
        <v>0</v>
      </c>
      <c r="B365" s="35">
        <f>'Profit &amp; Loss'!B365</f>
        <v>0</v>
      </c>
      <c r="C365" s="36"/>
      <c r="D365" s="33"/>
      <c r="E365" s="33"/>
      <c r="F365" s="101"/>
      <c r="G365" s="102">
        <f t="shared" si="24"/>
        <v>0</v>
      </c>
      <c r="H365" s="103" t="str">
        <f t="shared" si="18"/>
        <v>0 tubes and 0 shuttles</v>
      </c>
      <c r="I365" s="36">
        <f t="shared" si="25"/>
        <v>0</v>
      </c>
      <c r="J365" s="104" t="str">
        <f t="shared" si="19"/>
        <v>0 tubes and 0 shuttles</v>
      </c>
      <c r="K365" s="36">
        <f t="shared" si="26"/>
        <v>0</v>
      </c>
      <c r="L365" s="103" t="str">
        <f t="shared" si="20"/>
        <v>0 tubes and 0 shuttles</v>
      </c>
      <c r="M365" s="105">
        <f t="shared" si="27"/>
        <v>0</v>
      </c>
      <c r="N365" s="103" t="str">
        <f t="shared" si="21"/>
        <v>0 tubes and 0 shuttles</v>
      </c>
      <c r="O365" s="36">
        <f t="shared" si="22"/>
        <v>0</v>
      </c>
      <c r="P365" s="103" t="str">
        <f t="shared" si="23"/>
        <v>0 tubes and 0 shuttles</v>
      </c>
    </row>
    <row r="366" spans="1:16" ht="12.5" x14ac:dyDescent="0.25">
      <c r="A366" s="32">
        <f>'Profit &amp; Loss'!A366</f>
        <v>0</v>
      </c>
      <c r="B366" s="35">
        <f>'Profit &amp; Loss'!B366</f>
        <v>0</v>
      </c>
      <c r="C366" s="36"/>
      <c r="D366" s="33"/>
      <c r="E366" s="33"/>
      <c r="F366" s="101"/>
      <c r="G366" s="102">
        <f t="shared" si="24"/>
        <v>0</v>
      </c>
      <c r="H366" s="103" t="str">
        <f t="shared" si="18"/>
        <v>0 tubes and 0 shuttles</v>
      </c>
      <c r="I366" s="36">
        <f t="shared" si="25"/>
        <v>0</v>
      </c>
      <c r="J366" s="104" t="str">
        <f t="shared" si="19"/>
        <v>0 tubes and 0 shuttles</v>
      </c>
      <c r="K366" s="36">
        <f t="shared" si="26"/>
        <v>0</v>
      </c>
      <c r="L366" s="103" t="str">
        <f t="shared" si="20"/>
        <v>0 tubes and 0 shuttles</v>
      </c>
      <c r="M366" s="105">
        <f t="shared" si="27"/>
        <v>0</v>
      </c>
      <c r="N366" s="103" t="str">
        <f t="shared" si="21"/>
        <v>0 tubes and 0 shuttles</v>
      </c>
      <c r="O366" s="36">
        <f t="shared" si="22"/>
        <v>0</v>
      </c>
      <c r="P366" s="103" t="str">
        <f t="shared" si="23"/>
        <v>0 tubes and 0 shuttles</v>
      </c>
    </row>
    <row r="367" spans="1:16" ht="12.5" x14ac:dyDescent="0.25">
      <c r="A367" s="32">
        <f>'Profit &amp; Loss'!A367</f>
        <v>0</v>
      </c>
      <c r="B367" s="35">
        <f>'Profit &amp; Loss'!B367</f>
        <v>0</v>
      </c>
      <c r="C367" s="36"/>
      <c r="D367" s="33"/>
      <c r="E367" s="33"/>
      <c r="F367" s="101"/>
      <c r="G367" s="102">
        <f t="shared" si="24"/>
        <v>0</v>
      </c>
      <c r="H367" s="103" t="str">
        <f t="shared" si="18"/>
        <v>0 tubes and 0 shuttles</v>
      </c>
      <c r="I367" s="36">
        <f t="shared" si="25"/>
        <v>0</v>
      </c>
      <c r="J367" s="104" t="str">
        <f t="shared" si="19"/>
        <v>0 tubes and 0 shuttles</v>
      </c>
      <c r="K367" s="36">
        <f t="shared" si="26"/>
        <v>0</v>
      </c>
      <c r="L367" s="103" t="str">
        <f t="shared" si="20"/>
        <v>0 tubes and 0 shuttles</v>
      </c>
      <c r="M367" s="105">
        <f t="shared" si="27"/>
        <v>0</v>
      </c>
      <c r="N367" s="103" t="str">
        <f t="shared" si="21"/>
        <v>0 tubes and 0 shuttles</v>
      </c>
      <c r="O367" s="36">
        <f t="shared" si="22"/>
        <v>0</v>
      </c>
      <c r="P367" s="103" t="str">
        <f t="shared" si="23"/>
        <v>0 tubes and 0 shuttles</v>
      </c>
    </row>
    <row r="368" spans="1:16" ht="12.5" x14ac:dyDescent="0.25">
      <c r="A368" s="32">
        <f>'Profit &amp; Loss'!A368</f>
        <v>0</v>
      </c>
      <c r="B368" s="35">
        <f>'Profit &amp; Loss'!B368</f>
        <v>0</v>
      </c>
      <c r="C368" s="36"/>
      <c r="D368" s="33"/>
      <c r="E368" s="33"/>
      <c r="F368" s="101"/>
      <c r="G368" s="102">
        <f t="shared" si="24"/>
        <v>0</v>
      </c>
      <c r="H368" s="103" t="str">
        <f t="shared" si="18"/>
        <v>0 tubes and 0 shuttles</v>
      </c>
      <c r="I368" s="36">
        <f t="shared" si="25"/>
        <v>0</v>
      </c>
      <c r="J368" s="104" t="str">
        <f t="shared" si="19"/>
        <v>0 tubes and 0 shuttles</v>
      </c>
      <c r="K368" s="36">
        <f t="shared" si="26"/>
        <v>0</v>
      </c>
      <c r="L368" s="103" t="str">
        <f t="shared" si="20"/>
        <v>0 tubes and 0 shuttles</v>
      </c>
      <c r="M368" s="105">
        <f t="shared" si="27"/>
        <v>0</v>
      </c>
      <c r="N368" s="103" t="str">
        <f t="shared" si="21"/>
        <v>0 tubes and 0 shuttles</v>
      </c>
      <c r="O368" s="36">
        <f t="shared" si="22"/>
        <v>0</v>
      </c>
      <c r="P368" s="103" t="str">
        <f t="shared" si="23"/>
        <v>0 tubes and 0 shuttles</v>
      </c>
    </row>
    <row r="369" spans="1:16" ht="12.5" x14ac:dyDescent="0.25">
      <c r="A369" s="32">
        <f>'Profit &amp; Loss'!A369</f>
        <v>0</v>
      </c>
      <c r="B369" s="35">
        <f>'Profit &amp; Loss'!B369</f>
        <v>0</v>
      </c>
      <c r="C369" s="36"/>
      <c r="D369" s="33"/>
      <c r="E369" s="33"/>
      <c r="F369" s="101"/>
      <c r="G369" s="102">
        <f t="shared" si="24"/>
        <v>0</v>
      </c>
      <c r="H369" s="103" t="str">
        <f t="shared" si="18"/>
        <v>0 tubes and 0 shuttles</v>
      </c>
      <c r="I369" s="36">
        <f t="shared" si="25"/>
        <v>0</v>
      </c>
      <c r="J369" s="104" t="str">
        <f t="shared" si="19"/>
        <v>0 tubes and 0 shuttles</v>
      </c>
      <c r="K369" s="36">
        <f t="shared" si="26"/>
        <v>0</v>
      </c>
      <c r="L369" s="103" t="str">
        <f t="shared" si="20"/>
        <v>0 tubes and 0 shuttles</v>
      </c>
      <c r="M369" s="105">
        <f t="shared" si="27"/>
        <v>0</v>
      </c>
      <c r="N369" s="103" t="str">
        <f t="shared" si="21"/>
        <v>0 tubes and 0 shuttles</v>
      </c>
      <c r="O369" s="36">
        <f t="shared" si="22"/>
        <v>0</v>
      </c>
      <c r="P369" s="103" t="str">
        <f t="shared" si="23"/>
        <v>0 tubes and 0 shuttles</v>
      </c>
    </row>
    <row r="370" spans="1:16" ht="12.5" x14ac:dyDescent="0.25">
      <c r="A370" s="32">
        <f>'Profit &amp; Loss'!A370</f>
        <v>0</v>
      </c>
      <c r="B370" s="35">
        <f>'Profit &amp; Loss'!B370</f>
        <v>0</v>
      </c>
      <c r="C370" s="36"/>
      <c r="D370" s="33"/>
      <c r="E370" s="33"/>
      <c r="F370" s="101"/>
      <c r="G370" s="102">
        <f t="shared" si="24"/>
        <v>0</v>
      </c>
      <c r="H370" s="103" t="str">
        <f t="shared" si="18"/>
        <v>0 tubes and 0 shuttles</v>
      </c>
      <c r="I370" s="36">
        <f t="shared" si="25"/>
        <v>0</v>
      </c>
      <c r="J370" s="104" t="str">
        <f t="shared" si="19"/>
        <v>0 tubes and 0 shuttles</v>
      </c>
      <c r="K370" s="36">
        <f t="shared" si="26"/>
        <v>0</v>
      </c>
      <c r="L370" s="103" t="str">
        <f t="shared" si="20"/>
        <v>0 tubes and 0 shuttles</v>
      </c>
      <c r="M370" s="105">
        <f t="shared" si="27"/>
        <v>0</v>
      </c>
      <c r="N370" s="103" t="str">
        <f t="shared" si="21"/>
        <v>0 tubes and 0 shuttles</v>
      </c>
      <c r="O370" s="36">
        <f t="shared" si="22"/>
        <v>0</v>
      </c>
      <c r="P370" s="103" t="str">
        <f t="shared" si="23"/>
        <v>0 tubes and 0 shuttles</v>
      </c>
    </row>
    <row r="371" spans="1:16" ht="12.5" x14ac:dyDescent="0.25">
      <c r="A371" s="32">
        <f>'Profit &amp; Loss'!A371</f>
        <v>0</v>
      </c>
      <c r="B371" s="35">
        <f>'Profit &amp; Loss'!B371</f>
        <v>0</v>
      </c>
      <c r="C371" s="36"/>
      <c r="D371" s="33"/>
      <c r="E371" s="33"/>
      <c r="F371" s="101"/>
      <c r="G371" s="102">
        <f t="shared" si="24"/>
        <v>0</v>
      </c>
      <c r="H371" s="103" t="str">
        <f t="shared" si="18"/>
        <v>0 tubes and 0 shuttles</v>
      </c>
      <c r="I371" s="36">
        <f t="shared" si="25"/>
        <v>0</v>
      </c>
      <c r="J371" s="104" t="str">
        <f t="shared" si="19"/>
        <v>0 tubes and 0 shuttles</v>
      </c>
      <c r="K371" s="36">
        <f t="shared" si="26"/>
        <v>0</v>
      </c>
      <c r="L371" s="103" t="str">
        <f t="shared" si="20"/>
        <v>0 tubes and 0 shuttles</v>
      </c>
      <c r="M371" s="105">
        <f t="shared" si="27"/>
        <v>0</v>
      </c>
      <c r="N371" s="103" t="str">
        <f t="shared" si="21"/>
        <v>0 tubes and 0 shuttles</v>
      </c>
      <c r="O371" s="36">
        <f t="shared" si="22"/>
        <v>0</v>
      </c>
      <c r="P371" s="103" t="str">
        <f t="shared" si="23"/>
        <v>0 tubes and 0 shuttles</v>
      </c>
    </row>
    <row r="372" spans="1:16" ht="12.5" x14ac:dyDescent="0.25">
      <c r="A372" s="32">
        <f>'Profit &amp; Loss'!A372</f>
        <v>0</v>
      </c>
      <c r="B372" s="35">
        <f>'Profit &amp; Loss'!B372</f>
        <v>0</v>
      </c>
      <c r="C372" s="36"/>
      <c r="D372" s="33"/>
      <c r="E372" s="33"/>
      <c r="F372" s="101"/>
      <c r="G372" s="102">
        <f t="shared" si="24"/>
        <v>0</v>
      </c>
      <c r="H372" s="103" t="str">
        <f t="shared" si="18"/>
        <v>0 tubes and 0 shuttles</v>
      </c>
      <c r="I372" s="36">
        <f t="shared" si="25"/>
        <v>0</v>
      </c>
      <c r="J372" s="104" t="str">
        <f t="shared" si="19"/>
        <v>0 tubes and 0 shuttles</v>
      </c>
      <c r="K372" s="36">
        <f t="shared" si="26"/>
        <v>0</v>
      </c>
      <c r="L372" s="103" t="str">
        <f t="shared" si="20"/>
        <v>0 tubes and 0 shuttles</v>
      </c>
      <c r="M372" s="105">
        <f t="shared" si="27"/>
        <v>0</v>
      </c>
      <c r="N372" s="103" t="str">
        <f t="shared" si="21"/>
        <v>0 tubes and 0 shuttles</v>
      </c>
      <c r="O372" s="36">
        <f t="shared" si="22"/>
        <v>0</v>
      </c>
      <c r="P372" s="103" t="str">
        <f t="shared" si="23"/>
        <v>0 tubes and 0 shuttles</v>
      </c>
    </row>
    <row r="373" spans="1:16" ht="12.5" x14ac:dyDescent="0.25">
      <c r="A373" s="32">
        <f>'Profit &amp; Loss'!A373</f>
        <v>0</v>
      </c>
      <c r="B373" s="35">
        <f>'Profit &amp; Loss'!B373</f>
        <v>0</v>
      </c>
      <c r="C373" s="36"/>
      <c r="D373" s="33"/>
      <c r="E373" s="33"/>
      <c r="F373" s="101"/>
      <c r="G373" s="102">
        <f t="shared" si="24"/>
        <v>0</v>
      </c>
      <c r="H373" s="103" t="str">
        <f t="shared" si="18"/>
        <v>0 tubes and 0 shuttles</v>
      </c>
      <c r="I373" s="36">
        <f t="shared" si="25"/>
        <v>0</v>
      </c>
      <c r="J373" s="104" t="str">
        <f t="shared" si="19"/>
        <v>0 tubes and 0 shuttles</v>
      </c>
      <c r="K373" s="36">
        <f t="shared" si="26"/>
        <v>0</v>
      </c>
      <c r="L373" s="103" t="str">
        <f t="shared" si="20"/>
        <v>0 tubes and 0 shuttles</v>
      </c>
      <c r="M373" s="105">
        <f t="shared" si="27"/>
        <v>0</v>
      </c>
      <c r="N373" s="103" t="str">
        <f t="shared" si="21"/>
        <v>0 tubes and 0 shuttles</v>
      </c>
      <c r="O373" s="36">
        <f t="shared" si="22"/>
        <v>0</v>
      </c>
      <c r="P373" s="103" t="str">
        <f t="shared" si="23"/>
        <v>0 tubes and 0 shuttles</v>
      </c>
    </row>
    <row r="374" spans="1:16" ht="12.5" x14ac:dyDescent="0.25">
      <c r="A374" s="32">
        <f>'Profit &amp; Loss'!A374</f>
        <v>0</v>
      </c>
      <c r="B374" s="35">
        <f>'Profit &amp; Loss'!B374</f>
        <v>0</v>
      </c>
      <c r="C374" s="36"/>
      <c r="D374" s="33"/>
      <c r="E374" s="33"/>
      <c r="F374" s="101"/>
      <c r="G374" s="102">
        <f t="shared" si="24"/>
        <v>0</v>
      </c>
      <c r="H374" s="103" t="str">
        <f t="shared" si="18"/>
        <v>0 tubes and 0 shuttles</v>
      </c>
      <c r="I374" s="36">
        <f t="shared" si="25"/>
        <v>0</v>
      </c>
      <c r="J374" s="104" t="str">
        <f t="shared" si="19"/>
        <v>0 tubes and 0 shuttles</v>
      </c>
      <c r="K374" s="36">
        <f t="shared" si="26"/>
        <v>0</v>
      </c>
      <c r="L374" s="103" t="str">
        <f t="shared" si="20"/>
        <v>0 tubes and 0 shuttles</v>
      </c>
      <c r="M374" s="105">
        <f t="shared" si="27"/>
        <v>0</v>
      </c>
      <c r="N374" s="103" t="str">
        <f t="shared" si="21"/>
        <v>0 tubes and 0 shuttles</v>
      </c>
      <c r="O374" s="36">
        <f t="shared" si="22"/>
        <v>0</v>
      </c>
      <c r="P374" s="103" t="str">
        <f t="shared" si="23"/>
        <v>0 tubes and 0 shuttles</v>
      </c>
    </row>
    <row r="375" spans="1:16" ht="12.5" x14ac:dyDescent="0.25">
      <c r="A375" s="32">
        <f>'Profit &amp; Loss'!A375</f>
        <v>0</v>
      </c>
      <c r="B375" s="35">
        <f>'Profit &amp; Loss'!B375</f>
        <v>0</v>
      </c>
      <c r="C375" s="36"/>
      <c r="D375" s="33"/>
      <c r="E375" s="33"/>
      <c r="F375" s="101"/>
      <c r="G375" s="102">
        <f t="shared" si="24"/>
        <v>0</v>
      </c>
      <c r="H375" s="103" t="str">
        <f t="shared" si="18"/>
        <v>0 tubes and 0 shuttles</v>
      </c>
      <c r="I375" s="36">
        <f t="shared" si="25"/>
        <v>0</v>
      </c>
      <c r="J375" s="104" t="str">
        <f t="shared" si="19"/>
        <v>0 tubes and 0 shuttles</v>
      </c>
      <c r="K375" s="36">
        <f t="shared" si="26"/>
        <v>0</v>
      </c>
      <c r="L375" s="103" t="str">
        <f t="shared" si="20"/>
        <v>0 tubes and 0 shuttles</v>
      </c>
      <c r="M375" s="105">
        <f t="shared" si="27"/>
        <v>0</v>
      </c>
      <c r="N375" s="103" t="str">
        <f t="shared" si="21"/>
        <v>0 tubes and 0 shuttles</v>
      </c>
      <c r="O375" s="36">
        <f t="shared" si="22"/>
        <v>0</v>
      </c>
      <c r="P375" s="103" t="str">
        <f t="shared" si="23"/>
        <v>0 tubes and 0 shuttles</v>
      </c>
    </row>
    <row r="376" spans="1:16" ht="12.5" x14ac:dyDescent="0.25">
      <c r="A376" s="32">
        <f>'Profit &amp; Loss'!A376</f>
        <v>0</v>
      </c>
      <c r="B376" s="35">
        <f>'Profit &amp; Loss'!B376</f>
        <v>0</v>
      </c>
      <c r="C376" s="36"/>
      <c r="D376" s="33"/>
      <c r="E376" s="33"/>
      <c r="F376" s="101"/>
      <c r="G376" s="102">
        <f t="shared" si="24"/>
        <v>0</v>
      </c>
      <c r="H376" s="103" t="str">
        <f t="shared" si="18"/>
        <v>0 tubes and 0 shuttles</v>
      </c>
      <c r="I376" s="36">
        <f t="shared" si="25"/>
        <v>0</v>
      </c>
      <c r="J376" s="104" t="str">
        <f t="shared" si="19"/>
        <v>0 tubes and 0 shuttles</v>
      </c>
      <c r="K376" s="36">
        <f t="shared" si="26"/>
        <v>0</v>
      </c>
      <c r="L376" s="103" t="str">
        <f t="shared" si="20"/>
        <v>0 tubes and 0 shuttles</v>
      </c>
      <c r="M376" s="105">
        <f t="shared" si="27"/>
        <v>0</v>
      </c>
      <c r="N376" s="103" t="str">
        <f t="shared" si="21"/>
        <v>0 tubes and 0 shuttles</v>
      </c>
      <c r="O376" s="36">
        <f t="shared" si="22"/>
        <v>0</v>
      </c>
      <c r="P376" s="103" t="str">
        <f t="shared" si="23"/>
        <v>0 tubes and 0 shuttles</v>
      </c>
    </row>
    <row r="377" spans="1:16" ht="12.5" x14ac:dyDescent="0.25">
      <c r="A377" s="32">
        <f>'Profit &amp; Loss'!A377</f>
        <v>0</v>
      </c>
      <c r="B377" s="35">
        <f>'Profit &amp; Loss'!B377</f>
        <v>0</v>
      </c>
      <c r="C377" s="36"/>
      <c r="D377" s="33"/>
      <c r="E377" s="33"/>
      <c r="F377" s="101"/>
      <c r="G377" s="102">
        <f t="shared" si="24"/>
        <v>0</v>
      </c>
      <c r="H377" s="103" t="str">
        <f t="shared" si="18"/>
        <v>0 tubes and 0 shuttles</v>
      </c>
      <c r="I377" s="36">
        <f t="shared" si="25"/>
        <v>0</v>
      </c>
      <c r="J377" s="104" t="str">
        <f t="shared" si="19"/>
        <v>0 tubes and 0 shuttles</v>
      </c>
      <c r="K377" s="36">
        <f t="shared" si="26"/>
        <v>0</v>
      </c>
      <c r="L377" s="103" t="str">
        <f t="shared" si="20"/>
        <v>0 tubes and 0 shuttles</v>
      </c>
      <c r="M377" s="105">
        <f t="shared" si="27"/>
        <v>0</v>
      </c>
      <c r="N377" s="103" t="str">
        <f t="shared" si="21"/>
        <v>0 tubes and 0 shuttles</v>
      </c>
      <c r="O377" s="36">
        <f t="shared" si="22"/>
        <v>0</v>
      </c>
      <c r="P377" s="103" t="str">
        <f t="shared" si="23"/>
        <v>0 tubes and 0 shuttles</v>
      </c>
    </row>
    <row r="378" spans="1:16" ht="12.5" x14ac:dyDescent="0.25">
      <c r="A378" s="32">
        <f>'Profit &amp; Loss'!A378</f>
        <v>0</v>
      </c>
      <c r="B378" s="35">
        <f>'Profit &amp; Loss'!B378</f>
        <v>0</v>
      </c>
      <c r="C378" s="36"/>
      <c r="D378" s="33"/>
      <c r="E378" s="33"/>
      <c r="F378" s="101"/>
      <c r="G378" s="102">
        <f t="shared" si="24"/>
        <v>0</v>
      </c>
      <c r="H378" s="103" t="str">
        <f t="shared" si="18"/>
        <v>0 tubes and 0 shuttles</v>
      </c>
      <c r="I378" s="36">
        <f t="shared" si="25"/>
        <v>0</v>
      </c>
      <c r="J378" s="104" t="str">
        <f t="shared" si="19"/>
        <v>0 tubes and 0 shuttles</v>
      </c>
      <c r="K378" s="36">
        <f t="shared" si="26"/>
        <v>0</v>
      </c>
      <c r="L378" s="103" t="str">
        <f t="shared" si="20"/>
        <v>0 tubes and 0 shuttles</v>
      </c>
      <c r="M378" s="105">
        <f t="shared" si="27"/>
        <v>0</v>
      </c>
      <c r="N378" s="103" t="str">
        <f t="shared" si="21"/>
        <v>0 tubes and 0 shuttles</v>
      </c>
      <c r="O378" s="36">
        <f t="shared" si="22"/>
        <v>0</v>
      </c>
      <c r="P378" s="103" t="str">
        <f t="shared" si="23"/>
        <v>0 tubes and 0 shuttles</v>
      </c>
    </row>
    <row r="379" spans="1:16" ht="12.5" x14ac:dyDescent="0.25">
      <c r="A379" s="32">
        <f>'Profit &amp; Loss'!A379</f>
        <v>0</v>
      </c>
      <c r="B379" s="35">
        <f>'Profit &amp; Loss'!B379</f>
        <v>0</v>
      </c>
      <c r="C379" s="36"/>
      <c r="D379" s="33"/>
      <c r="E379" s="33"/>
      <c r="F379" s="101"/>
      <c r="G379" s="102">
        <f t="shared" si="24"/>
        <v>0</v>
      </c>
      <c r="H379" s="103" t="str">
        <f t="shared" si="18"/>
        <v>0 tubes and 0 shuttles</v>
      </c>
      <c r="I379" s="36">
        <f t="shared" si="25"/>
        <v>0</v>
      </c>
      <c r="J379" s="104" t="str">
        <f t="shared" si="19"/>
        <v>0 tubes and 0 shuttles</v>
      </c>
      <c r="K379" s="36">
        <f t="shared" si="26"/>
        <v>0</v>
      </c>
      <c r="L379" s="103" t="str">
        <f t="shared" si="20"/>
        <v>0 tubes and 0 shuttles</v>
      </c>
      <c r="M379" s="105">
        <f t="shared" si="27"/>
        <v>0</v>
      </c>
      <c r="N379" s="103" t="str">
        <f t="shared" si="21"/>
        <v>0 tubes and 0 shuttles</v>
      </c>
      <c r="O379" s="36">
        <f t="shared" si="22"/>
        <v>0</v>
      </c>
      <c r="P379" s="103" t="str">
        <f t="shared" si="23"/>
        <v>0 tubes and 0 shuttles</v>
      </c>
    </row>
    <row r="380" spans="1:16" ht="12.5" x14ac:dyDescent="0.25">
      <c r="A380" s="32">
        <f>'Profit &amp; Loss'!A380</f>
        <v>0</v>
      </c>
      <c r="B380" s="35">
        <f>'Profit &amp; Loss'!B380</f>
        <v>0</v>
      </c>
      <c r="C380" s="36"/>
      <c r="D380" s="33"/>
      <c r="E380" s="33"/>
      <c r="F380" s="101"/>
      <c r="G380" s="102">
        <f t="shared" si="24"/>
        <v>0</v>
      </c>
      <c r="H380" s="103" t="str">
        <f t="shared" si="18"/>
        <v>0 tubes and 0 shuttles</v>
      </c>
      <c r="I380" s="36">
        <f t="shared" si="25"/>
        <v>0</v>
      </c>
      <c r="J380" s="104" t="str">
        <f t="shared" si="19"/>
        <v>0 tubes and 0 shuttles</v>
      </c>
      <c r="K380" s="36">
        <f t="shared" si="26"/>
        <v>0</v>
      </c>
      <c r="L380" s="103" t="str">
        <f t="shared" si="20"/>
        <v>0 tubes and 0 shuttles</v>
      </c>
      <c r="M380" s="105">
        <f t="shared" si="27"/>
        <v>0</v>
      </c>
      <c r="N380" s="103" t="str">
        <f t="shared" si="21"/>
        <v>0 tubes and 0 shuttles</v>
      </c>
      <c r="O380" s="36">
        <f t="shared" si="22"/>
        <v>0</v>
      </c>
      <c r="P380" s="103" t="str">
        <f t="shared" si="23"/>
        <v>0 tubes and 0 shuttles</v>
      </c>
    </row>
    <row r="381" spans="1:16" ht="12.5" x14ac:dyDescent="0.25">
      <c r="A381" s="32">
        <f>'Profit &amp; Loss'!A381</f>
        <v>0</v>
      </c>
      <c r="B381" s="35">
        <f>'Profit &amp; Loss'!B381</f>
        <v>0</v>
      </c>
      <c r="C381" s="36"/>
      <c r="D381" s="33"/>
      <c r="E381" s="33"/>
      <c r="F381" s="101"/>
      <c r="G381" s="102">
        <f t="shared" si="24"/>
        <v>0</v>
      </c>
      <c r="H381" s="103" t="str">
        <f t="shared" si="18"/>
        <v>0 tubes and 0 shuttles</v>
      </c>
      <c r="I381" s="36">
        <f t="shared" si="25"/>
        <v>0</v>
      </c>
      <c r="J381" s="104" t="str">
        <f t="shared" si="19"/>
        <v>0 tubes and 0 shuttles</v>
      </c>
      <c r="K381" s="36">
        <f t="shared" si="26"/>
        <v>0</v>
      </c>
      <c r="L381" s="103" t="str">
        <f t="shared" si="20"/>
        <v>0 tubes and 0 shuttles</v>
      </c>
      <c r="M381" s="105">
        <f t="shared" si="27"/>
        <v>0</v>
      </c>
      <c r="N381" s="103" t="str">
        <f t="shared" si="21"/>
        <v>0 tubes and 0 shuttles</v>
      </c>
      <c r="O381" s="36">
        <f t="shared" si="22"/>
        <v>0</v>
      </c>
      <c r="P381" s="103" t="str">
        <f t="shared" si="23"/>
        <v>0 tubes and 0 shuttles</v>
      </c>
    </row>
    <row r="382" spans="1:16" ht="12.5" x14ac:dyDescent="0.25">
      <c r="A382" s="32">
        <f>'Profit &amp; Loss'!A382</f>
        <v>0</v>
      </c>
      <c r="B382" s="35">
        <f>'Profit &amp; Loss'!B382</f>
        <v>0</v>
      </c>
      <c r="C382" s="36"/>
      <c r="D382" s="33"/>
      <c r="E382" s="33"/>
      <c r="F382" s="101"/>
      <c r="G382" s="102">
        <f t="shared" si="24"/>
        <v>0</v>
      </c>
      <c r="H382" s="103" t="str">
        <f t="shared" si="18"/>
        <v>0 tubes and 0 shuttles</v>
      </c>
      <c r="I382" s="36">
        <f t="shared" si="25"/>
        <v>0</v>
      </c>
      <c r="J382" s="104" t="str">
        <f t="shared" si="19"/>
        <v>0 tubes and 0 shuttles</v>
      </c>
      <c r="K382" s="36">
        <f t="shared" si="26"/>
        <v>0</v>
      </c>
      <c r="L382" s="103" t="str">
        <f t="shared" si="20"/>
        <v>0 tubes and 0 shuttles</v>
      </c>
      <c r="M382" s="105">
        <f t="shared" si="27"/>
        <v>0</v>
      </c>
      <c r="N382" s="103" t="str">
        <f t="shared" si="21"/>
        <v>0 tubes and 0 shuttles</v>
      </c>
      <c r="O382" s="36">
        <f t="shared" si="22"/>
        <v>0</v>
      </c>
      <c r="P382" s="103" t="str">
        <f t="shared" si="23"/>
        <v>0 tubes and 0 shuttles</v>
      </c>
    </row>
    <row r="383" spans="1:16" ht="12.5" x14ac:dyDescent="0.25">
      <c r="A383" s="32">
        <f>'Profit &amp; Loss'!A383</f>
        <v>0</v>
      </c>
      <c r="B383" s="35">
        <f>'Profit &amp; Loss'!B383</f>
        <v>0</v>
      </c>
      <c r="C383" s="36"/>
      <c r="D383" s="33"/>
      <c r="E383" s="33"/>
      <c r="F383" s="101"/>
      <c r="G383" s="102">
        <f t="shared" si="24"/>
        <v>0</v>
      </c>
      <c r="H383" s="103" t="str">
        <f t="shared" si="18"/>
        <v>0 tubes and 0 shuttles</v>
      </c>
      <c r="I383" s="36">
        <f t="shared" si="25"/>
        <v>0</v>
      </c>
      <c r="J383" s="104" t="str">
        <f t="shared" si="19"/>
        <v>0 tubes and 0 shuttles</v>
      </c>
      <c r="K383" s="36">
        <f t="shared" si="26"/>
        <v>0</v>
      </c>
      <c r="L383" s="103" t="str">
        <f t="shared" si="20"/>
        <v>0 tubes and 0 shuttles</v>
      </c>
      <c r="M383" s="105">
        <f t="shared" si="27"/>
        <v>0</v>
      </c>
      <c r="N383" s="103" t="str">
        <f t="shared" si="21"/>
        <v>0 tubes and 0 shuttles</v>
      </c>
      <c r="O383" s="36">
        <f t="shared" si="22"/>
        <v>0</v>
      </c>
      <c r="P383" s="103" t="str">
        <f t="shared" si="23"/>
        <v>0 tubes and 0 shuttles</v>
      </c>
    </row>
    <row r="384" spans="1:16" ht="12.5" x14ac:dyDescent="0.25">
      <c r="A384" s="32">
        <f>'Profit &amp; Loss'!A384</f>
        <v>0</v>
      </c>
      <c r="B384" s="35">
        <f>'Profit &amp; Loss'!B384</f>
        <v>0</v>
      </c>
      <c r="C384" s="36"/>
      <c r="D384" s="33"/>
      <c r="E384" s="33"/>
      <c r="F384" s="101"/>
      <c r="G384" s="102">
        <f t="shared" si="24"/>
        <v>0</v>
      </c>
      <c r="H384" s="103" t="str">
        <f t="shared" si="18"/>
        <v>0 tubes and 0 shuttles</v>
      </c>
      <c r="I384" s="36">
        <f t="shared" si="25"/>
        <v>0</v>
      </c>
      <c r="J384" s="104" t="str">
        <f t="shared" si="19"/>
        <v>0 tubes and 0 shuttles</v>
      </c>
      <c r="K384" s="36">
        <f t="shared" si="26"/>
        <v>0</v>
      </c>
      <c r="L384" s="103" t="str">
        <f t="shared" si="20"/>
        <v>0 tubes and 0 shuttles</v>
      </c>
      <c r="M384" s="105">
        <f t="shared" si="27"/>
        <v>0</v>
      </c>
      <c r="N384" s="103" t="str">
        <f t="shared" si="21"/>
        <v>0 tubes and 0 shuttles</v>
      </c>
      <c r="O384" s="36">
        <f t="shared" si="22"/>
        <v>0</v>
      </c>
      <c r="P384" s="103" t="str">
        <f t="shared" si="23"/>
        <v>0 tubes and 0 shuttles</v>
      </c>
    </row>
    <row r="385" spans="1:16" ht="12.5" x14ac:dyDescent="0.25">
      <c r="A385" s="32">
        <f>'Profit &amp; Loss'!A385</f>
        <v>0</v>
      </c>
      <c r="B385" s="35">
        <f>'Profit &amp; Loss'!B385</f>
        <v>0</v>
      </c>
      <c r="C385" s="36"/>
      <c r="D385" s="33"/>
      <c r="E385" s="33"/>
      <c r="F385" s="101"/>
      <c r="G385" s="102">
        <f t="shared" si="24"/>
        <v>0</v>
      </c>
      <c r="H385" s="103" t="str">
        <f t="shared" si="18"/>
        <v>0 tubes and 0 shuttles</v>
      </c>
      <c r="I385" s="36">
        <f t="shared" si="25"/>
        <v>0</v>
      </c>
      <c r="J385" s="104" t="str">
        <f t="shared" si="19"/>
        <v>0 tubes and 0 shuttles</v>
      </c>
      <c r="K385" s="36">
        <f t="shared" si="26"/>
        <v>0</v>
      </c>
      <c r="L385" s="103" t="str">
        <f t="shared" si="20"/>
        <v>0 tubes and 0 shuttles</v>
      </c>
      <c r="M385" s="105">
        <f t="shared" si="27"/>
        <v>0</v>
      </c>
      <c r="N385" s="103" t="str">
        <f t="shared" si="21"/>
        <v>0 tubes and 0 shuttles</v>
      </c>
      <c r="O385" s="36">
        <f t="shared" si="22"/>
        <v>0</v>
      </c>
      <c r="P385" s="103" t="str">
        <f t="shared" si="23"/>
        <v>0 tubes and 0 shuttles</v>
      </c>
    </row>
    <row r="386" spans="1:16" ht="12.5" x14ac:dyDescent="0.25">
      <c r="A386" s="32">
        <f>'Profit &amp; Loss'!A386</f>
        <v>0</v>
      </c>
      <c r="B386" s="35">
        <f>'Profit &amp; Loss'!B386</f>
        <v>0</v>
      </c>
      <c r="C386" s="36"/>
      <c r="D386" s="33"/>
      <c r="E386" s="33"/>
      <c r="F386" s="101"/>
      <c r="G386" s="102">
        <f t="shared" si="24"/>
        <v>0</v>
      </c>
      <c r="H386" s="103" t="str">
        <f t="shared" si="18"/>
        <v>0 tubes and 0 shuttles</v>
      </c>
      <c r="I386" s="36">
        <f t="shared" si="25"/>
        <v>0</v>
      </c>
      <c r="J386" s="104" t="str">
        <f t="shared" si="19"/>
        <v>0 tubes and 0 shuttles</v>
      </c>
      <c r="K386" s="36">
        <f t="shared" si="26"/>
        <v>0</v>
      </c>
      <c r="L386" s="103" t="str">
        <f t="shared" si="20"/>
        <v>0 tubes and 0 shuttles</v>
      </c>
      <c r="M386" s="105">
        <f t="shared" si="27"/>
        <v>0</v>
      </c>
      <c r="N386" s="103" t="str">
        <f t="shared" si="21"/>
        <v>0 tubes and 0 shuttles</v>
      </c>
      <c r="O386" s="36">
        <f t="shared" si="22"/>
        <v>0</v>
      </c>
      <c r="P386" s="103" t="str">
        <f t="shared" si="23"/>
        <v>0 tubes and 0 shuttles</v>
      </c>
    </row>
    <row r="387" spans="1:16" ht="12.5" x14ac:dyDescent="0.25">
      <c r="A387" s="32">
        <f>'Profit &amp; Loss'!A387</f>
        <v>0</v>
      </c>
      <c r="B387" s="35">
        <f>'Profit &amp; Loss'!B387</f>
        <v>0</v>
      </c>
      <c r="C387" s="36"/>
      <c r="D387" s="33"/>
      <c r="E387" s="33"/>
      <c r="F387" s="101"/>
      <c r="G387" s="102">
        <f t="shared" si="24"/>
        <v>0</v>
      </c>
      <c r="H387" s="103" t="str">
        <f t="shared" si="18"/>
        <v>0 tubes and 0 shuttles</v>
      </c>
      <c r="I387" s="36">
        <f t="shared" si="25"/>
        <v>0</v>
      </c>
      <c r="J387" s="104" t="str">
        <f t="shared" si="19"/>
        <v>0 tubes and 0 shuttles</v>
      </c>
      <c r="K387" s="36">
        <f t="shared" si="26"/>
        <v>0</v>
      </c>
      <c r="L387" s="103" t="str">
        <f t="shared" si="20"/>
        <v>0 tubes and 0 shuttles</v>
      </c>
      <c r="M387" s="105">
        <f t="shared" si="27"/>
        <v>0</v>
      </c>
      <c r="N387" s="103" t="str">
        <f t="shared" si="21"/>
        <v>0 tubes and 0 shuttles</v>
      </c>
      <c r="O387" s="36">
        <f t="shared" si="22"/>
        <v>0</v>
      </c>
      <c r="P387" s="103" t="str">
        <f t="shared" si="23"/>
        <v>0 tubes and 0 shuttles</v>
      </c>
    </row>
    <row r="388" spans="1:16" ht="12.5" x14ac:dyDescent="0.25">
      <c r="A388" s="32">
        <f>'Profit &amp; Loss'!A388</f>
        <v>0</v>
      </c>
      <c r="B388" s="35">
        <f>'Profit &amp; Loss'!B388</f>
        <v>0</v>
      </c>
      <c r="C388" s="36"/>
      <c r="D388" s="33"/>
      <c r="E388" s="33"/>
      <c r="F388" s="101"/>
      <c r="G388" s="102">
        <f t="shared" si="24"/>
        <v>0</v>
      </c>
      <c r="H388" s="103" t="str">
        <f t="shared" si="18"/>
        <v>0 tubes and 0 shuttles</v>
      </c>
      <c r="I388" s="36">
        <f t="shared" si="25"/>
        <v>0</v>
      </c>
      <c r="J388" s="104" t="str">
        <f t="shared" si="19"/>
        <v>0 tubes and 0 shuttles</v>
      </c>
      <c r="K388" s="36">
        <f t="shared" si="26"/>
        <v>0</v>
      </c>
      <c r="L388" s="103" t="str">
        <f t="shared" si="20"/>
        <v>0 tubes and 0 shuttles</v>
      </c>
      <c r="M388" s="105">
        <f t="shared" si="27"/>
        <v>0</v>
      </c>
      <c r="N388" s="103" t="str">
        <f t="shared" si="21"/>
        <v>0 tubes and 0 shuttles</v>
      </c>
      <c r="O388" s="36">
        <f t="shared" si="22"/>
        <v>0</v>
      </c>
      <c r="P388" s="103" t="str">
        <f t="shared" si="23"/>
        <v>0 tubes and 0 shuttles</v>
      </c>
    </row>
    <row r="389" spans="1:16" ht="12.5" x14ac:dyDescent="0.25">
      <c r="A389" s="32">
        <f>'Profit &amp; Loss'!A389</f>
        <v>0</v>
      </c>
      <c r="B389" s="35">
        <f>'Profit &amp; Loss'!B389</f>
        <v>0</v>
      </c>
      <c r="C389" s="36"/>
      <c r="D389" s="33"/>
      <c r="E389" s="33"/>
      <c r="F389" s="101"/>
      <c r="G389" s="102">
        <f t="shared" si="24"/>
        <v>0</v>
      </c>
      <c r="H389" s="103" t="str">
        <f t="shared" si="18"/>
        <v>0 tubes and 0 shuttles</v>
      </c>
      <c r="I389" s="36">
        <f t="shared" si="25"/>
        <v>0</v>
      </c>
      <c r="J389" s="104" t="str">
        <f t="shared" si="19"/>
        <v>0 tubes and 0 shuttles</v>
      </c>
      <c r="K389" s="36">
        <f t="shared" si="26"/>
        <v>0</v>
      </c>
      <c r="L389" s="103" t="str">
        <f t="shared" si="20"/>
        <v>0 tubes and 0 shuttles</v>
      </c>
      <c r="M389" s="105">
        <f t="shared" si="27"/>
        <v>0</v>
      </c>
      <c r="N389" s="103" t="str">
        <f t="shared" si="21"/>
        <v>0 tubes and 0 shuttles</v>
      </c>
      <c r="O389" s="36">
        <f t="shared" si="22"/>
        <v>0</v>
      </c>
      <c r="P389" s="103" t="str">
        <f t="shared" si="23"/>
        <v>0 tubes and 0 shuttles</v>
      </c>
    </row>
    <row r="390" spans="1:16" ht="12.5" x14ac:dyDescent="0.25">
      <c r="A390" s="32">
        <f>'Profit &amp; Loss'!A390</f>
        <v>0</v>
      </c>
      <c r="B390" s="35">
        <f>'Profit &amp; Loss'!B390</f>
        <v>0</v>
      </c>
      <c r="C390" s="36"/>
      <c r="D390" s="33"/>
      <c r="E390" s="33"/>
      <c r="F390" s="101"/>
      <c r="G390" s="102">
        <f t="shared" si="24"/>
        <v>0</v>
      </c>
      <c r="H390" s="103" t="str">
        <f t="shared" si="18"/>
        <v>0 tubes and 0 shuttles</v>
      </c>
      <c r="I390" s="36">
        <f t="shared" si="25"/>
        <v>0</v>
      </c>
      <c r="J390" s="104" t="str">
        <f t="shared" si="19"/>
        <v>0 tubes and 0 shuttles</v>
      </c>
      <c r="K390" s="36">
        <f t="shared" si="26"/>
        <v>0</v>
      </c>
      <c r="L390" s="103" t="str">
        <f t="shared" si="20"/>
        <v>0 tubes and 0 shuttles</v>
      </c>
      <c r="M390" s="105">
        <f t="shared" si="27"/>
        <v>0</v>
      </c>
      <c r="N390" s="103" t="str">
        <f t="shared" si="21"/>
        <v>0 tubes and 0 shuttles</v>
      </c>
      <c r="O390" s="36">
        <f t="shared" si="22"/>
        <v>0</v>
      </c>
      <c r="P390" s="103" t="str">
        <f t="shared" si="23"/>
        <v>0 tubes and 0 shuttles</v>
      </c>
    </row>
    <row r="391" spans="1:16" ht="12.5" x14ac:dyDescent="0.25">
      <c r="A391" s="32">
        <f>'Profit &amp; Loss'!A391</f>
        <v>0</v>
      </c>
      <c r="B391" s="35">
        <f>'Profit &amp; Loss'!B391</f>
        <v>0</v>
      </c>
      <c r="C391" s="36"/>
      <c r="D391" s="33"/>
      <c r="E391" s="33"/>
      <c r="F391" s="101"/>
      <c r="G391" s="102">
        <f t="shared" si="24"/>
        <v>0</v>
      </c>
      <c r="H391" s="103" t="str">
        <f t="shared" si="18"/>
        <v>0 tubes and 0 shuttles</v>
      </c>
      <c r="I391" s="36">
        <f t="shared" si="25"/>
        <v>0</v>
      </c>
      <c r="J391" s="104" t="str">
        <f t="shared" si="19"/>
        <v>0 tubes and 0 shuttles</v>
      </c>
      <c r="K391" s="36">
        <f t="shared" si="26"/>
        <v>0</v>
      </c>
      <c r="L391" s="103" t="str">
        <f t="shared" si="20"/>
        <v>0 tubes and 0 shuttles</v>
      </c>
      <c r="M391" s="105">
        <f t="shared" si="27"/>
        <v>0</v>
      </c>
      <c r="N391" s="103" t="str">
        <f t="shared" si="21"/>
        <v>0 tubes and 0 shuttles</v>
      </c>
      <c r="O391" s="36">
        <f t="shared" si="22"/>
        <v>0</v>
      </c>
      <c r="P391" s="103" t="str">
        <f t="shared" si="23"/>
        <v>0 tubes and 0 shuttles</v>
      </c>
    </row>
    <row r="392" spans="1:16" ht="12.5" x14ac:dyDescent="0.25">
      <c r="A392" s="32">
        <f>'Profit &amp; Loss'!A392</f>
        <v>0</v>
      </c>
      <c r="B392" s="35">
        <f>'Profit &amp; Loss'!B392</f>
        <v>0</v>
      </c>
      <c r="C392" s="36"/>
      <c r="D392" s="33"/>
      <c r="E392" s="33"/>
      <c r="F392" s="101"/>
      <c r="G392" s="102">
        <f t="shared" si="24"/>
        <v>0</v>
      </c>
      <c r="H392" s="103" t="str">
        <f t="shared" si="18"/>
        <v>0 tubes and 0 shuttles</v>
      </c>
      <c r="I392" s="36">
        <f t="shared" si="25"/>
        <v>0</v>
      </c>
      <c r="J392" s="104" t="str">
        <f t="shared" si="19"/>
        <v>0 tubes and 0 shuttles</v>
      </c>
      <c r="K392" s="36">
        <f t="shared" si="26"/>
        <v>0</v>
      </c>
      <c r="L392" s="103" t="str">
        <f t="shared" si="20"/>
        <v>0 tubes and 0 shuttles</v>
      </c>
      <c r="M392" s="105">
        <f t="shared" si="27"/>
        <v>0</v>
      </c>
      <c r="N392" s="103" t="str">
        <f t="shared" si="21"/>
        <v>0 tubes and 0 shuttles</v>
      </c>
      <c r="O392" s="36">
        <f t="shared" si="22"/>
        <v>0</v>
      </c>
      <c r="P392" s="103" t="str">
        <f t="shared" si="23"/>
        <v>0 tubes and 0 shuttles</v>
      </c>
    </row>
    <row r="393" spans="1:16" ht="12.5" x14ac:dyDescent="0.25">
      <c r="A393" s="32">
        <f>'Profit &amp; Loss'!A393</f>
        <v>0</v>
      </c>
      <c r="B393" s="35">
        <f>'Profit &amp; Loss'!B393</f>
        <v>0</v>
      </c>
      <c r="C393" s="36"/>
      <c r="D393" s="33"/>
      <c r="E393" s="33"/>
      <c r="F393" s="101"/>
      <c r="G393" s="102">
        <f t="shared" si="24"/>
        <v>0</v>
      </c>
      <c r="H393" s="103" t="str">
        <f t="shared" si="18"/>
        <v>0 tubes and 0 shuttles</v>
      </c>
      <c r="I393" s="36">
        <f t="shared" si="25"/>
        <v>0</v>
      </c>
      <c r="J393" s="104" t="str">
        <f t="shared" si="19"/>
        <v>0 tubes and 0 shuttles</v>
      </c>
      <c r="K393" s="36">
        <f t="shared" si="26"/>
        <v>0</v>
      </c>
      <c r="L393" s="103" t="str">
        <f t="shared" si="20"/>
        <v>0 tubes and 0 shuttles</v>
      </c>
      <c r="M393" s="105">
        <f t="shared" si="27"/>
        <v>0</v>
      </c>
      <c r="N393" s="103" t="str">
        <f t="shared" si="21"/>
        <v>0 tubes and 0 shuttles</v>
      </c>
      <c r="O393" s="36">
        <f t="shared" si="22"/>
        <v>0</v>
      </c>
      <c r="P393" s="103" t="str">
        <f t="shared" si="23"/>
        <v>0 tubes and 0 shuttles</v>
      </c>
    </row>
    <row r="394" spans="1:16" ht="12.5" x14ac:dyDescent="0.25">
      <c r="A394" s="32">
        <f>'Profit &amp; Loss'!A394</f>
        <v>0</v>
      </c>
      <c r="B394" s="35">
        <f>'Profit &amp; Loss'!B394</f>
        <v>0</v>
      </c>
      <c r="C394" s="36"/>
      <c r="D394" s="33"/>
      <c r="E394" s="33"/>
      <c r="F394" s="101"/>
      <c r="G394" s="102">
        <f t="shared" si="24"/>
        <v>0</v>
      </c>
      <c r="H394" s="103" t="str">
        <f t="shared" si="18"/>
        <v>0 tubes and 0 shuttles</v>
      </c>
      <c r="I394" s="36">
        <f t="shared" si="25"/>
        <v>0</v>
      </c>
      <c r="J394" s="104" t="str">
        <f t="shared" si="19"/>
        <v>0 tubes and 0 shuttles</v>
      </c>
      <c r="K394" s="36">
        <f t="shared" si="26"/>
        <v>0</v>
      </c>
      <c r="L394" s="103" t="str">
        <f t="shared" si="20"/>
        <v>0 tubes and 0 shuttles</v>
      </c>
      <c r="M394" s="105">
        <f t="shared" si="27"/>
        <v>0</v>
      </c>
      <c r="N394" s="103" t="str">
        <f t="shared" si="21"/>
        <v>0 tubes and 0 shuttles</v>
      </c>
      <c r="O394" s="36">
        <f t="shared" si="22"/>
        <v>0</v>
      </c>
      <c r="P394" s="103" t="str">
        <f t="shared" si="23"/>
        <v>0 tubes and 0 shuttles</v>
      </c>
    </row>
    <row r="395" spans="1:16" ht="12.5" x14ac:dyDescent="0.25">
      <c r="A395" s="32">
        <f>'Profit &amp; Loss'!A395</f>
        <v>0</v>
      </c>
      <c r="B395" s="35">
        <f>'Profit &amp; Loss'!B395</f>
        <v>0</v>
      </c>
      <c r="C395" s="36"/>
      <c r="D395" s="33"/>
      <c r="E395" s="33"/>
      <c r="F395" s="101"/>
      <c r="G395" s="102">
        <f t="shared" si="24"/>
        <v>0</v>
      </c>
      <c r="H395" s="103" t="str">
        <f t="shared" si="18"/>
        <v>0 tubes and 0 shuttles</v>
      </c>
      <c r="I395" s="36">
        <f t="shared" si="25"/>
        <v>0</v>
      </c>
      <c r="J395" s="104" t="str">
        <f t="shared" si="19"/>
        <v>0 tubes and 0 shuttles</v>
      </c>
      <c r="K395" s="36">
        <f t="shared" si="26"/>
        <v>0</v>
      </c>
      <c r="L395" s="103" t="str">
        <f t="shared" si="20"/>
        <v>0 tubes and 0 shuttles</v>
      </c>
      <c r="M395" s="105">
        <f t="shared" si="27"/>
        <v>0</v>
      </c>
      <c r="N395" s="103" t="str">
        <f t="shared" si="21"/>
        <v>0 tubes and 0 shuttles</v>
      </c>
      <c r="O395" s="36">
        <f t="shared" si="22"/>
        <v>0</v>
      </c>
      <c r="P395" s="103" t="str">
        <f t="shared" si="23"/>
        <v>0 tubes and 0 shuttles</v>
      </c>
    </row>
    <row r="396" spans="1:16" ht="12.5" x14ac:dyDescent="0.25">
      <c r="A396" s="32">
        <f>'Profit &amp; Loss'!A396</f>
        <v>0</v>
      </c>
      <c r="B396" s="35">
        <f>'Profit &amp; Loss'!B396</f>
        <v>0</v>
      </c>
      <c r="C396" s="36"/>
      <c r="D396" s="33"/>
      <c r="E396" s="33"/>
      <c r="F396" s="101"/>
      <c r="G396" s="102">
        <f t="shared" si="24"/>
        <v>0</v>
      </c>
      <c r="H396" s="103" t="str">
        <f t="shared" si="18"/>
        <v>0 tubes and 0 shuttles</v>
      </c>
      <c r="I396" s="36">
        <f t="shared" si="25"/>
        <v>0</v>
      </c>
      <c r="J396" s="104" t="str">
        <f t="shared" si="19"/>
        <v>0 tubes and 0 shuttles</v>
      </c>
      <c r="K396" s="36">
        <f t="shared" si="26"/>
        <v>0</v>
      </c>
      <c r="L396" s="103" t="str">
        <f t="shared" si="20"/>
        <v>0 tubes and 0 shuttles</v>
      </c>
      <c r="M396" s="105">
        <f t="shared" si="27"/>
        <v>0</v>
      </c>
      <c r="N396" s="103" t="str">
        <f t="shared" si="21"/>
        <v>0 tubes and 0 shuttles</v>
      </c>
      <c r="O396" s="36">
        <f t="shared" si="22"/>
        <v>0</v>
      </c>
      <c r="P396" s="103" t="str">
        <f t="shared" si="23"/>
        <v>0 tubes and 0 shuttles</v>
      </c>
    </row>
    <row r="397" spans="1:16" ht="12.5" x14ac:dyDescent="0.25">
      <c r="A397" s="32">
        <f>'Profit &amp; Loss'!A397</f>
        <v>0</v>
      </c>
      <c r="B397" s="35">
        <f>'Profit &amp; Loss'!B397</f>
        <v>0</v>
      </c>
      <c r="C397" s="36"/>
      <c r="D397" s="33"/>
      <c r="E397" s="33"/>
      <c r="F397" s="101"/>
      <c r="G397" s="102">
        <f t="shared" si="24"/>
        <v>0</v>
      </c>
      <c r="H397" s="103" t="str">
        <f t="shared" si="18"/>
        <v>0 tubes and 0 shuttles</v>
      </c>
      <c r="I397" s="36">
        <f t="shared" si="25"/>
        <v>0</v>
      </c>
      <c r="J397" s="104" t="str">
        <f t="shared" si="19"/>
        <v>0 tubes and 0 shuttles</v>
      </c>
      <c r="K397" s="36">
        <f t="shared" si="26"/>
        <v>0</v>
      </c>
      <c r="L397" s="103" t="str">
        <f t="shared" si="20"/>
        <v>0 tubes and 0 shuttles</v>
      </c>
      <c r="M397" s="105">
        <f t="shared" si="27"/>
        <v>0</v>
      </c>
      <c r="N397" s="103" t="str">
        <f t="shared" si="21"/>
        <v>0 tubes and 0 shuttles</v>
      </c>
      <c r="O397" s="36">
        <f t="shared" si="22"/>
        <v>0</v>
      </c>
      <c r="P397" s="103" t="str">
        <f t="shared" si="23"/>
        <v>0 tubes and 0 shuttles</v>
      </c>
    </row>
    <row r="398" spans="1:16" ht="12.5" x14ac:dyDescent="0.25">
      <c r="A398" s="32">
        <f>'Profit &amp; Loss'!A398</f>
        <v>0</v>
      </c>
      <c r="B398" s="35">
        <f>'Profit &amp; Loss'!B398</f>
        <v>0</v>
      </c>
      <c r="C398" s="36"/>
      <c r="D398" s="33"/>
      <c r="E398" s="33"/>
      <c r="F398" s="101"/>
      <c r="G398" s="102">
        <f t="shared" si="24"/>
        <v>0</v>
      </c>
      <c r="H398" s="103" t="str">
        <f t="shared" si="18"/>
        <v>0 tubes and 0 shuttles</v>
      </c>
      <c r="I398" s="36">
        <f t="shared" si="25"/>
        <v>0</v>
      </c>
      <c r="J398" s="104" t="str">
        <f t="shared" si="19"/>
        <v>0 tubes and 0 shuttles</v>
      </c>
      <c r="K398" s="36">
        <f t="shared" si="26"/>
        <v>0</v>
      </c>
      <c r="L398" s="103" t="str">
        <f t="shared" si="20"/>
        <v>0 tubes and 0 shuttles</v>
      </c>
      <c r="M398" s="105">
        <f t="shared" si="27"/>
        <v>0</v>
      </c>
      <c r="N398" s="103" t="str">
        <f t="shared" si="21"/>
        <v>0 tubes and 0 shuttles</v>
      </c>
      <c r="O398" s="36">
        <f t="shared" si="22"/>
        <v>0</v>
      </c>
      <c r="P398" s="103" t="str">
        <f t="shared" si="23"/>
        <v>0 tubes and 0 shuttles</v>
      </c>
    </row>
    <row r="399" spans="1:16" ht="12.5" x14ac:dyDescent="0.25">
      <c r="A399" s="32">
        <f>'Profit &amp; Loss'!A399</f>
        <v>0</v>
      </c>
      <c r="B399" s="35">
        <f>'Profit &amp; Loss'!B399</f>
        <v>0</v>
      </c>
      <c r="C399" s="36"/>
      <c r="D399" s="33"/>
      <c r="E399" s="33"/>
      <c r="F399" s="101"/>
      <c r="G399" s="102">
        <f t="shared" si="24"/>
        <v>0</v>
      </c>
      <c r="H399" s="103" t="str">
        <f t="shared" si="18"/>
        <v>0 tubes and 0 shuttles</v>
      </c>
      <c r="I399" s="36">
        <f t="shared" si="25"/>
        <v>0</v>
      </c>
      <c r="J399" s="104" t="str">
        <f t="shared" si="19"/>
        <v>0 tubes and 0 shuttles</v>
      </c>
      <c r="K399" s="36">
        <f t="shared" si="26"/>
        <v>0</v>
      </c>
      <c r="L399" s="103" t="str">
        <f t="shared" si="20"/>
        <v>0 tubes and 0 shuttles</v>
      </c>
      <c r="M399" s="105">
        <f t="shared" si="27"/>
        <v>0</v>
      </c>
      <c r="N399" s="103" t="str">
        <f t="shared" si="21"/>
        <v>0 tubes and 0 shuttles</v>
      </c>
      <c r="O399" s="36">
        <f t="shared" si="22"/>
        <v>0</v>
      </c>
      <c r="P399" s="103" t="str">
        <f t="shared" si="23"/>
        <v>0 tubes and 0 shuttles</v>
      </c>
    </row>
    <row r="400" spans="1:16" ht="12.5" x14ac:dyDescent="0.25">
      <c r="A400" s="32">
        <f>'Profit &amp; Loss'!A400</f>
        <v>0</v>
      </c>
      <c r="B400" s="35">
        <f>'Profit &amp; Loss'!B400</f>
        <v>0</v>
      </c>
      <c r="C400" s="36"/>
      <c r="D400" s="33"/>
      <c r="E400" s="33"/>
      <c r="F400" s="101"/>
      <c r="G400" s="102">
        <f t="shared" si="24"/>
        <v>0</v>
      </c>
      <c r="H400" s="103" t="str">
        <f t="shared" si="18"/>
        <v>0 tubes and 0 shuttles</v>
      </c>
      <c r="I400" s="36">
        <f t="shared" si="25"/>
        <v>0</v>
      </c>
      <c r="J400" s="104" t="str">
        <f t="shared" si="19"/>
        <v>0 tubes and 0 shuttles</v>
      </c>
      <c r="K400" s="36">
        <f t="shared" si="26"/>
        <v>0</v>
      </c>
      <c r="L400" s="103" t="str">
        <f t="shared" si="20"/>
        <v>0 tubes and 0 shuttles</v>
      </c>
      <c r="M400" s="105">
        <f t="shared" si="27"/>
        <v>0</v>
      </c>
      <c r="N400" s="103" t="str">
        <f t="shared" si="21"/>
        <v>0 tubes and 0 shuttles</v>
      </c>
      <c r="O400" s="36">
        <f t="shared" si="22"/>
        <v>0</v>
      </c>
      <c r="P400" s="103" t="str">
        <f t="shared" si="23"/>
        <v>0 tubes and 0 shuttles</v>
      </c>
    </row>
    <row r="401" spans="1:16" ht="12.5" x14ac:dyDescent="0.25">
      <c r="A401" s="32">
        <f>'Profit &amp; Loss'!A401</f>
        <v>0</v>
      </c>
      <c r="B401" s="35">
        <f>'Profit &amp; Loss'!B401</f>
        <v>0</v>
      </c>
      <c r="C401" s="36"/>
      <c r="D401" s="33"/>
      <c r="E401" s="33"/>
      <c r="F401" s="101"/>
      <c r="G401" s="102">
        <f t="shared" si="24"/>
        <v>0</v>
      </c>
      <c r="H401" s="103" t="str">
        <f t="shared" si="18"/>
        <v>0 tubes and 0 shuttles</v>
      </c>
      <c r="I401" s="36">
        <f t="shared" si="25"/>
        <v>0</v>
      </c>
      <c r="J401" s="104" t="str">
        <f t="shared" si="19"/>
        <v>0 tubes and 0 shuttles</v>
      </c>
      <c r="K401" s="36">
        <f t="shared" si="26"/>
        <v>0</v>
      </c>
      <c r="L401" s="103" t="str">
        <f t="shared" si="20"/>
        <v>0 tubes and 0 shuttles</v>
      </c>
      <c r="M401" s="105">
        <f t="shared" si="27"/>
        <v>0</v>
      </c>
      <c r="N401" s="103" t="str">
        <f t="shared" si="21"/>
        <v>0 tubes and 0 shuttles</v>
      </c>
      <c r="O401" s="36">
        <f t="shared" si="22"/>
        <v>0</v>
      </c>
      <c r="P401" s="103" t="str">
        <f t="shared" si="23"/>
        <v>0 tubes and 0 shuttles</v>
      </c>
    </row>
    <row r="402" spans="1:16" ht="12.5" x14ac:dyDescent="0.25">
      <c r="A402" s="32">
        <f>'Profit &amp; Loss'!A402</f>
        <v>0</v>
      </c>
      <c r="B402" s="35">
        <f>'Profit &amp; Loss'!B402</f>
        <v>0</v>
      </c>
      <c r="C402" s="36"/>
      <c r="D402" s="33"/>
      <c r="E402" s="33"/>
      <c r="F402" s="101"/>
      <c r="G402" s="102">
        <f t="shared" si="24"/>
        <v>0</v>
      </c>
      <c r="H402" s="103" t="str">
        <f t="shared" si="18"/>
        <v>0 tubes and 0 shuttles</v>
      </c>
      <c r="I402" s="36">
        <f t="shared" si="25"/>
        <v>0</v>
      </c>
      <c r="J402" s="104" t="str">
        <f t="shared" si="19"/>
        <v>0 tubes and 0 shuttles</v>
      </c>
      <c r="K402" s="36">
        <f t="shared" si="26"/>
        <v>0</v>
      </c>
      <c r="L402" s="103" t="str">
        <f t="shared" si="20"/>
        <v>0 tubes and 0 shuttles</v>
      </c>
      <c r="M402" s="105">
        <f t="shared" si="27"/>
        <v>0</v>
      </c>
      <c r="N402" s="103" t="str">
        <f t="shared" si="21"/>
        <v>0 tubes and 0 shuttles</v>
      </c>
      <c r="O402" s="36">
        <f t="shared" si="22"/>
        <v>0</v>
      </c>
      <c r="P402" s="103" t="str">
        <f t="shared" si="23"/>
        <v>0 tubes and 0 shuttles</v>
      </c>
    </row>
    <row r="403" spans="1:16" ht="12.5" x14ac:dyDescent="0.25">
      <c r="A403" s="32">
        <f>'Profit &amp; Loss'!A403</f>
        <v>0</v>
      </c>
      <c r="B403" s="35">
        <f>'Profit &amp; Loss'!B403</f>
        <v>0</v>
      </c>
      <c r="C403" s="36"/>
      <c r="D403" s="33"/>
      <c r="E403" s="33"/>
      <c r="F403" s="101"/>
      <c r="G403" s="102">
        <f t="shared" si="24"/>
        <v>0</v>
      </c>
      <c r="H403" s="103" t="str">
        <f t="shared" si="18"/>
        <v>0 tubes and 0 shuttles</v>
      </c>
      <c r="I403" s="36">
        <f t="shared" si="25"/>
        <v>0</v>
      </c>
      <c r="J403" s="104" t="str">
        <f t="shared" si="19"/>
        <v>0 tubes and 0 shuttles</v>
      </c>
      <c r="K403" s="36">
        <f t="shared" si="26"/>
        <v>0</v>
      </c>
      <c r="L403" s="103" t="str">
        <f t="shared" si="20"/>
        <v>0 tubes and 0 shuttles</v>
      </c>
      <c r="M403" s="105">
        <f t="shared" si="27"/>
        <v>0</v>
      </c>
      <c r="N403" s="103" t="str">
        <f t="shared" si="21"/>
        <v>0 tubes and 0 shuttles</v>
      </c>
      <c r="O403" s="36">
        <f t="shared" si="22"/>
        <v>0</v>
      </c>
      <c r="P403" s="103" t="str">
        <f t="shared" si="23"/>
        <v>0 tubes and 0 shuttles</v>
      </c>
    </row>
    <row r="404" spans="1:16" ht="12.5" x14ac:dyDescent="0.25">
      <c r="A404" s="32">
        <f>'Profit &amp; Loss'!A404</f>
        <v>0</v>
      </c>
      <c r="B404" s="35">
        <f>'Profit &amp; Loss'!B404</f>
        <v>0</v>
      </c>
      <c r="C404" s="36"/>
      <c r="D404" s="33"/>
      <c r="E404" s="33"/>
      <c r="F404" s="101"/>
      <c r="G404" s="102">
        <f t="shared" si="24"/>
        <v>0</v>
      </c>
      <c r="H404" s="103" t="str">
        <f t="shared" si="18"/>
        <v>0 tubes and 0 shuttles</v>
      </c>
      <c r="I404" s="36">
        <f t="shared" si="25"/>
        <v>0</v>
      </c>
      <c r="J404" s="104" t="str">
        <f t="shared" si="19"/>
        <v>0 tubes and 0 shuttles</v>
      </c>
      <c r="K404" s="36">
        <f t="shared" si="26"/>
        <v>0</v>
      </c>
      <c r="L404" s="103" t="str">
        <f t="shared" si="20"/>
        <v>0 tubes and 0 shuttles</v>
      </c>
      <c r="M404" s="105">
        <f t="shared" si="27"/>
        <v>0</v>
      </c>
      <c r="N404" s="103" t="str">
        <f t="shared" si="21"/>
        <v>0 tubes and 0 shuttles</v>
      </c>
      <c r="O404" s="36">
        <f t="shared" si="22"/>
        <v>0</v>
      </c>
      <c r="P404" s="103" t="str">
        <f t="shared" si="23"/>
        <v>0 tubes and 0 shuttles</v>
      </c>
    </row>
    <row r="405" spans="1:16" ht="12.5" x14ac:dyDescent="0.25">
      <c r="A405" s="32">
        <f>'Profit &amp; Loss'!A405</f>
        <v>0</v>
      </c>
      <c r="B405" s="35">
        <f>'Profit &amp; Loss'!B405</f>
        <v>0</v>
      </c>
      <c r="C405" s="36"/>
      <c r="D405" s="33"/>
      <c r="E405" s="33"/>
      <c r="F405" s="101"/>
      <c r="G405" s="102">
        <f t="shared" si="24"/>
        <v>0</v>
      </c>
      <c r="H405" s="103" t="str">
        <f t="shared" si="18"/>
        <v>0 tubes and 0 shuttles</v>
      </c>
      <c r="I405" s="36">
        <f t="shared" si="25"/>
        <v>0</v>
      </c>
      <c r="J405" s="104" t="str">
        <f t="shared" si="19"/>
        <v>0 tubes and 0 shuttles</v>
      </c>
      <c r="K405" s="36">
        <f t="shared" si="26"/>
        <v>0</v>
      </c>
      <c r="L405" s="103" t="str">
        <f t="shared" si="20"/>
        <v>0 tubes and 0 shuttles</v>
      </c>
      <c r="M405" s="105">
        <f t="shared" si="27"/>
        <v>0</v>
      </c>
      <c r="N405" s="103" t="str">
        <f t="shared" si="21"/>
        <v>0 tubes and 0 shuttles</v>
      </c>
      <c r="O405" s="36">
        <f t="shared" si="22"/>
        <v>0</v>
      </c>
      <c r="P405" s="103" t="str">
        <f t="shared" si="23"/>
        <v>0 tubes and 0 shuttles</v>
      </c>
    </row>
    <row r="406" spans="1:16" ht="12.5" x14ac:dyDescent="0.25">
      <c r="A406" s="32">
        <f>'Profit &amp; Loss'!A406</f>
        <v>0</v>
      </c>
      <c r="B406" s="35">
        <f>'Profit &amp; Loss'!B406</f>
        <v>0</v>
      </c>
      <c r="C406" s="36"/>
      <c r="D406" s="33"/>
      <c r="E406" s="33"/>
      <c r="F406" s="101"/>
      <c r="G406" s="102">
        <f t="shared" si="24"/>
        <v>0</v>
      </c>
      <c r="H406" s="103" t="str">
        <f t="shared" si="18"/>
        <v>0 tubes and 0 shuttles</v>
      </c>
      <c r="I406" s="36">
        <f t="shared" si="25"/>
        <v>0</v>
      </c>
      <c r="J406" s="104" t="str">
        <f t="shared" si="19"/>
        <v>0 tubes and 0 shuttles</v>
      </c>
      <c r="K406" s="36">
        <f t="shared" si="26"/>
        <v>0</v>
      </c>
      <c r="L406" s="103" t="str">
        <f t="shared" si="20"/>
        <v>0 tubes and 0 shuttles</v>
      </c>
      <c r="M406" s="105">
        <f t="shared" si="27"/>
        <v>0</v>
      </c>
      <c r="N406" s="103" t="str">
        <f t="shared" si="21"/>
        <v>0 tubes and 0 shuttles</v>
      </c>
      <c r="O406" s="36">
        <f t="shared" si="22"/>
        <v>0</v>
      </c>
      <c r="P406" s="103" t="str">
        <f t="shared" si="23"/>
        <v>0 tubes and 0 shuttles</v>
      </c>
    </row>
    <row r="407" spans="1:16" ht="12.5" x14ac:dyDescent="0.25">
      <c r="A407" s="32">
        <f>'Profit &amp; Loss'!A407</f>
        <v>0</v>
      </c>
      <c r="B407" s="35">
        <f>'Profit &amp; Loss'!B407</f>
        <v>0</v>
      </c>
      <c r="C407" s="36"/>
      <c r="D407" s="33"/>
      <c r="E407" s="33"/>
      <c r="F407" s="101"/>
      <c r="G407" s="102">
        <f t="shared" si="24"/>
        <v>0</v>
      </c>
      <c r="H407" s="103" t="str">
        <f t="shared" si="18"/>
        <v>0 tubes and 0 shuttles</v>
      </c>
      <c r="I407" s="36">
        <f t="shared" si="25"/>
        <v>0</v>
      </c>
      <c r="J407" s="104" t="str">
        <f t="shared" si="19"/>
        <v>0 tubes and 0 shuttles</v>
      </c>
      <c r="K407" s="36">
        <f t="shared" si="26"/>
        <v>0</v>
      </c>
      <c r="L407" s="103" t="str">
        <f t="shared" si="20"/>
        <v>0 tubes and 0 shuttles</v>
      </c>
      <c r="M407" s="105">
        <f t="shared" si="27"/>
        <v>0</v>
      </c>
      <c r="N407" s="103" t="str">
        <f t="shared" si="21"/>
        <v>0 tubes and 0 shuttles</v>
      </c>
      <c r="O407" s="36">
        <f t="shared" si="22"/>
        <v>0</v>
      </c>
      <c r="P407" s="103" t="str">
        <f t="shared" si="23"/>
        <v>0 tubes and 0 shuttles</v>
      </c>
    </row>
    <row r="408" spans="1:16" ht="12.5" x14ac:dyDescent="0.25">
      <c r="A408" s="32">
        <f>'Profit &amp; Loss'!A408</f>
        <v>0</v>
      </c>
      <c r="B408" s="35">
        <f>'Profit &amp; Loss'!B408</f>
        <v>0</v>
      </c>
      <c r="C408" s="36"/>
      <c r="D408" s="33"/>
      <c r="E408" s="33"/>
      <c r="F408" s="101"/>
      <c r="G408" s="102">
        <f t="shared" si="24"/>
        <v>0</v>
      </c>
      <c r="H408" s="103" t="str">
        <f t="shared" si="18"/>
        <v>0 tubes and 0 shuttles</v>
      </c>
      <c r="I408" s="36">
        <f t="shared" si="25"/>
        <v>0</v>
      </c>
      <c r="J408" s="104" t="str">
        <f t="shared" si="19"/>
        <v>0 tubes and 0 shuttles</v>
      </c>
      <c r="K408" s="36">
        <f t="shared" si="26"/>
        <v>0</v>
      </c>
      <c r="L408" s="103" t="str">
        <f t="shared" si="20"/>
        <v>0 tubes and 0 shuttles</v>
      </c>
      <c r="M408" s="105">
        <f t="shared" si="27"/>
        <v>0</v>
      </c>
      <c r="N408" s="103" t="str">
        <f t="shared" si="21"/>
        <v>0 tubes and 0 shuttles</v>
      </c>
      <c r="O408" s="36">
        <f t="shared" si="22"/>
        <v>0</v>
      </c>
      <c r="P408" s="103" t="str">
        <f t="shared" si="23"/>
        <v>0 tubes and 0 shuttles</v>
      </c>
    </row>
    <row r="409" spans="1:16" ht="12.5" x14ac:dyDescent="0.25">
      <c r="A409" s="32">
        <f>'Profit &amp; Loss'!A409</f>
        <v>0</v>
      </c>
      <c r="B409" s="35">
        <f>'Profit &amp; Loss'!B409</f>
        <v>0</v>
      </c>
      <c r="C409" s="36"/>
      <c r="D409" s="33"/>
      <c r="E409" s="33"/>
      <c r="F409" s="101"/>
      <c r="G409" s="102">
        <f t="shared" si="24"/>
        <v>0</v>
      </c>
      <c r="H409" s="103" t="str">
        <f t="shared" si="18"/>
        <v>0 tubes and 0 shuttles</v>
      </c>
      <c r="I409" s="36">
        <f t="shared" si="25"/>
        <v>0</v>
      </c>
      <c r="J409" s="104" t="str">
        <f t="shared" si="19"/>
        <v>0 tubes and 0 shuttles</v>
      </c>
      <c r="K409" s="36">
        <f t="shared" si="26"/>
        <v>0</v>
      </c>
      <c r="L409" s="103" t="str">
        <f t="shared" si="20"/>
        <v>0 tubes and 0 shuttles</v>
      </c>
      <c r="M409" s="105">
        <f t="shared" si="27"/>
        <v>0</v>
      </c>
      <c r="N409" s="103" t="str">
        <f t="shared" si="21"/>
        <v>0 tubes and 0 shuttles</v>
      </c>
      <c r="O409" s="36">
        <f t="shared" si="22"/>
        <v>0</v>
      </c>
      <c r="P409" s="103" t="str">
        <f t="shared" si="23"/>
        <v>0 tubes and 0 shuttles</v>
      </c>
    </row>
    <row r="410" spans="1:16" ht="12.5" x14ac:dyDescent="0.25">
      <c r="A410" s="32">
        <f>'Profit &amp; Loss'!A410</f>
        <v>0</v>
      </c>
      <c r="B410" s="35">
        <f>'Profit &amp; Loss'!B410</f>
        <v>0</v>
      </c>
      <c r="C410" s="36"/>
      <c r="D410" s="33"/>
      <c r="E410" s="33"/>
      <c r="F410" s="101"/>
      <c r="G410" s="102">
        <f t="shared" si="24"/>
        <v>0</v>
      </c>
      <c r="H410" s="103" t="str">
        <f t="shared" si="18"/>
        <v>0 tubes and 0 shuttles</v>
      </c>
      <c r="I410" s="36">
        <f t="shared" si="25"/>
        <v>0</v>
      </c>
      <c r="J410" s="104" t="str">
        <f t="shared" si="19"/>
        <v>0 tubes and 0 shuttles</v>
      </c>
      <c r="K410" s="36">
        <f t="shared" si="26"/>
        <v>0</v>
      </c>
      <c r="L410" s="103" t="str">
        <f t="shared" si="20"/>
        <v>0 tubes and 0 shuttles</v>
      </c>
      <c r="M410" s="105">
        <f t="shared" si="27"/>
        <v>0</v>
      </c>
      <c r="N410" s="103" t="str">
        <f t="shared" si="21"/>
        <v>0 tubes and 0 shuttles</v>
      </c>
      <c r="O410" s="36">
        <f t="shared" si="22"/>
        <v>0</v>
      </c>
      <c r="P410" s="103" t="str">
        <f t="shared" si="23"/>
        <v>0 tubes and 0 shuttles</v>
      </c>
    </row>
    <row r="411" spans="1:16" ht="12.5" x14ac:dyDescent="0.25">
      <c r="A411" s="32">
        <f>'Profit &amp; Loss'!A411</f>
        <v>0</v>
      </c>
      <c r="B411" s="35">
        <f>'Profit &amp; Loss'!B411</f>
        <v>0</v>
      </c>
      <c r="C411" s="36"/>
      <c r="D411" s="33"/>
      <c r="E411" s="33"/>
      <c r="F411" s="101"/>
      <c r="G411" s="102">
        <f t="shared" si="24"/>
        <v>0</v>
      </c>
      <c r="H411" s="103" t="str">
        <f t="shared" si="18"/>
        <v>0 tubes and 0 shuttles</v>
      </c>
      <c r="I411" s="36">
        <f t="shared" si="25"/>
        <v>0</v>
      </c>
      <c r="J411" s="104" t="str">
        <f t="shared" si="19"/>
        <v>0 tubes and 0 shuttles</v>
      </c>
      <c r="K411" s="36">
        <f t="shared" si="26"/>
        <v>0</v>
      </c>
      <c r="L411" s="103" t="str">
        <f t="shared" si="20"/>
        <v>0 tubes and 0 shuttles</v>
      </c>
      <c r="M411" s="105">
        <f t="shared" si="27"/>
        <v>0</v>
      </c>
      <c r="N411" s="103" t="str">
        <f t="shared" si="21"/>
        <v>0 tubes and 0 shuttles</v>
      </c>
      <c r="O411" s="36">
        <f t="shared" si="22"/>
        <v>0</v>
      </c>
      <c r="P411" s="103" t="str">
        <f t="shared" si="23"/>
        <v>0 tubes and 0 shuttles</v>
      </c>
    </row>
    <row r="412" spans="1:16" ht="12.5" x14ac:dyDescent="0.25">
      <c r="A412" s="32">
        <f>'Profit &amp; Loss'!A412</f>
        <v>0</v>
      </c>
      <c r="B412" s="35">
        <f>'Profit &amp; Loss'!B412</f>
        <v>0</v>
      </c>
      <c r="C412" s="36"/>
      <c r="D412" s="33"/>
      <c r="E412" s="33"/>
      <c r="F412" s="101"/>
      <c r="G412" s="102">
        <f t="shared" si="24"/>
        <v>0</v>
      </c>
      <c r="H412" s="103" t="str">
        <f t="shared" si="18"/>
        <v>0 tubes and 0 shuttles</v>
      </c>
      <c r="I412" s="36">
        <f t="shared" si="25"/>
        <v>0</v>
      </c>
      <c r="J412" s="104" t="str">
        <f t="shared" si="19"/>
        <v>0 tubes and 0 shuttles</v>
      </c>
      <c r="K412" s="36">
        <f t="shared" si="26"/>
        <v>0</v>
      </c>
      <c r="L412" s="103" t="str">
        <f t="shared" si="20"/>
        <v>0 tubes and 0 shuttles</v>
      </c>
      <c r="M412" s="105">
        <f t="shared" si="27"/>
        <v>0</v>
      </c>
      <c r="N412" s="103" t="str">
        <f t="shared" si="21"/>
        <v>0 tubes and 0 shuttles</v>
      </c>
      <c r="O412" s="36">
        <f t="shared" si="22"/>
        <v>0</v>
      </c>
      <c r="P412" s="103" t="str">
        <f t="shared" si="23"/>
        <v>0 tubes and 0 shuttles</v>
      </c>
    </row>
    <row r="413" spans="1:16" ht="12.5" x14ac:dyDescent="0.25">
      <c r="A413" s="32">
        <f>'Profit &amp; Loss'!A413</f>
        <v>0</v>
      </c>
      <c r="B413" s="35">
        <f>'Profit &amp; Loss'!B413</f>
        <v>0</v>
      </c>
      <c r="C413" s="36"/>
      <c r="D413" s="33"/>
      <c r="E413" s="33"/>
      <c r="F413" s="101"/>
      <c r="G413" s="102">
        <f t="shared" si="24"/>
        <v>0</v>
      </c>
      <c r="H413" s="103" t="str">
        <f t="shared" si="18"/>
        <v>0 tubes and 0 shuttles</v>
      </c>
      <c r="I413" s="36">
        <f t="shared" si="25"/>
        <v>0</v>
      </c>
      <c r="J413" s="104" t="str">
        <f t="shared" si="19"/>
        <v>0 tubes and 0 shuttles</v>
      </c>
      <c r="K413" s="36">
        <f t="shared" si="26"/>
        <v>0</v>
      </c>
      <c r="L413" s="103" t="str">
        <f t="shared" si="20"/>
        <v>0 tubes and 0 shuttles</v>
      </c>
      <c r="M413" s="105">
        <f t="shared" si="27"/>
        <v>0</v>
      </c>
      <c r="N413" s="103" t="str">
        <f t="shared" si="21"/>
        <v>0 tubes and 0 shuttles</v>
      </c>
      <c r="O413" s="36">
        <f t="shared" si="22"/>
        <v>0</v>
      </c>
      <c r="P413" s="103" t="str">
        <f t="shared" si="23"/>
        <v>0 tubes and 0 shuttles</v>
      </c>
    </row>
    <row r="414" spans="1:16" ht="12.5" x14ac:dyDescent="0.25">
      <c r="A414" s="32">
        <f>'Profit &amp; Loss'!A414</f>
        <v>0</v>
      </c>
      <c r="B414" s="35">
        <f>'Profit &amp; Loss'!B414</f>
        <v>0</v>
      </c>
      <c r="C414" s="36"/>
      <c r="D414" s="33"/>
      <c r="E414" s="33"/>
      <c r="F414" s="101"/>
      <c r="G414" s="102">
        <f t="shared" si="24"/>
        <v>0</v>
      </c>
      <c r="H414" s="103" t="str">
        <f t="shared" si="18"/>
        <v>0 tubes and 0 shuttles</v>
      </c>
      <c r="I414" s="36">
        <f t="shared" si="25"/>
        <v>0</v>
      </c>
      <c r="J414" s="104" t="str">
        <f t="shared" si="19"/>
        <v>0 tubes and 0 shuttles</v>
      </c>
      <c r="K414" s="36">
        <f t="shared" si="26"/>
        <v>0</v>
      </c>
      <c r="L414" s="103" t="str">
        <f t="shared" si="20"/>
        <v>0 tubes and 0 shuttles</v>
      </c>
      <c r="M414" s="105">
        <f t="shared" si="27"/>
        <v>0</v>
      </c>
      <c r="N414" s="103" t="str">
        <f t="shared" si="21"/>
        <v>0 tubes and 0 shuttles</v>
      </c>
      <c r="O414" s="36">
        <f t="shared" si="22"/>
        <v>0</v>
      </c>
      <c r="P414" s="103" t="str">
        <f t="shared" si="23"/>
        <v>0 tubes and 0 shuttles</v>
      </c>
    </row>
    <row r="415" spans="1:16" ht="12.5" x14ac:dyDescent="0.25">
      <c r="A415" s="32">
        <f>'Profit &amp; Loss'!A415</f>
        <v>0</v>
      </c>
      <c r="B415" s="35">
        <f>'Profit &amp; Loss'!B415</f>
        <v>0</v>
      </c>
      <c r="C415" s="36"/>
      <c r="D415" s="33"/>
      <c r="E415" s="33"/>
      <c r="F415" s="101"/>
      <c r="G415" s="102">
        <f t="shared" si="24"/>
        <v>0</v>
      </c>
      <c r="H415" s="103" t="str">
        <f t="shared" si="18"/>
        <v>0 tubes and 0 shuttles</v>
      </c>
      <c r="I415" s="36">
        <f t="shared" si="25"/>
        <v>0</v>
      </c>
      <c r="J415" s="104" t="str">
        <f t="shared" si="19"/>
        <v>0 tubes and 0 shuttles</v>
      </c>
      <c r="K415" s="36">
        <f t="shared" si="26"/>
        <v>0</v>
      </c>
      <c r="L415" s="103" t="str">
        <f t="shared" si="20"/>
        <v>0 tubes and 0 shuttles</v>
      </c>
      <c r="M415" s="105">
        <f t="shared" si="27"/>
        <v>0</v>
      </c>
      <c r="N415" s="103" t="str">
        <f t="shared" si="21"/>
        <v>0 tubes and 0 shuttles</v>
      </c>
      <c r="O415" s="36">
        <f t="shared" si="22"/>
        <v>0</v>
      </c>
      <c r="P415" s="103" t="str">
        <f t="shared" si="23"/>
        <v>0 tubes and 0 shuttles</v>
      </c>
    </row>
    <row r="416" spans="1:16" ht="12.5" x14ac:dyDescent="0.25">
      <c r="A416" s="32">
        <f>'Profit &amp; Loss'!A416</f>
        <v>0</v>
      </c>
      <c r="B416" s="35">
        <f>'Profit &amp; Loss'!B416</f>
        <v>0</v>
      </c>
      <c r="C416" s="36"/>
      <c r="D416" s="33"/>
      <c r="E416" s="33"/>
      <c r="F416" s="101"/>
      <c r="G416" s="102">
        <f t="shared" si="24"/>
        <v>0</v>
      </c>
      <c r="H416" s="103" t="str">
        <f t="shared" si="18"/>
        <v>0 tubes and 0 shuttles</v>
      </c>
      <c r="I416" s="36">
        <f t="shared" si="25"/>
        <v>0</v>
      </c>
      <c r="J416" s="104" t="str">
        <f t="shared" si="19"/>
        <v>0 tubes and 0 shuttles</v>
      </c>
      <c r="K416" s="36">
        <f t="shared" si="26"/>
        <v>0</v>
      </c>
      <c r="L416" s="103" t="str">
        <f t="shared" si="20"/>
        <v>0 tubes and 0 shuttles</v>
      </c>
      <c r="M416" s="105">
        <f t="shared" si="27"/>
        <v>0</v>
      </c>
      <c r="N416" s="103" t="str">
        <f t="shared" si="21"/>
        <v>0 tubes and 0 shuttles</v>
      </c>
      <c r="O416" s="36">
        <f t="shared" si="22"/>
        <v>0</v>
      </c>
      <c r="P416" s="103" t="str">
        <f t="shared" si="23"/>
        <v>0 tubes and 0 shuttles</v>
      </c>
    </row>
    <row r="417" spans="1:16" ht="12.5" x14ac:dyDescent="0.25">
      <c r="A417" s="32">
        <f>'Profit &amp; Loss'!A417</f>
        <v>0</v>
      </c>
      <c r="B417" s="35">
        <f>'Profit &amp; Loss'!B417</f>
        <v>0</v>
      </c>
      <c r="C417" s="36"/>
      <c r="D417" s="33"/>
      <c r="E417" s="33"/>
      <c r="F417" s="101"/>
      <c r="G417" s="102">
        <f t="shared" si="24"/>
        <v>0</v>
      </c>
      <c r="H417" s="103" t="str">
        <f t="shared" si="18"/>
        <v>0 tubes and 0 shuttles</v>
      </c>
      <c r="I417" s="36">
        <f t="shared" si="25"/>
        <v>0</v>
      </c>
      <c r="J417" s="104" t="str">
        <f t="shared" si="19"/>
        <v>0 tubes and 0 shuttles</v>
      </c>
      <c r="K417" s="36">
        <f t="shared" si="26"/>
        <v>0</v>
      </c>
      <c r="L417" s="103" t="str">
        <f t="shared" si="20"/>
        <v>0 tubes and 0 shuttles</v>
      </c>
      <c r="M417" s="105">
        <f t="shared" si="27"/>
        <v>0</v>
      </c>
      <c r="N417" s="103" t="str">
        <f t="shared" si="21"/>
        <v>0 tubes and 0 shuttles</v>
      </c>
      <c r="O417" s="36">
        <f t="shared" si="22"/>
        <v>0</v>
      </c>
      <c r="P417" s="103" t="str">
        <f t="shared" si="23"/>
        <v>0 tubes and 0 shuttles</v>
      </c>
    </row>
    <row r="418" spans="1:16" ht="12.5" x14ac:dyDescent="0.25">
      <c r="A418" s="32">
        <f>'Profit &amp; Loss'!A418</f>
        <v>0</v>
      </c>
      <c r="B418" s="35">
        <f>'Profit &amp; Loss'!B418</f>
        <v>0</v>
      </c>
      <c r="C418" s="36"/>
      <c r="D418" s="33"/>
      <c r="E418" s="33"/>
      <c r="F418" s="101"/>
      <c r="G418" s="102">
        <f t="shared" si="24"/>
        <v>0</v>
      </c>
      <c r="H418" s="103" t="str">
        <f t="shared" si="18"/>
        <v>0 tubes and 0 shuttles</v>
      </c>
      <c r="I418" s="36">
        <f t="shared" si="25"/>
        <v>0</v>
      </c>
      <c r="J418" s="104" t="str">
        <f t="shared" si="19"/>
        <v>0 tubes and 0 shuttles</v>
      </c>
      <c r="K418" s="36">
        <f t="shared" si="26"/>
        <v>0</v>
      </c>
      <c r="L418" s="103" t="str">
        <f t="shared" si="20"/>
        <v>0 tubes and 0 shuttles</v>
      </c>
      <c r="M418" s="105">
        <f t="shared" si="27"/>
        <v>0</v>
      </c>
      <c r="N418" s="103" t="str">
        <f t="shared" si="21"/>
        <v>0 tubes and 0 shuttles</v>
      </c>
      <c r="O418" s="36">
        <f t="shared" si="22"/>
        <v>0</v>
      </c>
      <c r="P418" s="103" t="str">
        <f t="shared" si="23"/>
        <v>0 tubes and 0 shuttles</v>
      </c>
    </row>
    <row r="419" spans="1:16" ht="12.5" x14ac:dyDescent="0.25">
      <c r="A419" s="32">
        <f>'Profit &amp; Loss'!A419</f>
        <v>0</v>
      </c>
      <c r="B419" s="35">
        <f>'Profit &amp; Loss'!B419</f>
        <v>0</v>
      </c>
      <c r="C419" s="36"/>
      <c r="D419" s="33"/>
      <c r="E419" s="33"/>
      <c r="F419" s="101"/>
      <c r="G419" s="102">
        <f t="shared" si="24"/>
        <v>0</v>
      </c>
      <c r="H419" s="103" t="str">
        <f t="shared" si="18"/>
        <v>0 tubes and 0 shuttles</v>
      </c>
      <c r="I419" s="36">
        <f t="shared" si="25"/>
        <v>0</v>
      </c>
      <c r="J419" s="104" t="str">
        <f t="shared" si="19"/>
        <v>0 tubes and 0 shuttles</v>
      </c>
      <c r="K419" s="36">
        <f t="shared" si="26"/>
        <v>0</v>
      </c>
      <c r="L419" s="103" t="str">
        <f t="shared" si="20"/>
        <v>0 tubes and 0 shuttles</v>
      </c>
      <c r="M419" s="105">
        <f t="shared" si="27"/>
        <v>0</v>
      </c>
      <c r="N419" s="103" t="str">
        <f t="shared" si="21"/>
        <v>0 tubes and 0 shuttles</v>
      </c>
      <c r="O419" s="36">
        <f t="shared" si="22"/>
        <v>0</v>
      </c>
      <c r="P419" s="103" t="str">
        <f t="shared" si="23"/>
        <v>0 tubes and 0 shuttles</v>
      </c>
    </row>
    <row r="420" spans="1:16" ht="12.5" x14ac:dyDescent="0.25">
      <c r="A420" s="32">
        <f>'Profit &amp; Loss'!A420</f>
        <v>0</v>
      </c>
      <c r="B420" s="35">
        <f>'Profit &amp; Loss'!B420</f>
        <v>0</v>
      </c>
      <c r="C420" s="36"/>
      <c r="D420" s="33"/>
      <c r="E420" s="33"/>
      <c r="F420" s="101"/>
      <c r="G420" s="102">
        <f t="shared" si="24"/>
        <v>0</v>
      </c>
      <c r="H420" s="103" t="str">
        <f t="shared" si="18"/>
        <v>0 tubes and 0 shuttles</v>
      </c>
      <c r="I420" s="36">
        <f t="shared" si="25"/>
        <v>0</v>
      </c>
      <c r="J420" s="104" t="str">
        <f t="shared" si="19"/>
        <v>0 tubes and 0 shuttles</v>
      </c>
      <c r="K420" s="36">
        <f t="shared" si="26"/>
        <v>0</v>
      </c>
      <c r="L420" s="103" t="str">
        <f t="shared" si="20"/>
        <v>0 tubes and 0 shuttles</v>
      </c>
      <c r="M420" s="105">
        <f t="shared" si="27"/>
        <v>0</v>
      </c>
      <c r="N420" s="103" t="str">
        <f t="shared" si="21"/>
        <v>0 tubes and 0 shuttles</v>
      </c>
      <c r="O420" s="36">
        <f t="shared" si="22"/>
        <v>0</v>
      </c>
      <c r="P420" s="103" t="str">
        <f t="shared" si="23"/>
        <v>0 tubes and 0 shuttles</v>
      </c>
    </row>
    <row r="421" spans="1:16" ht="12.5" x14ac:dyDescent="0.25">
      <c r="A421" s="32">
        <f>'Profit &amp; Loss'!A421</f>
        <v>0</v>
      </c>
      <c r="B421" s="35">
        <f>'Profit &amp; Loss'!B421</f>
        <v>0</v>
      </c>
      <c r="C421" s="36"/>
      <c r="D421" s="33"/>
      <c r="E421" s="33"/>
      <c r="F421" s="101"/>
      <c r="G421" s="102">
        <f t="shared" si="24"/>
        <v>0</v>
      </c>
      <c r="H421" s="103" t="str">
        <f t="shared" si="18"/>
        <v>0 tubes and 0 shuttles</v>
      </c>
      <c r="I421" s="36">
        <f t="shared" si="25"/>
        <v>0</v>
      </c>
      <c r="J421" s="104" t="str">
        <f t="shared" si="19"/>
        <v>0 tubes and 0 shuttles</v>
      </c>
      <c r="K421" s="36">
        <f t="shared" si="26"/>
        <v>0</v>
      </c>
      <c r="L421" s="103" t="str">
        <f t="shared" si="20"/>
        <v>0 tubes and 0 shuttles</v>
      </c>
      <c r="M421" s="105">
        <f t="shared" si="27"/>
        <v>0</v>
      </c>
      <c r="N421" s="103" t="str">
        <f t="shared" si="21"/>
        <v>0 tubes and 0 shuttles</v>
      </c>
      <c r="O421" s="36">
        <f t="shared" si="22"/>
        <v>0</v>
      </c>
      <c r="P421" s="103" t="str">
        <f t="shared" si="23"/>
        <v>0 tubes and 0 shuttles</v>
      </c>
    </row>
    <row r="422" spans="1:16" ht="12.5" x14ac:dyDescent="0.25">
      <c r="A422" s="32">
        <f>'Profit &amp; Loss'!A422</f>
        <v>0</v>
      </c>
      <c r="B422" s="35">
        <f>'Profit &amp; Loss'!B422</f>
        <v>0</v>
      </c>
      <c r="C422" s="36"/>
      <c r="D422" s="33"/>
      <c r="E422" s="33"/>
      <c r="F422" s="101"/>
      <c r="G422" s="102">
        <f t="shared" si="24"/>
        <v>0</v>
      </c>
      <c r="H422" s="103" t="str">
        <f t="shared" si="18"/>
        <v>0 tubes and 0 shuttles</v>
      </c>
      <c r="I422" s="36">
        <f t="shared" si="25"/>
        <v>0</v>
      </c>
      <c r="J422" s="104" t="str">
        <f t="shared" si="19"/>
        <v>0 tubes and 0 shuttles</v>
      </c>
      <c r="K422" s="36">
        <f t="shared" si="26"/>
        <v>0</v>
      </c>
      <c r="L422" s="103" t="str">
        <f t="shared" si="20"/>
        <v>0 tubes and 0 shuttles</v>
      </c>
      <c r="M422" s="105">
        <f t="shared" si="27"/>
        <v>0</v>
      </c>
      <c r="N422" s="103" t="str">
        <f t="shared" si="21"/>
        <v>0 tubes and 0 shuttles</v>
      </c>
      <c r="O422" s="36">
        <f t="shared" si="22"/>
        <v>0</v>
      </c>
      <c r="P422" s="103" t="str">
        <f t="shared" si="23"/>
        <v>0 tubes and 0 shuttles</v>
      </c>
    </row>
    <row r="423" spans="1:16" ht="12.5" x14ac:dyDescent="0.25">
      <c r="A423" s="32">
        <f>'Profit &amp; Loss'!A423</f>
        <v>0</v>
      </c>
      <c r="B423" s="35">
        <f>'Profit &amp; Loss'!B423</f>
        <v>0</v>
      </c>
      <c r="C423" s="36"/>
      <c r="D423" s="33"/>
      <c r="E423" s="33"/>
      <c r="F423" s="101"/>
      <c r="G423" s="102">
        <f t="shared" si="24"/>
        <v>0</v>
      </c>
      <c r="H423" s="103" t="str">
        <f t="shared" si="18"/>
        <v>0 tubes and 0 shuttles</v>
      </c>
      <c r="I423" s="36">
        <f t="shared" si="25"/>
        <v>0</v>
      </c>
      <c r="J423" s="104" t="str">
        <f t="shared" si="19"/>
        <v>0 tubes and 0 shuttles</v>
      </c>
      <c r="K423" s="36">
        <f t="shared" si="26"/>
        <v>0</v>
      </c>
      <c r="L423" s="103" t="str">
        <f t="shared" si="20"/>
        <v>0 tubes and 0 shuttles</v>
      </c>
      <c r="M423" s="105">
        <f t="shared" si="27"/>
        <v>0</v>
      </c>
      <c r="N423" s="103" t="str">
        <f t="shared" si="21"/>
        <v>0 tubes and 0 shuttles</v>
      </c>
      <c r="O423" s="36">
        <f t="shared" si="22"/>
        <v>0</v>
      </c>
      <c r="P423" s="103" t="str">
        <f t="shared" si="23"/>
        <v>0 tubes and 0 shuttles</v>
      </c>
    </row>
    <row r="424" spans="1:16" ht="12.5" x14ac:dyDescent="0.25">
      <c r="A424" s="32">
        <f>'Profit &amp; Loss'!A424</f>
        <v>0</v>
      </c>
      <c r="B424" s="35">
        <f>'Profit &amp; Loss'!B424</f>
        <v>0</v>
      </c>
      <c r="C424" s="36"/>
      <c r="D424" s="33"/>
      <c r="E424" s="33"/>
      <c r="F424" s="101"/>
      <c r="G424" s="102">
        <f t="shared" si="24"/>
        <v>0</v>
      </c>
      <c r="H424" s="103" t="str">
        <f t="shared" si="18"/>
        <v>0 tubes and 0 shuttles</v>
      </c>
      <c r="I424" s="36">
        <f t="shared" si="25"/>
        <v>0</v>
      </c>
      <c r="J424" s="104" t="str">
        <f t="shared" si="19"/>
        <v>0 tubes and 0 shuttles</v>
      </c>
      <c r="K424" s="36">
        <f t="shared" si="26"/>
        <v>0</v>
      </c>
      <c r="L424" s="103" t="str">
        <f t="shared" si="20"/>
        <v>0 tubes and 0 shuttles</v>
      </c>
      <c r="M424" s="105">
        <f t="shared" si="27"/>
        <v>0</v>
      </c>
      <c r="N424" s="103" t="str">
        <f t="shared" si="21"/>
        <v>0 tubes and 0 shuttles</v>
      </c>
      <c r="O424" s="36">
        <f t="shared" si="22"/>
        <v>0</v>
      </c>
      <c r="P424" s="103" t="str">
        <f t="shared" si="23"/>
        <v>0 tubes and 0 shuttles</v>
      </c>
    </row>
    <row r="425" spans="1:16" ht="12.5" x14ac:dyDescent="0.25">
      <c r="A425" s="32">
        <f>'Profit &amp; Loss'!A425</f>
        <v>0</v>
      </c>
      <c r="B425" s="35">
        <f>'Profit &amp; Loss'!B425</f>
        <v>0</v>
      </c>
      <c r="C425" s="36"/>
      <c r="D425" s="33"/>
      <c r="E425" s="33"/>
      <c r="F425" s="101"/>
      <c r="G425" s="102">
        <f t="shared" si="24"/>
        <v>0</v>
      </c>
      <c r="H425" s="103" t="str">
        <f t="shared" si="18"/>
        <v>0 tubes and 0 shuttles</v>
      </c>
      <c r="I425" s="36">
        <f t="shared" si="25"/>
        <v>0</v>
      </c>
      <c r="J425" s="104" t="str">
        <f t="shared" si="19"/>
        <v>0 tubes and 0 shuttles</v>
      </c>
      <c r="K425" s="36">
        <f t="shared" si="26"/>
        <v>0</v>
      </c>
      <c r="L425" s="103" t="str">
        <f t="shared" si="20"/>
        <v>0 tubes and 0 shuttles</v>
      </c>
      <c r="M425" s="105">
        <f t="shared" si="27"/>
        <v>0</v>
      </c>
      <c r="N425" s="103" t="str">
        <f t="shared" si="21"/>
        <v>0 tubes and 0 shuttles</v>
      </c>
      <c r="O425" s="36">
        <f t="shared" si="22"/>
        <v>0</v>
      </c>
      <c r="P425" s="103" t="str">
        <f t="shared" si="23"/>
        <v>0 tubes and 0 shuttles</v>
      </c>
    </row>
    <row r="426" spans="1:16" ht="12.5" x14ac:dyDescent="0.25">
      <c r="A426" s="32">
        <f>'Profit &amp; Loss'!A426</f>
        <v>0</v>
      </c>
      <c r="B426" s="35">
        <f>'Profit &amp; Loss'!B426</f>
        <v>0</v>
      </c>
      <c r="C426" s="36"/>
      <c r="D426" s="33"/>
      <c r="E426" s="33"/>
      <c r="F426" s="101"/>
      <c r="G426" s="102">
        <f t="shared" si="24"/>
        <v>0</v>
      </c>
      <c r="H426" s="103" t="str">
        <f t="shared" si="18"/>
        <v>0 tubes and 0 shuttles</v>
      </c>
      <c r="I426" s="36">
        <f t="shared" si="25"/>
        <v>0</v>
      </c>
      <c r="J426" s="104" t="str">
        <f t="shared" si="19"/>
        <v>0 tubes and 0 shuttles</v>
      </c>
      <c r="K426" s="36">
        <f t="shared" si="26"/>
        <v>0</v>
      </c>
      <c r="L426" s="103" t="str">
        <f t="shared" si="20"/>
        <v>0 tubes and 0 shuttles</v>
      </c>
      <c r="M426" s="105">
        <f t="shared" si="27"/>
        <v>0</v>
      </c>
      <c r="N426" s="103" t="str">
        <f t="shared" si="21"/>
        <v>0 tubes and 0 shuttles</v>
      </c>
      <c r="O426" s="36">
        <f t="shared" si="22"/>
        <v>0</v>
      </c>
      <c r="P426" s="103" t="str">
        <f t="shared" si="23"/>
        <v>0 tubes and 0 shuttles</v>
      </c>
    </row>
    <row r="427" spans="1:16" ht="12.5" x14ac:dyDescent="0.25">
      <c r="A427" s="32">
        <f>'Profit &amp; Loss'!A427</f>
        <v>0</v>
      </c>
      <c r="B427" s="35">
        <f>'Profit &amp; Loss'!B427</f>
        <v>0</v>
      </c>
      <c r="C427" s="36"/>
      <c r="D427" s="33"/>
      <c r="E427" s="33"/>
      <c r="F427" s="101"/>
      <c r="G427" s="102">
        <f t="shared" si="24"/>
        <v>0</v>
      </c>
      <c r="H427" s="103" t="str">
        <f t="shared" si="18"/>
        <v>0 tubes and 0 shuttles</v>
      </c>
      <c r="I427" s="36">
        <f t="shared" si="25"/>
        <v>0</v>
      </c>
      <c r="J427" s="104" t="str">
        <f t="shared" si="19"/>
        <v>0 tubes and 0 shuttles</v>
      </c>
      <c r="K427" s="36">
        <f t="shared" si="26"/>
        <v>0</v>
      </c>
      <c r="L427" s="103" t="str">
        <f t="shared" si="20"/>
        <v>0 tubes and 0 shuttles</v>
      </c>
      <c r="M427" s="105">
        <f t="shared" si="27"/>
        <v>0</v>
      </c>
      <c r="N427" s="103" t="str">
        <f t="shared" si="21"/>
        <v>0 tubes and 0 shuttles</v>
      </c>
      <c r="O427" s="36">
        <f t="shared" si="22"/>
        <v>0</v>
      </c>
      <c r="P427" s="103" t="str">
        <f t="shared" si="23"/>
        <v>0 tubes and 0 shuttles</v>
      </c>
    </row>
    <row r="428" spans="1:16" ht="12.5" x14ac:dyDescent="0.25">
      <c r="A428" s="32">
        <f>'Profit &amp; Loss'!A428</f>
        <v>0</v>
      </c>
      <c r="B428" s="35">
        <f>'Profit &amp; Loss'!B428</f>
        <v>0</v>
      </c>
      <c r="C428" s="36"/>
      <c r="D428" s="33"/>
      <c r="E428" s="33"/>
      <c r="F428" s="101"/>
      <c r="G428" s="102">
        <f t="shared" si="24"/>
        <v>0</v>
      </c>
      <c r="H428" s="103" t="str">
        <f t="shared" si="18"/>
        <v>0 tubes and 0 shuttles</v>
      </c>
      <c r="I428" s="36">
        <f t="shared" si="25"/>
        <v>0</v>
      </c>
      <c r="J428" s="104" t="str">
        <f t="shared" si="19"/>
        <v>0 tubes and 0 shuttles</v>
      </c>
      <c r="K428" s="36">
        <f t="shared" si="26"/>
        <v>0</v>
      </c>
      <c r="L428" s="103" t="str">
        <f t="shared" si="20"/>
        <v>0 tubes and 0 shuttles</v>
      </c>
      <c r="M428" s="105">
        <f t="shared" si="27"/>
        <v>0</v>
      </c>
      <c r="N428" s="103" t="str">
        <f t="shared" si="21"/>
        <v>0 tubes and 0 shuttles</v>
      </c>
      <c r="O428" s="36">
        <f t="shared" si="22"/>
        <v>0</v>
      </c>
      <c r="P428" s="103" t="str">
        <f t="shared" si="23"/>
        <v>0 tubes and 0 shuttles</v>
      </c>
    </row>
    <row r="429" spans="1:16" ht="12.5" x14ac:dyDescent="0.25">
      <c r="A429" s="32">
        <f>'Profit &amp; Loss'!A429</f>
        <v>0</v>
      </c>
      <c r="B429" s="35">
        <f>'Profit &amp; Loss'!B429</f>
        <v>0</v>
      </c>
      <c r="C429" s="36"/>
      <c r="D429" s="33"/>
      <c r="E429" s="33"/>
      <c r="F429" s="101"/>
      <c r="G429" s="102">
        <f t="shared" si="24"/>
        <v>0</v>
      </c>
      <c r="H429" s="103" t="str">
        <f t="shared" si="18"/>
        <v>0 tubes and 0 shuttles</v>
      </c>
      <c r="I429" s="36">
        <f t="shared" si="25"/>
        <v>0</v>
      </c>
      <c r="J429" s="104" t="str">
        <f t="shared" si="19"/>
        <v>0 tubes and 0 shuttles</v>
      </c>
      <c r="K429" s="36">
        <f t="shared" si="26"/>
        <v>0</v>
      </c>
      <c r="L429" s="103" t="str">
        <f t="shared" si="20"/>
        <v>0 tubes and 0 shuttles</v>
      </c>
      <c r="M429" s="105">
        <f t="shared" si="27"/>
        <v>0</v>
      </c>
      <c r="N429" s="103" t="str">
        <f t="shared" si="21"/>
        <v>0 tubes and 0 shuttles</v>
      </c>
      <c r="O429" s="36">
        <f t="shared" si="22"/>
        <v>0</v>
      </c>
      <c r="P429" s="103" t="str">
        <f t="shared" si="23"/>
        <v>0 tubes and 0 shuttles</v>
      </c>
    </row>
    <row r="430" spans="1:16" ht="12.5" x14ac:dyDescent="0.25">
      <c r="A430" s="32">
        <f>'Profit &amp; Loss'!A430</f>
        <v>0</v>
      </c>
      <c r="B430" s="35">
        <f>'Profit &amp; Loss'!B430</f>
        <v>0</v>
      </c>
      <c r="C430" s="36"/>
      <c r="D430" s="33"/>
      <c r="E430" s="33"/>
      <c r="F430" s="101"/>
      <c r="G430" s="102">
        <f t="shared" si="24"/>
        <v>0</v>
      </c>
      <c r="H430" s="103" t="str">
        <f t="shared" si="18"/>
        <v>0 tubes and 0 shuttles</v>
      </c>
      <c r="I430" s="36">
        <f t="shared" si="25"/>
        <v>0</v>
      </c>
      <c r="J430" s="104" t="str">
        <f t="shared" si="19"/>
        <v>0 tubes and 0 shuttles</v>
      </c>
      <c r="K430" s="36">
        <f t="shared" si="26"/>
        <v>0</v>
      </c>
      <c r="L430" s="103" t="str">
        <f t="shared" si="20"/>
        <v>0 tubes and 0 shuttles</v>
      </c>
      <c r="M430" s="105">
        <f t="shared" si="27"/>
        <v>0</v>
      </c>
      <c r="N430" s="103" t="str">
        <f t="shared" si="21"/>
        <v>0 tubes and 0 shuttles</v>
      </c>
      <c r="O430" s="36">
        <f t="shared" si="22"/>
        <v>0</v>
      </c>
      <c r="P430" s="103" t="str">
        <f t="shared" si="23"/>
        <v>0 tubes and 0 shuttles</v>
      </c>
    </row>
    <row r="431" spans="1:16" ht="12.5" x14ac:dyDescent="0.25">
      <c r="A431" s="32">
        <f>'Profit &amp; Loss'!A431</f>
        <v>0</v>
      </c>
      <c r="B431" s="35">
        <f>'Profit &amp; Loss'!B431</f>
        <v>0</v>
      </c>
      <c r="C431" s="36"/>
      <c r="D431" s="33"/>
      <c r="E431" s="33"/>
      <c r="F431" s="101"/>
      <c r="G431" s="102">
        <f t="shared" si="24"/>
        <v>0</v>
      </c>
      <c r="H431" s="103" t="str">
        <f t="shared" si="18"/>
        <v>0 tubes and 0 shuttles</v>
      </c>
      <c r="I431" s="36">
        <f t="shared" si="25"/>
        <v>0</v>
      </c>
      <c r="J431" s="104" t="str">
        <f t="shared" si="19"/>
        <v>0 tubes and 0 shuttles</v>
      </c>
      <c r="K431" s="36">
        <f t="shared" si="26"/>
        <v>0</v>
      </c>
      <c r="L431" s="103" t="str">
        <f t="shared" si="20"/>
        <v>0 tubes and 0 shuttles</v>
      </c>
      <c r="M431" s="105">
        <f t="shared" si="27"/>
        <v>0</v>
      </c>
      <c r="N431" s="103" t="str">
        <f t="shared" si="21"/>
        <v>0 tubes and 0 shuttles</v>
      </c>
      <c r="O431" s="36">
        <f t="shared" si="22"/>
        <v>0</v>
      </c>
      <c r="P431" s="103" t="str">
        <f t="shared" si="23"/>
        <v>0 tubes and 0 shuttles</v>
      </c>
    </row>
    <row r="432" spans="1:16" ht="12.5" x14ac:dyDescent="0.25">
      <c r="A432" s="32">
        <f>'Profit &amp; Loss'!A432</f>
        <v>0</v>
      </c>
      <c r="B432" s="35">
        <f>'Profit &amp; Loss'!B432</f>
        <v>0</v>
      </c>
      <c r="C432" s="36"/>
      <c r="D432" s="33"/>
      <c r="E432" s="33"/>
      <c r="F432" s="101"/>
      <c r="G432" s="102">
        <f t="shared" si="24"/>
        <v>0</v>
      </c>
      <c r="H432" s="103" t="str">
        <f t="shared" si="18"/>
        <v>0 tubes and 0 shuttles</v>
      </c>
      <c r="I432" s="36">
        <f t="shared" si="25"/>
        <v>0</v>
      </c>
      <c r="J432" s="104" t="str">
        <f t="shared" si="19"/>
        <v>0 tubes and 0 shuttles</v>
      </c>
      <c r="K432" s="36">
        <f t="shared" si="26"/>
        <v>0</v>
      </c>
      <c r="L432" s="103" t="str">
        <f t="shared" si="20"/>
        <v>0 tubes and 0 shuttles</v>
      </c>
      <c r="M432" s="105">
        <f t="shared" si="27"/>
        <v>0</v>
      </c>
      <c r="N432" s="103" t="str">
        <f t="shared" si="21"/>
        <v>0 tubes and 0 shuttles</v>
      </c>
      <c r="O432" s="36">
        <f t="shared" si="22"/>
        <v>0</v>
      </c>
      <c r="P432" s="103" t="str">
        <f t="shared" si="23"/>
        <v>0 tubes and 0 shuttles</v>
      </c>
    </row>
    <row r="433" spans="1:16" ht="12.5" x14ac:dyDescent="0.25">
      <c r="A433" s="32">
        <f>'Profit &amp; Loss'!A433</f>
        <v>0</v>
      </c>
      <c r="B433" s="35">
        <f>'Profit &amp; Loss'!B433</f>
        <v>0</v>
      </c>
      <c r="C433" s="36"/>
      <c r="D433" s="33"/>
      <c r="E433" s="33"/>
      <c r="F433" s="101"/>
      <c r="G433" s="102">
        <f t="shared" si="24"/>
        <v>0</v>
      </c>
      <c r="H433" s="103" t="str">
        <f t="shared" si="18"/>
        <v>0 tubes and 0 shuttles</v>
      </c>
      <c r="I433" s="36">
        <f t="shared" si="25"/>
        <v>0</v>
      </c>
      <c r="J433" s="104" t="str">
        <f t="shared" si="19"/>
        <v>0 tubes and 0 shuttles</v>
      </c>
      <c r="K433" s="36">
        <f t="shared" si="26"/>
        <v>0</v>
      </c>
      <c r="L433" s="103" t="str">
        <f t="shared" si="20"/>
        <v>0 tubes and 0 shuttles</v>
      </c>
      <c r="M433" s="105">
        <f t="shared" si="27"/>
        <v>0</v>
      </c>
      <c r="N433" s="103" t="str">
        <f t="shared" si="21"/>
        <v>0 tubes and 0 shuttles</v>
      </c>
      <c r="O433" s="36">
        <f t="shared" si="22"/>
        <v>0</v>
      </c>
      <c r="P433" s="103" t="str">
        <f t="shared" si="23"/>
        <v>0 tubes and 0 shuttles</v>
      </c>
    </row>
    <row r="434" spans="1:16" ht="12.5" x14ac:dyDescent="0.25">
      <c r="A434" s="32">
        <f>'Profit &amp; Loss'!A434</f>
        <v>0</v>
      </c>
      <c r="B434" s="35">
        <f>'Profit &amp; Loss'!B434</f>
        <v>0</v>
      </c>
      <c r="C434" s="36"/>
      <c r="D434" s="33"/>
      <c r="E434" s="33"/>
      <c r="F434" s="101"/>
      <c r="G434" s="102">
        <f t="shared" si="24"/>
        <v>0</v>
      </c>
      <c r="H434" s="103" t="str">
        <f t="shared" si="18"/>
        <v>0 tubes and 0 shuttles</v>
      </c>
      <c r="I434" s="36">
        <f t="shared" si="25"/>
        <v>0</v>
      </c>
      <c r="J434" s="104" t="str">
        <f t="shared" si="19"/>
        <v>0 tubes and 0 shuttles</v>
      </c>
      <c r="K434" s="36">
        <f t="shared" si="26"/>
        <v>0</v>
      </c>
      <c r="L434" s="103" t="str">
        <f t="shared" si="20"/>
        <v>0 tubes and 0 shuttles</v>
      </c>
      <c r="M434" s="105">
        <f t="shared" si="27"/>
        <v>0</v>
      </c>
      <c r="N434" s="103" t="str">
        <f t="shared" si="21"/>
        <v>0 tubes and 0 shuttles</v>
      </c>
      <c r="O434" s="36">
        <f t="shared" si="22"/>
        <v>0</v>
      </c>
      <c r="P434" s="103" t="str">
        <f t="shared" si="23"/>
        <v>0 tubes and 0 shuttles</v>
      </c>
    </row>
    <row r="435" spans="1:16" ht="12.5" x14ac:dyDescent="0.25">
      <c r="A435" s="32">
        <f>'Profit &amp; Loss'!A435</f>
        <v>0</v>
      </c>
      <c r="B435" s="35">
        <f>'Profit &amp; Loss'!B435</f>
        <v>0</v>
      </c>
      <c r="C435" s="36"/>
      <c r="D435" s="33"/>
      <c r="E435" s="33"/>
      <c r="F435" s="101"/>
      <c r="G435" s="102">
        <f t="shared" si="24"/>
        <v>0</v>
      </c>
      <c r="H435" s="103" t="str">
        <f t="shared" si="18"/>
        <v>0 tubes and 0 shuttles</v>
      </c>
      <c r="I435" s="36">
        <f t="shared" si="25"/>
        <v>0</v>
      </c>
      <c r="J435" s="104" t="str">
        <f t="shared" si="19"/>
        <v>0 tubes and 0 shuttles</v>
      </c>
      <c r="K435" s="36">
        <f t="shared" si="26"/>
        <v>0</v>
      </c>
      <c r="L435" s="103" t="str">
        <f t="shared" si="20"/>
        <v>0 tubes and 0 shuttles</v>
      </c>
      <c r="M435" s="105">
        <f t="shared" si="27"/>
        <v>0</v>
      </c>
      <c r="N435" s="103" t="str">
        <f t="shared" si="21"/>
        <v>0 tubes and 0 shuttles</v>
      </c>
      <c r="O435" s="36">
        <f t="shared" si="22"/>
        <v>0</v>
      </c>
      <c r="P435" s="103" t="str">
        <f t="shared" si="23"/>
        <v>0 tubes and 0 shuttles</v>
      </c>
    </row>
    <row r="436" spans="1:16" ht="12.5" x14ac:dyDescent="0.25">
      <c r="A436" s="32">
        <f>'Profit &amp; Loss'!A436</f>
        <v>0</v>
      </c>
      <c r="B436" s="35">
        <f>'Profit &amp; Loss'!B436</f>
        <v>0</v>
      </c>
      <c r="C436" s="36"/>
      <c r="D436" s="33"/>
      <c r="E436" s="33"/>
      <c r="F436" s="101"/>
      <c r="G436" s="102">
        <f t="shared" si="24"/>
        <v>0</v>
      </c>
      <c r="H436" s="103" t="str">
        <f t="shared" si="18"/>
        <v>0 tubes and 0 shuttles</v>
      </c>
      <c r="I436" s="36">
        <f t="shared" si="25"/>
        <v>0</v>
      </c>
      <c r="J436" s="104" t="str">
        <f t="shared" si="19"/>
        <v>0 tubes and 0 shuttles</v>
      </c>
      <c r="K436" s="36">
        <f t="shared" si="26"/>
        <v>0</v>
      </c>
      <c r="L436" s="103" t="str">
        <f t="shared" si="20"/>
        <v>0 tubes and 0 shuttles</v>
      </c>
      <c r="M436" s="105">
        <f t="shared" si="27"/>
        <v>0</v>
      </c>
      <c r="N436" s="103" t="str">
        <f t="shared" si="21"/>
        <v>0 tubes and 0 shuttles</v>
      </c>
      <c r="O436" s="36">
        <f t="shared" si="22"/>
        <v>0</v>
      </c>
      <c r="P436" s="103" t="str">
        <f t="shared" si="23"/>
        <v>0 tubes and 0 shuttles</v>
      </c>
    </row>
    <row r="437" spans="1:16" ht="12.5" x14ac:dyDescent="0.25">
      <c r="A437" s="32">
        <f>'Profit &amp; Loss'!A437</f>
        <v>0</v>
      </c>
      <c r="B437" s="35">
        <f>'Profit &amp; Loss'!B437</f>
        <v>0</v>
      </c>
      <c r="C437" s="36"/>
      <c r="D437" s="33"/>
      <c r="E437" s="33"/>
      <c r="F437" s="101"/>
      <c r="G437" s="102">
        <f t="shared" si="24"/>
        <v>0</v>
      </c>
      <c r="H437" s="103" t="str">
        <f t="shared" si="18"/>
        <v>0 tubes and 0 shuttles</v>
      </c>
      <c r="I437" s="36">
        <f t="shared" si="25"/>
        <v>0</v>
      </c>
      <c r="J437" s="104" t="str">
        <f t="shared" si="19"/>
        <v>0 tubes and 0 shuttles</v>
      </c>
      <c r="K437" s="36">
        <f t="shared" si="26"/>
        <v>0</v>
      </c>
      <c r="L437" s="103" t="str">
        <f t="shared" si="20"/>
        <v>0 tubes and 0 shuttles</v>
      </c>
      <c r="M437" s="105">
        <f t="shared" si="27"/>
        <v>0</v>
      </c>
      <c r="N437" s="103" t="str">
        <f t="shared" si="21"/>
        <v>0 tubes and 0 shuttles</v>
      </c>
      <c r="O437" s="36">
        <f t="shared" si="22"/>
        <v>0</v>
      </c>
      <c r="P437" s="103" t="str">
        <f t="shared" si="23"/>
        <v>0 tubes and 0 shuttles</v>
      </c>
    </row>
    <row r="438" spans="1:16" ht="12.5" x14ac:dyDescent="0.25">
      <c r="A438" s="32">
        <f>'Profit &amp; Loss'!A438</f>
        <v>0</v>
      </c>
      <c r="B438" s="35">
        <f>'Profit &amp; Loss'!B438</f>
        <v>0</v>
      </c>
      <c r="C438" s="36"/>
      <c r="D438" s="33"/>
      <c r="E438" s="33"/>
      <c r="F438" s="101"/>
      <c r="G438" s="102">
        <f t="shared" si="24"/>
        <v>0</v>
      </c>
      <c r="H438" s="103" t="str">
        <f t="shared" si="18"/>
        <v>0 tubes and 0 shuttles</v>
      </c>
      <c r="I438" s="36">
        <f t="shared" si="25"/>
        <v>0</v>
      </c>
      <c r="J438" s="104" t="str">
        <f t="shared" si="19"/>
        <v>0 tubes and 0 shuttles</v>
      </c>
      <c r="K438" s="36">
        <f t="shared" si="26"/>
        <v>0</v>
      </c>
      <c r="L438" s="103" t="str">
        <f t="shared" si="20"/>
        <v>0 tubes and 0 shuttles</v>
      </c>
      <c r="M438" s="105">
        <f t="shared" si="27"/>
        <v>0</v>
      </c>
      <c r="N438" s="103" t="str">
        <f t="shared" si="21"/>
        <v>0 tubes and 0 shuttles</v>
      </c>
      <c r="O438" s="36">
        <f t="shared" si="22"/>
        <v>0</v>
      </c>
      <c r="P438" s="103" t="str">
        <f t="shared" si="23"/>
        <v>0 tubes and 0 shuttles</v>
      </c>
    </row>
    <row r="439" spans="1:16" ht="12.5" x14ac:dyDescent="0.25">
      <c r="A439" s="32">
        <f>'Profit &amp; Loss'!A439</f>
        <v>0</v>
      </c>
      <c r="B439" s="35">
        <f>'Profit &amp; Loss'!B439</f>
        <v>0</v>
      </c>
      <c r="C439" s="36"/>
      <c r="D439" s="33"/>
      <c r="E439" s="33"/>
      <c r="F439" s="101"/>
      <c r="G439" s="102">
        <f t="shared" si="24"/>
        <v>0</v>
      </c>
      <c r="H439" s="103" t="str">
        <f t="shared" si="18"/>
        <v>0 tubes and 0 shuttles</v>
      </c>
      <c r="I439" s="36">
        <f t="shared" si="25"/>
        <v>0</v>
      </c>
      <c r="J439" s="104" t="str">
        <f t="shared" si="19"/>
        <v>0 tubes and 0 shuttles</v>
      </c>
      <c r="K439" s="36">
        <f t="shared" si="26"/>
        <v>0</v>
      </c>
      <c r="L439" s="103" t="str">
        <f t="shared" si="20"/>
        <v>0 tubes and 0 shuttles</v>
      </c>
      <c r="M439" s="105">
        <f t="shared" si="27"/>
        <v>0</v>
      </c>
      <c r="N439" s="103" t="str">
        <f t="shared" si="21"/>
        <v>0 tubes and 0 shuttles</v>
      </c>
      <c r="O439" s="36">
        <f t="shared" si="22"/>
        <v>0</v>
      </c>
      <c r="P439" s="103" t="str">
        <f t="shared" si="23"/>
        <v>0 tubes and 0 shuttles</v>
      </c>
    </row>
    <row r="440" spans="1:16" ht="12.5" x14ac:dyDescent="0.25">
      <c r="A440" s="32">
        <f>'Profit &amp; Loss'!A440</f>
        <v>0</v>
      </c>
      <c r="B440" s="35">
        <f>'Profit &amp; Loss'!B440</f>
        <v>0</v>
      </c>
      <c r="C440" s="36"/>
      <c r="D440" s="33"/>
      <c r="E440" s="33"/>
      <c r="F440" s="101"/>
      <c r="G440" s="102">
        <f t="shared" si="24"/>
        <v>0</v>
      </c>
      <c r="H440" s="103" t="str">
        <f t="shared" si="18"/>
        <v>0 tubes and 0 shuttles</v>
      </c>
      <c r="I440" s="36">
        <f t="shared" si="25"/>
        <v>0</v>
      </c>
      <c r="J440" s="104" t="str">
        <f t="shared" si="19"/>
        <v>0 tubes and 0 shuttles</v>
      </c>
      <c r="K440" s="36">
        <f t="shared" si="26"/>
        <v>0</v>
      </c>
      <c r="L440" s="103" t="str">
        <f t="shared" si="20"/>
        <v>0 tubes and 0 shuttles</v>
      </c>
      <c r="M440" s="105">
        <f t="shared" si="27"/>
        <v>0</v>
      </c>
      <c r="N440" s="103" t="str">
        <f t="shared" si="21"/>
        <v>0 tubes and 0 shuttles</v>
      </c>
      <c r="O440" s="36">
        <f t="shared" si="22"/>
        <v>0</v>
      </c>
      <c r="P440" s="103" t="str">
        <f t="shared" si="23"/>
        <v>0 tubes and 0 shuttles</v>
      </c>
    </row>
    <row r="441" spans="1:16" ht="12.5" x14ac:dyDescent="0.25">
      <c r="A441" s="32">
        <f>'Profit &amp; Loss'!A441</f>
        <v>0</v>
      </c>
      <c r="B441" s="35">
        <f>'Profit &amp; Loss'!B441</f>
        <v>0</v>
      </c>
      <c r="C441" s="36"/>
      <c r="D441" s="33"/>
      <c r="E441" s="33"/>
      <c r="F441" s="101"/>
      <c r="G441" s="102">
        <f t="shared" si="24"/>
        <v>0</v>
      </c>
      <c r="H441" s="103" t="str">
        <f t="shared" si="18"/>
        <v>0 tubes and 0 shuttles</v>
      </c>
      <c r="I441" s="36">
        <f t="shared" si="25"/>
        <v>0</v>
      </c>
      <c r="J441" s="104" t="str">
        <f t="shared" si="19"/>
        <v>0 tubes and 0 shuttles</v>
      </c>
      <c r="K441" s="36">
        <f t="shared" si="26"/>
        <v>0</v>
      </c>
      <c r="L441" s="103" t="str">
        <f t="shared" si="20"/>
        <v>0 tubes and 0 shuttles</v>
      </c>
      <c r="M441" s="105">
        <f t="shared" si="27"/>
        <v>0</v>
      </c>
      <c r="N441" s="103" t="str">
        <f t="shared" si="21"/>
        <v>0 tubes and 0 shuttles</v>
      </c>
      <c r="O441" s="36">
        <f t="shared" si="22"/>
        <v>0</v>
      </c>
      <c r="P441" s="103" t="str">
        <f t="shared" si="23"/>
        <v>0 tubes and 0 shuttles</v>
      </c>
    </row>
    <row r="442" spans="1:16" ht="12.5" x14ac:dyDescent="0.25">
      <c r="A442" s="32">
        <f>'Profit &amp; Loss'!A442</f>
        <v>0</v>
      </c>
      <c r="B442" s="35">
        <f>'Profit &amp; Loss'!B442</f>
        <v>0</v>
      </c>
      <c r="C442" s="36"/>
      <c r="D442" s="33"/>
      <c r="E442" s="33"/>
      <c r="F442" s="101"/>
      <c r="G442" s="102">
        <f t="shared" si="24"/>
        <v>0</v>
      </c>
      <c r="H442" s="103" t="str">
        <f t="shared" si="18"/>
        <v>0 tubes and 0 shuttles</v>
      </c>
      <c r="I442" s="36">
        <f t="shared" si="25"/>
        <v>0</v>
      </c>
      <c r="J442" s="104" t="str">
        <f t="shared" si="19"/>
        <v>0 tubes and 0 shuttles</v>
      </c>
      <c r="K442" s="36">
        <f t="shared" si="26"/>
        <v>0</v>
      </c>
      <c r="L442" s="103" t="str">
        <f t="shared" si="20"/>
        <v>0 tubes and 0 shuttles</v>
      </c>
      <c r="M442" s="105">
        <f t="shared" si="27"/>
        <v>0</v>
      </c>
      <c r="N442" s="103" t="str">
        <f t="shared" si="21"/>
        <v>0 tubes and 0 shuttles</v>
      </c>
      <c r="O442" s="36">
        <f t="shared" si="22"/>
        <v>0</v>
      </c>
      <c r="P442" s="103" t="str">
        <f t="shared" si="23"/>
        <v>0 tubes and 0 shuttles</v>
      </c>
    </row>
    <row r="443" spans="1:16" ht="12.5" x14ac:dyDescent="0.25">
      <c r="A443" s="32">
        <f>'Profit &amp; Loss'!A443</f>
        <v>0</v>
      </c>
      <c r="B443" s="35">
        <f>'Profit &amp; Loss'!B443</f>
        <v>0</v>
      </c>
      <c r="C443" s="36"/>
      <c r="D443" s="33"/>
      <c r="E443" s="33"/>
      <c r="F443" s="101"/>
      <c r="G443" s="102">
        <f t="shared" si="24"/>
        <v>0</v>
      </c>
      <c r="H443" s="103" t="str">
        <f t="shared" si="18"/>
        <v>0 tubes and 0 shuttles</v>
      </c>
      <c r="I443" s="36">
        <f t="shared" si="25"/>
        <v>0</v>
      </c>
      <c r="J443" s="104" t="str">
        <f t="shared" si="19"/>
        <v>0 tubes and 0 shuttles</v>
      </c>
      <c r="K443" s="36">
        <f t="shared" si="26"/>
        <v>0</v>
      </c>
      <c r="L443" s="103" t="str">
        <f t="shared" si="20"/>
        <v>0 tubes and 0 shuttles</v>
      </c>
      <c r="M443" s="105">
        <f t="shared" si="27"/>
        <v>0</v>
      </c>
      <c r="N443" s="103" t="str">
        <f t="shared" si="21"/>
        <v>0 tubes and 0 shuttles</v>
      </c>
      <c r="O443" s="36">
        <f t="shared" si="22"/>
        <v>0</v>
      </c>
      <c r="P443" s="103" t="str">
        <f t="shared" si="23"/>
        <v>0 tubes and 0 shuttles</v>
      </c>
    </row>
    <row r="444" spans="1:16" ht="12.5" x14ac:dyDescent="0.25">
      <c r="A444" s="32">
        <f>'Profit &amp; Loss'!A444</f>
        <v>0</v>
      </c>
      <c r="B444" s="35">
        <f>'Profit &amp; Loss'!B444</f>
        <v>0</v>
      </c>
      <c r="C444" s="36"/>
      <c r="D444" s="33"/>
      <c r="E444" s="33"/>
      <c r="F444" s="101"/>
      <c r="G444" s="102">
        <f t="shared" si="24"/>
        <v>0</v>
      </c>
      <c r="H444" s="103" t="str">
        <f t="shared" si="18"/>
        <v>0 tubes and 0 shuttles</v>
      </c>
      <c r="I444" s="36">
        <f t="shared" si="25"/>
        <v>0</v>
      </c>
      <c r="J444" s="104" t="str">
        <f t="shared" si="19"/>
        <v>0 tubes and 0 shuttles</v>
      </c>
      <c r="K444" s="36">
        <f t="shared" si="26"/>
        <v>0</v>
      </c>
      <c r="L444" s="103" t="str">
        <f t="shared" si="20"/>
        <v>0 tubes and 0 shuttles</v>
      </c>
      <c r="M444" s="105">
        <f t="shared" si="27"/>
        <v>0</v>
      </c>
      <c r="N444" s="103" t="str">
        <f t="shared" si="21"/>
        <v>0 tubes and 0 shuttles</v>
      </c>
      <c r="O444" s="36">
        <f t="shared" si="22"/>
        <v>0</v>
      </c>
      <c r="P444" s="103" t="str">
        <f t="shared" si="23"/>
        <v>0 tubes and 0 shuttles</v>
      </c>
    </row>
    <row r="445" spans="1:16" ht="12.5" x14ac:dyDescent="0.25">
      <c r="A445" s="32">
        <f>'Profit &amp; Loss'!A445</f>
        <v>0</v>
      </c>
      <c r="B445" s="35">
        <f>'Profit &amp; Loss'!B445</f>
        <v>0</v>
      </c>
      <c r="C445" s="36"/>
      <c r="D445" s="33"/>
      <c r="E445" s="33"/>
      <c r="F445" s="101"/>
      <c r="G445" s="102">
        <f t="shared" si="24"/>
        <v>0</v>
      </c>
      <c r="H445" s="103" t="str">
        <f t="shared" si="18"/>
        <v>0 tubes and 0 shuttles</v>
      </c>
      <c r="I445" s="36">
        <f t="shared" si="25"/>
        <v>0</v>
      </c>
      <c r="J445" s="104" t="str">
        <f t="shared" si="19"/>
        <v>0 tubes and 0 shuttles</v>
      </c>
      <c r="K445" s="36">
        <f t="shared" si="26"/>
        <v>0</v>
      </c>
      <c r="L445" s="103" t="str">
        <f t="shared" si="20"/>
        <v>0 tubes and 0 shuttles</v>
      </c>
      <c r="M445" s="105">
        <f t="shared" si="27"/>
        <v>0</v>
      </c>
      <c r="N445" s="103" t="str">
        <f t="shared" si="21"/>
        <v>0 tubes and 0 shuttles</v>
      </c>
      <c r="O445" s="36">
        <f t="shared" si="22"/>
        <v>0</v>
      </c>
      <c r="P445" s="103" t="str">
        <f t="shared" si="23"/>
        <v>0 tubes and 0 shuttles</v>
      </c>
    </row>
    <row r="446" spans="1:16" ht="12.5" x14ac:dyDescent="0.25">
      <c r="A446" s="32">
        <f>'Profit &amp; Loss'!A446</f>
        <v>0</v>
      </c>
      <c r="B446" s="35">
        <f>'Profit &amp; Loss'!B446</f>
        <v>0</v>
      </c>
      <c r="C446" s="36"/>
      <c r="D446" s="33"/>
      <c r="E446" s="33"/>
      <c r="F446" s="101"/>
      <c r="G446" s="102">
        <f t="shared" si="24"/>
        <v>0</v>
      </c>
      <c r="H446" s="103" t="str">
        <f t="shared" si="18"/>
        <v>0 tubes and 0 shuttles</v>
      </c>
      <c r="I446" s="36">
        <f t="shared" si="25"/>
        <v>0</v>
      </c>
      <c r="J446" s="104" t="str">
        <f t="shared" si="19"/>
        <v>0 tubes and 0 shuttles</v>
      </c>
      <c r="K446" s="36">
        <f t="shared" si="26"/>
        <v>0</v>
      </c>
      <c r="L446" s="103" t="str">
        <f t="shared" si="20"/>
        <v>0 tubes and 0 shuttles</v>
      </c>
      <c r="M446" s="105">
        <f t="shared" si="27"/>
        <v>0</v>
      </c>
      <c r="N446" s="103" t="str">
        <f t="shared" si="21"/>
        <v>0 tubes and 0 shuttles</v>
      </c>
      <c r="O446" s="36">
        <f t="shared" si="22"/>
        <v>0</v>
      </c>
      <c r="P446" s="103" t="str">
        <f t="shared" si="23"/>
        <v>0 tubes and 0 shuttles</v>
      </c>
    </row>
    <row r="447" spans="1:16" ht="12.5" x14ac:dyDescent="0.25">
      <c r="A447" s="32">
        <f>'Profit &amp; Loss'!A447</f>
        <v>0</v>
      </c>
      <c r="B447" s="35">
        <f>'Profit &amp; Loss'!B447</f>
        <v>0</v>
      </c>
      <c r="C447" s="36"/>
      <c r="D447" s="33"/>
      <c r="E447" s="33"/>
      <c r="F447" s="101"/>
      <c r="G447" s="102">
        <f t="shared" si="24"/>
        <v>0</v>
      </c>
      <c r="H447" s="103" t="str">
        <f t="shared" si="18"/>
        <v>0 tubes and 0 shuttles</v>
      </c>
      <c r="I447" s="36">
        <f t="shared" si="25"/>
        <v>0</v>
      </c>
      <c r="J447" s="104" t="str">
        <f t="shared" si="19"/>
        <v>0 tubes and 0 shuttles</v>
      </c>
      <c r="K447" s="36">
        <f t="shared" si="26"/>
        <v>0</v>
      </c>
      <c r="L447" s="103" t="str">
        <f t="shared" si="20"/>
        <v>0 tubes and 0 shuttles</v>
      </c>
      <c r="M447" s="105">
        <f t="shared" si="27"/>
        <v>0</v>
      </c>
      <c r="N447" s="103" t="str">
        <f t="shared" si="21"/>
        <v>0 tubes and 0 shuttles</v>
      </c>
      <c r="O447" s="36">
        <f t="shared" si="22"/>
        <v>0</v>
      </c>
      <c r="P447" s="103" t="str">
        <f t="shared" si="23"/>
        <v>0 tubes and 0 shuttles</v>
      </c>
    </row>
    <row r="448" spans="1:16" ht="12.5" x14ac:dyDescent="0.25">
      <c r="A448" s="32">
        <f>'Profit &amp; Loss'!A448</f>
        <v>0</v>
      </c>
      <c r="B448" s="35">
        <f>'Profit &amp; Loss'!B448</f>
        <v>0</v>
      </c>
      <c r="C448" s="36"/>
      <c r="D448" s="33"/>
      <c r="E448" s="33"/>
      <c r="F448" s="101"/>
      <c r="G448" s="102">
        <f t="shared" si="24"/>
        <v>0</v>
      </c>
      <c r="H448" s="103" t="str">
        <f t="shared" si="18"/>
        <v>0 tubes and 0 shuttles</v>
      </c>
      <c r="I448" s="36">
        <f t="shared" si="25"/>
        <v>0</v>
      </c>
      <c r="J448" s="104" t="str">
        <f t="shared" si="19"/>
        <v>0 tubes and 0 shuttles</v>
      </c>
      <c r="K448" s="36">
        <f t="shared" si="26"/>
        <v>0</v>
      </c>
      <c r="L448" s="103" t="str">
        <f t="shared" si="20"/>
        <v>0 tubes and 0 shuttles</v>
      </c>
      <c r="M448" s="105">
        <f t="shared" si="27"/>
        <v>0</v>
      </c>
      <c r="N448" s="103" t="str">
        <f t="shared" si="21"/>
        <v>0 tubes and 0 shuttles</v>
      </c>
      <c r="O448" s="36">
        <f t="shared" si="22"/>
        <v>0</v>
      </c>
      <c r="P448" s="103" t="str">
        <f t="shared" si="23"/>
        <v>0 tubes and 0 shuttles</v>
      </c>
    </row>
    <row r="449" spans="1:16" ht="12.5" x14ac:dyDescent="0.25">
      <c r="A449" s="32">
        <f>'Profit &amp; Loss'!A449</f>
        <v>0</v>
      </c>
      <c r="B449" s="35">
        <f>'Profit &amp; Loss'!B449</f>
        <v>0</v>
      </c>
      <c r="C449" s="36"/>
      <c r="D449" s="33"/>
      <c r="E449" s="33"/>
      <c r="F449" s="101"/>
      <c r="G449" s="102">
        <f t="shared" si="24"/>
        <v>0</v>
      </c>
      <c r="H449" s="103" t="str">
        <f t="shared" si="18"/>
        <v>0 tubes and 0 shuttles</v>
      </c>
      <c r="I449" s="36">
        <f t="shared" si="25"/>
        <v>0</v>
      </c>
      <c r="J449" s="104" t="str">
        <f t="shared" si="19"/>
        <v>0 tubes and 0 shuttles</v>
      </c>
      <c r="K449" s="36">
        <f t="shared" si="26"/>
        <v>0</v>
      </c>
      <c r="L449" s="103" t="str">
        <f t="shared" si="20"/>
        <v>0 tubes and 0 shuttles</v>
      </c>
      <c r="M449" s="105">
        <f t="shared" si="27"/>
        <v>0</v>
      </c>
      <c r="N449" s="103" t="str">
        <f t="shared" si="21"/>
        <v>0 tubes and 0 shuttles</v>
      </c>
      <c r="O449" s="36">
        <f t="shared" si="22"/>
        <v>0</v>
      </c>
      <c r="P449" s="103" t="str">
        <f t="shared" si="23"/>
        <v>0 tubes and 0 shuttles</v>
      </c>
    </row>
    <row r="450" spans="1:16" ht="12.5" x14ac:dyDescent="0.25">
      <c r="A450" s="32">
        <f>'Profit &amp; Loss'!A450</f>
        <v>0</v>
      </c>
      <c r="B450" s="35">
        <f>'Profit &amp; Loss'!B450</f>
        <v>0</v>
      </c>
      <c r="C450" s="36"/>
      <c r="D450" s="33"/>
      <c r="E450" s="33"/>
      <c r="F450" s="101"/>
      <c r="G450" s="102">
        <f t="shared" si="24"/>
        <v>0</v>
      </c>
      <c r="H450" s="103" t="str">
        <f t="shared" si="18"/>
        <v>0 tubes and 0 shuttles</v>
      </c>
      <c r="I450" s="36">
        <f t="shared" si="25"/>
        <v>0</v>
      </c>
      <c r="J450" s="104" t="str">
        <f t="shared" si="19"/>
        <v>0 tubes and 0 shuttles</v>
      </c>
      <c r="K450" s="36">
        <f t="shared" si="26"/>
        <v>0</v>
      </c>
      <c r="L450" s="103" t="str">
        <f t="shared" si="20"/>
        <v>0 tubes and 0 shuttles</v>
      </c>
      <c r="M450" s="105">
        <f t="shared" si="27"/>
        <v>0</v>
      </c>
      <c r="N450" s="103" t="str">
        <f t="shared" si="21"/>
        <v>0 tubes and 0 shuttles</v>
      </c>
      <c r="O450" s="36">
        <f t="shared" si="22"/>
        <v>0</v>
      </c>
      <c r="P450" s="103" t="str">
        <f t="shared" si="23"/>
        <v>0 tubes and 0 shuttles</v>
      </c>
    </row>
    <row r="451" spans="1:16" ht="12.5" x14ac:dyDescent="0.25">
      <c r="A451" s="32">
        <f>'Profit &amp; Loss'!A451</f>
        <v>0</v>
      </c>
      <c r="B451" s="35">
        <f>'Profit &amp; Loss'!B451</f>
        <v>0</v>
      </c>
      <c r="C451" s="36"/>
      <c r="D451" s="33"/>
      <c r="E451" s="33"/>
      <c r="F451" s="101"/>
      <c r="G451" s="102">
        <f t="shared" si="24"/>
        <v>0</v>
      </c>
      <c r="H451" s="103" t="str">
        <f t="shared" si="18"/>
        <v>0 tubes and 0 shuttles</v>
      </c>
      <c r="I451" s="36">
        <f t="shared" si="25"/>
        <v>0</v>
      </c>
      <c r="J451" s="104" t="str">
        <f t="shared" si="19"/>
        <v>0 tubes and 0 shuttles</v>
      </c>
      <c r="K451" s="36">
        <f t="shared" si="26"/>
        <v>0</v>
      </c>
      <c r="L451" s="103" t="str">
        <f t="shared" si="20"/>
        <v>0 tubes and 0 shuttles</v>
      </c>
      <c r="M451" s="105">
        <f t="shared" si="27"/>
        <v>0</v>
      </c>
      <c r="N451" s="103" t="str">
        <f t="shared" si="21"/>
        <v>0 tubes and 0 shuttles</v>
      </c>
      <c r="O451" s="36">
        <f t="shared" si="22"/>
        <v>0</v>
      </c>
      <c r="P451" s="103" t="str">
        <f t="shared" si="23"/>
        <v>0 tubes and 0 shuttles</v>
      </c>
    </row>
    <row r="452" spans="1:16" ht="12.5" x14ac:dyDescent="0.25">
      <c r="A452" s="32">
        <f>'Profit &amp; Loss'!A452</f>
        <v>0</v>
      </c>
      <c r="B452" s="35">
        <f>'Profit &amp; Loss'!B452</f>
        <v>0</v>
      </c>
      <c r="C452" s="36"/>
      <c r="D452" s="33"/>
      <c r="E452" s="33"/>
      <c r="F452" s="101"/>
      <c r="G452" s="102">
        <f t="shared" si="24"/>
        <v>0</v>
      </c>
      <c r="H452" s="103" t="str">
        <f t="shared" si="18"/>
        <v>0 tubes and 0 shuttles</v>
      </c>
      <c r="I452" s="36">
        <f t="shared" si="25"/>
        <v>0</v>
      </c>
      <c r="J452" s="104" t="str">
        <f t="shared" si="19"/>
        <v>0 tubes and 0 shuttles</v>
      </c>
      <c r="K452" s="36">
        <f t="shared" si="26"/>
        <v>0</v>
      </c>
      <c r="L452" s="103" t="str">
        <f t="shared" si="20"/>
        <v>0 tubes and 0 shuttles</v>
      </c>
      <c r="M452" s="105">
        <f t="shared" si="27"/>
        <v>0</v>
      </c>
      <c r="N452" s="103" t="str">
        <f t="shared" si="21"/>
        <v>0 tubes and 0 shuttles</v>
      </c>
      <c r="O452" s="36">
        <f t="shared" si="22"/>
        <v>0</v>
      </c>
      <c r="P452" s="103" t="str">
        <f t="shared" si="23"/>
        <v>0 tubes and 0 shuttles</v>
      </c>
    </row>
    <row r="453" spans="1:16" ht="12.5" x14ac:dyDescent="0.25">
      <c r="A453" s="32">
        <f>'Profit &amp; Loss'!A453</f>
        <v>0</v>
      </c>
      <c r="B453" s="35">
        <f>'Profit &amp; Loss'!B453</f>
        <v>0</v>
      </c>
      <c r="C453" s="36"/>
      <c r="D453" s="33"/>
      <c r="E453" s="33"/>
      <c r="F453" s="101"/>
      <c r="G453" s="102">
        <f t="shared" si="24"/>
        <v>0</v>
      </c>
      <c r="H453" s="103" t="str">
        <f t="shared" si="18"/>
        <v>0 tubes and 0 shuttles</v>
      </c>
      <c r="I453" s="36">
        <f t="shared" si="25"/>
        <v>0</v>
      </c>
      <c r="J453" s="104" t="str">
        <f t="shared" si="19"/>
        <v>0 tubes and 0 shuttles</v>
      </c>
      <c r="K453" s="36">
        <f t="shared" si="26"/>
        <v>0</v>
      </c>
      <c r="L453" s="103" t="str">
        <f t="shared" si="20"/>
        <v>0 tubes and 0 shuttles</v>
      </c>
      <c r="M453" s="105">
        <f t="shared" si="27"/>
        <v>0</v>
      </c>
      <c r="N453" s="103" t="str">
        <f t="shared" si="21"/>
        <v>0 tubes and 0 shuttles</v>
      </c>
      <c r="O453" s="36">
        <f t="shared" si="22"/>
        <v>0</v>
      </c>
      <c r="P453" s="103" t="str">
        <f t="shared" si="23"/>
        <v>0 tubes and 0 shuttles</v>
      </c>
    </row>
    <row r="454" spans="1:16" ht="12.5" x14ac:dyDescent="0.25">
      <c r="A454" s="32">
        <f>'Profit &amp; Loss'!A454</f>
        <v>0</v>
      </c>
      <c r="B454" s="35">
        <f>'Profit &amp; Loss'!B454</f>
        <v>0</v>
      </c>
      <c r="C454" s="36"/>
      <c r="D454" s="33"/>
      <c r="E454" s="33"/>
      <c r="F454" s="101"/>
      <c r="G454" s="102">
        <f t="shared" si="24"/>
        <v>0</v>
      </c>
      <c r="H454" s="103" t="str">
        <f t="shared" si="18"/>
        <v>0 tubes and 0 shuttles</v>
      </c>
      <c r="I454" s="36">
        <f t="shared" si="25"/>
        <v>0</v>
      </c>
      <c r="J454" s="104" t="str">
        <f t="shared" si="19"/>
        <v>0 tubes and 0 shuttles</v>
      </c>
      <c r="K454" s="36">
        <f t="shared" si="26"/>
        <v>0</v>
      </c>
      <c r="L454" s="103" t="str">
        <f t="shared" si="20"/>
        <v>0 tubes and 0 shuttles</v>
      </c>
      <c r="M454" s="105">
        <f t="shared" si="27"/>
        <v>0</v>
      </c>
      <c r="N454" s="103" t="str">
        <f t="shared" si="21"/>
        <v>0 tubes and 0 shuttles</v>
      </c>
      <c r="O454" s="36">
        <f t="shared" si="22"/>
        <v>0</v>
      </c>
      <c r="P454" s="103" t="str">
        <f t="shared" si="23"/>
        <v>0 tubes and 0 shuttles</v>
      </c>
    </row>
    <row r="455" spans="1:16" ht="12.5" x14ac:dyDescent="0.25">
      <c r="A455" s="32">
        <f>'Profit &amp; Loss'!A455</f>
        <v>0</v>
      </c>
      <c r="B455" s="35">
        <f>'Profit &amp; Loss'!B455</f>
        <v>0</v>
      </c>
      <c r="C455" s="36"/>
      <c r="D455" s="33"/>
      <c r="E455" s="33"/>
      <c r="F455" s="101"/>
      <c r="G455" s="102">
        <f t="shared" si="24"/>
        <v>0</v>
      </c>
      <c r="H455" s="103" t="str">
        <f t="shared" si="18"/>
        <v>0 tubes and 0 shuttles</v>
      </c>
      <c r="I455" s="36">
        <f t="shared" si="25"/>
        <v>0</v>
      </c>
      <c r="J455" s="104" t="str">
        <f t="shared" si="19"/>
        <v>0 tubes and 0 shuttles</v>
      </c>
      <c r="K455" s="36">
        <f t="shared" si="26"/>
        <v>0</v>
      </c>
      <c r="L455" s="103" t="str">
        <f t="shared" si="20"/>
        <v>0 tubes and 0 shuttles</v>
      </c>
      <c r="M455" s="105">
        <f t="shared" si="27"/>
        <v>0</v>
      </c>
      <c r="N455" s="103" t="str">
        <f t="shared" si="21"/>
        <v>0 tubes and 0 shuttles</v>
      </c>
      <c r="O455" s="36">
        <f t="shared" si="22"/>
        <v>0</v>
      </c>
      <c r="P455" s="103" t="str">
        <f t="shared" si="23"/>
        <v>0 tubes and 0 shuttles</v>
      </c>
    </row>
    <row r="456" spans="1:16" ht="12.5" x14ac:dyDescent="0.25">
      <c r="A456" s="32">
        <f>'Profit &amp; Loss'!A456</f>
        <v>0</v>
      </c>
      <c r="B456" s="35">
        <f>'Profit &amp; Loss'!B456</f>
        <v>0</v>
      </c>
      <c r="C456" s="36"/>
      <c r="D456" s="33"/>
      <c r="E456" s="33"/>
      <c r="F456" s="101"/>
      <c r="G456" s="102">
        <f t="shared" si="24"/>
        <v>0</v>
      </c>
      <c r="H456" s="103" t="str">
        <f t="shared" si="18"/>
        <v>0 tubes and 0 shuttles</v>
      </c>
      <c r="I456" s="36">
        <f t="shared" si="25"/>
        <v>0</v>
      </c>
      <c r="J456" s="104" t="str">
        <f t="shared" si="19"/>
        <v>0 tubes and 0 shuttles</v>
      </c>
      <c r="K456" s="36">
        <f t="shared" si="26"/>
        <v>0</v>
      </c>
      <c r="L456" s="103" t="str">
        <f t="shared" si="20"/>
        <v>0 tubes and 0 shuttles</v>
      </c>
      <c r="M456" s="105">
        <f t="shared" si="27"/>
        <v>0</v>
      </c>
      <c r="N456" s="103" t="str">
        <f t="shared" si="21"/>
        <v>0 tubes and 0 shuttles</v>
      </c>
      <c r="O456" s="36">
        <f t="shared" si="22"/>
        <v>0</v>
      </c>
      <c r="P456" s="103" t="str">
        <f t="shared" si="23"/>
        <v>0 tubes and 0 shuttles</v>
      </c>
    </row>
    <row r="457" spans="1:16" ht="12.5" x14ac:dyDescent="0.25">
      <c r="A457" s="32">
        <f>'Profit &amp; Loss'!A457</f>
        <v>0</v>
      </c>
      <c r="B457" s="35">
        <f>'Profit &amp; Loss'!B457</f>
        <v>0</v>
      </c>
      <c r="C457" s="36"/>
      <c r="D457" s="33"/>
      <c r="E457" s="33"/>
      <c r="F457" s="101"/>
      <c r="G457" s="102">
        <f t="shared" si="24"/>
        <v>0</v>
      </c>
      <c r="H457" s="103" t="str">
        <f t="shared" si="18"/>
        <v>0 tubes and 0 shuttles</v>
      </c>
      <c r="I457" s="36">
        <f t="shared" si="25"/>
        <v>0</v>
      </c>
      <c r="J457" s="104" t="str">
        <f t="shared" si="19"/>
        <v>0 tubes and 0 shuttles</v>
      </c>
      <c r="K457" s="36">
        <f t="shared" si="26"/>
        <v>0</v>
      </c>
      <c r="L457" s="103" t="str">
        <f t="shared" si="20"/>
        <v>0 tubes and 0 shuttles</v>
      </c>
      <c r="M457" s="105">
        <f t="shared" si="27"/>
        <v>0</v>
      </c>
      <c r="N457" s="103" t="str">
        <f t="shared" si="21"/>
        <v>0 tubes and 0 shuttles</v>
      </c>
      <c r="O457" s="36">
        <f t="shared" si="22"/>
        <v>0</v>
      </c>
      <c r="P457" s="103" t="str">
        <f t="shared" si="23"/>
        <v>0 tubes and 0 shuttles</v>
      </c>
    </row>
    <row r="458" spans="1:16" ht="12.5" x14ac:dyDescent="0.25">
      <c r="A458" s="32">
        <f>'Profit &amp; Loss'!A458</f>
        <v>0</v>
      </c>
      <c r="B458" s="35">
        <f>'Profit &amp; Loss'!B458</f>
        <v>0</v>
      </c>
      <c r="C458" s="36"/>
      <c r="D458" s="33"/>
      <c r="E458" s="33"/>
      <c r="F458" s="101"/>
      <c r="G458" s="102">
        <f t="shared" si="24"/>
        <v>0</v>
      </c>
      <c r="H458" s="103" t="str">
        <f t="shared" si="18"/>
        <v>0 tubes and 0 shuttles</v>
      </c>
      <c r="I458" s="36">
        <f t="shared" si="25"/>
        <v>0</v>
      </c>
      <c r="J458" s="104" t="str">
        <f t="shared" si="19"/>
        <v>0 tubes and 0 shuttles</v>
      </c>
      <c r="K458" s="36">
        <f t="shared" si="26"/>
        <v>0</v>
      </c>
      <c r="L458" s="103" t="str">
        <f t="shared" si="20"/>
        <v>0 tubes and 0 shuttles</v>
      </c>
      <c r="M458" s="105">
        <f t="shared" si="27"/>
        <v>0</v>
      </c>
      <c r="N458" s="103" t="str">
        <f t="shared" si="21"/>
        <v>0 tubes and 0 shuttles</v>
      </c>
      <c r="O458" s="36">
        <f t="shared" si="22"/>
        <v>0</v>
      </c>
      <c r="P458" s="103" t="str">
        <f t="shared" si="23"/>
        <v>0 tubes and 0 shuttles</v>
      </c>
    </row>
    <row r="459" spans="1:16" ht="12.5" x14ac:dyDescent="0.25">
      <c r="A459" s="32">
        <f>'Profit &amp; Loss'!A459</f>
        <v>0</v>
      </c>
      <c r="B459" s="35">
        <f>'Profit &amp; Loss'!B459</f>
        <v>0</v>
      </c>
      <c r="C459" s="36"/>
      <c r="D459" s="33"/>
      <c r="E459" s="33"/>
      <c r="F459" s="101"/>
      <c r="G459" s="102">
        <f t="shared" si="24"/>
        <v>0</v>
      </c>
      <c r="H459" s="103" t="str">
        <f t="shared" si="18"/>
        <v>0 tubes and 0 shuttles</v>
      </c>
      <c r="I459" s="36">
        <f t="shared" si="25"/>
        <v>0</v>
      </c>
      <c r="J459" s="104" t="str">
        <f t="shared" si="19"/>
        <v>0 tubes and 0 shuttles</v>
      </c>
      <c r="K459" s="36">
        <f t="shared" si="26"/>
        <v>0</v>
      </c>
      <c r="L459" s="103" t="str">
        <f t="shared" si="20"/>
        <v>0 tubes and 0 shuttles</v>
      </c>
      <c r="M459" s="105">
        <f t="shared" si="27"/>
        <v>0</v>
      </c>
      <c r="N459" s="103" t="str">
        <f t="shared" si="21"/>
        <v>0 tubes and 0 shuttles</v>
      </c>
      <c r="O459" s="36">
        <f t="shared" si="22"/>
        <v>0</v>
      </c>
      <c r="P459" s="103" t="str">
        <f t="shared" si="23"/>
        <v>0 tubes and 0 shuttles</v>
      </c>
    </row>
    <row r="460" spans="1:16" ht="12.5" x14ac:dyDescent="0.25">
      <c r="A460" s="32">
        <f>'Profit &amp; Loss'!A460</f>
        <v>0</v>
      </c>
      <c r="B460" s="35">
        <f>'Profit &amp; Loss'!B460</f>
        <v>0</v>
      </c>
      <c r="C460" s="36"/>
      <c r="D460" s="33"/>
      <c r="E460" s="33"/>
      <c r="F460" s="101"/>
      <c r="G460" s="102">
        <f t="shared" si="24"/>
        <v>0</v>
      </c>
      <c r="H460" s="103" t="str">
        <f t="shared" si="18"/>
        <v>0 tubes and 0 shuttles</v>
      </c>
      <c r="I460" s="36">
        <f t="shared" si="25"/>
        <v>0</v>
      </c>
      <c r="J460" s="104" t="str">
        <f t="shared" si="19"/>
        <v>0 tubes and 0 shuttles</v>
      </c>
      <c r="K460" s="36">
        <f t="shared" si="26"/>
        <v>0</v>
      </c>
      <c r="L460" s="103" t="str">
        <f t="shared" si="20"/>
        <v>0 tubes and 0 shuttles</v>
      </c>
      <c r="M460" s="105">
        <f t="shared" si="27"/>
        <v>0</v>
      </c>
      <c r="N460" s="103" t="str">
        <f t="shared" si="21"/>
        <v>0 tubes and 0 shuttles</v>
      </c>
      <c r="O460" s="36">
        <f t="shared" si="22"/>
        <v>0</v>
      </c>
      <c r="P460" s="103" t="str">
        <f t="shared" si="23"/>
        <v>0 tubes and 0 shuttles</v>
      </c>
    </row>
    <row r="461" spans="1:16" ht="12.5" x14ac:dyDescent="0.25">
      <c r="A461" s="32">
        <f>'Profit &amp; Loss'!A461</f>
        <v>0</v>
      </c>
      <c r="B461" s="35">
        <f>'Profit &amp; Loss'!B461</f>
        <v>0</v>
      </c>
      <c r="C461" s="36"/>
      <c r="D461" s="33"/>
      <c r="E461" s="33"/>
      <c r="F461" s="101"/>
      <c r="G461" s="102">
        <f t="shared" si="24"/>
        <v>0</v>
      </c>
      <c r="H461" s="103" t="str">
        <f t="shared" si="18"/>
        <v>0 tubes and 0 shuttles</v>
      </c>
      <c r="I461" s="36">
        <f t="shared" si="25"/>
        <v>0</v>
      </c>
      <c r="J461" s="104" t="str">
        <f t="shared" si="19"/>
        <v>0 tubes and 0 shuttles</v>
      </c>
      <c r="K461" s="36">
        <f t="shared" si="26"/>
        <v>0</v>
      </c>
      <c r="L461" s="103" t="str">
        <f t="shared" si="20"/>
        <v>0 tubes and 0 shuttles</v>
      </c>
      <c r="M461" s="105">
        <f t="shared" si="27"/>
        <v>0</v>
      </c>
      <c r="N461" s="103" t="str">
        <f t="shared" si="21"/>
        <v>0 tubes and 0 shuttles</v>
      </c>
      <c r="O461" s="36">
        <f t="shared" si="22"/>
        <v>0</v>
      </c>
      <c r="P461" s="103" t="str">
        <f t="shared" si="23"/>
        <v>0 tubes and 0 shuttles</v>
      </c>
    </row>
    <row r="462" spans="1:16" ht="12.5" x14ac:dyDescent="0.25">
      <c r="A462" s="32">
        <f>'Profit &amp; Loss'!A462</f>
        <v>0</v>
      </c>
      <c r="B462" s="35">
        <f>'Profit &amp; Loss'!B462</f>
        <v>0</v>
      </c>
      <c r="C462" s="36"/>
      <c r="D462" s="33"/>
      <c r="E462" s="33"/>
      <c r="F462" s="101"/>
      <c r="G462" s="102">
        <f t="shared" si="24"/>
        <v>0</v>
      </c>
      <c r="H462" s="103" t="str">
        <f t="shared" si="18"/>
        <v>0 tubes and 0 shuttles</v>
      </c>
      <c r="I462" s="36">
        <f t="shared" si="25"/>
        <v>0</v>
      </c>
      <c r="J462" s="104" t="str">
        <f t="shared" si="19"/>
        <v>0 tubes and 0 shuttles</v>
      </c>
      <c r="K462" s="36">
        <f t="shared" si="26"/>
        <v>0</v>
      </c>
      <c r="L462" s="103" t="str">
        <f t="shared" si="20"/>
        <v>0 tubes and 0 shuttles</v>
      </c>
      <c r="M462" s="105">
        <f t="shared" si="27"/>
        <v>0</v>
      </c>
      <c r="N462" s="103" t="str">
        <f t="shared" si="21"/>
        <v>0 tubes and 0 shuttles</v>
      </c>
      <c r="O462" s="36">
        <f t="shared" si="22"/>
        <v>0</v>
      </c>
      <c r="P462" s="103" t="str">
        <f t="shared" si="23"/>
        <v>0 tubes and 0 shuttles</v>
      </c>
    </row>
    <row r="463" spans="1:16" ht="12.5" x14ac:dyDescent="0.25">
      <c r="A463" s="32">
        <f>'Profit &amp; Loss'!A463</f>
        <v>0</v>
      </c>
      <c r="B463" s="35">
        <f>'Profit &amp; Loss'!B463</f>
        <v>0</v>
      </c>
      <c r="C463" s="36"/>
      <c r="D463" s="33"/>
      <c r="E463" s="33"/>
      <c r="F463" s="101"/>
      <c r="G463" s="102">
        <f t="shared" si="24"/>
        <v>0</v>
      </c>
      <c r="H463" s="103" t="str">
        <f t="shared" si="18"/>
        <v>0 tubes and 0 shuttles</v>
      </c>
      <c r="I463" s="36">
        <f t="shared" si="25"/>
        <v>0</v>
      </c>
      <c r="J463" s="104" t="str">
        <f t="shared" si="19"/>
        <v>0 tubes and 0 shuttles</v>
      </c>
      <c r="K463" s="36">
        <f t="shared" si="26"/>
        <v>0</v>
      </c>
      <c r="L463" s="103" t="str">
        <f t="shared" si="20"/>
        <v>0 tubes and 0 shuttles</v>
      </c>
      <c r="M463" s="105">
        <f t="shared" si="27"/>
        <v>0</v>
      </c>
      <c r="N463" s="103" t="str">
        <f t="shared" si="21"/>
        <v>0 tubes and 0 shuttles</v>
      </c>
      <c r="O463" s="36">
        <f t="shared" si="22"/>
        <v>0</v>
      </c>
      <c r="P463" s="103" t="str">
        <f t="shared" si="23"/>
        <v>0 tubes and 0 shuttles</v>
      </c>
    </row>
    <row r="464" spans="1:16" ht="12.5" x14ac:dyDescent="0.25">
      <c r="A464" s="32">
        <f>'Profit &amp; Loss'!A464</f>
        <v>0</v>
      </c>
      <c r="B464" s="35">
        <f>'Profit &amp; Loss'!B464</f>
        <v>0</v>
      </c>
      <c r="C464" s="36"/>
      <c r="D464" s="33"/>
      <c r="E464" s="33"/>
      <c r="F464" s="101"/>
      <c r="G464" s="102">
        <f t="shared" si="24"/>
        <v>0</v>
      </c>
      <c r="H464" s="103" t="str">
        <f t="shared" si="18"/>
        <v>0 tubes and 0 shuttles</v>
      </c>
      <c r="I464" s="36">
        <f t="shared" si="25"/>
        <v>0</v>
      </c>
      <c r="J464" s="104" t="str">
        <f t="shared" si="19"/>
        <v>0 tubes and 0 shuttles</v>
      </c>
      <c r="K464" s="36">
        <f t="shared" si="26"/>
        <v>0</v>
      </c>
      <c r="L464" s="103" t="str">
        <f t="shared" si="20"/>
        <v>0 tubes and 0 shuttles</v>
      </c>
      <c r="M464" s="105">
        <f t="shared" si="27"/>
        <v>0</v>
      </c>
      <c r="N464" s="103" t="str">
        <f t="shared" si="21"/>
        <v>0 tubes and 0 shuttles</v>
      </c>
      <c r="O464" s="36">
        <f t="shared" si="22"/>
        <v>0</v>
      </c>
      <c r="P464" s="103" t="str">
        <f t="shared" si="23"/>
        <v>0 tubes and 0 shuttles</v>
      </c>
    </row>
    <row r="465" spans="1:16" ht="12.5" x14ac:dyDescent="0.25">
      <c r="A465" s="32">
        <f>'Profit &amp; Loss'!A465</f>
        <v>0</v>
      </c>
      <c r="B465" s="35">
        <f>'Profit &amp; Loss'!B465</f>
        <v>0</v>
      </c>
      <c r="C465" s="36"/>
      <c r="D465" s="33"/>
      <c r="E465" s="33"/>
      <c r="F465" s="101"/>
      <c r="G465" s="102">
        <f t="shared" si="24"/>
        <v>0</v>
      </c>
      <c r="H465" s="103" t="str">
        <f t="shared" si="18"/>
        <v>0 tubes and 0 shuttles</v>
      </c>
      <c r="I465" s="36">
        <f t="shared" si="25"/>
        <v>0</v>
      </c>
      <c r="J465" s="104" t="str">
        <f t="shared" si="19"/>
        <v>0 tubes and 0 shuttles</v>
      </c>
      <c r="K465" s="36">
        <f t="shared" si="26"/>
        <v>0</v>
      </c>
      <c r="L465" s="103" t="str">
        <f t="shared" si="20"/>
        <v>0 tubes and 0 shuttles</v>
      </c>
      <c r="M465" s="105">
        <f t="shared" si="27"/>
        <v>0</v>
      </c>
      <c r="N465" s="103" t="str">
        <f t="shared" si="21"/>
        <v>0 tubes and 0 shuttles</v>
      </c>
      <c r="O465" s="36">
        <f t="shared" si="22"/>
        <v>0</v>
      </c>
      <c r="P465" s="103" t="str">
        <f t="shared" si="23"/>
        <v>0 tubes and 0 shuttles</v>
      </c>
    </row>
    <row r="466" spans="1:16" ht="12.5" x14ac:dyDescent="0.25">
      <c r="A466" s="32">
        <f>'Profit &amp; Loss'!A466</f>
        <v>0</v>
      </c>
      <c r="B466" s="35">
        <f>'Profit &amp; Loss'!B466</f>
        <v>0</v>
      </c>
      <c r="C466" s="36"/>
      <c r="D466" s="33"/>
      <c r="E466" s="33"/>
      <c r="F466" s="101"/>
      <c r="G466" s="102">
        <f t="shared" si="24"/>
        <v>0</v>
      </c>
      <c r="H466" s="103" t="str">
        <f t="shared" si="18"/>
        <v>0 tubes and 0 shuttles</v>
      </c>
      <c r="I466" s="36">
        <f t="shared" si="25"/>
        <v>0</v>
      </c>
      <c r="J466" s="104" t="str">
        <f t="shared" si="19"/>
        <v>0 tubes and 0 shuttles</v>
      </c>
      <c r="K466" s="36">
        <f t="shared" si="26"/>
        <v>0</v>
      </c>
      <c r="L466" s="103" t="str">
        <f t="shared" si="20"/>
        <v>0 tubes and 0 shuttles</v>
      </c>
      <c r="M466" s="105">
        <f t="shared" si="27"/>
        <v>0</v>
      </c>
      <c r="N466" s="103" t="str">
        <f t="shared" si="21"/>
        <v>0 tubes and 0 shuttles</v>
      </c>
      <c r="O466" s="36">
        <f t="shared" si="22"/>
        <v>0</v>
      </c>
      <c r="P466" s="103" t="str">
        <f t="shared" si="23"/>
        <v>0 tubes and 0 shuttles</v>
      </c>
    </row>
    <row r="467" spans="1:16" ht="12.5" x14ac:dyDescent="0.25">
      <c r="A467" s="32">
        <f>'Profit &amp; Loss'!A467</f>
        <v>0</v>
      </c>
      <c r="B467" s="35">
        <f>'Profit &amp; Loss'!B467</f>
        <v>0</v>
      </c>
      <c r="C467" s="36"/>
      <c r="D467" s="33"/>
      <c r="E467" s="33"/>
      <c r="F467" s="101"/>
      <c r="G467" s="102">
        <f t="shared" si="24"/>
        <v>0</v>
      </c>
      <c r="H467" s="103" t="str">
        <f t="shared" si="18"/>
        <v>0 tubes and 0 shuttles</v>
      </c>
      <c r="I467" s="36">
        <f t="shared" si="25"/>
        <v>0</v>
      </c>
      <c r="J467" s="104" t="str">
        <f t="shared" si="19"/>
        <v>0 tubes and 0 shuttles</v>
      </c>
      <c r="K467" s="36">
        <f t="shared" si="26"/>
        <v>0</v>
      </c>
      <c r="L467" s="103" t="str">
        <f t="shared" si="20"/>
        <v>0 tubes and 0 shuttles</v>
      </c>
      <c r="M467" s="105">
        <f t="shared" si="27"/>
        <v>0</v>
      </c>
      <c r="N467" s="103" t="str">
        <f t="shared" si="21"/>
        <v>0 tubes and 0 shuttles</v>
      </c>
      <c r="O467" s="36">
        <f t="shared" si="22"/>
        <v>0</v>
      </c>
      <c r="P467" s="103" t="str">
        <f t="shared" si="23"/>
        <v>0 tubes and 0 shuttles</v>
      </c>
    </row>
    <row r="468" spans="1:16" ht="12.5" x14ac:dyDescent="0.25">
      <c r="A468" s="32">
        <f>'Profit &amp; Loss'!A468</f>
        <v>0</v>
      </c>
      <c r="B468" s="35">
        <f>'Profit &amp; Loss'!B468</f>
        <v>0</v>
      </c>
      <c r="C468" s="36"/>
      <c r="D468" s="33"/>
      <c r="E468" s="33"/>
      <c r="F468" s="101"/>
      <c r="G468" s="102">
        <f t="shared" si="24"/>
        <v>0</v>
      </c>
      <c r="H468" s="103" t="str">
        <f t="shared" si="18"/>
        <v>0 tubes and 0 shuttles</v>
      </c>
      <c r="I468" s="36">
        <f t="shared" si="25"/>
        <v>0</v>
      </c>
      <c r="J468" s="104" t="str">
        <f t="shared" si="19"/>
        <v>0 tubes and 0 shuttles</v>
      </c>
      <c r="K468" s="36">
        <f t="shared" si="26"/>
        <v>0</v>
      </c>
      <c r="L468" s="103" t="str">
        <f t="shared" si="20"/>
        <v>0 tubes and 0 shuttles</v>
      </c>
      <c r="M468" s="105">
        <f t="shared" si="27"/>
        <v>0</v>
      </c>
      <c r="N468" s="103" t="str">
        <f t="shared" si="21"/>
        <v>0 tubes and 0 shuttles</v>
      </c>
      <c r="O468" s="36">
        <f t="shared" si="22"/>
        <v>0</v>
      </c>
      <c r="P468" s="103" t="str">
        <f t="shared" si="23"/>
        <v>0 tubes and 0 shuttles</v>
      </c>
    </row>
    <row r="469" spans="1:16" ht="12.5" x14ac:dyDescent="0.25">
      <c r="A469" s="32">
        <f>'Profit &amp; Loss'!A469</f>
        <v>0</v>
      </c>
      <c r="B469" s="35">
        <f>'Profit &amp; Loss'!B469</f>
        <v>0</v>
      </c>
      <c r="C469" s="36"/>
      <c r="D469" s="33"/>
      <c r="E469" s="33"/>
      <c r="F469" s="101"/>
      <c r="G469" s="102">
        <f t="shared" si="24"/>
        <v>0</v>
      </c>
      <c r="H469" s="103" t="str">
        <f t="shared" si="18"/>
        <v>0 tubes and 0 shuttles</v>
      </c>
      <c r="I469" s="36">
        <f t="shared" si="25"/>
        <v>0</v>
      </c>
      <c r="J469" s="104" t="str">
        <f t="shared" si="19"/>
        <v>0 tubes and 0 shuttles</v>
      </c>
      <c r="K469" s="36">
        <f t="shared" si="26"/>
        <v>0</v>
      </c>
      <c r="L469" s="103" t="str">
        <f t="shared" si="20"/>
        <v>0 tubes and 0 shuttles</v>
      </c>
      <c r="M469" s="105">
        <f t="shared" si="27"/>
        <v>0</v>
      </c>
      <c r="N469" s="103" t="str">
        <f t="shared" si="21"/>
        <v>0 tubes and 0 shuttles</v>
      </c>
      <c r="O469" s="36">
        <f t="shared" si="22"/>
        <v>0</v>
      </c>
      <c r="P469" s="103" t="str">
        <f t="shared" si="23"/>
        <v>0 tubes and 0 shuttles</v>
      </c>
    </row>
    <row r="470" spans="1:16" ht="12.5" x14ac:dyDescent="0.25">
      <c r="A470" s="32">
        <f>'Profit &amp; Loss'!A470</f>
        <v>0</v>
      </c>
      <c r="B470" s="35">
        <f>'Profit &amp; Loss'!B470</f>
        <v>0</v>
      </c>
      <c r="C470" s="36"/>
      <c r="D470" s="33"/>
      <c r="E470" s="33"/>
      <c r="F470" s="101"/>
      <c r="G470" s="102">
        <f t="shared" si="24"/>
        <v>0</v>
      </c>
      <c r="H470" s="103" t="str">
        <f t="shared" si="18"/>
        <v>0 tubes and 0 shuttles</v>
      </c>
      <c r="I470" s="36">
        <f t="shared" si="25"/>
        <v>0</v>
      </c>
      <c r="J470" s="104" t="str">
        <f t="shared" si="19"/>
        <v>0 tubes and 0 shuttles</v>
      </c>
      <c r="K470" s="36">
        <f t="shared" si="26"/>
        <v>0</v>
      </c>
      <c r="L470" s="103" t="str">
        <f t="shared" si="20"/>
        <v>0 tubes and 0 shuttles</v>
      </c>
      <c r="M470" s="105">
        <f t="shared" si="27"/>
        <v>0</v>
      </c>
      <c r="N470" s="103" t="str">
        <f t="shared" si="21"/>
        <v>0 tubes and 0 shuttles</v>
      </c>
      <c r="O470" s="36">
        <f t="shared" si="22"/>
        <v>0</v>
      </c>
      <c r="P470" s="103" t="str">
        <f t="shared" si="23"/>
        <v>0 tubes and 0 shuttles</v>
      </c>
    </row>
    <row r="471" spans="1:16" ht="12.5" x14ac:dyDescent="0.25">
      <c r="A471" s="32">
        <f>'Profit &amp; Loss'!A471</f>
        <v>0</v>
      </c>
      <c r="B471" s="35">
        <f>'Profit &amp; Loss'!B471</f>
        <v>0</v>
      </c>
      <c r="C471" s="36"/>
      <c r="D471" s="33"/>
      <c r="E471" s="33"/>
      <c r="F471" s="101"/>
      <c r="G471" s="102">
        <f t="shared" si="24"/>
        <v>0</v>
      </c>
      <c r="H471" s="103" t="str">
        <f t="shared" si="18"/>
        <v>0 tubes and 0 shuttles</v>
      </c>
      <c r="I471" s="36">
        <f t="shared" si="25"/>
        <v>0</v>
      </c>
      <c r="J471" s="104" t="str">
        <f t="shared" si="19"/>
        <v>0 tubes and 0 shuttles</v>
      </c>
      <c r="K471" s="36">
        <f t="shared" si="26"/>
        <v>0</v>
      </c>
      <c r="L471" s="103" t="str">
        <f t="shared" si="20"/>
        <v>0 tubes and 0 shuttles</v>
      </c>
      <c r="M471" s="105">
        <f t="shared" si="27"/>
        <v>0</v>
      </c>
      <c r="N471" s="103" t="str">
        <f t="shared" si="21"/>
        <v>0 tubes and 0 shuttles</v>
      </c>
      <c r="O471" s="36">
        <f t="shared" si="22"/>
        <v>0</v>
      </c>
      <c r="P471" s="103" t="str">
        <f t="shared" si="23"/>
        <v>0 tubes and 0 shuttles</v>
      </c>
    </row>
    <row r="472" spans="1:16" ht="12.5" x14ac:dyDescent="0.25">
      <c r="A472" s="32">
        <f>'Profit &amp; Loss'!A472</f>
        <v>0</v>
      </c>
      <c r="B472" s="35">
        <f>'Profit &amp; Loss'!B472</f>
        <v>0</v>
      </c>
      <c r="C472" s="36"/>
      <c r="D472" s="33"/>
      <c r="E472" s="33"/>
      <c r="F472" s="101"/>
      <c r="G472" s="102">
        <f t="shared" si="24"/>
        <v>0</v>
      </c>
      <c r="H472" s="103" t="str">
        <f t="shared" si="18"/>
        <v>0 tubes and 0 shuttles</v>
      </c>
      <c r="I472" s="36">
        <f t="shared" si="25"/>
        <v>0</v>
      </c>
      <c r="J472" s="104" t="str">
        <f t="shared" si="19"/>
        <v>0 tubes and 0 shuttles</v>
      </c>
      <c r="K472" s="36">
        <f t="shared" si="26"/>
        <v>0</v>
      </c>
      <c r="L472" s="103" t="str">
        <f t="shared" si="20"/>
        <v>0 tubes and 0 shuttles</v>
      </c>
      <c r="M472" s="105">
        <f t="shared" si="27"/>
        <v>0</v>
      </c>
      <c r="N472" s="103" t="str">
        <f t="shared" si="21"/>
        <v>0 tubes and 0 shuttles</v>
      </c>
      <c r="O472" s="36">
        <f t="shared" si="22"/>
        <v>0</v>
      </c>
      <c r="P472" s="103" t="str">
        <f t="shared" si="23"/>
        <v>0 tubes and 0 shuttles</v>
      </c>
    </row>
    <row r="473" spans="1:16" ht="12.5" x14ac:dyDescent="0.25">
      <c r="A473" s="32">
        <f>'Profit &amp; Loss'!A473</f>
        <v>0</v>
      </c>
      <c r="B473" s="35">
        <f>'Profit &amp; Loss'!B473</f>
        <v>0</v>
      </c>
      <c r="C473" s="36"/>
      <c r="D473" s="33"/>
      <c r="E473" s="33"/>
      <c r="F473" s="101"/>
      <c r="G473" s="102">
        <f t="shared" si="24"/>
        <v>0</v>
      </c>
      <c r="H473" s="103" t="str">
        <f t="shared" si="18"/>
        <v>0 tubes and 0 shuttles</v>
      </c>
      <c r="I473" s="36">
        <f t="shared" si="25"/>
        <v>0</v>
      </c>
      <c r="J473" s="104" t="str">
        <f t="shared" si="19"/>
        <v>0 tubes and 0 shuttles</v>
      </c>
      <c r="K473" s="36">
        <f t="shared" si="26"/>
        <v>0</v>
      </c>
      <c r="L473" s="103" t="str">
        <f t="shared" si="20"/>
        <v>0 tubes and 0 shuttles</v>
      </c>
      <c r="M473" s="105">
        <f t="shared" si="27"/>
        <v>0</v>
      </c>
      <c r="N473" s="103" t="str">
        <f t="shared" si="21"/>
        <v>0 tubes and 0 shuttles</v>
      </c>
      <c r="O473" s="36">
        <f t="shared" si="22"/>
        <v>0</v>
      </c>
      <c r="P473" s="103" t="str">
        <f t="shared" si="23"/>
        <v>0 tubes and 0 shuttles</v>
      </c>
    </row>
    <row r="474" spans="1:16" ht="12.5" x14ac:dyDescent="0.25">
      <c r="A474" s="32">
        <f>'Profit &amp; Loss'!A474</f>
        <v>0</v>
      </c>
      <c r="B474" s="35">
        <f>'Profit &amp; Loss'!B474</f>
        <v>0</v>
      </c>
      <c r="C474" s="36"/>
      <c r="D474" s="33"/>
      <c r="E474" s="33"/>
      <c r="F474" s="101"/>
      <c r="G474" s="102">
        <f t="shared" si="24"/>
        <v>0</v>
      </c>
      <c r="H474" s="103" t="str">
        <f t="shared" si="18"/>
        <v>0 tubes and 0 shuttles</v>
      </c>
      <c r="I474" s="36">
        <f t="shared" si="25"/>
        <v>0</v>
      </c>
      <c r="J474" s="104" t="str">
        <f t="shared" si="19"/>
        <v>0 tubes and 0 shuttles</v>
      </c>
      <c r="K474" s="36">
        <f t="shared" si="26"/>
        <v>0</v>
      </c>
      <c r="L474" s="103" t="str">
        <f t="shared" si="20"/>
        <v>0 tubes and 0 shuttles</v>
      </c>
      <c r="M474" s="105">
        <f t="shared" si="27"/>
        <v>0</v>
      </c>
      <c r="N474" s="103" t="str">
        <f t="shared" si="21"/>
        <v>0 tubes and 0 shuttles</v>
      </c>
      <c r="O474" s="36">
        <f t="shared" si="22"/>
        <v>0</v>
      </c>
      <c r="P474" s="103" t="str">
        <f t="shared" si="23"/>
        <v>0 tubes and 0 shuttles</v>
      </c>
    </row>
    <row r="475" spans="1:16" ht="12.5" x14ac:dyDescent="0.25">
      <c r="A475" s="32">
        <f>'Profit &amp; Loss'!A475</f>
        <v>0</v>
      </c>
      <c r="B475" s="35">
        <f>'Profit &amp; Loss'!B475</f>
        <v>0</v>
      </c>
      <c r="C475" s="36"/>
      <c r="D475" s="33"/>
      <c r="E475" s="33"/>
      <c r="F475" s="101"/>
      <c r="G475" s="102">
        <f t="shared" si="24"/>
        <v>0</v>
      </c>
      <c r="H475" s="103" t="str">
        <f t="shared" si="18"/>
        <v>0 tubes and 0 shuttles</v>
      </c>
      <c r="I475" s="36">
        <f t="shared" si="25"/>
        <v>0</v>
      </c>
      <c r="J475" s="104" t="str">
        <f t="shared" si="19"/>
        <v>0 tubes and 0 shuttles</v>
      </c>
      <c r="K475" s="36">
        <f t="shared" si="26"/>
        <v>0</v>
      </c>
      <c r="L475" s="103" t="str">
        <f t="shared" si="20"/>
        <v>0 tubes and 0 shuttles</v>
      </c>
      <c r="M475" s="105">
        <f t="shared" si="27"/>
        <v>0</v>
      </c>
      <c r="N475" s="103" t="str">
        <f t="shared" si="21"/>
        <v>0 tubes and 0 shuttles</v>
      </c>
      <c r="O475" s="36">
        <f t="shared" si="22"/>
        <v>0</v>
      </c>
      <c r="P475" s="103" t="str">
        <f t="shared" si="23"/>
        <v>0 tubes and 0 shuttles</v>
      </c>
    </row>
    <row r="476" spans="1:16" ht="12.5" x14ac:dyDescent="0.25">
      <c r="A476" s="32">
        <f>'Profit &amp; Loss'!A476</f>
        <v>0</v>
      </c>
      <c r="B476" s="35">
        <f>'Profit &amp; Loss'!B476</f>
        <v>0</v>
      </c>
      <c r="C476" s="36"/>
      <c r="D476" s="33"/>
      <c r="E476" s="33"/>
      <c r="F476" s="101"/>
      <c r="G476" s="102">
        <f t="shared" si="24"/>
        <v>0</v>
      </c>
      <c r="H476" s="103" t="str">
        <f t="shared" si="18"/>
        <v>0 tubes and 0 shuttles</v>
      </c>
      <c r="I476" s="36">
        <f t="shared" si="25"/>
        <v>0</v>
      </c>
      <c r="J476" s="104" t="str">
        <f t="shared" si="19"/>
        <v>0 tubes and 0 shuttles</v>
      </c>
      <c r="K476" s="36">
        <f t="shared" si="26"/>
        <v>0</v>
      </c>
      <c r="L476" s="103" t="str">
        <f t="shared" si="20"/>
        <v>0 tubes and 0 shuttles</v>
      </c>
      <c r="M476" s="105">
        <f t="shared" si="27"/>
        <v>0</v>
      </c>
      <c r="N476" s="103" t="str">
        <f t="shared" si="21"/>
        <v>0 tubes and 0 shuttles</v>
      </c>
      <c r="O476" s="36">
        <f t="shared" si="22"/>
        <v>0</v>
      </c>
      <c r="P476" s="103" t="str">
        <f t="shared" si="23"/>
        <v>0 tubes and 0 shuttles</v>
      </c>
    </row>
    <row r="477" spans="1:16" ht="12.5" x14ac:dyDescent="0.25">
      <c r="A477" s="32">
        <f>'Profit &amp; Loss'!A477</f>
        <v>0</v>
      </c>
      <c r="B477" s="35">
        <f>'Profit &amp; Loss'!B477</f>
        <v>0</v>
      </c>
      <c r="C477" s="36"/>
      <c r="D477" s="33"/>
      <c r="E477" s="33"/>
      <c r="F477" s="101"/>
      <c r="G477" s="102">
        <f t="shared" si="24"/>
        <v>0</v>
      </c>
      <c r="H477" s="103" t="str">
        <f t="shared" si="18"/>
        <v>0 tubes and 0 shuttles</v>
      </c>
      <c r="I477" s="36">
        <f t="shared" si="25"/>
        <v>0</v>
      </c>
      <c r="J477" s="104" t="str">
        <f t="shared" si="19"/>
        <v>0 tubes and 0 shuttles</v>
      </c>
      <c r="K477" s="36">
        <f t="shared" si="26"/>
        <v>0</v>
      </c>
      <c r="L477" s="103" t="str">
        <f t="shared" si="20"/>
        <v>0 tubes and 0 shuttles</v>
      </c>
      <c r="M477" s="105">
        <f t="shared" si="27"/>
        <v>0</v>
      </c>
      <c r="N477" s="103" t="str">
        <f t="shared" si="21"/>
        <v>0 tubes and 0 shuttles</v>
      </c>
      <c r="O477" s="36">
        <f t="shared" si="22"/>
        <v>0</v>
      </c>
      <c r="P477" s="103" t="str">
        <f t="shared" si="23"/>
        <v>0 tubes and 0 shuttles</v>
      </c>
    </row>
    <row r="478" spans="1:16" ht="12.5" x14ac:dyDescent="0.25">
      <c r="A478" s="32">
        <f>'Profit &amp; Loss'!A478</f>
        <v>0</v>
      </c>
      <c r="B478" s="35">
        <f>'Profit &amp; Loss'!B478</f>
        <v>0</v>
      </c>
      <c r="C478" s="36"/>
      <c r="D478" s="33"/>
      <c r="E478" s="33"/>
      <c r="F478" s="101"/>
      <c r="G478" s="102">
        <f t="shared" si="24"/>
        <v>0</v>
      </c>
      <c r="H478" s="103" t="str">
        <f t="shared" si="18"/>
        <v>0 tubes and 0 shuttles</v>
      </c>
      <c r="I478" s="36">
        <f t="shared" si="25"/>
        <v>0</v>
      </c>
      <c r="J478" s="104" t="str">
        <f t="shared" si="19"/>
        <v>0 tubes and 0 shuttles</v>
      </c>
      <c r="K478" s="36">
        <f t="shared" si="26"/>
        <v>0</v>
      </c>
      <c r="L478" s="103" t="str">
        <f t="shared" si="20"/>
        <v>0 tubes and 0 shuttles</v>
      </c>
      <c r="M478" s="105">
        <f t="shared" si="27"/>
        <v>0</v>
      </c>
      <c r="N478" s="103" t="str">
        <f t="shared" si="21"/>
        <v>0 tubes and 0 shuttles</v>
      </c>
      <c r="O478" s="36">
        <f t="shared" si="22"/>
        <v>0</v>
      </c>
      <c r="P478" s="103" t="str">
        <f t="shared" si="23"/>
        <v>0 tubes and 0 shuttles</v>
      </c>
    </row>
    <row r="479" spans="1:16" ht="12.5" x14ac:dyDescent="0.25">
      <c r="A479" s="32">
        <f>'Profit &amp; Loss'!A479</f>
        <v>0</v>
      </c>
      <c r="B479" s="35">
        <f>'Profit &amp; Loss'!B479</f>
        <v>0</v>
      </c>
      <c r="C479" s="36"/>
      <c r="D479" s="33"/>
      <c r="E479" s="33"/>
      <c r="F479" s="101"/>
      <c r="G479" s="102">
        <f t="shared" si="24"/>
        <v>0</v>
      </c>
      <c r="H479" s="103" t="str">
        <f t="shared" si="18"/>
        <v>0 tubes and 0 shuttles</v>
      </c>
      <c r="I479" s="36">
        <f t="shared" si="25"/>
        <v>0</v>
      </c>
      <c r="J479" s="104" t="str">
        <f t="shared" si="19"/>
        <v>0 tubes and 0 shuttles</v>
      </c>
      <c r="K479" s="36">
        <f t="shared" si="26"/>
        <v>0</v>
      </c>
      <c r="L479" s="103" t="str">
        <f t="shared" si="20"/>
        <v>0 tubes and 0 shuttles</v>
      </c>
      <c r="M479" s="105">
        <f t="shared" si="27"/>
        <v>0</v>
      </c>
      <c r="N479" s="103" t="str">
        <f t="shared" si="21"/>
        <v>0 tubes and 0 shuttles</v>
      </c>
      <c r="O479" s="36">
        <f t="shared" si="22"/>
        <v>0</v>
      </c>
      <c r="P479" s="103" t="str">
        <f t="shared" si="23"/>
        <v>0 tubes and 0 shuttles</v>
      </c>
    </row>
    <row r="480" spans="1:16" ht="12.5" x14ac:dyDescent="0.25">
      <c r="A480" s="32">
        <f>'Profit &amp; Loss'!A480</f>
        <v>0</v>
      </c>
      <c r="B480" s="35">
        <f>'Profit &amp; Loss'!B480</f>
        <v>0</v>
      </c>
      <c r="C480" s="36"/>
      <c r="D480" s="33"/>
      <c r="E480" s="33"/>
      <c r="F480" s="101"/>
      <c r="G480" s="102">
        <f t="shared" si="24"/>
        <v>0</v>
      </c>
      <c r="H480" s="103" t="str">
        <f t="shared" si="18"/>
        <v>0 tubes and 0 shuttles</v>
      </c>
      <c r="I480" s="36">
        <f t="shared" si="25"/>
        <v>0</v>
      </c>
      <c r="J480" s="104" t="str">
        <f t="shared" si="19"/>
        <v>0 tubes and 0 shuttles</v>
      </c>
      <c r="K480" s="36">
        <f t="shared" si="26"/>
        <v>0</v>
      </c>
      <c r="L480" s="103" t="str">
        <f t="shared" si="20"/>
        <v>0 tubes and 0 shuttles</v>
      </c>
      <c r="M480" s="105">
        <f t="shared" si="27"/>
        <v>0</v>
      </c>
      <c r="N480" s="103" t="str">
        <f t="shared" si="21"/>
        <v>0 tubes and 0 shuttles</v>
      </c>
      <c r="O480" s="36">
        <f t="shared" si="22"/>
        <v>0</v>
      </c>
      <c r="P480" s="103" t="str">
        <f t="shared" si="23"/>
        <v>0 tubes and 0 shuttles</v>
      </c>
    </row>
    <row r="481" spans="1:16" ht="12.5" x14ac:dyDescent="0.25">
      <c r="A481" s="32">
        <f>'Profit &amp; Loss'!A481</f>
        <v>0</v>
      </c>
      <c r="B481" s="35">
        <f>'Profit &amp; Loss'!B481</f>
        <v>0</v>
      </c>
      <c r="C481" s="36"/>
      <c r="D481" s="33"/>
      <c r="E481" s="33"/>
      <c r="F481" s="101"/>
      <c r="G481" s="102">
        <f t="shared" si="24"/>
        <v>0</v>
      </c>
      <c r="H481" s="103" t="str">
        <f t="shared" si="18"/>
        <v>0 tubes and 0 shuttles</v>
      </c>
      <c r="I481" s="36">
        <f t="shared" si="25"/>
        <v>0</v>
      </c>
      <c r="J481" s="104" t="str">
        <f t="shared" si="19"/>
        <v>0 tubes and 0 shuttles</v>
      </c>
      <c r="K481" s="36">
        <f t="shared" si="26"/>
        <v>0</v>
      </c>
      <c r="L481" s="103" t="str">
        <f t="shared" si="20"/>
        <v>0 tubes and 0 shuttles</v>
      </c>
      <c r="M481" s="105">
        <f t="shared" si="27"/>
        <v>0</v>
      </c>
      <c r="N481" s="103" t="str">
        <f t="shared" si="21"/>
        <v>0 tubes and 0 shuttles</v>
      </c>
      <c r="O481" s="36">
        <f t="shared" si="22"/>
        <v>0</v>
      </c>
      <c r="P481" s="103" t="str">
        <f t="shared" si="23"/>
        <v>0 tubes and 0 shuttles</v>
      </c>
    </row>
    <row r="482" spans="1:16" ht="12.5" x14ac:dyDescent="0.25">
      <c r="A482" s="32">
        <f>'Profit &amp; Loss'!A482</f>
        <v>0</v>
      </c>
      <c r="B482" s="35">
        <f>'Profit &amp; Loss'!B482</f>
        <v>0</v>
      </c>
      <c r="C482" s="36"/>
      <c r="D482" s="33"/>
      <c r="E482" s="33"/>
      <c r="F482" s="101"/>
      <c r="G482" s="102">
        <f t="shared" si="24"/>
        <v>0</v>
      </c>
      <c r="H482" s="103" t="str">
        <f t="shared" si="18"/>
        <v>0 tubes and 0 shuttles</v>
      </c>
      <c r="I482" s="36">
        <f t="shared" si="25"/>
        <v>0</v>
      </c>
      <c r="J482" s="104" t="str">
        <f t="shared" si="19"/>
        <v>0 tubes and 0 shuttles</v>
      </c>
      <c r="K482" s="36">
        <f t="shared" si="26"/>
        <v>0</v>
      </c>
      <c r="L482" s="103" t="str">
        <f t="shared" si="20"/>
        <v>0 tubes and 0 shuttles</v>
      </c>
      <c r="M482" s="105">
        <f t="shared" si="27"/>
        <v>0</v>
      </c>
      <c r="N482" s="103" t="str">
        <f t="shared" si="21"/>
        <v>0 tubes and 0 shuttles</v>
      </c>
      <c r="O482" s="36">
        <f t="shared" si="22"/>
        <v>0</v>
      </c>
      <c r="P482" s="103" t="str">
        <f t="shared" si="23"/>
        <v>0 tubes and 0 shuttles</v>
      </c>
    </row>
    <row r="483" spans="1:16" ht="12.5" x14ac:dyDescent="0.25">
      <c r="A483" s="32">
        <f>'Profit &amp; Loss'!A483</f>
        <v>0</v>
      </c>
      <c r="B483" s="35">
        <f>'Profit &amp; Loss'!B483</f>
        <v>0</v>
      </c>
      <c r="C483" s="36"/>
      <c r="D483" s="33"/>
      <c r="E483" s="33"/>
      <c r="F483" s="101"/>
      <c r="G483" s="102">
        <f t="shared" si="24"/>
        <v>0</v>
      </c>
      <c r="H483" s="103" t="str">
        <f t="shared" si="18"/>
        <v>0 tubes and 0 shuttles</v>
      </c>
      <c r="I483" s="36">
        <f t="shared" si="25"/>
        <v>0</v>
      </c>
      <c r="J483" s="104" t="str">
        <f t="shared" si="19"/>
        <v>0 tubes and 0 shuttles</v>
      </c>
      <c r="K483" s="36">
        <f t="shared" si="26"/>
        <v>0</v>
      </c>
      <c r="L483" s="103" t="str">
        <f t="shared" si="20"/>
        <v>0 tubes and 0 shuttles</v>
      </c>
      <c r="M483" s="105">
        <f t="shared" si="27"/>
        <v>0</v>
      </c>
      <c r="N483" s="103" t="str">
        <f t="shared" si="21"/>
        <v>0 tubes and 0 shuttles</v>
      </c>
      <c r="O483" s="36">
        <f t="shared" si="22"/>
        <v>0</v>
      </c>
      <c r="P483" s="103" t="str">
        <f t="shared" si="23"/>
        <v>0 tubes and 0 shuttles</v>
      </c>
    </row>
    <row r="484" spans="1:16" ht="12.5" x14ac:dyDescent="0.25">
      <c r="A484" s="32">
        <f>'Profit &amp; Loss'!A484</f>
        <v>0</v>
      </c>
      <c r="B484" s="35">
        <f>'Profit &amp; Loss'!B484</f>
        <v>0</v>
      </c>
      <c r="C484" s="36"/>
      <c r="D484" s="33"/>
      <c r="E484" s="33"/>
      <c r="F484" s="101"/>
      <c r="G484" s="102">
        <f t="shared" si="24"/>
        <v>0</v>
      </c>
      <c r="H484" s="103" t="str">
        <f t="shared" si="18"/>
        <v>0 tubes and 0 shuttles</v>
      </c>
      <c r="I484" s="36">
        <f t="shared" si="25"/>
        <v>0</v>
      </c>
      <c r="J484" s="104" t="str">
        <f t="shared" si="19"/>
        <v>0 tubes and 0 shuttles</v>
      </c>
      <c r="K484" s="36">
        <f t="shared" si="26"/>
        <v>0</v>
      </c>
      <c r="L484" s="103" t="str">
        <f t="shared" si="20"/>
        <v>0 tubes and 0 shuttles</v>
      </c>
      <c r="M484" s="105">
        <f t="shared" si="27"/>
        <v>0</v>
      </c>
      <c r="N484" s="103" t="str">
        <f t="shared" si="21"/>
        <v>0 tubes and 0 shuttles</v>
      </c>
      <c r="O484" s="36">
        <f t="shared" si="22"/>
        <v>0</v>
      </c>
      <c r="P484" s="103" t="str">
        <f t="shared" si="23"/>
        <v>0 tubes and 0 shuttles</v>
      </c>
    </row>
    <row r="485" spans="1:16" ht="12.5" x14ac:dyDescent="0.25">
      <c r="A485" s="32">
        <f>'Profit &amp; Loss'!A485</f>
        <v>0</v>
      </c>
      <c r="B485" s="35">
        <f>'Profit &amp; Loss'!B485</f>
        <v>0</v>
      </c>
      <c r="C485" s="36"/>
      <c r="D485" s="33"/>
      <c r="E485" s="33"/>
      <c r="F485" s="101"/>
      <c r="G485" s="102">
        <f t="shared" si="24"/>
        <v>0</v>
      </c>
      <c r="H485" s="103" t="str">
        <f t="shared" si="18"/>
        <v>0 tubes and 0 shuttles</v>
      </c>
      <c r="I485" s="36">
        <f t="shared" si="25"/>
        <v>0</v>
      </c>
      <c r="J485" s="104" t="str">
        <f t="shared" si="19"/>
        <v>0 tubes and 0 shuttles</v>
      </c>
      <c r="K485" s="36">
        <f t="shared" si="26"/>
        <v>0</v>
      </c>
      <c r="L485" s="103" t="str">
        <f t="shared" si="20"/>
        <v>0 tubes and 0 shuttles</v>
      </c>
      <c r="M485" s="105">
        <f t="shared" si="27"/>
        <v>0</v>
      </c>
      <c r="N485" s="103" t="str">
        <f t="shared" si="21"/>
        <v>0 tubes and 0 shuttles</v>
      </c>
      <c r="O485" s="36">
        <f t="shared" si="22"/>
        <v>0</v>
      </c>
      <c r="P485" s="103" t="str">
        <f t="shared" si="23"/>
        <v>0 tubes and 0 shuttles</v>
      </c>
    </row>
    <row r="486" spans="1:16" ht="12.5" x14ac:dyDescent="0.25">
      <c r="A486" s="32">
        <f>'Profit &amp; Loss'!A486</f>
        <v>0</v>
      </c>
      <c r="B486" s="35">
        <f>'Profit &amp; Loss'!B486</f>
        <v>0</v>
      </c>
      <c r="C486" s="36"/>
      <c r="D486" s="33"/>
      <c r="E486" s="33"/>
      <c r="F486" s="101"/>
      <c r="G486" s="102">
        <f t="shared" si="24"/>
        <v>0</v>
      </c>
      <c r="H486" s="103" t="str">
        <f t="shared" si="18"/>
        <v>0 tubes and 0 shuttles</v>
      </c>
      <c r="I486" s="36">
        <f t="shared" si="25"/>
        <v>0</v>
      </c>
      <c r="J486" s="104" t="str">
        <f t="shared" si="19"/>
        <v>0 tubes and 0 shuttles</v>
      </c>
      <c r="K486" s="36">
        <f t="shared" si="26"/>
        <v>0</v>
      </c>
      <c r="L486" s="103" t="str">
        <f t="shared" si="20"/>
        <v>0 tubes and 0 shuttles</v>
      </c>
      <c r="M486" s="105">
        <f t="shared" si="27"/>
        <v>0</v>
      </c>
      <c r="N486" s="103" t="str">
        <f t="shared" si="21"/>
        <v>0 tubes and 0 shuttles</v>
      </c>
      <c r="O486" s="36">
        <f t="shared" si="22"/>
        <v>0</v>
      </c>
      <c r="P486" s="103" t="str">
        <f t="shared" si="23"/>
        <v>0 tubes and 0 shuttles</v>
      </c>
    </row>
    <row r="487" spans="1:16" ht="12.5" x14ac:dyDescent="0.25">
      <c r="A487" s="32">
        <f>'Profit &amp; Loss'!A487</f>
        <v>0</v>
      </c>
      <c r="B487" s="35">
        <f>'Profit &amp; Loss'!B487</f>
        <v>0</v>
      </c>
      <c r="C487" s="36"/>
      <c r="D487" s="33"/>
      <c r="E487" s="33"/>
      <c r="F487" s="101"/>
      <c r="G487" s="102">
        <f t="shared" si="24"/>
        <v>0</v>
      </c>
      <c r="H487" s="103" t="str">
        <f t="shared" si="18"/>
        <v>0 tubes and 0 shuttles</v>
      </c>
      <c r="I487" s="36">
        <f t="shared" si="25"/>
        <v>0</v>
      </c>
      <c r="J487" s="104" t="str">
        <f t="shared" si="19"/>
        <v>0 tubes and 0 shuttles</v>
      </c>
      <c r="K487" s="36">
        <f t="shared" si="26"/>
        <v>0</v>
      </c>
      <c r="L487" s="103" t="str">
        <f t="shared" si="20"/>
        <v>0 tubes and 0 shuttles</v>
      </c>
      <c r="M487" s="105">
        <f t="shared" si="27"/>
        <v>0</v>
      </c>
      <c r="N487" s="103" t="str">
        <f t="shared" si="21"/>
        <v>0 tubes and 0 shuttles</v>
      </c>
      <c r="O487" s="36">
        <f t="shared" si="22"/>
        <v>0</v>
      </c>
      <c r="P487" s="103" t="str">
        <f t="shared" si="23"/>
        <v>0 tubes and 0 shuttles</v>
      </c>
    </row>
    <row r="488" spans="1:16" ht="12.5" x14ac:dyDescent="0.25">
      <c r="A488" s="32">
        <f>'Profit &amp; Loss'!A488</f>
        <v>0</v>
      </c>
      <c r="B488" s="35">
        <f>'Profit &amp; Loss'!B488</f>
        <v>0</v>
      </c>
      <c r="C488" s="36"/>
      <c r="D488" s="33"/>
      <c r="E488" s="33"/>
      <c r="F488" s="101"/>
      <c r="G488" s="102">
        <f t="shared" si="24"/>
        <v>0</v>
      </c>
      <c r="H488" s="103" t="str">
        <f t="shared" si="18"/>
        <v>0 tubes and 0 shuttles</v>
      </c>
      <c r="I488" s="36">
        <f t="shared" si="25"/>
        <v>0</v>
      </c>
      <c r="J488" s="104" t="str">
        <f t="shared" si="19"/>
        <v>0 tubes and 0 shuttles</v>
      </c>
      <c r="K488" s="36">
        <f t="shared" si="26"/>
        <v>0</v>
      </c>
      <c r="L488" s="103" t="str">
        <f t="shared" si="20"/>
        <v>0 tubes and 0 shuttles</v>
      </c>
      <c r="M488" s="105">
        <f t="shared" si="27"/>
        <v>0</v>
      </c>
      <c r="N488" s="103" t="str">
        <f t="shared" si="21"/>
        <v>0 tubes and 0 shuttles</v>
      </c>
      <c r="O488" s="36">
        <f t="shared" si="22"/>
        <v>0</v>
      </c>
      <c r="P488" s="103" t="str">
        <f t="shared" si="23"/>
        <v>0 tubes and 0 shuttles</v>
      </c>
    </row>
    <row r="489" spans="1:16" ht="12.5" x14ac:dyDescent="0.25">
      <c r="A489" s="32">
        <f>'Profit &amp; Loss'!A489</f>
        <v>0</v>
      </c>
      <c r="B489" s="35">
        <f>'Profit &amp; Loss'!B489</f>
        <v>0</v>
      </c>
      <c r="C489" s="36"/>
      <c r="D489" s="33"/>
      <c r="E489" s="33"/>
      <c r="F489" s="101"/>
      <c r="G489" s="102">
        <f t="shared" si="24"/>
        <v>0</v>
      </c>
      <c r="H489" s="103" t="str">
        <f t="shared" si="18"/>
        <v>0 tubes and 0 shuttles</v>
      </c>
      <c r="I489" s="36">
        <f t="shared" si="25"/>
        <v>0</v>
      </c>
      <c r="J489" s="104" t="str">
        <f t="shared" si="19"/>
        <v>0 tubes and 0 shuttles</v>
      </c>
      <c r="K489" s="36">
        <f t="shared" si="26"/>
        <v>0</v>
      </c>
      <c r="L489" s="103" t="str">
        <f t="shared" si="20"/>
        <v>0 tubes and 0 shuttles</v>
      </c>
      <c r="M489" s="105">
        <f t="shared" si="27"/>
        <v>0</v>
      </c>
      <c r="N489" s="103" t="str">
        <f t="shared" si="21"/>
        <v>0 tubes and 0 shuttles</v>
      </c>
      <c r="O489" s="36">
        <f t="shared" si="22"/>
        <v>0</v>
      </c>
      <c r="P489" s="103" t="str">
        <f t="shared" si="23"/>
        <v>0 tubes and 0 shuttles</v>
      </c>
    </row>
    <row r="490" spans="1:16" ht="12.5" x14ac:dyDescent="0.25">
      <c r="A490" s="32">
        <f>'Profit &amp; Loss'!A490</f>
        <v>0</v>
      </c>
      <c r="B490" s="35">
        <f>'Profit &amp; Loss'!B490</f>
        <v>0</v>
      </c>
      <c r="C490" s="36"/>
      <c r="D490" s="33"/>
      <c r="E490" s="33"/>
      <c r="F490" s="101"/>
      <c r="G490" s="102">
        <f t="shared" si="24"/>
        <v>0</v>
      </c>
      <c r="H490" s="103" t="str">
        <f t="shared" si="18"/>
        <v>0 tubes and 0 shuttles</v>
      </c>
      <c r="I490" s="36">
        <f t="shared" si="25"/>
        <v>0</v>
      </c>
      <c r="J490" s="104" t="str">
        <f t="shared" si="19"/>
        <v>0 tubes and 0 shuttles</v>
      </c>
      <c r="K490" s="36">
        <f t="shared" si="26"/>
        <v>0</v>
      </c>
      <c r="L490" s="103" t="str">
        <f t="shared" si="20"/>
        <v>0 tubes and 0 shuttles</v>
      </c>
      <c r="M490" s="105">
        <f t="shared" si="27"/>
        <v>0</v>
      </c>
      <c r="N490" s="103" t="str">
        <f t="shared" si="21"/>
        <v>0 tubes and 0 shuttles</v>
      </c>
      <c r="O490" s="36">
        <f t="shared" si="22"/>
        <v>0</v>
      </c>
      <c r="P490" s="103" t="str">
        <f t="shared" si="23"/>
        <v>0 tubes and 0 shuttles</v>
      </c>
    </row>
    <row r="491" spans="1:16" ht="12.5" x14ac:dyDescent="0.25">
      <c r="A491" s="32">
        <f>'Profit &amp; Loss'!A491</f>
        <v>0</v>
      </c>
      <c r="B491" s="35">
        <f>'Profit &amp; Loss'!B491</f>
        <v>0</v>
      </c>
      <c r="C491" s="36"/>
      <c r="D491" s="33"/>
      <c r="E491" s="33"/>
      <c r="F491" s="101"/>
      <c r="G491" s="102">
        <f t="shared" si="24"/>
        <v>0</v>
      </c>
      <c r="H491" s="103" t="str">
        <f t="shared" si="18"/>
        <v>0 tubes and 0 shuttles</v>
      </c>
      <c r="I491" s="36">
        <f t="shared" si="25"/>
        <v>0</v>
      </c>
      <c r="J491" s="104" t="str">
        <f t="shared" si="19"/>
        <v>0 tubes and 0 shuttles</v>
      </c>
      <c r="K491" s="36">
        <f t="shared" si="26"/>
        <v>0</v>
      </c>
      <c r="L491" s="103" t="str">
        <f t="shared" si="20"/>
        <v>0 tubes and 0 shuttles</v>
      </c>
      <c r="M491" s="105">
        <f t="shared" si="27"/>
        <v>0</v>
      </c>
      <c r="N491" s="103" t="str">
        <f t="shared" si="21"/>
        <v>0 tubes and 0 shuttles</v>
      </c>
      <c r="O491" s="36">
        <f t="shared" si="22"/>
        <v>0</v>
      </c>
      <c r="P491" s="103" t="str">
        <f t="shared" si="23"/>
        <v>0 tubes and 0 shuttles</v>
      </c>
    </row>
    <row r="492" spans="1:16" ht="12.5" x14ac:dyDescent="0.25">
      <c r="A492" s="32">
        <f>'Profit &amp; Loss'!A492</f>
        <v>0</v>
      </c>
      <c r="B492" s="35">
        <f>'Profit &amp; Loss'!B492</f>
        <v>0</v>
      </c>
      <c r="C492" s="36"/>
      <c r="D492" s="33"/>
      <c r="E492" s="33"/>
      <c r="F492" s="101"/>
      <c r="G492" s="102">
        <f t="shared" si="24"/>
        <v>0</v>
      </c>
      <c r="H492" s="103" t="str">
        <f t="shared" si="18"/>
        <v>0 tubes and 0 shuttles</v>
      </c>
      <c r="I492" s="36">
        <f t="shared" si="25"/>
        <v>0</v>
      </c>
      <c r="J492" s="104" t="str">
        <f t="shared" si="19"/>
        <v>0 tubes and 0 shuttles</v>
      </c>
      <c r="K492" s="36">
        <f t="shared" si="26"/>
        <v>0</v>
      </c>
      <c r="L492" s="103" t="str">
        <f t="shared" si="20"/>
        <v>0 tubes and 0 shuttles</v>
      </c>
      <c r="M492" s="105">
        <f t="shared" si="27"/>
        <v>0</v>
      </c>
      <c r="N492" s="103" t="str">
        <f t="shared" si="21"/>
        <v>0 tubes and 0 shuttles</v>
      </c>
      <c r="O492" s="36">
        <f t="shared" si="22"/>
        <v>0</v>
      </c>
      <c r="P492" s="103" t="str">
        <f t="shared" si="23"/>
        <v>0 tubes and 0 shuttles</v>
      </c>
    </row>
    <row r="493" spans="1:16" ht="12.5" x14ac:dyDescent="0.25">
      <c r="A493" s="32">
        <f>'Profit &amp; Loss'!A493</f>
        <v>0</v>
      </c>
      <c r="B493" s="35">
        <f>'Profit &amp; Loss'!B493</f>
        <v>0</v>
      </c>
      <c r="C493" s="36"/>
      <c r="D493" s="33"/>
      <c r="E493" s="33"/>
      <c r="F493" s="101"/>
      <c r="G493" s="102">
        <f t="shared" si="24"/>
        <v>0</v>
      </c>
      <c r="H493" s="103" t="str">
        <f t="shared" si="18"/>
        <v>0 tubes and 0 shuttles</v>
      </c>
      <c r="I493" s="36">
        <f t="shared" si="25"/>
        <v>0</v>
      </c>
      <c r="J493" s="104" t="str">
        <f t="shared" si="19"/>
        <v>0 tubes and 0 shuttles</v>
      </c>
      <c r="K493" s="36">
        <f t="shared" si="26"/>
        <v>0</v>
      </c>
      <c r="L493" s="103" t="str">
        <f t="shared" si="20"/>
        <v>0 tubes and 0 shuttles</v>
      </c>
      <c r="M493" s="105">
        <f t="shared" si="27"/>
        <v>0</v>
      </c>
      <c r="N493" s="103" t="str">
        <f t="shared" si="21"/>
        <v>0 tubes and 0 shuttles</v>
      </c>
      <c r="O493" s="36">
        <f t="shared" si="22"/>
        <v>0</v>
      </c>
      <c r="P493" s="103" t="str">
        <f t="shared" si="23"/>
        <v>0 tubes and 0 shuttles</v>
      </c>
    </row>
    <row r="494" spans="1:16" ht="12.5" x14ac:dyDescent="0.25">
      <c r="A494" s="32">
        <f>'Profit &amp; Loss'!A494</f>
        <v>0</v>
      </c>
      <c r="B494" s="35">
        <f>'Profit &amp; Loss'!B494</f>
        <v>0</v>
      </c>
      <c r="C494" s="36"/>
      <c r="D494" s="33"/>
      <c r="E494" s="33"/>
      <c r="F494" s="101"/>
      <c r="G494" s="102">
        <f t="shared" si="24"/>
        <v>0</v>
      </c>
      <c r="H494" s="103" t="str">
        <f t="shared" si="18"/>
        <v>0 tubes and 0 shuttles</v>
      </c>
      <c r="I494" s="36">
        <f t="shared" si="25"/>
        <v>0</v>
      </c>
      <c r="J494" s="104" t="str">
        <f t="shared" si="19"/>
        <v>0 tubes and 0 shuttles</v>
      </c>
      <c r="K494" s="36">
        <f t="shared" si="26"/>
        <v>0</v>
      </c>
      <c r="L494" s="103" t="str">
        <f t="shared" si="20"/>
        <v>0 tubes and 0 shuttles</v>
      </c>
      <c r="M494" s="105">
        <f t="shared" si="27"/>
        <v>0</v>
      </c>
      <c r="N494" s="103" t="str">
        <f t="shared" si="21"/>
        <v>0 tubes and 0 shuttles</v>
      </c>
      <c r="O494" s="36">
        <f t="shared" si="22"/>
        <v>0</v>
      </c>
      <c r="P494" s="103" t="str">
        <f t="shared" si="23"/>
        <v>0 tubes and 0 shuttles</v>
      </c>
    </row>
    <row r="495" spans="1:16" ht="12.5" x14ac:dyDescent="0.25">
      <c r="A495" s="32">
        <f>'Profit &amp; Loss'!A495</f>
        <v>0</v>
      </c>
      <c r="B495" s="35">
        <f>'Profit &amp; Loss'!B495</f>
        <v>0</v>
      </c>
      <c r="C495" s="36"/>
      <c r="D495" s="33"/>
      <c r="E495" s="33"/>
      <c r="F495" s="101"/>
      <c r="G495" s="102">
        <f t="shared" si="24"/>
        <v>0</v>
      </c>
      <c r="H495" s="103" t="str">
        <f t="shared" si="18"/>
        <v>0 tubes and 0 shuttles</v>
      </c>
      <c r="I495" s="36">
        <f t="shared" si="25"/>
        <v>0</v>
      </c>
      <c r="J495" s="104" t="str">
        <f t="shared" si="19"/>
        <v>0 tubes and 0 shuttles</v>
      </c>
      <c r="K495" s="36">
        <f t="shared" si="26"/>
        <v>0</v>
      </c>
      <c r="L495" s="103" t="str">
        <f t="shared" si="20"/>
        <v>0 tubes and 0 shuttles</v>
      </c>
      <c r="M495" s="105">
        <f t="shared" si="27"/>
        <v>0</v>
      </c>
      <c r="N495" s="103" t="str">
        <f t="shared" si="21"/>
        <v>0 tubes and 0 shuttles</v>
      </c>
      <c r="O495" s="36">
        <f t="shared" si="22"/>
        <v>0</v>
      </c>
      <c r="P495" s="103" t="str">
        <f t="shared" si="23"/>
        <v>0 tubes and 0 shuttles</v>
      </c>
    </row>
    <row r="496" spans="1:16" ht="12.5" x14ac:dyDescent="0.25">
      <c r="A496" s="32">
        <f>'Profit &amp; Loss'!A496</f>
        <v>0</v>
      </c>
      <c r="B496" s="35">
        <f>'Profit &amp; Loss'!B496</f>
        <v>0</v>
      </c>
      <c r="C496" s="36"/>
      <c r="D496" s="33"/>
      <c r="E496" s="33"/>
      <c r="F496" s="101"/>
      <c r="G496" s="102">
        <f t="shared" si="24"/>
        <v>0</v>
      </c>
      <c r="H496" s="103" t="str">
        <f t="shared" si="18"/>
        <v>0 tubes and 0 shuttles</v>
      </c>
      <c r="I496" s="36">
        <f t="shared" si="25"/>
        <v>0</v>
      </c>
      <c r="J496" s="104" t="str">
        <f t="shared" si="19"/>
        <v>0 tubes and 0 shuttles</v>
      </c>
      <c r="K496" s="36">
        <f t="shared" si="26"/>
        <v>0</v>
      </c>
      <c r="L496" s="103" t="str">
        <f t="shared" si="20"/>
        <v>0 tubes and 0 shuttles</v>
      </c>
      <c r="M496" s="105">
        <f t="shared" si="27"/>
        <v>0</v>
      </c>
      <c r="N496" s="103" t="str">
        <f t="shared" si="21"/>
        <v>0 tubes and 0 shuttles</v>
      </c>
      <c r="O496" s="36">
        <f t="shared" si="22"/>
        <v>0</v>
      </c>
      <c r="P496" s="103" t="str">
        <f t="shared" si="23"/>
        <v>0 tubes and 0 shuttles</v>
      </c>
    </row>
    <row r="497" spans="1:16" ht="12.5" x14ac:dyDescent="0.25">
      <c r="A497" s="32">
        <f>'Profit &amp; Loss'!A497</f>
        <v>0</v>
      </c>
      <c r="B497" s="35">
        <f>'Profit &amp; Loss'!B497</f>
        <v>0</v>
      </c>
      <c r="C497" s="36"/>
      <c r="D497" s="33"/>
      <c r="E497" s="33"/>
      <c r="F497" s="101"/>
      <c r="G497" s="102">
        <f t="shared" si="24"/>
        <v>0</v>
      </c>
      <c r="H497" s="103" t="str">
        <f t="shared" si="18"/>
        <v>0 tubes and 0 shuttles</v>
      </c>
      <c r="I497" s="36">
        <f t="shared" si="25"/>
        <v>0</v>
      </c>
      <c r="J497" s="104" t="str">
        <f t="shared" si="19"/>
        <v>0 tubes and 0 shuttles</v>
      </c>
      <c r="K497" s="36">
        <f t="shared" si="26"/>
        <v>0</v>
      </c>
      <c r="L497" s="103" t="str">
        <f t="shared" si="20"/>
        <v>0 tubes and 0 shuttles</v>
      </c>
      <c r="M497" s="105">
        <f t="shared" si="27"/>
        <v>0</v>
      </c>
      <c r="N497" s="103" t="str">
        <f t="shared" si="21"/>
        <v>0 tubes and 0 shuttles</v>
      </c>
      <c r="O497" s="36">
        <f t="shared" si="22"/>
        <v>0</v>
      </c>
      <c r="P497" s="103" t="str">
        <f t="shared" si="23"/>
        <v>0 tubes and 0 shuttles</v>
      </c>
    </row>
    <row r="498" spans="1:16" ht="12.5" x14ac:dyDescent="0.25">
      <c r="A498" s="32">
        <f>'Profit &amp; Loss'!A498</f>
        <v>0</v>
      </c>
      <c r="B498" s="35">
        <f>'Profit &amp; Loss'!B498</f>
        <v>0</v>
      </c>
      <c r="C498" s="36"/>
      <c r="D498" s="33"/>
      <c r="E498" s="33"/>
      <c r="F498" s="101"/>
      <c r="G498" s="102">
        <f t="shared" si="24"/>
        <v>0</v>
      </c>
      <c r="H498" s="103" t="str">
        <f t="shared" si="18"/>
        <v>0 tubes and 0 shuttles</v>
      </c>
      <c r="I498" s="36">
        <f t="shared" si="25"/>
        <v>0</v>
      </c>
      <c r="J498" s="104" t="str">
        <f t="shared" si="19"/>
        <v>0 tubes and 0 shuttles</v>
      </c>
      <c r="K498" s="36">
        <f t="shared" si="26"/>
        <v>0</v>
      </c>
      <c r="L498" s="103" t="str">
        <f t="shared" si="20"/>
        <v>0 tubes and 0 shuttles</v>
      </c>
      <c r="M498" s="105">
        <f t="shared" si="27"/>
        <v>0</v>
      </c>
      <c r="N498" s="103" t="str">
        <f t="shared" si="21"/>
        <v>0 tubes and 0 shuttles</v>
      </c>
      <c r="O498" s="36">
        <f t="shared" si="22"/>
        <v>0</v>
      </c>
      <c r="P498" s="103" t="str">
        <f t="shared" si="23"/>
        <v>0 tubes and 0 shuttles</v>
      </c>
    </row>
    <row r="499" spans="1:16" ht="12.5" x14ac:dyDescent="0.25">
      <c r="A499" s="32">
        <f>'Profit &amp; Loss'!A499</f>
        <v>0</v>
      </c>
      <c r="B499" s="35">
        <f>'Profit &amp; Loss'!B499</f>
        <v>0</v>
      </c>
      <c r="C499" s="36"/>
      <c r="D499" s="33"/>
      <c r="E499" s="33"/>
      <c r="F499" s="101"/>
      <c r="G499" s="102">
        <f t="shared" si="24"/>
        <v>0</v>
      </c>
      <c r="H499" s="103" t="str">
        <f t="shared" si="18"/>
        <v>0 tubes and 0 shuttles</v>
      </c>
      <c r="I499" s="36">
        <f t="shared" si="25"/>
        <v>0</v>
      </c>
      <c r="J499" s="104" t="str">
        <f t="shared" si="19"/>
        <v>0 tubes and 0 shuttles</v>
      </c>
      <c r="K499" s="36">
        <f t="shared" si="26"/>
        <v>0</v>
      </c>
      <c r="L499" s="103" t="str">
        <f t="shared" si="20"/>
        <v>0 tubes and 0 shuttles</v>
      </c>
      <c r="M499" s="105">
        <f t="shared" si="27"/>
        <v>0</v>
      </c>
      <c r="N499" s="103" t="str">
        <f t="shared" si="21"/>
        <v>0 tubes and 0 shuttles</v>
      </c>
      <c r="O499" s="36">
        <f t="shared" si="22"/>
        <v>0</v>
      </c>
      <c r="P499" s="103" t="str">
        <f t="shared" si="23"/>
        <v>0 tubes and 0 shuttles</v>
      </c>
    </row>
    <row r="500" spans="1:16" ht="12.5" x14ac:dyDescent="0.25">
      <c r="A500" s="32">
        <f>'Profit &amp; Loss'!A500</f>
        <v>0</v>
      </c>
      <c r="B500" s="35">
        <f>'Profit &amp; Loss'!B500</f>
        <v>0</v>
      </c>
      <c r="C500" s="36"/>
      <c r="D500" s="33"/>
      <c r="E500" s="33"/>
      <c r="F500" s="101"/>
      <c r="G500" s="102">
        <f t="shared" si="24"/>
        <v>0</v>
      </c>
      <c r="H500" s="103" t="str">
        <f t="shared" si="18"/>
        <v>0 tubes and 0 shuttles</v>
      </c>
      <c r="I500" s="36">
        <f t="shared" si="25"/>
        <v>0</v>
      </c>
      <c r="J500" s="104" t="str">
        <f t="shared" si="19"/>
        <v>0 tubes and 0 shuttles</v>
      </c>
      <c r="K500" s="36">
        <f t="shared" si="26"/>
        <v>0</v>
      </c>
      <c r="L500" s="103" t="str">
        <f t="shared" si="20"/>
        <v>0 tubes and 0 shuttles</v>
      </c>
      <c r="M500" s="105">
        <f t="shared" si="27"/>
        <v>0</v>
      </c>
      <c r="N500" s="103" t="str">
        <f t="shared" si="21"/>
        <v>0 tubes and 0 shuttles</v>
      </c>
      <c r="O500" s="36">
        <f t="shared" si="22"/>
        <v>0</v>
      </c>
      <c r="P500" s="103" t="str">
        <f t="shared" si="23"/>
        <v>0 tubes and 0 shuttles</v>
      </c>
    </row>
    <row r="501" spans="1:16" ht="12.5" x14ac:dyDescent="0.25">
      <c r="A501" s="32">
        <f>'Profit &amp; Loss'!A501</f>
        <v>0</v>
      </c>
      <c r="B501" s="35">
        <f>'Profit &amp; Loss'!B501</f>
        <v>0</v>
      </c>
      <c r="C501" s="36"/>
      <c r="D501" s="33"/>
      <c r="E501" s="33"/>
      <c r="F501" s="101"/>
      <c r="G501" s="102">
        <f t="shared" si="24"/>
        <v>0</v>
      </c>
      <c r="H501" s="103" t="str">
        <f t="shared" si="18"/>
        <v>0 tubes and 0 shuttles</v>
      </c>
      <c r="I501" s="36">
        <f t="shared" si="25"/>
        <v>0</v>
      </c>
      <c r="J501" s="104" t="str">
        <f t="shared" si="19"/>
        <v>0 tubes and 0 shuttles</v>
      </c>
      <c r="K501" s="36">
        <f t="shared" si="26"/>
        <v>0</v>
      </c>
      <c r="L501" s="103" t="str">
        <f t="shared" si="20"/>
        <v>0 tubes and 0 shuttles</v>
      </c>
      <c r="M501" s="105">
        <f t="shared" si="27"/>
        <v>0</v>
      </c>
      <c r="N501" s="103" t="str">
        <f t="shared" si="21"/>
        <v>0 tubes and 0 shuttles</v>
      </c>
      <c r="O501" s="36">
        <f t="shared" si="22"/>
        <v>0</v>
      </c>
      <c r="P501" s="103" t="str">
        <f t="shared" si="23"/>
        <v>0 tubes and 0 shuttles</v>
      </c>
    </row>
    <row r="502" spans="1:16" ht="12.5" x14ac:dyDescent="0.25">
      <c r="A502" s="32">
        <f>'Profit &amp; Loss'!A502</f>
        <v>0</v>
      </c>
      <c r="B502" s="35">
        <f>'Profit &amp; Loss'!B502</f>
        <v>0</v>
      </c>
      <c r="C502" s="36"/>
      <c r="D502" s="33"/>
      <c r="E502" s="33"/>
      <c r="F502" s="101"/>
      <c r="G502" s="102">
        <f t="shared" si="24"/>
        <v>0</v>
      </c>
      <c r="H502" s="103" t="str">
        <f t="shared" si="18"/>
        <v>0 tubes and 0 shuttles</v>
      </c>
      <c r="I502" s="36">
        <f t="shared" si="25"/>
        <v>0</v>
      </c>
      <c r="J502" s="104" t="str">
        <f t="shared" si="19"/>
        <v>0 tubes and 0 shuttles</v>
      </c>
      <c r="K502" s="36">
        <f t="shared" si="26"/>
        <v>0</v>
      </c>
      <c r="L502" s="103" t="str">
        <f t="shared" si="20"/>
        <v>0 tubes and 0 shuttles</v>
      </c>
      <c r="M502" s="105">
        <f t="shared" si="27"/>
        <v>0</v>
      </c>
      <c r="N502" s="103" t="str">
        <f t="shared" si="21"/>
        <v>0 tubes and 0 shuttles</v>
      </c>
      <c r="O502" s="36">
        <f t="shared" si="22"/>
        <v>0</v>
      </c>
      <c r="P502" s="103" t="str">
        <f t="shared" si="23"/>
        <v>0 tubes and 0 shuttles</v>
      </c>
    </row>
    <row r="503" spans="1:16" ht="12.5" x14ac:dyDescent="0.25">
      <c r="A503" s="32">
        <f>'Profit &amp; Loss'!A503</f>
        <v>0</v>
      </c>
      <c r="B503" s="35">
        <f>'Profit &amp; Loss'!B503</f>
        <v>0</v>
      </c>
      <c r="C503" s="36"/>
      <c r="D503" s="33"/>
      <c r="E503" s="33"/>
      <c r="F503" s="101"/>
      <c r="G503" s="102">
        <f t="shared" si="24"/>
        <v>0</v>
      </c>
      <c r="H503" s="103" t="str">
        <f t="shared" si="18"/>
        <v>0 tubes and 0 shuttles</v>
      </c>
      <c r="I503" s="36">
        <f t="shared" si="25"/>
        <v>0</v>
      </c>
      <c r="J503" s="104" t="str">
        <f t="shared" si="19"/>
        <v>0 tubes and 0 shuttles</v>
      </c>
      <c r="K503" s="36">
        <f t="shared" si="26"/>
        <v>0</v>
      </c>
      <c r="L503" s="103" t="str">
        <f t="shared" si="20"/>
        <v>0 tubes and 0 shuttles</v>
      </c>
      <c r="M503" s="105">
        <f t="shared" si="27"/>
        <v>0</v>
      </c>
      <c r="N503" s="103" t="str">
        <f t="shared" si="21"/>
        <v>0 tubes and 0 shuttles</v>
      </c>
      <c r="O503" s="36">
        <f t="shared" si="22"/>
        <v>0</v>
      </c>
      <c r="P503" s="103" t="str">
        <f t="shared" si="23"/>
        <v>0 tubes and 0 shuttles</v>
      </c>
    </row>
    <row r="504" spans="1:16" ht="12.5" x14ac:dyDescent="0.25">
      <c r="A504" s="32">
        <f>'Profit &amp; Loss'!A504</f>
        <v>0</v>
      </c>
      <c r="B504" s="35">
        <f>'Profit &amp; Loss'!B504</f>
        <v>0</v>
      </c>
      <c r="C504" s="36"/>
      <c r="D504" s="33"/>
      <c r="E504" s="33"/>
      <c r="F504" s="101"/>
      <c r="G504" s="102">
        <f t="shared" si="24"/>
        <v>0</v>
      </c>
      <c r="H504" s="103" t="str">
        <f t="shared" si="18"/>
        <v>0 tubes and 0 shuttles</v>
      </c>
      <c r="I504" s="36">
        <f t="shared" si="25"/>
        <v>0</v>
      </c>
      <c r="J504" s="104" t="str">
        <f t="shared" si="19"/>
        <v>0 tubes and 0 shuttles</v>
      </c>
      <c r="K504" s="36">
        <f t="shared" si="26"/>
        <v>0</v>
      </c>
      <c r="L504" s="103" t="str">
        <f t="shared" si="20"/>
        <v>0 tubes and 0 shuttles</v>
      </c>
      <c r="M504" s="105">
        <f t="shared" si="27"/>
        <v>0</v>
      </c>
      <c r="N504" s="103" t="str">
        <f t="shared" si="21"/>
        <v>0 tubes and 0 shuttles</v>
      </c>
      <c r="O504" s="36">
        <f t="shared" si="22"/>
        <v>0</v>
      </c>
      <c r="P504" s="103" t="str">
        <f t="shared" si="23"/>
        <v>0 tubes and 0 shuttles</v>
      </c>
    </row>
    <row r="505" spans="1:16" ht="12.5" x14ac:dyDescent="0.25">
      <c r="A505" s="32">
        <f>'Profit &amp; Loss'!A505</f>
        <v>0</v>
      </c>
      <c r="B505" s="35">
        <f>'Profit &amp; Loss'!B505</f>
        <v>0</v>
      </c>
      <c r="C505" s="36"/>
      <c r="D505" s="33"/>
      <c r="E505" s="33"/>
      <c r="F505" s="101"/>
      <c r="G505" s="102">
        <f t="shared" si="24"/>
        <v>0</v>
      </c>
      <c r="H505" s="103" t="str">
        <f t="shared" si="18"/>
        <v>0 tubes and 0 shuttles</v>
      </c>
      <c r="I505" s="36">
        <f t="shared" si="25"/>
        <v>0</v>
      </c>
      <c r="J505" s="104" t="str">
        <f t="shared" si="19"/>
        <v>0 tubes and 0 shuttles</v>
      </c>
      <c r="K505" s="36">
        <f t="shared" si="26"/>
        <v>0</v>
      </c>
      <c r="L505" s="103" t="str">
        <f t="shared" si="20"/>
        <v>0 tubes and 0 shuttles</v>
      </c>
      <c r="M505" s="105">
        <f t="shared" si="27"/>
        <v>0</v>
      </c>
      <c r="N505" s="103" t="str">
        <f t="shared" si="21"/>
        <v>0 tubes and 0 shuttles</v>
      </c>
      <c r="O505" s="36">
        <f t="shared" si="22"/>
        <v>0</v>
      </c>
      <c r="P505" s="103" t="str">
        <f t="shared" si="23"/>
        <v>0 tubes and 0 shuttles</v>
      </c>
    </row>
    <row r="506" spans="1:16" ht="12.5" x14ac:dyDescent="0.25">
      <c r="A506" s="32">
        <f>'Profit &amp; Loss'!A506</f>
        <v>0</v>
      </c>
      <c r="B506" s="35">
        <f>'Profit &amp; Loss'!B506</f>
        <v>0</v>
      </c>
      <c r="C506" s="36"/>
      <c r="D506" s="33"/>
      <c r="E506" s="33"/>
      <c r="F506" s="101"/>
      <c r="G506" s="102">
        <f t="shared" si="24"/>
        <v>0</v>
      </c>
      <c r="H506" s="103" t="str">
        <f t="shared" si="18"/>
        <v>0 tubes and 0 shuttles</v>
      </c>
      <c r="I506" s="36">
        <f t="shared" si="25"/>
        <v>0</v>
      </c>
      <c r="J506" s="104" t="str">
        <f t="shared" si="19"/>
        <v>0 tubes and 0 shuttles</v>
      </c>
      <c r="K506" s="36">
        <f t="shared" si="26"/>
        <v>0</v>
      </c>
      <c r="L506" s="103" t="str">
        <f t="shared" si="20"/>
        <v>0 tubes and 0 shuttles</v>
      </c>
      <c r="M506" s="105">
        <f t="shared" si="27"/>
        <v>0</v>
      </c>
      <c r="N506" s="103" t="str">
        <f t="shared" si="21"/>
        <v>0 tubes and 0 shuttles</v>
      </c>
      <c r="O506" s="36">
        <f t="shared" si="22"/>
        <v>0</v>
      </c>
      <c r="P506" s="103" t="str">
        <f t="shared" si="23"/>
        <v>0 tubes and 0 shuttles</v>
      </c>
    </row>
    <row r="507" spans="1:16" ht="12.5" x14ac:dyDescent="0.25">
      <c r="A507" s="32">
        <f>'Profit &amp; Loss'!A507</f>
        <v>0</v>
      </c>
      <c r="B507" s="35">
        <f>'Profit &amp; Loss'!B507</f>
        <v>0</v>
      </c>
      <c r="C507" s="36"/>
      <c r="D507" s="33"/>
      <c r="E507" s="33"/>
      <c r="F507" s="101"/>
      <c r="G507" s="102">
        <f t="shared" si="24"/>
        <v>0</v>
      </c>
      <c r="H507" s="103" t="str">
        <f t="shared" si="18"/>
        <v>0 tubes and 0 shuttles</v>
      </c>
      <c r="I507" s="36">
        <f t="shared" si="25"/>
        <v>0</v>
      </c>
      <c r="J507" s="104" t="str">
        <f t="shared" si="19"/>
        <v>0 tubes and 0 shuttles</v>
      </c>
      <c r="K507" s="36">
        <f t="shared" si="26"/>
        <v>0</v>
      </c>
      <c r="L507" s="103" t="str">
        <f t="shared" si="20"/>
        <v>0 tubes and 0 shuttles</v>
      </c>
      <c r="M507" s="105">
        <f t="shared" si="27"/>
        <v>0</v>
      </c>
      <c r="N507" s="103" t="str">
        <f t="shared" si="21"/>
        <v>0 tubes and 0 shuttles</v>
      </c>
      <c r="O507" s="36">
        <f t="shared" si="22"/>
        <v>0</v>
      </c>
      <c r="P507" s="103" t="str">
        <f t="shared" si="23"/>
        <v>0 tubes and 0 shuttles</v>
      </c>
    </row>
    <row r="508" spans="1:16" ht="12.5" x14ac:dyDescent="0.25">
      <c r="A508" s="32">
        <f>'Profit &amp; Loss'!A508</f>
        <v>0</v>
      </c>
      <c r="B508" s="35">
        <f>'Profit &amp; Loss'!B508</f>
        <v>0</v>
      </c>
      <c r="C508" s="36"/>
      <c r="D508" s="33"/>
      <c r="E508" s="33"/>
      <c r="F508" s="101"/>
      <c r="G508" s="102">
        <f t="shared" si="24"/>
        <v>0</v>
      </c>
      <c r="H508" s="103" t="str">
        <f t="shared" si="18"/>
        <v>0 tubes and 0 shuttles</v>
      </c>
      <c r="I508" s="36">
        <f t="shared" si="25"/>
        <v>0</v>
      </c>
      <c r="J508" s="104" t="str">
        <f t="shared" si="19"/>
        <v>0 tubes and 0 shuttles</v>
      </c>
      <c r="K508" s="36">
        <f t="shared" si="26"/>
        <v>0</v>
      </c>
      <c r="L508" s="103" t="str">
        <f t="shared" si="20"/>
        <v>0 tubes and 0 shuttles</v>
      </c>
      <c r="M508" s="105">
        <f t="shared" si="27"/>
        <v>0</v>
      </c>
      <c r="N508" s="103" t="str">
        <f t="shared" si="21"/>
        <v>0 tubes and 0 shuttles</v>
      </c>
      <c r="O508" s="36">
        <f t="shared" si="22"/>
        <v>0</v>
      </c>
      <c r="P508" s="103" t="str">
        <f t="shared" si="23"/>
        <v>0 tubes and 0 shuttles</v>
      </c>
    </row>
    <row r="509" spans="1:16" ht="12.5" x14ac:dyDescent="0.25">
      <c r="A509" s="32">
        <f>'Profit &amp; Loss'!A509</f>
        <v>0</v>
      </c>
      <c r="B509" s="35">
        <f>'Profit &amp; Loss'!B509</f>
        <v>0</v>
      </c>
      <c r="C509" s="36"/>
      <c r="D509" s="33"/>
      <c r="E509" s="33"/>
      <c r="F509" s="101"/>
      <c r="G509" s="102">
        <f t="shared" si="24"/>
        <v>0</v>
      </c>
      <c r="H509" s="103" t="str">
        <f t="shared" si="18"/>
        <v>0 tubes and 0 shuttles</v>
      </c>
      <c r="I509" s="36">
        <f t="shared" si="25"/>
        <v>0</v>
      </c>
      <c r="J509" s="104" t="str">
        <f t="shared" si="19"/>
        <v>0 tubes and 0 shuttles</v>
      </c>
      <c r="K509" s="36">
        <f t="shared" si="26"/>
        <v>0</v>
      </c>
      <c r="L509" s="103" t="str">
        <f t="shared" si="20"/>
        <v>0 tubes and 0 shuttles</v>
      </c>
      <c r="M509" s="105">
        <f t="shared" si="27"/>
        <v>0</v>
      </c>
      <c r="N509" s="103" t="str">
        <f t="shared" si="21"/>
        <v>0 tubes and 0 shuttles</v>
      </c>
      <c r="O509" s="36">
        <f t="shared" si="22"/>
        <v>0</v>
      </c>
      <c r="P509" s="103" t="str">
        <f t="shared" si="23"/>
        <v>0 tubes and 0 shuttles</v>
      </c>
    </row>
    <row r="510" spans="1:16" ht="12.5" x14ac:dyDescent="0.25">
      <c r="A510" s="32">
        <f>'Profit &amp; Loss'!A510</f>
        <v>0</v>
      </c>
      <c r="B510" s="35">
        <f>'Profit &amp; Loss'!B510</f>
        <v>0</v>
      </c>
      <c r="C510" s="36"/>
      <c r="D510" s="33"/>
      <c r="E510" s="33"/>
      <c r="F510" s="101"/>
      <c r="G510" s="102">
        <f t="shared" si="24"/>
        <v>0</v>
      </c>
      <c r="H510" s="103" t="str">
        <f t="shared" si="18"/>
        <v>0 tubes and 0 shuttles</v>
      </c>
      <c r="I510" s="36">
        <f t="shared" si="25"/>
        <v>0</v>
      </c>
      <c r="J510" s="104" t="str">
        <f t="shared" si="19"/>
        <v>0 tubes and 0 shuttles</v>
      </c>
      <c r="K510" s="36">
        <f t="shared" si="26"/>
        <v>0</v>
      </c>
      <c r="L510" s="103" t="str">
        <f t="shared" si="20"/>
        <v>0 tubes and 0 shuttles</v>
      </c>
      <c r="M510" s="105">
        <f t="shared" si="27"/>
        <v>0</v>
      </c>
      <c r="N510" s="103" t="str">
        <f t="shared" si="21"/>
        <v>0 tubes and 0 shuttles</v>
      </c>
      <c r="O510" s="36">
        <f t="shared" si="22"/>
        <v>0</v>
      </c>
      <c r="P510" s="103" t="str">
        <f t="shared" si="23"/>
        <v>0 tubes and 0 shuttles</v>
      </c>
    </row>
    <row r="511" spans="1:16" ht="12.5" x14ac:dyDescent="0.25">
      <c r="A511" s="32">
        <f>'Profit &amp; Loss'!A511</f>
        <v>0</v>
      </c>
      <c r="B511" s="35">
        <f>'Profit &amp; Loss'!B511</f>
        <v>0</v>
      </c>
      <c r="C511" s="36"/>
      <c r="D511" s="33"/>
      <c r="E511" s="33"/>
      <c r="F511" s="101"/>
      <c r="G511" s="102">
        <f t="shared" si="24"/>
        <v>0</v>
      </c>
      <c r="H511" s="103" t="str">
        <f t="shared" si="18"/>
        <v>0 tubes and 0 shuttles</v>
      </c>
      <c r="I511" s="36">
        <f t="shared" si="25"/>
        <v>0</v>
      </c>
      <c r="J511" s="104" t="str">
        <f t="shared" si="19"/>
        <v>0 tubes and 0 shuttles</v>
      </c>
      <c r="K511" s="36">
        <f t="shared" si="26"/>
        <v>0</v>
      </c>
      <c r="L511" s="103" t="str">
        <f t="shared" si="20"/>
        <v>0 tubes and 0 shuttles</v>
      </c>
      <c r="M511" s="105">
        <f t="shared" si="27"/>
        <v>0</v>
      </c>
      <c r="N511" s="103" t="str">
        <f t="shared" si="21"/>
        <v>0 tubes and 0 shuttles</v>
      </c>
      <c r="O511" s="36">
        <f t="shared" si="22"/>
        <v>0</v>
      </c>
      <c r="P511" s="103" t="str">
        <f t="shared" si="23"/>
        <v>0 tubes and 0 shuttles</v>
      </c>
    </row>
    <row r="512" spans="1:16" ht="12.5" x14ac:dyDescent="0.25">
      <c r="A512" s="32">
        <f>'Profit &amp; Loss'!A512</f>
        <v>0</v>
      </c>
      <c r="B512" s="35">
        <f>'Profit &amp; Loss'!B512</f>
        <v>0</v>
      </c>
      <c r="C512" s="36"/>
      <c r="D512" s="33"/>
      <c r="E512" s="33"/>
      <c r="F512" s="101"/>
      <c r="G512" s="102">
        <f t="shared" si="24"/>
        <v>0</v>
      </c>
      <c r="H512" s="103" t="str">
        <f t="shared" si="18"/>
        <v>0 tubes and 0 shuttles</v>
      </c>
      <c r="I512" s="36">
        <f t="shared" si="25"/>
        <v>0</v>
      </c>
      <c r="J512" s="104" t="str">
        <f t="shared" si="19"/>
        <v>0 tubes and 0 shuttles</v>
      </c>
      <c r="K512" s="36">
        <f t="shared" si="26"/>
        <v>0</v>
      </c>
      <c r="L512" s="103" t="str">
        <f t="shared" si="20"/>
        <v>0 tubes and 0 shuttles</v>
      </c>
      <c r="M512" s="105">
        <f t="shared" si="27"/>
        <v>0</v>
      </c>
      <c r="N512" s="103" t="str">
        <f t="shared" si="21"/>
        <v>0 tubes and 0 shuttles</v>
      </c>
      <c r="O512" s="36">
        <f t="shared" si="22"/>
        <v>0</v>
      </c>
      <c r="P512" s="103" t="str">
        <f t="shared" si="23"/>
        <v>0 tubes and 0 shuttles</v>
      </c>
    </row>
    <row r="513" spans="1:16" ht="12.5" x14ac:dyDescent="0.25">
      <c r="A513" s="32">
        <f>'Profit &amp; Loss'!A513</f>
        <v>0</v>
      </c>
      <c r="B513" s="35">
        <f>'Profit &amp; Loss'!B513</f>
        <v>0</v>
      </c>
      <c r="C513" s="36"/>
      <c r="D513" s="33"/>
      <c r="E513" s="33"/>
      <c r="F513" s="101"/>
      <c r="G513" s="102">
        <f t="shared" si="24"/>
        <v>0</v>
      </c>
      <c r="H513" s="103" t="str">
        <f t="shared" si="18"/>
        <v>0 tubes and 0 shuttles</v>
      </c>
      <c r="I513" s="36">
        <f t="shared" si="25"/>
        <v>0</v>
      </c>
      <c r="J513" s="104" t="str">
        <f t="shared" si="19"/>
        <v>0 tubes and 0 shuttles</v>
      </c>
      <c r="K513" s="36">
        <f t="shared" si="26"/>
        <v>0</v>
      </c>
      <c r="L513" s="103" t="str">
        <f t="shared" si="20"/>
        <v>0 tubes and 0 shuttles</v>
      </c>
      <c r="M513" s="105">
        <f t="shared" si="27"/>
        <v>0</v>
      </c>
      <c r="N513" s="103" t="str">
        <f t="shared" si="21"/>
        <v>0 tubes and 0 shuttles</v>
      </c>
      <c r="O513" s="36">
        <f t="shared" si="22"/>
        <v>0</v>
      </c>
      <c r="P513" s="103" t="str">
        <f t="shared" si="23"/>
        <v>0 tubes and 0 shuttles</v>
      </c>
    </row>
    <row r="514" spans="1:16" ht="12.5" x14ac:dyDescent="0.25">
      <c r="A514" s="32">
        <f>'Profit &amp; Loss'!A514</f>
        <v>0</v>
      </c>
      <c r="B514" s="35">
        <f>'Profit &amp; Loss'!B514</f>
        <v>0</v>
      </c>
      <c r="C514" s="36"/>
      <c r="D514" s="33"/>
      <c r="E514" s="33"/>
      <c r="F514" s="101"/>
      <c r="G514" s="102">
        <f t="shared" si="24"/>
        <v>0</v>
      </c>
      <c r="H514" s="103" t="str">
        <f t="shared" si="18"/>
        <v>0 tubes and 0 shuttles</v>
      </c>
      <c r="I514" s="36">
        <f t="shared" si="25"/>
        <v>0</v>
      </c>
      <c r="J514" s="104" t="str">
        <f t="shared" si="19"/>
        <v>0 tubes and 0 shuttles</v>
      </c>
      <c r="K514" s="36">
        <f t="shared" si="26"/>
        <v>0</v>
      </c>
      <c r="L514" s="103" t="str">
        <f t="shared" si="20"/>
        <v>0 tubes and 0 shuttles</v>
      </c>
      <c r="M514" s="105">
        <f t="shared" si="27"/>
        <v>0</v>
      </c>
      <c r="N514" s="103" t="str">
        <f t="shared" si="21"/>
        <v>0 tubes and 0 shuttles</v>
      </c>
      <c r="O514" s="36">
        <f t="shared" si="22"/>
        <v>0</v>
      </c>
      <c r="P514" s="103" t="str">
        <f t="shared" si="23"/>
        <v>0 tubes and 0 shuttles</v>
      </c>
    </row>
    <row r="515" spans="1:16" ht="12.5" x14ac:dyDescent="0.25">
      <c r="A515" s="32">
        <f>'Profit &amp; Loss'!A515</f>
        <v>0</v>
      </c>
      <c r="B515" s="35">
        <f>'Profit &amp; Loss'!B515</f>
        <v>0</v>
      </c>
      <c r="C515" s="36"/>
      <c r="D515" s="33"/>
      <c r="E515" s="33"/>
      <c r="F515" s="101"/>
      <c r="G515" s="102">
        <f t="shared" si="24"/>
        <v>0</v>
      </c>
      <c r="H515" s="103" t="str">
        <f t="shared" si="18"/>
        <v>0 tubes and 0 shuttles</v>
      </c>
      <c r="I515" s="36">
        <f t="shared" si="25"/>
        <v>0</v>
      </c>
      <c r="J515" s="104" t="str">
        <f t="shared" si="19"/>
        <v>0 tubes and 0 shuttles</v>
      </c>
      <c r="K515" s="36">
        <f t="shared" si="26"/>
        <v>0</v>
      </c>
      <c r="L515" s="103" t="str">
        <f t="shared" si="20"/>
        <v>0 tubes and 0 shuttles</v>
      </c>
      <c r="M515" s="105">
        <f t="shared" si="27"/>
        <v>0</v>
      </c>
      <c r="N515" s="103" t="str">
        <f t="shared" si="21"/>
        <v>0 tubes and 0 shuttles</v>
      </c>
      <c r="O515" s="36">
        <f t="shared" si="22"/>
        <v>0</v>
      </c>
      <c r="P515" s="103" t="str">
        <f t="shared" si="23"/>
        <v>0 tubes and 0 shuttles</v>
      </c>
    </row>
    <row r="516" spans="1:16" ht="12.5" x14ac:dyDescent="0.25">
      <c r="A516" s="32">
        <f>'Profit &amp; Loss'!A516</f>
        <v>0</v>
      </c>
      <c r="B516" s="35">
        <f>'Profit &amp; Loss'!B516</f>
        <v>0</v>
      </c>
      <c r="C516" s="36"/>
      <c r="D516" s="33"/>
      <c r="E516" s="33"/>
      <c r="F516" s="101"/>
      <c r="G516" s="102">
        <f t="shared" si="24"/>
        <v>0</v>
      </c>
      <c r="H516" s="103" t="str">
        <f t="shared" ref="H516:H770" si="28">QUOTIENT(G516,12) &amp; " tubes and " &amp; MOD(G516,12) &amp; " shuttles"</f>
        <v>0 tubes and 0 shuttles</v>
      </c>
      <c r="I516" s="36">
        <f t="shared" si="25"/>
        <v>0</v>
      </c>
      <c r="J516" s="104" t="str">
        <f t="shared" ref="J516:J770" si="29">QUOTIENT(I516,12) &amp; " tubes and " &amp; MOD(I516,12) &amp; " shuttles"</f>
        <v>0 tubes and 0 shuttles</v>
      </c>
      <c r="K516" s="36">
        <f t="shared" si="26"/>
        <v>0</v>
      </c>
      <c r="L516" s="103" t="str">
        <f t="shared" ref="L516:L770" si="30">QUOTIENT(K516,12) &amp; " tubes and " &amp; MOD(K516,12) &amp; " shuttles"</f>
        <v>0 tubes and 0 shuttles</v>
      </c>
      <c r="M516" s="105">
        <f t="shared" si="27"/>
        <v>0</v>
      </c>
      <c r="N516" s="103" t="str">
        <f t="shared" ref="N516:N770" si="31">QUOTIENT(M516,12) &amp; " tubes and " &amp; MOD(M516,12) &amp; " shuttles"</f>
        <v>0 tubes and 0 shuttles</v>
      </c>
      <c r="O516" s="36">
        <f t="shared" ref="O516:O770" si="32">SUM(G516:M516)</f>
        <v>0</v>
      </c>
      <c r="P516" s="103" t="str">
        <f t="shared" ref="P516:P770" si="33">QUOTIENT(O516,12) &amp; " tubes and " &amp; MOD(O516,12) &amp; " shuttles"</f>
        <v>0 tubes and 0 shuttles</v>
      </c>
    </row>
    <row r="517" spans="1:16" ht="12.5" x14ac:dyDescent="0.25">
      <c r="A517" s="32">
        <f>'Profit &amp; Loss'!A517</f>
        <v>0</v>
      </c>
      <c r="B517" s="35">
        <f>'Profit &amp; Loss'!B517</f>
        <v>0</v>
      </c>
      <c r="C517" s="36"/>
      <c r="D517" s="33"/>
      <c r="E517" s="33"/>
      <c r="F517" s="101"/>
      <c r="G517" s="102">
        <f t="shared" si="24"/>
        <v>0</v>
      </c>
      <c r="H517" s="103" t="str">
        <f t="shared" si="28"/>
        <v>0 tubes and 0 shuttles</v>
      </c>
      <c r="I517" s="36">
        <f t="shared" si="25"/>
        <v>0</v>
      </c>
      <c r="J517" s="104" t="str">
        <f t="shared" si="29"/>
        <v>0 tubes and 0 shuttles</v>
      </c>
      <c r="K517" s="36">
        <f t="shared" si="26"/>
        <v>0</v>
      </c>
      <c r="L517" s="103" t="str">
        <f t="shared" si="30"/>
        <v>0 tubes and 0 shuttles</v>
      </c>
      <c r="M517" s="105">
        <f t="shared" si="27"/>
        <v>0</v>
      </c>
      <c r="N517" s="103" t="str">
        <f t="shared" si="31"/>
        <v>0 tubes and 0 shuttles</v>
      </c>
      <c r="O517" s="36">
        <f t="shared" si="32"/>
        <v>0</v>
      </c>
      <c r="P517" s="103" t="str">
        <f t="shared" si="33"/>
        <v>0 tubes and 0 shuttles</v>
      </c>
    </row>
    <row r="518" spans="1:16" ht="12.5" x14ac:dyDescent="0.25">
      <c r="A518" s="32">
        <f>'Profit &amp; Loss'!A518</f>
        <v>0</v>
      </c>
      <c r="B518" s="35">
        <f>'Profit &amp; Loss'!B518</f>
        <v>0</v>
      </c>
      <c r="C518" s="36"/>
      <c r="D518" s="33"/>
      <c r="E518" s="33"/>
      <c r="F518" s="101"/>
      <c r="G518" s="102">
        <f t="shared" si="24"/>
        <v>0</v>
      </c>
      <c r="H518" s="103" t="str">
        <f t="shared" si="28"/>
        <v>0 tubes and 0 shuttles</v>
      </c>
      <c r="I518" s="36">
        <f t="shared" si="25"/>
        <v>0</v>
      </c>
      <c r="J518" s="104" t="str">
        <f t="shared" si="29"/>
        <v>0 tubes and 0 shuttles</v>
      </c>
      <c r="K518" s="36">
        <f t="shared" si="26"/>
        <v>0</v>
      </c>
      <c r="L518" s="103" t="str">
        <f t="shared" si="30"/>
        <v>0 tubes and 0 shuttles</v>
      </c>
      <c r="M518" s="105">
        <f t="shared" si="27"/>
        <v>0</v>
      </c>
      <c r="N518" s="103" t="str">
        <f t="shared" si="31"/>
        <v>0 tubes and 0 shuttles</v>
      </c>
      <c r="O518" s="36">
        <f t="shared" si="32"/>
        <v>0</v>
      </c>
      <c r="P518" s="103" t="str">
        <f t="shared" si="33"/>
        <v>0 tubes and 0 shuttles</v>
      </c>
    </row>
    <row r="519" spans="1:16" ht="12.5" x14ac:dyDescent="0.25">
      <c r="A519" s="32">
        <f>'Profit &amp; Loss'!A519</f>
        <v>0</v>
      </c>
      <c r="B519" s="35">
        <f>'Profit &amp; Loss'!B519</f>
        <v>0</v>
      </c>
      <c r="C519" s="36"/>
      <c r="D519" s="33"/>
      <c r="E519" s="33"/>
      <c r="F519" s="101"/>
      <c r="G519" s="102">
        <f t="shared" si="24"/>
        <v>0</v>
      </c>
      <c r="H519" s="103" t="str">
        <f t="shared" si="28"/>
        <v>0 tubes and 0 shuttles</v>
      </c>
      <c r="I519" s="36">
        <f t="shared" si="25"/>
        <v>0</v>
      </c>
      <c r="J519" s="104" t="str">
        <f t="shared" si="29"/>
        <v>0 tubes and 0 shuttles</v>
      </c>
      <c r="K519" s="36">
        <f t="shared" si="26"/>
        <v>0</v>
      </c>
      <c r="L519" s="103" t="str">
        <f t="shared" si="30"/>
        <v>0 tubes and 0 shuttles</v>
      </c>
      <c r="M519" s="105">
        <f t="shared" si="27"/>
        <v>0</v>
      </c>
      <c r="N519" s="103" t="str">
        <f t="shared" si="31"/>
        <v>0 tubes and 0 shuttles</v>
      </c>
      <c r="O519" s="36">
        <f t="shared" si="32"/>
        <v>0</v>
      </c>
      <c r="P519" s="103" t="str">
        <f t="shared" si="33"/>
        <v>0 tubes and 0 shuttles</v>
      </c>
    </row>
    <row r="520" spans="1:16" ht="12.5" x14ac:dyDescent="0.25">
      <c r="A520" s="32">
        <f>'Profit &amp; Loss'!A520</f>
        <v>0</v>
      </c>
      <c r="B520" s="35">
        <f>'Profit &amp; Loss'!B520</f>
        <v>0</v>
      </c>
      <c r="C520" s="36"/>
      <c r="D520" s="33"/>
      <c r="E520" s="33"/>
      <c r="F520" s="101"/>
      <c r="G520" s="102">
        <f t="shared" si="24"/>
        <v>0</v>
      </c>
      <c r="H520" s="103" t="str">
        <f t="shared" si="28"/>
        <v>0 tubes and 0 shuttles</v>
      </c>
      <c r="I520" s="36">
        <f t="shared" si="25"/>
        <v>0</v>
      </c>
      <c r="J520" s="104" t="str">
        <f t="shared" si="29"/>
        <v>0 tubes and 0 shuttles</v>
      </c>
      <c r="K520" s="36">
        <f t="shared" si="26"/>
        <v>0</v>
      </c>
      <c r="L520" s="103" t="str">
        <f t="shared" si="30"/>
        <v>0 tubes and 0 shuttles</v>
      </c>
      <c r="M520" s="105">
        <f t="shared" si="27"/>
        <v>0</v>
      </c>
      <c r="N520" s="103" t="str">
        <f t="shared" si="31"/>
        <v>0 tubes and 0 shuttles</v>
      </c>
      <c r="O520" s="36">
        <f t="shared" si="32"/>
        <v>0</v>
      </c>
      <c r="P520" s="103" t="str">
        <f t="shared" si="33"/>
        <v>0 tubes and 0 shuttles</v>
      </c>
    </row>
    <row r="521" spans="1:16" ht="12.5" x14ac:dyDescent="0.25">
      <c r="A521" s="32">
        <f>'Profit &amp; Loss'!A521</f>
        <v>0</v>
      </c>
      <c r="B521" s="35">
        <f>'Profit &amp; Loss'!B521</f>
        <v>0</v>
      </c>
      <c r="C521" s="36"/>
      <c r="D521" s="33"/>
      <c r="E521" s="33"/>
      <c r="F521" s="101"/>
      <c r="G521" s="102">
        <f t="shared" si="24"/>
        <v>0</v>
      </c>
      <c r="H521" s="103" t="str">
        <f t="shared" si="28"/>
        <v>0 tubes and 0 shuttles</v>
      </c>
      <c r="I521" s="36">
        <f t="shared" si="25"/>
        <v>0</v>
      </c>
      <c r="J521" s="104" t="str">
        <f t="shared" si="29"/>
        <v>0 tubes and 0 shuttles</v>
      </c>
      <c r="K521" s="36">
        <f t="shared" si="26"/>
        <v>0</v>
      </c>
      <c r="L521" s="103" t="str">
        <f t="shared" si="30"/>
        <v>0 tubes and 0 shuttles</v>
      </c>
      <c r="M521" s="105">
        <f t="shared" si="27"/>
        <v>0</v>
      </c>
      <c r="N521" s="103" t="str">
        <f t="shared" si="31"/>
        <v>0 tubes and 0 shuttles</v>
      </c>
      <c r="O521" s="36">
        <f t="shared" si="32"/>
        <v>0</v>
      </c>
      <c r="P521" s="103" t="str">
        <f t="shared" si="33"/>
        <v>0 tubes and 0 shuttles</v>
      </c>
    </row>
    <row r="522" spans="1:16" ht="12.5" x14ac:dyDescent="0.25">
      <c r="A522" s="32">
        <f>'Profit &amp; Loss'!A522</f>
        <v>0</v>
      </c>
      <c r="B522" s="35">
        <f>'Profit &amp; Loss'!B522</f>
        <v>0</v>
      </c>
      <c r="C522" s="36"/>
      <c r="D522" s="33"/>
      <c r="E522" s="33"/>
      <c r="F522" s="101"/>
      <c r="G522" s="102">
        <f t="shared" si="24"/>
        <v>0</v>
      </c>
      <c r="H522" s="103" t="str">
        <f t="shared" si="28"/>
        <v>0 tubes and 0 shuttles</v>
      </c>
      <c r="I522" s="36">
        <f t="shared" si="25"/>
        <v>0</v>
      </c>
      <c r="J522" s="104" t="str">
        <f t="shared" si="29"/>
        <v>0 tubes and 0 shuttles</v>
      </c>
      <c r="K522" s="36">
        <f t="shared" si="26"/>
        <v>0</v>
      </c>
      <c r="L522" s="103" t="str">
        <f t="shared" si="30"/>
        <v>0 tubes and 0 shuttles</v>
      </c>
      <c r="M522" s="105">
        <f t="shared" si="27"/>
        <v>0</v>
      </c>
      <c r="N522" s="103" t="str">
        <f t="shared" si="31"/>
        <v>0 tubes and 0 shuttles</v>
      </c>
      <c r="O522" s="36">
        <f t="shared" si="32"/>
        <v>0</v>
      </c>
      <c r="P522" s="103" t="str">
        <f t="shared" si="33"/>
        <v>0 tubes and 0 shuttles</v>
      </c>
    </row>
    <row r="523" spans="1:16" ht="12.5" x14ac:dyDescent="0.25">
      <c r="A523" s="32">
        <f>'Profit &amp; Loss'!A523</f>
        <v>0</v>
      </c>
      <c r="B523" s="35">
        <f>'Profit &amp; Loss'!B523</f>
        <v>0</v>
      </c>
      <c r="C523" s="36"/>
      <c r="D523" s="33"/>
      <c r="E523" s="33"/>
      <c r="F523" s="101"/>
      <c r="G523" s="102">
        <f t="shared" si="24"/>
        <v>0</v>
      </c>
      <c r="H523" s="103" t="str">
        <f t="shared" si="28"/>
        <v>0 tubes and 0 shuttles</v>
      </c>
      <c r="I523" s="36">
        <f t="shared" si="25"/>
        <v>0</v>
      </c>
      <c r="J523" s="104" t="str">
        <f t="shared" si="29"/>
        <v>0 tubes and 0 shuttles</v>
      </c>
      <c r="K523" s="36">
        <f t="shared" si="26"/>
        <v>0</v>
      </c>
      <c r="L523" s="103" t="str">
        <f t="shared" si="30"/>
        <v>0 tubes and 0 shuttles</v>
      </c>
      <c r="M523" s="105">
        <f t="shared" si="27"/>
        <v>0</v>
      </c>
      <c r="N523" s="103" t="str">
        <f t="shared" si="31"/>
        <v>0 tubes and 0 shuttles</v>
      </c>
      <c r="O523" s="36">
        <f t="shared" si="32"/>
        <v>0</v>
      </c>
      <c r="P523" s="103" t="str">
        <f t="shared" si="33"/>
        <v>0 tubes and 0 shuttles</v>
      </c>
    </row>
    <row r="524" spans="1:16" ht="12.5" x14ac:dyDescent="0.25">
      <c r="A524" s="32">
        <f>'Profit &amp; Loss'!A524</f>
        <v>0</v>
      </c>
      <c r="B524" s="35">
        <f>'Profit &amp; Loss'!B524</f>
        <v>0</v>
      </c>
      <c r="C524" s="36"/>
      <c r="D524" s="33"/>
      <c r="E524" s="33"/>
      <c r="F524" s="101"/>
      <c r="G524" s="102">
        <f t="shared" si="24"/>
        <v>0</v>
      </c>
      <c r="H524" s="103" t="str">
        <f t="shared" si="28"/>
        <v>0 tubes and 0 shuttles</v>
      </c>
      <c r="I524" s="36">
        <f t="shared" si="25"/>
        <v>0</v>
      </c>
      <c r="J524" s="104" t="str">
        <f t="shared" si="29"/>
        <v>0 tubes and 0 shuttles</v>
      </c>
      <c r="K524" s="36">
        <f t="shared" si="26"/>
        <v>0</v>
      </c>
      <c r="L524" s="103" t="str">
        <f t="shared" si="30"/>
        <v>0 tubes and 0 shuttles</v>
      </c>
      <c r="M524" s="105">
        <f t="shared" si="27"/>
        <v>0</v>
      </c>
      <c r="N524" s="103" t="str">
        <f t="shared" si="31"/>
        <v>0 tubes and 0 shuttles</v>
      </c>
      <c r="O524" s="36">
        <f t="shared" si="32"/>
        <v>0</v>
      </c>
      <c r="P524" s="103" t="str">
        <f t="shared" si="33"/>
        <v>0 tubes and 0 shuttles</v>
      </c>
    </row>
    <row r="525" spans="1:16" ht="12.5" x14ac:dyDescent="0.25">
      <c r="A525" s="32">
        <f>'Profit &amp; Loss'!A525</f>
        <v>0</v>
      </c>
      <c r="B525" s="35">
        <f>'Profit &amp; Loss'!B525</f>
        <v>0</v>
      </c>
      <c r="C525" s="36"/>
      <c r="D525" s="33"/>
      <c r="E525" s="33"/>
      <c r="F525" s="101"/>
      <c r="G525" s="102">
        <f t="shared" si="24"/>
        <v>0</v>
      </c>
      <c r="H525" s="103" t="str">
        <f t="shared" si="28"/>
        <v>0 tubes and 0 shuttles</v>
      </c>
      <c r="I525" s="36">
        <f t="shared" si="25"/>
        <v>0</v>
      </c>
      <c r="J525" s="104" t="str">
        <f t="shared" si="29"/>
        <v>0 tubes and 0 shuttles</v>
      </c>
      <c r="K525" s="36">
        <f t="shared" si="26"/>
        <v>0</v>
      </c>
      <c r="L525" s="103" t="str">
        <f t="shared" si="30"/>
        <v>0 tubes and 0 shuttles</v>
      </c>
      <c r="M525" s="105">
        <f t="shared" si="27"/>
        <v>0</v>
      </c>
      <c r="N525" s="103" t="str">
        <f t="shared" si="31"/>
        <v>0 tubes and 0 shuttles</v>
      </c>
      <c r="O525" s="36">
        <f t="shared" si="32"/>
        <v>0</v>
      </c>
      <c r="P525" s="103" t="str">
        <f t="shared" si="33"/>
        <v>0 tubes and 0 shuttles</v>
      </c>
    </row>
    <row r="526" spans="1:16" ht="12.5" x14ac:dyDescent="0.25">
      <c r="A526" s="32">
        <f>'Profit &amp; Loss'!A526</f>
        <v>0</v>
      </c>
      <c r="B526" s="35">
        <f>'Profit &amp; Loss'!B526</f>
        <v>0</v>
      </c>
      <c r="C526" s="36"/>
      <c r="D526" s="33"/>
      <c r="E526" s="33"/>
      <c r="F526" s="101"/>
      <c r="G526" s="102">
        <f t="shared" si="24"/>
        <v>0</v>
      </c>
      <c r="H526" s="103" t="str">
        <f t="shared" si="28"/>
        <v>0 tubes and 0 shuttles</v>
      </c>
      <c r="I526" s="36">
        <f t="shared" si="25"/>
        <v>0</v>
      </c>
      <c r="J526" s="104" t="str">
        <f t="shared" si="29"/>
        <v>0 tubes and 0 shuttles</v>
      </c>
      <c r="K526" s="36">
        <f t="shared" si="26"/>
        <v>0</v>
      </c>
      <c r="L526" s="103" t="str">
        <f t="shared" si="30"/>
        <v>0 tubes and 0 shuttles</v>
      </c>
      <c r="M526" s="105">
        <f t="shared" si="27"/>
        <v>0</v>
      </c>
      <c r="N526" s="103" t="str">
        <f t="shared" si="31"/>
        <v>0 tubes and 0 shuttles</v>
      </c>
      <c r="O526" s="36">
        <f t="shared" si="32"/>
        <v>0</v>
      </c>
      <c r="P526" s="103" t="str">
        <f t="shared" si="33"/>
        <v>0 tubes and 0 shuttles</v>
      </c>
    </row>
    <row r="527" spans="1:16" ht="12.5" x14ac:dyDescent="0.25">
      <c r="A527" s="32">
        <f>'Profit &amp; Loss'!A527</f>
        <v>0</v>
      </c>
      <c r="B527" s="35">
        <f>'Profit &amp; Loss'!B527</f>
        <v>0</v>
      </c>
      <c r="C527" s="36"/>
      <c r="D527" s="33"/>
      <c r="E527" s="33"/>
      <c r="F527" s="101"/>
      <c r="G527" s="102">
        <f t="shared" si="24"/>
        <v>0</v>
      </c>
      <c r="H527" s="103" t="str">
        <f t="shared" si="28"/>
        <v>0 tubes and 0 shuttles</v>
      </c>
      <c r="I527" s="36">
        <f t="shared" si="25"/>
        <v>0</v>
      </c>
      <c r="J527" s="104" t="str">
        <f t="shared" si="29"/>
        <v>0 tubes and 0 shuttles</v>
      </c>
      <c r="K527" s="36">
        <f t="shared" si="26"/>
        <v>0</v>
      </c>
      <c r="L527" s="103" t="str">
        <f t="shared" si="30"/>
        <v>0 tubes and 0 shuttles</v>
      </c>
      <c r="M527" s="105">
        <f t="shared" si="27"/>
        <v>0</v>
      </c>
      <c r="N527" s="103" t="str">
        <f t="shared" si="31"/>
        <v>0 tubes and 0 shuttles</v>
      </c>
      <c r="O527" s="36">
        <f t="shared" si="32"/>
        <v>0</v>
      </c>
      <c r="P527" s="103" t="str">
        <f t="shared" si="33"/>
        <v>0 tubes and 0 shuttles</v>
      </c>
    </row>
    <row r="528" spans="1:16" ht="12.5" x14ac:dyDescent="0.25">
      <c r="A528" s="32">
        <f>'Profit &amp; Loss'!A528</f>
        <v>0</v>
      </c>
      <c r="B528" s="35">
        <f>'Profit &amp; Loss'!B528</f>
        <v>0</v>
      </c>
      <c r="C528" s="36"/>
      <c r="D528" s="33"/>
      <c r="E528" s="33"/>
      <c r="F528" s="101"/>
      <c r="G528" s="102">
        <f t="shared" si="24"/>
        <v>0</v>
      </c>
      <c r="H528" s="103" t="str">
        <f t="shared" si="28"/>
        <v>0 tubes and 0 shuttles</v>
      </c>
      <c r="I528" s="36">
        <f t="shared" si="25"/>
        <v>0</v>
      </c>
      <c r="J528" s="104" t="str">
        <f t="shared" si="29"/>
        <v>0 tubes and 0 shuttles</v>
      </c>
      <c r="K528" s="36">
        <f t="shared" si="26"/>
        <v>0</v>
      </c>
      <c r="L528" s="103" t="str">
        <f t="shared" si="30"/>
        <v>0 tubes and 0 shuttles</v>
      </c>
      <c r="M528" s="105">
        <f t="shared" si="27"/>
        <v>0</v>
      </c>
      <c r="N528" s="103" t="str">
        <f t="shared" si="31"/>
        <v>0 tubes and 0 shuttles</v>
      </c>
      <c r="O528" s="36">
        <f t="shared" si="32"/>
        <v>0</v>
      </c>
      <c r="P528" s="103" t="str">
        <f t="shared" si="33"/>
        <v>0 tubes and 0 shuttles</v>
      </c>
    </row>
    <row r="529" spans="1:16" ht="12.5" x14ac:dyDescent="0.25">
      <c r="A529" s="32">
        <f>'Profit &amp; Loss'!A529</f>
        <v>0</v>
      </c>
      <c r="B529" s="35">
        <f>'Profit &amp; Loss'!B529</f>
        <v>0</v>
      </c>
      <c r="C529" s="36"/>
      <c r="D529" s="33"/>
      <c r="E529" s="33"/>
      <c r="F529" s="101"/>
      <c r="G529" s="102">
        <f t="shared" si="24"/>
        <v>0</v>
      </c>
      <c r="H529" s="103" t="str">
        <f t="shared" si="28"/>
        <v>0 tubes and 0 shuttles</v>
      </c>
      <c r="I529" s="36">
        <f t="shared" si="25"/>
        <v>0</v>
      </c>
      <c r="J529" s="104" t="str">
        <f t="shared" si="29"/>
        <v>0 tubes and 0 shuttles</v>
      </c>
      <c r="K529" s="36">
        <f t="shared" si="26"/>
        <v>0</v>
      </c>
      <c r="L529" s="103" t="str">
        <f t="shared" si="30"/>
        <v>0 tubes and 0 shuttles</v>
      </c>
      <c r="M529" s="105">
        <f t="shared" si="27"/>
        <v>0</v>
      </c>
      <c r="N529" s="103" t="str">
        <f t="shared" si="31"/>
        <v>0 tubes and 0 shuttles</v>
      </c>
      <c r="O529" s="36">
        <f t="shared" si="32"/>
        <v>0</v>
      </c>
      <c r="P529" s="103" t="str">
        <f t="shared" si="33"/>
        <v>0 tubes and 0 shuttles</v>
      </c>
    </row>
    <row r="530" spans="1:16" ht="12.5" x14ac:dyDescent="0.25">
      <c r="A530" s="32">
        <f>'Profit &amp; Loss'!A530</f>
        <v>0</v>
      </c>
      <c r="B530" s="35">
        <f>'Profit &amp; Loss'!B530</f>
        <v>0</v>
      </c>
      <c r="C530" s="36"/>
      <c r="D530" s="33"/>
      <c r="E530" s="33"/>
      <c r="F530" s="101"/>
      <c r="G530" s="102">
        <f t="shared" si="24"/>
        <v>0</v>
      </c>
      <c r="H530" s="103" t="str">
        <f t="shared" si="28"/>
        <v>0 tubes and 0 shuttles</v>
      </c>
      <c r="I530" s="36">
        <f t="shared" si="25"/>
        <v>0</v>
      </c>
      <c r="J530" s="104" t="str">
        <f t="shared" si="29"/>
        <v>0 tubes and 0 shuttles</v>
      </c>
      <c r="K530" s="36">
        <f t="shared" si="26"/>
        <v>0</v>
      </c>
      <c r="L530" s="103" t="str">
        <f t="shared" si="30"/>
        <v>0 tubes and 0 shuttles</v>
      </c>
      <c r="M530" s="105">
        <f t="shared" si="27"/>
        <v>0</v>
      </c>
      <c r="N530" s="103" t="str">
        <f t="shared" si="31"/>
        <v>0 tubes and 0 shuttles</v>
      </c>
      <c r="O530" s="36">
        <f t="shared" si="32"/>
        <v>0</v>
      </c>
      <c r="P530" s="103" t="str">
        <f t="shared" si="33"/>
        <v>0 tubes and 0 shuttles</v>
      </c>
    </row>
    <row r="531" spans="1:16" ht="12.5" x14ac:dyDescent="0.25">
      <c r="A531" s="32">
        <f>'Profit &amp; Loss'!A531</f>
        <v>0</v>
      </c>
      <c r="B531" s="35">
        <f>'Profit &amp; Loss'!B531</f>
        <v>0</v>
      </c>
      <c r="C531" s="36"/>
      <c r="D531" s="33"/>
      <c r="E531" s="33"/>
      <c r="F531" s="101"/>
      <c r="G531" s="102">
        <f t="shared" si="24"/>
        <v>0</v>
      </c>
      <c r="H531" s="103" t="str">
        <f t="shared" si="28"/>
        <v>0 tubes and 0 shuttles</v>
      </c>
      <c r="I531" s="36">
        <f t="shared" si="25"/>
        <v>0</v>
      </c>
      <c r="J531" s="104" t="str">
        <f t="shared" si="29"/>
        <v>0 tubes and 0 shuttles</v>
      </c>
      <c r="K531" s="36">
        <f t="shared" si="26"/>
        <v>0</v>
      </c>
      <c r="L531" s="103" t="str">
        <f t="shared" si="30"/>
        <v>0 tubes and 0 shuttles</v>
      </c>
      <c r="M531" s="105">
        <f t="shared" si="27"/>
        <v>0</v>
      </c>
      <c r="N531" s="103" t="str">
        <f t="shared" si="31"/>
        <v>0 tubes and 0 shuttles</v>
      </c>
      <c r="O531" s="36">
        <f t="shared" si="32"/>
        <v>0</v>
      </c>
      <c r="P531" s="103" t="str">
        <f t="shared" si="33"/>
        <v>0 tubes and 0 shuttles</v>
      </c>
    </row>
    <row r="532" spans="1:16" ht="12.5" x14ac:dyDescent="0.25">
      <c r="A532" s="32">
        <f>'Profit &amp; Loss'!A532</f>
        <v>0</v>
      </c>
      <c r="B532" s="35">
        <f>'Profit &amp; Loss'!B532</f>
        <v>0</v>
      </c>
      <c r="C532" s="36"/>
      <c r="D532" s="33"/>
      <c r="E532" s="33"/>
      <c r="F532" s="101"/>
      <c r="G532" s="102">
        <f t="shared" si="24"/>
        <v>0</v>
      </c>
      <c r="H532" s="103" t="str">
        <f t="shared" si="28"/>
        <v>0 tubes and 0 shuttles</v>
      </c>
      <c r="I532" s="36">
        <f t="shared" si="25"/>
        <v>0</v>
      </c>
      <c r="J532" s="104" t="str">
        <f t="shared" si="29"/>
        <v>0 tubes and 0 shuttles</v>
      </c>
      <c r="K532" s="36">
        <f t="shared" si="26"/>
        <v>0</v>
      </c>
      <c r="L532" s="103" t="str">
        <f t="shared" si="30"/>
        <v>0 tubes and 0 shuttles</v>
      </c>
      <c r="M532" s="105">
        <f t="shared" si="27"/>
        <v>0</v>
      </c>
      <c r="N532" s="103" t="str">
        <f t="shared" si="31"/>
        <v>0 tubes and 0 shuttles</v>
      </c>
      <c r="O532" s="36">
        <f t="shared" si="32"/>
        <v>0</v>
      </c>
      <c r="P532" s="103" t="str">
        <f t="shared" si="33"/>
        <v>0 tubes and 0 shuttles</v>
      </c>
    </row>
    <row r="533" spans="1:16" ht="12.5" x14ac:dyDescent="0.25">
      <c r="A533" s="32">
        <f>'Profit &amp; Loss'!A533</f>
        <v>0</v>
      </c>
      <c r="B533" s="35">
        <f>'Profit &amp; Loss'!B533</f>
        <v>0</v>
      </c>
      <c r="C533" s="36"/>
      <c r="D533" s="33"/>
      <c r="E533" s="33"/>
      <c r="F533" s="101"/>
      <c r="G533" s="102">
        <f t="shared" si="24"/>
        <v>0</v>
      </c>
      <c r="H533" s="103" t="str">
        <f t="shared" si="28"/>
        <v>0 tubes and 0 shuttles</v>
      </c>
      <c r="I533" s="36">
        <f t="shared" si="25"/>
        <v>0</v>
      </c>
      <c r="J533" s="104" t="str">
        <f t="shared" si="29"/>
        <v>0 tubes and 0 shuttles</v>
      </c>
      <c r="K533" s="36">
        <f t="shared" si="26"/>
        <v>0</v>
      </c>
      <c r="L533" s="103" t="str">
        <f t="shared" si="30"/>
        <v>0 tubes and 0 shuttles</v>
      </c>
      <c r="M533" s="105">
        <f t="shared" si="27"/>
        <v>0</v>
      </c>
      <c r="N533" s="103" t="str">
        <f t="shared" si="31"/>
        <v>0 tubes and 0 shuttles</v>
      </c>
      <c r="O533" s="36">
        <f t="shared" si="32"/>
        <v>0</v>
      </c>
      <c r="P533" s="103" t="str">
        <f t="shared" si="33"/>
        <v>0 tubes and 0 shuttles</v>
      </c>
    </row>
    <row r="534" spans="1:16" ht="12.5" x14ac:dyDescent="0.25">
      <c r="A534" s="32">
        <f>'Profit &amp; Loss'!A534</f>
        <v>0</v>
      </c>
      <c r="B534" s="35">
        <f>'Profit &amp; Loss'!B534</f>
        <v>0</v>
      </c>
      <c r="C534" s="36"/>
      <c r="D534" s="33"/>
      <c r="E534" s="33"/>
      <c r="F534" s="101"/>
      <c r="G534" s="102">
        <f t="shared" si="24"/>
        <v>0</v>
      </c>
      <c r="H534" s="103" t="str">
        <f t="shared" si="28"/>
        <v>0 tubes and 0 shuttles</v>
      </c>
      <c r="I534" s="36">
        <f t="shared" si="25"/>
        <v>0</v>
      </c>
      <c r="J534" s="104" t="str">
        <f t="shared" si="29"/>
        <v>0 tubes and 0 shuttles</v>
      </c>
      <c r="K534" s="36">
        <f t="shared" si="26"/>
        <v>0</v>
      </c>
      <c r="L534" s="103" t="str">
        <f t="shared" si="30"/>
        <v>0 tubes and 0 shuttles</v>
      </c>
      <c r="M534" s="105">
        <f t="shared" si="27"/>
        <v>0</v>
      </c>
      <c r="N534" s="103" t="str">
        <f t="shared" si="31"/>
        <v>0 tubes and 0 shuttles</v>
      </c>
      <c r="O534" s="36">
        <f t="shared" si="32"/>
        <v>0</v>
      </c>
      <c r="P534" s="103" t="str">
        <f t="shared" si="33"/>
        <v>0 tubes and 0 shuttles</v>
      </c>
    </row>
    <row r="535" spans="1:16" ht="12.5" x14ac:dyDescent="0.25">
      <c r="A535" s="32">
        <f>'Profit &amp; Loss'!A535</f>
        <v>0</v>
      </c>
      <c r="B535" s="35">
        <f>'Profit &amp; Loss'!B535</f>
        <v>0</v>
      </c>
      <c r="C535" s="36"/>
      <c r="D535" s="33"/>
      <c r="E535" s="33"/>
      <c r="F535" s="101"/>
      <c r="G535" s="102">
        <f t="shared" si="24"/>
        <v>0</v>
      </c>
      <c r="H535" s="103" t="str">
        <f t="shared" si="28"/>
        <v>0 tubes and 0 shuttles</v>
      </c>
      <c r="I535" s="36">
        <f t="shared" si="25"/>
        <v>0</v>
      </c>
      <c r="J535" s="104" t="str">
        <f t="shared" si="29"/>
        <v>0 tubes and 0 shuttles</v>
      </c>
      <c r="K535" s="36">
        <f t="shared" si="26"/>
        <v>0</v>
      </c>
      <c r="L535" s="103" t="str">
        <f t="shared" si="30"/>
        <v>0 tubes and 0 shuttles</v>
      </c>
      <c r="M535" s="105">
        <f t="shared" si="27"/>
        <v>0</v>
      </c>
      <c r="N535" s="103" t="str">
        <f t="shared" si="31"/>
        <v>0 tubes and 0 shuttles</v>
      </c>
      <c r="O535" s="36">
        <f t="shared" si="32"/>
        <v>0</v>
      </c>
      <c r="P535" s="103" t="str">
        <f t="shared" si="33"/>
        <v>0 tubes and 0 shuttles</v>
      </c>
    </row>
    <row r="536" spans="1:16" ht="12.5" x14ac:dyDescent="0.25">
      <c r="A536" s="32">
        <f>'Profit &amp; Loss'!A536</f>
        <v>0</v>
      </c>
      <c r="B536" s="35">
        <f>'Profit &amp; Loss'!B536</f>
        <v>0</v>
      </c>
      <c r="C536" s="36"/>
      <c r="D536" s="33"/>
      <c r="E536" s="33"/>
      <c r="F536" s="101"/>
      <c r="G536" s="102">
        <f t="shared" si="24"/>
        <v>0</v>
      </c>
      <c r="H536" s="103" t="str">
        <f t="shared" si="28"/>
        <v>0 tubes and 0 shuttles</v>
      </c>
      <c r="I536" s="36">
        <f t="shared" si="25"/>
        <v>0</v>
      </c>
      <c r="J536" s="104" t="str">
        <f t="shared" si="29"/>
        <v>0 tubes and 0 shuttles</v>
      </c>
      <c r="K536" s="36">
        <f t="shared" si="26"/>
        <v>0</v>
      </c>
      <c r="L536" s="103" t="str">
        <f t="shared" si="30"/>
        <v>0 tubes and 0 shuttles</v>
      </c>
      <c r="M536" s="105">
        <f t="shared" si="27"/>
        <v>0</v>
      </c>
      <c r="N536" s="103" t="str">
        <f t="shared" si="31"/>
        <v>0 tubes and 0 shuttles</v>
      </c>
      <c r="O536" s="36">
        <f t="shared" si="32"/>
        <v>0</v>
      </c>
      <c r="P536" s="103" t="str">
        <f t="shared" si="33"/>
        <v>0 tubes and 0 shuttles</v>
      </c>
    </row>
    <row r="537" spans="1:16" ht="12.5" x14ac:dyDescent="0.25">
      <c r="A537" s="32">
        <f>'Profit &amp; Loss'!A537</f>
        <v>0</v>
      </c>
      <c r="B537" s="35">
        <f>'Profit &amp; Loss'!B537</f>
        <v>0</v>
      </c>
      <c r="C537" s="36"/>
      <c r="D537" s="33"/>
      <c r="E537" s="33"/>
      <c r="F537" s="101"/>
      <c r="G537" s="102">
        <f t="shared" si="24"/>
        <v>0</v>
      </c>
      <c r="H537" s="103" t="str">
        <f t="shared" si="28"/>
        <v>0 tubes and 0 shuttles</v>
      </c>
      <c r="I537" s="36">
        <f t="shared" si="25"/>
        <v>0</v>
      </c>
      <c r="J537" s="104" t="str">
        <f t="shared" si="29"/>
        <v>0 tubes and 0 shuttles</v>
      </c>
      <c r="K537" s="36">
        <f t="shared" si="26"/>
        <v>0</v>
      </c>
      <c r="L537" s="103" t="str">
        <f t="shared" si="30"/>
        <v>0 tubes and 0 shuttles</v>
      </c>
      <c r="M537" s="105">
        <f t="shared" si="27"/>
        <v>0</v>
      </c>
      <c r="N537" s="103" t="str">
        <f t="shared" si="31"/>
        <v>0 tubes and 0 shuttles</v>
      </c>
      <c r="O537" s="36">
        <f t="shared" si="32"/>
        <v>0</v>
      </c>
      <c r="P537" s="103" t="str">
        <f t="shared" si="33"/>
        <v>0 tubes and 0 shuttles</v>
      </c>
    </row>
    <row r="538" spans="1:16" ht="12.5" x14ac:dyDescent="0.25">
      <c r="A538" s="32">
        <f>'Profit &amp; Loss'!A538</f>
        <v>0</v>
      </c>
      <c r="B538" s="35">
        <f>'Profit &amp; Loss'!B538</f>
        <v>0</v>
      </c>
      <c r="C538" s="36"/>
      <c r="D538" s="33"/>
      <c r="E538" s="33"/>
      <c r="F538" s="101"/>
      <c r="G538" s="102">
        <f t="shared" si="24"/>
        <v>0</v>
      </c>
      <c r="H538" s="103" t="str">
        <f t="shared" si="28"/>
        <v>0 tubes and 0 shuttles</v>
      </c>
      <c r="I538" s="36">
        <f t="shared" si="25"/>
        <v>0</v>
      </c>
      <c r="J538" s="104" t="str">
        <f t="shared" si="29"/>
        <v>0 tubes and 0 shuttles</v>
      </c>
      <c r="K538" s="36">
        <f t="shared" si="26"/>
        <v>0</v>
      </c>
      <c r="L538" s="103" t="str">
        <f t="shared" si="30"/>
        <v>0 tubes and 0 shuttles</v>
      </c>
      <c r="M538" s="105">
        <f t="shared" si="27"/>
        <v>0</v>
      </c>
      <c r="N538" s="103" t="str">
        <f t="shared" si="31"/>
        <v>0 tubes and 0 shuttles</v>
      </c>
      <c r="O538" s="36">
        <f t="shared" si="32"/>
        <v>0</v>
      </c>
      <c r="P538" s="103" t="str">
        <f t="shared" si="33"/>
        <v>0 tubes and 0 shuttles</v>
      </c>
    </row>
    <row r="539" spans="1:16" ht="12.5" x14ac:dyDescent="0.25">
      <c r="A539" s="32">
        <f>'Profit &amp; Loss'!A539</f>
        <v>0</v>
      </c>
      <c r="B539" s="35">
        <f>'Profit &amp; Loss'!B539</f>
        <v>0</v>
      </c>
      <c r="C539" s="36"/>
      <c r="D539" s="33"/>
      <c r="E539" s="33"/>
      <c r="F539" s="101"/>
      <c r="G539" s="102">
        <f t="shared" si="24"/>
        <v>0</v>
      </c>
      <c r="H539" s="103" t="str">
        <f t="shared" si="28"/>
        <v>0 tubes and 0 shuttles</v>
      </c>
      <c r="I539" s="36">
        <f t="shared" si="25"/>
        <v>0</v>
      </c>
      <c r="J539" s="104" t="str">
        <f t="shared" si="29"/>
        <v>0 tubes and 0 shuttles</v>
      </c>
      <c r="K539" s="36">
        <f t="shared" si="26"/>
        <v>0</v>
      </c>
      <c r="L539" s="103" t="str">
        <f t="shared" si="30"/>
        <v>0 tubes and 0 shuttles</v>
      </c>
      <c r="M539" s="105">
        <f t="shared" si="27"/>
        <v>0</v>
      </c>
      <c r="N539" s="103" t="str">
        <f t="shared" si="31"/>
        <v>0 tubes and 0 shuttles</v>
      </c>
      <c r="O539" s="36">
        <f t="shared" si="32"/>
        <v>0</v>
      </c>
      <c r="P539" s="103" t="str">
        <f t="shared" si="33"/>
        <v>0 tubes and 0 shuttles</v>
      </c>
    </row>
    <row r="540" spans="1:16" ht="12.5" x14ac:dyDescent="0.25">
      <c r="A540" s="32">
        <f>'Profit &amp; Loss'!A540</f>
        <v>0</v>
      </c>
      <c r="B540" s="35">
        <f>'Profit &amp; Loss'!B540</f>
        <v>0</v>
      </c>
      <c r="C540" s="36"/>
      <c r="D540" s="33"/>
      <c r="E540" s="33"/>
      <c r="F540" s="101"/>
      <c r="G540" s="102">
        <f t="shared" si="24"/>
        <v>0</v>
      </c>
      <c r="H540" s="103" t="str">
        <f t="shared" si="28"/>
        <v>0 tubes and 0 shuttles</v>
      </c>
      <c r="I540" s="36">
        <f t="shared" si="25"/>
        <v>0</v>
      </c>
      <c r="J540" s="104" t="str">
        <f t="shared" si="29"/>
        <v>0 tubes and 0 shuttles</v>
      </c>
      <c r="K540" s="36">
        <f t="shared" si="26"/>
        <v>0</v>
      </c>
      <c r="L540" s="103" t="str">
        <f t="shared" si="30"/>
        <v>0 tubes and 0 shuttles</v>
      </c>
      <c r="M540" s="105">
        <f t="shared" si="27"/>
        <v>0</v>
      </c>
      <c r="N540" s="103" t="str">
        <f t="shared" si="31"/>
        <v>0 tubes and 0 shuttles</v>
      </c>
      <c r="O540" s="36">
        <f t="shared" si="32"/>
        <v>0</v>
      </c>
      <c r="P540" s="103" t="str">
        <f t="shared" si="33"/>
        <v>0 tubes and 0 shuttles</v>
      </c>
    </row>
    <row r="541" spans="1:16" ht="12.5" x14ac:dyDescent="0.25">
      <c r="A541" s="32">
        <f>'Profit &amp; Loss'!A541</f>
        <v>0</v>
      </c>
      <c r="B541" s="35">
        <f>'Profit &amp; Loss'!B541</f>
        <v>0</v>
      </c>
      <c r="C541" s="36"/>
      <c r="D541" s="33"/>
      <c r="E541" s="33"/>
      <c r="F541" s="101"/>
      <c r="G541" s="102">
        <f t="shared" si="24"/>
        <v>0</v>
      </c>
      <c r="H541" s="103" t="str">
        <f t="shared" si="28"/>
        <v>0 tubes and 0 shuttles</v>
      </c>
      <c r="I541" s="36">
        <f t="shared" si="25"/>
        <v>0</v>
      </c>
      <c r="J541" s="104" t="str">
        <f t="shared" si="29"/>
        <v>0 tubes and 0 shuttles</v>
      </c>
      <c r="K541" s="36">
        <f t="shared" si="26"/>
        <v>0</v>
      </c>
      <c r="L541" s="103" t="str">
        <f t="shared" si="30"/>
        <v>0 tubes and 0 shuttles</v>
      </c>
      <c r="M541" s="105">
        <f t="shared" si="27"/>
        <v>0</v>
      </c>
      <c r="N541" s="103" t="str">
        <f t="shared" si="31"/>
        <v>0 tubes and 0 shuttles</v>
      </c>
      <c r="O541" s="36">
        <f t="shared" si="32"/>
        <v>0</v>
      </c>
      <c r="P541" s="103" t="str">
        <f t="shared" si="33"/>
        <v>0 tubes and 0 shuttles</v>
      </c>
    </row>
    <row r="542" spans="1:16" ht="12.5" x14ac:dyDescent="0.25">
      <c r="A542" s="32">
        <f>'Profit &amp; Loss'!A542</f>
        <v>0</v>
      </c>
      <c r="B542" s="35">
        <f>'Profit &amp; Loss'!B542</f>
        <v>0</v>
      </c>
      <c r="C542" s="36"/>
      <c r="D542" s="33"/>
      <c r="E542" s="33"/>
      <c r="F542" s="101"/>
      <c r="G542" s="102">
        <f t="shared" si="24"/>
        <v>0</v>
      </c>
      <c r="H542" s="103" t="str">
        <f t="shared" si="28"/>
        <v>0 tubes and 0 shuttles</v>
      </c>
      <c r="I542" s="36">
        <f t="shared" si="25"/>
        <v>0</v>
      </c>
      <c r="J542" s="104" t="str">
        <f t="shared" si="29"/>
        <v>0 tubes and 0 shuttles</v>
      </c>
      <c r="K542" s="36">
        <f t="shared" si="26"/>
        <v>0</v>
      </c>
      <c r="L542" s="103" t="str">
        <f t="shared" si="30"/>
        <v>0 tubes and 0 shuttles</v>
      </c>
      <c r="M542" s="105">
        <f t="shared" si="27"/>
        <v>0</v>
      </c>
      <c r="N542" s="103" t="str">
        <f t="shared" si="31"/>
        <v>0 tubes and 0 shuttles</v>
      </c>
      <c r="O542" s="36">
        <f t="shared" si="32"/>
        <v>0</v>
      </c>
      <c r="P542" s="103" t="str">
        <f t="shared" si="33"/>
        <v>0 tubes and 0 shuttles</v>
      </c>
    </row>
    <row r="543" spans="1:16" ht="12.5" x14ac:dyDescent="0.25">
      <c r="A543" s="32">
        <f>'Profit &amp; Loss'!A543</f>
        <v>0</v>
      </c>
      <c r="B543" s="35">
        <f>'Profit &amp; Loss'!B543</f>
        <v>0</v>
      </c>
      <c r="C543" s="36"/>
      <c r="D543" s="33"/>
      <c r="E543" s="33"/>
      <c r="F543" s="101"/>
      <c r="G543" s="102">
        <f t="shared" si="24"/>
        <v>0</v>
      </c>
      <c r="H543" s="103" t="str">
        <f t="shared" si="28"/>
        <v>0 tubes and 0 shuttles</v>
      </c>
      <c r="I543" s="36">
        <f t="shared" si="25"/>
        <v>0</v>
      </c>
      <c r="J543" s="104" t="str">
        <f t="shared" si="29"/>
        <v>0 tubes and 0 shuttles</v>
      </c>
      <c r="K543" s="36">
        <f t="shared" si="26"/>
        <v>0</v>
      </c>
      <c r="L543" s="103" t="str">
        <f t="shared" si="30"/>
        <v>0 tubes and 0 shuttles</v>
      </c>
      <c r="M543" s="105">
        <f t="shared" si="27"/>
        <v>0</v>
      </c>
      <c r="N543" s="103" t="str">
        <f t="shared" si="31"/>
        <v>0 tubes and 0 shuttles</v>
      </c>
      <c r="O543" s="36">
        <f t="shared" si="32"/>
        <v>0</v>
      </c>
      <c r="P543" s="103" t="str">
        <f t="shared" si="33"/>
        <v>0 tubes and 0 shuttles</v>
      </c>
    </row>
    <row r="544" spans="1:16" ht="12.5" x14ac:dyDescent="0.25">
      <c r="A544" s="32">
        <f>'Profit &amp; Loss'!A544</f>
        <v>0</v>
      </c>
      <c r="B544" s="35">
        <f>'Profit &amp; Loss'!B544</f>
        <v>0</v>
      </c>
      <c r="C544" s="36"/>
      <c r="D544" s="33"/>
      <c r="E544" s="33"/>
      <c r="F544" s="101"/>
      <c r="G544" s="102">
        <f t="shared" si="24"/>
        <v>0</v>
      </c>
      <c r="H544" s="103" t="str">
        <f t="shared" si="28"/>
        <v>0 tubes and 0 shuttles</v>
      </c>
      <c r="I544" s="36">
        <f t="shared" si="25"/>
        <v>0</v>
      </c>
      <c r="J544" s="104" t="str">
        <f t="shared" si="29"/>
        <v>0 tubes and 0 shuttles</v>
      </c>
      <c r="K544" s="36">
        <f t="shared" si="26"/>
        <v>0</v>
      </c>
      <c r="L544" s="103" t="str">
        <f t="shared" si="30"/>
        <v>0 tubes and 0 shuttles</v>
      </c>
      <c r="M544" s="105">
        <f t="shared" si="27"/>
        <v>0</v>
      </c>
      <c r="N544" s="103" t="str">
        <f t="shared" si="31"/>
        <v>0 tubes and 0 shuttles</v>
      </c>
      <c r="O544" s="36">
        <f t="shared" si="32"/>
        <v>0</v>
      </c>
      <c r="P544" s="103" t="str">
        <f t="shared" si="33"/>
        <v>0 tubes and 0 shuttles</v>
      </c>
    </row>
    <row r="545" spans="1:16" ht="12.5" x14ac:dyDescent="0.25">
      <c r="A545" s="32">
        <f>'Profit &amp; Loss'!A545</f>
        <v>0</v>
      </c>
      <c r="B545" s="35">
        <f>'Profit &amp; Loss'!B545</f>
        <v>0</v>
      </c>
      <c r="C545" s="36"/>
      <c r="D545" s="33"/>
      <c r="E545" s="33"/>
      <c r="F545" s="101"/>
      <c r="G545" s="102">
        <f t="shared" si="24"/>
        <v>0</v>
      </c>
      <c r="H545" s="103" t="str">
        <f t="shared" si="28"/>
        <v>0 tubes and 0 shuttles</v>
      </c>
      <c r="I545" s="36">
        <f t="shared" si="25"/>
        <v>0</v>
      </c>
      <c r="J545" s="104" t="str">
        <f t="shared" si="29"/>
        <v>0 tubes and 0 shuttles</v>
      </c>
      <c r="K545" s="36">
        <f t="shared" si="26"/>
        <v>0</v>
      </c>
      <c r="L545" s="103" t="str">
        <f t="shared" si="30"/>
        <v>0 tubes and 0 shuttles</v>
      </c>
      <c r="M545" s="105">
        <f t="shared" si="27"/>
        <v>0</v>
      </c>
      <c r="N545" s="103" t="str">
        <f t="shared" si="31"/>
        <v>0 tubes and 0 shuttles</v>
      </c>
      <c r="O545" s="36">
        <f t="shared" si="32"/>
        <v>0</v>
      </c>
      <c r="P545" s="103" t="str">
        <f t="shared" si="33"/>
        <v>0 tubes and 0 shuttles</v>
      </c>
    </row>
    <row r="546" spans="1:16" ht="12.5" x14ac:dyDescent="0.25">
      <c r="A546" s="32">
        <f>'Profit &amp; Loss'!A546</f>
        <v>0</v>
      </c>
      <c r="B546" s="35">
        <f>'Profit &amp; Loss'!B546</f>
        <v>0</v>
      </c>
      <c r="C546" s="36"/>
      <c r="D546" s="33"/>
      <c r="E546" s="33"/>
      <c r="F546" s="101"/>
      <c r="G546" s="102">
        <f t="shared" si="24"/>
        <v>0</v>
      </c>
      <c r="H546" s="103" t="str">
        <f t="shared" si="28"/>
        <v>0 tubes and 0 shuttles</v>
      </c>
      <c r="I546" s="36">
        <f t="shared" si="25"/>
        <v>0</v>
      </c>
      <c r="J546" s="104" t="str">
        <f t="shared" si="29"/>
        <v>0 tubes and 0 shuttles</v>
      </c>
      <c r="K546" s="36">
        <f t="shared" si="26"/>
        <v>0</v>
      </c>
      <c r="L546" s="103" t="str">
        <f t="shared" si="30"/>
        <v>0 tubes and 0 shuttles</v>
      </c>
      <c r="M546" s="105">
        <f t="shared" si="27"/>
        <v>0</v>
      </c>
      <c r="N546" s="103" t="str">
        <f t="shared" si="31"/>
        <v>0 tubes and 0 shuttles</v>
      </c>
      <c r="O546" s="36">
        <f t="shared" si="32"/>
        <v>0</v>
      </c>
      <c r="P546" s="103" t="str">
        <f t="shared" si="33"/>
        <v>0 tubes and 0 shuttles</v>
      </c>
    </row>
    <row r="547" spans="1:16" ht="12.5" x14ac:dyDescent="0.25">
      <c r="A547" s="32">
        <f>'Profit &amp; Loss'!A547</f>
        <v>0</v>
      </c>
      <c r="B547" s="35">
        <f>'Profit &amp; Loss'!B547</f>
        <v>0</v>
      </c>
      <c r="C547" s="36"/>
      <c r="D547" s="33"/>
      <c r="E547" s="33"/>
      <c r="F547" s="101"/>
      <c r="G547" s="102">
        <f t="shared" si="24"/>
        <v>0</v>
      </c>
      <c r="H547" s="103" t="str">
        <f t="shared" si="28"/>
        <v>0 tubes and 0 shuttles</v>
      </c>
      <c r="I547" s="36">
        <f t="shared" si="25"/>
        <v>0</v>
      </c>
      <c r="J547" s="104" t="str">
        <f t="shared" si="29"/>
        <v>0 tubes and 0 shuttles</v>
      </c>
      <c r="K547" s="36">
        <f t="shared" si="26"/>
        <v>0</v>
      </c>
      <c r="L547" s="103" t="str">
        <f t="shared" si="30"/>
        <v>0 tubes and 0 shuttles</v>
      </c>
      <c r="M547" s="105">
        <f t="shared" si="27"/>
        <v>0</v>
      </c>
      <c r="N547" s="103" t="str">
        <f t="shared" si="31"/>
        <v>0 tubes and 0 shuttles</v>
      </c>
      <c r="O547" s="36">
        <f t="shared" si="32"/>
        <v>0</v>
      </c>
      <c r="P547" s="103" t="str">
        <f t="shared" si="33"/>
        <v>0 tubes and 0 shuttles</v>
      </c>
    </row>
    <row r="548" spans="1:16" ht="12.5" x14ac:dyDescent="0.25">
      <c r="A548" s="32">
        <f>'Profit &amp; Loss'!A548</f>
        <v>0</v>
      </c>
      <c r="B548" s="35">
        <f>'Profit &amp; Loss'!B548</f>
        <v>0</v>
      </c>
      <c r="C548" s="36"/>
      <c r="D548" s="33"/>
      <c r="E548" s="33"/>
      <c r="F548" s="101"/>
      <c r="G548" s="102">
        <f t="shared" si="24"/>
        <v>0</v>
      </c>
      <c r="H548" s="103" t="str">
        <f t="shared" si="28"/>
        <v>0 tubes and 0 shuttles</v>
      </c>
      <c r="I548" s="36">
        <f t="shared" si="25"/>
        <v>0</v>
      </c>
      <c r="J548" s="104" t="str">
        <f t="shared" si="29"/>
        <v>0 tubes and 0 shuttles</v>
      </c>
      <c r="K548" s="36">
        <f t="shared" si="26"/>
        <v>0</v>
      </c>
      <c r="L548" s="103" t="str">
        <f t="shared" si="30"/>
        <v>0 tubes and 0 shuttles</v>
      </c>
      <c r="M548" s="105">
        <f t="shared" si="27"/>
        <v>0</v>
      </c>
      <c r="N548" s="103" t="str">
        <f t="shared" si="31"/>
        <v>0 tubes and 0 shuttles</v>
      </c>
      <c r="O548" s="36">
        <f t="shared" si="32"/>
        <v>0</v>
      </c>
      <c r="P548" s="103" t="str">
        <f t="shared" si="33"/>
        <v>0 tubes and 0 shuttles</v>
      </c>
    </row>
    <row r="549" spans="1:16" ht="12.5" x14ac:dyDescent="0.25">
      <c r="A549" s="32">
        <f>'Profit &amp; Loss'!A549</f>
        <v>0</v>
      </c>
      <c r="B549" s="35">
        <f>'Profit &amp; Loss'!B549</f>
        <v>0</v>
      </c>
      <c r="C549" s="36"/>
      <c r="D549" s="33"/>
      <c r="E549" s="33"/>
      <c r="F549" s="101"/>
      <c r="G549" s="102">
        <f t="shared" ref="G549:G803" si="34">IF(C549=" ",G548,G548-C549)</f>
        <v>0</v>
      </c>
      <c r="H549" s="103" t="str">
        <f t="shared" si="28"/>
        <v>0 tubes and 0 shuttles</v>
      </c>
      <c r="I549" s="36">
        <f t="shared" ref="I549:I803" si="35">IF(D549=" ",I548,I548-D549)</f>
        <v>0</v>
      </c>
      <c r="J549" s="104" t="str">
        <f t="shared" si="29"/>
        <v>0 tubes and 0 shuttles</v>
      </c>
      <c r="K549" s="36">
        <f t="shared" ref="K549:K803" si="36">IF(E549=" ",K548,K548-E549)</f>
        <v>0</v>
      </c>
      <c r="L549" s="103" t="str">
        <f t="shared" si="30"/>
        <v>0 tubes and 0 shuttles</v>
      </c>
      <c r="M549" s="105">
        <f t="shared" ref="M549:M803" si="37">IF(F549=" ",M548,M548-F549)</f>
        <v>0</v>
      </c>
      <c r="N549" s="103" t="str">
        <f t="shared" si="31"/>
        <v>0 tubes and 0 shuttles</v>
      </c>
      <c r="O549" s="36">
        <f t="shared" si="32"/>
        <v>0</v>
      </c>
      <c r="P549" s="103" t="str">
        <f t="shared" si="33"/>
        <v>0 tubes and 0 shuttles</v>
      </c>
    </row>
    <row r="550" spans="1:16" ht="12.5" x14ac:dyDescent="0.25">
      <c r="A550" s="32">
        <f>'Profit &amp; Loss'!A550</f>
        <v>0</v>
      </c>
      <c r="B550" s="35">
        <f>'Profit &amp; Loss'!B550</f>
        <v>0</v>
      </c>
      <c r="C550" s="36"/>
      <c r="D550" s="33"/>
      <c r="E550" s="33"/>
      <c r="F550" s="101"/>
      <c r="G550" s="102">
        <f t="shared" si="34"/>
        <v>0</v>
      </c>
      <c r="H550" s="103" t="str">
        <f t="shared" si="28"/>
        <v>0 tubes and 0 shuttles</v>
      </c>
      <c r="I550" s="36">
        <f t="shared" si="35"/>
        <v>0</v>
      </c>
      <c r="J550" s="104" t="str">
        <f t="shared" si="29"/>
        <v>0 tubes and 0 shuttles</v>
      </c>
      <c r="K550" s="36">
        <f t="shared" si="36"/>
        <v>0</v>
      </c>
      <c r="L550" s="103" t="str">
        <f t="shared" si="30"/>
        <v>0 tubes and 0 shuttles</v>
      </c>
      <c r="M550" s="105">
        <f t="shared" si="37"/>
        <v>0</v>
      </c>
      <c r="N550" s="103" t="str">
        <f t="shared" si="31"/>
        <v>0 tubes and 0 shuttles</v>
      </c>
      <c r="O550" s="36">
        <f t="shared" si="32"/>
        <v>0</v>
      </c>
      <c r="P550" s="103" t="str">
        <f t="shared" si="33"/>
        <v>0 tubes and 0 shuttles</v>
      </c>
    </row>
    <row r="551" spans="1:16" ht="12.5" x14ac:dyDescent="0.25">
      <c r="A551" s="32">
        <f>'Profit &amp; Loss'!A551</f>
        <v>0</v>
      </c>
      <c r="B551" s="35">
        <f>'Profit &amp; Loss'!B551</f>
        <v>0</v>
      </c>
      <c r="C551" s="36"/>
      <c r="D551" s="33"/>
      <c r="E551" s="33"/>
      <c r="F551" s="101"/>
      <c r="G551" s="102">
        <f t="shared" si="34"/>
        <v>0</v>
      </c>
      <c r="H551" s="103" t="str">
        <f t="shared" si="28"/>
        <v>0 tubes and 0 shuttles</v>
      </c>
      <c r="I551" s="36">
        <f t="shared" si="35"/>
        <v>0</v>
      </c>
      <c r="J551" s="104" t="str">
        <f t="shared" si="29"/>
        <v>0 tubes and 0 shuttles</v>
      </c>
      <c r="K551" s="36">
        <f t="shared" si="36"/>
        <v>0</v>
      </c>
      <c r="L551" s="103" t="str">
        <f t="shared" si="30"/>
        <v>0 tubes and 0 shuttles</v>
      </c>
      <c r="M551" s="105">
        <f t="shared" si="37"/>
        <v>0</v>
      </c>
      <c r="N551" s="103" t="str">
        <f t="shared" si="31"/>
        <v>0 tubes and 0 shuttles</v>
      </c>
      <c r="O551" s="36">
        <f t="shared" si="32"/>
        <v>0</v>
      </c>
      <c r="P551" s="103" t="str">
        <f t="shared" si="33"/>
        <v>0 tubes and 0 shuttles</v>
      </c>
    </row>
    <row r="552" spans="1:16" ht="12.5" x14ac:dyDescent="0.25">
      <c r="A552" s="32">
        <f>'Profit &amp; Loss'!A552</f>
        <v>0</v>
      </c>
      <c r="B552" s="35">
        <f>'Profit &amp; Loss'!B552</f>
        <v>0</v>
      </c>
      <c r="C552" s="36"/>
      <c r="D552" s="33"/>
      <c r="E552" s="33"/>
      <c r="F552" s="101"/>
      <c r="G552" s="102">
        <f t="shared" si="34"/>
        <v>0</v>
      </c>
      <c r="H552" s="103" t="str">
        <f t="shared" si="28"/>
        <v>0 tubes and 0 shuttles</v>
      </c>
      <c r="I552" s="36">
        <f t="shared" si="35"/>
        <v>0</v>
      </c>
      <c r="J552" s="104" t="str">
        <f t="shared" si="29"/>
        <v>0 tubes and 0 shuttles</v>
      </c>
      <c r="K552" s="36">
        <f t="shared" si="36"/>
        <v>0</v>
      </c>
      <c r="L552" s="103" t="str">
        <f t="shared" si="30"/>
        <v>0 tubes and 0 shuttles</v>
      </c>
      <c r="M552" s="105">
        <f t="shared" si="37"/>
        <v>0</v>
      </c>
      <c r="N552" s="103" t="str">
        <f t="shared" si="31"/>
        <v>0 tubes and 0 shuttles</v>
      </c>
      <c r="O552" s="36">
        <f t="shared" si="32"/>
        <v>0</v>
      </c>
      <c r="P552" s="103" t="str">
        <f t="shared" si="33"/>
        <v>0 tubes and 0 shuttles</v>
      </c>
    </row>
    <row r="553" spans="1:16" ht="12.5" x14ac:dyDescent="0.25">
      <c r="A553" s="32">
        <f>'Profit &amp; Loss'!A553</f>
        <v>0</v>
      </c>
      <c r="B553" s="35">
        <f>'Profit &amp; Loss'!B553</f>
        <v>0</v>
      </c>
      <c r="C553" s="36"/>
      <c r="D553" s="33"/>
      <c r="E553" s="33"/>
      <c r="F553" s="101"/>
      <c r="G553" s="102">
        <f t="shared" si="34"/>
        <v>0</v>
      </c>
      <c r="H553" s="103" t="str">
        <f t="shared" si="28"/>
        <v>0 tubes and 0 shuttles</v>
      </c>
      <c r="I553" s="36">
        <f t="shared" si="35"/>
        <v>0</v>
      </c>
      <c r="J553" s="104" t="str">
        <f t="shared" si="29"/>
        <v>0 tubes and 0 shuttles</v>
      </c>
      <c r="K553" s="36">
        <f t="shared" si="36"/>
        <v>0</v>
      </c>
      <c r="L553" s="103" t="str">
        <f t="shared" si="30"/>
        <v>0 tubes and 0 shuttles</v>
      </c>
      <c r="M553" s="105">
        <f t="shared" si="37"/>
        <v>0</v>
      </c>
      <c r="N553" s="103" t="str">
        <f t="shared" si="31"/>
        <v>0 tubes and 0 shuttles</v>
      </c>
      <c r="O553" s="36">
        <f t="shared" si="32"/>
        <v>0</v>
      </c>
      <c r="P553" s="103" t="str">
        <f t="shared" si="33"/>
        <v>0 tubes and 0 shuttles</v>
      </c>
    </row>
    <row r="554" spans="1:16" ht="12.5" x14ac:dyDescent="0.25">
      <c r="A554" s="32">
        <f>'Profit &amp; Loss'!A554</f>
        <v>0</v>
      </c>
      <c r="B554" s="35">
        <f>'Profit &amp; Loss'!B554</f>
        <v>0</v>
      </c>
      <c r="C554" s="36"/>
      <c r="D554" s="33"/>
      <c r="E554" s="33"/>
      <c r="F554" s="101"/>
      <c r="G554" s="102">
        <f t="shared" si="34"/>
        <v>0</v>
      </c>
      <c r="H554" s="103" t="str">
        <f t="shared" si="28"/>
        <v>0 tubes and 0 shuttles</v>
      </c>
      <c r="I554" s="36">
        <f t="shared" si="35"/>
        <v>0</v>
      </c>
      <c r="J554" s="104" t="str">
        <f t="shared" si="29"/>
        <v>0 tubes and 0 shuttles</v>
      </c>
      <c r="K554" s="36">
        <f t="shared" si="36"/>
        <v>0</v>
      </c>
      <c r="L554" s="103" t="str">
        <f t="shared" si="30"/>
        <v>0 tubes and 0 shuttles</v>
      </c>
      <c r="M554" s="105">
        <f t="shared" si="37"/>
        <v>0</v>
      </c>
      <c r="N554" s="103" t="str">
        <f t="shared" si="31"/>
        <v>0 tubes and 0 shuttles</v>
      </c>
      <c r="O554" s="36">
        <f t="shared" si="32"/>
        <v>0</v>
      </c>
      <c r="P554" s="103" t="str">
        <f t="shared" si="33"/>
        <v>0 tubes and 0 shuttles</v>
      </c>
    </row>
    <row r="555" spans="1:16" ht="12.5" x14ac:dyDescent="0.25">
      <c r="A555" s="32">
        <f>'Profit &amp; Loss'!A555</f>
        <v>0</v>
      </c>
      <c r="B555" s="35">
        <f>'Profit &amp; Loss'!B555</f>
        <v>0</v>
      </c>
      <c r="C555" s="36"/>
      <c r="D555" s="33"/>
      <c r="E555" s="33"/>
      <c r="F555" s="101"/>
      <c r="G555" s="102">
        <f t="shared" si="34"/>
        <v>0</v>
      </c>
      <c r="H555" s="103" t="str">
        <f t="shared" si="28"/>
        <v>0 tubes and 0 shuttles</v>
      </c>
      <c r="I555" s="36">
        <f t="shared" si="35"/>
        <v>0</v>
      </c>
      <c r="J555" s="104" t="str">
        <f t="shared" si="29"/>
        <v>0 tubes and 0 shuttles</v>
      </c>
      <c r="K555" s="36">
        <f t="shared" si="36"/>
        <v>0</v>
      </c>
      <c r="L555" s="103" t="str">
        <f t="shared" si="30"/>
        <v>0 tubes and 0 shuttles</v>
      </c>
      <c r="M555" s="105">
        <f t="shared" si="37"/>
        <v>0</v>
      </c>
      <c r="N555" s="103" t="str">
        <f t="shared" si="31"/>
        <v>0 tubes and 0 shuttles</v>
      </c>
      <c r="O555" s="36">
        <f t="shared" si="32"/>
        <v>0</v>
      </c>
      <c r="P555" s="103" t="str">
        <f t="shared" si="33"/>
        <v>0 tubes and 0 shuttles</v>
      </c>
    </row>
    <row r="556" spans="1:16" ht="12.5" x14ac:dyDescent="0.25">
      <c r="A556" s="32">
        <f>'Profit &amp; Loss'!A556</f>
        <v>0</v>
      </c>
      <c r="B556" s="35">
        <f>'Profit &amp; Loss'!B556</f>
        <v>0</v>
      </c>
      <c r="C556" s="36"/>
      <c r="D556" s="33"/>
      <c r="E556" s="33"/>
      <c r="F556" s="101"/>
      <c r="G556" s="102">
        <f t="shared" si="34"/>
        <v>0</v>
      </c>
      <c r="H556" s="103" t="str">
        <f t="shared" si="28"/>
        <v>0 tubes and 0 shuttles</v>
      </c>
      <c r="I556" s="36">
        <f t="shared" si="35"/>
        <v>0</v>
      </c>
      <c r="J556" s="104" t="str">
        <f t="shared" si="29"/>
        <v>0 tubes and 0 shuttles</v>
      </c>
      <c r="K556" s="36">
        <f t="shared" si="36"/>
        <v>0</v>
      </c>
      <c r="L556" s="103" t="str">
        <f t="shared" si="30"/>
        <v>0 tubes and 0 shuttles</v>
      </c>
      <c r="M556" s="105">
        <f t="shared" si="37"/>
        <v>0</v>
      </c>
      <c r="N556" s="103" t="str">
        <f t="shared" si="31"/>
        <v>0 tubes and 0 shuttles</v>
      </c>
      <c r="O556" s="36">
        <f t="shared" si="32"/>
        <v>0</v>
      </c>
      <c r="P556" s="103" t="str">
        <f t="shared" si="33"/>
        <v>0 tubes and 0 shuttles</v>
      </c>
    </row>
    <row r="557" spans="1:16" ht="12.5" x14ac:dyDescent="0.25">
      <c r="A557" s="32">
        <f>'Profit &amp; Loss'!A557</f>
        <v>0</v>
      </c>
      <c r="B557" s="35">
        <f>'Profit &amp; Loss'!B557</f>
        <v>0</v>
      </c>
      <c r="C557" s="36"/>
      <c r="D557" s="33"/>
      <c r="E557" s="33"/>
      <c r="F557" s="101"/>
      <c r="G557" s="102">
        <f t="shared" si="34"/>
        <v>0</v>
      </c>
      <c r="H557" s="103" t="str">
        <f t="shared" si="28"/>
        <v>0 tubes and 0 shuttles</v>
      </c>
      <c r="I557" s="36">
        <f t="shared" si="35"/>
        <v>0</v>
      </c>
      <c r="J557" s="104" t="str">
        <f t="shared" si="29"/>
        <v>0 tubes and 0 shuttles</v>
      </c>
      <c r="K557" s="36">
        <f t="shared" si="36"/>
        <v>0</v>
      </c>
      <c r="L557" s="103" t="str">
        <f t="shared" si="30"/>
        <v>0 tubes and 0 shuttles</v>
      </c>
      <c r="M557" s="105">
        <f t="shared" si="37"/>
        <v>0</v>
      </c>
      <c r="N557" s="103" t="str">
        <f t="shared" si="31"/>
        <v>0 tubes and 0 shuttles</v>
      </c>
      <c r="O557" s="36">
        <f t="shared" si="32"/>
        <v>0</v>
      </c>
      <c r="P557" s="103" t="str">
        <f t="shared" si="33"/>
        <v>0 tubes and 0 shuttles</v>
      </c>
    </row>
    <row r="558" spans="1:16" ht="12.5" x14ac:dyDescent="0.25">
      <c r="A558" s="32">
        <f>'Profit &amp; Loss'!A558</f>
        <v>0</v>
      </c>
      <c r="B558" s="35">
        <f>'Profit &amp; Loss'!B558</f>
        <v>0</v>
      </c>
      <c r="C558" s="36"/>
      <c r="D558" s="33"/>
      <c r="E558" s="33"/>
      <c r="F558" s="101"/>
      <c r="G558" s="102">
        <f t="shared" si="34"/>
        <v>0</v>
      </c>
      <c r="H558" s="103" t="str">
        <f t="shared" si="28"/>
        <v>0 tubes and 0 shuttles</v>
      </c>
      <c r="I558" s="36">
        <f t="shared" si="35"/>
        <v>0</v>
      </c>
      <c r="J558" s="104" t="str">
        <f t="shared" si="29"/>
        <v>0 tubes and 0 shuttles</v>
      </c>
      <c r="K558" s="36">
        <f t="shared" si="36"/>
        <v>0</v>
      </c>
      <c r="L558" s="103" t="str">
        <f t="shared" si="30"/>
        <v>0 tubes and 0 shuttles</v>
      </c>
      <c r="M558" s="105">
        <f t="shared" si="37"/>
        <v>0</v>
      </c>
      <c r="N558" s="103" t="str">
        <f t="shared" si="31"/>
        <v>0 tubes and 0 shuttles</v>
      </c>
      <c r="O558" s="36">
        <f t="shared" si="32"/>
        <v>0</v>
      </c>
      <c r="P558" s="103" t="str">
        <f t="shared" si="33"/>
        <v>0 tubes and 0 shuttles</v>
      </c>
    </row>
    <row r="559" spans="1:16" ht="12.5" x14ac:dyDescent="0.25">
      <c r="A559" s="32">
        <f>'Profit &amp; Loss'!A559</f>
        <v>0</v>
      </c>
      <c r="B559" s="35">
        <f>'Profit &amp; Loss'!B559</f>
        <v>0</v>
      </c>
      <c r="C559" s="36"/>
      <c r="D559" s="33"/>
      <c r="E559" s="33"/>
      <c r="F559" s="101"/>
      <c r="G559" s="102">
        <f t="shared" si="34"/>
        <v>0</v>
      </c>
      <c r="H559" s="103" t="str">
        <f t="shared" si="28"/>
        <v>0 tubes and 0 shuttles</v>
      </c>
      <c r="I559" s="36">
        <f t="shared" si="35"/>
        <v>0</v>
      </c>
      <c r="J559" s="104" t="str">
        <f t="shared" si="29"/>
        <v>0 tubes and 0 shuttles</v>
      </c>
      <c r="K559" s="36">
        <f t="shared" si="36"/>
        <v>0</v>
      </c>
      <c r="L559" s="103" t="str">
        <f t="shared" si="30"/>
        <v>0 tubes and 0 shuttles</v>
      </c>
      <c r="M559" s="105">
        <f t="shared" si="37"/>
        <v>0</v>
      </c>
      <c r="N559" s="103" t="str">
        <f t="shared" si="31"/>
        <v>0 tubes and 0 shuttles</v>
      </c>
      <c r="O559" s="36">
        <f t="shared" si="32"/>
        <v>0</v>
      </c>
      <c r="P559" s="103" t="str">
        <f t="shared" si="33"/>
        <v>0 tubes and 0 shuttles</v>
      </c>
    </row>
    <row r="560" spans="1:16" ht="12.5" x14ac:dyDescent="0.25">
      <c r="A560" s="32">
        <f>'Profit &amp; Loss'!A560</f>
        <v>0</v>
      </c>
      <c r="B560" s="35">
        <f>'Profit &amp; Loss'!B560</f>
        <v>0</v>
      </c>
      <c r="C560" s="36"/>
      <c r="D560" s="33"/>
      <c r="E560" s="33"/>
      <c r="F560" s="101"/>
      <c r="G560" s="102">
        <f t="shared" si="34"/>
        <v>0</v>
      </c>
      <c r="H560" s="103" t="str">
        <f t="shared" si="28"/>
        <v>0 tubes and 0 shuttles</v>
      </c>
      <c r="I560" s="36">
        <f t="shared" si="35"/>
        <v>0</v>
      </c>
      <c r="J560" s="104" t="str">
        <f t="shared" si="29"/>
        <v>0 tubes and 0 shuttles</v>
      </c>
      <c r="K560" s="36">
        <f t="shared" si="36"/>
        <v>0</v>
      </c>
      <c r="L560" s="103" t="str">
        <f t="shared" si="30"/>
        <v>0 tubes and 0 shuttles</v>
      </c>
      <c r="M560" s="105">
        <f t="shared" si="37"/>
        <v>0</v>
      </c>
      <c r="N560" s="103" t="str">
        <f t="shared" si="31"/>
        <v>0 tubes and 0 shuttles</v>
      </c>
      <c r="O560" s="36">
        <f t="shared" si="32"/>
        <v>0</v>
      </c>
      <c r="P560" s="103" t="str">
        <f t="shared" si="33"/>
        <v>0 tubes and 0 shuttles</v>
      </c>
    </row>
    <row r="561" spans="1:16" ht="12.5" x14ac:dyDescent="0.25">
      <c r="A561" s="32">
        <f>'Profit &amp; Loss'!A561</f>
        <v>0</v>
      </c>
      <c r="B561" s="35">
        <f>'Profit &amp; Loss'!B561</f>
        <v>0</v>
      </c>
      <c r="C561" s="36"/>
      <c r="D561" s="33"/>
      <c r="E561" s="33"/>
      <c r="F561" s="101"/>
      <c r="G561" s="102">
        <f t="shared" si="34"/>
        <v>0</v>
      </c>
      <c r="H561" s="103" t="str">
        <f t="shared" si="28"/>
        <v>0 tubes and 0 shuttles</v>
      </c>
      <c r="I561" s="36">
        <f t="shared" si="35"/>
        <v>0</v>
      </c>
      <c r="J561" s="104" t="str">
        <f t="shared" si="29"/>
        <v>0 tubes and 0 shuttles</v>
      </c>
      <c r="K561" s="36">
        <f t="shared" si="36"/>
        <v>0</v>
      </c>
      <c r="L561" s="103" t="str">
        <f t="shared" si="30"/>
        <v>0 tubes and 0 shuttles</v>
      </c>
      <c r="M561" s="105">
        <f t="shared" si="37"/>
        <v>0</v>
      </c>
      <c r="N561" s="103" t="str">
        <f t="shared" si="31"/>
        <v>0 tubes and 0 shuttles</v>
      </c>
      <c r="O561" s="36">
        <f t="shared" si="32"/>
        <v>0</v>
      </c>
      <c r="P561" s="103" t="str">
        <f t="shared" si="33"/>
        <v>0 tubes and 0 shuttles</v>
      </c>
    </row>
    <row r="562" spans="1:16" ht="12.5" x14ac:dyDescent="0.25">
      <c r="A562" s="32">
        <f>'Profit &amp; Loss'!A562</f>
        <v>0</v>
      </c>
      <c r="B562" s="35">
        <f>'Profit &amp; Loss'!B562</f>
        <v>0</v>
      </c>
      <c r="C562" s="36"/>
      <c r="D562" s="33"/>
      <c r="E562" s="33"/>
      <c r="F562" s="101"/>
      <c r="G562" s="102">
        <f t="shared" si="34"/>
        <v>0</v>
      </c>
      <c r="H562" s="103" t="str">
        <f t="shared" si="28"/>
        <v>0 tubes and 0 shuttles</v>
      </c>
      <c r="I562" s="36">
        <f t="shared" si="35"/>
        <v>0</v>
      </c>
      <c r="J562" s="104" t="str">
        <f t="shared" si="29"/>
        <v>0 tubes and 0 shuttles</v>
      </c>
      <c r="K562" s="36">
        <f t="shared" si="36"/>
        <v>0</v>
      </c>
      <c r="L562" s="103" t="str">
        <f t="shared" si="30"/>
        <v>0 tubes and 0 shuttles</v>
      </c>
      <c r="M562" s="105">
        <f t="shared" si="37"/>
        <v>0</v>
      </c>
      <c r="N562" s="103" t="str">
        <f t="shared" si="31"/>
        <v>0 tubes and 0 shuttles</v>
      </c>
      <c r="O562" s="36">
        <f t="shared" si="32"/>
        <v>0</v>
      </c>
      <c r="P562" s="103" t="str">
        <f t="shared" si="33"/>
        <v>0 tubes and 0 shuttles</v>
      </c>
    </row>
    <row r="563" spans="1:16" ht="12.5" x14ac:dyDescent="0.25">
      <c r="A563" s="32">
        <f>'Profit &amp; Loss'!A563</f>
        <v>0</v>
      </c>
      <c r="B563" s="35">
        <f>'Profit &amp; Loss'!B563</f>
        <v>0</v>
      </c>
      <c r="C563" s="36"/>
      <c r="D563" s="33"/>
      <c r="E563" s="33"/>
      <c r="F563" s="101"/>
      <c r="G563" s="102">
        <f t="shared" si="34"/>
        <v>0</v>
      </c>
      <c r="H563" s="103" t="str">
        <f t="shared" si="28"/>
        <v>0 tubes and 0 shuttles</v>
      </c>
      <c r="I563" s="36">
        <f t="shared" si="35"/>
        <v>0</v>
      </c>
      <c r="J563" s="104" t="str">
        <f t="shared" si="29"/>
        <v>0 tubes and 0 shuttles</v>
      </c>
      <c r="K563" s="36">
        <f t="shared" si="36"/>
        <v>0</v>
      </c>
      <c r="L563" s="103" t="str">
        <f t="shared" si="30"/>
        <v>0 tubes and 0 shuttles</v>
      </c>
      <c r="M563" s="105">
        <f t="shared" si="37"/>
        <v>0</v>
      </c>
      <c r="N563" s="103" t="str">
        <f t="shared" si="31"/>
        <v>0 tubes and 0 shuttles</v>
      </c>
      <c r="O563" s="36">
        <f t="shared" si="32"/>
        <v>0</v>
      </c>
      <c r="P563" s="103" t="str">
        <f t="shared" si="33"/>
        <v>0 tubes and 0 shuttles</v>
      </c>
    </row>
    <row r="564" spans="1:16" ht="12.5" x14ac:dyDescent="0.25">
      <c r="A564" s="32">
        <f>'Profit &amp; Loss'!A564</f>
        <v>0</v>
      </c>
      <c r="B564" s="35">
        <f>'Profit &amp; Loss'!B564</f>
        <v>0</v>
      </c>
      <c r="C564" s="36"/>
      <c r="D564" s="33"/>
      <c r="E564" s="33"/>
      <c r="F564" s="101"/>
      <c r="G564" s="102">
        <f t="shared" si="34"/>
        <v>0</v>
      </c>
      <c r="H564" s="103" t="str">
        <f t="shared" si="28"/>
        <v>0 tubes and 0 shuttles</v>
      </c>
      <c r="I564" s="36">
        <f t="shared" si="35"/>
        <v>0</v>
      </c>
      <c r="J564" s="104" t="str">
        <f t="shared" si="29"/>
        <v>0 tubes and 0 shuttles</v>
      </c>
      <c r="K564" s="36">
        <f t="shared" si="36"/>
        <v>0</v>
      </c>
      <c r="L564" s="103" t="str">
        <f t="shared" si="30"/>
        <v>0 tubes and 0 shuttles</v>
      </c>
      <c r="M564" s="105">
        <f t="shared" si="37"/>
        <v>0</v>
      </c>
      <c r="N564" s="103" t="str">
        <f t="shared" si="31"/>
        <v>0 tubes and 0 shuttles</v>
      </c>
      <c r="O564" s="36">
        <f t="shared" si="32"/>
        <v>0</v>
      </c>
      <c r="P564" s="103" t="str">
        <f t="shared" si="33"/>
        <v>0 tubes and 0 shuttles</v>
      </c>
    </row>
    <row r="565" spans="1:16" ht="12.5" x14ac:dyDescent="0.25">
      <c r="A565" s="32">
        <f>'Profit &amp; Loss'!A565</f>
        <v>0</v>
      </c>
      <c r="B565" s="35">
        <f>'Profit &amp; Loss'!B565</f>
        <v>0</v>
      </c>
      <c r="C565" s="36"/>
      <c r="D565" s="33"/>
      <c r="E565" s="33"/>
      <c r="F565" s="101"/>
      <c r="G565" s="102">
        <f t="shared" si="34"/>
        <v>0</v>
      </c>
      <c r="H565" s="103" t="str">
        <f t="shared" si="28"/>
        <v>0 tubes and 0 shuttles</v>
      </c>
      <c r="I565" s="36">
        <f t="shared" si="35"/>
        <v>0</v>
      </c>
      <c r="J565" s="104" t="str">
        <f t="shared" si="29"/>
        <v>0 tubes and 0 shuttles</v>
      </c>
      <c r="K565" s="36">
        <f t="shared" si="36"/>
        <v>0</v>
      </c>
      <c r="L565" s="103" t="str">
        <f t="shared" si="30"/>
        <v>0 tubes and 0 shuttles</v>
      </c>
      <c r="M565" s="105">
        <f t="shared" si="37"/>
        <v>0</v>
      </c>
      <c r="N565" s="103" t="str">
        <f t="shared" si="31"/>
        <v>0 tubes and 0 shuttles</v>
      </c>
      <c r="O565" s="36">
        <f t="shared" si="32"/>
        <v>0</v>
      </c>
      <c r="P565" s="103" t="str">
        <f t="shared" si="33"/>
        <v>0 tubes and 0 shuttles</v>
      </c>
    </row>
    <row r="566" spans="1:16" ht="12.5" x14ac:dyDescent="0.25">
      <c r="A566" s="32">
        <f>'Profit &amp; Loss'!A566</f>
        <v>0</v>
      </c>
      <c r="B566" s="35">
        <f>'Profit &amp; Loss'!B566</f>
        <v>0</v>
      </c>
      <c r="C566" s="36"/>
      <c r="D566" s="33"/>
      <c r="E566" s="33"/>
      <c r="F566" s="101"/>
      <c r="G566" s="102">
        <f t="shared" si="34"/>
        <v>0</v>
      </c>
      <c r="H566" s="103" t="str">
        <f t="shared" si="28"/>
        <v>0 tubes and 0 shuttles</v>
      </c>
      <c r="I566" s="36">
        <f t="shared" si="35"/>
        <v>0</v>
      </c>
      <c r="J566" s="104" t="str">
        <f t="shared" si="29"/>
        <v>0 tubes and 0 shuttles</v>
      </c>
      <c r="K566" s="36">
        <f t="shared" si="36"/>
        <v>0</v>
      </c>
      <c r="L566" s="103" t="str">
        <f t="shared" si="30"/>
        <v>0 tubes and 0 shuttles</v>
      </c>
      <c r="M566" s="105">
        <f t="shared" si="37"/>
        <v>0</v>
      </c>
      <c r="N566" s="103" t="str">
        <f t="shared" si="31"/>
        <v>0 tubes and 0 shuttles</v>
      </c>
      <c r="O566" s="36">
        <f t="shared" si="32"/>
        <v>0</v>
      </c>
      <c r="P566" s="103" t="str">
        <f t="shared" si="33"/>
        <v>0 tubes and 0 shuttles</v>
      </c>
    </row>
    <row r="567" spans="1:16" ht="12.5" x14ac:dyDescent="0.25">
      <c r="A567" s="32">
        <f>'Profit &amp; Loss'!A567</f>
        <v>0</v>
      </c>
      <c r="B567" s="35">
        <f>'Profit &amp; Loss'!B567</f>
        <v>0</v>
      </c>
      <c r="C567" s="36"/>
      <c r="D567" s="33"/>
      <c r="E567" s="33"/>
      <c r="F567" s="101"/>
      <c r="G567" s="102">
        <f t="shared" si="34"/>
        <v>0</v>
      </c>
      <c r="H567" s="103" t="str">
        <f t="shared" si="28"/>
        <v>0 tubes and 0 shuttles</v>
      </c>
      <c r="I567" s="36">
        <f t="shared" si="35"/>
        <v>0</v>
      </c>
      <c r="J567" s="104" t="str">
        <f t="shared" si="29"/>
        <v>0 tubes and 0 shuttles</v>
      </c>
      <c r="K567" s="36">
        <f t="shared" si="36"/>
        <v>0</v>
      </c>
      <c r="L567" s="103" t="str">
        <f t="shared" si="30"/>
        <v>0 tubes and 0 shuttles</v>
      </c>
      <c r="M567" s="105">
        <f t="shared" si="37"/>
        <v>0</v>
      </c>
      <c r="N567" s="103" t="str">
        <f t="shared" si="31"/>
        <v>0 tubes and 0 shuttles</v>
      </c>
      <c r="O567" s="36">
        <f t="shared" si="32"/>
        <v>0</v>
      </c>
      <c r="P567" s="103" t="str">
        <f t="shared" si="33"/>
        <v>0 tubes and 0 shuttles</v>
      </c>
    </row>
    <row r="568" spans="1:16" ht="12.5" x14ac:dyDescent="0.25">
      <c r="A568" s="32">
        <f>'Profit &amp; Loss'!A568</f>
        <v>0</v>
      </c>
      <c r="B568" s="35">
        <f>'Profit &amp; Loss'!B568</f>
        <v>0</v>
      </c>
      <c r="C568" s="36"/>
      <c r="D568" s="33"/>
      <c r="E568" s="33"/>
      <c r="F568" s="101"/>
      <c r="G568" s="102">
        <f t="shared" si="34"/>
        <v>0</v>
      </c>
      <c r="H568" s="103" t="str">
        <f t="shared" si="28"/>
        <v>0 tubes and 0 shuttles</v>
      </c>
      <c r="I568" s="36">
        <f t="shared" si="35"/>
        <v>0</v>
      </c>
      <c r="J568" s="104" t="str">
        <f t="shared" si="29"/>
        <v>0 tubes and 0 shuttles</v>
      </c>
      <c r="K568" s="36">
        <f t="shared" si="36"/>
        <v>0</v>
      </c>
      <c r="L568" s="103" t="str">
        <f t="shared" si="30"/>
        <v>0 tubes and 0 shuttles</v>
      </c>
      <c r="M568" s="105">
        <f t="shared" si="37"/>
        <v>0</v>
      </c>
      <c r="N568" s="103" t="str">
        <f t="shared" si="31"/>
        <v>0 tubes and 0 shuttles</v>
      </c>
      <c r="O568" s="36">
        <f t="shared" si="32"/>
        <v>0</v>
      </c>
      <c r="P568" s="103" t="str">
        <f t="shared" si="33"/>
        <v>0 tubes and 0 shuttles</v>
      </c>
    </row>
    <row r="569" spans="1:16" ht="12.5" x14ac:dyDescent="0.25">
      <c r="A569" s="32">
        <f>'Profit &amp; Loss'!A569</f>
        <v>0</v>
      </c>
      <c r="B569" s="35">
        <f>'Profit &amp; Loss'!B569</f>
        <v>0</v>
      </c>
      <c r="C569" s="36"/>
      <c r="D569" s="33"/>
      <c r="E569" s="33"/>
      <c r="F569" s="101"/>
      <c r="G569" s="102">
        <f t="shared" si="34"/>
        <v>0</v>
      </c>
      <c r="H569" s="103" t="str">
        <f t="shared" si="28"/>
        <v>0 tubes and 0 shuttles</v>
      </c>
      <c r="I569" s="36">
        <f t="shared" si="35"/>
        <v>0</v>
      </c>
      <c r="J569" s="104" t="str">
        <f t="shared" si="29"/>
        <v>0 tubes and 0 shuttles</v>
      </c>
      <c r="K569" s="36">
        <f t="shared" si="36"/>
        <v>0</v>
      </c>
      <c r="L569" s="103" t="str">
        <f t="shared" si="30"/>
        <v>0 tubes and 0 shuttles</v>
      </c>
      <c r="M569" s="105">
        <f t="shared" si="37"/>
        <v>0</v>
      </c>
      <c r="N569" s="103" t="str">
        <f t="shared" si="31"/>
        <v>0 tubes and 0 shuttles</v>
      </c>
      <c r="O569" s="36">
        <f t="shared" si="32"/>
        <v>0</v>
      </c>
      <c r="P569" s="103" t="str">
        <f t="shared" si="33"/>
        <v>0 tubes and 0 shuttles</v>
      </c>
    </row>
    <row r="570" spans="1:16" ht="12.5" x14ac:dyDescent="0.25">
      <c r="A570" s="32">
        <f>'Profit &amp; Loss'!A570</f>
        <v>0</v>
      </c>
      <c r="B570" s="35">
        <f>'Profit &amp; Loss'!B570</f>
        <v>0</v>
      </c>
      <c r="C570" s="36"/>
      <c r="D570" s="33"/>
      <c r="E570" s="33"/>
      <c r="F570" s="101"/>
      <c r="G570" s="102">
        <f t="shared" si="34"/>
        <v>0</v>
      </c>
      <c r="H570" s="103" t="str">
        <f t="shared" si="28"/>
        <v>0 tubes and 0 shuttles</v>
      </c>
      <c r="I570" s="36">
        <f t="shared" si="35"/>
        <v>0</v>
      </c>
      <c r="J570" s="104" t="str">
        <f t="shared" si="29"/>
        <v>0 tubes and 0 shuttles</v>
      </c>
      <c r="K570" s="36">
        <f t="shared" si="36"/>
        <v>0</v>
      </c>
      <c r="L570" s="103" t="str">
        <f t="shared" si="30"/>
        <v>0 tubes and 0 shuttles</v>
      </c>
      <c r="M570" s="105">
        <f t="shared" si="37"/>
        <v>0</v>
      </c>
      <c r="N570" s="103" t="str">
        <f t="shared" si="31"/>
        <v>0 tubes and 0 shuttles</v>
      </c>
      <c r="O570" s="36">
        <f t="shared" si="32"/>
        <v>0</v>
      </c>
      <c r="P570" s="103" t="str">
        <f t="shared" si="33"/>
        <v>0 tubes and 0 shuttles</v>
      </c>
    </row>
    <row r="571" spans="1:16" ht="12.5" x14ac:dyDescent="0.25">
      <c r="A571" s="32">
        <f>'Profit &amp; Loss'!A571</f>
        <v>0</v>
      </c>
      <c r="B571" s="35">
        <f>'Profit &amp; Loss'!B571</f>
        <v>0</v>
      </c>
      <c r="C571" s="36"/>
      <c r="D571" s="33"/>
      <c r="E571" s="33"/>
      <c r="F571" s="101"/>
      <c r="G571" s="102">
        <f t="shared" si="34"/>
        <v>0</v>
      </c>
      <c r="H571" s="103" t="str">
        <f t="shared" si="28"/>
        <v>0 tubes and 0 shuttles</v>
      </c>
      <c r="I571" s="36">
        <f t="shared" si="35"/>
        <v>0</v>
      </c>
      <c r="J571" s="104" t="str">
        <f t="shared" si="29"/>
        <v>0 tubes and 0 shuttles</v>
      </c>
      <c r="K571" s="36">
        <f t="shared" si="36"/>
        <v>0</v>
      </c>
      <c r="L571" s="103" t="str">
        <f t="shared" si="30"/>
        <v>0 tubes and 0 shuttles</v>
      </c>
      <c r="M571" s="105">
        <f t="shared" si="37"/>
        <v>0</v>
      </c>
      <c r="N571" s="103" t="str">
        <f t="shared" si="31"/>
        <v>0 tubes and 0 shuttles</v>
      </c>
      <c r="O571" s="36">
        <f t="shared" si="32"/>
        <v>0</v>
      </c>
      <c r="P571" s="103" t="str">
        <f t="shared" si="33"/>
        <v>0 tubes and 0 shuttles</v>
      </c>
    </row>
    <row r="572" spans="1:16" ht="12.5" x14ac:dyDescent="0.25">
      <c r="A572" s="32">
        <f>'Profit &amp; Loss'!A572</f>
        <v>0</v>
      </c>
      <c r="B572" s="35">
        <f>'Profit &amp; Loss'!B572</f>
        <v>0</v>
      </c>
      <c r="C572" s="36"/>
      <c r="D572" s="33"/>
      <c r="E572" s="33"/>
      <c r="F572" s="101"/>
      <c r="G572" s="102">
        <f t="shared" si="34"/>
        <v>0</v>
      </c>
      <c r="H572" s="103" t="str">
        <f t="shared" si="28"/>
        <v>0 tubes and 0 shuttles</v>
      </c>
      <c r="I572" s="36">
        <f t="shared" si="35"/>
        <v>0</v>
      </c>
      <c r="J572" s="104" t="str">
        <f t="shared" si="29"/>
        <v>0 tubes and 0 shuttles</v>
      </c>
      <c r="K572" s="36">
        <f t="shared" si="36"/>
        <v>0</v>
      </c>
      <c r="L572" s="103" t="str">
        <f t="shared" si="30"/>
        <v>0 tubes and 0 shuttles</v>
      </c>
      <c r="M572" s="105">
        <f t="shared" si="37"/>
        <v>0</v>
      </c>
      <c r="N572" s="103" t="str">
        <f t="shared" si="31"/>
        <v>0 tubes and 0 shuttles</v>
      </c>
      <c r="O572" s="36">
        <f t="shared" si="32"/>
        <v>0</v>
      </c>
      <c r="P572" s="103" t="str">
        <f t="shared" si="33"/>
        <v>0 tubes and 0 shuttles</v>
      </c>
    </row>
    <row r="573" spans="1:16" ht="12.5" x14ac:dyDescent="0.25">
      <c r="A573" s="32">
        <f>'Profit &amp; Loss'!A573</f>
        <v>0</v>
      </c>
      <c r="B573" s="35">
        <f>'Profit &amp; Loss'!B573</f>
        <v>0</v>
      </c>
      <c r="C573" s="36"/>
      <c r="D573" s="33"/>
      <c r="E573" s="33"/>
      <c r="F573" s="101"/>
      <c r="G573" s="102">
        <f t="shared" si="34"/>
        <v>0</v>
      </c>
      <c r="H573" s="103" t="str">
        <f t="shared" si="28"/>
        <v>0 tubes and 0 shuttles</v>
      </c>
      <c r="I573" s="36">
        <f t="shared" si="35"/>
        <v>0</v>
      </c>
      <c r="J573" s="104" t="str">
        <f t="shared" si="29"/>
        <v>0 tubes and 0 shuttles</v>
      </c>
      <c r="K573" s="36">
        <f t="shared" si="36"/>
        <v>0</v>
      </c>
      <c r="L573" s="103" t="str">
        <f t="shared" si="30"/>
        <v>0 tubes and 0 shuttles</v>
      </c>
      <c r="M573" s="105">
        <f t="shared" si="37"/>
        <v>0</v>
      </c>
      <c r="N573" s="103" t="str">
        <f t="shared" si="31"/>
        <v>0 tubes and 0 shuttles</v>
      </c>
      <c r="O573" s="36">
        <f t="shared" si="32"/>
        <v>0</v>
      </c>
      <c r="P573" s="103" t="str">
        <f t="shared" si="33"/>
        <v>0 tubes and 0 shuttles</v>
      </c>
    </row>
    <row r="574" spans="1:16" ht="12.5" x14ac:dyDescent="0.25">
      <c r="A574" s="32">
        <f>'Profit &amp; Loss'!A574</f>
        <v>0</v>
      </c>
      <c r="B574" s="35">
        <f>'Profit &amp; Loss'!B574</f>
        <v>0</v>
      </c>
      <c r="C574" s="36"/>
      <c r="D574" s="33"/>
      <c r="E574" s="33"/>
      <c r="F574" s="101"/>
      <c r="G574" s="102">
        <f t="shared" si="34"/>
        <v>0</v>
      </c>
      <c r="H574" s="103" t="str">
        <f t="shared" si="28"/>
        <v>0 tubes and 0 shuttles</v>
      </c>
      <c r="I574" s="36">
        <f t="shared" si="35"/>
        <v>0</v>
      </c>
      <c r="J574" s="104" t="str">
        <f t="shared" si="29"/>
        <v>0 tubes and 0 shuttles</v>
      </c>
      <c r="K574" s="36">
        <f t="shared" si="36"/>
        <v>0</v>
      </c>
      <c r="L574" s="103" t="str">
        <f t="shared" si="30"/>
        <v>0 tubes and 0 shuttles</v>
      </c>
      <c r="M574" s="105">
        <f t="shared" si="37"/>
        <v>0</v>
      </c>
      <c r="N574" s="103" t="str">
        <f t="shared" si="31"/>
        <v>0 tubes and 0 shuttles</v>
      </c>
      <c r="O574" s="36">
        <f t="shared" si="32"/>
        <v>0</v>
      </c>
      <c r="P574" s="103" t="str">
        <f t="shared" si="33"/>
        <v>0 tubes and 0 shuttles</v>
      </c>
    </row>
    <row r="575" spans="1:16" ht="12.5" x14ac:dyDescent="0.25">
      <c r="A575" s="32">
        <f>'Profit &amp; Loss'!A575</f>
        <v>0</v>
      </c>
      <c r="B575" s="35">
        <f>'Profit &amp; Loss'!B575</f>
        <v>0</v>
      </c>
      <c r="C575" s="36"/>
      <c r="D575" s="33"/>
      <c r="E575" s="33"/>
      <c r="F575" s="101"/>
      <c r="G575" s="102">
        <f t="shared" si="34"/>
        <v>0</v>
      </c>
      <c r="H575" s="103" t="str">
        <f t="shared" si="28"/>
        <v>0 tubes and 0 shuttles</v>
      </c>
      <c r="I575" s="36">
        <f t="shared" si="35"/>
        <v>0</v>
      </c>
      <c r="J575" s="104" t="str">
        <f t="shared" si="29"/>
        <v>0 tubes and 0 shuttles</v>
      </c>
      <c r="K575" s="36">
        <f t="shared" si="36"/>
        <v>0</v>
      </c>
      <c r="L575" s="103" t="str">
        <f t="shared" si="30"/>
        <v>0 tubes and 0 shuttles</v>
      </c>
      <c r="M575" s="105">
        <f t="shared" si="37"/>
        <v>0</v>
      </c>
      <c r="N575" s="103" t="str">
        <f t="shared" si="31"/>
        <v>0 tubes and 0 shuttles</v>
      </c>
      <c r="O575" s="36">
        <f t="shared" si="32"/>
        <v>0</v>
      </c>
      <c r="P575" s="103" t="str">
        <f t="shared" si="33"/>
        <v>0 tubes and 0 shuttles</v>
      </c>
    </row>
    <row r="576" spans="1:16" ht="12.5" x14ac:dyDescent="0.25">
      <c r="A576" s="32">
        <f>'Profit &amp; Loss'!A576</f>
        <v>0</v>
      </c>
      <c r="B576" s="35">
        <f>'Profit &amp; Loss'!B576</f>
        <v>0</v>
      </c>
      <c r="C576" s="36"/>
      <c r="D576" s="33"/>
      <c r="E576" s="33"/>
      <c r="F576" s="101"/>
      <c r="G576" s="102">
        <f t="shared" si="34"/>
        <v>0</v>
      </c>
      <c r="H576" s="103" t="str">
        <f t="shared" si="28"/>
        <v>0 tubes and 0 shuttles</v>
      </c>
      <c r="I576" s="36">
        <f t="shared" si="35"/>
        <v>0</v>
      </c>
      <c r="J576" s="104" t="str">
        <f t="shared" si="29"/>
        <v>0 tubes and 0 shuttles</v>
      </c>
      <c r="K576" s="36">
        <f t="shared" si="36"/>
        <v>0</v>
      </c>
      <c r="L576" s="103" t="str">
        <f t="shared" si="30"/>
        <v>0 tubes and 0 shuttles</v>
      </c>
      <c r="M576" s="105">
        <f t="shared" si="37"/>
        <v>0</v>
      </c>
      <c r="N576" s="103" t="str">
        <f t="shared" si="31"/>
        <v>0 tubes and 0 shuttles</v>
      </c>
      <c r="O576" s="36">
        <f t="shared" si="32"/>
        <v>0</v>
      </c>
      <c r="P576" s="103" t="str">
        <f t="shared" si="33"/>
        <v>0 tubes and 0 shuttles</v>
      </c>
    </row>
    <row r="577" spans="1:16" ht="12.5" x14ac:dyDescent="0.25">
      <c r="A577" s="32">
        <f>'Profit &amp; Loss'!A577</f>
        <v>0</v>
      </c>
      <c r="B577" s="35">
        <f>'Profit &amp; Loss'!B577</f>
        <v>0</v>
      </c>
      <c r="C577" s="36"/>
      <c r="D577" s="33"/>
      <c r="E577" s="33"/>
      <c r="F577" s="101"/>
      <c r="G577" s="102">
        <f t="shared" si="34"/>
        <v>0</v>
      </c>
      <c r="H577" s="103" t="str">
        <f t="shared" si="28"/>
        <v>0 tubes and 0 shuttles</v>
      </c>
      <c r="I577" s="36">
        <f t="shared" si="35"/>
        <v>0</v>
      </c>
      <c r="J577" s="104" t="str">
        <f t="shared" si="29"/>
        <v>0 tubes and 0 shuttles</v>
      </c>
      <c r="K577" s="36">
        <f t="shared" si="36"/>
        <v>0</v>
      </c>
      <c r="L577" s="103" t="str">
        <f t="shared" si="30"/>
        <v>0 tubes and 0 shuttles</v>
      </c>
      <c r="M577" s="105">
        <f t="shared" si="37"/>
        <v>0</v>
      </c>
      <c r="N577" s="103" t="str">
        <f t="shared" si="31"/>
        <v>0 tubes and 0 shuttles</v>
      </c>
      <c r="O577" s="36">
        <f t="shared" si="32"/>
        <v>0</v>
      </c>
      <c r="P577" s="103" t="str">
        <f t="shared" si="33"/>
        <v>0 tubes and 0 shuttles</v>
      </c>
    </row>
    <row r="578" spans="1:16" ht="12.5" x14ac:dyDescent="0.25">
      <c r="A578" s="32">
        <f>'Profit &amp; Loss'!A578</f>
        <v>0</v>
      </c>
      <c r="B578" s="35">
        <f>'Profit &amp; Loss'!B578</f>
        <v>0</v>
      </c>
      <c r="C578" s="36"/>
      <c r="D578" s="33"/>
      <c r="E578" s="33"/>
      <c r="F578" s="101"/>
      <c r="G578" s="102">
        <f t="shared" si="34"/>
        <v>0</v>
      </c>
      <c r="H578" s="103" t="str">
        <f t="shared" si="28"/>
        <v>0 tubes and 0 shuttles</v>
      </c>
      <c r="I578" s="36">
        <f t="shared" si="35"/>
        <v>0</v>
      </c>
      <c r="J578" s="104" t="str">
        <f t="shared" si="29"/>
        <v>0 tubes and 0 shuttles</v>
      </c>
      <c r="K578" s="36">
        <f t="shared" si="36"/>
        <v>0</v>
      </c>
      <c r="L578" s="103" t="str">
        <f t="shared" si="30"/>
        <v>0 tubes and 0 shuttles</v>
      </c>
      <c r="M578" s="105">
        <f t="shared" si="37"/>
        <v>0</v>
      </c>
      <c r="N578" s="103" t="str">
        <f t="shared" si="31"/>
        <v>0 tubes and 0 shuttles</v>
      </c>
      <c r="O578" s="36">
        <f t="shared" si="32"/>
        <v>0</v>
      </c>
      <c r="P578" s="103" t="str">
        <f t="shared" si="33"/>
        <v>0 tubes and 0 shuttles</v>
      </c>
    </row>
    <row r="579" spans="1:16" ht="12.5" x14ac:dyDescent="0.25">
      <c r="A579" s="32">
        <f>'Profit &amp; Loss'!A579</f>
        <v>0</v>
      </c>
      <c r="B579" s="35">
        <f>'Profit &amp; Loss'!B579</f>
        <v>0</v>
      </c>
      <c r="C579" s="36"/>
      <c r="D579" s="33"/>
      <c r="E579" s="33"/>
      <c r="F579" s="101"/>
      <c r="G579" s="102">
        <f t="shared" si="34"/>
        <v>0</v>
      </c>
      <c r="H579" s="103" t="str">
        <f t="shared" si="28"/>
        <v>0 tubes and 0 shuttles</v>
      </c>
      <c r="I579" s="36">
        <f t="shared" si="35"/>
        <v>0</v>
      </c>
      <c r="J579" s="104" t="str">
        <f t="shared" si="29"/>
        <v>0 tubes and 0 shuttles</v>
      </c>
      <c r="K579" s="36">
        <f t="shared" si="36"/>
        <v>0</v>
      </c>
      <c r="L579" s="103" t="str">
        <f t="shared" si="30"/>
        <v>0 tubes and 0 shuttles</v>
      </c>
      <c r="M579" s="105">
        <f t="shared" si="37"/>
        <v>0</v>
      </c>
      <c r="N579" s="103" t="str">
        <f t="shared" si="31"/>
        <v>0 tubes and 0 shuttles</v>
      </c>
      <c r="O579" s="36">
        <f t="shared" si="32"/>
        <v>0</v>
      </c>
      <c r="P579" s="103" t="str">
        <f t="shared" si="33"/>
        <v>0 tubes and 0 shuttles</v>
      </c>
    </row>
    <row r="580" spans="1:16" ht="12.5" x14ac:dyDescent="0.25">
      <c r="A580" s="32">
        <f>'Profit &amp; Loss'!A580</f>
        <v>0</v>
      </c>
      <c r="B580" s="35">
        <f>'Profit &amp; Loss'!B580</f>
        <v>0</v>
      </c>
      <c r="C580" s="36"/>
      <c r="D580" s="33"/>
      <c r="E580" s="33"/>
      <c r="F580" s="101"/>
      <c r="G580" s="102">
        <f t="shared" si="34"/>
        <v>0</v>
      </c>
      <c r="H580" s="103" t="str">
        <f t="shared" si="28"/>
        <v>0 tubes and 0 shuttles</v>
      </c>
      <c r="I580" s="36">
        <f t="shared" si="35"/>
        <v>0</v>
      </c>
      <c r="J580" s="104" t="str">
        <f t="shared" si="29"/>
        <v>0 tubes and 0 shuttles</v>
      </c>
      <c r="K580" s="36">
        <f t="shared" si="36"/>
        <v>0</v>
      </c>
      <c r="L580" s="103" t="str">
        <f t="shared" si="30"/>
        <v>0 tubes and 0 shuttles</v>
      </c>
      <c r="M580" s="105">
        <f t="shared" si="37"/>
        <v>0</v>
      </c>
      <c r="N580" s="103" t="str">
        <f t="shared" si="31"/>
        <v>0 tubes and 0 shuttles</v>
      </c>
      <c r="O580" s="36">
        <f t="shared" si="32"/>
        <v>0</v>
      </c>
      <c r="P580" s="103" t="str">
        <f t="shared" si="33"/>
        <v>0 tubes and 0 shuttles</v>
      </c>
    </row>
    <row r="581" spans="1:16" ht="12.5" x14ac:dyDescent="0.25">
      <c r="A581" s="32">
        <f>'Profit &amp; Loss'!A581</f>
        <v>0</v>
      </c>
      <c r="B581" s="35">
        <f>'Profit &amp; Loss'!B581</f>
        <v>0</v>
      </c>
      <c r="C581" s="36"/>
      <c r="D581" s="33"/>
      <c r="E581" s="33"/>
      <c r="F581" s="101"/>
      <c r="G581" s="102">
        <f t="shared" si="34"/>
        <v>0</v>
      </c>
      <c r="H581" s="103" t="str">
        <f t="shared" si="28"/>
        <v>0 tubes and 0 shuttles</v>
      </c>
      <c r="I581" s="36">
        <f t="shared" si="35"/>
        <v>0</v>
      </c>
      <c r="J581" s="104" t="str">
        <f t="shared" si="29"/>
        <v>0 tubes and 0 shuttles</v>
      </c>
      <c r="K581" s="36">
        <f t="shared" si="36"/>
        <v>0</v>
      </c>
      <c r="L581" s="103" t="str">
        <f t="shared" si="30"/>
        <v>0 tubes and 0 shuttles</v>
      </c>
      <c r="M581" s="105">
        <f t="shared" si="37"/>
        <v>0</v>
      </c>
      <c r="N581" s="103" t="str">
        <f t="shared" si="31"/>
        <v>0 tubes and 0 shuttles</v>
      </c>
      <c r="O581" s="36">
        <f t="shared" si="32"/>
        <v>0</v>
      </c>
      <c r="P581" s="103" t="str">
        <f t="shared" si="33"/>
        <v>0 tubes and 0 shuttles</v>
      </c>
    </row>
    <row r="582" spans="1:16" ht="12.5" x14ac:dyDescent="0.25">
      <c r="A582" s="32">
        <f>'Profit &amp; Loss'!A582</f>
        <v>0</v>
      </c>
      <c r="B582" s="35">
        <f>'Profit &amp; Loss'!B582</f>
        <v>0</v>
      </c>
      <c r="C582" s="36"/>
      <c r="D582" s="33"/>
      <c r="E582" s="33"/>
      <c r="F582" s="101"/>
      <c r="G582" s="102">
        <f t="shared" si="34"/>
        <v>0</v>
      </c>
      <c r="H582" s="103" t="str">
        <f t="shared" si="28"/>
        <v>0 tubes and 0 shuttles</v>
      </c>
      <c r="I582" s="36">
        <f t="shared" si="35"/>
        <v>0</v>
      </c>
      <c r="J582" s="104" t="str">
        <f t="shared" si="29"/>
        <v>0 tubes and 0 shuttles</v>
      </c>
      <c r="K582" s="36">
        <f t="shared" si="36"/>
        <v>0</v>
      </c>
      <c r="L582" s="103" t="str">
        <f t="shared" si="30"/>
        <v>0 tubes and 0 shuttles</v>
      </c>
      <c r="M582" s="105">
        <f t="shared" si="37"/>
        <v>0</v>
      </c>
      <c r="N582" s="103" t="str">
        <f t="shared" si="31"/>
        <v>0 tubes and 0 shuttles</v>
      </c>
      <c r="O582" s="36">
        <f t="shared" si="32"/>
        <v>0</v>
      </c>
      <c r="P582" s="103" t="str">
        <f t="shared" si="33"/>
        <v>0 tubes and 0 shuttles</v>
      </c>
    </row>
    <row r="583" spans="1:16" ht="12.5" x14ac:dyDescent="0.25">
      <c r="A583" s="32">
        <f>'Profit &amp; Loss'!A583</f>
        <v>0</v>
      </c>
      <c r="B583" s="35">
        <f>'Profit &amp; Loss'!B583</f>
        <v>0</v>
      </c>
      <c r="C583" s="36"/>
      <c r="D583" s="33"/>
      <c r="E583" s="33"/>
      <c r="F583" s="101"/>
      <c r="G583" s="102">
        <f t="shared" si="34"/>
        <v>0</v>
      </c>
      <c r="H583" s="103" t="str">
        <f t="shared" si="28"/>
        <v>0 tubes and 0 shuttles</v>
      </c>
      <c r="I583" s="36">
        <f t="shared" si="35"/>
        <v>0</v>
      </c>
      <c r="J583" s="104" t="str">
        <f t="shared" si="29"/>
        <v>0 tubes and 0 shuttles</v>
      </c>
      <c r="K583" s="36">
        <f t="shared" si="36"/>
        <v>0</v>
      </c>
      <c r="L583" s="103" t="str">
        <f t="shared" si="30"/>
        <v>0 tubes and 0 shuttles</v>
      </c>
      <c r="M583" s="105">
        <f t="shared" si="37"/>
        <v>0</v>
      </c>
      <c r="N583" s="103" t="str">
        <f t="shared" si="31"/>
        <v>0 tubes and 0 shuttles</v>
      </c>
      <c r="O583" s="36">
        <f t="shared" si="32"/>
        <v>0</v>
      </c>
      <c r="P583" s="103" t="str">
        <f t="shared" si="33"/>
        <v>0 tubes and 0 shuttles</v>
      </c>
    </row>
    <row r="584" spans="1:16" ht="12.5" x14ac:dyDescent="0.25">
      <c r="A584" s="32">
        <f>'Profit &amp; Loss'!A584</f>
        <v>0</v>
      </c>
      <c r="B584" s="35">
        <f>'Profit &amp; Loss'!B584</f>
        <v>0</v>
      </c>
      <c r="C584" s="36"/>
      <c r="D584" s="33"/>
      <c r="E584" s="33"/>
      <c r="F584" s="101"/>
      <c r="G584" s="102">
        <f t="shared" si="34"/>
        <v>0</v>
      </c>
      <c r="H584" s="103" t="str">
        <f t="shared" si="28"/>
        <v>0 tubes and 0 shuttles</v>
      </c>
      <c r="I584" s="36">
        <f t="shared" si="35"/>
        <v>0</v>
      </c>
      <c r="J584" s="104" t="str">
        <f t="shared" si="29"/>
        <v>0 tubes and 0 shuttles</v>
      </c>
      <c r="K584" s="36">
        <f t="shared" si="36"/>
        <v>0</v>
      </c>
      <c r="L584" s="103" t="str">
        <f t="shared" si="30"/>
        <v>0 tubes and 0 shuttles</v>
      </c>
      <c r="M584" s="105">
        <f t="shared" si="37"/>
        <v>0</v>
      </c>
      <c r="N584" s="103" t="str">
        <f t="shared" si="31"/>
        <v>0 tubes and 0 shuttles</v>
      </c>
      <c r="O584" s="36">
        <f t="shared" si="32"/>
        <v>0</v>
      </c>
      <c r="P584" s="103" t="str">
        <f t="shared" si="33"/>
        <v>0 tubes and 0 shuttles</v>
      </c>
    </row>
    <row r="585" spans="1:16" ht="12.5" x14ac:dyDescent="0.25">
      <c r="A585" s="32">
        <f>'Profit &amp; Loss'!A585</f>
        <v>0</v>
      </c>
      <c r="B585" s="35">
        <f>'Profit &amp; Loss'!B585</f>
        <v>0</v>
      </c>
      <c r="C585" s="36"/>
      <c r="D585" s="33"/>
      <c r="E585" s="33"/>
      <c r="F585" s="101"/>
      <c r="G585" s="102">
        <f t="shared" si="34"/>
        <v>0</v>
      </c>
      <c r="H585" s="103" t="str">
        <f t="shared" si="28"/>
        <v>0 tubes and 0 shuttles</v>
      </c>
      <c r="I585" s="36">
        <f t="shared" si="35"/>
        <v>0</v>
      </c>
      <c r="J585" s="104" t="str">
        <f t="shared" si="29"/>
        <v>0 tubes and 0 shuttles</v>
      </c>
      <c r="K585" s="36">
        <f t="shared" si="36"/>
        <v>0</v>
      </c>
      <c r="L585" s="103" t="str">
        <f t="shared" si="30"/>
        <v>0 tubes and 0 shuttles</v>
      </c>
      <c r="M585" s="105">
        <f t="shared" si="37"/>
        <v>0</v>
      </c>
      <c r="N585" s="103" t="str">
        <f t="shared" si="31"/>
        <v>0 tubes and 0 shuttles</v>
      </c>
      <c r="O585" s="36">
        <f t="shared" si="32"/>
        <v>0</v>
      </c>
      <c r="P585" s="103" t="str">
        <f t="shared" si="33"/>
        <v>0 tubes and 0 shuttles</v>
      </c>
    </row>
    <row r="586" spans="1:16" ht="12.5" x14ac:dyDescent="0.25">
      <c r="A586" s="32">
        <f>'Profit &amp; Loss'!A586</f>
        <v>0</v>
      </c>
      <c r="B586" s="35">
        <f>'Profit &amp; Loss'!B586</f>
        <v>0</v>
      </c>
      <c r="C586" s="36"/>
      <c r="D586" s="33"/>
      <c r="E586" s="33"/>
      <c r="F586" s="101"/>
      <c r="G586" s="102">
        <f t="shared" si="34"/>
        <v>0</v>
      </c>
      <c r="H586" s="103" t="str">
        <f t="shared" si="28"/>
        <v>0 tubes and 0 shuttles</v>
      </c>
      <c r="I586" s="36">
        <f t="shared" si="35"/>
        <v>0</v>
      </c>
      <c r="J586" s="104" t="str">
        <f t="shared" si="29"/>
        <v>0 tubes and 0 shuttles</v>
      </c>
      <c r="K586" s="36">
        <f t="shared" si="36"/>
        <v>0</v>
      </c>
      <c r="L586" s="103" t="str">
        <f t="shared" si="30"/>
        <v>0 tubes and 0 shuttles</v>
      </c>
      <c r="M586" s="105">
        <f t="shared" si="37"/>
        <v>0</v>
      </c>
      <c r="N586" s="103" t="str">
        <f t="shared" si="31"/>
        <v>0 tubes and 0 shuttles</v>
      </c>
      <c r="O586" s="36">
        <f t="shared" si="32"/>
        <v>0</v>
      </c>
      <c r="P586" s="103" t="str">
        <f t="shared" si="33"/>
        <v>0 tubes and 0 shuttles</v>
      </c>
    </row>
    <row r="587" spans="1:16" ht="12.5" x14ac:dyDescent="0.25">
      <c r="A587" s="32">
        <f>'Profit &amp; Loss'!A587</f>
        <v>0</v>
      </c>
      <c r="B587" s="35">
        <f>'Profit &amp; Loss'!B587</f>
        <v>0</v>
      </c>
      <c r="C587" s="36"/>
      <c r="D587" s="33"/>
      <c r="E587" s="33"/>
      <c r="F587" s="101"/>
      <c r="G587" s="102">
        <f t="shared" si="34"/>
        <v>0</v>
      </c>
      <c r="H587" s="103" t="str">
        <f t="shared" si="28"/>
        <v>0 tubes and 0 shuttles</v>
      </c>
      <c r="I587" s="36">
        <f t="shared" si="35"/>
        <v>0</v>
      </c>
      <c r="J587" s="104" t="str">
        <f t="shared" si="29"/>
        <v>0 tubes and 0 shuttles</v>
      </c>
      <c r="K587" s="36">
        <f t="shared" si="36"/>
        <v>0</v>
      </c>
      <c r="L587" s="103" t="str">
        <f t="shared" si="30"/>
        <v>0 tubes and 0 shuttles</v>
      </c>
      <c r="M587" s="105">
        <f t="shared" si="37"/>
        <v>0</v>
      </c>
      <c r="N587" s="103" t="str">
        <f t="shared" si="31"/>
        <v>0 tubes and 0 shuttles</v>
      </c>
      <c r="O587" s="36">
        <f t="shared" si="32"/>
        <v>0</v>
      </c>
      <c r="P587" s="103" t="str">
        <f t="shared" si="33"/>
        <v>0 tubes and 0 shuttles</v>
      </c>
    </row>
    <row r="588" spans="1:16" ht="12.5" x14ac:dyDescent="0.25">
      <c r="A588" s="32">
        <f>'Profit &amp; Loss'!A588</f>
        <v>0</v>
      </c>
      <c r="B588" s="35">
        <f>'Profit &amp; Loss'!B588</f>
        <v>0</v>
      </c>
      <c r="C588" s="36"/>
      <c r="D588" s="33"/>
      <c r="E588" s="33"/>
      <c r="F588" s="101"/>
      <c r="G588" s="102">
        <f t="shared" si="34"/>
        <v>0</v>
      </c>
      <c r="H588" s="103" t="str">
        <f t="shared" si="28"/>
        <v>0 tubes and 0 shuttles</v>
      </c>
      <c r="I588" s="36">
        <f t="shared" si="35"/>
        <v>0</v>
      </c>
      <c r="J588" s="104" t="str">
        <f t="shared" si="29"/>
        <v>0 tubes and 0 shuttles</v>
      </c>
      <c r="K588" s="36">
        <f t="shared" si="36"/>
        <v>0</v>
      </c>
      <c r="L588" s="103" t="str">
        <f t="shared" si="30"/>
        <v>0 tubes and 0 shuttles</v>
      </c>
      <c r="M588" s="105">
        <f t="shared" si="37"/>
        <v>0</v>
      </c>
      <c r="N588" s="103" t="str">
        <f t="shared" si="31"/>
        <v>0 tubes and 0 shuttles</v>
      </c>
      <c r="O588" s="36">
        <f t="shared" si="32"/>
        <v>0</v>
      </c>
      <c r="P588" s="103" t="str">
        <f t="shared" si="33"/>
        <v>0 tubes and 0 shuttles</v>
      </c>
    </row>
    <row r="589" spans="1:16" ht="12.5" x14ac:dyDescent="0.25">
      <c r="A589" s="32">
        <f>'Profit &amp; Loss'!A589</f>
        <v>0</v>
      </c>
      <c r="B589" s="35">
        <f>'Profit &amp; Loss'!B589</f>
        <v>0</v>
      </c>
      <c r="C589" s="36"/>
      <c r="D589" s="33"/>
      <c r="E589" s="33"/>
      <c r="F589" s="101"/>
      <c r="G589" s="102">
        <f t="shared" si="34"/>
        <v>0</v>
      </c>
      <c r="H589" s="103" t="str">
        <f t="shared" si="28"/>
        <v>0 tubes and 0 shuttles</v>
      </c>
      <c r="I589" s="36">
        <f t="shared" si="35"/>
        <v>0</v>
      </c>
      <c r="J589" s="104" t="str">
        <f t="shared" si="29"/>
        <v>0 tubes and 0 shuttles</v>
      </c>
      <c r="K589" s="36">
        <f t="shared" si="36"/>
        <v>0</v>
      </c>
      <c r="L589" s="103" t="str">
        <f t="shared" si="30"/>
        <v>0 tubes and 0 shuttles</v>
      </c>
      <c r="M589" s="105">
        <f t="shared" si="37"/>
        <v>0</v>
      </c>
      <c r="N589" s="103" t="str">
        <f t="shared" si="31"/>
        <v>0 tubes and 0 shuttles</v>
      </c>
      <c r="O589" s="36">
        <f t="shared" si="32"/>
        <v>0</v>
      </c>
      <c r="P589" s="103" t="str">
        <f t="shared" si="33"/>
        <v>0 tubes and 0 shuttles</v>
      </c>
    </row>
    <row r="590" spans="1:16" ht="12.5" x14ac:dyDescent="0.25">
      <c r="A590" s="32">
        <f>'Profit &amp; Loss'!A590</f>
        <v>0</v>
      </c>
      <c r="B590" s="35">
        <f>'Profit &amp; Loss'!B590</f>
        <v>0</v>
      </c>
      <c r="C590" s="36"/>
      <c r="D590" s="33"/>
      <c r="E590" s="33"/>
      <c r="F590" s="101"/>
      <c r="G590" s="102">
        <f t="shared" si="34"/>
        <v>0</v>
      </c>
      <c r="H590" s="103" t="str">
        <f t="shared" si="28"/>
        <v>0 tubes and 0 shuttles</v>
      </c>
      <c r="I590" s="36">
        <f t="shared" si="35"/>
        <v>0</v>
      </c>
      <c r="J590" s="104" t="str">
        <f t="shared" si="29"/>
        <v>0 tubes and 0 shuttles</v>
      </c>
      <c r="K590" s="36">
        <f t="shared" si="36"/>
        <v>0</v>
      </c>
      <c r="L590" s="103" t="str">
        <f t="shared" si="30"/>
        <v>0 tubes and 0 shuttles</v>
      </c>
      <c r="M590" s="105">
        <f t="shared" si="37"/>
        <v>0</v>
      </c>
      <c r="N590" s="103" t="str">
        <f t="shared" si="31"/>
        <v>0 tubes and 0 shuttles</v>
      </c>
      <c r="O590" s="36">
        <f t="shared" si="32"/>
        <v>0</v>
      </c>
      <c r="P590" s="103" t="str">
        <f t="shared" si="33"/>
        <v>0 tubes and 0 shuttles</v>
      </c>
    </row>
    <row r="591" spans="1:16" ht="12.5" x14ac:dyDescent="0.25">
      <c r="A591" s="32">
        <f>'Profit &amp; Loss'!A591</f>
        <v>0</v>
      </c>
      <c r="B591" s="35">
        <f>'Profit &amp; Loss'!B591</f>
        <v>0</v>
      </c>
      <c r="C591" s="36"/>
      <c r="D591" s="33"/>
      <c r="E591" s="33"/>
      <c r="F591" s="101"/>
      <c r="G591" s="102">
        <f t="shared" si="34"/>
        <v>0</v>
      </c>
      <c r="H591" s="103" t="str">
        <f t="shared" si="28"/>
        <v>0 tubes and 0 shuttles</v>
      </c>
      <c r="I591" s="36">
        <f t="shared" si="35"/>
        <v>0</v>
      </c>
      <c r="J591" s="104" t="str">
        <f t="shared" si="29"/>
        <v>0 tubes and 0 shuttles</v>
      </c>
      <c r="K591" s="36">
        <f t="shared" si="36"/>
        <v>0</v>
      </c>
      <c r="L591" s="103" t="str">
        <f t="shared" si="30"/>
        <v>0 tubes and 0 shuttles</v>
      </c>
      <c r="M591" s="105">
        <f t="shared" si="37"/>
        <v>0</v>
      </c>
      <c r="N591" s="103" t="str">
        <f t="shared" si="31"/>
        <v>0 tubes and 0 shuttles</v>
      </c>
      <c r="O591" s="36">
        <f t="shared" si="32"/>
        <v>0</v>
      </c>
      <c r="P591" s="103" t="str">
        <f t="shared" si="33"/>
        <v>0 tubes and 0 shuttles</v>
      </c>
    </row>
    <row r="592" spans="1:16" ht="12.5" x14ac:dyDescent="0.25">
      <c r="A592" s="32">
        <f>'Profit &amp; Loss'!A592</f>
        <v>0</v>
      </c>
      <c r="B592" s="35">
        <f>'Profit &amp; Loss'!B592</f>
        <v>0</v>
      </c>
      <c r="C592" s="36"/>
      <c r="D592" s="33"/>
      <c r="E592" s="33"/>
      <c r="F592" s="101"/>
      <c r="G592" s="102">
        <f t="shared" si="34"/>
        <v>0</v>
      </c>
      <c r="H592" s="103" t="str">
        <f t="shared" si="28"/>
        <v>0 tubes and 0 shuttles</v>
      </c>
      <c r="I592" s="36">
        <f t="shared" si="35"/>
        <v>0</v>
      </c>
      <c r="J592" s="104" t="str">
        <f t="shared" si="29"/>
        <v>0 tubes and 0 shuttles</v>
      </c>
      <c r="K592" s="36">
        <f t="shared" si="36"/>
        <v>0</v>
      </c>
      <c r="L592" s="103" t="str">
        <f t="shared" si="30"/>
        <v>0 tubes and 0 shuttles</v>
      </c>
      <c r="M592" s="105">
        <f t="shared" si="37"/>
        <v>0</v>
      </c>
      <c r="N592" s="103" t="str">
        <f t="shared" si="31"/>
        <v>0 tubes and 0 shuttles</v>
      </c>
      <c r="O592" s="36">
        <f t="shared" si="32"/>
        <v>0</v>
      </c>
      <c r="P592" s="103" t="str">
        <f t="shared" si="33"/>
        <v>0 tubes and 0 shuttles</v>
      </c>
    </row>
    <row r="593" spans="1:16" ht="12.5" x14ac:dyDescent="0.25">
      <c r="A593" s="32">
        <f>'Profit &amp; Loss'!A593</f>
        <v>0</v>
      </c>
      <c r="B593" s="35">
        <f>'Profit &amp; Loss'!B593</f>
        <v>0</v>
      </c>
      <c r="C593" s="36"/>
      <c r="D593" s="33"/>
      <c r="E593" s="33"/>
      <c r="F593" s="101"/>
      <c r="G593" s="102">
        <f t="shared" si="34"/>
        <v>0</v>
      </c>
      <c r="H593" s="103" t="str">
        <f t="shared" si="28"/>
        <v>0 tubes and 0 shuttles</v>
      </c>
      <c r="I593" s="36">
        <f t="shared" si="35"/>
        <v>0</v>
      </c>
      <c r="J593" s="104" t="str">
        <f t="shared" si="29"/>
        <v>0 tubes and 0 shuttles</v>
      </c>
      <c r="K593" s="36">
        <f t="shared" si="36"/>
        <v>0</v>
      </c>
      <c r="L593" s="103" t="str">
        <f t="shared" si="30"/>
        <v>0 tubes and 0 shuttles</v>
      </c>
      <c r="M593" s="105">
        <f t="shared" si="37"/>
        <v>0</v>
      </c>
      <c r="N593" s="103" t="str">
        <f t="shared" si="31"/>
        <v>0 tubes and 0 shuttles</v>
      </c>
      <c r="O593" s="36">
        <f t="shared" si="32"/>
        <v>0</v>
      </c>
      <c r="P593" s="103" t="str">
        <f t="shared" si="33"/>
        <v>0 tubes and 0 shuttles</v>
      </c>
    </row>
    <row r="594" spans="1:16" ht="12.5" x14ac:dyDescent="0.25">
      <c r="A594" s="32">
        <f>'Profit &amp; Loss'!A594</f>
        <v>0</v>
      </c>
      <c r="B594" s="35">
        <f>'Profit &amp; Loss'!B594</f>
        <v>0</v>
      </c>
      <c r="C594" s="36"/>
      <c r="D594" s="33"/>
      <c r="E594" s="33"/>
      <c r="F594" s="101"/>
      <c r="G594" s="102">
        <f t="shared" si="34"/>
        <v>0</v>
      </c>
      <c r="H594" s="103" t="str">
        <f t="shared" si="28"/>
        <v>0 tubes and 0 shuttles</v>
      </c>
      <c r="I594" s="36">
        <f t="shared" si="35"/>
        <v>0</v>
      </c>
      <c r="J594" s="104" t="str">
        <f t="shared" si="29"/>
        <v>0 tubes and 0 shuttles</v>
      </c>
      <c r="K594" s="36">
        <f t="shared" si="36"/>
        <v>0</v>
      </c>
      <c r="L594" s="103" t="str">
        <f t="shared" si="30"/>
        <v>0 tubes and 0 shuttles</v>
      </c>
      <c r="M594" s="105">
        <f t="shared" si="37"/>
        <v>0</v>
      </c>
      <c r="N594" s="103" t="str">
        <f t="shared" si="31"/>
        <v>0 tubes and 0 shuttles</v>
      </c>
      <c r="O594" s="36">
        <f t="shared" si="32"/>
        <v>0</v>
      </c>
      <c r="P594" s="103" t="str">
        <f t="shared" si="33"/>
        <v>0 tubes and 0 shuttles</v>
      </c>
    </row>
    <row r="595" spans="1:16" ht="12.5" x14ac:dyDescent="0.25">
      <c r="A595" s="32">
        <f>'Profit &amp; Loss'!A595</f>
        <v>0</v>
      </c>
      <c r="B595" s="35">
        <f>'Profit &amp; Loss'!B595</f>
        <v>0</v>
      </c>
      <c r="C595" s="36"/>
      <c r="D595" s="33"/>
      <c r="E595" s="33"/>
      <c r="F595" s="101"/>
      <c r="G595" s="102">
        <f t="shared" si="34"/>
        <v>0</v>
      </c>
      <c r="H595" s="103" t="str">
        <f t="shared" si="28"/>
        <v>0 tubes and 0 shuttles</v>
      </c>
      <c r="I595" s="36">
        <f t="shared" si="35"/>
        <v>0</v>
      </c>
      <c r="J595" s="104" t="str">
        <f t="shared" si="29"/>
        <v>0 tubes and 0 shuttles</v>
      </c>
      <c r="K595" s="36">
        <f t="shared" si="36"/>
        <v>0</v>
      </c>
      <c r="L595" s="103" t="str">
        <f t="shared" si="30"/>
        <v>0 tubes and 0 shuttles</v>
      </c>
      <c r="M595" s="105">
        <f t="shared" si="37"/>
        <v>0</v>
      </c>
      <c r="N595" s="103" t="str">
        <f t="shared" si="31"/>
        <v>0 tubes and 0 shuttles</v>
      </c>
      <c r="O595" s="36">
        <f t="shared" si="32"/>
        <v>0</v>
      </c>
      <c r="P595" s="103" t="str">
        <f t="shared" si="33"/>
        <v>0 tubes and 0 shuttles</v>
      </c>
    </row>
    <row r="596" spans="1:16" ht="12.5" x14ac:dyDescent="0.25">
      <c r="A596" s="32">
        <f>'Profit &amp; Loss'!A596</f>
        <v>0</v>
      </c>
      <c r="B596" s="35">
        <f>'Profit &amp; Loss'!B596</f>
        <v>0</v>
      </c>
      <c r="C596" s="36"/>
      <c r="D596" s="33"/>
      <c r="E596" s="33"/>
      <c r="F596" s="101"/>
      <c r="G596" s="102">
        <f t="shared" si="34"/>
        <v>0</v>
      </c>
      <c r="H596" s="103" t="str">
        <f t="shared" si="28"/>
        <v>0 tubes and 0 shuttles</v>
      </c>
      <c r="I596" s="36">
        <f t="shared" si="35"/>
        <v>0</v>
      </c>
      <c r="J596" s="104" t="str">
        <f t="shared" si="29"/>
        <v>0 tubes and 0 shuttles</v>
      </c>
      <c r="K596" s="36">
        <f t="shared" si="36"/>
        <v>0</v>
      </c>
      <c r="L596" s="103" t="str">
        <f t="shared" si="30"/>
        <v>0 tubes and 0 shuttles</v>
      </c>
      <c r="M596" s="105">
        <f t="shared" si="37"/>
        <v>0</v>
      </c>
      <c r="N596" s="103" t="str">
        <f t="shared" si="31"/>
        <v>0 tubes and 0 shuttles</v>
      </c>
      <c r="O596" s="36">
        <f t="shared" si="32"/>
        <v>0</v>
      </c>
      <c r="P596" s="103" t="str">
        <f t="shared" si="33"/>
        <v>0 tubes and 0 shuttles</v>
      </c>
    </row>
    <row r="597" spans="1:16" ht="12.5" x14ac:dyDescent="0.25">
      <c r="A597" s="32">
        <f>'Profit &amp; Loss'!A597</f>
        <v>0</v>
      </c>
      <c r="B597" s="35">
        <f>'Profit &amp; Loss'!B597</f>
        <v>0</v>
      </c>
      <c r="C597" s="36"/>
      <c r="D597" s="33"/>
      <c r="E597" s="33"/>
      <c r="F597" s="101"/>
      <c r="G597" s="102">
        <f t="shared" si="34"/>
        <v>0</v>
      </c>
      <c r="H597" s="103" t="str">
        <f t="shared" si="28"/>
        <v>0 tubes and 0 shuttles</v>
      </c>
      <c r="I597" s="36">
        <f t="shared" si="35"/>
        <v>0</v>
      </c>
      <c r="J597" s="104" t="str">
        <f t="shared" si="29"/>
        <v>0 tubes and 0 shuttles</v>
      </c>
      <c r="K597" s="36">
        <f t="shared" si="36"/>
        <v>0</v>
      </c>
      <c r="L597" s="103" t="str">
        <f t="shared" si="30"/>
        <v>0 tubes and 0 shuttles</v>
      </c>
      <c r="M597" s="105">
        <f t="shared" si="37"/>
        <v>0</v>
      </c>
      <c r="N597" s="103" t="str">
        <f t="shared" si="31"/>
        <v>0 tubes and 0 shuttles</v>
      </c>
      <c r="O597" s="36">
        <f t="shared" si="32"/>
        <v>0</v>
      </c>
      <c r="P597" s="103" t="str">
        <f t="shared" si="33"/>
        <v>0 tubes and 0 shuttles</v>
      </c>
    </row>
    <row r="598" spans="1:16" ht="12.5" x14ac:dyDescent="0.25">
      <c r="A598" s="32">
        <f>'Profit &amp; Loss'!A598</f>
        <v>0</v>
      </c>
      <c r="B598" s="35">
        <f>'Profit &amp; Loss'!B598</f>
        <v>0</v>
      </c>
      <c r="C598" s="36"/>
      <c r="D598" s="33"/>
      <c r="E598" s="33"/>
      <c r="F598" s="101"/>
      <c r="G598" s="102">
        <f t="shared" si="34"/>
        <v>0</v>
      </c>
      <c r="H598" s="103" t="str">
        <f t="shared" si="28"/>
        <v>0 tubes and 0 shuttles</v>
      </c>
      <c r="I598" s="36">
        <f t="shared" si="35"/>
        <v>0</v>
      </c>
      <c r="J598" s="104" t="str">
        <f t="shared" si="29"/>
        <v>0 tubes and 0 shuttles</v>
      </c>
      <c r="K598" s="36">
        <f t="shared" si="36"/>
        <v>0</v>
      </c>
      <c r="L598" s="103" t="str">
        <f t="shared" si="30"/>
        <v>0 tubes and 0 shuttles</v>
      </c>
      <c r="M598" s="105">
        <f t="shared" si="37"/>
        <v>0</v>
      </c>
      <c r="N598" s="103" t="str">
        <f t="shared" si="31"/>
        <v>0 tubes and 0 shuttles</v>
      </c>
      <c r="O598" s="36">
        <f t="shared" si="32"/>
        <v>0</v>
      </c>
      <c r="P598" s="103" t="str">
        <f t="shared" si="33"/>
        <v>0 tubes and 0 shuttles</v>
      </c>
    </row>
    <row r="599" spans="1:16" ht="12.5" x14ac:dyDescent="0.25">
      <c r="A599" s="32">
        <f>'Profit &amp; Loss'!A599</f>
        <v>0</v>
      </c>
      <c r="B599" s="35">
        <f>'Profit &amp; Loss'!B599</f>
        <v>0</v>
      </c>
      <c r="C599" s="36"/>
      <c r="D599" s="33"/>
      <c r="E599" s="33"/>
      <c r="F599" s="101"/>
      <c r="G599" s="102">
        <f t="shared" si="34"/>
        <v>0</v>
      </c>
      <c r="H599" s="103" t="str">
        <f t="shared" si="28"/>
        <v>0 tubes and 0 shuttles</v>
      </c>
      <c r="I599" s="36">
        <f t="shared" si="35"/>
        <v>0</v>
      </c>
      <c r="J599" s="104" t="str">
        <f t="shared" si="29"/>
        <v>0 tubes and 0 shuttles</v>
      </c>
      <c r="K599" s="36">
        <f t="shared" si="36"/>
        <v>0</v>
      </c>
      <c r="L599" s="103" t="str">
        <f t="shared" si="30"/>
        <v>0 tubes and 0 shuttles</v>
      </c>
      <c r="M599" s="105">
        <f t="shared" si="37"/>
        <v>0</v>
      </c>
      <c r="N599" s="103" t="str">
        <f t="shared" si="31"/>
        <v>0 tubes and 0 shuttles</v>
      </c>
      <c r="O599" s="36">
        <f t="shared" si="32"/>
        <v>0</v>
      </c>
      <c r="P599" s="103" t="str">
        <f t="shared" si="33"/>
        <v>0 tubes and 0 shuttles</v>
      </c>
    </row>
    <row r="600" spans="1:16" ht="12.5" x14ac:dyDescent="0.25">
      <c r="A600" s="32">
        <f>'Profit &amp; Loss'!A600</f>
        <v>0</v>
      </c>
      <c r="B600" s="35">
        <f>'Profit &amp; Loss'!B600</f>
        <v>0</v>
      </c>
      <c r="C600" s="36"/>
      <c r="D600" s="33"/>
      <c r="E600" s="33"/>
      <c r="F600" s="101"/>
      <c r="G600" s="102">
        <f t="shared" si="34"/>
        <v>0</v>
      </c>
      <c r="H600" s="103" t="str">
        <f t="shared" si="28"/>
        <v>0 tubes and 0 shuttles</v>
      </c>
      <c r="I600" s="36">
        <f t="shared" si="35"/>
        <v>0</v>
      </c>
      <c r="J600" s="104" t="str">
        <f t="shared" si="29"/>
        <v>0 tubes and 0 shuttles</v>
      </c>
      <c r="K600" s="36">
        <f t="shared" si="36"/>
        <v>0</v>
      </c>
      <c r="L600" s="103" t="str">
        <f t="shared" si="30"/>
        <v>0 tubes and 0 shuttles</v>
      </c>
      <c r="M600" s="105">
        <f t="shared" si="37"/>
        <v>0</v>
      </c>
      <c r="N600" s="103" t="str">
        <f t="shared" si="31"/>
        <v>0 tubes and 0 shuttles</v>
      </c>
      <c r="O600" s="36">
        <f t="shared" si="32"/>
        <v>0</v>
      </c>
      <c r="P600" s="103" t="str">
        <f t="shared" si="33"/>
        <v>0 tubes and 0 shuttles</v>
      </c>
    </row>
    <row r="601" spans="1:16" ht="12.5" x14ac:dyDescent="0.25">
      <c r="A601" s="32">
        <f>'Profit &amp; Loss'!A601</f>
        <v>0</v>
      </c>
      <c r="B601" s="35">
        <f>'Profit &amp; Loss'!B601</f>
        <v>0</v>
      </c>
      <c r="C601" s="36"/>
      <c r="D601" s="33"/>
      <c r="E601" s="33"/>
      <c r="F601" s="101"/>
      <c r="G601" s="102">
        <f t="shared" si="34"/>
        <v>0</v>
      </c>
      <c r="H601" s="103" t="str">
        <f t="shared" si="28"/>
        <v>0 tubes and 0 shuttles</v>
      </c>
      <c r="I601" s="36">
        <f t="shared" si="35"/>
        <v>0</v>
      </c>
      <c r="J601" s="104" t="str">
        <f t="shared" si="29"/>
        <v>0 tubes and 0 shuttles</v>
      </c>
      <c r="K601" s="36">
        <f t="shared" si="36"/>
        <v>0</v>
      </c>
      <c r="L601" s="103" t="str">
        <f t="shared" si="30"/>
        <v>0 tubes and 0 shuttles</v>
      </c>
      <c r="M601" s="105">
        <f t="shared" si="37"/>
        <v>0</v>
      </c>
      <c r="N601" s="103" t="str">
        <f t="shared" si="31"/>
        <v>0 tubes and 0 shuttles</v>
      </c>
      <c r="O601" s="36">
        <f t="shared" si="32"/>
        <v>0</v>
      </c>
      <c r="P601" s="103" t="str">
        <f t="shared" si="33"/>
        <v>0 tubes and 0 shuttles</v>
      </c>
    </row>
    <row r="602" spans="1:16" ht="12.5" x14ac:dyDescent="0.25">
      <c r="A602" s="32">
        <f>'Profit &amp; Loss'!A602</f>
        <v>0</v>
      </c>
      <c r="B602" s="35">
        <f>'Profit &amp; Loss'!B602</f>
        <v>0</v>
      </c>
      <c r="C602" s="36"/>
      <c r="D602" s="33"/>
      <c r="E602" s="33"/>
      <c r="F602" s="101"/>
      <c r="G602" s="102">
        <f t="shared" si="34"/>
        <v>0</v>
      </c>
      <c r="H602" s="103" t="str">
        <f t="shared" si="28"/>
        <v>0 tubes and 0 shuttles</v>
      </c>
      <c r="I602" s="36">
        <f t="shared" si="35"/>
        <v>0</v>
      </c>
      <c r="J602" s="104" t="str">
        <f t="shared" si="29"/>
        <v>0 tubes and 0 shuttles</v>
      </c>
      <c r="K602" s="36">
        <f t="shared" si="36"/>
        <v>0</v>
      </c>
      <c r="L602" s="103" t="str">
        <f t="shared" si="30"/>
        <v>0 tubes and 0 shuttles</v>
      </c>
      <c r="M602" s="105">
        <f t="shared" si="37"/>
        <v>0</v>
      </c>
      <c r="N602" s="103" t="str">
        <f t="shared" si="31"/>
        <v>0 tubes and 0 shuttles</v>
      </c>
      <c r="O602" s="36">
        <f t="shared" si="32"/>
        <v>0</v>
      </c>
      <c r="P602" s="103" t="str">
        <f t="shared" si="33"/>
        <v>0 tubes and 0 shuttles</v>
      </c>
    </row>
    <row r="603" spans="1:16" ht="12.5" x14ac:dyDescent="0.25">
      <c r="A603" s="32">
        <f>'Profit &amp; Loss'!A603</f>
        <v>0</v>
      </c>
      <c r="B603" s="35">
        <f>'Profit &amp; Loss'!B603</f>
        <v>0</v>
      </c>
      <c r="C603" s="36"/>
      <c r="D603" s="33"/>
      <c r="E603" s="33"/>
      <c r="F603" s="101"/>
      <c r="G603" s="102">
        <f t="shared" si="34"/>
        <v>0</v>
      </c>
      <c r="H603" s="103" t="str">
        <f t="shared" si="28"/>
        <v>0 tubes and 0 shuttles</v>
      </c>
      <c r="I603" s="36">
        <f t="shared" si="35"/>
        <v>0</v>
      </c>
      <c r="J603" s="104" t="str">
        <f t="shared" si="29"/>
        <v>0 tubes and 0 shuttles</v>
      </c>
      <c r="K603" s="36">
        <f t="shared" si="36"/>
        <v>0</v>
      </c>
      <c r="L603" s="103" t="str">
        <f t="shared" si="30"/>
        <v>0 tubes and 0 shuttles</v>
      </c>
      <c r="M603" s="105">
        <f t="shared" si="37"/>
        <v>0</v>
      </c>
      <c r="N603" s="103" t="str">
        <f t="shared" si="31"/>
        <v>0 tubes and 0 shuttles</v>
      </c>
      <c r="O603" s="36">
        <f t="shared" si="32"/>
        <v>0</v>
      </c>
      <c r="P603" s="103" t="str">
        <f t="shared" si="33"/>
        <v>0 tubes and 0 shuttles</v>
      </c>
    </row>
    <row r="604" spans="1:16" ht="12.5" x14ac:dyDescent="0.25">
      <c r="A604" s="32">
        <f>'Profit &amp; Loss'!A604</f>
        <v>0</v>
      </c>
      <c r="B604" s="35">
        <f>'Profit &amp; Loss'!B604</f>
        <v>0</v>
      </c>
      <c r="C604" s="36"/>
      <c r="D604" s="33"/>
      <c r="E604" s="33"/>
      <c r="F604" s="101"/>
      <c r="G604" s="102">
        <f t="shared" si="34"/>
        <v>0</v>
      </c>
      <c r="H604" s="103" t="str">
        <f t="shared" si="28"/>
        <v>0 tubes and 0 shuttles</v>
      </c>
      <c r="I604" s="36">
        <f t="shared" si="35"/>
        <v>0</v>
      </c>
      <c r="J604" s="104" t="str">
        <f t="shared" si="29"/>
        <v>0 tubes and 0 shuttles</v>
      </c>
      <c r="K604" s="36">
        <f t="shared" si="36"/>
        <v>0</v>
      </c>
      <c r="L604" s="103" t="str">
        <f t="shared" si="30"/>
        <v>0 tubes and 0 shuttles</v>
      </c>
      <c r="M604" s="105">
        <f t="shared" si="37"/>
        <v>0</v>
      </c>
      <c r="N604" s="103" t="str">
        <f t="shared" si="31"/>
        <v>0 tubes and 0 shuttles</v>
      </c>
      <c r="O604" s="36">
        <f t="shared" si="32"/>
        <v>0</v>
      </c>
      <c r="P604" s="103" t="str">
        <f t="shared" si="33"/>
        <v>0 tubes and 0 shuttles</v>
      </c>
    </row>
    <row r="605" spans="1:16" ht="12.5" x14ac:dyDescent="0.25">
      <c r="A605" s="32">
        <f>'Profit &amp; Loss'!A605</f>
        <v>0</v>
      </c>
      <c r="B605" s="35">
        <f>'Profit &amp; Loss'!B605</f>
        <v>0</v>
      </c>
      <c r="C605" s="36"/>
      <c r="D605" s="33"/>
      <c r="E605" s="33"/>
      <c r="F605" s="101"/>
      <c r="G605" s="102">
        <f t="shared" si="34"/>
        <v>0</v>
      </c>
      <c r="H605" s="103" t="str">
        <f t="shared" si="28"/>
        <v>0 tubes and 0 shuttles</v>
      </c>
      <c r="I605" s="36">
        <f t="shared" si="35"/>
        <v>0</v>
      </c>
      <c r="J605" s="104" t="str">
        <f t="shared" si="29"/>
        <v>0 tubes and 0 shuttles</v>
      </c>
      <c r="K605" s="36">
        <f t="shared" si="36"/>
        <v>0</v>
      </c>
      <c r="L605" s="103" t="str">
        <f t="shared" si="30"/>
        <v>0 tubes and 0 shuttles</v>
      </c>
      <c r="M605" s="105">
        <f t="shared" si="37"/>
        <v>0</v>
      </c>
      <c r="N605" s="103" t="str">
        <f t="shared" si="31"/>
        <v>0 tubes and 0 shuttles</v>
      </c>
      <c r="O605" s="36">
        <f t="shared" si="32"/>
        <v>0</v>
      </c>
      <c r="P605" s="103" t="str">
        <f t="shared" si="33"/>
        <v>0 tubes and 0 shuttles</v>
      </c>
    </row>
    <row r="606" spans="1:16" ht="12.5" x14ac:dyDescent="0.25">
      <c r="A606" s="32">
        <f>'Profit &amp; Loss'!A606</f>
        <v>0</v>
      </c>
      <c r="B606" s="35">
        <f>'Profit &amp; Loss'!B606</f>
        <v>0</v>
      </c>
      <c r="C606" s="36"/>
      <c r="D606" s="33"/>
      <c r="E606" s="33"/>
      <c r="F606" s="101"/>
      <c r="G606" s="102">
        <f t="shared" si="34"/>
        <v>0</v>
      </c>
      <c r="H606" s="103" t="str">
        <f t="shared" si="28"/>
        <v>0 tubes and 0 shuttles</v>
      </c>
      <c r="I606" s="36">
        <f t="shared" si="35"/>
        <v>0</v>
      </c>
      <c r="J606" s="104" t="str">
        <f t="shared" si="29"/>
        <v>0 tubes and 0 shuttles</v>
      </c>
      <c r="K606" s="36">
        <f t="shared" si="36"/>
        <v>0</v>
      </c>
      <c r="L606" s="103" t="str">
        <f t="shared" si="30"/>
        <v>0 tubes and 0 shuttles</v>
      </c>
      <c r="M606" s="105">
        <f t="shared" si="37"/>
        <v>0</v>
      </c>
      <c r="N606" s="103" t="str">
        <f t="shared" si="31"/>
        <v>0 tubes and 0 shuttles</v>
      </c>
      <c r="O606" s="36">
        <f t="shared" si="32"/>
        <v>0</v>
      </c>
      <c r="P606" s="103" t="str">
        <f t="shared" si="33"/>
        <v>0 tubes and 0 shuttles</v>
      </c>
    </row>
    <row r="607" spans="1:16" ht="12.5" x14ac:dyDescent="0.25">
      <c r="A607" s="32">
        <f>'Profit &amp; Loss'!A607</f>
        <v>0</v>
      </c>
      <c r="B607" s="35">
        <f>'Profit &amp; Loss'!B607</f>
        <v>0</v>
      </c>
      <c r="C607" s="36"/>
      <c r="D607" s="33"/>
      <c r="E607" s="33"/>
      <c r="F607" s="101"/>
      <c r="G607" s="102">
        <f t="shared" si="34"/>
        <v>0</v>
      </c>
      <c r="H607" s="103" t="str">
        <f t="shared" si="28"/>
        <v>0 tubes and 0 shuttles</v>
      </c>
      <c r="I607" s="36">
        <f t="shared" si="35"/>
        <v>0</v>
      </c>
      <c r="J607" s="104" t="str">
        <f t="shared" si="29"/>
        <v>0 tubes and 0 shuttles</v>
      </c>
      <c r="K607" s="36">
        <f t="shared" si="36"/>
        <v>0</v>
      </c>
      <c r="L607" s="103" t="str">
        <f t="shared" si="30"/>
        <v>0 tubes and 0 shuttles</v>
      </c>
      <c r="M607" s="105">
        <f t="shared" si="37"/>
        <v>0</v>
      </c>
      <c r="N607" s="103" t="str">
        <f t="shared" si="31"/>
        <v>0 tubes and 0 shuttles</v>
      </c>
      <c r="O607" s="36">
        <f t="shared" si="32"/>
        <v>0</v>
      </c>
      <c r="P607" s="103" t="str">
        <f t="shared" si="33"/>
        <v>0 tubes and 0 shuttles</v>
      </c>
    </row>
    <row r="608" spans="1:16" ht="12.5" x14ac:dyDescent="0.25">
      <c r="A608" s="32">
        <f>'Profit &amp; Loss'!A608</f>
        <v>0</v>
      </c>
      <c r="B608" s="35">
        <f>'Profit &amp; Loss'!B608</f>
        <v>0</v>
      </c>
      <c r="C608" s="36"/>
      <c r="D608" s="33"/>
      <c r="E608" s="33"/>
      <c r="F608" s="101"/>
      <c r="G608" s="102">
        <f t="shared" si="34"/>
        <v>0</v>
      </c>
      <c r="H608" s="103" t="str">
        <f t="shared" si="28"/>
        <v>0 tubes and 0 shuttles</v>
      </c>
      <c r="I608" s="36">
        <f t="shared" si="35"/>
        <v>0</v>
      </c>
      <c r="J608" s="104" t="str">
        <f t="shared" si="29"/>
        <v>0 tubes and 0 shuttles</v>
      </c>
      <c r="K608" s="36">
        <f t="shared" si="36"/>
        <v>0</v>
      </c>
      <c r="L608" s="103" t="str">
        <f t="shared" si="30"/>
        <v>0 tubes and 0 shuttles</v>
      </c>
      <c r="M608" s="105">
        <f t="shared" si="37"/>
        <v>0</v>
      </c>
      <c r="N608" s="103" t="str">
        <f t="shared" si="31"/>
        <v>0 tubes and 0 shuttles</v>
      </c>
      <c r="O608" s="36">
        <f t="shared" si="32"/>
        <v>0</v>
      </c>
      <c r="P608" s="103" t="str">
        <f t="shared" si="33"/>
        <v>0 tubes and 0 shuttles</v>
      </c>
    </row>
    <row r="609" spans="1:16" ht="12.5" x14ac:dyDescent="0.25">
      <c r="A609" s="32">
        <f>'Profit &amp; Loss'!A609</f>
        <v>0</v>
      </c>
      <c r="B609" s="35">
        <f>'Profit &amp; Loss'!B609</f>
        <v>0</v>
      </c>
      <c r="C609" s="36"/>
      <c r="D609" s="33"/>
      <c r="E609" s="33"/>
      <c r="F609" s="101"/>
      <c r="G609" s="102">
        <f t="shared" si="34"/>
        <v>0</v>
      </c>
      <c r="H609" s="103" t="str">
        <f t="shared" si="28"/>
        <v>0 tubes and 0 shuttles</v>
      </c>
      <c r="I609" s="36">
        <f t="shared" si="35"/>
        <v>0</v>
      </c>
      <c r="J609" s="104" t="str">
        <f t="shared" si="29"/>
        <v>0 tubes and 0 shuttles</v>
      </c>
      <c r="K609" s="36">
        <f t="shared" si="36"/>
        <v>0</v>
      </c>
      <c r="L609" s="103" t="str">
        <f t="shared" si="30"/>
        <v>0 tubes and 0 shuttles</v>
      </c>
      <c r="M609" s="105">
        <f t="shared" si="37"/>
        <v>0</v>
      </c>
      <c r="N609" s="103" t="str">
        <f t="shared" si="31"/>
        <v>0 tubes and 0 shuttles</v>
      </c>
      <c r="O609" s="36">
        <f t="shared" si="32"/>
        <v>0</v>
      </c>
      <c r="P609" s="103" t="str">
        <f t="shared" si="33"/>
        <v>0 tubes and 0 shuttles</v>
      </c>
    </row>
    <row r="610" spans="1:16" ht="12.5" x14ac:dyDescent="0.25">
      <c r="A610" s="32">
        <f>'Profit &amp; Loss'!A610</f>
        <v>0</v>
      </c>
      <c r="B610" s="35">
        <f>'Profit &amp; Loss'!B610</f>
        <v>0</v>
      </c>
      <c r="C610" s="36"/>
      <c r="D610" s="33"/>
      <c r="E610" s="33"/>
      <c r="F610" s="101"/>
      <c r="G610" s="102">
        <f t="shared" si="34"/>
        <v>0</v>
      </c>
      <c r="H610" s="103" t="str">
        <f t="shared" si="28"/>
        <v>0 tubes and 0 shuttles</v>
      </c>
      <c r="I610" s="36">
        <f t="shared" si="35"/>
        <v>0</v>
      </c>
      <c r="J610" s="104" t="str">
        <f t="shared" si="29"/>
        <v>0 tubes and 0 shuttles</v>
      </c>
      <c r="K610" s="36">
        <f t="shared" si="36"/>
        <v>0</v>
      </c>
      <c r="L610" s="103" t="str">
        <f t="shared" si="30"/>
        <v>0 tubes and 0 shuttles</v>
      </c>
      <c r="M610" s="105">
        <f t="shared" si="37"/>
        <v>0</v>
      </c>
      <c r="N610" s="103" t="str">
        <f t="shared" si="31"/>
        <v>0 tubes and 0 shuttles</v>
      </c>
      <c r="O610" s="36">
        <f t="shared" si="32"/>
        <v>0</v>
      </c>
      <c r="P610" s="103" t="str">
        <f t="shared" si="33"/>
        <v>0 tubes and 0 shuttles</v>
      </c>
    </row>
    <row r="611" spans="1:16" ht="12.5" x14ac:dyDescent="0.25">
      <c r="A611" s="32">
        <f>'Profit &amp; Loss'!A611</f>
        <v>0</v>
      </c>
      <c r="B611" s="35">
        <f>'Profit &amp; Loss'!B611</f>
        <v>0</v>
      </c>
      <c r="C611" s="36"/>
      <c r="D611" s="33"/>
      <c r="E611" s="33"/>
      <c r="F611" s="101"/>
      <c r="G611" s="102">
        <f t="shared" si="34"/>
        <v>0</v>
      </c>
      <c r="H611" s="103" t="str">
        <f t="shared" si="28"/>
        <v>0 tubes and 0 shuttles</v>
      </c>
      <c r="I611" s="36">
        <f t="shared" si="35"/>
        <v>0</v>
      </c>
      <c r="J611" s="104" t="str">
        <f t="shared" si="29"/>
        <v>0 tubes and 0 shuttles</v>
      </c>
      <c r="K611" s="36">
        <f t="shared" si="36"/>
        <v>0</v>
      </c>
      <c r="L611" s="103" t="str">
        <f t="shared" si="30"/>
        <v>0 tubes and 0 shuttles</v>
      </c>
      <c r="M611" s="105">
        <f t="shared" si="37"/>
        <v>0</v>
      </c>
      <c r="N611" s="103" t="str">
        <f t="shared" si="31"/>
        <v>0 tubes and 0 shuttles</v>
      </c>
      <c r="O611" s="36">
        <f t="shared" si="32"/>
        <v>0</v>
      </c>
      <c r="P611" s="103" t="str">
        <f t="shared" si="33"/>
        <v>0 tubes and 0 shuttles</v>
      </c>
    </row>
    <row r="612" spans="1:16" ht="12.5" x14ac:dyDescent="0.25">
      <c r="A612" s="32">
        <f>'Profit &amp; Loss'!A612</f>
        <v>0</v>
      </c>
      <c r="B612" s="35">
        <f>'Profit &amp; Loss'!B612</f>
        <v>0</v>
      </c>
      <c r="C612" s="36"/>
      <c r="D612" s="33"/>
      <c r="E612" s="33"/>
      <c r="F612" s="101"/>
      <c r="G612" s="102">
        <f t="shared" si="34"/>
        <v>0</v>
      </c>
      <c r="H612" s="103" t="str">
        <f t="shared" si="28"/>
        <v>0 tubes and 0 shuttles</v>
      </c>
      <c r="I612" s="36">
        <f t="shared" si="35"/>
        <v>0</v>
      </c>
      <c r="J612" s="104" t="str">
        <f t="shared" si="29"/>
        <v>0 tubes and 0 shuttles</v>
      </c>
      <c r="K612" s="36">
        <f t="shared" si="36"/>
        <v>0</v>
      </c>
      <c r="L612" s="103" t="str">
        <f t="shared" si="30"/>
        <v>0 tubes and 0 shuttles</v>
      </c>
      <c r="M612" s="105">
        <f t="shared" si="37"/>
        <v>0</v>
      </c>
      <c r="N612" s="103" t="str">
        <f t="shared" si="31"/>
        <v>0 tubes and 0 shuttles</v>
      </c>
      <c r="O612" s="36">
        <f t="shared" si="32"/>
        <v>0</v>
      </c>
      <c r="P612" s="103" t="str">
        <f t="shared" si="33"/>
        <v>0 tubes and 0 shuttles</v>
      </c>
    </row>
    <row r="613" spans="1:16" ht="12.5" x14ac:dyDescent="0.25">
      <c r="A613" s="32">
        <f>'Profit &amp; Loss'!A613</f>
        <v>0</v>
      </c>
      <c r="B613" s="35">
        <f>'Profit &amp; Loss'!B613</f>
        <v>0</v>
      </c>
      <c r="C613" s="36"/>
      <c r="D613" s="33"/>
      <c r="E613" s="33"/>
      <c r="F613" s="101"/>
      <c r="G613" s="102">
        <f t="shared" si="34"/>
        <v>0</v>
      </c>
      <c r="H613" s="103" t="str">
        <f t="shared" si="28"/>
        <v>0 tubes and 0 shuttles</v>
      </c>
      <c r="I613" s="36">
        <f t="shared" si="35"/>
        <v>0</v>
      </c>
      <c r="J613" s="104" t="str">
        <f t="shared" si="29"/>
        <v>0 tubes and 0 shuttles</v>
      </c>
      <c r="K613" s="36">
        <f t="shared" si="36"/>
        <v>0</v>
      </c>
      <c r="L613" s="103" t="str">
        <f t="shared" si="30"/>
        <v>0 tubes and 0 shuttles</v>
      </c>
      <c r="M613" s="105">
        <f t="shared" si="37"/>
        <v>0</v>
      </c>
      <c r="N613" s="103" t="str">
        <f t="shared" si="31"/>
        <v>0 tubes and 0 shuttles</v>
      </c>
      <c r="O613" s="36">
        <f t="shared" si="32"/>
        <v>0</v>
      </c>
      <c r="P613" s="103" t="str">
        <f t="shared" si="33"/>
        <v>0 tubes and 0 shuttles</v>
      </c>
    </row>
    <row r="614" spans="1:16" ht="12.5" x14ac:dyDescent="0.25">
      <c r="A614" s="32">
        <f>'Profit &amp; Loss'!A614</f>
        <v>0</v>
      </c>
      <c r="B614" s="35">
        <f>'Profit &amp; Loss'!B614</f>
        <v>0</v>
      </c>
      <c r="C614" s="36"/>
      <c r="D614" s="33"/>
      <c r="E614" s="33"/>
      <c r="F614" s="101"/>
      <c r="G614" s="102">
        <f t="shared" si="34"/>
        <v>0</v>
      </c>
      <c r="H614" s="103" t="str">
        <f t="shared" si="28"/>
        <v>0 tubes and 0 shuttles</v>
      </c>
      <c r="I614" s="36">
        <f t="shared" si="35"/>
        <v>0</v>
      </c>
      <c r="J614" s="104" t="str">
        <f t="shared" si="29"/>
        <v>0 tubes and 0 shuttles</v>
      </c>
      <c r="K614" s="36">
        <f t="shared" si="36"/>
        <v>0</v>
      </c>
      <c r="L614" s="103" t="str">
        <f t="shared" si="30"/>
        <v>0 tubes and 0 shuttles</v>
      </c>
      <c r="M614" s="105">
        <f t="shared" si="37"/>
        <v>0</v>
      </c>
      <c r="N614" s="103" t="str">
        <f t="shared" si="31"/>
        <v>0 tubes and 0 shuttles</v>
      </c>
      <c r="O614" s="36">
        <f t="shared" si="32"/>
        <v>0</v>
      </c>
      <c r="P614" s="103" t="str">
        <f t="shared" si="33"/>
        <v>0 tubes and 0 shuttles</v>
      </c>
    </row>
    <row r="615" spans="1:16" ht="12.5" x14ac:dyDescent="0.25">
      <c r="A615" s="32">
        <f>'Profit &amp; Loss'!A615</f>
        <v>0</v>
      </c>
      <c r="B615" s="35">
        <f>'Profit &amp; Loss'!B615</f>
        <v>0</v>
      </c>
      <c r="C615" s="36"/>
      <c r="D615" s="33"/>
      <c r="E615" s="33"/>
      <c r="F615" s="101"/>
      <c r="G615" s="102">
        <f t="shared" si="34"/>
        <v>0</v>
      </c>
      <c r="H615" s="103" t="str">
        <f t="shared" si="28"/>
        <v>0 tubes and 0 shuttles</v>
      </c>
      <c r="I615" s="36">
        <f t="shared" si="35"/>
        <v>0</v>
      </c>
      <c r="J615" s="104" t="str">
        <f t="shared" si="29"/>
        <v>0 tubes and 0 shuttles</v>
      </c>
      <c r="K615" s="36">
        <f t="shared" si="36"/>
        <v>0</v>
      </c>
      <c r="L615" s="103" t="str">
        <f t="shared" si="30"/>
        <v>0 tubes and 0 shuttles</v>
      </c>
      <c r="M615" s="105">
        <f t="shared" si="37"/>
        <v>0</v>
      </c>
      <c r="N615" s="103" t="str">
        <f t="shared" si="31"/>
        <v>0 tubes and 0 shuttles</v>
      </c>
      <c r="O615" s="36">
        <f t="shared" si="32"/>
        <v>0</v>
      </c>
      <c r="P615" s="103" t="str">
        <f t="shared" si="33"/>
        <v>0 tubes and 0 shuttles</v>
      </c>
    </row>
    <row r="616" spans="1:16" ht="12.5" x14ac:dyDescent="0.25">
      <c r="A616" s="32">
        <f>'Profit &amp; Loss'!A616</f>
        <v>0</v>
      </c>
      <c r="B616" s="35">
        <f>'Profit &amp; Loss'!B616</f>
        <v>0</v>
      </c>
      <c r="C616" s="36"/>
      <c r="D616" s="33"/>
      <c r="E616" s="33"/>
      <c r="F616" s="101"/>
      <c r="G616" s="102">
        <f t="shared" si="34"/>
        <v>0</v>
      </c>
      <c r="H616" s="103" t="str">
        <f t="shared" si="28"/>
        <v>0 tubes and 0 shuttles</v>
      </c>
      <c r="I616" s="36">
        <f t="shared" si="35"/>
        <v>0</v>
      </c>
      <c r="J616" s="104" t="str">
        <f t="shared" si="29"/>
        <v>0 tubes and 0 shuttles</v>
      </c>
      <c r="K616" s="36">
        <f t="shared" si="36"/>
        <v>0</v>
      </c>
      <c r="L616" s="103" t="str">
        <f t="shared" si="30"/>
        <v>0 tubes and 0 shuttles</v>
      </c>
      <c r="M616" s="105">
        <f t="shared" si="37"/>
        <v>0</v>
      </c>
      <c r="N616" s="103" t="str">
        <f t="shared" si="31"/>
        <v>0 tubes and 0 shuttles</v>
      </c>
      <c r="O616" s="36">
        <f t="shared" si="32"/>
        <v>0</v>
      </c>
      <c r="P616" s="103" t="str">
        <f t="shared" si="33"/>
        <v>0 tubes and 0 shuttles</v>
      </c>
    </row>
    <row r="617" spans="1:16" ht="12.5" x14ac:dyDescent="0.25">
      <c r="A617" s="32">
        <f>'Profit &amp; Loss'!A617</f>
        <v>0</v>
      </c>
      <c r="B617" s="35">
        <f>'Profit &amp; Loss'!B617</f>
        <v>0</v>
      </c>
      <c r="C617" s="36"/>
      <c r="D617" s="33"/>
      <c r="E617" s="33"/>
      <c r="F617" s="101"/>
      <c r="G617" s="102">
        <f t="shared" si="34"/>
        <v>0</v>
      </c>
      <c r="H617" s="103" t="str">
        <f t="shared" si="28"/>
        <v>0 tubes and 0 shuttles</v>
      </c>
      <c r="I617" s="36">
        <f t="shared" si="35"/>
        <v>0</v>
      </c>
      <c r="J617" s="104" t="str">
        <f t="shared" si="29"/>
        <v>0 tubes and 0 shuttles</v>
      </c>
      <c r="K617" s="36">
        <f t="shared" si="36"/>
        <v>0</v>
      </c>
      <c r="L617" s="103" t="str">
        <f t="shared" si="30"/>
        <v>0 tubes and 0 shuttles</v>
      </c>
      <c r="M617" s="105">
        <f t="shared" si="37"/>
        <v>0</v>
      </c>
      <c r="N617" s="103" t="str">
        <f t="shared" si="31"/>
        <v>0 tubes and 0 shuttles</v>
      </c>
      <c r="O617" s="36">
        <f t="shared" si="32"/>
        <v>0</v>
      </c>
      <c r="P617" s="103" t="str">
        <f t="shared" si="33"/>
        <v>0 tubes and 0 shuttles</v>
      </c>
    </row>
    <row r="618" spans="1:16" ht="12.5" x14ac:dyDescent="0.25">
      <c r="A618" s="32">
        <f>'Profit &amp; Loss'!A618</f>
        <v>0</v>
      </c>
      <c r="B618" s="35">
        <f>'Profit &amp; Loss'!B618</f>
        <v>0</v>
      </c>
      <c r="C618" s="36"/>
      <c r="D618" s="33"/>
      <c r="E618" s="33"/>
      <c r="F618" s="101"/>
      <c r="G618" s="102">
        <f t="shared" si="34"/>
        <v>0</v>
      </c>
      <c r="H618" s="103" t="str">
        <f t="shared" si="28"/>
        <v>0 tubes and 0 shuttles</v>
      </c>
      <c r="I618" s="36">
        <f t="shared" si="35"/>
        <v>0</v>
      </c>
      <c r="J618" s="104" t="str">
        <f t="shared" si="29"/>
        <v>0 tubes and 0 shuttles</v>
      </c>
      <c r="K618" s="36">
        <f t="shared" si="36"/>
        <v>0</v>
      </c>
      <c r="L618" s="103" t="str">
        <f t="shared" si="30"/>
        <v>0 tubes and 0 shuttles</v>
      </c>
      <c r="M618" s="105">
        <f t="shared" si="37"/>
        <v>0</v>
      </c>
      <c r="N618" s="103" t="str">
        <f t="shared" si="31"/>
        <v>0 tubes and 0 shuttles</v>
      </c>
      <c r="O618" s="36">
        <f t="shared" si="32"/>
        <v>0</v>
      </c>
      <c r="P618" s="103" t="str">
        <f t="shared" si="33"/>
        <v>0 tubes and 0 shuttles</v>
      </c>
    </row>
    <row r="619" spans="1:16" ht="12.5" x14ac:dyDescent="0.25">
      <c r="A619" s="32">
        <f>'Profit &amp; Loss'!A619</f>
        <v>0</v>
      </c>
      <c r="B619" s="35">
        <f>'Profit &amp; Loss'!B619</f>
        <v>0</v>
      </c>
      <c r="C619" s="36"/>
      <c r="D619" s="33"/>
      <c r="E619" s="33"/>
      <c r="F619" s="101"/>
      <c r="G619" s="102">
        <f t="shared" si="34"/>
        <v>0</v>
      </c>
      <c r="H619" s="103" t="str">
        <f t="shared" si="28"/>
        <v>0 tubes and 0 shuttles</v>
      </c>
      <c r="I619" s="36">
        <f t="shared" si="35"/>
        <v>0</v>
      </c>
      <c r="J619" s="104" t="str">
        <f t="shared" si="29"/>
        <v>0 tubes and 0 shuttles</v>
      </c>
      <c r="K619" s="36">
        <f t="shared" si="36"/>
        <v>0</v>
      </c>
      <c r="L619" s="103" t="str">
        <f t="shared" si="30"/>
        <v>0 tubes and 0 shuttles</v>
      </c>
      <c r="M619" s="105">
        <f t="shared" si="37"/>
        <v>0</v>
      </c>
      <c r="N619" s="103" t="str">
        <f t="shared" si="31"/>
        <v>0 tubes and 0 shuttles</v>
      </c>
      <c r="O619" s="36">
        <f t="shared" si="32"/>
        <v>0</v>
      </c>
      <c r="P619" s="103" t="str">
        <f t="shared" si="33"/>
        <v>0 tubes and 0 shuttles</v>
      </c>
    </row>
    <row r="620" spans="1:16" ht="12.5" x14ac:dyDescent="0.25">
      <c r="A620" s="32">
        <f>'Profit &amp; Loss'!A620</f>
        <v>0</v>
      </c>
      <c r="B620" s="35">
        <f>'Profit &amp; Loss'!B620</f>
        <v>0</v>
      </c>
      <c r="C620" s="36"/>
      <c r="D620" s="33"/>
      <c r="E620" s="33"/>
      <c r="F620" s="101"/>
      <c r="G620" s="102">
        <f t="shared" si="34"/>
        <v>0</v>
      </c>
      <c r="H620" s="103" t="str">
        <f t="shared" si="28"/>
        <v>0 tubes and 0 shuttles</v>
      </c>
      <c r="I620" s="36">
        <f t="shared" si="35"/>
        <v>0</v>
      </c>
      <c r="J620" s="104" t="str">
        <f t="shared" si="29"/>
        <v>0 tubes and 0 shuttles</v>
      </c>
      <c r="K620" s="36">
        <f t="shared" si="36"/>
        <v>0</v>
      </c>
      <c r="L620" s="103" t="str">
        <f t="shared" si="30"/>
        <v>0 tubes and 0 shuttles</v>
      </c>
      <c r="M620" s="105">
        <f t="shared" si="37"/>
        <v>0</v>
      </c>
      <c r="N620" s="103" t="str">
        <f t="shared" si="31"/>
        <v>0 tubes and 0 shuttles</v>
      </c>
      <c r="O620" s="36">
        <f t="shared" si="32"/>
        <v>0</v>
      </c>
      <c r="P620" s="103" t="str">
        <f t="shared" si="33"/>
        <v>0 tubes and 0 shuttles</v>
      </c>
    </row>
    <row r="621" spans="1:16" ht="12.5" x14ac:dyDescent="0.25">
      <c r="A621" s="32">
        <f>'Profit &amp; Loss'!A621</f>
        <v>0</v>
      </c>
      <c r="B621" s="35">
        <f>'Profit &amp; Loss'!B621</f>
        <v>0</v>
      </c>
      <c r="C621" s="36"/>
      <c r="D621" s="33"/>
      <c r="E621" s="33"/>
      <c r="F621" s="101"/>
      <c r="G621" s="102">
        <f t="shared" si="34"/>
        <v>0</v>
      </c>
      <c r="H621" s="103" t="str">
        <f t="shared" si="28"/>
        <v>0 tubes and 0 shuttles</v>
      </c>
      <c r="I621" s="36">
        <f t="shared" si="35"/>
        <v>0</v>
      </c>
      <c r="J621" s="104" t="str">
        <f t="shared" si="29"/>
        <v>0 tubes and 0 shuttles</v>
      </c>
      <c r="K621" s="36">
        <f t="shared" si="36"/>
        <v>0</v>
      </c>
      <c r="L621" s="103" t="str">
        <f t="shared" si="30"/>
        <v>0 tubes and 0 shuttles</v>
      </c>
      <c r="M621" s="105">
        <f t="shared" si="37"/>
        <v>0</v>
      </c>
      <c r="N621" s="103" t="str">
        <f t="shared" si="31"/>
        <v>0 tubes and 0 shuttles</v>
      </c>
      <c r="O621" s="36">
        <f t="shared" si="32"/>
        <v>0</v>
      </c>
      <c r="P621" s="103" t="str">
        <f t="shared" si="33"/>
        <v>0 tubes and 0 shuttles</v>
      </c>
    </row>
    <row r="622" spans="1:16" ht="12.5" x14ac:dyDescent="0.25">
      <c r="A622" s="32">
        <f>'Profit &amp; Loss'!A622</f>
        <v>0</v>
      </c>
      <c r="B622" s="35">
        <f>'Profit &amp; Loss'!B622</f>
        <v>0</v>
      </c>
      <c r="C622" s="36"/>
      <c r="D622" s="33"/>
      <c r="E622" s="33"/>
      <c r="F622" s="101"/>
      <c r="G622" s="102">
        <f t="shared" si="34"/>
        <v>0</v>
      </c>
      <c r="H622" s="103" t="str">
        <f t="shared" si="28"/>
        <v>0 tubes and 0 shuttles</v>
      </c>
      <c r="I622" s="36">
        <f t="shared" si="35"/>
        <v>0</v>
      </c>
      <c r="J622" s="104" t="str">
        <f t="shared" si="29"/>
        <v>0 tubes and 0 shuttles</v>
      </c>
      <c r="K622" s="36">
        <f t="shared" si="36"/>
        <v>0</v>
      </c>
      <c r="L622" s="103" t="str">
        <f t="shared" si="30"/>
        <v>0 tubes and 0 shuttles</v>
      </c>
      <c r="M622" s="105">
        <f t="shared" si="37"/>
        <v>0</v>
      </c>
      <c r="N622" s="103" t="str">
        <f t="shared" si="31"/>
        <v>0 tubes and 0 shuttles</v>
      </c>
      <c r="O622" s="36">
        <f t="shared" si="32"/>
        <v>0</v>
      </c>
      <c r="P622" s="103" t="str">
        <f t="shared" si="33"/>
        <v>0 tubes and 0 shuttles</v>
      </c>
    </row>
    <row r="623" spans="1:16" ht="12.5" x14ac:dyDescent="0.25">
      <c r="A623" s="32">
        <f>'Profit &amp; Loss'!A623</f>
        <v>0</v>
      </c>
      <c r="B623" s="35">
        <f>'Profit &amp; Loss'!B623</f>
        <v>0</v>
      </c>
      <c r="C623" s="36"/>
      <c r="D623" s="33"/>
      <c r="E623" s="33"/>
      <c r="F623" s="101"/>
      <c r="G623" s="102">
        <f t="shared" si="34"/>
        <v>0</v>
      </c>
      <c r="H623" s="103" t="str">
        <f t="shared" si="28"/>
        <v>0 tubes and 0 shuttles</v>
      </c>
      <c r="I623" s="36">
        <f t="shared" si="35"/>
        <v>0</v>
      </c>
      <c r="J623" s="104" t="str">
        <f t="shared" si="29"/>
        <v>0 tubes and 0 shuttles</v>
      </c>
      <c r="K623" s="36">
        <f t="shared" si="36"/>
        <v>0</v>
      </c>
      <c r="L623" s="103" t="str">
        <f t="shared" si="30"/>
        <v>0 tubes and 0 shuttles</v>
      </c>
      <c r="M623" s="105">
        <f t="shared" si="37"/>
        <v>0</v>
      </c>
      <c r="N623" s="103" t="str">
        <f t="shared" si="31"/>
        <v>0 tubes and 0 shuttles</v>
      </c>
      <c r="O623" s="36">
        <f t="shared" si="32"/>
        <v>0</v>
      </c>
      <c r="P623" s="103" t="str">
        <f t="shared" si="33"/>
        <v>0 tubes and 0 shuttles</v>
      </c>
    </row>
    <row r="624" spans="1:16" ht="12.5" x14ac:dyDescent="0.25">
      <c r="A624" s="32">
        <f>'Profit &amp; Loss'!A624</f>
        <v>0</v>
      </c>
      <c r="B624" s="35">
        <f>'Profit &amp; Loss'!B624</f>
        <v>0</v>
      </c>
      <c r="C624" s="36"/>
      <c r="D624" s="33"/>
      <c r="E624" s="33"/>
      <c r="F624" s="101"/>
      <c r="G624" s="102">
        <f t="shared" si="34"/>
        <v>0</v>
      </c>
      <c r="H624" s="103" t="str">
        <f t="shared" si="28"/>
        <v>0 tubes and 0 shuttles</v>
      </c>
      <c r="I624" s="36">
        <f t="shared" si="35"/>
        <v>0</v>
      </c>
      <c r="J624" s="104" t="str">
        <f t="shared" si="29"/>
        <v>0 tubes and 0 shuttles</v>
      </c>
      <c r="K624" s="36">
        <f t="shared" si="36"/>
        <v>0</v>
      </c>
      <c r="L624" s="103" t="str">
        <f t="shared" si="30"/>
        <v>0 tubes and 0 shuttles</v>
      </c>
      <c r="M624" s="105">
        <f t="shared" si="37"/>
        <v>0</v>
      </c>
      <c r="N624" s="103" t="str">
        <f t="shared" si="31"/>
        <v>0 tubes and 0 shuttles</v>
      </c>
      <c r="O624" s="36">
        <f t="shared" si="32"/>
        <v>0</v>
      </c>
      <c r="P624" s="103" t="str">
        <f t="shared" si="33"/>
        <v>0 tubes and 0 shuttles</v>
      </c>
    </row>
    <row r="625" spans="1:16" ht="12.5" x14ac:dyDescent="0.25">
      <c r="A625" s="32">
        <f>'Profit &amp; Loss'!A625</f>
        <v>0</v>
      </c>
      <c r="B625" s="35">
        <f>'Profit &amp; Loss'!B625</f>
        <v>0</v>
      </c>
      <c r="C625" s="36"/>
      <c r="D625" s="33"/>
      <c r="E625" s="33"/>
      <c r="F625" s="101"/>
      <c r="G625" s="102">
        <f t="shared" si="34"/>
        <v>0</v>
      </c>
      <c r="H625" s="103" t="str">
        <f t="shared" si="28"/>
        <v>0 tubes and 0 shuttles</v>
      </c>
      <c r="I625" s="36">
        <f t="shared" si="35"/>
        <v>0</v>
      </c>
      <c r="J625" s="104" t="str">
        <f t="shared" si="29"/>
        <v>0 tubes and 0 shuttles</v>
      </c>
      <c r="K625" s="36">
        <f t="shared" si="36"/>
        <v>0</v>
      </c>
      <c r="L625" s="103" t="str">
        <f t="shared" si="30"/>
        <v>0 tubes and 0 shuttles</v>
      </c>
      <c r="M625" s="105">
        <f t="shared" si="37"/>
        <v>0</v>
      </c>
      <c r="N625" s="103" t="str">
        <f t="shared" si="31"/>
        <v>0 tubes and 0 shuttles</v>
      </c>
      <c r="O625" s="36">
        <f t="shared" si="32"/>
        <v>0</v>
      </c>
      <c r="P625" s="103" t="str">
        <f t="shared" si="33"/>
        <v>0 tubes and 0 shuttles</v>
      </c>
    </row>
    <row r="626" spans="1:16" ht="12.5" x14ac:dyDescent="0.25">
      <c r="A626" s="32">
        <f>'Profit &amp; Loss'!A626</f>
        <v>0</v>
      </c>
      <c r="B626" s="35">
        <f>'Profit &amp; Loss'!B626</f>
        <v>0</v>
      </c>
      <c r="C626" s="36"/>
      <c r="D626" s="33"/>
      <c r="E626" s="33"/>
      <c r="F626" s="101"/>
      <c r="G626" s="102">
        <f t="shared" si="34"/>
        <v>0</v>
      </c>
      <c r="H626" s="103" t="str">
        <f t="shared" si="28"/>
        <v>0 tubes and 0 shuttles</v>
      </c>
      <c r="I626" s="36">
        <f t="shared" si="35"/>
        <v>0</v>
      </c>
      <c r="J626" s="104" t="str">
        <f t="shared" si="29"/>
        <v>0 tubes and 0 shuttles</v>
      </c>
      <c r="K626" s="36">
        <f t="shared" si="36"/>
        <v>0</v>
      </c>
      <c r="L626" s="103" t="str">
        <f t="shared" si="30"/>
        <v>0 tubes and 0 shuttles</v>
      </c>
      <c r="M626" s="105">
        <f t="shared" si="37"/>
        <v>0</v>
      </c>
      <c r="N626" s="103" t="str">
        <f t="shared" si="31"/>
        <v>0 tubes and 0 shuttles</v>
      </c>
      <c r="O626" s="36">
        <f t="shared" si="32"/>
        <v>0</v>
      </c>
      <c r="P626" s="103" t="str">
        <f t="shared" si="33"/>
        <v>0 tubes and 0 shuttles</v>
      </c>
    </row>
    <row r="627" spans="1:16" ht="12.5" x14ac:dyDescent="0.25">
      <c r="A627" s="32">
        <f>'Profit &amp; Loss'!A627</f>
        <v>0</v>
      </c>
      <c r="B627" s="35">
        <f>'Profit &amp; Loss'!B627</f>
        <v>0</v>
      </c>
      <c r="C627" s="36"/>
      <c r="D627" s="33"/>
      <c r="E627" s="33"/>
      <c r="F627" s="101"/>
      <c r="G627" s="102">
        <f t="shared" si="34"/>
        <v>0</v>
      </c>
      <c r="H627" s="103" t="str">
        <f t="shared" si="28"/>
        <v>0 tubes and 0 shuttles</v>
      </c>
      <c r="I627" s="36">
        <f t="shared" si="35"/>
        <v>0</v>
      </c>
      <c r="J627" s="104" t="str">
        <f t="shared" si="29"/>
        <v>0 tubes and 0 shuttles</v>
      </c>
      <c r="K627" s="36">
        <f t="shared" si="36"/>
        <v>0</v>
      </c>
      <c r="L627" s="103" t="str">
        <f t="shared" si="30"/>
        <v>0 tubes and 0 shuttles</v>
      </c>
      <c r="M627" s="105">
        <f t="shared" si="37"/>
        <v>0</v>
      </c>
      <c r="N627" s="103" t="str">
        <f t="shared" si="31"/>
        <v>0 tubes and 0 shuttles</v>
      </c>
      <c r="O627" s="36">
        <f t="shared" si="32"/>
        <v>0</v>
      </c>
      <c r="P627" s="103" t="str">
        <f t="shared" si="33"/>
        <v>0 tubes and 0 shuttles</v>
      </c>
    </row>
    <row r="628" spans="1:16" ht="12.5" x14ac:dyDescent="0.25">
      <c r="A628" s="32">
        <f>'Profit &amp; Loss'!A628</f>
        <v>0</v>
      </c>
      <c r="B628" s="35">
        <f>'Profit &amp; Loss'!B628</f>
        <v>0</v>
      </c>
      <c r="C628" s="36"/>
      <c r="D628" s="33"/>
      <c r="E628" s="33"/>
      <c r="F628" s="101"/>
      <c r="G628" s="102">
        <f t="shared" si="34"/>
        <v>0</v>
      </c>
      <c r="H628" s="103" t="str">
        <f t="shared" si="28"/>
        <v>0 tubes and 0 shuttles</v>
      </c>
      <c r="I628" s="36">
        <f t="shared" si="35"/>
        <v>0</v>
      </c>
      <c r="J628" s="104" t="str">
        <f t="shared" si="29"/>
        <v>0 tubes and 0 shuttles</v>
      </c>
      <c r="K628" s="36">
        <f t="shared" si="36"/>
        <v>0</v>
      </c>
      <c r="L628" s="103" t="str">
        <f t="shared" si="30"/>
        <v>0 tubes and 0 shuttles</v>
      </c>
      <c r="M628" s="105">
        <f t="shared" si="37"/>
        <v>0</v>
      </c>
      <c r="N628" s="103" t="str">
        <f t="shared" si="31"/>
        <v>0 tubes and 0 shuttles</v>
      </c>
      <c r="O628" s="36">
        <f t="shared" si="32"/>
        <v>0</v>
      </c>
      <c r="P628" s="103" t="str">
        <f t="shared" si="33"/>
        <v>0 tubes and 0 shuttles</v>
      </c>
    </row>
    <row r="629" spans="1:16" ht="12.5" x14ac:dyDescent="0.25">
      <c r="A629" s="32">
        <f>'Profit &amp; Loss'!A629</f>
        <v>0</v>
      </c>
      <c r="B629" s="35">
        <f>'Profit &amp; Loss'!B629</f>
        <v>0</v>
      </c>
      <c r="C629" s="36"/>
      <c r="D629" s="33"/>
      <c r="E629" s="33"/>
      <c r="F629" s="101"/>
      <c r="G629" s="102">
        <f t="shared" si="34"/>
        <v>0</v>
      </c>
      <c r="H629" s="103" t="str">
        <f t="shared" si="28"/>
        <v>0 tubes and 0 shuttles</v>
      </c>
      <c r="I629" s="36">
        <f t="shared" si="35"/>
        <v>0</v>
      </c>
      <c r="J629" s="104" t="str">
        <f t="shared" si="29"/>
        <v>0 tubes and 0 shuttles</v>
      </c>
      <c r="K629" s="36">
        <f t="shared" si="36"/>
        <v>0</v>
      </c>
      <c r="L629" s="103" t="str">
        <f t="shared" si="30"/>
        <v>0 tubes and 0 shuttles</v>
      </c>
      <c r="M629" s="105">
        <f t="shared" si="37"/>
        <v>0</v>
      </c>
      <c r="N629" s="103" t="str">
        <f t="shared" si="31"/>
        <v>0 tubes and 0 shuttles</v>
      </c>
      <c r="O629" s="36">
        <f t="shared" si="32"/>
        <v>0</v>
      </c>
      <c r="P629" s="103" t="str">
        <f t="shared" si="33"/>
        <v>0 tubes and 0 shuttles</v>
      </c>
    </row>
    <row r="630" spans="1:16" ht="12.5" x14ac:dyDescent="0.25">
      <c r="A630" s="32">
        <f>'Profit &amp; Loss'!A630</f>
        <v>0</v>
      </c>
      <c r="B630" s="35">
        <f>'Profit &amp; Loss'!B630</f>
        <v>0</v>
      </c>
      <c r="C630" s="36"/>
      <c r="D630" s="33"/>
      <c r="E630" s="33"/>
      <c r="F630" s="101"/>
      <c r="G630" s="102">
        <f t="shared" si="34"/>
        <v>0</v>
      </c>
      <c r="H630" s="103" t="str">
        <f t="shared" si="28"/>
        <v>0 tubes and 0 shuttles</v>
      </c>
      <c r="I630" s="36">
        <f t="shared" si="35"/>
        <v>0</v>
      </c>
      <c r="J630" s="104" t="str">
        <f t="shared" si="29"/>
        <v>0 tubes and 0 shuttles</v>
      </c>
      <c r="K630" s="36">
        <f t="shared" si="36"/>
        <v>0</v>
      </c>
      <c r="L630" s="103" t="str">
        <f t="shared" si="30"/>
        <v>0 tubes and 0 shuttles</v>
      </c>
      <c r="M630" s="105">
        <f t="shared" si="37"/>
        <v>0</v>
      </c>
      <c r="N630" s="103" t="str">
        <f t="shared" si="31"/>
        <v>0 tubes and 0 shuttles</v>
      </c>
      <c r="O630" s="36">
        <f t="shared" si="32"/>
        <v>0</v>
      </c>
      <c r="P630" s="103" t="str">
        <f t="shared" si="33"/>
        <v>0 tubes and 0 shuttles</v>
      </c>
    </row>
    <row r="631" spans="1:16" ht="12.5" x14ac:dyDescent="0.25">
      <c r="A631" s="32">
        <f>'Profit &amp; Loss'!A631</f>
        <v>0</v>
      </c>
      <c r="B631" s="35">
        <f>'Profit &amp; Loss'!B631</f>
        <v>0</v>
      </c>
      <c r="C631" s="36"/>
      <c r="D631" s="33"/>
      <c r="E631" s="33"/>
      <c r="F631" s="101"/>
      <c r="G631" s="102">
        <f t="shared" si="34"/>
        <v>0</v>
      </c>
      <c r="H631" s="103" t="str">
        <f t="shared" si="28"/>
        <v>0 tubes and 0 shuttles</v>
      </c>
      <c r="I631" s="36">
        <f t="shared" si="35"/>
        <v>0</v>
      </c>
      <c r="J631" s="104" t="str">
        <f t="shared" si="29"/>
        <v>0 tubes and 0 shuttles</v>
      </c>
      <c r="K631" s="36">
        <f t="shared" si="36"/>
        <v>0</v>
      </c>
      <c r="L631" s="103" t="str">
        <f t="shared" si="30"/>
        <v>0 tubes and 0 shuttles</v>
      </c>
      <c r="M631" s="105">
        <f t="shared" si="37"/>
        <v>0</v>
      </c>
      <c r="N631" s="103" t="str">
        <f t="shared" si="31"/>
        <v>0 tubes and 0 shuttles</v>
      </c>
      <c r="O631" s="36">
        <f t="shared" si="32"/>
        <v>0</v>
      </c>
      <c r="P631" s="103" t="str">
        <f t="shared" si="33"/>
        <v>0 tubes and 0 shuttles</v>
      </c>
    </row>
    <row r="632" spans="1:16" ht="12.5" x14ac:dyDescent="0.25">
      <c r="A632" s="32">
        <f>'Profit &amp; Loss'!A632</f>
        <v>0</v>
      </c>
      <c r="B632" s="35">
        <f>'Profit &amp; Loss'!B632</f>
        <v>0</v>
      </c>
      <c r="C632" s="36"/>
      <c r="D632" s="33"/>
      <c r="E632" s="33"/>
      <c r="F632" s="101"/>
      <c r="G632" s="102">
        <f t="shared" si="34"/>
        <v>0</v>
      </c>
      <c r="H632" s="103" t="str">
        <f t="shared" si="28"/>
        <v>0 tubes and 0 shuttles</v>
      </c>
      <c r="I632" s="36">
        <f t="shared" si="35"/>
        <v>0</v>
      </c>
      <c r="J632" s="104" t="str">
        <f t="shared" si="29"/>
        <v>0 tubes and 0 shuttles</v>
      </c>
      <c r="K632" s="36">
        <f t="shared" si="36"/>
        <v>0</v>
      </c>
      <c r="L632" s="103" t="str">
        <f t="shared" si="30"/>
        <v>0 tubes and 0 shuttles</v>
      </c>
      <c r="M632" s="105">
        <f t="shared" si="37"/>
        <v>0</v>
      </c>
      <c r="N632" s="103" t="str">
        <f t="shared" si="31"/>
        <v>0 tubes and 0 shuttles</v>
      </c>
      <c r="O632" s="36">
        <f t="shared" si="32"/>
        <v>0</v>
      </c>
      <c r="P632" s="103" t="str">
        <f t="shared" si="33"/>
        <v>0 tubes and 0 shuttles</v>
      </c>
    </row>
    <row r="633" spans="1:16" ht="12.5" x14ac:dyDescent="0.25">
      <c r="A633" s="32">
        <f>'Profit &amp; Loss'!A633</f>
        <v>0</v>
      </c>
      <c r="B633" s="35">
        <f>'Profit &amp; Loss'!B633</f>
        <v>0</v>
      </c>
      <c r="C633" s="36"/>
      <c r="D633" s="33"/>
      <c r="E633" s="33"/>
      <c r="F633" s="101"/>
      <c r="G633" s="102">
        <f t="shared" si="34"/>
        <v>0</v>
      </c>
      <c r="H633" s="103" t="str">
        <f t="shared" si="28"/>
        <v>0 tubes and 0 shuttles</v>
      </c>
      <c r="I633" s="36">
        <f t="shared" si="35"/>
        <v>0</v>
      </c>
      <c r="J633" s="104" t="str">
        <f t="shared" si="29"/>
        <v>0 tubes and 0 shuttles</v>
      </c>
      <c r="K633" s="36">
        <f t="shared" si="36"/>
        <v>0</v>
      </c>
      <c r="L633" s="103" t="str">
        <f t="shared" si="30"/>
        <v>0 tubes and 0 shuttles</v>
      </c>
      <c r="M633" s="105">
        <f t="shared" si="37"/>
        <v>0</v>
      </c>
      <c r="N633" s="103" t="str">
        <f t="shared" si="31"/>
        <v>0 tubes and 0 shuttles</v>
      </c>
      <c r="O633" s="36">
        <f t="shared" si="32"/>
        <v>0</v>
      </c>
      <c r="P633" s="103" t="str">
        <f t="shared" si="33"/>
        <v>0 tubes and 0 shuttles</v>
      </c>
    </row>
    <row r="634" spans="1:16" ht="12.5" x14ac:dyDescent="0.25">
      <c r="A634" s="32">
        <f>'Profit &amp; Loss'!A634</f>
        <v>0</v>
      </c>
      <c r="B634" s="35">
        <f>'Profit &amp; Loss'!B634</f>
        <v>0</v>
      </c>
      <c r="C634" s="36"/>
      <c r="D634" s="33"/>
      <c r="E634" s="33"/>
      <c r="F634" s="101"/>
      <c r="G634" s="102">
        <f t="shared" si="34"/>
        <v>0</v>
      </c>
      <c r="H634" s="103" t="str">
        <f t="shared" si="28"/>
        <v>0 tubes and 0 shuttles</v>
      </c>
      <c r="I634" s="36">
        <f t="shared" si="35"/>
        <v>0</v>
      </c>
      <c r="J634" s="104" t="str">
        <f t="shared" si="29"/>
        <v>0 tubes and 0 shuttles</v>
      </c>
      <c r="K634" s="36">
        <f t="shared" si="36"/>
        <v>0</v>
      </c>
      <c r="L634" s="103" t="str">
        <f t="shared" si="30"/>
        <v>0 tubes and 0 shuttles</v>
      </c>
      <c r="M634" s="105">
        <f t="shared" si="37"/>
        <v>0</v>
      </c>
      <c r="N634" s="103" t="str">
        <f t="shared" si="31"/>
        <v>0 tubes and 0 shuttles</v>
      </c>
      <c r="O634" s="36">
        <f t="shared" si="32"/>
        <v>0</v>
      </c>
      <c r="P634" s="103" t="str">
        <f t="shared" si="33"/>
        <v>0 tubes and 0 shuttles</v>
      </c>
    </row>
    <row r="635" spans="1:16" ht="12.5" x14ac:dyDescent="0.25">
      <c r="A635" s="32">
        <f>'Profit &amp; Loss'!A635</f>
        <v>0</v>
      </c>
      <c r="B635" s="35">
        <f>'Profit &amp; Loss'!B635</f>
        <v>0</v>
      </c>
      <c r="C635" s="36"/>
      <c r="D635" s="33"/>
      <c r="E635" s="33"/>
      <c r="F635" s="101"/>
      <c r="G635" s="102">
        <f t="shared" si="34"/>
        <v>0</v>
      </c>
      <c r="H635" s="103" t="str">
        <f t="shared" si="28"/>
        <v>0 tubes and 0 shuttles</v>
      </c>
      <c r="I635" s="36">
        <f t="shared" si="35"/>
        <v>0</v>
      </c>
      <c r="J635" s="104" t="str">
        <f t="shared" si="29"/>
        <v>0 tubes and 0 shuttles</v>
      </c>
      <c r="K635" s="36">
        <f t="shared" si="36"/>
        <v>0</v>
      </c>
      <c r="L635" s="103" t="str">
        <f t="shared" si="30"/>
        <v>0 tubes and 0 shuttles</v>
      </c>
      <c r="M635" s="105">
        <f t="shared" si="37"/>
        <v>0</v>
      </c>
      <c r="N635" s="103" t="str">
        <f t="shared" si="31"/>
        <v>0 tubes and 0 shuttles</v>
      </c>
      <c r="O635" s="36">
        <f t="shared" si="32"/>
        <v>0</v>
      </c>
      <c r="P635" s="103" t="str">
        <f t="shared" si="33"/>
        <v>0 tubes and 0 shuttles</v>
      </c>
    </row>
    <row r="636" spans="1:16" ht="12.5" x14ac:dyDescent="0.25">
      <c r="A636" s="32">
        <f>'Profit &amp; Loss'!A636</f>
        <v>0</v>
      </c>
      <c r="B636" s="35">
        <f>'Profit &amp; Loss'!B636</f>
        <v>0</v>
      </c>
      <c r="C636" s="36"/>
      <c r="D636" s="33"/>
      <c r="E636" s="33"/>
      <c r="F636" s="101"/>
      <c r="G636" s="102">
        <f t="shared" si="34"/>
        <v>0</v>
      </c>
      <c r="H636" s="103" t="str">
        <f t="shared" si="28"/>
        <v>0 tubes and 0 shuttles</v>
      </c>
      <c r="I636" s="36">
        <f t="shared" si="35"/>
        <v>0</v>
      </c>
      <c r="J636" s="104" t="str">
        <f t="shared" si="29"/>
        <v>0 tubes and 0 shuttles</v>
      </c>
      <c r="K636" s="36">
        <f t="shared" si="36"/>
        <v>0</v>
      </c>
      <c r="L636" s="103" t="str">
        <f t="shared" si="30"/>
        <v>0 tubes and 0 shuttles</v>
      </c>
      <c r="M636" s="105">
        <f t="shared" si="37"/>
        <v>0</v>
      </c>
      <c r="N636" s="103" t="str">
        <f t="shared" si="31"/>
        <v>0 tubes and 0 shuttles</v>
      </c>
      <c r="O636" s="36">
        <f t="shared" si="32"/>
        <v>0</v>
      </c>
      <c r="P636" s="103" t="str">
        <f t="shared" si="33"/>
        <v>0 tubes and 0 shuttles</v>
      </c>
    </row>
    <row r="637" spans="1:16" ht="12.5" x14ac:dyDescent="0.25">
      <c r="A637" s="32">
        <f>'Profit &amp; Loss'!A637</f>
        <v>0</v>
      </c>
      <c r="B637" s="35">
        <f>'Profit &amp; Loss'!B637</f>
        <v>0</v>
      </c>
      <c r="C637" s="36"/>
      <c r="D637" s="33"/>
      <c r="E637" s="33"/>
      <c r="F637" s="101"/>
      <c r="G637" s="102">
        <f t="shared" si="34"/>
        <v>0</v>
      </c>
      <c r="H637" s="103" t="str">
        <f t="shared" si="28"/>
        <v>0 tubes and 0 shuttles</v>
      </c>
      <c r="I637" s="36">
        <f t="shared" si="35"/>
        <v>0</v>
      </c>
      <c r="J637" s="104" t="str">
        <f t="shared" si="29"/>
        <v>0 tubes and 0 shuttles</v>
      </c>
      <c r="K637" s="36">
        <f t="shared" si="36"/>
        <v>0</v>
      </c>
      <c r="L637" s="103" t="str">
        <f t="shared" si="30"/>
        <v>0 tubes and 0 shuttles</v>
      </c>
      <c r="M637" s="105">
        <f t="shared" si="37"/>
        <v>0</v>
      </c>
      <c r="N637" s="103" t="str">
        <f t="shared" si="31"/>
        <v>0 tubes and 0 shuttles</v>
      </c>
      <c r="O637" s="36">
        <f t="shared" si="32"/>
        <v>0</v>
      </c>
      <c r="P637" s="103" t="str">
        <f t="shared" si="33"/>
        <v>0 tubes and 0 shuttles</v>
      </c>
    </row>
    <row r="638" spans="1:16" ht="12.5" x14ac:dyDescent="0.25">
      <c r="A638" s="32">
        <f>'Profit &amp; Loss'!A638</f>
        <v>0</v>
      </c>
      <c r="B638" s="35">
        <f>'Profit &amp; Loss'!B638</f>
        <v>0</v>
      </c>
      <c r="C638" s="36"/>
      <c r="D638" s="33"/>
      <c r="E638" s="33"/>
      <c r="F638" s="101"/>
      <c r="G638" s="102">
        <f t="shared" si="34"/>
        <v>0</v>
      </c>
      <c r="H638" s="103" t="str">
        <f t="shared" si="28"/>
        <v>0 tubes and 0 shuttles</v>
      </c>
      <c r="I638" s="36">
        <f t="shared" si="35"/>
        <v>0</v>
      </c>
      <c r="J638" s="104" t="str">
        <f t="shared" si="29"/>
        <v>0 tubes and 0 shuttles</v>
      </c>
      <c r="K638" s="36">
        <f t="shared" si="36"/>
        <v>0</v>
      </c>
      <c r="L638" s="103" t="str">
        <f t="shared" si="30"/>
        <v>0 tubes and 0 shuttles</v>
      </c>
      <c r="M638" s="105">
        <f t="shared" si="37"/>
        <v>0</v>
      </c>
      <c r="N638" s="103" t="str">
        <f t="shared" si="31"/>
        <v>0 tubes and 0 shuttles</v>
      </c>
      <c r="O638" s="36">
        <f t="shared" si="32"/>
        <v>0</v>
      </c>
      <c r="P638" s="103" t="str">
        <f t="shared" si="33"/>
        <v>0 tubes and 0 shuttles</v>
      </c>
    </row>
    <row r="639" spans="1:16" ht="12.5" x14ac:dyDescent="0.25">
      <c r="A639" s="32">
        <f>'Profit &amp; Loss'!A639</f>
        <v>0</v>
      </c>
      <c r="B639" s="35">
        <f>'Profit &amp; Loss'!B639</f>
        <v>0</v>
      </c>
      <c r="C639" s="36"/>
      <c r="D639" s="33"/>
      <c r="E639" s="33"/>
      <c r="F639" s="101"/>
      <c r="G639" s="102">
        <f t="shared" si="34"/>
        <v>0</v>
      </c>
      <c r="H639" s="103" t="str">
        <f t="shared" si="28"/>
        <v>0 tubes and 0 shuttles</v>
      </c>
      <c r="I639" s="36">
        <f t="shared" si="35"/>
        <v>0</v>
      </c>
      <c r="J639" s="104" t="str">
        <f t="shared" si="29"/>
        <v>0 tubes and 0 shuttles</v>
      </c>
      <c r="K639" s="36">
        <f t="shared" si="36"/>
        <v>0</v>
      </c>
      <c r="L639" s="103" t="str">
        <f t="shared" si="30"/>
        <v>0 tubes and 0 shuttles</v>
      </c>
      <c r="M639" s="105">
        <f t="shared" si="37"/>
        <v>0</v>
      </c>
      <c r="N639" s="103" t="str">
        <f t="shared" si="31"/>
        <v>0 tubes and 0 shuttles</v>
      </c>
      <c r="O639" s="36">
        <f t="shared" si="32"/>
        <v>0</v>
      </c>
      <c r="P639" s="103" t="str">
        <f t="shared" si="33"/>
        <v>0 tubes and 0 shuttles</v>
      </c>
    </row>
    <row r="640" spans="1:16" ht="12.5" x14ac:dyDescent="0.25">
      <c r="A640" s="32">
        <f>'Profit &amp; Loss'!A640</f>
        <v>0</v>
      </c>
      <c r="B640" s="35">
        <f>'Profit &amp; Loss'!B640</f>
        <v>0</v>
      </c>
      <c r="C640" s="36"/>
      <c r="D640" s="33"/>
      <c r="E640" s="33"/>
      <c r="F640" s="101"/>
      <c r="G640" s="102">
        <f t="shared" si="34"/>
        <v>0</v>
      </c>
      <c r="H640" s="103" t="str">
        <f t="shared" si="28"/>
        <v>0 tubes and 0 shuttles</v>
      </c>
      <c r="I640" s="36">
        <f t="shared" si="35"/>
        <v>0</v>
      </c>
      <c r="J640" s="104" t="str">
        <f t="shared" si="29"/>
        <v>0 tubes and 0 shuttles</v>
      </c>
      <c r="K640" s="36">
        <f t="shared" si="36"/>
        <v>0</v>
      </c>
      <c r="L640" s="103" t="str">
        <f t="shared" si="30"/>
        <v>0 tubes and 0 shuttles</v>
      </c>
      <c r="M640" s="105">
        <f t="shared" si="37"/>
        <v>0</v>
      </c>
      <c r="N640" s="103" t="str">
        <f t="shared" si="31"/>
        <v>0 tubes and 0 shuttles</v>
      </c>
      <c r="O640" s="36">
        <f t="shared" si="32"/>
        <v>0</v>
      </c>
      <c r="P640" s="103" t="str">
        <f t="shared" si="33"/>
        <v>0 tubes and 0 shuttles</v>
      </c>
    </row>
    <row r="641" spans="1:16" ht="12.5" x14ac:dyDescent="0.25">
      <c r="A641" s="32">
        <f>'Profit &amp; Loss'!A641</f>
        <v>0</v>
      </c>
      <c r="B641" s="35">
        <f>'Profit &amp; Loss'!B641</f>
        <v>0</v>
      </c>
      <c r="C641" s="36"/>
      <c r="D641" s="33"/>
      <c r="E641" s="33"/>
      <c r="F641" s="101"/>
      <c r="G641" s="102">
        <f t="shared" si="34"/>
        <v>0</v>
      </c>
      <c r="H641" s="103" t="str">
        <f t="shared" si="28"/>
        <v>0 tubes and 0 shuttles</v>
      </c>
      <c r="I641" s="36">
        <f t="shared" si="35"/>
        <v>0</v>
      </c>
      <c r="J641" s="104" t="str">
        <f t="shared" si="29"/>
        <v>0 tubes and 0 shuttles</v>
      </c>
      <c r="K641" s="36">
        <f t="shared" si="36"/>
        <v>0</v>
      </c>
      <c r="L641" s="103" t="str">
        <f t="shared" si="30"/>
        <v>0 tubes and 0 shuttles</v>
      </c>
      <c r="M641" s="105">
        <f t="shared" si="37"/>
        <v>0</v>
      </c>
      <c r="N641" s="103" t="str">
        <f t="shared" si="31"/>
        <v>0 tubes and 0 shuttles</v>
      </c>
      <c r="O641" s="36">
        <f t="shared" si="32"/>
        <v>0</v>
      </c>
      <c r="P641" s="103" t="str">
        <f t="shared" si="33"/>
        <v>0 tubes and 0 shuttles</v>
      </c>
    </row>
    <row r="642" spans="1:16" ht="12.5" x14ac:dyDescent="0.25">
      <c r="A642" s="32">
        <f>'Profit &amp; Loss'!A642</f>
        <v>0</v>
      </c>
      <c r="B642" s="35">
        <f>'Profit &amp; Loss'!B642</f>
        <v>0</v>
      </c>
      <c r="C642" s="36"/>
      <c r="D642" s="33"/>
      <c r="E642" s="33"/>
      <c r="F642" s="101"/>
      <c r="G642" s="102">
        <f t="shared" si="34"/>
        <v>0</v>
      </c>
      <c r="H642" s="103" t="str">
        <f t="shared" si="28"/>
        <v>0 tubes and 0 shuttles</v>
      </c>
      <c r="I642" s="36">
        <f t="shared" si="35"/>
        <v>0</v>
      </c>
      <c r="J642" s="104" t="str">
        <f t="shared" si="29"/>
        <v>0 tubes and 0 shuttles</v>
      </c>
      <c r="K642" s="36">
        <f t="shared" si="36"/>
        <v>0</v>
      </c>
      <c r="L642" s="103" t="str">
        <f t="shared" si="30"/>
        <v>0 tubes and 0 shuttles</v>
      </c>
      <c r="M642" s="105">
        <f t="shared" si="37"/>
        <v>0</v>
      </c>
      <c r="N642" s="103" t="str">
        <f t="shared" si="31"/>
        <v>0 tubes and 0 shuttles</v>
      </c>
      <c r="O642" s="36">
        <f t="shared" si="32"/>
        <v>0</v>
      </c>
      <c r="P642" s="103" t="str">
        <f t="shared" si="33"/>
        <v>0 tubes and 0 shuttles</v>
      </c>
    </row>
    <row r="643" spans="1:16" ht="12.5" x14ac:dyDescent="0.25">
      <c r="A643" s="32">
        <f>'Profit &amp; Loss'!A643</f>
        <v>0</v>
      </c>
      <c r="B643" s="35">
        <f>'Profit &amp; Loss'!B643</f>
        <v>0</v>
      </c>
      <c r="C643" s="36"/>
      <c r="D643" s="33"/>
      <c r="E643" s="33"/>
      <c r="F643" s="101"/>
      <c r="G643" s="102">
        <f t="shared" si="34"/>
        <v>0</v>
      </c>
      <c r="H643" s="103" t="str">
        <f t="shared" si="28"/>
        <v>0 tubes and 0 shuttles</v>
      </c>
      <c r="I643" s="36">
        <f t="shared" si="35"/>
        <v>0</v>
      </c>
      <c r="J643" s="104" t="str">
        <f t="shared" si="29"/>
        <v>0 tubes and 0 shuttles</v>
      </c>
      <c r="K643" s="36">
        <f t="shared" si="36"/>
        <v>0</v>
      </c>
      <c r="L643" s="103" t="str">
        <f t="shared" si="30"/>
        <v>0 tubes and 0 shuttles</v>
      </c>
      <c r="M643" s="105">
        <f t="shared" si="37"/>
        <v>0</v>
      </c>
      <c r="N643" s="103" t="str">
        <f t="shared" si="31"/>
        <v>0 tubes and 0 shuttles</v>
      </c>
      <c r="O643" s="36">
        <f t="shared" si="32"/>
        <v>0</v>
      </c>
      <c r="P643" s="103" t="str">
        <f t="shared" si="33"/>
        <v>0 tubes and 0 shuttles</v>
      </c>
    </row>
    <row r="644" spans="1:16" ht="12.5" x14ac:dyDescent="0.25">
      <c r="A644" s="32">
        <f>'Profit &amp; Loss'!A644</f>
        <v>0</v>
      </c>
      <c r="B644" s="35">
        <f>'Profit &amp; Loss'!B644</f>
        <v>0</v>
      </c>
      <c r="C644" s="36"/>
      <c r="D644" s="33"/>
      <c r="E644" s="33"/>
      <c r="F644" s="101"/>
      <c r="G644" s="102">
        <f t="shared" si="34"/>
        <v>0</v>
      </c>
      <c r="H644" s="103" t="str">
        <f t="shared" si="28"/>
        <v>0 tubes and 0 shuttles</v>
      </c>
      <c r="I644" s="36">
        <f t="shared" si="35"/>
        <v>0</v>
      </c>
      <c r="J644" s="104" t="str">
        <f t="shared" si="29"/>
        <v>0 tubes and 0 shuttles</v>
      </c>
      <c r="K644" s="36">
        <f t="shared" si="36"/>
        <v>0</v>
      </c>
      <c r="L644" s="103" t="str">
        <f t="shared" si="30"/>
        <v>0 tubes and 0 shuttles</v>
      </c>
      <c r="M644" s="105">
        <f t="shared" si="37"/>
        <v>0</v>
      </c>
      <c r="N644" s="103" t="str">
        <f t="shared" si="31"/>
        <v>0 tubes and 0 shuttles</v>
      </c>
      <c r="O644" s="36">
        <f t="shared" si="32"/>
        <v>0</v>
      </c>
      <c r="P644" s="103" t="str">
        <f t="shared" si="33"/>
        <v>0 tubes and 0 shuttles</v>
      </c>
    </row>
    <row r="645" spans="1:16" ht="12.5" x14ac:dyDescent="0.25">
      <c r="A645" s="32">
        <f>'Profit &amp; Loss'!A645</f>
        <v>0</v>
      </c>
      <c r="B645" s="35">
        <f>'Profit &amp; Loss'!B645</f>
        <v>0</v>
      </c>
      <c r="C645" s="36"/>
      <c r="D645" s="33"/>
      <c r="E645" s="33"/>
      <c r="F645" s="101"/>
      <c r="G645" s="102">
        <f t="shared" si="34"/>
        <v>0</v>
      </c>
      <c r="H645" s="103" t="str">
        <f t="shared" si="28"/>
        <v>0 tubes and 0 shuttles</v>
      </c>
      <c r="I645" s="36">
        <f t="shared" si="35"/>
        <v>0</v>
      </c>
      <c r="J645" s="104" t="str">
        <f t="shared" si="29"/>
        <v>0 tubes and 0 shuttles</v>
      </c>
      <c r="K645" s="36">
        <f t="shared" si="36"/>
        <v>0</v>
      </c>
      <c r="L645" s="103" t="str">
        <f t="shared" si="30"/>
        <v>0 tubes and 0 shuttles</v>
      </c>
      <c r="M645" s="105">
        <f t="shared" si="37"/>
        <v>0</v>
      </c>
      <c r="N645" s="103" t="str">
        <f t="shared" si="31"/>
        <v>0 tubes and 0 shuttles</v>
      </c>
      <c r="O645" s="36">
        <f t="shared" si="32"/>
        <v>0</v>
      </c>
      <c r="P645" s="103" t="str">
        <f t="shared" si="33"/>
        <v>0 tubes and 0 shuttles</v>
      </c>
    </row>
    <row r="646" spans="1:16" ht="12.5" x14ac:dyDescent="0.25">
      <c r="A646" s="32">
        <f>'Profit &amp; Loss'!A646</f>
        <v>0</v>
      </c>
      <c r="B646" s="35">
        <f>'Profit &amp; Loss'!B646</f>
        <v>0</v>
      </c>
      <c r="C646" s="36"/>
      <c r="D646" s="33"/>
      <c r="E646" s="33"/>
      <c r="F646" s="101"/>
      <c r="G646" s="102">
        <f t="shared" si="34"/>
        <v>0</v>
      </c>
      <c r="H646" s="103" t="str">
        <f t="shared" si="28"/>
        <v>0 tubes and 0 shuttles</v>
      </c>
      <c r="I646" s="36">
        <f t="shared" si="35"/>
        <v>0</v>
      </c>
      <c r="J646" s="104" t="str">
        <f t="shared" si="29"/>
        <v>0 tubes and 0 shuttles</v>
      </c>
      <c r="K646" s="36">
        <f t="shared" si="36"/>
        <v>0</v>
      </c>
      <c r="L646" s="103" t="str">
        <f t="shared" si="30"/>
        <v>0 tubes and 0 shuttles</v>
      </c>
      <c r="M646" s="105">
        <f t="shared" si="37"/>
        <v>0</v>
      </c>
      <c r="N646" s="103" t="str">
        <f t="shared" si="31"/>
        <v>0 tubes and 0 shuttles</v>
      </c>
      <c r="O646" s="36">
        <f t="shared" si="32"/>
        <v>0</v>
      </c>
      <c r="P646" s="103" t="str">
        <f t="shared" si="33"/>
        <v>0 tubes and 0 shuttles</v>
      </c>
    </row>
    <row r="647" spans="1:16" ht="12.5" x14ac:dyDescent="0.25">
      <c r="A647" s="32">
        <f>'Profit &amp; Loss'!A647</f>
        <v>0</v>
      </c>
      <c r="B647" s="35">
        <f>'Profit &amp; Loss'!B647</f>
        <v>0</v>
      </c>
      <c r="C647" s="36"/>
      <c r="D647" s="33"/>
      <c r="E647" s="33"/>
      <c r="F647" s="101"/>
      <c r="G647" s="102">
        <f t="shared" si="34"/>
        <v>0</v>
      </c>
      <c r="H647" s="103" t="str">
        <f t="shared" si="28"/>
        <v>0 tubes and 0 shuttles</v>
      </c>
      <c r="I647" s="36">
        <f t="shared" si="35"/>
        <v>0</v>
      </c>
      <c r="J647" s="104" t="str">
        <f t="shared" si="29"/>
        <v>0 tubes and 0 shuttles</v>
      </c>
      <c r="K647" s="36">
        <f t="shared" si="36"/>
        <v>0</v>
      </c>
      <c r="L647" s="103" t="str">
        <f t="shared" si="30"/>
        <v>0 tubes and 0 shuttles</v>
      </c>
      <c r="M647" s="105">
        <f t="shared" si="37"/>
        <v>0</v>
      </c>
      <c r="N647" s="103" t="str">
        <f t="shared" si="31"/>
        <v>0 tubes and 0 shuttles</v>
      </c>
      <c r="O647" s="36">
        <f t="shared" si="32"/>
        <v>0</v>
      </c>
      <c r="P647" s="103" t="str">
        <f t="shared" si="33"/>
        <v>0 tubes and 0 shuttles</v>
      </c>
    </row>
    <row r="648" spans="1:16" ht="12.5" x14ac:dyDescent="0.25">
      <c r="A648" s="32">
        <f>'Profit &amp; Loss'!A648</f>
        <v>0</v>
      </c>
      <c r="B648" s="35">
        <f>'Profit &amp; Loss'!B648</f>
        <v>0</v>
      </c>
      <c r="C648" s="36"/>
      <c r="D648" s="33"/>
      <c r="E648" s="33"/>
      <c r="F648" s="101"/>
      <c r="G648" s="102">
        <f t="shared" si="34"/>
        <v>0</v>
      </c>
      <c r="H648" s="103" t="str">
        <f t="shared" si="28"/>
        <v>0 tubes and 0 shuttles</v>
      </c>
      <c r="I648" s="36">
        <f t="shared" si="35"/>
        <v>0</v>
      </c>
      <c r="J648" s="104" t="str">
        <f t="shared" si="29"/>
        <v>0 tubes and 0 shuttles</v>
      </c>
      <c r="K648" s="36">
        <f t="shared" si="36"/>
        <v>0</v>
      </c>
      <c r="L648" s="103" t="str">
        <f t="shared" si="30"/>
        <v>0 tubes and 0 shuttles</v>
      </c>
      <c r="M648" s="105">
        <f t="shared" si="37"/>
        <v>0</v>
      </c>
      <c r="N648" s="103" t="str">
        <f t="shared" si="31"/>
        <v>0 tubes and 0 shuttles</v>
      </c>
      <c r="O648" s="36">
        <f t="shared" si="32"/>
        <v>0</v>
      </c>
      <c r="P648" s="103" t="str">
        <f t="shared" si="33"/>
        <v>0 tubes and 0 shuttles</v>
      </c>
    </row>
    <row r="649" spans="1:16" ht="12.5" x14ac:dyDescent="0.25">
      <c r="A649" s="32">
        <f>'Profit &amp; Loss'!A649</f>
        <v>0</v>
      </c>
      <c r="B649" s="35">
        <f>'Profit &amp; Loss'!B649</f>
        <v>0</v>
      </c>
      <c r="C649" s="36"/>
      <c r="D649" s="33"/>
      <c r="E649" s="33"/>
      <c r="F649" s="101"/>
      <c r="G649" s="102">
        <f t="shared" si="34"/>
        <v>0</v>
      </c>
      <c r="H649" s="103" t="str">
        <f t="shared" si="28"/>
        <v>0 tubes and 0 shuttles</v>
      </c>
      <c r="I649" s="36">
        <f t="shared" si="35"/>
        <v>0</v>
      </c>
      <c r="J649" s="104" t="str">
        <f t="shared" si="29"/>
        <v>0 tubes and 0 shuttles</v>
      </c>
      <c r="K649" s="36">
        <f t="shared" si="36"/>
        <v>0</v>
      </c>
      <c r="L649" s="103" t="str">
        <f t="shared" si="30"/>
        <v>0 tubes and 0 shuttles</v>
      </c>
      <c r="M649" s="105">
        <f t="shared" si="37"/>
        <v>0</v>
      </c>
      <c r="N649" s="103" t="str">
        <f t="shared" si="31"/>
        <v>0 tubes and 0 shuttles</v>
      </c>
      <c r="O649" s="36">
        <f t="shared" si="32"/>
        <v>0</v>
      </c>
      <c r="P649" s="103" t="str">
        <f t="shared" si="33"/>
        <v>0 tubes and 0 shuttles</v>
      </c>
    </row>
    <row r="650" spans="1:16" ht="12.5" x14ac:dyDescent="0.25">
      <c r="A650" s="32">
        <f>'Profit &amp; Loss'!A650</f>
        <v>0</v>
      </c>
      <c r="B650" s="35">
        <f>'Profit &amp; Loss'!B650</f>
        <v>0</v>
      </c>
      <c r="C650" s="36"/>
      <c r="D650" s="33"/>
      <c r="E650" s="33"/>
      <c r="F650" s="101"/>
      <c r="G650" s="102">
        <f t="shared" si="34"/>
        <v>0</v>
      </c>
      <c r="H650" s="103" t="str">
        <f t="shared" si="28"/>
        <v>0 tubes and 0 shuttles</v>
      </c>
      <c r="I650" s="36">
        <f t="shared" si="35"/>
        <v>0</v>
      </c>
      <c r="J650" s="104" t="str">
        <f t="shared" si="29"/>
        <v>0 tubes and 0 shuttles</v>
      </c>
      <c r="K650" s="36">
        <f t="shared" si="36"/>
        <v>0</v>
      </c>
      <c r="L650" s="103" t="str">
        <f t="shared" si="30"/>
        <v>0 tubes and 0 shuttles</v>
      </c>
      <c r="M650" s="105">
        <f t="shared" si="37"/>
        <v>0</v>
      </c>
      <c r="N650" s="103" t="str">
        <f t="shared" si="31"/>
        <v>0 tubes and 0 shuttles</v>
      </c>
      <c r="O650" s="36">
        <f t="shared" si="32"/>
        <v>0</v>
      </c>
      <c r="P650" s="103" t="str">
        <f t="shared" si="33"/>
        <v>0 tubes and 0 shuttles</v>
      </c>
    </row>
    <row r="651" spans="1:16" ht="12.5" x14ac:dyDescent="0.25">
      <c r="A651" s="32">
        <f>'Profit &amp; Loss'!A651</f>
        <v>0</v>
      </c>
      <c r="B651" s="35">
        <f>'Profit &amp; Loss'!B651</f>
        <v>0</v>
      </c>
      <c r="C651" s="36"/>
      <c r="D651" s="33"/>
      <c r="E651" s="33"/>
      <c r="F651" s="101"/>
      <c r="G651" s="102">
        <f t="shared" si="34"/>
        <v>0</v>
      </c>
      <c r="H651" s="103" t="str">
        <f t="shared" si="28"/>
        <v>0 tubes and 0 shuttles</v>
      </c>
      <c r="I651" s="36">
        <f t="shared" si="35"/>
        <v>0</v>
      </c>
      <c r="J651" s="104" t="str">
        <f t="shared" si="29"/>
        <v>0 tubes and 0 shuttles</v>
      </c>
      <c r="K651" s="36">
        <f t="shared" si="36"/>
        <v>0</v>
      </c>
      <c r="L651" s="103" t="str">
        <f t="shared" si="30"/>
        <v>0 tubes and 0 shuttles</v>
      </c>
      <c r="M651" s="105">
        <f t="shared" si="37"/>
        <v>0</v>
      </c>
      <c r="N651" s="103" t="str">
        <f t="shared" si="31"/>
        <v>0 tubes and 0 shuttles</v>
      </c>
      <c r="O651" s="36">
        <f t="shared" si="32"/>
        <v>0</v>
      </c>
      <c r="P651" s="103" t="str">
        <f t="shared" si="33"/>
        <v>0 tubes and 0 shuttles</v>
      </c>
    </row>
    <row r="652" spans="1:16" ht="12.5" x14ac:dyDescent="0.25">
      <c r="A652" s="32">
        <f>'Profit &amp; Loss'!A652</f>
        <v>0</v>
      </c>
      <c r="B652" s="35">
        <f>'Profit &amp; Loss'!B652</f>
        <v>0</v>
      </c>
      <c r="C652" s="36"/>
      <c r="D652" s="33"/>
      <c r="E652" s="33"/>
      <c r="F652" s="101"/>
      <c r="G652" s="102">
        <f t="shared" si="34"/>
        <v>0</v>
      </c>
      <c r="H652" s="103" t="str">
        <f t="shared" si="28"/>
        <v>0 tubes and 0 shuttles</v>
      </c>
      <c r="I652" s="36">
        <f t="shared" si="35"/>
        <v>0</v>
      </c>
      <c r="J652" s="104" t="str">
        <f t="shared" si="29"/>
        <v>0 tubes and 0 shuttles</v>
      </c>
      <c r="K652" s="36">
        <f t="shared" si="36"/>
        <v>0</v>
      </c>
      <c r="L652" s="103" t="str">
        <f t="shared" si="30"/>
        <v>0 tubes and 0 shuttles</v>
      </c>
      <c r="M652" s="105">
        <f t="shared" si="37"/>
        <v>0</v>
      </c>
      <c r="N652" s="103" t="str">
        <f t="shared" si="31"/>
        <v>0 tubes and 0 shuttles</v>
      </c>
      <c r="O652" s="36">
        <f t="shared" si="32"/>
        <v>0</v>
      </c>
      <c r="P652" s="103" t="str">
        <f t="shared" si="33"/>
        <v>0 tubes and 0 shuttles</v>
      </c>
    </row>
    <row r="653" spans="1:16" ht="12.5" x14ac:dyDescent="0.25">
      <c r="A653" s="32">
        <f>'Profit &amp; Loss'!A653</f>
        <v>0</v>
      </c>
      <c r="B653" s="35">
        <f>'Profit &amp; Loss'!B653</f>
        <v>0</v>
      </c>
      <c r="C653" s="36"/>
      <c r="D653" s="33"/>
      <c r="E653" s="33"/>
      <c r="F653" s="101"/>
      <c r="G653" s="102">
        <f t="shared" si="34"/>
        <v>0</v>
      </c>
      <c r="H653" s="103" t="str">
        <f t="shared" si="28"/>
        <v>0 tubes and 0 shuttles</v>
      </c>
      <c r="I653" s="36">
        <f t="shared" si="35"/>
        <v>0</v>
      </c>
      <c r="J653" s="104" t="str">
        <f t="shared" si="29"/>
        <v>0 tubes and 0 shuttles</v>
      </c>
      <c r="K653" s="36">
        <f t="shared" si="36"/>
        <v>0</v>
      </c>
      <c r="L653" s="103" t="str">
        <f t="shared" si="30"/>
        <v>0 tubes and 0 shuttles</v>
      </c>
      <c r="M653" s="105">
        <f t="shared" si="37"/>
        <v>0</v>
      </c>
      <c r="N653" s="103" t="str">
        <f t="shared" si="31"/>
        <v>0 tubes and 0 shuttles</v>
      </c>
      <c r="O653" s="36">
        <f t="shared" si="32"/>
        <v>0</v>
      </c>
      <c r="P653" s="103" t="str">
        <f t="shared" si="33"/>
        <v>0 tubes and 0 shuttles</v>
      </c>
    </row>
    <row r="654" spans="1:16" ht="12.5" x14ac:dyDescent="0.25">
      <c r="A654" s="32">
        <f>'Profit &amp; Loss'!A654</f>
        <v>0</v>
      </c>
      <c r="B654" s="35">
        <f>'Profit &amp; Loss'!B654</f>
        <v>0</v>
      </c>
      <c r="C654" s="36"/>
      <c r="D654" s="33"/>
      <c r="E654" s="33"/>
      <c r="F654" s="101"/>
      <c r="G654" s="102">
        <f t="shared" si="34"/>
        <v>0</v>
      </c>
      <c r="H654" s="103" t="str">
        <f t="shared" si="28"/>
        <v>0 tubes and 0 shuttles</v>
      </c>
      <c r="I654" s="36">
        <f t="shared" si="35"/>
        <v>0</v>
      </c>
      <c r="J654" s="104" t="str">
        <f t="shared" si="29"/>
        <v>0 tubes and 0 shuttles</v>
      </c>
      <c r="K654" s="36">
        <f t="shared" si="36"/>
        <v>0</v>
      </c>
      <c r="L654" s="103" t="str">
        <f t="shared" si="30"/>
        <v>0 tubes and 0 shuttles</v>
      </c>
      <c r="M654" s="105">
        <f t="shared" si="37"/>
        <v>0</v>
      </c>
      <c r="N654" s="103" t="str">
        <f t="shared" si="31"/>
        <v>0 tubes and 0 shuttles</v>
      </c>
      <c r="O654" s="36">
        <f t="shared" si="32"/>
        <v>0</v>
      </c>
      <c r="P654" s="103" t="str">
        <f t="shared" si="33"/>
        <v>0 tubes and 0 shuttles</v>
      </c>
    </row>
    <row r="655" spans="1:16" ht="12.5" x14ac:dyDescent="0.25">
      <c r="A655" s="32">
        <f>'Profit &amp; Loss'!A655</f>
        <v>0</v>
      </c>
      <c r="B655" s="35">
        <f>'Profit &amp; Loss'!B655</f>
        <v>0</v>
      </c>
      <c r="C655" s="36"/>
      <c r="D655" s="33"/>
      <c r="E655" s="33"/>
      <c r="F655" s="101"/>
      <c r="G655" s="102">
        <f t="shared" si="34"/>
        <v>0</v>
      </c>
      <c r="H655" s="103" t="str">
        <f t="shared" si="28"/>
        <v>0 tubes and 0 shuttles</v>
      </c>
      <c r="I655" s="36">
        <f t="shared" si="35"/>
        <v>0</v>
      </c>
      <c r="J655" s="104" t="str">
        <f t="shared" si="29"/>
        <v>0 tubes and 0 shuttles</v>
      </c>
      <c r="K655" s="36">
        <f t="shared" si="36"/>
        <v>0</v>
      </c>
      <c r="L655" s="103" t="str">
        <f t="shared" si="30"/>
        <v>0 tubes and 0 shuttles</v>
      </c>
      <c r="M655" s="105">
        <f t="shared" si="37"/>
        <v>0</v>
      </c>
      <c r="N655" s="103" t="str">
        <f t="shared" si="31"/>
        <v>0 tubes and 0 shuttles</v>
      </c>
      <c r="O655" s="36">
        <f t="shared" si="32"/>
        <v>0</v>
      </c>
      <c r="P655" s="103" t="str">
        <f t="shared" si="33"/>
        <v>0 tubes and 0 shuttles</v>
      </c>
    </row>
    <row r="656" spans="1:16" ht="12.5" x14ac:dyDescent="0.25">
      <c r="A656" s="32">
        <f>'Profit &amp; Loss'!A656</f>
        <v>0</v>
      </c>
      <c r="B656" s="35">
        <f>'Profit &amp; Loss'!B656</f>
        <v>0</v>
      </c>
      <c r="C656" s="36"/>
      <c r="D656" s="33"/>
      <c r="E656" s="33"/>
      <c r="F656" s="101"/>
      <c r="G656" s="102">
        <f t="shared" si="34"/>
        <v>0</v>
      </c>
      <c r="H656" s="103" t="str">
        <f t="shared" si="28"/>
        <v>0 tubes and 0 shuttles</v>
      </c>
      <c r="I656" s="36">
        <f t="shared" si="35"/>
        <v>0</v>
      </c>
      <c r="J656" s="104" t="str">
        <f t="shared" si="29"/>
        <v>0 tubes and 0 shuttles</v>
      </c>
      <c r="K656" s="36">
        <f t="shared" si="36"/>
        <v>0</v>
      </c>
      <c r="L656" s="103" t="str">
        <f t="shared" si="30"/>
        <v>0 tubes and 0 shuttles</v>
      </c>
      <c r="M656" s="105">
        <f t="shared" si="37"/>
        <v>0</v>
      </c>
      <c r="N656" s="103" t="str">
        <f t="shared" si="31"/>
        <v>0 tubes and 0 shuttles</v>
      </c>
      <c r="O656" s="36">
        <f t="shared" si="32"/>
        <v>0</v>
      </c>
      <c r="P656" s="103" t="str">
        <f t="shared" si="33"/>
        <v>0 tubes and 0 shuttles</v>
      </c>
    </row>
    <row r="657" spans="1:16" ht="12.5" x14ac:dyDescent="0.25">
      <c r="A657" s="32">
        <f>'Profit &amp; Loss'!A657</f>
        <v>0</v>
      </c>
      <c r="B657" s="35">
        <f>'Profit &amp; Loss'!B657</f>
        <v>0</v>
      </c>
      <c r="C657" s="36"/>
      <c r="D657" s="33"/>
      <c r="E657" s="33"/>
      <c r="F657" s="101"/>
      <c r="G657" s="102">
        <f t="shared" si="34"/>
        <v>0</v>
      </c>
      <c r="H657" s="103" t="str">
        <f t="shared" si="28"/>
        <v>0 tubes and 0 shuttles</v>
      </c>
      <c r="I657" s="36">
        <f t="shared" si="35"/>
        <v>0</v>
      </c>
      <c r="J657" s="104" t="str">
        <f t="shared" si="29"/>
        <v>0 tubes and 0 shuttles</v>
      </c>
      <c r="K657" s="36">
        <f t="shared" si="36"/>
        <v>0</v>
      </c>
      <c r="L657" s="103" t="str">
        <f t="shared" si="30"/>
        <v>0 tubes and 0 shuttles</v>
      </c>
      <c r="M657" s="105">
        <f t="shared" si="37"/>
        <v>0</v>
      </c>
      <c r="N657" s="103" t="str">
        <f t="shared" si="31"/>
        <v>0 tubes and 0 shuttles</v>
      </c>
      <c r="O657" s="36">
        <f t="shared" si="32"/>
        <v>0</v>
      </c>
      <c r="P657" s="103" t="str">
        <f t="shared" si="33"/>
        <v>0 tubes and 0 shuttles</v>
      </c>
    </row>
    <row r="658" spans="1:16" ht="12.5" x14ac:dyDescent="0.25">
      <c r="A658" s="32">
        <f>'Profit &amp; Loss'!A658</f>
        <v>0</v>
      </c>
      <c r="B658" s="35">
        <f>'Profit &amp; Loss'!B658</f>
        <v>0</v>
      </c>
      <c r="C658" s="36"/>
      <c r="D658" s="33"/>
      <c r="E658" s="33"/>
      <c r="F658" s="101"/>
      <c r="G658" s="102">
        <f t="shared" si="34"/>
        <v>0</v>
      </c>
      <c r="H658" s="103" t="str">
        <f t="shared" si="28"/>
        <v>0 tubes and 0 shuttles</v>
      </c>
      <c r="I658" s="36">
        <f t="shared" si="35"/>
        <v>0</v>
      </c>
      <c r="J658" s="104" t="str">
        <f t="shared" si="29"/>
        <v>0 tubes and 0 shuttles</v>
      </c>
      <c r="K658" s="36">
        <f t="shared" si="36"/>
        <v>0</v>
      </c>
      <c r="L658" s="103" t="str">
        <f t="shared" si="30"/>
        <v>0 tubes and 0 shuttles</v>
      </c>
      <c r="M658" s="105">
        <f t="shared" si="37"/>
        <v>0</v>
      </c>
      <c r="N658" s="103" t="str">
        <f t="shared" si="31"/>
        <v>0 tubes and 0 shuttles</v>
      </c>
      <c r="O658" s="36">
        <f t="shared" si="32"/>
        <v>0</v>
      </c>
      <c r="P658" s="103" t="str">
        <f t="shared" si="33"/>
        <v>0 tubes and 0 shuttles</v>
      </c>
    </row>
    <row r="659" spans="1:16" ht="12.5" x14ac:dyDescent="0.25">
      <c r="A659" s="32">
        <f>'Profit &amp; Loss'!A659</f>
        <v>0</v>
      </c>
      <c r="B659" s="35">
        <f>'Profit &amp; Loss'!B659</f>
        <v>0</v>
      </c>
      <c r="C659" s="36"/>
      <c r="D659" s="33"/>
      <c r="E659" s="33"/>
      <c r="F659" s="101"/>
      <c r="G659" s="102">
        <f t="shared" si="34"/>
        <v>0</v>
      </c>
      <c r="H659" s="103" t="str">
        <f t="shared" si="28"/>
        <v>0 tubes and 0 shuttles</v>
      </c>
      <c r="I659" s="36">
        <f t="shared" si="35"/>
        <v>0</v>
      </c>
      <c r="J659" s="104" t="str">
        <f t="shared" si="29"/>
        <v>0 tubes and 0 shuttles</v>
      </c>
      <c r="K659" s="36">
        <f t="shared" si="36"/>
        <v>0</v>
      </c>
      <c r="L659" s="103" t="str">
        <f t="shared" si="30"/>
        <v>0 tubes and 0 shuttles</v>
      </c>
      <c r="M659" s="105">
        <f t="shared" si="37"/>
        <v>0</v>
      </c>
      <c r="N659" s="103" t="str">
        <f t="shared" si="31"/>
        <v>0 tubes and 0 shuttles</v>
      </c>
      <c r="O659" s="36">
        <f t="shared" si="32"/>
        <v>0</v>
      </c>
      <c r="P659" s="103" t="str">
        <f t="shared" si="33"/>
        <v>0 tubes and 0 shuttles</v>
      </c>
    </row>
    <row r="660" spans="1:16" ht="12.5" x14ac:dyDescent="0.25">
      <c r="A660" s="32">
        <f>'Profit &amp; Loss'!A660</f>
        <v>0</v>
      </c>
      <c r="B660" s="35">
        <f>'Profit &amp; Loss'!B660</f>
        <v>0</v>
      </c>
      <c r="C660" s="36"/>
      <c r="D660" s="33"/>
      <c r="E660" s="33"/>
      <c r="F660" s="101"/>
      <c r="G660" s="102">
        <f t="shared" si="34"/>
        <v>0</v>
      </c>
      <c r="H660" s="103" t="str">
        <f t="shared" si="28"/>
        <v>0 tubes and 0 shuttles</v>
      </c>
      <c r="I660" s="36">
        <f t="shared" si="35"/>
        <v>0</v>
      </c>
      <c r="J660" s="104" t="str">
        <f t="shared" si="29"/>
        <v>0 tubes and 0 shuttles</v>
      </c>
      <c r="K660" s="36">
        <f t="shared" si="36"/>
        <v>0</v>
      </c>
      <c r="L660" s="103" t="str">
        <f t="shared" si="30"/>
        <v>0 tubes and 0 shuttles</v>
      </c>
      <c r="M660" s="105">
        <f t="shared" si="37"/>
        <v>0</v>
      </c>
      <c r="N660" s="103" t="str">
        <f t="shared" si="31"/>
        <v>0 tubes and 0 shuttles</v>
      </c>
      <c r="O660" s="36">
        <f t="shared" si="32"/>
        <v>0</v>
      </c>
      <c r="P660" s="103" t="str">
        <f t="shared" si="33"/>
        <v>0 tubes and 0 shuttles</v>
      </c>
    </row>
    <row r="661" spans="1:16" ht="12.5" x14ac:dyDescent="0.25">
      <c r="A661" s="32">
        <f>'Profit &amp; Loss'!A661</f>
        <v>0</v>
      </c>
      <c r="B661" s="35">
        <f>'Profit &amp; Loss'!B661</f>
        <v>0</v>
      </c>
      <c r="C661" s="36"/>
      <c r="D661" s="33"/>
      <c r="E661" s="33"/>
      <c r="F661" s="101"/>
      <c r="G661" s="102">
        <f t="shared" si="34"/>
        <v>0</v>
      </c>
      <c r="H661" s="103" t="str">
        <f t="shared" si="28"/>
        <v>0 tubes and 0 shuttles</v>
      </c>
      <c r="I661" s="36">
        <f t="shared" si="35"/>
        <v>0</v>
      </c>
      <c r="J661" s="104" t="str">
        <f t="shared" si="29"/>
        <v>0 tubes and 0 shuttles</v>
      </c>
      <c r="K661" s="36">
        <f t="shared" si="36"/>
        <v>0</v>
      </c>
      <c r="L661" s="103" t="str">
        <f t="shared" si="30"/>
        <v>0 tubes and 0 shuttles</v>
      </c>
      <c r="M661" s="105">
        <f t="shared" si="37"/>
        <v>0</v>
      </c>
      <c r="N661" s="103" t="str">
        <f t="shared" si="31"/>
        <v>0 tubes and 0 shuttles</v>
      </c>
      <c r="O661" s="36">
        <f t="shared" si="32"/>
        <v>0</v>
      </c>
      <c r="P661" s="103" t="str">
        <f t="shared" si="33"/>
        <v>0 tubes and 0 shuttles</v>
      </c>
    </row>
    <row r="662" spans="1:16" ht="12.5" x14ac:dyDescent="0.25">
      <c r="A662" s="32">
        <f>'Profit &amp; Loss'!A662</f>
        <v>0</v>
      </c>
      <c r="B662" s="35">
        <f>'Profit &amp; Loss'!B662</f>
        <v>0</v>
      </c>
      <c r="C662" s="36"/>
      <c r="D662" s="33"/>
      <c r="E662" s="33"/>
      <c r="F662" s="101"/>
      <c r="G662" s="102">
        <f t="shared" si="34"/>
        <v>0</v>
      </c>
      <c r="H662" s="103" t="str">
        <f t="shared" si="28"/>
        <v>0 tubes and 0 shuttles</v>
      </c>
      <c r="I662" s="36">
        <f t="shared" si="35"/>
        <v>0</v>
      </c>
      <c r="J662" s="104" t="str">
        <f t="shared" si="29"/>
        <v>0 tubes and 0 shuttles</v>
      </c>
      <c r="K662" s="36">
        <f t="shared" si="36"/>
        <v>0</v>
      </c>
      <c r="L662" s="103" t="str">
        <f t="shared" si="30"/>
        <v>0 tubes and 0 shuttles</v>
      </c>
      <c r="M662" s="105">
        <f t="shared" si="37"/>
        <v>0</v>
      </c>
      <c r="N662" s="103" t="str">
        <f t="shared" si="31"/>
        <v>0 tubes and 0 shuttles</v>
      </c>
      <c r="O662" s="36">
        <f t="shared" si="32"/>
        <v>0</v>
      </c>
      <c r="P662" s="103" t="str">
        <f t="shared" si="33"/>
        <v>0 tubes and 0 shuttles</v>
      </c>
    </row>
    <row r="663" spans="1:16" ht="12.5" x14ac:dyDescent="0.25">
      <c r="A663" s="32">
        <f>'Profit &amp; Loss'!A663</f>
        <v>0</v>
      </c>
      <c r="B663" s="35">
        <f>'Profit &amp; Loss'!B663</f>
        <v>0</v>
      </c>
      <c r="C663" s="36"/>
      <c r="D663" s="33"/>
      <c r="E663" s="33"/>
      <c r="F663" s="101"/>
      <c r="G663" s="102">
        <f t="shared" si="34"/>
        <v>0</v>
      </c>
      <c r="H663" s="103" t="str">
        <f t="shared" si="28"/>
        <v>0 tubes and 0 shuttles</v>
      </c>
      <c r="I663" s="36">
        <f t="shared" si="35"/>
        <v>0</v>
      </c>
      <c r="J663" s="104" t="str">
        <f t="shared" si="29"/>
        <v>0 tubes and 0 shuttles</v>
      </c>
      <c r="K663" s="36">
        <f t="shared" si="36"/>
        <v>0</v>
      </c>
      <c r="L663" s="103" t="str">
        <f t="shared" si="30"/>
        <v>0 tubes and 0 shuttles</v>
      </c>
      <c r="M663" s="105">
        <f t="shared" si="37"/>
        <v>0</v>
      </c>
      <c r="N663" s="103" t="str">
        <f t="shared" si="31"/>
        <v>0 tubes and 0 shuttles</v>
      </c>
      <c r="O663" s="36">
        <f t="shared" si="32"/>
        <v>0</v>
      </c>
      <c r="P663" s="103" t="str">
        <f t="shared" si="33"/>
        <v>0 tubes and 0 shuttles</v>
      </c>
    </row>
    <row r="664" spans="1:16" ht="12.5" x14ac:dyDescent="0.25">
      <c r="A664" s="32">
        <f>'Profit &amp; Loss'!A664</f>
        <v>0</v>
      </c>
      <c r="B664" s="35">
        <f>'Profit &amp; Loss'!B664</f>
        <v>0</v>
      </c>
      <c r="C664" s="36"/>
      <c r="D664" s="33"/>
      <c r="E664" s="33"/>
      <c r="F664" s="101"/>
      <c r="G664" s="102">
        <f t="shared" si="34"/>
        <v>0</v>
      </c>
      <c r="H664" s="103" t="str">
        <f t="shared" si="28"/>
        <v>0 tubes and 0 shuttles</v>
      </c>
      <c r="I664" s="36">
        <f t="shared" si="35"/>
        <v>0</v>
      </c>
      <c r="J664" s="104" t="str">
        <f t="shared" si="29"/>
        <v>0 tubes and 0 shuttles</v>
      </c>
      <c r="K664" s="36">
        <f t="shared" si="36"/>
        <v>0</v>
      </c>
      <c r="L664" s="103" t="str">
        <f t="shared" si="30"/>
        <v>0 tubes and 0 shuttles</v>
      </c>
      <c r="M664" s="105">
        <f t="shared" si="37"/>
        <v>0</v>
      </c>
      <c r="N664" s="103" t="str">
        <f t="shared" si="31"/>
        <v>0 tubes and 0 shuttles</v>
      </c>
      <c r="O664" s="36">
        <f t="shared" si="32"/>
        <v>0</v>
      </c>
      <c r="P664" s="103" t="str">
        <f t="shared" si="33"/>
        <v>0 tubes and 0 shuttles</v>
      </c>
    </row>
    <row r="665" spans="1:16" ht="12.5" x14ac:dyDescent="0.25">
      <c r="A665" s="32">
        <f>'Profit &amp; Loss'!A665</f>
        <v>0</v>
      </c>
      <c r="B665" s="35">
        <f>'Profit &amp; Loss'!B665</f>
        <v>0</v>
      </c>
      <c r="C665" s="36"/>
      <c r="D665" s="33"/>
      <c r="E665" s="33"/>
      <c r="F665" s="101"/>
      <c r="G665" s="102">
        <f t="shared" si="34"/>
        <v>0</v>
      </c>
      <c r="H665" s="103" t="str">
        <f t="shared" si="28"/>
        <v>0 tubes and 0 shuttles</v>
      </c>
      <c r="I665" s="36">
        <f t="shared" si="35"/>
        <v>0</v>
      </c>
      <c r="J665" s="104" t="str">
        <f t="shared" si="29"/>
        <v>0 tubes and 0 shuttles</v>
      </c>
      <c r="K665" s="36">
        <f t="shared" si="36"/>
        <v>0</v>
      </c>
      <c r="L665" s="103" t="str">
        <f t="shared" si="30"/>
        <v>0 tubes and 0 shuttles</v>
      </c>
      <c r="M665" s="105">
        <f t="shared" si="37"/>
        <v>0</v>
      </c>
      <c r="N665" s="103" t="str">
        <f t="shared" si="31"/>
        <v>0 tubes and 0 shuttles</v>
      </c>
      <c r="O665" s="36">
        <f t="shared" si="32"/>
        <v>0</v>
      </c>
      <c r="P665" s="103" t="str">
        <f t="shared" si="33"/>
        <v>0 tubes and 0 shuttles</v>
      </c>
    </row>
    <row r="666" spans="1:16" ht="12.5" x14ac:dyDescent="0.25">
      <c r="A666" s="32">
        <f>'Profit &amp; Loss'!A666</f>
        <v>0</v>
      </c>
      <c r="B666" s="35">
        <f>'Profit &amp; Loss'!B666</f>
        <v>0</v>
      </c>
      <c r="C666" s="36"/>
      <c r="D666" s="33"/>
      <c r="E666" s="33"/>
      <c r="F666" s="101"/>
      <c r="G666" s="102">
        <f t="shared" si="34"/>
        <v>0</v>
      </c>
      <c r="H666" s="103" t="str">
        <f t="shared" si="28"/>
        <v>0 tubes and 0 shuttles</v>
      </c>
      <c r="I666" s="36">
        <f t="shared" si="35"/>
        <v>0</v>
      </c>
      <c r="J666" s="104" t="str">
        <f t="shared" si="29"/>
        <v>0 tubes and 0 shuttles</v>
      </c>
      <c r="K666" s="36">
        <f t="shared" si="36"/>
        <v>0</v>
      </c>
      <c r="L666" s="103" t="str">
        <f t="shared" si="30"/>
        <v>0 tubes and 0 shuttles</v>
      </c>
      <c r="M666" s="105">
        <f t="shared" si="37"/>
        <v>0</v>
      </c>
      <c r="N666" s="103" t="str">
        <f t="shared" si="31"/>
        <v>0 tubes and 0 shuttles</v>
      </c>
      <c r="O666" s="36">
        <f t="shared" si="32"/>
        <v>0</v>
      </c>
      <c r="P666" s="103" t="str">
        <f t="shared" si="33"/>
        <v>0 tubes and 0 shuttles</v>
      </c>
    </row>
    <row r="667" spans="1:16" ht="12.5" x14ac:dyDescent="0.25">
      <c r="A667" s="32">
        <f>'Profit &amp; Loss'!A667</f>
        <v>0</v>
      </c>
      <c r="B667" s="35">
        <f>'Profit &amp; Loss'!B667</f>
        <v>0</v>
      </c>
      <c r="C667" s="36"/>
      <c r="D667" s="33"/>
      <c r="E667" s="33"/>
      <c r="F667" s="101"/>
      <c r="G667" s="102">
        <f t="shared" si="34"/>
        <v>0</v>
      </c>
      <c r="H667" s="103" t="str">
        <f t="shared" si="28"/>
        <v>0 tubes and 0 shuttles</v>
      </c>
      <c r="I667" s="36">
        <f t="shared" si="35"/>
        <v>0</v>
      </c>
      <c r="J667" s="104" t="str">
        <f t="shared" si="29"/>
        <v>0 tubes and 0 shuttles</v>
      </c>
      <c r="K667" s="36">
        <f t="shared" si="36"/>
        <v>0</v>
      </c>
      <c r="L667" s="103" t="str">
        <f t="shared" si="30"/>
        <v>0 tubes and 0 shuttles</v>
      </c>
      <c r="M667" s="105">
        <f t="shared" si="37"/>
        <v>0</v>
      </c>
      <c r="N667" s="103" t="str">
        <f t="shared" si="31"/>
        <v>0 tubes and 0 shuttles</v>
      </c>
      <c r="O667" s="36">
        <f t="shared" si="32"/>
        <v>0</v>
      </c>
      <c r="P667" s="103" t="str">
        <f t="shared" si="33"/>
        <v>0 tubes and 0 shuttles</v>
      </c>
    </row>
    <row r="668" spans="1:16" ht="12.5" x14ac:dyDescent="0.25">
      <c r="A668" s="32">
        <f>'Profit &amp; Loss'!A668</f>
        <v>0</v>
      </c>
      <c r="B668" s="35">
        <f>'Profit &amp; Loss'!B668</f>
        <v>0</v>
      </c>
      <c r="C668" s="36"/>
      <c r="D668" s="33"/>
      <c r="E668" s="33"/>
      <c r="F668" s="101"/>
      <c r="G668" s="102">
        <f t="shared" si="34"/>
        <v>0</v>
      </c>
      <c r="H668" s="103" t="str">
        <f t="shared" si="28"/>
        <v>0 tubes and 0 shuttles</v>
      </c>
      <c r="I668" s="36">
        <f t="shared" si="35"/>
        <v>0</v>
      </c>
      <c r="J668" s="104" t="str">
        <f t="shared" si="29"/>
        <v>0 tubes and 0 shuttles</v>
      </c>
      <c r="K668" s="36">
        <f t="shared" si="36"/>
        <v>0</v>
      </c>
      <c r="L668" s="103" t="str">
        <f t="shared" si="30"/>
        <v>0 tubes and 0 shuttles</v>
      </c>
      <c r="M668" s="105">
        <f t="shared" si="37"/>
        <v>0</v>
      </c>
      <c r="N668" s="103" t="str">
        <f t="shared" si="31"/>
        <v>0 tubes and 0 shuttles</v>
      </c>
      <c r="O668" s="36">
        <f t="shared" si="32"/>
        <v>0</v>
      </c>
      <c r="P668" s="103" t="str">
        <f t="shared" si="33"/>
        <v>0 tubes and 0 shuttles</v>
      </c>
    </row>
    <row r="669" spans="1:16" ht="12.5" x14ac:dyDescent="0.25">
      <c r="A669" s="32">
        <f>'Profit &amp; Loss'!A669</f>
        <v>0</v>
      </c>
      <c r="B669" s="35">
        <f>'Profit &amp; Loss'!B669</f>
        <v>0</v>
      </c>
      <c r="C669" s="36"/>
      <c r="D669" s="33"/>
      <c r="E669" s="33"/>
      <c r="F669" s="101"/>
      <c r="G669" s="102">
        <f t="shared" si="34"/>
        <v>0</v>
      </c>
      <c r="H669" s="103" t="str">
        <f t="shared" si="28"/>
        <v>0 tubes and 0 shuttles</v>
      </c>
      <c r="I669" s="36">
        <f t="shared" si="35"/>
        <v>0</v>
      </c>
      <c r="J669" s="104" t="str">
        <f t="shared" si="29"/>
        <v>0 tubes and 0 shuttles</v>
      </c>
      <c r="K669" s="36">
        <f t="shared" si="36"/>
        <v>0</v>
      </c>
      <c r="L669" s="103" t="str">
        <f t="shared" si="30"/>
        <v>0 tubes and 0 shuttles</v>
      </c>
      <c r="M669" s="105">
        <f t="shared" si="37"/>
        <v>0</v>
      </c>
      <c r="N669" s="103" t="str">
        <f t="shared" si="31"/>
        <v>0 tubes and 0 shuttles</v>
      </c>
      <c r="O669" s="36">
        <f t="shared" si="32"/>
        <v>0</v>
      </c>
      <c r="P669" s="103" t="str">
        <f t="shared" si="33"/>
        <v>0 tubes and 0 shuttles</v>
      </c>
    </row>
    <row r="670" spans="1:16" ht="12.5" x14ac:dyDescent="0.25">
      <c r="A670" s="32">
        <f>'Profit &amp; Loss'!A670</f>
        <v>0</v>
      </c>
      <c r="B670" s="35">
        <f>'Profit &amp; Loss'!B670</f>
        <v>0</v>
      </c>
      <c r="C670" s="36"/>
      <c r="D670" s="33"/>
      <c r="E670" s="33"/>
      <c r="F670" s="101"/>
      <c r="G670" s="102">
        <f t="shared" si="34"/>
        <v>0</v>
      </c>
      <c r="H670" s="103" t="str">
        <f t="shared" si="28"/>
        <v>0 tubes and 0 shuttles</v>
      </c>
      <c r="I670" s="36">
        <f t="shared" si="35"/>
        <v>0</v>
      </c>
      <c r="J670" s="104" t="str">
        <f t="shared" si="29"/>
        <v>0 tubes and 0 shuttles</v>
      </c>
      <c r="K670" s="36">
        <f t="shared" si="36"/>
        <v>0</v>
      </c>
      <c r="L670" s="103" t="str">
        <f t="shared" si="30"/>
        <v>0 tubes and 0 shuttles</v>
      </c>
      <c r="M670" s="105">
        <f t="shared" si="37"/>
        <v>0</v>
      </c>
      <c r="N670" s="103" t="str">
        <f t="shared" si="31"/>
        <v>0 tubes and 0 shuttles</v>
      </c>
      <c r="O670" s="36">
        <f t="shared" si="32"/>
        <v>0</v>
      </c>
      <c r="P670" s="103" t="str">
        <f t="shared" si="33"/>
        <v>0 tubes and 0 shuttles</v>
      </c>
    </row>
    <row r="671" spans="1:16" ht="12.5" x14ac:dyDescent="0.25">
      <c r="A671" s="32">
        <f>'Profit &amp; Loss'!A671</f>
        <v>0</v>
      </c>
      <c r="B671" s="35">
        <f>'Profit &amp; Loss'!B671</f>
        <v>0</v>
      </c>
      <c r="C671" s="36"/>
      <c r="D671" s="33"/>
      <c r="E671" s="33"/>
      <c r="F671" s="101"/>
      <c r="G671" s="102">
        <f t="shared" si="34"/>
        <v>0</v>
      </c>
      <c r="H671" s="103" t="str">
        <f t="shared" si="28"/>
        <v>0 tubes and 0 shuttles</v>
      </c>
      <c r="I671" s="36">
        <f t="shared" si="35"/>
        <v>0</v>
      </c>
      <c r="J671" s="104" t="str">
        <f t="shared" si="29"/>
        <v>0 tubes and 0 shuttles</v>
      </c>
      <c r="K671" s="36">
        <f t="shared" si="36"/>
        <v>0</v>
      </c>
      <c r="L671" s="103" t="str">
        <f t="shared" si="30"/>
        <v>0 tubes and 0 shuttles</v>
      </c>
      <c r="M671" s="105">
        <f t="shared" si="37"/>
        <v>0</v>
      </c>
      <c r="N671" s="103" t="str">
        <f t="shared" si="31"/>
        <v>0 tubes and 0 shuttles</v>
      </c>
      <c r="O671" s="36">
        <f t="shared" si="32"/>
        <v>0</v>
      </c>
      <c r="P671" s="103" t="str">
        <f t="shared" si="33"/>
        <v>0 tubes and 0 shuttles</v>
      </c>
    </row>
    <row r="672" spans="1:16" ht="12.5" x14ac:dyDescent="0.25">
      <c r="A672" s="32">
        <f>'Profit &amp; Loss'!A672</f>
        <v>0</v>
      </c>
      <c r="B672" s="35">
        <f>'Profit &amp; Loss'!B672</f>
        <v>0</v>
      </c>
      <c r="C672" s="36"/>
      <c r="D672" s="33"/>
      <c r="E672" s="33"/>
      <c r="F672" s="101"/>
      <c r="G672" s="102">
        <f t="shared" si="34"/>
        <v>0</v>
      </c>
      <c r="H672" s="103" t="str">
        <f t="shared" si="28"/>
        <v>0 tubes and 0 shuttles</v>
      </c>
      <c r="I672" s="36">
        <f t="shared" si="35"/>
        <v>0</v>
      </c>
      <c r="J672" s="104" t="str">
        <f t="shared" si="29"/>
        <v>0 tubes and 0 shuttles</v>
      </c>
      <c r="K672" s="36">
        <f t="shared" si="36"/>
        <v>0</v>
      </c>
      <c r="L672" s="103" t="str">
        <f t="shared" si="30"/>
        <v>0 tubes and 0 shuttles</v>
      </c>
      <c r="M672" s="105">
        <f t="shared" si="37"/>
        <v>0</v>
      </c>
      <c r="N672" s="103" t="str">
        <f t="shared" si="31"/>
        <v>0 tubes and 0 shuttles</v>
      </c>
      <c r="O672" s="36">
        <f t="shared" si="32"/>
        <v>0</v>
      </c>
      <c r="P672" s="103" t="str">
        <f t="shared" si="33"/>
        <v>0 tubes and 0 shuttles</v>
      </c>
    </row>
    <row r="673" spans="1:16" ht="12.5" x14ac:dyDescent="0.25">
      <c r="A673" s="32">
        <f>'Profit &amp; Loss'!A673</f>
        <v>0</v>
      </c>
      <c r="B673" s="35">
        <f>'Profit &amp; Loss'!B673</f>
        <v>0</v>
      </c>
      <c r="C673" s="36"/>
      <c r="D673" s="33"/>
      <c r="E673" s="33"/>
      <c r="F673" s="101"/>
      <c r="G673" s="102">
        <f t="shared" si="34"/>
        <v>0</v>
      </c>
      <c r="H673" s="103" t="str">
        <f t="shared" si="28"/>
        <v>0 tubes and 0 shuttles</v>
      </c>
      <c r="I673" s="36">
        <f t="shared" si="35"/>
        <v>0</v>
      </c>
      <c r="J673" s="104" t="str">
        <f t="shared" si="29"/>
        <v>0 tubes and 0 shuttles</v>
      </c>
      <c r="K673" s="36">
        <f t="shared" si="36"/>
        <v>0</v>
      </c>
      <c r="L673" s="103" t="str">
        <f t="shared" si="30"/>
        <v>0 tubes and 0 shuttles</v>
      </c>
      <c r="M673" s="105">
        <f t="shared" si="37"/>
        <v>0</v>
      </c>
      <c r="N673" s="103" t="str">
        <f t="shared" si="31"/>
        <v>0 tubes and 0 shuttles</v>
      </c>
      <c r="O673" s="36">
        <f t="shared" si="32"/>
        <v>0</v>
      </c>
      <c r="P673" s="103" t="str">
        <f t="shared" si="33"/>
        <v>0 tubes and 0 shuttles</v>
      </c>
    </row>
    <row r="674" spans="1:16" ht="12.5" x14ac:dyDescent="0.25">
      <c r="A674" s="32">
        <f>'Profit &amp; Loss'!A674</f>
        <v>0</v>
      </c>
      <c r="B674" s="35">
        <f>'Profit &amp; Loss'!B674</f>
        <v>0</v>
      </c>
      <c r="C674" s="36"/>
      <c r="D674" s="33"/>
      <c r="E674" s="33"/>
      <c r="F674" s="101"/>
      <c r="G674" s="102">
        <f t="shared" si="34"/>
        <v>0</v>
      </c>
      <c r="H674" s="103" t="str">
        <f t="shared" si="28"/>
        <v>0 tubes and 0 shuttles</v>
      </c>
      <c r="I674" s="36">
        <f t="shared" si="35"/>
        <v>0</v>
      </c>
      <c r="J674" s="104" t="str">
        <f t="shared" si="29"/>
        <v>0 tubes and 0 shuttles</v>
      </c>
      <c r="K674" s="36">
        <f t="shared" si="36"/>
        <v>0</v>
      </c>
      <c r="L674" s="103" t="str">
        <f t="shared" si="30"/>
        <v>0 tubes and 0 shuttles</v>
      </c>
      <c r="M674" s="105">
        <f t="shared" si="37"/>
        <v>0</v>
      </c>
      <c r="N674" s="103" t="str">
        <f t="shared" si="31"/>
        <v>0 tubes and 0 shuttles</v>
      </c>
      <c r="O674" s="36">
        <f t="shared" si="32"/>
        <v>0</v>
      </c>
      <c r="P674" s="103" t="str">
        <f t="shared" si="33"/>
        <v>0 tubes and 0 shuttles</v>
      </c>
    </row>
    <row r="675" spans="1:16" ht="12.5" x14ac:dyDescent="0.25">
      <c r="A675" s="32">
        <f>'Profit &amp; Loss'!A675</f>
        <v>0</v>
      </c>
      <c r="B675" s="35">
        <f>'Profit &amp; Loss'!B675</f>
        <v>0</v>
      </c>
      <c r="C675" s="36"/>
      <c r="D675" s="33"/>
      <c r="E675" s="33"/>
      <c r="F675" s="101"/>
      <c r="G675" s="102">
        <f t="shared" si="34"/>
        <v>0</v>
      </c>
      <c r="H675" s="103" t="str">
        <f t="shared" si="28"/>
        <v>0 tubes and 0 shuttles</v>
      </c>
      <c r="I675" s="36">
        <f t="shared" si="35"/>
        <v>0</v>
      </c>
      <c r="J675" s="104" t="str">
        <f t="shared" si="29"/>
        <v>0 tubes and 0 shuttles</v>
      </c>
      <c r="K675" s="36">
        <f t="shared" si="36"/>
        <v>0</v>
      </c>
      <c r="L675" s="103" t="str">
        <f t="shared" si="30"/>
        <v>0 tubes and 0 shuttles</v>
      </c>
      <c r="M675" s="105">
        <f t="shared" si="37"/>
        <v>0</v>
      </c>
      <c r="N675" s="103" t="str">
        <f t="shared" si="31"/>
        <v>0 tubes and 0 shuttles</v>
      </c>
      <c r="O675" s="36">
        <f t="shared" si="32"/>
        <v>0</v>
      </c>
      <c r="P675" s="103" t="str">
        <f t="shared" si="33"/>
        <v>0 tubes and 0 shuttles</v>
      </c>
    </row>
    <row r="676" spans="1:16" ht="12.5" x14ac:dyDescent="0.25">
      <c r="A676" s="32">
        <f>'Profit &amp; Loss'!A676</f>
        <v>0</v>
      </c>
      <c r="B676" s="35">
        <f>'Profit &amp; Loss'!B676</f>
        <v>0</v>
      </c>
      <c r="C676" s="36"/>
      <c r="D676" s="33"/>
      <c r="E676" s="33"/>
      <c r="F676" s="101"/>
      <c r="G676" s="102">
        <f t="shared" si="34"/>
        <v>0</v>
      </c>
      <c r="H676" s="103" t="str">
        <f t="shared" si="28"/>
        <v>0 tubes and 0 shuttles</v>
      </c>
      <c r="I676" s="36">
        <f t="shared" si="35"/>
        <v>0</v>
      </c>
      <c r="J676" s="104" t="str">
        <f t="shared" si="29"/>
        <v>0 tubes and 0 shuttles</v>
      </c>
      <c r="K676" s="36">
        <f t="shared" si="36"/>
        <v>0</v>
      </c>
      <c r="L676" s="103" t="str">
        <f t="shared" si="30"/>
        <v>0 tubes and 0 shuttles</v>
      </c>
      <c r="M676" s="105">
        <f t="shared" si="37"/>
        <v>0</v>
      </c>
      <c r="N676" s="103" t="str">
        <f t="shared" si="31"/>
        <v>0 tubes and 0 shuttles</v>
      </c>
      <c r="O676" s="36">
        <f t="shared" si="32"/>
        <v>0</v>
      </c>
      <c r="P676" s="103" t="str">
        <f t="shared" si="33"/>
        <v>0 tubes and 0 shuttles</v>
      </c>
    </row>
    <row r="677" spans="1:16" ht="12.5" x14ac:dyDescent="0.25">
      <c r="A677" s="32">
        <f>'Profit &amp; Loss'!A677</f>
        <v>0</v>
      </c>
      <c r="B677" s="35">
        <f>'Profit &amp; Loss'!B677</f>
        <v>0</v>
      </c>
      <c r="C677" s="36"/>
      <c r="D677" s="33"/>
      <c r="E677" s="33"/>
      <c r="F677" s="101"/>
      <c r="G677" s="102">
        <f t="shared" si="34"/>
        <v>0</v>
      </c>
      <c r="H677" s="103" t="str">
        <f t="shared" si="28"/>
        <v>0 tubes and 0 shuttles</v>
      </c>
      <c r="I677" s="36">
        <f t="shared" si="35"/>
        <v>0</v>
      </c>
      <c r="J677" s="104" t="str">
        <f t="shared" si="29"/>
        <v>0 tubes and 0 shuttles</v>
      </c>
      <c r="K677" s="36">
        <f t="shared" si="36"/>
        <v>0</v>
      </c>
      <c r="L677" s="103" t="str">
        <f t="shared" si="30"/>
        <v>0 tubes and 0 shuttles</v>
      </c>
      <c r="M677" s="105">
        <f t="shared" si="37"/>
        <v>0</v>
      </c>
      <c r="N677" s="103" t="str">
        <f t="shared" si="31"/>
        <v>0 tubes and 0 shuttles</v>
      </c>
      <c r="O677" s="36">
        <f t="shared" si="32"/>
        <v>0</v>
      </c>
      <c r="P677" s="103" t="str">
        <f t="shared" si="33"/>
        <v>0 tubes and 0 shuttles</v>
      </c>
    </row>
    <row r="678" spans="1:16" ht="12.5" x14ac:dyDescent="0.25">
      <c r="A678" s="32">
        <f>'Profit &amp; Loss'!A678</f>
        <v>0</v>
      </c>
      <c r="B678" s="35">
        <f>'Profit &amp; Loss'!B678</f>
        <v>0</v>
      </c>
      <c r="C678" s="36"/>
      <c r="D678" s="33"/>
      <c r="E678" s="33"/>
      <c r="F678" s="101"/>
      <c r="G678" s="102">
        <f t="shared" si="34"/>
        <v>0</v>
      </c>
      <c r="H678" s="103" t="str">
        <f t="shared" si="28"/>
        <v>0 tubes and 0 shuttles</v>
      </c>
      <c r="I678" s="36">
        <f t="shared" si="35"/>
        <v>0</v>
      </c>
      <c r="J678" s="104" t="str">
        <f t="shared" si="29"/>
        <v>0 tubes and 0 shuttles</v>
      </c>
      <c r="K678" s="36">
        <f t="shared" si="36"/>
        <v>0</v>
      </c>
      <c r="L678" s="103" t="str">
        <f t="shared" si="30"/>
        <v>0 tubes and 0 shuttles</v>
      </c>
      <c r="M678" s="105">
        <f t="shared" si="37"/>
        <v>0</v>
      </c>
      <c r="N678" s="103" t="str">
        <f t="shared" si="31"/>
        <v>0 tubes and 0 shuttles</v>
      </c>
      <c r="O678" s="36">
        <f t="shared" si="32"/>
        <v>0</v>
      </c>
      <c r="P678" s="103" t="str">
        <f t="shared" si="33"/>
        <v>0 tubes and 0 shuttles</v>
      </c>
    </row>
    <row r="679" spans="1:16" ht="12.5" x14ac:dyDescent="0.25">
      <c r="A679" s="32">
        <f>'Profit &amp; Loss'!A679</f>
        <v>0</v>
      </c>
      <c r="B679" s="35">
        <f>'Profit &amp; Loss'!B679</f>
        <v>0</v>
      </c>
      <c r="C679" s="36"/>
      <c r="D679" s="33"/>
      <c r="E679" s="33"/>
      <c r="F679" s="101"/>
      <c r="G679" s="102">
        <f t="shared" si="34"/>
        <v>0</v>
      </c>
      <c r="H679" s="103" t="str">
        <f t="shared" si="28"/>
        <v>0 tubes and 0 shuttles</v>
      </c>
      <c r="I679" s="36">
        <f t="shared" si="35"/>
        <v>0</v>
      </c>
      <c r="J679" s="104" t="str">
        <f t="shared" si="29"/>
        <v>0 tubes and 0 shuttles</v>
      </c>
      <c r="K679" s="36">
        <f t="shared" si="36"/>
        <v>0</v>
      </c>
      <c r="L679" s="103" t="str">
        <f t="shared" si="30"/>
        <v>0 tubes and 0 shuttles</v>
      </c>
      <c r="M679" s="105">
        <f t="shared" si="37"/>
        <v>0</v>
      </c>
      <c r="N679" s="103" t="str">
        <f t="shared" si="31"/>
        <v>0 tubes and 0 shuttles</v>
      </c>
      <c r="O679" s="36">
        <f t="shared" si="32"/>
        <v>0</v>
      </c>
      <c r="P679" s="103" t="str">
        <f t="shared" si="33"/>
        <v>0 tubes and 0 shuttles</v>
      </c>
    </row>
    <row r="680" spans="1:16" ht="12.5" x14ac:dyDescent="0.25">
      <c r="A680" s="32">
        <f>'Profit &amp; Loss'!A680</f>
        <v>0</v>
      </c>
      <c r="B680" s="35">
        <f>'Profit &amp; Loss'!B680</f>
        <v>0</v>
      </c>
      <c r="C680" s="36"/>
      <c r="D680" s="33"/>
      <c r="E680" s="33"/>
      <c r="F680" s="101"/>
      <c r="G680" s="102">
        <f t="shared" si="34"/>
        <v>0</v>
      </c>
      <c r="H680" s="103" t="str">
        <f t="shared" si="28"/>
        <v>0 tubes and 0 shuttles</v>
      </c>
      <c r="I680" s="36">
        <f t="shared" si="35"/>
        <v>0</v>
      </c>
      <c r="J680" s="104" t="str">
        <f t="shared" si="29"/>
        <v>0 tubes and 0 shuttles</v>
      </c>
      <c r="K680" s="36">
        <f t="shared" si="36"/>
        <v>0</v>
      </c>
      <c r="L680" s="103" t="str">
        <f t="shared" si="30"/>
        <v>0 tubes and 0 shuttles</v>
      </c>
      <c r="M680" s="105">
        <f t="shared" si="37"/>
        <v>0</v>
      </c>
      <c r="N680" s="103" t="str">
        <f t="shared" si="31"/>
        <v>0 tubes and 0 shuttles</v>
      </c>
      <c r="O680" s="36">
        <f t="shared" si="32"/>
        <v>0</v>
      </c>
      <c r="P680" s="103" t="str">
        <f t="shared" si="33"/>
        <v>0 tubes and 0 shuttles</v>
      </c>
    </row>
    <row r="681" spans="1:16" ht="12.5" x14ac:dyDescent="0.25">
      <c r="A681" s="32">
        <f>'Profit &amp; Loss'!A681</f>
        <v>0</v>
      </c>
      <c r="B681" s="35">
        <f>'Profit &amp; Loss'!B681</f>
        <v>0</v>
      </c>
      <c r="C681" s="36"/>
      <c r="D681" s="33"/>
      <c r="E681" s="33"/>
      <c r="F681" s="101"/>
      <c r="G681" s="102">
        <f t="shared" si="34"/>
        <v>0</v>
      </c>
      <c r="H681" s="103" t="str">
        <f t="shared" si="28"/>
        <v>0 tubes and 0 shuttles</v>
      </c>
      <c r="I681" s="36">
        <f t="shared" si="35"/>
        <v>0</v>
      </c>
      <c r="J681" s="104" t="str">
        <f t="shared" si="29"/>
        <v>0 tubes and 0 shuttles</v>
      </c>
      <c r="K681" s="36">
        <f t="shared" si="36"/>
        <v>0</v>
      </c>
      <c r="L681" s="103" t="str">
        <f t="shared" si="30"/>
        <v>0 tubes and 0 shuttles</v>
      </c>
      <c r="M681" s="105">
        <f t="shared" si="37"/>
        <v>0</v>
      </c>
      <c r="N681" s="103" t="str">
        <f t="shared" si="31"/>
        <v>0 tubes and 0 shuttles</v>
      </c>
      <c r="O681" s="36">
        <f t="shared" si="32"/>
        <v>0</v>
      </c>
      <c r="P681" s="103" t="str">
        <f t="shared" si="33"/>
        <v>0 tubes and 0 shuttles</v>
      </c>
    </row>
    <row r="682" spans="1:16" ht="12.5" x14ac:dyDescent="0.25">
      <c r="A682" s="32">
        <f>'Profit &amp; Loss'!A682</f>
        <v>0</v>
      </c>
      <c r="B682" s="35">
        <f>'Profit &amp; Loss'!B682</f>
        <v>0</v>
      </c>
      <c r="C682" s="36"/>
      <c r="D682" s="33"/>
      <c r="E682" s="33"/>
      <c r="F682" s="101"/>
      <c r="G682" s="102">
        <f t="shared" si="34"/>
        <v>0</v>
      </c>
      <c r="H682" s="103" t="str">
        <f t="shared" si="28"/>
        <v>0 tubes and 0 shuttles</v>
      </c>
      <c r="I682" s="36">
        <f t="shared" si="35"/>
        <v>0</v>
      </c>
      <c r="J682" s="104" t="str">
        <f t="shared" si="29"/>
        <v>0 tubes and 0 shuttles</v>
      </c>
      <c r="K682" s="36">
        <f t="shared" si="36"/>
        <v>0</v>
      </c>
      <c r="L682" s="103" t="str">
        <f t="shared" si="30"/>
        <v>0 tubes and 0 shuttles</v>
      </c>
      <c r="M682" s="105">
        <f t="shared" si="37"/>
        <v>0</v>
      </c>
      <c r="N682" s="103" t="str">
        <f t="shared" si="31"/>
        <v>0 tubes and 0 shuttles</v>
      </c>
      <c r="O682" s="36">
        <f t="shared" si="32"/>
        <v>0</v>
      </c>
      <c r="P682" s="103" t="str">
        <f t="shared" si="33"/>
        <v>0 tubes and 0 shuttles</v>
      </c>
    </row>
    <row r="683" spans="1:16" ht="12.5" x14ac:dyDescent="0.25">
      <c r="A683" s="32">
        <f>'Profit &amp; Loss'!A683</f>
        <v>0</v>
      </c>
      <c r="B683" s="35">
        <f>'Profit &amp; Loss'!B683</f>
        <v>0</v>
      </c>
      <c r="C683" s="36"/>
      <c r="D683" s="33"/>
      <c r="E683" s="33"/>
      <c r="F683" s="101"/>
      <c r="G683" s="102">
        <f t="shared" si="34"/>
        <v>0</v>
      </c>
      <c r="H683" s="103" t="str">
        <f t="shared" si="28"/>
        <v>0 tubes and 0 shuttles</v>
      </c>
      <c r="I683" s="36">
        <f t="shared" si="35"/>
        <v>0</v>
      </c>
      <c r="J683" s="104" t="str">
        <f t="shared" si="29"/>
        <v>0 tubes and 0 shuttles</v>
      </c>
      <c r="K683" s="36">
        <f t="shared" si="36"/>
        <v>0</v>
      </c>
      <c r="L683" s="103" t="str">
        <f t="shared" si="30"/>
        <v>0 tubes and 0 shuttles</v>
      </c>
      <c r="M683" s="105">
        <f t="shared" si="37"/>
        <v>0</v>
      </c>
      <c r="N683" s="103" t="str">
        <f t="shared" si="31"/>
        <v>0 tubes and 0 shuttles</v>
      </c>
      <c r="O683" s="36">
        <f t="shared" si="32"/>
        <v>0</v>
      </c>
      <c r="P683" s="103" t="str">
        <f t="shared" si="33"/>
        <v>0 tubes and 0 shuttles</v>
      </c>
    </row>
    <row r="684" spans="1:16" ht="12.5" x14ac:dyDescent="0.25">
      <c r="A684" s="32">
        <f>'Profit &amp; Loss'!A684</f>
        <v>0</v>
      </c>
      <c r="B684" s="35">
        <f>'Profit &amp; Loss'!B684</f>
        <v>0</v>
      </c>
      <c r="C684" s="36"/>
      <c r="D684" s="33"/>
      <c r="E684" s="33"/>
      <c r="F684" s="101"/>
      <c r="G684" s="102">
        <f t="shared" si="34"/>
        <v>0</v>
      </c>
      <c r="H684" s="103" t="str">
        <f t="shared" si="28"/>
        <v>0 tubes and 0 shuttles</v>
      </c>
      <c r="I684" s="36">
        <f t="shared" si="35"/>
        <v>0</v>
      </c>
      <c r="J684" s="104" t="str">
        <f t="shared" si="29"/>
        <v>0 tubes and 0 shuttles</v>
      </c>
      <c r="K684" s="36">
        <f t="shared" si="36"/>
        <v>0</v>
      </c>
      <c r="L684" s="103" t="str">
        <f t="shared" si="30"/>
        <v>0 tubes and 0 shuttles</v>
      </c>
      <c r="M684" s="105">
        <f t="shared" si="37"/>
        <v>0</v>
      </c>
      <c r="N684" s="103" t="str">
        <f t="shared" si="31"/>
        <v>0 tubes and 0 shuttles</v>
      </c>
      <c r="O684" s="36">
        <f t="shared" si="32"/>
        <v>0</v>
      </c>
      <c r="P684" s="103" t="str">
        <f t="shared" si="33"/>
        <v>0 tubes and 0 shuttles</v>
      </c>
    </row>
    <row r="685" spans="1:16" ht="12.5" x14ac:dyDescent="0.25">
      <c r="A685" s="32">
        <f>'Profit &amp; Loss'!A685</f>
        <v>0</v>
      </c>
      <c r="B685" s="35">
        <f>'Profit &amp; Loss'!B685</f>
        <v>0</v>
      </c>
      <c r="C685" s="36"/>
      <c r="D685" s="33"/>
      <c r="E685" s="33"/>
      <c r="F685" s="101"/>
      <c r="G685" s="102">
        <f t="shared" si="34"/>
        <v>0</v>
      </c>
      <c r="H685" s="103" t="str">
        <f t="shared" si="28"/>
        <v>0 tubes and 0 shuttles</v>
      </c>
      <c r="I685" s="36">
        <f t="shared" si="35"/>
        <v>0</v>
      </c>
      <c r="J685" s="104" t="str">
        <f t="shared" si="29"/>
        <v>0 tubes and 0 shuttles</v>
      </c>
      <c r="K685" s="36">
        <f t="shared" si="36"/>
        <v>0</v>
      </c>
      <c r="L685" s="103" t="str">
        <f t="shared" si="30"/>
        <v>0 tubes and 0 shuttles</v>
      </c>
      <c r="M685" s="105">
        <f t="shared" si="37"/>
        <v>0</v>
      </c>
      <c r="N685" s="103" t="str">
        <f t="shared" si="31"/>
        <v>0 tubes and 0 shuttles</v>
      </c>
      <c r="O685" s="36">
        <f t="shared" si="32"/>
        <v>0</v>
      </c>
      <c r="P685" s="103" t="str">
        <f t="shared" si="33"/>
        <v>0 tubes and 0 shuttles</v>
      </c>
    </row>
    <row r="686" spans="1:16" ht="12.5" x14ac:dyDescent="0.25">
      <c r="A686" s="32">
        <f>'Profit &amp; Loss'!A686</f>
        <v>0</v>
      </c>
      <c r="B686" s="35">
        <f>'Profit &amp; Loss'!B686</f>
        <v>0</v>
      </c>
      <c r="C686" s="36"/>
      <c r="D686" s="33"/>
      <c r="E686" s="33"/>
      <c r="F686" s="101"/>
      <c r="G686" s="102">
        <f t="shared" si="34"/>
        <v>0</v>
      </c>
      <c r="H686" s="103" t="str">
        <f t="shared" si="28"/>
        <v>0 tubes and 0 shuttles</v>
      </c>
      <c r="I686" s="36">
        <f t="shared" si="35"/>
        <v>0</v>
      </c>
      <c r="J686" s="104" t="str">
        <f t="shared" si="29"/>
        <v>0 tubes and 0 shuttles</v>
      </c>
      <c r="K686" s="36">
        <f t="shared" si="36"/>
        <v>0</v>
      </c>
      <c r="L686" s="103" t="str">
        <f t="shared" si="30"/>
        <v>0 tubes and 0 shuttles</v>
      </c>
      <c r="M686" s="105">
        <f t="shared" si="37"/>
        <v>0</v>
      </c>
      <c r="N686" s="103" t="str">
        <f t="shared" si="31"/>
        <v>0 tubes and 0 shuttles</v>
      </c>
      <c r="O686" s="36">
        <f t="shared" si="32"/>
        <v>0</v>
      </c>
      <c r="P686" s="103" t="str">
        <f t="shared" si="33"/>
        <v>0 tubes and 0 shuttles</v>
      </c>
    </row>
    <row r="687" spans="1:16" ht="12.5" x14ac:dyDescent="0.25">
      <c r="A687" s="32">
        <f>'Profit &amp; Loss'!A687</f>
        <v>0</v>
      </c>
      <c r="B687" s="35">
        <f>'Profit &amp; Loss'!B687</f>
        <v>0</v>
      </c>
      <c r="C687" s="36"/>
      <c r="D687" s="33"/>
      <c r="E687" s="33"/>
      <c r="F687" s="101"/>
      <c r="G687" s="102">
        <f t="shared" si="34"/>
        <v>0</v>
      </c>
      <c r="H687" s="103" t="str">
        <f t="shared" si="28"/>
        <v>0 tubes and 0 shuttles</v>
      </c>
      <c r="I687" s="36">
        <f t="shared" si="35"/>
        <v>0</v>
      </c>
      <c r="J687" s="104" t="str">
        <f t="shared" si="29"/>
        <v>0 tubes and 0 shuttles</v>
      </c>
      <c r="K687" s="36">
        <f t="shared" si="36"/>
        <v>0</v>
      </c>
      <c r="L687" s="103" t="str">
        <f t="shared" si="30"/>
        <v>0 tubes and 0 shuttles</v>
      </c>
      <c r="M687" s="105">
        <f t="shared" si="37"/>
        <v>0</v>
      </c>
      <c r="N687" s="103" t="str">
        <f t="shared" si="31"/>
        <v>0 tubes and 0 shuttles</v>
      </c>
      <c r="O687" s="36">
        <f t="shared" si="32"/>
        <v>0</v>
      </c>
      <c r="P687" s="103" t="str">
        <f t="shared" si="33"/>
        <v>0 tubes and 0 shuttles</v>
      </c>
    </row>
    <row r="688" spans="1:16" ht="12.5" x14ac:dyDescent="0.25">
      <c r="A688" s="32">
        <f>'Profit &amp; Loss'!A688</f>
        <v>0</v>
      </c>
      <c r="B688" s="35">
        <f>'Profit &amp; Loss'!B688</f>
        <v>0</v>
      </c>
      <c r="C688" s="36"/>
      <c r="D688" s="33"/>
      <c r="E688" s="33"/>
      <c r="F688" s="101"/>
      <c r="G688" s="102">
        <f t="shared" si="34"/>
        <v>0</v>
      </c>
      <c r="H688" s="103" t="str">
        <f t="shared" si="28"/>
        <v>0 tubes and 0 shuttles</v>
      </c>
      <c r="I688" s="36">
        <f t="shared" si="35"/>
        <v>0</v>
      </c>
      <c r="J688" s="104" t="str">
        <f t="shared" si="29"/>
        <v>0 tubes and 0 shuttles</v>
      </c>
      <c r="K688" s="36">
        <f t="shared" si="36"/>
        <v>0</v>
      </c>
      <c r="L688" s="103" t="str">
        <f t="shared" si="30"/>
        <v>0 tubes and 0 shuttles</v>
      </c>
      <c r="M688" s="105">
        <f t="shared" si="37"/>
        <v>0</v>
      </c>
      <c r="N688" s="103" t="str">
        <f t="shared" si="31"/>
        <v>0 tubes and 0 shuttles</v>
      </c>
      <c r="O688" s="36">
        <f t="shared" si="32"/>
        <v>0</v>
      </c>
      <c r="P688" s="103" t="str">
        <f t="shared" si="33"/>
        <v>0 tubes and 0 shuttles</v>
      </c>
    </row>
    <row r="689" spans="1:16" ht="12.5" x14ac:dyDescent="0.25">
      <c r="A689" s="32">
        <f>'Profit &amp; Loss'!A689</f>
        <v>0</v>
      </c>
      <c r="B689" s="35">
        <f>'Profit &amp; Loss'!B689</f>
        <v>0</v>
      </c>
      <c r="C689" s="36"/>
      <c r="D689" s="33"/>
      <c r="E689" s="33"/>
      <c r="F689" s="101"/>
      <c r="G689" s="102">
        <f t="shared" si="34"/>
        <v>0</v>
      </c>
      <c r="H689" s="103" t="str">
        <f t="shared" si="28"/>
        <v>0 tubes and 0 shuttles</v>
      </c>
      <c r="I689" s="36">
        <f t="shared" si="35"/>
        <v>0</v>
      </c>
      <c r="J689" s="104" t="str">
        <f t="shared" si="29"/>
        <v>0 tubes and 0 shuttles</v>
      </c>
      <c r="K689" s="36">
        <f t="shared" si="36"/>
        <v>0</v>
      </c>
      <c r="L689" s="103" t="str">
        <f t="shared" si="30"/>
        <v>0 tubes and 0 shuttles</v>
      </c>
      <c r="M689" s="105">
        <f t="shared" si="37"/>
        <v>0</v>
      </c>
      <c r="N689" s="103" t="str">
        <f t="shared" si="31"/>
        <v>0 tubes and 0 shuttles</v>
      </c>
      <c r="O689" s="36">
        <f t="shared" si="32"/>
        <v>0</v>
      </c>
      <c r="P689" s="103" t="str">
        <f t="shared" si="33"/>
        <v>0 tubes and 0 shuttles</v>
      </c>
    </row>
    <row r="690" spans="1:16" ht="12.5" x14ac:dyDescent="0.25">
      <c r="A690" s="32">
        <f>'Profit &amp; Loss'!A690</f>
        <v>0</v>
      </c>
      <c r="B690" s="35">
        <f>'Profit &amp; Loss'!B690</f>
        <v>0</v>
      </c>
      <c r="C690" s="36"/>
      <c r="D690" s="33"/>
      <c r="E690" s="33"/>
      <c r="F690" s="101"/>
      <c r="G690" s="102">
        <f t="shared" si="34"/>
        <v>0</v>
      </c>
      <c r="H690" s="103" t="str">
        <f t="shared" si="28"/>
        <v>0 tubes and 0 shuttles</v>
      </c>
      <c r="I690" s="36">
        <f t="shared" si="35"/>
        <v>0</v>
      </c>
      <c r="J690" s="104" t="str">
        <f t="shared" si="29"/>
        <v>0 tubes and 0 shuttles</v>
      </c>
      <c r="K690" s="36">
        <f t="shared" si="36"/>
        <v>0</v>
      </c>
      <c r="L690" s="103" t="str">
        <f t="shared" si="30"/>
        <v>0 tubes and 0 shuttles</v>
      </c>
      <c r="M690" s="105">
        <f t="shared" si="37"/>
        <v>0</v>
      </c>
      <c r="N690" s="103" t="str">
        <f t="shared" si="31"/>
        <v>0 tubes and 0 shuttles</v>
      </c>
      <c r="O690" s="36">
        <f t="shared" si="32"/>
        <v>0</v>
      </c>
      <c r="P690" s="103" t="str">
        <f t="shared" si="33"/>
        <v>0 tubes and 0 shuttles</v>
      </c>
    </row>
    <row r="691" spans="1:16" ht="12.5" x14ac:dyDescent="0.25">
      <c r="A691" s="32">
        <f>'Profit &amp; Loss'!A691</f>
        <v>0</v>
      </c>
      <c r="B691" s="35">
        <f>'Profit &amp; Loss'!B691</f>
        <v>0</v>
      </c>
      <c r="C691" s="36"/>
      <c r="D691" s="33"/>
      <c r="E691" s="33"/>
      <c r="F691" s="101"/>
      <c r="G691" s="102">
        <f t="shared" si="34"/>
        <v>0</v>
      </c>
      <c r="H691" s="103" t="str">
        <f t="shared" si="28"/>
        <v>0 tubes and 0 shuttles</v>
      </c>
      <c r="I691" s="36">
        <f t="shared" si="35"/>
        <v>0</v>
      </c>
      <c r="J691" s="104" t="str">
        <f t="shared" si="29"/>
        <v>0 tubes and 0 shuttles</v>
      </c>
      <c r="K691" s="36">
        <f t="shared" si="36"/>
        <v>0</v>
      </c>
      <c r="L691" s="103" t="str">
        <f t="shared" si="30"/>
        <v>0 tubes and 0 shuttles</v>
      </c>
      <c r="M691" s="105">
        <f t="shared" si="37"/>
        <v>0</v>
      </c>
      <c r="N691" s="103" t="str">
        <f t="shared" si="31"/>
        <v>0 tubes and 0 shuttles</v>
      </c>
      <c r="O691" s="36">
        <f t="shared" si="32"/>
        <v>0</v>
      </c>
      <c r="P691" s="103" t="str">
        <f t="shared" si="33"/>
        <v>0 tubes and 0 shuttles</v>
      </c>
    </row>
    <row r="692" spans="1:16" ht="12.5" x14ac:dyDescent="0.25">
      <c r="A692" s="32">
        <f>'Profit &amp; Loss'!A692</f>
        <v>0</v>
      </c>
      <c r="B692" s="35">
        <f>'Profit &amp; Loss'!B692</f>
        <v>0</v>
      </c>
      <c r="C692" s="36"/>
      <c r="D692" s="33"/>
      <c r="E692" s="33"/>
      <c r="F692" s="101"/>
      <c r="G692" s="102">
        <f t="shared" si="34"/>
        <v>0</v>
      </c>
      <c r="H692" s="103" t="str">
        <f t="shared" si="28"/>
        <v>0 tubes and 0 shuttles</v>
      </c>
      <c r="I692" s="36">
        <f t="shared" si="35"/>
        <v>0</v>
      </c>
      <c r="J692" s="104" t="str">
        <f t="shared" si="29"/>
        <v>0 tubes and 0 shuttles</v>
      </c>
      <c r="K692" s="36">
        <f t="shared" si="36"/>
        <v>0</v>
      </c>
      <c r="L692" s="103" t="str">
        <f t="shared" si="30"/>
        <v>0 tubes and 0 shuttles</v>
      </c>
      <c r="M692" s="105">
        <f t="shared" si="37"/>
        <v>0</v>
      </c>
      <c r="N692" s="103" t="str">
        <f t="shared" si="31"/>
        <v>0 tubes and 0 shuttles</v>
      </c>
      <c r="O692" s="36">
        <f t="shared" si="32"/>
        <v>0</v>
      </c>
      <c r="P692" s="103" t="str">
        <f t="shared" si="33"/>
        <v>0 tubes and 0 shuttles</v>
      </c>
    </row>
    <row r="693" spans="1:16" ht="12.5" x14ac:dyDescent="0.25">
      <c r="A693" s="32">
        <f>'Profit &amp; Loss'!A693</f>
        <v>0</v>
      </c>
      <c r="B693" s="35">
        <f>'Profit &amp; Loss'!B693</f>
        <v>0</v>
      </c>
      <c r="C693" s="36"/>
      <c r="D693" s="33"/>
      <c r="E693" s="33"/>
      <c r="F693" s="101"/>
      <c r="G693" s="102">
        <f t="shared" si="34"/>
        <v>0</v>
      </c>
      <c r="H693" s="103" t="str">
        <f t="shared" si="28"/>
        <v>0 tubes and 0 shuttles</v>
      </c>
      <c r="I693" s="36">
        <f t="shared" si="35"/>
        <v>0</v>
      </c>
      <c r="J693" s="104" t="str">
        <f t="shared" si="29"/>
        <v>0 tubes and 0 shuttles</v>
      </c>
      <c r="K693" s="36">
        <f t="shared" si="36"/>
        <v>0</v>
      </c>
      <c r="L693" s="103" t="str">
        <f t="shared" si="30"/>
        <v>0 tubes and 0 shuttles</v>
      </c>
      <c r="M693" s="105">
        <f t="shared" si="37"/>
        <v>0</v>
      </c>
      <c r="N693" s="103" t="str">
        <f t="shared" si="31"/>
        <v>0 tubes and 0 shuttles</v>
      </c>
      <c r="O693" s="36">
        <f t="shared" si="32"/>
        <v>0</v>
      </c>
      <c r="P693" s="103" t="str">
        <f t="shared" si="33"/>
        <v>0 tubes and 0 shuttles</v>
      </c>
    </row>
    <row r="694" spans="1:16" ht="12.5" x14ac:dyDescent="0.25">
      <c r="A694" s="32">
        <f>'Profit &amp; Loss'!A694</f>
        <v>0</v>
      </c>
      <c r="B694" s="35">
        <f>'Profit &amp; Loss'!B694</f>
        <v>0</v>
      </c>
      <c r="C694" s="36"/>
      <c r="D694" s="33"/>
      <c r="E694" s="33"/>
      <c r="F694" s="101"/>
      <c r="G694" s="102">
        <f t="shared" si="34"/>
        <v>0</v>
      </c>
      <c r="H694" s="103" t="str">
        <f t="shared" si="28"/>
        <v>0 tubes and 0 shuttles</v>
      </c>
      <c r="I694" s="36">
        <f t="shared" si="35"/>
        <v>0</v>
      </c>
      <c r="J694" s="104" t="str">
        <f t="shared" si="29"/>
        <v>0 tubes and 0 shuttles</v>
      </c>
      <c r="K694" s="36">
        <f t="shared" si="36"/>
        <v>0</v>
      </c>
      <c r="L694" s="103" t="str">
        <f t="shared" si="30"/>
        <v>0 tubes and 0 shuttles</v>
      </c>
      <c r="M694" s="105">
        <f t="shared" si="37"/>
        <v>0</v>
      </c>
      <c r="N694" s="103" t="str">
        <f t="shared" si="31"/>
        <v>0 tubes and 0 shuttles</v>
      </c>
      <c r="O694" s="36">
        <f t="shared" si="32"/>
        <v>0</v>
      </c>
      <c r="P694" s="103" t="str">
        <f t="shared" si="33"/>
        <v>0 tubes and 0 shuttles</v>
      </c>
    </row>
    <row r="695" spans="1:16" ht="12.5" x14ac:dyDescent="0.25">
      <c r="A695" s="32">
        <f>'Profit &amp; Loss'!A695</f>
        <v>0</v>
      </c>
      <c r="B695" s="35">
        <f>'Profit &amp; Loss'!B695</f>
        <v>0</v>
      </c>
      <c r="C695" s="36"/>
      <c r="D695" s="33"/>
      <c r="E695" s="33"/>
      <c r="F695" s="101"/>
      <c r="G695" s="102">
        <f t="shared" si="34"/>
        <v>0</v>
      </c>
      <c r="H695" s="103" t="str">
        <f t="shared" si="28"/>
        <v>0 tubes and 0 shuttles</v>
      </c>
      <c r="I695" s="36">
        <f t="shared" si="35"/>
        <v>0</v>
      </c>
      <c r="J695" s="104" t="str">
        <f t="shared" si="29"/>
        <v>0 tubes and 0 shuttles</v>
      </c>
      <c r="K695" s="36">
        <f t="shared" si="36"/>
        <v>0</v>
      </c>
      <c r="L695" s="103" t="str">
        <f t="shared" si="30"/>
        <v>0 tubes and 0 shuttles</v>
      </c>
      <c r="M695" s="105">
        <f t="shared" si="37"/>
        <v>0</v>
      </c>
      <c r="N695" s="103" t="str">
        <f t="shared" si="31"/>
        <v>0 tubes and 0 shuttles</v>
      </c>
      <c r="O695" s="36">
        <f t="shared" si="32"/>
        <v>0</v>
      </c>
      <c r="P695" s="103" t="str">
        <f t="shared" si="33"/>
        <v>0 tubes and 0 shuttles</v>
      </c>
    </row>
    <row r="696" spans="1:16" ht="12.5" x14ac:dyDescent="0.25">
      <c r="A696" s="32">
        <f>'Profit &amp; Loss'!A696</f>
        <v>0</v>
      </c>
      <c r="B696" s="35">
        <f>'Profit &amp; Loss'!B696</f>
        <v>0</v>
      </c>
      <c r="C696" s="36"/>
      <c r="D696" s="33"/>
      <c r="E696" s="33"/>
      <c r="F696" s="101"/>
      <c r="G696" s="102">
        <f t="shared" si="34"/>
        <v>0</v>
      </c>
      <c r="H696" s="103" t="str">
        <f t="shared" si="28"/>
        <v>0 tubes and 0 shuttles</v>
      </c>
      <c r="I696" s="36">
        <f t="shared" si="35"/>
        <v>0</v>
      </c>
      <c r="J696" s="104" t="str">
        <f t="shared" si="29"/>
        <v>0 tubes and 0 shuttles</v>
      </c>
      <c r="K696" s="36">
        <f t="shared" si="36"/>
        <v>0</v>
      </c>
      <c r="L696" s="103" t="str">
        <f t="shared" si="30"/>
        <v>0 tubes and 0 shuttles</v>
      </c>
      <c r="M696" s="105">
        <f t="shared" si="37"/>
        <v>0</v>
      </c>
      <c r="N696" s="103" t="str">
        <f t="shared" si="31"/>
        <v>0 tubes and 0 shuttles</v>
      </c>
      <c r="O696" s="36">
        <f t="shared" si="32"/>
        <v>0</v>
      </c>
      <c r="P696" s="103" t="str">
        <f t="shared" si="33"/>
        <v>0 tubes and 0 shuttles</v>
      </c>
    </row>
    <row r="697" spans="1:16" ht="12.5" x14ac:dyDescent="0.25">
      <c r="A697" s="32">
        <f>'Profit &amp; Loss'!A697</f>
        <v>0</v>
      </c>
      <c r="B697" s="35">
        <f>'Profit &amp; Loss'!B697</f>
        <v>0</v>
      </c>
      <c r="C697" s="36"/>
      <c r="D697" s="33"/>
      <c r="E697" s="33"/>
      <c r="F697" s="101"/>
      <c r="G697" s="102">
        <f t="shared" si="34"/>
        <v>0</v>
      </c>
      <c r="H697" s="103" t="str">
        <f t="shared" si="28"/>
        <v>0 tubes and 0 shuttles</v>
      </c>
      <c r="I697" s="36">
        <f t="shared" si="35"/>
        <v>0</v>
      </c>
      <c r="J697" s="104" t="str">
        <f t="shared" si="29"/>
        <v>0 tubes and 0 shuttles</v>
      </c>
      <c r="K697" s="36">
        <f t="shared" si="36"/>
        <v>0</v>
      </c>
      <c r="L697" s="103" t="str">
        <f t="shared" si="30"/>
        <v>0 tubes and 0 shuttles</v>
      </c>
      <c r="M697" s="105">
        <f t="shared" si="37"/>
        <v>0</v>
      </c>
      <c r="N697" s="103" t="str">
        <f t="shared" si="31"/>
        <v>0 tubes and 0 shuttles</v>
      </c>
      <c r="O697" s="36">
        <f t="shared" si="32"/>
        <v>0</v>
      </c>
      <c r="P697" s="103" t="str">
        <f t="shared" si="33"/>
        <v>0 tubes and 0 shuttles</v>
      </c>
    </row>
    <row r="698" spans="1:16" ht="12.5" x14ac:dyDescent="0.25">
      <c r="A698" s="32">
        <f>'Profit &amp; Loss'!A698</f>
        <v>0</v>
      </c>
      <c r="B698" s="35">
        <f>'Profit &amp; Loss'!B698</f>
        <v>0</v>
      </c>
      <c r="C698" s="36"/>
      <c r="D698" s="33"/>
      <c r="E698" s="33"/>
      <c r="F698" s="101"/>
      <c r="G698" s="102">
        <f t="shared" si="34"/>
        <v>0</v>
      </c>
      <c r="H698" s="103" t="str">
        <f t="shared" si="28"/>
        <v>0 tubes and 0 shuttles</v>
      </c>
      <c r="I698" s="36">
        <f t="shared" si="35"/>
        <v>0</v>
      </c>
      <c r="J698" s="104" t="str">
        <f t="shared" si="29"/>
        <v>0 tubes and 0 shuttles</v>
      </c>
      <c r="K698" s="36">
        <f t="shared" si="36"/>
        <v>0</v>
      </c>
      <c r="L698" s="103" t="str">
        <f t="shared" si="30"/>
        <v>0 tubes and 0 shuttles</v>
      </c>
      <c r="M698" s="105">
        <f t="shared" si="37"/>
        <v>0</v>
      </c>
      <c r="N698" s="103" t="str">
        <f t="shared" si="31"/>
        <v>0 tubes and 0 shuttles</v>
      </c>
      <c r="O698" s="36">
        <f t="shared" si="32"/>
        <v>0</v>
      </c>
      <c r="P698" s="103" t="str">
        <f t="shared" si="33"/>
        <v>0 tubes and 0 shuttles</v>
      </c>
    </row>
    <row r="699" spans="1:16" ht="12.5" x14ac:dyDescent="0.25">
      <c r="A699" s="32">
        <f>'Profit &amp; Loss'!A699</f>
        <v>0</v>
      </c>
      <c r="B699" s="35">
        <f>'Profit &amp; Loss'!B699</f>
        <v>0</v>
      </c>
      <c r="C699" s="36"/>
      <c r="D699" s="33"/>
      <c r="E699" s="33"/>
      <c r="F699" s="101"/>
      <c r="G699" s="102">
        <f t="shared" si="34"/>
        <v>0</v>
      </c>
      <c r="H699" s="103" t="str">
        <f t="shared" si="28"/>
        <v>0 tubes and 0 shuttles</v>
      </c>
      <c r="I699" s="36">
        <f t="shared" si="35"/>
        <v>0</v>
      </c>
      <c r="J699" s="104" t="str">
        <f t="shared" si="29"/>
        <v>0 tubes and 0 shuttles</v>
      </c>
      <c r="K699" s="36">
        <f t="shared" si="36"/>
        <v>0</v>
      </c>
      <c r="L699" s="103" t="str">
        <f t="shared" si="30"/>
        <v>0 tubes and 0 shuttles</v>
      </c>
      <c r="M699" s="105">
        <f t="shared" si="37"/>
        <v>0</v>
      </c>
      <c r="N699" s="103" t="str">
        <f t="shared" si="31"/>
        <v>0 tubes and 0 shuttles</v>
      </c>
      <c r="O699" s="36">
        <f t="shared" si="32"/>
        <v>0</v>
      </c>
      <c r="P699" s="103" t="str">
        <f t="shared" si="33"/>
        <v>0 tubes and 0 shuttles</v>
      </c>
    </row>
    <row r="700" spans="1:16" ht="12.5" x14ac:dyDescent="0.25">
      <c r="A700" s="32">
        <f>'Profit &amp; Loss'!A700</f>
        <v>0</v>
      </c>
      <c r="B700" s="35">
        <f>'Profit &amp; Loss'!B700</f>
        <v>0</v>
      </c>
      <c r="C700" s="36"/>
      <c r="D700" s="33"/>
      <c r="E700" s="33"/>
      <c r="F700" s="101"/>
      <c r="G700" s="102">
        <f t="shared" si="34"/>
        <v>0</v>
      </c>
      <c r="H700" s="103" t="str">
        <f t="shared" si="28"/>
        <v>0 tubes and 0 shuttles</v>
      </c>
      <c r="I700" s="36">
        <f t="shared" si="35"/>
        <v>0</v>
      </c>
      <c r="J700" s="104" t="str">
        <f t="shared" si="29"/>
        <v>0 tubes and 0 shuttles</v>
      </c>
      <c r="K700" s="36">
        <f t="shared" si="36"/>
        <v>0</v>
      </c>
      <c r="L700" s="103" t="str">
        <f t="shared" si="30"/>
        <v>0 tubes and 0 shuttles</v>
      </c>
      <c r="M700" s="105">
        <f t="shared" si="37"/>
        <v>0</v>
      </c>
      <c r="N700" s="103" t="str">
        <f t="shared" si="31"/>
        <v>0 tubes and 0 shuttles</v>
      </c>
      <c r="O700" s="36">
        <f t="shared" si="32"/>
        <v>0</v>
      </c>
      <c r="P700" s="103" t="str">
        <f t="shared" si="33"/>
        <v>0 tubes and 0 shuttles</v>
      </c>
    </row>
    <row r="701" spans="1:16" ht="12.5" x14ac:dyDescent="0.25">
      <c r="A701" s="32">
        <f>'Profit &amp; Loss'!A701</f>
        <v>0</v>
      </c>
      <c r="B701" s="35">
        <f>'Profit &amp; Loss'!B701</f>
        <v>0</v>
      </c>
      <c r="C701" s="36"/>
      <c r="D701" s="33"/>
      <c r="E701" s="33"/>
      <c r="F701" s="101"/>
      <c r="G701" s="102">
        <f t="shared" si="34"/>
        <v>0</v>
      </c>
      <c r="H701" s="103" t="str">
        <f t="shared" si="28"/>
        <v>0 tubes and 0 shuttles</v>
      </c>
      <c r="I701" s="36">
        <f t="shared" si="35"/>
        <v>0</v>
      </c>
      <c r="J701" s="104" t="str">
        <f t="shared" si="29"/>
        <v>0 tubes and 0 shuttles</v>
      </c>
      <c r="K701" s="36">
        <f t="shared" si="36"/>
        <v>0</v>
      </c>
      <c r="L701" s="103" t="str">
        <f t="shared" si="30"/>
        <v>0 tubes and 0 shuttles</v>
      </c>
      <c r="M701" s="105">
        <f t="shared" si="37"/>
        <v>0</v>
      </c>
      <c r="N701" s="103" t="str">
        <f t="shared" si="31"/>
        <v>0 tubes and 0 shuttles</v>
      </c>
      <c r="O701" s="36">
        <f t="shared" si="32"/>
        <v>0</v>
      </c>
      <c r="P701" s="103" t="str">
        <f t="shared" si="33"/>
        <v>0 tubes and 0 shuttles</v>
      </c>
    </row>
    <row r="702" spans="1:16" ht="12.5" x14ac:dyDescent="0.25">
      <c r="A702" s="32">
        <f>'Profit &amp; Loss'!A702</f>
        <v>0</v>
      </c>
      <c r="B702" s="35">
        <f>'Profit &amp; Loss'!B702</f>
        <v>0</v>
      </c>
      <c r="C702" s="36"/>
      <c r="D702" s="33"/>
      <c r="E702" s="33"/>
      <c r="F702" s="101"/>
      <c r="G702" s="102">
        <f t="shared" si="34"/>
        <v>0</v>
      </c>
      <c r="H702" s="103" t="str">
        <f t="shared" si="28"/>
        <v>0 tubes and 0 shuttles</v>
      </c>
      <c r="I702" s="36">
        <f t="shared" si="35"/>
        <v>0</v>
      </c>
      <c r="J702" s="104" t="str">
        <f t="shared" si="29"/>
        <v>0 tubes and 0 shuttles</v>
      </c>
      <c r="K702" s="36">
        <f t="shared" si="36"/>
        <v>0</v>
      </c>
      <c r="L702" s="103" t="str">
        <f t="shared" si="30"/>
        <v>0 tubes and 0 shuttles</v>
      </c>
      <c r="M702" s="105">
        <f t="shared" si="37"/>
        <v>0</v>
      </c>
      <c r="N702" s="103" t="str">
        <f t="shared" si="31"/>
        <v>0 tubes and 0 shuttles</v>
      </c>
      <c r="O702" s="36">
        <f t="shared" si="32"/>
        <v>0</v>
      </c>
      <c r="P702" s="103" t="str">
        <f t="shared" si="33"/>
        <v>0 tubes and 0 shuttles</v>
      </c>
    </row>
    <row r="703" spans="1:16" ht="12.5" x14ac:dyDescent="0.25">
      <c r="A703" s="32">
        <f>'Profit &amp; Loss'!A703</f>
        <v>0</v>
      </c>
      <c r="B703" s="35">
        <f>'Profit &amp; Loss'!B703</f>
        <v>0</v>
      </c>
      <c r="C703" s="36"/>
      <c r="D703" s="33"/>
      <c r="E703" s="33"/>
      <c r="F703" s="101"/>
      <c r="G703" s="102">
        <f t="shared" si="34"/>
        <v>0</v>
      </c>
      <c r="H703" s="103" t="str">
        <f t="shared" si="28"/>
        <v>0 tubes and 0 shuttles</v>
      </c>
      <c r="I703" s="36">
        <f t="shared" si="35"/>
        <v>0</v>
      </c>
      <c r="J703" s="104" t="str">
        <f t="shared" si="29"/>
        <v>0 tubes and 0 shuttles</v>
      </c>
      <c r="K703" s="36">
        <f t="shared" si="36"/>
        <v>0</v>
      </c>
      <c r="L703" s="103" t="str">
        <f t="shared" si="30"/>
        <v>0 tubes and 0 shuttles</v>
      </c>
      <c r="M703" s="105">
        <f t="shared" si="37"/>
        <v>0</v>
      </c>
      <c r="N703" s="103" t="str">
        <f t="shared" si="31"/>
        <v>0 tubes and 0 shuttles</v>
      </c>
      <c r="O703" s="36">
        <f t="shared" si="32"/>
        <v>0</v>
      </c>
      <c r="P703" s="103" t="str">
        <f t="shared" si="33"/>
        <v>0 tubes and 0 shuttles</v>
      </c>
    </row>
    <row r="704" spans="1:16" ht="12.5" x14ac:dyDescent="0.25">
      <c r="A704" s="32">
        <f>'Profit &amp; Loss'!A704</f>
        <v>0</v>
      </c>
      <c r="B704" s="35">
        <f>'Profit &amp; Loss'!B704</f>
        <v>0</v>
      </c>
      <c r="C704" s="36"/>
      <c r="D704" s="33"/>
      <c r="E704" s="33"/>
      <c r="F704" s="101"/>
      <c r="G704" s="102">
        <f t="shared" si="34"/>
        <v>0</v>
      </c>
      <c r="H704" s="103" t="str">
        <f t="shared" si="28"/>
        <v>0 tubes and 0 shuttles</v>
      </c>
      <c r="I704" s="36">
        <f t="shared" si="35"/>
        <v>0</v>
      </c>
      <c r="J704" s="104" t="str">
        <f t="shared" si="29"/>
        <v>0 tubes and 0 shuttles</v>
      </c>
      <c r="K704" s="36">
        <f t="shared" si="36"/>
        <v>0</v>
      </c>
      <c r="L704" s="103" t="str">
        <f t="shared" si="30"/>
        <v>0 tubes and 0 shuttles</v>
      </c>
      <c r="M704" s="105">
        <f t="shared" si="37"/>
        <v>0</v>
      </c>
      <c r="N704" s="103" t="str">
        <f t="shared" si="31"/>
        <v>0 tubes and 0 shuttles</v>
      </c>
      <c r="O704" s="36">
        <f t="shared" si="32"/>
        <v>0</v>
      </c>
      <c r="P704" s="103" t="str">
        <f t="shared" si="33"/>
        <v>0 tubes and 0 shuttles</v>
      </c>
    </row>
    <row r="705" spans="1:16" ht="12.5" x14ac:dyDescent="0.25">
      <c r="A705" s="32">
        <f>'Profit &amp; Loss'!A705</f>
        <v>0</v>
      </c>
      <c r="B705" s="35">
        <f>'Profit &amp; Loss'!B705</f>
        <v>0</v>
      </c>
      <c r="C705" s="36"/>
      <c r="D705" s="33"/>
      <c r="E705" s="33"/>
      <c r="F705" s="101"/>
      <c r="G705" s="102">
        <f t="shared" si="34"/>
        <v>0</v>
      </c>
      <c r="H705" s="103" t="str">
        <f t="shared" si="28"/>
        <v>0 tubes and 0 shuttles</v>
      </c>
      <c r="I705" s="36">
        <f t="shared" si="35"/>
        <v>0</v>
      </c>
      <c r="J705" s="104" t="str">
        <f t="shared" si="29"/>
        <v>0 tubes and 0 shuttles</v>
      </c>
      <c r="K705" s="36">
        <f t="shared" si="36"/>
        <v>0</v>
      </c>
      <c r="L705" s="103" t="str">
        <f t="shared" si="30"/>
        <v>0 tubes and 0 shuttles</v>
      </c>
      <c r="M705" s="105">
        <f t="shared" si="37"/>
        <v>0</v>
      </c>
      <c r="N705" s="103" t="str">
        <f t="shared" si="31"/>
        <v>0 tubes and 0 shuttles</v>
      </c>
      <c r="O705" s="36">
        <f t="shared" si="32"/>
        <v>0</v>
      </c>
      <c r="P705" s="103" t="str">
        <f t="shared" si="33"/>
        <v>0 tubes and 0 shuttles</v>
      </c>
    </row>
    <row r="706" spans="1:16" ht="12.5" x14ac:dyDescent="0.25">
      <c r="A706" s="32">
        <f>'Profit &amp; Loss'!A706</f>
        <v>0</v>
      </c>
      <c r="B706" s="35">
        <f>'Profit &amp; Loss'!B706</f>
        <v>0</v>
      </c>
      <c r="C706" s="36"/>
      <c r="D706" s="33"/>
      <c r="E706" s="33"/>
      <c r="F706" s="101"/>
      <c r="G706" s="102">
        <f t="shared" si="34"/>
        <v>0</v>
      </c>
      <c r="H706" s="103" t="str">
        <f t="shared" si="28"/>
        <v>0 tubes and 0 shuttles</v>
      </c>
      <c r="I706" s="36">
        <f t="shared" si="35"/>
        <v>0</v>
      </c>
      <c r="J706" s="104" t="str">
        <f t="shared" si="29"/>
        <v>0 tubes and 0 shuttles</v>
      </c>
      <c r="K706" s="36">
        <f t="shared" si="36"/>
        <v>0</v>
      </c>
      <c r="L706" s="103" t="str">
        <f t="shared" si="30"/>
        <v>0 tubes and 0 shuttles</v>
      </c>
      <c r="M706" s="105">
        <f t="shared" si="37"/>
        <v>0</v>
      </c>
      <c r="N706" s="103" t="str">
        <f t="shared" si="31"/>
        <v>0 tubes and 0 shuttles</v>
      </c>
      <c r="O706" s="36">
        <f t="shared" si="32"/>
        <v>0</v>
      </c>
      <c r="P706" s="103" t="str">
        <f t="shared" si="33"/>
        <v>0 tubes and 0 shuttles</v>
      </c>
    </row>
    <row r="707" spans="1:16" ht="12.5" x14ac:dyDescent="0.25">
      <c r="A707" s="32">
        <f>'Profit &amp; Loss'!A707</f>
        <v>0</v>
      </c>
      <c r="B707" s="35">
        <f>'Profit &amp; Loss'!B707</f>
        <v>0</v>
      </c>
      <c r="C707" s="36"/>
      <c r="D707" s="33"/>
      <c r="E707" s="33"/>
      <c r="F707" s="101"/>
      <c r="G707" s="102">
        <f t="shared" si="34"/>
        <v>0</v>
      </c>
      <c r="H707" s="103" t="str">
        <f t="shared" si="28"/>
        <v>0 tubes and 0 shuttles</v>
      </c>
      <c r="I707" s="36">
        <f t="shared" si="35"/>
        <v>0</v>
      </c>
      <c r="J707" s="104" t="str">
        <f t="shared" si="29"/>
        <v>0 tubes and 0 shuttles</v>
      </c>
      <c r="K707" s="36">
        <f t="shared" si="36"/>
        <v>0</v>
      </c>
      <c r="L707" s="103" t="str">
        <f t="shared" si="30"/>
        <v>0 tubes and 0 shuttles</v>
      </c>
      <c r="M707" s="105">
        <f t="shared" si="37"/>
        <v>0</v>
      </c>
      <c r="N707" s="103" t="str">
        <f t="shared" si="31"/>
        <v>0 tubes and 0 shuttles</v>
      </c>
      <c r="O707" s="36">
        <f t="shared" si="32"/>
        <v>0</v>
      </c>
      <c r="P707" s="103" t="str">
        <f t="shared" si="33"/>
        <v>0 tubes and 0 shuttles</v>
      </c>
    </row>
    <row r="708" spans="1:16" ht="12.5" x14ac:dyDescent="0.25">
      <c r="A708" s="32">
        <f>'Profit &amp; Loss'!A708</f>
        <v>0</v>
      </c>
      <c r="B708" s="35">
        <f>'Profit &amp; Loss'!B708</f>
        <v>0</v>
      </c>
      <c r="C708" s="36"/>
      <c r="D708" s="33"/>
      <c r="E708" s="33"/>
      <c r="F708" s="101"/>
      <c r="G708" s="102">
        <f t="shared" si="34"/>
        <v>0</v>
      </c>
      <c r="H708" s="103" t="str">
        <f t="shared" si="28"/>
        <v>0 tubes and 0 shuttles</v>
      </c>
      <c r="I708" s="36">
        <f t="shared" si="35"/>
        <v>0</v>
      </c>
      <c r="J708" s="104" t="str">
        <f t="shared" si="29"/>
        <v>0 tubes and 0 shuttles</v>
      </c>
      <c r="K708" s="36">
        <f t="shared" si="36"/>
        <v>0</v>
      </c>
      <c r="L708" s="103" t="str">
        <f t="shared" si="30"/>
        <v>0 tubes and 0 shuttles</v>
      </c>
      <c r="M708" s="105">
        <f t="shared" si="37"/>
        <v>0</v>
      </c>
      <c r="N708" s="103" t="str">
        <f t="shared" si="31"/>
        <v>0 tubes and 0 shuttles</v>
      </c>
      <c r="O708" s="36">
        <f t="shared" si="32"/>
        <v>0</v>
      </c>
      <c r="P708" s="103" t="str">
        <f t="shared" si="33"/>
        <v>0 tubes and 0 shuttles</v>
      </c>
    </row>
    <row r="709" spans="1:16" ht="12.5" x14ac:dyDescent="0.25">
      <c r="A709" s="32">
        <f>'Profit &amp; Loss'!A709</f>
        <v>0</v>
      </c>
      <c r="B709" s="35">
        <f>'Profit &amp; Loss'!B709</f>
        <v>0</v>
      </c>
      <c r="C709" s="36"/>
      <c r="D709" s="33"/>
      <c r="E709" s="33"/>
      <c r="F709" s="101"/>
      <c r="G709" s="102">
        <f t="shared" si="34"/>
        <v>0</v>
      </c>
      <c r="H709" s="103" t="str">
        <f t="shared" si="28"/>
        <v>0 tubes and 0 shuttles</v>
      </c>
      <c r="I709" s="36">
        <f t="shared" si="35"/>
        <v>0</v>
      </c>
      <c r="J709" s="104" t="str">
        <f t="shared" si="29"/>
        <v>0 tubes and 0 shuttles</v>
      </c>
      <c r="K709" s="36">
        <f t="shared" si="36"/>
        <v>0</v>
      </c>
      <c r="L709" s="103" t="str">
        <f t="shared" si="30"/>
        <v>0 tubes and 0 shuttles</v>
      </c>
      <c r="M709" s="105">
        <f t="shared" si="37"/>
        <v>0</v>
      </c>
      <c r="N709" s="103" t="str">
        <f t="shared" si="31"/>
        <v>0 tubes and 0 shuttles</v>
      </c>
      <c r="O709" s="36">
        <f t="shared" si="32"/>
        <v>0</v>
      </c>
      <c r="P709" s="103" t="str">
        <f t="shared" si="33"/>
        <v>0 tubes and 0 shuttles</v>
      </c>
    </row>
    <row r="710" spans="1:16" ht="12.5" x14ac:dyDescent="0.25">
      <c r="A710" s="32">
        <f>'Profit &amp; Loss'!A710</f>
        <v>0</v>
      </c>
      <c r="B710" s="35">
        <f>'Profit &amp; Loss'!B710</f>
        <v>0</v>
      </c>
      <c r="C710" s="36"/>
      <c r="D710" s="33"/>
      <c r="E710" s="33"/>
      <c r="F710" s="101"/>
      <c r="G710" s="102">
        <f t="shared" si="34"/>
        <v>0</v>
      </c>
      <c r="H710" s="103" t="str">
        <f t="shared" si="28"/>
        <v>0 tubes and 0 shuttles</v>
      </c>
      <c r="I710" s="36">
        <f t="shared" si="35"/>
        <v>0</v>
      </c>
      <c r="J710" s="104" t="str">
        <f t="shared" si="29"/>
        <v>0 tubes and 0 shuttles</v>
      </c>
      <c r="K710" s="36">
        <f t="shared" si="36"/>
        <v>0</v>
      </c>
      <c r="L710" s="103" t="str">
        <f t="shared" si="30"/>
        <v>0 tubes and 0 shuttles</v>
      </c>
      <c r="M710" s="105">
        <f t="shared" si="37"/>
        <v>0</v>
      </c>
      <c r="N710" s="103" t="str">
        <f t="shared" si="31"/>
        <v>0 tubes and 0 shuttles</v>
      </c>
      <c r="O710" s="36">
        <f t="shared" si="32"/>
        <v>0</v>
      </c>
      <c r="P710" s="103" t="str">
        <f t="shared" si="33"/>
        <v>0 tubes and 0 shuttles</v>
      </c>
    </row>
    <row r="711" spans="1:16" ht="12.5" x14ac:dyDescent="0.25">
      <c r="A711" s="32">
        <f>'Profit &amp; Loss'!A711</f>
        <v>0</v>
      </c>
      <c r="B711" s="35">
        <f>'Profit &amp; Loss'!B711</f>
        <v>0</v>
      </c>
      <c r="C711" s="36"/>
      <c r="D711" s="33"/>
      <c r="E711" s="33"/>
      <c r="F711" s="101"/>
      <c r="G711" s="102">
        <f t="shared" si="34"/>
        <v>0</v>
      </c>
      <c r="H711" s="103" t="str">
        <f t="shared" si="28"/>
        <v>0 tubes and 0 shuttles</v>
      </c>
      <c r="I711" s="36">
        <f t="shared" si="35"/>
        <v>0</v>
      </c>
      <c r="J711" s="104" t="str">
        <f t="shared" si="29"/>
        <v>0 tubes and 0 shuttles</v>
      </c>
      <c r="K711" s="36">
        <f t="shared" si="36"/>
        <v>0</v>
      </c>
      <c r="L711" s="103" t="str">
        <f t="shared" si="30"/>
        <v>0 tubes and 0 shuttles</v>
      </c>
      <c r="M711" s="105">
        <f t="shared" si="37"/>
        <v>0</v>
      </c>
      <c r="N711" s="103" t="str">
        <f t="shared" si="31"/>
        <v>0 tubes and 0 shuttles</v>
      </c>
      <c r="O711" s="36">
        <f t="shared" si="32"/>
        <v>0</v>
      </c>
      <c r="P711" s="103" t="str">
        <f t="shared" si="33"/>
        <v>0 tubes and 0 shuttles</v>
      </c>
    </row>
    <row r="712" spans="1:16" ht="12.5" x14ac:dyDescent="0.25">
      <c r="A712" s="32">
        <f>'Profit &amp; Loss'!A712</f>
        <v>0</v>
      </c>
      <c r="B712" s="35">
        <f>'Profit &amp; Loss'!B712</f>
        <v>0</v>
      </c>
      <c r="C712" s="36"/>
      <c r="D712" s="33"/>
      <c r="E712" s="33"/>
      <c r="F712" s="101"/>
      <c r="G712" s="102">
        <f t="shared" si="34"/>
        <v>0</v>
      </c>
      <c r="H712" s="103" t="str">
        <f t="shared" si="28"/>
        <v>0 tubes and 0 shuttles</v>
      </c>
      <c r="I712" s="36">
        <f t="shared" si="35"/>
        <v>0</v>
      </c>
      <c r="J712" s="104" t="str">
        <f t="shared" si="29"/>
        <v>0 tubes and 0 shuttles</v>
      </c>
      <c r="K712" s="36">
        <f t="shared" si="36"/>
        <v>0</v>
      </c>
      <c r="L712" s="103" t="str">
        <f t="shared" si="30"/>
        <v>0 tubes and 0 shuttles</v>
      </c>
      <c r="M712" s="105">
        <f t="shared" si="37"/>
        <v>0</v>
      </c>
      <c r="N712" s="103" t="str">
        <f t="shared" si="31"/>
        <v>0 tubes and 0 shuttles</v>
      </c>
      <c r="O712" s="36">
        <f t="shared" si="32"/>
        <v>0</v>
      </c>
      <c r="P712" s="103" t="str">
        <f t="shared" si="33"/>
        <v>0 tubes and 0 shuttles</v>
      </c>
    </row>
    <row r="713" spans="1:16" ht="12.5" x14ac:dyDescent="0.25">
      <c r="A713" s="32">
        <f>'Profit &amp; Loss'!A713</f>
        <v>0</v>
      </c>
      <c r="B713" s="35">
        <f>'Profit &amp; Loss'!B713</f>
        <v>0</v>
      </c>
      <c r="C713" s="36"/>
      <c r="D713" s="33"/>
      <c r="E713" s="33"/>
      <c r="F713" s="101"/>
      <c r="G713" s="102">
        <f t="shared" si="34"/>
        <v>0</v>
      </c>
      <c r="H713" s="103" t="str">
        <f t="shared" si="28"/>
        <v>0 tubes and 0 shuttles</v>
      </c>
      <c r="I713" s="36">
        <f t="shared" si="35"/>
        <v>0</v>
      </c>
      <c r="J713" s="104" t="str">
        <f t="shared" si="29"/>
        <v>0 tubes and 0 shuttles</v>
      </c>
      <c r="K713" s="36">
        <f t="shared" si="36"/>
        <v>0</v>
      </c>
      <c r="L713" s="103" t="str">
        <f t="shared" si="30"/>
        <v>0 tubes and 0 shuttles</v>
      </c>
      <c r="M713" s="105">
        <f t="shared" si="37"/>
        <v>0</v>
      </c>
      <c r="N713" s="103" t="str">
        <f t="shared" si="31"/>
        <v>0 tubes and 0 shuttles</v>
      </c>
      <c r="O713" s="36">
        <f t="shared" si="32"/>
        <v>0</v>
      </c>
      <c r="P713" s="103" t="str">
        <f t="shared" si="33"/>
        <v>0 tubes and 0 shuttles</v>
      </c>
    </row>
    <row r="714" spans="1:16" ht="12.5" x14ac:dyDescent="0.25">
      <c r="A714" s="32">
        <f>'Profit &amp; Loss'!A714</f>
        <v>0</v>
      </c>
      <c r="B714" s="35">
        <f>'Profit &amp; Loss'!B714</f>
        <v>0</v>
      </c>
      <c r="C714" s="36"/>
      <c r="D714" s="33"/>
      <c r="E714" s="33"/>
      <c r="F714" s="101"/>
      <c r="G714" s="102">
        <f t="shared" si="34"/>
        <v>0</v>
      </c>
      <c r="H714" s="103" t="str">
        <f t="shared" si="28"/>
        <v>0 tubes and 0 shuttles</v>
      </c>
      <c r="I714" s="36">
        <f t="shared" si="35"/>
        <v>0</v>
      </c>
      <c r="J714" s="104" t="str">
        <f t="shared" si="29"/>
        <v>0 tubes and 0 shuttles</v>
      </c>
      <c r="K714" s="36">
        <f t="shared" si="36"/>
        <v>0</v>
      </c>
      <c r="L714" s="103" t="str">
        <f t="shared" si="30"/>
        <v>0 tubes and 0 shuttles</v>
      </c>
      <c r="M714" s="105">
        <f t="shared" si="37"/>
        <v>0</v>
      </c>
      <c r="N714" s="103" t="str">
        <f t="shared" si="31"/>
        <v>0 tubes and 0 shuttles</v>
      </c>
      <c r="O714" s="36">
        <f t="shared" si="32"/>
        <v>0</v>
      </c>
      <c r="P714" s="103" t="str">
        <f t="shared" si="33"/>
        <v>0 tubes and 0 shuttles</v>
      </c>
    </row>
    <row r="715" spans="1:16" ht="12.5" x14ac:dyDescent="0.25">
      <c r="A715" s="32">
        <f>'Profit &amp; Loss'!A715</f>
        <v>0</v>
      </c>
      <c r="B715" s="35">
        <f>'Profit &amp; Loss'!B715</f>
        <v>0</v>
      </c>
      <c r="C715" s="36"/>
      <c r="D715" s="33"/>
      <c r="E715" s="33"/>
      <c r="F715" s="101"/>
      <c r="G715" s="102">
        <f t="shared" si="34"/>
        <v>0</v>
      </c>
      <c r="H715" s="103" t="str">
        <f t="shared" si="28"/>
        <v>0 tubes and 0 shuttles</v>
      </c>
      <c r="I715" s="36">
        <f t="shared" si="35"/>
        <v>0</v>
      </c>
      <c r="J715" s="104" t="str">
        <f t="shared" si="29"/>
        <v>0 tubes and 0 shuttles</v>
      </c>
      <c r="K715" s="36">
        <f t="shared" si="36"/>
        <v>0</v>
      </c>
      <c r="L715" s="103" t="str">
        <f t="shared" si="30"/>
        <v>0 tubes and 0 shuttles</v>
      </c>
      <c r="M715" s="105">
        <f t="shared" si="37"/>
        <v>0</v>
      </c>
      <c r="N715" s="103" t="str">
        <f t="shared" si="31"/>
        <v>0 tubes and 0 shuttles</v>
      </c>
      <c r="O715" s="36">
        <f t="shared" si="32"/>
        <v>0</v>
      </c>
      <c r="P715" s="103" t="str">
        <f t="shared" si="33"/>
        <v>0 tubes and 0 shuttles</v>
      </c>
    </row>
    <row r="716" spans="1:16" ht="12.5" x14ac:dyDescent="0.25">
      <c r="A716" s="32">
        <f>'Profit &amp; Loss'!A716</f>
        <v>0</v>
      </c>
      <c r="B716" s="35">
        <f>'Profit &amp; Loss'!B716</f>
        <v>0</v>
      </c>
      <c r="C716" s="36"/>
      <c r="D716" s="33"/>
      <c r="E716" s="33"/>
      <c r="F716" s="101"/>
      <c r="G716" s="102">
        <f t="shared" si="34"/>
        <v>0</v>
      </c>
      <c r="H716" s="103" t="str">
        <f t="shared" si="28"/>
        <v>0 tubes and 0 shuttles</v>
      </c>
      <c r="I716" s="36">
        <f t="shared" si="35"/>
        <v>0</v>
      </c>
      <c r="J716" s="104" t="str">
        <f t="shared" si="29"/>
        <v>0 tubes and 0 shuttles</v>
      </c>
      <c r="K716" s="36">
        <f t="shared" si="36"/>
        <v>0</v>
      </c>
      <c r="L716" s="103" t="str">
        <f t="shared" si="30"/>
        <v>0 tubes and 0 shuttles</v>
      </c>
      <c r="M716" s="105">
        <f t="shared" si="37"/>
        <v>0</v>
      </c>
      <c r="N716" s="103" t="str">
        <f t="shared" si="31"/>
        <v>0 tubes and 0 shuttles</v>
      </c>
      <c r="O716" s="36">
        <f t="shared" si="32"/>
        <v>0</v>
      </c>
      <c r="P716" s="103" t="str">
        <f t="shared" si="33"/>
        <v>0 tubes and 0 shuttles</v>
      </c>
    </row>
    <row r="717" spans="1:16" ht="12.5" x14ac:dyDescent="0.25">
      <c r="A717" s="32">
        <f>'Profit &amp; Loss'!A717</f>
        <v>0</v>
      </c>
      <c r="B717" s="35">
        <f>'Profit &amp; Loss'!B717</f>
        <v>0</v>
      </c>
      <c r="C717" s="36"/>
      <c r="D717" s="33"/>
      <c r="E717" s="33"/>
      <c r="F717" s="101"/>
      <c r="G717" s="102">
        <f t="shared" si="34"/>
        <v>0</v>
      </c>
      <c r="H717" s="103" t="str">
        <f t="shared" si="28"/>
        <v>0 tubes and 0 shuttles</v>
      </c>
      <c r="I717" s="36">
        <f t="shared" si="35"/>
        <v>0</v>
      </c>
      <c r="J717" s="104" t="str">
        <f t="shared" si="29"/>
        <v>0 tubes and 0 shuttles</v>
      </c>
      <c r="K717" s="36">
        <f t="shared" si="36"/>
        <v>0</v>
      </c>
      <c r="L717" s="103" t="str">
        <f t="shared" si="30"/>
        <v>0 tubes and 0 shuttles</v>
      </c>
      <c r="M717" s="105">
        <f t="shared" si="37"/>
        <v>0</v>
      </c>
      <c r="N717" s="103" t="str">
        <f t="shared" si="31"/>
        <v>0 tubes and 0 shuttles</v>
      </c>
      <c r="O717" s="36">
        <f t="shared" si="32"/>
        <v>0</v>
      </c>
      <c r="P717" s="103" t="str">
        <f t="shared" si="33"/>
        <v>0 tubes and 0 shuttles</v>
      </c>
    </row>
    <row r="718" spans="1:16" ht="12.5" x14ac:dyDescent="0.25">
      <c r="A718" s="32">
        <f>'Profit &amp; Loss'!A718</f>
        <v>0</v>
      </c>
      <c r="B718" s="35">
        <f>'Profit &amp; Loss'!B718</f>
        <v>0</v>
      </c>
      <c r="C718" s="36"/>
      <c r="D718" s="33"/>
      <c r="E718" s="33"/>
      <c r="F718" s="101"/>
      <c r="G718" s="102">
        <f t="shared" si="34"/>
        <v>0</v>
      </c>
      <c r="H718" s="103" t="str">
        <f t="shared" si="28"/>
        <v>0 tubes and 0 shuttles</v>
      </c>
      <c r="I718" s="36">
        <f t="shared" si="35"/>
        <v>0</v>
      </c>
      <c r="J718" s="104" t="str">
        <f t="shared" si="29"/>
        <v>0 tubes and 0 shuttles</v>
      </c>
      <c r="K718" s="36">
        <f t="shared" si="36"/>
        <v>0</v>
      </c>
      <c r="L718" s="103" t="str">
        <f t="shared" si="30"/>
        <v>0 tubes and 0 shuttles</v>
      </c>
      <c r="M718" s="105">
        <f t="shared" si="37"/>
        <v>0</v>
      </c>
      <c r="N718" s="103" t="str">
        <f t="shared" si="31"/>
        <v>0 tubes and 0 shuttles</v>
      </c>
      <c r="O718" s="36">
        <f t="shared" si="32"/>
        <v>0</v>
      </c>
      <c r="P718" s="103" t="str">
        <f t="shared" si="33"/>
        <v>0 tubes and 0 shuttles</v>
      </c>
    </row>
    <row r="719" spans="1:16" ht="12.5" x14ac:dyDescent="0.25">
      <c r="A719" s="32">
        <f>'Profit &amp; Loss'!A719</f>
        <v>0</v>
      </c>
      <c r="B719" s="35">
        <f>'Profit &amp; Loss'!B719</f>
        <v>0</v>
      </c>
      <c r="C719" s="36"/>
      <c r="D719" s="33"/>
      <c r="E719" s="33"/>
      <c r="F719" s="101"/>
      <c r="G719" s="102">
        <f t="shared" si="34"/>
        <v>0</v>
      </c>
      <c r="H719" s="103" t="str">
        <f t="shared" si="28"/>
        <v>0 tubes and 0 shuttles</v>
      </c>
      <c r="I719" s="36">
        <f t="shared" si="35"/>
        <v>0</v>
      </c>
      <c r="J719" s="104" t="str">
        <f t="shared" si="29"/>
        <v>0 tubes and 0 shuttles</v>
      </c>
      <c r="K719" s="36">
        <f t="shared" si="36"/>
        <v>0</v>
      </c>
      <c r="L719" s="103" t="str">
        <f t="shared" si="30"/>
        <v>0 tubes and 0 shuttles</v>
      </c>
      <c r="M719" s="105">
        <f t="shared" si="37"/>
        <v>0</v>
      </c>
      <c r="N719" s="103" t="str">
        <f t="shared" si="31"/>
        <v>0 tubes and 0 shuttles</v>
      </c>
      <c r="O719" s="36">
        <f t="shared" si="32"/>
        <v>0</v>
      </c>
      <c r="P719" s="103" t="str">
        <f t="shared" si="33"/>
        <v>0 tubes and 0 shuttles</v>
      </c>
    </row>
    <row r="720" spans="1:16" ht="12.5" x14ac:dyDescent="0.25">
      <c r="A720" s="32">
        <f>'Profit &amp; Loss'!A720</f>
        <v>0</v>
      </c>
      <c r="B720" s="35">
        <f>'Profit &amp; Loss'!B720</f>
        <v>0</v>
      </c>
      <c r="C720" s="36"/>
      <c r="D720" s="33"/>
      <c r="E720" s="33"/>
      <c r="F720" s="101"/>
      <c r="G720" s="102">
        <f t="shared" si="34"/>
        <v>0</v>
      </c>
      <c r="H720" s="103" t="str">
        <f t="shared" si="28"/>
        <v>0 tubes and 0 shuttles</v>
      </c>
      <c r="I720" s="36">
        <f t="shared" si="35"/>
        <v>0</v>
      </c>
      <c r="J720" s="104" t="str">
        <f t="shared" si="29"/>
        <v>0 tubes and 0 shuttles</v>
      </c>
      <c r="K720" s="36">
        <f t="shared" si="36"/>
        <v>0</v>
      </c>
      <c r="L720" s="103" t="str">
        <f t="shared" si="30"/>
        <v>0 tubes and 0 shuttles</v>
      </c>
      <c r="M720" s="105">
        <f t="shared" si="37"/>
        <v>0</v>
      </c>
      <c r="N720" s="103" t="str">
        <f t="shared" si="31"/>
        <v>0 tubes and 0 shuttles</v>
      </c>
      <c r="O720" s="36">
        <f t="shared" si="32"/>
        <v>0</v>
      </c>
      <c r="P720" s="103" t="str">
        <f t="shared" si="33"/>
        <v>0 tubes and 0 shuttles</v>
      </c>
    </row>
    <row r="721" spans="1:16" ht="12.5" x14ac:dyDescent="0.25">
      <c r="A721" s="32">
        <f>'Profit &amp; Loss'!A721</f>
        <v>0</v>
      </c>
      <c r="B721" s="35">
        <f>'Profit &amp; Loss'!B721</f>
        <v>0</v>
      </c>
      <c r="C721" s="36"/>
      <c r="D721" s="33"/>
      <c r="E721" s="33"/>
      <c r="F721" s="101"/>
      <c r="G721" s="102">
        <f t="shared" si="34"/>
        <v>0</v>
      </c>
      <c r="H721" s="103" t="str">
        <f t="shared" si="28"/>
        <v>0 tubes and 0 shuttles</v>
      </c>
      <c r="I721" s="36">
        <f t="shared" si="35"/>
        <v>0</v>
      </c>
      <c r="J721" s="104" t="str">
        <f t="shared" si="29"/>
        <v>0 tubes and 0 shuttles</v>
      </c>
      <c r="K721" s="36">
        <f t="shared" si="36"/>
        <v>0</v>
      </c>
      <c r="L721" s="103" t="str">
        <f t="shared" si="30"/>
        <v>0 tubes and 0 shuttles</v>
      </c>
      <c r="M721" s="105">
        <f t="shared" si="37"/>
        <v>0</v>
      </c>
      <c r="N721" s="103" t="str">
        <f t="shared" si="31"/>
        <v>0 tubes and 0 shuttles</v>
      </c>
      <c r="O721" s="36">
        <f t="shared" si="32"/>
        <v>0</v>
      </c>
      <c r="P721" s="103" t="str">
        <f t="shared" si="33"/>
        <v>0 tubes and 0 shuttles</v>
      </c>
    </row>
    <row r="722" spans="1:16" ht="12.5" x14ac:dyDescent="0.25">
      <c r="A722" s="32">
        <f>'Profit &amp; Loss'!A722</f>
        <v>0</v>
      </c>
      <c r="B722" s="35">
        <f>'Profit &amp; Loss'!B722</f>
        <v>0</v>
      </c>
      <c r="C722" s="36"/>
      <c r="D722" s="33"/>
      <c r="E722" s="33"/>
      <c r="F722" s="101"/>
      <c r="G722" s="102">
        <f t="shared" si="34"/>
        <v>0</v>
      </c>
      <c r="H722" s="103" t="str">
        <f t="shared" si="28"/>
        <v>0 tubes and 0 shuttles</v>
      </c>
      <c r="I722" s="36">
        <f t="shared" si="35"/>
        <v>0</v>
      </c>
      <c r="J722" s="104" t="str">
        <f t="shared" si="29"/>
        <v>0 tubes and 0 shuttles</v>
      </c>
      <c r="K722" s="36">
        <f t="shared" si="36"/>
        <v>0</v>
      </c>
      <c r="L722" s="103" t="str">
        <f t="shared" si="30"/>
        <v>0 tubes and 0 shuttles</v>
      </c>
      <c r="M722" s="105">
        <f t="shared" si="37"/>
        <v>0</v>
      </c>
      <c r="N722" s="103" t="str">
        <f t="shared" si="31"/>
        <v>0 tubes and 0 shuttles</v>
      </c>
      <c r="O722" s="36">
        <f t="shared" si="32"/>
        <v>0</v>
      </c>
      <c r="P722" s="103" t="str">
        <f t="shared" si="33"/>
        <v>0 tubes and 0 shuttles</v>
      </c>
    </row>
    <row r="723" spans="1:16" ht="12.5" x14ac:dyDescent="0.25">
      <c r="A723" s="32">
        <f>'Profit &amp; Loss'!A723</f>
        <v>0</v>
      </c>
      <c r="B723" s="35">
        <f>'Profit &amp; Loss'!B723</f>
        <v>0</v>
      </c>
      <c r="C723" s="36"/>
      <c r="D723" s="33"/>
      <c r="E723" s="33"/>
      <c r="F723" s="101"/>
      <c r="G723" s="102">
        <f t="shared" si="34"/>
        <v>0</v>
      </c>
      <c r="H723" s="103" t="str">
        <f t="shared" si="28"/>
        <v>0 tubes and 0 shuttles</v>
      </c>
      <c r="I723" s="36">
        <f t="shared" si="35"/>
        <v>0</v>
      </c>
      <c r="J723" s="104" t="str">
        <f t="shared" si="29"/>
        <v>0 tubes and 0 shuttles</v>
      </c>
      <c r="K723" s="36">
        <f t="shared" si="36"/>
        <v>0</v>
      </c>
      <c r="L723" s="103" t="str">
        <f t="shared" si="30"/>
        <v>0 tubes and 0 shuttles</v>
      </c>
      <c r="M723" s="105">
        <f t="shared" si="37"/>
        <v>0</v>
      </c>
      <c r="N723" s="103" t="str">
        <f t="shared" si="31"/>
        <v>0 tubes and 0 shuttles</v>
      </c>
      <c r="O723" s="36">
        <f t="shared" si="32"/>
        <v>0</v>
      </c>
      <c r="P723" s="103" t="str">
        <f t="shared" si="33"/>
        <v>0 tubes and 0 shuttles</v>
      </c>
    </row>
    <row r="724" spans="1:16" ht="12.5" x14ac:dyDescent="0.25">
      <c r="A724" s="32">
        <f>'Profit &amp; Loss'!A724</f>
        <v>0</v>
      </c>
      <c r="B724" s="35">
        <f>'Profit &amp; Loss'!B724</f>
        <v>0</v>
      </c>
      <c r="C724" s="36"/>
      <c r="D724" s="33"/>
      <c r="E724" s="33"/>
      <c r="F724" s="101"/>
      <c r="G724" s="102">
        <f t="shared" si="34"/>
        <v>0</v>
      </c>
      <c r="H724" s="103" t="str">
        <f t="shared" si="28"/>
        <v>0 tubes and 0 shuttles</v>
      </c>
      <c r="I724" s="36">
        <f t="shared" si="35"/>
        <v>0</v>
      </c>
      <c r="J724" s="104" t="str">
        <f t="shared" si="29"/>
        <v>0 tubes and 0 shuttles</v>
      </c>
      <c r="K724" s="36">
        <f t="shared" si="36"/>
        <v>0</v>
      </c>
      <c r="L724" s="103" t="str">
        <f t="shared" si="30"/>
        <v>0 tubes and 0 shuttles</v>
      </c>
      <c r="M724" s="105">
        <f t="shared" si="37"/>
        <v>0</v>
      </c>
      <c r="N724" s="103" t="str">
        <f t="shared" si="31"/>
        <v>0 tubes and 0 shuttles</v>
      </c>
      <c r="O724" s="36">
        <f t="shared" si="32"/>
        <v>0</v>
      </c>
      <c r="P724" s="103" t="str">
        <f t="shared" si="33"/>
        <v>0 tubes and 0 shuttles</v>
      </c>
    </row>
    <row r="725" spans="1:16" ht="12.5" x14ac:dyDescent="0.25">
      <c r="A725" s="32">
        <f>'Profit &amp; Loss'!A725</f>
        <v>0</v>
      </c>
      <c r="B725" s="35">
        <f>'Profit &amp; Loss'!B725</f>
        <v>0</v>
      </c>
      <c r="C725" s="36"/>
      <c r="D725" s="33"/>
      <c r="E725" s="33"/>
      <c r="F725" s="101"/>
      <c r="G725" s="102">
        <f t="shared" si="34"/>
        <v>0</v>
      </c>
      <c r="H725" s="103" t="str">
        <f t="shared" si="28"/>
        <v>0 tubes and 0 shuttles</v>
      </c>
      <c r="I725" s="36">
        <f t="shared" si="35"/>
        <v>0</v>
      </c>
      <c r="J725" s="104" t="str">
        <f t="shared" si="29"/>
        <v>0 tubes and 0 shuttles</v>
      </c>
      <c r="K725" s="36">
        <f t="shared" si="36"/>
        <v>0</v>
      </c>
      <c r="L725" s="103" t="str">
        <f t="shared" si="30"/>
        <v>0 tubes and 0 shuttles</v>
      </c>
      <c r="M725" s="105">
        <f t="shared" si="37"/>
        <v>0</v>
      </c>
      <c r="N725" s="103" t="str">
        <f t="shared" si="31"/>
        <v>0 tubes and 0 shuttles</v>
      </c>
      <c r="O725" s="36">
        <f t="shared" si="32"/>
        <v>0</v>
      </c>
      <c r="P725" s="103" t="str">
        <f t="shared" si="33"/>
        <v>0 tubes and 0 shuttles</v>
      </c>
    </row>
    <row r="726" spans="1:16" ht="12.5" x14ac:dyDescent="0.25">
      <c r="A726" s="32">
        <f>'Profit &amp; Loss'!A726</f>
        <v>0</v>
      </c>
      <c r="B726" s="35">
        <f>'Profit &amp; Loss'!B726</f>
        <v>0</v>
      </c>
      <c r="C726" s="36"/>
      <c r="D726" s="33"/>
      <c r="E726" s="33"/>
      <c r="F726" s="101"/>
      <c r="G726" s="102">
        <f t="shared" si="34"/>
        <v>0</v>
      </c>
      <c r="H726" s="103" t="str">
        <f t="shared" si="28"/>
        <v>0 tubes and 0 shuttles</v>
      </c>
      <c r="I726" s="36">
        <f t="shared" si="35"/>
        <v>0</v>
      </c>
      <c r="J726" s="104" t="str">
        <f t="shared" si="29"/>
        <v>0 tubes and 0 shuttles</v>
      </c>
      <c r="K726" s="36">
        <f t="shared" si="36"/>
        <v>0</v>
      </c>
      <c r="L726" s="103" t="str">
        <f t="shared" si="30"/>
        <v>0 tubes and 0 shuttles</v>
      </c>
      <c r="M726" s="105">
        <f t="shared" si="37"/>
        <v>0</v>
      </c>
      <c r="N726" s="103" t="str">
        <f t="shared" si="31"/>
        <v>0 tubes and 0 shuttles</v>
      </c>
      <c r="O726" s="36">
        <f t="shared" si="32"/>
        <v>0</v>
      </c>
      <c r="P726" s="103" t="str">
        <f t="shared" si="33"/>
        <v>0 tubes and 0 shuttles</v>
      </c>
    </row>
    <row r="727" spans="1:16" ht="12.5" x14ac:dyDescent="0.25">
      <c r="A727" s="32">
        <f>'Profit &amp; Loss'!A727</f>
        <v>0</v>
      </c>
      <c r="B727" s="35">
        <f>'Profit &amp; Loss'!B727</f>
        <v>0</v>
      </c>
      <c r="C727" s="36"/>
      <c r="D727" s="33"/>
      <c r="E727" s="33"/>
      <c r="F727" s="101"/>
      <c r="G727" s="102">
        <f t="shared" si="34"/>
        <v>0</v>
      </c>
      <c r="H727" s="103" t="str">
        <f t="shared" si="28"/>
        <v>0 tubes and 0 shuttles</v>
      </c>
      <c r="I727" s="36">
        <f t="shared" si="35"/>
        <v>0</v>
      </c>
      <c r="J727" s="104" t="str">
        <f t="shared" si="29"/>
        <v>0 tubes and 0 shuttles</v>
      </c>
      <c r="K727" s="36">
        <f t="shared" si="36"/>
        <v>0</v>
      </c>
      <c r="L727" s="103" t="str">
        <f t="shared" si="30"/>
        <v>0 tubes and 0 shuttles</v>
      </c>
      <c r="M727" s="105">
        <f t="shared" si="37"/>
        <v>0</v>
      </c>
      <c r="N727" s="103" t="str">
        <f t="shared" si="31"/>
        <v>0 tubes and 0 shuttles</v>
      </c>
      <c r="O727" s="36">
        <f t="shared" si="32"/>
        <v>0</v>
      </c>
      <c r="P727" s="103" t="str">
        <f t="shared" si="33"/>
        <v>0 tubes and 0 shuttles</v>
      </c>
    </row>
    <row r="728" spans="1:16" ht="12.5" x14ac:dyDescent="0.25">
      <c r="A728" s="32">
        <f>'Profit &amp; Loss'!A728</f>
        <v>0</v>
      </c>
      <c r="B728" s="35">
        <f>'Profit &amp; Loss'!B728</f>
        <v>0</v>
      </c>
      <c r="C728" s="36"/>
      <c r="D728" s="33"/>
      <c r="E728" s="33"/>
      <c r="F728" s="101"/>
      <c r="G728" s="102">
        <f t="shared" si="34"/>
        <v>0</v>
      </c>
      <c r="H728" s="103" t="str">
        <f t="shared" si="28"/>
        <v>0 tubes and 0 shuttles</v>
      </c>
      <c r="I728" s="36">
        <f t="shared" si="35"/>
        <v>0</v>
      </c>
      <c r="J728" s="104" t="str">
        <f t="shared" si="29"/>
        <v>0 tubes and 0 shuttles</v>
      </c>
      <c r="K728" s="36">
        <f t="shared" si="36"/>
        <v>0</v>
      </c>
      <c r="L728" s="103" t="str">
        <f t="shared" si="30"/>
        <v>0 tubes and 0 shuttles</v>
      </c>
      <c r="M728" s="105">
        <f t="shared" si="37"/>
        <v>0</v>
      </c>
      <c r="N728" s="103" t="str">
        <f t="shared" si="31"/>
        <v>0 tubes and 0 shuttles</v>
      </c>
      <c r="O728" s="36">
        <f t="shared" si="32"/>
        <v>0</v>
      </c>
      <c r="P728" s="103" t="str">
        <f t="shared" si="33"/>
        <v>0 tubes and 0 shuttles</v>
      </c>
    </row>
    <row r="729" spans="1:16" ht="12.5" x14ac:dyDescent="0.25">
      <c r="A729" s="32">
        <f>'Profit &amp; Loss'!A729</f>
        <v>0</v>
      </c>
      <c r="B729" s="35">
        <f>'Profit &amp; Loss'!B729</f>
        <v>0</v>
      </c>
      <c r="C729" s="36"/>
      <c r="D729" s="33"/>
      <c r="E729" s="33"/>
      <c r="F729" s="101"/>
      <c r="G729" s="102">
        <f t="shared" si="34"/>
        <v>0</v>
      </c>
      <c r="H729" s="103" t="str">
        <f t="shared" si="28"/>
        <v>0 tubes and 0 shuttles</v>
      </c>
      <c r="I729" s="36">
        <f t="shared" si="35"/>
        <v>0</v>
      </c>
      <c r="J729" s="104" t="str">
        <f t="shared" si="29"/>
        <v>0 tubes and 0 shuttles</v>
      </c>
      <c r="K729" s="36">
        <f t="shared" si="36"/>
        <v>0</v>
      </c>
      <c r="L729" s="103" t="str">
        <f t="shared" si="30"/>
        <v>0 tubes and 0 shuttles</v>
      </c>
      <c r="M729" s="105">
        <f t="shared" si="37"/>
        <v>0</v>
      </c>
      <c r="N729" s="103" t="str">
        <f t="shared" si="31"/>
        <v>0 tubes and 0 shuttles</v>
      </c>
      <c r="O729" s="36">
        <f t="shared" si="32"/>
        <v>0</v>
      </c>
      <c r="P729" s="103" t="str">
        <f t="shared" si="33"/>
        <v>0 tubes and 0 shuttles</v>
      </c>
    </row>
    <row r="730" spans="1:16" ht="12.5" x14ac:dyDescent="0.25">
      <c r="A730" s="32">
        <f>'Profit &amp; Loss'!A730</f>
        <v>0</v>
      </c>
      <c r="B730" s="35">
        <f>'Profit &amp; Loss'!B730</f>
        <v>0</v>
      </c>
      <c r="C730" s="36"/>
      <c r="D730" s="33"/>
      <c r="E730" s="33"/>
      <c r="F730" s="101"/>
      <c r="G730" s="102">
        <f t="shared" si="34"/>
        <v>0</v>
      </c>
      <c r="H730" s="103" t="str">
        <f t="shared" si="28"/>
        <v>0 tubes and 0 shuttles</v>
      </c>
      <c r="I730" s="36">
        <f t="shared" si="35"/>
        <v>0</v>
      </c>
      <c r="J730" s="104" t="str">
        <f t="shared" si="29"/>
        <v>0 tubes and 0 shuttles</v>
      </c>
      <c r="K730" s="36">
        <f t="shared" si="36"/>
        <v>0</v>
      </c>
      <c r="L730" s="103" t="str">
        <f t="shared" si="30"/>
        <v>0 tubes and 0 shuttles</v>
      </c>
      <c r="M730" s="105">
        <f t="shared" si="37"/>
        <v>0</v>
      </c>
      <c r="N730" s="103" t="str">
        <f t="shared" si="31"/>
        <v>0 tubes and 0 shuttles</v>
      </c>
      <c r="O730" s="36">
        <f t="shared" si="32"/>
        <v>0</v>
      </c>
      <c r="P730" s="103" t="str">
        <f t="shared" si="33"/>
        <v>0 tubes and 0 shuttles</v>
      </c>
    </row>
    <row r="731" spans="1:16" ht="12.5" x14ac:dyDescent="0.25">
      <c r="A731" s="32">
        <f>'Profit &amp; Loss'!A731</f>
        <v>0</v>
      </c>
      <c r="B731" s="35">
        <f>'Profit &amp; Loss'!B731</f>
        <v>0</v>
      </c>
      <c r="C731" s="36"/>
      <c r="D731" s="33"/>
      <c r="E731" s="33"/>
      <c r="F731" s="101"/>
      <c r="G731" s="102">
        <f t="shared" si="34"/>
        <v>0</v>
      </c>
      <c r="H731" s="103" t="str">
        <f t="shared" si="28"/>
        <v>0 tubes and 0 shuttles</v>
      </c>
      <c r="I731" s="36">
        <f t="shared" si="35"/>
        <v>0</v>
      </c>
      <c r="J731" s="104" t="str">
        <f t="shared" si="29"/>
        <v>0 tubes and 0 shuttles</v>
      </c>
      <c r="K731" s="36">
        <f t="shared" si="36"/>
        <v>0</v>
      </c>
      <c r="L731" s="103" t="str">
        <f t="shared" si="30"/>
        <v>0 tubes and 0 shuttles</v>
      </c>
      <c r="M731" s="105">
        <f t="shared" si="37"/>
        <v>0</v>
      </c>
      <c r="N731" s="103" t="str">
        <f t="shared" si="31"/>
        <v>0 tubes and 0 shuttles</v>
      </c>
      <c r="O731" s="36">
        <f t="shared" si="32"/>
        <v>0</v>
      </c>
      <c r="P731" s="103" t="str">
        <f t="shared" si="33"/>
        <v>0 tubes and 0 shuttles</v>
      </c>
    </row>
    <row r="732" spans="1:16" ht="12.5" x14ac:dyDescent="0.25">
      <c r="A732" s="32">
        <f>'Profit &amp; Loss'!A732</f>
        <v>0</v>
      </c>
      <c r="B732" s="35">
        <f>'Profit &amp; Loss'!B732</f>
        <v>0</v>
      </c>
      <c r="C732" s="36"/>
      <c r="D732" s="33"/>
      <c r="E732" s="33"/>
      <c r="F732" s="101"/>
      <c r="G732" s="102">
        <f t="shared" si="34"/>
        <v>0</v>
      </c>
      <c r="H732" s="103" t="str">
        <f t="shared" si="28"/>
        <v>0 tubes and 0 shuttles</v>
      </c>
      <c r="I732" s="36">
        <f t="shared" si="35"/>
        <v>0</v>
      </c>
      <c r="J732" s="104" t="str">
        <f t="shared" si="29"/>
        <v>0 tubes and 0 shuttles</v>
      </c>
      <c r="K732" s="36">
        <f t="shared" si="36"/>
        <v>0</v>
      </c>
      <c r="L732" s="103" t="str">
        <f t="shared" si="30"/>
        <v>0 tubes and 0 shuttles</v>
      </c>
      <c r="M732" s="105">
        <f t="shared" si="37"/>
        <v>0</v>
      </c>
      <c r="N732" s="103" t="str">
        <f t="shared" si="31"/>
        <v>0 tubes and 0 shuttles</v>
      </c>
      <c r="O732" s="36">
        <f t="shared" si="32"/>
        <v>0</v>
      </c>
      <c r="P732" s="103" t="str">
        <f t="shared" si="33"/>
        <v>0 tubes and 0 shuttles</v>
      </c>
    </row>
    <row r="733" spans="1:16" ht="12.5" x14ac:dyDescent="0.25">
      <c r="A733" s="32">
        <f>'Profit &amp; Loss'!A733</f>
        <v>0</v>
      </c>
      <c r="B733" s="35">
        <f>'Profit &amp; Loss'!B733</f>
        <v>0</v>
      </c>
      <c r="C733" s="36"/>
      <c r="D733" s="33"/>
      <c r="E733" s="33"/>
      <c r="F733" s="101"/>
      <c r="G733" s="102">
        <f t="shared" si="34"/>
        <v>0</v>
      </c>
      <c r="H733" s="103" t="str">
        <f t="shared" si="28"/>
        <v>0 tubes and 0 shuttles</v>
      </c>
      <c r="I733" s="36">
        <f t="shared" si="35"/>
        <v>0</v>
      </c>
      <c r="J733" s="104" t="str">
        <f t="shared" si="29"/>
        <v>0 tubes and 0 shuttles</v>
      </c>
      <c r="K733" s="36">
        <f t="shared" si="36"/>
        <v>0</v>
      </c>
      <c r="L733" s="103" t="str">
        <f t="shared" si="30"/>
        <v>0 tubes and 0 shuttles</v>
      </c>
      <c r="M733" s="105">
        <f t="shared" si="37"/>
        <v>0</v>
      </c>
      <c r="N733" s="103" t="str">
        <f t="shared" si="31"/>
        <v>0 tubes and 0 shuttles</v>
      </c>
      <c r="O733" s="36">
        <f t="shared" si="32"/>
        <v>0</v>
      </c>
      <c r="P733" s="103" t="str">
        <f t="shared" si="33"/>
        <v>0 tubes and 0 shuttles</v>
      </c>
    </row>
    <row r="734" spans="1:16" ht="12.5" x14ac:dyDescent="0.25">
      <c r="A734" s="32">
        <f>'Profit &amp; Loss'!A734</f>
        <v>0</v>
      </c>
      <c r="B734" s="35">
        <f>'Profit &amp; Loss'!B734</f>
        <v>0</v>
      </c>
      <c r="C734" s="36"/>
      <c r="D734" s="33"/>
      <c r="E734" s="33"/>
      <c r="F734" s="101"/>
      <c r="G734" s="102">
        <f t="shared" si="34"/>
        <v>0</v>
      </c>
      <c r="H734" s="103" t="str">
        <f t="shared" si="28"/>
        <v>0 tubes and 0 shuttles</v>
      </c>
      <c r="I734" s="36">
        <f t="shared" si="35"/>
        <v>0</v>
      </c>
      <c r="J734" s="104" t="str">
        <f t="shared" si="29"/>
        <v>0 tubes and 0 shuttles</v>
      </c>
      <c r="K734" s="36">
        <f t="shared" si="36"/>
        <v>0</v>
      </c>
      <c r="L734" s="103" t="str">
        <f t="shared" si="30"/>
        <v>0 tubes and 0 shuttles</v>
      </c>
      <c r="M734" s="105">
        <f t="shared" si="37"/>
        <v>0</v>
      </c>
      <c r="N734" s="103" t="str">
        <f t="shared" si="31"/>
        <v>0 tubes and 0 shuttles</v>
      </c>
      <c r="O734" s="36">
        <f t="shared" si="32"/>
        <v>0</v>
      </c>
      <c r="P734" s="103" t="str">
        <f t="shared" si="33"/>
        <v>0 tubes and 0 shuttles</v>
      </c>
    </row>
    <row r="735" spans="1:16" ht="12.5" x14ac:dyDescent="0.25">
      <c r="A735" s="32">
        <f>'Profit &amp; Loss'!A735</f>
        <v>0</v>
      </c>
      <c r="B735" s="35">
        <f>'Profit &amp; Loss'!B735</f>
        <v>0</v>
      </c>
      <c r="C735" s="36"/>
      <c r="D735" s="33"/>
      <c r="E735" s="33"/>
      <c r="F735" s="101"/>
      <c r="G735" s="102">
        <f t="shared" si="34"/>
        <v>0</v>
      </c>
      <c r="H735" s="103" t="str">
        <f t="shared" si="28"/>
        <v>0 tubes and 0 shuttles</v>
      </c>
      <c r="I735" s="36">
        <f t="shared" si="35"/>
        <v>0</v>
      </c>
      <c r="J735" s="104" t="str">
        <f t="shared" si="29"/>
        <v>0 tubes and 0 shuttles</v>
      </c>
      <c r="K735" s="36">
        <f t="shared" si="36"/>
        <v>0</v>
      </c>
      <c r="L735" s="103" t="str">
        <f t="shared" si="30"/>
        <v>0 tubes and 0 shuttles</v>
      </c>
      <c r="M735" s="105">
        <f t="shared" si="37"/>
        <v>0</v>
      </c>
      <c r="N735" s="103" t="str">
        <f t="shared" si="31"/>
        <v>0 tubes and 0 shuttles</v>
      </c>
      <c r="O735" s="36">
        <f t="shared" si="32"/>
        <v>0</v>
      </c>
      <c r="P735" s="103" t="str">
        <f t="shared" si="33"/>
        <v>0 tubes and 0 shuttles</v>
      </c>
    </row>
    <row r="736" spans="1:16" ht="12.5" x14ac:dyDescent="0.25">
      <c r="A736" s="32">
        <f>'Profit &amp; Loss'!A736</f>
        <v>0</v>
      </c>
      <c r="B736" s="35">
        <f>'Profit &amp; Loss'!B736</f>
        <v>0</v>
      </c>
      <c r="C736" s="36"/>
      <c r="D736" s="33"/>
      <c r="E736" s="33"/>
      <c r="F736" s="101"/>
      <c r="G736" s="102">
        <f t="shared" si="34"/>
        <v>0</v>
      </c>
      <c r="H736" s="103" t="str">
        <f t="shared" si="28"/>
        <v>0 tubes and 0 shuttles</v>
      </c>
      <c r="I736" s="36">
        <f t="shared" si="35"/>
        <v>0</v>
      </c>
      <c r="J736" s="104" t="str">
        <f t="shared" si="29"/>
        <v>0 tubes and 0 shuttles</v>
      </c>
      <c r="K736" s="36">
        <f t="shared" si="36"/>
        <v>0</v>
      </c>
      <c r="L736" s="103" t="str">
        <f t="shared" si="30"/>
        <v>0 tubes and 0 shuttles</v>
      </c>
      <c r="M736" s="105">
        <f t="shared" si="37"/>
        <v>0</v>
      </c>
      <c r="N736" s="103" t="str">
        <f t="shared" si="31"/>
        <v>0 tubes and 0 shuttles</v>
      </c>
      <c r="O736" s="36">
        <f t="shared" si="32"/>
        <v>0</v>
      </c>
      <c r="P736" s="103" t="str">
        <f t="shared" si="33"/>
        <v>0 tubes and 0 shuttles</v>
      </c>
    </row>
    <row r="737" spans="1:16" ht="12.5" x14ac:dyDescent="0.25">
      <c r="A737" s="32">
        <f>'Profit &amp; Loss'!A737</f>
        <v>0</v>
      </c>
      <c r="B737" s="35">
        <f>'Profit &amp; Loss'!B737</f>
        <v>0</v>
      </c>
      <c r="C737" s="36"/>
      <c r="D737" s="33"/>
      <c r="E737" s="33"/>
      <c r="F737" s="101"/>
      <c r="G737" s="102">
        <f t="shared" si="34"/>
        <v>0</v>
      </c>
      <c r="H737" s="103" t="str">
        <f t="shared" si="28"/>
        <v>0 tubes and 0 shuttles</v>
      </c>
      <c r="I737" s="36">
        <f t="shared" si="35"/>
        <v>0</v>
      </c>
      <c r="J737" s="104" t="str">
        <f t="shared" si="29"/>
        <v>0 tubes and 0 shuttles</v>
      </c>
      <c r="K737" s="36">
        <f t="shared" si="36"/>
        <v>0</v>
      </c>
      <c r="L737" s="103" t="str">
        <f t="shared" si="30"/>
        <v>0 tubes and 0 shuttles</v>
      </c>
      <c r="M737" s="105">
        <f t="shared" si="37"/>
        <v>0</v>
      </c>
      <c r="N737" s="103" t="str">
        <f t="shared" si="31"/>
        <v>0 tubes and 0 shuttles</v>
      </c>
      <c r="O737" s="36">
        <f t="shared" si="32"/>
        <v>0</v>
      </c>
      <c r="P737" s="103" t="str">
        <f t="shared" si="33"/>
        <v>0 tubes and 0 shuttles</v>
      </c>
    </row>
    <row r="738" spans="1:16" ht="12.5" x14ac:dyDescent="0.25">
      <c r="A738" s="32">
        <f>'Profit &amp; Loss'!A738</f>
        <v>0</v>
      </c>
      <c r="B738" s="35">
        <f>'Profit &amp; Loss'!B738</f>
        <v>0</v>
      </c>
      <c r="C738" s="36"/>
      <c r="D738" s="33"/>
      <c r="E738" s="33"/>
      <c r="F738" s="101"/>
      <c r="G738" s="102">
        <f t="shared" si="34"/>
        <v>0</v>
      </c>
      <c r="H738" s="103" t="str">
        <f t="shared" si="28"/>
        <v>0 tubes and 0 shuttles</v>
      </c>
      <c r="I738" s="36">
        <f t="shared" si="35"/>
        <v>0</v>
      </c>
      <c r="J738" s="104" t="str">
        <f t="shared" si="29"/>
        <v>0 tubes and 0 shuttles</v>
      </c>
      <c r="K738" s="36">
        <f t="shared" si="36"/>
        <v>0</v>
      </c>
      <c r="L738" s="103" t="str">
        <f t="shared" si="30"/>
        <v>0 tubes and 0 shuttles</v>
      </c>
      <c r="M738" s="105">
        <f t="shared" si="37"/>
        <v>0</v>
      </c>
      <c r="N738" s="103" t="str">
        <f t="shared" si="31"/>
        <v>0 tubes and 0 shuttles</v>
      </c>
      <c r="O738" s="36">
        <f t="shared" si="32"/>
        <v>0</v>
      </c>
      <c r="P738" s="103" t="str">
        <f t="shared" si="33"/>
        <v>0 tubes and 0 shuttles</v>
      </c>
    </row>
    <row r="739" spans="1:16" ht="12.5" x14ac:dyDescent="0.25">
      <c r="A739" s="32">
        <f>'Profit &amp; Loss'!A739</f>
        <v>0</v>
      </c>
      <c r="B739" s="35">
        <f>'Profit &amp; Loss'!B739</f>
        <v>0</v>
      </c>
      <c r="C739" s="36"/>
      <c r="D739" s="33"/>
      <c r="E739" s="33"/>
      <c r="F739" s="101"/>
      <c r="G739" s="102">
        <f t="shared" si="34"/>
        <v>0</v>
      </c>
      <c r="H739" s="103" t="str">
        <f t="shared" si="28"/>
        <v>0 tubes and 0 shuttles</v>
      </c>
      <c r="I739" s="36">
        <f t="shared" si="35"/>
        <v>0</v>
      </c>
      <c r="J739" s="104" t="str">
        <f t="shared" si="29"/>
        <v>0 tubes and 0 shuttles</v>
      </c>
      <c r="K739" s="36">
        <f t="shared" si="36"/>
        <v>0</v>
      </c>
      <c r="L739" s="103" t="str">
        <f t="shared" si="30"/>
        <v>0 tubes and 0 shuttles</v>
      </c>
      <c r="M739" s="105">
        <f t="shared" si="37"/>
        <v>0</v>
      </c>
      <c r="N739" s="103" t="str">
        <f t="shared" si="31"/>
        <v>0 tubes and 0 shuttles</v>
      </c>
      <c r="O739" s="36">
        <f t="shared" si="32"/>
        <v>0</v>
      </c>
      <c r="P739" s="103" t="str">
        <f t="shared" si="33"/>
        <v>0 tubes and 0 shuttles</v>
      </c>
    </row>
    <row r="740" spans="1:16" ht="12.5" x14ac:dyDescent="0.25">
      <c r="A740" s="32">
        <f>'Profit &amp; Loss'!A740</f>
        <v>0</v>
      </c>
      <c r="B740" s="35">
        <f>'Profit &amp; Loss'!B740</f>
        <v>0</v>
      </c>
      <c r="C740" s="36"/>
      <c r="D740" s="33"/>
      <c r="E740" s="33"/>
      <c r="F740" s="101"/>
      <c r="G740" s="102">
        <f t="shared" si="34"/>
        <v>0</v>
      </c>
      <c r="H740" s="103" t="str">
        <f t="shared" si="28"/>
        <v>0 tubes and 0 shuttles</v>
      </c>
      <c r="I740" s="36">
        <f t="shared" si="35"/>
        <v>0</v>
      </c>
      <c r="J740" s="104" t="str">
        <f t="shared" si="29"/>
        <v>0 tubes and 0 shuttles</v>
      </c>
      <c r="K740" s="36">
        <f t="shared" si="36"/>
        <v>0</v>
      </c>
      <c r="L740" s="103" t="str">
        <f t="shared" si="30"/>
        <v>0 tubes and 0 shuttles</v>
      </c>
      <c r="M740" s="105">
        <f t="shared" si="37"/>
        <v>0</v>
      </c>
      <c r="N740" s="103" t="str">
        <f t="shared" si="31"/>
        <v>0 tubes and 0 shuttles</v>
      </c>
      <c r="O740" s="36">
        <f t="shared" si="32"/>
        <v>0</v>
      </c>
      <c r="P740" s="103" t="str">
        <f t="shared" si="33"/>
        <v>0 tubes and 0 shuttles</v>
      </c>
    </row>
    <row r="741" spans="1:16" ht="12.5" x14ac:dyDescent="0.25">
      <c r="A741" s="32">
        <f>'Profit &amp; Loss'!A741</f>
        <v>0</v>
      </c>
      <c r="B741" s="35">
        <f>'Profit &amp; Loss'!B741</f>
        <v>0</v>
      </c>
      <c r="C741" s="36"/>
      <c r="D741" s="33"/>
      <c r="E741" s="33"/>
      <c r="F741" s="101"/>
      <c r="G741" s="102">
        <f t="shared" si="34"/>
        <v>0</v>
      </c>
      <c r="H741" s="103" t="str">
        <f t="shared" si="28"/>
        <v>0 tubes and 0 shuttles</v>
      </c>
      <c r="I741" s="36">
        <f t="shared" si="35"/>
        <v>0</v>
      </c>
      <c r="J741" s="104" t="str">
        <f t="shared" si="29"/>
        <v>0 tubes and 0 shuttles</v>
      </c>
      <c r="K741" s="36">
        <f t="shared" si="36"/>
        <v>0</v>
      </c>
      <c r="L741" s="103" t="str">
        <f t="shared" si="30"/>
        <v>0 tubes and 0 shuttles</v>
      </c>
      <c r="M741" s="105">
        <f t="shared" si="37"/>
        <v>0</v>
      </c>
      <c r="N741" s="103" t="str">
        <f t="shared" si="31"/>
        <v>0 tubes and 0 shuttles</v>
      </c>
      <c r="O741" s="36">
        <f t="shared" si="32"/>
        <v>0</v>
      </c>
      <c r="P741" s="103" t="str">
        <f t="shared" si="33"/>
        <v>0 tubes and 0 shuttles</v>
      </c>
    </row>
    <row r="742" spans="1:16" ht="12.5" x14ac:dyDescent="0.25">
      <c r="A742" s="32">
        <f>'Profit &amp; Loss'!A742</f>
        <v>0</v>
      </c>
      <c r="B742" s="35">
        <f>'Profit &amp; Loss'!B742</f>
        <v>0</v>
      </c>
      <c r="C742" s="36"/>
      <c r="D742" s="33"/>
      <c r="E742" s="33"/>
      <c r="F742" s="101"/>
      <c r="G742" s="102">
        <f t="shared" si="34"/>
        <v>0</v>
      </c>
      <c r="H742" s="103" t="str">
        <f t="shared" si="28"/>
        <v>0 tubes and 0 shuttles</v>
      </c>
      <c r="I742" s="36">
        <f t="shared" si="35"/>
        <v>0</v>
      </c>
      <c r="J742" s="104" t="str">
        <f t="shared" si="29"/>
        <v>0 tubes and 0 shuttles</v>
      </c>
      <c r="K742" s="36">
        <f t="shared" si="36"/>
        <v>0</v>
      </c>
      <c r="L742" s="103" t="str">
        <f t="shared" si="30"/>
        <v>0 tubes and 0 shuttles</v>
      </c>
      <c r="M742" s="105">
        <f t="shared" si="37"/>
        <v>0</v>
      </c>
      <c r="N742" s="103" t="str">
        <f t="shared" si="31"/>
        <v>0 tubes and 0 shuttles</v>
      </c>
      <c r="O742" s="36">
        <f t="shared" si="32"/>
        <v>0</v>
      </c>
      <c r="P742" s="103" t="str">
        <f t="shared" si="33"/>
        <v>0 tubes and 0 shuttles</v>
      </c>
    </row>
    <row r="743" spans="1:16" ht="12.5" x14ac:dyDescent="0.25">
      <c r="A743" s="32">
        <f>'Profit &amp; Loss'!A743</f>
        <v>0</v>
      </c>
      <c r="B743" s="35">
        <f>'Profit &amp; Loss'!B743</f>
        <v>0</v>
      </c>
      <c r="C743" s="36"/>
      <c r="D743" s="33"/>
      <c r="E743" s="33"/>
      <c r="F743" s="101"/>
      <c r="G743" s="102">
        <f t="shared" si="34"/>
        <v>0</v>
      </c>
      <c r="H743" s="103" t="str">
        <f t="shared" si="28"/>
        <v>0 tubes and 0 shuttles</v>
      </c>
      <c r="I743" s="36">
        <f t="shared" si="35"/>
        <v>0</v>
      </c>
      <c r="J743" s="104" t="str">
        <f t="shared" si="29"/>
        <v>0 tubes and 0 shuttles</v>
      </c>
      <c r="K743" s="36">
        <f t="shared" si="36"/>
        <v>0</v>
      </c>
      <c r="L743" s="103" t="str">
        <f t="shared" si="30"/>
        <v>0 tubes and 0 shuttles</v>
      </c>
      <c r="M743" s="105">
        <f t="shared" si="37"/>
        <v>0</v>
      </c>
      <c r="N743" s="103" t="str">
        <f t="shared" si="31"/>
        <v>0 tubes and 0 shuttles</v>
      </c>
      <c r="O743" s="36">
        <f t="shared" si="32"/>
        <v>0</v>
      </c>
      <c r="P743" s="103" t="str">
        <f t="shared" si="33"/>
        <v>0 tubes and 0 shuttles</v>
      </c>
    </row>
    <row r="744" spans="1:16" ht="12.5" x14ac:dyDescent="0.25">
      <c r="A744" s="32">
        <f>'Profit &amp; Loss'!A744</f>
        <v>0</v>
      </c>
      <c r="B744" s="35">
        <f>'Profit &amp; Loss'!B744</f>
        <v>0</v>
      </c>
      <c r="C744" s="36"/>
      <c r="D744" s="33"/>
      <c r="E744" s="33"/>
      <c r="F744" s="101"/>
      <c r="G744" s="102">
        <f t="shared" si="34"/>
        <v>0</v>
      </c>
      <c r="H744" s="103" t="str">
        <f t="shared" si="28"/>
        <v>0 tubes and 0 shuttles</v>
      </c>
      <c r="I744" s="36">
        <f t="shared" si="35"/>
        <v>0</v>
      </c>
      <c r="J744" s="104" t="str">
        <f t="shared" si="29"/>
        <v>0 tubes and 0 shuttles</v>
      </c>
      <c r="K744" s="36">
        <f t="shared" si="36"/>
        <v>0</v>
      </c>
      <c r="L744" s="103" t="str">
        <f t="shared" si="30"/>
        <v>0 tubes and 0 shuttles</v>
      </c>
      <c r="M744" s="105">
        <f t="shared" si="37"/>
        <v>0</v>
      </c>
      <c r="N744" s="103" t="str">
        <f t="shared" si="31"/>
        <v>0 tubes and 0 shuttles</v>
      </c>
      <c r="O744" s="36">
        <f t="shared" si="32"/>
        <v>0</v>
      </c>
      <c r="P744" s="103" t="str">
        <f t="shared" si="33"/>
        <v>0 tubes and 0 shuttles</v>
      </c>
    </row>
    <row r="745" spans="1:16" ht="12.5" x14ac:dyDescent="0.25">
      <c r="A745" s="32">
        <f>'Profit &amp; Loss'!A745</f>
        <v>0</v>
      </c>
      <c r="B745" s="35">
        <f>'Profit &amp; Loss'!B745</f>
        <v>0</v>
      </c>
      <c r="C745" s="36"/>
      <c r="D745" s="33"/>
      <c r="E745" s="33"/>
      <c r="F745" s="101"/>
      <c r="G745" s="102">
        <f t="shared" si="34"/>
        <v>0</v>
      </c>
      <c r="H745" s="103" t="str">
        <f t="shared" si="28"/>
        <v>0 tubes and 0 shuttles</v>
      </c>
      <c r="I745" s="36">
        <f t="shared" si="35"/>
        <v>0</v>
      </c>
      <c r="J745" s="104" t="str">
        <f t="shared" si="29"/>
        <v>0 tubes and 0 shuttles</v>
      </c>
      <c r="K745" s="36">
        <f t="shared" si="36"/>
        <v>0</v>
      </c>
      <c r="L745" s="103" t="str">
        <f t="shared" si="30"/>
        <v>0 tubes and 0 shuttles</v>
      </c>
      <c r="M745" s="105">
        <f t="shared" si="37"/>
        <v>0</v>
      </c>
      <c r="N745" s="103" t="str">
        <f t="shared" si="31"/>
        <v>0 tubes and 0 shuttles</v>
      </c>
      <c r="O745" s="36">
        <f t="shared" si="32"/>
        <v>0</v>
      </c>
      <c r="P745" s="103" t="str">
        <f t="shared" si="33"/>
        <v>0 tubes and 0 shuttles</v>
      </c>
    </row>
    <row r="746" spans="1:16" ht="12.5" x14ac:dyDescent="0.25">
      <c r="A746" s="32">
        <f>'Profit &amp; Loss'!A746</f>
        <v>0</v>
      </c>
      <c r="B746" s="35">
        <f>'Profit &amp; Loss'!B746</f>
        <v>0</v>
      </c>
      <c r="C746" s="36"/>
      <c r="D746" s="33"/>
      <c r="E746" s="33"/>
      <c r="F746" s="101"/>
      <c r="G746" s="102">
        <f t="shared" si="34"/>
        <v>0</v>
      </c>
      <c r="H746" s="103" t="str">
        <f t="shared" si="28"/>
        <v>0 tubes and 0 shuttles</v>
      </c>
      <c r="I746" s="36">
        <f t="shared" si="35"/>
        <v>0</v>
      </c>
      <c r="J746" s="104" t="str">
        <f t="shared" si="29"/>
        <v>0 tubes and 0 shuttles</v>
      </c>
      <c r="K746" s="36">
        <f t="shared" si="36"/>
        <v>0</v>
      </c>
      <c r="L746" s="103" t="str">
        <f t="shared" si="30"/>
        <v>0 tubes and 0 shuttles</v>
      </c>
      <c r="M746" s="105">
        <f t="shared" si="37"/>
        <v>0</v>
      </c>
      <c r="N746" s="103" t="str">
        <f t="shared" si="31"/>
        <v>0 tubes and 0 shuttles</v>
      </c>
      <c r="O746" s="36">
        <f t="shared" si="32"/>
        <v>0</v>
      </c>
      <c r="P746" s="103" t="str">
        <f t="shared" si="33"/>
        <v>0 tubes and 0 shuttles</v>
      </c>
    </row>
    <row r="747" spans="1:16" ht="12.5" x14ac:dyDescent="0.25">
      <c r="A747" s="32">
        <f>'Profit &amp; Loss'!A747</f>
        <v>0</v>
      </c>
      <c r="B747" s="35">
        <f>'Profit &amp; Loss'!B747</f>
        <v>0</v>
      </c>
      <c r="C747" s="36"/>
      <c r="D747" s="33"/>
      <c r="E747" s="33"/>
      <c r="F747" s="101"/>
      <c r="G747" s="102">
        <f t="shared" si="34"/>
        <v>0</v>
      </c>
      <c r="H747" s="103" t="str">
        <f t="shared" si="28"/>
        <v>0 tubes and 0 shuttles</v>
      </c>
      <c r="I747" s="36">
        <f t="shared" si="35"/>
        <v>0</v>
      </c>
      <c r="J747" s="104" t="str">
        <f t="shared" si="29"/>
        <v>0 tubes and 0 shuttles</v>
      </c>
      <c r="K747" s="36">
        <f t="shared" si="36"/>
        <v>0</v>
      </c>
      <c r="L747" s="103" t="str">
        <f t="shared" si="30"/>
        <v>0 tubes and 0 shuttles</v>
      </c>
      <c r="M747" s="105">
        <f t="shared" si="37"/>
        <v>0</v>
      </c>
      <c r="N747" s="103" t="str">
        <f t="shared" si="31"/>
        <v>0 tubes and 0 shuttles</v>
      </c>
      <c r="O747" s="36">
        <f t="shared" si="32"/>
        <v>0</v>
      </c>
      <c r="P747" s="103" t="str">
        <f t="shared" si="33"/>
        <v>0 tubes and 0 shuttles</v>
      </c>
    </row>
    <row r="748" spans="1:16" ht="12.5" x14ac:dyDescent="0.25">
      <c r="A748" s="32">
        <f>'Profit &amp; Loss'!A748</f>
        <v>0</v>
      </c>
      <c r="B748" s="35">
        <f>'Profit &amp; Loss'!B748</f>
        <v>0</v>
      </c>
      <c r="C748" s="36"/>
      <c r="D748" s="33"/>
      <c r="E748" s="33"/>
      <c r="F748" s="101"/>
      <c r="G748" s="102">
        <f t="shared" si="34"/>
        <v>0</v>
      </c>
      <c r="H748" s="103" t="str">
        <f t="shared" si="28"/>
        <v>0 tubes and 0 shuttles</v>
      </c>
      <c r="I748" s="36">
        <f t="shared" si="35"/>
        <v>0</v>
      </c>
      <c r="J748" s="104" t="str">
        <f t="shared" si="29"/>
        <v>0 tubes and 0 shuttles</v>
      </c>
      <c r="K748" s="36">
        <f t="shared" si="36"/>
        <v>0</v>
      </c>
      <c r="L748" s="103" t="str">
        <f t="shared" si="30"/>
        <v>0 tubes and 0 shuttles</v>
      </c>
      <c r="M748" s="105">
        <f t="shared" si="37"/>
        <v>0</v>
      </c>
      <c r="N748" s="103" t="str">
        <f t="shared" si="31"/>
        <v>0 tubes and 0 shuttles</v>
      </c>
      <c r="O748" s="36">
        <f t="shared" si="32"/>
        <v>0</v>
      </c>
      <c r="P748" s="103" t="str">
        <f t="shared" si="33"/>
        <v>0 tubes and 0 shuttles</v>
      </c>
    </row>
    <row r="749" spans="1:16" ht="12.5" x14ac:dyDescent="0.25">
      <c r="A749" s="32">
        <f>'Profit &amp; Loss'!A749</f>
        <v>0</v>
      </c>
      <c r="B749" s="35">
        <f>'Profit &amp; Loss'!B749</f>
        <v>0</v>
      </c>
      <c r="C749" s="36"/>
      <c r="D749" s="33"/>
      <c r="E749" s="33"/>
      <c r="F749" s="101"/>
      <c r="G749" s="102">
        <f t="shared" si="34"/>
        <v>0</v>
      </c>
      <c r="H749" s="103" t="str">
        <f t="shared" si="28"/>
        <v>0 tubes and 0 shuttles</v>
      </c>
      <c r="I749" s="36">
        <f t="shared" si="35"/>
        <v>0</v>
      </c>
      <c r="J749" s="104" t="str">
        <f t="shared" si="29"/>
        <v>0 tubes and 0 shuttles</v>
      </c>
      <c r="K749" s="36">
        <f t="shared" si="36"/>
        <v>0</v>
      </c>
      <c r="L749" s="103" t="str">
        <f t="shared" si="30"/>
        <v>0 tubes and 0 shuttles</v>
      </c>
      <c r="M749" s="105">
        <f t="shared" si="37"/>
        <v>0</v>
      </c>
      <c r="N749" s="103" t="str">
        <f t="shared" si="31"/>
        <v>0 tubes and 0 shuttles</v>
      </c>
      <c r="O749" s="36">
        <f t="shared" si="32"/>
        <v>0</v>
      </c>
      <c r="P749" s="103" t="str">
        <f t="shared" si="33"/>
        <v>0 tubes and 0 shuttles</v>
      </c>
    </row>
    <row r="750" spans="1:16" ht="12.5" x14ac:dyDescent="0.25">
      <c r="A750" s="32">
        <f>'Profit &amp; Loss'!A750</f>
        <v>0</v>
      </c>
      <c r="B750" s="35">
        <f>'Profit &amp; Loss'!B750</f>
        <v>0</v>
      </c>
      <c r="C750" s="36"/>
      <c r="D750" s="33"/>
      <c r="E750" s="33"/>
      <c r="F750" s="101"/>
      <c r="G750" s="102">
        <f t="shared" si="34"/>
        <v>0</v>
      </c>
      <c r="H750" s="103" t="str">
        <f t="shared" si="28"/>
        <v>0 tubes and 0 shuttles</v>
      </c>
      <c r="I750" s="36">
        <f t="shared" si="35"/>
        <v>0</v>
      </c>
      <c r="J750" s="104" t="str">
        <f t="shared" si="29"/>
        <v>0 tubes and 0 shuttles</v>
      </c>
      <c r="K750" s="36">
        <f t="shared" si="36"/>
        <v>0</v>
      </c>
      <c r="L750" s="103" t="str">
        <f t="shared" si="30"/>
        <v>0 tubes and 0 shuttles</v>
      </c>
      <c r="M750" s="105">
        <f t="shared" si="37"/>
        <v>0</v>
      </c>
      <c r="N750" s="103" t="str">
        <f t="shared" si="31"/>
        <v>0 tubes and 0 shuttles</v>
      </c>
      <c r="O750" s="36">
        <f t="shared" si="32"/>
        <v>0</v>
      </c>
      <c r="P750" s="103" t="str">
        <f t="shared" si="33"/>
        <v>0 tubes and 0 shuttles</v>
      </c>
    </row>
    <row r="751" spans="1:16" ht="12.5" x14ac:dyDescent="0.25">
      <c r="A751" s="32">
        <f>'Profit &amp; Loss'!A751</f>
        <v>0</v>
      </c>
      <c r="B751" s="35">
        <f>'Profit &amp; Loss'!B751</f>
        <v>0</v>
      </c>
      <c r="C751" s="36"/>
      <c r="D751" s="33"/>
      <c r="E751" s="33"/>
      <c r="F751" s="101"/>
      <c r="G751" s="102">
        <f t="shared" si="34"/>
        <v>0</v>
      </c>
      <c r="H751" s="103" t="str">
        <f t="shared" si="28"/>
        <v>0 tubes and 0 shuttles</v>
      </c>
      <c r="I751" s="36">
        <f t="shared" si="35"/>
        <v>0</v>
      </c>
      <c r="J751" s="104" t="str">
        <f t="shared" si="29"/>
        <v>0 tubes and 0 shuttles</v>
      </c>
      <c r="K751" s="36">
        <f t="shared" si="36"/>
        <v>0</v>
      </c>
      <c r="L751" s="103" t="str">
        <f t="shared" si="30"/>
        <v>0 tubes and 0 shuttles</v>
      </c>
      <c r="M751" s="105">
        <f t="shared" si="37"/>
        <v>0</v>
      </c>
      <c r="N751" s="103" t="str">
        <f t="shared" si="31"/>
        <v>0 tubes and 0 shuttles</v>
      </c>
      <c r="O751" s="36">
        <f t="shared" si="32"/>
        <v>0</v>
      </c>
      <c r="P751" s="103" t="str">
        <f t="shared" si="33"/>
        <v>0 tubes and 0 shuttles</v>
      </c>
    </row>
    <row r="752" spans="1:16" ht="12.5" x14ac:dyDescent="0.25">
      <c r="A752" s="32">
        <f>'Profit &amp; Loss'!A752</f>
        <v>0</v>
      </c>
      <c r="B752" s="35">
        <f>'Profit &amp; Loss'!B752</f>
        <v>0</v>
      </c>
      <c r="C752" s="36"/>
      <c r="D752" s="33"/>
      <c r="E752" s="33"/>
      <c r="F752" s="101"/>
      <c r="G752" s="102">
        <f t="shared" si="34"/>
        <v>0</v>
      </c>
      <c r="H752" s="103" t="str">
        <f t="shared" si="28"/>
        <v>0 tubes and 0 shuttles</v>
      </c>
      <c r="I752" s="36">
        <f t="shared" si="35"/>
        <v>0</v>
      </c>
      <c r="J752" s="104" t="str">
        <f t="shared" si="29"/>
        <v>0 tubes and 0 shuttles</v>
      </c>
      <c r="K752" s="36">
        <f t="shared" si="36"/>
        <v>0</v>
      </c>
      <c r="L752" s="103" t="str">
        <f t="shared" si="30"/>
        <v>0 tubes and 0 shuttles</v>
      </c>
      <c r="M752" s="105">
        <f t="shared" si="37"/>
        <v>0</v>
      </c>
      <c r="N752" s="103" t="str">
        <f t="shared" si="31"/>
        <v>0 tubes and 0 shuttles</v>
      </c>
      <c r="O752" s="36">
        <f t="shared" si="32"/>
        <v>0</v>
      </c>
      <c r="P752" s="103" t="str">
        <f t="shared" si="33"/>
        <v>0 tubes and 0 shuttles</v>
      </c>
    </row>
    <row r="753" spans="1:16" ht="12.5" x14ac:dyDescent="0.25">
      <c r="A753" s="32">
        <f>'Profit &amp; Loss'!A753</f>
        <v>0</v>
      </c>
      <c r="B753" s="35">
        <f>'Profit &amp; Loss'!B753</f>
        <v>0</v>
      </c>
      <c r="C753" s="36"/>
      <c r="D753" s="33"/>
      <c r="E753" s="33"/>
      <c r="F753" s="101"/>
      <c r="G753" s="102">
        <f t="shared" si="34"/>
        <v>0</v>
      </c>
      <c r="H753" s="103" t="str">
        <f t="shared" si="28"/>
        <v>0 tubes and 0 shuttles</v>
      </c>
      <c r="I753" s="36">
        <f t="shared" si="35"/>
        <v>0</v>
      </c>
      <c r="J753" s="104" t="str">
        <f t="shared" si="29"/>
        <v>0 tubes and 0 shuttles</v>
      </c>
      <c r="K753" s="36">
        <f t="shared" si="36"/>
        <v>0</v>
      </c>
      <c r="L753" s="103" t="str">
        <f t="shared" si="30"/>
        <v>0 tubes and 0 shuttles</v>
      </c>
      <c r="M753" s="105">
        <f t="shared" si="37"/>
        <v>0</v>
      </c>
      <c r="N753" s="103" t="str">
        <f t="shared" si="31"/>
        <v>0 tubes and 0 shuttles</v>
      </c>
      <c r="O753" s="36">
        <f t="shared" si="32"/>
        <v>0</v>
      </c>
      <c r="P753" s="103" t="str">
        <f t="shared" si="33"/>
        <v>0 tubes and 0 shuttles</v>
      </c>
    </row>
    <row r="754" spans="1:16" ht="12.5" x14ac:dyDescent="0.25">
      <c r="A754" s="32">
        <f>'Profit &amp; Loss'!A754</f>
        <v>0</v>
      </c>
      <c r="B754" s="35">
        <f>'Profit &amp; Loss'!B754</f>
        <v>0</v>
      </c>
      <c r="C754" s="36"/>
      <c r="D754" s="33"/>
      <c r="E754" s="33"/>
      <c r="F754" s="101"/>
      <c r="G754" s="102">
        <f t="shared" si="34"/>
        <v>0</v>
      </c>
      <c r="H754" s="103" t="str">
        <f t="shared" si="28"/>
        <v>0 tubes and 0 shuttles</v>
      </c>
      <c r="I754" s="36">
        <f t="shared" si="35"/>
        <v>0</v>
      </c>
      <c r="J754" s="104" t="str">
        <f t="shared" si="29"/>
        <v>0 tubes and 0 shuttles</v>
      </c>
      <c r="K754" s="36">
        <f t="shared" si="36"/>
        <v>0</v>
      </c>
      <c r="L754" s="103" t="str">
        <f t="shared" si="30"/>
        <v>0 tubes and 0 shuttles</v>
      </c>
      <c r="M754" s="105">
        <f t="shared" si="37"/>
        <v>0</v>
      </c>
      <c r="N754" s="103" t="str">
        <f t="shared" si="31"/>
        <v>0 tubes and 0 shuttles</v>
      </c>
      <c r="O754" s="36">
        <f t="shared" si="32"/>
        <v>0</v>
      </c>
      <c r="P754" s="103" t="str">
        <f t="shared" si="33"/>
        <v>0 tubes and 0 shuttles</v>
      </c>
    </row>
    <row r="755" spans="1:16" ht="12.5" x14ac:dyDescent="0.25">
      <c r="A755" s="32">
        <f>'Profit &amp; Loss'!A755</f>
        <v>0</v>
      </c>
      <c r="B755" s="35">
        <f>'Profit &amp; Loss'!B755</f>
        <v>0</v>
      </c>
      <c r="C755" s="36"/>
      <c r="D755" s="33"/>
      <c r="E755" s="33"/>
      <c r="F755" s="101"/>
      <c r="G755" s="102">
        <f t="shared" si="34"/>
        <v>0</v>
      </c>
      <c r="H755" s="103" t="str">
        <f t="shared" si="28"/>
        <v>0 tubes and 0 shuttles</v>
      </c>
      <c r="I755" s="36">
        <f t="shared" si="35"/>
        <v>0</v>
      </c>
      <c r="J755" s="104" t="str">
        <f t="shared" si="29"/>
        <v>0 tubes and 0 shuttles</v>
      </c>
      <c r="K755" s="36">
        <f t="shared" si="36"/>
        <v>0</v>
      </c>
      <c r="L755" s="103" t="str">
        <f t="shared" si="30"/>
        <v>0 tubes and 0 shuttles</v>
      </c>
      <c r="M755" s="105">
        <f t="shared" si="37"/>
        <v>0</v>
      </c>
      <c r="N755" s="103" t="str">
        <f t="shared" si="31"/>
        <v>0 tubes and 0 shuttles</v>
      </c>
      <c r="O755" s="36">
        <f t="shared" si="32"/>
        <v>0</v>
      </c>
      <c r="P755" s="103" t="str">
        <f t="shared" si="33"/>
        <v>0 tubes and 0 shuttles</v>
      </c>
    </row>
    <row r="756" spans="1:16" ht="12.5" x14ac:dyDescent="0.25">
      <c r="A756" s="32">
        <f>'Profit &amp; Loss'!A756</f>
        <v>0</v>
      </c>
      <c r="B756" s="35">
        <f>'Profit &amp; Loss'!B756</f>
        <v>0</v>
      </c>
      <c r="C756" s="36"/>
      <c r="D756" s="33"/>
      <c r="E756" s="33"/>
      <c r="F756" s="101"/>
      <c r="G756" s="102">
        <f t="shared" si="34"/>
        <v>0</v>
      </c>
      <c r="H756" s="103" t="str">
        <f t="shared" si="28"/>
        <v>0 tubes and 0 shuttles</v>
      </c>
      <c r="I756" s="36">
        <f t="shared" si="35"/>
        <v>0</v>
      </c>
      <c r="J756" s="104" t="str">
        <f t="shared" si="29"/>
        <v>0 tubes and 0 shuttles</v>
      </c>
      <c r="K756" s="36">
        <f t="shared" si="36"/>
        <v>0</v>
      </c>
      <c r="L756" s="103" t="str">
        <f t="shared" si="30"/>
        <v>0 tubes and 0 shuttles</v>
      </c>
      <c r="M756" s="105">
        <f t="shared" si="37"/>
        <v>0</v>
      </c>
      <c r="N756" s="103" t="str">
        <f t="shared" si="31"/>
        <v>0 tubes and 0 shuttles</v>
      </c>
      <c r="O756" s="36">
        <f t="shared" si="32"/>
        <v>0</v>
      </c>
      <c r="P756" s="103" t="str">
        <f t="shared" si="33"/>
        <v>0 tubes and 0 shuttles</v>
      </c>
    </row>
    <row r="757" spans="1:16" ht="12.5" x14ac:dyDescent="0.25">
      <c r="A757" s="32">
        <f>'Profit &amp; Loss'!A757</f>
        <v>0</v>
      </c>
      <c r="B757" s="35">
        <f>'Profit &amp; Loss'!B757</f>
        <v>0</v>
      </c>
      <c r="C757" s="36"/>
      <c r="D757" s="33"/>
      <c r="E757" s="33"/>
      <c r="F757" s="101"/>
      <c r="G757" s="102">
        <f t="shared" si="34"/>
        <v>0</v>
      </c>
      <c r="H757" s="103" t="str">
        <f t="shared" si="28"/>
        <v>0 tubes and 0 shuttles</v>
      </c>
      <c r="I757" s="36">
        <f t="shared" si="35"/>
        <v>0</v>
      </c>
      <c r="J757" s="104" t="str">
        <f t="shared" si="29"/>
        <v>0 tubes and 0 shuttles</v>
      </c>
      <c r="K757" s="36">
        <f t="shared" si="36"/>
        <v>0</v>
      </c>
      <c r="L757" s="103" t="str">
        <f t="shared" si="30"/>
        <v>0 tubes and 0 shuttles</v>
      </c>
      <c r="M757" s="105">
        <f t="shared" si="37"/>
        <v>0</v>
      </c>
      <c r="N757" s="103" t="str">
        <f t="shared" si="31"/>
        <v>0 tubes and 0 shuttles</v>
      </c>
      <c r="O757" s="36">
        <f t="shared" si="32"/>
        <v>0</v>
      </c>
      <c r="P757" s="103" t="str">
        <f t="shared" si="33"/>
        <v>0 tubes and 0 shuttles</v>
      </c>
    </row>
    <row r="758" spans="1:16" ht="12.5" x14ac:dyDescent="0.25">
      <c r="A758" s="32">
        <f>'Profit &amp; Loss'!A758</f>
        <v>0</v>
      </c>
      <c r="B758" s="35">
        <f>'Profit &amp; Loss'!B758</f>
        <v>0</v>
      </c>
      <c r="C758" s="36"/>
      <c r="D758" s="33"/>
      <c r="E758" s="33"/>
      <c r="F758" s="101"/>
      <c r="G758" s="102">
        <f t="shared" si="34"/>
        <v>0</v>
      </c>
      <c r="H758" s="103" t="str">
        <f t="shared" si="28"/>
        <v>0 tubes and 0 shuttles</v>
      </c>
      <c r="I758" s="36">
        <f t="shared" si="35"/>
        <v>0</v>
      </c>
      <c r="J758" s="104" t="str">
        <f t="shared" si="29"/>
        <v>0 tubes and 0 shuttles</v>
      </c>
      <c r="K758" s="36">
        <f t="shared" si="36"/>
        <v>0</v>
      </c>
      <c r="L758" s="103" t="str">
        <f t="shared" si="30"/>
        <v>0 tubes and 0 shuttles</v>
      </c>
      <c r="M758" s="105">
        <f t="shared" si="37"/>
        <v>0</v>
      </c>
      <c r="N758" s="103" t="str">
        <f t="shared" si="31"/>
        <v>0 tubes and 0 shuttles</v>
      </c>
      <c r="O758" s="36">
        <f t="shared" si="32"/>
        <v>0</v>
      </c>
      <c r="P758" s="103" t="str">
        <f t="shared" si="33"/>
        <v>0 tubes and 0 shuttles</v>
      </c>
    </row>
    <row r="759" spans="1:16" ht="12.5" x14ac:dyDescent="0.25">
      <c r="A759" s="32">
        <f>'Profit &amp; Loss'!A759</f>
        <v>0</v>
      </c>
      <c r="B759" s="35">
        <f>'Profit &amp; Loss'!B759</f>
        <v>0</v>
      </c>
      <c r="C759" s="36"/>
      <c r="D759" s="33"/>
      <c r="E759" s="33"/>
      <c r="F759" s="101"/>
      <c r="G759" s="102">
        <f t="shared" si="34"/>
        <v>0</v>
      </c>
      <c r="H759" s="103" t="str">
        <f t="shared" si="28"/>
        <v>0 tubes and 0 shuttles</v>
      </c>
      <c r="I759" s="36">
        <f t="shared" si="35"/>
        <v>0</v>
      </c>
      <c r="J759" s="104" t="str">
        <f t="shared" si="29"/>
        <v>0 tubes and 0 shuttles</v>
      </c>
      <c r="K759" s="36">
        <f t="shared" si="36"/>
        <v>0</v>
      </c>
      <c r="L759" s="103" t="str">
        <f t="shared" si="30"/>
        <v>0 tubes and 0 shuttles</v>
      </c>
      <c r="M759" s="105">
        <f t="shared" si="37"/>
        <v>0</v>
      </c>
      <c r="N759" s="103" t="str">
        <f t="shared" si="31"/>
        <v>0 tubes and 0 shuttles</v>
      </c>
      <c r="O759" s="36">
        <f t="shared" si="32"/>
        <v>0</v>
      </c>
      <c r="P759" s="103" t="str">
        <f t="shared" si="33"/>
        <v>0 tubes and 0 shuttles</v>
      </c>
    </row>
    <row r="760" spans="1:16" ht="12.5" x14ac:dyDescent="0.25">
      <c r="A760" s="32">
        <f>'Profit &amp; Loss'!A760</f>
        <v>0</v>
      </c>
      <c r="B760" s="35">
        <f>'Profit &amp; Loss'!B760</f>
        <v>0</v>
      </c>
      <c r="C760" s="36"/>
      <c r="D760" s="33"/>
      <c r="E760" s="33"/>
      <c r="F760" s="101"/>
      <c r="G760" s="102">
        <f t="shared" si="34"/>
        <v>0</v>
      </c>
      <c r="H760" s="103" t="str">
        <f t="shared" si="28"/>
        <v>0 tubes and 0 shuttles</v>
      </c>
      <c r="I760" s="36">
        <f t="shared" si="35"/>
        <v>0</v>
      </c>
      <c r="J760" s="104" t="str">
        <f t="shared" si="29"/>
        <v>0 tubes and 0 shuttles</v>
      </c>
      <c r="K760" s="36">
        <f t="shared" si="36"/>
        <v>0</v>
      </c>
      <c r="L760" s="103" t="str">
        <f t="shared" si="30"/>
        <v>0 tubes and 0 shuttles</v>
      </c>
      <c r="M760" s="105">
        <f t="shared" si="37"/>
        <v>0</v>
      </c>
      <c r="N760" s="103" t="str">
        <f t="shared" si="31"/>
        <v>0 tubes and 0 shuttles</v>
      </c>
      <c r="O760" s="36">
        <f t="shared" si="32"/>
        <v>0</v>
      </c>
      <c r="P760" s="103" t="str">
        <f t="shared" si="33"/>
        <v>0 tubes and 0 shuttles</v>
      </c>
    </row>
    <row r="761" spans="1:16" ht="12.5" x14ac:dyDescent="0.25">
      <c r="A761" s="32">
        <f>'Profit &amp; Loss'!A761</f>
        <v>0</v>
      </c>
      <c r="B761" s="35">
        <f>'Profit &amp; Loss'!B761</f>
        <v>0</v>
      </c>
      <c r="C761" s="36"/>
      <c r="D761" s="33"/>
      <c r="E761" s="33"/>
      <c r="F761" s="101"/>
      <c r="G761" s="102">
        <f t="shared" si="34"/>
        <v>0</v>
      </c>
      <c r="H761" s="103" t="str">
        <f t="shared" si="28"/>
        <v>0 tubes and 0 shuttles</v>
      </c>
      <c r="I761" s="36">
        <f t="shared" si="35"/>
        <v>0</v>
      </c>
      <c r="J761" s="104" t="str">
        <f t="shared" si="29"/>
        <v>0 tubes and 0 shuttles</v>
      </c>
      <c r="K761" s="36">
        <f t="shared" si="36"/>
        <v>0</v>
      </c>
      <c r="L761" s="103" t="str">
        <f t="shared" si="30"/>
        <v>0 tubes and 0 shuttles</v>
      </c>
      <c r="M761" s="105">
        <f t="shared" si="37"/>
        <v>0</v>
      </c>
      <c r="N761" s="103" t="str">
        <f t="shared" si="31"/>
        <v>0 tubes and 0 shuttles</v>
      </c>
      <c r="O761" s="36">
        <f t="shared" si="32"/>
        <v>0</v>
      </c>
      <c r="P761" s="103" t="str">
        <f t="shared" si="33"/>
        <v>0 tubes and 0 shuttles</v>
      </c>
    </row>
    <row r="762" spans="1:16" ht="12.5" x14ac:dyDescent="0.25">
      <c r="A762" s="32">
        <f>'Profit &amp; Loss'!A762</f>
        <v>0</v>
      </c>
      <c r="B762" s="35">
        <f>'Profit &amp; Loss'!B762</f>
        <v>0</v>
      </c>
      <c r="C762" s="36"/>
      <c r="D762" s="33"/>
      <c r="E762" s="33"/>
      <c r="F762" s="101"/>
      <c r="G762" s="102">
        <f t="shared" si="34"/>
        <v>0</v>
      </c>
      <c r="H762" s="103" t="str">
        <f t="shared" si="28"/>
        <v>0 tubes and 0 shuttles</v>
      </c>
      <c r="I762" s="36">
        <f t="shared" si="35"/>
        <v>0</v>
      </c>
      <c r="J762" s="104" t="str">
        <f t="shared" si="29"/>
        <v>0 tubes and 0 shuttles</v>
      </c>
      <c r="K762" s="36">
        <f t="shared" si="36"/>
        <v>0</v>
      </c>
      <c r="L762" s="103" t="str">
        <f t="shared" si="30"/>
        <v>0 tubes and 0 shuttles</v>
      </c>
      <c r="M762" s="105">
        <f t="shared" si="37"/>
        <v>0</v>
      </c>
      <c r="N762" s="103" t="str">
        <f t="shared" si="31"/>
        <v>0 tubes and 0 shuttles</v>
      </c>
      <c r="O762" s="36">
        <f t="shared" si="32"/>
        <v>0</v>
      </c>
      <c r="P762" s="103" t="str">
        <f t="shared" si="33"/>
        <v>0 tubes and 0 shuttles</v>
      </c>
    </row>
    <row r="763" spans="1:16" ht="12.5" x14ac:dyDescent="0.25">
      <c r="A763" s="32">
        <f>'Profit &amp; Loss'!A763</f>
        <v>0</v>
      </c>
      <c r="B763" s="35">
        <f>'Profit &amp; Loss'!B763</f>
        <v>0</v>
      </c>
      <c r="C763" s="36"/>
      <c r="D763" s="33"/>
      <c r="E763" s="33"/>
      <c r="F763" s="101"/>
      <c r="G763" s="102">
        <f t="shared" si="34"/>
        <v>0</v>
      </c>
      <c r="H763" s="103" t="str">
        <f t="shared" si="28"/>
        <v>0 tubes and 0 shuttles</v>
      </c>
      <c r="I763" s="36">
        <f t="shared" si="35"/>
        <v>0</v>
      </c>
      <c r="J763" s="104" t="str">
        <f t="shared" si="29"/>
        <v>0 tubes and 0 shuttles</v>
      </c>
      <c r="K763" s="36">
        <f t="shared" si="36"/>
        <v>0</v>
      </c>
      <c r="L763" s="103" t="str">
        <f t="shared" si="30"/>
        <v>0 tubes and 0 shuttles</v>
      </c>
      <c r="M763" s="105">
        <f t="shared" si="37"/>
        <v>0</v>
      </c>
      <c r="N763" s="103" t="str">
        <f t="shared" si="31"/>
        <v>0 tubes and 0 shuttles</v>
      </c>
      <c r="O763" s="36">
        <f t="shared" si="32"/>
        <v>0</v>
      </c>
      <c r="P763" s="103" t="str">
        <f t="shared" si="33"/>
        <v>0 tubes and 0 shuttles</v>
      </c>
    </row>
    <row r="764" spans="1:16" ht="12.5" x14ac:dyDescent="0.25">
      <c r="A764" s="32">
        <f>'Profit &amp; Loss'!A764</f>
        <v>0</v>
      </c>
      <c r="B764" s="35">
        <f>'Profit &amp; Loss'!B764</f>
        <v>0</v>
      </c>
      <c r="C764" s="36"/>
      <c r="D764" s="33"/>
      <c r="E764" s="33"/>
      <c r="F764" s="101"/>
      <c r="G764" s="102">
        <f t="shared" si="34"/>
        <v>0</v>
      </c>
      <c r="H764" s="103" t="str">
        <f t="shared" si="28"/>
        <v>0 tubes and 0 shuttles</v>
      </c>
      <c r="I764" s="36">
        <f t="shared" si="35"/>
        <v>0</v>
      </c>
      <c r="J764" s="104" t="str">
        <f t="shared" si="29"/>
        <v>0 tubes and 0 shuttles</v>
      </c>
      <c r="K764" s="36">
        <f t="shared" si="36"/>
        <v>0</v>
      </c>
      <c r="L764" s="103" t="str">
        <f t="shared" si="30"/>
        <v>0 tubes and 0 shuttles</v>
      </c>
      <c r="M764" s="105">
        <f t="shared" si="37"/>
        <v>0</v>
      </c>
      <c r="N764" s="103" t="str">
        <f t="shared" si="31"/>
        <v>0 tubes and 0 shuttles</v>
      </c>
      <c r="O764" s="36">
        <f t="shared" si="32"/>
        <v>0</v>
      </c>
      <c r="P764" s="103" t="str">
        <f t="shared" si="33"/>
        <v>0 tubes and 0 shuttles</v>
      </c>
    </row>
    <row r="765" spans="1:16" ht="12.5" x14ac:dyDescent="0.25">
      <c r="A765" s="32">
        <f>'Profit &amp; Loss'!A765</f>
        <v>0</v>
      </c>
      <c r="B765" s="35">
        <f>'Profit &amp; Loss'!B765</f>
        <v>0</v>
      </c>
      <c r="C765" s="36"/>
      <c r="D765" s="33"/>
      <c r="E765" s="33"/>
      <c r="F765" s="101"/>
      <c r="G765" s="102">
        <f t="shared" si="34"/>
        <v>0</v>
      </c>
      <c r="H765" s="103" t="str">
        <f t="shared" si="28"/>
        <v>0 tubes and 0 shuttles</v>
      </c>
      <c r="I765" s="36">
        <f t="shared" si="35"/>
        <v>0</v>
      </c>
      <c r="J765" s="104" t="str">
        <f t="shared" si="29"/>
        <v>0 tubes and 0 shuttles</v>
      </c>
      <c r="K765" s="36">
        <f t="shared" si="36"/>
        <v>0</v>
      </c>
      <c r="L765" s="103" t="str">
        <f t="shared" si="30"/>
        <v>0 tubes and 0 shuttles</v>
      </c>
      <c r="M765" s="105">
        <f t="shared" si="37"/>
        <v>0</v>
      </c>
      <c r="N765" s="103" t="str">
        <f t="shared" si="31"/>
        <v>0 tubes and 0 shuttles</v>
      </c>
      <c r="O765" s="36">
        <f t="shared" si="32"/>
        <v>0</v>
      </c>
      <c r="P765" s="103" t="str">
        <f t="shared" si="33"/>
        <v>0 tubes and 0 shuttles</v>
      </c>
    </row>
    <row r="766" spans="1:16" ht="12.5" x14ac:dyDescent="0.25">
      <c r="A766" s="32">
        <f>'Profit &amp; Loss'!A766</f>
        <v>0</v>
      </c>
      <c r="B766" s="35">
        <f>'Profit &amp; Loss'!B766</f>
        <v>0</v>
      </c>
      <c r="C766" s="36"/>
      <c r="D766" s="33"/>
      <c r="E766" s="33"/>
      <c r="F766" s="101"/>
      <c r="G766" s="102">
        <f t="shared" si="34"/>
        <v>0</v>
      </c>
      <c r="H766" s="103" t="str">
        <f t="shared" si="28"/>
        <v>0 tubes and 0 shuttles</v>
      </c>
      <c r="I766" s="36">
        <f t="shared" si="35"/>
        <v>0</v>
      </c>
      <c r="J766" s="104" t="str">
        <f t="shared" si="29"/>
        <v>0 tubes and 0 shuttles</v>
      </c>
      <c r="K766" s="36">
        <f t="shared" si="36"/>
        <v>0</v>
      </c>
      <c r="L766" s="103" t="str">
        <f t="shared" si="30"/>
        <v>0 tubes and 0 shuttles</v>
      </c>
      <c r="M766" s="105">
        <f t="shared" si="37"/>
        <v>0</v>
      </c>
      <c r="N766" s="103" t="str">
        <f t="shared" si="31"/>
        <v>0 tubes and 0 shuttles</v>
      </c>
      <c r="O766" s="36">
        <f t="shared" si="32"/>
        <v>0</v>
      </c>
      <c r="P766" s="103" t="str">
        <f t="shared" si="33"/>
        <v>0 tubes and 0 shuttles</v>
      </c>
    </row>
    <row r="767" spans="1:16" ht="12.5" x14ac:dyDescent="0.25">
      <c r="A767" s="32">
        <f>'Profit &amp; Loss'!A767</f>
        <v>0</v>
      </c>
      <c r="B767" s="35">
        <f>'Profit &amp; Loss'!B767</f>
        <v>0</v>
      </c>
      <c r="C767" s="36"/>
      <c r="D767" s="33"/>
      <c r="E767" s="33"/>
      <c r="F767" s="101"/>
      <c r="G767" s="102">
        <f t="shared" si="34"/>
        <v>0</v>
      </c>
      <c r="H767" s="103" t="str">
        <f t="shared" si="28"/>
        <v>0 tubes and 0 shuttles</v>
      </c>
      <c r="I767" s="36">
        <f t="shared" si="35"/>
        <v>0</v>
      </c>
      <c r="J767" s="104" t="str">
        <f t="shared" si="29"/>
        <v>0 tubes and 0 shuttles</v>
      </c>
      <c r="K767" s="36">
        <f t="shared" si="36"/>
        <v>0</v>
      </c>
      <c r="L767" s="103" t="str">
        <f t="shared" si="30"/>
        <v>0 tubes and 0 shuttles</v>
      </c>
      <c r="M767" s="105">
        <f t="shared" si="37"/>
        <v>0</v>
      </c>
      <c r="N767" s="103" t="str">
        <f t="shared" si="31"/>
        <v>0 tubes and 0 shuttles</v>
      </c>
      <c r="O767" s="36">
        <f t="shared" si="32"/>
        <v>0</v>
      </c>
      <c r="P767" s="103" t="str">
        <f t="shared" si="33"/>
        <v>0 tubes and 0 shuttles</v>
      </c>
    </row>
    <row r="768" spans="1:16" ht="12.5" x14ac:dyDescent="0.25">
      <c r="A768" s="32">
        <f>'Profit &amp; Loss'!A768</f>
        <v>0</v>
      </c>
      <c r="B768" s="35">
        <f>'Profit &amp; Loss'!B768</f>
        <v>0</v>
      </c>
      <c r="C768" s="36"/>
      <c r="D768" s="33"/>
      <c r="E768" s="33"/>
      <c r="F768" s="101"/>
      <c r="G768" s="102">
        <f t="shared" si="34"/>
        <v>0</v>
      </c>
      <c r="H768" s="103" t="str">
        <f t="shared" si="28"/>
        <v>0 tubes and 0 shuttles</v>
      </c>
      <c r="I768" s="36">
        <f t="shared" si="35"/>
        <v>0</v>
      </c>
      <c r="J768" s="104" t="str">
        <f t="shared" si="29"/>
        <v>0 tubes and 0 shuttles</v>
      </c>
      <c r="K768" s="36">
        <f t="shared" si="36"/>
        <v>0</v>
      </c>
      <c r="L768" s="103" t="str">
        <f t="shared" si="30"/>
        <v>0 tubes and 0 shuttles</v>
      </c>
      <c r="M768" s="105">
        <f t="shared" si="37"/>
        <v>0</v>
      </c>
      <c r="N768" s="103" t="str">
        <f t="shared" si="31"/>
        <v>0 tubes and 0 shuttles</v>
      </c>
      <c r="O768" s="36">
        <f t="shared" si="32"/>
        <v>0</v>
      </c>
      <c r="P768" s="103" t="str">
        <f t="shared" si="33"/>
        <v>0 tubes and 0 shuttles</v>
      </c>
    </row>
    <row r="769" spans="1:16" ht="12.5" x14ac:dyDescent="0.25">
      <c r="A769" s="32">
        <f>'Profit &amp; Loss'!A769</f>
        <v>0</v>
      </c>
      <c r="B769" s="35">
        <f>'Profit &amp; Loss'!B769</f>
        <v>0</v>
      </c>
      <c r="C769" s="36"/>
      <c r="D769" s="33"/>
      <c r="E769" s="33"/>
      <c r="F769" s="101"/>
      <c r="G769" s="102">
        <f t="shared" si="34"/>
        <v>0</v>
      </c>
      <c r="H769" s="103" t="str">
        <f t="shared" si="28"/>
        <v>0 tubes and 0 shuttles</v>
      </c>
      <c r="I769" s="36">
        <f t="shared" si="35"/>
        <v>0</v>
      </c>
      <c r="J769" s="104" t="str">
        <f t="shared" si="29"/>
        <v>0 tubes and 0 shuttles</v>
      </c>
      <c r="K769" s="36">
        <f t="shared" si="36"/>
        <v>0</v>
      </c>
      <c r="L769" s="103" t="str">
        <f t="shared" si="30"/>
        <v>0 tubes and 0 shuttles</v>
      </c>
      <c r="M769" s="105">
        <f t="shared" si="37"/>
        <v>0</v>
      </c>
      <c r="N769" s="103" t="str">
        <f t="shared" si="31"/>
        <v>0 tubes and 0 shuttles</v>
      </c>
      <c r="O769" s="36">
        <f t="shared" si="32"/>
        <v>0</v>
      </c>
      <c r="P769" s="103" t="str">
        <f t="shared" si="33"/>
        <v>0 tubes and 0 shuttles</v>
      </c>
    </row>
    <row r="770" spans="1:16" ht="12.5" x14ac:dyDescent="0.25">
      <c r="A770" s="32">
        <f>'Profit &amp; Loss'!A770</f>
        <v>0</v>
      </c>
      <c r="B770" s="35">
        <f>'Profit &amp; Loss'!B770</f>
        <v>0</v>
      </c>
      <c r="C770" s="36"/>
      <c r="D770" s="33"/>
      <c r="E770" s="33"/>
      <c r="F770" s="101"/>
      <c r="G770" s="102">
        <f t="shared" si="34"/>
        <v>0</v>
      </c>
      <c r="H770" s="103" t="str">
        <f t="shared" si="28"/>
        <v>0 tubes and 0 shuttles</v>
      </c>
      <c r="I770" s="36">
        <f t="shared" si="35"/>
        <v>0</v>
      </c>
      <c r="J770" s="104" t="str">
        <f t="shared" si="29"/>
        <v>0 tubes and 0 shuttles</v>
      </c>
      <c r="K770" s="36">
        <f t="shared" si="36"/>
        <v>0</v>
      </c>
      <c r="L770" s="103" t="str">
        <f t="shared" si="30"/>
        <v>0 tubes and 0 shuttles</v>
      </c>
      <c r="M770" s="105">
        <f t="shared" si="37"/>
        <v>0</v>
      </c>
      <c r="N770" s="103" t="str">
        <f t="shared" si="31"/>
        <v>0 tubes and 0 shuttles</v>
      </c>
      <c r="O770" s="36">
        <f t="shared" si="32"/>
        <v>0</v>
      </c>
      <c r="P770" s="103" t="str">
        <f t="shared" si="33"/>
        <v>0 tubes and 0 shuttles</v>
      </c>
    </row>
    <row r="771" spans="1:16" ht="12.5" x14ac:dyDescent="0.25">
      <c r="A771" s="32">
        <f>'Profit &amp; Loss'!A771</f>
        <v>0</v>
      </c>
      <c r="B771" s="35">
        <f>'Profit &amp; Loss'!B771</f>
        <v>0</v>
      </c>
      <c r="C771" s="36"/>
      <c r="D771" s="33"/>
      <c r="E771" s="33"/>
      <c r="F771" s="101"/>
      <c r="G771" s="102">
        <f t="shared" si="34"/>
        <v>0</v>
      </c>
      <c r="H771" s="103" t="str">
        <f t="shared" ref="H771:H989" si="38">QUOTIENT(G771,12) &amp; " tubes and " &amp; MOD(G771,12) &amp; " shuttles"</f>
        <v>0 tubes and 0 shuttles</v>
      </c>
      <c r="I771" s="36">
        <f t="shared" si="35"/>
        <v>0</v>
      </c>
      <c r="J771" s="104" t="str">
        <f t="shared" ref="J771:J989" si="39">QUOTIENT(I771,12) &amp; " tubes and " &amp; MOD(I771,12) &amp; " shuttles"</f>
        <v>0 tubes and 0 shuttles</v>
      </c>
      <c r="K771" s="36">
        <f t="shared" si="36"/>
        <v>0</v>
      </c>
      <c r="L771" s="103" t="str">
        <f t="shared" ref="L771:L989" si="40">QUOTIENT(K771,12) &amp; " tubes and " &amp; MOD(K771,12) &amp; " shuttles"</f>
        <v>0 tubes and 0 shuttles</v>
      </c>
      <c r="M771" s="105">
        <f t="shared" si="37"/>
        <v>0</v>
      </c>
      <c r="N771" s="103" t="str">
        <f t="shared" ref="N771:N989" si="41">QUOTIENT(M771,12) &amp; " tubes and " &amp; MOD(M771,12) &amp; " shuttles"</f>
        <v>0 tubes and 0 shuttles</v>
      </c>
      <c r="O771" s="36">
        <f t="shared" ref="O771:O989" si="42">SUM(G771:M771)</f>
        <v>0</v>
      </c>
      <c r="P771" s="103" t="str">
        <f t="shared" ref="P771:P989" si="43">QUOTIENT(O771,12) &amp; " tubes and " &amp; MOD(O771,12) &amp; " shuttles"</f>
        <v>0 tubes and 0 shuttles</v>
      </c>
    </row>
    <row r="772" spans="1:16" ht="12.5" x14ac:dyDescent="0.25">
      <c r="A772" s="32">
        <f>'Profit &amp; Loss'!A772</f>
        <v>0</v>
      </c>
      <c r="B772" s="35">
        <f>'Profit &amp; Loss'!B772</f>
        <v>0</v>
      </c>
      <c r="C772" s="36"/>
      <c r="D772" s="33"/>
      <c r="E772" s="33"/>
      <c r="F772" s="101"/>
      <c r="G772" s="102">
        <f t="shared" si="34"/>
        <v>0</v>
      </c>
      <c r="H772" s="103" t="str">
        <f t="shared" si="38"/>
        <v>0 tubes and 0 shuttles</v>
      </c>
      <c r="I772" s="36">
        <f t="shared" si="35"/>
        <v>0</v>
      </c>
      <c r="J772" s="104" t="str">
        <f t="shared" si="39"/>
        <v>0 tubes and 0 shuttles</v>
      </c>
      <c r="K772" s="36">
        <f t="shared" si="36"/>
        <v>0</v>
      </c>
      <c r="L772" s="103" t="str">
        <f t="shared" si="40"/>
        <v>0 tubes and 0 shuttles</v>
      </c>
      <c r="M772" s="105">
        <f t="shared" si="37"/>
        <v>0</v>
      </c>
      <c r="N772" s="103" t="str">
        <f t="shared" si="41"/>
        <v>0 tubes and 0 shuttles</v>
      </c>
      <c r="O772" s="36">
        <f t="shared" si="42"/>
        <v>0</v>
      </c>
      <c r="P772" s="103" t="str">
        <f t="shared" si="43"/>
        <v>0 tubes and 0 shuttles</v>
      </c>
    </row>
    <row r="773" spans="1:16" ht="12.5" x14ac:dyDescent="0.25">
      <c r="A773" s="32">
        <f>'Profit &amp; Loss'!A773</f>
        <v>0</v>
      </c>
      <c r="B773" s="35">
        <f>'Profit &amp; Loss'!B773</f>
        <v>0</v>
      </c>
      <c r="C773" s="36"/>
      <c r="D773" s="33"/>
      <c r="E773" s="33"/>
      <c r="F773" s="101"/>
      <c r="G773" s="102">
        <f t="shared" si="34"/>
        <v>0</v>
      </c>
      <c r="H773" s="103" t="str">
        <f t="shared" si="38"/>
        <v>0 tubes and 0 shuttles</v>
      </c>
      <c r="I773" s="36">
        <f t="shared" si="35"/>
        <v>0</v>
      </c>
      <c r="J773" s="104" t="str">
        <f t="shared" si="39"/>
        <v>0 tubes and 0 shuttles</v>
      </c>
      <c r="K773" s="36">
        <f t="shared" si="36"/>
        <v>0</v>
      </c>
      <c r="L773" s="103" t="str">
        <f t="shared" si="40"/>
        <v>0 tubes and 0 shuttles</v>
      </c>
      <c r="M773" s="105">
        <f t="shared" si="37"/>
        <v>0</v>
      </c>
      <c r="N773" s="103" t="str">
        <f t="shared" si="41"/>
        <v>0 tubes and 0 shuttles</v>
      </c>
      <c r="O773" s="36">
        <f t="shared" si="42"/>
        <v>0</v>
      </c>
      <c r="P773" s="103" t="str">
        <f t="shared" si="43"/>
        <v>0 tubes and 0 shuttles</v>
      </c>
    </row>
    <row r="774" spans="1:16" ht="12.5" x14ac:dyDescent="0.25">
      <c r="A774" s="32">
        <f>'Profit &amp; Loss'!A774</f>
        <v>0</v>
      </c>
      <c r="B774" s="35">
        <f>'Profit &amp; Loss'!B774</f>
        <v>0</v>
      </c>
      <c r="C774" s="36"/>
      <c r="D774" s="33"/>
      <c r="E774" s="33"/>
      <c r="F774" s="101"/>
      <c r="G774" s="102">
        <f t="shared" si="34"/>
        <v>0</v>
      </c>
      <c r="H774" s="103" t="str">
        <f t="shared" si="38"/>
        <v>0 tubes and 0 shuttles</v>
      </c>
      <c r="I774" s="36">
        <f t="shared" si="35"/>
        <v>0</v>
      </c>
      <c r="J774" s="104" t="str">
        <f t="shared" si="39"/>
        <v>0 tubes and 0 shuttles</v>
      </c>
      <c r="K774" s="36">
        <f t="shared" si="36"/>
        <v>0</v>
      </c>
      <c r="L774" s="103" t="str">
        <f t="shared" si="40"/>
        <v>0 tubes and 0 shuttles</v>
      </c>
      <c r="M774" s="105">
        <f t="shared" si="37"/>
        <v>0</v>
      </c>
      <c r="N774" s="103" t="str">
        <f t="shared" si="41"/>
        <v>0 tubes and 0 shuttles</v>
      </c>
      <c r="O774" s="36">
        <f t="shared" si="42"/>
        <v>0</v>
      </c>
      <c r="P774" s="103" t="str">
        <f t="shared" si="43"/>
        <v>0 tubes and 0 shuttles</v>
      </c>
    </row>
    <row r="775" spans="1:16" ht="12.5" x14ac:dyDescent="0.25">
      <c r="A775" s="32">
        <f>'Profit &amp; Loss'!A775</f>
        <v>0</v>
      </c>
      <c r="B775" s="35">
        <f>'Profit &amp; Loss'!B775</f>
        <v>0</v>
      </c>
      <c r="C775" s="36"/>
      <c r="D775" s="33"/>
      <c r="E775" s="33"/>
      <c r="F775" s="101"/>
      <c r="G775" s="102">
        <f t="shared" si="34"/>
        <v>0</v>
      </c>
      <c r="H775" s="103" t="str">
        <f t="shared" si="38"/>
        <v>0 tubes and 0 shuttles</v>
      </c>
      <c r="I775" s="36">
        <f t="shared" si="35"/>
        <v>0</v>
      </c>
      <c r="J775" s="104" t="str">
        <f t="shared" si="39"/>
        <v>0 tubes and 0 shuttles</v>
      </c>
      <c r="K775" s="36">
        <f t="shared" si="36"/>
        <v>0</v>
      </c>
      <c r="L775" s="103" t="str">
        <f t="shared" si="40"/>
        <v>0 tubes and 0 shuttles</v>
      </c>
      <c r="M775" s="105">
        <f t="shared" si="37"/>
        <v>0</v>
      </c>
      <c r="N775" s="103" t="str">
        <f t="shared" si="41"/>
        <v>0 tubes and 0 shuttles</v>
      </c>
      <c r="O775" s="36">
        <f t="shared" si="42"/>
        <v>0</v>
      </c>
      <c r="P775" s="103" t="str">
        <f t="shared" si="43"/>
        <v>0 tubes and 0 shuttles</v>
      </c>
    </row>
    <row r="776" spans="1:16" ht="12.5" x14ac:dyDescent="0.25">
      <c r="A776" s="32">
        <f>'Profit &amp; Loss'!A776</f>
        <v>0</v>
      </c>
      <c r="B776" s="35">
        <f>'Profit &amp; Loss'!B776</f>
        <v>0</v>
      </c>
      <c r="C776" s="36"/>
      <c r="D776" s="33"/>
      <c r="E776" s="33"/>
      <c r="F776" s="101"/>
      <c r="G776" s="102">
        <f t="shared" si="34"/>
        <v>0</v>
      </c>
      <c r="H776" s="103" t="str">
        <f t="shared" si="38"/>
        <v>0 tubes and 0 shuttles</v>
      </c>
      <c r="I776" s="36">
        <f t="shared" si="35"/>
        <v>0</v>
      </c>
      <c r="J776" s="104" t="str">
        <f t="shared" si="39"/>
        <v>0 tubes and 0 shuttles</v>
      </c>
      <c r="K776" s="36">
        <f t="shared" si="36"/>
        <v>0</v>
      </c>
      <c r="L776" s="103" t="str">
        <f t="shared" si="40"/>
        <v>0 tubes and 0 shuttles</v>
      </c>
      <c r="M776" s="105">
        <f t="shared" si="37"/>
        <v>0</v>
      </c>
      <c r="N776" s="103" t="str">
        <f t="shared" si="41"/>
        <v>0 tubes and 0 shuttles</v>
      </c>
      <c r="O776" s="36">
        <f t="shared" si="42"/>
        <v>0</v>
      </c>
      <c r="P776" s="103" t="str">
        <f t="shared" si="43"/>
        <v>0 tubes and 0 shuttles</v>
      </c>
    </row>
    <row r="777" spans="1:16" ht="12.5" x14ac:dyDescent="0.25">
      <c r="A777" s="32">
        <f>'Profit &amp; Loss'!A777</f>
        <v>0</v>
      </c>
      <c r="B777" s="35">
        <f>'Profit &amp; Loss'!B777</f>
        <v>0</v>
      </c>
      <c r="C777" s="36"/>
      <c r="D777" s="33"/>
      <c r="E777" s="33"/>
      <c r="F777" s="101"/>
      <c r="G777" s="102">
        <f t="shared" si="34"/>
        <v>0</v>
      </c>
      <c r="H777" s="103" t="str">
        <f t="shared" si="38"/>
        <v>0 tubes and 0 shuttles</v>
      </c>
      <c r="I777" s="36">
        <f t="shared" si="35"/>
        <v>0</v>
      </c>
      <c r="J777" s="104" t="str">
        <f t="shared" si="39"/>
        <v>0 tubes and 0 shuttles</v>
      </c>
      <c r="K777" s="36">
        <f t="shared" si="36"/>
        <v>0</v>
      </c>
      <c r="L777" s="103" t="str">
        <f t="shared" si="40"/>
        <v>0 tubes and 0 shuttles</v>
      </c>
      <c r="M777" s="105">
        <f t="shared" si="37"/>
        <v>0</v>
      </c>
      <c r="N777" s="103" t="str">
        <f t="shared" si="41"/>
        <v>0 tubes and 0 shuttles</v>
      </c>
      <c r="O777" s="36">
        <f t="shared" si="42"/>
        <v>0</v>
      </c>
      <c r="P777" s="103" t="str">
        <f t="shared" si="43"/>
        <v>0 tubes and 0 shuttles</v>
      </c>
    </row>
    <row r="778" spans="1:16" ht="12.5" x14ac:dyDescent="0.25">
      <c r="A778" s="32">
        <f>'Profit &amp; Loss'!A778</f>
        <v>0</v>
      </c>
      <c r="B778" s="35">
        <f>'Profit &amp; Loss'!B778</f>
        <v>0</v>
      </c>
      <c r="C778" s="36"/>
      <c r="D778" s="33"/>
      <c r="E778" s="33"/>
      <c r="F778" s="101"/>
      <c r="G778" s="102">
        <f t="shared" si="34"/>
        <v>0</v>
      </c>
      <c r="H778" s="103" t="str">
        <f t="shared" si="38"/>
        <v>0 tubes and 0 shuttles</v>
      </c>
      <c r="I778" s="36">
        <f t="shared" si="35"/>
        <v>0</v>
      </c>
      <c r="J778" s="104" t="str">
        <f t="shared" si="39"/>
        <v>0 tubes and 0 shuttles</v>
      </c>
      <c r="K778" s="36">
        <f t="shared" si="36"/>
        <v>0</v>
      </c>
      <c r="L778" s="103" t="str">
        <f t="shared" si="40"/>
        <v>0 tubes and 0 shuttles</v>
      </c>
      <c r="M778" s="105">
        <f t="shared" si="37"/>
        <v>0</v>
      </c>
      <c r="N778" s="103" t="str">
        <f t="shared" si="41"/>
        <v>0 tubes and 0 shuttles</v>
      </c>
      <c r="O778" s="36">
        <f t="shared" si="42"/>
        <v>0</v>
      </c>
      <c r="P778" s="103" t="str">
        <f t="shared" si="43"/>
        <v>0 tubes and 0 shuttles</v>
      </c>
    </row>
    <row r="779" spans="1:16" ht="12.5" x14ac:dyDescent="0.25">
      <c r="A779" s="32">
        <f>'Profit &amp; Loss'!A779</f>
        <v>0</v>
      </c>
      <c r="B779" s="35">
        <f>'Profit &amp; Loss'!B779</f>
        <v>0</v>
      </c>
      <c r="C779" s="36"/>
      <c r="D779" s="33"/>
      <c r="E779" s="33"/>
      <c r="F779" s="101"/>
      <c r="G779" s="102">
        <f t="shared" si="34"/>
        <v>0</v>
      </c>
      <c r="H779" s="103" t="str">
        <f t="shared" si="38"/>
        <v>0 tubes and 0 shuttles</v>
      </c>
      <c r="I779" s="36">
        <f t="shared" si="35"/>
        <v>0</v>
      </c>
      <c r="J779" s="104" t="str">
        <f t="shared" si="39"/>
        <v>0 tubes and 0 shuttles</v>
      </c>
      <c r="K779" s="36">
        <f t="shared" si="36"/>
        <v>0</v>
      </c>
      <c r="L779" s="103" t="str">
        <f t="shared" si="40"/>
        <v>0 tubes and 0 shuttles</v>
      </c>
      <c r="M779" s="105">
        <f t="shared" si="37"/>
        <v>0</v>
      </c>
      <c r="N779" s="103" t="str">
        <f t="shared" si="41"/>
        <v>0 tubes and 0 shuttles</v>
      </c>
      <c r="O779" s="36">
        <f t="shared" si="42"/>
        <v>0</v>
      </c>
      <c r="P779" s="103" t="str">
        <f t="shared" si="43"/>
        <v>0 tubes and 0 shuttles</v>
      </c>
    </row>
    <row r="780" spans="1:16" ht="12.5" x14ac:dyDescent="0.25">
      <c r="A780" s="32">
        <f>'Profit &amp; Loss'!A780</f>
        <v>0</v>
      </c>
      <c r="B780" s="35">
        <f>'Profit &amp; Loss'!B780</f>
        <v>0</v>
      </c>
      <c r="C780" s="36"/>
      <c r="D780" s="33"/>
      <c r="E780" s="33"/>
      <c r="F780" s="101"/>
      <c r="G780" s="102">
        <f t="shared" si="34"/>
        <v>0</v>
      </c>
      <c r="H780" s="103" t="str">
        <f t="shared" si="38"/>
        <v>0 tubes and 0 shuttles</v>
      </c>
      <c r="I780" s="36">
        <f t="shared" si="35"/>
        <v>0</v>
      </c>
      <c r="J780" s="104" t="str">
        <f t="shared" si="39"/>
        <v>0 tubes and 0 shuttles</v>
      </c>
      <c r="K780" s="36">
        <f t="shared" si="36"/>
        <v>0</v>
      </c>
      <c r="L780" s="103" t="str">
        <f t="shared" si="40"/>
        <v>0 tubes and 0 shuttles</v>
      </c>
      <c r="M780" s="105">
        <f t="shared" si="37"/>
        <v>0</v>
      </c>
      <c r="N780" s="103" t="str">
        <f t="shared" si="41"/>
        <v>0 tubes and 0 shuttles</v>
      </c>
      <c r="O780" s="36">
        <f t="shared" si="42"/>
        <v>0</v>
      </c>
      <c r="P780" s="103" t="str">
        <f t="shared" si="43"/>
        <v>0 tubes and 0 shuttles</v>
      </c>
    </row>
    <row r="781" spans="1:16" ht="12.5" x14ac:dyDescent="0.25">
      <c r="A781" s="32">
        <f>'Profit &amp; Loss'!A781</f>
        <v>0</v>
      </c>
      <c r="B781" s="35">
        <f>'Profit &amp; Loss'!B781</f>
        <v>0</v>
      </c>
      <c r="C781" s="36"/>
      <c r="D781" s="33"/>
      <c r="E781" s="33"/>
      <c r="F781" s="101"/>
      <c r="G781" s="102">
        <f t="shared" si="34"/>
        <v>0</v>
      </c>
      <c r="H781" s="103" t="str">
        <f t="shared" si="38"/>
        <v>0 tubes and 0 shuttles</v>
      </c>
      <c r="I781" s="36">
        <f t="shared" si="35"/>
        <v>0</v>
      </c>
      <c r="J781" s="104" t="str">
        <f t="shared" si="39"/>
        <v>0 tubes and 0 shuttles</v>
      </c>
      <c r="K781" s="36">
        <f t="shared" si="36"/>
        <v>0</v>
      </c>
      <c r="L781" s="103" t="str">
        <f t="shared" si="40"/>
        <v>0 tubes and 0 shuttles</v>
      </c>
      <c r="M781" s="105">
        <f t="shared" si="37"/>
        <v>0</v>
      </c>
      <c r="N781" s="103" t="str">
        <f t="shared" si="41"/>
        <v>0 tubes and 0 shuttles</v>
      </c>
      <c r="O781" s="36">
        <f t="shared" si="42"/>
        <v>0</v>
      </c>
      <c r="P781" s="103" t="str">
        <f t="shared" si="43"/>
        <v>0 tubes and 0 shuttles</v>
      </c>
    </row>
    <row r="782" spans="1:16" ht="12.5" x14ac:dyDescent="0.25">
      <c r="A782" s="32">
        <f>'Profit &amp; Loss'!A782</f>
        <v>0</v>
      </c>
      <c r="B782" s="35">
        <f>'Profit &amp; Loss'!B782</f>
        <v>0</v>
      </c>
      <c r="C782" s="36"/>
      <c r="D782" s="33"/>
      <c r="E782" s="33"/>
      <c r="F782" s="101"/>
      <c r="G782" s="102">
        <f t="shared" si="34"/>
        <v>0</v>
      </c>
      <c r="H782" s="103" t="str">
        <f t="shared" si="38"/>
        <v>0 tubes and 0 shuttles</v>
      </c>
      <c r="I782" s="36">
        <f t="shared" si="35"/>
        <v>0</v>
      </c>
      <c r="J782" s="104" t="str">
        <f t="shared" si="39"/>
        <v>0 tubes and 0 shuttles</v>
      </c>
      <c r="K782" s="36">
        <f t="shared" si="36"/>
        <v>0</v>
      </c>
      <c r="L782" s="103" t="str">
        <f t="shared" si="40"/>
        <v>0 tubes and 0 shuttles</v>
      </c>
      <c r="M782" s="105">
        <f t="shared" si="37"/>
        <v>0</v>
      </c>
      <c r="N782" s="103" t="str">
        <f t="shared" si="41"/>
        <v>0 tubes and 0 shuttles</v>
      </c>
      <c r="O782" s="36">
        <f t="shared" si="42"/>
        <v>0</v>
      </c>
      <c r="P782" s="103" t="str">
        <f t="shared" si="43"/>
        <v>0 tubes and 0 shuttles</v>
      </c>
    </row>
    <row r="783" spans="1:16" ht="12.5" x14ac:dyDescent="0.25">
      <c r="A783" s="32">
        <f>'Profit &amp; Loss'!A783</f>
        <v>0</v>
      </c>
      <c r="B783" s="35">
        <f>'Profit &amp; Loss'!B783</f>
        <v>0</v>
      </c>
      <c r="C783" s="36"/>
      <c r="D783" s="33"/>
      <c r="E783" s="33"/>
      <c r="F783" s="101"/>
      <c r="G783" s="102">
        <f t="shared" si="34"/>
        <v>0</v>
      </c>
      <c r="H783" s="103" t="str">
        <f t="shared" si="38"/>
        <v>0 tubes and 0 shuttles</v>
      </c>
      <c r="I783" s="36">
        <f t="shared" si="35"/>
        <v>0</v>
      </c>
      <c r="J783" s="104" t="str">
        <f t="shared" si="39"/>
        <v>0 tubes and 0 shuttles</v>
      </c>
      <c r="K783" s="36">
        <f t="shared" si="36"/>
        <v>0</v>
      </c>
      <c r="L783" s="103" t="str">
        <f t="shared" si="40"/>
        <v>0 tubes and 0 shuttles</v>
      </c>
      <c r="M783" s="105">
        <f t="shared" si="37"/>
        <v>0</v>
      </c>
      <c r="N783" s="103" t="str">
        <f t="shared" si="41"/>
        <v>0 tubes and 0 shuttles</v>
      </c>
      <c r="O783" s="36">
        <f t="shared" si="42"/>
        <v>0</v>
      </c>
      <c r="P783" s="103" t="str">
        <f t="shared" si="43"/>
        <v>0 tubes and 0 shuttles</v>
      </c>
    </row>
    <row r="784" spans="1:16" ht="12.5" x14ac:dyDescent="0.25">
      <c r="A784" s="32">
        <f>'Profit &amp; Loss'!A784</f>
        <v>0</v>
      </c>
      <c r="B784" s="35">
        <f>'Profit &amp; Loss'!B784</f>
        <v>0</v>
      </c>
      <c r="C784" s="36"/>
      <c r="D784" s="33"/>
      <c r="E784" s="33"/>
      <c r="F784" s="101"/>
      <c r="G784" s="102">
        <f t="shared" si="34"/>
        <v>0</v>
      </c>
      <c r="H784" s="103" t="str">
        <f t="shared" si="38"/>
        <v>0 tubes and 0 shuttles</v>
      </c>
      <c r="I784" s="36">
        <f t="shared" si="35"/>
        <v>0</v>
      </c>
      <c r="J784" s="104" t="str">
        <f t="shared" si="39"/>
        <v>0 tubes and 0 shuttles</v>
      </c>
      <c r="K784" s="36">
        <f t="shared" si="36"/>
        <v>0</v>
      </c>
      <c r="L784" s="103" t="str">
        <f t="shared" si="40"/>
        <v>0 tubes and 0 shuttles</v>
      </c>
      <c r="M784" s="105">
        <f t="shared" si="37"/>
        <v>0</v>
      </c>
      <c r="N784" s="103" t="str">
        <f t="shared" si="41"/>
        <v>0 tubes and 0 shuttles</v>
      </c>
      <c r="O784" s="36">
        <f t="shared" si="42"/>
        <v>0</v>
      </c>
      <c r="P784" s="103" t="str">
        <f t="shared" si="43"/>
        <v>0 tubes and 0 shuttles</v>
      </c>
    </row>
    <row r="785" spans="1:16" ht="12.5" x14ac:dyDescent="0.25">
      <c r="A785" s="32">
        <f>'Profit &amp; Loss'!A785</f>
        <v>0</v>
      </c>
      <c r="B785" s="35">
        <f>'Profit &amp; Loss'!B785</f>
        <v>0</v>
      </c>
      <c r="C785" s="36"/>
      <c r="D785" s="33"/>
      <c r="E785" s="33"/>
      <c r="F785" s="101"/>
      <c r="G785" s="102">
        <f t="shared" si="34"/>
        <v>0</v>
      </c>
      <c r="H785" s="103" t="str">
        <f t="shared" si="38"/>
        <v>0 tubes and 0 shuttles</v>
      </c>
      <c r="I785" s="36">
        <f t="shared" si="35"/>
        <v>0</v>
      </c>
      <c r="J785" s="104" t="str">
        <f t="shared" si="39"/>
        <v>0 tubes and 0 shuttles</v>
      </c>
      <c r="K785" s="36">
        <f t="shared" si="36"/>
        <v>0</v>
      </c>
      <c r="L785" s="103" t="str">
        <f t="shared" si="40"/>
        <v>0 tubes and 0 shuttles</v>
      </c>
      <c r="M785" s="105">
        <f t="shared" si="37"/>
        <v>0</v>
      </c>
      <c r="N785" s="103" t="str">
        <f t="shared" si="41"/>
        <v>0 tubes and 0 shuttles</v>
      </c>
      <c r="O785" s="36">
        <f t="shared" si="42"/>
        <v>0</v>
      </c>
      <c r="P785" s="103" t="str">
        <f t="shared" si="43"/>
        <v>0 tubes and 0 shuttles</v>
      </c>
    </row>
    <row r="786" spans="1:16" ht="12.5" x14ac:dyDescent="0.25">
      <c r="A786" s="32">
        <f>'Profit &amp; Loss'!A786</f>
        <v>0</v>
      </c>
      <c r="B786" s="35">
        <f>'Profit &amp; Loss'!B786</f>
        <v>0</v>
      </c>
      <c r="C786" s="36"/>
      <c r="D786" s="33"/>
      <c r="E786" s="33"/>
      <c r="F786" s="101"/>
      <c r="G786" s="102">
        <f t="shared" si="34"/>
        <v>0</v>
      </c>
      <c r="H786" s="103" t="str">
        <f t="shared" si="38"/>
        <v>0 tubes and 0 shuttles</v>
      </c>
      <c r="I786" s="36">
        <f t="shared" si="35"/>
        <v>0</v>
      </c>
      <c r="J786" s="104" t="str">
        <f t="shared" si="39"/>
        <v>0 tubes and 0 shuttles</v>
      </c>
      <c r="K786" s="36">
        <f t="shared" si="36"/>
        <v>0</v>
      </c>
      <c r="L786" s="103" t="str">
        <f t="shared" si="40"/>
        <v>0 tubes and 0 shuttles</v>
      </c>
      <c r="M786" s="105">
        <f t="shared" si="37"/>
        <v>0</v>
      </c>
      <c r="N786" s="103" t="str">
        <f t="shared" si="41"/>
        <v>0 tubes and 0 shuttles</v>
      </c>
      <c r="O786" s="36">
        <f t="shared" si="42"/>
        <v>0</v>
      </c>
      <c r="P786" s="103" t="str">
        <f t="shared" si="43"/>
        <v>0 tubes and 0 shuttles</v>
      </c>
    </row>
    <row r="787" spans="1:16" ht="12.5" x14ac:dyDescent="0.25">
      <c r="A787" s="32">
        <f>'Profit &amp; Loss'!A787</f>
        <v>0</v>
      </c>
      <c r="B787" s="35">
        <f>'Profit &amp; Loss'!B787</f>
        <v>0</v>
      </c>
      <c r="C787" s="36"/>
      <c r="D787" s="33"/>
      <c r="E787" s="33"/>
      <c r="F787" s="101"/>
      <c r="G787" s="102">
        <f t="shared" si="34"/>
        <v>0</v>
      </c>
      <c r="H787" s="103" t="str">
        <f t="shared" si="38"/>
        <v>0 tubes and 0 shuttles</v>
      </c>
      <c r="I787" s="36">
        <f t="shared" si="35"/>
        <v>0</v>
      </c>
      <c r="J787" s="104" t="str">
        <f t="shared" si="39"/>
        <v>0 tubes and 0 shuttles</v>
      </c>
      <c r="K787" s="36">
        <f t="shared" si="36"/>
        <v>0</v>
      </c>
      <c r="L787" s="103" t="str">
        <f t="shared" si="40"/>
        <v>0 tubes and 0 shuttles</v>
      </c>
      <c r="M787" s="105">
        <f t="shared" si="37"/>
        <v>0</v>
      </c>
      <c r="N787" s="103" t="str">
        <f t="shared" si="41"/>
        <v>0 tubes and 0 shuttles</v>
      </c>
      <c r="O787" s="36">
        <f t="shared" si="42"/>
        <v>0</v>
      </c>
      <c r="P787" s="103" t="str">
        <f t="shared" si="43"/>
        <v>0 tubes and 0 shuttles</v>
      </c>
    </row>
    <row r="788" spans="1:16" ht="12.5" x14ac:dyDescent="0.25">
      <c r="A788" s="32">
        <f>'Profit &amp; Loss'!A788</f>
        <v>0</v>
      </c>
      <c r="B788" s="35">
        <f>'Profit &amp; Loss'!B788</f>
        <v>0</v>
      </c>
      <c r="C788" s="36"/>
      <c r="D788" s="33"/>
      <c r="E788" s="33"/>
      <c r="F788" s="101"/>
      <c r="G788" s="102">
        <f t="shared" si="34"/>
        <v>0</v>
      </c>
      <c r="H788" s="103" t="str">
        <f t="shared" si="38"/>
        <v>0 tubes and 0 shuttles</v>
      </c>
      <c r="I788" s="36">
        <f t="shared" si="35"/>
        <v>0</v>
      </c>
      <c r="J788" s="104" t="str">
        <f t="shared" si="39"/>
        <v>0 tubes and 0 shuttles</v>
      </c>
      <c r="K788" s="36">
        <f t="shared" si="36"/>
        <v>0</v>
      </c>
      <c r="L788" s="103" t="str">
        <f t="shared" si="40"/>
        <v>0 tubes and 0 shuttles</v>
      </c>
      <c r="M788" s="105">
        <f t="shared" si="37"/>
        <v>0</v>
      </c>
      <c r="N788" s="103" t="str">
        <f t="shared" si="41"/>
        <v>0 tubes and 0 shuttles</v>
      </c>
      <c r="O788" s="36">
        <f t="shared" si="42"/>
        <v>0</v>
      </c>
      <c r="P788" s="103" t="str">
        <f t="shared" si="43"/>
        <v>0 tubes and 0 shuttles</v>
      </c>
    </row>
    <row r="789" spans="1:16" ht="12.5" x14ac:dyDescent="0.25">
      <c r="A789" s="32">
        <f>'Profit &amp; Loss'!A789</f>
        <v>0</v>
      </c>
      <c r="B789" s="35">
        <f>'Profit &amp; Loss'!B789</f>
        <v>0</v>
      </c>
      <c r="C789" s="36"/>
      <c r="D789" s="33"/>
      <c r="E789" s="33"/>
      <c r="F789" s="101"/>
      <c r="G789" s="102">
        <f t="shared" si="34"/>
        <v>0</v>
      </c>
      <c r="H789" s="103" t="str">
        <f t="shared" si="38"/>
        <v>0 tubes and 0 shuttles</v>
      </c>
      <c r="I789" s="36">
        <f t="shared" si="35"/>
        <v>0</v>
      </c>
      <c r="J789" s="104" t="str">
        <f t="shared" si="39"/>
        <v>0 tubes and 0 shuttles</v>
      </c>
      <c r="K789" s="36">
        <f t="shared" si="36"/>
        <v>0</v>
      </c>
      <c r="L789" s="103" t="str">
        <f t="shared" si="40"/>
        <v>0 tubes and 0 shuttles</v>
      </c>
      <c r="M789" s="105">
        <f t="shared" si="37"/>
        <v>0</v>
      </c>
      <c r="N789" s="103" t="str">
        <f t="shared" si="41"/>
        <v>0 tubes and 0 shuttles</v>
      </c>
      <c r="O789" s="36">
        <f t="shared" si="42"/>
        <v>0</v>
      </c>
      <c r="P789" s="103" t="str">
        <f t="shared" si="43"/>
        <v>0 tubes and 0 shuttles</v>
      </c>
    </row>
    <row r="790" spans="1:16" ht="12.5" x14ac:dyDescent="0.25">
      <c r="A790" s="32">
        <f>'Profit &amp; Loss'!A790</f>
        <v>0</v>
      </c>
      <c r="B790" s="35">
        <f>'Profit &amp; Loss'!B790</f>
        <v>0</v>
      </c>
      <c r="C790" s="36"/>
      <c r="D790" s="33"/>
      <c r="E790" s="33"/>
      <c r="F790" s="101"/>
      <c r="G790" s="102">
        <f t="shared" si="34"/>
        <v>0</v>
      </c>
      <c r="H790" s="103" t="str">
        <f t="shared" si="38"/>
        <v>0 tubes and 0 shuttles</v>
      </c>
      <c r="I790" s="36">
        <f t="shared" si="35"/>
        <v>0</v>
      </c>
      <c r="J790" s="104" t="str">
        <f t="shared" si="39"/>
        <v>0 tubes and 0 shuttles</v>
      </c>
      <c r="K790" s="36">
        <f t="shared" si="36"/>
        <v>0</v>
      </c>
      <c r="L790" s="103" t="str">
        <f t="shared" si="40"/>
        <v>0 tubes and 0 shuttles</v>
      </c>
      <c r="M790" s="105">
        <f t="shared" si="37"/>
        <v>0</v>
      </c>
      <c r="N790" s="103" t="str">
        <f t="shared" si="41"/>
        <v>0 tubes and 0 shuttles</v>
      </c>
      <c r="O790" s="36">
        <f t="shared" si="42"/>
        <v>0</v>
      </c>
      <c r="P790" s="103" t="str">
        <f t="shared" si="43"/>
        <v>0 tubes and 0 shuttles</v>
      </c>
    </row>
    <row r="791" spans="1:16" ht="12.5" x14ac:dyDescent="0.25">
      <c r="A791" s="32">
        <f>'Profit &amp; Loss'!A791</f>
        <v>0</v>
      </c>
      <c r="B791" s="35">
        <f>'Profit &amp; Loss'!B791</f>
        <v>0</v>
      </c>
      <c r="C791" s="36"/>
      <c r="D791" s="33"/>
      <c r="E791" s="33"/>
      <c r="F791" s="101"/>
      <c r="G791" s="102">
        <f t="shared" si="34"/>
        <v>0</v>
      </c>
      <c r="H791" s="103" t="str">
        <f t="shared" si="38"/>
        <v>0 tubes and 0 shuttles</v>
      </c>
      <c r="I791" s="36">
        <f t="shared" si="35"/>
        <v>0</v>
      </c>
      <c r="J791" s="104" t="str">
        <f t="shared" si="39"/>
        <v>0 tubes and 0 shuttles</v>
      </c>
      <c r="K791" s="36">
        <f t="shared" si="36"/>
        <v>0</v>
      </c>
      <c r="L791" s="103" t="str">
        <f t="shared" si="40"/>
        <v>0 tubes and 0 shuttles</v>
      </c>
      <c r="M791" s="105">
        <f t="shared" si="37"/>
        <v>0</v>
      </c>
      <c r="N791" s="103" t="str">
        <f t="shared" si="41"/>
        <v>0 tubes and 0 shuttles</v>
      </c>
      <c r="O791" s="36">
        <f t="shared" si="42"/>
        <v>0</v>
      </c>
      <c r="P791" s="103" t="str">
        <f t="shared" si="43"/>
        <v>0 tubes and 0 shuttles</v>
      </c>
    </row>
    <row r="792" spans="1:16" ht="12.5" x14ac:dyDescent="0.25">
      <c r="A792" s="32">
        <f>'Profit &amp; Loss'!A792</f>
        <v>0</v>
      </c>
      <c r="B792" s="35">
        <f>'Profit &amp; Loss'!B792</f>
        <v>0</v>
      </c>
      <c r="C792" s="36"/>
      <c r="D792" s="33"/>
      <c r="E792" s="33"/>
      <c r="F792" s="101"/>
      <c r="G792" s="102">
        <f t="shared" si="34"/>
        <v>0</v>
      </c>
      <c r="H792" s="103" t="str">
        <f t="shared" si="38"/>
        <v>0 tubes and 0 shuttles</v>
      </c>
      <c r="I792" s="36">
        <f t="shared" si="35"/>
        <v>0</v>
      </c>
      <c r="J792" s="104" t="str">
        <f t="shared" si="39"/>
        <v>0 tubes and 0 shuttles</v>
      </c>
      <c r="K792" s="36">
        <f t="shared" si="36"/>
        <v>0</v>
      </c>
      <c r="L792" s="103" t="str">
        <f t="shared" si="40"/>
        <v>0 tubes and 0 shuttles</v>
      </c>
      <c r="M792" s="105">
        <f t="shared" si="37"/>
        <v>0</v>
      </c>
      <c r="N792" s="103" t="str">
        <f t="shared" si="41"/>
        <v>0 tubes and 0 shuttles</v>
      </c>
      <c r="O792" s="36">
        <f t="shared" si="42"/>
        <v>0</v>
      </c>
      <c r="P792" s="103" t="str">
        <f t="shared" si="43"/>
        <v>0 tubes and 0 shuttles</v>
      </c>
    </row>
    <row r="793" spans="1:16" ht="12.5" x14ac:dyDescent="0.25">
      <c r="A793" s="32">
        <f>'Profit &amp; Loss'!A793</f>
        <v>0</v>
      </c>
      <c r="B793" s="35">
        <f>'Profit &amp; Loss'!B793</f>
        <v>0</v>
      </c>
      <c r="C793" s="36"/>
      <c r="D793" s="33"/>
      <c r="E793" s="33"/>
      <c r="F793" s="101"/>
      <c r="G793" s="102">
        <f t="shared" si="34"/>
        <v>0</v>
      </c>
      <c r="H793" s="103" t="str">
        <f t="shared" si="38"/>
        <v>0 tubes and 0 shuttles</v>
      </c>
      <c r="I793" s="36">
        <f t="shared" si="35"/>
        <v>0</v>
      </c>
      <c r="J793" s="104" t="str">
        <f t="shared" si="39"/>
        <v>0 tubes and 0 shuttles</v>
      </c>
      <c r="K793" s="36">
        <f t="shared" si="36"/>
        <v>0</v>
      </c>
      <c r="L793" s="103" t="str">
        <f t="shared" si="40"/>
        <v>0 tubes and 0 shuttles</v>
      </c>
      <c r="M793" s="105">
        <f t="shared" si="37"/>
        <v>0</v>
      </c>
      <c r="N793" s="103" t="str">
        <f t="shared" si="41"/>
        <v>0 tubes and 0 shuttles</v>
      </c>
      <c r="O793" s="36">
        <f t="shared" si="42"/>
        <v>0</v>
      </c>
      <c r="P793" s="103" t="str">
        <f t="shared" si="43"/>
        <v>0 tubes and 0 shuttles</v>
      </c>
    </row>
    <row r="794" spans="1:16" ht="12.5" x14ac:dyDescent="0.25">
      <c r="A794" s="32">
        <f>'Profit &amp; Loss'!A794</f>
        <v>0</v>
      </c>
      <c r="B794" s="35">
        <f>'Profit &amp; Loss'!B794</f>
        <v>0</v>
      </c>
      <c r="C794" s="36"/>
      <c r="D794" s="33"/>
      <c r="E794" s="33"/>
      <c r="F794" s="101"/>
      <c r="G794" s="102">
        <f t="shared" si="34"/>
        <v>0</v>
      </c>
      <c r="H794" s="103" t="str">
        <f t="shared" si="38"/>
        <v>0 tubes and 0 shuttles</v>
      </c>
      <c r="I794" s="36">
        <f t="shared" si="35"/>
        <v>0</v>
      </c>
      <c r="J794" s="104" t="str">
        <f t="shared" si="39"/>
        <v>0 tubes and 0 shuttles</v>
      </c>
      <c r="K794" s="36">
        <f t="shared" si="36"/>
        <v>0</v>
      </c>
      <c r="L794" s="103" t="str">
        <f t="shared" si="40"/>
        <v>0 tubes and 0 shuttles</v>
      </c>
      <c r="M794" s="105">
        <f t="shared" si="37"/>
        <v>0</v>
      </c>
      <c r="N794" s="103" t="str">
        <f t="shared" si="41"/>
        <v>0 tubes and 0 shuttles</v>
      </c>
      <c r="O794" s="36">
        <f t="shared" si="42"/>
        <v>0</v>
      </c>
      <c r="P794" s="103" t="str">
        <f t="shared" si="43"/>
        <v>0 tubes and 0 shuttles</v>
      </c>
    </row>
    <row r="795" spans="1:16" ht="12.5" x14ac:dyDescent="0.25">
      <c r="A795" s="32">
        <f>'Profit &amp; Loss'!A795</f>
        <v>0</v>
      </c>
      <c r="B795" s="35">
        <f>'Profit &amp; Loss'!B795</f>
        <v>0</v>
      </c>
      <c r="C795" s="36"/>
      <c r="D795" s="33"/>
      <c r="E795" s="33"/>
      <c r="F795" s="101"/>
      <c r="G795" s="102">
        <f t="shared" si="34"/>
        <v>0</v>
      </c>
      <c r="H795" s="103" t="str">
        <f t="shared" si="38"/>
        <v>0 tubes and 0 shuttles</v>
      </c>
      <c r="I795" s="36">
        <f t="shared" si="35"/>
        <v>0</v>
      </c>
      <c r="J795" s="104" t="str">
        <f t="shared" si="39"/>
        <v>0 tubes and 0 shuttles</v>
      </c>
      <c r="K795" s="36">
        <f t="shared" si="36"/>
        <v>0</v>
      </c>
      <c r="L795" s="103" t="str">
        <f t="shared" si="40"/>
        <v>0 tubes and 0 shuttles</v>
      </c>
      <c r="M795" s="105">
        <f t="shared" si="37"/>
        <v>0</v>
      </c>
      <c r="N795" s="103" t="str">
        <f t="shared" si="41"/>
        <v>0 tubes and 0 shuttles</v>
      </c>
      <c r="O795" s="36">
        <f t="shared" si="42"/>
        <v>0</v>
      </c>
      <c r="P795" s="103" t="str">
        <f t="shared" si="43"/>
        <v>0 tubes and 0 shuttles</v>
      </c>
    </row>
    <row r="796" spans="1:16" ht="12.5" x14ac:dyDescent="0.25">
      <c r="A796" s="32">
        <f>'Profit &amp; Loss'!A796</f>
        <v>0</v>
      </c>
      <c r="B796" s="35">
        <f>'Profit &amp; Loss'!B796</f>
        <v>0</v>
      </c>
      <c r="C796" s="36"/>
      <c r="D796" s="33"/>
      <c r="E796" s="33"/>
      <c r="F796" s="101"/>
      <c r="G796" s="102">
        <f t="shared" si="34"/>
        <v>0</v>
      </c>
      <c r="H796" s="103" t="str">
        <f t="shared" si="38"/>
        <v>0 tubes and 0 shuttles</v>
      </c>
      <c r="I796" s="36">
        <f t="shared" si="35"/>
        <v>0</v>
      </c>
      <c r="J796" s="104" t="str">
        <f t="shared" si="39"/>
        <v>0 tubes and 0 shuttles</v>
      </c>
      <c r="K796" s="36">
        <f t="shared" si="36"/>
        <v>0</v>
      </c>
      <c r="L796" s="103" t="str">
        <f t="shared" si="40"/>
        <v>0 tubes and 0 shuttles</v>
      </c>
      <c r="M796" s="105">
        <f t="shared" si="37"/>
        <v>0</v>
      </c>
      <c r="N796" s="103" t="str">
        <f t="shared" si="41"/>
        <v>0 tubes and 0 shuttles</v>
      </c>
      <c r="O796" s="36">
        <f t="shared" si="42"/>
        <v>0</v>
      </c>
      <c r="P796" s="103" t="str">
        <f t="shared" si="43"/>
        <v>0 tubes and 0 shuttles</v>
      </c>
    </row>
    <row r="797" spans="1:16" ht="12.5" x14ac:dyDescent="0.25">
      <c r="A797" s="32">
        <f>'Profit &amp; Loss'!A797</f>
        <v>0</v>
      </c>
      <c r="B797" s="35">
        <f>'Profit &amp; Loss'!B797</f>
        <v>0</v>
      </c>
      <c r="C797" s="36"/>
      <c r="D797" s="33"/>
      <c r="E797" s="33"/>
      <c r="F797" s="101"/>
      <c r="G797" s="102">
        <f t="shared" si="34"/>
        <v>0</v>
      </c>
      <c r="H797" s="103" t="str">
        <f t="shared" si="38"/>
        <v>0 tubes and 0 shuttles</v>
      </c>
      <c r="I797" s="36">
        <f t="shared" si="35"/>
        <v>0</v>
      </c>
      <c r="J797" s="104" t="str">
        <f t="shared" si="39"/>
        <v>0 tubes and 0 shuttles</v>
      </c>
      <c r="K797" s="36">
        <f t="shared" si="36"/>
        <v>0</v>
      </c>
      <c r="L797" s="103" t="str">
        <f t="shared" si="40"/>
        <v>0 tubes and 0 shuttles</v>
      </c>
      <c r="M797" s="105">
        <f t="shared" si="37"/>
        <v>0</v>
      </c>
      <c r="N797" s="103" t="str">
        <f t="shared" si="41"/>
        <v>0 tubes and 0 shuttles</v>
      </c>
      <c r="O797" s="36">
        <f t="shared" si="42"/>
        <v>0</v>
      </c>
      <c r="P797" s="103" t="str">
        <f t="shared" si="43"/>
        <v>0 tubes and 0 shuttles</v>
      </c>
    </row>
    <row r="798" spans="1:16" ht="12.5" x14ac:dyDescent="0.25">
      <c r="A798" s="32">
        <f>'Profit &amp; Loss'!A798</f>
        <v>0</v>
      </c>
      <c r="B798" s="35">
        <f>'Profit &amp; Loss'!B798</f>
        <v>0</v>
      </c>
      <c r="C798" s="36"/>
      <c r="D798" s="33"/>
      <c r="E798" s="33"/>
      <c r="F798" s="101"/>
      <c r="G798" s="102">
        <f t="shared" si="34"/>
        <v>0</v>
      </c>
      <c r="H798" s="103" t="str">
        <f t="shared" si="38"/>
        <v>0 tubes and 0 shuttles</v>
      </c>
      <c r="I798" s="36">
        <f t="shared" si="35"/>
        <v>0</v>
      </c>
      <c r="J798" s="104" t="str">
        <f t="shared" si="39"/>
        <v>0 tubes and 0 shuttles</v>
      </c>
      <c r="K798" s="36">
        <f t="shared" si="36"/>
        <v>0</v>
      </c>
      <c r="L798" s="103" t="str">
        <f t="shared" si="40"/>
        <v>0 tubes and 0 shuttles</v>
      </c>
      <c r="M798" s="105">
        <f t="shared" si="37"/>
        <v>0</v>
      </c>
      <c r="N798" s="103" t="str">
        <f t="shared" si="41"/>
        <v>0 tubes and 0 shuttles</v>
      </c>
      <c r="O798" s="36">
        <f t="shared" si="42"/>
        <v>0</v>
      </c>
      <c r="P798" s="103" t="str">
        <f t="shared" si="43"/>
        <v>0 tubes and 0 shuttles</v>
      </c>
    </row>
    <row r="799" spans="1:16" ht="12.5" x14ac:dyDescent="0.25">
      <c r="A799" s="32">
        <f>'Profit &amp; Loss'!A799</f>
        <v>0</v>
      </c>
      <c r="B799" s="35">
        <f>'Profit &amp; Loss'!B799</f>
        <v>0</v>
      </c>
      <c r="C799" s="36"/>
      <c r="D799" s="33"/>
      <c r="E799" s="33"/>
      <c r="F799" s="101"/>
      <c r="G799" s="102">
        <f t="shared" si="34"/>
        <v>0</v>
      </c>
      <c r="H799" s="103" t="str">
        <f t="shared" si="38"/>
        <v>0 tubes and 0 shuttles</v>
      </c>
      <c r="I799" s="36">
        <f t="shared" si="35"/>
        <v>0</v>
      </c>
      <c r="J799" s="104" t="str">
        <f t="shared" si="39"/>
        <v>0 tubes and 0 shuttles</v>
      </c>
      <c r="K799" s="36">
        <f t="shared" si="36"/>
        <v>0</v>
      </c>
      <c r="L799" s="103" t="str">
        <f t="shared" si="40"/>
        <v>0 tubes and 0 shuttles</v>
      </c>
      <c r="M799" s="105">
        <f t="shared" si="37"/>
        <v>0</v>
      </c>
      <c r="N799" s="103" t="str">
        <f t="shared" si="41"/>
        <v>0 tubes and 0 shuttles</v>
      </c>
      <c r="O799" s="36">
        <f t="shared" si="42"/>
        <v>0</v>
      </c>
      <c r="P799" s="103" t="str">
        <f t="shared" si="43"/>
        <v>0 tubes and 0 shuttles</v>
      </c>
    </row>
    <row r="800" spans="1:16" ht="12.5" x14ac:dyDescent="0.25">
      <c r="A800" s="32">
        <f>'Profit &amp; Loss'!A800</f>
        <v>0</v>
      </c>
      <c r="B800" s="35">
        <f>'Profit &amp; Loss'!B800</f>
        <v>0</v>
      </c>
      <c r="C800" s="36"/>
      <c r="D800" s="33"/>
      <c r="E800" s="33"/>
      <c r="F800" s="101"/>
      <c r="G800" s="102">
        <f t="shared" si="34"/>
        <v>0</v>
      </c>
      <c r="H800" s="103" t="str">
        <f t="shared" si="38"/>
        <v>0 tubes and 0 shuttles</v>
      </c>
      <c r="I800" s="36">
        <f t="shared" si="35"/>
        <v>0</v>
      </c>
      <c r="J800" s="104" t="str">
        <f t="shared" si="39"/>
        <v>0 tubes and 0 shuttles</v>
      </c>
      <c r="K800" s="36">
        <f t="shared" si="36"/>
        <v>0</v>
      </c>
      <c r="L800" s="103" t="str">
        <f t="shared" si="40"/>
        <v>0 tubes and 0 shuttles</v>
      </c>
      <c r="M800" s="105">
        <f t="shared" si="37"/>
        <v>0</v>
      </c>
      <c r="N800" s="103" t="str">
        <f t="shared" si="41"/>
        <v>0 tubes and 0 shuttles</v>
      </c>
      <c r="O800" s="36">
        <f t="shared" si="42"/>
        <v>0</v>
      </c>
      <c r="P800" s="103" t="str">
        <f t="shared" si="43"/>
        <v>0 tubes and 0 shuttles</v>
      </c>
    </row>
    <row r="801" spans="1:16" ht="12.5" x14ac:dyDescent="0.25">
      <c r="A801" s="32">
        <f>'Profit &amp; Loss'!A801</f>
        <v>0</v>
      </c>
      <c r="B801" s="35">
        <f>'Profit &amp; Loss'!B801</f>
        <v>0</v>
      </c>
      <c r="C801" s="36"/>
      <c r="D801" s="33"/>
      <c r="E801" s="33"/>
      <c r="F801" s="101"/>
      <c r="G801" s="102">
        <f t="shared" si="34"/>
        <v>0</v>
      </c>
      <c r="H801" s="103" t="str">
        <f t="shared" si="38"/>
        <v>0 tubes and 0 shuttles</v>
      </c>
      <c r="I801" s="36">
        <f t="shared" si="35"/>
        <v>0</v>
      </c>
      <c r="J801" s="104" t="str">
        <f t="shared" si="39"/>
        <v>0 tubes and 0 shuttles</v>
      </c>
      <c r="K801" s="36">
        <f t="shared" si="36"/>
        <v>0</v>
      </c>
      <c r="L801" s="103" t="str">
        <f t="shared" si="40"/>
        <v>0 tubes and 0 shuttles</v>
      </c>
      <c r="M801" s="105">
        <f t="shared" si="37"/>
        <v>0</v>
      </c>
      <c r="N801" s="103" t="str">
        <f t="shared" si="41"/>
        <v>0 tubes and 0 shuttles</v>
      </c>
      <c r="O801" s="36">
        <f t="shared" si="42"/>
        <v>0</v>
      </c>
      <c r="P801" s="103" t="str">
        <f t="shared" si="43"/>
        <v>0 tubes and 0 shuttles</v>
      </c>
    </row>
    <row r="802" spans="1:16" ht="12.5" x14ac:dyDescent="0.25">
      <c r="A802" s="32">
        <f>'Profit &amp; Loss'!A802</f>
        <v>0</v>
      </c>
      <c r="B802" s="35">
        <f>'Profit &amp; Loss'!B802</f>
        <v>0</v>
      </c>
      <c r="C802" s="36"/>
      <c r="D802" s="33"/>
      <c r="E802" s="33"/>
      <c r="F802" s="101"/>
      <c r="G802" s="102">
        <f t="shared" si="34"/>
        <v>0</v>
      </c>
      <c r="H802" s="103" t="str">
        <f t="shared" si="38"/>
        <v>0 tubes and 0 shuttles</v>
      </c>
      <c r="I802" s="36">
        <f t="shared" si="35"/>
        <v>0</v>
      </c>
      <c r="J802" s="104" t="str">
        <f t="shared" si="39"/>
        <v>0 tubes and 0 shuttles</v>
      </c>
      <c r="K802" s="36">
        <f t="shared" si="36"/>
        <v>0</v>
      </c>
      <c r="L802" s="103" t="str">
        <f t="shared" si="40"/>
        <v>0 tubes and 0 shuttles</v>
      </c>
      <c r="M802" s="105">
        <f t="shared" si="37"/>
        <v>0</v>
      </c>
      <c r="N802" s="103" t="str">
        <f t="shared" si="41"/>
        <v>0 tubes and 0 shuttles</v>
      </c>
      <c r="O802" s="36">
        <f t="shared" si="42"/>
        <v>0</v>
      </c>
      <c r="P802" s="103" t="str">
        <f t="shared" si="43"/>
        <v>0 tubes and 0 shuttles</v>
      </c>
    </row>
    <row r="803" spans="1:16" ht="12.5" x14ac:dyDescent="0.25">
      <c r="A803" s="32">
        <f>'Profit &amp; Loss'!A803</f>
        <v>0</v>
      </c>
      <c r="B803" s="35">
        <f>'Profit &amp; Loss'!B803</f>
        <v>0</v>
      </c>
      <c r="C803" s="36"/>
      <c r="D803" s="33"/>
      <c r="E803" s="33"/>
      <c r="F803" s="101"/>
      <c r="G803" s="102">
        <f t="shared" si="34"/>
        <v>0</v>
      </c>
      <c r="H803" s="103" t="str">
        <f t="shared" si="38"/>
        <v>0 tubes and 0 shuttles</v>
      </c>
      <c r="I803" s="36">
        <f t="shared" si="35"/>
        <v>0</v>
      </c>
      <c r="J803" s="104" t="str">
        <f t="shared" si="39"/>
        <v>0 tubes and 0 shuttles</v>
      </c>
      <c r="K803" s="36">
        <f t="shared" si="36"/>
        <v>0</v>
      </c>
      <c r="L803" s="103" t="str">
        <f t="shared" si="40"/>
        <v>0 tubes and 0 shuttles</v>
      </c>
      <c r="M803" s="105">
        <f t="shared" si="37"/>
        <v>0</v>
      </c>
      <c r="N803" s="103" t="str">
        <f t="shared" si="41"/>
        <v>0 tubes and 0 shuttles</v>
      </c>
      <c r="O803" s="36">
        <f t="shared" si="42"/>
        <v>0</v>
      </c>
      <c r="P803" s="103" t="str">
        <f t="shared" si="43"/>
        <v>0 tubes and 0 shuttles</v>
      </c>
    </row>
    <row r="804" spans="1:16" ht="12.5" x14ac:dyDescent="0.25">
      <c r="A804" s="32">
        <f>'Profit &amp; Loss'!A804</f>
        <v>0</v>
      </c>
      <c r="B804" s="35">
        <f>'Profit &amp; Loss'!B804</f>
        <v>0</v>
      </c>
      <c r="C804" s="36"/>
      <c r="D804" s="33"/>
      <c r="E804" s="33"/>
      <c r="F804" s="101"/>
      <c r="G804" s="102">
        <f t="shared" ref="G804:G989" si="44">IF(C804=" ",G803,G803-C804)</f>
        <v>0</v>
      </c>
      <c r="H804" s="103" t="str">
        <f t="shared" si="38"/>
        <v>0 tubes and 0 shuttles</v>
      </c>
      <c r="I804" s="36">
        <f t="shared" ref="I804:I989" si="45">IF(D804=" ",I803,I803-D804)</f>
        <v>0</v>
      </c>
      <c r="J804" s="104" t="str">
        <f t="shared" si="39"/>
        <v>0 tubes and 0 shuttles</v>
      </c>
      <c r="K804" s="36">
        <f t="shared" ref="K804:K989" si="46">IF(E804=" ",K803,K803-E804)</f>
        <v>0</v>
      </c>
      <c r="L804" s="103" t="str">
        <f t="shared" si="40"/>
        <v>0 tubes and 0 shuttles</v>
      </c>
      <c r="M804" s="105">
        <f t="shared" ref="M804:M989" si="47">IF(F804=" ",M803,M803-F804)</f>
        <v>0</v>
      </c>
      <c r="N804" s="103" t="str">
        <f t="shared" si="41"/>
        <v>0 tubes and 0 shuttles</v>
      </c>
      <c r="O804" s="36">
        <f t="shared" si="42"/>
        <v>0</v>
      </c>
      <c r="P804" s="103" t="str">
        <f t="shared" si="43"/>
        <v>0 tubes and 0 shuttles</v>
      </c>
    </row>
    <row r="805" spans="1:16" ht="12.5" x14ac:dyDescent="0.25">
      <c r="A805" s="32">
        <f>'Profit &amp; Loss'!A805</f>
        <v>0</v>
      </c>
      <c r="B805" s="35">
        <f>'Profit &amp; Loss'!B805</f>
        <v>0</v>
      </c>
      <c r="C805" s="36"/>
      <c r="D805" s="33"/>
      <c r="E805" s="33"/>
      <c r="F805" s="101"/>
      <c r="G805" s="102">
        <f t="shared" si="44"/>
        <v>0</v>
      </c>
      <c r="H805" s="103" t="str">
        <f t="shared" si="38"/>
        <v>0 tubes and 0 shuttles</v>
      </c>
      <c r="I805" s="36">
        <f t="shared" si="45"/>
        <v>0</v>
      </c>
      <c r="J805" s="104" t="str">
        <f t="shared" si="39"/>
        <v>0 tubes and 0 shuttles</v>
      </c>
      <c r="K805" s="36">
        <f t="shared" si="46"/>
        <v>0</v>
      </c>
      <c r="L805" s="103" t="str">
        <f t="shared" si="40"/>
        <v>0 tubes and 0 shuttles</v>
      </c>
      <c r="M805" s="105">
        <f t="shared" si="47"/>
        <v>0</v>
      </c>
      <c r="N805" s="103" t="str">
        <f t="shared" si="41"/>
        <v>0 tubes and 0 shuttles</v>
      </c>
      <c r="O805" s="36">
        <f t="shared" si="42"/>
        <v>0</v>
      </c>
      <c r="P805" s="103" t="str">
        <f t="shared" si="43"/>
        <v>0 tubes and 0 shuttles</v>
      </c>
    </row>
    <row r="806" spans="1:16" ht="12.5" x14ac:dyDescent="0.25">
      <c r="A806" s="32">
        <f>'Profit &amp; Loss'!A806</f>
        <v>0</v>
      </c>
      <c r="B806" s="35">
        <f>'Profit &amp; Loss'!B806</f>
        <v>0</v>
      </c>
      <c r="C806" s="36"/>
      <c r="D806" s="33"/>
      <c r="E806" s="33"/>
      <c r="F806" s="101"/>
      <c r="G806" s="102">
        <f t="shared" si="44"/>
        <v>0</v>
      </c>
      <c r="H806" s="103" t="str">
        <f t="shared" si="38"/>
        <v>0 tubes and 0 shuttles</v>
      </c>
      <c r="I806" s="36">
        <f t="shared" si="45"/>
        <v>0</v>
      </c>
      <c r="J806" s="104" t="str">
        <f t="shared" si="39"/>
        <v>0 tubes and 0 shuttles</v>
      </c>
      <c r="K806" s="36">
        <f t="shared" si="46"/>
        <v>0</v>
      </c>
      <c r="L806" s="103" t="str">
        <f t="shared" si="40"/>
        <v>0 tubes and 0 shuttles</v>
      </c>
      <c r="M806" s="105">
        <f t="shared" si="47"/>
        <v>0</v>
      </c>
      <c r="N806" s="103" t="str">
        <f t="shared" si="41"/>
        <v>0 tubes and 0 shuttles</v>
      </c>
      <c r="O806" s="36">
        <f t="shared" si="42"/>
        <v>0</v>
      </c>
      <c r="P806" s="103" t="str">
        <f t="shared" si="43"/>
        <v>0 tubes and 0 shuttles</v>
      </c>
    </row>
    <row r="807" spans="1:16" ht="12.5" x14ac:dyDescent="0.25">
      <c r="A807" s="32">
        <f>'Profit &amp; Loss'!A807</f>
        <v>0</v>
      </c>
      <c r="B807" s="35">
        <f>'Profit &amp; Loss'!B807</f>
        <v>0</v>
      </c>
      <c r="C807" s="36"/>
      <c r="D807" s="33"/>
      <c r="E807" s="33"/>
      <c r="F807" s="101"/>
      <c r="G807" s="102">
        <f t="shared" si="44"/>
        <v>0</v>
      </c>
      <c r="H807" s="103" t="str">
        <f t="shared" si="38"/>
        <v>0 tubes and 0 shuttles</v>
      </c>
      <c r="I807" s="36">
        <f t="shared" si="45"/>
        <v>0</v>
      </c>
      <c r="J807" s="104" t="str">
        <f t="shared" si="39"/>
        <v>0 tubes and 0 shuttles</v>
      </c>
      <c r="K807" s="36">
        <f t="shared" si="46"/>
        <v>0</v>
      </c>
      <c r="L807" s="103" t="str">
        <f t="shared" si="40"/>
        <v>0 tubes and 0 shuttles</v>
      </c>
      <c r="M807" s="105">
        <f t="shared" si="47"/>
        <v>0</v>
      </c>
      <c r="N807" s="103" t="str">
        <f t="shared" si="41"/>
        <v>0 tubes and 0 shuttles</v>
      </c>
      <c r="O807" s="36">
        <f t="shared" si="42"/>
        <v>0</v>
      </c>
      <c r="P807" s="103" t="str">
        <f t="shared" si="43"/>
        <v>0 tubes and 0 shuttles</v>
      </c>
    </row>
    <row r="808" spans="1:16" ht="12.5" x14ac:dyDescent="0.25">
      <c r="A808" s="32">
        <f>'Profit &amp; Loss'!A808</f>
        <v>0</v>
      </c>
      <c r="B808" s="35">
        <f>'Profit &amp; Loss'!B808</f>
        <v>0</v>
      </c>
      <c r="C808" s="36"/>
      <c r="D808" s="33"/>
      <c r="E808" s="33"/>
      <c r="F808" s="101"/>
      <c r="G808" s="102">
        <f t="shared" si="44"/>
        <v>0</v>
      </c>
      <c r="H808" s="103" t="str">
        <f t="shared" si="38"/>
        <v>0 tubes and 0 shuttles</v>
      </c>
      <c r="I808" s="36">
        <f t="shared" si="45"/>
        <v>0</v>
      </c>
      <c r="J808" s="104" t="str">
        <f t="shared" si="39"/>
        <v>0 tubes and 0 shuttles</v>
      </c>
      <c r="K808" s="36">
        <f t="shared" si="46"/>
        <v>0</v>
      </c>
      <c r="L808" s="103" t="str">
        <f t="shared" si="40"/>
        <v>0 tubes and 0 shuttles</v>
      </c>
      <c r="M808" s="105">
        <f t="shared" si="47"/>
        <v>0</v>
      </c>
      <c r="N808" s="103" t="str">
        <f t="shared" si="41"/>
        <v>0 tubes and 0 shuttles</v>
      </c>
      <c r="O808" s="36">
        <f t="shared" si="42"/>
        <v>0</v>
      </c>
      <c r="P808" s="103" t="str">
        <f t="shared" si="43"/>
        <v>0 tubes and 0 shuttles</v>
      </c>
    </row>
    <row r="809" spans="1:16" ht="12.5" x14ac:dyDescent="0.25">
      <c r="A809" s="32">
        <f>'Profit &amp; Loss'!A809</f>
        <v>0</v>
      </c>
      <c r="B809" s="35">
        <f>'Profit &amp; Loss'!B809</f>
        <v>0</v>
      </c>
      <c r="C809" s="36"/>
      <c r="D809" s="33"/>
      <c r="E809" s="33"/>
      <c r="F809" s="101"/>
      <c r="G809" s="102">
        <f t="shared" si="44"/>
        <v>0</v>
      </c>
      <c r="H809" s="103" t="str">
        <f t="shared" si="38"/>
        <v>0 tubes and 0 shuttles</v>
      </c>
      <c r="I809" s="36">
        <f t="shared" si="45"/>
        <v>0</v>
      </c>
      <c r="J809" s="104" t="str">
        <f t="shared" si="39"/>
        <v>0 tubes and 0 shuttles</v>
      </c>
      <c r="K809" s="36">
        <f t="shared" si="46"/>
        <v>0</v>
      </c>
      <c r="L809" s="103" t="str">
        <f t="shared" si="40"/>
        <v>0 tubes and 0 shuttles</v>
      </c>
      <c r="M809" s="105">
        <f t="shared" si="47"/>
        <v>0</v>
      </c>
      <c r="N809" s="103" t="str">
        <f t="shared" si="41"/>
        <v>0 tubes and 0 shuttles</v>
      </c>
      <c r="O809" s="36">
        <f t="shared" si="42"/>
        <v>0</v>
      </c>
      <c r="P809" s="103" t="str">
        <f t="shared" si="43"/>
        <v>0 tubes and 0 shuttles</v>
      </c>
    </row>
    <row r="810" spans="1:16" ht="12.5" x14ac:dyDescent="0.25">
      <c r="A810" s="32">
        <f>'Profit &amp; Loss'!A810</f>
        <v>0</v>
      </c>
      <c r="B810" s="35">
        <f>'Profit &amp; Loss'!B810</f>
        <v>0</v>
      </c>
      <c r="C810" s="36"/>
      <c r="D810" s="33"/>
      <c r="E810" s="33"/>
      <c r="F810" s="101"/>
      <c r="G810" s="102">
        <f t="shared" si="44"/>
        <v>0</v>
      </c>
      <c r="H810" s="103" t="str">
        <f t="shared" si="38"/>
        <v>0 tubes and 0 shuttles</v>
      </c>
      <c r="I810" s="36">
        <f t="shared" si="45"/>
        <v>0</v>
      </c>
      <c r="J810" s="104" t="str">
        <f t="shared" si="39"/>
        <v>0 tubes and 0 shuttles</v>
      </c>
      <c r="K810" s="36">
        <f t="shared" si="46"/>
        <v>0</v>
      </c>
      <c r="L810" s="103" t="str">
        <f t="shared" si="40"/>
        <v>0 tubes and 0 shuttles</v>
      </c>
      <c r="M810" s="105">
        <f t="shared" si="47"/>
        <v>0</v>
      </c>
      <c r="N810" s="103" t="str">
        <f t="shared" si="41"/>
        <v>0 tubes and 0 shuttles</v>
      </c>
      <c r="O810" s="36">
        <f t="shared" si="42"/>
        <v>0</v>
      </c>
      <c r="P810" s="103" t="str">
        <f t="shared" si="43"/>
        <v>0 tubes and 0 shuttles</v>
      </c>
    </row>
    <row r="811" spans="1:16" ht="12.5" x14ac:dyDescent="0.25">
      <c r="A811" s="32">
        <f>'Profit &amp; Loss'!A811</f>
        <v>0</v>
      </c>
      <c r="B811" s="35">
        <f>'Profit &amp; Loss'!B811</f>
        <v>0</v>
      </c>
      <c r="C811" s="36"/>
      <c r="D811" s="33"/>
      <c r="E811" s="33"/>
      <c r="F811" s="101"/>
      <c r="G811" s="102">
        <f t="shared" si="44"/>
        <v>0</v>
      </c>
      <c r="H811" s="103" t="str">
        <f t="shared" si="38"/>
        <v>0 tubes and 0 shuttles</v>
      </c>
      <c r="I811" s="36">
        <f t="shared" si="45"/>
        <v>0</v>
      </c>
      <c r="J811" s="104" t="str">
        <f t="shared" si="39"/>
        <v>0 tubes and 0 shuttles</v>
      </c>
      <c r="K811" s="36">
        <f t="shared" si="46"/>
        <v>0</v>
      </c>
      <c r="L811" s="103" t="str">
        <f t="shared" si="40"/>
        <v>0 tubes and 0 shuttles</v>
      </c>
      <c r="M811" s="105">
        <f t="shared" si="47"/>
        <v>0</v>
      </c>
      <c r="N811" s="103" t="str">
        <f t="shared" si="41"/>
        <v>0 tubes and 0 shuttles</v>
      </c>
      <c r="O811" s="36">
        <f t="shared" si="42"/>
        <v>0</v>
      </c>
      <c r="P811" s="103" t="str">
        <f t="shared" si="43"/>
        <v>0 tubes and 0 shuttles</v>
      </c>
    </row>
    <row r="812" spans="1:16" ht="12.5" x14ac:dyDescent="0.25">
      <c r="A812" s="32">
        <f>'Profit &amp; Loss'!A812</f>
        <v>0</v>
      </c>
      <c r="B812" s="35">
        <f>'Profit &amp; Loss'!B812</f>
        <v>0</v>
      </c>
      <c r="C812" s="36"/>
      <c r="D812" s="33"/>
      <c r="E812" s="33"/>
      <c r="F812" s="101"/>
      <c r="G812" s="102">
        <f t="shared" si="44"/>
        <v>0</v>
      </c>
      <c r="H812" s="103" t="str">
        <f t="shared" si="38"/>
        <v>0 tubes and 0 shuttles</v>
      </c>
      <c r="I812" s="36">
        <f t="shared" si="45"/>
        <v>0</v>
      </c>
      <c r="J812" s="104" t="str">
        <f t="shared" si="39"/>
        <v>0 tubes and 0 shuttles</v>
      </c>
      <c r="K812" s="36">
        <f t="shared" si="46"/>
        <v>0</v>
      </c>
      <c r="L812" s="103" t="str">
        <f t="shared" si="40"/>
        <v>0 tubes and 0 shuttles</v>
      </c>
      <c r="M812" s="105">
        <f t="shared" si="47"/>
        <v>0</v>
      </c>
      <c r="N812" s="103" t="str">
        <f t="shared" si="41"/>
        <v>0 tubes and 0 shuttles</v>
      </c>
      <c r="O812" s="36">
        <f t="shared" si="42"/>
        <v>0</v>
      </c>
      <c r="P812" s="103" t="str">
        <f t="shared" si="43"/>
        <v>0 tubes and 0 shuttles</v>
      </c>
    </row>
    <row r="813" spans="1:16" ht="12.5" x14ac:dyDescent="0.25">
      <c r="A813" s="32">
        <f>'Profit &amp; Loss'!A813</f>
        <v>0</v>
      </c>
      <c r="B813" s="35">
        <f>'Profit &amp; Loss'!B813</f>
        <v>0</v>
      </c>
      <c r="C813" s="36"/>
      <c r="D813" s="33"/>
      <c r="E813" s="33"/>
      <c r="F813" s="101"/>
      <c r="G813" s="102">
        <f t="shared" si="44"/>
        <v>0</v>
      </c>
      <c r="H813" s="103" t="str">
        <f t="shared" si="38"/>
        <v>0 tubes and 0 shuttles</v>
      </c>
      <c r="I813" s="36">
        <f t="shared" si="45"/>
        <v>0</v>
      </c>
      <c r="J813" s="104" t="str">
        <f t="shared" si="39"/>
        <v>0 tubes and 0 shuttles</v>
      </c>
      <c r="K813" s="36">
        <f t="shared" si="46"/>
        <v>0</v>
      </c>
      <c r="L813" s="103" t="str">
        <f t="shared" si="40"/>
        <v>0 tubes and 0 shuttles</v>
      </c>
      <c r="M813" s="105">
        <f t="shared" si="47"/>
        <v>0</v>
      </c>
      <c r="N813" s="103" t="str">
        <f t="shared" si="41"/>
        <v>0 tubes and 0 shuttles</v>
      </c>
      <c r="O813" s="36">
        <f t="shared" si="42"/>
        <v>0</v>
      </c>
      <c r="P813" s="103" t="str">
        <f t="shared" si="43"/>
        <v>0 tubes and 0 shuttles</v>
      </c>
    </row>
    <row r="814" spans="1:16" ht="12.5" x14ac:dyDescent="0.25">
      <c r="A814" s="32">
        <f>'Profit &amp; Loss'!A814</f>
        <v>0</v>
      </c>
      <c r="B814" s="35">
        <f>'Profit &amp; Loss'!B814</f>
        <v>0</v>
      </c>
      <c r="C814" s="36"/>
      <c r="D814" s="33"/>
      <c r="E814" s="33"/>
      <c r="F814" s="101"/>
      <c r="G814" s="102">
        <f t="shared" si="44"/>
        <v>0</v>
      </c>
      <c r="H814" s="103" t="str">
        <f t="shared" si="38"/>
        <v>0 tubes and 0 shuttles</v>
      </c>
      <c r="I814" s="36">
        <f t="shared" si="45"/>
        <v>0</v>
      </c>
      <c r="J814" s="104" t="str">
        <f t="shared" si="39"/>
        <v>0 tubes and 0 shuttles</v>
      </c>
      <c r="K814" s="36">
        <f t="shared" si="46"/>
        <v>0</v>
      </c>
      <c r="L814" s="103" t="str">
        <f t="shared" si="40"/>
        <v>0 tubes and 0 shuttles</v>
      </c>
      <c r="M814" s="105">
        <f t="shared" si="47"/>
        <v>0</v>
      </c>
      <c r="N814" s="103" t="str">
        <f t="shared" si="41"/>
        <v>0 tubes and 0 shuttles</v>
      </c>
      <c r="O814" s="36">
        <f t="shared" si="42"/>
        <v>0</v>
      </c>
      <c r="P814" s="103" t="str">
        <f t="shared" si="43"/>
        <v>0 tubes and 0 shuttles</v>
      </c>
    </row>
    <row r="815" spans="1:16" ht="12.5" x14ac:dyDescent="0.25">
      <c r="A815" s="32">
        <f>'Profit &amp; Loss'!A815</f>
        <v>0</v>
      </c>
      <c r="B815" s="35">
        <f>'Profit &amp; Loss'!B815</f>
        <v>0</v>
      </c>
      <c r="C815" s="36"/>
      <c r="D815" s="33"/>
      <c r="E815" s="33"/>
      <c r="F815" s="101"/>
      <c r="G815" s="102">
        <f t="shared" si="44"/>
        <v>0</v>
      </c>
      <c r="H815" s="103" t="str">
        <f t="shared" si="38"/>
        <v>0 tubes and 0 shuttles</v>
      </c>
      <c r="I815" s="36">
        <f t="shared" si="45"/>
        <v>0</v>
      </c>
      <c r="J815" s="104" t="str">
        <f t="shared" si="39"/>
        <v>0 tubes and 0 shuttles</v>
      </c>
      <c r="K815" s="36">
        <f t="shared" si="46"/>
        <v>0</v>
      </c>
      <c r="L815" s="103" t="str">
        <f t="shared" si="40"/>
        <v>0 tubes and 0 shuttles</v>
      </c>
      <c r="M815" s="105">
        <f t="shared" si="47"/>
        <v>0</v>
      </c>
      <c r="N815" s="103" t="str">
        <f t="shared" si="41"/>
        <v>0 tubes and 0 shuttles</v>
      </c>
      <c r="O815" s="36">
        <f t="shared" si="42"/>
        <v>0</v>
      </c>
      <c r="P815" s="103" t="str">
        <f t="shared" si="43"/>
        <v>0 tubes and 0 shuttles</v>
      </c>
    </row>
    <row r="816" spans="1:16" ht="12.5" x14ac:dyDescent="0.25">
      <c r="A816" s="32">
        <f>'Profit &amp; Loss'!A816</f>
        <v>0</v>
      </c>
      <c r="B816" s="35">
        <f>'Profit &amp; Loss'!B816</f>
        <v>0</v>
      </c>
      <c r="C816" s="36"/>
      <c r="D816" s="33"/>
      <c r="E816" s="33"/>
      <c r="F816" s="101"/>
      <c r="G816" s="102">
        <f t="shared" si="44"/>
        <v>0</v>
      </c>
      <c r="H816" s="103" t="str">
        <f t="shared" si="38"/>
        <v>0 tubes and 0 shuttles</v>
      </c>
      <c r="I816" s="36">
        <f t="shared" si="45"/>
        <v>0</v>
      </c>
      <c r="J816" s="104" t="str">
        <f t="shared" si="39"/>
        <v>0 tubes and 0 shuttles</v>
      </c>
      <c r="K816" s="36">
        <f t="shared" si="46"/>
        <v>0</v>
      </c>
      <c r="L816" s="103" t="str">
        <f t="shared" si="40"/>
        <v>0 tubes and 0 shuttles</v>
      </c>
      <c r="M816" s="105">
        <f t="shared" si="47"/>
        <v>0</v>
      </c>
      <c r="N816" s="103" t="str">
        <f t="shared" si="41"/>
        <v>0 tubes and 0 shuttles</v>
      </c>
      <c r="O816" s="36">
        <f t="shared" si="42"/>
        <v>0</v>
      </c>
      <c r="P816" s="103" t="str">
        <f t="shared" si="43"/>
        <v>0 tubes and 0 shuttles</v>
      </c>
    </row>
    <row r="817" spans="1:16" ht="12.5" x14ac:dyDescent="0.25">
      <c r="A817" s="32">
        <f>'Profit &amp; Loss'!A817</f>
        <v>0</v>
      </c>
      <c r="B817" s="35">
        <f>'Profit &amp; Loss'!B817</f>
        <v>0</v>
      </c>
      <c r="C817" s="36"/>
      <c r="D817" s="33"/>
      <c r="E817" s="33"/>
      <c r="F817" s="101"/>
      <c r="G817" s="102">
        <f t="shared" si="44"/>
        <v>0</v>
      </c>
      <c r="H817" s="103" t="str">
        <f t="shared" si="38"/>
        <v>0 tubes and 0 shuttles</v>
      </c>
      <c r="I817" s="36">
        <f t="shared" si="45"/>
        <v>0</v>
      </c>
      <c r="J817" s="104" t="str">
        <f t="shared" si="39"/>
        <v>0 tubes and 0 shuttles</v>
      </c>
      <c r="K817" s="36">
        <f t="shared" si="46"/>
        <v>0</v>
      </c>
      <c r="L817" s="103" t="str">
        <f t="shared" si="40"/>
        <v>0 tubes and 0 shuttles</v>
      </c>
      <c r="M817" s="105">
        <f t="shared" si="47"/>
        <v>0</v>
      </c>
      <c r="N817" s="103" t="str">
        <f t="shared" si="41"/>
        <v>0 tubes and 0 shuttles</v>
      </c>
      <c r="O817" s="36">
        <f t="shared" si="42"/>
        <v>0</v>
      </c>
      <c r="P817" s="103" t="str">
        <f t="shared" si="43"/>
        <v>0 tubes and 0 shuttles</v>
      </c>
    </row>
    <row r="818" spans="1:16" ht="12.5" x14ac:dyDescent="0.25">
      <c r="A818" s="32">
        <f>'Profit &amp; Loss'!A818</f>
        <v>0</v>
      </c>
      <c r="B818" s="35">
        <f>'Profit &amp; Loss'!B818</f>
        <v>0</v>
      </c>
      <c r="C818" s="36"/>
      <c r="D818" s="33"/>
      <c r="E818" s="33"/>
      <c r="F818" s="101"/>
      <c r="G818" s="102">
        <f t="shared" si="44"/>
        <v>0</v>
      </c>
      <c r="H818" s="103" t="str">
        <f t="shared" si="38"/>
        <v>0 tubes and 0 shuttles</v>
      </c>
      <c r="I818" s="36">
        <f t="shared" si="45"/>
        <v>0</v>
      </c>
      <c r="J818" s="104" t="str">
        <f t="shared" si="39"/>
        <v>0 tubes and 0 shuttles</v>
      </c>
      <c r="K818" s="36">
        <f t="shared" si="46"/>
        <v>0</v>
      </c>
      <c r="L818" s="103" t="str">
        <f t="shared" si="40"/>
        <v>0 tubes and 0 shuttles</v>
      </c>
      <c r="M818" s="105">
        <f t="shared" si="47"/>
        <v>0</v>
      </c>
      <c r="N818" s="103" t="str">
        <f t="shared" si="41"/>
        <v>0 tubes and 0 shuttles</v>
      </c>
      <c r="O818" s="36">
        <f t="shared" si="42"/>
        <v>0</v>
      </c>
      <c r="P818" s="103" t="str">
        <f t="shared" si="43"/>
        <v>0 tubes and 0 shuttles</v>
      </c>
    </row>
    <row r="819" spans="1:16" ht="12.5" x14ac:dyDescent="0.25">
      <c r="A819" s="32">
        <f>'Profit &amp; Loss'!A819</f>
        <v>0</v>
      </c>
      <c r="B819" s="35">
        <f>'Profit &amp; Loss'!B819</f>
        <v>0</v>
      </c>
      <c r="C819" s="36"/>
      <c r="D819" s="33"/>
      <c r="E819" s="33"/>
      <c r="F819" s="101"/>
      <c r="G819" s="102">
        <f t="shared" si="44"/>
        <v>0</v>
      </c>
      <c r="H819" s="103" t="str">
        <f t="shared" si="38"/>
        <v>0 tubes and 0 shuttles</v>
      </c>
      <c r="I819" s="36">
        <f t="shared" si="45"/>
        <v>0</v>
      </c>
      <c r="J819" s="104" t="str">
        <f t="shared" si="39"/>
        <v>0 tubes and 0 shuttles</v>
      </c>
      <c r="K819" s="36">
        <f t="shared" si="46"/>
        <v>0</v>
      </c>
      <c r="L819" s="103" t="str">
        <f t="shared" si="40"/>
        <v>0 tubes and 0 shuttles</v>
      </c>
      <c r="M819" s="105">
        <f t="shared" si="47"/>
        <v>0</v>
      </c>
      <c r="N819" s="103" t="str">
        <f t="shared" si="41"/>
        <v>0 tubes and 0 shuttles</v>
      </c>
      <c r="O819" s="36">
        <f t="shared" si="42"/>
        <v>0</v>
      </c>
      <c r="P819" s="103" t="str">
        <f t="shared" si="43"/>
        <v>0 tubes and 0 shuttles</v>
      </c>
    </row>
    <row r="820" spans="1:16" ht="12.5" x14ac:dyDescent="0.25">
      <c r="A820" s="32">
        <f>'Profit &amp; Loss'!A820</f>
        <v>0</v>
      </c>
      <c r="B820" s="35">
        <f>'Profit &amp; Loss'!B820</f>
        <v>0</v>
      </c>
      <c r="C820" s="36"/>
      <c r="D820" s="33"/>
      <c r="E820" s="33"/>
      <c r="F820" s="101"/>
      <c r="G820" s="102">
        <f t="shared" si="44"/>
        <v>0</v>
      </c>
      <c r="H820" s="103" t="str">
        <f t="shared" si="38"/>
        <v>0 tubes and 0 shuttles</v>
      </c>
      <c r="I820" s="36">
        <f t="shared" si="45"/>
        <v>0</v>
      </c>
      <c r="J820" s="104" t="str">
        <f t="shared" si="39"/>
        <v>0 tubes and 0 shuttles</v>
      </c>
      <c r="K820" s="36">
        <f t="shared" si="46"/>
        <v>0</v>
      </c>
      <c r="L820" s="103" t="str">
        <f t="shared" si="40"/>
        <v>0 tubes and 0 shuttles</v>
      </c>
      <c r="M820" s="105">
        <f t="shared" si="47"/>
        <v>0</v>
      </c>
      <c r="N820" s="103" t="str">
        <f t="shared" si="41"/>
        <v>0 tubes and 0 shuttles</v>
      </c>
      <c r="O820" s="36">
        <f t="shared" si="42"/>
        <v>0</v>
      </c>
      <c r="P820" s="103" t="str">
        <f t="shared" si="43"/>
        <v>0 tubes and 0 shuttles</v>
      </c>
    </row>
    <row r="821" spans="1:16" ht="12.5" x14ac:dyDescent="0.25">
      <c r="A821" s="32">
        <f>'Profit &amp; Loss'!A821</f>
        <v>0</v>
      </c>
      <c r="B821" s="35">
        <f>'Profit &amp; Loss'!B821</f>
        <v>0</v>
      </c>
      <c r="C821" s="36"/>
      <c r="D821" s="33"/>
      <c r="E821" s="33"/>
      <c r="F821" s="101"/>
      <c r="G821" s="102">
        <f t="shared" si="44"/>
        <v>0</v>
      </c>
      <c r="H821" s="103" t="str">
        <f t="shared" si="38"/>
        <v>0 tubes and 0 shuttles</v>
      </c>
      <c r="I821" s="36">
        <f t="shared" si="45"/>
        <v>0</v>
      </c>
      <c r="J821" s="104" t="str">
        <f t="shared" si="39"/>
        <v>0 tubes and 0 shuttles</v>
      </c>
      <c r="K821" s="36">
        <f t="shared" si="46"/>
        <v>0</v>
      </c>
      <c r="L821" s="103" t="str">
        <f t="shared" si="40"/>
        <v>0 tubes and 0 shuttles</v>
      </c>
      <c r="M821" s="105">
        <f t="shared" si="47"/>
        <v>0</v>
      </c>
      <c r="N821" s="103" t="str">
        <f t="shared" si="41"/>
        <v>0 tubes and 0 shuttles</v>
      </c>
      <c r="O821" s="36">
        <f t="shared" si="42"/>
        <v>0</v>
      </c>
      <c r="P821" s="103" t="str">
        <f t="shared" si="43"/>
        <v>0 tubes and 0 shuttles</v>
      </c>
    </row>
    <row r="822" spans="1:16" ht="12.5" x14ac:dyDescent="0.25">
      <c r="A822" s="32">
        <f>'Profit &amp; Loss'!A822</f>
        <v>0</v>
      </c>
      <c r="B822" s="35">
        <f>'Profit &amp; Loss'!B822</f>
        <v>0</v>
      </c>
      <c r="C822" s="36"/>
      <c r="D822" s="33"/>
      <c r="E822" s="33"/>
      <c r="F822" s="101"/>
      <c r="G822" s="102">
        <f t="shared" si="44"/>
        <v>0</v>
      </c>
      <c r="H822" s="103" t="str">
        <f t="shared" si="38"/>
        <v>0 tubes and 0 shuttles</v>
      </c>
      <c r="I822" s="36">
        <f t="shared" si="45"/>
        <v>0</v>
      </c>
      <c r="J822" s="104" t="str">
        <f t="shared" si="39"/>
        <v>0 tubes and 0 shuttles</v>
      </c>
      <c r="K822" s="36">
        <f t="shared" si="46"/>
        <v>0</v>
      </c>
      <c r="L822" s="103" t="str">
        <f t="shared" si="40"/>
        <v>0 tubes and 0 shuttles</v>
      </c>
      <c r="M822" s="105">
        <f t="shared" si="47"/>
        <v>0</v>
      </c>
      <c r="N822" s="103" t="str">
        <f t="shared" si="41"/>
        <v>0 tubes and 0 shuttles</v>
      </c>
      <c r="O822" s="36">
        <f t="shared" si="42"/>
        <v>0</v>
      </c>
      <c r="P822" s="103" t="str">
        <f t="shared" si="43"/>
        <v>0 tubes and 0 shuttles</v>
      </c>
    </row>
    <row r="823" spans="1:16" ht="12.5" x14ac:dyDescent="0.25">
      <c r="A823" s="32">
        <f>'Profit &amp; Loss'!A823</f>
        <v>0</v>
      </c>
      <c r="B823" s="35">
        <f>'Profit &amp; Loss'!B823</f>
        <v>0</v>
      </c>
      <c r="C823" s="36"/>
      <c r="D823" s="33"/>
      <c r="E823" s="33"/>
      <c r="F823" s="101"/>
      <c r="G823" s="102">
        <f t="shared" si="44"/>
        <v>0</v>
      </c>
      <c r="H823" s="103" t="str">
        <f t="shared" si="38"/>
        <v>0 tubes and 0 shuttles</v>
      </c>
      <c r="I823" s="36">
        <f t="shared" si="45"/>
        <v>0</v>
      </c>
      <c r="J823" s="104" t="str">
        <f t="shared" si="39"/>
        <v>0 tubes and 0 shuttles</v>
      </c>
      <c r="K823" s="36">
        <f t="shared" si="46"/>
        <v>0</v>
      </c>
      <c r="L823" s="103" t="str">
        <f t="shared" si="40"/>
        <v>0 tubes and 0 shuttles</v>
      </c>
      <c r="M823" s="105">
        <f t="shared" si="47"/>
        <v>0</v>
      </c>
      <c r="N823" s="103" t="str">
        <f t="shared" si="41"/>
        <v>0 tubes and 0 shuttles</v>
      </c>
      <c r="O823" s="36">
        <f t="shared" si="42"/>
        <v>0</v>
      </c>
      <c r="P823" s="103" t="str">
        <f t="shared" si="43"/>
        <v>0 tubes and 0 shuttles</v>
      </c>
    </row>
    <row r="824" spans="1:16" ht="12.5" x14ac:dyDescent="0.25">
      <c r="A824" s="32">
        <f>'Profit &amp; Loss'!A824</f>
        <v>0</v>
      </c>
      <c r="B824" s="35">
        <f>'Profit &amp; Loss'!B824</f>
        <v>0</v>
      </c>
      <c r="C824" s="36"/>
      <c r="D824" s="33"/>
      <c r="E824" s="33"/>
      <c r="F824" s="101"/>
      <c r="G824" s="102">
        <f t="shared" si="44"/>
        <v>0</v>
      </c>
      <c r="H824" s="103" t="str">
        <f t="shared" si="38"/>
        <v>0 tubes and 0 shuttles</v>
      </c>
      <c r="I824" s="36">
        <f t="shared" si="45"/>
        <v>0</v>
      </c>
      <c r="J824" s="104" t="str">
        <f t="shared" si="39"/>
        <v>0 tubes and 0 shuttles</v>
      </c>
      <c r="K824" s="36">
        <f t="shared" si="46"/>
        <v>0</v>
      </c>
      <c r="L824" s="103" t="str">
        <f t="shared" si="40"/>
        <v>0 tubes and 0 shuttles</v>
      </c>
      <c r="M824" s="105">
        <f t="shared" si="47"/>
        <v>0</v>
      </c>
      <c r="N824" s="103" t="str">
        <f t="shared" si="41"/>
        <v>0 tubes and 0 shuttles</v>
      </c>
      <c r="O824" s="36">
        <f t="shared" si="42"/>
        <v>0</v>
      </c>
      <c r="P824" s="103" t="str">
        <f t="shared" si="43"/>
        <v>0 tubes and 0 shuttles</v>
      </c>
    </row>
    <row r="825" spans="1:16" ht="12.5" x14ac:dyDescent="0.25">
      <c r="A825" s="32">
        <f>'Profit &amp; Loss'!A825</f>
        <v>0</v>
      </c>
      <c r="B825" s="35">
        <f>'Profit &amp; Loss'!B825</f>
        <v>0</v>
      </c>
      <c r="C825" s="36"/>
      <c r="D825" s="33"/>
      <c r="E825" s="33"/>
      <c r="F825" s="101"/>
      <c r="G825" s="102">
        <f t="shared" si="44"/>
        <v>0</v>
      </c>
      <c r="H825" s="103" t="str">
        <f t="shared" si="38"/>
        <v>0 tubes and 0 shuttles</v>
      </c>
      <c r="I825" s="36">
        <f t="shared" si="45"/>
        <v>0</v>
      </c>
      <c r="J825" s="104" t="str">
        <f t="shared" si="39"/>
        <v>0 tubes and 0 shuttles</v>
      </c>
      <c r="K825" s="36">
        <f t="shared" si="46"/>
        <v>0</v>
      </c>
      <c r="L825" s="103" t="str">
        <f t="shared" si="40"/>
        <v>0 tubes and 0 shuttles</v>
      </c>
      <c r="M825" s="105">
        <f t="shared" si="47"/>
        <v>0</v>
      </c>
      <c r="N825" s="103" t="str">
        <f t="shared" si="41"/>
        <v>0 tubes and 0 shuttles</v>
      </c>
      <c r="O825" s="36">
        <f t="shared" si="42"/>
        <v>0</v>
      </c>
      <c r="P825" s="103" t="str">
        <f t="shared" si="43"/>
        <v>0 tubes and 0 shuttles</v>
      </c>
    </row>
    <row r="826" spans="1:16" ht="12.5" x14ac:dyDescent="0.25">
      <c r="A826" s="32">
        <f>'Profit &amp; Loss'!A826</f>
        <v>0</v>
      </c>
      <c r="B826" s="35">
        <f>'Profit &amp; Loss'!B826</f>
        <v>0</v>
      </c>
      <c r="C826" s="36"/>
      <c r="D826" s="33"/>
      <c r="E826" s="33"/>
      <c r="F826" s="101"/>
      <c r="G826" s="102">
        <f t="shared" si="44"/>
        <v>0</v>
      </c>
      <c r="H826" s="103" t="str">
        <f t="shared" si="38"/>
        <v>0 tubes and 0 shuttles</v>
      </c>
      <c r="I826" s="36">
        <f t="shared" si="45"/>
        <v>0</v>
      </c>
      <c r="J826" s="104" t="str">
        <f t="shared" si="39"/>
        <v>0 tubes and 0 shuttles</v>
      </c>
      <c r="K826" s="36">
        <f t="shared" si="46"/>
        <v>0</v>
      </c>
      <c r="L826" s="103" t="str">
        <f t="shared" si="40"/>
        <v>0 tubes and 0 shuttles</v>
      </c>
      <c r="M826" s="105">
        <f t="shared" si="47"/>
        <v>0</v>
      </c>
      <c r="N826" s="103" t="str">
        <f t="shared" si="41"/>
        <v>0 tubes and 0 shuttles</v>
      </c>
      <c r="O826" s="36">
        <f t="shared" si="42"/>
        <v>0</v>
      </c>
      <c r="P826" s="103" t="str">
        <f t="shared" si="43"/>
        <v>0 tubes and 0 shuttles</v>
      </c>
    </row>
    <row r="827" spans="1:16" ht="12.5" x14ac:dyDescent="0.25">
      <c r="A827" s="32">
        <f>'Profit &amp; Loss'!A827</f>
        <v>0</v>
      </c>
      <c r="B827" s="35">
        <f>'Profit &amp; Loss'!B827</f>
        <v>0</v>
      </c>
      <c r="C827" s="36"/>
      <c r="D827" s="33"/>
      <c r="E827" s="33"/>
      <c r="F827" s="101"/>
      <c r="G827" s="102">
        <f t="shared" si="44"/>
        <v>0</v>
      </c>
      <c r="H827" s="103" t="str">
        <f t="shared" si="38"/>
        <v>0 tubes and 0 shuttles</v>
      </c>
      <c r="I827" s="36">
        <f t="shared" si="45"/>
        <v>0</v>
      </c>
      <c r="J827" s="104" t="str">
        <f t="shared" si="39"/>
        <v>0 tubes and 0 shuttles</v>
      </c>
      <c r="K827" s="36">
        <f t="shared" si="46"/>
        <v>0</v>
      </c>
      <c r="L827" s="103" t="str">
        <f t="shared" si="40"/>
        <v>0 tubes and 0 shuttles</v>
      </c>
      <c r="M827" s="105">
        <f t="shared" si="47"/>
        <v>0</v>
      </c>
      <c r="N827" s="103" t="str">
        <f t="shared" si="41"/>
        <v>0 tubes and 0 shuttles</v>
      </c>
      <c r="O827" s="36">
        <f t="shared" si="42"/>
        <v>0</v>
      </c>
      <c r="P827" s="103" t="str">
        <f t="shared" si="43"/>
        <v>0 tubes and 0 shuttles</v>
      </c>
    </row>
    <row r="828" spans="1:16" ht="12.5" x14ac:dyDescent="0.25">
      <c r="A828" s="32">
        <f>'Profit &amp; Loss'!A828</f>
        <v>0</v>
      </c>
      <c r="B828" s="35">
        <f>'Profit &amp; Loss'!B828</f>
        <v>0</v>
      </c>
      <c r="C828" s="36"/>
      <c r="D828" s="33"/>
      <c r="E828" s="33"/>
      <c r="F828" s="101"/>
      <c r="G828" s="102">
        <f t="shared" si="44"/>
        <v>0</v>
      </c>
      <c r="H828" s="103" t="str">
        <f t="shared" si="38"/>
        <v>0 tubes and 0 shuttles</v>
      </c>
      <c r="I828" s="36">
        <f t="shared" si="45"/>
        <v>0</v>
      </c>
      <c r="J828" s="104" t="str">
        <f t="shared" si="39"/>
        <v>0 tubes and 0 shuttles</v>
      </c>
      <c r="K828" s="36">
        <f t="shared" si="46"/>
        <v>0</v>
      </c>
      <c r="L828" s="103" t="str">
        <f t="shared" si="40"/>
        <v>0 tubes and 0 shuttles</v>
      </c>
      <c r="M828" s="105">
        <f t="shared" si="47"/>
        <v>0</v>
      </c>
      <c r="N828" s="103" t="str">
        <f t="shared" si="41"/>
        <v>0 tubes and 0 shuttles</v>
      </c>
      <c r="O828" s="36">
        <f t="shared" si="42"/>
        <v>0</v>
      </c>
      <c r="P828" s="103" t="str">
        <f t="shared" si="43"/>
        <v>0 tubes and 0 shuttles</v>
      </c>
    </row>
    <row r="829" spans="1:16" ht="12.5" x14ac:dyDescent="0.25">
      <c r="A829" s="32">
        <f>'Profit &amp; Loss'!A829</f>
        <v>0</v>
      </c>
      <c r="B829" s="35">
        <f>'Profit &amp; Loss'!B829</f>
        <v>0</v>
      </c>
      <c r="C829" s="36"/>
      <c r="D829" s="33"/>
      <c r="E829" s="33"/>
      <c r="F829" s="101"/>
      <c r="G829" s="102">
        <f t="shared" si="44"/>
        <v>0</v>
      </c>
      <c r="H829" s="103" t="str">
        <f t="shared" si="38"/>
        <v>0 tubes and 0 shuttles</v>
      </c>
      <c r="I829" s="36">
        <f t="shared" si="45"/>
        <v>0</v>
      </c>
      <c r="J829" s="104" t="str">
        <f t="shared" si="39"/>
        <v>0 tubes and 0 shuttles</v>
      </c>
      <c r="K829" s="36">
        <f t="shared" si="46"/>
        <v>0</v>
      </c>
      <c r="L829" s="103" t="str">
        <f t="shared" si="40"/>
        <v>0 tubes and 0 shuttles</v>
      </c>
      <c r="M829" s="105">
        <f t="shared" si="47"/>
        <v>0</v>
      </c>
      <c r="N829" s="103" t="str">
        <f t="shared" si="41"/>
        <v>0 tubes and 0 shuttles</v>
      </c>
      <c r="O829" s="36">
        <f t="shared" si="42"/>
        <v>0</v>
      </c>
      <c r="P829" s="103" t="str">
        <f t="shared" si="43"/>
        <v>0 tubes and 0 shuttles</v>
      </c>
    </row>
    <row r="830" spans="1:16" ht="12.5" x14ac:dyDescent="0.25">
      <c r="A830" s="32">
        <f>'Profit &amp; Loss'!A830</f>
        <v>0</v>
      </c>
      <c r="B830" s="35">
        <f>'Profit &amp; Loss'!B830</f>
        <v>0</v>
      </c>
      <c r="C830" s="36"/>
      <c r="D830" s="33"/>
      <c r="E830" s="33"/>
      <c r="F830" s="101"/>
      <c r="G830" s="102">
        <f t="shared" si="44"/>
        <v>0</v>
      </c>
      <c r="H830" s="103" t="str">
        <f t="shared" si="38"/>
        <v>0 tubes and 0 shuttles</v>
      </c>
      <c r="I830" s="36">
        <f t="shared" si="45"/>
        <v>0</v>
      </c>
      <c r="J830" s="104" t="str">
        <f t="shared" si="39"/>
        <v>0 tubes and 0 shuttles</v>
      </c>
      <c r="K830" s="36">
        <f t="shared" si="46"/>
        <v>0</v>
      </c>
      <c r="L830" s="103" t="str">
        <f t="shared" si="40"/>
        <v>0 tubes and 0 shuttles</v>
      </c>
      <c r="M830" s="105">
        <f t="shared" si="47"/>
        <v>0</v>
      </c>
      <c r="N830" s="103" t="str">
        <f t="shared" si="41"/>
        <v>0 tubes and 0 shuttles</v>
      </c>
      <c r="O830" s="36">
        <f t="shared" si="42"/>
        <v>0</v>
      </c>
      <c r="P830" s="103" t="str">
        <f t="shared" si="43"/>
        <v>0 tubes and 0 shuttles</v>
      </c>
    </row>
    <row r="831" spans="1:16" ht="12.5" x14ac:dyDescent="0.25">
      <c r="A831" s="32">
        <f>'Profit &amp; Loss'!A831</f>
        <v>0</v>
      </c>
      <c r="B831" s="35">
        <f>'Profit &amp; Loss'!B831</f>
        <v>0</v>
      </c>
      <c r="C831" s="36"/>
      <c r="D831" s="33"/>
      <c r="E831" s="33"/>
      <c r="F831" s="101"/>
      <c r="G831" s="102">
        <f t="shared" si="44"/>
        <v>0</v>
      </c>
      <c r="H831" s="103" t="str">
        <f t="shared" si="38"/>
        <v>0 tubes and 0 shuttles</v>
      </c>
      <c r="I831" s="36">
        <f t="shared" si="45"/>
        <v>0</v>
      </c>
      <c r="J831" s="104" t="str">
        <f t="shared" si="39"/>
        <v>0 tubes and 0 shuttles</v>
      </c>
      <c r="K831" s="36">
        <f t="shared" si="46"/>
        <v>0</v>
      </c>
      <c r="L831" s="103" t="str">
        <f t="shared" si="40"/>
        <v>0 tubes and 0 shuttles</v>
      </c>
      <c r="M831" s="105">
        <f t="shared" si="47"/>
        <v>0</v>
      </c>
      <c r="N831" s="103" t="str">
        <f t="shared" si="41"/>
        <v>0 tubes and 0 shuttles</v>
      </c>
      <c r="O831" s="36">
        <f t="shared" si="42"/>
        <v>0</v>
      </c>
      <c r="P831" s="103" t="str">
        <f t="shared" si="43"/>
        <v>0 tubes and 0 shuttles</v>
      </c>
    </row>
    <row r="832" spans="1:16" ht="12.5" x14ac:dyDescent="0.25">
      <c r="A832" s="32">
        <f>'Profit &amp; Loss'!A832</f>
        <v>0</v>
      </c>
      <c r="B832" s="35">
        <f>'Profit &amp; Loss'!B832</f>
        <v>0</v>
      </c>
      <c r="C832" s="36"/>
      <c r="D832" s="33"/>
      <c r="E832" s="33"/>
      <c r="F832" s="101"/>
      <c r="G832" s="102">
        <f t="shared" si="44"/>
        <v>0</v>
      </c>
      <c r="H832" s="103" t="str">
        <f t="shared" si="38"/>
        <v>0 tubes and 0 shuttles</v>
      </c>
      <c r="I832" s="36">
        <f t="shared" si="45"/>
        <v>0</v>
      </c>
      <c r="J832" s="104" t="str">
        <f t="shared" si="39"/>
        <v>0 tubes and 0 shuttles</v>
      </c>
      <c r="K832" s="36">
        <f t="shared" si="46"/>
        <v>0</v>
      </c>
      <c r="L832" s="103" t="str">
        <f t="shared" si="40"/>
        <v>0 tubes and 0 shuttles</v>
      </c>
      <c r="M832" s="105">
        <f t="shared" si="47"/>
        <v>0</v>
      </c>
      <c r="N832" s="103" t="str">
        <f t="shared" si="41"/>
        <v>0 tubes and 0 shuttles</v>
      </c>
      <c r="O832" s="36">
        <f t="shared" si="42"/>
        <v>0</v>
      </c>
      <c r="P832" s="103" t="str">
        <f t="shared" si="43"/>
        <v>0 tubes and 0 shuttles</v>
      </c>
    </row>
    <row r="833" spans="1:16" ht="12.5" x14ac:dyDescent="0.25">
      <c r="A833" s="32">
        <f>'Profit &amp; Loss'!A833</f>
        <v>0</v>
      </c>
      <c r="B833" s="35">
        <f>'Profit &amp; Loss'!B833</f>
        <v>0</v>
      </c>
      <c r="C833" s="36"/>
      <c r="D833" s="33"/>
      <c r="E833" s="33"/>
      <c r="F833" s="101"/>
      <c r="G833" s="102">
        <f t="shared" si="44"/>
        <v>0</v>
      </c>
      <c r="H833" s="103" t="str">
        <f t="shared" si="38"/>
        <v>0 tubes and 0 shuttles</v>
      </c>
      <c r="I833" s="36">
        <f t="shared" si="45"/>
        <v>0</v>
      </c>
      <c r="J833" s="104" t="str">
        <f t="shared" si="39"/>
        <v>0 tubes and 0 shuttles</v>
      </c>
      <c r="K833" s="36">
        <f t="shared" si="46"/>
        <v>0</v>
      </c>
      <c r="L833" s="103" t="str">
        <f t="shared" si="40"/>
        <v>0 tubes and 0 shuttles</v>
      </c>
      <c r="M833" s="105">
        <f t="shared" si="47"/>
        <v>0</v>
      </c>
      <c r="N833" s="103" t="str">
        <f t="shared" si="41"/>
        <v>0 tubes and 0 shuttles</v>
      </c>
      <c r="O833" s="36">
        <f t="shared" si="42"/>
        <v>0</v>
      </c>
      <c r="P833" s="103" t="str">
        <f t="shared" si="43"/>
        <v>0 tubes and 0 shuttles</v>
      </c>
    </row>
    <row r="834" spans="1:16" ht="12.5" x14ac:dyDescent="0.25">
      <c r="A834" s="32">
        <f>'Profit &amp; Loss'!A834</f>
        <v>0</v>
      </c>
      <c r="B834" s="35">
        <f>'Profit &amp; Loss'!B834</f>
        <v>0</v>
      </c>
      <c r="C834" s="36"/>
      <c r="D834" s="33"/>
      <c r="E834" s="33"/>
      <c r="F834" s="101"/>
      <c r="G834" s="102">
        <f t="shared" si="44"/>
        <v>0</v>
      </c>
      <c r="H834" s="103" t="str">
        <f t="shared" si="38"/>
        <v>0 tubes and 0 shuttles</v>
      </c>
      <c r="I834" s="36">
        <f t="shared" si="45"/>
        <v>0</v>
      </c>
      <c r="J834" s="104" t="str">
        <f t="shared" si="39"/>
        <v>0 tubes and 0 shuttles</v>
      </c>
      <c r="K834" s="36">
        <f t="shared" si="46"/>
        <v>0</v>
      </c>
      <c r="L834" s="103" t="str">
        <f t="shared" si="40"/>
        <v>0 tubes and 0 shuttles</v>
      </c>
      <c r="M834" s="105">
        <f t="shared" si="47"/>
        <v>0</v>
      </c>
      <c r="N834" s="103" t="str">
        <f t="shared" si="41"/>
        <v>0 tubes and 0 shuttles</v>
      </c>
      <c r="O834" s="36">
        <f t="shared" si="42"/>
        <v>0</v>
      </c>
      <c r="P834" s="103" t="str">
        <f t="shared" si="43"/>
        <v>0 tubes and 0 shuttles</v>
      </c>
    </row>
    <row r="835" spans="1:16" ht="12.5" x14ac:dyDescent="0.25">
      <c r="A835" s="32">
        <f>'Profit &amp; Loss'!A835</f>
        <v>0</v>
      </c>
      <c r="B835" s="35">
        <f>'Profit &amp; Loss'!B835</f>
        <v>0</v>
      </c>
      <c r="C835" s="36"/>
      <c r="D835" s="33"/>
      <c r="E835" s="33"/>
      <c r="F835" s="101"/>
      <c r="G835" s="102">
        <f t="shared" si="44"/>
        <v>0</v>
      </c>
      <c r="H835" s="103" t="str">
        <f t="shared" si="38"/>
        <v>0 tubes and 0 shuttles</v>
      </c>
      <c r="I835" s="36">
        <f t="shared" si="45"/>
        <v>0</v>
      </c>
      <c r="J835" s="104" t="str">
        <f t="shared" si="39"/>
        <v>0 tubes and 0 shuttles</v>
      </c>
      <c r="K835" s="36">
        <f t="shared" si="46"/>
        <v>0</v>
      </c>
      <c r="L835" s="103" t="str">
        <f t="shared" si="40"/>
        <v>0 tubes and 0 shuttles</v>
      </c>
      <c r="M835" s="105">
        <f t="shared" si="47"/>
        <v>0</v>
      </c>
      <c r="N835" s="103" t="str">
        <f t="shared" si="41"/>
        <v>0 tubes and 0 shuttles</v>
      </c>
      <c r="O835" s="36">
        <f t="shared" si="42"/>
        <v>0</v>
      </c>
      <c r="P835" s="103" t="str">
        <f t="shared" si="43"/>
        <v>0 tubes and 0 shuttles</v>
      </c>
    </row>
    <row r="836" spans="1:16" ht="12.5" x14ac:dyDescent="0.25">
      <c r="A836" s="32">
        <f>'Profit &amp; Loss'!A836</f>
        <v>0</v>
      </c>
      <c r="B836" s="35">
        <f>'Profit &amp; Loss'!B836</f>
        <v>0</v>
      </c>
      <c r="C836" s="36"/>
      <c r="D836" s="33"/>
      <c r="E836" s="33"/>
      <c r="F836" s="101"/>
      <c r="G836" s="102">
        <f t="shared" si="44"/>
        <v>0</v>
      </c>
      <c r="H836" s="103" t="str">
        <f t="shared" si="38"/>
        <v>0 tubes and 0 shuttles</v>
      </c>
      <c r="I836" s="36">
        <f t="shared" si="45"/>
        <v>0</v>
      </c>
      <c r="J836" s="104" t="str">
        <f t="shared" si="39"/>
        <v>0 tubes and 0 shuttles</v>
      </c>
      <c r="K836" s="36">
        <f t="shared" si="46"/>
        <v>0</v>
      </c>
      <c r="L836" s="103" t="str">
        <f t="shared" si="40"/>
        <v>0 tubes and 0 shuttles</v>
      </c>
      <c r="M836" s="105">
        <f t="shared" si="47"/>
        <v>0</v>
      </c>
      <c r="N836" s="103" t="str">
        <f t="shared" si="41"/>
        <v>0 tubes and 0 shuttles</v>
      </c>
      <c r="O836" s="36">
        <f t="shared" si="42"/>
        <v>0</v>
      </c>
      <c r="P836" s="103" t="str">
        <f t="shared" si="43"/>
        <v>0 tubes and 0 shuttles</v>
      </c>
    </row>
    <row r="837" spans="1:16" ht="12.5" x14ac:dyDescent="0.25">
      <c r="A837" s="32">
        <f>'Profit &amp; Loss'!A837</f>
        <v>0</v>
      </c>
      <c r="B837" s="35">
        <f>'Profit &amp; Loss'!B837</f>
        <v>0</v>
      </c>
      <c r="C837" s="36"/>
      <c r="D837" s="33"/>
      <c r="E837" s="33"/>
      <c r="F837" s="101"/>
      <c r="G837" s="102">
        <f t="shared" si="44"/>
        <v>0</v>
      </c>
      <c r="H837" s="103" t="str">
        <f t="shared" si="38"/>
        <v>0 tubes and 0 shuttles</v>
      </c>
      <c r="I837" s="36">
        <f t="shared" si="45"/>
        <v>0</v>
      </c>
      <c r="J837" s="104" t="str">
        <f t="shared" si="39"/>
        <v>0 tubes and 0 shuttles</v>
      </c>
      <c r="K837" s="36">
        <f t="shared" si="46"/>
        <v>0</v>
      </c>
      <c r="L837" s="103" t="str">
        <f t="shared" si="40"/>
        <v>0 tubes and 0 shuttles</v>
      </c>
      <c r="M837" s="105">
        <f t="shared" si="47"/>
        <v>0</v>
      </c>
      <c r="N837" s="103" t="str">
        <f t="shared" si="41"/>
        <v>0 tubes and 0 shuttles</v>
      </c>
      <c r="O837" s="36">
        <f t="shared" si="42"/>
        <v>0</v>
      </c>
      <c r="P837" s="103" t="str">
        <f t="shared" si="43"/>
        <v>0 tubes and 0 shuttles</v>
      </c>
    </row>
    <row r="838" spans="1:16" ht="12.5" x14ac:dyDescent="0.25">
      <c r="A838" s="32">
        <f>'Profit &amp; Loss'!A838</f>
        <v>0</v>
      </c>
      <c r="B838" s="35">
        <f>'Profit &amp; Loss'!B838</f>
        <v>0</v>
      </c>
      <c r="C838" s="36"/>
      <c r="D838" s="33"/>
      <c r="E838" s="33"/>
      <c r="F838" s="101"/>
      <c r="G838" s="102">
        <f t="shared" si="44"/>
        <v>0</v>
      </c>
      <c r="H838" s="103" t="str">
        <f t="shared" si="38"/>
        <v>0 tubes and 0 shuttles</v>
      </c>
      <c r="I838" s="36">
        <f t="shared" si="45"/>
        <v>0</v>
      </c>
      <c r="J838" s="104" t="str">
        <f t="shared" si="39"/>
        <v>0 tubes and 0 shuttles</v>
      </c>
      <c r="K838" s="36">
        <f t="shared" si="46"/>
        <v>0</v>
      </c>
      <c r="L838" s="103" t="str">
        <f t="shared" si="40"/>
        <v>0 tubes and 0 shuttles</v>
      </c>
      <c r="M838" s="105">
        <f t="shared" si="47"/>
        <v>0</v>
      </c>
      <c r="N838" s="103" t="str">
        <f t="shared" si="41"/>
        <v>0 tubes and 0 shuttles</v>
      </c>
      <c r="O838" s="36">
        <f t="shared" si="42"/>
        <v>0</v>
      </c>
      <c r="P838" s="103" t="str">
        <f t="shared" si="43"/>
        <v>0 tubes and 0 shuttles</v>
      </c>
    </row>
    <row r="839" spans="1:16" ht="12.5" x14ac:dyDescent="0.25">
      <c r="A839" s="32">
        <f>'Profit &amp; Loss'!A839</f>
        <v>0</v>
      </c>
      <c r="B839" s="35">
        <f>'Profit &amp; Loss'!B839</f>
        <v>0</v>
      </c>
      <c r="C839" s="36"/>
      <c r="D839" s="33"/>
      <c r="E839" s="33"/>
      <c r="F839" s="101"/>
      <c r="G839" s="102">
        <f t="shared" si="44"/>
        <v>0</v>
      </c>
      <c r="H839" s="103" t="str">
        <f t="shared" si="38"/>
        <v>0 tubes and 0 shuttles</v>
      </c>
      <c r="I839" s="36">
        <f t="shared" si="45"/>
        <v>0</v>
      </c>
      <c r="J839" s="104" t="str">
        <f t="shared" si="39"/>
        <v>0 tubes and 0 shuttles</v>
      </c>
      <c r="K839" s="36">
        <f t="shared" si="46"/>
        <v>0</v>
      </c>
      <c r="L839" s="103" t="str">
        <f t="shared" si="40"/>
        <v>0 tubes and 0 shuttles</v>
      </c>
      <c r="M839" s="105">
        <f t="shared" si="47"/>
        <v>0</v>
      </c>
      <c r="N839" s="103" t="str">
        <f t="shared" si="41"/>
        <v>0 tubes and 0 shuttles</v>
      </c>
      <c r="O839" s="36">
        <f t="shared" si="42"/>
        <v>0</v>
      </c>
      <c r="P839" s="103" t="str">
        <f t="shared" si="43"/>
        <v>0 tubes and 0 shuttles</v>
      </c>
    </row>
    <row r="840" spans="1:16" ht="12.5" x14ac:dyDescent="0.25">
      <c r="A840" s="32">
        <f>'Profit &amp; Loss'!A840</f>
        <v>0</v>
      </c>
      <c r="B840" s="35">
        <f>'Profit &amp; Loss'!B840</f>
        <v>0</v>
      </c>
      <c r="C840" s="36"/>
      <c r="D840" s="33"/>
      <c r="E840" s="33"/>
      <c r="F840" s="101"/>
      <c r="G840" s="102">
        <f t="shared" si="44"/>
        <v>0</v>
      </c>
      <c r="H840" s="103" t="str">
        <f t="shared" si="38"/>
        <v>0 tubes and 0 shuttles</v>
      </c>
      <c r="I840" s="36">
        <f t="shared" si="45"/>
        <v>0</v>
      </c>
      <c r="J840" s="104" t="str">
        <f t="shared" si="39"/>
        <v>0 tubes and 0 shuttles</v>
      </c>
      <c r="K840" s="36">
        <f t="shared" si="46"/>
        <v>0</v>
      </c>
      <c r="L840" s="103" t="str">
        <f t="shared" si="40"/>
        <v>0 tubes and 0 shuttles</v>
      </c>
      <c r="M840" s="105">
        <f t="shared" si="47"/>
        <v>0</v>
      </c>
      <c r="N840" s="103" t="str">
        <f t="shared" si="41"/>
        <v>0 tubes and 0 shuttles</v>
      </c>
      <c r="O840" s="36">
        <f t="shared" si="42"/>
        <v>0</v>
      </c>
      <c r="P840" s="103" t="str">
        <f t="shared" si="43"/>
        <v>0 tubes and 0 shuttles</v>
      </c>
    </row>
    <row r="841" spans="1:16" ht="12.5" x14ac:dyDescent="0.25">
      <c r="A841" s="32">
        <f>'Profit &amp; Loss'!A841</f>
        <v>0</v>
      </c>
      <c r="B841" s="35">
        <f>'Profit &amp; Loss'!B841</f>
        <v>0</v>
      </c>
      <c r="C841" s="36"/>
      <c r="D841" s="33"/>
      <c r="E841" s="33"/>
      <c r="F841" s="101"/>
      <c r="G841" s="102">
        <f t="shared" si="44"/>
        <v>0</v>
      </c>
      <c r="H841" s="103" t="str">
        <f t="shared" si="38"/>
        <v>0 tubes and 0 shuttles</v>
      </c>
      <c r="I841" s="36">
        <f t="shared" si="45"/>
        <v>0</v>
      </c>
      <c r="J841" s="104" t="str">
        <f t="shared" si="39"/>
        <v>0 tubes and 0 shuttles</v>
      </c>
      <c r="K841" s="36">
        <f t="shared" si="46"/>
        <v>0</v>
      </c>
      <c r="L841" s="103" t="str">
        <f t="shared" si="40"/>
        <v>0 tubes and 0 shuttles</v>
      </c>
      <c r="M841" s="105">
        <f t="shared" si="47"/>
        <v>0</v>
      </c>
      <c r="N841" s="103" t="str">
        <f t="shared" si="41"/>
        <v>0 tubes and 0 shuttles</v>
      </c>
      <c r="O841" s="36">
        <f t="shared" si="42"/>
        <v>0</v>
      </c>
      <c r="P841" s="103" t="str">
        <f t="shared" si="43"/>
        <v>0 tubes and 0 shuttles</v>
      </c>
    </row>
    <row r="842" spans="1:16" ht="12.5" x14ac:dyDescent="0.25">
      <c r="A842" s="32">
        <f>'Profit &amp; Loss'!A842</f>
        <v>0</v>
      </c>
      <c r="B842" s="35">
        <f>'Profit &amp; Loss'!B842</f>
        <v>0</v>
      </c>
      <c r="C842" s="36"/>
      <c r="D842" s="33"/>
      <c r="E842" s="33"/>
      <c r="F842" s="101"/>
      <c r="G842" s="102">
        <f t="shared" si="44"/>
        <v>0</v>
      </c>
      <c r="H842" s="103" t="str">
        <f t="shared" si="38"/>
        <v>0 tubes and 0 shuttles</v>
      </c>
      <c r="I842" s="36">
        <f t="shared" si="45"/>
        <v>0</v>
      </c>
      <c r="J842" s="104" t="str">
        <f t="shared" si="39"/>
        <v>0 tubes and 0 shuttles</v>
      </c>
      <c r="K842" s="36">
        <f t="shared" si="46"/>
        <v>0</v>
      </c>
      <c r="L842" s="103" t="str">
        <f t="shared" si="40"/>
        <v>0 tubes and 0 shuttles</v>
      </c>
      <c r="M842" s="105">
        <f t="shared" si="47"/>
        <v>0</v>
      </c>
      <c r="N842" s="103" t="str">
        <f t="shared" si="41"/>
        <v>0 tubes and 0 shuttles</v>
      </c>
      <c r="O842" s="36">
        <f t="shared" si="42"/>
        <v>0</v>
      </c>
      <c r="P842" s="103" t="str">
        <f t="shared" si="43"/>
        <v>0 tubes and 0 shuttles</v>
      </c>
    </row>
    <row r="843" spans="1:16" ht="12.5" x14ac:dyDescent="0.25">
      <c r="A843" s="32">
        <f>'Profit &amp; Loss'!A843</f>
        <v>0</v>
      </c>
      <c r="B843" s="35">
        <f>'Profit &amp; Loss'!B843</f>
        <v>0</v>
      </c>
      <c r="C843" s="36"/>
      <c r="D843" s="33"/>
      <c r="E843" s="33"/>
      <c r="F843" s="101"/>
      <c r="G843" s="102">
        <f t="shared" si="44"/>
        <v>0</v>
      </c>
      <c r="H843" s="103" t="str">
        <f t="shared" si="38"/>
        <v>0 tubes and 0 shuttles</v>
      </c>
      <c r="I843" s="36">
        <f t="shared" si="45"/>
        <v>0</v>
      </c>
      <c r="J843" s="104" t="str">
        <f t="shared" si="39"/>
        <v>0 tubes and 0 shuttles</v>
      </c>
      <c r="K843" s="36">
        <f t="shared" si="46"/>
        <v>0</v>
      </c>
      <c r="L843" s="103" t="str">
        <f t="shared" si="40"/>
        <v>0 tubes and 0 shuttles</v>
      </c>
      <c r="M843" s="105">
        <f t="shared" si="47"/>
        <v>0</v>
      </c>
      <c r="N843" s="103" t="str">
        <f t="shared" si="41"/>
        <v>0 tubes and 0 shuttles</v>
      </c>
      <c r="O843" s="36">
        <f t="shared" si="42"/>
        <v>0</v>
      </c>
      <c r="P843" s="103" t="str">
        <f t="shared" si="43"/>
        <v>0 tubes and 0 shuttles</v>
      </c>
    </row>
    <row r="844" spans="1:16" ht="12.5" x14ac:dyDescent="0.25">
      <c r="A844" s="32">
        <f>'Profit &amp; Loss'!A844</f>
        <v>0</v>
      </c>
      <c r="B844" s="35">
        <f>'Profit &amp; Loss'!B844</f>
        <v>0</v>
      </c>
      <c r="C844" s="36"/>
      <c r="D844" s="33"/>
      <c r="E844" s="33"/>
      <c r="F844" s="101"/>
      <c r="G844" s="102">
        <f t="shared" si="44"/>
        <v>0</v>
      </c>
      <c r="H844" s="103" t="str">
        <f t="shared" si="38"/>
        <v>0 tubes and 0 shuttles</v>
      </c>
      <c r="I844" s="36">
        <f t="shared" si="45"/>
        <v>0</v>
      </c>
      <c r="J844" s="104" t="str">
        <f t="shared" si="39"/>
        <v>0 tubes and 0 shuttles</v>
      </c>
      <c r="K844" s="36">
        <f t="shared" si="46"/>
        <v>0</v>
      </c>
      <c r="L844" s="103" t="str">
        <f t="shared" si="40"/>
        <v>0 tubes and 0 shuttles</v>
      </c>
      <c r="M844" s="105">
        <f t="shared" si="47"/>
        <v>0</v>
      </c>
      <c r="N844" s="103" t="str">
        <f t="shared" si="41"/>
        <v>0 tubes and 0 shuttles</v>
      </c>
      <c r="O844" s="36">
        <f t="shared" si="42"/>
        <v>0</v>
      </c>
      <c r="P844" s="103" t="str">
        <f t="shared" si="43"/>
        <v>0 tubes and 0 shuttles</v>
      </c>
    </row>
    <row r="845" spans="1:16" ht="12.5" x14ac:dyDescent="0.25">
      <c r="A845" s="32">
        <f>'Profit &amp; Loss'!A845</f>
        <v>0</v>
      </c>
      <c r="B845" s="35">
        <f>'Profit &amp; Loss'!B845</f>
        <v>0</v>
      </c>
      <c r="C845" s="36"/>
      <c r="D845" s="33"/>
      <c r="E845" s="33"/>
      <c r="F845" s="101"/>
      <c r="G845" s="102">
        <f t="shared" si="44"/>
        <v>0</v>
      </c>
      <c r="H845" s="103" t="str">
        <f t="shared" si="38"/>
        <v>0 tubes and 0 shuttles</v>
      </c>
      <c r="I845" s="36">
        <f t="shared" si="45"/>
        <v>0</v>
      </c>
      <c r="J845" s="104" t="str">
        <f t="shared" si="39"/>
        <v>0 tubes and 0 shuttles</v>
      </c>
      <c r="K845" s="36">
        <f t="shared" si="46"/>
        <v>0</v>
      </c>
      <c r="L845" s="103" t="str">
        <f t="shared" si="40"/>
        <v>0 tubes and 0 shuttles</v>
      </c>
      <c r="M845" s="105">
        <f t="shared" si="47"/>
        <v>0</v>
      </c>
      <c r="N845" s="103" t="str">
        <f t="shared" si="41"/>
        <v>0 tubes and 0 shuttles</v>
      </c>
      <c r="O845" s="36">
        <f t="shared" si="42"/>
        <v>0</v>
      </c>
      <c r="P845" s="103" t="str">
        <f t="shared" si="43"/>
        <v>0 tubes and 0 shuttles</v>
      </c>
    </row>
    <row r="846" spans="1:16" ht="12.5" x14ac:dyDescent="0.25">
      <c r="A846" s="32">
        <f>'Profit &amp; Loss'!A846</f>
        <v>0</v>
      </c>
      <c r="B846" s="35">
        <f>'Profit &amp; Loss'!B846</f>
        <v>0</v>
      </c>
      <c r="C846" s="36"/>
      <c r="D846" s="33"/>
      <c r="E846" s="33"/>
      <c r="F846" s="101"/>
      <c r="G846" s="102">
        <f t="shared" si="44"/>
        <v>0</v>
      </c>
      <c r="H846" s="103" t="str">
        <f t="shared" si="38"/>
        <v>0 tubes and 0 shuttles</v>
      </c>
      <c r="I846" s="36">
        <f t="shared" si="45"/>
        <v>0</v>
      </c>
      <c r="J846" s="104" t="str">
        <f t="shared" si="39"/>
        <v>0 tubes and 0 shuttles</v>
      </c>
      <c r="K846" s="36">
        <f t="shared" si="46"/>
        <v>0</v>
      </c>
      <c r="L846" s="103" t="str">
        <f t="shared" si="40"/>
        <v>0 tubes and 0 shuttles</v>
      </c>
      <c r="M846" s="105">
        <f t="shared" si="47"/>
        <v>0</v>
      </c>
      <c r="N846" s="103" t="str">
        <f t="shared" si="41"/>
        <v>0 tubes and 0 shuttles</v>
      </c>
      <c r="O846" s="36">
        <f t="shared" si="42"/>
        <v>0</v>
      </c>
      <c r="P846" s="103" t="str">
        <f t="shared" si="43"/>
        <v>0 tubes and 0 shuttles</v>
      </c>
    </row>
    <row r="847" spans="1:16" ht="12.5" x14ac:dyDescent="0.25">
      <c r="A847" s="32">
        <f>'Profit &amp; Loss'!A847</f>
        <v>0</v>
      </c>
      <c r="B847" s="35">
        <f>'Profit &amp; Loss'!B847</f>
        <v>0</v>
      </c>
      <c r="C847" s="36"/>
      <c r="D847" s="33"/>
      <c r="E847" s="33"/>
      <c r="F847" s="101"/>
      <c r="G847" s="102">
        <f t="shared" si="44"/>
        <v>0</v>
      </c>
      <c r="H847" s="103" t="str">
        <f t="shared" si="38"/>
        <v>0 tubes and 0 shuttles</v>
      </c>
      <c r="I847" s="36">
        <f t="shared" si="45"/>
        <v>0</v>
      </c>
      <c r="J847" s="104" t="str">
        <f t="shared" si="39"/>
        <v>0 tubes and 0 shuttles</v>
      </c>
      <c r="K847" s="36">
        <f t="shared" si="46"/>
        <v>0</v>
      </c>
      <c r="L847" s="103" t="str">
        <f t="shared" si="40"/>
        <v>0 tubes and 0 shuttles</v>
      </c>
      <c r="M847" s="105">
        <f t="shared" si="47"/>
        <v>0</v>
      </c>
      <c r="N847" s="103" t="str">
        <f t="shared" si="41"/>
        <v>0 tubes and 0 shuttles</v>
      </c>
      <c r="O847" s="36">
        <f t="shared" si="42"/>
        <v>0</v>
      </c>
      <c r="P847" s="103" t="str">
        <f t="shared" si="43"/>
        <v>0 tubes and 0 shuttles</v>
      </c>
    </row>
    <row r="848" spans="1:16" ht="12.5" x14ac:dyDescent="0.25">
      <c r="A848" s="32">
        <f>'Profit &amp; Loss'!A848</f>
        <v>0</v>
      </c>
      <c r="B848" s="35">
        <f>'Profit &amp; Loss'!B848</f>
        <v>0</v>
      </c>
      <c r="C848" s="36"/>
      <c r="D848" s="33"/>
      <c r="E848" s="33"/>
      <c r="F848" s="101"/>
      <c r="G848" s="102">
        <f t="shared" si="44"/>
        <v>0</v>
      </c>
      <c r="H848" s="103" t="str">
        <f t="shared" si="38"/>
        <v>0 tubes and 0 shuttles</v>
      </c>
      <c r="I848" s="36">
        <f t="shared" si="45"/>
        <v>0</v>
      </c>
      <c r="J848" s="104" t="str">
        <f t="shared" si="39"/>
        <v>0 tubes and 0 shuttles</v>
      </c>
      <c r="K848" s="36">
        <f t="shared" si="46"/>
        <v>0</v>
      </c>
      <c r="L848" s="103" t="str">
        <f t="shared" si="40"/>
        <v>0 tubes and 0 shuttles</v>
      </c>
      <c r="M848" s="105">
        <f t="shared" si="47"/>
        <v>0</v>
      </c>
      <c r="N848" s="103" t="str">
        <f t="shared" si="41"/>
        <v>0 tubes and 0 shuttles</v>
      </c>
      <c r="O848" s="36">
        <f t="shared" si="42"/>
        <v>0</v>
      </c>
      <c r="P848" s="103" t="str">
        <f t="shared" si="43"/>
        <v>0 tubes and 0 shuttles</v>
      </c>
    </row>
    <row r="849" spans="1:16" ht="12.5" x14ac:dyDescent="0.25">
      <c r="A849" s="32">
        <f>'Profit &amp; Loss'!A849</f>
        <v>0</v>
      </c>
      <c r="B849" s="35">
        <f>'Profit &amp; Loss'!B849</f>
        <v>0</v>
      </c>
      <c r="C849" s="36"/>
      <c r="D849" s="33"/>
      <c r="E849" s="33"/>
      <c r="F849" s="101"/>
      <c r="G849" s="102">
        <f t="shared" si="44"/>
        <v>0</v>
      </c>
      <c r="H849" s="103" t="str">
        <f t="shared" si="38"/>
        <v>0 tubes and 0 shuttles</v>
      </c>
      <c r="I849" s="36">
        <f t="shared" si="45"/>
        <v>0</v>
      </c>
      <c r="J849" s="104" t="str">
        <f t="shared" si="39"/>
        <v>0 tubes and 0 shuttles</v>
      </c>
      <c r="K849" s="36">
        <f t="shared" si="46"/>
        <v>0</v>
      </c>
      <c r="L849" s="103" t="str">
        <f t="shared" si="40"/>
        <v>0 tubes and 0 shuttles</v>
      </c>
      <c r="M849" s="105">
        <f t="shared" si="47"/>
        <v>0</v>
      </c>
      <c r="N849" s="103" t="str">
        <f t="shared" si="41"/>
        <v>0 tubes and 0 shuttles</v>
      </c>
      <c r="O849" s="36">
        <f t="shared" si="42"/>
        <v>0</v>
      </c>
      <c r="P849" s="103" t="str">
        <f t="shared" si="43"/>
        <v>0 tubes and 0 shuttles</v>
      </c>
    </row>
    <row r="850" spans="1:16" ht="12.5" x14ac:dyDescent="0.25">
      <c r="A850" s="32">
        <f>'Profit &amp; Loss'!A850</f>
        <v>0</v>
      </c>
      <c r="B850" s="35">
        <f>'Profit &amp; Loss'!B850</f>
        <v>0</v>
      </c>
      <c r="C850" s="36"/>
      <c r="D850" s="33"/>
      <c r="E850" s="33"/>
      <c r="F850" s="101"/>
      <c r="G850" s="102">
        <f t="shared" si="44"/>
        <v>0</v>
      </c>
      <c r="H850" s="103" t="str">
        <f t="shared" si="38"/>
        <v>0 tubes and 0 shuttles</v>
      </c>
      <c r="I850" s="36">
        <f t="shared" si="45"/>
        <v>0</v>
      </c>
      <c r="J850" s="104" t="str">
        <f t="shared" si="39"/>
        <v>0 tubes and 0 shuttles</v>
      </c>
      <c r="K850" s="36">
        <f t="shared" si="46"/>
        <v>0</v>
      </c>
      <c r="L850" s="103" t="str">
        <f t="shared" si="40"/>
        <v>0 tubes and 0 shuttles</v>
      </c>
      <c r="M850" s="105">
        <f t="shared" si="47"/>
        <v>0</v>
      </c>
      <c r="N850" s="103" t="str">
        <f t="shared" si="41"/>
        <v>0 tubes and 0 shuttles</v>
      </c>
      <c r="O850" s="36">
        <f t="shared" si="42"/>
        <v>0</v>
      </c>
      <c r="P850" s="103" t="str">
        <f t="shared" si="43"/>
        <v>0 tubes and 0 shuttles</v>
      </c>
    </row>
    <row r="851" spans="1:16" ht="12.5" x14ac:dyDescent="0.25">
      <c r="A851" s="32">
        <f>'Profit &amp; Loss'!A851</f>
        <v>0</v>
      </c>
      <c r="B851" s="35">
        <f>'Profit &amp; Loss'!B851</f>
        <v>0</v>
      </c>
      <c r="C851" s="36"/>
      <c r="D851" s="33"/>
      <c r="E851" s="33"/>
      <c r="F851" s="101"/>
      <c r="G851" s="102">
        <f t="shared" si="44"/>
        <v>0</v>
      </c>
      <c r="H851" s="103" t="str">
        <f t="shared" si="38"/>
        <v>0 tubes and 0 shuttles</v>
      </c>
      <c r="I851" s="36">
        <f t="shared" si="45"/>
        <v>0</v>
      </c>
      <c r="J851" s="104" t="str">
        <f t="shared" si="39"/>
        <v>0 tubes and 0 shuttles</v>
      </c>
      <c r="K851" s="36">
        <f t="shared" si="46"/>
        <v>0</v>
      </c>
      <c r="L851" s="103" t="str">
        <f t="shared" si="40"/>
        <v>0 tubes and 0 shuttles</v>
      </c>
      <c r="M851" s="105">
        <f t="shared" si="47"/>
        <v>0</v>
      </c>
      <c r="N851" s="103" t="str">
        <f t="shared" si="41"/>
        <v>0 tubes and 0 shuttles</v>
      </c>
      <c r="O851" s="36">
        <f t="shared" si="42"/>
        <v>0</v>
      </c>
      <c r="P851" s="103" t="str">
        <f t="shared" si="43"/>
        <v>0 tubes and 0 shuttles</v>
      </c>
    </row>
    <row r="852" spans="1:16" ht="12.5" x14ac:dyDescent="0.25">
      <c r="A852" s="32">
        <f>'Profit &amp; Loss'!A852</f>
        <v>0</v>
      </c>
      <c r="B852" s="35">
        <f>'Profit &amp; Loss'!B852</f>
        <v>0</v>
      </c>
      <c r="C852" s="36"/>
      <c r="D852" s="33"/>
      <c r="E852" s="33"/>
      <c r="F852" s="101"/>
      <c r="G852" s="102">
        <f t="shared" si="44"/>
        <v>0</v>
      </c>
      <c r="H852" s="103" t="str">
        <f t="shared" si="38"/>
        <v>0 tubes and 0 shuttles</v>
      </c>
      <c r="I852" s="36">
        <f t="shared" si="45"/>
        <v>0</v>
      </c>
      <c r="J852" s="104" t="str">
        <f t="shared" si="39"/>
        <v>0 tubes and 0 shuttles</v>
      </c>
      <c r="K852" s="36">
        <f t="shared" si="46"/>
        <v>0</v>
      </c>
      <c r="L852" s="103" t="str">
        <f t="shared" si="40"/>
        <v>0 tubes and 0 shuttles</v>
      </c>
      <c r="M852" s="105">
        <f t="shared" si="47"/>
        <v>0</v>
      </c>
      <c r="N852" s="103" t="str">
        <f t="shared" si="41"/>
        <v>0 tubes and 0 shuttles</v>
      </c>
      <c r="O852" s="36">
        <f t="shared" si="42"/>
        <v>0</v>
      </c>
      <c r="P852" s="103" t="str">
        <f t="shared" si="43"/>
        <v>0 tubes and 0 shuttles</v>
      </c>
    </row>
    <row r="853" spans="1:16" ht="12.5" x14ac:dyDescent="0.25">
      <c r="A853" s="32">
        <f>'Profit &amp; Loss'!A853</f>
        <v>0</v>
      </c>
      <c r="B853" s="35">
        <f>'Profit &amp; Loss'!B853</f>
        <v>0</v>
      </c>
      <c r="C853" s="36"/>
      <c r="D853" s="33"/>
      <c r="E853" s="33"/>
      <c r="F853" s="101"/>
      <c r="G853" s="102">
        <f t="shared" si="44"/>
        <v>0</v>
      </c>
      <c r="H853" s="103" t="str">
        <f t="shared" si="38"/>
        <v>0 tubes and 0 shuttles</v>
      </c>
      <c r="I853" s="36">
        <f t="shared" si="45"/>
        <v>0</v>
      </c>
      <c r="J853" s="104" t="str">
        <f t="shared" si="39"/>
        <v>0 tubes and 0 shuttles</v>
      </c>
      <c r="K853" s="36">
        <f t="shared" si="46"/>
        <v>0</v>
      </c>
      <c r="L853" s="103" t="str">
        <f t="shared" si="40"/>
        <v>0 tubes and 0 shuttles</v>
      </c>
      <c r="M853" s="105">
        <f t="shared" si="47"/>
        <v>0</v>
      </c>
      <c r="N853" s="103" t="str">
        <f t="shared" si="41"/>
        <v>0 tubes and 0 shuttles</v>
      </c>
      <c r="O853" s="36">
        <f t="shared" si="42"/>
        <v>0</v>
      </c>
      <c r="P853" s="103" t="str">
        <f t="shared" si="43"/>
        <v>0 tubes and 0 shuttles</v>
      </c>
    </row>
    <row r="854" spans="1:16" ht="12.5" x14ac:dyDescent="0.25">
      <c r="A854" s="32">
        <f>'Profit &amp; Loss'!A854</f>
        <v>0</v>
      </c>
      <c r="B854" s="35">
        <f>'Profit &amp; Loss'!B854</f>
        <v>0</v>
      </c>
      <c r="C854" s="36"/>
      <c r="D854" s="33"/>
      <c r="E854" s="33"/>
      <c r="F854" s="101"/>
      <c r="G854" s="102">
        <f t="shared" si="44"/>
        <v>0</v>
      </c>
      <c r="H854" s="103" t="str">
        <f t="shared" si="38"/>
        <v>0 tubes and 0 shuttles</v>
      </c>
      <c r="I854" s="36">
        <f t="shared" si="45"/>
        <v>0</v>
      </c>
      <c r="J854" s="104" t="str">
        <f t="shared" si="39"/>
        <v>0 tubes and 0 shuttles</v>
      </c>
      <c r="K854" s="36">
        <f t="shared" si="46"/>
        <v>0</v>
      </c>
      <c r="L854" s="103" t="str">
        <f t="shared" si="40"/>
        <v>0 tubes and 0 shuttles</v>
      </c>
      <c r="M854" s="105">
        <f t="shared" si="47"/>
        <v>0</v>
      </c>
      <c r="N854" s="103" t="str">
        <f t="shared" si="41"/>
        <v>0 tubes and 0 shuttles</v>
      </c>
      <c r="O854" s="36">
        <f t="shared" si="42"/>
        <v>0</v>
      </c>
      <c r="P854" s="103" t="str">
        <f t="shared" si="43"/>
        <v>0 tubes and 0 shuttles</v>
      </c>
    </row>
    <row r="855" spans="1:16" ht="12.5" x14ac:dyDescent="0.25">
      <c r="A855" s="32">
        <f>'Profit &amp; Loss'!A855</f>
        <v>0</v>
      </c>
      <c r="B855" s="35">
        <f>'Profit &amp; Loss'!B855</f>
        <v>0</v>
      </c>
      <c r="C855" s="36"/>
      <c r="D855" s="33"/>
      <c r="E855" s="33"/>
      <c r="F855" s="101"/>
      <c r="G855" s="102">
        <f t="shared" si="44"/>
        <v>0</v>
      </c>
      <c r="H855" s="103" t="str">
        <f t="shared" si="38"/>
        <v>0 tubes and 0 shuttles</v>
      </c>
      <c r="I855" s="36">
        <f t="shared" si="45"/>
        <v>0</v>
      </c>
      <c r="J855" s="104" t="str">
        <f t="shared" si="39"/>
        <v>0 tubes and 0 shuttles</v>
      </c>
      <c r="K855" s="36">
        <f t="shared" si="46"/>
        <v>0</v>
      </c>
      <c r="L855" s="103" t="str">
        <f t="shared" si="40"/>
        <v>0 tubes and 0 shuttles</v>
      </c>
      <c r="M855" s="105">
        <f t="shared" si="47"/>
        <v>0</v>
      </c>
      <c r="N855" s="103" t="str">
        <f t="shared" si="41"/>
        <v>0 tubes and 0 shuttles</v>
      </c>
      <c r="O855" s="36">
        <f t="shared" si="42"/>
        <v>0</v>
      </c>
      <c r="P855" s="103" t="str">
        <f t="shared" si="43"/>
        <v>0 tubes and 0 shuttles</v>
      </c>
    </row>
    <row r="856" spans="1:16" ht="12.5" x14ac:dyDescent="0.25">
      <c r="A856" s="32">
        <f>'Profit &amp; Loss'!A856</f>
        <v>0</v>
      </c>
      <c r="B856" s="35">
        <f>'Profit &amp; Loss'!B856</f>
        <v>0</v>
      </c>
      <c r="C856" s="36"/>
      <c r="D856" s="33"/>
      <c r="E856" s="33"/>
      <c r="F856" s="101"/>
      <c r="G856" s="102">
        <f t="shared" si="44"/>
        <v>0</v>
      </c>
      <c r="H856" s="103" t="str">
        <f t="shared" si="38"/>
        <v>0 tubes and 0 shuttles</v>
      </c>
      <c r="I856" s="36">
        <f t="shared" si="45"/>
        <v>0</v>
      </c>
      <c r="J856" s="104" t="str">
        <f t="shared" si="39"/>
        <v>0 tubes and 0 shuttles</v>
      </c>
      <c r="K856" s="36">
        <f t="shared" si="46"/>
        <v>0</v>
      </c>
      <c r="L856" s="103" t="str">
        <f t="shared" si="40"/>
        <v>0 tubes and 0 shuttles</v>
      </c>
      <c r="M856" s="105">
        <f t="shared" si="47"/>
        <v>0</v>
      </c>
      <c r="N856" s="103" t="str">
        <f t="shared" si="41"/>
        <v>0 tubes and 0 shuttles</v>
      </c>
      <c r="O856" s="36">
        <f t="shared" si="42"/>
        <v>0</v>
      </c>
      <c r="P856" s="103" t="str">
        <f t="shared" si="43"/>
        <v>0 tubes and 0 shuttles</v>
      </c>
    </row>
    <row r="857" spans="1:16" ht="12.5" x14ac:dyDescent="0.25">
      <c r="A857" s="32">
        <f>'Profit &amp; Loss'!A857</f>
        <v>0</v>
      </c>
      <c r="B857" s="35">
        <f>'Profit &amp; Loss'!B857</f>
        <v>0</v>
      </c>
      <c r="C857" s="36"/>
      <c r="D857" s="33"/>
      <c r="E857" s="33"/>
      <c r="F857" s="101"/>
      <c r="G857" s="102">
        <f t="shared" si="44"/>
        <v>0</v>
      </c>
      <c r="H857" s="103" t="str">
        <f t="shared" si="38"/>
        <v>0 tubes and 0 shuttles</v>
      </c>
      <c r="I857" s="36">
        <f t="shared" si="45"/>
        <v>0</v>
      </c>
      <c r="J857" s="104" t="str">
        <f t="shared" si="39"/>
        <v>0 tubes and 0 shuttles</v>
      </c>
      <c r="K857" s="36">
        <f t="shared" si="46"/>
        <v>0</v>
      </c>
      <c r="L857" s="103" t="str">
        <f t="shared" si="40"/>
        <v>0 tubes and 0 shuttles</v>
      </c>
      <c r="M857" s="105">
        <f t="shared" si="47"/>
        <v>0</v>
      </c>
      <c r="N857" s="103" t="str">
        <f t="shared" si="41"/>
        <v>0 tubes and 0 shuttles</v>
      </c>
      <c r="O857" s="36">
        <f t="shared" si="42"/>
        <v>0</v>
      </c>
      <c r="P857" s="103" t="str">
        <f t="shared" si="43"/>
        <v>0 tubes and 0 shuttles</v>
      </c>
    </row>
    <row r="858" spans="1:16" ht="12.5" x14ac:dyDescent="0.25">
      <c r="A858" s="32">
        <f>'Profit &amp; Loss'!A858</f>
        <v>0</v>
      </c>
      <c r="B858" s="35">
        <f>'Profit &amp; Loss'!B858</f>
        <v>0</v>
      </c>
      <c r="C858" s="36"/>
      <c r="D858" s="33"/>
      <c r="E858" s="33"/>
      <c r="F858" s="101"/>
      <c r="G858" s="102">
        <f t="shared" si="44"/>
        <v>0</v>
      </c>
      <c r="H858" s="103" t="str">
        <f t="shared" si="38"/>
        <v>0 tubes and 0 shuttles</v>
      </c>
      <c r="I858" s="36">
        <f t="shared" si="45"/>
        <v>0</v>
      </c>
      <c r="J858" s="104" t="str">
        <f t="shared" si="39"/>
        <v>0 tubes and 0 shuttles</v>
      </c>
      <c r="K858" s="36">
        <f t="shared" si="46"/>
        <v>0</v>
      </c>
      <c r="L858" s="103" t="str">
        <f t="shared" si="40"/>
        <v>0 tubes and 0 shuttles</v>
      </c>
      <c r="M858" s="105">
        <f t="shared" si="47"/>
        <v>0</v>
      </c>
      <c r="N858" s="103" t="str">
        <f t="shared" si="41"/>
        <v>0 tubes and 0 shuttles</v>
      </c>
      <c r="O858" s="36">
        <f t="shared" si="42"/>
        <v>0</v>
      </c>
      <c r="P858" s="103" t="str">
        <f t="shared" si="43"/>
        <v>0 tubes and 0 shuttles</v>
      </c>
    </row>
    <row r="859" spans="1:16" ht="12.5" x14ac:dyDescent="0.25">
      <c r="A859" s="32">
        <f>'Profit &amp; Loss'!A859</f>
        <v>0</v>
      </c>
      <c r="B859" s="35">
        <f>'Profit &amp; Loss'!B859</f>
        <v>0</v>
      </c>
      <c r="C859" s="36"/>
      <c r="D859" s="33"/>
      <c r="E859" s="33"/>
      <c r="F859" s="101"/>
      <c r="G859" s="102">
        <f t="shared" si="44"/>
        <v>0</v>
      </c>
      <c r="H859" s="103" t="str">
        <f t="shared" si="38"/>
        <v>0 tubes and 0 shuttles</v>
      </c>
      <c r="I859" s="36">
        <f t="shared" si="45"/>
        <v>0</v>
      </c>
      <c r="J859" s="104" t="str">
        <f t="shared" si="39"/>
        <v>0 tubes and 0 shuttles</v>
      </c>
      <c r="K859" s="36">
        <f t="shared" si="46"/>
        <v>0</v>
      </c>
      <c r="L859" s="103" t="str">
        <f t="shared" si="40"/>
        <v>0 tubes and 0 shuttles</v>
      </c>
      <c r="M859" s="105">
        <f t="shared" si="47"/>
        <v>0</v>
      </c>
      <c r="N859" s="103" t="str">
        <f t="shared" si="41"/>
        <v>0 tubes and 0 shuttles</v>
      </c>
      <c r="O859" s="36">
        <f t="shared" si="42"/>
        <v>0</v>
      </c>
      <c r="P859" s="103" t="str">
        <f t="shared" si="43"/>
        <v>0 tubes and 0 shuttles</v>
      </c>
    </row>
    <row r="860" spans="1:16" ht="12.5" x14ac:dyDescent="0.25">
      <c r="A860" s="32">
        <f>'Profit &amp; Loss'!A860</f>
        <v>0</v>
      </c>
      <c r="B860" s="35">
        <f>'Profit &amp; Loss'!B860</f>
        <v>0</v>
      </c>
      <c r="C860" s="36"/>
      <c r="D860" s="33"/>
      <c r="E860" s="33"/>
      <c r="F860" s="101"/>
      <c r="G860" s="102">
        <f t="shared" si="44"/>
        <v>0</v>
      </c>
      <c r="H860" s="103" t="str">
        <f t="shared" si="38"/>
        <v>0 tubes and 0 shuttles</v>
      </c>
      <c r="I860" s="36">
        <f t="shared" si="45"/>
        <v>0</v>
      </c>
      <c r="J860" s="104" t="str">
        <f t="shared" si="39"/>
        <v>0 tubes and 0 shuttles</v>
      </c>
      <c r="K860" s="36">
        <f t="shared" si="46"/>
        <v>0</v>
      </c>
      <c r="L860" s="103" t="str">
        <f t="shared" si="40"/>
        <v>0 tubes and 0 shuttles</v>
      </c>
      <c r="M860" s="105">
        <f t="shared" si="47"/>
        <v>0</v>
      </c>
      <c r="N860" s="103" t="str">
        <f t="shared" si="41"/>
        <v>0 tubes and 0 shuttles</v>
      </c>
      <c r="O860" s="36">
        <f t="shared" si="42"/>
        <v>0</v>
      </c>
      <c r="P860" s="103" t="str">
        <f t="shared" si="43"/>
        <v>0 tubes and 0 shuttles</v>
      </c>
    </row>
    <row r="861" spans="1:16" ht="12.5" x14ac:dyDescent="0.25">
      <c r="A861" s="32">
        <f>'Profit &amp; Loss'!A861</f>
        <v>0</v>
      </c>
      <c r="B861" s="35">
        <f>'Profit &amp; Loss'!B861</f>
        <v>0</v>
      </c>
      <c r="C861" s="36"/>
      <c r="D861" s="33"/>
      <c r="E861" s="33"/>
      <c r="F861" s="101"/>
      <c r="G861" s="102">
        <f t="shared" si="44"/>
        <v>0</v>
      </c>
      <c r="H861" s="103" t="str">
        <f t="shared" si="38"/>
        <v>0 tubes and 0 shuttles</v>
      </c>
      <c r="I861" s="36">
        <f t="shared" si="45"/>
        <v>0</v>
      </c>
      <c r="J861" s="104" t="str">
        <f t="shared" si="39"/>
        <v>0 tubes and 0 shuttles</v>
      </c>
      <c r="K861" s="36">
        <f t="shared" si="46"/>
        <v>0</v>
      </c>
      <c r="L861" s="103" t="str">
        <f t="shared" si="40"/>
        <v>0 tubes and 0 shuttles</v>
      </c>
      <c r="M861" s="105">
        <f t="shared" si="47"/>
        <v>0</v>
      </c>
      <c r="N861" s="103" t="str">
        <f t="shared" si="41"/>
        <v>0 tubes and 0 shuttles</v>
      </c>
      <c r="O861" s="36">
        <f t="shared" si="42"/>
        <v>0</v>
      </c>
      <c r="P861" s="103" t="str">
        <f t="shared" si="43"/>
        <v>0 tubes and 0 shuttles</v>
      </c>
    </row>
    <row r="862" spans="1:16" ht="12.5" x14ac:dyDescent="0.25">
      <c r="A862" s="32">
        <f>'Profit &amp; Loss'!A862</f>
        <v>0</v>
      </c>
      <c r="B862" s="35">
        <f>'Profit &amp; Loss'!B862</f>
        <v>0</v>
      </c>
      <c r="C862" s="36"/>
      <c r="D862" s="33"/>
      <c r="E862" s="33"/>
      <c r="F862" s="101"/>
      <c r="G862" s="102">
        <f t="shared" si="44"/>
        <v>0</v>
      </c>
      <c r="H862" s="103" t="str">
        <f t="shared" si="38"/>
        <v>0 tubes and 0 shuttles</v>
      </c>
      <c r="I862" s="36">
        <f t="shared" si="45"/>
        <v>0</v>
      </c>
      <c r="J862" s="104" t="str">
        <f t="shared" si="39"/>
        <v>0 tubes and 0 shuttles</v>
      </c>
      <c r="K862" s="36">
        <f t="shared" si="46"/>
        <v>0</v>
      </c>
      <c r="L862" s="103" t="str">
        <f t="shared" si="40"/>
        <v>0 tubes and 0 shuttles</v>
      </c>
      <c r="M862" s="105">
        <f t="shared" si="47"/>
        <v>0</v>
      </c>
      <c r="N862" s="103" t="str">
        <f t="shared" si="41"/>
        <v>0 tubes and 0 shuttles</v>
      </c>
      <c r="O862" s="36">
        <f t="shared" si="42"/>
        <v>0</v>
      </c>
      <c r="P862" s="103" t="str">
        <f t="shared" si="43"/>
        <v>0 tubes and 0 shuttles</v>
      </c>
    </row>
    <row r="863" spans="1:16" ht="12.5" x14ac:dyDescent="0.25">
      <c r="A863" s="32">
        <f>'Profit &amp; Loss'!A863</f>
        <v>0</v>
      </c>
      <c r="B863" s="35">
        <f>'Profit &amp; Loss'!B863</f>
        <v>0</v>
      </c>
      <c r="C863" s="36"/>
      <c r="D863" s="33"/>
      <c r="E863" s="33"/>
      <c r="F863" s="101"/>
      <c r="G863" s="102">
        <f t="shared" si="44"/>
        <v>0</v>
      </c>
      <c r="H863" s="103" t="str">
        <f t="shared" si="38"/>
        <v>0 tubes and 0 shuttles</v>
      </c>
      <c r="I863" s="36">
        <f t="shared" si="45"/>
        <v>0</v>
      </c>
      <c r="J863" s="104" t="str">
        <f t="shared" si="39"/>
        <v>0 tubes and 0 shuttles</v>
      </c>
      <c r="K863" s="36">
        <f t="shared" si="46"/>
        <v>0</v>
      </c>
      <c r="L863" s="103" t="str">
        <f t="shared" si="40"/>
        <v>0 tubes and 0 shuttles</v>
      </c>
      <c r="M863" s="105">
        <f t="shared" si="47"/>
        <v>0</v>
      </c>
      <c r="N863" s="103" t="str">
        <f t="shared" si="41"/>
        <v>0 tubes and 0 shuttles</v>
      </c>
      <c r="O863" s="36">
        <f t="shared" si="42"/>
        <v>0</v>
      </c>
      <c r="P863" s="103" t="str">
        <f t="shared" si="43"/>
        <v>0 tubes and 0 shuttles</v>
      </c>
    </row>
    <row r="864" spans="1:16" ht="12.5" x14ac:dyDescent="0.25">
      <c r="A864" s="32">
        <f>'Profit &amp; Loss'!A864</f>
        <v>0</v>
      </c>
      <c r="B864" s="35">
        <f>'Profit &amp; Loss'!B864</f>
        <v>0</v>
      </c>
      <c r="C864" s="36"/>
      <c r="D864" s="33"/>
      <c r="E864" s="33"/>
      <c r="F864" s="101"/>
      <c r="G864" s="102">
        <f t="shared" si="44"/>
        <v>0</v>
      </c>
      <c r="H864" s="103" t="str">
        <f t="shared" si="38"/>
        <v>0 tubes and 0 shuttles</v>
      </c>
      <c r="I864" s="36">
        <f t="shared" si="45"/>
        <v>0</v>
      </c>
      <c r="J864" s="104" t="str">
        <f t="shared" si="39"/>
        <v>0 tubes and 0 shuttles</v>
      </c>
      <c r="K864" s="36">
        <f t="shared" si="46"/>
        <v>0</v>
      </c>
      <c r="L864" s="103" t="str">
        <f t="shared" si="40"/>
        <v>0 tubes and 0 shuttles</v>
      </c>
      <c r="M864" s="105">
        <f t="shared" si="47"/>
        <v>0</v>
      </c>
      <c r="N864" s="103" t="str">
        <f t="shared" si="41"/>
        <v>0 tubes and 0 shuttles</v>
      </c>
      <c r="O864" s="36">
        <f t="shared" si="42"/>
        <v>0</v>
      </c>
      <c r="P864" s="103" t="str">
        <f t="shared" si="43"/>
        <v>0 tubes and 0 shuttles</v>
      </c>
    </row>
    <row r="865" spans="1:16" ht="12.5" x14ac:dyDescent="0.25">
      <c r="A865" s="32">
        <f>'Profit &amp; Loss'!A865</f>
        <v>0</v>
      </c>
      <c r="B865" s="35">
        <f>'Profit &amp; Loss'!B865</f>
        <v>0</v>
      </c>
      <c r="C865" s="36"/>
      <c r="D865" s="33"/>
      <c r="E865" s="33"/>
      <c r="F865" s="101"/>
      <c r="G865" s="102">
        <f t="shared" si="44"/>
        <v>0</v>
      </c>
      <c r="H865" s="103" t="str">
        <f t="shared" si="38"/>
        <v>0 tubes and 0 shuttles</v>
      </c>
      <c r="I865" s="36">
        <f t="shared" si="45"/>
        <v>0</v>
      </c>
      <c r="J865" s="104" t="str">
        <f t="shared" si="39"/>
        <v>0 tubes and 0 shuttles</v>
      </c>
      <c r="K865" s="36">
        <f t="shared" si="46"/>
        <v>0</v>
      </c>
      <c r="L865" s="103" t="str">
        <f t="shared" si="40"/>
        <v>0 tubes and 0 shuttles</v>
      </c>
      <c r="M865" s="105">
        <f t="shared" si="47"/>
        <v>0</v>
      </c>
      <c r="N865" s="103" t="str">
        <f t="shared" si="41"/>
        <v>0 tubes and 0 shuttles</v>
      </c>
      <c r="O865" s="36">
        <f t="shared" si="42"/>
        <v>0</v>
      </c>
      <c r="P865" s="103" t="str">
        <f t="shared" si="43"/>
        <v>0 tubes and 0 shuttles</v>
      </c>
    </row>
    <row r="866" spans="1:16" ht="12.5" x14ac:dyDescent="0.25">
      <c r="A866" s="32">
        <f>'Profit &amp; Loss'!A866</f>
        <v>0</v>
      </c>
      <c r="B866" s="35">
        <f>'Profit &amp; Loss'!B866</f>
        <v>0</v>
      </c>
      <c r="C866" s="36"/>
      <c r="D866" s="33"/>
      <c r="E866" s="33"/>
      <c r="F866" s="101"/>
      <c r="G866" s="102">
        <f t="shared" si="44"/>
        <v>0</v>
      </c>
      <c r="H866" s="103" t="str">
        <f t="shared" si="38"/>
        <v>0 tubes and 0 shuttles</v>
      </c>
      <c r="I866" s="36">
        <f t="shared" si="45"/>
        <v>0</v>
      </c>
      <c r="J866" s="104" t="str">
        <f t="shared" si="39"/>
        <v>0 tubes and 0 shuttles</v>
      </c>
      <c r="K866" s="36">
        <f t="shared" si="46"/>
        <v>0</v>
      </c>
      <c r="L866" s="103" t="str">
        <f t="shared" si="40"/>
        <v>0 tubes and 0 shuttles</v>
      </c>
      <c r="M866" s="105">
        <f t="shared" si="47"/>
        <v>0</v>
      </c>
      <c r="N866" s="103" t="str">
        <f t="shared" si="41"/>
        <v>0 tubes and 0 shuttles</v>
      </c>
      <c r="O866" s="36">
        <f t="shared" si="42"/>
        <v>0</v>
      </c>
      <c r="P866" s="103" t="str">
        <f t="shared" si="43"/>
        <v>0 tubes and 0 shuttles</v>
      </c>
    </row>
    <row r="867" spans="1:16" ht="12.5" x14ac:dyDescent="0.25">
      <c r="A867" s="32">
        <f>'Profit &amp; Loss'!A867</f>
        <v>0</v>
      </c>
      <c r="B867" s="35">
        <f>'Profit &amp; Loss'!B867</f>
        <v>0</v>
      </c>
      <c r="C867" s="36"/>
      <c r="D867" s="33"/>
      <c r="E867" s="33"/>
      <c r="F867" s="101"/>
      <c r="G867" s="102">
        <f t="shared" si="44"/>
        <v>0</v>
      </c>
      <c r="H867" s="103" t="str">
        <f t="shared" si="38"/>
        <v>0 tubes and 0 shuttles</v>
      </c>
      <c r="I867" s="36">
        <f t="shared" si="45"/>
        <v>0</v>
      </c>
      <c r="J867" s="104" t="str">
        <f t="shared" si="39"/>
        <v>0 tubes and 0 shuttles</v>
      </c>
      <c r="K867" s="36">
        <f t="shared" si="46"/>
        <v>0</v>
      </c>
      <c r="L867" s="103" t="str">
        <f t="shared" si="40"/>
        <v>0 tubes and 0 shuttles</v>
      </c>
      <c r="M867" s="105">
        <f t="shared" si="47"/>
        <v>0</v>
      </c>
      <c r="N867" s="103" t="str">
        <f t="shared" si="41"/>
        <v>0 tubes and 0 shuttles</v>
      </c>
      <c r="O867" s="36">
        <f t="shared" si="42"/>
        <v>0</v>
      </c>
      <c r="P867" s="103" t="str">
        <f t="shared" si="43"/>
        <v>0 tubes and 0 shuttles</v>
      </c>
    </row>
    <row r="868" spans="1:16" ht="12.5" x14ac:dyDescent="0.25">
      <c r="A868" s="32">
        <f>'Profit &amp; Loss'!A868</f>
        <v>0</v>
      </c>
      <c r="B868" s="35">
        <f>'Profit &amp; Loss'!B868</f>
        <v>0</v>
      </c>
      <c r="C868" s="36"/>
      <c r="D868" s="33"/>
      <c r="E868" s="33"/>
      <c r="F868" s="101"/>
      <c r="G868" s="102">
        <f t="shared" si="44"/>
        <v>0</v>
      </c>
      <c r="H868" s="103" t="str">
        <f t="shared" si="38"/>
        <v>0 tubes and 0 shuttles</v>
      </c>
      <c r="I868" s="36">
        <f t="shared" si="45"/>
        <v>0</v>
      </c>
      <c r="J868" s="104" t="str">
        <f t="shared" si="39"/>
        <v>0 tubes and 0 shuttles</v>
      </c>
      <c r="K868" s="36">
        <f t="shared" si="46"/>
        <v>0</v>
      </c>
      <c r="L868" s="103" t="str">
        <f t="shared" si="40"/>
        <v>0 tubes and 0 shuttles</v>
      </c>
      <c r="M868" s="105">
        <f t="shared" si="47"/>
        <v>0</v>
      </c>
      <c r="N868" s="103" t="str">
        <f t="shared" si="41"/>
        <v>0 tubes and 0 shuttles</v>
      </c>
      <c r="O868" s="36">
        <f t="shared" si="42"/>
        <v>0</v>
      </c>
      <c r="P868" s="103" t="str">
        <f t="shared" si="43"/>
        <v>0 tubes and 0 shuttles</v>
      </c>
    </row>
    <row r="869" spans="1:16" ht="12.5" x14ac:dyDescent="0.25">
      <c r="A869" s="32">
        <f>'Profit &amp; Loss'!A869</f>
        <v>0</v>
      </c>
      <c r="B869" s="35">
        <f>'Profit &amp; Loss'!B869</f>
        <v>0</v>
      </c>
      <c r="C869" s="36"/>
      <c r="D869" s="33"/>
      <c r="E869" s="33"/>
      <c r="F869" s="101"/>
      <c r="G869" s="102">
        <f t="shared" si="44"/>
        <v>0</v>
      </c>
      <c r="H869" s="103" t="str">
        <f t="shared" si="38"/>
        <v>0 tubes and 0 shuttles</v>
      </c>
      <c r="I869" s="36">
        <f t="shared" si="45"/>
        <v>0</v>
      </c>
      <c r="J869" s="104" t="str">
        <f t="shared" si="39"/>
        <v>0 tubes and 0 shuttles</v>
      </c>
      <c r="K869" s="36">
        <f t="shared" si="46"/>
        <v>0</v>
      </c>
      <c r="L869" s="103" t="str">
        <f t="shared" si="40"/>
        <v>0 tubes and 0 shuttles</v>
      </c>
      <c r="M869" s="105">
        <f t="shared" si="47"/>
        <v>0</v>
      </c>
      <c r="N869" s="103" t="str">
        <f t="shared" si="41"/>
        <v>0 tubes and 0 shuttles</v>
      </c>
      <c r="O869" s="36">
        <f t="shared" si="42"/>
        <v>0</v>
      </c>
      <c r="P869" s="103" t="str">
        <f t="shared" si="43"/>
        <v>0 tubes and 0 shuttles</v>
      </c>
    </row>
    <row r="870" spans="1:16" ht="12.5" x14ac:dyDescent="0.25">
      <c r="A870" s="32">
        <f>'Profit &amp; Loss'!A870</f>
        <v>0</v>
      </c>
      <c r="B870" s="35">
        <f>'Profit &amp; Loss'!B870</f>
        <v>0</v>
      </c>
      <c r="C870" s="36"/>
      <c r="D870" s="33"/>
      <c r="E870" s="33"/>
      <c r="F870" s="101"/>
      <c r="G870" s="102">
        <f t="shared" si="44"/>
        <v>0</v>
      </c>
      <c r="H870" s="103" t="str">
        <f t="shared" si="38"/>
        <v>0 tubes and 0 shuttles</v>
      </c>
      <c r="I870" s="36">
        <f t="shared" si="45"/>
        <v>0</v>
      </c>
      <c r="J870" s="104" t="str">
        <f t="shared" si="39"/>
        <v>0 tubes and 0 shuttles</v>
      </c>
      <c r="K870" s="36">
        <f t="shared" si="46"/>
        <v>0</v>
      </c>
      <c r="L870" s="103" t="str">
        <f t="shared" si="40"/>
        <v>0 tubes and 0 shuttles</v>
      </c>
      <c r="M870" s="105">
        <f t="shared" si="47"/>
        <v>0</v>
      </c>
      <c r="N870" s="103" t="str">
        <f t="shared" si="41"/>
        <v>0 tubes and 0 shuttles</v>
      </c>
      <c r="O870" s="36">
        <f t="shared" si="42"/>
        <v>0</v>
      </c>
      <c r="P870" s="103" t="str">
        <f t="shared" si="43"/>
        <v>0 tubes and 0 shuttles</v>
      </c>
    </row>
    <row r="871" spans="1:16" ht="12.5" x14ac:dyDescent="0.25">
      <c r="A871" s="32">
        <f>'Profit &amp; Loss'!A871</f>
        <v>0</v>
      </c>
      <c r="B871" s="35">
        <f>'Profit &amp; Loss'!B871</f>
        <v>0</v>
      </c>
      <c r="C871" s="36"/>
      <c r="D871" s="33"/>
      <c r="E871" s="33"/>
      <c r="F871" s="101"/>
      <c r="G871" s="102">
        <f t="shared" si="44"/>
        <v>0</v>
      </c>
      <c r="H871" s="103" t="str">
        <f t="shared" si="38"/>
        <v>0 tubes and 0 shuttles</v>
      </c>
      <c r="I871" s="36">
        <f t="shared" si="45"/>
        <v>0</v>
      </c>
      <c r="J871" s="104" t="str">
        <f t="shared" si="39"/>
        <v>0 tubes and 0 shuttles</v>
      </c>
      <c r="K871" s="36">
        <f t="shared" si="46"/>
        <v>0</v>
      </c>
      <c r="L871" s="103" t="str">
        <f t="shared" si="40"/>
        <v>0 tubes and 0 shuttles</v>
      </c>
      <c r="M871" s="105">
        <f t="shared" si="47"/>
        <v>0</v>
      </c>
      <c r="N871" s="103" t="str">
        <f t="shared" si="41"/>
        <v>0 tubes and 0 shuttles</v>
      </c>
      <c r="O871" s="36">
        <f t="shared" si="42"/>
        <v>0</v>
      </c>
      <c r="P871" s="103" t="str">
        <f t="shared" si="43"/>
        <v>0 tubes and 0 shuttles</v>
      </c>
    </row>
    <row r="872" spans="1:16" ht="12.5" x14ac:dyDescent="0.25">
      <c r="A872" s="32">
        <f>'Profit &amp; Loss'!A872</f>
        <v>0</v>
      </c>
      <c r="B872" s="35">
        <f>'Profit &amp; Loss'!B872</f>
        <v>0</v>
      </c>
      <c r="C872" s="36"/>
      <c r="D872" s="33"/>
      <c r="E872" s="33"/>
      <c r="F872" s="101"/>
      <c r="G872" s="102">
        <f t="shared" si="44"/>
        <v>0</v>
      </c>
      <c r="H872" s="103" t="str">
        <f t="shared" si="38"/>
        <v>0 tubes and 0 shuttles</v>
      </c>
      <c r="I872" s="36">
        <f t="shared" si="45"/>
        <v>0</v>
      </c>
      <c r="J872" s="104" t="str">
        <f t="shared" si="39"/>
        <v>0 tubes and 0 shuttles</v>
      </c>
      <c r="K872" s="36">
        <f t="shared" si="46"/>
        <v>0</v>
      </c>
      <c r="L872" s="103" t="str">
        <f t="shared" si="40"/>
        <v>0 tubes and 0 shuttles</v>
      </c>
      <c r="M872" s="105">
        <f t="shared" si="47"/>
        <v>0</v>
      </c>
      <c r="N872" s="103" t="str">
        <f t="shared" si="41"/>
        <v>0 tubes and 0 shuttles</v>
      </c>
      <c r="O872" s="36">
        <f t="shared" si="42"/>
        <v>0</v>
      </c>
      <c r="P872" s="103" t="str">
        <f t="shared" si="43"/>
        <v>0 tubes and 0 shuttles</v>
      </c>
    </row>
    <row r="873" spans="1:16" ht="12.5" x14ac:dyDescent="0.25">
      <c r="A873" s="32">
        <f>'Profit &amp; Loss'!A873</f>
        <v>0</v>
      </c>
      <c r="B873" s="35">
        <f>'Profit &amp; Loss'!B873</f>
        <v>0</v>
      </c>
      <c r="C873" s="36"/>
      <c r="D873" s="33"/>
      <c r="E873" s="33"/>
      <c r="F873" s="101"/>
      <c r="G873" s="102">
        <f t="shared" si="44"/>
        <v>0</v>
      </c>
      <c r="H873" s="103" t="str">
        <f t="shared" si="38"/>
        <v>0 tubes and 0 shuttles</v>
      </c>
      <c r="I873" s="36">
        <f t="shared" si="45"/>
        <v>0</v>
      </c>
      <c r="J873" s="104" t="str">
        <f t="shared" si="39"/>
        <v>0 tubes and 0 shuttles</v>
      </c>
      <c r="K873" s="36">
        <f t="shared" si="46"/>
        <v>0</v>
      </c>
      <c r="L873" s="103" t="str">
        <f t="shared" si="40"/>
        <v>0 tubes and 0 shuttles</v>
      </c>
      <c r="M873" s="105">
        <f t="shared" si="47"/>
        <v>0</v>
      </c>
      <c r="N873" s="103" t="str">
        <f t="shared" si="41"/>
        <v>0 tubes and 0 shuttles</v>
      </c>
      <c r="O873" s="36">
        <f t="shared" si="42"/>
        <v>0</v>
      </c>
      <c r="P873" s="103" t="str">
        <f t="shared" si="43"/>
        <v>0 tubes and 0 shuttles</v>
      </c>
    </row>
    <row r="874" spans="1:16" ht="12.5" x14ac:dyDescent="0.25">
      <c r="A874" s="32">
        <f>'Profit &amp; Loss'!A874</f>
        <v>0</v>
      </c>
      <c r="B874" s="35">
        <f>'Profit &amp; Loss'!B874</f>
        <v>0</v>
      </c>
      <c r="C874" s="36"/>
      <c r="D874" s="33"/>
      <c r="E874" s="33"/>
      <c r="F874" s="101"/>
      <c r="G874" s="102">
        <f t="shared" si="44"/>
        <v>0</v>
      </c>
      <c r="H874" s="103" t="str">
        <f t="shared" si="38"/>
        <v>0 tubes and 0 shuttles</v>
      </c>
      <c r="I874" s="36">
        <f t="shared" si="45"/>
        <v>0</v>
      </c>
      <c r="J874" s="104" t="str">
        <f t="shared" si="39"/>
        <v>0 tubes and 0 shuttles</v>
      </c>
      <c r="K874" s="36">
        <f t="shared" si="46"/>
        <v>0</v>
      </c>
      <c r="L874" s="103" t="str">
        <f t="shared" si="40"/>
        <v>0 tubes and 0 shuttles</v>
      </c>
      <c r="M874" s="105">
        <f t="shared" si="47"/>
        <v>0</v>
      </c>
      <c r="N874" s="103" t="str">
        <f t="shared" si="41"/>
        <v>0 tubes and 0 shuttles</v>
      </c>
      <c r="O874" s="36">
        <f t="shared" si="42"/>
        <v>0</v>
      </c>
      <c r="P874" s="103" t="str">
        <f t="shared" si="43"/>
        <v>0 tubes and 0 shuttles</v>
      </c>
    </row>
    <row r="875" spans="1:16" ht="12.5" x14ac:dyDescent="0.25">
      <c r="A875" s="32">
        <f>'Profit &amp; Loss'!A875</f>
        <v>0</v>
      </c>
      <c r="B875" s="35">
        <f>'Profit &amp; Loss'!B875</f>
        <v>0</v>
      </c>
      <c r="C875" s="36"/>
      <c r="D875" s="33"/>
      <c r="E875" s="33"/>
      <c r="F875" s="101"/>
      <c r="G875" s="102">
        <f t="shared" si="44"/>
        <v>0</v>
      </c>
      <c r="H875" s="103" t="str">
        <f t="shared" si="38"/>
        <v>0 tubes and 0 shuttles</v>
      </c>
      <c r="I875" s="36">
        <f t="shared" si="45"/>
        <v>0</v>
      </c>
      <c r="J875" s="104" t="str">
        <f t="shared" si="39"/>
        <v>0 tubes and 0 shuttles</v>
      </c>
      <c r="K875" s="36">
        <f t="shared" si="46"/>
        <v>0</v>
      </c>
      <c r="L875" s="103" t="str">
        <f t="shared" si="40"/>
        <v>0 tubes and 0 shuttles</v>
      </c>
      <c r="M875" s="105">
        <f t="shared" si="47"/>
        <v>0</v>
      </c>
      <c r="N875" s="103" t="str">
        <f t="shared" si="41"/>
        <v>0 tubes and 0 shuttles</v>
      </c>
      <c r="O875" s="36">
        <f t="shared" si="42"/>
        <v>0</v>
      </c>
      <c r="P875" s="103" t="str">
        <f t="shared" si="43"/>
        <v>0 tubes and 0 shuttles</v>
      </c>
    </row>
    <row r="876" spans="1:16" ht="12.5" x14ac:dyDescent="0.25">
      <c r="A876" s="32">
        <f>'Profit &amp; Loss'!A876</f>
        <v>0</v>
      </c>
      <c r="B876" s="35">
        <f>'Profit &amp; Loss'!B876</f>
        <v>0</v>
      </c>
      <c r="C876" s="36"/>
      <c r="D876" s="33"/>
      <c r="E876" s="33"/>
      <c r="F876" s="101"/>
      <c r="G876" s="102">
        <f t="shared" si="44"/>
        <v>0</v>
      </c>
      <c r="H876" s="103" t="str">
        <f t="shared" si="38"/>
        <v>0 tubes and 0 shuttles</v>
      </c>
      <c r="I876" s="36">
        <f t="shared" si="45"/>
        <v>0</v>
      </c>
      <c r="J876" s="104" t="str">
        <f t="shared" si="39"/>
        <v>0 tubes and 0 shuttles</v>
      </c>
      <c r="K876" s="36">
        <f t="shared" si="46"/>
        <v>0</v>
      </c>
      <c r="L876" s="103" t="str">
        <f t="shared" si="40"/>
        <v>0 tubes and 0 shuttles</v>
      </c>
      <c r="M876" s="105">
        <f t="shared" si="47"/>
        <v>0</v>
      </c>
      <c r="N876" s="103" t="str">
        <f t="shared" si="41"/>
        <v>0 tubes and 0 shuttles</v>
      </c>
      <c r="O876" s="36">
        <f t="shared" si="42"/>
        <v>0</v>
      </c>
      <c r="P876" s="103" t="str">
        <f t="shared" si="43"/>
        <v>0 tubes and 0 shuttles</v>
      </c>
    </row>
    <row r="877" spans="1:16" ht="12.5" x14ac:dyDescent="0.25">
      <c r="A877" s="32">
        <f>'Profit &amp; Loss'!A877</f>
        <v>0</v>
      </c>
      <c r="B877" s="35">
        <f>'Profit &amp; Loss'!B877</f>
        <v>0</v>
      </c>
      <c r="C877" s="36"/>
      <c r="D877" s="33"/>
      <c r="E877" s="33"/>
      <c r="F877" s="101"/>
      <c r="G877" s="102">
        <f t="shared" si="44"/>
        <v>0</v>
      </c>
      <c r="H877" s="103" t="str">
        <f t="shared" si="38"/>
        <v>0 tubes and 0 shuttles</v>
      </c>
      <c r="I877" s="36">
        <f t="shared" si="45"/>
        <v>0</v>
      </c>
      <c r="J877" s="104" t="str">
        <f t="shared" si="39"/>
        <v>0 tubes and 0 shuttles</v>
      </c>
      <c r="K877" s="36">
        <f t="shared" si="46"/>
        <v>0</v>
      </c>
      <c r="L877" s="103" t="str">
        <f t="shared" si="40"/>
        <v>0 tubes and 0 shuttles</v>
      </c>
      <c r="M877" s="105">
        <f t="shared" si="47"/>
        <v>0</v>
      </c>
      <c r="N877" s="103" t="str">
        <f t="shared" si="41"/>
        <v>0 tubes and 0 shuttles</v>
      </c>
      <c r="O877" s="36">
        <f t="shared" si="42"/>
        <v>0</v>
      </c>
      <c r="P877" s="103" t="str">
        <f t="shared" si="43"/>
        <v>0 tubes and 0 shuttles</v>
      </c>
    </row>
    <row r="878" spans="1:16" ht="12.5" x14ac:dyDescent="0.25">
      <c r="A878" s="32">
        <f>'Profit &amp; Loss'!A878</f>
        <v>0</v>
      </c>
      <c r="B878" s="35">
        <f>'Profit &amp; Loss'!B878</f>
        <v>0</v>
      </c>
      <c r="C878" s="36"/>
      <c r="D878" s="33"/>
      <c r="E878" s="33"/>
      <c r="F878" s="101"/>
      <c r="G878" s="102">
        <f t="shared" si="44"/>
        <v>0</v>
      </c>
      <c r="H878" s="103" t="str">
        <f t="shared" si="38"/>
        <v>0 tubes and 0 shuttles</v>
      </c>
      <c r="I878" s="36">
        <f t="shared" si="45"/>
        <v>0</v>
      </c>
      <c r="J878" s="104" t="str">
        <f t="shared" si="39"/>
        <v>0 tubes and 0 shuttles</v>
      </c>
      <c r="K878" s="36">
        <f t="shared" si="46"/>
        <v>0</v>
      </c>
      <c r="L878" s="103" t="str">
        <f t="shared" si="40"/>
        <v>0 tubes and 0 shuttles</v>
      </c>
      <c r="M878" s="105">
        <f t="shared" si="47"/>
        <v>0</v>
      </c>
      <c r="N878" s="103" t="str">
        <f t="shared" si="41"/>
        <v>0 tubes and 0 shuttles</v>
      </c>
      <c r="O878" s="36">
        <f t="shared" si="42"/>
        <v>0</v>
      </c>
      <c r="P878" s="103" t="str">
        <f t="shared" si="43"/>
        <v>0 tubes and 0 shuttles</v>
      </c>
    </row>
    <row r="879" spans="1:16" ht="12.5" x14ac:dyDescent="0.25">
      <c r="A879" s="32">
        <f>'Profit &amp; Loss'!A879</f>
        <v>0</v>
      </c>
      <c r="B879" s="35">
        <f>'Profit &amp; Loss'!B879</f>
        <v>0</v>
      </c>
      <c r="C879" s="36"/>
      <c r="D879" s="33"/>
      <c r="E879" s="33"/>
      <c r="F879" s="101"/>
      <c r="G879" s="102">
        <f t="shared" si="44"/>
        <v>0</v>
      </c>
      <c r="H879" s="103" t="str">
        <f t="shared" si="38"/>
        <v>0 tubes and 0 shuttles</v>
      </c>
      <c r="I879" s="36">
        <f t="shared" si="45"/>
        <v>0</v>
      </c>
      <c r="J879" s="104" t="str">
        <f t="shared" si="39"/>
        <v>0 tubes and 0 shuttles</v>
      </c>
      <c r="K879" s="36">
        <f t="shared" si="46"/>
        <v>0</v>
      </c>
      <c r="L879" s="103" t="str">
        <f t="shared" si="40"/>
        <v>0 tubes and 0 shuttles</v>
      </c>
      <c r="M879" s="105">
        <f t="shared" si="47"/>
        <v>0</v>
      </c>
      <c r="N879" s="103" t="str">
        <f t="shared" si="41"/>
        <v>0 tubes and 0 shuttles</v>
      </c>
      <c r="O879" s="36">
        <f t="shared" si="42"/>
        <v>0</v>
      </c>
      <c r="P879" s="103" t="str">
        <f t="shared" si="43"/>
        <v>0 tubes and 0 shuttles</v>
      </c>
    </row>
    <row r="880" spans="1:16" ht="12.5" x14ac:dyDescent="0.25">
      <c r="A880" s="32">
        <f>'Profit &amp; Loss'!A880</f>
        <v>0</v>
      </c>
      <c r="B880" s="35">
        <f>'Profit &amp; Loss'!B880</f>
        <v>0</v>
      </c>
      <c r="C880" s="36"/>
      <c r="D880" s="33"/>
      <c r="E880" s="33"/>
      <c r="F880" s="101"/>
      <c r="G880" s="102">
        <f t="shared" si="44"/>
        <v>0</v>
      </c>
      <c r="H880" s="103" t="str">
        <f t="shared" si="38"/>
        <v>0 tubes and 0 shuttles</v>
      </c>
      <c r="I880" s="36">
        <f t="shared" si="45"/>
        <v>0</v>
      </c>
      <c r="J880" s="104" t="str">
        <f t="shared" si="39"/>
        <v>0 tubes and 0 shuttles</v>
      </c>
      <c r="K880" s="36">
        <f t="shared" si="46"/>
        <v>0</v>
      </c>
      <c r="L880" s="103" t="str">
        <f t="shared" si="40"/>
        <v>0 tubes and 0 shuttles</v>
      </c>
      <c r="M880" s="105">
        <f t="shared" si="47"/>
        <v>0</v>
      </c>
      <c r="N880" s="103" t="str">
        <f t="shared" si="41"/>
        <v>0 tubes and 0 shuttles</v>
      </c>
      <c r="O880" s="36">
        <f t="shared" si="42"/>
        <v>0</v>
      </c>
      <c r="P880" s="103" t="str">
        <f t="shared" si="43"/>
        <v>0 tubes and 0 shuttles</v>
      </c>
    </row>
    <row r="881" spans="1:16" ht="12.5" x14ac:dyDescent="0.25">
      <c r="A881" s="32">
        <f>'Profit &amp; Loss'!A881</f>
        <v>0</v>
      </c>
      <c r="B881" s="35">
        <f>'Profit &amp; Loss'!B881</f>
        <v>0</v>
      </c>
      <c r="C881" s="36"/>
      <c r="D881" s="33"/>
      <c r="E881" s="33"/>
      <c r="F881" s="101"/>
      <c r="G881" s="102">
        <f t="shared" si="44"/>
        <v>0</v>
      </c>
      <c r="H881" s="103" t="str">
        <f t="shared" si="38"/>
        <v>0 tubes and 0 shuttles</v>
      </c>
      <c r="I881" s="36">
        <f t="shared" si="45"/>
        <v>0</v>
      </c>
      <c r="J881" s="104" t="str">
        <f t="shared" si="39"/>
        <v>0 tubes and 0 shuttles</v>
      </c>
      <c r="K881" s="36">
        <f t="shared" si="46"/>
        <v>0</v>
      </c>
      <c r="L881" s="103" t="str">
        <f t="shared" si="40"/>
        <v>0 tubes and 0 shuttles</v>
      </c>
      <c r="M881" s="105">
        <f t="shared" si="47"/>
        <v>0</v>
      </c>
      <c r="N881" s="103" t="str">
        <f t="shared" si="41"/>
        <v>0 tubes and 0 shuttles</v>
      </c>
      <c r="O881" s="36">
        <f t="shared" si="42"/>
        <v>0</v>
      </c>
      <c r="P881" s="103" t="str">
        <f t="shared" si="43"/>
        <v>0 tubes and 0 shuttles</v>
      </c>
    </row>
    <row r="882" spans="1:16" ht="12.5" x14ac:dyDescent="0.25">
      <c r="A882" s="32">
        <f>'Profit &amp; Loss'!A882</f>
        <v>0</v>
      </c>
      <c r="B882" s="35">
        <f>'Profit &amp; Loss'!B882</f>
        <v>0</v>
      </c>
      <c r="C882" s="36"/>
      <c r="D882" s="33"/>
      <c r="E882" s="33"/>
      <c r="F882" s="101"/>
      <c r="G882" s="102">
        <f t="shared" si="44"/>
        <v>0</v>
      </c>
      <c r="H882" s="103" t="str">
        <f t="shared" si="38"/>
        <v>0 tubes and 0 shuttles</v>
      </c>
      <c r="I882" s="36">
        <f t="shared" si="45"/>
        <v>0</v>
      </c>
      <c r="J882" s="104" t="str">
        <f t="shared" si="39"/>
        <v>0 tubes and 0 shuttles</v>
      </c>
      <c r="K882" s="36">
        <f t="shared" si="46"/>
        <v>0</v>
      </c>
      <c r="L882" s="103" t="str">
        <f t="shared" si="40"/>
        <v>0 tubes and 0 shuttles</v>
      </c>
      <c r="M882" s="105">
        <f t="shared" si="47"/>
        <v>0</v>
      </c>
      <c r="N882" s="103" t="str">
        <f t="shared" si="41"/>
        <v>0 tubes and 0 shuttles</v>
      </c>
      <c r="O882" s="36">
        <f t="shared" si="42"/>
        <v>0</v>
      </c>
      <c r="P882" s="103" t="str">
        <f t="shared" si="43"/>
        <v>0 tubes and 0 shuttles</v>
      </c>
    </row>
    <row r="883" spans="1:16" ht="12.5" x14ac:dyDescent="0.25">
      <c r="A883" s="32">
        <f>'Profit &amp; Loss'!A883</f>
        <v>0</v>
      </c>
      <c r="B883" s="35">
        <f>'Profit &amp; Loss'!B883</f>
        <v>0</v>
      </c>
      <c r="C883" s="36"/>
      <c r="D883" s="33"/>
      <c r="E883" s="33"/>
      <c r="F883" s="101"/>
      <c r="G883" s="102">
        <f t="shared" si="44"/>
        <v>0</v>
      </c>
      <c r="H883" s="103" t="str">
        <f t="shared" si="38"/>
        <v>0 tubes and 0 shuttles</v>
      </c>
      <c r="I883" s="36">
        <f t="shared" si="45"/>
        <v>0</v>
      </c>
      <c r="J883" s="104" t="str">
        <f t="shared" si="39"/>
        <v>0 tubes and 0 shuttles</v>
      </c>
      <c r="K883" s="36">
        <f t="shared" si="46"/>
        <v>0</v>
      </c>
      <c r="L883" s="103" t="str">
        <f t="shared" si="40"/>
        <v>0 tubes and 0 shuttles</v>
      </c>
      <c r="M883" s="105">
        <f t="shared" si="47"/>
        <v>0</v>
      </c>
      <c r="N883" s="103" t="str">
        <f t="shared" si="41"/>
        <v>0 tubes and 0 shuttles</v>
      </c>
      <c r="O883" s="36">
        <f t="shared" si="42"/>
        <v>0</v>
      </c>
      <c r="P883" s="103" t="str">
        <f t="shared" si="43"/>
        <v>0 tubes and 0 shuttles</v>
      </c>
    </row>
    <row r="884" spans="1:16" ht="12.5" x14ac:dyDescent="0.25">
      <c r="A884" s="32">
        <f>'Profit &amp; Loss'!A884</f>
        <v>0</v>
      </c>
      <c r="B884" s="35">
        <f>'Profit &amp; Loss'!B884</f>
        <v>0</v>
      </c>
      <c r="C884" s="36"/>
      <c r="D884" s="33"/>
      <c r="E884" s="33"/>
      <c r="F884" s="101"/>
      <c r="G884" s="102">
        <f t="shared" si="44"/>
        <v>0</v>
      </c>
      <c r="H884" s="103" t="str">
        <f t="shared" si="38"/>
        <v>0 tubes and 0 shuttles</v>
      </c>
      <c r="I884" s="36">
        <f t="shared" si="45"/>
        <v>0</v>
      </c>
      <c r="J884" s="104" t="str">
        <f t="shared" si="39"/>
        <v>0 tubes and 0 shuttles</v>
      </c>
      <c r="K884" s="36">
        <f t="shared" si="46"/>
        <v>0</v>
      </c>
      <c r="L884" s="103" t="str">
        <f t="shared" si="40"/>
        <v>0 tubes and 0 shuttles</v>
      </c>
      <c r="M884" s="105">
        <f t="shared" si="47"/>
        <v>0</v>
      </c>
      <c r="N884" s="103" t="str">
        <f t="shared" si="41"/>
        <v>0 tubes and 0 shuttles</v>
      </c>
      <c r="O884" s="36">
        <f t="shared" si="42"/>
        <v>0</v>
      </c>
      <c r="P884" s="103" t="str">
        <f t="shared" si="43"/>
        <v>0 tubes and 0 shuttles</v>
      </c>
    </row>
    <row r="885" spans="1:16" ht="12.5" x14ac:dyDescent="0.25">
      <c r="A885" s="32">
        <f>'Profit &amp; Loss'!A885</f>
        <v>0</v>
      </c>
      <c r="B885" s="35">
        <f>'Profit &amp; Loss'!B885</f>
        <v>0</v>
      </c>
      <c r="C885" s="36"/>
      <c r="D885" s="33"/>
      <c r="E885" s="33"/>
      <c r="F885" s="101"/>
      <c r="G885" s="102">
        <f t="shared" si="44"/>
        <v>0</v>
      </c>
      <c r="H885" s="103" t="str">
        <f t="shared" si="38"/>
        <v>0 tubes and 0 shuttles</v>
      </c>
      <c r="I885" s="36">
        <f t="shared" si="45"/>
        <v>0</v>
      </c>
      <c r="J885" s="104" t="str">
        <f t="shared" si="39"/>
        <v>0 tubes and 0 shuttles</v>
      </c>
      <c r="K885" s="36">
        <f t="shared" si="46"/>
        <v>0</v>
      </c>
      <c r="L885" s="103" t="str">
        <f t="shared" si="40"/>
        <v>0 tubes and 0 shuttles</v>
      </c>
      <c r="M885" s="105">
        <f t="shared" si="47"/>
        <v>0</v>
      </c>
      <c r="N885" s="103" t="str">
        <f t="shared" si="41"/>
        <v>0 tubes and 0 shuttles</v>
      </c>
      <c r="O885" s="36">
        <f t="shared" si="42"/>
        <v>0</v>
      </c>
      <c r="P885" s="103" t="str">
        <f t="shared" si="43"/>
        <v>0 tubes and 0 shuttles</v>
      </c>
    </row>
    <row r="886" spans="1:16" ht="12.5" x14ac:dyDescent="0.25">
      <c r="A886" s="32">
        <f>'Profit &amp; Loss'!A886</f>
        <v>0</v>
      </c>
      <c r="B886" s="35">
        <f>'Profit &amp; Loss'!B886</f>
        <v>0</v>
      </c>
      <c r="C886" s="36"/>
      <c r="D886" s="33"/>
      <c r="E886" s="33"/>
      <c r="F886" s="101"/>
      <c r="G886" s="102">
        <f t="shared" si="44"/>
        <v>0</v>
      </c>
      <c r="H886" s="103" t="str">
        <f t="shared" si="38"/>
        <v>0 tubes and 0 shuttles</v>
      </c>
      <c r="I886" s="36">
        <f t="shared" si="45"/>
        <v>0</v>
      </c>
      <c r="J886" s="104" t="str">
        <f t="shared" si="39"/>
        <v>0 tubes and 0 shuttles</v>
      </c>
      <c r="K886" s="36">
        <f t="shared" si="46"/>
        <v>0</v>
      </c>
      <c r="L886" s="103" t="str">
        <f t="shared" si="40"/>
        <v>0 tubes and 0 shuttles</v>
      </c>
      <c r="M886" s="105">
        <f t="shared" si="47"/>
        <v>0</v>
      </c>
      <c r="N886" s="103" t="str">
        <f t="shared" si="41"/>
        <v>0 tubes and 0 shuttles</v>
      </c>
      <c r="O886" s="36">
        <f t="shared" si="42"/>
        <v>0</v>
      </c>
      <c r="P886" s="103" t="str">
        <f t="shared" si="43"/>
        <v>0 tubes and 0 shuttles</v>
      </c>
    </row>
    <row r="887" spans="1:16" ht="12.5" x14ac:dyDescent="0.25">
      <c r="A887" s="32">
        <f>'Profit &amp; Loss'!A887</f>
        <v>0</v>
      </c>
      <c r="B887" s="35">
        <f>'Profit &amp; Loss'!B887</f>
        <v>0</v>
      </c>
      <c r="C887" s="36"/>
      <c r="D887" s="33"/>
      <c r="E887" s="33"/>
      <c r="F887" s="101"/>
      <c r="G887" s="102">
        <f t="shared" si="44"/>
        <v>0</v>
      </c>
      <c r="H887" s="103" t="str">
        <f t="shared" si="38"/>
        <v>0 tubes and 0 shuttles</v>
      </c>
      <c r="I887" s="36">
        <f t="shared" si="45"/>
        <v>0</v>
      </c>
      <c r="J887" s="104" t="str">
        <f t="shared" si="39"/>
        <v>0 tubes and 0 shuttles</v>
      </c>
      <c r="K887" s="36">
        <f t="shared" si="46"/>
        <v>0</v>
      </c>
      <c r="L887" s="103" t="str">
        <f t="shared" si="40"/>
        <v>0 tubes and 0 shuttles</v>
      </c>
      <c r="M887" s="105">
        <f t="shared" si="47"/>
        <v>0</v>
      </c>
      <c r="N887" s="103" t="str">
        <f t="shared" si="41"/>
        <v>0 tubes and 0 shuttles</v>
      </c>
      <c r="O887" s="36">
        <f t="shared" si="42"/>
        <v>0</v>
      </c>
      <c r="P887" s="103" t="str">
        <f t="shared" si="43"/>
        <v>0 tubes and 0 shuttles</v>
      </c>
    </row>
    <row r="888" spans="1:16" ht="12.5" x14ac:dyDescent="0.25">
      <c r="A888" s="32">
        <f>'Profit &amp; Loss'!A888</f>
        <v>0</v>
      </c>
      <c r="B888" s="35">
        <f>'Profit &amp; Loss'!B888</f>
        <v>0</v>
      </c>
      <c r="C888" s="36"/>
      <c r="D888" s="33"/>
      <c r="E888" s="33"/>
      <c r="F888" s="101"/>
      <c r="G888" s="102">
        <f t="shared" si="44"/>
        <v>0</v>
      </c>
      <c r="H888" s="103" t="str">
        <f t="shared" si="38"/>
        <v>0 tubes and 0 shuttles</v>
      </c>
      <c r="I888" s="36">
        <f t="shared" si="45"/>
        <v>0</v>
      </c>
      <c r="J888" s="104" t="str">
        <f t="shared" si="39"/>
        <v>0 tubes and 0 shuttles</v>
      </c>
      <c r="K888" s="36">
        <f t="shared" si="46"/>
        <v>0</v>
      </c>
      <c r="L888" s="103" t="str">
        <f t="shared" si="40"/>
        <v>0 tubes and 0 shuttles</v>
      </c>
      <c r="M888" s="105">
        <f t="shared" si="47"/>
        <v>0</v>
      </c>
      <c r="N888" s="103" t="str">
        <f t="shared" si="41"/>
        <v>0 tubes and 0 shuttles</v>
      </c>
      <c r="O888" s="36">
        <f t="shared" si="42"/>
        <v>0</v>
      </c>
      <c r="P888" s="103" t="str">
        <f t="shared" si="43"/>
        <v>0 tubes and 0 shuttles</v>
      </c>
    </row>
    <row r="889" spans="1:16" ht="12.5" x14ac:dyDescent="0.25">
      <c r="A889" s="32">
        <f>'Profit &amp; Loss'!A889</f>
        <v>0</v>
      </c>
      <c r="B889" s="35">
        <f>'Profit &amp; Loss'!B889</f>
        <v>0</v>
      </c>
      <c r="C889" s="36"/>
      <c r="D889" s="33"/>
      <c r="E889" s="33"/>
      <c r="F889" s="101"/>
      <c r="G889" s="102">
        <f t="shared" si="44"/>
        <v>0</v>
      </c>
      <c r="H889" s="103" t="str">
        <f t="shared" si="38"/>
        <v>0 tubes and 0 shuttles</v>
      </c>
      <c r="I889" s="36">
        <f t="shared" si="45"/>
        <v>0</v>
      </c>
      <c r="J889" s="104" t="str">
        <f t="shared" si="39"/>
        <v>0 tubes and 0 shuttles</v>
      </c>
      <c r="K889" s="36">
        <f t="shared" si="46"/>
        <v>0</v>
      </c>
      <c r="L889" s="103" t="str">
        <f t="shared" si="40"/>
        <v>0 tubes and 0 shuttles</v>
      </c>
      <c r="M889" s="105">
        <f t="shared" si="47"/>
        <v>0</v>
      </c>
      <c r="N889" s="103" t="str">
        <f t="shared" si="41"/>
        <v>0 tubes and 0 shuttles</v>
      </c>
      <c r="O889" s="36">
        <f t="shared" si="42"/>
        <v>0</v>
      </c>
      <c r="P889" s="103" t="str">
        <f t="shared" si="43"/>
        <v>0 tubes and 0 shuttles</v>
      </c>
    </row>
    <row r="890" spans="1:16" ht="12.5" x14ac:dyDescent="0.25">
      <c r="A890" s="32">
        <f>'Profit &amp; Loss'!A890</f>
        <v>0</v>
      </c>
      <c r="B890" s="35">
        <f>'Profit &amp; Loss'!B890</f>
        <v>0</v>
      </c>
      <c r="C890" s="36"/>
      <c r="D890" s="33"/>
      <c r="E890" s="33"/>
      <c r="F890" s="101"/>
      <c r="G890" s="102">
        <f t="shared" si="44"/>
        <v>0</v>
      </c>
      <c r="H890" s="103" t="str">
        <f t="shared" si="38"/>
        <v>0 tubes and 0 shuttles</v>
      </c>
      <c r="I890" s="36">
        <f t="shared" si="45"/>
        <v>0</v>
      </c>
      <c r="J890" s="104" t="str">
        <f t="shared" si="39"/>
        <v>0 tubes and 0 shuttles</v>
      </c>
      <c r="K890" s="36">
        <f t="shared" si="46"/>
        <v>0</v>
      </c>
      <c r="L890" s="103" t="str">
        <f t="shared" si="40"/>
        <v>0 tubes and 0 shuttles</v>
      </c>
      <c r="M890" s="105">
        <f t="shared" si="47"/>
        <v>0</v>
      </c>
      <c r="N890" s="103" t="str">
        <f t="shared" si="41"/>
        <v>0 tubes and 0 shuttles</v>
      </c>
      <c r="O890" s="36">
        <f t="shared" si="42"/>
        <v>0</v>
      </c>
      <c r="P890" s="103" t="str">
        <f t="shared" si="43"/>
        <v>0 tubes and 0 shuttles</v>
      </c>
    </row>
    <row r="891" spans="1:16" ht="12.5" x14ac:dyDescent="0.25">
      <c r="A891" s="32">
        <f>'Profit &amp; Loss'!A891</f>
        <v>0</v>
      </c>
      <c r="B891" s="35">
        <f>'Profit &amp; Loss'!B891</f>
        <v>0</v>
      </c>
      <c r="C891" s="36"/>
      <c r="D891" s="33"/>
      <c r="E891" s="33"/>
      <c r="F891" s="101"/>
      <c r="G891" s="102">
        <f t="shared" si="44"/>
        <v>0</v>
      </c>
      <c r="H891" s="103" t="str">
        <f t="shared" si="38"/>
        <v>0 tubes and 0 shuttles</v>
      </c>
      <c r="I891" s="36">
        <f t="shared" si="45"/>
        <v>0</v>
      </c>
      <c r="J891" s="104" t="str">
        <f t="shared" si="39"/>
        <v>0 tubes and 0 shuttles</v>
      </c>
      <c r="K891" s="36">
        <f t="shared" si="46"/>
        <v>0</v>
      </c>
      <c r="L891" s="103" t="str">
        <f t="shared" si="40"/>
        <v>0 tubes and 0 shuttles</v>
      </c>
      <c r="M891" s="105">
        <f t="shared" si="47"/>
        <v>0</v>
      </c>
      <c r="N891" s="103" t="str">
        <f t="shared" si="41"/>
        <v>0 tubes and 0 shuttles</v>
      </c>
      <c r="O891" s="36">
        <f t="shared" si="42"/>
        <v>0</v>
      </c>
      <c r="P891" s="103" t="str">
        <f t="shared" si="43"/>
        <v>0 tubes and 0 shuttles</v>
      </c>
    </row>
    <row r="892" spans="1:16" ht="12.5" x14ac:dyDescent="0.25">
      <c r="A892" s="32">
        <f>'Profit &amp; Loss'!A892</f>
        <v>0</v>
      </c>
      <c r="B892" s="35">
        <f>'Profit &amp; Loss'!B892</f>
        <v>0</v>
      </c>
      <c r="C892" s="36"/>
      <c r="D892" s="33"/>
      <c r="E892" s="33"/>
      <c r="F892" s="101"/>
      <c r="G892" s="102">
        <f t="shared" si="44"/>
        <v>0</v>
      </c>
      <c r="H892" s="103" t="str">
        <f t="shared" si="38"/>
        <v>0 tubes and 0 shuttles</v>
      </c>
      <c r="I892" s="36">
        <f t="shared" si="45"/>
        <v>0</v>
      </c>
      <c r="J892" s="104" t="str">
        <f t="shared" si="39"/>
        <v>0 tubes and 0 shuttles</v>
      </c>
      <c r="K892" s="36">
        <f t="shared" si="46"/>
        <v>0</v>
      </c>
      <c r="L892" s="103" t="str">
        <f t="shared" si="40"/>
        <v>0 tubes and 0 shuttles</v>
      </c>
      <c r="M892" s="105">
        <f t="shared" si="47"/>
        <v>0</v>
      </c>
      <c r="N892" s="103" t="str">
        <f t="shared" si="41"/>
        <v>0 tubes and 0 shuttles</v>
      </c>
      <c r="O892" s="36">
        <f t="shared" si="42"/>
        <v>0</v>
      </c>
      <c r="P892" s="103" t="str">
        <f t="shared" si="43"/>
        <v>0 tubes and 0 shuttles</v>
      </c>
    </row>
    <row r="893" spans="1:16" ht="12.5" x14ac:dyDescent="0.25">
      <c r="A893" s="32">
        <f>'Profit &amp; Loss'!A893</f>
        <v>0</v>
      </c>
      <c r="B893" s="35">
        <f>'Profit &amp; Loss'!B893</f>
        <v>0</v>
      </c>
      <c r="C893" s="36"/>
      <c r="D893" s="33"/>
      <c r="E893" s="33"/>
      <c r="F893" s="101"/>
      <c r="G893" s="102">
        <f t="shared" si="44"/>
        <v>0</v>
      </c>
      <c r="H893" s="103" t="str">
        <f t="shared" si="38"/>
        <v>0 tubes and 0 shuttles</v>
      </c>
      <c r="I893" s="36">
        <f t="shared" si="45"/>
        <v>0</v>
      </c>
      <c r="J893" s="104" t="str">
        <f t="shared" si="39"/>
        <v>0 tubes and 0 shuttles</v>
      </c>
      <c r="K893" s="36">
        <f t="shared" si="46"/>
        <v>0</v>
      </c>
      <c r="L893" s="103" t="str">
        <f t="shared" si="40"/>
        <v>0 tubes and 0 shuttles</v>
      </c>
      <c r="M893" s="105">
        <f t="shared" si="47"/>
        <v>0</v>
      </c>
      <c r="N893" s="103" t="str">
        <f t="shared" si="41"/>
        <v>0 tubes and 0 shuttles</v>
      </c>
      <c r="O893" s="36">
        <f t="shared" si="42"/>
        <v>0</v>
      </c>
      <c r="P893" s="103" t="str">
        <f t="shared" si="43"/>
        <v>0 tubes and 0 shuttles</v>
      </c>
    </row>
    <row r="894" spans="1:16" ht="12.5" x14ac:dyDescent="0.25">
      <c r="A894" s="32">
        <f>'Profit &amp; Loss'!A894</f>
        <v>0</v>
      </c>
      <c r="B894" s="35">
        <f>'Profit &amp; Loss'!B894</f>
        <v>0</v>
      </c>
      <c r="C894" s="36"/>
      <c r="D894" s="33"/>
      <c r="E894" s="33"/>
      <c r="F894" s="101"/>
      <c r="G894" s="102">
        <f t="shared" si="44"/>
        <v>0</v>
      </c>
      <c r="H894" s="103" t="str">
        <f t="shared" si="38"/>
        <v>0 tubes and 0 shuttles</v>
      </c>
      <c r="I894" s="36">
        <f t="shared" si="45"/>
        <v>0</v>
      </c>
      <c r="J894" s="104" t="str">
        <f t="shared" si="39"/>
        <v>0 tubes and 0 shuttles</v>
      </c>
      <c r="K894" s="36">
        <f t="shared" si="46"/>
        <v>0</v>
      </c>
      <c r="L894" s="103" t="str">
        <f t="shared" si="40"/>
        <v>0 tubes and 0 shuttles</v>
      </c>
      <c r="M894" s="105">
        <f t="shared" si="47"/>
        <v>0</v>
      </c>
      <c r="N894" s="103" t="str">
        <f t="shared" si="41"/>
        <v>0 tubes and 0 shuttles</v>
      </c>
      <c r="O894" s="36">
        <f t="shared" si="42"/>
        <v>0</v>
      </c>
      <c r="P894" s="103" t="str">
        <f t="shared" si="43"/>
        <v>0 tubes and 0 shuttles</v>
      </c>
    </row>
    <row r="895" spans="1:16" ht="12.5" x14ac:dyDescent="0.25">
      <c r="A895" s="32">
        <f>'Profit &amp; Loss'!A895</f>
        <v>0</v>
      </c>
      <c r="B895" s="35">
        <f>'Profit &amp; Loss'!B895</f>
        <v>0</v>
      </c>
      <c r="C895" s="36"/>
      <c r="D895" s="33"/>
      <c r="E895" s="33"/>
      <c r="F895" s="101"/>
      <c r="G895" s="102">
        <f t="shared" si="44"/>
        <v>0</v>
      </c>
      <c r="H895" s="103" t="str">
        <f t="shared" si="38"/>
        <v>0 tubes and 0 shuttles</v>
      </c>
      <c r="I895" s="36">
        <f t="shared" si="45"/>
        <v>0</v>
      </c>
      <c r="J895" s="104" t="str">
        <f t="shared" si="39"/>
        <v>0 tubes and 0 shuttles</v>
      </c>
      <c r="K895" s="36">
        <f t="shared" si="46"/>
        <v>0</v>
      </c>
      <c r="L895" s="103" t="str">
        <f t="shared" si="40"/>
        <v>0 tubes and 0 shuttles</v>
      </c>
      <c r="M895" s="105">
        <f t="shared" si="47"/>
        <v>0</v>
      </c>
      <c r="N895" s="103" t="str">
        <f t="shared" si="41"/>
        <v>0 tubes and 0 shuttles</v>
      </c>
      <c r="O895" s="36">
        <f t="shared" si="42"/>
        <v>0</v>
      </c>
      <c r="P895" s="103" t="str">
        <f t="shared" si="43"/>
        <v>0 tubes and 0 shuttles</v>
      </c>
    </row>
    <row r="896" spans="1:16" ht="12.5" x14ac:dyDescent="0.25">
      <c r="A896" s="32">
        <f>'Profit &amp; Loss'!A896</f>
        <v>0</v>
      </c>
      <c r="B896" s="35">
        <f>'Profit &amp; Loss'!B896</f>
        <v>0</v>
      </c>
      <c r="C896" s="36"/>
      <c r="D896" s="33"/>
      <c r="E896" s="33"/>
      <c r="F896" s="101"/>
      <c r="G896" s="102">
        <f t="shared" si="44"/>
        <v>0</v>
      </c>
      <c r="H896" s="103" t="str">
        <f t="shared" si="38"/>
        <v>0 tubes and 0 shuttles</v>
      </c>
      <c r="I896" s="36">
        <f t="shared" si="45"/>
        <v>0</v>
      </c>
      <c r="J896" s="104" t="str">
        <f t="shared" si="39"/>
        <v>0 tubes and 0 shuttles</v>
      </c>
      <c r="K896" s="36">
        <f t="shared" si="46"/>
        <v>0</v>
      </c>
      <c r="L896" s="103" t="str">
        <f t="shared" si="40"/>
        <v>0 tubes and 0 shuttles</v>
      </c>
      <c r="M896" s="105">
        <f t="shared" si="47"/>
        <v>0</v>
      </c>
      <c r="N896" s="103" t="str">
        <f t="shared" si="41"/>
        <v>0 tubes and 0 shuttles</v>
      </c>
      <c r="O896" s="36">
        <f t="shared" si="42"/>
        <v>0</v>
      </c>
      <c r="P896" s="103" t="str">
        <f t="shared" si="43"/>
        <v>0 tubes and 0 shuttles</v>
      </c>
    </row>
    <row r="897" spans="1:16" ht="12.5" x14ac:dyDescent="0.25">
      <c r="A897" s="32">
        <f>'Profit &amp; Loss'!A897</f>
        <v>0</v>
      </c>
      <c r="B897" s="35">
        <f>'Profit &amp; Loss'!B897</f>
        <v>0</v>
      </c>
      <c r="C897" s="36"/>
      <c r="D897" s="33"/>
      <c r="E897" s="33"/>
      <c r="F897" s="101"/>
      <c r="G897" s="102">
        <f t="shared" si="44"/>
        <v>0</v>
      </c>
      <c r="H897" s="103" t="str">
        <f t="shared" si="38"/>
        <v>0 tubes and 0 shuttles</v>
      </c>
      <c r="I897" s="36">
        <f t="shared" si="45"/>
        <v>0</v>
      </c>
      <c r="J897" s="104" t="str">
        <f t="shared" si="39"/>
        <v>0 tubes and 0 shuttles</v>
      </c>
      <c r="K897" s="36">
        <f t="shared" si="46"/>
        <v>0</v>
      </c>
      <c r="L897" s="103" t="str">
        <f t="shared" si="40"/>
        <v>0 tubes and 0 shuttles</v>
      </c>
      <c r="M897" s="105">
        <f t="shared" si="47"/>
        <v>0</v>
      </c>
      <c r="N897" s="103" t="str">
        <f t="shared" si="41"/>
        <v>0 tubes and 0 shuttles</v>
      </c>
      <c r="O897" s="36">
        <f t="shared" si="42"/>
        <v>0</v>
      </c>
      <c r="P897" s="103" t="str">
        <f t="shared" si="43"/>
        <v>0 tubes and 0 shuttles</v>
      </c>
    </row>
    <row r="898" spans="1:16" ht="12.5" x14ac:dyDescent="0.25">
      <c r="A898" s="32">
        <f>'Profit &amp; Loss'!A898</f>
        <v>0</v>
      </c>
      <c r="B898" s="35">
        <f>'Profit &amp; Loss'!B898</f>
        <v>0</v>
      </c>
      <c r="C898" s="36"/>
      <c r="D898" s="33"/>
      <c r="E898" s="33"/>
      <c r="F898" s="101"/>
      <c r="G898" s="102">
        <f t="shared" si="44"/>
        <v>0</v>
      </c>
      <c r="H898" s="103" t="str">
        <f t="shared" si="38"/>
        <v>0 tubes and 0 shuttles</v>
      </c>
      <c r="I898" s="36">
        <f t="shared" si="45"/>
        <v>0</v>
      </c>
      <c r="J898" s="104" t="str">
        <f t="shared" si="39"/>
        <v>0 tubes and 0 shuttles</v>
      </c>
      <c r="K898" s="36">
        <f t="shared" si="46"/>
        <v>0</v>
      </c>
      <c r="L898" s="103" t="str">
        <f t="shared" si="40"/>
        <v>0 tubes and 0 shuttles</v>
      </c>
      <c r="M898" s="105">
        <f t="shared" si="47"/>
        <v>0</v>
      </c>
      <c r="N898" s="103" t="str">
        <f t="shared" si="41"/>
        <v>0 tubes and 0 shuttles</v>
      </c>
      <c r="O898" s="36">
        <f t="shared" si="42"/>
        <v>0</v>
      </c>
      <c r="P898" s="103" t="str">
        <f t="shared" si="43"/>
        <v>0 tubes and 0 shuttles</v>
      </c>
    </row>
    <row r="899" spans="1:16" ht="12.5" x14ac:dyDescent="0.25">
      <c r="A899" s="32">
        <f>'Profit &amp; Loss'!A899</f>
        <v>0</v>
      </c>
      <c r="B899" s="35">
        <f>'Profit &amp; Loss'!B899</f>
        <v>0</v>
      </c>
      <c r="C899" s="36"/>
      <c r="D899" s="33"/>
      <c r="E899" s="33"/>
      <c r="F899" s="101"/>
      <c r="G899" s="102">
        <f t="shared" si="44"/>
        <v>0</v>
      </c>
      <c r="H899" s="103" t="str">
        <f t="shared" si="38"/>
        <v>0 tubes and 0 shuttles</v>
      </c>
      <c r="I899" s="36">
        <f t="shared" si="45"/>
        <v>0</v>
      </c>
      <c r="J899" s="104" t="str">
        <f t="shared" si="39"/>
        <v>0 tubes and 0 shuttles</v>
      </c>
      <c r="K899" s="36">
        <f t="shared" si="46"/>
        <v>0</v>
      </c>
      <c r="L899" s="103" t="str">
        <f t="shared" si="40"/>
        <v>0 tubes and 0 shuttles</v>
      </c>
      <c r="M899" s="105">
        <f t="shared" si="47"/>
        <v>0</v>
      </c>
      <c r="N899" s="103" t="str">
        <f t="shared" si="41"/>
        <v>0 tubes and 0 shuttles</v>
      </c>
      <c r="O899" s="36">
        <f t="shared" si="42"/>
        <v>0</v>
      </c>
      <c r="P899" s="103" t="str">
        <f t="shared" si="43"/>
        <v>0 tubes and 0 shuttles</v>
      </c>
    </row>
    <row r="900" spans="1:16" ht="12.5" x14ac:dyDescent="0.25">
      <c r="A900" s="32">
        <f>'Profit &amp; Loss'!A900</f>
        <v>0</v>
      </c>
      <c r="B900" s="35">
        <f>'Profit &amp; Loss'!B900</f>
        <v>0</v>
      </c>
      <c r="C900" s="36"/>
      <c r="D900" s="33"/>
      <c r="E900" s="33"/>
      <c r="F900" s="101"/>
      <c r="G900" s="102">
        <f t="shared" si="44"/>
        <v>0</v>
      </c>
      <c r="H900" s="103" t="str">
        <f t="shared" si="38"/>
        <v>0 tubes and 0 shuttles</v>
      </c>
      <c r="I900" s="36">
        <f t="shared" si="45"/>
        <v>0</v>
      </c>
      <c r="J900" s="104" t="str">
        <f t="shared" si="39"/>
        <v>0 tubes and 0 shuttles</v>
      </c>
      <c r="K900" s="36">
        <f t="shared" si="46"/>
        <v>0</v>
      </c>
      <c r="L900" s="103" t="str">
        <f t="shared" si="40"/>
        <v>0 tubes and 0 shuttles</v>
      </c>
      <c r="M900" s="105">
        <f t="shared" si="47"/>
        <v>0</v>
      </c>
      <c r="N900" s="103" t="str">
        <f t="shared" si="41"/>
        <v>0 tubes and 0 shuttles</v>
      </c>
      <c r="O900" s="36">
        <f t="shared" si="42"/>
        <v>0</v>
      </c>
      <c r="P900" s="103" t="str">
        <f t="shared" si="43"/>
        <v>0 tubes and 0 shuttles</v>
      </c>
    </row>
    <row r="901" spans="1:16" ht="12.5" x14ac:dyDescent="0.25">
      <c r="A901" s="32">
        <f>'Profit &amp; Loss'!A901</f>
        <v>0</v>
      </c>
      <c r="B901" s="35">
        <f>'Profit &amp; Loss'!B901</f>
        <v>0</v>
      </c>
      <c r="C901" s="36"/>
      <c r="D901" s="33"/>
      <c r="E901" s="33"/>
      <c r="F901" s="101"/>
      <c r="G901" s="102">
        <f t="shared" si="44"/>
        <v>0</v>
      </c>
      <c r="H901" s="103" t="str">
        <f t="shared" si="38"/>
        <v>0 tubes and 0 shuttles</v>
      </c>
      <c r="I901" s="36">
        <f t="shared" si="45"/>
        <v>0</v>
      </c>
      <c r="J901" s="104" t="str">
        <f t="shared" si="39"/>
        <v>0 tubes and 0 shuttles</v>
      </c>
      <c r="K901" s="36">
        <f t="shared" si="46"/>
        <v>0</v>
      </c>
      <c r="L901" s="103" t="str">
        <f t="shared" si="40"/>
        <v>0 tubes and 0 shuttles</v>
      </c>
      <c r="M901" s="105">
        <f t="shared" si="47"/>
        <v>0</v>
      </c>
      <c r="N901" s="103" t="str">
        <f t="shared" si="41"/>
        <v>0 tubes and 0 shuttles</v>
      </c>
      <c r="O901" s="36">
        <f t="shared" si="42"/>
        <v>0</v>
      </c>
      <c r="P901" s="103" t="str">
        <f t="shared" si="43"/>
        <v>0 tubes and 0 shuttles</v>
      </c>
    </row>
    <row r="902" spans="1:16" ht="12.5" x14ac:dyDescent="0.25">
      <c r="A902" s="32">
        <f>'Profit &amp; Loss'!A902</f>
        <v>0</v>
      </c>
      <c r="B902" s="35">
        <f>'Profit &amp; Loss'!B902</f>
        <v>0</v>
      </c>
      <c r="C902" s="36"/>
      <c r="D902" s="33"/>
      <c r="E902" s="33"/>
      <c r="F902" s="101"/>
      <c r="G902" s="102">
        <f t="shared" si="44"/>
        <v>0</v>
      </c>
      <c r="H902" s="103" t="str">
        <f t="shared" si="38"/>
        <v>0 tubes and 0 shuttles</v>
      </c>
      <c r="I902" s="36">
        <f t="shared" si="45"/>
        <v>0</v>
      </c>
      <c r="J902" s="104" t="str">
        <f t="shared" si="39"/>
        <v>0 tubes and 0 shuttles</v>
      </c>
      <c r="K902" s="36">
        <f t="shared" si="46"/>
        <v>0</v>
      </c>
      <c r="L902" s="103" t="str">
        <f t="shared" si="40"/>
        <v>0 tubes and 0 shuttles</v>
      </c>
      <c r="M902" s="105">
        <f t="shared" si="47"/>
        <v>0</v>
      </c>
      <c r="N902" s="103" t="str">
        <f t="shared" si="41"/>
        <v>0 tubes and 0 shuttles</v>
      </c>
      <c r="O902" s="36">
        <f t="shared" si="42"/>
        <v>0</v>
      </c>
      <c r="P902" s="103" t="str">
        <f t="shared" si="43"/>
        <v>0 tubes and 0 shuttles</v>
      </c>
    </row>
    <row r="903" spans="1:16" ht="12.5" x14ac:dyDescent="0.25">
      <c r="A903" s="32">
        <f>'Profit &amp; Loss'!A903</f>
        <v>0</v>
      </c>
      <c r="B903" s="35">
        <f>'Profit &amp; Loss'!B903</f>
        <v>0</v>
      </c>
      <c r="C903" s="36"/>
      <c r="D903" s="33"/>
      <c r="E903" s="33"/>
      <c r="F903" s="101"/>
      <c r="G903" s="102">
        <f t="shared" si="44"/>
        <v>0</v>
      </c>
      <c r="H903" s="103" t="str">
        <f t="shared" si="38"/>
        <v>0 tubes and 0 shuttles</v>
      </c>
      <c r="I903" s="36">
        <f t="shared" si="45"/>
        <v>0</v>
      </c>
      <c r="J903" s="104" t="str">
        <f t="shared" si="39"/>
        <v>0 tubes and 0 shuttles</v>
      </c>
      <c r="K903" s="36">
        <f t="shared" si="46"/>
        <v>0</v>
      </c>
      <c r="L903" s="103" t="str">
        <f t="shared" si="40"/>
        <v>0 tubes and 0 shuttles</v>
      </c>
      <c r="M903" s="105">
        <f t="shared" si="47"/>
        <v>0</v>
      </c>
      <c r="N903" s="103" t="str">
        <f t="shared" si="41"/>
        <v>0 tubes and 0 shuttles</v>
      </c>
      <c r="O903" s="36">
        <f t="shared" si="42"/>
        <v>0</v>
      </c>
      <c r="P903" s="103" t="str">
        <f t="shared" si="43"/>
        <v>0 tubes and 0 shuttles</v>
      </c>
    </row>
    <row r="904" spans="1:16" ht="12.5" x14ac:dyDescent="0.25">
      <c r="A904" s="32">
        <f>'Profit &amp; Loss'!A904</f>
        <v>0</v>
      </c>
      <c r="B904" s="35">
        <f>'Profit &amp; Loss'!B904</f>
        <v>0</v>
      </c>
      <c r="C904" s="36"/>
      <c r="D904" s="33"/>
      <c r="E904" s="33"/>
      <c r="F904" s="101"/>
      <c r="G904" s="102">
        <f t="shared" si="44"/>
        <v>0</v>
      </c>
      <c r="H904" s="103" t="str">
        <f t="shared" si="38"/>
        <v>0 tubes and 0 shuttles</v>
      </c>
      <c r="I904" s="36">
        <f t="shared" si="45"/>
        <v>0</v>
      </c>
      <c r="J904" s="104" t="str">
        <f t="shared" si="39"/>
        <v>0 tubes and 0 shuttles</v>
      </c>
      <c r="K904" s="36">
        <f t="shared" si="46"/>
        <v>0</v>
      </c>
      <c r="L904" s="103" t="str">
        <f t="shared" si="40"/>
        <v>0 tubes and 0 shuttles</v>
      </c>
      <c r="M904" s="105">
        <f t="shared" si="47"/>
        <v>0</v>
      </c>
      <c r="N904" s="103" t="str">
        <f t="shared" si="41"/>
        <v>0 tubes and 0 shuttles</v>
      </c>
      <c r="O904" s="36">
        <f t="shared" si="42"/>
        <v>0</v>
      </c>
      <c r="P904" s="103" t="str">
        <f t="shared" si="43"/>
        <v>0 tubes and 0 shuttles</v>
      </c>
    </row>
    <row r="905" spans="1:16" ht="12.5" x14ac:dyDescent="0.25">
      <c r="A905" s="32">
        <f>'Profit &amp; Loss'!A905</f>
        <v>0</v>
      </c>
      <c r="B905" s="35">
        <f>'Profit &amp; Loss'!B905</f>
        <v>0</v>
      </c>
      <c r="C905" s="36"/>
      <c r="D905" s="33"/>
      <c r="E905" s="33"/>
      <c r="F905" s="101"/>
      <c r="G905" s="102">
        <f t="shared" si="44"/>
        <v>0</v>
      </c>
      <c r="H905" s="103" t="str">
        <f t="shared" si="38"/>
        <v>0 tubes and 0 shuttles</v>
      </c>
      <c r="I905" s="36">
        <f t="shared" si="45"/>
        <v>0</v>
      </c>
      <c r="J905" s="104" t="str">
        <f t="shared" si="39"/>
        <v>0 tubes and 0 shuttles</v>
      </c>
      <c r="K905" s="36">
        <f t="shared" si="46"/>
        <v>0</v>
      </c>
      <c r="L905" s="103" t="str">
        <f t="shared" si="40"/>
        <v>0 tubes and 0 shuttles</v>
      </c>
      <c r="M905" s="105">
        <f t="shared" si="47"/>
        <v>0</v>
      </c>
      <c r="N905" s="103" t="str">
        <f t="shared" si="41"/>
        <v>0 tubes and 0 shuttles</v>
      </c>
      <c r="O905" s="36">
        <f t="shared" si="42"/>
        <v>0</v>
      </c>
      <c r="P905" s="103" t="str">
        <f t="shared" si="43"/>
        <v>0 tubes and 0 shuttles</v>
      </c>
    </row>
    <row r="906" spans="1:16" ht="12.5" x14ac:dyDescent="0.25">
      <c r="A906" s="32">
        <f>'Profit &amp; Loss'!A906</f>
        <v>0</v>
      </c>
      <c r="B906" s="35">
        <f>'Profit &amp; Loss'!B906</f>
        <v>0</v>
      </c>
      <c r="C906" s="36"/>
      <c r="D906" s="33"/>
      <c r="E906" s="33"/>
      <c r="F906" s="101"/>
      <c r="G906" s="102">
        <f t="shared" si="44"/>
        <v>0</v>
      </c>
      <c r="H906" s="103" t="str">
        <f t="shared" si="38"/>
        <v>0 tubes and 0 shuttles</v>
      </c>
      <c r="I906" s="36">
        <f t="shared" si="45"/>
        <v>0</v>
      </c>
      <c r="J906" s="104" t="str">
        <f t="shared" si="39"/>
        <v>0 tubes and 0 shuttles</v>
      </c>
      <c r="K906" s="36">
        <f t="shared" si="46"/>
        <v>0</v>
      </c>
      <c r="L906" s="103" t="str">
        <f t="shared" si="40"/>
        <v>0 tubes and 0 shuttles</v>
      </c>
      <c r="M906" s="105">
        <f t="shared" si="47"/>
        <v>0</v>
      </c>
      <c r="N906" s="103" t="str">
        <f t="shared" si="41"/>
        <v>0 tubes and 0 shuttles</v>
      </c>
      <c r="O906" s="36">
        <f t="shared" si="42"/>
        <v>0</v>
      </c>
      <c r="P906" s="103" t="str">
        <f t="shared" si="43"/>
        <v>0 tubes and 0 shuttles</v>
      </c>
    </row>
    <row r="907" spans="1:16" ht="12.5" x14ac:dyDescent="0.25">
      <c r="A907" s="32">
        <f>'Profit &amp; Loss'!A907</f>
        <v>0</v>
      </c>
      <c r="B907" s="35">
        <f>'Profit &amp; Loss'!B907</f>
        <v>0</v>
      </c>
      <c r="C907" s="36"/>
      <c r="D907" s="33"/>
      <c r="E907" s="33"/>
      <c r="F907" s="101"/>
      <c r="G907" s="102">
        <f t="shared" si="44"/>
        <v>0</v>
      </c>
      <c r="H907" s="103" t="str">
        <f t="shared" si="38"/>
        <v>0 tubes and 0 shuttles</v>
      </c>
      <c r="I907" s="36">
        <f t="shared" si="45"/>
        <v>0</v>
      </c>
      <c r="J907" s="104" t="str">
        <f t="shared" si="39"/>
        <v>0 tubes and 0 shuttles</v>
      </c>
      <c r="K907" s="36">
        <f t="shared" si="46"/>
        <v>0</v>
      </c>
      <c r="L907" s="103" t="str">
        <f t="shared" si="40"/>
        <v>0 tubes and 0 shuttles</v>
      </c>
      <c r="M907" s="105">
        <f t="shared" si="47"/>
        <v>0</v>
      </c>
      <c r="N907" s="103" t="str">
        <f t="shared" si="41"/>
        <v>0 tubes and 0 shuttles</v>
      </c>
      <c r="O907" s="36">
        <f t="shared" si="42"/>
        <v>0</v>
      </c>
      <c r="P907" s="103" t="str">
        <f t="shared" si="43"/>
        <v>0 tubes and 0 shuttles</v>
      </c>
    </row>
    <row r="908" spans="1:16" ht="12.5" x14ac:dyDescent="0.25">
      <c r="A908" s="32">
        <f>'Profit &amp; Loss'!A908</f>
        <v>0</v>
      </c>
      <c r="B908" s="35">
        <f>'Profit &amp; Loss'!B908</f>
        <v>0</v>
      </c>
      <c r="C908" s="36"/>
      <c r="D908" s="33"/>
      <c r="E908" s="33"/>
      <c r="F908" s="101"/>
      <c r="G908" s="102">
        <f t="shared" si="44"/>
        <v>0</v>
      </c>
      <c r="H908" s="103" t="str">
        <f t="shared" si="38"/>
        <v>0 tubes and 0 shuttles</v>
      </c>
      <c r="I908" s="36">
        <f t="shared" si="45"/>
        <v>0</v>
      </c>
      <c r="J908" s="104" t="str">
        <f t="shared" si="39"/>
        <v>0 tubes and 0 shuttles</v>
      </c>
      <c r="K908" s="36">
        <f t="shared" si="46"/>
        <v>0</v>
      </c>
      <c r="L908" s="103" t="str">
        <f t="shared" si="40"/>
        <v>0 tubes and 0 shuttles</v>
      </c>
      <c r="M908" s="105">
        <f t="shared" si="47"/>
        <v>0</v>
      </c>
      <c r="N908" s="103" t="str">
        <f t="shared" si="41"/>
        <v>0 tubes and 0 shuttles</v>
      </c>
      <c r="O908" s="36">
        <f t="shared" si="42"/>
        <v>0</v>
      </c>
      <c r="P908" s="103" t="str">
        <f t="shared" si="43"/>
        <v>0 tubes and 0 shuttles</v>
      </c>
    </row>
    <row r="909" spans="1:16" ht="12.5" x14ac:dyDescent="0.25">
      <c r="A909" s="32">
        <f>'Profit &amp; Loss'!A909</f>
        <v>0</v>
      </c>
      <c r="B909" s="35">
        <f>'Profit &amp; Loss'!B909</f>
        <v>0</v>
      </c>
      <c r="C909" s="36"/>
      <c r="D909" s="33"/>
      <c r="E909" s="33"/>
      <c r="F909" s="101"/>
      <c r="G909" s="102">
        <f t="shared" si="44"/>
        <v>0</v>
      </c>
      <c r="H909" s="103" t="str">
        <f t="shared" si="38"/>
        <v>0 tubes and 0 shuttles</v>
      </c>
      <c r="I909" s="36">
        <f t="shared" si="45"/>
        <v>0</v>
      </c>
      <c r="J909" s="104" t="str">
        <f t="shared" si="39"/>
        <v>0 tubes and 0 shuttles</v>
      </c>
      <c r="K909" s="36">
        <f t="shared" si="46"/>
        <v>0</v>
      </c>
      <c r="L909" s="103" t="str">
        <f t="shared" si="40"/>
        <v>0 tubes and 0 shuttles</v>
      </c>
      <c r="M909" s="105">
        <f t="shared" si="47"/>
        <v>0</v>
      </c>
      <c r="N909" s="103" t="str">
        <f t="shared" si="41"/>
        <v>0 tubes and 0 shuttles</v>
      </c>
      <c r="O909" s="36">
        <f t="shared" si="42"/>
        <v>0</v>
      </c>
      <c r="P909" s="103" t="str">
        <f t="shared" si="43"/>
        <v>0 tubes and 0 shuttles</v>
      </c>
    </row>
    <row r="910" spans="1:16" ht="12.5" x14ac:dyDescent="0.25">
      <c r="A910" s="32">
        <f>'Profit &amp; Loss'!A910</f>
        <v>0</v>
      </c>
      <c r="B910" s="35">
        <f>'Profit &amp; Loss'!B910</f>
        <v>0</v>
      </c>
      <c r="C910" s="36"/>
      <c r="D910" s="33"/>
      <c r="E910" s="33"/>
      <c r="F910" s="101"/>
      <c r="G910" s="102">
        <f t="shared" si="44"/>
        <v>0</v>
      </c>
      <c r="H910" s="103" t="str">
        <f t="shared" si="38"/>
        <v>0 tubes and 0 shuttles</v>
      </c>
      <c r="I910" s="36">
        <f t="shared" si="45"/>
        <v>0</v>
      </c>
      <c r="J910" s="104" t="str">
        <f t="shared" si="39"/>
        <v>0 tubes and 0 shuttles</v>
      </c>
      <c r="K910" s="36">
        <f t="shared" si="46"/>
        <v>0</v>
      </c>
      <c r="L910" s="103" t="str">
        <f t="shared" si="40"/>
        <v>0 tubes and 0 shuttles</v>
      </c>
      <c r="M910" s="105">
        <f t="shared" si="47"/>
        <v>0</v>
      </c>
      <c r="N910" s="103" t="str">
        <f t="shared" si="41"/>
        <v>0 tubes and 0 shuttles</v>
      </c>
      <c r="O910" s="36">
        <f t="shared" si="42"/>
        <v>0</v>
      </c>
      <c r="P910" s="103" t="str">
        <f t="shared" si="43"/>
        <v>0 tubes and 0 shuttles</v>
      </c>
    </row>
    <row r="911" spans="1:16" ht="12.5" x14ac:dyDescent="0.25">
      <c r="A911" s="32">
        <f>'Profit &amp; Loss'!A911</f>
        <v>0</v>
      </c>
      <c r="B911" s="35">
        <f>'Profit &amp; Loss'!B911</f>
        <v>0</v>
      </c>
      <c r="C911" s="36"/>
      <c r="D911" s="33"/>
      <c r="E911" s="33"/>
      <c r="F911" s="101"/>
      <c r="G911" s="102">
        <f t="shared" si="44"/>
        <v>0</v>
      </c>
      <c r="H911" s="103" t="str">
        <f t="shared" si="38"/>
        <v>0 tubes and 0 shuttles</v>
      </c>
      <c r="I911" s="36">
        <f t="shared" si="45"/>
        <v>0</v>
      </c>
      <c r="J911" s="104" t="str">
        <f t="shared" si="39"/>
        <v>0 tubes and 0 shuttles</v>
      </c>
      <c r="K911" s="36">
        <f t="shared" si="46"/>
        <v>0</v>
      </c>
      <c r="L911" s="103" t="str">
        <f t="shared" si="40"/>
        <v>0 tubes and 0 shuttles</v>
      </c>
      <c r="M911" s="105">
        <f t="shared" si="47"/>
        <v>0</v>
      </c>
      <c r="N911" s="103" t="str">
        <f t="shared" si="41"/>
        <v>0 tubes and 0 shuttles</v>
      </c>
      <c r="O911" s="36">
        <f t="shared" si="42"/>
        <v>0</v>
      </c>
      <c r="P911" s="103" t="str">
        <f t="shared" si="43"/>
        <v>0 tubes and 0 shuttles</v>
      </c>
    </row>
    <row r="912" spans="1:16" ht="12.5" x14ac:dyDescent="0.25">
      <c r="A912" s="32">
        <f>'Profit &amp; Loss'!A912</f>
        <v>0</v>
      </c>
      <c r="B912" s="35">
        <f>'Profit &amp; Loss'!B912</f>
        <v>0</v>
      </c>
      <c r="C912" s="36"/>
      <c r="D912" s="33"/>
      <c r="E912" s="33"/>
      <c r="F912" s="101"/>
      <c r="G912" s="102">
        <f t="shared" si="44"/>
        <v>0</v>
      </c>
      <c r="H912" s="103" t="str">
        <f t="shared" si="38"/>
        <v>0 tubes and 0 shuttles</v>
      </c>
      <c r="I912" s="36">
        <f t="shared" si="45"/>
        <v>0</v>
      </c>
      <c r="J912" s="104" t="str">
        <f t="shared" si="39"/>
        <v>0 tubes and 0 shuttles</v>
      </c>
      <c r="K912" s="36">
        <f t="shared" si="46"/>
        <v>0</v>
      </c>
      <c r="L912" s="103" t="str">
        <f t="shared" si="40"/>
        <v>0 tubes and 0 shuttles</v>
      </c>
      <c r="M912" s="105">
        <f t="shared" si="47"/>
        <v>0</v>
      </c>
      <c r="N912" s="103" t="str">
        <f t="shared" si="41"/>
        <v>0 tubes and 0 shuttles</v>
      </c>
      <c r="O912" s="36">
        <f t="shared" si="42"/>
        <v>0</v>
      </c>
      <c r="P912" s="103" t="str">
        <f t="shared" si="43"/>
        <v>0 tubes and 0 shuttles</v>
      </c>
    </row>
    <row r="913" spans="1:16" ht="12.5" x14ac:dyDescent="0.25">
      <c r="A913" s="32">
        <f>'Profit &amp; Loss'!A913</f>
        <v>0</v>
      </c>
      <c r="B913" s="35">
        <f>'Profit &amp; Loss'!B913</f>
        <v>0</v>
      </c>
      <c r="C913" s="36"/>
      <c r="D913" s="33"/>
      <c r="E913" s="33"/>
      <c r="F913" s="101"/>
      <c r="G913" s="102">
        <f t="shared" si="44"/>
        <v>0</v>
      </c>
      <c r="H913" s="103" t="str">
        <f t="shared" si="38"/>
        <v>0 tubes and 0 shuttles</v>
      </c>
      <c r="I913" s="36">
        <f t="shared" si="45"/>
        <v>0</v>
      </c>
      <c r="J913" s="104" t="str">
        <f t="shared" si="39"/>
        <v>0 tubes and 0 shuttles</v>
      </c>
      <c r="K913" s="36">
        <f t="shared" si="46"/>
        <v>0</v>
      </c>
      <c r="L913" s="103" t="str">
        <f t="shared" si="40"/>
        <v>0 tubes and 0 shuttles</v>
      </c>
      <c r="M913" s="105">
        <f t="shared" si="47"/>
        <v>0</v>
      </c>
      <c r="N913" s="103" t="str">
        <f t="shared" si="41"/>
        <v>0 tubes and 0 shuttles</v>
      </c>
      <c r="O913" s="36">
        <f t="shared" si="42"/>
        <v>0</v>
      </c>
      <c r="P913" s="103" t="str">
        <f t="shared" si="43"/>
        <v>0 tubes and 0 shuttles</v>
      </c>
    </row>
    <row r="914" spans="1:16" ht="12.5" x14ac:dyDescent="0.25">
      <c r="A914" s="32">
        <f>'Profit &amp; Loss'!A914</f>
        <v>0</v>
      </c>
      <c r="B914" s="35">
        <f>'Profit &amp; Loss'!B914</f>
        <v>0</v>
      </c>
      <c r="C914" s="36"/>
      <c r="D914" s="33"/>
      <c r="E914" s="33"/>
      <c r="F914" s="101"/>
      <c r="G914" s="102">
        <f t="shared" si="44"/>
        <v>0</v>
      </c>
      <c r="H914" s="103" t="str">
        <f t="shared" si="38"/>
        <v>0 tubes and 0 shuttles</v>
      </c>
      <c r="I914" s="36">
        <f t="shared" si="45"/>
        <v>0</v>
      </c>
      <c r="J914" s="104" t="str">
        <f t="shared" si="39"/>
        <v>0 tubes and 0 shuttles</v>
      </c>
      <c r="K914" s="36">
        <f t="shared" si="46"/>
        <v>0</v>
      </c>
      <c r="L914" s="103" t="str">
        <f t="shared" si="40"/>
        <v>0 tubes and 0 shuttles</v>
      </c>
      <c r="M914" s="105">
        <f t="shared" si="47"/>
        <v>0</v>
      </c>
      <c r="N914" s="103" t="str">
        <f t="shared" si="41"/>
        <v>0 tubes and 0 shuttles</v>
      </c>
      <c r="O914" s="36">
        <f t="shared" si="42"/>
        <v>0</v>
      </c>
      <c r="P914" s="103" t="str">
        <f t="shared" si="43"/>
        <v>0 tubes and 0 shuttles</v>
      </c>
    </row>
    <row r="915" spans="1:16" ht="12.5" x14ac:dyDescent="0.25">
      <c r="A915" s="32">
        <f>'Profit &amp; Loss'!A915</f>
        <v>0</v>
      </c>
      <c r="B915" s="35">
        <f>'Profit &amp; Loss'!B915</f>
        <v>0</v>
      </c>
      <c r="C915" s="36"/>
      <c r="D915" s="33"/>
      <c r="E915" s="33"/>
      <c r="F915" s="101"/>
      <c r="G915" s="102">
        <f t="shared" si="44"/>
        <v>0</v>
      </c>
      <c r="H915" s="103" t="str">
        <f t="shared" si="38"/>
        <v>0 tubes and 0 shuttles</v>
      </c>
      <c r="I915" s="36">
        <f t="shared" si="45"/>
        <v>0</v>
      </c>
      <c r="J915" s="104" t="str">
        <f t="shared" si="39"/>
        <v>0 tubes and 0 shuttles</v>
      </c>
      <c r="K915" s="36">
        <f t="shared" si="46"/>
        <v>0</v>
      </c>
      <c r="L915" s="103" t="str">
        <f t="shared" si="40"/>
        <v>0 tubes and 0 shuttles</v>
      </c>
      <c r="M915" s="105">
        <f t="shared" si="47"/>
        <v>0</v>
      </c>
      <c r="N915" s="103" t="str">
        <f t="shared" si="41"/>
        <v>0 tubes and 0 shuttles</v>
      </c>
      <c r="O915" s="36">
        <f t="shared" si="42"/>
        <v>0</v>
      </c>
      <c r="P915" s="103" t="str">
        <f t="shared" si="43"/>
        <v>0 tubes and 0 shuttles</v>
      </c>
    </row>
    <row r="916" spans="1:16" ht="12.5" x14ac:dyDescent="0.25">
      <c r="A916" s="32">
        <f>'Profit &amp; Loss'!A916</f>
        <v>0</v>
      </c>
      <c r="B916" s="35">
        <f>'Profit &amp; Loss'!B916</f>
        <v>0</v>
      </c>
      <c r="C916" s="36"/>
      <c r="D916" s="33"/>
      <c r="E916" s="33"/>
      <c r="F916" s="101"/>
      <c r="G916" s="102">
        <f t="shared" si="44"/>
        <v>0</v>
      </c>
      <c r="H916" s="103" t="str">
        <f t="shared" si="38"/>
        <v>0 tubes and 0 shuttles</v>
      </c>
      <c r="I916" s="36">
        <f t="shared" si="45"/>
        <v>0</v>
      </c>
      <c r="J916" s="104" t="str">
        <f t="shared" si="39"/>
        <v>0 tubes and 0 shuttles</v>
      </c>
      <c r="K916" s="36">
        <f t="shared" si="46"/>
        <v>0</v>
      </c>
      <c r="L916" s="103" t="str">
        <f t="shared" si="40"/>
        <v>0 tubes and 0 shuttles</v>
      </c>
      <c r="M916" s="105">
        <f t="shared" si="47"/>
        <v>0</v>
      </c>
      <c r="N916" s="103" t="str">
        <f t="shared" si="41"/>
        <v>0 tubes and 0 shuttles</v>
      </c>
      <c r="O916" s="36">
        <f t="shared" si="42"/>
        <v>0</v>
      </c>
      <c r="P916" s="103" t="str">
        <f t="shared" si="43"/>
        <v>0 tubes and 0 shuttles</v>
      </c>
    </row>
    <row r="917" spans="1:16" ht="12.5" x14ac:dyDescent="0.25">
      <c r="A917" s="32">
        <f>'Profit &amp; Loss'!A917</f>
        <v>0</v>
      </c>
      <c r="B917" s="35">
        <f>'Profit &amp; Loss'!B917</f>
        <v>0</v>
      </c>
      <c r="C917" s="36"/>
      <c r="D917" s="33"/>
      <c r="E917" s="33"/>
      <c r="F917" s="101"/>
      <c r="G917" s="102">
        <f t="shared" si="44"/>
        <v>0</v>
      </c>
      <c r="H917" s="103" t="str">
        <f t="shared" si="38"/>
        <v>0 tubes and 0 shuttles</v>
      </c>
      <c r="I917" s="36">
        <f t="shared" si="45"/>
        <v>0</v>
      </c>
      <c r="J917" s="104" t="str">
        <f t="shared" si="39"/>
        <v>0 tubes and 0 shuttles</v>
      </c>
      <c r="K917" s="36">
        <f t="shared" si="46"/>
        <v>0</v>
      </c>
      <c r="L917" s="103" t="str">
        <f t="shared" si="40"/>
        <v>0 tubes and 0 shuttles</v>
      </c>
      <c r="M917" s="105">
        <f t="shared" si="47"/>
        <v>0</v>
      </c>
      <c r="N917" s="103" t="str">
        <f t="shared" si="41"/>
        <v>0 tubes and 0 shuttles</v>
      </c>
      <c r="O917" s="36">
        <f t="shared" si="42"/>
        <v>0</v>
      </c>
      <c r="P917" s="103" t="str">
        <f t="shared" si="43"/>
        <v>0 tubes and 0 shuttles</v>
      </c>
    </row>
    <row r="918" spans="1:16" ht="12.5" x14ac:dyDescent="0.25">
      <c r="A918" s="32">
        <f>'Profit &amp; Loss'!A918</f>
        <v>0</v>
      </c>
      <c r="B918" s="35">
        <f>'Profit &amp; Loss'!B918</f>
        <v>0</v>
      </c>
      <c r="C918" s="36"/>
      <c r="D918" s="33"/>
      <c r="E918" s="33"/>
      <c r="F918" s="101"/>
      <c r="G918" s="102">
        <f t="shared" si="44"/>
        <v>0</v>
      </c>
      <c r="H918" s="103" t="str">
        <f t="shared" si="38"/>
        <v>0 tubes and 0 shuttles</v>
      </c>
      <c r="I918" s="36">
        <f t="shared" si="45"/>
        <v>0</v>
      </c>
      <c r="J918" s="104" t="str">
        <f t="shared" si="39"/>
        <v>0 tubes and 0 shuttles</v>
      </c>
      <c r="K918" s="36">
        <f t="shared" si="46"/>
        <v>0</v>
      </c>
      <c r="L918" s="103" t="str">
        <f t="shared" si="40"/>
        <v>0 tubes and 0 shuttles</v>
      </c>
      <c r="M918" s="105">
        <f t="shared" si="47"/>
        <v>0</v>
      </c>
      <c r="N918" s="103" t="str">
        <f t="shared" si="41"/>
        <v>0 tubes and 0 shuttles</v>
      </c>
      <c r="O918" s="36">
        <f t="shared" si="42"/>
        <v>0</v>
      </c>
      <c r="P918" s="103" t="str">
        <f t="shared" si="43"/>
        <v>0 tubes and 0 shuttles</v>
      </c>
    </row>
    <row r="919" spans="1:16" ht="12.5" x14ac:dyDescent="0.25">
      <c r="A919" s="32">
        <f>'Profit &amp; Loss'!A919</f>
        <v>0</v>
      </c>
      <c r="B919" s="35">
        <f>'Profit &amp; Loss'!B919</f>
        <v>0</v>
      </c>
      <c r="C919" s="36"/>
      <c r="D919" s="33"/>
      <c r="E919" s="33"/>
      <c r="F919" s="101"/>
      <c r="G919" s="102">
        <f t="shared" si="44"/>
        <v>0</v>
      </c>
      <c r="H919" s="103" t="str">
        <f t="shared" si="38"/>
        <v>0 tubes and 0 shuttles</v>
      </c>
      <c r="I919" s="36">
        <f t="shared" si="45"/>
        <v>0</v>
      </c>
      <c r="J919" s="104" t="str">
        <f t="shared" si="39"/>
        <v>0 tubes and 0 shuttles</v>
      </c>
      <c r="K919" s="36">
        <f t="shared" si="46"/>
        <v>0</v>
      </c>
      <c r="L919" s="103" t="str">
        <f t="shared" si="40"/>
        <v>0 tubes and 0 shuttles</v>
      </c>
      <c r="M919" s="105">
        <f t="shared" si="47"/>
        <v>0</v>
      </c>
      <c r="N919" s="103" t="str">
        <f t="shared" si="41"/>
        <v>0 tubes and 0 shuttles</v>
      </c>
      <c r="O919" s="36">
        <f t="shared" si="42"/>
        <v>0</v>
      </c>
      <c r="P919" s="103" t="str">
        <f t="shared" si="43"/>
        <v>0 tubes and 0 shuttles</v>
      </c>
    </row>
    <row r="920" spans="1:16" ht="12.5" x14ac:dyDescent="0.25">
      <c r="A920" s="32">
        <f>'Profit &amp; Loss'!A920</f>
        <v>0</v>
      </c>
      <c r="B920" s="35">
        <f>'Profit &amp; Loss'!B920</f>
        <v>0</v>
      </c>
      <c r="C920" s="36"/>
      <c r="D920" s="33"/>
      <c r="E920" s="33"/>
      <c r="F920" s="101"/>
      <c r="G920" s="102">
        <f t="shared" si="44"/>
        <v>0</v>
      </c>
      <c r="H920" s="103" t="str">
        <f t="shared" si="38"/>
        <v>0 tubes and 0 shuttles</v>
      </c>
      <c r="I920" s="36">
        <f t="shared" si="45"/>
        <v>0</v>
      </c>
      <c r="J920" s="104" t="str">
        <f t="shared" si="39"/>
        <v>0 tubes and 0 shuttles</v>
      </c>
      <c r="K920" s="36">
        <f t="shared" si="46"/>
        <v>0</v>
      </c>
      <c r="L920" s="103" t="str">
        <f t="shared" si="40"/>
        <v>0 tubes and 0 shuttles</v>
      </c>
      <c r="M920" s="105">
        <f t="shared" si="47"/>
        <v>0</v>
      </c>
      <c r="N920" s="103" t="str">
        <f t="shared" si="41"/>
        <v>0 tubes and 0 shuttles</v>
      </c>
      <c r="O920" s="36">
        <f t="shared" si="42"/>
        <v>0</v>
      </c>
      <c r="P920" s="103" t="str">
        <f t="shared" si="43"/>
        <v>0 tubes and 0 shuttles</v>
      </c>
    </row>
    <row r="921" spans="1:16" ht="12.5" x14ac:dyDescent="0.25">
      <c r="A921" s="32">
        <f>'Profit &amp; Loss'!A921</f>
        <v>0</v>
      </c>
      <c r="B921" s="35">
        <f>'Profit &amp; Loss'!B921</f>
        <v>0</v>
      </c>
      <c r="C921" s="36"/>
      <c r="D921" s="33"/>
      <c r="E921" s="33"/>
      <c r="F921" s="101"/>
      <c r="G921" s="102">
        <f t="shared" si="44"/>
        <v>0</v>
      </c>
      <c r="H921" s="103" t="str">
        <f t="shared" si="38"/>
        <v>0 tubes and 0 shuttles</v>
      </c>
      <c r="I921" s="36">
        <f t="shared" si="45"/>
        <v>0</v>
      </c>
      <c r="J921" s="104" t="str">
        <f t="shared" si="39"/>
        <v>0 tubes and 0 shuttles</v>
      </c>
      <c r="K921" s="36">
        <f t="shared" si="46"/>
        <v>0</v>
      </c>
      <c r="L921" s="103" t="str">
        <f t="shared" si="40"/>
        <v>0 tubes and 0 shuttles</v>
      </c>
      <c r="M921" s="105">
        <f t="shared" si="47"/>
        <v>0</v>
      </c>
      <c r="N921" s="103" t="str">
        <f t="shared" si="41"/>
        <v>0 tubes and 0 shuttles</v>
      </c>
      <c r="O921" s="36">
        <f t="shared" si="42"/>
        <v>0</v>
      </c>
      <c r="P921" s="103" t="str">
        <f t="shared" si="43"/>
        <v>0 tubes and 0 shuttles</v>
      </c>
    </row>
    <row r="922" spans="1:16" ht="12.5" x14ac:dyDescent="0.25">
      <c r="A922" s="32">
        <f>'Profit &amp; Loss'!A922</f>
        <v>0</v>
      </c>
      <c r="B922" s="35">
        <f>'Profit &amp; Loss'!B922</f>
        <v>0</v>
      </c>
      <c r="C922" s="36"/>
      <c r="D922" s="33"/>
      <c r="E922" s="33"/>
      <c r="F922" s="101"/>
      <c r="G922" s="102">
        <f t="shared" si="44"/>
        <v>0</v>
      </c>
      <c r="H922" s="103" t="str">
        <f t="shared" si="38"/>
        <v>0 tubes and 0 shuttles</v>
      </c>
      <c r="I922" s="36">
        <f t="shared" si="45"/>
        <v>0</v>
      </c>
      <c r="J922" s="104" t="str">
        <f t="shared" si="39"/>
        <v>0 tubes and 0 shuttles</v>
      </c>
      <c r="K922" s="36">
        <f t="shared" si="46"/>
        <v>0</v>
      </c>
      <c r="L922" s="103" t="str">
        <f t="shared" si="40"/>
        <v>0 tubes and 0 shuttles</v>
      </c>
      <c r="M922" s="105">
        <f t="shared" si="47"/>
        <v>0</v>
      </c>
      <c r="N922" s="103" t="str">
        <f t="shared" si="41"/>
        <v>0 tubes and 0 shuttles</v>
      </c>
      <c r="O922" s="36">
        <f t="shared" si="42"/>
        <v>0</v>
      </c>
      <c r="P922" s="103" t="str">
        <f t="shared" si="43"/>
        <v>0 tubes and 0 shuttles</v>
      </c>
    </row>
    <row r="923" spans="1:16" ht="12.5" x14ac:dyDescent="0.25">
      <c r="A923" s="32">
        <f>'Profit &amp; Loss'!A923</f>
        <v>0</v>
      </c>
      <c r="B923" s="35">
        <f>'Profit &amp; Loss'!B923</f>
        <v>0</v>
      </c>
      <c r="C923" s="36"/>
      <c r="D923" s="33"/>
      <c r="E923" s="33"/>
      <c r="F923" s="101"/>
      <c r="G923" s="102">
        <f t="shared" si="44"/>
        <v>0</v>
      </c>
      <c r="H923" s="103" t="str">
        <f t="shared" si="38"/>
        <v>0 tubes and 0 shuttles</v>
      </c>
      <c r="I923" s="36">
        <f t="shared" si="45"/>
        <v>0</v>
      </c>
      <c r="J923" s="104" t="str">
        <f t="shared" si="39"/>
        <v>0 tubes and 0 shuttles</v>
      </c>
      <c r="K923" s="36">
        <f t="shared" si="46"/>
        <v>0</v>
      </c>
      <c r="L923" s="103" t="str">
        <f t="shared" si="40"/>
        <v>0 tubes and 0 shuttles</v>
      </c>
      <c r="M923" s="105">
        <f t="shared" si="47"/>
        <v>0</v>
      </c>
      <c r="N923" s="103" t="str">
        <f t="shared" si="41"/>
        <v>0 tubes and 0 shuttles</v>
      </c>
      <c r="O923" s="36">
        <f t="shared" si="42"/>
        <v>0</v>
      </c>
      <c r="P923" s="103" t="str">
        <f t="shared" si="43"/>
        <v>0 tubes and 0 shuttles</v>
      </c>
    </row>
    <row r="924" spans="1:16" ht="12.5" x14ac:dyDescent="0.25">
      <c r="A924" s="32">
        <f>'Profit &amp; Loss'!A924</f>
        <v>0</v>
      </c>
      <c r="B924" s="35">
        <f>'Profit &amp; Loss'!B924</f>
        <v>0</v>
      </c>
      <c r="C924" s="36"/>
      <c r="D924" s="33"/>
      <c r="E924" s="33"/>
      <c r="F924" s="101"/>
      <c r="G924" s="102">
        <f t="shared" si="44"/>
        <v>0</v>
      </c>
      <c r="H924" s="103" t="str">
        <f t="shared" si="38"/>
        <v>0 tubes and 0 shuttles</v>
      </c>
      <c r="I924" s="36">
        <f t="shared" si="45"/>
        <v>0</v>
      </c>
      <c r="J924" s="104" t="str">
        <f t="shared" si="39"/>
        <v>0 tubes and 0 shuttles</v>
      </c>
      <c r="K924" s="36">
        <f t="shared" si="46"/>
        <v>0</v>
      </c>
      <c r="L924" s="103" t="str">
        <f t="shared" si="40"/>
        <v>0 tubes and 0 shuttles</v>
      </c>
      <c r="M924" s="105">
        <f t="shared" si="47"/>
        <v>0</v>
      </c>
      <c r="N924" s="103" t="str">
        <f t="shared" si="41"/>
        <v>0 tubes and 0 shuttles</v>
      </c>
      <c r="O924" s="36">
        <f t="shared" si="42"/>
        <v>0</v>
      </c>
      <c r="P924" s="103" t="str">
        <f t="shared" si="43"/>
        <v>0 tubes and 0 shuttles</v>
      </c>
    </row>
    <row r="925" spans="1:16" ht="12.5" x14ac:dyDescent="0.25">
      <c r="A925" s="32">
        <f>'Profit &amp; Loss'!A925</f>
        <v>0</v>
      </c>
      <c r="B925" s="35">
        <f>'Profit &amp; Loss'!B925</f>
        <v>0</v>
      </c>
      <c r="C925" s="36"/>
      <c r="D925" s="33"/>
      <c r="E925" s="33"/>
      <c r="F925" s="101"/>
      <c r="G925" s="102">
        <f t="shared" si="44"/>
        <v>0</v>
      </c>
      <c r="H925" s="103" t="str">
        <f t="shared" si="38"/>
        <v>0 tubes and 0 shuttles</v>
      </c>
      <c r="I925" s="36">
        <f t="shared" si="45"/>
        <v>0</v>
      </c>
      <c r="J925" s="104" t="str">
        <f t="shared" si="39"/>
        <v>0 tubes and 0 shuttles</v>
      </c>
      <c r="K925" s="36">
        <f t="shared" si="46"/>
        <v>0</v>
      </c>
      <c r="L925" s="103" t="str">
        <f t="shared" si="40"/>
        <v>0 tubes and 0 shuttles</v>
      </c>
      <c r="M925" s="105">
        <f t="shared" si="47"/>
        <v>0</v>
      </c>
      <c r="N925" s="103" t="str">
        <f t="shared" si="41"/>
        <v>0 tubes and 0 shuttles</v>
      </c>
      <c r="O925" s="36">
        <f t="shared" si="42"/>
        <v>0</v>
      </c>
      <c r="P925" s="103" t="str">
        <f t="shared" si="43"/>
        <v>0 tubes and 0 shuttles</v>
      </c>
    </row>
    <row r="926" spans="1:16" ht="12.5" x14ac:dyDescent="0.25">
      <c r="A926" s="32">
        <f>'Profit &amp; Loss'!A926</f>
        <v>0</v>
      </c>
      <c r="B926" s="35">
        <f>'Profit &amp; Loss'!B926</f>
        <v>0</v>
      </c>
      <c r="C926" s="36"/>
      <c r="D926" s="33"/>
      <c r="E926" s="33"/>
      <c r="F926" s="101"/>
      <c r="G926" s="102">
        <f t="shared" si="44"/>
        <v>0</v>
      </c>
      <c r="H926" s="103" t="str">
        <f t="shared" si="38"/>
        <v>0 tubes and 0 shuttles</v>
      </c>
      <c r="I926" s="36">
        <f t="shared" si="45"/>
        <v>0</v>
      </c>
      <c r="J926" s="104" t="str">
        <f t="shared" si="39"/>
        <v>0 tubes and 0 shuttles</v>
      </c>
      <c r="K926" s="36">
        <f t="shared" si="46"/>
        <v>0</v>
      </c>
      <c r="L926" s="103" t="str">
        <f t="shared" si="40"/>
        <v>0 tubes and 0 shuttles</v>
      </c>
      <c r="M926" s="105">
        <f t="shared" si="47"/>
        <v>0</v>
      </c>
      <c r="N926" s="103" t="str">
        <f t="shared" si="41"/>
        <v>0 tubes and 0 shuttles</v>
      </c>
      <c r="O926" s="36">
        <f t="shared" si="42"/>
        <v>0</v>
      </c>
      <c r="P926" s="103" t="str">
        <f t="shared" si="43"/>
        <v>0 tubes and 0 shuttles</v>
      </c>
    </row>
    <row r="927" spans="1:16" ht="12.5" x14ac:dyDescent="0.25">
      <c r="A927" s="32">
        <f>'Profit &amp; Loss'!A927</f>
        <v>0</v>
      </c>
      <c r="B927" s="35">
        <f>'Profit &amp; Loss'!B927</f>
        <v>0</v>
      </c>
      <c r="C927" s="36"/>
      <c r="D927" s="33"/>
      <c r="E927" s="33"/>
      <c r="F927" s="101"/>
      <c r="G927" s="102">
        <f t="shared" si="44"/>
        <v>0</v>
      </c>
      <c r="H927" s="103" t="str">
        <f t="shared" si="38"/>
        <v>0 tubes and 0 shuttles</v>
      </c>
      <c r="I927" s="36">
        <f t="shared" si="45"/>
        <v>0</v>
      </c>
      <c r="J927" s="104" t="str">
        <f t="shared" si="39"/>
        <v>0 tubes and 0 shuttles</v>
      </c>
      <c r="K927" s="36">
        <f t="shared" si="46"/>
        <v>0</v>
      </c>
      <c r="L927" s="103" t="str">
        <f t="shared" si="40"/>
        <v>0 tubes and 0 shuttles</v>
      </c>
      <c r="M927" s="105">
        <f t="shared" si="47"/>
        <v>0</v>
      </c>
      <c r="N927" s="103" t="str">
        <f t="shared" si="41"/>
        <v>0 tubes and 0 shuttles</v>
      </c>
      <c r="O927" s="36">
        <f t="shared" si="42"/>
        <v>0</v>
      </c>
      <c r="P927" s="103" t="str">
        <f t="shared" si="43"/>
        <v>0 tubes and 0 shuttles</v>
      </c>
    </row>
    <row r="928" spans="1:16" ht="12.5" x14ac:dyDescent="0.25">
      <c r="A928" s="32">
        <f>'Profit &amp; Loss'!A928</f>
        <v>0</v>
      </c>
      <c r="B928" s="35">
        <f>'Profit &amp; Loss'!B928</f>
        <v>0</v>
      </c>
      <c r="C928" s="36"/>
      <c r="D928" s="33"/>
      <c r="E928" s="33"/>
      <c r="F928" s="101"/>
      <c r="G928" s="102">
        <f t="shared" si="44"/>
        <v>0</v>
      </c>
      <c r="H928" s="103" t="str">
        <f t="shared" si="38"/>
        <v>0 tubes and 0 shuttles</v>
      </c>
      <c r="I928" s="36">
        <f t="shared" si="45"/>
        <v>0</v>
      </c>
      <c r="J928" s="104" t="str">
        <f t="shared" si="39"/>
        <v>0 tubes and 0 shuttles</v>
      </c>
      <c r="K928" s="36">
        <f t="shared" si="46"/>
        <v>0</v>
      </c>
      <c r="L928" s="103" t="str">
        <f t="shared" si="40"/>
        <v>0 tubes and 0 shuttles</v>
      </c>
      <c r="M928" s="105">
        <f t="shared" si="47"/>
        <v>0</v>
      </c>
      <c r="N928" s="103" t="str">
        <f t="shared" si="41"/>
        <v>0 tubes and 0 shuttles</v>
      </c>
      <c r="O928" s="36">
        <f t="shared" si="42"/>
        <v>0</v>
      </c>
      <c r="P928" s="103" t="str">
        <f t="shared" si="43"/>
        <v>0 tubes and 0 shuttles</v>
      </c>
    </row>
    <row r="929" spans="1:16" ht="12.5" x14ac:dyDescent="0.25">
      <c r="A929" s="32">
        <f>'Profit &amp; Loss'!A929</f>
        <v>0</v>
      </c>
      <c r="B929" s="35">
        <f>'Profit &amp; Loss'!B929</f>
        <v>0</v>
      </c>
      <c r="C929" s="36"/>
      <c r="D929" s="33"/>
      <c r="E929" s="33"/>
      <c r="F929" s="101"/>
      <c r="G929" s="102">
        <f t="shared" si="44"/>
        <v>0</v>
      </c>
      <c r="H929" s="103" t="str">
        <f t="shared" si="38"/>
        <v>0 tubes and 0 shuttles</v>
      </c>
      <c r="I929" s="36">
        <f t="shared" si="45"/>
        <v>0</v>
      </c>
      <c r="J929" s="104" t="str">
        <f t="shared" si="39"/>
        <v>0 tubes and 0 shuttles</v>
      </c>
      <c r="K929" s="36">
        <f t="shared" si="46"/>
        <v>0</v>
      </c>
      <c r="L929" s="103" t="str">
        <f t="shared" si="40"/>
        <v>0 tubes and 0 shuttles</v>
      </c>
      <c r="M929" s="105">
        <f t="shared" si="47"/>
        <v>0</v>
      </c>
      <c r="N929" s="103" t="str">
        <f t="shared" si="41"/>
        <v>0 tubes and 0 shuttles</v>
      </c>
      <c r="O929" s="36">
        <f t="shared" si="42"/>
        <v>0</v>
      </c>
      <c r="P929" s="103" t="str">
        <f t="shared" si="43"/>
        <v>0 tubes and 0 shuttles</v>
      </c>
    </row>
    <row r="930" spans="1:16" ht="12.5" x14ac:dyDescent="0.25">
      <c r="A930" s="32">
        <f>'Profit &amp; Loss'!A930</f>
        <v>0</v>
      </c>
      <c r="B930" s="35">
        <f>'Profit &amp; Loss'!B930</f>
        <v>0</v>
      </c>
      <c r="C930" s="36"/>
      <c r="D930" s="33"/>
      <c r="E930" s="33"/>
      <c r="F930" s="101"/>
      <c r="G930" s="102">
        <f t="shared" si="44"/>
        <v>0</v>
      </c>
      <c r="H930" s="103" t="str">
        <f t="shared" si="38"/>
        <v>0 tubes and 0 shuttles</v>
      </c>
      <c r="I930" s="36">
        <f t="shared" si="45"/>
        <v>0</v>
      </c>
      <c r="J930" s="104" t="str">
        <f t="shared" si="39"/>
        <v>0 tubes and 0 shuttles</v>
      </c>
      <c r="K930" s="36">
        <f t="shared" si="46"/>
        <v>0</v>
      </c>
      <c r="L930" s="103" t="str">
        <f t="shared" si="40"/>
        <v>0 tubes and 0 shuttles</v>
      </c>
      <c r="M930" s="105">
        <f t="shared" si="47"/>
        <v>0</v>
      </c>
      <c r="N930" s="103" t="str">
        <f t="shared" si="41"/>
        <v>0 tubes and 0 shuttles</v>
      </c>
      <c r="O930" s="36">
        <f t="shared" si="42"/>
        <v>0</v>
      </c>
      <c r="P930" s="103" t="str">
        <f t="shared" si="43"/>
        <v>0 tubes and 0 shuttles</v>
      </c>
    </row>
    <row r="931" spans="1:16" ht="12.5" x14ac:dyDescent="0.25">
      <c r="A931" s="32">
        <f>'Profit &amp; Loss'!A931</f>
        <v>0</v>
      </c>
      <c r="B931" s="35">
        <f>'Profit &amp; Loss'!B931</f>
        <v>0</v>
      </c>
      <c r="C931" s="36"/>
      <c r="D931" s="33"/>
      <c r="E931" s="33"/>
      <c r="F931" s="101"/>
      <c r="G931" s="102">
        <f t="shared" si="44"/>
        <v>0</v>
      </c>
      <c r="H931" s="103" t="str">
        <f t="shared" si="38"/>
        <v>0 tubes and 0 shuttles</v>
      </c>
      <c r="I931" s="36">
        <f t="shared" si="45"/>
        <v>0</v>
      </c>
      <c r="J931" s="104" t="str">
        <f t="shared" si="39"/>
        <v>0 tubes and 0 shuttles</v>
      </c>
      <c r="K931" s="36">
        <f t="shared" si="46"/>
        <v>0</v>
      </c>
      <c r="L931" s="103" t="str">
        <f t="shared" si="40"/>
        <v>0 tubes and 0 shuttles</v>
      </c>
      <c r="M931" s="105">
        <f t="shared" si="47"/>
        <v>0</v>
      </c>
      <c r="N931" s="103" t="str">
        <f t="shared" si="41"/>
        <v>0 tubes and 0 shuttles</v>
      </c>
      <c r="O931" s="36">
        <f t="shared" si="42"/>
        <v>0</v>
      </c>
      <c r="P931" s="103" t="str">
        <f t="shared" si="43"/>
        <v>0 tubes and 0 shuttles</v>
      </c>
    </row>
    <row r="932" spans="1:16" ht="12.5" x14ac:dyDescent="0.25">
      <c r="A932" s="32">
        <f>'Profit &amp; Loss'!A932</f>
        <v>0</v>
      </c>
      <c r="B932" s="35">
        <f>'Profit &amp; Loss'!B932</f>
        <v>0</v>
      </c>
      <c r="C932" s="36"/>
      <c r="D932" s="33"/>
      <c r="E932" s="33"/>
      <c r="F932" s="101"/>
      <c r="G932" s="102">
        <f t="shared" si="44"/>
        <v>0</v>
      </c>
      <c r="H932" s="103" t="str">
        <f t="shared" si="38"/>
        <v>0 tubes and 0 shuttles</v>
      </c>
      <c r="I932" s="36">
        <f t="shared" si="45"/>
        <v>0</v>
      </c>
      <c r="J932" s="104" t="str">
        <f t="shared" si="39"/>
        <v>0 tubes and 0 shuttles</v>
      </c>
      <c r="K932" s="36">
        <f t="shared" si="46"/>
        <v>0</v>
      </c>
      <c r="L932" s="103" t="str">
        <f t="shared" si="40"/>
        <v>0 tubes and 0 shuttles</v>
      </c>
      <c r="M932" s="105">
        <f t="shared" si="47"/>
        <v>0</v>
      </c>
      <c r="N932" s="103" t="str">
        <f t="shared" si="41"/>
        <v>0 tubes and 0 shuttles</v>
      </c>
      <c r="O932" s="36">
        <f t="shared" si="42"/>
        <v>0</v>
      </c>
      <c r="P932" s="103" t="str">
        <f t="shared" si="43"/>
        <v>0 tubes and 0 shuttles</v>
      </c>
    </row>
    <row r="933" spans="1:16" ht="12.5" x14ac:dyDescent="0.25">
      <c r="A933" s="32">
        <f>'Profit &amp; Loss'!A933</f>
        <v>0</v>
      </c>
      <c r="B933" s="35">
        <f>'Profit &amp; Loss'!B933</f>
        <v>0</v>
      </c>
      <c r="C933" s="36"/>
      <c r="D933" s="33"/>
      <c r="E933" s="33"/>
      <c r="F933" s="101"/>
      <c r="G933" s="102">
        <f t="shared" si="44"/>
        <v>0</v>
      </c>
      <c r="H933" s="103" t="str">
        <f t="shared" si="38"/>
        <v>0 tubes and 0 shuttles</v>
      </c>
      <c r="I933" s="36">
        <f t="shared" si="45"/>
        <v>0</v>
      </c>
      <c r="J933" s="104" t="str">
        <f t="shared" si="39"/>
        <v>0 tubes and 0 shuttles</v>
      </c>
      <c r="K933" s="36">
        <f t="shared" si="46"/>
        <v>0</v>
      </c>
      <c r="L933" s="103" t="str">
        <f t="shared" si="40"/>
        <v>0 tubes and 0 shuttles</v>
      </c>
      <c r="M933" s="105">
        <f t="shared" si="47"/>
        <v>0</v>
      </c>
      <c r="N933" s="103" t="str">
        <f t="shared" si="41"/>
        <v>0 tubes and 0 shuttles</v>
      </c>
      <c r="O933" s="36">
        <f t="shared" si="42"/>
        <v>0</v>
      </c>
      <c r="P933" s="103" t="str">
        <f t="shared" si="43"/>
        <v>0 tubes and 0 shuttles</v>
      </c>
    </row>
    <row r="934" spans="1:16" ht="12.5" x14ac:dyDescent="0.25">
      <c r="A934" s="32">
        <f>'Profit &amp; Loss'!A934</f>
        <v>0</v>
      </c>
      <c r="B934" s="35">
        <f>'Profit &amp; Loss'!B934</f>
        <v>0</v>
      </c>
      <c r="C934" s="36"/>
      <c r="D934" s="33"/>
      <c r="E934" s="33"/>
      <c r="F934" s="101"/>
      <c r="G934" s="102">
        <f t="shared" si="44"/>
        <v>0</v>
      </c>
      <c r="H934" s="103" t="str">
        <f t="shared" si="38"/>
        <v>0 tubes and 0 shuttles</v>
      </c>
      <c r="I934" s="36">
        <f t="shared" si="45"/>
        <v>0</v>
      </c>
      <c r="J934" s="104" t="str">
        <f t="shared" si="39"/>
        <v>0 tubes and 0 shuttles</v>
      </c>
      <c r="K934" s="36">
        <f t="shared" si="46"/>
        <v>0</v>
      </c>
      <c r="L934" s="103" t="str">
        <f t="shared" si="40"/>
        <v>0 tubes and 0 shuttles</v>
      </c>
      <c r="M934" s="105">
        <f t="shared" si="47"/>
        <v>0</v>
      </c>
      <c r="N934" s="103" t="str">
        <f t="shared" si="41"/>
        <v>0 tubes and 0 shuttles</v>
      </c>
      <c r="O934" s="36">
        <f t="shared" si="42"/>
        <v>0</v>
      </c>
      <c r="P934" s="103" t="str">
        <f t="shared" si="43"/>
        <v>0 tubes and 0 shuttles</v>
      </c>
    </row>
    <row r="935" spans="1:16" ht="12.5" x14ac:dyDescent="0.25">
      <c r="A935" s="32">
        <f>'Profit &amp; Loss'!A935</f>
        <v>0</v>
      </c>
      <c r="B935" s="35">
        <f>'Profit &amp; Loss'!B935</f>
        <v>0</v>
      </c>
      <c r="C935" s="36"/>
      <c r="D935" s="33"/>
      <c r="E935" s="33"/>
      <c r="F935" s="101"/>
      <c r="G935" s="102">
        <f t="shared" si="44"/>
        <v>0</v>
      </c>
      <c r="H935" s="103" t="str">
        <f t="shared" si="38"/>
        <v>0 tubes and 0 shuttles</v>
      </c>
      <c r="I935" s="36">
        <f t="shared" si="45"/>
        <v>0</v>
      </c>
      <c r="J935" s="104" t="str">
        <f t="shared" si="39"/>
        <v>0 tubes and 0 shuttles</v>
      </c>
      <c r="K935" s="36">
        <f t="shared" si="46"/>
        <v>0</v>
      </c>
      <c r="L935" s="103" t="str">
        <f t="shared" si="40"/>
        <v>0 tubes and 0 shuttles</v>
      </c>
      <c r="M935" s="105">
        <f t="shared" si="47"/>
        <v>0</v>
      </c>
      <c r="N935" s="103" t="str">
        <f t="shared" si="41"/>
        <v>0 tubes and 0 shuttles</v>
      </c>
      <c r="O935" s="36">
        <f t="shared" si="42"/>
        <v>0</v>
      </c>
      <c r="P935" s="103" t="str">
        <f t="shared" si="43"/>
        <v>0 tubes and 0 shuttles</v>
      </c>
    </row>
    <row r="936" spans="1:16" ht="12.5" x14ac:dyDescent="0.25">
      <c r="A936" s="32">
        <f>'Profit &amp; Loss'!A936</f>
        <v>0</v>
      </c>
      <c r="B936" s="35">
        <f>'Profit &amp; Loss'!B936</f>
        <v>0</v>
      </c>
      <c r="C936" s="36"/>
      <c r="D936" s="33"/>
      <c r="E936" s="33"/>
      <c r="F936" s="101"/>
      <c r="G936" s="102">
        <f t="shared" si="44"/>
        <v>0</v>
      </c>
      <c r="H936" s="103" t="str">
        <f t="shared" si="38"/>
        <v>0 tubes and 0 shuttles</v>
      </c>
      <c r="I936" s="36">
        <f t="shared" si="45"/>
        <v>0</v>
      </c>
      <c r="J936" s="104" t="str">
        <f t="shared" si="39"/>
        <v>0 tubes and 0 shuttles</v>
      </c>
      <c r="K936" s="36">
        <f t="shared" si="46"/>
        <v>0</v>
      </c>
      <c r="L936" s="103" t="str">
        <f t="shared" si="40"/>
        <v>0 tubes and 0 shuttles</v>
      </c>
      <c r="M936" s="105">
        <f t="shared" si="47"/>
        <v>0</v>
      </c>
      <c r="N936" s="103" t="str">
        <f t="shared" si="41"/>
        <v>0 tubes and 0 shuttles</v>
      </c>
      <c r="O936" s="36">
        <f t="shared" si="42"/>
        <v>0</v>
      </c>
      <c r="P936" s="103" t="str">
        <f t="shared" si="43"/>
        <v>0 tubes and 0 shuttles</v>
      </c>
    </row>
    <row r="937" spans="1:16" ht="12.5" x14ac:dyDescent="0.25">
      <c r="A937" s="32">
        <f>'Profit &amp; Loss'!A937</f>
        <v>0</v>
      </c>
      <c r="B937" s="35">
        <f>'Profit &amp; Loss'!B937</f>
        <v>0</v>
      </c>
      <c r="C937" s="36"/>
      <c r="D937" s="33"/>
      <c r="E937" s="33"/>
      <c r="F937" s="101"/>
      <c r="G937" s="102">
        <f t="shared" si="44"/>
        <v>0</v>
      </c>
      <c r="H937" s="103" t="str">
        <f t="shared" si="38"/>
        <v>0 tubes and 0 shuttles</v>
      </c>
      <c r="I937" s="36">
        <f t="shared" si="45"/>
        <v>0</v>
      </c>
      <c r="J937" s="104" t="str">
        <f t="shared" si="39"/>
        <v>0 tubes and 0 shuttles</v>
      </c>
      <c r="K937" s="36">
        <f t="shared" si="46"/>
        <v>0</v>
      </c>
      <c r="L937" s="103" t="str">
        <f t="shared" si="40"/>
        <v>0 tubes and 0 shuttles</v>
      </c>
      <c r="M937" s="105">
        <f t="shared" si="47"/>
        <v>0</v>
      </c>
      <c r="N937" s="103" t="str">
        <f t="shared" si="41"/>
        <v>0 tubes and 0 shuttles</v>
      </c>
      <c r="O937" s="36">
        <f t="shared" si="42"/>
        <v>0</v>
      </c>
      <c r="P937" s="103" t="str">
        <f t="shared" si="43"/>
        <v>0 tubes and 0 shuttles</v>
      </c>
    </row>
    <row r="938" spans="1:16" ht="12.5" x14ac:dyDescent="0.25">
      <c r="A938" s="32">
        <f>'Profit &amp; Loss'!A938</f>
        <v>0</v>
      </c>
      <c r="B938" s="35">
        <f>'Profit &amp; Loss'!B938</f>
        <v>0</v>
      </c>
      <c r="C938" s="36"/>
      <c r="D938" s="33"/>
      <c r="E938" s="33"/>
      <c r="F938" s="101"/>
      <c r="G938" s="102">
        <f t="shared" si="44"/>
        <v>0</v>
      </c>
      <c r="H938" s="103" t="str">
        <f t="shared" si="38"/>
        <v>0 tubes and 0 shuttles</v>
      </c>
      <c r="I938" s="36">
        <f t="shared" si="45"/>
        <v>0</v>
      </c>
      <c r="J938" s="104" t="str">
        <f t="shared" si="39"/>
        <v>0 tubes and 0 shuttles</v>
      </c>
      <c r="K938" s="36">
        <f t="shared" si="46"/>
        <v>0</v>
      </c>
      <c r="L938" s="103" t="str">
        <f t="shared" si="40"/>
        <v>0 tubes and 0 shuttles</v>
      </c>
      <c r="M938" s="105">
        <f t="shared" si="47"/>
        <v>0</v>
      </c>
      <c r="N938" s="103" t="str">
        <f t="shared" si="41"/>
        <v>0 tubes and 0 shuttles</v>
      </c>
      <c r="O938" s="36">
        <f t="shared" si="42"/>
        <v>0</v>
      </c>
      <c r="P938" s="103" t="str">
        <f t="shared" si="43"/>
        <v>0 tubes and 0 shuttles</v>
      </c>
    </row>
    <row r="939" spans="1:16" ht="12.5" x14ac:dyDescent="0.25">
      <c r="A939" s="32">
        <f>'Profit &amp; Loss'!A939</f>
        <v>0</v>
      </c>
      <c r="B939" s="35">
        <f>'Profit &amp; Loss'!B939</f>
        <v>0</v>
      </c>
      <c r="C939" s="36"/>
      <c r="D939" s="33"/>
      <c r="E939" s="33"/>
      <c r="F939" s="101"/>
      <c r="G939" s="102">
        <f t="shared" si="44"/>
        <v>0</v>
      </c>
      <c r="H939" s="103" t="str">
        <f t="shared" si="38"/>
        <v>0 tubes and 0 shuttles</v>
      </c>
      <c r="I939" s="36">
        <f t="shared" si="45"/>
        <v>0</v>
      </c>
      <c r="J939" s="104" t="str">
        <f t="shared" si="39"/>
        <v>0 tubes and 0 shuttles</v>
      </c>
      <c r="K939" s="36">
        <f t="shared" si="46"/>
        <v>0</v>
      </c>
      <c r="L939" s="103" t="str">
        <f t="shared" si="40"/>
        <v>0 tubes and 0 shuttles</v>
      </c>
      <c r="M939" s="105">
        <f t="shared" si="47"/>
        <v>0</v>
      </c>
      <c r="N939" s="103" t="str">
        <f t="shared" si="41"/>
        <v>0 tubes and 0 shuttles</v>
      </c>
      <c r="O939" s="36">
        <f t="shared" si="42"/>
        <v>0</v>
      </c>
      <c r="P939" s="103" t="str">
        <f t="shared" si="43"/>
        <v>0 tubes and 0 shuttles</v>
      </c>
    </row>
    <row r="940" spans="1:16" ht="12.5" x14ac:dyDescent="0.25">
      <c r="A940" s="32">
        <f>'Profit &amp; Loss'!A940</f>
        <v>0</v>
      </c>
      <c r="B940" s="35">
        <f>'Profit &amp; Loss'!B940</f>
        <v>0</v>
      </c>
      <c r="C940" s="36"/>
      <c r="D940" s="33"/>
      <c r="E940" s="33"/>
      <c r="F940" s="101"/>
      <c r="G940" s="102">
        <f t="shared" si="44"/>
        <v>0</v>
      </c>
      <c r="H940" s="103" t="str">
        <f t="shared" si="38"/>
        <v>0 tubes and 0 shuttles</v>
      </c>
      <c r="I940" s="36">
        <f t="shared" si="45"/>
        <v>0</v>
      </c>
      <c r="J940" s="104" t="str">
        <f t="shared" si="39"/>
        <v>0 tubes and 0 shuttles</v>
      </c>
      <c r="K940" s="36">
        <f t="shared" si="46"/>
        <v>0</v>
      </c>
      <c r="L940" s="103" t="str">
        <f t="shared" si="40"/>
        <v>0 tubes and 0 shuttles</v>
      </c>
      <c r="M940" s="105">
        <f t="shared" si="47"/>
        <v>0</v>
      </c>
      <c r="N940" s="103" t="str">
        <f t="shared" si="41"/>
        <v>0 tubes and 0 shuttles</v>
      </c>
      <c r="O940" s="36">
        <f t="shared" si="42"/>
        <v>0</v>
      </c>
      <c r="P940" s="103" t="str">
        <f t="shared" si="43"/>
        <v>0 tubes and 0 shuttles</v>
      </c>
    </row>
    <row r="941" spans="1:16" ht="12.5" x14ac:dyDescent="0.25">
      <c r="A941" s="32">
        <f>'Profit &amp; Loss'!A941</f>
        <v>0</v>
      </c>
      <c r="B941" s="35">
        <f>'Profit &amp; Loss'!B941</f>
        <v>0</v>
      </c>
      <c r="C941" s="36"/>
      <c r="D941" s="33"/>
      <c r="E941" s="33"/>
      <c r="F941" s="101"/>
      <c r="G941" s="102">
        <f t="shared" si="44"/>
        <v>0</v>
      </c>
      <c r="H941" s="103" t="str">
        <f t="shared" si="38"/>
        <v>0 tubes and 0 shuttles</v>
      </c>
      <c r="I941" s="36">
        <f t="shared" si="45"/>
        <v>0</v>
      </c>
      <c r="J941" s="104" t="str">
        <f t="shared" si="39"/>
        <v>0 tubes and 0 shuttles</v>
      </c>
      <c r="K941" s="36">
        <f t="shared" si="46"/>
        <v>0</v>
      </c>
      <c r="L941" s="103" t="str">
        <f t="shared" si="40"/>
        <v>0 tubes and 0 shuttles</v>
      </c>
      <c r="M941" s="105">
        <f t="shared" si="47"/>
        <v>0</v>
      </c>
      <c r="N941" s="103" t="str">
        <f t="shared" si="41"/>
        <v>0 tubes and 0 shuttles</v>
      </c>
      <c r="O941" s="36">
        <f t="shared" si="42"/>
        <v>0</v>
      </c>
      <c r="P941" s="103" t="str">
        <f t="shared" si="43"/>
        <v>0 tubes and 0 shuttles</v>
      </c>
    </row>
    <row r="942" spans="1:16" ht="12.5" x14ac:dyDescent="0.25">
      <c r="A942" s="32">
        <f>'Profit &amp; Loss'!A942</f>
        <v>0</v>
      </c>
      <c r="B942" s="35">
        <f>'Profit &amp; Loss'!B942</f>
        <v>0</v>
      </c>
      <c r="C942" s="36"/>
      <c r="D942" s="33"/>
      <c r="E942" s="33"/>
      <c r="F942" s="101"/>
      <c r="G942" s="102">
        <f t="shared" si="44"/>
        <v>0</v>
      </c>
      <c r="H942" s="103" t="str">
        <f t="shared" si="38"/>
        <v>0 tubes and 0 shuttles</v>
      </c>
      <c r="I942" s="36">
        <f t="shared" si="45"/>
        <v>0</v>
      </c>
      <c r="J942" s="104" t="str">
        <f t="shared" si="39"/>
        <v>0 tubes and 0 shuttles</v>
      </c>
      <c r="K942" s="36">
        <f t="shared" si="46"/>
        <v>0</v>
      </c>
      <c r="L942" s="103" t="str">
        <f t="shared" si="40"/>
        <v>0 tubes and 0 shuttles</v>
      </c>
      <c r="M942" s="105">
        <f t="shared" si="47"/>
        <v>0</v>
      </c>
      <c r="N942" s="103" t="str">
        <f t="shared" si="41"/>
        <v>0 tubes and 0 shuttles</v>
      </c>
      <c r="O942" s="36">
        <f t="shared" si="42"/>
        <v>0</v>
      </c>
      <c r="P942" s="103" t="str">
        <f t="shared" si="43"/>
        <v>0 tubes and 0 shuttles</v>
      </c>
    </row>
    <row r="943" spans="1:16" ht="12.5" x14ac:dyDescent="0.25">
      <c r="A943" s="32">
        <f>'Profit &amp; Loss'!A943</f>
        <v>0</v>
      </c>
      <c r="B943" s="35">
        <f>'Profit &amp; Loss'!B943</f>
        <v>0</v>
      </c>
      <c r="C943" s="36"/>
      <c r="D943" s="33"/>
      <c r="E943" s="33"/>
      <c r="F943" s="101"/>
      <c r="G943" s="102">
        <f t="shared" si="44"/>
        <v>0</v>
      </c>
      <c r="H943" s="103" t="str">
        <f t="shared" si="38"/>
        <v>0 tubes and 0 shuttles</v>
      </c>
      <c r="I943" s="36">
        <f t="shared" si="45"/>
        <v>0</v>
      </c>
      <c r="J943" s="104" t="str">
        <f t="shared" si="39"/>
        <v>0 tubes and 0 shuttles</v>
      </c>
      <c r="K943" s="36">
        <f t="shared" si="46"/>
        <v>0</v>
      </c>
      <c r="L943" s="103" t="str">
        <f t="shared" si="40"/>
        <v>0 tubes and 0 shuttles</v>
      </c>
      <c r="M943" s="105">
        <f t="shared" si="47"/>
        <v>0</v>
      </c>
      <c r="N943" s="103" t="str">
        <f t="shared" si="41"/>
        <v>0 tubes and 0 shuttles</v>
      </c>
      <c r="O943" s="36">
        <f t="shared" si="42"/>
        <v>0</v>
      </c>
      <c r="P943" s="103" t="str">
        <f t="shared" si="43"/>
        <v>0 tubes and 0 shuttles</v>
      </c>
    </row>
    <row r="944" spans="1:16" ht="12.5" x14ac:dyDescent="0.25">
      <c r="A944" s="32">
        <f>'Profit &amp; Loss'!A944</f>
        <v>0</v>
      </c>
      <c r="B944" s="35">
        <f>'Profit &amp; Loss'!B944</f>
        <v>0</v>
      </c>
      <c r="C944" s="36"/>
      <c r="D944" s="33"/>
      <c r="E944" s="33"/>
      <c r="F944" s="101"/>
      <c r="G944" s="102">
        <f t="shared" si="44"/>
        <v>0</v>
      </c>
      <c r="H944" s="103" t="str">
        <f t="shared" si="38"/>
        <v>0 tubes and 0 shuttles</v>
      </c>
      <c r="I944" s="36">
        <f t="shared" si="45"/>
        <v>0</v>
      </c>
      <c r="J944" s="104" t="str">
        <f t="shared" si="39"/>
        <v>0 tubes and 0 shuttles</v>
      </c>
      <c r="K944" s="36">
        <f t="shared" si="46"/>
        <v>0</v>
      </c>
      <c r="L944" s="103" t="str">
        <f t="shared" si="40"/>
        <v>0 tubes and 0 shuttles</v>
      </c>
      <c r="M944" s="105">
        <f t="shared" si="47"/>
        <v>0</v>
      </c>
      <c r="N944" s="103" t="str">
        <f t="shared" si="41"/>
        <v>0 tubes and 0 shuttles</v>
      </c>
      <c r="O944" s="36">
        <f t="shared" si="42"/>
        <v>0</v>
      </c>
      <c r="P944" s="103" t="str">
        <f t="shared" si="43"/>
        <v>0 tubes and 0 shuttles</v>
      </c>
    </row>
    <row r="945" spans="1:16" ht="12.5" x14ac:dyDescent="0.25">
      <c r="A945" s="32">
        <f>'Profit &amp; Loss'!A945</f>
        <v>0</v>
      </c>
      <c r="B945" s="35">
        <f>'Profit &amp; Loss'!B945</f>
        <v>0</v>
      </c>
      <c r="C945" s="36"/>
      <c r="D945" s="33"/>
      <c r="E945" s="33"/>
      <c r="F945" s="101"/>
      <c r="G945" s="102">
        <f t="shared" si="44"/>
        <v>0</v>
      </c>
      <c r="H945" s="103" t="str">
        <f t="shared" si="38"/>
        <v>0 tubes and 0 shuttles</v>
      </c>
      <c r="I945" s="36">
        <f t="shared" si="45"/>
        <v>0</v>
      </c>
      <c r="J945" s="104" t="str">
        <f t="shared" si="39"/>
        <v>0 tubes and 0 shuttles</v>
      </c>
      <c r="K945" s="36">
        <f t="shared" si="46"/>
        <v>0</v>
      </c>
      <c r="L945" s="103" t="str">
        <f t="shared" si="40"/>
        <v>0 tubes and 0 shuttles</v>
      </c>
      <c r="M945" s="105">
        <f t="shared" si="47"/>
        <v>0</v>
      </c>
      <c r="N945" s="103" t="str">
        <f t="shared" si="41"/>
        <v>0 tubes and 0 shuttles</v>
      </c>
      <c r="O945" s="36">
        <f t="shared" si="42"/>
        <v>0</v>
      </c>
      <c r="P945" s="103" t="str">
        <f t="shared" si="43"/>
        <v>0 tubes and 0 shuttles</v>
      </c>
    </row>
    <row r="946" spans="1:16" ht="12.5" x14ac:dyDescent="0.25">
      <c r="A946" s="32">
        <f>'Profit &amp; Loss'!A946</f>
        <v>0</v>
      </c>
      <c r="B946" s="35">
        <f>'Profit &amp; Loss'!B946</f>
        <v>0</v>
      </c>
      <c r="C946" s="36"/>
      <c r="D946" s="33"/>
      <c r="E946" s="33"/>
      <c r="F946" s="101"/>
      <c r="G946" s="102">
        <f t="shared" si="44"/>
        <v>0</v>
      </c>
      <c r="H946" s="103" t="str">
        <f t="shared" si="38"/>
        <v>0 tubes and 0 shuttles</v>
      </c>
      <c r="I946" s="36">
        <f t="shared" si="45"/>
        <v>0</v>
      </c>
      <c r="J946" s="104" t="str">
        <f t="shared" si="39"/>
        <v>0 tubes and 0 shuttles</v>
      </c>
      <c r="K946" s="36">
        <f t="shared" si="46"/>
        <v>0</v>
      </c>
      <c r="L946" s="103" t="str">
        <f t="shared" si="40"/>
        <v>0 tubes and 0 shuttles</v>
      </c>
      <c r="M946" s="105">
        <f t="shared" si="47"/>
        <v>0</v>
      </c>
      <c r="N946" s="103" t="str">
        <f t="shared" si="41"/>
        <v>0 tubes and 0 shuttles</v>
      </c>
      <c r="O946" s="36">
        <f t="shared" si="42"/>
        <v>0</v>
      </c>
      <c r="P946" s="103" t="str">
        <f t="shared" si="43"/>
        <v>0 tubes and 0 shuttles</v>
      </c>
    </row>
    <row r="947" spans="1:16" ht="12.5" x14ac:dyDescent="0.25">
      <c r="A947" s="32">
        <f>'Profit &amp; Loss'!A947</f>
        <v>0</v>
      </c>
      <c r="B947" s="35">
        <f>'Profit &amp; Loss'!B947</f>
        <v>0</v>
      </c>
      <c r="C947" s="36"/>
      <c r="D947" s="33"/>
      <c r="E947" s="33"/>
      <c r="F947" s="101"/>
      <c r="G947" s="102">
        <f t="shared" si="44"/>
        <v>0</v>
      </c>
      <c r="H947" s="103" t="str">
        <f t="shared" si="38"/>
        <v>0 tubes and 0 shuttles</v>
      </c>
      <c r="I947" s="36">
        <f t="shared" si="45"/>
        <v>0</v>
      </c>
      <c r="J947" s="104" t="str">
        <f t="shared" si="39"/>
        <v>0 tubes and 0 shuttles</v>
      </c>
      <c r="K947" s="36">
        <f t="shared" si="46"/>
        <v>0</v>
      </c>
      <c r="L947" s="103" t="str">
        <f t="shared" si="40"/>
        <v>0 tubes and 0 shuttles</v>
      </c>
      <c r="M947" s="105">
        <f t="shared" si="47"/>
        <v>0</v>
      </c>
      <c r="N947" s="103" t="str">
        <f t="shared" si="41"/>
        <v>0 tubes and 0 shuttles</v>
      </c>
      <c r="O947" s="36">
        <f t="shared" si="42"/>
        <v>0</v>
      </c>
      <c r="P947" s="103" t="str">
        <f t="shared" si="43"/>
        <v>0 tubes and 0 shuttles</v>
      </c>
    </row>
    <row r="948" spans="1:16" ht="12.5" x14ac:dyDescent="0.25">
      <c r="A948" s="32">
        <f>'Profit &amp; Loss'!A948</f>
        <v>0</v>
      </c>
      <c r="B948" s="35">
        <f>'Profit &amp; Loss'!B948</f>
        <v>0</v>
      </c>
      <c r="C948" s="36"/>
      <c r="D948" s="33"/>
      <c r="E948" s="33"/>
      <c r="F948" s="101"/>
      <c r="G948" s="102">
        <f t="shared" si="44"/>
        <v>0</v>
      </c>
      <c r="H948" s="103" t="str">
        <f t="shared" si="38"/>
        <v>0 tubes and 0 shuttles</v>
      </c>
      <c r="I948" s="36">
        <f t="shared" si="45"/>
        <v>0</v>
      </c>
      <c r="J948" s="104" t="str">
        <f t="shared" si="39"/>
        <v>0 tubes and 0 shuttles</v>
      </c>
      <c r="K948" s="36">
        <f t="shared" si="46"/>
        <v>0</v>
      </c>
      <c r="L948" s="103" t="str">
        <f t="shared" si="40"/>
        <v>0 tubes and 0 shuttles</v>
      </c>
      <c r="M948" s="105">
        <f t="shared" si="47"/>
        <v>0</v>
      </c>
      <c r="N948" s="103" t="str">
        <f t="shared" si="41"/>
        <v>0 tubes and 0 shuttles</v>
      </c>
      <c r="O948" s="36">
        <f t="shared" si="42"/>
        <v>0</v>
      </c>
      <c r="P948" s="103" t="str">
        <f t="shared" si="43"/>
        <v>0 tubes and 0 shuttles</v>
      </c>
    </row>
    <row r="949" spans="1:16" ht="12.5" x14ac:dyDescent="0.25">
      <c r="A949" s="32">
        <f>'Profit &amp; Loss'!A949</f>
        <v>0</v>
      </c>
      <c r="B949" s="35">
        <f>'Profit &amp; Loss'!B949</f>
        <v>0</v>
      </c>
      <c r="C949" s="36"/>
      <c r="D949" s="33"/>
      <c r="E949" s="33"/>
      <c r="F949" s="101"/>
      <c r="G949" s="102">
        <f t="shared" si="44"/>
        <v>0</v>
      </c>
      <c r="H949" s="103" t="str">
        <f t="shared" si="38"/>
        <v>0 tubes and 0 shuttles</v>
      </c>
      <c r="I949" s="36">
        <f t="shared" si="45"/>
        <v>0</v>
      </c>
      <c r="J949" s="104" t="str">
        <f t="shared" si="39"/>
        <v>0 tubes and 0 shuttles</v>
      </c>
      <c r="K949" s="36">
        <f t="shared" si="46"/>
        <v>0</v>
      </c>
      <c r="L949" s="103" t="str">
        <f t="shared" si="40"/>
        <v>0 tubes and 0 shuttles</v>
      </c>
      <c r="M949" s="105">
        <f t="shared" si="47"/>
        <v>0</v>
      </c>
      <c r="N949" s="103" t="str">
        <f t="shared" si="41"/>
        <v>0 tubes and 0 shuttles</v>
      </c>
      <c r="O949" s="36">
        <f t="shared" si="42"/>
        <v>0</v>
      </c>
      <c r="P949" s="103" t="str">
        <f t="shared" si="43"/>
        <v>0 tubes and 0 shuttles</v>
      </c>
    </row>
    <row r="950" spans="1:16" ht="12.5" x14ac:dyDescent="0.25">
      <c r="A950" s="32">
        <f>'Profit &amp; Loss'!A950</f>
        <v>0</v>
      </c>
      <c r="B950" s="35">
        <f>'Profit &amp; Loss'!B950</f>
        <v>0</v>
      </c>
      <c r="C950" s="36"/>
      <c r="D950" s="33"/>
      <c r="E950" s="33"/>
      <c r="F950" s="101"/>
      <c r="G950" s="102">
        <f t="shared" si="44"/>
        <v>0</v>
      </c>
      <c r="H950" s="103" t="str">
        <f t="shared" si="38"/>
        <v>0 tubes and 0 shuttles</v>
      </c>
      <c r="I950" s="36">
        <f t="shared" si="45"/>
        <v>0</v>
      </c>
      <c r="J950" s="104" t="str">
        <f t="shared" si="39"/>
        <v>0 tubes and 0 shuttles</v>
      </c>
      <c r="K950" s="36">
        <f t="shared" si="46"/>
        <v>0</v>
      </c>
      <c r="L950" s="103" t="str">
        <f t="shared" si="40"/>
        <v>0 tubes and 0 shuttles</v>
      </c>
      <c r="M950" s="105">
        <f t="shared" si="47"/>
        <v>0</v>
      </c>
      <c r="N950" s="103" t="str">
        <f t="shared" si="41"/>
        <v>0 tubes and 0 shuttles</v>
      </c>
      <c r="O950" s="36">
        <f t="shared" si="42"/>
        <v>0</v>
      </c>
      <c r="P950" s="103" t="str">
        <f t="shared" si="43"/>
        <v>0 tubes and 0 shuttles</v>
      </c>
    </row>
    <row r="951" spans="1:16" ht="12.5" x14ac:dyDescent="0.25">
      <c r="A951" s="32">
        <f>'Profit &amp; Loss'!A951</f>
        <v>0</v>
      </c>
      <c r="B951" s="35">
        <f>'Profit &amp; Loss'!B951</f>
        <v>0</v>
      </c>
      <c r="C951" s="36"/>
      <c r="D951" s="33"/>
      <c r="E951" s="33"/>
      <c r="F951" s="101"/>
      <c r="G951" s="102">
        <f t="shared" si="44"/>
        <v>0</v>
      </c>
      <c r="H951" s="103" t="str">
        <f t="shared" si="38"/>
        <v>0 tubes and 0 shuttles</v>
      </c>
      <c r="I951" s="36">
        <f t="shared" si="45"/>
        <v>0</v>
      </c>
      <c r="J951" s="104" t="str">
        <f t="shared" si="39"/>
        <v>0 tubes and 0 shuttles</v>
      </c>
      <c r="K951" s="36">
        <f t="shared" si="46"/>
        <v>0</v>
      </c>
      <c r="L951" s="103" t="str">
        <f t="shared" si="40"/>
        <v>0 tubes and 0 shuttles</v>
      </c>
      <c r="M951" s="105">
        <f t="shared" si="47"/>
        <v>0</v>
      </c>
      <c r="N951" s="103" t="str">
        <f t="shared" si="41"/>
        <v>0 tubes and 0 shuttles</v>
      </c>
      <c r="O951" s="36">
        <f t="shared" si="42"/>
        <v>0</v>
      </c>
      <c r="P951" s="103" t="str">
        <f t="shared" si="43"/>
        <v>0 tubes and 0 shuttles</v>
      </c>
    </row>
    <row r="952" spans="1:16" ht="12.5" x14ac:dyDescent="0.25">
      <c r="A952" s="32">
        <f>'Profit &amp; Loss'!A952</f>
        <v>0</v>
      </c>
      <c r="B952" s="35">
        <f>'Profit &amp; Loss'!B952</f>
        <v>0</v>
      </c>
      <c r="C952" s="36"/>
      <c r="D952" s="33"/>
      <c r="E952" s="33"/>
      <c r="F952" s="101"/>
      <c r="G952" s="102">
        <f t="shared" si="44"/>
        <v>0</v>
      </c>
      <c r="H952" s="103" t="str">
        <f t="shared" si="38"/>
        <v>0 tubes and 0 shuttles</v>
      </c>
      <c r="I952" s="36">
        <f t="shared" si="45"/>
        <v>0</v>
      </c>
      <c r="J952" s="104" t="str">
        <f t="shared" si="39"/>
        <v>0 tubes and 0 shuttles</v>
      </c>
      <c r="K952" s="36">
        <f t="shared" si="46"/>
        <v>0</v>
      </c>
      <c r="L952" s="103" t="str">
        <f t="shared" si="40"/>
        <v>0 tubes and 0 shuttles</v>
      </c>
      <c r="M952" s="105">
        <f t="shared" si="47"/>
        <v>0</v>
      </c>
      <c r="N952" s="103" t="str">
        <f t="shared" si="41"/>
        <v>0 tubes and 0 shuttles</v>
      </c>
      <c r="O952" s="36">
        <f t="shared" si="42"/>
        <v>0</v>
      </c>
      <c r="P952" s="103" t="str">
        <f t="shared" si="43"/>
        <v>0 tubes and 0 shuttles</v>
      </c>
    </row>
    <row r="953" spans="1:16" ht="12.5" x14ac:dyDescent="0.25">
      <c r="A953" s="32">
        <f>'Profit &amp; Loss'!A953</f>
        <v>0</v>
      </c>
      <c r="B953" s="35">
        <f>'Profit &amp; Loss'!B953</f>
        <v>0</v>
      </c>
      <c r="C953" s="36"/>
      <c r="D953" s="33"/>
      <c r="E953" s="33"/>
      <c r="F953" s="101"/>
      <c r="G953" s="102">
        <f t="shared" si="44"/>
        <v>0</v>
      </c>
      <c r="H953" s="103" t="str">
        <f t="shared" si="38"/>
        <v>0 tubes and 0 shuttles</v>
      </c>
      <c r="I953" s="36">
        <f t="shared" si="45"/>
        <v>0</v>
      </c>
      <c r="J953" s="104" t="str">
        <f t="shared" si="39"/>
        <v>0 tubes and 0 shuttles</v>
      </c>
      <c r="K953" s="36">
        <f t="shared" si="46"/>
        <v>0</v>
      </c>
      <c r="L953" s="103" t="str">
        <f t="shared" si="40"/>
        <v>0 tubes and 0 shuttles</v>
      </c>
      <c r="M953" s="105">
        <f t="shared" si="47"/>
        <v>0</v>
      </c>
      <c r="N953" s="103" t="str">
        <f t="shared" si="41"/>
        <v>0 tubes and 0 shuttles</v>
      </c>
      <c r="O953" s="36">
        <f t="shared" si="42"/>
        <v>0</v>
      </c>
      <c r="P953" s="103" t="str">
        <f t="shared" si="43"/>
        <v>0 tubes and 0 shuttles</v>
      </c>
    </row>
    <row r="954" spans="1:16" ht="12.5" x14ac:dyDescent="0.25">
      <c r="A954" s="32">
        <f>'Profit &amp; Loss'!A954</f>
        <v>0</v>
      </c>
      <c r="B954" s="35">
        <f>'Profit &amp; Loss'!B954</f>
        <v>0</v>
      </c>
      <c r="C954" s="36"/>
      <c r="D954" s="33"/>
      <c r="E954" s="33"/>
      <c r="F954" s="101"/>
      <c r="G954" s="102">
        <f t="shared" si="44"/>
        <v>0</v>
      </c>
      <c r="H954" s="103" t="str">
        <f t="shared" si="38"/>
        <v>0 tubes and 0 shuttles</v>
      </c>
      <c r="I954" s="36">
        <f t="shared" si="45"/>
        <v>0</v>
      </c>
      <c r="J954" s="104" t="str">
        <f t="shared" si="39"/>
        <v>0 tubes and 0 shuttles</v>
      </c>
      <c r="K954" s="36">
        <f t="shared" si="46"/>
        <v>0</v>
      </c>
      <c r="L954" s="103" t="str">
        <f t="shared" si="40"/>
        <v>0 tubes and 0 shuttles</v>
      </c>
      <c r="M954" s="105">
        <f t="shared" si="47"/>
        <v>0</v>
      </c>
      <c r="N954" s="103" t="str">
        <f t="shared" si="41"/>
        <v>0 tubes and 0 shuttles</v>
      </c>
      <c r="O954" s="36">
        <f t="shared" si="42"/>
        <v>0</v>
      </c>
      <c r="P954" s="103" t="str">
        <f t="shared" si="43"/>
        <v>0 tubes and 0 shuttles</v>
      </c>
    </row>
    <row r="955" spans="1:16" ht="12.5" x14ac:dyDescent="0.25">
      <c r="A955" s="32">
        <f>'Profit &amp; Loss'!A955</f>
        <v>0</v>
      </c>
      <c r="B955" s="35">
        <f>'Profit &amp; Loss'!B955</f>
        <v>0</v>
      </c>
      <c r="C955" s="36"/>
      <c r="D955" s="33"/>
      <c r="E955" s="33"/>
      <c r="F955" s="101"/>
      <c r="G955" s="102">
        <f t="shared" si="44"/>
        <v>0</v>
      </c>
      <c r="H955" s="103" t="str">
        <f t="shared" si="38"/>
        <v>0 tubes and 0 shuttles</v>
      </c>
      <c r="I955" s="36">
        <f t="shared" si="45"/>
        <v>0</v>
      </c>
      <c r="J955" s="104" t="str">
        <f t="shared" si="39"/>
        <v>0 tubes and 0 shuttles</v>
      </c>
      <c r="K955" s="36">
        <f t="shared" si="46"/>
        <v>0</v>
      </c>
      <c r="L955" s="103" t="str">
        <f t="shared" si="40"/>
        <v>0 tubes and 0 shuttles</v>
      </c>
      <c r="M955" s="105">
        <f t="shared" si="47"/>
        <v>0</v>
      </c>
      <c r="N955" s="103" t="str">
        <f t="shared" si="41"/>
        <v>0 tubes and 0 shuttles</v>
      </c>
      <c r="O955" s="36">
        <f t="shared" si="42"/>
        <v>0</v>
      </c>
      <c r="P955" s="103" t="str">
        <f t="shared" si="43"/>
        <v>0 tubes and 0 shuttles</v>
      </c>
    </row>
    <row r="956" spans="1:16" ht="12.5" x14ac:dyDescent="0.25">
      <c r="A956" s="32">
        <f>'Profit &amp; Loss'!A956</f>
        <v>0</v>
      </c>
      <c r="B956" s="35">
        <f>'Profit &amp; Loss'!B956</f>
        <v>0</v>
      </c>
      <c r="C956" s="36"/>
      <c r="D956" s="33"/>
      <c r="E956" s="33"/>
      <c r="F956" s="101"/>
      <c r="G956" s="102">
        <f t="shared" si="44"/>
        <v>0</v>
      </c>
      <c r="H956" s="103" t="str">
        <f t="shared" si="38"/>
        <v>0 tubes and 0 shuttles</v>
      </c>
      <c r="I956" s="36">
        <f t="shared" si="45"/>
        <v>0</v>
      </c>
      <c r="J956" s="104" t="str">
        <f t="shared" si="39"/>
        <v>0 tubes and 0 shuttles</v>
      </c>
      <c r="K956" s="36">
        <f t="shared" si="46"/>
        <v>0</v>
      </c>
      <c r="L956" s="103" t="str">
        <f t="shared" si="40"/>
        <v>0 tubes and 0 shuttles</v>
      </c>
      <c r="M956" s="105">
        <f t="shared" si="47"/>
        <v>0</v>
      </c>
      <c r="N956" s="103" t="str">
        <f t="shared" si="41"/>
        <v>0 tubes and 0 shuttles</v>
      </c>
      <c r="O956" s="36">
        <f t="shared" si="42"/>
        <v>0</v>
      </c>
      <c r="P956" s="103" t="str">
        <f t="shared" si="43"/>
        <v>0 tubes and 0 shuttles</v>
      </c>
    </row>
    <row r="957" spans="1:16" ht="12.5" x14ac:dyDescent="0.25">
      <c r="A957" s="32">
        <f>'Profit &amp; Loss'!A957</f>
        <v>0</v>
      </c>
      <c r="B957" s="35">
        <f>'Profit &amp; Loss'!B957</f>
        <v>0</v>
      </c>
      <c r="C957" s="36"/>
      <c r="D957" s="33"/>
      <c r="E957" s="33"/>
      <c r="F957" s="101"/>
      <c r="G957" s="102">
        <f t="shared" si="44"/>
        <v>0</v>
      </c>
      <c r="H957" s="103" t="str">
        <f t="shared" si="38"/>
        <v>0 tubes and 0 shuttles</v>
      </c>
      <c r="I957" s="36">
        <f t="shared" si="45"/>
        <v>0</v>
      </c>
      <c r="J957" s="104" t="str">
        <f t="shared" si="39"/>
        <v>0 tubes and 0 shuttles</v>
      </c>
      <c r="K957" s="36">
        <f t="shared" si="46"/>
        <v>0</v>
      </c>
      <c r="L957" s="103" t="str">
        <f t="shared" si="40"/>
        <v>0 tubes and 0 shuttles</v>
      </c>
      <c r="M957" s="105">
        <f t="shared" si="47"/>
        <v>0</v>
      </c>
      <c r="N957" s="103" t="str">
        <f t="shared" si="41"/>
        <v>0 tubes and 0 shuttles</v>
      </c>
      <c r="O957" s="36">
        <f t="shared" si="42"/>
        <v>0</v>
      </c>
      <c r="P957" s="103" t="str">
        <f t="shared" si="43"/>
        <v>0 tubes and 0 shuttles</v>
      </c>
    </row>
    <row r="958" spans="1:16" ht="12.5" x14ac:dyDescent="0.25">
      <c r="A958" s="32">
        <f>'Profit &amp; Loss'!A958</f>
        <v>0</v>
      </c>
      <c r="B958" s="35">
        <f>'Profit &amp; Loss'!B958</f>
        <v>0</v>
      </c>
      <c r="C958" s="36"/>
      <c r="D958" s="33"/>
      <c r="E958" s="33"/>
      <c r="F958" s="101"/>
      <c r="G958" s="102">
        <f t="shared" si="44"/>
        <v>0</v>
      </c>
      <c r="H958" s="103" t="str">
        <f t="shared" si="38"/>
        <v>0 tubes and 0 shuttles</v>
      </c>
      <c r="I958" s="36">
        <f t="shared" si="45"/>
        <v>0</v>
      </c>
      <c r="J958" s="104" t="str">
        <f t="shared" si="39"/>
        <v>0 tubes and 0 shuttles</v>
      </c>
      <c r="K958" s="36">
        <f t="shared" si="46"/>
        <v>0</v>
      </c>
      <c r="L958" s="103" t="str">
        <f t="shared" si="40"/>
        <v>0 tubes and 0 shuttles</v>
      </c>
      <c r="M958" s="105">
        <f t="shared" si="47"/>
        <v>0</v>
      </c>
      <c r="N958" s="103" t="str">
        <f t="shared" si="41"/>
        <v>0 tubes and 0 shuttles</v>
      </c>
      <c r="O958" s="36">
        <f t="shared" si="42"/>
        <v>0</v>
      </c>
      <c r="P958" s="103" t="str">
        <f t="shared" si="43"/>
        <v>0 tubes and 0 shuttles</v>
      </c>
    </row>
    <row r="959" spans="1:16" ht="12.5" x14ac:dyDescent="0.25">
      <c r="A959" s="32">
        <f>'Profit &amp; Loss'!A959</f>
        <v>0</v>
      </c>
      <c r="B959" s="35">
        <f>'Profit &amp; Loss'!B959</f>
        <v>0</v>
      </c>
      <c r="C959" s="36"/>
      <c r="D959" s="33"/>
      <c r="E959" s="33"/>
      <c r="F959" s="101"/>
      <c r="G959" s="102">
        <f t="shared" si="44"/>
        <v>0</v>
      </c>
      <c r="H959" s="103" t="str">
        <f t="shared" si="38"/>
        <v>0 tubes and 0 shuttles</v>
      </c>
      <c r="I959" s="36">
        <f t="shared" si="45"/>
        <v>0</v>
      </c>
      <c r="J959" s="104" t="str">
        <f t="shared" si="39"/>
        <v>0 tubes and 0 shuttles</v>
      </c>
      <c r="K959" s="36">
        <f t="shared" si="46"/>
        <v>0</v>
      </c>
      <c r="L959" s="103" t="str">
        <f t="shared" si="40"/>
        <v>0 tubes and 0 shuttles</v>
      </c>
      <c r="M959" s="105">
        <f t="shared" si="47"/>
        <v>0</v>
      </c>
      <c r="N959" s="103" t="str">
        <f t="shared" si="41"/>
        <v>0 tubes and 0 shuttles</v>
      </c>
      <c r="O959" s="36">
        <f t="shared" si="42"/>
        <v>0</v>
      </c>
      <c r="P959" s="103" t="str">
        <f t="shared" si="43"/>
        <v>0 tubes and 0 shuttles</v>
      </c>
    </row>
    <row r="960" spans="1:16" ht="12.5" x14ac:dyDescent="0.25">
      <c r="A960" s="32">
        <f>'Profit &amp; Loss'!A960</f>
        <v>0</v>
      </c>
      <c r="B960" s="35">
        <f>'Profit &amp; Loss'!B960</f>
        <v>0</v>
      </c>
      <c r="C960" s="36"/>
      <c r="D960" s="33"/>
      <c r="E960" s="33"/>
      <c r="F960" s="101"/>
      <c r="G960" s="102">
        <f t="shared" si="44"/>
        <v>0</v>
      </c>
      <c r="H960" s="103" t="str">
        <f t="shared" si="38"/>
        <v>0 tubes and 0 shuttles</v>
      </c>
      <c r="I960" s="36">
        <f t="shared" si="45"/>
        <v>0</v>
      </c>
      <c r="J960" s="104" t="str">
        <f t="shared" si="39"/>
        <v>0 tubes and 0 shuttles</v>
      </c>
      <c r="K960" s="36">
        <f t="shared" si="46"/>
        <v>0</v>
      </c>
      <c r="L960" s="103" t="str">
        <f t="shared" si="40"/>
        <v>0 tubes and 0 shuttles</v>
      </c>
      <c r="M960" s="105">
        <f t="shared" si="47"/>
        <v>0</v>
      </c>
      <c r="N960" s="103" t="str">
        <f t="shared" si="41"/>
        <v>0 tubes and 0 shuttles</v>
      </c>
      <c r="O960" s="36">
        <f t="shared" si="42"/>
        <v>0</v>
      </c>
      <c r="P960" s="103" t="str">
        <f t="shared" si="43"/>
        <v>0 tubes and 0 shuttles</v>
      </c>
    </row>
    <row r="961" spans="1:16" ht="12.5" x14ac:dyDescent="0.25">
      <c r="A961" s="32">
        <f>'Profit &amp; Loss'!A961</f>
        <v>0</v>
      </c>
      <c r="B961" s="35">
        <f>'Profit &amp; Loss'!B961</f>
        <v>0</v>
      </c>
      <c r="C961" s="36"/>
      <c r="D961" s="33"/>
      <c r="E961" s="33"/>
      <c r="F961" s="101"/>
      <c r="G961" s="102">
        <f t="shared" si="44"/>
        <v>0</v>
      </c>
      <c r="H961" s="103" t="str">
        <f t="shared" si="38"/>
        <v>0 tubes and 0 shuttles</v>
      </c>
      <c r="I961" s="36">
        <f t="shared" si="45"/>
        <v>0</v>
      </c>
      <c r="J961" s="104" t="str">
        <f t="shared" si="39"/>
        <v>0 tubes and 0 shuttles</v>
      </c>
      <c r="K961" s="36">
        <f t="shared" si="46"/>
        <v>0</v>
      </c>
      <c r="L961" s="103" t="str">
        <f t="shared" si="40"/>
        <v>0 tubes and 0 shuttles</v>
      </c>
      <c r="M961" s="105">
        <f t="shared" si="47"/>
        <v>0</v>
      </c>
      <c r="N961" s="103" t="str">
        <f t="shared" si="41"/>
        <v>0 tubes and 0 shuttles</v>
      </c>
      <c r="O961" s="36">
        <f t="shared" si="42"/>
        <v>0</v>
      </c>
      <c r="P961" s="103" t="str">
        <f t="shared" si="43"/>
        <v>0 tubes and 0 shuttles</v>
      </c>
    </row>
    <row r="962" spans="1:16" ht="12.5" x14ac:dyDescent="0.25">
      <c r="A962" s="32">
        <f>'Profit &amp; Loss'!A962</f>
        <v>0</v>
      </c>
      <c r="B962" s="35">
        <f>'Profit &amp; Loss'!B962</f>
        <v>0</v>
      </c>
      <c r="C962" s="36"/>
      <c r="D962" s="33"/>
      <c r="E962" s="33"/>
      <c r="F962" s="101"/>
      <c r="G962" s="102">
        <f t="shared" si="44"/>
        <v>0</v>
      </c>
      <c r="H962" s="103" t="str">
        <f t="shared" si="38"/>
        <v>0 tubes and 0 shuttles</v>
      </c>
      <c r="I962" s="36">
        <f t="shared" si="45"/>
        <v>0</v>
      </c>
      <c r="J962" s="104" t="str">
        <f t="shared" si="39"/>
        <v>0 tubes and 0 shuttles</v>
      </c>
      <c r="K962" s="36">
        <f t="shared" si="46"/>
        <v>0</v>
      </c>
      <c r="L962" s="103" t="str">
        <f t="shared" si="40"/>
        <v>0 tubes and 0 shuttles</v>
      </c>
      <c r="M962" s="105">
        <f t="shared" si="47"/>
        <v>0</v>
      </c>
      <c r="N962" s="103" t="str">
        <f t="shared" si="41"/>
        <v>0 tubes and 0 shuttles</v>
      </c>
      <c r="O962" s="36">
        <f t="shared" si="42"/>
        <v>0</v>
      </c>
      <c r="P962" s="103" t="str">
        <f t="shared" si="43"/>
        <v>0 tubes and 0 shuttles</v>
      </c>
    </row>
    <row r="963" spans="1:16" ht="12.5" x14ac:dyDescent="0.25">
      <c r="A963" s="32">
        <f>'Profit &amp; Loss'!A963</f>
        <v>0</v>
      </c>
      <c r="B963" s="35">
        <f>'Profit &amp; Loss'!B963</f>
        <v>0</v>
      </c>
      <c r="C963" s="36"/>
      <c r="D963" s="33"/>
      <c r="E963" s="33"/>
      <c r="F963" s="101"/>
      <c r="G963" s="102">
        <f t="shared" si="44"/>
        <v>0</v>
      </c>
      <c r="H963" s="103" t="str">
        <f t="shared" si="38"/>
        <v>0 tubes and 0 shuttles</v>
      </c>
      <c r="I963" s="36">
        <f t="shared" si="45"/>
        <v>0</v>
      </c>
      <c r="J963" s="104" t="str">
        <f t="shared" si="39"/>
        <v>0 tubes and 0 shuttles</v>
      </c>
      <c r="K963" s="36">
        <f t="shared" si="46"/>
        <v>0</v>
      </c>
      <c r="L963" s="103" t="str">
        <f t="shared" si="40"/>
        <v>0 tubes and 0 shuttles</v>
      </c>
      <c r="M963" s="105">
        <f t="shared" si="47"/>
        <v>0</v>
      </c>
      <c r="N963" s="103" t="str">
        <f t="shared" si="41"/>
        <v>0 tubes and 0 shuttles</v>
      </c>
      <c r="O963" s="36">
        <f t="shared" si="42"/>
        <v>0</v>
      </c>
      <c r="P963" s="103" t="str">
        <f t="shared" si="43"/>
        <v>0 tubes and 0 shuttles</v>
      </c>
    </row>
    <row r="964" spans="1:16" ht="12.5" x14ac:dyDescent="0.25">
      <c r="A964" s="32">
        <f>'Profit &amp; Loss'!A964</f>
        <v>0</v>
      </c>
      <c r="B964" s="35">
        <f>'Profit &amp; Loss'!B964</f>
        <v>0</v>
      </c>
      <c r="C964" s="36"/>
      <c r="D964" s="33"/>
      <c r="E964" s="33"/>
      <c r="F964" s="101"/>
      <c r="G964" s="102">
        <f t="shared" si="44"/>
        <v>0</v>
      </c>
      <c r="H964" s="103" t="str">
        <f t="shared" si="38"/>
        <v>0 tubes and 0 shuttles</v>
      </c>
      <c r="I964" s="36">
        <f t="shared" si="45"/>
        <v>0</v>
      </c>
      <c r="J964" s="104" t="str">
        <f t="shared" si="39"/>
        <v>0 tubes and 0 shuttles</v>
      </c>
      <c r="K964" s="36">
        <f t="shared" si="46"/>
        <v>0</v>
      </c>
      <c r="L964" s="103" t="str">
        <f t="shared" si="40"/>
        <v>0 tubes and 0 shuttles</v>
      </c>
      <c r="M964" s="105">
        <f t="shared" si="47"/>
        <v>0</v>
      </c>
      <c r="N964" s="103" t="str">
        <f t="shared" si="41"/>
        <v>0 tubes and 0 shuttles</v>
      </c>
      <c r="O964" s="36">
        <f t="shared" si="42"/>
        <v>0</v>
      </c>
      <c r="P964" s="103" t="str">
        <f t="shared" si="43"/>
        <v>0 tubes and 0 shuttles</v>
      </c>
    </row>
    <row r="965" spans="1:16" ht="12.5" x14ac:dyDescent="0.25">
      <c r="A965" s="32">
        <f>'Profit &amp; Loss'!A965</f>
        <v>0</v>
      </c>
      <c r="B965" s="35">
        <f>'Profit &amp; Loss'!B965</f>
        <v>0</v>
      </c>
      <c r="C965" s="36"/>
      <c r="D965" s="33"/>
      <c r="E965" s="33"/>
      <c r="F965" s="101"/>
      <c r="G965" s="102">
        <f t="shared" si="44"/>
        <v>0</v>
      </c>
      <c r="H965" s="103" t="str">
        <f t="shared" si="38"/>
        <v>0 tubes and 0 shuttles</v>
      </c>
      <c r="I965" s="36">
        <f t="shared" si="45"/>
        <v>0</v>
      </c>
      <c r="J965" s="104" t="str">
        <f t="shared" si="39"/>
        <v>0 tubes and 0 shuttles</v>
      </c>
      <c r="K965" s="36">
        <f t="shared" si="46"/>
        <v>0</v>
      </c>
      <c r="L965" s="103" t="str">
        <f t="shared" si="40"/>
        <v>0 tubes and 0 shuttles</v>
      </c>
      <c r="M965" s="105">
        <f t="shared" si="47"/>
        <v>0</v>
      </c>
      <c r="N965" s="103" t="str">
        <f t="shared" si="41"/>
        <v>0 tubes and 0 shuttles</v>
      </c>
      <c r="O965" s="36">
        <f t="shared" si="42"/>
        <v>0</v>
      </c>
      <c r="P965" s="103" t="str">
        <f t="shared" si="43"/>
        <v>0 tubes and 0 shuttles</v>
      </c>
    </row>
    <row r="966" spans="1:16" ht="12.5" x14ac:dyDescent="0.25">
      <c r="A966" s="32">
        <f>'Profit &amp; Loss'!A966</f>
        <v>0</v>
      </c>
      <c r="B966" s="35">
        <f>'Profit &amp; Loss'!B966</f>
        <v>0</v>
      </c>
      <c r="C966" s="36"/>
      <c r="D966" s="33"/>
      <c r="E966" s="33"/>
      <c r="F966" s="101"/>
      <c r="G966" s="102">
        <f t="shared" si="44"/>
        <v>0</v>
      </c>
      <c r="H966" s="103" t="str">
        <f t="shared" si="38"/>
        <v>0 tubes and 0 shuttles</v>
      </c>
      <c r="I966" s="36">
        <f t="shared" si="45"/>
        <v>0</v>
      </c>
      <c r="J966" s="104" t="str">
        <f t="shared" si="39"/>
        <v>0 tubes and 0 shuttles</v>
      </c>
      <c r="K966" s="36">
        <f t="shared" si="46"/>
        <v>0</v>
      </c>
      <c r="L966" s="103" t="str">
        <f t="shared" si="40"/>
        <v>0 tubes and 0 shuttles</v>
      </c>
      <c r="M966" s="105">
        <f t="shared" si="47"/>
        <v>0</v>
      </c>
      <c r="N966" s="103" t="str">
        <f t="shared" si="41"/>
        <v>0 tubes and 0 shuttles</v>
      </c>
      <c r="O966" s="36">
        <f t="shared" si="42"/>
        <v>0</v>
      </c>
      <c r="P966" s="103" t="str">
        <f t="shared" si="43"/>
        <v>0 tubes and 0 shuttles</v>
      </c>
    </row>
    <row r="967" spans="1:16" ht="12.5" x14ac:dyDescent="0.25">
      <c r="A967" s="32">
        <f>'Profit &amp; Loss'!A967</f>
        <v>0</v>
      </c>
      <c r="B967" s="35">
        <f>'Profit &amp; Loss'!B967</f>
        <v>0</v>
      </c>
      <c r="C967" s="36"/>
      <c r="D967" s="33"/>
      <c r="E967" s="33"/>
      <c r="F967" s="101"/>
      <c r="G967" s="102">
        <f t="shared" si="44"/>
        <v>0</v>
      </c>
      <c r="H967" s="103" t="str">
        <f t="shared" si="38"/>
        <v>0 tubes and 0 shuttles</v>
      </c>
      <c r="I967" s="36">
        <f t="shared" si="45"/>
        <v>0</v>
      </c>
      <c r="J967" s="104" t="str">
        <f t="shared" si="39"/>
        <v>0 tubes and 0 shuttles</v>
      </c>
      <c r="K967" s="36">
        <f t="shared" si="46"/>
        <v>0</v>
      </c>
      <c r="L967" s="103" t="str">
        <f t="shared" si="40"/>
        <v>0 tubes and 0 shuttles</v>
      </c>
      <c r="M967" s="105">
        <f t="shared" si="47"/>
        <v>0</v>
      </c>
      <c r="N967" s="103" t="str">
        <f t="shared" si="41"/>
        <v>0 tubes and 0 shuttles</v>
      </c>
      <c r="O967" s="36">
        <f t="shared" si="42"/>
        <v>0</v>
      </c>
      <c r="P967" s="103" t="str">
        <f t="shared" si="43"/>
        <v>0 tubes and 0 shuttles</v>
      </c>
    </row>
    <row r="968" spans="1:16" ht="12.5" x14ac:dyDescent="0.25">
      <c r="A968" s="32">
        <f>'Profit &amp; Loss'!A968</f>
        <v>0</v>
      </c>
      <c r="B968" s="35">
        <f>'Profit &amp; Loss'!B968</f>
        <v>0</v>
      </c>
      <c r="C968" s="36"/>
      <c r="D968" s="33"/>
      <c r="E968" s="33"/>
      <c r="F968" s="101"/>
      <c r="G968" s="102">
        <f t="shared" si="44"/>
        <v>0</v>
      </c>
      <c r="H968" s="103" t="str">
        <f t="shared" si="38"/>
        <v>0 tubes and 0 shuttles</v>
      </c>
      <c r="I968" s="36">
        <f t="shared" si="45"/>
        <v>0</v>
      </c>
      <c r="J968" s="104" t="str">
        <f t="shared" si="39"/>
        <v>0 tubes and 0 shuttles</v>
      </c>
      <c r="K968" s="36">
        <f t="shared" si="46"/>
        <v>0</v>
      </c>
      <c r="L968" s="103" t="str">
        <f t="shared" si="40"/>
        <v>0 tubes and 0 shuttles</v>
      </c>
      <c r="M968" s="105">
        <f t="shared" si="47"/>
        <v>0</v>
      </c>
      <c r="N968" s="103" t="str">
        <f t="shared" si="41"/>
        <v>0 tubes and 0 shuttles</v>
      </c>
      <c r="O968" s="36">
        <f t="shared" si="42"/>
        <v>0</v>
      </c>
      <c r="P968" s="103" t="str">
        <f t="shared" si="43"/>
        <v>0 tubes and 0 shuttles</v>
      </c>
    </row>
    <row r="969" spans="1:16" ht="12.5" x14ac:dyDescent="0.25">
      <c r="A969" s="32">
        <f>'Profit &amp; Loss'!A969</f>
        <v>0</v>
      </c>
      <c r="B969" s="35">
        <f>'Profit &amp; Loss'!B969</f>
        <v>0</v>
      </c>
      <c r="C969" s="36"/>
      <c r="D969" s="33"/>
      <c r="E969" s="33"/>
      <c r="F969" s="101"/>
      <c r="G969" s="102">
        <f t="shared" si="44"/>
        <v>0</v>
      </c>
      <c r="H969" s="103" t="str">
        <f t="shared" si="38"/>
        <v>0 tubes and 0 shuttles</v>
      </c>
      <c r="I969" s="36">
        <f t="shared" si="45"/>
        <v>0</v>
      </c>
      <c r="J969" s="104" t="str">
        <f t="shared" si="39"/>
        <v>0 tubes and 0 shuttles</v>
      </c>
      <c r="K969" s="36">
        <f t="shared" si="46"/>
        <v>0</v>
      </c>
      <c r="L969" s="103" t="str">
        <f t="shared" si="40"/>
        <v>0 tubes and 0 shuttles</v>
      </c>
      <c r="M969" s="105">
        <f t="shared" si="47"/>
        <v>0</v>
      </c>
      <c r="N969" s="103" t="str">
        <f t="shared" si="41"/>
        <v>0 tubes and 0 shuttles</v>
      </c>
      <c r="O969" s="36">
        <f t="shared" si="42"/>
        <v>0</v>
      </c>
      <c r="P969" s="103" t="str">
        <f t="shared" si="43"/>
        <v>0 tubes and 0 shuttles</v>
      </c>
    </row>
    <row r="970" spans="1:16" ht="12.5" x14ac:dyDescent="0.25">
      <c r="A970" s="32">
        <f>'Profit &amp; Loss'!A970</f>
        <v>0</v>
      </c>
      <c r="B970" s="35">
        <f>'Profit &amp; Loss'!B970</f>
        <v>0</v>
      </c>
      <c r="C970" s="36"/>
      <c r="D970" s="33"/>
      <c r="E970" s="33"/>
      <c r="F970" s="101"/>
      <c r="G970" s="102">
        <f t="shared" si="44"/>
        <v>0</v>
      </c>
      <c r="H970" s="103" t="str">
        <f t="shared" si="38"/>
        <v>0 tubes and 0 shuttles</v>
      </c>
      <c r="I970" s="36">
        <f t="shared" si="45"/>
        <v>0</v>
      </c>
      <c r="J970" s="104" t="str">
        <f t="shared" si="39"/>
        <v>0 tubes and 0 shuttles</v>
      </c>
      <c r="K970" s="36">
        <f t="shared" si="46"/>
        <v>0</v>
      </c>
      <c r="L970" s="103" t="str">
        <f t="shared" si="40"/>
        <v>0 tubes and 0 shuttles</v>
      </c>
      <c r="M970" s="105">
        <f t="shared" si="47"/>
        <v>0</v>
      </c>
      <c r="N970" s="103" t="str">
        <f t="shared" si="41"/>
        <v>0 tubes and 0 shuttles</v>
      </c>
      <c r="O970" s="36">
        <f t="shared" si="42"/>
        <v>0</v>
      </c>
      <c r="P970" s="103" t="str">
        <f t="shared" si="43"/>
        <v>0 tubes and 0 shuttles</v>
      </c>
    </row>
    <row r="971" spans="1:16" ht="12.5" x14ac:dyDescent="0.25">
      <c r="A971" s="32">
        <f>'Profit &amp; Loss'!A971</f>
        <v>0</v>
      </c>
      <c r="B971" s="35">
        <f>'Profit &amp; Loss'!B971</f>
        <v>0</v>
      </c>
      <c r="C971" s="36"/>
      <c r="D971" s="33"/>
      <c r="E971" s="33"/>
      <c r="F971" s="101"/>
      <c r="G971" s="102">
        <f t="shared" si="44"/>
        <v>0</v>
      </c>
      <c r="H971" s="103" t="str">
        <f t="shared" si="38"/>
        <v>0 tubes and 0 shuttles</v>
      </c>
      <c r="I971" s="36">
        <f t="shared" si="45"/>
        <v>0</v>
      </c>
      <c r="J971" s="104" t="str">
        <f t="shared" si="39"/>
        <v>0 tubes and 0 shuttles</v>
      </c>
      <c r="K971" s="36">
        <f t="shared" si="46"/>
        <v>0</v>
      </c>
      <c r="L971" s="103" t="str">
        <f t="shared" si="40"/>
        <v>0 tubes and 0 shuttles</v>
      </c>
      <c r="M971" s="105">
        <f t="shared" si="47"/>
        <v>0</v>
      </c>
      <c r="N971" s="103" t="str">
        <f t="shared" si="41"/>
        <v>0 tubes and 0 shuttles</v>
      </c>
      <c r="O971" s="36">
        <f t="shared" si="42"/>
        <v>0</v>
      </c>
      <c r="P971" s="103" t="str">
        <f t="shared" si="43"/>
        <v>0 tubes and 0 shuttles</v>
      </c>
    </row>
    <row r="972" spans="1:16" ht="12.5" x14ac:dyDescent="0.25">
      <c r="A972" s="32">
        <f>'Profit &amp; Loss'!A972</f>
        <v>0</v>
      </c>
      <c r="B972" s="35">
        <f>'Profit &amp; Loss'!B972</f>
        <v>0</v>
      </c>
      <c r="C972" s="36"/>
      <c r="D972" s="33"/>
      <c r="E972" s="33"/>
      <c r="F972" s="101"/>
      <c r="G972" s="102">
        <f t="shared" si="44"/>
        <v>0</v>
      </c>
      <c r="H972" s="103" t="str">
        <f t="shared" si="38"/>
        <v>0 tubes and 0 shuttles</v>
      </c>
      <c r="I972" s="36">
        <f t="shared" si="45"/>
        <v>0</v>
      </c>
      <c r="J972" s="104" t="str">
        <f t="shared" si="39"/>
        <v>0 tubes and 0 shuttles</v>
      </c>
      <c r="K972" s="36">
        <f t="shared" si="46"/>
        <v>0</v>
      </c>
      <c r="L972" s="103" t="str">
        <f t="shared" si="40"/>
        <v>0 tubes and 0 shuttles</v>
      </c>
      <c r="M972" s="105">
        <f t="shared" si="47"/>
        <v>0</v>
      </c>
      <c r="N972" s="103" t="str">
        <f t="shared" si="41"/>
        <v>0 tubes and 0 shuttles</v>
      </c>
      <c r="O972" s="36">
        <f t="shared" si="42"/>
        <v>0</v>
      </c>
      <c r="P972" s="103" t="str">
        <f t="shared" si="43"/>
        <v>0 tubes and 0 shuttles</v>
      </c>
    </row>
    <row r="973" spans="1:16" ht="12.5" x14ac:dyDescent="0.25">
      <c r="A973" s="32">
        <f>'Profit &amp; Loss'!A973</f>
        <v>0</v>
      </c>
      <c r="B973" s="35">
        <f>'Profit &amp; Loss'!B973</f>
        <v>0</v>
      </c>
      <c r="C973" s="36"/>
      <c r="D973" s="33"/>
      <c r="E973" s="33"/>
      <c r="F973" s="101"/>
      <c r="G973" s="102">
        <f t="shared" si="44"/>
        <v>0</v>
      </c>
      <c r="H973" s="103" t="str">
        <f t="shared" si="38"/>
        <v>0 tubes and 0 shuttles</v>
      </c>
      <c r="I973" s="36">
        <f t="shared" si="45"/>
        <v>0</v>
      </c>
      <c r="J973" s="104" t="str">
        <f t="shared" si="39"/>
        <v>0 tubes and 0 shuttles</v>
      </c>
      <c r="K973" s="36">
        <f t="shared" si="46"/>
        <v>0</v>
      </c>
      <c r="L973" s="103" t="str">
        <f t="shared" si="40"/>
        <v>0 tubes and 0 shuttles</v>
      </c>
      <c r="M973" s="105">
        <f t="shared" si="47"/>
        <v>0</v>
      </c>
      <c r="N973" s="103" t="str">
        <f t="shared" si="41"/>
        <v>0 tubes and 0 shuttles</v>
      </c>
      <c r="O973" s="36">
        <f t="shared" si="42"/>
        <v>0</v>
      </c>
      <c r="P973" s="103" t="str">
        <f t="shared" si="43"/>
        <v>0 tubes and 0 shuttles</v>
      </c>
    </row>
    <row r="974" spans="1:16" ht="12.5" x14ac:dyDescent="0.25">
      <c r="A974" s="32">
        <f>'Profit &amp; Loss'!A974</f>
        <v>0</v>
      </c>
      <c r="B974" s="35">
        <f>'Profit &amp; Loss'!B974</f>
        <v>0</v>
      </c>
      <c r="C974" s="36"/>
      <c r="D974" s="33"/>
      <c r="E974" s="33"/>
      <c r="F974" s="101"/>
      <c r="G974" s="102">
        <f t="shared" si="44"/>
        <v>0</v>
      </c>
      <c r="H974" s="103" t="str">
        <f t="shared" si="38"/>
        <v>0 tubes and 0 shuttles</v>
      </c>
      <c r="I974" s="36">
        <f t="shared" si="45"/>
        <v>0</v>
      </c>
      <c r="J974" s="104" t="str">
        <f t="shared" si="39"/>
        <v>0 tubes and 0 shuttles</v>
      </c>
      <c r="K974" s="36">
        <f t="shared" si="46"/>
        <v>0</v>
      </c>
      <c r="L974" s="103" t="str">
        <f t="shared" si="40"/>
        <v>0 tubes and 0 shuttles</v>
      </c>
      <c r="M974" s="105">
        <f t="shared" si="47"/>
        <v>0</v>
      </c>
      <c r="N974" s="103" t="str">
        <f t="shared" si="41"/>
        <v>0 tubes and 0 shuttles</v>
      </c>
      <c r="O974" s="36">
        <f t="shared" si="42"/>
        <v>0</v>
      </c>
      <c r="P974" s="103" t="str">
        <f t="shared" si="43"/>
        <v>0 tubes and 0 shuttles</v>
      </c>
    </row>
    <row r="975" spans="1:16" ht="12.5" x14ac:dyDescent="0.25">
      <c r="A975" s="32">
        <f>'Profit &amp; Loss'!A975</f>
        <v>0</v>
      </c>
      <c r="B975" s="35">
        <f>'Profit &amp; Loss'!B975</f>
        <v>0</v>
      </c>
      <c r="C975" s="36"/>
      <c r="D975" s="33"/>
      <c r="E975" s="33"/>
      <c r="F975" s="101"/>
      <c r="G975" s="102">
        <f t="shared" si="44"/>
        <v>0</v>
      </c>
      <c r="H975" s="103" t="str">
        <f t="shared" si="38"/>
        <v>0 tubes and 0 shuttles</v>
      </c>
      <c r="I975" s="36">
        <f t="shared" si="45"/>
        <v>0</v>
      </c>
      <c r="J975" s="104" t="str">
        <f t="shared" si="39"/>
        <v>0 tubes and 0 shuttles</v>
      </c>
      <c r="K975" s="36">
        <f t="shared" si="46"/>
        <v>0</v>
      </c>
      <c r="L975" s="103" t="str">
        <f t="shared" si="40"/>
        <v>0 tubes and 0 shuttles</v>
      </c>
      <c r="M975" s="105">
        <f t="shared" si="47"/>
        <v>0</v>
      </c>
      <c r="N975" s="103" t="str">
        <f t="shared" si="41"/>
        <v>0 tubes and 0 shuttles</v>
      </c>
      <c r="O975" s="36">
        <f t="shared" si="42"/>
        <v>0</v>
      </c>
      <c r="P975" s="103" t="str">
        <f t="shared" si="43"/>
        <v>0 tubes and 0 shuttles</v>
      </c>
    </row>
    <row r="976" spans="1:16" ht="12.5" x14ac:dyDescent="0.25">
      <c r="A976" s="32">
        <f>'Profit &amp; Loss'!A976</f>
        <v>0</v>
      </c>
      <c r="B976" s="35">
        <f>'Profit &amp; Loss'!B976</f>
        <v>0</v>
      </c>
      <c r="C976" s="36"/>
      <c r="D976" s="33"/>
      <c r="E976" s="33"/>
      <c r="F976" s="101"/>
      <c r="G976" s="102">
        <f t="shared" si="44"/>
        <v>0</v>
      </c>
      <c r="H976" s="103" t="str">
        <f t="shared" si="38"/>
        <v>0 tubes and 0 shuttles</v>
      </c>
      <c r="I976" s="36">
        <f t="shared" si="45"/>
        <v>0</v>
      </c>
      <c r="J976" s="104" t="str">
        <f t="shared" si="39"/>
        <v>0 tubes and 0 shuttles</v>
      </c>
      <c r="K976" s="36">
        <f t="shared" si="46"/>
        <v>0</v>
      </c>
      <c r="L976" s="103" t="str">
        <f t="shared" si="40"/>
        <v>0 tubes and 0 shuttles</v>
      </c>
      <c r="M976" s="105">
        <f t="shared" si="47"/>
        <v>0</v>
      </c>
      <c r="N976" s="103" t="str">
        <f t="shared" si="41"/>
        <v>0 tubes and 0 shuttles</v>
      </c>
      <c r="O976" s="36">
        <f t="shared" si="42"/>
        <v>0</v>
      </c>
      <c r="P976" s="103" t="str">
        <f t="shared" si="43"/>
        <v>0 tubes and 0 shuttles</v>
      </c>
    </row>
    <row r="977" spans="1:16" ht="12.5" x14ac:dyDescent="0.25">
      <c r="A977" s="32">
        <f>'Profit &amp; Loss'!A977</f>
        <v>0</v>
      </c>
      <c r="B977" s="35">
        <f>'Profit &amp; Loss'!B977</f>
        <v>0</v>
      </c>
      <c r="C977" s="36"/>
      <c r="D977" s="33"/>
      <c r="E977" s="33"/>
      <c r="F977" s="101"/>
      <c r="G977" s="102">
        <f t="shared" si="44"/>
        <v>0</v>
      </c>
      <c r="H977" s="103" t="str">
        <f t="shared" si="38"/>
        <v>0 tubes and 0 shuttles</v>
      </c>
      <c r="I977" s="36">
        <f t="shared" si="45"/>
        <v>0</v>
      </c>
      <c r="J977" s="104" t="str">
        <f t="shared" si="39"/>
        <v>0 tubes and 0 shuttles</v>
      </c>
      <c r="K977" s="36">
        <f t="shared" si="46"/>
        <v>0</v>
      </c>
      <c r="L977" s="103" t="str">
        <f t="shared" si="40"/>
        <v>0 tubes and 0 shuttles</v>
      </c>
      <c r="M977" s="105">
        <f t="shared" si="47"/>
        <v>0</v>
      </c>
      <c r="N977" s="103" t="str">
        <f t="shared" si="41"/>
        <v>0 tubes and 0 shuttles</v>
      </c>
      <c r="O977" s="36">
        <f t="shared" si="42"/>
        <v>0</v>
      </c>
      <c r="P977" s="103" t="str">
        <f t="shared" si="43"/>
        <v>0 tubes and 0 shuttles</v>
      </c>
    </row>
    <row r="978" spans="1:16" ht="12.5" x14ac:dyDescent="0.25">
      <c r="A978" s="32">
        <f>'Profit &amp; Loss'!A978</f>
        <v>0</v>
      </c>
      <c r="B978" s="35">
        <f>'Profit &amp; Loss'!B978</f>
        <v>0</v>
      </c>
      <c r="C978" s="36"/>
      <c r="D978" s="33"/>
      <c r="E978" s="33"/>
      <c r="F978" s="101"/>
      <c r="G978" s="102">
        <f t="shared" si="44"/>
        <v>0</v>
      </c>
      <c r="H978" s="103" t="str">
        <f t="shared" si="38"/>
        <v>0 tubes and 0 shuttles</v>
      </c>
      <c r="I978" s="36">
        <f t="shared" si="45"/>
        <v>0</v>
      </c>
      <c r="J978" s="104" t="str">
        <f t="shared" si="39"/>
        <v>0 tubes and 0 shuttles</v>
      </c>
      <c r="K978" s="36">
        <f t="shared" si="46"/>
        <v>0</v>
      </c>
      <c r="L978" s="103" t="str">
        <f t="shared" si="40"/>
        <v>0 tubes and 0 shuttles</v>
      </c>
      <c r="M978" s="105">
        <f t="shared" si="47"/>
        <v>0</v>
      </c>
      <c r="N978" s="103" t="str">
        <f t="shared" si="41"/>
        <v>0 tubes and 0 shuttles</v>
      </c>
      <c r="O978" s="36">
        <f t="shared" si="42"/>
        <v>0</v>
      </c>
      <c r="P978" s="103" t="str">
        <f t="shared" si="43"/>
        <v>0 tubes and 0 shuttles</v>
      </c>
    </row>
    <row r="979" spans="1:16" ht="12.5" x14ac:dyDescent="0.25">
      <c r="A979" s="32">
        <f>'Profit &amp; Loss'!A979</f>
        <v>0</v>
      </c>
      <c r="B979" s="35">
        <f>'Profit &amp; Loss'!B979</f>
        <v>0</v>
      </c>
      <c r="C979" s="36"/>
      <c r="D979" s="33"/>
      <c r="E979" s="33"/>
      <c r="F979" s="101"/>
      <c r="G979" s="102">
        <f t="shared" si="44"/>
        <v>0</v>
      </c>
      <c r="H979" s="103" t="str">
        <f t="shared" si="38"/>
        <v>0 tubes and 0 shuttles</v>
      </c>
      <c r="I979" s="36">
        <f t="shared" si="45"/>
        <v>0</v>
      </c>
      <c r="J979" s="104" t="str">
        <f t="shared" si="39"/>
        <v>0 tubes and 0 shuttles</v>
      </c>
      <c r="K979" s="36">
        <f t="shared" si="46"/>
        <v>0</v>
      </c>
      <c r="L979" s="103" t="str">
        <f t="shared" si="40"/>
        <v>0 tubes and 0 shuttles</v>
      </c>
      <c r="M979" s="105">
        <f t="shared" si="47"/>
        <v>0</v>
      </c>
      <c r="N979" s="103" t="str">
        <f t="shared" si="41"/>
        <v>0 tubes and 0 shuttles</v>
      </c>
      <c r="O979" s="36">
        <f t="shared" si="42"/>
        <v>0</v>
      </c>
      <c r="P979" s="103" t="str">
        <f t="shared" si="43"/>
        <v>0 tubes and 0 shuttles</v>
      </c>
    </row>
    <row r="980" spans="1:16" ht="12.5" x14ac:dyDescent="0.25">
      <c r="A980" s="32">
        <f>'Profit &amp; Loss'!A980</f>
        <v>0</v>
      </c>
      <c r="B980" s="35">
        <f>'Profit &amp; Loss'!B980</f>
        <v>0</v>
      </c>
      <c r="C980" s="36"/>
      <c r="D980" s="33"/>
      <c r="E980" s="33"/>
      <c r="F980" s="101"/>
      <c r="G980" s="102">
        <f t="shared" si="44"/>
        <v>0</v>
      </c>
      <c r="H980" s="103" t="str">
        <f t="shared" si="38"/>
        <v>0 tubes and 0 shuttles</v>
      </c>
      <c r="I980" s="36">
        <f t="shared" si="45"/>
        <v>0</v>
      </c>
      <c r="J980" s="104" t="str">
        <f t="shared" si="39"/>
        <v>0 tubes and 0 shuttles</v>
      </c>
      <c r="K980" s="36">
        <f t="shared" si="46"/>
        <v>0</v>
      </c>
      <c r="L980" s="103" t="str">
        <f t="shared" si="40"/>
        <v>0 tubes and 0 shuttles</v>
      </c>
      <c r="M980" s="105">
        <f t="shared" si="47"/>
        <v>0</v>
      </c>
      <c r="N980" s="103" t="str">
        <f t="shared" si="41"/>
        <v>0 tubes and 0 shuttles</v>
      </c>
      <c r="O980" s="36">
        <f t="shared" si="42"/>
        <v>0</v>
      </c>
      <c r="P980" s="103" t="str">
        <f t="shared" si="43"/>
        <v>0 tubes and 0 shuttles</v>
      </c>
    </row>
    <row r="981" spans="1:16" ht="12.5" x14ac:dyDescent="0.25">
      <c r="A981" s="32">
        <f>'Profit &amp; Loss'!A981</f>
        <v>0</v>
      </c>
      <c r="B981" s="35">
        <f>'Profit &amp; Loss'!B981</f>
        <v>0</v>
      </c>
      <c r="C981" s="36"/>
      <c r="D981" s="33"/>
      <c r="E981" s="33"/>
      <c r="F981" s="101"/>
      <c r="G981" s="102">
        <f t="shared" si="44"/>
        <v>0</v>
      </c>
      <c r="H981" s="103" t="str">
        <f t="shared" si="38"/>
        <v>0 tubes and 0 shuttles</v>
      </c>
      <c r="I981" s="36">
        <f t="shared" si="45"/>
        <v>0</v>
      </c>
      <c r="J981" s="104" t="str">
        <f t="shared" si="39"/>
        <v>0 tubes and 0 shuttles</v>
      </c>
      <c r="K981" s="36">
        <f t="shared" si="46"/>
        <v>0</v>
      </c>
      <c r="L981" s="103" t="str">
        <f t="shared" si="40"/>
        <v>0 tubes and 0 shuttles</v>
      </c>
      <c r="M981" s="105">
        <f t="shared" si="47"/>
        <v>0</v>
      </c>
      <c r="N981" s="103" t="str">
        <f t="shared" si="41"/>
        <v>0 tubes and 0 shuttles</v>
      </c>
      <c r="O981" s="36">
        <f t="shared" si="42"/>
        <v>0</v>
      </c>
      <c r="P981" s="103" t="str">
        <f t="shared" si="43"/>
        <v>0 tubes and 0 shuttles</v>
      </c>
    </row>
    <row r="982" spans="1:16" ht="12.5" x14ac:dyDescent="0.25">
      <c r="A982" s="32">
        <f>'Profit &amp; Loss'!A982</f>
        <v>0</v>
      </c>
      <c r="B982" s="35">
        <f>'Profit &amp; Loss'!B982</f>
        <v>0</v>
      </c>
      <c r="C982" s="36"/>
      <c r="D982" s="33"/>
      <c r="E982" s="33"/>
      <c r="F982" s="101"/>
      <c r="G982" s="102">
        <f t="shared" si="44"/>
        <v>0</v>
      </c>
      <c r="H982" s="103" t="str">
        <f t="shared" si="38"/>
        <v>0 tubes and 0 shuttles</v>
      </c>
      <c r="I982" s="36">
        <f t="shared" si="45"/>
        <v>0</v>
      </c>
      <c r="J982" s="104" t="str">
        <f t="shared" si="39"/>
        <v>0 tubes and 0 shuttles</v>
      </c>
      <c r="K982" s="36">
        <f t="shared" si="46"/>
        <v>0</v>
      </c>
      <c r="L982" s="103" t="str">
        <f t="shared" si="40"/>
        <v>0 tubes and 0 shuttles</v>
      </c>
      <c r="M982" s="105">
        <f t="shared" si="47"/>
        <v>0</v>
      </c>
      <c r="N982" s="103" t="str">
        <f t="shared" si="41"/>
        <v>0 tubes and 0 shuttles</v>
      </c>
      <c r="O982" s="36">
        <f t="shared" si="42"/>
        <v>0</v>
      </c>
      <c r="P982" s="103" t="str">
        <f t="shared" si="43"/>
        <v>0 tubes and 0 shuttles</v>
      </c>
    </row>
    <row r="983" spans="1:16" ht="12.5" x14ac:dyDescent="0.25">
      <c r="A983" s="32">
        <f>'Profit &amp; Loss'!A983</f>
        <v>0</v>
      </c>
      <c r="B983" s="35">
        <f>'Profit &amp; Loss'!B983</f>
        <v>0</v>
      </c>
      <c r="C983" s="36"/>
      <c r="D983" s="33"/>
      <c r="E983" s="33"/>
      <c r="F983" s="101"/>
      <c r="G983" s="102">
        <f t="shared" si="44"/>
        <v>0</v>
      </c>
      <c r="H983" s="103" t="str">
        <f t="shared" si="38"/>
        <v>0 tubes and 0 shuttles</v>
      </c>
      <c r="I983" s="36">
        <f t="shared" si="45"/>
        <v>0</v>
      </c>
      <c r="J983" s="104" t="str">
        <f t="shared" si="39"/>
        <v>0 tubes and 0 shuttles</v>
      </c>
      <c r="K983" s="36">
        <f t="shared" si="46"/>
        <v>0</v>
      </c>
      <c r="L983" s="103" t="str">
        <f t="shared" si="40"/>
        <v>0 tubes and 0 shuttles</v>
      </c>
      <c r="M983" s="105">
        <f t="shared" si="47"/>
        <v>0</v>
      </c>
      <c r="N983" s="103" t="str">
        <f t="shared" si="41"/>
        <v>0 tubes and 0 shuttles</v>
      </c>
      <c r="O983" s="36">
        <f t="shared" si="42"/>
        <v>0</v>
      </c>
      <c r="P983" s="103" t="str">
        <f t="shared" si="43"/>
        <v>0 tubes and 0 shuttles</v>
      </c>
    </row>
    <row r="984" spans="1:16" ht="12.5" x14ac:dyDescent="0.25">
      <c r="A984" s="32">
        <f>'Profit &amp; Loss'!A984</f>
        <v>0</v>
      </c>
      <c r="B984" s="35">
        <f>'Profit &amp; Loss'!B984</f>
        <v>0</v>
      </c>
      <c r="C984" s="36"/>
      <c r="D984" s="33"/>
      <c r="E984" s="33"/>
      <c r="F984" s="101"/>
      <c r="G984" s="102">
        <f t="shared" si="44"/>
        <v>0</v>
      </c>
      <c r="H984" s="103" t="str">
        <f t="shared" si="38"/>
        <v>0 tubes and 0 shuttles</v>
      </c>
      <c r="I984" s="36">
        <f t="shared" si="45"/>
        <v>0</v>
      </c>
      <c r="J984" s="104" t="str">
        <f t="shared" si="39"/>
        <v>0 tubes and 0 shuttles</v>
      </c>
      <c r="K984" s="36">
        <f t="shared" si="46"/>
        <v>0</v>
      </c>
      <c r="L984" s="103" t="str">
        <f t="shared" si="40"/>
        <v>0 tubes and 0 shuttles</v>
      </c>
      <c r="M984" s="105">
        <f t="shared" si="47"/>
        <v>0</v>
      </c>
      <c r="N984" s="103" t="str">
        <f t="shared" si="41"/>
        <v>0 tubes and 0 shuttles</v>
      </c>
      <c r="O984" s="36">
        <f t="shared" si="42"/>
        <v>0</v>
      </c>
      <c r="P984" s="103" t="str">
        <f t="shared" si="43"/>
        <v>0 tubes and 0 shuttles</v>
      </c>
    </row>
    <row r="985" spans="1:16" ht="12.5" x14ac:dyDescent="0.25">
      <c r="A985" s="32">
        <f>'Profit &amp; Loss'!A985</f>
        <v>0</v>
      </c>
      <c r="B985" s="35">
        <f>'Profit &amp; Loss'!B985</f>
        <v>0</v>
      </c>
      <c r="C985" s="36"/>
      <c r="D985" s="33"/>
      <c r="E985" s="33"/>
      <c r="F985" s="101"/>
      <c r="G985" s="102">
        <f t="shared" si="44"/>
        <v>0</v>
      </c>
      <c r="H985" s="103" t="str">
        <f t="shared" si="38"/>
        <v>0 tubes and 0 shuttles</v>
      </c>
      <c r="I985" s="36">
        <f t="shared" si="45"/>
        <v>0</v>
      </c>
      <c r="J985" s="104" t="str">
        <f t="shared" si="39"/>
        <v>0 tubes and 0 shuttles</v>
      </c>
      <c r="K985" s="36">
        <f t="shared" si="46"/>
        <v>0</v>
      </c>
      <c r="L985" s="103" t="str">
        <f t="shared" si="40"/>
        <v>0 tubes and 0 shuttles</v>
      </c>
      <c r="M985" s="105">
        <f t="shared" si="47"/>
        <v>0</v>
      </c>
      <c r="N985" s="103" t="str">
        <f t="shared" si="41"/>
        <v>0 tubes and 0 shuttles</v>
      </c>
      <c r="O985" s="36">
        <f t="shared" si="42"/>
        <v>0</v>
      </c>
      <c r="P985" s="103" t="str">
        <f t="shared" si="43"/>
        <v>0 tubes and 0 shuttles</v>
      </c>
    </row>
    <row r="986" spans="1:16" ht="12.5" x14ac:dyDescent="0.25">
      <c r="A986" s="32">
        <f>'Profit &amp; Loss'!A986</f>
        <v>0</v>
      </c>
      <c r="B986" s="35">
        <f>'Profit &amp; Loss'!B986</f>
        <v>0</v>
      </c>
      <c r="C986" s="36"/>
      <c r="D986" s="33"/>
      <c r="E986" s="33"/>
      <c r="F986" s="101"/>
      <c r="G986" s="102">
        <f t="shared" si="44"/>
        <v>0</v>
      </c>
      <c r="H986" s="103" t="str">
        <f t="shared" si="38"/>
        <v>0 tubes and 0 shuttles</v>
      </c>
      <c r="I986" s="36">
        <f t="shared" si="45"/>
        <v>0</v>
      </c>
      <c r="J986" s="104" t="str">
        <f t="shared" si="39"/>
        <v>0 tubes and 0 shuttles</v>
      </c>
      <c r="K986" s="36">
        <f t="shared" si="46"/>
        <v>0</v>
      </c>
      <c r="L986" s="103" t="str">
        <f t="shared" si="40"/>
        <v>0 tubes and 0 shuttles</v>
      </c>
      <c r="M986" s="105">
        <f t="shared" si="47"/>
        <v>0</v>
      </c>
      <c r="N986" s="103" t="str">
        <f t="shared" si="41"/>
        <v>0 tubes and 0 shuttles</v>
      </c>
      <c r="O986" s="36">
        <f t="shared" si="42"/>
        <v>0</v>
      </c>
      <c r="P986" s="103" t="str">
        <f t="shared" si="43"/>
        <v>0 tubes and 0 shuttles</v>
      </c>
    </row>
    <row r="987" spans="1:16" ht="12.5" x14ac:dyDescent="0.25">
      <c r="A987" s="32">
        <f>'Profit &amp; Loss'!A987</f>
        <v>0</v>
      </c>
      <c r="B987" s="35">
        <f>'Profit &amp; Loss'!B987</f>
        <v>0</v>
      </c>
      <c r="C987" s="36"/>
      <c r="D987" s="33"/>
      <c r="E987" s="33"/>
      <c r="F987" s="101"/>
      <c r="G987" s="102">
        <f t="shared" si="44"/>
        <v>0</v>
      </c>
      <c r="H987" s="103" t="str">
        <f t="shared" si="38"/>
        <v>0 tubes and 0 shuttles</v>
      </c>
      <c r="I987" s="36">
        <f t="shared" si="45"/>
        <v>0</v>
      </c>
      <c r="J987" s="104" t="str">
        <f t="shared" si="39"/>
        <v>0 tubes and 0 shuttles</v>
      </c>
      <c r="K987" s="36">
        <f t="shared" si="46"/>
        <v>0</v>
      </c>
      <c r="L987" s="103" t="str">
        <f t="shared" si="40"/>
        <v>0 tubes and 0 shuttles</v>
      </c>
      <c r="M987" s="105">
        <f t="shared" si="47"/>
        <v>0</v>
      </c>
      <c r="N987" s="103" t="str">
        <f t="shared" si="41"/>
        <v>0 tubes and 0 shuttles</v>
      </c>
      <c r="O987" s="36">
        <f t="shared" si="42"/>
        <v>0</v>
      </c>
      <c r="P987" s="103" t="str">
        <f t="shared" si="43"/>
        <v>0 tubes and 0 shuttles</v>
      </c>
    </row>
    <row r="988" spans="1:16" ht="12.5" x14ac:dyDescent="0.25">
      <c r="A988" s="32">
        <f>'Profit &amp; Loss'!A988</f>
        <v>0</v>
      </c>
      <c r="B988" s="35">
        <f>'Profit &amp; Loss'!B988</f>
        <v>0</v>
      </c>
      <c r="C988" s="36"/>
      <c r="D988" s="33"/>
      <c r="E988" s="33"/>
      <c r="F988" s="101"/>
      <c r="G988" s="102">
        <f t="shared" si="44"/>
        <v>0</v>
      </c>
      <c r="H988" s="103" t="str">
        <f t="shared" si="38"/>
        <v>0 tubes and 0 shuttles</v>
      </c>
      <c r="I988" s="36">
        <f t="shared" si="45"/>
        <v>0</v>
      </c>
      <c r="J988" s="104" t="str">
        <f t="shared" si="39"/>
        <v>0 tubes and 0 shuttles</v>
      </c>
      <c r="K988" s="36">
        <f t="shared" si="46"/>
        <v>0</v>
      </c>
      <c r="L988" s="103" t="str">
        <f t="shared" si="40"/>
        <v>0 tubes and 0 shuttles</v>
      </c>
      <c r="M988" s="105">
        <f t="shared" si="47"/>
        <v>0</v>
      </c>
      <c r="N988" s="103" t="str">
        <f t="shared" si="41"/>
        <v>0 tubes and 0 shuttles</v>
      </c>
      <c r="O988" s="36">
        <f t="shared" si="42"/>
        <v>0</v>
      </c>
      <c r="P988" s="103" t="str">
        <f t="shared" si="43"/>
        <v>0 tubes and 0 shuttles</v>
      </c>
    </row>
    <row r="989" spans="1:16" ht="12.5" x14ac:dyDescent="0.25">
      <c r="A989" s="49">
        <f>'Profit &amp; Loss'!A989</f>
        <v>0</v>
      </c>
      <c r="B989" s="51">
        <f>'Profit &amp; Loss'!B989</f>
        <v>0</v>
      </c>
      <c r="C989" s="49"/>
      <c r="D989" s="50"/>
      <c r="E989" s="50"/>
      <c r="F989" s="116"/>
      <c r="G989" s="117">
        <f t="shared" si="44"/>
        <v>0</v>
      </c>
      <c r="H989" s="118" t="str">
        <f t="shared" si="38"/>
        <v>0 tubes and 0 shuttles</v>
      </c>
      <c r="I989" s="49">
        <f t="shared" si="45"/>
        <v>0</v>
      </c>
      <c r="J989" s="119" t="str">
        <f t="shared" si="39"/>
        <v>0 tubes and 0 shuttles</v>
      </c>
      <c r="K989" s="49">
        <f t="shared" si="46"/>
        <v>0</v>
      </c>
      <c r="L989" s="118" t="str">
        <f t="shared" si="40"/>
        <v>0 tubes and 0 shuttles</v>
      </c>
      <c r="M989" s="120">
        <f t="shared" si="47"/>
        <v>0</v>
      </c>
      <c r="N989" s="118" t="str">
        <f t="shared" si="41"/>
        <v>0 tubes and 0 shuttles</v>
      </c>
      <c r="O989" s="49">
        <f t="shared" si="42"/>
        <v>0</v>
      </c>
      <c r="P989" s="118" t="str">
        <f t="shared" si="43"/>
        <v>0 tubes and 0 shuttles</v>
      </c>
    </row>
  </sheetData>
  <mergeCells count="7">
    <mergeCell ref="C4:F4"/>
    <mergeCell ref="G4:N4"/>
    <mergeCell ref="O4:P5"/>
    <mergeCell ref="G5:H5"/>
    <mergeCell ref="I5:J5"/>
    <mergeCell ref="K5:L5"/>
    <mergeCell ref="M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8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6" max="6" width="17.36328125" customWidth="1"/>
    <col min="8" max="8" width="17.6328125" customWidth="1"/>
    <col min="10" max="10" width="18.6328125" customWidth="1"/>
    <col min="11" max="11" width="16.7265625" customWidth="1"/>
  </cols>
  <sheetData>
    <row r="1" spans="1:10" ht="13" x14ac:dyDescent="0.3">
      <c r="A1" s="86" t="s">
        <v>274</v>
      </c>
      <c r="C1" s="4"/>
      <c r="D1" s="4"/>
      <c r="E1" s="4"/>
      <c r="G1" s="4"/>
      <c r="I1" s="4"/>
    </row>
    <row r="2" spans="1:10" ht="12.5" x14ac:dyDescent="0.25">
      <c r="C2" s="4"/>
      <c r="D2" s="4"/>
      <c r="E2" s="4"/>
      <c r="G2" s="4"/>
      <c r="I2" s="4"/>
    </row>
    <row r="3" spans="1:10" ht="12.5" x14ac:dyDescent="0.25">
      <c r="A3" s="4"/>
      <c r="B3" s="4"/>
      <c r="C3" s="4"/>
      <c r="D3" s="4"/>
      <c r="E3" s="4"/>
      <c r="G3" s="4"/>
      <c r="I3" s="4"/>
    </row>
    <row r="4" spans="1:10" ht="13" x14ac:dyDescent="0.3">
      <c r="A4" s="4"/>
      <c r="B4" s="4"/>
      <c r="C4" s="136" t="s">
        <v>269</v>
      </c>
      <c r="D4" s="138"/>
      <c r="E4" s="129" t="s">
        <v>270</v>
      </c>
      <c r="F4" s="130"/>
      <c r="G4" s="130"/>
      <c r="H4" s="131"/>
      <c r="I4" s="139" t="s">
        <v>271</v>
      </c>
      <c r="J4" s="128"/>
    </row>
    <row r="5" spans="1:10" ht="13" x14ac:dyDescent="0.3">
      <c r="A5" s="87" t="s">
        <v>9</v>
      </c>
      <c r="B5" s="88" t="s">
        <v>10</v>
      </c>
      <c r="C5" s="89" t="s">
        <v>272</v>
      </c>
      <c r="D5" s="90" t="s">
        <v>273</v>
      </c>
      <c r="E5" s="129" t="s">
        <v>272</v>
      </c>
      <c r="F5" s="131"/>
      <c r="G5" s="129" t="s">
        <v>273</v>
      </c>
      <c r="H5" s="131"/>
      <c r="I5" s="140"/>
      <c r="J5" s="141"/>
    </row>
    <row r="6" spans="1:10" ht="12.5" hidden="1" x14ac:dyDescent="0.25">
      <c r="A6" s="92">
        <f>'Profit &amp; Loss'!A6</f>
        <v>45955</v>
      </c>
      <c r="B6" s="93" t="str">
        <f>'Profit &amp; Loss'!B6</f>
        <v>Sat</v>
      </c>
      <c r="C6" s="94"/>
      <c r="D6" s="95"/>
      <c r="E6" s="97">
        <v>0</v>
      </c>
      <c r="F6" s="98" t="str">
        <f t="shared" ref="F6:F260" si="0">QUOTIENT(E6,12) &amp; " tubes and " &amp; MOD(E6,12) &amp; " shuttles"</f>
        <v>0 tubes and 0 shuttles</v>
      </c>
      <c r="G6" s="24">
        <v>0</v>
      </c>
      <c r="H6" s="99" t="str">
        <f t="shared" ref="H6:H260" si="1">QUOTIENT(G6,12) &amp; " tubes and " &amp; MOD(G6,12) &amp; " shuttles"</f>
        <v>0 tubes and 0 shuttles</v>
      </c>
      <c r="I6" s="24">
        <f t="shared" ref="I6:I260" si="2">SUM(E6:H6)</f>
        <v>0</v>
      </c>
      <c r="J6" s="98" t="str">
        <f t="shared" ref="J6:J260" si="3">QUOTIENT(I6,12) &amp; " tubes and " &amp; MOD(I6,12) &amp; " shuttles"</f>
        <v>0 tubes and 0 shuttles</v>
      </c>
    </row>
    <row r="7" spans="1:10" ht="12.5" hidden="1" x14ac:dyDescent="0.25">
      <c r="A7" s="32">
        <f>'Profit &amp; Loss'!A7</f>
        <v>45960</v>
      </c>
      <c r="B7" s="35" t="str">
        <f>'Profit &amp; Loss'!B7</f>
        <v>Thurs</v>
      </c>
      <c r="C7" s="36"/>
      <c r="D7" s="33"/>
      <c r="E7" s="102">
        <f t="shared" ref="E7:E29" si="4">IF(C7=" ",E6,E6-C7)</f>
        <v>0</v>
      </c>
      <c r="F7" s="103" t="str">
        <f t="shared" si="0"/>
        <v>0 tubes and 0 shuttles</v>
      </c>
      <c r="G7" s="36">
        <f t="shared" ref="G7:G29" si="5">IF(D7=" ",G6,G6-D7)</f>
        <v>0</v>
      </c>
      <c r="H7" s="104" t="str">
        <f t="shared" si="1"/>
        <v>0 tubes and 0 shuttles</v>
      </c>
      <c r="I7" s="36">
        <f t="shared" si="2"/>
        <v>0</v>
      </c>
      <c r="J7" s="103" t="str">
        <f t="shared" si="3"/>
        <v>0 tubes and 0 shuttles</v>
      </c>
    </row>
    <row r="8" spans="1:10" ht="12.5" hidden="1" x14ac:dyDescent="0.25">
      <c r="A8" s="32">
        <f>'Profit &amp; Loss'!A8</f>
        <v>45963</v>
      </c>
      <c r="B8" s="35" t="str">
        <f>'Profit &amp; Loss'!B8</f>
        <v>Sun</v>
      </c>
      <c r="C8" s="36"/>
      <c r="D8" s="33"/>
      <c r="E8" s="102">
        <f t="shared" si="4"/>
        <v>0</v>
      </c>
      <c r="F8" s="103" t="str">
        <f t="shared" si="0"/>
        <v>0 tubes and 0 shuttles</v>
      </c>
      <c r="G8" s="36">
        <f t="shared" si="5"/>
        <v>0</v>
      </c>
      <c r="H8" s="104" t="str">
        <f t="shared" si="1"/>
        <v>0 tubes and 0 shuttles</v>
      </c>
      <c r="I8" s="36">
        <f t="shared" si="2"/>
        <v>0</v>
      </c>
      <c r="J8" s="103" t="str">
        <f t="shared" si="3"/>
        <v>0 tubes and 0 shuttles</v>
      </c>
    </row>
    <row r="9" spans="1:10" ht="12.5" hidden="1" x14ac:dyDescent="0.25">
      <c r="A9" s="32">
        <f>'Profit &amp; Loss'!A9</f>
        <v>45965</v>
      </c>
      <c r="B9" s="35" t="str">
        <f>'Profit &amp; Loss'!B9</f>
        <v>Tues</v>
      </c>
      <c r="C9" s="36"/>
      <c r="D9" s="33"/>
      <c r="E9" s="102">
        <f t="shared" si="4"/>
        <v>0</v>
      </c>
      <c r="F9" s="103" t="str">
        <f t="shared" si="0"/>
        <v>0 tubes and 0 shuttles</v>
      </c>
      <c r="G9" s="36">
        <f t="shared" si="5"/>
        <v>0</v>
      </c>
      <c r="H9" s="104" t="str">
        <f t="shared" si="1"/>
        <v>0 tubes and 0 shuttles</v>
      </c>
      <c r="I9" s="36">
        <f t="shared" si="2"/>
        <v>0</v>
      </c>
      <c r="J9" s="103" t="str">
        <f t="shared" si="3"/>
        <v>0 tubes and 0 shuttles</v>
      </c>
    </row>
    <row r="10" spans="1:10" ht="12.5" hidden="1" x14ac:dyDescent="0.25">
      <c r="A10" s="32">
        <f>'Profit &amp; Loss'!A10</f>
        <v>45969</v>
      </c>
      <c r="B10" s="35" t="str">
        <f>'Profit &amp; Loss'!B10</f>
        <v>Sat</v>
      </c>
      <c r="C10" s="36"/>
      <c r="D10" s="33"/>
      <c r="E10" s="102">
        <f t="shared" si="4"/>
        <v>0</v>
      </c>
      <c r="F10" s="103" t="str">
        <f t="shared" si="0"/>
        <v>0 tubes and 0 shuttles</v>
      </c>
      <c r="G10" s="36">
        <f t="shared" si="5"/>
        <v>0</v>
      </c>
      <c r="H10" s="104" t="str">
        <f t="shared" si="1"/>
        <v>0 tubes and 0 shuttles</v>
      </c>
      <c r="I10" s="36">
        <f t="shared" si="2"/>
        <v>0</v>
      </c>
      <c r="J10" s="103" t="str">
        <f t="shared" si="3"/>
        <v>0 tubes and 0 shuttles</v>
      </c>
    </row>
    <row r="11" spans="1:10" ht="12.5" hidden="1" x14ac:dyDescent="0.25">
      <c r="A11" s="32">
        <f>'Profit &amp; Loss'!A11</f>
        <v>45973</v>
      </c>
      <c r="B11" s="35" t="str">
        <f>'Profit &amp; Loss'!B11</f>
        <v>Wed</v>
      </c>
      <c r="C11" s="36"/>
      <c r="D11" s="33"/>
      <c r="E11" s="102">
        <f t="shared" si="4"/>
        <v>0</v>
      </c>
      <c r="F11" s="103" t="str">
        <f t="shared" si="0"/>
        <v>0 tubes and 0 shuttles</v>
      </c>
      <c r="G11" s="36">
        <f t="shared" si="5"/>
        <v>0</v>
      </c>
      <c r="H11" s="104" t="str">
        <f t="shared" si="1"/>
        <v>0 tubes and 0 shuttles</v>
      </c>
      <c r="I11" s="36">
        <f t="shared" si="2"/>
        <v>0</v>
      </c>
      <c r="J11" s="103" t="str">
        <f t="shared" si="3"/>
        <v>0 tubes and 0 shuttles</v>
      </c>
    </row>
    <row r="12" spans="1:10" ht="12.5" hidden="1" x14ac:dyDescent="0.25">
      <c r="A12" s="32">
        <f>'Profit &amp; Loss'!A12</f>
        <v>45977</v>
      </c>
      <c r="B12" s="35" t="str">
        <f>'Profit &amp; Loss'!B12</f>
        <v>Sun</v>
      </c>
      <c r="C12" s="36"/>
      <c r="D12" s="33"/>
      <c r="E12" s="102">
        <f t="shared" si="4"/>
        <v>0</v>
      </c>
      <c r="F12" s="103" t="str">
        <f t="shared" si="0"/>
        <v>0 tubes and 0 shuttles</v>
      </c>
      <c r="G12" s="36">
        <f t="shared" si="5"/>
        <v>0</v>
      </c>
      <c r="H12" s="104" t="str">
        <f t="shared" si="1"/>
        <v>0 tubes and 0 shuttles</v>
      </c>
      <c r="I12" s="36">
        <f t="shared" si="2"/>
        <v>0</v>
      </c>
      <c r="J12" s="103" t="str">
        <f t="shared" si="3"/>
        <v>0 tubes and 0 shuttles</v>
      </c>
    </row>
    <row r="13" spans="1:10" ht="12.5" hidden="1" x14ac:dyDescent="0.25">
      <c r="A13" s="32">
        <f>'Profit &amp; Loss'!A13</f>
        <v>45978</v>
      </c>
      <c r="B13" s="35" t="str">
        <f>'Profit &amp; Loss'!B13</f>
        <v>Mon</v>
      </c>
      <c r="C13" s="36"/>
      <c r="D13" s="33"/>
      <c r="E13" s="102">
        <f t="shared" si="4"/>
        <v>0</v>
      </c>
      <c r="F13" s="103" t="str">
        <f t="shared" si="0"/>
        <v>0 tubes and 0 shuttles</v>
      </c>
      <c r="G13" s="36">
        <f t="shared" si="5"/>
        <v>0</v>
      </c>
      <c r="H13" s="104" t="str">
        <f t="shared" si="1"/>
        <v>0 tubes and 0 shuttles</v>
      </c>
      <c r="I13" s="36">
        <f t="shared" si="2"/>
        <v>0</v>
      </c>
      <c r="J13" s="103" t="str">
        <f t="shared" si="3"/>
        <v>0 tubes and 0 shuttles</v>
      </c>
    </row>
    <row r="14" spans="1:10" ht="12.5" hidden="1" x14ac:dyDescent="0.25">
      <c r="A14" s="32">
        <f>'Profit &amp; Loss'!A14</f>
        <v>45979</v>
      </c>
      <c r="B14" s="35" t="str">
        <f>'Profit &amp; Loss'!B14</f>
        <v>Tues</v>
      </c>
      <c r="C14" s="36"/>
      <c r="D14" s="33"/>
      <c r="E14" s="102">
        <f t="shared" si="4"/>
        <v>0</v>
      </c>
      <c r="F14" s="103" t="str">
        <f t="shared" si="0"/>
        <v>0 tubes and 0 shuttles</v>
      </c>
      <c r="G14" s="36">
        <f t="shared" si="5"/>
        <v>0</v>
      </c>
      <c r="H14" s="104" t="str">
        <f t="shared" si="1"/>
        <v>0 tubes and 0 shuttles</v>
      </c>
      <c r="I14" s="36">
        <f t="shared" si="2"/>
        <v>0</v>
      </c>
      <c r="J14" s="103" t="str">
        <f t="shared" si="3"/>
        <v>0 tubes and 0 shuttles</v>
      </c>
    </row>
    <row r="15" spans="1:10" ht="12.5" hidden="1" x14ac:dyDescent="0.25">
      <c r="A15" s="32">
        <f>'Profit &amp; Loss'!A15</f>
        <v>45981</v>
      </c>
      <c r="B15" s="35" t="str">
        <f>'Profit &amp; Loss'!B15</f>
        <v>Thurs</v>
      </c>
      <c r="C15" s="36"/>
      <c r="D15" s="33"/>
      <c r="E15" s="102">
        <f t="shared" si="4"/>
        <v>0</v>
      </c>
      <c r="F15" s="103" t="str">
        <f t="shared" si="0"/>
        <v>0 tubes and 0 shuttles</v>
      </c>
      <c r="G15" s="36">
        <f t="shared" si="5"/>
        <v>0</v>
      </c>
      <c r="H15" s="104" t="str">
        <f t="shared" si="1"/>
        <v>0 tubes and 0 shuttles</v>
      </c>
      <c r="I15" s="36">
        <f t="shared" si="2"/>
        <v>0</v>
      </c>
      <c r="J15" s="103" t="str">
        <f t="shared" si="3"/>
        <v>0 tubes and 0 shuttles</v>
      </c>
    </row>
    <row r="16" spans="1:10" ht="12.5" hidden="1" x14ac:dyDescent="0.25">
      <c r="A16" s="32">
        <f>'Profit &amp; Loss'!A16</f>
        <v>45984</v>
      </c>
      <c r="B16" s="35" t="str">
        <f>'Profit &amp; Loss'!B16</f>
        <v>Sun</v>
      </c>
      <c r="C16" s="36"/>
      <c r="D16" s="33"/>
      <c r="E16" s="102">
        <f t="shared" si="4"/>
        <v>0</v>
      </c>
      <c r="F16" s="103" t="str">
        <f t="shared" si="0"/>
        <v>0 tubes and 0 shuttles</v>
      </c>
      <c r="G16" s="36">
        <f t="shared" si="5"/>
        <v>0</v>
      </c>
      <c r="H16" s="104" t="str">
        <f t="shared" si="1"/>
        <v>0 tubes and 0 shuttles</v>
      </c>
      <c r="I16" s="36">
        <f t="shared" si="2"/>
        <v>0</v>
      </c>
      <c r="J16" s="103" t="str">
        <f t="shared" si="3"/>
        <v>0 tubes and 0 shuttles</v>
      </c>
    </row>
    <row r="17" spans="1:10" ht="12.5" hidden="1" x14ac:dyDescent="0.25">
      <c r="A17" s="32">
        <f>'Profit &amp; Loss'!A17</f>
        <v>45987</v>
      </c>
      <c r="B17" s="35" t="str">
        <f>'Profit &amp; Loss'!B17</f>
        <v>Wed</v>
      </c>
      <c r="C17" s="36"/>
      <c r="D17" s="33"/>
      <c r="E17" s="102">
        <f t="shared" si="4"/>
        <v>0</v>
      </c>
      <c r="F17" s="103" t="str">
        <f t="shared" si="0"/>
        <v>0 tubes and 0 shuttles</v>
      </c>
      <c r="G17" s="36">
        <f t="shared" si="5"/>
        <v>0</v>
      </c>
      <c r="H17" s="104" t="str">
        <f t="shared" si="1"/>
        <v>0 tubes and 0 shuttles</v>
      </c>
      <c r="I17" s="36">
        <f t="shared" si="2"/>
        <v>0</v>
      </c>
      <c r="J17" s="103" t="str">
        <f t="shared" si="3"/>
        <v>0 tubes and 0 shuttles</v>
      </c>
    </row>
    <row r="18" spans="1:10" ht="12.5" hidden="1" x14ac:dyDescent="0.25">
      <c r="A18" s="32">
        <f>'Profit &amp; Loss'!A18</f>
        <v>45988</v>
      </c>
      <c r="B18" s="35" t="str">
        <f>'Profit &amp; Loss'!B18</f>
        <v>Thurs</v>
      </c>
      <c r="C18" s="36"/>
      <c r="D18" s="33"/>
      <c r="E18" s="102">
        <f t="shared" si="4"/>
        <v>0</v>
      </c>
      <c r="F18" s="103" t="str">
        <f t="shared" si="0"/>
        <v>0 tubes and 0 shuttles</v>
      </c>
      <c r="G18" s="36">
        <f t="shared" si="5"/>
        <v>0</v>
      </c>
      <c r="H18" s="104" t="str">
        <f t="shared" si="1"/>
        <v>0 tubes and 0 shuttles</v>
      </c>
      <c r="I18" s="36">
        <f t="shared" si="2"/>
        <v>0</v>
      </c>
      <c r="J18" s="103" t="str">
        <f t="shared" si="3"/>
        <v>0 tubes and 0 shuttles</v>
      </c>
    </row>
    <row r="19" spans="1:10" ht="12.5" hidden="1" x14ac:dyDescent="0.25">
      <c r="A19" s="32">
        <f>'Profit &amp; Loss'!A19</f>
        <v>45991</v>
      </c>
      <c r="B19" s="35" t="str">
        <f>'Profit &amp; Loss'!B19</f>
        <v>Sun</v>
      </c>
      <c r="C19" s="36"/>
      <c r="D19" s="33"/>
      <c r="E19" s="102">
        <f t="shared" si="4"/>
        <v>0</v>
      </c>
      <c r="F19" s="103" t="str">
        <f t="shared" si="0"/>
        <v>0 tubes and 0 shuttles</v>
      </c>
      <c r="G19" s="36">
        <f t="shared" si="5"/>
        <v>0</v>
      </c>
      <c r="H19" s="104" t="str">
        <f t="shared" si="1"/>
        <v>0 tubes and 0 shuttles</v>
      </c>
      <c r="I19" s="36">
        <f t="shared" si="2"/>
        <v>0</v>
      </c>
      <c r="J19" s="103" t="str">
        <f t="shared" si="3"/>
        <v>0 tubes and 0 shuttles</v>
      </c>
    </row>
    <row r="20" spans="1:10" ht="12.5" hidden="1" x14ac:dyDescent="0.25">
      <c r="A20" s="32">
        <f>'Profit &amp; Loss'!A20</f>
        <v>45998</v>
      </c>
      <c r="B20" s="35" t="str">
        <f>'Profit &amp; Loss'!B20</f>
        <v>Sun</v>
      </c>
      <c r="C20" s="36"/>
      <c r="D20" s="33"/>
      <c r="E20" s="102">
        <f t="shared" si="4"/>
        <v>0</v>
      </c>
      <c r="F20" s="103" t="str">
        <f t="shared" si="0"/>
        <v>0 tubes and 0 shuttles</v>
      </c>
      <c r="G20" s="36">
        <f t="shared" si="5"/>
        <v>0</v>
      </c>
      <c r="H20" s="104" t="str">
        <f t="shared" si="1"/>
        <v>0 tubes and 0 shuttles</v>
      </c>
      <c r="I20" s="36">
        <f t="shared" si="2"/>
        <v>0</v>
      </c>
      <c r="J20" s="103" t="str">
        <f t="shared" si="3"/>
        <v>0 tubes and 0 shuttles</v>
      </c>
    </row>
    <row r="21" spans="1:10" ht="12.5" hidden="1" x14ac:dyDescent="0.25">
      <c r="A21" s="32">
        <f>'Profit &amp; Loss'!A21</f>
        <v>45999</v>
      </c>
      <c r="B21" s="35" t="str">
        <f>'Profit &amp; Loss'!B21</f>
        <v>Mon</v>
      </c>
      <c r="C21" s="36"/>
      <c r="D21" s="33"/>
      <c r="E21" s="102">
        <f t="shared" si="4"/>
        <v>0</v>
      </c>
      <c r="F21" s="103" t="str">
        <f t="shared" si="0"/>
        <v>0 tubes and 0 shuttles</v>
      </c>
      <c r="G21" s="36">
        <f t="shared" si="5"/>
        <v>0</v>
      </c>
      <c r="H21" s="104" t="str">
        <f t="shared" si="1"/>
        <v>0 tubes and 0 shuttles</v>
      </c>
      <c r="I21" s="36">
        <f t="shared" si="2"/>
        <v>0</v>
      </c>
      <c r="J21" s="103" t="str">
        <f t="shared" si="3"/>
        <v>0 tubes and 0 shuttles</v>
      </c>
    </row>
    <row r="22" spans="1:10" ht="12.5" hidden="1" x14ac:dyDescent="0.25">
      <c r="A22" s="32">
        <f>'Profit &amp; Loss'!A22</f>
        <v>46001</v>
      </c>
      <c r="B22" s="35" t="str">
        <f>'Profit &amp; Loss'!B22</f>
        <v>Wed</v>
      </c>
      <c r="C22" s="36"/>
      <c r="D22" s="33"/>
      <c r="E22" s="102">
        <f t="shared" si="4"/>
        <v>0</v>
      </c>
      <c r="F22" s="103" t="str">
        <f t="shared" si="0"/>
        <v>0 tubes and 0 shuttles</v>
      </c>
      <c r="G22" s="36">
        <f t="shared" si="5"/>
        <v>0</v>
      </c>
      <c r="H22" s="104" t="str">
        <f t="shared" si="1"/>
        <v>0 tubes and 0 shuttles</v>
      </c>
      <c r="I22" s="36">
        <f t="shared" si="2"/>
        <v>0</v>
      </c>
      <c r="J22" s="103" t="str">
        <f t="shared" si="3"/>
        <v>0 tubes and 0 shuttles</v>
      </c>
    </row>
    <row r="23" spans="1:10" ht="12.5" hidden="1" x14ac:dyDescent="0.25">
      <c r="A23" s="32">
        <f>'Profit &amp; Loss'!A23</f>
        <v>46004</v>
      </c>
      <c r="B23" s="35" t="str">
        <f>'Profit &amp; Loss'!B23</f>
        <v>Sat</v>
      </c>
      <c r="C23" s="36"/>
      <c r="D23" s="33"/>
      <c r="E23" s="102">
        <f t="shared" si="4"/>
        <v>0</v>
      </c>
      <c r="F23" s="103" t="str">
        <f t="shared" si="0"/>
        <v>0 tubes and 0 shuttles</v>
      </c>
      <c r="G23" s="36">
        <f t="shared" si="5"/>
        <v>0</v>
      </c>
      <c r="H23" s="104" t="str">
        <f t="shared" si="1"/>
        <v>0 tubes and 0 shuttles</v>
      </c>
      <c r="I23" s="36">
        <f t="shared" si="2"/>
        <v>0</v>
      </c>
      <c r="J23" s="103" t="str">
        <f t="shared" si="3"/>
        <v>0 tubes and 0 shuttles</v>
      </c>
    </row>
    <row r="24" spans="1:10" ht="12.5" hidden="1" x14ac:dyDescent="0.25">
      <c r="A24" s="32">
        <f>'Profit &amp; Loss'!A24</f>
        <v>46006</v>
      </c>
      <c r="B24" s="35" t="str">
        <f>'Profit &amp; Loss'!B24</f>
        <v>Mon</v>
      </c>
      <c r="C24" s="36"/>
      <c r="D24" s="33"/>
      <c r="E24" s="102">
        <f t="shared" si="4"/>
        <v>0</v>
      </c>
      <c r="F24" s="103" t="str">
        <f t="shared" si="0"/>
        <v>0 tubes and 0 shuttles</v>
      </c>
      <c r="G24" s="36">
        <f t="shared" si="5"/>
        <v>0</v>
      </c>
      <c r="H24" s="104" t="str">
        <f t="shared" si="1"/>
        <v>0 tubes and 0 shuttles</v>
      </c>
      <c r="I24" s="36">
        <f t="shared" si="2"/>
        <v>0</v>
      </c>
      <c r="J24" s="103" t="str">
        <f t="shared" si="3"/>
        <v>0 tubes and 0 shuttles</v>
      </c>
    </row>
    <row r="25" spans="1:10" ht="12.5" hidden="1" x14ac:dyDescent="0.25">
      <c r="A25" s="32">
        <f>'Profit &amp; Loss'!A25</f>
        <v>46011</v>
      </c>
      <c r="B25" s="35" t="str">
        <f>'Profit &amp; Loss'!B25</f>
        <v>Sat</v>
      </c>
      <c r="C25" s="36"/>
      <c r="D25" s="33"/>
      <c r="E25" s="102">
        <f t="shared" si="4"/>
        <v>0</v>
      </c>
      <c r="F25" s="103" t="str">
        <f t="shared" si="0"/>
        <v>0 tubes and 0 shuttles</v>
      </c>
      <c r="G25" s="36">
        <f t="shared" si="5"/>
        <v>0</v>
      </c>
      <c r="H25" s="104" t="str">
        <f t="shared" si="1"/>
        <v>0 tubes and 0 shuttles</v>
      </c>
      <c r="I25" s="36">
        <f t="shared" si="2"/>
        <v>0</v>
      </c>
      <c r="J25" s="103" t="str">
        <f t="shared" si="3"/>
        <v>0 tubes and 0 shuttles</v>
      </c>
    </row>
    <row r="26" spans="1:10" ht="12.5" hidden="1" x14ac:dyDescent="0.25">
      <c r="A26" s="32">
        <f>'Profit &amp; Loss'!A26</f>
        <v>46017</v>
      </c>
      <c r="B26" s="35" t="str">
        <f>'Profit &amp; Loss'!B26</f>
        <v>Fri</v>
      </c>
      <c r="C26" s="36"/>
      <c r="D26" s="33"/>
      <c r="E26" s="102">
        <f t="shared" si="4"/>
        <v>0</v>
      </c>
      <c r="F26" s="103" t="str">
        <f t="shared" si="0"/>
        <v>0 tubes and 0 shuttles</v>
      </c>
      <c r="G26" s="36">
        <f t="shared" si="5"/>
        <v>0</v>
      </c>
      <c r="H26" s="104" t="str">
        <f t="shared" si="1"/>
        <v>0 tubes and 0 shuttles</v>
      </c>
      <c r="I26" s="36">
        <f t="shared" si="2"/>
        <v>0</v>
      </c>
      <c r="J26" s="103" t="str">
        <f t="shared" si="3"/>
        <v>0 tubes and 0 shuttles</v>
      </c>
    </row>
    <row r="27" spans="1:10" ht="12.5" hidden="1" x14ac:dyDescent="0.25">
      <c r="A27" s="32">
        <f>'Profit &amp; Loss'!A27</f>
        <v>46019</v>
      </c>
      <c r="B27" s="35" t="str">
        <f>'Profit &amp; Loss'!B27</f>
        <v>Sun</v>
      </c>
      <c r="C27" s="36"/>
      <c r="D27" s="33"/>
      <c r="E27" s="102">
        <f t="shared" si="4"/>
        <v>0</v>
      </c>
      <c r="F27" s="103" t="str">
        <f t="shared" si="0"/>
        <v>0 tubes and 0 shuttles</v>
      </c>
      <c r="G27" s="36">
        <f t="shared" si="5"/>
        <v>0</v>
      </c>
      <c r="H27" s="104" t="str">
        <f t="shared" si="1"/>
        <v>0 tubes and 0 shuttles</v>
      </c>
      <c r="I27" s="36">
        <f t="shared" si="2"/>
        <v>0</v>
      </c>
      <c r="J27" s="103" t="str">
        <f t="shared" si="3"/>
        <v>0 tubes and 0 shuttles</v>
      </c>
    </row>
    <row r="28" spans="1:10" ht="12.5" hidden="1" x14ac:dyDescent="0.25">
      <c r="A28" s="32">
        <f>'Profit &amp; Loss'!A28</f>
        <v>46020</v>
      </c>
      <c r="B28" s="35" t="str">
        <f>'Profit &amp; Loss'!B28</f>
        <v>Mon</v>
      </c>
      <c r="C28" s="36"/>
      <c r="D28" s="33"/>
      <c r="E28" s="102">
        <f t="shared" si="4"/>
        <v>0</v>
      </c>
      <c r="F28" s="103" t="str">
        <f t="shared" si="0"/>
        <v>0 tubes and 0 shuttles</v>
      </c>
      <c r="G28" s="36">
        <f t="shared" si="5"/>
        <v>0</v>
      </c>
      <c r="H28" s="104" t="str">
        <f t="shared" si="1"/>
        <v>0 tubes and 0 shuttles</v>
      </c>
      <c r="I28" s="36">
        <f t="shared" si="2"/>
        <v>0</v>
      </c>
      <c r="J28" s="103" t="str">
        <f t="shared" si="3"/>
        <v>0 tubes and 0 shuttles</v>
      </c>
    </row>
    <row r="29" spans="1:10" ht="12.5" hidden="1" x14ac:dyDescent="0.25">
      <c r="A29" s="32">
        <f>'Profit &amp; Loss'!A29</f>
        <v>46024</v>
      </c>
      <c r="B29" s="35" t="str">
        <f>'Profit &amp; Loss'!B29</f>
        <v>Fri</v>
      </c>
      <c r="C29" s="36"/>
      <c r="D29" s="33"/>
      <c r="E29" s="102">
        <f t="shared" si="4"/>
        <v>0</v>
      </c>
      <c r="F29" s="103" t="str">
        <f t="shared" si="0"/>
        <v>0 tubes and 0 shuttles</v>
      </c>
      <c r="G29" s="36">
        <f t="shared" si="5"/>
        <v>0</v>
      </c>
      <c r="H29" s="104" t="str">
        <f t="shared" si="1"/>
        <v>0 tubes and 0 shuttles</v>
      </c>
      <c r="I29" s="36">
        <f t="shared" si="2"/>
        <v>0</v>
      </c>
      <c r="J29" s="103" t="str">
        <f t="shared" si="3"/>
        <v>0 tubes and 0 shuttles</v>
      </c>
    </row>
    <row r="30" spans="1:10" ht="12.5" x14ac:dyDescent="0.25">
      <c r="A30" s="32">
        <f>'Profit &amp; Loss'!A30</f>
        <v>46026</v>
      </c>
      <c r="B30" s="35" t="str">
        <f>'Profit &amp; Loss'!B30</f>
        <v>Sun</v>
      </c>
      <c r="C30" s="36"/>
      <c r="D30" s="33">
        <v>4</v>
      </c>
      <c r="E30" s="102">
        <f>IF(C30=" ",'Shuttle Purchase'!E9,'Shuttle Purchase'!E9-C30)</f>
        <v>24</v>
      </c>
      <c r="F30" s="103" t="str">
        <f t="shared" si="0"/>
        <v>2 tubes and 0 shuttles</v>
      </c>
      <c r="G30" s="36">
        <f>IF(D30=" ",'Shuttle Purchase'!G9,'Shuttle Purchase'!G9-D30)</f>
        <v>92</v>
      </c>
      <c r="H30" s="104" t="str">
        <f t="shared" si="1"/>
        <v>7 tubes and 8 shuttles</v>
      </c>
      <c r="I30" s="36">
        <f t="shared" si="2"/>
        <v>116</v>
      </c>
      <c r="J30" s="103" t="str">
        <f t="shared" si="3"/>
        <v>9 tubes and 8 shuttles</v>
      </c>
    </row>
    <row r="31" spans="1:10" ht="12.5" x14ac:dyDescent="0.25">
      <c r="A31" s="32">
        <f>'Profit &amp; Loss'!A31</f>
        <v>46033</v>
      </c>
      <c r="B31" s="35" t="str">
        <f>'Profit &amp; Loss'!B31</f>
        <v>Sun</v>
      </c>
      <c r="C31" s="36"/>
      <c r="D31" s="33">
        <v>7</v>
      </c>
      <c r="E31" s="102">
        <f t="shared" ref="E31:E35" si="6">IF(C31=" ",E30,E30-C31)</f>
        <v>24</v>
      </c>
      <c r="F31" s="103" t="str">
        <f t="shared" si="0"/>
        <v>2 tubes and 0 shuttles</v>
      </c>
      <c r="G31" s="36">
        <f t="shared" ref="G31:G35" si="7">IF(D31=" ",G30,G30-D31)</f>
        <v>85</v>
      </c>
      <c r="H31" s="104" t="str">
        <f t="shared" si="1"/>
        <v>7 tubes and 1 shuttles</v>
      </c>
      <c r="I31" s="36">
        <f t="shared" si="2"/>
        <v>109</v>
      </c>
      <c r="J31" s="103" t="str">
        <f t="shared" si="3"/>
        <v>9 tubes and 1 shuttles</v>
      </c>
    </row>
    <row r="32" spans="1:10" ht="12.5" x14ac:dyDescent="0.25">
      <c r="A32" s="32">
        <f>'Profit &amp; Loss'!A32</f>
        <v>46036</v>
      </c>
      <c r="B32" s="35" t="str">
        <f>'Profit &amp; Loss'!B32</f>
        <v>Wed</v>
      </c>
      <c r="C32" s="36"/>
      <c r="D32" s="33">
        <v>1</v>
      </c>
      <c r="E32" s="102">
        <f t="shared" si="6"/>
        <v>24</v>
      </c>
      <c r="F32" s="103" t="str">
        <f t="shared" si="0"/>
        <v>2 tubes and 0 shuttles</v>
      </c>
      <c r="G32" s="36">
        <f t="shared" si="7"/>
        <v>84</v>
      </c>
      <c r="H32" s="104" t="str">
        <f t="shared" si="1"/>
        <v>7 tubes and 0 shuttles</v>
      </c>
      <c r="I32" s="36">
        <f t="shared" si="2"/>
        <v>108</v>
      </c>
      <c r="J32" s="103" t="str">
        <f t="shared" si="3"/>
        <v>9 tubes and 0 shuttles</v>
      </c>
    </row>
    <row r="33" spans="1:10" ht="12.5" x14ac:dyDescent="0.25">
      <c r="A33" s="32">
        <f>'Profit &amp; Loss'!A33</f>
        <v>46038</v>
      </c>
      <c r="B33" s="35" t="str">
        <f>'Profit &amp; Loss'!B33</f>
        <v>Fri</v>
      </c>
      <c r="C33" s="36"/>
      <c r="D33" s="33"/>
      <c r="E33" s="102">
        <f t="shared" si="6"/>
        <v>24</v>
      </c>
      <c r="F33" s="103" t="str">
        <f t="shared" si="0"/>
        <v>2 tubes and 0 shuttles</v>
      </c>
      <c r="G33" s="36">
        <f t="shared" si="7"/>
        <v>84</v>
      </c>
      <c r="H33" s="104" t="str">
        <f t="shared" si="1"/>
        <v>7 tubes and 0 shuttles</v>
      </c>
      <c r="I33" s="36">
        <f t="shared" si="2"/>
        <v>108</v>
      </c>
      <c r="J33" s="103" t="str">
        <f t="shared" si="3"/>
        <v>9 tubes and 0 shuttles</v>
      </c>
    </row>
    <row r="34" spans="1:10" ht="12.5" x14ac:dyDescent="0.25">
      <c r="A34" s="32">
        <f>'Profit &amp; Loss'!A34</f>
        <v>46040</v>
      </c>
      <c r="B34" s="35" t="str">
        <f>'Profit &amp; Loss'!B34</f>
        <v>Sun</v>
      </c>
      <c r="C34" s="36"/>
      <c r="D34" s="33"/>
      <c r="E34" s="102">
        <f t="shared" si="6"/>
        <v>24</v>
      </c>
      <c r="F34" s="103" t="str">
        <f t="shared" si="0"/>
        <v>2 tubes and 0 shuttles</v>
      </c>
      <c r="G34" s="36">
        <f t="shared" si="7"/>
        <v>84</v>
      </c>
      <c r="H34" s="104" t="str">
        <f t="shared" si="1"/>
        <v>7 tubes and 0 shuttles</v>
      </c>
      <c r="I34" s="36">
        <f t="shared" si="2"/>
        <v>108</v>
      </c>
      <c r="J34" s="103" t="str">
        <f t="shared" si="3"/>
        <v>9 tubes and 0 shuttles</v>
      </c>
    </row>
    <row r="35" spans="1:10" ht="12.5" x14ac:dyDescent="0.25">
      <c r="A35" s="32">
        <f>'Profit &amp; Loss'!A35</f>
        <v>46044</v>
      </c>
      <c r="B35" s="35" t="str">
        <f>'Profit &amp; Loss'!B35</f>
        <v>Thurs</v>
      </c>
      <c r="C35" s="36"/>
      <c r="D35" s="33"/>
      <c r="E35" s="102">
        <f t="shared" si="6"/>
        <v>24</v>
      </c>
      <c r="F35" s="103" t="str">
        <f t="shared" si="0"/>
        <v>2 tubes and 0 shuttles</v>
      </c>
      <c r="G35" s="36">
        <f t="shared" si="7"/>
        <v>84</v>
      </c>
      <c r="H35" s="104" t="str">
        <f t="shared" si="1"/>
        <v>7 tubes and 0 shuttles</v>
      </c>
      <c r="I35" s="36">
        <f t="shared" si="2"/>
        <v>108</v>
      </c>
      <c r="J35" s="103" t="str">
        <f t="shared" si="3"/>
        <v>9 tubes and 0 shuttles</v>
      </c>
    </row>
    <row r="36" spans="1:10" ht="12.5" x14ac:dyDescent="0.25">
      <c r="A36" s="32">
        <f>'Profit &amp; Loss'!A36</f>
        <v>46047</v>
      </c>
      <c r="B36" s="35" t="str">
        <f>'Profit &amp; Loss'!B36</f>
        <v>Sun</v>
      </c>
      <c r="C36" s="36"/>
      <c r="D36" s="33"/>
      <c r="E36" s="102">
        <f>IF(C36=" ",E37,E37-C36)</f>
        <v>24</v>
      </c>
      <c r="F36" s="103" t="str">
        <f t="shared" si="0"/>
        <v>2 tubes and 0 shuttles</v>
      </c>
      <c r="G36" s="36">
        <f>IF(D36=" ",G37,G37-D36)</f>
        <v>84</v>
      </c>
      <c r="H36" s="104" t="str">
        <f t="shared" si="1"/>
        <v>7 tubes and 0 shuttles</v>
      </c>
      <c r="I36" s="36">
        <f t="shared" si="2"/>
        <v>108</v>
      </c>
      <c r="J36" s="103" t="str">
        <f t="shared" si="3"/>
        <v>9 tubes and 0 shuttles</v>
      </c>
    </row>
    <row r="37" spans="1:10" ht="12.5" x14ac:dyDescent="0.25">
      <c r="A37" s="32">
        <f>'Profit &amp; Loss'!A37</f>
        <v>46050</v>
      </c>
      <c r="B37" s="35" t="str">
        <f>'Profit &amp; Loss'!B37</f>
        <v>Wed</v>
      </c>
      <c r="C37" s="36"/>
      <c r="D37" s="33"/>
      <c r="E37" s="102">
        <f t="shared" ref="E37:E38" si="8">IF(C37=" ",E35,E35-C37)</f>
        <v>24</v>
      </c>
      <c r="F37" s="103" t="str">
        <f t="shared" si="0"/>
        <v>2 tubes and 0 shuttles</v>
      </c>
      <c r="G37" s="36">
        <f t="shared" ref="G37:G38" si="9">IF(D37=" ",G35,G35-D37)</f>
        <v>84</v>
      </c>
      <c r="H37" s="104" t="str">
        <f t="shared" si="1"/>
        <v>7 tubes and 0 shuttles</v>
      </c>
      <c r="I37" s="36">
        <f t="shared" si="2"/>
        <v>108</v>
      </c>
      <c r="J37" s="103" t="str">
        <f t="shared" si="3"/>
        <v>9 tubes and 0 shuttles</v>
      </c>
    </row>
    <row r="38" spans="1:10" ht="12.5" x14ac:dyDescent="0.25">
      <c r="A38" s="32">
        <f>'Profit &amp; Loss'!A38</f>
        <v>46054</v>
      </c>
      <c r="B38" s="35" t="str">
        <f>'Profit &amp; Loss'!B38</f>
        <v>Sun</v>
      </c>
      <c r="C38" s="36"/>
      <c r="D38" s="33"/>
      <c r="E38" s="102">
        <f t="shared" si="8"/>
        <v>24</v>
      </c>
      <c r="F38" s="103" t="str">
        <f t="shared" si="0"/>
        <v>2 tubes and 0 shuttles</v>
      </c>
      <c r="G38" s="36">
        <f t="shared" si="9"/>
        <v>84</v>
      </c>
      <c r="H38" s="104" t="str">
        <f t="shared" si="1"/>
        <v>7 tubes and 0 shuttles</v>
      </c>
      <c r="I38" s="36">
        <f t="shared" si="2"/>
        <v>108</v>
      </c>
      <c r="J38" s="103" t="str">
        <f t="shared" si="3"/>
        <v>9 tubes and 0 shuttles</v>
      </c>
    </row>
    <row r="39" spans="1:10" ht="12.5" x14ac:dyDescent="0.25">
      <c r="A39" s="32">
        <f>'Profit &amp; Loss'!A39</f>
        <v>46060</v>
      </c>
      <c r="B39" s="35" t="str">
        <f>'Profit &amp; Loss'!B39</f>
        <v>Sat</v>
      </c>
      <c r="C39" s="36"/>
      <c r="D39" s="33"/>
      <c r="E39" s="102">
        <f t="shared" ref="E39:E293" si="10">IF(C39=" ",E38,E38-C39)</f>
        <v>24</v>
      </c>
      <c r="F39" s="103" t="str">
        <f t="shared" si="0"/>
        <v>2 tubes and 0 shuttles</v>
      </c>
      <c r="G39" s="36">
        <f t="shared" ref="G39:G293" si="11">IF(D39=" ",G38,G38-D39)</f>
        <v>84</v>
      </c>
      <c r="H39" s="104" t="str">
        <f t="shared" si="1"/>
        <v>7 tubes and 0 shuttles</v>
      </c>
      <c r="I39" s="36">
        <f t="shared" si="2"/>
        <v>108</v>
      </c>
      <c r="J39" s="103" t="str">
        <f t="shared" si="3"/>
        <v>9 tubes and 0 shuttles</v>
      </c>
    </row>
    <row r="40" spans="1:10" ht="12.5" x14ac:dyDescent="0.25">
      <c r="A40" s="32">
        <f>'Profit &amp; Loss'!A40</f>
        <v>46061</v>
      </c>
      <c r="B40" s="35" t="str">
        <f>'Profit &amp; Loss'!B40</f>
        <v>Sun</v>
      </c>
      <c r="C40" s="36"/>
      <c r="D40" s="33">
        <v>10</v>
      </c>
      <c r="E40" s="102">
        <f t="shared" si="10"/>
        <v>24</v>
      </c>
      <c r="F40" s="103" t="str">
        <f t="shared" si="0"/>
        <v>2 tubes and 0 shuttles</v>
      </c>
      <c r="G40" s="36">
        <f t="shared" si="11"/>
        <v>74</v>
      </c>
      <c r="H40" s="104" t="str">
        <f t="shared" si="1"/>
        <v>6 tubes and 2 shuttles</v>
      </c>
      <c r="I40" s="36">
        <f t="shared" si="2"/>
        <v>98</v>
      </c>
      <c r="J40" s="103" t="str">
        <f t="shared" si="3"/>
        <v>8 tubes and 2 shuttles</v>
      </c>
    </row>
    <row r="41" spans="1:10" ht="12.5" x14ac:dyDescent="0.25">
      <c r="A41" s="32">
        <f>'Profit &amp; Loss'!A41</f>
        <v>46065</v>
      </c>
      <c r="B41" s="35" t="str">
        <f>'Profit &amp; Loss'!B41</f>
        <v>Thurs</v>
      </c>
      <c r="C41" s="36"/>
      <c r="D41" s="33">
        <v>2</v>
      </c>
      <c r="E41" s="102">
        <f t="shared" si="10"/>
        <v>24</v>
      </c>
      <c r="F41" s="103" t="str">
        <f t="shared" si="0"/>
        <v>2 tubes and 0 shuttles</v>
      </c>
      <c r="G41" s="36">
        <f t="shared" si="11"/>
        <v>72</v>
      </c>
      <c r="H41" s="104" t="str">
        <f t="shared" si="1"/>
        <v>6 tubes and 0 shuttles</v>
      </c>
      <c r="I41" s="36">
        <f t="shared" si="2"/>
        <v>96</v>
      </c>
      <c r="J41" s="103" t="str">
        <f t="shared" si="3"/>
        <v>8 tubes and 0 shuttles</v>
      </c>
    </row>
    <row r="42" spans="1:10" ht="12.5" x14ac:dyDescent="0.25">
      <c r="A42" s="32">
        <f>'Profit &amp; Loss'!A42</f>
        <v>46066</v>
      </c>
      <c r="B42" s="35" t="str">
        <f>'Profit &amp; Loss'!B42</f>
        <v>Fri</v>
      </c>
      <c r="C42" s="36"/>
      <c r="D42" s="33"/>
      <c r="E42" s="102">
        <f t="shared" si="10"/>
        <v>24</v>
      </c>
      <c r="F42" s="103" t="str">
        <f t="shared" si="0"/>
        <v>2 tubes and 0 shuttles</v>
      </c>
      <c r="G42" s="36">
        <f t="shared" si="11"/>
        <v>72</v>
      </c>
      <c r="H42" s="104" t="str">
        <f t="shared" si="1"/>
        <v>6 tubes and 0 shuttles</v>
      </c>
      <c r="I42" s="36">
        <f t="shared" si="2"/>
        <v>96</v>
      </c>
      <c r="J42" s="103" t="str">
        <f t="shared" si="3"/>
        <v>8 tubes and 0 shuttles</v>
      </c>
    </row>
    <row r="43" spans="1:10" ht="12.5" x14ac:dyDescent="0.25">
      <c r="A43" s="32">
        <f>'Profit &amp; Loss'!A43</f>
        <v>46067</v>
      </c>
      <c r="B43" s="35" t="str">
        <f>'Profit &amp; Loss'!B43</f>
        <v>Sat</v>
      </c>
      <c r="C43" s="36">
        <v>12</v>
      </c>
      <c r="D43" s="33">
        <v>3</v>
      </c>
      <c r="E43" s="102">
        <f t="shared" si="10"/>
        <v>12</v>
      </c>
      <c r="F43" s="103" t="str">
        <f t="shared" si="0"/>
        <v>1 tubes and 0 shuttles</v>
      </c>
      <c r="G43" s="36">
        <f t="shared" si="11"/>
        <v>69</v>
      </c>
      <c r="H43" s="104" t="str">
        <f t="shared" si="1"/>
        <v>5 tubes and 9 shuttles</v>
      </c>
      <c r="I43" s="36">
        <f t="shared" si="2"/>
        <v>81</v>
      </c>
      <c r="J43" s="103" t="str">
        <f t="shared" si="3"/>
        <v>6 tubes and 9 shuttles</v>
      </c>
    </row>
    <row r="44" spans="1:10" ht="12.5" x14ac:dyDescent="0.25">
      <c r="A44" s="32">
        <f>'Profit &amp; Loss'!A44</f>
        <v>46076</v>
      </c>
      <c r="B44" s="35" t="str">
        <f>'Profit &amp; Loss'!B44</f>
        <v>Mon</v>
      </c>
      <c r="C44" s="36"/>
      <c r="D44" s="33">
        <v>5</v>
      </c>
      <c r="E44" s="102">
        <f t="shared" si="10"/>
        <v>12</v>
      </c>
      <c r="F44" s="103" t="str">
        <f t="shared" si="0"/>
        <v>1 tubes and 0 shuttles</v>
      </c>
      <c r="G44" s="36">
        <f t="shared" si="11"/>
        <v>64</v>
      </c>
      <c r="H44" s="104" t="str">
        <f t="shared" si="1"/>
        <v>5 tubes and 4 shuttles</v>
      </c>
      <c r="I44" s="36">
        <f t="shared" si="2"/>
        <v>76</v>
      </c>
      <c r="J44" s="103" t="str">
        <f t="shared" si="3"/>
        <v>6 tubes and 4 shuttles</v>
      </c>
    </row>
    <row r="45" spans="1:10" ht="12.5" x14ac:dyDescent="0.25">
      <c r="A45" s="32">
        <f>'Profit &amp; Loss'!A45</f>
        <v>46077</v>
      </c>
      <c r="B45" s="35" t="str">
        <f>'Profit &amp; Loss'!B45</f>
        <v>Tues</v>
      </c>
      <c r="C45" s="36"/>
      <c r="D45" s="33">
        <v>13</v>
      </c>
      <c r="E45" s="102">
        <f t="shared" si="10"/>
        <v>12</v>
      </c>
      <c r="F45" s="103" t="str">
        <f t="shared" si="0"/>
        <v>1 tubes and 0 shuttles</v>
      </c>
      <c r="G45" s="36">
        <f t="shared" si="11"/>
        <v>51</v>
      </c>
      <c r="H45" s="104" t="str">
        <f t="shared" si="1"/>
        <v>4 tubes and 3 shuttles</v>
      </c>
      <c r="I45" s="36">
        <f t="shared" si="2"/>
        <v>63</v>
      </c>
      <c r="J45" s="103" t="str">
        <f t="shared" si="3"/>
        <v>5 tubes and 3 shuttles</v>
      </c>
    </row>
    <row r="46" spans="1:10" ht="12.5" x14ac:dyDescent="0.25">
      <c r="A46" s="32">
        <f>'Profit &amp; Loss'!A46</f>
        <v>46082</v>
      </c>
      <c r="B46" s="35" t="str">
        <f>'Profit &amp; Loss'!B46</f>
        <v>Sun</v>
      </c>
      <c r="C46" s="36">
        <v>12</v>
      </c>
      <c r="D46" s="33"/>
      <c r="E46" s="102">
        <f t="shared" si="10"/>
        <v>0</v>
      </c>
      <c r="F46" s="103" t="str">
        <f t="shared" si="0"/>
        <v>0 tubes and 0 shuttles</v>
      </c>
      <c r="G46" s="36">
        <f t="shared" si="11"/>
        <v>51</v>
      </c>
      <c r="H46" s="104" t="str">
        <f t="shared" si="1"/>
        <v>4 tubes and 3 shuttles</v>
      </c>
      <c r="I46" s="36">
        <f t="shared" si="2"/>
        <v>51</v>
      </c>
      <c r="J46" s="103" t="str">
        <f t="shared" si="3"/>
        <v>4 tubes and 3 shuttles</v>
      </c>
    </row>
    <row r="47" spans="1:10" ht="12.5" x14ac:dyDescent="0.25">
      <c r="A47" s="32">
        <f>'Profit &amp; Loss'!A47</f>
        <v>46084</v>
      </c>
      <c r="B47" s="35" t="str">
        <f>'Profit &amp; Loss'!B47</f>
        <v>Tues</v>
      </c>
      <c r="C47" s="36"/>
      <c r="D47" s="33">
        <v>5</v>
      </c>
      <c r="E47" s="102">
        <f t="shared" si="10"/>
        <v>0</v>
      </c>
      <c r="F47" s="103" t="str">
        <f t="shared" si="0"/>
        <v>0 tubes and 0 shuttles</v>
      </c>
      <c r="G47" s="36">
        <f t="shared" si="11"/>
        <v>46</v>
      </c>
      <c r="H47" s="104" t="str">
        <f t="shared" si="1"/>
        <v>3 tubes and 10 shuttles</v>
      </c>
      <c r="I47" s="36">
        <f t="shared" si="2"/>
        <v>46</v>
      </c>
      <c r="J47" s="103" t="str">
        <f t="shared" si="3"/>
        <v>3 tubes and 10 shuttles</v>
      </c>
    </row>
    <row r="48" spans="1:10" ht="12.5" x14ac:dyDescent="0.25">
      <c r="A48" s="32">
        <f>'Profit &amp; Loss'!A48</f>
        <v>46087</v>
      </c>
      <c r="B48" s="35" t="str">
        <f>'Profit &amp; Loss'!B48</f>
        <v>Fri</v>
      </c>
      <c r="C48" s="36"/>
      <c r="D48" s="33"/>
      <c r="E48" s="102">
        <f t="shared" si="10"/>
        <v>0</v>
      </c>
      <c r="F48" s="103" t="str">
        <f t="shared" si="0"/>
        <v>0 tubes and 0 shuttles</v>
      </c>
      <c r="G48" s="36">
        <f t="shared" si="11"/>
        <v>46</v>
      </c>
      <c r="H48" s="104" t="str">
        <f t="shared" si="1"/>
        <v>3 tubes and 10 shuttles</v>
      </c>
      <c r="I48" s="36">
        <f t="shared" si="2"/>
        <v>46</v>
      </c>
      <c r="J48" s="103" t="str">
        <f t="shared" si="3"/>
        <v>3 tubes and 10 shuttles</v>
      </c>
    </row>
    <row r="49" spans="1:10" ht="12.5" x14ac:dyDescent="0.25">
      <c r="A49" s="32">
        <f>'Profit &amp; Loss'!A49</f>
        <v>46089</v>
      </c>
      <c r="B49" s="35" t="str">
        <f>'Profit &amp; Loss'!B49</f>
        <v>Sun</v>
      </c>
      <c r="C49" s="36"/>
      <c r="D49" s="33">
        <v>7</v>
      </c>
      <c r="E49" s="102">
        <f t="shared" si="10"/>
        <v>0</v>
      </c>
      <c r="F49" s="103" t="str">
        <f t="shared" si="0"/>
        <v>0 tubes and 0 shuttles</v>
      </c>
      <c r="G49" s="36">
        <f t="shared" si="11"/>
        <v>39</v>
      </c>
      <c r="H49" s="104" t="str">
        <f t="shared" si="1"/>
        <v>3 tubes and 3 shuttles</v>
      </c>
      <c r="I49" s="36">
        <f t="shared" si="2"/>
        <v>39</v>
      </c>
      <c r="J49" s="103" t="str">
        <f t="shared" si="3"/>
        <v>3 tubes and 3 shuttles</v>
      </c>
    </row>
    <row r="50" spans="1:10" ht="12.5" x14ac:dyDescent="0.25">
      <c r="A50" s="32">
        <f>'Profit &amp; Loss'!A50</f>
        <v>46096</v>
      </c>
      <c r="B50" s="35" t="str">
        <f>'Profit &amp; Loss'!B50</f>
        <v>Sun</v>
      </c>
      <c r="C50" s="36"/>
      <c r="D50" s="33"/>
      <c r="E50" s="102">
        <f t="shared" si="10"/>
        <v>0</v>
      </c>
      <c r="F50" s="103" t="str">
        <f t="shared" si="0"/>
        <v>0 tubes and 0 shuttles</v>
      </c>
      <c r="G50" s="36">
        <f t="shared" si="11"/>
        <v>39</v>
      </c>
      <c r="H50" s="104" t="str">
        <f t="shared" si="1"/>
        <v>3 tubes and 3 shuttles</v>
      </c>
      <c r="I50" s="36">
        <f t="shared" si="2"/>
        <v>39</v>
      </c>
      <c r="J50" s="103" t="str">
        <f t="shared" si="3"/>
        <v>3 tubes and 3 shuttles</v>
      </c>
    </row>
    <row r="51" spans="1:10" ht="12.5" x14ac:dyDescent="0.25">
      <c r="A51" s="32">
        <f>'Profit &amp; Loss'!A51</f>
        <v>46099</v>
      </c>
      <c r="B51" s="35" t="str">
        <f>'Profit &amp; Loss'!B51</f>
        <v>Wed</v>
      </c>
      <c r="C51" s="36"/>
      <c r="D51" s="33">
        <v>5</v>
      </c>
      <c r="E51" s="102">
        <f t="shared" si="10"/>
        <v>0</v>
      </c>
      <c r="F51" s="103" t="str">
        <f t="shared" si="0"/>
        <v>0 tubes and 0 shuttles</v>
      </c>
      <c r="G51" s="36">
        <f t="shared" si="11"/>
        <v>34</v>
      </c>
      <c r="H51" s="104" t="str">
        <f t="shared" si="1"/>
        <v>2 tubes and 10 shuttles</v>
      </c>
      <c r="I51" s="36">
        <f t="shared" si="2"/>
        <v>34</v>
      </c>
      <c r="J51" s="103" t="str">
        <f t="shared" si="3"/>
        <v>2 tubes and 10 shuttles</v>
      </c>
    </row>
    <row r="52" spans="1:10" ht="12.5" x14ac:dyDescent="0.25">
      <c r="A52" s="32">
        <f>'Profit &amp; Loss'!A52</f>
        <v>46103</v>
      </c>
      <c r="B52" s="35" t="str">
        <f>'Profit &amp; Loss'!B52</f>
        <v>Sun</v>
      </c>
      <c r="C52" s="36"/>
      <c r="D52" s="33">
        <v>10</v>
      </c>
      <c r="E52" s="102">
        <f t="shared" si="10"/>
        <v>0</v>
      </c>
      <c r="F52" s="103" t="str">
        <f t="shared" si="0"/>
        <v>0 tubes and 0 shuttles</v>
      </c>
      <c r="G52" s="36">
        <f t="shared" si="11"/>
        <v>24</v>
      </c>
      <c r="H52" s="104" t="str">
        <f t="shared" si="1"/>
        <v>2 tubes and 0 shuttles</v>
      </c>
      <c r="I52" s="36">
        <f t="shared" si="2"/>
        <v>24</v>
      </c>
      <c r="J52" s="103" t="str">
        <f t="shared" si="3"/>
        <v>2 tubes and 0 shuttles</v>
      </c>
    </row>
    <row r="53" spans="1:10" ht="12.5" x14ac:dyDescent="0.25">
      <c r="A53" s="32">
        <f>'Profit &amp; Loss'!A53</f>
        <v>46104</v>
      </c>
      <c r="B53" s="35" t="str">
        <f>'Profit &amp; Loss'!B53</f>
        <v>Mon</v>
      </c>
      <c r="C53" s="36"/>
      <c r="D53" s="33"/>
      <c r="E53" s="102">
        <f t="shared" si="10"/>
        <v>0</v>
      </c>
      <c r="F53" s="103" t="str">
        <f t="shared" si="0"/>
        <v>0 tubes and 0 shuttles</v>
      </c>
      <c r="G53" s="36">
        <f t="shared" si="11"/>
        <v>24</v>
      </c>
      <c r="H53" s="104" t="str">
        <f t="shared" si="1"/>
        <v>2 tubes and 0 shuttles</v>
      </c>
      <c r="I53" s="36">
        <f t="shared" si="2"/>
        <v>24</v>
      </c>
      <c r="J53" s="103" t="str">
        <f t="shared" si="3"/>
        <v>2 tubes and 0 shuttles</v>
      </c>
    </row>
    <row r="54" spans="1:10" ht="12.5" x14ac:dyDescent="0.25">
      <c r="A54" s="32">
        <f>'Profit &amp; Loss'!A54</f>
        <v>46115</v>
      </c>
      <c r="B54" s="35" t="str">
        <f>'Profit &amp; Loss'!B54</f>
        <v>Fri</v>
      </c>
      <c r="C54" s="36"/>
      <c r="D54" s="33">
        <v>3</v>
      </c>
      <c r="E54" s="102">
        <f t="shared" si="10"/>
        <v>0</v>
      </c>
      <c r="F54" s="103" t="str">
        <f t="shared" si="0"/>
        <v>0 tubes and 0 shuttles</v>
      </c>
      <c r="G54" s="36">
        <f t="shared" si="11"/>
        <v>21</v>
      </c>
      <c r="H54" s="104" t="str">
        <f t="shared" si="1"/>
        <v>1 tubes and 9 shuttles</v>
      </c>
      <c r="I54" s="36">
        <f t="shared" si="2"/>
        <v>21</v>
      </c>
      <c r="J54" s="103" t="str">
        <f t="shared" si="3"/>
        <v>1 tubes and 9 shuttles</v>
      </c>
    </row>
    <row r="55" spans="1:10" ht="12.5" x14ac:dyDescent="0.25">
      <c r="A55" s="32">
        <f>'Profit &amp; Loss'!A55</f>
        <v>46124</v>
      </c>
      <c r="B55" s="35" t="str">
        <f>'Profit &amp; Loss'!B55</f>
        <v>Sun</v>
      </c>
      <c r="C55" s="36"/>
      <c r="D55" s="33">
        <v>7</v>
      </c>
      <c r="E55" s="102">
        <f t="shared" si="10"/>
        <v>0</v>
      </c>
      <c r="F55" s="103" t="str">
        <f t="shared" si="0"/>
        <v>0 tubes and 0 shuttles</v>
      </c>
      <c r="G55" s="36">
        <f t="shared" si="11"/>
        <v>14</v>
      </c>
      <c r="H55" s="104" t="str">
        <f t="shared" si="1"/>
        <v>1 tubes and 2 shuttles</v>
      </c>
      <c r="I55" s="36">
        <f t="shared" si="2"/>
        <v>14</v>
      </c>
      <c r="J55" s="103" t="str">
        <f t="shared" si="3"/>
        <v>1 tubes and 2 shuttles</v>
      </c>
    </row>
    <row r="56" spans="1:10" ht="12.5" x14ac:dyDescent="0.25">
      <c r="A56" s="32">
        <f>'Profit &amp; Loss'!A56</f>
        <v>46125</v>
      </c>
      <c r="B56" s="35" t="str">
        <f>'Profit &amp; Loss'!B56</f>
        <v>Mon</v>
      </c>
      <c r="C56" s="36"/>
      <c r="D56" s="33">
        <v>4</v>
      </c>
      <c r="E56" s="102">
        <f t="shared" si="10"/>
        <v>0</v>
      </c>
      <c r="F56" s="103" t="str">
        <f t="shared" si="0"/>
        <v>0 tubes and 0 shuttles</v>
      </c>
      <c r="G56" s="36">
        <f t="shared" si="11"/>
        <v>10</v>
      </c>
      <c r="H56" s="104" t="str">
        <f t="shared" si="1"/>
        <v>0 tubes and 10 shuttles</v>
      </c>
      <c r="I56" s="36">
        <f t="shared" si="2"/>
        <v>10</v>
      </c>
      <c r="J56" s="103" t="str">
        <f t="shared" si="3"/>
        <v>0 tubes and 10 shuttles</v>
      </c>
    </row>
    <row r="57" spans="1:10" ht="12.5" x14ac:dyDescent="0.25">
      <c r="A57" s="32">
        <f>'Profit &amp; Loss'!A57</f>
        <v>46128</v>
      </c>
      <c r="B57" s="35" t="str">
        <f>'Profit &amp; Loss'!B57</f>
        <v>Thurs</v>
      </c>
      <c r="C57" s="36"/>
      <c r="D57" s="33">
        <v>5</v>
      </c>
      <c r="E57" s="102">
        <f t="shared" si="10"/>
        <v>0</v>
      </c>
      <c r="F57" s="103" t="str">
        <f t="shared" si="0"/>
        <v>0 tubes and 0 shuttles</v>
      </c>
      <c r="G57" s="36">
        <f t="shared" si="11"/>
        <v>5</v>
      </c>
      <c r="H57" s="104" t="str">
        <f t="shared" si="1"/>
        <v>0 tubes and 5 shuttles</v>
      </c>
      <c r="I57" s="36">
        <f t="shared" si="2"/>
        <v>5</v>
      </c>
      <c r="J57" s="103" t="str">
        <f t="shared" si="3"/>
        <v>0 tubes and 5 shuttles</v>
      </c>
    </row>
    <row r="58" spans="1:10" ht="12.5" x14ac:dyDescent="0.25">
      <c r="A58" s="32">
        <f>'Profit &amp; Loss'!A58</f>
        <v>46130</v>
      </c>
      <c r="B58" s="35" t="str">
        <f>'Profit &amp; Loss'!B58</f>
        <v>Sat</v>
      </c>
      <c r="C58" s="36"/>
      <c r="D58" s="33">
        <v>5</v>
      </c>
      <c r="E58" s="102">
        <f t="shared" si="10"/>
        <v>0</v>
      </c>
      <c r="F58" s="103" t="str">
        <f t="shared" si="0"/>
        <v>0 tubes and 0 shuttles</v>
      </c>
      <c r="G58" s="36">
        <f t="shared" si="11"/>
        <v>0</v>
      </c>
      <c r="H58" s="104" t="str">
        <f t="shared" si="1"/>
        <v>0 tubes and 0 shuttles</v>
      </c>
      <c r="I58" s="36">
        <f t="shared" si="2"/>
        <v>0</v>
      </c>
      <c r="J58" s="103" t="str">
        <f t="shared" si="3"/>
        <v>0 tubes and 0 shuttles</v>
      </c>
    </row>
    <row r="59" spans="1:10" ht="12.5" x14ac:dyDescent="0.25">
      <c r="A59" s="32">
        <f>'Profit &amp; Loss'!A59</f>
        <v>46132</v>
      </c>
      <c r="B59" s="35" t="str">
        <f>'Profit &amp; Loss'!B59</f>
        <v>Mon</v>
      </c>
      <c r="C59" s="36"/>
      <c r="D59" s="33"/>
      <c r="E59" s="102">
        <f t="shared" si="10"/>
        <v>0</v>
      </c>
      <c r="F59" s="103" t="str">
        <f t="shared" si="0"/>
        <v>0 tubes and 0 shuttles</v>
      </c>
      <c r="G59" s="36">
        <f t="shared" si="11"/>
        <v>0</v>
      </c>
      <c r="H59" s="104" t="str">
        <f t="shared" si="1"/>
        <v>0 tubes and 0 shuttles</v>
      </c>
      <c r="I59" s="36">
        <f t="shared" si="2"/>
        <v>0</v>
      </c>
      <c r="J59" s="103" t="str">
        <f t="shared" si="3"/>
        <v>0 tubes and 0 shuttles</v>
      </c>
    </row>
    <row r="60" spans="1:10" ht="12.5" x14ac:dyDescent="0.25">
      <c r="A60" s="32">
        <f>'Profit &amp; Loss'!A60</f>
        <v>46134</v>
      </c>
      <c r="B60" s="35" t="str">
        <f>'Profit &amp; Loss'!B60</f>
        <v>Wed</v>
      </c>
      <c r="C60" s="36"/>
      <c r="D60" s="33"/>
      <c r="E60" s="102">
        <f t="shared" si="10"/>
        <v>0</v>
      </c>
      <c r="F60" s="103" t="str">
        <f t="shared" si="0"/>
        <v>0 tubes and 0 shuttles</v>
      </c>
      <c r="G60" s="36">
        <f t="shared" si="11"/>
        <v>0</v>
      </c>
      <c r="H60" s="104" t="str">
        <f t="shared" si="1"/>
        <v>0 tubes and 0 shuttles</v>
      </c>
      <c r="I60" s="36">
        <f t="shared" si="2"/>
        <v>0</v>
      </c>
      <c r="J60" s="103" t="str">
        <f t="shared" si="3"/>
        <v>0 tubes and 0 shuttles</v>
      </c>
    </row>
    <row r="61" spans="1:10" ht="12.5" x14ac:dyDescent="0.25">
      <c r="A61" s="32">
        <f>'Profit &amp; Loss'!A61</f>
        <v>46138</v>
      </c>
      <c r="B61" s="35" t="str">
        <f>'Profit &amp; Loss'!B61</f>
        <v>Sun</v>
      </c>
      <c r="C61" s="36"/>
      <c r="D61" s="33"/>
      <c r="E61" s="102">
        <f t="shared" si="10"/>
        <v>0</v>
      </c>
      <c r="F61" s="103" t="str">
        <f t="shared" si="0"/>
        <v>0 tubes and 0 shuttles</v>
      </c>
      <c r="G61" s="36">
        <f t="shared" si="11"/>
        <v>0</v>
      </c>
      <c r="H61" s="104" t="str">
        <f t="shared" si="1"/>
        <v>0 tubes and 0 shuttles</v>
      </c>
      <c r="I61" s="36">
        <f t="shared" si="2"/>
        <v>0</v>
      </c>
      <c r="J61" s="103" t="str">
        <f t="shared" si="3"/>
        <v>0 tubes and 0 shuttles</v>
      </c>
    </row>
    <row r="62" spans="1:10" ht="12.5" x14ac:dyDescent="0.25">
      <c r="A62" s="32">
        <f>'Profit &amp; Loss'!A62</f>
        <v>46140</v>
      </c>
      <c r="B62" s="35" t="str">
        <f>'Profit &amp; Loss'!B62</f>
        <v>Tues</v>
      </c>
      <c r="C62" s="36"/>
      <c r="D62" s="33"/>
      <c r="E62" s="102">
        <f t="shared" si="10"/>
        <v>0</v>
      </c>
      <c r="F62" s="103" t="str">
        <f t="shared" si="0"/>
        <v>0 tubes and 0 shuttles</v>
      </c>
      <c r="G62" s="36">
        <f t="shared" si="11"/>
        <v>0</v>
      </c>
      <c r="H62" s="104" t="str">
        <f t="shared" si="1"/>
        <v>0 tubes and 0 shuttles</v>
      </c>
      <c r="I62" s="36">
        <f t="shared" si="2"/>
        <v>0</v>
      </c>
      <c r="J62" s="103" t="str">
        <f t="shared" si="3"/>
        <v>0 tubes and 0 shuttles</v>
      </c>
    </row>
    <row r="63" spans="1:10" ht="12.5" x14ac:dyDescent="0.25">
      <c r="A63" s="32">
        <f>'Profit &amp; Loss'!A63</f>
        <v>46141</v>
      </c>
      <c r="B63" s="35" t="str">
        <f>'Profit &amp; Loss'!B63</f>
        <v>Wed</v>
      </c>
      <c r="C63" s="36"/>
      <c r="D63" s="33"/>
      <c r="E63" s="102">
        <f t="shared" si="10"/>
        <v>0</v>
      </c>
      <c r="F63" s="103" t="str">
        <f t="shared" si="0"/>
        <v>0 tubes and 0 shuttles</v>
      </c>
      <c r="G63" s="36">
        <f t="shared" si="11"/>
        <v>0</v>
      </c>
      <c r="H63" s="104" t="str">
        <f t="shared" si="1"/>
        <v>0 tubes and 0 shuttles</v>
      </c>
      <c r="I63" s="36">
        <f t="shared" si="2"/>
        <v>0</v>
      </c>
      <c r="J63" s="103" t="str">
        <f t="shared" si="3"/>
        <v>0 tubes and 0 shuttles</v>
      </c>
    </row>
    <row r="64" spans="1:10" ht="12.5" x14ac:dyDescent="0.25">
      <c r="A64" s="32">
        <f>'Profit &amp; Loss'!A64</f>
        <v>46144</v>
      </c>
      <c r="B64" s="35" t="str">
        <f>'Profit &amp; Loss'!B64</f>
        <v>Sat</v>
      </c>
      <c r="C64" s="36"/>
      <c r="D64" s="33"/>
      <c r="E64" s="102">
        <f t="shared" si="10"/>
        <v>0</v>
      </c>
      <c r="F64" s="103" t="str">
        <f t="shared" si="0"/>
        <v>0 tubes and 0 shuttles</v>
      </c>
      <c r="G64" s="36">
        <f t="shared" si="11"/>
        <v>0</v>
      </c>
      <c r="H64" s="104" t="str">
        <f t="shared" si="1"/>
        <v>0 tubes and 0 shuttles</v>
      </c>
      <c r="I64" s="36">
        <f t="shared" si="2"/>
        <v>0</v>
      </c>
      <c r="J64" s="103" t="str">
        <f t="shared" si="3"/>
        <v>0 tubes and 0 shuttles</v>
      </c>
    </row>
    <row r="65" spans="1:10" ht="12.5" x14ac:dyDescent="0.25">
      <c r="A65" s="32">
        <f>'Profit &amp; Loss'!A65</f>
        <v>46152</v>
      </c>
      <c r="B65" s="35" t="str">
        <f>'Profit &amp; Loss'!B65</f>
        <v>Sun</v>
      </c>
      <c r="C65" s="36"/>
      <c r="D65" s="33"/>
      <c r="E65" s="102">
        <f t="shared" si="10"/>
        <v>0</v>
      </c>
      <c r="F65" s="103" t="str">
        <f t="shared" si="0"/>
        <v>0 tubes and 0 shuttles</v>
      </c>
      <c r="G65" s="36">
        <f t="shared" si="11"/>
        <v>0</v>
      </c>
      <c r="H65" s="104" t="str">
        <f t="shared" si="1"/>
        <v>0 tubes and 0 shuttles</v>
      </c>
      <c r="I65" s="36">
        <f t="shared" si="2"/>
        <v>0</v>
      </c>
      <c r="J65" s="103" t="str">
        <f t="shared" si="3"/>
        <v>0 tubes and 0 shuttles</v>
      </c>
    </row>
    <row r="66" spans="1:10" ht="12.5" x14ac:dyDescent="0.25">
      <c r="A66" s="32">
        <f>'Profit &amp; Loss'!A66</f>
        <v>46156</v>
      </c>
      <c r="B66" s="35" t="str">
        <f>'Profit &amp; Loss'!B66</f>
        <v>Thurs</v>
      </c>
      <c r="C66" s="36"/>
      <c r="D66" s="33"/>
      <c r="E66" s="102">
        <f t="shared" si="10"/>
        <v>0</v>
      </c>
      <c r="F66" s="103" t="str">
        <f t="shared" si="0"/>
        <v>0 tubes and 0 shuttles</v>
      </c>
      <c r="G66" s="36">
        <f t="shared" si="11"/>
        <v>0</v>
      </c>
      <c r="H66" s="104" t="str">
        <f t="shared" si="1"/>
        <v>0 tubes and 0 shuttles</v>
      </c>
      <c r="I66" s="36">
        <f t="shared" si="2"/>
        <v>0</v>
      </c>
      <c r="J66" s="103" t="str">
        <f t="shared" si="3"/>
        <v>0 tubes and 0 shuttles</v>
      </c>
    </row>
    <row r="67" spans="1:10" ht="12.5" x14ac:dyDescent="0.25">
      <c r="A67" s="32">
        <f>'Profit &amp; Loss'!A67</f>
        <v>46157</v>
      </c>
      <c r="B67" s="35" t="str">
        <f>'Profit &amp; Loss'!B67</f>
        <v>Fri</v>
      </c>
      <c r="C67" s="36"/>
      <c r="D67" s="33"/>
      <c r="E67" s="102">
        <f t="shared" si="10"/>
        <v>0</v>
      </c>
      <c r="F67" s="103" t="str">
        <f t="shared" si="0"/>
        <v>0 tubes and 0 shuttles</v>
      </c>
      <c r="G67" s="36">
        <f t="shared" si="11"/>
        <v>0</v>
      </c>
      <c r="H67" s="104" t="str">
        <f t="shared" si="1"/>
        <v>0 tubes and 0 shuttles</v>
      </c>
      <c r="I67" s="36">
        <f t="shared" si="2"/>
        <v>0</v>
      </c>
      <c r="J67" s="103" t="str">
        <f t="shared" si="3"/>
        <v>0 tubes and 0 shuttles</v>
      </c>
    </row>
    <row r="68" spans="1:10" ht="12.5" x14ac:dyDescent="0.25">
      <c r="A68" s="32">
        <f>'Profit &amp; Loss'!A68</f>
        <v>46158</v>
      </c>
      <c r="B68" s="35" t="str">
        <f>'Profit &amp; Loss'!B68</f>
        <v>Sat</v>
      </c>
      <c r="C68" s="36"/>
      <c r="D68" s="33"/>
      <c r="E68" s="102">
        <f t="shared" si="10"/>
        <v>0</v>
      </c>
      <c r="F68" s="103" t="str">
        <f t="shared" si="0"/>
        <v>0 tubes and 0 shuttles</v>
      </c>
      <c r="G68" s="36">
        <f t="shared" si="11"/>
        <v>0</v>
      </c>
      <c r="H68" s="104" t="str">
        <f t="shared" si="1"/>
        <v>0 tubes and 0 shuttles</v>
      </c>
      <c r="I68" s="36">
        <f t="shared" si="2"/>
        <v>0</v>
      </c>
      <c r="J68" s="103" t="str">
        <f t="shared" si="3"/>
        <v>0 tubes and 0 shuttles</v>
      </c>
    </row>
    <row r="69" spans="1:10" ht="12.5" x14ac:dyDescent="0.25">
      <c r="A69" s="32">
        <f>'Profit &amp; Loss'!A69</f>
        <v>46160</v>
      </c>
      <c r="B69" s="35" t="str">
        <f>'Profit &amp; Loss'!B69</f>
        <v>Mon</v>
      </c>
      <c r="C69" s="36"/>
      <c r="D69" s="33"/>
      <c r="E69" s="102">
        <f t="shared" si="10"/>
        <v>0</v>
      </c>
      <c r="F69" s="103" t="str">
        <f t="shared" si="0"/>
        <v>0 tubes and 0 shuttles</v>
      </c>
      <c r="G69" s="36">
        <f t="shared" si="11"/>
        <v>0</v>
      </c>
      <c r="H69" s="104" t="str">
        <f t="shared" si="1"/>
        <v>0 tubes and 0 shuttles</v>
      </c>
      <c r="I69" s="36">
        <f t="shared" si="2"/>
        <v>0</v>
      </c>
      <c r="J69" s="103" t="str">
        <f t="shared" si="3"/>
        <v>0 tubes and 0 shuttles</v>
      </c>
    </row>
    <row r="70" spans="1:10" ht="12.5" x14ac:dyDescent="0.25">
      <c r="A70" s="32">
        <f>'Profit &amp; Loss'!A70</f>
        <v>46166</v>
      </c>
      <c r="B70" s="35" t="str">
        <f>'Profit &amp; Loss'!B70</f>
        <v>Sun</v>
      </c>
      <c r="C70" s="36"/>
      <c r="D70" s="33"/>
      <c r="E70" s="102">
        <f t="shared" si="10"/>
        <v>0</v>
      </c>
      <c r="F70" s="103" t="str">
        <f t="shared" si="0"/>
        <v>0 tubes and 0 shuttles</v>
      </c>
      <c r="G70" s="36">
        <f t="shared" si="11"/>
        <v>0</v>
      </c>
      <c r="H70" s="104" t="str">
        <f t="shared" si="1"/>
        <v>0 tubes and 0 shuttles</v>
      </c>
      <c r="I70" s="36">
        <f t="shared" si="2"/>
        <v>0</v>
      </c>
      <c r="J70" s="103" t="str">
        <f t="shared" si="3"/>
        <v>0 tubes and 0 shuttles</v>
      </c>
    </row>
    <row r="71" spans="1:10" ht="12.5" x14ac:dyDescent="0.25">
      <c r="A71" s="32">
        <f>'Profit &amp; Loss'!A71</f>
        <v>46171</v>
      </c>
      <c r="B71" s="35" t="str">
        <f>'Profit &amp; Loss'!B71</f>
        <v>Fri</v>
      </c>
      <c r="C71" s="36"/>
      <c r="D71" s="33"/>
      <c r="E71" s="102">
        <f t="shared" si="10"/>
        <v>0</v>
      </c>
      <c r="F71" s="103" t="str">
        <f t="shared" si="0"/>
        <v>0 tubes and 0 shuttles</v>
      </c>
      <c r="G71" s="36">
        <f t="shared" si="11"/>
        <v>0</v>
      </c>
      <c r="H71" s="104" t="str">
        <f t="shared" si="1"/>
        <v>0 tubes and 0 shuttles</v>
      </c>
      <c r="I71" s="36">
        <f t="shared" si="2"/>
        <v>0</v>
      </c>
      <c r="J71" s="103" t="str">
        <f t="shared" si="3"/>
        <v>0 tubes and 0 shuttles</v>
      </c>
    </row>
    <row r="72" spans="1:10" ht="12.5" x14ac:dyDescent="0.25">
      <c r="A72" s="32">
        <f>'Profit &amp; Loss'!A72</f>
        <v>46172</v>
      </c>
      <c r="B72" s="35" t="str">
        <f>'Profit &amp; Loss'!B72</f>
        <v>Sat</v>
      </c>
      <c r="C72" s="36"/>
      <c r="D72" s="33"/>
      <c r="E72" s="102">
        <f t="shared" si="10"/>
        <v>0</v>
      </c>
      <c r="F72" s="103" t="str">
        <f t="shared" si="0"/>
        <v>0 tubes and 0 shuttles</v>
      </c>
      <c r="G72" s="36">
        <f t="shared" si="11"/>
        <v>0</v>
      </c>
      <c r="H72" s="104" t="str">
        <f t="shared" si="1"/>
        <v>0 tubes and 0 shuttles</v>
      </c>
      <c r="I72" s="36">
        <f t="shared" si="2"/>
        <v>0</v>
      </c>
      <c r="J72" s="103" t="str">
        <f t="shared" si="3"/>
        <v>0 tubes and 0 shuttles</v>
      </c>
    </row>
    <row r="73" spans="1:10" ht="12.5" x14ac:dyDescent="0.25">
      <c r="A73" s="32">
        <f>'Profit &amp; Loss'!A73</f>
        <v>46180</v>
      </c>
      <c r="B73" s="35" t="str">
        <f>'Profit &amp; Loss'!B73</f>
        <v>Sun</v>
      </c>
      <c r="C73" s="36"/>
      <c r="D73" s="33"/>
      <c r="E73" s="102">
        <f t="shared" si="10"/>
        <v>0</v>
      </c>
      <c r="F73" s="103" t="str">
        <f t="shared" si="0"/>
        <v>0 tubes and 0 shuttles</v>
      </c>
      <c r="G73" s="36">
        <f t="shared" si="11"/>
        <v>0</v>
      </c>
      <c r="H73" s="104" t="str">
        <f t="shared" si="1"/>
        <v>0 tubes and 0 shuttles</v>
      </c>
      <c r="I73" s="36">
        <f t="shared" si="2"/>
        <v>0</v>
      </c>
      <c r="J73" s="103" t="str">
        <f t="shared" si="3"/>
        <v>0 tubes and 0 shuttles</v>
      </c>
    </row>
    <row r="74" spans="1:10" ht="12.5" x14ac:dyDescent="0.25">
      <c r="A74" s="32">
        <f>'Profit &amp; Loss'!A74</f>
        <v>0</v>
      </c>
      <c r="B74" s="35">
        <f>'Profit &amp; Loss'!B74</f>
        <v>0</v>
      </c>
      <c r="C74" s="36"/>
      <c r="D74" s="33"/>
      <c r="E74" s="102">
        <f t="shared" si="10"/>
        <v>0</v>
      </c>
      <c r="F74" s="103" t="str">
        <f t="shared" si="0"/>
        <v>0 tubes and 0 shuttles</v>
      </c>
      <c r="G74" s="36">
        <f t="shared" si="11"/>
        <v>0</v>
      </c>
      <c r="H74" s="104" t="str">
        <f t="shared" si="1"/>
        <v>0 tubes and 0 shuttles</v>
      </c>
      <c r="I74" s="36">
        <f t="shared" si="2"/>
        <v>0</v>
      </c>
      <c r="J74" s="103" t="str">
        <f t="shared" si="3"/>
        <v>0 tubes and 0 shuttles</v>
      </c>
    </row>
    <row r="75" spans="1:10" ht="12.5" x14ac:dyDescent="0.25">
      <c r="A75" s="32">
        <f>'Profit &amp; Loss'!A75</f>
        <v>0</v>
      </c>
      <c r="B75" s="35">
        <f>'Profit &amp; Loss'!B75</f>
        <v>0</v>
      </c>
      <c r="C75" s="36"/>
      <c r="D75" s="33"/>
      <c r="E75" s="102">
        <f t="shared" si="10"/>
        <v>0</v>
      </c>
      <c r="F75" s="103" t="str">
        <f t="shared" si="0"/>
        <v>0 tubes and 0 shuttles</v>
      </c>
      <c r="G75" s="36">
        <f t="shared" si="11"/>
        <v>0</v>
      </c>
      <c r="H75" s="104" t="str">
        <f t="shared" si="1"/>
        <v>0 tubes and 0 shuttles</v>
      </c>
      <c r="I75" s="36">
        <f t="shared" si="2"/>
        <v>0</v>
      </c>
      <c r="J75" s="103" t="str">
        <f t="shared" si="3"/>
        <v>0 tubes and 0 shuttles</v>
      </c>
    </row>
    <row r="76" spans="1:10" ht="12.5" x14ac:dyDescent="0.25">
      <c r="A76" s="32">
        <f>'Profit &amp; Loss'!A76</f>
        <v>0</v>
      </c>
      <c r="B76" s="35">
        <f>'Profit &amp; Loss'!B76</f>
        <v>0</v>
      </c>
      <c r="C76" s="36"/>
      <c r="D76" s="33"/>
      <c r="E76" s="102">
        <f t="shared" si="10"/>
        <v>0</v>
      </c>
      <c r="F76" s="103" t="str">
        <f t="shared" si="0"/>
        <v>0 tubes and 0 shuttles</v>
      </c>
      <c r="G76" s="36">
        <f t="shared" si="11"/>
        <v>0</v>
      </c>
      <c r="H76" s="104" t="str">
        <f t="shared" si="1"/>
        <v>0 tubes and 0 shuttles</v>
      </c>
      <c r="I76" s="36">
        <f t="shared" si="2"/>
        <v>0</v>
      </c>
      <c r="J76" s="103" t="str">
        <f t="shared" si="3"/>
        <v>0 tubes and 0 shuttles</v>
      </c>
    </row>
    <row r="77" spans="1:10" ht="12.5" x14ac:dyDescent="0.25">
      <c r="A77" s="32">
        <f>'Profit &amp; Loss'!A77</f>
        <v>0</v>
      </c>
      <c r="B77" s="35">
        <f>'Profit &amp; Loss'!B77</f>
        <v>0</v>
      </c>
      <c r="C77" s="36"/>
      <c r="D77" s="33"/>
      <c r="E77" s="102">
        <f t="shared" si="10"/>
        <v>0</v>
      </c>
      <c r="F77" s="103" t="str">
        <f t="shared" si="0"/>
        <v>0 tubes and 0 shuttles</v>
      </c>
      <c r="G77" s="36">
        <f t="shared" si="11"/>
        <v>0</v>
      </c>
      <c r="H77" s="104" t="str">
        <f t="shared" si="1"/>
        <v>0 tubes and 0 shuttles</v>
      </c>
      <c r="I77" s="36">
        <f t="shared" si="2"/>
        <v>0</v>
      </c>
      <c r="J77" s="103" t="str">
        <f t="shared" si="3"/>
        <v>0 tubes and 0 shuttles</v>
      </c>
    </row>
    <row r="78" spans="1:10" ht="12.5" x14ac:dyDescent="0.25">
      <c r="A78" s="32">
        <f>'Profit &amp; Loss'!A78</f>
        <v>0</v>
      </c>
      <c r="B78" s="35">
        <f>'Profit &amp; Loss'!B78</f>
        <v>0</v>
      </c>
      <c r="C78" s="36"/>
      <c r="D78" s="33"/>
      <c r="E78" s="102">
        <f t="shared" si="10"/>
        <v>0</v>
      </c>
      <c r="F78" s="103" t="str">
        <f t="shared" si="0"/>
        <v>0 tubes and 0 shuttles</v>
      </c>
      <c r="G78" s="36">
        <f t="shared" si="11"/>
        <v>0</v>
      </c>
      <c r="H78" s="104" t="str">
        <f t="shared" si="1"/>
        <v>0 tubes and 0 shuttles</v>
      </c>
      <c r="I78" s="36">
        <f t="shared" si="2"/>
        <v>0</v>
      </c>
      <c r="J78" s="103" t="str">
        <f t="shared" si="3"/>
        <v>0 tubes and 0 shuttles</v>
      </c>
    </row>
    <row r="79" spans="1:10" ht="12.5" x14ac:dyDescent="0.25">
      <c r="A79" s="32">
        <f>'Profit &amp; Loss'!A79</f>
        <v>0</v>
      </c>
      <c r="B79" s="35">
        <f>'Profit &amp; Loss'!B79</f>
        <v>0</v>
      </c>
      <c r="C79" s="36"/>
      <c r="D79" s="33"/>
      <c r="E79" s="102">
        <f t="shared" si="10"/>
        <v>0</v>
      </c>
      <c r="F79" s="103" t="str">
        <f t="shared" si="0"/>
        <v>0 tubes and 0 shuttles</v>
      </c>
      <c r="G79" s="36">
        <f t="shared" si="11"/>
        <v>0</v>
      </c>
      <c r="H79" s="104" t="str">
        <f t="shared" si="1"/>
        <v>0 tubes and 0 shuttles</v>
      </c>
      <c r="I79" s="36">
        <f t="shared" si="2"/>
        <v>0</v>
      </c>
      <c r="J79" s="103" t="str">
        <f t="shared" si="3"/>
        <v>0 tubes and 0 shuttles</v>
      </c>
    </row>
    <row r="80" spans="1:10" ht="12.5" x14ac:dyDescent="0.25">
      <c r="A80" s="32">
        <f>'Profit &amp; Loss'!A80</f>
        <v>0</v>
      </c>
      <c r="B80" s="35">
        <f>'Profit &amp; Loss'!B80</f>
        <v>0</v>
      </c>
      <c r="C80" s="36"/>
      <c r="D80" s="33"/>
      <c r="E80" s="102">
        <f t="shared" si="10"/>
        <v>0</v>
      </c>
      <c r="F80" s="103" t="str">
        <f t="shared" si="0"/>
        <v>0 tubes and 0 shuttles</v>
      </c>
      <c r="G80" s="36">
        <f t="shared" si="11"/>
        <v>0</v>
      </c>
      <c r="H80" s="104" t="str">
        <f t="shared" si="1"/>
        <v>0 tubes and 0 shuttles</v>
      </c>
      <c r="I80" s="36">
        <f t="shared" si="2"/>
        <v>0</v>
      </c>
      <c r="J80" s="103" t="str">
        <f t="shared" si="3"/>
        <v>0 tubes and 0 shuttles</v>
      </c>
    </row>
    <row r="81" spans="1:10" ht="12.5" x14ac:dyDescent="0.25">
      <c r="A81" s="32">
        <f>'Profit &amp; Loss'!A81</f>
        <v>0</v>
      </c>
      <c r="B81" s="35">
        <f>'Profit &amp; Loss'!B81</f>
        <v>0</v>
      </c>
      <c r="C81" s="36"/>
      <c r="D81" s="33"/>
      <c r="E81" s="102">
        <f t="shared" si="10"/>
        <v>0</v>
      </c>
      <c r="F81" s="103" t="str">
        <f t="shared" si="0"/>
        <v>0 tubes and 0 shuttles</v>
      </c>
      <c r="G81" s="36">
        <f t="shared" si="11"/>
        <v>0</v>
      </c>
      <c r="H81" s="104" t="str">
        <f t="shared" si="1"/>
        <v>0 tubes and 0 shuttles</v>
      </c>
      <c r="I81" s="36">
        <f t="shared" si="2"/>
        <v>0</v>
      </c>
      <c r="J81" s="103" t="str">
        <f t="shared" si="3"/>
        <v>0 tubes and 0 shuttles</v>
      </c>
    </row>
    <row r="82" spans="1:10" ht="12.5" x14ac:dyDescent="0.25">
      <c r="A82" s="32">
        <f>'Profit &amp; Loss'!A82</f>
        <v>0</v>
      </c>
      <c r="B82" s="35">
        <f>'Profit &amp; Loss'!B82</f>
        <v>0</v>
      </c>
      <c r="C82" s="36"/>
      <c r="D82" s="33"/>
      <c r="E82" s="102">
        <f t="shared" si="10"/>
        <v>0</v>
      </c>
      <c r="F82" s="103" t="str">
        <f t="shared" si="0"/>
        <v>0 tubes and 0 shuttles</v>
      </c>
      <c r="G82" s="36">
        <f t="shared" si="11"/>
        <v>0</v>
      </c>
      <c r="H82" s="104" t="str">
        <f t="shared" si="1"/>
        <v>0 tubes and 0 shuttles</v>
      </c>
      <c r="I82" s="36">
        <f t="shared" si="2"/>
        <v>0</v>
      </c>
      <c r="J82" s="103" t="str">
        <f t="shared" si="3"/>
        <v>0 tubes and 0 shuttles</v>
      </c>
    </row>
    <row r="83" spans="1:10" ht="12.5" x14ac:dyDescent="0.25">
      <c r="A83" s="32">
        <f>'Profit &amp; Loss'!A83</f>
        <v>0</v>
      </c>
      <c r="B83" s="35">
        <f>'Profit &amp; Loss'!B83</f>
        <v>0</v>
      </c>
      <c r="C83" s="36"/>
      <c r="D83" s="33"/>
      <c r="E83" s="102">
        <f t="shared" si="10"/>
        <v>0</v>
      </c>
      <c r="F83" s="103" t="str">
        <f t="shared" si="0"/>
        <v>0 tubes and 0 shuttles</v>
      </c>
      <c r="G83" s="36">
        <f t="shared" si="11"/>
        <v>0</v>
      </c>
      <c r="H83" s="104" t="str">
        <f t="shared" si="1"/>
        <v>0 tubes and 0 shuttles</v>
      </c>
      <c r="I83" s="36">
        <f t="shared" si="2"/>
        <v>0</v>
      </c>
      <c r="J83" s="103" t="str">
        <f t="shared" si="3"/>
        <v>0 tubes and 0 shuttles</v>
      </c>
    </row>
    <row r="84" spans="1:10" ht="12.5" x14ac:dyDescent="0.25">
      <c r="A84" s="32">
        <f>'Profit &amp; Loss'!A84</f>
        <v>0</v>
      </c>
      <c r="B84" s="35">
        <f>'Profit &amp; Loss'!B84</f>
        <v>0</v>
      </c>
      <c r="C84" s="36"/>
      <c r="D84" s="33"/>
      <c r="E84" s="102">
        <f t="shared" si="10"/>
        <v>0</v>
      </c>
      <c r="F84" s="103" t="str">
        <f t="shared" si="0"/>
        <v>0 tubes and 0 shuttles</v>
      </c>
      <c r="G84" s="36">
        <f t="shared" si="11"/>
        <v>0</v>
      </c>
      <c r="H84" s="104" t="str">
        <f t="shared" si="1"/>
        <v>0 tubes and 0 shuttles</v>
      </c>
      <c r="I84" s="36">
        <f t="shared" si="2"/>
        <v>0</v>
      </c>
      <c r="J84" s="103" t="str">
        <f t="shared" si="3"/>
        <v>0 tubes and 0 shuttles</v>
      </c>
    </row>
    <row r="85" spans="1:10" ht="12.5" x14ac:dyDescent="0.25">
      <c r="A85" s="32">
        <f>'Profit &amp; Loss'!A85</f>
        <v>0</v>
      </c>
      <c r="B85" s="35">
        <f>'Profit &amp; Loss'!B85</f>
        <v>0</v>
      </c>
      <c r="C85" s="36"/>
      <c r="D85" s="33"/>
      <c r="E85" s="102">
        <f t="shared" si="10"/>
        <v>0</v>
      </c>
      <c r="F85" s="103" t="str">
        <f t="shared" si="0"/>
        <v>0 tubes and 0 shuttles</v>
      </c>
      <c r="G85" s="36">
        <f t="shared" si="11"/>
        <v>0</v>
      </c>
      <c r="H85" s="104" t="str">
        <f t="shared" si="1"/>
        <v>0 tubes and 0 shuttles</v>
      </c>
      <c r="I85" s="36">
        <f t="shared" si="2"/>
        <v>0</v>
      </c>
      <c r="J85" s="103" t="str">
        <f t="shared" si="3"/>
        <v>0 tubes and 0 shuttles</v>
      </c>
    </row>
    <row r="86" spans="1:10" ht="12.5" x14ac:dyDescent="0.25">
      <c r="A86" s="32">
        <f>'Profit &amp; Loss'!A86</f>
        <v>0</v>
      </c>
      <c r="B86" s="35">
        <f>'Profit &amp; Loss'!B86</f>
        <v>0</v>
      </c>
      <c r="C86" s="36"/>
      <c r="D86" s="33"/>
      <c r="E86" s="102">
        <f t="shared" si="10"/>
        <v>0</v>
      </c>
      <c r="F86" s="103" t="str">
        <f t="shared" si="0"/>
        <v>0 tubes and 0 shuttles</v>
      </c>
      <c r="G86" s="36">
        <f t="shared" si="11"/>
        <v>0</v>
      </c>
      <c r="H86" s="104" t="str">
        <f t="shared" si="1"/>
        <v>0 tubes and 0 shuttles</v>
      </c>
      <c r="I86" s="36">
        <f t="shared" si="2"/>
        <v>0</v>
      </c>
      <c r="J86" s="103" t="str">
        <f t="shared" si="3"/>
        <v>0 tubes and 0 shuttles</v>
      </c>
    </row>
    <row r="87" spans="1:10" ht="12.5" x14ac:dyDescent="0.25">
      <c r="A87" s="32">
        <f>'Profit &amp; Loss'!A87</f>
        <v>0</v>
      </c>
      <c r="B87" s="35">
        <f>'Profit &amp; Loss'!B87</f>
        <v>0</v>
      </c>
      <c r="C87" s="36"/>
      <c r="D87" s="33"/>
      <c r="E87" s="102">
        <f t="shared" si="10"/>
        <v>0</v>
      </c>
      <c r="F87" s="103" t="str">
        <f t="shared" si="0"/>
        <v>0 tubes and 0 shuttles</v>
      </c>
      <c r="G87" s="36">
        <f t="shared" si="11"/>
        <v>0</v>
      </c>
      <c r="H87" s="104" t="str">
        <f t="shared" si="1"/>
        <v>0 tubes and 0 shuttles</v>
      </c>
      <c r="I87" s="36">
        <f t="shared" si="2"/>
        <v>0</v>
      </c>
      <c r="J87" s="103" t="str">
        <f t="shared" si="3"/>
        <v>0 tubes and 0 shuttles</v>
      </c>
    </row>
    <row r="88" spans="1:10" ht="12.5" x14ac:dyDescent="0.25">
      <c r="A88" s="32">
        <f>'Profit &amp; Loss'!A88</f>
        <v>0</v>
      </c>
      <c r="B88" s="35">
        <f>'Profit &amp; Loss'!B88</f>
        <v>0</v>
      </c>
      <c r="C88" s="36"/>
      <c r="D88" s="33"/>
      <c r="E88" s="102">
        <f t="shared" si="10"/>
        <v>0</v>
      </c>
      <c r="F88" s="103" t="str">
        <f t="shared" si="0"/>
        <v>0 tubes and 0 shuttles</v>
      </c>
      <c r="G88" s="36">
        <f t="shared" si="11"/>
        <v>0</v>
      </c>
      <c r="H88" s="104" t="str">
        <f t="shared" si="1"/>
        <v>0 tubes and 0 shuttles</v>
      </c>
      <c r="I88" s="36">
        <f t="shared" si="2"/>
        <v>0</v>
      </c>
      <c r="J88" s="103" t="str">
        <f t="shared" si="3"/>
        <v>0 tubes and 0 shuttles</v>
      </c>
    </row>
    <row r="89" spans="1:10" ht="12.5" x14ac:dyDescent="0.25">
      <c r="A89" s="32">
        <f>'Profit &amp; Loss'!A89</f>
        <v>0</v>
      </c>
      <c r="B89" s="35">
        <f>'Profit &amp; Loss'!B89</f>
        <v>0</v>
      </c>
      <c r="C89" s="36"/>
      <c r="D89" s="33"/>
      <c r="E89" s="102">
        <f t="shared" si="10"/>
        <v>0</v>
      </c>
      <c r="F89" s="103" t="str">
        <f t="shared" si="0"/>
        <v>0 tubes and 0 shuttles</v>
      </c>
      <c r="G89" s="36">
        <f t="shared" si="11"/>
        <v>0</v>
      </c>
      <c r="H89" s="104" t="str">
        <f t="shared" si="1"/>
        <v>0 tubes and 0 shuttles</v>
      </c>
      <c r="I89" s="36">
        <f t="shared" si="2"/>
        <v>0</v>
      </c>
      <c r="J89" s="103" t="str">
        <f t="shared" si="3"/>
        <v>0 tubes and 0 shuttles</v>
      </c>
    </row>
    <row r="90" spans="1:10" ht="12.5" x14ac:dyDescent="0.25">
      <c r="A90" s="32">
        <f>'Profit &amp; Loss'!A90</f>
        <v>0</v>
      </c>
      <c r="B90" s="35">
        <f>'Profit &amp; Loss'!B90</f>
        <v>0</v>
      </c>
      <c r="C90" s="36"/>
      <c r="D90" s="33"/>
      <c r="E90" s="102">
        <f t="shared" si="10"/>
        <v>0</v>
      </c>
      <c r="F90" s="103" t="str">
        <f t="shared" si="0"/>
        <v>0 tubes and 0 shuttles</v>
      </c>
      <c r="G90" s="36">
        <f t="shared" si="11"/>
        <v>0</v>
      </c>
      <c r="H90" s="104" t="str">
        <f t="shared" si="1"/>
        <v>0 tubes and 0 shuttles</v>
      </c>
      <c r="I90" s="36">
        <f t="shared" si="2"/>
        <v>0</v>
      </c>
      <c r="J90" s="103" t="str">
        <f t="shared" si="3"/>
        <v>0 tubes and 0 shuttles</v>
      </c>
    </row>
    <row r="91" spans="1:10" ht="12.5" x14ac:dyDescent="0.25">
      <c r="A91" s="32">
        <f>'Profit &amp; Loss'!A91</f>
        <v>0</v>
      </c>
      <c r="B91" s="35">
        <f>'Profit &amp; Loss'!B91</f>
        <v>0</v>
      </c>
      <c r="C91" s="36"/>
      <c r="D91" s="33"/>
      <c r="E91" s="102">
        <f t="shared" si="10"/>
        <v>0</v>
      </c>
      <c r="F91" s="103" t="str">
        <f t="shared" si="0"/>
        <v>0 tubes and 0 shuttles</v>
      </c>
      <c r="G91" s="36">
        <f t="shared" si="11"/>
        <v>0</v>
      </c>
      <c r="H91" s="104" t="str">
        <f t="shared" si="1"/>
        <v>0 tubes and 0 shuttles</v>
      </c>
      <c r="I91" s="36">
        <f t="shared" si="2"/>
        <v>0</v>
      </c>
      <c r="J91" s="103" t="str">
        <f t="shared" si="3"/>
        <v>0 tubes and 0 shuttles</v>
      </c>
    </row>
    <row r="92" spans="1:10" ht="12.5" x14ac:dyDescent="0.25">
      <c r="A92" s="32">
        <f>'Profit &amp; Loss'!A92</f>
        <v>0</v>
      </c>
      <c r="B92" s="35">
        <f>'Profit &amp; Loss'!B92</f>
        <v>0</v>
      </c>
      <c r="C92" s="36"/>
      <c r="D92" s="33"/>
      <c r="E92" s="102">
        <f t="shared" si="10"/>
        <v>0</v>
      </c>
      <c r="F92" s="103" t="str">
        <f t="shared" si="0"/>
        <v>0 tubes and 0 shuttles</v>
      </c>
      <c r="G92" s="36">
        <f t="shared" si="11"/>
        <v>0</v>
      </c>
      <c r="H92" s="104" t="str">
        <f t="shared" si="1"/>
        <v>0 tubes and 0 shuttles</v>
      </c>
      <c r="I92" s="36">
        <f t="shared" si="2"/>
        <v>0</v>
      </c>
      <c r="J92" s="103" t="str">
        <f t="shared" si="3"/>
        <v>0 tubes and 0 shuttles</v>
      </c>
    </row>
    <row r="93" spans="1:10" ht="12.5" x14ac:dyDescent="0.25">
      <c r="A93" s="32">
        <f>'Profit &amp; Loss'!A93</f>
        <v>0</v>
      </c>
      <c r="B93" s="35">
        <f>'Profit &amp; Loss'!B93</f>
        <v>0</v>
      </c>
      <c r="C93" s="36"/>
      <c r="D93" s="33"/>
      <c r="E93" s="102">
        <f t="shared" si="10"/>
        <v>0</v>
      </c>
      <c r="F93" s="103" t="str">
        <f t="shared" si="0"/>
        <v>0 tubes and 0 shuttles</v>
      </c>
      <c r="G93" s="36">
        <f t="shared" si="11"/>
        <v>0</v>
      </c>
      <c r="H93" s="104" t="str">
        <f t="shared" si="1"/>
        <v>0 tubes and 0 shuttles</v>
      </c>
      <c r="I93" s="36">
        <f t="shared" si="2"/>
        <v>0</v>
      </c>
      <c r="J93" s="103" t="str">
        <f t="shared" si="3"/>
        <v>0 tubes and 0 shuttles</v>
      </c>
    </row>
    <row r="94" spans="1:10" ht="12.5" x14ac:dyDescent="0.25">
      <c r="A94" s="32">
        <f>'Profit &amp; Loss'!A94</f>
        <v>0</v>
      </c>
      <c r="B94" s="35">
        <f>'Profit &amp; Loss'!B94</f>
        <v>0</v>
      </c>
      <c r="C94" s="36"/>
      <c r="D94" s="33"/>
      <c r="E94" s="102">
        <f t="shared" si="10"/>
        <v>0</v>
      </c>
      <c r="F94" s="103" t="str">
        <f t="shared" si="0"/>
        <v>0 tubes and 0 shuttles</v>
      </c>
      <c r="G94" s="36">
        <f t="shared" si="11"/>
        <v>0</v>
      </c>
      <c r="H94" s="104" t="str">
        <f t="shared" si="1"/>
        <v>0 tubes and 0 shuttles</v>
      </c>
      <c r="I94" s="36">
        <f t="shared" si="2"/>
        <v>0</v>
      </c>
      <c r="J94" s="103" t="str">
        <f t="shared" si="3"/>
        <v>0 tubes and 0 shuttles</v>
      </c>
    </row>
    <row r="95" spans="1:10" ht="12.5" x14ac:dyDescent="0.25">
      <c r="A95" s="32">
        <f>'Profit &amp; Loss'!A95</f>
        <v>0</v>
      </c>
      <c r="B95" s="35">
        <f>'Profit &amp; Loss'!B95</f>
        <v>0</v>
      </c>
      <c r="C95" s="36"/>
      <c r="D95" s="33"/>
      <c r="E95" s="102">
        <f t="shared" si="10"/>
        <v>0</v>
      </c>
      <c r="F95" s="103" t="str">
        <f t="shared" si="0"/>
        <v>0 tubes and 0 shuttles</v>
      </c>
      <c r="G95" s="36">
        <f t="shared" si="11"/>
        <v>0</v>
      </c>
      <c r="H95" s="104" t="str">
        <f t="shared" si="1"/>
        <v>0 tubes and 0 shuttles</v>
      </c>
      <c r="I95" s="36">
        <f t="shared" si="2"/>
        <v>0</v>
      </c>
      <c r="J95" s="103" t="str">
        <f t="shared" si="3"/>
        <v>0 tubes and 0 shuttles</v>
      </c>
    </row>
    <row r="96" spans="1:10" ht="12.5" x14ac:dyDescent="0.25">
      <c r="A96" s="32">
        <f>'Profit &amp; Loss'!A96</f>
        <v>0</v>
      </c>
      <c r="B96" s="35">
        <f>'Profit &amp; Loss'!B96</f>
        <v>0</v>
      </c>
      <c r="C96" s="36"/>
      <c r="D96" s="33"/>
      <c r="E96" s="102">
        <f t="shared" si="10"/>
        <v>0</v>
      </c>
      <c r="F96" s="103" t="str">
        <f t="shared" si="0"/>
        <v>0 tubes and 0 shuttles</v>
      </c>
      <c r="G96" s="36">
        <f t="shared" si="11"/>
        <v>0</v>
      </c>
      <c r="H96" s="104" t="str">
        <f t="shared" si="1"/>
        <v>0 tubes and 0 shuttles</v>
      </c>
      <c r="I96" s="36">
        <f t="shared" si="2"/>
        <v>0</v>
      </c>
      <c r="J96" s="103" t="str">
        <f t="shared" si="3"/>
        <v>0 tubes and 0 shuttles</v>
      </c>
    </row>
    <row r="97" spans="1:10" ht="12.5" x14ac:dyDescent="0.25">
      <c r="A97" s="32">
        <f>'Profit &amp; Loss'!A97</f>
        <v>0</v>
      </c>
      <c r="B97" s="35">
        <f>'Profit &amp; Loss'!B97</f>
        <v>0</v>
      </c>
      <c r="C97" s="36"/>
      <c r="D97" s="33"/>
      <c r="E97" s="102">
        <f t="shared" si="10"/>
        <v>0</v>
      </c>
      <c r="F97" s="103" t="str">
        <f t="shared" si="0"/>
        <v>0 tubes and 0 shuttles</v>
      </c>
      <c r="G97" s="36">
        <f t="shared" si="11"/>
        <v>0</v>
      </c>
      <c r="H97" s="104" t="str">
        <f t="shared" si="1"/>
        <v>0 tubes and 0 shuttles</v>
      </c>
      <c r="I97" s="36">
        <f t="shared" si="2"/>
        <v>0</v>
      </c>
      <c r="J97" s="103" t="str">
        <f t="shared" si="3"/>
        <v>0 tubes and 0 shuttles</v>
      </c>
    </row>
    <row r="98" spans="1:10" ht="12.5" x14ac:dyDescent="0.25">
      <c r="A98" s="32">
        <f>'Profit &amp; Loss'!A98</f>
        <v>0</v>
      </c>
      <c r="B98" s="35">
        <f>'Profit &amp; Loss'!B98</f>
        <v>0</v>
      </c>
      <c r="C98" s="36"/>
      <c r="D98" s="33"/>
      <c r="E98" s="102">
        <f t="shared" si="10"/>
        <v>0</v>
      </c>
      <c r="F98" s="103" t="str">
        <f t="shared" si="0"/>
        <v>0 tubes and 0 shuttles</v>
      </c>
      <c r="G98" s="36">
        <f t="shared" si="11"/>
        <v>0</v>
      </c>
      <c r="H98" s="104" t="str">
        <f t="shared" si="1"/>
        <v>0 tubes and 0 shuttles</v>
      </c>
      <c r="I98" s="36">
        <f t="shared" si="2"/>
        <v>0</v>
      </c>
      <c r="J98" s="103" t="str">
        <f t="shared" si="3"/>
        <v>0 tubes and 0 shuttles</v>
      </c>
    </row>
    <row r="99" spans="1:10" ht="12.5" x14ac:dyDescent="0.25">
      <c r="A99" s="32">
        <f>'Profit &amp; Loss'!A99</f>
        <v>0</v>
      </c>
      <c r="B99" s="35">
        <f>'Profit &amp; Loss'!B99</f>
        <v>0</v>
      </c>
      <c r="C99" s="36"/>
      <c r="D99" s="33"/>
      <c r="E99" s="102">
        <f t="shared" si="10"/>
        <v>0</v>
      </c>
      <c r="F99" s="103" t="str">
        <f t="shared" si="0"/>
        <v>0 tubes and 0 shuttles</v>
      </c>
      <c r="G99" s="36">
        <f t="shared" si="11"/>
        <v>0</v>
      </c>
      <c r="H99" s="104" t="str">
        <f t="shared" si="1"/>
        <v>0 tubes and 0 shuttles</v>
      </c>
      <c r="I99" s="36">
        <f t="shared" si="2"/>
        <v>0</v>
      </c>
      <c r="J99" s="103" t="str">
        <f t="shared" si="3"/>
        <v>0 tubes and 0 shuttles</v>
      </c>
    </row>
    <row r="100" spans="1:10" ht="12.5" x14ac:dyDescent="0.25">
      <c r="A100" s="32">
        <f>'Profit &amp; Loss'!A100</f>
        <v>0</v>
      </c>
      <c r="B100" s="35">
        <f>'Profit &amp; Loss'!B100</f>
        <v>0</v>
      </c>
      <c r="C100" s="36"/>
      <c r="D100" s="33"/>
      <c r="E100" s="102">
        <f t="shared" si="10"/>
        <v>0</v>
      </c>
      <c r="F100" s="103" t="str">
        <f t="shared" si="0"/>
        <v>0 tubes and 0 shuttles</v>
      </c>
      <c r="G100" s="36">
        <f t="shared" si="11"/>
        <v>0</v>
      </c>
      <c r="H100" s="104" t="str">
        <f t="shared" si="1"/>
        <v>0 tubes and 0 shuttles</v>
      </c>
      <c r="I100" s="36">
        <f t="shared" si="2"/>
        <v>0</v>
      </c>
      <c r="J100" s="103" t="str">
        <f t="shared" si="3"/>
        <v>0 tubes and 0 shuttles</v>
      </c>
    </row>
    <row r="101" spans="1:10" ht="12.5" x14ac:dyDescent="0.25">
      <c r="A101" s="32">
        <f>'Profit &amp; Loss'!A101</f>
        <v>0</v>
      </c>
      <c r="B101" s="35">
        <f>'Profit &amp; Loss'!B101</f>
        <v>0</v>
      </c>
      <c r="C101" s="36"/>
      <c r="D101" s="33"/>
      <c r="E101" s="102">
        <f t="shared" si="10"/>
        <v>0</v>
      </c>
      <c r="F101" s="103" t="str">
        <f t="shared" si="0"/>
        <v>0 tubes and 0 shuttles</v>
      </c>
      <c r="G101" s="36">
        <f t="shared" si="11"/>
        <v>0</v>
      </c>
      <c r="H101" s="104" t="str">
        <f t="shared" si="1"/>
        <v>0 tubes and 0 shuttles</v>
      </c>
      <c r="I101" s="36">
        <f t="shared" si="2"/>
        <v>0</v>
      </c>
      <c r="J101" s="103" t="str">
        <f t="shared" si="3"/>
        <v>0 tubes and 0 shuttles</v>
      </c>
    </row>
    <row r="102" spans="1:10" ht="12.5" x14ac:dyDescent="0.25">
      <c r="A102" s="32">
        <f>'Profit &amp; Loss'!A102</f>
        <v>0</v>
      </c>
      <c r="B102" s="35">
        <f>'Profit &amp; Loss'!B102</f>
        <v>0</v>
      </c>
      <c r="C102" s="36"/>
      <c r="D102" s="33"/>
      <c r="E102" s="102">
        <f t="shared" si="10"/>
        <v>0</v>
      </c>
      <c r="F102" s="103" t="str">
        <f t="shared" si="0"/>
        <v>0 tubes and 0 shuttles</v>
      </c>
      <c r="G102" s="36">
        <f t="shared" si="11"/>
        <v>0</v>
      </c>
      <c r="H102" s="104" t="str">
        <f t="shared" si="1"/>
        <v>0 tubes and 0 shuttles</v>
      </c>
      <c r="I102" s="36">
        <f t="shared" si="2"/>
        <v>0</v>
      </c>
      <c r="J102" s="103" t="str">
        <f t="shared" si="3"/>
        <v>0 tubes and 0 shuttles</v>
      </c>
    </row>
    <row r="103" spans="1:10" ht="12.5" x14ac:dyDescent="0.25">
      <c r="A103" s="32">
        <f>'Profit &amp; Loss'!A103</f>
        <v>0</v>
      </c>
      <c r="B103" s="35">
        <f>'Profit &amp; Loss'!B103</f>
        <v>0</v>
      </c>
      <c r="C103" s="36"/>
      <c r="D103" s="33"/>
      <c r="E103" s="102">
        <f t="shared" si="10"/>
        <v>0</v>
      </c>
      <c r="F103" s="103" t="str">
        <f t="shared" si="0"/>
        <v>0 tubes and 0 shuttles</v>
      </c>
      <c r="G103" s="36">
        <f t="shared" si="11"/>
        <v>0</v>
      </c>
      <c r="H103" s="104" t="str">
        <f t="shared" si="1"/>
        <v>0 tubes and 0 shuttles</v>
      </c>
      <c r="I103" s="36">
        <f t="shared" si="2"/>
        <v>0</v>
      </c>
      <c r="J103" s="103" t="str">
        <f t="shared" si="3"/>
        <v>0 tubes and 0 shuttles</v>
      </c>
    </row>
    <row r="104" spans="1:10" ht="12.5" x14ac:dyDescent="0.25">
      <c r="A104" s="32">
        <f>'Profit &amp; Loss'!A104</f>
        <v>0</v>
      </c>
      <c r="B104" s="35">
        <f>'Profit &amp; Loss'!B104</f>
        <v>0</v>
      </c>
      <c r="C104" s="36"/>
      <c r="D104" s="33"/>
      <c r="E104" s="102">
        <f t="shared" si="10"/>
        <v>0</v>
      </c>
      <c r="F104" s="103" t="str">
        <f t="shared" si="0"/>
        <v>0 tubes and 0 shuttles</v>
      </c>
      <c r="G104" s="36">
        <f t="shared" si="11"/>
        <v>0</v>
      </c>
      <c r="H104" s="104" t="str">
        <f t="shared" si="1"/>
        <v>0 tubes and 0 shuttles</v>
      </c>
      <c r="I104" s="36">
        <f t="shared" si="2"/>
        <v>0</v>
      </c>
      <c r="J104" s="103" t="str">
        <f t="shared" si="3"/>
        <v>0 tubes and 0 shuttles</v>
      </c>
    </row>
    <row r="105" spans="1:10" ht="12.5" x14ac:dyDescent="0.25">
      <c r="A105" s="32">
        <f>'Profit &amp; Loss'!A105</f>
        <v>0</v>
      </c>
      <c r="B105" s="35">
        <f>'Profit &amp; Loss'!B105</f>
        <v>0</v>
      </c>
      <c r="C105" s="36"/>
      <c r="D105" s="33"/>
      <c r="E105" s="102">
        <f t="shared" si="10"/>
        <v>0</v>
      </c>
      <c r="F105" s="103" t="str">
        <f t="shared" si="0"/>
        <v>0 tubes and 0 shuttles</v>
      </c>
      <c r="G105" s="36">
        <f t="shared" si="11"/>
        <v>0</v>
      </c>
      <c r="H105" s="104" t="str">
        <f t="shared" si="1"/>
        <v>0 tubes and 0 shuttles</v>
      </c>
      <c r="I105" s="36">
        <f t="shared" si="2"/>
        <v>0</v>
      </c>
      <c r="J105" s="103" t="str">
        <f t="shared" si="3"/>
        <v>0 tubes and 0 shuttles</v>
      </c>
    </row>
    <row r="106" spans="1:10" ht="12.5" x14ac:dyDescent="0.25">
      <c r="A106" s="32">
        <f>'Profit &amp; Loss'!A106</f>
        <v>0</v>
      </c>
      <c r="B106" s="35">
        <f>'Profit &amp; Loss'!B106</f>
        <v>0</v>
      </c>
      <c r="C106" s="36"/>
      <c r="D106" s="33"/>
      <c r="E106" s="102">
        <f t="shared" si="10"/>
        <v>0</v>
      </c>
      <c r="F106" s="103" t="str">
        <f t="shared" si="0"/>
        <v>0 tubes and 0 shuttles</v>
      </c>
      <c r="G106" s="36">
        <f t="shared" si="11"/>
        <v>0</v>
      </c>
      <c r="H106" s="104" t="str">
        <f t="shared" si="1"/>
        <v>0 tubes and 0 shuttles</v>
      </c>
      <c r="I106" s="36">
        <f t="shared" si="2"/>
        <v>0</v>
      </c>
      <c r="J106" s="103" t="str">
        <f t="shared" si="3"/>
        <v>0 tubes and 0 shuttles</v>
      </c>
    </row>
    <row r="107" spans="1:10" ht="12.5" x14ac:dyDescent="0.25">
      <c r="A107" s="32">
        <f>'Profit &amp; Loss'!A107</f>
        <v>0</v>
      </c>
      <c r="B107" s="35">
        <f>'Profit &amp; Loss'!B107</f>
        <v>0</v>
      </c>
      <c r="C107" s="36"/>
      <c r="D107" s="33"/>
      <c r="E107" s="102">
        <f t="shared" si="10"/>
        <v>0</v>
      </c>
      <c r="F107" s="103" t="str">
        <f t="shared" si="0"/>
        <v>0 tubes and 0 shuttles</v>
      </c>
      <c r="G107" s="36">
        <f t="shared" si="11"/>
        <v>0</v>
      </c>
      <c r="H107" s="104" t="str">
        <f t="shared" si="1"/>
        <v>0 tubes and 0 shuttles</v>
      </c>
      <c r="I107" s="36">
        <f t="shared" si="2"/>
        <v>0</v>
      </c>
      <c r="J107" s="103" t="str">
        <f t="shared" si="3"/>
        <v>0 tubes and 0 shuttles</v>
      </c>
    </row>
    <row r="108" spans="1:10" ht="12.5" x14ac:dyDescent="0.25">
      <c r="A108" s="32">
        <f>'Profit &amp; Loss'!A108</f>
        <v>0</v>
      </c>
      <c r="B108" s="35">
        <f>'Profit &amp; Loss'!B108</f>
        <v>0</v>
      </c>
      <c r="C108" s="36"/>
      <c r="D108" s="33"/>
      <c r="E108" s="102">
        <f t="shared" si="10"/>
        <v>0</v>
      </c>
      <c r="F108" s="103" t="str">
        <f t="shared" si="0"/>
        <v>0 tubes and 0 shuttles</v>
      </c>
      <c r="G108" s="36">
        <f t="shared" si="11"/>
        <v>0</v>
      </c>
      <c r="H108" s="104" t="str">
        <f t="shared" si="1"/>
        <v>0 tubes and 0 shuttles</v>
      </c>
      <c r="I108" s="36">
        <f t="shared" si="2"/>
        <v>0</v>
      </c>
      <c r="J108" s="103" t="str">
        <f t="shared" si="3"/>
        <v>0 tubes and 0 shuttles</v>
      </c>
    </row>
    <row r="109" spans="1:10" ht="12.5" x14ac:dyDescent="0.25">
      <c r="A109" s="32">
        <f>'Profit &amp; Loss'!A109</f>
        <v>0</v>
      </c>
      <c r="B109" s="35">
        <f>'Profit &amp; Loss'!B109</f>
        <v>0</v>
      </c>
      <c r="C109" s="36"/>
      <c r="D109" s="33"/>
      <c r="E109" s="102">
        <f t="shared" si="10"/>
        <v>0</v>
      </c>
      <c r="F109" s="103" t="str">
        <f t="shared" si="0"/>
        <v>0 tubes and 0 shuttles</v>
      </c>
      <c r="G109" s="36">
        <f t="shared" si="11"/>
        <v>0</v>
      </c>
      <c r="H109" s="104" t="str">
        <f t="shared" si="1"/>
        <v>0 tubes and 0 shuttles</v>
      </c>
      <c r="I109" s="36">
        <f t="shared" si="2"/>
        <v>0</v>
      </c>
      <c r="J109" s="103" t="str">
        <f t="shared" si="3"/>
        <v>0 tubes and 0 shuttles</v>
      </c>
    </row>
    <row r="110" spans="1:10" ht="12.5" x14ac:dyDescent="0.25">
      <c r="A110" s="32">
        <f>'Profit &amp; Loss'!A110</f>
        <v>0</v>
      </c>
      <c r="B110" s="35">
        <f>'Profit &amp; Loss'!B110</f>
        <v>0</v>
      </c>
      <c r="C110" s="36"/>
      <c r="D110" s="33"/>
      <c r="E110" s="102">
        <f t="shared" si="10"/>
        <v>0</v>
      </c>
      <c r="F110" s="103" t="str">
        <f t="shared" si="0"/>
        <v>0 tubes and 0 shuttles</v>
      </c>
      <c r="G110" s="36">
        <f t="shared" si="11"/>
        <v>0</v>
      </c>
      <c r="H110" s="104" t="str">
        <f t="shared" si="1"/>
        <v>0 tubes and 0 shuttles</v>
      </c>
      <c r="I110" s="36">
        <f t="shared" si="2"/>
        <v>0</v>
      </c>
      <c r="J110" s="103" t="str">
        <f t="shared" si="3"/>
        <v>0 tubes and 0 shuttles</v>
      </c>
    </row>
    <row r="111" spans="1:10" ht="12.5" x14ac:dyDescent="0.25">
      <c r="A111" s="32">
        <f>'Profit &amp; Loss'!A111</f>
        <v>0</v>
      </c>
      <c r="B111" s="35">
        <f>'Profit &amp; Loss'!B111</f>
        <v>0</v>
      </c>
      <c r="C111" s="36"/>
      <c r="D111" s="33"/>
      <c r="E111" s="102">
        <f t="shared" si="10"/>
        <v>0</v>
      </c>
      <c r="F111" s="103" t="str">
        <f t="shared" si="0"/>
        <v>0 tubes and 0 shuttles</v>
      </c>
      <c r="G111" s="36">
        <f t="shared" si="11"/>
        <v>0</v>
      </c>
      <c r="H111" s="104" t="str">
        <f t="shared" si="1"/>
        <v>0 tubes and 0 shuttles</v>
      </c>
      <c r="I111" s="36">
        <f t="shared" si="2"/>
        <v>0</v>
      </c>
      <c r="J111" s="103" t="str">
        <f t="shared" si="3"/>
        <v>0 tubes and 0 shuttles</v>
      </c>
    </row>
    <row r="112" spans="1:10" ht="12.5" x14ac:dyDescent="0.25">
      <c r="A112" s="32">
        <f>'Profit &amp; Loss'!A112</f>
        <v>0</v>
      </c>
      <c r="B112" s="35">
        <f>'Profit &amp; Loss'!B112</f>
        <v>0</v>
      </c>
      <c r="C112" s="36"/>
      <c r="D112" s="33"/>
      <c r="E112" s="102">
        <f t="shared" si="10"/>
        <v>0</v>
      </c>
      <c r="F112" s="103" t="str">
        <f t="shared" si="0"/>
        <v>0 tubes and 0 shuttles</v>
      </c>
      <c r="G112" s="36">
        <f t="shared" si="11"/>
        <v>0</v>
      </c>
      <c r="H112" s="104" t="str">
        <f t="shared" si="1"/>
        <v>0 tubes and 0 shuttles</v>
      </c>
      <c r="I112" s="36">
        <f t="shared" si="2"/>
        <v>0</v>
      </c>
      <c r="J112" s="103" t="str">
        <f t="shared" si="3"/>
        <v>0 tubes and 0 shuttles</v>
      </c>
    </row>
    <row r="113" spans="1:10" ht="12.5" x14ac:dyDescent="0.25">
      <c r="A113" s="32">
        <f>'Profit &amp; Loss'!A113</f>
        <v>0</v>
      </c>
      <c r="B113" s="35">
        <f>'Profit &amp; Loss'!B113</f>
        <v>0</v>
      </c>
      <c r="C113" s="36"/>
      <c r="D113" s="33"/>
      <c r="E113" s="102">
        <f t="shared" si="10"/>
        <v>0</v>
      </c>
      <c r="F113" s="103" t="str">
        <f t="shared" si="0"/>
        <v>0 tubes and 0 shuttles</v>
      </c>
      <c r="G113" s="36">
        <f t="shared" si="11"/>
        <v>0</v>
      </c>
      <c r="H113" s="104" t="str">
        <f t="shared" si="1"/>
        <v>0 tubes and 0 shuttles</v>
      </c>
      <c r="I113" s="36">
        <f t="shared" si="2"/>
        <v>0</v>
      </c>
      <c r="J113" s="103" t="str">
        <f t="shared" si="3"/>
        <v>0 tubes and 0 shuttles</v>
      </c>
    </row>
    <row r="114" spans="1:10" ht="12.5" x14ac:dyDescent="0.25">
      <c r="A114" s="32">
        <f>'Profit &amp; Loss'!A114</f>
        <v>0</v>
      </c>
      <c r="B114" s="35">
        <f>'Profit &amp; Loss'!B114</f>
        <v>0</v>
      </c>
      <c r="C114" s="36"/>
      <c r="D114" s="33"/>
      <c r="E114" s="102">
        <f t="shared" si="10"/>
        <v>0</v>
      </c>
      <c r="F114" s="103" t="str">
        <f t="shared" si="0"/>
        <v>0 tubes and 0 shuttles</v>
      </c>
      <c r="G114" s="36">
        <f t="shared" si="11"/>
        <v>0</v>
      </c>
      <c r="H114" s="104" t="str">
        <f t="shared" si="1"/>
        <v>0 tubes and 0 shuttles</v>
      </c>
      <c r="I114" s="36">
        <f t="shared" si="2"/>
        <v>0</v>
      </c>
      <c r="J114" s="103" t="str">
        <f t="shared" si="3"/>
        <v>0 tubes and 0 shuttles</v>
      </c>
    </row>
    <row r="115" spans="1:10" ht="12.5" x14ac:dyDescent="0.25">
      <c r="A115" s="32">
        <f>'Profit &amp; Loss'!A115</f>
        <v>0</v>
      </c>
      <c r="B115" s="35">
        <f>'Profit &amp; Loss'!B115</f>
        <v>0</v>
      </c>
      <c r="C115" s="36"/>
      <c r="D115" s="33"/>
      <c r="E115" s="102">
        <f t="shared" si="10"/>
        <v>0</v>
      </c>
      <c r="F115" s="103" t="str">
        <f t="shared" si="0"/>
        <v>0 tubes and 0 shuttles</v>
      </c>
      <c r="G115" s="36">
        <f t="shared" si="11"/>
        <v>0</v>
      </c>
      <c r="H115" s="104" t="str">
        <f t="shared" si="1"/>
        <v>0 tubes and 0 shuttles</v>
      </c>
      <c r="I115" s="36">
        <f t="shared" si="2"/>
        <v>0</v>
      </c>
      <c r="J115" s="103" t="str">
        <f t="shared" si="3"/>
        <v>0 tubes and 0 shuttles</v>
      </c>
    </row>
    <row r="116" spans="1:10" ht="12.5" x14ac:dyDescent="0.25">
      <c r="A116" s="32">
        <f>'Profit &amp; Loss'!A116</f>
        <v>0</v>
      </c>
      <c r="B116" s="35">
        <f>'Profit &amp; Loss'!B116</f>
        <v>0</v>
      </c>
      <c r="C116" s="36"/>
      <c r="D116" s="33"/>
      <c r="E116" s="102">
        <f t="shared" si="10"/>
        <v>0</v>
      </c>
      <c r="F116" s="103" t="str">
        <f t="shared" si="0"/>
        <v>0 tubes and 0 shuttles</v>
      </c>
      <c r="G116" s="36">
        <f t="shared" si="11"/>
        <v>0</v>
      </c>
      <c r="H116" s="104" t="str">
        <f t="shared" si="1"/>
        <v>0 tubes and 0 shuttles</v>
      </c>
      <c r="I116" s="36">
        <f t="shared" si="2"/>
        <v>0</v>
      </c>
      <c r="J116" s="103" t="str">
        <f t="shared" si="3"/>
        <v>0 tubes and 0 shuttles</v>
      </c>
    </row>
    <row r="117" spans="1:10" ht="12.5" x14ac:dyDescent="0.25">
      <c r="A117" s="32">
        <f>'Profit &amp; Loss'!A117</f>
        <v>0</v>
      </c>
      <c r="B117" s="35">
        <f>'Profit &amp; Loss'!B117</f>
        <v>0</v>
      </c>
      <c r="C117" s="36"/>
      <c r="D117" s="33"/>
      <c r="E117" s="102">
        <f t="shared" si="10"/>
        <v>0</v>
      </c>
      <c r="F117" s="103" t="str">
        <f t="shared" si="0"/>
        <v>0 tubes and 0 shuttles</v>
      </c>
      <c r="G117" s="36">
        <f t="shared" si="11"/>
        <v>0</v>
      </c>
      <c r="H117" s="104" t="str">
        <f t="shared" si="1"/>
        <v>0 tubes and 0 shuttles</v>
      </c>
      <c r="I117" s="36">
        <f t="shared" si="2"/>
        <v>0</v>
      </c>
      <c r="J117" s="103" t="str">
        <f t="shared" si="3"/>
        <v>0 tubes and 0 shuttles</v>
      </c>
    </row>
    <row r="118" spans="1:10" ht="12.5" x14ac:dyDescent="0.25">
      <c r="A118" s="32">
        <f>'Profit &amp; Loss'!A118</f>
        <v>0</v>
      </c>
      <c r="B118" s="35">
        <f>'Profit &amp; Loss'!B118</f>
        <v>0</v>
      </c>
      <c r="C118" s="36"/>
      <c r="D118" s="33"/>
      <c r="E118" s="102">
        <f t="shared" si="10"/>
        <v>0</v>
      </c>
      <c r="F118" s="103" t="str">
        <f t="shared" si="0"/>
        <v>0 tubes and 0 shuttles</v>
      </c>
      <c r="G118" s="36">
        <f t="shared" si="11"/>
        <v>0</v>
      </c>
      <c r="H118" s="104" t="str">
        <f t="shared" si="1"/>
        <v>0 tubes and 0 shuttles</v>
      </c>
      <c r="I118" s="36">
        <f t="shared" si="2"/>
        <v>0</v>
      </c>
      <c r="J118" s="103" t="str">
        <f t="shared" si="3"/>
        <v>0 tubes and 0 shuttles</v>
      </c>
    </row>
    <row r="119" spans="1:10" ht="12.5" x14ac:dyDescent="0.25">
      <c r="A119" s="32">
        <f>'Profit &amp; Loss'!A119</f>
        <v>0</v>
      </c>
      <c r="B119" s="35">
        <f>'Profit &amp; Loss'!B119</f>
        <v>0</v>
      </c>
      <c r="C119" s="36"/>
      <c r="D119" s="33"/>
      <c r="E119" s="102">
        <f t="shared" si="10"/>
        <v>0</v>
      </c>
      <c r="F119" s="103" t="str">
        <f t="shared" si="0"/>
        <v>0 tubes and 0 shuttles</v>
      </c>
      <c r="G119" s="36">
        <f t="shared" si="11"/>
        <v>0</v>
      </c>
      <c r="H119" s="104" t="str">
        <f t="shared" si="1"/>
        <v>0 tubes and 0 shuttles</v>
      </c>
      <c r="I119" s="36">
        <f t="shared" si="2"/>
        <v>0</v>
      </c>
      <c r="J119" s="103" t="str">
        <f t="shared" si="3"/>
        <v>0 tubes and 0 shuttles</v>
      </c>
    </row>
    <row r="120" spans="1:10" ht="12.5" x14ac:dyDescent="0.25">
      <c r="A120" s="32">
        <f>'Profit &amp; Loss'!A120</f>
        <v>0</v>
      </c>
      <c r="B120" s="35">
        <f>'Profit &amp; Loss'!B120</f>
        <v>0</v>
      </c>
      <c r="C120" s="36"/>
      <c r="D120" s="33"/>
      <c r="E120" s="102">
        <f t="shared" si="10"/>
        <v>0</v>
      </c>
      <c r="F120" s="103" t="str">
        <f t="shared" si="0"/>
        <v>0 tubes and 0 shuttles</v>
      </c>
      <c r="G120" s="36">
        <f t="shared" si="11"/>
        <v>0</v>
      </c>
      <c r="H120" s="104" t="str">
        <f t="shared" si="1"/>
        <v>0 tubes and 0 shuttles</v>
      </c>
      <c r="I120" s="36">
        <f t="shared" si="2"/>
        <v>0</v>
      </c>
      <c r="J120" s="103" t="str">
        <f t="shared" si="3"/>
        <v>0 tubes and 0 shuttles</v>
      </c>
    </row>
    <row r="121" spans="1:10" ht="12.5" x14ac:dyDescent="0.25">
      <c r="A121" s="32">
        <f>'Profit &amp; Loss'!A121</f>
        <v>0</v>
      </c>
      <c r="B121" s="35">
        <f>'Profit &amp; Loss'!B121</f>
        <v>0</v>
      </c>
      <c r="C121" s="36"/>
      <c r="D121" s="33"/>
      <c r="E121" s="102">
        <f t="shared" si="10"/>
        <v>0</v>
      </c>
      <c r="F121" s="103" t="str">
        <f t="shared" si="0"/>
        <v>0 tubes and 0 shuttles</v>
      </c>
      <c r="G121" s="36">
        <f t="shared" si="11"/>
        <v>0</v>
      </c>
      <c r="H121" s="104" t="str">
        <f t="shared" si="1"/>
        <v>0 tubes and 0 shuttles</v>
      </c>
      <c r="I121" s="36">
        <f t="shared" si="2"/>
        <v>0</v>
      </c>
      <c r="J121" s="103" t="str">
        <f t="shared" si="3"/>
        <v>0 tubes and 0 shuttles</v>
      </c>
    </row>
    <row r="122" spans="1:10" ht="12.5" x14ac:dyDescent="0.25">
      <c r="A122" s="32">
        <f>'Profit &amp; Loss'!A122</f>
        <v>0</v>
      </c>
      <c r="B122" s="35">
        <f>'Profit &amp; Loss'!B122</f>
        <v>0</v>
      </c>
      <c r="C122" s="36"/>
      <c r="D122" s="33"/>
      <c r="E122" s="102">
        <f t="shared" si="10"/>
        <v>0</v>
      </c>
      <c r="F122" s="103" t="str">
        <f t="shared" si="0"/>
        <v>0 tubes and 0 shuttles</v>
      </c>
      <c r="G122" s="36">
        <f t="shared" si="11"/>
        <v>0</v>
      </c>
      <c r="H122" s="104" t="str">
        <f t="shared" si="1"/>
        <v>0 tubes and 0 shuttles</v>
      </c>
      <c r="I122" s="36">
        <f t="shared" si="2"/>
        <v>0</v>
      </c>
      <c r="J122" s="103" t="str">
        <f t="shared" si="3"/>
        <v>0 tubes and 0 shuttles</v>
      </c>
    </row>
    <row r="123" spans="1:10" ht="12.5" x14ac:dyDescent="0.25">
      <c r="A123" s="32">
        <f>'Profit &amp; Loss'!A123</f>
        <v>0</v>
      </c>
      <c r="B123" s="35">
        <f>'Profit &amp; Loss'!B123</f>
        <v>0</v>
      </c>
      <c r="C123" s="36"/>
      <c r="D123" s="33"/>
      <c r="E123" s="102">
        <f t="shared" si="10"/>
        <v>0</v>
      </c>
      <c r="F123" s="103" t="str">
        <f t="shared" si="0"/>
        <v>0 tubes and 0 shuttles</v>
      </c>
      <c r="G123" s="36">
        <f t="shared" si="11"/>
        <v>0</v>
      </c>
      <c r="H123" s="104" t="str">
        <f t="shared" si="1"/>
        <v>0 tubes and 0 shuttles</v>
      </c>
      <c r="I123" s="36">
        <f t="shared" si="2"/>
        <v>0</v>
      </c>
      <c r="J123" s="103" t="str">
        <f t="shared" si="3"/>
        <v>0 tubes and 0 shuttles</v>
      </c>
    </row>
    <row r="124" spans="1:10" ht="12.5" x14ac:dyDescent="0.25">
      <c r="A124" s="32">
        <f>'Profit &amp; Loss'!A124</f>
        <v>0</v>
      </c>
      <c r="B124" s="35">
        <f>'Profit &amp; Loss'!B124</f>
        <v>0</v>
      </c>
      <c r="C124" s="36"/>
      <c r="D124" s="33"/>
      <c r="E124" s="102">
        <f t="shared" si="10"/>
        <v>0</v>
      </c>
      <c r="F124" s="103" t="str">
        <f t="shared" si="0"/>
        <v>0 tubes and 0 shuttles</v>
      </c>
      <c r="G124" s="36">
        <f t="shared" si="11"/>
        <v>0</v>
      </c>
      <c r="H124" s="104" t="str">
        <f t="shared" si="1"/>
        <v>0 tubes and 0 shuttles</v>
      </c>
      <c r="I124" s="36">
        <f t="shared" si="2"/>
        <v>0</v>
      </c>
      <c r="J124" s="103" t="str">
        <f t="shared" si="3"/>
        <v>0 tubes and 0 shuttles</v>
      </c>
    </row>
    <row r="125" spans="1:10" ht="12.5" x14ac:dyDescent="0.25">
      <c r="A125" s="32">
        <f>'Profit &amp; Loss'!A125</f>
        <v>0</v>
      </c>
      <c r="B125" s="35">
        <f>'Profit &amp; Loss'!B125</f>
        <v>0</v>
      </c>
      <c r="C125" s="36"/>
      <c r="D125" s="33"/>
      <c r="E125" s="102">
        <f t="shared" si="10"/>
        <v>0</v>
      </c>
      <c r="F125" s="103" t="str">
        <f t="shared" si="0"/>
        <v>0 tubes and 0 shuttles</v>
      </c>
      <c r="G125" s="36">
        <f t="shared" si="11"/>
        <v>0</v>
      </c>
      <c r="H125" s="104" t="str">
        <f t="shared" si="1"/>
        <v>0 tubes and 0 shuttles</v>
      </c>
      <c r="I125" s="36">
        <f t="shared" si="2"/>
        <v>0</v>
      </c>
      <c r="J125" s="103" t="str">
        <f t="shared" si="3"/>
        <v>0 tubes and 0 shuttles</v>
      </c>
    </row>
    <row r="126" spans="1:10" ht="12.5" x14ac:dyDescent="0.25">
      <c r="A126" s="32">
        <f>'Profit &amp; Loss'!A126</f>
        <v>0</v>
      </c>
      <c r="B126" s="35">
        <f>'Profit &amp; Loss'!B126</f>
        <v>0</v>
      </c>
      <c r="C126" s="36"/>
      <c r="D126" s="33"/>
      <c r="E126" s="102">
        <f t="shared" si="10"/>
        <v>0</v>
      </c>
      <c r="F126" s="103" t="str">
        <f t="shared" si="0"/>
        <v>0 tubes and 0 shuttles</v>
      </c>
      <c r="G126" s="36">
        <f t="shared" si="11"/>
        <v>0</v>
      </c>
      <c r="H126" s="104" t="str">
        <f t="shared" si="1"/>
        <v>0 tubes and 0 shuttles</v>
      </c>
      <c r="I126" s="36">
        <f t="shared" si="2"/>
        <v>0</v>
      </c>
      <c r="J126" s="103" t="str">
        <f t="shared" si="3"/>
        <v>0 tubes and 0 shuttles</v>
      </c>
    </row>
    <row r="127" spans="1:10" ht="12.5" x14ac:dyDescent="0.25">
      <c r="A127" s="32">
        <f>'Profit &amp; Loss'!A127</f>
        <v>0</v>
      </c>
      <c r="B127" s="35">
        <f>'Profit &amp; Loss'!B127</f>
        <v>0</v>
      </c>
      <c r="C127" s="36"/>
      <c r="D127" s="33"/>
      <c r="E127" s="102">
        <f t="shared" si="10"/>
        <v>0</v>
      </c>
      <c r="F127" s="103" t="str">
        <f t="shared" si="0"/>
        <v>0 tubes and 0 shuttles</v>
      </c>
      <c r="G127" s="36">
        <f t="shared" si="11"/>
        <v>0</v>
      </c>
      <c r="H127" s="104" t="str">
        <f t="shared" si="1"/>
        <v>0 tubes and 0 shuttles</v>
      </c>
      <c r="I127" s="36">
        <f t="shared" si="2"/>
        <v>0</v>
      </c>
      <c r="J127" s="103" t="str">
        <f t="shared" si="3"/>
        <v>0 tubes and 0 shuttles</v>
      </c>
    </row>
    <row r="128" spans="1:10" ht="12.5" x14ac:dyDescent="0.25">
      <c r="A128" s="32">
        <f>'Profit &amp; Loss'!A128</f>
        <v>0</v>
      </c>
      <c r="B128" s="35">
        <f>'Profit &amp; Loss'!B128</f>
        <v>0</v>
      </c>
      <c r="C128" s="36"/>
      <c r="D128" s="33"/>
      <c r="E128" s="102">
        <f t="shared" si="10"/>
        <v>0</v>
      </c>
      <c r="F128" s="103" t="str">
        <f t="shared" si="0"/>
        <v>0 tubes and 0 shuttles</v>
      </c>
      <c r="G128" s="36">
        <f t="shared" si="11"/>
        <v>0</v>
      </c>
      <c r="H128" s="104" t="str">
        <f t="shared" si="1"/>
        <v>0 tubes and 0 shuttles</v>
      </c>
      <c r="I128" s="36">
        <f t="shared" si="2"/>
        <v>0</v>
      </c>
      <c r="J128" s="103" t="str">
        <f t="shared" si="3"/>
        <v>0 tubes and 0 shuttles</v>
      </c>
    </row>
    <row r="129" spans="1:10" ht="12.5" x14ac:dyDescent="0.25">
      <c r="A129" s="32">
        <f>'Profit &amp; Loss'!A129</f>
        <v>0</v>
      </c>
      <c r="B129" s="35">
        <f>'Profit &amp; Loss'!B129</f>
        <v>0</v>
      </c>
      <c r="C129" s="36"/>
      <c r="D129" s="33"/>
      <c r="E129" s="102">
        <f t="shared" si="10"/>
        <v>0</v>
      </c>
      <c r="F129" s="103" t="str">
        <f t="shared" si="0"/>
        <v>0 tubes and 0 shuttles</v>
      </c>
      <c r="G129" s="36">
        <f t="shared" si="11"/>
        <v>0</v>
      </c>
      <c r="H129" s="104" t="str">
        <f t="shared" si="1"/>
        <v>0 tubes and 0 shuttles</v>
      </c>
      <c r="I129" s="36">
        <f t="shared" si="2"/>
        <v>0</v>
      </c>
      <c r="J129" s="103" t="str">
        <f t="shared" si="3"/>
        <v>0 tubes and 0 shuttles</v>
      </c>
    </row>
    <row r="130" spans="1:10" ht="12.5" x14ac:dyDescent="0.25">
      <c r="A130" s="32">
        <f>'Profit &amp; Loss'!A130</f>
        <v>0</v>
      </c>
      <c r="B130" s="35">
        <f>'Profit &amp; Loss'!B130</f>
        <v>0</v>
      </c>
      <c r="C130" s="36"/>
      <c r="D130" s="33"/>
      <c r="E130" s="102">
        <f t="shared" si="10"/>
        <v>0</v>
      </c>
      <c r="F130" s="103" t="str">
        <f t="shared" si="0"/>
        <v>0 tubes and 0 shuttles</v>
      </c>
      <c r="G130" s="36">
        <f t="shared" si="11"/>
        <v>0</v>
      </c>
      <c r="H130" s="104" t="str">
        <f t="shared" si="1"/>
        <v>0 tubes and 0 shuttles</v>
      </c>
      <c r="I130" s="36">
        <f t="shared" si="2"/>
        <v>0</v>
      </c>
      <c r="J130" s="103" t="str">
        <f t="shared" si="3"/>
        <v>0 tubes and 0 shuttles</v>
      </c>
    </row>
    <row r="131" spans="1:10" ht="12.5" x14ac:dyDescent="0.25">
      <c r="A131" s="32">
        <f>'Profit &amp; Loss'!A131</f>
        <v>0</v>
      </c>
      <c r="B131" s="35">
        <f>'Profit &amp; Loss'!B131</f>
        <v>0</v>
      </c>
      <c r="C131" s="36"/>
      <c r="D131" s="33"/>
      <c r="E131" s="102">
        <f t="shared" si="10"/>
        <v>0</v>
      </c>
      <c r="F131" s="103" t="str">
        <f t="shared" si="0"/>
        <v>0 tubes and 0 shuttles</v>
      </c>
      <c r="G131" s="36">
        <f t="shared" si="11"/>
        <v>0</v>
      </c>
      <c r="H131" s="104" t="str">
        <f t="shared" si="1"/>
        <v>0 tubes and 0 shuttles</v>
      </c>
      <c r="I131" s="36">
        <f t="shared" si="2"/>
        <v>0</v>
      </c>
      <c r="J131" s="103" t="str">
        <f t="shared" si="3"/>
        <v>0 tubes and 0 shuttles</v>
      </c>
    </row>
    <row r="132" spans="1:10" ht="12.5" x14ac:dyDescent="0.25">
      <c r="A132" s="32">
        <f>'Profit &amp; Loss'!A132</f>
        <v>0</v>
      </c>
      <c r="B132" s="35">
        <f>'Profit &amp; Loss'!B132</f>
        <v>0</v>
      </c>
      <c r="C132" s="36"/>
      <c r="D132" s="33"/>
      <c r="E132" s="102">
        <f t="shared" si="10"/>
        <v>0</v>
      </c>
      <c r="F132" s="103" t="str">
        <f t="shared" si="0"/>
        <v>0 tubes and 0 shuttles</v>
      </c>
      <c r="G132" s="36">
        <f t="shared" si="11"/>
        <v>0</v>
      </c>
      <c r="H132" s="104" t="str">
        <f t="shared" si="1"/>
        <v>0 tubes and 0 shuttles</v>
      </c>
      <c r="I132" s="36">
        <f t="shared" si="2"/>
        <v>0</v>
      </c>
      <c r="J132" s="103" t="str">
        <f t="shared" si="3"/>
        <v>0 tubes and 0 shuttles</v>
      </c>
    </row>
    <row r="133" spans="1:10" ht="12.5" x14ac:dyDescent="0.25">
      <c r="A133" s="32">
        <f>'Profit &amp; Loss'!A133</f>
        <v>0</v>
      </c>
      <c r="B133" s="35">
        <f>'Profit &amp; Loss'!B133</f>
        <v>0</v>
      </c>
      <c r="C133" s="36"/>
      <c r="D133" s="33"/>
      <c r="E133" s="102">
        <f t="shared" si="10"/>
        <v>0</v>
      </c>
      <c r="F133" s="103" t="str">
        <f t="shared" si="0"/>
        <v>0 tubes and 0 shuttles</v>
      </c>
      <c r="G133" s="36">
        <f t="shared" si="11"/>
        <v>0</v>
      </c>
      <c r="H133" s="104" t="str">
        <f t="shared" si="1"/>
        <v>0 tubes and 0 shuttles</v>
      </c>
      <c r="I133" s="36">
        <f t="shared" si="2"/>
        <v>0</v>
      </c>
      <c r="J133" s="103" t="str">
        <f t="shared" si="3"/>
        <v>0 tubes and 0 shuttles</v>
      </c>
    </row>
    <row r="134" spans="1:10" ht="12.5" x14ac:dyDescent="0.25">
      <c r="A134" s="32">
        <f>'Profit &amp; Loss'!A134</f>
        <v>0</v>
      </c>
      <c r="B134" s="35">
        <f>'Profit &amp; Loss'!B134</f>
        <v>0</v>
      </c>
      <c r="C134" s="36"/>
      <c r="D134" s="33"/>
      <c r="E134" s="102">
        <f t="shared" si="10"/>
        <v>0</v>
      </c>
      <c r="F134" s="103" t="str">
        <f t="shared" si="0"/>
        <v>0 tubes and 0 shuttles</v>
      </c>
      <c r="G134" s="36">
        <f t="shared" si="11"/>
        <v>0</v>
      </c>
      <c r="H134" s="104" t="str">
        <f t="shared" si="1"/>
        <v>0 tubes and 0 shuttles</v>
      </c>
      <c r="I134" s="36">
        <f t="shared" si="2"/>
        <v>0</v>
      </c>
      <c r="J134" s="103" t="str">
        <f t="shared" si="3"/>
        <v>0 tubes and 0 shuttles</v>
      </c>
    </row>
    <row r="135" spans="1:10" ht="12.5" x14ac:dyDescent="0.25">
      <c r="A135" s="32">
        <f>'Profit &amp; Loss'!A135</f>
        <v>0</v>
      </c>
      <c r="B135" s="35">
        <f>'Profit &amp; Loss'!B135</f>
        <v>0</v>
      </c>
      <c r="C135" s="36"/>
      <c r="D135" s="33"/>
      <c r="E135" s="102">
        <f t="shared" si="10"/>
        <v>0</v>
      </c>
      <c r="F135" s="103" t="str">
        <f t="shared" si="0"/>
        <v>0 tubes and 0 shuttles</v>
      </c>
      <c r="G135" s="36">
        <f t="shared" si="11"/>
        <v>0</v>
      </c>
      <c r="H135" s="104" t="str">
        <f t="shared" si="1"/>
        <v>0 tubes and 0 shuttles</v>
      </c>
      <c r="I135" s="36">
        <f t="shared" si="2"/>
        <v>0</v>
      </c>
      <c r="J135" s="103" t="str">
        <f t="shared" si="3"/>
        <v>0 tubes and 0 shuttles</v>
      </c>
    </row>
    <row r="136" spans="1:10" ht="12.5" x14ac:dyDescent="0.25">
      <c r="A136" s="32">
        <f>'Profit &amp; Loss'!A136</f>
        <v>0</v>
      </c>
      <c r="B136" s="35">
        <f>'Profit &amp; Loss'!B136</f>
        <v>0</v>
      </c>
      <c r="C136" s="36"/>
      <c r="D136" s="33"/>
      <c r="E136" s="102">
        <f t="shared" si="10"/>
        <v>0</v>
      </c>
      <c r="F136" s="103" t="str">
        <f t="shared" si="0"/>
        <v>0 tubes and 0 shuttles</v>
      </c>
      <c r="G136" s="36">
        <f t="shared" si="11"/>
        <v>0</v>
      </c>
      <c r="H136" s="104" t="str">
        <f t="shared" si="1"/>
        <v>0 tubes and 0 shuttles</v>
      </c>
      <c r="I136" s="36">
        <f t="shared" si="2"/>
        <v>0</v>
      </c>
      <c r="J136" s="103" t="str">
        <f t="shared" si="3"/>
        <v>0 tubes and 0 shuttles</v>
      </c>
    </row>
    <row r="137" spans="1:10" ht="12.5" x14ac:dyDescent="0.25">
      <c r="A137" s="32">
        <f>'Profit &amp; Loss'!A137</f>
        <v>0</v>
      </c>
      <c r="B137" s="35">
        <f>'Profit &amp; Loss'!B137</f>
        <v>0</v>
      </c>
      <c r="C137" s="36"/>
      <c r="D137" s="33"/>
      <c r="E137" s="102">
        <f t="shared" si="10"/>
        <v>0</v>
      </c>
      <c r="F137" s="103" t="str">
        <f t="shared" si="0"/>
        <v>0 tubes and 0 shuttles</v>
      </c>
      <c r="G137" s="36">
        <f t="shared" si="11"/>
        <v>0</v>
      </c>
      <c r="H137" s="104" t="str">
        <f t="shared" si="1"/>
        <v>0 tubes and 0 shuttles</v>
      </c>
      <c r="I137" s="36">
        <f t="shared" si="2"/>
        <v>0</v>
      </c>
      <c r="J137" s="103" t="str">
        <f t="shared" si="3"/>
        <v>0 tubes and 0 shuttles</v>
      </c>
    </row>
    <row r="138" spans="1:10" ht="12.5" x14ac:dyDescent="0.25">
      <c r="A138" s="32">
        <f>'Profit &amp; Loss'!A138</f>
        <v>0</v>
      </c>
      <c r="B138" s="35">
        <f>'Profit &amp; Loss'!B138</f>
        <v>0</v>
      </c>
      <c r="C138" s="36"/>
      <c r="D138" s="33"/>
      <c r="E138" s="102">
        <f t="shared" si="10"/>
        <v>0</v>
      </c>
      <c r="F138" s="103" t="str">
        <f t="shared" si="0"/>
        <v>0 tubes and 0 shuttles</v>
      </c>
      <c r="G138" s="36">
        <f t="shared" si="11"/>
        <v>0</v>
      </c>
      <c r="H138" s="104" t="str">
        <f t="shared" si="1"/>
        <v>0 tubes and 0 shuttles</v>
      </c>
      <c r="I138" s="36">
        <f t="shared" si="2"/>
        <v>0</v>
      </c>
      <c r="J138" s="103" t="str">
        <f t="shared" si="3"/>
        <v>0 tubes and 0 shuttles</v>
      </c>
    </row>
    <row r="139" spans="1:10" ht="12.5" x14ac:dyDescent="0.25">
      <c r="A139" s="32">
        <f>'Profit &amp; Loss'!A139</f>
        <v>0</v>
      </c>
      <c r="B139" s="35">
        <f>'Profit &amp; Loss'!B139</f>
        <v>0</v>
      </c>
      <c r="C139" s="36"/>
      <c r="D139" s="33"/>
      <c r="E139" s="102">
        <f t="shared" si="10"/>
        <v>0</v>
      </c>
      <c r="F139" s="103" t="str">
        <f t="shared" si="0"/>
        <v>0 tubes and 0 shuttles</v>
      </c>
      <c r="G139" s="36">
        <f t="shared" si="11"/>
        <v>0</v>
      </c>
      <c r="H139" s="104" t="str">
        <f t="shared" si="1"/>
        <v>0 tubes and 0 shuttles</v>
      </c>
      <c r="I139" s="36">
        <f t="shared" si="2"/>
        <v>0</v>
      </c>
      <c r="J139" s="103" t="str">
        <f t="shared" si="3"/>
        <v>0 tubes and 0 shuttles</v>
      </c>
    </row>
    <row r="140" spans="1:10" ht="12.5" x14ac:dyDescent="0.25">
      <c r="A140" s="32">
        <f>'Profit &amp; Loss'!A140</f>
        <v>0</v>
      </c>
      <c r="B140" s="35">
        <f>'Profit &amp; Loss'!B140</f>
        <v>0</v>
      </c>
      <c r="C140" s="36"/>
      <c r="D140" s="33"/>
      <c r="E140" s="102">
        <f t="shared" si="10"/>
        <v>0</v>
      </c>
      <c r="F140" s="103" t="str">
        <f t="shared" si="0"/>
        <v>0 tubes and 0 shuttles</v>
      </c>
      <c r="G140" s="36">
        <f t="shared" si="11"/>
        <v>0</v>
      </c>
      <c r="H140" s="104" t="str">
        <f t="shared" si="1"/>
        <v>0 tubes and 0 shuttles</v>
      </c>
      <c r="I140" s="36">
        <f t="shared" si="2"/>
        <v>0</v>
      </c>
      <c r="J140" s="103" t="str">
        <f t="shared" si="3"/>
        <v>0 tubes and 0 shuttles</v>
      </c>
    </row>
    <row r="141" spans="1:10" ht="12.5" x14ac:dyDescent="0.25">
      <c r="A141" s="32">
        <f>'Profit &amp; Loss'!A141</f>
        <v>0</v>
      </c>
      <c r="B141" s="35">
        <f>'Profit &amp; Loss'!B141</f>
        <v>0</v>
      </c>
      <c r="C141" s="36"/>
      <c r="D141" s="33"/>
      <c r="E141" s="102">
        <f t="shared" si="10"/>
        <v>0</v>
      </c>
      <c r="F141" s="103" t="str">
        <f t="shared" si="0"/>
        <v>0 tubes and 0 shuttles</v>
      </c>
      <c r="G141" s="36">
        <f t="shared" si="11"/>
        <v>0</v>
      </c>
      <c r="H141" s="104" t="str">
        <f t="shared" si="1"/>
        <v>0 tubes and 0 shuttles</v>
      </c>
      <c r="I141" s="36">
        <f t="shared" si="2"/>
        <v>0</v>
      </c>
      <c r="J141" s="103" t="str">
        <f t="shared" si="3"/>
        <v>0 tubes and 0 shuttles</v>
      </c>
    </row>
    <row r="142" spans="1:10" ht="12.5" x14ac:dyDescent="0.25">
      <c r="A142" s="32">
        <f>'Profit &amp; Loss'!A142</f>
        <v>0</v>
      </c>
      <c r="B142" s="35">
        <f>'Profit &amp; Loss'!B142</f>
        <v>0</v>
      </c>
      <c r="C142" s="36"/>
      <c r="D142" s="33"/>
      <c r="E142" s="102">
        <f t="shared" si="10"/>
        <v>0</v>
      </c>
      <c r="F142" s="103" t="str">
        <f t="shared" si="0"/>
        <v>0 tubes and 0 shuttles</v>
      </c>
      <c r="G142" s="36">
        <f t="shared" si="11"/>
        <v>0</v>
      </c>
      <c r="H142" s="104" t="str">
        <f t="shared" si="1"/>
        <v>0 tubes and 0 shuttles</v>
      </c>
      <c r="I142" s="36">
        <f t="shared" si="2"/>
        <v>0</v>
      </c>
      <c r="J142" s="103" t="str">
        <f t="shared" si="3"/>
        <v>0 tubes and 0 shuttles</v>
      </c>
    </row>
    <row r="143" spans="1:10" ht="12.5" x14ac:dyDescent="0.25">
      <c r="A143" s="32">
        <f>'Profit &amp; Loss'!A143</f>
        <v>0</v>
      </c>
      <c r="B143" s="35">
        <f>'Profit &amp; Loss'!B143</f>
        <v>0</v>
      </c>
      <c r="C143" s="36"/>
      <c r="D143" s="33"/>
      <c r="E143" s="102">
        <f t="shared" si="10"/>
        <v>0</v>
      </c>
      <c r="F143" s="103" t="str">
        <f t="shared" si="0"/>
        <v>0 tubes and 0 shuttles</v>
      </c>
      <c r="G143" s="36">
        <f t="shared" si="11"/>
        <v>0</v>
      </c>
      <c r="H143" s="104" t="str">
        <f t="shared" si="1"/>
        <v>0 tubes and 0 shuttles</v>
      </c>
      <c r="I143" s="36">
        <f t="shared" si="2"/>
        <v>0</v>
      </c>
      <c r="J143" s="103" t="str">
        <f t="shared" si="3"/>
        <v>0 tubes and 0 shuttles</v>
      </c>
    </row>
    <row r="144" spans="1:10" ht="12.5" x14ac:dyDescent="0.25">
      <c r="A144" s="32">
        <f>'Profit &amp; Loss'!A144</f>
        <v>0</v>
      </c>
      <c r="B144" s="35">
        <f>'Profit &amp; Loss'!B144</f>
        <v>0</v>
      </c>
      <c r="C144" s="36"/>
      <c r="D144" s="33"/>
      <c r="E144" s="102">
        <f t="shared" si="10"/>
        <v>0</v>
      </c>
      <c r="F144" s="103" t="str">
        <f t="shared" si="0"/>
        <v>0 tubes and 0 shuttles</v>
      </c>
      <c r="G144" s="36">
        <f t="shared" si="11"/>
        <v>0</v>
      </c>
      <c r="H144" s="104" t="str">
        <f t="shared" si="1"/>
        <v>0 tubes and 0 shuttles</v>
      </c>
      <c r="I144" s="36">
        <f t="shared" si="2"/>
        <v>0</v>
      </c>
      <c r="J144" s="103" t="str">
        <f t="shared" si="3"/>
        <v>0 tubes and 0 shuttles</v>
      </c>
    </row>
    <row r="145" spans="1:10" ht="12.5" x14ac:dyDescent="0.25">
      <c r="A145" s="32">
        <f>'Profit &amp; Loss'!A145</f>
        <v>0</v>
      </c>
      <c r="B145" s="35">
        <f>'Profit &amp; Loss'!B145</f>
        <v>0</v>
      </c>
      <c r="C145" s="36"/>
      <c r="D145" s="33"/>
      <c r="E145" s="102">
        <f t="shared" si="10"/>
        <v>0</v>
      </c>
      <c r="F145" s="103" t="str">
        <f t="shared" si="0"/>
        <v>0 tubes and 0 shuttles</v>
      </c>
      <c r="G145" s="36">
        <f t="shared" si="11"/>
        <v>0</v>
      </c>
      <c r="H145" s="104" t="str">
        <f t="shared" si="1"/>
        <v>0 tubes and 0 shuttles</v>
      </c>
      <c r="I145" s="36">
        <f t="shared" si="2"/>
        <v>0</v>
      </c>
      <c r="J145" s="103" t="str">
        <f t="shared" si="3"/>
        <v>0 tubes and 0 shuttles</v>
      </c>
    </row>
    <row r="146" spans="1:10" ht="12.5" x14ac:dyDescent="0.25">
      <c r="A146" s="32">
        <f>'Profit &amp; Loss'!A146</f>
        <v>0</v>
      </c>
      <c r="B146" s="35">
        <f>'Profit &amp; Loss'!B146</f>
        <v>0</v>
      </c>
      <c r="C146" s="36"/>
      <c r="D146" s="33"/>
      <c r="E146" s="102">
        <f t="shared" si="10"/>
        <v>0</v>
      </c>
      <c r="F146" s="103" t="str">
        <f t="shared" si="0"/>
        <v>0 tubes and 0 shuttles</v>
      </c>
      <c r="G146" s="36">
        <f t="shared" si="11"/>
        <v>0</v>
      </c>
      <c r="H146" s="104" t="str">
        <f t="shared" si="1"/>
        <v>0 tubes and 0 shuttles</v>
      </c>
      <c r="I146" s="36">
        <f t="shared" si="2"/>
        <v>0</v>
      </c>
      <c r="J146" s="103" t="str">
        <f t="shared" si="3"/>
        <v>0 tubes and 0 shuttles</v>
      </c>
    </row>
    <row r="147" spans="1:10" ht="12.5" x14ac:dyDescent="0.25">
      <c r="A147" s="32">
        <f>'Profit &amp; Loss'!A147</f>
        <v>0</v>
      </c>
      <c r="B147" s="35">
        <f>'Profit &amp; Loss'!B147</f>
        <v>0</v>
      </c>
      <c r="C147" s="36"/>
      <c r="D147" s="33"/>
      <c r="E147" s="102">
        <f t="shared" si="10"/>
        <v>0</v>
      </c>
      <c r="F147" s="103" t="str">
        <f t="shared" si="0"/>
        <v>0 tubes and 0 shuttles</v>
      </c>
      <c r="G147" s="36">
        <f t="shared" si="11"/>
        <v>0</v>
      </c>
      <c r="H147" s="104" t="str">
        <f t="shared" si="1"/>
        <v>0 tubes and 0 shuttles</v>
      </c>
      <c r="I147" s="36">
        <f t="shared" si="2"/>
        <v>0</v>
      </c>
      <c r="J147" s="103" t="str">
        <f t="shared" si="3"/>
        <v>0 tubes and 0 shuttles</v>
      </c>
    </row>
    <row r="148" spans="1:10" ht="12.5" x14ac:dyDescent="0.25">
      <c r="A148" s="32">
        <f>'Profit &amp; Loss'!A148</f>
        <v>0</v>
      </c>
      <c r="B148" s="35">
        <f>'Profit &amp; Loss'!B148</f>
        <v>0</v>
      </c>
      <c r="C148" s="36"/>
      <c r="D148" s="33"/>
      <c r="E148" s="102">
        <f t="shared" si="10"/>
        <v>0</v>
      </c>
      <c r="F148" s="103" t="str">
        <f t="shared" si="0"/>
        <v>0 tubes and 0 shuttles</v>
      </c>
      <c r="G148" s="36">
        <f t="shared" si="11"/>
        <v>0</v>
      </c>
      <c r="H148" s="104" t="str">
        <f t="shared" si="1"/>
        <v>0 tubes and 0 shuttles</v>
      </c>
      <c r="I148" s="36">
        <f t="shared" si="2"/>
        <v>0</v>
      </c>
      <c r="J148" s="103" t="str">
        <f t="shared" si="3"/>
        <v>0 tubes and 0 shuttles</v>
      </c>
    </row>
    <row r="149" spans="1:10" ht="12.5" x14ac:dyDescent="0.25">
      <c r="A149" s="32">
        <f>'Profit &amp; Loss'!A149</f>
        <v>0</v>
      </c>
      <c r="B149" s="35">
        <f>'Profit &amp; Loss'!B149</f>
        <v>0</v>
      </c>
      <c r="C149" s="36"/>
      <c r="D149" s="33"/>
      <c r="E149" s="102">
        <f t="shared" si="10"/>
        <v>0</v>
      </c>
      <c r="F149" s="103" t="str">
        <f t="shared" si="0"/>
        <v>0 tubes and 0 shuttles</v>
      </c>
      <c r="G149" s="36">
        <f t="shared" si="11"/>
        <v>0</v>
      </c>
      <c r="H149" s="104" t="str">
        <f t="shared" si="1"/>
        <v>0 tubes and 0 shuttles</v>
      </c>
      <c r="I149" s="36">
        <f t="shared" si="2"/>
        <v>0</v>
      </c>
      <c r="J149" s="103" t="str">
        <f t="shared" si="3"/>
        <v>0 tubes and 0 shuttles</v>
      </c>
    </row>
    <row r="150" spans="1:10" ht="12.5" x14ac:dyDescent="0.25">
      <c r="A150" s="32">
        <f>'Profit &amp; Loss'!A150</f>
        <v>0</v>
      </c>
      <c r="B150" s="35">
        <f>'Profit &amp; Loss'!B150</f>
        <v>0</v>
      </c>
      <c r="C150" s="36"/>
      <c r="D150" s="33"/>
      <c r="E150" s="102">
        <f t="shared" si="10"/>
        <v>0</v>
      </c>
      <c r="F150" s="103" t="str">
        <f t="shared" si="0"/>
        <v>0 tubes and 0 shuttles</v>
      </c>
      <c r="G150" s="36">
        <f t="shared" si="11"/>
        <v>0</v>
      </c>
      <c r="H150" s="104" t="str">
        <f t="shared" si="1"/>
        <v>0 tubes and 0 shuttles</v>
      </c>
      <c r="I150" s="36">
        <f t="shared" si="2"/>
        <v>0</v>
      </c>
      <c r="J150" s="103" t="str">
        <f t="shared" si="3"/>
        <v>0 tubes and 0 shuttles</v>
      </c>
    </row>
    <row r="151" spans="1:10" ht="12.5" x14ac:dyDescent="0.25">
      <c r="A151" s="32">
        <f>'Profit &amp; Loss'!A151</f>
        <v>0</v>
      </c>
      <c r="B151" s="35">
        <f>'Profit &amp; Loss'!B151</f>
        <v>0</v>
      </c>
      <c r="C151" s="36"/>
      <c r="D151" s="33"/>
      <c r="E151" s="102">
        <f t="shared" si="10"/>
        <v>0</v>
      </c>
      <c r="F151" s="103" t="str">
        <f t="shared" si="0"/>
        <v>0 tubes and 0 shuttles</v>
      </c>
      <c r="G151" s="36">
        <f t="shared" si="11"/>
        <v>0</v>
      </c>
      <c r="H151" s="104" t="str">
        <f t="shared" si="1"/>
        <v>0 tubes and 0 shuttles</v>
      </c>
      <c r="I151" s="36">
        <f t="shared" si="2"/>
        <v>0</v>
      </c>
      <c r="J151" s="103" t="str">
        <f t="shared" si="3"/>
        <v>0 tubes and 0 shuttles</v>
      </c>
    </row>
    <row r="152" spans="1:10" ht="12.5" x14ac:dyDescent="0.25">
      <c r="A152" s="32">
        <f>'Profit &amp; Loss'!A152</f>
        <v>0</v>
      </c>
      <c r="B152" s="35">
        <f>'Profit &amp; Loss'!B152</f>
        <v>0</v>
      </c>
      <c r="C152" s="36"/>
      <c r="D152" s="33"/>
      <c r="E152" s="102">
        <f t="shared" si="10"/>
        <v>0</v>
      </c>
      <c r="F152" s="103" t="str">
        <f t="shared" si="0"/>
        <v>0 tubes and 0 shuttles</v>
      </c>
      <c r="G152" s="36">
        <f t="shared" si="11"/>
        <v>0</v>
      </c>
      <c r="H152" s="104" t="str">
        <f t="shared" si="1"/>
        <v>0 tubes and 0 shuttles</v>
      </c>
      <c r="I152" s="36">
        <f t="shared" si="2"/>
        <v>0</v>
      </c>
      <c r="J152" s="103" t="str">
        <f t="shared" si="3"/>
        <v>0 tubes and 0 shuttles</v>
      </c>
    </row>
    <row r="153" spans="1:10" ht="12.5" x14ac:dyDescent="0.25">
      <c r="A153" s="32">
        <f>'Profit &amp; Loss'!A153</f>
        <v>0</v>
      </c>
      <c r="B153" s="35">
        <f>'Profit &amp; Loss'!B153</f>
        <v>0</v>
      </c>
      <c r="C153" s="36"/>
      <c r="D153" s="33"/>
      <c r="E153" s="102">
        <f t="shared" si="10"/>
        <v>0</v>
      </c>
      <c r="F153" s="103" t="str">
        <f t="shared" si="0"/>
        <v>0 tubes and 0 shuttles</v>
      </c>
      <c r="G153" s="36">
        <f t="shared" si="11"/>
        <v>0</v>
      </c>
      <c r="H153" s="104" t="str">
        <f t="shared" si="1"/>
        <v>0 tubes and 0 shuttles</v>
      </c>
      <c r="I153" s="36">
        <f t="shared" si="2"/>
        <v>0</v>
      </c>
      <c r="J153" s="103" t="str">
        <f t="shared" si="3"/>
        <v>0 tubes and 0 shuttles</v>
      </c>
    </row>
    <row r="154" spans="1:10" ht="12.5" x14ac:dyDescent="0.25">
      <c r="A154" s="32">
        <f>'Profit &amp; Loss'!A154</f>
        <v>0</v>
      </c>
      <c r="B154" s="35">
        <f>'Profit &amp; Loss'!B154</f>
        <v>0</v>
      </c>
      <c r="C154" s="36"/>
      <c r="D154" s="33"/>
      <c r="E154" s="102">
        <f t="shared" si="10"/>
        <v>0</v>
      </c>
      <c r="F154" s="103" t="str">
        <f t="shared" si="0"/>
        <v>0 tubes and 0 shuttles</v>
      </c>
      <c r="G154" s="36">
        <f t="shared" si="11"/>
        <v>0</v>
      </c>
      <c r="H154" s="104" t="str">
        <f t="shared" si="1"/>
        <v>0 tubes and 0 shuttles</v>
      </c>
      <c r="I154" s="36">
        <f t="shared" si="2"/>
        <v>0</v>
      </c>
      <c r="J154" s="103" t="str">
        <f t="shared" si="3"/>
        <v>0 tubes and 0 shuttles</v>
      </c>
    </row>
    <row r="155" spans="1:10" ht="12.5" x14ac:dyDescent="0.25">
      <c r="A155" s="32">
        <f>'Profit &amp; Loss'!A155</f>
        <v>0</v>
      </c>
      <c r="B155" s="35">
        <f>'Profit &amp; Loss'!B155</f>
        <v>0</v>
      </c>
      <c r="C155" s="36"/>
      <c r="D155" s="33"/>
      <c r="E155" s="102">
        <f t="shared" si="10"/>
        <v>0</v>
      </c>
      <c r="F155" s="103" t="str">
        <f t="shared" si="0"/>
        <v>0 tubes and 0 shuttles</v>
      </c>
      <c r="G155" s="36">
        <f t="shared" si="11"/>
        <v>0</v>
      </c>
      <c r="H155" s="104" t="str">
        <f t="shared" si="1"/>
        <v>0 tubes and 0 shuttles</v>
      </c>
      <c r="I155" s="36">
        <f t="shared" si="2"/>
        <v>0</v>
      </c>
      <c r="J155" s="103" t="str">
        <f t="shared" si="3"/>
        <v>0 tubes and 0 shuttles</v>
      </c>
    </row>
    <row r="156" spans="1:10" ht="12.5" x14ac:dyDescent="0.25">
      <c r="A156" s="32">
        <f>'Profit &amp; Loss'!A156</f>
        <v>0</v>
      </c>
      <c r="B156" s="35">
        <f>'Profit &amp; Loss'!B156</f>
        <v>0</v>
      </c>
      <c r="C156" s="36"/>
      <c r="D156" s="33"/>
      <c r="E156" s="102">
        <f t="shared" si="10"/>
        <v>0</v>
      </c>
      <c r="F156" s="103" t="str">
        <f t="shared" si="0"/>
        <v>0 tubes and 0 shuttles</v>
      </c>
      <c r="G156" s="36">
        <f t="shared" si="11"/>
        <v>0</v>
      </c>
      <c r="H156" s="104" t="str">
        <f t="shared" si="1"/>
        <v>0 tubes and 0 shuttles</v>
      </c>
      <c r="I156" s="36">
        <f t="shared" si="2"/>
        <v>0</v>
      </c>
      <c r="J156" s="103" t="str">
        <f t="shared" si="3"/>
        <v>0 tubes and 0 shuttles</v>
      </c>
    </row>
    <row r="157" spans="1:10" ht="12.5" x14ac:dyDescent="0.25">
      <c r="A157" s="32">
        <f>'Profit &amp; Loss'!A157</f>
        <v>0</v>
      </c>
      <c r="B157" s="35">
        <f>'Profit &amp; Loss'!B157</f>
        <v>0</v>
      </c>
      <c r="C157" s="36"/>
      <c r="D157" s="33"/>
      <c r="E157" s="102">
        <f t="shared" si="10"/>
        <v>0</v>
      </c>
      <c r="F157" s="103" t="str">
        <f t="shared" si="0"/>
        <v>0 tubes and 0 shuttles</v>
      </c>
      <c r="G157" s="36">
        <f t="shared" si="11"/>
        <v>0</v>
      </c>
      <c r="H157" s="104" t="str">
        <f t="shared" si="1"/>
        <v>0 tubes and 0 shuttles</v>
      </c>
      <c r="I157" s="36">
        <f t="shared" si="2"/>
        <v>0</v>
      </c>
      <c r="J157" s="103" t="str">
        <f t="shared" si="3"/>
        <v>0 tubes and 0 shuttles</v>
      </c>
    </row>
    <row r="158" spans="1:10" ht="12.5" x14ac:dyDescent="0.25">
      <c r="A158" s="32">
        <f>'Profit &amp; Loss'!A158</f>
        <v>0</v>
      </c>
      <c r="B158" s="35">
        <f>'Profit &amp; Loss'!B158</f>
        <v>0</v>
      </c>
      <c r="C158" s="36"/>
      <c r="D158" s="33"/>
      <c r="E158" s="102">
        <f t="shared" si="10"/>
        <v>0</v>
      </c>
      <c r="F158" s="103" t="str">
        <f t="shared" si="0"/>
        <v>0 tubes and 0 shuttles</v>
      </c>
      <c r="G158" s="36">
        <f t="shared" si="11"/>
        <v>0</v>
      </c>
      <c r="H158" s="104" t="str">
        <f t="shared" si="1"/>
        <v>0 tubes and 0 shuttles</v>
      </c>
      <c r="I158" s="36">
        <f t="shared" si="2"/>
        <v>0</v>
      </c>
      <c r="J158" s="103" t="str">
        <f t="shared" si="3"/>
        <v>0 tubes and 0 shuttles</v>
      </c>
    </row>
    <row r="159" spans="1:10" ht="12.5" x14ac:dyDescent="0.25">
      <c r="A159" s="32">
        <f>'Profit &amp; Loss'!A159</f>
        <v>0</v>
      </c>
      <c r="B159" s="35">
        <f>'Profit &amp; Loss'!B159</f>
        <v>0</v>
      </c>
      <c r="C159" s="36"/>
      <c r="D159" s="33"/>
      <c r="E159" s="102">
        <f t="shared" si="10"/>
        <v>0</v>
      </c>
      <c r="F159" s="103" t="str">
        <f t="shared" si="0"/>
        <v>0 tubes and 0 shuttles</v>
      </c>
      <c r="G159" s="36">
        <f t="shared" si="11"/>
        <v>0</v>
      </c>
      <c r="H159" s="104" t="str">
        <f t="shared" si="1"/>
        <v>0 tubes and 0 shuttles</v>
      </c>
      <c r="I159" s="36">
        <f t="shared" si="2"/>
        <v>0</v>
      </c>
      <c r="J159" s="103" t="str">
        <f t="shared" si="3"/>
        <v>0 tubes and 0 shuttles</v>
      </c>
    </row>
    <row r="160" spans="1:10" ht="12.5" x14ac:dyDescent="0.25">
      <c r="A160" s="32">
        <f>'Profit &amp; Loss'!A160</f>
        <v>0</v>
      </c>
      <c r="B160" s="35">
        <f>'Profit &amp; Loss'!B160</f>
        <v>0</v>
      </c>
      <c r="C160" s="36"/>
      <c r="D160" s="33"/>
      <c r="E160" s="102">
        <f t="shared" si="10"/>
        <v>0</v>
      </c>
      <c r="F160" s="103" t="str">
        <f t="shared" si="0"/>
        <v>0 tubes and 0 shuttles</v>
      </c>
      <c r="G160" s="36">
        <f t="shared" si="11"/>
        <v>0</v>
      </c>
      <c r="H160" s="104" t="str">
        <f t="shared" si="1"/>
        <v>0 tubes and 0 shuttles</v>
      </c>
      <c r="I160" s="36">
        <f t="shared" si="2"/>
        <v>0</v>
      </c>
      <c r="J160" s="103" t="str">
        <f t="shared" si="3"/>
        <v>0 tubes and 0 shuttles</v>
      </c>
    </row>
    <row r="161" spans="1:10" ht="12.5" x14ac:dyDescent="0.25">
      <c r="A161" s="32">
        <f>'Profit &amp; Loss'!A161</f>
        <v>0</v>
      </c>
      <c r="B161" s="35">
        <f>'Profit &amp; Loss'!B161</f>
        <v>0</v>
      </c>
      <c r="C161" s="36"/>
      <c r="D161" s="33"/>
      <c r="E161" s="102">
        <f t="shared" si="10"/>
        <v>0</v>
      </c>
      <c r="F161" s="103" t="str">
        <f t="shared" si="0"/>
        <v>0 tubes and 0 shuttles</v>
      </c>
      <c r="G161" s="36">
        <f t="shared" si="11"/>
        <v>0</v>
      </c>
      <c r="H161" s="104" t="str">
        <f t="shared" si="1"/>
        <v>0 tubes and 0 shuttles</v>
      </c>
      <c r="I161" s="36">
        <f t="shared" si="2"/>
        <v>0</v>
      </c>
      <c r="J161" s="103" t="str">
        <f t="shared" si="3"/>
        <v>0 tubes and 0 shuttles</v>
      </c>
    </row>
    <row r="162" spans="1:10" ht="12.5" x14ac:dyDescent="0.25">
      <c r="A162" s="32">
        <f>'Profit &amp; Loss'!A162</f>
        <v>0</v>
      </c>
      <c r="B162" s="35">
        <f>'Profit &amp; Loss'!B162</f>
        <v>0</v>
      </c>
      <c r="C162" s="36"/>
      <c r="D162" s="33"/>
      <c r="E162" s="102">
        <f t="shared" si="10"/>
        <v>0</v>
      </c>
      <c r="F162" s="103" t="str">
        <f t="shared" si="0"/>
        <v>0 tubes and 0 shuttles</v>
      </c>
      <c r="G162" s="36">
        <f t="shared" si="11"/>
        <v>0</v>
      </c>
      <c r="H162" s="104" t="str">
        <f t="shared" si="1"/>
        <v>0 tubes and 0 shuttles</v>
      </c>
      <c r="I162" s="36">
        <f t="shared" si="2"/>
        <v>0</v>
      </c>
      <c r="J162" s="103" t="str">
        <f t="shared" si="3"/>
        <v>0 tubes and 0 shuttles</v>
      </c>
    </row>
    <row r="163" spans="1:10" ht="12.5" x14ac:dyDescent="0.25">
      <c r="A163" s="32">
        <f>'Profit &amp; Loss'!A163</f>
        <v>0</v>
      </c>
      <c r="B163" s="35">
        <f>'Profit &amp; Loss'!B163</f>
        <v>0</v>
      </c>
      <c r="C163" s="36"/>
      <c r="D163" s="33"/>
      <c r="E163" s="102">
        <f t="shared" si="10"/>
        <v>0</v>
      </c>
      <c r="F163" s="103" t="str">
        <f t="shared" si="0"/>
        <v>0 tubes and 0 shuttles</v>
      </c>
      <c r="G163" s="36">
        <f t="shared" si="11"/>
        <v>0</v>
      </c>
      <c r="H163" s="104" t="str">
        <f t="shared" si="1"/>
        <v>0 tubes and 0 shuttles</v>
      </c>
      <c r="I163" s="36">
        <f t="shared" si="2"/>
        <v>0</v>
      </c>
      <c r="J163" s="103" t="str">
        <f t="shared" si="3"/>
        <v>0 tubes and 0 shuttles</v>
      </c>
    </row>
    <row r="164" spans="1:10" ht="12.5" x14ac:dyDescent="0.25">
      <c r="A164" s="32">
        <f>'Profit &amp; Loss'!A164</f>
        <v>0</v>
      </c>
      <c r="B164" s="35">
        <f>'Profit &amp; Loss'!B164</f>
        <v>0</v>
      </c>
      <c r="C164" s="36"/>
      <c r="D164" s="33"/>
      <c r="E164" s="102">
        <f t="shared" si="10"/>
        <v>0</v>
      </c>
      <c r="F164" s="103" t="str">
        <f t="shared" si="0"/>
        <v>0 tubes and 0 shuttles</v>
      </c>
      <c r="G164" s="36">
        <f t="shared" si="11"/>
        <v>0</v>
      </c>
      <c r="H164" s="104" t="str">
        <f t="shared" si="1"/>
        <v>0 tubes and 0 shuttles</v>
      </c>
      <c r="I164" s="36">
        <f t="shared" si="2"/>
        <v>0</v>
      </c>
      <c r="J164" s="103" t="str">
        <f t="shared" si="3"/>
        <v>0 tubes and 0 shuttles</v>
      </c>
    </row>
    <row r="165" spans="1:10" ht="12.5" x14ac:dyDescent="0.25">
      <c r="A165" s="32">
        <f>'Profit &amp; Loss'!A165</f>
        <v>0</v>
      </c>
      <c r="B165" s="35">
        <f>'Profit &amp; Loss'!B165</f>
        <v>0</v>
      </c>
      <c r="C165" s="36"/>
      <c r="D165" s="33"/>
      <c r="E165" s="102">
        <f t="shared" si="10"/>
        <v>0</v>
      </c>
      <c r="F165" s="103" t="str">
        <f t="shared" si="0"/>
        <v>0 tubes and 0 shuttles</v>
      </c>
      <c r="G165" s="36">
        <f t="shared" si="11"/>
        <v>0</v>
      </c>
      <c r="H165" s="104" t="str">
        <f t="shared" si="1"/>
        <v>0 tubes and 0 shuttles</v>
      </c>
      <c r="I165" s="36">
        <f t="shared" si="2"/>
        <v>0</v>
      </c>
      <c r="J165" s="103" t="str">
        <f t="shared" si="3"/>
        <v>0 tubes and 0 shuttles</v>
      </c>
    </row>
    <row r="166" spans="1:10" ht="12.5" x14ac:dyDescent="0.25">
      <c r="A166" s="32">
        <f>'Profit &amp; Loss'!A166</f>
        <v>0</v>
      </c>
      <c r="B166" s="35">
        <f>'Profit &amp; Loss'!B166</f>
        <v>0</v>
      </c>
      <c r="C166" s="36"/>
      <c r="D166" s="33"/>
      <c r="E166" s="102">
        <f t="shared" si="10"/>
        <v>0</v>
      </c>
      <c r="F166" s="103" t="str">
        <f t="shared" si="0"/>
        <v>0 tubes and 0 shuttles</v>
      </c>
      <c r="G166" s="36">
        <f t="shared" si="11"/>
        <v>0</v>
      </c>
      <c r="H166" s="104" t="str">
        <f t="shared" si="1"/>
        <v>0 tubes and 0 shuttles</v>
      </c>
      <c r="I166" s="36">
        <f t="shared" si="2"/>
        <v>0</v>
      </c>
      <c r="J166" s="103" t="str">
        <f t="shared" si="3"/>
        <v>0 tubes and 0 shuttles</v>
      </c>
    </row>
    <row r="167" spans="1:10" ht="12.5" x14ac:dyDescent="0.25">
      <c r="A167" s="32">
        <f>'Profit &amp; Loss'!A167</f>
        <v>0</v>
      </c>
      <c r="B167" s="35">
        <f>'Profit &amp; Loss'!B167</f>
        <v>0</v>
      </c>
      <c r="C167" s="36"/>
      <c r="D167" s="33"/>
      <c r="E167" s="102">
        <f t="shared" si="10"/>
        <v>0</v>
      </c>
      <c r="F167" s="103" t="str">
        <f t="shared" si="0"/>
        <v>0 tubes and 0 shuttles</v>
      </c>
      <c r="G167" s="36">
        <f t="shared" si="11"/>
        <v>0</v>
      </c>
      <c r="H167" s="104" t="str">
        <f t="shared" si="1"/>
        <v>0 tubes and 0 shuttles</v>
      </c>
      <c r="I167" s="36">
        <f t="shared" si="2"/>
        <v>0</v>
      </c>
      <c r="J167" s="103" t="str">
        <f t="shared" si="3"/>
        <v>0 tubes and 0 shuttles</v>
      </c>
    </row>
    <row r="168" spans="1:10" ht="12.5" x14ac:dyDescent="0.25">
      <c r="A168" s="32">
        <f>'Profit &amp; Loss'!A168</f>
        <v>0</v>
      </c>
      <c r="B168" s="35">
        <f>'Profit &amp; Loss'!B168</f>
        <v>0</v>
      </c>
      <c r="C168" s="36"/>
      <c r="D168" s="33"/>
      <c r="E168" s="102">
        <f t="shared" si="10"/>
        <v>0</v>
      </c>
      <c r="F168" s="103" t="str">
        <f t="shared" si="0"/>
        <v>0 tubes and 0 shuttles</v>
      </c>
      <c r="G168" s="36">
        <f t="shared" si="11"/>
        <v>0</v>
      </c>
      <c r="H168" s="104" t="str">
        <f t="shared" si="1"/>
        <v>0 tubes and 0 shuttles</v>
      </c>
      <c r="I168" s="36">
        <f t="shared" si="2"/>
        <v>0</v>
      </c>
      <c r="J168" s="103" t="str">
        <f t="shared" si="3"/>
        <v>0 tubes and 0 shuttles</v>
      </c>
    </row>
    <row r="169" spans="1:10" ht="12.5" x14ac:dyDescent="0.25">
      <c r="A169" s="32">
        <f>'Profit &amp; Loss'!A169</f>
        <v>0</v>
      </c>
      <c r="B169" s="35">
        <f>'Profit &amp; Loss'!B169</f>
        <v>0</v>
      </c>
      <c r="C169" s="36"/>
      <c r="D169" s="33"/>
      <c r="E169" s="102">
        <f t="shared" si="10"/>
        <v>0</v>
      </c>
      <c r="F169" s="103" t="str">
        <f t="shared" si="0"/>
        <v>0 tubes and 0 shuttles</v>
      </c>
      <c r="G169" s="36">
        <f t="shared" si="11"/>
        <v>0</v>
      </c>
      <c r="H169" s="104" t="str">
        <f t="shared" si="1"/>
        <v>0 tubes and 0 shuttles</v>
      </c>
      <c r="I169" s="36">
        <f t="shared" si="2"/>
        <v>0</v>
      </c>
      <c r="J169" s="103" t="str">
        <f t="shared" si="3"/>
        <v>0 tubes and 0 shuttles</v>
      </c>
    </row>
    <row r="170" spans="1:10" ht="12.5" x14ac:dyDescent="0.25">
      <c r="A170" s="32">
        <f>'Profit &amp; Loss'!A170</f>
        <v>0</v>
      </c>
      <c r="B170" s="35">
        <f>'Profit &amp; Loss'!B170</f>
        <v>0</v>
      </c>
      <c r="C170" s="36"/>
      <c r="D170" s="33"/>
      <c r="E170" s="102">
        <f t="shared" si="10"/>
        <v>0</v>
      </c>
      <c r="F170" s="103" t="str">
        <f t="shared" si="0"/>
        <v>0 tubes and 0 shuttles</v>
      </c>
      <c r="G170" s="36">
        <f t="shared" si="11"/>
        <v>0</v>
      </c>
      <c r="H170" s="104" t="str">
        <f t="shared" si="1"/>
        <v>0 tubes and 0 shuttles</v>
      </c>
      <c r="I170" s="36">
        <f t="shared" si="2"/>
        <v>0</v>
      </c>
      <c r="J170" s="103" t="str">
        <f t="shared" si="3"/>
        <v>0 tubes and 0 shuttles</v>
      </c>
    </row>
    <row r="171" spans="1:10" ht="12.5" x14ac:dyDescent="0.25">
      <c r="A171" s="32">
        <f>'Profit &amp; Loss'!A171</f>
        <v>0</v>
      </c>
      <c r="B171" s="35">
        <f>'Profit &amp; Loss'!B171</f>
        <v>0</v>
      </c>
      <c r="C171" s="36"/>
      <c r="D171" s="33"/>
      <c r="E171" s="102">
        <f t="shared" si="10"/>
        <v>0</v>
      </c>
      <c r="F171" s="103" t="str">
        <f t="shared" si="0"/>
        <v>0 tubes and 0 shuttles</v>
      </c>
      <c r="G171" s="36">
        <f t="shared" si="11"/>
        <v>0</v>
      </c>
      <c r="H171" s="104" t="str">
        <f t="shared" si="1"/>
        <v>0 tubes and 0 shuttles</v>
      </c>
      <c r="I171" s="36">
        <f t="shared" si="2"/>
        <v>0</v>
      </c>
      <c r="J171" s="103" t="str">
        <f t="shared" si="3"/>
        <v>0 tubes and 0 shuttles</v>
      </c>
    </row>
    <row r="172" spans="1:10" ht="12.5" x14ac:dyDescent="0.25">
      <c r="A172" s="32">
        <f>'Profit &amp; Loss'!A172</f>
        <v>0</v>
      </c>
      <c r="B172" s="35">
        <f>'Profit &amp; Loss'!B172</f>
        <v>0</v>
      </c>
      <c r="C172" s="36"/>
      <c r="D172" s="33"/>
      <c r="E172" s="102">
        <f t="shared" si="10"/>
        <v>0</v>
      </c>
      <c r="F172" s="103" t="str">
        <f t="shared" si="0"/>
        <v>0 tubes and 0 shuttles</v>
      </c>
      <c r="G172" s="36">
        <f t="shared" si="11"/>
        <v>0</v>
      </c>
      <c r="H172" s="104" t="str">
        <f t="shared" si="1"/>
        <v>0 tubes and 0 shuttles</v>
      </c>
      <c r="I172" s="36">
        <f t="shared" si="2"/>
        <v>0</v>
      </c>
      <c r="J172" s="103" t="str">
        <f t="shared" si="3"/>
        <v>0 tubes and 0 shuttles</v>
      </c>
    </row>
    <row r="173" spans="1:10" ht="12.5" x14ac:dyDescent="0.25">
      <c r="A173" s="32">
        <f>'Profit &amp; Loss'!A173</f>
        <v>0</v>
      </c>
      <c r="B173" s="35">
        <f>'Profit &amp; Loss'!B173</f>
        <v>0</v>
      </c>
      <c r="C173" s="36"/>
      <c r="D173" s="33"/>
      <c r="E173" s="102">
        <f t="shared" si="10"/>
        <v>0</v>
      </c>
      <c r="F173" s="103" t="str">
        <f t="shared" si="0"/>
        <v>0 tubes and 0 shuttles</v>
      </c>
      <c r="G173" s="36">
        <f t="shared" si="11"/>
        <v>0</v>
      </c>
      <c r="H173" s="104" t="str">
        <f t="shared" si="1"/>
        <v>0 tubes and 0 shuttles</v>
      </c>
      <c r="I173" s="36">
        <f t="shared" si="2"/>
        <v>0</v>
      </c>
      <c r="J173" s="103" t="str">
        <f t="shared" si="3"/>
        <v>0 tubes and 0 shuttles</v>
      </c>
    </row>
    <row r="174" spans="1:10" ht="12.5" x14ac:dyDescent="0.25">
      <c r="A174" s="32">
        <f>'Profit &amp; Loss'!A174</f>
        <v>0</v>
      </c>
      <c r="B174" s="35">
        <f>'Profit &amp; Loss'!B174</f>
        <v>0</v>
      </c>
      <c r="C174" s="36"/>
      <c r="D174" s="33"/>
      <c r="E174" s="102">
        <f t="shared" si="10"/>
        <v>0</v>
      </c>
      <c r="F174" s="103" t="str">
        <f t="shared" si="0"/>
        <v>0 tubes and 0 shuttles</v>
      </c>
      <c r="G174" s="36">
        <f t="shared" si="11"/>
        <v>0</v>
      </c>
      <c r="H174" s="104" t="str">
        <f t="shared" si="1"/>
        <v>0 tubes and 0 shuttles</v>
      </c>
      <c r="I174" s="36">
        <f t="shared" si="2"/>
        <v>0</v>
      </c>
      <c r="J174" s="103" t="str">
        <f t="shared" si="3"/>
        <v>0 tubes and 0 shuttles</v>
      </c>
    </row>
    <row r="175" spans="1:10" ht="12.5" x14ac:dyDescent="0.25">
      <c r="A175" s="32">
        <f>'Profit &amp; Loss'!A175</f>
        <v>0</v>
      </c>
      <c r="B175" s="35">
        <f>'Profit &amp; Loss'!B175</f>
        <v>0</v>
      </c>
      <c r="C175" s="36"/>
      <c r="D175" s="33"/>
      <c r="E175" s="102">
        <f t="shared" si="10"/>
        <v>0</v>
      </c>
      <c r="F175" s="103" t="str">
        <f t="shared" si="0"/>
        <v>0 tubes and 0 shuttles</v>
      </c>
      <c r="G175" s="36">
        <f t="shared" si="11"/>
        <v>0</v>
      </c>
      <c r="H175" s="104" t="str">
        <f t="shared" si="1"/>
        <v>0 tubes and 0 shuttles</v>
      </c>
      <c r="I175" s="36">
        <f t="shared" si="2"/>
        <v>0</v>
      </c>
      <c r="J175" s="103" t="str">
        <f t="shared" si="3"/>
        <v>0 tubes and 0 shuttles</v>
      </c>
    </row>
    <row r="176" spans="1:10" ht="12.5" x14ac:dyDescent="0.25">
      <c r="A176" s="32">
        <f>'Profit &amp; Loss'!A176</f>
        <v>0</v>
      </c>
      <c r="B176" s="35">
        <f>'Profit &amp; Loss'!B176</f>
        <v>0</v>
      </c>
      <c r="C176" s="36"/>
      <c r="D176" s="33"/>
      <c r="E176" s="102">
        <f t="shared" si="10"/>
        <v>0</v>
      </c>
      <c r="F176" s="103" t="str">
        <f t="shared" si="0"/>
        <v>0 tubes and 0 shuttles</v>
      </c>
      <c r="G176" s="36">
        <f t="shared" si="11"/>
        <v>0</v>
      </c>
      <c r="H176" s="104" t="str">
        <f t="shared" si="1"/>
        <v>0 tubes and 0 shuttles</v>
      </c>
      <c r="I176" s="36">
        <f t="shared" si="2"/>
        <v>0</v>
      </c>
      <c r="J176" s="103" t="str">
        <f t="shared" si="3"/>
        <v>0 tubes and 0 shuttles</v>
      </c>
    </row>
    <row r="177" spans="1:10" ht="12.5" x14ac:dyDescent="0.25">
      <c r="A177" s="32">
        <f>'Profit &amp; Loss'!A177</f>
        <v>0</v>
      </c>
      <c r="B177" s="35">
        <f>'Profit &amp; Loss'!B177</f>
        <v>0</v>
      </c>
      <c r="C177" s="36"/>
      <c r="D177" s="33"/>
      <c r="E177" s="102">
        <f t="shared" si="10"/>
        <v>0</v>
      </c>
      <c r="F177" s="103" t="str">
        <f t="shared" si="0"/>
        <v>0 tubes and 0 shuttles</v>
      </c>
      <c r="G177" s="36">
        <f t="shared" si="11"/>
        <v>0</v>
      </c>
      <c r="H177" s="104" t="str">
        <f t="shared" si="1"/>
        <v>0 tubes and 0 shuttles</v>
      </c>
      <c r="I177" s="36">
        <f t="shared" si="2"/>
        <v>0</v>
      </c>
      <c r="J177" s="103" t="str">
        <f t="shared" si="3"/>
        <v>0 tubes and 0 shuttles</v>
      </c>
    </row>
    <row r="178" spans="1:10" ht="12.5" x14ac:dyDescent="0.25">
      <c r="A178" s="32">
        <f>'Profit &amp; Loss'!A178</f>
        <v>0</v>
      </c>
      <c r="B178" s="35">
        <f>'Profit &amp; Loss'!B178</f>
        <v>0</v>
      </c>
      <c r="C178" s="36"/>
      <c r="D178" s="33"/>
      <c r="E178" s="102">
        <f t="shared" si="10"/>
        <v>0</v>
      </c>
      <c r="F178" s="103" t="str">
        <f t="shared" si="0"/>
        <v>0 tubes and 0 shuttles</v>
      </c>
      <c r="G178" s="36">
        <f t="shared" si="11"/>
        <v>0</v>
      </c>
      <c r="H178" s="104" t="str">
        <f t="shared" si="1"/>
        <v>0 tubes and 0 shuttles</v>
      </c>
      <c r="I178" s="36">
        <f t="shared" si="2"/>
        <v>0</v>
      </c>
      <c r="J178" s="103" t="str">
        <f t="shared" si="3"/>
        <v>0 tubes and 0 shuttles</v>
      </c>
    </row>
    <row r="179" spans="1:10" ht="12.5" x14ac:dyDescent="0.25">
      <c r="A179" s="32">
        <f>'Profit &amp; Loss'!A179</f>
        <v>0</v>
      </c>
      <c r="B179" s="35">
        <f>'Profit &amp; Loss'!B179</f>
        <v>0</v>
      </c>
      <c r="C179" s="36"/>
      <c r="D179" s="33"/>
      <c r="E179" s="102">
        <f t="shared" si="10"/>
        <v>0</v>
      </c>
      <c r="F179" s="103" t="str">
        <f t="shared" si="0"/>
        <v>0 tubes and 0 shuttles</v>
      </c>
      <c r="G179" s="36">
        <f t="shared" si="11"/>
        <v>0</v>
      </c>
      <c r="H179" s="104" t="str">
        <f t="shared" si="1"/>
        <v>0 tubes and 0 shuttles</v>
      </c>
      <c r="I179" s="36">
        <f t="shared" si="2"/>
        <v>0</v>
      </c>
      <c r="J179" s="103" t="str">
        <f t="shared" si="3"/>
        <v>0 tubes and 0 shuttles</v>
      </c>
    </row>
    <row r="180" spans="1:10" ht="12.5" x14ac:dyDescent="0.25">
      <c r="A180" s="32">
        <f>'Profit &amp; Loss'!A180</f>
        <v>0</v>
      </c>
      <c r="B180" s="35">
        <f>'Profit &amp; Loss'!B180</f>
        <v>0</v>
      </c>
      <c r="C180" s="36"/>
      <c r="D180" s="33"/>
      <c r="E180" s="102">
        <f t="shared" si="10"/>
        <v>0</v>
      </c>
      <c r="F180" s="103" t="str">
        <f t="shared" si="0"/>
        <v>0 tubes and 0 shuttles</v>
      </c>
      <c r="G180" s="36">
        <f t="shared" si="11"/>
        <v>0</v>
      </c>
      <c r="H180" s="104" t="str">
        <f t="shared" si="1"/>
        <v>0 tubes and 0 shuttles</v>
      </c>
      <c r="I180" s="36">
        <f t="shared" si="2"/>
        <v>0</v>
      </c>
      <c r="J180" s="103" t="str">
        <f t="shared" si="3"/>
        <v>0 tubes and 0 shuttles</v>
      </c>
    </row>
    <row r="181" spans="1:10" ht="12.5" x14ac:dyDescent="0.25">
      <c r="A181" s="32">
        <f>'Profit &amp; Loss'!A181</f>
        <v>0</v>
      </c>
      <c r="B181" s="35">
        <f>'Profit &amp; Loss'!B181</f>
        <v>0</v>
      </c>
      <c r="C181" s="36"/>
      <c r="D181" s="33"/>
      <c r="E181" s="102">
        <f t="shared" si="10"/>
        <v>0</v>
      </c>
      <c r="F181" s="103" t="str">
        <f t="shared" si="0"/>
        <v>0 tubes and 0 shuttles</v>
      </c>
      <c r="G181" s="36">
        <f t="shared" si="11"/>
        <v>0</v>
      </c>
      <c r="H181" s="104" t="str">
        <f t="shared" si="1"/>
        <v>0 tubes and 0 shuttles</v>
      </c>
      <c r="I181" s="36">
        <f t="shared" si="2"/>
        <v>0</v>
      </c>
      <c r="J181" s="103" t="str">
        <f t="shared" si="3"/>
        <v>0 tubes and 0 shuttles</v>
      </c>
    </row>
    <row r="182" spans="1:10" ht="12.5" x14ac:dyDescent="0.25">
      <c r="A182" s="32">
        <f>'Profit &amp; Loss'!A182</f>
        <v>0</v>
      </c>
      <c r="B182" s="35">
        <f>'Profit &amp; Loss'!B182</f>
        <v>0</v>
      </c>
      <c r="C182" s="36"/>
      <c r="D182" s="33"/>
      <c r="E182" s="102">
        <f t="shared" si="10"/>
        <v>0</v>
      </c>
      <c r="F182" s="103" t="str">
        <f t="shared" si="0"/>
        <v>0 tubes and 0 shuttles</v>
      </c>
      <c r="G182" s="36">
        <f t="shared" si="11"/>
        <v>0</v>
      </c>
      <c r="H182" s="104" t="str">
        <f t="shared" si="1"/>
        <v>0 tubes and 0 shuttles</v>
      </c>
      <c r="I182" s="36">
        <f t="shared" si="2"/>
        <v>0</v>
      </c>
      <c r="J182" s="103" t="str">
        <f t="shared" si="3"/>
        <v>0 tubes and 0 shuttles</v>
      </c>
    </row>
    <row r="183" spans="1:10" ht="12.5" x14ac:dyDescent="0.25">
      <c r="A183" s="32">
        <f>'Profit &amp; Loss'!A183</f>
        <v>0</v>
      </c>
      <c r="B183" s="35">
        <f>'Profit &amp; Loss'!B183</f>
        <v>0</v>
      </c>
      <c r="C183" s="36"/>
      <c r="D183" s="33"/>
      <c r="E183" s="102">
        <f t="shared" si="10"/>
        <v>0</v>
      </c>
      <c r="F183" s="103" t="str">
        <f t="shared" si="0"/>
        <v>0 tubes and 0 shuttles</v>
      </c>
      <c r="G183" s="36">
        <f t="shared" si="11"/>
        <v>0</v>
      </c>
      <c r="H183" s="104" t="str">
        <f t="shared" si="1"/>
        <v>0 tubes and 0 shuttles</v>
      </c>
      <c r="I183" s="36">
        <f t="shared" si="2"/>
        <v>0</v>
      </c>
      <c r="J183" s="103" t="str">
        <f t="shared" si="3"/>
        <v>0 tubes and 0 shuttles</v>
      </c>
    </row>
    <row r="184" spans="1:10" ht="12.5" x14ac:dyDescent="0.25">
      <c r="A184" s="32">
        <f>'Profit &amp; Loss'!A184</f>
        <v>0</v>
      </c>
      <c r="B184" s="35">
        <f>'Profit &amp; Loss'!B184</f>
        <v>0</v>
      </c>
      <c r="C184" s="36"/>
      <c r="D184" s="33"/>
      <c r="E184" s="102">
        <f t="shared" si="10"/>
        <v>0</v>
      </c>
      <c r="F184" s="103" t="str">
        <f t="shared" si="0"/>
        <v>0 tubes and 0 shuttles</v>
      </c>
      <c r="G184" s="36">
        <f t="shared" si="11"/>
        <v>0</v>
      </c>
      <c r="H184" s="104" t="str">
        <f t="shared" si="1"/>
        <v>0 tubes and 0 shuttles</v>
      </c>
      <c r="I184" s="36">
        <f t="shared" si="2"/>
        <v>0</v>
      </c>
      <c r="J184" s="103" t="str">
        <f t="shared" si="3"/>
        <v>0 tubes and 0 shuttles</v>
      </c>
    </row>
    <row r="185" spans="1:10" ht="12.5" x14ac:dyDescent="0.25">
      <c r="A185" s="32">
        <f>'Profit &amp; Loss'!A185</f>
        <v>0</v>
      </c>
      <c r="B185" s="35">
        <f>'Profit &amp; Loss'!B185</f>
        <v>0</v>
      </c>
      <c r="C185" s="36"/>
      <c r="D185" s="33"/>
      <c r="E185" s="102">
        <f t="shared" si="10"/>
        <v>0</v>
      </c>
      <c r="F185" s="103" t="str">
        <f t="shared" si="0"/>
        <v>0 tubes and 0 shuttles</v>
      </c>
      <c r="G185" s="36">
        <f t="shared" si="11"/>
        <v>0</v>
      </c>
      <c r="H185" s="104" t="str">
        <f t="shared" si="1"/>
        <v>0 tubes and 0 shuttles</v>
      </c>
      <c r="I185" s="36">
        <f t="shared" si="2"/>
        <v>0</v>
      </c>
      <c r="J185" s="103" t="str">
        <f t="shared" si="3"/>
        <v>0 tubes and 0 shuttles</v>
      </c>
    </row>
    <row r="186" spans="1:10" ht="12.5" x14ac:dyDescent="0.25">
      <c r="A186" s="32">
        <f>'Profit &amp; Loss'!A186</f>
        <v>0</v>
      </c>
      <c r="B186" s="35">
        <f>'Profit &amp; Loss'!B186</f>
        <v>0</v>
      </c>
      <c r="C186" s="36"/>
      <c r="D186" s="33"/>
      <c r="E186" s="102">
        <f t="shared" si="10"/>
        <v>0</v>
      </c>
      <c r="F186" s="103" t="str">
        <f t="shared" si="0"/>
        <v>0 tubes and 0 shuttles</v>
      </c>
      <c r="G186" s="36">
        <f t="shared" si="11"/>
        <v>0</v>
      </c>
      <c r="H186" s="104" t="str">
        <f t="shared" si="1"/>
        <v>0 tubes and 0 shuttles</v>
      </c>
      <c r="I186" s="36">
        <f t="shared" si="2"/>
        <v>0</v>
      </c>
      <c r="J186" s="103" t="str">
        <f t="shared" si="3"/>
        <v>0 tubes and 0 shuttles</v>
      </c>
    </row>
    <row r="187" spans="1:10" ht="12.5" x14ac:dyDescent="0.25">
      <c r="A187" s="32">
        <f>'Profit &amp; Loss'!A187</f>
        <v>0</v>
      </c>
      <c r="B187" s="35">
        <f>'Profit &amp; Loss'!B187</f>
        <v>0</v>
      </c>
      <c r="C187" s="36"/>
      <c r="D187" s="33"/>
      <c r="E187" s="102">
        <f t="shared" si="10"/>
        <v>0</v>
      </c>
      <c r="F187" s="103" t="str">
        <f t="shared" si="0"/>
        <v>0 tubes and 0 shuttles</v>
      </c>
      <c r="G187" s="36">
        <f t="shared" si="11"/>
        <v>0</v>
      </c>
      <c r="H187" s="104" t="str">
        <f t="shared" si="1"/>
        <v>0 tubes and 0 shuttles</v>
      </c>
      <c r="I187" s="36">
        <f t="shared" si="2"/>
        <v>0</v>
      </c>
      <c r="J187" s="103" t="str">
        <f t="shared" si="3"/>
        <v>0 tubes and 0 shuttles</v>
      </c>
    </row>
    <row r="188" spans="1:10" ht="12.5" x14ac:dyDescent="0.25">
      <c r="A188" s="32">
        <f>'Profit &amp; Loss'!A188</f>
        <v>0</v>
      </c>
      <c r="B188" s="35">
        <f>'Profit &amp; Loss'!B188</f>
        <v>0</v>
      </c>
      <c r="C188" s="36"/>
      <c r="D188" s="33"/>
      <c r="E188" s="102">
        <f t="shared" si="10"/>
        <v>0</v>
      </c>
      <c r="F188" s="103" t="str">
        <f t="shared" si="0"/>
        <v>0 tubes and 0 shuttles</v>
      </c>
      <c r="G188" s="36">
        <f t="shared" si="11"/>
        <v>0</v>
      </c>
      <c r="H188" s="104" t="str">
        <f t="shared" si="1"/>
        <v>0 tubes and 0 shuttles</v>
      </c>
      <c r="I188" s="36">
        <f t="shared" si="2"/>
        <v>0</v>
      </c>
      <c r="J188" s="103" t="str">
        <f t="shared" si="3"/>
        <v>0 tubes and 0 shuttles</v>
      </c>
    </row>
    <row r="189" spans="1:10" ht="12.5" x14ac:dyDescent="0.25">
      <c r="A189" s="32">
        <f>'Profit &amp; Loss'!A189</f>
        <v>0</v>
      </c>
      <c r="B189" s="35">
        <f>'Profit &amp; Loss'!B189</f>
        <v>0</v>
      </c>
      <c r="C189" s="36"/>
      <c r="D189" s="33"/>
      <c r="E189" s="102">
        <f t="shared" si="10"/>
        <v>0</v>
      </c>
      <c r="F189" s="103" t="str">
        <f t="shared" si="0"/>
        <v>0 tubes and 0 shuttles</v>
      </c>
      <c r="G189" s="36">
        <f t="shared" si="11"/>
        <v>0</v>
      </c>
      <c r="H189" s="104" t="str">
        <f t="shared" si="1"/>
        <v>0 tubes and 0 shuttles</v>
      </c>
      <c r="I189" s="36">
        <f t="shared" si="2"/>
        <v>0</v>
      </c>
      <c r="J189" s="103" t="str">
        <f t="shared" si="3"/>
        <v>0 tubes and 0 shuttles</v>
      </c>
    </row>
    <row r="190" spans="1:10" ht="12.5" x14ac:dyDescent="0.25">
      <c r="A190" s="32">
        <f>'Profit &amp; Loss'!A190</f>
        <v>0</v>
      </c>
      <c r="B190" s="35">
        <f>'Profit &amp; Loss'!B190</f>
        <v>0</v>
      </c>
      <c r="C190" s="36"/>
      <c r="D190" s="33"/>
      <c r="E190" s="102">
        <f t="shared" si="10"/>
        <v>0</v>
      </c>
      <c r="F190" s="103" t="str">
        <f t="shared" si="0"/>
        <v>0 tubes and 0 shuttles</v>
      </c>
      <c r="G190" s="36">
        <f t="shared" si="11"/>
        <v>0</v>
      </c>
      <c r="H190" s="104" t="str">
        <f t="shared" si="1"/>
        <v>0 tubes and 0 shuttles</v>
      </c>
      <c r="I190" s="36">
        <f t="shared" si="2"/>
        <v>0</v>
      </c>
      <c r="J190" s="103" t="str">
        <f t="shared" si="3"/>
        <v>0 tubes and 0 shuttles</v>
      </c>
    </row>
    <row r="191" spans="1:10" ht="12.5" x14ac:dyDescent="0.25">
      <c r="A191" s="32">
        <f>'Profit &amp; Loss'!A191</f>
        <v>0</v>
      </c>
      <c r="B191" s="35">
        <f>'Profit &amp; Loss'!B191</f>
        <v>0</v>
      </c>
      <c r="C191" s="36"/>
      <c r="D191" s="33"/>
      <c r="E191" s="102">
        <f t="shared" si="10"/>
        <v>0</v>
      </c>
      <c r="F191" s="103" t="str">
        <f t="shared" si="0"/>
        <v>0 tubes and 0 shuttles</v>
      </c>
      <c r="G191" s="36">
        <f t="shared" si="11"/>
        <v>0</v>
      </c>
      <c r="H191" s="104" t="str">
        <f t="shared" si="1"/>
        <v>0 tubes and 0 shuttles</v>
      </c>
      <c r="I191" s="36">
        <f t="shared" si="2"/>
        <v>0</v>
      </c>
      <c r="J191" s="103" t="str">
        <f t="shared" si="3"/>
        <v>0 tubes and 0 shuttles</v>
      </c>
    </row>
    <row r="192" spans="1:10" ht="12.5" x14ac:dyDescent="0.25">
      <c r="A192" s="32">
        <f>'Profit &amp; Loss'!A192</f>
        <v>0</v>
      </c>
      <c r="B192" s="35">
        <f>'Profit &amp; Loss'!B192</f>
        <v>0</v>
      </c>
      <c r="C192" s="36"/>
      <c r="D192" s="33"/>
      <c r="E192" s="102">
        <f t="shared" si="10"/>
        <v>0</v>
      </c>
      <c r="F192" s="103" t="str">
        <f t="shared" si="0"/>
        <v>0 tubes and 0 shuttles</v>
      </c>
      <c r="G192" s="36">
        <f t="shared" si="11"/>
        <v>0</v>
      </c>
      <c r="H192" s="104" t="str">
        <f t="shared" si="1"/>
        <v>0 tubes and 0 shuttles</v>
      </c>
      <c r="I192" s="36">
        <f t="shared" si="2"/>
        <v>0</v>
      </c>
      <c r="J192" s="103" t="str">
        <f t="shared" si="3"/>
        <v>0 tubes and 0 shuttles</v>
      </c>
    </row>
    <row r="193" spans="1:10" ht="12.5" x14ac:dyDescent="0.25">
      <c r="A193" s="32">
        <f>'Profit &amp; Loss'!A193</f>
        <v>0</v>
      </c>
      <c r="B193" s="35">
        <f>'Profit &amp; Loss'!B193</f>
        <v>0</v>
      </c>
      <c r="C193" s="36"/>
      <c r="D193" s="33"/>
      <c r="E193" s="102">
        <f t="shared" si="10"/>
        <v>0</v>
      </c>
      <c r="F193" s="103" t="str">
        <f t="shared" si="0"/>
        <v>0 tubes and 0 shuttles</v>
      </c>
      <c r="G193" s="36">
        <f t="shared" si="11"/>
        <v>0</v>
      </c>
      <c r="H193" s="104" t="str">
        <f t="shared" si="1"/>
        <v>0 tubes and 0 shuttles</v>
      </c>
      <c r="I193" s="36">
        <f t="shared" si="2"/>
        <v>0</v>
      </c>
      <c r="J193" s="103" t="str">
        <f t="shared" si="3"/>
        <v>0 tubes and 0 shuttles</v>
      </c>
    </row>
    <row r="194" spans="1:10" ht="12.5" x14ac:dyDescent="0.25">
      <c r="A194" s="32">
        <f>'Profit &amp; Loss'!A194</f>
        <v>0</v>
      </c>
      <c r="B194" s="35">
        <f>'Profit &amp; Loss'!B194</f>
        <v>0</v>
      </c>
      <c r="C194" s="36"/>
      <c r="D194" s="33"/>
      <c r="E194" s="102">
        <f t="shared" si="10"/>
        <v>0</v>
      </c>
      <c r="F194" s="103" t="str">
        <f t="shared" si="0"/>
        <v>0 tubes and 0 shuttles</v>
      </c>
      <c r="G194" s="36">
        <f t="shared" si="11"/>
        <v>0</v>
      </c>
      <c r="H194" s="104" t="str">
        <f t="shared" si="1"/>
        <v>0 tubes and 0 shuttles</v>
      </c>
      <c r="I194" s="36">
        <f t="shared" si="2"/>
        <v>0</v>
      </c>
      <c r="J194" s="103" t="str">
        <f t="shared" si="3"/>
        <v>0 tubes and 0 shuttles</v>
      </c>
    </row>
    <row r="195" spans="1:10" ht="12.5" x14ac:dyDescent="0.25">
      <c r="A195" s="32">
        <f>'Profit &amp; Loss'!A195</f>
        <v>0</v>
      </c>
      <c r="B195" s="35">
        <f>'Profit &amp; Loss'!B195</f>
        <v>0</v>
      </c>
      <c r="C195" s="36"/>
      <c r="D195" s="33"/>
      <c r="E195" s="102">
        <f t="shared" si="10"/>
        <v>0</v>
      </c>
      <c r="F195" s="103" t="str">
        <f t="shared" si="0"/>
        <v>0 tubes and 0 shuttles</v>
      </c>
      <c r="G195" s="36">
        <f t="shared" si="11"/>
        <v>0</v>
      </c>
      <c r="H195" s="104" t="str">
        <f t="shared" si="1"/>
        <v>0 tubes and 0 shuttles</v>
      </c>
      <c r="I195" s="36">
        <f t="shared" si="2"/>
        <v>0</v>
      </c>
      <c r="J195" s="103" t="str">
        <f t="shared" si="3"/>
        <v>0 tubes and 0 shuttles</v>
      </c>
    </row>
    <row r="196" spans="1:10" ht="12.5" x14ac:dyDescent="0.25">
      <c r="A196" s="32">
        <f>'Profit &amp; Loss'!A196</f>
        <v>0</v>
      </c>
      <c r="B196" s="35">
        <f>'Profit &amp; Loss'!B196</f>
        <v>0</v>
      </c>
      <c r="C196" s="36"/>
      <c r="D196" s="33"/>
      <c r="E196" s="102">
        <f t="shared" si="10"/>
        <v>0</v>
      </c>
      <c r="F196" s="103" t="str">
        <f t="shared" si="0"/>
        <v>0 tubes and 0 shuttles</v>
      </c>
      <c r="G196" s="36">
        <f t="shared" si="11"/>
        <v>0</v>
      </c>
      <c r="H196" s="104" t="str">
        <f t="shared" si="1"/>
        <v>0 tubes and 0 shuttles</v>
      </c>
      <c r="I196" s="36">
        <f t="shared" si="2"/>
        <v>0</v>
      </c>
      <c r="J196" s="103" t="str">
        <f t="shared" si="3"/>
        <v>0 tubes and 0 shuttles</v>
      </c>
    </row>
    <row r="197" spans="1:10" ht="12.5" x14ac:dyDescent="0.25">
      <c r="A197" s="32">
        <f>'Profit &amp; Loss'!A197</f>
        <v>0</v>
      </c>
      <c r="B197" s="35">
        <f>'Profit &amp; Loss'!B197</f>
        <v>0</v>
      </c>
      <c r="C197" s="36"/>
      <c r="D197" s="33"/>
      <c r="E197" s="102">
        <f t="shared" si="10"/>
        <v>0</v>
      </c>
      <c r="F197" s="103" t="str">
        <f t="shared" si="0"/>
        <v>0 tubes and 0 shuttles</v>
      </c>
      <c r="G197" s="36">
        <f t="shared" si="11"/>
        <v>0</v>
      </c>
      <c r="H197" s="104" t="str">
        <f t="shared" si="1"/>
        <v>0 tubes and 0 shuttles</v>
      </c>
      <c r="I197" s="36">
        <f t="shared" si="2"/>
        <v>0</v>
      </c>
      <c r="J197" s="103" t="str">
        <f t="shared" si="3"/>
        <v>0 tubes and 0 shuttles</v>
      </c>
    </row>
    <row r="198" spans="1:10" ht="12.5" x14ac:dyDescent="0.25">
      <c r="A198" s="32">
        <f>'Profit &amp; Loss'!A198</f>
        <v>0</v>
      </c>
      <c r="B198" s="35">
        <f>'Profit &amp; Loss'!B198</f>
        <v>0</v>
      </c>
      <c r="C198" s="36"/>
      <c r="D198" s="33"/>
      <c r="E198" s="102">
        <f t="shared" si="10"/>
        <v>0</v>
      </c>
      <c r="F198" s="103" t="str">
        <f t="shared" si="0"/>
        <v>0 tubes and 0 shuttles</v>
      </c>
      <c r="G198" s="36">
        <f t="shared" si="11"/>
        <v>0</v>
      </c>
      <c r="H198" s="104" t="str">
        <f t="shared" si="1"/>
        <v>0 tubes and 0 shuttles</v>
      </c>
      <c r="I198" s="36">
        <f t="shared" si="2"/>
        <v>0</v>
      </c>
      <c r="J198" s="103" t="str">
        <f t="shared" si="3"/>
        <v>0 tubes and 0 shuttles</v>
      </c>
    </row>
    <row r="199" spans="1:10" ht="12.5" x14ac:dyDescent="0.25">
      <c r="A199" s="32">
        <f>'Profit &amp; Loss'!A199</f>
        <v>0</v>
      </c>
      <c r="B199" s="35">
        <f>'Profit &amp; Loss'!B199</f>
        <v>0</v>
      </c>
      <c r="C199" s="36"/>
      <c r="D199" s="33"/>
      <c r="E199" s="102">
        <f t="shared" si="10"/>
        <v>0</v>
      </c>
      <c r="F199" s="103" t="str">
        <f t="shared" si="0"/>
        <v>0 tubes and 0 shuttles</v>
      </c>
      <c r="G199" s="36">
        <f t="shared" si="11"/>
        <v>0</v>
      </c>
      <c r="H199" s="104" t="str">
        <f t="shared" si="1"/>
        <v>0 tubes and 0 shuttles</v>
      </c>
      <c r="I199" s="36">
        <f t="shared" si="2"/>
        <v>0</v>
      </c>
      <c r="J199" s="103" t="str">
        <f t="shared" si="3"/>
        <v>0 tubes and 0 shuttles</v>
      </c>
    </row>
    <row r="200" spans="1:10" ht="12.5" x14ac:dyDescent="0.25">
      <c r="A200" s="32">
        <f>'Profit &amp; Loss'!A200</f>
        <v>0</v>
      </c>
      <c r="B200" s="35">
        <f>'Profit &amp; Loss'!B200</f>
        <v>0</v>
      </c>
      <c r="C200" s="36"/>
      <c r="D200" s="33"/>
      <c r="E200" s="102">
        <f t="shared" si="10"/>
        <v>0</v>
      </c>
      <c r="F200" s="103" t="str">
        <f t="shared" si="0"/>
        <v>0 tubes and 0 shuttles</v>
      </c>
      <c r="G200" s="36">
        <f t="shared" si="11"/>
        <v>0</v>
      </c>
      <c r="H200" s="104" t="str">
        <f t="shared" si="1"/>
        <v>0 tubes and 0 shuttles</v>
      </c>
      <c r="I200" s="36">
        <f t="shared" si="2"/>
        <v>0</v>
      </c>
      <c r="J200" s="103" t="str">
        <f t="shared" si="3"/>
        <v>0 tubes and 0 shuttles</v>
      </c>
    </row>
    <row r="201" spans="1:10" ht="12.5" x14ac:dyDescent="0.25">
      <c r="A201" s="32">
        <f>'Profit &amp; Loss'!A201</f>
        <v>0</v>
      </c>
      <c r="B201" s="35">
        <f>'Profit &amp; Loss'!B201</f>
        <v>0</v>
      </c>
      <c r="C201" s="36"/>
      <c r="D201" s="33"/>
      <c r="E201" s="102">
        <f t="shared" si="10"/>
        <v>0</v>
      </c>
      <c r="F201" s="103" t="str">
        <f t="shared" si="0"/>
        <v>0 tubes and 0 shuttles</v>
      </c>
      <c r="G201" s="36">
        <f t="shared" si="11"/>
        <v>0</v>
      </c>
      <c r="H201" s="104" t="str">
        <f t="shared" si="1"/>
        <v>0 tubes and 0 shuttles</v>
      </c>
      <c r="I201" s="36">
        <f t="shared" si="2"/>
        <v>0</v>
      </c>
      <c r="J201" s="103" t="str">
        <f t="shared" si="3"/>
        <v>0 tubes and 0 shuttles</v>
      </c>
    </row>
    <row r="202" spans="1:10" ht="12.5" x14ac:dyDescent="0.25">
      <c r="A202" s="32">
        <f>'Profit &amp; Loss'!A202</f>
        <v>0</v>
      </c>
      <c r="B202" s="35">
        <f>'Profit &amp; Loss'!B202</f>
        <v>0</v>
      </c>
      <c r="C202" s="36"/>
      <c r="D202" s="33"/>
      <c r="E202" s="102">
        <f t="shared" si="10"/>
        <v>0</v>
      </c>
      <c r="F202" s="103" t="str">
        <f t="shared" si="0"/>
        <v>0 tubes and 0 shuttles</v>
      </c>
      <c r="G202" s="36">
        <f t="shared" si="11"/>
        <v>0</v>
      </c>
      <c r="H202" s="104" t="str">
        <f t="shared" si="1"/>
        <v>0 tubes and 0 shuttles</v>
      </c>
      <c r="I202" s="36">
        <f t="shared" si="2"/>
        <v>0</v>
      </c>
      <c r="J202" s="103" t="str">
        <f t="shared" si="3"/>
        <v>0 tubes and 0 shuttles</v>
      </c>
    </row>
    <row r="203" spans="1:10" ht="12.5" x14ac:dyDescent="0.25">
      <c r="A203" s="32">
        <f>'Profit &amp; Loss'!A203</f>
        <v>0</v>
      </c>
      <c r="B203" s="35">
        <f>'Profit &amp; Loss'!B203</f>
        <v>0</v>
      </c>
      <c r="C203" s="36"/>
      <c r="D203" s="33"/>
      <c r="E203" s="102">
        <f t="shared" si="10"/>
        <v>0</v>
      </c>
      <c r="F203" s="103" t="str">
        <f t="shared" si="0"/>
        <v>0 tubes and 0 shuttles</v>
      </c>
      <c r="G203" s="36">
        <f t="shared" si="11"/>
        <v>0</v>
      </c>
      <c r="H203" s="104" t="str">
        <f t="shared" si="1"/>
        <v>0 tubes and 0 shuttles</v>
      </c>
      <c r="I203" s="36">
        <f t="shared" si="2"/>
        <v>0</v>
      </c>
      <c r="J203" s="103" t="str">
        <f t="shared" si="3"/>
        <v>0 tubes and 0 shuttles</v>
      </c>
    </row>
    <row r="204" spans="1:10" ht="12.5" x14ac:dyDescent="0.25">
      <c r="A204" s="32">
        <f>'Profit &amp; Loss'!A204</f>
        <v>0</v>
      </c>
      <c r="B204" s="35">
        <f>'Profit &amp; Loss'!B204</f>
        <v>0</v>
      </c>
      <c r="C204" s="36"/>
      <c r="D204" s="33"/>
      <c r="E204" s="102">
        <f t="shared" si="10"/>
        <v>0</v>
      </c>
      <c r="F204" s="103" t="str">
        <f t="shared" si="0"/>
        <v>0 tubes and 0 shuttles</v>
      </c>
      <c r="G204" s="36">
        <f t="shared" si="11"/>
        <v>0</v>
      </c>
      <c r="H204" s="104" t="str">
        <f t="shared" si="1"/>
        <v>0 tubes and 0 shuttles</v>
      </c>
      <c r="I204" s="36">
        <f t="shared" si="2"/>
        <v>0</v>
      </c>
      <c r="J204" s="103" t="str">
        <f t="shared" si="3"/>
        <v>0 tubes and 0 shuttles</v>
      </c>
    </row>
    <row r="205" spans="1:10" ht="12.5" x14ac:dyDescent="0.25">
      <c r="A205" s="32">
        <f>'Profit &amp; Loss'!A205</f>
        <v>0</v>
      </c>
      <c r="B205" s="35">
        <f>'Profit &amp; Loss'!B205</f>
        <v>0</v>
      </c>
      <c r="C205" s="36"/>
      <c r="D205" s="33"/>
      <c r="E205" s="102">
        <f t="shared" si="10"/>
        <v>0</v>
      </c>
      <c r="F205" s="103" t="str">
        <f t="shared" si="0"/>
        <v>0 tubes and 0 shuttles</v>
      </c>
      <c r="G205" s="36">
        <f t="shared" si="11"/>
        <v>0</v>
      </c>
      <c r="H205" s="104" t="str">
        <f t="shared" si="1"/>
        <v>0 tubes and 0 shuttles</v>
      </c>
      <c r="I205" s="36">
        <f t="shared" si="2"/>
        <v>0</v>
      </c>
      <c r="J205" s="103" t="str">
        <f t="shared" si="3"/>
        <v>0 tubes and 0 shuttles</v>
      </c>
    </row>
    <row r="206" spans="1:10" ht="12.5" x14ac:dyDescent="0.25">
      <c r="A206" s="32">
        <f>'Profit &amp; Loss'!A206</f>
        <v>0</v>
      </c>
      <c r="B206" s="35">
        <f>'Profit &amp; Loss'!B206</f>
        <v>0</v>
      </c>
      <c r="C206" s="36"/>
      <c r="D206" s="33"/>
      <c r="E206" s="102">
        <f t="shared" si="10"/>
        <v>0</v>
      </c>
      <c r="F206" s="103" t="str">
        <f t="shared" si="0"/>
        <v>0 tubes and 0 shuttles</v>
      </c>
      <c r="G206" s="36">
        <f t="shared" si="11"/>
        <v>0</v>
      </c>
      <c r="H206" s="104" t="str">
        <f t="shared" si="1"/>
        <v>0 tubes and 0 shuttles</v>
      </c>
      <c r="I206" s="36">
        <f t="shared" si="2"/>
        <v>0</v>
      </c>
      <c r="J206" s="103" t="str">
        <f t="shared" si="3"/>
        <v>0 tubes and 0 shuttles</v>
      </c>
    </row>
    <row r="207" spans="1:10" ht="12.5" x14ac:dyDescent="0.25">
      <c r="A207" s="32">
        <f>'Profit &amp; Loss'!A207</f>
        <v>0</v>
      </c>
      <c r="B207" s="35">
        <f>'Profit &amp; Loss'!B207</f>
        <v>0</v>
      </c>
      <c r="C207" s="36"/>
      <c r="D207" s="33"/>
      <c r="E207" s="102">
        <f t="shared" si="10"/>
        <v>0</v>
      </c>
      <c r="F207" s="103" t="str">
        <f t="shared" si="0"/>
        <v>0 tubes and 0 shuttles</v>
      </c>
      <c r="G207" s="36">
        <f t="shared" si="11"/>
        <v>0</v>
      </c>
      <c r="H207" s="104" t="str">
        <f t="shared" si="1"/>
        <v>0 tubes and 0 shuttles</v>
      </c>
      <c r="I207" s="36">
        <f t="shared" si="2"/>
        <v>0</v>
      </c>
      <c r="J207" s="103" t="str">
        <f t="shared" si="3"/>
        <v>0 tubes and 0 shuttles</v>
      </c>
    </row>
    <row r="208" spans="1:10" ht="12.5" x14ac:dyDescent="0.25">
      <c r="A208" s="32">
        <f>'Profit &amp; Loss'!A208</f>
        <v>0</v>
      </c>
      <c r="B208" s="35">
        <f>'Profit &amp; Loss'!B208</f>
        <v>0</v>
      </c>
      <c r="C208" s="36"/>
      <c r="D208" s="33"/>
      <c r="E208" s="102">
        <f t="shared" si="10"/>
        <v>0</v>
      </c>
      <c r="F208" s="103" t="str">
        <f t="shared" si="0"/>
        <v>0 tubes and 0 shuttles</v>
      </c>
      <c r="G208" s="36">
        <f t="shared" si="11"/>
        <v>0</v>
      </c>
      <c r="H208" s="104" t="str">
        <f t="shared" si="1"/>
        <v>0 tubes and 0 shuttles</v>
      </c>
      <c r="I208" s="36">
        <f t="shared" si="2"/>
        <v>0</v>
      </c>
      <c r="J208" s="103" t="str">
        <f t="shared" si="3"/>
        <v>0 tubes and 0 shuttles</v>
      </c>
    </row>
    <row r="209" spans="1:10" ht="12.5" x14ac:dyDescent="0.25">
      <c r="A209" s="32">
        <f>'Profit &amp; Loss'!A209</f>
        <v>0</v>
      </c>
      <c r="B209" s="35">
        <f>'Profit &amp; Loss'!B209</f>
        <v>0</v>
      </c>
      <c r="C209" s="36"/>
      <c r="D209" s="33"/>
      <c r="E209" s="102">
        <f t="shared" si="10"/>
        <v>0</v>
      </c>
      <c r="F209" s="103" t="str">
        <f t="shared" si="0"/>
        <v>0 tubes and 0 shuttles</v>
      </c>
      <c r="G209" s="36">
        <f t="shared" si="11"/>
        <v>0</v>
      </c>
      <c r="H209" s="104" t="str">
        <f t="shared" si="1"/>
        <v>0 tubes and 0 shuttles</v>
      </c>
      <c r="I209" s="36">
        <f t="shared" si="2"/>
        <v>0</v>
      </c>
      <c r="J209" s="103" t="str">
        <f t="shared" si="3"/>
        <v>0 tubes and 0 shuttles</v>
      </c>
    </row>
    <row r="210" spans="1:10" ht="12.5" x14ac:dyDescent="0.25">
      <c r="A210" s="32">
        <f>'Profit &amp; Loss'!A210</f>
        <v>0</v>
      </c>
      <c r="B210" s="35">
        <f>'Profit &amp; Loss'!B210</f>
        <v>0</v>
      </c>
      <c r="C210" s="36"/>
      <c r="D210" s="33"/>
      <c r="E210" s="102">
        <f t="shared" si="10"/>
        <v>0</v>
      </c>
      <c r="F210" s="103" t="str">
        <f t="shared" si="0"/>
        <v>0 tubes and 0 shuttles</v>
      </c>
      <c r="G210" s="36">
        <f t="shared" si="11"/>
        <v>0</v>
      </c>
      <c r="H210" s="104" t="str">
        <f t="shared" si="1"/>
        <v>0 tubes and 0 shuttles</v>
      </c>
      <c r="I210" s="36">
        <f t="shared" si="2"/>
        <v>0</v>
      </c>
      <c r="J210" s="103" t="str">
        <f t="shared" si="3"/>
        <v>0 tubes and 0 shuttles</v>
      </c>
    </row>
    <row r="211" spans="1:10" ht="12.5" x14ac:dyDescent="0.25">
      <c r="A211" s="32">
        <f>'Profit &amp; Loss'!A211</f>
        <v>0</v>
      </c>
      <c r="B211" s="35">
        <f>'Profit &amp; Loss'!B211</f>
        <v>0</v>
      </c>
      <c r="C211" s="36"/>
      <c r="D211" s="33"/>
      <c r="E211" s="102">
        <f t="shared" si="10"/>
        <v>0</v>
      </c>
      <c r="F211" s="103" t="str">
        <f t="shared" si="0"/>
        <v>0 tubes and 0 shuttles</v>
      </c>
      <c r="G211" s="36">
        <f t="shared" si="11"/>
        <v>0</v>
      </c>
      <c r="H211" s="104" t="str">
        <f t="shared" si="1"/>
        <v>0 tubes and 0 shuttles</v>
      </c>
      <c r="I211" s="36">
        <f t="shared" si="2"/>
        <v>0</v>
      </c>
      <c r="J211" s="103" t="str">
        <f t="shared" si="3"/>
        <v>0 tubes and 0 shuttles</v>
      </c>
    </row>
    <row r="212" spans="1:10" ht="12.5" x14ac:dyDescent="0.25">
      <c r="A212" s="32">
        <f>'Profit &amp; Loss'!A212</f>
        <v>0</v>
      </c>
      <c r="B212" s="35">
        <f>'Profit &amp; Loss'!B212</f>
        <v>0</v>
      </c>
      <c r="C212" s="36"/>
      <c r="D212" s="33"/>
      <c r="E212" s="102">
        <f t="shared" si="10"/>
        <v>0</v>
      </c>
      <c r="F212" s="103" t="str">
        <f t="shared" si="0"/>
        <v>0 tubes and 0 shuttles</v>
      </c>
      <c r="G212" s="36">
        <f t="shared" si="11"/>
        <v>0</v>
      </c>
      <c r="H212" s="104" t="str">
        <f t="shared" si="1"/>
        <v>0 tubes and 0 shuttles</v>
      </c>
      <c r="I212" s="36">
        <f t="shared" si="2"/>
        <v>0</v>
      </c>
      <c r="J212" s="103" t="str">
        <f t="shared" si="3"/>
        <v>0 tubes and 0 shuttles</v>
      </c>
    </row>
    <row r="213" spans="1:10" ht="12.5" x14ac:dyDescent="0.25">
      <c r="A213" s="32">
        <f>'Profit &amp; Loss'!A213</f>
        <v>0</v>
      </c>
      <c r="B213" s="35">
        <f>'Profit &amp; Loss'!B213</f>
        <v>0</v>
      </c>
      <c r="C213" s="36"/>
      <c r="D213" s="33"/>
      <c r="E213" s="102">
        <f t="shared" si="10"/>
        <v>0</v>
      </c>
      <c r="F213" s="103" t="str">
        <f t="shared" si="0"/>
        <v>0 tubes and 0 shuttles</v>
      </c>
      <c r="G213" s="36">
        <f t="shared" si="11"/>
        <v>0</v>
      </c>
      <c r="H213" s="104" t="str">
        <f t="shared" si="1"/>
        <v>0 tubes and 0 shuttles</v>
      </c>
      <c r="I213" s="36">
        <f t="shared" si="2"/>
        <v>0</v>
      </c>
      <c r="J213" s="103" t="str">
        <f t="shared" si="3"/>
        <v>0 tubes and 0 shuttles</v>
      </c>
    </row>
    <row r="214" spans="1:10" ht="12.5" x14ac:dyDescent="0.25">
      <c r="A214" s="32">
        <f>'Profit &amp; Loss'!A214</f>
        <v>0</v>
      </c>
      <c r="B214" s="35">
        <f>'Profit &amp; Loss'!B214</f>
        <v>0</v>
      </c>
      <c r="C214" s="36"/>
      <c r="D214" s="33"/>
      <c r="E214" s="102">
        <f t="shared" si="10"/>
        <v>0</v>
      </c>
      <c r="F214" s="103" t="str">
        <f t="shared" si="0"/>
        <v>0 tubes and 0 shuttles</v>
      </c>
      <c r="G214" s="36">
        <f t="shared" si="11"/>
        <v>0</v>
      </c>
      <c r="H214" s="104" t="str">
        <f t="shared" si="1"/>
        <v>0 tubes and 0 shuttles</v>
      </c>
      <c r="I214" s="36">
        <f t="shared" si="2"/>
        <v>0</v>
      </c>
      <c r="J214" s="103" t="str">
        <f t="shared" si="3"/>
        <v>0 tubes and 0 shuttles</v>
      </c>
    </row>
    <row r="215" spans="1:10" ht="12.5" x14ac:dyDescent="0.25">
      <c r="A215" s="32">
        <f>'Profit &amp; Loss'!A215</f>
        <v>0</v>
      </c>
      <c r="B215" s="35">
        <f>'Profit &amp; Loss'!B215</f>
        <v>0</v>
      </c>
      <c r="C215" s="36"/>
      <c r="D215" s="33"/>
      <c r="E215" s="102">
        <f t="shared" si="10"/>
        <v>0</v>
      </c>
      <c r="F215" s="103" t="str">
        <f t="shared" si="0"/>
        <v>0 tubes and 0 shuttles</v>
      </c>
      <c r="G215" s="36">
        <f t="shared" si="11"/>
        <v>0</v>
      </c>
      <c r="H215" s="104" t="str">
        <f t="shared" si="1"/>
        <v>0 tubes and 0 shuttles</v>
      </c>
      <c r="I215" s="36">
        <f t="shared" si="2"/>
        <v>0</v>
      </c>
      <c r="J215" s="103" t="str">
        <f t="shared" si="3"/>
        <v>0 tubes and 0 shuttles</v>
      </c>
    </row>
    <row r="216" spans="1:10" ht="12.5" x14ac:dyDescent="0.25">
      <c r="A216" s="32">
        <f>'Profit &amp; Loss'!A216</f>
        <v>0</v>
      </c>
      <c r="B216" s="35">
        <f>'Profit &amp; Loss'!B216</f>
        <v>0</v>
      </c>
      <c r="C216" s="36"/>
      <c r="D216" s="33"/>
      <c r="E216" s="102">
        <f t="shared" si="10"/>
        <v>0</v>
      </c>
      <c r="F216" s="103" t="str">
        <f t="shared" si="0"/>
        <v>0 tubes and 0 shuttles</v>
      </c>
      <c r="G216" s="36">
        <f t="shared" si="11"/>
        <v>0</v>
      </c>
      <c r="H216" s="104" t="str">
        <f t="shared" si="1"/>
        <v>0 tubes and 0 shuttles</v>
      </c>
      <c r="I216" s="36">
        <f t="shared" si="2"/>
        <v>0</v>
      </c>
      <c r="J216" s="103" t="str">
        <f t="shared" si="3"/>
        <v>0 tubes and 0 shuttles</v>
      </c>
    </row>
    <row r="217" spans="1:10" ht="12.5" x14ac:dyDescent="0.25">
      <c r="A217" s="32">
        <f>'Profit &amp; Loss'!A217</f>
        <v>0</v>
      </c>
      <c r="B217" s="35">
        <f>'Profit &amp; Loss'!B217</f>
        <v>0</v>
      </c>
      <c r="C217" s="36"/>
      <c r="D217" s="33"/>
      <c r="E217" s="102">
        <f t="shared" si="10"/>
        <v>0</v>
      </c>
      <c r="F217" s="103" t="str">
        <f t="shared" si="0"/>
        <v>0 tubes and 0 shuttles</v>
      </c>
      <c r="G217" s="36">
        <f t="shared" si="11"/>
        <v>0</v>
      </c>
      <c r="H217" s="104" t="str">
        <f t="shared" si="1"/>
        <v>0 tubes and 0 shuttles</v>
      </c>
      <c r="I217" s="36">
        <f t="shared" si="2"/>
        <v>0</v>
      </c>
      <c r="J217" s="103" t="str">
        <f t="shared" si="3"/>
        <v>0 tubes and 0 shuttles</v>
      </c>
    </row>
    <row r="218" spans="1:10" ht="12.5" x14ac:dyDescent="0.25">
      <c r="A218" s="32">
        <f>'Profit &amp; Loss'!A218</f>
        <v>0</v>
      </c>
      <c r="B218" s="35">
        <f>'Profit &amp; Loss'!B218</f>
        <v>0</v>
      </c>
      <c r="C218" s="36"/>
      <c r="D218" s="33"/>
      <c r="E218" s="102">
        <f t="shared" si="10"/>
        <v>0</v>
      </c>
      <c r="F218" s="103" t="str">
        <f t="shared" si="0"/>
        <v>0 tubes and 0 shuttles</v>
      </c>
      <c r="G218" s="36">
        <f t="shared" si="11"/>
        <v>0</v>
      </c>
      <c r="H218" s="104" t="str">
        <f t="shared" si="1"/>
        <v>0 tubes and 0 shuttles</v>
      </c>
      <c r="I218" s="36">
        <f t="shared" si="2"/>
        <v>0</v>
      </c>
      <c r="J218" s="103" t="str">
        <f t="shared" si="3"/>
        <v>0 tubes and 0 shuttles</v>
      </c>
    </row>
    <row r="219" spans="1:10" ht="12.5" x14ac:dyDescent="0.25">
      <c r="A219" s="32">
        <f>'Profit &amp; Loss'!A219</f>
        <v>0</v>
      </c>
      <c r="B219" s="35">
        <f>'Profit &amp; Loss'!B219</f>
        <v>0</v>
      </c>
      <c r="C219" s="36"/>
      <c r="D219" s="33"/>
      <c r="E219" s="102">
        <f t="shared" si="10"/>
        <v>0</v>
      </c>
      <c r="F219" s="103" t="str">
        <f t="shared" si="0"/>
        <v>0 tubes and 0 shuttles</v>
      </c>
      <c r="G219" s="36">
        <f t="shared" si="11"/>
        <v>0</v>
      </c>
      <c r="H219" s="104" t="str">
        <f t="shared" si="1"/>
        <v>0 tubes and 0 shuttles</v>
      </c>
      <c r="I219" s="36">
        <f t="shared" si="2"/>
        <v>0</v>
      </c>
      <c r="J219" s="103" t="str">
        <f t="shared" si="3"/>
        <v>0 tubes and 0 shuttles</v>
      </c>
    </row>
    <row r="220" spans="1:10" ht="12.5" x14ac:dyDescent="0.25">
      <c r="A220" s="32">
        <f>'Profit &amp; Loss'!A220</f>
        <v>0</v>
      </c>
      <c r="B220" s="35">
        <f>'Profit &amp; Loss'!B220</f>
        <v>0</v>
      </c>
      <c r="C220" s="36"/>
      <c r="D220" s="33"/>
      <c r="E220" s="102">
        <f t="shared" si="10"/>
        <v>0</v>
      </c>
      <c r="F220" s="103" t="str">
        <f t="shared" si="0"/>
        <v>0 tubes and 0 shuttles</v>
      </c>
      <c r="G220" s="36">
        <f t="shared" si="11"/>
        <v>0</v>
      </c>
      <c r="H220" s="104" t="str">
        <f t="shared" si="1"/>
        <v>0 tubes and 0 shuttles</v>
      </c>
      <c r="I220" s="36">
        <f t="shared" si="2"/>
        <v>0</v>
      </c>
      <c r="J220" s="103" t="str">
        <f t="shared" si="3"/>
        <v>0 tubes and 0 shuttles</v>
      </c>
    </row>
    <row r="221" spans="1:10" ht="12.5" x14ac:dyDescent="0.25">
      <c r="A221" s="32">
        <f>'Profit &amp; Loss'!A221</f>
        <v>0</v>
      </c>
      <c r="B221" s="35">
        <f>'Profit &amp; Loss'!B221</f>
        <v>0</v>
      </c>
      <c r="C221" s="36"/>
      <c r="D221" s="33"/>
      <c r="E221" s="102">
        <f t="shared" si="10"/>
        <v>0</v>
      </c>
      <c r="F221" s="103" t="str">
        <f t="shared" si="0"/>
        <v>0 tubes and 0 shuttles</v>
      </c>
      <c r="G221" s="36">
        <f t="shared" si="11"/>
        <v>0</v>
      </c>
      <c r="H221" s="104" t="str">
        <f t="shared" si="1"/>
        <v>0 tubes and 0 shuttles</v>
      </c>
      <c r="I221" s="36">
        <f t="shared" si="2"/>
        <v>0</v>
      </c>
      <c r="J221" s="103" t="str">
        <f t="shared" si="3"/>
        <v>0 tubes and 0 shuttles</v>
      </c>
    </row>
    <row r="222" spans="1:10" ht="12.5" x14ac:dyDescent="0.25">
      <c r="A222" s="32">
        <f>'Profit &amp; Loss'!A222</f>
        <v>0</v>
      </c>
      <c r="B222" s="35">
        <f>'Profit &amp; Loss'!B222</f>
        <v>0</v>
      </c>
      <c r="C222" s="36"/>
      <c r="D222" s="33"/>
      <c r="E222" s="102">
        <f t="shared" si="10"/>
        <v>0</v>
      </c>
      <c r="F222" s="103" t="str">
        <f t="shared" si="0"/>
        <v>0 tubes and 0 shuttles</v>
      </c>
      <c r="G222" s="36">
        <f t="shared" si="11"/>
        <v>0</v>
      </c>
      <c r="H222" s="104" t="str">
        <f t="shared" si="1"/>
        <v>0 tubes and 0 shuttles</v>
      </c>
      <c r="I222" s="36">
        <f t="shared" si="2"/>
        <v>0</v>
      </c>
      <c r="J222" s="103" t="str">
        <f t="shared" si="3"/>
        <v>0 tubes and 0 shuttles</v>
      </c>
    </row>
    <row r="223" spans="1:10" ht="12.5" x14ac:dyDescent="0.25">
      <c r="A223" s="32">
        <f>'Profit &amp; Loss'!A223</f>
        <v>0</v>
      </c>
      <c r="B223" s="35">
        <f>'Profit &amp; Loss'!B223</f>
        <v>0</v>
      </c>
      <c r="C223" s="36"/>
      <c r="D223" s="33"/>
      <c r="E223" s="102">
        <f t="shared" si="10"/>
        <v>0</v>
      </c>
      <c r="F223" s="103" t="str">
        <f t="shared" si="0"/>
        <v>0 tubes and 0 shuttles</v>
      </c>
      <c r="G223" s="36">
        <f t="shared" si="11"/>
        <v>0</v>
      </c>
      <c r="H223" s="104" t="str">
        <f t="shared" si="1"/>
        <v>0 tubes and 0 shuttles</v>
      </c>
      <c r="I223" s="36">
        <f t="shared" si="2"/>
        <v>0</v>
      </c>
      <c r="J223" s="103" t="str">
        <f t="shared" si="3"/>
        <v>0 tubes and 0 shuttles</v>
      </c>
    </row>
    <row r="224" spans="1:10" ht="12.5" x14ac:dyDescent="0.25">
      <c r="A224" s="32">
        <f>'Profit &amp; Loss'!A224</f>
        <v>0</v>
      </c>
      <c r="B224" s="35">
        <f>'Profit &amp; Loss'!B224</f>
        <v>0</v>
      </c>
      <c r="C224" s="36"/>
      <c r="D224" s="33"/>
      <c r="E224" s="102">
        <f t="shared" si="10"/>
        <v>0</v>
      </c>
      <c r="F224" s="103" t="str">
        <f t="shared" si="0"/>
        <v>0 tubes and 0 shuttles</v>
      </c>
      <c r="G224" s="36">
        <f t="shared" si="11"/>
        <v>0</v>
      </c>
      <c r="H224" s="104" t="str">
        <f t="shared" si="1"/>
        <v>0 tubes and 0 shuttles</v>
      </c>
      <c r="I224" s="36">
        <f t="shared" si="2"/>
        <v>0</v>
      </c>
      <c r="J224" s="103" t="str">
        <f t="shared" si="3"/>
        <v>0 tubes and 0 shuttles</v>
      </c>
    </row>
    <row r="225" spans="1:10" ht="12.5" x14ac:dyDescent="0.25">
      <c r="A225" s="32">
        <f>'Profit &amp; Loss'!A225</f>
        <v>0</v>
      </c>
      <c r="B225" s="35">
        <f>'Profit &amp; Loss'!B225</f>
        <v>0</v>
      </c>
      <c r="C225" s="36"/>
      <c r="D225" s="33"/>
      <c r="E225" s="102">
        <f t="shared" si="10"/>
        <v>0</v>
      </c>
      <c r="F225" s="103" t="str">
        <f t="shared" si="0"/>
        <v>0 tubes and 0 shuttles</v>
      </c>
      <c r="G225" s="36">
        <f t="shared" si="11"/>
        <v>0</v>
      </c>
      <c r="H225" s="104" t="str">
        <f t="shared" si="1"/>
        <v>0 tubes and 0 shuttles</v>
      </c>
      <c r="I225" s="36">
        <f t="shared" si="2"/>
        <v>0</v>
      </c>
      <c r="J225" s="103" t="str">
        <f t="shared" si="3"/>
        <v>0 tubes and 0 shuttles</v>
      </c>
    </row>
    <row r="226" spans="1:10" ht="12.5" x14ac:dyDescent="0.25">
      <c r="A226" s="32">
        <f>'Profit &amp; Loss'!A226</f>
        <v>0</v>
      </c>
      <c r="B226" s="35">
        <f>'Profit &amp; Loss'!B226</f>
        <v>0</v>
      </c>
      <c r="C226" s="36"/>
      <c r="D226" s="33"/>
      <c r="E226" s="102">
        <f t="shared" si="10"/>
        <v>0</v>
      </c>
      <c r="F226" s="103" t="str">
        <f t="shared" si="0"/>
        <v>0 tubes and 0 shuttles</v>
      </c>
      <c r="G226" s="36">
        <f t="shared" si="11"/>
        <v>0</v>
      </c>
      <c r="H226" s="104" t="str">
        <f t="shared" si="1"/>
        <v>0 tubes and 0 shuttles</v>
      </c>
      <c r="I226" s="36">
        <f t="shared" si="2"/>
        <v>0</v>
      </c>
      <c r="J226" s="103" t="str">
        <f t="shared" si="3"/>
        <v>0 tubes and 0 shuttles</v>
      </c>
    </row>
    <row r="227" spans="1:10" ht="12.5" x14ac:dyDescent="0.25">
      <c r="A227" s="32">
        <f>'Profit &amp; Loss'!A227</f>
        <v>0</v>
      </c>
      <c r="B227" s="35">
        <f>'Profit &amp; Loss'!B227</f>
        <v>0</v>
      </c>
      <c r="C227" s="36"/>
      <c r="D227" s="33"/>
      <c r="E227" s="102">
        <f t="shared" si="10"/>
        <v>0</v>
      </c>
      <c r="F227" s="103" t="str">
        <f t="shared" si="0"/>
        <v>0 tubes and 0 shuttles</v>
      </c>
      <c r="G227" s="36">
        <f t="shared" si="11"/>
        <v>0</v>
      </c>
      <c r="H227" s="104" t="str">
        <f t="shared" si="1"/>
        <v>0 tubes and 0 shuttles</v>
      </c>
      <c r="I227" s="36">
        <f t="shared" si="2"/>
        <v>0</v>
      </c>
      <c r="J227" s="103" t="str">
        <f t="shared" si="3"/>
        <v>0 tubes and 0 shuttles</v>
      </c>
    </row>
    <row r="228" spans="1:10" ht="12.5" x14ac:dyDescent="0.25">
      <c r="A228" s="32">
        <f>'Profit &amp; Loss'!A228</f>
        <v>0</v>
      </c>
      <c r="B228" s="35">
        <f>'Profit &amp; Loss'!B228</f>
        <v>0</v>
      </c>
      <c r="C228" s="36"/>
      <c r="D228" s="33"/>
      <c r="E228" s="102">
        <f t="shared" si="10"/>
        <v>0</v>
      </c>
      <c r="F228" s="103" t="str">
        <f t="shared" si="0"/>
        <v>0 tubes and 0 shuttles</v>
      </c>
      <c r="G228" s="36">
        <f t="shared" si="11"/>
        <v>0</v>
      </c>
      <c r="H228" s="104" t="str">
        <f t="shared" si="1"/>
        <v>0 tubes and 0 shuttles</v>
      </c>
      <c r="I228" s="36">
        <f t="shared" si="2"/>
        <v>0</v>
      </c>
      <c r="J228" s="103" t="str">
        <f t="shared" si="3"/>
        <v>0 tubes and 0 shuttles</v>
      </c>
    </row>
    <row r="229" spans="1:10" ht="12.5" x14ac:dyDescent="0.25">
      <c r="A229" s="32">
        <f>'Profit &amp; Loss'!A229</f>
        <v>0</v>
      </c>
      <c r="B229" s="35">
        <f>'Profit &amp; Loss'!B229</f>
        <v>0</v>
      </c>
      <c r="C229" s="36"/>
      <c r="D229" s="33"/>
      <c r="E229" s="102">
        <f t="shared" si="10"/>
        <v>0</v>
      </c>
      <c r="F229" s="103" t="str">
        <f t="shared" si="0"/>
        <v>0 tubes and 0 shuttles</v>
      </c>
      <c r="G229" s="36">
        <f t="shared" si="11"/>
        <v>0</v>
      </c>
      <c r="H229" s="104" t="str">
        <f t="shared" si="1"/>
        <v>0 tubes and 0 shuttles</v>
      </c>
      <c r="I229" s="36">
        <f t="shared" si="2"/>
        <v>0</v>
      </c>
      <c r="J229" s="103" t="str">
        <f t="shared" si="3"/>
        <v>0 tubes and 0 shuttles</v>
      </c>
    </row>
    <row r="230" spans="1:10" ht="12.5" x14ac:dyDescent="0.25">
      <c r="A230" s="32">
        <f>'Profit &amp; Loss'!A230</f>
        <v>0</v>
      </c>
      <c r="B230" s="35">
        <f>'Profit &amp; Loss'!B230</f>
        <v>0</v>
      </c>
      <c r="C230" s="36"/>
      <c r="D230" s="33"/>
      <c r="E230" s="102">
        <f t="shared" si="10"/>
        <v>0</v>
      </c>
      <c r="F230" s="103" t="str">
        <f t="shared" si="0"/>
        <v>0 tubes and 0 shuttles</v>
      </c>
      <c r="G230" s="36">
        <f t="shared" si="11"/>
        <v>0</v>
      </c>
      <c r="H230" s="104" t="str">
        <f t="shared" si="1"/>
        <v>0 tubes and 0 shuttles</v>
      </c>
      <c r="I230" s="36">
        <f t="shared" si="2"/>
        <v>0</v>
      </c>
      <c r="J230" s="103" t="str">
        <f t="shared" si="3"/>
        <v>0 tubes and 0 shuttles</v>
      </c>
    </row>
    <row r="231" spans="1:10" ht="12.5" x14ac:dyDescent="0.25">
      <c r="A231" s="32">
        <f>'Profit &amp; Loss'!A231</f>
        <v>0</v>
      </c>
      <c r="B231" s="35">
        <f>'Profit &amp; Loss'!B231</f>
        <v>0</v>
      </c>
      <c r="C231" s="36"/>
      <c r="D231" s="33"/>
      <c r="E231" s="102">
        <f t="shared" si="10"/>
        <v>0</v>
      </c>
      <c r="F231" s="103" t="str">
        <f t="shared" si="0"/>
        <v>0 tubes and 0 shuttles</v>
      </c>
      <c r="G231" s="36">
        <f t="shared" si="11"/>
        <v>0</v>
      </c>
      <c r="H231" s="104" t="str">
        <f t="shared" si="1"/>
        <v>0 tubes and 0 shuttles</v>
      </c>
      <c r="I231" s="36">
        <f t="shared" si="2"/>
        <v>0</v>
      </c>
      <c r="J231" s="103" t="str">
        <f t="shared" si="3"/>
        <v>0 tubes and 0 shuttles</v>
      </c>
    </row>
    <row r="232" spans="1:10" ht="12.5" x14ac:dyDescent="0.25">
      <c r="A232" s="32">
        <f>'Profit &amp; Loss'!A232</f>
        <v>0</v>
      </c>
      <c r="B232" s="35">
        <f>'Profit &amp; Loss'!B232</f>
        <v>0</v>
      </c>
      <c r="C232" s="36"/>
      <c r="D232" s="33"/>
      <c r="E232" s="102">
        <f t="shared" si="10"/>
        <v>0</v>
      </c>
      <c r="F232" s="103" t="str">
        <f t="shared" si="0"/>
        <v>0 tubes and 0 shuttles</v>
      </c>
      <c r="G232" s="36">
        <f t="shared" si="11"/>
        <v>0</v>
      </c>
      <c r="H232" s="104" t="str">
        <f t="shared" si="1"/>
        <v>0 tubes and 0 shuttles</v>
      </c>
      <c r="I232" s="36">
        <f t="shared" si="2"/>
        <v>0</v>
      </c>
      <c r="J232" s="103" t="str">
        <f t="shared" si="3"/>
        <v>0 tubes and 0 shuttles</v>
      </c>
    </row>
    <row r="233" spans="1:10" ht="12.5" x14ac:dyDescent="0.25">
      <c r="A233" s="32">
        <f>'Profit &amp; Loss'!A233</f>
        <v>0</v>
      </c>
      <c r="B233" s="35">
        <f>'Profit &amp; Loss'!B233</f>
        <v>0</v>
      </c>
      <c r="C233" s="36"/>
      <c r="D233" s="33"/>
      <c r="E233" s="102">
        <f t="shared" si="10"/>
        <v>0</v>
      </c>
      <c r="F233" s="103" t="str">
        <f t="shared" si="0"/>
        <v>0 tubes and 0 shuttles</v>
      </c>
      <c r="G233" s="36">
        <f t="shared" si="11"/>
        <v>0</v>
      </c>
      <c r="H233" s="104" t="str">
        <f t="shared" si="1"/>
        <v>0 tubes and 0 shuttles</v>
      </c>
      <c r="I233" s="36">
        <f t="shared" si="2"/>
        <v>0</v>
      </c>
      <c r="J233" s="103" t="str">
        <f t="shared" si="3"/>
        <v>0 tubes and 0 shuttles</v>
      </c>
    </row>
    <row r="234" spans="1:10" ht="12.5" x14ac:dyDescent="0.25">
      <c r="A234" s="32">
        <f>'Profit &amp; Loss'!A234</f>
        <v>0</v>
      </c>
      <c r="B234" s="35">
        <f>'Profit &amp; Loss'!B234</f>
        <v>0</v>
      </c>
      <c r="C234" s="36"/>
      <c r="D234" s="33"/>
      <c r="E234" s="102">
        <f t="shared" si="10"/>
        <v>0</v>
      </c>
      <c r="F234" s="103" t="str">
        <f t="shared" si="0"/>
        <v>0 tubes and 0 shuttles</v>
      </c>
      <c r="G234" s="36">
        <f t="shared" si="11"/>
        <v>0</v>
      </c>
      <c r="H234" s="104" t="str">
        <f t="shared" si="1"/>
        <v>0 tubes and 0 shuttles</v>
      </c>
      <c r="I234" s="36">
        <f t="shared" si="2"/>
        <v>0</v>
      </c>
      <c r="J234" s="103" t="str">
        <f t="shared" si="3"/>
        <v>0 tubes and 0 shuttles</v>
      </c>
    </row>
    <row r="235" spans="1:10" ht="12.5" x14ac:dyDescent="0.25">
      <c r="A235" s="32">
        <f>'Profit &amp; Loss'!A235</f>
        <v>0</v>
      </c>
      <c r="B235" s="35">
        <f>'Profit &amp; Loss'!B235</f>
        <v>0</v>
      </c>
      <c r="C235" s="36"/>
      <c r="D235" s="33"/>
      <c r="E235" s="102">
        <f t="shared" si="10"/>
        <v>0</v>
      </c>
      <c r="F235" s="103" t="str">
        <f t="shared" si="0"/>
        <v>0 tubes and 0 shuttles</v>
      </c>
      <c r="G235" s="36">
        <f t="shared" si="11"/>
        <v>0</v>
      </c>
      <c r="H235" s="104" t="str">
        <f t="shared" si="1"/>
        <v>0 tubes and 0 shuttles</v>
      </c>
      <c r="I235" s="36">
        <f t="shared" si="2"/>
        <v>0</v>
      </c>
      <c r="J235" s="103" t="str">
        <f t="shared" si="3"/>
        <v>0 tubes and 0 shuttles</v>
      </c>
    </row>
    <row r="236" spans="1:10" ht="12.5" x14ac:dyDescent="0.25">
      <c r="A236" s="32">
        <f>'Profit &amp; Loss'!A236</f>
        <v>0</v>
      </c>
      <c r="B236" s="35">
        <f>'Profit &amp; Loss'!B236</f>
        <v>0</v>
      </c>
      <c r="C236" s="36"/>
      <c r="D236" s="33"/>
      <c r="E236" s="102">
        <f t="shared" si="10"/>
        <v>0</v>
      </c>
      <c r="F236" s="103" t="str">
        <f t="shared" si="0"/>
        <v>0 tubes and 0 shuttles</v>
      </c>
      <c r="G236" s="36">
        <f t="shared" si="11"/>
        <v>0</v>
      </c>
      <c r="H236" s="104" t="str">
        <f t="shared" si="1"/>
        <v>0 tubes and 0 shuttles</v>
      </c>
      <c r="I236" s="36">
        <f t="shared" si="2"/>
        <v>0</v>
      </c>
      <c r="J236" s="103" t="str">
        <f t="shared" si="3"/>
        <v>0 tubes and 0 shuttles</v>
      </c>
    </row>
    <row r="237" spans="1:10" ht="12.5" x14ac:dyDescent="0.25">
      <c r="A237" s="32">
        <f>'Profit &amp; Loss'!A237</f>
        <v>0</v>
      </c>
      <c r="B237" s="35">
        <f>'Profit &amp; Loss'!B237</f>
        <v>0</v>
      </c>
      <c r="C237" s="36"/>
      <c r="D237" s="33"/>
      <c r="E237" s="102">
        <f t="shared" si="10"/>
        <v>0</v>
      </c>
      <c r="F237" s="103" t="str">
        <f t="shared" si="0"/>
        <v>0 tubes and 0 shuttles</v>
      </c>
      <c r="G237" s="36">
        <f t="shared" si="11"/>
        <v>0</v>
      </c>
      <c r="H237" s="104" t="str">
        <f t="shared" si="1"/>
        <v>0 tubes and 0 shuttles</v>
      </c>
      <c r="I237" s="36">
        <f t="shared" si="2"/>
        <v>0</v>
      </c>
      <c r="J237" s="103" t="str">
        <f t="shared" si="3"/>
        <v>0 tubes and 0 shuttles</v>
      </c>
    </row>
    <row r="238" spans="1:10" ht="12.5" x14ac:dyDescent="0.25">
      <c r="A238" s="32">
        <f>'Profit &amp; Loss'!A238</f>
        <v>0</v>
      </c>
      <c r="B238" s="35">
        <f>'Profit &amp; Loss'!B238</f>
        <v>0</v>
      </c>
      <c r="C238" s="36"/>
      <c r="D238" s="33"/>
      <c r="E238" s="102">
        <f t="shared" si="10"/>
        <v>0</v>
      </c>
      <c r="F238" s="103" t="str">
        <f t="shared" si="0"/>
        <v>0 tubes and 0 shuttles</v>
      </c>
      <c r="G238" s="36">
        <f t="shared" si="11"/>
        <v>0</v>
      </c>
      <c r="H238" s="104" t="str">
        <f t="shared" si="1"/>
        <v>0 tubes and 0 shuttles</v>
      </c>
      <c r="I238" s="36">
        <f t="shared" si="2"/>
        <v>0</v>
      </c>
      <c r="J238" s="103" t="str">
        <f t="shared" si="3"/>
        <v>0 tubes and 0 shuttles</v>
      </c>
    </row>
    <row r="239" spans="1:10" ht="12.5" x14ac:dyDescent="0.25">
      <c r="A239" s="32">
        <f>'Profit &amp; Loss'!A239</f>
        <v>0</v>
      </c>
      <c r="B239" s="35">
        <f>'Profit &amp; Loss'!B239</f>
        <v>0</v>
      </c>
      <c r="C239" s="36"/>
      <c r="D239" s="33"/>
      <c r="E239" s="102">
        <f t="shared" si="10"/>
        <v>0</v>
      </c>
      <c r="F239" s="103" t="str">
        <f t="shared" si="0"/>
        <v>0 tubes and 0 shuttles</v>
      </c>
      <c r="G239" s="36">
        <f t="shared" si="11"/>
        <v>0</v>
      </c>
      <c r="H239" s="104" t="str">
        <f t="shared" si="1"/>
        <v>0 tubes and 0 shuttles</v>
      </c>
      <c r="I239" s="36">
        <f t="shared" si="2"/>
        <v>0</v>
      </c>
      <c r="J239" s="103" t="str">
        <f t="shared" si="3"/>
        <v>0 tubes and 0 shuttles</v>
      </c>
    </row>
    <row r="240" spans="1:10" ht="12.5" x14ac:dyDescent="0.25">
      <c r="A240" s="32">
        <f>'Profit &amp; Loss'!A240</f>
        <v>0</v>
      </c>
      <c r="B240" s="35">
        <f>'Profit &amp; Loss'!B240</f>
        <v>0</v>
      </c>
      <c r="C240" s="36"/>
      <c r="D240" s="33"/>
      <c r="E240" s="102">
        <f t="shared" si="10"/>
        <v>0</v>
      </c>
      <c r="F240" s="103" t="str">
        <f t="shared" si="0"/>
        <v>0 tubes and 0 shuttles</v>
      </c>
      <c r="G240" s="36">
        <f t="shared" si="11"/>
        <v>0</v>
      </c>
      <c r="H240" s="104" t="str">
        <f t="shared" si="1"/>
        <v>0 tubes and 0 shuttles</v>
      </c>
      <c r="I240" s="36">
        <f t="shared" si="2"/>
        <v>0</v>
      </c>
      <c r="J240" s="103" t="str">
        <f t="shared" si="3"/>
        <v>0 tubes and 0 shuttles</v>
      </c>
    </row>
    <row r="241" spans="1:10" ht="12.5" x14ac:dyDescent="0.25">
      <c r="A241" s="32">
        <f>'Profit &amp; Loss'!A241</f>
        <v>0</v>
      </c>
      <c r="B241" s="35">
        <f>'Profit &amp; Loss'!B241</f>
        <v>0</v>
      </c>
      <c r="C241" s="36"/>
      <c r="D241" s="33"/>
      <c r="E241" s="102">
        <f t="shared" si="10"/>
        <v>0</v>
      </c>
      <c r="F241" s="103" t="str">
        <f t="shared" si="0"/>
        <v>0 tubes and 0 shuttles</v>
      </c>
      <c r="G241" s="36">
        <f t="shared" si="11"/>
        <v>0</v>
      </c>
      <c r="H241" s="104" t="str">
        <f t="shared" si="1"/>
        <v>0 tubes and 0 shuttles</v>
      </c>
      <c r="I241" s="36">
        <f t="shared" si="2"/>
        <v>0</v>
      </c>
      <c r="J241" s="103" t="str">
        <f t="shared" si="3"/>
        <v>0 tubes and 0 shuttles</v>
      </c>
    </row>
    <row r="242" spans="1:10" ht="12.5" x14ac:dyDescent="0.25">
      <c r="A242" s="32">
        <f>'Profit &amp; Loss'!A242</f>
        <v>0</v>
      </c>
      <c r="B242" s="35">
        <f>'Profit &amp; Loss'!B242</f>
        <v>0</v>
      </c>
      <c r="C242" s="36"/>
      <c r="D242" s="33"/>
      <c r="E242" s="102">
        <f t="shared" si="10"/>
        <v>0</v>
      </c>
      <c r="F242" s="103" t="str">
        <f t="shared" si="0"/>
        <v>0 tubes and 0 shuttles</v>
      </c>
      <c r="G242" s="36">
        <f t="shared" si="11"/>
        <v>0</v>
      </c>
      <c r="H242" s="104" t="str">
        <f t="shared" si="1"/>
        <v>0 tubes and 0 shuttles</v>
      </c>
      <c r="I242" s="36">
        <f t="shared" si="2"/>
        <v>0</v>
      </c>
      <c r="J242" s="103" t="str">
        <f t="shared" si="3"/>
        <v>0 tubes and 0 shuttles</v>
      </c>
    </row>
    <row r="243" spans="1:10" ht="12.5" x14ac:dyDescent="0.25">
      <c r="A243" s="32">
        <f>'Profit &amp; Loss'!A243</f>
        <v>0</v>
      </c>
      <c r="B243" s="35">
        <f>'Profit &amp; Loss'!B243</f>
        <v>0</v>
      </c>
      <c r="C243" s="36"/>
      <c r="D243" s="33"/>
      <c r="E243" s="102">
        <f t="shared" si="10"/>
        <v>0</v>
      </c>
      <c r="F243" s="103" t="str">
        <f t="shared" si="0"/>
        <v>0 tubes and 0 shuttles</v>
      </c>
      <c r="G243" s="36">
        <f t="shared" si="11"/>
        <v>0</v>
      </c>
      <c r="H243" s="104" t="str">
        <f t="shared" si="1"/>
        <v>0 tubes and 0 shuttles</v>
      </c>
      <c r="I243" s="36">
        <f t="shared" si="2"/>
        <v>0</v>
      </c>
      <c r="J243" s="103" t="str">
        <f t="shared" si="3"/>
        <v>0 tubes and 0 shuttles</v>
      </c>
    </row>
    <row r="244" spans="1:10" ht="12.5" x14ac:dyDescent="0.25">
      <c r="A244" s="32">
        <f>'Profit &amp; Loss'!A244</f>
        <v>0</v>
      </c>
      <c r="B244" s="35">
        <f>'Profit &amp; Loss'!B244</f>
        <v>0</v>
      </c>
      <c r="C244" s="36"/>
      <c r="D244" s="33"/>
      <c r="E244" s="102">
        <f t="shared" si="10"/>
        <v>0</v>
      </c>
      <c r="F244" s="103" t="str">
        <f t="shared" si="0"/>
        <v>0 tubes and 0 shuttles</v>
      </c>
      <c r="G244" s="36">
        <f t="shared" si="11"/>
        <v>0</v>
      </c>
      <c r="H244" s="104" t="str">
        <f t="shared" si="1"/>
        <v>0 tubes and 0 shuttles</v>
      </c>
      <c r="I244" s="36">
        <f t="shared" si="2"/>
        <v>0</v>
      </c>
      <c r="J244" s="103" t="str">
        <f t="shared" si="3"/>
        <v>0 tubes and 0 shuttles</v>
      </c>
    </row>
    <row r="245" spans="1:10" ht="12.5" x14ac:dyDescent="0.25">
      <c r="A245" s="32">
        <f>'Profit &amp; Loss'!A245</f>
        <v>0</v>
      </c>
      <c r="B245" s="35">
        <f>'Profit &amp; Loss'!B245</f>
        <v>0</v>
      </c>
      <c r="C245" s="36"/>
      <c r="D245" s="33"/>
      <c r="E245" s="102">
        <f t="shared" si="10"/>
        <v>0</v>
      </c>
      <c r="F245" s="103" t="str">
        <f t="shared" si="0"/>
        <v>0 tubes and 0 shuttles</v>
      </c>
      <c r="G245" s="36">
        <f t="shared" si="11"/>
        <v>0</v>
      </c>
      <c r="H245" s="104" t="str">
        <f t="shared" si="1"/>
        <v>0 tubes and 0 shuttles</v>
      </c>
      <c r="I245" s="36">
        <f t="shared" si="2"/>
        <v>0</v>
      </c>
      <c r="J245" s="103" t="str">
        <f t="shared" si="3"/>
        <v>0 tubes and 0 shuttles</v>
      </c>
    </row>
    <row r="246" spans="1:10" ht="12.5" x14ac:dyDescent="0.25">
      <c r="A246" s="32">
        <f>'Profit &amp; Loss'!A246</f>
        <v>0</v>
      </c>
      <c r="B246" s="35">
        <f>'Profit &amp; Loss'!B246</f>
        <v>0</v>
      </c>
      <c r="C246" s="36"/>
      <c r="D246" s="33"/>
      <c r="E246" s="102">
        <f t="shared" si="10"/>
        <v>0</v>
      </c>
      <c r="F246" s="103" t="str">
        <f t="shared" si="0"/>
        <v>0 tubes and 0 shuttles</v>
      </c>
      <c r="G246" s="36">
        <f t="shared" si="11"/>
        <v>0</v>
      </c>
      <c r="H246" s="104" t="str">
        <f t="shared" si="1"/>
        <v>0 tubes and 0 shuttles</v>
      </c>
      <c r="I246" s="36">
        <f t="shared" si="2"/>
        <v>0</v>
      </c>
      <c r="J246" s="103" t="str">
        <f t="shared" si="3"/>
        <v>0 tubes and 0 shuttles</v>
      </c>
    </row>
    <row r="247" spans="1:10" ht="12.5" x14ac:dyDescent="0.25">
      <c r="A247" s="32">
        <f>'Profit &amp; Loss'!A247</f>
        <v>0</v>
      </c>
      <c r="B247" s="35">
        <f>'Profit &amp; Loss'!B247</f>
        <v>0</v>
      </c>
      <c r="C247" s="36"/>
      <c r="D247" s="33"/>
      <c r="E247" s="102">
        <f t="shared" si="10"/>
        <v>0</v>
      </c>
      <c r="F247" s="103" t="str">
        <f t="shared" si="0"/>
        <v>0 tubes and 0 shuttles</v>
      </c>
      <c r="G247" s="36">
        <f t="shared" si="11"/>
        <v>0</v>
      </c>
      <c r="H247" s="104" t="str">
        <f t="shared" si="1"/>
        <v>0 tubes and 0 shuttles</v>
      </c>
      <c r="I247" s="36">
        <f t="shared" si="2"/>
        <v>0</v>
      </c>
      <c r="J247" s="103" t="str">
        <f t="shared" si="3"/>
        <v>0 tubes and 0 shuttles</v>
      </c>
    </row>
    <row r="248" spans="1:10" ht="12.5" x14ac:dyDescent="0.25">
      <c r="A248" s="32">
        <f>'Profit &amp; Loss'!A248</f>
        <v>0</v>
      </c>
      <c r="B248" s="35">
        <f>'Profit &amp; Loss'!B248</f>
        <v>0</v>
      </c>
      <c r="C248" s="36"/>
      <c r="D248" s="33"/>
      <c r="E248" s="102">
        <f t="shared" si="10"/>
        <v>0</v>
      </c>
      <c r="F248" s="103" t="str">
        <f t="shared" si="0"/>
        <v>0 tubes and 0 shuttles</v>
      </c>
      <c r="G248" s="36">
        <f t="shared" si="11"/>
        <v>0</v>
      </c>
      <c r="H248" s="104" t="str">
        <f t="shared" si="1"/>
        <v>0 tubes and 0 shuttles</v>
      </c>
      <c r="I248" s="36">
        <f t="shared" si="2"/>
        <v>0</v>
      </c>
      <c r="J248" s="103" t="str">
        <f t="shared" si="3"/>
        <v>0 tubes and 0 shuttles</v>
      </c>
    </row>
    <row r="249" spans="1:10" ht="12.5" x14ac:dyDescent="0.25">
      <c r="A249" s="32">
        <f>'Profit &amp; Loss'!A249</f>
        <v>0</v>
      </c>
      <c r="B249" s="35">
        <f>'Profit &amp; Loss'!B249</f>
        <v>0</v>
      </c>
      <c r="C249" s="36"/>
      <c r="D249" s="33"/>
      <c r="E249" s="102">
        <f t="shared" si="10"/>
        <v>0</v>
      </c>
      <c r="F249" s="103" t="str">
        <f t="shared" si="0"/>
        <v>0 tubes and 0 shuttles</v>
      </c>
      <c r="G249" s="36">
        <f t="shared" si="11"/>
        <v>0</v>
      </c>
      <c r="H249" s="104" t="str">
        <f t="shared" si="1"/>
        <v>0 tubes and 0 shuttles</v>
      </c>
      <c r="I249" s="36">
        <f t="shared" si="2"/>
        <v>0</v>
      </c>
      <c r="J249" s="103" t="str">
        <f t="shared" si="3"/>
        <v>0 tubes and 0 shuttles</v>
      </c>
    </row>
    <row r="250" spans="1:10" ht="12.5" x14ac:dyDescent="0.25">
      <c r="A250" s="32">
        <f>'Profit &amp; Loss'!A250</f>
        <v>0</v>
      </c>
      <c r="B250" s="35">
        <f>'Profit &amp; Loss'!B250</f>
        <v>0</v>
      </c>
      <c r="C250" s="36"/>
      <c r="D250" s="33"/>
      <c r="E250" s="102">
        <f t="shared" si="10"/>
        <v>0</v>
      </c>
      <c r="F250" s="103" t="str">
        <f t="shared" si="0"/>
        <v>0 tubes and 0 shuttles</v>
      </c>
      <c r="G250" s="36">
        <f t="shared" si="11"/>
        <v>0</v>
      </c>
      <c r="H250" s="104" t="str">
        <f t="shared" si="1"/>
        <v>0 tubes and 0 shuttles</v>
      </c>
      <c r="I250" s="36">
        <f t="shared" si="2"/>
        <v>0</v>
      </c>
      <c r="J250" s="103" t="str">
        <f t="shared" si="3"/>
        <v>0 tubes and 0 shuttles</v>
      </c>
    </row>
    <row r="251" spans="1:10" ht="12.5" x14ac:dyDescent="0.25">
      <c r="A251" s="32">
        <f>'Profit &amp; Loss'!A251</f>
        <v>0</v>
      </c>
      <c r="B251" s="35">
        <f>'Profit &amp; Loss'!B251</f>
        <v>0</v>
      </c>
      <c r="C251" s="36"/>
      <c r="D251" s="33"/>
      <c r="E251" s="102">
        <f t="shared" si="10"/>
        <v>0</v>
      </c>
      <c r="F251" s="103" t="str">
        <f t="shared" si="0"/>
        <v>0 tubes and 0 shuttles</v>
      </c>
      <c r="G251" s="36">
        <f t="shared" si="11"/>
        <v>0</v>
      </c>
      <c r="H251" s="104" t="str">
        <f t="shared" si="1"/>
        <v>0 tubes and 0 shuttles</v>
      </c>
      <c r="I251" s="36">
        <f t="shared" si="2"/>
        <v>0</v>
      </c>
      <c r="J251" s="103" t="str">
        <f t="shared" si="3"/>
        <v>0 tubes and 0 shuttles</v>
      </c>
    </row>
    <row r="252" spans="1:10" ht="12.5" x14ac:dyDescent="0.25">
      <c r="A252" s="32">
        <f>'Profit &amp; Loss'!A252</f>
        <v>0</v>
      </c>
      <c r="B252" s="35">
        <f>'Profit &amp; Loss'!B252</f>
        <v>0</v>
      </c>
      <c r="C252" s="36"/>
      <c r="D252" s="33"/>
      <c r="E252" s="102">
        <f t="shared" si="10"/>
        <v>0</v>
      </c>
      <c r="F252" s="103" t="str">
        <f t="shared" si="0"/>
        <v>0 tubes and 0 shuttles</v>
      </c>
      <c r="G252" s="36">
        <f t="shared" si="11"/>
        <v>0</v>
      </c>
      <c r="H252" s="104" t="str">
        <f t="shared" si="1"/>
        <v>0 tubes and 0 shuttles</v>
      </c>
      <c r="I252" s="36">
        <f t="shared" si="2"/>
        <v>0</v>
      </c>
      <c r="J252" s="103" t="str">
        <f t="shared" si="3"/>
        <v>0 tubes and 0 shuttles</v>
      </c>
    </row>
    <row r="253" spans="1:10" ht="12.5" x14ac:dyDescent="0.25">
      <c r="A253" s="32">
        <f>'Profit &amp; Loss'!A253</f>
        <v>0</v>
      </c>
      <c r="B253" s="35">
        <f>'Profit &amp; Loss'!B253</f>
        <v>0</v>
      </c>
      <c r="C253" s="36"/>
      <c r="D253" s="33"/>
      <c r="E253" s="102">
        <f t="shared" si="10"/>
        <v>0</v>
      </c>
      <c r="F253" s="103" t="str">
        <f t="shared" si="0"/>
        <v>0 tubes and 0 shuttles</v>
      </c>
      <c r="G253" s="36">
        <f t="shared" si="11"/>
        <v>0</v>
      </c>
      <c r="H253" s="104" t="str">
        <f t="shared" si="1"/>
        <v>0 tubes and 0 shuttles</v>
      </c>
      <c r="I253" s="36">
        <f t="shared" si="2"/>
        <v>0</v>
      </c>
      <c r="J253" s="103" t="str">
        <f t="shared" si="3"/>
        <v>0 tubes and 0 shuttles</v>
      </c>
    </row>
    <row r="254" spans="1:10" ht="12.5" x14ac:dyDescent="0.25">
      <c r="A254" s="32">
        <f>'Profit &amp; Loss'!A254</f>
        <v>0</v>
      </c>
      <c r="B254" s="35">
        <f>'Profit &amp; Loss'!B254</f>
        <v>0</v>
      </c>
      <c r="C254" s="36"/>
      <c r="D254" s="33"/>
      <c r="E254" s="102">
        <f t="shared" si="10"/>
        <v>0</v>
      </c>
      <c r="F254" s="103" t="str">
        <f t="shared" si="0"/>
        <v>0 tubes and 0 shuttles</v>
      </c>
      <c r="G254" s="36">
        <f t="shared" si="11"/>
        <v>0</v>
      </c>
      <c r="H254" s="104" t="str">
        <f t="shared" si="1"/>
        <v>0 tubes and 0 shuttles</v>
      </c>
      <c r="I254" s="36">
        <f t="shared" si="2"/>
        <v>0</v>
      </c>
      <c r="J254" s="103" t="str">
        <f t="shared" si="3"/>
        <v>0 tubes and 0 shuttles</v>
      </c>
    </row>
    <row r="255" spans="1:10" ht="12.5" x14ac:dyDescent="0.25">
      <c r="A255" s="32">
        <f>'Profit &amp; Loss'!A255</f>
        <v>0</v>
      </c>
      <c r="B255" s="35">
        <f>'Profit &amp; Loss'!B255</f>
        <v>0</v>
      </c>
      <c r="C255" s="36"/>
      <c r="D255" s="33"/>
      <c r="E255" s="102">
        <f t="shared" si="10"/>
        <v>0</v>
      </c>
      <c r="F255" s="103" t="str">
        <f t="shared" si="0"/>
        <v>0 tubes and 0 shuttles</v>
      </c>
      <c r="G255" s="36">
        <f t="shared" si="11"/>
        <v>0</v>
      </c>
      <c r="H255" s="104" t="str">
        <f t="shared" si="1"/>
        <v>0 tubes and 0 shuttles</v>
      </c>
      <c r="I255" s="36">
        <f t="shared" si="2"/>
        <v>0</v>
      </c>
      <c r="J255" s="103" t="str">
        <f t="shared" si="3"/>
        <v>0 tubes and 0 shuttles</v>
      </c>
    </row>
    <row r="256" spans="1:10" ht="12.5" x14ac:dyDescent="0.25">
      <c r="A256" s="32">
        <f>'Profit &amp; Loss'!A256</f>
        <v>0</v>
      </c>
      <c r="B256" s="35">
        <f>'Profit &amp; Loss'!B256</f>
        <v>0</v>
      </c>
      <c r="C256" s="36"/>
      <c r="D256" s="33"/>
      <c r="E256" s="102">
        <f t="shared" si="10"/>
        <v>0</v>
      </c>
      <c r="F256" s="103" t="str">
        <f t="shared" si="0"/>
        <v>0 tubes and 0 shuttles</v>
      </c>
      <c r="G256" s="36">
        <f t="shared" si="11"/>
        <v>0</v>
      </c>
      <c r="H256" s="104" t="str">
        <f t="shared" si="1"/>
        <v>0 tubes and 0 shuttles</v>
      </c>
      <c r="I256" s="36">
        <f t="shared" si="2"/>
        <v>0</v>
      </c>
      <c r="J256" s="103" t="str">
        <f t="shared" si="3"/>
        <v>0 tubes and 0 shuttles</v>
      </c>
    </row>
    <row r="257" spans="1:10" ht="12.5" x14ac:dyDescent="0.25">
      <c r="A257" s="32">
        <f>'Profit &amp; Loss'!A257</f>
        <v>0</v>
      </c>
      <c r="B257" s="35">
        <f>'Profit &amp; Loss'!B257</f>
        <v>0</v>
      </c>
      <c r="C257" s="36"/>
      <c r="D257" s="33"/>
      <c r="E257" s="102">
        <f t="shared" si="10"/>
        <v>0</v>
      </c>
      <c r="F257" s="103" t="str">
        <f t="shared" si="0"/>
        <v>0 tubes and 0 shuttles</v>
      </c>
      <c r="G257" s="36">
        <f t="shared" si="11"/>
        <v>0</v>
      </c>
      <c r="H257" s="104" t="str">
        <f t="shared" si="1"/>
        <v>0 tubes and 0 shuttles</v>
      </c>
      <c r="I257" s="36">
        <f t="shared" si="2"/>
        <v>0</v>
      </c>
      <c r="J257" s="103" t="str">
        <f t="shared" si="3"/>
        <v>0 tubes and 0 shuttles</v>
      </c>
    </row>
    <row r="258" spans="1:10" ht="12.5" x14ac:dyDescent="0.25">
      <c r="A258" s="32">
        <f>'Profit &amp; Loss'!A258</f>
        <v>0</v>
      </c>
      <c r="B258" s="35">
        <f>'Profit &amp; Loss'!B258</f>
        <v>0</v>
      </c>
      <c r="C258" s="36"/>
      <c r="D258" s="33"/>
      <c r="E258" s="102">
        <f t="shared" si="10"/>
        <v>0</v>
      </c>
      <c r="F258" s="103" t="str">
        <f t="shared" si="0"/>
        <v>0 tubes and 0 shuttles</v>
      </c>
      <c r="G258" s="36">
        <f t="shared" si="11"/>
        <v>0</v>
      </c>
      <c r="H258" s="104" t="str">
        <f t="shared" si="1"/>
        <v>0 tubes and 0 shuttles</v>
      </c>
      <c r="I258" s="36">
        <f t="shared" si="2"/>
        <v>0</v>
      </c>
      <c r="J258" s="103" t="str">
        <f t="shared" si="3"/>
        <v>0 tubes and 0 shuttles</v>
      </c>
    </row>
    <row r="259" spans="1:10" ht="12.5" x14ac:dyDescent="0.25">
      <c r="A259" s="32">
        <f>'Profit &amp; Loss'!A259</f>
        <v>0</v>
      </c>
      <c r="B259" s="35">
        <f>'Profit &amp; Loss'!B259</f>
        <v>0</v>
      </c>
      <c r="C259" s="36"/>
      <c r="D259" s="33"/>
      <c r="E259" s="102">
        <f t="shared" si="10"/>
        <v>0</v>
      </c>
      <c r="F259" s="103" t="str">
        <f t="shared" si="0"/>
        <v>0 tubes and 0 shuttles</v>
      </c>
      <c r="G259" s="36">
        <f t="shared" si="11"/>
        <v>0</v>
      </c>
      <c r="H259" s="104" t="str">
        <f t="shared" si="1"/>
        <v>0 tubes and 0 shuttles</v>
      </c>
      <c r="I259" s="36">
        <f t="shared" si="2"/>
        <v>0</v>
      </c>
      <c r="J259" s="103" t="str">
        <f t="shared" si="3"/>
        <v>0 tubes and 0 shuttles</v>
      </c>
    </row>
    <row r="260" spans="1:10" ht="12.5" x14ac:dyDescent="0.25">
      <c r="A260" s="32">
        <f>'Profit &amp; Loss'!A260</f>
        <v>0</v>
      </c>
      <c r="B260" s="35">
        <f>'Profit &amp; Loss'!B260</f>
        <v>0</v>
      </c>
      <c r="C260" s="36"/>
      <c r="D260" s="33"/>
      <c r="E260" s="102">
        <f t="shared" si="10"/>
        <v>0</v>
      </c>
      <c r="F260" s="103" t="str">
        <f t="shared" si="0"/>
        <v>0 tubes and 0 shuttles</v>
      </c>
      <c r="G260" s="36">
        <f t="shared" si="11"/>
        <v>0</v>
      </c>
      <c r="H260" s="104" t="str">
        <f t="shared" si="1"/>
        <v>0 tubes and 0 shuttles</v>
      </c>
      <c r="I260" s="36">
        <f t="shared" si="2"/>
        <v>0</v>
      </c>
      <c r="J260" s="103" t="str">
        <f t="shared" si="3"/>
        <v>0 tubes and 0 shuttles</v>
      </c>
    </row>
    <row r="261" spans="1:10" ht="12.5" x14ac:dyDescent="0.25">
      <c r="A261" s="32">
        <f>'Profit &amp; Loss'!A261</f>
        <v>0</v>
      </c>
      <c r="B261" s="35">
        <f>'Profit &amp; Loss'!B261</f>
        <v>0</v>
      </c>
      <c r="C261" s="36"/>
      <c r="D261" s="33"/>
      <c r="E261" s="102">
        <f t="shared" si="10"/>
        <v>0</v>
      </c>
      <c r="F261" s="103" t="str">
        <f t="shared" ref="F261:F515" si="12">QUOTIENT(E261,12) &amp; " tubes and " &amp; MOD(E261,12) &amp; " shuttles"</f>
        <v>0 tubes and 0 shuttles</v>
      </c>
      <c r="G261" s="36">
        <f t="shared" si="11"/>
        <v>0</v>
      </c>
      <c r="H261" s="104" t="str">
        <f t="shared" ref="H261:H515" si="13">QUOTIENT(G261,12) &amp; " tubes and " &amp; MOD(G261,12) &amp; " shuttles"</f>
        <v>0 tubes and 0 shuttles</v>
      </c>
      <c r="I261" s="36">
        <f t="shared" ref="I261:I515" si="14">SUM(E261:H261)</f>
        <v>0</v>
      </c>
      <c r="J261" s="103" t="str">
        <f t="shared" ref="J261:J515" si="15">QUOTIENT(I261,12) &amp; " tubes and " &amp; MOD(I261,12) &amp; " shuttles"</f>
        <v>0 tubes and 0 shuttles</v>
      </c>
    </row>
    <row r="262" spans="1:10" ht="12.5" x14ac:dyDescent="0.25">
      <c r="A262" s="32">
        <f>'Profit &amp; Loss'!A262</f>
        <v>0</v>
      </c>
      <c r="B262" s="35">
        <f>'Profit &amp; Loss'!B262</f>
        <v>0</v>
      </c>
      <c r="C262" s="36"/>
      <c r="D262" s="33"/>
      <c r="E262" s="102">
        <f t="shared" si="10"/>
        <v>0</v>
      </c>
      <c r="F262" s="103" t="str">
        <f t="shared" si="12"/>
        <v>0 tubes and 0 shuttles</v>
      </c>
      <c r="G262" s="36">
        <f t="shared" si="11"/>
        <v>0</v>
      </c>
      <c r="H262" s="104" t="str">
        <f t="shared" si="13"/>
        <v>0 tubes and 0 shuttles</v>
      </c>
      <c r="I262" s="36">
        <f t="shared" si="14"/>
        <v>0</v>
      </c>
      <c r="J262" s="103" t="str">
        <f t="shared" si="15"/>
        <v>0 tubes and 0 shuttles</v>
      </c>
    </row>
    <row r="263" spans="1:10" ht="12.5" x14ac:dyDescent="0.25">
      <c r="A263" s="32">
        <f>'Profit &amp; Loss'!A263</f>
        <v>0</v>
      </c>
      <c r="B263" s="35">
        <f>'Profit &amp; Loss'!B263</f>
        <v>0</v>
      </c>
      <c r="C263" s="36"/>
      <c r="D263" s="33"/>
      <c r="E263" s="102">
        <f t="shared" si="10"/>
        <v>0</v>
      </c>
      <c r="F263" s="103" t="str">
        <f t="shared" si="12"/>
        <v>0 tubes and 0 shuttles</v>
      </c>
      <c r="G263" s="36">
        <f t="shared" si="11"/>
        <v>0</v>
      </c>
      <c r="H263" s="104" t="str">
        <f t="shared" si="13"/>
        <v>0 tubes and 0 shuttles</v>
      </c>
      <c r="I263" s="36">
        <f t="shared" si="14"/>
        <v>0</v>
      </c>
      <c r="J263" s="103" t="str">
        <f t="shared" si="15"/>
        <v>0 tubes and 0 shuttles</v>
      </c>
    </row>
    <row r="264" spans="1:10" ht="12.5" x14ac:dyDescent="0.25">
      <c r="A264" s="32">
        <f>'Profit &amp; Loss'!A264</f>
        <v>0</v>
      </c>
      <c r="B264" s="35">
        <f>'Profit &amp; Loss'!B264</f>
        <v>0</v>
      </c>
      <c r="C264" s="36"/>
      <c r="D264" s="33"/>
      <c r="E264" s="102">
        <f t="shared" si="10"/>
        <v>0</v>
      </c>
      <c r="F264" s="103" t="str">
        <f t="shared" si="12"/>
        <v>0 tubes and 0 shuttles</v>
      </c>
      <c r="G264" s="36">
        <f t="shared" si="11"/>
        <v>0</v>
      </c>
      <c r="H264" s="104" t="str">
        <f t="shared" si="13"/>
        <v>0 tubes and 0 shuttles</v>
      </c>
      <c r="I264" s="36">
        <f t="shared" si="14"/>
        <v>0</v>
      </c>
      <c r="J264" s="103" t="str">
        <f t="shared" si="15"/>
        <v>0 tubes and 0 shuttles</v>
      </c>
    </row>
    <row r="265" spans="1:10" ht="12.5" x14ac:dyDescent="0.25">
      <c r="A265" s="32">
        <f>'Profit &amp; Loss'!A265</f>
        <v>0</v>
      </c>
      <c r="B265" s="35">
        <f>'Profit &amp; Loss'!B265</f>
        <v>0</v>
      </c>
      <c r="C265" s="36"/>
      <c r="D265" s="33"/>
      <c r="E265" s="102">
        <f t="shared" si="10"/>
        <v>0</v>
      </c>
      <c r="F265" s="103" t="str">
        <f t="shared" si="12"/>
        <v>0 tubes and 0 shuttles</v>
      </c>
      <c r="G265" s="36">
        <f t="shared" si="11"/>
        <v>0</v>
      </c>
      <c r="H265" s="104" t="str">
        <f t="shared" si="13"/>
        <v>0 tubes and 0 shuttles</v>
      </c>
      <c r="I265" s="36">
        <f t="shared" si="14"/>
        <v>0</v>
      </c>
      <c r="J265" s="103" t="str">
        <f t="shared" si="15"/>
        <v>0 tubes and 0 shuttles</v>
      </c>
    </row>
    <row r="266" spans="1:10" ht="12.5" x14ac:dyDescent="0.25">
      <c r="A266" s="32">
        <f>'Profit &amp; Loss'!A266</f>
        <v>0</v>
      </c>
      <c r="B266" s="35">
        <f>'Profit &amp; Loss'!B266</f>
        <v>0</v>
      </c>
      <c r="C266" s="36"/>
      <c r="D266" s="33"/>
      <c r="E266" s="102">
        <f t="shared" si="10"/>
        <v>0</v>
      </c>
      <c r="F266" s="103" t="str">
        <f t="shared" si="12"/>
        <v>0 tubes and 0 shuttles</v>
      </c>
      <c r="G266" s="36">
        <f t="shared" si="11"/>
        <v>0</v>
      </c>
      <c r="H266" s="104" t="str">
        <f t="shared" si="13"/>
        <v>0 tubes and 0 shuttles</v>
      </c>
      <c r="I266" s="36">
        <f t="shared" si="14"/>
        <v>0</v>
      </c>
      <c r="J266" s="103" t="str">
        <f t="shared" si="15"/>
        <v>0 tubes and 0 shuttles</v>
      </c>
    </row>
    <row r="267" spans="1:10" ht="12.5" x14ac:dyDescent="0.25">
      <c r="A267" s="32">
        <f>'Profit &amp; Loss'!A267</f>
        <v>0</v>
      </c>
      <c r="B267" s="35">
        <f>'Profit &amp; Loss'!B267</f>
        <v>0</v>
      </c>
      <c r="C267" s="36"/>
      <c r="D267" s="33"/>
      <c r="E267" s="102">
        <f t="shared" si="10"/>
        <v>0</v>
      </c>
      <c r="F267" s="103" t="str">
        <f t="shared" si="12"/>
        <v>0 tubes and 0 shuttles</v>
      </c>
      <c r="G267" s="36">
        <f t="shared" si="11"/>
        <v>0</v>
      </c>
      <c r="H267" s="104" t="str">
        <f t="shared" si="13"/>
        <v>0 tubes and 0 shuttles</v>
      </c>
      <c r="I267" s="36">
        <f t="shared" si="14"/>
        <v>0</v>
      </c>
      <c r="J267" s="103" t="str">
        <f t="shared" si="15"/>
        <v>0 tubes and 0 shuttles</v>
      </c>
    </row>
    <row r="268" spans="1:10" ht="12.5" x14ac:dyDescent="0.25">
      <c r="A268" s="32">
        <f>'Profit &amp; Loss'!A268</f>
        <v>0</v>
      </c>
      <c r="B268" s="35">
        <f>'Profit &amp; Loss'!B268</f>
        <v>0</v>
      </c>
      <c r="C268" s="36"/>
      <c r="D268" s="33"/>
      <c r="E268" s="102">
        <f t="shared" si="10"/>
        <v>0</v>
      </c>
      <c r="F268" s="103" t="str">
        <f t="shared" si="12"/>
        <v>0 tubes and 0 shuttles</v>
      </c>
      <c r="G268" s="36">
        <f t="shared" si="11"/>
        <v>0</v>
      </c>
      <c r="H268" s="104" t="str">
        <f t="shared" si="13"/>
        <v>0 tubes and 0 shuttles</v>
      </c>
      <c r="I268" s="36">
        <f t="shared" si="14"/>
        <v>0</v>
      </c>
      <c r="J268" s="103" t="str">
        <f t="shared" si="15"/>
        <v>0 tubes and 0 shuttles</v>
      </c>
    </row>
    <row r="269" spans="1:10" ht="12.5" x14ac:dyDescent="0.25">
      <c r="A269" s="32">
        <f>'Profit &amp; Loss'!A269</f>
        <v>0</v>
      </c>
      <c r="B269" s="35">
        <f>'Profit &amp; Loss'!B269</f>
        <v>0</v>
      </c>
      <c r="C269" s="36"/>
      <c r="D269" s="33"/>
      <c r="E269" s="102">
        <f t="shared" si="10"/>
        <v>0</v>
      </c>
      <c r="F269" s="103" t="str">
        <f t="shared" si="12"/>
        <v>0 tubes and 0 shuttles</v>
      </c>
      <c r="G269" s="36">
        <f t="shared" si="11"/>
        <v>0</v>
      </c>
      <c r="H269" s="104" t="str">
        <f t="shared" si="13"/>
        <v>0 tubes and 0 shuttles</v>
      </c>
      <c r="I269" s="36">
        <f t="shared" si="14"/>
        <v>0</v>
      </c>
      <c r="J269" s="103" t="str">
        <f t="shared" si="15"/>
        <v>0 tubes and 0 shuttles</v>
      </c>
    </row>
    <row r="270" spans="1:10" ht="12.5" x14ac:dyDescent="0.25">
      <c r="A270" s="32">
        <f>'Profit &amp; Loss'!A270</f>
        <v>0</v>
      </c>
      <c r="B270" s="35">
        <f>'Profit &amp; Loss'!B270</f>
        <v>0</v>
      </c>
      <c r="C270" s="36"/>
      <c r="D270" s="33"/>
      <c r="E270" s="102">
        <f t="shared" si="10"/>
        <v>0</v>
      </c>
      <c r="F270" s="103" t="str">
        <f t="shared" si="12"/>
        <v>0 tubes and 0 shuttles</v>
      </c>
      <c r="G270" s="36">
        <f t="shared" si="11"/>
        <v>0</v>
      </c>
      <c r="H270" s="104" t="str">
        <f t="shared" si="13"/>
        <v>0 tubes and 0 shuttles</v>
      </c>
      <c r="I270" s="36">
        <f t="shared" si="14"/>
        <v>0</v>
      </c>
      <c r="J270" s="103" t="str">
        <f t="shared" si="15"/>
        <v>0 tubes and 0 shuttles</v>
      </c>
    </row>
    <row r="271" spans="1:10" ht="12.5" x14ac:dyDescent="0.25">
      <c r="A271" s="32">
        <f>'Profit &amp; Loss'!A271</f>
        <v>0</v>
      </c>
      <c r="B271" s="35">
        <f>'Profit &amp; Loss'!B271</f>
        <v>0</v>
      </c>
      <c r="C271" s="36"/>
      <c r="D271" s="33"/>
      <c r="E271" s="102">
        <f t="shared" si="10"/>
        <v>0</v>
      </c>
      <c r="F271" s="103" t="str">
        <f t="shared" si="12"/>
        <v>0 tubes and 0 shuttles</v>
      </c>
      <c r="G271" s="36">
        <f t="shared" si="11"/>
        <v>0</v>
      </c>
      <c r="H271" s="104" t="str">
        <f t="shared" si="13"/>
        <v>0 tubes and 0 shuttles</v>
      </c>
      <c r="I271" s="36">
        <f t="shared" si="14"/>
        <v>0</v>
      </c>
      <c r="J271" s="103" t="str">
        <f t="shared" si="15"/>
        <v>0 tubes and 0 shuttles</v>
      </c>
    </row>
    <row r="272" spans="1:10" ht="12.5" x14ac:dyDescent="0.25">
      <c r="A272" s="32">
        <f>'Profit &amp; Loss'!A272</f>
        <v>0</v>
      </c>
      <c r="B272" s="35">
        <f>'Profit &amp; Loss'!B272</f>
        <v>0</v>
      </c>
      <c r="C272" s="36"/>
      <c r="D272" s="33"/>
      <c r="E272" s="102">
        <f t="shared" si="10"/>
        <v>0</v>
      </c>
      <c r="F272" s="103" t="str">
        <f t="shared" si="12"/>
        <v>0 tubes and 0 shuttles</v>
      </c>
      <c r="G272" s="36">
        <f t="shared" si="11"/>
        <v>0</v>
      </c>
      <c r="H272" s="104" t="str">
        <f t="shared" si="13"/>
        <v>0 tubes and 0 shuttles</v>
      </c>
      <c r="I272" s="36">
        <f t="shared" si="14"/>
        <v>0</v>
      </c>
      <c r="J272" s="103" t="str">
        <f t="shared" si="15"/>
        <v>0 tubes and 0 shuttles</v>
      </c>
    </row>
    <row r="273" spans="1:10" ht="12.5" x14ac:dyDescent="0.25">
      <c r="A273" s="32">
        <f>'Profit &amp; Loss'!A273</f>
        <v>0</v>
      </c>
      <c r="B273" s="35">
        <f>'Profit &amp; Loss'!B273</f>
        <v>0</v>
      </c>
      <c r="C273" s="36"/>
      <c r="D273" s="33"/>
      <c r="E273" s="102">
        <f t="shared" si="10"/>
        <v>0</v>
      </c>
      <c r="F273" s="103" t="str">
        <f t="shared" si="12"/>
        <v>0 tubes and 0 shuttles</v>
      </c>
      <c r="G273" s="36">
        <f t="shared" si="11"/>
        <v>0</v>
      </c>
      <c r="H273" s="104" t="str">
        <f t="shared" si="13"/>
        <v>0 tubes and 0 shuttles</v>
      </c>
      <c r="I273" s="36">
        <f t="shared" si="14"/>
        <v>0</v>
      </c>
      <c r="J273" s="103" t="str">
        <f t="shared" si="15"/>
        <v>0 tubes and 0 shuttles</v>
      </c>
    </row>
    <row r="274" spans="1:10" ht="12.5" x14ac:dyDescent="0.25">
      <c r="A274" s="32">
        <f>'Profit &amp; Loss'!A274</f>
        <v>0</v>
      </c>
      <c r="B274" s="35">
        <f>'Profit &amp; Loss'!B274</f>
        <v>0</v>
      </c>
      <c r="C274" s="36"/>
      <c r="D274" s="33"/>
      <c r="E274" s="102">
        <f t="shared" si="10"/>
        <v>0</v>
      </c>
      <c r="F274" s="103" t="str">
        <f t="shared" si="12"/>
        <v>0 tubes and 0 shuttles</v>
      </c>
      <c r="G274" s="36">
        <f t="shared" si="11"/>
        <v>0</v>
      </c>
      <c r="H274" s="104" t="str">
        <f t="shared" si="13"/>
        <v>0 tubes and 0 shuttles</v>
      </c>
      <c r="I274" s="36">
        <f t="shared" si="14"/>
        <v>0</v>
      </c>
      <c r="J274" s="103" t="str">
        <f t="shared" si="15"/>
        <v>0 tubes and 0 shuttles</v>
      </c>
    </row>
    <row r="275" spans="1:10" ht="12.5" x14ac:dyDescent="0.25">
      <c r="A275" s="32">
        <f>'Profit &amp; Loss'!A275</f>
        <v>0</v>
      </c>
      <c r="B275" s="35">
        <f>'Profit &amp; Loss'!B275</f>
        <v>0</v>
      </c>
      <c r="C275" s="36"/>
      <c r="D275" s="33"/>
      <c r="E275" s="102">
        <f t="shared" si="10"/>
        <v>0</v>
      </c>
      <c r="F275" s="103" t="str">
        <f t="shared" si="12"/>
        <v>0 tubes and 0 shuttles</v>
      </c>
      <c r="G275" s="36">
        <f t="shared" si="11"/>
        <v>0</v>
      </c>
      <c r="H275" s="104" t="str">
        <f t="shared" si="13"/>
        <v>0 tubes and 0 shuttles</v>
      </c>
      <c r="I275" s="36">
        <f t="shared" si="14"/>
        <v>0</v>
      </c>
      <c r="J275" s="103" t="str">
        <f t="shared" si="15"/>
        <v>0 tubes and 0 shuttles</v>
      </c>
    </row>
    <row r="276" spans="1:10" ht="12.5" x14ac:dyDescent="0.25">
      <c r="A276" s="32">
        <f>'Profit &amp; Loss'!A276</f>
        <v>0</v>
      </c>
      <c r="B276" s="35">
        <f>'Profit &amp; Loss'!B276</f>
        <v>0</v>
      </c>
      <c r="C276" s="36"/>
      <c r="D276" s="33"/>
      <c r="E276" s="102">
        <f t="shared" si="10"/>
        <v>0</v>
      </c>
      <c r="F276" s="103" t="str">
        <f t="shared" si="12"/>
        <v>0 tubes and 0 shuttles</v>
      </c>
      <c r="G276" s="36">
        <f t="shared" si="11"/>
        <v>0</v>
      </c>
      <c r="H276" s="104" t="str">
        <f t="shared" si="13"/>
        <v>0 tubes and 0 shuttles</v>
      </c>
      <c r="I276" s="36">
        <f t="shared" si="14"/>
        <v>0</v>
      </c>
      <c r="J276" s="103" t="str">
        <f t="shared" si="15"/>
        <v>0 tubes and 0 shuttles</v>
      </c>
    </row>
    <row r="277" spans="1:10" ht="12.5" x14ac:dyDescent="0.25">
      <c r="A277" s="32">
        <f>'Profit &amp; Loss'!A277</f>
        <v>0</v>
      </c>
      <c r="B277" s="35">
        <f>'Profit &amp; Loss'!B277</f>
        <v>0</v>
      </c>
      <c r="C277" s="36"/>
      <c r="D277" s="33"/>
      <c r="E277" s="102">
        <f t="shared" si="10"/>
        <v>0</v>
      </c>
      <c r="F277" s="103" t="str">
        <f t="shared" si="12"/>
        <v>0 tubes and 0 shuttles</v>
      </c>
      <c r="G277" s="36">
        <f t="shared" si="11"/>
        <v>0</v>
      </c>
      <c r="H277" s="104" t="str">
        <f t="shared" si="13"/>
        <v>0 tubes and 0 shuttles</v>
      </c>
      <c r="I277" s="36">
        <f t="shared" si="14"/>
        <v>0</v>
      </c>
      <c r="J277" s="103" t="str">
        <f t="shared" si="15"/>
        <v>0 tubes and 0 shuttles</v>
      </c>
    </row>
    <row r="278" spans="1:10" ht="12.5" x14ac:dyDescent="0.25">
      <c r="A278" s="32">
        <f>'Profit &amp; Loss'!A278</f>
        <v>0</v>
      </c>
      <c r="B278" s="35">
        <f>'Profit &amp; Loss'!B278</f>
        <v>0</v>
      </c>
      <c r="C278" s="36"/>
      <c r="D278" s="33"/>
      <c r="E278" s="102">
        <f t="shared" si="10"/>
        <v>0</v>
      </c>
      <c r="F278" s="103" t="str">
        <f t="shared" si="12"/>
        <v>0 tubes and 0 shuttles</v>
      </c>
      <c r="G278" s="36">
        <f t="shared" si="11"/>
        <v>0</v>
      </c>
      <c r="H278" s="104" t="str">
        <f t="shared" si="13"/>
        <v>0 tubes and 0 shuttles</v>
      </c>
      <c r="I278" s="36">
        <f t="shared" si="14"/>
        <v>0</v>
      </c>
      <c r="J278" s="103" t="str">
        <f t="shared" si="15"/>
        <v>0 tubes and 0 shuttles</v>
      </c>
    </row>
    <row r="279" spans="1:10" ht="12.5" x14ac:dyDescent="0.25">
      <c r="A279" s="32">
        <f>'Profit &amp; Loss'!A279</f>
        <v>0</v>
      </c>
      <c r="B279" s="35">
        <f>'Profit &amp; Loss'!B279</f>
        <v>0</v>
      </c>
      <c r="C279" s="36"/>
      <c r="D279" s="33"/>
      <c r="E279" s="102">
        <f t="shared" si="10"/>
        <v>0</v>
      </c>
      <c r="F279" s="103" t="str">
        <f t="shared" si="12"/>
        <v>0 tubes and 0 shuttles</v>
      </c>
      <c r="G279" s="36">
        <f t="shared" si="11"/>
        <v>0</v>
      </c>
      <c r="H279" s="104" t="str">
        <f t="shared" si="13"/>
        <v>0 tubes and 0 shuttles</v>
      </c>
      <c r="I279" s="36">
        <f t="shared" si="14"/>
        <v>0</v>
      </c>
      <c r="J279" s="103" t="str">
        <f t="shared" si="15"/>
        <v>0 tubes and 0 shuttles</v>
      </c>
    </row>
    <row r="280" spans="1:10" ht="12.5" x14ac:dyDescent="0.25">
      <c r="A280" s="32">
        <f>'Profit &amp; Loss'!A280</f>
        <v>0</v>
      </c>
      <c r="B280" s="35">
        <f>'Profit &amp; Loss'!B280</f>
        <v>0</v>
      </c>
      <c r="C280" s="36"/>
      <c r="D280" s="33"/>
      <c r="E280" s="102">
        <f t="shared" si="10"/>
        <v>0</v>
      </c>
      <c r="F280" s="103" t="str">
        <f t="shared" si="12"/>
        <v>0 tubes and 0 shuttles</v>
      </c>
      <c r="G280" s="36">
        <f t="shared" si="11"/>
        <v>0</v>
      </c>
      <c r="H280" s="104" t="str">
        <f t="shared" si="13"/>
        <v>0 tubes and 0 shuttles</v>
      </c>
      <c r="I280" s="36">
        <f t="shared" si="14"/>
        <v>0</v>
      </c>
      <c r="J280" s="103" t="str">
        <f t="shared" si="15"/>
        <v>0 tubes and 0 shuttles</v>
      </c>
    </row>
    <row r="281" spans="1:10" ht="12.5" x14ac:dyDescent="0.25">
      <c r="A281" s="32">
        <f>'Profit &amp; Loss'!A281</f>
        <v>0</v>
      </c>
      <c r="B281" s="35">
        <f>'Profit &amp; Loss'!B281</f>
        <v>0</v>
      </c>
      <c r="C281" s="36"/>
      <c r="D281" s="33"/>
      <c r="E281" s="102">
        <f t="shared" si="10"/>
        <v>0</v>
      </c>
      <c r="F281" s="103" t="str">
        <f t="shared" si="12"/>
        <v>0 tubes and 0 shuttles</v>
      </c>
      <c r="G281" s="36">
        <f t="shared" si="11"/>
        <v>0</v>
      </c>
      <c r="H281" s="104" t="str">
        <f t="shared" si="13"/>
        <v>0 tubes and 0 shuttles</v>
      </c>
      <c r="I281" s="36">
        <f t="shared" si="14"/>
        <v>0</v>
      </c>
      <c r="J281" s="103" t="str">
        <f t="shared" si="15"/>
        <v>0 tubes and 0 shuttles</v>
      </c>
    </row>
    <row r="282" spans="1:10" ht="12.5" x14ac:dyDescent="0.25">
      <c r="A282" s="32">
        <f>'Profit &amp; Loss'!A282</f>
        <v>0</v>
      </c>
      <c r="B282" s="35">
        <f>'Profit &amp; Loss'!B282</f>
        <v>0</v>
      </c>
      <c r="C282" s="36"/>
      <c r="D282" s="33"/>
      <c r="E282" s="102">
        <f t="shared" si="10"/>
        <v>0</v>
      </c>
      <c r="F282" s="103" t="str">
        <f t="shared" si="12"/>
        <v>0 tubes and 0 shuttles</v>
      </c>
      <c r="G282" s="36">
        <f t="shared" si="11"/>
        <v>0</v>
      </c>
      <c r="H282" s="104" t="str">
        <f t="shared" si="13"/>
        <v>0 tubes and 0 shuttles</v>
      </c>
      <c r="I282" s="36">
        <f t="shared" si="14"/>
        <v>0</v>
      </c>
      <c r="J282" s="103" t="str">
        <f t="shared" si="15"/>
        <v>0 tubes and 0 shuttles</v>
      </c>
    </row>
    <row r="283" spans="1:10" ht="12.5" x14ac:dyDescent="0.25">
      <c r="A283" s="32">
        <f>'Profit &amp; Loss'!A283</f>
        <v>0</v>
      </c>
      <c r="B283" s="35">
        <f>'Profit &amp; Loss'!B283</f>
        <v>0</v>
      </c>
      <c r="C283" s="36"/>
      <c r="D283" s="33"/>
      <c r="E283" s="102">
        <f t="shared" si="10"/>
        <v>0</v>
      </c>
      <c r="F283" s="103" t="str">
        <f t="shared" si="12"/>
        <v>0 tubes and 0 shuttles</v>
      </c>
      <c r="G283" s="36">
        <f t="shared" si="11"/>
        <v>0</v>
      </c>
      <c r="H283" s="104" t="str">
        <f t="shared" si="13"/>
        <v>0 tubes and 0 shuttles</v>
      </c>
      <c r="I283" s="36">
        <f t="shared" si="14"/>
        <v>0</v>
      </c>
      <c r="J283" s="103" t="str">
        <f t="shared" si="15"/>
        <v>0 tubes and 0 shuttles</v>
      </c>
    </row>
    <row r="284" spans="1:10" ht="12.5" x14ac:dyDescent="0.25">
      <c r="A284" s="32">
        <f>'Profit &amp; Loss'!A284</f>
        <v>0</v>
      </c>
      <c r="B284" s="35">
        <f>'Profit &amp; Loss'!B284</f>
        <v>0</v>
      </c>
      <c r="C284" s="36"/>
      <c r="D284" s="33"/>
      <c r="E284" s="102">
        <f t="shared" si="10"/>
        <v>0</v>
      </c>
      <c r="F284" s="103" t="str">
        <f t="shared" si="12"/>
        <v>0 tubes and 0 shuttles</v>
      </c>
      <c r="G284" s="36">
        <f t="shared" si="11"/>
        <v>0</v>
      </c>
      <c r="H284" s="104" t="str">
        <f t="shared" si="13"/>
        <v>0 tubes and 0 shuttles</v>
      </c>
      <c r="I284" s="36">
        <f t="shared" si="14"/>
        <v>0</v>
      </c>
      <c r="J284" s="103" t="str">
        <f t="shared" si="15"/>
        <v>0 tubes and 0 shuttles</v>
      </c>
    </row>
    <row r="285" spans="1:10" ht="12.5" x14ac:dyDescent="0.25">
      <c r="A285" s="32">
        <f>'Profit &amp; Loss'!A285</f>
        <v>0</v>
      </c>
      <c r="B285" s="35">
        <f>'Profit &amp; Loss'!B285</f>
        <v>0</v>
      </c>
      <c r="C285" s="36"/>
      <c r="D285" s="33"/>
      <c r="E285" s="102">
        <f t="shared" si="10"/>
        <v>0</v>
      </c>
      <c r="F285" s="103" t="str">
        <f t="shared" si="12"/>
        <v>0 tubes and 0 shuttles</v>
      </c>
      <c r="G285" s="36">
        <f t="shared" si="11"/>
        <v>0</v>
      </c>
      <c r="H285" s="104" t="str">
        <f t="shared" si="13"/>
        <v>0 tubes and 0 shuttles</v>
      </c>
      <c r="I285" s="36">
        <f t="shared" si="14"/>
        <v>0</v>
      </c>
      <c r="J285" s="103" t="str">
        <f t="shared" si="15"/>
        <v>0 tubes and 0 shuttles</v>
      </c>
    </row>
    <row r="286" spans="1:10" ht="12.5" x14ac:dyDescent="0.25">
      <c r="A286" s="32">
        <f>'Profit &amp; Loss'!A286</f>
        <v>0</v>
      </c>
      <c r="B286" s="35">
        <f>'Profit &amp; Loss'!B286</f>
        <v>0</v>
      </c>
      <c r="C286" s="36"/>
      <c r="D286" s="33"/>
      <c r="E286" s="102">
        <f t="shared" si="10"/>
        <v>0</v>
      </c>
      <c r="F286" s="103" t="str">
        <f t="shared" si="12"/>
        <v>0 tubes and 0 shuttles</v>
      </c>
      <c r="G286" s="36">
        <f t="shared" si="11"/>
        <v>0</v>
      </c>
      <c r="H286" s="104" t="str">
        <f t="shared" si="13"/>
        <v>0 tubes and 0 shuttles</v>
      </c>
      <c r="I286" s="36">
        <f t="shared" si="14"/>
        <v>0</v>
      </c>
      <c r="J286" s="103" t="str">
        <f t="shared" si="15"/>
        <v>0 tubes and 0 shuttles</v>
      </c>
    </row>
    <row r="287" spans="1:10" ht="12.5" x14ac:dyDescent="0.25">
      <c r="A287" s="32">
        <f>'Profit &amp; Loss'!A287</f>
        <v>0</v>
      </c>
      <c r="B287" s="35">
        <f>'Profit &amp; Loss'!B287</f>
        <v>0</v>
      </c>
      <c r="C287" s="36"/>
      <c r="D287" s="33"/>
      <c r="E287" s="102">
        <f t="shared" si="10"/>
        <v>0</v>
      </c>
      <c r="F287" s="103" t="str">
        <f t="shared" si="12"/>
        <v>0 tubes and 0 shuttles</v>
      </c>
      <c r="G287" s="36">
        <f t="shared" si="11"/>
        <v>0</v>
      </c>
      <c r="H287" s="104" t="str">
        <f t="shared" si="13"/>
        <v>0 tubes and 0 shuttles</v>
      </c>
      <c r="I287" s="36">
        <f t="shared" si="14"/>
        <v>0</v>
      </c>
      <c r="J287" s="103" t="str">
        <f t="shared" si="15"/>
        <v>0 tubes and 0 shuttles</v>
      </c>
    </row>
    <row r="288" spans="1:10" ht="12.5" x14ac:dyDescent="0.25">
      <c r="A288" s="32">
        <f>'Profit &amp; Loss'!A288</f>
        <v>0</v>
      </c>
      <c r="B288" s="35">
        <f>'Profit &amp; Loss'!B288</f>
        <v>0</v>
      </c>
      <c r="C288" s="36"/>
      <c r="D288" s="33"/>
      <c r="E288" s="102">
        <f t="shared" si="10"/>
        <v>0</v>
      </c>
      <c r="F288" s="103" t="str">
        <f t="shared" si="12"/>
        <v>0 tubes and 0 shuttles</v>
      </c>
      <c r="G288" s="36">
        <f t="shared" si="11"/>
        <v>0</v>
      </c>
      <c r="H288" s="104" t="str">
        <f t="shared" si="13"/>
        <v>0 tubes and 0 shuttles</v>
      </c>
      <c r="I288" s="36">
        <f t="shared" si="14"/>
        <v>0</v>
      </c>
      <c r="J288" s="103" t="str">
        <f t="shared" si="15"/>
        <v>0 tubes and 0 shuttles</v>
      </c>
    </row>
    <row r="289" spans="1:10" ht="12.5" x14ac:dyDescent="0.25">
      <c r="A289" s="32">
        <f>'Profit &amp; Loss'!A289</f>
        <v>0</v>
      </c>
      <c r="B289" s="35">
        <f>'Profit &amp; Loss'!B289</f>
        <v>0</v>
      </c>
      <c r="C289" s="36"/>
      <c r="D289" s="33"/>
      <c r="E289" s="102">
        <f t="shared" si="10"/>
        <v>0</v>
      </c>
      <c r="F289" s="103" t="str">
        <f t="shared" si="12"/>
        <v>0 tubes and 0 shuttles</v>
      </c>
      <c r="G289" s="36">
        <f t="shared" si="11"/>
        <v>0</v>
      </c>
      <c r="H289" s="104" t="str">
        <f t="shared" si="13"/>
        <v>0 tubes and 0 shuttles</v>
      </c>
      <c r="I289" s="36">
        <f t="shared" si="14"/>
        <v>0</v>
      </c>
      <c r="J289" s="103" t="str">
        <f t="shared" si="15"/>
        <v>0 tubes and 0 shuttles</v>
      </c>
    </row>
    <row r="290" spans="1:10" ht="12.5" x14ac:dyDescent="0.25">
      <c r="A290" s="32">
        <f>'Profit &amp; Loss'!A290</f>
        <v>0</v>
      </c>
      <c r="B290" s="35">
        <f>'Profit &amp; Loss'!B290</f>
        <v>0</v>
      </c>
      <c r="C290" s="36"/>
      <c r="D290" s="33"/>
      <c r="E290" s="102">
        <f t="shared" si="10"/>
        <v>0</v>
      </c>
      <c r="F290" s="103" t="str">
        <f t="shared" si="12"/>
        <v>0 tubes and 0 shuttles</v>
      </c>
      <c r="G290" s="36">
        <f t="shared" si="11"/>
        <v>0</v>
      </c>
      <c r="H290" s="104" t="str">
        <f t="shared" si="13"/>
        <v>0 tubes and 0 shuttles</v>
      </c>
      <c r="I290" s="36">
        <f t="shared" si="14"/>
        <v>0</v>
      </c>
      <c r="J290" s="103" t="str">
        <f t="shared" si="15"/>
        <v>0 tubes and 0 shuttles</v>
      </c>
    </row>
    <row r="291" spans="1:10" ht="12.5" x14ac:dyDescent="0.25">
      <c r="A291" s="32">
        <f>'Profit &amp; Loss'!A291</f>
        <v>0</v>
      </c>
      <c r="B291" s="35">
        <f>'Profit &amp; Loss'!B291</f>
        <v>0</v>
      </c>
      <c r="C291" s="36"/>
      <c r="D291" s="33"/>
      <c r="E291" s="102">
        <f t="shared" si="10"/>
        <v>0</v>
      </c>
      <c r="F291" s="103" t="str">
        <f t="shared" si="12"/>
        <v>0 tubes and 0 shuttles</v>
      </c>
      <c r="G291" s="36">
        <f t="shared" si="11"/>
        <v>0</v>
      </c>
      <c r="H291" s="104" t="str">
        <f t="shared" si="13"/>
        <v>0 tubes and 0 shuttles</v>
      </c>
      <c r="I291" s="36">
        <f t="shared" si="14"/>
        <v>0</v>
      </c>
      <c r="J291" s="103" t="str">
        <f t="shared" si="15"/>
        <v>0 tubes and 0 shuttles</v>
      </c>
    </row>
    <row r="292" spans="1:10" ht="12.5" x14ac:dyDescent="0.25">
      <c r="A292" s="32">
        <f>'Profit &amp; Loss'!A292</f>
        <v>0</v>
      </c>
      <c r="B292" s="35">
        <f>'Profit &amp; Loss'!B292</f>
        <v>0</v>
      </c>
      <c r="C292" s="36"/>
      <c r="D292" s="33"/>
      <c r="E292" s="102">
        <f t="shared" si="10"/>
        <v>0</v>
      </c>
      <c r="F292" s="103" t="str">
        <f t="shared" si="12"/>
        <v>0 tubes and 0 shuttles</v>
      </c>
      <c r="G292" s="36">
        <f t="shared" si="11"/>
        <v>0</v>
      </c>
      <c r="H292" s="104" t="str">
        <f t="shared" si="13"/>
        <v>0 tubes and 0 shuttles</v>
      </c>
      <c r="I292" s="36">
        <f t="shared" si="14"/>
        <v>0</v>
      </c>
      <c r="J292" s="103" t="str">
        <f t="shared" si="15"/>
        <v>0 tubes and 0 shuttles</v>
      </c>
    </row>
    <row r="293" spans="1:10" ht="12.5" x14ac:dyDescent="0.25">
      <c r="A293" s="32">
        <f>'Profit &amp; Loss'!A293</f>
        <v>0</v>
      </c>
      <c r="B293" s="35">
        <f>'Profit &amp; Loss'!B293</f>
        <v>0</v>
      </c>
      <c r="C293" s="36"/>
      <c r="D293" s="33"/>
      <c r="E293" s="102">
        <f t="shared" si="10"/>
        <v>0</v>
      </c>
      <c r="F293" s="103" t="str">
        <f t="shared" si="12"/>
        <v>0 tubes and 0 shuttles</v>
      </c>
      <c r="G293" s="36">
        <f t="shared" si="11"/>
        <v>0</v>
      </c>
      <c r="H293" s="104" t="str">
        <f t="shared" si="13"/>
        <v>0 tubes and 0 shuttles</v>
      </c>
      <c r="I293" s="36">
        <f t="shared" si="14"/>
        <v>0</v>
      </c>
      <c r="J293" s="103" t="str">
        <f t="shared" si="15"/>
        <v>0 tubes and 0 shuttles</v>
      </c>
    </row>
    <row r="294" spans="1:10" ht="12.5" x14ac:dyDescent="0.25">
      <c r="A294" s="32">
        <f>'Profit &amp; Loss'!A294</f>
        <v>0</v>
      </c>
      <c r="B294" s="35">
        <f>'Profit &amp; Loss'!B294</f>
        <v>0</v>
      </c>
      <c r="C294" s="36"/>
      <c r="D294" s="33"/>
      <c r="E294" s="102">
        <f t="shared" ref="E294:E548" si="16">IF(C294=" ",E293,E293-C294)</f>
        <v>0</v>
      </c>
      <c r="F294" s="103" t="str">
        <f t="shared" si="12"/>
        <v>0 tubes and 0 shuttles</v>
      </c>
      <c r="G294" s="36">
        <f t="shared" ref="G294:G548" si="17">IF(D294=" ",G293,G293-D294)</f>
        <v>0</v>
      </c>
      <c r="H294" s="104" t="str">
        <f t="shared" si="13"/>
        <v>0 tubes and 0 shuttles</v>
      </c>
      <c r="I294" s="36">
        <f t="shared" si="14"/>
        <v>0</v>
      </c>
      <c r="J294" s="103" t="str">
        <f t="shared" si="15"/>
        <v>0 tubes and 0 shuttles</v>
      </c>
    </row>
    <row r="295" spans="1:10" ht="12.5" x14ac:dyDescent="0.25">
      <c r="A295" s="32">
        <f>'Profit &amp; Loss'!A295</f>
        <v>0</v>
      </c>
      <c r="B295" s="35">
        <f>'Profit &amp; Loss'!B295</f>
        <v>0</v>
      </c>
      <c r="C295" s="36"/>
      <c r="D295" s="33"/>
      <c r="E295" s="102">
        <f t="shared" si="16"/>
        <v>0</v>
      </c>
      <c r="F295" s="103" t="str">
        <f t="shared" si="12"/>
        <v>0 tubes and 0 shuttles</v>
      </c>
      <c r="G295" s="36">
        <f t="shared" si="17"/>
        <v>0</v>
      </c>
      <c r="H295" s="104" t="str">
        <f t="shared" si="13"/>
        <v>0 tubes and 0 shuttles</v>
      </c>
      <c r="I295" s="36">
        <f t="shared" si="14"/>
        <v>0</v>
      </c>
      <c r="J295" s="103" t="str">
        <f t="shared" si="15"/>
        <v>0 tubes and 0 shuttles</v>
      </c>
    </row>
    <row r="296" spans="1:10" ht="12.5" x14ac:dyDescent="0.25">
      <c r="A296" s="32">
        <f>'Profit &amp; Loss'!A296</f>
        <v>0</v>
      </c>
      <c r="B296" s="35">
        <f>'Profit &amp; Loss'!B296</f>
        <v>0</v>
      </c>
      <c r="C296" s="36"/>
      <c r="D296" s="33"/>
      <c r="E296" s="102">
        <f t="shared" si="16"/>
        <v>0</v>
      </c>
      <c r="F296" s="103" t="str">
        <f t="shared" si="12"/>
        <v>0 tubes and 0 shuttles</v>
      </c>
      <c r="G296" s="36">
        <f t="shared" si="17"/>
        <v>0</v>
      </c>
      <c r="H296" s="104" t="str">
        <f t="shared" si="13"/>
        <v>0 tubes and 0 shuttles</v>
      </c>
      <c r="I296" s="36">
        <f t="shared" si="14"/>
        <v>0</v>
      </c>
      <c r="J296" s="103" t="str">
        <f t="shared" si="15"/>
        <v>0 tubes and 0 shuttles</v>
      </c>
    </row>
    <row r="297" spans="1:10" ht="12.5" x14ac:dyDescent="0.25">
      <c r="A297" s="32">
        <f>'Profit &amp; Loss'!A297</f>
        <v>0</v>
      </c>
      <c r="B297" s="35">
        <f>'Profit &amp; Loss'!B297</f>
        <v>0</v>
      </c>
      <c r="C297" s="36"/>
      <c r="D297" s="33"/>
      <c r="E297" s="102">
        <f t="shared" si="16"/>
        <v>0</v>
      </c>
      <c r="F297" s="103" t="str">
        <f t="shared" si="12"/>
        <v>0 tubes and 0 shuttles</v>
      </c>
      <c r="G297" s="36">
        <f t="shared" si="17"/>
        <v>0</v>
      </c>
      <c r="H297" s="104" t="str">
        <f t="shared" si="13"/>
        <v>0 tubes and 0 shuttles</v>
      </c>
      <c r="I297" s="36">
        <f t="shared" si="14"/>
        <v>0</v>
      </c>
      <c r="J297" s="103" t="str">
        <f t="shared" si="15"/>
        <v>0 tubes and 0 shuttles</v>
      </c>
    </row>
    <row r="298" spans="1:10" ht="12.5" x14ac:dyDescent="0.25">
      <c r="A298" s="32">
        <f>'Profit &amp; Loss'!A298</f>
        <v>0</v>
      </c>
      <c r="B298" s="35">
        <f>'Profit &amp; Loss'!B298</f>
        <v>0</v>
      </c>
      <c r="C298" s="36"/>
      <c r="D298" s="33"/>
      <c r="E298" s="102">
        <f t="shared" si="16"/>
        <v>0</v>
      </c>
      <c r="F298" s="103" t="str">
        <f t="shared" si="12"/>
        <v>0 tubes and 0 shuttles</v>
      </c>
      <c r="G298" s="36">
        <f t="shared" si="17"/>
        <v>0</v>
      </c>
      <c r="H298" s="104" t="str">
        <f t="shared" si="13"/>
        <v>0 tubes and 0 shuttles</v>
      </c>
      <c r="I298" s="36">
        <f t="shared" si="14"/>
        <v>0</v>
      </c>
      <c r="J298" s="103" t="str">
        <f t="shared" si="15"/>
        <v>0 tubes and 0 shuttles</v>
      </c>
    </row>
    <row r="299" spans="1:10" ht="12.5" x14ac:dyDescent="0.25">
      <c r="A299" s="32">
        <f>'Profit &amp; Loss'!A299</f>
        <v>0</v>
      </c>
      <c r="B299" s="35">
        <f>'Profit &amp; Loss'!B299</f>
        <v>0</v>
      </c>
      <c r="C299" s="36"/>
      <c r="D299" s="33"/>
      <c r="E299" s="102">
        <f t="shared" si="16"/>
        <v>0</v>
      </c>
      <c r="F299" s="103" t="str">
        <f t="shared" si="12"/>
        <v>0 tubes and 0 shuttles</v>
      </c>
      <c r="G299" s="36">
        <f t="shared" si="17"/>
        <v>0</v>
      </c>
      <c r="H299" s="104" t="str">
        <f t="shared" si="13"/>
        <v>0 tubes and 0 shuttles</v>
      </c>
      <c r="I299" s="36">
        <f t="shared" si="14"/>
        <v>0</v>
      </c>
      <c r="J299" s="103" t="str">
        <f t="shared" si="15"/>
        <v>0 tubes and 0 shuttles</v>
      </c>
    </row>
    <row r="300" spans="1:10" ht="12.5" x14ac:dyDescent="0.25">
      <c r="A300" s="32">
        <f>'Profit &amp; Loss'!A300</f>
        <v>0</v>
      </c>
      <c r="B300" s="35">
        <f>'Profit &amp; Loss'!B300</f>
        <v>0</v>
      </c>
      <c r="C300" s="36"/>
      <c r="D300" s="33"/>
      <c r="E300" s="102">
        <f t="shared" si="16"/>
        <v>0</v>
      </c>
      <c r="F300" s="103" t="str">
        <f t="shared" si="12"/>
        <v>0 tubes and 0 shuttles</v>
      </c>
      <c r="G300" s="36">
        <f t="shared" si="17"/>
        <v>0</v>
      </c>
      <c r="H300" s="104" t="str">
        <f t="shared" si="13"/>
        <v>0 tubes and 0 shuttles</v>
      </c>
      <c r="I300" s="36">
        <f t="shared" si="14"/>
        <v>0</v>
      </c>
      <c r="J300" s="103" t="str">
        <f t="shared" si="15"/>
        <v>0 tubes and 0 shuttles</v>
      </c>
    </row>
    <row r="301" spans="1:10" ht="12.5" x14ac:dyDescent="0.25">
      <c r="A301" s="32">
        <f>'Profit &amp; Loss'!A301</f>
        <v>0</v>
      </c>
      <c r="B301" s="35">
        <f>'Profit &amp; Loss'!B301</f>
        <v>0</v>
      </c>
      <c r="C301" s="36"/>
      <c r="D301" s="33"/>
      <c r="E301" s="102">
        <f t="shared" si="16"/>
        <v>0</v>
      </c>
      <c r="F301" s="103" t="str">
        <f t="shared" si="12"/>
        <v>0 tubes and 0 shuttles</v>
      </c>
      <c r="G301" s="36">
        <f t="shared" si="17"/>
        <v>0</v>
      </c>
      <c r="H301" s="104" t="str">
        <f t="shared" si="13"/>
        <v>0 tubes and 0 shuttles</v>
      </c>
      <c r="I301" s="36">
        <f t="shared" si="14"/>
        <v>0</v>
      </c>
      <c r="J301" s="103" t="str">
        <f t="shared" si="15"/>
        <v>0 tubes and 0 shuttles</v>
      </c>
    </row>
    <row r="302" spans="1:10" ht="12.5" x14ac:dyDescent="0.25">
      <c r="A302" s="32">
        <f>'Profit &amp; Loss'!A302</f>
        <v>0</v>
      </c>
      <c r="B302" s="35">
        <f>'Profit &amp; Loss'!B302</f>
        <v>0</v>
      </c>
      <c r="C302" s="36"/>
      <c r="D302" s="33"/>
      <c r="E302" s="102">
        <f t="shared" si="16"/>
        <v>0</v>
      </c>
      <c r="F302" s="103" t="str">
        <f t="shared" si="12"/>
        <v>0 tubes and 0 shuttles</v>
      </c>
      <c r="G302" s="36">
        <f t="shared" si="17"/>
        <v>0</v>
      </c>
      <c r="H302" s="104" t="str">
        <f t="shared" si="13"/>
        <v>0 tubes and 0 shuttles</v>
      </c>
      <c r="I302" s="36">
        <f t="shared" si="14"/>
        <v>0</v>
      </c>
      <c r="J302" s="103" t="str">
        <f t="shared" si="15"/>
        <v>0 tubes and 0 shuttles</v>
      </c>
    </row>
    <row r="303" spans="1:10" ht="12.5" x14ac:dyDescent="0.25">
      <c r="A303" s="32">
        <f>'Profit &amp; Loss'!A303</f>
        <v>0</v>
      </c>
      <c r="B303" s="35">
        <f>'Profit &amp; Loss'!B303</f>
        <v>0</v>
      </c>
      <c r="C303" s="36"/>
      <c r="D303" s="33"/>
      <c r="E303" s="102">
        <f t="shared" si="16"/>
        <v>0</v>
      </c>
      <c r="F303" s="103" t="str">
        <f t="shared" si="12"/>
        <v>0 tubes and 0 shuttles</v>
      </c>
      <c r="G303" s="36">
        <f t="shared" si="17"/>
        <v>0</v>
      </c>
      <c r="H303" s="104" t="str">
        <f t="shared" si="13"/>
        <v>0 tubes and 0 shuttles</v>
      </c>
      <c r="I303" s="36">
        <f t="shared" si="14"/>
        <v>0</v>
      </c>
      <c r="J303" s="103" t="str">
        <f t="shared" si="15"/>
        <v>0 tubes and 0 shuttles</v>
      </c>
    </row>
    <row r="304" spans="1:10" ht="12.5" x14ac:dyDescent="0.25">
      <c r="A304" s="32">
        <f>'Profit &amp; Loss'!A304</f>
        <v>0</v>
      </c>
      <c r="B304" s="35">
        <f>'Profit &amp; Loss'!B304</f>
        <v>0</v>
      </c>
      <c r="C304" s="36"/>
      <c r="D304" s="33"/>
      <c r="E304" s="102">
        <f t="shared" si="16"/>
        <v>0</v>
      </c>
      <c r="F304" s="103" t="str">
        <f t="shared" si="12"/>
        <v>0 tubes and 0 shuttles</v>
      </c>
      <c r="G304" s="36">
        <f t="shared" si="17"/>
        <v>0</v>
      </c>
      <c r="H304" s="104" t="str">
        <f t="shared" si="13"/>
        <v>0 tubes and 0 shuttles</v>
      </c>
      <c r="I304" s="36">
        <f t="shared" si="14"/>
        <v>0</v>
      </c>
      <c r="J304" s="103" t="str">
        <f t="shared" si="15"/>
        <v>0 tubes and 0 shuttles</v>
      </c>
    </row>
    <row r="305" spans="1:10" ht="12.5" x14ac:dyDescent="0.25">
      <c r="A305" s="32">
        <f>'Profit &amp; Loss'!A305</f>
        <v>0</v>
      </c>
      <c r="B305" s="35">
        <f>'Profit &amp; Loss'!B305</f>
        <v>0</v>
      </c>
      <c r="C305" s="36"/>
      <c r="D305" s="33"/>
      <c r="E305" s="102">
        <f t="shared" si="16"/>
        <v>0</v>
      </c>
      <c r="F305" s="103" t="str">
        <f t="shared" si="12"/>
        <v>0 tubes and 0 shuttles</v>
      </c>
      <c r="G305" s="36">
        <f t="shared" si="17"/>
        <v>0</v>
      </c>
      <c r="H305" s="104" t="str">
        <f t="shared" si="13"/>
        <v>0 tubes and 0 shuttles</v>
      </c>
      <c r="I305" s="36">
        <f t="shared" si="14"/>
        <v>0</v>
      </c>
      <c r="J305" s="103" t="str">
        <f t="shared" si="15"/>
        <v>0 tubes and 0 shuttles</v>
      </c>
    </row>
    <row r="306" spans="1:10" ht="12.5" x14ac:dyDescent="0.25">
      <c r="A306" s="32">
        <f>'Profit &amp; Loss'!A306</f>
        <v>0</v>
      </c>
      <c r="B306" s="35">
        <f>'Profit &amp; Loss'!B306</f>
        <v>0</v>
      </c>
      <c r="C306" s="36"/>
      <c r="D306" s="33"/>
      <c r="E306" s="102">
        <f t="shared" si="16"/>
        <v>0</v>
      </c>
      <c r="F306" s="103" t="str">
        <f t="shared" si="12"/>
        <v>0 tubes and 0 shuttles</v>
      </c>
      <c r="G306" s="36">
        <f t="shared" si="17"/>
        <v>0</v>
      </c>
      <c r="H306" s="104" t="str">
        <f t="shared" si="13"/>
        <v>0 tubes and 0 shuttles</v>
      </c>
      <c r="I306" s="36">
        <f t="shared" si="14"/>
        <v>0</v>
      </c>
      <c r="J306" s="103" t="str">
        <f t="shared" si="15"/>
        <v>0 tubes and 0 shuttles</v>
      </c>
    </row>
    <row r="307" spans="1:10" ht="12.5" x14ac:dyDescent="0.25">
      <c r="A307" s="32">
        <f>'Profit &amp; Loss'!A307</f>
        <v>0</v>
      </c>
      <c r="B307" s="35">
        <f>'Profit &amp; Loss'!B307</f>
        <v>0</v>
      </c>
      <c r="C307" s="36"/>
      <c r="D307" s="33"/>
      <c r="E307" s="102">
        <f t="shared" si="16"/>
        <v>0</v>
      </c>
      <c r="F307" s="103" t="str">
        <f t="shared" si="12"/>
        <v>0 tubes and 0 shuttles</v>
      </c>
      <c r="G307" s="36">
        <f t="shared" si="17"/>
        <v>0</v>
      </c>
      <c r="H307" s="104" t="str">
        <f t="shared" si="13"/>
        <v>0 tubes and 0 shuttles</v>
      </c>
      <c r="I307" s="36">
        <f t="shared" si="14"/>
        <v>0</v>
      </c>
      <c r="J307" s="103" t="str">
        <f t="shared" si="15"/>
        <v>0 tubes and 0 shuttles</v>
      </c>
    </row>
    <row r="308" spans="1:10" ht="12.5" x14ac:dyDescent="0.25">
      <c r="A308" s="32">
        <f>'Profit &amp; Loss'!A308</f>
        <v>0</v>
      </c>
      <c r="B308" s="35">
        <f>'Profit &amp; Loss'!B308</f>
        <v>0</v>
      </c>
      <c r="C308" s="36"/>
      <c r="D308" s="33"/>
      <c r="E308" s="102">
        <f t="shared" si="16"/>
        <v>0</v>
      </c>
      <c r="F308" s="103" t="str">
        <f t="shared" si="12"/>
        <v>0 tubes and 0 shuttles</v>
      </c>
      <c r="G308" s="36">
        <f t="shared" si="17"/>
        <v>0</v>
      </c>
      <c r="H308" s="104" t="str">
        <f t="shared" si="13"/>
        <v>0 tubes and 0 shuttles</v>
      </c>
      <c r="I308" s="36">
        <f t="shared" si="14"/>
        <v>0</v>
      </c>
      <c r="J308" s="103" t="str">
        <f t="shared" si="15"/>
        <v>0 tubes and 0 shuttles</v>
      </c>
    </row>
    <row r="309" spans="1:10" ht="12.5" x14ac:dyDescent="0.25">
      <c r="A309" s="32">
        <f>'Profit &amp; Loss'!A309</f>
        <v>0</v>
      </c>
      <c r="B309" s="35">
        <f>'Profit &amp; Loss'!B309</f>
        <v>0</v>
      </c>
      <c r="C309" s="36"/>
      <c r="D309" s="33"/>
      <c r="E309" s="102">
        <f t="shared" si="16"/>
        <v>0</v>
      </c>
      <c r="F309" s="103" t="str">
        <f t="shared" si="12"/>
        <v>0 tubes and 0 shuttles</v>
      </c>
      <c r="G309" s="36">
        <f t="shared" si="17"/>
        <v>0</v>
      </c>
      <c r="H309" s="104" t="str">
        <f t="shared" si="13"/>
        <v>0 tubes and 0 shuttles</v>
      </c>
      <c r="I309" s="36">
        <f t="shared" si="14"/>
        <v>0</v>
      </c>
      <c r="J309" s="103" t="str">
        <f t="shared" si="15"/>
        <v>0 tubes and 0 shuttles</v>
      </c>
    </row>
    <row r="310" spans="1:10" ht="12.5" x14ac:dyDescent="0.25">
      <c r="A310" s="32">
        <f>'Profit &amp; Loss'!A310</f>
        <v>0</v>
      </c>
      <c r="B310" s="35">
        <f>'Profit &amp; Loss'!B310</f>
        <v>0</v>
      </c>
      <c r="C310" s="36"/>
      <c r="D310" s="33"/>
      <c r="E310" s="102">
        <f t="shared" si="16"/>
        <v>0</v>
      </c>
      <c r="F310" s="103" t="str">
        <f t="shared" si="12"/>
        <v>0 tubes and 0 shuttles</v>
      </c>
      <c r="G310" s="36">
        <f t="shared" si="17"/>
        <v>0</v>
      </c>
      <c r="H310" s="104" t="str">
        <f t="shared" si="13"/>
        <v>0 tubes and 0 shuttles</v>
      </c>
      <c r="I310" s="36">
        <f t="shared" si="14"/>
        <v>0</v>
      </c>
      <c r="J310" s="103" t="str">
        <f t="shared" si="15"/>
        <v>0 tubes and 0 shuttles</v>
      </c>
    </row>
    <row r="311" spans="1:10" ht="12.5" x14ac:dyDescent="0.25">
      <c r="A311" s="32">
        <f>'Profit &amp; Loss'!A311</f>
        <v>0</v>
      </c>
      <c r="B311" s="35">
        <f>'Profit &amp; Loss'!B311</f>
        <v>0</v>
      </c>
      <c r="C311" s="36"/>
      <c r="D311" s="33"/>
      <c r="E311" s="102">
        <f t="shared" si="16"/>
        <v>0</v>
      </c>
      <c r="F311" s="103" t="str">
        <f t="shared" si="12"/>
        <v>0 tubes and 0 shuttles</v>
      </c>
      <c r="G311" s="36">
        <f t="shared" si="17"/>
        <v>0</v>
      </c>
      <c r="H311" s="104" t="str">
        <f t="shared" si="13"/>
        <v>0 tubes and 0 shuttles</v>
      </c>
      <c r="I311" s="36">
        <f t="shared" si="14"/>
        <v>0</v>
      </c>
      <c r="J311" s="103" t="str">
        <f t="shared" si="15"/>
        <v>0 tubes and 0 shuttles</v>
      </c>
    </row>
    <row r="312" spans="1:10" ht="12.5" x14ac:dyDescent="0.25">
      <c r="A312" s="32">
        <f>'Profit &amp; Loss'!A312</f>
        <v>0</v>
      </c>
      <c r="B312" s="35">
        <f>'Profit &amp; Loss'!B312</f>
        <v>0</v>
      </c>
      <c r="C312" s="36"/>
      <c r="D312" s="33"/>
      <c r="E312" s="102">
        <f t="shared" si="16"/>
        <v>0</v>
      </c>
      <c r="F312" s="103" t="str">
        <f t="shared" si="12"/>
        <v>0 tubes and 0 shuttles</v>
      </c>
      <c r="G312" s="36">
        <f t="shared" si="17"/>
        <v>0</v>
      </c>
      <c r="H312" s="104" t="str">
        <f t="shared" si="13"/>
        <v>0 tubes and 0 shuttles</v>
      </c>
      <c r="I312" s="36">
        <f t="shared" si="14"/>
        <v>0</v>
      </c>
      <c r="J312" s="103" t="str">
        <f t="shared" si="15"/>
        <v>0 tubes and 0 shuttles</v>
      </c>
    </row>
    <row r="313" spans="1:10" ht="12.5" x14ac:dyDescent="0.25">
      <c r="A313" s="32">
        <f>'Profit &amp; Loss'!A313</f>
        <v>0</v>
      </c>
      <c r="B313" s="35">
        <f>'Profit &amp; Loss'!B313</f>
        <v>0</v>
      </c>
      <c r="C313" s="36"/>
      <c r="D313" s="33"/>
      <c r="E313" s="102">
        <f t="shared" si="16"/>
        <v>0</v>
      </c>
      <c r="F313" s="103" t="str">
        <f t="shared" si="12"/>
        <v>0 tubes and 0 shuttles</v>
      </c>
      <c r="G313" s="36">
        <f t="shared" si="17"/>
        <v>0</v>
      </c>
      <c r="H313" s="104" t="str">
        <f t="shared" si="13"/>
        <v>0 tubes and 0 shuttles</v>
      </c>
      <c r="I313" s="36">
        <f t="shared" si="14"/>
        <v>0</v>
      </c>
      <c r="J313" s="103" t="str">
        <f t="shared" si="15"/>
        <v>0 tubes and 0 shuttles</v>
      </c>
    </row>
    <row r="314" spans="1:10" ht="12.5" x14ac:dyDescent="0.25">
      <c r="A314" s="32">
        <f>'Profit &amp; Loss'!A314</f>
        <v>0</v>
      </c>
      <c r="B314" s="35">
        <f>'Profit &amp; Loss'!B314</f>
        <v>0</v>
      </c>
      <c r="C314" s="36"/>
      <c r="D314" s="33"/>
      <c r="E314" s="102">
        <f t="shared" si="16"/>
        <v>0</v>
      </c>
      <c r="F314" s="103" t="str">
        <f t="shared" si="12"/>
        <v>0 tubes and 0 shuttles</v>
      </c>
      <c r="G314" s="36">
        <f t="shared" si="17"/>
        <v>0</v>
      </c>
      <c r="H314" s="104" t="str">
        <f t="shared" si="13"/>
        <v>0 tubes and 0 shuttles</v>
      </c>
      <c r="I314" s="36">
        <f t="shared" si="14"/>
        <v>0</v>
      </c>
      <c r="J314" s="103" t="str">
        <f t="shared" si="15"/>
        <v>0 tubes and 0 shuttles</v>
      </c>
    </row>
    <row r="315" spans="1:10" ht="12.5" x14ac:dyDescent="0.25">
      <c r="A315" s="32">
        <f>'Profit &amp; Loss'!A315</f>
        <v>0</v>
      </c>
      <c r="B315" s="35">
        <f>'Profit &amp; Loss'!B315</f>
        <v>0</v>
      </c>
      <c r="C315" s="36"/>
      <c r="D315" s="33"/>
      <c r="E315" s="102">
        <f t="shared" si="16"/>
        <v>0</v>
      </c>
      <c r="F315" s="103" t="str">
        <f t="shared" si="12"/>
        <v>0 tubes and 0 shuttles</v>
      </c>
      <c r="G315" s="36">
        <f t="shared" si="17"/>
        <v>0</v>
      </c>
      <c r="H315" s="104" t="str">
        <f t="shared" si="13"/>
        <v>0 tubes and 0 shuttles</v>
      </c>
      <c r="I315" s="36">
        <f t="shared" si="14"/>
        <v>0</v>
      </c>
      <c r="J315" s="103" t="str">
        <f t="shared" si="15"/>
        <v>0 tubes and 0 shuttles</v>
      </c>
    </row>
    <row r="316" spans="1:10" ht="12.5" x14ac:dyDescent="0.25">
      <c r="A316" s="32">
        <f>'Profit &amp; Loss'!A316</f>
        <v>0</v>
      </c>
      <c r="B316" s="35">
        <f>'Profit &amp; Loss'!B316</f>
        <v>0</v>
      </c>
      <c r="C316" s="36"/>
      <c r="D316" s="33"/>
      <c r="E316" s="102">
        <f t="shared" si="16"/>
        <v>0</v>
      </c>
      <c r="F316" s="103" t="str">
        <f t="shared" si="12"/>
        <v>0 tubes and 0 shuttles</v>
      </c>
      <c r="G316" s="36">
        <f t="shared" si="17"/>
        <v>0</v>
      </c>
      <c r="H316" s="104" t="str">
        <f t="shared" si="13"/>
        <v>0 tubes and 0 shuttles</v>
      </c>
      <c r="I316" s="36">
        <f t="shared" si="14"/>
        <v>0</v>
      </c>
      <c r="J316" s="103" t="str">
        <f t="shared" si="15"/>
        <v>0 tubes and 0 shuttles</v>
      </c>
    </row>
    <row r="317" spans="1:10" ht="12.5" x14ac:dyDescent="0.25">
      <c r="A317" s="32">
        <f>'Profit &amp; Loss'!A317</f>
        <v>0</v>
      </c>
      <c r="B317" s="35">
        <f>'Profit &amp; Loss'!B317</f>
        <v>0</v>
      </c>
      <c r="C317" s="36"/>
      <c r="D317" s="33"/>
      <c r="E317" s="102">
        <f t="shared" si="16"/>
        <v>0</v>
      </c>
      <c r="F317" s="103" t="str">
        <f t="shared" si="12"/>
        <v>0 tubes and 0 shuttles</v>
      </c>
      <c r="G317" s="36">
        <f t="shared" si="17"/>
        <v>0</v>
      </c>
      <c r="H317" s="104" t="str">
        <f t="shared" si="13"/>
        <v>0 tubes and 0 shuttles</v>
      </c>
      <c r="I317" s="36">
        <f t="shared" si="14"/>
        <v>0</v>
      </c>
      <c r="J317" s="103" t="str">
        <f t="shared" si="15"/>
        <v>0 tubes and 0 shuttles</v>
      </c>
    </row>
    <row r="318" spans="1:10" ht="12.5" x14ac:dyDescent="0.25">
      <c r="A318" s="32">
        <f>'Profit &amp; Loss'!A318</f>
        <v>0</v>
      </c>
      <c r="B318" s="35">
        <f>'Profit &amp; Loss'!B318</f>
        <v>0</v>
      </c>
      <c r="C318" s="36"/>
      <c r="D318" s="33"/>
      <c r="E318" s="102">
        <f t="shared" si="16"/>
        <v>0</v>
      </c>
      <c r="F318" s="103" t="str">
        <f t="shared" si="12"/>
        <v>0 tubes and 0 shuttles</v>
      </c>
      <c r="G318" s="36">
        <f t="shared" si="17"/>
        <v>0</v>
      </c>
      <c r="H318" s="104" t="str">
        <f t="shared" si="13"/>
        <v>0 tubes and 0 shuttles</v>
      </c>
      <c r="I318" s="36">
        <f t="shared" si="14"/>
        <v>0</v>
      </c>
      <c r="J318" s="103" t="str">
        <f t="shared" si="15"/>
        <v>0 tubes and 0 shuttles</v>
      </c>
    </row>
    <row r="319" spans="1:10" ht="12.5" x14ac:dyDescent="0.25">
      <c r="A319" s="32">
        <f>'Profit &amp; Loss'!A319</f>
        <v>0</v>
      </c>
      <c r="B319" s="35">
        <f>'Profit &amp; Loss'!B319</f>
        <v>0</v>
      </c>
      <c r="C319" s="36"/>
      <c r="D319" s="33"/>
      <c r="E319" s="102">
        <f t="shared" si="16"/>
        <v>0</v>
      </c>
      <c r="F319" s="103" t="str">
        <f t="shared" si="12"/>
        <v>0 tubes and 0 shuttles</v>
      </c>
      <c r="G319" s="36">
        <f t="shared" si="17"/>
        <v>0</v>
      </c>
      <c r="H319" s="104" t="str">
        <f t="shared" si="13"/>
        <v>0 tubes and 0 shuttles</v>
      </c>
      <c r="I319" s="36">
        <f t="shared" si="14"/>
        <v>0</v>
      </c>
      <c r="J319" s="103" t="str">
        <f t="shared" si="15"/>
        <v>0 tubes and 0 shuttles</v>
      </c>
    </row>
    <row r="320" spans="1:10" ht="12.5" x14ac:dyDescent="0.25">
      <c r="A320" s="32">
        <f>'Profit &amp; Loss'!A320</f>
        <v>0</v>
      </c>
      <c r="B320" s="35">
        <f>'Profit &amp; Loss'!B320</f>
        <v>0</v>
      </c>
      <c r="C320" s="36"/>
      <c r="D320" s="33"/>
      <c r="E320" s="102">
        <f t="shared" si="16"/>
        <v>0</v>
      </c>
      <c r="F320" s="103" t="str">
        <f t="shared" si="12"/>
        <v>0 tubes and 0 shuttles</v>
      </c>
      <c r="G320" s="36">
        <f t="shared" si="17"/>
        <v>0</v>
      </c>
      <c r="H320" s="104" t="str">
        <f t="shared" si="13"/>
        <v>0 tubes and 0 shuttles</v>
      </c>
      <c r="I320" s="36">
        <f t="shared" si="14"/>
        <v>0</v>
      </c>
      <c r="J320" s="103" t="str">
        <f t="shared" si="15"/>
        <v>0 tubes and 0 shuttles</v>
      </c>
    </row>
    <row r="321" spans="1:10" ht="12.5" x14ac:dyDescent="0.25">
      <c r="A321" s="32">
        <f>'Profit &amp; Loss'!A321</f>
        <v>0</v>
      </c>
      <c r="B321" s="35">
        <f>'Profit &amp; Loss'!B321</f>
        <v>0</v>
      </c>
      <c r="C321" s="36"/>
      <c r="D321" s="33"/>
      <c r="E321" s="102">
        <f t="shared" si="16"/>
        <v>0</v>
      </c>
      <c r="F321" s="103" t="str">
        <f t="shared" si="12"/>
        <v>0 tubes and 0 shuttles</v>
      </c>
      <c r="G321" s="36">
        <f t="shared" si="17"/>
        <v>0</v>
      </c>
      <c r="H321" s="104" t="str">
        <f t="shared" si="13"/>
        <v>0 tubes and 0 shuttles</v>
      </c>
      <c r="I321" s="36">
        <f t="shared" si="14"/>
        <v>0</v>
      </c>
      <c r="J321" s="103" t="str">
        <f t="shared" si="15"/>
        <v>0 tubes and 0 shuttles</v>
      </c>
    </row>
    <row r="322" spans="1:10" ht="12.5" x14ac:dyDescent="0.25">
      <c r="A322" s="32">
        <f>'Profit &amp; Loss'!A322</f>
        <v>0</v>
      </c>
      <c r="B322" s="35">
        <f>'Profit &amp; Loss'!B322</f>
        <v>0</v>
      </c>
      <c r="C322" s="36"/>
      <c r="D322" s="33"/>
      <c r="E322" s="102">
        <f t="shared" si="16"/>
        <v>0</v>
      </c>
      <c r="F322" s="103" t="str">
        <f t="shared" si="12"/>
        <v>0 tubes and 0 shuttles</v>
      </c>
      <c r="G322" s="36">
        <f t="shared" si="17"/>
        <v>0</v>
      </c>
      <c r="H322" s="104" t="str">
        <f t="shared" si="13"/>
        <v>0 tubes and 0 shuttles</v>
      </c>
      <c r="I322" s="36">
        <f t="shared" si="14"/>
        <v>0</v>
      </c>
      <c r="J322" s="103" t="str">
        <f t="shared" si="15"/>
        <v>0 tubes and 0 shuttles</v>
      </c>
    </row>
    <row r="323" spans="1:10" ht="12.5" x14ac:dyDescent="0.25">
      <c r="A323" s="32">
        <f>'Profit &amp; Loss'!A323</f>
        <v>0</v>
      </c>
      <c r="B323" s="35">
        <f>'Profit &amp; Loss'!B323</f>
        <v>0</v>
      </c>
      <c r="C323" s="36"/>
      <c r="D323" s="33"/>
      <c r="E323" s="102">
        <f t="shared" si="16"/>
        <v>0</v>
      </c>
      <c r="F323" s="103" t="str">
        <f t="shared" si="12"/>
        <v>0 tubes and 0 shuttles</v>
      </c>
      <c r="G323" s="36">
        <f t="shared" si="17"/>
        <v>0</v>
      </c>
      <c r="H323" s="104" t="str">
        <f t="shared" si="13"/>
        <v>0 tubes and 0 shuttles</v>
      </c>
      <c r="I323" s="36">
        <f t="shared" si="14"/>
        <v>0</v>
      </c>
      <c r="J323" s="103" t="str">
        <f t="shared" si="15"/>
        <v>0 tubes and 0 shuttles</v>
      </c>
    </row>
    <row r="324" spans="1:10" ht="12.5" x14ac:dyDescent="0.25">
      <c r="A324" s="32">
        <f>'Profit &amp; Loss'!A324</f>
        <v>0</v>
      </c>
      <c r="B324" s="35">
        <f>'Profit &amp; Loss'!B324</f>
        <v>0</v>
      </c>
      <c r="C324" s="36"/>
      <c r="D324" s="33"/>
      <c r="E324" s="102">
        <f t="shared" si="16"/>
        <v>0</v>
      </c>
      <c r="F324" s="103" t="str">
        <f t="shared" si="12"/>
        <v>0 tubes and 0 shuttles</v>
      </c>
      <c r="G324" s="36">
        <f t="shared" si="17"/>
        <v>0</v>
      </c>
      <c r="H324" s="104" t="str">
        <f t="shared" si="13"/>
        <v>0 tubes and 0 shuttles</v>
      </c>
      <c r="I324" s="36">
        <f t="shared" si="14"/>
        <v>0</v>
      </c>
      <c r="J324" s="103" t="str">
        <f t="shared" si="15"/>
        <v>0 tubes and 0 shuttles</v>
      </c>
    </row>
    <row r="325" spans="1:10" ht="12.5" x14ac:dyDescent="0.25">
      <c r="A325" s="32">
        <f>'Profit &amp; Loss'!A325</f>
        <v>0</v>
      </c>
      <c r="B325" s="35">
        <f>'Profit &amp; Loss'!B325</f>
        <v>0</v>
      </c>
      <c r="C325" s="36"/>
      <c r="D325" s="33"/>
      <c r="E325" s="102">
        <f t="shared" si="16"/>
        <v>0</v>
      </c>
      <c r="F325" s="103" t="str">
        <f t="shared" si="12"/>
        <v>0 tubes and 0 shuttles</v>
      </c>
      <c r="G325" s="36">
        <f t="shared" si="17"/>
        <v>0</v>
      </c>
      <c r="H325" s="104" t="str">
        <f t="shared" si="13"/>
        <v>0 tubes and 0 shuttles</v>
      </c>
      <c r="I325" s="36">
        <f t="shared" si="14"/>
        <v>0</v>
      </c>
      <c r="J325" s="103" t="str">
        <f t="shared" si="15"/>
        <v>0 tubes and 0 shuttles</v>
      </c>
    </row>
    <row r="326" spans="1:10" ht="12.5" x14ac:dyDescent="0.25">
      <c r="A326" s="32">
        <f>'Profit &amp; Loss'!A326</f>
        <v>0</v>
      </c>
      <c r="B326" s="35">
        <f>'Profit &amp; Loss'!B326</f>
        <v>0</v>
      </c>
      <c r="C326" s="36"/>
      <c r="D326" s="33"/>
      <c r="E326" s="102">
        <f t="shared" si="16"/>
        <v>0</v>
      </c>
      <c r="F326" s="103" t="str">
        <f t="shared" si="12"/>
        <v>0 tubes and 0 shuttles</v>
      </c>
      <c r="G326" s="36">
        <f t="shared" si="17"/>
        <v>0</v>
      </c>
      <c r="H326" s="104" t="str">
        <f t="shared" si="13"/>
        <v>0 tubes and 0 shuttles</v>
      </c>
      <c r="I326" s="36">
        <f t="shared" si="14"/>
        <v>0</v>
      </c>
      <c r="J326" s="103" t="str">
        <f t="shared" si="15"/>
        <v>0 tubes and 0 shuttles</v>
      </c>
    </row>
    <row r="327" spans="1:10" ht="12.5" x14ac:dyDescent="0.25">
      <c r="A327" s="32">
        <f>'Profit &amp; Loss'!A327</f>
        <v>0</v>
      </c>
      <c r="B327" s="35">
        <f>'Profit &amp; Loss'!B327</f>
        <v>0</v>
      </c>
      <c r="C327" s="36"/>
      <c r="D327" s="33"/>
      <c r="E327" s="102">
        <f t="shared" si="16"/>
        <v>0</v>
      </c>
      <c r="F327" s="103" t="str">
        <f t="shared" si="12"/>
        <v>0 tubes and 0 shuttles</v>
      </c>
      <c r="G327" s="36">
        <f t="shared" si="17"/>
        <v>0</v>
      </c>
      <c r="H327" s="104" t="str">
        <f t="shared" si="13"/>
        <v>0 tubes and 0 shuttles</v>
      </c>
      <c r="I327" s="36">
        <f t="shared" si="14"/>
        <v>0</v>
      </c>
      <c r="J327" s="103" t="str">
        <f t="shared" si="15"/>
        <v>0 tubes and 0 shuttles</v>
      </c>
    </row>
    <row r="328" spans="1:10" ht="12.5" x14ac:dyDescent="0.25">
      <c r="A328" s="32">
        <f>'Profit &amp; Loss'!A328</f>
        <v>0</v>
      </c>
      <c r="B328" s="35">
        <f>'Profit &amp; Loss'!B328</f>
        <v>0</v>
      </c>
      <c r="C328" s="36"/>
      <c r="D328" s="33"/>
      <c r="E328" s="102">
        <f t="shared" si="16"/>
        <v>0</v>
      </c>
      <c r="F328" s="103" t="str">
        <f t="shared" si="12"/>
        <v>0 tubes and 0 shuttles</v>
      </c>
      <c r="G328" s="36">
        <f t="shared" si="17"/>
        <v>0</v>
      </c>
      <c r="H328" s="104" t="str">
        <f t="shared" si="13"/>
        <v>0 tubes and 0 shuttles</v>
      </c>
      <c r="I328" s="36">
        <f t="shared" si="14"/>
        <v>0</v>
      </c>
      <c r="J328" s="103" t="str">
        <f t="shared" si="15"/>
        <v>0 tubes and 0 shuttles</v>
      </c>
    </row>
    <row r="329" spans="1:10" ht="12.5" x14ac:dyDescent="0.25">
      <c r="A329" s="32">
        <f>'Profit &amp; Loss'!A329</f>
        <v>0</v>
      </c>
      <c r="B329" s="35">
        <f>'Profit &amp; Loss'!B329</f>
        <v>0</v>
      </c>
      <c r="C329" s="36"/>
      <c r="D329" s="33"/>
      <c r="E329" s="102">
        <f t="shared" si="16"/>
        <v>0</v>
      </c>
      <c r="F329" s="103" t="str">
        <f t="shared" si="12"/>
        <v>0 tubes and 0 shuttles</v>
      </c>
      <c r="G329" s="36">
        <f t="shared" si="17"/>
        <v>0</v>
      </c>
      <c r="H329" s="104" t="str">
        <f t="shared" si="13"/>
        <v>0 tubes and 0 shuttles</v>
      </c>
      <c r="I329" s="36">
        <f t="shared" si="14"/>
        <v>0</v>
      </c>
      <c r="J329" s="103" t="str">
        <f t="shared" si="15"/>
        <v>0 tubes and 0 shuttles</v>
      </c>
    </row>
    <row r="330" spans="1:10" ht="12.5" x14ac:dyDescent="0.25">
      <c r="A330" s="32">
        <f>'Profit &amp; Loss'!A330</f>
        <v>0</v>
      </c>
      <c r="B330" s="35">
        <f>'Profit &amp; Loss'!B330</f>
        <v>0</v>
      </c>
      <c r="C330" s="36"/>
      <c r="D330" s="33"/>
      <c r="E330" s="102">
        <f t="shared" si="16"/>
        <v>0</v>
      </c>
      <c r="F330" s="103" t="str">
        <f t="shared" si="12"/>
        <v>0 tubes and 0 shuttles</v>
      </c>
      <c r="G330" s="36">
        <f t="shared" si="17"/>
        <v>0</v>
      </c>
      <c r="H330" s="104" t="str">
        <f t="shared" si="13"/>
        <v>0 tubes and 0 shuttles</v>
      </c>
      <c r="I330" s="36">
        <f t="shared" si="14"/>
        <v>0</v>
      </c>
      <c r="J330" s="103" t="str">
        <f t="shared" si="15"/>
        <v>0 tubes and 0 shuttles</v>
      </c>
    </row>
    <row r="331" spans="1:10" ht="12.5" x14ac:dyDescent="0.25">
      <c r="A331" s="32">
        <f>'Profit &amp; Loss'!A331</f>
        <v>0</v>
      </c>
      <c r="B331" s="35">
        <f>'Profit &amp; Loss'!B331</f>
        <v>0</v>
      </c>
      <c r="C331" s="36"/>
      <c r="D331" s="33"/>
      <c r="E331" s="102">
        <f t="shared" si="16"/>
        <v>0</v>
      </c>
      <c r="F331" s="103" t="str">
        <f t="shared" si="12"/>
        <v>0 tubes and 0 shuttles</v>
      </c>
      <c r="G331" s="36">
        <f t="shared" si="17"/>
        <v>0</v>
      </c>
      <c r="H331" s="104" t="str">
        <f t="shared" si="13"/>
        <v>0 tubes and 0 shuttles</v>
      </c>
      <c r="I331" s="36">
        <f t="shared" si="14"/>
        <v>0</v>
      </c>
      <c r="J331" s="103" t="str">
        <f t="shared" si="15"/>
        <v>0 tubes and 0 shuttles</v>
      </c>
    </row>
    <row r="332" spans="1:10" ht="12.5" x14ac:dyDescent="0.25">
      <c r="A332" s="32">
        <f>'Profit &amp; Loss'!A332</f>
        <v>0</v>
      </c>
      <c r="B332" s="35">
        <f>'Profit &amp; Loss'!B332</f>
        <v>0</v>
      </c>
      <c r="C332" s="36"/>
      <c r="D332" s="33"/>
      <c r="E332" s="102">
        <f t="shared" si="16"/>
        <v>0</v>
      </c>
      <c r="F332" s="103" t="str">
        <f t="shared" si="12"/>
        <v>0 tubes and 0 shuttles</v>
      </c>
      <c r="G332" s="36">
        <f t="shared" si="17"/>
        <v>0</v>
      </c>
      <c r="H332" s="104" t="str">
        <f t="shared" si="13"/>
        <v>0 tubes and 0 shuttles</v>
      </c>
      <c r="I332" s="36">
        <f t="shared" si="14"/>
        <v>0</v>
      </c>
      <c r="J332" s="103" t="str">
        <f t="shared" si="15"/>
        <v>0 tubes and 0 shuttles</v>
      </c>
    </row>
    <row r="333" spans="1:10" ht="12.5" x14ac:dyDescent="0.25">
      <c r="A333" s="32">
        <f>'Profit &amp; Loss'!A333</f>
        <v>0</v>
      </c>
      <c r="B333" s="35">
        <f>'Profit &amp; Loss'!B333</f>
        <v>0</v>
      </c>
      <c r="C333" s="36"/>
      <c r="D333" s="33"/>
      <c r="E333" s="102">
        <f t="shared" si="16"/>
        <v>0</v>
      </c>
      <c r="F333" s="103" t="str">
        <f t="shared" si="12"/>
        <v>0 tubes and 0 shuttles</v>
      </c>
      <c r="G333" s="36">
        <f t="shared" si="17"/>
        <v>0</v>
      </c>
      <c r="H333" s="104" t="str">
        <f t="shared" si="13"/>
        <v>0 tubes and 0 shuttles</v>
      </c>
      <c r="I333" s="36">
        <f t="shared" si="14"/>
        <v>0</v>
      </c>
      <c r="J333" s="103" t="str">
        <f t="shared" si="15"/>
        <v>0 tubes and 0 shuttles</v>
      </c>
    </row>
    <row r="334" spans="1:10" ht="12.5" x14ac:dyDescent="0.25">
      <c r="A334" s="32">
        <f>'Profit &amp; Loss'!A334</f>
        <v>0</v>
      </c>
      <c r="B334" s="35">
        <f>'Profit &amp; Loss'!B334</f>
        <v>0</v>
      </c>
      <c r="C334" s="36"/>
      <c r="D334" s="33"/>
      <c r="E334" s="102">
        <f t="shared" si="16"/>
        <v>0</v>
      </c>
      <c r="F334" s="103" t="str">
        <f t="shared" si="12"/>
        <v>0 tubes and 0 shuttles</v>
      </c>
      <c r="G334" s="36">
        <f t="shared" si="17"/>
        <v>0</v>
      </c>
      <c r="H334" s="104" t="str">
        <f t="shared" si="13"/>
        <v>0 tubes and 0 shuttles</v>
      </c>
      <c r="I334" s="36">
        <f t="shared" si="14"/>
        <v>0</v>
      </c>
      <c r="J334" s="103" t="str">
        <f t="shared" si="15"/>
        <v>0 tubes and 0 shuttles</v>
      </c>
    </row>
    <row r="335" spans="1:10" ht="12.5" x14ac:dyDescent="0.25">
      <c r="A335" s="32">
        <f>'Profit &amp; Loss'!A335</f>
        <v>0</v>
      </c>
      <c r="B335" s="35">
        <f>'Profit &amp; Loss'!B335</f>
        <v>0</v>
      </c>
      <c r="C335" s="36"/>
      <c r="D335" s="33"/>
      <c r="E335" s="102">
        <f t="shared" si="16"/>
        <v>0</v>
      </c>
      <c r="F335" s="103" t="str">
        <f t="shared" si="12"/>
        <v>0 tubes and 0 shuttles</v>
      </c>
      <c r="G335" s="36">
        <f t="shared" si="17"/>
        <v>0</v>
      </c>
      <c r="H335" s="104" t="str">
        <f t="shared" si="13"/>
        <v>0 tubes and 0 shuttles</v>
      </c>
      <c r="I335" s="36">
        <f t="shared" si="14"/>
        <v>0</v>
      </c>
      <c r="J335" s="103" t="str">
        <f t="shared" si="15"/>
        <v>0 tubes and 0 shuttles</v>
      </c>
    </row>
    <row r="336" spans="1:10" ht="12.5" x14ac:dyDescent="0.25">
      <c r="A336" s="32">
        <f>'Profit &amp; Loss'!A336</f>
        <v>0</v>
      </c>
      <c r="B336" s="35">
        <f>'Profit &amp; Loss'!B336</f>
        <v>0</v>
      </c>
      <c r="C336" s="36"/>
      <c r="D336" s="33"/>
      <c r="E336" s="102">
        <f t="shared" si="16"/>
        <v>0</v>
      </c>
      <c r="F336" s="103" t="str">
        <f t="shared" si="12"/>
        <v>0 tubes and 0 shuttles</v>
      </c>
      <c r="G336" s="36">
        <f t="shared" si="17"/>
        <v>0</v>
      </c>
      <c r="H336" s="104" t="str">
        <f t="shared" si="13"/>
        <v>0 tubes and 0 shuttles</v>
      </c>
      <c r="I336" s="36">
        <f t="shared" si="14"/>
        <v>0</v>
      </c>
      <c r="J336" s="103" t="str">
        <f t="shared" si="15"/>
        <v>0 tubes and 0 shuttles</v>
      </c>
    </row>
    <row r="337" spans="1:10" ht="12.5" x14ac:dyDescent="0.25">
      <c r="A337" s="32">
        <f>'Profit &amp; Loss'!A337</f>
        <v>0</v>
      </c>
      <c r="B337" s="35">
        <f>'Profit &amp; Loss'!B337</f>
        <v>0</v>
      </c>
      <c r="C337" s="36"/>
      <c r="D337" s="33"/>
      <c r="E337" s="102">
        <f t="shared" si="16"/>
        <v>0</v>
      </c>
      <c r="F337" s="103" t="str">
        <f t="shared" si="12"/>
        <v>0 tubes and 0 shuttles</v>
      </c>
      <c r="G337" s="36">
        <f t="shared" si="17"/>
        <v>0</v>
      </c>
      <c r="H337" s="104" t="str">
        <f t="shared" si="13"/>
        <v>0 tubes and 0 shuttles</v>
      </c>
      <c r="I337" s="36">
        <f t="shared" si="14"/>
        <v>0</v>
      </c>
      <c r="J337" s="103" t="str">
        <f t="shared" si="15"/>
        <v>0 tubes and 0 shuttles</v>
      </c>
    </row>
    <row r="338" spans="1:10" ht="12.5" x14ac:dyDescent="0.25">
      <c r="A338" s="32">
        <f>'Profit &amp; Loss'!A338</f>
        <v>0</v>
      </c>
      <c r="B338" s="35">
        <f>'Profit &amp; Loss'!B338</f>
        <v>0</v>
      </c>
      <c r="C338" s="36"/>
      <c r="D338" s="33"/>
      <c r="E338" s="102">
        <f t="shared" si="16"/>
        <v>0</v>
      </c>
      <c r="F338" s="103" t="str">
        <f t="shared" si="12"/>
        <v>0 tubes and 0 shuttles</v>
      </c>
      <c r="G338" s="36">
        <f t="shared" si="17"/>
        <v>0</v>
      </c>
      <c r="H338" s="104" t="str">
        <f t="shared" si="13"/>
        <v>0 tubes and 0 shuttles</v>
      </c>
      <c r="I338" s="36">
        <f t="shared" si="14"/>
        <v>0</v>
      </c>
      <c r="J338" s="103" t="str">
        <f t="shared" si="15"/>
        <v>0 tubes and 0 shuttles</v>
      </c>
    </row>
    <row r="339" spans="1:10" ht="12.5" x14ac:dyDescent="0.25">
      <c r="A339" s="32">
        <f>'Profit &amp; Loss'!A339</f>
        <v>0</v>
      </c>
      <c r="B339" s="35">
        <f>'Profit &amp; Loss'!B339</f>
        <v>0</v>
      </c>
      <c r="C339" s="36"/>
      <c r="D339" s="33"/>
      <c r="E339" s="102">
        <f t="shared" si="16"/>
        <v>0</v>
      </c>
      <c r="F339" s="103" t="str">
        <f t="shared" si="12"/>
        <v>0 tubes and 0 shuttles</v>
      </c>
      <c r="G339" s="36">
        <f t="shared" si="17"/>
        <v>0</v>
      </c>
      <c r="H339" s="104" t="str">
        <f t="shared" si="13"/>
        <v>0 tubes and 0 shuttles</v>
      </c>
      <c r="I339" s="36">
        <f t="shared" si="14"/>
        <v>0</v>
      </c>
      <c r="J339" s="103" t="str">
        <f t="shared" si="15"/>
        <v>0 tubes and 0 shuttles</v>
      </c>
    </row>
    <row r="340" spans="1:10" ht="12.5" x14ac:dyDescent="0.25">
      <c r="A340" s="32">
        <f>'Profit &amp; Loss'!A340</f>
        <v>0</v>
      </c>
      <c r="B340" s="35">
        <f>'Profit &amp; Loss'!B340</f>
        <v>0</v>
      </c>
      <c r="C340" s="36"/>
      <c r="D340" s="33"/>
      <c r="E340" s="102">
        <f t="shared" si="16"/>
        <v>0</v>
      </c>
      <c r="F340" s="103" t="str">
        <f t="shared" si="12"/>
        <v>0 tubes and 0 shuttles</v>
      </c>
      <c r="G340" s="36">
        <f t="shared" si="17"/>
        <v>0</v>
      </c>
      <c r="H340" s="104" t="str">
        <f t="shared" si="13"/>
        <v>0 tubes and 0 shuttles</v>
      </c>
      <c r="I340" s="36">
        <f t="shared" si="14"/>
        <v>0</v>
      </c>
      <c r="J340" s="103" t="str">
        <f t="shared" si="15"/>
        <v>0 tubes and 0 shuttles</v>
      </c>
    </row>
    <row r="341" spans="1:10" ht="12.5" x14ac:dyDescent="0.25">
      <c r="A341" s="32">
        <f>'Profit &amp; Loss'!A341</f>
        <v>0</v>
      </c>
      <c r="B341" s="35">
        <f>'Profit &amp; Loss'!B341</f>
        <v>0</v>
      </c>
      <c r="C341" s="36"/>
      <c r="D341" s="33"/>
      <c r="E341" s="102">
        <f t="shared" si="16"/>
        <v>0</v>
      </c>
      <c r="F341" s="103" t="str">
        <f t="shared" si="12"/>
        <v>0 tubes and 0 shuttles</v>
      </c>
      <c r="G341" s="36">
        <f t="shared" si="17"/>
        <v>0</v>
      </c>
      <c r="H341" s="104" t="str">
        <f t="shared" si="13"/>
        <v>0 tubes and 0 shuttles</v>
      </c>
      <c r="I341" s="36">
        <f t="shared" si="14"/>
        <v>0</v>
      </c>
      <c r="J341" s="103" t="str">
        <f t="shared" si="15"/>
        <v>0 tubes and 0 shuttles</v>
      </c>
    </row>
    <row r="342" spans="1:10" ht="12.5" x14ac:dyDescent="0.25">
      <c r="A342" s="32">
        <f>'Profit &amp; Loss'!A342</f>
        <v>0</v>
      </c>
      <c r="B342" s="35">
        <f>'Profit &amp; Loss'!B342</f>
        <v>0</v>
      </c>
      <c r="C342" s="36"/>
      <c r="D342" s="33"/>
      <c r="E342" s="102">
        <f t="shared" si="16"/>
        <v>0</v>
      </c>
      <c r="F342" s="103" t="str">
        <f t="shared" si="12"/>
        <v>0 tubes and 0 shuttles</v>
      </c>
      <c r="G342" s="36">
        <f t="shared" si="17"/>
        <v>0</v>
      </c>
      <c r="H342" s="104" t="str">
        <f t="shared" si="13"/>
        <v>0 tubes and 0 shuttles</v>
      </c>
      <c r="I342" s="36">
        <f t="shared" si="14"/>
        <v>0</v>
      </c>
      <c r="J342" s="103" t="str">
        <f t="shared" si="15"/>
        <v>0 tubes and 0 shuttles</v>
      </c>
    </row>
    <row r="343" spans="1:10" ht="12.5" x14ac:dyDescent="0.25">
      <c r="A343" s="32">
        <f>'Profit &amp; Loss'!A343</f>
        <v>0</v>
      </c>
      <c r="B343" s="35">
        <f>'Profit &amp; Loss'!B343</f>
        <v>0</v>
      </c>
      <c r="C343" s="36"/>
      <c r="D343" s="33"/>
      <c r="E343" s="102">
        <f t="shared" si="16"/>
        <v>0</v>
      </c>
      <c r="F343" s="103" t="str">
        <f t="shared" si="12"/>
        <v>0 tubes and 0 shuttles</v>
      </c>
      <c r="G343" s="36">
        <f t="shared" si="17"/>
        <v>0</v>
      </c>
      <c r="H343" s="104" t="str">
        <f t="shared" si="13"/>
        <v>0 tubes and 0 shuttles</v>
      </c>
      <c r="I343" s="36">
        <f t="shared" si="14"/>
        <v>0</v>
      </c>
      <c r="J343" s="103" t="str">
        <f t="shared" si="15"/>
        <v>0 tubes and 0 shuttles</v>
      </c>
    </row>
    <row r="344" spans="1:10" ht="12.5" x14ac:dyDescent="0.25">
      <c r="A344" s="32">
        <f>'Profit &amp; Loss'!A344</f>
        <v>0</v>
      </c>
      <c r="B344" s="35">
        <f>'Profit &amp; Loss'!B344</f>
        <v>0</v>
      </c>
      <c r="C344" s="36"/>
      <c r="D344" s="33"/>
      <c r="E344" s="102">
        <f t="shared" si="16"/>
        <v>0</v>
      </c>
      <c r="F344" s="103" t="str">
        <f t="shared" si="12"/>
        <v>0 tubes and 0 shuttles</v>
      </c>
      <c r="G344" s="36">
        <f t="shared" si="17"/>
        <v>0</v>
      </c>
      <c r="H344" s="104" t="str">
        <f t="shared" si="13"/>
        <v>0 tubes and 0 shuttles</v>
      </c>
      <c r="I344" s="36">
        <f t="shared" si="14"/>
        <v>0</v>
      </c>
      <c r="J344" s="103" t="str">
        <f t="shared" si="15"/>
        <v>0 tubes and 0 shuttles</v>
      </c>
    </row>
    <row r="345" spans="1:10" ht="12.5" x14ac:dyDescent="0.25">
      <c r="A345" s="32">
        <f>'Profit &amp; Loss'!A345</f>
        <v>0</v>
      </c>
      <c r="B345" s="35">
        <f>'Profit &amp; Loss'!B345</f>
        <v>0</v>
      </c>
      <c r="C345" s="36"/>
      <c r="D345" s="33"/>
      <c r="E345" s="102">
        <f t="shared" si="16"/>
        <v>0</v>
      </c>
      <c r="F345" s="103" t="str">
        <f t="shared" si="12"/>
        <v>0 tubes and 0 shuttles</v>
      </c>
      <c r="G345" s="36">
        <f t="shared" si="17"/>
        <v>0</v>
      </c>
      <c r="H345" s="104" t="str">
        <f t="shared" si="13"/>
        <v>0 tubes and 0 shuttles</v>
      </c>
      <c r="I345" s="36">
        <f t="shared" si="14"/>
        <v>0</v>
      </c>
      <c r="J345" s="103" t="str">
        <f t="shared" si="15"/>
        <v>0 tubes and 0 shuttles</v>
      </c>
    </row>
    <row r="346" spans="1:10" ht="12.5" x14ac:dyDescent="0.25">
      <c r="A346" s="32">
        <f>'Profit &amp; Loss'!A346</f>
        <v>0</v>
      </c>
      <c r="B346" s="35">
        <f>'Profit &amp; Loss'!B346</f>
        <v>0</v>
      </c>
      <c r="C346" s="36"/>
      <c r="D346" s="33"/>
      <c r="E346" s="102">
        <f t="shared" si="16"/>
        <v>0</v>
      </c>
      <c r="F346" s="103" t="str">
        <f t="shared" si="12"/>
        <v>0 tubes and 0 shuttles</v>
      </c>
      <c r="G346" s="36">
        <f t="shared" si="17"/>
        <v>0</v>
      </c>
      <c r="H346" s="104" t="str">
        <f t="shared" si="13"/>
        <v>0 tubes and 0 shuttles</v>
      </c>
      <c r="I346" s="36">
        <f t="shared" si="14"/>
        <v>0</v>
      </c>
      <c r="J346" s="103" t="str">
        <f t="shared" si="15"/>
        <v>0 tubes and 0 shuttles</v>
      </c>
    </row>
    <row r="347" spans="1:10" ht="12.5" x14ac:dyDescent="0.25">
      <c r="A347" s="32">
        <f>'Profit &amp; Loss'!A347</f>
        <v>0</v>
      </c>
      <c r="B347" s="35">
        <f>'Profit &amp; Loss'!B347</f>
        <v>0</v>
      </c>
      <c r="C347" s="36"/>
      <c r="D347" s="33"/>
      <c r="E347" s="102">
        <f t="shared" si="16"/>
        <v>0</v>
      </c>
      <c r="F347" s="103" t="str">
        <f t="shared" si="12"/>
        <v>0 tubes and 0 shuttles</v>
      </c>
      <c r="G347" s="36">
        <f t="shared" si="17"/>
        <v>0</v>
      </c>
      <c r="H347" s="104" t="str">
        <f t="shared" si="13"/>
        <v>0 tubes and 0 shuttles</v>
      </c>
      <c r="I347" s="36">
        <f t="shared" si="14"/>
        <v>0</v>
      </c>
      <c r="J347" s="103" t="str">
        <f t="shared" si="15"/>
        <v>0 tubes and 0 shuttles</v>
      </c>
    </row>
    <row r="348" spans="1:10" ht="12.5" x14ac:dyDescent="0.25">
      <c r="A348" s="32">
        <f>'Profit &amp; Loss'!A348</f>
        <v>0</v>
      </c>
      <c r="B348" s="35">
        <f>'Profit &amp; Loss'!B348</f>
        <v>0</v>
      </c>
      <c r="C348" s="36"/>
      <c r="D348" s="33"/>
      <c r="E348" s="102">
        <f t="shared" si="16"/>
        <v>0</v>
      </c>
      <c r="F348" s="103" t="str">
        <f t="shared" si="12"/>
        <v>0 tubes and 0 shuttles</v>
      </c>
      <c r="G348" s="36">
        <f t="shared" si="17"/>
        <v>0</v>
      </c>
      <c r="H348" s="104" t="str">
        <f t="shared" si="13"/>
        <v>0 tubes and 0 shuttles</v>
      </c>
      <c r="I348" s="36">
        <f t="shared" si="14"/>
        <v>0</v>
      </c>
      <c r="J348" s="103" t="str">
        <f t="shared" si="15"/>
        <v>0 tubes and 0 shuttles</v>
      </c>
    </row>
    <row r="349" spans="1:10" ht="12.5" x14ac:dyDescent="0.25">
      <c r="A349" s="32">
        <f>'Profit &amp; Loss'!A349</f>
        <v>0</v>
      </c>
      <c r="B349" s="35">
        <f>'Profit &amp; Loss'!B349</f>
        <v>0</v>
      </c>
      <c r="C349" s="36"/>
      <c r="D349" s="33"/>
      <c r="E349" s="102">
        <f t="shared" si="16"/>
        <v>0</v>
      </c>
      <c r="F349" s="103" t="str">
        <f t="shared" si="12"/>
        <v>0 tubes and 0 shuttles</v>
      </c>
      <c r="G349" s="36">
        <f t="shared" si="17"/>
        <v>0</v>
      </c>
      <c r="H349" s="104" t="str">
        <f t="shared" si="13"/>
        <v>0 tubes and 0 shuttles</v>
      </c>
      <c r="I349" s="36">
        <f t="shared" si="14"/>
        <v>0</v>
      </c>
      <c r="J349" s="103" t="str">
        <f t="shared" si="15"/>
        <v>0 tubes and 0 shuttles</v>
      </c>
    </row>
    <row r="350" spans="1:10" ht="12.5" x14ac:dyDescent="0.25">
      <c r="A350" s="32">
        <f>'Profit &amp; Loss'!A350</f>
        <v>0</v>
      </c>
      <c r="B350" s="35">
        <f>'Profit &amp; Loss'!B350</f>
        <v>0</v>
      </c>
      <c r="C350" s="36"/>
      <c r="D350" s="33"/>
      <c r="E350" s="102">
        <f t="shared" si="16"/>
        <v>0</v>
      </c>
      <c r="F350" s="103" t="str">
        <f t="shared" si="12"/>
        <v>0 tubes and 0 shuttles</v>
      </c>
      <c r="G350" s="36">
        <f t="shared" si="17"/>
        <v>0</v>
      </c>
      <c r="H350" s="104" t="str">
        <f t="shared" si="13"/>
        <v>0 tubes and 0 shuttles</v>
      </c>
      <c r="I350" s="36">
        <f t="shared" si="14"/>
        <v>0</v>
      </c>
      <c r="J350" s="103" t="str">
        <f t="shared" si="15"/>
        <v>0 tubes and 0 shuttles</v>
      </c>
    </row>
    <row r="351" spans="1:10" ht="12.5" x14ac:dyDescent="0.25">
      <c r="A351" s="32">
        <f>'Profit &amp; Loss'!A351</f>
        <v>0</v>
      </c>
      <c r="B351" s="35">
        <f>'Profit &amp; Loss'!B351</f>
        <v>0</v>
      </c>
      <c r="C351" s="36"/>
      <c r="D351" s="33"/>
      <c r="E351" s="102">
        <f t="shared" si="16"/>
        <v>0</v>
      </c>
      <c r="F351" s="103" t="str">
        <f t="shared" si="12"/>
        <v>0 tubes and 0 shuttles</v>
      </c>
      <c r="G351" s="36">
        <f t="shared" si="17"/>
        <v>0</v>
      </c>
      <c r="H351" s="104" t="str">
        <f t="shared" si="13"/>
        <v>0 tubes and 0 shuttles</v>
      </c>
      <c r="I351" s="36">
        <f t="shared" si="14"/>
        <v>0</v>
      </c>
      <c r="J351" s="103" t="str">
        <f t="shared" si="15"/>
        <v>0 tubes and 0 shuttles</v>
      </c>
    </row>
    <row r="352" spans="1:10" ht="12.5" x14ac:dyDescent="0.25">
      <c r="A352" s="32">
        <f>'Profit &amp; Loss'!A352</f>
        <v>0</v>
      </c>
      <c r="B352" s="35">
        <f>'Profit &amp; Loss'!B352</f>
        <v>0</v>
      </c>
      <c r="C352" s="36"/>
      <c r="D352" s="33"/>
      <c r="E352" s="102">
        <f t="shared" si="16"/>
        <v>0</v>
      </c>
      <c r="F352" s="103" t="str">
        <f t="shared" si="12"/>
        <v>0 tubes and 0 shuttles</v>
      </c>
      <c r="G352" s="36">
        <f t="shared" si="17"/>
        <v>0</v>
      </c>
      <c r="H352" s="104" t="str">
        <f t="shared" si="13"/>
        <v>0 tubes and 0 shuttles</v>
      </c>
      <c r="I352" s="36">
        <f t="shared" si="14"/>
        <v>0</v>
      </c>
      <c r="J352" s="103" t="str">
        <f t="shared" si="15"/>
        <v>0 tubes and 0 shuttles</v>
      </c>
    </row>
    <row r="353" spans="1:10" ht="12.5" x14ac:dyDescent="0.25">
      <c r="A353" s="32">
        <f>'Profit &amp; Loss'!A353</f>
        <v>0</v>
      </c>
      <c r="B353" s="35">
        <f>'Profit &amp; Loss'!B353</f>
        <v>0</v>
      </c>
      <c r="C353" s="36"/>
      <c r="D353" s="33"/>
      <c r="E353" s="102">
        <f t="shared" si="16"/>
        <v>0</v>
      </c>
      <c r="F353" s="103" t="str">
        <f t="shared" si="12"/>
        <v>0 tubes and 0 shuttles</v>
      </c>
      <c r="G353" s="36">
        <f t="shared" si="17"/>
        <v>0</v>
      </c>
      <c r="H353" s="104" t="str">
        <f t="shared" si="13"/>
        <v>0 tubes and 0 shuttles</v>
      </c>
      <c r="I353" s="36">
        <f t="shared" si="14"/>
        <v>0</v>
      </c>
      <c r="J353" s="103" t="str">
        <f t="shared" si="15"/>
        <v>0 tubes and 0 shuttles</v>
      </c>
    </row>
    <row r="354" spans="1:10" ht="12.5" x14ac:dyDescent="0.25">
      <c r="A354" s="32">
        <f>'Profit &amp; Loss'!A354</f>
        <v>0</v>
      </c>
      <c r="B354" s="35">
        <f>'Profit &amp; Loss'!B354</f>
        <v>0</v>
      </c>
      <c r="C354" s="36"/>
      <c r="D354" s="33"/>
      <c r="E354" s="102">
        <f t="shared" si="16"/>
        <v>0</v>
      </c>
      <c r="F354" s="103" t="str">
        <f t="shared" si="12"/>
        <v>0 tubes and 0 shuttles</v>
      </c>
      <c r="G354" s="36">
        <f t="shared" si="17"/>
        <v>0</v>
      </c>
      <c r="H354" s="104" t="str">
        <f t="shared" si="13"/>
        <v>0 tubes and 0 shuttles</v>
      </c>
      <c r="I354" s="36">
        <f t="shared" si="14"/>
        <v>0</v>
      </c>
      <c r="J354" s="103" t="str">
        <f t="shared" si="15"/>
        <v>0 tubes and 0 shuttles</v>
      </c>
    </row>
    <row r="355" spans="1:10" ht="12.5" x14ac:dyDescent="0.25">
      <c r="A355" s="32">
        <f>'Profit &amp; Loss'!A355</f>
        <v>0</v>
      </c>
      <c r="B355" s="35">
        <f>'Profit &amp; Loss'!B355</f>
        <v>0</v>
      </c>
      <c r="C355" s="36"/>
      <c r="D355" s="33"/>
      <c r="E355" s="102">
        <f t="shared" si="16"/>
        <v>0</v>
      </c>
      <c r="F355" s="103" t="str">
        <f t="shared" si="12"/>
        <v>0 tubes and 0 shuttles</v>
      </c>
      <c r="G355" s="36">
        <f t="shared" si="17"/>
        <v>0</v>
      </c>
      <c r="H355" s="104" t="str">
        <f t="shared" si="13"/>
        <v>0 tubes and 0 shuttles</v>
      </c>
      <c r="I355" s="36">
        <f t="shared" si="14"/>
        <v>0</v>
      </c>
      <c r="J355" s="103" t="str">
        <f t="shared" si="15"/>
        <v>0 tubes and 0 shuttles</v>
      </c>
    </row>
    <row r="356" spans="1:10" ht="12.5" x14ac:dyDescent="0.25">
      <c r="A356" s="32">
        <f>'Profit &amp; Loss'!A356</f>
        <v>0</v>
      </c>
      <c r="B356" s="35">
        <f>'Profit &amp; Loss'!B356</f>
        <v>0</v>
      </c>
      <c r="C356" s="36"/>
      <c r="D356" s="33"/>
      <c r="E356" s="102">
        <f t="shared" si="16"/>
        <v>0</v>
      </c>
      <c r="F356" s="103" t="str">
        <f t="shared" si="12"/>
        <v>0 tubes and 0 shuttles</v>
      </c>
      <c r="G356" s="36">
        <f t="shared" si="17"/>
        <v>0</v>
      </c>
      <c r="H356" s="104" t="str">
        <f t="shared" si="13"/>
        <v>0 tubes and 0 shuttles</v>
      </c>
      <c r="I356" s="36">
        <f t="shared" si="14"/>
        <v>0</v>
      </c>
      <c r="J356" s="103" t="str">
        <f t="shared" si="15"/>
        <v>0 tubes and 0 shuttles</v>
      </c>
    </row>
    <row r="357" spans="1:10" ht="12.5" x14ac:dyDescent="0.25">
      <c r="A357" s="32">
        <f>'Profit &amp; Loss'!A357</f>
        <v>0</v>
      </c>
      <c r="B357" s="35">
        <f>'Profit &amp; Loss'!B357</f>
        <v>0</v>
      </c>
      <c r="C357" s="36"/>
      <c r="D357" s="33"/>
      <c r="E357" s="102">
        <f t="shared" si="16"/>
        <v>0</v>
      </c>
      <c r="F357" s="103" t="str">
        <f t="shared" si="12"/>
        <v>0 tubes and 0 shuttles</v>
      </c>
      <c r="G357" s="36">
        <f t="shared" si="17"/>
        <v>0</v>
      </c>
      <c r="H357" s="104" t="str">
        <f t="shared" si="13"/>
        <v>0 tubes and 0 shuttles</v>
      </c>
      <c r="I357" s="36">
        <f t="shared" si="14"/>
        <v>0</v>
      </c>
      <c r="J357" s="103" t="str">
        <f t="shared" si="15"/>
        <v>0 tubes and 0 shuttles</v>
      </c>
    </row>
    <row r="358" spans="1:10" ht="12.5" x14ac:dyDescent="0.25">
      <c r="A358" s="32">
        <f>'Profit &amp; Loss'!A358</f>
        <v>0</v>
      </c>
      <c r="B358" s="35">
        <f>'Profit &amp; Loss'!B358</f>
        <v>0</v>
      </c>
      <c r="C358" s="36"/>
      <c r="D358" s="33"/>
      <c r="E358" s="102">
        <f t="shared" si="16"/>
        <v>0</v>
      </c>
      <c r="F358" s="103" t="str">
        <f t="shared" si="12"/>
        <v>0 tubes and 0 shuttles</v>
      </c>
      <c r="G358" s="36">
        <f t="shared" si="17"/>
        <v>0</v>
      </c>
      <c r="H358" s="104" t="str">
        <f t="shared" si="13"/>
        <v>0 tubes and 0 shuttles</v>
      </c>
      <c r="I358" s="36">
        <f t="shared" si="14"/>
        <v>0</v>
      </c>
      <c r="J358" s="103" t="str">
        <f t="shared" si="15"/>
        <v>0 tubes and 0 shuttles</v>
      </c>
    </row>
    <row r="359" spans="1:10" ht="12.5" x14ac:dyDescent="0.25">
      <c r="A359" s="32">
        <f>'Profit &amp; Loss'!A359</f>
        <v>0</v>
      </c>
      <c r="B359" s="35">
        <f>'Profit &amp; Loss'!B359</f>
        <v>0</v>
      </c>
      <c r="C359" s="36"/>
      <c r="D359" s="33"/>
      <c r="E359" s="102">
        <f t="shared" si="16"/>
        <v>0</v>
      </c>
      <c r="F359" s="103" t="str">
        <f t="shared" si="12"/>
        <v>0 tubes and 0 shuttles</v>
      </c>
      <c r="G359" s="36">
        <f t="shared" si="17"/>
        <v>0</v>
      </c>
      <c r="H359" s="104" t="str">
        <f t="shared" si="13"/>
        <v>0 tubes and 0 shuttles</v>
      </c>
      <c r="I359" s="36">
        <f t="shared" si="14"/>
        <v>0</v>
      </c>
      <c r="J359" s="103" t="str">
        <f t="shared" si="15"/>
        <v>0 tubes and 0 shuttles</v>
      </c>
    </row>
    <row r="360" spans="1:10" ht="12.5" x14ac:dyDescent="0.25">
      <c r="A360" s="32">
        <f>'Profit &amp; Loss'!A360</f>
        <v>0</v>
      </c>
      <c r="B360" s="35">
        <f>'Profit &amp; Loss'!B360</f>
        <v>0</v>
      </c>
      <c r="C360" s="36"/>
      <c r="D360" s="33"/>
      <c r="E360" s="102">
        <f t="shared" si="16"/>
        <v>0</v>
      </c>
      <c r="F360" s="103" t="str">
        <f t="shared" si="12"/>
        <v>0 tubes and 0 shuttles</v>
      </c>
      <c r="G360" s="36">
        <f t="shared" si="17"/>
        <v>0</v>
      </c>
      <c r="H360" s="104" t="str">
        <f t="shared" si="13"/>
        <v>0 tubes and 0 shuttles</v>
      </c>
      <c r="I360" s="36">
        <f t="shared" si="14"/>
        <v>0</v>
      </c>
      <c r="J360" s="103" t="str">
        <f t="shared" si="15"/>
        <v>0 tubes and 0 shuttles</v>
      </c>
    </row>
    <row r="361" spans="1:10" ht="12.5" x14ac:dyDescent="0.25">
      <c r="A361" s="32">
        <f>'Profit &amp; Loss'!A361</f>
        <v>0</v>
      </c>
      <c r="B361" s="35">
        <f>'Profit &amp; Loss'!B361</f>
        <v>0</v>
      </c>
      <c r="C361" s="36"/>
      <c r="D361" s="33"/>
      <c r="E361" s="102">
        <f t="shared" si="16"/>
        <v>0</v>
      </c>
      <c r="F361" s="103" t="str">
        <f t="shared" si="12"/>
        <v>0 tubes and 0 shuttles</v>
      </c>
      <c r="G361" s="36">
        <f t="shared" si="17"/>
        <v>0</v>
      </c>
      <c r="H361" s="104" t="str">
        <f t="shared" si="13"/>
        <v>0 tubes and 0 shuttles</v>
      </c>
      <c r="I361" s="36">
        <f t="shared" si="14"/>
        <v>0</v>
      </c>
      <c r="J361" s="103" t="str">
        <f t="shared" si="15"/>
        <v>0 tubes and 0 shuttles</v>
      </c>
    </row>
    <row r="362" spans="1:10" ht="12.5" x14ac:dyDescent="0.25">
      <c r="A362" s="32">
        <f>'Profit &amp; Loss'!A362</f>
        <v>0</v>
      </c>
      <c r="B362" s="35">
        <f>'Profit &amp; Loss'!B362</f>
        <v>0</v>
      </c>
      <c r="C362" s="36"/>
      <c r="D362" s="33"/>
      <c r="E362" s="102">
        <f t="shared" si="16"/>
        <v>0</v>
      </c>
      <c r="F362" s="103" t="str">
        <f t="shared" si="12"/>
        <v>0 tubes and 0 shuttles</v>
      </c>
      <c r="G362" s="36">
        <f t="shared" si="17"/>
        <v>0</v>
      </c>
      <c r="H362" s="104" t="str">
        <f t="shared" si="13"/>
        <v>0 tubes and 0 shuttles</v>
      </c>
      <c r="I362" s="36">
        <f t="shared" si="14"/>
        <v>0</v>
      </c>
      <c r="J362" s="103" t="str">
        <f t="shared" si="15"/>
        <v>0 tubes and 0 shuttles</v>
      </c>
    </row>
    <row r="363" spans="1:10" ht="12.5" x14ac:dyDescent="0.25">
      <c r="A363" s="32">
        <f>'Profit &amp; Loss'!A363</f>
        <v>0</v>
      </c>
      <c r="B363" s="35">
        <f>'Profit &amp; Loss'!B363</f>
        <v>0</v>
      </c>
      <c r="C363" s="36"/>
      <c r="D363" s="33"/>
      <c r="E363" s="102">
        <f t="shared" si="16"/>
        <v>0</v>
      </c>
      <c r="F363" s="103" t="str">
        <f t="shared" si="12"/>
        <v>0 tubes and 0 shuttles</v>
      </c>
      <c r="G363" s="36">
        <f t="shared" si="17"/>
        <v>0</v>
      </c>
      <c r="H363" s="104" t="str">
        <f t="shared" si="13"/>
        <v>0 tubes and 0 shuttles</v>
      </c>
      <c r="I363" s="36">
        <f t="shared" si="14"/>
        <v>0</v>
      </c>
      <c r="J363" s="103" t="str">
        <f t="shared" si="15"/>
        <v>0 tubes and 0 shuttles</v>
      </c>
    </row>
    <row r="364" spans="1:10" ht="12.5" x14ac:dyDescent="0.25">
      <c r="A364" s="32">
        <f>'Profit &amp; Loss'!A364</f>
        <v>0</v>
      </c>
      <c r="B364" s="35">
        <f>'Profit &amp; Loss'!B364</f>
        <v>0</v>
      </c>
      <c r="C364" s="36"/>
      <c r="D364" s="33"/>
      <c r="E364" s="102">
        <f t="shared" si="16"/>
        <v>0</v>
      </c>
      <c r="F364" s="103" t="str">
        <f t="shared" si="12"/>
        <v>0 tubes and 0 shuttles</v>
      </c>
      <c r="G364" s="36">
        <f t="shared" si="17"/>
        <v>0</v>
      </c>
      <c r="H364" s="104" t="str">
        <f t="shared" si="13"/>
        <v>0 tubes and 0 shuttles</v>
      </c>
      <c r="I364" s="36">
        <f t="shared" si="14"/>
        <v>0</v>
      </c>
      <c r="J364" s="103" t="str">
        <f t="shared" si="15"/>
        <v>0 tubes and 0 shuttles</v>
      </c>
    </row>
    <row r="365" spans="1:10" ht="12.5" x14ac:dyDescent="0.25">
      <c r="A365" s="32">
        <f>'Profit &amp; Loss'!A365</f>
        <v>0</v>
      </c>
      <c r="B365" s="35">
        <f>'Profit &amp; Loss'!B365</f>
        <v>0</v>
      </c>
      <c r="C365" s="36"/>
      <c r="D365" s="33"/>
      <c r="E365" s="102">
        <f t="shared" si="16"/>
        <v>0</v>
      </c>
      <c r="F365" s="103" t="str">
        <f t="shared" si="12"/>
        <v>0 tubes and 0 shuttles</v>
      </c>
      <c r="G365" s="36">
        <f t="shared" si="17"/>
        <v>0</v>
      </c>
      <c r="H365" s="104" t="str">
        <f t="shared" si="13"/>
        <v>0 tubes and 0 shuttles</v>
      </c>
      <c r="I365" s="36">
        <f t="shared" si="14"/>
        <v>0</v>
      </c>
      <c r="J365" s="103" t="str">
        <f t="shared" si="15"/>
        <v>0 tubes and 0 shuttles</v>
      </c>
    </row>
    <row r="366" spans="1:10" ht="12.5" x14ac:dyDescent="0.25">
      <c r="A366" s="32">
        <f>'Profit &amp; Loss'!A366</f>
        <v>0</v>
      </c>
      <c r="B366" s="35">
        <f>'Profit &amp; Loss'!B366</f>
        <v>0</v>
      </c>
      <c r="C366" s="36"/>
      <c r="D366" s="33"/>
      <c r="E366" s="102">
        <f t="shared" si="16"/>
        <v>0</v>
      </c>
      <c r="F366" s="103" t="str">
        <f t="shared" si="12"/>
        <v>0 tubes and 0 shuttles</v>
      </c>
      <c r="G366" s="36">
        <f t="shared" si="17"/>
        <v>0</v>
      </c>
      <c r="H366" s="104" t="str">
        <f t="shared" si="13"/>
        <v>0 tubes and 0 shuttles</v>
      </c>
      <c r="I366" s="36">
        <f t="shared" si="14"/>
        <v>0</v>
      </c>
      <c r="J366" s="103" t="str">
        <f t="shared" si="15"/>
        <v>0 tubes and 0 shuttles</v>
      </c>
    </row>
    <row r="367" spans="1:10" ht="12.5" x14ac:dyDescent="0.25">
      <c r="A367" s="32">
        <f>'Profit &amp; Loss'!A367</f>
        <v>0</v>
      </c>
      <c r="B367" s="35">
        <f>'Profit &amp; Loss'!B367</f>
        <v>0</v>
      </c>
      <c r="C367" s="36"/>
      <c r="D367" s="33"/>
      <c r="E367" s="102">
        <f t="shared" si="16"/>
        <v>0</v>
      </c>
      <c r="F367" s="103" t="str">
        <f t="shared" si="12"/>
        <v>0 tubes and 0 shuttles</v>
      </c>
      <c r="G367" s="36">
        <f t="shared" si="17"/>
        <v>0</v>
      </c>
      <c r="H367" s="104" t="str">
        <f t="shared" si="13"/>
        <v>0 tubes and 0 shuttles</v>
      </c>
      <c r="I367" s="36">
        <f t="shared" si="14"/>
        <v>0</v>
      </c>
      <c r="J367" s="103" t="str">
        <f t="shared" si="15"/>
        <v>0 tubes and 0 shuttles</v>
      </c>
    </row>
    <row r="368" spans="1:10" ht="12.5" x14ac:dyDescent="0.25">
      <c r="A368" s="32">
        <f>'Profit &amp; Loss'!A368</f>
        <v>0</v>
      </c>
      <c r="B368" s="35">
        <f>'Profit &amp; Loss'!B368</f>
        <v>0</v>
      </c>
      <c r="C368" s="36"/>
      <c r="D368" s="33"/>
      <c r="E368" s="102">
        <f t="shared" si="16"/>
        <v>0</v>
      </c>
      <c r="F368" s="103" t="str">
        <f t="shared" si="12"/>
        <v>0 tubes and 0 shuttles</v>
      </c>
      <c r="G368" s="36">
        <f t="shared" si="17"/>
        <v>0</v>
      </c>
      <c r="H368" s="104" t="str">
        <f t="shared" si="13"/>
        <v>0 tubes and 0 shuttles</v>
      </c>
      <c r="I368" s="36">
        <f t="shared" si="14"/>
        <v>0</v>
      </c>
      <c r="J368" s="103" t="str">
        <f t="shared" si="15"/>
        <v>0 tubes and 0 shuttles</v>
      </c>
    </row>
    <row r="369" spans="1:10" ht="12.5" x14ac:dyDescent="0.25">
      <c r="A369" s="32">
        <f>'Profit &amp; Loss'!A369</f>
        <v>0</v>
      </c>
      <c r="B369" s="35">
        <f>'Profit &amp; Loss'!B369</f>
        <v>0</v>
      </c>
      <c r="C369" s="36"/>
      <c r="D369" s="33"/>
      <c r="E369" s="102">
        <f t="shared" si="16"/>
        <v>0</v>
      </c>
      <c r="F369" s="103" t="str">
        <f t="shared" si="12"/>
        <v>0 tubes and 0 shuttles</v>
      </c>
      <c r="G369" s="36">
        <f t="shared" si="17"/>
        <v>0</v>
      </c>
      <c r="H369" s="104" t="str">
        <f t="shared" si="13"/>
        <v>0 tubes and 0 shuttles</v>
      </c>
      <c r="I369" s="36">
        <f t="shared" si="14"/>
        <v>0</v>
      </c>
      <c r="J369" s="103" t="str">
        <f t="shared" si="15"/>
        <v>0 tubes and 0 shuttles</v>
      </c>
    </row>
    <row r="370" spans="1:10" ht="12.5" x14ac:dyDescent="0.25">
      <c r="A370" s="32">
        <f>'Profit &amp; Loss'!A370</f>
        <v>0</v>
      </c>
      <c r="B370" s="35">
        <f>'Profit &amp; Loss'!B370</f>
        <v>0</v>
      </c>
      <c r="C370" s="36"/>
      <c r="D370" s="33"/>
      <c r="E370" s="102">
        <f t="shared" si="16"/>
        <v>0</v>
      </c>
      <c r="F370" s="103" t="str">
        <f t="shared" si="12"/>
        <v>0 tubes and 0 shuttles</v>
      </c>
      <c r="G370" s="36">
        <f t="shared" si="17"/>
        <v>0</v>
      </c>
      <c r="H370" s="104" t="str">
        <f t="shared" si="13"/>
        <v>0 tubes and 0 shuttles</v>
      </c>
      <c r="I370" s="36">
        <f t="shared" si="14"/>
        <v>0</v>
      </c>
      <c r="J370" s="103" t="str">
        <f t="shared" si="15"/>
        <v>0 tubes and 0 shuttles</v>
      </c>
    </row>
    <row r="371" spans="1:10" ht="12.5" x14ac:dyDescent="0.25">
      <c r="A371" s="32">
        <f>'Profit &amp; Loss'!A371</f>
        <v>0</v>
      </c>
      <c r="B371" s="35">
        <f>'Profit &amp; Loss'!B371</f>
        <v>0</v>
      </c>
      <c r="C371" s="36"/>
      <c r="D371" s="33"/>
      <c r="E371" s="102">
        <f t="shared" si="16"/>
        <v>0</v>
      </c>
      <c r="F371" s="103" t="str">
        <f t="shared" si="12"/>
        <v>0 tubes and 0 shuttles</v>
      </c>
      <c r="G371" s="36">
        <f t="shared" si="17"/>
        <v>0</v>
      </c>
      <c r="H371" s="104" t="str">
        <f t="shared" si="13"/>
        <v>0 tubes and 0 shuttles</v>
      </c>
      <c r="I371" s="36">
        <f t="shared" si="14"/>
        <v>0</v>
      </c>
      <c r="J371" s="103" t="str">
        <f t="shared" si="15"/>
        <v>0 tubes and 0 shuttles</v>
      </c>
    </row>
    <row r="372" spans="1:10" ht="12.5" x14ac:dyDescent="0.25">
      <c r="A372" s="32">
        <f>'Profit &amp; Loss'!A372</f>
        <v>0</v>
      </c>
      <c r="B372" s="35">
        <f>'Profit &amp; Loss'!B372</f>
        <v>0</v>
      </c>
      <c r="C372" s="36"/>
      <c r="D372" s="33"/>
      <c r="E372" s="102">
        <f t="shared" si="16"/>
        <v>0</v>
      </c>
      <c r="F372" s="103" t="str">
        <f t="shared" si="12"/>
        <v>0 tubes and 0 shuttles</v>
      </c>
      <c r="G372" s="36">
        <f t="shared" si="17"/>
        <v>0</v>
      </c>
      <c r="H372" s="104" t="str">
        <f t="shared" si="13"/>
        <v>0 tubes and 0 shuttles</v>
      </c>
      <c r="I372" s="36">
        <f t="shared" si="14"/>
        <v>0</v>
      </c>
      <c r="J372" s="103" t="str">
        <f t="shared" si="15"/>
        <v>0 tubes and 0 shuttles</v>
      </c>
    </row>
    <row r="373" spans="1:10" ht="12.5" x14ac:dyDescent="0.25">
      <c r="A373" s="32">
        <f>'Profit &amp; Loss'!A373</f>
        <v>0</v>
      </c>
      <c r="B373" s="35">
        <f>'Profit &amp; Loss'!B373</f>
        <v>0</v>
      </c>
      <c r="C373" s="36"/>
      <c r="D373" s="33"/>
      <c r="E373" s="102">
        <f t="shared" si="16"/>
        <v>0</v>
      </c>
      <c r="F373" s="103" t="str">
        <f t="shared" si="12"/>
        <v>0 tubes and 0 shuttles</v>
      </c>
      <c r="G373" s="36">
        <f t="shared" si="17"/>
        <v>0</v>
      </c>
      <c r="H373" s="104" t="str">
        <f t="shared" si="13"/>
        <v>0 tubes and 0 shuttles</v>
      </c>
      <c r="I373" s="36">
        <f t="shared" si="14"/>
        <v>0</v>
      </c>
      <c r="J373" s="103" t="str">
        <f t="shared" si="15"/>
        <v>0 tubes and 0 shuttles</v>
      </c>
    </row>
    <row r="374" spans="1:10" ht="12.5" x14ac:dyDescent="0.25">
      <c r="A374" s="32">
        <f>'Profit &amp; Loss'!A374</f>
        <v>0</v>
      </c>
      <c r="B374" s="35">
        <f>'Profit &amp; Loss'!B374</f>
        <v>0</v>
      </c>
      <c r="C374" s="36"/>
      <c r="D374" s="33"/>
      <c r="E374" s="102">
        <f t="shared" si="16"/>
        <v>0</v>
      </c>
      <c r="F374" s="103" t="str">
        <f t="shared" si="12"/>
        <v>0 tubes and 0 shuttles</v>
      </c>
      <c r="G374" s="36">
        <f t="shared" si="17"/>
        <v>0</v>
      </c>
      <c r="H374" s="104" t="str">
        <f t="shared" si="13"/>
        <v>0 tubes and 0 shuttles</v>
      </c>
      <c r="I374" s="36">
        <f t="shared" si="14"/>
        <v>0</v>
      </c>
      <c r="J374" s="103" t="str">
        <f t="shared" si="15"/>
        <v>0 tubes and 0 shuttles</v>
      </c>
    </row>
    <row r="375" spans="1:10" ht="12.5" x14ac:dyDescent="0.25">
      <c r="A375" s="32">
        <f>'Profit &amp; Loss'!A375</f>
        <v>0</v>
      </c>
      <c r="B375" s="35">
        <f>'Profit &amp; Loss'!B375</f>
        <v>0</v>
      </c>
      <c r="C375" s="36"/>
      <c r="D375" s="33"/>
      <c r="E375" s="102">
        <f t="shared" si="16"/>
        <v>0</v>
      </c>
      <c r="F375" s="103" t="str">
        <f t="shared" si="12"/>
        <v>0 tubes and 0 shuttles</v>
      </c>
      <c r="G375" s="36">
        <f t="shared" si="17"/>
        <v>0</v>
      </c>
      <c r="H375" s="104" t="str">
        <f t="shared" si="13"/>
        <v>0 tubes and 0 shuttles</v>
      </c>
      <c r="I375" s="36">
        <f t="shared" si="14"/>
        <v>0</v>
      </c>
      <c r="J375" s="103" t="str">
        <f t="shared" si="15"/>
        <v>0 tubes and 0 shuttles</v>
      </c>
    </row>
    <row r="376" spans="1:10" ht="12.5" x14ac:dyDescent="0.25">
      <c r="A376" s="32">
        <f>'Profit &amp; Loss'!A376</f>
        <v>0</v>
      </c>
      <c r="B376" s="35">
        <f>'Profit &amp; Loss'!B376</f>
        <v>0</v>
      </c>
      <c r="C376" s="36"/>
      <c r="D376" s="33"/>
      <c r="E376" s="102">
        <f t="shared" si="16"/>
        <v>0</v>
      </c>
      <c r="F376" s="103" t="str">
        <f t="shared" si="12"/>
        <v>0 tubes and 0 shuttles</v>
      </c>
      <c r="G376" s="36">
        <f t="shared" si="17"/>
        <v>0</v>
      </c>
      <c r="H376" s="104" t="str">
        <f t="shared" si="13"/>
        <v>0 tubes and 0 shuttles</v>
      </c>
      <c r="I376" s="36">
        <f t="shared" si="14"/>
        <v>0</v>
      </c>
      <c r="J376" s="103" t="str">
        <f t="shared" si="15"/>
        <v>0 tubes and 0 shuttles</v>
      </c>
    </row>
    <row r="377" spans="1:10" ht="12.5" x14ac:dyDescent="0.25">
      <c r="A377" s="32">
        <f>'Profit &amp; Loss'!A377</f>
        <v>0</v>
      </c>
      <c r="B377" s="35">
        <f>'Profit &amp; Loss'!B377</f>
        <v>0</v>
      </c>
      <c r="C377" s="36"/>
      <c r="D377" s="33"/>
      <c r="E377" s="102">
        <f t="shared" si="16"/>
        <v>0</v>
      </c>
      <c r="F377" s="103" t="str">
        <f t="shared" si="12"/>
        <v>0 tubes and 0 shuttles</v>
      </c>
      <c r="G377" s="36">
        <f t="shared" si="17"/>
        <v>0</v>
      </c>
      <c r="H377" s="104" t="str">
        <f t="shared" si="13"/>
        <v>0 tubes and 0 shuttles</v>
      </c>
      <c r="I377" s="36">
        <f t="shared" si="14"/>
        <v>0</v>
      </c>
      <c r="J377" s="103" t="str">
        <f t="shared" si="15"/>
        <v>0 tubes and 0 shuttles</v>
      </c>
    </row>
    <row r="378" spans="1:10" ht="12.5" x14ac:dyDescent="0.25">
      <c r="A378" s="32">
        <f>'Profit &amp; Loss'!A378</f>
        <v>0</v>
      </c>
      <c r="B378" s="35">
        <f>'Profit &amp; Loss'!B378</f>
        <v>0</v>
      </c>
      <c r="C378" s="36"/>
      <c r="D378" s="33"/>
      <c r="E378" s="102">
        <f t="shared" si="16"/>
        <v>0</v>
      </c>
      <c r="F378" s="103" t="str">
        <f t="shared" si="12"/>
        <v>0 tubes and 0 shuttles</v>
      </c>
      <c r="G378" s="36">
        <f t="shared" si="17"/>
        <v>0</v>
      </c>
      <c r="H378" s="104" t="str">
        <f t="shared" si="13"/>
        <v>0 tubes and 0 shuttles</v>
      </c>
      <c r="I378" s="36">
        <f t="shared" si="14"/>
        <v>0</v>
      </c>
      <c r="J378" s="103" t="str">
        <f t="shared" si="15"/>
        <v>0 tubes and 0 shuttles</v>
      </c>
    </row>
    <row r="379" spans="1:10" ht="12.5" x14ac:dyDescent="0.25">
      <c r="A379" s="32">
        <f>'Profit &amp; Loss'!A379</f>
        <v>0</v>
      </c>
      <c r="B379" s="35">
        <f>'Profit &amp; Loss'!B379</f>
        <v>0</v>
      </c>
      <c r="C379" s="36"/>
      <c r="D379" s="33"/>
      <c r="E379" s="102">
        <f t="shared" si="16"/>
        <v>0</v>
      </c>
      <c r="F379" s="103" t="str">
        <f t="shared" si="12"/>
        <v>0 tubes and 0 shuttles</v>
      </c>
      <c r="G379" s="36">
        <f t="shared" si="17"/>
        <v>0</v>
      </c>
      <c r="H379" s="104" t="str">
        <f t="shared" si="13"/>
        <v>0 tubes and 0 shuttles</v>
      </c>
      <c r="I379" s="36">
        <f t="shared" si="14"/>
        <v>0</v>
      </c>
      <c r="J379" s="103" t="str">
        <f t="shared" si="15"/>
        <v>0 tubes and 0 shuttles</v>
      </c>
    </row>
    <row r="380" spans="1:10" ht="12.5" x14ac:dyDescent="0.25">
      <c r="A380" s="32">
        <f>'Profit &amp; Loss'!A380</f>
        <v>0</v>
      </c>
      <c r="B380" s="35">
        <f>'Profit &amp; Loss'!B380</f>
        <v>0</v>
      </c>
      <c r="C380" s="36"/>
      <c r="D380" s="33"/>
      <c r="E380" s="102">
        <f t="shared" si="16"/>
        <v>0</v>
      </c>
      <c r="F380" s="103" t="str">
        <f t="shared" si="12"/>
        <v>0 tubes and 0 shuttles</v>
      </c>
      <c r="G380" s="36">
        <f t="shared" si="17"/>
        <v>0</v>
      </c>
      <c r="H380" s="104" t="str">
        <f t="shared" si="13"/>
        <v>0 tubes and 0 shuttles</v>
      </c>
      <c r="I380" s="36">
        <f t="shared" si="14"/>
        <v>0</v>
      </c>
      <c r="J380" s="103" t="str">
        <f t="shared" si="15"/>
        <v>0 tubes and 0 shuttles</v>
      </c>
    </row>
    <row r="381" spans="1:10" ht="12.5" x14ac:dyDescent="0.25">
      <c r="A381" s="32">
        <f>'Profit &amp; Loss'!A381</f>
        <v>0</v>
      </c>
      <c r="B381" s="35">
        <f>'Profit &amp; Loss'!B381</f>
        <v>0</v>
      </c>
      <c r="C381" s="36"/>
      <c r="D381" s="33"/>
      <c r="E381" s="102">
        <f t="shared" si="16"/>
        <v>0</v>
      </c>
      <c r="F381" s="103" t="str">
        <f t="shared" si="12"/>
        <v>0 tubes and 0 shuttles</v>
      </c>
      <c r="G381" s="36">
        <f t="shared" si="17"/>
        <v>0</v>
      </c>
      <c r="H381" s="104" t="str">
        <f t="shared" si="13"/>
        <v>0 tubes and 0 shuttles</v>
      </c>
      <c r="I381" s="36">
        <f t="shared" si="14"/>
        <v>0</v>
      </c>
      <c r="J381" s="103" t="str">
        <f t="shared" si="15"/>
        <v>0 tubes and 0 shuttles</v>
      </c>
    </row>
    <row r="382" spans="1:10" ht="12.5" x14ac:dyDescent="0.25">
      <c r="A382" s="32">
        <f>'Profit &amp; Loss'!A382</f>
        <v>0</v>
      </c>
      <c r="B382" s="35">
        <f>'Profit &amp; Loss'!B382</f>
        <v>0</v>
      </c>
      <c r="C382" s="36"/>
      <c r="D382" s="33"/>
      <c r="E382" s="102">
        <f t="shared" si="16"/>
        <v>0</v>
      </c>
      <c r="F382" s="103" t="str">
        <f t="shared" si="12"/>
        <v>0 tubes and 0 shuttles</v>
      </c>
      <c r="G382" s="36">
        <f t="shared" si="17"/>
        <v>0</v>
      </c>
      <c r="H382" s="104" t="str">
        <f t="shared" si="13"/>
        <v>0 tubes and 0 shuttles</v>
      </c>
      <c r="I382" s="36">
        <f t="shared" si="14"/>
        <v>0</v>
      </c>
      <c r="J382" s="103" t="str">
        <f t="shared" si="15"/>
        <v>0 tubes and 0 shuttles</v>
      </c>
    </row>
    <row r="383" spans="1:10" ht="12.5" x14ac:dyDescent="0.25">
      <c r="A383" s="32">
        <f>'Profit &amp; Loss'!A383</f>
        <v>0</v>
      </c>
      <c r="B383" s="35">
        <f>'Profit &amp; Loss'!B383</f>
        <v>0</v>
      </c>
      <c r="C383" s="36"/>
      <c r="D383" s="33"/>
      <c r="E383" s="102">
        <f t="shared" si="16"/>
        <v>0</v>
      </c>
      <c r="F383" s="103" t="str">
        <f t="shared" si="12"/>
        <v>0 tubes and 0 shuttles</v>
      </c>
      <c r="G383" s="36">
        <f t="shared" si="17"/>
        <v>0</v>
      </c>
      <c r="H383" s="104" t="str">
        <f t="shared" si="13"/>
        <v>0 tubes and 0 shuttles</v>
      </c>
      <c r="I383" s="36">
        <f t="shared" si="14"/>
        <v>0</v>
      </c>
      <c r="J383" s="103" t="str">
        <f t="shared" si="15"/>
        <v>0 tubes and 0 shuttles</v>
      </c>
    </row>
    <row r="384" spans="1:10" ht="12.5" x14ac:dyDescent="0.25">
      <c r="A384" s="32">
        <f>'Profit &amp; Loss'!A384</f>
        <v>0</v>
      </c>
      <c r="B384" s="35">
        <f>'Profit &amp; Loss'!B384</f>
        <v>0</v>
      </c>
      <c r="C384" s="36"/>
      <c r="D384" s="33"/>
      <c r="E384" s="102">
        <f t="shared" si="16"/>
        <v>0</v>
      </c>
      <c r="F384" s="103" t="str">
        <f t="shared" si="12"/>
        <v>0 tubes and 0 shuttles</v>
      </c>
      <c r="G384" s="36">
        <f t="shared" si="17"/>
        <v>0</v>
      </c>
      <c r="H384" s="104" t="str">
        <f t="shared" si="13"/>
        <v>0 tubes and 0 shuttles</v>
      </c>
      <c r="I384" s="36">
        <f t="shared" si="14"/>
        <v>0</v>
      </c>
      <c r="J384" s="103" t="str">
        <f t="shared" si="15"/>
        <v>0 tubes and 0 shuttles</v>
      </c>
    </row>
    <row r="385" spans="1:10" ht="12.5" x14ac:dyDescent="0.25">
      <c r="A385" s="32">
        <f>'Profit &amp; Loss'!A385</f>
        <v>0</v>
      </c>
      <c r="B385" s="35">
        <f>'Profit &amp; Loss'!B385</f>
        <v>0</v>
      </c>
      <c r="C385" s="36"/>
      <c r="D385" s="33"/>
      <c r="E385" s="102">
        <f t="shared" si="16"/>
        <v>0</v>
      </c>
      <c r="F385" s="103" t="str">
        <f t="shared" si="12"/>
        <v>0 tubes and 0 shuttles</v>
      </c>
      <c r="G385" s="36">
        <f t="shared" si="17"/>
        <v>0</v>
      </c>
      <c r="H385" s="104" t="str">
        <f t="shared" si="13"/>
        <v>0 tubes and 0 shuttles</v>
      </c>
      <c r="I385" s="36">
        <f t="shared" si="14"/>
        <v>0</v>
      </c>
      <c r="J385" s="103" t="str">
        <f t="shared" si="15"/>
        <v>0 tubes and 0 shuttles</v>
      </c>
    </row>
    <row r="386" spans="1:10" ht="12.5" x14ac:dyDescent="0.25">
      <c r="A386" s="32">
        <f>'Profit &amp; Loss'!A386</f>
        <v>0</v>
      </c>
      <c r="B386" s="35">
        <f>'Profit &amp; Loss'!B386</f>
        <v>0</v>
      </c>
      <c r="C386" s="36"/>
      <c r="D386" s="33"/>
      <c r="E386" s="102">
        <f t="shared" si="16"/>
        <v>0</v>
      </c>
      <c r="F386" s="103" t="str">
        <f t="shared" si="12"/>
        <v>0 tubes and 0 shuttles</v>
      </c>
      <c r="G386" s="36">
        <f t="shared" si="17"/>
        <v>0</v>
      </c>
      <c r="H386" s="104" t="str">
        <f t="shared" si="13"/>
        <v>0 tubes and 0 shuttles</v>
      </c>
      <c r="I386" s="36">
        <f t="shared" si="14"/>
        <v>0</v>
      </c>
      <c r="J386" s="103" t="str">
        <f t="shared" si="15"/>
        <v>0 tubes and 0 shuttles</v>
      </c>
    </row>
    <row r="387" spans="1:10" ht="12.5" x14ac:dyDescent="0.25">
      <c r="A387" s="32">
        <f>'Profit &amp; Loss'!A387</f>
        <v>0</v>
      </c>
      <c r="B387" s="35">
        <f>'Profit &amp; Loss'!B387</f>
        <v>0</v>
      </c>
      <c r="C387" s="36"/>
      <c r="D387" s="33"/>
      <c r="E387" s="102">
        <f t="shared" si="16"/>
        <v>0</v>
      </c>
      <c r="F387" s="103" t="str">
        <f t="shared" si="12"/>
        <v>0 tubes and 0 shuttles</v>
      </c>
      <c r="G387" s="36">
        <f t="shared" si="17"/>
        <v>0</v>
      </c>
      <c r="H387" s="104" t="str">
        <f t="shared" si="13"/>
        <v>0 tubes and 0 shuttles</v>
      </c>
      <c r="I387" s="36">
        <f t="shared" si="14"/>
        <v>0</v>
      </c>
      <c r="J387" s="103" t="str">
        <f t="shared" si="15"/>
        <v>0 tubes and 0 shuttles</v>
      </c>
    </row>
    <row r="388" spans="1:10" ht="12.5" x14ac:dyDescent="0.25">
      <c r="A388" s="32">
        <f>'Profit &amp; Loss'!A388</f>
        <v>0</v>
      </c>
      <c r="B388" s="35">
        <f>'Profit &amp; Loss'!B388</f>
        <v>0</v>
      </c>
      <c r="C388" s="36"/>
      <c r="D388" s="33"/>
      <c r="E388" s="102">
        <f t="shared" si="16"/>
        <v>0</v>
      </c>
      <c r="F388" s="103" t="str">
        <f t="shared" si="12"/>
        <v>0 tubes and 0 shuttles</v>
      </c>
      <c r="G388" s="36">
        <f t="shared" si="17"/>
        <v>0</v>
      </c>
      <c r="H388" s="104" t="str">
        <f t="shared" si="13"/>
        <v>0 tubes and 0 shuttles</v>
      </c>
      <c r="I388" s="36">
        <f t="shared" si="14"/>
        <v>0</v>
      </c>
      <c r="J388" s="103" t="str">
        <f t="shared" si="15"/>
        <v>0 tubes and 0 shuttles</v>
      </c>
    </row>
    <row r="389" spans="1:10" ht="12.5" x14ac:dyDescent="0.25">
      <c r="A389" s="32">
        <f>'Profit &amp; Loss'!A389</f>
        <v>0</v>
      </c>
      <c r="B389" s="35">
        <f>'Profit &amp; Loss'!B389</f>
        <v>0</v>
      </c>
      <c r="C389" s="36"/>
      <c r="D389" s="33"/>
      <c r="E389" s="102">
        <f t="shared" si="16"/>
        <v>0</v>
      </c>
      <c r="F389" s="103" t="str">
        <f t="shared" si="12"/>
        <v>0 tubes and 0 shuttles</v>
      </c>
      <c r="G389" s="36">
        <f t="shared" si="17"/>
        <v>0</v>
      </c>
      <c r="H389" s="104" t="str">
        <f t="shared" si="13"/>
        <v>0 tubes and 0 shuttles</v>
      </c>
      <c r="I389" s="36">
        <f t="shared" si="14"/>
        <v>0</v>
      </c>
      <c r="J389" s="103" t="str">
        <f t="shared" si="15"/>
        <v>0 tubes and 0 shuttles</v>
      </c>
    </row>
    <row r="390" spans="1:10" ht="12.5" x14ac:dyDescent="0.25">
      <c r="A390" s="32">
        <f>'Profit &amp; Loss'!A390</f>
        <v>0</v>
      </c>
      <c r="B390" s="35">
        <f>'Profit &amp; Loss'!B390</f>
        <v>0</v>
      </c>
      <c r="C390" s="36"/>
      <c r="D390" s="33"/>
      <c r="E390" s="102">
        <f t="shared" si="16"/>
        <v>0</v>
      </c>
      <c r="F390" s="103" t="str">
        <f t="shared" si="12"/>
        <v>0 tubes and 0 shuttles</v>
      </c>
      <c r="G390" s="36">
        <f t="shared" si="17"/>
        <v>0</v>
      </c>
      <c r="H390" s="104" t="str">
        <f t="shared" si="13"/>
        <v>0 tubes and 0 shuttles</v>
      </c>
      <c r="I390" s="36">
        <f t="shared" si="14"/>
        <v>0</v>
      </c>
      <c r="J390" s="103" t="str">
        <f t="shared" si="15"/>
        <v>0 tubes and 0 shuttles</v>
      </c>
    </row>
    <row r="391" spans="1:10" ht="12.5" x14ac:dyDescent="0.25">
      <c r="A391" s="32">
        <f>'Profit &amp; Loss'!A391</f>
        <v>0</v>
      </c>
      <c r="B391" s="35">
        <f>'Profit &amp; Loss'!B391</f>
        <v>0</v>
      </c>
      <c r="C391" s="36"/>
      <c r="D391" s="33"/>
      <c r="E391" s="102">
        <f t="shared" si="16"/>
        <v>0</v>
      </c>
      <c r="F391" s="103" t="str">
        <f t="shared" si="12"/>
        <v>0 tubes and 0 shuttles</v>
      </c>
      <c r="G391" s="36">
        <f t="shared" si="17"/>
        <v>0</v>
      </c>
      <c r="H391" s="104" t="str">
        <f t="shared" si="13"/>
        <v>0 tubes and 0 shuttles</v>
      </c>
      <c r="I391" s="36">
        <f t="shared" si="14"/>
        <v>0</v>
      </c>
      <c r="J391" s="103" t="str">
        <f t="shared" si="15"/>
        <v>0 tubes and 0 shuttles</v>
      </c>
    </row>
    <row r="392" spans="1:10" ht="12.5" x14ac:dyDescent="0.25">
      <c r="A392" s="32">
        <f>'Profit &amp; Loss'!A392</f>
        <v>0</v>
      </c>
      <c r="B392" s="35">
        <f>'Profit &amp; Loss'!B392</f>
        <v>0</v>
      </c>
      <c r="C392" s="36"/>
      <c r="D392" s="33"/>
      <c r="E392" s="102">
        <f t="shared" si="16"/>
        <v>0</v>
      </c>
      <c r="F392" s="103" t="str">
        <f t="shared" si="12"/>
        <v>0 tubes and 0 shuttles</v>
      </c>
      <c r="G392" s="36">
        <f t="shared" si="17"/>
        <v>0</v>
      </c>
      <c r="H392" s="104" t="str">
        <f t="shared" si="13"/>
        <v>0 tubes and 0 shuttles</v>
      </c>
      <c r="I392" s="36">
        <f t="shared" si="14"/>
        <v>0</v>
      </c>
      <c r="J392" s="103" t="str">
        <f t="shared" si="15"/>
        <v>0 tubes and 0 shuttles</v>
      </c>
    </row>
    <row r="393" spans="1:10" ht="12.5" x14ac:dyDescent="0.25">
      <c r="A393" s="32">
        <f>'Profit &amp; Loss'!A393</f>
        <v>0</v>
      </c>
      <c r="B393" s="35">
        <f>'Profit &amp; Loss'!B393</f>
        <v>0</v>
      </c>
      <c r="C393" s="36"/>
      <c r="D393" s="33"/>
      <c r="E393" s="102">
        <f t="shared" si="16"/>
        <v>0</v>
      </c>
      <c r="F393" s="103" t="str">
        <f t="shared" si="12"/>
        <v>0 tubes and 0 shuttles</v>
      </c>
      <c r="G393" s="36">
        <f t="shared" si="17"/>
        <v>0</v>
      </c>
      <c r="H393" s="104" t="str">
        <f t="shared" si="13"/>
        <v>0 tubes and 0 shuttles</v>
      </c>
      <c r="I393" s="36">
        <f t="shared" si="14"/>
        <v>0</v>
      </c>
      <c r="J393" s="103" t="str">
        <f t="shared" si="15"/>
        <v>0 tubes and 0 shuttles</v>
      </c>
    </row>
    <row r="394" spans="1:10" ht="12.5" x14ac:dyDescent="0.25">
      <c r="A394" s="32">
        <f>'Profit &amp; Loss'!A394</f>
        <v>0</v>
      </c>
      <c r="B394" s="35">
        <f>'Profit &amp; Loss'!B394</f>
        <v>0</v>
      </c>
      <c r="C394" s="36"/>
      <c r="D394" s="33"/>
      <c r="E394" s="102">
        <f t="shared" si="16"/>
        <v>0</v>
      </c>
      <c r="F394" s="103" t="str">
        <f t="shared" si="12"/>
        <v>0 tubes and 0 shuttles</v>
      </c>
      <c r="G394" s="36">
        <f t="shared" si="17"/>
        <v>0</v>
      </c>
      <c r="H394" s="104" t="str">
        <f t="shared" si="13"/>
        <v>0 tubes and 0 shuttles</v>
      </c>
      <c r="I394" s="36">
        <f t="shared" si="14"/>
        <v>0</v>
      </c>
      <c r="J394" s="103" t="str">
        <f t="shared" si="15"/>
        <v>0 tubes and 0 shuttles</v>
      </c>
    </row>
    <row r="395" spans="1:10" ht="12.5" x14ac:dyDescent="0.25">
      <c r="A395" s="32">
        <f>'Profit &amp; Loss'!A395</f>
        <v>0</v>
      </c>
      <c r="B395" s="35">
        <f>'Profit &amp; Loss'!B395</f>
        <v>0</v>
      </c>
      <c r="C395" s="36"/>
      <c r="D395" s="33"/>
      <c r="E395" s="102">
        <f t="shared" si="16"/>
        <v>0</v>
      </c>
      <c r="F395" s="103" t="str">
        <f t="shared" si="12"/>
        <v>0 tubes and 0 shuttles</v>
      </c>
      <c r="G395" s="36">
        <f t="shared" si="17"/>
        <v>0</v>
      </c>
      <c r="H395" s="104" t="str">
        <f t="shared" si="13"/>
        <v>0 tubes and 0 shuttles</v>
      </c>
      <c r="I395" s="36">
        <f t="shared" si="14"/>
        <v>0</v>
      </c>
      <c r="J395" s="103" t="str">
        <f t="shared" si="15"/>
        <v>0 tubes and 0 shuttles</v>
      </c>
    </row>
    <row r="396" spans="1:10" ht="12.5" x14ac:dyDescent="0.25">
      <c r="A396" s="32">
        <f>'Profit &amp; Loss'!A396</f>
        <v>0</v>
      </c>
      <c r="B396" s="35">
        <f>'Profit &amp; Loss'!B396</f>
        <v>0</v>
      </c>
      <c r="C396" s="36"/>
      <c r="D396" s="33"/>
      <c r="E396" s="102">
        <f t="shared" si="16"/>
        <v>0</v>
      </c>
      <c r="F396" s="103" t="str">
        <f t="shared" si="12"/>
        <v>0 tubes and 0 shuttles</v>
      </c>
      <c r="G396" s="36">
        <f t="shared" si="17"/>
        <v>0</v>
      </c>
      <c r="H396" s="104" t="str">
        <f t="shared" si="13"/>
        <v>0 tubes and 0 shuttles</v>
      </c>
      <c r="I396" s="36">
        <f t="shared" si="14"/>
        <v>0</v>
      </c>
      <c r="J396" s="103" t="str">
        <f t="shared" si="15"/>
        <v>0 tubes and 0 shuttles</v>
      </c>
    </row>
    <row r="397" spans="1:10" ht="12.5" x14ac:dyDescent="0.25">
      <c r="A397" s="32">
        <f>'Profit &amp; Loss'!A397</f>
        <v>0</v>
      </c>
      <c r="B397" s="35">
        <f>'Profit &amp; Loss'!B397</f>
        <v>0</v>
      </c>
      <c r="C397" s="36"/>
      <c r="D397" s="33"/>
      <c r="E397" s="102">
        <f t="shared" si="16"/>
        <v>0</v>
      </c>
      <c r="F397" s="103" t="str">
        <f t="shared" si="12"/>
        <v>0 tubes and 0 shuttles</v>
      </c>
      <c r="G397" s="36">
        <f t="shared" si="17"/>
        <v>0</v>
      </c>
      <c r="H397" s="104" t="str">
        <f t="shared" si="13"/>
        <v>0 tubes and 0 shuttles</v>
      </c>
      <c r="I397" s="36">
        <f t="shared" si="14"/>
        <v>0</v>
      </c>
      <c r="J397" s="103" t="str">
        <f t="shared" si="15"/>
        <v>0 tubes and 0 shuttles</v>
      </c>
    </row>
    <row r="398" spans="1:10" ht="12.5" x14ac:dyDescent="0.25">
      <c r="A398" s="32">
        <f>'Profit &amp; Loss'!A398</f>
        <v>0</v>
      </c>
      <c r="B398" s="35">
        <f>'Profit &amp; Loss'!B398</f>
        <v>0</v>
      </c>
      <c r="C398" s="36"/>
      <c r="D398" s="33"/>
      <c r="E398" s="102">
        <f t="shared" si="16"/>
        <v>0</v>
      </c>
      <c r="F398" s="103" t="str">
        <f t="shared" si="12"/>
        <v>0 tubes and 0 shuttles</v>
      </c>
      <c r="G398" s="36">
        <f t="shared" si="17"/>
        <v>0</v>
      </c>
      <c r="H398" s="104" t="str">
        <f t="shared" si="13"/>
        <v>0 tubes and 0 shuttles</v>
      </c>
      <c r="I398" s="36">
        <f t="shared" si="14"/>
        <v>0</v>
      </c>
      <c r="J398" s="103" t="str">
        <f t="shared" si="15"/>
        <v>0 tubes and 0 shuttles</v>
      </c>
    </row>
    <row r="399" spans="1:10" ht="12.5" x14ac:dyDescent="0.25">
      <c r="A399" s="32">
        <f>'Profit &amp; Loss'!A399</f>
        <v>0</v>
      </c>
      <c r="B399" s="35">
        <f>'Profit &amp; Loss'!B399</f>
        <v>0</v>
      </c>
      <c r="C399" s="36"/>
      <c r="D399" s="33"/>
      <c r="E399" s="102">
        <f t="shared" si="16"/>
        <v>0</v>
      </c>
      <c r="F399" s="103" t="str">
        <f t="shared" si="12"/>
        <v>0 tubes and 0 shuttles</v>
      </c>
      <c r="G399" s="36">
        <f t="shared" si="17"/>
        <v>0</v>
      </c>
      <c r="H399" s="104" t="str">
        <f t="shared" si="13"/>
        <v>0 tubes and 0 shuttles</v>
      </c>
      <c r="I399" s="36">
        <f t="shared" si="14"/>
        <v>0</v>
      </c>
      <c r="J399" s="103" t="str">
        <f t="shared" si="15"/>
        <v>0 tubes and 0 shuttles</v>
      </c>
    </row>
    <row r="400" spans="1:10" ht="12.5" x14ac:dyDescent="0.25">
      <c r="A400" s="32">
        <f>'Profit &amp; Loss'!A400</f>
        <v>0</v>
      </c>
      <c r="B400" s="35">
        <f>'Profit &amp; Loss'!B400</f>
        <v>0</v>
      </c>
      <c r="C400" s="36"/>
      <c r="D400" s="33"/>
      <c r="E400" s="102">
        <f t="shared" si="16"/>
        <v>0</v>
      </c>
      <c r="F400" s="103" t="str">
        <f t="shared" si="12"/>
        <v>0 tubes and 0 shuttles</v>
      </c>
      <c r="G400" s="36">
        <f t="shared" si="17"/>
        <v>0</v>
      </c>
      <c r="H400" s="104" t="str">
        <f t="shared" si="13"/>
        <v>0 tubes and 0 shuttles</v>
      </c>
      <c r="I400" s="36">
        <f t="shared" si="14"/>
        <v>0</v>
      </c>
      <c r="J400" s="103" t="str">
        <f t="shared" si="15"/>
        <v>0 tubes and 0 shuttles</v>
      </c>
    </row>
    <row r="401" spans="1:10" ht="12.5" x14ac:dyDescent="0.25">
      <c r="A401" s="32">
        <f>'Profit &amp; Loss'!A401</f>
        <v>0</v>
      </c>
      <c r="B401" s="35">
        <f>'Profit &amp; Loss'!B401</f>
        <v>0</v>
      </c>
      <c r="C401" s="36"/>
      <c r="D401" s="33"/>
      <c r="E401" s="102">
        <f t="shared" si="16"/>
        <v>0</v>
      </c>
      <c r="F401" s="103" t="str">
        <f t="shared" si="12"/>
        <v>0 tubes and 0 shuttles</v>
      </c>
      <c r="G401" s="36">
        <f t="shared" si="17"/>
        <v>0</v>
      </c>
      <c r="H401" s="104" t="str">
        <f t="shared" si="13"/>
        <v>0 tubes and 0 shuttles</v>
      </c>
      <c r="I401" s="36">
        <f t="shared" si="14"/>
        <v>0</v>
      </c>
      <c r="J401" s="103" t="str">
        <f t="shared" si="15"/>
        <v>0 tubes and 0 shuttles</v>
      </c>
    </row>
    <row r="402" spans="1:10" ht="12.5" x14ac:dyDescent="0.25">
      <c r="A402" s="32">
        <f>'Profit &amp; Loss'!A402</f>
        <v>0</v>
      </c>
      <c r="B402" s="35">
        <f>'Profit &amp; Loss'!B402</f>
        <v>0</v>
      </c>
      <c r="C402" s="36"/>
      <c r="D402" s="33"/>
      <c r="E402" s="102">
        <f t="shared" si="16"/>
        <v>0</v>
      </c>
      <c r="F402" s="103" t="str">
        <f t="shared" si="12"/>
        <v>0 tubes and 0 shuttles</v>
      </c>
      <c r="G402" s="36">
        <f t="shared" si="17"/>
        <v>0</v>
      </c>
      <c r="H402" s="104" t="str">
        <f t="shared" si="13"/>
        <v>0 tubes and 0 shuttles</v>
      </c>
      <c r="I402" s="36">
        <f t="shared" si="14"/>
        <v>0</v>
      </c>
      <c r="J402" s="103" t="str">
        <f t="shared" si="15"/>
        <v>0 tubes and 0 shuttles</v>
      </c>
    </row>
    <row r="403" spans="1:10" ht="12.5" x14ac:dyDescent="0.25">
      <c r="A403" s="32">
        <f>'Profit &amp; Loss'!A403</f>
        <v>0</v>
      </c>
      <c r="B403" s="35">
        <f>'Profit &amp; Loss'!B403</f>
        <v>0</v>
      </c>
      <c r="C403" s="36"/>
      <c r="D403" s="33"/>
      <c r="E403" s="102">
        <f t="shared" si="16"/>
        <v>0</v>
      </c>
      <c r="F403" s="103" t="str">
        <f t="shared" si="12"/>
        <v>0 tubes and 0 shuttles</v>
      </c>
      <c r="G403" s="36">
        <f t="shared" si="17"/>
        <v>0</v>
      </c>
      <c r="H403" s="104" t="str">
        <f t="shared" si="13"/>
        <v>0 tubes and 0 shuttles</v>
      </c>
      <c r="I403" s="36">
        <f t="shared" si="14"/>
        <v>0</v>
      </c>
      <c r="J403" s="103" t="str">
        <f t="shared" si="15"/>
        <v>0 tubes and 0 shuttles</v>
      </c>
    </row>
    <row r="404" spans="1:10" ht="12.5" x14ac:dyDescent="0.25">
      <c r="A404" s="32">
        <f>'Profit &amp; Loss'!A404</f>
        <v>0</v>
      </c>
      <c r="B404" s="35">
        <f>'Profit &amp; Loss'!B404</f>
        <v>0</v>
      </c>
      <c r="C404" s="36"/>
      <c r="D404" s="33"/>
      <c r="E404" s="102">
        <f t="shared" si="16"/>
        <v>0</v>
      </c>
      <c r="F404" s="103" t="str">
        <f t="shared" si="12"/>
        <v>0 tubes and 0 shuttles</v>
      </c>
      <c r="G404" s="36">
        <f t="shared" si="17"/>
        <v>0</v>
      </c>
      <c r="H404" s="104" t="str">
        <f t="shared" si="13"/>
        <v>0 tubes and 0 shuttles</v>
      </c>
      <c r="I404" s="36">
        <f t="shared" si="14"/>
        <v>0</v>
      </c>
      <c r="J404" s="103" t="str">
        <f t="shared" si="15"/>
        <v>0 tubes and 0 shuttles</v>
      </c>
    </row>
    <row r="405" spans="1:10" ht="12.5" x14ac:dyDescent="0.25">
      <c r="A405" s="32">
        <f>'Profit &amp; Loss'!A405</f>
        <v>0</v>
      </c>
      <c r="B405" s="35">
        <f>'Profit &amp; Loss'!B405</f>
        <v>0</v>
      </c>
      <c r="C405" s="36"/>
      <c r="D405" s="33"/>
      <c r="E405" s="102">
        <f t="shared" si="16"/>
        <v>0</v>
      </c>
      <c r="F405" s="103" t="str">
        <f t="shared" si="12"/>
        <v>0 tubes and 0 shuttles</v>
      </c>
      <c r="G405" s="36">
        <f t="shared" si="17"/>
        <v>0</v>
      </c>
      <c r="H405" s="104" t="str">
        <f t="shared" si="13"/>
        <v>0 tubes and 0 shuttles</v>
      </c>
      <c r="I405" s="36">
        <f t="shared" si="14"/>
        <v>0</v>
      </c>
      <c r="J405" s="103" t="str">
        <f t="shared" si="15"/>
        <v>0 tubes and 0 shuttles</v>
      </c>
    </row>
    <row r="406" spans="1:10" ht="12.5" x14ac:dyDescent="0.25">
      <c r="A406" s="32">
        <f>'Profit &amp; Loss'!A406</f>
        <v>0</v>
      </c>
      <c r="B406" s="35">
        <f>'Profit &amp; Loss'!B406</f>
        <v>0</v>
      </c>
      <c r="C406" s="36"/>
      <c r="D406" s="33"/>
      <c r="E406" s="102">
        <f t="shared" si="16"/>
        <v>0</v>
      </c>
      <c r="F406" s="103" t="str">
        <f t="shared" si="12"/>
        <v>0 tubes and 0 shuttles</v>
      </c>
      <c r="G406" s="36">
        <f t="shared" si="17"/>
        <v>0</v>
      </c>
      <c r="H406" s="104" t="str">
        <f t="shared" si="13"/>
        <v>0 tubes and 0 shuttles</v>
      </c>
      <c r="I406" s="36">
        <f t="shared" si="14"/>
        <v>0</v>
      </c>
      <c r="J406" s="103" t="str">
        <f t="shared" si="15"/>
        <v>0 tubes and 0 shuttles</v>
      </c>
    </row>
    <row r="407" spans="1:10" ht="12.5" x14ac:dyDescent="0.25">
      <c r="A407" s="32">
        <f>'Profit &amp; Loss'!A407</f>
        <v>0</v>
      </c>
      <c r="B407" s="35">
        <f>'Profit &amp; Loss'!B407</f>
        <v>0</v>
      </c>
      <c r="C407" s="36"/>
      <c r="D407" s="33"/>
      <c r="E407" s="102">
        <f t="shared" si="16"/>
        <v>0</v>
      </c>
      <c r="F407" s="103" t="str">
        <f t="shared" si="12"/>
        <v>0 tubes and 0 shuttles</v>
      </c>
      <c r="G407" s="36">
        <f t="shared" si="17"/>
        <v>0</v>
      </c>
      <c r="H407" s="104" t="str">
        <f t="shared" si="13"/>
        <v>0 tubes and 0 shuttles</v>
      </c>
      <c r="I407" s="36">
        <f t="shared" si="14"/>
        <v>0</v>
      </c>
      <c r="J407" s="103" t="str">
        <f t="shared" si="15"/>
        <v>0 tubes and 0 shuttles</v>
      </c>
    </row>
    <row r="408" spans="1:10" ht="12.5" x14ac:dyDescent="0.25">
      <c r="A408" s="32">
        <f>'Profit &amp; Loss'!A408</f>
        <v>0</v>
      </c>
      <c r="B408" s="35">
        <f>'Profit &amp; Loss'!B408</f>
        <v>0</v>
      </c>
      <c r="C408" s="36"/>
      <c r="D408" s="33"/>
      <c r="E408" s="102">
        <f t="shared" si="16"/>
        <v>0</v>
      </c>
      <c r="F408" s="103" t="str">
        <f t="shared" si="12"/>
        <v>0 tubes and 0 shuttles</v>
      </c>
      <c r="G408" s="36">
        <f t="shared" si="17"/>
        <v>0</v>
      </c>
      <c r="H408" s="104" t="str">
        <f t="shared" si="13"/>
        <v>0 tubes and 0 shuttles</v>
      </c>
      <c r="I408" s="36">
        <f t="shared" si="14"/>
        <v>0</v>
      </c>
      <c r="J408" s="103" t="str">
        <f t="shared" si="15"/>
        <v>0 tubes and 0 shuttles</v>
      </c>
    </row>
    <row r="409" spans="1:10" ht="12.5" x14ac:dyDescent="0.25">
      <c r="A409" s="32">
        <f>'Profit &amp; Loss'!A409</f>
        <v>0</v>
      </c>
      <c r="B409" s="35">
        <f>'Profit &amp; Loss'!B409</f>
        <v>0</v>
      </c>
      <c r="C409" s="36"/>
      <c r="D409" s="33"/>
      <c r="E409" s="102">
        <f t="shared" si="16"/>
        <v>0</v>
      </c>
      <c r="F409" s="103" t="str">
        <f t="shared" si="12"/>
        <v>0 tubes and 0 shuttles</v>
      </c>
      <c r="G409" s="36">
        <f t="shared" si="17"/>
        <v>0</v>
      </c>
      <c r="H409" s="104" t="str">
        <f t="shared" si="13"/>
        <v>0 tubes and 0 shuttles</v>
      </c>
      <c r="I409" s="36">
        <f t="shared" si="14"/>
        <v>0</v>
      </c>
      <c r="J409" s="103" t="str">
        <f t="shared" si="15"/>
        <v>0 tubes and 0 shuttles</v>
      </c>
    </row>
    <row r="410" spans="1:10" ht="12.5" x14ac:dyDescent="0.25">
      <c r="A410" s="32">
        <f>'Profit &amp; Loss'!A410</f>
        <v>0</v>
      </c>
      <c r="B410" s="35">
        <f>'Profit &amp; Loss'!B410</f>
        <v>0</v>
      </c>
      <c r="C410" s="36"/>
      <c r="D410" s="33"/>
      <c r="E410" s="102">
        <f t="shared" si="16"/>
        <v>0</v>
      </c>
      <c r="F410" s="103" t="str">
        <f t="shared" si="12"/>
        <v>0 tubes and 0 shuttles</v>
      </c>
      <c r="G410" s="36">
        <f t="shared" si="17"/>
        <v>0</v>
      </c>
      <c r="H410" s="104" t="str">
        <f t="shared" si="13"/>
        <v>0 tubes and 0 shuttles</v>
      </c>
      <c r="I410" s="36">
        <f t="shared" si="14"/>
        <v>0</v>
      </c>
      <c r="J410" s="103" t="str">
        <f t="shared" si="15"/>
        <v>0 tubes and 0 shuttles</v>
      </c>
    </row>
    <row r="411" spans="1:10" ht="12.5" x14ac:dyDescent="0.25">
      <c r="A411" s="32">
        <f>'Profit &amp; Loss'!A411</f>
        <v>0</v>
      </c>
      <c r="B411" s="35">
        <f>'Profit &amp; Loss'!B411</f>
        <v>0</v>
      </c>
      <c r="C411" s="36"/>
      <c r="D411" s="33"/>
      <c r="E411" s="102">
        <f t="shared" si="16"/>
        <v>0</v>
      </c>
      <c r="F411" s="103" t="str">
        <f t="shared" si="12"/>
        <v>0 tubes and 0 shuttles</v>
      </c>
      <c r="G411" s="36">
        <f t="shared" si="17"/>
        <v>0</v>
      </c>
      <c r="H411" s="104" t="str">
        <f t="shared" si="13"/>
        <v>0 tubes and 0 shuttles</v>
      </c>
      <c r="I411" s="36">
        <f t="shared" si="14"/>
        <v>0</v>
      </c>
      <c r="J411" s="103" t="str">
        <f t="shared" si="15"/>
        <v>0 tubes and 0 shuttles</v>
      </c>
    </row>
    <row r="412" spans="1:10" ht="12.5" x14ac:dyDescent="0.25">
      <c r="A412" s="32">
        <f>'Profit &amp; Loss'!A412</f>
        <v>0</v>
      </c>
      <c r="B412" s="35">
        <f>'Profit &amp; Loss'!B412</f>
        <v>0</v>
      </c>
      <c r="C412" s="36"/>
      <c r="D412" s="33"/>
      <c r="E412" s="102">
        <f t="shared" si="16"/>
        <v>0</v>
      </c>
      <c r="F412" s="103" t="str">
        <f t="shared" si="12"/>
        <v>0 tubes and 0 shuttles</v>
      </c>
      <c r="G412" s="36">
        <f t="shared" si="17"/>
        <v>0</v>
      </c>
      <c r="H412" s="104" t="str">
        <f t="shared" si="13"/>
        <v>0 tubes and 0 shuttles</v>
      </c>
      <c r="I412" s="36">
        <f t="shared" si="14"/>
        <v>0</v>
      </c>
      <c r="J412" s="103" t="str">
        <f t="shared" si="15"/>
        <v>0 tubes and 0 shuttles</v>
      </c>
    </row>
    <row r="413" spans="1:10" ht="12.5" x14ac:dyDescent="0.25">
      <c r="A413" s="32">
        <f>'Profit &amp; Loss'!A413</f>
        <v>0</v>
      </c>
      <c r="B413" s="35">
        <f>'Profit &amp; Loss'!B413</f>
        <v>0</v>
      </c>
      <c r="C413" s="36"/>
      <c r="D413" s="33"/>
      <c r="E413" s="102">
        <f t="shared" si="16"/>
        <v>0</v>
      </c>
      <c r="F413" s="103" t="str">
        <f t="shared" si="12"/>
        <v>0 tubes and 0 shuttles</v>
      </c>
      <c r="G413" s="36">
        <f t="shared" si="17"/>
        <v>0</v>
      </c>
      <c r="H413" s="104" t="str">
        <f t="shared" si="13"/>
        <v>0 tubes and 0 shuttles</v>
      </c>
      <c r="I413" s="36">
        <f t="shared" si="14"/>
        <v>0</v>
      </c>
      <c r="J413" s="103" t="str">
        <f t="shared" si="15"/>
        <v>0 tubes and 0 shuttles</v>
      </c>
    </row>
    <row r="414" spans="1:10" ht="12.5" x14ac:dyDescent="0.25">
      <c r="A414" s="32">
        <f>'Profit &amp; Loss'!A414</f>
        <v>0</v>
      </c>
      <c r="B414" s="35">
        <f>'Profit &amp; Loss'!B414</f>
        <v>0</v>
      </c>
      <c r="C414" s="36"/>
      <c r="D414" s="33"/>
      <c r="E414" s="102">
        <f t="shared" si="16"/>
        <v>0</v>
      </c>
      <c r="F414" s="103" t="str">
        <f t="shared" si="12"/>
        <v>0 tubes and 0 shuttles</v>
      </c>
      <c r="G414" s="36">
        <f t="shared" si="17"/>
        <v>0</v>
      </c>
      <c r="H414" s="104" t="str">
        <f t="shared" si="13"/>
        <v>0 tubes and 0 shuttles</v>
      </c>
      <c r="I414" s="36">
        <f t="shared" si="14"/>
        <v>0</v>
      </c>
      <c r="J414" s="103" t="str">
        <f t="shared" si="15"/>
        <v>0 tubes and 0 shuttles</v>
      </c>
    </row>
    <row r="415" spans="1:10" ht="12.5" x14ac:dyDescent="0.25">
      <c r="A415" s="32">
        <f>'Profit &amp; Loss'!A415</f>
        <v>0</v>
      </c>
      <c r="B415" s="35">
        <f>'Profit &amp; Loss'!B415</f>
        <v>0</v>
      </c>
      <c r="C415" s="36"/>
      <c r="D415" s="33"/>
      <c r="E415" s="102">
        <f t="shared" si="16"/>
        <v>0</v>
      </c>
      <c r="F415" s="103" t="str">
        <f t="shared" si="12"/>
        <v>0 tubes and 0 shuttles</v>
      </c>
      <c r="G415" s="36">
        <f t="shared" si="17"/>
        <v>0</v>
      </c>
      <c r="H415" s="104" t="str">
        <f t="shared" si="13"/>
        <v>0 tubes and 0 shuttles</v>
      </c>
      <c r="I415" s="36">
        <f t="shared" si="14"/>
        <v>0</v>
      </c>
      <c r="J415" s="103" t="str">
        <f t="shared" si="15"/>
        <v>0 tubes and 0 shuttles</v>
      </c>
    </row>
    <row r="416" spans="1:10" ht="12.5" x14ac:dyDescent="0.25">
      <c r="A416" s="32">
        <f>'Profit &amp; Loss'!A416</f>
        <v>0</v>
      </c>
      <c r="B416" s="35">
        <f>'Profit &amp; Loss'!B416</f>
        <v>0</v>
      </c>
      <c r="C416" s="36"/>
      <c r="D416" s="33"/>
      <c r="E416" s="102">
        <f t="shared" si="16"/>
        <v>0</v>
      </c>
      <c r="F416" s="103" t="str">
        <f t="shared" si="12"/>
        <v>0 tubes and 0 shuttles</v>
      </c>
      <c r="G416" s="36">
        <f t="shared" si="17"/>
        <v>0</v>
      </c>
      <c r="H416" s="104" t="str">
        <f t="shared" si="13"/>
        <v>0 tubes and 0 shuttles</v>
      </c>
      <c r="I416" s="36">
        <f t="shared" si="14"/>
        <v>0</v>
      </c>
      <c r="J416" s="103" t="str">
        <f t="shared" si="15"/>
        <v>0 tubes and 0 shuttles</v>
      </c>
    </row>
    <row r="417" spans="1:10" ht="12.5" x14ac:dyDescent="0.25">
      <c r="A417" s="32">
        <f>'Profit &amp; Loss'!A417</f>
        <v>0</v>
      </c>
      <c r="B417" s="35">
        <f>'Profit &amp; Loss'!B417</f>
        <v>0</v>
      </c>
      <c r="C417" s="36"/>
      <c r="D417" s="33"/>
      <c r="E417" s="102">
        <f t="shared" si="16"/>
        <v>0</v>
      </c>
      <c r="F417" s="103" t="str">
        <f t="shared" si="12"/>
        <v>0 tubes and 0 shuttles</v>
      </c>
      <c r="G417" s="36">
        <f t="shared" si="17"/>
        <v>0</v>
      </c>
      <c r="H417" s="104" t="str">
        <f t="shared" si="13"/>
        <v>0 tubes and 0 shuttles</v>
      </c>
      <c r="I417" s="36">
        <f t="shared" si="14"/>
        <v>0</v>
      </c>
      <c r="J417" s="103" t="str">
        <f t="shared" si="15"/>
        <v>0 tubes and 0 shuttles</v>
      </c>
    </row>
    <row r="418" spans="1:10" ht="12.5" x14ac:dyDescent="0.25">
      <c r="A418" s="32">
        <f>'Profit &amp; Loss'!A418</f>
        <v>0</v>
      </c>
      <c r="B418" s="35">
        <f>'Profit &amp; Loss'!B418</f>
        <v>0</v>
      </c>
      <c r="C418" s="36"/>
      <c r="D418" s="33"/>
      <c r="E418" s="102">
        <f t="shared" si="16"/>
        <v>0</v>
      </c>
      <c r="F418" s="103" t="str">
        <f t="shared" si="12"/>
        <v>0 tubes and 0 shuttles</v>
      </c>
      <c r="G418" s="36">
        <f t="shared" si="17"/>
        <v>0</v>
      </c>
      <c r="H418" s="104" t="str">
        <f t="shared" si="13"/>
        <v>0 tubes and 0 shuttles</v>
      </c>
      <c r="I418" s="36">
        <f t="shared" si="14"/>
        <v>0</v>
      </c>
      <c r="J418" s="103" t="str">
        <f t="shared" si="15"/>
        <v>0 tubes and 0 shuttles</v>
      </c>
    </row>
    <row r="419" spans="1:10" ht="12.5" x14ac:dyDescent="0.25">
      <c r="A419" s="32">
        <f>'Profit &amp; Loss'!A419</f>
        <v>0</v>
      </c>
      <c r="B419" s="35">
        <f>'Profit &amp; Loss'!B419</f>
        <v>0</v>
      </c>
      <c r="C419" s="36"/>
      <c r="D419" s="33"/>
      <c r="E419" s="102">
        <f t="shared" si="16"/>
        <v>0</v>
      </c>
      <c r="F419" s="103" t="str">
        <f t="shared" si="12"/>
        <v>0 tubes and 0 shuttles</v>
      </c>
      <c r="G419" s="36">
        <f t="shared" si="17"/>
        <v>0</v>
      </c>
      <c r="H419" s="104" t="str">
        <f t="shared" si="13"/>
        <v>0 tubes and 0 shuttles</v>
      </c>
      <c r="I419" s="36">
        <f t="shared" si="14"/>
        <v>0</v>
      </c>
      <c r="J419" s="103" t="str">
        <f t="shared" si="15"/>
        <v>0 tubes and 0 shuttles</v>
      </c>
    </row>
    <row r="420" spans="1:10" ht="12.5" x14ac:dyDescent="0.25">
      <c r="A420" s="32">
        <f>'Profit &amp; Loss'!A420</f>
        <v>0</v>
      </c>
      <c r="B420" s="35">
        <f>'Profit &amp; Loss'!B420</f>
        <v>0</v>
      </c>
      <c r="C420" s="36"/>
      <c r="D420" s="33"/>
      <c r="E420" s="102">
        <f t="shared" si="16"/>
        <v>0</v>
      </c>
      <c r="F420" s="103" t="str">
        <f t="shared" si="12"/>
        <v>0 tubes and 0 shuttles</v>
      </c>
      <c r="G420" s="36">
        <f t="shared" si="17"/>
        <v>0</v>
      </c>
      <c r="H420" s="104" t="str">
        <f t="shared" si="13"/>
        <v>0 tubes and 0 shuttles</v>
      </c>
      <c r="I420" s="36">
        <f t="shared" si="14"/>
        <v>0</v>
      </c>
      <c r="J420" s="103" t="str">
        <f t="shared" si="15"/>
        <v>0 tubes and 0 shuttles</v>
      </c>
    </row>
    <row r="421" spans="1:10" ht="12.5" x14ac:dyDescent="0.25">
      <c r="A421" s="32">
        <f>'Profit &amp; Loss'!A421</f>
        <v>0</v>
      </c>
      <c r="B421" s="35">
        <f>'Profit &amp; Loss'!B421</f>
        <v>0</v>
      </c>
      <c r="C421" s="36"/>
      <c r="D421" s="33"/>
      <c r="E421" s="102">
        <f t="shared" si="16"/>
        <v>0</v>
      </c>
      <c r="F421" s="103" t="str">
        <f t="shared" si="12"/>
        <v>0 tubes and 0 shuttles</v>
      </c>
      <c r="G421" s="36">
        <f t="shared" si="17"/>
        <v>0</v>
      </c>
      <c r="H421" s="104" t="str">
        <f t="shared" si="13"/>
        <v>0 tubes and 0 shuttles</v>
      </c>
      <c r="I421" s="36">
        <f t="shared" si="14"/>
        <v>0</v>
      </c>
      <c r="J421" s="103" t="str">
        <f t="shared" si="15"/>
        <v>0 tubes and 0 shuttles</v>
      </c>
    </row>
    <row r="422" spans="1:10" ht="12.5" x14ac:dyDescent="0.25">
      <c r="A422" s="32">
        <f>'Profit &amp; Loss'!A422</f>
        <v>0</v>
      </c>
      <c r="B422" s="35">
        <f>'Profit &amp; Loss'!B422</f>
        <v>0</v>
      </c>
      <c r="C422" s="36"/>
      <c r="D422" s="33"/>
      <c r="E422" s="102">
        <f t="shared" si="16"/>
        <v>0</v>
      </c>
      <c r="F422" s="103" t="str">
        <f t="shared" si="12"/>
        <v>0 tubes and 0 shuttles</v>
      </c>
      <c r="G422" s="36">
        <f t="shared" si="17"/>
        <v>0</v>
      </c>
      <c r="H422" s="104" t="str">
        <f t="shared" si="13"/>
        <v>0 tubes and 0 shuttles</v>
      </c>
      <c r="I422" s="36">
        <f t="shared" si="14"/>
        <v>0</v>
      </c>
      <c r="J422" s="103" t="str">
        <f t="shared" si="15"/>
        <v>0 tubes and 0 shuttles</v>
      </c>
    </row>
    <row r="423" spans="1:10" ht="12.5" x14ac:dyDescent="0.25">
      <c r="A423" s="32">
        <f>'Profit &amp; Loss'!A423</f>
        <v>0</v>
      </c>
      <c r="B423" s="35">
        <f>'Profit &amp; Loss'!B423</f>
        <v>0</v>
      </c>
      <c r="C423" s="36"/>
      <c r="D423" s="33"/>
      <c r="E423" s="102">
        <f t="shared" si="16"/>
        <v>0</v>
      </c>
      <c r="F423" s="103" t="str">
        <f t="shared" si="12"/>
        <v>0 tubes and 0 shuttles</v>
      </c>
      <c r="G423" s="36">
        <f t="shared" si="17"/>
        <v>0</v>
      </c>
      <c r="H423" s="104" t="str">
        <f t="shared" si="13"/>
        <v>0 tubes and 0 shuttles</v>
      </c>
      <c r="I423" s="36">
        <f t="shared" si="14"/>
        <v>0</v>
      </c>
      <c r="J423" s="103" t="str">
        <f t="shared" si="15"/>
        <v>0 tubes and 0 shuttles</v>
      </c>
    </row>
    <row r="424" spans="1:10" ht="12.5" x14ac:dyDescent="0.25">
      <c r="A424" s="32">
        <f>'Profit &amp; Loss'!A424</f>
        <v>0</v>
      </c>
      <c r="B424" s="35">
        <f>'Profit &amp; Loss'!B424</f>
        <v>0</v>
      </c>
      <c r="C424" s="36"/>
      <c r="D424" s="33"/>
      <c r="E424" s="102">
        <f t="shared" si="16"/>
        <v>0</v>
      </c>
      <c r="F424" s="103" t="str">
        <f t="shared" si="12"/>
        <v>0 tubes and 0 shuttles</v>
      </c>
      <c r="G424" s="36">
        <f t="shared" si="17"/>
        <v>0</v>
      </c>
      <c r="H424" s="104" t="str">
        <f t="shared" si="13"/>
        <v>0 tubes and 0 shuttles</v>
      </c>
      <c r="I424" s="36">
        <f t="shared" si="14"/>
        <v>0</v>
      </c>
      <c r="J424" s="103" t="str">
        <f t="shared" si="15"/>
        <v>0 tubes and 0 shuttles</v>
      </c>
    </row>
    <row r="425" spans="1:10" ht="12.5" x14ac:dyDescent="0.25">
      <c r="A425" s="32">
        <f>'Profit &amp; Loss'!A425</f>
        <v>0</v>
      </c>
      <c r="B425" s="35">
        <f>'Profit &amp; Loss'!B425</f>
        <v>0</v>
      </c>
      <c r="C425" s="36"/>
      <c r="D425" s="33"/>
      <c r="E425" s="102">
        <f t="shared" si="16"/>
        <v>0</v>
      </c>
      <c r="F425" s="103" t="str">
        <f t="shared" si="12"/>
        <v>0 tubes and 0 shuttles</v>
      </c>
      <c r="G425" s="36">
        <f t="shared" si="17"/>
        <v>0</v>
      </c>
      <c r="H425" s="104" t="str">
        <f t="shared" si="13"/>
        <v>0 tubes and 0 shuttles</v>
      </c>
      <c r="I425" s="36">
        <f t="shared" si="14"/>
        <v>0</v>
      </c>
      <c r="J425" s="103" t="str">
        <f t="shared" si="15"/>
        <v>0 tubes and 0 shuttles</v>
      </c>
    </row>
    <row r="426" spans="1:10" ht="12.5" x14ac:dyDescent="0.25">
      <c r="A426" s="32">
        <f>'Profit &amp; Loss'!A426</f>
        <v>0</v>
      </c>
      <c r="B426" s="35">
        <f>'Profit &amp; Loss'!B426</f>
        <v>0</v>
      </c>
      <c r="C426" s="36"/>
      <c r="D426" s="33"/>
      <c r="E426" s="102">
        <f t="shared" si="16"/>
        <v>0</v>
      </c>
      <c r="F426" s="103" t="str">
        <f t="shared" si="12"/>
        <v>0 tubes and 0 shuttles</v>
      </c>
      <c r="G426" s="36">
        <f t="shared" si="17"/>
        <v>0</v>
      </c>
      <c r="H426" s="104" t="str">
        <f t="shared" si="13"/>
        <v>0 tubes and 0 shuttles</v>
      </c>
      <c r="I426" s="36">
        <f t="shared" si="14"/>
        <v>0</v>
      </c>
      <c r="J426" s="103" t="str">
        <f t="shared" si="15"/>
        <v>0 tubes and 0 shuttles</v>
      </c>
    </row>
    <row r="427" spans="1:10" ht="12.5" x14ac:dyDescent="0.25">
      <c r="A427" s="32">
        <f>'Profit &amp; Loss'!A427</f>
        <v>0</v>
      </c>
      <c r="B427" s="35">
        <f>'Profit &amp; Loss'!B427</f>
        <v>0</v>
      </c>
      <c r="C427" s="36"/>
      <c r="D427" s="33"/>
      <c r="E427" s="102">
        <f t="shared" si="16"/>
        <v>0</v>
      </c>
      <c r="F427" s="103" t="str">
        <f t="shared" si="12"/>
        <v>0 tubes and 0 shuttles</v>
      </c>
      <c r="G427" s="36">
        <f t="shared" si="17"/>
        <v>0</v>
      </c>
      <c r="H427" s="104" t="str">
        <f t="shared" si="13"/>
        <v>0 tubes and 0 shuttles</v>
      </c>
      <c r="I427" s="36">
        <f t="shared" si="14"/>
        <v>0</v>
      </c>
      <c r="J427" s="103" t="str">
        <f t="shared" si="15"/>
        <v>0 tubes and 0 shuttles</v>
      </c>
    </row>
    <row r="428" spans="1:10" ht="12.5" x14ac:dyDescent="0.25">
      <c r="A428" s="32">
        <f>'Profit &amp; Loss'!A428</f>
        <v>0</v>
      </c>
      <c r="B428" s="35">
        <f>'Profit &amp; Loss'!B428</f>
        <v>0</v>
      </c>
      <c r="C428" s="36"/>
      <c r="D428" s="33"/>
      <c r="E428" s="102">
        <f t="shared" si="16"/>
        <v>0</v>
      </c>
      <c r="F428" s="103" t="str">
        <f t="shared" si="12"/>
        <v>0 tubes and 0 shuttles</v>
      </c>
      <c r="G428" s="36">
        <f t="shared" si="17"/>
        <v>0</v>
      </c>
      <c r="H428" s="104" t="str">
        <f t="shared" si="13"/>
        <v>0 tubes and 0 shuttles</v>
      </c>
      <c r="I428" s="36">
        <f t="shared" si="14"/>
        <v>0</v>
      </c>
      <c r="J428" s="103" t="str">
        <f t="shared" si="15"/>
        <v>0 tubes and 0 shuttles</v>
      </c>
    </row>
    <row r="429" spans="1:10" ht="12.5" x14ac:dyDescent="0.25">
      <c r="A429" s="32">
        <f>'Profit &amp; Loss'!A429</f>
        <v>0</v>
      </c>
      <c r="B429" s="35">
        <f>'Profit &amp; Loss'!B429</f>
        <v>0</v>
      </c>
      <c r="C429" s="36"/>
      <c r="D429" s="33"/>
      <c r="E429" s="102">
        <f t="shared" si="16"/>
        <v>0</v>
      </c>
      <c r="F429" s="103" t="str">
        <f t="shared" si="12"/>
        <v>0 tubes and 0 shuttles</v>
      </c>
      <c r="G429" s="36">
        <f t="shared" si="17"/>
        <v>0</v>
      </c>
      <c r="H429" s="104" t="str">
        <f t="shared" si="13"/>
        <v>0 tubes and 0 shuttles</v>
      </c>
      <c r="I429" s="36">
        <f t="shared" si="14"/>
        <v>0</v>
      </c>
      <c r="J429" s="103" t="str">
        <f t="shared" si="15"/>
        <v>0 tubes and 0 shuttles</v>
      </c>
    </row>
    <row r="430" spans="1:10" ht="12.5" x14ac:dyDescent="0.25">
      <c r="A430" s="32">
        <f>'Profit &amp; Loss'!A430</f>
        <v>0</v>
      </c>
      <c r="B430" s="35">
        <f>'Profit &amp; Loss'!B430</f>
        <v>0</v>
      </c>
      <c r="C430" s="36"/>
      <c r="D430" s="33"/>
      <c r="E430" s="102">
        <f t="shared" si="16"/>
        <v>0</v>
      </c>
      <c r="F430" s="103" t="str">
        <f t="shared" si="12"/>
        <v>0 tubes and 0 shuttles</v>
      </c>
      <c r="G430" s="36">
        <f t="shared" si="17"/>
        <v>0</v>
      </c>
      <c r="H430" s="104" t="str">
        <f t="shared" si="13"/>
        <v>0 tubes and 0 shuttles</v>
      </c>
      <c r="I430" s="36">
        <f t="shared" si="14"/>
        <v>0</v>
      </c>
      <c r="J430" s="103" t="str">
        <f t="shared" si="15"/>
        <v>0 tubes and 0 shuttles</v>
      </c>
    </row>
    <row r="431" spans="1:10" ht="12.5" x14ac:dyDescent="0.25">
      <c r="A431" s="32">
        <f>'Profit &amp; Loss'!A431</f>
        <v>0</v>
      </c>
      <c r="B431" s="35">
        <f>'Profit &amp; Loss'!B431</f>
        <v>0</v>
      </c>
      <c r="C431" s="36"/>
      <c r="D431" s="33"/>
      <c r="E431" s="102">
        <f t="shared" si="16"/>
        <v>0</v>
      </c>
      <c r="F431" s="103" t="str">
        <f t="shared" si="12"/>
        <v>0 tubes and 0 shuttles</v>
      </c>
      <c r="G431" s="36">
        <f t="shared" si="17"/>
        <v>0</v>
      </c>
      <c r="H431" s="104" t="str">
        <f t="shared" si="13"/>
        <v>0 tubes and 0 shuttles</v>
      </c>
      <c r="I431" s="36">
        <f t="shared" si="14"/>
        <v>0</v>
      </c>
      <c r="J431" s="103" t="str">
        <f t="shared" si="15"/>
        <v>0 tubes and 0 shuttles</v>
      </c>
    </row>
    <row r="432" spans="1:10" ht="12.5" x14ac:dyDescent="0.25">
      <c r="A432" s="32">
        <f>'Profit &amp; Loss'!A432</f>
        <v>0</v>
      </c>
      <c r="B432" s="35">
        <f>'Profit &amp; Loss'!B432</f>
        <v>0</v>
      </c>
      <c r="C432" s="36"/>
      <c r="D432" s="33"/>
      <c r="E432" s="102">
        <f t="shared" si="16"/>
        <v>0</v>
      </c>
      <c r="F432" s="103" t="str">
        <f t="shared" si="12"/>
        <v>0 tubes and 0 shuttles</v>
      </c>
      <c r="G432" s="36">
        <f t="shared" si="17"/>
        <v>0</v>
      </c>
      <c r="H432" s="104" t="str">
        <f t="shared" si="13"/>
        <v>0 tubes and 0 shuttles</v>
      </c>
      <c r="I432" s="36">
        <f t="shared" si="14"/>
        <v>0</v>
      </c>
      <c r="J432" s="103" t="str">
        <f t="shared" si="15"/>
        <v>0 tubes and 0 shuttles</v>
      </c>
    </row>
    <row r="433" spans="1:10" ht="12.5" x14ac:dyDescent="0.25">
      <c r="A433" s="32">
        <f>'Profit &amp; Loss'!A433</f>
        <v>0</v>
      </c>
      <c r="B433" s="35">
        <f>'Profit &amp; Loss'!B433</f>
        <v>0</v>
      </c>
      <c r="C433" s="36"/>
      <c r="D433" s="33"/>
      <c r="E433" s="102">
        <f t="shared" si="16"/>
        <v>0</v>
      </c>
      <c r="F433" s="103" t="str">
        <f t="shared" si="12"/>
        <v>0 tubes and 0 shuttles</v>
      </c>
      <c r="G433" s="36">
        <f t="shared" si="17"/>
        <v>0</v>
      </c>
      <c r="H433" s="104" t="str">
        <f t="shared" si="13"/>
        <v>0 tubes and 0 shuttles</v>
      </c>
      <c r="I433" s="36">
        <f t="shared" si="14"/>
        <v>0</v>
      </c>
      <c r="J433" s="103" t="str">
        <f t="shared" si="15"/>
        <v>0 tubes and 0 shuttles</v>
      </c>
    </row>
    <row r="434" spans="1:10" ht="12.5" x14ac:dyDescent="0.25">
      <c r="A434" s="32">
        <f>'Profit &amp; Loss'!A434</f>
        <v>0</v>
      </c>
      <c r="B434" s="35">
        <f>'Profit &amp; Loss'!B434</f>
        <v>0</v>
      </c>
      <c r="C434" s="36"/>
      <c r="D434" s="33"/>
      <c r="E434" s="102">
        <f t="shared" si="16"/>
        <v>0</v>
      </c>
      <c r="F434" s="103" t="str">
        <f t="shared" si="12"/>
        <v>0 tubes and 0 shuttles</v>
      </c>
      <c r="G434" s="36">
        <f t="shared" si="17"/>
        <v>0</v>
      </c>
      <c r="H434" s="104" t="str">
        <f t="shared" si="13"/>
        <v>0 tubes and 0 shuttles</v>
      </c>
      <c r="I434" s="36">
        <f t="shared" si="14"/>
        <v>0</v>
      </c>
      <c r="J434" s="103" t="str">
        <f t="shared" si="15"/>
        <v>0 tubes and 0 shuttles</v>
      </c>
    </row>
    <row r="435" spans="1:10" ht="12.5" x14ac:dyDescent="0.25">
      <c r="A435" s="32">
        <f>'Profit &amp; Loss'!A435</f>
        <v>0</v>
      </c>
      <c r="B435" s="35">
        <f>'Profit &amp; Loss'!B435</f>
        <v>0</v>
      </c>
      <c r="C435" s="36"/>
      <c r="D435" s="33"/>
      <c r="E435" s="102">
        <f t="shared" si="16"/>
        <v>0</v>
      </c>
      <c r="F435" s="103" t="str">
        <f t="shared" si="12"/>
        <v>0 tubes and 0 shuttles</v>
      </c>
      <c r="G435" s="36">
        <f t="shared" si="17"/>
        <v>0</v>
      </c>
      <c r="H435" s="104" t="str">
        <f t="shared" si="13"/>
        <v>0 tubes and 0 shuttles</v>
      </c>
      <c r="I435" s="36">
        <f t="shared" si="14"/>
        <v>0</v>
      </c>
      <c r="J435" s="103" t="str">
        <f t="shared" si="15"/>
        <v>0 tubes and 0 shuttles</v>
      </c>
    </row>
    <row r="436" spans="1:10" ht="12.5" x14ac:dyDescent="0.25">
      <c r="A436" s="32">
        <f>'Profit &amp; Loss'!A436</f>
        <v>0</v>
      </c>
      <c r="B436" s="35">
        <f>'Profit &amp; Loss'!B436</f>
        <v>0</v>
      </c>
      <c r="C436" s="36"/>
      <c r="D436" s="33"/>
      <c r="E436" s="102">
        <f t="shared" si="16"/>
        <v>0</v>
      </c>
      <c r="F436" s="103" t="str">
        <f t="shared" si="12"/>
        <v>0 tubes and 0 shuttles</v>
      </c>
      <c r="G436" s="36">
        <f t="shared" si="17"/>
        <v>0</v>
      </c>
      <c r="H436" s="104" t="str">
        <f t="shared" si="13"/>
        <v>0 tubes and 0 shuttles</v>
      </c>
      <c r="I436" s="36">
        <f t="shared" si="14"/>
        <v>0</v>
      </c>
      <c r="J436" s="103" t="str">
        <f t="shared" si="15"/>
        <v>0 tubes and 0 shuttles</v>
      </c>
    </row>
    <row r="437" spans="1:10" ht="12.5" x14ac:dyDescent="0.25">
      <c r="A437" s="32">
        <f>'Profit &amp; Loss'!A437</f>
        <v>0</v>
      </c>
      <c r="B437" s="35">
        <f>'Profit &amp; Loss'!B437</f>
        <v>0</v>
      </c>
      <c r="C437" s="36"/>
      <c r="D437" s="33"/>
      <c r="E437" s="102">
        <f t="shared" si="16"/>
        <v>0</v>
      </c>
      <c r="F437" s="103" t="str">
        <f t="shared" si="12"/>
        <v>0 tubes and 0 shuttles</v>
      </c>
      <c r="G437" s="36">
        <f t="shared" si="17"/>
        <v>0</v>
      </c>
      <c r="H437" s="104" t="str">
        <f t="shared" si="13"/>
        <v>0 tubes and 0 shuttles</v>
      </c>
      <c r="I437" s="36">
        <f t="shared" si="14"/>
        <v>0</v>
      </c>
      <c r="J437" s="103" t="str">
        <f t="shared" si="15"/>
        <v>0 tubes and 0 shuttles</v>
      </c>
    </row>
    <row r="438" spans="1:10" ht="12.5" x14ac:dyDescent="0.25">
      <c r="A438" s="32">
        <f>'Profit &amp; Loss'!A438</f>
        <v>0</v>
      </c>
      <c r="B438" s="35">
        <f>'Profit &amp; Loss'!B438</f>
        <v>0</v>
      </c>
      <c r="C438" s="36"/>
      <c r="D438" s="33"/>
      <c r="E438" s="102">
        <f t="shared" si="16"/>
        <v>0</v>
      </c>
      <c r="F438" s="103" t="str">
        <f t="shared" si="12"/>
        <v>0 tubes and 0 shuttles</v>
      </c>
      <c r="G438" s="36">
        <f t="shared" si="17"/>
        <v>0</v>
      </c>
      <c r="H438" s="104" t="str">
        <f t="shared" si="13"/>
        <v>0 tubes and 0 shuttles</v>
      </c>
      <c r="I438" s="36">
        <f t="shared" si="14"/>
        <v>0</v>
      </c>
      <c r="J438" s="103" t="str">
        <f t="shared" si="15"/>
        <v>0 tubes and 0 shuttles</v>
      </c>
    </row>
    <row r="439" spans="1:10" ht="12.5" x14ac:dyDescent="0.25">
      <c r="A439" s="32">
        <f>'Profit &amp; Loss'!A439</f>
        <v>0</v>
      </c>
      <c r="B439" s="35">
        <f>'Profit &amp; Loss'!B439</f>
        <v>0</v>
      </c>
      <c r="C439" s="36"/>
      <c r="D439" s="33"/>
      <c r="E439" s="102">
        <f t="shared" si="16"/>
        <v>0</v>
      </c>
      <c r="F439" s="103" t="str">
        <f t="shared" si="12"/>
        <v>0 tubes and 0 shuttles</v>
      </c>
      <c r="G439" s="36">
        <f t="shared" si="17"/>
        <v>0</v>
      </c>
      <c r="H439" s="104" t="str">
        <f t="shared" si="13"/>
        <v>0 tubes and 0 shuttles</v>
      </c>
      <c r="I439" s="36">
        <f t="shared" si="14"/>
        <v>0</v>
      </c>
      <c r="J439" s="103" t="str">
        <f t="shared" si="15"/>
        <v>0 tubes and 0 shuttles</v>
      </c>
    </row>
    <row r="440" spans="1:10" ht="12.5" x14ac:dyDescent="0.25">
      <c r="A440" s="32">
        <f>'Profit &amp; Loss'!A440</f>
        <v>0</v>
      </c>
      <c r="B440" s="35">
        <f>'Profit &amp; Loss'!B440</f>
        <v>0</v>
      </c>
      <c r="C440" s="36"/>
      <c r="D440" s="33"/>
      <c r="E440" s="102">
        <f t="shared" si="16"/>
        <v>0</v>
      </c>
      <c r="F440" s="103" t="str">
        <f t="shared" si="12"/>
        <v>0 tubes and 0 shuttles</v>
      </c>
      <c r="G440" s="36">
        <f t="shared" si="17"/>
        <v>0</v>
      </c>
      <c r="H440" s="104" t="str">
        <f t="shared" si="13"/>
        <v>0 tubes and 0 shuttles</v>
      </c>
      <c r="I440" s="36">
        <f t="shared" si="14"/>
        <v>0</v>
      </c>
      <c r="J440" s="103" t="str">
        <f t="shared" si="15"/>
        <v>0 tubes and 0 shuttles</v>
      </c>
    </row>
    <row r="441" spans="1:10" ht="12.5" x14ac:dyDescent="0.25">
      <c r="A441" s="32">
        <f>'Profit &amp; Loss'!A441</f>
        <v>0</v>
      </c>
      <c r="B441" s="35">
        <f>'Profit &amp; Loss'!B441</f>
        <v>0</v>
      </c>
      <c r="C441" s="36"/>
      <c r="D441" s="33"/>
      <c r="E441" s="102">
        <f t="shared" si="16"/>
        <v>0</v>
      </c>
      <c r="F441" s="103" t="str">
        <f t="shared" si="12"/>
        <v>0 tubes and 0 shuttles</v>
      </c>
      <c r="G441" s="36">
        <f t="shared" si="17"/>
        <v>0</v>
      </c>
      <c r="H441" s="104" t="str">
        <f t="shared" si="13"/>
        <v>0 tubes and 0 shuttles</v>
      </c>
      <c r="I441" s="36">
        <f t="shared" si="14"/>
        <v>0</v>
      </c>
      <c r="J441" s="103" t="str">
        <f t="shared" si="15"/>
        <v>0 tubes and 0 shuttles</v>
      </c>
    </row>
    <row r="442" spans="1:10" ht="12.5" x14ac:dyDescent="0.25">
      <c r="A442" s="32">
        <f>'Profit &amp; Loss'!A442</f>
        <v>0</v>
      </c>
      <c r="B442" s="35">
        <f>'Profit &amp; Loss'!B442</f>
        <v>0</v>
      </c>
      <c r="C442" s="36"/>
      <c r="D442" s="33"/>
      <c r="E442" s="102">
        <f t="shared" si="16"/>
        <v>0</v>
      </c>
      <c r="F442" s="103" t="str">
        <f t="shared" si="12"/>
        <v>0 tubes and 0 shuttles</v>
      </c>
      <c r="G442" s="36">
        <f t="shared" si="17"/>
        <v>0</v>
      </c>
      <c r="H442" s="104" t="str">
        <f t="shared" si="13"/>
        <v>0 tubes and 0 shuttles</v>
      </c>
      <c r="I442" s="36">
        <f t="shared" si="14"/>
        <v>0</v>
      </c>
      <c r="J442" s="103" t="str">
        <f t="shared" si="15"/>
        <v>0 tubes and 0 shuttles</v>
      </c>
    </row>
    <row r="443" spans="1:10" ht="12.5" x14ac:dyDescent="0.25">
      <c r="A443" s="32">
        <f>'Profit &amp; Loss'!A443</f>
        <v>0</v>
      </c>
      <c r="B443" s="35">
        <f>'Profit &amp; Loss'!B443</f>
        <v>0</v>
      </c>
      <c r="C443" s="36"/>
      <c r="D443" s="33"/>
      <c r="E443" s="102">
        <f t="shared" si="16"/>
        <v>0</v>
      </c>
      <c r="F443" s="103" t="str">
        <f t="shared" si="12"/>
        <v>0 tubes and 0 shuttles</v>
      </c>
      <c r="G443" s="36">
        <f t="shared" si="17"/>
        <v>0</v>
      </c>
      <c r="H443" s="104" t="str">
        <f t="shared" si="13"/>
        <v>0 tubes and 0 shuttles</v>
      </c>
      <c r="I443" s="36">
        <f t="shared" si="14"/>
        <v>0</v>
      </c>
      <c r="J443" s="103" t="str">
        <f t="shared" si="15"/>
        <v>0 tubes and 0 shuttles</v>
      </c>
    </row>
    <row r="444" spans="1:10" ht="12.5" x14ac:dyDescent="0.25">
      <c r="A444" s="32">
        <f>'Profit &amp; Loss'!A444</f>
        <v>0</v>
      </c>
      <c r="B444" s="35">
        <f>'Profit &amp; Loss'!B444</f>
        <v>0</v>
      </c>
      <c r="C444" s="36"/>
      <c r="D444" s="33"/>
      <c r="E444" s="102">
        <f t="shared" si="16"/>
        <v>0</v>
      </c>
      <c r="F444" s="103" t="str">
        <f t="shared" si="12"/>
        <v>0 tubes and 0 shuttles</v>
      </c>
      <c r="G444" s="36">
        <f t="shared" si="17"/>
        <v>0</v>
      </c>
      <c r="H444" s="104" t="str">
        <f t="shared" si="13"/>
        <v>0 tubes and 0 shuttles</v>
      </c>
      <c r="I444" s="36">
        <f t="shared" si="14"/>
        <v>0</v>
      </c>
      <c r="J444" s="103" t="str">
        <f t="shared" si="15"/>
        <v>0 tubes and 0 shuttles</v>
      </c>
    </row>
    <row r="445" spans="1:10" ht="12.5" x14ac:dyDescent="0.25">
      <c r="A445" s="32">
        <f>'Profit &amp; Loss'!A445</f>
        <v>0</v>
      </c>
      <c r="B445" s="35">
        <f>'Profit &amp; Loss'!B445</f>
        <v>0</v>
      </c>
      <c r="C445" s="36"/>
      <c r="D445" s="33"/>
      <c r="E445" s="102">
        <f t="shared" si="16"/>
        <v>0</v>
      </c>
      <c r="F445" s="103" t="str">
        <f t="shared" si="12"/>
        <v>0 tubes and 0 shuttles</v>
      </c>
      <c r="G445" s="36">
        <f t="shared" si="17"/>
        <v>0</v>
      </c>
      <c r="H445" s="104" t="str">
        <f t="shared" si="13"/>
        <v>0 tubes and 0 shuttles</v>
      </c>
      <c r="I445" s="36">
        <f t="shared" si="14"/>
        <v>0</v>
      </c>
      <c r="J445" s="103" t="str">
        <f t="shared" si="15"/>
        <v>0 tubes and 0 shuttles</v>
      </c>
    </row>
    <row r="446" spans="1:10" ht="12.5" x14ac:dyDescent="0.25">
      <c r="A446" s="32">
        <f>'Profit &amp; Loss'!A446</f>
        <v>0</v>
      </c>
      <c r="B446" s="35">
        <f>'Profit &amp; Loss'!B446</f>
        <v>0</v>
      </c>
      <c r="C446" s="36"/>
      <c r="D446" s="33"/>
      <c r="E446" s="102">
        <f t="shared" si="16"/>
        <v>0</v>
      </c>
      <c r="F446" s="103" t="str">
        <f t="shared" si="12"/>
        <v>0 tubes and 0 shuttles</v>
      </c>
      <c r="G446" s="36">
        <f t="shared" si="17"/>
        <v>0</v>
      </c>
      <c r="H446" s="104" t="str">
        <f t="shared" si="13"/>
        <v>0 tubes and 0 shuttles</v>
      </c>
      <c r="I446" s="36">
        <f t="shared" si="14"/>
        <v>0</v>
      </c>
      <c r="J446" s="103" t="str">
        <f t="shared" si="15"/>
        <v>0 tubes and 0 shuttles</v>
      </c>
    </row>
    <row r="447" spans="1:10" ht="12.5" x14ac:dyDescent="0.25">
      <c r="A447" s="32">
        <f>'Profit &amp; Loss'!A447</f>
        <v>0</v>
      </c>
      <c r="B447" s="35">
        <f>'Profit &amp; Loss'!B447</f>
        <v>0</v>
      </c>
      <c r="C447" s="36"/>
      <c r="D447" s="33"/>
      <c r="E447" s="102">
        <f t="shared" si="16"/>
        <v>0</v>
      </c>
      <c r="F447" s="103" t="str">
        <f t="shared" si="12"/>
        <v>0 tubes and 0 shuttles</v>
      </c>
      <c r="G447" s="36">
        <f t="shared" si="17"/>
        <v>0</v>
      </c>
      <c r="H447" s="104" t="str">
        <f t="shared" si="13"/>
        <v>0 tubes and 0 shuttles</v>
      </c>
      <c r="I447" s="36">
        <f t="shared" si="14"/>
        <v>0</v>
      </c>
      <c r="J447" s="103" t="str">
        <f t="shared" si="15"/>
        <v>0 tubes and 0 shuttles</v>
      </c>
    </row>
    <row r="448" spans="1:10" ht="12.5" x14ac:dyDescent="0.25">
      <c r="A448" s="32">
        <f>'Profit &amp; Loss'!A448</f>
        <v>0</v>
      </c>
      <c r="B448" s="35">
        <f>'Profit &amp; Loss'!B448</f>
        <v>0</v>
      </c>
      <c r="C448" s="36"/>
      <c r="D448" s="33"/>
      <c r="E448" s="102">
        <f t="shared" si="16"/>
        <v>0</v>
      </c>
      <c r="F448" s="103" t="str">
        <f t="shared" si="12"/>
        <v>0 tubes and 0 shuttles</v>
      </c>
      <c r="G448" s="36">
        <f t="shared" si="17"/>
        <v>0</v>
      </c>
      <c r="H448" s="104" t="str">
        <f t="shared" si="13"/>
        <v>0 tubes and 0 shuttles</v>
      </c>
      <c r="I448" s="36">
        <f t="shared" si="14"/>
        <v>0</v>
      </c>
      <c r="J448" s="103" t="str">
        <f t="shared" si="15"/>
        <v>0 tubes and 0 shuttles</v>
      </c>
    </row>
    <row r="449" spans="1:10" ht="12.5" x14ac:dyDescent="0.25">
      <c r="A449" s="32">
        <f>'Profit &amp; Loss'!A449</f>
        <v>0</v>
      </c>
      <c r="B449" s="35">
        <f>'Profit &amp; Loss'!B449</f>
        <v>0</v>
      </c>
      <c r="C449" s="36"/>
      <c r="D449" s="33"/>
      <c r="E449" s="102">
        <f t="shared" si="16"/>
        <v>0</v>
      </c>
      <c r="F449" s="103" t="str">
        <f t="shared" si="12"/>
        <v>0 tubes and 0 shuttles</v>
      </c>
      <c r="G449" s="36">
        <f t="shared" si="17"/>
        <v>0</v>
      </c>
      <c r="H449" s="104" t="str">
        <f t="shared" si="13"/>
        <v>0 tubes and 0 shuttles</v>
      </c>
      <c r="I449" s="36">
        <f t="shared" si="14"/>
        <v>0</v>
      </c>
      <c r="J449" s="103" t="str">
        <f t="shared" si="15"/>
        <v>0 tubes and 0 shuttles</v>
      </c>
    </row>
    <row r="450" spans="1:10" ht="12.5" x14ac:dyDescent="0.25">
      <c r="A450" s="32">
        <f>'Profit &amp; Loss'!A450</f>
        <v>0</v>
      </c>
      <c r="B450" s="35">
        <f>'Profit &amp; Loss'!B450</f>
        <v>0</v>
      </c>
      <c r="C450" s="36"/>
      <c r="D450" s="33"/>
      <c r="E450" s="102">
        <f t="shared" si="16"/>
        <v>0</v>
      </c>
      <c r="F450" s="103" t="str">
        <f t="shared" si="12"/>
        <v>0 tubes and 0 shuttles</v>
      </c>
      <c r="G450" s="36">
        <f t="shared" si="17"/>
        <v>0</v>
      </c>
      <c r="H450" s="104" t="str">
        <f t="shared" si="13"/>
        <v>0 tubes and 0 shuttles</v>
      </c>
      <c r="I450" s="36">
        <f t="shared" si="14"/>
        <v>0</v>
      </c>
      <c r="J450" s="103" t="str">
        <f t="shared" si="15"/>
        <v>0 tubes and 0 shuttles</v>
      </c>
    </row>
    <row r="451" spans="1:10" ht="12.5" x14ac:dyDescent="0.25">
      <c r="A451" s="32">
        <f>'Profit &amp; Loss'!A451</f>
        <v>0</v>
      </c>
      <c r="B451" s="35">
        <f>'Profit &amp; Loss'!B451</f>
        <v>0</v>
      </c>
      <c r="C451" s="36"/>
      <c r="D451" s="33"/>
      <c r="E451" s="102">
        <f t="shared" si="16"/>
        <v>0</v>
      </c>
      <c r="F451" s="103" t="str">
        <f t="shared" si="12"/>
        <v>0 tubes and 0 shuttles</v>
      </c>
      <c r="G451" s="36">
        <f t="shared" si="17"/>
        <v>0</v>
      </c>
      <c r="H451" s="104" t="str">
        <f t="shared" si="13"/>
        <v>0 tubes and 0 shuttles</v>
      </c>
      <c r="I451" s="36">
        <f t="shared" si="14"/>
        <v>0</v>
      </c>
      <c r="J451" s="103" t="str">
        <f t="shared" si="15"/>
        <v>0 tubes and 0 shuttles</v>
      </c>
    </row>
    <row r="452" spans="1:10" ht="12.5" x14ac:dyDescent="0.25">
      <c r="A452" s="32">
        <f>'Profit &amp; Loss'!A452</f>
        <v>0</v>
      </c>
      <c r="B452" s="35">
        <f>'Profit &amp; Loss'!B452</f>
        <v>0</v>
      </c>
      <c r="C452" s="36"/>
      <c r="D452" s="33"/>
      <c r="E452" s="102">
        <f t="shared" si="16"/>
        <v>0</v>
      </c>
      <c r="F452" s="103" t="str">
        <f t="shared" si="12"/>
        <v>0 tubes and 0 shuttles</v>
      </c>
      <c r="G452" s="36">
        <f t="shared" si="17"/>
        <v>0</v>
      </c>
      <c r="H452" s="104" t="str">
        <f t="shared" si="13"/>
        <v>0 tubes and 0 shuttles</v>
      </c>
      <c r="I452" s="36">
        <f t="shared" si="14"/>
        <v>0</v>
      </c>
      <c r="J452" s="103" t="str">
        <f t="shared" si="15"/>
        <v>0 tubes and 0 shuttles</v>
      </c>
    </row>
    <row r="453" spans="1:10" ht="12.5" x14ac:dyDescent="0.25">
      <c r="A453" s="32">
        <f>'Profit &amp; Loss'!A453</f>
        <v>0</v>
      </c>
      <c r="B453" s="35">
        <f>'Profit &amp; Loss'!B453</f>
        <v>0</v>
      </c>
      <c r="C453" s="36"/>
      <c r="D453" s="33"/>
      <c r="E453" s="102">
        <f t="shared" si="16"/>
        <v>0</v>
      </c>
      <c r="F453" s="103" t="str">
        <f t="shared" si="12"/>
        <v>0 tubes and 0 shuttles</v>
      </c>
      <c r="G453" s="36">
        <f t="shared" si="17"/>
        <v>0</v>
      </c>
      <c r="H453" s="104" t="str">
        <f t="shared" si="13"/>
        <v>0 tubes and 0 shuttles</v>
      </c>
      <c r="I453" s="36">
        <f t="shared" si="14"/>
        <v>0</v>
      </c>
      <c r="J453" s="103" t="str">
        <f t="shared" si="15"/>
        <v>0 tubes and 0 shuttles</v>
      </c>
    </row>
    <row r="454" spans="1:10" ht="12.5" x14ac:dyDescent="0.25">
      <c r="A454" s="32">
        <f>'Profit &amp; Loss'!A454</f>
        <v>0</v>
      </c>
      <c r="B454" s="35">
        <f>'Profit &amp; Loss'!B454</f>
        <v>0</v>
      </c>
      <c r="C454" s="36"/>
      <c r="D454" s="33"/>
      <c r="E454" s="102">
        <f t="shared" si="16"/>
        <v>0</v>
      </c>
      <c r="F454" s="103" t="str">
        <f t="shared" si="12"/>
        <v>0 tubes and 0 shuttles</v>
      </c>
      <c r="G454" s="36">
        <f t="shared" si="17"/>
        <v>0</v>
      </c>
      <c r="H454" s="104" t="str">
        <f t="shared" si="13"/>
        <v>0 tubes and 0 shuttles</v>
      </c>
      <c r="I454" s="36">
        <f t="shared" si="14"/>
        <v>0</v>
      </c>
      <c r="J454" s="103" t="str">
        <f t="shared" si="15"/>
        <v>0 tubes and 0 shuttles</v>
      </c>
    </row>
    <row r="455" spans="1:10" ht="12.5" x14ac:dyDescent="0.25">
      <c r="A455" s="32">
        <f>'Profit &amp; Loss'!A455</f>
        <v>0</v>
      </c>
      <c r="B455" s="35">
        <f>'Profit &amp; Loss'!B455</f>
        <v>0</v>
      </c>
      <c r="C455" s="36"/>
      <c r="D455" s="33"/>
      <c r="E455" s="102">
        <f t="shared" si="16"/>
        <v>0</v>
      </c>
      <c r="F455" s="103" t="str">
        <f t="shared" si="12"/>
        <v>0 tubes and 0 shuttles</v>
      </c>
      <c r="G455" s="36">
        <f t="shared" si="17"/>
        <v>0</v>
      </c>
      <c r="H455" s="104" t="str">
        <f t="shared" si="13"/>
        <v>0 tubes and 0 shuttles</v>
      </c>
      <c r="I455" s="36">
        <f t="shared" si="14"/>
        <v>0</v>
      </c>
      <c r="J455" s="103" t="str">
        <f t="shared" si="15"/>
        <v>0 tubes and 0 shuttles</v>
      </c>
    </row>
    <row r="456" spans="1:10" ht="12.5" x14ac:dyDescent="0.25">
      <c r="A456" s="32">
        <f>'Profit &amp; Loss'!A456</f>
        <v>0</v>
      </c>
      <c r="B456" s="35">
        <f>'Profit &amp; Loss'!B456</f>
        <v>0</v>
      </c>
      <c r="C456" s="36"/>
      <c r="D456" s="33"/>
      <c r="E456" s="102">
        <f t="shared" si="16"/>
        <v>0</v>
      </c>
      <c r="F456" s="103" t="str">
        <f t="shared" si="12"/>
        <v>0 tubes and 0 shuttles</v>
      </c>
      <c r="G456" s="36">
        <f t="shared" si="17"/>
        <v>0</v>
      </c>
      <c r="H456" s="104" t="str">
        <f t="shared" si="13"/>
        <v>0 tubes and 0 shuttles</v>
      </c>
      <c r="I456" s="36">
        <f t="shared" si="14"/>
        <v>0</v>
      </c>
      <c r="J456" s="103" t="str">
        <f t="shared" si="15"/>
        <v>0 tubes and 0 shuttles</v>
      </c>
    </row>
    <row r="457" spans="1:10" ht="12.5" x14ac:dyDescent="0.25">
      <c r="A457" s="32">
        <f>'Profit &amp; Loss'!A457</f>
        <v>0</v>
      </c>
      <c r="B457" s="35">
        <f>'Profit &amp; Loss'!B457</f>
        <v>0</v>
      </c>
      <c r="C457" s="36"/>
      <c r="D457" s="33"/>
      <c r="E457" s="102">
        <f t="shared" si="16"/>
        <v>0</v>
      </c>
      <c r="F457" s="103" t="str">
        <f t="shared" si="12"/>
        <v>0 tubes and 0 shuttles</v>
      </c>
      <c r="G457" s="36">
        <f t="shared" si="17"/>
        <v>0</v>
      </c>
      <c r="H457" s="104" t="str">
        <f t="shared" si="13"/>
        <v>0 tubes and 0 shuttles</v>
      </c>
      <c r="I457" s="36">
        <f t="shared" si="14"/>
        <v>0</v>
      </c>
      <c r="J457" s="103" t="str">
        <f t="shared" si="15"/>
        <v>0 tubes and 0 shuttles</v>
      </c>
    </row>
    <row r="458" spans="1:10" ht="12.5" x14ac:dyDescent="0.25">
      <c r="A458" s="32">
        <f>'Profit &amp; Loss'!A458</f>
        <v>0</v>
      </c>
      <c r="B458" s="35">
        <f>'Profit &amp; Loss'!B458</f>
        <v>0</v>
      </c>
      <c r="C458" s="36"/>
      <c r="D458" s="33"/>
      <c r="E458" s="102">
        <f t="shared" si="16"/>
        <v>0</v>
      </c>
      <c r="F458" s="103" t="str">
        <f t="shared" si="12"/>
        <v>0 tubes and 0 shuttles</v>
      </c>
      <c r="G458" s="36">
        <f t="shared" si="17"/>
        <v>0</v>
      </c>
      <c r="H458" s="104" t="str">
        <f t="shared" si="13"/>
        <v>0 tubes and 0 shuttles</v>
      </c>
      <c r="I458" s="36">
        <f t="shared" si="14"/>
        <v>0</v>
      </c>
      <c r="J458" s="103" t="str">
        <f t="shared" si="15"/>
        <v>0 tubes and 0 shuttles</v>
      </c>
    </row>
    <row r="459" spans="1:10" ht="12.5" x14ac:dyDescent="0.25">
      <c r="A459" s="32">
        <f>'Profit &amp; Loss'!A459</f>
        <v>0</v>
      </c>
      <c r="B459" s="35">
        <f>'Profit &amp; Loss'!B459</f>
        <v>0</v>
      </c>
      <c r="C459" s="36"/>
      <c r="D459" s="33"/>
      <c r="E459" s="102">
        <f t="shared" si="16"/>
        <v>0</v>
      </c>
      <c r="F459" s="103" t="str">
        <f t="shared" si="12"/>
        <v>0 tubes and 0 shuttles</v>
      </c>
      <c r="G459" s="36">
        <f t="shared" si="17"/>
        <v>0</v>
      </c>
      <c r="H459" s="104" t="str">
        <f t="shared" si="13"/>
        <v>0 tubes and 0 shuttles</v>
      </c>
      <c r="I459" s="36">
        <f t="shared" si="14"/>
        <v>0</v>
      </c>
      <c r="J459" s="103" t="str">
        <f t="shared" si="15"/>
        <v>0 tubes and 0 shuttles</v>
      </c>
    </row>
    <row r="460" spans="1:10" ht="12.5" x14ac:dyDescent="0.25">
      <c r="A460" s="32">
        <f>'Profit &amp; Loss'!A460</f>
        <v>0</v>
      </c>
      <c r="B460" s="35">
        <f>'Profit &amp; Loss'!B460</f>
        <v>0</v>
      </c>
      <c r="C460" s="36"/>
      <c r="D460" s="33"/>
      <c r="E460" s="102">
        <f t="shared" si="16"/>
        <v>0</v>
      </c>
      <c r="F460" s="103" t="str">
        <f t="shared" si="12"/>
        <v>0 tubes and 0 shuttles</v>
      </c>
      <c r="G460" s="36">
        <f t="shared" si="17"/>
        <v>0</v>
      </c>
      <c r="H460" s="104" t="str">
        <f t="shared" si="13"/>
        <v>0 tubes and 0 shuttles</v>
      </c>
      <c r="I460" s="36">
        <f t="shared" si="14"/>
        <v>0</v>
      </c>
      <c r="J460" s="103" t="str">
        <f t="shared" si="15"/>
        <v>0 tubes and 0 shuttles</v>
      </c>
    </row>
    <row r="461" spans="1:10" ht="12.5" x14ac:dyDescent="0.25">
      <c r="A461" s="32">
        <f>'Profit &amp; Loss'!A461</f>
        <v>0</v>
      </c>
      <c r="B461" s="35">
        <f>'Profit &amp; Loss'!B461</f>
        <v>0</v>
      </c>
      <c r="C461" s="36"/>
      <c r="D461" s="33"/>
      <c r="E461" s="102">
        <f t="shared" si="16"/>
        <v>0</v>
      </c>
      <c r="F461" s="103" t="str">
        <f t="shared" si="12"/>
        <v>0 tubes and 0 shuttles</v>
      </c>
      <c r="G461" s="36">
        <f t="shared" si="17"/>
        <v>0</v>
      </c>
      <c r="H461" s="104" t="str">
        <f t="shared" si="13"/>
        <v>0 tubes and 0 shuttles</v>
      </c>
      <c r="I461" s="36">
        <f t="shared" si="14"/>
        <v>0</v>
      </c>
      <c r="J461" s="103" t="str">
        <f t="shared" si="15"/>
        <v>0 tubes and 0 shuttles</v>
      </c>
    </row>
    <row r="462" spans="1:10" ht="12.5" x14ac:dyDescent="0.25">
      <c r="A462" s="32">
        <f>'Profit &amp; Loss'!A462</f>
        <v>0</v>
      </c>
      <c r="B462" s="35">
        <f>'Profit &amp; Loss'!B462</f>
        <v>0</v>
      </c>
      <c r="C462" s="36"/>
      <c r="D462" s="33"/>
      <c r="E462" s="102">
        <f t="shared" si="16"/>
        <v>0</v>
      </c>
      <c r="F462" s="103" t="str">
        <f t="shared" si="12"/>
        <v>0 tubes and 0 shuttles</v>
      </c>
      <c r="G462" s="36">
        <f t="shared" si="17"/>
        <v>0</v>
      </c>
      <c r="H462" s="104" t="str">
        <f t="shared" si="13"/>
        <v>0 tubes and 0 shuttles</v>
      </c>
      <c r="I462" s="36">
        <f t="shared" si="14"/>
        <v>0</v>
      </c>
      <c r="J462" s="103" t="str">
        <f t="shared" si="15"/>
        <v>0 tubes and 0 shuttles</v>
      </c>
    </row>
    <row r="463" spans="1:10" ht="12.5" x14ac:dyDescent="0.25">
      <c r="A463" s="32">
        <f>'Profit &amp; Loss'!A463</f>
        <v>0</v>
      </c>
      <c r="B463" s="35">
        <f>'Profit &amp; Loss'!B463</f>
        <v>0</v>
      </c>
      <c r="C463" s="36"/>
      <c r="D463" s="33"/>
      <c r="E463" s="102">
        <f t="shared" si="16"/>
        <v>0</v>
      </c>
      <c r="F463" s="103" t="str">
        <f t="shared" si="12"/>
        <v>0 tubes and 0 shuttles</v>
      </c>
      <c r="G463" s="36">
        <f t="shared" si="17"/>
        <v>0</v>
      </c>
      <c r="H463" s="104" t="str">
        <f t="shared" si="13"/>
        <v>0 tubes and 0 shuttles</v>
      </c>
      <c r="I463" s="36">
        <f t="shared" si="14"/>
        <v>0</v>
      </c>
      <c r="J463" s="103" t="str">
        <f t="shared" si="15"/>
        <v>0 tubes and 0 shuttles</v>
      </c>
    </row>
    <row r="464" spans="1:10" ht="12.5" x14ac:dyDescent="0.25">
      <c r="A464" s="32">
        <f>'Profit &amp; Loss'!A464</f>
        <v>0</v>
      </c>
      <c r="B464" s="35">
        <f>'Profit &amp; Loss'!B464</f>
        <v>0</v>
      </c>
      <c r="C464" s="36"/>
      <c r="D464" s="33"/>
      <c r="E464" s="102">
        <f t="shared" si="16"/>
        <v>0</v>
      </c>
      <c r="F464" s="103" t="str">
        <f t="shared" si="12"/>
        <v>0 tubes and 0 shuttles</v>
      </c>
      <c r="G464" s="36">
        <f t="shared" si="17"/>
        <v>0</v>
      </c>
      <c r="H464" s="104" t="str">
        <f t="shared" si="13"/>
        <v>0 tubes and 0 shuttles</v>
      </c>
      <c r="I464" s="36">
        <f t="shared" si="14"/>
        <v>0</v>
      </c>
      <c r="J464" s="103" t="str">
        <f t="shared" si="15"/>
        <v>0 tubes and 0 shuttles</v>
      </c>
    </row>
    <row r="465" spans="1:10" ht="12.5" x14ac:dyDescent="0.25">
      <c r="A465" s="32">
        <f>'Profit &amp; Loss'!A465</f>
        <v>0</v>
      </c>
      <c r="B465" s="35">
        <f>'Profit &amp; Loss'!B465</f>
        <v>0</v>
      </c>
      <c r="C465" s="36"/>
      <c r="D465" s="33"/>
      <c r="E465" s="102">
        <f t="shared" si="16"/>
        <v>0</v>
      </c>
      <c r="F465" s="103" t="str">
        <f t="shared" si="12"/>
        <v>0 tubes and 0 shuttles</v>
      </c>
      <c r="G465" s="36">
        <f t="shared" si="17"/>
        <v>0</v>
      </c>
      <c r="H465" s="104" t="str">
        <f t="shared" si="13"/>
        <v>0 tubes and 0 shuttles</v>
      </c>
      <c r="I465" s="36">
        <f t="shared" si="14"/>
        <v>0</v>
      </c>
      <c r="J465" s="103" t="str">
        <f t="shared" si="15"/>
        <v>0 tubes and 0 shuttles</v>
      </c>
    </row>
    <row r="466" spans="1:10" ht="12.5" x14ac:dyDescent="0.25">
      <c r="A466" s="32">
        <f>'Profit &amp; Loss'!A466</f>
        <v>0</v>
      </c>
      <c r="B466" s="35">
        <f>'Profit &amp; Loss'!B466</f>
        <v>0</v>
      </c>
      <c r="C466" s="36"/>
      <c r="D466" s="33"/>
      <c r="E466" s="102">
        <f t="shared" si="16"/>
        <v>0</v>
      </c>
      <c r="F466" s="103" t="str">
        <f t="shared" si="12"/>
        <v>0 tubes and 0 shuttles</v>
      </c>
      <c r="G466" s="36">
        <f t="shared" si="17"/>
        <v>0</v>
      </c>
      <c r="H466" s="104" t="str">
        <f t="shared" si="13"/>
        <v>0 tubes and 0 shuttles</v>
      </c>
      <c r="I466" s="36">
        <f t="shared" si="14"/>
        <v>0</v>
      </c>
      <c r="J466" s="103" t="str">
        <f t="shared" si="15"/>
        <v>0 tubes and 0 shuttles</v>
      </c>
    </row>
    <row r="467" spans="1:10" ht="12.5" x14ac:dyDescent="0.25">
      <c r="A467" s="32">
        <f>'Profit &amp; Loss'!A467</f>
        <v>0</v>
      </c>
      <c r="B467" s="35">
        <f>'Profit &amp; Loss'!B467</f>
        <v>0</v>
      </c>
      <c r="C467" s="36"/>
      <c r="D467" s="33"/>
      <c r="E467" s="102">
        <f t="shared" si="16"/>
        <v>0</v>
      </c>
      <c r="F467" s="103" t="str">
        <f t="shared" si="12"/>
        <v>0 tubes and 0 shuttles</v>
      </c>
      <c r="G467" s="36">
        <f t="shared" si="17"/>
        <v>0</v>
      </c>
      <c r="H467" s="104" t="str">
        <f t="shared" si="13"/>
        <v>0 tubes and 0 shuttles</v>
      </c>
      <c r="I467" s="36">
        <f t="shared" si="14"/>
        <v>0</v>
      </c>
      <c r="J467" s="103" t="str">
        <f t="shared" si="15"/>
        <v>0 tubes and 0 shuttles</v>
      </c>
    </row>
    <row r="468" spans="1:10" ht="12.5" x14ac:dyDescent="0.25">
      <c r="A468" s="32">
        <f>'Profit &amp; Loss'!A468</f>
        <v>0</v>
      </c>
      <c r="B468" s="35">
        <f>'Profit &amp; Loss'!B468</f>
        <v>0</v>
      </c>
      <c r="C468" s="36"/>
      <c r="D468" s="33"/>
      <c r="E468" s="102">
        <f t="shared" si="16"/>
        <v>0</v>
      </c>
      <c r="F468" s="103" t="str">
        <f t="shared" si="12"/>
        <v>0 tubes and 0 shuttles</v>
      </c>
      <c r="G468" s="36">
        <f t="shared" si="17"/>
        <v>0</v>
      </c>
      <c r="H468" s="104" t="str">
        <f t="shared" si="13"/>
        <v>0 tubes and 0 shuttles</v>
      </c>
      <c r="I468" s="36">
        <f t="shared" si="14"/>
        <v>0</v>
      </c>
      <c r="J468" s="103" t="str">
        <f t="shared" si="15"/>
        <v>0 tubes and 0 shuttles</v>
      </c>
    </row>
    <row r="469" spans="1:10" ht="12.5" x14ac:dyDescent="0.25">
      <c r="A469" s="32">
        <f>'Profit &amp; Loss'!A469</f>
        <v>0</v>
      </c>
      <c r="B469" s="35">
        <f>'Profit &amp; Loss'!B469</f>
        <v>0</v>
      </c>
      <c r="C469" s="36"/>
      <c r="D469" s="33"/>
      <c r="E469" s="102">
        <f t="shared" si="16"/>
        <v>0</v>
      </c>
      <c r="F469" s="103" t="str">
        <f t="shared" si="12"/>
        <v>0 tubes and 0 shuttles</v>
      </c>
      <c r="G469" s="36">
        <f t="shared" si="17"/>
        <v>0</v>
      </c>
      <c r="H469" s="104" t="str">
        <f t="shared" si="13"/>
        <v>0 tubes and 0 shuttles</v>
      </c>
      <c r="I469" s="36">
        <f t="shared" si="14"/>
        <v>0</v>
      </c>
      <c r="J469" s="103" t="str">
        <f t="shared" si="15"/>
        <v>0 tubes and 0 shuttles</v>
      </c>
    </row>
    <row r="470" spans="1:10" ht="12.5" x14ac:dyDescent="0.25">
      <c r="A470" s="32">
        <f>'Profit &amp; Loss'!A470</f>
        <v>0</v>
      </c>
      <c r="B470" s="35">
        <f>'Profit &amp; Loss'!B470</f>
        <v>0</v>
      </c>
      <c r="C470" s="36"/>
      <c r="D470" s="33"/>
      <c r="E470" s="102">
        <f t="shared" si="16"/>
        <v>0</v>
      </c>
      <c r="F470" s="103" t="str">
        <f t="shared" si="12"/>
        <v>0 tubes and 0 shuttles</v>
      </c>
      <c r="G470" s="36">
        <f t="shared" si="17"/>
        <v>0</v>
      </c>
      <c r="H470" s="104" t="str">
        <f t="shared" si="13"/>
        <v>0 tubes and 0 shuttles</v>
      </c>
      <c r="I470" s="36">
        <f t="shared" si="14"/>
        <v>0</v>
      </c>
      <c r="J470" s="103" t="str">
        <f t="shared" si="15"/>
        <v>0 tubes and 0 shuttles</v>
      </c>
    </row>
    <row r="471" spans="1:10" ht="12.5" x14ac:dyDescent="0.25">
      <c r="A471" s="32">
        <f>'Profit &amp; Loss'!A471</f>
        <v>0</v>
      </c>
      <c r="B471" s="35">
        <f>'Profit &amp; Loss'!B471</f>
        <v>0</v>
      </c>
      <c r="C471" s="36"/>
      <c r="D471" s="33"/>
      <c r="E471" s="102">
        <f t="shared" si="16"/>
        <v>0</v>
      </c>
      <c r="F471" s="103" t="str">
        <f t="shared" si="12"/>
        <v>0 tubes and 0 shuttles</v>
      </c>
      <c r="G471" s="36">
        <f t="shared" si="17"/>
        <v>0</v>
      </c>
      <c r="H471" s="104" t="str">
        <f t="shared" si="13"/>
        <v>0 tubes and 0 shuttles</v>
      </c>
      <c r="I471" s="36">
        <f t="shared" si="14"/>
        <v>0</v>
      </c>
      <c r="J471" s="103" t="str">
        <f t="shared" si="15"/>
        <v>0 tubes and 0 shuttles</v>
      </c>
    </row>
    <row r="472" spans="1:10" ht="12.5" x14ac:dyDescent="0.25">
      <c r="A472" s="32">
        <f>'Profit &amp; Loss'!A472</f>
        <v>0</v>
      </c>
      <c r="B472" s="35">
        <f>'Profit &amp; Loss'!B472</f>
        <v>0</v>
      </c>
      <c r="C472" s="36"/>
      <c r="D472" s="33"/>
      <c r="E472" s="102">
        <f t="shared" si="16"/>
        <v>0</v>
      </c>
      <c r="F472" s="103" t="str">
        <f t="shared" si="12"/>
        <v>0 tubes and 0 shuttles</v>
      </c>
      <c r="G472" s="36">
        <f t="shared" si="17"/>
        <v>0</v>
      </c>
      <c r="H472" s="104" t="str">
        <f t="shared" si="13"/>
        <v>0 tubes and 0 shuttles</v>
      </c>
      <c r="I472" s="36">
        <f t="shared" si="14"/>
        <v>0</v>
      </c>
      <c r="J472" s="103" t="str">
        <f t="shared" si="15"/>
        <v>0 tubes and 0 shuttles</v>
      </c>
    </row>
    <row r="473" spans="1:10" ht="12.5" x14ac:dyDescent="0.25">
      <c r="A473" s="32">
        <f>'Profit &amp; Loss'!A473</f>
        <v>0</v>
      </c>
      <c r="B473" s="35">
        <f>'Profit &amp; Loss'!B473</f>
        <v>0</v>
      </c>
      <c r="C473" s="36"/>
      <c r="D473" s="33"/>
      <c r="E473" s="102">
        <f t="shared" si="16"/>
        <v>0</v>
      </c>
      <c r="F473" s="103" t="str">
        <f t="shared" si="12"/>
        <v>0 tubes and 0 shuttles</v>
      </c>
      <c r="G473" s="36">
        <f t="shared" si="17"/>
        <v>0</v>
      </c>
      <c r="H473" s="104" t="str">
        <f t="shared" si="13"/>
        <v>0 tubes and 0 shuttles</v>
      </c>
      <c r="I473" s="36">
        <f t="shared" si="14"/>
        <v>0</v>
      </c>
      <c r="J473" s="103" t="str">
        <f t="shared" si="15"/>
        <v>0 tubes and 0 shuttles</v>
      </c>
    </row>
    <row r="474" spans="1:10" ht="12.5" x14ac:dyDescent="0.25">
      <c r="A474" s="32">
        <f>'Profit &amp; Loss'!A474</f>
        <v>0</v>
      </c>
      <c r="B474" s="35">
        <f>'Profit &amp; Loss'!B474</f>
        <v>0</v>
      </c>
      <c r="C474" s="36"/>
      <c r="D474" s="33"/>
      <c r="E474" s="102">
        <f t="shared" si="16"/>
        <v>0</v>
      </c>
      <c r="F474" s="103" t="str">
        <f t="shared" si="12"/>
        <v>0 tubes and 0 shuttles</v>
      </c>
      <c r="G474" s="36">
        <f t="shared" si="17"/>
        <v>0</v>
      </c>
      <c r="H474" s="104" t="str">
        <f t="shared" si="13"/>
        <v>0 tubes and 0 shuttles</v>
      </c>
      <c r="I474" s="36">
        <f t="shared" si="14"/>
        <v>0</v>
      </c>
      <c r="J474" s="103" t="str">
        <f t="shared" si="15"/>
        <v>0 tubes and 0 shuttles</v>
      </c>
    </row>
    <row r="475" spans="1:10" ht="12.5" x14ac:dyDescent="0.25">
      <c r="A475" s="32">
        <f>'Profit &amp; Loss'!A475</f>
        <v>0</v>
      </c>
      <c r="B475" s="35">
        <f>'Profit &amp; Loss'!B475</f>
        <v>0</v>
      </c>
      <c r="C475" s="36"/>
      <c r="D475" s="33"/>
      <c r="E475" s="102">
        <f t="shared" si="16"/>
        <v>0</v>
      </c>
      <c r="F475" s="103" t="str">
        <f t="shared" si="12"/>
        <v>0 tubes and 0 shuttles</v>
      </c>
      <c r="G475" s="36">
        <f t="shared" si="17"/>
        <v>0</v>
      </c>
      <c r="H475" s="104" t="str">
        <f t="shared" si="13"/>
        <v>0 tubes and 0 shuttles</v>
      </c>
      <c r="I475" s="36">
        <f t="shared" si="14"/>
        <v>0</v>
      </c>
      <c r="J475" s="103" t="str">
        <f t="shared" si="15"/>
        <v>0 tubes and 0 shuttles</v>
      </c>
    </row>
    <row r="476" spans="1:10" ht="12.5" x14ac:dyDescent="0.25">
      <c r="A476" s="32">
        <f>'Profit &amp; Loss'!A476</f>
        <v>0</v>
      </c>
      <c r="B476" s="35">
        <f>'Profit &amp; Loss'!B476</f>
        <v>0</v>
      </c>
      <c r="C476" s="36"/>
      <c r="D476" s="33"/>
      <c r="E476" s="102">
        <f t="shared" si="16"/>
        <v>0</v>
      </c>
      <c r="F476" s="103" t="str">
        <f t="shared" si="12"/>
        <v>0 tubes and 0 shuttles</v>
      </c>
      <c r="G476" s="36">
        <f t="shared" si="17"/>
        <v>0</v>
      </c>
      <c r="H476" s="104" t="str">
        <f t="shared" si="13"/>
        <v>0 tubes and 0 shuttles</v>
      </c>
      <c r="I476" s="36">
        <f t="shared" si="14"/>
        <v>0</v>
      </c>
      <c r="J476" s="103" t="str">
        <f t="shared" si="15"/>
        <v>0 tubes and 0 shuttles</v>
      </c>
    </row>
    <row r="477" spans="1:10" ht="12.5" x14ac:dyDescent="0.25">
      <c r="A477" s="32">
        <f>'Profit &amp; Loss'!A477</f>
        <v>0</v>
      </c>
      <c r="B477" s="35">
        <f>'Profit &amp; Loss'!B477</f>
        <v>0</v>
      </c>
      <c r="C477" s="36"/>
      <c r="D477" s="33"/>
      <c r="E477" s="102">
        <f t="shared" si="16"/>
        <v>0</v>
      </c>
      <c r="F477" s="103" t="str">
        <f t="shared" si="12"/>
        <v>0 tubes and 0 shuttles</v>
      </c>
      <c r="G477" s="36">
        <f t="shared" si="17"/>
        <v>0</v>
      </c>
      <c r="H477" s="104" t="str">
        <f t="shared" si="13"/>
        <v>0 tubes and 0 shuttles</v>
      </c>
      <c r="I477" s="36">
        <f t="shared" si="14"/>
        <v>0</v>
      </c>
      <c r="J477" s="103" t="str">
        <f t="shared" si="15"/>
        <v>0 tubes and 0 shuttles</v>
      </c>
    </row>
    <row r="478" spans="1:10" ht="12.5" x14ac:dyDescent="0.25">
      <c r="A478" s="32">
        <f>'Profit &amp; Loss'!A478</f>
        <v>0</v>
      </c>
      <c r="B478" s="35">
        <f>'Profit &amp; Loss'!B478</f>
        <v>0</v>
      </c>
      <c r="C478" s="36"/>
      <c r="D478" s="33"/>
      <c r="E478" s="102">
        <f t="shared" si="16"/>
        <v>0</v>
      </c>
      <c r="F478" s="103" t="str">
        <f t="shared" si="12"/>
        <v>0 tubes and 0 shuttles</v>
      </c>
      <c r="G478" s="36">
        <f t="shared" si="17"/>
        <v>0</v>
      </c>
      <c r="H478" s="104" t="str">
        <f t="shared" si="13"/>
        <v>0 tubes and 0 shuttles</v>
      </c>
      <c r="I478" s="36">
        <f t="shared" si="14"/>
        <v>0</v>
      </c>
      <c r="J478" s="103" t="str">
        <f t="shared" si="15"/>
        <v>0 tubes and 0 shuttles</v>
      </c>
    </row>
    <row r="479" spans="1:10" ht="12.5" x14ac:dyDescent="0.25">
      <c r="A479" s="32">
        <f>'Profit &amp; Loss'!A479</f>
        <v>0</v>
      </c>
      <c r="B479" s="35">
        <f>'Profit &amp; Loss'!B479</f>
        <v>0</v>
      </c>
      <c r="C479" s="36"/>
      <c r="D479" s="33"/>
      <c r="E479" s="102">
        <f t="shared" si="16"/>
        <v>0</v>
      </c>
      <c r="F479" s="103" t="str">
        <f t="shared" si="12"/>
        <v>0 tubes and 0 shuttles</v>
      </c>
      <c r="G479" s="36">
        <f t="shared" si="17"/>
        <v>0</v>
      </c>
      <c r="H479" s="104" t="str">
        <f t="shared" si="13"/>
        <v>0 tubes and 0 shuttles</v>
      </c>
      <c r="I479" s="36">
        <f t="shared" si="14"/>
        <v>0</v>
      </c>
      <c r="J479" s="103" t="str">
        <f t="shared" si="15"/>
        <v>0 tubes and 0 shuttles</v>
      </c>
    </row>
    <row r="480" spans="1:10" ht="12.5" x14ac:dyDescent="0.25">
      <c r="A480" s="32">
        <f>'Profit &amp; Loss'!A480</f>
        <v>0</v>
      </c>
      <c r="B480" s="35">
        <f>'Profit &amp; Loss'!B480</f>
        <v>0</v>
      </c>
      <c r="C480" s="36"/>
      <c r="D480" s="33"/>
      <c r="E480" s="102">
        <f t="shared" si="16"/>
        <v>0</v>
      </c>
      <c r="F480" s="103" t="str">
        <f t="shared" si="12"/>
        <v>0 tubes and 0 shuttles</v>
      </c>
      <c r="G480" s="36">
        <f t="shared" si="17"/>
        <v>0</v>
      </c>
      <c r="H480" s="104" t="str">
        <f t="shared" si="13"/>
        <v>0 tubes and 0 shuttles</v>
      </c>
      <c r="I480" s="36">
        <f t="shared" si="14"/>
        <v>0</v>
      </c>
      <c r="J480" s="103" t="str">
        <f t="shared" si="15"/>
        <v>0 tubes and 0 shuttles</v>
      </c>
    </row>
    <row r="481" spans="1:10" ht="12.5" x14ac:dyDescent="0.25">
      <c r="A481" s="32">
        <f>'Profit &amp; Loss'!A481</f>
        <v>0</v>
      </c>
      <c r="B481" s="35">
        <f>'Profit &amp; Loss'!B481</f>
        <v>0</v>
      </c>
      <c r="C481" s="36"/>
      <c r="D481" s="33"/>
      <c r="E481" s="102">
        <f t="shared" si="16"/>
        <v>0</v>
      </c>
      <c r="F481" s="103" t="str">
        <f t="shared" si="12"/>
        <v>0 tubes and 0 shuttles</v>
      </c>
      <c r="G481" s="36">
        <f t="shared" si="17"/>
        <v>0</v>
      </c>
      <c r="H481" s="104" t="str">
        <f t="shared" si="13"/>
        <v>0 tubes and 0 shuttles</v>
      </c>
      <c r="I481" s="36">
        <f t="shared" si="14"/>
        <v>0</v>
      </c>
      <c r="J481" s="103" t="str">
        <f t="shared" si="15"/>
        <v>0 tubes and 0 shuttles</v>
      </c>
    </row>
    <row r="482" spans="1:10" ht="12.5" x14ac:dyDescent="0.25">
      <c r="A482" s="32">
        <f>'Profit &amp; Loss'!A482</f>
        <v>0</v>
      </c>
      <c r="B482" s="35">
        <f>'Profit &amp; Loss'!B482</f>
        <v>0</v>
      </c>
      <c r="C482" s="36"/>
      <c r="D482" s="33"/>
      <c r="E482" s="102">
        <f t="shared" si="16"/>
        <v>0</v>
      </c>
      <c r="F482" s="103" t="str">
        <f t="shared" si="12"/>
        <v>0 tubes and 0 shuttles</v>
      </c>
      <c r="G482" s="36">
        <f t="shared" si="17"/>
        <v>0</v>
      </c>
      <c r="H482" s="104" t="str">
        <f t="shared" si="13"/>
        <v>0 tubes and 0 shuttles</v>
      </c>
      <c r="I482" s="36">
        <f t="shared" si="14"/>
        <v>0</v>
      </c>
      <c r="J482" s="103" t="str">
        <f t="shared" si="15"/>
        <v>0 tubes and 0 shuttles</v>
      </c>
    </row>
    <row r="483" spans="1:10" ht="12.5" x14ac:dyDescent="0.25">
      <c r="A483" s="32">
        <f>'Profit &amp; Loss'!A483</f>
        <v>0</v>
      </c>
      <c r="B483" s="35">
        <f>'Profit &amp; Loss'!B483</f>
        <v>0</v>
      </c>
      <c r="C483" s="36"/>
      <c r="D483" s="33"/>
      <c r="E483" s="102">
        <f t="shared" si="16"/>
        <v>0</v>
      </c>
      <c r="F483" s="103" t="str">
        <f t="shared" si="12"/>
        <v>0 tubes and 0 shuttles</v>
      </c>
      <c r="G483" s="36">
        <f t="shared" si="17"/>
        <v>0</v>
      </c>
      <c r="H483" s="104" t="str">
        <f t="shared" si="13"/>
        <v>0 tubes and 0 shuttles</v>
      </c>
      <c r="I483" s="36">
        <f t="shared" si="14"/>
        <v>0</v>
      </c>
      <c r="J483" s="103" t="str">
        <f t="shared" si="15"/>
        <v>0 tubes and 0 shuttles</v>
      </c>
    </row>
    <row r="484" spans="1:10" ht="12.5" x14ac:dyDescent="0.25">
      <c r="A484" s="32">
        <f>'Profit &amp; Loss'!A484</f>
        <v>0</v>
      </c>
      <c r="B484" s="35">
        <f>'Profit &amp; Loss'!B484</f>
        <v>0</v>
      </c>
      <c r="C484" s="36"/>
      <c r="D484" s="33"/>
      <c r="E484" s="102">
        <f t="shared" si="16"/>
        <v>0</v>
      </c>
      <c r="F484" s="103" t="str">
        <f t="shared" si="12"/>
        <v>0 tubes and 0 shuttles</v>
      </c>
      <c r="G484" s="36">
        <f t="shared" si="17"/>
        <v>0</v>
      </c>
      <c r="H484" s="104" t="str">
        <f t="shared" si="13"/>
        <v>0 tubes and 0 shuttles</v>
      </c>
      <c r="I484" s="36">
        <f t="shared" si="14"/>
        <v>0</v>
      </c>
      <c r="J484" s="103" t="str">
        <f t="shared" si="15"/>
        <v>0 tubes and 0 shuttles</v>
      </c>
    </row>
    <row r="485" spans="1:10" ht="12.5" x14ac:dyDescent="0.25">
      <c r="A485" s="32">
        <f>'Profit &amp; Loss'!A485</f>
        <v>0</v>
      </c>
      <c r="B485" s="35">
        <f>'Profit &amp; Loss'!B485</f>
        <v>0</v>
      </c>
      <c r="C485" s="36"/>
      <c r="D485" s="33"/>
      <c r="E485" s="102">
        <f t="shared" si="16"/>
        <v>0</v>
      </c>
      <c r="F485" s="103" t="str">
        <f t="shared" si="12"/>
        <v>0 tubes and 0 shuttles</v>
      </c>
      <c r="G485" s="36">
        <f t="shared" si="17"/>
        <v>0</v>
      </c>
      <c r="H485" s="104" t="str">
        <f t="shared" si="13"/>
        <v>0 tubes and 0 shuttles</v>
      </c>
      <c r="I485" s="36">
        <f t="shared" si="14"/>
        <v>0</v>
      </c>
      <c r="J485" s="103" t="str">
        <f t="shared" si="15"/>
        <v>0 tubes and 0 shuttles</v>
      </c>
    </row>
    <row r="486" spans="1:10" ht="12.5" x14ac:dyDescent="0.25">
      <c r="A486" s="32">
        <f>'Profit &amp; Loss'!A486</f>
        <v>0</v>
      </c>
      <c r="B486" s="35">
        <f>'Profit &amp; Loss'!B486</f>
        <v>0</v>
      </c>
      <c r="C486" s="36"/>
      <c r="D486" s="33"/>
      <c r="E486" s="102">
        <f t="shared" si="16"/>
        <v>0</v>
      </c>
      <c r="F486" s="103" t="str">
        <f t="shared" si="12"/>
        <v>0 tubes and 0 shuttles</v>
      </c>
      <c r="G486" s="36">
        <f t="shared" si="17"/>
        <v>0</v>
      </c>
      <c r="H486" s="104" t="str">
        <f t="shared" si="13"/>
        <v>0 tubes and 0 shuttles</v>
      </c>
      <c r="I486" s="36">
        <f t="shared" si="14"/>
        <v>0</v>
      </c>
      <c r="J486" s="103" t="str">
        <f t="shared" si="15"/>
        <v>0 tubes and 0 shuttles</v>
      </c>
    </row>
    <row r="487" spans="1:10" ht="12.5" x14ac:dyDescent="0.25">
      <c r="A487" s="32">
        <f>'Profit &amp; Loss'!A487</f>
        <v>0</v>
      </c>
      <c r="B487" s="35">
        <f>'Profit &amp; Loss'!B487</f>
        <v>0</v>
      </c>
      <c r="C487" s="36"/>
      <c r="D487" s="33"/>
      <c r="E487" s="102">
        <f t="shared" si="16"/>
        <v>0</v>
      </c>
      <c r="F487" s="103" t="str">
        <f t="shared" si="12"/>
        <v>0 tubes and 0 shuttles</v>
      </c>
      <c r="G487" s="36">
        <f t="shared" si="17"/>
        <v>0</v>
      </c>
      <c r="H487" s="104" t="str">
        <f t="shared" si="13"/>
        <v>0 tubes and 0 shuttles</v>
      </c>
      <c r="I487" s="36">
        <f t="shared" si="14"/>
        <v>0</v>
      </c>
      <c r="J487" s="103" t="str">
        <f t="shared" si="15"/>
        <v>0 tubes and 0 shuttles</v>
      </c>
    </row>
    <row r="488" spans="1:10" ht="12.5" x14ac:dyDescent="0.25">
      <c r="A488" s="32">
        <f>'Profit &amp; Loss'!A488</f>
        <v>0</v>
      </c>
      <c r="B488" s="35">
        <f>'Profit &amp; Loss'!B488</f>
        <v>0</v>
      </c>
      <c r="C488" s="36"/>
      <c r="D488" s="33"/>
      <c r="E488" s="102">
        <f t="shared" si="16"/>
        <v>0</v>
      </c>
      <c r="F488" s="103" t="str">
        <f t="shared" si="12"/>
        <v>0 tubes and 0 shuttles</v>
      </c>
      <c r="G488" s="36">
        <f t="shared" si="17"/>
        <v>0</v>
      </c>
      <c r="H488" s="104" t="str">
        <f t="shared" si="13"/>
        <v>0 tubes and 0 shuttles</v>
      </c>
      <c r="I488" s="36">
        <f t="shared" si="14"/>
        <v>0</v>
      </c>
      <c r="J488" s="103" t="str">
        <f t="shared" si="15"/>
        <v>0 tubes and 0 shuttles</v>
      </c>
    </row>
    <row r="489" spans="1:10" ht="12.5" x14ac:dyDescent="0.25">
      <c r="A489" s="32">
        <f>'Profit &amp; Loss'!A489</f>
        <v>0</v>
      </c>
      <c r="B489" s="35">
        <f>'Profit &amp; Loss'!B489</f>
        <v>0</v>
      </c>
      <c r="C489" s="36"/>
      <c r="D489" s="33"/>
      <c r="E489" s="102">
        <f t="shared" si="16"/>
        <v>0</v>
      </c>
      <c r="F489" s="103" t="str">
        <f t="shared" si="12"/>
        <v>0 tubes and 0 shuttles</v>
      </c>
      <c r="G489" s="36">
        <f t="shared" si="17"/>
        <v>0</v>
      </c>
      <c r="H489" s="104" t="str">
        <f t="shared" si="13"/>
        <v>0 tubes and 0 shuttles</v>
      </c>
      <c r="I489" s="36">
        <f t="shared" si="14"/>
        <v>0</v>
      </c>
      <c r="J489" s="103" t="str">
        <f t="shared" si="15"/>
        <v>0 tubes and 0 shuttles</v>
      </c>
    </row>
    <row r="490" spans="1:10" ht="12.5" x14ac:dyDescent="0.25">
      <c r="A490" s="32">
        <f>'Profit &amp; Loss'!A490</f>
        <v>0</v>
      </c>
      <c r="B490" s="35">
        <f>'Profit &amp; Loss'!B490</f>
        <v>0</v>
      </c>
      <c r="C490" s="36"/>
      <c r="D490" s="33"/>
      <c r="E490" s="102">
        <f t="shared" si="16"/>
        <v>0</v>
      </c>
      <c r="F490" s="103" t="str">
        <f t="shared" si="12"/>
        <v>0 tubes and 0 shuttles</v>
      </c>
      <c r="G490" s="36">
        <f t="shared" si="17"/>
        <v>0</v>
      </c>
      <c r="H490" s="104" t="str">
        <f t="shared" si="13"/>
        <v>0 tubes and 0 shuttles</v>
      </c>
      <c r="I490" s="36">
        <f t="shared" si="14"/>
        <v>0</v>
      </c>
      <c r="J490" s="103" t="str">
        <f t="shared" si="15"/>
        <v>0 tubes and 0 shuttles</v>
      </c>
    </row>
    <row r="491" spans="1:10" ht="12.5" x14ac:dyDescent="0.25">
      <c r="A491" s="32">
        <f>'Profit &amp; Loss'!A491</f>
        <v>0</v>
      </c>
      <c r="B491" s="35">
        <f>'Profit &amp; Loss'!B491</f>
        <v>0</v>
      </c>
      <c r="C491" s="36"/>
      <c r="D491" s="33"/>
      <c r="E491" s="102">
        <f t="shared" si="16"/>
        <v>0</v>
      </c>
      <c r="F491" s="103" t="str">
        <f t="shared" si="12"/>
        <v>0 tubes and 0 shuttles</v>
      </c>
      <c r="G491" s="36">
        <f t="shared" si="17"/>
        <v>0</v>
      </c>
      <c r="H491" s="104" t="str">
        <f t="shared" si="13"/>
        <v>0 tubes and 0 shuttles</v>
      </c>
      <c r="I491" s="36">
        <f t="shared" si="14"/>
        <v>0</v>
      </c>
      <c r="J491" s="103" t="str">
        <f t="shared" si="15"/>
        <v>0 tubes and 0 shuttles</v>
      </c>
    </row>
    <row r="492" spans="1:10" ht="12.5" x14ac:dyDescent="0.25">
      <c r="A492" s="32">
        <f>'Profit &amp; Loss'!A492</f>
        <v>0</v>
      </c>
      <c r="B492" s="35">
        <f>'Profit &amp; Loss'!B492</f>
        <v>0</v>
      </c>
      <c r="C492" s="36"/>
      <c r="D492" s="33"/>
      <c r="E492" s="102">
        <f t="shared" si="16"/>
        <v>0</v>
      </c>
      <c r="F492" s="103" t="str">
        <f t="shared" si="12"/>
        <v>0 tubes and 0 shuttles</v>
      </c>
      <c r="G492" s="36">
        <f t="shared" si="17"/>
        <v>0</v>
      </c>
      <c r="H492" s="104" t="str">
        <f t="shared" si="13"/>
        <v>0 tubes and 0 shuttles</v>
      </c>
      <c r="I492" s="36">
        <f t="shared" si="14"/>
        <v>0</v>
      </c>
      <c r="J492" s="103" t="str">
        <f t="shared" si="15"/>
        <v>0 tubes and 0 shuttles</v>
      </c>
    </row>
    <row r="493" spans="1:10" ht="12.5" x14ac:dyDescent="0.25">
      <c r="A493" s="32">
        <f>'Profit &amp; Loss'!A493</f>
        <v>0</v>
      </c>
      <c r="B493" s="35">
        <f>'Profit &amp; Loss'!B493</f>
        <v>0</v>
      </c>
      <c r="C493" s="36"/>
      <c r="D493" s="33"/>
      <c r="E493" s="102">
        <f t="shared" si="16"/>
        <v>0</v>
      </c>
      <c r="F493" s="103" t="str">
        <f t="shared" si="12"/>
        <v>0 tubes and 0 shuttles</v>
      </c>
      <c r="G493" s="36">
        <f t="shared" si="17"/>
        <v>0</v>
      </c>
      <c r="H493" s="104" t="str">
        <f t="shared" si="13"/>
        <v>0 tubes and 0 shuttles</v>
      </c>
      <c r="I493" s="36">
        <f t="shared" si="14"/>
        <v>0</v>
      </c>
      <c r="J493" s="103" t="str">
        <f t="shared" si="15"/>
        <v>0 tubes and 0 shuttles</v>
      </c>
    </row>
    <row r="494" spans="1:10" ht="12.5" x14ac:dyDescent="0.25">
      <c r="A494" s="32">
        <f>'Profit &amp; Loss'!A494</f>
        <v>0</v>
      </c>
      <c r="B494" s="35">
        <f>'Profit &amp; Loss'!B494</f>
        <v>0</v>
      </c>
      <c r="C494" s="36"/>
      <c r="D494" s="33"/>
      <c r="E494" s="102">
        <f t="shared" si="16"/>
        <v>0</v>
      </c>
      <c r="F494" s="103" t="str">
        <f t="shared" si="12"/>
        <v>0 tubes and 0 shuttles</v>
      </c>
      <c r="G494" s="36">
        <f t="shared" si="17"/>
        <v>0</v>
      </c>
      <c r="H494" s="104" t="str">
        <f t="shared" si="13"/>
        <v>0 tubes and 0 shuttles</v>
      </c>
      <c r="I494" s="36">
        <f t="shared" si="14"/>
        <v>0</v>
      </c>
      <c r="J494" s="103" t="str">
        <f t="shared" si="15"/>
        <v>0 tubes and 0 shuttles</v>
      </c>
    </row>
    <row r="495" spans="1:10" ht="12.5" x14ac:dyDescent="0.25">
      <c r="A495" s="32">
        <f>'Profit &amp; Loss'!A495</f>
        <v>0</v>
      </c>
      <c r="B495" s="35">
        <f>'Profit &amp; Loss'!B495</f>
        <v>0</v>
      </c>
      <c r="C495" s="36"/>
      <c r="D495" s="33"/>
      <c r="E495" s="102">
        <f t="shared" si="16"/>
        <v>0</v>
      </c>
      <c r="F495" s="103" t="str">
        <f t="shared" si="12"/>
        <v>0 tubes and 0 shuttles</v>
      </c>
      <c r="G495" s="36">
        <f t="shared" si="17"/>
        <v>0</v>
      </c>
      <c r="H495" s="104" t="str">
        <f t="shared" si="13"/>
        <v>0 tubes and 0 shuttles</v>
      </c>
      <c r="I495" s="36">
        <f t="shared" si="14"/>
        <v>0</v>
      </c>
      <c r="J495" s="103" t="str">
        <f t="shared" si="15"/>
        <v>0 tubes and 0 shuttles</v>
      </c>
    </row>
    <row r="496" spans="1:10" ht="12.5" x14ac:dyDescent="0.25">
      <c r="A496" s="32">
        <f>'Profit &amp; Loss'!A496</f>
        <v>0</v>
      </c>
      <c r="B496" s="35">
        <f>'Profit &amp; Loss'!B496</f>
        <v>0</v>
      </c>
      <c r="C496" s="36"/>
      <c r="D496" s="33"/>
      <c r="E496" s="102">
        <f t="shared" si="16"/>
        <v>0</v>
      </c>
      <c r="F496" s="103" t="str">
        <f t="shared" si="12"/>
        <v>0 tubes and 0 shuttles</v>
      </c>
      <c r="G496" s="36">
        <f t="shared" si="17"/>
        <v>0</v>
      </c>
      <c r="H496" s="104" t="str">
        <f t="shared" si="13"/>
        <v>0 tubes and 0 shuttles</v>
      </c>
      <c r="I496" s="36">
        <f t="shared" si="14"/>
        <v>0</v>
      </c>
      <c r="J496" s="103" t="str">
        <f t="shared" si="15"/>
        <v>0 tubes and 0 shuttles</v>
      </c>
    </row>
    <row r="497" spans="1:10" ht="12.5" x14ac:dyDescent="0.25">
      <c r="A497" s="32">
        <f>'Profit &amp; Loss'!A497</f>
        <v>0</v>
      </c>
      <c r="B497" s="35">
        <f>'Profit &amp; Loss'!B497</f>
        <v>0</v>
      </c>
      <c r="C497" s="36"/>
      <c r="D497" s="33"/>
      <c r="E497" s="102">
        <f t="shared" si="16"/>
        <v>0</v>
      </c>
      <c r="F497" s="103" t="str">
        <f t="shared" si="12"/>
        <v>0 tubes and 0 shuttles</v>
      </c>
      <c r="G497" s="36">
        <f t="shared" si="17"/>
        <v>0</v>
      </c>
      <c r="H497" s="104" t="str">
        <f t="shared" si="13"/>
        <v>0 tubes and 0 shuttles</v>
      </c>
      <c r="I497" s="36">
        <f t="shared" si="14"/>
        <v>0</v>
      </c>
      <c r="J497" s="103" t="str">
        <f t="shared" si="15"/>
        <v>0 tubes and 0 shuttles</v>
      </c>
    </row>
    <row r="498" spans="1:10" ht="12.5" x14ac:dyDescent="0.25">
      <c r="A498" s="32">
        <f>'Profit &amp; Loss'!A498</f>
        <v>0</v>
      </c>
      <c r="B498" s="35">
        <f>'Profit &amp; Loss'!B498</f>
        <v>0</v>
      </c>
      <c r="C498" s="36"/>
      <c r="D498" s="33"/>
      <c r="E498" s="102">
        <f t="shared" si="16"/>
        <v>0</v>
      </c>
      <c r="F498" s="103" t="str">
        <f t="shared" si="12"/>
        <v>0 tubes and 0 shuttles</v>
      </c>
      <c r="G498" s="36">
        <f t="shared" si="17"/>
        <v>0</v>
      </c>
      <c r="H498" s="104" t="str">
        <f t="shared" si="13"/>
        <v>0 tubes and 0 shuttles</v>
      </c>
      <c r="I498" s="36">
        <f t="shared" si="14"/>
        <v>0</v>
      </c>
      <c r="J498" s="103" t="str">
        <f t="shared" si="15"/>
        <v>0 tubes and 0 shuttles</v>
      </c>
    </row>
    <row r="499" spans="1:10" ht="12.5" x14ac:dyDescent="0.25">
      <c r="A499" s="32">
        <f>'Profit &amp; Loss'!A499</f>
        <v>0</v>
      </c>
      <c r="B499" s="35">
        <f>'Profit &amp; Loss'!B499</f>
        <v>0</v>
      </c>
      <c r="C499" s="36"/>
      <c r="D499" s="33"/>
      <c r="E499" s="102">
        <f t="shared" si="16"/>
        <v>0</v>
      </c>
      <c r="F499" s="103" t="str">
        <f t="shared" si="12"/>
        <v>0 tubes and 0 shuttles</v>
      </c>
      <c r="G499" s="36">
        <f t="shared" si="17"/>
        <v>0</v>
      </c>
      <c r="H499" s="104" t="str">
        <f t="shared" si="13"/>
        <v>0 tubes and 0 shuttles</v>
      </c>
      <c r="I499" s="36">
        <f t="shared" si="14"/>
        <v>0</v>
      </c>
      <c r="J499" s="103" t="str">
        <f t="shared" si="15"/>
        <v>0 tubes and 0 shuttles</v>
      </c>
    </row>
    <row r="500" spans="1:10" ht="12.5" x14ac:dyDescent="0.25">
      <c r="A500" s="32">
        <f>'Profit &amp; Loss'!A500</f>
        <v>0</v>
      </c>
      <c r="B500" s="35">
        <f>'Profit &amp; Loss'!B500</f>
        <v>0</v>
      </c>
      <c r="C500" s="36"/>
      <c r="D500" s="33"/>
      <c r="E500" s="102">
        <f t="shared" si="16"/>
        <v>0</v>
      </c>
      <c r="F500" s="103" t="str">
        <f t="shared" si="12"/>
        <v>0 tubes and 0 shuttles</v>
      </c>
      <c r="G500" s="36">
        <f t="shared" si="17"/>
        <v>0</v>
      </c>
      <c r="H500" s="104" t="str">
        <f t="shared" si="13"/>
        <v>0 tubes and 0 shuttles</v>
      </c>
      <c r="I500" s="36">
        <f t="shared" si="14"/>
        <v>0</v>
      </c>
      <c r="J500" s="103" t="str">
        <f t="shared" si="15"/>
        <v>0 tubes and 0 shuttles</v>
      </c>
    </row>
    <row r="501" spans="1:10" ht="12.5" x14ac:dyDescent="0.25">
      <c r="A501" s="32">
        <f>'Profit &amp; Loss'!A501</f>
        <v>0</v>
      </c>
      <c r="B501" s="35">
        <f>'Profit &amp; Loss'!B501</f>
        <v>0</v>
      </c>
      <c r="C501" s="36"/>
      <c r="D501" s="33"/>
      <c r="E501" s="102">
        <f t="shared" si="16"/>
        <v>0</v>
      </c>
      <c r="F501" s="103" t="str">
        <f t="shared" si="12"/>
        <v>0 tubes and 0 shuttles</v>
      </c>
      <c r="G501" s="36">
        <f t="shared" si="17"/>
        <v>0</v>
      </c>
      <c r="H501" s="104" t="str">
        <f t="shared" si="13"/>
        <v>0 tubes and 0 shuttles</v>
      </c>
      <c r="I501" s="36">
        <f t="shared" si="14"/>
        <v>0</v>
      </c>
      <c r="J501" s="103" t="str">
        <f t="shared" si="15"/>
        <v>0 tubes and 0 shuttles</v>
      </c>
    </row>
    <row r="502" spans="1:10" ht="12.5" x14ac:dyDescent="0.25">
      <c r="A502" s="32">
        <f>'Profit &amp; Loss'!A502</f>
        <v>0</v>
      </c>
      <c r="B502" s="35">
        <f>'Profit &amp; Loss'!B502</f>
        <v>0</v>
      </c>
      <c r="C502" s="36"/>
      <c r="D502" s="33"/>
      <c r="E502" s="102">
        <f t="shared" si="16"/>
        <v>0</v>
      </c>
      <c r="F502" s="103" t="str">
        <f t="shared" si="12"/>
        <v>0 tubes and 0 shuttles</v>
      </c>
      <c r="G502" s="36">
        <f t="shared" si="17"/>
        <v>0</v>
      </c>
      <c r="H502" s="104" t="str">
        <f t="shared" si="13"/>
        <v>0 tubes and 0 shuttles</v>
      </c>
      <c r="I502" s="36">
        <f t="shared" si="14"/>
        <v>0</v>
      </c>
      <c r="J502" s="103" t="str">
        <f t="shared" si="15"/>
        <v>0 tubes and 0 shuttles</v>
      </c>
    </row>
    <row r="503" spans="1:10" ht="12.5" x14ac:dyDescent="0.25">
      <c r="A503" s="32">
        <f>'Profit &amp; Loss'!A503</f>
        <v>0</v>
      </c>
      <c r="B503" s="35">
        <f>'Profit &amp; Loss'!B503</f>
        <v>0</v>
      </c>
      <c r="C503" s="36"/>
      <c r="D503" s="33"/>
      <c r="E503" s="102">
        <f t="shared" si="16"/>
        <v>0</v>
      </c>
      <c r="F503" s="103" t="str">
        <f t="shared" si="12"/>
        <v>0 tubes and 0 shuttles</v>
      </c>
      <c r="G503" s="36">
        <f t="shared" si="17"/>
        <v>0</v>
      </c>
      <c r="H503" s="104" t="str">
        <f t="shared" si="13"/>
        <v>0 tubes and 0 shuttles</v>
      </c>
      <c r="I503" s="36">
        <f t="shared" si="14"/>
        <v>0</v>
      </c>
      <c r="J503" s="103" t="str">
        <f t="shared" si="15"/>
        <v>0 tubes and 0 shuttles</v>
      </c>
    </row>
    <row r="504" spans="1:10" ht="12.5" x14ac:dyDescent="0.25">
      <c r="A504" s="32">
        <f>'Profit &amp; Loss'!A504</f>
        <v>0</v>
      </c>
      <c r="B504" s="35">
        <f>'Profit &amp; Loss'!B504</f>
        <v>0</v>
      </c>
      <c r="C504" s="36"/>
      <c r="D504" s="33"/>
      <c r="E504" s="102">
        <f t="shared" si="16"/>
        <v>0</v>
      </c>
      <c r="F504" s="103" t="str">
        <f t="shared" si="12"/>
        <v>0 tubes and 0 shuttles</v>
      </c>
      <c r="G504" s="36">
        <f t="shared" si="17"/>
        <v>0</v>
      </c>
      <c r="H504" s="104" t="str">
        <f t="shared" si="13"/>
        <v>0 tubes and 0 shuttles</v>
      </c>
      <c r="I504" s="36">
        <f t="shared" si="14"/>
        <v>0</v>
      </c>
      <c r="J504" s="103" t="str">
        <f t="shared" si="15"/>
        <v>0 tubes and 0 shuttles</v>
      </c>
    </row>
    <row r="505" spans="1:10" ht="12.5" x14ac:dyDescent="0.25">
      <c r="A505" s="32">
        <f>'Profit &amp; Loss'!A505</f>
        <v>0</v>
      </c>
      <c r="B505" s="35">
        <f>'Profit &amp; Loss'!B505</f>
        <v>0</v>
      </c>
      <c r="C505" s="36"/>
      <c r="D505" s="33"/>
      <c r="E505" s="102">
        <f t="shared" si="16"/>
        <v>0</v>
      </c>
      <c r="F505" s="103" t="str">
        <f t="shared" si="12"/>
        <v>0 tubes and 0 shuttles</v>
      </c>
      <c r="G505" s="36">
        <f t="shared" si="17"/>
        <v>0</v>
      </c>
      <c r="H505" s="104" t="str">
        <f t="shared" si="13"/>
        <v>0 tubes and 0 shuttles</v>
      </c>
      <c r="I505" s="36">
        <f t="shared" si="14"/>
        <v>0</v>
      </c>
      <c r="J505" s="103" t="str">
        <f t="shared" si="15"/>
        <v>0 tubes and 0 shuttles</v>
      </c>
    </row>
    <row r="506" spans="1:10" ht="12.5" x14ac:dyDescent="0.25">
      <c r="A506" s="32">
        <f>'Profit &amp; Loss'!A506</f>
        <v>0</v>
      </c>
      <c r="B506" s="35">
        <f>'Profit &amp; Loss'!B506</f>
        <v>0</v>
      </c>
      <c r="C506" s="36"/>
      <c r="D506" s="33"/>
      <c r="E506" s="102">
        <f t="shared" si="16"/>
        <v>0</v>
      </c>
      <c r="F506" s="103" t="str">
        <f t="shared" si="12"/>
        <v>0 tubes and 0 shuttles</v>
      </c>
      <c r="G506" s="36">
        <f t="shared" si="17"/>
        <v>0</v>
      </c>
      <c r="H506" s="104" t="str">
        <f t="shared" si="13"/>
        <v>0 tubes and 0 shuttles</v>
      </c>
      <c r="I506" s="36">
        <f t="shared" si="14"/>
        <v>0</v>
      </c>
      <c r="J506" s="103" t="str">
        <f t="shared" si="15"/>
        <v>0 tubes and 0 shuttles</v>
      </c>
    </row>
    <row r="507" spans="1:10" ht="12.5" x14ac:dyDescent="0.25">
      <c r="A507" s="32">
        <f>'Profit &amp; Loss'!A507</f>
        <v>0</v>
      </c>
      <c r="B507" s="35">
        <f>'Profit &amp; Loss'!B507</f>
        <v>0</v>
      </c>
      <c r="C507" s="36"/>
      <c r="D507" s="33"/>
      <c r="E507" s="102">
        <f t="shared" si="16"/>
        <v>0</v>
      </c>
      <c r="F507" s="103" t="str">
        <f t="shared" si="12"/>
        <v>0 tubes and 0 shuttles</v>
      </c>
      <c r="G507" s="36">
        <f t="shared" si="17"/>
        <v>0</v>
      </c>
      <c r="H507" s="104" t="str">
        <f t="shared" si="13"/>
        <v>0 tubes and 0 shuttles</v>
      </c>
      <c r="I507" s="36">
        <f t="shared" si="14"/>
        <v>0</v>
      </c>
      <c r="J507" s="103" t="str">
        <f t="shared" si="15"/>
        <v>0 tubes and 0 shuttles</v>
      </c>
    </row>
    <row r="508" spans="1:10" ht="12.5" x14ac:dyDescent="0.25">
      <c r="A508" s="32">
        <f>'Profit &amp; Loss'!A508</f>
        <v>0</v>
      </c>
      <c r="B508" s="35">
        <f>'Profit &amp; Loss'!B508</f>
        <v>0</v>
      </c>
      <c r="C508" s="36"/>
      <c r="D508" s="33"/>
      <c r="E508" s="102">
        <f t="shared" si="16"/>
        <v>0</v>
      </c>
      <c r="F508" s="103" t="str">
        <f t="shared" si="12"/>
        <v>0 tubes and 0 shuttles</v>
      </c>
      <c r="G508" s="36">
        <f t="shared" si="17"/>
        <v>0</v>
      </c>
      <c r="H508" s="104" t="str">
        <f t="shared" si="13"/>
        <v>0 tubes and 0 shuttles</v>
      </c>
      <c r="I508" s="36">
        <f t="shared" si="14"/>
        <v>0</v>
      </c>
      <c r="J508" s="103" t="str">
        <f t="shared" si="15"/>
        <v>0 tubes and 0 shuttles</v>
      </c>
    </row>
    <row r="509" spans="1:10" ht="12.5" x14ac:dyDescent="0.25">
      <c r="A509" s="32">
        <f>'Profit &amp; Loss'!A509</f>
        <v>0</v>
      </c>
      <c r="B509" s="35">
        <f>'Profit &amp; Loss'!B509</f>
        <v>0</v>
      </c>
      <c r="C509" s="36"/>
      <c r="D509" s="33"/>
      <c r="E509" s="102">
        <f t="shared" si="16"/>
        <v>0</v>
      </c>
      <c r="F509" s="103" t="str">
        <f t="shared" si="12"/>
        <v>0 tubes and 0 shuttles</v>
      </c>
      <c r="G509" s="36">
        <f t="shared" si="17"/>
        <v>0</v>
      </c>
      <c r="H509" s="104" t="str">
        <f t="shared" si="13"/>
        <v>0 tubes and 0 shuttles</v>
      </c>
      <c r="I509" s="36">
        <f t="shared" si="14"/>
        <v>0</v>
      </c>
      <c r="J509" s="103" t="str">
        <f t="shared" si="15"/>
        <v>0 tubes and 0 shuttles</v>
      </c>
    </row>
    <row r="510" spans="1:10" ht="12.5" x14ac:dyDescent="0.25">
      <c r="A510" s="32">
        <f>'Profit &amp; Loss'!A510</f>
        <v>0</v>
      </c>
      <c r="B510" s="35">
        <f>'Profit &amp; Loss'!B510</f>
        <v>0</v>
      </c>
      <c r="C510" s="36"/>
      <c r="D510" s="33"/>
      <c r="E510" s="102">
        <f t="shared" si="16"/>
        <v>0</v>
      </c>
      <c r="F510" s="103" t="str">
        <f t="shared" si="12"/>
        <v>0 tubes and 0 shuttles</v>
      </c>
      <c r="G510" s="36">
        <f t="shared" si="17"/>
        <v>0</v>
      </c>
      <c r="H510" s="104" t="str">
        <f t="shared" si="13"/>
        <v>0 tubes and 0 shuttles</v>
      </c>
      <c r="I510" s="36">
        <f t="shared" si="14"/>
        <v>0</v>
      </c>
      <c r="J510" s="103" t="str">
        <f t="shared" si="15"/>
        <v>0 tubes and 0 shuttles</v>
      </c>
    </row>
    <row r="511" spans="1:10" ht="12.5" x14ac:dyDescent="0.25">
      <c r="A511" s="32">
        <f>'Profit &amp; Loss'!A511</f>
        <v>0</v>
      </c>
      <c r="B511" s="35">
        <f>'Profit &amp; Loss'!B511</f>
        <v>0</v>
      </c>
      <c r="C511" s="36"/>
      <c r="D511" s="33"/>
      <c r="E511" s="102">
        <f t="shared" si="16"/>
        <v>0</v>
      </c>
      <c r="F511" s="103" t="str">
        <f t="shared" si="12"/>
        <v>0 tubes and 0 shuttles</v>
      </c>
      <c r="G511" s="36">
        <f t="shared" si="17"/>
        <v>0</v>
      </c>
      <c r="H511" s="104" t="str">
        <f t="shared" si="13"/>
        <v>0 tubes and 0 shuttles</v>
      </c>
      <c r="I511" s="36">
        <f t="shared" si="14"/>
        <v>0</v>
      </c>
      <c r="J511" s="103" t="str">
        <f t="shared" si="15"/>
        <v>0 tubes and 0 shuttles</v>
      </c>
    </row>
    <row r="512" spans="1:10" ht="12.5" x14ac:dyDescent="0.25">
      <c r="A512" s="32">
        <f>'Profit &amp; Loss'!A512</f>
        <v>0</v>
      </c>
      <c r="B512" s="35">
        <f>'Profit &amp; Loss'!B512</f>
        <v>0</v>
      </c>
      <c r="C512" s="36"/>
      <c r="D512" s="33"/>
      <c r="E512" s="102">
        <f t="shared" si="16"/>
        <v>0</v>
      </c>
      <c r="F512" s="103" t="str">
        <f t="shared" si="12"/>
        <v>0 tubes and 0 shuttles</v>
      </c>
      <c r="G512" s="36">
        <f t="shared" si="17"/>
        <v>0</v>
      </c>
      <c r="H512" s="104" t="str">
        <f t="shared" si="13"/>
        <v>0 tubes and 0 shuttles</v>
      </c>
      <c r="I512" s="36">
        <f t="shared" si="14"/>
        <v>0</v>
      </c>
      <c r="J512" s="103" t="str">
        <f t="shared" si="15"/>
        <v>0 tubes and 0 shuttles</v>
      </c>
    </row>
    <row r="513" spans="1:10" ht="12.5" x14ac:dyDescent="0.25">
      <c r="A513" s="32">
        <f>'Profit &amp; Loss'!A513</f>
        <v>0</v>
      </c>
      <c r="B513" s="35">
        <f>'Profit &amp; Loss'!B513</f>
        <v>0</v>
      </c>
      <c r="C513" s="36"/>
      <c r="D513" s="33"/>
      <c r="E513" s="102">
        <f t="shared" si="16"/>
        <v>0</v>
      </c>
      <c r="F513" s="103" t="str">
        <f t="shared" si="12"/>
        <v>0 tubes and 0 shuttles</v>
      </c>
      <c r="G513" s="36">
        <f t="shared" si="17"/>
        <v>0</v>
      </c>
      <c r="H513" s="104" t="str">
        <f t="shared" si="13"/>
        <v>0 tubes and 0 shuttles</v>
      </c>
      <c r="I513" s="36">
        <f t="shared" si="14"/>
        <v>0</v>
      </c>
      <c r="J513" s="103" t="str">
        <f t="shared" si="15"/>
        <v>0 tubes and 0 shuttles</v>
      </c>
    </row>
    <row r="514" spans="1:10" ht="12.5" x14ac:dyDescent="0.25">
      <c r="A514" s="32">
        <f>'Profit &amp; Loss'!A514</f>
        <v>0</v>
      </c>
      <c r="B514" s="35">
        <f>'Profit &amp; Loss'!B514</f>
        <v>0</v>
      </c>
      <c r="C514" s="36"/>
      <c r="D514" s="33"/>
      <c r="E514" s="102">
        <f t="shared" si="16"/>
        <v>0</v>
      </c>
      <c r="F514" s="103" t="str">
        <f t="shared" si="12"/>
        <v>0 tubes and 0 shuttles</v>
      </c>
      <c r="G514" s="36">
        <f t="shared" si="17"/>
        <v>0</v>
      </c>
      <c r="H514" s="104" t="str">
        <f t="shared" si="13"/>
        <v>0 tubes and 0 shuttles</v>
      </c>
      <c r="I514" s="36">
        <f t="shared" si="14"/>
        <v>0</v>
      </c>
      <c r="J514" s="103" t="str">
        <f t="shared" si="15"/>
        <v>0 tubes and 0 shuttles</v>
      </c>
    </row>
    <row r="515" spans="1:10" ht="12.5" x14ac:dyDescent="0.25">
      <c r="A515" s="32">
        <f>'Profit &amp; Loss'!A515</f>
        <v>0</v>
      </c>
      <c r="B515" s="35">
        <f>'Profit &amp; Loss'!B515</f>
        <v>0</v>
      </c>
      <c r="C515" s="36"/>
      <c r="D515" s="33"/>
      <c r="E515" s="102">
        <f t="shared" si="16"/>
        <v>0</v>
      </c>
      <c r="F515" s="103" t="str">
        <f t="shared" si="12"/>
        <v>0 tubes and 0 shuttles</v>
      </c>
      <c r="G515" s="36">
        <f t="shared" si="17"/>
        <v>0</v>
      </c>
      <c r="H515" s="104" t="str">
        <f t="shared" si="13"/>
        <v>0 tubes and 0 shuttles</v>
      </c>
      <c r="I515" s="36">
        <f t="shared" si="14"/>
        <v>0</v>
      </c>
      <c r="J515" s="103" t="str">
        <f t="shared" si="15"/>
        <v>0 tubes and 0 shuttles</v>
      </c>
    </row>
    <row r="516" spans="1:10" ht="12.5" x14ac:dyDescent="0.25">
      <c r="A516" s="32">
        <f>'Profit &amp; Loss'!A516</f>
        <v>0</v>
      </c>
      <c r="B516" s="35">
        <f>'Profit &amp; Loss'!B516</f>
        <v>0</v>
      </c>
      <c r="C516" s="36"/>
      <c r="D516" s="33"/>
      <c r="E516" s="102">
        <f t="shared" si="16"/>
        <v>0</v>
      </c>
      <c r="F516" s="103" t="str">
        <f t="shared" ref="F516:F770" si="18">QUOTIENT(E516,12) &amp; " tubes and " &amp; MOD(E516,12) &amp; " shuttles"</f>
        <v>0 tubes and 0 shuttles</v>
      </c>
      <c r="G516" s="36">
        <f t="shared" si="17"/>
        <v>0</v>
      </c>
      <c r="H516" s="104" t="str">
        <f t="shared" ref="H516:H770" si="19">QUOTIENT(G516,12) &amp; " tubes and " &amp; MOD(G516,12) &amp; " shuttles"</f>
        <v>0 tubes and 0 shuttles</v>
      </c>
      <c r="I516" s="36">
        <f t="shared" ref="I516:I770" si="20">SUM(E516:H516)</f>
        <v>0</v>
      </c>
      <c r="J516" s="103" t="str">
        <f t="shared" ref="J516:J770" si="21">QUOTIENT(I516,12) &amp; " tubes and " &amp; MOD(I516,12) &amp; " shuttles"</f>
        <v>0 tubes and 0 shuttles</v>
      </c>
    </row>
    <row r="517" spans="1:10" ht="12.5" x14ac:dyDescent="0.25">
      <c r="A517" s="32">
        <f>'Profit &amp; Loss'!A517</f>
        <v>0</v>
      </c>
      <c r="B517" s="35">
        <f>'Profit &amp; Loss'!B517</f>
        <v>0</v>
      </c>
      <c r="C517" s="36"/>
      <c r="D517" s="33"/>
      <c r="E517" s="102">
        <f t="shared" si="16"/>
        <v>0</v>
      </c>
      <c r="F517" s="103" t="str">
        <f t="shared" si="18"/>
        <v>0 tubes and 0 shuttles</v>
      </c>
      <c r="G517" s="36">
        <f t="shared" si="17"/>
        <v>0</v>
      </c>
      <c r="H517" s="104" t="str">
        <f t="shared" si="19"/>
        <v>0 tubes and 0 shuttles</v>
      </c>
      <c r="I517" s="36">
        <f t="shared" si="20"/>
        <v>0</v>
      </c>
      <c r="J517" s="103" t="str">
        <f t="shared" si="21"/>
        <v>0 tubes and 0 shuttles</v>
      </c>
    </row>
    <row r="518" spans="1:10" ht="12.5" x14ac:dyDescent="0.25">
      <c r="A518" s="32">
        <f>'Profit &amp; Loss'!A518</f>
        <v>0</v>
      </c>
      <c r="B518" s="35">
        <f>'Profit &amp; Loss'!B518</f>
        <v>0</v>
      </c>
      <c r="C518" s="36"/>
      <c r="D518" s="33"/>
      <c r="E518" s="102">
        <f t="shared" si="16"/>
        <v>0</v>
      </c>
      <c r="F518" s="103" t="str">
        <f t="shared" si="18"/>
        <v>0 tubes and 0 shuttles</v>
      </c>
      <c r="G518" s="36">
        <f t="shared" si="17"/>
        <v>0</v>
      </c>
      <c r="H518" s="104" t="str">
        <f t="shared" si="19"/>
        <v>0 tubes and 0 shuttles</v>
      </c>
      <c r="I518" s="36">
        <f t="shared" si="20"/>
        <v>0</v>
      </c>
      <c r="J518" s="103" t="str">
        <f t="shared" si="21"/>
        <v>0 tubes and 0 shuttles</v>
      </c>
    </row>
    <row r="519" spans="1:10" ht="12.5" x14ac:dyDescent="0.25">
      <c r="A519" s="32">
        <f>'Profit &amp; Loss'!A519</f>
        <v>0</v>
      </c>
      <c r="B519" s="35">
        <f>'Profit &amp; Loss'!B519</f>
        <v>0</v>
      </c>
      <c r="C519" s="36"/>
      <c r="D519" s="33"/>
      <c r="E519" s="102">
        <f t="shared" si="16"/>
        <v>0</v>
      </c>
      <c r="F519" s="103" t="str">
        <f t="shared" si="18"/>
        <v>0 tubes and 0 shuttles</v>
      </c>
      <c r="G519" s="36">
        <f t="shared" si="17"/>
        <v>0</v>
      </c>
      <c r="H519" s="104" t="str">
        <f t="shared" si="19"/>
        <v>0 tubes and 0 shuttles</v>
      </c>
      <c r="I519" s="36">
        <f t="shared" si="20"/>
        <v>0</v>
      </c>
      <c r="J519" s="103" t="str">
        <f t="shared" si="21"/>
        <v>0 tubes and 0 shuttles</v>
      </c>
    </row>
    <row r="520" spans="1:10" ht="12.5" x14ac:dyDescent="0.25">
      <c r="A520" s="32">
        <f>'Profit &amp; Loss'!A520</f>
        <v>0</v>
      </c>
      <c r="B520" s="35">
        <f>'Profit &amp; Loss'!B520</f>
        <v>0</v>
      </c>
      <c r="C520" s="36"/>
      <c r="D520" s="33"/>
      <c r="E520" s="102">
        <f t="shared" si="16"/>
        <v>0</v>
      </c>
      <c r="F520" s="103" t="str">
        <f t="shared" si="18"/>
        <v>0 tubes and 0 shuttles</v>
      </c>
      <c r="G520" s="36">
        <f t="shared" si="17"/>
        <v>0</v>
      </c>
      <c r="H520" s="104" t="str">
        <f t="shared" si="19"/>
        <v>0 tubes and 0 shuttles</v>
      </c>
      <c r="I520" s="36">
        <f t="shared" si="20"/>
        <v>0</v>
      </c>
      <c r="J520" s="103" t="str">
        <f t="shared" si="21"/>
        <v>0 tubes and 0 shuttles</v>
      </c>
    </row>
    <row r="521" spans="1:10" ht="12.5" x14ac:dyDescent="0.25">
      <c r="A521" s="32">
        <f>'Profit &amp; Loss'!A521</f>
        <v>0</v>
      </c>
      <c r="B521" s="35">
        <f>'Profit &amp; Loss'!B521</f>
        <v>0</v>
      </c>
      <c r="C521" s="36"/>
      <c r="D521" s="33"/>
      <c r="E521" s="102">
        <f t="shared" si="16"/>
        <v>0</v>
      </c>
      <c r="F521" s="103" t="str">
        <f t="shared" si="18"/>
        <v>0 tubes and 0 shuttles</v>
      </c>
      <c r="G521" s="36">
        <f t="shared" si="17"/>
        <v>0</v>
      </c>
      <c r="H521" s="104" t="str">
        <f t="shared" si="19"/>
        <v>0 tubes and 0 shuttles</v>
      </c>
      <c r="I521" s="36">
        <f t="shared" si="20"/>
        <v>0</v>
      </c>
      <c r="J521" s="103" t="str">
        <f t="shared" si="21"/>
        <v>0 tubes and 0 shuttles</v>
      </c>
    </row>
    <row r="522" spans="1:10" ht="12.5" x14ac:dyDescent="0.25">
      <c r="A522" s="32">
        <f>'Profit &amp; Loss'!A522</f>
        <v>0</v>
      </c>
      <c r="B522" s="35">
        <f>'Profit &amp; Loss'!B522</f>
        <v>0</v>
      </c>
      <c r="C522" s="36"/>
      <c r="D522" s="33"/>
      <c r="E522" s="102">
        <f t="shared" si="16"/>
        <v>0</v>
      </c>
      <c r="F522" s="103" t="str">
        <f t="shared" si="18"/>
        <v>0 tubes and 0 shuttles</v>
      </c>
      <c r="G522" s="36">
        <f t="shared" si="17"/>
        <v>0</v>
      </c>
      <c r="H522" s="104" t="str">
        <f t="shared" si="19"/>
        <v>0 tubes and 0 shuttles</v>
      </c>
      <c r="I522" s="36">
        <f t="shared" si="20"/>
        <v>0</v>
      </c>
      <c r="J522" s="103" t="str">
        <f t="shared" si="21"/>
        <v>0 tubes and 0 shuttles</v>
      </c>
    </row>
    <row r="523" spans="1:10" ht="12.5" x14ac:dyDescent="0.25">
      <c r="A523" s="32">
        <f>'Profit &amp; Loss'!A523</f>
        <v>0</v>
      </c>
      <c r="B523" s="35">
        <f>'Profit &amp; Loss'!B523</f>
        <v>0</v>
      </c>
      <c r="C523" s="36"/>
      <c r="D523" s="33"/>
      <c r="E523" s="102">
        <f t="shared" si="16"/>
        <v>0</v>
      </c>
      <c r="F523" s="103" t="str">
        <f t="shared" si="18"/>
        <v>0 tubes and 0 shuttles</v>
      </c>
      <c r="G523" s="36">
        <f t="shared" si="17"/>
        <v>0</v>
      </c>
      <c r="H523" s="104" t="str">
        <f t="shared" si="19"/>
        <v>0 tubes and 0 shuttles</v>
      </c>
      <c r="I523" s="36">
        <f t="shared" si="20"/>
        <v>0</v>
      </c>
      <c r="J523" s="103" t="str">
        <f t="shared" si="21"/>
        <v>0 tubes and 0 shuttles</v>
      </c>
    </row>
    <row r="524" spans="1:10" ht="12.5" x14ac:dyDescent="0.25">
      <c r="A524" s="32">
        <f>'Profit &amp; Loss'!A524</f>
        <v>0</v>
      </c>
      <c r="B524" s="35">
        <f>'Profit &amp; Loss'!B524</f>
        <v>0</v>
      </c>
      <c r="C524" s="36"/>
      <c r="D524" s="33"/>
      <c r="E524" s="102">
        <f t="shared" si="16"/>
        <v>0</v>
      </c>
      <c r="F524" s="103" t="str">
        <f t="shared" si="18"/>
        <v>0 tubes and 0 shuttles</v>
      </c>
      <c r="G524" s="36">
        <f t="shared" si="17"/>
        <v>0</v>
      </c>
      <c r="H524" s="104" t="str">
        <f t="shared" si="19"/>
        <v>0 tubes and 0 shuttles</v>
      </c>
      <c r="I524" s="36">
        <f t="shared" si="20"/>
        <v>0</v>
      </c>
      <c r="J524" s="103" t="str">
        <f t="shared" si="21"/>
        <v>0 tubes and 0 shuttles</v>
      </c>
    </row>
    <row r="525" spans="1:10" ht="12.5" x14ac:dyDescent="0.25">
      <c r="A525" s="32">
        <f>'Profit &amp; Loss'!A525</f>
        <v>0</v>
      </c>
      <c r="B525" s="35">
        <f>'Profit &amp; Loss'!B525</f>
        <v>0</v>
      </c>
      <c r="C525" s="36"/>
      <c r="D525" s="33"/>
      <c r="E525" s="102">
        <f t="shared" si="16"/>
        <v>0</v>
      </c>
      <c r="F525" s="103" t="str">
        <f t="shared" si="18"/>
        <v>0 tubes and 0 shuttles</v>
      </c>
      <c r="G525" s="36">
        <f t="shared" si="17"/>
        <v>0</v>
      </c>
      <c r="H525" s="104" t="str">
        <f t="shared" si="19"/>
        <v>0 tubes and 0 shuttles</v>
      </c>
      <c r="I525" s="36">
        <f t="shared" si="20"/>
        <v>0</v>
      </c>
      <c r="J525" s="103" t="str">
        <f t="shared" si="21"/>
        <v>0 tubes and 0 shuttles</v>
      </c>
    </row>
    <row r="526" spans="1:10" ht="12.5" x14ac:dyDescent="0.25">
      <c r="A526" s="32">
        <f>'Profit &amp; Loss'!A526</f>
        <v>0</v>
      </c>
      <c r="B526" s="35">
        <f>'Profit &amp; Loss'!B526</f>
        <v>0</v>
      </c>
      <c r="C526" s="36"/>
      <c r="D526" s="33"/>
      <c r="E526" s="102">
        <f t="shared" si="16"/>
        <v>0</v>
      </c>
      <c r="F526" s="103" t="str">
        <f t="shared" si="18"/>
        <v>0 tubes and 0 shuttles</v>
      </c>
      <c r="G526" s="36">
        <f t="shared" si="17"/>
        <v>0</v>
      </c>
      <c r="H526" s="104" t="str">
        <f t="shared" si="19"/>
        <v>0 tubes and 0 shuttles</v>
      </c>
      <c r="I526" s="36">
        <f t="shared" si="20"/>
        <v>0</v>
      </c>
      <c r="J526" s="103" t="str">
        <f t="shared" si="21"/>
        <v>0 tubes and 0 shuttles</v>
      </c>
    </row>
    <row r="527" spans="1:10" ht="12.5" x14ac:dyDescent="0.25">
      <c r="A527" s="32">
        <f>'Profit &amp; Loss'!A527</f>
        <v>0</v>
      </c>
      <c r="B527" s="35">
        <f>'Profit &amp; Loss'!B527</f>
        <v>0</v>
      </c>
      <c r="C527" s="36"/>
      <c r="D527" s="33"/>
      <c r="E527" s="102">
        <f t="shared" si="16"/>
        <v>0</v>
      </c>
      <c r="F527" s="103" t="str">
        <f t="shared" si="18"/>
        <v>0 tubes and 0 shuttles</v>
      </c>
      <c r="G527" s="36">
        <f t="shared" si="17"/>
        <v>0</v>
      </c>
      <c r="H527" s="104" t="str">
        <f t="shared" si="19"/>
        <v>0 tubes and 0 shuttles</v>
      </c>
      <c r="I527" s="36">
        <f t="shared" si="20"/>
        <v>0</v>
      </c>
      <c r="J527" s="103" t="str">
        <f t="shared" si="21"/>
        <v>0 tubes and 0 shuttles</v>
      </c>
    </row>
    <row r="528" spans="1:10" ht="12.5" x14ac:dyDescent="0.25">
      <c r="A528" s="32">
        <f>'Profit &amp; Loss'!A528</f>
        <v>0</v>
      </c>
      <c r="B528" s="35">
        <f>'Profit &amp; Loss'!B528</f>
        <v>0</v>
      </c>
      <c r="C528" s="36"/>
      <c r="D528" s="33"/>
      <c r="E528" s="102">
        <f t="shared" si="16"/>
        <v>0</v>
      </c>
      <c r="F528" s="103" t="str">
        <f t="shared" si="18"/>
        <v>0 tubes and 0 shuttles</v>
      </c>
      <c r="G528" s="36">
        <f t="shared" si="17"/>
        <v>0</v>
      </c>
      <c r="H528" s="104" t="str">
        <f t="shared" si="19"/>
        <v>0 tubes and 0 shuttles</v>
      </c>
      <c r="I528" s="36">
        <f t="shared" si="20"/>
        <v>0</v>
      </c>
      <c r="J528" s="103" t="str">
        <f t="shared" si="21"/>
        <v>0 tubes and 0 shuttles</v>
      </c>
    </row>
    <row r="529" spans="1:10" ht="12.5" x14ac:dyDescent="0.25">
      <c r="A529" s="32">
        <f>'Profit &amp; Loss'!A529</f>
        <v>0</v>
      </c>
      <c r="B529" s="35">
        <f>'Profit &amp; Loss'!B529</f>
        <v>0</v>
      </c>
      <c r="C529" s="36"/>
      <c r="D529" s="33"/>
      <c r="E529" s="102">
        <f t="shared" si="16"/>
        <v>0</v>
      </c>
      <c r="F529" s="103" t="str">
        <f t="shared" si="18"/>
        <v>0 tubes and 0 shuttles</v>
      </c>
      <c r="G529" s="36">
        <f t="shared" si="17"/>
        <v>0</v>
      </c>
      <c r="H529" s="104" t="str">
        <f t="shared" si="19"/>
        <v>0 tubes and 0 shuttles</v>
      </c>
      <c r="I529" s="36">
        <f t="shared" si="20"/>
        <v>0</v>
      </c>
      <c r="J529" s="103" t="str">
        <f t="shared" si="21"/>
        <v>0 tubes and 0 shuttles</v>
      </c>
    </row>
    <row r="530" spans="1:10" ht="12.5" x14ac:dyDescent="0.25">
      <c r="A530" s="32">
        <f>'Profit &amp; Loss'!A530</f>
        <v>0</v>
      </c>
      <c r="B530" s="35">
        <f>'Profit &amp; Loss'!B530</f>
        <v>0</v>
      </c>
      <c r="C530" s="36"/>
      <c r="D530" s="33"/>
      <c r="E530" s="102">
        <f t="shared" si="16"/>
        <v>0</v>
      </c>
      <c r="F530" s="103" t="str">
        <f t="shared" si="18"/>
        <v>0 tubes and 0 shuttles</v>
      </c>
      <c r="G530" s="36">
        <f t="shared" si="17"/>
        <v>0</v>
      </c>
      <c r="H530" s="104" t="str">
        <f t="shared" si="19"/>
        <v>0 tubes and 0 shuttles</v>
      </c>
      <c r="I530" s="36">
        <f t="shared" si="20"/>
        <v>0</v>
      </c>
      <c r="J530" s="103" t="str">
        <f t="shared" si="21"/>
        <v>0 tubes and 0 shuttles</v>
      </c>
    </row>
    <row r="531" spans="1:10" ht="12.5" x14ac:dyDescent="0.25">
      <c r="A531" s="32">
        <f>'Profit &amp; Loss'!A531</f>
        <v>0</v>
      </c>
      <c r="B531" s="35">
        <f>'Profit &amp; Loss'!B531</f>
        <v>0</v>
      </c>
      <c r="C531" s="36"/>
      <c r="D531" s="33"/>
      <c r="E531" s="102">
        <f t="shared" si="16"/>
        <v>0</v>
      </c>
      <c r="F531" s="103" t="str">
        <f t="shared" si="18"/>
        <v>0 tubes and 0 shuttles</v>
      </c>
      <c r="G531" s="36">
        <f t="shared" si="17"/>
        <v>0</v>
      </c>
      <c r="H531" s="104" t="str">
        <f t="shared" si="19"/>
        <v>0 tubes and 0 shuttles</v>
      </c>
      <c r="I531" s="36">
        <f t="shared" si="20"/>
        <v>0</v>
      </c>
      <c r="J531" s="103" t="str">
        <f t="shared" si="21"/>
        <v>0 tubes and 0 shuttles</v>
      </c>
    </row>
    <row r="532" spans="1:10" ht="12.5" x14ac:dyDescent="0.25">
      <c r="A532" s="32">
        <f>'Profit &amp; Loss'!A532</f>
        <v>0</v>
      </c>
      <c r="B532" s="35">
        <f>'Profit &amp; Loss'!B532</f>
        <v>0</v>
      </c>
      <c r="C532" s="36"/>
      <c r="D532" s="33"/>
      <c r="E532" s="102">
        <f t="shared" si="16"/>
        <v>0</v>
      </c>
      <c r="F532" s="103" t="str">
        <f t="shared" si="18"/>
        <v>0 tubes and 0 shuttles</v>
      </c>
      <c r="G532" s="36">
        <f t="shared" si="17"/>
        <v>0</v>
      </c>
      <c r="H532" s="104" t="str">
        <f t="shared" si="19"/>
        <v>0 tubes and 0 shuttles</v>
      </c>
      <c r="I532" s="36">
        <f t="shared" si="20"/>
        <v>0</v>
      </c>
      <c r="J532" s="103" t="str">
        <f t="shared" si="21"/>
        <v>0 tubes and 0 shuttles</v>
      </c>
    </row>
    <row r="533" spans="1:10" ht="12.5" x14ac:dyDescent="0.25">
      <c r="A533" s="32">
        <f>'Profit &amp; Loss'!A533</f>
        <v>0</v>
      </c>
      <c r="B533" s="35">
        <f>'Profit &amp; Loss'!B533</f>
        <v>0</v>
      </c>
      <c r="C533" s="36"/>
      <c r="D533" s="33"/>
      <c r="E533" s="102">
        <f t="shared" si="16"/>
        <v>0</v>
      </c>
      <c r="F533" s="103" t="str">
        <f t="shared" si="18"/>
        <v>0 tubes and 0 shuttles</v>
      </c>
      <c r="G533" s="36">
        <f t="shared" si="17"/>
        <v>0</v>
      </c>
      <c r="H533" s="104" t="str">
        <f t="shared" si="19"/>
        <v>0 tubes and 0 shuttles</v>
      </c>
      <c r="I533" s="36">
        <f t="shared" si="20"/>
        <v>0</v>
      </c>
      <c r="J533" s="103" t="str">
        <f t="shared" si="21"/>
        <v>0 tubes and 0 shuttles</v>
      </c>
    </row>
    <row r="534" spans="1:10" ht="12.5" x14ac:dyDescent="0.25">
      <c r="A534" s="32">
        <f>'Profit &amp; Loss'!A534</f>
        <v>0</v>
      </c>
      <c r="B534" s="35">
        <f>'Profit &amp; Loss'!B534</f>
        <v>0</v>
      </c>
      <c r="C534" s="36"/>
      <c r="D534" s="33"/>
      <c r="E534" s="102">
        <f t="shared" si="16"/>
        <v>0</v>
      </c>
      <c r="F534" s="103" t="str">
        <f t="shared" si="18"/>
        <v>0 tubes and 0 shuttles</v>
      </c>
      <c r="G534" s="36">
        <f t="shared" si="17"/>
        <v>0</v>
      </c>
      <c r="H534" s="104" t="str">
        <f t="shared" si="19"/>
        <v>0 tubes and 0 shuttles</v>
      </c>
      <c r="I534" s="36">
        <f t="shared" si="20"/>
        <v>0</v>
      </c>
      <c r="J534" s="103" t="str">
        <f t="shared" si="21"/>
        <v>0 tubes and 0 shuttles</v>
      </c>
    </row>
    <row r="535" spans="1:10" ht="12.5" x14ac:dyDescent="0.25">
      <c r="A535" s="32">
        <f>'Profit &amp; Loss'!A535</f>
        <v>0</v>
      </c>
      <c r="B535" s="35">
        <f>'Profit &amp; Loss'!B535</f>
        <v>0</v>
      </c>
      <c r="C535" s="36"/>
      <c r="D535" s="33"/>
      <c r="E535" s="102">
        <f t="shared" si="16"/>
        <v>0</v>
      </c>
      <c r="F535" s="103" t="str">
        <f t="shared" si="18"/>
        <v>0 tubes and 0 shuttles</v>
      </c>
      <c r="G535" s="36">
        <f t="shared" si="17"/>
        <v>0</v>
      </c>
      <c r="H535" s="104" t="str">
        <f t="shared" si="19"/>
        <v>0 tubes and 0 shuttles</v>
      </c>
      <c r="I535" s="36">
        <f t="shared" si="20"/>
        <v>0</v>
      </c>
      <c r="J535" s="103" t="str">
        <f t="shared" si="21"/>
        <v>0 tubes and 0 shuttles</v>
      </c>
    </row>
    <row r="536" spans="1:10" ht="12.5" x14ac:dyDescent="0.25">
      <c r="A536" s="32">
        <f>'Profit &amp; Loss'!A536</f>
        <v>0</v>
      </c>
      <c r="B536" s="35">
        <f>'Profit &amp; Loss'!B536</f>
        <v>0</v>
      </c>
      <c r="C536" s="36"/>
      <c r="D536" s="33"/>
      <c r="E536" s="102">
        <f t="shared" si="16"/>
        <v>0</v>
      </c>
      <c r="F536" s="103" t="str">
        <f t="shared" si="18"/>
        <v>0 tubes and 0 shuttles</v>
      </c>
      <c r="G536" s="36">
        <f t="shared" si="17"/>
        <v>0</v>
      </c>
      <c r="H536" s="104" t="str">
        <f t="shared" si="19"/>
        <v>0 tubes and 0 shuttles</v>
      </c>
      <c r="I536" s="36">
        <f t="shared" si="20"/>
        <v>0</v>
      </c>
      <c r="J536" s="103" t="str">
        <f t="shared" si="21"/>
        <v>0 tubes and 0 shuttles</v>
      </c>
    </row>
    <row r="537" spans="1:10" ht="12.5" x14ac:dyDescent="0.25">
      <c r="A537" s="32">
        <f>'Profit &amp; Loss'!A537</f>
        <v>0</v>
      </c>
      <c r="B537" s="35">
        <f>'Profit &amp; Loss'!B537</f>
        <v>0</v>
      </c>
      <c r="C537" s="36"/>
      <c r="D537" s="33"/>
      <c r="E537" s="102">
        <f t="shared" si="16"/>
        <v>0</v>
      </c>
      <c r="F537" s="103" t="str">
        <f t="shared" si="18"/>
        <v>0 tubes and 0 shuttles</v>
      </c>
      <c r="G537" s="36">
        <f t="shared" si="17"/>
        <v>0</v>
      </c>
      <c r="H537" s="104" t="str">
        <f t="shared" si="19"/>
        <v>0 tubes and 0 shuttles</v>
      </c>
      <c r="I537" s="36">
        <f t="shared" si="20"/>
        <v>0</v>
      </c>
      <c r="J537" s="103" t="str">
        <f t="shared" si="21"/>
        <v>0 tubes and 0 shuttles</v>
      </c>
    </row>
    <row r="538" spans="1:10" ht="12.5" x14ac:dyDescent="0.25">
      <c r="A538" s="32">
        <f>'Profit &amp; Loss'!A538</f>
        <v>0</v>
      </c>
      <c r="B538" s="35">
        <f>'Profit &amp; Loss'!B538</f>
        <v>0</v>
      </c>
      <c r="C538" s="36"/>
      <c r="D538" s="33"/>
      <c r="E538" s="102">
        <f t="shared" si="16"/>
        <v>0</v>
      </c>
      <c r="F538" s="103" t="str">
        <f t="shared" si="18"/>
        <v>0 tubes and 0 shuttles</v>
      </c>
      <c r="G538" s="36">
        <f t="shared" si="17"/>
        <v>0</v>
      </c>
      <c r="H538" s="104" t="str">
        <f t="shared" si="19"/>
        <v>0 tubes and 0 shuttles</v>
      </c>
      <c r="I538" s="36">
        <f t="shared" si="20"/>
        <v>0</v>
      </c>
      <c r="J538" s="103" t="str">
        <f t="shared" si="21"/>
        <v>0 tubes and 0 shuttles</v>
      </c>
    </row>
    <row r="539" spans="1:10" ht="12.5" x14ac:dyDescent="0.25">
      <c r="A539" s="32">
        <f>'Profit &amp; Loss'!A539</f>
        <v>0</v>
      </c>
      <c r="B539" s="35">
        <f>'Profit &amp; Loss'!B539</f>
        <v>0</v>
      </c>
      <c r="C539" s="36"/>
      <c r="D539" s="33"/>
      <c r="E539" s="102">
        <f t="shared" si="16"/>
        <v>0</v>
      </c>
      <c r="F539" s="103" t="str">
        <f t="shared" si="18"/>
        <v>0 tubes and 0 shuttles</v>
      </c>
      <c r="G539" s="36">
        <f t="shared" si="17"/>
        <v>0</v>
      </c>
      <c r="H539" s="104" t="str">
        <f t="shared" si="19"/>
        <v>0 tubes and 0 shuttles</v>
      </c>
      <c r="I539" s="36">
        <f t="shared" si="20"/>
        <v>0</v>
      </c>
      <c r="J539" s="103" t="str">
        <f t="shared" si="21"/>
        <v>0 tubes and 0 shuttles</v>
      </c>
    </row>
    <row r="540" spans="1:10" ht="12.5" x14ac:dyDescent="0.25">
      <c r="A540" s="32">
        <f>'Profit &amp; Loss'!A540</f>
        <v>0</v>
      </c>
      <c r="B540" s="35">
        <f>'Profit &amp; Loss'!B540</f>
        <v>0</v>
      </c>
      <c r="C540" s="36"/>
      <c r="D540" s="33"/>
      <c r="E540" s="102">
        <f t="shared" si="16"/>
        <v>0</v>
      </c>
      <c r="F540" s="103" t="str">
        <f t="shared" si="18"/>
        <v>0 tubes and 0 shuttles</v>
      </c>
      <c r="G540" s="36">
        <f t="shared" si="17"/>
        <v>0</v>
      </c>
      <c r="H540" s="104" t="str">
        <f t="shared" si="19"/>
        <v>0 tubes and 0 shuttles</v>
      </c>
      <c r="I540" s="36">
        <f t="shared" si="20"/>
        <v>0</v>
      </c>
      <c r="J540" s="103" t="str">
        <f t="shared" si="21"/>
        <v>0 tubes and 0 shuttles</v>
      </c>
    </row>
    <row r="541" spans="1:10" ht="12.5" x14ac:dyDescent="0.25">
      <c r="A541" s="32">
        <f>'Profit &amp; Loss'!A541</f>
        <v>0</v>
      </c>
      <c r="B541" s="35">
        <f>'Profit &amp; Loss'!B541</f>
        <v>0</v>
      </c>
      <c r="C541" s="36"/>
      <c r="D541" s="33"/>
      <c r="E541" s="102">
        <f t="shared" si="16"/>
        <v>0</v>
      </c>
      <c r="F541" s="103" t="str">
        <f t="shared" si="18"/>
        <v>0 tubes and 0 shuttles</v>
      </c>
      <c r="G541" s="36">
        <f t="shared" si="17"/>
        <v>0</v>
      </c>
      <c r="H541" s="104" t="str">
        <f t="shared" si="19"/>
        <v>0 tubes and 0 shuttles</v>
      </c>
      <c r="I541" s="36">
        <f t="shared" si="20"/>
        <v>0</v>
      </c>
      <c r="J541" s="103" t="str">
        <f t="shared" si="21"/>
        <v>0 tubes and 0 shuttles</v>
      </c>
    </row>
    <row r="542" spans="1:10" ht="12.5" x14ac:dyDescent="0.25">
      <c r="A542" s="32">
        <f>'Profit &amp; Loss'!A542</f>
        <v>0</v>
      </c>
      <c r="B542" s="35">
        <f>'Profit &amp; Loss'!B542</f>
        <v>0</v>
      </c>
      <c r="C542" s="36"/>
      <c r="D542" s="33"/>
      <c r="E542" s="102">
        <f t="shared" si="16"/>
        <v>0</v>
      </c>
      <c r="F542" s="103" t="str">
        <f t="shared" si="18"/>
        <v>0 tubes and 0 shuttles</v>
      </c>
      <c r="G542" s="36">
        <f t="shared" si="17"/>
        <v>0</v>
      </c>
      <c r="H542" s="104" t="str">
        <f t="shared" si="19"/>
        <v>0 tubes and 0 shuttles</v>
      </c>
      <c r="I542" s="36">
        <f t="shared" si="20"/>
        <v>0</v>
      </c>
      <c r="J542" s="103" t="str">
        <f t="shared" si="21"/>
        <v>0 tubes and 0 shuttles</v>
      </c>
    </row>
    <row r="543" spans="1:10" ht="12.5" x14ac:dyDescent="0.25">
      <c r="A543" s="32">
        <f>'Profit &amp; Loss'!A543</f>
        <v>0</v>
      </c>
      <c r="B543" s="35">
        <f>'Profit &amp; Loss'!B543</f>
        <v>0</v>
      </c>
      <c r="C543" s="36"/>
      <c r="D543" s="33"/>
      <c r="E543" s="102">
        <f t="shared" si="16"/>
        <v>0</v>
      </c>
      <c r="F543" s="103" t="str">
        <f t="shared" si="18"/>
        <v>0 tubes and 0 shuttles</v>
      </c>
      <c r="G543" s="36">
        <f t="shared" si="17"/>
        <v>0</v>
      </c>
      <c r="H543" s="104" t="str">
        <f t="shared" si="19"/>
        <v>0 tubes and 0 shuttles</v>
      </c>
      <c r="I543" s="36">
        <f t="shared" si="20"/>
        <v>0</v>
      </c>
      <c r="J543" s="103" t="str">
        <f t="shared" si="21"/>
        <v>0 tubes and 0 shuttles</v>
      </c>
    </row>
    <row r="544" spans="1:10" ht="12.5" x14ac:dyDescent="0.25">
      <c r="A544" s="32">
        <f>'Profit &amp; Loss'!A544</f>
        <v>0</v>
      </c>
      <c r="B544" s="35">
        <f>'Profit &amp; Loss'!B544</f>
        <v>0</v>
      </c>
      <c r="C544" s="36"/>
      <c r="D544" s="33"/>
      <c r="E544" s="102">
        <f t="shared" si="16"/>
        <v>0</v>
      </c>
      <c r="F544" s="103" t="str">
        <f t="shared" si="18"/>
        <v>0 tubes and 0 shuttles</v>
      </c>
      <c r="G544" s="36">
        <f t="shared" si="17"/>
        <v>0</v>
      </c>
      <c r="H544" s="104" t="str">
        <f t="shared" si="19"/>
        <v>0 tubes and 0 shuttles</v>
      </c>
      <c r="I544" s="36">
        <f t="shared" si="20"/>
        <v>0</v>
      </c>
      <c r="J544" s="103" t="str">
        <f t="shared" si="21"/>
        <v>0 tubes and 0 shuttles</v>
      </c>
    </row>
    <row r="545" spans="1:10" ht="12.5" x14ac:dyDescent="0.25">
      <c r="A545" s="32">
        <f>'Profit &amp; Loss'!A545</f>
        <v>0</v>
      </c>
      <c r="B545" s="35">
        <f>'Profit &amp; Loss'!B545</f>
        <v>0</v>
      </c>
      <c r="C545" s="36"/>
      <c r="D545" s="33"/>
      <c r="E545" s="102">
        <f t="shared" si="16"/>
        <v>0</v>
      </c>
      <c r="F545" s="103" t="str">
        <f t="shared" si="18"/>
        <v>0 tubes and 0 shuttles</v>
      </c>
      <c r="G545" s="36">
        <f t="shared" si="17"/>
        <v>0</v>
      </c>
      <c r="H545" s="104" t="str">
        <f t="shared" si="19"/>
        <v>0 tubes and 0 shuttles</v>
      </c>
      <c r="I545" s="36">
        <f t="shared" si="20"/>
        <v>0</v>
      </c>
      <c r="J545" s="103" t="str">
        <f t="shared" si="21"/>
        <v>0 tubes and 0 shuttles</v>
      </c>
    </row>
    <row r="546" spans="1:10" ht="12.5" x14ac:dyDescent="0.25">
      <c r="A546" s="32">
        <f>'Profit &amp; Loss'!A546</f>
        <v>0</v>
      </c>
      <c r="B546" s="35">
        <f>'Profit &amp; Loss'!B546</f>
        <v>0</v>
      </c>
      <c r="C546" s="36"/>
      <c r="D546" s="33"/>
      <c r="E546" s="102">
        <f t="shared" si="16"/>
        <v>0</v>
      </c>
      <c r="F546" s="103" t="str">
        <f t="shared" si="18"/>
        <v>0 tubes and 0 shuttles</v>
      </c>
      <c r="G546" s="36">
        <f t="shared" si="17"/>
        <v>0</v>
      </c>
      <c r="H546" s="104" t="str">
        <f t="shared" si="19"/>
        <v>0 tubes and 0 shuttles</v>
      </c>
      <c r="I546" s="36">
        <f t="shared" si="20"/>
        <v>0</v>
      </c>
      <c r="J546" s="103" t="str">
        <f t="shared" si="21"/>
        <v>0 tubes and 0 shuttles</v>
      </c>
    </row>
    <row r="547" spans="1:10" ht="12.5" x14ac:dyDescent="0.25">
      <c r="A547" s="32">
        <f>'Profit &amp; Loss'!A547</f>
        <v>0</v>
      </c>
      <c r="B547" s="35">
        <f>'Profit &amp; Loss'!B547</f>
        <v>0</v>
      </c>
      <c r="C547" s="36"/>
      <c r="D547" s="33"/>
      <c r="E547" s="102">
        <f t="shared" si="16"/>
        <v>0</v>
      </c>
      <c r="F547" s="103" t="str">
        <f t="shared" si="18"/>
        <v>0 tubes and 0 shuttles</v>
      </c>
      <c r="G547" s="36">
        <f t="shared" si="17"/>
        <v>0</v>
      </c>
      <c r="H547" s="104" t="str">
        <f t="shared" si="19"/>
        <v>0 tubes and 0 shuttles</v>
      </c>
      <c r="I547" s="36">
        <f t="shared" si="20"/>
        <v>0</v>
      </c>
      <c r="J547" s="103" t="str">
        <f t="shared" si="21"/>
        <v>0 tubes and 0 shuttles</v>
      </c>
    </row>
    <row r="548" spans="1:10" ht="12.5" x14ac:dyDescent="0.25">
      <c r="A548" s="32">
        <f>'Profit &amp; Loss'!A548</f>
        <v>0</v>
      </c>
      <c r="B548" s="35">
        <f>'Profit &amp; Loss'!B548</f>
        <v>0</v>
      </c>
      <c r="C548" s="36"/>
      <c r="D548" s="33"/>
      <c r="E548" s="102">
        <f t="shared" si="16"/>
        <v>0</v>
      </c>
      <c r="F548" s="103" t="str">
        <f t="shared" si="18"/>
        <v>0 tubes and 0 shuttles</v>
      </c>
      <c r="G548" s="36">
        <f t="shared" si="17"/>
        <v>0</v>
      </c>
      <c r="H548" s="104" t="str">
        <f t="shared" si="19"/>
        <v>0 tubes and 0 shuttles</v>
      </c>
      <c r="I548" s="36">
        <f t="shared" si="20"/>
        <v>0</v>
      </c>
      <c r="J548" s="103" t="str">
        <f t="shared" si="21"/>
        <v>0 tubes and 0 shuttles</v>
      </c>
    </row>
    <row r="549" spans="1:10" ht="12.5" x14ac:dyDescent="0.25">
      <c r="A549" s="32">
        <f>'Profit &amp; Loss'!A549</f>
        <v>0</v>
      </c>
      <c r="B549" s="35">
        <f>'Profit &amp; Loss'!B549</f>
        <v>0</v>
      </c>
      <c r="C549" s="36"/>
      <c r="D549" s="33"/>
      <c r="E549" s="102">
        <f t="shared" ref="E549:E803" si="22">IF(C549=" ",E548,E548-C549)</f>
        <v>0</v>
      </c>
      <c r="F549" s="103" t="str">
        <f t="shared" si="18"/>
        <v>0 tubes and 0 shuttles</v>
      </c>
      <c r="G549" s="36">
        <f t="shared" ref="G549:G803" si="23">IF(D549=" ",G548,G548-D549)</f>
        <v>0</v>
      </c>
      <c r="H549" s="104" t="str">
        <f t="shared" si="19"/>
        <v>0 tubes and 0 shuttles</v>
      </c>
      <c r="I549" s="36">
        <f t="shared" si="20"/>
        <v>0</v>
      </c>
      <c r="J549" s="103" t="str">
        <f t="shared" si="21"/>
        <v>0 tubes and 0 shuttles</v>
      </c>
    </row>
    <row r="550" spans="1:10" ht="12.5" x14ac:dyDescent="0.25">
      <c r="A550" s="32">
        <f>'Profit &amp; Loss'!A550</f>
        <v>0</v>
      </c>
      <c r="B550" s="35">
        <f>'Profit &amp; Loss'!B550</f>
        <v>0</v>
      </c>
      <c r="C550" s="36"/>
      <c r="D550" s="33"/>
      <c r="E550" s="102">
        <f t="shared" si="22"/>
        <v>0</v>
      </c>
      <c r="F550" s="103" t="str">
        <f t="shared" si="18"/>
        <v>0 tubes and 0 shuttles</v>
      </c>
      <c r="G550" s="36">
        <f t="shared" si="23"/>
        <v>0</v>
      </c>
      <c r="H550" s="104" t="str">
        <f t="shared" si="19"/>
        <v>0 tubes and 0 shuttles</v>
      </c>
      <c r="I550" s="36">
        <f t="shared" si="20"/>
        <v>0</v>
      </c>
      <c r="J550" s="103" t="str">
        <f t="shared" si="21"/>
        <v>0 tubes and 0 shuttles</v>
      </c>
    </row>
    <row r="551" spans="1:10" ht="12.5" x14ac:dyDescent="0.25">
      <c r="A551" s="32">
        <f>'Profit &amp; Loss'!A551</f>
        <v>0</v>
      </c>
      <c r="B551" s="35">
        <f>'Profit &amp; Loss'!B551</f>
        <v>0</v>
      </c>
      <c r="C551" s="36"/>
      <c r="D551" s="33"/>
      <c r="E551" s="102">
        <f t="shared" si="22"/>
        <v>0</v>
      </c>
      <c r="F551" s="103" t="str">
        <f t="shared" si="18"/>
        <v>0 tubes and 0 shuttles</v>
      </c>
      <c r="G551" s="36">
        <f t="shared" si="23"/>
        <v>0</v>
      </c>
      <c r="H551" s="104" t="str">
        <f t="shared" si="19"/>
        <v>0 tubes and 0 shuttles</v>
      </c>
      <c r="I551" s="36">
        <f t="shared" si="20"/>
        <v>0</v>
      </c>
      <c r="J551" s="103" t="str">
        <f t="shared" si="21"/>
        <v>0 tubes and 0 shuttles</v>
      </c>
    </row>
    <row r="552" spans="1:10" ht="12.5" x14ac:dyDescent="0.25">
      <c r="A552" s="32">
        <f>'Profit &amp; Loss'!A552</f>
        <v>0</v>
      </c>
      <c r="B552" s="35">
        <f>'Profit &amp; Loss'!B552</f>
        <v>0</v>
      </c>
      <c r="C552" s="36"/>
      <c r="D552" s="33"/>
      <c r="E552" s="102">
        <f t="shared" si="22"/>
        <v>0</v>
      </c>
      <c r="F552" s="103" t="str">
        <f t="shared" si="18"/>
        <v>0 tubes and 0 shuttles</v>
      </c>
      <c r="G552" s="36">
        <f t="shared" si="23"/>
        <v>0</v>
      </c>
      <c r="H552" s="104" t="str">
        <f t="shared" si="19"/>
        <v>0 tubes and 0 shuttles</v>
      </c>
      <c r="I552" s="36">
        <f t="shared" si="20"/>
        <v>0</v>
      </c>
      <c r="J552" s="103" t="str">
        <f t="shared" si="21"/>
        <v>0 tubes and 0 shuttles</v>
      </c>
    </row>
    <row r="553" spans="1:10" ht="12.5" x14ac:dyDescent="0.25">
      <c r="A553" s="32">
        <f>'Profit &amp; Loss'!A553</f>
        <v>0</v>
      </c>
      <c r="B553" s="35">
        <f>'Profit &amp; Loss'!B553</f>
        <v>0</v>
      </c>
      <c r="C553" s="36"/>
      <c r="D553" s="33"/>
      <c r="E553" s="102">
        <f t="shared" si="22"/>
        <v>0</v>
      </c>
      <c r="F553" s="103" t="str">
        <f t="shared" si="18"/>
        <v>0 tubes and 0 shuttles</v>
      </c>
      <c r="G553" s="36">
        <f t="shared" si="23"/>
        <v>0</v>
      </c>
      <c r="H553" s="104" t="str">
        <f t="shared" si="19"/>
        <v>0 tubes and 0 shuttles</v>
      </c>
      <c r="I553" s="36">
        <f t="shared" si="20"/>
        <v>0</v>
      </c>
      <c r="J553" s="103" t="str">
        <f t="shared" si="21"/>
        <v>0 tubes and 0 shuttles</v>
      </c>
    </row>
    <row r="554" spans="1:10" ht="12.5" x14ac:dyDescent="0.25">
      <c r="A554" s="32">
        <f>'Profit &amp; Loss'!A554</f>
        <v>0</v>
      </c>
      <c r="B554" s="35">
        <f>'Profit &amp; Loss'!B554</f>
        <v>0</v>
      </c>
      <c r="C554" s="36"/>
      <c r="D554" s="33"/>
      <c r="E554" s="102">
        <f t="shared" si="22"/>
        <v>0</v>
      </c>
      <c r="F554" s="103" t="str">
        <f t="shared" si="18"/>
        <v>0 tubes and 0 shuttles</v>
      </c>
      <c r="G554" s="36">
        <f t="shared" si="23"/>
        <v>0</v>
      </c>
      <c r="H554" s="104" t="str">
        <f t="shared" si="19"/>
        <v>0 tubes and 0 shuttles</v>
      </c>
      <c r="I554" s="36">
        <f t="shared" si="20"/>
        <v>0</v>
      </c>
      <c r="J554" s="103" t="str">
        <f t="shared" si="21"/>
        <v>0 tubes and 0 shuttles</v>
      </c>
    </row>
    <row r="555" spans="1:10" ht="12.5" x14ac:dyDescent="0.25">
      <c r="A555" s="32">
        <f>'Profit &amp; Loss'!A555</f>
        <v>0</v>
      </c>
      <c r="B555" s="35">
        <f>'Profit &amp; Loss'!B555</f>
        <v>0</v>
      </c>
      <c r="C555" s="36"/>
      <c r="D555" s="33"/>
      <c r="E555" s="102">
        <f t="shared" si="22"/>
        <v>0</v>
      </c>
      <c r="F555" s="103" t="str">
        <f t="shared" si="18"/>
        <v>0 tubes and 0 shuttles</v>
      </c>
      <c r="G555" s="36">
        <f t="shared" si="23"/>
        <v>0</v>
      </c>
      <c r="H555" s="104" t="str">
        <f t="shared" si="19"/>
        <v>0 tubes and 0 shuttles</v>
      </c>
      <c r="I555" s="36">
        <f t="shared" si="20"/>
        <v>0</v>
      </c>
      <c r="J555" s="103" t="str">
        <f t="shared" si="21"/>
        <v>0 tubes and 0 shuttles</v>
      </c>
    </row>
    <row r="556" spans="1:10" ht="12.5" x14ac:dyDescent="0.25">
      <c r="A556" s="32">
        <f>'Profit &amp; Loss'!A556</f>
        <v>0</v>
      </c>
      <c r="B556" s="35">
        <f>'Profit &amp; Loss'!B556</f>
        <v>0</v>
      </c>
      <c r="C556" s="36"/>
      <c r="D556" s="33"/>
      <c r="E556" s="102">
        <f t="shared" si="22"/>
        <v>0</v>
      </c>
      <c r="F556" s="103" t="str">
        <f t="shared" si="18"/>
        <v>0 tubes and 0 shuttles</v>
      </c>
      <c r="G556" s="36">
        <f t="shared" si="23"/>
        <v>0</v>
      </c>
      <c r="H556" s="104" t="str">
        <f t="shared" si="19"/>
        <v>0 tubes and 0 shuttles</v>
      </c>
      <c r="I556" s="36">
        <f t="shared" si="20"/>
        <v>0</v>
      </c>
      <c r="J556" s="103" t="str">
        <f t="shared" si="21"/>
        <v>0 tubes and 0 shuttles</v>
      </c>
    </row>
    <row r="557" spans="1:10" ht="12.5" x14ac:dyDescent="0.25">
      <c r="A557" s="32">
        <f>'Profit &amp; Loss'!A557</f>
        <v>0</v>
      </c>
      <c r="B557" s="35">
        <f>'Profit &amp; Loss'!B557</f>
        <v>0</v>
      </c>
      <c r="C557" s="36"/>
      <c r="D557" s="33"/>
      <c r="E557" s="102">
        <f t="shared" si="22"/>
        <v>0</v>
      </c>
      <c r="F557" s="103" t="str">
        <f t="shared" si="18"/>
        <v>0 tubes and 0 shuttles</v>
      </c>
      <c r="G557" s="36">
        <f t="shared" si="23"/>
        <v>0</v>
      </c>
      <c r="H557" s="104" t="str">
        <f t="shared" si="19"/>
        <v>0 tubes and 0 shuttles</v>
      </c>
      <c r="I557" s="36">
        <f t="shared" si="20"/>
        <v>0</v>
      </c>
      <c r="J557" s="103" t="str">
        <f t="shared" si="21"/>
        <v>0 tubes and 0 shuttles</v>
      </c>
    </row>
    <row r="558" spans="1:10" ht="12.5" x14ac:dyDescent="0.25">
      <c r="A558" s="32">
        <f>'Profit &amp; Loss'!A558</f>
        <v>0</v>
      </c>
      <c r="B558" s="35">
        <f>'Profit &amp; Loss'!B558</f>
        <v>0</v>
      </c>
      <c r="C558" s="36"/>
      <c r="D558" s="33"/>
      <c r="E558" s="102">
        <f t="shared" si="22"/>
        <v>0</v>
      </c>
      <c r="F558" s="103" t="str">
        <f t="shared" si="18"/>
        <v>0 tubes and 0 shuttles</v>
      </c>
      <c r="G558" s="36">
        <f t="shared" si="23"/>
        <v>0</v>
      </c>
      <c r="H558" s="104" t="str">
        <f t="shared" si="19"/>
        <v>0 tubes and 0 shuttles</v>
      </c>
      <c r="I558" s="36">
        <f t="shared" si="20"/>
        <v>0</v>
      </c>
      <c r="J558" s="103" t="str">
        <f t="shared" si="21"/>
        <v>0 tubes and 0 shuttles</v>
      </c>
    </row>
    <row r="559" spans="1:10" ht="12.5" x14ac:dyDescent="0.25">
      <c r="A559" s="32">
        <f>'Profit &amp; Loss'!A559</f>
        <v>0</v>
      </c>
      <c r="B559" s="35">
        <f>'Profit &amp; Loss'!B559</f>
        <v>0</v>
      </c>
      <c r="C559" s="36"/>
      <c r="D559" s="33"/>
      <c r="E559" s="102">
        <f t="shared" si="22"/>
        <v>0</v>
      </c>
      <c r="F559" s="103" t="str">
        <f t="shared" si="18"/>
        <v>0 tubes and 0 shuttles</v>
      </c>
      <c r="G559" s="36">
        <f t="shared" si="23"/>
        <v>0</v>
      </c>
      <c r="H559" s="104" t="str">
        <f t="shared" si="19"/>
        <v>0 tubes and 0 shuttles</v>
      </c>
      <c r="I559" s="36">
        <f t="shared" si="20"/>
        <v>0</v>
      </c>
      <c r="J559" s="103" t="str">
        <f t="shared" si="21"/>
        <v>0 tubes and 0 shuttles</v>
      </c>
    </row>
    <row r="560" spans="1:10" ht="12.5" x14ac:dyDescent="0.25">
      <c r="A560" s="32">
        <f>'Profit &amp; Loss'!A560</f>
        <v>0</v>
      </c>
      <c r="B560" s="35">
        <f>'Profit &amp; Loss'!B560</f>
        <v>0</v>
      </c>
      <c r="C560" s="36"/>
      <c r="D560" s="33"/>
      <c r="E560" s="102">
        <f t="shared" si="22"/>
        <v>0</v>
      </c>
      <c r="F560" s="103" t="str">
        <f t="shared" si="18"/>
        <v>0 tubes and 0 shuttles</v>
      </c>
      <c r="G560" s="36">
        <f t="shared" si="23"/>
        <v>0</v>
      </c>
      <c r="H560" s="104" t="str">
        <f t="shared" si="19"/>
        <v>0 tubes and 0 shuttles</v>
      </c>
      <c r="I560" s="36">
        <f t="shared" si="20"/>
        <v>0</v>
      </c>
      <c r="J560" s="103" t="str">
        <f t="shared" si="21"/>
        <v>0 tubes and 0 shuttles</v>
      </c>
    </row>
    <row r="561" spans="1:10" ht="12.5" x14ac:dyDescent="0.25">
      <c r="A561" s="32">
        <f>'Profit &amp; Loss'!A561</f>
        <v>0</v>
      </c>
      <c r="B561" s="35">
        <f>'Profit &amp; Loss'!B561</f>
        <v>0</v>
      </c>
      <c r="C561" s="36"/>
      <c r="D561" s="33"/>
      <c r="E561" s="102">
        <f t="shared" si="22"/>
        <v>0</v>
      </c>
      <c r="F561" s="103" t="str">
        <f t="shared" si="18"/>
        <v>0 tubes and 0 shuttles</v>
      </c>
      <c r="G561" s="36">
        <f t="shared" si="23"/>
        <v>0</v>
      </c>
      <c r="H561" s="104" t="str">
        <f t="shared" si="19"/>
        <v>0 tubes and 0 shuttles</v>
      </c>
      <c r="I561" s="36">
        <f t="shared" si="20"/>
        <v>0</v>
      </c>
      <c r="J561" s="103" t="str">
        <f t="shared" si="21"/>
        <v>0 tubes and 0 shuttles</v>
      </c>
    </row>
    <row r="562" spans="1:10" ht="12.5" x14ac:dyDescent="0.25">
      <c r="A562" s="32">
        <f>'Profit &amp; Loss'!A562</f>
        <v>0</v>
      </c>
      <c r="B562" s="35">
        <f>'Profit &amp; Loss'!B562</f>
        <v>0</v>
      </c>
      <c r="C562" s="36"/>
      <c r="D562" s="33"/>
      <c r="E562" s="102">
        <f t="shared" si="22"/>
        <v>0</v>
      </c>
      <c r="F562" s="103" t="str">
        <f t="shared" si="18"/>
        <v>0 tubes and 0 shuttles</v>
      </c>
      <c r="G562" s="36">
        <f t="shared" si="23"/>
        <v>0</v>
      </c>
      <c r="H562" s="104" t="str">
        <f t="shared" si="19"/>
        <v>0 tubes and 0 shuttles</v>
      </c>
      <c r="I562" s="36">
        <f t="shared" si="20"/>
        <v>0</v>
      </c>
      <c r="J562" s="103" t="str">
        <f t="shared" si="21"/>
        <v>0 tubes and 0 shuttles</v>
      </c>
    </row>
    <row r="563" spans="1:10" ht="12.5" x14ac:dyDescent="0.25">
      <c r="A563" s="32">
        <f>'Profit &amp; Loss'!A563</f>
        <v>0</v>
      </c>
      <c r="B563" s="35">
        <f>'Profit &amp; Loss'!B563</f>
        <v>0</v>
      </c>
      <c r="C563" s="36"/>
      <c r="D563" s="33"/>
      <c r="E563" s="102">
        <f t="shared" si="22"/>
        <v>0</v>
      </c>
      <c r="F563" s="103" t="str">
        <f t="shared" si="18"/>
        <v>0 tubes and 0 shuttles</v>
      </c>
      <c r="G563" s="36">
        <f t="shared" si="23"/>
        <v>0</v>
      </c>
      <c r="H563" s="104" t="str">
        <f t="shared" si="19"/>
        <v>0 tubes and 0 shuttles</v>
      </c>
      <c r="I563" s="36">
        <f t="shared" si="20"/>
        <v>0</v>
      </c>
      <c r="J563" s="103" t="str">
        <f t="shared" si="21"/>
        <v>0 tubes and 0 shuttles</v>
      </c>
    </row>
    <row r="564" spans="1:10" ht="12.5" x14ac:dyDescent="0.25">
      <c r="A564" s="32">
        <f>'Profit &amp; Loss'!A564</f>
        <v>0</v>
      </c>
      <c r="B564" s="35">
        <f>'Profit &amp; Loss'!B564</f>
        <v>0</v>
      </c>
      <c r="C564" s="36"/>
      <c r="D564" s="33"/>
      <c r="E564" s="102">
        <f t="shared" si="22"/>
        <v>0</v>
      </c>
      <c r="F564" s="103" t="str">
        <f t="shared" si="18"/>
        <v>0 tubes and 0 shuttles</v>
      </c>
      <c r="G564" s="36">
        <f t="shared" si="23"/>
        <v>0</v>
      </c>
      <c r="H564" s="104" t="str">
        <f t="shared" si="19"/>
        <v>0 tubes and 0 shuttles</v>
      </c>
      <c r="I564" s="36">
        <f t="shared" si="20"/>
        <v>0</v>
      </c>
      <c r="J564" s="103" t="str">
        <f t="shared" si="21"/>
        <v>0 tubes and 0 shuttles</v>
      </c>
    </row>
    <row r="565" spans="1:10" ht="12.5" x14ac:dyDescent="0.25">
      <c r="A565" s="32">
        <f>'Profit &amp; Loss'!A565</f>
        <v>0</v>
      </c>
      <c r="B565" s="35">
        <f>'Profit &amp; Loss'!B565</f>
        <v>0</v>
      </c>
      <c r="C565" s="36"/>
      <c r="D565" s="33"/>
      <c r="E565" s="102">
        <f t="shared" si="22"/>
        <v>0</v>
      </c>
      <c r="F565" s="103" t="str">
        <f t="shared" si="18"/>
        <v>0 tubes and 0 shuttles</v>
      </c>
      <c r="G565" s="36">
        <f t="shared" si="23"/>
        <v>0</v>
      </c>
      <c r="H565" s="104" t="str">
        <f t="shared" si="19"/>
        <v>0 tubes and 0 shuttles</v>
      </c>
      <c r="I565" s="36">
        <f t="shared" si="20"/>
        <v>0</v>
      </c>
      <c r="J565" s="103" t="str">
        <f t="shared" si="21"/>
        <v>0 tubes and 0 shuttles</v>
      </c>
    </row>
    <row r="566" spans="1:10" ht="12.5" x14ac:dyDescent="0.25">
      <c r="A566" s="32">
        <f>'Profit &amp; Loss'!A566</f>
        <v>0</v>
      </c>
      <c r="B566" s="35">
        <f>'Profit &amp; Loss'!B566</f>
        <v>0</v>
      </c>
      <c r="C566" s="36"/>
      <c r="D566" s="33"/>
      <c r="E566" s="102">
        <f t="shared" si="22"/>
        <v>0</v>
      </c>
      <c r="F566" s="103" t="str">
        <f t="shared" si="18"/>
        <v>0 tubes and 0 shuttles</v>
      </c>
      <c r="G566" s="36">
        <f t="shared" si="23"/>
        <v>0</v>
      </c>
      <c r="H566" s="104" t="str">
        <f t="shared" si="19"/>
        <v>0 tubes and 0 shuttles</v>
      </c>
      <c r="I566" s="36">
        <f t="shared" si="20"/>
        <v>0</v>
      </c>
      <c r="J566" s="103" t="str">
        <f t="shared" si="21"/>
        <v>0 tubes and 0 shuttles</v>
      </c>
    </row>
    <row r="567" spans="1:10" ht="12.5" x14ac:dyDescent="0.25">
      <c r="A567" s="32">
        <f>'Profit &amp; Loss'!A567</f>
        <v>0</v>
      </c>
      <c r="B567" s="35">
        <f>'Profit &amp; Loss'!B567</f>
        <v>0</v>
      </c>
      <c r="C567" s="36"/>
      <c r="D567" s="33"/>
      <c r="E567" s="102">
        <f t="shared" si="22"/>
        <v>0</v>
      </c>
      <c r="F567" s="103" t="str">
        <f t="shared" si="18"/>
        <v>0 tubes and 0 shuttles</v>
      </c>
      <c r="G567" s="36">
        <f t="shared" si="23"/>
        <v>0</v>
      </c>
      <c r="H567" s="104" t="str">
        <f t="shared" si="19"/>
        <v>0 tubes and 0 shuttles</v>
      </c>
      <c r="I567" s="36">
        <f t="shared" si="20"/>
        <v>0</v>
      </c>
      <c r="J567" s="103" t="str">
        <f t="shared" si="21"/>
        <v>0 tubes and 0 shuttles</v>
      </c>
    </row>
    <row r="568" spans="1:10" ht="12.5" x14ac:dyDescent="0.25">
      <c r="A568" s="32">
        <f>'Profit &amp; Loss'!A568</f>
        <v>0</v>
      </c>
      <c r="B568" s="35">
        <f>'Profit &amp; Loss'!B568</f>
        <v>0</v>
      </c>
      <c r="C568" s="36"/>
      <c r="D568" s="33"/>
      <c r="E568" s="102">
        <f t="shared" si="22"/>
        <v>0</v>
      </c>
      <c r="F568" s="103" t="str">
        <f t="shared" si="18"/>
        <v>0 tubes and 0 shuttles</v>
      </c>
      <c r="G568" s="36">
        <f t="shared" si="23"/>
        <v>0</v>
      </c>
      <c r="H568" s="104" t="str">
        <f t="shared" si="19"/>
        <v>0 tubes and 0 shuttles</v>
      </c>
      <c r="I568" s="36">
        <f t="shared" si="20"/>
        <v>0</v>
      </c>
      <c r="J568" s="103" t="str">
        <f t="shared" si="21"/>
        <v>0 tubes and 0 shuttles</v>
      </c>
    </row>
    <row r="569" spans="1:10" ht="12.5" x14ac:dyDescent="0.25">
      <c r="A569" s="32">
        <f>'Profit &amp; Loss'!A569</f>
        <v>0</v>
      </c>
      <c r="B569" s="35">
        <f>'Profit &amp; Loss'!B569</f>
        <v>0</v>
      </c>
      <c r="C569" s="36"/>
      <c r="D569" s="33"/>
      <c r="E569" s="102">
        <f t="shared" si="22"/>
        <v>0</v>
      </c>
      <c r="F569" s="103" t="str">
        <f t="shared" si="18"/>
        <v>0 tubes and 0 shuttles</v>
      </c>
      <c r="G569" s="36">
        <f t="shared" si="23"/>
        <v>0</v>
      </c>
      <c r="H569" s="104" t="str">
        <f t="shared" si="19"/>
        <v>0 tubes and 0 shuttles</v>
      </c>
      <c r="I569" s="36">
        <f t="shared" si="20"/>
        <v>0</v>
      </c>
      <c r="J569" s="103" t="str">
        <f t="shared" si="21"/>
        <v>0 tubes and 0 shuttles</v>
      </c>
    </row>
    <row r="570" spans="1:10" ht="12.5" x14ac:dyDescent="0.25">
      <c r="A570" s="32">
        <f>'Profit &amp; Loss'!A570</f>
        <v>0</v>
      </c>
      <c r="B570" s="35">
        <f>'Profit &amp; Loss'!B570</f>
        <v>0</v>
      </c>
      <c r="C570" s="36"/>
      <c r="D570" s="33"/>
      <c r="E570" s="102">
        <f t="shared" si="22"/>
        <v>0</v>
      </c>
      <c r="F570" s="103" t="str">
        <f t="shared" si="18"/>
        <v>0 tubes and 0 shuttles</v>
      </c>
      <c r="G570" s="36">
        <f t="shared" si="23"/>
        <v>0</v>
      </c>
      <c r="H570" s="104" t="str">
        <f t="shared" si="19"/>
        <v>0 tubes and 0 shuttles</v>
      </c>
      <c r="I570" s="36">
        <f t="shared" si="20"/>
        <v>0</v>
      </c>
      <c r="J570" s="103" t="str">
        <f t="shared" si="21"/>
        <v>0 tubes and 0 shuttles</v>
      </c>
    </row>
    <row r="571" spans="1:10" ht="12.5" x14ac:dyDescent="0.25">
      <c r="A571" s="32">
        <f>'Profit &amp; Loss'!A571</f>
        <v>0</v>
      </c>
      <c r="B571" s="35">
        <f>'Profit &amp; Loss'!B571</f>
        <v>0</v>
      </c>
      <c r="C571" s="36"/>
      <c r="D571" s="33"/>
      <c r="E571" s="102">
        <f t="shared" si="22"/>
        <v>0</v>
      </c>
      <c r="F571" s="103" t="str">
        <f t="shared" si="18"/>
        <v>0 tubes and 0 shuttles</v>
      </c>
      <c r="G571" s="36">
        <f t="shared" si="23"/>
        <v>0</v>
      </c>
      <c r="H571" s="104" t="str">
        <f t="shared" si="19"/>
        <v>0 tubes and 0 shuttles</v>
      </c>
      <c r="I571" s="36">
        <f t="shared" si="20"/>
        <v>0</v>
      </c>
      <c r="J571" s="103" t="str">
        <f t="shared" si="21"/>
        <v>0 tubes and 0 shuttles</v>
      </c>
    </row>
    <row r="572" spans="1:10" ht="12.5" x14ac:dyDescent="0.25">
      <c r="A572" s="32">
        <f>'Profit &amp; Loss'!A572</f>
        <v>0</v>
      </c>
      <c r="B572" s="35">
        <f>'Profit &amp; Loss'!B572</f>
        <v>0</v>
      </c>
      <c r="C572" s="36"/>
      <c r="D572" s="33"/>
      <c r="E572" s="102">
        <f t="shared" si="22"/>
        <v>0</v>
      </c>
      <c r="F572" s="103" t="str">
        <f t="shared" si="18"/>
        <v>0 tubes and 0 shuttles</v>
      </c>
      <c r="G572" s="36">
        <f t="shared" si="23"/>
        <v>0</v>
      </c>
      <c r="H572" s="104" t="str">
        <f t="shared" si="19"/>
        <v>0 tubes and 0 shuttles</v>
      </c>
      <c r="I572" s="36">
        <f t="shared" si="20"/>
        <v>0</v>
      </c>
      <c r="J572" s="103" t="str">
        <f t="shared" si="21"/>
        <v>0 tubes and 0 shuttles</v>
      </c>
    </row>
    <row r="573" spans="1:10" ht="12.5" x14ac:dyDescent="0.25">
      <c r="A573" s="32">
        <f>'Profit &amp; Loss'!A573</f>
        <v>0</v>
      </c>
      <c r="B573" s="35">
        <f>'Profit &amp; Loss'!B573</f>
        <v>0</v>
      </c>
      <c r="C573" s="36"/>
      <c r="D573" s="33"/>
      <c r="E573" s="102">
        <f t="shared" si="22"/>
        <v>0</v>
      </c>
      <c r="F573" s="103" t="str">
        <f t="shared" si="18"/>
        <v>0 tubes and 0 shuttles</v>
      </c>
      <c r="G573" s="36">
        <f t="shared" si="23"/>
        <v>0</v>
      </c>
      <c r="H573" s="104" t="str">
        <f t="shared" si="19"/>
        <v>0 tubes and 0 shuttles</v>
      </c>
      <c r="I573" s="36">
        <f t="shared" si="20"/>
        <v>0</v>
      </c>
      <c r="J573" s="103" t="str">
        <f t="shared" si="21"/>
        <v>0 tubes and 0 shuttles</v>
      </c>
    </row>
    <row r="574" spans="1:10" ht="12.5" x14ac:dyDescent="0.25">
      <c r="A574" s="32">
        <f>'Profit &amp; Loss'!A574</f>
        <v>0</v>
      </c>
      <c r="B574" s="35">
        <f>'Profit &amp; Loss'!B574</f>
        <v>0</v>
      </c>
      <c r="C574" s="36"/>
      <c r="D574" s="33"/>
      <c r="E574" s="102">
        <f t="shared" si="22"/>
        <v>0</v>
      </c>
      <c r="F574" s="103" t="str">
        <f t="shared" si="18"/>
        <v>0 tubes and 0 shuttles</v>
      </c>
      <c r="G574" s="36">
        <f t="shared" si="23"/>
        <v>0</v>
      </c>
      <c r="H574" s="104" t="str">
        <f t="shared" si="19"/>
        <v>0 tubes and 0 shuttles</v>
      </c>
      <c r="I574" s="36">
        <f t="shared" si="20"/>
        <v>0</v>
      </c>
      <c r="J574" s="103" t="str">
        <f t="shared" si="21"/>
        <v>0 tubes and 0 shuttles</v>
      </c>
    </row>
    <row r="575" spans="1:10" ht="12.5" x14ac:dyDescent="0.25">
      <c r="A575" s="32">
        <f>'Profit &amp; Loss'!A575</f>
        <v>0</v>
      </c>
      <c r="B575" s="35">
        <f>'Profit &amp; Loss'!B575</f>
        <v>0</v>
      </c>
      <c r="C575" s="36"/>
      <c r="D575" s="33"/>
      <c r="E575" s="102">
        <f t="shared" si="22"/>
        <v>0</v>
      </c>
      <c r="F575" s="103" t="str">
        <f t="shared" si="18"/>
        <v>0 tubes and 0 shuttles</v>
      </c>
      <c r="G575" s="36">
        <f t="shared" si="23"/>
        <v>0</v>
      </c>
      <c r="H575" s="104" t="str">
        <f t="shared" si="19"/>
        <v>0 tubes and 0 shuttles</v>
      </c>
      <c r="I575" s="36">
        <f t="shared" si="20"/>
        <v>0</v>
      </c>
      <c r="J575" s="103" t="str">
        <f t="shared" si="21"/>
        <v>0 tubes and 0 shuttles</v>
      </c>
    </row>
    <row r="576" spans="1:10" ht="12.5" x14ac:dyDescent="0.25">
      <c r="A576" s="32">
        <f>'Profit &amp; Loss'!A576</f>
        <v>0</v>
      </c>
      <c r="B576" s="35">
        <f>'Profit &amp; Loss'!B576</f>
        <v>0</v>
      </c>
      <c r="C576" s="36"/>
      <c r="D576" s="33"/>
      <c r="E576" s="102">
        <f t="shared" si="22"/>
        <v>0</v>
      </c>
      <c r="F576" s="103" t="str">
        <f t="shared" si="18"/>
        <v>0 tubes and 0 shuttles</v>
      </c>
      <c r="G576" s="36">
        <f t="shared" si="23"/>
        <v>0</v>
      </c>
      <c r="H576" s="104" t="str">
        <f t="shared" si="19"/>
        <v>0 tubes and 0 shuttles</v>
      </c>
      <c r="I576" s="36">
        <f t="shared" si="20"/>
        <v>0</v>
      </c>
      <c r="J576" s="103" t="str">
        <f t="shared" si="21"/>
        <v>0 tubes and 0 shuttles</v>
      </c>
    </row>
    <row r="577" spans="1:10" ht="12.5" x14ac:dyDescent="0.25">
      <c r="A577" s="32">
        <f>'Profit &amp; Loss'!A577</f>
        <v>0</v>
      </c>
      <c r="B577" s="35">
        <f>'Profit &amp; Loss'!B577</f>
        <v>0</v>
      </c>
      <c r="C577" s="36"/>
      <c r="D577" s="33"/>
      <c r="E577" s="102">
        <f t="shared" si="22"/>
        <v>0</v>
      </c>
      <c r="F577" s="103" t="str">
        <f t="shared" si="18"/>
        <v>0 tubes and 0 shuttles</v>
      </c>
      <c r="G577" s="36">
        <f t="shared" si="23"/>
        <v>0</v>
      </c>
      <c r="H577" s="104" t="str">
        <f t="shared" si="19"/>
        <v>0 tubes and 0 shuttles</v>
      </c>
      <c r="I577" s="36">
        <f t="shared" si="20"/>
        <v>0</v>
      </c>
      <c r="J577" s="103" t="str">
        <f t="shared" si="21"/>
        <v>0 tubes and 0 shuttles</v>
      </c>
    </row>
    <row r="578" spans="1:10" ht="12.5" x14ac:dyDescent="0.25">
      <c r="A578" s="32">
        <f>'Profit &amp; Loss'!A578</f>
        <v>0</v>
      </c>
      <c r="B578" s="35">
        <f>'Profit &amp; Loss'!B578</f>
        <v>0</v>
      </c>
      <c r="C578" s="36"/>
      <c r="D578" s="33"/>
      <c r="E578" s="102">
        <f t="shared" si="22"/>
        <v>0</v>
      </c>
      <c r="F578" s="103" t="str">
        <f t="shared" si="18"/>
        <v>0 tubes and 0 shuttles</v>
      </c>
      <c r="G578" s="36">
        <f t="shared" si="23"/>
        <v>0</v>
      </c>
      <c r="H578" s="104" t="str">
        <f t="shared" si="19"/>
        <v>0 tubes and 0 shuttles</v>
      </c>
      <c r="I578" s="36">
        <f t="shared" si="20"/>
        <v>0</v>
      </c>
      <c r="J578" s="103" t="str">
        <f t="shared" si="21"/>
        <v>0 tubes and 0 shuttles</v>
      </c>
    </row>
    <row r="579" spans="1:10" ht="12.5" x14ac:dyDescent="0.25">
      <c r="A579" s="32">
        <f>'Profit &amp; Loss'!A579</f>
        <v>0</v>
      </c>
      <c r="B579" s="35">
        <f>'Profit &amp; Loss'!B579</f>
        <v>0</v>
      </c>
      <c r="C579" s="36"/>
      <c r="D579" s="33"/>
      <c r="E579" s="102">
        <f t="shared" si="22"/>
        <v>0</v>
      </c>
      <c r="F579" s="103" t="str">
        <f t="shared" si="18"/>
        <v>0 tubes and 0 shuttles</v>
      </c>
      <c r="G579" s="36">
        <f t="shared" si="23"/>
        <v>0</v>
      </c>
      <c r="H579" s="104" t="str">
        <f t="shared" si="19"/>
        <v>0 tubes and 0 shuttles</v>
      </c>
      <c r="I579" s="36">
        <f t="shared" si="20"/>
        <v>0</v>
      </c>
      <c r="J579" s="103" t="str">
        <f t="shared" si="21"/>
        <v>0 tubes and 0 shuttles</v>
      </c>
    </row>
    <row r="580" spans="1:10" ht="12.5" x14ac:dyDescent="0.25">
      <c r="A580" s="32">
        <f>'Profit &amp; Loss'!A580</f>
        <v>0</v>
      </c>
      <c r="B580" s="35">
        <f>'Profit &amp; Loss'!B580</f>
        <v>0</v>
      </c>
      <c r="C580" s="36"/>
      <c r="D580" s="33"/>
      <c r="E580" s="102">
        <f t="shared" si="22"/>
        <v>0</v>
      </c>
      <c r="F580" s="103" t="str">
        <f t="shared" si="18"/>
        <v>0 tubes and 0 shuttles</v>
      </c>
      <c r="G580" s="36">
        <f t="shared" si="23"/>
        <v>0</v>
      </c>
      <c r="H580" s="104" t="str">
        <f t="shared" si="19"/>
        <v>0 tubes and 0 shuttles</v>
      </c>
      <c r="I580" s="36">
        <f t="shared" si="20"/>
        <v>0</v>
      </c>
      <c r="J580" s="103" t="str">
        <f t="shared" si="21"/>
        <v>0 tubes and 0 shuttles</v>
      </c>
    </row>
    <row r="581" spans="1:10" ht="12.5" x14ac:dyDescent="0.25">
      <c r="A581" s="32">
        <f>'Profit &amp; Loss'!A581</f>
        <v>0</v>
      </c>
      <c r="B581" s="35">
        <f>'Profit &amp; Loss'!B581</f>
        <v>0</v>
      </c>
      <c r="C581" s="36"/>
      <c r="D581" s="33"/>
      <c r="E581" s="102">
        <f t="shared" si="22"/>
        <v>0</v>
      </c>
      <c r="F581" s="103" t="str">
        <f t="shared" si="18"/>
        <v>0 tubes and 0 shuttles</v>
      </c>
      <c r="G581" s="36">
        <f t="shared" si="23"/>
        <v>0</v>
      </c>
      <c r="H581" s="104" t="str">
        <f t="shared" si="19"/>
        <v>0 tubes and 0 shuttles</v>
      </c>
      <c r="I581" s="36">
        <f t="shared" si="20"/>
        <v>0</v>
      </c>
      <c r="J581" s="103" t="str">
        <f t="shared" si="21"/>
        <v>0 tubes and 0 shuttles</v>
      </c>
    </row>
    <row r="582" spans="1:10" ht="12.5" x14ac:dyDescent="0.25">
      <c r="A582" s="32">
        <f>'Profit &amp; Loss'!A582</f>
        <v>0</v>
      </c>
      <c r="B582" s="35">
        <f>'Profit &amp; Loss'!B582</f>
        <v>0</v>
      </c>
      <c r="C582" s="36"/>
      <c r="D582" s="33"/>
      <c r="E582" s="102">
        <f t="shared" si="22"/>
        <v>0</v>
      </c>
      <c r="F582" s="103" t="str">
        <f t="shared" si="18"/>
        <v>0 tubes and 0 shuttles</v>
      </c>
      <c r="G582" s="36">
        <f t="shared" si="23"/>
        <v>0</v>
      </c>
      <c r="H582" s="104" t="str">
        <f t="shared" si="19"/>
        <v>0 tubes and 0 shuttles</v>
      </c>
      <c r="I582" s="36">
        <f t="shared" si="20"/>
        <v>0</v>
      </c>
      <c r="J582" s="103" t="str">
        <f t="shared" si="21"/>
        <v>0 tubes and 0 shuttles</v>
      </c>
    </row>
    <row r="583" spans="1:10" ht="12.5" x14ac:dyDescent="0.25">
      <c r="A583" s="32">
        <f>'Profit &amp; Loss'!A583</f>
        <v>0</v>
      </c>
      <c r="B583" s="35">
        <f>'Profit &amp; Loss'!B583</f>
        <v>0</v>
      </c>
      <c r="C583" s="36"/>
      <c r="D583" s="33"/>
      <c r="E583" s="102">
        <f t="shared" si="22"/>
        <v>0</v>
      </c>
      <c r="F583" s="103" t="str">
        <f t="shared" si="18"/>
        <v>0 tubes and 0 shuttles</v>
      </c>
      <c r="G583" s="36">
        <f t="shared" si="23"/>
        <v>0</v>
      </c>
      <c r="H583" s="104" t="str">
        <f t="shared" si="19"/>
        <v>0 tubes and 0 shuttles</v>
      </c>
      <c r="I583" s="36">
        <f t="shared" si="20"/>
        <v>0</v>
      </c>
      <c r="J583" s="103" t="str">
        <f t="shared" si="21"/>
        <v>0 tubes and 0 shuttles</v>
      </c>
    </row>
    <row r="584" spans="1:10" ht="12.5" x14ac:dyDescent="0.25">
      <c r="A584" s="32">
        <f>'Profit &amp; Loss'!A584</f>
        <v>0</v>
      </c>
      <c r="B584" s="35">
        <f>'Profit &amp; Loss'!B584</f>
        <v>0</v>
      </c>
      <c r="C584" s="36"/>
      <c r="D584" s="33"/>
      <c r="E584" s="102">
        <f t="shared" si="22"/>
        <v>0</v>
      </c>
      <c r="F584" s="103" t="str">
        <f t="shared" si="18"/>
        <v>0 tubes and 0 shuttles</v>
      </c>
      <c r="G584" s="36">
        <f t="shared" si="23"/>
        <v>0</v>
      </c>
      <c r="H584" s="104" t="str">
        <f t="shared" si="19"/>
        <v>0 tubes and 0 shuttles</v>
      </c>
      <c r="I584" s="36">
        <f t="shared" si="20"/>
        <v>0</v>
      </c>
      <c r="J584" s="103" t="str">
        <f t="shared" si="21"/>
        <v>0 tubes and 0 shuttles</v>
      </c>
    </row>
    <row r="585" spans="1:10" ht="12.5" x14ac:dyDescent="0.25">
      <c r="A585" s="32">
        <f>'Profit &amp; Loss'!A585</f>
        <v>0</v>
      </c>
      <c r="B585" s="35">
        <f>'Profit &amp; Loss'!B585</f>
        <v>0</v>
      </c>
      <c r="C585" s="36"/>
      <c r="D585" s="33"/>
      <c r="E585" s="102">
        <f t="shared" si="22"/>
        <v>0</v>
      </c>
      <c r="F585" s="103" t="str">
        <f t="shared" si="18"/>
        <v>0 tubes and 0 shuttles</v>
      </c>
      <c r="G585" s="36">
        <f t="shared" si="23"/>
        <v>0</v>
      </c>
      <c r="H585" s="104" t="str">
        <f t="shared" si="19"/>
        <v>0 tubes and 0 shuttles</v>
      </c>
      <c r="I585" s="36">
        <f t="shared" si="20"/>
        <v>0</v>
      </c>
      <c r="J585" s="103" t="str">
        <f t="shared" si="21"/>
        <v>0 tubes and 0 shuttles</v>
      </c>
    </row>
    <row r="586" spans="1:10" ht="12.5" x14ac:dyDescent="0.25">
      <c r="A586" s="32">
        <f>'Profit &amp; Loss'!A586</f>
        <v>0</v>
      </c>
      <c r="B586" s="35">
        <f>'Profit &amp; Loss'!B586</f>
        <v>0</v>
      </c>
      <c r="C586" s="36"/>
      <c r="D586" s="33"/>
      <c r="E586" s="102">
        <f t="shared" si="22"/>
        <v>0</v>
      </c>
      <c r="F586" s="103" t="str">
        <f t="shared" si="18"/>
        <v>0 tubes and 0 shuttles</v>
      </c>
      <c r="G586" s="36">
        <f t="shared" si="23"/>
        <v>0</v>
      </c>
      <c r="H586" s="104" t="str">
        <f t="shared" si="19"/>
        <v>0 tubes and 0 shuttles</v>
      </c>
      <c r="I586" s="36">
        <f t="shared" si="20"/>
        <v>0</v>
      </c>
      <c r="J586" s="103" t="str">
        <f t="shared" si="21"/>
        <v>0 tubes and 0 shuttles</v>
      </c>
    </row>
    <row r="587" spans="1:10" ht="12.5" x14ac:dyDescent="0.25">
      <c r="A587" s="32">
        <f>'Profit &amp; Loss'!A587</f>
        <v>0</v>
      </c>
      <c r="B587" s="35">
        <f>'Profit &amp; Loss'!B587</f>
        <v>0</v>
      </c>
      <c r="C587" s="36"/>
      <c r="D587" s="33"/>
      <c r="E587" s="102">
        <f t="shared" si="22"/>
        <v>0</v>
      </c>
      <c r="F587" s="103" t="str">
        <f t="shared" si="18"/>
        <v>0 tubes and 0 shuttles</v>
      </c>
      <c r="G587" s="36">
        <f t="shared" si="23"/>
        <v>0</v>
      </c>
      <c r="H587" s="104" t="str">
        <f t="shared" si="19"/>
        <v>0 tubes and 0 shuttles</v>
      </c>
      <c r="I587" s="36">
        <f t="shared" si="20"/>
        <v>0</v>
      </c>
      <c r="J587" s="103" t="str">
        <f t="shared" si="21"/>
        <v>0 tubes and 0 shuttles</v>
      </c>
    </row>
    <row r="588" spans="1:10" ht="12.5" x14ac:dyDescent="0.25">
      <c r="A588" s="32">
        <f>'Profit &amp; Loss'!A588</f>
        <v>0</v>
      </c>
      <c r="B588" s="35">
        <f>'Profit &amp; Loss'!B588</f>
        <v>0</v>
      </c>
      <c r="C588" s="36"/>
      <c r="D588" s="33"/>
      <c r="E588" s="102">
        <f t="shared" si="22"/>
        <v>0</v>
      </c>
      <c r="F588" s="103" t="str">
        <f t="shared" si="18"/>
        <v>0 tubes and 0 shuttles</v>
      </c>
      <c r="G588" s="36">
        <f t="shared" si="23"/>
        <v>0</v>
      </c>
      <c r="H588" s="104" t="str">
        <f t="shared" si="19"/>
        <v>0 tubes and 0 shuttles</v>
      </c>
      <c r="I588" s="36">
        <f t="shared" si="20"/>
        <v>0</v>
      </c>
      <c r="J588" s="103" t="str">
        <f t="shared" si="21"/>
        <v>0 tubes and 0 shuttles</v>
      </c>
    </row>
    <row r="589" spans="1:10" ht="12.5" x14ac:dyDescent="0.25">
      <c r="A589" s="32">
        <f>'Profit &amp; Loss'!A589</f>
        <v>0</v>
      </c>
      <c r="B589" s="35">
        <f>'Profit &amp; Loss'!B589</f>
        <v>0</v>
      </c>
      <c r="C589" s="36"/>
      <c r="D589" s="33"/>
      <c r="E589" s="102">
        <f t="shared" si="22"/>
        <v>0</v>
      </c>
      <c r="F589" s="103" t="str">
        <f t="shared" si="18"/>
        <v>0 tubes and 0 shuttles</v>
      </c>
      <c r="G589" s="36">
        <f t="shared" si="23"/>
        <v>0</v>
      </c>
      <c r="H589" s="104" t="str">
        <f t="shared" si="19"/>
        <v>0 tubes and 0 shuttles</v>
      </c>
      <c r="I589" s="36">
        <f t="shared" si="20"/>
        <v>0</v>
      </c>
      <c r="J589" s="103" t="str">
        <f t="shared" si="21"/>
        <v>0 tubes and 0 shuttles</v>
      </c>
    </row>
    <row r="590" spans="1:10" ht="12.5" x14ac:dyDescent="0.25">
      <c r="A590" s="32">
        <f>'Profit &amp; Loss'!A590</f>
        <v>0</v>
      </c>
      <c r="B590" s="35">
        <f>'Profit &amp; Loss'!B590</f>
        <v>0</v>
      </c>
      <c r="C590" s="36"/>
      <c r="D590" s="33"/>
      <c r="E590" s="102">
        <f t="shared" si="22"/>
        <v>0</v>
      </c>
      <c r="F590" s="103" t="str">
        <f t="shared" si="18"/>
        <v>0 tubes and 0 shuttles</v>
      </c>
      <c r="G590" s="36">
        <f t="shared" si="23"/>
        <v>0</v>
      </c>
      <c r="H590" s="104" t="str">
        <f t="shared" si="19"/>
        <v>0 tubes and 0 shuttles</v>
      </c>
      <c r="I590" s="36">
        <f t="shared" si="20"/>
        <v>0</v>
      </c>
      <c r="J590" s="103" t="str">
        <f t="shared" si="21"/>
        <v>0 tubes and 0 shuttles</v>
      </c>
    </row>
    <row r="591" spans="1:10" ht="12.5" x14ac:dyDescent="0.25">
      <c r="A591" s="32">
        <f>'Profit &amp; Loss'!A591</f>
        <v>0</v>
      </c>
      <c r="B591" s="35">
        <f>'Profit &amp; Loss'!B591</f>
        <v>0</v>
      </c>
      <c r="C591" s="36"/>
      <c r="D591" s="33"/>
      <c r="E591" s="102">
        <f t="shared" si="22"/>
        <v>0</v>
      </c>
      <c r="F591" s="103" t="str">
        <f t="shared" si="18"/>
        <v>0 tubes and 0 shuttles</v>
      </c>
      <c r="G591" s="36">
        <f t="shared" si="23"/>
        <v>0</v>
      </c>
      <c r="H591" s="104" t="str">
        <f t="shared" si="19"/>
        <v>0 tubes and 0 shuttles</v>
      </c>
      <c r="I591" s="36">
        <f t="shared" si="20"/>
        <v>0</v>
      </c>
      <c r="J591" s="103" t="str">
        <f t="shared" si="21"/>
        <v>0 tubes and 0 shuttles</v>
      </c>
    </row>
    <row r="592" spans="1:10" ht="12.5" x14ac:dyDescent="0.25">
      <c r="A592" s="32">
        <f>'Profit &amp; Loss'!A592</f>
        <v>0</v>
      </c>
      <c r="B592" s="35">
        <f>'Profit &amp; Loss'!B592</f>
        <v>0</v>
      </c>
      <c r="C592" s="36"/>
      <c r="D592" s="33"/>
      <c r="E592" s="102">
        <f t="shared" si="22"/>
        <v>0</v>
      </c>
      <c r="F592" s="103" t="str">
        <f t="shared" si="18"/>
        <v>0 tubes and 0 shuttles</v>
      </c>
      <c r="G592" s="36">
        <f t="shared" si="23"/>
        <v>0</v>
      </c>
      <c r="H592" s="104" t="str">
        <f t="shared" si="19"/>
        <v>0 tubes and 0 shuttles</v>
      </c>
      <c r="I592" s="36">
        <f t="shared" si="20"/>
        <v>0</v>
      </c>
      <c r="J592" s="103" t="str">
        <f t="shared" si="21"/>
        <v>0 tubes and 0 shuttles</v>
      </c>
    </row>
    <row r="593" spans="1:10" ht="12.5" x14ac:dyDescent="0.25">
      <c r="A593" s="32">
        <f>'Profit &amp; Loss'!A593</f>
        <v>0</v>
      </c>
      <c r="B593" s="35">
        <f>'Profit &amp; Loss'!B593</f>
        <v>0</v>
      </c>
      <c r="C593" s="36"/>
      <c r="D593" s="33"/>
      <c r="E593" s="102">
        <f t="shared" si="22"/>
        <v>0</v>
      </c>
      <c r="F593" s="103" t="str">
        <f t="shared" si="18"/>
        <v>0 tubes and 0 shuttles</v>
      </c>
      <c r="G593" s="36">
        <f t="shared" si="23"/>
        <v>0</v>
      </c>
      <c r="H593" s="104" t="str">
        <f t="shared" si="19"/>
        <v>0 tubes and 0 shuttles</v>
      </c>
      <c r="I593" s="36">
        <f t="shared" si="20"/>
        <v>0</v>
      </c>
      <c r="J593" s="103" t="str">
        <f t="shared" si="21"/>
        <v>0 tubes and 0 shuttles</v>
      </c>
    </row>
    <row r="594" spans="1:10" ht="12.5" x14ac:dyDescent="0.25">
      <c r="A594" s="32">
        <f>'Profit &amp; Loss'!A594</f>
        <v>0</v>
      </c>
      <c r="B594" s="35">
        <f>'Profit &amp; Loss'!B594</f>
        <v>0</v>
      </c>
      <c r="C594" s="36"/>
      <c r="D594" s="33"/>
      <c r="E594" s="102">
        <f t="shared" si="22"/>
        <v>0</v>
      </c>
      <c r="F594" s="103" t="str">
        <f t="shared" si="18"/>
        <v>0 tubes and 0 shuttles</v>
      </c>
      <c r="G594" s="36">
        <f t="shared" si="23"/>
        <v>0</v>
      </c>
      <c r="H594" s="104" t="str">
        <f t="shared" si="19"/>
        <v>0 tubes and 0 shuttles</v>
      </c>
      <c r="I594" s="36">
        <f t="shared" si="20"/>
        <v>0</v>
      </c>
      <c r="J594" s="103" t="str">
        <f t="shared" si="21"/>
        <v>0 tubes and 0 shuttles</v>
      </c>
    </row>
    <row r="595" spans="1:10" ht="12.5" x14ac:dyDescent="0.25">
      <c r="A595" s="32">
        <f>'Profit &amp; Loss'!A595</f>
        <v>0</v>
      </c>
      <c r="B595" s="35">
        <f>'Profit &amp; Loss'!B595</f>
        <v>0</v>
      </c>
      <c r="C595" s="36"/>
      <c r="D595" s="33"/>
      <c r="E595" s="102">
        <f t="shared" si="22"/>
        <v>0</v>
      </c>
      <c r="F595" s="103" t="str">
        <f t="shared" si="18"/>
        <v>0 tubes and 0 shuttles</v>
      </c>
      <c r="G595" s="36">
        <f t="shared" si="23"/>
        <v>0</v>
      </c>
      <c r="H595" s="104" t="str">
        <f t="shared" si="19"/>
        <v>0 tubes and 0 shuttles</v>
      </c>
      <c r="I595" s="36">
        <f t="shared" si="20"/>
        <v>0</v>
      </c>
      <c r="J595" s="103" t="str">
        <f t="shared" si="21"/>
        <v>0 tubes and 0 shuttles</v>
      </c>
    </row>
    <row r="596" spans="1:10" ht="12.5" x14ac:dyDescent="0.25">
      <c r="A596" s="32">
        <f>'Profit &amp; Loss'!A596</f>
        <v>0</v>
      </c>
      <c r="B596" s="35">
        <f>'Profit &amp; Loss'!B596</f>
        <v>0</v>
      </c>
      <c r="C596" s="36"/>
      <c r="D596" s="33"/>
      <c r="E596" s="102">
        <f t="shared" si="22"/>
        <v>0</v>
      </c>
      <c r="F596" s="103" t="str">
        <f t="shared" si="18"/>
        <v>0 tubes and 0 shuttles</v>
      </c>
      <c r="G596" s="36">
        <f t="shared" si="23"/>
        <v>0</v>
      </c>
      <c r="H596" s="104" t="str">
        <f t="shared" si="19"/>
        <v>0 tubes and 0 shuttles</v>
      </c>
      <c r="I596" s="36">
        <f t="shared" si="20"/>
        <v>0</v>
      </c>
      <c r="J596" s="103" t="str">
        <f t="shared" si="21"/>
        <v>0 tubes and 0 shuttles</v>
      </c>
    </row>
    <row r="597" spans="1:10" ht="12.5" x14ac:dyDescent="0.25">
      <c r="A597" s="32">
        <f>'Profit &amp; Loss'!A597</f>
        <v>0</v>
      </c>
      <c r="B597" s="35">
        <f>'Profit &amp; Loss'!B597</f>
        <v>0</v>
      </c>
      <c r="C597" s="36"/>
      <c r="D597" s="33"/>
      <c r="E597" s="102">
        <f t="shared" si="22"/>
        <v>0</v>
      </c>
      <c r="F597" s="103" t="str">
        <f t="shared" si="18"/>
        <v>0 tubes and 0 shuttles</v>
      </c>
      <c r="G597" s="36">
        <f t="shared" si="23"/>
        <v>0</v>
      </c>
      <c r="H597" s="104" t="str">
        <f t="shared" si="19"/>
        <v>0 tubes and 0 shuttles</v>
      </c>
      <c r="I597" s="36">
        <f t="shared" si="20"/>
        <v>0</v>
      </c>
      <c r="J597" s="103" t="str">
        <f t="shared" si="21"/>
        <v>0 tubes and 0 shuttles</v>
      </c>
    </row>
    <row r="598" spans="1:10" ht="12.5" x14ac:dyDescent="0.25">
      <c r="A598" s="32">
        <f>'Profit &amp; Loss'!A598</f>
        <v>0</v>
      </c>
      <c r="B598" s="35">
        <f>'Profit &amp; Loss'!B598</f>
        <v>0</v>
      </c>
      <c r="C598" s="36"/>
      <c r="D598" s="33"/>
      <c r="E598" s="102">
        <f t="shared" si="22"/>
        <v>0</v>
      </c>
      <c r="F598" s="103" t="str">
        <f t="shared" si="18"/>
        <v>0 tubes and 0 shuttles</v>
      </c>
      <c r="G598" s="36">
        <f t="shared" si="23"/>
        <v>0</v>
      </c>
      <c r="H598" s="104" t="str">
        <f t="shared" si="19"/>
        <v>0 tubes and 0 shuttles</v>
      </c>
      <c r="I598" s="36">
        <f t="shared" si="20"/>
        <v>0</v>
      </c>
      <c r="J598" s="103" t="str">
        <f t="shared" si="21"/>
        <v>0 tubes and 0 shuttles</v>
      </c>
    </row>
    <row r="599" spans="1:10" ht="12.5" x14ac:dyDescent="0.25">
      <c r="A599" s="32">
        <f>'Profit &amp; Loss'!A599</f>
        <v>0</v>
      </c>
      <c r="B599" s="35">
        <f>'Profit &amp; Loss'!B599</f>
        <v>0</v>
      </c>
      <c r="C599" s="36"/>
      <c r="D599" s="33"/>
      <c r="E599" s="102">
        <f t="shared" si="22"/>
        <v>0</v>
      </c>
      <c r="F599" s="103" t="str">
        <f t="shared" si="18"/>
        <v>0 tubes and 0 shuttles</v>
      </c>
      <c r="G599" s="36">
        <f t="shared" si="23"/>
        <v>0</v>
      </c>
      <c r="H599" s="104" t="str">
        <f t="shared" si="19"/>
        <v>0 tubes and 0 shuttles</v>
      </c>
      <c r="I599" s="36">
        <f t="shared" si="20"/>
        <v>0</v>
      </c>
      <c r="J599" s="103" t="str">
        <f t="shared" si="21"/>
        <v>0 tubes and 0 shuttles</v>
      </c>
    </row>
    <row r="600" spans="1:10" ht="12.5" x14ac:dyDescent="0.25">
      <c r="A600" s="32">
        <f>'Profit &amp; Loss'!A600</f>
        <v>0</v>
      </c>
      <c r="B600" s="35">
        <f>'Profit &amp; Loss'!B600</f>
        <v>0</v>
      </c>
      <c r="C600" s="36"/>
      <c r="D600" s="33"/>
      <c r="E600" s="102">
        <f t="shared" si="22"/>
        <v>0</v>
      </c>
      <c r="F600" s="103" t="str">
        <f t="shared" si="18"/>
        <v>0 tubes and 0 shuttles</v>
      </c>
      <c r="G600" s="36">
        <f t="shared" si="23"/>
        <v>0</v>
      </c>
      <c r="H600" s="104" t="str">
        <f t="shared" si="19"/>
        <v>0 tubes and 0 shuttles</v>
      </c>
      <c r="I600" s="36">
        <f t="shared" si="20"/>
        <v>0</v>
      </c>
      <c r="J600" s="103" t="str">
        <f t="shared" si="21"/>
        <v>0 tubes and 0 shuttles</v>
      </c>
    </row>
    <row r="601" spans="1:10" ht="12.5" x14ac:dyDescent="0.25">
      <c r="A601" s="32">
        <f>'Profit &amp; Loss'!A601</f>
        <v>0</v>
      </c>
      <c r="B601" s="35">
        <f>'Profit &amp; Loss'!B601</f>
        <v>0</v>
      </c>
      <c r="C601" s="36"/>
      <c r="D601" s="33"/>
      <c r="E601" s="102">
        <f t="shared" si="22"/>
        <v>0</v>
      </c>
      <c r="F601" s="103" t="str">
        <f t="shared" si="18"/>
        <v>0 tubes and 0 shuttles</v>
      </c>
      <c r="G601" s="36">
        <f t="shared" si="23"/>
        <v>0</v>
      </c>
      <c r="H601" s="104" t="str">
        <f t="shared" si="19"/>
        <v>0 tubes and 0 shuttles</v>
      </c>
      <c r="I601" s="36">
        <f t="shared" si="20"/>
        <v>0</v>
      </c>
      <c r="J601" s="103" t="str">
        <f t="shared" si="21"/>
        <v>0 tubes and 0 shuttles</v>
      </c>
    </row>
    <row r="602" spans="1:10" ht="12.5" x14ac:dyDescent="0.25">
      <c r="A602" s="32">
        <f>'Profit &amp; Loss'!A602</f>
        <v>0</v>
      </c>
      <c r="B602" s="35">
        <f>'Profit &amp; Loss'!B602</f>
        <v>0</v>
      </c>
      <c r="C602" s="36"/>
      <c r="D602" s="33"/>
      <c r="E602" s="102">
        <f t="shared" si="22"/>
        <v>0</v>
      </c>
      <c r="F602" s="103" t="str">
        <f t="shared" si="18"/>
        <v>0 tubes and 0 shuttles</v>
      </c>
      <c r="G602" s="36">
        <f t="shared" si="23"/>
        <v>0</v>
      </c>
      <c r="H602" s="104" t="str">
        <f t="shared" si="19"/>
        <v>0 tubes and 0 shuttles</v>
      </c>
      <c r="I602" s="36">
        <f t="shared" si="20"/>
        <v>0</v>
      </c>
      <c r="J602" s="103" t="str">
        <f t="shared" si="21"/>
        <v>0 tubes and 0 shuttles</v>
      </c>
    </row>
    <row r="603" spans="1:10" ht="12.5" x14ac:dyDescent="0.25">
      <c r="A603" s="32">
        <f>'Profit &amp; Loss'!A603</f>
        <v>0</v>
      </c>
      <c r="B603" s="35">
        <f>'Profit &amp; Loss'!B603</f>
        <v>0</v>
      </c>
      <c r="C603" s="36"/>
      <c r="D603" s="33"/>
      <c r="E603" s="102">
        <f t="shared" si="22"/>
        <v>0</v>
      </c>
      <c r="F603" s="103" t="str">
        <f t="shared" si="18"/>
        <v>0 tubes and 0 shuttles</v>
      </c>
      <c r="G603" s="36">
        <f t="shared" si="23"/>
        <v>0</v>
      </c>
      <c r="H603" s="104" t="str">
        <f t="shared" si="19"/>
        <v>0 tubes and 0 shuttles</v>
      </c>
      <c r="I603" s="36">
        <f t="shared" si="20"/>
        <v>0</v>
      </c>
      <c r="J603" s="103" t="str">
        <f t="shared" si="21"/>
        <v>0 tubes and 0 shuttles</v>
      </c>
    </row>
    <row r="604" spans="1:10" ht="12.5" x14ac:dyDescent="0.25">
      <c r="A604" s="32">
        <f>'Profit &amp; Loss'!A604</f>
        <v>0</v>
      </c>
      <c r="B604" s="35">
        <f>'Profit &amp; Loss'!B604</f>
        <v>0</v>
      </c>
      <c r="C604" s="36"/>
      <c r="D604" s="33"/>
      <c r="E604" s="102">
        <f t="shared" si="22"/>
        <v>0</v>
      </c>
      <c r="F604" s="103" t="str">
        <f t="shared" si="18"/>
        <v>0 tubes and 0 shuttles</v>
      </c>
      <c r="G604" s="36">
        <f t="shared" si="23"/>
        <v>0</v>
      </c>
      <c r="H604" s="104" t="str">
        <f t="shared" si="19"/>
        <v>0 tubes and 0 shuttles</v>
      </c>
      <c r="I604" s="36">
        <f t="shared" si="20"/>
        <v>0</v>
      </c>
      <c r="J604" s="103" t="str">
        <f t="shared" si="21"/>
        <v>0 tubes and 0 shuttles</v>
      </c>
    </row>
    <row r="605" spans="1:10" ht="12.5" x14ac:dyDescent="0.25">
      <c r="A605" s="32">
        <f>'Profit &amp; Loss'!A605</f>
        <v>0</v>
      </c>
      <c r="B605" s="35">
        <f>'Profit &amp; Loss'!B605</f>
        <v>0</v>
      </c>
      <c r="C605" s="36"/>
      <c r="D605" s="33"/>
      <c r="E605" s="102">
        <f t="shared" si="22"/>
        <v>0</v>
      </c>
      <c r="F605" s="103" t="str">
        <f t="shared" si="18"/>
        <v>0 tubes and 0 shuttles</v>
      </c>
      <c r="G605" s="36">
        <f t="shared" si="23"/>
        <v>0</v>
      </c>
      <c r="H605" s="104" t="str">
        <f t="shared" si="19"/>
        <v>0 tubes and 0 shuttles</v>
      </c>
      <c r="I605" s="36">
        <f t="shared" si="20"/>
        <v>0</v>
      </c>
      <c r="J605" s="103" t="str">
        <f t="shared" si="21"/>
        <v>0 tubes and 0 shuttles</v>
      </c>
    </row>
    <row r="606" spans="1:10" ht="12.5" x14ac:dyDescent="0.25">
      <c r="A606" s="32">
        <f>'Profit &amp; Loss'!A606</f>
        <v>0</v>
      </c>
      <c r="B606" s="35">
        <f>'Profit &amp; Loss'!B606</f>
        <v>0</v>
      </c>
      <c r="C606" s="36"/>
      <c r="D606" s="33"/>
      <c r="E606" s="102">
        <f t="shared" si="22"/>
        <v>0</v>
      </c>
      <c r="F606" s="103" t="str">
        <f t="shared" si="18"/>
        <v>0 tubes and 0 shuttles</v>
      </c>
      <c r="G606" s="36">
        <f t="shared" si="23"/>
        <v>0</v>
      </c>
      <c r="H606" s="104" t="str">
        <f t="shared" si="19"/>
        <v>0 tubes and 0 shuttles</v>
      </c>
      <c r="I606" s="36">
        <f t="shared" si="20"/>
        <v>0</v>
      </c>
      <c r="J606" s="103" t="str">
        <f t="shared" si="21"/>
        <v>0 tubes and 0 shuttles</v>
      </c>
    </row>
    <row r="607" spans="1:10" ht="12.5" x14ac:dyDescent="0.25">
      <c r="A607" s="32">
        <f>'Profit &amp; Loss'!A607</f>
        <v>0</v>
      </c>
      <c r="B607" s="35">
        <f>'Profit &amp; Loss'!B607</f>
        <v>0</v>
      </c>
      <c r="C607" s="36"/>
      <c r="D607" s="33"/>
      <c r="E607" s="102">
        <f t="shared" si="22"/>
        <v>0</v>
      </c>
      <c r="F607" s="103" t="str">
        <f t="shared" si="18"/>
        <v>0 tubes and 0 shuttles</v>
      </c>
      <c r="G607" s="36">
        <f t="shared" si="23"/>
        <v>0</v>
      </c>
      <c r="H607" s="104" t="str">
        <f t="shared" si="19"/>
        <v>0 tubes and 0 shuttles</v>
      </c>
      <c r="I607" s="36">
        <f t="shared" si="20"/>
        <v>0</v>
      </c>
      <c r="J607" s="103" t="str">
        <f t="shared" si="21"/>
        <v>0 tubes and 0 shuttles</v>
      </c>
    </row>
    <row r="608" spans="1:10" ht="12.5" x14ac:dyDescent="0.25">
      <c r="A608" s="32">
        <f>'Profit &amp; Loss'!A608</f>
        <v>0</v>
      </c>
      <c r="B608" s="35">
        <f>'Profit &amp; Loss'!B608</f>
        <v>0</v>
      </c>
      <c r="C608" s="36"/>
      <c r="D608" s="33"/>
      <c r="E608" s="102">
        <f t="shared" si="22"/>
        <v>0</v>
      </c>
      <c r="F608" s="103" t="str">
        <f t="shared" si="18"/>
        <v>0 tubes and 0 shuttles</v>
      </c>
      <c r="G608" s="36">
        <f t="shared" si="23"/>
        <v>0</v>
      </c>
      <c r="H608" s="104" t="str">
        <f t="shared" si="19"/>
        <v>0 tubes and 0 shuttles</v>
      </c>
      <c r="I608" s="36">
        <f t="shared" si="20"/>
        <v>0</v>
      </c>
      <c r="J608" s="103" t="str">
        <f t="shared" si="21"/>
        <v>0 tubes and 0 shuttles</v>
      </c>
    </row>
    <row r="609" spans="1:10" ht="12.5" x14ac:dyDescent="0.25">
      <c r="A609" s="32">
        <f>'Profit &amp; Loss'!A609</f>
        <v>0</v>
      </c>
      <c r="B609" s="35">
        <f>'Profit &amp; Loss'!B609</f>
        <v>0</v>
      </c>
      <c r="C609" s="36"/>
      <c r="D609" s="33"/>
      <c r="E609" s="102">
        <f t="shared" si="22"/>
        <v>0</v>
      </c>
      <c r="F609" s="103" t="str">
        <f t="shared" si="18"/>
        <v>0 tubes and 0 shuttles</v>
      </c>
      <c r="G609" s="36">
        <f t="shared" si="23"/>
        <v>0</v>
      </c>
      <c r="H609" s="104" t="str">
        <f t="shared" si="19"/>
        <v>0 tubes and 0 shuttles</v>
      </c>
      <c r="I609" s="36">
        <f t="shared" si="20"/>
        <v>0</v>
      </c>
      <c r="J609" s="103" t="str">
        <f t="shared" si="21"/>
        <v>0 tubes and 0 shuttles</v>
      </c>
    </row>
    <row r="610" spans="1:10" ht="12.5" x14ac:dyDescent="0.25">
      <c r="A610" s="32">
        <f>'Profit &amp; Loss'!A610</f>
        <v>0</v>
      </c>
      <c r="B610" s="35">
        <f>'Profit &amp; Loss'!B610</f>
        <v>0</v>
      </c>
      <c r="C610" s="36"/>
      <c r="D610" s="33"/>
      <c r="E610" s="102">
        <f t="shared" si="22"/>
        <v>0</v>
      </c>
      <c r="F610" s="103" t="str">
        <f t="shared" si="18"/>
        <v>0 tubes and 0 shuttles</v>
      </c>
      <c r="G610" s="36">
        <f t="shared" si="23"/>
        <v>0</v>
      </c>
      <c r="H610" s="104" t="str">
        <f t="shared" si="19"/>
        <v>0 tubes and 0 shuttles</v>
      </c>
      <c r="I610" s="36">
        <f t="shared" si="20"/>
        <v>0</v>
      </c>
      <c r="J610" s="103" t="str">
        <f t="shared" si="21"/>
        <v>0 tubes and 0 shuttles</v>
      </c>
    </row>
    <row r="611" spans="1:10" ht="12.5" x14ac:dyDescent="0.25">
      <c r="A611" s="32">
        <f>'Profit &amp; Loss'!A611</f>
        <v>0</v>
      </c>
      <c r="B611" s="35">
        <f>'Profit &amp; Loss'!B611</f>
        <v>0</v>
      </c>
      <c r="C611" s="36"/>
      <c r="D611" s="33"/>
      <c r="E611" s="102">
        <f t="shared" si="22"/>
        <v>0</v>
      </c>
      <c r="F611" s="103" t="str">
        <f t="shared" si="18"/>
        <v>0 tubes and 0 shuttles</v>
      </c>
      <c r="G611" s="36">
        <f t="shared" si="23"/>
        <v>0</v>
      </c>
      <c r="H611" s="104" t="str">
        <f t="shared" si="19"/>
        <v>0 tubes and 0 shuttles</v>
      </c>
      <c r="I611" s="36">
        <f t="shared" si="20"/>
        <v>0</v>
      </c>
      <c r="J611" s="103" t="str">
        <f t="shared" si="21"/>
        <v>0 tubes and 0 shuttles</v>
      </c>
    </row>
    <row r="612" spans="1:10" ht="12.5" x14ac:dyDescent="0.25">
      <c r="A612" s="32">
        <f>'Profit &amp; Loss'!A612</f>
        <v>0</v>
      </c>
      <c r="B612" s="35">
        <f>'Profit &amp; Loss'!B612</f>
        <v>0</v>
      </c>
      <c r="C612" s="36"/>
      <c r="D612" s="33"/>
      <c r="E612" s="102">
        <f t="shared" si="22"/>
        <v>0</v>
      </c>
      <c r="F612" s="103" t="str">
        <f t="shared" si="18"/>
        <v>0 tubes and 0 shuttles</v>
      </c>
      <c r="G612" s="36">
        <f t="shared" si="23"/>
        <v>0</v>
      </c>
      <c r="H612" s="104" t="str">
        <f t="shared" si="19"/>
        <v>0 tubes and 0 shuttles</v>
      </c>
      <c r="I612" s="36">
        <f t="shared" si="20"/>
        <v>0</v>
      </c>
      <c r="J612" s="103" t="str">
        <f t="shared" si="21"/>
        <v>0 tubes and 0 shuttles</v>
      </c>
    </row>
    <row r="613" spans="1:10" ht="12.5" x14ac:dyDescent="0.25">
      <c r="A613" s="32">
        <f>'Profit &amp; Loss'!A613</f>
        <v>0</v>
      </c>
      <c r="B613" s="35">
        <f>'Profit &amp; Loss'!B613</f>
        <v>0</v>
      </c>
      <c r="C613" s="36"/>
      <c r="D613" s="33"/>
      <c r="E613" s="102">
        <f t="shared" si="22"/>
        <v>0</v>
      </c>
      <c r="F613" s="103" t="str">
        <f t="shared" si="18"/>
        <v>0 tubes and 0 shuttles</v>
      </c>
      <c r="G613" s="36">
        <f t="shared" si="23"/>
        <v>0</v>
      </c>
      <c r="H613" s="104" t="str">
        <f t="shared" si="19"/>
        <v>0 tubes and 0 shuttles</v>
      </c>
      <c r="I613" s="36">
        <f t="shared" si="20"/>
        <v>0</v>
      </c>
      <c r="J613" s="103" t="str">
        <f t="shared" si="21"/>
        <v>0 tubes and 0 shuttles</v>
      </c>
    </row>
    <row r="614" spans="1:10" ht="12.5" x14ac:dyDescent="0.25">
      <c r="A614" s="32">
        <f>'Profit &amp; Loss'!A614</f>
        <v>0</v>
      </c>
      <c r="B614" s="35">
        <f>'Profit &amp; Loss'!B614</f>
        <v>0</v>
      </c>
      <c r="C614" s="36"/>
      <c r="D614" s="33"/>
      <c r="E614" s="102">
        <f t="shared" si="22"/>
        <v>0</v>
      </c>
      <c r="F614" s="103" t="str">
        <f t="shared" si="18"/>
        <v>0 tubes and 0 shuttles</v>
      </c>
      <c r="G614" s="36">
        <f t="shared" si="23"/>
        <v>0</v>
      </c>
      <c r="H614" s="104" t="str">
        <f t="shared" si="19"/>
        <v>0 tubes and 0 shuttles</v>
      </c>
      <c r="I614" s="36">
        <f t="shared" si="20"/>
        <v>0</v>
      </c>
      <c r="J614" s="103" t="str">
        <f t="shared" si="21"/>
        <v>0 tubes and 0 shuttles</v>
      </c>
    </row>
    <row r="615" spans="1:10" ht="12.5" x14ac:dyDescent="0.25">
      <c r="A615" s="32">
        <f>'Profit &amp; Loss'!A615</f>
        <v>0</v>
      </c>
      <c r="B615" s="35">
        <f>'Profit &amp; Loss'!B615</f>
        <v>0</v>
      </c>
      <c r="C615" s="36"/>
      <c r="D615" s="33"/>
      <c r="E615" s="102">
        <f t="shared" si="22"/>
        <v>0</v>
      </c>
      <c r="F615" s="103" t="str">
        <f t="shared" si="18"/>
        <v>0 tubes and 0 shuttles</v>
      </c>
      <c r="G615" s="36">
        <f t="shared" si="23"/>
        <v>0</v>
      </c>
      <c r="H615" s="104" t="str">
        <f t="shared" si="19"/>
        <v>0 tubes and 0 shuttles</v>
      </c>
      <c r="I615" s="36">
        <f t="shared" si="20"/>
        <v>0</v>
      </c>
      <c r="J615" s="103" t="str">
        <f t="shared" si="21"/>
        <v>0 tubes and 0 shuttles</v>
      </c>
    </row>
    <row r="616" spans="1:10" ht="12.5" x14ac:dyDescent="0.25">
      <c r="A616" s="32">
        <f>'Profit &amp; Loss'!A616</f>
        <v>0</v>
      </c>
      <c r="B616" s="35">
        <f>'Profit &amp; Loss'!B616</f>
        <v>0</v>
      </c>
      <c r="C616" s="36"/>
      <c r="D616" s="33"/>
      <c r="E616" s="102">
        <f t="shared" si="22"/>
        <v>0</v>
      </c>
      <c r="F616" s="103" t="str">
        <f t="shared" si="18"/>
        <v>0 tubes and 0 shuttles</v>
      </c>
      <c r="G616" s="36">
        <f t="shared" si="23"/>
        <v>0</v>
      </c>
      <c r="H616" s="104" t="str">
        <f t="shared" si="19"/>
        <v>0 tubes and 0 shuttles</v>
      </c>
      <c r="I616" s="36">
        <f t="shared" si="20"/>
        <v>0</v>
      </c>
      <c r="J616" s="103" t="str">
        <f t="shared" si="21"/>
        <v>0 tubes and 0 shuttles</v>
      </c>
    </row>
    <row r="617" spans="1:10" ht="12.5" x14ac:dyDescent="0.25">
      <c r="A617" s="32">
        <f>'Profit &amp; Loss'!A617</f>
        <v>0</v>
      </c>
      <c r="B617" s="35">
        <f>'Profit &amp; Loss'!B617</f>
        <v>0</v>
      </c>
      <c r="C617" s="36"/>
      <c r="D617" s="33"/>
      <c r="E617" s="102">
        <f t="shared" si="22"/>
        <v>0</v>
      </c>
      <c r="F617" s="103" t="str">
        <f t="shared" si="18"/>
        <v>0 tubes and 0 shuttles</v>
      </c>
      <c r="G617" s="36">
        <f t="shared" si="23"/>
        <v>0</v>
      </c>
      <c r="H617" s="104" t="str">
        <f t="shared" si="19"/>
        <v>0 tubes and 0 shuttles</v>
      </c>
      <c r="I617" s="36">
        <f t="shared" si="20"/>
        <v>0</v>
      </c>
      <c r="J617" s="103" t="str">
        <f t="shared" si="21"/>
        <v>0 tubes and 0 shuttles</v>
      </c>
    </row>
    <row r="618" spans="1:10" ht="12.5" x14ac:dyDescent="0.25">
      <c r="A618" s="32">
        <f>'Profit &amp; Loss'!A618</f>
        <v>0</v>
      </c>
      <c r="B618" s="35">
        <f>'Profit &amp; Loss'!B618</f>
        <v>0</v>
      </c>
      <c r="C618" s="36"/>
      <c r="D618" s="33"/>
      <c r="E618" s="102">
        <f t="shared" si="22"/>
        <v>0</v>
      </c>
      <c r="F618" s="103" t="str">
        <f t="shared" si="18"/>
        <v>0 tubes and 0 shuttles</v>
      </c>
      <c r="G618" s="36">
        <f t="shared" si="23"/>
        <v>0</v>
      </c>
      <c r="H618" s="104" t="str">
        <f t="shared" si="19"/>
        <v>0 tubes and 0 shuttles</v>
      </c>
      <c r="I618" s="36">
        <f t="shared" si="20"/>
        <v>0</v>
      </c>
      <c r="J618" s="103" t="str">
        <f t="shared" si="21"/>
        <v>0 tubes and 0 shuttles</v>
      </c>
    </row>
    <row r="619" spans="1:10" ht="12.5" x14ac:dyDescent="0.25">
      <c r="A619" s="32">
        <f>'Profit &amp; Loss'!A619</f>
        <v>0</v>
      </c>
      <c r="B619" s="35">
        <f>'Profit &amp; Loss'!B619</f>
        <v>0</v>
      </c>
      <c r="C619" s="36"/>
      <c r="D619" s="33"/>
      <c r="E619" s="102">
        <f t="shared" si="22"/>
        <v>0</v>
      </c>
      <c r="F619" s="103" t="str">
        <f t="shared" si="18"/>
        <v>0 tubes and 0 shuttles</v>
      </c>
      <c r="G619" s="36">
        <f t="shared" si="23"/>
        <v>0</v>
      </c>
      <c r="H619" s="104" t="str">
        <f t="shared" si="19"/>
        <v>0 tubes and 0 shuttles</v>
      </c>
      <c r="I619" s="36">
        <f t="shared" si="20"/>
        <v>0</v>
      </c>
      <c r="J619" s="103" t="str">
        <f t="shared" si="21"/>
        <v>0 tubes and 0 shuttles</v>
      </c>
    </row>
    <row r="620" spans="1:10" ht="12.5" x14ac:dyDescent="0.25">
      <c r="A620" s="32">
        <f>'Profit &amp; Loss'!A620</f>
        <v>0</v>
      </c>
      <c r="B620" s="35">
        <f>'Profit &amp; Loss'!B620</f>
        <v>0</v>
      </c>
      <c r="C620" s="36"/>
      <c r="D620" s="33"/>
      <c r="E620" s="102">
        <f t="shared" si="22"/>
        <v>0</v>
      </c>
      <c r="F620" s="103" t="str">
        <f t="shared" si="18"/>
        <v>0 tubes and 0 shuttles</v>
      </c>
      <c r="G620" s="36">
        <f t="shared" si="23"/>
        <v>0</v>
      </c>
      <c r="H620" s="104" t="str">
        <f t="shared" si="19"/>
        <v>0 tubes and 0 shuttles</v>
      </c>
      <c r="I620" s="36">
        <f t="shared" si="20"/>
        <v>0</v>
      </c>
      <c r="J620" s="103" t="str">
        <f t="shared" si="21"/>
        <v>0 tubes and 0 shuttles</v>
      </c>
    </row>
    <row r="621" spans="1:10" ht="12.5" x14ac:dyDescent="0.25">
      <c r="A621" s="32">
        <f>'Profit &amp; Loss'!A621</f>
        <v>0</v>
      </c>
      <c r="B621" s="35">
        <f>'Profit &amp; Loss'!B621</f>
        <v>0</v>
      </c>
      <c r="C621" s="36"/>
      <c r="D621" s="33"/>
      <c r="E621" s="102">
        <f t="shared" si="22"/>
        <v>0</v>
      </c>
      <c r="F621" s="103" t="str">
        <f t="shared" si="18"/>
        <v>0 tubes and 0 shuttles</v>
      </c>
      <c r="G621" s="36">
        <f t="shared" si="23"/>
        <v>0</v>
      </c>
      <c r="H621" s="104" t="str">
        <f t="shared" si="19"/>
        <v>0 tubes and 0 shuttles</v>
      </c>
      <c r="I621" s="36">
        <f t="shared" si="20"/>
        <v>0</v>
      </c>
      <c r="J621" s="103" t="str">
        <f t="shared" si="21"/>
        <v>0 tubes and 0 shuttles</v>
      </c>
    </row>
    <row r="622" spans="1:10" ht="12.5" x14ac:dyDescent="0.25">
      <c r="A622" s="32">
        <f>'Profit &amp; Loss'!A622</f>
        <v>0</v>
      </c>
      <c r="B622" s="35">
        <f>'Profit &amp; Loss'!B622</f>
        <v>0</v>
      </c>
      <c r="C622" s="36"/>
      <c r="D622" s="33"/>
      <c r="E622" s="102">
        <f t="shared" si="22"/>
        <v>0</v>
      </c>
      <c r="F622" s="103" t="str">
        <f t="shared" si="18"/>
        <v>0 tubes and 0 shuttles</v>
      </c>
      <c r="G622" s="36">
        <f t="shared" si="23"/>
        <v>0</v>
      </c>
      <c r="H622" s="104" t="str">
        <f t="shared" si="19"/>
        <v>0 tubes and 0 shuttles</v>
      </c>
      <c r="I622" s="36">
        <f t="shared" si="20"/>
        <v>0</v>
      </c>
      <c r="J622" s="103" t="str">
        <f t="shared" si="21"/>
        <v>0 tubes and 0 shuttles</v>
      </c>
    </row>
    <row r="623" spans="1:10" ht="12.5" x14ac:dyDescent="0.25">
      <c r="A623" s="32">
        <f>'Profit &amp; Loss'!A623</f>
        <v>0</v>
      </c>
      <c r="B623" s="35">
        <f>'Profit &amp; Loss'!B623</f>
        <v>0</v>
      </c>
      <c r="C623" s="36"/>
      <c r="D623" s="33"/>
      <c r="E623" s="102">
        <f t="shared" si="22"/>
        <v>0</v>
      </c>
      <c r="F623" s="103" t="str">
        <f t="shared" si="18"/>
        <v>0 tubes and 0 shuttles</v>
      </c>
      <c r="G623" s="36">
        <f t="shared" si="23"/>
        <v>0</v>
      </c>
      <c r="H623" s="104" t="str">
        <f t="shared" si="19"/>
        <v>0 tubes and 0 shuttles</v>
      </c>
      <c r="I623" s="36">
        <f t="shared" si="20"/>
        <v>0</v>
      </c>
      <c r="J623" s="103" t="str">
        <f t="shared" si="21"/>
        <v>0 tubes and 0 shuttles</v>
      </c>
    </row>
    <row r="624" spans="1:10" ht="12.5" x14ac:dyDescent="0.25">
      <c r="A624" s="32">
        <f>'Profit &amp; Loss'!A624</f>
        <v>0</v>
      </c>
      <c r="B624" s="35">
        <f>'Profit &amp; Loss'!B624</f>
        <v>0</v>
      </c>
      <c r="C624" s="36"/>
      <c r="D624" s="33"/>
      <c r="E624" s="102">
        <f t="shared" si="22"/>
        <v>0</v>
      </c>
      <c r="F624" s="103" t="str">
        <f t="shared" si="18"/>
        <v>0 tubes and 0 shuttles</v>
      </c>
      <c r="G624" s="36">
        <f t="shared" si="23"/>
        <v>0</v>
      </c>
      <c r="H624" s="104" t="str">
        <f t="shared" si="19"/>
        <v>0 tubes and 0 shuttles</v>
      </c>
      <c r="I624" s="36">
        <f t="shared" si="20"/>
        <v>0</v>
      </c>
      <c r="J624" s="103" t="str">
        <f t="shared" si="21"/>
        <v>0 tubes and 0 shuttles</v>
      </c>
    </row>
    <row r="625" spans="1:10" ht="12.5" x14ac:dyDescent="0.25">
      <c r="A625" s="32">
        <f>'Profit &amp; Loss'!A625</f>
        <v>0</v>
      </c>
      <c r="B625" s="35">
        <f>'Profit &amp; Loss'!B625</f>
        <v>0</v>
      </c>
      <c r="C625" s="36"/>
      <c r="D625" s="33"/>
      <c r="E625" s="102">
        <f t="shared" si="22"/>
        <v>0</v>
      </c>
      <c r="F625" s="103" t="str">
        <f t="shared" si="18"/>
        <v>0 tubes and 0 shuttles</v>
      </c>
      <c r="G625" s="36">
        <f t="shared" si="23"/>
        <v>0</v>
      </c>
      <c r="H625" s="104" t="str">
        <f t="shared" si="19"/>
        <v>0 tubes and 0 shuttles</v>
      </c>
      <c r="I625" s="36">
        <f t="shared" si="20"/>
        <v>0</v>
      </c>
      <c r="J625" s="103" t="str">
        <f t="shared" si="21"/>
        <v>0 tubes and 0 shuttles</v>
      </c>
    </row>
    <row r="626" spans="1:10" ht="12.5" x14ac:dyDescent="0.25">
      <c r="A626" s="32">
        <f>'Profit &amp; Loss'!A626</f>
        <v>0</v>
      </c>
      <c r="B626" s="35">
        <f>'Profit &amp; Loss'!B626</f>
        <v>0</v>
      </c>
      <c r="C626" s="36"/>
      <c r="D626" s="33"/>
      <c r="E626" s="102">
        <f t="shared" si="22"/>
        <v>0</v>
      </c>
      <c r="F626" s="103" t="str">
        <f t="shared" si="18"/>
        <v>0 tubes and 0 shuttles</v>
      </c>
      <c r="G626" s="36">
        <f t="shared" si="23"/>
        <v>0</v>
      </c>
      <c r="H626" s="104" t="str">
        <f t="shared" si="19"/>
        <v>0 tubes and 0 shuttles</v>
      </c>
      <c r="I626" s="36">
        <f t="shared" si="20"/>
        <v>0</v>
      </c>
      <c r="J626" s="103" t="str">
        <f t="shared" si="21"/>
        <v>0 tubes and 0 shuttles</v>
      </c>
    </row>
    <row r="627" spans="1:10" ht="12.5" x14ac:dyDescent="0.25">
      <c r="A627" s="32">
        <f>'Profit &amp; Loss'!A627</f>
        <v>0</v>
      </c>
      <c r="B627" s="35">
        <f>'Profit &amp; Loss'!B627</f>
        <v>0</v>
      </c>
      <c r="C627" s="36"/>
      <c r="D627" s="33"/>
      <c r="E627" s="102">
        <f t="shared" si="22"/>
        <v>0</v>
      </c>
      <c r="F627" s="103" t="str">
        <f t="shared" si="18"/>
        <v>0 tubes and 0 shuttles</v>
      </c>
      <c r="G627" s="36">
        <f t="shared" si="23"/>
        <v>0</v>
      </c>
      <c r="H627" s="104" t="str">
        <f t="shared" si="19"/>
        <v>0 tubes and 0 shuttles</v>
      </c>
      <c r="I627" s="36">
        <f t="shared" si="20"/>
        <v>0</v>
      </c>
      <c r="J627" s="103" t="str">
        <f t="shared" si="21"/>
        <v>0 tubes and 0 shuttles</v>
      </c>
    </row>
    <row r="628" spans="1:10" ht="12.5" x14ac:dyDescent="0.25">
      <c r="A628" s="32">
        <f>'Profit &amp; Loss'!A628</f>
        <v>0</v>
      </c>
      <c r="B628" s="35">
        <f>'Profit &amp; Loss'!B628</f>
        <v>0</v>
      </c>
      <c r="C628" s="36"/>
      <c r="D628" s="33"/>
      <c r="E628" s="102">
        <f t="shared" si="22"/>
        <v>0</v>
      </c>
      <c r="F628" s="103" t="str">
        <f t="shared" si="18"/>
        <v>0 tubes and 0 shuttles</v>
      </c>
      <c r="G628" s="36">
        <f t="shared" si="23"/>
        <v>0</v>
      </c>
      <c r="H628" s="104" t="str">
        <f t="shared" si="19"/>
        <v>0 tubes and 0 shuttles</v>
      </c>
      <c r="I628" s="36">
        <f t="shared" si="20"/>
        <v>0</v>
      </c>
      <c r="J628" s="103" t="str">
        <f t="shared" si="21"/>
        <v>0 tubes and 0 shuttles</v>
      </c>
    </row>
    <row r="629" spans="1:10" ht="12.5" x14ac:dyDescent="0.25">
      <c r="A629" s="32">
        <f>'Profit &amp; Loss'!A629</f>
        <v>0</v>
      </c>
      <c r="B629" s="35">
        <f>'Profit &amp; Loss'!B629</f>
        <v>0</v>
      </c>
      <c r="C629" s="36"/>
      <c r="D629" s="33"/>
      <c r="E629" s="102">
        <f t="shared" si="22"/>
        <v>0</v>
      </c>
      <c r="F629" s="103" t="str">
        <f t="shared" si="18"/>
        <v>0 tubes and 0 shuttles</v>
      </c>
      <c r="G629" s="36">
        <f t="shared" si="23"/>
        <v>0</v>
      </c>
      <c r="H629" s="104" t="str">
        <f t="shared" si="19"/>
        <v>0 tubes and 0 shuttles</v>
      </c>
      <c r="I629" s="36">
        <f t="shared" si="20"/>
        <v>0</v>
      </c>
      <c r="J629" s="103" t="str">
        <f t="shared" si="21"/>
        <v>0 tubes and 0 shuttles</v>
      </c>
    </row>
    <row r="630" spans="1:10" ht="12.5" x14ac:dyDescent="0.25">
      <c r="A630" s="32">
        <f>'Profit &amp; Loss'!A630</f>
        <v>0</v>
      </c>
      <c r="B630" s="35">
        <f>'Profit &amp; Loss'!B630</f>
        <v>0</v>
      </c>
      <c r="C630" s="36"/>
      <c r="D630" s="33"/>
      <c r="E630" s="102">
        <f t="shared" si="22"/>
        <v>0</v>
      </c>
      <c r="F630" s="103" t="str">
        <f t="shared" si="18"/>
        <v>0 tubes and 0 shuttles</v>
      </c>
      <c r="G630" s="36">
        <f t="shared" si="23"/>
        <v>0</v>
      </c>
      <c r="H630" s="104" t="str">
        <f t="shared" si="19"/>
        <v>0 tubes and 0 shuttles</v>
      </c>
      <c r="I630" s="36">
        <f t="shared" si="20"/>
        <v>0</v>
      </c>
      <c r="J630" s="103" t="str">
        <f t="shared" si="21"/>
        <v>0 tubes and 0 shuttles</v>
      </c>
    </row>
    <row r="631" spans="1:10" ht="12.5" x14ac:dyDescent="0.25">
      <c r="A631" s="32">
        <f>'Profit &amp; Loss'!A631</f>
        <v>0</v>
      </c>
      <c r="B631" s="35">
        <f>'Profit &amp; Loss'!B631</f>
        <v>0</v>
      </c>
      <c r="C631" s="36"/>
      <c r="D631" s="33"/>
      <c r="E631" s="102">
        <f t="shared" si="22"/>
        <v>0</v>
      </c>
      <c r="F631" s="103" t="str">
        <f t="shared" si="18"/>
        <v>0 tubes and 0 shuttles</v>
      </c>
      <c r="G631" s="36">
        <f t="shared" si="23"/>
        <v>0</v>
      </c>
      <c r="H631" s="104" t="str">
        <f t="shared" si="19"/>
        <v>0 tubes and 0 shuttles</v>
      </c>
      <c r="I631" s="36">
        <f t="shared" si="20"/>
        <v>0</v>
      </c>
      <c r="J631" s="103" t="str">
        <f t="shared" si="21"/>
        <v>0 tubes and 0 shuttles</v>
      </c>
    </row>
    <row r="632" spans="1:10" ht="12.5" x14ac:dyDescent="0.25">
      <c r="A632" s="32">
        <f>'Profit &amp; Loss'!A632</f>
        <v>0</v>
      </c>
      <c r="B632" s="35">
        <f>'Profit &amp; Loss'!B632</f>
        <v>0</v>
      </c>
      <c r="C632" s="36"/>
      <c r="D632" s="33"/>
      <c r="E632" s="102">
        <f t="shared" si="22"/>
        <v>0</v>
      </c>
      <c r="F632" s="103" t="str">
        <f t="shared" si="18"/>
        <v>0 tubes and 0 shuttles</v>
      </c>
      <c r="G632" s="36">
        <f t="shared" si="23"/>
        <v>0</v>
      </c>
      <c r="H632" s="104" t="str">
        <f t="shared" si="19"/>
        <v>0 tubes and 0 shuttles</v>
      </c>
      <c r="I632" s="36">
        <f t="shared" si="20"/>
        <v>0</v>
      </c>
      <c r="J632" s="103" t="str">
        <f t="shared" si="21"/>
        <v>0 tubes and 0 shuttles</v>
      </c>
    </row>
    <row r="633" spans="1:10" ht="12.5" x14ac:dyDescent="0.25">
      <c r="A633" s="32">
        <f>'Profit &amp; Loss'!A633</f>
        <v>0</v>
      </c>
      <c r="B633" s="35">
        <f>'Profit &amp; Loss'!B633</f>
        <v>0</v>
      </c>
      <c r="C633" s="36"/>
      <c r="D633" s="33"/>
      <c r="E633" s="102">
        <f t="shared" si="22"/>
        <v>0</v>
      </c>
      <c r="F633" s="103" t="str">
        <f t="shared" si="18"/>
        <v>0 tubes and 0 shuttles</v>
      </c>
      <c r="G633" s="36">
        <f t="shared" si="23"/>
        <v>0</v>
      </c>
      <c r="H633" s="104" t="str">
        <f t="shared" si="19"/>
        <v>0 tubes and 0 shuttles</v>
      </c>
      <c r="I633" s="36">
        <f t="shared" si="20"/>
        <v>0</v>
      </c>
      <c r="J633" s="103" t="str">
        <f t="shared" si="21"/>
        <v>0 tubes and 0 shuttles</v>
      </c>
    </row>
    <row r="634" spans="1:10" ht="12.5" x14ac:dyDescent="0.25">
      <c r="A634" s="32">
        <f>'Profit &amp; Loss'!A634</f>
        <v>0</v>
      </c>
      <c r="B634" s="35">
        <f>'Profit &amp; Loss'!B634</f>
        <v>0</v>
      </c>
      <c r="C634" s="36"/>
      <c r="D634" s="33"/>
      <c r="E634" s="102">
        <f t="shared" si="22"/>
        <v>0</v>
      </c>
      <c r="F634" s="103" t="str">
        <f t="shared" si="18"/>
        <v>0 tubes and 0 shuttles</v>
      </c>
      <c r="G634" s="36">
        <f t="shared" si="23"/>
        <v>0</v>
      </c>
      <c r="H634" s="104" t="str">
        <f t="shared" si="19"/>
        <v>0 tubes and 0 shuttles</v>
      </c>
      <c r="I634" s="36">
        <f t="shared" si="20"/>
        <v>0</v>
      </c>
      <c r="J634" s="103" t="str">
        <f t="shared" si="21"/>
        <v>0 tubes and 0 shuttles</v>
      </c>
    </row>
    <row r="635" spans="1:10" ht="12.5" x14ac:dyDescent="0.25">
      <c r="A635" s="32">
        <f>'Profit &amp; Loss'!A635</f>
        <v>0</v>
      </c>
      <c r="B635" s="35">
        <f>'Profit &amp; Loss'!B635</f>
        <v>0</v>
      </c>
      <c r="C635" s="36"/>
      <c r="D635" s="33"/>
      <c r="E635" s="102">
        <f t="shared" si="22"/>
        <v>0</v>
      </c>
      <c r="F635" s="103" t="str">
        <f t="shared" si="18"/>
        <v>0 tubes and 0 shuttles</v>
      </c>
      <c r="G635" s="36">
        <f t="shared" si="23"/>
        <v>0</v>
      </c>
      <c r="H635" s="104" t="str">
        <f t="shared" si="19"/>
        <v>0 tubes and 0 shuttles</v>
      </c>
      <c r="I635" s="36">
        <f t="shared" si="20"/>
        <v>0</v>
      </c>
      <c r="J635" s="103" t="str">
        <f t="shared" si="21"/>
        <v>0 tubes and 0 shuttles</v>
      </c>
    </row>
    <row r="636" spans="1:10" ht="12.5" x14ac:dyDescent="0.25">
      <c r="A636" s="32">
        <f>'Profit &amp; Loss'!A636</f>
        <v>0</v>
      </c>
      <c r="B636" s="35">
        <f>'Profit &amp; Loss'!B636</f>
        <v>0</v>
      </c>
      <c r="C636" s="36"/>
      <c r="D636" s="33"/>
      <c r="E636" s="102">
        <f t="shared" si="22"/>
        <v>0</v>
      </c>
      <c r="F636" s="103" t="str">
        <f t="shared" si="18"/>
        <v>0 tubes and 0 shuttles</v>
      </c>
      <c r="G636" s="36">
        <f t="shared" si="23"/>
        <v>0</v>
      </c>
      <c r="H636" s="104" t="str">
        <f t="shared" si="19"/>
        <v>0 tubes and 0 shuttles</v>
      </c>
      <c r="I636" s="36">
        <f t="shared" si="20"/>
        <v>0</v>
      </c>
      <c r="J636" s="103" t="str">
        <f t="shared" si="21"/>
        <v>0 tubes and 0 shuttles</v>
      </c>
    </row>
    <row r="637" spans="1:10" ht="12.5" x14ac:dyDescent="0.25">
      <c r="A637" s="32">
        <f>'Profit &amp; Loss'!A637</f>
        <v>0</v>
      </c>
      <c r="B637" s="35">
        <f>'Profit &amp; Loss'!B637</f>
        <v>0</v>
      </c>
      <c r="C637" s="36"/>
      <c r="D637" s="33"/>
      <c r="E637" s="102">
        <f t="shared" si="22"/>
        <v>0</v>
      </c>
      <c r="F637" s="103" t="str">
        <f t="shared" si="18"/>
        <v>0 tubes and 0 shuttles</v>
      </c>
      <c r="G637" s="36">
        <f t="shared" si="23"/>
        <v>0</v>
      </c>
      <c r="H637" s="104" t="str">
        <f t="shared" si="19"/>
        <v>0 tubes and 0 shuttles</v>
      </c>
      <c r="I637" s="36">
        <f t="shared" si="20"/>
        <v>0</v>
      </c>
      <c r="J637" s="103" t="str">
        <f t="shared" si="21"/>
        <v>0 tubes and 0 shuttles</v>
      </c>
    </row>
    <row r="638" spans="1:10" ht="12.5" x14ac:dyDescent="0.25">
      <c r="A638" s="32">
        <f>'Profit &amp; Loss'!A638</f>
        <v>0</v>
      </c>
      <c r="B638" s="35">
        <f>'Profit &amp; Loss'!B638</f>
        <v>0</v>
      </c>
      <c r="C638" s="36"/>
      <c r="D638" s="33"/>
      <c r="E638" s="102">
        <f t="shared" si="22"/>
        <v>0</v>
      </c>
      <c r="F638" s="103" t="str">
        <f t="shared" si="18"/>
        <v>0 tubes and 0 shuttles</v>
      </c>
      <c r="G638" s="36">
        <f t="shared" si="23"/>
        <v>0</v>
      </c>
      <c r="H638" s="104" t="str">
        <f t="shared" si="19"/>
        <v>0 tubes and 0 shuttles</v>
      </c>
      <c r="I638" s="36">
        <f t="shared" si="20"/>
        <v>0</v>
      </c>
      <c r="J638" s="103" t="str">
        <f t="shared" si="21"/>
        <v>0 tubes and 0 shuttles</v>
      </c>
    </row>
    <row r="639" spans="1:10" ht="12.5" x14ac:dyDescent="0.25">
      <c r="A639" s="32">
        <f>'Profit &amp; Loss'!A639</f>
        <v>0</v>
      </c>
      <c r="B639" s="35">
        <f>'Profit &amp; Loss'!B639</f>
        <v>0</v>
      </c>
      <c r="C639" s="36"/>
      <c r="D639" s="33"/>
      <c r="E639" s="102">
        <f t="shared" si="22"/>
        <v>0</v>
      </c>
      <c r="F639" s="103" t="str">
        <f t="shared" si="18"/>
        <v>0 tubes and 0 shuttles</v>
      </c>
      <c r="G639" s="36">
        <f t="shared" si="23"/>
        <v>0</v>
      </c>
      <c r="H639" s="104" t="str">
        <f t="shared" si="19"/>
        <v>0 tubes and 0 shuttles</v>
      </c>
      <c r="I639" s="36">
        <f t="shared" si="20"/>
        <v>0</v>
      </c>
      <c r="J639" s="103" t="str">
        <f t="shared" si="21"/>
        <v>0 tubes and 0 shuttles</v>
      </c>
    </row>
    <row r="640" spans="1:10" ht="12.5" x14ac:dyDescent="0.25">
      <c r="A640" s="32">
        <f>'Profit &amp; Loss'!A640</f>
        <v>0</v>
      </c>
      <c r="B640" s="35">
        <f>'Profit &amp; Loss'!B640</f>
        <v>0</v>
      </c>
      <c r="C640" s="36"/>
      <c r="D640" s="33"/>
      <c r="E640" s="102">
        <f t="shared" si="22"/>
        <v>0</v>
      </c>
      <c r="F640" s="103" t="str">
        <f t="shared" si="18"/>
        <v>0 tubes and 0 shuttles</v>
      </c>
      <c r="G640" s="36">
        <f t="shared" si="23"/>
        <v>0</v>
      </c>
      <c r="H640" s="104" t="str">
        <f t="shared" si="19"/>
        <v>0 tubes and 0 shuttles</v>
      </c>
      <c r="I640" s="36">
        <f t="shared" si="20"/>
        <v>0</v>
      </c>
      <c r="J640" s="103" t="str">
        <f t="shared" si="21"/>
        <v>0 tubes and 0 shuttles</v>
      </c>
    </row>
    <row r="641" spans="1:10" ht="12.5" x14ac:dyDescent="0.25">
      <c r="A641" s="32">
        <f>'Profit &amp; Loss'!A641</f>
        <v>0</v>
      </c>
      <c r="B641" s="35">
        <f>'Profit &amp; Loss'!B641</f>
        <v>0</v>
      </c>
      <c r="C641" s="36"/>
      <c r="D641" s="33"/>
      <c r="E641" s="102">
        <f t="shared" si="22"/>
        <v>0</v>
      </c>
      <c r="F641" s="103" t="str">
        <f t="shared" si="18"/>
        <v>0 tubes and 0 shuttles</v>
      </c>
      <c r="G641" s="36">
        <f t="shared" si="23"/>
        <v>0</v>
      </c>
      <c r="H641" s="104" t="str">
        <f t="shared" si="19"/>
        <v>0 tubes and 0 shuttles</v>
      </c>
      <c r="I641" s="36">
        <f t="shared" si="20"/>
        <v>0</v>
      </c>
      <c r="J641" s="103" t="str">
        <f t="shared" si="21"/>
        <v>0 tubes and 0 shuttles</v>
      </c>
    </row>
    <row r="642" spans="1:10" ht="12.5" x14ac:dyDescent="0.25">
      <c r="A642" s="32">
        <f>'Profit &amp; Loss'!A642</f>
        <v>0</v>
      </c>
      <c r="B642" s="35">
        <f>'Profit &amp; Loss'!B642</f>
        <v>0</v>
      </c>
      <c r="C642" s="36"/>
      <c r="D642" s="33"/>
      <c r="E642" s="102">
        <f t="shared" si="22"/>
        <v>0</v>
      </c>
      <c r="F642" s="103" t="str">
        <f t="shared" si="18"/>
        <v>0 tubes and 0 shuttles</v>
      </c>
      <c r="G642" s="36">
        <f t="shared" si="23"/>
        <v>0</v>
      </c>
      <c r="H642" s="104" t="str">
        <f t="shared" si="19"/>
        <v>0 tubes and 0 shuttles</v>
      </c>
      <c r="I642" s="36">
        <f t="shared" si="20"/>
        <v>0</v>
      </c>
      <c r="J642" s="103" t="str">
        <f t="shared" si="21"/>
        <v>0 tubes and 0 shuttles</v>
      </c>
    </row>
    <row r="643" spans="1:10" ht="12.5" x14ac:dyDescent="0.25">
      <c r="A643" s="32">
        <f>'Profit &amp; Loss'!A643</f>
        <v>0</v>
      </c>
      <c r="B643" s="35">
        <f>'Profit &amp; Loss'!B643</f>
        <v>0</v>
      </c>
      <c r="C643" s="36"/>
      <c r="D643" s="33"/>
      <c r="E643" s="102">
        <f t="shared" si="22"/>
        <v>0</v>
      </c>
      <c r="F643" s="103" t="str">
        <f t="shared" si="18"/>
        <v>0 tubes and 0 shuttles</v>
      </c>
      <c r="G643" s="36">
        <f t="shared" si="23"/>
        <v>0</v>
      </c>
      <c r="H643" s="104" t="str">
        <f t="shared" si="19"/>
        <v>0 tubes and 0 shuttles</v>
      </c>
      <c r="I643" s="36">
        <f t="shared" si="20"/>
        <v>0</v>
      </c>
      <c r="J643" s="103" t="str">
        <f t="shared" si="21"/>
        <v>0 tubes and 0 shuttles</v>
      </c>
    </row>
    <row r="644" spans="1:10" ht="12.5" x14ac:dyDescent="0.25">
      <c r="A644" s="32">
        <f>'Profit &amp; Loss'!A644</f>
        <v>0</v>
      </c>
      <c r="B644" s="35">
        <f>'Profit &amp; Loss'!B644</f>
        <v>0</v>
      </c>
      <c r="C644" s="36"/>
      <c r="D644" s="33"/>
      <c r="E644" s="102">
        <f t="shared" si="22"/>
        <v>0</v>
      </c>
      <c r="F644" s="103" t="str">
        <f t="shared" si="18"/>
        <v>0 tubes and 0 shuttles</v>
      </c>
      <c r="G644" s="36">
        <f t="shared" si="23"/>
        <v>0</v>
      </c>
      <c r="H644" s="104" t="str">
        <f t="shared" si="19"/>
        <v>0 tubes and 0 shuttles</v>
      </c>
      <c r="I644" s="36">
        <f t="shared" si="20"/>
        <v>0</v>
      </c>
      <c r="J644" s="103" t="str">
        <f t="shared" si="21"/>
        <v>0 tubes and 0 shuttles</v>
      </c>
    </row>
    <row r="645" spans="1:10" ht="12.5" x14ac:dyDescent="0.25">
      <c r="A645" s="32">
        <f>'Profit &amp; Loss'!A645</f>
        <v>0</v>
      </c>
      <c r="B645" s="35">
        <f>'Profit &amp; Loss'!B645</f>
        <v>0</v>
      </c>
      <c r="C645" s="36"/>
      <c r="D645" s="33"/>
      <c r="E645" s="102">
        <f t="shared" si="22"/>
        <v>0</v>
      </c>
      <c r="F645" s="103" t="str">
        <f t="shared" si="18"/>
        <v>0 tubes and 0 shuttles</v>
      </c>
      <c r="G645" s="36">
        <f t="shared" si="23"/>
        <v>0</v>
      </c>
      <c r="H645" s="104" t="str">
        <f t="shared" si="19"/>
        <v>0 tubes and 0 shuttles</v>
      </c>
      <c r="I645" s="36">
        <f t="shared" si="20"/>
        <v>0</v>
      </c>
      <c r="J645" s="103" t="str">
        <f t="shared" si="21"/>
        <v>0 tubes and 0 shuttles</v>
      </c>
    </row>
    <row r="646" spans="1:10" ht="12.5" x14ac:dyDescent="0.25">
      <c r="A646" s="32">
        <f>'Profit &amp; Loss'!A646</f>
        <v>0</v>
      </c>
      <c r="B646" s="35">
        <f>'Profit &amp; Loss'!B646</f>
        <v>0</v>
      </c>
      <c r="C646" s="36"/>
      <c r="D646" s="33"/>
      <c r="E646" s="102">
        <f t="shared" si="22"/>
        <v>0</v>
      </c>
      <c r="F646" s="103" t="str">
        <f t="shared" si="18"/>
        <v>0 tubes and 0 shuttles</v>
      </c>
      <c r="G646" s="36">
        <f t="shared" si="23"/>
        <v>0</v>
      </c>
      <c r="H646" s="104" t="str">
        <f t="shared" si="19"/>
        <v>0 tubes and 0 shuttles</v>
      </c>
      <c r="I646" s="36">
        <f t="shared" si="20"/>
        <v>0</v>
      </c>
      <c r="J646" s="103" t="str">
        <f t="shared" si="21"/>
        <v>0 tubes and 0 shuttles</v>
      </c>
    </row>
    <row r="647" spans="1:10" ht="12.5" x14ac:dyDescent="0.25">
      <c r="A647" s="32">
        <f>'Profit &amp; Loss'!A647</f>
        <v>0</v>
      </c>
      <c r="B647" s="35">
        <f>'Profit &amp; Loss'!B647</f>
        <v>0</v>
      </c>
      <c r="C647" s="36"/>
      <c r="D647" s="33"/>
      <c r="E647" s="102">
        <f t="shared" si="22"/>
        <v>0</v>
      </c>
      <c r="F647" s="103" t="str">
        <f t="shared" si="18"/>
        <v>0 tubes and 0 shuttles</v>
      </c>
      <c r="G647" s="36">
        <f t="shared" si="23"/>
        <v>0</v>
      </c>
      <c r="H647" s="104" t="str">
        <f t="shared" si="19"/>
        <v>0 tubes and 0 shuttles</v>
      </c>
      <c r="I647" s="36">
        <f t="shared" si="20"/>
        <v>0</v>
      </c>
      <c r="J647" s="103" t="str">
        <f t="shared" si="21"/>
        <v>0 tubes and 0 shuttles</v>
      </c>
    </row>
    <row r="648" spans="1:10" ht="12.5" x14ac:dyDescent="0.25">
      <c r="A648" s="32">
        <f>'Profit &amp; Loss'!A648</f>
        <v>0</v>
      </c>
      <c r="B648" s="35">
        <f>'Profit &amp; Loss'!B648</f>
        <v>0</v>
      </c>
      <c r="C648" s="36"/>
      <c r="D648" s="33"/>
      <c r="E648" s="102">
        <f t="shared" si="22"/>
        <v>0</v>
      </c>
      <c r="F648" s="103" t="str">
        <f t="shared" si="18"/>
        <v>0 tubes and 0 shuttles</v>
      </c>
      <c r="G648" s="36">
        <f t="shared" si="23"/>
        <v>0</v>
      </c>
      <c r="H648" s="104" t="str">
        <f t="shared" si="19"/>
        <v>0 tubes and 0 shuttles</v>
      </c>
      <c r="I648" s="36">
        <f t="shared" si="20"/>
        <v>0</v>
      </c>
      <c r="J648" s="103" t="str">
        <f t="shared" si="21"/>
        <v>0 tubes and 0 shuttles</v>
      </c>
    </row>
    <row r="649" spans="1:10" ht="12.5" x14ac:dyDescent="0.25">
      <c r="A649" s="32">
        <f>'Profit &amp; Loss'!A649</f>
        <v>0</v>
      </c>
      <c r="B649" s="35">
        <f>'Profit &amp; Loss'!B649</f>
        <v>0</v>
      </c>
      <c r="C649" s="36"/>
      <c r="D649" s="33"/>
      <c r="E649" s="102">
        <f t="shared" si="22"/>
        <v>0</v>
      </c>
      <c r="F649" s="103" t="str">
        <f t="shared" si="18"/>
        <v>0 tubes and 0 shuttles</v>
      </c>
      <c r="G649" s="36">
        <f t="shared" si="23"/>
        <v>0</v>
      </c>
      <c r="H649" s="104" t="str">
        <f t="shared" si="19"/>
        <v>0 tubes and 0 shuttles</v>
      </c>
      <c r="I649" s="36">
        <f t="shared" si="20"/>
        <v>0</v>
      </c>
      <c r="J649" s="103" t="str">
        <f t="shared" si="21"/>
        <v>0 tubes and 0 shuttles</v>
      </c>
    </row>
    <row r="650" spans="1:10" ht="12.5" x14ac:dyDescent="0.25">
      <c r="A650" s="32">
        <f>'Profit &amp; Loss'!A650</f>
        <v>0</v>
      </c>
      <c r="B650" s="35">
        <f>'Profit &amp; Loss'!B650</f>
        <v>0</v>
      </c>
      <c r="C650" s="36"/>
      <c r="D650" s="33"/>
      <c r="E650" s="102">
        <f t="shared" si="22"/>
        <v>0</v>
      </c>
      <c r="F650" s="103" t="str">
        <f t="shared" si="18"/>
        <v>0 tubes and 0 shuttles</v>
      </c>
      <c r="G650" s="36">
        <f t="shared" si="23"/>
        <v>0</v>
      </c>
      <c r="H650" s="104" t="str">
        <f t="shared" si="19"/>
        <v>0 tubes and 0 shuttles</v>
      </c>
      <c r="I650" s="36">
        <f t="shared" si="20"/>
        <v>0</v>
      </c>
      <c r="J650" s="103" t="str">
        <f t="shared" si="21"/>
        <v>0 tubes and 0 shuttles</v>
      </c>
    </row>
    <row r="651" spans="1:10" ht="12.5" x14ac:dyDescent="0.25">
      <c r="A651" s="32">
        <f>'Profit &amp; Loss'!A651</f>
        <v>0</v>
      </c>
      <c r="B651" s="35">
        <f>'Profit &amp; Loss'!B651</f>
        <v>0</v>
      </c>
      <c r="C651" s="36"/>
      <c r="D651" s="33"/>
      <c r="E651" s="102">
        <f t="shared" si="22"/>
        <v>0</v>
      </c>
      <c r="F651" s="103" t="str">
        <f t="shared" si="18"/>
        <v>0 tubes and 0 shuttles</v>
      </c>
      <c r="G651" s="36">
        <f t="shared" si="23"/>
        <v>0</v>
      </c>
      <c r="H651" s="104" t="str">
        <f t="shared" si="19"/>
        <v>0 tubes and 0 shuttles</v>
      </c>
      <c r="I651" s="36">
        <f t="shared" si="20"/>
        <v>0</v>
      </c>
      <c r="J651" s="103" t="str">
        <f t="shared" si="21"/>
        <v>0 tubes and 0 shuttles</v>
      </c>
    </row>
    <row r="652" spans="1:10" ht="12.5" x14ac:dyDescent="0.25">
      <c r="A652" s="32">
        <f>'Profit &amp; Loss'!A652</f>
        <v>0</v>
      </c>
      <c r="B652" s="35">
        <f>'Profit &amp; Loss'!B652</f>
        <v>0</v>
      </c>
      <c r="C652" s="36"/>
      <c r="D652" s="33"/>
      <c r="E652" s="102">
        <f t="shared" si="22"/>
        <v>0</v>
      </c>
      <c r="F652" s="103" t="str">
        <f t="shared" si="18"/>
        <v>0 tubes and 0 shuttles</v>
      </c>
      <c r="G652" s="36">
        <f t="shared" si="23"/>
        <v>0</v>
      </c>
      <c r="H652" s="104" t="str">
        <f t="shared" si="19"/>
        <v>0 tubes and 0 shuttles</v>
      </c>
      <c r="I652" s="36">
        <f t="shared" si="20"/>
        <v>0</v>
      </c>
      <c r="J652" s="103" t="str">
        <f t="shared" si="21"/>
        <v>0 tubes and 0 shuttles</v>
      </c>
    </row>
    <row r="653" spans="1:10" ht="12.5" x14ac:dyDescent="0.25">
      <c r="A653" s="32">
        <f>'Profit &amp; Loss'!A653</f>
        <v>0</v>
      </c>
      <c r="B653" s="35">
        <f>'Profit &amp; Loss'!B653</f>
        <v>0</v>
      </c>
      <c r="C653" s="36"/>
      <c r="D653" s="33"/>
      <c r="E653" s="102">
        <f t="shared" si="22"/>
        <v>0</v>
      </c>
      <c r="F653" s="103" t="str">
        <f t="shared" si="18"/>
        <v>0 tubes and 0 shuttles</v>
      </c>
      <c r="G653" s="36">
        <f t="shared" si="23"/>
        <v>0</v>
      </c>
      <c r="H653" s="104" t="str">
        <f t="shared" si="19"/>
        <v>0 tubes and 0 shuttles</v>
      </c>
      <c r="I653" s="36">
        <f t="shared" si="20"/>
        <v>0</v>
      </c>
      <c r="J653" s="103" t="str">
        <f t="shared" si="21"/>
        <v>0 tubes and 0 shuttles</v>
      </c>
    </row>
    <row r="654" spans="1:10" ht="12.5" x14ac:dyDescent="0.25">
      <c r="A654" s="32">
        <f>'Profit &amp; Loss'!A654</f>
        <v>0</v>
      </c>
      <c r="B654" s="35">
        <f>'Profit &amp; Loss'!B654</f>
        <v>0</v>
      </c>
      <c r="C654" s="36"/>
      <c r="D654" s="33"/>
      <c r="E654" s="102">
        <f t="shared" si="22"/>
        <v>0</v>
      </c>
      <c r="F654" s="103" t="str">
        <f t="shared" si="18"/>
        <v>0 tubes and 0 shuttles</v>
      </c>
      <c r="G654" s="36">
        <f t="shared" si="23"/>
        <v>0</v>
      </c>
      <c r="H654" s="104" t="str">
        <f t="shared" si="19"/>
        <v>0 tubes and 0 shuttles</v>
      </c>
      <c r="I654" s="36">
        <f t="shared" si="20"/>
        <v>0</v>
      </c>
      <c r="J654" s="103" t="str">
        <f t="shared" si="21"/>
        <v>0 tubes and 0 shuttles</v>
      </c>
    </row>
    <row r="655" spans="1:10" ht="12.5" x14ac:dyDescent="0.25">
      <c r="A655" s="32">
        <f>'Profit &amp; Loss'!A655</f>
        <v>0</v>
      </c>
      <c r="B655" s="35">
        <f>'Profit &amp; Loss'!B655</f>
        <v>0</v>
      </c>
      <c r="C655" s="36"/>
      <c r="D655" s="33"/>
      <c r="E655" s="102">
        <f t="shared" si="22"/>
        <v>0</v>
      </c>
      <c r="F655" s="103" t="str">
        <f t="shared" si="18"/>
        <v>0 tubes and 0 shuttles</v>
      </c>
      <c r="G655" s="36">
        <f t="shared" si="23"/>
        <v>0</v>
      </c>
      <c r="H655" s="104" t="str">
        <f t="shared" si="19"/>
        <v>0 tubes and 0 shuttles</v>
      </c>
      <c r="I655" s="36">
        <f t="shared" si="20"/>
        <v>0</v>
      </c>
      <c r="J655" s="103" t="str">
        <f t="shared" si="21"/>
        <v>0 tubes and 0 shuttles</v>
      </c>
    </row>
    <row r="656" spans="1:10" ht="12.5" x14ac:dyDescent="0.25">
      <c r="A656" s="32">
        <f>'Profit &amp; Loss'!A656</f>
        <v>0</v>
      </c>
      <c r="B656" s="35">
        <f>'Profit &amp; Loss'!B656</f>
        <v>0</v>
      </c>
      <c r="C656" s="36"/>
      <c r="D656" s="33"/>
      <c r="E656" s="102">
        <f t="shared" si="22"/>
        <v>0</v>
      </c>
      <c r="F656" s="103" t="str">
        <f t="shared" si="18"/>
        <v>0 tubes and 0 shuttles</v>
      </c>
      <c r="G656" s="36">
        <f t="shared" si="23"/>
        <v>0</v>
      </c>
      <c r="H656" s="104" t="str">
        <f t="shared" si="19"/>
        <v>0 tubes and 0 shuttles</v>
      </c>
      <c r="I656" s="36">
        <f t="shared" si="20"/>
        <v>0</v>
      </c>
      <c r="J656" s="103" t="str">
        <f t="shared" si="21"/>
        <v>0 tubes and 0 shuttles</v>
      </c>
    </row>
    <row r="657" spans="1:10" ht="12.5" x14ac:dyDescent="0.25">
      <c r="A657" s="32">
        <f>'Profit &amp; Loss'!A657</f>
        <v>0</v>
      </c>
      <c r="B657" s="35">
        <f>'Profit &amp; Loss'!B657</f>
        <v>0</v>
      </c>
      <c r="C657" s="36"/>
      <c r="D657" s="33"/>
      <c r="E657" s="102">
        <f t="shared" si="22"/>
        <v>0</v>
      </c>
      <c r="F657" s="103" t="str">
        <f t="shared" si="18"/>
        <v>0 tubes and 0 shuttles</v>
      </c>
      <c r="G657" s="36">
        <f t="shared" si="23"/>
        <v>0</v>
      </c>
      <c r="H657" s="104" t="str">
        <f t="shared" si="19"/>
        <v>0 tubes and 0 shuttles</v>
      </c>
      <c r="I657" s="36">
        <f t="shared" si="20"/>
        <v>0</v>
      </c>
      <c r="J657" s="103" t="str">
        <f t="shared" si="21"/>
        <v>0 tubes and 0 shuttles</v>
      </c>
    </row>
    <row r="658" spans="1:10" ht="12.5" x14ac:dyDescent="0.25">
      <c r="A658" s="32">
        <f>'Profit &amp; Loss'!A658</f>
        <v>0</v>
      </c>
      <c r="B658" s="35">
        <f>'Profit &amp; Loss'!B658</f>
        <v>0</v>
      </c>
      <c r="C658" s="36"/>
      <c r="D658" s="33"/>
      <c r="E658" s="102">
        <f t="shared" si="22"/>
        <v>0</v>
      </c>
      <c r="F658" s="103" t="str">
        <f t="shared" si="18"/>
        <v>0 tubes and 0 shuttles</v>
      </c>
      <c r="G658" s="36">
        <f t="shared" si="23"/>
        <v>0</v>
      </c>
      <c r="H658" s="104" t="str">
        <f t="shared" si="19"/>
        <v>0 tubes and 0 shuttles</v>
      </c>
      <c r="I658" s="36">
        <f t="shared" si="20"/>
        <v>0</v>
      </c>
      <c r="J658" s="103" t="str">
        <f t="shared" si="21"/>
        <v>0 tubes and 0 shuttles</v>
      </c>
    </row>
    <row r="659" spans="1:10" ht="12.5" x14ac:dyDescent="0.25">
      <c r="A659" s="32">
        <f>'Profit &amp; Loss'!A659</f>
        <v>0</v>
      </c>
      <c r="B659" s="35">
        <f>'Profit &amp; Loss'!B659</f>
        <v>0</v>
      </c>
      <c r="C659" s="36"/>
      <c r="D659" s="33"/>
      <c r="E659" s="102">
        <f t="shared" si="22"/>
        <v>0</v>
      </c>
      <c r="F659" s="103" t="str">
        <f t="shared" si="18"/>
        <v>0 tubes and 0 shuttles</v>
      </c>
      <c r="G659" s="36">
        <f t="shared" si="23"/>
        <v>0</v>
      </c>
      <c r="H659" s="104" t="str">
        <f t="shared" si="19"/>
        <v>0 tubes and 0 shuttles</v>
      </c>
      <c r="I659" s="36">
        <f t="shared" si="20"/>
        <v>0</v>
      </c>
      <c r="J659" s="103" t="str">
        <f t="shared" si="21"/>
        <v>0 tubes and 0 shuttles</v>
      </c>
    </row>
    <row r="660" spans="1:10" ht="12.5" x14ac:dyDescent="0.25">
      <c r="A660" s="32">
        <f>'Profit &amp; Loss'!A660</f>
        <v>0</v>
      </c>
      <c r="B660" s="35">
        <f>'Profit &amp; Loss'!B660</f>
        <v>0</v>
      </c>
      <c r="C660" s="36"/>
      <c r="D660" s="33"/>
      <c r="E660" s="102">
        <f t="shared" si="22"/>
        <v>0</v>
      </c>
      <c r="F660" s="103" t="str">
        <f t="shared" si="18"/>
        <v>0 tubes and 0 shuttles</v>
      </c>
      <c r="G660" s="36">
        <f t="shared" si="23"/>
        <v>0</v>
      </c>
      <c r="H660" s="104" t="str">
        <f t="shared" si="19"/>
        <v>0 tubes and 0 shuttles</v>
      </c>
      <c r="I660" s="36">
        <f t="shared" si="20"/>
        <v>0</v>
      </c>
      <c r="J660" s="103" t="str">
        <f t="shared" si="21"/>
        <v>0 tubes and 0 shuttles</v>
      </c>
    </row>
    <row r="661" spans="1:10" ht="12.5" x14ac:dyDescent="0.25">
      <c r="A661" s="32">
        <f>'Profit &amp; Loss'!A661</f>
        <v>0</v>
      </c>
      <c r="B661" s="35">
        <f>'Profit &amp; Loss'!B661</f>
        <v>0</v>
      </c>
      <c r="C661" s="36"/>
      <c r="D661" s="33"/>
      <c r="E661" s="102">
        <f t="shared" si="22"/>
        <v>0</v>
      </c>
      <c r="F661" s="103" t="str">
        <f t="shared" si="18"/>
        <v>0 tubes and 0 shuttles</v>
      </c>
      <c r="G661" s="36">
        <f t="shared" si="23"/>
        <v>0</v>
      </c>
      <c r="H661" s="104" t="str">
        <f t="shared" si="19"/>
        <v>0 tubes and 0 shuttles</v>
      </c>
      <c r="I661" s="36">
        <f t="shared" si="20"/>
        <v>0</v>
      </c>
      <c r="J661" s="103" t="str">
        <f t="shared" si="21"/>
        <v>0 tubes and 0 shuttles</v>
      </c>
    </row>
    <row r="662" spans="1:10" ht="12.5" x14ac:dyDescent="0.25">
      <c r="A662" s="32">
        <f>'Profit &amp; Loss'!A662</f>
        <v>0</v>
      </c>
      <c r="B662" s="35">
        <f>'Profit &amp; Loss'!B662</f>
        <v>0</v>
      </c>
      <c r="C662" s="36"/>
      <c r="D662" s="33"/>
      <c r="E662" s="102">
        <f t="shared" si="22"/>
        <v>0</v>
      </c>
      <c r="F662" s="103" t="str">
        <f t="shared" si="18"/>
        <v>0 tubes and 0 shuttles</v>
      </c>
      <c r="G662" s="36">
        <f t="shared" si="23"/>
        <v>0</v>
      </c>
      <c r="H662" s="104" t="str">
        <f t="shared" si="19"/>
        <v>0 tubes and 0 shuttles</v>
      </c>
      <c r="I662" s="36">
        <f t="shared" si="20"/>
        <v>0</v>
      </c>
      <c r="J662" s="103" t="str">
        <f t="shared" si="21"/>
        <v>0 tubes and 0 shuttles</v>
      </c>
    </row>
    <row r="663" spans="1:10" ht="12.5" x14ac:dyDescent="0.25">
      <c r="A663" s="32">
        <f>'Profit &amp; Loss'!A663</f>
        <v>0</v>
      </c>
      <c r="B663" s="35">
        <f>'Profit &amp; Loss'!B663</f>
        <v>0</v>
      </c>
      <c r="C663" s="36"/>
      <c r="D663" s="33"/>
      <c r="E663" s="102">
        <f t="shared" si="22"/>
        <v>0</v>
      </c>
      <c r="F663" s="103" t="str">
        <f t="shared" si="18"/>
        <v>0 tubes and 0 shuttles</v>
      </c>
      <c r="G663" s="36">
        <f t="shared" si="23"/>
        <v>0</v>
      </c>
      <c r="H663" s="104" t="str">
        <f t="shared" si="19"/>
        <v>0 tubes and 0 shuttles</v>
      </c>
      <c r="I663" s="36">
        <f t="shared" si="20"/>
        <v>0</v>
      </c>
      <c r="J663" s="103" t="str">
        <f t="shared" si="21"/>
        <v>0 tubes and 0 shuttles</v>
      </c>
    </row>
    <row r="664" spans="1:10" ht="12.5" x14ac:dyDescent="0.25">
      <c r="A664" s="32">
        <f>'Profit &amp; Loss'!A664</f>
        <v>0</v>
      </c>
      <c r="B664" s="35">
        <f>'Profit &amp; Loss'!B664</f>
        <v>0</v>
      </c>
      <c r="C664" s="36"/>
      <c r="D664" s="33"/>
      <c r="E664" s="102">
        <f t="shared" si="22"/>
        <v>0</v>
      </c>
      <c r="F664" s="103" t="str">
        <f t="shared" si="18"/>
        <v>0 tubes and 0 shuttles</v>
      </c>
      <c r="G664" s="36">
        <f t="shared" si="23"/>
        <v>0</v>
      </c>
      <c r="H664" s="104" t="str">
        <f t="shared" si="19"/>
        <v>0 tubes and 0 shuttles</v>
      </c>
      <c r="I664" s="36">
        <f t="shared" si="20"/>
        <v>0</v>
      </c>
      <c r="J664" s="103" t="str">
        <f t="shared" si="21"/>
        <v>0 tubes and 0 shuttles</v>
      </c>
    </row>
    <row r="665" spans="1:10" ht="12.5" x14ac:dyDescent="0.25">
      <c r="A665" s="32">
        <f>'Profit &amp; Loss'!A665</f>
        <v>0</v>
      </c>
      <c r="B665" s="35">
        <f>'Profit &amp; Loss'!B665</f>
        <v>0</v>
      </c>
      <c r="C665" s="36"/>
      <c r="D665" s="33"/>
      <c r="E665" s="102">
        <f t="shared" si="22"/>
        <v>0</v>
      </c>
      <c r="F665" s="103" t="str">
        <f t="shared" si="18"/>
        <v>0 tubes and 0 shuttles</v>
      </c>
      <c r="G665" s="36">
        <f t="shared" si="23"/>
        <v>0</v>
      </c>
      <c r="H665" s="104" t="str">
        <f t="shared" si="19"/>
        <v>0 tubes and 0 shuttles</v>
      </c>
      <c r="I665" s="36">
        <f t="shared" si="20"/>
        <v>0</v>
      </c>
      <c r="J665" s="103" t="str">
        <f t="shared" si="21"/>
        <v>0 tubes and 0 shuttles</v>
      </c>
    </row>
    <row r="666" spans="1:10" ht="12.5" x14ac:dyDescent="0.25">
      <c r="A666" s="32">
        <f>'Profit &amp; Loss'!A666</f>
        <v>0</v>
      </c>
      <c r="B666" s="35">
        <f>'Profit &amp; Loss'!B666</f>
        <v>0</v>
      </c>
      <c r="C666" s="36"/>
      <c r="D666" s="33"/>
      <c r="E666" s="102">
        <f t="shared" si="22"/>
        <v>0</v>
      </c>
      <c r="F666" s="103" t="str">
        <f t="shared" si="18"/>
        <v>0 tubes and 0 shuttles</v>
      </c>
      <c r="G666" s="36">
        <f t="shared" si="23"/>
        <v>0</v>
      </c>
      <c r="H666" s="104" t="str">
        <f t="shared" si="19"/>
        <v>0 tubes and 0 shuttles</v>
      </c>
      <c r="I666" s="36">
        <f t="shared" si="20"/>
        <v>0</v>
      </c>
      <c r="J666" s="103" t="str">
        <f t="shared" si="21"/>
        <v>0 tubes and 0 shuttles</v>
      </c>
    </row>
    <row r="667" spans="1:10" ht="12.5" x14ac:dyDescent="0.25">
      <c r="A667" s="32">
        <f>'Profit &amp; Loss'!A667</f>
        <v>0</v>
      </c>
      <c r="B667" s="35">
        <f>'Profit &amp; Loss'!B667</f>
        <v>0</v>
      </c>
      <c r="C667" s="36"/>
      <c r="D667" s="33"/>
      <c r="E667" s="102">
        <f t="shared" si="22"/>
        <v>0</v>
      </c>
      <c r="F667" s="103" t="str">
        <f t="shared" si="18"/>
        <v>0 tubes and 0 shuttles</v>
      </c>
      <c r="G667" s="36">
        <f t="shared" si="23"/>
        <v>0</v>
      </c>
      <c r="H667" s="104" t="str">
        <f t="shared" si="19"/>
        <v>0 tubes and 0 shuttles</v>
      </c>
      <c r="I667" s="36">
        <f t="shared" si="20"/>
        <v>0</v>
      </c>
      <c r="J667" s="103" t="str">
        <f t="shared" si="21"/>
        <v>0 tubes and 0 shuttles</v>
      </c>
    </row>
    <row r="668" spans="1:10" ht="12.5" x14ac:dyDescent="0.25">
      <c r="A668" s="32">
        <f>'Profit &amp; Loss'!A668</f>
        <v>0</v>
      </c>
      <c r="B668" s="35">
        <f>'Profit &amp; Loss'!B668</f>
        <v>0</v>
      </c>
      <c r="C668" s="36"/>
      <c r="D668" s="33"/>
      <c r="E668" s="102">
        <f t="shared" si="22"/>
        <v>0</v>
      </c>
      <c r="F668" s="103" t="str">
        <f t="shared" si="18"/>
        <v>0 tubes and 0 shuttles</v>
      </c>
      <c r="G668" s="36">
        <f t="shared" si="23"/>
        <v>0</v>
      </c>
      <c r="H668" s="104" t="str">
        <f t="shared" si="19"/>
        <v>0 tubes and 0 shuttles</v>
      </c>
      <c r="I668" s="36">
        <f t="shared" si="20"/>
        <v>0</v>
      </c>
      <c r="J668" s="103" t="str">
        <f t="shared" si="21"/>
        <v>0 tubes and 0 shuttles</v>
      </c>
    </row>
    <row r="669" spans="1:10" ht="12.5" x14ac:dyDescent="0.25">
      <c r="A669" s="32">
        <f>'Profit &amp; Loss'!A669</f>
        <v>0</v>
      </c>
      <c r="B669" s="35">
        <f>'Profit &amp; Loss'!B669</f>
        <v>0</v>
      </c>
      <c r="C669" s="36"/>
      <c r="D669" s="33"/>
      <c r="E669" s="102">
        <f t="shared" si="22"/>
        <v>0</v>
      </c>
      <c r="F669" s="103" t="str">
        <f t="shared" si="18"/>
        <v>0 tubes and 0 shuttles</v>
      </c>
      <c r="G669" s="36">
        <f t="shared" si="23"/>
        <v>0</v>
      </c>
      <c r="H669" s="104" t="str">
        <f t="shared" si="19"/>
        <v>0 tubes and 0 shuttles</v>
      </c>
      <c r="I669" s="36">
        <f t="shared" si="20"/>
        <v>0</v>
      </c>
      <c r="J669" s="103" t="str">
        <f t="shared" si="21"/>
        <v>0 tubes and 0 shuttles</v>
      </c>
    </row>
    <row r="670" spans="1:10" ht="12.5" x14ac:dyDescent="0.25">
      <c r="A670" s="32">
        <f>'Profit &amp; Loss'!A670</f>
        <v>0</v>
      </c>
      <c r="B670" s="35">
        <f>'Profit &amp; Loss'!B670</f>
        <v>0</v>
      </c>
      <c r="C670" s="36"/>
      <c r="D670" s="33"/>
      <c r="E670" s="102">
        <f t="shared" si="22"/>
        <v>0</v>
      </c>
      <c r="F670" s="103" t="str">
        <f t="shared" si="18"/>
        <v>0 tubes and 0 shuttles</v>
      </c>
      <c r="G670" s="36">
        <f t="shared" si="23"/>
        <v>0</v>
      </c>
      <c r="H670" s="104" t="str">
        <f t="shared" si="19"/>
        <v>0 tubes and 0 shuttles</v>
      </c>
      <c r="I670" s="36">
        <f t="shared" si="20"/>
        <v>0</v>
      </c>
      <c r="J670" s="103" t="str">
        <f t="shared" si="21"/>
        <v>0 tubes and 0 shuttles</v>
      </c>
    </row>
    <row r="671" spans="1:10" ht="12.5" x14ac:dyDescent="0.25">
      <c r="A671" s="32">
        <f>'Profit &amp; Loss'!A671</f>
        <v>0</v>
      </c>
      <c r="B671" s="35">
        <f>'Profit &amp; Loss'!B671</f>
        <v>0</v>
      </c>
      <c r="C671" s="36"/>
      <c r="D671" s="33"/>
      <c r="E671" s="102">
        <f t="shared" si="22"/>
        <v>0</v>
      </c>
      <c r="F671" s="103" t="str">
        <f t="shared" si="18"/>
        <v>0 tubes and 0 shuttles</v>
      </c>
      <c r="G671" s="36">
        <f t="shared" si="23"/>
        <v>0</v>
      </c>
      <c r="H671" s="104" t="str">
        <f t="shared" si="19"/>
        <v>0 tubes and 0 shuttles</v>
      </c>
      <c r="I671" s="36">
        <f t="shared" si="20"/>
        <v>0</v>
      </c>
      <c r="J671" s="103" t="str">
        <f t="shared" si="21"/>
        <v>0 tubes and 0 shuttles</v>
      </c>
    </row>
    <row r="672" spans="1:10" ht="12.5" x14ac:dyDescent="0.25">
      <c r="A672" s="32">
        <f>'Profit &amp; Loss'!A672</f>
        <v>0</v>
      </c>
      <c r="B672" s="35">
        <f>'Profit &amp; Loss'!B672</f>
        <v>0</v>
      </c>
      <c r="C672" s="36"/>
      <c r="D672" s="33"/>
      <c r="E672" s="102">
        <f t="shared" si="22"/>
        <v>0</v>
      </c>
      <c r="F672" s="103" t="str">
        <f t="shared" si="18"/>
        <v>0 tubes and 0 shuttles</v>
      </c>
      <c r="G672" s="36">
        <f t="shared" si="23"/>
        <v>0</v>
      </c>
      <c r="H672" s="104" t="str">
        <f t="shared" si="19"/>
        <v>0 tubes and 0 shuttles</v>
      </c>
      <c r="I672" s="36">
        <f t="shared" si="20"/>
        <v>0</v>
      </c>
      <c r="J672" s="103" t="str">
        <f t="shared" si="21"/>
        <v>0 tubes and 0 shuttles</v>
      </c>
    </row>
    <row r="673" spans="1:10" ht="12.5" x14ac:dyDescent="0.25">
      <c r="A673" s="32">
        <f>'Profit &amp; Loss'!A673</f>
        <v>0</v>
      </c>
      <c r="B673" s="35">
        <f>'Profit &amp; Loss'!B673</f>
        <v>0</v>
      </c>
      <c r="C673" s="36"/>
      <c r="D673" s="33"/>
      <c r="E673" s="102">
        <f t="shared" si="22"/>
        <v>0</v>
      </c>
      <c r="F673" s="103" t="str">
        <f t="shared" si="18"/>
        <v>0 tubes and 0 shuttles</v>
      </c>
      <c r="G673" s="36">
        <f t="shared" si="23"/>
        <v>0</v>
      </c>
      <c r="H673" s="104" t="str">
        <f t="shared" si="19"/>
        <v>0 tubes and 0 shuttles</v>
      </c>
      <c r="I673" s="36">
        <f t="shared" si="20"/>
        <v>0</v>
      </c>
      <c r="J673" s="103" t="str">
        <f t="shared" si="21"/>
        <v>0 tubes and 0 shuttles</v>
      </c>
    </row>
    <row r="674" spans="1:10" ht="12.5" x14ac:dyDescent="0.25">
      <c r="A674" s="32">
        <f>'Profit &amp; Loss'!A674</f>
        <v>0</v>
      </c>
      <c r="B674" s="35">
        <f>'Profit &amp; Loss'!B674</f>
        <v>0</v>
      </c>
      <c r="C674" s="36"/>
      <c r="D674" s="33"/>
      <c r="E674" s="102">
        <f t="shared" si="22"/>
        <v>0</v>
      </c>
      <c r="F674" s="103" t="str">
        <f t="shared" si="18"/>
        <v>0 tubes and 0 shuttles</v>
      </c>
      <c r="G674" s="36">
        <f t="shared" si="23"/>
        <v>0</v>
      </c>
      <c r="H674" s="104" t="str">
        <f t="shared" si="19"/>
        <v>0 tubes and 0 shuttles</v>
      </c>
      <c r="I674" s="36">
        <f t="shared" si="20"/>
        <v>0</v>
      </c>
      <c r="J674" s="103" t="str">
        <f t="shared" si="21"/>
        <v>0 tubes and 0 shuttles</v>
      </c>
    </row>
    <row r="675" spans="1:10" ht="12.5" x14ac:dyDescent="0.25">
      <c r="A675" s="32">
        <f>'Profit &amp; Loss'!A675</f>
        <v>0</v>
      </c>
      <c r="B675" s="35">
        <f>'Profit &amp; Loss'!B675</f>
        <v>0</v>
      </c>
      <c r="C675" s="36"/>
      <c r="D675" s="33"/>
      <c r="E675" s="102">
        <f t="shared" si="22"/>
        <v>0</v>
      </c>
      <c r="F675" s="103" t="str">
        <f t="shared" si="18"/>
        <v>0 tubes and 0 shuttles</v>
      </c>
      <c r="G675" s="36">
        <f t="shared" si="23"/>
        <v>0</v>
      </c>
      <c r="H675" s="104" t="str">
        <f t="shared" si="19"/>
        <v>0 tubes and 0 shuttles</v>
      </c>
      <c r="I675" s="36">
        <f t="shared" si="20"/>
        <v>0</v>
      </c>
      <c r="J675" s="103" t="str">
        <f t="shared" si="21"/>
        <v>0 tubes and 0 shuttles</v>
      </c>
    </row>
    <row r="676" spans="1:10" ht="12.5" x14ac:dyDescent="0.25">
      <c r="A676" s="32">
        <f>'Profit &amp; Loss'!A676</f>
        <v>0</v>
      </c>
      <c r="B676" s="35">
        <f>'Profit &amp; Loss'!B676</f>
        <v>0</v>
      </c>
      <c r="C676" s="36"/>
      <c r="D676" s="33"/>
      <c r="E676" s="102">
        <f t="shared" si="22"/>
        <v>0</v>
      </c>
      <c r="F676" s="103" t="str">
        <f t="shared" si="18"/>
        <v>0 tubes and 0 shuttles</v>
      </c>
      <c r="G676" s="36">
        <f t="shared" si="23"/>
        <v>0</v>
      </c>
      <c r="H676" s="104" t="str">
        <f t="shared" si="19"/>
        <v>0 tubes and 0 shuttles</v>
      </c>
      <c r="I676" s="36">
        <f t="shared" si="20"/>
        <v>0</v>
      </c>
      <c r="J676" s="103" t="str">
        <f t="shared" si="21"/>
        <v>0 tubes and 0 shuttles</v>
      </c>
    </row>
    <row r="677" spans="1:10" ht="12.5" x14ac:dyDescent="0.25">
      <c r="A677" s="32">
        <f>'Profit &amp; Loss'!A677</f>
        <v>0</v>
      </c>
      <c r="B677" s="35">
        <f>'Profit &amp; Loss'!B677</f>
        <v>0</v>
      </c>
      <c r="C677" s="36"/>
      <c r="D677" s="33"/>
      <c r="E677" s="102">
        <f t="shared" si="22"/>
        <v>0</v>
      </c>
      <c r="F677" s="103" t="str">
        <f t="shared" si="18"/>
        <v>0 tubes and 0 shuttles</v>
      </c>
      <c r="G677" s="36">
        <f t="shared" si="23"/>
        <v>0</v>
      </c>
      <c r="H677" s="104" t="str">
        <f t="shared" si="19"/>
        <v>0 tubes and 0 shuttles</v>
      </c>
      <c r="I677" s="36">
        <f t="shared" si="20"/>
        <v>0</v>
      </c>
      <c r="J677" s="103" t="str">
        <f t="shared" si="21"/>
        <v>0 tubes and 0 shuttles</v>
      </c>
    </row>
    <row r="678" spans="1:10" ht="12.5" x14ac:dyDescent="0.25">
      <c r="A678" s="32">
        <f>'Profit &amp; Loss'!A678</f>
        <v>0</v>
      </c>
      <c r="B678" s="35">
        <f>'Profit &amp; Loss'!B678</f>
        <v>0</v>
      </c>
      <c r="C678" s="36"/>
      <c r="D678" s="33"/>
      <c r="E678" s="102">
        <f t="shared" si="22"/>
        <v>0</v>
      </c>
      <c r="F678" s="103" t="str">
        <f t="shared" si="18"/>
        <v>0 tubes and 0 shuttles</v>
      </c>
      <c r="G678" s="36">
        <f t="shared" si="23"/>
        <v>0</v>
      </c>
      <c r="H678" s="104" t="str">
        <f t="shared" si="19"/>
        <v>0 tubes and 0 shuttles</v>
      </c>
      <c r="I678" s="36">
        <f t="shared" si="20"/>
        <v>0</v>
      </c>
      <c r="J678" s="103" t="str">
        <f t="shared" si="21"/>
        <v>0 tubes and 0 shuttles</v>
      </c>
    </row>
    <row r="679" spans="1:10" ht="12.5" x14ac:dyDescent="0.25">
      <c r="A679" s="32">
        <f>'Profit &amp; Loss'!A679</f>
        <v>0</v>
      </c>
      <c r="B679" s="35">
        <f>'Profit &amp; Loss'!B679</f>
        <v>0</v>
      </c>
      <c r="C679" s="36"/>
      <c r="D679" s="33"/>
      <c r="E679" s="102">
        <f t="shared" si="22"/>
        <v>0</v>
      </c>
      <c r="F679" s="103" t="str">
        <f t="shared" si="18"/>
        <v>0 tubes and 0 shuttles</v>
      </c>
      <c r="G679" s="36">
        <f t="shared" si="23"/>
        <v>0</v>
      </c>
      <c r="H679" s="104" t="str">
        <f t="shared" si="19"/>
        <v>0 tubes and 0 shuttles</v>
      </c>
      <c r="I679" s="36">
        <f t="shared" si="20"/>
        <v>0</v>
      </c>
      <c r="J679" s="103" t="str">
        <f t="shared" si="21"/>
        <v>0 tubes and 0 shuttles</v>
      </c>
    </row>
    <row r="680" spans="1:10" ht="12.5" x14ac:dyDescent="0.25">
      <c r="A680" s="32">
        <f>'Profit &amp; Loss'!A680</f>
        <v>0</v>
      </c>
      <c r="B680" s="35">
        <f>'Profit &amp; Loss'!B680</f>
        <v>0</v>
      </c>
      <c r="C680" s="36"/>
      <c r="D680" s="33"/>
      <c r="E680" s="102">
        <f t="shared" si="22"/>
        <v>0</v>
      </c>
      <c r="F680" s="103" t="str">
        <f t="shared" si="18"/>
        <v>0 tubes and 0 shuttles</v>
      </c>
      <c r="G680" s="36">
        <f t="shared" si="23"/>
        <v>0</v>
      </c>
      <c r="H680" s="104" t="str">
        <f t="shared" si="19"/>
        <v>0 tubes and 0 shuttles</v>
      </c>
      <c r="I680" s="36">
        <f t="shared" si="20"/>
        <v>0</v>
      </c>
      <c r="J680" s="103" t="str">
        <f t="shared" si="21"/>
        <v>0 tubes and 0 shuttles</v>
      </c>
    </row>
    <row r="681" spans="1:10" ht="12.5" x14ac:dyDescent="0.25">
      <c r="A681" s="32">
        <f>'Profit &amp; Loss'!A681</f>
        <v>0</v>
      </c>
      <c r="B681" s="35">
        <f>'Profit &amp; Loss'!B681</f>
        <v>0</v>
      </c>
      <c r="C681" s="36"/>
      <c r="D681" s="33"/>
      <c r="E681" s="102">
        <f t="shared" si="22"/>
        <v>0</v>
      </c>
      <c r="F681" s="103" t="str">
        <f t="shared" si="18"/>
        <v>0 tubes and 0 shuttles</v>
      </c>
      <c r="G681" s="36">
        <f t="shared" si="23"/>
        <v>0</v>
      </c>
      <c r="H681" s="104" t="str">
        <f t="shared" si="19"/>
        <v>0 tubes and 0 shuttles</v>
      </c>
      <c r="I681" s="36">
        <f t="shared" si="20"/>
        <v>0</v>
      </c>
      <c r="J681" s="103" t="str">
        <f t="shared" si="21"/>
        <v>0 tubes and 0 shuttles</v>
      </c>
    </row>
    <row r="682" spans="1:10" ht="12.5" x14ac:dyDescent="0.25">
      <c r="A682" s="32">
        <f>'Profit &amp; Loss'!A682</f>
        <v>0</v>
      </c>
      <c r="B682" s="35">
        <f>'Profit &amp; Loss'!B682</f>
        <v>0</v>
      </c>
      <c r="C682" s="36"/>
      <c r="D682" s="33"/>
      <c r="E682" s="102">
        <f t="shared" si="22"/>
        <v>0</v>
      </c>
      <c r="F682" s="103" t="str">
        <f t="shared" si="18"/>
        <v>0 tubes and 0 shuttles</v>
      </c>
      <c r="G682" s="36">
        <f t="shared" si="23"/>
        <v>0</v>
      </c>
      <c r="H682" s="104" t="str">
        <f t="shared" si="19"/>
        <v>0 tubes and 0 shuttles</v>
      </c>
      <c r="I682" s="36">
        <f t="shared" si="20"/>
        <v>0</v>
      </c>
      <c r="J682" s="103" t="str">
        <f t="shared" si="21"/>
        <v>0 tubes and 0 shuttles</v>
      </c>
    </row>
    <row r="683" spans="1:10" ht="12.5" x14ac:dyDescent="0.25">
      <c r="A683" s="32">
        <f>'Profit &amp; Loss'!A683</f>
        <v>0</v>
      </c>
      <c r="B683" s="35">
        <f>'Profit &amp; Loss'!B683</f>
        <v>0</v>
      </c>
      <c r="C683" s="36"/>
      <c r="D683" s="33"/>
      <c r="E683" s="102">
        <f t="shared" si="22"/>
        <v>0</v>
      </c>
      <c r="F683" s="103" t="str">
        <f t="shared" si="18"/>
        <v>0 tubes and 0 shuttles</v>
      </c>
      <c r="G683" s="36">
        <f t="shared" si="23"/>
        <v>0</v>
      </c>
      <c r="H683" s="104" t="str">
        <f t="shared" si="19"/>
        <v>0 tubes and 0 shuttles</v>
      </c>
      <c r="I683" s="36">
        <f t="shared" si="20"/>
        <v>0</v>
      </c>
      <c r="J683" s="103" t="str">
        <f t="shared" si="21"/>
        <v>0 tubes and 0 shuttles</v>
      </c>
    </row>
    <row r="684" spans="1:10" ht="12.5" x14ac:dyDescent="0.25">
      <c r="A684" s="32">
        <f>'Profit &amp; Loss'!A684</f>
        <v>0</v>
      </c>
      <c r="B684" s="35">
        <f>'Profit &amp; Loss'!B684</f>
        <v>0</v>
      </c>
      <c r="C684" s="36"/>
      <c r="D684" s="33"/>
      <c r="E684" s="102">
        <f t="shared" si="22"/>
        <v>0</v>
      </c>
      <c r="F684" s="103" t="str">
        <f t="shared" si="18"/>
        <v>0 tubes and 0 shuttles</v>
      </c>
      <c r="G684" s="36">
        <f t="shared" si="23"/>
        <v>0</v>
      </c>
      <c r="H684" s="104" t="str">
        <f t="shared" si="19"/>
        <v>0 tubes and 0 shuttles</v>
      </c>
      <c r="I684" s="36">
        <f t="shared" si="20"/>
        <v>0</v>
      </c>
      <c r="J684" s="103" t="str">
        <f t="shared" si="21"/>
        <v>0 tubes and 0 shuttles</v>
      </c>
    </row>
    <row r="685" spans="1:10" ht="12.5" x14ac:dyDescent="0.25">
      <c r="A685" s="32">
        <f>'Profit &amp; Loss'!A685</f>
        <v>0</v>
      </c>
      <c r="B685" s="35">
        <f>'Profit &amp; Loss'!B685</f>
        <v>0</v>
      </c>
      <c r="C685" s="36"/>
      <c r="D685" s="33"/>
      <c r="E685" s="102">
        <f t="shared" si="22"/>
        <v>0</v>
      </c>
      <c r="F685" s="103" t="str">
        <f t="shared" si="18"/>
        <v>0 tubes and 0 shuttles</v>
      </c>
      <c r="G685" s="36">
        <f t="shared" si="23"/>
        <v>0</v>
      </c>
      <c r="H685" s="104" t="str">
        <f t="shared" si="19"/>
        <v>0 tubes and 0 shuttles</v>
      </c>
      <c r="I685" s="36">
        <f t="shared" si="20"/>
        <v>0</v>
      </c>
      <c r="J685" s="103" t="str">
        <f t="shared" si="21"/>
        <v>0 tubes and 0 shuttles</v>
      </c>
    </row>
    <row r="686" spans="1:10" ht="12.5" x14ac:dyDescent="0.25">
      <c r="A686" s="32">
        <f>'Profit &amp; Loss'!A686</f>
        <v>0</v>
      </c>
      <c r="B686" s="35">
        <f>'Profit &amp; Loss'!B686</f>
        <v>0</v>
      </c>
      <c r="C686" s="36"/>
      <c r="D686" s="33"/>
      <c r="E686" s="102">
        <f t="shared" si="22"/>
        <v>0</v>
      </c>
      <c r="F686" s="103" t="str">
        <f t="shared" si="18"/>
        <v>0 tubes and 0 shuttles</v>
      </c>
      <c r="G686" s="36">
        <f t="shared" si="23"/>
        <v>0</v>
      </c>
      <c r="H686" s="104" t="str">
        <f t="shared" si="19"/>
        <v>0 tubes and 0 shuttles</v>
      </c>
      <c r="I686" s="36">
        <f t="shared" si="20"/>
        <v>0</v>
      </c>
      <c r="J686" s="103" t="str">
        <f t="shared" si="21"/>
        <v>0 tubes and 0 shuttles</v>
      </c>
    </row>
    <row r="687" spans="1:10" ht="12.5" x14ac:dyDescent="0.25">
      <c r="A687" s="32">
        <f>'Profit &amp; Loss'!A687</f>
        <v>0</v>
      </c>
      <c r="B687" s="35">
        <f>'Profit &amp; Loss'!B687</f>
        <v>0</v>
      </c>
      <c r="C687" s="36"/>
      <c r="D687" s="33"/>
      <c r="E687" s="102">
        <f t="shared" si="22"/>
        <v>0</v>
      </c>
      <c r="F687" s="103" t="str">
        <f t="shared" si="18"/>
        <v>0 tubes and 0 shuttles</v>
      </c>
      <c r="G687" s="36">
        <f t="shared" si="23"/>
        <v>0</v>
      </c>
      <c r="H687" s="104" t="str">
        <f t="shared" si="19"/>
        <v>0 tubes and 0 shuttles</v>
      </c>
      <c r="I687" s="36">
        <f t="shared" si="20"/>
        <v>0</v>
      </c>
      <c r="J687" s="103" t="str">
        <f t="shared" si="21"/>
        <v>0 tubes and 0 shuttles</v>
      </c>
    </row>
    <row r="688" spans="1:10" ht="12.5" x14ac:dyDescent="0.25">
      <c r="A688" s="32">
        <f>'Profit &amp; Loss'!A688</f>
        <v>0</v>
      </c>
      <c r="B688" s="35">
        <f>'Profit &amp; Loss'!B688</f>
        <v>0</v>
      </c>
      <c r="C688" s="36"/>
      <c r="D688" s="33"/>
      <c r="E688" s="102">
        <f t="shared" si="22"/>
        <v>0</v>
      </c>
      <c r="F688" s="103" t="str">
        <f t="shared" si="18"/>
        <v>0 tubes and 0 shuttles</v>
      </c>
      <c r="G688" s="36">
        <f t="shared" si="23"/>
        <v>0</v>
      </c>
      <c r="H688" s="104" t="str">
        <f t="shared" si="19"/>
        <v>0 tubes and 0 shuttles</v>
      </c>
      <c r="I688" s="36">
        <f t="shared" si="20"/>
        <v>0</v>
      </c>
      <c r="J688" s="103" t="str">
        <f t="shared" si="21"/>
        <v>0 tubes and 0 shuttles</v>
      </c>
    </row>
    <row r="689" spans="1:10" ht="12.5" x14ac:dyDescent="0.25">
      <c r="A689" s="32">
        <f>'Profit &amp; Loss'!A689</f>
        <v>0</v>
      </c>
      <c r="B689" s="35">
        <f>'Profit &amp; Loss'!B689</f>
        <v>0</v>
      </c>
      <c r="C689" s="36"/>
      <c r="D689" s="33"/>
      <c r="E689" s="102">
        <f t="shared" si="22"/>
        <v>0</v>
      </c>
      <c r="F689" s="103" t="str">
        <f t="shared" si="18"/>
        <v>0 tubes and 0 shuttles</v>
      </c>
      <c r="G689" s="36">
        <f t="shared" si="23"/>
        <v>0</v>
      </c>
      <c r="H689" s="104" t="str">
        <f t="shared" si="19"/>
        <v>0 tubes and 0 shuttles</v>
      </c>
      <c r="I689" s="36">
        <f t="shared" si="20"/>
        <v>0</v>
      </c>
      <c r="J689" s="103" t="str">
        <f t="shared" si="21"/>
        <v>0 tubes and 0 shuttles</v>
      </c>
    </row>
    <row r="690" spans="1:10" ht="12.5" x14ac:dyDescent="0.25">
      <c r="A690" s="32">
        <f>'Profit &amp; Loss'!A690</f>
        <v>0</v>
      </c>
      <c r="B690" s="35">
        <f>'Profit &amp; Loss'!B690</f>
        <v>0</v>
      </c>
      <c r="C690" s="36"/>
      <c r="D690" s="33"/>
      <c r="E690" s="102">
        <f t="shared" si="22"/>
        <v>0</v>
      </c>
      <c r="F690" s="103" t="str">
        <f t="shared" si="18"/>
        <v>0 tubes and 0 shuttles</v>
      </c>
      <c r="G690" s="36">
        <f t="shared" si="23"/>
        <v>0</v>
      </c>
      <c r="H690" s="104" t="str">
        <f t="shared" si="19"/>
        <v>0 tubes and 0 shuttles</v>
      </c>
      <c r="I690" s="36">
        <f t="shared" si="20"/>
        <v>0</v>
      </c>
      <c r="J690" s="103" t="str">
        <f t="shared" si="21"/>
        <v>0 tubes and 0 shuttles</v>
      </c>
    </row>
    <row r="691" spans="1:10" ht="12.5" x14ac:dyDescent="0.25">
      <c r="A691" s="32">
        <f>'Profit &amp; Loss'!A691</f>
        <v>0</v>
      </c>
      <c r="B691" s="35">
        <f>'Profit &amp; Loss'!B691</f>
        <v>0</v>
      </c>
      <c r="C691" s="36"/>
      <c r="D691" s="33"/>
      <c r="E691" s="102">
        <f t="shared" si="22"/>
        <v>0</v>
      </c>
      <c r="F691" s="103" t="str">
        <f t="shared" si="18"/>
        <v>0 tubes and 0 shuttles</v>
      </c>
      <c r="G691" s="36">
        <f t="shared" si="23"/>
        <v>0</v>
      </c>
      <c r="H691" s="104" t="str">
        <f t="shared" si="19"/>
        <v>0 tubes and 0 shuttles</v>
      </c>
      <c r="I691" s="36">
        <f t="shared" si="20"/>
        <v>0</v>
      </c>
      <c r="J691" s="103" t="str">
        <f t="shared" si="21"/>
        <v>0 tubes and 0 shuttles</v>
      </c>
    </row>
    <row r="692" spans="1:10" ht="12.5" x14ac:dyDescent="0.25">
      <c r="A692" s="32">
        <f>'Profit &amp; Loss'!A692</f>
        <v>0</v>
      </c>
      <c r="B692" s="35">
        <f>'Profit &amp; Loss'!B692</f>
        <v>0</v>
      </c>
      <c r="C692" s="36"/>
      <c r="D692" s="33"/>
      <c r="E692" s="102">
        <f t="shared" si="22"/>
        <v>0</v>
      </c>
      <c r="F692" s="103" t="str">
        <f t="shared" si="18"/>
        <v>0 tubes and 0 shuttles</v>
      </c>
      <c r="G692" s="36">
        <f t="shared" si="23"/>
        <v>0</v>
      </c>
      <c r="H692" s="104" t="str">
        <f t="shared" si="19"/>
        <v>0 tubes and 0 shuttles</v>
      </c>
      <c r="I692" s="36">
        <f t="shared" si="20"/>
        <v>0</v>
      </c>
      <c r="J692" s="103" t="str">
        <f t="shared" si="21"/>
        <v>0 tubes and 0 shuttles</v>
      </c>
    </row>
    <row r="693" spans="1:10" ht="12.5" x14ac:dyDescent="0.25">
      <c r="A693" s="32">
        <f>'Profit &amp; Loss'!A693</f>
        <v>0</v>
      </c>
      <c r="B693" s="35">
        <f>'Profit &amp; Loss'!B693</f>
        <v>0</v>
      </c>
      <c r="C693" s="36"/>
      <c r="D693" s="33"/>
      <c r="E693" s="102">
        <f t="shared" si="22"/>
        <v>0</v>
      </c>
      <c r="F693" s="103" t="str">
        <f t="shared" si="18"/>
        <v>0 tubes and 0 shuttles</v>
      </c>
      <c r="G693" s="36">
        <f t="shared" si="23"/>
        <v>0</v>
      </c>
      <c r="H693" s="104" t="str">
        <f t="shared" si="19"/>
        <v>0 tubes and 0 shuttles</v>
      </c>
      <c r="I693" s="36">
        <f t="shared" si="20"/>
        <v>0</v>
      </c>
      <c r="J693" s="103" t="str">
        <f t="shared" si="21"/>
        <v>0 tubes and 0 shuttles</v>
      </c>
    </row>
    <row r="694" spans="1:10" ht="12.5" x14ac:dyDescent="0.25">
      <c r="A694" s="32">
        <f>'Profit &amp; Loss'!A694</f>
        <v>0</v>
      </c>
      <c r="B694" s="35">
        <f>'Profit &amp; Loss'!B694</f>
        <v>0</v>
      </c>
      <c r="C694" s="36"/>
      <c r="D694" s="33"/>
      <c r="E694" s="102">
        <f t="shared" si="22"/>
        <v>0</v>
      </c>
      <c r="F694" s="103" t="str">
        <f t="shared" si="18"/>
        <v>0 tubes and 0 shuttles</v>
      </c>
      <c r="G694" s="36">
        <f t="shared" si="23"/>
        <v>0</v>
      </c>
      <c r="H694" s="104" t="str">
        <f t="shared" si="19"/>
        <v>0 tubes and 0 shuttles</v>
      </c>
      <c r="I694" s="36">
        <f t="shared" si="20"/>
        <v>0</v>
      </c>
      <c r="J694" s="103" t="str">
        <f t="shared" si="21"/>
        <v>0 tubes and 0 shuttles</v>
      </c>
    </row>
    <row r="695" spans="1:10" ht="12.5" x14ac:dyDescent="0.25">
      <c r="A695" s="32">
        <f>'Profit &amp; Loss'!A695</f>
        <v>0</v>
      </c>
      <c r="B695" s="35">
        <f>'Profit &amp; Loss'!B695</f>
        <v>0</v>
      </c>
      <c r="C695" s="36"/>
      <c r="D695" s="33"/>
      <c r="E695" s="102">
        <f t="shared" si="22"/>
        <v>0</v>
      </c>
      <c r="F695" s="103" t="str">
        <f t="shared" si="18"/>
        <v>0 tubes and 0 shuttles</v>
      </c>
      <c r="G695" s="36">
        <f t="shared" si="23"/>
        <v>0</v>
      </c>
      <c r="H695" s="104" t="str">
        <f t="shared" si="19"/>
        <v>0 tubes and 0 shuttles</v>
      </c>
      <c r="I695" s="36">
        <f t="shared" si="20"/>
        <v>0</v>
      </c>
      <c r="J695" s="103" t="str">
        <f t="shared" si="21"/>
        <v>0 tubes and 0 shuttles</v>
      </c>
    </row>
    <row r="696" spans="1:10" ht="12.5" x14ac:dyDescent="0.25">
      <c r="A696" s="32">
        <f>'Profit &amp; Loss'!A696</f>
        <v>0</v>
      </c>
      <c r="B696" s="35">
        <f>'Profit &amp; Loss'!B696</f>
        <v>0</v>
      </c>
      <c r="C696" s="36"/>
      <c r="D696" s="33"/>
      <c r="E696" s="102">
        <f t="shared" si="22"/>
        <v>0</v>
      </c>
      <c r="F696" s="103" t="str">
        <f t="shared" si="18"/>
        <v>0 tubes and 0 shuttles</v>
      </c>
      <c r="G696" s="36">
        <f t="shared" si="23"/>
        <v>0</v>
      </c>
      <c r="H696" s="104" t="str">
        <f t="shared" si="19"/>
        <v>0 tubes and 0 shuttles</v>
      </c>
      <c r="I696" s="36">
        <f t="shared" si="20"/>
        <v>0</v>
      </c>
      <c r="J696" s="103" t="str">
        <f t="shared" si="21"/>
        <v>0 tubes and 0 shuttles</v>
      </c>
    </row>
    <row r="697" spans="1:10" ht="12.5" x14ac:dyDescent="0.25">
      <c r="A697" s="32">
        <f>'Profit &amp; Loss'!A697</f>
        <v>0</v>
      </c>
      <c r="B697" s="35">
        <f>'Profit &amp; Loss'!B697</f>
        <v>0</v>
      </c>
      <c r="C697" s="36"/>
      <c r="D697" s="33"/>
      <c r="E697" s="102">
        <f t="shared" si="22"/>
        <v>0</v>
      </c>
      <c r="F697" s="103" t="str">
        <f t="shared" si="18"/>
        <v>0 tubes and 0 shuttles</v>
      </c>
      <c r="G697" s="36">
        <f t="shared" si="23"/>
        <v>0</v>
      </c>
      <c r="H697" s="104" t="str">
        <f t="shared" si="19"/>
        <v>0 tubes and 0 shuttles</v>
      </c>
      <c r="I697" s="36">
        <f t="shared" si="20"/>
        <v>0</v>
      </c>
      <c r="J697" s="103" t="str">
        <f t="shared" si="21"/>
        <v>0 tubes and 0 shuttles</v>
      </c>
    </row>
    <row r="698" spans="1:10" ht="12.5" x14ac:dyDescent="0.25">
      <c r="A698" s="32">
        <f>'Profit &amp; Loss'!A698</f>
        <v>0</v>
      </c>
      <c r="B698" s="35">
        <f>'Profit &amp; Loss'!B698</f>
        <v>0</v>
      </c>
      <c r="C698" s="36"/>
      <c r="D698" s="33"/>
      <c r="E698" s="102">
        <f t="shared" si="22"/>
        <v>0</v>
      </c>
      <c r="F698" s="103" t="str">
        <f t="shared" si="18"/>
        <v>0 tubes and 0 shuttles</v>
      </c>
      <c r="G698" s="36">
        <f t="shared" si="23"/>
        <v>0</v>
      </c>
      <c r="H698" s="104" t="str">
        <f t="shared" si="19"/>
        <v>0 tubes and 0 shuttles</v>
      </c>
      <c r="I698" s="36">
        <f t="shared" si="20"/>
        <v>0</v>
      </c>
      <c r="J698" s="103" t="str">
        <f t="shared" si="21"/>
        <v>0 tubes and 0 shuttles</v>
      </c>
    </row>
    <row r="699" spans="1:10" ht="12.5" x14ac:dyDescent="0.25">
      <c r="A699" s="32">
        <f>'Profit &amp; Loss'!A699</f>
        <v>0</v>
      </c>
      <c r="B699" s="35">
        <f>'Profit &amp; Loss'!B699</f>
        <v>0</v>
      </c>
      <c r="C699" s="36"/>
      <c r="D699" s="33"/>
      <c r="E699" s="102">
        <f t="shared" si="22"/>
        <v>0</v>
      </c>
      <c r="F699" s="103" t="str">
        <f t="shared" si="18"/>
        <v>0 tubes and 0 shuttles</v>
      </c>
      <c r="G699" s="36">
        <f t="shared" si="23"/>
        <v>0</v>
      </c>
      <c r="H699" s="104" t="str">
        <f t="shared" si="19"/>
        <v>0 tubes and 0 shuttles</v>
      </c>
      <c r="I699" s="36">
        <f t="shared" si="20"/>
        <v>0</v>
      </c>
      <c r="J699" s="103" t="str">
        <f t="shared" si="21"/>
        <v>0 tubes and 0 shuttles</v>
      </c>
    </row>
    <row r="700" spans="1:10" ht="12.5" x14ac:dyDescent="0.25">
      <c r="A700" s="32">
        <f>'Profit &amp; Loss'!A700</f>
        <v>0</v>
      </c>
      <c r="B700" s="35">
        <f>'Profit &amp; Loss'!B700</f>
        <v>0</v>
      </c>
      <c r="C700" s="36"/>
      <c r="D700" s="33"/>
      <c r="E700" s="102">
        <f t="shared" si="22"/>
        <v>0</v>
      </c>
      <c r="F700" s="103" t="str">
        <f t="shared" si="18"/>
        <v>0 tubes and 0 shuttles</v>
      </c>
      <c r="G700" s="36">
        <f t="shared" si="23"/>
        <v>0</v>
      </c>
      <c r="H700" s="104" t="str">
        <f t="shared" si="19"/>
        <v>0 tubes and 0 shuttles</v>
      </c>
      <c r="I700" s="36">
        <f t="shared" si="20"/>
        <v>0</v>
      </c>
      <c r="J700" s="103" t="str">
        <f t="shared" si="21"/>
        <v>0 tubes and 0 shuttles</v>
      </c>
    </row>
    <row r="701" spans="1:10" ht="12.5" x14ac:dyDescent="0.25">
      <c r="A701" s="32">
        <f>'Profit &amp; Loss'!A701</f>
        <v>0</v>
      </c>
      <c r="B701" s="35">
        <f>'Profit &amp; Loss'!B701</f>
        <v>0</v>
      </c>
      <c r="C701" s="36"/>
      <c r="D701" s="33"/>
      <c r="E701" s="102">
        <f t="shared" si="22"/>
        <v>0</v>
      </c>
      <c r="F701" s="103" t="str">
        <f t="shared" si="18"/>
        <v>0 tubes and 0 shuttles</v>
      </c>
      <c r="G701" s="36">
        <f t="shared" si="23"/>
        <v>0</v>
      </c>
      <c r="H701" s="104" t="str">
        <f t="shared" si="19"/>
        <v>0 tubes and 0 shuttles</v>
      </c>
      <c r="I701" s="36">
        <f t="shared" si="20"/>
        <v>0</v>
      </c>
      <c r="J701" s="103" t="str">
        <f t="shared" si="21"/>
        <v>0 tubes and 0 shuttles</v>
      </c>
    </row>
    <row r="702" spans="1:10" ht="12.5" x14ac:dyDescent="0.25">
      <c r="A702" s="32">
        <f>'Profit &amp; Loss'!A702</f>
        <v>0</v>
      </c>
      <c r="B702" s="35">
        <f>'Profit &amp; Loss'!B702</f>
        <v>0</v>
      </c>
      <c r="C702" s="36"/>
      <c r="D702" s="33"/>
      <c r="E702" s="102">
        <f t="shared" si="22"/>
        <v>0</v>
      </c>
      <c r="F702" s="103" t="str">
        <f t="shared" si="18"/>
        <v>0 tubes and 0 shuttles</v>
      </c>
      <c r="G702" s="36">
        <f t="shared" si="23"/>
        <v>0</v>
      </c>
      <c r="H702" s="104" t="str">
        <f t="shared" si="19"/>
        <v>0 tubes and 0 shuttles</v>
      </c>
      <c r="I702" s="36">
        <f t="shared" si="20"/>
        <v>0</v>
      </c>
      <c r="J702" s="103" t="str">
        <f t="shared" si="21"/>
        <v>0 tubes and 0 shuttles</v>
      </c>
    </row>
    <row r="703" spans="1:10" ht="12.5" x14ac:dyDescent="0.25">
      <c r="A703" s="32">
        <f>'Profit &amp; Loss'!A703</f>
        <v>0</v>
      </c>
      <c r="B703" s="35">
        <f>'Profit &amp; Loss'!B703</f>
        <v>0</v>
      </c>
      <c r="C703" s="36"/>
      <c r="D703" s="33"/>
      <c r="E703" s="102">
        <f t="shared" si="22"/>
        <v>0</v>
      </c>
      <c r="F703" s="103" t="str">
        <f t="shared" si="18"/>
        <v>0 tubes and 0 shuttles</v>
      </c>
      <c r="G703" s="36">
        <f t="shared" si="23"/>
        <v>0</v>
      </c>
      <c r="H703" s="104" t="str">
        <f t="shared" si="19"/>
        <v>0 tubes and 0 shuttles</v>
      </c>
      <c r="I703" s="36">
        <f t="shared" si="20"/>
        <v>0</v>
      </c>
      <c r="J703" s="103" t="str">
        <f t="shared" si="21"/>
        <v>0 tubes and 0 shuttles</v>
      </c>
    </row>
    <row r="704" spans="1:10" ht="12.5" x14ac:dyDescent="0.25">
      <c r="A704" s="32">
        <f>'Profit &amp; Loss'!A704</f>
        <v>0</v>
      </c>
      <c r="B704" s="35">
        <f>'Profit &amp; Loss'!B704</f>
        <v>0</v>
      </c>
      <c r="C704" s="36"/>
      <c r="D704" s="33"/>
      <c r="E704" s="102">
        <f t="shared" si="22"/>
        <v>0</v>
      </c>
      <c r="F704" s="103" t="str">
        <f t="shared" si="18"/>
        <v>0 tubes and 0 shuttles</v>
      </c>
      <c r="G704" s="36">
        <f t="shared" si="23"/>
        <v>0</v>
      </c>
      <c r="H704" s="104" t="str">
        <f t="shared" si="19"/>
        <v>0 tubes and 0 shuttles</v>
      </c>
      <c r="I704" s="36">
        <f t="shared" si="20"/>
        <v>0</v>
      </c>
      <c r="J704" s="103" t="str">
        <f t="shared" si="21"/>
        <v>0 tubes and 0 shuttles</v>
      </c>
    </row>
    <row r="705" spans="1:10" ht="12.5" x14ac:dyDescent="0.25">
      <c r="A705" s="32">
        <f>'Profit &amp; Loss'!A705</f>
        <v>0</v>
      </c>
      <c r="B705" s="35">
        <f>'Profit &amp; Loss'!B705</f>
        <v>0</v>
      </c>
      <c r="C705" s="36"/>
      <c r="D705" s="33"/>
      <c r="E705" s="102">
        <f t="shared" si="22"/>
        <v>0</v>
      </c>
      <c r="F705" s="103" t="str">
        <f t="shared" si="18"/>
        <v>0 tubes and 0 shuttles</v>
      </c>
      <c r="G705" s="36">
        <f t="shared" si="23"/>
        <v>0</v>
      </c>
      <c r="H705" s="104" t="str">
        <f t="shared" si="19"/>
        <v>0 tubes and 0 shuttles</v>
      </c>
      <c r="I705" s="36">
        <f t="shared" si="20"/>
        <v>0</v>
      </c>
      <c r="J705" s="103" t="str">
        <f t="shared" si="21"/>
        <v>0 tubes and 0 shuttles</v>
      </c>
    </row>
    <row r="706" spans="1:10" ht="12.5" x14ac:dyDescent="0.25">
      <c r="A706" s="32">
        <f>'Profit &amp; Loss'!A706</f>
        <v>0</v>
      </c>
      <c r="B706" s="35">
        <f>'Profit &amp; Loss'!B706</f>
        <v>0</v>
      </c>
      <c r="C706" s="36"/>
      <c r="D706" s="33"/>
      <c r="E706" s="102">
        <f t="shared" si="22"/>
        <v>0</v>
      </c>
      <c r="F706" s="103" t="str">
        <f t="shared" si="18"/>
        <v>0 tubes and 0 shuttles</v>
      </c>
      <c r="G706" s="36">
        <f t="shared" si="23"/>
        <v>0</v>
      </c>
      <c r="H706" s="104" t="str">
        <f t="shared" si="19"/>
        <v>0 tubes and 0 shuttles</v>
      </c>
      <c r="I706" s="36">
        <f t="shared" si="20"/>
        <v>0</v>
      </c>
      <c r="J706" s="103" t="str">
        <f t="shared" si="21"/>
        <v>0 tubes and 0 shuttles</v>
      </c>
    </row>
    <row r="707" spans="1:10" ht="12.5" x14ac:dyDescent="0.25">
      <c r="A707" s="32">
        <f>'Profit &amp; Loss'!A707</f>
        <v>0</v>
      </c>
      <c r="B707" s="35">
        <f>'Profit &amp; Loss'!B707</f>
        <v>0</v>
      </c>
      <c r="C707" s="36"/>
      <c r="D707" s="33"/>
      <c r="E707" s="102">
        <f t="shared" si="22"/>
        <v>0</v>
      </c>
      <c r="F707" s="103" t="str">
        <f t="shared" si="18"/>
        <v>0 tubes and 0 shuttles</v>
      </c>
      <c r="G707" s="36">
        <f t="shared" si="23"/>
        <v>0</v>
      </c>
      <c r="H707" s="104" t="str">
        <f t="shared" si="19"/>
        <v>0 tubes and 0 shuttles</v>
      </c>
      <c r="I707" s="36">
        <f t="shared" si="20"/>
        <v>0</v>
      </c>
      <c r="J707" s="103" t="str">
        <f t="shared" si="21"/>
        <v>0 tubes and 0 shuttles</v>
      </c>
    </row>
    <row r="708" spans="1:10" ht="12.5" x14ac:dyDescent="0.25">
      <c r="A708" s="32">
        <f>'Profit &amp; Loss'!A708</f>
        <v>0</v>
      </c>
      <c r="B708" s="35">
        <f>'Profit &amp; Loss'!B708</f>
        <v>0</v>
      </c>
      <c r="C708" s="36"/>
      <c r="D708" s="33"/>
      <c r="E708" s="102">
        <f t="shared" si="22"/>
        <v>0</v>
      </c>
      <c r="F708" s="103" t="str">
        <f t="shared" si="18"/>
        <v>0 tubes and 0 shuttles</v>
      </c>
      <c r="G708" s="36">
        <f t="shared" si="23"/>
        <v>0</v>
      </c>
      <c r="H708" s="104" t="str">
        <f t="shared" si="19"/>
        <v>0 tubes and 0 shuttles</v>
      </c>
      <c r="I708" s="36">
        <f t="shared" si="20"/>
        <v>0</v>
      </c>
      <c r="J708" s="103" t="str">
        <f t="shared" si="21"/>
        <v>0 tubes and 0 shuttles</v>
      </c>
    </row>
    <row r="709" spans="1:10" ht="12.5" x14ac:dyDescent="0.25">
      <c r="A709" s="32">
        <f>'Profit &amp; Loss'!A709</f>
        <v>0</v>
      </c>
      <c r="B709" s="35">
        <f>'Profit &amp; Loss'!B709</f>
        <v>0</v>
      </c>
      <c r="C709" s="36"/>
      <c r="D709" s="33"/>
      <c r="E709" s="102">
        <f t="shared" si="22"/>
        <v>0</v>
      </c>
      <c r="F709" s="103" t="str">
        <f t="shared" si="18"/>
        <v>0 tubes and 0 shuttles</v>
      </c>
      <c r="G709" s="36">
        <f t="shared" si="23"/>
        <v>0</v>
      </c>
      <c r="H709" s="104" t="str">
        <f t="shared" si="19"/>
        <v>0 tubes and 0 shuttles</v>
      </c>
      <c r="I709" s="36">
        <f t="shared" si="20"/>
        <v>0</v>
      </c>
      <c r="J709" s="103" t="str">
        <f t="shared" si="21"/>
        <v>0 tubes and 0 shuttles</v>
      </c>
    </row>
    <row r="710" spans="1:10" ht="12.5" x14ac:dyDescent="0.25">
      <c r="A710" s="32">
        <f>'Profit &amp; Loss'!A710</f>
        <v>0</v>
      </c>
      <c r="B710" s="35">
        <f>'Profit &amp; Loss'!B710</f>
        <v>0</v>
      </c>
      <c r="C710" s="36"/>
      <c r="D710" s="33"/>
      <c r="E710" s="102">
        <f t="shared" si="22"/>
        <v>0</v>
      </c>
      <c r="F710" s="103" t="str">
        <f t="shared" si="18"/>
        <v>0 tubes and 0 shuttles</v>
      </c>
      <c r="G710" s="36">
        <f t="shared" si="23"/>
        <v>0</v>
      </c>
      <c r="H710" s="104" t="str">
        <f t="shared" si="19"/>
        <v>0 tubes and 0 shuttles</v>
      </c>
      <c r="I710" s="36">
        <f t="shared" si="20"/>
        <v>0</v>
      </c>
      <c r="J710" s="103" t="str">
        <f t="shared" si="21"/>
        <v>0 tubes and 0 shuttles</v>
      </c>
    </row>
    <row r="711" spans="1:10" ht="12.5" x14ac:dyDescent="0.25">
      <c r="A711" s="32">
        <f>'Profit &amp; Loss'!A711</f>
        <v>0</v>
      </c>
      <c r="B711" s="35">
        <f>'Profit &amp; Loss'!B711</f>
        <v>0</v>
      </c>
      <c r="C711" s="36"/>
      <c r="D711" s="33"/>
      <c r="E711" s="102">
        <f t="shared" si="22"/>
        <v>0</v>
      </c>
      <c r="F711" s="103" t="str">
        <f t="shared" si="18"/>
        <v>0 tubes and 0 shuttles</v>
      </c>
      <c r="G711" s="36">
        <f t="shared" si="23"/>
        <v>0</v>
      </c>
      <c r="H711" s="104" t="str">
        <f t="shared" si="19"/>
        <v>0 tubes and 0 shuttles</v>
      </c>
      <c r="I711" s="36">
        <f t="shared" si="20"/>
        <v>0</v>
      </c>
      <c r="J711" s="103" t="str">
        <f t="shared" si="21"/>
        <v>0 tubes and 0 shuttles</v>
      </c>
    </row>
    <row r="712" spans="1:10" ht="12.5" x14ac:dyDescent="0.25">
      <c r="A712" s="32">
        <f>'Profit &amp; Loss'!A712</f>
        <v>0</v>
      </c>
      <c r="B712" s="35">
        <f>'Profit &amp; Loss'!B712</f>
        <v>0</v>
      </c>
      <c r="C712" s="36"/>
      <c r="D712" s="33"/>
      <c r="E712" s="102">
        <f t="shared" si="22"/>
        <v>0</v>
      </c>
      <c r="F712" s="103" t="str">
        <f t="shared" si="18"/>
        <v>0 tubes and 0 shuttles</v>
      </c>
      <c r="G712" s="36">
        <f t="shared" si="23"/>
        <v>0</v>
      </c>
      <c r="H712" s="104" t="str">
        <f t="shared" si="19"/>
        <v>0 tubes and 0 shuttles</v>
      </c>
      <c r="I712" s="36">
        <f t="shared" si="20"/>
        <v>0</v>
      </c>
      <c r="J712" s="103" t="str">
        <f t="shared" si="21"/>
        <v>0 tubes and 0 shuttles</v>
      </c>
    </row>
    <row r="713" spans="1:10" ht="12.5" x14ac:dyDescent="0.25">
      <c r="A713" s="32">
        <f>'Profit &amp; Loss'!A713</f>
        <v>0</v>
      </c>
      <c r="B713" s="35">
        <f>'Profit &amp; Loss'!B713</f>
        <v>0</v>
      </c>
      <c r="C713" s="36"/>
      <c r="D713" s="33"/>
      <c r="E713" s="102">
        <f t="shared" si="22"/>
        <v>0</v>
      </c>
      <c r="F713" s="103" t="str">
        <f t="shared" si="18"/>
        <v>0 tubes and 0 shuttles</v>
      </c>
      <c r="G713" s="36">
        <f t="shared" si="23"/>
        <v>0</v>
      </c>
      <c r="H713" s="104" t="str">
        <f t="shared" si="19"/>
        <v>0 tubes and 0 shuttles</v>
      </c>
      <c r="I713" s="36">
        <f t="shared" si="20"/>
        <v>0</v>
      </c>
      <c r="J713" s="103" t="str">
        <f t="shared" si="21"/>
        <v>0 tubes and 0 shuttles</v>
      </c>
    </row>
    <row r="714" spans="1:10" ht="12.5" x14ac:dyDescent="0.25">
      <c r="A714" s="32">
        <f>'Profit &amp; Loss'!A714</f>
        <v>0</v>
      </c>
      <c r="B714" s="35">
        <f>'Profit &amp; Loss'!B714</f>
        <v>0</v>
      </c>
      <c r="C714" s="36"/>
      <c r="D714" s="33"/>
      <c r="E714" s="102">
        <f t="shared" si="22"/>
        <v>0</v>
      </c>
      <c r="F714" s="103" t="str">
        <f t="shared" si="18"/>
        <v>0 tubes and 0 shuttles</v>
      </c>
      <c r="G714" s="36">
        <f t="shared" si="23"/>
        <v>0</v>
      </c>
      <c r="H714" s="104" t="str">
        <f t="shared" si="19"/>
        <v>0 tubes and 0 shuttles</v>
      </c>
      <c r="I714" s="36">
        <f t="shared" si="20"/>
        <v>0</v>
      </c>
      <c r="J714" s="103" t="str">
        <f t="shared" si="21"/>
        <v>0 tubes and 0 shuttles</v>
      </c>
    </row>
    <row r="715" spans="1:10" ht="12.5" x14ac:dyDescent="0.25">
      <c r="A715" s="32">
        <f>'Profit &amp; Loss'!A715</f>
        <v>0</v>
      </c>
      <c r="B715" s="35">
        <f>'Profit &amp; Loss'!B715</f>
        <v>0</v>
      </c>
      <c r="C715" s="36"/>
      <c r="D715" s="33"/>
      <c r="E715" s="102">
        <f t="shared" si="22"/>
        <v>0</v>
      </c>
      <c r="F715" s="103" t="str">
        <f t="shared" si="18"/>
        <v>0 tubes and 0 shuttles</v>
      </c>
      <c r="G715" s="36">
        <f t="shared" si="23"/>
        <v>0</v>
      </c>
      <c r="H715" s="104" t="str">
        <f t="shared" si="19"/>
        <v>0 tubes and 0 shuttles</v>
      </c>
      <c r="I715" s="36">
        <f t="shared" si="20"/>
        <v>0</v>
      </c>
      <c r="J715" s="103" t="str">
        <f t="shared" si="21"/>
        <v>0 tubes and 0 shuttles</v>
      </c>
    </row>
    <row r="716" spans="1:10" ht="12.5" x14ac:dyDescent="0.25">
      <c r="A716" s="32">
        <f>'Profit &amp; Loss'!A716</f>
        <v>0</v>
      </c>
      <c r="B716" s="35">
        <f>'Profit &amp; Loss'!B716</f>
        <v>0</v>
      </c>
      <c r="C716" s="36"/>
      <c r="D716" s="33"/>
      <c r="E716" s="102">
        <f t="shared" si="22"/>
        <v>0</v>
      </c>
      <c r="F716" s="103" t="str">
        <f t="shared" si="18"/>
        <v>0 tubes and 0 shuttles</v>
      </c>
      <c r="G716" s="36">
        <f t="shared" si="23"/>
        <v>0</v>
      </c>
      <c r="H716" s="104" t="str">
        <f t="shared" si="19"/>
        <v>0 tubes and 0 shuttles</v>
      </c>
      <c r="I716" s="36">
        <f t="shared" si="20"/>
        <v>0</v>
      </c>
      <c r="J716" s="103" t="str">
        <f t="shared" si="21"/>
        <v>0 tubes and 0 shuttles</v>
      </c>
    </row>
    <row r="717" spans="1:10" ht="12.5" x14ac:dyDescent="0.25">
      <c r="A717" s="32">
        <f>'Profit &amp; Loss'!A717</f>
        <v>0</v>
      </c>
      <c r="B717" s="35">
        <f>'Profit &amp; Loss'!B717</f>
        <v>0</v>
      </c>
      <c r="C717" s="36"/>
      <c r="D717" s="33"/>
      <c r="E717" s="102">
        <f t="shared" si="22"/>
        <v>0</v>
      </c>
      <c r="F717" s="103" t="str">
        <f t="shared" si="18"/>
        <v>0 tubes and 0 shuttles</v>
      </c>
      <c r="G717" s="36">
        <f t="shared" si="23"/>
        <v>0</v>
      </c>
      <c r="H717" s="104" t="str">
        <f t="shared" si="19"/>
        <v>0 tubes and 0 shuttles</v>
      </c>
      <c r="I717" s="36">
        <f t="shared" si="20"/>
        <v>0</v>
      </c>
      <c r="J717" s="103" t="str">
        <f t="shared" si="21"/>
        <v>0 tubes and 0 shuttles</v>
      </c>
    </row>
    <row r="718" spans="1:10" ht="12.5" x14ac:dyDescent="0.25">
      <c r="A718" s="32">
        <f>'Profit &amp; Loss'!A718</f>
        <v>0</v>
      </c>
      <c r="B718" s="35">
        <f>'Profit &amp; Loss'!B718</f>
        <v>0</v>
      </c>
      <c r="C718" s="36"/>
      <c r="D718" s="33"/>
      <c r="E718" s="102">
        <f t="shared" si="22"/>
        <v>0</v>
      </c>
      <c r="F718" s="103" t="str">
        <f t="shared" si="18"/>
        <v>0 tubes and 0 shuttles</v>
      </c>
      <c r="G718" s="36">
        <f t="shared" si="23"/>
        <v>0</v>
      </c>
      <c r="H718" s="104" t="str">
        <f t="shared" si="19"/>
        <v>0 tubes and 0 shuttles</v>
      </c>
      <c r="I718" s="36">
        <f t="shared" si="20"/>
        <v>0</v>
      </c>
      <c r="J718" s="103" t="str">
        <f t="shared" si="21"/>
        <v>0 tubes and 0 shuttles</v>
      </c>
    </row>
    <row r="719" spans="1:10" ht="12.5" x14ac:dyDescent="0.25">
      <c r="A719" s="32">
        <f>'Profit &amp; Loss'!A719</f>
        <v>0</v>
      </c>
      <c r="B719" s="35">
        <f>'Profit &amp; Loss'!B719</f>
        <v>0</v>
      </c>
      <c r="C719" s="36"/>
      <c r="D719" s="33"/>
      <c r="E719" s="102">
        <f t="shared" si="22"/>
        <v>0</v>
      </c>
      <c r="F719" s="103" t="str">
        <f t="shared" si="18"/>
        <v>0 tubes and 0 shuttles</v>
      </c>
      <c r="G719" s="36">
        <f t="shared" si="23"/>
        <v>0</v>
      </c>
      <c r="H719" s="104" t="str">
        <f t="shared" si="19"/>
        <v>0 tubes and 0 shuttles</v>
      </c>
      <c r="I719" s="36">
        <f t="shared" si="20"/>
        <v>0</v>
      </c>
      <c r="J719" s="103" t="str">
        <f t="shared" si="21"/>
        <v>0 tubes and 0 shuttles</v>
      </c>
    </row>
    <row r="720" spans="1:10" ht="12.5" x14ac:dyDescent="0.25">
      <c r="A720" s="32">
        <f>'Profit &amp; Loss'!A720</f>
        <v>0</v>
      </c>
      <c r="B720" s="35">
        <f>'Profit &amp; Loss'!B720</f>
        <v>0</v>
      </c>
      <c r="C720" s="36"/>
      <c r="D720" s="33"/>
      <c r="E720" s="102">
        <f t="shared" si="22"/>
        <v>0</v>
      </c>
      <c r="F720" s="103" t="str">
        <f t="shared" si="18"/>
        <v>0 tubes and 0 shuttles</v>
      </c>
      <c r="G720" s="36">
        <f t="shared" si="23"/>
        <v>0</v>
      </c>
      <c r="H720" s="104" t="str">
        <f t="shared" si="19"/>
        <v>0 tubes and 0 shuttles</v>
      </c>
      <c r="I720" s="36">
        <f t="shared" si="20"/>
        <v>0</v>
      </c>
      <c r="J720" s="103" t="str">
        <f t="shared" si="21"/>
        <v>0 tubes and 0 shuttles</v>
      </c>
    </row>
    <row r="721" spans="1:10" ht="12.5" x14ac:dyDescent="0.25">
      <c r="A721" s="32">
        <f>'Profit &amp; Loss'!A721</f>
        <v>0</v>
      </c>
      <c r="B721" s="35">
        <f>'Profit &amp; Loss'!B721</f>
        <v>0</v>
      </c>
      <c r="C721" s="36"/>
      <c r="D721" s="33"/>
      <c r="E721" s="102">
        <f t="shared" si="22"/>
        <v>0</v>
      </c>
      <c r="F721" s="103" t="str">
        <f t="shared" si="18"/>
        <v>0 tubes and 0 shuttles</v>
      </c>
      <c r="G721" s="36">
        <f t="shared" si="23"/>
        <v>0</v>
      </c>
      <c r="H721" s="104" t="str">
        <f t="shared" si="19"/>
        <v>0 tubes and 0 shuttles</v>
      </c>
      <c r="I721" s="36">
        <f t="shared" si="20"/>
        <v>0</v>
      </c>
      <c r="J721" s="103" t="str">
        <f t="shared" si="21"/>
        <v>0 tubes and 0 shuttles</v>
      </c>
    </row>
    <row r="722" spans="1:10" ht="12.5" x14ac:dyDescent="0.25">
      <c r="A722" s="32">
        <f>'Profit &amp; Loss'!A722</f>
        <v>0</v>
      </c>
      <c r="B722" s="35">
        <f>'Profit &amp; Loss'!B722</f>
        <v>0</v>
      </c>
      <c r="C722" s="36"/>
      <c r="D722" s="33"/>
      <c r="E722" s="102">
        <f t="shared" si="22"/>
        <v>0</v>
      </c>
      <c r="F722" s="103" t="str">
        <f t="shared" si="18"/>
        <v>0 tubes and 0 shuttles</v>
      </c>
      <c r="G722" s="36">
        <f t="shared" si="23"/>
        <v>0</v>
      </c>
      <c r="H722" s="104" t="str">
        <f t="shared" si="19"/>
        <v>0 tubes and 0 shuttles</v>
      </c>
      <c r="I722" s="36">
        <f t="shared" si="20"/>
        <v>0</v>
      </c>
      <c r="J722" s="103" t="str">
        <f t="shared" si="21"/>
        <v>0 tubes and 0 shuttles</v>
      </c>
    </row>
    <row r="723" spans="1:10" ht="12.5" x14ac:dyDescent="0.25">
      <c r="A723" s="32">
        <f>'Profit &amp; Loss'!A723</f>
        <v>0</v>
      </c>
      <c r="B723" s="35">
        <f>'Profit &amp; Loss'!B723</f>
        <v>0</v>
      </c>
      <c r="C723" s="36"/>
      <c r="D723" s="33"/>
      <c r="E723" s="102">
        <f t="shared" si="22"/>
        <v>0</v>
      </c>
      <c r="F723" s="103" t="str">
        <f t="shared" si="18"/>
        <v>0 tubes and 0 shuttles</v>
      </c>
      <c r="G723" s="36">
        <f t="shared" si="23"/>
        <v>0</v>
      </c>
      <c r="H723" s="104" t="str">
        <f t="shared" si="19"/>
        <v>0 tubes and 0 shuttles</v>
      </c>
      <c r="I723" s="36">
        <f t="shared" si="20"/>
        <v>0</v>
      </c>
      <c r="J723" s="103" t="str">
        <f t="shared" si="21"/>
        <v>0 tubes and 0 shuttles</v>
      </c>
    </row>
    <row r="724" spans="1:10" ht="12.5" x14ac:dyDescent="0.25">
      <c r="A724" s="32">
        <f>'Profit &amp; Loss'!A724</f>
        <v>0</v>
      </c>
      <c r="B724" s="35">
        <f>'Profit &amp; Loss'!B724</f>
        <v>0</v>
      </c>
      <c r="C724" s="36"/>
      <c r="D724" s="33"/>
      <c r="E724" s="102">
        <f t="shared" si="22"/>
        <v>0</v>
      </c>
      <c r="F724" s="103" t="str">
        <f t="shared" si="18"/>
        <v>0 tubes and 0 shuttles</v>
      </c>
      <c r="G724" s="36">
        <f t="shared" si="23"/>
        <v>0</v>
      </c>
      <c r="H724" s="104" t="str">
        <f t="shared" si="19"/>
        <v>0 tubes and 0 shuttles</v>
      </c>
      <c r="I724" s="36">
        <f t="shared" si="20"/>
        <v>0</v>
      </c>
      <c r="J724" s="103" t="str">
        <f t="shared" si="21"/>
        <v>0 tubes and 0 shuttles</v>
      </c>
    </row>
    <row r="725" spans="1:10" ht="12.5" x14ac:dyDescent="0.25">
      <c r="A725" s="32">
        <f>'Profit &amp; Loss'!A725</f>
        <v>0</v>
      </c>
      <c r="B725" s="35">
        <f>'Profit &amp; Loss'!B725</f>
        <v>0</v>
      </c>
      <c r="C725" s="36"/>
      <c r="D725" s="33"/>
      <c r="E725" s="102">
        <f t="shared" si="22"/>
        <v>0</v>
      </c>
      <c r="F725" s="103" t="str">
        <f t="shared" si="18"/>
        <v>0 tubes and 0 shuttles</v>
      </c>
      <c r="G725" s="36">
        <f t="shared" si="23"/>
        <v>0</v>
      </c>
      <c r="H725" s="104" t="str">
        <f t="shared" si="19"/>
        <v>0 tubes and 0 shuttles</v>
      </c>
      <c r="I725" s="36">
        <f t="shared" si="20"/>
        <v>0</v>
      </c>
      <c r="J725" s="103" t="str">
        <f t="shared" si="21"/>
        <v>0 tubes and 0 shuttles</v>
      </c>
    </row>
    <row r="726" spans="1:10" ht="12.5" x14ac:dyDescent="0.25">
      <c r="A726" s="32">
        <f>'Profit &amp; Loss'!A726</f>
        <v>0</v>
      </c>
      <c r="B726" s="35">
        <f>'Profit &amp; Loss'!B726</f>
        <v>0</v>
      </c>
      <c r="C726" s="36"/>
      <c r="D726" s="33"/>
      <c r="E726" s="102">
        <f t="shared" si="22"/>
        <v>0</v>
      </c>
      <c r="F726" s="103" t="str">
        <f t="shared" si="18"/>
        <v>0 tubes and 0 shuttles</v>
      </c>
      <c r="G726" s="36">
        <f t="shared" si="23"/>
        <v>0</v>
      </c>
      <c r="H726" s="104" t="str">
        <f t="shared" si="19"/>
        <v>0 tubes and 0 shuttles</v>
      </c>
      <c r="I726" s="36">
        <f t="shared" si="20"/>
        <v>0</v>
      </c>
      <c r="J726" s="103" t="str">
        <f t="shared" si="21"/>
        <v>0 tubes and 0 shuttles</v>
      </c>
    </row>
    <row r="727" spans="1:10" ht="12.5" x14ac:dyDescent="0.25">
      <c r="A727" s="32">
        <f>'Profit &amp; Loss'!A727</f>
        <v>0</v>
      </c>
      <c r="B727" s="35">
        <f>'Profit &amp; Loss'!B727</f>
        <v>0</v>
      </c>
      <c r="C727" s="36"/>
      <c r="D727" s="33"/>
      <c r="E727" s="102">
        <f t="shared" si="22"/>
        <v>0</v>
      </c>
      <c r="F727" s="103" t="str">
        <f t="shared" si="18"/>
        <v>0 tubes and 0 shuttles</v>
      </c>
      <c r="G727" s="36">
        <f t="shared" si="23"/>
        <v>0</v>
      </c>
      <c r="H727" s="104" t="str">
        <f t="shared" si="19"/>
        <v>0 tubes and 0 shuttles</v>
      </c>
      <c r="I727" s="36">
        <f t="shared" si="20"/>
        <v>0</v>
      </c>
      <c r="J727" s="103" t="str">
        <f t="shared" si="21"/>
        <v>0 tubes and 0 shuttles</v>
      </c>
    </row>
    <row r="728" spans="1:10" ht="12.5" x14ac:dyDescent="0.25">
      <c r="A728" s="32">
        <f>'Profit &amp; Loss'!A728</f>
        <v>0</v>
      </c>
      <c r="B728" s="35">
        <f>'Profit &amp; Loss'!B728</f>
        <v>0</v>
      </c>
      <c r="C728" s="36"/>
      <c r="D728" s="33"/>
      <c r="E728" s="102">
        <f t="shared" si="22"/>
        <v>0</v>
      </c>
      <c r="F728" s="103" t="str">
        <f t="shared" si="18"/>
        <v>0 tubes and 0 shuttles</v>
      </c>
      <c r="G728" s="36">
        <f t="shared" si="23"/>
        <v>0</v>
      </c>
      <c r="H728" s="104" t="str">
        <f t="shared" si="19"/>
        <v>0 tubes and 0 shuttles</v>
      </c>
      <c r="I728" s="36">
        <f t="shared" si="20"/>
        <v>0</v>
      </c>
      <c r="J728" s="103" t="str">
        <f t="shared" si="21"/>
        <v>0 tubes and 0 shuttles</v>
      </c>
    </row>
    <row r="729" spans="1:10" ht="12.5" x14ac:dyDescent="0.25">
      <c r="A729" s="32">
        <f>'Profit &amp; Loss'!A729</f>
        <v>0</v>
      </c>
      <c r="B729" s="35">
        <f>'Profit &amp; Loss'!B729</f>
        <v>0</v>
      </c>
      <c r="C729" s="36"/>
      <c r="D729" s="33"/>
      <c r="E729" s="102">
        <f t="shared" si="22"/>
        <v>0</v>
      </c>
      <c r="F729" s="103" t="str">
        <f t="shared" si="18"/>
        <v>0 tubes and 0 shuttles</v>
      </c>
      <c r="G729" s="36">
        <f t="shared" si="23"/>
        <v>0</v>
      </c>
      <c r="H729" s="104" t="str">
        <f t="shared" si="19"/>
        <v>0 tubes and 0 shuttles</v>
      </c>
      <c r="I729" s="36">
        <f t="shared" si="20"/>
        <v>0</v>
      </c>
      <c r="J729" s="103" t="str">
        <f t="shared" si="21"/>
        <v>0 tubes and 0 shuttles</v>
      </c>
    </row>
    <row r="730" spans="1:10" ht="12.5" x14ac:dyDescent="0.25">
      <c r="A730" s="32">
        <f>'Profit &amp; Loss'!A730</f>
        <v>0</v>
      </c>
      <c r="B730" s="35">
        <f>'Profit &amp; Loss'!B730</f>
        <v>0</v>
      </c>
      <c r="C730" s="36"/>
      <c r="D730" s="33"/>
      <c r="E730" s="102">
        <f t="shared" si="22"/>
        <v>0</v>
      </c>
      <c r="F730" s="103" t="str">
        <f t="shared" si="18"/>
        <v>0 tubes and 0 shuttles</v>
      </c>
      <c r="G730" s="36">
        <f t="shared" si="23"/>
        <v>0</v>
      </c>
      <c r="H730" s="104" t="str">
        <f t="shared" si="19"/>
        <v>0 tubes and 0 shuttles</v>
      </c>
      <c r="I730" s="36">
        <f t="shared" si="20"/>
        <v>0</v>
      </c>
      <c r="J730" s="103" t="str">
        <f t="shared" si="21"/>
        <v>0 tubes and 0 shuttles</v>
      </c>
    </row>
    <row r="731" spans="1:10" ht="12.5" x14ac:dyDescent="0.25">
      <c r="A731" s="32">
        <f>'Profit &amp; Loss'!A731</f>
        <v>0</v>
      </c>
      <c r="B731" s="35">
        <f>'Profit &amp; Loss'!B731</f>
        <v>0</v>
      </c>
      <c r="C731" s="36"/>
      <c r="D731" s="33"/>
      <c r="E731" s="102">
        <f t="shared" si="22"/>
        <v>0</v>
      </c>
      <c r="F731" s="103" t="str">
        <f t="shared" si="18"/>
        <v>0 tubes and 0 shuttles</v>
      </c>
      <c r="G731" s="36">
        <f t="shared" si="23"/>
        <v>0</v>
      </c>
      <c r="H731" s="104" t="str">
        <f t="shared" si="19"/>
        <v>0 tubes and 0 shuttles</v>
      </c>
      <c r="I731" s="36">
        <f t="shared" si="20"/>
        <v>0</v>
      </c>
      <c r="J731" s="103" t="str">
        <f t="shared" si="21"/>
        <v>0 tubes and 0 shuttles</v>
      </c>
    </row>
    <row r="732" spans="1:10" ht="12.5" x14ac:dyDescent="0.25">
      <c r="A732" s="32">
        <f>'Profit &amp; Loss'!A732</f>
        <v>0</v>
      </c>
      <c r="B732" s="35">
        <f>'Profit &amp; Loss'!B732</f>
        <v>0</v>
      </c>
      <c r="C732" s="36"/>
      <c r="D732" s="33"/>
      <c r="E732" s="102">
        <f t="shared" si="22"/>
        <v>0</v>
      </c>
      <c r="F732" s="103" t="str">
        <f t="shared" si="18"/>
        <v>0 tubes and 0 shuttles</v>
      </c>
      <c r="G732" s="36">
        <f t="shared" si="23"/>
        <v>0</v>
      </c>
      <c r="H732" s="104" t="str">
        <f t="shared" si="19"/>
        <v>0 tubes and 0 shuttles</v>
      </c>
      <c r="I732" s="36">
        <f t="shared" si="20"/>
        <v>0</v>
      </c>
      <c r="J732" s="103" t="str">
        <f t="shared" si="21"/>
        <v>0 tubes and 0 shuttles</v>
      </c>
    </row>
    <row r="733" spans="1:10" ht="12.5" x14ac:dyDescent="0.25">
      <c r="A733" s="32">
        <f>'Profit &amp; Loss'!A733</f>
        <v>0</v>
      </c>
      <c r="B733" s="35">
        <f>'Profit &amp; Loss'!B733</f>
        <v>0</v>
      </c>
      <c r="C733" s="36"/>
      <c r="D733" s="33"/>
      <c r="E733" s="102">
        <f t="shared" si="22"/>
        <v>0</v>
      </c>
      <c r="F733" s="103" t="str">
        <f t="shared" si="18"/>
        <v>0 tubes and 0 shuttles</v>
      </c>
      <c r="G733" s="36">
        <f t="shared" si="23"/>
        <v>0</v>
      </c>
      <c r="H733" s="104" t="str">
        <f t="shared" si="19"/>
        <v>0 tubes and 0 shuttles</v>
      </c>
      <c r="I733" s="36">
        <f t="shared" si="20"/>
        <v>0</v>
      </c>
      <c r="J733" s="103" t="str">
        <f t="shared" si="21"/>
        <v>0 tubes and 0 shuttles</v>
      </c>
    </row>
    <row r="734" spans="1:10" ht="12.5" x14ac:dyDescent="0.25">
      <c r="A734" s="32">
        <f>'Profit &amp; Loss'!A734</f>
        <v>0</v>
      </c>
      <c r="B734" s="35">
        <f>'Profit &amp; Loss'!B734</f>
        <v>0</v>
      </c>
      <c r="C734" s="36"/>
      <c r="D734" s="33"/>
      <c r="E734" s="102">
        <f t="shared" si="22"/>
        <v>0</v>
      </c>
      <c r="F734" s="103" t="str">
        <f t="shared" si="18"/>
        <v>0 tubes and 0 shuttles</v>
      </c>
      <c r="G734" s="36">
        <f t="shared" si="23"/>
        <v>0</v>
      </c>
      <c r="H734" s="104" t="str">
        <f t="shared" si="19"/>
        <v>0 tubes and 0 shuttles</v>
      </c>
      <c r="I734" s="36">
        <f t="shared" si="20"/>
        <v>0</v>
      </c>
      <c r="J734" s="103" t="str">
        <f t="shared" si="21"/>
        <v>0 tubes and 0 shuttles</v>
      </c>
    </row>
    <row r="735" spans="1:10" ht="12.5" x14ac:dyDescent="0.25">
      <c r="A735" s="32">
        <f>'Profit &amp; Loss'!A735</f>
        <v>0</v>
      </c>
      <c r="B735" s="35">
        <f>'Profit &amp; Loss'!B735</f>
        <v>0</v>
      </c>
      <c r="C735" s="36"/>
      <c r="D735" s="33"/>
      <c r="E735" s="102">
        <f t="shared" si="22"/>
        <v>0</v>
      </c>
      <c r="F735" s="103" t="str">
        <f t="shared" si="18"/>
        <v>0 tubes and 0 shuttles</v>
      </c>
      <c r="G735" s="36">
        <f t="shared" si="23"/>
        <v>0</v>
      </c>
      <c r="H735" s="104" t="str">
        <f t="shared" si="19"/>
        <v>0 tubes and 0 shuttles</v>
      </c>
      <c r="I735" s="36">
        <f t="shared" si="20"/>
        <v>0</v>
      </c>
      <c r="J735" s="103" t="str">
        <f t="shared" si="21"/>
        <v>0 tubes and 0 shuttles</v>
      </c>
    </row>
    <row r="736" spans="1:10" ht="12.5" x14ac:dyDescent="0.25">
      <c r="A736" s="32">
        <f>'Profit &amp; Loss'!A736</f>
        <v>0</v>
      </c>
      <c r="B736" s="35">
        <f>'Profit &amp; Loss'!B736</f>
        <v>0</v>
      </c>
      <c r="C736" s="36"/>
      <c r="D736" s="33"/>
      <c r="E736" s="102">
        <f t="shared" si="22"/>
        <v>0</v>
      </c>
      <c r="F736" s="103" t="str">
        <f t="shared" si="18"/>
        <v>0 tubes and 0 shuttles</v>
      </c>
      <c r="G736" s="36">
        <f t="shared" si="23"/>
        <v>0</v>
      </c>
      <c r="H736" s="104" t="str">
        <f t="shared" si="19"/>
        <v>0 tubes and 0 shuttles</v>
      </c>
      <c r="I736" s="36">
        <f t="shared" si="20"/>
        <v>0</v>
      </c>
      <c r="J736" s="103" t="str">
        <f t="shared" si="21"/>
        <v>0 tubes and 0 shuttles</v>
      </c>
    </row>
    <row r="737" spans="1:10" ht="12.5" x14ac:dyDescent="0.25">
      <c r="A737" s="32">
        <f>'Profit &amp; Loss'!A737</f>
        <v>0</v>
      </c>
      <c r="B737" s="35">
        <f>'Profit &amp; Loss'!B737</f>
        <v>0</v>
      </c>
      <c r="C737" s="36"/>
      <c r="D737" s="33"/>
      <c r="E737" s="102">
        <f t="shared" si="22"/>
        <v>0</v>
      </c>
      <c r="F737" s="103" t="str">
        <f t="shared" si="18"/>
        <v>0 tubes and 0 shuttles</v>
      </c>
      <c r="G737" s="36">
        <f t="shared" si="23"/>
        <v>0</v>
      </c>
      <c r="H737" s="104" t="str">
        <f t="shared" si="19"/>
        <v>0 tubes and 0 shuttles</v>
      </c>
      <c r="I737" s="36">
        <f t="shared" si="20"/>
        <v>0</v>
      </c>
      <c r="J737" s="103" t="str">
        <f t="shared" si="21"/>
        <v>0 tubes and 0 shuttles</v>
      </c>
    </row>
    <row r="738" spans="1:10" ht="12.5" x14ac:dyDescent="0.25">
      <c r="A738" s="32">
        <f>'Profit &amp; Loss'!A738</f>
        <v>0</v>
      </c>
      <c r="B738" s="35">
        <f>'Profit &amp; Loss'!B738</f>
        <v>0</v>
      </c>
      <c r="C738" s="36"/>
      <c r="D738" s="33"/>
      <c r="E738" s="102">
        <f t="shared" si="22"/>
        <v>0</v>
      </c>
      <c r="F738" s="103" t="str">
        <f t="shared" si="18"/>
        <v>0 tubes and 0 shuttles</v>
      </c>
      <c r="G738" s="36">
        <f t="shared" si="23"/>
        <v>0</v>
      </c>
      <c r="H738" s="104" t="str">
        <f t="shared" si="19"/>
        <v>0 tubes and 0 shuttles</v>
      </c>
      <c r="I738" s="36">
        <f t="shared" si="20"/>
        <v>0</v>
      </c>
      <c r="J738" s="103" t="str">
        <f t="shared" si="21"/>
        <v>0 tubes and 0 shuttles</v>
      </c>
    </row>
    <row r="739" spans="1:10" ht="12.5" x14ac:dyDescent="0.25">
      <c r="A739" s="32">
        <f>'Profit &amp; Loss'!A739</f>
        <v>0</v>
      </c>
      <c r="B739" s="35">
        <f>'Profit &amp; Loss'!B739</f>
        <v>0</v>
      </c>
      <c r="C739" s="36"/>
      <c r="D739" s="33"/>
      <c r="E739" s="102">
        <f t="shared" si="22"/>
        <v>0</v>
      </c>
      <c r="F739" s="103" t="str">
        <f t="shared" si="18"/>
        <v>0 tubes and 0 shuttles</v>
      </c>
      <c r="G739" s="36">
        <f t="shared" si="23"/>
        <v>0</v>
      </c>
      <c r="H739" s="104" t="str">
        <f t="shared" si="19"/>
        <v>0 tubes and 0 shuttles</v>
      </c>
      <c r="I739" s="36">
        <f t="shared" si="20"/>
        <v>0</v>
      </c>
      <c r="J739" s="103" t="str">
        <f t="shared" si="21"/>
        <v>0 tubes and 0 shuttles</v>
      </c>
    </row>
    <row r="740" spans="1:10" ht="12.5" x14ac:dyDescent="0.25">
      <c r="A740" s="32">
        <f>'Profit &amp; Loss'!A740</f>
        <v>0</v>
      </c>
      <c r="B740" s="35">
        <f>'Profit &amp; Loss'!B740</f>
        <v>0</v>
      </c>
      <c r="C740" s="36"/>
      <c r="D740" s="33"/>
      <c r="E740" s="102">
        <f t="shared" si="22"/>
        <v>0</v>
      </c>
      <c r="F740" s="103" t="str">
        <f t="shared" si="18"/>
        <v>0 tubes and 0 shuttles</v>
      </c>
      <c r="G740" s="36">
        <f t="shared" si="23"/>
        <v>0</v>
      </c>
      <c r="H740" s="104" t="str">
        <f t="shared" si="19"/>
        <v>0 tubes and 0 shuttles</v>
      </c>
      <c r="I740" s="36">
        <f t="shared" si="20"/>
        <v>0</v>
      </c>
      <c r="J740" s="103" t="str">
        <f t="shared" si="21"/>
        <v>0 tubes and 0 shuttles</v>
      </c>
    </row>
    <row r="741" spans="1:10" ht="12.5" x14ac:dyDescent="0.25">
      <c r="A741" s="32">
        <f>'Profit &amp; Loss'!A741</f>
        <v>0</v>
      </c>
      <c r="B741" s="35">
        <f>'Profit &amp; Loss'!B741</f>
        <v>0</v>
      </c>
      <c r="C741" s="36"/>
      <c r="D741" s="33"/>
      <c r="E741" s="102">
        <f t="shared" si="22"/>
        <v>0</v>
      </c>
      <c r="F741" s="103" t="str">
        <f t="shared" si="18"/>
        <v>0 tubes and 0 shuttles</v>
      </c>
      <c r="G741" s="36">
        <f t="shared" si="23"/>
        <v>0</v>
      </c>
      <c r="H741" s="104" t="str">
        <f t="shared" si="19"/>
        <v>0 tubes and 0 shuttles</v>
      </c>
      <c r="I741" s="36">
        <f t="shared" si="20"/>
        <v>0</v>
      </c>
      <c r="J741" s="103" t="str">
        <f t="shared" si="21"/>
        <v>0 tubes and 0 shuttles</v>
      </c>
    </row>
    <row r="742" spans="1:10" ht="12.5" x14ac:dyDescent="0.25">
      <c r="A742" s="32">
        <f>'Profit &amp; Loss'!A742</f>
        <v>0</v>
      </c>
      <c r="B742" s="35">
        <f>'Profit &amp; Loss'!B742</f>
        <v>0</v>
      </c>
      <c r="C742" s="36"/>
      <c r="D742" s="33"/>
      <c r="E742" s="102">
        <f t="shared" si="22"/>
        <v>0</v>
      </c>
      <c r="F742" s="103" t="str">
        <f t="shared" si="18"/>
        <v>0 tubes and 0 shuttles</v>
      </c>
      <c r="G742" s="36">
        <f t="shared" si="23"/>
        <v>0</v>
      </c>
      <c r="H742" s="104" t="str">
        <f t="shared" si="19"/>
        <v>0 tubes and 0 shuttles</v>
      </c>
      <c r="I742" s="36">
        <f t="shared" si="20"/>
        <v>0</v>
      </c>
      <c r="J742" s="103" t="str">
        <f t="shared" si="21"/>
        <v>0 tubes and 0 shuttles</v>
      </c>
    </row>
    <row r="743" spans="1:10" ht="12.5" x14ac:dyDescent="0.25">
      <c r="A743" s="32">
        <f>'Profit &amp; Loss'!A743</f>
        <v>0</v>
      </c>
      <c r="B743" s="35">
        <f>'Profit &amp; Loss'!B743</f>
        <v>0</v>
      </c>
      <c r="C743" s="36"/>
      <c r="D743" s="33"/>
      <c r="E743" s="102">
        <f t="shared" si="22"/>
        <v>0</v>
      </c>
      <c r="F743" s="103" t="str">
        <f t="shared" si="18"/>
        <v>0 tubes and 0 shuttles</v>
      </c>
      <c r="G743" s="36">
        <f t="shared" si="23"/>
        <v>0</v>
      </c>
      <c r="H743" s="104" t="str">
        <f t="shared" si="19"/>
        <v>0 tubes and 0 shuttles</v>
      </c>
      <c r="I743" s="36">
        <f t="shared" si="20"/>
        <v>0</v>
      </c>
      <c r="J743" s="103" t="str">
        <f t="shared" si="21"/>
        <v>0 tubes and 0 shuttles</v>
      </c>
    </row>
    <row r="744" spans="1:10" ht="12.5" x14ac:dyDescent="0.25">
      <c r="A744" s="32">
        <f>'Profit &amp; Loss'!A744</f>
        <v>0</v>
      </c>
      <c r="B744" s="35">
        <f>'Profit &amp; Loss'!B744</f>
        <v>0</v>
      </c>
      <c r="C744" s="36"/>
      <c r="D744" s="33"/>
      <c r="E744" s="102">
        <f t="shared" si="22"/>
        <v>0</v>
      </c>
      <c r="F744" s="103" t="str">
        <f t="shared" si="18"/>
        <v>0 tubes and 0 shuttles</v>
      </c>
      <c r="G744" s="36">
        <f t="shared" si="23"/>
        <v>0</v>
      </c>
      <c r="H744" s="104" t="str">
        <f t="shared" si="19"/>
        <v>0 tubes and 0 shuttles</v>
      </c>
      <c r="I744" s="36">
        <f t="shared" si="20"/>
        <v>0</v>
      </c>
      <c r="J744" s="103" t="str">
        <f t="shared" si="21"/>
        <v>0 tubes and 0 shuttles</v>
      </c>
    </row>
    <row r="745" spans="1:10" ht="12.5" x14ac:dyDescent="0.25">
      <c r="A745" s="32">
        <f>'Profit &amp; Loss'!A745</f>
        <v>0</v>
      </c>
      <c r="B745" s="35">
        <f>'Profit &amp; Loss'!B745</f>
        <v>0</v>
      </c>
      <c r="C745" s="36"/>
      <c r="D745" s="33"/>
      <c r="E745" s="102">
        <f t="shared" si="22"/>
        <v>0</v>
      </c>
      <c r="F745" s="103" t="str">
        <f t="shared" si="18"/>
        <v>0 tubes and 0 shuttles</v>
      </c>
      <c r="G745" s="36">
        <f t="shared" si="23"/>
        <v>0</v>
      </c>
      <c r="H745" s="104" t="str">
        <f t="shared" si="19"/>
        <v>0 tubes and 0 shuttles</v>
      </c>
      <c r="I745" s="36">
        <f t="shared" si="20"/>
        <v>0</v>
      </c>
      <c r="J745" s="103" t="str">
        <f t="shared" si="21"/>
        <v>0 tubes and 0 shuttles</v>
      </c>
    </row>
    <row r="746" spans="1:10" ht="12.5" x14ac:dyDescent="0.25">
      <c r="A746" s="32">
        <f>'Profit &amp; Loss'!A746</f>
        <v>0</v>
      </c>
      <c r="B746" s="35">
        <f>'Profit &amp; Loss'!B746</f>
        <v>0</v>
      </c>
      <c r="C746" s="36"/>
      <c r="D746" s="33"/>
      <c r="E746" s="102">
        <f t="shared" si="22"/>
        <v>0</v>
      </c>
      <c r="F746" s="103" t="str">
        <f t="shared" si="18"/>
        <v>0 tubes and 0 shuttles</v>
      </c>
      <c r="G746" s="36">
        <f t="shared" si="23"/>
        <v>0</v>
      </c>
      <c r="H746" s="104" t="str">
        <f t="shared" si="19"/>
        <v>0 tubes and 0 shuttles</v>
      </c>
      <c r="I746" s="36">
        <f t="shared" si="20"/>
        <v>0</v>
      </c>
      <c r="J746" s="103" t="str">
        <f t="shared" si="21"/>
        <v>0 tubes and 0 shuttles</v>
      </c>
    </row>
    <row r="747" spans="1:10" ht="12.5" x14ac:dyDescent="0.25">
      <c r="A747" s="32">
        <f>'Profit &amp; Loss'!A747</f>
        <v>0</v>
      </c>
      <c r="B747" s="35">
        <f>'Profit &amp; Loss'!B747</f>
        <v>0</v>
      </c>
      <c r="C747" s="36"/>
      <c r="D747" s="33"/>
      <c r="E747" s="102">
        <f t="shared" si="22"/>
        <v>0</v>
      </c>
      <c r="F747" s="103" t="str">
        <f t="shared" si="18"/>
        <v>0 tubes and 0 shuttles</v>
      </c>
      <c r="G747" s="36">
        <f t="shared" si="23"/>
        <v>0</v>
      </c>
      <c r="H747" s="104" t="str">
        <f t="shared" si="19"/>
        <v>0 tubes and 0 shuttles</v>
      </c>
      <c r="I747" s="36">
        <f t="shared" si="20"/>
        <v>0</v>
      </c>
      <c r="J747" s="103" t="str">
        <f t="shared" si="21"/>
        <v>0 tubes and 0 shuttles</v>
      </c>
    </row>
    <row r="748" spans="1:10" ht="12.5" x14ac:dyDescent="0.25">
      <c r="A748" s="32">
        <f>'Profit &amp; Loss'!A748</f>
        <v>0</v>
      </c>
      <c r="B748" s="35">
        <f>'Profit &amp; Loss'!B748</f>
        <v>0</v>
      </c>
      <c r="C748" s="36"/>
      <c r="D748" s="33"/>
      <c r="E748" s="102">
        <f t="shared" si="22"/>
        <v>0</v>
      </c>
      <c r="F748" s="103" t="str">
        <f t="shared" si="18"/>
        <v>0 tubes and 0 shuttles</v>
      </c>
      <c r="G748" s="36">
        <f t="shared" si="23"/>
        <v>0</v>
      </c>
      <c r="H748" s="104" t="str">
        <f t="shared" si="19"/>
        <v>0 tubes and 0 shuttles</v>
      </c>
      <c r="I748" s="36">
        <f t="shared" si="20"/>
        <v>0</v>
      </c>
      <c r="J748" s="103" t="str">
        <f t="shared" si="21"/>
        <v>0 tubes and 0 shuttles</v>
      </c>
    </row>
    <row r="749" spans="1:10" ht="12.5" x14ac:dyDescent="0.25">
      <c r="A749" s="32">
        <f>'Profit &amp; Loss'!A749</f>
        <v>0</v>
      </c>
      <c r="B749" s="35">
        <f>'Profit &amp; Loss'!B749</f>
        <v>0</v>
      </c>
      <c r="C749" s="36"/>
      <c r="D749" s="33"/>
      <c r="E749" s="102">
        <f t="shared" si="22"/>
        <v>0</v>
      </c>
      <c r="F749" s="103" t="str">
        <f t="shared" si="18"/>
        <v>0 tubes and 0 shuttles</v>
      </c>
      <c r="G749" s="36">
        <f t="shared" si="23"/>
        <v>0</v>
      </c>
      <c r="H749" s="104" t="str">
        <f t="shared" si="19"/>
        <v>0 tubes and 0 shuttles</v>
      </c>
      <c r="I749" s="36">
        <f t="shared" si="20"/>
        <v>0</v>
      </c>
      <c r="J749" s="103" t="str">
        <f t="shared" si="21"/>
        <v>0 tubes and 0 shuttles</v>
      </c>
    </row>
    <row r="750" spans="1:10" ht="12.5" x14ac:dyDescent="0.25">
      <c r="A750" s="32">
        <f>'Profit &amp; Loss'!A750</f>
        <v>0</v>
      </c>
      <c r="B750" s="35">
        <f>'Profit &amp; Loss'!B750</f>
        <v>0</v>
      </c>
      <c r="C750" s="36"/>
      <c r="D750" s="33"/>
      <c r="E750" s="102">
        <f t="shared" si="22"/>
        <v>0</v>
      </c>
      <c r="F750" s="103" t="str">
        <f t="shared" si="18"/>
        <v>0 tubes and 0 shuttles</v>
      </c>
      <c r="G750" s="36">
        <f t="shared" si="23"/>
        <v>0</v>
      </c>
      <c r="H750" s="104" t="str">
        <f t="shared" si="19"/>
        <v>0 tubes and 0 shuttles</v>
      </c>
      <c r="I750" s="36">
        <f t="shared" si="20"/>
        <v>0</v>
      </c>
      <c r="J750" s="103" t="str">
        <f t="shared" si="21"/>
        <v>0 tubes and 0 shuttles</v>
      </c>
    </row>
    <row r="751" spans="1:10" ht="12.5" x14ac:dyDescent="0.25">
      <c r="A751" s="32">
        <f>'Profit &amp; Loss'!A751</f>
        <v>0</v>
      </c>
      <c r="B751" s="35">
        <f>'Profit &amp; Loss'!B751</f>
        <v>0</v>
      </c>
      <c r="C751" s="36"/>
      <c r="D751" s="33"/>
      <c r="E751" s="102">
        <f t="shared" si="22"/>
        <v>0</v>
      </c>
      <c r="F751" s="103" t="str">
        <f t="shared" si="18"/>
        <v>0 tubes and 0 shuttles</v>
      </c>
      <c r="G751" s="36">
        <f t="shared" si="23"/>
        <v>0</v>
      </c>
      <c r="H751" s="104" t="str">
        <f t="shared" si="19"/>
        <v>0 tubes and 0 shuttles</v>
      </c>
      <c r="I751" s="36">
        <f t="shared" si="20"/>
        <v>0</v>
      </c>
      <c r="J751" s="103" t="str">
        <f t="shared" si="21"/>
        <v>0 tubes and 0 shuttles</v>
      </c>
    </row>
    <row r="752" spans="1:10" ht="12.5" x14ac:dyDescent="0.25">
      <c r="A752" s="32">
        <f>'Profit &amp; Loss'!A752</f>
        <v>0</v>
      </c>
      <c r="B752" s="35">
        <f>'Profit &amp; Loss'!B752</f>
        <v>0</v>
      </c>
      <c r="C752" s="36"/>
      <c r="D752" s="33"/>
      <c r="E752" s="102">
        <f t="shared" si="22"/>
        <v>0</v>
      </c>
      <c r="F752" s="103" t="str">
        <f t="shared" si="18"/>
        <v>0 tubes and 0 shuttles</v>
      </c>
      <c r="G752" s="36">
        <f t="shared" si="23"/>
        <v>0</v>
      </c>
      <c r="H752" s="104" t="str">
        <f t="shared" si="19"/>
        <v>0 tubes and 0 shuttles</v>
      </c>
      <c r="I752" s="36">
        <f t="shared" si="20"/>
        <v>0</v>
      </c>
      <c r="J752" s="103" t="str">
        <f t="shared" si="21"/>
        <v>0 tubes and 0 shuttles</v>
      </c>
    </row>
    <row r="753" spans="1:10" ht="12.5" x14ac:dyDescent="0.25">
      <c r="A753" s="32">
        <f>'Profit &amp; Loss'!A753</f>
        <v>0</v>
      </c>
      <c r="B753" s="35">
        <f>'Profit &amp; Loss'!B753</f>
        <v>0</v>
      </c>
      <c r="C753" s="36"/>
      <c r="D753" s="33"/>
      <c r="E753" s="102">
        <f t="shared" si="22"/>
        <v>0</v>
      </c>
      <c r="F753" s="103" t="str">
        <f t="shared" si="18"/>
        <v>0 tubes and 0 shuttles</v>
      </c>
      <c r="G753" s="36">
        <f t="shared" si="23"/>
        <v>0</v>
      </c>
      <c r="H753" s="104" t="str">
        <f t="shared" si="19"/>
        <v>0 tubes and 0 shuttles</v>
      </c>
      <c r="I753" s="36">
        <f t="shared" si="20"/>
        <v>0</v>
      </c>
      <c r="J753" s="103" t="str">
        <f t="shared" si="21"/>
        <v>0 tubes and 0 shuttles</v>
      </c>
    </row>
    <row r="754" spans="1:10" ht="12.5" x14ac:dyDescent="0.25">
      <c r="A754" s="32">
        <f>'Profit &amp; Loss'!A754</f>
        <v>0</v>
      </c>
      <c r="B754" s="35">
        <f>'Profit &amp; Loss'!B754</f>
        <v>0</v>
      </c>
      <c r="C754" s="36"/>
      <c r="D754" s="33"/>
      <c r="E754" s="102">
        <f t="shared" si="22"/>
        <v>0</v>
      </c>
      <c r="F754" s="103" t="str">
        <f t="shared" si="18"/>
        <v>0 tubes and 0 shuttles</v>
      </c>
      <c r="G754" s="36">
        <f t="shared" si="23"/>
        <v>0</v>
      </c>
      <c r="H754" s="104" t="str">
        <f t="shared" si="19"/>
        <v>0 tubes and 0 shuttles</v>
      </c>
      <c r="I754" s="36">
        <f t="shared" si="20"/>
        <v>0</v>
      </c>
      <c r="J754" s="103" t="str">
        <f t="shared" si="21"/>
        <v>0 tubes and 0 shuttles</v>
      </c>
    </row>
    <row r="755" spans="1:10" ht="12.5" x14ac:dyDescent="0.25">
      <c r="A755" s="32">
        <f>'Profit &amp; Loss'!A755</f>
        <v>0</v>
      </c>
      <c r="B755" s="35">
        <f>'Profit &amp; Loss'!B755</f>
        <v>0</v>
      </c>
      <c r="C755" s="36"/>
      <c r="D755" s="33"/>
      <c r="E755" s="102">
        <f t="shared" si="22"/>
        <v>0</v>
      </c>
      <c r="F755" s="103" t="str">
        <f t="shared" si="18"/>
        <v>0 tubes and 0 shuttles</v>
      </c>
      <c r="G755" s="36">
        <f t="shared" si="23"/>
        <v>0</v>
      </c>
      <c r="H755" s="104" t="str">
        <f t="shared" si="19"/>
        <v>0 tubes and 0 shuttles</v>
      </c>
      <c r="I755" s="36">
        <f t="shared" si="20"/>
        <v>0</v>
      </c>
      <c r="J755" s="103" t="str">
        <f t="shared" si="21"/>
        <v>0 tubes and 0 shuttles</v>
      </c>
    </row>
    <row r="756" spans="1:10" ht="12.5" x14ac:dyDescent="0.25">
      <c r="A756" s="32">
        <f>'Profit &amp; Loss'!A756</f>
        <v>0</v>
      </c>
      <c r="B756" s="35">
        <f>'Profit &amp; Loss'!B756</f>
        <v>0</v>
      </c>
      <c r="C756" s="36"/>
      <c r="D756" s="33"/>
      <c r="E756" s="102">
        <f t="shared" si="22"/>
        <v>0</v>
      </c>
      <c r="F756" s="103" t="str">
        <f t="shared" si="18"/>
        <v>0 tubes and 0 shuttles</v>
      </c>
      <c r="G756" s="36">
        <f t="shared" si="23"/>
        <v>0</v>
      </c>
      <c r="H756" s="104" t="str">
        <f t="shared" si="19"/>
        <v>0 tubes and 0 shuttles</v>
      </c>
      <c r="I756" s="36">
        <f t="shared" si="20"/>
        <v>0</v>
      </c>
      <c r="J756" s="103" t="str">
        <f t="shared" si="21"/>
        <v>0 tubes and 0 shuttles</v>
      </c>
    </row>
    <row r="757" spans="1:10" ht="12.5" x14ac:dyDescent="0.25">
      <c r="A757" s="32">
        <f>'Profit &amp; Loss'!A757</f>
        <v>0</v>
      </c>
      <c r="B757" s="35">
        <f>'Profit &amp; Loss'!B757</f>
        <v>0</v>
      </c>
      <c r="C757" s="36"/>
      <c r="D757" s="33"/>
      <c r="E757" s="102">
        <f t="shared" si="22"/>
        <v>0</v>
      </c>
      <c r="F757" s="103" t="str">
        <f t="shared" si="18"/>
        <v>0 tubes and 0 shuttles</v>
      </c>
      <c r="G757" s="36">
        <f t="shared" si="23"/>
        <v>0</v>
      </c>
      <c r="H757" s="104" t="str">
        <f t="shared" si="19"/>
        <v>0 tubes and 0 shuttles</v>
      </c>
      <c r="I757" s="36">
        <f t="shared" si="20"/>
        <v>0</v>
      </c>
      <c r="J757" s="103" t="str">
        <f t="shared" si="21"/>
        <v>0 tubes and 0 shuttles</v>
      </c>
    </row>
    <row r="758" spans="1:10" ht="12.5" x14ac:dyDescent="0.25">
      <c r="A758" s="32">
        <f>'Profit &amp; Loss'!A758</f>
        <v>0</v>
      </c>
      <c r="B758" s="35">
        <f>'Profit &amp; Loss'!B758</f>
        <v>0</v>
      </c>
      <c r="C758" s="36"/>
      <c r="D758" s="33"/>
      <c r="E758" s="102">
        <f t="shared" si="22"/>
        <v>0</v>
      </c>
      <c r="F758" s="103" t="str">
        <f t="shared" si="18"/>
        <v>0 tubes and 0 shuttles</v>
      </c>
      <c r="G758" s="36">
        <f t="shared" si="23"/>
        <v>0</v>
      </c>
      <c r="H758" s="104" t="str">
        <f t="shared" si="19"/>
        <v>0 tubes and 0 shuttles</v>
      </c>
      <c r="I758" s="36">
        <f t="shared" si="20"/>
        <v>0</v>
      </c>
      <c r="J758" s="103" t="str">
        <f t="shared" si="21"/>
        <v>0 tubes and 0 shuttles</v>
      </c>
    </row>
    <row r="759" spans="1:10" ht="12.5" x14ac:dyDescent="0.25">
      <c r="A759" s="32">
        <f>'Profit &amp; Loss'!A759</f>
        <v>0</v>
      </c>
      <c r="B759" s="35">
        <f>'Profit &amp; Loss'!B759</f>
        <v>0</v>
      </c>
      <c r="C759" s="36"/>
      <c r="D759" s="33"/>
      <c r="E759" s="102">
        <f t="shared" si="22"/>
        <v>0</v>
      </c>
      <c r="F759" s="103" t="str">
        <f t="shared" si="18"/>
        <v>0 tubes and 0 shuttles</v>
      </c>
      <c r="G759" s="36">
        <f t="shared" si="23"/>
        <v>0</v>
      </c>
      <c r="H759" s="104" t="str">
        <f t="shared" si="19"/>
        <v>0 tubes and 0 shuttles</v>
      </c>
      <c r="I759" s="36">
        <f t="shared" si="20"/>
        <v>0</v>
      </c>
      <c r="J759" s="103" t="str">
        <f t="shared" si="21"/>
        <v>0 tubes and 0 shuttles</v>
      </c>
    </row>
    <row r="760" spans="1:10" ht="12.5" x14ac:dyDescent="0.25">
      <c r="A760" s="32">
        <f>'Profit &amp; Loss'!A760</f>
        <v>0</v>
      </c>
      <c r="B760" s="35">
        <f>'Profit &amp; Loss'!B760</f>
        <v>0</v>
      </c>
      <c r="C760" s="36"/>
      <c r="D760" s="33"/>
      <c r="E760" s="102">
        <f t="shared" si="22"/>
        <v>0</v>
      </c>
      <c r="F760" s="103" t="str">
        <f t="shared" si="18"/>
        <v>0 tubes and 0 shuttles</v>
      </c>
      <c r="G760" s="36">
        <f t="shared" si="23"/>
        <v>0</v>
      </c>
      <c r="H760" s="104" t="str">
        <f t="shared" si="19"/>
        <v>0 tubes and 0 shuttles</v>
      </c>
      <c r="I760" s="36">
        <f t="shared" si="20"/>
        <v>0</v>
      </c>
      <c r="J760" s="103" t="str">
        <f t="shared" si="21"/>
        <v>0 tubes and 0 shuttles</v>
      </c>
    </row>
    <row r="761" spans="1:10" ht="12.5" x14ac:dyDescent="0.25">
      <c r="A761" s="32">
        <f>'Profit &amp; Loss'!A761</f>
        <v>0</v>
      </c>
      <c r="B761" s="35">
        <f>'Profit &amp; Loss'!B761</f>
        <v>0</v>
      </c>
      <c r="C761" s="36"/>
      <c r="D761" s="33"/>
      <c r="E761" s="102">
        <f t="shared" si="22"/>
        <v>0</v>
      </c>
      <c r="F761" s="103" t="str">
        <f t="shared" si="18"/>
        <v>0 tubes and 0 shuttles</v>
      </c>
      <c r="G761" s="36">
        <f t="shared" si="23"/>
        <v>0</v>
      </c>
      <c r="H761" s="104" t="str">
        <f t="shared" si="19"/>
        <v>0 tubes and 0 shuttles</v>
      </c>
      <c r="I761" s="36">
        <f t="shared" si="20"/>
        <v>0</v>
      </c>
      <c r="J761" s="103" t="str">
        <f t="shared" si="21"/>
        <v>0 tubes and 0 shuttles</v>
      </c>
    </row>
    <row r="762" spans="1:10" ht="12.5" x14ac:dyDescent="0.25">
      <c r="A762" s="32">
        <f>'Profit &amp; Loss'!A762</f>
        <v>0</v>
      </c>
      <c r="B762" s="35">
        <f>'Profit &amp; Loss'!B762</f>
        <v>0</v>
      </c>
      <c r="C762" s="36"/>
      <c r="D762" s="33"/>
      <c r="E762" s="102">
        <f t="shared" si="22"/>
        <v>0</v>
      </c>
      <c r="F762" s="103" t="str">
        <f t="shared" si="18"/>
        <v>0 tubes and 0 shuttles</v>
      </c>
      <c r="G762" s="36">
        <f t="shared" si="23"/>
        <v>0</v>
      </c>
      <c r="H762" s="104" t="str">
        <f t="shared" si="19"/>
        <v>0 tubes and 0 shuttles</v>
      </c>
      <c r="I762" s="36">
        <f t="shared" si="20"/>
        <v>0</v>
      </c>
      <c r="J762" s="103" t="str">
        <f t="shared" si="21"/>
        <v>0 tubes and 0 shuttles</v>
      </c>
    </row>
    <row r="763" spans="1:10" ht="12.5" x14ac:dyDescent="0.25">
      <c r="A763" s="32">
        <f>'Profit &amp; Loss'!A763</f>
        <v>0</v>
      </c>
      <c r="B763" s="35">
        <f>'Profit &amp; Loss'!B763</f>
        <v>0</v>
      </c>
      <c r="C763" s="36"/>
      <c r="D763" s="33"/>
      <c r="E763" s="102">
        <f t="shared" si="22"/>
        <v>0</v>
      </c>
      <c r="F763" s="103" t="str">
        <f t="shared" si="18"/>
        <v>0 tubes and 0 shuttles</v>
      </c>
      <c r="G763" s="36">
        <f t="shared" si="23"/>
        <v>0</v>
      </c>
      <c r="H763" s="104" t="str">
        <f t="shared" si="19"/>
        <v>0 tubes and 0 shuttles</v>
      </c>
      <c r="I763" s="36">
        <f t="shared" si="20"/>
        <v>0</v>
      </c>
      <c r="J763" s="103" t="str">
        <f t="shared" si="21"/>
        <v>0 tubes and 0 shuttles</v>
      </c>
    </row>
    <row r="764" spans="1:10" ht="12.5" x14ac:dyDescent="0.25">
      <c r="A764" s="32">
        <f>'Profit &amp; Loss'!A764</f>
        <v>0</v>
      </c>
      <c r="B764" s="35">
        <f>'Profit &amp; Loss'!B764</f>
        <v>0</v>
      </c>
      <c r="C764" s="36"/>
      <c r="D764" s="33"/>
      <c r="E764" s="102">
        <f t="shared" si="22"/>
        <v>0</v>
      </c>
      <c r="F764" s="103" t="str">
        <f t="shared" si="18"/>
        <v>0 tubes and 0 shuttles</v>
      </c>
      <c r="G764" s="36">
        <f t="shared" si="23"/>
        <v>0</v>
      </c>
      <c r="H764" s="104" t="str">
        <f t="shared" si="19"/>
        <v>0 tubes and 0 shuttles</v>
      </c>
      <c r="I764" s="36">
        <f t="shared" si="20"/>
        <v>0</v>
      </c>
      <c r="J764" s="103" t="str">
        <f t="shared" si="21"/>
        <v>0 tubes and 0 shuttles</v>
      </c>
    </row>
    <row r="765" spans="1:10" ht="12.5" x14ac:dyDescent="0.25">
      <c r="A765" s="32">
        <f>'Profit &amp; Loss'!A765</f>
        <v>0</v>
      </c>
      <c r="B765" s="35">
        <f>'Profit &amp; Loss'!B765</f>
        <v>0</v>
      </c>
      <c r="C765" s="36"/>
      <c r="D765" s="33"/>
      <c r="E765" s="102">
        <f t="shared" si="22"/>
        <v>0</v>
      </c>
      <c r="F765" s="103" t="str">
        <f t="shared" si="18"/>
        <v>0 tubes and 0 shuttles</v>
      </c>
      <c r="G765" s="36">
        <f t="shared" si="23"/>
        <v>0</v>
      </c>
      <c r="H765" s="104" t="str">
        <f t="shared" si="19"/>
        <v>0 tubes and 0 shuttles</v>
      </c>
      <c r="I765" s="36">
        <f t="shared" si="20"/>
        <v>0</v>
      </c>
      <c r="J765" s="103" t="str">
        <f t="shared" si="21"/>
        <v>0 tubes and 0 shuttles</v>
      </c>
    </row>
    <row r="766" spans="1:10" ht="12.5" x14ac:dyDescent="0.25">
      <c r="A766" s="32">
        <f>'Profit &amp; Loss'!A766</f>
        <v>0</v>
      </c>
      <c r="B766" s="35">
        <f>'Profit &amp; Loss'!B766</f>
        <v>0</v>
      </c>
      <c r="C766" s="36"/>
      <c r="D766" s="33"/>
      <c r="E766" s="102">
        <f t="shared" si="22"/>
        <v>0</v>
      </c>
      <c r="F766" s="103" t="str">
        <f t="shared" si="18"/>
        <v>0 tubes and 0 shuttles</v>
      </c>
      <c r="G766" s="36">
        <f t="shared" si="23"/>
        <v>0</v>
      </c>
      <c r="H766" s="104" t="str">
        <f t="shared" si="19"/>
        <v>0 tubes and 0 shuttles</v>
      </c>
      <c r="I766" s="36">
        <f t="shared" si="20"/>
        <v>0</v>
      </c>
      <c r="J766" s="103" t="str">
        <f t="shared" si="21"/>
        <v>0 tubes and 0 shuttles</v>
      </c>
    </row>
    <row r="767" spans="1:10" ht="12.5" x14ac:dyDescent="0.25">
      <c r="A767" s="32">
        <f>'Profit &amp; Loss'!A767</f>
        <v>0</v>
      </c>
      <c r="B767" s="35">
        <f>'Profit &amp; Loss'!B767</f>
        <v>0</v>
      </c>
      <c r="C767" s="36"/>
      <c r="D767" s="33"/>
      <c r="E767" s="102">
        <f t="shared" si="22"/>
        <v>0</v>
      </c>
      <c r="F767" s="103" t="str">
        <f t="shared" si="18"/>
        <v>0 tubes and 0 shuttles</v>
      </c>
      <c r="G767" s="36">
        <f t="shared" si="23"/>
        <v>0</v>
      </c>
      <c r="H767" s="104" t="str">
        <f t="shared" si="19"/>
        <v>0 tubes and 0 shuttles</v>
      </c>
      <c r="I767" s="36">
        <f t="shared" si="20"/>
        <v>0</v>
      </c>
      <c r="J767" s="103" t="str">
        <f t="shared" si="21"/>
        <v>0 tubes and 0 shuttles</v>
      </c>
    </row>
    <row r="768" spans="1:10" ht="12.5" x14ac:dyDescent="0.25">
      <c r="A768" s="32">
        <f>'Profit &amp; Loss'!A768</f>
        <v>0</v>
      </c>
      <c r="B768" s="35">
        <f>'Profit &amp; Loss'!B768</f>
        <v>0</v>
      </c>
      <c r="C768" s="36"/>
      <c r="D768" s="33"/>
      <c r="E768" s="102">
        <f t="shared" si="22"/>
        <v>0</v>
      </c>
      <c r="F768" s="103" t="str">
        <f t="shared" si="18"/>
        <v>0 tubes and 0 shuttles</v>
      </c>
      <c r="G768" s="36">
        <f t="shared" si="23"/>
        <v>0</v>
      </c>
      <c r="H768" s="104" t="str">
        <f t="shared" si="19"/>
        <v>0 tubes and 0 shuttles</v>
      </c>
      <c r="I768" s="36">
        <f t="shared" si="20"/>
        <v>0</v>
      </c>
      <c r="J768" s="103" t="str">
        <f t="shared" si="21"/>
        <v>0 tubes and 0 shuttles</v>
      </c>
    </row>
    <row r="769" spans="1:10" ht="12.5" x14ac:dyDescent="0.25">
      <c r="A769" s="32">
        <f>'Profit &amp; Loss'!A769</f>
        <v>0</v>
      </c>
      <c r="B769" s="35">
        <f>'Profit &amp; Loss'!B769</f>
        <v>0</v>
      </c>
      <c r="C769" s="36"/>
      <c r="D769" s="33"/>
      <c r="E769" s="102">
        <f t="shared" si="22"/>
        <v>0</v>
      </c>
      <c r="F769" s="103" t="str">
        <f t="shared" si="18"/>
        <v>0 tubes and 0 shuttles</v>
      </c>
      <c r="G769" s="36">
        <f t="shared" si="23"/>
        <v>0</v>
      </c>
      <c r="H769" s="104" t="str">
        <f t="shared" si="19"/>
        <v>0 tubes and 0 shuttles</v>
      </c>
      <c r="I769" s="36">
        <f t="shared" si="20"/>
        <v>0</v>
      </c>
      <c r="J769" s="103" t="str">
        <f t="shared" si="21"/>
        <v>0 tubes and 0 shuttles</v>
      </c>
    </row>
    <row r="770" spans="1:10" ht="12.5" x14ac:dyDescent="0.25">
      <c r="A770" s="32">
        <f>'Profit &amp; Loss'!A770</f>
        <v>0</v>
      </c>
      <c r="B770" s="35">
        <f>'Profit &amp; Loss'!B770</f>
        <v>0</v>
      </c>
      <c r="C770" s="36"/>
      <c r="D770" s="33"/>
      <c r="E770" s="102">
        <f t="shared" si="22"/>
        <v>0</v>
      </c>
      <c r="F770" s="103" t="str">
        <f t="shared" si="18"/>
        <v>0 tubes and 0 shuttles</v>
      </c>
      <c r="G770" s="36">
        <f t="shared" si="23"/>
        <v>0</v>
      </c>
      <c r="H770" s="104" t="str">
        <f t="shared" si="19"/>
        <v>0 tubes and 0 shuttles</v>
      </c>
      <c r="I770" s="36">
        <f t="shared" si="20"/>
        <v>0</v>
      </c>
      <c r="J770" s="103" t="str">
        <f t="shared" si="21"/>
        <v>0 tubes and 0 shuttles</v>
      </c>
    </row>
    <row r="771" spans="1:10" ht="12.5" x14ac:dyDescent="0.25">
      <c r="A771" s="32">
        <f>'Profit &amp; Loss'!A771</f>
        <v>0</v>
      </c>
      <c r="B771" s="35">
        <f>'Profit &amp; Loss'!B771</f>
        <v>0</v>
      </c>
      <c r="C771" s="36"/>
      <c r="D771" s="33"/>
      <c r="E771" s="102">
        <f t="shared" si="22"/>
        <v>0</v>
      </c>
      <c r="F771" s="103" t="str">
        <f t="shared" ref="F771:F989" si="24">QUOTIENT(E771,12) &amp; " tubes and " &amp; MOD(E771,12) &amp; " shuttles"</f>
        <v>0 tubes and 0 shuttles</v>
      </c>
      <c r="G771" s="36">
        <f t="shared" si="23"/>
        <v>0</v>
      </c>
      <c r="H771" s="104" t="str">
        <f t="shared" ref="H771:H989" si="25">QUOTIENT(G771,12) &amp; " tubes and " &amp; MOD(G771,12) &amp; " shuttles"</f>
        <v>0 tubes and 0 shuttles</v>
      </c>
      <c r="I771" s="36">
        <f t="shared" ref="I771:I989" si="26">SUM(E771:H771)</f>
        <v>0</v>
      </c>
      <c r="J771" s="103" t="str">
        <f t="shared" ref="J771:J989" si="27">QUOTIENT(I771,12) &amp; " tubes and " &amp; MOD(I771,12) &amp; " shuttles"</f>
        <v>0 tubes and 0 shuttles</v>
      </c>
    </row>
    <row r="772" spans="1:10" ht="12.5" x14ac:dyDescent="0.25">
      <c r="A772" s="32">
        <f>'Profit &amp; Loss'!A772</f>
        <v>0</v>
      </c>
      <c r="B772" s="35">
        <f>'Profit &amp; Loss'!B772</f>
        <v>0</v>
      </c>
      <c r="C772" s="36"/>
      <c r="D772" s="33"/>
      <c r="E772" s="102">
        <f t="shared" si="22"/>
        <v>0</v>
      </c>
      <c r="F772" s="103" t="str">
        <f t="shared" si="24"/>
        <v>0 tubes and 0 shuttles</v>
      </c>
      <c r="G772" s="36">
        <f t="shared" si="23"/>
        <v>0</v>
      </c>
      <c r="H772" s="104" t="str">
        <f t="shared" si="25"/>
        <v>0 tubes and 0 shuttles</v>
      </c>
      <c r="I772" s="36">
        <f t="shared" si="26"/>
        <v>0</v>
      </c>
      <c r="J772" s="103" t="str">
        <f t="shared" si="27"/>
        <v>0 tubes and 0 shuttles</v>
      </c>
    </row>
    <row r="773" spans="1:10" ht="12.5" x14ac:dyDescent="0.25">
      <c r="A773" s="32">
        <f>'Profit &amp; Loss'!A773</f>
        <v>0</v>
      </c>
      <c r="B773" s="35">
        <f>'Profit &amp; Loss'!B773</f>
        <v>0</v>
      </c>
      <c r="C773" s="36"/>
      <c r="D773" s="33"/>
      <c r="E773" s="102">
        <f t="shared" si="22"/>
        <v>0</v>
      </c>
      <c r="F773" s="103" t="str">
        <f t="shared" si="24"/>
        <v>0 tubes and 0 shuttles</v>
      </c>
      <c r="G773" s="36">
        <f t="shared" si="23"/>
        <v>0</v>
      </c>
      <c r="H773" s="104" t="str">
        <f t="shared" si="25"/>
        <v>0 tubes and 0 shuttles</v>
      </c>
      <c r="I773" s="36">
        <f t="shared" si="26"/>
        <v>0</v>
      </c>
      <c r="J773" s="103" t="str">
        <f t="shared" si="27"/>
        <v>0 tubes and 0 shuttles</v>
      </c>
    </row>
    <row r="774" spans="1:10" ht="12.5" x14ac:dyDescent="0.25">
      <c r="A774" s="32">
        <f>'Profit &amp; Loss'!A774</f>
        <v>0</v>
      </c>
      <c r="B774" s="35">
        <f>'Profit &amp; Loss'!B774</f>
        <v>0</v>
      </c>
      <c r="C774" s="36"/>
      <c r="D774" s="33"/>
      <c r="E774" s="102">
        <f t="shared" si="22"/>
        <v>0</v>
      </c>
      <c r="F774" s="103" t="str">
        <f t="shared" si="24"/>
        <v>0 tubes and 0 shuttles</v>
      </c>
      <c r="G774" s="36">
        <f t="shared" si="23"/>
        <v>0</v>
      </c>
      <c r="H774" s="104" t="str">
        <f t="shared" si="25"/>
        <v>0 tubes and 0 shuttles</v>
      </c>
      <c r="I774" s="36">
        <f t="shared" si="26"/>
        <v>0</v>
      </c>
      <c r="J774" s="103" t="str">
        <f t="shared" si="27"/>
        <v>0 tubes and 0 shuttles</v>
      </c>
    </row>
    <row r="775" spans="1:10" ht="12.5" x14ac:dyDescent="0.25">
      <c r="A775" s="32">
        <f>'Profit &amp; Loss'!A775</f>
        <v>0</v>
      </c>
      <c r="B775" s="35">
        <f>'Profit &amp; Loss'!B775</f>
        <v>0</v>
      </c>
      <c r="C775" s="36"/>
      <c r="D775" s="33"/>
      <c r="E775" s="102">
        <f t="shared" si="22"/>
        <v>0</v>
      </c>
      <c r="F775" s="103" t="str">
        <f t="shared" si="24"/>
        <v>0 tubes and 0 shuttles</v>
      </c>
      <c r="G775" s="36">
        <f t="shared" si="23"/>
        <v>0</v>
      </c>
      <c r="H775" s="104" t="str">
        <f t="shared" si="25"/>
        <v>0 tubes and 0 shuttles</v>
      </c>
      <c r="I775" s="36">
        <f t="shared" si="26"/>
        <v>0</v>
      </c>
      <c r="J775" s="103" t="str">
        <f t="shared" si="27"/>
        <v>0 tubes and 0 shuttles</v>
      </c>
    </row>
    <row r="776" spans="1:10" ht="12.5" x14ac:dyDescent="0.25">
      <c r="A776" s="32">
        <f>'Profit &amp; Loss'!A776</f>
        <v>0</v>
      </c>
      <c r="B776" s="35">
        <f>'Profit &amp; Loss'!B776</f>
        <v>0</v>
      </c>
      <c r="C776" s="36"/>
      <c r="D776" s="33"/>
      <c r="E776" s="102">
        <f t="shared" si="22"/>
        <v>0</v>
      </c>
      <c r="F776" s="103" t="str">
        <f t="shared" si="24"/>
        <v>0 tubes and 0 shuttles</v>
      </c>
      <c r="G776" s="36">
        <f t="shared" si="23"/>
        <v>0</v>
      </c>
      <c r="H776" s="104" t="str">
        <f t="shared" si="25"/>
        <v>0 tubes and 0 shuttles</v>
      </c>
      <c r="I776" s="36">
        <f t="shared" si="26"/>
        <v>0</v>
      </c>
      <c r="J776" s="103" t="str">
        <f t="shared" si="27"/>
        <v>0 tubes and 0 shuttles</v>
      </c>
    </row>
    <row r="777" spans="1:10" ht="12.5" x14ac:dyDescent="0.25">
      <c r="A777" s="32">
        <f>'Profit &amp; Loss'!A777</f>
        <v>0</v>
      </c>
      <c r="B777" s="35">
        <f>'Profit &amp; Loss'!B777</f>
        <v>0</v>
      </c>
      <c r="C777" s="36"/>
      <c r="D777" s="33"/>
      <c r="E777" s="102">
        <f t="shared" si="22"/>
        <v>0</v>
      </c>
      <c r="F777" s="103" t="str">
        <f t="shared" si="24"/>
        <v>0 tubes and 0 shuttles</v>
      </c>
      <c r="G777" s="36">
        <f t="shared" si="23"/>
        <v>0</v>
      </c>
      <c r="H777" s="104" t="str">
        <f t="shared" si="25"/>
        <v>0 tubes and 0 shuttles</v>
      </c>
      <c r="I777" s="36">
        <f t="shared" si="26"/>
        <v>0</v>
      </c>
      <c r="J777" s="103" t="str">
        <f t="shared" si="27"/>
        <v>0 tubes and 0 shuttles</v>
      </c>
    </row>
    <row r="778" spans="1:10" ht="12.5" x14ac:dyDescent="0.25">
      <c r="A778" s="32">
        <f>'Profit &amp; Loss'!A778</f>
        <v>0</v>
      </c>
      <c r="B778" s="35">
        <f>'Profit &amp; Loss'!B778</f>
        <v>0</v>
      </c>
      <c r="C778" s="36"/>
      <c r="D778" s="33"/>
      <c r="E778" s="102">
        <f t="shared" si="22"/>
        <v>0</v>
      </c>
      <c r="F778" s="103" t="str">
        <f t="shared" si="24"/>
        <v>0 tubes and 0 shuttles</v>
      </c>
      <c r="G778" s="36">
        <f t="shared" si="23"/>
        <v>0</v>
      </c>
      <c r="H778" s="104" t="str">
        <f t="shared" si="25"/>
        <v>0 tubes and 0 shuttles</v>
      </c>
      <c r="I778" s="36">
        <f t="shared" si="26"/>
        <v>0</v>
      </c>
      <c r="J778" s="103" t="str">
        <f t="shared" si="27"/>
        <v>0 tubes and 0 shuttles</v>
      </c>
    </row>
    <row r="779" spans="1:10" ht="12.5" x14ac:dyDescent="0.25">
      <c r="A779" s="32">
        <f>'Profit &amp; Loss'!A779</f>
        <v>0</v>
      </c>
      <c r="B779" s="35">
        <f>'Profit &amp; Loss'!B779</f>
        <v>0</v>
      </c>
      <c r="C779" s="36"/>
      <c r="D779" s="33"/>
      <c r="E779" s="102">
        <f t="shared" si="22"/>
        <v>0</v>
      </c>
      <c r="F779" s="103" t="str">
        <f t="shared" si="24"/>
        <v>0 tubes and 0 shuttles</v>
      </c>
      <c r="G779" s="36">
        <f t="shared" si="23"/>
        <v>0</v>
      </c>
      <c r="H779" s="104" t="str">
        <f t="shared" si="25"/>
        <v>0 tubes and 0 shuttles</v>
      </c>
      <c r="I779" s="36">
        <f t="shared" si="26"/>
        <v>0</v>
      </c>
      <c r="J779" s="103" t="str">
        <f t="shared" si="27"/>
        <v>0 tubes and 0 shuttles</v>
      </c>
    </row>
    <row r="780" spans="1:10" ht="12.5" x14ac:dyDescent="0.25">
      <c r="A780" s="32">
        <f>'Profit &amp; Loss'!A780</f>
        <v>0</v>
      </c>
      <c r="B780" s="35">
        <f>'Profit &amp; Loss'!B780</f>
        <v>0</v>
      </c>
      <c r="C780" s="36"/>
      <c r="D780" s="33"/>
      <c r="E780" s="102">
        <f t="shared" si="22"/>
        <v>0</v>
      </c>
      <c r="F780" s="103" t="str">
        <f t="shared" si="24"/>
        <v>0 tubes and 0 shuttles</v>
      </c>
      <c r="G780" s="36">
        <f t="shared" si="23"/>
        <v>0</v>
      </c>
      <c r="H780" s="104" t="str">
        <f t="shared" si="25"/>
        <v>0 tubes and 0 shuttles</v>
      </c>
      <c r="I780" s="36">
        <f t="shared" si="26"/>
        <v>0</v>
      </c>
      <c r="J780" s="103" t="str">
        <f t="shared" si="27"/>
        <v>0 tubes and 0 shuttles</v>
      </c>
    </row>
    <row r="781" spans="1:10" ht="12.5" x14ac:dyDescent="0.25">
      <c r="A781" s="32">
        <f>'Profit &amp; Loss'!A781</f>
        <v>0</v>
      </c>
      <c r="B781" s="35">
        <f>'Profit &amp; Loss'!B781</f>
        <v>0</v>
      </c>
      <c r="C781" s="36"/>
      <c r="D781" s="33"/>
      <c r="E781" s="102">
        <f t="shared" si="22"/>
        <v>0</v>
      </c>
      <c r="F781" s="103" t="str">
        <f t="shared" si="24"/>
        <v>0 tubes and 0 shuttles</v>
      </c>
      <c r="G781" s="36">
        <f t="shared" si="23"/>
        <v>0</v>
      </c>
      <c r="H781" s="104" t="str">
        <f t="shared" si="25"/>
        <v>0 tubes and 0 shuttles</v>
      </c>
      <c r="I781" s="36">
        <f t="shared" si="26"/>
        <v>0</v>
      </c>
      <c r="J781" s="103" t="str">
        <f t="shared" si="27"/>
        <v>0 tubes and 0 shuttles</v>
      </c>
    </row>
    <row r="782" spans="1:10" ht="12.5" x14ac:dyDescent="0.25">
      <c r="A782" s="32">
        <f>'Profit &amp; Loss'!A782</f>
        <v>0</v>
      </c>
      <c r="B782" s="35">
        <f>'Profit &amp; Loss'!B782</f>
        <v>0</v>
      </c>
      <c r="C782" s="36"/>
      <c r="D782" s="33"/>
      <c r="E782" s="102">
        <f t="shared" si="22"/>
        <v>0</v>
      </c>
      <c r="F782" s="103" t="str">
        <f t="shared" si="24"/>
        <v>0 tubes and 0 shuttles</v>
      </c>
      <c r="G782" s="36">
        <f t="shared" si="23"/>
        <v>0</v>
      </c>
      <c r="H782" s="104" t="str">
        <f t="shared" si="25"/>
        <v>0 tubes and 0 shuttles</v>
      </c>
      <c r="I782" s="36">
        <f t="shared" si="26"/>
        <v>0</v>
      </c>
      <c r="J782" s="103" t="str">
        <f t="shared" si="27"/>
        <v>0 tubes and 0 shuttles</v>
      </c>
    </row>
    <row r="783" spans="1:10" ht="12.5" x14ac:dyDescent="0.25">
      <c r="A783" s="32">
        <f>'Profit &amp; Loss'!A783</f>
        <v>0</v>
      </c>
      <c r="B783" s="35">
        <f>'Profit &amp; Loss'!B783</f>
        <v>0</v>
      </c>
      <c r="C783" s="36"/>
      <c r="D783" s="33"/>
      <c r="E783" s="102">
        <f t="shared" si="22"/>
        <v>0</v>
      </c>
      <c r="F783" s="103" t="str">
        <f t="shared" si="24"/>
        <v>0 tubes and 0 shuttles</v>
      </c>
      <c r="G783" s="36">
        <f t="shared" si="23"/>
        <v>0</v>
      </c>
      <c r="H783" s="104" t="str">
        <f t="shared" si="25"/>
        <v>0 tubes and 0 shuttles</v>
      </c>
      <c r="I783" s="36">
        <f t="shared" si="26"/>
        <v>0</v>
      </c>
      <c r="J783" s="103" t="str">
        <f t="shared" si="27"/>
        <v>0 tubes and 0 shuttles</v>
      </c>
    </row>
    <row r="784" spans="1:10" ht="12.5" x14ac:dyDescent="0.25">
      <c r="A784" s="32">
        <f>'Profit &amp; Loss'!A784</f>
        <v>0</v>
      </c>
      <c r="B784" s="35">
        <f>'Profit &amp; Loss'!B784</f>
        <v>0</v>
      </c>
      <c r="C784" s="36"/>
      <c r="D784" s="33"/>
      <c r="E784" s="102">
        <f t="shared" si="22"/>
        <v>0</v>
      </c>
      <c r="F784" s="103" t="str">
        <f t="shared" si="24"/>
        <v>0 tubes and 0 shuttles</v>
      </c>
      <c r="G784" s="36">
        <f t="shared" si="23"/>
        <v>0</v>
      </c>
      <c r="H784" s="104" t="str">
        <f t="shared" si="25"/>
        <v>0 tubes and 0 shuttles</v>
      </c>
      <c r="I784" s="36">
        <f t="shared" si="26"/>
        <v>0</v>
      </c>
      <c r="J784" s="103" t="str">
        <f t="shared" si="27"/>
        <v>0 tubes and 0 shuttles</v>
      </c>
    </row>
    <row r="785" spans="1:10" ht="12.5" x14ac:dyDescent="0.25">
      <c r="A785" s="32">
        <f>'Profit &amp; Loss'!A785</f>
        <v>0</v>
      </c>
      <c r="B785" s="35">
        <f>'Profit &amp; Loss'!B785</f>
        <v>0</v>
      </c>
      <c r="C785" s="36"/>
      <c r="D785" s="33"/>
      <c r="E785" s="102">
        <f t="shared" si="22"/>
        <v>0</v>
      </c>
      <c r="F785" s="103" t="str">
        <f t="shared" si="24"/>
        <v>0 tubes and 0 shuttles</v>
      </c>
      <c r="G785" s="36">
        <f t="shared" si="23"/>
        <v>0</v>
      </c>
      <c r="H785" s="104" t="str">
        <f t="shared" si="25"/>
        <v>0 tubes and 0 shuttles</v>
      </c>
      <c r="I785" s="36">
        <f t="shared" si="26"/>
        <v>0</v>
      </c>
      <c r="J785" s="103" t="str">
        <f t="shared" si="27"/>
        <v>0 tubes and 0 shuttles</v>
      </c>
    </row>
    <row r="786" spans="1:10" ht="12.5" x14ac:dyDescent="0.25">
      <c r="A786" s="32">
        <f>'Profit &amp; Loss'!A786</f>
        <v>0</v>
      </c>
      <c r="B786" s="35">
        <f>'Profit &amp; Loss'!B786</f>
        <v>0</v>
      </c>
      <c r="C786" s="36"/>
      <c r="D786" s="33"/>
      <c r="E786" s="102">
        <f t="shared" si="22"/>
        <v>0</v>
      </c>
      <c r="F786" s="103" t="str">
        <f t="shared" si="24"/>
        <v>0 tubes and 0 shuttles</v>
      </c>
      <c r="G786" s="36">
        <f t="shared" si="23"/>
        <v>0</v>
      </c>
      <c r="H786" s="104" t="str">
        <f t="shared" si="25"/>
        <v>0 tubes and 0 shuttles</v>
      </c>
      <c r="I786" s="36">
        <f t="shared" si="26"/>
        <v>0</v>
      </c>
      <c r="J786" s="103" t="str">
        <f t="shared" si="27"/>
        <v>0 tubes and 0 shuttles</v>
      </c>
    </row>
    <row r="787" spans="1:10" ht="12.5" x14ac:dyDescent="0.25">
      <c r="A787" s="32">
        <f>'Profit &amp; Loss'!A787</f>
        <v>0</v>
      </c>
      <c r="B787" s="35">
        <f>'Profit &amp; Loss'!B787</f>
        <v>0</v>
      </c>
      <c r="C787" s="36"/>
      <c r="D787" s="33"/>
      <c r="E787" s="102">
        <f t="shared" si="22"/>
        <v>0</v>
      </c>
      <c r="F787" s="103" t="str">
        <f t="shared" si="24"/>
        <v>0 tubes and 0 shuttles</v>
      </c>
      <c r="G787" s="36">
        <f t="shared" si="23"/>
        <v>0</v>
      </c>
      <c r="H787" s="104" t="str">
        <f t="shared" si="25"/>
        <v>0 tubes and 0 shuttles</v>
      </c>
      <c r="I787" s="36">
        <f t="shared" si="26"/>
        <v>0</v>
      </c>
      <c r="J787" s="103" t="str">
        <f t="shared" si="27"/>
        <v>0 tubes and 0 shuttles</v>
      </c>
    </row>
    <row r="788" spans="1:10" ht="12.5" x14ac:dyDescent="0.25">
      <c r="A788" s="32">
        <f>'Profit &amp; Loss'!A788</f>
        <v>0</v>
      </c>
      <c r="B788" s="35">
        <f>'Profit &amp; Loss'!B788</f>
        <v>0</v>
      </c>
      <c r="C788" s="36"/>
      <c r="D788" s="33"/>
      <c r="E788" s="102">
        <f t="shared" si="22"/>
        <v>0</v>
      </c>
      <c r="F788" s="103" t="str">
        <f t="shared" si="24"/>
        <v>0 tubes and 0 shuttles</v>
      </c>
      <c r="G788" s="36">
        <f t="shared" si="23"/>
        <v>0</v>
      </c>
      <c r="H788" s="104" t="str">
        <f t="shared" si="25"/>
        <v>0 tubes and 0 shuttles</v>
      </c>
      <c r="I788" s="36">
        <f t="shared" si="26"/>
        <v>0</v>
      </c>
      <c r="J788" s="103" t="str">
        <f t="shared" si="27"/>
        <v>0 tubes and 0 shuttles</v>
      </c>
    </row>
    <row r="789" spans="1:10" ht="12.5" x14ac:dyDescent="0.25">
      <c r="A789" s="32">
        <f>'Profit &amp; Loss'!A789</f>
        <v>0</v>
      </c>
      <c r="B789" s="35">
        <f>'Profit &amp; Loss'!B789</f>
        <v>0</v>
      </c>
      <c r="C789" s="36"/>
      <c r="D789" s="33"/>
      <c r="E789" s="102">
        <f t="shared" si="22"/>
        <v>0</v>
      </c>
      <c r="F789" s="103" t="str">
        <f t="shared" si="24"/>
        <v>0 tubes and 0 shuttles</v>
      </c>
      <c r="G789" s="36">
        <f t="shared" si="23"/>
        <v>0</v>
      </c>
      <c r="H789" s="104" t="str">
        <f t="shared" si="25"/>
        <v>0 tubes and 0 shuttles</v>
      </c>
      <c r="I789" s="36">
        <f t="shared" si="26"/>
        <v>0</v>
      </c>
      <c r="J789" s="103" t="str">
        <f t="shared" si="27"/>
        <v>0 tubes and 0 shuttles</v>
      </c>
    </row>
    <row r="790" spans="1:10" ht="12.5" x14ac:dyDescent="0.25">
      <c r="A790" s="32">
        <f>'Profit &amp; Loss'!A790</f>
        <v>0</v>
      </c>
      <c r="B790" s="35">
        <f>'Profit &amp; Loss'!B790</f>
        <v>0</v>
      </c>
      <c r="C790" s="36"/>
      <c r="D790" s="33"/>
      <c r="E790" s="102">
        <f t="shared" si="22"/>
        <v>0</v>
      </c>
      <c r="F790" s="103" t="str">
        <f t="shared" si="24"/>
        <v>0 tubes and 0 shuttles</v>
      </c>
      <c r="G790" s="36">
        <f t="shared" si="23"/>
        <v>0</v>
      </c>
      <c r="H790" s="104" t="str">
        <f t="shared" si="25"/>
        <v>0 tubes and 0 shuttles</v>
      </c>
      <c r="I790" s="36">
        <f t="shared" si="26"/>
        <v>0</v>
      </c>
      <c r="J790" s="103" t="str">
        <f t="shared" si="27"/>
        <v>0 tubes and 0 shuttles</v>
      </c>
    </row>
    <row r="791" spans="1:10" ht="12.5" x14ac:dyDescent="0.25">
      <c r="A791" s="32">
        <f>'Profit &amp; Loss'!A791</f>
        <v>0</v>
      </c>
      <c r="B791" s="35">
        <f>'Profit &amp; Loss'!B791</f>
        <v>0</v>
      </c>
      <c r="C791" s="36"/>
      <c r="D791" s="33"/>
      <c r="E791" s="102">
        <f t="shared" si="22"/>
        <v>0</v>
      </c>
      <c r="F791" s="103" t="str">
        <f t="shared" si="24"/>
        <v>0 tubes and 0 shuttles</v>
      </c>
      <c r="G791" s="36">
        <f t="shared" si="23"/>
        <v>0</v>
      </c>
      <c r="H791" s="104" t="str">
        <f t="shared" si="25"/>
        <v>0 tubes and 0 shuttles</v>
      </c>
      <c r="I791" s="36">
        <f t="shared" si="26"/>
        <v>0</v>
      </c>
      <c r="J791" s="103" t="str">
        <f t="shared" si="27"/>
        <v>0 tubes and 0 shuttles</v>
      </c>
    </row>
    <row r="792" spans="1:10" ht="12.5" x14ac:dyDescent="0.25">
      <c r="A792" s="32">
        <f>'Profit &amp; Loss'!A792</f>
        <v>0</v>
      </c>
      <c r="B792" s="35">
        <f>'Profit &amp; Loss'!B792</f>
        <v>0</v>
      </c>
      <c r="C792" s="36"/>
      <c r="D792" s="33"/>
      <c r="E792" s="102">
        <f t="shared" si="22"/>
        <v>0</v>
      </c>
      <c r="F792" s="103" t="str">
        <f t="shared" si="24"/>
        <v>0 tubes and 0 shuttles</v>
      </c>
      <c r="G792" s="36">
        <f t="shared" si="23"/>
        <v>0</v>
      </c>
      <c r="H792" s="104" t="str">
        <f t="shared" si="25"/>
        <v>0 tubes and 0 shuttles</v>
      </c>
      <c r="I792" s="36">
        <f t="shared" si="26"/>
        <v>0</v>
      </c>
      <c r="J792" s="103" t="str">
        <f t="shared" si="27"/>
        <v>0 tubes and 0 shuttles</v>
      </c>
    </row>
    <row r="793" spans="1:10" ht="12.5" x14ac:dyDescent="0.25">
      <c r="A793" s="32">
        <f>'Profit &amp; Loss'!A793</f>
        <v>0</v>
      </c>
      <c r="B793" s="35">
        <f>'Profit &amp; Loss'!B793</f>
        <v>0</v>
      </c>
      <c r="C793" s="36"/>
      <c r="D793" s="33"/>
      <c r="E793" s="102">
        <f t="shared" si="22"/>
        <v>0</v>
      </c>
      <c r="F793" s="103" t="str">
        <f t="shared" si="24"/>
        <v>0 tubes and 0 shuttles</v>
      </c>
      <c r="G793" s="36">
        <f t="shared" si="23"/>
        <v>0</v>
      </c>
      <c r="H793" s="104" t="str">
        <f t="shared" si="25"/>
        <v>0 tubes and 0 shuttles</v>
      </c>
      <c r="I793" s="36">
        <f t="shared" si="26"/>
        <v>0</v>
      </c>
      <c r="J793" s="103" t="str">
        <f t="shared" si="27"/>
        <v>0 tubes and 0 shuttles</v>
      </c>
    </row>
    <row r="794" spans="1:10" ht="12.5" x14ac:dyDescent="0.25">
      <c r="A794" s="32">
        <f>'Profit &amp; Loss'!A794</f>
        <v>0</v>
      </c>
      <c r="B794" s="35">
        <f>'Profit &amp; Loss'!B794</f>
        <v>0</v>
      </c>
      <c r="C794" s="36"/>
      <c r="D794" s="33"/>
      <c r="E794" s="102">
        <f t="shared" si="22"/>
        <v>0</v>
      </c>
      <c r="F794" s="103" t="str">
        <f t="shared" si="24"/>
        <v>0 tubes and 0 shuttles</v>
      </c>
      <c r="G794" s="36">
        <f t="shared" si="23"/>
        <v>0</v>
      </c>
      <c r="H794" s="104" t="str">
        <f t="shared" si="25"/>
        <v>0 tubes and 0 shuttles</v>
      </c>
      <c r="I794" s="36">
        <f t="shared" si="26"/>
        <v>0</v>
      </c>
      <c r="J794" s="103" t="str">
        <f t="shared" si="27"/>
        <v>0 tubes and 0 shuttles</v>
      </c>
    </row>
    <row r="795" spans="1:10" ht="12.5" x14ac:dyDescent="0.25">
      <c r="A795" s="32">
        <f>'Profit &amp; Loss'!A795</f>
        <v>0</v>
      </c>
      <c r="B795" s="35">
        <f>'Profit &amp; Loss'!B795</f>
        <v>0</v>
      </c>
      <c r="C795" s="36"/>
      <c r="D795" s="33"/>
      <c r="E795" s="102">
        <f t="shared" si="22"/>
        <v>0</v>
      </c>
      <c r="F795" s="103" t="str">
        <f t="shared" si="24"/>
        <v>0 tubes and 0 shuttles</v>
      </c>
      <c r="G795" s="36">
        <f t="shared" si="23"/>
        <v>0</v>
      </c>
      <c r="H795" s="104" t="str">
        <f t="shared" si="25"/>
        <v>0 tubes and 0 shuttles</v>
      </c>
      <c r="I795" s="36">
        <f t="shared" si="26"/>
        <v>0</v>
      </c>
      <c r="J795" s="103" t="str">
        <f t="shared" si="27"/>
        <v>0 tubes and 0 shuttles</v>
      </c>
    </row>
    <row r="796" spans="1:10" ht="12.5" x14ac:dyDescent="0.25">
      <c r="A796" s="32">
        <f>'Profit &amp; Loss'!A796</f>
        <v>0</v>
      </c>
      <c r="B796" s="35">
        <f>'Profit &amp; Loss'!B796</f>
        <v>0</v>
      </c>
      <c r="C796" s="36"/>
      <c r="D796" s="33"/>
      <c r="E796" s="102">
        <f t="shared" si="22"/>
        <v>0</v>
      </c>
      <c r="F796" s="103" t="str">
        <f t="shared" si="24"/>
        <v>0 tubes and 0 shuttles</v>
      </c>
      <c r="G796" s="36">
        <f t="shared" si="23"/>
        <v>0</v>
      </c>
      <c r="H796" s="104" t="str">
        <f t="shared" si="25"/>
        <v>0 tubes and 0 shuttles</v>
      </c>
      <c r="I796" s="36">
        <f t="shared" si="26"/>
        <v>0</v>
      </c>
      <c r="J796" s="103" t="str">
        <f t="shared" si="27"/>
        <v>0 tubes and 0 shuttles</v>
      </c>
    </row>
    <row r="797" spans="1:10" ht="12.5" x14ac:dyDescent="0.25">
      <c r="A797" s="32">
        <f>'Profit &amp; Loss'!A797</f>
        <v>0</v>
      </c>
      <c r="B797" s="35">
        <f>'Profit &amp; Loss'!B797</f>
        <v>0</v>
      </c>
      <c r="C797" s="36"/>
      <c r="D797" s="33"/>
      <c r="E797" s="102">
        <f t="shared" si="22"/>
        <v>0</v>
      </c>
      <c r="F797" s="103" t="str">
        <f t="shared" si="24"/>
        <v>0 tubes and 0 shuttles</v>
      </c>
      <c r="G797" s="36">
        <f t="shared" si="23"/>
        <v>0</v>
      </c>
      <c r="H797" s="104" t="str">
        <f t="shared" si="25"/>
        <v>0 tubes and 0 shuttles</v>
      </c>
      <c r="I797" s="36">
        <f t="shared" si="26"/>
        <v>0</v>
      </c>
      <c r="J797" s="103" t="str">
        <f t="shared" si="27"/>
        <v>0 tubes and 0 shuttles</v>
      </c>
    </row>
    <row r="798" spans="1:10" ht="12.5" x14ac:dyDescent="0.25">
      <c r="A798" s="32">
        <f>'Profit &amp; Loss'!A798</f>
        <v>0</v>
      </c>
      <c r="B798" s="35">
        <f>'Profit &amp; Loss'!B798</f>
        <v>0</v>
      </c>
      <c r="C798" s="36"/>
      <c r="D798" s="33"/>
      <c r="E798" s="102">
        <f t="shared" si="22"/>
        <v>0</v>
      </c>
      <c r="F798" s="103" t="str">
        <f t="shared" si="24"/>
        <v>0 tubes and 0 shuttles</v>
      </c>
      <c r="G798" s="36">
        <f t="shared" si="23"/>
        <v>0</v>
      </c>
      <c r="H798" s="104" t="str">
        <f t="shared" si="25"/>
        <v>0 tubes and 0 shuttles</v>
      </c>
      <c r="I798" s="36">
        <f t="shared" si="26"/>
        <v>0</v>
      </c>
      <c r="J798" s="103" t="str">
        <f t="shared" si="27"/>
        <v>0 tubes and 0 shuttles</v>
      </c>
    </row>
    <row r="799" spans="1:10" ht="12.5" x14ac:dyDescent="0.25">
      <c r="A799" s="32">
        <f>'Profit &amp; Loss'!A799</f>
        <v>0</v>
      </c>
      <c r="B799" s="35">
        <f>'Profit &amp; Loss'!B799</f>
        <v>0</v>
      </c>
      <c r="C799" s="36"/>
      <c r="D799" s="33"/>
      <c r="E799" s="102">
        <f t="shared" si="22"/>
        <v>0</v>
      </c>
      <c r="F799" s="103" t="str">
        <f t="shared" si="24"/>
        <v>0 tubes and 0 shuttles</v>
      </c>
      <c r="G799" s="36">
        <f t="shared" si="23"/>
        <v>0</v>
      </c>
      <c r="H799" s="104" t="str">
        <f t="shared" si="25"/>
        <v>0 tubes and 0 shuttles</v>
      </c>
      <c r="I799" s="36">
        <f t="shared" si="26"/>
        <v>0</v>
      </c>
      <c r="J799" s="103" t="str">
        <f t="shared" si="27"/>
        <v>0 tubes and 0 shuttles</v>
      </c>
    </row>
    <row r="800" spans="1:10" ht="12.5" x14ac:dyDescent="0.25">
      <c r="A800" s="32">
        <f>'Profit &amp; Loss'!A800</f>
        <v>0</v>
      </c>
      <c r="B800" s="35">
        <f>'Profit &amp; Loss'!B800</f>
        <v>0</v>
      </c>
      <c r="C800" s="36"/>
      <c r="D800" s="33"/>
      <c r="E800" s="102">
        <f t="shared" si="22"/>
        <v>0</v>
      </c>
      <c r="F800" s="103" t="str">
        <f t="shared" si="24"/>
        <v>0 tubes and 0 shuttles</v>
      </c>
      <c r="G800" s="36">
        <f t="shared" si="23"/>
        <v>0</v>
      </c>
      <c r="H800" s="104" t="str">
        <f t="shared" si="25"/>
        <v>0 tubes and 0 shuttles</v>
      </c>
      <c r="I800" s="36">
        <f t="shared" si="26"/>
        <v>0</v>
      </c>
      <c r="J800" s="103" t="str">
        <f t="shared" si="27"/>
        <v>0 tubes and 0 shuttles</v>
      </c>
    </row>
    <row r="801" spans="1:10" ht="12.5" x14ac:dyDescent="0.25">
      <c r="A801" s="32">
        <f>'Profit &amp; Loss'!A801</f>
        <v>0</v>
      </c>
      <c r="B801" s="35">
        <f>'Profit &amp; Loss'!B801</f>
        <v>0</v>
      </c>
      <c r="C801" s="36"/>
      <c r="D801" s="33"/>
      <c r="E801" s="102">
        <f t="shared" si="22"/>
        <v>0</v>
      </c>
      <c r="F801" s="103" t="str">
        <f t="shared" si="24"/>
        <v>0 tubes and 0 shuttles</v>
      </c>
      <c r="G801" s="36">
        <f t="shared" si="23"/>
        <v>0</v>
      </c>
      <c r="H801" s="104" t="str">
        <f t="shared" si="25"/>
        <v>0 tubes and 0 shuttles</v>
      </c>
      <c r="I801" s="36">
        <f t="shared" si="26"/>
        <v>0</v>
      </c>
      <c r="J801" s="103" t="str">
        <f t="shared" si="27"/>
        <v>0 tubes and 0 shuttles</v>
      </c>
    </row>
    <row r="802" spans="1:10" ht="12.5" x14ac:dyDescent="0.25">
      <c r="A802" s="32">
        <f>'Profit &amp; Loss'!A802</f>
        <v>0</v>
      </c>
      <c r="B802" s="35">
        <f>'Profit &amp; Loss'!B802</f>
        <v>0</v>
      </c>
      <c r="C802" s="36"/>
      <c r="D802" s="33"/>
      <c r="E802" s="102">
        <f t="shared" si="22"/>
        <v>0</v>
      </c>
      <c r="F802" s="103" t="str">
        <f t="shared" si="24"/>
        <v>0 tubes and 0 shuttles</v>
      </c>
      <c r="G802" s="36">
        <f t="shared" si="23"/>
        <v>0</v>
      </c>
      <c r="H802" s="104" t="str">
        <f t="shared" si="25"/>
        <v>0 tubes and 0 shuttles</v>
      </c>
      <c r="I802" s="36">
        <f t="shared" si="26"/>
        <v>0</v>
      </c>
      <c r="J802" s="103" t="str">
        <f t="shared" si="27"/>
        <v>0 tubes and 0 shuttles</v>
      </c>
    </row>
    <row r="803" spans="1:10" ht="12.5" x14ac:dyDescent="0.25">
      <c r="A803" s="32">
        <f>'Profit &amp; Loss'!A803</f>
        <v>0</v>
      </c>
      <c r="B803" s="35">
        <f>'Profit &amp; Loss'!B803</f>
        <v>0</v>
      </c>
      <c r="C803" s="36"/>
      <c r="D803" s="33"/>
      <c r="E803" s="102">
        <f t="shared" si="22"/>
        <v>0</v>
      </c>
      <c r="F803" s="103" t="str">
        <f t="shared" si="24"/>
        <v>0 tubes and 0 shuttles</v>
      </c>
      <c r="G803" s="36">
        <f t="shared" si="23"/>
        <v>0</v>
      </c>
      <c r="H803" s="104" t="str">
        <f t="shared" si="25"/>
        <v>0 tubes and 0 shuttles</v>
      </c>
      <c r="I803" s="36">
        <f t="shared" si="26"/>
        <v>0</v>
      </c>
      <c r="J803" s="103" t="str">
        <f t="shared" si="27"/>
        <v>0 tubes and 0 shuttles</v>
      </c>
    </row>
    <row r="804" spans="1:10" ht="12.5" x14ac:dyDescent="0.25">
      <c r="A804" s="32">
        <f>'Profit &amp; Loss'!A804</f>
        <v>0</v>
      </c>
      <c r="B804" s="35">
        <f>'Profit &amp; Loss'!B804</f>
        <v>0</v>
      </c>
      <c r="C804" s="36"/>
      <c r="D804" s="33"/>
      <c r="E804" s="102">
        <f t="shared" ref="E804:E989" si="28">IF(C804=" ",E803,E803-C804)</f>
        <v>0</v>
      </c>
      <c r="F804" s="103" t="str">
        <f t="shared" si="24"/>
        <v>0 tubes and 0 shuttles</v>
      </c>
      <c r="G804" s="36">
        <f t="shared" ref="G804:G989" si="29">IF(D804=" ",G803,G803-D804)</f>
        <v>0</v>
      </c>
      <c r="H804" s="104" t="str">
        <f t="shared" si="25"/>
        <v>0 tubes and 0 shuttles</v>
      </c>
      <c r="I804" s="36">
        <f t="shared" si="26"/>
        <v>0</v>
      </c>
      <c r="J804" s="103" t="str">
        <f t="shared" si="27"/>
        <v>0 tubes and 0 shuttles</v>
      </c>
    </row>
    <row r="805" spans="1:10" ht="12.5" x14ac:dyDescent="0.25">
      <c r="A805" s="32">
        <f>'Profit &amp; Loss'!A805</f>
        <v>0</v>
      </c>
      <c r="B805" s="35">
        <f>'Profit &amp; Loss'!B805</f>
        <v>0</v>
      </c>
      <c r="C805" s="36"/>
      <c r="D805" s="33"/>
      <c r="E805" s="102">
        <f t="shared" si="28"/>
        <v>0</v>
      </c>
      <c r="F805" s="103" t="str">
        <f t="shared" si="24"/>
        <v>0 tubes and 0 shuttles</v>
      </c>
      <c r="G805" s="36">
        <f t="shared" si="29"/>
        <v>0</v>
      </c>
      <c r="H805" s="104" t="str">
        <f t="shared" si="25"/>
        <v>0 tubes and 0 shuttles</v>
      </c>
      <c r="I805" s="36">
        <f t="shared" si="26"/>
        <v>0</v>
      </c>
      <c r="J805" s="103" t="str">
        <f t="shared" si="27"/>
        <v>0 tubes and 0 shuttles</v>
      </c>
    </row>
    <row r="806" spans="1:10" ht="12.5" x14ac:dyDescent="0.25">
      <c r="A806" s="32">
        <f>'Profit &amp; Loss'!A806</f>
        <v>0</v>
      </c>
      <c r="B806" s="35">
        <f>'Profit &amp; Loss'!B806</f>
        <v>0</v>
      </c>
      <c r="C806" s="36"/>
      <c r="D806" s="33"/>
      <c r="E806" s="102">
        <f t="shared" si="28"/>
        <v>0</v>
      </c>
      <c r="F806" s="103" t="str">
        <f t="shared" si="24"/>
        <v>0 tubes and 0 shuttles</v>
      </c>
      <c r="G806" s="36">
        <f t="shared" si="29"/>
        <v>0</v>
      </c>
      <c r="H806" s="104" t="str">
        <f t="shared" si="25"/>
        <v>0 tubes and 0 shuttles</v>
      </c>
      <c r="I806" s="36">
        <f t="shared" si="26"/>
        <v>0</v>
      </c>
      <c r="J806" s="103" t="str">
        <f t="shared" si="27"/>
        <v>0 tubes and 0 shuttles</v>
      </c>
    </row>
    <row r="807" spans="1:10" ht="12.5" x14ac:dyDescent="0.25">
      <c r="A807" s="32">
        <f>'Profit &amp; Loss'!A807</f>
        <v>0</v>
      </c>
      <c r="B807" s="35">
        <f>'Profit &amp; Loss'!B807</f>
        <v>0</v>
      </c>
      <c r="C807" s="36"/>
      <c r="D807" s="33"/>
      <c r="E807" s="102">
        <f t="shared" si="28"/>
        <v>0</v>
      </c>
      <c r="F807" s="103" t="str">
        <f t="shared" si="24"/>
        <v>0 tubes and 0 shuttles</v>
      </c>
      <c r="G807" s="36">
        <f t="shared" si="29"/>
        <v>0</v>
      </c>
      <c r="H807" s="104" t="str">
        <f t="shared" si="25"/>
        <v>0 tubes and 0 shuttles</v>
      </c>
      <c r="I807" s="36">
        <f t="shared" si="26"/>
        <v>0</v>
      </c>
      <c r="J807" s="103" t="str">
        <f t="shared" si="27"/>
        <v>0 tubes and 0 shuttles</v>
      </c>
    </row>
    <row r="808" spans="1:10" ht="12.5" x14ac:dyDescent="0.25">
      <c r="A808" s="32">
        <f>'Profit &amp; Loss'!A808</f>
        <v>0</v>
      </c>
      <c r="B808" s="35">
        <f>'Profit &amp; Loss'!B808</f>
        <v>0</v>
      </c>
      <c r="C808" s="36"/>
      <c r="D808" s="33"/>
      <c r="E808" s="102">
        <f t="shared" si="28"/>
        <v>0</v>
      </c>
      <c r="F808" s="103" t="str">
        <f t="shared" si="24"/>
        <v>0 tubes and 0 shuttles</v>
      </c>
      <c r="G808" s="36">
        <f t="shared" si="29"/>
        <v>0</v>
      </c>
      <c r="H808" s="104" t="str">
        <f t="shared" si="25"/>
        <v>0 tubes and 0 shuttles</v>
      </c>
      <c r="I808" s="36">
        <f t="shared" si="26"/>
        <v>0</v>
      </c>
      <c r="J808" s="103" t="str">
        <f t="shared" si="27"/>
        <v>0 tubes and 0 shuttles</v>
      </c>
    </row>
    <row r="809" spans="1:10" ht="12.5" x14ac:dyDescent="0.25">
      <c r="A809" s="32">
        <f>'Profit &amp; Loss'!A809</f>
        <v>0</v>
      </c>
      <c r="B809" s="35">
        <f>'Profit &amp; Loss'!B809</f>
        <v>0</v>
      </c>
      <c r="C809" s="36"/>
      <c r="D809" s="33"/>
      <c r="E809" s="102">
        <f t="shared" si="28"/>
        <v>0</v>
      </c>
      <c r="F809" s="103" t="str">
        <f t="shared" si="24"/>
        <v>0 tubes and 0 shuttles</v>
      </c>
      <c r="G809" s="36">
        <f t="shared" si="29"/>
        <v>0</v>
      </c>
      <c r="H809" s="104" t="str">
        <f t="shared" si="25"/>
        <v>0 tubes and 0 shuttles</v>
      </c>
      <c r="I809" s="36">
        <f t="shared" si="26"/>
        <v>0</v>
      </c>
      <c r="J809" s="103" t="str">
        <f t="shared" si="27"/>
        <v>0 tubes and 0 shuttles</v>
      </c>
    </row>
    <row r="810" spans="1:10" ht="12.5" x14ac:dyDescent="0.25">
      <c r="A810" s="32">
        <f>'Profit &amp; Loss'!A810</f>
        <v>0</v>
      </c>
      <c r="B810" s="35">
        <f>'Profit &amp; Loss'!B810</f>
        <v>0</v>
      </c>
      <c r="C810" s="36"/>
      <c r="D810" s="33"/>
      <c r="E810" s="102">
        <f t="shared" si="28"/>
        <v>0</v>
      </c>
      <c r="F810" s="103" t="str">
        <f t="shared" si="24"/>
        <v>0 tubes and 0 shuttles</v>
      </c>
      <c r="G810" s="36">
        <f t="shared" si="29"/>
        <v>0</v>
      </c>
      <c r="H810" s="104" t="str">
        <f t="shared" si="25"/>
        <v>0 tubes and 0 shuttles</v>
      </c>
      <c r="I810" s="36">
        <f t="shared" si="26"/>
        <v>0</v>
      </c>
      <c r="J810" s="103" t="str">
        <f t="shared" si="27"/>
        <v>0 tubes and 0 shuttles</v>
      </c>
    </row>
    <row r="811" spans="1:10" ht="12.5" x14ac:dyDescent="0.25">
      <c r="A811" s="32">
        <f>'Profit &amp; Loss'!A811</f>
        <v>0</v>
      </c>
      <c r="B811" s="35">
        <f>'Profit &amp; Loss'!B811</f>
        <v>0</v>
      </c>
      <c r="C811" s="36"/>
      <c r="D811" s="33"/>
      <c r="E811" s="102">
        <f t="shared" si="28"/>
        <v>0</v>
      </c>
      <c r="F811" s="103" t="str">
        <f t="shared" si="24"/>
        <v>0 tubes and 0 shuttles</v>
      </c>
      <c r="G811" s="36">
        <f t="shared" si="29"/>
        <v>0</v>
      </c>
      <c r="H811" s="104" t="str">
        <f t="shared" si="25"/>
        <v>0 tubes and 0 shuttles</v>
      </c>
      <c r="I811" s="36">
        <f t="shared" si="26"/>
        <v>0</v>
      </c>
      <c r="J811" s="103" t="str">
        <f t="shared" si="27"/>
        <v>0 tubes and 0 shuttles</v>
      </c>
    </row>
    <row r="812" spans="1:10" ht="12.5" x14ac:dyDescent="0.25">
      <c r="A812" s="32">
        <f>'Profit &amp; Loss'!A812</f>
        <v>0</v>
      </c>
      <c r="B812" s="35">
        <f>'Profit &amp; Loss'!B812</f>
        <v>0</v>
      </c>
      <c r="C812" s="36"/>
      <c r="D812" s="33"/>
      <c r="E812" s="102">
        <f t="shared" si="28"/>
        <v>0</v>
      </c>
      <c r="F812" s="103" t="str">
        <f t="shared" si="24"/>
        <v>0 tubes and 0 shuttles</v>
      </c>
      <c r="G812" s="36">
        <f t="shared" si="29"/>
        <v>0</v>
      </c>
      <c r="H812" s="104" t="str">
        <f t="shared" si="25"/>
        <v>0 tubes and 0 shuttles</v>
      </c>
      <c r="I812" s="36">
        <f t="shared" si="26"/>
        <v>0</v>
      </c>
      <c r="J812" s="103" t="str">
        <f t="shared" si="27"/>
        <v>0 tubes and 0 shuttles</v>
      </c>
    </row>
    <row r="813" spans="1:10" ht="12.5" x14ac:dyDescent="0.25">
      <c r="A813" s="32">
        <f>'Profit &amp; Loss'!A813</f>
        <v>0</v>
      </c>
      <c r="B813" s="35">
        <f>'Profit &amp; Loss'!B813</f>
        <v>0</v>
      </c>
      <c r="C813" s="36"/>
      <c r="D813" s="33"/>
      <c r="E813" s="102">
        <f t="shared" si="28"/>
        <v>0</v>
      </c>
      <c r="F813" s="103" t="str">
        <f t="shared" si="24"/>
        <v>0 tubes and 0 shuttles</v>
      </c>
      <c r="G813" s="36">
        <f t="shared" si="29"/>
        <v>0</v>
      </c>
      <c r="H813" s="104" t="str">
        <f t="shared" si="25"/>
        <v>0 tubes and 0 shuttles</v>
      </c>
      <c r="I813" s="36">
        <f t="shared" si="26"/>
        <v>0</v>
      </c>
      <c r="J813" s="103" t="str">
        <f t="shared" si="27"/>
        <v>0 tubes and 0 shuttles</v>
      </c>
    </row>
    <row r="814" spans="1:10" ht="12.5" x14ac:dyDescent="0.25">
      <c r="A814" s="32">
        <f>'Profit &amp; Loss'!A814</f>
        <v>0</v>
      </c>
      <c r="B814" s="35">
        <f>'Profit &amp; Loss'!B814</f>
        <v>0</v>
      </c>
      <c r="C814" s="36"/>
      <c r="D814" s="33"/>
      <c r="E814" s="102">
        <f t="shared" si="28"/>
        <v>0</v>
      </c>
      <c r="F814" s="103" t="str">
        <f t="shared" si="24"/>
        <v>0 tubes and 0 shuttles</v>
      </c>
      <c r="G814" s="36">
        <f t="shared" si="29"/>
        <v>0</v>
      </c>
      <c r="H814" s="104" t="str">
        <f t="shared" si="25"/>
        <v>0 tubes and 0 shuttles</v>
      </c>
      <c r="I814" s="36">
        <f t="shared" si="26"/>
        <v>0</v>
      </c>
      <c r="J814" s="103" t="str">
        <f t="shared" si="27"/>
        <v>0 tubes and 0 shuttles</v>
      </c>
    </row>
    <row r="815" spans="1:10" ht="12.5" x14ac:dyDescent="0.25">
      <c r="A815" s="32">
        <f>'Profit &amp; Loss'!A815</f>
        <v>0</v>
      </c>
      <c r="B815" s="35">
        <f>'Profit &amp; Loss'!B815</f>
        <v>0</v>
      </c>
      <c r="C815" s="36"/>
      <c r="D815" s="33"/>
      <c r="E815" s="102">
        <f t="shared" si="28"/>
        <v>0</v>
      </c>
      <c r="F815" s="103" t="str">
        <f t="shared" si="24"/>
        <v>0 tubes and 0 shuttles</v>
      </c>
      <c r="G815" s="36">
        <f t="shared" si="29"/>
        <v>0</v>
      </c>
      <c r="H815" s="104" t="str">
        <f t="shared" si="25"/>
        <v>0 tubes and 0 shuttles</v>
      </c>
      <c r="I815" s="36">
        <f t="shared" si="26"/>
        <v>0</v>
      </c>
      <c r="J815" s="103" t="str">
        <f t="shared" si="27"/>
        <v>0 tubes and 0 shuttles</v>
      </c>
    </row>
    <row r="816" spans="1:10" ht="12.5" x14ac:dyDescent="0.25">
      <c r="A816" s="32">
        <f>'Profit &amp; Loss'!A816</f>
        <v>0</v>
      </c>
      <c r="B816" s="35">
        <f>'Profit &amp; Loss'!B816</f>
        <v>0</v>
      </c>
      <c r="C816" s="36"/>
      <c r="D816" s="33"/>
      <c r="E816" s="102">
        <f t="shared" si="28"/>
        <v>0</v>
      </c>
      <c r="F816" s="103" t="str">
        <f t="shared" si="24"/>
        <v>0 tubes and 0 shuttles</v>
      </c>
      <c r="G816" s="36">
        <f t="shared" si="29"/>
        <v>0</v>
      </c>
      <c r="H816" s="104" t="str">
        <f t="shared" si="25"/>
        <v>0 tubes and 0 shuttles</v>
      </c>
      <c r="I816" s="36">
        <f t="shared" si="26"/>
        <v>0</v>
      </c>
      <c r="J816" s="103" t="str">
        <f t="shared" si="27"/>
        <v>0 tubes and 0 shuttles</v>
      </c>
    </row>
    <row r="817" spans="1:10" ht="12.5" x14ac:dyDescent="0.25">
      <c r="A817" s="32">
        <f>'Profit &amp; Loss'!A817</f>
        <v>0</v>
      </c>
      <c r="B817" s="35">
        <f>'Profit &amp; Loss'!B817</f>
        <v>0</v>
      </c>
      <c r="C817" s="36"/>
      <c r="D817" s="33"/>
      <c r="E817" s="102">
        <f t="shared" si="28"/>
        <v>0</v>
      </c>
      <c r="F817" s="103" t="str">
        <f t="shared" si="24"/>
        <v>0 tubes and 0 shuttles</v>
      </c>
      <c r="G817" s="36">
        <f t="shared" si="29"/>
        <v>0</v>
      </c>
      <c r="H817" s="104" t="str">
        <f t="shared" si="25"/>
        <v>0 tubes and 0 shuttles</v>
      </c>
      <c r="I817" s="36">
        <f t="shared" si="26"/>
        <v>0</v>
      </c>
      <c r="J817" s="103" t="str">
        <f t="shared" si="27"/>
        <v>0 tubes and 0 shuttles</v>
      </c>
    </row>
    <row r="818" spans="1:10" ht="12.5" x14ac:dyDescent="0.25">
      <c r="A818" s="32">
        <f>'Profit &amp; Loss'!A818</f>
        <v>0</v>
      </c>
      <c r="B818" s="35">
        <f>'Profit &amp; Loss'!B818</f>
        <v>0</v>
      </c>
      <c r="C818" s="36"/>
      <c r="D818" s="33"/>
      <c r="E818" s="102">
        <f t="shared" si="28"/>
        <v>0</v>
      </c>
      <c r="F818" s="103" t="str">
        <f t="shared" si="24"/>
        <v>0 tubes and 0 shuttles</v>
      </c>
      <c r="G818" s="36">
        <f t="shared" si="29"/>
        <v>0</v>
      </c>
      <c r="H818" s="104" t="str">
        <f t="shared" si="25"/>
        <v>0 tubes and 0 shuttles</v>
      </c>
      <c r="I818" s="36">
        <f t="shared" si="26"/>
        <v>0</v>
      </c>
      <c r="J818" s="103" t="str">
        <f t="shared" si="27"/>
        <v>0 tubes and 0 shuttles</v>
      </c>
    </row>
    <row r="819" spans="1:10" ht="12.5" x14ac:dyDescent="0.25">
      <c r="A819" s="32">
        <f>'Profit &amp; Loss'!A819</f>
        <v>0</v>
      </c>
      <c r="B819" s="35">
        <f>'Profit &amp; Loss'!B819</f>
        <v>0</v>
      </c>
      <c r="C819" s="36"/>
      <c r="D819" s="33"/>
      <c r="E819" s="102">
        <f t="shared" si="28"/>
        <v>0</v>
      </c>
      <c r="F819" s="103" t="str">
        <f t="shared" si="24"/>
        <v>0 tubes and 0 shuttles</v>
      </c>
      <c r="G819" s="36">
        <f t="shared" si="29"/>
        <v>0</v>
      </c>
      <c r="H819" s="104" t="str">
        <f t="shared" si="25"/>
        <v>0 tubes and 0 shuttles</v>
      </c>
      <c r="I819" s="36">
        <f t="shared" si="26"/>
        <v>0</v>
      </c>
      <c r="J819" s="103" t="str">
        <f t="shared" si="27"/>
        <v>0 tubes and 0 shuttles</v>
      </c>
    </row>
    <row r="820" spans="1:10" ht="12.5" x14ac:dyDescent="0.25">
      <c r="A820" s="32">
        <f>'Profit &amp; Loss'!A820</f>
        <v>0</v>
      </c>
      <c r="B820" s="35">
        <f>'Profit &amp; Loss'!B820</f>
        <v>0</v>
      </c>
      <c r="C820" s="36"/>
      <c r="D820" s="33"/>
      <c r="E820" s="102">
        <f t="shared" si="28"/>
        <v>0</v>
      </c>
      <c r="F820" s="103" t="str">
        <f t="shared" si="24"/>
        <v>0 tubes and 0 shuttles</v>
      </c>
      <c r="G820" s="36">
        <f t="shared" si="29"/>
        <v>0</v>
      </c>
      <c r="H820" s="104" t="str">
        <f t="shared" si="25"/>
        <v>0 tubes and 0 shuttles</v>
      </c>
      <c r="I820" s="36">
        <f t="shared" si="26"/>
        <v>0</v>
      </c>
      <c r="J820" s="103" t="str">
        <f t="shared" si="27"/>
        <v>0 tubes and 0 shuttles</v>
      </c>
    </row>
    <row r="821" spans="1:10" ht="12.5" x14ac:dyDescent="0.25">
      <c r="A821" s="32">
        <f>'Profit &amp; Loss'!A821</f>
        <v>0</v>
      </c>
      <c r="B821" s="35">
        <f>'Profit &amp; Loss'!B821</f>
        <v>0</v>
      </c>
      <c r="C821" s="36"/>
      <c r="D821" s="33"/>
      <c r="E821" s="102">
        <f t="shared" si="28"/>
        <v>0</v>
      </c>
      <c r="F821" s="103" t="str">
        <f t="shared" si="24"/>
        <v>0 tubes and 0 shuttles</v>
      </c>
      <c r="G821" s="36">
        <f t="shared" si="29"/>
        <v>0</v>
      </c>
      <c r="H821" s="104" t="str">
        <f t="shared" si="25"/>
        <v>0 tubes and 0 shuttles</v>
      </c>
      <c r="I821" s="36">
        <f t="shared" si="26"/>
        <v>0</v>
      </c>
      <c r="J821" s="103" t="str">
        <f t="shared" si="27"/>
        <v>0 tubes and 0 shuttles</v>
      </c>
    </row>
    <row r="822" spans="1:10" ht="12.5" x14ac:dyDescent="0.25">
      <c r="A822" s="32">
        <f>'Profit &amp; Loss'!A822</f>
        <v>0</v>
      </c>
      <c r="B822" s="35">
        <f>'Profit &amp; Loss'!B822</f>
        <v>0</v>
      </c>
      <c r="C822" s="36"/>
      <c r="D822" s="33"/>
      <c r="E822" s="102">
        <f t="shared" si="28"/>
        <v>0</v>
      </c>
      <c r="F822" s="103" t="str">
        <f t="shared" si="24"/>
        <v>0 tubes and 0 shuttles</v>
      </c>
      <c r="G822" s="36">
        <f t="shared" si="29"/>
        <v>0</v>
      </c>
      <c r="H822" s="104" t="str">
        <f t="shared" si="25"/>
        <v>0 tubes and 0 shuttles</v>
      </c>
      <c r="I822" s="36">
        <f t="shared" si="26"/>
        <v>0</v>
      </c>
      <c r="J822" s="103" t="str">
        <f t="shared" si="27"/>
        <v>0 tubes and 0 shuttles</v>
      </c>
    </row>
    <row r="823" spans="1:10" ht="12.5" x14ac:dyDescent="0.25">
      <c r="A823" s="32">
        <f>'Profit &amp; Loss'!A823</f>
        <v>0</v>
      </c>
      <c r="B823" s="35">
        <f>'Profit &amp; Loss'!B823</f>
        <v>0</v>
      </c>
      <c r="C823" s="36"/>
      <c r="D823" s="33"/>
      <c r="E823" s="102">
        <f t="shared" si="28"/>
        <v>0</v>
      </c>
      <c r="F823" s="103" t="str">
        <f t="shared" si="24"/>
        <v>0 tubes and 0 shuttles</v>
      </c>
      <c r="G823" s="36">
        <f t="shared" si="29"/>
        <v>0</v>
      </c>
      <c r="H823" s="104" t="str">
        <f t="shared" si="25"/>
        <v>0 tubes and 0 shuttles</v>
      </c>
      <c r="I823" s="36">
        <f t="shared" si="26"/>
        <v>0</v>
      </c>
      <c r="J823" s="103" t="str">
        <f t="shared" si="27"/>
        <v>0 tubes and 0 shuttles</v>
      </c>
    </row>
    <row r="824" spans="1:10" ht="12.5" x14ac:dyDescent="0.25">
      <c r="A824" s="32">
        <f>'Profit &amp; Loss'!A824</f>
        <v>0</v>
      </c>
      <c r="B824" s="35">
        <f>'Profit &amp; Loss'!B824</f>
        <v>0</v>
      </c>
      <c r="C824" s="36"/>
      <c r="D824" s="33"/>
      <c r="E824" s="102">
        <f t="shared" si="28"/>
        <v>0</v>
      </c>
      <c r="F824" s="103" t="str">
        <f t="shared" si="24"/>
        <v>0 tubes and 0 shuttles</v>
      </c>
      <c r="G824" s="36">
        <f t="shared" si="29"/>
        <v>0</v>
      </c>
      <c r="H824" s="104" t="str">
        <f t="shared" si="25"/>
        <v>0 tubes and 0 shuttles</v>
      </c>
      <c r="I824" s="36">
        <f t="shared" si="26"/>
        <v>0</v>
      </c>
      <c r="J824" s="103" t="str">
        <f t="shared" si="27"/>
        <v>0 tubes and 0 shuttles</v>
      </c>
    </row>
    <row r="825" spans="1:10" ht="12.5" x14ac:dyDescent="0.25">
      <c r="A825" s="32">
        <f>'Profit &amp; Loss'!A825</f>
        <v>0</v>
      </c>
      <c r="B825" s="35">
        <f>'Profit &amp; Loss'!B825</f>
        <v>0</v>
      </c>
      <c r="C825" s="36"/>
      <c r="D825" s="33"/>
      <c r="E825" s="102">
        <f t="shared" si="28"/>
        <v>0</v>
      </c>
      <c r="F825" s="103" t="str">
        <f t="shared" si="24"/>
        <v>0 tubes and 0 shuttles</v>
      </c>
      <c r="G825" s="36">
        <f t="shared" si="29"/>
        <v>0</v>
      </c>
      <c r="H825" s="104" t="str">
        <f t="shared" si="25"/>
        <v>0 tubes and 0 shuttles</v>
      </c>
      <c r="I825" s="36">
        <f t="shared" si="26"/>
        <v>0</v>
      </c>
      <c r="J825" s="103" t="str">
        <f t="shared" si="27"/>
        <v>0 tubes and 0 shuttles</v>
      </c>
    </row>
    <row r="826" spans="1:10" ht="12.5" x14ac:dyDescent="0.25">
      <c r="A826" s="32">
        <f>'Profit &amp; Loss'!A826</f>
        <v>0</v>
      </c>
      <c r="B826" s="35">
        <f>'Profit &amp; Loss'!B826</f>
        <v>0</v>
      </c>
      <c r="C826" s="36"/>
      <c r="D826" s="33"/>
      <c r="E826" s="102">
        <f t="shared" si="28"/>
        <v>0</v>
      </c>
      <c r="F826" s="103" t="str">
        <f t="shared" si="24"/>
        <v>0 tubes and 0 shuttles</v>
      </c>
      <c r="G826" s="36">
        <f t="shared" si="29"/>
        <v>0</v>
      </c>
      <c r="H826" s="104" t="str">
        <f t="shared" si="25"/>
        <v>0 tubes and 0 shuttles</v>
      </c>
      <c r="I826" s="36">
        <f t="shared" si="26"/>
        <v>0</v>
      </c>
      <c r="J826" s="103" t="str">
        <f t="shared" si="27"/>
        <v>0 tubes and 0 shuttles</v>
      </c>
    </row>
    <row r="827" spans="1:10" ht="12.5" x14ac:dyDescent="0.25">
      <c r="A827" s="32">
        <f>'Profit &amp; Loss'!A827</f>
        <v>0</v>
      </c>
      <c r="B827" s="35">
        <f>'Profit &amp; Loss'!B827</f>
        <v>0</v>
      </c>
      <c r="C827" s="36"/>
      <c r="D827" s="33"/>
      <c r="E827" s="102">
        <f t="shared" si="28"/>
        <v>0</v>
      </c>
      <c r="F827" s="103" t="str">
        <f t="shared" si="24"/>
        <v>0 tubes and 0 shuttles</v>
      </c>
      <c r="G827" s="36">
        <f t="shared" si="29"/>
        <v>0</v>
      </c>
      <c r="H827" s="104" t="str">
        <f t="shared" si="25"/>
        <v>0 tubes and 0 shuttles</v>
      </c>
      <c r="I827" s="36">
        <f t="shared" si="26"/>
        <v>0</v>
      </c>
      <c r="J827" s="103" t="str">
        <f t="shared" si="27"/>
        <v>0 tubes and 0 shuttles</v>
      </c>
    </row>
    <row r="828" spans="1:10" ht="12.5" x14ac:dyDescent="0.25">
      <c r="A828" s="32">
        <f>'Profit &amp; Loss'!A828</f>
        <v>0</v>
      </c>
      <c r="B828" s="35">
        <f>'Profit &amp; Loss'!B828</f>
        <v>0</v>
      </c>
      <c r="C828" s="36"/>
      <c r="D828" s="33"/>
      <c r="E828" s="102">
        <f t="shared" si="28"/>
        <v>0</v>
      </c>
      <c r="F828" s="103" t="str">
        <f t="shared" si="24"/>
        <v>0 tubes and 0 shuttles</v>
      </c>
      <c r="G828" s="36">
        <f t="shared" si="29"/>
        <v>0</v>
      </c>
      <c r="H828" s="104" t="str">
        <f t="shared" si="25"/>
        <v>0 tubes and 0 shuttles</v>
      </c>
      <c r="I828" s="36">
        <f t="shared" si="26"/>
        <v>0</v>
      </c>
      <c r="J828" s="103" t="str">
        <f t="shared" si="27"/>
        <v>0 tubes and 0 shuttles</v>
      </c>
    </row>
    <row r="829" spans="1:10" ht="12.5" x14ac:dyDescent="0.25">
      <c r="A829" s="32">
        <f>'Profit &amp; Loss'!A829</f>
        <v>0</v>
      </c>
      <c r="B829" s="35">
        <f>'Profit &amp; Loss'!B829</f>
        <v>0</v>
      </c>
      <c r="C829" s="36"/>
      <c r="D829" s="33"/>
      <c r="E829" s="102">
        <f t="shared" si="28"/>
        <v>0</v>
      </c>
      <c r="F829" s="103" t="str">
        <f t="shared" si="24"/>
        <v>0 tubes and 0 shuttles</v>
      </c>
      <c r="G829" s="36">
        <f t="shared" si="29"/>
        <v>0</v>
      </c>
      <c r="H829" s="104" t="str">
        <f t="shared" si="25"/>
        <v>0 tubes and 0 shuttles</v>
      </c>
      <c r="I829" s="36">
        <f t="shared" si="26"/>
        <v>0</v>
      </c>
      <c r="J829" s="103" t="str">
        <f t="shared" si="27"/>
        <v>0 tubes and 0 shuttles</v>
      </c>
    </row>
    <row r="830" spans="1:10" ht="12.5" x14ac:dyDescent="0.25">
      <c r="A830" s="32">
        <f>'Profit &amp; Loss'!A830</f>
        <v>0</v>
      </c>
      <c r="B830" s="35">
        <f>'Profit &amp; Loss'!B830</f>
        <v>0</v>
      </c>
      <c r="C830" s="36"/>
      <c r="D830" s="33"/>
      <c r="E830" s="102">
        <f t="shared" si="28"/>
        <v>0</v>
      </c>
      <c r="F830" s="103" t="str">
        <f t="shared" si="24"/>
        <v>0 tubes and 0 shuttles</v>
      </c>
      <c r="G830" s="36">
        <f t="shared" si="29"/>
        <v>0</v>
      </c>
      <c r="H830" s="104" t="str">
        <f t="shared" si="25"/>
        <v>0 tubes and 0 shuttles</v>
      </c>
      <c r="I830" s="36">
        <f t="shared" si="26"/>
        <v>0</v>
      </c>
      <c r="J830" s="103" t="str">
        <f t="shared" si="27"/>
        <v>0 tubes and 0 shuttles</v>
      </c>
    </row>
    <row r="831" spans="1:10" ht="12.5" x14ac:dyDescent="0.25">
      <c r="A831" s="32">
        <f>'Profit &amp; Loss'!A831</f>
        <v>0</v>
      </c>
      <c r="B831" s="35">
        <f>'Profit &amp; Loss'!B831</f>
        <v>0</v>
      </c>
      <c r="C831" s="36"/>
      <c r="D831" s="33"/>
      <c r="E831" s="102">
        <f t="shared" si="28"/>
        <v>0</v>
      </c>
      <c r="F831" s="103" t="str">
        <f t="shared" si="24"/>
        <v>0 tubes and 0 shuttles</v>
      </c>
      <c r="G831" s="36">
        <f t="shared" si="29"/>
        <v>0</v>
      </c>
      <c r="H831" s="104" t="str">
        <f t="shared" si="25"/>
        <v>0 tubes and 0 shuttles</v>
      </c>
      <c r="I831" s="36">
        <f t="shared" si="26"/>
        <v>0</v>
      </c>
      <c r="J831" s="103" t="str">
        <f t="shared" si="27"/>
        <v>0 tubes and 0 shuttles</v>
      </c>
    </row>
    <row r="832" spans="1:10" ht="12.5" x14ac:dyDescent="0.25">
      <c r="A832" s="32">
        <f>'Profit &amp; Loss'!A832</f>
        <v>0</v>
      </c>
      <c r="B832" s="35">
        <f>'Profit &amp; Loss'!B832</f>
        <v>0</v>
      </c>
      <c r="C832" s="36"/>
      <c r="D832" s="33"/>
      <c r="E832" s="102">
        <f t="shared" si="28"/>
        <v>0</v>
      </c>
      <c r="F832" s="103" t="str">
        <f t="shared" si="24"/>
        <v>0 tubes and 0 shuttles</v>
      </c>
      <c r="G832" s="36">
        <f t="shared" si="29"/>
        <v>0</v>
      </c>
      <c r="H832" s="104" t="str">
        <f t="shared" si="25"/>
        <v>0 tubes and 0 shuttles</v>
      </c>
      <c r="I832" s="36">
        <f t="shared" si="26"/>
        <v>0</v>
      </c>
      <c r="J832" s="103" t="str">
        <f t="shared" si="27"/>
        <v>0 tubes and 0 shuttles</v>
      </c>
    </row>
    <row r="833" spans="1:10" ht="12.5" x14ac:dyDescent="0.25">
      <c r="A833" s="32">
        <f>'Profit &amp; Loss'!A833</f>
        <v>0</v>
      </c>
      <c r="B833" s="35">
        <f>'Profit &amp; Loss'!B833</f>
        <v>0</v>
      </c>
      <c r="C833" s="36"/>
      <c r="D833" s="33"/>
      <c r="E833" s="102">
        <f t="shared" si="28"/>
        <v>0</v>
      </c>
      <c r="F833" s="103" t="str">
        <f t="shared" si="24"/>
        <v>0 tubes and 0 shuttles</v>
      </c>
      <c r="G833" s="36">
        <f t="shared" si="29"/>
        <v>0</v>
      </c>
      <c r="H833" s="104" t="str">
        <f t="shared" si="25"/>
        <v>0 tubes and 0 shuttles</v>
      </c>
      <c r="I833" s="36">
        <f t="shared" si="26"/>
        <v>0</v>
      </c>
      <c r="J833" s="103" t="str">
        <f t="shared" si="27"/>
        <v>0 tubes and 0 shuttles</v>
      </c>
    </row>
    <row r="834" spans="1:10" ht="12.5" x14ac:dyDescent="0.25">
      <c r="A834" s="32">
        <f>'Profit &amp; Loss'!A834</f>
        <v>0</v>
      </c>
      <c r="B834" s="35">
        <f>'Profit &amp; Loss'!B834</f>
        <v>0</v>
      </c>
      <c r="C834" s="36"/>
      <c r="D834" s="33"/>
      <c r="E834" s="102">
        <f t="shared" si="28"/>
        <v>0</v>
      </c>
      <c r="F834" s="103" t="str">
        <f t="shared" si="24"/>
        <v>0 tubes and 0 shuttles</v>
      </c>
      <c r="G834" s="36">
        <f t="shared" si="29"/>
        <v>0</v>
      </c>
      <c r="H834" s="104" t="str">
        <f t="shared" si="25"/>
        <v>0 tubes and 0 shuttles</v>
      </c>
      <c r="I834" s="36">
        <f t="shared" si="26"/>
        <v>0</v>
      </c>
      <c r="J834" s="103" t="str">
        <f t="shared" si="27"/>
        <v>0 tubes and 0 shuttles</v>
      </c>
    </row>
    <row r="835" spans="1:10" ht="12.5" x14ac:dyDescent="0.25">
      <c r="A835" s="32">
        <f>'Profit &amp; Loss'!A835</f>
        <v>0</v>
      </c>
      <c r="B835" s="35">
        <f>'Profit &amp; Loss'!B835</f>
        <v>0</v>
      </c>
      <c r="C835" s="36"/>
      <c r="D835" s="33"/>
      <c r="E835" s="102">
        <f t="shared" si="28"/>
        <v>0</v>
      </c>
      <c r="F835" s="103" t="str">
        <f t="shared" si="24"/>
        <v>0 tubes and 0 shuttles</v>
      </c>
      <c r="G835" s="36">
        <f t="shared" si="29"/>
        <v>0</v>
      </c>
      <c r="H835" s="104" t="str">
        <f t="shared" si="25"/>
        <v>0 tubes and 0 shuttles</v>
      </c>
      <c r="I835" s="36">
        <f t="shared" si="26"/>
        <v>0</v>
      </c>
      <c r="J835" s="103" t="str">
        <f t="shared" si="27"/>
        <v>0 tubes and 0 shuttles</v>
      </c>
    </row>
    <row r="836" spans="1:10" ht="12.5" x14ac:dyDescent="0.25">
      <c r="A836" s="32">
        <f>'Profit &amp; Loss'!A836</f>
        <v>0</v>
      </c>
      <c r="B836" s="35">
        <f>'Profit &amp; Loss'!B836</f>
        <v>0</v>
      </c>
      <c r="C836" s="36"/>
      <c r="D836" s="33"/>
      <c r="E836" s="102">
        <f t="shared" si="28"/>
        <v>0</v>
      </c>
      <c r="F836" s="103" t="str">
        <f t="shared" si="24"/>
        <v>0 tubes and 0 shuttles</v>
      </c>
      <c r="G836" s="36">
        <f t="shared" si="29"/>
        <v>0</v>
      </c>
      <c r="H836" s="104" t="str">
        <f t="shared" si="25"/>
        <v>0 tubes and 0 shuttles</v>
      </c>
      <c r="I836" s="36">
        <f t="shared" si="26"/>
        <v>0</v>
      </c>
      <c r="J836" s="103" t="str">
        <f t="shared" si="27"/>
        <v>0 tubes and 0 shuttles</v>
      </c>
    </row>
    <row r="837" spans="1:10" ht="12.5" x14ac:dyDescent="0.25">
      <c r="A837" s="32">
        <f>'Profit &amp; Loss'!A837</f>
        <v>0</v>
      </c>
      <c r="B837" s="35">
        <f>'Profit &amp; Loss'!B837</f>
        <v>0</v>
      </c>
      <c r="C837" s="36"/>
      <c r="D837" s="33"/>
      <c r="E837" s="102">
        <f t="shared" si="28"/>
        <v>0</v>
      </c>
      <c r="F837" s="103" t="str">
        <f t="shared" si="24"/>
        <v>0 tubes and 0 shuttles</v>
      </c>
      <c r="G837" s="36">
        <f t="shared" si="29"/>
        <v>0</v>
      </c>
      <c r="H837" s="104" t="str">
        <f t="shared" si="25"/>
        <v>0 tubes and 0 shuttles</v>
      </c>
      <c r="I837" s="36">
        <f t="shared" si="26"/>
        <v>0</v>
      </c>
      <c r="J837" s="103" t="str">
        <f t="shared" si="27"/>
        <v>0 tubes and 0 shuttles</v>
      </c>
    </row>
    <row r="838" spans="1:10" ht="12.5" x14ac:dyDescent="0.25">
      <c r="A838" s="32">
        <f>'Profit &amp; Loss'!A838</f>
        <v>0</v>
      </c>
      <c r="B838" s="35">
        <f>'Profit &amp; Loss'!B838</f>
        <v>0</v>
      </c>
      <c r="C838" s="36"/>
      <c r="D838" s="33"/>
      <c r="E838" s="102">
        <f t="shared" si="28"/>
        <v>0</v>
      </c>
      <c r="F838" s="103" t="str">
        <f t="shared" si="24"/>
        <v>0 tubes and 0 shuttles</v>
      </c>
      <c r="G838" s="36">
        <f t="shared" si="29"/>
        <v>0</v>
      </c>
      <c r="H838" s="104" t="str">
        <f t="shared" si="25"/>
        <v>0 tubes and 0 shuttles</v>
      </c>
      <c r="I838" s="36">
        <f t="shared" si="26"/>
        <v>0</v>
      </c>
      <c r="J838" s="103" t="str">
        <f t="shared" si="27"/>
        <v>0 tubes and 0 shuttles</v>
      </c>
    </row>
    <row r="839" spans="1:10" ht="12.5" x14ac:dyDescent="0.25">
      <c r="A839" s="32">
        <f>'Profit &amp; Loss'!A839</f>
        <v>0</v>
      </c>
      <c r="B839" s="35">
        <f>'Profit &amp; Loss'!B839</f>
        <v>0</v>
      </c>
      <c r="C839" s="36"/>
      <c r="D839" s="33"/>
      <c r="E839" s="102">
        <f t="shared" si="28"/>
        <v>0</v>
      </c>
      <c r="F839" s="103" t="str">
        <f t="shared" si="24"/>
        <v>0 tubes and 0 shuttles</v>
      </c>
      <c r="G839" s="36">
        <f t="shared" si="29"/>
        <v>0</v>
      </c>
      <c r="H839" s="104" t="str">
        <f t="shared" si="25"/>
        <v>0 tubes and 0 shuttles</v>
      </c>
      <c r="I839" s="36">
        <f t="shared" si="26"/>
        <v>0</v>
      </c>
      <c r="J839" s="103" t="str">
        <f t="shared" si="27"/>
        <v>0 tubes and 0 shuttles</v>
      </c>
    </row>
    <row r="840" spans="1:10" ht="12.5" x14ac:dyDescent="0.25">
      <c r="A840" s="32">
        <f>'Profit &amp; Loss'!A840</f>
        <v>0</v>
      </c>
      <c r="B840" s="35">
        <f>'Profit &amp; Loss'!B840</f>
        <v>0</v>
      </c>
      <c r="C840" s="36"/>
      <c r="D840" s="33"/>
      <c r="E840" s="102">
        <f t="shared" si="28"/>
        <v>0</v>
      </c>
      <c r="F840" s="103" t="str">
        <f t="shared" si="24"/>
        <v>0 tubes and 0 shuttles</v>
      </c>
      <c r="G840" s="36">
        <f t="shared" si="29"/>
        <v>0</v>
      </c>
      <c r="H840" s="104" t="str">
        <f t="shared" si="25"/>
        <v>0 tubes and 0 shuttles</v>
      </c>
      <c r="I840" s="36">
        <f t="shared" si="26"/>
        <v>0</v>
      </c>
      <c r="J840" s="103" t="str">
        <f t="shared" si="27"/>
        <v>0 tubes and 0 shuttles</v>
      </c>
    </row>
    <row r="841" spans="1:10" ht="12.5" x14ac:dyDescent="0.25">
      <c r="A841" s="32">
        <f>'Profit &amp; Loss'!A841</f>
        <v>0</v>
      </c>
      <c r="B841" s="35">
        <f>'Profit &amp; Loss'!B841</f>
        <v>0</v>
      </c>
      <c r="C841" s="36"/>
      <c r="D841" s="33"/>
      <c r="E841" s="102">
        <f t="shared" si="28"/>
        <v>0</v>
      </c>
      <c r="F841" s="103" t="str">
        <f t="shared" si="24"/>
        <v>0 tubes and 0 shuttles</v>
      </c>
      <c r="G841" s="36">
        <f t="shared" si="29"/>
        <v>0</v>
      </c>
      <c r="H841" s="104" t="str">
        <f t="shared" si="25"/>
        <v>0 tubes and 0 shuttles</v>
      </c>
      <c r="I841" s="36">
        <f t="shared" si="26"/>
        <v>0</v>
      </c>
      <c r="J841" s="103" t="str">
        <f t="shared" si="27"/>
        <v>0 tubes and 0 shuttles</v>
      </c>
    </row>
    <row r="842" spans="1:10" ht="12.5" x14ac:dyDescent="0.25">
      <c r="A842" s="32">
        <f>'Profit &amp; Loss'!A842</f>
        <v>0</v>
      </c>
      <c r="B842" s="35">
        <f>'Profit &amp; Loss'!B842</f>
        <v>0</v>
      </c>
      <c r="C842" s="36"/>
      <c r="D842" s="33"/>
      <c r="E842" s="102">
        <f t="shared" si="28"/>
        <v>0</v>
      </c>
      <c r="F842" s="103" t="str">
        <f t="shared" si="24"/>
        <v>0 tubes and 0 shuttles</v>
      </c>
      <c r="G842" s="36">
        <f t="shared" si="29"/>
        <v>0</v>
      </c>
      <c r="H842" s="104" t="str">
        <f t="shared" si="25"/>
        <v>0 tubes and 0 shuttles</v>
      </c>
      <c r="I842" s="36">
        <f t="shared" si="26"/>
        <v>0</v>
      </c>
      <c r="J842" s="103" t="str">
        <f t="shared" si="27"/>
        <v>0 tubes and 0 shuttles</v>
      </c>
    </row>
    <row r="843" spans="1:10" ht="12.5" x14ac:dyDescent="0.25">
      <c r="A843" s="32">
        <f>'Profit &amp; Loss'!A843</f>
        <v>0</v>
      </c>
      <c r="B843" s="35">
        <f>'Profit &amp; Loss'!B843</f>
        <v>0</v>
      </c>
      <c r="C843" s="36"/>
      <c r="D843" s="33"/>
      <c r="E843" s="102">
        <f t="shared" si="28"/>
        <v>0</v>
      </c>
      <c r="F843" s="103" t="str">
        <f t="shared" si="24"/>
        <v>0 tubes and 0 shuttles</v>
      </c>
      <c r="G843" s="36">
        <f t="shared" si="29"/>
        <v>0</v>
      </c>
      <c r="H843" s="104" t="str">
        <f t="shared" si="25"/>
        <v>0 tubes and 0 shuttles</v>
      </c>
      <c r="I843" s="36">
        <f t="shared" si="26"/>
        <v>0</v>
      </c>
      <c r="J843" s="103" t="str">
        <f t="shared" si="27"/>
        <v>0 tubes and 0 shuttles</v>
      </c>
    </row>
    <row r="844" spans="1:10" ht="12.5" x14ac:dyDescent="0.25">
      <c r="A844" s="32">
        <f>'Profit &amp; Loss'!A844</f>
        <v>0</v>
      </c>
      <c r="B844" s="35">
        <f>'Profit &amp; Loss'!B844</f>
        <v>0</v>
      </c>
      <c r="C844" s="36"/>
      <c r="D844" s="33"/>
      <c r="E844" s="102">
        <f t="shared" si="28"/>
        <v>0</v>
      </c>
      <c r="F844" s="103" t="str">
        <f t="shared" si="24"/>
        <v>0 tubes and 0 shuttles</v>
      </c>
      <c r="G844" s="36">
        <f t="shared" si="29"/>
        <v>0</v>
      </c>
      <c r="H844" s="104" t="str">
        <f t="shared" si="25"/>
        <v>0 tubes and 0 shuttles</v>
      </c>
      <c r="I844" s="36">
        <f t="shared" si="26"/>
        <v>0</v>
      </c>
      <c r="J844" s="103" t="str">
        <f t="shared" si="27"/>
        <v>0 tubes and 0 shuttles</v>
      </c>
    </row>
    <row r="845" spans="1:10" ht="12.5" x14ac:dyDescent="0.25">
      <c r="A845" s="32">
        <f>'Profit &amp; Loss'!A845</f>
        <v>0</v>
      </c>
      <c r="B845" s="35">
        <f>'Profit &amp; Loss'!B845</f>
        <v>0</v>
      </c>
      <c r="C845" s="36"/>
      <c r="D845" s="33"/>
      <c r="E845" s="102">
        <f t="shared" si="28"/>
        <v>0</v>
      </c>
      <c r="F845" s="103" t="str">
        <f t="shared" si="24"/>
        <v>0 tubes and 0 shuttles</v>
      </c>
      <c r="G845" s="36">
        <f t="shared" si="29"/>
        <v>0</v>
      </c>
      <c r="H845" s="104" t="str">
        <f t="shared" si="25"/>
        <v>0 tubes and 0 shuttles</v>
      </c>
      <c r="I845" s="36">
        <f t="shared" si="26"/>
        <v>0</v>
      </c>
      <c r="J845" s="103" t="str">
        <f t="shared" si="27"/>
        <v>0 tubes and 0 shuttles</v>
      </c>
    </row>
    <row r="846" spans="1:10" ht="12.5" x14ac:dyDescent="0.25">
      <c r="A846" s="32">
        <f>'Profit &amp; Loss'!A846</f>
        <v>0</v>
      </c>
      <c r="B846" s="35">
        <f>'Profit &amp; Loss'!B846</f>
        <v>0</v>
      </c>
      <c r="C846" s="36"/>
      <c r="D846" s="33"/>
      <c r="E846" s="102">
        <f t="shared" si="28"/>
        <v>0</v>
      </c>
      <c r="F846" s="103" t="str">
        <f t="shared" si="24"/>
        <v>0 tubes and 0 shuttles</v>
      </c>
      <c r="G846" s="36">
        <f t="shared" si="29"/>
        <v>0</v>
      </c>
      <c r="H846" s="104" t="str">
        <f t="shared" si="25"/>
        <v>0 tubes and 0 shuttles</v>
      </c>
      <c r="I846" s="36">
        <f t="shared" si="26"/>
        <v>0</v>
      </c>
      <c r="J846" s="103" t="str">
        <f t="shared" si="27"/>
        <v>0 tubes and 0 shuttles</v>
      </c>
    </row>
    <row r="847" spans="1:10" ht="12.5" x14ac:dyDescent="0.25">
      <c r="A847" s="32">
        <f>'Profit &amp; Loss'!A847</f>
        <v>0</v>
      </c>
      <c r="B847" s="35">
        <f>'Profit &amp; Loss'!B847</f>
        <v>0</v>
      </c>
      <c r="C847" s="36"/>
      <c r="D847" s="33"/>
      <c r="E847" s="102">
        <f t="shared" si="28"/>
        <v>0</v>
      </c>
      <c r="F847" s="103" t="str">
        <f t="shared" si="24"/>
        <v>0 tubes and 0 shuttles</v>
      </c>
      <c r="G847" s="36">
        <f t="shared" si="29"/>
        <v>0</v>
      </c>
      <c r="H847" s="104" t="str">
        <f t="shared" si="25"/>
        <v>0 tubes and 0 shuttles</v>
      </c>
      <c r="I847" s="36">
        <f t="shared" si="26"/>
        <v>0</v>
      </c>
      <c r="J847" s="103" t="str">
        <f t="shared" si="27"/>
        <v>0 tubes and 0 shuttles</v>
      </c>
    </row>
    <row r="848" spans="1:10" ht="12.5" x14ac:dyDescent="0.25">
      <c r="A848" s="32">
        <f>'Profit &amp; Loss'!A848</f>
        <v>0</v>
      </c>
      <c r="B848" s="35">
        <f>'Profit &amp; Loss'!B848</f>
        <v>0</v>
      </c>
      <c r="C848" s="36"/>
      <c r="D848" s="33"/>
      <c r="E848" s="102">
        <f t="shared" si="28"/>
        <v>0</v>
      </c>
      <c r="F848" s="103" t="str">
        <f t="shared" si="24"/>
        <v>0 tubes and 0 shuttles</v>
      </c>
      <c r="G848" s="36">
        <f t="shared" si="29"/>
        <v>0</v>
      </c>
      <c r="H848" s="104" t="str">
        <f t="shared" si="25"/>
        <v>0 tubes and 0 shuttles</v>
      </c>
      <c r="I848" s="36">
        <f t="shared" si="26"/>
        <v>0</v>
      </c>
      <c r="J848" s="103" t="str">
        <f t="shared" si="27"/>
        <v>0 tubes and 0 shuttles</v>
      </c>
    </row>
    <row r="849" spans="1:10" ht="12.5" x14ac:dyDescent="0.25">
      <c r="A849" s="32">
        <f>'Profit &amp; Loss'!A849</f>
        <v>0</v>
      </c>
      <c r="B849" s="35">
        <f>'Profit &amp; Loss'!B849</f>
        <v>0</v>
      </c>
      <c r="C849" s="36"/>
      <c r="D849" s="33"/>
      <c r="E849" s="102">
        <f t="shared" si="28"/>
        <v>0</v>
      </c>
      <c r="F849" s="103" t="str">
        <f t="shared" si="24"/>
        <v>0 tubes and 0 shuttles</v>
      </c>
      <c r="G849" s="36">
        <f t="shared" si="29"/>
        <v>0</v>
      </c>
      <c r="H849" s="104" t="str">
        <f t="shared" si="25"/>
        <v>0 tubes and 0 shuttles</v>
      </c>
      <c r="I849" s="36">
        <f t="shared" si="26"/>
        <v>0</v>
      </c>
      <c r="J849" s="103" t="str">
        <f t="shared" si="27"/>
        <v>0 tubes and 0 shuttles</v>
      </c>
    </row>
    <row r="850" spans="1:10" ht="12.5" x14ac:dyDescent="0.25">
      <c r="A850" s="32">
        <f>'Profit &amp; Loss'!A850</f>
        <v>0</v>
      </c>
      <c r="B850" s="35">
        <f>'Profit &amp; Loss'!B850</f>
        <v>0</v>
      </c>
      <c r="C850" s="36"/>
      <c r="D850" s="33"/>
      <c r="E850" s="102">
        <f t="shared" si="28"/>
        <v>0</v>
      </c>
      <c r="F850" s="103" t="str">
        <f t="shared" si="24"/>
        <v>0 tubes and 0 shuttles</v>
      </c>
      <c r="G850" s="36">
        <f t="shared" si="29"/>
        <v>0</v>
      </c>
      <c r="H850" s="104" t="str">
        <f t="shared" si="25"/>
        <v>0 tubes and 0 shuttles</v>
      </c>
      <c r="I850" s="36">
        <f t="shared" si="26"/>
        <v>0</v>
      </c>
      <c r="J850" s="103" t="str">
        <f t="shared" si="27"/>
        <v>0 tubes and 0 shuttles</v>
      </c>
    </row>
    <row r="851" spans="1:10" ht="12.5" x14ac:dyDescent="0.25">
      <c r="A851" s="32">
        <f>'Profit &amp; Loss'!A851</f>
        <v>0</v>
      </c>
      <c r="B851" s="35">
        <f>'Profit &amp; Loss'!B851</f>
        <v>0</v>
      </c>
      <c r="C851" s="36"/>
      <c r="D851" s="33"/>
      <c r="E851" s="102">
        <f t="shared" si="28"/>
        <v>0</v>
      </c>
      <c r="F851" s="103" t="str">
        <f t="shared" si="24"/>
        <v>0 tubes and 0 shuttles</v>
      </c>
      <c r="G851" s="36">
        <f t="shared" si="29"/>
        <v>0</v>
      </c>
      <c r="H851" s="104" t="str">
        <f t="shared" si="25"/>
        <v>0 tubes and 0 shuttles</v>
      </c>
      <c r="I851" s="36">
        <f t="shared" si="26"/>
        <v>0</v>
      </c>
      <c r="J851" s="103" t="str">
        <f t="shared" si="27"/>
        <v>0 tubes and 0 shuttles</v>
      </c>
    </row>
    <row r="852" spans="1:10" ht="12.5" x14ac:dyDescent="0.25">
      <c r="A852" s="32">
        <f>'Profit &amp; Loss'!A852</f>
        <v>0</v>
      </c>
      <c r="B852" s="35">
        <f>'Profit &amp; Loss'!B852</f>
        <v>0</v>
      </c>
      <c r="C852" s="36"/>
      <c r="D852" s="33"/>
      <c r="E852" s="102">
        <f t="shared" si="28"/>
        <v>0</v>
      </c>
      <c r="F852" s="103" t="str">
        <f t="shared" si="24"/>
        <v>0 tubes and 0 shuttles</v>
      </c>
      <c r="G852" s="36">
        <f t="shared" si="29"/>
        <v>0</v>
      </c>
      <c r="H852" s="104" t="str">
        <f t="shared" si="25"/>
        <v>0 tubes and 0 shuttles</v>
      </c>
      <c r="I852" s="36">
        <f t="shared" si="26"/>
        <v>0</v>
      </c>
      <c r="J852" s="103" t="str">
        <f t="shared" si="27"/>
        <v>0 tubes and 0 shuttles</v>
      </c>
    </row>
    <row r="853" spans="1:10" ht="12.5" x14ac:dyDescent="0.25">
      <c r="A853" s="32">
        <f>'Profit &amp; Loss'!A853</f>
        <v>0</v>
      </c>
      <c r="B853" s="35">
        <f>'Profit &amp; Loss'!B853</f>
        <v>0</v>
      </c>
      <c r="C853" s="36"/>
      <c r="D853" s="33"/>
      <c r="E853" s="102">
        <f t="shared" si="28"/>
        <v>0</v>
      </c>
      <c r="F853" s="103" t="str">
        <f t="shared" si="24"/>
        <v>0 tubes and 0 shuttles</v>
      </c>
      <c r="G853" s="36">
        <f t="shared" si="29"/>
        <v>0</v>
      </c>
      <c r="H853" s="104" t="str">
        <f t="shared" si="25"/>
        <v>0 tubes and 0 shuttles</v>
      </c>
      <c r="I853" s="36">
        <f t="shared" si="26"/>
        <v>0</v>
      </c>
      <c r="J853" s="103" t="str">
        <f t="shared" si="27"/>
        <v>0 tubes and 0 shuttles</v>
      </c>
    </row>
    <row r="854" spans="1:10" ht="12.5" x14ac:dyDescent="0.25">
      <c r="A854" s="32">
        <f>'Profit &amp; Loss'!A854</f>
        <v>0</v>
      </c>
      <c r="B854" s="35">
        <f>'Profit &amp; Loss'!B854</f>
        <v>0</v>
      </c>
      <c r="C854" s="36"/>
      <c r="D854" s="33"/>
      <c r="E854" s="102">
        <f t="shared" si="28"/>
        <v>0</v>
      </c>
      <c r="F854" s="103" t="str">
        <f t="shared" si="24"/>
        <v>0 tubes and 0 shuttles</v>
      </c>
      <c r="G854" s="36">
        <f t="shared" si="29"/>
        <v>0</v>
      </c>
      <c r="H854" s="104" t="str">
        <f t="shared" si="25"/>
        <v>0 tubes and 0 shuttles</v>
      </c>
      <c r="I854" s="36">
        <f t="shared" si="26"/>
        <v>0</v>
      </c>
      <c r="J854" s="103" t="str">
        <f t="shared" si="27"/>
        <v>0 tubes and 0 shuttles</v>
      </c>
    </row>
    <row r="855" spans="1:10" ht="12.5" x14ac:dyDescent="0.25">
      <c r="A855" s="32">
        <f>'Profit &amp; Loss'!A855</f>
        <v>0</v>
      </c>
      <c r="B855" s="35">
        <f>'Profit &amp; Loss'!B855</f>
        <v>0</v>
      </c>
      <c r="C855" s="36"/>
      <c r="D855" s="33"/>
      <c r="E855" s="102">
        <f t="shared" si="28"/>
        <v>0</v>
      </c>
      <c r="F855" s="103" t="str">
        <f t="shared" si="24"/>
        <v>0 tubes and 0 shuttles</v>
      </c>
      <c r="G855" s="36">
        <f t="shared" si="29"/>
        <v>0</v>
      </c>
      <c r="H855" s="104" t="str">
        <f t="shared" si="25"/>
        <v>0 tubes and 0 shuttles</v>
      </c>
      <c r="I855" s="36">
        <f t="shared" si="26"/>
        <v>0</v>
      </c>
      <c r="J855" s="103" t="str">
        <f t="shared" si="27"/>
        <v>0 tubes and 0 shuttles</v>
      </c>
    </row>
    <row r="856" spans="1:10" ht="12.5" x14ac:dyDescent="0.25">
      <c r="A856" s="32">
        <f>'Profit &amp; Loss'!A856</f>
        <v>0</v>
      </c>
      <c r="B856" s="35">
        <f>'Profit &amp; Loss'!B856</f>
        <v>0</v>
      </c>
      <c r="C856" s="36"/>
      <c r="D856" s="33"/>
      <c r="E856" s="102">
        <f t="shared" si="28"/>
        <v>0</v>
      </c>
      <c r="F856" s="103" t="str">
        <f t="shared" si="24"/>
        <v>0 tubes and 0 shuttles</v>
      </c>
      <c r="G856" s="36">
        <f t="shared" si="29"/>
        <v>0</v>
      </c>
      <c r="H856" s="104" t="str">
        <f t="shared" si="25"/>
        <v>0 tubes and 0 shuttles</v>
      </c>
      <c r="I856" s="36">
        <f t="shared" si="26"/>
        <v>0</v>
      </c>
      <c r="J856" s="103" t="str">
        <f t="shared" si="27"/>
        <v>0 tubes and 0 shuttles</v>
      </c>
    </row>
    <row r="857" spans="1:10" ht="12.5" x14ac:dyDescent="0.25">
      <c r="A857" s="32">
        <f>'Profit &amp; Loss'!A857</f>
        <v>0</v>
      </c>
      <c r="B857" s="35">
        <f>'Profit &amp; Loss'!B857</f>
        <v>0</v>
      </c>
      <c r="C857" s="36"/>
      <c r="D857" s="33"/>
      <c r="E857" s="102">
        <f t="shared" si="28"/>
        <v>0</v>
      </c>
      <c r="F857" s="103" t="str">
        <f t="shared" si="24"/>
        <v>0 tubes and 0 shuttles</v>
      </c>
      <c r="G857" s="36">
        <f t="shared" si="29"/>
        <v>0</v>
      </c>
      <c r="H857" s="104" t="str">
        <f t="shared" si="25"/>
        <v>0 tubes and 0 shuttles</v>
      </c>
      <c r="I857" s="36">
        <f t="shared" si="26"/>
        <v>0</v>
      </c>
      <c r="J857" s="103" t="str">
        <f t="shared" si="27"/>
        <v>0 tubes and 0 shuttles</v>
      </c>
    </row>
    <row r="858" spans="1:10" ht="12.5" x14ac:dyDescent="0.25">
      <c r="A858" s="32">
        <f>'Profit &amp; Loss'!A858</f>
        <v>0</v>
      </c>
      <c r="B858" s="35">
        <f>'Profit &amp; Loss'!B858</f>
        <v>0</v>
      </c>
      <c r="C858" s="36"/>
      <c r="D858" s="33"/>
      <c r="E858" s="102">
        <f t="shared" si="28"/>
        <v>0</v>
      </c>
      <c r="F858" s="103" t="str">
        <f t="shared" si="24"/>
        <v>0 tubes and 0 shuttles</v>
      </c>
      <c r="G858" s="36">
        <f t="shared" si="29"/>
        <v>0</v>
      </c>
      <c r="H858" s="104" t="str">
        <f t="shared" si="25"/>
        <v>0 tubes and 0 shuttles</v>
      </c>
      <c r="I858" s="36">
        <f t="shared" si="26"/>
        <v>0</v>
      </c>
      <c r="J858" s="103" t="str">
        <f t="shared" si="27"/>
        <v>0 tubes and 0 shuttles</v>
      </c>
    </row>
    <row r="859" spans="1:10" ht="12.5" x14ac:dyDescent="0.25">
      <c r="A859" s="32">
        <f>'Profit &amp; Loss'!A859</f>
        <v>0</v>
      </c>
      <c r="B859" s="35">
        <f>'Profit &amp; Loss'!B859</f>
        <v>0</v>
      </c>
      <c r="C859" s="36"/>
      <c r="D859" s="33"/>
      <c r="E859" s="102">
        <f t="shared" si="28"/>
        <v>0</v>
      </c>
      <c r="F859" s="103" t="str">
        <f t="shared" si="24"/>
        <v>0 tubes and 0 shuttles</v>
      </c>
      <c r="G859" s="36">
        <f t="shared" si="29"/>
        <v>0</v>
      </c>
      <c r="H859" s="104" t="str">
        <f t="shared" si="25"/>
        <v>0 tubes and 0 shuttles</v>
      </c>
      <c r="I859" s="36">
        <f t="shared" si="26"/>
        <v>0</v>
      </c>
      <c r="J859" s="103" t="str">
        <f t="shared" si="27"/>
        <v>0 tubes and 0 shuttles</v>
      </c>
    </row>
    <row r="860" spans="1:10" ht="12.5" x14ac:dyDescent="0.25">
      <c r="A860" s="32">
        <f>'Profit &amp; Loss'!A860</f>
        <v>0</v>
      </c>
      <c r="B860" s="35">
        <f>'Profit &amp; Loss'!B860</f>
        <v>0</v>
      </c>
      <c r="C860" s="36"/>
      <c r="D860" s="33"/>
      <c r="E860" s="102">
        <f t="shared" si="28"/>
        <v>0</v>
      </c>
      <c r="F860" s="103" t="str">
        <f t="shared" si="24"/>
        <v>0 tubes and 0 shuttles</v>
      </c>
      <c r="G860" s="36">
        <f t="shared" si="29"/>
        <v>0</v>
      </c>
      <c r="H860" s="104" t="str">
        <f t="shared" si="25"/>
        <v>0 tubes and 0 shuttles</v>
      </c>
      <c r="I860" s="36">
        <f t="shared" si="26"/>
        <v>0</v>
      </c>
      <c r="J860" s="103" t="str">
        <f t="shared" si="27"/>
        <v>0 tubes and 0 shuttles</v>
      </c>
    </row>
    <row r="861" spans="1:10" ht="12.5" x14ac:dyDescent="0.25">
      <c r="A861" s="32">
        <f>'Profit &amp; Loss'!A861</f>
        <v>0</v>
      </c>
      <c r="B861" s="35">
        <f>'Profit &amp; Loss'!B861</f>
        <v>0</v>
      </c>
      <c r="C861" s="36"/>
      <c r="D861" s="33"/>
      <c r="E861" s="102">
        <f t="shared" si="28"/>
        <v>0</v>
      </c>
      <c r="F861" s="103" t="str">
        <f t="shared" si="24"/>
        <v>0 tubes and 0 shuttles</v>
      </c>
      <c r="G861" s="36">
        <f t="shared" si="29"/>
        <v>0</v>
      </c>
      <c r="H861" s="104" t="str">
        <f t="shared" si="25"/>
        <v>0 tubes and 0 shuttles</v>
      </c>
      <c r="I861" s="36">
        <f t="shared" si="26"/>
        <v>0</v>
      </c>
      <c r="J861" s="103" t="str">
        <f t="shared" si="27"/>
        <v>0 tubes and 0 shuttles</v>
      </c>
    </row>
    <row r="862" spans="1:10" ht="12.5" x14ac:dyDescent="0.25">
      <c r="A862" s="32">
        <f>'Profit &amp; Loss'!A862</f>
        <v>0</v>
      </c>
      <c r="B862" s="35">
        <f>'Profit &amp; Loss'!B862</f>
        <v>0</v>
      </c>
      <c r="C862" s="36"/>
      <c r="D862" s="33"/>
      <c r="E862" s="102">
        <f t="shared" si="28"/>
        <v>0</v>
      </c>
      <c r="F862" s="103" t="str">
        <f t="shared" si="24"/>
        <v>0 tubes and 0 shuttles</v>
      </c>
      <c r="G862" s="36">
        <f t="shared" si="29"/>
        <v>0</v>
      </c>
      <c r="H862" s="104" t="str">
        <f t="shared" si="25"/>
        <v>0 tubes and 0 shuttles</v>
      </c>
      <c r="I862" s="36">
        <f t="shared" si="26"/>
        <v>0</v>
      </c>
      <c r="J862" s="103" t="str">
        <f t="shared" si="27"/>
        <v>0 tubes and 0 shuttles</v>
      </c>
    </row>
    <row r="863" spans="1:10" ht="12.5" x14ac:dyDescent="0.25">
      <c r="A863" s="32">
        <f>'Profit &amp; Loss'!A863</f>
        <v>0</v>
      </c>
      <c r="B863" s="35">
        <f>'Profit &amp; Loss'!B863</f>
        <v>0</v>
      </c>
      <c r="C863" s="36"/>
      <c r="D863" s="33"/>
      <c r="E863" s="102">
        <f t="shared" si="28"/>
        <v>0</v>
      </c>
      <c r="F863" s="103" t="str">
        <f t="shared" si="24"/>
        <v>0 tubes and 0 shuttles</v>
      </c>
      <c r="G863" s="36">
        <f t="shared" si="29"/>
        <v>0</v>
      </c>
      <c r="H863" s="104" t="str">
        <f t="shared" si="25"/>
        <v>0 tubes and 0 shuttles</v>
      </c>
      <c r="I863" s="36">
        <f t="shared" si="26"/>
        <v>0</v>
      </c>
      <c r="J863" s="103" t="str">
        <f t="shared" si="27"/>
        <v>0 tubes and 0 shuttles</v>
      </c>
    </row>
    <row r="864" spans="1:10" ht="12.5" x14ac:dyDescent="0.25">
      <c r="A864" s="32">
        <f>'Profit &amp; Loss'!A864</f>
        <v>0</v>
      </c>
      <c r="B864" s="35">
        <f>'Profit &amp; Loss'!B864</f>
        <v>0</v>
      </c>
      <c r="C864" s="36"/>
      <c r="D864" s="33"/>
      <c r="E864" s="102">
        <f t="shared" si="28"/>
        <v>0</v>
      </c>
      <c r="F864" s="103" t="str">
        <f t="shared" si="24"/>
        <v>0 tubes and 0 shuttles</v>
      </c>
      <c r="G864" s="36">
        <f t="shared" si="29"/>
        <v>0</v>
      </c>
      <c r="H864" s="104" t="str">
        <f t="shared" si="25"/>
        <v>0 tubes and 0 shuttles</v>
      </c>
      <c r="I864" s="36">
        <f t="shared" si="26"/>
        <v>0</v>
      </c>
      <c r="J864" s="103" t="str">
        <f t="shared" si="27"/>
        <v>0 tubes and 0 shuttles</v>
      </c>
    </row>
    <row r="865" spans="1:10" ht="12.5" x14ac:dyDescent="0.25">
      <c r="A865" s="32">
        <f>'Profit &amp; Loss'!A865</f>
        <v>0</v>
      </c>
      <c r="B865" s="35">
        <f>'Profit &amp; Loss'!B865</f>
        <v>0</v>
      </c>
      <c r="C865" s="36"/>
      <c r="D865" s="33"/>
      <c r="E865" s="102">
        <f t="shared" si="28"/>
        <v>0</v>
      </c>
      <c r="F865" s="103" t="str">
        <f t="shared" si="24"/>
        <v>0 tubes and 0 shuttles</v>
      </c>
      <c r="G865" s="36">
        <f t="shared" si="29"/>
        <v>0</v>
      </c>
      <c r="H865" s="104" t="str">
        <f t="shared" si="25"/>
        <v>0 tubes and 0 shuttles</v>
      </c>
      <c r="I865" s="36">
        <f t="shared" si="26"/>
        <v>0</v>
      </c>
      <c r="J865" s="103" t="str">
        <f t="shared" si="27"/>
        <v>0 tubes and 0 shuttles</v>
      </c>
    </row>
    <row r="866" spans="1:10" ht="12.5" x14ac:dyDescent="0.25">
      <c r="A866" s="32">
        <f>'Profit &amp; Loss'!A866</f>
        <v>0</v>
      </c>
      <c r="B866" s="35">
        <f>'Profit &amp; Loss'!B866</f>
        <v>0</v>
      </c>
      <c r="C866" s="36"/>
      <c r="D866" s="33"/>
      <c r="E866" s="102">
        <f t="shared" si="28"/>
        <v>0</v>
      </c>
      <c r="F866" s="103" t="str">
        <f t="shared" si="24"/>
        <v>0 tubes and 0 shuttles</v>
      </c>
      <c r="G866" s="36">
        <f t="shared" si="29"/>
        <v>0</v>
      </c>
      <c r="H866" s="104" t="str">
        <f t="shared" si="25"/>
        <v>0 tubes and 0 shuttles</v>
      </c>
      <c r="I866" s="36">
        <f t="shared" si="26"/>
        <v>0</v>
      </c>
      <c r="J866" s="103" t="str">
        <f t="shared" si="27"/>
        <v>0 tubes and 0 shuttles</v>
      </c>
    </row>
    <row r="867" spans="1:10" ht="12.5" x14ac:dyDescent="0.25">
      <c r="A867" s="32">
        <f>'Profit &amp; Loss'!A867</f>
        <v>0</v>
      </c>
      <c r="B867" s="35">
        <f>'Profit &amp; Loss'!B867</f>
        <v>0</v>
      </c>
      <c r="C867" s="36"/>
      <c r="D867" s="33"/>
      <c r="E867" s="102">
        <f t="shared" si="28"/>
        <v>0</v>
      </c>
      <c r="F867" s="103" t="str">
        <f t="shared" si="24"/>
        <v>0 tubes and 0 shuttles</v>
      </c>
      <c r="G867" s="36">
        <f t="shared" si="29"/>
        <v>0</v>
      </c>
      <c r="H867" s="104" t="str">
        <f t="shared" si="25"/>
        <v>0 tubes and 0 shuttles</v>
      </c>
      <c r="I867" s="36">
        <f t="shared" si="26"/>
        <v>0</v>
      </c>
      <c r="J867" s="103" t="str">
        <f t="shared" si="27"/>
        <v>0 tubes and 0 shuttles</v>
      </c>
    </row>
    <row r="868" spans="1:10" ht="12.5" x14ac:dyDescent="0.25">
      <c r="A868" s="32">
        <f>'Profit &amp; Loss'!A868</f>
        <v>0</v>
      </c>
      <c r="B868" s="35">
        <f>'Profit &amp; Loss'!B868</f>
        <v>0</v>
      </c>
      <c r="C868" s="36"/>
      <c r="D868" s="33"/>
      <c r="E868" s="102">
        <f t="shared" si="28"/>
        <v>0</v>
      </c>
      <c r="F868" s="103" t="str">
        <f t="shared" si="24"/>
        <v>0 tubes and 0 shuttles</v>
      </c>
      <c r="G868" s="36">
        <f t="shared" si="29"/>
        <v>0</v>
      </c>
      <c r="H868" s="104" t="str">
        <f t="shared" si="25"/>
        <v>0 tubes and 0 shuttles</v>
      </c>
      <c r="I868" s="36">
        <f t="shared" si="26"/>
        <v>0</v>
      </c>
      <c r="J868" s="103" t="str">
        <f t="shared" si="27"/>
        <v>0 tubes and 0 shuttles</v>
      </c>
    </row>
    <row r="869" spans="1:10" ht="12.5" x14ac:dyDescent="0.25">
      <c r="A869" s="32">
        <f>'Profit &amp; Loss'!A869</f>
        <v>0</v>
      </c>
      <c r="B869" s="35">
        <f>'Profit &amp; Loss'!B869</f>
        <v>0</v>
      </c>
      <c r="C869" s="36"/>
      <c r="D869" s="33"/>
      <c r="E869" s="102">
        <f t="shared" si="28"/>
        <v>0</v>
      </c>
      <c r="F869" s="103" t="str">
        <f t="shared" si="24"/>
        <v>0 tubes and 0 shuttles</v>
      </c>
      <c r="G869" s="36">
        <f t="shared" si="29"/>
        <v>0</v>
      </c>
      <c r="H869" s="104" t="str">
        <f t="shared" si="25"/>
        <v>0 tubes and 0 shuttles</v>
      </c>
      <c r="I869" s="36">
        <f t="shared" si="26"/>
        <v>0</v>
      </c>
      <c r="J869" s="103" t="str">
        <f t="shared" si="27"/>
        <v>0 tubes and 0 shuttles</v>
      </c>
    </row>
    <row r="870" spans="1:10" ht="12.5" x14ac:dyDescent="0.25">
      <c r="A870" s="32">
        <f>'Profit &amp; Loss'!A870</f>
        <v>0</v>
      </c>
      <c r="B870" s="35">
        <f>'Profit &amp; Loss'!B870</f>
        <v>0</v>
      </c>
      <c r="C870" s="36"/>
      <c r="D870" s="33"/>
      <c r="E870" s="102">
        <f t="shared" si="28"/>
        <v>0</v>
      </c>
      <c r="F870" s="103" t="str">
        <f t="shared" si="24"/>
        <v>0 tubes and 0 shuttles</v>
      </c>
      <c r="G870" s="36">
        <f t="shared" si="29"/>
        <v>0</v>
      </c>
      <c r="H870" s="104" t="str">
        <f t="shared" si="25"/>
        <v>0 tubes and 0 shuttles</v>
      </c>
      <c r="I870" s="36">
        <f t="shared" si="26"/>
        <v>0</v>
      </c>
      <c r="J870" s="103" t="str">
        <f t="shared" si="27"/>
        <v>0 tubes and 0 shuttles</v>
      </c>
    </row>
    <row r="871" spans="1:10" ht="12.5" x14ac:dyDescent="0.25">
      <c r="A871" s="32">
        <f>'Profit &amp; Loss'!A871</f>
        <v>0</v>
      </c>
      <c r="B871" s="35">
        <f>'Profit &amp; Loss'!B871</f>
        <v>0</v>
      </c>
      <c r="C871" s="36"/>
      <c r="D871" s="33"/>
      <c r="E871" s="102">
        <f t="shared" si="28"/>
        <v>0</v>
      </c>
      <c r="F871" s="103" t="str">
        <f t="shared" si="24"/>
        <v>0 tubes and 0 shuttles</v>
      </c>
      <c r="G871" s="36">
        <f t="shared" si="29"/>
        <v>0</v>
      </c>
      <c r="H871" s="104" t="str">
        <f t="shared" si="25"/>
        <v>0 tubes and 0 shuttles</v>
      </c>
      <c r="I871" s="36">
        <f t="shared" si="26"/>
        <v>0</v>
      </c>
      <c r="J871" s="103" t="str">
        <f t="shared" si="27"/>
        <v>0 tubes and 0 shuttles</v>
      </c>
    </row>
    <row r="872" spans="1:10" ht="12.5" x14ac:dyDescent="0.25">
      <c r="A872" s="32">
        <f>'Profit &amp; Loss'!A872</f>
        <v>0</v>
      </c>
      <c r="B872" s="35">
        <f>'Profit &amp; Loss'!B872</f>
        <v>0</v>
      </c>
      <c r="C872" s="36"/>
      <c r="D872" s="33"/>
      <c r="E872" s="102">
        <f t="shared" si="28"/>
        <v>0</v>
      </c>
      <c r="F872" s="103" t="str">
        <f t="shared" si="24"/>
        <v>0 tubes and 0 shuttles</v>
      </c>
      <c r="G872" s="36">
        <f t="shared" si="29"/>
        <v>0</v>
      </c>
      <c r="H872" s="104" t="str">
        <f t="shared" si="25"/>
        <v>0 tubes and 0 shuttles</v>
      </c>
      <c r="I872" s="36">
        <f t="shared" si="26"/>
        <v>0</v>
      </c>
      <c r="J872" s="103" t="str">
        <f t="shared" si="27"/>
        <v>0 tubes and 0 shuttles</v>
      </c>
    </row>
    <row r="873" spans="1:10" ht="12.5" x14ac:dyDescent="0.25">
      <c r="A873" s="32">
        <f>'Profit &amp; Loss'!A873</f>
        <v>0</v>
      </c>
      <c r="B873" s="35">
        <f>'Profit &amp; Loss'!B873</f>
        <v>0</v>
      </c>
      <c r="C873" s="36"/>
      <c r="D873" s="33"/>
      <c r="E873" s="102">
        <f t="shared" si="28"/>
        <v>0</v>
      </c>
      <c r="F873" s="103" t="str">
        <f t="shared" si="24"/>
        <v>0 tubes and 0 shuttles</v>
      </c>
      <c r="G873" s="36">
        <f t="shared" si="29"/>
        <v>0</v>
      </c>
      <c r="H873" s="104" t="str">
        <f t="shared" si="25"/>
        <v>0 tubes and 0 shuttles</v>
      </c>
      <c r="I873" s="36">
        <f t="shared" si="26"/>
        <v>0</v>
      </c>
      <c r="J873" s="103" t="str">
        <f t="shared" si="27"/>
        <v>0 tubes and 0 shuttles</v>
      </c>
    </row>
    <row r="874" spans="1:10" ht="12.5" x14ac:dyDescent="0.25">
      <c r="A874" s="32">
        <f>'Profit &amp; Loss'!A874</f>
        <v>0</v>
      </c>
      <c r="B874" s="35">
        <f>'Profit &amp; Loss'!B874</f>
        <v>0</v>
      </c>
      <c r="C874" s="36"/>
      <c r="D874" s="33"/>
      <c r="E874" s="102">
        <f t="shared" si="28"/>
        <v>0</v>
      </c>
      <c r="F874" s="103" t="str">
        <f t="shared" si="24"/>
        <v>0 tubes and 0 shuttles</v>
      </c>
      <c r="G874" s="36">
        <f t="shared" si="29"/>
        <v>0</v>
      </c>
      <c r="H874" s="104" t="str">
        <f t="shared" si="25"/>
        <v>0 tubes and 0 shuttles</v>
      </c>
      <c r="I874" s="36">
        <f t="shared" si="26"/>
        <v>0</v>
      </c>
      <c r="J874" s="103" t="str">
        <f t="shared" si="27"/>
        <v>0 tubes and 0 shuttles</v>
      </c>
    </row>
    <row r="875" spans="1:10" ht="12.5" x14ac:dyDescent="0.25">
      <c r="A875" s="32">
        <f>'Profit &amp; Loss'!A875</f>
        <v>0</v>
      </c>
      <c r="B875" s="35">
        <f>'Profit &amp; Loss'!B875</f>
        <v>0</v>
      </c>
      <c r="C875" s="36"/>
      <c r="D875" s="33"/>
      <c r="E875" s="102">
        <f t="shared" si="28"/>
        <v>0</v>
      </c>
      <c r="F875" s="103" t="str">
        <f t="shared" si="24"/>
        <v>0 tubes and 0 shuttles</v>
      </c>
      <c r="G875" s="36">
        <f t="shared" si="29"/>
        <v>0</v>
      </c>
      <c r="H875" s="104" t="str">
        <f t="shared" si="25"/>
        <v>0 tubes and 0 shuttles</v>
      </c>
      <c r="I875" s="36">
        <f t="shared" si="26"/>
        <v>0</v>
      </c>
      <c r="J875" s="103" t="str">
        <f t="shared" si="27"/>
        <v>0 tubes and 0 shuttles</v>
      </c>
    </row>
    <row r="876" spans="1:10" ht="12.5" x14ac:dyDescent="0.25">
      <c r="A876" s="32">
        <f>'Profit &amp; Loss'!A876</f>
        <v>0</v>
      </c>
      <c r="B876" s="35">
        <f>'Profit &amp; Loss'!B876</f>
        <v>0</v>
      </c>
      <c r="C876" s="36"/>
      <c r="D876" s="33"/>
      <c r="E876" s="102">
        <f t="shared" si="28"/>
        <v>0</v>
      </c>
      <c r="F876" s="103" t="str">
        <f t="shared" si="24"/>
        <v>0 tubes and 0 shuttles</v>
      </c>
      <c r="G876" s="36">
        <f t="shared" si="29"/>
        <v>0</v>
      </c>
      <c r="H876" s="104" t="str">
        <f t="shared" si="25"/>
        <v>0 tubes and 0 shuttles</v>
      </c>
      <c r="I876" s="36">
        <f t="shared" si="26"/>
        <v>0</v>
      </c>
      <c r="J876" s="103" t="str">
        <f t="shared" si="27"/>
        <v>0 tubes and 0 shuttles</v>
      </c>
    </row>
    <row r="877" spans="1:10" ht="12.5" x14ac:dyDescent="0.25">
      <c r="A877" s="32">
        <f>'Profit &amp; Loss'!A877</f>
        <v>0</v>
      </c>
      <c r="B877" s="35">
        <f>'Profit &amp; Loss'!B877</f>
        <v>0</v>
      </c>
      <c r="C877" s="36"/>
      <c r="D877" s="33"/>
      <c r="E877" s="102">
        <f t="shared" si="28"/>
        <v>0</v>
      </c>
      <c r="F877" s="103" t="str">
        <f t="shared" si="24"/>
        <v>0 tubes and 0 shuttles</v>
      </c>
      <c r="G877" s="36">
        <f t="shared" si="29"/>
        <v>0</v>
      </c>
      <c r="H877" s="104" t="str">
        <f t="shared" si="25"/>
        <v>0 tubes and 0 shuttles</v>
      </c>
      <c r="I877" s="36">
        <f t="shared" si="26"/>
        <v>0</v>
      </c>
      <c r="J877" s="103" t="str">
        <f t="shared" si="27"/>
        <v>0 tubes and 0 shuttles</v>
      </c>
    </row>
    <row r="878" spans="1:10" ht="12.5" x14ac:dyDescent="0.25">
      <c r="A878" s="32">
        <f>'Profit &amp; Loss'!A878</f>
        <v>0</v>
      </c>
      <c r="B878" s="35">
        <f>'Profit &amp; Loss'!B878</f>
        <v>0</v>
      </c>
      <c r="C878" s="36"/>
      <c r="D878" s="33"/>
      <c r="E878" s="102">
        <f t="shared" si="28"/>
        <v>0</v>
      </c>
      <c r="F878" s="103" t="str">
        <f t="shared" si="24"/>
        <v>0 tubes and 0 shuttles</v>
      </c>
      <c r="G878" s="36">
        <f t="shared" si="29"/>
        <v>0</v>
      </c>
      <c r="H878" s="104" t="str">
        <f t="shared" si="25"/>
        <v>0 tubes and 0 shuttles</v>
      </c>
      <c r="I878" s="36">
        <f t="shared" si="26"/>
        <v>0</v>
      </c>
      <c r="J878" s="103" t="str">
        <f t="shared" si="27"/>
        <v>0 tubes and 0 shuttles</v>
      </c>
    </row>
    <row r="879" spans="1:10" ht="12.5" x14ac:dyDescent="0.25">
      <c r="A879" s="32">
        <f>'Profit &amp; Loss'!A879</f>
        <v>0</v>
      </c>
      <c r="B879" s="35">
        <f>'Profit &amp; Loss'!B879</f>
        <v>0</v>
      </c>
      <c r="C879" s="36"/>
      <c r="D879" s="33"/>
      <c r="E879" s="102">
        <f t="shared" si="28"/>
        <v>0</v>
      </c>
      <c r="F879" s="103" t="str">
        <f t="shared" si="24"/>
        <v>0 tubes and 0 shuttles</v>
      </c>
      <c r="G879" s="36">
        <f t="shared" si="29"/>
        <v>0</v>
      </c>
      <c r="H879" s="104" t="str">
        <f t="shared" si="25"/>
        <v>0 tubes and 0 shuttles</v>
      </c>
      <c r="I879" s="36">
        <f t="shared" si="26"/>
        <v>0</v>
      </c>
      <c r="J879" s="103" t="str">
        <f t="shared" si="27"/>
        <v>0 tubes and 0 shuttles</v>
      </c>
    </row>
    <row r="880" spans="1:10" ht="12.5" x14ac:dyDescent="0.25">
      <c r="A880" s="32">
        <f>'Profit &amp; Loss'!A880</f>
        <v>0</v>
      </c>
      <c r="B880" s="35">
        <f>'Profit &amp; Loss'!B880</f>
        <v>0</v>
      </c>
      <c r="C880" s="36"/>
      <c r="D880" s="33"/>
      <c r="E880" s="102">
        <f t="shared" si="28"/>
        <v>0</v>
      </c>
      <c r="F880" s="103" t="str">
        <f t="shared" si="24"/>
        <v>0 tubes and 0 shuttles</v>
      </c>
      <c r="G880" s="36">
        <f t="shared" si="29"/>
        <v>0</v>
      </c>
      <c r="H880" s="104" t="str">
        <f t="shared" si="25"/>
        <v>0 tubes and 0 shuttles</v>
      </c>
      <c r="I880" s="36">
        <f t="shared" si="26"/>
        <v>0</v>
      </c>
      <c r="J880" s="103" t="str">
        <f t="shared" si="27"/>
        <v>0 tubes and 0 shuttles</v>
      </c>
    </row>
    <row r="881" spans="1:10" ht="12.5" x14ac:dyDescent="0.25">
      <c r="A881" s="32">
        <f>'Profit &amp; Loss'!A881</f>
        <v>0</v>
      </c>
      <c r="B881" s="35">
        <f>'Profit &amp; Loss'!B881</f>
        <v>0</v>
      </c>
      <c r="C881" s="36"/>
      <c r="D881" s="33"/>
      <c r="E881" s="102">
        <f t="shared" si="28"/>
        <v>0</v>
      </c>
      <c r="F881" s="103" t="str">
        <f t="shared" si="24"/>
        <v>0 tubes and 0 shuttles</v>
      </c>
      <c r="G881" s="36">
        <f t="shared" si="29"/>
        <v>0</v>
      </c>
      <c r="H881" s="104" t="str">
        <f t="shared" si="25"/>
        <v>0 tubes and 0 shuttles</v>
      </c>
      <c r="I881" s="36">
        <f t="shared" si="26"/>
        <v>0</v>
      </c>
      <c r="J881" s="103" t="str">
        <f t="shared" si="27"/>
        <v>0 tubes and 0 shuttles</v>
      </c>
    </row>
    <row r="882" spans="1:10" ht="12.5" x14ac:dyDescent="0.25">
      <c r="A882" s="32">
        <f>'Profit &amp; Loss'!A882</f>
        <v>0</v>
      </c>
      <c r="B882" s="35">
        <f>'Profit &amp; Loss'!B882</f>
        <v>0</v>
      </c>
      <c r="C882" s="36"/>
      <c r="D882" s="33"/>
      <c r="E882" s="102">
        <f t="shared" si="28"/>
        <v>0</v>
      </c>
      <c r="F882" s="103" t="str">
        <f t="shared" si="24"/>
        <v>0 tubes and 0 shuttles</v>
      </c>
      <c r="G882" s="36">
        <f t="shared" si="29"/>
        <v>0</v>
      </c>
      <c r="H882" s="104" t="str">
        <f t="shared" si="25"/>
        <v>0 tubes and 0 shuttles</v>
      </c>
      <c r="I882" s="36">
        <f t="shared" si="26"/>
        <v>0</v>
      </c>
      <c r="J882" s="103" t="str">
        <f t="shared" si="27"/>
        <v>0 tubes and 0 shuttles</v>
      </c>
    </row>
    <row r="883" spans="1:10" ht="12.5" x14ac:dyDescent="0.25">
      <c r="A883" s="32">
        <f>'Profit &amp; Loss'!A883</f>
        <v>0</v>
      </c>
      <c r="B883" s="35">
        <f>'Profit &amp; Loss'!B883</f>
        <v>0</v>
      </c>
      <c r="C883" s="36"/>
      <c r="D883" s="33"/>
      <c r="E883" s="102">
        <f t="shared" si="28"/>
        <v>0</v>
      </c>
      <c r="F883" s="103" t="str">
        <f t="shared" si="24"/>
        <v>0 tubes and 0 shuttles</v>
      </c>
      <c r="G883" s="36">
        <f t="shared" si="29"/>
        <v>0</v>
      </c>
      <c r="H883" s="104" t="str">
        <f t="shared" si="25"/>
        <v>0 tubes and 0 shuttles</v>
      </c>
      <c r="I883" s="36">
        <f t="shared" si="26"/>
        <v>0</v>
      </c>
      <c r="J883" s="103" t="str">
        <f t="shared" si="27"/>
        <v>0 tubes and 0 shuttles</v>
      </c>
    </row>
    <row r="884" spans="1:10" ht="12.5" x14ac:dyDescent="0.25">
      <c r="A884" s="32">
        <f>'Profit &amp; Loss'!A884</f>
        <v>0</v>
      </c>
      <c r="B884" s="35">
        <f>'Profit &amp; Loss'!B884</f>
        <v>0</v>
      </c>
      <c r="C884" s="36"/>
      <c r="D884" s="33"/>
      <c r="E884" s="102">
        <f t="shared" si="28"/>
        <v>0</v>
      </c>
      <c r="F884" s="103" t="str">
        <f t="shared" si="24"/>
        <v>0 tubes and 0 shuttles</v>
      </c>
      <c r="G884" s="36">
        <f t="shared" si="29"/>
        <v>0</v>
      </c>
      <c r="H884" s="104" t="str">
        <f t="shared" si="25"/>
        <v>0 tubes and 0 shuttles</v>
      </c>
      <c r="I884" s="36">
        <f t="shared" si="26"/>
        <v>0</v>
      </c>
      <c r="J884" s="103" t="str">
        <f t="shared" si="27"/>
        <v>0 tubes and 0 shuttles</v>
      </c>
    </row>
    <row r="885" spans="1:10" ht="12.5" x14ac:dyDescent="0.25">
      <c r="A885" s="32">
        <f>'Profit &amp; Loss'!A885</f>
        <v>0</v>
      </c>
      <c r="B885" s="35">
        <f>'Profit &amp; Loss'!B885</f>
        <v>0</v>
      </c>
      <c r="C885" s="36"/>
      <c r="D885" s="33"/>
      <c r="E885" s="102">
        <f t="shared" si="28"/>
        <v>0</v>
      </c>
      <c r="F885" s="103" t="str">
        <f t="shared" si="24"/>
        <v>0 tubes and 0 shuttles</v>
      </c>
      <c r="G885" s="36">
        <f t="shared" si="29"/>
        <v>0</v>
      </c>
      <c r="H885" s="104" t="str">
        <f t="shared" si="25"/>
        <v>0 tubes and 0 shuttles</v>
      </c>
      <c r="I885" s="36">
        <f t="shared" si="26"/>
        <v>0</v>
      </c>
      <c r="J885" s="103" t="str">
        <f t="shared" si="27"/>
        <v>0 tubes and 0 shuttles</v>
      </c>
    </row>
    <row r="886" spans="1:10" ht="12.5" x14ac:dyDescent="0.25">
      <c r="A886" s="32">
        <f>'Profit &amp; Loss'!A886</f>
        <v>0</v>
      </c>
      <c r="B886" s="35">
        <f>'Profit &amp; Loss'!B886</f>
        <v>0</v>
      </c>
      <c r="C886" s="36"/>
      <c r="D886" s="33"/>
      <c r="E886" s="102">
        <f t="shared" si="28"/>
        <v>0</v>
      </c>
      <c r="F886" s="103" t="str">
        <f t="shared" si="24"/>
        <v>0 tubes and 0 shuttles</v>
      </c>
      <c r="G886" s="36">
        <f t="shared" si="29"/>
        <v>0</v>
      </c>
      <c r="H886" s="104" t="str">
        <f t="shared" si="25"/>
        <v>0 tubes and 0 shuttles</v>
      </c>
      <c r="I886" s="36">
        <f t="shared" si="26"/>
        <v>0</v>
      </c>
      <c r="J886" s="103" t="str">
        <f t="shared" si="27"/>
        <v>0 tubes and 0 shuttles</v>
      </c>
    </row>
    <row r="887" spans="1:10" ht="12.5" x14ac:dyDescent="0.25">
      <c r="A887" s="32">
        <f>'Profit &amp; Loss'!A887</f>
        <v>0</v>
      </c>
      <c r="B887" s="35">
        <f>'Profit &amp; Loss'!B887</f>
        <v>0</v>
      </c>
      <c r="C887" s="36"/>
      <c r="D887" s="33"/>
      <c r="E887" s="102">
        <f t="shared" si="28"/>
        <v>0</v>
      </c>
      <c r="F887" s="103" t="str">
        <f t="shared" si="24"/>
        <v>0 tubes and 0 shuttles</v>
      </c>
      <c r="G887" s="36">
        <f t="shared" si="29"/>
        <v>0</v>
      </c>
      <c r="H887" s="104" t="str">
        <f t="shared" si="25"/>
        <v>0 tubes and 0 shuttles</v>
      </c>
      <c r="I887" s="36">
        <f t="shared" si="26"/>
        <v>0</v>
      </c>
      <c r="J887" s="103" t="str">
        <f t="shared" si="27"/>
        <v>0 tubes and 0 shuttles</v>
      </c>
    </row>
    <row r="888" spans="1:10" ht="12.5" x14ac:dyDescent="0.25">
      <c r="A888" s="32">
        <f>'Profit &amp; Loss'!A888</f>
        <v>0</v>
      </c>
      <c r="B888" s="35">
        <f>'Profit &amp; Loss'!B888</f>
        <v>0</v>
      </c>
      <c r="C888" s="36"/>
      <c r="D888" s="33"/>
      <c r="E888" s="102">
        <f t="shared" si="28"/>
        <v>0</v>
      </c>
      <c r="F888" s="103" t="str">
        <f t="shared" si="24"/>
        <v>0 tubes and 0 shuttles</v>
      </c>
      <c r="G888" s="36">
        <f t="shared" si="29"/>
        <v>0</v>
      </c>
      <c r="H888" s="104" t="str">
        <f t="shared" si="25"/>
        <v>0 tubes and 0 shuttles</v>
      </c>
      <c r="I888" s="36">
        <f t="shared" si="26"/>
        <v>0</v>
      </c>
      <c r="J888" s="103" t="str">
        <f t="shared" si="27"/>
        <v>0 tubes and 0 shuttles</v>
      </c>
    </row>
    <row r="889" spans="1:10" ht="12.5" x14ac:dyDescent="0.25">
      <c r="A889" s="32">
        <f>'Profit &amp; Loss'!A889</f>
        <v>0</v>
      </c>
      <c r="B889" s="35">
        <f>'Profit &amp; Loss'!B889</f>
        <v>0</v>
      </c>
      <c r="C889" s="36"/>
      <c r="D889" s="33"/>
      <c r="E889" s="102">
        <f t="shared" si="28"/>
        <v>0</v>
      </c>
      <c r="F889" s="103" t="str">
        <f t="shared" si="24"/>
        <v>0 tubes and 0 shuttles</v>
      </c>
      <c r="G889" s="36">
        <f t="shared" si="29"/>
        <v>0</v>
      </c>
      <c r="H889" s="104" t="str">
        <f t="shared" si="25"/>
        <v>0 tubes and 0 shuttles</v>
      </c>
      <c r="I889" s="36">
        <f t="shared" si="26"/>
        <v>0</v>
      </c>
      <c r="J889" s="103" t="str">
        <f t="shared" si="27"/>
        <v>0 tubes and 0 shuttles</v>
      </c>
    </row>
    <row r="890" spans="1:10" ht="12.5" x14ac:dyDescent="0.25">
      <c r="A890" s="32">
        <f>'Profit &amp; Loss'!A890</f>
        <v>0</v>
      </c>
      <c r="B890" s="35">
        <f>'Profit &amp; Loss'!B890</f>
        <v>0</v>
      </c>
      <c r="C890" s="36"/>
      <c r="D890" s="33"/>
      <c r="E890" s="102">
        <f t="shared" si="28"/>
        <v>0</v>
      </c>
      <c r="F890" s="103" t="str">
        <f t="shared" si="24"/>
        <v>0 tubes and 0 shuttles</v>
      </c>
      <c r="G890" s="36">
        <f t="shared" si="29"/>
        <v>0</v>
      </c>
      <c r="H890" s="104" t="str">
        <f t="shared" si="25"/>
        <v>0 tubes and 0 shuttles</v>
      </c>
      <c r="I890" s="36">
        <f t="shared" si="26"/>
        <v>0</v>
      </c>
      <c r="J890" s="103" t="str">
        <f t="shared" si="27"/>
        <v>0 tubes and 0 shuttles</v>
      </c>
    </row>
    <row r="891" spans="1:10" ht="12.5" x14ac:dyDescent="0.25">
      <c r="A891" s="32">
        <f>'Profit &amp; Loss'!A891</f>
        <v>0</v>
      </c>
      <c r="B891" s="35">
        <f>'Profit &amp; Loss'!B891</f>
        <v>0</v>
      </c>
      <c r="C891" s="36"/>
      <c r="D891" s="33"/>
      <c r="E891" s="102">
        <f t="shared" si="28"/>
        <v>0</v>
      </c>
      <c r="F891" s="103" t="str">
        <f t="shared" si="24"/>
        <v>0 tubes and 0 shuttles</v>
      </c>
      <c r="G891" s="36">
        <f t="shared" si="29"/>
        <v>0</v>
      </c>
      <c r="H891" s="104" t="str">
        <f t="shared" si="25"/>
        <v>0 tubes and 0 shuttles</v>
      </c>
      <c r="I891" s="36">
        <f t="shared" si="26"/>
        <v>0</v>
      </c>
      <c r="J891" s="103" t="str">
        <f t="shared" si="27"/>
        <v>0 tubes and 0 shuttles</v>
      </c>
    </row>
    <row r="892" spans="1:10" ht="12.5" x14ac:dyDescent="0.25">
      <c r="A892" s="32">
        <f>'Profit &amp; Loss'!A892</f>
        <v>0</v>
      </c>
      <c r="B892" s="35">
        <f>'Profit &amp; Loss'!B892</f>
        <v>0</v>
      </c>
      <c r="C892" s="36"/>
      <c r="D892" s="33"/>
      <c r="E892" s="102">
        <f t="shared" si="28"/>
        <v>0</v>
      </c>
      <c r="F892" s="103" t="str">
        <f t="shared" si="24"/>
        <v>0 tubes and 0 shuttles</v>
      </c>
      <c r="G892" s="36">
        <f t="shared" si="29"/>
        <v>0</v>
      </c>
      <c r="H892" s="104" t="str">
        <f t="shared" si="25"/>
        <v>0 tubes and 0 shuttles</v>
      </c>
      <c r="I892" s="36">
        <f t="shared" si="26"/>
        <v>0</v>
      </c>
      <c r="J892" s="103" t="str">
        <f t="shared" si="27"/>
        <v>0 tubes and 0 shuttles</v>
      </c>
    </row>
    <row r="893" spans="1:10" ht="12.5" x14ac:dyDescent="0.25">
      <c r="A893" s="32">
        <f>'Profit &amp; Loss'!A893</f>
        <v>0</v>
      </c>
      <c r="B893" s="35">
        <f>'Profit &amp; Loss'!B893</f>
        <v>0</v>
      </c>
      <c r="C893" s="36"/>
      <c r="D893" s="33"/>
      <c r="E893" s="102">
        <f t="shared" si="28"/>
        <v>0</v>
      </c>
      <c r="F893" s="103" t="str">
        <f t="shared" si="24"/>
        <v>0 tubes and 0 shuttles</v>
      </c>
      <c r="G893" s="36">
        <f t="shared" si="29"/>
        <v>0</v>
      </c>
      <c r="H893" s="104" t="str">
        <f t="shared" si="25"/>
        <v>0 tubes and 0 shuttles</v>
      </c>
      <c r="I893" s="36">
        <f t="shared" si="26"/>
        <v>0</v>
      </c>
      <c r="J893" s="103" t="str">
        <f t="shared" si="27"/>
        <v>0 tubes and 0 shuttles</v>
      </c>
    </row>
    <row r="894" spans="1:10" ht="12.5" x14ac:dyDescent="0.25">
      <c r="A894" s="32">
        <f>'Profit &amp; Loss'!A894</f>
        <v>0</v>
      </c>
      <c r="B894" s="35">
        <f>'Profit &amp; Loss'!B894</f>
        <v>0</v>
      </c>
      <c r="C894" s="36"/>
      <c r="D894" s="33"/>
      <c r="E894" s="102">
        <f t="shared" si="28"/>
        <v>0</v>
      </c>
      <c r="F894" s="103" t="str">
        <f t="shared" si="24"/>
        <v>0 tubes and 0 shuttles</v>
      </c>
      <c r="G894" s="36">
        <f t="shared" si="29"/>
        <v>0</v>
      </c>
      <c r="H894" s="104" t="str">
        <f t="shared" si="25"/>
        <v>0 tubes and 0 shuttles</v>
      </c>
      <c r="I894" s="36">
        <f t="shared" si="26"/>
        <v>0</v>
      </c>
      <c r="J894" s="103" t="str">
        <f t="shared" si="27"/>
        <v>0 tubes and 0 shuttles</v>
      </c>
    </row>
    <row r="895" spans="1:10" ht="12.5" x14ac:dyDescent="0.25">
      <c r="A895" s="32">
        <f>'Profit &amp; Loss'!A895</f>
        <v>0</v>
      </c>
      <c r="B895" s="35">
        <f>'Profit &amp; Loss'!B895</f>
        <v>0</v>
      </c>
      <c r="C895" s="36"/>
      <c r="D895" s="33"/>
      <c r="E895" s="102">
        <f t="shared" si="28"/>
        <v>0</v>
      </c>
      <c r="F895" s="103" t="str">
        <f t="shared" si="24"/>
        <v>0 tubes and 0 shuttles</v>
      </c>
      <c r="G895" s="36">
        <f t="shared" si="29"/>
        <v>0</v>
      </c>
      <c r="H895" s="104" t="str">
        <f t="shared" si="25"/>
        <v>0 tubes and 0 shuttles</v>
      </c>
      <c r="I895" s="36">
        <f t="shared" si="26"/>
        <v>0</v>
      </c>
      <c r="J895" s="103" t="str">
        <f t="shared" si="27"/>
        <v>0 tubes and 0 shuttles</v>
      </c>
    </row>
    <row r="896" spans="1:10" ht="12.5" x14ac:dyDescent="0.25">
      <c r="A896" s="32">
        <f>'Profit &amp; Loss'!A896</f>
        <v>0</v>
      </c>
      <c r="B896" s="35">
        <f>'Profit &amp; Loss'!B896</f>
        <v>0</v>
      </c>
      <c r="C896" s="36"/>
      <c r="D896" s="33"/>
      <c r="E896" s="102">
        <f t="shared" si="28"/>
        <v>0</v>
      </c>
      <c r="F896" s="103" t="str">
        <f t="shared" si="24"/>
        <v>0 tubes and 0 shuttles</v>
      </c>
      <c r="G896" s="36">
        <f t="shared" si="29"/>
        <v>0</v>
      </c>
      <c r="H896" s="104" t="str">
        <f t="shared" si="25"/>
        <v>0 tubes and 0 shuttles</v>
      </c>
      <c r="I896" s="36">
        <f t="shared" si="26"/>
        <v>0</v>
      </c>
      <c r="J896" s="103" t="str">
        <f t="shared" si="27"/>
        <v>0 tubes and 0 shuttles</v>
      </c>
    </row>
    <row r="897" spans="1:10" ht="12.5" x14ac:dyDescent="0.25">
      <c r="A897" s="32">
        <f>'Profit &amp; Loss'!A897</f>
        <v>0</v>
      </c>
      <c r="B897" s="35">
        <f>'Profit &amp; Loss'!B897</f>
        <v>0</v>
      </c>
      <c r="C897" s="36"/>
      <c r="D897" s="33"/>
      <c r="E897" s="102">
        <f t="shared" si="28"/>
        <v>0</v>
      </c>
      <c r="F897" s="103" t="str">
        <f t="shared" si="24"/>
        <v>0 tubes and 0 shuttles</v>
      </c>
      <c r="G897" s="36">
        <f t="shared" si="29"/>
        <v>0</v>
      </c>
      <c r="H897" s="104" t="str">
        <f t="shared" si="25"/>
        <v>0 tubes and 0 shuttles</v>
      </c>
      <c r="I897" s="36">
        <f t="shared" si="26"/>
        <v>0</v>
      </c>
      <c r="J897" s="103" t="str">
        <f t="shared" si="27"/>
        <v>0 tubes and 0 shuttles</v>
      </c>
    </row>
    <row r="898" spans="1:10" ht="12.5" x14ac:dyDescent="0.25">
      <c r="A898" s="32">
        <f>'Profit &amp; Loss'!A898</f>
        <v>0</v>
      </c>
      <c r="B898" s="35">
        <f>'Profit &amp; Loss'!B898</f>
        <v>0</v>
      </c>
      <c r="C898" s="36"/>
      <c r="D898" s="33"/>
      <c r="E898" s="102">
        <f t="shared" si="28"/>
        <v>0</v>
      </c>
      <c r="F898" s="103" t="str">
        <f t="shared" si="24"/>
        <v>0 tubes and 0 shuttles</v>
      </c>
      <c r="G898" s="36">
        <f t="shared" si="29"/>
        <v>0</v>
      </c>
      <c r="H898" s="104" t="str">
        <f t="shared" si="25"/>
        <v>0 tubes and 0 shuttles</v>
      </c>
      <c r="I898" s="36">
        <f t="shared" si="26"/>
        <v>0</v>
      </c>
      <c r="J898" s="103" t="str">
        <f t="shared" si="27"/>
        <v>0 tubes and 0 shuttles</v>
      </c>
    </row>
    <row r="899" spans="1:10" ht="12.5" x14ac:dyDescent="0.25">
      <c r="A899" s="32">
        <f>'Profit &amp; Loss'!A899</f>
        <v>0</v>
      </c>
      <c r="B899" s="35">
        <f>'Profit &amp; Loss'!B899</f>
        <v>0</v>
      </c>
      <c r="C899" s="36"/>
      <c r="D899" s="33"/>
      <c r="E899" s="102">
        <f t="shared" si="28"/>
        <v>0</v>
      </c>
      <c r="F899" s="103" t="str">
        <f t="shared" si="24"/>
        <v>0 tubes and 0 shuttles</v>
      </c>
      <c r="G899" s="36">
        <f t="shared" si="29"/>
        <v>0</v>
      </c>
      <c r="H899" s="104" t="str">
        <f t="shared" si="25"/>
        <v>0 tubes and 0 shuttles</v>
      </c>
      <c r="I899" s="36">
        <f t="shared" si="26"/>
        <v>0</v>
      </c>
      <c r="J899" s="103" t="str">
        <f t="shared" si="27"/>
        <v>0 tubes and 0 shuttles</v>
      </c>
    </row>
    <row r="900" spans="1:10" ht="12.5" x14ac:dyDescent="0.25">
      <c r="A900" s="32">
        <f>'Profit &amp; Loss'!A900</f>
        <v>0</v>
      </c>
      <c r="B900" s="35">
        <f>'Profit &amp; Loss'!B900</f>
        <v>0</v>
      </c>
      <c r="C900" s="36"/>
      <c r="D900" s="33"/>
      <c r="E900" s="102">
        <f t="shared" si="28"/>
        <v>0</v>
      </c>
      <c r="F900" s="103" t="str">
        <f t="shared" si="24"/>
        <v>0 tubes and 0 shuttles</v>
      </c>
      <c r="G900" s="36">
        <f t="shared" si="29"/>
        <v>0</v>
      </c>
      <c r="H900" s="104" t="str">
        <f t="shared" si="25"/>
        <v>0 tubes and 0 shuttles</v>
      </c>
      <c r="I900" s="36">
        <f t="shared" si="26"/>
        <v>0</v>
      </c>
      <c r="J900" s="103" t="str">
        <f t="shared" si="27"/>
        <v>0 tubes and 0 shuttles</v>
      </c>
    </row>
    <row r="901" spans="1:10" ht="12.5" x14ac:dyDescent="0.25">
      <c r="A901" s="32">
        <f>'Profit &amp; Loss'!A901</f>
        <v>0</v>
      </c>
      <c r="B901" s="35">
        <f>'Profit &amp; Loss'!B901</f>
        <v>0</v>
      </c>
      <c r="C901" s="36"/>
      <c r="D901" s="33"/>
      <c r="E901" s="102">
        <f t="shared" si="28"/>
        <v>0</v>
      </c>
      <c r="F901" s="103" t="str">
        <f t="shared" si="24"/>
        <v>0 tubes and 0 shuttles</v>
      </c>
      <c r="G901" s="36">
        <f t="shared" si="29"/>
        <v>0</v>
      </c>
      <c r="H901" s="104" t="str">
        <f t="shared" si="25"/>
        <v>0 tubes and 0 shuttles</v>
      </c>
      <c r="I901" s="36">
        <f t="shared" si="26"/>
        <v>0</v>
      </c>
      <c r="J901" s="103" t="str">
        <f t="shared" si="27"/>
        <v>0 tubes and 0 shuttles</v>
      </c>
    </row>
    <row r="902" spans="1:10" ht="12.5" x14ac:dyDescent="0.25">
      <c r="A902" s="32">
        <f>'Profit &amp; Loss'!A902</f>
        <v>0</v>
      </c>
      <c r="B902" s="35">
        <f>'Profit &amp; Loss'!B902</f>
        <v>0</v>
      </c>
      <c r="C902" s="36"/>
      <c r="D902" s="33"/>
      <c r="E902" s="102">
        <f t="shared" si="28"/>
        <v>0</v>
      </c>
      <c r="F902" s="103" t="str">
        <f t="shared" si="24"/>
        <v>0 tubes and 0 shuttles</v>
      </c>
      <c r="G902" s="36">
        <f t="shared" si="29"/>
        <v>0</v>
      </c>
      <c r="H902" s="104" t="str">
        <f t="shared" si="25"/>
        <v>0 tubes and 0 shuttles</v>
      </c>
      <c r="I902" s="36">
        <f t="shared" si="26"/>
        <v>0</v>
      </c>
      <c r="J902" s="103" t="str">
        <f t="shared" si="27"/>
        <v>0 tubes and 0 shuttles</v>
      </c>
    </row>
    <row r="903" spans="1:10" ht="12.5" x14ac:dyDescent="0.25">
      <c r="A903" s="32">
        <f>'Profit &amp; Loss'!A903</f>
        <v>0</v>
      </c>
      <c r="B903" s="35">
        <f>'Profit &amp; Loss'!B903</f>
        <v>0</v>
      </c>
      <c r="C903" s="36"/>
      <c r="D903" s="33"/>
      <c r="E903" s="102">
        <f t="shared" si="28"/>
        <v>0</v>
      </c>
      <c r="F903" s="103" t="str">
        <f t="shared" si="24"/>
        <v>0 tubes and 0 shuttles</v>
      </c>
      <c r="G903" s="36">
        <f t="shared" si="29"/>
        <v>0</v>
      </c>
      <c r="H903" s="104" t="str">
        <f t="shared" si="25"/>
        <v>0 tubes and 0 shuttles</v>
      </c>
      <c r="I903" s="36">
        <f t="shared" si="26"/>
        <v>0</v>
      </c>
      <c r="J903" s="103" t="str">
        <f t="shared" si="27"/>
        <v>0 tubes and 0 shuttles</v>
      </c>
    </row>
    <row r="904" spans="1:10" ht="12.5" x14ac:dyDescent="0.25">
      <c r="A904" s="32">
        <f>'Profit &amp; Loss'!A904</f>
        <v>0</v>
      </c>
      <c r="B904" s="35">
        <f>'Profit &amp; Loss'!B904</f>
        <v>0</v>
      </c>
      <c r="C904" s="36"/>
      <c r="D904" s="33"/>
      <c r="E904" s="102">
        <f t="shared" si="28"/>
        <v>0</v>
      </c>
      <c r="F904" s="103" t="str">
        <f t="shared" si="24"/>
        <v>0 tubes and 0 shuttles</v>
      </c>
      <c r="G904" s="36">
        <f t="shared" si="29"/>
        <v>0</v>
      </c>
      <c r="H904" s="104" t="str">
        <f t="shared" si="25"/>
        <v>0 tubes and 0 shuttles</v>
      </c>
      <c r="I904" s="36">
        <f t="shared" si="26"/>
        <v>0</v>
      </c>
      <c r="J904" s="103" t="str">
        <f t="shared" si="27"/>
        <v>0 tubes and 0 shuttles</v>
      </c>
    </row>
    <row r="905" spans="1:10" ht="12.5" x14ac:dyDescent="0.25">
      <c r="A905" s="32">
        <f>'Profit &amp; Loss'!A905</f>
        <v>0</v>
      </c>
      <c r="B905" s="35">
        <f>'Profit &amp; Loss'!B905</f>
        <v>0</v>
      </c>
      <c r="C905" s="36"/>
      <c r="D905" s="33"/>
      <c r="E905" s="102">
        <f t="shared" si="28"/>
        <v>0</v>
      </c>
      <c r="F905" s="103" t="str">
        <f t="shared" si="24"/>
        <v>0 tubes and 0 shuttles</v>
      </c>
      <c r="G905" s="36">
        <f t="shared" si="29"/>
        <v>0</v>
      </c>
      <c r="H905" s="104" t="str">
        <f t="shared" si="25"/>
        <v>0 tubes and 0 shuttles</v>
      </c>
      <c r="I905" s="36">
        <f t="shared" si="26"/>
        <v>0</v>
      </c>
      <c r="J905" s="103" t="str">
        <f t="shared" si="27"/>
        <v>0 tubes and 0 shuttles</v>
      </c>
    </row>
    <row r="906" spans="1:10" ht="12.5" x14ac:dyDescent="0.25">
      <c r="A906" s="32">
        <f>'Profit &amp; Loss'!A906</f>
        <v>0</v>
      </c>
      <c r="B906" s="35">
        <f>'Profit &amp; Loss'!B906</f>
        <v>0</v>
      </c>
      <c r="C906" s="36"/>
      <c r="D906" s="33"/>
      <c r="E906" s="102">
        <f t="shared" si="28"/>
        <v>0</v>
      </c>
      <c r="F906" s="103" t="str">
        <f t="shared" si="24"/>
        <v>0 tubes and 0 shuttles</v>
      </c>
      <c r="G906" s="36">
        <f t="shared" si="29"/>
        <v>0</v>
      </c>
      <c r="H906" s="104" t="str">
        <f t="shared" si="25"/>
        <v>0 tubes and 0 shuttles</v>
      </c>
      <c r="I906" s="36">
        <f t="shared" si="26"/>
        <v>0</v>
      </c>
      <c r="J906" s="103" t="str">
        <f t="shared" si="27"/>
        <v>0 tubes and 0 shuttles</v>
      </c>
    </row>
    <row r="907" spans="1:10" ht="12.5" x14ac:dyDescent="0.25">
      <c r="A907" s="32">
        <f>'Profit &amp; Loss'!A907</f>
        <v>0</v>
      </c>
      <c r="B907" s="35">
        <f>'Profit &amp; Loss'!B907</f>
        <v>0</v>
      </c>
      <c r="C907" s="36"/>
      <c r="D907" s="33"/>
      <c r="E907" s="102">
        <f t="shared" si="28"/>
        <v>0</v>
      </c>
      <c r="F907" s="103" t="str">
        <f t="shared" si="24"/>
        <v>0 tubes and 0 shuttles</v>
      </c>
      <c r="G907" s="36">
        <f t="shared" si="29"/>
        <v>0</v>
      </c>
      <c r="H907" s="104" t="str">
        <f t="shared" si="25"/>
        <v>0 tubes and 0 shuttles</v>
      </c>
      <c r="I907" s="36">
        <f t="shared" si="26"/>
        <v>0</v>
      </c>
      <c r="J907" s="103" t="str">
        <f t="shared" si="27"/>
        <v>0 tubes and 0 shuttles</v>
      </c>
    </row>
    <row r="908" spans="1:10" ht="12.5" x14ac:dyDescent="0.25">
      <c r="A908" s="32">
        <f>'Profit &amp; Loss'!A908</f>
        <v>0</v>
      </c>
      <c r="B908" s="35">
        <f>'Profit &amp; Loss'!B908</f>
        <v>0</v>
      </c>
      <c r="C908" s="36"/>
      <c r="D908" s="33"/>
      <c r="E908" s="102">
        <f t="shared" si="28"/>
        <v>0</v>
      </c>
      <c r="F908" s="103" t="str">
        <f t="shared" si="24"/>
        <v>0 tubes and 0 shuttles</v>
      </c>
      <c r="G908" s="36">
        <f t="shared" si="29"/>
        <v>0</v>
      </c>
      <c r="H908" s="104" t="str">
        <f t="shared" si="25"/>
        <v>0 tubes and 0 shuttles</v>
      </c>
      <c r="I908" s="36">
        <f t="shared" si="26"/>
        <v>0</v>
      </c>
      <c r="J908" s="103" t="str">
        <f t="shared" si="27"/>
        <v>0 tubes and 0 shuttles</v>
      </c>
    </row>
    <row r="909" spans="1:10" ht="12.5" x14ac:dyDescent="0.25">
      <c r="A909" s="32">
        <f>'Profit &amp; Loss'!A909</f>
        <v>0</v>
      </c>
      <c r="B909" s="35">
        <f>'Profit &amp; Loss'!B909</f>
        <v>0</v>
      </c>
      <c r="C909" s="36"/>
      <c r="D909" s="33"/>
      <c r="E909" s="102">
        <f t="shared" si="28"/>
        <v>0</v>
      </c>
      <c r="F909" s="103" t="str">
        <f t="shared" si="24"/>
        <v>0 tubes and 0 shuttles</v>
      </c>
      <c r="G909" s="36">
        <f t="shared" si="29"/>
        <v>0</v>
      </c>
      <c r="H909" s="104" t="str">
        <f t="shared" si="25"/>
        <v>0 tubes and 0 shuttles</v>
      </c>
      <c r="I909" s="36">
        <f t="shared" si="26"/>
        <v>0</v>
      </c>
      <c r="J909" s="103" t="str">
        <f t="shared" si="27"/>
        <v>0 tubes and 0 shuttles</v>
      </c>
    </row>
    <row r="910" spans="1:10" ht="12.5" x14ac:dyDescent="0.25">
      <c r="A910" s="32">
        <f>'Profit &amp; Loss'!A910</f>
        <v>0</v>
      </c>
      <c r="B910" s="35">
        <f>'Profit &amp; Loss'!B910</f>
        <v>0</v>
      </c>
      <c r="C910" s="36"/>
      <c r="D910" s="33"/>
      <c r="E910" s="102">
        <f t="shared" si="28"/>
        <v>0</v>
      </c>
      <c r="F910" s="103" t="str">
        <f t="shared" si="24"/>
        <v>0 tubes and 0 shuttles</v>
      </c>
      <c r="G910" s="36">
        <f t="shared" si="29"/>
        <v>0</v>
      </c>
      <c r="H910" s="104" t="str">
        <f t="shared" si="25"/>
        <v>0 tubes and 0 shuttles</v>
      </c>
      <c r="I910" s="36">
        <f t="shared" si="26"/>
        <v>0</v>
      </c>
      <c r="J910" s="103" t="str">
        <f t="shared" si="27"/>
        <v>0 tubes and 0 shuttles</v>
      </c>
    </row>
    <row r="911" spans="1:10" ht="12.5" x14ac:dyDescent="0.25">
      <c r="A911" s="32">
        <f>'Profit &amp; Loss'!A911</f>
        <v>0</v>
      </c>
      <c r="B911" s="35">
        <f>'Profit &amp; Loss'!B911</f>
        <v>0</v>
      </c>
      <c r="C911" s="36"/>
      <c r="D911" s="33"/>
      <c r="E911" s="102">
        <f t="shared" si="28"/>
        <v>0</v>
      </c>
      <c r="F911" s="103" t="str">
        <f t="shared" si="24"/>
        <v>0 tubes and 0 shuttles</v>
      </c>
      <c r="G911" s="36">
        <f t="shared" si="29"/>
        <v>0</v>
      </c>
      <c r="H911" s="104" t="str">
        <f t="shared" si="25"/>
        <v>0 tubes and 0 shuttles</v>
      </c>
      <c r="I911" s="36">
        <f t="shared" si="26"/>
        <v>0</v>
      </c>
      <c r="J911" s="103" t="str">
        <f t="shared" si="27"/>
        <v>0 tubes and 0 shuttles</v>
      </c>
    </row>
    <row r="912" spans="1:10" ht="12.5" x14ac:dyDescent="0.25">
      <c r="A912" s="32">
        <f>'Profit &amp; Loss'!A912</f>
        <v>0</v>
      </c>
      <c r="B912" s="35">
        <f>'Profit &amp; Loss'!B912</f>
        <v>0</v>
      </c>
      <c r="C912" s="36"/>
      <c r="D912" s="33"/>
      <c r="E912" s="102">
        <f t="shared" si="28"/>
        <v>0</v>
      </c>
      <c r="F912" s="103" t="str">
        <f t="shared" si="24"/>
        <v>0 tubes and 0 shuttles</v>
      </c>
      <c r="G912" s="36">
        <f t="shared" si="29"/>
        <v>0</v>
      </c>
      <c r="H912" s="104" t="str">
        <f t="shared" si="25"/>
        <v>0 tubes and 0 shuttles</v>
      </c>
      <c r="I912" s="36">
        <f t="shared" si="26"/>
        <v>0</v>
      </c>
      <c r="J912" s="103" t="str">
        <f t="shared" si="27"/>
        <v>0 tubes and 0 shuttles</v>
      </c>
    </row>
    <row r="913" spans="1:10" ht="12.5" x14ac:dyDescent="0.25">
      <c r="A913" s="32">
        <f>'Profit &amp; Loss'!A913</f>
        <v>0</v>
      </c>
      <c r="B913" s="35">
        <f>'Profit &amp; Loss'!B913</f>
        <v>0</v>
      </c>
      <c r="C913" s="36"/>
      <c r="D913" s="33"/>
      <c r="E913" s="102">
        <f t="shared" si="28"/>
        <v>0</v>
      </c>
      <c r="F913" s="103" t="str">
        <f t="shared" si="24"/>
        <v>0 tubes and 0 shuttles</v>
      </c>
      <c r="G913" s="36">
        <f t="shared" si="29"/>
        <v>0</v>
      </c>
      <c r="H913" s="104" t="str">
        <f t="shared" si="25"/>
        <v>0 tubes and 0 shuttles</v>
      </c>
      <c r="I913" s="36">
        <f t="shared" si="26"/>
        <v>0</v>
      </c>
      <c r="J913" s="103" t="str">
        <f t="shared" si="27"/>
        <v>0 tubes and 0 shuttles</v>
      </c>
    </row>
    <row r="914" spans="1:10" ht="12.5" x14ac:dyDescent="0.25">
      <c r="A914" s="32">
        <f>'Profit &amp; Loss'!A914</f>
        <v>0</v>
      </c>
      <c r="B914" s="35">
        <f>'Profit &amp; Loss'!B914</f>
        <v>0</v>
      </c>
      <c r="C914" s="36"/>
      <c r="D914" s="33"/>
      <c r="E914" s="102">
        <f t="shared" si="28"/>
        <v>0</v>
      </c>
      <c r="F914" s="103" t="str">
        <f t="shared" si="24"/>
        <v>0 tubes and 0 shuttles</v>
      </c>
      <c r="G914" s="36">
        <f t="shared" si="29"/>
        <v>0</v>
      </c>
      <c r="H914" s="104" t="str">
        <f t="shared" si="25"/>
        <v>0 tubes and 0 shuttles</v>
      </c>
      <c r="I914" s="36">
        <f t="shared" si="26"/>
        <v>0</v>
      </c>
      <c r="J914" s="103" t="str">
        <f t="shared" si="27"/>
        <v>0 tubes and 0 shuttles</v>
      </c>
    </row>
    <row r="915" spans="1:10" ht="12.5" x14ac:dyDescent="0.25">
      <c r="A915" s="32">
        <f>'Profit &amp; Loss'!A915</f>
        <v>0</v>
      </c>
      <c r="B915" s="35">
        <f>'Profit &amp; Loss'!B915</f>
        <v>0</v>
      </c>
      <c r="C915" s="36"/>
      <c r="D915" s="33"/>
      <c r="E915" s="102">
        <f t="shared" si="28"/>
        <v>0</v>
      </c>
      <c r="F915" s="103" t="str">
        <f t="shared" si="24"/>
        <v>0 tubes and 0 shuttles</v>
      </c>
      <c r="G915" s="36">
        <f t="shared" si="29"/>
        <v>0</v>
      </c>
      <c r="H915" s="104" t="str">
        <f t="shared" si="25"/>
        <v>0 tubes and 0 shuttles</v>
      </c>
      <c r="I915" s="36">
        <f t="shared" si="26"/>
        <v>0</v>
      </c>
      <c r="J915" s="103" t="str">
        <f t="shared" si="27"/>
        <v>0 tubes and 0 shuttles</v>
      </c>
    </row>
    <row r="916" spans="1:10" ht="12.5" x14ac:dyDescent="0.25">
      <c r="A916" s="32">
        <f>'Profit &amp; Loss'!A916</f>
        <v>0</v>
      </c>
      <c r="B916" s="35">
        <f>'Profit &amp; Loss'!B916</f>
        <v>0</v>
      </c>
      <c r="C916" s="36"/>
      <c r="D916" s="33"/>
      <c r="E916" s="102">
        <f t="shared" si="28"/>
        <v>0</v>
      </c>
      <c r="F916" s="103" t="str">
        <f t="shared" si="24"/>
        <v>0 tubes and 0 shuttles</v>
      </c>
      <c r="G916" s="36">
        <f t="shared" si="29"/>
        <v>0</v>
      </c>
      <c r="H916" s="104" t="str">
        <f t="shared" si="25"/>
        <v>0 tubes and 0 shuttles</v>
      </c>
      <c r="I916" s="36">
        <f t="shared" si="26"/>
        <v>0</v>
      </c>
      <c r="J916" s="103" t="str">
        <f t="shared" si="27"/>
        <v>0 tubes and 0 shuttles</v>
      </c>
    </row>
    <row r="917" spans="1:10" ht="12.5" x14ac:dyDescent="0.25">
      <c r="A917" s="32">
        <f>'Profit &amp; Loss'!A917</f>
        <v>0</v>
      </c>
      <c r="B917" s="35">
        <f>'Profit &amp; Loss'!B917</f>
        <v>0</v>
      </c>
      <c r="C917" s="36"/>
      <c r="D917" s="33"/>
      <c r="E917" s="102">
        <f t="shared" si="28"/>
        <v>0</v>
      </c>
      <c r="F917" s="103" t="str">
        <f t="shared" si="24"/>
        <v>0 tubes and 0 shuttles</v>
      </c>
      <c r="G917" s="36">
        <f t="shared" si="29"/>
        <v>0</v>
      </c>
      <c r="H917" s="104" t="str">
        <f t="shared" si="25"/>
        <v>0 tubes and 0 shuttles</v>
      </c>
      <c r="I917" s="36">
        <f t="shared" si="26"/>
        <v>0</v>
      </c>
      <c r="J917" s="103" t="str">
        <f t="shared" si="27"/>
        <v>0 tubes and 0 shuttles</v>
      </c>
    </row>
    <row r="918" spans="1:10" ht="12.5" x14ac:dyDescent="0.25">
      <c r="A918" s="32">
        <f>'Profit &amp; Loss'!A918</f>
        <v>0</v>
      </c>
      <c r="B918" s="35">
        <f>'Profit &amp; Loss'!B918</f>
        <v>0</v>
      </c>
      <c r="C918" s="36"/>
      <c r="D918" s="33"/>
      <c r="E918" s="102">
        <f t="shared" si="28"/>
        <v>0</v>
      </c>
      <c r="F918" s="103" t="str">
        <f t="shared" si="24"/>
        <v>0 tubes and 0 shuttles</v>
      </c>
      <c r="G918" s="36">
        <f t="shared" si="29"/>
        <v>0</v>
      </c>
      <c r="H918" s="104" t="str">
        <f t="shared" si="25"/>
        <v>0 tubes and 0 shuttles</v>
      </c>
      <c r="I918" s="36">
        <f t="shared" si="26"/>
        <v>0</v>
      </c>
      <c r="J918" s="103" t="str">
        <f t="shared" si="27"/>
        <v>0 tubes and 0 shuttles</v>
      </c>
    </row>
    <row r="919" spans="1:10" ht="12.5" x14ac:dyDescent="0.25">
      <c r="A919" s="32">
        <f>'Profit &amp; Loss'!A919</f>
        <v>0</v>
      </c>
      <c r="B919" s="35">
        <f>'Profit &amp; Loss'!B919</f>
        <v>0</v>
      </c>
      <c r="C919" s="36"/>
      <c r="D919" s="33"/>
      <c r="E919" s="102">
        <f t="shared" si="28"/>
        <v>0</v>
      </c>
      <c r="F919" s="103" t="str">
        <f t="shared" si="24"/>
        <v>0 tubes and 0 shuttles</v>
      </c>
      <c r="G919" s="36">
        <f t="shared" si="29"/>
        <v>0</v>
      </c>
      <c r="H919" s="104" t="str">
        <f t="shared" si="25"/>
        <v>0 tubes and 0 shuttles</v>
      </c>
      <c r="I919" s="36">
        <f t="shared" si="26"/>
        <v>0</v>
      </c>
      <c r="J919" s="103" t="str">
        <f t="shared" si="27"/>
        <v>0 tubes and 0 shuttles</v>
      </c>
    </row>
    <row r="920" spans="1:10" ht="12.5" x14ac:dyDescent="0.25">
      <c r="A920" s="32">
        <f>'Profit &amp; Loss'!A920</f>
        <v>0</v>
      </c>
      <c r="B920" s="35">
        <f>'Profit &amp; Loss'!B920</f>
        <v>0</v>
      </c>
      <c r="C920" s="36"/>
      <c r="D920" s="33"/>
      <c r="E920" s="102">
        <f t="shared" si="28"/>
        <v>0</v>
      </c>
      <c r="F920" s="103" t="str">
        <f t="shared" si="24"/>
        <v>0 tubes and 0 shuttles</v>
      </c>
      <c r="G920" s="36">
        <f t="shared" si="29"/>
        <v>0</v>
      </c>
      <c r="H920" s="104" t="str">
        <f t="shared" si="25"/>
        <v>0 tubes and 0 shuttles</v>
      </c>
      <c r="I920" s="36">
        <f t="shared" si="26"/>
        <v>0</v>
      </c>
      <c r="J920" s="103" t="str">
        <f t="shared" si="27"/>
        <v>0 tubes and 0 shuttles</v>
      </c>
    </row>
    <row r="921" spans="1:10" ht="12.5" x14ac:dyDescent="0.25">
      <c r="A921" s="32">
        <f>'Profit &amp; Loss'!A921</f>
        <v>0</v>
      </c>
      <c r="B921" s="35">
        <f>'Profit &amp; Loss'!B921</f>
        <v>0</v>
      </c>
      <c r="C921" s="36"/>
      <c r="D921" s="33"/>
      <c r="E921" s="102">
        <f t="shared" si="28"/>
        <v>0</v>
      </c>
      <c r="F921" s="103" t="str">
        <f t="shared" si="24"/>
        <v>0 tubes and 0 shuttles</v>
      </c>
      <c r="G921" s="36">
        <f t="shared" si="29"/>
        <v>0</v>
      </c>
      <c r="H921" s="104" t="str">
        <f t="shared" si="25"/>
        <v>0 tubes and 0 shuttles</v>
      </c>
      <c r="I921" s="36">
        <f t="shared" si="26"/>
        <v>0</v>
      </c>
      <c r="J921" s="103" t="str">
        <f t="shared" si="27"/>
        <v>0 tubes and 0 shuttles</v>
      </c>
    </row>
    <row r="922" spans="1:10" ht="12.5" x14ac:dyDescent="0.25">
      <c r="A922" s="32">
        <f>'Profit &amp; Loss'!A922</f>
        <v>0</v>
      </c>
      <c r="B922" s="35">
        <f>'Profit &amp; Loss'!B922</f>
        <v>0</v>
      </c>
      <c r="C922" s="36"/>
      <c r="D922" s="33"/>
      <c r="E922" s="102">
        <f t="shared" si="28"/>
        <v>0</v>
      </c>
      <c r="F922" s="103" t="str">
        <f t="shared" si="24"/>
        <v>0 tubes and 0 shuttles</v>
      </c>
      <c r="G922" s="36">
        <f t="shared" si="29"/>
        <v>0</v>
      </c>
      <c r="H922" s="104" t="str">
        <f t="shared" si="25"/>
        <v>0 tubes and 0 shuttles</v>
      </c>
      <c r="I922" s="36">
        <f t="shared" si="26"/>
        <v>0</v>
      </c>
      <c r="J922" s="103" t="str">
        <f t="shared" si="27"/>
        <v>0 tubes and 0 shuttles</v>
      </c>
    </row>
    <row r="923" spans="1:10" ht="12.5" x14ac:dyDescent="0.25">
      <c r="A923" s="32">
        <f>'Profit &amp; Loss'!A923</f>
        <v>0</v>
      </c>
      <c r="B923" s="35">
        <f>'Profit &amp; Loss'!B923</f>
        <v>0</v>
      </c>
      <c r="C923" s="36"/>
      <c r="D923" s="33"/>
      <c r="E923" s="102">
        <f t="shared" si="28"/>
        <v>0</v>
      </c>
      <c r="F923" s="103" t="str">
        <f t="shared" si="24"/>
        <v>0 tubes and 0 shuttles</v>
      </c>
      <c r="G923" s="36">
        <f t="shared" si="29"/>
        <v>0</v>
      </c>
      <c r="H923" s="104" t="str">
        <f t="shared" si="25"/>
        <v>0 tubes and 0 shuttles</v>
      </c>
      <c r="I923" s="36">
        <f t="shared" si="26"/>
        <v>0</v>
      </c>
      <c r="J923" s="103" t="str">
        <f t="shared" si="27"/>
        <v>0 tubes and 0 shuttles</v>
      </c>
    </row>
    <row r="924" spans="1:10" ht="12.5" x14ac:dyDescent="0.25">
      <c r="A924" s="32">
        <f>'Profit &amp; Loss'!A924</f>
        <v>0</v>
      </c>
      <c r="B924" s="35">
        <f>'Profit &amp; Loss'!B924</f>
        <v>0</v>
      </c>
      <c r="C924" s="36"/>
      <c r="D924" s="33"/>
      <c r="E924" s="102">
        <f t="shared" si="28"/>
        <v>0</v>
      </c>
      <c r="F924" s="103" t="str">
        <f t="shared" si="24"/>
        <v>0 tubes and 0 shuttles</v>
      </c>
      <c r="G924" s="36">
        <f t="shared" si="29"/>
        <v>0</v>
      </c>
      <c r="H924" s="104" t="str">
        <f t="shared" si="25"/>
        <v>0 tubes and 0 shuttles</v>
      </c>
      <c r="I924" s="36">
        <f t="shared" si="26"/>
        <v>0</v>
      </c>
      <c r="J924" s="103" t="str">
        <f t="shared" si="27"/>
        <v>0 tubes and 0 shuttles</v>
      </c>
    </row>
    <row r="925" spans="1:10" ht="12.5" x14ac:dyDescent="0.25">
      <c r="A925" s="32">
        <f>'Profit &amp; Loss'!A925</f>
        <v>0</v>
      </c>
      <c r="B925" s="35">
        <f>'Profit &amp; Loss'!B925</f>
        <v>0</v>
      </c>
      <c r="C925" s="36"/>
      <c r="D925" s="33"/>
      <c r="E925" s="102">
        <f t="shared" si="28"/>
        <v>0</v>
      </c>
      <c r="F925" s="103" t="str">
        <f t="shared" si="24"/>
        <v>0 tubes and 0 shuttles</v>
      </c>
      <c r="G925" s="36">
        <f t="shared" si="29"/>
        <v>0</v>
      </c>
      <c r="H925" s="104" t="str">
        <f t="shared" si="25"/>
        <v>0 tubes and 0 shuttles</v>
      </c>
      <c r="I925" s="36">
        <f t="shared" si="26"/>
        <v>0</v>
      </c>
      <c r="J925" s="103" t="str">
        <f t="shared" si="27"/>
        <v>0 tubes and 0 shuttles</v>
      </c>
    </row>
    <row r="926" spans="1:10" ht="12.5" x14ac:dyDescent="0.25">
      <c r="A926" s="32">
        <f>'Profit &amp; Loss'!A926</f>
        <v>0</v>
      </c>
      <c r="B926" s="35">
        <f>'Profit &amp; Loss'!B926</f>
        <v>0</v>
      </c>
      <c r="C926" s="36"/>
      <c r="D926" s="33"/>
      <c r="E926" s="102">
        <f t="shared" si="28"/>
        <v>0</v>
      </c>
      <c r="F926" s="103" t="str">
        <f t="shared" si="24"/>
        <v>0 tubes and 0 shuttles</v>
      </c>
      <c r="G926" s="36">
        <f t="shared" si="29"/>
        <v>0</v>
      </c>
      <c r="H926" s="104" t="str">
        <f t="shared" si="25"/>
        <v>0 tubes and 0 shuttles</v>
      </c>
      <c r="I926" s="36">
        <f t="shared" si="26"/>
        <v>0</v>
      </c>
      <c r="J926" s="103" t="str">
        <f t="shared" si="27"/>
        <v>0 tubes and 0 shuttles</v>
      </c>
    </row>
    <row r="927" spans="1:10" ht="12.5" x14ac:dyDescent="0.25">
      <c r="A927" s="32">
        <f>'Profit &amp; Loss'!A927</f>
        <v>0</v>
      </c>
      <c r="B927" s="35">
        <f>'Profit &amp; Loss'!B927</f>
        <v>0</v>
      </c>
      <c r="C927" s="36"/>
      <c r="D927" s="33"/>
      <c r="E927" s="102">
        <f t="shared" si="28"/>
        <v>0</v>
      </c>
      <c r="F927" s="103" t="str">
        <f t="shared" si="24"/>
        <v>0 tubes and 0 shuttles</v>
      </c>
      <c r="G927" s="36">
        <f t="shared" si="29"/>
        <v>0</v>
      </c>
      <c r="H927" s="104" t="str">
        <f t="shared" si="25"/>
        <v>0 tubes and 0 shuttles</v>
      </c>
      <c r="I927" s="36">
        <f t="shared" si="26"/>
        <v>0</v>
      </c>
      <c r="J927" s="103" t="str">
        <f t="shared" si="27"/>
        <v>0 tubes and 0 shuttles</v>
      </c>
    </row>
    <row r="928" spans="1:10" ht="12.5" x14ac:dyDescent="0.25">
      <c r="A928" s="32">
        <f>'Profit &amp; Loss'!A928</f>
        <v>0</v>
      </c>
      <c r="B928" s="35">
        <f>'Profit &amp; Loss'!B928</f>
        <v>0</v>
      </c>
      <c r="C928" s="36"/>
      <c r="D928" s="33"/>
      <c r="E928" s="102">
        <f t="shared" si="28"/>
        <v>0</v>
      </c>
      <c r="F928" s="103" t="str">
        <f t="shared" si="24"/>
        <v>0 tubes and 0 shuttles</v>
      </c>
      <c r="G928" s="36">
        <f t="shared" si="29"/>
        <v>0</v>
      </c>
      <c r="H928" s="104" t="str">
        <f t="shared" si="25"/>
        <v>0 tubes and 0 shuttles</v>
      </c>
      <c r="I928" s="36">
        <f t="shared" si="26"/>
        <v>0</v>
      </c>
      <c r="J928" s="103" t="str">
        <f t="shared" si="27"/>
        <v>0 tubes and 0 shuttles</v>
      </c>
    </row>
    <row r="929" spans="1:10" ht="12.5" x14ac:dyDescent="0.25">
      <c r="A929" s="32">
        <f>'Profit &amp; Loss'!A929</f>
        <v>0</v>
      </c>
      <c r="B929" s="35">
        <f>'Profit &amp; Loss'!B929</f>
        <v>0</v>
      </c>
      <c r="C929" s="36"/>
      <c r="D929" s="33"/>
      <c r="E929" s="102">
        <f t="shared" si="28"/>
        <v>0</v>
      </c>
      <c r="F929" s="103" t="str">
        <f t="shared" si="24"/>
        <v>0 tubes and 0 shuttles</v>
      </c>
      <c r="G929" s="36">
        <f t="shared" si="29"/>
        <v>0</v>
      </c>
      <c r="H929" s="104" t="str">
        <f t="shared" si="25"/>
        <v>0 tubes and 0 shuttles</v>
      </c>
      <c r="I929" s="36">
        <f t="shared" si="26"/>
        <v>0</v>
      </c>
      <c r="J929" s="103" t="str">
        <f t="shared" si="27"/>
        <v>0 tubes and 0 shuttles</v>
      </c>
    </row>
    <row r="930" spans="1:10" ht="12.5" x14ac:dyDescent="0.25">
      <c r="A930" s="32">
        <f>'Profit &amp; Loss'!A930</f>
        <v>0</v>
      </c>
      <c r="B930" s="35">
        <f>'Profit &amp; Loss'!B930</f>
        <v>0</v>
      </c>
      <c r="C930" s="36"/>
      <c r="D930" s="33"/>
      <c r="E930" s="102">
        <f t="shared" si="28"/>
        <v>0</v>
      </c>
      <c r="F930" s="103" t="str">
        <f t="shared" si="24"/>
        <v>0 tubes and 0 shuttles</v>
      </c>
      <c r="G930" s="36">
        <f t="shared" si="29"/>
        <v>0</v>
      </c>
      <c r="H930" s="104" t="str">
        <f t="shared" si="25"/>
        <v>0 tubes and 0 shuttles</v>
      </c>
      <c r="I930" s="36">
        <f t="shared" si="26"/>
        <v>0</v>
      </c>
      <c r="J930" s="103" t="str">
        <f t="shared" si="27"/>
        <v>0 tubes and 0 shuttles</v>
      </c>
    </row>
    <row r="931" spans="1:10" ht="12.5" x14ac:dyDescent="0.25">
      <c r="A931" s="32">
        <f>'Profit &amp; Loss'!A931</f>
        <v>0</v>
      </c>
      <c r="B931" s="35">
        <f>'Profit &amp; Loss'!B931</f>
        <v>0</v>
      </c>
      <c r="C931" s="36"/>
      <c r="D931" s="33"/>
      <c r="E931" s="102">
        <f t="shared" si="28"/>
        <v>0</v>
      </c>
      <c r="F931" s="103" t="str">
        <f t="shared" si="24"/>
        <v>0 tubes and 0 shuttles</v>
      </c>
      <c r="G931" s="36">
        <f t="shared" si="29"/>
        <v>0</v>
      </c>
      <c r="H931" s="104" t="str">
        <f t="shared" si="25"/>
        <v>0 tubes and 0 shuttles</v>
      </c>
      <c r="I931" s="36">
        <f t="shared" si="26"/>
        <v>0</v>
      </c>
      <c r="J931" s="103" t="str">
        <f t="shared" si="27"/>
        <v>0 tubes and 0 shuttles</v>
      </c>
    </row>
    <row r="932" spans="1:10" ht="12.5" x14ac:dyDescent="0.25">
      <c r="A932" s="32">
        <f>'Profit &amp; Loss'!A932</f>
        <v>0</v>
      </c>
      <c r="B932" s="35">
        <f>'Profit &amp; Loss'!B932</f>
        <v>0</v>
      </c>
      <c r="C932" s="36"/>
      <c r="D932" s="33"/>
      <c r="E932" s="102">
        <f t="shared" si="28"/>
        <v>0</v>
      </c>
      <c r="F932" s="103" t="str">
        <f t="shared" si="24"/>
        <v>0 tubes and 0 shuttles</v>
      </c>
      <c r="G932" s="36">
        <f t="shared" si="29"/>
        <v>0</v>
      </c>
      <c r="H932" s="104" t="str">
        <f t="shared" si="25"/>
        <v>0 tubes and 0 shuttles</v>
      </c>
      <c r="I932" s="36">
        <f t="shared" si="26"/>
        <v>0</v>
      </c>
      <c r="J932" s="103" t="str">
        <f t="shared" si="27"/>
        <v>0 tubes and 0 shuttles</v>
      </c>
    </row>
    <row r="933" spans="1:10" ht="12.5" x14ac:dyDescent="0.25">
      <c r="A933" s="32">
        <f>'Profit &amp; Loss'!A933</f>
        <v>0</v>
      </c>
      <c r="B933" s="35">
        <f>'Profit &amp; Loss'!B933</f>
        <v>0</v>
      </c>
      <c r="C933" s="36"/>
      <c r="D933" s="33"/>
      <c r="E933" s="102">
        <f t="shared" si="28"/>
        <v>0</v>
      </c>
      <c r="F933" s="103" t="str">
        <f t="shared" si="24"/>
        <v>0 tubes and 0 shuttles</v>
      </c>
      <c r="G933" s="36">
        <f t="shared" si="29"/>
        <v>0</v>
      </c>
      <c r="H933" s="104" t="str">
        <f t="shared" si="25"/>
        <v>0 tubes and 0 shuttles</v>
      </c>
      <c r="I933" s="36">
        <f t="shared" si="26"/>
        <v>0</v>
      </c>
      <c r="J933" s="103" t="str">
        <f t="shared" si="27"/>
        <v>0 tubes and 0 shuttles</v>
      </c>
    </row>
    <row r="934" spans="1:10" ht="12.5" x14ac:dyDescent="0.25">
      <c r="A934" s="32">
        <f>'Profit &amp; Loss'!A934</f>
        <v>0</v>
      </c>
      <c r="B934" s="35">
        <f>'Profit &amp; Loss'!B934</f>
        <v>0</v>
      </c>
      <c r="C934" s="36"/>
      <c r="D934" s="33"/>
      <c r="E934" s="102">
        <f t="shared" si="28"/>
        <v>0</v>
      </c>
      <c r="F934" s="103" t="str">
        <f t="shared" si="24"/>
        <v>0 tubes and 0 shuttles</v>
      </c>
      <c r="G934" s="36">
        <f t="shared" si="29"/>
        <v>0</v>
      </c>
      <c r="H934" s="104" t="str">
        <f t="shared" si="25"/>
        <v>0 tubes and 0 shuttles</v>
      </c>
      <c r="I934" s="36">
        <f t="shared" si="26"/>
        <v>0</v>
      </c>
      <c r="J934" s="103" t="str">
        <f t="shared" si="27"/>
        <v>0 tubes and 0 shuttles</v>
      </c>
    </row>
    <row r="935" spans="1:10" ht="12.5" x14ac:dyDescent="0.25">
      <c r="A935" s="32">
        <f>'Profit &amp; Loss'!A935</f>
        <v>0</v>
      </c>
      <c r="B935" s="35">
        <f>'Profit &amp; Loss'!B935</f>
        <v>0</v>
      </c>
      <c r="C935" s="36"/>
      <c r="D935" s="33"/>
      <c r="E935" s="102">
        <f t="shared" si="28"/>
        <v>0</v>
      </c>
      <c r="F935" s="103" t="str">
        <f t="shared" si="24"/>
        <v>0 tubes and 0 shuttles</v>
      </c>
      <c r="G935" s="36">
        <f t="shared" si="29"/>
        <v>0</v>
      </c>
      <c r="H935" s="104" t="str">
        <f t="shared" si="25"/>
        <v>0 tubes and 0 shuttles</v>
      </c>
      <c r="I935" s="36">
        <f t="shared" si="26"/>
        <v>0</v>
      </c>
      <c r="J935" s="103" t="str">
        <f t="shared" si="27"/>
        <v>0 tubes and 0 shuttles</v>
      </c>
    </row>
    <row r="936" spans="1:10" ht="12.5" x14ac:dyDescent="0.25">
      <c r="A936" s="32">
        <f>'Profit &amp; Loss'!A936</f>
        <v>0</v>
      </c>
      <c r="B936" s="35">
        <f>'Profit &amp; Loss'!B936</f>
        <v>0</v>
      </c>
      <c r="C936" s="36"/>
      <c r="D936" s="33"/>
      <c r="E936" s="102">
        <f t="shared" si="28"/>
        <v>0</v>
      </c>
      <c r="F936" s="103" t="str">
        <f t="shared" si="24"/>
        <v>0 tubes and 0 shuttles</v>
      </c>
      <c r="G936" s="36">
        <f t="shared" si="29"/>
        <v>0</v>
      </c>
      <c r="H936" s="104" t="str">
        <f t="shared" si="25"/>
        <v>0 tubes and 0 shuttles</v>
      </c>
      <c r="I936" s="36">
        <f t="shared" si="26"/>
        <v>0</v>
      </c>
      <c r="J936" s="103" t="str">
        <f t="shared" si="27"/>
        <v>0 tubes and 0 shuttles</v>
      </c>
    </row>
    <row r="937" spans="1:10" ht="12.5" x14ac:dyDescent="0.25">
      <c r="A937" s="32">
        <f>'Profit &amp; Loss'!A937</f>
        <v>0</v>
      </c>
      <c r="B937" s="35">
        <f>'Profit &amp; Loss'!B937</f>
        <v>0</v>
      </c>
      <c r="C937" s="36"/>
      <c r="D937" s="33"/>
      <c r="E937" s="102">
        <f t="shared" si="28"/>
        <v>0</v>
      </c>
      <c r="F937" s="103" t="str">
        <f t="shared" si="24"/>
        <v>0 tubes and 0 shuttles</v>
      </c>
      <c r="G937" s="36">
        <f t="shared" si="29"/>
        <v>0</v>
      </c>
      <c r="H937" s="104" t="str">
        <f t="shared" si="25"/>
        <v>0 tubes and 0 shuttles</v>
      </c>
      <c r="I937" s="36">
        <f t="shared" si="26"/>
        <v>0</v>
      </c>
      <c r="J937" s="103" t="str">
        <f t="shared" si="27"/>
        <v>0 tubes and 0 shuttles</v>
      </c>
    </row>
    <row r="938" spans="1:10" ht="12.5" x14ac:dyDescent="0.25">
      <c r="A938" s="32">
        <f>'Profit &amp; Loss'!A938</f>
        <v>0</v>
      </c>
      <c r="B938" s="35">
        <f>'Profit &amp; Loss'!B938</f>
        <v>0</v>
      </c>
      <c r="C938" s="36"/>
      <c r="D938" s="33"/>
      <c r="E938" s="102">
        <f t="shared" si="28"/>
        <v>0</v>
      </c>
      <c r="F938" s="103" t="str">
        <f t="shared" si="24"/>
        <v>0 tubes and 0 shuttles</v>
      </c>
      <c r="G938" s="36">
        <f t="shared" si="29"/>
        <v>0</v>
      </c>
      <c r="H938" s="104" t="str">
        <f t="shared" si="25"/>
        <v>0 tubes and 0 shuttles</v>
      </c>
      <c r="I938" s="36">
        <f t="shared" si="26"/>
        <v>0</v>
      </c>
      <c r="J938" s="103" t="str">
        <f t="shared" si="27"/>
        <v>0 tubes and 0 shuttles</v>
      </c>
    </row>
    <row r="939" spans="1:10" ht="12.5" x14ac:dyDescent="0.25">
      <c r="A939" s="32">
        <f>'Profit &amp; Loss'!A939</f>
        <v>0</v>
      </c>
      <c r="B939" s="35">
        <f>'Profit &amp; Loss'!B939</f>
        <v>0</v>
      </c>
      <c r="C939" s="36"/>
      <c r="D939" s="33"/>
      <c r="E939" s="102">
        <f t="shared" si="28"/>
        <v>0</v>
      </c>
      <c r="F939" s="103" t="str">
        <f t="shared" si="24"/>
        <v>0 tubes and 0 shuttles</v>
      </c>
      <c r="G939" s="36">
        <f t="shared" si="29"/>
        <v>0</v>
      </c>
      <c r="H939" s="104" t="str">
        <f t="shared" si="25"/>
        <v>0 tubes and 0 shuttles</v>
      </c>
      <c r="I939" s="36">
        <f t="shared" si="26"/>
        <v>0</v>
      </c>
      <c r="J939" s="103" t="str">
        <f t="shared" si="27"/>
        <v>0 tubes and 0 shuttles</v>
      </c>
    </row>
    <row r="940" spans="1:10" ht="12.5" x14ac:dyDescent="0.25">
      <c r="A940" s="32">
        <f>'Profit &amp; Loss'!A940</f>
        <v>0</v>
      </c>
      <c r="B940" s="35">
        <f>'Profit &amp; Loss'!B940</f>
        <v>0</v>
      </c>
      <c r="C940" s="36"/>
      <c r="D940" s="33"/>
      <c r="E940" s="102">
        <f t="shared" si="28"/>
        <v>0</v>
      </c>
      <c r="F940" s="103" t="str">
        <f t="shared" si="24"/>
        <v>0 tubes and 0 shuttles</v>
      </c>
      <c r="G940" s="36">
        <f t="shared" si="29"/>
        <v>0</v>
      </c>
      <c r="H940" s="104" t="str">
        <f t="shared" si="25"/>
        <v>0 tubes and 0 shuttles</v>
      </c>
      <c r="I940" s="36">
        <f t="shared" si="26"/>
        <v>0</v>
      </c>
      <c r="J940" s="103" t="str">
        <f t="shared" si="27"/>
        <v>0 tubes and 0 shuttles</v>
      </c>
    </row>
    <row r="941" spans="1:10" ht="12.5" x14ac:dyDescent="0.25">
      <c r="A941" s="32">
        <f>'Profit &amp; Loss'!A941</f>
        <v>0</v>
      </c>
      <c r="B941" s="35">
        <f>'Profit &amp; Loss'!B941</f>
        <v>0</v>
      </c>
      <c r="C941" s="36"/>
      <c r="D941" s="33"/>
      <c r="E941" s="102">
        <f t="shared" si="28"/>
        <v>0</v>
      </c>
      <c r="F941" s="103" t="str">
        <f t="shared" si="24"/>
        <v>0 tubes and 0 shuttles</v>
      </c>
      <c r="G941" s="36">
        <f t="shared" si="29"/>
        <v>0</v>
      </c>
      <c r="H941" s="104" t="str">
        <f t="shared" si="25"/>
        <v>0 tubes and 0 shuttles</v>
      </c>
      <c r="I941" s="36">
        <f t="shared" si="26"/>
        <v>0</v>
      </c>
      <c r="J941" s="103" t="str">
        <f t="shared" si="27"/>
        <v>0 tubes and 0 shuttles</v>
      </c>
    </row>
    <row r="942" spans="1:10" ht="12.5" x14ac:dyDescent="0.25">
      <c r="A942" s="32">
        <f>'Profit &amp; Loss'!A942</f>
        <v>0</v>
      </c>
      <c r="B942" s="35">
        <f>'Profit &amp; Loss'!B942</f>
        <v>0</v>
      </c>
      <c r="C942" s="36"/>
      <c r="D942" s="33"/>
      <c r="E942" s="102">
        <f t="shared" si="28"/>
        <v>0</v>
      </c>
      <c r="F942" s="103" t="str">
        <f t="shared" si="24"/>
        <v>0 tubes and 0 shuttles</v>
      </c>
      <c r="G942" s="36">
        <f t="shared" si="29"/>
        <v>0</v>
      </c>
      <c r="H942" s="104" t="str">
        <f t="shared" si="25"/>
        <v>0 tubes and 0 shuttles</v>
      </c>
      <c r="I942" s="36">
        <f t="shared" si="26"/>
        <v>0</v>
      </c>
      <c r="J942" s="103" t="str">
        <f t="shared" si="27"/>
        <v>0 tubes and 0 shuttles</v>
      </c>
    </row>
    <row r="943" spans="1:10" ht="12.5" x14ac:dyDescent="0.25">
      <c r="A943" s="32">
        <f>'Profit &amp; Loss'!A943</f>
        <v>0</v>
      </c>
      <c r="B943" s="35">
        <f>'Profit &amp; Loss'!B943</f>
        <v>0</v>
      </c>
      <c r="C943" s="36"/>
      <c r="D943" s="33"/>
      <c r="E943" s="102">
        <f t="shared" si="28"/>
        <v>0</v>
      </c>
      <c r="F943" s="103" t="str">
        <f t="shared" si="24"/>
        <v>0 tubes and 0 shuttles</v>
      </c>
      <c r="G943" s="36">
        <f t="shared" si="29"/>
        <v>0</v>
      </c>
      <c r="H943" s="104" t="str">
        <f t="shared" si="25"/>
        <v>0 tubes and 0 shuttles</v>
      </c>
      <c r="I943" s="36">
        <f t="shared" si="26"/>
        <v>0</v>
      </c>
      <c r="J943" s="103" t="str">
        <f t="shared" si="27"/>
        <v>0 tubes and 0 shuttles</v>
      </c>
    </row>
    <row r="944" spans="1:10" ht="12.5" x14ac:dyDescent="0.25">
      <c r="A944" s="32">
        <f>'Profit &amp; Loss'!A944</f>
        <v>0</v>
      </c>
      <c r="B944" s="35">
        <f>'Profit &amp; Loss'!B944</f>
        <v>0</v>
      </c>
      <c r="C944" s="36"/>
      <c r="D944" s="33"/>
      <c r="E944" s="102">
        <f t="shared" si="28"/>
        <v>0</v>
      </c>
      <c r="F944" s="103" t="str">
        <f t="shared" si="24"/>
        <v>0 tubes and 0 shuttles</v>
      </c>
      <c r="G944" s="36">
        <f t="shared" si="29"/>
        <v>0</v>
      </c>
      <c r="H944" s="104" t="str">
        <f t="shared" si="25"/>
        <v>0 tubes and 0 shuttles</v>
      </c>
      <c r="I944" s="36">
        <f t="shared" si="26"/>
        <v>0</v>
      </c>
      <c r="J944" s="103" t="str">
        <f t="shared" si="27"/>
        <v>0 tubes and 0 shuttles</v>
      </c>
    </row>
    <row r="945" spans="1:10" ht="12.5" x14ac:dyDescent="0.25">
      <c r="A945" s="32">
        <f>'Profit &amp; Loss'!A945</f>
        <v>0</v>
      </c>
      <c r="B945" s="35">
        <f>'Profit &amp; Loss'!B945</f>
        <v>0</v>
      </c>
      <c r="C945" s="36"/>
      <c r="D945" s="33"/>
      <c r="E945" s="102">
        <f t="shared" si="28"/>
        <v>0</v>
      </c>
      <c r="F945" s="103" t="str">
        <f t="shared" si="24"/>
        <v>0 tubes and 0 shuttles</v>
      </c>
      <c r="G945" s="36">
        <f t="shared" si="29"/>
        <v>0</v>
      </c>
      <c r="H945" s="104" t="str">
        <f t="shared" si="25"/>
        <v>0 tubes and 0 shuttles</v>
      </c>
      <c r="I945" s="36">
        <f t="shared" si="26"/>
        <v>0</v>
      </c>
      <c r="J945" s="103" t="str">
        <f t="shared" si="27"/>
        <v>0 tubes and 0 shuttles</v>
      </c>
    </row>
    <row r="946" spans="1:10" ht="12.5" x14ac:dyDescent="0.25">
      <c r="A946" s="32">
        <f>'Profit &amp; Loss'!A946</f>
        <v>0</v>
      </c>
      <c r="B946" s="35">
        <f>'Profit &amp; Loss'!B946</f>
        <v>0</v>
      </c>
      <c r="C946" s="36"/>
      <c r="D946" s="33"/>
      <c r="E946" s="102">
        <f t="shared" si="28"/>
        <v>0</v>
      </c>
      <c r="F946" s="103" t="str">
        <f t="shared" si="24"/>
        <v>0 tubes and 0 shuttles</v>
      </c>
      <c r="G946" s="36">
        <f t="shared" si="29"/>
        <v>0</v>
      </c>
      <c r="H946" s="104" t="str">
        <f t="shared" si="25"/>
        <v>0 tubes and 0 shuttles</v>
      </c>
      <c r="I946" s="36">
        <f t="shared" si="26"/>
        <v>0</v>
      </c>
      <c r="J946" s="103" t="str">
        <f t="shared" si="27"/>
        <v>0 tubes and 0 shuttles</v>
      </c>
    </row>
    <row r="947" spans="1:10" ht="12.5" x14ac:dyDescent="0.25">
      <c r="A947" s="32">
        <f>'Profit &amp; Loss'!A947</f>
        <v>0</v>
      </c>
      <c r="B947" s="35">
        <f>'Profit &amp; Loss'!B947</f>
        <v>0</v>
      </c>
      <c r="C947" s="36"/>
      <c r="D947" s="33"/>
      <c r="E947" s="102">
        <f t="shared" si="28"/>
        <v>0</v>
      </c>
      <c r="F947" s="103" t="str">
        <f t="shared" si="24"/>
        <v>0 tubes and 0 shuttles</v>
      </c>
      <c r="G947" s="36">
        <f t="shared" si="29"/>
        <v>0</v>
      </c>
      <c r="H947" s="104" t="str">
        <f t="shared" si="25"/>
        <v>0 tubes and 0 shuttles</v>
      </c>
      <c r="I947" s="36">
        <f t="shared" si="26"/>
        <v>0</v>
      </c>
      <c r="J947" s="103" t="str">
        <f t="shared" si="27"/>
        <v>0 tubes and 0 shuttles</v>
      </c>
    </row>
    <row r="948" spans="1:10" ht="12.5" x14ac:dyDescent="0.25">
      <c r="A948" s="32">
        <f>'Profit &amp; Loss'!A948</f>
        <v>0</v>
      </c>
      <c r="B948" s="35">
        <f>'Profit &amp; Loss'!B948</f>
        <v>0</v>
      </c>
      <c r="C948" s="36"/>
      <c r="D948" s="33"/>
      <c r="E948" s="102">
        <f t="shared" si="28"/>
        <v>0</v>
      </c>
      <c r="F948" s="103" t="str">
        <f t="shared" si="24"/>
        <v>0 tubes and 0 shuttles</v>
      </c>
      <c r="G948" s="36">
        <f t="shared" si="29"/>
        <v>0</v>
      </c>
      <c r="H948" s="104" t="str">
        <f t="shared" si="25"/>
        <v>0 tubes and 0 shuttles</v>
      </c>
      <c r="I948" s="36">
        <f t="shared" si="26"/>
        <v>0</v>
      </c>
      <c r="J948" s="103" t="str">
        <f t="shared" si="27"/>
        <v>0 tubes and 0 shuttles</v>
      </c>
    </row>
    <row r="949" spans="1:10" ht="12.5" x14ac:dyDescent="0.25">
      <c r="A949" s="32">
        <f>'Profit &amp; Loss'!A949</f>
        <v>0</v>
      </c>
      <c r="B949" s="35">
        <f>'Profit &amp; Loss'!B949</f>
        <v>0</v>
      </c>
      <c r="C949" s="36"/>
      <c r="D949" s="33"/>
      <c r="E949" s="102">
        <f t="shared" si="28"/>
        <v>0</v>
      </c>
      <c r="F949" s="103" t="str">
        <f t="shared" si="24"/>
        <v>0 tubes and 0 shuttles</v>
      </c>
      <c r="G949" s="36">
        <f t="shared" si="29"/>
        <v>0</v>
      </c>
      <c r="H949" s="104" t="str">
        <f t="shared" si="25"/>
        <v>0 tubes and 0 shuttles</v>
      </c>
      <c r="I949" s="36">
        <f t="shared" si="26"/>
        <v>0</v>
      </c>
      <c r="J949" s="103" t="str">
        <f t="shared" si="27"/>
        <v>0 tubes and 0 shuttles</v>
      </c>
    </row>
    <row r="950" spans="1:10" ht="12.5" x14ac:dyDescent="0.25">
      <c r="A950" s="32">
        <f>'Profit &amp; Loss'!A950</f>
        <v>0</v>
      </c>
      <c r="B950" s="35">
        <f>'Profit &amp; Loss'!B950</f>
        <v>0</v>
      </c>
      <c r="C950" s="36"/>
      <c r="D950" s="33"/>
      <c r="E950" s="102">
        <f t="shared" si="28"/>
        <v>0</v>
      </c>
      <c r="F950" s="103" t="str">
        <f t="shared" si="24"/>
        <v>0 tubes and 0 shuttles</v>
      </c>
      <c r="G950" s="36">
        <f t="shared" si="29"/>
        <v>0</v>
      </c>
      <c r="H950" s="104" t="str">
        <f t="shared" si="25"/>
        <v>0 tubes and 0 shuttles</v>
      </c>
      <c r="I950" s="36">
        <f t="shared" si="26"/>
        <v>0</v>
      </c>
      <c r="J950" s="103" t="str">
        <f t="shared" si="27"/>
        <v>0 tubes and 0 shuttles</v>
      </c>
    </row>
    <row r="951" spans="1:10" ht="12.5" x14ac:dyDescent="0.25">
      <c r="A951" s="32">
        <f>'Profit &amp; Loss'!A951</f>
        <v>0</v>
      </c>
      <c r="B951" s="35">
        <f>'Profit &amp; Loss'!B951</f>
        <v>0</v>
      </c>
      <c r="C951" s="36"/>
      <c r="D951" s="33"/>
      <c r="E951" s="102">
        <f t="shared" si="28"/>
        <v>0</v>
      </c>
      <c r="F951" s="103" t="str">
        <f t="shared" si="24"/>
        <v>0 tubes and 0 shuttles</v>
      </c>
      <c r="G951" s="36">
        <f t="shared" si="29"/>
        <v>0</v>
      </c>
      <c r="H951" s="104" t="str">
        <f t="shared" si="25"/>
        <v>0 tubes and 0 shuttles</v>
      </c>
      <c r="I951" s="36">
        <f t="shared" si="26"/>
        <v>0</v>
      </c>
      <c r="J951" s="103" t="str">
        <f t="shared" si="27"/>
        <v>0 tubes and 0 shuttles</v>
      </c>
    </row>
    <row r="952" spans="1:10" ht="12.5" x14ac:dyDescent="0.25">
      <c r="A952" s="32">
        <f>'Profit &amp; Loss'!A952</f>
        <v>0</v>
      </c>
      <c r="B952" s="35">
        <f>'Profit &amp; Loss'!B952</f>
        <v>0</v>
      </c>
      <c r="C952" s="36"/>
      <c r="D952" s="33"/>
      <c r="E952" s="102">
        <f t="shared" si="28"/>
        <v>0</v>
      </c>
      <c r="F952" s="103" t="str">
        <f t="shared" si="24"/>
        <v>0 tubes and 0 shuttles</v>
      </c>
      <c r="G952" s="36">
        <f t="shared" si="29"/>
        <v>0</v>
      </c>
      <c r="H952" s="104" t="str">
        <f t="shared" si="25"/>
        <v>0 tubes and 0 shuttles</v>
      </c>
      <c r="I952" s="36">
        <f t="shared" si="26"/>
        <v>0</v>
      </c>
      <c r="J952" s="103" t="str">
        <f t="shared" si="27"/>
        <v>0 tubes and 0 shuttles</v>
      </c>
    </row>
    <row r="953" spans="1:10" ht="12.5" x14ac:dyDescent="0.25">
      <c r="A953" s="32">
        <f>'Profit &amp; Loss'!A953</f>
        <v>0</v>
      </c>
      <c r="B953" s="35">
        <f>'Profit &amp; Loss'!B953</f>
        <v>0</v>
      </c>
      <c r="C953" s="36"/>
      <c r="D953" s="33"/>
      <c r="E953" s="102">
        <f t="shared" si="28"/>
        <v>0</v>
      </c>
      <c r="F953" s="103" t="str">
        <f t="shared" si="24"/>
        <v>0 tubes and 0 shuttles</v>
      </c>
      <c r="G953" s="36">
        <f t="shared" si="29"/>
        <v>0</v>
      </c>
      <c r="H953" s="104" t="str">
        <f t="shared" si="25"/>
        <v>0 tubes and 0 shuttles</v>
      </c>
      <c r="I953" s="36">
        <f t="shared" si="26"/>
        <v>0</v>
      </c>
      <c r="J953" s="103" t="str">
        <f t="shared" si="27"/>
        <v>0 tubes and 0 shuttles</v>
      </c>
    </row>
    <row r="954" spans="1:10" ht="12.5" x14ac:dyDescent="0.25">
      <c r="A954" s="32">
        <f>'Profit &amp; Loss'!A954</f>
        <v>0</v>
      </c>
      <c r="B954" s="35">
        <f>'Profit &amp; Loss'!B954</f>
        <v>0</v>
      </c>
      <c r="C954" s="36"/>
      <c r="D954" s="33"/>
      <c r="E954" s="102">
        <f t="shared" si="28"/>
        <v>0</v>
      </c>
      <c r="F954" s="103" t="str">
        <f t="shared" si="24"/>
        <v>0 tubes and 0 shuttles</v>
      </c>
      <c r="G954" s="36">
        <f t="shared" si="29"/>
        <v>0</v>
      </c>
      <c r="H954" s="104" t="str">
        <f t="shared" si="25"/>
        <v>0 tubes and 0 shuttles</v>
      </c>
      <c r="I954" s="36">
        <f t="shared" si="26"/>
        <v>0</v>
      </c>
      <c r="J954" s="103" t="str">
        <f t="shared" si="27"/>
        <v>0 tubes and 0 shuttles</v>
      </c>
    </row>
    <row r="955" spans="1:10" ht="12.5" x14ac:dyDescent="0.25">
      <c r="A955" s="32">
        <f>'Profit &amp; Loss'!A955</f>
        <v>0</v>
      </c>
      <c r="B955" s="35">
        <f>'Profit &amp; Loss'!B955</f>
        <v>0</v>
      </c>
      <c r="C955" s="36"/>
      <c r="D955" s="33"/>
      <c r="E955" s="102">
        <f t="shared" si="28"/>
        <v>0</v>
      </c>
      <c r="F955" s="103" t="str">
        <f t="shared" si="24"/>
        <v>0 tubes and 0 shuttles</v>
      </c>
      <c r="G955" s="36">
        <f t="shared" si="29"/>
        <v>0</v>
      </c>
      <c r="H955" s="104" t="str">
        <f t="shared" si="25"/>
        <v>0 tubes and 0 shuttles</v>
      </c>
      <c r="I955" s="36">
        <f t="shared" si="26"/>
        <v>0</v>
      </c>
      <c r="J955" s="103" t="str">
        <f t="shared" si="27"/>
        <v>0 tubes and 0 shuttles</v>
      </c>
    </row>
    <row r="956" spans="1:10" ht="12.5" x14ac:dyDescent="0.25">
      <c r="A956" s="32">
        <f>'Profit &amp; Loss'!A956</f>
        <v>0</v>
      </c>
      <c r="B956" s="35">
        <f>'Profit &amp; Loss'!B956</f>
        <v>0</v>
      </c>
      <c r="C956" s="36"/>
      <c r="D956" s="33"/>
      <c r="E956" s="102">
        <f t="shared" si="28"/>
        <v>0</v>
      </c>
      <c r="F956" s="103" t="str">
        <f t="shared" si="24"/>
        <v>0 tubes and 0 shuttles</v>
      </c>
      <c r="G956" s="36">
        <f t="shared" si="29"/>
        <v>0</v>
      </c>
      <c r="H956" s="104" t="str">
        <f t="shared" si="25"/>
        <v>0 tubes and 0 shuttles</v>
      </c>
      <c r="I956" s="36">
        <f t="shared" si="26"/>
        <v>0</v>
      </c>
      <c r="J956" s="103" t="str">
        <f t="shared" si="27"/>
        <v>0 tubes and 0 shuttles</v>
      </c>
    </row>
    <row r="957" spans="1:10" ht="12.5" x14ac:dyDescent="0.25">
      <c r="A957" s="32">
        <f>'Profit &amp; Loss'!A957</f>
        <v>0</v>
      </c>
      <c r="B957" s="35">
        <f>'Profit &amp; Loss'!B957</f>
        <v>0</v>
      </c>
      <c r="C957" s="36"/>
      <c r="D957" s="33"/>
      <c r="E957" s="102">
        <f t="shared" si="28"/>
        <v>0</v>
      </c>
      <c r="F957" s="103" t="str">
        <f t="shared" si="24"/>
        <v>0 tubes and 0 shuttles</v>
      </c>
      <c r="G957" s="36">
        <f t="shared" si="29"/>
        <v>0</v>
      </c>
      <c r="H957" s="104" t="str">
        <f t="shared" si="25"/>
        <v>0 tubes and 0 shuttles</v>
      </c>
      <c r="I957" s="36">
        <f t="shared" si="26"/>
        <v>0</v>
      </c>
      <c r="J957" s="103" t="str">
        <f t="shared" si="27"/>
        <v>0 tubes and 0 shuttles</v>
      </c>
    </row>
    <row r="958" spans="1:10" ht="12.5" x14ac:dyDescent="0.25">
      <c r="A958" s="32">
        <f>'Profit &amp; Loss'!A958</f>
        <v>0</v>
      </c>
      <c r="B958" s="35">
        <f>'Profit &amp; Loss'!B958</f>
        <v>0</v>
      </c>
      <c r="C958" s="36"/>
      <c r="D958" s="33"/>
      <c r="E958" s="102">
        <f t="shared" si="28"/>
        <v>0</v>
      </c>
      <c r="F958" s="103" t="str">
        <f t="shared" si="24"/>
        <v>0 tubes and 0 shuttles</v>
      </c>
      <c r="G958" s="36">
        <f t="shared" si="29"/>
        <v>0</v>
      </c>
      <c r="H958" s="104" t="str">
        <f t="shared" si="25"/>
        <v>0 tubes and 0 shuttles</v>
      </c>
      <c r="I958" s="36">
        <f t="shared" si="26"/>
        <v>0</v>
      </c>
      <c r="J958" s="103" t="str">
        <f t="shared" si="27"/>
        <v>0 tubes and 0 shuttles</v>
      </c>
    </row>
    <row r="959" spans="1:10" ht="12.5" x14ac:dyDescent="0.25">
      <c r="A959" s="32">
        <f>'Profit &amp; Loss'!A959</f>
        <v>0</v>
      </c>
      <c r="B959" s="35">
        <f>'Profit &amp; Loss'!B959</f>
        <v>0</v>
      </c>
      <c r="C959" s="36"/>
      <c r="D959" s="33"/>
      <c r="E959" s="102">
        <f t="shared" si="28"/>
        <v>0</v>
      </c>
      <c r="F959" s="103" t="str">
        <f t="shared" si="24"/>
        <v>0 tubes and 0 shuttles</v>
      </c>
      <c r="G959" s="36">
        <f t="shared" si="29"/>
        <v>0</v>
      </c>
      <c r="H959" s="104" t="str">
        <f t="shared" si="25"/>
        <v>0 tubes and 0 shuttles</v>
      </c>
      <c r="I959" s="36">
        <f t="shared" si="26"/>
        <v>0</v>
      </c>
      <c r="J959" s="103" t="str">
        <f t="shared" si="27"/>
        <v>0 tubes and 0 shuttles</v>
      </c>
    </row>
    <row r="960" spans="1:10" ht="12.5" x14ac:dyDescent="0.25">
      <c r="A960" s="32">
        <f>'Profit &amp; Loss'!A960</f>
        <v>0</v>
      </c>
      <c r="B960" s="35">
        <f>'Profit &amp; Loss'!B960</f>
        <v>0</v>
      </c>
      <c r="C960" s="36"/>
      <c r="D960" s="33"/>
      <c r="E960" s="102">
        <f t="shared" si="28"/>
        <v>0</v>
      </c>
      <c r="F960" s="103" t="str">
        <f t="shared" si="24"/>
        <v>0 tubes and 0 shuttles</v>
      </c>
      <c r="G960" s="36">
        <f t="shared" si="29"/>
        <v>0</v>
      </c>
      <c r="H960" s="104" t="str">
        <f t="shared" si="25"/>
        <v>0 tubes and 0 shuttles</v>
      </c>
      <c r="I960" s="36">
        <f t="shared" si="26"/>
        <v>0</v>
      </c>
      <c r="J960" s="103" t="str">
        <f t="shared" si="27"/>
        <v>0 tubes and 0 shuttles</v>
      </c>
    </row>
    <row r="961" spans="1:10" ht="12.5" x14ac:dyDescent="0.25">
      <c r="A961" s="32">
        <f>'Profit &amp; Loss'!A961</f>
        <v>0</v>
      </c>
      <c r="B961" s="35">
        <f>'Profit &amp; Loss'!B961</f>
        <v>0</v>
      </c>
      <c r="C961" s="36"/>
      <c r="D961" s="33"/>
      <c r="E961" s="102">
        <f t="shared" si="28"/>
        <v>0</v>
      </c>
      <c r="F961" s="103" t="str">
        <f t="shared" si="24"/>
        <v>0 tubes and 0 shuttles</v>
      </c>
      <c r="G961" s="36">
        <f t="shared" si="29"/>
        <v>0</v>
      </c>
      <c r="H961" s="104" t="str">
        <f t="shared" si="25"/>
        <v>0 tubes and 0 shuttles</v>
      </c>
      <c r="I961" s="36">
        <f t="shared" si="26"/>
        <v>0</v>
      </c>
      <c r="J961" s="103" t="str">
        <f t="shared" si="27"/>
        <v>0 tubes and 0 shuttles</v>
      </c>
    </row>
    <row r="962" spans="1:10" ht="12.5" x14ac:dyDescent="0.25">
      <c r="A962" s="32">
        <f>'Profit &amp; Loss'!A962</f>
        <v>0</v>
      </c>
      <c r="B962" s="35">
        <f>'Profit &amp; Loss'!B962</f>
        <v>0</v>
      </c>
      <c r="C962" s="36"/>
      <c r="D962" s="33"/>
      <c r="E962" s="102">
        <f t="shared" si="28"/>
        <v>0</v>
      </c>
      <c r="F962" s="103" t="str">
        <f t="shared" si="24"/>
        <v>0 tubes and 0 shuttles</v>
      </c>
      <c r="G962" s="36">
        <f t="shared" si="29"/>
        <v>0</v>
      </c>
      <c r="H962" s="104" t="str">
        <f t="shared" si="25"/>
        <v>0 tubes and 0 shuttles</v>
      </c>
      <c r="I962" s="36">
        <f t="shared" si="26"/>
        <v>0</v>
      </c>
      <c r="J962" s="103" t="str">
        <f t="shared" si="27"/>
        <v>0 tubes and 0 shuttles</v>
      </c>
    </row>
    <row r="963" spans="1:10" ht="12.5" x14ac:dyDescent="0.25">
      <c r="A963" s="32">
        <f>'Profit &amp; Loss'!A963</f>
        <v>0</v>
      </c>
      <c r="B963" s="35">
        <f>'Profit &amp; Loss'!B963</f>
        <v>0</v>
      </c>
      <c r="C963" s="36"/>
      <c r="D963" s="33"/>
      <c r="E963" s="102">
        <f t="shared" si="28"/>
        <v>0</v>
      </c>
      <c r="F963" s="103" t="str">
        <f t="shared" si="24"/>
        <v>0 tubes and 0 shuttles</v>
      </c>
      <c r="G963" s="36">
        <f t="shared" si="29"/>
        <v>0</v>
      </c>
      <c r="H963" s="104" t="str">
        <f t="shared" si="25"/>
        <v>0 tubes and 0 shuttles</v>
      </c>
      <c r="I963" s="36">
        <f t="shared" si="26"/>
        <v>0</v>
      </c>
      <c r="J963" s="103" t="str">
        <f t="shared" si="27"/>
        <v>0 tubes and 0 shuttles</v>
      </c>
    </row>
    <row r="964" spans="1:10" ht="12.5" x14ac:dyDescent="0.25">
      <c r="A964" s="32">
        <f>'Profit &amp; Loss'!A964</f>
        <v>0</v>
      </c>
      <c r="B964" s="35">
        <f>'Profit &amp; Loss'!B964</f>
        <v>0</v>
      </c>
      <c r="C964" s="36"/>
      <c r="D964" s="33"/>
      <c r="E964" s="102">
        <f t="shared" si="28"/>
        <v>0</v>
      </c>
      <c r="F964" s="103" t="str">
        <f t="shared" si="24"/>
        <v>0 tubes and 0 shuttles</v>
      </c>
      <c r="G964" s="36">
        <f t="shared" si="29"/>
        <v>0</v>
      </c>
      <c r="H964" s="104" t="str">
        <f t="shared" si="25"/>
        <v>0 tubes and 0 shuttles</v>
      </c>
      <c r="I964" s="36">
        <f t="shared" si="26"/>
        <v>0</v>
      </c>
      <c r="J964" s="103" t="str">
        <f t="shared" si="27"/>
        <v>0 tubes and 0 shuttles</v>
      </c>
    </row>
    <row r="965" spans="1:10" ht="12.5" x14ac:dyDescent="0.25">
      <c r="A965" s="32">
        <f>'Profit &amp; Loss'!A965</f>
        <v>0</v>
      </c>
      <c r="B965" s="35">
        <f>'Profit &amp; Loss'!B965</f>
        <v>0</v>
      </c>
      <c r="C965" s="36"/>
      <c r="D965" s="33"/>
      <c r="E965" s="102">
        <f t="shared" si="28"/>
        <v>0</v>
      </c>
      <c r="F965" s="103" t="str">
        <f t="shared" si="24"/>
        <v>0 tubes and 0 shuttles</v>
      </c>
      <c r="G965" s="36">
        <f t="shared" si="29"/>
        <v>0</v>
      </c>
      <c r="H965" s="104" t="str">
        <f t="shared" si="25"/>
        <v>0 tubes and 0 shuttles</v>
      </c>
      <c r="I965" s="36">
        <f t="shared" si="26"/>
        <v>0</v>
      </c>
      <c r="J965" s="103" t="str">
        <f t="shared" si="27"/>
        <v>0 tubes and 0 shuttles</v>
      </c>
    </row>
    <row r="966" spans="1:10" ht="12.5" x14ac:dyDescent="0.25">
      <c r="A966" s="32">
        <f>'Profit &amp; Loss'!A966</f>
        <v>0</v>
      </c>
      <c r="B966" s="35">
        <f>'Profit &amp; Loss'!B966</f>
        <v>0</v>
      </c>
      <c r="C966" s="36"/>
      <c r="D966" s="33"/>
      <c r="E966" s="102">
        <f t="shared" si="28"/>
        <v>0</v>
      </c>
      <c r="F966" s="103" t="str">
        <f t="shared" si="24"/>
        <v>0 tubes and 0 shuttles</v>
      </c>
      <c r="G966" s="36">
        <f t="shared" si="29"/>
        <v>0</v>
      </c>
      <c r="H966" s="104" t="str">
        <f t="shared" si="25"/>
        <v>0 tubes and 0 shuttles</v>
      </c>
      <c r="I966" s="36">
        <f t="shared" si="26"/>
        <v>0</v>
      </c>
      <c r="J966" s="103" t="str">
        <f t="shared" si="27"/>
        <v>0 tubes and 0 shuttles</v>
      </c>
    </row>
    <row r="967" spans="1:10" ht="12.5" x14ac:dyDescent="0.25">
      <c r="A967" s="32">
        <f>'Profit &amp; Loss'!A967</f>
        <v>0</v>
      </c>
      <c r="B967" s="35">
        <f>'Profit &amp; Loss'!B967</f>
        <v>0</v>
      </c>
      <c r="C967" s="36"/>
      <c r="D967" s="33"/>
      <c r="E967" s="102">
        <f t="shared" si="28"/>
        <v>0</v>
      </c>
      <c r="F967" s="103" t="str">
        <f t="shared" si="24"/>
        <v>0 tubes and 0 shuttles</v>
      </c>
      <c r="G967" s="36">
        <f t="shared" si="29"/>
        <v>0</v>
      </c>
      <c r="H967" s="104" t="str">
        <f t="shared" si="25"/>
        <v>0 tubes and 0 shuttles</v>
      </c>
      <c r="I967" s="36">
        <f t="shared" si="26"/>
        <v>0</v>
      </c>
      <c r="J967" s="103" t="str">
        <f t="shared" si="27"/>
        <v>0 tubes and 0 shuttles</v>
      </c>
    </row>
    <row r="968" spans="1:10" ht="12.5" x14ac:dyDescent="0.25">
      <c r="A968" s="32">
        <f>'Profit &amp; Loss'!A968</f>
        <v>0</v>
      </c>
      <c r="B968" s="35">
        <f>'Profit &amp; Loss'!B968</f>
        <v>0</v>
      </c>
      <c r="C968" s="36"/>
      <c r="D968" s="33"/>
      <c r="E968" s="102">
        <f t="shared" si="28"/>
        <v>0</v>
      </c>
      <c r="F968" s="103" t="str">
        <f t="shared" si="24"/>
        <v>0 tubes and 0 shuttles</v>
      </c>
      <c r="G968" s="36">
        <f t="shared" si="29"/>
        <v>0</v>
      </c>
      <c r="H968" s="104" t="str">
        <f t="shared" si="25"/>
        <v>0 tubes and 0 shuttles</v>
      </c>
      <c r="I968" s="36">
        <f t="shared" si="26"/>
        <v>0</v>
      </c>
      <c r="J968" s="103" t="str">
        <f t="shared" si="27"/>
        <v>0 tubes and 0 shuttles</v>
      </c>
    </row>
    <row r="969" spans="1:10" ht="12.5" x14ac:dyDescent="0.25">
      <c r="A969" s="32">
        <f>'Profit &amp; Loss'!A969</f>
        <v>0</v>
      </c>
      <c r="B969" s="35">
        <f>'Profit &amp; Loss'!B969</f>
        <v>0</v>
      </c>
      <c r="C969" s="36"/>
      <c r="D969" s="33"/>
      <c r="E969" s="102">
        <f t="shared" si="28"/>
        <v>0</v>
      </c>
      <c r="F969" s="103" t="str">
        <f t="shared" si="24"/>
        <v>0 tubes and 0 shuttles</v>
      </c>
      <c r="G969" s="36">
        <f t="shared" si="29"/>
        <v>0</v>
      </c>
      <c r="H969" s="104" t="str">
        <f t="shared" si="25"/>
        <v>0 tubes and 0 shuttles</v>
      </c>
      <c r="I969" s="36">
        <f t="shared" si="26"/>
        <v>0</v>
      </c>
      <c r="J969" s="103" t="str">
        <f t="shared" si="27"/>
        <v>0 tubes and 0 shuttles</v>
      </c>
    </row>
    <row r="970" spans="1:10" ht="12.5" x14ac:dyDescent="0.25">
      <c r="A970" s="32">
        <f>'Profit &amp; Loss'!A970</f>
        <v>0</v>
      </c>
      <c r="B970" s="35">
        <f>'Profit &amp; Loss'!B970</f>
        <v>0</v>
      </c>
      <c r="C970" s="36"/>
      <c r="D970" s="33"/>
      <c r="E970" s="102">
        <f t="shared" si="28"/>
        <v>0</v>
      </c>
      <c r="F970" s="103" t="str">
        <f t="shared" si="24"/>
        <v>0 tubes and 0 shuttles</v>
      </c>
      <c r="G970" s="36">
        <f t="shared" si="29"/>
        <v>0</v>
      </c>
      <c r="H970" s="104" t="str">
        <f t="shared" si="25"/>
        <v>0 tubes and 0 shuttles</v>
      </c>
      <c r="I970" s="36">
        <f t="shared" si="26"/>
        <v>0</v>
      </c>
      <c r="J970" s="103" t="str">
        <f t="shared" si="27"/>
        <v>0 tubes and 0 shuttles</v>
      </c>
    </row>
    <row r="971" spans="1:10" ht="12.5" x14ac:dyDescent="0.25">
      <c r="A971" s="32">
        <f>'Profit &amp; Loss'!A971</f>
        <v>0</v>
      </c>
      <c r="B971" s="35">
        <f>'Profit &amp; Loss'!B971</f>
        <v>0</v>
      </c>
      <c r="C971" s="36"/>
      <c r="D971" s="33"/>
      <c r="E971" s="102">
        <f t="shared" si="28"/>
        <v>0</v>
      </c>
      <c r="F971" s="103" t="str">
        <f t="shared" si="24"/>
        <v>0 tubes and 0 shuttles</v>
      </c>
      <c r="G971" s="36">
        <f t="shared" si="29"/>
        <v>0</v>
      </c>
      <c r="H971" s="104" t="str">
        <f t="shared" si="25"/>
        <v>0 tubes and 0 shuttles</v>
      </c>
      <c r="I971" s="36">
        <f t="shared" si="26"/>
        <v>0</v>
      </c>
      <c r="J971" s="103" t="str">
        <f t="shared" si="27"/>
        <v>0 tubes and 0 shuttles</v>
      </c>
    </row>
    <row r="972" spans="1:10" ht="12.5" x14ac:dyDescent="0.25">
      <c r="A972" s="32">
        <f>'Profit &amp; Loss'!A972</f>
        <v>0</v>
      </c>
      <c r="B972" s="35">
        <f>'Profit &amp; Loss'!B972</f>
        <v>0</v>
      </c>
      <c r="C972" s="36"/>
      <c r="D972" s="33"/>
      <c r="E972" s="102">
        <f t="shared" si="28"/>
        <v>0</v>
      </c>
      <c r="F972" s="103" t="str">
        <f t="shared" si="24"/>
        <v>0 tubes and 0 shuttles</v>
      </c>
      <c r="G972" s="36">
        <f t="shared" si="29"/>
        <v>0</v>
      </c>
      <c r="H972" s="104" t="str">
        <f t="shared" si="25"/>
        <v>0 tubes and 0 shuttles</v>
      </c>
      <c r="I972" s="36">
        <f t="shared" si="26"/>
        <v>0</v>
      </c>
      <c r="J972" s="103" t="str">
        <f t="shared" si="27"/>
        <v>0 tubes and 0 shuttles</v>
      </c>
    </row>
    <row r="973" spans="1:10" ht="12.5" x14ac:dyDescent="0.25">
      <c r="A973" s="32">
        <f>'Profit &amp; Loss'!A973</f>
        <v>0</v>
      </c>
      <c r="B973" s="35">
        <f>'Profit &amp; Loss'!B973</f>
        <v>0</v>
      </c>
      <c r="C973" s="36"/>
      <c r="D973" s="33"/>
      <c r="E973" s="102">
        <f t="shared" si="28"/>
        <v>0</v>
      </c>
      <c r="F973" s="103" t="str">
        <f t="shared" si="24"/>
        <v>0 tubes and 0 shuttles</v>
      </c>
      <c r="G973" s="36">
        <f t="shared" si="29"/>
        <v>0</v>
      </c>
      <c r="H973" s="104" t="str">
        <f t="shared" si="25"/>
        <v>0 tubes and 0 shuttles</v>
      </c>
      <c r="I973" s="36">
        <f t="shared" si="26"/>
        <v>0</v>
      </c>
      <c r="J973" s="103" t="str">
        <f t="shared" si="27"/>
        <v>0 tubes and 0 shuttles</v>
      </c>
    </row>
    <row r="974" spans="1:10" ht="12.5" x14ac:dyDescent="0.25">
      <c r="A974" s="32">
        <f>'Profit &amp; Loss'!A974</f>
        <v>0</v>
      </c>
      <c r="B974" s="35">
        <f>'Profit &amp; Loss'!B974</f>
        <v>0</v>
      </c>
      <c r="C974" s="36"/>
      <c r="D974" s="33"/>
      <c r="E974" s="102">
        <f t="shared" si="28"/>
        <v>0</v>
      </c>
      <c r="F974" s="103" t="str">
        <f t="shared" si="24"/>
        <v>0 tubes and 0 shuttles</v>
      </c>
      <c r="G974" s="36">
        <f t="shared" si="29"/>
        <v>0</v>
      </c>
      <c r="H974" s="104" t="str">
        <f t="shared" si="25"/>
        <v>0 tubes and 0 shuttles</v>
      </c>
      <c r="I974" s="36">
        <f t="shared" si="26"/>
        <v>0</v>
      </c>
      <c r="J974" s="103" t="str">
        <f t="shared" si="27"/>
        <v>0 tubes and 0 shuttles</v>
      </c>
    </row>
    <row r="975" spans="1:10" ht="12.5" x14ac:dyDescent="0.25">
      <c r="A975" s="32">
        <f>'Profit &amp; Loss'!A975</f>
        <v>0</v>
      </c>
      <c r="B975" s="35">
        <f>'Profit &amp; Loss'!B975</f>
        <v>0</v>
      </c>
      <c r="C975" s="36"/>
      <c r="D975" s="33"/>
      <c r="E975" s="102">
        <f t="shared" si="28"/>
        <v>0</v>
      </c>
      <c r="F975" s="103" t="str">
        <f t="shared" si="24"/>
        <v>0 tubes and 0 shuttles</v>
      </c>
      <c r="G975" s="36">
        <f t="shared" si="29"/>
        <v>0</v>
      </c>
      <c r="H975" s="104" t="str">
        <f t="shared" si="25"/>
        <v>0 tubes and 0 shuttles</v>
      </c>
      <c r="I975" s="36">
        <f t="shared" si="26"/>
        <v>0</v>
      </c>
      <c r="J975" s="103" t="str">
        <f t="shared" si="27"/>
        <v>0 tubes and 0 shuttles</v>
      </c>
    </row>
    <row r="976" spans="1:10" ht="12.5" x14ac:dyDescent="0.25">
      <c r="A976" s="32">
        <f>'Profit &amp; Loss'!A976</f>
        <v>0</v>
      </c>
      <c r="B976" s="35">
        <f>'Profit &amp; Loss'!B976</f>
        <v>0</v>
      </c>
      <c r="C976" s="36"/>
      <c r="D976" s="33"/>
      <c r="E976" s="102">
        <f t="shared" si="28"/>
        <v>0</v>
      </c>
      <c r="F976" s="103" t="str">
        <f t="shared" si="24"/>
        <v>0 tubes and 0 shuttles</v>
      </c>
      <c r="G976" s="36">
        <f t="shared" si="29"/>
        <v>0</v>
      </c>
      <c r="H976" s="104" t="str">
        <f t="shared" si="25"/>
        <v>0 tubes and 0 shuttles</v>
      </c>
      <c r="I976" s="36">
        <f t="shared" si="26"/>
        <v>0</v>
      </c>
      <c r="J976" s="103" t="str">
        <f t="shared" si="27"/>
        <v>0 tubes and 0 shuttles</v>
      </c>
    </row>
    <row r="977" spans="1:10" ht="12.5" x14ac:dyDescent="0.25">
      <c r="A977" s="32">
        <f>'Profit &amp; Loss'!A977</f>
        <v>0</v>
      </c>
      <c r="B977" s="35">
        <f>'Profit &amp; Loss'!B977</f>
        <v>0</v>
      </c>
      <c r="C977" s="36"/>
      <c r="D977" s="33"/>
      <c r="E977" s="102">
        <f t="shared" si="28"/>
        <v>0</v>
      </c>
      <c r="F977" s="103" t="str">
        <f t="shared" si="24"/>
        <v>0 tubes and 0 shuttles</v>
      </c>
      <c r="G977" s="36">
        <f t="shared" si="29"/>
        <v>0</v>
      </c>
      <c r="H977" s="104" t="str">
        <f t="shared" si="25"/>
        <v>0 tubes and 0 shuttles</v>
      </c>
      <c r="I977" s="36">
        <f t="shared" si="26"/>
        <v>0</v>
      </c>
      <c r="J977" s="103" t="str">
        <f t="shared" si="27"/>
        <v>0 tubes and 0 shuttles</v>
      </c>
    </row>
    <row r="978" spans="1:10" ht="12.5" x14ac:dyDescent="0.25">
      <c r="A978" s="32">
        <f>'Profit &amp; Loss'!A978</f>
        <v>0</v>
      </c>
      <c r="B978" s="35">
        <f>'Profit &amp; Loss'!B978</f>
        <v>0</v>
      </c>
      <c r="C978" s="36"/>
      <c r="D978" s="33"/>
      <c r="E978" s="102">
        <f t="shared" si="28"/>
        <v>0</v>
      </c>
      <c r="F978" s="103" t="str">
        <f t="shared" si="24"/>
        <v>0 tubes and 0 shuttles</v>
      </c>
      <c r="G978" s="36">
        <f t="shared" si="29"/>
        <v>0</v>
      </c>
      <c r="H978" s="104" t="str">
        <f t="shared" si="25"/>
        <v>0 tubes and 0 shuttles</v>
      </c>
      <c r="I978" s="36">
        <f t="shared" si="26"/>
        <v>0</v>
      </c>
      <c r="J978" s="103" t="str">
        <f t="shared" si="27"/>
        <v>0 tubes and 0 shuttles</v>
      </c>
    </row>
    <row r="979" spans="1:10" ht="12.5" x14ac:dyDescent="0.25">
      <c r="A979" s="32">
        <f>'Profit &amp; Loss'!A979</f>
        <v>0</v>
      </c>
      <c r="B979" s="35">
        <f>'Profit &amp; Loss'!B979</f>
        <v>0</v>
      </c>
      <c r="C979" s="36"/>
      <c r="D979" s="33"/>
      <c r="E979" s="102">
        <f t="shared" si="28"/>
        <v>0</v>
      </c>
      <c r="F979" s="103" t="str">
        <f t="shared" si="24"/>
        <v>0 tubes and 0 shuttles</v>
      </c>
      <c r="G979" s="36">
        <f t="shared" si="29"/>
        <v>0</v>
      </c>
      <c r="H979" s="104" t="str">
        <f t="shared" si="25"/>
        <v>0 tubes and 0 shuttles</v>
      </c>
      <c r="I979" s="36">
        <f t="shared" si="26"/>
        <v>0</v>
      </c>
      <c r="J979" s="103" t="str">
        <f t="shared" si="27"/>
        <v>0 tubes and 0 shuttles</v>
      </c>
    </row>
    <row r="980" spans="1:10" ht="12.5" x14ac:dyDescent="0.25">
      <c r="A980" s="32">
        <f>'Profit &amp; Loss'!A980</f>
        <v>0</v>
      </c>
      <c r="B980" s="35">
        <f>'Profit &amp; Loss'!B980</f>
        <v>0</v>
      </c>
      <c r="C980" s="36"/>
      <c r="D980" s="33"/>
      <c r="E980" s="102">
        <f t="shared" si="28"/>
        <v>0</v>
      </c>
      <c r="F980" s="103" t="str">
        <f t="shared" si="24"/>
        <v>0 tubes and 0 shuttles</v>
      </c>
      <c r="G980" s="36">
        <f t="shared" si="29"/>
        <v>0</v>
      </c>
      <c r="H980" s="104" t="str">
        <f t="shared" si="25"/>
        <v>0 tubes and 0 shuttles</v>
      </c>
      <c r="I980" s="36">
        <f t="shared" si="26"/>
        <v>0</v>
      </c>
      <c r="J980" s="103" t="str">
        <f t="shared" si="27"/>
        <v>0 tubes and 0 shuttles</v>
      </c>
    </row>
    <row r="981" spans="1:10" ht="12.5" x14ac:dyDescent="0.25">
      <c r="A981" s="32">
        <f>'Profit &amp; Loss'!A981</f>
        <v>0</v>
      </c>
      <c r="B981" s="35">
        <f>'Profit &amp; Loss'!B981</f>
        <v>0</v>
      </c>
      <c r="C981" s="36"/>
      <c r="D981" s="33"/>
      <c r="E981" s="102">
        <f t="shared" si="28"/>
        <v>0</v>
      </c>
      <c r="F981" s="103" t="str">
        <f t="shared" si="24"/>
        <v>0 tubes and 0 shuttles</v>
      </c>
      <c r="G981" s="36">
        <f t="shared" si="29"/>
        <v>0</v>
      </c>
      <c r="H981" s="104" t="str">
        <f t="shared" si="25"/>
        <v>0 tubes and 0 shuttles</v>
      </c>
      <c r="I981" s="36">
        <f t="shared" si="26"/>
        <v>0</v>
      </c>
      <c r="J981" s="103" t="str">
        <f t="shared" si="27"/>
        <v>0 tubes and 0 shuttles</v>
      </c>
    </row>
    <row r="982" spans="1:10" ht="12.5" x14ac:dyDescent="0.25">
      <c r="A982" s="32">
        <f>'Profit &amp; Loss'!A982</f>
        <v>0</v>
      </c>
      <c r="B982" s="35">
        <f>'Profit &amp; Loss'!B982</f>
        <v>0</v>
      </c>
      <c r="C982" s="36"/>
      <c r="D982" s="33"/>
      <c r="E982" s="102">
        <f t="shared" si="28"/>
        <v>0</v>
      </c>
      <c r="F982" s="103" t="str">
        <f t="shared" si="24"/>
        <v>0 tubes and 0 shuttles</v>
      </c>
      <c r="G982" s="36">
        <f t="shared" si="29"/>
        <v>0</v>
      </c>
      <c r="H982" s="104" t="str">
        <f t="shared" si="25"/>
        <v>0 tubes and 0 shuttles</v>
      </c>
      <c r="I982" s="36">
        <f t="shared" si="26"/>
        <v>0</v>
      </c>
      <c r="J982" s="103" t="str">
        <f t="shared" si="27"/>
        <v>0 tubes and 0 shuttles</v>
      </c>
    </row>
    <row r="983" spans="1:10" ht="12.5" x14ac:dyDescent="0.25">
      <c r="A983" s="32">
        <f>'Profit &amp; Loss'!A983</f>
        <v>0</v>
      </c>
      <c r="B983" s="35">
        <f>'Profit &amp; Loss'!B983</f>
        <v>0</v>
      </c>
      <c r="C983" s="36"/>
      <c r="D983" s="33"/>
      <c r="E983" s="102">
        <f t="shared" si="28"/>
        <v>0</v>
      </c>
      <c r="F983" s="103" t="str">
        <f t="shared" si="24"/>
        <v>0 tubes and 0 shuttles</v>
      </c>
      <c r="G983" s="36">
        <f t="shared" si="29"/>
        <v>0</v>
      </c>
      <c r="H983" s="104" t="str">
        <f t="shared" si="25"/>
        <v>0 tubes and 0 shuttles</v>
      </c>
      <c r="I983" s="36">
        <f t="shared" si="26"/>
        <v>0</v>
      </c>
      <c r="J983" s="103" t="str">
        <f t="shared" si="27"/>
        <v>0 tubes and 0 shuttles</v>
      </c>
    </row>
    <row r="984" spans="1:10" ht="12.5" x14ac:dyDescent="0.25">
      <c r="A984" s="32">
        <f>'Profit &amp; Loss'!A984</f>
        <v>0</v>
      </c>
      <c r="B984" s="35">
        <f>'Profit &amp; Loss'!B984</f>
        <v>0</v>
      </c>
      <c r="C984" s="36"/>
      <c r="D984" s="33"/>
      <c r="E984" s="102">
        <f t="shared" si="28"/>
        <v>0</v>
      </c>
      <c r="F984" s="103" t="str">
        <f t="shared" si="24"/>
        <v>0 tubes and 0 shuttles</v>
      </c>
      <c r="G984" s="36">
        <f t="shared" si="29"/>
        <v>0</v>
      </c>
      <c r="H984" s="104" t="str">
        <f t="shared" si="25"/>
        <v>0 tubes and 0 shuttles</v>
      </c>
      <c r="I984" s="36">
        <f t="shared" si="26"/>
        <v>0</v>
      </c>
      <c r="J984" s="103" t="str">
        <f t="shared" si="27"/>
        <v>0 tubes and 0 shuttles</v>
      </c>
    </row>
    <row r="985" spans="1:10" ht="12.5" x14ac:dyDescent="0.25">
      <c r="A985" s="32">
        <f>'Profit &amp; Loss'!A985</f>
        <v>0</v>
      </c>
      <c r="B985" s="35">
        <f>'Profit &amp; Loss'!B985</f>
        <v>0</v>
      </c>
      <c r="C985" s="36"/>
      <c r="D985" s="33"/>
      <c r="E985" s="102">
        <f t="shared" si="28"/>
        <v>0</v>
      </c>
      <c r="F985" s="103" t="str">
        <f t="shared" si="24"/>
        <v>0 tubes and 0 shuttles</v>
      </c>
      <c r="G985" s="36">
        <f t="shared" si="29"/>
        <v>0</v>
      </c>
      <c r="H985" s="104" t="str">
        <f t="shared" si="25"/>
        <v>0 tubes and 0 shuttles</v>
      </c>
      <c r="I985" s="36">
        <f t="shared" si="26"/>
        <v>0</v>
      </c>
      <c r="J985" s="103" t="str">
        <f t="shared" si="27"/>
        <v>0 tubes and 0 shuttles</v>
      </c>
    </row>
    <row r="986" spans="1:10" ht="12.5" x14ac:dyDescent="0.25">
      <c r="A986" s="32">
        <f>'Profit &amp; Loss'!A986</f>
        <v>0</v>
      </c>
      <c r="B986" s="35">
        <f>'Profit &amp; Loss'!B986</f>
        <v>0</v>
      </c>
      <c r="C986" s="36"/>
      <c r="D986" s="33"/>
      <c r="E986" s="102">
        <f t="shared" si="28"/>
        <v>0</v>
      </c>
      <c r="F986" s="103" t="str">
        <f t="shared" si="24"/>
        <v>0 tubes and 0 shuttles</v>
      </c>
      <c r="G986" s="36">
        <f t="shared" si="29"/>
        <v>0</v>
      </c>
      <c r="H986" s="104" t="str">
        <f t="shared" si="25"/>
        <v>0 tubes and 0 shuttles</v>
      </c>
      <c r="I986" s="36">
        <f t="shared" si="26"/>
        <v>0</v>
      </c>
      <c r="J986" s="103" t="str">
        <f t="shared" si="27"/>
        <v>0 tubes and 0 shuttles</v>
      </c>
    </row>
    <row r="987" spans="1:10" ht="12.5" x14ac:dyDescent="0.25">
      <c r="A987" s="32">
        <f>'Profit &amp; Loss'!A987</f>
        <v>0</v>
      </c>
      <c r="B987" s="35">
        <f>'Profit &amp; Loss'!B987</f>
        <v>0</v>
      </c>
      <c r="C987" s="36"/>
      <c r="D987" s="33"/>
      <c r="E987" s="102">
        <f t="shared" si="28"/>
        <v>0</v>
      </c>
      <c r="F987" s="103" t="str">
        <f t="shared" si="24"/>
        <v>0 tubes and 0 shuttles</v>
      </c>
      <c r="G987" s="36">
        <f t="shared" si="29"/>
        <v>0</v>
      </c>
      <c r="H987" s="104" t="str">
        <f t="shared" si="25"/>
        <v>0 tubes and 0 shuttles</v>
      </c>
      <c r="I987" s="36">
        <f t="shared" si="26"/>
        <v>0</v>
      </c>
      <c r="J987" s="103" t="str">
        <f t="shared" si="27"/>
        <v>0 tubes and 0 shuttles</v>
      </c>
    </row>
    <row r="988" spans="1:10" ht="12.5" x14ac:dyDescent="0.25">
      <c r="A988" s="32">
        <f>'Profit &amp; Loss'!A988</f>
        <v>0</v>
      </c>
      <c r="B988" s="35">
        <f>'Profit &amp; Loss'!B988</f>
        <v>0</v>
      </c>
      <c r="C988" s="36"/>
      <c r="D988" s="33"/>
      <c r="E988" s="102">
        <f t="shared" si="28"/>
        <v>0</v>
      </c>
      <c r="F988" s="103" t="str">
        <f t="shared" si="24"/>
        <v>0 tubes and 0 shuttles</v>
      </c>
      <c r="G988" s="36">
        <f t="shared" si="29"/>
        <v>0</v>
      </c>
      <c r="H988" s="104" t="str">
        <f t="shared" si="25"/>
        <v>0 tubes and 0 shuttles</v>
      </c>
      <c r="I988" s="36">
        <f t="shared" si="26"/>
        <v>0</v>
      </c>
      <c r="J988" s="103" t="str">
        <f t="shared" si="27"/>
        <v>0 tubes and 0 shuttles</v>
      </c>
    </row>
    <row r="989" spans="1:10" ht="12.5" x14ac:dyDescent="0.25">
      <c r="A989" s="49">
        <f>'Profit &amp; Loss'!A989</f>
        <v>0</v>
      </c>
      <c r="B989" s="51">
        <f>'Profit &amp; Loss'!B989</f>
        <v>0</v>
      </c>
      <c r="C989" s="49"/>
      <c r="D989" s="50"/>
      <c r="E989" s="117">
        <f t="shared" si="28"/>
        <v>0</v>
      </c>
      <c r="F989" s="118" t="str">
        <f t="shared" si="24"/>
        <v>0 tubes and 0 shuttles</v>
      </c>
      <c r="G989" s="49">
        <f t="shared" si="29"/>
        <v>0</v>
      </c>
      <c r="H989" s="119" t="str">
        <f t="shared" si="25"/>
        <v>0 tubes and 0 shuttles</v>
      </c>
      <c r="I989" s="49">
        <f t="shared" si="26"/>
        <v>0</v>
      </c>
      <c r="J989" s="118" t="str">
        <f t="shared" si="27"/>
        <v>0 tubes and 0 shuttles</v>
      </c>
    </row>
  </sheetData>
  <mergeCells count="5">
    <mergeCell ref="C4:D4"/>
    <mergeCell ref="E4:H4"/>
    <mergeCell ref="I4:J5"/>
    <mergeCell ref="E5:F5"/>
    <mergeCell ref="G5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989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328125" defaultRowHeight="15.75" customHeight="1" x14ac:dyDescent="0.25"/>
  <cols>
    <col min="6" max="6" width="17.36328125" customWidth="1"/>
    <col min="8" max="8" width="17.6328125" customWidth="1"/>
    <col min="10" max="10" width="18.6328125" customWidth="1"/>
    <col min="11" max="11" width="16.7265625" customWidth="1"/>
  </cols>
  <sheetData>
    <row r="1" spans="1:10" ht="13" x14ac:dyDescent="0.3">
      <c r="A1" s="86" t="s">
        <v>275</v>
      </c>
      <c r="C1" s="4"/>
      <c r="D1" s="4"/>
      <c r="E1" s="4"/>
      <c r="G1" s="4"/>
      <c r="I1" s="4"/>
    </row>
    <row r="2" spans="1:10" ht="12.5" x14ac:dyDescent="0.25">
      <c r="C2" s="4"/>
      <c r="D2" s="4"/>
      <c r="E2" s="4"/>
      <c r="G2" s="4"/>
      <c r="I2" s="4"/>
    </row>
    <row r="3" spans="1:10" ht="12.5" x14ac:dyDescent="0.25">
      <c r="A3" s="4"/>
      <c r="B3" s="4"/>
      <c r="C3" s="4"/>
      <c r="D3" s="4"/>
      <c r="E3" s="4"/>
      <c r="G3" s="4"/>
      <c r="I3" s="4"/>
    </row>
    <row r="4" spans="1:10" ht="13" x14ac:dyDescent="0.3">
      <c r="A4" s="4"/>
      <c r="B4" s="4"/>
      <c r="C4" s="136" t="s">
        <v>269</v>
      </c>
      <c r="D4" s="138"/>
      <c r="E4" s="129" t="s">
        <v>270</v>
      </c>
      <c r="F4" s="130"/>
      <c r="G4" s="130"/>
      <c r="H4" s="131"/>
      <c r="I4" s="139" t="s">
        <v>271</v>
      </c>
      <c r="J4" s="128"/>
    </row>
    <row r="5" spans="1:10" ht="13" x14ac:dyDescent="0.3">
      <c r="A5" s="87" t="s">
        <v>9</v>
      </c>
      <c r="B5" s="88" t="s">
        <v>10</v>
      </c>
      <c r="C5" s="89" t="s">
        <v>272</v>
      </c>
      <c r="D5" s="90" t="s">
        <v>273</v>
      </c>
      <c r="E5" s="129" t="s">
        <v>272</v>
      </c>
      <c r="F5" s="131"/>
      <c r="G5" s="129" t="s">
        <v>273</v>
      </c>
      <c r="H5" s="131"/>
      <c r="I5" s="140"/>
      <c r="J5" s="141"/>
    </row>
    <row r="6" spans="1:10" ht="12.5" hidden="1" x14ac:dyDescent="0.25">
      <c r="A6" s="92">
        <f>'Profit &amp; Loss'!A6</f>
        <v>45955</v>
      </c>
      <c r="B6" s="93" t="str">
        <f>'Profit &amp; Loss'!B6</f>
        <v>Sat</v>
      </c>
      <c r="C6" s="94"/>
      <c r="D6" s="95"/>
      <c r="E6" s="97">
        <v>0</v>
      </c>
      <c r="F6" s="98" t="str">
        <f t="shared" ref="F6:F260" si="0">QUOTIENT(E6,12) &amp; " tubes and " &amp; MOD(E6,12) &amp; " shuttles"</f>
        <v>0 tubes and 0 shuttles</v>
      </c>
      <c r="G6" s="24">
        <v>0</v>
      </c>
      <c r="H6" s="99" t="str">
        <f t="shared" ref="H6:H260" si="1">QUOTIENT(G6,12) &amp; " tubes and " &amp; MOD(G6,12) &amp; " shuttles"</f>
        <v>0 tubes and 0 shuttles</v>
      </c>
      <c r="I6" s="24">
        <f t="shared" ref="I6:I260" si="2">SUM(E6:H6)</f>
        <v>0</v>
      </c>
      <c r="J6" s="98" t="str">
        <f t="shared" ref="J6:J260" si="3">QUOTIENT(I6,12) &amp; " tubes and " &amp; MOD(I6,12) &amp; " shuttles"</f>
        <v>0 tubes and 0 shuttles</v>
      </c>
    </row>
    <row r="7" spans="1:10" ht="12.5" hidden="1" x14ac:dyDescent="0.25">
      <c r="A7" s="32">
        <f>'Profit &amp; Loss'!A7</f>
        <v>45960</v>
      </c>
      <c r="B7" s="35" t="str">
        <f>'Profit &amp; Loss'!B7</f>
        <v>Thurs</v>
      </c>
      <c r="C7" s="36"/>
      <c r="D7" s="33"/>
      <c r="E7" s="102">
        <f t="shared" ref="E7:E29" si="4">IF(C7=" ",E6,E6-C7)</f>
        <v>0</v>
      </c>
      <c r="F7" s="103" t="str">
        <f t="shared" si="0"/>
        <v>0 tubes and 0 shuttles</v>
      </c>
      <c r="G7" s="36">
        <f t="shared" ref="G7:G29" si="5">IF(D7=" ",G6,G6-D7)</f>
        <v>0</v>
      </c>
      <c r="H7" s="104" t="str">
        <f t="shared" si="1"/>
        <v>0 tubes and 0 shuttles</v>
      </c>
      <c r="I7" s="36">
        <f t="shared" si="2"/>
        <v>0</v>
      </c>
      <c r="J7" s="103" t="str">
        <f t="shared" si="3"/>
        <v>0 tubes and 0 shuttles</v>
      </c>
    </row>
    <row r="8" spans="1:10" ht="12.5" hidden="1" x14ac:dyDescent="0.25">
      <c r="A8" s="32">
        <f>'Profit &amp; Loss'!A8</f>
        <v>45963</v>
      </c>
      <c r="B8" s="35" t="str">
        <f>'Profit &amp; Loss'!B8</f>
        <v>Sun</v>
      </c>
      <c r="C8" s="36"/>
      <c r="D8" s="33"/>
      <c r="E8" s="102">
        <f t="shared" si="4"/>
        <v>0</v>
      </c>
      <c r="F8" s="103" t="str">
        <f t="shared" si="0"/>
        <v>0 tubes and 0 shuttles</v>
      </c>
      <c r="G8" s="36">
        <f t="shared" si="5"/>
        <v>0</v>
      </c>
      <c r="H8" s="104" t="str">
        <f t="shared" si="1"/>
        <v>0 tubes and 0 shuttles</v>
      </c>
      <c r="I8" s="36">
        <f t="shared" si="2"/>
        <v>0</v>
      </c>
      <c r="J8" s="103" t="str">
        <f t="shared" si="3"/>
        <v>0 tubes and 0 shuttles</v>
      </c>
    </row>
    <row r="9" spans="1:10" ht="12.5" hidden="1" x14ac:dyDescent="0.25">
      <c r="A9" s="32">
        <f>'Profit &amp; Loss'!A9</f>
        <v>45965</v>
      </c>
      <c r="B9" s="35" t="str">
        <f>'Profit &amp; Loss'!B9</f>
        <v>Tues</v>
      </c>
      <c r="C9" s="36"/>
      <c r="D9" s="33"/>
      <c r="E9" s="102">
        <f t="shared" si="4"/>
        <v>0</v>
      </c>
      <c r="F9" s="103" t="str">
        <f t="shared" si="0"/>
        <v>0 tubes and 0 shuttles</v>
      </c>
      <c r="G9" s="36">
        <f t="shared" si="5"/>
        <v>0</v>
      </c>
      <c r="H9" s="104" t="str">
        <f t="shared" si="1"/>
        <v>0 tubes and 0 shuttles</v>
      </c>
      <c r="I9" s="36">
        <f t="shared" si="2"/>
        <v>0</v>
      </c>
      <c r="J9" s="103" t="str">
        <f t="shared" si="3"/>
        <v>0 tubes and 0 shuttles</v>
      </c>
    </row>
    <row r="10" spans="1:10" ht="12.5" hidden="1" x14ac:dyDescent="0.25">
      <c r="A10" s="32">
        <f>'Profit &amp; Loss'!A10</f>
        <v>45969</v>
      </c>
      <c r="B10" s="35" t="str">
        <f>'Profit &amp; Loss'!B10</f>
        <v>Sat</v>
      </c>
      <c r="C10" s="36"/>
      <c r="D10" s="33"/>
      <c r="E10" s="102">
        <f t="shared" si="4"/>
        <v>0</v>
      </c>
      <c r="F10" s="103" t="str">
        <f t="shared" si="0"/>
        <v>0 tubes and 0 shuttles</v>
      </c>
      <c r="G10" s="36">
        <f t="shared" si="5"/>
        <v>0</v>
      </c>
      <c r="H10" s="104" t="str">
        <f t="shared" si="1"/>
        <v>0 tubes and 0 shuttles</v>
      </c>
      <c r="I10" s="36">
        <f t="shared" si="2"/>
        <v>0</v>
      </c>
      <c r="J10" s="103" t="str">
        <f t="shared" si="3"/>
        <v>0 tubes and 0 shuttles</v>
      </c>
    </row>
    <row r="11" spans="1:10" ht="12.5" hidden="1" x14ac:dyDescent="0.25">
      <c r="A11" s="32">
        <f>'Profit &amp; Loss'!A11</f>
        <v>45973</v>
      </c>
      <c r="B11" s="35" t="str">
        <f>'Profit &amp; Loss'!B11</f>
        <v>Wed</v>
      </c>
      <c r="C11" s="36"/>
      <c r="D11" s="33"/>
      <c r="E11" s="102">
        <f t="shared" si="4"/>
        <v>0</v>
      </c>
      <c r="F11" s="103" t="str">
        <f t="shared" si="0"/>
        <v>0 tubes and 0 shuttles</v>
      </c>
      <c r="G11" s="36">
        <f t="shared" si="5"/>
        <v>0</v>
      </c>
      <c r="H11" s="104" t="str">
        <f t="shared" si="1"/>
        <v>0 tubes and 0 shuttles</v>
      </c>
      <c r="I11" s="36">
        <f t="shared" si="2"/>
        <v>0</v>
      </c>
      <c r="J11" s="103" t="str">
        <f t="shared" si="3"/>
        <v>0 tubes and 0 shuttles</v>
      </c>
    </row>
    <row r="12" spans="1:10" ht="12.5" hidden="1" x14ac:dyDescent="0.25">
      <c r="A12" s="32">
        <f>'Profit &amp; Loss'!A12</f>
        <v>45977</v>
      </c>
      <c r="B12" s="35" t="str">
        <f>'Profit &amp; Loss'!B12</f>
        <v>Sun</v>
      </c>
      <c r="C12" s="36"/>
      <c r="D12" s="33"/>
      <c r="E12" s="102">
        <f t="shared" si="4"/>
        <v>0</v>
      </c>
      <c r="F12" s="103" t="str">
        <f t="shared" si="0"/>
        <v>0 tubes and 0 shuttles</v>
      </c>
      <c r="G12" s="36">
        <f t="shared" si="5"/>
        <v>0</v>
      </c>
      <c r="H12" s="104" t="str">
        <f t="shared" si="1"/>
        <v>0 tubes and 0 shuttles</v>
      </c>
      <c r="I12" s="36">
        <f t="shared" si="2"/>
        <v>0</v>
      </c>
      <c r="J12" s="103" t="str">
        <f t="shared" si="3"/>
        <v>0 tubes and 0 shuttles</v>
      </c>
    </row>
    <row r="13" spans="1:10" ht="12.5" hidden="1" x14ac:dyDescent="0.25">
      <c r="A13" s="32">
        <f>'Profit &amp; Loss'!A13</f>
        <v>45978</v>
      </c>
      <c r="B13" s="35" t="str">
        <f>'Profit &amp; Loss'!B13</f>
        <v>Mon</v>
      </c>
      <c r="C13" s="36"/>
      <c r="D13" s="33"/>
      <c r="E13" s="102">
        <f t="shared" si="4"/>
        <v>0</v>
      </c>
      <c r="F13" s="103" t="str">
        <f t="shared" si="0"/>
        <v>0 tubes and 0 shuttles</v>
      </c>
      <c r="G13" s="36">
        <f t="shared" si="5"/>
        <v>0</v>
      </c>
      <c r="H13" s="104" t="str">
        <f t="shared" si="1"/>
        <v>0 tubes and 0 shuttles</v>
      </c>
      <c r="I13" s="36">
        <f t="shared" si="2"/>
        <v>0</v>
      </c>
      <c r="J13" s="103" t="str">
        <f t="shared" si="3"/>
        <v>0 tubes and 0 shuttles</v>
      </c>
    </row>
    <row r="14" spans="1:10" ht="12.5" hidden="1" x14ac:dyDescent="0.25">
      <c r="A14" s="32">
        <f>'Profit &amp; Loss'!A14</f>
        <v>45979</v>
      </c>
      <c r="B14" s="35" t="str">
        <f>'Profit &amp; Loss'!B14</f>
        <v>Tues</v>
      </c>
      <c r="C14" s="36"/>
      <c r="D14" s="33"/>
      <c r="E14" s="102">
        <f t="shared" si="4"/>
        <v>0</v>
      </c>
      <c r="F14" s="103" t="str">
        <f t="shared" si="0"/>
        <v>0 tubes and 0 shuttles</v>
      </c>
      <c r="G14" s="36">
        <f t="shared" si="5"/>
        <v>0</v>
      </c>
      <c r="H14" s="104" t="str">
        <f t="shared" si="1"/>
        <v>0 tubes and 0 shuttles</v>
      </c>
      <c r="I14" s="36">
        <f t="shared" si="2"/>
        <v>0</v>
      </c>
      <c r="J14" s="103" t="str">
        <f t="shared" si="3"/>
        <v>0 tubes and 0 shuttles</v>
      </c>
    </row>
    <row r="15" spans="1:10" ht="12.5" hidden="1" x14ac:dyDescent="0.25">
      <c r="A15" s="32">
        <f>'Profit &amp; Loss'!A15</f>
        <v>45981</v>
      </c>
      <c r="B15" s="35" t="str">
        <f>'Profit &amp; Loss'!B15</f>
        <v>Thurs</v>
      </c>
      <c r="C15" s="36"/>
      <c r="D15" s="33"/>
      <c r="E15" s="102">
        <f t="shared" si="4"/>
        <v>0</v>
      </c>
      <c r="F15" s="103" t="str">
        <f t="shared" si="0"/>
        <v>0 tubes and 0 shuttles</v>
      </c>
      <c r="G15" s="36">
        <f t="shared" si="5"/>
        <v>0</v>
      </c>
      <c r="H15" s="104" t="str">
        <f t="shared" si="1"/>
        <v>0 tubes and 0 shuttles</v>
      </c>
      <c r="I15" s="36">
        <f t="shared" si="2"/>
        <v>0</v>
      </c>
      <c r="J15" s="103" t="str">
        <f t="shared" si="3"/>
        <v>0 tubes and 0 shuttles</v>
      </c>
    </row>
    <row r="16" spans="1:10" ht="12.5" hidden="1" x14ac:dyDescent="0.25">
      <c r="A16" s="32">
        <f>'Profit &amp; Loss'!A16</f>
        <v>45984</v>
      </c>
      <c r="B16" s="35" t="str">
        <f>'Profit &amp; Loss'!B16</f>
        <v>Sun</v>
      </c>
      <c r="C16" s="36"/>
      <c r="D16" s="33"/>
      <c r="E16" s="102">
        <f t="shared" si="4"/>
        <v>0</v>
      </c>
      <c r="F16" s="103" t="str">
        <f t="shared" si="0"/>
        <v>0 tubes and 0 shuttles</v>
      </c>
      <c r="G16" s="36">
        <f t="shared" si="5"/>
        <v>0</v>
      </c>
      <c r="H16" s="104" t="str">
        <f t="shared" si="1"/>
        <v>0 tubes and 0 shuttles</v>
      </c>
      <c r="I16" s="36">
        <f t="shared" si="2"/>
        <v>0</v>
      </c>
      <c r="J16" s="103" t="str">
        <f t="shared" si="3"/>
        <v>0 tubes and 0 shuttles</v>
      </c>
    </row>
    <row r="17" spans="1:10" ht="12.5" hidden="1" x14ac:dyDescent="0.25">
      <c r="A17" s="32">
        <f>'Profit &amp; Loss'!A17</f>
        <v>45987</v>
      </c>
      <c r="B17" s="35" t="str">
        <f>'Profit &amp; Loss'!B17</f>
        <v>Wed</v>
      </c>
      <c r="C17" s="36"/>
      <c r="D17" s="33"/>
      <c r="E17" s="102">
        <f t="shared" si="4"/>
        <v>0</v>
      </c>
      <c r="F17" s="103" t="str">
        <f t="shared" si="0"/>
        <v>0 tubes and 0 shuttles</v>
      </c>
      <c r="G17" s="36">
        <f t="shared" si="5"/>
        <v>0</v>
      </c>
      <c r="H17" s="104" t="str">
        <f t="shared" si="1"/>
        <v>0 tubes and 0 shuttles</v>
      </c>
      <c r="I17" s="36">
        <f t="shared" si="2"/>
        <v>0</v>
      </c>
      <c r="J17" s="103" t="str">
        <f t="shared" si="3"/>
        <v>0 tubes and 0 shuttles</v>
      </c>
    </row>
    <row r="18" spans="1:10" ht="12.5" hidden="1" x14ac:dyDescent="0.25">
      <c r="A18" s="32">
        <f>'Profit &amp; Loss'!A18</f>
        <v>45988</v>
      </c>
      <c r="B18" s="35" t="str">
        <f>'Profit &amp; Loss'!B18</f>
        <v>Thurs</v>
      </c>
      <c r="C18" s="36"/>
      <c r="D18" s="33"/>
      <c r="E18" s="102">
        <f t="shared" si="4"/>
        <v>0</v>
      </c>
      <c r="F18" s="103" t="str">
        <f t="shared" si="0"/>
        <v>0 tubes and 0 shuttles</v>
      </c>
      <c r="G18" s="36">
        <f t="shared" si="5"/>
        <v>0</v>
      </c>
      <c r="H18" s="104" t="str">
        <f t="shared" si="1"/>
        <v>0 tubes and 0 shuttles</v>
      </c>
      <c r="I18" s="36">
        <f t="shared" si="2"/>
        <v>0</v>
      </c>
      <c r="J18" s="103" t="str">
        <f t="shared" si="3"/>
        <v>0 tubes and 0 shuttles</v>
      </c>
    </row>
    <row r="19" spans="1:10" ht="12.5" hidden="1" x14ac:dyDescent="0.25">
      <c r="A19" s="32">
        <f>'Profit &amp; Loss'!A19</f>
        <v>45991</v>
      </c>
      <c r="B19" s="35" t="str">
        <f>'Profit &amp; Loss'!B19</f>
        <v>Sun</v>
      </c>
      <c r="C19" s="36"/>
      <c r="D19" s="33"/>
      <c r="E19" s="102">
        <f t="shared" si="4"/>
        <v>0</v>
      </c>
      <c r="F19" s="103" t="str">
        <f t="shared" si="0"/>
        <v>0 tubes and 0 shuttles</v>
      </c>
      <c r="G19" s="36">
        <f t="shared" si="5"/>
        <v>0</v>
      </c>
      <c r="H19" s="104" t="str">
        <f t="shared" si="1"/>
        <v>0 tubes and 0 shuttles</v>
      </c>
      <c r="I19" s="36">
        <f t="shared" si="2"/>
        <v>0</v>
      </c>
      <c r="J19" s="103" t="str">
        <f t="shared" si="3"/>
        <v>0 tubes and 0 shuttles</v>
      </c>
    </row>
    <row r="20" spans="1:10" ht="12.5" hidden="1" x14ac:dyDescent="0.25">
      <c r="A20" s="32">
        <f>'Profit &amp; Loss'!A20</f>
        <v>45998</v>
      </c>
      <c r="B20" s="35" t="str">
        <f>'Profit &amp; Loss'!B20</f>
        <v>Sun</v>
      </c>
      <c r="C20" s="36"/>
      <c r="D20" s="33"/>
      <c r="E20" s="102">
        <f t="shared" si="4"/>
        <v>0</v>
      </c>
      <c r="F20" s="103" t="str">
        <f t="shared" si="0"/>
        <v>0 tubes and 0 shuttles</v>
      </c>
      <c r="G20" s="36">
        <f t="shared" si="5"/>
        <v>0</v>
      </c>
      <c r="H20" s="104" t="str">
        <f t="shared" si="1"/>
        <v>0 tubes and 0 shuttles</v>
      </c>
      <c r="I20" s="36">
        <f t="shared" si="2"/>
        <v>0</v>
      </c>
      <c r="J20" s="103" t="str">
        <f t="shared" si="3"/>
        <v>0 tubes and 0 shuttles</v>
      </c>
    </row>
    <row r="21" spans="1:10" ht="12.5" hidden="1" x14ac:dyDescent="0.25">
      <c r="A21" s="32">
        <f>'Profit &amp; Loss'!A21</f>
        <v>45999</v>
      </c>
      <c r="B21" s="35" t="str">
        <f>'Profit &amp; Loss'!B21</f>
        <v>Mon</v>
      </c>
      <c r="C21" s="36"/>
      <c r="D21" s="33"/>
      <c r="E21" s="102">
        <f t="shared" si="4"/>
        <v>0</v>
      </c>
      <c r="F21" s="103" t="str">
        <f t="shared" si="0"/>
        <v>0 tubes and 0 shuttles</v>
      </c>
      <c r="G21" s="36">
        <f t="shared" si="5"/>
        <v>0</v>
      </c>
      <c r="H21" s="104" t="str">
        <f t="shared" si="1"/>
        <v>0 tubes and 0 shuttles</v>
      </c>
      <c r="I21" s="36">
        <f t="shared" si="2"/>
        <v>0</v>
      </c>
      <c r="J21" s="103" t="str">
        <f t="shared" si="3"/>
        <v>0 tubes and 0 shuttles</v>
      </c>
    </row>
    <row r="22" spans="1:10" ht="12.5" hidden="1" x14ac:dyDescent="0.25">
      <c r="A22" s="32">
        <f>'Profit &amp; Loss'!A22</f>
        <v>46001</v>
      </c>
      <c r="B22" s="35" t="str">
        <f>'Profit &amp; Loss'!B22</f>
        <v>Wed</v>
      </c>
      <c r="C22" s="36"/>
      <c r="D22" s="33"/>
      <c r="E22" s="102">
        <f t="shared" si="4"/>
        <v>0</v>
      </c>
      <c r="F22" s="103" t="str">
        <f t="shared" si="0"/>
        <v>0 tubes and 0 shuttles</v>
      </c>
      <c r="G22" s="36">
        <f t="shared" si="5"/>
        <v>0</v>
      </c>
      <c r="H22" s="104" t="str">
        <f t="shared" si="1"/>
        <v>0 tubes and 0 shuttles</v>
      </c>
      <c r="I22" s="36">
        <f t="shared" si="2"/>
        <v>0</v>
      </c>
      <c r="J22" s="103" t="str">
        <f t="shared" si="3"/>
        <v>0 tubes and 0 shuttles</v>
      </c>
    </row>
    <row r="23" spans="1:10" ht="12.5" hidden="1" x14ac:dyDescent="0.25">
      <c r="A23" s="32">
        <f>'Profit &amp; Loss'!A23</f>
        <v>46004</v>
      </c>
      <c r="B23" s="35" t="str">
        <f>'Profit &amp; Loss'!B23</f>
        <v>Sat</v>
      </c>
      <c r="C23" s="36"/>
      <c r="D23" s="33"/>
      <c r="E23" s="102">
        <f t="shared" si="4"/>
        <v>0</v>
      </c>
      <c r="F23" s="103" t="str">
        <f t="shared" si="0"/>
        <v>0 tubes and 0 shuttles</v>
      </c>
      <c r="G23" s="36">
        <f t="shared" si="5"/>
        <v>0</v>
      </c>
      <c r="H23" s="104" t="str">
        <f t="shared" si="1"/>
        <v>0 tubes and 0 shuttles</v>
      </c>
      <c r="I23" s="36">
        <f t="shared" si="2"/>
        <v>0</v>
      </c>
      <c r="J23" s="103" t="str">
        <f t="shared" si="3"/>
        <v>0 tubes and 0 shuttles</v>
      </c>
    </row>
    <row r="24" spans="1:10" ht="12.5" hidden="1" x14ac:dyDescent="0.25">
      <c r="A24" s="32">
        <f>'Profit &amp; Loss'!A24</f>
        <v>46006</v>
      </c>
      <c r="B24" s="35" t="str">
        <f>'Profit &amp; Loss'!B24</f>
        <v>Mon</v>
      </c>
      <c r="C24" s="36"/>
      <c r="D24" s="33"/>
      <c r="E24" s="102">
        <f t="shared" si="4"/>
        <v>0</v>
      </c>
      <c r="F24" s="103" t="str">
        <f t="shared" si="0"/>
        <v>0 tubes and 0 shuttles</v>
      </c>
      <c r="G24" s="36">
        <f t="shared" si="5"/>
        <v>0</v>
      </c>
      <c r="H24" s="104" t="str">
        <f t="shared" si="1"/>
        <v>0 tubes and 0 shuttles</v>
      </c>
      <c r="I24" s="36">
        <f t="shared" si="2"/>
        <v>0</v>
      </c>
      <c r="J24" s="103" t="str">
        <f t="shared" si="3"/>
        <v>0 tubes and 0 shuttles</v>
      </c>
    </row>
    <row r="25" spans="1:10" ht="12.5" hidden="1" x14ac:dyDescent="0.25">
      <c r="A25" s="32">
        <f>'Profit &amp; Loss'!A25</f>
        <v>46011</v>
      </c>
      <c r="B25" s="35" t="str">
        <f>'Profit &amp; Loss'!B25</f>
        <v>Sat</v>
      </c>
      <c r="C25" s="36"/>
      <c r="D25" s="33"/>
      <c r="E25" s="102">
        <f t="shared" si="4"/>
        <v>0</v>
      </c>
      <c r="F25" s="103" t="str">
        <f t="shared" si="0"/>
        <v>0 tubes and 0 shuttles</v>
      </c>
      <c r="G25" s="36">
        <f t="shared" si="5"/>
        <v>0</v>
      </c>
      <c r="H25" s="104" t="str">
        <f t="shared" si="1"/>
        <v>0 tubes and 0 shuttles</v>
      </c>
      <c r="I25" s="36">
        <f t="shared" si="2"/>
        <v>0</v>
      </c>
      <c r="J25" s="103" t="str">
        <f t="shared" si="3"/>
        <v>0 tubes and 0 shuttles</v>
      </c>
    </row>
    <row r="26" spans="1:10" ht="12.5" hidden="1" x14ac:dyDescent="0.25">
      <c r="A26" s="32">
        <f>'Profit &amp; Loss'!A26</f>
        <v>46017</v>
      </c>
      <c r="B26" s="35" t="str">
        <f>'Profit &amp; Loss'!B26</f>
        <v>Fri</v>
      </c>
      <c r="C26" s="36"/>
      <c r="D26" s="33"/>
      <c r="E26" s="102">
        <f t="shared" si="4"/>
        <v>0</v>
      </c>
      <c r="F26" s="103" t="str">
        <f t="shared" si="0"/>
        <v>0 tubes and 0 shuttles</v>
      </c>
      <c r="G26" s="36">
        <f t="shared" si="5"/>
        <v>0</v>
      </c>
      <c r="H26" s="104" t="str">
        <f t="shared" si="1"/>
        <v>0 tubes and 0 shuttles</v>
      </c>
      <c r="I26" s="36">
        <f t="shared" si="2"/>
        <v>0</v>
      </c>
      <c r="J26" s="103" t="str">
        <f t="shared" si="3"/>
        <v>0 tubes and 0 shuttles</v>
      </c>
    </row>
    <row r="27" spans="1:10" ht="12.5" hidden="1" x14ac:dyDescent="0.25">
      <c r="A27" s="32">
        <f>'Profit &amp; Loss'!A27</f>
        <v>46019</v>
      </c>
      <c r="B27" s="35" t="str">
        <f>'Profit &amp; Loss'!B27</f>
        <v>Sun</v>
      </c>
      <c r="C27" s="36"/>
      <c r="D27" s="33"/>
      <c r="E27" s="102">
        <f t="shared" si="4"/>
        <v>0</v>
      </c>
      <c r="F27" s="103" t="str">
        <f t="shared" si="0"/>
        <v>0 tubes and 0 shuttles</v>
      </c>
      <c r="G27" s="36">
        <f t="shared" si="5"/>
        <v>0</v>
      </c>
      <c r="H27" s="104" t="str">
        <f t="shared" si="1"/>
        <v>0 tubes and 0 shuttles</v>
      </c>
      <c r="I27" s="36">
        <f t="shared" si="2"/>
        <v>0</v>
      </c>
      <c r="J27" s="103" t="str">
        <f t="shared" si="3"/>
        <v>0 tubes and 0 shuttles</v>
      </c>
    </row>
    <row r="28" spans="1:10" ht="12.5" hidden="1" x14ac:dyDescent="0.25">
      <c r="A28" s="32">
        <f>'Profit &amp; Loss'!A28</f>
        <v>46020</v>
      </c>
      <c r="B28" s="35" t="str">
        <f>'Profit &amp; Loss'!B28</f>
        <v>Mon</v>
      </c>
      <c r="C28" s="36"/>
      <c r="D28" s="33"/>
      <c r="E28" s="102">
        <f t="shared" si="4"/>
        <v>0</v>
      </c>
      <c r="F28" s="103" t="str">
        <f t="shared" si="0"/>
        <v>0 tubes and 0 shuttles</v>
      </c>
      <c r="G28" s="36">
        <f t="shared" si="5"/>
        <v>0</v>
      </c>
      <c r="H28" s="104" t="str">
        <f t="shared" si="1"/>
        <v>0 tubes and 0 shuttles</v>
      </c>
      <c r="I28" s="36">
        <f t="shared" si="2"/>
        <v>0</v>
      </c>
      <c r="J28" s="103" t="str">
        <f t="shared" si="3"/>
        <v>0 tubes and 0 shuttles</v>
      </c>
    </row>
    <row r="29" spans="1:10" ht="12.5" hidden="1" x14ac:dyDescent="0.25">
      <c r="A29" s="32">
        <f>'Profit &amp; Loss'!A29</f>
        <v>46024</v>
      </c>
      <c r="B29" s="35" t="str">
        <f>'Profit &amp; Loss'!B29</f>
        <v>Fri</v>
      </c>
      <c r="C29" s="36"/>
      <c r="D29" s="33"/>
      <c r="E29" s="102">
        <f t="shared" si="4"/>
        <v>0</v>
      </c>
      <c r="F29" s="103" t="str">
        <f t="shared" si="0"/>
        <v>0 tubes and 0 shuttles</v>
      </c>
      <c r="G29" s="36">
        <f t="shared" si="5"/>
        <v>0</v>
      </c>
      <c r="H29" s="104" t="str">
        <f t="shared" si="1"/>
        <v>0 tubes and 0 shuttles</v>
      </c>
      <c r="I29" s="36">
        <f t="shared" si="2"/>
        <v>0</v>
      </c>
      <c r="J29" s="103" t="str">
        <f t="shared" si="3"/>
        <v>0 tubes and 0 shuttles</v>
      </c>
    </row>
    <row r="30" spans="1:10" ht="12.5" x14ac:dyDescent="0.25">
      <c r="A30" s="32">
        <f>'Profit &amp; Loss'!A30</f>
        <v>46026</v>
      </c>
      <c r="B30" s="35" t="str">
        <f>'Profit &amp; Loss'!B30</f>
        <v>Sun</v>
      </c>
      <c r="C30" s="36"/>
      <c r="D30" s="33"/>
      <c r="E30" s="102">
        <f>IF(C30=" ",'Shuttle Purchase'!E8,'Shuttle Purchase'!E8-C30)</f>
        <v>53</v>
      </c>
      <c r="F30" s="103" t="str">
        <f t="shared" si="0"/>
        <v>4 tubes and 5 shuttles</v>
      </c>
      <c r="G30" s="36">
        <f>IF(D30=" ",'Shuttle Purchase'!G8,'Shuttle Purchase'!G8-D30)</f>
        <v>67</v>
      </c>
      <c r="H30" s="104" t="str">
        <f t="shared" si="1"/>
        <v>5 tubes and 7 shuttles</v>
      </c>
      <c r="I30" s="36">
        <f t="shared" si="2"/>
        <v>120</v>
      </c>
      <c r="J30" s="103" t="str">
        <f t="shared" si="3"/>
        <v>10 tubes and 0 shuttles</v>
      </c>
    </row>
    <row r="31" spans="1:10" ht="12.5" x14ac:dyDescent="0.25">
      <c r="A31" s="32">
        <f>'Profit &amp; Loss'!A31</f>
        <v>46033</v>
      </c>
      <c r="B31" s="35" t="str">
        <f>'Profit &amp; Loss'!B31</f>
        <v>Sun</v>
      </c>
      <c r="C31" s="36"/>
      <c r="D31" s="33"/>
      <c r="E31" s="102">
        <f t="shared" ref="E31:E35" si="6">IF(C31=" ",E30,E30-C31)</f>
        <v>53</v>
      </c>
      <c r="F31" s="103" t="str">
        <f t="shared" si="0"/>
        <v>4 tubes and 5 shuttles</v>
      </c>
      <c r="G31" s="36">
        <f t="shared" ref="G31:G35" si="7">IF(D31=" ",G30,G30-D31)</f>
        <v>67</v>
      </c>
      <c r="H31" s="104" t="str">
        <f t="shared" si="1"/>
        <v>5 tubes and 7 shuttles</v>
      </c>
      <c r="I31" s="36">
        <f t="shared" si="2"/>
        <v>120</v>
      </c>
      <c r="J31" s="103" t="str">
        <f t="shared" si="3"/>
        <v>10 tubes and 0 shuttles</v>
      </c>
    </row>
    <row r="32" spans="1:10" ht="12.5" x14ac:dyDescent="0.25">
      <c r="A32" s="32">
        <f>'Profit &amp; Loss'!A32</f>
        <v>46036</v>
      </c>
      <c r="B32" s="35" t="str">
        <f>'Profit &amp; Loss'!B32</f>
        <v>Wed</v>
      </c>
      <c r="C32" s="36"/>
      <c r="D32" s="33"/>
      <c r="E32" s="102">
        <f t="shared" si="6"/>
        <v>53</v>
      </c>
      <c r="F32" s="103" t="str">
        <f t="shared" si="0"/>
        <v>4 tubes and 5 shuttles</v>
      </c>
      <c r="G32" s="36">
        <f t="shared" si="7"/>
        <v>67</v>
      </c>
      <c r="H32" s="104" t="str">
        <f t="shared" si="1"/>
        <v>5 tubes and 7 shuttles</v>
      </c>
      <c r="I32" s="36">
        <f t="shared" si="2"/>
        <v>120</v>
      </c>
      <c r="J32" s="103" t="str">
        <f t="shared" si="3"/>
        <v>10 tubes and 0 shuttles</v>
      </c>
    </row>
    <row r="33" spans="1:10" ht="12.5" x14ac:dyDescent="0.25">
      <c r="A33" s="32">
        <f>'Profit &amp; Loss'!A33</f>
        <v>46038</v>
      </c>
      <c r="B33" s="35" t="str">
        <f>'Profit &amp; Loss'!B33</f>
        <v>Fri</v>
      </c>
      <c r="C33" s="36"/>
      <c r="D33" s="33"/>
      <c r="E33" s="102">
        <f t="shared" si="6"/>
        <v>53</v>
      </c>
      <c r="F33" s="103" t="str">
        <f t="shared" si="0"/>
        <v>4 tubes and 5 shuttles</v>
      </c>
      <c r="G33" s="36">
        <f t="shared" si="7"/>
        <v>67</v>
      </c>
      <c r="H33" s="104" t="str">
        <f t="shared" si="1"/>
        <v>5 tubes and 7 shuttles</v>
      </c>
      <c r="I33" s="36">
        <f t="shared" si="2"/>
        <v>120</v>
      </c>
      <c r="J33" s="103" t="str">
        <f t="shared" si="3"/>
        <v>10 tubes and 0 shuttles</v>
      </c>
    </row>
    <row r="34" spans="1:10" ht="12.5" x14ac:dyDescent="0.25">
      <c r="A34" s="32">
        <f>'Profit &amp; Loss'!A34</f>
        <v>46040</v>
      </c>
      <c r="B34" s="35" t="str">
        <f>'Profit &amp; Loss'!B34</f>
        <v>Sun</v>
      </c>
      <c r="C34" s="36"/>
      <c r="D34" s="33"/>
      <c r="E34" s="102">
        <f t="shared" si="6"/>
        <v>53</v>
      </c>
      <c r="F34" s="103" t="str">
        <f t="shared" si="0"/>
        <v>4 tubes and 5 shuttles</v>
      </c>
      <c r="G34" s="36">
        <f t="shared" si="7"/>
        <v>67</v>
      </c>
      <c r="H34" s="104" t="str">
        <f t="shared" si="1"/>
        <v>5 tubes and 7 shuttles</v>
      </c>
      <c r="I34" s="36">
        <f t="shared" si="2"/>
        <v>120</v>
      </c>
      <c r="J34" s="103" t="str">
        <f t="shared" si="3"/>
        <v>10 tubes and 0 shuttles</v>
      </c>
    </row>
    <row r="35" spans="1:10" ht="12.5" x14ac:dyDescent="0.25">
      <c r="A35" s="32">
        <f>'Profit &amp; Loss'!A35</f>
        <v>46044</v>
      </c>
      <c r="B35" s="35" t="str">
        <f>'Profit &amp; Loss'!B35</f>
        <v>Thurs</v>
      </c>
      <c r="C35" s="36"/>
      <c r="D35" s="33"/>
      <c r="E35" s="102">
        <f t="shared" si="6"/>
        <v>53</v>
      </c>
      <c r="F35" s="103" t="str">
        <f t="shared" si="0"/>
        <v>4 tubes and 5 shuttles</v>
      </c>
      <c r="G35" s="36">
        <f t="shared" si="7"/>
        <v>67</v>
      </c>
      <c r="H35" s="104" t="str">
        <f t="shared" si="1"/>
        <v>5 tubes and 7 shuttles</v>
      </c>
      <c r="I35" s="36">
        <f t="shared" si="2"/>
        <v>120</v>
      </c>
      <c r="J35" s="103" t="str">
        <f t="shared" si="3"/>
        <v>10 tubes and 0 shuttles</v>
      </c>
    </row>
    <row r="36" spans="1:10" ht="12.5" x14ac:dyDescent="0.25">
      <c r="A36" s="32">
        <f>'Profit &amp; Loss'!A36</f>
        <v>46047</v>
      </c>
      <c r="B36" s="35" t="str">
        <f>'Profit &amp; Loss'!B36</f>
        <v>Sun</v>
      </c>
      <c r="C36" s="36"/>
      <c r="D36" s="33"/>
      <c r="E36" s="102">
        <f>IF(C36=" ",E37,E37-C36)</f>
        <v>53</v>
      </c>
      <c r="F36" s="103" t="str">
        <f t="shared" si="0"/>
        <v>4 tubes and 5 shuttles</v>
      </c>
      <c r="G36" s="36">
        <f>IF(D36=" ",G37,G37-D36)</f>
        <v>67</v>
      </c>
      <c r="H36" s="104" t="str">
        <f t="shared" si="1"/>
        <v>5 tubes and 7 shuttles</v>
      </c>
      <c r="I36" s="36">
        <f t="shared" si="2"/>
        <v>120</v>
      </c>
      <c r="J36" s="103" t="str">
        <f t="shared" si="3"/>
        <v>10 tubes and 0 shuttles</v>
      </c>
    </row>
    <row r="37" spans="1:10" ht="12.5" x14ac:dyDescent="0.25">
      <c r="A37" s="32">
        <f>'Profit &amp; Loss'!A37</f>
        <v>46050</v>
      </c>
      <c r="B37" s="35" t="str">
        <f>'Profit &amp; Loss'!B37</f>
        <v>Wed</v>
      </c>
      <c r="C37" s="36"/>
      <c r="D37" s="33"/>
      <c r="E37" s="102">
        <f t="shared" ref="E37:E38" si="8">IF(C37=" ",E35,E35-C37)</f>
        <v>53</v>
      </c>
      <c r="F37" s="103" t="str">
        <f t="shared" si="0"/>
        <v>4 tubes and 5 shuttles</v>
      </c>
      <c r="G37" s="36">
        <f t="shared" ref="G37:G38" si="9">IF(D37=" ",G35,G35-D37)</f>
        <v>67</v>
      </c>
      <c r="H37" s="104" t="str">
        <f t="shared" si="1"/>
        <v>5 tubes and 7 shuttles</v>
      </c>
      <c r="I37" s="36">
        <f t="shared" si="2"/>
        <v>120</v>
      </c>
      <c r="J37" s="103" t="str">
        <f t="shared" si="3"/>
        <v>10 tubes and 0 shuttles</v>
      </c>
    </row>
    <row r="38" spans="1:10" ht="12.5" x14ac:dyDescent="0.25">
      <c r="A38" s="32">
        <f>'Profit &amp; Loss'!A38</f>
        <v>46054</v>
      </c>
      <c r="B38" s="35" t="str">
        <f>'Profit &amp; Loss'!B38</f>
        <v>Sun</v>
      </c>
      <c r="C38" s="36"/>
      <c r="D38" s="33"/>
      <c r="E38" s="102">
        <f t="shared" si="8"/>
        <v>53</v>
      </c>
      <c r="F38" s="103" t="str">
        <f t="shared" si="0"/>
        <v>4 tubes and 5 shuttles</v>
      </c>
      <c r="G38" s="36">
        <f t="shared" si="9"/>
        <v>67</v>
      </c>
      <c r="H38" s="104" t="str">
        <f t="shared" si="1"/>
        <v>5 tubes and 7 shuttles</v>
      </c>
      <c r="I38" s="36">
        <f t="shared" si="2"/>
        <v>120</v>
      </c>
      <c r="J38" s="103" t="str">
        <f t="shared" si="3"/>
        <v>10 tubes and 0 shuttles</v>
      </c>
    </row>
    <row r="39" spans="1:10" ht="12.5" x14ac:dyDescent="0.25">
      <c r="A39" s="32">
        <f>'Profit &amp; Loss'!A39</f>
        <v>46060</v>
      </c>
      <c r="B39" s="35" t="str">
        <f>'Profit &amp; Loss'!B39</f>
        <v>Sat</v>
      </c>
      <c r="C39" s="36"/>
      <c r="D39" s="33"/>
      <c r="E39" s="102">
        <f t="shared" ref="E39:E293" si="10">IF(C39=" ",E38,E38-C39)</f>
        <v>53</v>
      </c>
      <c r="F39" s="103" t="str">
        <f t="shared" si="0"/>
        <v>4 tubes and 5 shuttles</v>
      </c>
      <c r="G39" s="36">
        <f t="shared" ref="G39:G293" si="11">IF(D39=" ",G38,G38-D39)</f>
        <v>67</v>
      </c>
      <c r="H39" s="104" t="str">
        <f t="shared" si="1"/>
        <v>5 tubes and 7 shuttles</v>
      </c>
      <c r="I39" s="36">
        <f t="shared" si="2"/>
        <v>120</v>
      </c>
      <c r="J39" s="103" t="str">
        <f t="shared" si="3"/>
        <v>10 tubes and 0 shuttles</v>
      </c>
    </row>
    <row r="40" spans="1:10" ht="12.5" x14ac:dyDescent="0.25">
      <c r="A40" s="32">
        <f>'Profit &amp; Loss'!A40</f>
        <v>46061</v>
      </c>
      <c r="B40" s="35" t="str">
        <f>'Profit &amp; Loss'!B40</f>
        <v>Sun</v>
      </c>
      <c r="C40" s="36"/>
      <c r="D40" s="33"/>
      <c r="E40" s="102">
        <f t="shared" si="10"/>
        <v>53</v>
      </c>
      <c r="F40" s="103" t="str">
        <f t="shared" si="0"/>
        <v>4 tubes and 5 shuttles</v>
      </c>
      <c r="G40" s="36">
        <f t="shared" si="11"/>
        <v>67</v>
      </c>
      <c r="H40" s="104" t="str">
        <f t="shared" si="1"/>
        <v>5 tubes and 7 shuttles</v>
      </c>
      <c r="I40" s="36">
        <f t="shared" si="2"/>
        <v>120</v>
      </c>
      <c r="J40" s="103" t="str">
        <f t="shared" si="3"/>
        <v>10 tubes and 0 shuttles</v>
      </c>
    </row>
    <row r="41" spans="1:10" ht="12.5" x14ac:dyDescent="0.25">
      <c r="A41" s="32">
        <f>'Profit &amp; Loss'!A41</f>
        <v>46065</v>
      </c>
      <c r="B41" s="35" t="str">
        <f>'Profit &amp; Loss'!B41</f>
        <v>Thurs</v>
      </c>
      <c r="C41" s="36"/>
      <c r="D41" s="33"/>
      <c r="E41" s="102">
        <f t="shared" si="10"/>
        <v>53</v>
      </c>
      <c r="F41" s="103" t="str">
        <f t="shared" si="0"/>
        <v>4 tubes and 5 shuttles</v>
      </c>
      <c r="G41" s="36">
        <f t="shared" si="11"/>
        <v>67</v>
      </c>
      <c r="H41" s="104" t="str">
        <f t="shared" si="1"/>
        <v>5 tubes and 7 shuttles</v>
      </c>
      <c r="I41" s="36">
        <f t="shared" si="2"/>
        <v>120</v>
      </c>
      <c r="J41" s="103" t="str">
        <f t="shared" si="3"/>
        <v>10 tubes and 0 shuttles</v>
      </c>
    </row>
    <row r="42" spans="1:10" ht="12.5" x14ac:dyDescent="0.25">
      <c r="A42" s="32">
        <f>'Profit &amp; Loss'!A42</f>
        <v>46066</v>
      </c>
      <c r="B42" s="35" t="str">
        <f>'Profit &amp; Loss'!B42</f>
        <v>Fri</v>
      </c>
      <c r="C42" s="36"/>
      <c r="D42" s="33"/>
      <c r="E42" s="102">
        <f t="shared" si="10"/>
        <v>53</v>
      </c>
      <c r="F42" s="103" t="str">
        <f t="shared" si="0"/>
        <v>4 tubes and 5 shuttles</v>
      </c>
      <c r="G42" s="36">
        <f t="shared" si="11"/>
        <v>67</v>
      </c>
      <c r="H42" s="104" t="str">
        <f t="shared" si="1"/>
        <v>5 tubes and 7 shuttles</v>
      </c>
      <c r="I42" s="36">
        <f t="shared" si="2"/>
        <v>120</v>
      </c>
      <c r="J42" s="103" t="str">
        <f t="shared" si="3"/>
        <v>10 tubes and 0 shuttles</v>
      </c>
    </row>
    <row r="43" spans="1:10" ht="12.5" x14ac:dyDescent="0.25">
      <c r="A43" s="32">
        <f>'Profit &amp; Loss'!A43</f>
        <v>46067</v>
      </c>
      <c r="B43" s="35" t="str">
        <f>'Profit &amp; Loss'!B43</f>
        <v>Sat</v>
      </c>
      <c r="C43" s="36"/>
      <c r="D43" s="33"/>
      <c r="E43" s="102">
        <f t="shared" si="10"/>
        <v>53</v>
      </c>
      <c r="F43" s="103" t="str">
        <f t="shared" si="0"/>
        <v>4 tubes and 5 shuttles</v>
      </c>
      <c r="G43" s="36">
        <f t="shared" si="11"/>
        <v>67</v>
      </c>
      <c r="H43" s="104" t="str">
        <f t="shared" si="1"/>
        <v>5 tubes and 7 shuttles</v>
      </c>
      <c r="I43" s="36">
        <f t="shared" si="2"/>
        <v>120</v>
      </c>
      <c r="J43" s="103" t="str">
        <f t="shared" si="3"/>
        <v>10 tubes and 0 shuttles</v>
      </c>
    </row>
    <row r="44" spans="1:10" ht="12.5" x14ac:dyDescent="0.25">
      <c r="A44" s="32">
        <f>'Profit &amp; Loss'!A44</f>
        <v>46076</v>
      </c>
      <c r="B44" s="35" t="str">
        <f>'Profit &amp; Loss'!B44</f>
        <v>Mon</v>
      </c>
      <c r="C44" s="36"/>
      <c r="D44" s="33"/>
      <c r="E44" s="102">
        <f t="shared" si="10"/>
        <v>53</v>
      </c>
      <c r="F44" s="103" t="str">
        <f t="shared" si="0"/>
        <v>4 tubes and 5 shuttles</v>
      </c>
      <c r="G44" s="36">
        <f t="shared" si="11"/>
        <v>67</v>
      </c>
      <c r="H44" s="104" t="str">
        <f t="shared" si="1"/>
        <v>5 tubes and 7 shuttles</v>
      </c>
      <c r="I44" s="36">
        <f t="shared" si="2"/>
        <v>120</v>
      </c>
      <c r="J44" s="103" t="str">
        <f t="shared" si="3"/>
        <v>10 tubes and 0 shuttles</v>
      </c>
    </row>
    <row r="45" spans="1:10" ht="12.5" x14ac:dyDescent="0.25">
      <c r="A45" s="32">
        <f>'Profit &amp; Loss'!A45</f>
        <v>46077</v>
      </c>
      <c r="B45" s="35" t="str">
        <f>'Profit &amp; Loss'!B45</f>
        <v>Tues</v>
      </c>
      <c r="C45" s="36"/>
      <c r="D45" s="33"/>
      <c r="E45" s="102">
        <f t="shared" si="10"/>
        <v>53</v>
      </c>
      <c r="F45" s="103" t="str">
        <f t="shared" si="0"/>
        <v>4 tubes and 5 shuttles</v>
      </c>
      <c r="G45" s="36">
        <f t="shared" si="11"/>
        <v>67</v>
      </c>
      <c r="H45" s="104" t="str">
        <f t="shared" si="1"/>
        <v>5 tubes and 7 shuttles</v>
      </c>
      <c r="I45" s="36">
        <f t="shared" si="2"/>
        <v>120</v>
      </c>
      <c r="J45" s="103" t="str">
        <f t="shared" si="3"/>
        <v>10 tubes and 0 shuttles</v>
      </c>
    </row>
    <row r="46" spans="1:10" ht="12.5" x14ac:dyDescent="0.25">
      <c r="A46" s="32">
        <f>'Profit &amp; Loss'!A46</f>
        <v>46082</v>
      </c>
      <c r="B46" s="35" t="str">
        <f>'Profit &amp; Loss'!B46</f>
        <v>Sun</v>
      </c>
      <c r="C46" s="36"/>
      <c r="D46" s="33"/>
      <c r="E46" s="102">
        <f t="shared" si="10"/>
        <v>53</v>
      </c>
      <c r="F46" s="103" t="str">
        <f t="shared" si="0"/>
        <v>4 tubes and 5 shuttles</v>
      </c>
      <c r="G46" s="36">
        <f t="shared" si="11"/>
        <v>67</v>
      </c>
      <c r="H46" s="104" t="str">
        <f t="shared" si="1"/>
        <v>5 tubes and 7 shuttles</v>
      </c>
      <c r="I46" s="36">
        <f t="shared" si="2"/>
        <v>120</v>
      </c>
      <c r="J46" s="103" t="str">
        <f t="shared" si="3"/>
        <v>10 tubes and 0 shuttles</v>
      </c>
    </row>
    <row r="47" spans="1:10" ht="12.5" x14ac:dyDescent="0.25">
      <c r="A47" s="32">
        <f>'Profit &amp; Loss'!A47</f>
        <v>46084</v>
      </c>
      <c r="B47" s="35" t="str">
        <f>'Profit &amp; Loss'!B47</f>
        <v>Tues</v>
      </c>
      <c r="C47" s="36"/>
      <c r="D47" s="33"/>
      <c r="E47" s="102">
        <f t="shared" si="10"/>
        <v>53</v>
      </c>
      <c r="F47" s="103" t="str">
        <f t="shared" si="0"/>
        <v>4 tubes and 5 shuttles</v>
      </c>
      <c r="G47" s="36">
        <f t="shared" si="11"/>
        <v>67</v>
      </c>
      <c r="H47" s="104" t="str">
        <f t="shared" si="1"/>
        <v>5 tubes and 7 shuttles</v>
      </c>
      <c r="I47" s="36">
        <f t="shared" si="2"/>
        <v>120</v>
      </c>
      <c r="J47" s="103" t="str">
        <f t="shared" si="3"/>
        <v>10 tubes and 0 shuttles</v>
      </c>
    </row>
    <row r="48" spans="1:10" ht="12.5" x14ac:dyDescent="0.25">
      <c r="A48" s="32">
        <f>'Profit &amp; Loss'!A48</f>
        <v>46087</v>
      </c>
      <c r="B48" s="35" t="str">
        <f>'Profit &amp; Loss'!B48</f>
        <v>Fri</v>
      </c>
      <c r="C48" s="36">
        <v>9</v>
      </c>
      <c r="D48" s="33"/>
      <c r="E48" s="102">
        <f t="shared" si="10"/>
        <v>44</v>
      </c>
      <c r="F48" s="103" t="str">
        <f t="shared" si="0"/>
        <v>3 tubes and 8 shuttles</v>
      </c>
      <c r="G48" s="36">
        <f t="shared" si="11"/>
        <v>67</v>
      </c>
      <c r="H48" s="104" t="str">
        <f t="shared" si="1"/>
        <v>5 tubes and 7 shuttles</v>
      </c>
      <c r="I48" s="36">
        <f t="shared" si="2"/>
        <v>111</v>
      </c>
      <c r="J48" s="103" t="str">
        <f t="shared" si="3"/>
        <v>9 tubes and 3 shuttles</v>
      </c>
    </row>
    <row r="49" spans="1:10" ht="12.5" x14ac:dyDescent="0.25">
      <c r="A49" s="32">
        <f>'Profit &amp; Loss'!A49</f>
        <v>46089</v>
      </c>
      <c r="B49" s="35" t="str">
        <f>'Profit &amp; Loss'!B49</f>
        <v>Sun</v>
      </c>
      <c r="C49" s="36">
        <v>8</v>
      </c>
      <c r="D49" s="33"/>
      <c r="E49" s="102">
        <f t="shared" si="10"/>
        <v>36</v>
      </c>
      <c r="F49" s="103" t="str">
        <f t="shared" si="0"/>
        <v>3 tubes and 0 shuttles</v>
      </c>
      <c r="G49" s="36">
        <f t="shared" si="11"/>
        <v>67</v>
      </c>
      <c r="H49" s="104" t="str">
        <f t="shared" si="1"/>
        <v>5 tubes and 7 shuttles</v>
      </c>
      <c r="I49" s="36">
        <f t="shared" si="2"/>
        <v>103</v>
      </c>
      <c r="J49" s="103" t="str">
        <f t="shared" si="3"/>
        <v>8 tubes and 7 shuttles</v>
      </c>
    </row>
    <row r="50" spans="1:10" ht="12.5" x14ac:dyDescent="0.25">
      <c r="A50" s="32">
        <f>'Profit &amp; Loss'!A50</f>
        <v>46096</v>
      </c>
      <c r="B50" s="35" t="str">
        <f>'Profit &amp; Loss'!B50</f>
        <v>Sun</v>
      </c>
      <c r="C50" s="36">
        <v>12</v>
      </c>
      <c r="D50" s="33"/>
      <c r="E50" s="102">
        <f t="shared" si="10"/>
        <v>24</v>
      </c>
      <c r="F50" s="103" t="str">
        <f t="shared" si="0"/>
        <v>2 tubes and 0 shuttles</v>
      </c>
      <c r="G50" s="36">
        <f t="shared" si="11"/>
        <v>67</v>
      </c>
      <c r="H50" s="104" t="str">
        <f t="shared" si="1"/>
        <v>5 tubes and 7 shuttles</v>
      </c>
      <c r="I50" s="36">
        <f t="shared" si="2"/>
        <v>91</v>
      </c>
      <c r="J50" s="103" t="str">
        <f t="shared" si="3"/>
        <v>7 tubes and 7 shuttles</v>
      </c>
    </row>
    <row r="51" spans="1:10" ht="12.5" x14ac:dyDescent="0.25">
      <c r="A51" s="32">
        <f>'Profit &amp; Loss'!A51</f>
        <v>46099</v>
      </c>
      <c r="B51" s="35" t="str">
        <f>'Profit &amp; Loss'!B51</f>
        <v>Wed</v>
      </c>
      <c r="C51" s="36"/>
      <c r="D51" s="33"/>
      <c r="E51" s="102">
        <f t="shared" si="10"/>
        <v>24</v>
      </c>
      <c r="F51" s="103" t="str">
        <f t="shared" si="0"/>
        <v>2 tubes and 0 shuttles</v>
      </c>
      <c r="G51" s="36">
        <f t="shared" si="11"/>
        <v>67</v>
      </c>
      <c r="H51" s="104" t="str">
        <f t="shared" si="1"/>
        <v>5 tubes and 7 shuttles</v>
      </c>
      <c r="I51" s="36">
        <f t="shared" si="2"/>
        <v>91</v>
      </c>
      <c r="J51" s="103" t="str">
        <f t="shared" si="3"/>
        <v>7 tubes and 7 shuttles</v>
      </c>
    </row>
    <row r="52" spans="1:10" ht="12.5" x14ac:dyDescent="0.25">
      <c r="A52" s="32">
        <f>'Profit &amp; Loss'!A52</f>
        <v>46103</v>
      </c>
      <c r="B52" s="35" t="str">
        <f>'Profit &amp; Loss'!B52</f>
        <v>Sun</v>
      </c>
      <c r="C52" s="36"/>
      <c r="D52" s="33"/>
      <c r="E52" s="102">
        <f t="shared" si="10"/>
        <v>24</v>
      </c>
      <c r="F52" s="103" t="str">
        <f t="shared" si="0"/>
        <v>2 tubes and 0 shuttles</v>
      </c>
      <c r="G52" s="36">
        <f t="shared" si="11"/>
        <v>67</v>
      </c>
      <c r="H52" s="104" t="str">
        <f t="shared" si="1"/>
        <v>5 tubes and 7 shuttles</v>
      </c>
      <c r="I52" s="36">
        <f t="shared" si="2"/>
        <v>91</v>
      </c>
      <c r="J52" s="103" t="str">
        <f t="shared" si="3"/>
        <v>7 tubes and 7 shuttles</v>
      </c>
    </row>
    <row r="53" spans="1:10" ht="12.5" x14ac:dyDescent="0.25">
      <c r="A53" s="32">
        <f>'Profit &amp; Loss'!A53</f>
        <v>46104</v>
      </c>
      <c r="B53" s="35" t="str">
        <f>'Profit &amp; Loss'!B53</f>
        <v>Mon</v>
      </c>
      <c r="C53" s="36"/>
      <c r="D53" s="33">
        <v>5</v>
      </c>
      <c r="E53" s="102">
        <f t="shared" si="10"/>
        <v>24</v>
      </c>
      <c r="F53" s="103" t="str">
        <f t="shared" si="0"/>
        <v>2 tubes and 0 shuttles</v>
      </c>
      <c r="G53" s="36">
        <f t="shared" si="11"/>
        <v>62</v>
      </c>
      <c r="H53" s="104" t="str">
        <f t="shared" si="1"/>
        <v>5 tubes and 2 shuttles</v>
      </c>
      <c r="I53" s="36">
        <f t="shared" si="2"/>
        <v>86</v>
      </c>
      <c r="J53" s="103" t="str">
        <f t="shared" si="3"/>
        <v>7 tubes and 2 shuttles</v>
      </c>
    </row>
    <row r="54" spans="1:10" ht="12.5" x14ac:dyDescent="0.25">
      <c r="A54" s="32">
        <f>'Profit &amp; Loss'!A54</f>
        <v>46115</v>
      </c>
      <c r="B54" s="35" t="str">
        <f>'Profit &amp; Loss'!B54</f>
        <v>Fri</v>
      </c>
      <c r="C54" s="36"/>
      <c r="D54" s="33">
        <v>2</v>
      </c>
      <c r="E54" s="102">
        <f t="shared" si="10"/>
        <v>24</v>
      </c>
      <c r="F54" s="103" t="str">
        <f t="shared" si="0"/>
        <v>2 tubes and 0 shuttles</v>
      </c>
      <c r="G54" s="36">
        <f t="shared" si="11"/>
        <v>60</v>
      </c>
      <c r="H54" s="104" t="str">
        <f t="shared" si="1"/>
        <v>5 tubes and 0 shuttles</v>
      </c>
      <c r="I54" s="36">
        <f t="shared" si="2"/>
        <v>84</v>
      </c>
      <c r="J54" s="103" t="str">
        <f t="shared" si="3"/>
        <v>7 tubes and 0 shuttles</v>
      </c>
    </row>
    <row r="55" spans="1:10" ht="12.5" x14ac:dyDescent="0.25">
      <c r="A55" s="32">
        <f>'Profit &amp; Loss'!A55</f>
        <v>46124</v>
      </c>
      <c r="B55" s="35" t="str">
        <f>'Profit &amp; Loss'!B55</f>
        <v>Sun</v>
      </c>
      <c r="C55" s="36"/>
      <c r="D55" s="33"/>
      <c r="E55" s="102">
        <f t="shared" si="10"/>
        <v>24</v>
      </c>
      <c r="F55" s="103" t="str">
        <f t="shared" si="0"/>
        <v>2 tubes and 0 shuttles</v>
      </c>
      <c r="G55" s="36">
        <f t="shared" si="11"/>
        <v>60</v>
      </c>
      <c r="H55" s="104" t="str">
        <f t="shared" si="1"/>
        <v>5 tubes and 0 shuttles</v>
      </c>
      <c r="I55" s="36">
        <f t="shared" si="2"/>
        <v>84</v>
      </c>
      <c r="J55" s="103" t="str">
        <f t="shared" si="3"/>
        <v>7 tubes and 0 shuttles</v>
      </c>
    </row>
    <row r="56" spans="1:10" ht="12.5" x14ac:dyDescent="0.25">
      <c r="A56" s="32">
        <f>'Profit &amp; Loss'!A56</f>
        <v>46125</v>
      </c>
      <c r="B56" s="35" t="str">
        <f>'Profit &amp; Loss'!B56</f>
        <v>Mon</v>
      </c>
      <c r="C56" s="36"/>
      <c r="D56" s="33"/>
      <c r="E56" s="102">
        <f t="shared" si="10"/>
        <v>24</v>
      </c>
      <c r="F56" s="103" t="str">
        <f t="shared" si="0"/>
        <v>2 tubes and 0 shuttles</v>
      </c>
      <c r="G56" s="36">
        <f t="shared" si="11"/>
        <v>60</v>
      </c>
      <c r="H56" s="104" t="str">
        <f t="shared" si="1"/>
        <v>5 tubes and 0 shuttles</v>
      </c>
      <c r="I56" s="36">
        <f t="shared" si="2"/>
        <v>84</v>
      </c>
      <c r="J56" s="103" t="str">
        <f t="shared" si="3"/>
        <v>7 tubes and 0 shuttles</v>
      </c>
    </row>
    <row r="57" spans="1:10" ht="12.5" x14ac:dyDescent="0.25">
      <c r="A57" s="32">
        <f>'Profit &amp; Loss'!A57</f>
        <v>46128</v>
      </c>
      <c r="B57" s="35" t="str">
        <f>'Profit &amp; Loss'!B57</f>
        <v>Thurs</v>
      </c>
      <c r="C57" s="36"/>
      <c r="D57" s="33"/>
      <c r="E57" s="102">
        <f t="shared" si="10"/>
        <v>24</v>
      </c>
      <c r="F57" s="103" t="str">
        <f t="shared" si="0"/>
        <v>2 tubes and 0 shuttles</v>
      </c>
      <c r="G57" s="36">
        <f t="shared" si="11"/>
        <v>60</v>
      </c>
      <c r="H57" s="104" t="str">
        <f t="shared" si="1"/>
        <v>5 tubes and 0 shuttles</v>
      </c>
      <c r="I57" s="36">
        <f t="shared" si="2"/>
        <v>84</v>
      </c>
      <c r="J57" s="103" t="str">
        <f t="shared" si="3"/>
        <v>7 tubes and 0 shuttles</v>
      </c>
    </row>
    <row r="58" spans="1:10" ht="12.5" x14ac:dyDescent="0.25">
      <c r="A58" s="32">
        <f>'Profit &amp; Loss'!A58</f>
        <v>46130</v>
      </c>
      <c r="B58" s="35" t="str">
        <f>'Profit &amp; Loss'!B58</f>
        <v>Sat</v>
      </c>
      <c r="C58" s="36"/>
      <c r="D58" s="33">
        <v>6</v>
      </c>
      <c r="E58" s="102">
        <f t="shared" si="10"/>
        <v>24</v>
      </c>
      <c r="F58" s="103" t="str">
        <f t="shared" si="0"/>
        <v>2 tubes and 0 shuttles</v>
      </c>
      <c r="G58" s="36">
        <f t="shared" si="11"/>
        <v>54</v>
      </c>
      <c r="H58" s="104" t="str">
        <f t="shared" si="1"/>
        <v>4 tubes and 6 shuttles</v>
      </c>
      <c r="I58" s="36">
        <f t="shared" si="2"/>
        <v>78</v>
      </c>
      <c r="J58" s="103" t="str">
        <f t="shared" si="3"/>
        <v>6 tubes and 6 shuttles</v>
      </c>
    </row>
    <row r="59" spans="1:10" ht="12.5" x14ac:dyDescent="0.25">
      <c r="A59" s="32">
        <f>'Profit &amp; Loss'!A59</f>
        <v>46132</v>
      </c>
      <c r="B59" s="35" t="str">
        <f>'Profit &amp; Loss'!B59</f>
        <v>Mon</v>
      </c>
      <c r="C59" s="36"/>
      <c r="D59" s="33">
        <v>5</v>
      </c>
      <c r="E59" s="102">
        <f t="shared" si="10"/>
        <v>24</v>
      </c>
      <c r="F59" s="103" t="str">
        <f t="shared" si="0"/>
        <v>2 tubes and 0 shuttles</v>
      </c>
      <c r="G59" s="36">
        <f t="shared" si="11"/>
        <v>49</v>
      </c>
      <c r="H59" s="104" t="str">
        <f t="shared" si="1"/>
        <v>4 tubes and 1 shuttles</v>
      </c>
      <c r="I59" s="36">
        <f t="shared" si="2"/>
        <v>73</v>
      </c>
      <c r="J59" s="103" t="str">
        <f t="shared" si="3"/>
        <v>6 tubes and 1 shuttles</v>
      </c>
    </row>
    <row r="60" spans="1:10" ht="12.5" x14ac:dyDescent="0.25">
      <c r="A60" s="32">
        <f>'Profit &amp; Loss'!A60</f>
        <v>46134</v>
      </c>
      <c r="B60" s="35" t="str">
        <f>'Profit &amp; Loss'!B60</f>
        <v>Wed</v>
      </c>
      <c r="C60" s="36"/>
      <c r="D60" s="33">
        <v>5</v>
      </c>
      <c r="E60" s="102">
        <f t="shared" si="10"/>
        <v>24</v>
      </c>
      <c r="F60" s="103" t="str">
        <f t="shared" si="0"/>
        <v>2 tubes and 0 shuttles</v>
      </c>
      <c r="G60" s="36">
        <f t="shared" si="11"/>
        <v>44</v>
      </c>
      <c r="H60" s="104" t="str">
        <f t="shared" si="1"/>
        <v>3 tubes and 8 shuttles</v>
      </c>
      <c r="I60" s="36">
        <f t="shared" si="2"/>
        <v>68</v>
      </c>
      <c r="J60" s="103" t="str">
        <f t="shared" si="3"/>
        <v>5 tubes and 8 shuttles</v>
      </c>
    </row>
    <row r="61" spans="1:10" ht="12.5" x14ac:dyDescent="0.25">
      <c r="A61" s="32">
        <f>'Profit &amp; Loss'!A61</f>
        <v>46138</v>
      </c>
      <c r="B61" s="35" t="str">
        <f>'Profit &amp; Loss'!B61</f>
        <v>Sun</v>
      </c>
      <c r="C61" s="36"/>
      <c r="D61" s="33">
        <v>3</v>
      </c>
      <c r="E61" s="102">
        <f t="shared" si="10"/>
        <v>24</v>
      </c>
      <c r="F61" s="103" t="str">
        <f t="shared" si="0"/>
        <v>2 tubes and 0 shuttles</v>
      </c>
      <c r="G61" s="36">
        <f t="shared" si="11"/>
        <v>41</v>
      </c>
      <c r="H61" s="104" t="str">
        <f t="shared" si="1"/>
        <v>3 tubes and 5 shuttles</v>
      </c>
      <c r="I61" s="36">
        <f t="shared" si="2"/>
        <v>65</v>
      </c>
      <c r="J61" s="103" t="str">
        <f t="shared" si="3"/>
        <v>5 tubes and 5 shuttles</v>
      </c>
    </row>
    <row r="62" spans="1:10" ht="12.5" x14ac:dyDescent="0.25">
      <c r="A62" s="32">
        <f>'Profit &amp; Loss'!A62</f>
        <v>46140</v>
      </c>
      <c r="B62" s="35" t="str">
        <f>'Profit &amp; Loss'!B62</f>
        <v>Tues</v>
      </c>
      <c r="C62" s="36"/>
      <c r="D62" s="33">
        <v>4</v>
      </c>
      <c r="E62" s="102">
        <f t="shared" si="10"/>
        <v>24</v>
      </c>
      <c r="F62" s="103" t="str">
        <f t="shared" si="0"/>
        <v>2 tubes and 0 shuttles</v>
      </c>
      <c r="G62" s="36">
        <f t="shared" si="11"/>
        <v>37</v>
      </c>
      <c r="H62" s="104" t="str">
        <f t="shared" si="1"/>
        <v>3 tubes and 1 shuttles</v>
      </c>
      <c r="I62" s="36">
        <f t="shared" si="2"/>
        <v>61</v>
      </c>
      <c r="J62" s="103" t="str">
        <f t="shared" si="3"/>
        <v>5 tubes and 1 shuttles</v>
      </c>
    </row>
    <row r="63" spans="1:10" ht="12.5" x14ac:dyDescent="0.25">
      <c r="A63" s="32">
        <f>'Profit &amp; Loss'!A63</f>
        <v>46141</v>
      </c>
      <c r="B63" s="35" t="str">
        <f>'Profit &amp; Loss'!B63</f>
        <v>Wed</v>
      </c>
      <c r="C63" s="36"/>
      <c r="D63" s="33">
        <v>6</v>
      </c>
      <c r="E63" s="102">
        <f t="shared" si="10"/>
        <v>24</v>
      </c>
      <c r="F63" s="103" t="str">
        <f t="shared" si="0"/>
        <v>2 tubes and 0 shuttles</v>
      </c>
      <c r="G63" s="36">
        <f t="shared" si="11"/>
        <v>31</v>
      </c>
      <c r="H63" s="104" t="str">
        <f t="shared" si="1"/>
        <v>2 tubes and 7 shuttles</v>
      </c>
      <c r="I63" s="36">
        <f t="shared" si="2"/>
        <v>55</v>
      </c>
      <c r="J63" s="103" t="str">
        <f t="shared" si="3"/>
        <v>4 tubes and 7 shuttles</v>
      </c>
    </row>
    <row r="64" spans="1:10" ht="12.5" x14ac:dyDescent="0.25">
      <c r="A64" s="32">
        <f>'Profit &amp; Loss'!A64</f>
        <v>46144</v>
      </c>
      <c r="B64" s="35" t="str">
        <f>'Profit &amp; Loss'!B64</f>
        <v>Sat</v>
      </c>
      <c r="C64" s="36"/>
      <c r="D64" s="33">
        <v>7</v>
      </c>
      <c r="E64" s="102">
        <f t="shared" si="10"/>
        <v>24</v>
      </c>
      <c r="F64" s="103" t="str">
        <f t="shared" si="0"/>
        <v>2 tubes and 0 shuttles</v>
      </c>
      <c r="G64" s="36">
        <f t="shared" si="11"/>
        <v>24</v>
      </c>
      <c r="H64" s="104" t="str">
        <f t="shared" si="1"/>
        <v>2 tubes and 0 shuttles</v>
      </c>
      <c r="I64" s="36">
        <f t="shared" si="2"/>
        <v>48</v>
      </c>
      <c r="J64" s="103" t="str">
        <f t="shared" si="3"/>
        <v>4 tubes and 0 shuttles</v>
      </c>
    </row>
    <row r="65" spans="1:10" ht="12.5" x14ac:dyDescent="0.25">
      <c r="A65" s="32">
        <f>'Profit &amp; Loss'!A65</f>
        <v>46152</v>
      </c>
      <c r="B65" s="35" t="str">
        <f>'Profit &amp; Loss'!B65</f>
        <v>Sun</v>
      </c>
      <c r="C65" s="36"/>
      <c r="D65" s="33">
        <v>13</v>
      </c>
      <c r="E65" s="102">
        <f t="shared" si="10"/>
        <v>24</v>
      </c>
      <c r="F65" s="103" t="str">
        <f t="shared" si="0"/>
        <v>2 tubes and 0 shuttles</v>
      </c>
      <c r="G65" s="36">
        <f t="shared" si="11"/>
        <v>11</v>
      </c>
      <c r="H65" s="104" t="str">
        <f t="shared" si="1"/>
        <v>0 tubes and 11 shuttles</v>
      </c>
      <c r="I65" s="36">
        <f t="shared" si="2"/>
        <v>35</v>
      </c>
      <c r="J65" s="103" t="str">
        <f t="shared" si="3"/>
        <v>2 tubes and 11 shuttles</v>
      </c>
    </row>
    <row r="66" spans="1:10" ht="12.5" x14ac:dyDescent="0.25">
      <c r="A66" s="32">
        <f>'Profit &amp; Loss'!A66</f>
        <v>46156</v>
      </c>
      <c r="B66" s="35" t="str">
        <f>'Profit &amp; Loss'!B66</f>
        <v>Thurs</v>
      </c>
      <c r="C66" s="36"/>
      <c r="D66" s="33">
        <v>6</v>
      </c>
      <c r="E66" s="102">
        <f t="shared" si="10"/>
        <v>24</v>
      </c>
      <c r="F66" s="103" t="str">
        <f t="shared" si="0"/>
        <v>2 tubes and 0 shuttles</v>
      </c>
      <c r="G66" s="36">
        <f t="shared" si="11"/>
        <v>5</v>
      </c>
      <c r="H66" s="104" t="str">
        <f t="shared" si="1"/>
        <v>0 tubes and 5 shuttles</v>
      </c>
      <c r="I66" s="36">
        <f t="shared" si="2"/>
        <v>29</v>
      </c>
      <c r="J66" s="103" t="str">
        <f t="shared" si="3"/>
        <v>2 tubes and 5 shuttles</v>
      </c>
    </row>
    <row r="67" spans="1:10" ht="12.5" x14ac:dyDescent="0.25">
      <c r="A67" s="32">
        <f>'Profit &amp; Loss'!A67</f>
        <v>46157</v>
      </c>
      <c r="B67" s="35" t="str">
        <f>'Profit &amp; Loss'!B67</f>
        <v>Fri</v>
      </c>
      <c r="C67" s="36">
        <v>7</v>
      </c>
      <c r="D67" s="33">
        <v>5</v>
      </c>
      <c r="E67" s="102">
        <f t="shared" si="10"/>
        <v>17</v>
      </c>
      <c r="F67" s="103" t="str">
        <f t="shared" si="0"/>
        <v>1 tubes and 5 shuttles</v>
      </c>
      <c r="G67" s="36">
        <f t="shared" si="11"/>
        <v>0</v>
      </c>
      <c r="H67" s="104" t="str">
        <f t="shared" si="1"/>
        <v>0 tubes and 0 shuttles</v>
      </c>
      <c r="I67" s="36">
        <f t="shared" si="2"/>
        <v>17</v>
      </c>
      <c r="J67" s="103" t="str">
        <f t="shared" si="3"/>
        <v>1 tubes and 5 shuttles</v>
      </c>
    </row>
    <row r="68" spans="1:10" ht="12.5" x14ac:dyDescent="0.25">
      <c r="A68" s="32">
        <f>'Profit &amp; Loss'!A68</f>
        <v>46158</v>
      </c>
      <c r="B68" s="35" t="str">
        <f>'Profit &amp; Loss'!B68</f>
        <v>Sat</v>
      </c>
      <c r="C68" s="36">
        <v>17</v>
      </c>
      <c r="D68" s="33"/>
      <c r="E68" s="102">
        <f t="shared" si="10"/>
        <v>0</v>
      </c>
      <c r="F68" s="103" t="str">
        <f t="shared" si="0"/>
        <v>0 tubes and 0 shuttles</v>
      </c>
      <c r="G68" s="36">
        <f t="shared" si="11"/>
        <v>0</v>
      </c>
      <c r="H68" s="104" t="str">
        <f t="shared" si="1"/>
        <v>0 tubes and 0 shuttles</v>
      </c>
      <c r="I68" s="36">
        <f t="shared" si="2"/>
        <v>0</v>
      </c>
      <c r="J68" s="103" t="str">
        <f t="shared" si="3"/>
        <v>0 tubes and 0 shuttles</v>
      </c>
    </row>
    <row r="69" spans="1:10" ht="12.5" x14ac:dyDescent="0.25">
      <c r="A69" s="32">
        <f>'Profit &amp; Loss'!A69</f>
        <v>46160</v>
      </c>
      <c r="B69" s="35" t="str">
        <f>'Profit &amp; Loss'!B69</f>
        <v>Mon</v>
      </c>
      <c r="C69" s="36"/>
      <c r="D69" s="33"/>
      <c r="E69" s="102">
        <f t="shared" si="10"/>
        <v>0</v>
      </c>
      <c r="F69" s="103" t="str">
        <f t="shared" si="0"/>
        <v>0 tubes and 0 shuttles</v>
      </c>
      <c r="G69" s="36">
        <f t="shared" si="11"/>
        <v>0</v>
      </c>
      <c r="H69" s="104" t="str">
        <f t="shared" si="1"/>
        <v>0 tubes and 0 shuttles</v>
      </c>
      <c r="I69" s="36">
        <f t="shared" si="2"/>
        <v>0</v>
      </c>
      <c r="J69" s="103" t="str">
        <f t="shared" si="3"/>
        <v>0 tubes and 0 shuttles</v>
      </c>
    </row>
    <row r="70" spans="1:10" ht="12.5" x14ac:dyDescent="0.25">
      <c r="A70" s="32">
        <f>'Profit &amp; Loss'!A70</f>
        <v>46166</v>
      </c>
      <c r="B70" s="35" t="str">
        <f>'Profit &amp; Loss'!B70</f>
        <v>Sun</v>
      </c>
      <c r="C70" s="36"/>
      <c r="D70" s="33"/>
      <c r="E70" s="102">
        <f t="shared" si="10"/>
        <v>0</v>
      </c>
      <c r="F70" s="103" t="str">
        <f t="shared" si="0"/>
        <v>0 tubes and 0 shuttles</v>
      </c>
      <c r="G70" s="36">
        <f t="shared" si="11"/>
        <v>0</v>
      </c>
      <c r="H70" s="104" t="str">
        <f t="shared" si="1"/>
        <v>0 tubes and 0 shuttles</v>
      </c>
      <c r="I70" s="36">
        <f t="shared" si="2"/>
        <v>0</v>
      </c>
      <c r="J70" s="103" t="str">
        <f t="shared" si="3"/>
        <v>0 tubes and 0 shuttles</v>
      </c>
    </row>
    <row r="71" spans="1:10" ht="12.5" x14ac:dyDescent="0.25">
      <c r="A71" s="32">
        <f>'Profit &amp; Loss'!A71</f>
        <v>46171</v>
      </c>
      <c r="B71" s="35" t="str">
        <f>'Profit &amp; Loss'!B71</f>
        <v>Fri</v>
      </c>
      <c r="C71" s="36"/>
      <c r="D71" s="33"/>
      <c r="E71" s="102">
        <f t="shared" si="10"/>
        <v>0</v>
      </c>
      <c r="F71" s="103" t="str">
        <f t="shared" si="0"/>
        <v>0 tubes and 0 shuttles</v>
      </c>
      <c r="G71" s="36">
        <f t="shared" si="11"/>
        <v>0</v>
      </c>
      <c r="H71" s="104" t="str">
        <f t="shared" si="1"/>
        <v>0 tubes and 0 shuttles</v>
      </c>
      <c r="I71" s="36">
        <f t="shared" si="2"/>
        <v>0</v>
      </c>
      <c r="J71" s="103" t="str">
        <f t="shared" si="3"/>
        <v>0 tubes and 0 shuttles</v>
      </c>
    </row>
    <row r="72" spans="1:10" ht="12.5" x14ac:dyDescent="0.25">
      <c r="A72" s="32">
        <f>'Profit &amp; Loss'!A72</f>
        <v>46172</v>
      </c>
      <c r="B72" s="35" t="str">
        <f>'Profit &amp; Loss'!B72</f>
        <v>Sat</v>
      </c>
      <c r="C72" s="36"/>
      <c r="D72" s="33"/>
      <c r="E72" s="102">
        <f t="shared" si="10"/>
        <v>0</v>
      </c>
      <c r="F72" s="103" t="str">
        <f t="shared" si="0"/>
        <v>0 tubes and 0 shuttles</v>
      </c>
      <c r="G72" s="36">
        <f t="shared" si="11"/>
        <v>0</v>
      </c>
      <c r="H72" s="104" t="str">
        <f t="shared" si="1"/>
        <v>0 tubes and 0 shuttles</v>
      </c>
      <c r="I72" s="36">
        <f t="shared" si="2"/>
        <v>0</v>
      </c>
      <c r="J72" s="103" t="str">
        <f t="shared" si="3"/>
        <v>0 tubes and 0 shuttles</v>
      </c>
    </row>
    <row r="73" spans="1:10" ht="12.5" x14ac:dyDescent="0.25">
      <c r="A73" s="32">
        <f>'Profit &amp; Loss'!A73</f>
        <v>46180</v>
      </c>
      <c r="B73" s="35" t="str">
        <f>'Profit &amp; Loss'!B73</f>
        <v>Sun</v>
      </c>
      <c r="C73" s="36"/>
      <c r="D73" s="33"/>
      <c r="E73" s="102">
        <f t="shared" si="10"/>
        <v>0</v>
      </c>
      <c r="F73" s="103" t="str">
        <f t="shared" si="0"/>
        <v>0 tubes and 0 shuttles</v>
      </c>
      <c r="G73" s="36">
        <f t="shared" si="11"/>
        <v>0</v>
      </c>
      <c r="H73" s="104" t="str">
        <f t="shared" si="1"/>
        <v>0 tubes and 0 shuttles</v>
      </c>
      <c r="I73" s="36">
        <f t="shared" si="2"/>
        <v>0</v>
      </c>
      <c r="J73" s="103" t="str">
        <f t="shared" si="3"/>
        <v>0 tubes and 0 shuttles</v>
      </c>
    </row>
    <row r="74" spans="1:10" ht="12.5" x14ac:dyDescent="0.25">
      <c r="A74" s="32">
        <f>'Profit &amp; Loss'!A74</f>
        <v>0</v>
      </c>
      <c r="B74" s="35">
        <f>'Profit &amp; Loss'!B74</f>
        <v>0</v>
      </c>
      <c r="C74" s="36"/>
      <c r="D74" s="33"/>
      <c r="E74" s="102">
        <f t="shared" si="10"/>
        <v>0</v>
      </c>
      <c r="F74" s="103" t="str">
        <f t="shared" si="0"/>
        <v>0 tubes and 0 shuttles</v>
      </c>
      <c r="G74" s="36">
        <f t="shared" si="11"/>
        <v>0</v>
      </c>
      <c r="H74" s="104" t="str">
        <f t="shared" si="1"/>
        <v>0 tubes and 0 shuttles</v>
      </c>
      <c r="I74" s="36">
        <f t="shared" si="2"/>
        <v>0</v>
      </c>
      <c r="J74" s="103" t="str">
        <f t="shared" si="3"/>
        <v>0 tubes and 0 shuttles</v>
      </c>
    </row>
    <row r="75" spans="1:10" ht="12.5" x14ac:dyDescent="0.25">
      <c r="A75" s="32">
        <f>'Profit &amp; Loss'!A75</f>
        <v>0</v>
      </c>
      <c r="B75" s="35">
        <f>'Profit &amp; Loss'!B75</f>
        <v>0</v>
      </c>
      <c r="C75" s="36"/>
      <c r="D75" s="33"/>
      <c r="E75" s="102">
        <f t="shared" si="10"/>
        <v>0</v>
      </c>
      <c r="F75" s="103" t="str">
        <f t="shared" si="0"/>
        <v>0 tubes and 0 shuttles</v>
      </c>
      <c r="G75" s="36">
        <f t="shared" si="11"/>
        <v>0</v>
      </c>
      <c r="H75" s="104" t="str">
        <f t="shared" si="1"/>
        <v>0 tubes and 0 shuttles</v>
      </c>
      <c r="I75" s="36">
        <f t="shared" si="2"/>
        <v>0</v>
      </c>
      <c r="J75" s="103" t="str">
        <f t="shared" si="3"/>
        <v>0 tubes and 0 shuttles</v>
      </c>
    </row>
    <row r="76" spans="1:10" ht="12.5" x14ac:dyDescent="0.25">
      <c r="A76" s="32">
        <f>'Profit &amp; Loss'!A76</f>
        <v>0</v>
      </c>
      <c r="B76" s="35">
        <f>'Profit &amp; Loss'!B76</f>
        <v>0</v>
      </c>
      <c r="C76" s="36"/>
      <c r="D76" s="33"/>
      <c r="E76" s="102">
        <f t="shared" si="10"/>
        <v>0</v>
      </c>
      <c r="F76" s="103" t="str">
        <f t="shared" si="0"/>
        <v>0 tubes and 0 shuttles</v>
      </c>
      <c r="G76" s="36">
        <f t="shared" si="11"/>
        <v>0</v>
      </c>
      <c r="H76" s="104" t="str">
        <f t="shared" si="1"/>
        <v>0 tubes and 0 shuttles</v>
      </c>
      <c r="I76" s="36">
        <f t="shared" si="2"/>
        <v>0</v>
      </c>
      <c r="J76" s="103" t="str">
        <f t="shared" si="3"/>
        <v>0 tubes and 0 shuttles</v>
      </c>
    </row>
    <row r="77" spans="1:10" ht="12.5" x14ac:dyDescent="0.25">
      <c r="A77" s="32">
        <f>'Profit &amp; Loss'!A77</f>
        <v>0</v>
      </c>
      <c r="B77" s="35">
        <f>'Profit &amp; Loss'!B77</f>
        <v>0</v>
      </c>
      <c r="C77" s="36"/>
      <c r="D77" s="33"/>
      <c r="E77" s="102">
        <f t="shared" si="10"/>
        <v>0</v>
      </c>
      <c r="F77" s="103" t="str">
        <f t="shared" si="0"/>
        <v>0 tubes and 0 shuttles</v>
      </c>
      <c r="G77" s="36">
        <f t="shared" si="11"/>
        <v>0</v>
      </c>
      <c r="H77" s="104" t="str">
        <f t="shared" si="1"/>
        <v>0 tubes and 0 shuttles</v>
      </c>
      <c r="I77" s="36">
        <f t="shared" si="2"/>
        <v>0</v>
      </c>
      <c r="J77" s="103" t="str">
        <f t="shared" si="3"/>
        <v>0 tubes and 0 shuttles</v>
      </c>
    </row>
    <row r="78" spans="1:10" ht="12.5" x14ac:dyDescent="0.25">
      <c r="A78" s="32">
        <f>'Profit &amp; Loss'!A78</f>
        <v>0</v>
      </c>
      <c r="B78" s="35">
        <f>'Profit &amp; Loss'!B78</f>
        <v>0</v>
      </c>
      <c r="C78" s="36"/>
      <c r="D78" s="33"/>
      <c r="E78" s="102">
        <f t="shared" si="10"/>
        <v>0</v>
      </c>
      <c r="F78" s="103" t="str">
        <f t="shared" si="0"/>
        <v>0 tubes and 0 shuttles</v>
      </c>
      <c r="G78" s="36">
        <f t="shared" si="11"/>
        <v>0</v>
      </c>
      <c r="H78" s="104" t="str">
        <f t="shared" si="1"/>
        <v>0 tubes and 0 shuttles</v>
      </c>
      <c r="I78" s="36">
        <f t="shared" si="2"/>
        <v>0</v>
      </c>
      <c r="J78" s="103" t="str">
        <f t="shared" si="3"/>
        <v>0 tubes and 0 shuttles</v>
      </c>
    </row>
    <row r="79" spans="1:10" ht="12.5" x14ac:dyDescent="0.25">
      <c r="A79" s="32">
        <f>'Profit &amp; Loss'!A79</f>
        <v>0</v>
      </c>
      <c r="B79" s="35">
        <f>'Profit &amp; Loss'!B79</f>
        <v>0</v>
      </c>
      <c r="C79" s="36"/>
      <c r="D79" s="33"/>
      <c r="E79" s="102">
        <f t="shared" si="10"/>
        <v>0</v>
      </c>
      <c r="F79" s="103" t="str">
        <f t="shared" si="0"/>
        <v>0 tubes and 0 shuttles</v>
      </c>
      <c r="G79" s="36">
        <f t="shared" si="11"/>
        <v>0</v>
      </c>
      <c r="H79" s="104" t="str">
        <f t="shared" si="1"/>
        <v>0 tubes and 0 shuttles</v>
      </c>
      <c r="I79" s="36">
        <f t="shared" si="2"/>
        <v>0</v>
      </c>
      <c r="J79" s="103" t="str">
        <f t="shared" si="3"/>
        <v>0 tubes and 0 shuttles</v>
      </c>
    </row>
    <row r="80" spans="1:10" ht="12.5" x14ac:dyDescent="0.25">
      <c r="A80" s="32">
        <f>'Profit &amp; Loss'!A80</f>
        <v>0</v>
      </c>
      <c r="B80" s="35">
        <f>'Profit &amp; Loss'!B80</f>
        <v>0</v>
      </c>
      <c r="C80" s="36"/>
      <c r="D80" s="33"/>
      <c r="E80" s="102">
        <f t="shared" si="10"/>
        <v>0</v>
      </c>
      <c r="F80" s="103" t="str">
        <f t="shared" si="0"/>
        <v>0 tubes and 0 shuttles</v>
      </c>
      <c r="G80" s="36">
        <f t="shared" si="11"/>
        <v>0</v>
      </c>
      <c r="H80" s="104" t="str">
        <f t="shared" si="1"/>
        <v>0 tubes and 0 shuttles</v>
      </c>
      <c r="I80" s="36">
        <f t="shared" si="2"/>
        <v>0</v>
      </c>
      <c r="J80" s="103" t="str">
        <f t="shared" si="3"/>
        <v>0 tubes and 0 shuttles</v>
      </c>
    </row>
    <row r="81" spans="1:10" ht="12.5" x14ac:dyDescent="0.25">
      <c r="A81" s="32">
        <f>'Profit &amp; Loss'!A81</f>
        <v>0</v>
      </c>
      <c r="B81" s="35">
        <f>'Profit &amp; Loss'!B81</f>
        <v>0</v>
      </c>
      <c r="C81" s="36"/>
      <c r="D81" s="33"/>
      <c r="E81" s="102">
        <f t="shared" si="10"/>
        <v>0</v>
      </c>
      <c r="F81" s="103" t="str">
        <f t="shared" si="0"/>
        <v>0 tubes and 0 shuttles</v>
      </c>
      <c r="G81" s="36">
        <f t="shared" si="11"/>
        <v>0</v>
      </c>
      <c r="H81" s="104" t="str">
        <f t="shared" si="1"/>
        <v>0 tubes and 0 shuttles</v>
      </c>
      <c r="I81" s="36">
        <f t="shared" si="2"/>
        <v>0</v>
      </c>
      <c r="J81" s="103" t="str">
        <f t="shared" si="3"/>
        <v>0 tubes and 0 shuttles</v>
      </c>
    </row>
    <row r="82" spans="1:10" ht="12.5" x14ac:dyDescent="0.25">
      <c r="A82" s="32">
        <f>'Profit &amp; Loss'!A82</f>
        <v>0</v>
      </c>
      <c r="B82" s="35">
        <f>'Profit &amp; Loss'!B82</f>
        <v>0</v>
      </c>
      <c r="C82" s="36"/>
      <c r="D82" s="33"/>
      <c r="E82" s="102">
        <f t="shared" si="10"/>
        <v>0</v>
      </c>
      <c r="F82" s="103" t="str">
        <f t="shared" si="0"/>
        <v>0 tubes and 0 shuttles</v>
      </c>
      <c r="G82" s="36">
        <f t="shared" si="11"/>
        <v>0</v>
      </c>
      <c r="H82" s="104" t="str">
        <f t="shared" si="1"/>
        <v>0 tubes and 0 shuttles</v>
      </c>
      <c r="I82" s="36">
        <f t="shared" si="2"/>
        <v>0</v>
      </c>
      <c r="J82" s="103" t="str">
        <f t="shared" si="3"/>
        <v>0 tubes and 0 shuttles</v>
      </c>
    </row>
    <row r="83" spans="1:10" ht="12.5" x14ac:dyDescent="0.25">
      <c r="A83" s="32">
        <f>'Profit &amp; Loss'!A83</f>
        <v>0</v>
      </c>
      <c r="B83" s="35">
        <f>'Profit &amp; Loss'!B83</f>
        <v>0</v>
      </c>
      <c r="C83" s="36"/>
      <c r="D83" s="33"/>
      <c r="E83" s="102">
        <f t="shared" si="10"/>
        <v>0</v>
      </c>
      <c r="F83" s="103" t="str">
        <f t="shared" si="0"/>
        <v>0 tubes and 0 shuttles</v>
      </c>
      <c r="G83" s="36">
        <f t="shared" si="11"/>
        <v>0</v>
      </c>
      <c r="H83" s="104" t="str">
        <f t="shared" si="1"/>
        <v>0 tubes and 0 shuttles</v>
      </c>
      <c r="I83" s="36">
        <f t="shared" si="2"/>
        <v>0</v>
      </c>
      <c r="J83" s="103" t="str">
        <f t="shared" si="3"/>
        <v>0 tubes and 0 shuttles</v>
      </c>
    </row>
    <row r="84" spans="1:10" ht="12.5" x14ac:dyDescent="0.25">
      <c r="A84" s="32">
        <f>'Profit &amp; Loss'!A84</f>
        <v>0</v>
      </c>
      <c r="B84" s="35">
        <f>'Profit &amp; Loss'!B84</f>
        <v>0</v>
      </c>
      <c r="C84" s="36"/>
      <c r="D84" s="33"/>
      <c r="E84" s="102">
        <f t="shared" si="10"/>
        <v>0</v>
      </c>
      <c r="F84" s="103" t="str">
        <f t="shared" si="0"/>
        <v>0 tubes and 0 shuttles</v>
      </c>
      <c r="G84" s="36">
        <f t="shared" si="11"/>
        <v>0</v>
      </c>
      <c r="H84" s="104" t="str">
        <f t="shared" si="1"/>
        <v>0 tubes and 0 shuttles</v>
      </c>
      <c r="I84" s="36">
        <f t="shared" si="2"/>
        <v>0</v>
      </c>
      <c r="J84" s="103" t="str">
        <f t="shared" si="3"/>
        <v>0 tubes and 0 shuttles</v>
      </c>
    </row>
    <row r="85" spans="1:10" ht="12.5" x14ac:dyDescent="0.25">
      <c r="A85" s="32">
        <f>'Profit &amp; Loss'!A85</f>
        <v>0</v>
      </c>
      <c r="B85" s="35">
        <f>'Profit &amp; Loss'!B85</f>
        <v>0</v>
      </c>
      <c r="C85" s="36"/>
      <c r="D85" s="33"/>
      <c r="E85" s="102">
        <f t="shared" si="10"/>
        <v>0</v>
      </c>
      <c r="F85" s="103" t="str">
        <f t="shared" si="0"/>
        <v>0 tubes and 0 shuttles</v>
      </c>
      <c r="G85" s="36">
        <f t="shared" si="11"/>
        <v>0</v>
      </c>
      <c r="H85" s="104" t="str">
        <f t="shared" si="1"/>
        <v>0 tubes and 0 shuttles</v>
      </c>
      <c r="I85" s="36">
        <f t="shared" si="2"/>
        <v>0</v>
      </c>
      <c r="J85" s="103" t="str">
        <f t="shared" si="3"/>
        <v>0 tubes and 0 shuttles</v>
      </c>
    </row>
    <row r="86" spans="1:10" ht="12.5" x14ac:dyDescent="0.25">
      <c r="A86" s="32">
        <f>'Profit &amp; Loss'!A86</f>
        <v>0</v>
      </c>
      <c r="B86" s="35">
        <f>'Profit &amp; Loss'!B86</f>
        <v>0</v>
      </c>
      <c r="C86" s="36"/>
      <c r="D86" s="33"/>
      <c r="E86" s="102">
        <f t="shared" si="10"/>
        <v>0</v>
      </c>
      <c r="F86" s="103" t="str">
        <f t="shared" si="0"/>
        <v>0 tubes and 0 shuttles</v>
      </c>
      <c r="G86" s="36">
        <f t="shared" si="11"/>
        <v>0</v>
      </c>
      <c r="H86" s="104" t="str">
        <f t="shared" si="1"/>
        <v>0 tubes and 0 shuttles</v>
      </c>
      <c r="I86" s="36">
        <f t="shared" si="2"/>
        <v>0</v>
      </c>
      <c r="J86" s="103" t="str">
        <f t="shared" si="3"/>
        <v>0 tubes and 0 shuttles</v>
      </c>
    </row>
    <row r="87" spans="1:10" ht="12.5" x14ac:dyDescent="0.25">
      <c r="A87" s="32">
        <f>'Profit &amp; Loss'!A87</f>
        <v>0</v>
      </c>
      <c r="B87" s="35">
        <f>'Profit &amp; Loss'!B87</f>
        <v>0</v>
      </c>
      <c r="C87" s="36"/>
      <c r="D87" s="33"/>
      <c r="E87" s="102">
        <f t="shared" si="10"/>
        <v>0</v>
      </c>
      <c r="F87" s="103" t="str">
        <f t="shared" si="0"/>
        <v>0 tubes and 0 shuttles</v>
      </c>
      <c r="G87" s="36">
        <f t="shared" si="11"/>
        <v>0</v>
      </c>
      <c r="H87" s="104" t="str">
        <f t="shared" si="1"/>
        <v>0 tubes and 0 shuttles</v>
      </c>
      <c r="I87" s="36">
        <f t="shared" si="2"/>
        <v>0</v>
      </c>
      <c r="J87" s="103" t="str">
        <f t="shared" si="3"/>
        <v>0 tubes and 0 shuttles</v>
      </c>
    </row>
    <row r="88" spans="1:10" ht="12.5" x14ac:dyDescent="0.25">
      <c r="A88" s="32">
        <f>'Profit &amp; Loss'!A88</f>
        <v>0</v>
      </c>
      <c r="B88" s="35">
        <f>'Profit &amp; Loss'!B88</f>
        <v>0</v>
      </c>
      <c r="C88" s="36"/>
      <c r="D88" s="33"/>
      <c r="E88" s="102">
        <f t="shared" si="10"/>
        <v>0</v>
      </c>
      <c r="F88" s="103" t="str">
        <f t="shared" si="0"/>
        <v>0 tubes and 0 shuttles</v>
      </c>
      <c r="G88" s="36">
        <f t="shared" si="11"/>
        <v>0</v>
      </c>
      <c r="H88" s="104" t="str">
        <f t="shared" si="1"/>
        <v>0 tubes and 0 shuttles</v>
      </c>
      <c r="I88" s="36">
        <f t="shared" si="2"/>
        <v>0</v>
      </c>
      <c r="J88" s="103" t="str">
        <f t="shared" si="3"/>
        <v>0 tubes and 0 shuttles</v>
      </c>
    </row>
    <row r="89" spans="1:10" ht="12.5" x14ac:dyDescent="0.25">
      <c r="A89" s="32">
        <f>'Profit &amp; Loss'!A89</f>
        <v>0</v>
      </c>
      <c r="B89" s="35">
        <f>'Profit &amp; Loss'!B89</f>
        <v>0</v>
      </c>
      <c r="C89" s="36"/>
      <c r="D89" s="33"/>
      <c r="E89" s="102">
        <f t="shared" si="10"/>
        <v>0</v>
      </c>
      <c r="F89" s="103" t="str">
        <f t="shared" si="0"/>
        <v>0 tubes and 0 shuttles</v>
      </c>
      <c r="G89" s="36">
        <f t="shared" si="11"/>
        <v>0</v>
      </c>
      <c r="H89" s="104" t="str">
        <f t="shared" si="1"/>
        <v>0 tubes and 0 shuttles</v>
      </c>
      <c r="I89" s="36">
        <f t="shared" si="2"/>
        <v>0</v>
      </c>
      <c r="J89" s="103" t="str">
        <f t="shared" si="3"/>
        <v>0 tubes and 0 shuttles</v>
      </c>
    </row>
    <row r="90" spans="1:10" ht="12.5" x14ac:dyDescent="0.25">
      <c r="A90" s="32">
        <f>'Profit &amp; Loss'!A90</f>
        <v>0</v>
      </c>
      <c r="B90" s="35">
        <f>'Profit &amp; Loss'!B90</f>
        <v>0</v>
      </c>
      <c r="C90" s="36"/>
      <c r="D90" s="33"/>
      <c r="E90" s="102">
        <f t="shared" si="10"/>
        <v>0</v>
      </c>
      <c r="F90" s="103" t="str">
        <f t="shared" si="0"/>
        <v>0 tubes and 0 shuttles</v>
      </c>
      <c r="G90" s="36">
        <f t="shared" si="11"/>
        <v>0</v>
      </c>
      <c r="H90" s="104" t="str">
        <f t="shared" si="1"/>
        <v>0 tubes and 0 shuttles</v>
      </c>
      <c r="I90" s="36">
        <f t="shared" si="2"/>
        <v>0</v>
      </c>
      <c r="J90" s="103" t="str">
        <f t="shared" si="3"/>
        <v>0 tubes and 0 shuttles</v>
      </c>
    </row>
    <row r="91" spans="1:10" ht="12.5" x14ac:dyDescent="0.25">
      <c r="A91" s="32">
        <f>'Profit &amp; Loss'!A91</f>
        <v>0</v>
      </c>
      <c r="B91" s="35">
        <f>'Profit &amp; Loss'!B91</f>
        <v>0</v>
      </c>
      <c r="C91" s="36"/>
      <c r="D91" s="33"/>
      <c r="E91" s="102">
        <f t="shared" si="10"/>
        <v>0</v>
      </c>
      <c r="F91" s="103" t="str">
        <f t="shared" si="0"/>
        <v>0 tubes and 0 shuttles</v>
      </c>
      <c r="G91" s="36">
        <f t="shared" si="11"/>
        <v>0</v>
      </c>
      <c r="H91" s="104" t="str">
        <f t="shared" si="1"/>
        <v>0 tubes and 0 shuttles</v>
      </c>
      <c r="I91" s="36">
        <f t="shared" si="2"/>
        <v>0</v>
      </c>
      <c r="J91" s="103" t="str">
        <f t="shared" si="3"/>
        <v>0 tubes and 0 shuttles</v>
      </c>
    </row>
    <row r="92" spans="1:10" ht="12.5" x14ac:dyDescent="0.25">
      <c r="A92" s="32">
        <f>'Profit &amp; Loss'!A92</f>
        <v>0</v>
      </c>
      <c r="B92" s="35">
        <f>'Profit &amp; Loss'!B92</f>
        <v>0</v>
      </c>
      <c r="C92" s="36"/>
      <c r="D92" s="33"/>
      <c r="E92" s="102">
        <f t="shared" si="10"/>
        <v>0</v>
      </c>
      <c r="F92" s="103" t="str">
        <f t="shared" si="0"/>
        <v>0 tubes and 0 shuttles</v>
      </c>
      <c r="G92" s="36">
        <f t="shared" si="11"/>
        <v>0</v>
      </c>
      <c r="H92" s="104" t="str">
        <f t="shared" si="1"/>
        <v>0 tubes and 0 shuttles</v>
      </c>
      <c r="I92" s="36">
        <f t="shared" si="2"/>
        <v>0</v>
      </c>
      <c r="J92" s="103" t="str">
        <f t="shared" si="3"/>
        <v>0 tubes and 0 shuttles</v>
      </c>
    </row>
    <row r="93" spans="1:10" ht="12.5" x14ac:dyDescent="0.25">
      <c r="A93" s="32">
        <f>'Profit &amp; Loss'!A93</f>
        <v>0</v>
      </c>
      <c r="B93" s="35">
        <f>'Profit &amp; Loss'!B93</f>
        <v>0</v>
      </c>
      <c r="C93" s="36"/>
      <c r="D93" s="33"/>
      <c r="E93" s="102">
        <f t="shared" si="10"/>
        <v>0</v>
      </c>
      <c r="F93" s="103" t="str">
        <f t="shared" si="0"/>
        <v>0 tubes and 0 shuttles</v>
      </c>
      <c r="G93" s="36">
        <f t="shared" si="11"/>
        <v>0</v>
      </c>
      <c r="H93" s="104" t="str">
        <f t="shared" si="1"/>
        <v>0 tubes and 0 shuttles</v>
      </c>
      <c r="I93" s="36">
        <f t="shared" si="2"/>
        <v>0</v>
      </c>
      <c r="J93" s="103" t="str">
        <f t="shared" si="3"/>
        <v>0 tubes and 0 shuttles</v>
      </c>
    </row>
    <row r="94" spans="1:10" ht="12.5" x14ac:dyDescent="0.25">
      <c r="A94" s="32">
        <f>'Profit &amp; Loss'!A94</f>
        <v>0</v>
      </c>
      <c r="B94" s="35">
        <f>'Profit &amp; Loss'!B94</f>
        <v>0</v>
      </c>
      <c r="C94" s="36"/>
      <c r="D94" s="33"/>
      <c r="E94" s="102">
        <f t="shared" si="10"/>
        <v>0</v>
      </c>
      <c r="F94" s="103" t="str">
        <f t="shared" si="0"/>
        <v>0 tubes and 0 shuttles</v>
      </c>
      <c r="G94" s="36">
        <f t="shared" si="11"/>
        <v>0</v>
      </c>
      <c r="H94" s="104" t="str">
        <f t="shared" si="1"/>
        <v>0 tubes and 0 shuttles</v>
      </c>
      <c r="I94" s="36">
        <f t="shared" si="2"/>
        <v>0</v>
      </c>
      <c r="J94" s="103" t="str">
        <f t="shared" si="3"/>
        <v>0 tubes and 0 shuttles</v>
      </c>
    </row>
    <row r="95" spans="1:10" ht="12.5" x14ac:dyDescent="0.25">
      <c r="A95" s="32">
        <f>'Profit &amp; Loss'!A95</f>
        <v>0</v>
      </c>
      <c r="B95" s="35">
        <f>'Profit &amp; Loss'!B95</f>
        <v>0</v>
      </c>
      <c r="C95" s="36"/>
      <c r="D95" s="33"/>
      <c r="E95" s="102">
        <f t="shared" si="10"/>
        <v>0</v>
      </c>
      <c r="F95" s="103" t="str">
        <f t="shared" si="0"/>
        <v>0 tubes and 0 shuttles</v>
      </c>
      <c r="G95" s="36">
        <f t="shared" si="11"/>
        <v>0</v>
      </c>
      <c r="H95" s="104" t="str">
        <f t="shared" si="1"/>
        <v>0 tubes and 0 shuttles</v>
      </c>
      <c r="I95" s="36">
        <f t="shared" si="2"/>
        <v>0</v>
      </c>
      <c r="J95" s="103" t="str">
        <f t="shared" si="3"/>
        <v>0 tubes and 0 shuttles</v>
      </c>
    </row>
    <row r="96" spans="1:10" ht="12.5" x14ac:dyDescent="0.25">
      <c r="A96" s="32">
        <f>'Profit &amp; Loss'!A96</f>
        <v>0</v>
      </c>
      <c r="B96" s="35">
        <f>'Profit &amp; Loss'!B96</f>
        <v>0</v>
      </c>
      <c r="C96" s="36"/>
      <c r="D96" s="33"/>
      <c r="E96" s="102">
        <f t="shared" si="10"/>
        <v>0</v>
      </c>
      <c r="F96" s="103" t="str">
        <f t="shared" si="0"/>
        <v>0 tubes and 0 shuttles</v>
      </c>
      <c r="G96" s="36">
        <f t="shared" si="11"/>
        <v>0</v>
      </c>
      <c r="H96" s="104" t="str">
        <f t="shared" si="1"/>
        <v>0 tubes and 0 shuttles</v>
      </c>
      <c r="I96" s="36">
        <f t="shared" si="2"/>
        <v>0</v>
      </c>
      <c r="J96" s="103" t="str">
        <f t="shared" si="3"/>
        <v>0 tubes and 0 shuttles</v>
      </c>
    </row>
    <row r="97" spans="1:10" ht="12.5" x14ac:dyDescent="0.25">
      <c r="A97" s="32">
        <f>'Profit &amp; Loss'!A97</f>
        <v>0</v>
      </c>
      <c r="B97" s="35">
        <f>'Profit &amp; Loss'!B97</f>
        <v>0</v>
      </c>
      <c r="C97" s="36"/>
      <c r="D97" s="33"/>
      <c r="E97" s="102">
        <f t="shared" si="10"/>
        <v>0</v>
      </c>
      <c r="F97" s="103" t="str">
        <f t="shared" si="0"/>
        <v>0 tubes and 0 shuttles</v>
      </c>
      <c r="G97" s="36">
        <f t="shared" si="11"/>
        <v>0</v>
      </c>
      <c r="H97" s="104" t="str">
        <f t="shared" si="1"/>
        <v>0 tubes and 0 shuttles</v>
      </c>
      <c r="I97" s="36">
        <f t="shared" si="2"/>
        <v>0</v>
      </c>
      <c r="J97" s="103" t="str">
        <f t="shared" si="3"/>
        <v>0 tubes and 0 shuttles</v>
      </c>
    </row>
    <row r="98" spans="1:10" ht="12.5" x14ac:dyDescent="0.25">
      <c r="A98" s="32">
        <f>'Profit &amp; Loss'!A98</f>
        <v>0</v>
      </c>
      <c r="B98" s="35">
        <f>'Profit &amp; Loss'!B98</f>
        <v>0</v>
      </c>
      <c r="C98" s="36"/>
      <c r="D98" s="33"/>
      <c r="E98" s="102">
        <f t="shared" si="10"/>
        <v>0</v>
      </c>
      <c r="F98" s="103" t="str">
        <f t="shared" si="0"/>
        <v>0 tubes and 0 shuttles</v>
      </c>
      <c r="G98" s="36">
        <f t="shared" si="11"/>
        <v>0</v>
      </c>
      <c r="H98" s="104" t="str">
        <f t="shared" si="1"/>
        <v>0 tubes and 0 shuttles</v>
      </c>
      <c r="I98" s="36">
        <f t="shared" si="2"/>
        <v>0</v>
      </c>
      <c r="J98" s="103" t="str">
        <f t="shared" si="3"/>
        <v>0 tubes and 0 shuttles</v>
      </c>
    </row>
    <row r="99" spans="1:10" ht="12.5" x14ac:dyDescent="0.25">
      <c r="A99" s="32">
        <f>'Profit &amp; Loss'!A99</f>
        <v>0</v>
      </c>
      <c r="B99" s="35">
        <f>'Profit &amp; Loss'!B99</f>
        <v>0</v>
      </c>
      <c r="C99" s="36"/>
      <c r="D99" s="33"/>
      <c r="E99" s="102">
        <f t="shared" si="10"/>
        <v>0</v>
      </c>
      <c r="F99" s="103" t="str">
        <f t="shared" si="0"/>
        <v>0 tubes and 0 shuttles</v>
      </c>
      <c r="G99" s="36">
        <f t="shared" si="11"/>
        <v>0</v>
      </c>
      <c r="H99" s="104" t="str">
        <f t="shared" si="1"/>
        <v>0 tubes and 0 shuttles</v>
      </c>
      <c r="I99" s="36">
        <f t="shared" si="2"/>
        <v>0</v>
      </c>
      <c r="J99" s="103" t="str">
        <f t="shared" si="3"/>
        <v>0 tubes and 0 shuttles</v>
      </c>
    </row>
    <row r="100" spans="1:10" ht="12.5" x14ac:dyDescent="0.25">
      <c r="A100" s="32">
        <f>'Profit &amp; Loss'!A100</f>
        <v>0</v>
      </c>
      <c r="B100" s="35">
        <f>'Profit &amp; Loss'!B100</f>
        <v>0</v>
      </c>
      <c r="C100" s="36"/>
      <c r="D100" s="33"/>
      <c r="E100" s="102">
        <f t="shared" si="10"/>
        <v>0</v>
      </c>
      <c r="F100" s="103" t="str">
        <f t="shared" si="0"/>
        <v>0 tubes and 0 shuttles</v>
      </c>
      <c r="G100" s="36">
        <f t="shared" si="11"/>
        <v>0</v>
      </c>
      <c r="H100" s="104" t="str">
        <f t="shared" si="1"/>
        <v>0 tubes and 0 shuttles</v>
      </c>
      <c r="I100" s="36">
        <f t="shared" si="2"/>
        <v>0</v>
      </c>
      <c r="J100" s="103" t="str">
        <f t="shared" si="3"/>
        <v>0 tubes and 0 shuttles</v>
      </c>
    </row>
    <row r="101" spans="1:10" ht="12.5" x14ac:dyDescent="0.25">
      <c r="A101" s="32">
        <f>'Profit &amp; Loss'!A101</f>
        <v>0</v>
      </c>
      <c r="B101" s="35">
        <f>'Profit &amp; Loss'!B101</f>
        <v>0</v>
      </c>
      <c r="C101" s="36"/>
      <c r="D101" s="33"/>
      <c r="E101" s="102">
        <f t="shared" si="10"/>
        <v>0</v>
      </c>
      <c r="F101" s="103" t="str">
        <f t="shared" si="0"/>
        <v>0 tubes and 0 shuttles</v>
      </c>
      <c r="G101" s="36">
        <f t="shared" si="11"/>
        <v>0</v>
      </c>
      <c r="H101" s="104" t="str">
        <f t="shared" si="1"/>
        <v>0 tubes and 0 shuttles</v>
      </c>
      <c r="I101" s="36">
        <f t="shared" si="2"/>
        <v>0</v>
      </c>
      <c r="J101" s="103" t="str">
        <f t="shared" si="3"/>
        <v>0 tubes and 0 shuttles</v>
      </c>
    </row>
    <row r="102" spans="1:10" ht="12.5" x14ac:dyDescent="0.25">
      <c r="A102" s="32">
        <f>'Profit &amp; Loss'!A102</f>
        <v>0</v>
      </c>
      <c r="B102" s="35">
        <f>'Profit &amp; Loss'!B102</f>
        <v>0</v>
      </c>
      <c r="C102" s="36"/>
      <c r="D102" s="33"/>
      <c r="E102" s="102">
        <f t="shared" si="10"/>
        <v>0</v>
      </c>
      <c r="F102" s="103" t="str">
        <f t="shared" si="0"/>
        <v>0 tubes and 0 shuttles</v>
      </c>
      <c r="G102" s="36">
        <f t="shared" si="11"/>
        <v>0</v>
      </c>
      <c r="H102" s="104" t="str">
        <f t="shared" si="1"/>
        <v>0 tubes and 0 shuttles</v>
      </c>
      <c r="I102" s="36">
        <f t="shared" si="2"/>
        <v>0</v>
      </c>
      <c r="J102" s="103" t="str">
        <f t="shared" si="3"/>
        <v>0 tubes and 0 shuttles</v>
      </c>
    </row>
    <row r="103" spans="1:10" ht="12.5" x14ac:dyDescent="0.25">
      <c r="A103" s="32">
        <f>'Profit &amp; Loss'!A103</f>
        <v>0</v>
      </c>
      <c r="B103" s="35">
        <f>'Profit &amp; Loss'!B103</f>
        <v>0</v>
      </c>
      <c r="C103" s="36"/>
      <c r="D103" s="33"/>
      <c r="E103" s="102">
        <f t="shared" si="10"/>
        <v>0</v>
      </c>
      <c r="F103" s="103" t="str">
        <f t="shared" si="0"/>
        <v>0 tubes and 0 shuttles</v>
      </c>
      <c r="G103" s="36">
        <f t="shared" si="11"/>
        <v>0</v>
      </c>
      <c r="H103" s="104" t="str">
        <f t="shared" si="1"/>
        <v>0 tubes and 0 shuttles</v>
      </c>
      <c r="I103" s="36">
        <f t="shared" si="2"/>
        <v>0</v>
      </c>
      <c r="J103" s="103" t="str">
        <f t="shared" si="3"/>
        <v>0 tubes and 0 shuttles</v>
      </c>
    </row>
    <row r="104" spans="1:10" ht="12.5" x14ac:dyDescent="0.25">
      <c r="A104" s="32">
        <f>'Profit &amp; Loss'!A104</f>
        <v>0</v>
      </c>
      <c r="B104" s="35">
        <f>'Profit &amp; Loss'!B104</f>
        <v>0</v>
      </c>
      <c r="C104" s="36"/>
      <c r="D104" s="33"/>
      <c r="E104" s="102">
        <f t="shared" si="10"/>
        <v>0</v>
      </c>
      <c r="F104" s="103" t="str">
        <f t="shared" si="0"/>
        <v>0 tubes and 0 shuttles</v>
      </c>
      <c r="G104" s="36">
        <f t="shared" si="11"/>
        <v>0</v>
      </c>
      <c r="H104" s="104" t="str">
        <f t="shared" si="1"/>
        <v>0 tubes and 0 shuttles</v>
      </c>
      <c r="I104" s="36">
        <f t="shared" si="2"/>
        <v>0</v>
      </c>
      <c r="J104" s="103" t="str">
        <f t="shared" si="3"/>
        <v>0 tubes and 0 shuttles</v>
      </c>
    </row>
    <row r="105" spans="1:10" ht="12.5" x14ac:dyDescent="0.25">
      <c r="A105" s="32">
        <f>'Profit &amp; Loss'!A105</f>
        <v>0</v>
      </c>
      <c r="B105" s="35">
        <f>'Profit &amp; Loss'!B105</f>
        <v>0</v>
      </c>
      <c r="C105" s="36"/>
      <c r="D105" s="33"/>
      <c r="E105" s="102">
        <f t="shared" si="10"/>
        <v>0</v>
      </c>
      <c r="F105" s="103" t="str">
        <f t="shared" si="0"/>
        <v>0 tubes and 0 shuttles</v>
      </c>
      <c r="G105" s="36">
        <f t="shared" si="11"/>
        <v>0</v>
      </c>
      <c r="H105" s="104" t="str">
        <f t="shared" si="1"/>
        <v>0 tubes and 0 shuttles</v>
      </c>
      <c r="I105" s="36">
        <f t="shared" si="2"/>
        <v>0</v>
      </c>
      <c r="J105" s="103" t="str">
        <f t="shared" si="3"/>
        <v>0 tubes and 0 shuttles</v>
      </c>
    </row>
    <row r="106" spans="1:10" ht="12.5" x14ac:dyDescent="0.25">
      <c r="A106" s="32">
        <f>'Profit &amp; Loss'!A106</f>
        <v>0</v>
      </c>
      <c r="B106" s="35">
        <f>'Profit &amp; Loss'!B106</f>
        <v>0</v>
      </c>
      <c r="C106" s="36"/>
      <c r="D106" s="33"/>
      <c r="E106" s="102">
        <f t="shared" si="10"/>
        <v>0</v>
      </c>
      <c r="F106" s="103" t="str">
        <f t="shared" si="0"/>
        <v>0 tubes and 0 shuttles</v>
      </c>
      <c r="G106" s="36">
        <f t="shared" si="11"/>
        <v>0</v>
      </c>
      <c r="H106" s="104" t="str">
        <f t="shared" si="1"/>
        <v>0 tubes and 0 shuttles</v>
      </c>
      <c r="I106" s="36">
        <f t="shared" si="2"/>
        <v>0</v>
      </c>
      <c r="J106" s="103" t="str">
        <f t="shared" si="3"/>
        <v>0 tubes and 0 shuttles</v>
      </c>
    </row>
    <row r="107" spans="1:10" ht="12.5" x14ac:dyDescent="0.25">
      <c r="A107" s="32">
        <f>'Profit &amp; Loss'!A107</f>
        <v>0</v>
      </c>
      <c r="B107" s="35">
        <f>'Profit &amp; Loss'!B107</f>
        <v>0</v>
      </c>
      <c r="C107" s="36"/>
      <c r="D107" s="33"/>
      <c r="E107" s="102">
        <f t="shared" si="10"/>
        <v>0</v>
      </c>
      <c r="F107" s="103" t="str">
        <f t="shared" si="0"/>
        <v>0 tubes and 0 shuttles</v>
      </c>
      <c r="G107" s="36">
        <f t="shared" si="11"/>
        <v>0</v>
      </c>
      <c r="H107" s="104" t="str">
        <f t="shared" si="1"/>
        <v>0 tubes and 0 shuttles</v>
      </c>
      <c r="I107" s="36">
        <f t="shared" si="2"/>
        <v>0</v>
      </c>
      <c r="J107" s="103" t="str">
        <f t="shared" si="3"/>
        <v>0 tubes and 0 shuttles</v>
      </c>
    </row>
    <row r="108" spans="1:10" ht="12.5" x14ac:dyDescent="0.25">
      <c r="A108" s="32">
        <f>'Profit &amp; Loss'!A108</f>
        <v>0</v>
      </c>
      <c r="B108" s="35">
        <f>'Profit &amp; Loss'!B108</f>
        <v>0</v>
      </c>
      <c r="C108" s="36"/>
      <c r="D108" s="33"/>
      <c r="E108" s="102">
        <f t="shared" si="10"/>
        <v>0</v>
      </c>
      <c r="F108" s="103" t="str">
        <f t="shared" si="0"/>
        <v>0 tubes and 0 shuttles</v>
      </c>
      <c r="G108" s="36">
        <f t="shared" si="11"/>
        <v>0</v>
      </c>
      <c r="H108" s="104" t="str">
        <f t="shared" si="1"/>
        <v>0 tubes and 0 shuttles</v>
      </c>
      <c r="I108" s="36">
        <f t="shared" si="2"/>
        <v>0</v>
      </c>
      <c r="J108" s="103" t="str">
        <f t="shared" si="3"/>
        <v>0 tubes and 0 shuttles</v>
      </c>
    </row>
    <row r="109" spans="1:10" ht="12.5" x14ac:dyDescent="0.25">
      <c r="A109" s="32">
        <f>'Profit &amp; Loss'!A109</f>
        <v>0</v>
      </c>
      <c r="B109" s="35">
        <f>'Profit &amp; Loss'!B109</f>
        <v>0</v>
      </c>
      <c r="C109" s="36"/>
      <c r="D109" s="33"/>
      <c r="E109" s="102">
        <f t="shared" si="10"/>
        <v>0</v>
      </c>
      <c r="F109" s="103" t="str">
        <f t="shared" si="0"/>
        <v>0 tubes and 0 shuttles</v>
      </c>
      <c r="G109" s="36">
        <f t="shared" si="11"/>
        <v>0</v>
      </c>
      <c r="H109" s="104" t="str">
        <f t="shared" si="1"/>
        <v>0 tubes and 0 shuttles</v>
      </c>
      <c r="I109" s="36">
        <f t="shared" si="2"/>
        <v>0</v>
      </c>
      <c r="J109" s="103" t="str">
        <f t="shared" si="3"/>
        <v>0 tubes and 0 shuttles</v>
      </c>
    </row>
    <row r="110" spans="1:10" ht="12.5" x14ac:dyDescent="0.25">
      <c r="A110" s="32">
        <f>'Profit &amp; Loss'!A110</f>
        <v>0</v>
      </c>
      <c r="B110" s="35">
        <f>'Profit &amp; Loss'!B110</f>
        <v>0</v>
      </c>
      <c r="C110" s="36"/>
      <c r="D110" s="33"/>
      <c r="E110" s="102">
        <f t="shared" si="10"/>
        <v>0</v>
      </c>
      <c r="F110" s="103" t="str">
        <f t="shared" si="0"/>
        <v>0 tubes and 0 shuttles</v>
      </c>
      <c r="G110" s="36">
        <f t="shared" si="11"/>
        <v>0</v>
      </c>
      <c r="H110" s="104" t="str">
        <f t="shared" si="1"/>
        <v>0 tubes and 0 shuttles</v>
      </c>
      <c r="I110" s="36">
        <f t="shared" si="2"/>
        <v>0</v>
      </c>
      <c r="J110" s="103" t="str">
        <f t="shared" si="3"/>
        <v>0 tubes and 0 shuttles</v>
      </c>
    </row>
    <row r="111" spans="1:10" ht="12.5" x14ac:dyDescent="0.25">
      <c r="A111" s="32">
        <f>'Profit &amp; Loss'!A111</f>
        <v>0</v>
      </c>
      <c r="B111" s="35">
        <f>'Profit &amp; Loss'!B111</f>
        <v>0</v>
      </c>
      <c r="C111" s="36"/>
      <c r="D111" s="33"/>
      <c r="E111" s="102">
        <f t="shared" si="10"/>
        <v>0</v>
      </c>
      <c r="F111" s="103" t="str">
        <f t="shared" si="0"/>
        <v>0 tubes and 0 shuttles</v>
      </c>
      <c r="G111" s="36">
        <f t="shared" si="11"/>
        <v>0</v>
      </c>
      <c r="H111" s="104" t="str">
        <f t="shared" si="1"/>
        <v>0 tubes and 0 shuttles</v>
      </c>
      <c r="I111" s="36">
        <f t="shared" si="2"/>
        <v>0</v>
      </c>
      <c r="J111" s="103" t="str">
        <f t="shared" si="3"/>
        <v>0 tubes and 0 shuttles</v>
      </c>
    </row>
    <row r="112" spans="1:10" ht="12.5" x14ac:dyDescent="0.25">
      <c r="A112" s="32">
        <f>'Profit &amp; Loss'!A112</f>
        <v>0</v>
      </c>
      <c r="B112" s="35">
        <f>'Profit &amp; Loss'!B112</f>
        <v>0</v>
      </c>
      <c r="C112" s="36"/>
      <c r="D112" s="33"/>
      <c r="E112" s="102">
        <f t="shared" si="10"/>
        <v>0</v>
      </c>
      <c r="F112" s="103" t="str">
        <f t="shared" si="0"/>
        <v>0 tubes and 0 shuttles</v>
      </c>
      <c r="G112" s="36">
        <f t="shared" si="11"/>
        <v>0</v>
      </c>
      <c r="H112" s="104" t="str">
        <f t="shared" si="1"/>
        <v>0 tubes and 0 shuttles</v>
      </c>
      <c r="I112" s="36">
        <f t="shared" si="2"/>
        <v>0</v>
      </c>
      <c r="J112" s="103" t="str">
        <f t="shared" si="3"/>
        <v>0 tubes and 0 shuttles</v>
      </c>
    </row>
    <row r="113" spans="1:10" ht="12.5" x14ac:dyDescent="0.25">
      <c r="A113" s="32">
        <f>'Profit &amp; Loss'!A113</f>
        <v>0</v>
      </c>
      <c r="B113" s="35">
        <f>'Profit &amp; Loss'!B113</f>
        <v>0</v>
      </c>
      <c r="C113" s="36"/>
      <c r="D113" s="33"/>
      <c r="E113" s="102">
        <f t="shared" si="10"/>
        <v>0</v>
      </c>
      <c r="F113" s="103" t="str">
        <f t="shared" si="0"/>
        <v>0 tubes and 0 shuttles</v>
      </c>
      <c r="G113" s="36">
        <f t="shared" si="11"/>
        <v>0</v>
      </c>
      <c r="H113" s="104" t="str">
        <f t="shared" si="1"/>
        <v>0 tubes and 0 shuttles</v>
      </c>
      <c r="I113" s="36">
        <f t="shared" si="2"/>
        <v>0</v>
      </c>
      <c r="J113" s="103" t="str">
        <f t="shared" si="3"/>
        <v>0 tubes and 0 shuttles</v>
      </c>
    </row>
    <row r="114" spans="1:10" ht="12.5" x14ac:dyDescent="0.25">
      <c r="A114" s="32">
        <f>'Profit &amp; Loss'!A114</f>
        <v>0</v>
      </c>
      <c r="B114" s="35">
        <f>'Profit &amp; Loss'!B114</f>
        <v>0</v>
      </c>
      <c r="C114" s="36"/>
      <c r="D114" s="33"/>
      <c r="E114" s="102">
        <f t="shared" si="10"/>
        <v>0</v>
      </c>
      <c r="F114" s="103" t="str">
        <f t="shared" si="0"/>
        <v>0 tubes and 0 shuttles</v>
      </c>
      <c r="G114" s="36">
        <f t="shared" si="11"/>
        <v>0</v>
      </c>
      <c r="H114" s="104" t="str">
        <f t="shared" si="1"/>
        <v>0 tubes and 0 shuttles</v>
      </c>
      <c r="I114" s="36">
        <f t="shared" si="2"/>
        <v>0</v>
      </c>
      <c r="J114" s="103" t="str">
        <f t="shared" si="3"/>
        <v>0 tubes and 0 shuttles</v>
      </c>
    </row>
    <row r="115" spans="1:10" ht="12.5" x14ac:dyDescent="0.25">
      <c r="A115" s="32">
        <f>'Profit &amp; Loss'!A115</f>
        <v>0</v>
      </c>
      <c r="B115" s="35">
        <f>'Profit &amp; Loss'!B115</f>
        <v>0</v>
      </c>
      <c r="C115" s="36"/>
      <c r="D115" s="33"/>
      <c r="E115" s="102">
        <f t="shared" si="10"/>
        <v>0</v>
      </c>
      <c r="F115" s="103" t="str">
        <f t="shared" si="0"/>
        <v>0 tubes and 0 shuttles</v>
      </c>
      <c r="G115" s="36">
        <f t="shared" si="11"/>
        <v>0</v>
      </c>
      <c r="H115" s="104" t="str">
        <f t="shared" si="1"/>
        <v>0 tubes and 0 shuttles</v>
      </c>
      <c r="I115" s="36">
        <f t="shared" si="2"/>
        <v>0</v>
      </c>
      <c r="J115" s="103" t="str">
        <f t="shared" si="3"/>
        <v>0 tubes and 0 shuttles</v>
      </c>
    </row>
    <row r="116" spans="1:10" ht="12.5" x14ac:dyDescent="0.25">
      <c r="A116" s="32">
        <f>'Profit &amp; Loss'!A116</f>
        <v>0</v>
      </c>
      <c r="B116" s="35">
        <f>'Profit &amp; Loss'!B116</f>
        <v>0</v>
      </c>
      <c r="C116" s="36"/>
      <c r="D116" s="33"/>
      <c r="E116" s="102">
        <f t="shared" si="10"/>
        <v>0</v>
      </c>
      <c r="F116" s="103" t="str">
        <f t="shared" si="0"/>
        <v>0 tubes and 0 shuttles</v>
      </c>
      <c r="G116" s="36">
        <f t="shared" si="11"/>
        <v>0</v>
      </c>
      <c r="H116" s="104" t="str">
        <f t="shared" si="1"/>
        <v>0 tubes and 0 shuttles</v>
      </c>
      <c r="I116" s="36">
        <f t="shared" si="2"/>
        <v>0</v>
      </c>
      <c r="J116" s="103" t="str">
        <f t="shared" si="3"/>
        <v>0 tubes and 0 shuttles</v>
      </c>
    </row>
    <row r="117" spans="1:10" ht="12.5" x14ac:dyDescent="0.25">
      <c r="A117" s="32">
        <f>'Profit &amp; Loss'!A117</f>
        <v>0</v>
      </c>
      <c r="B117" s="35">
        <f>'Profit &amp; Loss'!B117</f>
        <v>0</v>
      </c>
      <c r="C117" s="36"/>
      <c r="D117" s="33"/>
      <c r="E117" s="102">
        <f t="shared" si="10"/>
        <v>0</v>
      </c>
      <c r="F117" s="103" t="str">
        <f t="shared" si="0"/>
        <v>0 tubes and 0 shuttles</v>
      </c>
      <c r="G117" s="36">
        <f t="shared" si="11"/>
        <v>0</v>
      </c>
      <c r="H117" s="104" t="str">
        <f t="shared" si="1"/>
        <v>0 tubes and 0 shuttles</v>
      </c>
      <c r="I117" s="36">
        <f t="shared" si="2"/>
        <v>0</v>
      </c>
      <c r="J117" s="103" t="str">
        <f t="shared" si="3"/>
        <v>0 tubes and 0 shuttles</v>
      </c>
    </row>
    <row r="118" spans="1:10" ht="12.5" x14ac:dyDescent="0.25">
      <c r="A118" s="32">
        <f>'Profit &amp; Loss'!A118</f>
        <v>0</v>
      </c>
      <c r="B118" s="35">
        <f>'Profit &amp; Loss'!B118</f>
        <v>0</v>
      </c>
      <c r="C118" s="36"/>
      <c r="D118" s="33"/>
      <c r="E118" s="102">
        <f t="shared" si="10"/>
        <v>0</v>
      </c>
      <c r="F118" s="103" t="str">
        <f t="shared" si="0"/>
        <v>0 tubes and 0 shuttles</v>
      </c>
      <c r="G118" s="36">
        <f t="shared" si="11"/>
        <v>0</v>
      </c>
      <c r="H118" s="104" t="str">
        <f t="shared" si="1"/>
        <v>0 tubes and 0 shuttles</v>
      </c>
      <c r="I118" s="36">
        <f t="shared" si="2"/>
        <v>0</v>
      </c>
      <c r="J118" s="103" t="str">
        <f t="shared" si="3"/>
        <v>0 tubes and 0 shuttles</v>
      </c>
    </row>
    <row r="119" spans="1:10" ht="12.5" x14ac:dyDescent="0.25">
      <c r="A119" s="32">
        <f>'Profit &amp; Loss'!A119</f>
        <v>0</v>
      </c>
      <c r="B119" s="35">
        <f>'Profit &amp; Loss'!B119</f>
        <v>0</v>
      </c>
      <c r="C119" s="36"/>
      <c r="D119" s="33"/>
      <c r="E119" s="102">
        <f t="shared" si="10"/>
        <v>0</v>
      </c>
      <c r="F119" s="103" t="str">
        <f t="shared" si="0"/>
        <v>0 tubes and 0 shuttles</v>
      </c>
      <c r="G119" s="36">
        <f t="shared" si="11"/>
        <v>0</v>
      </c>
      <c r="H119" s="104" t="str">
        <f t="shared" si="1"/>
        <v>0 tubes and 0 shuttles</v>
      </c>
      <c r="I119" s="36">
        <f t="shared" si="2"/>
        <v>0</v>
      </c>
      <c r="J119" s="103" t="str">
        <f t="shared" si="3"/>
        <v>0 tubes and 0 shuttles</v>
      </c>
    </row>
    <row r="120" spans="1:10" ht="12.5" x14ac:dyDescent="0.25">
      <c r="A120" s="32">
        <f>'Profit &amp; Loss'!A120</f>
        <v>0</v>
      </c>
      <c r="B120" s="35">
        <f>'Profit &amp; Loss'!B120</f>
        <v>0</v>
      </c>
      <c r="C120" s="36"/>
      <c r="D120" s="33"/>
      <c r="E120" s="102">
        <f t="shared" si="10"/>
        <v>0</v>
      </c>
      <c r="F120" s="103" t="str">
        <f t="shared" si="0"/>
        <v>0 tubes and 0 shuttles</v>
      </c>
      <c r="G120" s="36">
        <f t="shared" si="11"/>
        <v>0</v>
      </c>
      <c r="H120" s="104" t="str">
        <f t="shared" si="1"/>
        <v>0 tubes and 0 shuttles</v>
      </c>
      <c r="I120" s="36">
        <f t="shared" si="2"/>
        <v>0</v>
      </c>
      <c r="J120" s="103" t="str">
        <f t="shared" si="3"/>
        <v>0 tubes and 0 shuttles</v>
      </c>
    </row>
    <row r="121" spans="1:10" ht="12.5" x14ac:dyDescent="0.25">
      <c r="A121" s="32">
        <f>'Profit &amp; Loss'!A121</f>
        <v>0</v>
      </c>
      <c r="B121" s="35">
        <f>'Profit &amp; Loss'!B121</f>
        <v>0</v>
      </c>
      <c r="C121" s="36"/>
      <c r="D121" s="33"/>
      <c r="E121" s="102">
        <f t="shared" si="10"/>
        <v>0</v>
      </c>
      <c r="F121" s="103" t="str">
        <f t="shared" si="0"/>
        <v>0 tubes and 0 shuttles</v>
      </c>
      <c r="G121" s="36">
        <f t="shared" si="11"/>
        <v>0</v>
      </c>
      <c r="H121" s="104" t="str">
        <f t="shared" si="1"/>
        <v>0 tubes and 0 shuttles</v>
      </c>
      <c r="I121" s="36">
        <f t="shared" si="2"/>
        <v>0</v>
      </c>
      <c r="J121" s="103" t="str">
        <f t="shared" si="3"/>
        <v>0 tubes and 0 shuttles</v>
      </c>
    </row>
    <row r="122" spans="1:10" ht="12.5" x14ac:dyDescent="0.25">
      <c r="A122" s="32">
        <f>'Profit &amp; Loss'!A122</f>
        <v>0</v>
      </c>
      <c r="B122" s="35">
        <f>'Profit &amp; Loss'!B122</f>
        <v>0</v>
      </c>
      <c r="C122" s="36"/>
      <c r="D122" s="33"/>
      <c r="E122" s="102">
        <f t="shared" si="10"/>
        <v>0</v>
      </c>
      <c r="F122" s="103" t="str">
        <f t="shared" si="0"/>
        <v>0 tubes and 0 shuttles</v>
      </c>
      <c r="G122" s="36">
        <f t="shared" si="11"/>
        <v>0</v>
      </c>
      <c r="H122" s="104" t="str">
        <f t="shared" si="1"/>
        <v>0 tubes and 0 shuttles</v>
      </c>
      <c r="I122" s="36">
        <f t="shared" si="2"/>
        <v>0</v>
      </c>
      <c r="J122" s="103" t="str">
        <f t="shared" si="3"/>
        <v>0 tubes and 0 shuttles</v>
      </c>
    </row>
    <row r="123" spans="1:10" ht="12.5" x14ac:dyDescent="0.25">
      <c r="A123" s="32">
        <f>'Profit &amp; Loss'!A123</f>
        <v>0</v>
      </c>
      <c r="B123" s="35">
        <f>'Profit &amp; Loss'!B123</f>
        <v>0</v>
      </c>
      <c r="C123" s="36"/>
      <c r="D123" s="33"/>
      <c r="E123" s="102">
        <f t="shared" si="10"/>
        <v>0</v>
      </c>
      <c r="F123" s="103" t="str">
        <f t="shared" si="0"/>
        <v>0 tubes and 0 shuttles</v>
      </c>
      <c r="G123" s="36">
        <f t="shared" si="11"/>
        <v>0</v>
      </c>
      <c r="H123" s="104" t="str">
        <f t="shared" si="1"/>
        <v>0 tubes and 0 shuttles</v>
      </c>
      <c r="I123" s="36">
        <f t="shared" si="2"/>
        <v>0</v>
      </c>
      <c r="J123" s="103" t="str">
        <f t="shared" si="3"/>
        <v>0 tubes and 0 shuttles</v>
      </c>
    </row>
    <row r="124" spans="1:10" ht="12.5" x14ac:dyDescent="0.25">
      <c r="A124" s="32">
        <f>'Profit &amp; Loss'!A124</f>
        <v>0</v>
      </c>
      <c r="B124" s="35">
        <f>'Profit &amp; Loss'!B124</f>
        <v>0</v>
      </c>
      <c r="C124" s="36"/>
      <c r="D124" s="33"/>
      <c r="E124" s="102">
        <f t="shared" si="10"/>
        <v>0</v>
      </c>
      <c r="F124" s="103" t="str">
        <f t="shared" si="0"/>
        <v>0 tubes and 0 shuttles</v>
      </c>
      <c r="G124" s="36">
        <f t="shared" si="11"/>
        <v>0</v>
      </c>
      <c r="H124" s="104" t="str">
        <f t="shared" si="1"/>
        <v>0 tubes and 0 shuttles</v>
      </c>
      <c r="I124" s="36">
        <f t="shared" si="2"/>
        <v>0</v>
      </c>
      <c r="J124" s="103" t="str">
        <f t="shared" si="3"/>
        <v>0 tubes and 0 shuttles</v>
      </c>
    </row>
    <row r="125" spans="1:10" ht="12.5" x14ac:dyDescent="0.25">
      <c r="A125" s="32">
        <f>'Profit &amp; Loss'!A125</f>
        <v>0</v>
      </c>
      <c r="B125" s="35">
        <f>'Profit &amp; Loss'!B125</f>
        <v>0</v>
      </c>
      <c r="C125" s="36"/>
      <c r="D125" s="33"/>
      <c r="E125" s="102">
        <f t="shared" si="10"/>
        <v>0</v>
      </c>
      <c r="F125" s="103" t="str">
        <f t="shared" si="0"/>
        <v>0 tubes and 0 shuttles</v>
      </c>
      <c r="G125" s="36">
        <f t="shared" si="11"/>
        <v>0</v>
      </c>
      <c r="H125" s="104" t="str">
        <f t="shared" si="1"/>
        <v>0 tubes and 0 shuttles</v>
      </c>
      <c r="I125" s="36">
        <f t="shared" si="2"/>
        <v>0</v>
      </c>
      <c r="J125" s="103" t="str">
        <f t="shared" si="3"/>
        <v>0 tubes and 0 shuttles</v>
      </c>
    </row>
    <row r="126" spans="1:10" ht="12.5" x14ac:dyDescent="0.25">
      <c r="A126" s="32">
        <f>'Profit &amp; Loss'!A126</f>
        <v>0</v>
      </c>
      <c r="B126" s="35">
        <f>'Profit &amp; Loss'!B126</f>
        <v>0</v>
      </c>
      <c r="C126" s="36"/>
      <c r="D126" s="33"/>
      <c r="E126" s="102">
        <f t="shared" si="10"/>
        <v>0</v>
      </c>
      <c r="F126" s="103" t="str">
        <f t="shared" si="0"/>
        <v>0 tubes and 0 shuttles</v>
      </c>
      <c r="G126" s="36">
        <f t="shared" si="11"/>
        <v>0</v>
      </c>
      <c r="H126" s="104" t="str">
        <f t="shared" si="1"/>
        <v>0 tubes and 0 shuttles</v>
      </c>
      <c r="I126" s="36">
        <f t="shared" si="2"/>
        <v>0</v>
      </c>
      <c r="J126" s="103" t="str">
        <f t="shared" si="3"/>
        <v>0 tubes and 0 shuttles</v>
      </c>
    </row>
    <row r="127" spans="1:10" ht="12.5" x14ac:dyDescent="0.25">
      <c r="A127" s="32">
        <f>'Profit &amp; Loss'!A127</f>
        <v>0</v>
      </c>
      <c r="B127" s="35">
        <f>'Profit &amp; Loss'!B127</f>
        <v>0</v>
      </c>
      <c r="C127" s="36"/>
      <c r="D127" s="33"/>
      <c r="E127" s="102">
        <f t="shared" si="10"/>
        <v>0</v>
      </c>
      <c r="F127" s="103" t="str">
        <f t="shared" si="0"/>
        <v>0 tubes and 0 shuttles</v>
      </c>
      <c r="G127" s="36">
        <f t="shared" si="11"/>
        <v>0</v>
      </c>
      <c r="H127" s="104" t="str">
        <f t="shared" si="1"/>
        <v>0 tubes and 0 shuttles</v>
      </c>
      <c r="I127" s="36">
        <f t="shared" si="2"/>
        <v>0</v>
      </c>
      <c r="J127" s="103" t="str">
        <f t="shared" si="3"/>
        <v>0 tubes and 0 shuttles</v>
      </c>
    </row>
    <row r="128" spans="1:10" ht="12.5" x14ac:dyDescent="0.25">
      <c r="A128" s="32">
        <f>'Profit &amp; Loss'!A128</f>
        <v>0</v>
      </c>
      <c r="B128" s="35">
        <f>'Profit &amp; Loss'!B128</f>
        <v>0</v>
      </c>
      <c r="C128" s="36"/>
      <c r="D128" s="33"/>
      <c r="E128" s="102">
        <f t="shared" si="10"/>
        <v>0</v>
      </c>
      <c r="F128" s="103" t="str">
        <f t="shared" si="0"/>
        <v>0 tubes and 0 shuttles</v>
      </c>
      <c r="G128" s="36">
        <f t="shared" si="11"/>
        <v>0</v>
      </c>
      <c r="H128" s="104" t="str">
        <f t="shared" si="1"/>
        <v>0 tubes and 0 shuttles</v>
      </c>
      <c r="I128" s="36">
        <f t="shared" si="2"/>
        <v>0</v>
      </c>
      <c r="J128" s="103" t="str">
        <f t="shared" si="3"/>
        <v>0 tubes and 0 shuttles</v>
      </c>
    </row>
    <row r="129" spans="1:10" ht="12.5" x14ac:dyDescent="0.25">
      <c r="A129" s="32">
        <f>'Profit &amp; Loss'!A129</f>
        <v>0</v>
      </c>
      <c r="B129" s="35">
        <f>'Profit &amp; Loss'!B129</f>
        <v>0</v>
      </c>
      <c r="C129" s="36"/>
      <c r="D129" s="33"/>
      <c r="E129" s="102">
        <f t="shared" si="10"/>
        <v>0</v>
      </c>
      <c r="F129" s="103" t="str">
        <f t="shared" si="0"/>
        <v>0 tubes and 0 shuttles</v>
      </c>
      <c r="G129" s="36">
        <f t="shared" si="11"/>
        <v>0</v>
      </c>
      <c r="H129" s="104" t="str">
        <f t="shared" si="1"/>
        <v>0 tubes and 0 shuttles</v>
      </c>
      <c r="I129" s="36">
        <f t="shared" si="2"/>
        <v>0</v>
      </c>
      <c r="J129" s="103" t="str">
        <f t="shared" si="3"/>
        <v>0 tubes and 0 shuttles</v>
      </c>
    </row>
    <row r="130" spans="1:10" ht="12.5" x14ac:dyDescent="0.25">
      <c r="A130" s="32">
        <f>'Profit &amp; Loss'!A130</f>
        <v>0</v>
      </c>
      <c r="B130" s="35">
        <f>'Profit &amp; Loss'!B130</f>
        <v>0</v>
      </c>
      <c r="C130" s="36"/>
      <c r="D130" s="33"/>
      <c r="E130" s="102">
        <f t="shared" si="10"/>
        <v>0</v>
      </c>
      <c r="F130" s="103" t="str">
        <f t="shared" si="0"/>
        <v>0 tubes and 0 shuttles</v>
      </c>
      <c r="G130" s="36">
        <f t="shared" si="11"/>
        <v>0</v>
      </c>
      <c r="H130" s="104" t="str">
        <f t="shared" si="1"/>
        <v>0 tubes and 0 shuttles</v>
      </c>
      <c r="I130" s="36">
        <f t="shared" si="2"/>
        <v>0</v>
      </c>
      <c r="J130" s="103" t="str">
        <f t="shared" si="3"/>
        <v>0 tubes and 0 shuttles</v>
      </c>
    </row>
    <row r="131" spans="1:10" ht="12.5" x14ac:dyDescent="0.25">
      <c r="A131" s="32">
        <f>'Profit &amp; Loss'!A131</f>
        <v>0</v>
      </c>
      <c r="B131" s="35">
        <f>'Profit &amp; Loss'!B131</f>
        <v>0</v>
      </c>
      <c r="C131" s="36"/>
      <c r="D131" s="33"/>
      <c r="E131" s="102">
        <f t="shared" si="10"/>
        <v>0</v>
      </c>
      <c r="F131" s="103" t="str">
        <f t="shared" si="0"/>
        <v>0 tubes and 0 shuttles</v>
      </c>
      <c r="G131" s="36">
        <f t="shared" si="11"/>
        <v>0</v>
      </c>
      <c r="H131" s="104" t="str">
        <f t="shared" si="1"/>
        <v>0 tubes and 0 shuttles</v>
      </c>
      <c r="I131" s="36">
        <f t="shared" si="2"/>
        <v>0</v>
      </c>
      <c r="J131" s="103" t="str">
        <f t="shared" si="3"/>
        <v>0 tubes and 0 shuttles</v>
      </c>
    </row>
    <row r="132" spans="1:10" ht="12.5" x14ac:dyDescent="0.25">
      <c r="A132" s="32">
        <f>'Profit &amp; Loss'!A132</f>
        <v>0</v>
      </c>
      <c r="B132" s="35">
        <f>'Profit &amp; Loss'!B132</f>
        <v>0</v>
      </c>
      <c r="C132" s="36"/>
      <c r="D132" s="33"/>
      <c r="E132" s="102">
        <f t="shared" si="10"/>
        <v>0</v>
      </c>
      <c r="F132" s="103" t="str">
        <f t="shared" si="0"/>
        <v>0 tubes and 0 shuttles</v>
      </c>
      <c r="G132" s="36">
        <f t="shared" si="11"/>
        <v>0</v>
      </c>
      <c r="H132" s="104" t="str">
        <f t="shared" si="1"/>
        <v>0 tubes and 0 shuttles</v>
      </c>
      <c r="I132" s="36">
        <f t="shared" si="2"/>
        <v>0</v>
      </c>
      <c r="J132" s="103" t="str">
        <f t="shared" si="3"/>
        <v>0 tubes and 0 shuttles</v>
      </c>
    </row>
    <row r="133" spans="1:10" ht="12.5" x14ac:dyDescent="0.25">
      <c r="A133" s="32">
        <f>'Profit &amp; Loss'!A133</f>
        <v>0</v>
      </c>
      <c r="B133" s="35">
        <f>'Profit &amp; Loss'!B133</f>
        <v>0</v>
      </c>
      <c r="C133" s="36"/>
      <c r="D133" s="33"/>
      <c r="E133" s="102">
        <f t="shared" si="10"/>
        <v>0</v>
      </c>
      <c r="F133" s="103" t="str">
        <f t="shared" si="0"/>
        <v>0 tubes and 0 shuttles</v>
      </c>
      <c r="G133" s="36">
        <f t="shared" si="11"/>
        <v>0</v>
      </c>
      <c r="H133" s="104" t="str">
        <f t="shared" si="1"/>
        <v>0 tubes and 0 shuttles</v>
      </c>
      <c r="I133" s="36">
        <f t="shared" si="2"/>
        <v>0</v>
      </c>
      <c r="J133" s="103" t="str">
        <f t="shared" si="3"/>
        <v>0 tubes and 0 shuttles</v>
      </c>
    </row>
    <row r="134" spans="1:10" ht="12.5" x14ac:dyDescent="0.25">
      <c r="A134" s="32">
        <f>'Profit &amp; Loss'!A134</f>
        <v>0</v>
      </c>
      <c r="B134" s="35">
        <f>'Profit &amp; Loss'!B134</f>
        <v>0</v>
      </c>
      <c r="C134" s="36"/>
      <c r="D134" s="33"/>
      <c r="E134" s="102">
        <f t="shared" si="10"/>
        <v>0</v>
      </c>
      <c r="F134" s="103" t="str">
        <f t="shared" si="0"/>
        <v>0 tubes and 0 shuttles</v>
      </c>
      <c r="G134" s="36">
        <f t="shared" si="11"/>
        <v>0</v>
      </c>
      <c r="H134" s="104" t="str">
        <f t="shared" si="1"/>
        <v>0 tubes and 0 shuttles</v>
      </c>
      <c r="I134" s="36">
        <f t="shared" si="2"/>
        <v>0</v>
      </c>
      <c r="J134" s="103" t="str">
        <f t="shared" si="3"/>
        <v>0 tubes and 0 shuttles</v>
      </c>
    </row>
    <row r="135" spans="1:10" ht="12.5" x14ac:dyDescent="0.25">
      <c r="A135" s="32">
        <f>'Profit &amp; Loss'!A135</f>
        <v>0</v>
      </c>
      <c r="B135" s="35">
        <f>'Profit &amp; Loss'!B135</f>
        <v>0</v>
      </c>
      <c r="C135" s="36"/>
      <c r="D135" s="33"/>
      <c r="E135" s="102">
        <f t="shared" si="10"/>
        <v>0</v>
      </c>
      <c r="F135" s="103" t="str">
        <f t="shared" si="0"/>
        <v>0 tubes and 0 shuttles</v>
      </c>
      <c r="G135" s="36">
        <f t="shared" si="11"/>
        <v>0</v>
      </c>
      <c r="H135" s="104" t="str">
        <f t="shared" si="1"/>
        <v>0 tubes and 0 shuttles</v>
      </c>
      <c r="I135" s="36">
        <f t="shared" si="2"/>
        <v>0</v>
      </c>
      <c r="J135" s="103" t="str">
        <f t="shared" si="3"/>
        <v>0 tubes and 0 shuttles</v>
      </c>
    </row>
    <row r="136" spans="1:10" ht="12.5" x14ac:dyDescent="0.25">
      <c r="A136" s="32">
        <f>'Profit &amp; Loss'!A136</f>
        <v>0</v>
      </c>
      <c r="B136" s="35">
        <f>'Profit &amp; Loss'!B136</f>
        <v>0</v>
      </c>
      <c r="C136" s="36"/>
      <c r="D136" s="33"/>
      <c r="E136" s="102">
        <f t="shared" si="10"/>
        <v>0</v>
      </c>
      <c r="F136" s="103" t="str">
        <f t="shared" si="0"/>
        <v>0 tubes and 0 shuttles</v>
      </c>
      <c r="G136" s="36">
        <f t="shared" si="11"/>
        <v>0</v>
      </c>
      <c r="H136" s="104" t="str">
        <f t="shared" si="1"/>
        <v>0 tubes and 0 shuttles</v>
      </c>
      <c r="I136" s="36">
        <f t="shared" si="2"/>
        <v>0</v>
      </c>
      <c r="J136" s="103" t="str">
        <f t="shared" si="3"/>
        <v>0 tubes and 0 shuttles</v>
      </c>
    </row>
    <row r="137" spans="1:10" ht="12.5" x14ac:dyDescent="0.25">
      <c r="A137" s="32">
        <f>'Profit &amp; Loss'!A137</f>
        <v>0</v>
      </c>
      <c r="B137" s="35">
        <f>'Profit &amp; Loss'!B137</f>
        <v>0</v>
      </c>
      <c r="C137" s="36"/>
      <c r="D137" s="33"/>
      <c r="E137" s="102">
        <f t="shared" si="10"/>
        <v>0</v>
      </c>
      <c r="F137" s="103" t="str">
        <f t="shared" si="0"/>
        <v>0 tubes and 0 shuttles</v>
      </c>
      <c r="G137" s="36">
        <f t="shared" si="11"/>
        <v>0</v>
      </c>
      <c r="H137" s="104" t="str">
        <f t="shared" si="1"/>
        <v>0 tubes and 0 shuttles</v>
      </c>
      <c r="I137" s="36">
        <f t="shared" si="2"/>
        <v>0</v>
      </c>
      <c r="J137" s="103" t="str">
        <f t="shared" si="3"/>
        <v>0 tubes and 0 shuttles</v>
      </c>
    </row>
    <row r="138" spans="1:10" ht="12.5" x14ac:dyDescent="0.25">
      <c r="A138" s="32">
        <f>'Profit &amp; Loss'!A138</f>
        <v>0</v>
      </c>
      <c r="B138" s="35">
        <f>'Profit &amp; Loss'!B138</f>
        <v>0</v>
      </c>
      <c r="C138" s="36"/>
      <c r="D138" s="33"/>
      <c r="E138" s="102">
        <f t="shared" si="10"/>
        <v>0</v>
      </c>
      <c r="F138" s="103" t="str">
        <f t="shared" si="0"/>
        <v>0 tubes and 0 shuttles</v>
      </c>
      <c r="G138" s="36">
        <f t="shared" si="11"/>
        <v>0</v>
      </c>
      <c r="H138" s="104" t="str">
        <f t="shared" si="1"/>
        <v>0 tubes and 0 shuttles</v>
      </c>
      <c r="I138" s="36">
        <f t="shared" si="2"/>
        <v>0</v>
      </c>
      <c r="J138" s="103" t="str">
        <f t="shared" si="3"/>
        <v>0 tubes and 0 shuttles</v>
      </c>
    </row>
    <row r="139" spans="1:10" ht="12.5" x14ac:dyDescent="0.25">
      <c r="A139" s="32">
        <f>'Profit &amp; Loss'!A139</f>
        <v>0</v>
      </c>
      <c r="B139" s="35">
        <f>'Profit &amp; Loss'!B139</f>
        <v>0</v>
      </c>
      <c r="C139" s="36"/>
      <c r="D139" s="33"/>
      <c r="E139" s="102">
        <f t="shared" si="10"/>
        <v>0</v>
      </c>
      <c r="F139" s="103" t="str">
        <f t="shared" si="0"/>
        <v>0 tubes and 0 shuttles</v>
      </c>
      <c r="G139" s="36">
        <f t="shared" si="11"/>
        <v>0</v>
      </c>
      <c r="H139" s="104" t="str">
        <f t="shared" si="1"/>
        <v>0 tubes and 0 shuttles</v>
      </c>
      <c r="I139" s="36">
        <f t="shared" si="2"/>
        <v>0</v>
      </c>
      <c r="J139" s="103" t="str">
        <f t="shared" si="3"/>
        <v>0 tubes and 0 shuttles</v>
      </c>
    </row>
    <row r="140" spans="1:10" ht="12.5" x14ac:dyDescent="0.25">
      <c r="A140" s="32">
        <f>'Profit &amp; Loss'!A140</f>
        <v>0</v>
      </c>
      <c r="B140" s="35">
        <f>'Profit &amp; Loss'!B140</f>
        <v>0</v>
      </c>
      <c r="C140" s="36"/>
      <c r="D140" s="33"/>
      <c r="E140" s="102">
        <f t="shared" si="10"/>
        <v>0</v>
      </c>
      <c r="F140" s="103" t="str">
        <f t="shared" si="0"/>
        <v>0 tubes and 0 shuttles</v>
      </c>
      <c r="G140" s="36">
        <f t="shared" si="11"/>
        <v>0</v>
      </c>
      <c r="H140" s="104" t="str">
        <f t="shared" si="1"/>
        <v>0 tubes and 0 shuttles</v>
      </c>
      <c r="I140" s="36">
        <f t="shared" si="2"/>
        <v>0</v>
      </c>
      <c r="J140" s="103" t="str">
        <f t="shared" si="3"/>
        <v>0 tubes and 0 shuttles</v>
      </c>
    </row>
    <row r="141" spans="1:10" ht="12.5" x14ac:dyDescent="0.25">
      <c r="A141" s="32">
        <f>'Profit &amp; Loss'!A141</f>
        <v>0</v>
      </c>
      <c r="B141" s="35">
        <f>'Profit &amp; Loss'!B141</f>
        <v>0</v>
      </c>
      <c r="C141" s="36"/>
      <c r="D141" s="33"/>
      <c r="E141" s="102">
        <f t="shared" si="10"/>
        <v>0</v>
      </c>
      <c r="F141" s="103" t="str">
        <f t="shared" si="0"/>
        <v>0 tubes and 0 shuttles</v>
      </c>
      <c r="G141" s="36">
        <f t="shared" si="11"/>
        <v>0</v>
      </c>
      <c r="H141" s="104" t="str">
        <f t="shared" si="1"/>
        <v>0 tubes and 0 shuttles</v>
      </c>
      <c r="I141" s="36">
        <f t="shared" si="2"/>
        <v>0</v>
      </c>
      <c r="J141" s="103" t="str">
        <f t="shared" si="3"/>
        <v>0 tubes and 0 shuttles</v>
      </c>
    </row>
    <row r="142" spans="1:10" ht="12.5" x14ac:dyDescent="0.25">
      <c r="A142" s="32">
        <f>'Profit &amp; Loss'!A142</f>
        <v>0</v>
      </c>
      <c r="B142" s="35">
        <f>'Profit &amp; Loss'!B142</f>
        <v>0</v>
      </c>
      <c r="C142" s="36"/>
      <c r="D142" s="33"/>
      <c r="E142" s="102">
        <f t="shared" si="10"/>
        <v>0</v>
      </c>
      <c r="F142" s="103" t="str">
        <f t="shared" si="0"/>
        <v>0 tubes and 0 shuttles</v>
      </c>
      <c r="G142" s="36">
        <f t="shared" si="11"/>
        <v>0</v>
      </c>
      <c r="H142" s="104" t="str">
        <f t="shared" si="1"/>
        <v>0 tubes and 0 shuttles</v>
      </c>
      <c r="I142" s="36">
        <f t="shared" si="2"/>
        <v>0</v>
      </c>
      <c r="J142" s="103" t="str">
        <f t="shared" si="3"/>
        <v>0 tubes and 0 shuttles</v>
      </c>
    </row>
    <row r="143" spans="1:10" ht="12.5" x14ac:dyDescent="0.25">
      <c r="A143" s="32">
        <f>'Profit &amp; Loss'!A143</f>
        <v>0</v>
      </c>
      <c r="B143" s="35">
        <f>'Profit &amp; Loss'!B143</f>
        <v>0</v>
      </c>
      <c r="C143" s="36"/>
      <c r="D143" s="33"/>
      <c r="E143" s="102">
        <f t="shared" si="10"/>
        <v>0</v>
      </c>
      <c r="F143" s="103" t="str">
        <f t="shared" si="0"/>
        <v>0 tubes and 0 shuttles</v>
      </c>
      <c r="G143" s="36">
        <f t="shared" si="11"/>
        <v>0</v>
      </c>
      <c r="H143" s="104" t="str">
        <f t="shared" si="1"/>
        <v>0 tubes and 0 shuttles</v>
      </c>
      <c r="I143" s="36">
        <f t="shared" si="2"/>
        <v>0</v>
      </c>
      <c r="J143" s="103" t="str">
        <f t="shared" si="3"/>
        <v>0 tubes and 0 shuttles</v>
      </c>
    </row>
    <row r="144" spans="1:10" ht="12.5" x14ac:dyDescent="0.25">
      <c r="A144" s="32">
        <f>'Profit &amp; Loss'!A144</f>
        <v>0</v>
      </c>
      <c r="B144" s="35">
        <f>'Profit &amp; Loss'!B144</f>
        <v>0</v>
      </c>
      <c r="C144" s="36"/>
      <c r="D144" s="33"/>
      <c r="E144" s="102">
        <f t="shared" si="10"/>
        <v>0</v>
      </c>
      <c r="F144" s="103" t="str">
        <f t="shared" si="0"/>
        <v>0 tubes and 0 shuttles</v>
      </c>
      <c r="G144" s="36">
        <f t="shared" si="11"/>
        <v>0</v>
      </c>
      <c r="H144" s="104" t="str">
        <f t="shared" si="1"/>
        <v>0 tubes and 0 shuttles</v>
      </c>
      <c r="I144" s="36">
        <f t="shared" si="2"/>
        <v>0</v>
      </c>
      <c r="J144" s="103" t="str">
        <f t="shared" si="3"/>
        <v>0 tubes and 0 shuttles</v>
      </c>
    </row>
    <row r="145" spans="1:10" ht="12.5" x14ac:dyDescent="0.25">
      <c r="A145" s="32">
        <f>'Profit &amp; Loss'!A145</f>
        <v>0</v>
      </c>
      <c r="B145" s="35">
        <f>'Profit &amp; Loss'!B145</f>
        <v>0</v>
      </c>
      <c r="C145" s="36"/>
      <c r="D145" s="33"/>
      <c r="E145" s="102">
        <f t="shared" si="10"/>
        <v>0</v>
      </c>
      <c r="F145" s="103" t="str">
        <f t="shared" si="0"/>
        <v>0 tubes and 0 shuttles</v>
      </c>
      <c r="G145" s="36">
        <f t="shared" si="11"/>
        <v>0</v>
      </c>
      <c r="H145" s="104" t="str">
        <f t="shared" si="1"/>
        <v>0 tubes and 0 shuttles</v>
      </c>
      <c r="I145" s="36">
        <f t="shared" si="2"/>
        <v>0</v>
      </c>
      <c r="J145" s="103" t="str">
        <f t="shared" si="3"/>
        <v>0 tubes and 0 shuttles</v>
      </c>
    </row>
    <row r="146" spans="1:10" ht="12.5" x14ac:dyDescent="0.25">
      <c r="A146" s="32">
        <f>'Profit &amp; Loss'!A146</f>
        <v>0</v>
      </c>
      <c r="B146" s="35">
        <f>'Profit &amp; Loss'!B146</f>
        <v>0</v>
      </c>
      <c r="C146" s="36"/>
      <c r="D146" s="33"/>
      <c r="E146" s="102">
        <f t="shared" si="10"/>
        <v>0</v>
      </c>
      <c r="F146" s="103" t="str">
        <f t="shared" si="0"/>
        <v>0 tubes and 0 shuttles</v>
      </c>
      <c r="G146" s="36">
        <f t="shared" si="11"/>
        <v>0</v>
      </c>
      <c r="H146" s="104" t="str">
        <f t="shared" si="1"/>
        <v>0 tubes and 0 shuttles</v>
      </c>
      <c r="I146" s="36">
        <f t="shared" si="2"/>
        <v>0</v>
      </c>
      <c r="J146" s="103" t="str">
        <f t="shared" si="3"/>
        <v>0 tubes and 0 shuttles</v>
      </c>
    </row>
    <row r="147" spans="1:10" ht="12.5" x14ac:dyDescent="0.25">
      <c r="A147" s="32">
        <f>'Profit &amp; Loss'!A147</f>
        <v>0</v>
      </c>
      <c r="B147" s="35">
        <f>'Profit &amp; Loss'!B147</f>
        <v>0</v>
      </c>
      <c r="C147" s="36"/>
      <c r="D147" s="33"/>
      <c r="E147" s="102">
        <f t="shared" si="10"/>
        <v>0</v>
      </c>
      <c r="F147" s="103" t="str">
        <f t="shared" si="0"/>
        <v>0 tubes and 0 shuttles</v>
      </c>
      <c r="G147" s="36">
        <f t="shared" si="11"/>
        <v>0</v>
      </c>
      <c r="H147" s="104" t="str">
        <f t="shared" si="1"/>
        <v>0 tubes and 0 shuttles</v>
      </c>
      <c r="I147" s="36">
        <f t="shared" si="2"/>
        <v>0</v>
      </c>
      <c r="J147" s="103" t="str">
        <f t="shared" si="3"/>
        <v>0 tubes and 0 shuttles</v>
      </c>
    </row>
    <row r="148" spans="1:10" ht="12.5" x14ac:dyDescent="0.25">
      <c r="A148" s="32">
        <f>'Profit &amp; Loss'!A148</f>
        <v>0</v>
      </c>
      <c r="B148" s="35">
        <f>'Profit &amp; Loss'!B148</f>
        <v>0</v>
      </c>
      <c r="C148" s="36"/>
      <c r="D148" s="33"/>
      <c r="E148" s="102">
        <f t="shared" si="10"/>
        <v>0</v>
      </c>
      <c r="F148" s="103" t="str">
        <f t="shared" si="0"/>
        <v>0 tubes and 0 shuttles</v>
      </c>
      <c r="G148" s="36">
        <f t="shared" si="11"/>
        <v>0</v>
      </c>
      <c r="H148" s="104" t="str">
        <f t="shared" si="1"/>
        <v>0 tubes and 0 shuttles</v>
      </c>
      <c r="I148" s="36">
        <f t="shared" si="2"/>
        <v>0</v>
      </c>
      <c r="J148" s="103" t="str">
        <f t="shared" si="3"/>
        <v>0 tubes and 0 shuttles</v>
      </c>
    </row>
    <row r="149" spans="1:10" ht="12.5" x14ac:dyDescent="0.25">
      <c r="A149" s="32">
        <f>'Profit &amp; Loss'!A149</f>
        <v>0</v>
      </c>
      <c r="B149" s="35">
        <f>'Profit &amp; Loss'!B149</f>
        <v>0</v>
      </c>
      <c r="C149" s="36"/>
      <c r="D149" s="33"/>
      <c r="E149" s="102">
        <f t="shared" si="10"/>
        <v>0</v>
      </c>
      <c r="F149" s="103" t="str">
        <f t="shared" si="0"/>
        <v>0 tubes and 0 shuttles</v>
      </c>
      <c r="G149" s="36">
        <f t="shared" si="11"/>
        <v>0</v>
      </c>
      <c r="H149" s="104" t="str">
        <f t="shared" si="1"/>
        <v>0 tubes and 0 shuttles</v>
      </c>
      <c r="I149" s="36">
        <f t="shared" si="2"/>
        <v>0</v>
      </c>
      <c r="J149" s="103" t="str">
        <f t="shared" si="3"/>
        <v>0 tubes and 0 shuttles</v>
      </c>
    </row>
    <row r="150" spans="1:10" ht="12.5" x14ac:dyDescent="0.25">
      <c r="A150" s="32">
        <f>'Profit &amp; Loss'!A150</f>
        <v>0</v>
      </c>
      <c r="B150" s="35">
        <f>'Profit &amp; Loss'!B150</f>
        <v>0</v>
      </c>
      <c r="C150" s="36"/>
      <c r="D150" s="33"/>
      <c r="E150" s="102">
        <f t="shared" si="10"/>
        <v>0</v>
      </c>
      <c r="F150" s="103" t="str">
        <f t="shared" si="0"/>
        <v>0 tubes and 0 shuttles</v>
      </c>
      <c r="G150" s="36">
        <f t="shared" si="11"/>
        <v>0</v>
      </c>
      <c r="H150" s="104" t="str">
        <f t="shared" si="1"/>
        <v>0 tubes and 0 shuttles</v>
      </c>
      <c r="I150" s="36">
        <f t="shared" si="2"/>
        <v>0</v>
      </c>
      <c r="J150" s="103" t="str">
        <f t="shared" si="3"/>
        <v>0 tubes and 0 shuttles</v>
      </c>
    </row>
    <row r="151" spans="1:10" ht="12.5" x14ac:dyDescent="0.25">
      <c r="A151" s="32">
        <f>'Profit &amp; Loss'!A151</f>
        <v>0</v>
      </c>
      <c r="B151" s="35">
        <f>'Profit &amp; Loss'!B151</f>
        <v>0</v>
      </c>
      <c r="C151" s="36"/>
      <c r="D151" s="33"/>
      <c r="E151" s="102">
        <f t="shared" si="10"/>
        <v>0</v>
      </c>
      <c r="F151" s="103" t="str">
        <f t="shared" si="0"/>
        <v>0 tubes and 0 shuttles</v>
      </c>
      <c r="G151" s="36">
        <f t="shared" si="11"/>
        <v>0</v>
      </c>
      <c r="H151" s="104" t="str">
        <f t="shared" si="1"/>
        <v>0 tubes and 0 shuttles</v>
      </c>
      <c r="I151" s="36">
        <f t="shared" si="2"/>
        <v>0</v>
      </c>
      <c r="J151" s="103" t="str">
        <f t="shared" si="3"/>
        <v>0 tubes and 0 shuttles</v>
      </c>
    </row>
    <row r="152" spans="1:10" ht="12.5" x14ac:dyDescent="0.25">
      <c r="A152" s="32">
        <f>'Profit &amp; Loss'!A152</f>
        <v>0</v>
      </c>
      <c r="B152" s="35">
        <f>'Profit &amp; Loss'!B152</f>
        <v>0</v>
      </c>
      <c r="C152" s="36"/>
      <c r="D152" s="33"/>
      <c r="E152" s="102">
        <f t="shared" si="10"/>
        <v>0</v>
      </c>
      <c r="F152" s="103" t="str">
        <f t="shared" si="0"/>
        <v>0 tubes and 0 shuttles</v>
      </c>
      <c r="G152" s="36">
        <f t="shared" si="11"/>
        <v>0</v>
      </c>
      <c r="H152" s="104" t="str">
        <f t="shared" si="1"/>
        <v>0 tubes and 0 shuttles</v>
      </c>
      <c r="I152" s="36">
        <f t="shared" si="2"/>
        <v>0</v>
      </c>
      <c r="J152" s="103" t="str">
        <f t="shared" si="3"/>
        <v>0 tubes and 0 shuttles</v>
      </c>
    </row>
    <row r="153" spans="1:10" ht="12.5" x14ac:dyDescent="0.25">
      <c r="A153" s="32">
        <f>'Profit &amp; Loss'!A153</f>
        <v>0</v>
      </c>
      <c r="B153" s="35">
        <f>'Profit &amp; Loss'!B153</f>
        <v>0</v>
      </c>
      <c r="C153" s="36"/>
      <c r="D153" s="33"/>
      <c r="E153" s="102">
        <f t="shared" si="10"/>
        <v>0</v>
      </c>
      <c r="F153" s="103" t="str">
        <f t="shared" si="0"/>
        <v>0 tubes and 0 shuttles</v>
      </c>
      <c r="G153" s="36">
        <f t="shared" si="11"/>
        <v>0</v>
      </c>
      <c r="H153" s="104" t="str">
        <f t="shared" si="1"/>
        <v>0 tubes and 0 shuttles</v>
      </c>
      <c r="I153" s="36">
        <f t="shared" si="2"/>
        <v>0</v>
      </c>
      <c r="J153" s="103" t="str">
        <f t="shared" si="3"/>
        <v>0 tubes and 0 shuttles</v>
      </c>
    </row>
    <row r="154" spans="1:10" ht="12.5" x14ac:dyDescent="0.25">
      <c r="A154" s="32">
        <f>'Profit &amp; Loss'!A154</f>
        <v>0</v>
      </c>
      <c r="B154" s="35">
        <f>'Profit &amp; Loss'!B154</f>
        <v>0</v>
      </c>
      <c r="C154" s="36"/>
      <c r="D154" s="33"/>
      <c r="E154" s="102">
        <f t="shared" si="10"/>
        <v>0</v>
      </c>
      <c r="F154" s="103" t="str">
        <f t="shared" si="0"/>
        <v>0 tubes and 0 shuttles</v>
      </c>
      <c r="G154" s="36">
        <f t="shared" si="11"/>
        <v>0</v>
      </c>
      <c r="H154" s="104" t="str">
        <f t="shared" si="1"/>
        <v>0 tubes and 0 shuttles</v>
      </c>
      <c r="I154" s="36">
        <f t="shared" si="2"/>
        <v>0</v>
      </c>
      <c r="J154" s="103" t="str">
        <f t="shared" si="3"/>
        <v>0 tubes and 0 shuttles</v>
      </c>
    </row>
    <row r="155" spans="1:10" ht="12.5" x14ac:dyDescent="0.25">
      <c r="A155" s="32">
        <f>'Profit &amp; Loss'!A155</f>
        <v>0</v>
      </c>
      <c r="B155" s="35">
        <f>'Profit &amp; Loss'!B155</f>
        <v>0</v>
      </c>
      <c r="C155" s="36"/>
      <c r="D155" s="33"/>
      <c r="E155" s="102">
        <f t="shared" si="10"/>
        <v>0</v>
      </c>
      <c r="F155" s="103" t="str">
        <f t="shared" si="0"/>
        <v>0 tubes and 0 shuttles</v>
      </c>
      <c r="G155" s="36">
        <f t="shared" si="11"/>
        <v>0</v>
      </c>
      <c r="H155" s="104" t="str">
        <f t="shared" si="1"/>
        <v>0 tubes and 0 shuttles</v>
      </c>
      <c r="I155" s="36">
        <f t="shared" si="2"/>
        <v>0</v>
      </c>
      <c r="J155" s="103" t="str">
        <f t="shared" si="3"/>
        <v>0 tubes and 0 shuttles</v>
      </c>
    </row>
    <row r="156" spans="1:10" ht="12.5" x14ac:dyDescent="0.25">
      <c r="A156" s="32">
        <f>'Profit &amp; Loss'!A156</f>
        <v>0</v>
      </c>
      <c r="B156" s="35">
        <f>'Profit &amp; Loss'!B156</f>
        <v>0</v>
      </c>
      <c r="C156" s="36"/>
      <c r="D156" s="33"/>
      <c r="E156" s="102">
        <f t="shared" si="10"/>
        <v>0</v>
      </c>
      <c r="F156" s="103" t="str">
        <f t="shared" si="0"/>
        <v>0 tubes and 0 shuttles</v>
      </c>
      <c r="G156" s="36">
        <f t="shared" si="11"/>
        <v>0</v>
      </c>
      <c r="H156" s="104" t="str">
        <f t="shared" si="1"/>
        <v>0 tubes and 0 shuttles</v>
      </c>
      <c r="I156" s="36">
        <f t="shared" si="2"/>
        <v>0</v>
      </c>
      <c r="J156" s="103" t="str">
        <f t="shared" si="3"/>
        <v>0 tubes and 0 shuttles</v>
      </c>
    </row>
    <row r="157" spans="1:10" ht="12.5" x14ac:dyDescent="0.25">
      <c r="A157" s="32">
        <f>'Profit &amp; Loss'!A157</f>
        <v>0</v>
      </c>
      <c r="B157" s="35">
        <f>'Profit &amp; Loss'!B157</f>
        <v>0</v>
      </c>
      <c r="C157" s="36"/>
      <c r="D157" s="33"/>
      <c r="E157" s="102">
        <f t="shared" si="10"/>
        <v>0</v>
      </c>
      <c r="F157" s="103" t="str">
        <f t="shared" si="0"/>
        <v>0 tubes and 0 shuttles</v>
      </c>
      <c r="G157" s="36">
        <f t="shared" si="11"/>
        <v>0</v>
      </c>
      <c r="H157" s="104" t="str">
        <f t="shared" si="1"/>
        <v>0 tubes and 0 shuttles</v>
      </c>
      <c r="I157" s="36">
        <f t="shared" si="2"/>
        <v>0</v>
      </c>
      <c r="J157" s="103" t="str">
        <f t="shared" si="3"/>
        <v>0 tubes and 0 shuttles</v>
      </c>
    </row>
    <row r="158" spans="1:10" ht="12.5" x14ac:dyDescent="0.25">
      <c r="A158" s="32">
        <f>'Profit &amp; Loss'!A158</f>
        <v>0</v>
      </c>
      <c r="B158" s="35">
        <f>'Profit &amp; Loss'!B158</f>
        <v>0</v>
      </c>
      <c r="C158" s="36"/>
      <c r="D158" s="33"/>
      <c r="E158" s="102">
        <f t="shared" si="10"/>
        <v>0</v>
      </c>
      <c r="F158" s="103" t="str">
        <f t="shared" si="0"/>
        <v>0 tubes and 0 shuttles</v>
      </c>
      <c r="G158" s="36">
        <f t="shared" si="11"/>
        <v>0</v>
      </c>
      <c r="H158" s="104" t="str">
        <f t="shared" si="1"/>
        <v>0 tubes and 0 shuttles</v>
      </c>
      <c r="I158" s="36">
        <f t="shared" si="2"/>
        <v>0</v>
      </c>
      <c r="J158" s="103" t="str">
        <f t="shared" si="3"/>
        <v>0 tubes and 0 shuttles</v>
      </c>
    </row>
    <row r="159" spans="1:10" ht="12.5" x14ac:dyDescent="0.25">
      <c r="A159" s="32">
        <f>'Profit &amp; Loss'!A159</f>
        <v>0</v>
      </c>
      <c r="B159" s="35">
        <f>'Profit &amp; Loss'!B159</f>
        <v>0</v>
      </c>
      <c r="C159" s="36"/>
      <c r="D159" s="33"/>
      <c r="E159" s="102">
        <f t="shared" si="10"/>
        <v>0</v>
      </c>
      <c r="F159" s="103" t="str">
        <f t="shared" si="0"/>
        <v>0 tubes and 0 shuttles</v>
      </c>
      <c r="G159" s="36">
        <f t="shared" si="11"/>
        <v>0</v>
      </c>
      <c r="H159" s="104" t="str">
        <f t="shared" si="1"/>
        <v>0 tubes and 0 shuttles</v>
      </c>
      <c r="I159" s="36">
        <f t="shared" si="2"/>
        <v>0</v>
      </c>
      <c r="J159" s="103" t="str">
        <f t="shared" si="3"/>
        <v>0 tubes and 0 shuttles</v>
      </c>
    </row>
    <row r="160" spans="1:10" ht="12.5" x14ac:dyDescent="0.25">
      <c r="A160" s="32">
        <f>'Profit &amp; Loss'!A160</f>
        <v>0</v>
      </c>
      <c r="B160" s="35">
        <f>'Profit &amp; Loss'!B160</f>
        <v>0</v>
      </c>
      <c r="C160" s="36"/>
      <c r="D160" s="33"/>
      <c r="E160" s="102">
        <f t="shared" si="10"/>
        <v>0</v>
      </c>
      <c r="F160" s="103" t="str">
        <f t="shared" si="0"/>
        <v>0 tubes and 0 shuttles</v>
      </c>
      <c r="G160" s="36">
        <f t="shared" si="11"/>
        <v>0</v>
      </c>
      <c r="H160" s="104" t="str">
        <f t="shared" si="1"/>
        <v>0 tubes and 0 shuttles</v>
      </c>
      <c r="I160" s="36">
        <f t="shared" si="2"/>
        <v>0</v>
      </c>
      <c r="J160" s="103" t="str">
        <f t="shared" si="3"/>
        <v>0 tubes and 0 shuttles</v>
      </c>
    </row>
    <row r="161" spans="1:10" ht="12.5" x14ac:dyDescent="0.25">
      <c r="A161" s="32">
        <f>'Profit &amp; Loss'!A161</f>
        <v>0</v>
      </c>
      <c r="B161" s="35">
        <f>'Profit &amp; Loss'!B161</f>
        <v>0</v>
      </c>
      <c r="C161" s="36"/>
      <c r="D161" s="33"/>
      <c r="E161" s="102">
        <f t="shared" si="10"/>
        <v>0</v>
      </c>
      <c r="F161" s="103" t="str">
        <f t="shared" si="0"/>
        <v>0 tubes and 0 shuttles</v>
      </c>
      <c r="G161" s="36">
        <f t="shared" si="11"/>
        <v>0</v>
      </c>
      <c r="H161" s="104" t="str">
        <f t="shared" si="1"/>
        <v>0 tubes and 0 shuttles</v>
      </c>
      <c r="I161" s="36">
        <f t="shared" si="2"/>
        <v>0</v>
      </c>
      <c r="J161" s="103" t="str">
        <f t="shared" si="3"/>
        <v>0 tubes and 0 shuttles</v>
      </c>
    </row>
    <row r="162" spans="1:10" ht="12.5" x14ac:dyDescent="0.25">
      <c r="A162" s="32">
        <f>'Profit &amp; Loss'!A162</f>
        <v>0</v>
      </c>
      <c r="B162" s="35">
        <f>'Profit &amp; Loss'!B162</f>
        <v>0</v>
      </c>
      <c r="C162" s="36"/>
      <c r="D162" s="33"/>
      <c r="E162" s="102">
        <f t="shared" si="10"/>
        <v>0</v>
      </c>
      <c r="F162" s="103" t="str">
        <f t="shared" si="0"/>
        <v>0 tubes and 0 shuttles</v>
      </c>
      <c r="G162" s="36">
        <f t="shared" si="11"/>
        <v>0</v>
      </c>
      <c r="H162" s="104" t="str">
        <f t="shared" si="1"/>
        <v>0 tubes and 0 shuttles</v>
      </c>
      <c r="I162" s="36">
        <f t="shared" si="2"/>
        <v>0</v>
      </c>
      <c r="J162" s="103" t="str">
        <f t="shared" si="3"/>
        <v>0 tubes and 0 shuttles</v>
      </c>
    </row>
    <row r="163" spans="1:10" ht="12.5" x14ac:dyDescent="0.25">
      <c r="A163" s="32">
        <f>'Profit &amp; Loss'!A163</f>
        <v>0</v>
      </c>
      <c r="B163" s="35">
        <f>'Profit &amp; Loss'!B163</f>
        <v>0</v>
      </c>
      <c r="C163" s="36"/>
      <c r="D163" s="33"/>
      <c r="E163" s="102">
        <f t="shared" si="10"/>
        <v>0</v>
      </c>
      <c r="F163" s="103" t="str">
        <f t="shared" si="0"/>
        <v>0 tubes and 0 shuttles</v>
      </c>
      <c r="G163" s="36">
        <f t="shared" si="11"/>
        <v>0</v>
      </c>
      <c r="H163" s="104" t="str">
        <f t="shared" si="1"/>
        <v>0 tubes and 0 shuttles</v>
      </c>
      <c r="I163" s="36">
        <f t="shared" si="2"/>
        <v>0</v>
      </c>
      <c r="J163" s="103" t="str">
        <f t="shared" si="3"/>
        <v>0 tubes and 0 shuttles</v>
      </c>
    </row>
    <row r="164" spans="1:10" ht="12.5" x14ac:dyDescent="0.25">
      <c r="A164" s="32">
        <f>'Profit &amp; Loss'!A164</f>
        <v>0</v>
      </c>
      <c r="B164" s="35">
        <f>'Profit &amp; Loss'!B164</f>
        <v>0</v>
      </c>
      <c r="C164" s="36"/>
      <c r="D164" s="33"/>
      <c r="E164" s="102">
        <f t="shared" si="10"/>
        <v>0</v>
      </c>
      <c r="F164" s="103" t="str">
        <f t="shared" si="0"/>
        <v>0 tubes and 0 shuttles</v>
      </c>
      <c r="G164" s="36">
        <f t="shared" si="11"/>
        <v>0</v>
      </c>
      <c r="H164" s="104" t="str">
        <f t="shared" si="1"/>
        <v>0 tubes and 0 shuttles</v>
      </c>
      <c r="I164" s="36">
        <f t="shared" si="2"/>
        <v>0</v>
      </c>
      <c r="J164" s="103" t="str">
        <f t="shared" si="3"/>
        <v>0 tubes and 0 shuttles</v>
      </c>
    </row>
    <row r="165" spans="1:10" ht="12.5" x14ac:dyDescent="0.25">
      <c r="A165" s="32">
        <f>'Profit &amp; Loss'!A165</f>
        <v>0</v>
      </c>
      <c r="B165" s="35">
        <f>'Profit &amp; Loss'!B165</f>
        <v>0</v>
      </c>
      <c r="C165" s="36"/>
      <c r="D165" s="33"/>
      <c r="E165" s="102">
        <f t="shared" si="10"/>
        <v>0</v>
      </c>
      <c r="F165" s="103" t="str">
        <f t="shared" si="0"/>
        <v>0 tubes and 0 shuttles</v>
      </c>
      <c r="G165" s="36">
        <f t="shared" si="11"/>
        <v>0</v>
      </c>
      <c r="H165" s="104" t="str">
        <f t="shared" si="1"/>
        <v>0 tubes and 0 shuttles</v>
      </c>
      <c r="I165" s="36">
        <f t="shared" si="2"/>
        <v>0</v>
      </c>
      <c r="J165" s="103" t="str">
        <f t="shared" si="3"/>
        <v>0 tubes and 0 shuttles</v>
      </c>
    </row>
    <row r="166" spans="1:10" ht="12.5" x14ac:dyDescent="0.25">
      <c r="A166" s="32">
        <f>'Profit &amp; Loss'!A166</f>
        <v>0</v>
      </c>
      <c r="B166" s="35">
        <f>'Profit &amp; Loss'!B166</f>
        <v>0</v>
      </c>
      <c r="C166" s="36"/>
      <c r="D166" s="33"/>
      <c r="E166" s="102">
        <f t="shared" si="10"/>
        <v>0</v>
      </c>
      <c r="F166" s="103" t="str">
        <f t="shared" si="0"/>
        <v>0 tubes and 0 shuttles</v>
      </c>
      <c r="G166" s="36">
        <f t="shared" si="11"/>
        <v>0</v>
      </c>
      <c r="H166" s="104" t="str">
        <f t="shared" si="1"/>
        <v>0 tubes and 0 shuttles</v>
      </c>
      <c r="I166" s="36">
        <f t="shared" si="2"/>
        <v>0</v>
      </c>
      <c r="J166" s="103" t="str">
        <f t="shared" si="3"/>
        <v>0 tubes and 0 shuttles</v>
      </c>
    </row>
    <row r="167" spans="1:10" ht="12.5" x14ac:dyDescent="0.25">
      <c r="A167" s="32">
        <f>'Profit &amp; Loss'!A167</f>
        <v>0</v>
      </c>
      <c r="B167" s="35">
        <f>'Profit &amp; Loss'!B167</f>
        <v>0</v>
      </c>
      <c r="C167" s="36"/>
      <c r="D167" s="33"/>
      <c r="E167" s="102">
        <f t="shared" si="10"/>
        <v>0</v>
      </c>
      <c r="F167" s="103" t="str">
        <f t="shared" si="0"/>
        <v>0 tubes and 0 shuttles</v>
      </c>
      <c r="G167" s="36">
        <f t="shared" si="11"/>
        <v>0</v>
      </c>
      <c r="H167" s="104" t="str">
        <f t="shared" si="1"/>
        <v>0 tubes and 0 shuttles</v>
      </c>
      <c r="I167" s="36">
        <f t="shared" si="2"/>
        <v>0</v>
      </c>
      <c r="J167" s="103" t="str">
        <f t="shared" si="3"/>
        <v>0 tubes and 0 shuttles</v>
      </c>
    </row>
    <row r="168" spans="1:10" ht="12.5" x14ac:dyDescent="0.25">
      <c r="A168" s="32">
        <f>'Profit &amp; Loss'!A168</f>
        <v>0</v>
      </c>
      <c r="B168" s="35">
        <f>'Profit &amp; Loss'!B168</f>
        <v>0</v>
      </c>
      <c r="C168" s="36"/>
      <c r="D168" s="33"/>
      <c r="E168" s="102">
        <f t="shared" si="10"/>
        <v>0</v>
      </c>
      <c r="F168" s="103" t="str">
        <f t="shared" si="0"/>
        <v>0 tubes and 0 shuttles</v>
      </c>
      <c r="G168" s="36">
        <f t="shared" si="11"/>
        <v>0</v>
      </c>
      <c r="H168" s="104" t="str">
        <f t="shared" si="1"/>
        <v>0 tubes and 0 shuttles</v>
      </c>
      <c r="I168" s="36">
        <f t="shared" si="2"/>
        <v>0</v>
      </c>
      <c r="J168" s="103" t="str">
        <f t="shared" si="3"/>
        <v>0 tubes and 0 shuttles</v>
      </c>
    </row>
    <row r="169" spans="1:10" ht="12.5" x14ac:dyDescent="0.25">
      <c r="A169" s="32">
        <f>'Profit &amp; Loss'!A169</f>
        <v>0</v>
      </c>
      <c r="B169" s="35">
        <f>'Profit &amp; Loss'!B169</f>
        <v>0</v>
      </c>
      <c r="C169" s="36"/>
      <c r="D169" s="33"/>
      <c r="E169" s="102">
        <f t="shared" si="10"/>
        <v>0</v>
      </c>
      <c r="F169" s="103" t="str">
        <f t="shared" si="0"/>
        <v>0 tubes and 0 shuttles</v>
      </c>
      <c r="G169" s="36">
        <f t="shared" si="11"/>
        <v>0</v>
      </c>
      <c r="H169" s="104" t="str">
        <f t="shared" si="1"/>
        <v>0 tubes and 0 shuttles</v>
      </c>
      <c r="I169" s="36">
        <f t="shared" si="2"/>
        <v>0</v>
      </c>
      <c r="J169" s="103" t="str">
        <f t="shared" si="3"/>
        <v>0 tubes and 0 shuttles</v>
      </c>
    </row>
    <row r="170" spans="1:10" ht="12.5" x14ac:dyDescent="0.25">
      <c r="A170" s="32">
        <f>'Profit &amp; Loss'!A170</f>
        <v>0</v>
      </c>
      <c r="B170" s="35">
        <f>'Profit &amp; Loss'!B170</f>
        <v>0</v>
      </c>
      <c r="C170" s="36"/>
      <c r="D170" s="33"/>
      <c r="E170" s="102">
        <f t="shared" si="10"/>
        <v>0</v>
      </c>
      <c r="F170" s="103" t="str">
        <f t="shared" si="0"/>
        <v>0 tubes and 0 shuttles</v>
      </c>
      <c r="G170" s="36">
        <f t="shared" si="11"/>
        <v>0</v>
      </c>
      <c r="H170" s="104" t="str">
        <f t="shared" si="1"/>
        <v>0 tubes and 0 shuttles</v>
      </c>
      <c r="I170" s="36">
        <f t="shared" si="2"/>
        <v>0</v>
      </c>
      <c r="J170" s="103" t="str">
        <f t="shared" si="3"/>
        <v>0 tubes and 0 shuttles</v>
      </c>
    </row>
    <row r="171" spans="1:10" ht="12.5" x14ac:dyDescent="0.25">
      <c r="A171" s="32">
        <f>'Profit &amp; Loss'!A171</f>
        <v>0</v>
      </c>
      <c r="B171" s="35">
        <f>'Profit &amp; Loss'!B171</f>
        <v>0</v>
      </c>
      <c r="C171" s="36"/>
      <c r="D171" s="33"/>
      <c r="E171" s="102">
        <f t="shared" si="10"/>
        <v>0</v>
      </c>
      <c r="F171" s="103" t="str">
        <f t="shared" si="0"/>
        <v>0 tubes and 0 shuttles</v>
      </c>
      <c r="G171" s="36">
        <f t="shared" si="11"/>
        <v>0</v>
      </c>
      <c r="H171" s="104" t="str">
        <f t="shared" si="1"/>
        <v>0 tubes and 0 shuttles</v>
      </c>
      <c r="I171" s="36">
        <f t="shared" si="2"/>
        <v>0</v>
      </c>
      <c r="J171" s="103" t="str">
        <f t="shared" si="3"/>
        <v>0 tubes and 0 shuttles</v>
      </c>
    </row>
    <row r="172" spans="1:10" ht="12.5" x14ac:dyDescent="0.25">
      <c r="A172" s="32">
        <f>'Profit &amp; Loss'!A172</f>
        <v>0</v>
      </c>
      <c r="B172" s="35">
        <f>'Profit &amp; Loss'!B172</f>
        <v>0</v>
      </c>
      <c r="C172" s="36"/>
      <c r="D172" s="33"/>
      <c r="E172" s="102">
        <f t="shared" si="10"/>
        <v>0</v>
      </c>
      <c r="F172" s="103" t="str">
        <f t="shared" si="0"/>
        <v>0 tubes and 0 shuttles</v>
      </c>
      <c r="G172" s="36">
        <f t="shared" si="11"/>
        <v>0</v>
      </c>
      <c r="H172" s="104" t="str">
        <f t="shared" si="1"/>
        <v>0 tubes and 0 shuttles</v>
      </c>
      <c r="I172" s="36">
        <f t="shared" si="2"/>
        <v>0</v>
      </c>
      <c r="J172" s="103" t="str">
        <f t="shared" si="3"/>
        <v>0 tubes and 0 shuttles</v>
      </c>
    </row>
    <row r="173" spans="1:10" ht="12.5" x14ac:dyDescent="0.25">
      <c r="A173" s="32">
        <f>'Profit &amp; Loss'!A173</f>
        <v>0</v>
      </c>
      <c r="B173" s="35">
        <f>'Profit &amp; Loss'!B173</f>
        <v>0</v>
      </c>
      <c r="C173" s="36"/>
      <c r="D173" s="33"/>
      <c r="E173" s="102">
        <f t="shared" si="10"/>
        <v>0</v>
      </c>
      <c r="F173" s="103" t="str">
        <f t="shared" si="0"/>
        <v>0 tubes and 0 shuttles</v>
      </c>
      <c r="G173" s="36">
        <f t="shared" si="11"/>
        <v>0</v>
      </c>
      <c r="H173" s="104" t="str">
        <f t="shared" si="1"/>
        <v>0 tubes and 0 shuttles</v>
      </c>
      <c r="I173" s="36">
        <f t="shared" si="2"/>
        <v>0</v>
      </c>
      <c r="J173" s="103" t="str">
        <f t="shared" si="3"/>
        <v>0 tubes and 0 shuttles</v>
      </c>
    </row>
    <row r="174" spans="1:10" ht="12.5" x14ac:dyDescent="0.25">
      <c r="A174" s="32">
        <f>'Profit &amp; Loss'!A174</f>
        <v>0</v>
      </c>
      <c r="B174" s="35">
        <f>'Profit &amp; Loss'!B174</f>
        <v>0</v>
      </c>
      <c r="C174" s="36"/>
      <c r="D174" s="33"/>
      <c r="E174" s="102">
        <f t="shared" si="10"/>
        <v>0</v>
      </c>
      <c r="F174" s="103" t="str">
        <f t="shared" si="0"/>
        <v>0 tubes and 0 shuttles</v>
      </c>
      <c r="G174" s="36">
        <f t="shared" si="11"/>
        <v>0</v>
      </c>
      <c r="H174" s="104" t="str">
        <f t="shared" si="1"/>
        <v>0 tubes and 0 shuttles</v>
      </c>
      <c r="I174" s="36">
        <f t="shared" si="2"/>
        <v>0</v>
      </c>
      <c r="J174" s="103" t="str">
        <f t="shared" si="3"/>
        <v>0 tubes and 0 shuttles</v>
      </c>
    </row>
    <row r="175" spans="1:10" ht="12.5" x14ac:dyDescent="0.25">
      <c r="A175" s="32">
        <f>'Profit &amp; Loss'!A175</f>
        <v>0</v>
      </c>
      <c r="B175" s="35">
        <f>'Profit &amp; Loss'!B175</f>
        <v>0</v>
      </c>
      <c r="C175" s="36"/>
      <c r="D175" s="33"/>
      <c r="E175" s="102">
        <f t="shared" si="10"/>
        <v>0</v>
      </c>
      <c r="F175" s="103" t="str">
        <f t="shared" si="0"/>
        <v>0 tubes and 0 shuttles</v>
      </c>
      <c r="G175" s="36">
        <f t="shared" si="11"/>
        <v>0</v>
      </c>
      <c r="H175" s="104" t="str">
        <f t="shared" si="1"/>
        <v>0 tubes and 0 shuttles</v>
      </c>
      <c r="I175" s="36">
        <f t="shared" si="2"/>
        <v>0</v>
      </c>
      <c r="J175" s="103" t="str">
        <f t="shared" si="3"/>
        <v>0 tubes and 0 shuttles</v>
      </c>
    </row>
    <row r="176" spans="1:10" ht="12.5" x14ac:dyDescent="0.25">
      <c r="A176" s="32">
        <f>'Profit &amp; Loss'!A176</f>
        <v>0</v>
      </c>
      <c r="B176" s="35">
        <f>'Profit &amp; Loss'!B176</f>
        <v>0</v>
      </c>
      <c r="C176" s="36"/>
      <c r="D176" s="33"/>
      <c r="E176" s="102">
        <f t="shared" si="10"/>
        <v>0</v>
      </c>
      <c r="F176" s="103" t="str">
        <f t="shared" si="0"/>
        <v>0 tubes and 0 shuttles</v>
      </c>
      <c r="G176" s="36">
        <f t="shared" si="11"/>
        <v>0</v>
      </c>
      <c r="H176" s="104" t="str">
        <f t="shared" si="1"/>
        <v>0 tubes and 0 shuttles</v>
      </c>
      <c r="I176" s="36">
        <f t="shared" si="2"/>
        <v>0</v>
      </c>
      <c r="J176" s="103" t="str">
        <f t="shared" si="3"/>
        <v>0 tubes and 0 shuttles</v>
      </c>
    </row>
    <row r="177" spans="1:10" ht="12.5" x14ac:dyDescent="0.25">
      <c r="A177" s="32">
        <f>'Profit &amp; Loss'!A177</f>
        <v>0</v>
      </c>
      <c r="B177" s="35">
        <f>'Profit &amp; Loss'!B177</f>
        <v>0</v>
      </c>
      <c r="C177" s="36"/>
      <c r="D177" s="33"/>
      <c r="E177" s="102">
        <f t="shared" si="10"/>
        <v>0</v>
      </c>
      <c r="F177" s="103" t="str">
        <f t="shared" si="0"/>
        <v>0 tubes and 0 shuttles</v>
      </c>
      <c r="G177" s="36">
        <f t="shared" si="11"/>
        <v>0</v>
      </c>
      <c r="H177" s="104" t="str">
        <f t="shared" si="1"/>
        <v>0 tubes and 0 shuttles</v>
      </c>
      <c r="I177" s="36">
        <f t="shared" si="2"/>
        <v>0</v>
      </c>
      <c r="J177" s="103" t="str">
        <f t="shared" si="3"/>
        <v>0 tubes and 0 shuttles</v>
      </c>
    </row>
    <row r="178" spans="1:10" ht="12.5" x14ac:dyDescent="0.25">
      <c r="A178" s="32">
        <f>'Profit &amp; Loss'!A178</f>
        <v>0</v>
      </c>
      <c r="B178" s="35">
        <f>'Profit &amp; Loss'!B178</f>
        <v>0</v>
      </c>
      <c r="C178" s="36"/>
      <c r="D178" s="33"/>
      <c r="E178" s="102">
        <f t="shared" si="10"/>
        <v>0</v>
      </c>
      <c r="F178" s="103" t="str">
        <f t="shared" si="0"/>
        <v>0 tubes and 0 shuttles</v>
      </c>
      <c r="G178" s="36">
        <f t="shared" si="11"/>
        <v>0</v>
      </c>
      <c r="H178" s="104" t="str">
        <f t="shared" si="1"/>
        <v>0 tubes and 0 shuttles</v>
      </c>
      <c r="I178" s="36">
        <f t="shared" si="2"/>
        <v>0</v>
      </c>
      <c r="J178" s="103" t="str">
        <f t="shared" si="3"/>
        <v>0 tubes and 0 shuttles</v>
      </c>
    </row>
    <row r="179" spans="1:10" ht="12.5" x14ac:dyDescent="0.25">
      <c r="A179" s="32">
        <f>'Profit &amp; Loss'!A179</f>
        <v>0</v>
      </c>
      <c r="B179" s="35">
        <f>'Profit &amp; Loss'!B179</f>
        <v>0</v>
      </c>
      <c r="C179" s="36"/>
      <c r="D179" s="33"/>
      <c r="E179" s="102">
        <f t="shared" si="10"/>
        <v>0</v>
      </c>
      <c r="F179" s="103" t="str">
        <f t="shared" si="0"/>
        <v>0 tubes and 0 shuttles</v>
      </c>
      <c r="G179" s="36">
        <f t="shared" si="11"/>
        <v>0</v>
      </c>
      <c r="H179" s="104" t="str">
        <f t="shared" si="1"/>
        <v>0 tubes and 0 shuttles</v>
      </c>
      <c r="I179" s="36">
        <f t="shared" si="2"/>
        <v>0</v>
      </c>
      <c r="J179" s="103" t="str">
        <f t="shared" si="3"/>
        <v>0 tubes and 0 shuttles</v>
      </c>
    </row>
    <row r="180" spans="1:10" ht="12.5" x14ac:dyDescent="0.25">
      <c r="A180" s="32">
        <f>'Profit &amp; Loss'!A180</f>
        <v>0</v>
      </c>
      <c r="B180" s="35">
        <f>'Profit &amp; Loss'!B180</f>
        <v>0</v>
      </c>
      <c r="C180" s="36"/>
      <c r="D180" s="33"/>
      <c r="E180" s="102">
        <f t="shared" si="10"/>
        <v>0</v>
      </c>
      <c r="F180" s="103" t="str">
        <f t="shared" si="0"/>
        <v>0 tubes and 0 shuttles</v>
      </c>
      <c r="G180" s="36">
        <f t="shared" si="11"/>
        <v>0</v>
      </c>
      <c r="H180" s="104" t="str">
        <f t="shared" si="1"/>
        <v>0 tubes and 0 shuttles</v>
      </c>
      <c r="I180" s="36">
        <f t="shared" si="2"/>
        <v>0</v>
      </c>
      <c r="J180" s="103" t="str">
        <f t="shared" si="3"/>
        <v>0 tubes and 0 shuttles</v>
      </c>
    </row>
    <row r="181" spans="1:10" ht="12.5" x14ac:dyDescent="0.25">
      <c r="A181" s="32">
        <f>'Profit &amp; Loss'!A181</f>
        <v>0</v>
      </c>
      <c r="B181" s="35">
        <f>'Profit &amp; Loss'!B181</f>
        <v>0</v>
      </c>
      <c r="C181" s="36"/>
      <c r="D181" s="33"/>
      <c r="E181" s="102">
        <f t="shared" si="10"/>
        <v>0</v>
      </c>
      <c r="F181" s="103" t="str">
        <f t="shared" si="0"/>
        <v>0 tubes and 0 shuttles</v>
      </c>
      <c r="G181" s="36">
        <f t="shared" si="11"/>
        <v>0</v>
      </c>
      <c r="H181" s="104" t="str">
        <f t="shared" si="1"/>
        <v>0 tubes and 0 shuttles</v>
      </c>
      <c r="I181" s="36">
        <f t="shared" si="2"/>
        <v>0</v>
      </c>
      <c r="J181" s="103" t="str">
        <f t="shared" si="3"/>
        <v>0 tubes and 0 shuttles</v>
      </c>
    </row>
    <row r="182" spans="1:10" ht="12.5" x14ac:dyDescent="0.25">
      <c r="A182" s="32">
        <f>'Profit &amp; Loss'!A182</f>
        <v>0</v>
      </c>
      <c r="B182" s="35">
        <f>'Profit &amp; Loss'!B182</f>
        <v>0</v>
      </c>
      <c r="C182" s="36"/>
      <c r="D182" s="33"/>
      <c r="E182" s="102">
        <f t="shared" si="10"/>
        <v>0</v>
      </c>
      <c r="F182" s="103" t="str">
        <f t="shared" si="0"/>
        <v>0 tubes and 0 shuttles</v>
      </c>
      <c r="G182" s="36">
        <f t="shared" si="11"/>
        <v>0</v>
      </c>
      <c r="H182" s="104" t="str">
        <f t="shared" si="1"/>
        <v>0 tubes and 0 shuttles</v>
      </c>
      <c r="I182" s="36">
        <f t="shared" si="2"/>
        <v>0</v>
      </c>
      <c r="J182" s="103" t="str">
        <f t="shared" si="3"/>
        <v>0 tubes and 0 shuttles</v>
      </c>
    </row>
    <row r="183" spans="1:10" ht="12.5" x14ac:dyDescent="0.25">
      <c r="A183" s="32">
        <f>'Profit &amp; Loss'!A183</f>
        <v>0</v>
      </c>
      <c r="B183" s="35">
        <f>'Profit &amp; Loss'!B183</f>
        <v>0</v>
      </c>
      <c r="C183" s="36"/>
      <c r="D183" s="33"/>
      <c r="E183" s="102">
        <f t="shared" si="10"/>
        <v>0</v>
      </c>
      <c r="F183" s="103" t="str">
        <f t="shared" si="0"/>
        <v>0 tubes and 0 shuttles</v>
      </c>
      <c r="G183" s="36">
        <f t="shared" si="11"/>
        <v>0</v>
      </c>
      <c r="H183" s="104" t="str">
        <f t="shared" si="1"/>
        <v>0 tubes and 0 shuttles</v>
      </c>
      <c r="I183" s="36">
        <f t="shared" si="2"/>
        <v>0</v>
      </c>
      <c r="J183" s="103" t="str">
        <f t="shared" si="3"/>
        <v>0 tubes and 0 shuttles</v>
      </c>
    </row>
    <row r="184" spans="1:10" ht="12.5" x14ac:dyDescent="0.25">
      <c r="A184" s="32">
        <f>'Profit &amp; Loss'!A184</f>
        <v>0</v>
      </c>
      <c r="B184" s="35">
        <f>'Profit &amp; Loss'!B184</f>
        <v>0</v>
      </c>
      <c r="C184" s="36"/>
      <c r="D184" s="33"/>
      <c r="E184" s="102">
        <f t="shared" si="10"/>
        <v>0</v>
      </c>
      <c r="F184" s="103" t="str">
        <f t="shared" si="0"/>
        <v>0 tubes and 0 shuttles</v>
      </c>
      <c r="G184" s="36">
        <f t="shared" si="11"/>
        <v>0</v>
      </c>
      <c r="H184" s="104" t="str">
        <f t="shared" si="1"/>
        <v>0 tubes and 0 shuttles</v>
      </c>
      <c r="I184" s="36">
        <f t="shared" si="2"/>
        <v>0</v>
      </c>
      <c r="J184" s="103" t="str">
        <f t="shared" si="3"/>
        <v>0 tubes and 0 shuttles</v>
      </c>
    </row>
    <row r="185" spans="1:10" ht="12.5" x14ac:dyDescent="0.25">
      <c r="A185" s="32">
        <f>'Profit &amp; Loss'!A185</f>
        <v>0</v>
      </c>
      <c r="B185" s="35">
        <f>'Profit &amp; Loss'!B185</f>
        <v>0</v>
      </c>
      <c r="C185" s="36"/>
      <c r="D185" s="33"/>
      <c r="E185" s="102">
        <f t="shared" si="10"/>
        <v>0</v>
      </c>
      <c r="F185" s="103" t="str">
        <f t="shared" si="0"/>
        <v>0 tubes and 0 shuttles</v>
      </c>
      <c r="G185" s="36">
        <f t="shared" si="11"/>
        <v>0</v>
      </c>
      <c r="H185" s="104" t="str">
        <f t="shared" si="1"/>
        <v>0 tubes and 0 shuttles</v>
      </c>
      <c r="I185" s="36">
        <f t="shared" si="2"/>
        <v>0</v>
      </c>
      <c r="J185" s="103" t="str">
        <f t="shared" si="3"/>
        <v>0 tubes and 0 shuttles</v>
      </c>
    </row>
    <row r="186" spans="1:10" ht="12.5" x14ac:dyDescent="0.25">
      <c r="A186" s="32">
        <f>'Profit &amp; Loss'!A186</f>
        <v>0</v>
      </c>
      <c r="B186" s="35">
        <f>'Profit &amp; Loss'!B186</f>
        <v>0</v>
      </c>
      <c r="C186" s="36"/>
      <c r="D186" s="33"/>
      <c r="E186" s="102">
        <f t="shared" si="10"/>
        <v>0</v>
      </c>
      <c r="F186" s="103" t="str">
        <f t="shared" si="0"/>
        <v>0 tubes and 0 shuttles</v>
      </c>
      <c r="G186" s="36">
        <f t="shared" si="11"/>
        <v>0</v>
      </c>
      <c r="H186" s="104" t="str">
        <f t="shared" si="1"/>
        <v>0 tubes and 0 shuttles</v>
      </c>
      <c r="I186" s="36">
        <f t="shared" si="2"/>
        <v>0</v>
      </c>
      <c r="J186" s="103" t="str">
        <f t="shared" si="3"/>
        <v>0 tubes and 0 shuttles</v>
      </c>
    </row>
    <row r="187" spans="1:10" ht="12.5" x14ac:dyDescent="0.25">
      <c r="A187" s="32">
        <f>'Profit &amp; Loss'!A187</f>
        <v>0</v>
      </c>
      <c r="B187" s="35">
        <f>'Profit &amp; Loss'!B187</f>
        <v>0</v>
      </c>
      <c r="C187" s="36"/>
      <c r="D187" s="33"/>
      <c r="E187" s="102">
        <f t="shared" si="10"/>
        <v>0</v>
      </c>
      <c r="F187" s="103" t="str">
        <f t="shared" si="0"/>
        <v>0 tubes and 0 shuttles</v>
      </c>
      <c r="G187" s="36">
        <f t="shared" si="11"/>
        <v>0</v>
      </c>
      <c r="H187" s="104" t="str">
        <f t="shared" si="1"/>
        <v>0 tubes and 0 shuttles</v>
      </c>
      <c r="I187" s="36">
        <f t="shared" si="2"/>
        <v>0</v>
      </c>
      <c r="J187" s="103" t="str">
        <f t="shared" si="3"/>
        <v>0 tubes and 0 shuttles</v>
      </c>
    </row>
    <row r="188" spans="1:10" ht="12.5" x14ac:dyDescent="0.25">
      <c r="A188" s="32">
        <f>'Profit &amp; Loss'!A188</f>
        <v>0</v>
      </c>
      <c r="B188" s="35">
        <f>'Profit &amp; Loss'!B188</f>
        <v>0</v>
      </c>
      <c r="C188" s="36"/>
      <c r="D188" s="33"/>
      <c r="E188" s="102">
        <f t="shared" si="10"/>
        <v>0</v>
      </c>
      <c r="F188" s="103" t="str">
        <f t="shared" si="0"/>
        <v>0 tubes and 0 shuttles</v>
      </c>
      <c r="G188" s="36">
        <f t="shared" si="11"/>
        <v>0</v>
      </c>
      <c r="H188" s="104" t="str">
        <f t="shared" si="1"/>
        <v>0 tubes and 0 shuttles</v>
      </c>
      <c r="I188" s="36">
        <f t="shared" si="2"/>
        <v>0</v>
      </c>
      <c r="J188" s="103" t="str">
        <f t="shared" si="3"/>
        <v>0 tubes and 0 shuttles</v>
      </c>
    </row>
    <row r="189" spans="1:10" ht="12.5" x14ac:dyDescent="0.25">
      <c r="A189" s="32">
        <f>'Profit &amp; Loss'!A189</f>
        <v>0</v>
      </c>
      <c r="B189" s="35">
        <f>'Profit &amp; Loss'!B189</f>
        <v>0</v>
      </c>
      <c r="C189" s="36"/>
      <c r="D189" s="33"/>
      <c r="E189" s="102">
        <f t="shared" si="10"/>
        <v>0</v>
      </c>
      <c r="F189" s="103" t="str">
        <f t="shared" si="0"/>
        <v>0 tubes and 0 shuttles</v>
      </c>
      <c r="G189" s="36">
        <f t="shared" si="11"/>
        <v>0</v>
      </c>
      <c r="H189" s="104" t="str">
        <f t="shared" si="1"/>
        <v>0 tubes and 0 shuttles</v>
      </c>
      <c r="I189" s="36">
        <f t="shared" si="2"/>
        <v>0</v>
      </c>
      <c r="J189" s="103" t="str">
        <f t="shared" si="3"/>
        <v>0 tubes and 0 shuttles</v>
      </c>
    </row>
    <row r="190" spans="1:10" ht="12.5" x14ac:dyDescent="0.25">
      <c r="A190" s="32">
        <f>'Profit &amp; Loss'!A190</f>
        <v>0</v>
      </c>
      <c r="B190" s="35">
        <f>'Profit &amp; Loss'!B190</f>
        <v>0</v>
      </c>
      <c r="C190" s="36"/>
      <c r="D190" s="33"/>
      <c r="E190" s="102">
        <f t="shared" si="10"/>
        <v>0</v>
      </c>
      <c r="F190" s="103" t="str">
        <f t="shared" si="0"/>
        <v>0 tubes and 0 shuttles</v>
      </c>
      <c r="G190" s="36">
        <f t="shared" si="11"/>
        <v>0</v>
      </c>
      <c r="H190" s="104" t="str">
        <f t="shared" si="1"/>
        <v>0 tubes and 0 shuttles</v>
      </c>
      <c r="I190" s="36">
        <f t="shared" si="2"/>
        <v>0</v>
      </c>
      <c r="J190" s="103" t="str">
        <f t="shared" si="3"/>
        <v>0 tubes and 0 shuttles</v>
      </c>
    </row>
    <row r="191" spans="1:10" ht="12.5" x14ac:dyDescent="0.25">
      <c r="A191" s="32">
        <f>'Profit &amp; Loss'!A191</f>
        <v>0</v>
      </c>
      <c r="B191" s="35">
        <f>'Profit &amp; Loss'!B191</f>
        <v>0</v>
      </c>
      <c r="C191" s="36"/>
      <c r="D191" s="33"/>
      <c r="E191" s="102">
        <f t="shared" si="10"/>
        <v>0</v>
      </c>
      <c r="F191" s="103" t="str">
        <f t="shared" si="0"/>
        <v>0 tubes and 0 shuttles</v>
      </c>
      <c r="G191" s="36">
        <f t="shared" si="11"/>
        <v>0</v>
      </c>
      <c r="H191" s="104" t="str">
        <f t="shared" si="1"/>
        <v>0 tubes and 0 shuttles</v>
      </c>
      <c r="I191" s="36">
        <f t="shared" si="2"/>
        <v>0</v>
      </c>
      <c r="J191" s="103" t="str">
        <f t="shared" si="3"/>
        <v>0 tubes and 0 shuttles</v>
      </c>
    </row>
    <row r="192" spans="1:10" ht="12.5" x14ac:dyDescent="0.25">
      <c r="A192" s="32">
        <f>'Profit &amp; Loss'!A192</f>
        <v>0</v>
      </c>
      <c r="B192" s="35">
        <f>'Profit &amp; Loss'!B192</f>
        <v>0</v>
      </c>
      <c r="C192" s="36"/>
      <c r="D192" s="33"/>
      <c r="E192" s="102">
        <f t="shared" si="10"/>
        <v>0</v>
      </c>
      <c r="F192" s="103" t="str">
        <f t="shared" si="0"/>
        <v>0 tubes and 0 shuttles</v>
      </c>
      <c r="G192" s="36">
        <f t="shared" si="11"/>
        <v>0</v>
      </c>
      <c r="H192" s="104" t="str">
        <f t="shared" si="1"/>
        <v>0 tubes and 0 shuttles</v>
      </c>
      <c r="I192" s="36">
        <f t="shared" si="2"/>
        <v>0</v>
      </c>
      <c r="J192" s="103" t="str">
        <f t="shared" si="3"/>
        <v>0 tubes and 0 shuttles</v>
      </c>
    </row>
    <row r="193" spans="1:10" ht="12.5" x14ac:dyDescent="0.25">
      <c r="A193" s="32">
        <f>'Profit &amp; Loss'!A193</f>
        <v>0</v>
      </c>
      <c r="B193" s="35">
        <f>'Profit &amp; Loss'!B193</f>
        <v>0</v>
      </c>
      <c r="C193" s="36"/>
      <c r="D193" s="33"/>
      <c r="E193" s="102">
        <f t="shared" si="10"/>
        <v>0</v>
      </c>
      <c r="F193" s="103" t="str">
        <f t="shared" si="0"/>
        <v>0 tubes and 0 shuttles</v>
      </c>
      <c r="G193" s="36">
        <f t="shared" si="11"/>
        <v>0</v>
      </c>
      <c r="H193" s="104" t="str">
        <f t="shared" si="1"/>
        <v>0 tubes and 0 shuttles</v>
      </c>
      <c r="I193" s="36">
        <f t="shared" si="2"/>
        <v>0</v>
      </c>
      <c r="J193" s="103" t="str">
        <f t="shared" si="3"/>
        <v>0 tubes and 0 shuttles</v>
      </c>
    </row>
    <row r="194" spans="1:10" ht="12.5" x14ac:dyDescent="0.25">
      <c r="A194" s="32">
        <f>'Profit &amp; Loss'!A194</f>
        <v>0</v>
      </c>
      <c r="B194" s="35">
        <f>'Profit &amp; Loss'!B194</f>
        <v>0</v>
      </c>
      <c r="C194" s="36"/>
      <c r="D194" s="33"/>
      <c r="E194" s="102">
        <f t="shared" si="10"/>
        <v>0</v>
      </c>
      <c r="F194" s="103" t="str">
        <f t="shared" si="0"/>
        <v>0 tubes and 0 shuttles</v>
      </c>
      <c r="G194" s="36">
        <f t="shared" si="11"/>
        <v>0</v>
      </c>
      <c r="H194" s="104" t="str">
        <f t="shared" si="1"/>
        <v>0 tubes and 0 shuttles</v>
      </c>
      <c r="I194" s="36">
        <f t="shared" si="2"/>
        <v>0</v>
      </c>
      <c r="J194" s="103" t="str">
        <f t="shared" si="3"/>
        <v>0 tubes and 0 shuttles</v>
      </c>
    </row>
    <row r="195" spans="1:10" ht="12.5" x14ac:dyDescent="0.25">
      <c r="A195" s="32">
        <f>'Profit &amp; Loss'!A195</f>
        <v>0</v>
      </c>
      <c r="B195" s="35">
        <f>'Profit &amp; Loss'!B195</f>
        <v>0</v>
      </c>
      <c r="C195" s="36"/>
      <c r="D195" s="33"/>
      <c r="E195" s="102">
        <f t="shared" si="10"/>
        <v>0</v>
      </c>
      <c r="F195" s="103" t="str">
        <f t="shared" si="0"/>
        <v>0 tubes and 0 shuttles</v>
      </c>
      <c r="G195" s="36">
        <f t="shared" si="11"/>
        <v>0</v>
      </c>
      <c r="H195" s="104" t="str">
        <f t="shared" si="1"/>
        <v>0 tubes and 0 shuttles</v>
      </c>
      <c r="I195" s="36">
        <f t="shared" si="2"/>
        <v>0</v>
      </c>
      <c r="J195" s="103" t="str">
        <f t="shared" si="3"/>
        <v>0 tubes and 0 shuttles</v>
      </c>
    </row>
    <row r="196" spans="1:10" ht="12.5" x14ac:dyDescent="0.25">
      <c r="A196" s="32">
        <f>'Profit &amp; Loss'!A196</f>
        <v>0</v>
      </c>
      <c r="B196" s="35">
        <f>'Profit &amp; Loss'!B196</f>
        <v>0</v>
      </c>
      <c r="C196" s="36"/>
      <c r="D196" s="33"/>
      <c r="E196" s="102">
        <f t="shared" si="10"/>
        <v>0</v>
      </c>
      <c r="F196" s="103" t="str">
        <f t="shared" si="0"/>
        <v>0 tubes and 0 shuttles</v>
      </c>
      <c r="G196" s="36">
        <f t="shared" si="11"/>
        <v>0</v>
      </c>
      <c r="H196" s="104" t="str">
        <f t="shared" si="1"/>
        <v>0 tubes and 0 shuttles</v>
      </c>
      <c r="I196" s="36">
        <f t="shared" si="2"/>
        <v>0</v>
      </c>
      <c r="J196" s="103" t="str">
        <f t="shared" si="3"/>
        <v>0 tubes and 0 shuttles</v>
      </c>
    </row>
    <row r="197" spans="1:10" ht="12.5" x14ac:dyDescent="0.25">
      <c r="A197" s="32">
        <f>'Profit &amp; Loss'!A197</f>
        <v>0</v>
      </c>
      <c r="B197" s="35">
        <f>'Profit &amp; Loss'!B197</f>
        <v>0</v>
      </c>
      <c r="C197" s="36"/>
      <c r="D197" s="33"/>
      <c r="E197" s="102">
        <f t="shared" si="10"/>
        <v>0</v>
      </c>
      <c r="F197" s="103" t="str">
        <f t="shared" si="0"/>
        <v>0 tubes and 0 shuttles</v>
      </c>
      <c r="G197" s="36">
        <f t="shared" si="11"/>
        <v>0</v>
      </c>
      <c r="H197" s="104" t="str">
        <f t="shared" si="1"/>
        <v>0 tubes and 0 shuttles</v>
      </c>
      <c r="I197" s="36">
        <f t="shared" si="2"/>
        <v>0</v>
      </c>
      <c r="J197" s="103" t="str">
        <f t="shared" si="3"/>
        <v>0 tubes and 0 shuttles</v>
      </c>
    </row>
    <row r="198" spans="1:10" ht="12.5" x14ac:dyDescent="0.25">
      <c r="A198" s="32">
        <f>'Profit &amp; Loss'!A198</f>
        <v>0</v>
      </c>
      <c r="B198" s="35">
        <f>'Profit &amp; Loss'!B198</f>
        <v>0</v>
      </c>
      <c r="C198" s="36"/>
      <c r="D198" s="33"/>
      <c r="E198" s="102">
        <f t="shared" si="10"/>
        <v>0</v>
      </c>
      <c r="F198" s="103" t="str">
        <f t="shared" si="0"/>
        <v>0 tubes and 0 shuttles</v>
      </c>
      <c r="G198" s="36">
        <f t="shared" si="11"/>
        <v>0</v>
      </c>
      <c r="H198" s="104" t="str">
        <f t="shared" si="1"/>
        <v>0 tubes and 0 shuttles</v>
      </c>
      <c r="I198" s="36">
        <f t="shared" si="2"/>
        <v>0</v>
      </c>
      <c r="J198" s="103" t="str">
        <f t="shared" si="3"/>
        <v>0 tubes and 0 shuttles</v>
      </c>
    </row>
    <row r="199" spans="1:10" ht="12.5" x14ac:dyDescent="0.25">
      <c r="A199" s="32">
        <f>'Profit &amp; Loss'!A199</f>
        <v>0</v>
      </c>
      <c r="B199" s="35">
        <f>'Profit &amp; Loss'!B199</f>
        <v>0</v>
      </c>
      <c r="C199" s="36"/>
      <c r="D199" s="33"/>
      <c r="E199" s="102">
        <f t="shared" si="10"/>
        <v>0</v>
      </c>
      <c r="F199" s="103" t="str">
        <f t="shared" si="0"/>
        <v>0 tubes and 0 shuttles</v>
      </c>
      <c r="G199" s="36">
        <f t="shared" si="11"/>
        <v>0</v>
      </c>
      <c r="H199" s="104" t="str">
        <f t="shared" si="1"/>
        <v>0 tubes and 0 shuttles</v>
      </c>
      <c r="I199" s="36">
        <f t="shared" si="2"/>
        <v>0</v>
      </c>
      <c r="J199" s="103" t="str">
        <f t="shared" si="3"/>
        <v>0 tubes and 0 shuttles</v>
      </c>
    </row>
    <row r="200" spans="1:10" ht="12.5" x14ac:dyDescent="0.25">
      <c r="A200" s="32">
        <f>'Profit &amp; Loss'!A200</f>
        <v>0</v>
      </c>
      <c r="B200" s="35">
        <f>'Profit &amp; Loss'!B200</f>
        <v>0</v>
      </c>
      <c r="C200" s="36"/>
      <c r="D200" s="33"/>
      <c r="E200" s="102">
        <f t="shared" si="10"/>
        <v>0</v>
      </c>
      <c r="F200" s="103" t="str">
        <f t="shared" si="0"/>
        <v>0 tubes and 0 shuttles</v>
      </c>
      <c r="G200" s="36">
        <f t="shared" si="11"/>
        <v>0</v>
      </c>
      <c r="H200" s="104" t="str">
        <f t="shared" si="1"/>
        <v>0 tubes and 0 shuttles</v>
      </c>
      <c r="I200" s="36">
        <f t="shared" si="2"/>
        <v>0</v>
      </c>
      <c r="J200" s="103" t="str">
        <f t="shared" si="3"/>
        <v>0 tubes and 0 shuttles</v>
      </c>
    </row>
    <row r="201" spans="1:10" ht="12.5" x14ac:dyDescent="0.25">
      <c r="A201" s="32">
        <f>'Profit &amp; Loss'!A201</f>
        <v>0</v>
      </c>
      <c r="B201" s="35">
        <f>'Profit &amp; Loss'!B201</f>
        <v>0</v>
      </c>
      <c r="C201" s="36"/>
      <c r="D201" s="33"/>
      <c r="E201" s="102">
        <f t="shared" si="10"/>
        <v>0</v>
      </c>
      <c r="F201" s="103" t="str">
        <f t="shared" si="0"/>
        <v>0 tubes and 0 shuttles</v>
      </c>
      <c r="G201" s="36">
        <f t="shared" si="11"/>
        <v>0</v>
      </c>
      <c r="H201" s="104" t="str">
        <f t="shared" si="1"/>
        <v>0 tubes and 0 shuttles</v>
      </c>
      <c r="I201" s="36">
        <f t="shared" si="2"/>
        <v>0</v>
      </c>
      <c r="J201" s="103" t="str">
        <f t="shared" si="3"/>
        <v>0 tubes and 0 shuttles</v>
      </c>
    </row>
    <row r="202" spans="1:10" ht="12.5" x14ac:dyDescent="0.25">
      <c r="A202" s="32">
        <f>'Profit &amp; Loss'!A202</f>
        <v>0</v>
      </c>
      <c r="B202" s="35">
        <f>'Profit &amp; Loss'!B202</f>
        <v>0</v>
      </c>
      <c r="C202" s="36"/>
      <c r="D202" s="33"/>
      <c r="E202" s="102">
        <f t="shared" si="10"/>
        <v>0</v>
      </c>
      <c r="F202" s="103" t="str">
        <f t="shared" si="0"/>
        <v>0 tubes and 0 shuttles</v>
      </c>
      <c r="G202" s="36">
        <f t="shared" si="11"/>
        <v>0</v>
      </c>
      <c r="H202" s="104" t="str">
        <f t="shared" si="1"/>
        <v>0 tubes and 0 shuttles</v>
      </c>
      <c r="I202" s="36">
        <f t="shared" si="2"/>
        <v>0</v>
      </c>
      <c r="J202" s="103" t="str">
        <f t="shared" si="3"/>
        <v>0 tubes and 0 shuttles</v>
      </c>
    </row>
    <row r="203" spans="1:10" ht="12.5" x14ac:dyDescent="0.25">
      <c r="A203" s="32">
        <f>'Profit &amp; Loss'!A203</f>
        <v>0</v>
      </c>
      <c r="B203" s="35">
        <f>'Profit &amp; Loss'!B203</f>
        <v>0</v>
      </c>
      <c r="C203" s="36"/>
      <c r="D203" s="33"/>
      <c r="E203" s="102">
        <f t="shared" si="10"/>
        <v>0</v>
      </c>
      <c r="F203" s="103" t="str">
        <f t="shared" si="0"/>
        <v>0 tubes and 0 shuttles</v>
      </c>
      <c r="G203" s="36">
        <f t="shared" si="11"/>
        <v>0</v>
      </c>
      <c r="H203" s="104" t="str">
        <f t="shared" si="1"/>
        <v>0 tubes and 0 shuttles</v>
      </c>
      <c r="I203" s="36">
        <f t="shared" si="2"/>
        <v>0</v>
      </c>
      <c r="J203" s="103" t="str">
        <f t="shared" si="3"/>
        <v>0 tubes and 0 shuttles</v>
      </c>
    </row>
    <row r="204" spans="1:10" ht="12.5" x14ac:dyDescent="0.25">
      <c r="A204" s="32">
        <f>'Profit &amp; Loss'!A204</f>
        <v>0</v>
      </c>
      <c r="B204" s="35">
        <f>'Profit &amp; Loss'!B204</f>
        <v>0</v>
      </c>
      <c r="C204" s="36"/>
      <c r="D204" s="33"/>
      <c r="E204" s="102">
        <f t="shared" si="10"/>
        <v>0</v>
      </c>
      <c r="F204" s="103" t="str">
        <f t="shared" si="0"/>
        <v>0 tubes and 0 shuttles</v>
      </c>
      <c r="G204" s="36">
        <f t="shared" si="11"/>
        <v>0</v>
      </c>
      <c r="H204" s="104" t="str">
        <f t="shared" si="1"/>
        <v>0 tubes and 0 shuttles</v>
      </c>
      <c r="I204" s="36">
        <f t="shared" si="2"/>
        <v>0</v>
      </c>
      <c r="J204" s="103" t="str">
        <f t="shared" si="3"/>
        <v>0 tubes and 0 shuttles</v>
      </c>
    </row>
    <row r="205" spans="1:10" ht="12.5" x14ac:dyDescent="0.25">
      <c r="A205" s="32">
        <f>'Profit &amp; Loss'!A205</f>
        <v>0</v>
      </c>
      <c r="B205" s="35">
        <f>'Profit &amp; Loss'!B205</f>
        <v>0</v>
      </c>
      <c r="C205" s="36"/>
      <c r="D205" s="33"/>
      <c r="E205" s="102">
        <f t="shared" si="10"/>
        <v>0</v>
      </c>
      <c r="F205" s="103" t="str">
        <f t="shared" si="0"/>
        <v>0 tubes and 0 shuttles</v>
      </c>
      <c r="G205" s="36">
        <f t="shared" si="11"/>
        <v>0</v>
      </c>
      <c r="H205" s="104" t="str">
        <f t="shared" si="1"/>
        <v>0 tubes and 0 shuttles</v>
      </c>
      <c r="I205" s="36">
        <f t="shared" si="2"/>
        <v>0</v>
      </c>
      <c r="J205" s="103" t="str">
        <f t="shared" si="3"/>
        <v>0 tubes and 0 shuttles</v>
      </c>
    </row>
    <row r="206" spans="1:10" ht="12.5" x14ac:dyDescent="0.25">
      <c r="A206" s="32">
        <f>'Profit &amp; Loss'!A206</f>
        <v>0</v>
      </c>
      <c r="B206" s="35">
        <f>'Profit &amp; Loss'!B206</f>
        <v>0</v>
      </c>
      <c r="C206" s="36"/>
      <c r="D206" s="33"/>
      <c r="E206" s="102">
        <f t="shared" si="10"/>
        <v>0</v>
      </c>
      <c r="F206" s="103" t="str">
        <f t="shared" si="0"/>
        <v>0 tubes and 0 shuttles</v>
      </c>
      <c r="G206" s="36">
        <f t="shared" si="11"/>
        <v>0</v>
      </c>
      <c r="H206" s="104" t="str">
        <f t="shared" si="1"/>
        <v>0 tubes and 0 shuttles</v>
      </c>
      <c r="I206" s="36">
        <f t="shared" si="2"/>
        <v>0</v>
      </c>
      <c r="J206" s="103" t="str">
        <f t="shared" si="3"/>
        <v>0 tubes and 0 shuttles</v>
      </c>
    </row>
    <row r="207" spans="1:10" ht="12.5" x14ac:dyDescent="0.25">
      <c r="A207" s="32">
        <f>'Profit &amp; Loss'!A207</f>
        <v>0</v>
      </c>
      <c r="B207" s="35">
        <f>'Profit &amp; Loss'!B207</f>
        <v>0</v>
      </c>
      <c r="C207" s="36"/>
      <c r="D207" s="33"/>
      <c r="E207" s="102">
        <f t="shared" si="10"/>
        <v>0</v>
      </c>
      <c r="F207" s="103" t="str">
        <f t="shared" si="0"/>
        <v>0 tubes and 0 shuttles</v>
      </c>
      <c r="G207" s="36">
        <f t="shared" si="11"/>
        <v>0</v>
      </c>
      <c r="H207" s="104" t="str">
        <f t="shared" si="1"/>
        <v>0 tubes and 0 shuttles</v>
      </c>
      <c r="I207" s="36">
        <f t="shared" si="2"/>
        <v>0</v>
      </c>
      <c r="J207" s="103" t="str">
        <f t="shared" si="3"/>
        <v>0 tubes and 0 shuttles</v>
      </c>
    </row>
    <row r="208" spans="1:10" ht="12.5" x14ac:dyDescent="0.25">
      <c r="A208" s="32">
        <f>'Profit &amp; Loss'!A208</f>
        <v>0</v>
      </c>
      <c r="B208" s="35">
        <f>'Profit &amp; Loss'!B208</f>
        <v>0</v>
      </c>
      <c r="C208" s="36"/>
      <c r="D208" s="33"/>
      <c r="E208" s="102">
        <f t="shared" si="10"/>
        <v>0</v>
      </c>
      <c r="F208" s="103" t="str">
        <f t="shared" si="0"/>
        <v>0 tubes and 0 shuttles</v>
      </c>
      <c r="G208" s="36">
        <f t="shared" si="11"/>
        <v>0</v>
      </c>
      <c r="H208" s="104" t="str">
        <f t="shared" si="1"/>
        <v>0 tubes and 0 shuttles</v>
      </c>
      <c r="I208" s="36">
        <f t="shared" si="2"/>
        <v>0</v>
      </c>
      <c r="J208" s="103" t="str">
        <f t="shared" si="3"/>
        <v>0 tubes and 0 shuttles</v>
      </c>
    </row>
    <row r="209" spans="1:10" ht="12.5" x14ac:dyDescent="0.25">
      <c r="A209" s="32">
        <f>'Profit &amp; Loss'!A209</f>
        <v>0</v>
      </c>
      <c r="B209" s="35">
        <f>'Profit &amp; Loss'!B209</f>
        <v>0</v>
      </c>
      <c r="C209" s="36"/>
      <c r="D209" s="33"/>
      <c r="E209" s="102">
        <f t="shared" si="10"/>
        <v>0</v>
      </c>
      <c r="F209" s="103" t="str">
        <f t="shared" si="0"/>
        <v>0 tubes and 0 shuttles</v>
      </c>
      <c r="G209" s="36">
        <f t="shared" si="11"/>
        <v>0</v>
      </c>
      <c r="H209" s="104" t="str">
        <f t="shared" si="1"/>
        <v>0 tubes and 0 shuttles</v>
      </c>
      <c r="I209" s="36">
        <f t="shared" si="2"/>
        <v>0</v>
      </c>
      <c r="J209" s="103" t="str">
        <f t="shared" si="3"/>
        <v>0 tubes and 0 shuttles</v>
      </c>
    </row>
    <row r="210" spans="1:10" ht="12.5" x14ac:dyDescent="0.25">
      <c r="A210" s="32">
        <f>'Profit &amp; Loss'!A210</f>
        <v>0</v>
      </c>
      <c r="B210" s="35">
        <f>'Profit &amp; Loss'!B210</f>
        <v>0</v>
      </c>
      <c r="C210" s="36"/>
      <c r="D210" s="33"/>
      <c r="E210" s="102">
        <f t="shared" si="10"/>
        <v>0</v>
      </c>
      <c r="F210" s="103" t="str">
        <f t="shared" si="0"/>
        <v>0 tubes and 0 shuttles</v>
      </c>
      <c r="G210" s="36">
        <f t="shared" si="11"/>
        <v>0</v>
      </c>
      <c r="H210" s="104" t="str">
        <f t="shared" si="1"/>
        <v>0 tubes and 0 shuttles</v>
      </c>
      <c r="I210" s="36">
        <f t="shared" si="2"/>
        <v>0</v>
      </c>
      <c r="J210" s="103" t="str">
        <f t="shared" si="3"/>
        <v>0 tubes and 0 shuttles</v>
      </c>
    </row>
    <row r="211" spans="1:10" ht="12.5" x14ac:dyDescent="0.25">
      <c r="A211" s="32">
        <f>'Profit &amp; Loss'!A211</f>
        <v>0</v>
      </c>
      <c r="B211" s="35">
        <f>'Profit &amp; Loss'!B211</f>
        <v>0</v>
      </c>
      <c r="C211" s="36"/>
      <c r="D211" s="33"/>
      <c r="E211" s="102">
        <f t="shared" si="10"/>
        <v>0</v>
      </c>
      <c r="F211" s="103" t="str">
        <f t="shared" si="0"/>
        <v>0 tubes and 0 shuttles</v>
      </c>
      <c r="G211" s="36">
        <f t="shared" si="11"/>
        <v>0</v>
      </c>
      <c r="H211" s="104" t="str">
        <f t="shared" si="1"/>
        <v>0 tubes and 0 shuttles</v>
      </c>
      <c r="I211" s="36">
        <f t="shared" si="2"/>
        <v>0</v>
      </c>
      <c r="J211" s="103" t="str">
        <f t="shared" si="3"/>
        <v>0 tubes and 0 shuttles</v>
      </c>
    </row>
    <row r="212" spans="1:10" ht="12.5" x14ac:dyDescent="0.25">
      <c r="A212" s="32">
        <f>'Profit &amp; Loss'!A212</f>
        <v>0</v>
      </c>
      <c r="B212" s="35">
        <f>'Profit &amp; Loss'!B212</f>
        <v>0</v>
      </c>
      <c r="C212" s="36"/>
      <c r="D212" s="33"/>
      <c r="E212" s="102">
        <f t="shared" si="10"/>
        <v>0</v>
      </c>
      <c r="F212" s="103" t="str">
        <f t="shared" si="0"/>
        <v>0 tubes and 0 shuttles</v>
      </c>
      <c r="G212" s="36">
        <f t="shared" si="11"/>
        <v>0</v>
      </c>
      <c r="H212" s="104" t="str">
        <f t="shared" si="1"/>
        <v>0 tubes and 0 shuttles</v>
      </c>
      <c r="I212" s="36">
        <f t="shared" si="2"/>
        <v>0</v>
      </c>
      <c r="J212" s="103" t="str">
        <f t="shared" si="3"/>
        <v>0 tubes and 0 shuttles</v>
      </c>
    </row>
    <row r="213" spans="1:10" ht="12.5" x14ac:dyDescent="0.25">
      <c r="A213" s="32">
        <f>'Profit &amp; Loss'!A213</f>
        <v>0</v>
      </c>
      <c r="B213" s="35">
        <f>'Profit &amp; Loss'!B213</f>
        <v>0</v>
      </c>
      <c r="C213" s="36"/>
      <c r="D213" s="33"/>
      <c r="E213" s="102">
        <f t="shared" si="10"/>
        <v>0</v>
      </c>
      <c r="F213" s="103" t="str">
        <f t="shared" si="0"/>
        <v>0 tubes and 0 shuttles</v>
      </c>
      <c r="G213" s="36">
        <f t="shared" si="11"/>
        <v>0</v>
      </c>
      <c r="H213" s="104" t="str">
        <f t="shared" si="1"/>
        <v>0 tubes and 0 shuttles</v>
      </c>
      <c r="I213" s="36">
        <f t="shared" si="2"/>
        <v>0</v>
      </c>
      <c r="J213" s="103" t="str">
        <f t="shared" si="3"/>
        <v>0 tubes and 0 shuttles</v>
      </c>
    </row>
    <row r="214" spans="1:10" ht="12.5" x14ac:dyDescent="0.25">
      <c r="A214" s="32">
        <f>'Profit &amp; Loss'!A214</f>
        <v>0</v>
      </c>
      <c r="B214" s="35">
        <f>'Profit &amp; Loss'!B214</f>
        <v>0</v>
      </c>
      <c r="C214" s="36"/>
      <c r="D214" s="33"/>
      <c r="E214" s="102">
        <f t="shared" si="10"/>
        <v>0</v>
      </c>
      <c r="F214" s="103" t="str">
        <f t="shared" si="0"/>
        <v>0 tubes and 0 shuttles</v>
      </c>
      <c r="G214" s="36">
        <f t="shared" si="11"/>
        <v>0</v>
      </c>
      <c r="H214" s="104" t="str">
        <f t="shared" si="1"/>
        <v>0 tubes and 0 shuttles</v>
      </c>
      <c r="I214" s="36">
        <f t="shared" si="2"/>
        <v>0</v>
      </c>
      <c r="J214" s="103" t="str">
        <f t="shared" si="3"/>
        <v>0 tubes and 0 shuttles</v>
      </c>
    </row>
    <row r="215" spans="1:10" ht="12.5" x14ac:dyDescent="0.25">
      <c r="A215" s="32">
        <f>'Profit &amp; Loss'!A215</f>
        <v>0</v>
      </c>
      <c r="B215" s="35">
        <f>'Profit &amp; Loss'!B215</f>
        <v>0</v>
      </c>
      <c r="C215" s="36"/>
      <c r="D215" s="33"/>
      <c r="E215" s="102">
        <f t="shared" si="10"/>
        <v>0</v>
      </c>
      <c r="F215" s="103" t="str">
        <f t="shared" si="0"/>
        <v>0 tubes and 0 shuttles</v>
      </c>
      <c r="G215" s="36">
        <f t="shared" si="11"/>
        <v>0</v>
      </c>
      <c r="H215" s="104" t="str">
        <f t="shared" si="1"/>
        <v>0 tubes and 0 shuttles</v>
      </c>
      <c r="I215" s="36">
        <f t="shared" si="2"/>
        <v>0</v>
      </c>
      <c r="J215" s="103" t="str">
        <f t="shared" si="3"/>
        <v>0 tubes and 0 shuttles</v>
      </c>
    </row>
    <row r="216" spans="1:10" ht="12.5" x14ac:dyDescent="0.25">
      <c r="A216" s="32">
        <f>'Profit &amp; Loss'!A216</f>
        <v>0</v>
      </c>
      <c r="B216" s="35">
        <f>'Profit &amp; Loss'!B216</f>
        <v>0</v>
      </c>
      <c r="C216" s="36"/>
      <c r="D216" s="33"/>
      <c r="E216" s="102">
        <f t="shared" si="10"/>
        <v>0</v>
      </c>
      <c r="F216" s="103" t="str">
        <f t="shared" si="0"/>
        <v>0 tubes and 0 shuttles</v>
      </c>
      <c r="G216" s="36">
        <f t="shared" si="11"/>
        <v>0</v>
      </c>
      <c r="H216" s="104" t="str">
        <f t="shared" si="1"/>
        <v>0 tubes and 0 shuttles</v>
      </c>
      <c r="I216" s="36">
        <f t="shared" si="2"/>
        <v>0</v>
      </c>
      <c r="J216" s="103" t="str">
        <f t="shared" si="3"/>
        <v>0 tubes and 0 shuttles</v>
      </c>
    </row>
    <row r="217" spans="1:10" ht="12.5" x14ac:dyDescent="0.25">
      <c r="A217" s="32">
        <f>'Profit &amp; Loss'!A217</f>
        <v>0</v>
      </c>
      <c r="B217" s="35">
        <f>'Profit &amp; Loss'!B217</f>
        <v>0</v>
      </c>
      <c r="C217" s="36"/>
      <c r="D217" s="33"/>
      <c r="E217" s="102">
        <f t="shared" si="10"/>
        <v>0</v>
      </c>
      <c r="F217" s="103" t="str">
        <f t="shared" si="0"/>
        <v>0 tubes and 0 shuttles</v>
      </c>
      <c r="G217" s="36">
        <f t="shared" si="11"/>
        <v>0</v>
      </c>
      <c r="H217" s="104" t="str">
        <f t="shared" si="1"/>
        <v>0 tubes and 0 shuttles</v>
      </c>
      <c r="I217" s="36">
        <f t="shared" si="2"/>
        <v>0</v>
      </c>
      <c r="J217" s="103" t="str">
        <f t="shared" si="3"/>
        <v>0 tubes and 0 shuttles</v>
      </c>
    </row>
    <row r="218" spans="1:10" ht="12.5" x14ac:dyDescent="0.25">
      <c r="A218" s="32">
        <f>'Profit &amp; Loss'!A218</f>
        <v>0</v>
      </c>
      <c r="B218" s="35">
        <f>'Profit &amp; Loss'!B218</f>
        <v>0</v>
      </c>
      <c r="C218" s="36"/>
      <c r="D218" s="33"/>
      <c r="E218" s="102">
        <f t="shared" si="10"/>
        <v>0</v>
      </c>
      <c r="F218" s="103" t="str">
        <f t="shared" si="0"/>
        <v>0 tubes and 0 shuttles</v>
      </c>
      <c r="G218" s="36">
        <f t="shared" si="11"/>
        <v>0</v>
      </c>
      <c r="H218" s="104" t="str">
        <f t="shared" si="1"/>
        <v>0 tubes and 0 shuttles</v>
      </c>
      <c r="I218" s="36">
        <f t="shared" si="2"/>
        <v>0</v>
      </c>
      <c r="J218" s="103" t="str">
        <f t="shared" si="3"/>
        <v>0 tubes and 0 shuttles</v>
      </c>
    </row>
    <row r="219" spans="1:10" ht="12.5" x14ac:dyDescent="0.25">
      <c r="A219" s="32">
        <f>'Profit &amp; Loss'!A219</f>
        <v>0</v>
      </c>
      <c r="B219" s="35">
        <f>'Profit &amp; Loss'!B219</f>
        <v>0</v>
      </c>
      <c r="C219" s="36"/>
      <c r="D219" s="33"/>
      <c r="E219" s="102">
        <f t="shared" si="10"/>
        <v>0</v>
      </c>
      <c r="F219" s="103" t="str">
        <f t="shared" si="0"/>
        <v>0 tubes and 0 shuttles</v>
      </c>
      <c r="G219" s="36">
        <f t="shared" si="11"/>
        <v>0</v>
      </c>
      <c r="H219" s="104" t="str">
        <f t="shared" si="1"/>
        <v>0 tubes and 0 shuttles</v>
      </c>
      <c r="I219" s="36">
        <f t="shared" si="2"/>
        <v>0</v>
      </c>
      <c r="J219" s="103" t="str">
        <f t="shared" si="3"/>
        <v>0 tubes and 0 shuttles</v>
      </c>
    </row>
    <row r="220" spans="1:10" ht="12.5" x14ac:dyDescent="0.25">
      <c r="A220" s="32">
        <f>'Profit &amp; Loss'!A220</f>
        <v>0</v>
      </c>
      <c r="B220" s="35">
        <f>'Profit &amp; Loss'!B220</f>
        <v>0</v>
      </c>
      <c r="C220" s="36"/>
      <c r="D220" s="33"/>
      <c r="E220" s="102">
        <f t="shared" si="10"/>
        <v>0</v>
      </c>
      <c r="F220" s="103" t="str">
        <f t="shared" si="0"/>
        <v>0 tubes and 0 shuttles</v>
      </c>
      <c r="G220" s="36">
        <f t="shared" si="11"/>
        <v>0</v>
      </c>
      <c r="H220" s="104" t="str">
        <f t="shared" si="1"/>
        <v>0 tubes and 0 shuttles</v>
      </c>
      <c r="I220" s="36">
        <f t="shared" si="2"/>
        <v>0</v>
      </c>
      <c r="J220" s="103" t="str">
        <f t="shared" si="3"/>
        <v>0 tubes and 0 shuttles</v>
      </c>
    </row>
    <row r="221" spans="1:10" ht="12.5" x14ac:dyDescent="0.25">
      <c r="A221" s="32">
        <f>'Profit &amp; Loss'!A221</f>
        <v>0</v>
      </c>
      <c r="B221" s="35">
        <f>'Profit &amp; Loss'!B221</f>
        <v>0</v>
      </c>
      <c r="C221" s="36"/>
      <c r="D221" s="33"/>
      <c r="E221" s="102">
        <f t="shared" si="10"/>
        <v>0</v>
      </c>
      <c r="F221" s="103" t="str">
        <f t="shared" si="0"/>
        <v>0 tubes and 0 shuttles</v>
      </c>
      <c r="G221" s="36">
        <f t="shared" si="11"/>
        <v>0</v>
      </c>
      <c r="H221" s="104" t="str">
        <f t="shared" si="1"/>
        <v>0 tubes and 0 shuttles</v>
      </c>
      <c r="I221" s="36">
        <f t="shared" si="2"/>
        <v>0</v>
      </c>
      <c r="J221" s="103" t="str">
        <f t="shared" si="3"/>
        <v>0 tubes and 0 shuttles</v>
      </c>
    </row>
    <row r="222" spans="1:10" ht="12.5" x14ac:dyDescent="0.25">
      <c r="A222" s="32">
        <f>'Profit &amp; Loss'!A222</f>
        <v>0</v>
      </c>
      <c r="B222" s="35">
        <f>'Profit &amp; Loss'!B222</f>
        <v>0</v>
      </c>
      <c r="C222" s="36"/>
      <c r="D222" s="33"/>
      <c r="E222" s="102">
        <f t="shared" si="10"/>
        <v>0</v>
      </c>
      <c r="F222" s="103" t="str">
        <f t="shared" si="0"/>
        <v>0 tubes and 0 shuttles</v>
      </c>
      <c r="G222" s="36">
        <f t="shared" si="11"/>
        <v>0</v>
      </c>
      <c r="H222" s="104" t="str">
        <f t="shared" si="1"/>
        <v>0 tubes and 0 shuttles</v>
      </c>
      <c r="I222" s="36">
        <f t="shared" si="2"/>
        <v>0</v>
      </c>
      <c r="J222" s="103" t="str">
        <f t="shared" si="3"/>
        <v>0 tubes and 0 shuttles</v>
      </c>
    </row>
    <row r="223" spans="1:10" ht="12.5" x14ac:dyDescent="0.25">
      <c r="A223" s="32">
        <f>'Profit &amp; Loss'!A223</f>
        <v>0</v>
      </c>
      <c r="B223" s="35">
        <f>'Profit &amp; Loss'!B223</f>
        <v>0</v>
      </c>
      <c r="C223" s="36"/>
      <c r="D223" s="33"/>
      <c r="E223" s="102">
        <f t="shared" si="10"/>
        <v>0</v>
      </c>
      <c r="F223" s="103" t="str">
        <f t="shared" si="0"/>
        <v>0 tubes and 0 shuttles</v>
      </c>
      <c r="G223" s="36">
        <f t="shared" si="11"/>
        <v>0</v>
      </c>
      <c r="H223" s="104" t="str">
        <f t="shared" si="1"/>
        <v>0 tubes and 0 shuttles</v>
      </c>
      <c r="I223" s="36">
        <f t="shared" si="2"/>
        <v>0</v>
      </c>
      <c r="J223" s="103" t="str">
        <f t="shared" si="3"/>
        <v>0 tubes and 0 shuttles</v>
      </c>
    </row>
    <row r="224" spans="1:10" ht="12.5" x14ac:dyDescent="0.25">
      <c r="A224" s="32">
        <f>'Profit &amp; Loss'!A224</f>
        <v>0</v>
      </c>
      <c r="B224" s="35">
        <f>'Profit &amp; Loss'!B224</f>
        <v>0</v>
      </c>
      <c r="C224" s="36"/>
      <c r="D224" s="33"/>
      <c r="E224" s="102">
        <f t="shared" si="10"/>
        <v>0</v>
      </c>
      <c r="F224" s="103" t="str">
        <f t="shared" si="0"/>
        <v>0 tubes and 0 shuttles</v>
      </c>
      <c r="G224" s="36">
        <f t="shared" si="11"/>
        <v>0</v>
      </c>
      <c r="H224" s="104" t="str">
        <f t="shared" si="1"/>
        <v>0 tubes and 0 shuttles</v>
      </c>
      <c r="I224" s="36">
        <f t="shared" si="2"/>
        <v>0</v>
      </c>
      <c r="J224" s="103" t="str">
        <f t="shared" si="3"/>
        <v>0 tubes and 0 shuttles</v>
      </c>
    </row>
    <row r="225" spans="1:10" ht="12.5" x14ac:dyDescent="0.25">
      <c r="A225" s="32">
        <f>'Profit &amp; Loss'!A225</f>
        <v>0</v>
      </c>
      <c r="B225" s="35">
        <f>'Profit &amp; Loss'!B225</f>
        <v>0</v>
      </c>
      <c r="C225" s="36"/>
      <c r="D225" s="33"/>
      <c r="E225" s="102">
        <f t="shared" si="10"/>
        <v>0</v>
      </c>
      <c r="F225" s="103" t="str">
        <f t="shared" si="0"/>
        <v>0 tubes and 0 shuttles</v>
      </c>
      <c r="G225" s="36">
        <f t="shared" si="11"/>
        <v>0</v>
      </c>
      <c r="H225" s="104" t="str">
        <f t="shared" si="1"/>
        <v>0 tubes and 0 shuttles</v>
      </c>
      <c r="I225" s="36">
        <f t="shared" si="2"/>
        <v>0</v>
      </c>
      <c r="J225" s="103" t="str">
        <f t="shared" si="3"/>
        <v>0 tubes and 0 shuttles</v>
      </c>
    </row>
    <row r="226" spans="1:10" ht="12.5" x14ac:dyDescent="0.25">
      <c r="A226" s="32">
        <f>'Profit &amp; Loss'!A226</f>
        <v>0</v>
      </c>
      <c r="B226" s="35">
        <f>'Profit &amp; Loss'!B226</f>
        <v>0</v>
      </c>
      <c r="C226" s="36"/>
      <c r="D226" s="33"/>
      <c r="E226" s="102">
        <f t="shared" si="10"/>
        <v>0</v>
      </c>
      <c r="F226" s="103" t="str">
        <f t="shared" si="0"/>
        <v>0 tubes and 0 shuttles</v>
      </c>
      <c r="G226" s="36">
        <f t="shared" si="11"/>
        <v>0</v>
      </c>
      <c r="H226" s="104" t="str">
        <f t="shared" si="1"/>
        <v>0 tubes and 0 shuttles</v>
      </c>
      <c r="I226" s="36">
        <f t="shared" si="2"/>
        <v>0</v>
      </c>
      <c r="J226" s="103" t="str">
        <f t="shared" si="3"/>
        <v>0 tubes and 0 shuttles</v>
      </c>
    </row>
    <row r="227" spans="1:10" ht="12.5" x14ac:dyDescent="0.25">
      <c r="A227" s="32">
        <f>'Profit &amp; Loss'!A227</f>
        <v>0</v>
      </c>
      <c r="B227" s="35">
        <f>'Profit &amp; Loss'!B227</f>
        <v>0</v>
      </c>
      <c r="C227" s="36"/>
      <c r="D227" s="33"/>
      <c r="E227" s="102">
        <f t="shared" si="10"/>
        <v>0</v>
      </c>
      <c r="F227" s="103" t="str">
        <f t="shared" si="0"/>
        <v>0 tubes and 0 shuttles</v>
      </c>
      <c r="G227" s="36">
        <f t="shared" si="11"/>
        <v>0</v>
      </c>
      <c r="H227" s="104" t="str">
        <f t="shared" si="1"/>
        <v>0 tubes and 0 shuttles</v>
      </c>
      <c r="I227" s="36">
        <f t="shared" si="2"/>
        <v>0</v>
      </c>
      <c r="J227" s="103" t="str">
        <f t="shared" si="3"/>
        <v>0 tubes and 0 shuttles</v>
      </c>
    </row>
    <row r="228" spans="1:10" ht="12.5" x14ac:dyDescent="0.25">
      <c r="A228" s="32">
        <f>'Profit &amp; Loss'!A228</f>
        <v>0</v>
      </c>
      <c r="B228" s="35">
        <f>'Profit &amp; Loss'!B228</f>
        <v>0</v>
      </c>
      <c r="C228" s="36"/>
      <c r="D228" s="33"/>
      <c r="E228" s="102">
        <f t="shared" si="10"/>
        <v>0</v>
      </c>
      <c r="F228" s="103" t="str">
        <f t="shared" si="0"/>
        <v>0 tubes and 0 shuttles</v>
      </c>
      <c r="G228" s="36">
        <f t="shared" si="11"/>
        <v>0</v>
      </c>
      <c r="H228" s="104" t="str">
        <f t="shared" si="1"/>
        <v>0 tubes and 0 shuttles</v>
      </c>
      <c r="I228" s="36">
        <f t="shared" si="2"/>
        <v>0</v>
      </c>
      <c r="J228" s="103" t="str">
        <f t="shared" si="3"/>
        <v>0 tubes and 0 shuttles</v>
      </c>
    </row>
    <row r="229" spans="1:10" ht="12.5" x14ac:dyDescent="0.25">
      <c r="A229" s="32">
        <f>'Profit &amp; Loss'!A229</f>
        <v>0</v>
      </c>
      <c r="B229" s="35">
        <f>'Profit &amp; Loss'!B229</f>
        <v>0</v>
      </c>
      <c r="C229" s="36"/>
      <c r="D229" s="33"/>
      <c r="E229" s="102">
        <f t="shared" si="10"/>
        <v>0</v>
      </c>
      <c r="F229" s="103" t="str">
        <f t="shared" si="0"/>
        <v>0 tubes and 0 shuttles</v>
      </c>
      <c r="G229" s="36">
        <f t="shared" si="11"/>
        <v>0</v>
      </c>
      <c r="H229" s="104" t="str">
        <f t="shared" si="1"/>
        <v>0 tubes and 0 shuttles</v>
      </c>
      <c r="I229" s="36">
        <f t="shared" si="2"/>
        <v>0</v>
      </c>
      <c r="J229" s="103" t="str">
        <f t="shared" si="3"/>
        <v>0 tubes and 0 shuttles</v>
      </c>
    </row>
    <row r="230" spans="1:10" ht="12.5" x14ac:dyDescent="0.25">
      <c r="A230" s="32">
        <f>'Profit &amp; Loss'!A230</f>
        <v>0</v>
      </c>
      <c r="B230" s="35">
        <f>'Profit &amp; Loss'!B230</f>
        <v>0</v>
      </c>
      <c r="C230" s="36"/>
      <c r="D230" s="33"/>
      <c r="E230" s="102">
        <f t="shared" si="10"/>
        <v>0</v>
      </c>
      <c r="F230" s="103" t="str">
        <f t="shared" si="0"/>
        <v>0 tubes and 0 shuttles</v>
      </c>
      <c r="G230" s="36">
        <f t="shared" si="11"/>
        <v>0</v>
      </c>
      <c r="H230" s="104" t="str">
        <f t="shared" si="1"/>
        <v>0 tubes and 0 shuttles</v>
      </c>
      <c r="I230" s="36">
        <f t="shared" si="2"/>
        <v>0</v>
      </c>
      <c r="J230" s="103" t="str">
        <f t="shared" si="3"/>
        <v>0 tubes and 0 shuttles</v>
      </c>
    </row>
    <row r="231" spans="1:10" ht="12.5" x14ac:dyDescent="0.25">
      <c r="A231" s="32">
        <f>'Profit &amp; Loss'!A231</f>
        <v>0</v>
      </c>
      <c r="B231" s="35">
        <f>'Profit &amp; Loss'!B231</f>
        <v>0</v>
      </c>
      <c r="C231" s="36"/>
      <c r="D231" s="33"/>
      <c r="E231" s="102">
        <f t="shared" si="10"/>
        <v>0</v>
      </c>
      <c r="F231" s="103" t="str">
        <f t="shared" si="0"/>
        <v>0 tubes and 0 shuttles</v>
      </c>
      <c r="G231" s="36">
        <f t="shared" si="11"/>
        <v>0</v>
      </c>
      <c r="H231" s="104" t="str">
        <f t="shared" si="1"/>
        <v>0 tubes and 0 shuttles</v>
      </c>
      <c r="I231" s="36">
        <f t="shared" si="2"/>
        <v>0</v>
      </c>
      <c r="J231" s="103" t="str">
        <f t="shared" si="3"/>
        <v>0 tubes and 0 shuttles</v>
      </c>
    </row>
    <row r="232" spans="1:10" ht="12.5" x14ac:dyDescent="0.25">
      <c r="A232" s="32">
        <f>'Profit &amp; Loss'!A232</f>
        <v>0</v>
      </c>
      <c r="B232" s="35">
        <f>'Profit &amp; Loss'!B232</f>
        <v>0</v>
      </c>
      <c r="C232" s="36"/>
      <c r="D232" s="33"/>
      <c r="E232" s="102">
        <f t="shared" si="10"/>
        <v>0</v>
      </c>
      <c r="F232" s="103" t="str">
        <f t="shared" si="0"/>
        <v>0 tubes and 0 shuttles</v>
      </c>
      <c r="G232" s="36">
        <f t="shared" si="11"/>
        <v>0</v>
      </c>
      <c r="H232" s="104" t="str">
        <f t="shared" si="1"/>
        <v>0 tubes and 0 shuttles</v>
      </c>
      <c r="I232" s="36">
        <f t="shared" si="2"/>
        <v>0</v>
      </c>
      <c r="J232" s="103" t="str">
        <f t="shared" si="3"/>
        <v>0 tubes and 0 shuttles</v>
      </c>
    </row>
    <row r="233" spans="1:10" ht="12.5" x14ac:dyDescent="0.25">
      <c r="A233" s="32">
        <f>'Profit &amp; Loss'!A233</f>
        <v>0</v>
      </c>
      <c r="B233" s="35">
        <f>'Profit &amp; Loss'!B233</f>
        <v>0</v>
      </c>
      <c r="C233" s="36"/>
      <c r="D233" s="33"/>
      <c r="E233" s="102">
        <f t="shared" si="10"/>
        <v>0</v>
      </c>
      <c r="F233" s="103" t="str">
        <f t="shared" si="0"/>
        <v>0 tubes and 0 shuttles</v>
      </c>
      <c r="G233" s="36">
        <f t="shared" si="11"/>
        <v>0</v>
      </c>
      <c r="H233" s="104" t="str">
        <f t="shared" si="1"/>
        <v>0 tubes and 0 shuttles</v>
      </c>
      <c r="I233" s="36">
        <f t="shared" si="2"/>
        <v>0</v>
      </c>
      <c r="J233" s="103" t="str">
        <f t="shared" si="3"/>
        <v>0 tubes and 0 shuttles</v>
      </c>
    </row>
    <row r="234" spans="1:10" ht="12.5" x14ac:dyDescent="0.25">
      <c r="A234" s="32">
        <f>'Profit &amp; Loss'!A234</f>
        <v>0</v>
      </c>
      <c r="B234" s="35">
        <f>'Profit &amp; Loss'!B234</f>
        <v>0</v>
      </c>
      <c r="C234" s="36"/>
      <c r="D234" s="33"/>
      <c r="E234" s="102">
        <f t="shared" si="10"/>
        <v>0</v>
      </c>
      <c r="F234" s="103" t="str">
        <f t="shared" si="0"/>
        <v>0 tubes and 0 shuttles</v>
      </c>
      <c r="G234" s="36">
        <f t="shared" si="11"/>
        <v>0</v>
      </c>
      <c r="H234" s="104" t="str">
        <f t="shared" si="1"/>
        <v>0 tubes and 0 shuttles</v>
      </c>
      <c r="I234" s="36">
        <f t="shared" si="2"/>
        <v>0</v>
      </c>
      <c r="J234" s="103" t="str">
        <f t="shared" si="3"/>
        <v>0 tubes and 0 shuttles</v>
      </c>
    </row>
    <row r="235" spans="1:10" ht="12.5" x14ac:dyDescent="0.25">
      <c r="A235" s="32">
        <f>'Profit &amp; Loss'!A235</f>
        <v>0</v>
      </c>
      <c r="B235" s="35">
        <f>'Profit &amp; Loss'!B235</f>
        <v>0</v>
      </c>
      <c r="C235" s="36"/>
      <c r="D235" s="33"/>
      <c r="E235" s="102">
        <f t="shared" si="10"/>
        <v>0</v>
      </c>
      <c r="F235" s="103" t="str">
        <f t="shared" si="0"/>
        <v>0 tubes and 0 shuttles</v>
      </c>
      <c r="G235" s="36">
        <f t="shared" si="11"/>
        <v>0</v>
      </c>
      <c r="H235" s="104" t="str">
        <f t="shared" si="1"/>
        <v>0 tubes and 0 shuttles</v>
      </c>
      <c r="I235" s="36">
        <f t="shared" si="2"/>
        <v>0</v>
      </c>
      <c r="J235" s="103" t="str">
        <f t="shared" si="3"/>
        <v>0 tubes and 0 shuttles</v>
      </c>
    </row>
    <row r="236" spans="1:10" ht="12.5" x14ac:dyDescent="0.25">
      <c r="A236" s="32">
        <f>'Profit &amp; Loss'!A236</f>
        <v>0</v>
      </c>
      <c r="B236" s="35">
        <f>'Profit &amp; Loss'!B236</f>
        <v>0</v>
      </c>
      <c r="C236" s="36"/>
      <c r="D236" s="33"/>
      <c r="E236" s="102">
        <f t="shared" si="10"/>
        <v>0</v>
      </c>
      <c r="F236" s="103" t="str">
        <f t="shared" si="0"/>
        <v>0 tubes and 0 shuttles</v>
      </c>
      <c r="G236" s="36">
        <f t="shared" si="11"/>
        <v>0</v>
      </c>
      <c r="H236" s="104" t="str">
        <f t="shared" si="1"/>
        <v>0 tubes and 0 shuttles</v>
      </c>
      <c r="I236" s="36">
        <f t="shared" si="2"/>
        <v>0</v>
      </c>
      <c r="J236" s="103" t="str">
        <f t="shared" si="3"/>
        <v>0 tubes and 0 shuttles</v>
      </c>
    </row>
    <row r="237" spans="1:10" ht="12.5" x14ac:dyDescent="0.25">
      <c r="A237" s="32">
        <f>'Profit &amp; Loss'!A237</f>
        <v>0</v>
      </c>
      <c r="B237" s="35">
        <f>'Profit &amp; Loss'!B237</f>
        <v>0</v>
      </c>
      <c r="C237" s="36"/>
      <c r="D237" s="33"/>
      <c r="E237" s="102">
        <f t="shared" si="10"/>
        <v>0</v>
      </c>
      <c r="F237" s="103" t="str">
        <f t="shared" si="0"/>
        <v>0 tubes and 0 shuttles</v>
      </c>
      <c r="G237" s="36">
        <f t="shared" si="11"/>
        <v>0</v>
      </c>
      <c r="H237" s="104" t="str">
        <f t="shared" si="1"/>
        <v>0 tubes and 0 shuttles</v>
      </c>
      <c r="I237" s="36">
        <f t="shared" si="2"/>
        <v>0</v>
      </c>
      <c r="J237" s="103" t="str">
        <f t="shared" si="3"/>
        <v>0 tubes and 0 shuttles</v>
      </c>
    </row>
    <row r="238" spans="1:10" ht="12.5" x14ac:dyDescent="0.25">
      <c r="A238" s="32">
        <f>'Profit &amp; Loss'!A238</f>
        <v>0</v>
      </c>
      <c r="B238" s="35">
        <f>'Profit &amp; Loss'!B238</f>
        <v>0</v>
      </c>
      <c r="C238" s="36"/>
      <c r="D238" s="33"/>
      <c r="E238" s="102">
        <f t="shared" si="10"/>
        <v>0</v>
      </c>
      <c r="F238" s="103" t="str">
        <f t="shared" si="0"/>
        <v>0 tubes and 0 shuttles</v>
      </c>
      <c r="G238" s="36">
        <f t="shared" si="11"/>
        <v>0</v>
      </c>
      <c r="H238" s="104" t="str">
        <f t="shared" si="1"/>
        <v>0 tubes and 0 shuttles</v>
      </c>
      <c r="I238" s="36">
        <f t="shared" si="2"/>
        <v>0</v>
      </c>
      <c r="J238" s="103" t="str">
        <f t="shared" si="3"/>
        <v>0 tubes and 0 shuttles</v>
      </c>
    </row>
    <row r="239" spans="1:10" ht="12.5" x14ac:dyDescent="0.25">
      <c r="A239" s="32">
        <f>'Profit &amp; Loss'!A239</f>
        <v>0</v>
      </c>
      <c r="B239" s="35">
        <f>'Profit &amp; Loss'!B239</f>
        <v>0</v>
      </c>
      <c r="C239" s="36"/>
      <c r="D239" s="33"/>
      <c r="E239" s="102">
        <f t="shared" si="10"/>
        <v>0</v>
      </c>
      <c r="F239" s="103" t="str">
        <f t="shared" si="0"/>
        <v>0 tubes and 0 shuttles</v>
      </c>
      <c r="G239" s="36">
        <f t="shared" si="11"/>
        <v>0</v>
      </c>
      <c r="H239" s="104" t="str">
        <f t="shared" si="1"/>
        <v>0 tubes and 0 shuttles</v>
      </c>
      <c r="I239" s="36">
        <f t="shared" si="2"/>
        <v>0</v>
      </c>
      <c r="J239" s="103" t="str">
        <f t="shared" si="3"/>
        <v>0 tubes and 0 shuttles</v>
      </c>
    </row>
    <row r="240" spans="1:10" ht="12.5" x14ac:dyDescent="0.25">
      <c r="A240" s="32">
        <f>'Profit &amp; Loss'!A240</f>
        <v>0</v>
      </c>
      <c r="B240" s="35">
        <f>'Profit &amp; Loss'!B240</f>
        <v>0</v>
      </c>
      <c r="C240" s="36"/>
      <c r="D240" s="33"/>
      <c r="E240" s="102">
        <f t="shared" si="10"/>
        <v>0</v>
      </c>
      <c r="F240" s="103" t="str">
        <f t="shared" si="0"/>
        <v>0 tubes and 0 shuttles</v>
      </c>
      <c r="G240" s="36">
        <f t="shared" si="11"/>
        <v>0</v>
      </c>
      <c r="H240" s="104" t="str">
        <f t="shared" si="1"/>
        <v>0 tubes and 0 shuttles</v>
      </c>
      <c r="I240" s="36">
        <f t="shared" si="2"/>
        <v>0</v>
      </c>
      <c r="J240" s="103" t="str">
        <f t="shared" si="3"/>
        <v>0 tubes and 0 shuttles</v>
      </c>
    </row>
    <row r="241" spans="1:10" ht="12.5" x14ac:dyDescent="0.25">
      <c r="A241" s="32">
        <f>'Profit &amp; Loss'!A241</f>
        <v>0</v>
      </c>
      <c r="B241" s="35">
        <f>'Profit &amp; Loss'!B241</f>
        <v>0</v>
      </c>
      <c r="C241" s="36"/>
      <c r="D241" s="33"/>
      <c r="E241" s="102">
        <f t="shared" si="10"/>
        <v>0</v>
      </c>
      <c r="F241" s="103" t="str">
        <f t="shared" si="0"/>
        <v>0 tubes and 0 shuttles</v>
      </c>
      <c r="G241" s="36">
        <f t="shared" si="11"/>
        <v>0</v>
      </c>
      <c r="H241" s="104" t="str">
        <f t="shared" si="1"/>
        <v>0 tubes and 0 shuttles</v>
      </c>
      <c r="I241" s="36">
        <f t="shared" si="2"/>
        <v>0</v>
      </c>
      <c r="J241" s="103" t="str">
        <f t="shared" si="3"/>
        <v>0 tubes and 0 shuttles</v>
      </c>
    </row>
    <row r="242" spans="1:10" ht="12.5" x14ac:dyDescent="0.25">
      <c r="A242" s="32">
        <f>'Profit &amp; Loss'!A242</f>
        <v>0</v>
      </c>
      <c r="B242" s="35">
        <f>'Profit &amp; Loss'!B242</f>
        <v>0</v>
      </c>
      <c r="C242" s="36"/>
      <c r="D242" s="33"/>
      <c r="E242" s="102">
        <f t="shared" si="10"/>
        <v>0</v>
      </c>
      <c r="F242" s="103" t="str">
        <f t="shared" si="0"/>
        <v>0 tubes and 0 shuttles</v>
      </c>
      <c r="G242" s="36">
        <f t="shared" si="11"/>
        <v>0</v>
      </c>
      <c r="H242" s="104" t="str">
        <f t="shared" si="1"/>
        <v>0 tubes and 0 shuttles</v>
      </c>
      <c r="I242" s="36">
        <f t="shared" si="2"/>
        <v>0</v>
      </c>
      <c r="J242" s="103" t="str">
        <f t="shared" si="3"/>
        <v>0 tubes and 0 shuttles</v>
      </c>
    </row>
    <row r="243" spans="1:10" ht="12.5" x14ac:dyDescent="0.25">
      <c r="A243" s="32">
        <f>'Profit &amp; Loss'!A243</f>
        <v>0</v>
      </c>
      <c r="B243" s="35">
        <f>'Profit &amp; Loss'!B243</f>
        <v>0</v>
      </c>
      <c r="C243" s="36"/>
      <c r="D243" s="33"/>
      <c r="E243" s="102">
        <f t="shared" si="10"/>
        <v>0</v>
      </c>
      <c r="F243" s="103" t="str">
        <f t="shared" si="0"/>
        <v>0 tubes and 0 shuttles</v>
      </c>
      <c r="G243" s="36">
        <f t="shared" si="11"/>
        <v>0</v>
      </c>
      <c r="H243" s="104" t="str">
        <f t="shared" si="1"/>
        <v>0 tubes and 0 shuttles</v>
      </c>
      <c r="I243" s="36">
        <f t="shared" si="2"/>
        <v>0</v>
      </c>
      <c r="J243" s="103" t="str">
        <f t="shared" si="3"/>
        <v>0 tubes and 0 shuttles</v>
      </c>
    </row>
    <row r="244" spans="1:10" ht="12.5" x14ac:dyDescent="0.25">
      <c r="A244" s="32">
        <f>'Profit &amp; Loss'!A244</f>
        <v>0</v>
      </c>
      <c r="B244" s="35">
        <f>'Profit &amp; Loss'!B244</f>
        <v>0</v>
      </c>
      <c r="C244" s="36"/>
      <c r="D244" s="33"/>
      <c r="E244" s="102">
        <f t="shared" si="10"/>
        <v>0</v>
      </c>
      <c r="F244" s="103" t="str">
        <f t="shared" si="0"/>
        <v>0 tubes and 0 shuttles</v>
      </c>
      <c r="G244" s="36">
        <f t="shared" si="11"/>
        <v>0</v>
      </c>
      <c r="H244" s="104" t="str">
        <f t="shared" si="1"/>
        <v>0 tubes and 0 shuttles</v>
      </c>
      <c r="I244" s="36">
        <f t="shared" si="2"/>
        <v>0</v>
      </c>
      <c r="J244" s="103" t="str">
        <f t="shared" si="3"/>
        <v>0 tubes and 0 shuttles</v>
      </c>
    </row>
    <row r="245" spans="1:10" ht="12.5" x14ac:dyDescent="0.25">
      <c r="A245" s="32">
        <f>'Profit &amp; Loss'!A245</f>
        <v>0</v>
      </c>
      <c r="B245" s="35">
        <f>'Profit &amp; Loss'!B245</f>
        <v>0</v>
      </c>
      <c r="C245" s="36"/>
      <c r="D245" s="33"/>
      <c r="E245" s="102">
        <f t="shared" si="10"/>
        <v>0</v>
      </c>
      <c r="F245" s="103" t="str">
        <f t="shared" si="0"/>
        <v>0 tubes and 0 shuttles</v>
      </c>
      <c r="G245" s="36">
        <f t="shared" si="11"/>
        <v>0</v>
      </c>
      <c r="H245" s="104" t="str">
        <f t="shared" si="1"/>
        <v>0 tubes and 0 shuttles</v>
      </c>
      <c r="I245" s="36">
        <f t="shared" si="2"/>
        <v>0</v>
      </c>
      <c r="J245" s="103" t="str">
        <f t="shared" si="3"/>
        <v>0 tubes and 0 shuttles</v>
      </c>
    </row>
    <row r="246" spans="1:10" ht="12.5" x14ac:dyDescent="0.25">
      <c r="A246" s="32">
        <f>'Profit &amp; Loss'!A246</f>
        <v>0</v>
      </c>
      <c r="B246" s="35">
        <f>'Profit &amp; Loss'!B246</f>
        <v>0</v>
      </c>
      <c r="C246" s="36"/>
      <c r="D246" s="33"/>
      <c r="E246" s="102">
        <f t="shared" si="10"/>
        <v>0</v>
      </c>
      <c r="F246" s="103" t="str">
        <f t="shared" si="0"/>
        <v>0 tubes and 0 shuttles</v>
      </c>
      <c r="G246" s="36">
        <f t="shared" si="11"/>
        <v>0</v>
      </c>
      <c r="H246" s="104" t="str">
        <f t="shared" si="1"/>
        <v>0 tubes and 0 shuttles</v>
      </c>
      <c r="I246" s="36">
        <f t="shared" si="2"/>
        <v>0</v>
      </c>
      <c r="J246" s="103" t="str">
        <f t="shared" si="3"/>
        <v>0 tubes and 0 shuttles</v>
      </c>
    </row>
    <row r="247" spans="1:10" ht="12.5" x14ac:dyDescent="0.25">
      <c r="A247" s="32">
        <f>'Profit &amp; Loss'!A247</f>
        <v>0</v>
      </c>
      <c r="B247" s="35">
        <f>'Profit &amp; Loss'!B247</f>
        <v>0</v>
      </c>
      <c r="C247" s="36"/>
      <c r="D247" s="33"/>
      <c r="E247" s="102">
        <f t="shared" si="10"/>
        <v>0</v>
      </c>
      <c r="F247" s="103" t="str">
        <f t="shared" si="0"/>
        <v>0 tubes and 0 shuttles</v>
      </c>
      <c r="G247" s="36">
        <f t="shared" si="11"/>
        <v>0</v>
      </c>
      <c r="H247" s="104" t="str">
        <f t="shared" si="1"/>
        <v>0 tubes and 0 shuttles</v>
      </c>
      <c r="I247" s="36">
        <f t="shared" si="2"/>
        <v>0</v>
      </c>
      <c r="J247" s="103" t="str">
        <f t="shared" si="3"/>
        <v>0 tubes and 0 shuttles</v>
      </c>
    </row>
    <row r="248" spans="1:10" ht="12.5" x14ac:dyDescent="0.25">
      <c r="A248" s="32">
        <f>'Profit &amp; Loss'!A248</f>
        <v>0</v>
      </c>
      <c r="B248" s="35">
        <f>'Profit &amp; Loss'!B248</f>
        <v>0</v>
      </c>
      <c r="C248" s="36"/>
      <c r="D248" s="33"/>
      <c r="E248" s="102">
        <f t="shared" si="10"/>
        <v>0</v>
      </c>
      <c r="F248" s="103" t="str">
        <f t="shared" si="0"/>
        <v>0 tubes and 0 shuttles</v>
      </c>
      <c r="G248" s="36">
        <f t="shared" si="11"/>
        <v>0</v>
      </c>
      <c r="H248" s="104" t="str">
        <f t="shared" si="1"/>
        <v>0 tubes and 0 shuttles</v>
      </c>
      <c r="I248" s="36">
        <f t="shared" si="2"/>
        <v>0</v>
      </c>
      <c r="J248" s="103" t="str">
        <f t="shared" si="3"/>
        <v>0 tubes and 0 shuttles</v>
      </c>
    </row>
    <row r="249" spans="1:10" ht="12.5" x14ac:dyDescent="0.25">
      <c r="A249" s="32">
        <f>'Profit &amp; Loss'!A249</f>
        <v>0</v>
      </c>
      <c r="B249" s="35">
        <f>'Profit &amp; Loss'!B249</f>
        <v>0</v>
      </c>
      <c r="C249" s="36"/>
      <c r="D249" s="33"/>
      <c r="E249" s="102">
        <f t="shared" si="10"/>
        <v>0</v>
      </c>
      <c r="F249" s="103" t="str">
        <f t="shared" si="0"/>
        <v>0 tubes and 0 shuttles</v>
      </c>
      <c r="G249" s="36">
        <f t="shared" si="11"/>
        <v>0</v>
      </c>
      <c r="H249" s="104" t="str">
        <f t="shared" si="1"/>
        <v>0 tubes and 0 shuttles</v>
      </c>
      <c r="I249" s="36">
        <f t="shared" si="2"/>
        <v>0</v>
      </c>
      <c r="J249" s="103" t="str">
        <f t="shared" si="3"/>
        <v>0 tubes and 0 shuttles</v>
      </c>
    </row>
    <row r="250" spans="1:10" ht="12.5" x14ac:dyDescent="0.25">
      <c r="A250" s="32">
        <f>'Profit &amp; Loss'!A250</f>
        <v>0</v>
      </c>
      <c r="B250" s="35">
        <f>'Profit &amp; Loss'!B250</f>
        <v>0</v>
      </c>
      <c r="C250" s="36"/>
      <c r="D250" s="33"/>
      <c r="E250" s="102">
        <f t="shared" si="10"/>
        <v>0</v>
      </c>
      <c r="F250" s="103" t="str">
        <f t="shared" si="0"/>
        <v>0 tubes and 0 shuttles</v>
      </c>
      <c r="G250" s="36">
        <f t="shared" si="11"/>
        <v>0</v>
      </c>
      <c r="H250" s="104" t="str">
        <f t="shared" si="1"/>
        <v>0 tubes and 0 shuttles</v>
      </c>
      <c r="I250" s="36">
        <f t="shared" si="2"/>
        <v>0</v>
      </c>
      <c r="J250" s="103" t="str">
        <f t="shared" si="3"/>
        <v>0 tubes and 0 shuttles</v>
      </c>
    </row>
    <row r="251" spans="1:10" ht="12.5" x14ac:dyDescent="0.25">
      <c r="A251" s="32">
        <f>'Profit &amp; Loss'!A251</f>
        <v>0</v>
      </c>
      <c r="B251" s="35">
        <f>'Profit &amp; Loss'!B251</f>
        <v>0</v>
      </c>
      <c r="C251" s="36"/>
      <c r="D251" s="33"/>
      <c r="E251" s="102">
        <f t="shared" si="10"/>
        <v>0</v>
      </c>
      <c r="F251" s="103" t="str">
        <f t="shared" si="0"/>
        <v>0 tubes and 0 shuttles</v>
      </c>
      <c r="G251" s="36">
        <f t="shared" si="11"/>
        <v>0</v>
      </c>
      <c r="H251" s="104" t="str">
        <f t="shared" si="1"/>
        <v>0 tubes and 0 shuttles</v>
      </c>
      <c r="I251" s="36">
        <f t="shared" si="2"/>
        <v>0</v>
      </c>
      <c r="J251" s="103" t="str">
        <f t="shared" si="3"/>
        <v>0 tubes and 0 shuttles</v>
      </c>
    </row>
    <row r="252" spans="1:10" ht="12.5" x14ac:dyDescent="0.25">
      <c r="A252" s="32">
        <f>'Profit &amp; Loss'!A252</f>
        <v>0</v>
      </c>
      <c r="B252" s="35">
        <f>'Profit &amp; Loss'!B252</f>
        <v>0</v>
      </c>
      <c r="C252" s="36"/>
      <c r="D252" s="33"/>
      <c r="E252" s="102">
        <f t="shared" si="10"/>
        <v>0</v>
      </c>
      <c r="F252" s="103" t="str">
        <f t="shared" si="0"/>
        <v>0 tubes and 0 shuttles</v>
      </c>
      <c r="G252" s="36">
        <f t="shared" si="11"/>
        <v>0</v>
      </c>
      <c r="H252" s="104" t="str">
        <f t="shared" si="1"/>
        <v>0 tubes and 0 shuttles</v>
      </c>
      <c r="I252" s="36">
        <f t="shared" si="2"/>
        <v>0</v>
      </c>
      <c r="J252" s="103" t="str">
        <f t="shared" si="3"/>
        <v>0 tubes and 0 shuttles</v>
      </c>
    </row>
    <row r="253" spans="1:10" ht="12.5" x14ac:dyDescent="0.25">
      <c r="A253" s="32">
        <f>'Profit &amp; Loss'!A253</f>
        <v>0</v>
      </c>
      <c r="B253" s="35">
        <f>'Profit &amp; Loss'!B253</f>
        <v>0</v>
      </c>
      <c r="C253" s="36"/>
      <c r="D253" s="33"/>
      <c r="E253" s="102">
        <f t="shared" si="10"/>
        <v>0</v>
      </c>
      <c r="F253" s="103" t="str">
        <f t="shared" si="0"/>
        <v>0 tubes and 0 shuttles</v>
      </c>
      <c r="G253" s="36">
        <f t="shared" si="11"/>
        <v>0</v>
      </c>
      <c r="H253" s="104" t="str">
        <f t="shared" si="1"/>
        <v>0 tubes and 0 shuttles</v>
      </c>
      <c r="I253" s="36">
        <f t="shared" si="2"/>
        <v>0</v>
      </c>
      <c r="J253" s="103" t="str">
        <f t="shared" si="3"/>
        <v>0 tubes and 0 shuttles</v>
      </c>
    </row>
    <row r="254" spans="1:10" ht="12.5" x14ac:dyDescent="0.25">
      <c r="A254" s="32">
        <f>'Profit &amp; Loss'!A254</f>
        <v>0</v>
      </c>
      <c r="B254" s="35">
        <f>'Profit &amp; Loss'!B254</f>
        <v>0</v>
      </c>
      <c r="C254" s="36"/>
      <c r="D254" s="33"/>
      <c r="E254" s="102">
        <f t="shared" si="10"/>
        <v>0</v>
      </c>
      <c r="F254" s="103" t="str">
        <f t="shared" si="0"/>
        <v>0 tubes and 0 shuttles</v>
      </c>
      <c r="G254" s="36">
        <f t="shared" si="11"/>
        <v>0</v>
      </c>
      <c r="H254" s="104" t="str">
        <f t="shared" si="1"/>
        <v>0 tubes and 0 shuttles</v>
      </c>
      <c r="I254" s="36">
        <f t="shared" si="2"/>
        <v>0</v>
      </c>
      <c r="J254" s="103" t="str">
        <f t="shared" si="3"/>
        <v>0 tubes and 0 shuttles</v>
      </c>
    </row>
    <row r="255" spans="1:10" ht="12.5" x14ac:dyDescent="0.25">
      <c r="A255" s="32">
        <f>'Profit &amp; Loss'!A255</f>
        <v>0</v>
      </c>
      <c r="B255" s="35">
        <f>'Profit &amp; Loss'!B255</f>
        <v>0</v>
      </c>
      <c r="C255" s="36"/>
      <c r="D255" s="33"/>
      <c r="E255" s="102">
        <f t="shared" si="10"/>
        <v>0</v>
      </c>
      <c r="F255" s="103" t="str">
        <f t="shared" si="0"/>
        <v>0 tubes and 0 shuttles</v>
      </c>
      <c r="G255" s="36">
        <f t="shared" si="11"/>
        <v>0</v>
      </c>
      <c r="H255" s="104" t="str">
        <f t="shared" si="1"/>
        <v>0 tubes and 0 shuttles</v>
      </c>
      <c r="I255" s="36">
        <f t="shared" si="2"/>
        <v>0</v>
      </c>
      <c r="J255" s="103" t="str">
        <f t="shared" si="3"/>
        <v>0 tubes and 0 shuttles</v>
      </c>
    </row>
    <row r="256" spans="1:10" ht="12.5" x14ac:dyDescent="0.25">
      <c r="A256" s="32">
        <f>'Profit &amp; Loss'!A256</f>
        <v>0</v>
      </c>
      <c r="B256" s="35">
        <f>'Profit &amp; Loss'!B256</f>
        <v>0</v>
      </c>
      <c r="C256" s="36"/>
      <c r="D256" s="33"/>
      <c r="E256" s="102">
        <f t="shared" si="10"/>
        <v>0</v>
      </c>
      <c r="F256" s="103" t="str">
        <f t="shared" si="0"/>
        <v>0 tubes and 0 shuttles</v>
      </c>
      <c r="G256" s="36">
        <f t="shared" si="11"/>
        <v>0</v>
      </c>
      <c r="H256" s="104" t="str">
        <f t="shared" si="1"/>
        <v>0 tubes and 0 shuttles</v>
      </c>
      <c r="I256" s="36">
        <f t="shared" si="2"/>
        <v>0</v>
      </c>
      <c r="J256" s="103" t="str">
        <f t="shared" si="3"/>
        <v>0 tubes and 0 shuttles</v>
      </c>
    </row>
    <row r="257" spans="1:10" ht="12.5" x14ac:dyDescent="0.25">
      <c r="A257" s="32">
        <f>'Profit &amp; Loss'!A257</f>
        <v>0</v>
      </c>
      <c r="B257" s="35">
        <f>'Profit &amp; Loss'!B257</f>
        <v>0</v>
      </c>
      <c r="C257" s="36"/>
      <c r="D257" s="33"/>
      <c r="E257" s="102">
        <f t="shared" si="10"/>
        <v>0</v>
      </c>
      <c r="F257" s="103" t="str">
        <f t="shared" si="0"/>
        <v>0 tubes and 0 shuttles</v>
      </c>
      <c r="G257" s="36">
        <f t="shared" si="11"/>
        <v>0</v>
      </c>
      <c r="H257" s="104" t="str">
        <f t="shared" si="1"/>
        <v>0 tubes and 0 shuttles</v>
      </c>
      <c r="I257" s="36">
        <f t="shared" si="2"/>
        <v>0</v>
      </c>
      <c r="J257" s="103" t="str">
        <f t="shared" si="3"/>
        <v>0 tubes and 0 shuttles</v>
      </c>
    </row>
    <row r="258" spans="1:10" ht="12.5" x14ac:dyDescent="0.25">
      <c r="A258" s="32">
        <f>'Profit &amp; Loss'!A258</f>
        <v>0</v>
      </c>
      <c r="B258" s="35">
        <f>'Profit &amp; Loss'!B258</f>
        <v>0</v>
      </c>
      <c r="C258" s="36"/>
      <c r="D258" s="33"/>
      <c r="E258" s="102">
        <f t="shared" si="10"/>
        <v>0</v>
      </c>
      <c r="F258" s="103" t="str">
        <f t="shared" si="0"/>
        <v>0 tubes and 0 shuttles</v>
      </c>
      <c r="G258" s="36">
        <f t="shared" si="11"/>
        <v>0</v>
      </c>
      <c r="H258" s="104" t="str">
        <f t="shared" si="1"/>
        <v>0 tubes and 0 shuttles</v>
      </c>
      <c r="I258" s="36">
        <f t="shared" si="2"/>
        <v>0</v>
      </c>
      <c r="J258" s="103" t="str">
        <f t="shared" si="3"/>
        <v>0 tubes and 0 shuttles</v>
      </c>
    </row>
    <row r="259" spans="1:10" ht="12.5" x14ac:dyDescent="0.25">
      <c r="A259" s="32">
        <f>'Profit &amp; Loss'!A259</f>
        <v>0</v>
      </c>
      <c r="B259" s="35">
        <f>'Profit &amp; Loss'!B259</f>
        <v>0</v>
      </c>
      <c r="C259" s="36"/>
      <c r="D259" s="33"/>
      <c r="E259" s="102">
        <f t="shared" si="10"/>
        <v>0</v>
      </c>
      <c r="F259" s="103" t="str">
        <f t="shared" si="0"/>
        <v>0 tubes and 0 shuttles</v>
      </c>
      <c r="G259" s="36">
        <f t="shared" si="11"/>
        <v>0</v>
      </c>
      <c r="H259" s="104" t="str">
        <f t="shared" si="1"/>
        <v>0 tubes and 0 shuttles</v>
      </c>
      <c r="I259" s="36">
        <f t="shared" si="2"/>
        <v>0</v>
      </c>
      <c r="J259" s="103" t="str">
        <f t="shared" si="3"/>
        <v>0 tubes and 0 shuttles</v>
      </c>
    </row>
    <row r="260" spans="1:10" ht="12.5" x14ac:dyDescent="0.25">
      <c r="A260" s="32">
        <f>'Profit &amp; Loss'!A260</f>
        <v>0</v>
      </c>
      <c r="B260" s="35">
        <f>'Profit &amp; Loss'!B260</f>
        <v>0</v>
      </c>
      <c r="C260" s="36"/>
      <c r="D260" s="33"/>
      <c r="E260" s="102">
        <f t="shared" si="10"/>
        <v>0</v>
      </c>
      <c r="F260" s="103" t="str">
        <f t="shared" si="0"/>
        <v>0 tubes and 0 shuttles</v>
      </c>
      <c r="G260" s="36">
        <f t="shared" si="11"/>
        <v>0</v>
      </c>
      <c r="H260" s="104" t="str">
        <f t="shared" si="1"/>
        <v>0 tubes and 0 shuttles</v>
      </c>
      <c r="I260" s="36">
        <f t="shared" si="2"/>
        <v>0</v>
      </c>
      <c r="J260" s="103" t="str">
        <f t="shared" si="3"/>
        <v>0 tubes and 0 shuttles</v>
      </c>
    </row>
    <row r="261" spans="1:10" ht="12.5" x14ac:dyDescent="0.25">
      <c r="A261" s="32">
        <f>'Profit &amp; Loss'!A261</f>
        <v>0</v>
      </c>
      <c r="B261" s="35">
        <f>'Profit &amp; Loss'!B261</f>
        <v>0</v>
      </c>
      <c r="C261" s="36"/>
      <c r="D261" s="33"/>
      <c r="E261" s="102">
        <f t="shared" si="10"/>
        <v>0</v>
      </c>
      <c r="F261" s="103" t="str">
        <f t="shared" ref="F261:F515" si="12">QUOTIENT(E261,12) &amp; " tubes and " &amp; MOD(E261,12) &amp; " shuttles"</f>
        <v>0 tubes and 0 shuttles</v>
      </c>
      <c r="G261" s="36">
        <f t="shared" si="11"/>
        <v>0</v>
      </c>
      <c r="H261" s="104" t="str">
        <f t="shared" ref="H261:H515" si="13">QUOTIENT(G261,12) &amp; " tubes and " &amp; MOD(G261,12) &amp; " shuttles"</f>
        <v>0 tubes and 0 shuttles</v>
      </c>
      <c r="I261" s="36">
        <f t="shared" ref="I261:I515" si="14">SUM(E261:H261)</f>
        <v>0</v>
      </c>
      <c r="J261" s="103" t="str">
        <f t="shared" ref="J261:J515" si="15">QUOTIENT(I261,12) &amp; " tubes and " &amp; MOD(I261,12) &amp; " shuttles"</f>
        <v>0 tubes and 0 shuttles</v>
      </c>
    </row>
    <row r="262" spans="1:10" ht="12.5" x14ac:dyDescent="0.25">
      <c r="A262" s="32">
        <f>'Profit &amp; Loss'!A262</f>
        <v>0</v>
      </c>
      <c r="B262" s="35">
        <f>'Profit &amp; Loss'!B262</f>
        <v>0</v>
      </c>
      <c r="C262" s="36"/>
      <c r="D262" s="33"/>
      <c r="E262" s="102">
        <f t="shared" si="10"/>
        <v>0</v>
      </c>
      <c r="F262" s="103" t="str">
        <f t="shared" si="12"/>
        <v>0 tubes and 0 shuttles</v>
      </c>
      <c r="G262" s="36">
        <f t="shared" si="11"/>
        <v>0</v>
      </c>
      <c r="H262" s="104" t="str">
        <f t="shared" si="13"/>
        <v>0 tubes and 0 shuttles</v>
      </c>
      <c r="I262" s="36">
        <f t="shared" si="14"/>
        <v>0</v>
      </c>
      <c r="J262" s="103" t="str">
        <f t="shared" si="15"/>
        <v>0 tubes and 0 shuttles</v>
      </c>
    </row>
    <row r="263" spans="1:10" ht="12.5" x14ac:dyDescent="0.25">
      <c r="A263" s="32">
        <f>'Profit &amp; Loss'!A263</f>
        <v>0</v>
      </c>
      <c r="B263" s="35">
        <f>'Profit &amp; Loss'!B263</f>
        <v>0</v>
      </c>
      <c r="C263" s="36"/>
      <c r="D263" s="33"/>
      <c r="E263" s="102">
        <f t="shared" si="10"/>
        <v>0</v>
      </c>
      <c r="F263" s="103" t="str">
        <f t="shared" si="12"/>
        <v>0 tubes and 0 shuttles</v>
      </c>
      <c r="G263" s="36">
        <f t="shared" si="11"/>
        <v>0</v>
      </c>
      <c r="H263" s="104" t="str">
        <f t="shared" si="13"/>
        <v>0 tubes and 0 shuttles</v>
      </c>
      <c r="I263" s="36">
        <f t="shared" si="14"/>
        <v>0</v>
      </c>
      <c r="J263" s="103" t="str">
        <f t="shared" si="15"/>
        <v>0 tubes and 0 shuttles</v>
      </c>
    </row>
    <row r="264" spans="1:10" ht="12.5" x14ac:dyDescent="0.25">
      <c r="A264" s="32">
        <f>'Profit &amp; Loss'!A264</f>
        <v>0</v>
      </c>
      <c r="B264" s="35">
        <f>'Profit &amp; Loss'!B264</f>
        <v>0</v>
      </c>
      <c r="C264" s="36"/>
      <c r="D264" s="33"/>
      <c r="E264" s="102">
        <f t="shared" si="10"/>
        <v>0</v>
      </c>
      <c r="F264" s="103" t="str">
        <f t="shared" si="12"/>
        <v>0 tubes and 0 shuttles</v>
      </c>
      <c r="G264" s="36">
        <f t="shared" si="11"/>
        <v>0</v>
      </c>
      <c r="H264" s="104" t="str">
        <f t="shared" si="13"/>
        <v>0 tubes and 0 shuttles</v>
      </c>
      <c r="I264" s="36">
        <f t="shared" si="14"/>
        <v>0</v>
      </c>
      <c r="J264" s="103" t="str">
        <f t="shared" si="15"/>
        <v>0 tubes and 0 shuttles</v>
      </c>
    </row>
    <row r="265" spans="1:10" ht="12.5" x14ac:dyDescent="0.25">
      <c r="A265" s="32">
        <f>'Profit &amp; Loss'!A265</f>
        <v>0</v>
      </c>
      <c r="B265" s="35">
        <f>'Profit &amp; Loss'!B265</f>
        <v>0</v>
      </c>
      <c r="C265" s="36"/>
      <c r="D265" s="33"/>
      <c r="E265" s="102">
        <f t="shared" si="10"/>
        <v>0</v>
      </c>
      <c r="F265" s="103" t="str">
        <f t="shared" si="12"/>
        <v>0 tubes and 0 shuttles</v>
      </c>
      <c r="G265" s="36">
        <f t="shared" si="11"/>
        <v>0</v>
      </c>
      <c r="H265" s="104" t="str">
        <f t="shared" si="13"/>
        <v>0 tubes and 0 shuttles</v>
      </c>
      <c r="I265" s="36">
        <f t="shared" si="14"/>
        <v>0</v>
      </c>
      <c r="J265" s="103" t="str">
        <f t="shared" si="15"/>
        <v>0 tubes and 0 shuttles</v>
      </c>
    </row>
    <row r="266" spans="1:10" ht="12.5" x14ac:dyDescent="0.25">
      <c r="A266" s="32">
        <f>'Profit &amp; Loss'!A266</f>
        <v>0</v>
      </c>
      <c r="B266" s="35">
        <f>'Profit &amp; Loss'!B266</f>
        <v>0</v>
      </c>
      <c r="C266" s="36"/>
      <c r="D266" s="33"/>
      <c r="E266" s="102">
        <f t="shared" si="10"/>
        <v>0</v>
      </c>
      <c r="F266" s="103" t="str">
        <f t="shared" si="12"/>
        <v>0 tubes and 0 shuttles</v>
      </c>
      <c r="G266" s="36">
        <f t="shared" si="11"/>
        <v>0</v>
      </c>
      <c r="H266" s="104" t="str">
        <f t="shared" si="13"/>
        <v>0 tubes and 0 shuttles</v>
      </c>
      <c r="I266" s="36">
        <f t="shared" si="14"/>
        <v>0</v>
      </c>
      <c r="J266" s="103" t="str">
        <f t="shared" si="15"/>
        <v>0 tubes and 0 shuttles</v>
      </c>
    </row>
    <row r="267" spans="1:10" ht="12.5" x14ac:dyDescent="0.25">
      <c r="A267" s="32">
        <f>'Profit &amp; Loss'!A267</f>
        <v>0</v>
      </c>
      <c r="B267" s="35">
        <f>'Profit &amp; Loss'!B267</f>
        <v>0</v>
      </c>
      <c r="C267" s="36"/>
      <c r="D267" s="33"/>
      <c r="E267" s="102">
        <f t="shared" si="10"/>
        <v>0</v>
      </c>
      <c r="F267" s="103" t="str">
        <f t="shared" si="12"/>
        <v>0 tubes and 0 shuttles</v>
      </c>
      <c r="G267" s="36">
        <f t="shared" si="11"/>
        <v>0</v>
      </c>
      <c r="H267" s="104" t="str">
        <f t="shared" si="13"/>
        <v>0 tubes and 0 shuttles</v>
      </c>
      <c r="I267" s="36">
        <f t="shared" si="14"/>
        <v>0</v>
      </c>
      <c r="J267" s="103" t="str">
        <f t="shared" si="15"/>
        <v>0 tubes and 0 shuttles</v>
      </c>
    </row>
    <row r="268" spans="1:10" ht="12.5" x14ac:dyDescent="0.25">
      <c r="A268" s="32">
        <f>'Profit &amp; Loss'!A268</f>
        <v>0</v>
      </c>
      <c r="B268" s="35">
        <f>'Profit &amp; Loss'!B268</f>
        <v>0</v>
      </c>
      <c r="C268" s="36"/>
      <c r="D268" s="33"/>
      <c r="E268" s="102">
        <f t="shared" si="10"/>
        <v>0</v>
      </c>
      <c r="F268" s="103" t="str">
        <f t="shared" si="12"/>
        <v>0 tubes and 0 shuttles</v>
      </c>
      <c r="G268" s="36">
        <f t="shared" si="11"/>
        <v>0</v>
      </c>
      <c r="H268" s="104" t="str">
        <f t="shared" si="13"/>
        <v>0 tubes and 0 shuttles</v>
      </c>
      <c r="I268" s="36">
        <f t="shared" si="14"/>
        <v>0</v>
      </c>
      <c r="J268" s="103" t="str">
        <f t="shared" si="15"/>
        <v>0 tubes and 0 shuttles</v>
      </c>
    </row>
    <row r="269" spans="1:10" ht="12.5" x14ac:dyDescent="0.25">
      <c r="A269" s="32">
        <f>'Profit &amp; Loss'!A269</f>
        <v>0</v>
      </c>
      <c r="B269" s="35">
        <f>'Profit &amp; Loss'!B269</f>
        <v>0</v>
      </c>
      <c r="C269" s="36"/>
      <c r="D269" s="33"/>
      <c r="E269" s="102">
        <f t="shared" si="10"/>
        <v>0</v>
      </c>
      <c r="F269" s="103" t="str">
        <f t="shared" si="12"/>
        <v>0 tubes and 0 shuttles</v>
      </c>
      <c r="G269" s="36">
        <f t="shared" si="11"/>
        <v>0</v>
      </c>
      <c r="H269" s="104" t="str">
        <f t="shared" si="13"/>
        <v>0 tubes and 0 shuttles</v>
      </c>
      <c r="I269" s="36">
        <f t="shared" si="14"/>
        <v>0</v>
      </c>
      <c r="J269" s="103" t="str">
        <f t="shared" si="15"/>
        <v>0 tubes and 0 shuttles</v>
      </c>
    </row>
    <row r="270" spans="1:10" ht="12.5" x14ac:dyDescent="0.25">
      <c r="A270" s="32">
        <f>'Profit &amp; Loss'!A270</f>
        <v>0</v>
      </c>
      <c r="B270" s="35">
        <f>'Profit &amp; Loss'!B270</f>
        <v>0</v>
      </c>
      <c r="C270" s="36"/>
      <c r="D270" s="33"/>
      <c r="E270" s="102">
        <f t="shared" si="10"/>
        <v>0</v>
      </c>
      <c r="F270" s="103" t="str">
        <f t="shared" si="12"/>
        <v>0 tubes and 0 shuttles</v>
      </c>
      <c r="G270" s="36">
        <f t="shared" si="11"/>
        <v>0</v>
      </c>
      <c r="H270" s="104" t="str">
        <f t="shared" si="13"/>
        <v>0 tubes and 0 shuttles</v>
      </c>
      <c r="I270" s="36">
        <f t="shared" si="14"/>
        <v>0</v>
      </c>
      <c r="J270" s="103" t="str">
        <f t="shared" si="15"/>
        <v>0 tubes and 0 shuttles</v>
      </c>
    </row>
    <row r="271" spans="1:10" ht="12.5" x14ac:dyDescent="0.25">
      <c r="A271" s="32">
        <f>'Profit &amp; Loss'!A271</f>
        <v>0</v>
      </c>
      <c r="B271" s="35">
        <f>'Profit &amp; Loss'!B271</f>
        <v>0</v>
      </c>
      <c r="C271" s="36"/>
      <c r="D271" s="33"/>
      <c r="E271" s="102">
        <f t="shared" si="10"/>
        <v>0</v>
      </c>
      <c r="F271" s="103" t="str">
        <f t="shared" si="12"/>
        <v>0 tubes and 0 shuttles</v>
      </c>
      <c r="G271" s="36">
        <f t="shared" si="11"/>
        <v>0</v>
      </c>
      <c r="H271" s="104" t="str">
        <f t="shared" si="13"/>
        <v>0 tubes and 0 shuttles</v>
      </c>
      <c r="I271" s="36">
        <f t="shared" si="14"/>
        <v>0</v>
      </c>
      <c r="J271" s="103" t="str">
        <f t="shared" si="15"/>
        <v>0 tubes and 0 shuttles</v>
      </c>
    </row>
    <row r="272" spans="1:10" ht="12.5" x14ac:dyDescent="0.25">
      <c r="A272" s="32">
        <f>'Profit &amp; Loss'!A272</f>
        <v>0</v>
      </c>
      <c r="B272" s="35">
        <f>'Profit &amp; Loss'!B272</f>
        <v>0</v>
      </c>
      <c r="C272" s="36"/>
      <c r="D272" s="33"/>
      <c r="E272" s="102">
        <f t="shared" si="10"/>
        <v>0</v>
      </c>
      <c r="F272" s="103" t="str">
        <f t="shared" si="12"/>
        <v>0 tubes and 0 shuttles</v>
      </c>
      <c r="G272" s="36">
        <f t="shared" si="11"/>
        <v>0</v>
      </c>
      <c r="H272" s="104" t="str">
        <f t="shared" si="13"/>
        <v>0 tubes and 0 shuttles</v>
      </c>
      <c r="I272" s="36">
        <f t="shared" si="14"/>
        <v>0</v>
      </c>
      <c r="J272" s="103" t="str">
        <f t="shared" si="15"/>
        <v>0 tubes and 0 shuttles</v>
      </c>
    </row>
    <row r="273" spans="1:10" ht="12.5" x14ac:dyDescent="0.25">
      <c r="A273" s="32">
        <f>'Profit &amp; Loss'!A273</f>
        <v>0</v>
      </c>
      <c r="B273" s="35">
        <f>'Profit &amp; Loss'!B273</f>
        <v>0</v>
      </c>
      <c r="C273" s="36"/>
      <c r="D273" s="33"/>
      <c r="E273" s="102">
        <f t="shared" si="10"/>
        <v>0</v>
      </c>
      <c r="F273" s="103" t="str">
        <f t="shared" si="12"/>
        <v>0 tubes and 0 shuttles</v>
      </c>
      <c r="G273" s="36">
        <f t="shared" si="11"/>
        <v>0</v>
      </c>
      <c r="H273" s="104" t="str">
        <f t="shared" si="13"/>
        <v>0 tubes and 0 shuttles</v>
      </c>
      <c r="I273" s="36">
        <f t="shared" si="14"/>
        <v>0</v>
      </c>
      <c r="J273" s="103" t="str">
        <f t="shared" si="15"/>
        <v>0 tubes and 0 shuttles</v>
      </c>
    </row>
    <row r="274" spans="1:10" ht="12.5" x14ac:dyDescent="0.25">
      <c r="A274" s="32">
        <f>'Profit &amp; Loss'!A274</f>
        <v>0</v>
      </c>
      <c r="B274" s="35">
        <f>'Profit &amp; Loss'!B274</f>
        <v>0</v>
      </c>
      <c r="C274" s="36"/>
      <c r="D274" s="33"/>
      <c r="E274" s="102">
        <f t="shared" si="10"/>
        <v>0</v>
      </c>
      <c r="F274" s="103" t="str">
        <f t="shared" si="12"/>
        <v>0 tubes and 0 shuttles</v>
      </c>
      <c r="G274" s="36">
        <f t="shared" si="11"/>
        <v>0</v>
      </c>
      <c r="H274" s="104" t="str">
        <f t="shared" si="13"/>
        <v>0 tubes and 0 shuttles</v>
      </c>
      <c r="I274" s="36">
        <f t="shared" si="14"/>
        <v>0</v>
      </c>
      <c r="J274" s="103" t="str">
        <f t="shared" si="15"/>
        <v>0 tubes and 0 shuttles</v>
      </c>
    </row>
    <row r="275" spans="1:10" ht="12.5" x14ac:dyDescent="0.25">
      <c r="A275" s="32">
        <f>'Profit &amp; Loss'!A275</f>
        <v>0</v>
      </c>
      <c r="B275" s="35">
        <f>'Profit &amp; Loss'!B275</f>
        <v>0</v>
      </c>
      <c r="C275" s="36"/>
      <c r="D275" s="33"/>
      <c r="E275" s="102">
        <f t="shared" si="10"/>
        <v>0</v>
      </c>
      <c r="F275" s="103" t="str">
        <f t="shared" si="12"/>
        <v>0 tubes and 0 shuttles</v>
      </c>
      <c r="G275" s="36">
        <f t="shared" si="11"/>
        <v>0</v>
      </c>
      <c r="H275" s="104" t="str">
        <f t="shared" si="13"/>
        <v>0 tubes and 0 shuttles</v>
      </c>
      <c r="I275" s="36">
        <f t="shared" si="14"/>
        <v>0</v>
      </c>
      <c r="J275" s="103" t="str">
        <f t="shared" si="15"/>
        <v>0 tubes and 0 shuttles</v>
      </c>
    </row>
    <row r="276" spans="1:10" ht="12.5" x14ac:dyDescent="0.25">
      <c r="A276" s="32">
        <f>'Profit &amp; Loss'!A276</f>
        <v>0</v>
      </c>
      <c r="B276" s="35">
        <f>'Profit &amp; Loss'!B276</f>
        <v>0</v>
      </c>
      <c r="C276" s="36"/>
      <c r="D276" s="33"/>
      <c r="E276" s="102">
        <f t="shared" si="10"/>
        <v>0</v>
      </c>
      <c r="F276" s="103" t="str">
        <f t="shared" si="12"/>
        <v>0 tubes and 0 shuttles</v>
      </c>
      <c r="G276" s="36">
        <f t="shared" si="11"/>
        <v>0</v>
      </c>
      <c r="H276" s="104" t="str">
        <f t="shared" si="13"/>
        <v>0 tubes and 0 shuttles</v>
      </c>
      <c r="I276" s="36">
        <f t="shared" si="14"/>
        <v>0</v>
      </c>
      <c r="J276" s="103" t="str">
        <f t="shared" si="15"/>
        <v>0 tubes and 0 shuttles</v>
      </c>
    </row>
    <row r="277" spans="1:10" ht="12.5" x14ac:dyDescent="0.25">
      <c r="A277" s="32">
        <f>'Profit &amp; Loss'!A277</f>
        <v>0</v>
      </c>
      <c r="B277" s="35">
        <f>'Profit &amp; Loss'!B277</f>
        <v>0</v>
      </c>
      <c r="C277" s="36"/>
      <c r="D277" s="33"/>
      <c r="E277" s="102">
        <f t="shared" si="10"/>
        <v>0</v>
      </c>
      <c r="F277" s="103" t="str">
        <f t="shared" si="12"/>
        <v>0 tubes and 0 shuttles</v>
      </c>
      <c r="G277" s="36">
        <f t="shared" si="11"/>
        <v>0</v>
      </c>
      <c r="H277" s="104" t="str">
        <f t="shared" si="13"/>
        <v>0 tubes and 0 shuttles</v>
      </c>
      <c r="I277" s="36">
        <f t="shared" si="14"/>
        <v>0</v>
      </c>
      <c r="J277" s="103" t="str">
        <f t="shared" si="15"/>
        <v>0 tubes and 0 shuttles</v>
      </c>
    </row>
    <row r="278" spans="1:10" ht="12.5" x14ac:dyDescent="0.25">
      <c r="A278" s="32">
        <f>'Profit &amp; Loss'!A278</f>
        <v>0</v>
      </c>
      <c r="B278" s="35">
        <f>'Profit &amp; Loss'!B278</f>
        <v>0</v>
      </c>
      <c r="C278" s="36"/>
      <c r="D278" s="33"/>
      <c r="E278" s="102">
        <f t="shared" si="10"/>
        <v>0</v>
      </c>
      <c r="F278" s="103" t="str">
        <f t="shared" si="12"/>
        <v>0 tubes and 0 shuttles</v>
      </c>
      <c r="G278" s="36">
        <f t="shared" si="11"/>
        <v>0</v>
      </c>
      <c r="H278" s="104" t="str">
        <f t="shared" si="13"/>
        <v>0 tubes and 0 shuttles</v>
      </c>
      <c r="I278" s="36">
        <f t="shared" si="14"/>
        <v>0</v>
      </c>
      <c r="J278" s="103" t="str">
        <f t="shared" si="15"/>
        <v>0 tubes and 0 shuttles</v>
      </c>
    </row>
    <row r="279" spans="1:10" ht="12.5" x14ac:dyDescent="0.25">
      <c r="A279" s="32">
        <f>'Profit &amp; Loss'!A279</f>
        <v>0</v>
      </c>
      <c r="B279" s="35">
        <f>'Profit &amp; Loss'!B279</f>
        <v>0</v>
      </c>
      <c r="C279" s="36"/>
      <c r="D279" s="33"/>
      <c r="E279" s="102">
        <f t="shared" si="10"/>
        <v>0</v>
      </c>
      <c r="F279" s="103" t="str">
        <f t="shared" si="12"/>
        <v>0 tubes and 0 shuttles</v>
      </c>
      <c r="G279" s="36">
        <f t="shared" si="11"/>
        <v>0</v>
      </c>
      <c r="H279" s="104" t="str">
        <f t="shared" si="13"/>
        <v>0 tubes and 0 shuttles</v>
      </c>
      <c r="I279" s="36">
        <f t="shared" si="14"/>
        <v>0</v>
      </c>
      <c r="J279" s="103" t="str">
        <f t="shared" si="15"/>
        <v>0 tubes and 0 shuttles</v>
      </c>
    </row>
    <row r="280" spans="1:10" ht="12.5" x14ac:dyDescent="0.25">
      <c r="A280" s="32">
        <f>'Profit &amp; Loss'!A280</f>
        <v>0</v>
      </c>
      <c r="B280" s="35">
        <f>'Profit &amp; Loss'!B280</f>
        <v>0</v>
      </c>
      <c r="C280" s="36"/>
      <c r="D280" s="33"/>
      <c r="E280" s="102">
        <f t="shared" si="10"/>
        <v>0</v>
      </c>
      <c r="F280" s="103" t="str">
        <f t="shared" si="12"/>
        <v>0 tubes and 0 shuttles</v>
      </c>
      <c r="G280" s="36">
        <f t="shared" si="11"/>
        <v>0</v>
      </c>
      <c r="H280" s="104" t="str">
        <f t="shared" si="13"/>
        <v>0 tubes and 0 shuttles</v>
      </c>
      <c r="I280" s="36">
        <f t="shared" si="14"/>
        <v>0</v>
      </c>
      <c r="J280" s="103" t="str">
        <f t="shared" si="15"/>
        <v>0 tubes and 0 shuttles</v>
      </c>
    </row>
    <row r="281" spans="1:10" ht="12.5" x14ac:dyDescent="0.25">
      <c r="A281" s="32">
        <f>'Profit &amp; Loss'!A281</f>
        <v>0</v>
      </c>
      <c r="B281" s="35">
        <f>'Profit &amp; Loss'!B281</f>
        <v>0</v>
      </c>
      <c r="C281" s="36"/>
      <c r="D281" s="33"/>
      <c r="E281" s="102">
        <f t="shared" si="10"/>
        <v>0</v>
      </c>
      <c r="F281" s="103" t="str">
        <f t="shared" si="12"/>
        <v>0 tubes and 0 shuttles</v>
      </c>
      <c r="G281" s="36">
        <f t="shared" si="11"/>
        <v>0</v>
      </c>
      <c r="H281" s="104" t="str">
        <f t="shared" si="13"/>
        <v>0 tubes and 0 shuttles</v>
      </c>
      <c r="I281" s="36">
        <f t="shared" si="14"/>
        <v>0</v>
      </c>
      <c r="J281" s="103" t="str">
        <f t="shared" si="15"/>
        <v>0 tubes and 0 shuttles</v>
      </c>
    </row>
    <row r="282" spans="1:10" ht="12.5" x14ac:dyDescent="0.25">
      <c r="A282" s="32">
        <f>'Profit &amp; Loss'!A282</f>
        <v>0</v>
      </c>
      <c r="B282" s="35">
        <f>'Profit &amp; Loss'!B282</f>
        <v>0</v>
      </c>
      <c r="C282" s="36"/>
      <c r="D282" s="33"/>
      <c r="E282" s="102">
        <f t="shared" si="10"/>
        <v>0</v>
      </c>
      <c r="F282" s="103" t="str">
        <f t="shared" si="12"/>
        <v>0 tubes and 0 shuttles</v>
      </c>
      <c r="G282" s="36">
        <f t="shared" si="11"/>
        <v>0</v>
      </c>
      <c r="H282" s="104" t="str">
        <f t="shared" si="13"/>
        <v>0 tubes and 0 shuttles</v>
      </c>
      <c r="I282" s="36">
        <f t="shared" si="14"/>
        <v>0</v>
      </c>
      <c r="J282" s="103" t="str">
        <f t="shared" si="15"/>
        <v>0 tubes and 0 shuttles</v>
      </c>
    </row>
    <row r="283" spans="1:10" ht="12.5" x14ac:dyDescent="0.25">
      <c r="A283" s="32">
        <f>'Profit &amp; Loss'!A283</f>
        <v>0</v>
      </c>
      <c r="B283" s="35">
        <f>'Profit &amp; Loss'!B283</f>
        <v>0</v>
      </c>
      <c r="C283" s="36"/>
      <c r="D283" s="33"/>
      <c r="E283" s="102">
        <f t="shared" si="10"/>
        <v>0</v>
      </c>
      <c r="F283" s="103" t="str">
        <f t="shared" si="12"/>
        <v>0 tubes and 0 shuttles</v>
      </c>
      <c r="G283" s="36">
        <f t="shared" si="11"/>
        <v>0</v>
      </c>
      <c r="H283" s="104" t="str">
        <f t="shared" si="13"/>
        <v>0 tubes and 0 shuttles</v>
      </c>
      <c r="I283" s="36">
        <f t="shared" si="14"/>
        <v>0</v>
      </c>
      <c r="J283" s="103" t="str">
        <f t="shared" si="15"/>
        <v>0 tubes and 0 shuttles</v>
      </c>
    </row>
    <row r="284" spans="1:10" ht="12.5" x14ac:dyDescent="0.25">
      <c r="A284" s="32">
        <f>'Profit &amp; Loss'!A284</f>
        <v>0</v>
      </c>
      <c r="B284" s="35">
        <f>'Profit &amp; Loss'!B284</f>
        <v>0</v>
      </c>
      <c r="C284" s="36"/>
      <c r="D284" s="33"/>
      <c r="E284" s="102">
        <f t="shared" si="10"/>
        <v>0</v>
      </c>
      <c r="F284" s="103" t="str">
        <f t="shared" si="12"/>
        <v>0 tubes and 0 shuttles</v>
      </c>
      <c r="G284" s="36">
        <f t="shared" si="11"/>
        <v>0</v>
      </c>
      <c r="H284" s="104" t="str">
        <f t="shared" si="13"/>
        <v>0 tubes and 0 shuttles</v>
      </c>
      <c r="I284" s="36">
        <f t="shared" si="14"/>
        <v>0</v>
      </c>
      <c r="J284" s="103" t="str">
        <f t="shared" si="15"/>
        <v>0 tubes and 0 shuttles</v>
      </c>
    </row>
    <row r="285" spans="1:10" ht="12.5" x14ac:dyDescent="0.25">
      <c r="A285" s="32">
        <f>'Profit &amp; Loss'!A285</f>
        <v>0</v>
      </c>
      <c r="B285" s="35">
        <f>'Profit &amp; Loss'!B285</f>
        <v>0</v>
      </c>
      <c r="C285" s="36"/>
      <c r="D285" s="33"/>
      <c r="E285" s="102">
        <f t="shared" si="10"/>
        <v>0</v>
      </c>
      <c r="F285" s="103" t="str">
        <f t="shared" si="12"/>
        <v>0 tubes and 0 shuttles</v>
      </c>
      <c r="G285" s="36">
        <f t="shared" si="11"/>
        <v>0</v>
      </c>
      <c r="H285" s="104" t="str">
        <f t="shared" si="13"/>
        <v>0 tubes and 0 shuttles</v>
      </c>
      <c r="I285" s="36">
        <f t="shared" si="14"/>
        <v>0</v>
      </c>
      <c r="J285" s="103" t="str">
        <f t="shared" si="15"/>
        <v>0 tubes and 0 shuttles</v>
      </c>
    </row>
    <row r="286" spans="1:10" ht="12.5" x14ac:dyDescent="0.25">
      <c r="A286" s="32">
        <f>'Profit &amp; Loss'!A286</f>
        <v>0</v>
      </c>
      <c r="B286" s="35">
        <f>'Profit &amp; Loss'!B286</f>
        <v>0</v>
      </c>
      <c r="C286" s="36"/>
      <c r="D286" s="33"/>
      <c r="E286" s="102">
        <f t="shared" si="10"/>
        <v>0</v>
      </c>
      <c r="F286" s="103" t="str">
        <f t="shared" si="12"/>
        <v>0 tubes and 0 shuttles</v>
      </c>
      <c r="G286" s="36">
        <f t="shared" si="11"/>
        <v>0</v>
      </c>
      <c r="H286" s="104" t="str">
        <f t="shared" si="13"/>
        <v>0 tubes and 0 shuttles</v>
      </c>
      <c r="I286" s="36">
        <f t="shared" si="14"/>
        <v>0</v>
      </c>
      <c r="J286" s="103" t="str">
        <f t="shared" si="15"/>
        <v>0 tubes and 0 shuttles</v>
      </c>
    </row>
    <row r="287" spans="1:10" ht="12.5" x14ac:dyDescent="0.25">
      <c r="A287" s="32">
        <f>'Profit &amp; Loss'!A287</f>
        <v>0</v>
      </c>
      <c r="B287" s="35">
        <f>'Profit &amp; Loss'!B287</f>
        <v>0</v>
      </c>
      <c r="C287" s="36"/>
      <c r="D287" s="33"/>
      <c r="E287" s="102">
        <f t="shared" si="10"/>
        <v>0</v>
      </c>
      <c r="F287" s="103" t="str">
        <f t="shared" si="12"/>
        <v>0 tubes and 0 shuttles</v>
      </c>
      <c r="G287" s="36">
        <f t="shared" si="11"/>
        <v>0</v>
      </c>
      <c r="H287" s="104" t="str">
        <f t="shared" si="13"/>
        <v>0 tubes and 0 shuttles</v>
      </c>
      <c r="I287" s="36">
        <f t="shared" si="14"/>
        <v>0</v>
      </c>
      <c r="J287" s="103" t="str">
        <f t="shared" si="15"/>
        <v>0 tubes and 0 shuttles</v>
      </c>
    </row>
    <row r="288" spans="1:10" ht="12.5" x14ac:dyDescent="0.25">
      <c r="A288" s="32">
        <f>'Profit &amp; Loss'!A288</f>
        <v>0</v>
      </c>
      <c r="B288" s="35">
        <f>'Profit &amp; Loss'!B288</f>
        <v>0</v>
      </c>
      <c r="C288" s="36"/>
      <c r="D288" s="33"/>
      <c r="E288" s="102">
        <f t="shared" si="10"/>
        <v>0</v>
      </c>
      <c r="F288" s="103" t="str">
        <f t="shared" si="12"/>
        <v>0 tubes and 0 shuttles</v>
      </c>
      <c r="G288" s="36">
        <f t="shared" si="11"/>
        <v>0</v>
      </c>
      <c r="H288" s="104" t="str">
        <f t="shared" si="13"/>
        <v>0 tubes and 0 shuttles</v>
      </c>
      <c r="I288" s="36">
        <f t="shared" si="14"/>
        <v>0</v>
      </c>
      <c r="J288" s="103" t="str">
        <f t="shared" si="15"/>
        <v>0 tubes and 0 shuttles</v>
      </c>
    </row>
    <row r="289" spans="1:10" ht="12.5" x14ac:dyDescent="0.25">
      <c r="A289" s="32">
        <f>'Profit &amp; Loss'!A289</f>
        <v>0</v>
      </c>
      <c r="B289" s="35">
        <f>'Profit &amp; Loss'!B289</f>
        <v>0</v>
      </c>
      <c r="C289" s="36"/>
      <c r="D289" s="33"/>
      <c r="E289" s="102">
        <f t="shared" si="10"/>
        <v>0</v>
      </c>
      <c r="F289" s="103" t="str">
        <f t="shared" si="12"/>
        <v>0 tubes and 0 shuttles</v>
      </c>
      <c r="G289" s="36">
        <f t="shared" si="11"/>
        <v>0</v>
      </c>
      <c r="H289" s="104" t="str">
        <f t="shared" si="13"/>
        <v>0 tubes and 0 shuttles</v>
      </c>
      <c r="I289" s="36">
        <f t="shared" si="14"/>
        <v>0</v>
      </c>
      <c r="J289" s="103" t="str">
        <f t="shared" si="15"/>
        <v>0 tubes and 0 shuttles</v>
      </c>
    </row>
    <row r="290" spans="1:10" ht="12.5" x14ac:dyDescent="0.25">
      <c r="A290" s="32">
        <f>'Profit &amp; Loss'!A290</f>
        <v>0</v>
      </c>
      <c r="B290" s="35">
        <f>'Profit &amp; Loss'!B290</f>
        <v>0</v>
      </c>
      <c r="C290" s="36"/>
      <c r="D290" s="33"/>
      <c r="E290" s="102">
        <f t="shared" si="10"/>
        <v>0</v>
      </c>
      <c r="F290" s="103" t="str">
        <f t="shared" si="12"/>
        <v>0 tubes and 0 shuttles</v>
      </c>
      <c r="G290" s="36">
        <f t="shared" si="11"/>
        <v>0</v>
      </c>
      <c r="H290" s="104" t="str">
        <f t="shared" si="13"/>
        <v>0 tubes and 0 shuttles</v>
      </c>
      <c r="I290" s="36">
        <f t="shared" si="14"/>
        <v>0</v>
      </c>
      <c r="J290" s="103" t="str">
        <f t="shared" si="15"/>
        <v>0 tubes and 0 shuttles</v>
      </c>
    </row>
    <row r="291" spans="1:10" ht="12.5" x14ac:dyDescent="0.25">
      <c r="A291" s="32">
        <f>'Profit &amp; Loss'!A291</f>
        <v>0</v>
      </c>
      <c r="B291" s="35">
        <f>'Profit &amp; Loss'!B291</f>
        <v>0</v>
      </c>
      <c r="C291" s="36"/>
      <c r="D291" s="33"/>
      <c r="E291" s="102">
        <f t="shared" si="10"/>
        <v>0</v>
      </c>
      <c r="F291" s="103" t="str">
        <f t="shared" si="12"/>
        <v>0 tubes and 0 shuttles</v>
      </c>
      <c r="G291" s="36">
        <f t="shared" si="11"/>
        <v>0</v>
      </c>
      <c r="H291" s="104" t="str">
        <f t="shared" si="13"/>
        <v>0 tubes and 0 shuttles</v>
      </c>
      <c r="I291" s="36">
        <f t="shared" si="14"/>
        <v>0</v>
      </c>
      <c r="J291" s="103" t="str">
        <f t="shared" si="15"/>
        <v>0 tubes and 0 shuttles</v>
      </c>
    </row>
    <row r="292" spans="1:10" ht="12.5" x14ac:dyDescent="0.25">
      <c r="A292" s="32">
        <f>'Profit &amp; Loss'!A292</f>
        <v>0</v>
      </c>
      <c r="B292" s="35">
        <f>'Profit &amp; Loss'!B292</f>
        <v>0</v>
      </c>
      <c r="C292" s="36"/>
      <c r="D292" s="33"/>
      <c r="E292" s="102">
        <f t="shared" si="10"/>
        <v>0</v>
      </c>
      <c r="F292" s="103" t="str">
        <f t="shared" si="12"/>
        <v>0 tubes and 0 shuttles</v>
      </c>
      <c r="G292" s="36">
        <f t="shared" si="11"/>
        <v>0</v>
      </c>
      <c r="H292" s="104" t="str">
        <f t="shared" si="13"/>
        <v>0 tubes and 0 shuttles</v>
      </c>
      <c r="I292" s="36">
        <f t="shared" si="14"/>
        <v>0</v>
      </c>
      <c r="J292" s="103" t="str">
        <f t="shared" si="15"/>
        <v>0 tubes and 0 shuttles</v>
      </c>
    </row>
    <row r="293" spans="1:10" ht="12.5" x14ac:dyDescent="0.25">
      <c r="A293" s="32">
        <f>'Profit &amp; Loss'!A293</f>
        <v>0</v>
      </c>
      <c r="B293" s="35">
        <f>'Profit &amp; Loss'!B293</f>
        <v>0</v>
      </c>
      <c r="C293" s="36"/>
      <c r="D293" s="33"/>
      <c r="E293" s="102">
        <f t="shared" si="10"/>
        <v>0</v>
      </c>
      <c r="F293" s="103" t="str">
        <f t="shared" si="12"/>
        <v>0 tubes and 0 shuttles</v>
      </c>
      <c r="G293" s="36">
        <f t="shared" si="11"/>
        <v>0</v>
      </c>
      <c r="H293" s="104" t="str">
        <f t="shared" si="13"/>
        <v>0 tubes and 0 shuttles</v>
      </c>
      <c r="I293" s="36">
        <f t="shared" si="14"/>
        <v>0</v>
      </c>
      <c r="J293" s="103" t="str">
        <f t="shared" si="15"/>
        <v>0 tubes and 0 shuttles</v>
      </c>
    </row>
    <row r="294" spans="1:10" ht="12.5" x14ac:dyDescent="0.25">
      <c r="A294" s="32">
        <f>'Profit &amp; Loss'!A294</f>
        <v>0</v>
      </c>
      <c r="B294" s="35">
        <f>'Profit &amp; Loss'!B294</f>
        <v>0</v>
      </c>
      <c r="C294" s="36"/>
      <c r="D294" s="33"/>
      <c r="E294" s="102">
        <f t="shared" ref="E294:E548" si="16">IF(C294=" ",E293,E293-C294)</f>
        <v>0</v>
      </c>
      <c r="F294" s="103" t="str">
        <f t="shared" si="12"/>
        <v>0 tubes and 0 shuttles</v>
      </c>
      <c r="G294" s="36">
        <f t="shared" ref="G294:G548" si="17">IF(D294=" ",G293,G293-D294)</f>
        <v>0</v>
      </c>
      <c r="H294" s="104" t="str">
        <f t="shared" si="13"/>
        <v>0 tubes and 0 shuttles</v>
      </c>
      <c r="I294" s="36">
        <f t="shared" si="14"/>
        <v>0</v>
      </c>
      <c r="J294" s="103" t="str">
        <f t="shared" si="15"/>
        <v>0 tubes and 0 shuttles</v>
      </c>
    </row>
    <row r="295" spans="1:10" ht="12.5" x14ac:dyDescent="0.25">
      <c r="A295" s="32">
        <f>'Profit &amp; Loss'!A295</f>
        <v>0</v>
      </c>
      <c r="B295" s="35">
        <f>'Profit &amp; Loss'!B295</f>
        <v>0</v>
      </c>
      <c r="C295" s="36"/>
      <c r="D295" s="33"/>
      <c r="E295" s="102">
        <f t="shared" si="16"/>
        <v>0</v>
      </c>
      <c r="F295" s="103" t="str">
        <f t="shared" si="12"/>
        <v>0 tubes and 0 shuttles</v>
      </c>
      <c r="G295" s="36">
        <f t="shared" si="17"/>
        <v>0</v>
      </c>
      <c r="H295" s="104" t="str">
        <f t="shared" si="13"/>
        <v>0 tubes and 0 shuttles</v>
      </c>
      <c r="I295" s="36">
        <f t="shared" si="14"/>
        <v>0</v>
      </c>
      <c r="J295" s="103" t="str">
        <f t="shared" si="15"/>
        <v>0 tubes and 0 shuttles</v>
      </c>
    </row>
    <row r="296" spans="1:10" ht="12.5" x14ac:dyDescent="0.25">
      <c r="A296" s="32">
        <f>'Profit &amp; Loss'!A296</f>
        <v>0</v>
      </c>
      <c r="B296" s="35">
        <f>'Profit &amp; Loss'!B296</f>
        <v>0</v>
      </c>
      <c r="C296" s="36"/>
      <c r="D296" s="33"/>
      <c r="E296" s="102">
        <f t="shared" si="16"/>
        <v>0</v>
      </c>
      <c r="F296" s="103" t="str">
        <f t="shared" si="12"/>
        <v>0 tubes and 0 shuttles</v>
      </c>
      <c r="G296" s="36">
        <f t="shared" si="17"/>
        <v>0</v>
      </c>
      <c r="H296" s="104" t="str">
        <f t="shared" si="13"/>
        <v>0 tubes and 0 shuttles</v>
      </c>
      <c r="I296" s="36">
        <f t="shared" si="14"/>
        <v>0</v>
      </c>
      <c r="J296" s="103" t="str">
        <f t="shared" si="15"/>
        <v>0 tubes and 0 shuttles</v>
      </c>
    </row>
    <row r="297" spans="1:10" ht="12.5" x14ac:dyDescent="0.25">
      <c r="A297" s="32">
        <f>'Profit &amp; Loss'!A297</f>
        <v>0</v>
      </c>
      <c r="B297" s="35">
        <f>'Profit &amp; Loss'!B297</f>
        <v>0</v>
      </c>
      <c r="C297" s="36"/>
      <c r="D297" s="33"/>
      <c r="E297" s="102">
        <f t="shared" si="16"/>
        <v>0</v>
      </c>
      <c r="F297" s="103" t="str">
        <f t="shared" si="12"/>
        <v>0 tubes and 0 shuttles</v>
      </c>
      <c r="G297" s="36">
        <f t="shared" si="17"/>
        <v>0</v>
      </c>
      <c r="H297" s="104" t="str">
        <f t="shared" si="13"/>
        <v>0 tubes and 0 shuttles</v>
      </c>
      <c r="I297" s="36">
        <f t="shared" si="14"/>
        <v>0</v>
      </c>
      <c r="J297" s="103" t="str">
        <f t="shared" si="15"/>
        <v>0 tubes and 0 shuttles</v>
      </c>
    </row>
    <row r="298" spans="1:10" ht="12.5" x14ac:dyDescent="0.25">
      <c r="A298" s="32">
        <f>'Profit &amp; Loss'!A298</f>
        <v>0</v>
      </c>
      <c r="B298" s="35">
        <f>'Profit &amp; Loss'!B298</f>
        <v>0</v>
      </c>
      <c r="C298" s="36"/>
      <c r="D298" s="33"/>
      <c r="E298" s="102">
        <f t="shared" si="16"/>
        <v>0</v>
      </c>
      <c r="F298" s="103" t="str">
        <f t="shared" si="12"/>
        <v>0 tubes and 0 shuttles</v>
      </c>
      <c r="G298" s="36">
        <f t="shared" si="17"/>
        <v>0</v>
      </c>
      <c r="H298" s="104" t="str">
        <f t="shared" si="13"/>
        <v>0 tubes and 0 shuttles</v>
      </c>
      <c r="I298" s="36">
        <f t="shared" si="14"/>
        <v>0</v>
      </c>
      <c r="J298" s="103" t="str">
        <f t="shared" si="15"/>
        <v>0 tubes and 0 shuttles</v>
      </c>
    </row>
    <row r="299" spans="1:10" ht="12.5" x14ac:dyDescent="0.25">
      <c r="A299" s="32">
        <f>'Profit &amp; Loss'!A299</f>
        <v>0</v>
      </c>
      <c r="B299" s="35">
        <f>'Profit &amp; Loss'!B299</f>
        <v>0</v>
      </c>
      <c r="C299" s="36"/>
      <c r="D299" s="33"/>
      <c r="E299" s="102">
        <f t="shared" si="16"/>
        <v>0</v>
      </c>
      <c r="F299" s="103" t="str">
        <f t="shared" si="12"/>
        <v>0 tubes and 0 shuttles</v>
      </c>
      <c r="G299" s="36">
        <f t="shared" si="17"/>
        <v>0</v>
      </c>
      <c r="H299" s="104" t="str">
        <f t="shared" si="13"/>
        <v>0 tubes and 0 shuttles</v>
      </c>
      <c r="I299" s="36">
        <f t="shared" si="14"/>
        <v>0</v>
      </c>
      <c r="J299" s="103" t="str">
        <f t="shared" si="15"/>
        <v>0 tubes and 0 shuttles</v>
      </c>
    </row>
    <row r="300" spans="1:10" ht="12.5" x14ac:dyDescent="0.25">
      <c r="A300" s="32">
        <f>'Profit &amp; Loss'!A300</f>
        <v>0</v>
      </c>
      <c r="B300" s="35">
        <f>'Profit &amp; Loss'!B300</f>
        <v>0</v>
      </c>
      <c r="C300" s="36"/>
      <c r="D300" s="33"/>
      <c r="E300" s="102">
        <f t="shared" si="16"/>
        <v>0</v>
      </c>
      <c r="F300" s="103" t="str">
        <f t="shared" si="12"/>
        <v>0 tubes and 0 shuttles</v>
      </c>
      <c r="G300" s="36">
        <f t="shared" si="17"/>
        <v>0</v>
      </c>
      <c r="H300" s="104" t="str">
        <f t="shared" si="13"/>
        <v>0 tubes and 0 shuttles</v>
      </c>
      <c r="I300" s="36">
        <f t="shared" si="14"/>
        <v>0</v>
      </c>
      <c r="J300" s="103" t="str">
        <f t="shared" si="15"/>
        <v>0 tubes and 0 shuttles</v>
      </c>
    </row>
    <row r="301" spans="1:10" ht="12.5" x14ac:dyDescent="0.25">
      <c r="A301" s="32">
        <f>'Profit &amp; Loss'!A301</f>
        <v>0</v>
      </c>
      <c r="B301" s="35">
        <f>'Profit &amp; Loss'!B301</f>
        <v>0</v>
      </c>
      <c r="C301" s="36"/>
      <c r="D301" s="33"/>
      <c r="E301" s="102">
        <f t="shared" si="16"/>
        <v>0</v>
      </c>
      <c r="F301" s="103" t="str">
        <f t="shared" si="12"/>
        <v>0 tubes and 0 shuttles</v>
      </c>
      <c r="G301" s="36">
        <f t="shared" si="17"/>
        <v>0</v>
      </c>
      <c r="H301" s="104" t="str">
        <f t="shared" si="13"/>
        <v>0 tubes and 0 shuttles</v>
      </c>
      <c r="I301" s="36">
        <f t="shared" si="14"/>
        <v>0</v>
      </c>
      <c r="J301" s="103" t="str">
        <f t="shared" si="15"/>
        <v>0 tubes and 0 shuttles</v>
      </c>
    </row>
    <row r="302" spans="1:10" ht="12.5" x14ac:dyDescent="0.25">
      <c r="A302" s="32">
        <f>'Profit &amp; Loss'!A302</f>
        <v>0</v>
      </c>
      <c r="B302" s="35">
        <f>'Profit &amp; Loss'!B302</f>
        <v>0</v>
      </c>
      <c r="C302" s="36"/>
      <c r="D302" s="33"/>
      <c r="E302" s="102">
        <f t="shared" si="16"/>
        <v>0</v>
      </c>
      <c r="F302" s="103" t="str">
        <f t="shared" si="12"/>
        <v>0 tubes and 0 shuttles</v>
      </c>
      <c r="G302" s="36">
        <f t="shared" si="17"/>
        <v>0</v>
      </c>
      <c r="H302" s="104" t="str">
        <f t="shared" si="13"/>
        <v>0 tubes and 0 shuttles</v>
      </c>
      <c r="I302" s="36">
        <f t="shared" si="14"/>
        <v>0</v>
      </c>
      <c r="J302" s="103" t="str">
        <f t="shared" si="15"/>
        <v>0 tubes and 0 shuttles</v>
      </c>
    </row>
    <row r="303" spans="1:10" ht="12.5" x14ac:dyDescent="0.25">
      <c r="A303" s="32">
        <f>'Profit &amp; Loss'!A303</f>
        <v>0</v>
      </c>
      <c r="B303" s="35">
        <f>'Profit &amp; Loss'!B303</f>
        <v>0</v>
      </c>
      <c r="C303" s="36"/>
      <c r="D303" s="33"/>
      <c r="E303" s="102">
        <f t="shared" si="16"/>
        <v>0</v>
      </c>
      <c r="F303" s="103" t="str">
        <f t="shared" si="12"/>
        <v>0 tubes and 0 shuttles</v>
      </c>
      <c r="G303" s="36">
        <f t="shared" si="17"/>
        <v>0</v>
      </c>
      <c r="H303" s="104" t="str">
        <f t="shared" si="13"/>
        <v>0 tubes and 0 shuttles</v>
      </c>
      <c r="I303" s="36">
        <f t="shared" si="14"/>
        <v>0</v>
      </c>
      <c r="J303" s="103" t="str">
        <f t="shared" si="15"/>
        <v>0 tubes and 0 shuttles</v>
      </c>
    </row>
    <row r="304" spans="1:10" ht="12.5" x14ac:dyDescent="0.25">
      <c r="A304" s="32">
        <f>'Profit &amp; Loss'!A304</f>
        <v>0</v>
      </c>
      <c r="B304" s="35">
        <f>'Profit &amp; Loss'!B304</f>
        <v>0</v>
      </c>
      <c r="C304" s="36"/>
      <c r="D304" s="33"/>
      <c r="E304" s="102">
        <f t="shared" si="16"/>
        <v>0</v>
      </c>
      <c r="F304" s="103" t="str">
        <f t="shared" si="12"/>
        <v>0 tubes and 0 shuttles</v>
      </c>
      <c r="G304" s="36">
        <f t="shared" si="17"/>
        <v>0</v>
      </c>
      <c r="H304" s="104" t="str">
        <f t="shared" si="13"/>
        <v>0 tubes and 0 shuttles</v>
      </c>
      <c r="I304" s="36">
        <f t="shared" si="14"/>
        <v>0</v>
      </c>
      <c r="J304" s="103" t="str">
        <f t="shared" si="15"/>
        <v>0 tubes and 0 shuttles</v>
      </c>
    </row>
    <row r="305" spans="1:10" ht="12.5" x14ac:dyDescent="0.25">
      <c r="A305" s="32">
        <f>'Profit &amp; Loss'!A305</f>
        <v>0</v>
      </c>
      <c r="B305" s="35">
        <f>'Profit &amp; Loss'!B305</f>
        <v>0</v>
      </c>
      <c r="C305" s="36"/>
      <c r="D305" s="33"/>
      <c r="E305" s="102">
        <f t="shared" si="16"/>
        <v>0</v>
      </c>
      <c r="F305" s="103" t="str">
        <f t="shared" si="12"/>
        <v>0 tubes and 0 shuttles</v>
      </c>
      <c r="G305" s="36">
        <f t="shared" si="17"/>
        <v>0</v>
      </c>
      <c r="H305" s="104" t="str">
        <f t="shared" si="13"/>
        <v>0 tubes and 0 shuttles</v>
      </c>
      <c r="I305" s="36">
        <f t="shared" si="14"/>
        <v>0</v>
      </c>
      <c r="J305" s="103" t="str">
        <f t="shared" si="15"/>
        <v>0 tubes and 0 shuttles</v>
      </c>
    </row>
    <row r="306" spans="1:10" ht="12.5" x14ac:dyDescent="0.25">
      <c r="A306" s="32">
        <f>'Profit &amp; Loss'!A306</f>
        <v>0</v>
      </c>
      <c r="B306" s="35">
        <f>'Profit &amp; Loss'!B306</f>
        <v>0</v>
      </c>
      <c r="C306" s="36"/>
      <c r="D306" s="33"/>
      <c r="E306" s="102">
        <f t="shared" si="16"/>
        <v>0</v>
      </c>
      <c r="F306" s="103" t="str">
        <f t="shared" si="12"/>
        <v>0 tubes and 0 shuttles</v>
      </c>
      <c r="G306" s="36">
        <f t="shared" si="17"/>
        <v>0</v>
      </c>
      <c r="H306" s="104" t="str">
        <f t="shared" si="13"/>
        <v>0 tubes and 0 shuttles</v>
      </c>
      <c r="I306" s="36">
        <f t="shared" si="14"/>
        <v>0</v>
      </c>
      <c r="J306" s="103" t="str">
        <f t="shared" si="15"/>
        <v>0 tubes and 0 shuttles</v>
      </c>
    </row>
    <row r="307" spans="1:10" ht="12.5" x14ac:dyDescent="0.25">
      <c r="A307" s="32">
        <f>'Profit &amp; Loss'!A307</f>
        <v>0</v>
      </c>
      <c r="B307" s="35">
        <f>'Profit &amp; Loss'!B307</f>
        <v>0</v>
      </c>
      <c r="C307" s="36"/>
      <c r="D307" s="33"/>
      <c r="E307" s="102">
        <f t="shared" si="16"/>
        <v>0</v>
      </c>
      <c r="F307" s="103" t="str">
        <f t="shared" si="12"/>
        <v>0 tubes and 0 shuttles</v>
      </c>
      <c r="G307" s="36">
        <f t="shared" si="17"/>
        <v>0</v>
      </c>
      <c r="H307" s="104" t="str">
        <f t="shared" si="13"/>
        <v>0 tubes and 0 shuttles</v>
      </c>
      <c r="I307" s="36">
        <f t="shared" si="14"/>
        <v>0</v>
      </c>
      <c r="J307" s="103" t="str">
        <f t="shared" si="15"/>
        <v>0 tubes and 0 shuttles</v>
      </c>
    </row>
    <row r="308" spans="1:10" ht="12.5" x14ac:dyDescent="0.25">
      <c r="A308" s="32">
        <f>'Profit &amp; Loss'!A308</f>
        <v>0</v>
      </c>
      <c r="B308" s="35">
        <f>'Profit &amp; Loss'!B308</f>
        <v>0</v>
      </c>
      <c r="C308" s="36"/>
      <c r="D308" s="33"/>
      <c r="E308" s="102">
        <f t="shared" si="16"/>
        <v>0</v>
      </c>
      <c r="F308" s="103" t="str">
        <f t="shared" si="12"/>
        <v>0 tubes and 0 shuttles</v>
      </c>
      <c r="G308" s="36">
        <f t="shared" si="17"/>
        <v>0</v>
      </c>
      <c r="H308" s="104" t="str">
        <f t="shared" si="13"/>
        <v>0 tubes and 0 shuttles</v>
      </c>
      <c r="I308" s="36">
        <f t="shared" si="14"/>
        <v>0</v>
      </c>
      <c r="J308" s="103" t="str">
        <f t="shared" si="15"/>
        <v>0 tubes and 0 shuttles</v>
      </c>
    </row>
    <row r="309" spans="1:10" ht="12.5" x14ac:dyDescent="0.25">
      <c r="A309" s="32">
        <f>'Profit &amp; Loss'!A309</f>
        <v>0</v>
      </c>
      <c r="B309" s="35">
        <f>'Profit &amp; Loss'!B309</f>
        <v>0</v>
      </c>
      <c r="C309" s="36"/>
      <c r="D309" s="33"/>
      <c r="E309" s="102">
        <f t="shared" si="16"/>
        <v>0</v>
      </c>
      <c r="F309" s="103" t="str">
        <f t="shared" si="12"/>
        <v>0 tubes and 0 shuttles</v>
      </c>
      <c r="G309" s="36">
        <f t="shared" si="17"/>
        <v>0</v>
      </c>
      <c r="H309" s="104" t="str">
        <f t="shared" si="13"/>
        <v>0 tubes and 0 shuttles</v>
      </c>
      <c r="I309" s="36">
        <f t="shared" si="14"/>
        <v>0</v>
      </c>
      <c r="J309" s="103" t="str">
        <f t="shared" si="15"/>
        <v>0 tubes and 0 shuttles</v>
      </c>
    </row>
    <row r="310" spans="1:10" ht="12.5" x14ac:dyDescent="0.25">
      <c r="A310" s="32">
        <f>'Profit &amp; Loss'!A310</f>
        <v>0</v>
      </c>
      <c r="B310" s="35">
        <f>'Profit &amp; Loss'!B310</f>
        <v>0</v>
      </c>
      <c r="C310" s="36"/>
      <c r="D310" s="33"/>
      <c r="E310" s="102">
        <f t="shared" si="16"/>
        <v>0</v>
      </c>
      <c r="F310" s="103" t="str">
        <f t="shared" si="12"/>
        <v>0 tubes and 0 shuttles</v>
      </c>
      <c r="G310" s="36">
        <f t="shared" si="17"/>
        <v>0</v>
      </c>
      <c r="H310" s="104" t="str">
        <f t="shared" si="13"/>
        <v>0 tubes and 0 shuttles</v>
      </c>
      <c r="I310" s="36">
        <f t="shared" si="14"/>
        <v>0</v>
      </c>
      <c r="J310" s="103" t="str">
        <f t="shared" si="15"/>
        <v>0 tubes and 0 shuttles</v>
      </c>
    </row>
    <row r="311" spans="1:10" ht="12.5" x14ac:dyDescent="0.25">
      <c r="A311" s="32">
        <f>'Profit &amp; Loss'!A311</f>
        <v>0</v>
      </c>
      <c r="B311" s="35">
        <f>'Profit &amp; Loss'!B311</f>
        <v>0</v>
      </c>
      <c r="C311" s="36"/>
      <c r="D311" s="33"/>
      <c r="E311" s="102">
        <f t="shared" si="16"/>
        <v>0</v>
      </c>
      <c r="F311" s="103" t="str">
        <f t="shared" si="12"/>
        <v>0 tubes and 0 shuttles</v>
      </c>
      <c r="G311" s="36">
        <f t="shared" si="17"/>
        <v>0</v>
      </c>
      <c r="H311" s="104" t="str">
        <f t="shared" si="13"/>
        <v>0 tubes and 0 shuttles</v>
      </c>
      <c r="I311" s="36">
        <f t="shared" si="14"/>
        <v>0</v>
      </c>
      <c r="J311" s="103" t="str">
        <f t="shared" si="15"/>
        <v>0 tubes and 0 shuttles</v>
      </c>
    </row>
    <row r="312" spans="1:10" ht="12.5" x14ac:dyDescent="0.25">
      <c r="A312" s="32">
        <f>'Profit &amp; Loss'!A312</f>
        <v>0</v>
      </c>
      <c r="B312" s="35">
        <f>'Profit &amp; Loss'!B312</f>
        <v>0</v>
      </c>
      <c r="C312" s="36"/>
      <c r="D312" s="33"/>
      <c r="E312" s="102">
        <f t="shared" si="16"/>
        <v>0</v>
      </c>
      <c r="F312" s="103" t="str">
        <f t="shared" si="12"/>
        <v>0 tubes and 0 shuttles</v>
      </c>
      <c r="G312" s="36">
        <f t="shared" si="17"/>
        <v>0</v>
      </c>
      <c r="H312" s="104" t="str">
        <f t="shared" si="13"/>
        <v>0 tubes and 0 shuttles</v>
      </c>
      <c r="I312" s="36">
        <f t="shared" si="14"/>
        <v>0</v>
      </c>
      <c r="J312" s="103" t="str">
        <f t="shared" si="15"/>
        <v>0 tubes and 0 shuttles</v>
      </c>
    </row>
    <row r="313" spans="1:10" ht="12.5" x14ac:dyDescent="0.25">
      <c r="A313" s="32">
        <f>'Profit &amp; Loss'!A313</f>
        <v>0</v>
      </c>
      <c r="B313" s="35">
        <f>'Profit &amp; Loss'!B313</f>
        <v>0</v>
      </c>
      <c r="C313" s="36"/>
      <c r="D313" s="33"/>
      <c r="E313" s="102">
        <f t="shared" si="16"/>
        <v>0</v>
      </c>
      <c r="F313" s="103" t="str">
        <f t="shared" si="12"/>
        <v>0 tubes and 0 shuttles</v>
      </c>
      <c r="G313" s="36">
        <f t="shared" si="17"/>
        <v>0</v>
      </c>
      <c r="H313" s="104" t="str">
        <f t="shared" si="13"/>
        <v>0 tubes and 0 shuttles</v>
      </c>
      <c r="I313" s="36">
        <f t="shared" si="14"/>
        <v>0</v>
      </c>
      <c r="J313" s="103" t="str">
        <f t="shared" si="15"/>
        <v>0 tubes and 0 shuttles</v>
      </c>
    </row>
    <row r="314" spans="1:10" ht="12.5" x14ac:dyDescent="0.25">
      <c r="A314" s="32">
        <f>'Profit &amp; Loss'!A314</f>
        <v>0</v>
      </c>
      <c r="B314" s="35">
        <f>'Profit &amp; Loss'!B314</f>
        <v>0</v>
      </c>
      <c r="C314" s="36"/>
      <c r="D314" s="33"/>
      <c r="E314" s="102">
        <f t="shared" si="16"/>
        <v>0</v>
      </c>
      <c r="F314" s="103" t="str">
        <f t="shared" si="12"/>
        <v>0 tubes and 0 shuttles</v>
      </c>
      <c r="G314" s="36">
        <f t="shared" si="17"/>
        <v>0</v>
      </c>
      <c r="H314" s="104" t="str">
        <f t="shared" si="13"/>
        <v>0 tubes and 0 shuttles</v>
      </c>
      <c r="I314" s="36">
        <f t="shared" si="14"/>
        <v>0</v>
      </c>
      <c r="J314" s="103" t="str">
        <f t="shared" si="15"/>
        <v>0 tubes and 0 shuttles</v>
      </c>
    </row>
    <row r="315" spans="1:10" ht="12.5" x14ac:dyDescent="0.25">
      <c r="A315" s="32">
        <f>'Profit &amp; Loss'!A315</f>
        <v>0</v>
      </c>
      <c r="B315" s="35">
        <f>'Profit &amp; Loss'!B315</f>
        <v>0</v>
      </c>
      <c r="C315" s="36"/>
      <c r="D315" s="33"/>
      <c r="E315" s="102">
        <f t="shared" si="16"/>
        <v>0</v>
      </c>
      <c r="F315" s="103" t="str">
        <f t="shared" si="12"/>
        <v>0 tubes and 0 shuttles</v>
      </c>
      <c r="G315" s="36">
        <f t="shared" si="17"/>
        <v>0</v>
      </c>
      <c r="H315" s="104" t="str">
        <f t="shared" si="13"/>
        <v>0 tubes and 0 shuttles</v>
      </c>
      <c r="I315" s="36">
        <f t="shared" si="14"/>
        <v>0</v>
      </c>
      <c r="J315" s="103" t="str">
        <f t="shared" si="15"/>
        <v>0 tubes and 0 shuttles</v>
      </c>
    </row>
    <row r="316" spans="1:10" ht="12.5" x14ac:dyDescent="0.25">
      <c r="A316" s="32">
        <f>'Profit &amp; Loss'!A316</f>
        <v>0</v>
      </c>
      <c r="B316" s="35">
        <f>'Profit &amp; Loss'!B316</f>
        <v>0</v>
      </c>
      <c r="C316" s="36"/>
      <c r="D316" s="33"/>
      <c r="E316" s="102">
        <f t="shared" si="16"/>
        <v>0</v>
      </c>
      <c r="F316" s="103" t="str">
        <f t="shared" si="12"/>
        <v>0 tubes and 0 shuttles</v>
      </c>
      <c r="G316" s="36">
        <f t="shared" si="17"/>
        <v>0</v>
      </c>
      <c r="H316" s="104" t="str">
        <f t="shared" si="13"/>
        <v>0 tubes and 0 shuttles</v>
      </c>
      <c r="I316" s="36">
        <f t="shared" si="14"/>
        <v>0</v>
      </c>
      <c r="J316" s="103" t="str">
        <f t="shared" si="15"/>
        <v>0 tubes and 0 shuttles</v>
      </c>
    </row>
    <row r="317" spans="1:10" ht="12.5" x14ac:dyDescent="0.25">
      <c r="A317" s="32">
        <f>'Profit &amp; Loss'!A317</f>
        <v>0</v>
      </c>
      <c r="B317" s="35">
        <f>'Profit &amp; Loss'!B317</f>
        <v>0</v>
      </c>
      <c r="C317" s="36"/>
      <c r="D317" s="33"/>
      <c r="E317" s="102">
        <f t="shared" si="16"/>
        <v>0</v>
      </c>
      <c r="F317" s="103" t="str">
        <f t="shared" si="12"/>
        <v>0 tubes and 0 shuttles</v>
      </c>
      <c r="G317" s="36">
        <f t="shared" si="17"/>
        <v>0</v>
      </c>
      <c r="H317" s="104" t="str">
        <f t="shared" si="13"/>
        <v>0 tubes and 0 shuttles</v>
      </c>
      <c r="I317" s="36">
        <f t="shared" si="14"/>
        <v>0</v>
      </c>
      <c r="J317" s="103" t="str">
        <f t="shared" si="15"/>
        <v>0 tubes and 0 shuttles</v>
      </c>
    </row>
    <row r="318" spans="1:10" ht="12.5" x14ac:dyDescent="0.25">
      <c r="A318" s="32">
        <f>'Profit &amp; Loss'!A318</f>
        <v>0</v>
      </c>
      <c r="B318" s="35">
        <f>'Profit &amp; Loss'!B318</f>
        <v>0</v>
      </c>
      <c r="C318" s="36"/>
      <c r="D318" s="33"/>
      <c r="E318" s="102">
        <f t="shared" si="16"/>
        <v>0</v>
      </c>
      <c r="F318" s="103" t="str">
        <f t="shared" si="12"/>
        <v>0 tubes and 0 shuttles</v>
      </c>
      <c r="G318" s="36">
        <f t="shared" si="17"/>
        <v>0</v>
      </c>
      <c r="H318" s="104" t="str">
        <f t="shared" si="13"/>
        <v>0 tubes and 0 shuttles</v>
      </c>
      <c r="I318" s="36">
        <f t="shared" si="14"/>
        <v>0</v>
      </c>
      <c r="J318" s="103" t="str">
        <f t="shared" si="15"/>
        <v>0 tubes and 0 shuttles</v>
      </c>
    </row>
    <row r="319" spans="1:10" ht="12.5" x14ac:dyDescent="0.25">
      <c r="A319" s="32">
        <f>'Profit &amp; Loss'!A319</f>
        <v>0</v>
      </c>
      <c r="B319" s="35">
        <f>'Profit &amp; Loss'!B319</f>
        <v>0</v>
      </c>
      <c r="C319" s="36"/>
      <c r="D319" s="33"/>
      <c r="E319" s="102">
        <f t="shared" si="16"/>
        <v>0</v>
      </c>
      <c r="F319" s="103" t="str">
        <f t="shared" si="12"/>
        <v>0 tubes and 0 shuttles</v>
      </c>
      <c r="G319" s="36">
        <f t="shared" si="17"/>
        <v>0</v>
      </c>
      <c r="H319" s="104" t="str">
        <f t="shared" si="13"/>
        <v>0 tubes and 0 shuttles</v>
      </c>
      <c r="I319" s="36">
        <f t="shared" si="14"/>
        <v>0</v>
      </c>
      <c r="J319" s="103" t="str">
        <f t="shared" si="15"/>
        <v>0 tubes and 0 shuttles</v>
      </c>
    </row>
    <row r="320" spans="1:10" ht="12.5" x14ac:dyDescent="0.25">
      <c r="A320" s="32">
        <f>'Profit &amp; Loss'!A320</f>
        <v>0</v>
      </c>
      <c r="B320" s="35">
        <f>'Profit &amp; Loss'!B320</f>
        <v>0</v>
      </c>
      <c r="C320" s="36"/>
      <c r="D320" s="33"/>
      <c r="E320" s="102">
        <f t="shared" si="16"/>
        <v>0</v>
      </c>
      <c r="F320" s="103" t="str">
        <f t="shared" si="12"/>
        <v>0 tubes and 0 shuttles</v>
      </c>
      <c r="G320" s="36">
        <f t="shared" si="17"/>
        <v>0</v>
      </c>
      <c r="H320" s="104" t="str">
        <f t="shared" si="13"/>
        <v>0 tubes and 0 shuttles</v>
      </c>
      <c r="I320" s="36">
        <f t="shared" si="14"/>
        <v>0</v>
      </c>
      <c r="J320" s="103" t="str">
        <f t="shared" si="15"/>
        <v>0 tubes and 0 shuttles</v>
      </c>
    </row>
    <row r="321" spans="1:10" ht="12.5" x14ac:dyDescent="0.25">
      <c r="A321" s="32">
        <f>'Profit &amp; Loss'!A321</f>
        <v>0</v>
      </c>
      <c r="B321" s="35">
        <f>'Profit &amp; Loss'!B321</f>
        <v>0</v>
      </c>
      <c r="C321" s="36"/>
      <c r="D321" s="33"/>
      <c r="E321" s="102">
        <f t="shared" si="16"/>
        <v>0</v>
      </c>
      <c r="F321" s="103" t="str">
        <f t="shared" si="12"/>
        <v>0 tubes and 0 shuttles</v>
      </c>
      <c r="G321" s="36">
        <f t="shared" si="17"/>
        <v>0</v>
      </c>
      <c r="H321" s="104" t="str">
        <f t="shared" si="13"/>
        <v>0 tubes and 0 shuttles</v>
      </c>
      <c r="I321" s="36">
        <f t="shared" si="14"/>
        <v>0</v>
      </c>
      <c r="J321" s="103" t="str">
        <f t="shared" si="15"/>
        <v>0 tubes and 0 shuttles</v>
      </c>
    </row>
    <row r="322" spans="1:10" ht="12.5" x14ac:dyDescent="0.25">
      <c r="A322" s="32">
        <f>'Profit &amp; Loss'!A322</f>
        <v>0</v>
      </c>
      <c r="B322" s="35">
        <f>'Profit &amp; Loss'!B322</f>
        <v>0</v>
      </c>
      <c r="C322" s="36"/>
      <c r="D322" s="33"/>
      <c r="E322" s="102">
        <f t="shared" si="16"/>
        <v>0</v>
      </c>
      <c r="F322" s="103" t="str">
        <f t="shared" si="12"/>
        <v>0 tubes and 0 shuttles</v>
      </c>
      <c r="G322" s="36">
        <f t="shared" si="17"/>
        <v>0</v>
      </c>
      <c r="H322" s="104" t="str">
        <f t="shared" si="13"/>
        <v>0 tubes and 0 shuttles</v>
      </c>
      <c r="I322" s="36">
        <f t="shared" si="14"/>
        <v>0</v>
      </c>
      <c r="J322" s="103" t="str">
        <f t="shared" si="15"/>
        <v>0 tubes and 0 shuttles</v>
      </c>
    </row>
    <row r="323" spans="1:10" ht="12.5" x14ac:dyDescent="0.25">
      <c r="A323" s="32">
        <f>'Profit &amp; Loss'!A323</f>
        <v>0</v>
      </c>
      <c r="B323" s="35">
        <f>'Profit &amp; Loss'!B323</f>
        <v>0</v>
      </c>
      <c r="C323" s="36"/>
      <c r="D323" s="33"/>
      <c r="E323" s="102">
        <f t="shared" si="16"/>
        <v>0</v>
      </c>
      <c r="F323" s="103" t="str">
        <f t="shared" si="12"/>
        <v>0 tubes and 0 shuttles</v>
      </c>
      <c r="G323" s="36">
        <f t="shared" si="17"/>
        <v>0</v>
      </c>
      <c r="H323" s="104" t="str">
        <f t="shared" si="13"/>
        <v>0 tubes and 0 shuttles</v>
      </c>
      <c r="I323" s="36">
        <f t="shared" si="14"/>
        <v>0</v>
      </c>
      <c r="J323" s="103" t="str">
        <f t="shared" si="15"/>
        <v>0 tubes and 0 shuttles</v>
      </c>
    </row>
    <row r="324" spans="1:10" ht="12.5" x14ac:dyDescent="0.25">
      <c r="A324" s="32">
        <f>'Profit &amp; Loss'!A324</f>
        <v>0</v>
      </c>
      <c r="B324" s="35">
        <f>'Profit &amp; Loss'!B324</f>
        <v>0</v>
      </c>
      <c r="C324" s="36"/>
      <c r="D324" s="33"/>
      <c r="E324" s="102">
        <f t="shared" si="16"/>
        <v>0</v>
      </c>
      <c r="F324" s="103" t="str">
        <f t="shared" si="12"/>
        <v>0 tubes and 0 shuttles</v>
      </c>
      <c r="G324" s="36">
        <f t="shared" si="17"/>
        <v>0</v>
      </c>
      <c r="H324" s="104" t="str">
        <f t="shared" si="13"/>
        <v>0 tubes and 0 shuttles</v>
      </c>
      <c r="I324" s="36">
        <f t="shared" si="14"/>
        <v>0</v>
      </c>
      <c r="J324" s="103" t="str">
        <f t="shared" si="15"/>
        <v>0 tubes and 0 shuttles</v>
      </c>
    </row>
    <row r="325" spans="1:10" ht="12.5" x14ac:dyDescent="0.25">
      <c r="A325" s="32">
        <f>'Profit &amp; Loss'!A325</f>
        <v>0</v>
      </c>
      <c r="B325" s="35">
        <f>'Profit &amp; Loss'!B325</f>
        <v>0</v>
      </c>
      <c r="C325" s="36"/>
      <c r="D325" s="33"/>
      <c r="E325" s="102">
        <f t="shared" si="16"/>
        <v>0</v>
      </c>
      <c r="F325" s="103" t="str">
        <f t="shared" si="12"/>
        <v>0 tubes and 0 shuttles</v>
      </c>
      <c r="G325" s="36">
        <f t="shared" si="17"/>
        <v>0</v>
      </c>
      <c r="H325" s="104" t="str">
        <f t="shared" si="13"/>
        <v>0 tubes and 0 shuttles</v>
      </c>
      <c r="I325" s="36">
        <f t="shared" si="14"/>
        <v>0</v>
      </c>
      <c r="J325" s="103" t="str">
        <f t="shared" si="15"/>
        <v>0 tubes and 0 shuttles</v>
      </c>
    </row>
    <row r="326" spans="1:10" ht="12.5" x14ac:dyDescent="0.25">
      <c r="A326" s="32">
        <f>'Profit &amp; Loss'!A326</f>
        <v>0</v>
      </c>
      <c r="B326" s="35">
        <f>'Profit &amp; Loss'!B326</f>
        <v>0</v>
      </c>
      <c r="C326" s="36"/>
      <c r="D326" s="33"/>
      <c r="E326" s="102">
        <f t="shared" si="16"/>
        <v>0</v>
      </c>
      <c r="F326" s="103" t="str">
        <f t="shared" si="12"/>
        <v>0 tubes and 0 shuttles</v>
      </c>
      <c r="G326" s="36">
        <f t="shared" si="17"/>
        <v>0</v>
      </c>
      <c r="H326" s="104" t="str">
        <f t="shared" si="13"/>
        <v>0 tubes and 0 shuttles</v>
      </c>
      <c r="I326" s="36">
        <f t="shared" si="14"/>
        <v>0</v>
      </c>
      <c r="J326" s="103" t="str">
        <f t="shared" si="15"/>
        <v>0 tubes and 0 shuttles</v>
      </c>
    </row>
    <row r="327" spans="1:10" ht="12.5" x14ac:dyDescent="0.25">
      <c r="A327" s="32">
        <f>'Profit &amp; Loss'!A327</f>
        <v>0</v>
      </c>
      <c r="B327" s="35">
        <f>'Profit &amp; Loss'!B327</f>
        <v>0</v>
      </c>
      <c r="C327" s="36"/>
      <c r="D327" s="33"/>
      <c r="E327" s="102">
        <f t="shared" si="16"/>
        <v>0</v>
      </c>
      <c r="F327" s="103" t="str">
        <f t="shared" si="12"/>
        <v>0 tubes and 0 shuttles</v>
      </c>
      <c r="G327" s="36">
        <f t="shared" si="17"/>
        <v>0</v>
      </c>
      <c r="H327" s="104" t="str">
        <f t="shared" si="13"/>
        <v>0 tubes and 0 shuttles</v>
      </c>
      <c r="I327" s="36">
        <f t="shared" si="14"/>
        <v>0</v>
      </c>
      <c r="J327" s="103" t="str">
        <f t="shared" si="15"/>
        <v>0 tubes and 0 shuttles</v>
      </c>
    </row>
    <row r="328" spans="1:10" ht="12.5" x14ac:dyDescent="0.25">
      <c r="A328" s="32">
        <f>'Profit &amp; Loss'!A328</f>
        <v>0</v>
      </c>
      <c r="B328" s="35">
        <f>'Profit &amp; Loss'!B328</f>
        <v>0</v>
      </c>
      <c r="C328" s="36"/>
      <c r="D328" s="33"/>
      <c r="E328" s="102">
        <f t="shared" si="16"/>
        <v>0</v>
      </c>
      <c r="F328" s="103" t="str">
        <f t="shared" si="12"/>
        <v>0 tubes and 0 shuttles</v>
      </c>
      <c r="G328" s="36">
        <f t="shared" si="17"/>
        <v>0</v>
      </c>
      <c r="H328" s="104" t="str">
        <f t="shared" si="13"/>
        <v>0 tubes and 0 shuttles</v>
      </c>
      <c r="I328" s="36">
        <f t="shared" si="14"/>
        <v>0</v>
      </c>
      <c r="J328" s="103" t="str">
        <f t="shared" si="15"/>
        <v>0 tubes and 0 shuttles</v>
      </c>
    </row>
    <row r="329" spans="1:10" ht="12.5" x14ac:dyDescent="0.25">
      <c r="A329" s="32">
        <f>'Profit &amp; Loss'!A329</f>
        <v>0</v>
      </c>
      <c r="B329" s="35">
        <f>'Profit &amp; Loss'!B329</f>
        <v>0</v>
      </c>
      <c r="C329" s="36"/>
      <c r="D329" s="33"/>
      <c r="E329" s="102">
        <f t="shared" si="16"/>
        <v>0</v>
      </c>
      <c r="F329" s="103" t="str">
        <f t="shared" si="12"/>
        <v>0 tubes and 0 shuttles</v>
      </c>
      <c r="G329" s="36">
        <f t="shared" si="17"/>
        <v>0</v>
      </c>
      <c r="H329" s="104" t="str">
        <f t="shared" si="13"/>
        <v>0 tubes and 0 shuttles</v>
      </c>
      <c r="I329" s="36">
        <f t="shared" si="14"/>
        <v>0</v>
      </c>
      <c r="J329" s="103" t="str">
        <f t="shared" si="15"/>
        <v>0 tubes and 0 shuttles</v>
      </c>
    </row>
    <row r="330" spans="1:10" ht="12.5" x14ac:dyDescent="0.25">
      <c r="A330" s="32">
        <f>'Profit &amp; Loss'!A330</f>
        <v>0</v>
      </c>
      <c r="B330" s="35">
        <f>'Profit &amp; Loss'!B330</f>
        <v>0</v>
      </c>
      <c r="C330" s="36"/>
      <c r="D330" s="33"/>
      <c r="E330" s="102">
        <f t="shared" si="16"/>
        <v>0</v>
      </c>
      <c r="F330" s="103" t="str">
        <f t="shared" si="12"/>
        <v>0 tubes and 0 shuttles</v>
      </c>
      <c r="G330" s="36">
        <f t="shared" si="17"/>
        <v>0</v>
      </c>
      <c r="H330" s="104" t="str">
        <f t="shared" si="13"/>
        <v>0 tubes and 0 shuttles</v>
      </c>
      <c r="I330" s="36">
        <f t="shared" si="14"/>
        <v>0</v>
      </c>
      <c r="J330" s="103" t="str">
        <f t="shared" si="15"/>
        <v>0 tubes and 0 shuttles</v>
      </c>
    </row>
    <row r="331" spans="1:10" ht="12.5" x14ac:dyDescent="0.25">
      <c r="A331" s="32">
        <f>'Profit &amp; Loss'!A331</f>
        <v>0</v>
      </c>
      <c r="B331" s="35">
        <f>'Profit &amp; Loss'!B331</f>
        <v>0</v>
      </c>
      <c r="C331" s="36"/>
      <c r="D331" s="33"/>
      <c r="E331" s="102">
        <f t="shared" si="16"/>
        <v>0</v>
      </c>
      <c r="F331" s="103" t="str">
        <f t="shared" si="12"/>
        <v>0 tubes and 0 shuttles</v>
      </c>
      <c r="G331" s="36">
        <f t="shared" si="17"/>
        <v>0</v>
      </c>
      <c r="H331" s="104" t="str">
        <f t="shared" si="13"/>
        <v>0 tubes and 0 shuttles</v>
      </c>
      <c r="I331" s="36">
        <f t="shared" si="14"/>
        <v>0</v>
      </c>
      <c r="J331" s="103" t="str">
        <f t="shared" si="15"/>
        <v>0 tubes and 0 shuttles</v>
      </c>
    </row>
    <row r="332" spans="1:10" ht="12.5" x14ac:dyDescent="0.25">
      <c r="A332" s="32">
        <f>'Profit &amp; Loss'!A332</f>
        <v>0</v>
      </c>
      <c r="B332" s="35">
        <f>'Profit &amp; Loss'!B332</f>
        <v>0</v>
      </c>
      <c r="C332" s="36"/>
      <c r="D332" s="33"/>
      <c r="E332" s="102">
        <f t="shared" si="16"/>
        <v>0</v>
      </c>
      <c r="F332" s="103" t="str">
        <f t="shared" si="12"/>
        <v>0 tubes and 0 shuttles</v>
      </c>
      <c r="G332" s="36">
        <f t="shared" si="17"/>
        <v>0</v>
      </c>
      <c r="H332" s="104" t="str">
        <f t="shared" si="13"/>
        <v>0 tubes and 0 shuttles</v>
      </c>
      <c r="I332" s="36">
        <f t="shared" si="14"/>
        <v>0</v>
      </c>
      <c r="J332" s="103" t="str">
        <f t="shared" si="15"/>
        <v>0 tubes and 0 shuttles</v>
      </c>
    </row>
    <row r="333" spans="1:10" ht="12.5" x14ac:dyDescent="0.25">
      <c r="A333" s="32">
        <f>'Profit &amp; Loss'!A333</f>
        <v>0</v>
      </c>
      <c r="B333" s="35">
        <f>'Profit &amp; Loss'!B333</f>
        <v>0</v>
      </c>
      <c r="C333" s="36"/>
      <c r="D333" s="33"/>
      <c r="E333" s="102">
        <f t="shared" si="16"/>
        <v>0</v>
      </c>
      <c r="F333" s="103" t="str">
        <f t="shared" si="12"/>
        <v>0 tubes and 0 shuttles</v>
      </c>
      <c r="G333" s="36">
        <f t="shared" si="17"/>
        <v>0</v>
      </c>
      <c r="H333" s="104" t="str">
        <f t="shared" si="13"/>
        <v>0 tubes and 0 shuttles</v>
      </c>
      <c r="I333" s="36">
        <f t="shared" si="14"/>
        <v>0</v>
      </c>
      <c r="J333" s="103" t="str">
        <f t="shared" si="15"/>
        <v>0 tubes and 0 shuttles</v>
      </c>
    </row>
    <row r="334" spans="1:10" ht="12.5" x14ac:dyDescent="0.25">
      <c r="A334" s="32">
        <f>'Profit &amp; Loss'!A334</f>
        <v>0</v>
      </c>
      <c r="B334" s="35">
        <f>'Profit &amp; Loss'!B334</f>
        <v>0</v>
      </c>
      <c r="C334" s="36"/>
      <c r="D334" s="33"/>
      <c r="E334" s="102">
        <f t="shared" si="16"/>
        <v>0</v>
      </c>
      <c r="F334" s="103" t="str">
        <f t="shared" si="12"/>
        <v>0 tubes and 0 shuttles</v>
      </c>
      <c r="G334" s="36">
        <f t="shared" si="17"/>
        <v>0</v>
      </c>
      <c r="H334" s="104" t="str">
        <f t="shared" si="13"/>
        <v>0 tubes and 0 shuttles</v>
      </c>
      <c r="I334" s="36">
        <f t="shared" si="14"/>
        <v>0</v>
      </c>
      <c r="J334" s="103" t="str">
        <f t="shared" si="15"/>
        <v>0 tubes and 0 shuttles</v>
      </c>
    </row>
    <row r="335" spans="1:10" ht="12.5" x14ac:dyDescent="0.25">
      <c r="A335" s="32">
        <f>'Profit &amp; Loss'!A335</f>
        <v>0</v>
      </c>
      <c r="B335" s="35">
        <f>'Profit &amp; Loss'!B335</f>
        <v>0</v>
      </c>
      <c r="C335" s="36"/>
      <c r="D335" s="33"/>
      <c r="E335" s="102">
        <f t="shared" si="16"/>
        <v>0</v>
      </c>
      <c r="F335" s="103" t="str">
        <f t="shared" si="12"/>
        <v>0 tubes and 0 shuttles</v>
      </c>
      <c r="G335" s="36">
        <f t="shared" si="17"/>
        <v>0</v>
      </c>
      <c r="H335" s="104" t="str">
        <f t="shared" si="13"/>
        <v>0 tubes and 0 shuttles</v>
      </c>
      <c r="I335" s="36">
        <f t="shared" si="14"/>
        <v>0</v>
      </c>
      <c r="J335" s="103" t="str">
        <f t="shared" si="15"/>
        <v>0 tubes and 0 shuttles</v>
      </c>
    </row>
    <row r="336" spans="1:10" ht="12.5" x14ac:dyDescent="0.25">
      <c r="A336" s="32">
        <f>'Profit &amp; Loss'!A336</f>
        <v>0</v>
      </c>
      <c r="B336" s="35">
        <f>'Profit &amp; Loss'!B336</f>
        <v>0</v>
      </c>
      <c r="C336" s="36"/>
      <c r="D336" s="33"/>
      <c r="E336" s="102">
        <f t="shared" si="16"/>
        <v>0</v>
      </c>
      <c r="F336" s="103" t="str">
        <f t="shared" si="12"/>
        <v>0 tubes and 0 shuttles</v>
      </c>
      <c r="G336" s="36">
        <f t="shared" si="17"/>
        <v>0</v>
      </c>
      <c r="H336" s="104" t="str">
        <f t="shared" si="13"/>
        <v>0 tubes and 0 shuttles</v>
      </c>
      <c r="I336" s="36">
        <f t="shared" si="14"/>
        <v>0</v>
      </c>
      <c r="J336" s="103" t="str">
        <f t="shared" si="15"/>
        <v>0 tubes and 0 shuttles</v>
      </c>
    </row>
    <row r="337" spans="1:10" ht="12.5" x14ac:dyDescent="0.25">
      <c r="A337" s="32">
        <f>'Profit &amp; Loss'!A337</f>
        <v>0</v>
      </c>
      <c r="B337" s="35">
        <f>'Profit &amp; Loss'!B337</f>
        <v>0</v>
      </c>
      <c r="C337" s="36"/>
      <c r="D337" s="33"/>
      <c r="E337" s="102">
        <f t="shared" si="16"/>
        <v>0</v>
      </c>
      <c r="F337" s="103" t="str">
        <f t="shared" si="12"/>
        <v>0 tubes and 0 shuttles</v>
      </c>
      <c r="G337" s="36">
        <f t="shared" si="17"/>
        <v>0</v>
      </c>
      <c r="H337" s="104" t="str">
        <f t="shared" si="13"/>
        <v>0 tubes and 0 shuttles</v>
      </c>
      <c r="I337" s="36">
        <f t="shared" si="14"/>
        <v>0</v>
      </c>
      <c r="J337" s="103" t="str">
        <f t="shared" si="15"/>
        <v>0 tubes and 0 shuttles</v>
      </c>
    </row>
    <row r="338" spans="1:10" ht="12.5" x14ac:dyDescent="0.25">
      <c r="A338" s="32">
        <f>'Profit &amp; Loss'!A338</f>
        <v>0</v>
      </c>
      <c r="B338" s="35">
        <f>'Profit &amp; Loss'!B338</f>
        <v>0</v>
      </c>
      <c r="C338" s="36"/>
      <c r="D338" s="33"/>
      <c r="E338" s="102">
        <f t="shared" si="16"/>
        <v>0</v>
      </c>
      <c r="F338" s="103" t="str">
        <f t="shared" si="12"/>
        <v>0 tubes and 0 shuttles</v>
      </c>
      <c r="G338" s="36">
        <f t="shared" si="17"/>
        <v>0</v>
      </c>
      <c r="H338" s="104" t="str">
        <f t="shared" si="13"/>
        <v>0 tubes and 0 shuttles</v>
      </c>
      <c r="I338" s="36">
        <f t="shared" si="14"/>
        <v>0</v>
      </c>
      <c r="J338" s="103" t="str">
        <f t="shared" si="15"/>
        <v>0 tubes and 0 shuttles</v>
      </c>
    </row>
    <row r="339" spans="1:10" ht="12.5" x14ac:dyDescent="0.25">
      <c r="A339" s="32">
        <f>'Profit &amp; Loss'!A339</f>
        <v>0</v>
      </c>
      <c r="B339" s="35">
        <f>'Profit &amp; Loss'!B339</f>
        <v>0</v>
      </c>
      <c r="C339" s="36"/>
      <c r="D339" s="33"/>
      <c r="E339" s="102">
        <f t="shared" si="16"/>
        <v>0</v>
      </c>
      <c r="F339" s="103" t="str">
        <f t="shared" si="12"/>
        <v>0 tubes and 0 shuttles</v>
      </c>
      <c r="G339" s="36">
        <f t="shared" si="17"/>
        <v>0</v>
      </c>
      <c r="H339" s="104" t="str">
        <f t="shared" si="13"/>
        <v>0 tubes and 0 shuttles</v>
      </c>
      <c r="I339" s="36">
        <f t="shared" si="14"/>
        <v>0</v>
      </c>
      <c r="J339" s="103" t="str">
        <f t="shared" si="15"/>
        <v>0 tubes and 0 shuttles</v>
      </c>
    </row>
    <row r="340" spans="1:10" ht="12.5" x14ac:dyDescent="0.25">
      <c r="A340" s="32">
        <f>'Profit &amp; Loss'!A340</f>
        <v>0</v>
      </c>
      <c r="B340" s="35">
        <f>'Profit &amp; Loss'!B340</f>
        <v>0</v>
      </c>
      <c r="C340" s="36"/>
      <c r="D340" s="33"/>
      <c r="E340" s="102">
        <f t="shared" si="16"/>
        <v>0</v>
      </c>
      <c r="F340" s="103" t="str">
        <f t="shared" si="12"/>
        <v>0 tubes and 0 shuttles</v>
      </c>
      <c r="G340" s="36">
        <f t="shared" si="17"/>
        <v>0</v>
      </c>
      <c r="H340" s="104" t="str">
        <f t="shared" si="13"/>
        <v>0 tubes and 0 shuttles</v>
      </c>
      <c r="I340" s="36">
        <f t="shared" si="14"/>
        <v>0</v>
      </c>
      <c r="J340" s="103" t="str">
        <f t="shared" si="15"/>
        <v>0 tubes and 0 shuttles</v>
      </c>
    </row>
    <row r="341" spans="1:10" ht="12.5" x14ac:dyDescent="0.25">
      <c r="A341" s="32">
        <f>'Profit &amp; Loss'!A341</f>
        <v>0</v>
      </c>
      <c r="B341" s="35">
        <f>'Profit &amp; Loss'!B341</f>
        <v>0</v>
      </c>
      <c r="C341" s="36"/>
      <c r="D341" s="33"/>
      <c r="E341" s="102">
        <f t="shared" si="16"/>
        <v>0</v>
      </c>
      <c r="F341" s="103" t="str">
        <f t="shared" si="12"/>
        <v>0 tubes and 0 shuttles</v>
      </c>
      <c r="G341" s="36">
        <f t="shared" si="17"/>
        <v>0</v>
      </c>
      <c r="H341" s="104" t="str">
        <f t="shared" si="13"/>
        <v>0 tubes and 0 shuttles</v>
      </c>
      <c r="I341" s="36">
        <f t="shared" si="14"/>
        <v>0</v>
      </c>
      <c r="J341" s="103" t="str">
        <f t="shared" si="15"/>
        <v>0 tubes and 0 shuttles</v>
      </c>
    </row>
    <row r="342" spans="1:10" ht="12.5" x14ac:dyDescent="0.25">
      <c r="A342" s="32">
        <f>'Profit &amp; Loss'!A342</f>
        <v>0</v>
      </c>
      <c r="B342" s="35">
        <f>'Profit &amp; Loss'!B342</f>
        <v>0</v>
      </c>
      <c r="C342" s="36"/>
      <c r="D342" s="33"/>
      <c r="E342" s="102">
        <f t="shared" si="16"/>
        <v>0</v>
      </c>
      <c r="F342" s="103" t="str">
        <f t="shared" si="12"/>
        <v>0 tubes and 0 shuttles</v>
      </c>
      <c r="G342" s="36">
        <f t="shared" si="17"/>
        <v>0</v>
      </c>
      <c r="H342" s="104" t="str">
        <f t="shared" si="13"/>
        <v>0 tubes and 0 shuttles</v>
      </c>
      <c r="I342" s="36">
        <f t="shared" si="14"/>
        <v>0</v>
      </c>
      <c r="J342" s="103" t="str">
        <f t="shared" si="15"/>
        <v>0 tubes and 0 shuttles</v>
      </c>
    </row>
    <row r="343" spans="1:10" ht="12.5" x14ac:dyDescent="0.25">
      <c r="A343" s="32">
        <f>'Profit &amp; Loss'!A343</f>
        <v>0</v>
      </c>
      <c r="B343" s="35">
        <f>'Profit &amp; Loss'!B343</f>
        <v>0</v>
      </c>
      <c r="C343" s="36"/>
      <c r="D343" s="33"/>
      <c r="E343" s="102">
        <f t="shared" si="16"/>
        <v>0</v>
      </c>
      <c r="F343" s="103" t="str">
        <f t="shared" si="12"/>
        <v>0 tubes and 0 shuttles</v>
      </c>
      <c r="G343" s="36">
        <f t="shared" si="17"/>
        <v>0</v>
      </c>
      <c r="H343" s="104" t="str">
        <f t="shared" si="13"/>
        <v>0 tubes and 0 shuttles</v>
      </c>
      <c r="I343" s="36">
        <f t="shared" si="14"/>
        <v>0</v>
      </c>
      <c r="J343" s="103" t="str">
        <f t="shared" si="15"/>
        <v>0 tubes and 0 shuttles</v>
      </c>
    </row>
    <row r="344" spans="1:10" ht="12.5" x14ac:dyDescent="0.25">
      <c r="A344" s="32">
        <f>'Profit &amp; Loss'!A344</f>
        <v>0</v>
      </c>
      <c r="B344" s="35">
        <f>'Profit &amp; Loss'!B344</f>
        <v>0</v>
      </c>
      <c r="C344" s="36"/>
      <c r="D344" s="33"/>
      <c r="E344" s="102">
        <f t="shared" si="16"/>
        <v>0</v>
      </c>
      <c r="F344" s="103" t="str">
        <f t="shared" si="12"/>
        <v>0 tubes and 0 shuttles</v>
      </c>
      <c r="G344" s="36">
        <f t="shared" si="17"/>
        <v>0</v>
      </c>
      <c r="H344" s="104" t="str">
        <f t="shared" si="13"/>
        <v>0 tubes and 0 shuttles</v>
      </c>
      <c r="I344" s="36">
        <f t="shared" si="14"/>
        <v>0</v>
      </c>
      <c r="J344" s="103" t="str">
        <f t="shared" si="15"/>
        <v>0 tubes and 0 shuttles</v>
      </c>
    </row>
    <row r="345" spans="1:10" ht="12.5" x14ac:dyDescent="0.25">
      <c r="A345" s="32">
        <f>'Profit &amp; Loss'!A345</f>
        <v>0</v>
      </c>
      <c r="B345" s="35">
        <f>'Profit &amp; Loss'!B345</f>
        <v>0</v>
      </c>
      <c r="C345" s="36"/>
      <c r="D345" s="33"/>
      <c r="E345" s="102">
        <f t="shared" si="16"/>
        <v>0</v>
      </c>
      <c r="F345" s="103" t="str">
        <f t="shared" si="12"/>
        <v>0 tubes and 0 shuttles</v>
      </c>
      <c r="G345" s="36">
        <f t="shared" si="17"/>
        <v>0</v>
      </c>
      <c r="H345" s="104" t="str">
        <f t="shared" si="13"/>
        <v>0 tubes and 0 shuttles</v>
      </c>
      <c r="I345" s="36">
        <f t="shared" si="14"/>
        <v>0</v>
      </c>
      <c r="J345" s="103" t="str">
        <f t="shared" si="15"/>
        <v>0 tubes and 0 shuttles</v>
      </c>
    </row>
    <row r="346" spans="1:10" ht="12.5" x14ac:dyDescent="0.25">
      <c r="A346" s="32">
        <f>'Profit &amp; Loss'!A346</f>
        <v>0</v>
      </c>
      <c r="B346" s="35">
        <f>'Profit &amp; Loss'!B346</f>
        <v>0</v>
      </c>
      <c r="C346" s="36"/>
      <c r="D346" s="33"/>
      <c r="E346" s="102">
        <f t="shared" si="16"/>
        <v>0</v>
      </c>
      <c r="F346" s="103" t="str">
        <f t="shared" si="12"/>
        <v>0 tubes and 0 shuttles</v>
      </c>
      <c r="G346" s="36">
        <f t="shared" si="17"/>
        <v>0</v>
      </c>
      <c r="H346" s="104" t="str">
        <f t="shared" si="13"/>
        <v>0 tubes and 0 shuttles</v>
      </c>
      <c r="I346" s="36">
        <f t="shared" si="14"/>
        <v>0</v>
      </c>
      <c r="J346" s="103" t="str">
        <f t="shared" si="15"/>
        <v>0 tubes and 0 shuttles</v>
      </c>
    </row>
    <row r="347" spans="1:10" ht="12.5" x14ac:dyDescent="0.25">
      <c r="A347" s="32">
        <f>'Profit &amp; Loss'!A347</f>
        <v>0</v>
      </c>
      <c r="B347" s="35">
        <f>'Profit &amp; Loss'!B347</f>
        <v>0</v>
      </c>
      <c r="C347" s="36"/>
      <c r="D347" s="33"/>
      <c r="E347" s="102">
        <f t="shared" si="16"/>
        <v>0</v>
      </c>
      <c r="F347" s="103" t="str">
        <f t="shared" si="12"/>
        <v>0 tubes and 0 shuttles</v>
      </c>
      <c r="G347" s="36">
        <f t="shared" si="17"/>
        <v>0</v>
      </c>
      <c r="H347" s="104" t="str">
        <f t="shared" si="13"/>
        <v>0 tubes and 0 shuttles</v>
      </c>
      <c r="I347" s="36">
        <f t="shared" si="14"/>
        <v>0</v>
      </c>
      <c r="J347" s="103" t="str">
        <f t="shared" si="15"/>
        <v>0 tubes and 0 shuttles</v>
      </c>
    </row>
    <row r="348" spans="1:10" ht="12.5" x14ac:dyDescent="0.25">
      <c r="A348" s="32">
        <f>'Profit &amp; Loss'!A348</f>
        <v>0</v>
      </c>
      <c r="B348" s="35">
        <f>'Profit &amp; Loss'!B348</f>
        <v>0</v>
      </c>
      <c r="C348" s="36"/>
      <c r="D348" s="33"/>
      <c r="E348" s="102">
        <f t="shared" si="16"/>
        <v>0</v>
      </c>
      <c r="F348" s="103" t="str">
        <f t="shared" si="12"/>
        <v>0 tubes and 0 shuttles</v>
      </c>
      <c r="G348" s="36">
        <f t="shared" si="17"/>
        <v>0</v>
      </c>
      <c r="H348" s="104" t="str">
        <f t="shared" si="13"/>
        <v>0 tubes and 0 shuttles</v>
      </c>
      <c r="I348" s="36">
        <f t="shared" si="14"/>
        <v>0</v>
      </c>
      <c r="J348" s="103" t="str">
        <f t="shared" si="15"/>
        <v>0 tubes and 0 shuttles</v>
      </c>
    </row>
    <row r="349" spans="1:10" ht="12.5" x14ac:dyDescent="0.25">
      <c r="A349" s="32">
        <f>'Profit &amp; Loss'!A349</f>
        <v>0</v>
      </c>
      <c r="B349" s="35">
        <f>'Profit &amp; Loss'!B349</f>
        <v>0</v>
      </c>
      <c r="C349" s="36"/>
      <c r="D349" s="33"/>
      <c r="E349" s="102">
        <f t="shared" si="16"/>
        <v>0</v>
      </c>
      <c r="F349" s="103" t="str">
        <f t="shared" si="12"/>
        <v>0 tubes and 0 shuttles</v>
      </c>
      <c r="G349" s="36">
        <f t="shared" si="17"/>
        <v>0</v>
      </c>
      <c r="H349" s="104" t="str">
        <f t="shared" si="13"/>
        <v>0 tubes and 0 shuttles</v>
      </c>
      <c r="I349" s="36">
        <f t="shared" si="14"/>
        <v>0</v>
      </c>
      <c r="J349" s="103" t="str">
        <f t="shared" si="15"/>
        <v>0 tubes and 0 shuttles</v>
      </c>
    </row>
    <row r="350" spans="1:10" ht="12.5" x14ac:dyDescent="0.25">
      <c r="A350" s="32">
        <f>'Profit &amp; Loss'!A350</f>
        <v>0</v>
      </c>
      <c r="B350" s="35">
        <f>'Profit &amp; Loss'!B350</f>
        <v>0</v>
      </c>
      <c r="C350" s="36"/>
      <c r="D350" s="33"/>
      <c r="E350" s="102">
        <f t="shared" si="16"/>
        <v>0</v>
      </c>
      <c r="F350" s="103" t="str">
        <f t="shared" si="12"/>
        <v>0 tubes and 0 shuttles</v>
      </c>
      <c r="G350" s="36">
        <f t="shared" si="17"/>
        <v>0</v>
      </c>
      <c r="H350" s="104" t="str">
        <f t="shared" si="13"/>
        <v>0 tubes and 0 shuttles</v>
      </c>
      <c r="I350" s="36">
        <f t="shared" si="14"/>
        <v>0</v>
      </c>
      <c r="J350" s="103" t="str">
        <f t="shared" si="15"/>
        <v>0 tubes and 0 shuttles</v>
      </c>
    </row>
    <row r="351" spans="1:10" ht="12.5" x14ac:dyDescent="0.25">
      <c r="A351" s="32">
        <f>'Profit &amp; Loss'!A351</f>
        <v>0</v>
      </c>
      <c r="B351" s="35">
        <f>'Profit &amp; Loss'!B351</f>
        <v>0</v>
      </c>
      <c r="C351" s="36"/>
      <c r="D351" s="33"/>
      <c r="E351" s="102">
        <f t="shared" si="16"/>
        <v>0</v>
      </c>
      <c r="F351" s="103" t="str">
        <f t="shared" si="12"/>
        <v>0 tubes and 0 shuttles</v>
      </c>
      <c r="G351" s="36">
        <f t="shared" si="17"/>
        <v>0</v>
      </c>
      <c r="H351" s="104" t="str">
        <f t="shared" si="13"/>
        <v>0 tubes and 0 shuttles</v>
      </c>
      <c r="I351" s="36">
        <f t="shared" si="14"/>
        <v>0</v>
      </c>
      <c r="J351" s="103" t="str">
        <f t="shared" si="15"/>
        <v>0 tubes and 0 shuttles</v>
      </c>
    </row>
    <row r="352" spans="1:10" ht="12.5" x14ac:dyDescent="0.25">
      <c r="A352" s="32">
        <f>'Profit &amp; Loss'!A352</f>
        <v>0</v>
      </c>
      <c r="B352" s="35">
        <f>'Profit &amp; Loss'!B352</f>
        <v>0</v>
      </c>
      <c r="C352" s="36"/>
      <c r="D352" s="33"/>
      <c r="E352" s="102">
        <f t="shared" si="16"/>
        <v>0</v>
      </c>
      <c r="F352" s="103" t="str">
        <f t="shared" si="12"/>
        <v>0 tubes and 0 shuttles</v>
      </c>
      <c r="G352" s="36">
        <f t="shared" si="17"/>
        <v>0</v>
      </c>
      <c r="H352" s="104" t="str">
        <f t="shared" si="13"/>
        <v>0 tubes and 0 shuttles</v>
      </c>
      <c r="I352" s="36">
        <f t="shared" si="14"/>
        <v>0</v>
      </c>
      <c r="J352" s="103" t="str">
        <f t="shared" si="15"/>
        <v>0 tubes and 0 shuttles</v>
      </c>
    </row>
    <row r="353" spans="1:10" ht="12.5" x14ac:dyDescent="0.25">
      <c r="A353" s="32">
        <f>'Profit &amp; Loss'!A353</f>
        <v>0</v>
      </c>
      <c r="B353" s="35">
        <f>'Profit &amp; Loss'!B353</f>
        <v>0</v>
      </c>
      <c r="C353" s="36"/>
      <c r="D353" s="33"/>
      <c r="E353" s="102">
        <f t="shared" si="16"/>
        <v>0</v>
      </c>
      <c r="F353" s="103" t="str">
        <f t="shared" si="12"/>
        <v>0 tubes and 0 shuttles</v>
      </c>
      <c r="G353" s="36">
        <f t="shared" si="17"/>
        <v>0</v>
      </c>
      <c r="H353" s="104" t="str">
        <f t="shared" si="13"/>
        <v>0 tubes and 0 shuttles</v>
      </c>
      <c r="I353" s="36">
        <f t="shared" si="14"/>
        <v>0</v>
      </c>
      <c r="J353" s="103" t="str">
        <f t="shared" si="15"/>
        <v>0 tubes and 0 shuttles</v>
      </c>
    </row>
    <row r="354" spans="1:10" ht="12.5" x14ac:dyDescent="0.25">
      <c r="A354" s="32">
        <f>'Profit &amp; Loss'!A354</f>
        <v>0</v>
      </c>
      <c r="B354" s="35">
        <f>'Profit &amp; Loss'!B354</f>
        <v>0</v>
      </c>
      <c r="C354" s="36"/>
      <c r="D354" s="33"/>
      <c r="E354" s="102">
        <f t="shared" si="16"/>
        <v>0</v>
      </c>
      <c r="F354" s="103" t="str">
        <f t="shared" si="12"/>
        <v>0 tubes and 0 shuttles</v>
      </c>
      <c r="G354" s="36">
        <f t="shared" si="17"/>
        <v>0</v>
      </c>
      <c r="H354" s="104" t="str">
        <f t="shared" si="13"/>
        <v>0 tubes and 0 shuttles</v>
      </c>
      <c r="I354" s="36">
        <f t="shared" si="14"/>
        <v>0</v>
      </c>
      <c r="J354" s="103" t="str">
        <f t="shared" si="15"/>
        <v>0 tubes and 0 shuttles</v>
      </c>
    </row>
    <row r="355" spans="1:10" ht="12.5" x14ac:dyDescent="0.25">
      <c r="A355" s="32">
        <f>'Profit &amp; Loss'!A355</f>
        <v>0</v>
      </c>
      <c r="B355" s="35">
        <f>'Profit &amp; Loss'!B355</f>
        <v>0</v>
      </c>
      <c r="C355" s="36"/>
      <c r="D355" s="33"/>
      <c r="E355" s="102">
        <f t="shared" si="16"/>
        <v>0</v>
      </c>
      <c r="F355" s="103" t="str">
        <f t="shared" si="12"/>
        <v>0 tubes and 0 shuttles</v>
      </c>
      <c r="G355" s="36">
        <f t="shared" si="17"/>
        <v>0</v>
      </c>
      <c r="H355" s="104" t="str">
        <f t="shared" si="13"/>
        <v>0 tubes and 0 shuttles</v>
      </c>
      <c r="I355" s="36">
        <f t="shared" si="14"/>
        <v>0</v>
      </c>
      <c r="J355" s="103" t="str">
        <f t="shared" si="15"/>
        <v>0 tubes and 0 shuttles</v>
      </c>
    </row>
    <row r="356" spans="1:10" ht="12.5" x14ac:dyDescent="0.25">
      <c r="A356" s="32">
        <f>'Profit &amp; Loss'!A356</f>
        <v>0</v>
      </c>
      <c r="B356" s="35">
        <f>'Profit &amp; Loss'!B356</f>
        <v>0</v>
      </c>
      <c r="C356" s="36"/>
      <c r="D356" s="33"/>
      <c r="E356" s="102">
        <f t="shared" si="16"/>
        <v>0</v>
      </c>
      <c r="F356" s="103" t="str">
        <f t="shared" si="12"/>
        <v>0 tubes and 0 shuttles</v>
      </c>
      <c r="G356" s="36">
        <f t="shared" si="17"/>
        <v>0</v>
      </c>
      <c r="H356" s="104" t="str">
        <f t="shared" si="13"/>
        <v>0 tubes and 0 shuttles</v>
      </c>
      <c r="I356" s="36">
        <f t="shared" si="14"/>
        <v>0</v>
      </c>
      <c r="J356" s="103" t="str">
        <f t="shared" si="15"/>
        <v>0 tubes and 0 shuttles</v>
      </c>
    </row>
    <row r="357" spans="1:10" ht="12.5" x14ac:dyDescent="0.25">
      <c r="A357" s="32">
        <f>'Profit &amp; Loss'!A357</f>
        <v>0</v>
      </c>
      <c r="B357" s="35">
        <f>'Profit &amp; Loss'!B357</f>
        <v>0</v>
      </c>
      <c r="C357" s="36"/>
      <c r="D357" s="33"/>
      <c r="E357" s="102">
        <f t="shared" si="16"/>
        <v>0</v>
      </c>
      <c r="F357" s="103" t="str">
        <f t="shared" si="12"/>
        <v>0 tubes and 0 shuttles</v>
      </c>
      <c r="G357" s="36">
        <f t="shared" si="17"/>
        <v>0</v>
      </c>
      <c r="H357" s="104" t="str">
        <f t="shared" si="13"/>
        <v>0 tubes and 0 shuttles</v>
      </c>
      <c r="I357" s="36">
        <f t="shared" si="14"/>
        <v>0</v>
      </c>
      <c r="J357" s="103" t="str">
        <f t="shared" si="15"/>
        <v>0 tubes and 0 shuttles</v>
      </c>
    </row>
    <row r="358" spans="1:10" ht="12.5" x14ac:dyDescent="0.25">
      <c r="A358" s="32">
        <f>'Profit &amp; Loss'!A358</f>
        <v>0</v>
      </c>
      <c r="B358" s="35">
        <f>'Profit &amp; Loss'!B358</f>
        <v>0</v>
      </c>
      <c r="C358" s="36"/>
      <c r="D358" s="33"/>
      <c r="E358" s="102">
        <f t="shared" si="16"/>
        <v>0</v>
      </c>
      <c r="F358" s="103" t="str">
        <f t="shared" si="12"/>
        <v>0 tubes and 0 shuttles</v>
      </c>
      <c r="G358" s="36">
        <f t="shared" si="17"/>
        <v>0</v>
      </c>
      <c r="H358" s="104" t="str">
        <f t="shared" si="13"/>
        <v>0 tubes and 0 shuttles</v>
      </c>
      <c r="I358" s="36">
        <f t="shared" si="14"/>
        <v>0</v>
      </c>
      <c r="J358" s="103" t="str">
        <f t="shared" si="15"/>
        <v>0 tubes and 0 shuttles</v>
      </c>
    </row>
    <row r="359" spans="1:10" ht="12.5" x14ac:dyDescent="0.25">
      <c r="A359" s="32">
        <f>'Profit &amp; Loss'!A359</f>
        <v>0</v>
      </c>
      <c r="B359" s="35">
        <f>'Profit &amp; Loss'!B359</f>
        <v>0</v>
      </c>
      <c r="C359" s="36"/>
      <c r="D359" s="33"/>
      <c r="E359" s="102">
        <f t="shared" si="16"/>
        <v>0</v>
      </c>
      <c r="F359" s="103" t="str">
        <f t="shared" si="12"/>
        <v>0 tubes and 0 shuttles</v>
      </c>
      <c r="G359" s="36">
        <f t="shared" si="17"/>
        <v>0</v>
      </c>
      <c r="H359" s="104" t="str">
        <f t="shared" si="13"/>
        <v>0 tubes and 0 shuttles</v>
      </c>
      <c r="I359" s="36">
        <f t="shared" si="14"/>
        <v>0</v>
      </c>
      <c r="J359" s="103" t="str">
        <f t="shared" si="15"/>
        <v>0 tubes and 0 shuttles</v>
      </c>
    </row>
    <row r="360" spans="1:10" ht="12.5" x14ac:dyDescent="0.25">
      <c r="A360" s="32">
        <f>'Profit &amp; Loss'!A360</f>
        <v>0</v>
      </c>
      <c r="B360" s="35">
        <f>'Profit &amp; Loss'!B360</f>
        <v>0</v>
      </c>
      <c r="C360" s="36"/>
      <c r="D360" s="33"/>
      <c r="E360" s="102">
        <f t="shared" si="16"/>
        <v>0</v>
      </c>
      <c r="F360" s="103" t="str">
        <f t="shared" si="12"/>
        <v>0 tubes and 0 shuttles</v>
      </c>
      <c r="G360" s="36">
        <f t="shared" si="17"/>
        <v>0</v>
      </c>
      <c r="H360" s="104" t="str">
        <f t="shared" si="13"/>
        <v>0 tubes and 0 shuttles</v>
      </c>
      <c r="I360" s="36">
        <f t="shared" si="14"/>
        <v>0</v>
      </c>
      <c r="J360" s="103" t="str">
        <f t="shared" si="15"/>
        <v>0 tubes and 0 shuttles</v>
      </c>
    </row>
    <row r="361" spans="1:10" ht="12.5" x14ac:dyDescent="0.25">
      <c r="A361" s="32">
        <f>'Profit &amp; Loss'!A361</f>
        <v>0</v>
      </c>
      <c r="B361" s="35">
        <f>'Profit &amp; Loss'!B361</f>
        <v>0</v>
      </c>
      <c r="C361" s="36"/>
      <c r="D361" s="33"/>
      <c r="E361" s="102">
        <f t="shared" si="16"/>
        <v>0</v>
      </c>
      <c r="F361" s="103" t="str">
        <f t="shared" si="12"/>
        <v>0 tubes and 0 shuttles</v>
      </c>
      <c r="G361" s="36">
        <f t="shared" si="17"/>
        <v>0</v>
      </c>
      <c r="H361" s="104" t="str">
        <f t="shared" si="13"/>
        <v>0 tubes and 0 shuttles</v>
      </c>
      <c r="I361" s="36">
        <f t="shared" si="14"/>
        <v>0</v>
      </c>
      <c r="J361" s="103" t="str">
        <f t="shared" si="15"/>
        <v>0 tubes and 0 shuttles</v>
      </c>
    </row>
    <row r="362" spans="1:10" ht="12.5" x14ac:dyDescent="0.25">
      <c r="A362" s="32">
        <f>'Profit &amp; Loss'!A362</f>
        <v>0</v>
      </c>
      <c r="B362" s="35">
        <f>'Profit &amp; Loss'!B362</f>
        <v>0</v>
      </c>
      <c r="C362" s="36"/>
      <c r="D362" s="33"/>
      <c r="E362" s="102">
        <f t="shared" si="16"/>
        <v>0</v>
      </c>
      <c r="F362" s="103" t="str">
        <f t="shared" si="12"/>
        <v>0 tubes and 0 shuttles</v>
      </c>
      <c r="G362" s="36">
        <f t="shared" si="17"/>
        <v>0</v>
      </c>
      <c r="H362" s="104" t="str">
        <f t="shared" si="13"/>
        <v>0 tubes and 0 shuttles</v>
      </c>
      <c r="I362" s="36">
        <f t="shared" si="14"/>
        <v>0</v>
      </c>
      <c r="J362" s="103" t="str">
        <f t="shared" si="15"/>
        <v>0 tubes and 0 shuttles</v>
      </c>
    </row>
    <row r="363" spans="1:10" ht="12.5" x14ac:dyDescent="0.25">
      <c r="A363" s="32">
        <f>'Profit &amp; Loss'!A363</f>
        <v>0</v>
      </c>
      <c r="B363" s="35">
        <f>'Profit &amp; Loss'!B363</f>
        <v>0</v>
      </c>
      <c r="C363" s="36"/>
      <c r="D363" s="33"/>
      <c r="E363" s="102">
        <f t="shared" si="16"/>
        <v>0</v>
      </c>
      <c r="F363" s="103" t="str">
        <f t="shared" si="12"/>
        <v>0 tubes and 0 shuttles</v>
      </c>
      <c r="G363" s="36">
        <f t="shared" si="17"/>
        <v>0</v>
      </c>
      <c r="H363" s="104" t="str">
        <f t="shared" si="13"/>
        <v>0 tubes and 0 shuttles</v>
      </c>
      <c r="I363" s="36">
        <f t="shared" si="14"/>
        <v>0</v>
      </c>
      <c r="J363" s="103" t="str">
        <f t="shared" si="15"/>
        <v>0 tubes and 0 shuttles</v>
      </c>
    </row>
    <row r="364" spans="1:10" ht="12.5" x14ac:dyDescent="0.25">
      <c r="A364" s="32">
        <f>'Profit &amp; Loss'!A364</f>
        <v>0</v>
      </c>
      <c r="B364" s="35">
        <f>'Profit &amp; Loss'!B364</f>
        <v>0</v>
      </c>
      <c r="C364" s="36"/>
      <c r="D364" s="33"/>
      <c r="E364" s="102">
        <f t="shared" si="16"/>
        <v>0</v>
      </c>
      <c r="F364" s="103" t="str">
        <f t="shared" si="12"/>
        <v>0 tubes and 0 shuttles</v>
      </c>
      <c r="G364" s="36">
        <f t="shared" si="17"/>
        <v>0</v>
      </c>
      <c r="H364" s="104" t="str">
        <f t="shared" si="13"/>
        <v>0 tubes and 0 shuttles</v>
      </c>
      <c r="I364" s="36">
        <f t="shared" si="14"/>
        <v>0</v>
      </c>
      <c r="J364" s="103" t="str">
        <f t="shared" si="15"/>
        <v>0 tubes and 0 shuttles</v>
      </c>
    </row>
    <row r="365" spans="1:10" ht="12.5" x14ac:dyDescent="0.25">
      <c r="A365" s="32">
        <f>'Profit &amp; Loss'!A365</f>
        <v>0</v>
      </c>
      <c r="B365" s="35">
        <f>'Profit &amp; Loss'!B365</f>
        <v>0</v>
      </c>
      <c r="C365" s="36"/>
      <c r="D365" s="33"/>
      <c r="E365" s="102">
        <f t="shared" si="16"/>
        <v>0</v>
      </c>
      <c r="F365" s="103" t="str">
        <f t="shared" si="12"/>
        <v>0 tubes and 0 shuttles</v>
      </c>
      <c r="G365" s="36">
        <f t="shared" si="17"/>
        <v>0</v>
      </c>
      <c r="H365" s="104" t="str">
        <f t="shared" si="13"/>
        <v>0 tubes and 0 shuttles</v>
      </c>
      <c r="I365" s="36">
        <f t="shared" si="14"/>
        <v>0</v>
      </c>
      <c r="J365" s="103" t="str">
        <f t="shared" si="15"/>
        <v>0 tubes and 0 shuttles</v>
      </c>
    </row>
    <row r="366" spans="1:10" ht="12.5" x14ac:dyDescent="0.25">
      <c r="A366" s="32">
        <f>'Profit &amp; Loss'!A366</f>
        <v>0</v>
      </c>
      <c r="B366" s="35">
        <f>'Profit &amp; Loss'!B366</f>
        <v>0</v>
      </c>
      <c r="C366" s="36"/>
      <c r="D366" s="33"/>
      <c r="E366" s="102">
        <f t="shared" si="16"/>
        <v>0</v>
      </c>
      <c r="F366" s="103" t="str">
        <f t="shared" si="12"/>
        <v>0 tubes and 0 shuttles</v>
      </c>
      <c r="G366" s="36">
        <f t="shared" si="17"/>
        <v>0</v>
      </c>
      <c r="H366" s="104" t="str">
        <f t="shared" si="13"/>
        <v>0 tubes and 0 shuttles</v>
      </c>
      <c r="I366" s="36">
        <f t="shared" si="14"/>
        <v>0</v>
      </c>
      <c r="J366" s="103" t="str">
        <f t="shared" si="15"/>
        <v>0 tubes and 0 shuttles</v>
      </c>
    </row>
    <row r="367" spans="1:10" ht="12.5" x14ac:dyDescent="0.25">
      <c r="A367" s="32">
        <f>'Profit &amp; Loss'!A367</f>
        <v>0</v>
      </c>
      <c r="B367" s="35">
        <f>'Profit &amp; Loss'!B367</f>
        <v>0</v>
      </c>
      <c r="C367" s="36"/>
      <c r="D367" s="33"/>
      <c r="E367" s="102">
        <f t="shared" si="16"/>
        <v>0</v>
      </c>
      <c r="F367" s="103" t="str">
        <f t="shared" si="12"/>
        <v>0 tubes and 0 shuttles</v>
      </c>
      <c r="G367" s="36">
        <f t="shared" si="17"/>
        <v>0</v>
      </c>
      <c r="H367" s="104" t="str">
        <f t="shared" si="13"/>
        <v>0 tubes and 0 shuttles</v>
      </c>
      <c r="I367" s="36">
        <f t="shared" si="14"/>
        <v>0</v>
      </c>
      <c r="J367" s="103" t="str">
        <f t="shared" si="15"/>
        <v>0 tubes and 0 shuttles</v>
      </c>
    </row>
    <row r="368" spans="1:10" ht="12.5" x14ac:dyDescent="0.25">
      <c r="A368" s="32">
        <f>'Profit &amp; Loss'!A368</f>
        <v>0</v>
      </c>
      <c r="B368" s="35">
        <f>'Profit &amp; Loss'!B368</f>
        <v>0</v>
      </c>
      <c r="C368" s="36"/>
      <c r="D368" s="33"/>
      <c r="E368" s="102">
        <f t="shared" si="16"/>
        <v>0</v>
      </c>
      <c r="F368" s="103" t="str">
        <f t="shared" si="12"/>
        <v>0 tubes and 0 shuttles</v>
      </c>
      <c r="G368" s="36">
        <f t="shared" si="17"/>
        <v>0</v>
      </c>
      <c r="H368" s="104" t="str">
        <f t="shared" si="13"/>
        <v>0 tubes and 0 shuttles</v>
      </c>
      <c r="I368" s="36">
        <f t="shared" si="14"/>
        <v>0</v>
      </c>
      <c r="J368" s="103" t="str">
        <f t="shared" si="15"/>
        <v>0 tubes and 0 shuttles</v>
      </c>
    </row>
    <row r="369" spans="1:10" ht="12.5" x14ac:dyDescent="0.25">
      <c r="A369" s="32">
        <f>'Profit &amp; Loss'!A369</f>
        <v>0</v>
      </c>
      <c r="B369" s="35">
        <f>'Profit &amp; Loss'!B369</f>
        <v>0</v>
      </c>
      <c r="C369" s="36"/>
      <c r="D369" s="33"/>
      <c r="E369" s="102">
        <f t="shared" si="16"/>
        <v>0</v>
      </c>
      <c r="F369" s="103" t="str">
        <f t="shared" si="12"/>
        <v>0 tubes and 0 shuttles</v>
      </c>
      <c r="G369" s="36">
        <f t="shared" si="17"/>
        <v>0</v>
      </c>
      <c r="H369" s="104" t="str">
        <f t="shared" si="13"/>
        <v>0 tubes and 0 shuttles</v>
      </c>
      <c r="I369" s="36">
        <f t="shared" si="14"/>
        <v>0</v>
      </c>
      <c r="J369" s="103" t="str">
        <f t="shared" si="15"/>
        <v>0 tubes and 0 shuttles</v>
      </c>
    </row>
    <row r="370" spans="1:10" ht="12.5" x14ac:dyDescent="0.25">
      <c r="A370" s="32">
        <f>'Profit &amp; Loss'!A370</f>
        <v>0</v>
      </c>
      <c r="B370" s="35">
        <f>'Profit &amp; Loss'!B370</f>
        <v>0</v>
      </c>
      <c r="C370" s="36"/>
      <c r="D370" s="33"/>
      <c r="E370" s="102">
        <f t="shared" si="16"/>
        <v>0</v>
      </c>
      <c r="F370" s="103" t="str">
        <f t="shared" si="12"/>
        <v>0 tubes and 0 shuttles</v>
      </c>
      <c r="G370" s="36">
        <f t="shared" si="17"/>
        <v>0</v>
      </c>
      <c r="H370" s="104" t="str">
        <f t="shared" si="13"/>
        <v>0 tubes and 0 shuttles</v>
      </c>
      <c r="I370" s="36">
        <f t="shared" si="14"/>
        <v>0</v>
      </c>
      <c r="J370" s="103" t="str">
        <f t="shared" si="15"/>
        <v>0 tubes and 0 shuttles</v>
      </c>
    </row>
    <row r="371" spans="1:10" ht="12.5" x14ac:dyDescent="0.25">
      <c r="A371" s="32">
        <f>'Profit &amp; Loss'!A371</f>
        <v>0</v>
      </c>
      <c r="B371" s="35">
        <f>'Profit &amp; Loss'!B371</f>
        <v>0</v>
      </c>
      <c r="C371" s="36"/>
      <c r="D371" s="33"/>
      <c r="E371" s="102">
        <f t="shared" si="16"/>
        <v>0</v>
      </c>
      <c r="F371" s="103" t="str">
        <f t="shared" si="12"/>
        <v>0 tubes and 0 shuttles</v>
      </c>
      <c r="G371" s="36">
        <f t="shared" si="17"/>
        <v>0</v>
      </c>
      <c r="H371" s="104" t="str">
        <f t="shared" si="13"/>
        <v>0 tubes and 0 shuttles</v>
      </c>
      <c r="I371" s="36">
        <f t="shared" si="14"/>
        <v>0</v>
      </c>
      <c r="J371" s="103" t="str">
        <f t="shared" si="15"/>
        <v>0 tubes and 0 shuttles</v>
      </c>
    </row>
    <row r="372" spans="1:10" ht="12.5" x14ac:dyDescent="0.25">
      <c r="A372" s="32">
        <f>'Profit &amp; Loss'!A372</f>
        <v>0</v>
      </c>
      <c r="B372" s="35">
        <f>'Profit &amp; Loss'!B372</f>
        <v>0</v>
      </c>
      <c r="C372" s="36"/>
      <c r="D372" s="33"/>
      <c r="E372" s="102">
        <f t="shared" si="16"/>
        <v>0</v>
      </c>
      <c r="F372" s="103" t="str">
        <f t="shared" si="12"/>
        <v>0 tubes and 0 shuttles</v>
      </c>
      <c r="G372" s="36">
        <f t="shared" si="17"/>
        <v>0</v>
      </c>
      <c r="H372" s="104" t="str">
        <f t="shared" si="13"/>
        <v>0 tubes and 0 shuttles</v>
      </c>
      <c r="I372" s="36">
        <f t="shared" si="14"/>
        <v>0</v>
      </c>
      <c r="J372" s="103" t="str">
        <f t="shared" si="15"/>
        <v>0 tubes and 0 shuttles</v>
      </c>
    </row>
    <row r="373" spans="1:10" ht="12.5" x14ac:dyDescent="0.25">
      <c r="A373" s="32">
        <f>'Profit &amp; Loss'!A373</f>
        <v>0</v>
      </c>
      <c r="B373" s="35">
        <f>'Profit &amp; Loss'!B373</f>
        <v>0</v>
      </c>
      <c r="C373" s="36"/>
      <c r="D373" s="33"/>
      <c r="E373" s="102">
        <f t="shared" si="16"/>
        <v>0</v>
      </c>
      <c r="F373" s="103" t="str">
        <f t="shared" si="12"/>
        <v>0 tubes and 0 shuttles</v>
      </c>
      <c r="G373" s="36">
        <f t="shared" si="17"/>
        <v>0</v>
      </c>
      <c r="H373" s="104" t="str">
        <f t="shared" si="13"/>
        <v>0 tubes and 0 shuttles</v>
      </c>
      <c r="I373" s="36">
        <f t="shared" si="14"/>
        <v>0</v>
      </c>
      <c r="J373" s="103" t="str">
        <f t="shared" si="15"/>
        <v>0 tubes and 0 shuttles</v>
      </c>
    </row>
    <row r="374" spans="1:10" ht="12.5" x14ac:dyDescent="0.25">
      <c r="A374" s="32">
        <f>'Profit &amp; Loss'!A374</f>
        <v>0</v>
      </c>
      <c r="B374" s="35">
        <f>'Profit &amp; Loss'!B374</f>
        <v>0</v>
      </c>
      <c r="C374" s="36"/>
      <c r="D374" s="33"/>
      <c r="E374" s="102">
        <f t="shared" si="16"/>
        <v>0</v>
      </c>
      <c r="F374" s="103" t="str">
        <f t="shared" si="12"/>
        <v>0 tubes and 0 shuttles</v>
      </c>
      <c r="G374" s="36">
        <f t="shared" si="17"/>
        <v>0</v>
      </c>
      <c r="H374" s="104" t="str">
        <f t="shared" si="13"/>
        <v>0 tubes and 0 shuttles</v>
      </c>
      <c r="I374" s="36">
        <f t="shared" si="14"/>
        <v>0</v>
      </c>
      <c r="J374" s="103" t="str">
        <f t="shared" si="15"/>
        <v>0 tubes and 0 shuttles</v>
      </c>
    </row>
    <row r="375" spans="1:10" ht="12.5" x14ac:dyDescent="0.25">
      <c r="A375" s="32">
        <f>'Profit &amp; Loss'!A375</f>
        <v>0</v>
      </c>
      <c r="B375" s="35">
        <f>'Profit &amp; Loss'!B375</f>
        <v>0</v>
      </c>
      <c r="C375" s="36"/>
      <c r="D375" s="33"/>
      <c r="E375" s="102">
        <f t="shared" si="16"/>
        <v>0</v>
      </c>
      <c r="F375" s="103" t="str">
        <f t="shared" si="12"/>
        <v>0 tubes and 0 shuttles</v>
      </c>
      <c r="G375" s="36">
        <f t="shared" si="17"/>
        <v>0</v>
      </c>
      <c r="H375" s="104" t="str">
        <f t="shared" si="13"/>
        <v>0 tubes and 0 shuttles</v>
      </c>
      <c r="I375" s="36">
        <f t="shared" si="14"/>
        <v>0</v>
      </c>
      <c r="J375" s="103" t="str">
        <f t="shared" si="15"/>
        <v>0 tubes and 0 shuttles</v>
      </c>
    </row>
    <row r="376" spans="1:10" ht="12.5" x14ac:dyDescent="0.25">
      <c r="A376" s="32">
        <f>'Profit &amp; Loss'!A376</f>
        <v>0</v>
      </c>
      <c r="B376" s="35">
        <f>'Profit &amp; Loss'!B376</f>
        <v>0</v>
      </c>
      <c r="C376" s="36"/>
      <c r="D376" s="33"/>
      <c r="E376" s="102">
        <f t="shared" si="16"/>
        <v>0</v>
      </c>
      <c r="F376" s="103" t="str">
        <f t="shared" si="12"/>
        <v>0 tubes and 0 shuttles</v>
      </c>
      <c r="G376" s="36">
        <f t="shared" si="17"/>
        <v>0</v>
      </c>
      <c r="H376" s="104" t="str">
        <f t="shared" si="13"/>
        <v>0 tubes and 0 shuttles</v>
      </c>
      <c r="I376" s="36">
        <f t="shared" si="14"/>
        <v>0</v>
      </c>
      <c r="J376" s="103" t="str">
        <f t="shared" si="15"/>
        <v>0 tubes and 0 shuttles</v>
      </c>
    </row>
    <row r="377" spans="1:10" ht="12.5" x14ac:dyDescent="0.25">
      <c r="A377" s="32">
        <f>'Profit &amp; Loss'!A377</f>
        <v>0</v>
      </c>
      <c r="B377" s="35">
        <f>'Profit &amp; Loss'!B377</f>
        <v>0</v>
      </c>
      <c r="C377" s="36"/>
      <c r="D377" s="33"/>
      <c r="E377" s="102">
        <f t="shared" si="16"/>
        <v>0</v>
      </c>
      <c r="F377" s="103" t="str">
        <f t="shared" si="12"/>
        <v>0 tubes and 0 shuttles</v>
      </c>
      <c r="G377" s="36">
        <f t="shared" si="17"/>
        <v>0</v>
      </c>
      <c r="H377" s="104" t="str">
        <f t="shared" si="13"/>
        <v>0 tubes and 0 shuttles</v>
      </c>
      <c r="I377" s="36">
        <f t="shared" si="14"/>
        <v>0</v>
      </c>
      <c r="J377" s="103" t="str">
        <f t="shared" si="15"/>
        <v>0 tubes and 0 shuttles</v>
      </c>
    </row>
    <row r="378" spans="1:10" ht="12.5" x14ac:dyDescent="0.25">
      <c r="A378" s="32">
        <f>'Profit &amp; Loss'!A378</f>
        <v>0</v>
      </c>
      <c r="B378" s="35">
        <f>'Profit &amp; Loss'!B378</f>
        <v>0</v>
      </c>
      <c r="C378" s="36"/>
      <c r="D378" s="33"/>
      <c r="E378" s="102">
        <f t="shared" si="16"/>
        <v>0</v>
      </c>
      <c r="F378" s="103" t="str">
        <f t="shared" si="12"/>
        <v>0 tubes and 0 shuttles</v>
      </c>
      <c r="G378" s="36">
        <f t="shared" si="17"/>
        <v>0</v>
      </c>
      <c r="H378" s="104" t="str">
        <f t="shared" si="13"/>
        <v>0 tubes and 0 shuttles</v>
      </c>
      <c r="I378" s="36">
        <f t="shared" si="14"/>
        <v>0</v>
      </c>
      <c r="J378" s="103" t="str">
        <f t="shared" si="15"/>
        <v>0 tubes and 0 shuttles</v>
      </c>
    </row>
    <row r="379" spans="1:10" ht="12.5" x14ac:dyDescent="0.25">
      <c r="A379" s="32">
        <f>'Profit &amp; Loss'!A379</f>
        <v>0</v>
      </c>
      <c r="B379" s="35">
        <f>'Profit &amp; Loss'!B379</f>
        <v>0</v>
      </c>
      <c r="C379" s="36"/>
      <c r="D379" s="33"/>
      <c r="E379" s="102">
        <f t="shared" si="16"/>
        <v>0</v>
      </c>
      <c r="F379" s="103" t="str">
        <f t="shared" si="12"/>
        <v>0 tubes and 0 shuttles</v>
      </c>
      <c r="G379" s="36">
        <f t="shared" si="17"/>
        <v>0</v>
      </c>
      <c r="H379" s="104" t="str">
        <f t="shared" si="13"/>
        <v>0 tubes and 0 shuttles</v>
      </c>
      <c r="I379" s="36">
        <f t="shared" si="14"/>
        <v>0</v>
      </c>
      <c r="J379" s="103" t="str">
        <f t="shared" si="15"/>
        <v>0 tubes and 0 shuttles</v>
      </c>
    </row>
    <row r="380" spans="1:10" ht="12.5" x14ac:dyDescent="0.25">
      <c r="A380" s="32">
        <f>'Profit &amp; Loss'!A380</f>
        <v>0</v>
      </c>
      <c r="B380" s="35">
        <f>'Profit &amp; Loss'!B380</f>
        <v>0</v>
      </c>
      <c r="C380" s="36"/>
      <c r="D380" s="33"/>
      <c r="E380" s="102">
        <f t="shared" si="16"/>
        <v>0</v>
      </c>
      <c r="F380" s="103" t="str">
        <f t="shared" si="12"/>
        <v>0 tubes and 0 shuttles</v>
      </c>
      <c r="G380" s="36">
        <f t="shared" si="17"/>
        <v>0</v>
      </c>
      <c r="H380" s="104" t="str">
        <f t="shared" si="13"/>
        <v>0 tubes and 0 shuttles</v>
      </c>
      <c r="I380" s="36">
        <f t="shared" si="14"/>
        <v>0</v>
      </c>
      <c r="J380" s="103" t="str">
        <f t="shared" si="15"/>
        <v>0 tubes and 0 shuttles</v>
      </c>
    </row>
    <row r="381" spans="1:10" ht="12.5" x14ac:dyDescent="0.25">
      <c r="A381" s="32">
        <f>'Profit &amp; Loss'!A381</f>
        <v>0</v>
      </c>
      <c r="B381" s="35">
        <f>'Profit &amp; Loss'!B381</f>
        <v>0</v>
      </c>
      <c r="C381" s="36"/>
      <c r="D381" s="33"/>
      <c r="E381" s="102">
        <f t="shared" si="16"/>
        <v>0</v>
      </c>
      <c r="F381" s="103" t="str">
        <f t="shared" si="12"/>
        <v>0 tubes and 0 shuttles</v>
      </c>
      <c r="G381" s="36">
        <f t="shared" si="17"/>
        <v>0</v>
      </c>
      <c r="H381" s="104" t="str">
        <f t="shared" si="13"/>
        <v>0 tubes and 0 shuttles</v>
      </c>
      <c r="I381" s="36">
        <f t="shared" si="14"/>
        <v>0</v>
      </c>
      <c r="J381" s="103" t="str">
        <f t="shared" si="15"/>
        <v>0 tubes and 0 shuttles</v>
      </c>
    </row>
    <row r="382" spans="1:10" ht="12.5" x14ac:dyDescent="0.25">
      <c r="A382" s="32">
        <f>'Profit &amp; Loss'!A382</f>
        <v>0</v>
      </c>
      <c r="B382" s="35">
        <f>'Profit &amp; Loss'!B382</f>
        <v>0</v>
      </c>
      <c r="C382" s="36"/>
      <c r="D382" s="33"/>
      <c r="E382" s="102">
        <f t="shared" si="16"/>
        <v>0</v>
      </c>
      <c r="F382" s="103" t="str">
        <f t="shared" si="12"/>
        <v>0 tubes and 0 shuttles</v>
      </c>
      <c r="G382" s="36">
        <f t="shared" si="17"/>
        <v>0</v>
      </c>
      <c r="H382" s="104" t="str">
        <f t="shared" si="13"/>
        <v>0 tubes and 0 shuttles</v>
      </c>
      <c r="I382" s="36">
        <f t="shared" si="14"/>
        <v>0</v>
      </c>
      <c r="J382" s="103" t="str">
        <f t="shared" si="15"/>
        <v>0 tubes and 0 shuttles</v>
      </c>
    </row>
    <row r="383" spans="1:10" ht="12.5" x14ac:dyDescent="0.25">
      <c r="A383" s="32">
        <f>'Profit &amp; Loss'!A383</f>
        <v>0</v>
      </c>
      <c r="B383" s="35">
        <f>'Profit &amp; Loss'!B383</f>
        <v>0</v>
      </c>
      <c r="C383" s="36"/>
      <c r="D383" s="33"/>
      <c r="E383" s="102">
        <f t="shared" si="16"/>
        <v>0</v>
      </c>
      <c r="F383" s="103" t="str">
        <f t="shared" si="12"/>
        <v>0 tubes and 0 shuttles</v>
      </c>
      <c r="G383" s="36">
        <f t="shared" si="17"/>
        <v>0</v>
      </c>
      <c r="H383" s="104" t="str">
        <f t="shared" si="13"/>
        <v>0 tubes and 0 shuttles</v>
      </c>
      <c r="I383" s="36">
        <f t="shared" si="14"/>
        <v>0</v>
      </c>
      <c r="J383" s="103" t="str">
        <f t="shared" si="15"/>
        <v>0 tubes and 0 shuttles</v>
      </c>
    </row>
    <row r="384" spans="1:10" ht="12.5" x14ac:dyDescent="0.25">
      <c r="A384" s="32">
        <f>'Profit &amp; Loss'!A384</f>
        <v>0</v>
      </c>
      <c r="B384" s="35">
        <f>'Profit &amp; Loss'!B384</f>
        <v>0</v>
      </c>
      <c r="C384" s="36"/>
      <c r="D384" s="33"/>
      <c r="E384" s="102">
        <f t="shared" si="16"/>
        <v>0</v>
      </c>
      <c r="F384" s="103" t="str">
        <f t="shared" si="12"/>
        <v>0 tubes and 0 shuttles</v>
      </c>
      <c r="G384" s="36">
        <f t="shared" si="17"/>
        <v>0</v>
      </c>
      <c r="H384" s="104" t="str">
        <f t="shared" si="13"/>
        <v>0 tubes and 0 shuttles</v>
      </c>
      <c r="I384" s="36">
        <f t="shared" si="14"/>
        <v>0</v>
      </c>
      <c r="J384" s="103" t="str">
        <f t="shared" si="15"/>
        <v>0 tubes and 0 shuttles</v>
      </c>
    </row>
    <row r="385" spans="1:10" ht="12.5" x14ac:dyDescent="0.25">
      <c r="A385" s="32">
        <f>'Profit &amp; Loss'!A385</f>
        <v>0</v>
      </c>
      <c r="B385" s="35">
        <f>'Profit &amp; Loss'!B385</f>
        <v>0</v>
      </c>
      <c r="C385" s="36"/>
      <c r="D385" s="33"/>
      <c r="E385" s="102">
        <f t="shared" si="16"/>
        <v>0</v>
      </c>
      <c r="F385" s="103" t="str">
        <f t="shared" si="12"/>
        <v>0 tubes and 0 shuttles</v>
      </c>
      <c r="G385" s="36">
        <f t="shared" si="17"/>
        <v>0</v>
      </c>
      <c r="H385" s="104" t="str">
        <f t="shared" si="13"/>
        <v>0 tubes and 0 shuttles</v>
      </c>
      <c r="I385" s="36">
        <f t="shared" si="14"/>
        <v>0</v>
      </c>
      <c r="J385" s="103" t="str">
        <f t="shared" si="15"/>
        <v>0 tubes and 0 shuttles</v>
      </c>
    </row>
    <row r="386" spans="1:10" ht="12.5" x14ac:dyDescent="0.25">
      <c r="A386" s="32">
        <f>'Profit &amp; Loss'!A386</f>
        <v>0</v>
      </c>
      <c r="B386" s="35">
        <f>'Profit &amp; Loss'!B386</f>
        <v>0</v>
      </c>
      <c r="C386" s="36"/>
      <c r="D386" s="33"/>
      <c r="E386" s="102">
        <f t="shared" si="16"/>
        <v>0</v>
      </c>
      <c r="F386" s="103" t="str">
        <f t="shared" si="12"/>
        <v>0 tubes and 0 shuttles</v>
      </c>
      <c r="G386" s="36">
        <f t="shared" si="17"/>
        <v>0</v>
      </c>
      <c r="H386" s="104" t="str">
        <f t="shared" si="13"/>
        <v>0 tubes and 0 shuttles</v>
      </c>
      <c r="I386" s="36">
        <f t="shared" si="14"/>
        <v>0</v>
      </c>
      <c r="J386" s="103" t="str">
        <f t="shared" si="15"/>
        <v>0 tubes and 0 shuttles</v>
      </c>
    </row>
    <row r="387" spans="1:10" ht="12.5" x14ac:dyDescent="0.25">
      <c r="A387" s="32">
        <f>'Profit &amp; Loss'!A387</f>
        <v>0</v>
      </c>
      <c r="B387" s="35">
        <f>'Profit &amp; Loss'!B387</f>
        <v>0</v>
      </c>
      <c r="C387" s="36"/>
      <c r="D387" s="33"/>
      <c r="E387" s="102">
        <f t="shared" si="16"/>
        <v>0</v>
      </c>
      <c r="F387" s="103" t="str">
        <f t="shared" si="12"/>
        <v>0 tubes and 0 shuttles</v>
      </c>
      <c r="G387" s="36">
        <f t="shared" si="17"/>
        <v>0</v>
      </c>
      <c r="H387" s="104" t="str">
        <f t="shared" si="13"/>
        <v>0 tubes and 0 shuttles</v>
      </c>
      <c r="I387" s="36">
        <f t="shared" si="14"/>
        <v>0</v>
      </c>
      <c r="J387" s="103" t="str">
        <f t="shared" si="15"/>
        <v>0 tubes and 0 shuttles</v>
      </c>
    </row>
    <row r="388" spans="1:10" ht="12.5" x14ac:dyDescent="0.25">
      <c r="A388" s="32">
        <f>'Profit &amp; Loss'!A388</f>
        <v>0</v>
      </c>
      <c r="B388" s="35">
        <f>'Profit &amp; Loss'!B388</f>
        <v>0</v>
      </c>
      <c r="C388" s="36"/>
      <c r="D388" s="33"/>
      <c r="E388" s="102">
        <f t="shared" si="16"/>
        <v>0</v>
      </c>
      <c r="F388" s="103" t="str">
        <f t="shared" si="12"/>
        <v>0 tubes and 0 shuttles</v>
      </c>
      <c r="G388" s="36">
        <f t="shared" si="17"/>
        <v>0</v>
      </c>
      <c r="H388" s="104" t="str">
        <f t="shared" si="13"/>
        <v>0 tubes and 0 shuttles</v>
      </c>
      <c r="I388" s="36">
        <f t="shared" si="14"/>
        <v>0</v>
      </c>
      <c r="J388" s="103" t="str">
        <f t="shared" si="15"/>
        <v>0 tubes and 0 shuttles</v>
      </c>
    </row>
    <row r="389" spans="1:10" ht="12.5" x14ac:dyDescent="0.25">
      <c r="A389" s="32">
        <f>'Profit &amp; Loss'!A389</f>
        <v>0</v>
      </c>
      <c r="B389" s="35">
        <f>'Profit &amp; Loss'!B389</f>
        <v>0</v>
      </c>
      <c r="C389" s="36"/>
      <c r="D389" s="33"/>
      <c r="E389" s="102">
        <f t="shared" si="16"/>
        <v>0</v>
      </c>
      <c r="F389" s="103" t="str">
        <f t="shared" si="12"/>
        <v>0 tubes and 0 shuttles</v>
      </c>
      <c r="G389" s="36">
        <f t="shared" si="17"/>
        <v>0</v>
      </c>
      <c r="H389" s="104" t="str">
        <f t="shared" si="13"/>
        <v>0 tubes and 0 shuttles</v>
      </c>
      <c r="I389" s="36">
        <f t="shared" si="14"/>
        <v>0</v>
      </c>
      <c r="J389" s="103" t="str">
        <f t="shared" si="15"/>
        <v>0 tubes and 0 shuttles</v>
      </c>
    </row>
    <row r="390" spans="1:10" ht="12.5" x14ac:dyDescent="0.25">
      <c r="A390" s="32">
        <f>'Profit &amp; Loss'!A390</f>
        <v>0</v>
      </c>
      <c r="B390" s="35">
        <f>'Profit &amp; Loss'!B390</f>
        <v>0</v>
      </c>
      <c r="C390" s="36"/>
      <c r="D390" s="33"/>
      <c r="E390" s="102">
        <f t="shared" si="16"/>
        <v>0</v>
      </c>
      <c r="F390" s="103" t="str">
        <f t="shared" si="12"/>
        <v>0 tubes and 0 shuttles</v>
      </c>
      <c r="G390" s="36">
        <f t="shared" si="17"/>
        <v>0</v>
      </c>
      <c r="H390" s="104" t="str">
        <f t="shared" si="13"/>
        <v>0 tubes and 0 shuttles</v>
      </c>
      <c r="I390" s="36">
        <f t="shared" si="14"/>
        <v>0</v>
      </c>
      <c r="J390" s="103" t="str">
        <f t="shared" si="15"/>
        <v>0 tubes and 0 shuttles</v>
      </c>
    </row>
    <row r="391" spans="1:10" ht="12.5" x14ac:dyDescent="0.25">
      <c r="A391" s="32">
        <f>'Profit &amp; Loss'!A391</f>
        <v>0</v>
      </c>
      <c r="B391" s="35">
        <f>'Profit &amp; Loss'!B391</f>
        <v>0</v>
      </c>
      <c r="C391" s="36"/>
      <c r="D391" s="33"/>
      <c r="E391" s="102">
        <f t="shared" si="16"/>
        <v>0</v>
      </c>
      <c r="F391" s="103" t="str">
        <f t="shared" si="12"/>
        <v>0 tubes and 0 shuttles</v>
      </c>
      <c r="G391" s="36">
        <f t="shared" si="17"/>
        <v>0</v>
      </c>
      <c r="H391" s="104" t="str">
        <f t="shared" si="13"/>
        <v>0 tubes and 0 shuttles</v>
      </c>
      <c r="I391" s="36">
        <f t="shared" si="14"/>
        <v>0</v>
      </c>
      <c r="J391" s="103" t="str">
        <f t="shared" si="15"/>
        <v>0 tubes and 0 shuttles</v>
      </c>
    </row>
    <row r="392" spans="1:10" ht="12.5" x14ac:dyDescent="0.25">
      <c r="A392" s="32">
        <f>'Profit &amp; Loss'!A392</f>
        <v>0</v>
      </c>
      <c r="B392" s="35">
        <f>'Profit &amp; Loss'!B392</f>
        <v>0</v>
      </c>
      <c r="C392" s="36"/>
      <c r="D392" s="33"/>
      <c r="E392" s="102">
        <f t="shared" si="16"/>
        <v>0</v>
      </c>
      <c r="F392" s="103" t="str">
        <f t="shared" si="12"/>
        <v>0 tubes and 0 shuttles</v>
      </c>
      <c r="G392" s="36">
        <f t="shared" si="17"/>
        <v>0</v>
      </c>
      <c r="H392" s="104" t="str">
        <f t="shared" si="13"/>
        <v>0 tubes and 0 shuttles</v>
      </c>
      <c r="I392" s="36">
        <f t="shared" si="14"/>
        <v>0</v>
      </c>
      <c r="J392" s="103" t="str">
        <f t="shared" si="15"/>
        <v>0 tubes and 0 shuttles</v>
      </c>
    </row>
    <row r="393" spans="1:10" ht="12.5" x14ac:dyDescent="0.25">
      <c r="A393" s="32">
        <f>'Profit &amp; Loss'!A393</f>
        <v>0</v>
      </c>
      <c r="B393" s="35">
        <f>'Profit &amp; Loss'!B393</f>
        <v>0</v>
      </c>
      <c r="C393" s="36"/>
      <c r="D393" s="33"/>
      <c r="E393" s="102">
        <f t="shared" si="16"/>
        <v>0</v>
      </c>
      <c r="F393" s="103" t="str">
        <f t="shared" si="12"/>
        <v>0 tubes and 0 shuttles</v>
      </c>
      <c r="G393" s="36">
        <f t="shared" si="17"/>
        <v>0</v>
      </c>
      <c r="H393" s="104" t="str">
        <f t="shared" si="13"/>
        <v>0 tubes and 0 shuttles</v>
      </c>
      <c r="I393" s="36">
        <f t="shared" si="14"/>
        <v>0</v>
      </c>
      <c r="J393" s="103" t="str">
        <f t="shared" si="15"/>
        <v>0 tubes and 0 shuttles</v>
      </c>
    </row>
    <row r="394" spans="1:10" ht="12.5" x14ac:dyDescent="0.25">
      <c r="A394" s="32">
        <f>'Profit &amp; Loss'!A394</f>
        <v>0</v>
      </c>
      <c r="B394" s="35">
        <f>'Profit &amp; Loss'!B394</f>
        <v>0</v>
      </c>
      <c r="C394" s="36"/>
      <c r="D394" s="33"/>
      <c r="E394" s="102">
        <f t="shared" si="16"/>
        <v>0</v>
      </c>
      <c r="F394" s="103" t="str">
        <f t="shared" si="12"/>
        <v>0 tubes and 0 shuttles</v>
      </c>
      <c r="G394" s="36">
        <f t="shared" si="17"/>
        <v>0</v>
      </c>
      <c r="H394" s="104" t="str">
        <f t="shared" si="13"/>
        <v>0 tubes and 0 shuttles</v>
      </c>
      <c r="I394" s="36">
        <f t="shared" si="14"/>
        <v>0</v>
      </c>
      <c r="J394" s="103" t="str">
        <f t="shared" si="15"/>
        <v>0 tubes and 0 shuttles</v>
      </c>
    </row>
    <row r="395" spans="1:10" ht="12.5" x14ac:dyDescent="0.25">
      <c r="A395" s="32">
        <f>'Profit &amp; Loss'!A395</f>
        <v>0</v>
      </c>
      <c r="B395" s="35">
        <f>'Profit &amp; Loss'!B395</f>
        <v>0</v>
      </c>
      <c r="C395" s="36"/>
      <c r="D395" s="33"/>
      <c r="E395" s="102">
        <f t="shared" si="16"/>
        <v>0</v>
      </c>
      <c r="F395" s="103" t="str">
        <f t="shared" si="12"/>
        <v>0 tubes and 0 shuttles</v>
      </c>
      <c r="G395" s="36">
        <f t="shared" si="17"/>
        <v>0</v>
      </c>
      <c r="H395" s="104" t="str">
        <f t="shared" si="13"/>
        <v>0 tubes and 0 shuttles</v>
      </c>
      <c r="I395" s="36">
        <f t="shared" si="14"/>
        <v>0</v>
      </c>
      <c r="J395" s="103" t="str">
        <f t="shared" si="15"/>
        <v>0 tubes and 0 shuttles</v>
      </c>
    </row>
    <row r="396" spans="1:10" ht="12.5" x14ac:dyDescent="0.25">
      <c r="A396" s="32">
        <f>'Profit &amp; Loss'!A396</f>
        <v>0</v>
      </c>
      <c r="B396" s="35">
        <f>'Profit &amp; Loss'!B396</f>
        <v>0</v>
      </c>
      <c r="C396" s="36"/>
      <c r="D396" s="33"/>
      <c r="E396" s="102">
        <f t="shared" si="16"/>
        <v>0</v>
      </c>
      <c r="F396" s="103" t="str">
        <f t="shared" si="12"/>
        <v>0 tubes and 0 shuttles</v>
      </c>
      <c r="G396" s="36">
        <f t="shared" si="17"/>
        <v>0</v>
      </c>
      <c r="H396" s="104" t="str">
        <f t="shared" si="13"/>
        <v>0 tubes and 0 shuttles</v>
      </c>
      <c r="I396" s="36">
        <f t="shared" si="14"/>
        <v>0</v>
      </c>
      <c r="J396" s="103" t="str">
        <f t="shared" si="15"/>
        <v>0 tubes and 0 shuttles</v>
      </c>
    </row>
    <row r="397" spans="1:10" ht="12.5" x14ac:dyDescent="0.25">
      <c r="A397" s="32">
        <f>'Profit &amp; Loss'!A397</f>
        <v>0</v>
      </c>
      <c r="B397" s="35">
        <f>'Profit &amp; Loss'!B397</f>
        <v>0</v>
      </c>
      <c r="C397" s="36"/>
      <c r="D397" s="33"/>
      <c r="E397" s="102">
        <f t="shared" si="16"/>
        <v>0</v>
      </c>
      <c r="F397" s="103" t="str">
        <f t="shared" si="12"/>
        <v>0 tubes and 0 shuttles</v>
      </c>
      <c r="G397" s="36">
        <f t="shared" si="17"/>
        <v>0</v>
      </c>
      <c r="H397" s="104" t="str">
        <f t="shared" si="13"/>
        <v>0 tubes and 0 shuttles</v>
      </c>
      <c r="I397" s="36">
        <f t="shared" si="14"/>
        <v>0</v>
      </c>
      <c r="J397" s="103" t="str">
        <f t="shared" si="15"/>
        <v>0 tubes and 0 shuttles</v>
      </c>
    </row>
    <row r="398" spans="1:10" ht="12.5" x14ac:dyDescent="0.25">
      <c r="A398" s="32">
        <f>'Profit &amp; Loss'!A398</f>
        <v>0</v>
      </c>
      <c r="B398" s="35">
        <f>'Profit &amp; Loss'!B398</f>
        <v>0</v>
      </c>
      <c r="C398" s="36"/>
      <c r="D398" s="33"/>
      <c r="E398" s="102">
        <f t="shared" si="16"/>
        <v>0</v>
      </c>
      <c r="F398" s="103" t="str">
        <f t="shared" si="12"/>
        <v>0 tubes and 0 shuttles</v>
      </c>
      <c r="G398" s="36">
        <f t="shared" si="17"/>
        <v>0</v>
      </c>
      <c r="H398" s="104" t="str">
        <f t="shared" si="13"/>
        <v>0 tubes and 0 shuttles</v>
      </c>
      <c r="I398" s="36">
        <f t="shared" si="14"/>
        <v>0</v>
      </c>
      <c r="J398" s="103" t="str">
        <f t="shared" si="15"/>
        <v>0 tubes and 0 shuttles</v>
      </c>
    </row>
    <row r="399" spans="1:10" ht="12.5" x14ac:dyDescent="0.25">
      <c r="A399" s="32">
        <f>'Profit &amp; Loss'!A399</f>
        <v>0</v>
      </c>
      <c r="B399" s="35">
        <f>'Profit &amp; Loss'!B399</f>
        <v>0</v>
      </c>
      <c r="C399" s="36"/>
      <c r="D399" s="33"/>
      <c r="E399" s="102">
        <f t="shared" si="16"/>
        <v>0</v>
      </c>
      <c r="F399" s="103" t="str">
        <f t="shared" si="12"/>
        <v>0 tubes and 0 shuttles</v>
      </c>
      <c r="G399" s="36">
        <f t="shared" si="17"/>
        <v>0</v>
      </c>
      <c r="H399" s="104" t="str">
        <f t="shared" si="13"/>
        <v>0 tubes and 0 shuttles</v>
      </c>
      <c r="I399" s="36">
        <f t="shared" si="14"/>
        <v>0</v>
      </c>
      <c r="J399" s="103" t="str">
        <f t="shared" si="15"/>
        <v>0 tubes and 0 shuttles</v>
      </c>
    </row>
    <row r="400" spans="1:10" ht="12.5" x14ac:dyDescent="0.25">
      <c r="A400" s="32">
        <f>'Profit &amp; Loss'!A400</f>
        <v>0</v>
      </c>
      <c r="B400" s="35">
        <f>'Profit &amp; Loss'!B400</f>
        <v>0</v>
      </c>
      <c r="C400" s="36"/>
      <c r="D400" s="33"/>
      <c r="E400" s="102">
        <f t="shared" si="16"/>
        <v>0</v>
      </c>
      <c r="F400" s="103" t="str">
        <f t="shared" si="12"/>
        <v>0 tubes and 0 shuttles</v>
      </c>
      <c r="G400" s="36">
        <f t="shared" si="17"/>
        <v>0</v>
      </c>
      <c r="H400" s="104" t="str">
        <f t="shared" si="13"/>
        <v>0 tubes and 0 shuttles</v>
      </c>
      <c r="I400" s="36">
        <f t="shared" si="14"/>
        <v>0</v>
      </c>
      <c r="J400" s="103" t="str">
        <f t="shared" si="15"/>
        <v>0 tubes and 0 shuttles</v>
      </c>
    </row>
    <row r="401" spans="1:10" ht="12.5" x14ac:dyDescent="0.25">
      <c r="A401" s="32">
        <f>'Profit &amp; Loss'!A401</f>
        <v>0</v>
      </c>
      <c r="B401" s="35">
        <f>'Profit &amp; Loss'!B401</f>
        <v>0</v>
      </c>
      <c r="C401" s="36"/>
      <c r="D401" s="33"/>
      <c r="E401" s="102">
        <f t="shared" si="16"/>
        <v>0</v>
      </c>
      <c r="F401" s="103" t="str">
        <f t="shared" si="12"/>
        <v>0 tubes and 0 shuttles</v>
      </c>
      <c r="G401" s="36">
        <f t="shared" si="17"/>
        <v>0</v>
      </c>
      <c r="H401" s="104" t="str">
        <f t="shared" si="13"/>
        <v>0 tubes and 0 shuttles</v>
      </c>
      <c r="I401" s="36">
        <f t="shared" si="14"/>
        <v>0</v>
      </c>
      <c r="J401" s="103" t="str">
        <f t="shared" si="15"/>
        <v>0 tubes and 0 shuttles</v>
      </c>
    </row>
    <row r="402" spans="1:10" ht="12.5" x14ac:dyDescent="0.25">
      <c r="A402" s="32">
        <f>'Profit &amp; Loss'!A402</f>
        <v>0</v>
      </c>
      <c r="B402" s="35">
        <f>'Profit &amp; Loss'!B402</f>
        <v>0</v>
      </c>
      <c r="C402" s="36"/>
      <c r="D402" s="33"/>
      <c r="E402" s="102">
        <f t="shared" si="16"/>
        <v>0</v>
      </c>
      <c r="F402" s="103" t="str">
        <f t="shared" si="12"/>
        <v>0 tubes and 0 shuttles</v>
      </c>
      <c r="G402" s="36">
        <f t="shared" si="17"/>
        <v>0</v>
      </c>
      <c r="H402" s="104" t="str">
        <f t="shared" si="13"/>
        <v>0 tubes and 0 shuttles</v>
      </c>
      <c r="I402" s="36">
        <f t="shared" si="14"/>
        <v>0</v>
      </c>
      <c r="J402" s="103" t="str">
        <f t="shared" si="15"/>
        <v>0 tubes and 0 shuttles</v>
      </c>
    </row>
    <row r="403" spans="1:10" ht="12.5" x14ac:dyDescent="0.25">
      <c r="A403" s="32">
        <f>'Profit &amp; Loss'!A403</f>
        <v>0</v>
      </c>
      <c r="B403" s="35">
        <f>'Profit &amp; Loss'!B403</f>
        <v>0</v>
      </c>
      <c r="C403" s="36"/>
      <c r="D403" s="33"/>
      <c r="E403" s="102">
        <f t="shared" si="16"/>
        <v>0</v>
      </c>
      <c r="F403" s="103" t="str">
        <f t="shared" si="12"/>
        <v>0 tubes and 0 shuttles</v>
      </c>
      <c r="G403" s="36">
        <f t="shared" si="17"/>
        <v>0</v>
      </c>
      <c r="H403" s="104" t="str">
        <f t="shared" si="13"/>
        <v>0 tubes and 0 shuttles</v>
      </c>
      <c r="I403" s="36">
        <f t="shared" si="14"/>
        <v>0</v>
      </c>
      <c r="J403" s="103" t="str">
        <f t="shared" si="15"/>
        <v>0 tubes and 0 shuttles</v>
      </c>
    </row>
    <row r="404" spans="1:10" ht="12.5" x14ac:dyDescent="0.25">
      <c r="A404" s="32">
        <f>'Profit &amp; Loss'!A404</f>
        <v>0</v>
      </c>
      <c r="B404" s="35">
        <f>'Profit &amp; Loss'!B404</f>
        <v>0</v>
      </c>
      <c r="C404" s="36"/>
      <c r="D404" s="33"/>
      <c r="E404" s="102">
        <f t="shared" si="16"/>
        <v>0</v>
      </c>
      <c r="F404" s="103" t="str">
        <f t="shared" si="12"/>
        <v>0 tubes and 0 shuttles</v>
      </c>
      <c r="G404" s="36">
        <f t="shared" si="17"/>
        <v>0</v>
      </c>
      <c r="H404" s="104" t="str">
        <f t="shared" si="13"/>
        <v>0 tubes and 0 shuttles</v>
      </c>
      <c r="I404" s="36">
        <f t="shared" si="14"/>
        <v>0</v>
      </c>
      <c r="J404" s="103" t="str">
        <f t="shared" si="15"/>
        <v>0 tubes and 0 shuttles</v>
      </c>
    </row>
    <row r="405" spans="1:10" ht="12.5" x14ac:dyDescent="0.25">
      <c r="A405" s="32">
        <f>'Profit &amp; Loss'!A405</f>
        <v>0</v>
      </c>
      <c r="B405" s="35">
        <f>'Profit &amp; Loss'!B405</f>
        <v>0</v>
      </c>
      <c r="C405" s="36"/>
      <c r="D405" s="33"/>
      <c r="E405" s="102">
        <f t="shared" si="16"/>
        <v>0</v>
      </c>
      <c r="F405" s="103" t="str">
        <f t="shared" si="12"/>
        <v>0 tubes and 0 shuttles</v>
      </c>
      <c r="G405" s="36">
        <f t="shared" si="17"/>
        <v>0</v>
      </c>
      <c r="H405" s="104" t="str">
        <f t="shared" si="13"/>
        <v>0 tubes and 0 shuttles</v>
      </c>
      <c r="I405" s="36">
        <f t="shared" si="14"/>
        <v>0</v>
      </c>
      <c r="J405" s="103" t="str">
        <f t="shared" si="15"/>
        <v>0 tubes and 0 shuttles</v>
      </c>
    </row>
    <row r="406" spans="1:10" ht="12.5" x14ac:dyDescent="0.25">
      <c r="A406" s="32">
        <f>'Profit &amp; Loss'!A406</f>
        <v>0</v>
      </c>
      <c r="B406" s="35">
        <f>'Profit &amp; Loss'!B406</f>
        <v>0</v>
      </c>
      <c r="C406" s="36"/>
      <c r="D406" s="33"/>
      <c r="E406" s="102">
        <f t="shared" si="16"/>
        <v>0</v>
      </c>
      <c r="F406" s="103" t="str">
        <f t="shared" si="12"/>
        <v>0 tubes and 0 shuttles</v>
      </c>
      <c r="G406" s="36">
        <f t="shared" si="17"/>
        <v>0</v>
      </c>
      <c r="H406" s="104" t="str">
        <f t="shared" si="13"/>
        <v>0 tubes and 0 shuttles</v>
      </c>
      <c r="I406" s="36">
        <f t="shared" si="14"/>
        <v>0</v>
      </c>
      <c r="J406" s="103" t="str">
        <f t="shared" si="15"/>
        <v>0 tubes and 0 shuttles</v>
      </c>
    </row>
    <row r="407" spans="1:10" ht="12.5" x14ac:dyDescent="0.25">
      <c r="A407" s="32">
        <f>'Profit &amp; Loss'!A407</f>
        <v>0</v>
      </c>
      <c r="B407" s="35">
        <f>'Profit &amp; Loss'!B407</f>
        <v>0</v>
      </c>
      <c r="C407" s="36"/>
      <c r="D407" s="33"/>
      <c r="E407" s="102">
        <f t="shared" si="16"/>
        <v>0</v>
      </c>
      <c r="F407" s="103" t="str">
        <f t="shared" si="12"/>
        <v>0 tubes and 0 shuttles</v>
      </c>
      <c r="G407" s="36">
        <f t="shared" si="17"/>
        <v>0</v>
      </c>
      <c r="H407" s="104" t="str">
        <f t="shared" si="13"/>
        <v>0 tubes and 0 shuttles</v>
      </c>
      <c r="I407" s="36">
        <f t="shared" si="14"/>
        <v>0</v>
      </c>
      <c r="J407" s="103" t="str">
        <f t="shared" si="15"/>
        <v>0 tubes and 0 shuttles</v>
      </c>
    </row>
    <row r="408" spans="1:10" ht="12.5" x14ac:dyDescent="0.25">
      <c r="A408" s="32">
        <f>'Profit &amp; Loss'!A408</f>
        <v>0</v>
      </c>
      <c r="B408" s="35">
        <f>'Profit &amp; Loss'!B408</f>
        <v>0</v>
      </c>
      <c r="C408" s="36"/>
      <c r="D408" s="33"/>
      <c r="E408" s="102">
        <f t="shared" si="16"/>
        <v>0</v>
      </c>
      <c r="F408" s="103" t="str">
        <f t="shared" si="12"/>
        <v>0 tubes and 0 shuttles</v>
      </c>
      <c r="G408" s="36">
        <f t="shared" si="17"/>
        <v>0</v>
      </c>
      <c r="H408" s="104" t="str">
        <f t="shared" si="13"/>
        <v>0 tubes and 0 shuttles</v>
      </c>
      <c r="I408" s="36">
        <f t="shared" si="14"/>
        <v>0</v>
      </c>
      <c r="J408" s="103" t="str">
        <f t="shared" si="15"/>
        <v>0 tubes and 0 shuttles</v>
      </c>
    </row>
    <row r="409" spans="1:10" ht="12.5" x14ac:dyDescent="0.25">
      <c r="A409" s="32">
        <f>'Profit &amp; Loss'!A409</f>
        <v>0</v>
      </c>
      <c r="B409" s="35">
        <f>'Profit &amp; Loss'!B409</f>
        <v>0</v>
      </c>
      <c r="C409" s="36"/>
      <c r="D409" s="33"/>
      <c r="E409" s="102">
        <f t="shared" si="16"/>
        <v>0</v>
      </c>
      <c r="F409" s="103" t="str">
        <f t="shared" si="12"/>
        <v>0 tubes and 0 shuttles</v>
      </c>
      <c r="G409" s="36">
        <f t="shared" si="17"/>
        <v>0</v>
      </c>
      <c r="H409" s="104" t="str">
        <f t="shared" si="13"/>
        <v>0 tubes and 0 shuttles</v>
      </c>
      <c r="I409" s="36">
        <f t="shared" si="14"/>
        <v>0</v>
      </c>
      <c r="J409" s="103" t="str">
        <f t="shared" si="15"/>
        <v>0 tubes and 0 shuttles</v>
      </c>
    </row>
    <row r="410" spans="1:10" ht="12.5" x14ac:dyDescent="0.25">
      <c r="A410" s="32">
        <f>'Profit &amp; Loss'!A410</f>
        <v>0</v>
      </c>
      <c r="B410" s="35">
        <f>'Profit &amp; Loss'!B410</f>
        <v>0</v>
      </c>
      <c r="C410" s="36"/>
      <c r="D410" s="33"/>
      <c r="E410" s="102">
        <f t="shared" si="16"/>
        <v>0</v>
      </c>
      <c r="F410" s="103" t="str">
        <f t="shared" si="12"/>
        <v>0 tubes and 0 shuttles</v>
      </c>
      <c r="G410" s="36">
        <f t="shared" si="17"/>
        <v>0</v>
      </c>
      <c r="H410" s="104" t="str">
        <f t="shared" si="13"/>
        <v>0 tubes and 0 shuttles</v>
      </c>
      <c r="I410" s="36">
        <f t="shared" si="14"/>
        <v>0</v>
      </c>
      <c r="J410" s="103" t="str">
        <f t="shared" si="15"/>
        <v>0 tubes and 0 shuttles</v>
      </c>
    </row>
    <row r="411" spans="1:10" ht="12.5" x14ac:dyDescent="0.25">
      <c r="A411" s="32">
        <f>'Profit &amp; Loss'!A411</f>
        <v>0</v>
      </c>
      <c r="B411" s="35">
        <f>'Profit &amp; Loss'!B411</f>
        <v>0</v>
      </c>
      <c r="C411" s="36"/>
      <c r="D411" s="33"/>
      <c r="E411" s="102">
        <f t="shared" si="16"/>
        <v>0</v>
      </c>
      <c r="F411" s="103" t="str">
        <f t="shared" si="12"/>
        <v>0 tubes and 0 shuttles</v>
      </c>
      <c r="G411" s="36">
        <f t="shared" si="17"/>
        <v>0</v>
      </c>
      <c r="H411" s="104" t="str">
        <f t="shared" si="13"/>
        <v>0 tubes and 0 shuttles</v>
      </c>
      <c r="I411" s="36">
        <f t="shared" si="14"/>
        <v>0</v>
      </c>
      <c r="J411" s="103" t="str">
        <f t="shared" si="15"/>
        <v>0 tubes and 0 shuttles</v>
      </c>
    </row>
    <row r="412" spans="1:10" ht="12.5" x14ac:dyDescent="0.25">
      <c r="A412" s="32">
        <f>'Profit &amp; Loss'!A412</f>
        <v>0</v>
      </c>
      <c r="B412" s="35">
        <f>'Profit &amp; Loss'!B412</f>
        <v>0</v>
      </c>
      <c r="C412" s="36"/>
      <c r="D412" s="33"/>
      <c r="E412" s="102">
        <f t="shared" si="16"/>
        <v>0</v>
      </c>
      <c r="F412" s="103" t="str">
        <f t="shared" si="12"/>
        <v>0 tubes and 0 shuttles</v>
      </c>
      <c r="G412" s="36">
        <f t="shared" si="17"/>
        <v>0</v>
      </c>
      <c r="H412" s="104" t="str">
        <f t="shared" si="13"/>
        <v>0 tubes and 0 shuttles</v>
      </c>
      <c r="I412" s="36">
        <f t="shared" si="14"/>
        <v>0</v>
      </c>
      <c r="J412" s="103" t="str">
        <f t="shared" si="15"/>
        <v>0 tubes and 0 shuttles</v>
      </c>
    </row>
    <row r="413" spans="1:10" ht="12.5" x14ac:dyDescent="0.25">
      <c r="A413" s="32">
        <f>'Profit &amp; Loss'!A413</f>
        <v>0</v>
      </c>
      <c r="B413" s="35">
        <f>'Profit &amp; Loss'!B413</f>
        <v>0</v>
      </c>
      <c r="C413" s="36"/>
      <c r="D413" s="33"/>
      <c r="E413" s="102">
        <f t="shared" si="16"/>
        <v>0</v>
      </c>
      <c r="F413" s="103" t="str">
        <f t="shared" si="12"/>
        <v>0 tubes and 0 shuttles</v>
      </c>
      <c r="G413" s="36">
        <f t="shared" si="17"/>
        <v>0</v>
      </c>
      <c r="H413" s="104" t="str">
        <f t="shared" si="13"/>
        <v>0 tubes and 0 shuttles</v>
      </c>
      <c r="I413" s="36">
        <f t="shared" si="14"/>
        <v>0</v>
      </c>
      <c r="J413" s="103" t="str">
        <f t="shared" si="15"/>
        <v>0 tubes and 0 shuttles</v>
      </c>
    </row>
    <row r="414" spans="1:10" ht="12.5" x14ac:dyDescent="0.25">
      <c r="A414" s="32">
        <f>'Profit &amp; Loss'!A414</f>
        <v>0</v>
      </c>
      <c r="B414" s="35">
        <f>'Profit &amp; Loss'!B414</f>
        <v>0</v>
      </c>
      <c r="C414" s="36"/>
      <c r="D414" s="33"/>
      <c r="E414" s="102">
        <f t="shared" si="16"/>
        <v>0</v>
      </c>
      <c r="F414" s="103" t="str">
        <f t="shared" si="12"/>
        <v>0 tubes and 0 shuttles</v>
      </c>
      <c r="G414" s="36">
        <f t="shared" si="17"/>
        <v>0</v>
      </c>
      <c r="H414" s="104" t="str">
        <f t="shared" si="13"/>
        <v>0 tubes and 0 shuttles</v>
      </c>
      <c r="I414" s="36">
        <f t="shared" si="14"/>
        <v>0</v>
      </c>
      <c r="J414" s="103" t="str">
        <f t="shared" si="15"/>
        <v>0 tubes and 0 shuttles</v>
      </c>
    </row>
    <row r="415" spans="1:10" ht="12.5" x14ac:dyDescent="0.25">
      <c r="A415" s="32">
        <f>'Profit &amp; Loss'!A415</f>
        <v>0</v>
      </c>
      <c r="B415" s="35">
        <f>'Profit &amp; Loss'!B415</f>
        <v>0</v>
      </c>
      <c r="C415" s="36"/>
      <c r="D415" s="33"/>
      <c r="E415" s="102">
        <f t="shared" si="16"/>
        <v>0</v>
      </c>
      <c r="F415" s="103" t="str">
        <f t="shared" si="12"/>
        <v>0 tubes and 0 shuttles</v>
      </c>
      <c r="G415" s="36">
        <f t="shared" si="17"/>
        <v>0</v>
      </c>
      <c r="H415" s="104" t="str">
        <f t="shared" si="13"/>
        <v>0 tubes and 0 shuttles</v>
      </c>
      <c r="I415" s="36">
        <f t="shared" si="14"/>
        <v>0</v>
      </c>
      <c r="J415" s="103" t="str">
        <f t="shared" si="15"/>
        <v>0 tubes and 0 shuttles</v>
      </c>
    </row>
    <row r="416" spans="1:10" ht="12.5" x14ac:dyDescent="0.25">
      <c r="A416" s="32">
        <f>'Profit &amp; Loss'!A416</f>
        <v>0</v>
      </c>
      <c r="B416" s="35">
        <f>'Profit &amp; Loss'!B416</f>
        <v>0</v>
      </c>
      <c r="C416" s="36"/>
      <c r="D416" s="33"/>
      <c r="E416" s="102">
        <f t="shared" si="16"/>
        <v>0</v>
      </c>
      <c r="F416" s="103" t="str">
        <f t="shared" si="12"/>
        <v>0 tubes and 0 shuttles</v>
      </c>
      <c r="G416" s="36">
        <f t="shared" si="17"/>
        <v>0</v>
      </c>
      <c r="H416" s="104" t="str">
        <f t="shared" si="13"/>
        <v>0 tubes and 0 shuttles</v>
      </c>
      <c r="I416" s="36">
        <f t="shared" si="14"/>
        <v>0</v>
      </c>
      <c r="J416" s="103" t="str">
        <f t="shared" si="15"/>
        <v>0 tubes and 0 shuttles</v>
      </c>
    </row>
    <row r="417" spans="1:10" ht="12.5" x14ac:dyDescent="0.25">
      <c r="A417" s="32">
        <f>'Profit &amp; Loss'!A417</f>
        <v>0</v>
      </c>
      <c r="B417" s="35">
        <f>'Profit &amp; Loss'!B417</f>
        <v>0</v>
      </c>
      <c r="C417" s="36"/>
      <c r="D417" s="33"/>
      <c r="E417" s="102">
        <f t="shared" si="16"/>
        <v>0</v>
      </c>
      <c r="F417" s="103" t="str">
        <f t="shared" si="12"/>
        <v>0 tubes and 0 shuttles</v>
      </c>
      <c r="G417" s="36">
        <f t="shared" si="17"/>
        <v>0</v>
      </c>
      <c r="H417" s="104" t="str">
        <f t="shared" si="13"/>
        <v>0 tubes and 0 shuttles</v>
      </c>
      <c r="I417" s="36">
        <f t="shared" si="14"/>
        <v>0</v>
      </c>
      <c r="J417" s="103" t="str">
        <f t="shared" si="15"/>
        <v>0 tubes and 0 shuttles</v>
      </c>
    </row>
    <row r="418" spans="1:10" ht="12.5" x14ac:dyDescent="0.25">
      <c r="A418" s="32">
        <f>'Profit &amp; Loss'!A418</f>
        <v>0</v>
      </c>
      <c r="B418" s="35">
        <f>'Profit &amp; Loss'!B418</f>
        <v>0</v>
      </c>
      <c r="C418" s="36"/>
      <c r="D418" s="33"/>
      <c r="E418" s="102">
        <f t="shared" si="16"/>
        <v>0</v>
      </c>
      <c r="F418" s="103" t="str">
        <f t="shared" si="12"/>
        <v>0 tubes and 0 shuttles</v>
      </c>
      <c r="G418" s="36">
        <f t="shared" si="17"/>
        <v>0</v>
      </c>
      <c r="H418" s="104" t="str">
        <f t="shared" si="13"/>
        <v>0 tubes and 0 shuttles</v>
      </c>
      <c r="I418" s="36">
        <f t="shared" si="14"/>
        <v>0</v>
      </c>
      <c r="J418" s="103" t="str">
        <f t="shared" si="15"/>
        <v>0 tubes and 0 shuttles</v>
      </c>
    </row>
    <row r="419" spans="1:10" ht="12.5" x14ac:dyDescent="0.25">
      <c r="A419" s="32">
        <f>'Profit &amp; Loss'!A419</f>
        <v>0</v>
      </c>
      <c r="B419" s="35">
        <f>'Profit &amp; Loss'!B419</f>
        <v>0</v>
      </c>
      <c r="C419" s="36"/>
      <c r="D419" s="33"/>
      <c r="E419" s="102">
        <f t="shared" si="16"/>
        <v>0</v>
      </c>
      <c r="F419" s="103" t="str">
        <f t="shared" si="12"/>
        <v>0 tubes and 0 shuttles</v>
      </c>
      <c r="G419" s="36">
        <f t="shared" si="17"/>
        <v>0</v>
      </c>
      <c r="H419" s="104" t="str">
        <f t="shared" si="13"/>
        <v>0 tubes and 0 shuttles</v>
      </c>
      <c r="I419" s="36">
        <f t="shared" si="14"/>
        <v>0</v>
      </c>
      <c r="J419" s="103" t="str">
        <f t="shared" si="15"/>
        <v>0 tubes and 0 shuttles</v>
      </c>
    </row>
    <row r="420" spans="1:10" ht="12.5" x14ac:dyDescent="0.25">
      <c r="A420" s="32">
        <f>'Profit &amp; Loss'!A420</f>
        <v>0</v>
      </c>
      <c r="B420" s="35">
        <f>'Profit &amp; Loss'!B420</f>
        <v>0</v>
      </c>
      <c r="C420" s="36"/>
      <c r="D420" s="33"/>
      <c r="E420" s="102">
        <f t="shared" si="16"/>
        <v>0</v>
      </c>
      <c r="F420" s="103" t="str">
        <f t="shared" si="12"/>
        <v>0 tubes and 0 shuttles</v>
      </c>
      <c r="G420" s="36">
        <f t="shared" si="17"/>
        <v>0</v>
      </c>
      <c r="H420" s="104" t="str">
        <f t="shared" si="13"/>
        <v>0 tubes and 0 shuttles</v>
      </c>
      <c r="I420" s="36">
        <f t="shared" si="14"/>
        <v>0</v>
      </c>
      <c r="J420" s="103" t="str">
        <f t="shared" si="15"/>
        <v>0 tubes and 0 shuttles</v>
      </c>
    </row>
    <row r="421" spans="1:10" ht="12.5" x14ac:dyDescent="0.25">
      <c r="A421" s="32">
        <f>'Profit &amp; Loss'!A421</f>
        <v>0</v>
      </c>
      <c r="B421" s="35">
        <f>'Profit &amp; Loss'!B421</f>
        <v>0</v>
      </c>
      <c r="C421" s="36"/>
      <c r="D421" s="33"/>
      <c r="E421" s="102">
        <f t="shared" si="16"/>
        <v>0</v>
      </c>
      <c r="F421" s="103" t="str">
        <f t="shared" si="12"/>
        <v>0 tubes and 0 shuttles</v>
      </c>
      <c r="G421" s="36">
        <f t="shared" si="17"/>
        <v>0</v>
      </c>
      <c r="H421" s="104" t="str">
        <f t="shared" si="13"/>
        <v>0 tubes and 0 shuttles</v>
      </c>
      <c r="I421" s="36">
        <f t="shared" si="14"/>
        <v>0</v>
      </c>
      <c r="J421" s="103" t="str">
        <f t="shared" si="15"/>
        <v>0 tubes and 0 shuttles</v>
      </c>
    </row>
    <row r="422" spans="1:10" ht="12.5" x14ac:dyDescent="0.25">
      <c r="A422" s="32">
        <f>'Profit &amp; Loss'!A422</f>
        <v>0</v>
      </c>
      <c r="B422" s="35">
        <f>'Profit &amp; Loss'!B422</f>
        <v>0</v>
      </c>
      <c r="C422" s="36"/>
      <c r="D422" s="33"/>
      <c r="E422" s="102">
        <f t="shared" si="16"/>
        <v>0</v>
      </c>
      <c r="F422" s="103" t="str">
        <f t="shared" si="12"/>
        <v>0 tubes and 0 shuttles</v>
      </c>
      <c r="G422" s="36">
        <f t="shared" si="17"/>
        <v>0</v>
      </c>
      <c r="H422" s="104" t="str">
        <f t="shared" si="13"/>
        <v>0 tubes and 0 shuttles</v>
      </c>
      <c r="I422" s="36">
        <f t="shared" si="14"/>
        <v>0</v>
      </c>
      <c r="J422" s="103" t="str">
        <f t="shared" si="15"/>
        <v>0 tubes and 0 shuttles</v>
      </c>
    </row>
    <row r="423" spans="1:10" ht="12.5" x14ac:dyDescent="0.25">
      <c r="A423" s="32">
        <f>'Profit &amp; Loss'!A423</f>
        <v>0</v>
      </c>
      <c r="B423" s="35">
        <f>'Profit &amp; Loss'!B423</f>
        <v>0</v>
      </c>
      <c r="C423" s="36"/>
      <c r="D423" s="33"/>
      <c r="E423" s="102">
        <f t="shared" si="16"/>
        <v>0</v>
      </c>
      <c r="F423" s="103" t="str">
        <f t="shared" si="12"/>
        <v>0 tubes and 0 shuttles</v>
      </c>
      <c r="G423" s="36">
        <f t="shared" si="17"/>
        <v>0</v>
      </c>
      <c r="H423" s="104" t="str">
        <f t="shared" si="13"/>
        <v>0 tubes and 0 shuttles</v>
      </c>
      <c r="I423" s="36">
        <f t="shared" si="14"/>
        <v>0</v>
      </c>
      <c r="J423" s="103" t="str">
        <f t="shared" si="15"/>
        <v>0 tubes and 0 shuttles</v>
      </c>
    </row>
    <row r="424" spans="1:10" ht="12.5" x14ac:dyDescent="0.25">
      <c r="A424" s="32">
        <f>'Profit &amp; Loss'!A424</f>
        <v>0</v>
      </c>
      <c r="B424" s="35">
        <f>'Profit &amp; Loss'!B424</f>
        <v>0</v>
      </c>
      <c r="C424" s="36"/>
      <c r="D424" s="33"/>
      <c r="E424" s="102">
        <f t="shared" si="16"/>
        <v>0</v>
      </c>
      <c r="F424" s="103" t="str">
        <f t="shared" si="12"/>
        <v>0 tubes and 0 shuttles</v>
      </c>
      <c r="G424" s="36">
        <f t="shared" si="17"/>
        <v>0</v>
      </c>
      <c r="H424" s="104" t="str">
        <f t="shared" si="13"/>
        <v>0 tubes and 0 shuttles</v>
      </c>
      <c r="I424" s="36">
        <f t="shared" si="14"/>
        <v>0</v>
      </c>
      <c r="J424" s="103" t="str">
        <f t="shared" si="15"/>
        <v>0 tubes and 0 shuttles</v>
      </c>
    </row>
    <row r="425" spans="1:10" ht="12.5" x14ac:dyDescent="0.25">
      <c r="A425" s="32">
        <f>'Profit &amp; Loss'!A425</f>
        <v>0</v>
      </c>
      <c r="B425" s="35">
        <f>'Profit &amp; Loss'!B425</f>
        <v>0</v>
      </c>
      <c r="C425" s="36"/>
      <c r="D425" s="33"/>
      <c r="E425" s="102">
        <f t="shared" si="16"/>
        <v>0</v>
      </c>
      <c r="F425" s="103" t="str">
        <f t="shared" si="12"/>
        <v>0 tubes and 0 shuttles</v>
      </c>
      <c r="G425" s="36">
        <f t="shared" si="17"/>
        <v>0</v>
      </c>
      <c r="H425" s="104" t="str">
        <f t="shared" si="13"/>
        <v>0 tubes and 0 shuttles</v>
      </c>
      <c r="I425" s="36">
        <f t="shared" si="14"/>
        <v>0</v>
      </c>
      <c r="J425" s="103" t="str">
        <f t="shared" si="15"/>
        <v>0 tubes and 0 shuttles</v>
      </c>
    </row>
    <row r="426" spans="1:10" ht="12.5" x14ac:dyDescent="0.25">
      <c r="A426" s="32">
        <f>'Profit &amp; Loss'!A426</f>
        <v>0</v>
      </c>
      <c r="B426" s="35">
        <f>'Profit &amp; Loss'!B426</f>
        <v>0</v>
      </c>
      <c r="C426" s="36"/>
      <c r="D426" s="33"/>
      <c r="E426" s="102">
        <f t="shared" si="16"/>
        <v>0</v>
      </c>
      <c r="F426" s="103" t="str">
        <f t="shared" si="12"/>
        <v>0 tubes and 0 shuttles</v>
      </c>
      <c r="G426" s="36">
        <f t="shared" si="17"/>
        <v>0</v>
      </c>
      <c r="H426" s="104" t="str">
        <f t="shared" si="13"/>
        <v>0 tubes and 0 shuttles</v>
      </c>
      <c r="I426" s="36">
        <f t="shared" si="14"/>
        <v>0</v>
      </c>
      <c r="J426" s="103" t="str">
        <f t="shared" si="15"/>
        <v>0 tubes and 0 shuttles</v>
      </c>
    </row>
    <row r="427" spans="1:10" ht="12.5" x14ac:dyDescent="0.25">
      <c r="A427" s="32">
        <f>'Profit &amp; Loss'!A427</f>
        <v>0</v>
      </c>
      <c r="B427" s="35">
        <f>'Profit &amp; Loss'!B427</f>
        <v>0</v>
      </c>
      <c r="C427" s="36"/>
      <c r="D427" s="33"/>
      <c r="E427" s="102">
        <f t="shared" si="16"/>
        <v>0</v>
      </c>
      <c r="F427" s="103" t="str">
        <f t="shared" si="12"/>
        <v>0 tubes and 0 shuttles</v>
      </c>
      <c r="G427" s="36">
        <f t="shared" si="17"/>
        <v>0</v>
      </c>
      <c r="H427" s="104" t="str">
        <f t="shared" si="13"/>
        <v>0 tubes and 0 shuttles</v>
      </c>
      <c r="I427" s="36">
        <f t="shared" si="14"/>
        <v>0</v>
      </c>
      <c r="J427" s="103" t="str">
        <f t="shared" si="15"/>
        <v>0 tubes and 0 shuttles</v>
      </c>
    </row>
    <row r="428" spans="1:10" ht="12.5" x14ac:dyDescent="0.25">
      <c r="A428" s="32">
        <f>'Profit &amp; Loss'!A428</f>
        <v>0</v>
      </c>
      <c r="B428" s="35">
        <f>'Profit &amp; Loss'!B428</f>
        <v>0</v>
      </c>
      <c r="C428" s="36"/>
      <c r="D428" s="33"/>
      <c r="E428" s="102">
        <f t="shared" si="16"/>
        <v>0</v>
      </c>
      <c r="F428" s="103" t="str">
        <f t="shared" si="12"/>
        <v>0 tubes and 0 shuttles</v>
      </c>
      <c r="G428" s="36">
        <f t="shared" si="17"/>
        <v>0</v>
      </c>
      <c r="H428" s="104" t="str">
        <f t="shared" si="13"/>
        <v>0 tubes and 0 shuttles</v>
      </c>
      <c r="I428" s="36">
        <f t="shared" si="14"/>
        <v>0</v>
      </c>
      <c r="J428" s="103" t="str">
        <f t="shared" si="15"/>
        <v>0 tubes and 0 shuttles</v>
      </c>
    </row>
    <row r="429" spans="1:10" ht="12.5" x14ac:dyDescent="0.25">
      <c r="A429" s="32">
        <f>'Profit &amp; Loss'!A429</f>
        <v>0</v>
      </c>
      <c r="B429" s="35">
        <f>'Profit &amp; Loss'!B429</f>
        <v>0</v>
      </c>
      <c r="C429" s="36"/>
      <c r="D429" s="33"/>
      <c r="E429" s="102">
        <f t="shared" si="16"/>
        <v>0</v>
      </c>
      <c r="F429" s="103" t="str">
        <f t="shared" si="12"/>
        <v>0 tubes and 0 shuttles</v>
      </c>
      <c r="G429" s="36">
        <f t="shared" si="17"/>
        <v>0</v>
      </c>
      <c r="H429" s="104" t="str">
        <f t="shared" si="13"/>
        <v>0 tubes and 0 shuttles</v>
      </c>
      <c r="I429" s="36">
        <f t="shared" si="14"/>
        <v>0</v>
      </c>
      <c r="J429" s="103" t="str">
        <f t="shared" si="15"/>
        <v>0 tubes and 0 shuttles</v>
      </c>
    </row>
    <row r="430" spans="1:10" ht="12.5" x14ac:dyDescent="0.25">
      <c r="A430" s="32">
        <f>'Profit &amp; Loss'!A430</f>
        <v>0</v>
      </c>
      <c r="B430" s="35">
        <f>'Profit &amp; Loss'!B430</f>
        <v>0</v>
      </c>
      <c r="C430" s="36"/>
      <c r="D430" s="33"/>
      <c r="E430" s="102">
        <f t="shared" si="16"/>
        <v>0</v>
      </c>
      <c r="F430" s="103" t="str">
        <f t="shared" si="12"/>
        <v>0 tubes and 0 shuttles</v>
      </c>
      <c r="G430" s="36">
        <f t="shared" si="17"/>
        <v>0</v>
      </c>
      <c r="H430" s="104" t="str">
        <f t="shared" si="13"/>
        <v>0 tubes and 0 shuttles</v>
      </c>
      <c r="I430" s="36">
        <f t="shared" si="14"/>
        <v>0</v>
      </c>
      <c r="J430" s="103" t="str">
        <f t="shared" si="15"/>
        <v>0 tubes and 0 shuttles</v>
      </c>
    </row>
    <row r="431" spans="1:10" ht="12.5" x14ac:dyDescent="0.25">
      <c r="A431" s="32">
        <f>'Profit &amp; Loss'!A431</f>
        <v>0</v>
      </c>
      <c r="B431" s="35">
        <f>'Profit &amp; Loss'!B431</f>
        <v>0</v>
      </c>
      <c r="C431" s="36"/>
      <c r="D431" s="33"/>
      <c r="E431" s="102">
        <f t="shared" si="16"/>
        <v>0</v>
      </c>
      <c r="F431" s="103" t="str">
        <f t="shared" si="12"/>
        <v>0 tubes and 0 shuttles</v>
      </c>
      <c r="G431" s="36">
        <f t="shared" si="17"/>
        <v>0</v>
      </c>
      <c r="H431" s="104" t="str">
        <f t="shared" si="13"/>
        <v>0 tubes and 0 shuttles</v>
      </c>
      <c r="I431" s="36">
        <f t="shared" si="14"/>
        <v>0</v>
      </c>
      <c r="J431" s="103" t="str">
        <f t="shared" si="15"/>
        <v>0 tubes and 0 shuttles</v>
      </c>
    </row>
    <row r="432" spans="1:10" ht="12.5" x14ac:dyDescent="0.25">
      <c r="A432" s="32">
        <f>'Profit &amp; Loss'!A432</f>
        <v>0</v>
      </c>
      <c r="B432" s="35">
        <f>'Profit &amp; Loss'!B432</f>
        <v>0</v>
      </c>
      <c r="C432" s="36"/>
      <c r="D432" s="33"/>
      <c r="E432" s="102">
        <f t="shared" si="16"/>
        <v>0</v>
      </c>
      <c r="F432" s="103" t="str">
        <f t="shared" si="12"/>
        <v>0 tubes and 0 shuttles</v>
      </c>
      <c r="G432" s="36">
        <f t="shared" si="17"/>
        <v>0</v>
      </c>
      <c r="H432" s="104" t="str">
        <f t="shared" si="13"/>
        <v>0 tubes and 0 shuttles</v>
      </c>
      <c r="I432" s="36">
        <f t="shared" si="14"/>
        <v>0</v>
      </c>
      <c r="J432" s="103" t="str">
        <f t="shared" si="15"/>
        <v>0 tubes and 0 shuttles</v>
      </c>
    </row>
    <row r="433" spans="1:10" ht="12.5" x14ac:dyDescent="0.25">
      <c r="A433" s="32">
        <f>'Profit &amp; Loss'!A433</f>
        <v>0</v>
      </c>
      <c r="B433" s="35">
        <f>'Profit &amp; Loss'!B433</f>
        <v>0</v>
      </c>
      <c r="C433" s="36"/>
      <c r="D433" s="33"/>
      <c r="E433" s="102">
        <f t="shared" si="16"/>
        <v>0</v>
      </c>
      <c r="F433" s="103" t="str">
        <f t="shared" si="12"/>
        <v>0 tubes and 0 shuttles</v>
      </c>
      <c r="G433" s="36">
        <f t="shared" si="17"/>
        <v>0</v>
      </c>
      <c r="H433" s="104" t="str">
        <f t="shared" si="13"/>
        <v>0 tubes and 0 shuttles</v>
      </c>
      <c r="I433" s="36">
        <f t="shared" si="14"/>
        <v>0</v>
      </c>
      <c r="J433" s="103" t="str">
        <f t="shared" si="15"/>
        <v>0 tubes and 0 shuttles</v>
      </c>
    </row>
    <row r="434" spans="1:10" ht="12.5" x14ac:dyDescent="0.25">
      <c r="A434" s="32">
        <f>'Profit &amp; Loss'!A434</f>
        <v>0</v>
      </c>
      <c r="B434" s="35">
        <f>'Profit &amp; Loss'!B434</f>
        <v>0</v>
      </c>
      <c r="C434" s="36"/>
      <c r="D434" s="33"/>
      <c r="E434" s="102">
        <f t="shared" si="16"/>
        <v>0</v>
      </c>
      <c r="F434" s="103" t="str">
        <f t="shared" si="12"/>
        <v>0 tubes and 0 shuttles</v>
      </c>
      <c r="G434" s="36">
        <f t="shared" si="17"/>
        <v>0</v>
      </c>
      <c r="H434" s="104" t="str">
        <f t="shared" si="13"/>
        <v>0 tubes and 0 shuttles</v>
      </c>
      <c r="I434" s="36">
        <f t="shared" si="14"/>
        <v>0</v>
      </c>
      <c r="J434" s="103" t="str">
        <f t="shared" si="15"/>
        <v>0 tubes and 0 shuttles</v>
      </c>
    </row>
    <row r="435" spans="1:10" ht="12.5" x14ac:dyDescent="0.25">
      <c r="A435" s="32">
        <f>'Profit &amp; Loss'!A435</f>
        <v>0</v>
      </c>
      <c r="B435" s="35">
        <f>'Profit &amp; Loss'!B435</f>
        <v>0</v>
      </c>
      <c r="C435" s="36"/>
      <c r="D435" s="33"/>
      <c r="E435" s="102">
        <f t="shared" si="16"/>
        <v>0</v>
      </c>
      <c r="F435" s="103" t="str">
        <f t="shared" si="12"/>
        <v>0 tubes and 0 shuttles</v>
      </c>
      <c r="G435" s="36">
        <f t="shared" si="17"/>
        <v>0</v>
      </c>
      <c r="H435" s="104" t="str">
        <f t="shared" si="13"/>
        <v>0 tubes and 0 shuttles</v>
      </c>
      <c r="I435" s="36">
        <f t="shared" si="14"/>
        <v>0</v>
      </c>
      <c r="J435" s="103" t="str">
        <f t="shared" si="15"/>
        <v>0 tubes and 0 shuttles</v>
      </c>
    </row>
    <row r="436" spans="1:10" ht="12.5" x14ac:dyDescent="0.25">
      <c r="A436" s="32">
        <f>'Profit &amp; Loss'!A436</f>
        <v>0</v>
      </c>
      <c r="B436" s="35">
        <f>'Profit &amp; Loss'!B436</f>
        <v>0</v>
      </c>
      <c r="C436" s="36"/>
      <c r="D436" s="33"/>
      <c r="E436" s="102">
        <f t="shared" si="16"/>
        <v>0</v>
      </c>
      <c r="F436" s="103" t="str">
        <f t="shared" si="12"/>
        <v>0 tubes and 0 shuttles</v>
      </c>
      <c r="G436" s="36">
        <f t="shared" si="17"/>
        <v>0</v>
      </c>
      <c r="H436" s="104" t="str">
        <f t="shared" si="13"/>
        <v>0 tubes and 0 shuttles</v>
      </c>
      <c r="I436" s="36">
        <f t="shared" si="14"/>
        <v>0</v>
      </c>
      <c r="J436" s="103" t="str">
        <f t="shared" si="15"/>
        <v>0 tubes and 0 shuttles</v>
      </c>
    </row>
    <row r="437" spans="1:10" ht="12.5" x14ac:dyDescent="0.25">
      <c r="A437" s="32">
        <f>'Profit &amp; Loss'!A437</f>
        <v>0</v>
      </c>
      <c r="B437" s="35">
        <f>'Profit &amp; Loss'!B437</f>
        <v>0</v>
      </c>
      <c r="C437" s="36"/>
      <c r="D437" s="33"/>
      <c r="E437" s="102">
        <f t="shared" si="16"/>
        <v>0</v>
      </c>
      <c r="F437" s="103" t="str">
        <f t="shared" si="12"/>
        <v>0 tubes and 0 shuttles</v>
      </c>
      <c r="G437" s="36">
        <f t="shared" si="17"/>
        <v>0</v>
      </c>
      <c r="H437" s="104" t="str">
        <f t="shared" si="13"/>
        <v>0 tubes and 0 shuttles</v>
      </c>
      <c r="I437" s="36">
        <f t="shared" si="14"/>
        <v>0</v>
      </c>
      <c r="J437" s="103" t="str">
        <f t="shared" si="15"/>
        <v>0 tubes and 0 shuttles</v>
      </c>
    </row>
    <row r="438" spans="1:10" ht="12.5" x14ac:dyDescent="0.25">
      <c r="A438" s="32">
        <f>'Profit &amp; Loss'!A438</f>
        <v>0</v>
      </c>
      <c r="B438" s="35">
        <f>'Profit &amp; Loss'!B438</f>
        <v>0</v>
      </c>
      <c r="C438" s="36"/>
      <c r="D438" s="33"/>
      <c r="E438" s="102">
        <f t="shared" si="16"/>
        <v>0</v>
      </c>
      <c r="F438" s="103" t="str">
        <f t="shared" si="12"/>
        <v>0 tubes and 0 shuttles</v>
      </c>
      <c r="G438" s="36">
        <f t="shared" si="17"/>
        <v>0</v>
      </c>
      <c r="H438" s="104" t="str">
        <f t="shared" si="13"/>
        <v>0 tubes and 0 shuttles</v>
      </c>
      <c r="I438" s="36">
        <f t="shared" si="14"/>
        <v>0</v>
      </c>
      <c r="J438" s="103" t="str">
        <f t="shared" si="15"/>
        <v>0 tubes and 0 shuttles</v>
      </c>
    </row>
    <row r="439" spans="1:10" ht="12.5" x14ac:dyDescent="0.25">
      <c r="A439" s="32">
        <f>'Profit &amp; Loss'!A439</f>
        <v>0</v>
      </c>
      <c r="B439" s="35">
        <f>'Profit &amp; Loss'!B439</f>
        <v>0</v>
      </c>
      <c r="C439" s="36"/>
      <c r="D439" s="33"/>
      <c r="E439" s="102">
        <f t="shared" si="16"/>
        <v>0</v>
      </c>
      <c r="F439" s="103" t="str">
        <f t="shared" si="12"/>
        <v>0 tubes and 0 shuttles</v>
      </c>
      <c r="G439" s="36">
        <f t="shared" si="17"/>
        <v>0</v>
      </c>
      <c r="H439" s="104" t="str">
        <f t="shared" si="13"/>
        <v>0 tubes and 0 shuttles</v>
      </c>
      <c r="I439" s="36">
        <f t="shared" si="14"/>
        <v>0</v>
      </c>
      <c r="J439" s="103" t="str">
        <f t="shared" si="15"/>
        <v>0 tubes and 0 shuttles</v>
      </c>
    </row>
    <row r="440" spans="1:10" ht="12.5" x14ac:dyDescent="0.25">
      <c r="A440" s="32">
        <f>'Profit &amp; Loss'!A440</f>
        <v>0</v>
      </c>
      <c r="B440" s="35">
        <f>'Profit &amp; Loss'!B440</f>
        <v>0</v>
      </c>
      <c r="C440" s="36"/>
      <c r="D440" s="33"/>
      <c r="E440" s="102">
        <f t="shared" si="16"/>
        <v>0</v>
      </c>
      <c r="F440" s="103" t="str">
        <f t="shared" si="12"/>
        <v>0 tubes and 0 shuttles</v>
      </c>
      <c r="G440" s="36">
        <f t="shared" si="17"/>
        <v>0</v>
      </c>
      <c r="H440" s="104" t="str">
        <f t="shared" si="13"/>
        <v>0 tubes and 0 shuttles</v>
      </c>
      <c r="I440" s="36">
        <f t="shared" si="14"/>
        <v>0</v>
      </c>
      <c r="J440" s="103" t="str">
        <f t="shared" si="15"/>
        <v>0 tubes and 0 shuttles</v>
      </c>
    </row>
    <row r="441" spans="1:10" ht="12.5" x14ac:dyDescent="0.25">
      <c r="A441" s="32">
        <f>'Profit &amp; Loss'!A441</f>
        <v>0</v>
      </c>
      <c r="B441" s="35">
        <f>'Profit &amp; Loss'!B441</f>
        <v>0</v>
      </c>
      <c r="C441" s="36"/>
      <c r="D441" s="33"/>
      <c r="E441" s="102">
        <f t="shared" si="16"/>
        <v>0</v>
      </c>
      <c r="F441" s="103" t="str">
        <f t="shared" si="12"/>
        <v>0 tubes and 0 shuttles</v>
      </c>
      <c r="G441" s="36">
        <f t="shared" si="17"/>
        <v>0</v>
      </c>
      <c r="H441" s="104" t="str">
        <f t="shared" si="13"/>
        <v>0 tubes and 0 shuttles</v>
      </c>
      <c r="I441" s="36">
        <f t="shared" si="14"/>
        <v>0</v>
      </c>
      <c r="J441" s="103" t="str">
        <f t="shared" si="15"/>
        <v>0 tubes and 0 shuttles</v>
      </c>
    </row>
    <row r="442" spans="1:10" ht="12.5" x14ac:dyDescent="0.25">
      <c r="A442" s="32">
        <f>'Profit &amp; Loss'!A442</f>
        <v>0</v>
      </c>
      <c r="B442" s="35">
        <f>'Profit &amp; Loss'!B442</f>
        <v>0</v>
      </c>
      <c r="C442" s="36"/>
      <c r="D442" s="33"/>
      <c r="E442" s="102">
        <f t="shared" si="16"/>
        <v>0</v>
      </c>
      <c r="F442" s="103" t="str">
        <f t="shared" si="12"/>
        <v>0 tubes and 0 shuttles</v>
      </c>
      <c r="G442" s="36">
        <f t="shared" si="17"/>
        <v>0</v>
      </c>
      <c r="H442" s="104" t="str">
        <f t="shared" si="13"/>
        <v>0 tubes and 0 shuttles</v>
      </c>
      <c r="I442" s="36">
        <f t="shared" si="14"/>
        <v>0</v>
      </c>
      <c r="J442" s="103" t="str">
        <f t="shared" si="15"/>
        <v>0 tubes and 0 shuttles</v>
      </c>
    </row>
    <row r="443" spans="1:10" ht="12.5" x14ac:dyDescent="0.25">
      <c r="A443" s="32">
        <f>'Profit &amp; Loss'!A443</f>
        <v>0</v>
      </c>
      <c r="B443" s="35">
        <f>'Profit &amp; Loss'!B443</f>
        <v>0</v>
      </c>
      <c r="C443" s="36"/>
      <c r="D443" s="33"/>
      <c r="E443" s="102">
        <f t="shared" si="16"/>
        <v>0</v>
      </c>
      <c r="F443" s="103" t="str">
        <f t="shared" si="12"/>
        <v>0 tubes and 0 shuttles</v>
      </c>
      <c r="G443" s="36">
        <f t="shared" si="17"/>
        <v>0</v>
      </c>
      <c r="H443" s="104" t="str">
        <f t="shared" si="13"/>
        <v>0 tubes and 0 shuttles</v>
      </c>
      <c r="I443" s="36">
        <f t="shared" si="14"/>
        <v>0</v>
      </c>
      <c r="J443" s="103" t="str">
        <f t="shared" si="15"/>
        <v>0 tubes and 0 shuttles</v>
      </c>
    </row>
    <row r="444" spans="1:10" ht="12.5" x14ac:dyDescent="0.25">
      <c r="A444" s="32">
        <f>'Profit &amp; Loss'!A444</f>
        <v>0</v>
      </c>
      <c r="B444" s="35">
        <f>'Profit &amp; Loss'!B444</f>
        <v>0</v>
      </c>
      <c r="C444" s="36"/>
      <c r="D444" s="33"/>
      <c r="E444" s="102">
        <f t="shared" si="16"/>
        <v>0</v>
      </c>
      <c r="F444" s="103" t="str">
        <f t="shared" si="12"/>
        <v>0 tubes and 0 shuttles</v>
      </c>
      <c r="G444" s="36">
        <f t="shared" si="17"/>
        <v>0</v>
      </c>
      <c r="H444" s="104" t="str">
        <f t="shared" si="13"/>
        <v>0 tubes and 0 shuttles</v>
      </c>
      <c r="I444" s="36">
        <f t="shared" si="14"/>
        <v>0</v>
      </c>
      <c r="J444" s="103" t="str">
        <f t="shared" si="15"/>
        <v>0 tubes and 0 shuttles</v>
      </c>
    </row>
    <row r="445" spans="1:10" ht="12.5" x14ac:dyDescent="0.25">
      <c r="A445" s="32">
        <f>'Profit &amp; Loss'!A445</f>
        <v>0</v>
      </c>
      <c r="B445" s="35">
        <f>'Profit &amp; Loss'!B445</f>
        <v>0</v>
      </c>
      <c r="C445" s="36"/>
      <c r="D445" s="33"/>
      <c r="E445" s="102">
        <f t="shared" si="16"/>
        <v>0</v>
      </c>
      <c r="F445" s="103" t="str">
        <f t="shared" si="12"/>
        <v>0 tubes and 0 shuttles</v>
      </c>
      <c r="G445" s="36">
        <f t="shared" si="17"/>
        <v>0</v>
      </c>
      <c r="H445" s="104" t="str">
        <f t="shared" si="13"/>
        <v>0 tubes and 0 shuttles</v>
      </c>
      <c r="I445" s="36">
        <f t="shared" si="14"/>
        <v>0</v>
      </c>
      <c r="J445" s="103" t="str">
        <f t="shared" si="15"/>
        <v>0 tubes and 0 shuttles</v>
      </c>
    </row>
    <row r="446" spans="1:10" ht="12.5" x14ac:dyDescent="0.25">
      <c r="A446" s="32">
        <f>'Profit &amp; Loss'!A446</f>
        <v>0</v>
      </c>
      <c r="B446" s="35">
        <f>'Profit &amp; Loss'!B446</f>
        <v>0</v>
      </c>
      <c r="C446" s="36"/>
      <c r="D446" s="33"/>
      <c r="E446" s="102">
        <f t="shared" si="16"/>
        <v>0</v>
      </c>
      <c r="F446" s="103" t="str">
        <f t="shared" si="12"/>
        <v>0 tubes and 0 shuttles</v>
      </c>
      <c r="G446" s="36">
        <f t="shared" si="17"/>
        <v>0</v>
      </c>
      <c r="H446" s="104" t="str">
        <f t="shared" si="13"/>
        <v>0 tubes and 0 shuttles</v>
      </c>
      <c r="I446" s="36">
        <f t="shared" si="14"/>
        <v>0</v>
      </c>
      <c r="J446" s="103" t="str">
        <f t="shared" si="15"/>
        <v>0 tubes and 0 shuttles</v>
      </c>
    </row>
    <row r="447" spans="1:10" ht="12.5" x14ac:dyDescent="0.25">
      <c r="A447" s="32">
        <f>'Profit &amp; Loss'!A447</f>
        <v>0</v>
      </c>
      <c r="B447" s="35">
        <f>'Profit &amp; Loss'!B447</f>
        <v>0</v>
      </c>
      <c r="C447" s="36"/>
      <c r="D447" s="33"/>
      <c r="E447" s="102">
        <f t="shared" si="16"/>
        <v>0</v>
      </c>
      <c r="F447" s="103" t="str">
        <f t="shared" si="12"/>
        <v>0 tubes and 0 shuttles</v>
      </c>
      <c r="G447" s="36">
        <f t="shared" si="17"/>
        <v>0</v>
      </c>
      <c r="H447" s="104" t="str">
        <f t="shared" si="13"/>
        <v>0 tubes and 0 shuttles</v>
      </c>
      <c r="I447" s="36">
        <f t="shared" si="14"/>
        <v>0</v>
      </c>
      <c r="J447" s="103" t="str">
        <f t="shared" si="15"/>
        <v>0 tubes and 0 shuttles</v>
      </c>
    </row>
    <row r="448" spans="1:10" ht="12.5" x14ac:dyDescent="0.25">
      <c r="A448" s="32">
        <f>'Profit &amp; Loss'!A448</f>
        <v>0</v>
      </c>
      <c r="B448" s="35">
        <f>'Profit &amp; Loss'!B448</f>
        <v>0</v>
      </c>
      <c r="C448" s="36"/>
      <c r="D448" s="33"/>
      <c r="E448" s="102">
        <f t="shared" si="16"/>
        <v>0</v>
      </c>
      <c r="F448" s="103" t="str">
        <f t="shared" si="12"/>
        <v>0 tubes and 0 shuttles</v>
      </c>
      <c r="G448" s="36">
        <f t="shared" si="17"/>
        <v>0</v>
      </c>
      <c r="H448" s="104" t="str">
        <f t="shared" si="13"/>
        <v>0 tubes and 0 shuttles</v>
      </c>
      <c r="I448" s="36">
        <f t="shared" si="14"/>
        <v>0</v>
      </c>
      <c r="J448" s="103" t="str">
        <f t="shared" si="15"/>
        <v>0 tubes and 0 shuttles</v>
      </c>
    </row>
    <row r="449" spans="1:10" ht="12.5" x14ac:dyDescent="0.25">
      <c r="A449" s="32">
        <f>'Profit &amp; Loss'!A449</f>
        <v>0</v>
      </c>
      <c r="B449" s="35">
        <f>'Profit &amp; Loss'!B449</f>
        <v>0</v>
      </c>
      <c r="C449" s="36"/>
      <c r="D449" s="33"/>
      <c r="E449" s="102">
        <f t="shared" si="16"/>
        <v>0</v>
      </c>
      <c r="F449" s="103" t="str">
        <f t="shared" si="12"/>
        <v>0 tubes and 0 shuttles</v>
      </c>
      <c r="G449" s="36">
        <f t="shared" si="17"/>
        <v>0</v>
      </c>
      <c r="H449" s="104" t="str">
        <f t="shared" si="13"/>
        <v>0 tubes and 0 shuttles</v>
      </c>
      <c r="I449" s="36">
        <f t="shared" si="14"/>
        <v>0</v>
      </c>
      <c r="J449" s="103" t="str">
        <f t="shared" si="15"/>
        <v>0 tubes and 0 shuttles</v>
      </c>
    </row>
    <row r="450" spans="1:10" ht="12.5" x14ac:dyDescent="0.25">
      <c r="A450" s="32">
        <f>'Profit &amp; Loss'!A450</f>
        <v>0</v>
      </c>
      <c r="B450" s="35">
        <f>'Profit &amp; Loss'!B450</f>
        <v>0</v>
      </c>
      <c r="C450" s="36"/>
      <c r="D450" s="33"/>
      <c r="E450" s="102">
        <f t="shared" si="16"/>
        <v>0</v>
      </c>
      <c r="F450" s="103" t="str">
        <f t="shared" si="12"/>
        <v>0 tubes and 0 shuttles</v>
      </c>
      <c r="G450" s="36">
        <f t="shared" si="17"/>
        <v>0</v>
      </c>
      <c r="H450" s="104" t="str">
        <f t="shared" si="13"/>
        <v>0 tubes and 0 shuttles</v>
      </c>
      <c r="I450" s="36">
        <f t="shared" si="14"/>
        <v>0</v>
      </c>
      <c r="J450" s="103" t="str">
        <f t="shared" si="15"/>
        <v>0 tubes and 0 shuttles</v>
      </c>
    </row>
    <row r="451" spans="1:10" ht="12.5" x14ac:dyDescent="0.25">
      <c r="A451" s="32">
        <f>'Profit &amp; Loss'!A451</f>
        <v>0</v>
      </c>
      <c r="B451" s="35">
        <f>'Profit &amp; Loss'!B451</f>
        <v>0</v>
      </c>
      <c r="C451" s="36"/>
      <c r="D451" s="33"/>
      <c r="E451" s="102">
        <f t="shared" si="16"/>
        <v>0</v>
      </c>
      <c r="F451" s="103" t="str">
        <f t="shared" si="12"/>
        <v>0 tubes and 0 shuttles</v>
      </c>
      <c r="G451" s="36">
        <f t="shared" si="17"/>
        <v>0</v>
      </c>
      <c r="H451" s="104" t="str">
        <f t="shared" si="13"/>
        <v>0 tubes and 0 shuttles</v>
      </c>
      <c r="I451" s="36">
        <f t="shared" si="14"/>
        <v>0</v>
      </c>
      <c r="J451" s="103" t="str">
        <f t="shared" si="15"/>
        <v>0 tubes and 0 shuttles</v>
      </c>
    </row>
    <row r="452" spans="1:10" ht="12.5" x14ac:dyDescent="0.25">
      <c r="A452" s="32">
        <f>'Profit &amp; Loss'!A452</f>
        <v>0</v>
      </c>
      <c r="B452" s="35">
        <f>'Profit &amp; Loss'!B452</f>
        <v>0</v>
      </c>
      <c r="C452" s="36"/>
      <c r="D452" s="33"/>
      <c r="E452" s="102">
        <f t="shared" si="16"/>
        <v>0</v>
      </c>
      <c r="F452" s="103" t="str">
        <f t="shared" si="12"/>
        <v>0 tubes and 0 shuttles</v>
      </c>
      <c r="G452" s="36">
        <f t="shared" si="17"/>
        <v>0</v>
      </c>
      <c r="H452" s="104" t="str">
        <f t="shared" si="13"/>
        <v>0 tubes and 0 shuttles</v>
      </c>
      <c r="I452" s="36">
        <f t="shared" si="14"/>
        <v>0</v>
      </c>
      <c r="J452" s="103" t="str">
        <f t="shared" si="15"/>
        <v>0 tubes and 0 shuttles</v>
      </c>
    </row>
    <row r="453" spans="1:10" ht="12.5" x14ac:dyDescent="0.25">
      <c r="A453" s="32">
        <f>'Profit &amp; Loss'!A453</f>
        <v>0</v>
      </c>
      <c r="B453" s="35">
        <f>'Profit &amp; Loss'!B453</f>
        <v>0</v>
      </c>
      <c r="C453" s="36"/>
      <c r="D453" s="33"/>
      <c r="E453" s="102">
        <f t="shared" si="16"/>
        <v>0</v>
      </c>
      <c r="F453" s="103" t="str">
        <f t="shared" si="12"/>
        <v>0 tubes and 0 shuttles</v>
      </c>
      <c r="G453" s="36">
        <f t="shared" si="17"/>
        <v>0</v>
      </c>
      <c r="H453" s="104" t="str">
        <f t="shared" si="13"/>
        <v>0 tubes and 0 shuttles</v>
      </c>
      <c r="I453" s="36">
        <f t="shared" si="14"/>
        <v>0</v>
      </c>
      <c r="J453" s="103" t="str">
        <f t="shared" si="15"/>
        <v>0 tubes and 0 shuttles</v>
      </c>
    </row>
    <row r="454" spans="1:10" ht="12.5" x14ac:dyDescent="0.25">
      <c r="A454" s="32">
        <f>'Profit &amp; Loss'!A454</f>
        <v>0</v>
      </c>
      <c r="B454" s="35">
        <f>'Profit &amp; Loss'!B454</f>
        <v>0</v>
      </c>
      <c r="C454" s="36"/>
      <c r="D454" s="33"/>
      <c r="E454" s="102">
        <f t="shared" si="16"/>
        <v>0</v>
      </c>
      <c r="F454" s="103" t="str">
        <f t="shared" si="12"/>
        <v>0 tubes and 0 shuttles</v>
      </c>
      <c r="G454" s="36">
        <f t="shared" si="17"/>
        <v>0</v>
      </c>
      <c r="H454" s="104" t="str">
        <f t="shared" si="13"/>
        <v>0 tubes and 0 shuttles</v>
      </c>
      <c r="I454" s="36">
        <f t="shared" si="14"/>
        <v>0</v>
      </c>
      <c r="J454" s="103" t="str">
        <f t="shared" si="15"/>
        <v>0 tubes and 0 shuttles</v>
      </c>
    </row>
    <row r="455" spans="1:10" ht="12.5" x14ac:dyDescent="0.25">
      <c r="A455" s="32">
        <f>'Profit &amp; Loss'!A455</f>
        <v>0</v>
      </c>
      <c r="B455" s="35">
        <f>'Profit &amp; Loss'!B455</f>
        <v>0</v>
      </c>
      <c r="C455" s="36"/>
      <c r="D455" s="33"/>
      <c r="E455" s="102">
        <f t="shared" si="16"/>
        <v>0</v>
      </c>
      <c r="F455" s="103" t="str">
        <f t="shared" si="12"/>
        <v>0 tubes and 0 shuttles</v>
      </c>
      <c r="G455" s="36">
        <f t="shared" si="17"/>
        <v>0</v>
      </c>
      <c r="H455" s="104" t="str">
        <f t="shared" si="13"/>
        <v>0 tubes and 0 shuttles</v>
      </c>
      <c r="I455" s="36">
        <f t="shared" si="14"/>
        <v>0</v>
      </c>
      <c r="J455" s="103" t="str">
        <f t="shared" si="15"/>
        <v>0 tubes and 0 shuttles</v>
      </c>
    </row>
    <row r="456" spans="1:10" ht="12.5" x14ac:dyDescent="0.25">
      <c r="A456" s="32">
        <f>'Profit &amp; Loss'!A456</f>
        <v>0</v>
      </c>
      <c r="B456" s="35">
        <f>'Profit &amp; Loss'!B456</f>
        <v>0</v>
      </c>
      <c r="C456" s="36"/>
      <c r="D456" s="33"/>
      <c r="E456" s="102">
        <f t="shared" si="16"/>
        <v>0</v>
      </c>
      <c r="F456" s="103" t="str">
        <f t="shared" si="12"/>
        <v>0 tubes and 0 shuttles</v>
      </c>
      <c r="G456" s="36">
        <f t="shared" si="17"/>
        <v>0</v>
      </c>
      <c r="H456" s="104" t="str">
        <f t="shared" si="13"/>
        <v>0 tubes and 0 shuttles</v>
      </c>
      <c r="I456" s="36">
        <f t="shared" si="14"/>
        <v>0</v>
      </c>
      <c r="J456" s="103" t="str">
        <f t="shared" si="15"/>
        <v>0 tubes and 0 shuttles</v>
      </c>
    </row>
    <row r="457" spans="1:10" ht="12.5" x14ac:dyDescent="0.25">
      <c r="A457" s="32">
        <f>'Profit &amp; Loss'!A457</f>
        <v>0</v>
      </c>
      <c r="B457" s="35">
        <f>'Profit &amp; Loss'!B457</f>
        <v>0</v>
      </c>
      <c r="C457" s="36"/>
      <c r="D457" s="33"/>
      <c r="E457" s="102">
        <f t="shared" si="16"/>
        <v>0</v>
      </c>
      <c r="F457" s="103" t="str">
        <f t="shared" si="12"/>
        <v>0 tubes and 0 shuttles</v>
      </c>
      <c r="G457" s="36">
        <f t="shared" si="17"/>
        <v>0</v>
      </c>
      <c r="H457" s="104" t="str">
        <f t="shared" si="13"/>
        <v>0 tubes and 0 shuttles</v>
      </c>
      <c r="I457" s="36">
        <f t="shared" si="14"/>
        <v>0</v>
      </c>
      <c r="J457" s="103" t="str">
        <f t="shared" si="15"/>
        <v>0 tubes and 0 shuttles</v>
      </c>
    </row>
    <row r="458" spans="1:10" ht="12.5" x14ac:dyDescent="0.25">
      <c r="A458" s="32">
        <f>'Profit &amp; Loss'!A458</f>
        <v>0</v>
      </c>
      <c r="B458" s="35">
        <f>'Profit &amp; Loss'!B458</f>
        <v>0</v>
      </c>
      <c r="C458" s="36"/>
      <c r="D458" s="33"/>
      <c r="E458" s="102">
        <f t="shared" si="16"/>
        <v>0</v>
      </c>
      <c r="F458" s="103" t="str">
        <f t="shared" si="12"/>
        <v>0 tubes and 0 shuttles</v>
      </c>
      <c r="G458" s="36">
        <f t="shared" si="17"/>
        <v>0</v>
      </c>
      <c r="H458" s="104" t="str">
        <f t="shared" si="13"/>
        <v>0 tubes and 0 shuttles</v>
      </c>
      <c r="I458" s="36">
        <f t="shared" si="14"/>
        <v>0</v>
      </c>
      <c r="J458" s="103" t="str">
        <f t="shared" si="15"/>
        <v>0 tubes and 0 shuttles</v>
      </c>
    </row>
    <row r="459" spans="1:10" ht="12.5" x14ac:dyDescent="0.25">
      <c r="A459" s="32">
        <f>'Profit &amp; Loss'!A459</f>
        <v>0</v>
      </c>
      <c r="B459" s="35">
        <f>'Profit &amp; Loss'!B459</f>
        <v>0</v>
      </c>
      <c r="C459" s="36"/>
      <c r="D459" s="33"/>
      <c r="E459" s="102">
        <f t="shared" si="16"/>
        <v>0</v>
      </c>
      <c r="F459" s="103" t="str">
        <f t="shared" si="12"/>
        <v>0 tubes and 0 shuttles</v>
      </c>
      <c r="G459" s="36">
        <f t="shared" si="17"/>
        <v>0</v>
      </c>
      <c r="H459" s="104" t="str">
        <f t="shared" si="13"/>
        <v>0 tubes and 0 shuttles</v>
      </c>
      <c r="I459" s="36">
        <f t="shared" si="14"/>
        <v>0</v>
      </c>
      <c r="J459" s="103" t="str">
        <f t="shared" si="15"/>
        <v>0 tubes and 0 shuttles</v>
      </c>
    </row>
    <row r="460" spans="1:10" ht="12.5" x14ac:dyDescent="0.25">
      <c r="A460" s="32">
        <f>'Profit &amp; Loss'!A460</f>
        <v>0</v>
      </c>
      <c r="B460" s="35">
        <f>'Profit &amp; Loss'!B460</f>
        <v>0</v>
      </c>
      <c r="C460" s="36"/>
      <c r="D460" s="33"/>
      <c r="E460" s="102">
        <f t="shared" si="16"/>
        <v>0</v>
      </c>
      <c r="F460" s="103" t="str">
        <f t="shared" si="12"/>
        <v>0 tubes and 0 shuttles</v>
      </c>
      <c r="G460" s="36">
        <f t="shared" si="17"/>
        <v>0</v>
      </c>
      <c r="H460" s="104" t="str">
        <f t="shared" si="13"/>
        <v>0 tubes and 0 shuttles</v>
      </c>
      <c r="I460" s="36">
        <f t="shared" si="14"/>
        <v>0</v>
      </c>
      <c r="J460" s="103" t="str">
        <f t="shared" si="15"/>
        <v>0 tubes and 0 shuttles</v>
      </c>
    </row>
    <row r="461" spans="1:10" ht="12.5" x14ac:dyDescent="0.25">
      <c r="A461" s="32">
        <f>'Profit &amp; Loss'!A461</f>
        <v>0</v>
      </c>
      <c r="B461" s="35">
        <f>'Profit &amp; Loss'!B461</f>
        <v>0</v>
      </c>
      <c r="C461" s="36"/>
      <c r="D461" s="33"/>
      <c r="E461" s="102">
        <f t="shared" si="16"/>
        <v>0</v>
      </c>
      <c r="F461" s="103" t="str">
        <f t="shared" si="12"/>
        <v>0 tubes and 0 shuttles</v>
      </c>
      <c r="G461" s="36">
        <f t="shared" si="17"/>
        <v>0</v>
      </c>
      <c r="H461" s="104" t="str">
        <f t="shared" si="13"/>
        <v>0 tubes and 0 shuttles</v>
      </c>
      <c r="I461" s="36">
        <f t="shared" si="14"/>
        <v>0</v>
      </c>
      <c r="J461" s="103" t="str">
        <f t="shared" si="15"/>
        <v>0 tubes and 0 shuttles</v>
      </c>
    </row>
    <row r="462" spans="1:10" ht="12.5" x14ac:dyDescent="0.25">
      <c r="A462" s="32">
        <f>'Profit &amp; Loss'!A462</f>
        <v>0</v>
      </c>
      <c r="B462" s="35">
        <f>'Profit &amp; Loss'!B462</f>
        <v>0</v>
      </c>
      <c r="C462" s="36"/>
      <c r="D462" s="33"/>
      <c r="E462" s="102">
        <f t="shared" si="16"/>
        <v>0</v>
      </c>
      <c r="F462" s="103" t="str">
        <f t="shared" si="12"/>
        <v>0 tubes and 0 shuttles</v>
      </c>
      <c r="G462" s="36">
        <f t="shared" si="17"/>
        <v>0</v>
      </c>
      <c r="H462" s="104" t="str">
        <f t="shared" si="13"/>
        <v>0 tubes and 0 shuttles</v>
      </c>
      <c r="I462" s="36">
        <f t="shared" si="14"/>
        <v>0</v>
      </c>
      <c r="J462" s="103" t="str">
        <f t="shared" si="15"/>
        <v>0 tubes and 0 shuttles</v>
      </c>
    </row>
    <row r="463" spans="1:10" ht="12.5" x14ac:dyDescent="0.25">
      <c r="A463" s="32">
        <f>'Profit &amp; Loss'!A463</f>
        <v>0</v>
      </c>
      <c r="B463" s="35">
        <f>'Profit &amp; Loss'!B463</f>
        <v>0</v>
      </c>
      <c r="C463" s="36"/>
      <c r="D463" s="33"/>
      <c r="E463" s="102">
        <f t="shared" si="16"/>
        <v>0</v>
      </c>
      <c r="F463" s="103" t="str">
        <f t="shared" si="12"/>
        <v>0 tubes and 0 shuttles</v>
      </c>
      <c r="G463" s="36">
        <f t="shared" si="17"/>
        <v>0</v>
      </c>
      <c r="H463" s="104" t="str">
        <f t="shared" si="13"/>
        <v>0 tubes and 0 shuttles</v>
      </c>
      <c r="I463" s="36">
        <f t="shared" si="14"/>
        <v>0</v>
      </c>
      <c r="J463" s="103" t="str">
        <f t="shared" si="15"/>
        <v>0 tubes and 0 shuttles</v>
      </c>
    </row>
    <row r="464" spans="1:10" ht="12.5" x14ac:dyDescent="0.25">
      <c r="A464" s="32">
        <f>'Profit &amp; Loss'!A464</f>
        <v>0</v>
      </c>
      <c r="B464" s="35">
        <f>'Profit &amp; Loss'!B464</f>
        <v>0</v>
      </c>
      <c r="C464" s="36"/>
      <c r="D464" s="33"/>
      <c r="E464" s="102">
        <f t="shared" si="16"/>
        <v>0</v>
      </c>
      <c r="F464" s="103" t="str">
        <f t="shared" si="12"/>
        <v>0 tubes and 0 shuttles</v>
      </c>
      <c r="G464" s="36">
        <f t="shared" si="17"/>
        <v>0</v>
      </c>
      <c r="H464" s="104" t="str">
        <f t="shared" si="13"/>
        <v>0 tubes and 0 shuttles</v>
      </c>
      <c r="I464" s="36">
        <f t="shared" si="14"/>
        <v>0</v>
      </c>
      <c r="J464" s="103" t="str">
        <f t="shared" si="15"/>
        <v>0 tubes and 0 shuttles</v>
      </c>
    </row>
    <row r="465" spans="1:10" ht="12.5" x14ac:dyDescent="0.25">
      <c r="A465" s="32">
        <f>'Profit &amp; Loss'!A465</f>
        <v>0</v>
      </c>
      <c r="B465" s="35">
        <f>'Profit &amp; Loss'!B465</f>
        <v>0</v>
      </c>
      <c r="C465" s="36"/>
      <c r="D465" s="33"/>
      <c r="E465" s="102">
        <f t="shared" si="16"/>
        <v>0</v>
      </c>
      <c r="F465" s="103" t="str">
        <f t="shared" si="12"/>
        <v>0 tubes and 0 shuttles</v>
      </c>
      <c r="G465" s="36">
        <f t="shared" si="17"/>
        <v>0</v>
      </c>
      <c r="H465" s="104" t="str">
        <f t="shared" si="13"/>
        <v>0 tubes and 0 shuttles</v>
      </c>
      <c r="I465" s="36">
        <f t="shared" si="14"/>
        <v>0</v>
      </c>
      <c r="J465" s="103" t="str">
        <f t="shared" si="15"/>
        <v>0 tubes and 0 shuttles</v>
      </c>
    </row>
    <row r="466" spans="1:10" ht="12.5" x14ac:dyDescent="0.25">
      <c r="A466" s="32">
        <f>'Profit &amp; Loss'!A466</f>
        <v>0</v>
      </c>
      <c r="B466" s="35">
        <f>'Profit &amp; Loss'!B466</f>
        <v>0</v>
      </c>
      <c r="C466" s="36"/>
      <c r="D466" s="33"/>
      <c r="E466" s="102">
        <f t="shared" si="16"/>
        <v>0</v>
      </c>
      <c r="F466" s="103" t="str">
        <f t="shared" si="12"/>
        <v>0 tubes and 0 shuttles</v>
      </c>
      <c r="G466" s="36">
        <f t="shared" si="17"/>
        <v>0</v>
      </c>
      <c r="H466" s="104" t="str">
        <f t="shared" si="13"/>
        <v>0 tubes and 0 shuttles</v>
      </c>
      <c r="I466" s="36">
        <f t="shared" si="14"/>
        <v>0</v>
      </c>
      <c r="J466" s="103" t="str">
        <f t="shared" si="15"/>
        <v>0 tubes and 0 shuttles</v>
      </c>
    </row>
    <row r="467" spans="1:10" ht="12.5" x14ac:dyDescent="0.25">
      <c r="A467" s="32">
        <f>'Profit &amp; Loss'!A467</f>
        <v>0</v>
      </c>
      <c r="B467" s="35">
        <f>'Profit &amp; Loss'!B467</f>
        <v>0</v>
      </c>
      <c r="C467" s="36"/>
      <c r="D467" s="33"/>
      <c r="E467" s="102">
        <f t="shared" si="16"/>
        <v>0</v>
      </c>
      <c r="F467" s="103" t="str">
        <f t="shared" si="12"/>
        <v>0 tubes and 0 shuttles</v>
      </c>
      <c r="G467" s="36">
        <f t="shared" si="17"/>
        <v>0</v>
      </c>
      <c r="H467" s="104" t="str">
        <f t="shared" si="13"/>
        <v>0 tubes and 0 shuttles</v>
      </c>
      <c r="I467" s="36">
        <f t="shared" si="14"/>
        <v>0</v>
      </c>
      <c r="J467" s="103" t="str">
        <f t="shared" si="15"/>
        <v>0 tubes and 0 shuttles</v>
      </c>
    </row>
    <row r="468" spans="1:10" ht="12.5" x14ac:dyDescent="0.25">
      <c r="A468" s="32">
        <f>'Profit &amp; Loss'!A468</f>
        <v>0</v>
      </c>
      <c r="B468" s="35">
        <f>'Profit &amp; Loss'!B468</f>
        <v>0</v>
      </c>
      <c r="C468" s="36"/>
      <c r="D468" s="33"/>
      <c r="E468" s="102">
        <f t="shared" si="16"/>
        <v>0</v>
      </c>
      <c r="F468" s="103" t="str">
        <f t="shared" si="12"/>
        <v>0 tubes and 0 shuttles</v>
      </c>
      <c r="G468" s="36">
        <f t="shared" si="17"/>
        <v>0</v>
      </c>
      <c r="H468" s="104" t="str">
        <f t="shared" si="13"/>
        <v>0 tubes and 0 shuttles</v>
      </c>
      <c r="I468" s="36">
        <f t="shared" si="14"/>
        <v>0</v>
      </c>
      <c r="J468" s="103" t="str">
        <f t="shared" si="15"/>
        <v>0 tubes and 0 shuttles</v>
      </c>
    </row>
    <row r="469" spans="1:10" ht="12.5" x14ac:dyDescent="0.25">
      <c r="A469" s="32">
        <f>'Profit &amp; Loss'!A469</f>
        <v>0</v>
      </c>
      <c r="B469" s="35">
        <f>'Profit &amp; Loss'!B469</f>
        <v>0</v>
      </c>
      <c r="C469" s="36"/>
      <c r="D469" s="33"/>
      <c r="E469" s="102">
        <f t="shared" si="16"/>
        <v>0</v>
      </c>
      <c r="F469" s="103" t="str">
        <f t="shared" si="12"/>
        <v>0 tubes and 0 shuttles</v>
      </c>
      <c r="G469" s="36">
        <f t="shared" si="17"/>
        <v>0</v>
      </c>
      <c r="H469" s="104" t="str">
        <f t="shared" si="13"/>
        <v>0 tubes and 0 shuttles</v>
      </c>
      <c r="I469" s="36">
        <f t="shared" si="14"/>
        <v>0</v>
      </c>
      <c r="J469" s="103" t="str">
        <f t="shared" si="15"/>
        <v>0 tubes and 0 shuttles</v>
      </c>
    </row>
    <row r="470" spans="1:10" ht="12.5" x14ac:dyDescent="0.25">
      <c r="A470" s="32">
        <f>'Profit &amp; Loss'!A470</f>
        <v>0</v>
      </c>
      <c r="B470" s="35">
        <f>'Profit &amp; Loss'!B470</f>
        <v>0</v>
      </c>
      <c r="C470" s="36"/>
      <c r="D470" s="33"/>
      <c r="E470" s="102">
        <f t="shared" si="16"/>
        <v>0</v>
      </c>
      <c r="F470" s="103" t="str">
        <f t="shared" si="12"/>
        <v>0 tubes and 0 shuttles</v>
      </c>
      <c r="G470" s="36">
        <f t="shared" si="17"/>
        <v>0</v>
      </c>
      <c r="H470" s="104" t="str">
        <f t="shared" si="13"/>
        <v>0 tubes and 0 shuttles</v>
      </c>
      <c r="I470" s="36">
        <f t="shared" si="14"/>
        <v>0</v>
      </c>
      <c r="J470" s="103" t="str">
        <f t="shared" si="15"/>
        <v>0 tubes and 0 shuttles</v>
      </c>
    </row>
    <row r="471" spans="1:10" ht="12.5" x14ac:dyDescent="0.25">
      <c r="A471" s="32">
        <f>'Profit &amp; Loss'!A471</f>
        <v>0</v>
      </c>
      <c r="B471" s="35">
        <f>'Profit &amp; Loss'!B471</f>
        <v>0</v>
      </c>
      <c r="C471" s="36"/>
      <c r="D471" s="33"/>
      <c r="E471" s="102">
        <f t="shared" si="16"/>
        <v>0</v>
      </c>
      <c r="F471" s="103" t="str">
        <f t="shared" si="12"/>
        <v>0 tubes and 0 shuttles</v>
      </c>
      <c r="G471" s="36">
        <f t="shared" si="17"/>
        <v>0</v>
      </c>
      <c r="H471" s="104" t="str">
        <f t="shared" si="13"/>
        <v>0 tubes and 0 shuttles</v>
      </c>
      <c r="I471" s="36">
        <f t="shared" si="14"/>
        <v>0</v>
      </c>
      <c r="J471" s="103" t="str">
        <f t="shared" si="15"/>
        <v>0 tubes and 0 shuttles</v>
      </c>
    </row>
    <row r="472" spans="1:10" ht="12.5" x14ac:dyDescent="0.25">
      <c r="A472" s="32">
        <f>'Profit &amp; Loss'!A472</f>
        <v>0</v>
      </c>
      <c r="B472" s="35">
        <f>'Profit &amp; Loss'!B472</f>
        <v>0</v>
      </c>
      <c r="C472" s="36"/>
      <c r="D472" s="33"/>
      <c r="E472" s="102">
        <f t="shared" si="16"/>
        <v>0</v>
      </c>
      <c r="F472" s="103" t="str">
        <f t="shared" si="12"/>
        <v>0 tubes and 0 shuttles</v>
      </c>
      <c r="G472" s="36">
        <f t="shared" si="17"/>
        <v>0</v>
      </c>
      <c r="H472" s="104" t="str">
        <f t="shared" si="13"/>
        <v>0 tubes and 0 shuttles</v>
      </c>
      <c r="I472" s="36">
        <f t="shared" si="14"/>
        <v>0</v>
      </c>
      <c r="J472" s="103" t="str">
        <f t="shared" si="15"/>
        <v>0 tubes and 0 shuttles</v>
      </c>
    </row>
    <row r="473" spans="1:10" ht="12.5" x14ac:dyDescent="0.25">
      <c r="A473" s="32">
        <f>'Profit &amp; Loss'!A473</f>
        <v>0</v>
      </c>
      <c r="B473" s="35">
        <f>'Profit &amp; Loss'!B473</f>
        <v>0</v>
      </c>
      <c r="C473" s="36"/>
      <c r="D473" s="33"/>
      <c r="E473" s="102">
        <f t="shared" si="16"/>
        <v>0</v>
      </c>
      <c r="F473" s="103" t="str">
        <f t="shared" si="12"/>
        <v>0 tubes and 0 shuttles</v>
      </c>
      <c r="G473" s="36">
        <f t="shared" si="17"/>
        <v>0</v>
      </c>
      <c r="H473" s="104" t="str">
        <f t="shared" si="13"/>
        <v>0 tubes and 0 shuttles</v>
      </c>
      <c r="I473" s="36">
        <f t="shared" si="14"/>
        <v>0</v>
      </c>
      <c r="J473" s="103" t="str">
        <f t="shared" si="15"/>
        <v>0 tubes and 0 shuttles</v>
      </c>
    </row>
    <row r="474" spans="1:10" ht="12.5" x14ac:dyDescent="0.25">
      <c r="A474" s="32">
        <f>'Profit &amp; Loss'!A474</f>
        <v>0</v>
      </c>
      <c r="B474" s="35">
        <f>'Profit &amp; Loss'!B474</f>
        <v>0</v>
      </c>
      <c r="C474" s="36"/>
      <c r="D474" s="33"/>
      <c r="E474" s="102">
        <f t="shared" si="16"/>
        <v>0</v>
      </c>
      <c r="F474" s="103" t="str">
        <f t="shared" si="12"/>
        <v>0 tubes and 0 shuttles</v>
      </c>
      <c r="G474" s="36">
        <f t="shared" si="17"/>
        <v>0</v>
      </c>
      <c r="H474" s="104" t="str">
        <f t="shared" si="13"/>
        <v>0 tubes and 0 shuttles</v>
      </c>
      <c r="I474" s="36">
        <f t="shared" si="14"/>
        <v>0</v>
      </c>
      <c r="J474" s="103" t="str">
        <f t="shared" si="15"/>
        <v>0 tubes and 0 shuttles</v>
      </c>
    </row>
    <row r="475" spans="1:10" ht="12.5" x14ac:dyDescent="0.25">
      <c r="A475" s="32">
        <f>'Profit &amp; Loss'!A475</f>
        <v>0</v>
      </c>
      <c r="B475" s="35">
        <f>'Profit &amp; Loss'!B475</f>
        <v>0</v>
      </c>
      <c r="C475" s="36"/>
      <c r="D475" s="33"/>
      <c r="E475" s="102">
        <f t="shared" si="16"/>
        <v>0</v>
      </c>
      <c r="F475" s="103" t="str">
        <f t="shared" si="12"/>
        <v>0 tubes and 0 shuttles</v>
      </c>
      <c r="G475" s="36">
        <f t="shared" si="17"/>
        <v>0</v>
      </c>
      <c r="H475" s="104" t="str">
        <f t="shared" si="13"/>
        <v>0 tubes and 0 shuttles</v>
      </c>
      <c r="I475" s="36">
        <f t="shared" si="14"/>
        <v>0</v>
      </c>
      <c r="J475" s="103" t="str">
        <f t="shared" si="15"/>
        <v>0 tubes and 0 shuttles</v>
      </c>
    </row>
    <row r="476" spans="1:10" ht="12.5" x14ac:dyDescent="0.25">
      <c r="A476" s="32">
        <f>'Profit &amp; Loss'!A476</f>
        <v>0</v>
      </c>
      <c r="B476" s="35">
        <f>'Profit &amp; Loss'!B476</f>
        <v>0</v>
      </c>
      <c r="C476" s="36"/>
      <c r="D476" s="33"/>
      <c r="E476" s="102">
        <f t="shared" si="16"/>
        <v>0</v>
      </c>
      <c r="F476" s="103" t="str">
        <f t="shared" si="12"/>
        <v>0 tubes and 0 shuttles</v>
      </c>
      <c r="G476" s="36">
        <f t="shared" si="17"/>
        <v>0</v>
      </c>
      <c r="H476" s="104" t="str">
        <f t="shared" si="13"/>
        <v>0 tubes and 0 shuttles</v>
      </c>
      <c r="I476" s="36">
        <f t="shared" si="14"/>
        <v>0</v>
      </c>
      <c r="J476" s="103" t="str">
        <f t="shared" si="15"/>
        <v>0 tubes and 0 shuttles</v>
      </c>
    </row>
    <row r="477" spans="1:10" ht="12.5" x14ac:dyDescent="0.25">
      <c r="A477" s="32">
        <f>'Profit &amp; Loss'!A477</f>
        <v>0</v>
      </c>
      <c r="B477" s="35">
        <f>'Profit &amp; Loss'!B477</f>
        <v>0</v>
      </c>
      <c r="C477" s="36"/>
      <c r="D477" s="33"/>
      <c r="E477" s="102">
        <f t="shared" si="16"/>
        <v>0</v>
      </c>
      <c r="F477" s="103" t="str">
        <f t="shared" si="12"/>
        <v>0 tubes and 0 shuttles</v>
      </c>
      <c r="G477" s="36">
        <f t="shared" si="17"/>
        <v>0</v>
      </c>
      <c r="H477" s="104" t="str">
        <f t="shared" si="13"/>
        <v>0 tubes and 0 shuttles</v>
      </c>
      <c r="I477" s="36">
        <f t="shared" si="14"/>
        <v>0</v>
      </c>
      <c r="J477" s="103" t="str">
        <f t="shared" si="15"/>
        <v>0 tubes and 0 shuttles</v>
      </c>
    </row>
    <row r="478" spans="1:10" ht="12.5" x14ac:dyDescent="0.25">
      <c r="A478" s="32">
        <f>'Profit &amp; Loss'!A478</f>
        <v>0</v>
      </c>
      <c r="B478" s="35">
        <f>'Profit &amp; Loss'!B478</f>
        <v>0</v>
      </c>
      <c r="C478" s="36"/>
      <c r="D478" s="33"/>
      <c r="E478" s="102">
        <f t="shared" si="16"/>
        <v>0</v>
      </c>
      <c r="F478" s="103" t="str">
        <f t="shared" si="12"/>
        <v>0 tubes and 0 shuttles</v>
      </c>
      <c r="G478" s="36">
        <f t="shared" si="17"/>
        <v>0</v>
      </c>
      <c r="H478" s="104" t="str">
        <f t="shared" si="13"/>
        <v>0 tubes and 0 shuttles</v>
      </c>
      <c r="I478" s="36">
        <f t="shared" si="14"/>
        <v>0</v>
      </c>
      <c r="J478" s="103" t="str">
        <f t="shared" si="15"/>
        <v>0 tubes and 0 shuttles</v>
      </c>
    </row>
    <row r="479" spans="1:10" ht="12.5" x14ac:dyDescent="0.25">
      <c r="A479" s="32">
        <f>'Profit &amp; Loss'!A479</f>
        <v>0</v>
      </c>
      <c r="B479" s="35">
        <f>'Profit &amp; Loss'!B479</f>
        <v>0</v>
      </c>
      <c r="C479" s="36"/>
      <c r="D479" s="33"/>
      <c r="E479" s="102">
        <f t="shared" si="16"/>
        <v>0</v>
      </c>
      <c r="F479" s="103" t="str">
        <f t="shared" si="12"/>
        <v>0 tubes and 0 shuttles</v>
      </c>
      <c r="G479" s="36">
        <f t="shared" si="17"/>
        <v>0</v>
      </c>
      <c r="H479" s="104" t="str">
        <f t="shared" si="13"/>
        <v>0 tubes and 0 shuttles</v>
      </c>
      <c r="I479" s="36">
        <f t="shared" si="14"/>
        <v>0</v>
      </c>
      <c r="J479" s="103" t="str">
        <f t="shared" si="15"/>
        <v>0 tubes and 0 shuttles</v>
      </c>
    </row>
    <row r="480" spans="1:10" ht="12.5" x14ac:dyDescent="0.25">
      <c r="A480" s="32">
        <f>'Profit &amp; Loss'!A480</f>
        <v>0</v>
      </c>
      <c r="B480" s="35">
        <f>'Profit &amp; Loss'!B480</f>
        <v>0</v>
      </c>
      <c r="C480" s="36"/>
      <c r="D480" s="33"/>
      <c r="E480" s="102">
        <f t="shared" si="16"/>
        <v>0</v>
      </c>
      <c r="F480" s="103" t="str">
        <f t="shared" si="12"/>
        <v>0 tubes and 0 shuttles</v>
      </c>
      <c r="G480" s="36">
        <f t="shared" si="17"/>
        <v>0</v>
      </c>
      <c r="H480" s="104" t="str">
        <f t="shared" si="13"/>
        <v>0 tubes and 0 shuttles</v>
      </c>
      <c r="I480" s="36">
        <f t="shared" si="14"/>
        <v>0</v>
      </c>
      <c r="J480" s="103" t="str">
        <f t="shared" si="15"/>
        <v>0 tubes and 0 shuttles</v>
      </c>
    </row>
    <row r="481" spans="1:10" ht="12.5" x14ac:dyDescent="0.25">
      <c r="A481" s="32">
        <f>'Profit &amp; Loss'!A481</f>
        <v>0</v>
      </c>
      <c r="B481" s="35">
        <f>'Profit &amp; Loss'!B481</f>
        <v>0</v>
      </c>
      <c r="C481" s="36"/>
      <c r="D481" s="33"/>
      <c r="E481" s="102">
        <f t="shared" si="16"/>
        <v>0</v>
      </c>
      <c r="F481" s="103" t="str">
        <f t="shared" si="12"/>
        <v>0 tubes and 0 shuttles</v>
      </c>
      <c r="G481" s="36">
        <f t="shared" si="17"/>
        <v>0</v>
      </c>
      <c r="H481" s="104" t="str">
        <f t="shared" si="13"/>
        <v>0 tubes and 0 shuttles</v>
      </c>
      <c r="I481" s="36">
        <f t="shared" si="14"/>
        <v>0</v>
      </c>
      <c r="J481" s="103" t="str">
        <f t="shared" si="15"/>
        <v>0 tubes and 0 shuttles</v>
      </c>
    </row>
    <row r="482" spans="1:10" ht="12.5" x14ac:dyDescent="0.25">
      <c r="A482" s="32">
        <f>'Profit &amp; Loss'!A482</f>
        <v>0</v>
      </c>
      <c r="B482" s="35">
        <f>'Profit &amp; Loss'!B482</f>
        <v>0</v>
      </c>
      <c r="C482" s="36"/>
      <c r="D482" s="33"/>
      <c r="E482" s="102">
        <f t="shared" si="16"/>
        <v>0</v>
      </c>
      <c r="F482" s="103" t="str">
        <f t="shared" si="12"/>
        <v>0 tubes and 0 shuttles</v>
      </c>
      <c r="G482" s="36">
        <f t="shared" si="17"/>
        <v>0</v>
      </c>
      <c r="H482" s="104" t="str">
        <f t="shared" si="13"/>
        <v>0 tubes and 0 shuttles</v>
      </c>
      <c r="I482" s="36">
        <f t="shared" si="14"/>
        <v>0</v>
      </c>
      <c r="J482" s="103" t="str">
        <f t="shared" si="15"/>
        <v>0 tubes and 0 shuttles</v>
      </c>
    </row>
    <row r="483" spans="1:10" ht="12.5" x14ac:dyDescent="0.25">
      <c r="A483" s="32">
        <f>'Profit &amp; Loss'!A483</f>
        <v>0</v>
      </c>
      <c r="B483" s="35">
        <f>'Profit &amp; Loss'!B483</f>
        <v>0</v>
      </c>
      <c r="C483" s="36"/>
      <c r="D483" s="33"/>
      <c r="E483" s="102">
        <f t="shared" si="16"/>
        <v>0</v>
      </c>
      <c r="F483" s="103" t="str">
        <f t="shared" si="12"/>
        <v>0 tubes and 0 shuttles</v>
      </c>
      <c r="G483" s="36">
        <f t="shared" si="17"/>
        <v>0</v>
      </c>
      <c r="H483" s="104" t="str">
        <f t="shared" si="13"/>
        <v>0 tubes and 0 shuttles</v>
      </c>
      <c r="I483" s="36">
        <f t="shared" si="14"/>
        <v>0</v>
      </c>
      <c r="J483" s="103" t="str">
        <f t="shared" si="15"/>
        <v>0 tubes and 0 shuttles</v>
      </c>
    </row>
    <row r="484" spans="1:10" ht="12.5" x14ac:dyDescent="0.25">
      <c r="A484" s="32">
        <f>'Profit &amp; Loss'!A484</f>
        <v>0</v>
      </c>
      <c r="B484" s="35">
        <f>'Profit &amp; Loss'!B484</f>
        <v>0</v>
      </c>
      <c r="C484" s="36"/>
      <c r="D484" s="33"/>
      <c r="E484" s="102">
        <f t="shared" si="16"/>
        <v>0</v>
      </c>
      <c r="F484" s="103" t="str">
        <f t="shared" si="12"/>
        <v>0 tubes and 0 shuttles</v>
      </c>
      <c r="G484" s="36">
        <f t="shared" si="17"/>
        <v>0</v>
      </c>
      <c r="H484" s="104" t="str">
        <f t="shared" si="13"/>
        <v>0 tubes and 0 shuttles</v>
      </c>
      <c r="I484" s="36">
        <f t="shared" si="14"/>
        <v>0</v>
      </c>
      <c r="J484" s="103" t="str">
        <f t="shared" si="15"/>
        <v>0 tubes and 0 shuttles</v>
      </c>
    </row>
    <row r="485" spans="1:10" ht="12.5" x14ac:dyDescent="0.25">
      <c r="A485" s="32">
        <f>'Profit &amp; Loss'!A485</f>
        <v>0</v>
      </c>
      <c r="B485" s="35">
        <f>'Profit &amp; Loss'!B485</f>
        <v>0</v>
      </c>
      <c r="C485" s="36"/>
      <c r="D485" s="33"/>
      <c r="E485" s="102">
        <f t="shared" si="16"/>
        <v>0</v>
      </c>
      <c r="F485" s="103" t="str">
        <f t="shared" si="12"/>
        <v>0 tubes and 0 shuttles</v>
      </c>
      <c r="G485" s="36">
        <f t="shared" si="17"/>
        <v>0</v>
      </c>
      <c r="H485" s="104" t="str">
        <f t="shared" si="13"/>
        <v>0 tubes and 0 shuttles</v>
      </c>
      <c r="I485" s="36">
        <f t="shared" si="14"/>
        <v>0</v>
      </c>
      <c r="J485" s="103" t="str">
        <f t="shared" si="15"/>
        <v>0 tubes and 0 shuttles</v>
      </c>
    </row>
    <row r="486" spans="1:10" ht="12.5" x14ac:dyDescent="0.25">
      <c r="A486" s="32">
        <f>'Profit &amp; Loss'!A486</f>
        <v>0</v>
      </c>
      <c r="B486" s="35">
        <f>'Profit &amp; Loss'!B486</f>
        <v>0</v>
      </c>
      <c r="C486" s="36"/>
      <c r="D486" s="33"/>
      <c r="E486" s="102">
        <f t="shared" si="16"/>
        <v>0</v>
      </c>
      <c r="F486" s="103" t="str">
        <f t="shared" si="12"/>
        <v>0 tubes and 0 shuttles</v>
      </c>
      <c r="G486" s="36">
        <f t="shared" si="17"/>
        <v>0</v>
      </c>
      <c r="H486" s="104" t="str">
        <f t="shared" si="13"/>
        <v>0 tubes and 0 shuttles</v>
      </c>
      <c r="I486" s="36">
        <f t="shared" si="14"/>
        <v>0</v>
      </c>
      <c r="J486" s="103" t="str">
        <f t="shared" si="15"/>
        <v>0 tubes and 0 shuttles</v>
      </c>
    </row>
    <row r="487" spans="1:10" ht="12.5" x14ac:dyDescent="0.25">
      <c r="A487" s="32">
        <f>'Profit &amp; Loss'!A487</f>
        <v>0</v>
      </c>
      <c r="B487" s="35">
        <f>'Profit &amp; Loss'!B487</f>
        <v>0</v>
      </c>
      <c r="C487" s="36"/>
      <c r="D487" s="33"/>
      <c r="E487" s="102">
        <f t="shared" si="16"/>
        <v>0</v>
      </c>
      <c r="F487" s="103" t="str">
        <f t="shared" si="12"/>
        <v>0 tubes and 0 shuttles</v>
      </c>
      <c r="G487" s="36">
        <f t="shared" si="17"/>
        <v>0</v>
      </c>
      <c r="H487" s="104" t="str">
        <f t="shared" si="13"/>
        <v>0 tubes and 0 shuttles</v>
      </c>
      <c r="I487" s="36">
        <f t="shared" si="14"/>
        <v>0</v>
      </c>
      <c r="J487" s="103" t="str">
        <f t="shared" si="15"/>
        <v>0 tubes and 0 shuttles</v>
      </c>
    </row>
    <row r="488" spans="1:10" ht="12.5" x14ac:dyDescent="0.25">
      <c r="A488" s="32">
        <f>'Profit &amp; Loss'!A488</f>
        <v>0</v>
      </c>
      <c r="B488" s="35">
        <f>'Profit &amp; Loss'!B488</f>
        <v>0</v>
      </c>
      <c r="C488" s="36"/>
      <c r="D488" s="33"/>
      <c r="E488" s="102">
        <f t="shared" si="16"/>
        <v>0</v>
      </c>
      <c r="F488" s="103" t="str">
        <f t="shared" si="12"/>
        <v>0 tubes and 0 shuttles</v>
      </c>
      <c r="G488" s="36">
        <f t="shared" si="17"/>
        <v>0</v>
      </c>
      <c r="H488" s="104" t="str">
        <f t="shared" si="13"/>
        <v>0 tubes and 0 shuttles</v>
      </c>
      <c r="I488" s="36">
        <f t="shared" si="14"/>
        <v>0</v>
      </c>
      <c r="J488" s="103" t="str">
        <f t="shared" si="15"/>
        <v>0 tubes and 0 shuttles</v>
      </c>
    </row>
    <row r="489" spans="1:10" ht="12.5" x14ac:dyDescent="0.25">
      <c r="A489" s="32">
        <f>'Profit &amp; Loss'!A489</f>
        <v>0</v>
      </c>
      <c r="B489" s="35">
        <f>'Profit &amp; Loss'!B489</f>
        <v>0</v>
      </c>
      <c r="C489" s="36"/>
      <c r="D489" s="33"/>
      <c r="E489" s="102">
        <f t="shared" si="16"/>
        <v>0</v>
      </c>
      <c r="F489" s="103" t="str">
        <f t="shared" si="12"/>
        <v>0 tubes and 0 shuttles</v>
      </c>
      <c r="G489" s="36">
        <f t="shared" si="17"/>
        <v>0</v>
      </c>
      <c r="H489" s="104" t="str">
        <f t="shared" si="13"/>
        <v>0 tubes and 0 shuttles</v>
      </c>
      <c r="I489" s="36">
        <f t="shared" si="14"/>
        <v>0</v>
      </c>
      <c r="J489" s="103" t="str">
        <f t="shared" si="15"/>
        <v>0 tubes and 0 shuttles</v>
      </c>
    </row>
    <row r="490" spans="1:10" ht="12.5" x14ac:dyDescent="0.25">
      <c r="A490" s="32">
        <f>'Profit &amp; Loss'!A490</f>
        <v>0</v>
      </c>
      <c r="B490" s="35">
        <f>'Profit &amp; Loss'!B490</f>
        <v>0</v>
      </c>
      <c r="C490" s="36"/>
      <c r="D490" s="33"/>
      <c r="E490" s="102">
        <f t="shared" si="16"/>
        <v>0</v>
      </c>
      <c r="F490" s="103" t="str">
        <f t="shared" si="12"/>
        <v>0 tubes and 0 shuttles</v>
      </c>
      <c r="G490" s="36">
        <f t="shared" si="17"/>
        <v>0</v>
      </c>
      <c r="H490" s="104" t="str">
        <f t="shared" si="13"/>
        <v>0 tubes and 0 shuttles</v>
      </c>
      <c r="I490" s="36">
        <f t="shared" si="14"/>
        <v>0</v>
      </c>
      <c r="J490" s="103" t="str">
        <f t="shared" si="15"/>
        <v>0 tubes and 0 shuttles</v>
      </c>
    </row>
    <row r="491" spans="1:10" ht="12.5" x14ac:dyDescent="0.25">
      <c r="A491" s="32">
        <f>'Profit &amp; Loss'!A491</f>
        <v>0</v>
      </c>
      <c r="B491" s="35">
        <f>'Profit &amp; Loss'!B491</f>
        <v>0</v>
      </c>
      <c r="C491" s="36"/>
      <c r="D491" s="33"/>
      <c r="E491" s="102">
        <f t="shared" si="16"/>
        <v>0</v>
      </c>
      <c r="F491" s="103" t="str">
        <f t="shared" si="12"/>
        <v>0 tubes and 0 shuttles</v>
      </c>
      <c r="G491" s="36">
        <f t="shared" si="17"/>
        <v>0</v>
      </c>
      <c r="H491" s="104" t="str">
        <f t="shared" si="13"/>
        <v>0 tubes and 0 shuttles</v>
      </c>
      <c r="I491" s="36">
        <f t="shared" si="14"/>
        <v>0</v>
      </c>
      <c r="J491" s="103" t="str">
        <f t="shared" si="15"/>
        <v>0 tubes and 0 shuttles</v>
      </c>
    </row>
    <row r="492" spans="1:10" ht="12.5" x14ac:dyDescent="0.25">
      <c r="A492" s="32">
        <f>'Profit &amp; Loss'!A492</f>
        <v>0</v>
      </c>
      <c r="B492" s="35">
        <f>'Profit &amp; Loss'!B492</f>
        <v>0</v>
      </c>
      <c r="C492" s="36"/>
      <c r="D492" s="33"/>
      <c r="E492" s="102">
        <f t="shared" si="16"/>
        <v>0</v>
      </c>
      <c r="F492" s="103" t="str">
        <f t="shared" si="12"/>
        <v>0 tubes and 0 shuttles</v>
      </c>
      <c r="G492" s="36">
        <f t="shared" si="17"/>
        <v>0</v>
      </c>
      <c r="H492" s="104" t="str">
        <f t="shared" si="13"/>
        <v>0 tubes and 0 shuttles</v>
      </c>
      <c r="I492" s="36">
        <f t="shared" si="14"/>
        <v>0</v>
      </c>
      <c r="J492" s="103" t="str">
        <f t="shared" si="15"/>
        <v>0 tubes and 0 shuttles</v>
      </c>
    </row>
    <row r="493" spans="1:10" ht="12.5" x14ac:dyDescent="0.25">
      <c r="A493" s="32">
        <f>'Profit &amp; Loss'!A493</f>
        <v>0</v>
      </c>
      <c r="B493" s="35">
        <f>'Profit &amp; Loss'!B493</f>
        <v>0</v>
      </c>
      <c r="C493" s="36"/>
      <c r="D493" s="33"/>
      <c r="E493" s="102">
        <f t="shared" si="16"/>
        <v>0</v>
      </c>
      <c r="F493" s="103" t="str">
        <f t="shared" si="12"/>
        <v>0 tubes and 0 shuttles</v>
      </c>
      <c r="G493" s="36">
        <f t="shared" si="17"/>
        <v>0</v>
      </c>
      <c r="H493" s="104" t="str">
        <f t="shared" si="13"/>
        <v>0 tubes and 0 shuttles</v>
      </c>
      <c r="I493" s="36">
        <f t="shared" si="14"/>
        <v>0</v>
      </c>
      <c r="J493" s="103" t="str">
        <f t="shared" si="15"/>
        <v>0 tubes and 0 shuttles</v>
      </c>
    </row>
    <row r="494" spans="1:10" ht="12.5" x14ac:dyDescent="0.25">
      <c r="A494" s="32">
        <f>'Profit &amp; Loss'!A494</f>
        <v>0</v>
      </c>
      <c r="B494" s="35">
        <f>'Profit &amp; Loss'!B494</f>
        <v>0</v>
      </c>
      <c r="C494" s="36"/>
      <c r="D494" s="33"/>
      <c r="E494" s="102">
        <f t="shared" si="16"/>
        <v>0</v>
      </c>
      <c r="F494" s="103" t="str">
        <f t="shared" si="12"/>
        <v>0 tubes and 0 shuttles</v>
      </c>
      <c r="G494" s="36">
        <f t="shared" si="17"/>
        <v>0</v>
      </c>
      <c r="H494" s="104" t="str">
        <f t="shared" si="13"/>
        <v>0 tubes and 0 shuttles</v>
      </c>
      <c r="I494" s="36">
        <f t="shared" si="14"/>
        <v>0</v>
      </c>
      <c r="J494" s="103" t="str">
        <f t="shared" si="15"/>
        <v>0 tubes and 0 shuttles</v>
      </c>
    </row>
    <row r="495" spans="1:10" ht="12.5" x14ac:dyDescent="0.25">
      <c r="A495" s="32">
        <f>'Profit &amp; Loss'!A495</f>
        <v>0</v>
      </c>
      <c r="B495" s="35">
        <f>'Profit &amp; Loss'!B495</f>
        <v>0</v>
      </c>
      <c r="C495" s="36"/>
      <c r="D495" s="33"/>
      <c r="E495" s="102">
        <f t="shared" si="16"/>
        <v>0</v>
      </c>
      <c r="F495" s="103" t="str">
        <f t="shared" si="12"/>
        <v>0 tubes and 0 shuttles</v>
      </c>
      <c r="G495" s="36">
        <f t="shared" si="17"/>
        <v>0</v>
      </c>
      <c r="H495" s="104" t="str">
        <f t="shared" si="13"/>
        <v>0 tubes and 0 shuttles</v>
      </c>
      <c r="I495" s="36">
        <f t="shared" si="14"/>
        <v>0</v>
      </c>
      <c r="J495" s="103" t="str">
        <f t="shared" si="15"/>
        <v>0 tubes and 0 shuttles</v>
      </c>
    </row>
    <row r="496" spans="1:10" ht="12.5" x14ac:dyDescent="0.25">
      <c r="A496" s="32">
        <f>'Profit &amp; Loss'!A496</f>
        <v>0</v>
      </c>
      <c r="B496" s="35">
        <f>'Profit &amp; Loss'!B496</f>
        <v>0</v>
      </c>
      <c r="C496" s="36"/>
      <c r="D496" s="33"/>
      <c r="E496" s="102">
        <f t="shared" si="16"/>
        <v>0</v>
      </c>
      <c r="F496" s="103" t="str">
        <f t="shared" si="12"/>
        <v>0 tubes and 0 shuttles</v>
      </c>
      <c r="G496" s="36">
        <f t="shared" si="17"/>
        <v>0</v>
      </c>
      <c r="H496" s="104" t="str">
        <f t="shared" si="13"/>
        <v>0 tubes and 0 shuttles</v>
      </c>
      <c r="I496" s="36">
        <f t="shared" si="14"/>
        <v>0</v>
      </c>
      <c r="J496" s="103" t="str">
        <f t="shared" si="15"/>
        <v>0 tubes and 0 shuttles</v>
      </c>
    </row>
    <row r="497" spans="1:10" ht="12.5" x14ac:dyDescent="0.25">
      <c r="A497" s="32">
        <f>'Profit &amp; Loss'!A497</f>
        <v>0</v>
      </c>
      <c r="B497" s="35">
        <f>'Profit &amp; Loss'!B497</f>
        <v>0</v>
      </c>
      <c r="C497" s="36"/>
      <c r="D497" s="33"/>
      <c r="E497" s="102">
        <f t="shared" si="16"/>
        <v>0</v>
      </c>
      <c r="F497" s="103" t="str">
        <f t="shared" si="12"/>
        <v>0 tubes and 0 shuttles</v>
      </c>
      <c r="G497" s="36">
        <f t="shared" si="17"/>
        <v>0</v>
      </c>
      <c r="H497" s="104" t="str">
        <f t="shared" si="13"/>
        <v>0 tubes and 0 shuttles</v>
      </c>
      <c r="I497" s="36">
        <f t="shared" si="14"/>
        <v>0</v>
      </c>
      <c r="J497" s="103" t="str">
        <f t="shared" si="15"/>
        <v>0 tubes and 0 shuttles</v>
      </c>
    </row>
    <row r="498" spans="1:10" ht="12.5" x14ac:dyDescent="0.25">
      <c r="A498" s="32">
        <f>'Profit &amp; Loss'!A498</f>
        <v>0</v>
      </c>
      <c r="B498" s="35">
        <f>'Profit &amp; Loss'!B498</f>
        <v>0</v>
      </c>
      <c r="C498" s="36"/>
      <c r="D498" s="33"/>
      <c r="E498" s="102">
        <f t="shared" si="16"/>
        <v>0</v>
      </c>
      <c r="F498" s="103" t="str">
        <f t="shared" si="12"/>
        <v>0 tubes and 0 shuttles</v>
      </c>
      <c r="G498" s="36">
        <f t="shared" si="17"/>
        <v>0</v>
      </c>
      <c r="H498" s="104" t="str">
        <f t="shared" si="13"/>
        <v>0 tubes and 0 shuttles</v>
      </c>
      <c r="I498" s="36">
        <f t="shared" si="14"/>
        <v>0</v>
      </c>
      <c r="J498" s="103" t="str">
        <f t="shared" si="15"/>
        <v>0 tubes and 0 shuttles</v>
      </c>
    </row>
    <row r="499" spans="1:10" ht="12.5" x14ac:dyDescent="0.25">
      <c r="A499" s="32">
        <f>'Profit &amp; Loss'!A499</f>
        <v>0</v>
      </c>
      <c r="B499" s="35">
        <f>'Profit &amp; Loss'!B499</f>
        <v>0</v>
      </c>
      <c r="C499" s="36"/>
      <c r="D499" s="33"/>
      <c r="E499" s="102">
        <f t="shared" si="16"/>
        <v>0</v>
      </c>
      <c r="F499" s="103" t="str">
        <f t="shared" si="12"/>
        <v>0 tubes and 0 shuttles</v>
      </c>
      <c r="G499" s="36">
        <f t="shared" si="17"/>
        <v>0</v>
      </c>
      <c r="H499" s="104" t="str">
        <f t="shared" si="13"/>
        <v>0 tubes and 0 shuttles</v>
      </c>
      <c r="I499" s="36">
        <f t="shared" si="14"/>
        <v>0</v>
      </c>
      <c r="J499" s="103" t="str">
        <f t="shared" si="15"/>
        <v>0 tubes and 0 shuttles</v>
      </c>
    </row>
    <row r="500" spans="1:10" ht="12.5" x14ac:dyDescent="0.25">
      <c r="A500" s="32">
        <f>'Profit &amp; Loss'!A500</f>
        <v>0</v>
      </c>
      <c r="B500" s="35">
        <f>'Profit &amp; Loss'!B500</f>
        <v>0</v>
      </c>
      <c r="C500" s="36"/>
      <c r="D500" s="33"/>
      <c r="E500" s="102">
        <f t="shared" si="16"/>
        <v>0</v>
      </c>
      <c r="F500" s="103" t="str">
        <f t="shared" si="12"/>
        <v>0 tubes and 0 shuttles</v>
      </c>
      <c r="G500" s="36">
        <f t="shared" si="17"/>
        <v>0</v>
      </c>
      <c r="H500" s="104" t="str">
        <f t="shared" si="13"/>
        <v>0 tubes and 0 shuttles</v>
      </c>
      <c r="I500" s="36">
        <f t="shared" si="14"/>
        <v>0</v>
      </c>
      <c r="J500" s="103" t="str">
        <f t="shared" si="15"/>
        <v>0 tubes and 0 shuttles</v>
      </c>
    </row>
    <row r="501" spans="1:10" ht="12.5" x14ac:dyDescent="0.25">
      <c r="A501" s="32">
        <f>'Profit &amp; Loss'!A501</f>
        <v>0</v>
      </c>
      <c r="B501" s="35">
        <f>'Profit &amp; Loss'!B501</f>
        <v>0</v>
      </c>
      <c r="C501" s="36"/>
      <c r="D501" s="33"/>
      <c r="E501" s="102">
        <f t="shared" si="16"/>
        <v>0</v>
      </c>
      <c r="F501" s="103" t="str">
        <f t="shared" si="12"/>
        <v>0 tubes and 0 shuttles</v>
      </c>
      <c r="G501" s="36">
        <f t="shared" si="17"/>
        <v>0</v>
      </c>
      <c r="H501" s="104" t="str">
        <f t="shared" si="13"/>
        <v>0 tubes and 0 shuttles</v>
      </c>
      <c r="I501" s="36">
        <f t="shared" si="14"/>
        <v>0</v>
      </c>
      <c r="J501" s="103" t="str">
        <f t="shared" si="15"/>
        <v>0 tubes and 0 shuttles</v>
      </c>
    </row>
    <row r="502" spans="1:10" ht="12.5" x14ac:dyDescent="0.25">
      <c r="A502" s="32">
        <f>'Profit &amp; Loss'!A502</f>
        <v>0</v>
      </c>
      <c r="B502" s="35">
        <f>'Profit &amp; Loss'!B502</f>
        <v>0</v>
      </c>
      <c r="C502" s="36"/>
      <c r="D502" s="33"/>
      <c r="E502" s="102">
        <f t="shared" si="16"/>
        <v>0</v>
      </c>
      <c r="F502" s="103" t="str">
        <f t="shared" si="12"/>
        <v>0 tubes and 0 shuttles</v>
      </c>
      <c r="G502" s="36">
        <f t="shared" si="17"/>
        <v>0</v>
      </c>
      <c r="H502" s="104" t="str">
        <f t="shared" si="13"/>
        <v>0 tubes and 0 shuttles</v>
      </c>
      <c r="I502" s="36">
        <f t="shared" si="14"/>
        <v>0</v>
      </c>
      <c r="J502" s="103" t="str">
        <f t="shared" si="15"/>
        <v>0 tubes and 0 shuttles</v>
      </c>
    </row>
    <row r="503" spans="1:10" ht="12.5" x14ac:dyDescent="0.25">
      <c r="A503" s="32">
        <f>'Profit &amp; Loss'!A503</f>
        <v>0</v>
      </c>
      <c r="B503" s="35">
        <f>'Profit &amp; Loss'!B503</f>
        <v>0</v>
      </c>
      <c r="C503" s="36"/>
      <c r="D503" s="33"/>
      <c r="E503" s="102">
        <f t="shared" si="16"/>
        <v>0</v>
      </c>
      <c r="F503" s="103" t="str">
        <f t="shared" si="12"/>
        <v>0 tubes and 0 shuttles</v>
      </c>
      <c r="G503" s="36">
        <f t="shared" si="17"/>
        <v>0</v>
      </c>
      <c r="H503" s="104" t="str">
        <f t="shared" si="13"/>
        <v>0 tubes and 0 shuttles</v>
      </c>
      <c r="I503" s="36">
        <f t="shared" si="14"/>
        <v>0</v>
      </c>
      <c r="J503" s="103" t="str">
        <f t="shared" si="15"/>
        <v>0 tubes and 0 shuttles</v>
      </c>
    </row>
    <row r="504" spans="1:10" ht="12.5" x14ac:dyDescent="0.25">
      <c r="A504" s="32">
        <f>'Profit &amp; Loss'!A504</f>
        <v>0</v>
      </c>
      <c r="B504" s="35">
        <f>'Profit &amp; Loss'!B504</f>
        <v>0</v>
      </c>
      <c r="C504" s="36"/>
      <c r="D504" s="33"/>
      <c r="E504" s="102">
        <f t="shared" si="16"/>
        <v>0</v>
      </c>
      <c r="F504" s="103" t="str">
        <f t="shared" si="12"/>
        <v>0 tubes and 0 shuttles</v>
      </c>
      <c r="G504" s="36">
        <f t="shared" si="17"/>
        <v>0</v>
      </c>
      <c r="H504" s="104" t="str">
        <f t="shared" si="13"/>
        <v>0 tubes and 0 shuttles</v>
      </c>
      <c r="I504" s="36">
        <f t="shared" si="14"/>
        <v>0</v>
      </c>
      <c r="J504" s="103" t="str">
        <f t="shared" si="15"/>
        <v>0 tubes and 0 shuttles</v>
      </c>
    </row>
    <row r="505" spans="1:10" ht="12.5" x14ac:dyDescent="0.25">
      <c r="A505" s="32">
        <f>'Profit &amp; Loss'!A505</f>
        <v>0</v>
      </c>
      <c r="B505" s="35">
        <f>'Profit &amp; Loss'!B505</f>
        <v>0</v>
      </c>
      <c r="C505" s="36"/>
      <c r="D505" s="33"/>
      <c r="E505" s="102">
        <f t="shared" si="16"/>
        <v>0</v>
      </c>
      <c r="F505" s="103" t="str">
        <f t="shared" si="12"/>
        <v>0 tubes and 0 shuttles</v>
      </c>
      <c r="G505" s="36">
        <f t="shared" si="17"/>
        <v>0</v>
      </c>
      <c r="H505" s="104" t="str">
        <f t="shared" si="13"/>
        <v>0 tubes and 0 shuttles</v>
      </c>
      <c r="I505" s="36">
        <f t="shared" si="14"/>
        <v>0</v>
      </c>
      <c r="J505" s="103" t="str">
        <f t="shared" si="15"/>
        <v>0 tubes and 0 shuttles</v>
      </c>
    </row>
    <row r="506" spans="1:10" ht="12.5" x14ac:dyDescent="0.25">
      <c r="A506" s="32">
        <f>'Profit &amp; Loss'!A506</f>
        <v>0</v>
      </c>
      <c r="B506" s="35">
        <f>'Profit &amp; Loss'!B506</f>
        <v>0</v>
      </c>
      <c r="C506" s="36"/>
      <c r="D506" s="33"/>
      <c r="E506" s="102">
        <f t="shared" si="16"/>
        <v>0</v>
      </c>
      <c r="F506" s="103" t="str">
        <f t="shared" si="12"/>
        <v>0 tubes and 0 shuttles</v>
      </c>
      <c r="G506" s="36">
        <f t="shared" si="17"/>
        <v>0</v>
      </c>
      <c r="H506" s="104" t="str">
        <f t="shared" si="13"/>
        <v>0 tubes and 0 shuttles</v>
      </c>
      <c r="I506" s="36">
        <f t="shared" si="14"/>
        <v>0</v>
      </c>
      <c r="J506" s="103" t="str">
        <f t="shared" si="15"/>
        <v>0 tubes and 0 shuttles</v>
      </c>
    </row>
    <row r="507" spans="1:10" ht="12.5" x14ac:dyDescent="0.25">
      <c r="A507" s="32">
        <f>'Profit &amp; Loss'!A507</f>
        <v>0</v>
      </c>
      <c r="B507" s="35">
        <f>'Profit &amp; Loss'!B507</f>
        <v>0</v>
      </c>
      <c r="C507" s="36"/>
      <c r="D507" s="33"/>
      <c r="E507" s="102">
        <f t="shared" si="16"/>
        <v>0</v>
      </c>
      <c r="F507" s="103" t="str">
        <f t="shared" si="12"/>
        <v>0 tubes and 0 shuttles</v>
      </c>
      <c r="G507" s="36">
        <f t="shared" si="17"/>
        <v>0</v>
      </c>
      <c r="H507" s="104" t="str">
        <f t="shared" si="13"/>
        <v>0 tubes and 0 shuttles</v>
      </c>
      <c r="I507" s="36">
        <f t="shared" si="14"/>
        <v>0</v>
      </c>
      <c r="J507" s="103" t="str">
        <f t="shared" si="15"/>
        <v>0 tubes and 0 shuttles</v>
      </c>
    </row>
    <row r="508" spans="1:10" ht="12.5" x14ac:dyDescent="0.25">
      <c r="A508" s="32">
        <f>'Profit &amp; Loss'!A508</f>
        <v>0</v>
      </c>
      <c r="B508" s="35">
        <f>'Profit &amp; Loss'!B508</f>
        <v>0</v>
      </c>
      <c r="C508" s="36"/>
      <c r="D508" s="33"/>
      <c r="E508" s="102">
        <f t="shared" si="16"/>
        <v>0</v>
      </c>
      <c r="F508" s="103" t="str">
        <f t="shared" si="12"/>
        <v>0 tubes and 0 shuttles</v>
      </c>
      <c r="G508" s="36">
        <f t="shared" si="17"/>
        <v>0</v>
      </c>
      <c r="H508" s="104" t="str">
        <f t="shared" si="13"/>
        <v>0 tubes and 0 shuttles</v>
      </c>
      <c r="I508" s="36">
        <f t="shared" si="14"/>
        <v>0</v>
      </c>
      <c r="J508" s="103" t="str">
        <f t="shared" si="15"/>
        <v>0 tubes and 0 shuttles</v>
      </c>
    </row>
    <row r="509" spans="1:10" ht="12.5" x14ac:dyDescent="0.25">
      <c r="A509" s="32">
        <f>'Profit &amp; Loss'!A509</f>
        <v>0</v>
      </c>
      <c r="B509" s="35">
        <f>'Profit &amp; Loss'!B509</f>
        <v>0</v>
      </c>
      <c r="C509" s="36"/>
      <c r="D509" s="33"/>
      <c r="E509" s="102">
        <f t="shared" si="16"/>
        <v>0</v>
      </c>
      <c r="F509" s="103" t="str">
        <f t="shared" si="12"/>
        <v>0 tubes and 0 shuttles</v>
      </c>
      <c r="G509" s="36">
        <f t="shared" si="17"/>
        <v>0</v>
      </c>
      <c r="H509" s="104" t="str">
        <f t="shared" si="13"/>
        <v>0 tubes and 0 shuttles</v>
      </c>
      <c r="I509" s="36">
        <f t="shared" si="14"/>
        <v>0</v>
      </c>
      <c r="J509" s="103" t="str">
        <f t="shared" si="15"/>
        <v>0 tubes and 0 shuttles</v>
      </c>
    </row>
    <row r="510" spans="1:10" ht="12.5" x14ac:dyDescent="0.25">
      <c r="A510" s="32">
        <f>'Profit &amp; Loss'!A510</f>
        <v>0</v>
      </c>
      <c r="B510" s="35">
        <f>'Profit &amp; Loss'!B510</f>
        <v>0</v>
      </c>
      <c r="C510" s="36"/>
      <c r="D510" s="33"/>
      <c r="E510" s="102">
        <f t="shared" si="16"/>
        <v>0</v>
      </c>
      <c r="F510" s="103" t="str">
        <f t="shared" si="12"/>
        <v>0 tubes and 0 shuttles</v>
      </c>
      <c r="G510" s="36">
        <f t="shared" si="17"/>
        <v>0</v>
      </c>
      <c r="H510" s="104" t="str">
        <f t="shared" si="13"/>
        <v>0 tubes and 0 shuttles</v>
      </c>
      <c r="I510" s="36">
        <f t="shared" si="14"/>
        <v>0</v>
      </c>
      <c r="J510" s="103" t="str">
        <f t="shared" si="15"/>
        <v>0 tubes and 0 shuttles</v>
      </c>
    </row>
    <row r="511" spans="1:10" ht="12.5" x14ac:dyDescent="0.25">
      <c r="A511" s="32">
        <f>'Profit &amp; Loss'!A511</f>
        <v>0</v>
      </c>
      <c r="B511" s="35">
        <f>'Profit &amp; Loss'!B511</f>
        <v>0</v>
      </c>
      <c r="C511" s="36"/>
      <c r="D511" s="33"/>
      <c r="E511" s="102">
        <f t="shared" si="16"/>
        <v>0</v>
      </c>
      <c r="F511" s="103" t="str">
        <f t="shared" si="12"/>
        <v>0 tubes and 0 shuttles</v>
      </c>
      <c r="G511" s="36">
        <f t="shared" si="17"/>
        <v>0</v>
      </c>
      <c r="H511" s="104" t="str">
        <f t="shared" si="13"/>
        <v>0 tubes and 0 shuttles</v>
      </c>
      <c r="I511" s="36">
        <f t="shared" si="14"/>
        <v>0</v>
      </c>
      <c r="J511" s="103" t="str">
        <f t="shared" si="15"/>
        <v>0 tubes and 0 shuttles</v>
      </c>
    </row>
    <row r="512" spans="1:10" ht="12.5" x14ac:dyDescent="0.25">
      <c r="A512" s="32">
        <f>'Profit &amp; Loss'!A512</f>
        <v>0</v>
      </c>
      <c r="B512" s="35">
        <f>'Profit &amp; Loss'!B512</f>
        <v>0</v>
      </c>
      <c r="C512" s="36"/>
      <c r="D512" s="33"/>
      <c r="E512" s="102">
        <f t="shared" si="16"/>
        <v>0</v>
      </c>
      <c r="F512" s="103" t="str">
        <f t="shared" si="12"/>
        <v>0 tubes and 0 shuttles</v>
      </c>
      <c r="G512" s="36">
        <f t="shared" si="17"/>
        <v>0</v>
      </c>
      <c r="H512" s="104" t="str">
        <f t="shared" si="13"/>
        <v>0 tubes and 0 shuttles</v>
      </c>
      <c r="I512" s="36">
        <f t="shared" si="14"/>
        <v>0</v>
      </c>
      <c r="J512" s="103" t="str">
        <f t="shared" si="15"/>
        <v>0 tubes and 0 shuttles</v>
      </c>
    </row>
    <row r="513" spans="1:10" ht="12.5" x14ac:dyDescent="0.25">
      <c r="A513" s="32">
        <f>'Profit &amp; Loss'!A513</f>
        <v>0</v>
      </c>
      <c r="B513" s="35">
        <f>'Profit &amp; Loss'!B513</f>
        <v>0</v>
      </c>
      <c r="C513" s="36"/>
      <c r="D513" s="33"/>
      <c r="E513" s="102">
        <f t="shared" si="16"/>
        <v>0</v>
      </c>
      <c r="F513" s="103" t="str">
        <f t="shared" si="12"/>
        <v>0 tubes and 0 shuttles</v>
      </c>
      <c r="G513" s="36">
        <f t="shared" si="17"/>
        <v>0</v>
      </c>
      <c r="H513" s="104" t="str">
        <f t="shared" si="13"/>
        <v>0 tubes and 0 shuttles</v>
      </c>
      <c r="I513" s="36">
        <f t="shared" si="14"/>
        <v>0</v>
      </c>
      <c r="J513" s="103" t="str">
        <f t="shared" si="15"/>
        <v>0 tubes and 0 shuttles</v>
      </c>
    </row>
    <row r="514" spans="1:10" ht="12.5" x14ac:dyDescent="0.25">
      <c r="A514" s="32">
        <f>'Profit &amp; Loss'!A514</f>
        <v>0</v>
      </c>
      <c r="B514" s="35">
        <f>'Profit &amp; Loss'!B514</f>
        <v>0</v>
      </c>
      <c r="C514" s="36"/>
      <c r="D514" s="33"/>
      <c r="E514" s="102">
        <f t="shared" si="16"/>
        <v>0</v>
      </c>
      <c r="F514" s="103" t="str">
        <f t="shared" si="12"/>
        <v>0 tubes and 0 shuttles</v>
      </c>
      <c r="G514" s="36">
        <f t="shared" si="17"/>
        <v>0</v>
      </c>
      <c r="H514" s="104" t="str">
        <f t="shared" si="13"/>
        <v>0 tubes and 0 shuttles</v>
      </c>
      <c r="I514" s="36">
        <f t="shared" si="14"/>
        <v>0</v>
      </c>
      <c r="J514" s="103" t="str">
        <f t="shared" si="15"/>
        <v>0 tubes and 0 shuttles</v>
      </c>
    </row>
    <row r="515" spans="1:10" ht="12.5" x14ac:dyDescent="0.25">
      <c r="A515" s="32">
        <f>'Profit &amp; Loss'!A515</f>
        <v>0</v>
      </c>
      <c r="B515" s="35">
        <f>'Profit &amp; Loss'!B515</f>
        <v>0</v>
      </c>
      <c r="C515" s="36"/>
      <c r="D515" s="33"/>
      <c r="E515" s="102">
        <f t="shared" si="16"/>
        <v>0</v>
      </c>
      <c r="F515" s="103" t="str">
        <f t="shared" si="12"/>
        <v>0 tubes and 0 shuttles</v>
      </c>
      <c r="G515" s="36">
        <f t="shared" si="17"/>
        <v>0</v>
      </c>
      <c r="H515" s="104" t="str">
        <f t="shared" si="13"/>
        <v>0 tubes and 0 shuttles</v>
      </c>
      <c r="I515" s="36">
        <f t="shared" si="14"/>
        <v>0</v>
      </c>
      <c r="J515" s="103" t="str">
        <f t="shared" si="15"/>
        <v>0 tubes and 0 shuttles</v>
      </c>
    </row>
    <row r="516" spans="1:10" ht="12.5" x14ac:dyDescent="0.25">
      <c r="A516" s="32">
        <f>'Profit &amp; Loss'!A516</f>
        <v>0</v>
      </c>
      <c r="B516" s="35">
        <f>'Profit &amp; Loss'!B516</f>
        <v>0</v>
      </c>
      <c r="C516" s="36"/>
      <c r="D516" s="33"/>
      <c r="E516" s="102">
        <f t="shared" si="16"/>
        <v>0</v>
      </c>
      <c r="F516" s="103" t="str">
        <f t="shared" ref="F516:F770" si="18">QUOTIENT(E516,12) &amp; " tubes and " &amp; MOD(E516,12) &amp; " shuttles"</f>
        <v>0 tubes and 0 shuttles</v>
      </c>
      <c r="G516" s="36">
        <f t="shared" si="17"/>
        <v>0</v>
      </c>
      <c r="H516" s="104" t="str">
        <f t="shared" ref="H516:H770" si="19">QUOTIENT(G516,12) &amp; " tubes and " &amp; MOD(G516,12) &amp; " shuttles"</f>
        <v>0 tubes and 0 shuttles</v>
      </c>
      <c r="I516" s="36">
        <f t="shared" ref="I516:I770" si="20">SUM(E516:H516)</f>
        <v>0</v>
      </c>
      <c r="J516" s="103" t="str">
        <f t="shared" ref="J516:J770" si="21">QUOTIENT(I516,12) &amp; " tubes and " &amp; MOD(I516,12) &amp; " shuttles"</f>
        <v>0 tubes and 0 shuttles</v>
      </c>
    </row>
    <row r="517" spans="1:10" ht="12.5" x14ac:dyDescent="0.25">
      <c r="A517" s="32">
        <f>'Profit &amp; Loss'!A517</f>
        <v>0</v>
      </c>
      <c r="B517" s="35">
        <f>'Profit &amp; Loss'!B517</f>
        <v>0</v>
      </c>
      <c r="C517" s="36"/>
      <c r="D517" s="33"/>
      <c r="E517" s="102">
        <f t="shared" si="16"/>
        <v>0</v>
      </c>
      <c r="F517" s="103" t="str">
        <f t="shared" si="18"/>
        <v>0 tubes and 0 shuttles</v>
      </c>
      <c r="G517" s="36">
        <f t="shared" si="17"/>
        <v>0</v>
      </c>
      <c r="H517" s="104" t="str">
        <f t="shared" si="19"/>
        <v>0 tubes and 0 shuttles</v>
      </c>
      <c r="I517" s="36">
        <f t="shared" si="20"/>
        <v>0</v>
      </c>
      <c r="J517" s="103" t="str">
        <f t="shared" si="21"/>
        <v>0 tubes and 0 shuttles</v>
      </c>
    </row>
    <row r="518" spans="1:10" ht="12.5" x14ac:dyDescent="0.25">
      <c r="A518" s="32">
        <f>'Profit &amp; Loss'!A518</f>
        <v>0</v>
      </c>
      <c r="B518" s="35">
        <f>'Profit &amp; Loss'!B518</f>
        <v>0</v>
      </c>
      <c r="C518" s="36"/>
      <c r="D518" s="33"/>
      <c r="E518" s="102">
        <f t="shared" si="16"/>
        <v>0</v>
      </c>
      <c r="F518" s="103" t="str">
        <f t="shared" si="18"/>
        <v>0 tubes and 0 shuttles</v>
      </c>
      <c r="G518" s="36">
        <f t="shared" si="17"/>
        <v>0</v>
      </c>
      <c r="H518" s="104" t="str">
        <f t="shared" si="19"/>
        <v>0 tubes and 0 shuttles</v>
      </c>
      <c r="I518" s="36">
        <f t="shared" si="20"/>
        <v>0</v>
      </c>
      <c r="J518" s="103" t="str">
        <f t="shared" si="21"/>
        <v>0 tubes and 0 shuttles</v>
      </c>
    </row>
    <row r="519" spans="1:10" ht="12.5" x14ac:dyDescent="0.25">
      <c r="A519" s="32">
        <f>'Profit &amp; Loss'!A519</f>
        <v>0</v>
      </c>
      <c r="B519" s="35">
        <f>'Profit &amp; Loss'!B519</f>
        <v>0</v>
      </c>
      <c r="C519" s="36"/>
      <c r="D519" s="33"/>
      <c r="E519" s="102">
        <f t="shared" si="16"/>
        <v>0</v>
      </c>
      <c r="F519" s="103" t="str">
        <f t="shared" si="18"/>
        <v>0 tubes and 0 shuttles</v>
      </c>
      <c r="G519" s="36">
        <f t="shared" si="17"/>
        <v>0</v>
      </c>
      <c r="H519" s="104" t="str">
        <f t="shared" si="19"/>
        <v>0 tubes and 0 shuttles</v>
      </c>
      <c r="I519" s="36">
        <f t="shared" si="20"/>
        <v>0</v>
      </c>
      <c r="J519" s="103" t="str">
        <f t="shared" si="21"/>
        <v>0 tubes and 0 shuttles</v>
      </c>
    </row>
    <row r="520" spans="1:10" ht="12.5" x14ac:dyDescent="0.25">
      <c r="A520" s="32">
        <f>'Profit &amp; Loss'!A520</f>
        <v>0</v>
      </c>
      <c r="B520" s="35">
        <f>'Profit &amp; Loss'!B520</f>
        <v>0</v>
      </c>
      <c r="C520" s="36"/>
      <c r="D520" s="33"/>
      <c r="E520" s="102">
        <f t="shared" si="16"/>
        <v>0</v>
      </c>
      <c r="F520" s="103" t="str">
        <f t="shared" si="18"/>
        <v>0 tubes and 0 shuttles</v>
      </c>
      <c r="G520" s="36">
        <f t="shared" si="17"/>
        <v>0</v>
      </c>
      <c r="H520" s="104" t="str">
        <f t="shared" si="19"/>
        <v>0 tubes and 0 shuttles</v>
      </c>
      <c r="I520" s="36">
        <f t="shared" si="20"/>
        <v>0</v>
      </c>
      <c r="J520" s="103" t="str">
        <f t="shared" si="21"/>
        <v>0 tubes and 0 shuttles</v>
      </c>
    </row>
    <row r="521" spans="1:10" ht="12.5" x14ac:dyDescent="0.25">
      <c r="A521" s="32">
        <f>'Profit &amp; Loss'!A521</f>
        <v>0</v>
      </c>
      <c r="B521" s="35">
        <f>'Profit &amp; Loss'!B521</f>
        <v>0</v>
      </c>
      <c r="C521" s="36"/>
      <c r="D521" s="33"/>
      <c r="E521" s="102">
        <f t="shared" si="16"/>
        <v>0</v>
      </c>
      <c r="F521" s="103" t="str">
        <f t="shared" si="18"/>
        <v>0 tubes and 0 shuttles</v>
      </c>
      <c r="G521" s="36">
        <f t="shared" si="17"/>
        <v>0</v>
      </c>
      <c r="H521" s="104" t="str">
        <f t="shared" si="19"/>
        <v>0 tubes and 0 shuttles</v>
      </c>
      <c r="I521" s="36">
        <f t="shared" si="20"/>
        <v>0</v>
      </c>
      <c r="J521" s="103" t="str">
        <f t="shared" si="21"/>
        <v>0 tubes and 0 shuttles</v>
      </c>
    </row>
    <row r="522" spans="1:10" ht="12.5" x14ac:dyDescent="0.25">
      <c r="A522" s="32">
        <f>'Profit &amp; Loss'!A522</f>
        <v>0</v>
      </c>
      <c r="B522" s="35">
        <f>'Profit &amp; Loss'!B522</f>
        <v>0</v>
      </c>
      <c r="C522" s="36"/>
      <c r="D522" s="33"/>
      <c r="E522" s="102">
        <f t="shared" si="16"/>
        <v>0</v>
      </c>
      <c r="F522" s="103" t="str">
        <f t="shared" si="18"/>
        <v>0 tubes and 0 shuttles</v>
      </c>
      <c r="G522" s="36">
        <f t="shared" si="17"/>
        <v>0</v>
      </c>
      <c r="H522" s="104" t="str">
        <f t="shared" si="19"/>
        <v>0 tubes and 0 shuttles</v>
      </c>
      <c r="I522" s="36">
        <f t="shared" si="20"/>
        <v>0</v>
      </c>
      <c r="J522" s="103" t="str">
        <f t="shared" si="21"/>
        <v>0 tubes and 0 shuttles</v>
      </c>
    </row>
    <row r="523" spans="1:10" ht="12.5" x14ac:dyDescent="0.25">
      <c r="A523" s="32">
        <f>'Profit &amp; Loss'!A523</f>
        <v>0</v>
      </c>
      <c r="B523" s="35">
        <f>'Profit &amp; Loss'!B523</f>
        <v>0</v>
      </c>
      <c r="C523" s="36"/>
      <c r="D523" s="33"/>
      <c r="E523" s="102">
        <f t="shared" si="16"/>
        <v>0</v>
      </c>
      <c r="F523" s="103" t="str">
        <f t="shared" si="18"/>
        <v>0 tubes and 0 shuttles</v>
      </c>
      <c r="G523" s="36">
        <f t="shared" si="17"/>
        <v>0</v>
      </c>
      <c r="H523" s="104" t="str">
        <f t="shared" si="19"/>
        <v>0 tubes and 0 shuttles</v>
      </c>
      <c r="I523" s="36">
        <f t="shared" si="20"/>
        <v>0</v>
      </c>
      <c r="J523" s="103" t="str">
        <f t="shared" si="21"/>
        <v>0 tubes and 0 shuttles</v>
      </c>
    </row>
    <row r="524" spans="1:10" ht="12.5" x14ac:dyDescent="0.25">
      <c r="A524" s="32">
        <f>'Profit &amp; Loss'!A524</f>
        <v>0</v>
      </c>
      <c r="B524" s="35">
        <f>'Profit &amp; Loss'!B524</f>
        <v>0</v>
      </c>
      <c r="C524" s="36"/>
      <c r="D524" s="33"/>
      <c r="E524" s="102">
        <f t="shared" si="16"/>
        <v>0</v>
      </c>
      <c r="F524" s="103" t="str">
        <f t="shared" si="18"/>
        <v>0 tubes and 0 shuttles</v>
      </c>
      <c r="G524" s="36">
        <f t="shared" si="17"/>
        <v>0</v>
      </c>
      <c r="H524" s="104" t="str">
        <f t="shared" si="19"/>
        <v>0 tubes and 0 shuttles</v>
      </c>
      <c r="I524" s="36">
        <f t="shared" si="20"/>
        <v>0</v>
      </c>
      <c r="J524" s="103" t="str">
        <f t="shared" si="21"/>
        <v>0 tubes and 0 shuttles</v>
      </c>
    </row>
    <row r="525" spans="1:10" ht="12.5" x14ac:dyDescent="0.25">
      <c r="A525" s="32">
        <f>'Profit &amp; Loss'!A525</f>
        <v>0</v>
      </c>
      <c r="B525" s="35">
        <f>'Profit &amp; Loss'!B525</f>
        <v>0</v>
      </c>
      <c r="C525" s="36"/>
      <c r="D525" s="33"/>
      <c r="E525" s="102">
        <f t="shared" si="16"/>
        <v>0</v>
      </c>
      <c r="F525" s="103" t="str">
        <f t="shared" si="18"/>
        <v>0 tubes and 0 shuttles</v>
      </c>
      <c r="G525" s="36">
        <f t="shared" si="17"/>
        <v>0</v>
      </c>
      <c r="H525" s="104" t="str">
        <f t="shared" si="19"/>
        <v>0 tubes and 0 shuttles</v>
      </c>
      <c r="I525" s="36">
        <f t="shared" si="20"/>
        <v>0</v>
      </c>
      <c r="J525" s="103" t="str">
        <f t="shared" si="21"/>
        <v>0 tubes and 0 shuttles</v>
      </c>
    </row>
    <row r="526" spans="1:10" ht="12.5" x14ac:dyDescent="0.25">
      <c r="A526" s="32">
        <f>'Profit &amp; Loss'!A526</f>
        <v>0</v>
      </c>
      <c r="B526" s="35">
        <f>'Profit &amp; Loss'!B526</f>
        <v>0</v>
      </c>
      <c r="C526" s="36"/>
      <c r="D526" s="33"/>
      <c r="E526" s="102">
        <f t="shared" si="16"/>
        <v>0</v>
      </c>
      <c r="F526" s="103" t="str">
        <f t="shared" si="18"/>
        <v>0 tubes and 0 shuttles</v>
      </c>
      <c r="G526" s="36">
        <f t="shared" si="17"/>
        <v>0</v>
      </c>
      <c r="H526" s="104" t="str">
        <f t="shared" si="19"/>
        <v>0 tubes and 0 shuttles</v>
      </c>
      <c r="I526" s="36">
        <f t="shared" si="20"/>
        <v>0</v>
      </c>
      <c r="J526" s="103" t="str">
        <f t="shared" si="21"/>
        <v>0 tubes and 0 shuttles</v>
      </c>
    </row>
    <row r="527" spans="1:10" ht="12.5" x14ac:dyDescent="0.25">
      <c r="A527" s="32">
        <f>'Profit &amp; Loss'!A527</f>
        <v>0</v>
      </c>
      <c r="B527" s="35">
        <f>'Profit &amp; Loss'!B527</f>
        <v>0</v>
      </c>
      <c r="C527" s="36"/>
      <c r="D527" s="33"/>
      <c r="E527" s="102">
        <f t="shared" si="16"/>
        <v>0</v>
      </c>
      <c r="F527" s="103" t="str">
        <f t="shared" si="18"/>
        <v>0 tubes and 0 shuttles</v>
      </c>
      <c r="G527" s="36">
        <f t="shared" si="17"/>
        <v>0</v>
      </c>
      <c r="H527" s="104" t="str">
        <f t="shared" si="19"/>
        <v>0 tubes and 0 shuttles</v>
      </c>
      <c r="I527" s="36">
        <f t="shared" si="20"/>
        <v>0</v>
      </c>
      <c r="J527" s="103" t="str">
        <f t="shared" si="21"/>
        <v>0 tubes and 0 shuttles</v>
      </c>
    </row>
    <row r="528" spans="1:10" ht="12.5" x14ac:dyDescent="0.25">
      <c r="A528" s="32">
        <f>'Profit &amp; Loss'!A528</f>
        <v>0</v>
      </c>
      <c r="B528" s="35">
        <f>'Profit &amp; Loss'!B528</f>
        <v>0</v>
      </c>
      <c r="C528" s="36"/>
      <c r="D528" s="33"/>
      <c r="E528" s="102">
        <f t="shared" si="16"/>
        <v>0</v>
      </c>
      <c r="F528" s="103" t="str">
        <f t="shared" si="18"/>
        <v>0 tubes and 0 shuttles</v>
      </c>
      <c r="G528" s="36">
        <f t="shared" si="17"/>
        <v>0</v>
      </c>
      <c r="H528" s="104" t="str">
        <f t="shared" si="19"/>
        <v>0 tubes and 0 shuttles</v>
      </c>
      <c r="I528" s="36">
        <f t="shared" si="20"/>
        <v>0</v>
      </c>
      <c r="J528" s="103" t="str">
        <f t="shared" si="21"/>
        <v>0 tubes and 0 shuttles</v>
      </c>
    </row>
    <row r="529" spans="1:10" ht="12.5" x14ac:dyDescent="0.25">
      <c r="A529" s="32">
        <f>'Profit &amp; Loss'!A529</f>
        <v>0</v>
      </c>
      <c r="B529" s="35">
        <f>'Profit &amp; Loss'!B529</f>
        <v>0</v>
      </c>
      <c r="C529" s="36"/>
      <c r="D529" s="33"/>
      <c r="E529" s="102">
        <f t="shared" si="16"/>
        <v>0</v>
      </c>
      <c r="F529" s="103" t="str">
        <f t="shared" si="18"/>
        <v>0 tubes and 0 shuttles</v>
      </c>
      <c r="G529" s="36">
        <f t="shared" si="17"/>
        <v>0</v>
      </c>
      <c r="H529" s="104" t="str">
        <f t="shared" si="19"/>
        <v>0 tubes and 0 shuttles</v>
      </c>
      <c r="I529" s="36">
        <f t="shared" si="20"/>
        <v>0</v>
      </c>
      <c r="J529" s="103" t="str">
        <f t="shared" si="21"/>
        <v>0 tubes and 0 shuttles</v>
      </c>
    </row>
    <row r="530" spans="1:10" ht="12.5" x14ac:dyDescent="0.25">
      <c r="A530" s="32">
        <f>'Profit &amp; Loss'!A530</f>
        <v>0</v>
      </c>
      <c r="B530" s="35">
        <f>'Profit &amp; Loss'!B530</f>
        <v>0</v>
      </c>
      <c r="C530" s="36"/>
      <c r="D530" s="33"/>
      <c r="E530" s="102">
        <f t="shared" si="16"/>
        <v>0</v>
      </c>
      <c r="F530" s="103" t="str">
        <f t="shared" si="18"/>
        <v>0 tubes and 0 shuttles</v>
      </c>
      <c r="G530" s="36">
        <f t="shared" si="17"/>
        <v>0</v>
      </c>
      <c r="H530" s="104" t="str">
        <f t="shared" si="19"/>
        <v>0 tubes and 0 shuttles</v>
      </c>
      <c r="I530" s="36">
        <f t="shared" si="20"/>
        <v>0</v>
      </c>
      <c r="J530" s="103" t="str">
        <f t="shared" si="21"/>
        <v>0 tubes and 0 shuttles</v>
      </c>
    </row>
    <row r="531" spans="1:10" ht="12.5" x14ac:dyDescent="0.25">
      <c r="A531" s="32">
        <f>'Profit &amp; Loss'!A531</f>
        <v>0</v>
      </c>
      <c r="B531" s="35">
        <f>'Profit &amp; Loss'!B531</f>
        <v>0</v>
      </c>
      <c r="C531" s="36"/>
      <c r="D531" s="33"/>
      <c r="E531" s="102">
        <f t="shared" si="16"/>
        <v>0</v>
      </c>
      <c r="F531" s="103" t="str">
        <f t="shared" si="18"/>
        <v>0 tubes and 0 shuttles</v>
      </c>
      <c r="G531" s="36">
        <f t="shared" si="17"/>
        <v>0</v>
      </c>
      <c r="H531" s="104" t="str">
        <f t="shared" si="19"/>
        <v>0 tubes and 0 shuttles</v>
      </c>
      <c r="I531" s="36">
        <f t="shared" si="20"/>
        <v>0</v>
      </c>
      <c r="J531" s="103" t="str">
        <f t="shared" si="21"/>
        <v>0 tubes and 0 shuttles</v>
      </c>
    </row>
    <row r="532" spans="1:10" ht="12.5" x14ac:dyDescent="0.25">
      <c r="A532" s="32">
        <f>'Profit &amp; Loss'!A532</f>
        <v>0</v>
      </c>
      <c r="B532" s="35">
        <f>'Profit &amp; Loss'!B532</f>
        <v>0</v>
      </c>
      <c r="C532" s="36"/>
      <c r="D532" s="33"/>
      <c r="E532" s="102">
        <f t="shared" si="16"/>
        <v>0</v>
      </c>
      <c r="F532" s="103" t="str">
        <f t="shared" si="18"/>
        <v>0 tubes and 0 shuttles</v>
      </c>
      <c r="G532" s="36">
        <f t="shared" si="17"/>
        <v>0</v>
      </c>
      <c r="H532" s="104" t="str">
        <f t="shared" si="19"/>
        <v>0 tubes and 0 shuttles</v>
      </c>
      <c r="I532" s="36">
        <f t="shared" si="20"/>
        <v>0</v>
      </c>
      <c r="J532" s="103" t="str">
        <f t="shared" si="21"/>
        <v>0 tubes and 0 shuttles</v>
      </c>
    </row>
    <row r="533" spans="1:10" ht="12.5" x14ac:dyDescent="0.25">
      <c r="A533" s="32">
        <f>'Profit &amp; Loss'!A533</f>
        <v>0</v>
      </c>
      <c r="B533" s="35">
        <f>'Profit &amp; Loss'!B533</f>
        <v>0</v>
      </c>
      <c r="C533" s="36"/>
      <c r="D533" s="33"/>
      <c r="E533" s="102">
        <f t="shared" si="16"/>
        <v>0</v>
      </c>
      <c r="F533" s="103" t="str">
        <f t="shared" si="18"/>
        <v>0 tubes and 0 shuttles</v>
      </c>
      <c r="G533" s="36">
        <f t="shared" si="17"/>
        <v>0</v>
      </c>
      <c r="H533" s="104" t="str">
        <f t="shared" si="19"/>
        <v>0 tubes and 0 shuttles</v>
      </c>
      <c r="I533" s="36">
        <f t="shared" si="20"/>
        <v>0</v>
      </c>
      <c r="J533" s="103" t="str">
        <f t="shared" si="21"/>
        <v>0 tubes and 0 shuttles</v>
      </c>
    </row>
    <row r="534" spans="1:10" ht="12.5" x14ac:dyDescent="0.25">
      <c r="A534" s="32">
        <f>'Profit &amp; Loss'!A534</f>
        <v>0</v>
      </c>
      <c r="B534" s="35">
        <f>'Profit &amp; Loss'!B534</f>
        <v>0</v>
      </c>
      <c r="C534" s="36"/>
      <c r="D534" s="33"/>
      <c r="E534" s="102">
        <f t="shared" si="16"/>
        <v>0</v>
      </c>
      <c r="F534" s="103" t="str">
        <f t="shared" si="18"/>
        <v>0 tubes and 0 shuttles</v>
      </c>
      <c r="G534" s="36">
        <f t="shared" si="17"/>
        <v>0</v>
      </c>
      <c r="H534" s="104" t="str">
        <f t="shared" si="19"/>
        <v>0 tubes and 0 shuttles</v>
      </c>
      <c r="I534" s="36">
        <f t="shared" si="20"/>
        <v>0</v>
      </c>
      <c r="J534" s="103" t="str">
        <f t="shared" si="21"/>
        <v>0 tubes and 0 shuttles</v>
      </c>
    </row>
    <row r="535" spans="1:10" ht="12.5" x14ac:dyDescent="0.25">
      <c r="A535" s="32">
        <f>'Profit &amp; Loss'!A535</f>
        <v>0</v>
      </c>
      <c r="B535" s="35">
        <f>'Profit &amp; Loss'!B535</f>
        <v>0</v>
      </c>
      <c r="C535" s="36"/>
      <c r="D535" s="33"/>
      <c r="E535" s="102">
        <f t="shared" si="16"/>
        <v>0</v>
      </c>
      <c r="F535" s="103" t="str">
        <f t="shared" si="18"/>
        <v>0 tubes and 0 shuttles</v>
      </c>
      <c r="G535" s="36">
        <f t="shared" si="17"/>
        <v>0</v>
      </c>
      <c r="H535" s="104" t="str">
        <f t="shared" si="19"/>
        <v>0 tubes and 0 shuttles</v>
      </c>
      <c r="I535" s="36">
        <f t="shared" si="20"/>
        <v>0</v>
      </c>
      <c r="J535" s="103" t="str">
        <f t="shared" si="21"/>
        <v>0 tubes and 0 shuttles</v>
      </c>
    </row>
    <row r="536" spans="1:10" ht="12.5" x14ac:dyDescent="0.25">
      <c r="A536" s="32">
        <f>'Profit &amp; Loss'!A536</f>
        <v>0</v>
      </c>
      <c r="B536" s="35">
        <f>'Profit &amp; Loss'!B536</f>
        <v>0</v>
      </c>
      <c r="C536" s="36"/>
      <c r="D536" s="33"/>
      <c r="E536" s="102">
        <f t="shared" si="16"/>
        <v>0</v>
      </c>
      <c r="F536" s="103" t="str">
        <f t="shared" si="18"/>
        <v>0 tubes and 0 shuttles</v>
      </c>
      <c r="G536" s="36">
        <f t="shared" si="17"/>
        <v>0</v>
      </c>
      <c r="H536" s="104" t="str">
        <f t="shared" si="19"/>
        <v>0 tubes and 0 shuttles</v>
      </c>
      <c r="I536" s="36">
        <f t="shared" si="20"/>
        <v>0</v>
      </c>
      <c r="J536" s="103" t="str">
        <f t="shared" si="21"/>
        <v>0 tubes and 0 shuttles</v>
      </c>
    </row>
    <row r="537" spans="1:10" ht="12.5" x14ac:dyDescent="0.25">
      <c r="A537" s="32">
        <f>'Profit &amp; Loss'!A537</f>
        <v>0</v>
      </c>
      <c r="B537" s="35">
        <f>'Profit &amp; Loss'!B537</f>
        <v>0</v>
      </c>
      <c r="C537" s="36"/>
      <c r="D537" s="33"/>
      <c r="E537" s="102">
        <f t="shared" si="16"/>
        <v>0</v>
      </c>
      <c r="F537" s="103" t="str">
        <f t="shared" si="18"/>
        <v>0 tubes and 0 shuttles</v>
      </c>
      <c r="G537" s="36">
        <f t="shared" si="17"/>
        <v>0</v>
      </c>
      <c r="H537" s="104" t="str">
        <f t="shared" si="19"/>
        <v>0 tubes and 0 shuttles</v>
      </c>
      <c r="I537" s="36">
        <f t="shared" si="20"/>
        <v>0</v>
      </c>
      <c r="J537" s="103" t="str">
        <f t="shared" si="21"/>
        <v>0 tubes and 0 shuttles</v>
      </c>
    </row>
    <row r="538" spans="1:10" ht="12.5" x14ac:dyDescent="0.25">
      <c r="A538" s="32">
        <f>'Profit &amp; Loss'!A538</f>
        <v>0</v>
      </c>
      <c r="B538" s="35">
        <f>'Profit &amp; Loss'!B538</f>
        <v>0</v>
      </c>
      <c r="C538" s="36"/>
      <c r="D538" s="33"/>
      <c r="E538" s="102">
        <f t="shared" si="16"/>
        <v>0</v>
      </c>
      <c r="F538" s="103" t="str">
        <f t="shared" si="18"/>
        <v>0 tubes and 0 shuttles</v>
      </c>
      <c r="G538" s="36">
        <f t="shared" si="17"/>
        <v>0</v>
      </c>
      <c r="H538" s="104" t="str">
        <f t="shared" si="19"/>
        <v>0 tubes and 0 shuttles</v>
      </c>
      <c r="I538" s="36">
        <f t="shared" si="20"/>
        <v>0</v>
      </c>
      <c r="J538" s="103" t="str">
        <f t="shared" si="21"/>
        <v>0 tubes and 0 shuttles</v>
      </c>
    </row>
    <row r="539" spans="1:10" ht="12.5" x14ac:dyDescent="0.25">
      <c r="A539" s="32">
        <f>'Profit &amp; Loss'!A539</f>
        <v>0</v>
      </c>
      <c r="B539" s="35">
        <f>'Profit &amp; Loss'!B539</f>
        <v>0</v>
      </c>
      <c r="C539" s="36"/>
      <c r="D539" s="33"/>
      <c r="E539" s="102">
        <f t="shared" si="16"/>
        <v>0</v>
      </c>
      <c r="F539" s="103" t="str">
        <f t="shared" si="18"/>
        <v>0 tubes and 0 shuttles</v>
      </c>
      <c r="G539" s="36">
        <f t="shared" si="17"/>
        <v>0</v>
      </c>
      <c r="H539" s="104" t="str">
        <f t="shared" si="19"/>
        <v>0 tubes and 0 shuttles</v>
      </c>
      <c r="I539" s="36">
        <f t="shared" si="20"/>
        <v>0</v>
      </c>
      <c r="J539" s="103" t="str">
        <f t="shared" si="21"/>
        <v>0 tubes and 0 shuttles</v>
      </c>
    </row>
    <row r="540" spans="1:10" ht="12.5" x14ac:dyDescent="0.25">
      <c r="A540" s="32">
        <f>'Profit &amp; Loss'!A540</f>
        <v>0</v>
      </c>
      <c r="B540" s="35">
        <f>'Profit &amp; Loss'!B540</f>
        <v>0</v>
      </c>
      <c r="C540" s="36"/>
      <c r="D540" s="33"/>
      <c r="E540" s="102">
        <f t="shared" si="16"/>
        <v>0</v>
      </c>
      <c r="F540" s="103" t="str">
        <f t="shared" si="18"/>
        <v>0 tubes and 0 shuttles</v>
      </c>
      <c r="G540" s="36">
        <f t="shared" si="17"/>
        <v>0</v>
      </c>
      <c r="H540" s="104" t="str">
        <f t="shared" si="19"/>
        <v>0 tubes and 0 shuttles</v>
      </c>
      <c r="I540" s="36">
        <f t="shared" si="20"/>
        <v>0</v>
      </c>
      <c r="J540" s="103" t="str">
        <f t="shared" si="21"/>
        <v>0 tubes and 0 shuttles</v>
      </c>
    </row>
    <row r="541" spans="1:10" ht="12.5" x14ac:dyDescent="0.25">
      <c r="A541" s="32">
        <f>'Profit &amp; Loss'!A541</f>
        <v>0</v>
      </c>
      <c r="B541" s="35">
        <f>'Profit &amp; Loss'!B541</f>
        <v>0</v>
      </c>
      <c r="C541" s="36"/>
      <c r="D541" s="33"/>
      <c r="E541" s="102">
        <f t="shared" si="16"/>
        <v>0</v>
      </c>
      <c r="F541" s="103" t="str">
        <f t="shared" si="18"/>
        <v>0 tubes and 0 shuttles</v>
      </c>
      <c r="G541" s="36">
        <f t="shared" si="17"/>
        <v>0</v>
      </c>
      <c r="H541" s="104" t="str">
        <f t="shared" si="19"/>
        <v>0 tubes and 0 shuttles</v>
      </c>
      <c r="I541" s="36">
        <f t="shared" si="20"/>
        <v>0</v>
      </c>
      <c r="J541" s="103" t="str">
        <f t="shared" si="21"/>
        <v>0 tubes and 0 shuttles</v>
      </c>
    </row>
    <row r="542" spans="1:10" ht="12.5" x14ac:dyDescent="0.25">
      <c r="A542" s="32">
        <f>'Profit &amp; Loss'!A542</f>
        <v>0</v>
      </c>
      <c r="B542" s="35">
        <f>'Profit &amp; Loss'!B542</f>
        <v>0</v>
      </c>
      <c r="C542" s="36"/>
      <c r="D542" s="33"/>
      <c r="E542" s="102">
        <f t="shared" si="16"/>
        <v>0</v>
      </c>
      <c r="F542" s="103" t="str">
        <f t="shared" si="18"/>
        <v>0 tubes and 0 shuttles</v>
      </c>
      <c r="G542" s="36">
        <f t="shared" si="17"/>
        <v>0</v>
      </c>
      <c r="H542" s="104" t="str">
        <f t="shared" si="19"/>
        <v>0 tubes and 0 shuttles</v>
      </c>
      <c r="I542" s="36">
        <f t="shared" si="20"/>
        <v>0</v>
      </c>
      <c r="J542" s="103" t="str">
        <f t="shared" si="21"/>
        <v>0 tubes and 0 shuttles</v>
      </c>
    </row>
    <row r="543" spans="1:10" ht="12.5" x14ac:dyDescent="0.25">
      <c r="A543" s="32">
        <f>'Profit &amp; Loss'!A543</f>
        <v>0</v>
      </c>
      <c r="B543" s="35">
        <f>'Profit &amp; Loss'!B543</f>
        <v>0</v>
      </c>
      <c r="C543" s="36"/>
      <c r="D543" s="33"/>
      <c r="E543" s="102">
        <f t="shared" si="16"/>
        <v>0</v>
      </c>
      <c r="F543" s="103" t="str">
        <f t="shared" si="18"/>
        <v>0 tubes and 0 shuttles</v>
      </c>
      <c r="G543" s="36">
        <f t="shared" si="17"/>
        <v>0</v>
      </c>
      <c r="H543" s="104" t="str">
        <f t="shared" si="19"/>
        <v>0 tubes and 0 shuttles</v>
      </c>
      <c r="I543" s="36">
        <f t="shared" si="20"/>
        <v>0</v>
      </c>
      <c r="J543" s="103" t="str">
        <f t="shared" si="21"/>
        <v>0 tubes and 0 shuttles</v>
      </c>
    </row>
    <row r="544" spans="1:10" ht="12.5" x14ac:dyDescent="0.25">
      <c r="A544" s="32">
        <f>'Profit &amp; Loss'!A544</f>
        <v>0</v>
      </c>
      <c r="B544" s="35">
        <f>'Profit &amp; Loss'!B544</f>
        <v>0</v>
      </c>
      <c r="C544" s="36"/>
      <c r="D544" s="33"/>
      <c r="E544" s="102">
        <f t="shared" si="16"/>
        <v>0</v>
      </c>
      <c r="F544" s="103" t="str">
        <f t="shared" si="18"/>
        <v>0 tubes and 0 shuttles</v>
      </c>
      <c r="G544" s="36">
        <f t="shared" si="17"/>
        <v>0</v>
      </c>
      <c r="H544" s="104" t="str">
        <f t="shared" si="19"/>
        <v>0 tubes and 0 shuttles</v>
      </c>
      <c r="I544" s="36">
        <f t="shared" si="20"/>
        <v>0</v>
      </c>
      <c r="J544" s="103" t="str">
        <f t="shared" si="21"/>
        <v>0 tubes and 0 shuttles</v>
      </c>
    </row>
    <row r="545" spans="1:10" ht="12.5" x14ac:dyDescent="0.25">
      <c r="A545" s="32">
        <f>'Profit &amp; Loss'!A545</f>
        <v>0</v>
      </c>
      <c r="B545" s="35">
        <f>'Profit &amp; Loss'!B545</f>
        <v>0</v>
      </c>
      <c r="C545" s="36"/>
      <c r="D545" s="33"/>
      <c r="E545" s="102">
        <f t="shared" si="16"/>
        <v>0</v>
      </c>
      <c r="F545" s="103" t="str">
        <f t="shared" si="18"/>
        <v>0 tubes and 0 shuttles</v>
      </c>
      <c r="G545" s="36">
        <f t="shared" si="17"/>
        <v>0</v>
      </c>
      <c r="H545" s="104" t="str">
        <f t="shared" si="19"/>
        <v>0 tubes and 0 shuttles</v>
      </c>
      <c r="I545" s="36">
        <f t="shared" si="20"/>
        <v>0</v>
      </c>
      <c r="J545" s="103" t="str">
        <f t="shared" si="21"/>
        <v>0 tubes and 0 shuttles</v>
      </c>
    </row>
    <row r="546" spans="1:10" ht="12.5" x14ac:dyDescent="0.25">
      <c r="A546" s="32">
        <f>'Profit &amp; Loss'!A546</f>
        <v>0</v>
      </c>
      <c r="B546" s="35">
        <f>'Profit &amp; Loss'!B546</f>
        <v>0</v>
      </c>
      <c r="C546" s="36"/>
      <c r="D546" s="33"/>
      <c r="E546" s="102">
        <f t="shared" si="16"/>
        <v>0</v>
      </c>
      <c r="F546" s="103" t="str">
        <f t="shared" si="18"/>
        <v>0 tubes and 0 shuttles</v>
      </c>
      <c r="G546" s="36">
        <f t="shared" si="17"/>
        <v>0</v>
      </c>
      <c r="H546" s="104" t="str">
        <f t="shared" si="19"/>
        <v>0 tubes and 0 shuttles</v>
      </c>
      <c r="I546" s="36">
        <f t="shared" si="20"/>
        <v>0</v>
      </c>
      <c r="J546" s="103" t="str">
        <f t="shared" si="21"/>
        <v>0 tubes and 0 shuttles</v>
      </c>
    </row>
    <row r="547" spans="1:10" ht="12.5" x14ac:dyDescent="0.25">
      <c r="A547" s="32">
        <f>'Profit &amp; Loss'!A547</f>
        <v>0</v>
      </c>
      <c r="B547" s="35">
        <f>'Profit &amp; Loss'!B547</f>
        <v>0</v>
      </c>
      <c r="C547" s="36"/>
      <c r="D547" s="33"/>
      <c r="E547" s="102">
        <f t="shared" si="16"/>
        <v>0</v>
      </c>
      <c r="F547" s="103" t="str">
        <f t="shared" si="18"/>
        <v>0 tubes and 0 shuttles</v>
      </c>
      <c r="G547" s="36">
        <f t="shared" si="17"/>
        <v>0</v>
      </c>
      <c r="H547" s="104" t="str">
        <f t="shared" si="19"/>
        <v>0 tubes and 0 shuttles</v>
      </c>
      <c r="I547" s="36">
        <f t="shared" si="20"/>
        <v>0</v>
      </c>
      <c r="J547" s="103" t="str">
        <f t="shared" si="21"/>
        <v>0 tubes and 0 shuttles</v>
      </c>
    </row>
    <row r="548" spans="1:10" ht="12.5" x14ac:dyDescent="0.25">
      <c r="A548" s="32">
        <f>'Profit &amp; Loss'!A548</f>
        <v>0</v>
      </c>
      <c r="B548" s="35">
        <f>'Profit &amp; Loss'!B548</f>
        <v>0</v>
      </c>
      <c r="C548" s="36"/>
      <c r="D548" s="33"/>
      <c r="E548" s="102">
        <f t="shared" si="16"/>
        <v>0</v>
      </c>
      <c r="F548" s="103" t="str">
        <f t="shared" si="18"/>
        <v>0 tubes and 0 shuttles</v>
      </c>
      <c r="G548" s="36">
        <f t="shared" si="17"/>
        <v>0</v>
      </c>
      <c r="H548" s="104" t="str">
        <f t="shared" si="19"/>
        <v>0 tubes and 0 shuttles</v>
      </c>
      <c r="I548" s="36">
        <f t="shared" si="20"/>
        <v>0</v>
      </c>
      <c r="J548" s="103" t="str">
        <f t="shared" si="21"/>
        <v>0 tubes and 0 shuttles</v>
      </c>
    </row>
    <row r="549" spans="1:10" ht="12.5" x14ac:dyDescent="0.25">
      <c r="A549" s="32">
        <f>'Profit &amp; Loss'!A549</f>
        <v>0</v>
      </c>
      <c r="B549" s="35">
        <f>'Profit &amp; Loss'!B549</f>
        <v>0</v>
      </c>
      <c r="C549" s="36"/>
      <c r="D549" s="33"/>
      <c r="E549" s="102">
        <f t="shared" ref="E549:E803" si="22">IF(C549=" ",E548,E548-C549)</f>
        <v>0</v>
      </c>
      <c r="F549" s="103" t="str">
        <f t="shared" si="18"/>
        <v>0 tubes and 0 shuttles</v>
      </c>
      <c r="G549" s="36">
        <f t="shared" ref="G549:G803" si="23">IF(D549=" ",G548,G548-D549)</f>
        <v>0</v>
      </c>
      <c r="H549" s="104" t="str">
        <f t="shared" si="19"/>
        <v>0 tubes and 0 shuttles</v>
      </c>
      <c r="I549" s="36">
        <f t="shared" si="20"/>
        <v>0</v>
      </c>
      <c r="J549" s="103" t="str">
        <f t="shared" si="21"/>
        <v>0 tubes and 0 shuttles</v>
      </c>
    </row>
    <row r="550" spans="1:10" ht="12.5" x14ac:dyDescent="0.25">
      <c r="A550" s="32">
        <f>'Profit &amp; Loss'!A550</f>
        <v>0</v>
      </c>
      <c r="B550" s="35">
        <f>'Profit &amp; Loss'!B550</f>
        <v>0</v>
      </c>
      <c r="C550" s="36"/>
      <c r="D550" s="33"/>
      <c r="E550" s="102">
        <f t="shared" si="22"/>
        <v>0</v>
      </c>
      <c r="F550" s="103" t="str">
        <f t="shared" si="18"/>
        <v>0 tubes and 0 shuttles</v>
      </c>
      <c r="G550" s="36">
        <f t="shared" si="23"/>
        <v>0</v>
      </c>
      <c r="H550" s="104" t="str">
        <f t="shared" si="19"/>
        <v>0 tubes and 0 shuttles</v>
      </c>
      <c r="I550" s="36">
        <f t="shared" si="20"/>
        <v>0</v>
      </c>
      <c r="J550" s="103" t="str">
        <f t="shared" si="21"/>
        <v>0 tubes and 0 shuttles</v>
      </c>
    </row>
    <row r="551" spans="1:10" ht="12.5" x14ac:dyDescent="0.25">
      <c r="A551" s="32">
        <f>'Profit &amp; Loss'!A551</f>
        <v>0</v>
      </c>
      <c r="B551" s="35">
        <f>'Profit &amp; Loss'!B551</f>
        <v>0</v>
      </c>
      <c r="C551" s="36"/>
      <c r="D551" s="33"/>
      <c r="E551" s="102">
        <f t="shared" si="22"/>
        <v>0</v>
      </c>
      <c r="F551" s="103" t="str">
        <f t="shared" si="18"/>
        <v>0 tubes and 0 shuttles</v>
      </c>
      <c r="G551" s="36">
        <f t="shared" si="23"/>
        <v>0</v>
      </c>
      <c r="H551" s="104" t="str">
        <f t="shared" si="19"/>
        <v>0 tubes and 0 shuttles</v>
      </c>
      <c r="I551" s="36">
        <f t="shared" si="20"/>
        <v>0</v>
      </c>
      <c r="J551" s="103" t="str">
        <f t="shared" si="21"/>
        <v>0 tubes and 0 shuttles</v>
      </c>
    </row>
    <row r="552" spans="1:10" ht="12.5" x14ac:dyDescent="0.25">
      <c r="A552" s="32">
        <f>'Profit &amp; Loss'!A552</f>
        <v>0</v>
      </c>
      <c r="B552" s="35">
        <f>'Profit &amp; Loss'!B552</f>
        <v>0</v>
      </c>
      <c r="C552" s="36"/>
      <c r="D552" s="33"/>
      <c r="E552" s="102">
        <f t="shared" si="22"/>
        <v>0</v>
      </c>
      <c r="F552" s="103" t="str">
        <f t="shared" si="18"/>
        <v>0 tubes and 0 shuttles</v>
      </c>
      <c r="G552" s="36">
        <f t="shared" si="23"/>
        <v>0</v>
      </c>
      <c r="H552" s="104" t="str">
        <f t="shared" si="19"/>
        <v>0 tubes and 0 shuttles</v>
      </c>
      <c r="I552" s="36">
        <f t="shared" si="20"/>
        <v>0</v>
      </c>
      <c r="J552" s="103" t="str">
        <f t="shared" si="21"/>
        <v>0 tubes and 0 shuttles</v>
      </c>
    </row>
    <row r="553" spans="1:10" ht="12.5" x14ac:dyDescent="0.25">
      <c r="A553" s="32">
        <f>'Profit &amp; Loss'!A553</f>
        <v>0</v>
      </c>
      <c r="B553" s="35">
        <f>'Profit &amp; Loss'!B553</f>
        <v>0</v>
      </c>
      <c r="C553" s="36"/>
      <c r="D553" s="33"/>
      <c r="E553" s="102">
        <f t="shared" si="22"/>
        <v>0</v>
      </c>
      <c r="F553" s="103" t="str">
        <f t="shared" si="18"/>
        <v>0 tubes and 0 shuttles</v>
      </c>
      <c r="G553" s="36">
        <f t="shared" si="23"/>
        <v>0</v>
      </c>
      <c r="H553" s="104" t="str">
        <f t="shared" si="19"/>
        <v>0 tubes and 0 shuttles</v>
      </c>
      <c r="I553" s="36">
        <f t="shared" si="20"/>
        <v>0</v>
      </c>
      <c r="J553" s="103" t="str">
        <f t="shared" si="21"/>
        <v>0 tubes and 0 shuttles</v>
      </c>
    </row>
    <row r="554" spans="1:10" ht="12.5" x14ac:dyDescent="0.25">
      <c r="A554" s="32">
        <f>'Profit &amp; Loss'!A554</f>
        <v>0</v>
      </c>
      <c r="B554" s="35">
        <f>'Profit &amp; Loss'!B554</f>
        <v>0</v>
      </c>
      <c r="C554" s="36"/>
      <c r="D554" s="33"/>
      <c r="E554" s="102">
        <f t="shared" si="22"/>
        <v>0</v>
      </c>
      <c r="F554" s="103" t="str">
        <f t="shared" si="18"/>
        <v>0 tubes and 0 shuttles</v>
      </c>
      <c r="G554" s="36">
        <f t="shared" si="23"/>
        <v>0</v>
      </c>
      <c r="H554" s="104" t="str">
        <f t="shared" si="19"/>
        <v>0 tubes and 0 shuttles</v>
      </c>
      <c r="I554" s="36">
        <f t="shared" si="20"/>
        <v>0</v>
      </c>
      <c r="J554" s="103" t="str">
        <f t="shared" si="21"/>
        <v>0 tubes and 0 shuttles</v>
      </c>
    </row>
    <row r="555" spans="1:10" ht="12.5" x14ac:dyDescent="0.25">
      <c r="A555" s="32">
        <f>'Profit &amp; Loss'!A555</f>
        <v>0</v>
      </c>
      <c r="B555" s="35">
        <f>'Profit &amp; Loss'!B555</f>
        <v>0</v>
      </c>
      <c r="C555" s="36"/>
      <c r="D555" s="33"/>
      <c r="E555" s="102">
        <f t="shared" si="22"/>
        <v>0</v>
      </c>
      <c r="F555" s="103" t="str">
        <f t="shared" si="18"/>
        <v>0 tubes and 0 shuttles</v>
      </c>
      <c r="G555" s="36">
        <f t="shared" si="23"/>
        <v>0</v>
      </c>
      <c r="H555" s="104" t="str">
        <f t="shared" si="19"/>
        <v>0 tubes and 0 shuttles</v>
      </c>
      <c r="I555" s="36">
        <f t="shared" si="20"/>
        <v>0</v>
      </c>
      <c r="J555" s="103" t="str">
        <f t="shared" si="21"/>
        <v>0 tubes and 0 shuttles</v>
      </c>
    </row>
    <row r="556" spans="1:10" ht="12.5" x14ac:dyDescent="0.25">
      <c r="A556" s="32">
        <f>'Profit &amp; Loss'!A556</f>
        <v>0</v>
      </c>
      <c r="B556" s="35">
        <f>'Profit &amp; Loss'!B556</f>
        <v>0</v>
      </c>
      <c r="C556" s="36"/>
      <c r="D556" s="33"/>
      <c r="E556" s="102">
        <f t="shared" si="22"/>
        <v>0</v>
      </c>
      <c r="F556" s="103" t="str">
        <f t="shared" si="18"/>
        <v>0 tubes and 0 shuttles</v>
      </c>
      <c r="G556" s="36">
        <f t="shared" si="23"/>
        <v>0</v>
      </c>
      <c r="H556" s="104" t="str">
        <f t="shared" si="19"/>
        <v>0 tubes and 0 shuttles</v>
      </c>
      <c r="I556" s="36">
        <f t="shared" si="20"/>
        <v>0</v>
      </c>
      <c r="J556" s="103" t="str">
        <f t="shared" si="21"/>
        <v>0 tubes and 0 shuttles</v>
      </c>
    </row>
    <row r="557" spans="1:10" ht="12.5" x14ac:dyDescent="0.25">
      <c r="A557" s="32">
        <f>'Profit &amp; Loss'!A557</f>
        <v>0</v>
      </c>
      <c r="B557" s="35">
        <f>'Profit &amp; Loss'!B557</f>
        <v>0</v>
      </c>
      <c r="C557" s="36"/>
      <c r="D557" s="33"/>
      <c r="E557" s="102">
        <f t="shared" si="22"/>
        <v>0</v>
      </c>
      <c r="F557" s="103" t="str">
        <f t="shared" si="18"/>
        <v>0 tubes and 0 shuttles</v>
      </c>
      <c r="G557" s="36">
        <f t="shared" si="23"/>
        <v>0</v>
      </c>
      <c r="H557" s="104" t="str">
        <f t="shared" si="19"/>
        <v>0 tubes and 0 shuttles</v>
      </c>
      <c r="I557" s="36">
        <f t="shared" si="20"/>
        <v>0</v>
      </c>
      <c r="J557" s="103" t="str">
        <f t="shared" si="21"/>
        <v>0 tubes and 0 shuttles</v>
      </c>
    </row>
    <row r="558" spans="1:10" ht="12.5" x14ac:dyDescent="0.25">
      <c r="A558" s="32">
        <f>'Profit &amp; Loss'!A558</f>
        <v>0</v>
      </c>
      <c r="B558" s="35">
        <f>'Profit &amp; Loss'!B558</f>
        <v>0</v>
      </c>
      <c r="C558" s="36"/>
      <c r="D558" s="33"/>
      <c r="E558" s="102">
        <f t="shared" si="22"/>
        <v>0</v>
      </c>
      <c r="F558" s="103" t="str">
        <f t="shared" si="18"/>
        <v>0 tubes and 0 shuttles</v>
      </c>
      <c r="G558" s="36">
        <f t="shared" si="23"/>
        <v>0</v>
      </c>
      <c r="H558" s="104" t="str">
        <f t="shared" si="19"/>
        <v>0 tubes and 0 shuttles</v>
      </c>
      <c r="I558" s="36">
        <f t="shared" si="20"/>
        <v>0</v>
      </c>
      <c r="J558" s="103" t="str">
        <f t="shared" si="21"/>
        <v>0 tubes and 0 shuttles</v>
      </c>
    </row>
    <row r="559" spans="1:10" ht="12.5" x14ac:dyDescent="0.25">
      <c r="A559" s="32">
        <f>'Profit &amp; Loss'!A559</f>
        <v>0</v>
      </c>
      <c r="B559" s="35">
        <f>'Profit &amp; Loss'!B559</f>
        <v>0</v>
      </c>
      <c r="C559" s="36"/>
      <c r="D559" s="33"/>
      <c r="E559" s="102">
        <f t="shared" si="22"/>
        <v>0</v>
      </c>
      <c r="F559" s="103" t="str">
        <f t="shared" si="18"/>
        <v>0 tubes and 0 shuttles</v>
      </c>
      <c r="G559" s="36">
        <f t="shared" si="23"/>
        <v>0</v>
      </c>
      <c r="H559" s="104" t="str">
        <f t="shared" si="19"/>
        <v>0 tubes and 0 shuttles</v>
      </c>
      <c r="I559" s="36">
        <f t="shared" si="20"/>
        <v>0</v>
      </c>
      <c r="J559" s="103" t="str">
        <f t="shared" si="21"/>
        <v>0 tubes and 0 shuttles</v>
      </c>
    </row>
    <row r="560" spans="1:10" ht="12.5" x14ac:dyDescent="0.25">
      <c r="A560" s="32">
        <f>'Profit &amp; Loss'!A560</f>
        <v>0</v>
      </c>
      <c r="B560" s="35">
        <f>'Profit &amp; Loss'!B560</f>
        <v>0</v>
      </c>
      <c r="C560" s="36"/>
      <c r="D560" s="33"/>
      <c r="E560" s="102">
        <f t="shared" si="22"/>
        <v>0</v>
      </c>
      <c r="F560" s="103" t="str">
        <f t="shared" si="18"/>
        <v>0 tubes and 0 shuttles</v>
      </c>
      <c r="G560" s="36">
        <f t="shared" si="23"/>
        <v>0</v>
      </c>
      <c r="H560" s="104" t="str">
        <f t="shared" si="19"/>
        <v>0 tubes and 0 shuttles</v>
      </c>
      <c r="I560" s="36">
        <f t="shared" si="20"/>
        <v>0</v>
      </c>
      <c r="J560" s="103" t="str">
        <f t="shared" si="21"/>
        <v>0 tubes and 0 shuttles</v>
      </c>
    </row>
    <row r="561" spans="1:10" ht="12.5" x14ac:dyDescent="0.25">
      <c r="A561" s="32">
        <f>'Profit &amp; Loss'!A561</f>
        <v>0</v>
      </c>
      <c r="B561" s="35">
        <f>'Profit &amp; Loss'!B561</f>
        <v>0</v>
      </c>
      <c r="C561" s="36"/>
      <c r="D561" s="33"/>
      <c r="E561" s="102">
        <f t="shared" si="22"/>
        <v>0</v>
      </c>
      <c r="F561" s="103" t="str">
        <f t="shared" si="18"/>
        <v>0 tubes and 0 shuttles</v>
      </c>
      <c r="G561" s="36">
        <f t="shared" si="23"/>
        <v>0</v>
      </c>
      <c r="H561" s="104" t="str">
        <f t="shared" si="19"/>
        <v>0 tubes and 0 shuttles</v>
      </c>
      <c r="I561" s="36">
        <f t="shared" si="20"/>
        <v>0</v>
      </c>
      <c r="J561" s="103" t="str">
        <f t="shared" si="21"/>
        <v>0 tubes and 0 shuttles</v>
      </c>
    </row>
    <row r="562" spans="1:10" ht="12.5" x14ac:dyDescent="0.25">
      <c r="A562" s="32">
        <f>'Profit &amp; Loss'!A562</f>
        <v>0</v>
      </c>
      <c r="B562" s="35">
        <f>'Profit &amp; Loss'!B562</f>
        <v>0</v>
      </c>
      <c r="C562" s="36"/>
      <c r="D562" s="33"/>
      <c r="E562" s="102">
        <f t="shared" si="22"/>
        <v>0</v>
      </c>
      <c r="F562" s="103" t="str">
        <f t="shared" si="18"/>
        <v>0 tubes and 0 shuttles</v>
      </c>
      <c r="G562" s="36">
        <f t="shared" si="23"/>
        <v>0</v>
      </c>
      <c r="H562" s="104" t="str">
        <f t="shared" si="19"/>
        <v>0 tubes and 0 shuttles</v>
      </c>
      <c r="I562" s="36">
        <f t="shared" si="20"/>
        <v>0</v>
      </c>
      <c r="J562" s="103" t="str">
        <f t="shared" si="21"/>
        <v>0 tubes and 0 shuttles</v>
      </c>
    </row>
    <row r="563" spans="1:10" ht="12.5" x14ac:dyDescent="0.25">
      <c r="A563" s="32">
        <f>'Profit &amp; Loss'!A563</f>
        <v>0</v>
      </c>
      <c r="B563" s="35">
        <f>'Profit &amp; Loss'!B563</f>
        <v>0</v>
      </c>
      <c r="C563" s="36"/>
      <c r="D563" s="33"/>
      <c r="E563" s="102">
        <f t="shared" si="22"/>
        <v>0</v>
      </c>
      <c r="F563" s="103" t="str">
        <f t="shared" si="18"/>
        <v>0 tubes and 0 shuttles</v>
      </c>
      <c r="G563" s="36">
        <f t="shared" si="23"/>
        <v>0</v>
      </c>
      <c r="H563" s="104" t="str">
        <f t="shared" si="19"/>
        <v>0 tubes and 0 shuttles</v>
      </c>
      <c r="I563" s="36">
        <f t="shared" si="20"/>
        <v>0</v>
      </c>
      <c r="J563" s="103" t="str">
        <f t="shared" si="21"/>
        <v>0 tubes and 0 shuttles</v>
      </c>
    </row>
    <row r="564" spans="1:10" ht="12.5" x14ac:dyDescent="0.25">
      <c r="A564" s="32">
        <f>'Profit &amp; Loss'!A564</f>
        <v>0</v>
      </c>
      <c r="B564" s="35">
        <f>'Profit &amp; Loss'!B564</f>
        <v>0</v>
      </c>
      <c r="C564" s="36"/>
      <c r="D564" s="33"/>
      <c r="E564" s="102">
        <f t="shared" si="22"/>
        <v>0</v>
      </c>
      <c r="F564" s="103" t="str">
        <f t="shared" si="18"/>
        <v>0 tubes and 0 shuttles</v>
      </c>
      <c r="G564" s="36">
        <f t="shared" si="23"/>
        <v>0</v>
      </c>
      <c r="H564" s="104" t="str">
        <f t="shared" si="19"/>
        <v>0 tubes and 0 shuttles</v>
      </c>
      <c r="I564" s="36">
        <f t="shared" si="20"/>
        <v>0</v>
      </c>
      <c r="J564" s="103" t="str">
        <f t="shared" si="21"/>
        <v>0 tubes and 0 shuttles</v>
      </c>
    </row>
    <row r="565" spans="1:10" ht="12.5" x14ac:dyDescent="0.25">
      <c r="A565" s="32">
        <f>'Profit &amp; Loss'!A565</f>
        <v>0</v>
      </c>
      <c r="B565" s="35">
        <f>'Profit &amp; Loss'!B565</f>
        <v>0</v>
      </c>
      <c r="C565" s="36"/>
      <c r="D565" s="33"/>
      <c r="E565" s="102">
        <f t="shared" si="22"/>
        <v>0</v>
      </c>
      <c r="F565" s="103" t="str">
        <f t="shared" si="18"/>
        <v>0 tubes and 0 shuttles</v>
      </c>
      <c r="G565" s="36">
        <f t="shared" si="23"/>
        <v>0</v>
      </c>
      <c r="H565" s="104" t="str">
        <f t="shared" si="19"/>
        <v>0 tubes and 0 shuttles</v>
      </c>
      <c r="I565" s="36">
        <f t="shared" si="20"/>
        <v>0</v>
      </c>
      <c r="J565" s="103" t="str">
        <f t="shared" si="21"/>
        <v>0 tubes and 0 shuttles</v>
      </c>
    </row>
    <row r="566" spans="1:10" ht="12.5" x14ac:dyDescent="0.25">
      <c r="A566" s="32">
        <f>'Profit &amp; Loss'!A566</f>
        <v>0</v>
      </c>
      <c r="B566" s="35">
        <f>'Profit &amp; Loss'!B566</f>
        <v>0</v>
      </c>
      <c r="C566" s="36"/>
      <c r="D566" s="33"/>
      <c r="E566" s="102">
        <f t="shared" si="22"/>
        <v>0</v>
      </c>
      <c r="F566" s="103" t="str">
        <f t="shared" si="18"/>
        <v>0 tubes and 0 shuttles</v>
      </c>
      <c r="G566" s="36">
        <f t="shared" si="23"/>
        <v>0</v>
      </c>
      <c r="H566" s="104" t="str">
        <f t="shared" si="19"/>
        <v>0 tubes and 0 shuttles</v>
      </c>
      <c r="I566" s="36">
        <f t="shared" si="20"/>
        <v>0</v>
      </c>
      <c r="J566" s="103" t="str">
        <f t="shared" si="21"/>
        <v>0 tubes and 0 shuttles</v>
      </c>
    </row>
    <row r="567" spans="1:10" ht="12.5" x14ac:dyDescent="0.25">
      <c r="A567" s="32">
        <f>'Profit &amp; Loss'!A567</f>
        <v>0</v>
      </c>
      <c r="B567" s="35">
        <f>'Profit &amp; Loss'!B567</f>
        <v>0</v>
      </c>
      <c r="C567" s="36"/>
      <c r="D567" s="33"/>
      <c r="E567" s="102">
        <f t="shared" si="22"/>
        <v>0</v>
      </c>
      <c r="F567" s="103" t="str">
        <f t="shared" si="18"/>
        <v>0 tubes and 0 shuttles</v>
      </c>
      <c r="G567" s="36">
        <f t="shared" si="23"/>
        <v>0</v>
      </c>
      <c r="H567" s="104" t="str">
        <f t="shared" si="19"/>
        <v>0 tubes and 0 shuttles</v>
      </c>
      <c r="I567" s="36">
        <f t="shared" si="20"/>
        <v>0</v>
      </c>
      <c r="J567" s="103" t="str">
        <f t="shared" si="21"/>
        <v>0 tubes and 0 shuttles</v>
      </c>
    </row>
    <row r="568" spans="1:10" ht="12.5" x14ac:dyDescent="0.25">
      <c r="A568" s="32">
        <f>'Profit &amp; Loss'!A568</f>
        <v>0</v>
      </c>
      <c r="B568" s="35">
        <f>'Profit &amp; Loss'!B568</f>
        <v>0</v>
      </c>
      <c r="C568" s="36"/>
      <c r="D568" s="33"/>
      <c r="E568" s="102">
        <f t="shared" si="22"/>
        <v>0</v>
      </c>
      <c r="F568" s="103" t="str">
        <f t="shared" si="18"/>
        <v>0 tubes and 0 shuttles</v>
      </c>
      <c r="G568" s="36">
        <f t="shared" si="23"/>
        <v>0</v>
      </c>
      <c r="H568" s="104" t="str">
        <f t="shared" si="19"/>
        <v>0 tubes and 0 shuttles</v>
      </c>
      <c r="I568" s="36">
        <f t="shared" si="20"/>
        <v>0</v>
      </c>
      <c r="J568" s="103" t="str">
        <f t="shared" si="21"/>
        <v>0 tubes and 0 shuttles</v>
      </c>
    </row>
    <row r="569" spans="1:10" ht="12.5" x14ac:dyDescent="0.25">
      <c r="A569" s="32">
        <f>'Profit &amp; Loss'!A569</f>
        <v>0</v>
      </c>
      <c r="B569" s="35">
        <f>'Profit &amp; Loss'!B569</f>
        <v>0</v>
      </c>
      <c r="C569" s="36"/>
      <c r="D569" s="33"/>
      <c r="E569" s="102">
        <f t="shared" si="22"/>
        <v>0</v>
      </c>
      <c r="F569" s="103" t="str">
        <f t="shared" si="18"/>
        <v>0 tubes and 0 shuttles</v>
      </c>
      <c r="G569" s="36">
        <f t="shared" si="23"/>
        <v>0</v>
      </c>
      <c r="H569" s="104" t="str">
        <f t="shared" si="19"/>
        <v>0 tubes and 0 shuttles</v>
      </c>
      <c r="I569" s="36">
        <f t="shared" si="20"/>
        <v>0</v>
      </c>
      <c r="J569" s="103" t="str">
        <f t="shared" si="21"/>
        <v>0 tubes and 0 shuttles</v>
      </c>
    </row>
    <row r="570" spans="1:10" ht="12.5" x14ac:dyDescent="0.25">
      <c r="A570" s="32">
        <f>'Profit &amp; Loss'!A570</f>
        <v>0</v>
      </c>
      <c r="B570" s="35">
        <f>'Profit &amp; Loss'!B570</f>
        <v>0</v>
      </c>
      <c r="C570" s="36"/>
      <c r="D570" s="33"/>
      <c r="E570" s="102">
        <f t="shared" si="22"/>
        <v>0</v>
      </c>
      <c r="F570" s="103" t="str">
        <f t="shared" si="18"/>
        <v>0 tubes and 0 shuttles</v>
      </c>
      <c r="G570" s="36">
        <f t="shared" si="23"/>
        <v>0</v>
      </c>
      <c r="H570" s="104" t="str">
        <f t="shared" si="19"/>
        <v>0 tubes and 0 shuttles</v>
      </c>
      <c r="I570" s="36">
        <f t="shared" si="20"/>
        <v>0</v>
      </c>
      <c r="J570" s="103" t="str">
        <f t="shared" si="21"/>
        <v>0 tubes and 0 shuttles</v>
      </c>
    </row>
    <row r="571" spans="1:10" ht="12.5" x14ac:dyDescent="0.25">
      <c r="A571" s="32">
        <f>'Profit &amp; Loss'!A571</f>
        <v>0</v>
      </c>
      <c r="B571" s="35">
        <f>'Profit &amp; Loss'!B571</f>
        <v>0</v>
      </c>
      <c r="C571" s="36"/>
      <c r="D571" s="33"/>
      <c r="E571" s="102">
        <f t="shared" si="22"/>
        <v>0</v>
      </c>
      <c r="F571" s="103" t="str">
        <f t="shared" si="18"/>
        <v>0 tubes and 0 shuttles</v>
      </c>
      <c r="G571" s="36">
        <f t="shared" si="23"/>
        <v>0</v>
      </c>
      <c r="H571" s="104" t="str">
        <f t="shared" si="19"/>
        <v>0 tubes and 0 shuttles</v>
      </c>
      <c r="I571" s="36">
        <f t="shared" si="20"/>
        <v>0</v>
      </c>
      <c r="J571" s="103" t="str">
        <f t="shared" si="21"/>
        <v>0 tubes and 0 shuttles</v>
      </c>
    </row>
    <row r="572" spans="1:10" ht="12.5" x14ac:dyDescent="0.25">
      <c r="A572" s="32">
        <f>'Profit &amp; Loss'!A572</f>
        <v>0</v>
      </c>
      <c r="B572" s="35">
        <f>'Profit &amp; Loss'!B572</f>
        <v>0</v>
      </c>
      <c r="C572" s="36"/>
      <c r="D572" s="33"/>
      <c r="E572" s="102">
        <f t="shared" si="22"/>
        <v>0</v>
      </c>
      <c r="F572" s="103" t="str">
        <f t="shared" si="18"/>
        <v>0 tubes and 0 shuttles</v>
      </c>
      <c r="G572" s="36">
        <f t="shared" si="23"/>
        <v>0</v>
      </c>
      <c r="H572" s="104" t="str">
        <f t="shared" si="19"/>
        <v>0 tubes and 0 shuttles</v>
      </c>
      <c r="I572" s="36">
        <f t="shared" si="20"/>
        <v>0</v>
      </c>
      <c r="J572" s="103" t="str">
        <f t="shared" si="21"/>
        <v>0 tubes and 0 shuttles</v>
      </c>
    </row>
    <row r="573" spans="1:10" ht="12.5" x14ac:dyDescent="0.25">
      <c r="A573" s="32">
        <f>'Profit &amp; Loss'!A573</f>
        <v>0</v>
      </c>
      <c r="B573" s="35">
        <f>'Profit &amp; Loss'!B573</f>
        <v>0</v>
      </c>
      <c r="C573" s="36"/>
      <c r="D573" s="33"/>
      <c r="E573" s="102">
        <f t="shared" si="22"/>
        <v>0</v>
      </c>
      <c r="F573" s="103" t="str">
        <f t="shared" si="18"/>
        <v>0 tubes and 0 shuttles</v>
      </c>
      <c r="G573" s="36">
        <f t="shared" si="23"/>
        <v>0</v>
      </c>
      <c r="H573" s="104" t="str">
        <f t="shared" si="19"/>
        <v>0 tubes and 0 shuttles</v>
      </c>
      <c r="I573" s="36">
        <f t="shared" si="20"/>
        <v>0</v>
      </c>
      <c r="J573" s="103" t="str">
        <f t="shared" si="21"/>
        <v>0 tubes and 0 shuttles</v>
      </c>
    </row>
    <row r="574" spans="1:10" ht="12.5" x14ac:dyDescent="0.25">
      <c r="A574" s="32">
        <f>'Profit &amp; Loss'!A574</f>
        <v>0</v>
      </c>
      <c r="B574" s="35">
        <f>'Profit &amp; Loss'!B574</f>
        <v>0</v>
      </c>
      <c r="C574" s="36"/>
      <c r="D574" s="33"/>
      <c r="E574" s="102">
        <f t="shared" si="22"/>
        <v>0</v>
      </c>
      <c r="F574" s="103" t="str">
        <f t="shared" si="18"/>
        <v>0 tubes and 0 shuttles</v>
      </c>
      <c r="G574" s="36">
        <f t="shared" si="23"/>
        <v>0</v>
      </c>
      <c r="H574" s="104" t="str">
        <f t="shared" si="19"/>
        <v>0 tubes and 0 shuttles</v>
      </c>
      <c r="I574" s="36">
        <f t="shared" si="20"/>
        <v>0</v>
      </c>
      <c r="J574" s="103" t="str">
        <f t="shared" si="21"/>
        <v>0 tubes and 0 shuttles</v>
      </c>
    </row>
    <row r="575" spans="1:10" ht="12.5" x14ac:dyDescent="0.25">
      <c r="A575" s="32">
        <f>'Profit &amp; Loss'!A575</f>
        <v>0</v>
      </c>
      <c r="B575" s="35">
        <f>'Profit &amp; Loss'!B575</f>
        <v>0</v>
      </c>
      <c r="C575" s="36"/>
      <c r="D575" s="33"/>
      <c r="E575" s="102">
        <f t="shared" si="22"/>
        <v>0</v>
      </c>
      <c r="F575" s="103" t="str">
        <f t="shared" si="18"/>
        <v>0 tubes and 0 shuttles</v>
      </c>
      <c r="G575" s="36">
        <f t="shared" si="23"/>
        <v>0</v>
      </c>
      <c r="H575" s="104" t="str">
        <f t="shared" si="19"/>
        <v>0 tubes and 0 shuttles</v>
      </c>
      <c r="I575" s="36">
        <f t="shared" si="20"/>
        <v>0</v>
      </c>
      <c r="J575" s="103" t="str">
        <f t="shared" si="21"/>
        <v>0 tubes and 0 shuttles</v>
      </c>
    </row>
    <row r="576" spans="1:10" ht="12.5" x14ac:dyDescent="0.25">
      <c r="A576" s="32">
        <f>'Profit &amp; Loss'!A576</f>
        <v>0</v>
      </c>
      <c r="B576" s="35">
        <f>'Profit &amp; Loss'!B576</f>
        <v>0</v>
      </c>
      <c r="C576" s="36"/>
      <c r="D576" s="33"/>
      <c r="E576" s="102">
        <f t="shared" si="22"/>
        <v>0</v>
      </c>
      <c r="F576" s="103" t="str">
        <f t="shared" si="18"/>
        <v>0 tubes and 0 shuttles</v>
      </c>
      <c r="G576" s="36">
        <f t="shared" si="23"/>
        <v>0</v>
      </c>
      <c r="H576" s="104" t="str">
        <f t="shared" si="19"/>
        <v>0 tubes and 0 shuttles</v>
      </c>
      <c r="I576" s="36">
        <f t="shared" si="20"/>
        <v>0</v>
      </c>
      <c r="J576" s="103" t="str">
        <f t="shared" si="21"/>
        <v>0 tubes and 0 shuttles</v>
      </c>
    </row>
    <row r="577" spans="1:10" ht="12.5" x14ac:dyDescent="0.25">
      <c r="A577" s="32">
        <f>'Profit &amp; Loss'!A577</f>
        <v>0</v>
      </c>
      <c r="B577" s="35">
        <f>'Profit &amp; Loss'!B577</f>
        <v>0</v>
      </c>
      <c r="C577" s="36"/>
      <c r="D577" s="33"/>
      <c r="E577" s="102">
        <f t="shared" si="22"/>
        <v>0</v>
      </c>
      <c r="F577" s="103" t="str">
        <f t="shared" si="18"/>
        <v>0 tubes and 0 shuttles</v>
      </c>
      <c r="G577" s="36">
        <f t="shared" si="23"/>
        <v>0</v>
      </c>
      <c r="H577" s="104" t="str">
        <f t="shared" si="19"/>
        <v>0 tubes and 0 shuttles</v>
      </c>
      <c r="I577" s="36">
        <f t="shared" si="20"/>
        <v>0</v>
      </c>
      <c r="J577" s="103" t="str">
        <f t="shared" si="21"/>
        <v>0 tubes and 0 shuttles</v>
      </c>
    </row>
    <row r="578" spans="1:10" ht="12.5" x14ac:dyDescent="0.25">
      <c r="A578" s="32">
        <f>'Profit &amp; Loss'!A578</f>
        <v>0</v>
      </c>
      <c r="B578" s="35">
        <f>'Profit &amp; Loss'!B578</f>
        <v>0</v>
      </c>
      <c r="C578" s="36"/>
      <c r="D578" s="33"/>
      <c r="E578" s="102">
        <f t="shared" si="22"/>
        <v>0</v>
      </c>
      <c r="F578" s="103" t="str">
        <f t="shared" si="18"/>
        <v>0 tubes and 0 shuttles</v>
      </c>
      <c r="G578" s="36">
        <f t="shared" si="23"/>
        <v>0</v>
      </c>
      <c r="H578" s="104" t="str">
        <f t="shared" si="19"/>
        <v>0 tubes and 0 shuttles</v>
      </c>
      <c r="I578" s="36">
        <f t="shared" si="20"/>
        <v>0</v>
      </c>
      <c r="J578" s="103" t="str">
        <f t="shared" si="21"/>
        <v>0 tubes and 0 shuttles</v>
      </c>
    </row>
    <row r="579" spans="1:10" ht="12.5" x14ac:dyDescent="0.25">
      <c r="A579" s="32">
        <f>'Profit &amp; Loss'!A579</f>
        <v>0</v>
      </c>
      <c r="B579" s="35">
        <f>'Profit &amp; Loss'!B579</f>
        <v>0</v>
      </c>
      <c r="C579" s="36"/>
      <c r="D579" s="33"/>
      <c r="E579" s="102">
        <f t="shared" si="22"/>
        <v>0</v>
      </c>
      <c r="F579" s="103" t="str">
        <f t="shared" si="18"/>
        <v>0 tubes and 0 shuttles</v>
      </c>
      <c r="G579" s="36">
        <f t="shared" si="23"/>
        <v>0</v>
      </c>
      <c r="H579" s="104" t="str">
        <f t="shared" si="19"/>
        <v>0 tubes and 0 shuttles</v>
      </c>
      <c r="I579" s="36">
        <f t="shared" si="20"/>
        <v>0</v>
      </c>
      <c r="J579" s="103" t="str">
        <f t="shared" si="21"/>
        <v>0 tubes and 0 shuttles</v>
      </c>
    </row>
    <row r="580" spans="1:10" ht="12.5" x14ac:dyDescent="0.25">
      <c r="A580" s="32">
        <f>'Profit &amp; Loss'!A580</f>
        <v>0</v>
      </c>
      <c r="B580" s="35">
        <f>'Profit &amp; Loss'!B580</f>
        <v>0</v>
      </c>
      <c r="C580" s="36"/>
      <c r="D580" s="33"/>
      <c r="E580" s="102">
        <f t="shared" si="22"/>
        <v>0</v>
      </c>
      <c r="F580" s="103" t="str">
        <f t="shared" si="18"/>
        <v>0 tubes and 0 shuttles</v>
      </c>
      <c r="G580" s="36">
        <f t="shared" si="23"/>
        <v>0</v>
      </c>
      <c r="H580" s="104" t="str">
        <f t="shared" si="19"/>
        <v>0 tubes and 0 shuttles</v>
      </c>
      <c r="I580" s="36">
        <f t="shared" si="20"/>
        <v>0</v>
      </c>
      <c r="J580" s="103" t="str">
        <f t="shared" si="21"/>
        <v>0 tubes and 0 shuttles</v>
      </c>
    </row>
    <row r="581" spans="1:10" ht="12.5" x14ac:dyDescent="0.25">
      <c r="A581" s="32">
        <f>'Profit &amp; Loss'!A581</f>
        <v>0</v>
      </c>
      <c r="B581" s="35">
        <f>'Profit &amp; Loss'!B581</f>
        <v>0</v>
      </c>
      <c r="C581" s="36"/>
      <c r="D581" s="33"/>
      <c r="E581" s="102">
        <f t="shared" si="22"/>
        <v>0</v>
      </c>
      <c r="F581" s="103" t="str">
        <f t="shared" si="18"/>
        <v>0 tubes and 0 shuttles</v>
      </c>
      <c r="G581" s="36">
        <f t="shared" si="23"/>
        <v>0</v>
      </c>
      <c r="H581" s="104" t="str">
        <f t="shared" si="19"/>
        <v>0 tubes and 0 shuttles</v>
      </c>
      <c r="I581" s="36">
        <f t="shared" si="20"/>
        <v>0</v>
      </c>
      <c r="J581" s="103" t="str">
        <f t="shared" si="21"/>
        <v>0 tubes and 0 shuttles</v>
      </c>
    </row>
    <row r="582" spans="1:10" ht="12.5" x14ac:dyDescent="0.25">
      <c r="A582" s="32">
        <f>'Profit &amp; Loss'!A582</f>
        <v>0</v>
      </c>
      <c r="B582" s="35">
        <f>'Profit &amp; Loss'!B582</f>
        <v>0</v>
      </c>
      <c r="C582" s="36"/>
      <c r="D582" s="33"/>
      <c r="E582" s="102">
        <f t="shared" si="22"/>
        <v>0</v>
      </c>
      <c r="F582" s="103" t="str">
        <f t="shared" si="18"/>
        <v>0 tubes and 0 shuttles</v>
      </c>
      <c r="G582" s="36">
        <f t="shared" si="23"/>
        <v>0</v>
      </c>
      <c r="H582" s="104" t="str">
        <f t="shared" si="19"/>
        <v>0 tubes and 0 shuttles</v>
      </c>
      <c r="I582" s="36">
        <f t="shared" si="20"/>
        <v>0</v>
      </c>
      <c r="J582" s="103" t="str">
        <f t="shared" si="21"/>
        <v>0 tubes and 0 shuttles</v>
      </c>
    </row>
    <row r="583" spans="1:10" ht="12.5" x14ac:dyDescent="0.25">
      <c r="A583" s="32">
        <f>'Profit &amp; Loss'!A583</f>
        <v>0</v>
      </c>
      <c r="B583" s="35">
        <f>'Profit &amp; Loss'!B583</f>
        <v>0</v>
      </c>
      <c r="C583" s="36"/>
      <c r="D583" s="33"/>
      <c r="E583" s="102">
        <f t="shared" si="22"/>
        <v>0</v>
      </c>
      <c r="F583" s="103" t="str">
        <f t="shared" si="18"/>
        <v>0 tubes and 0 shuttles</v>
      </c>
      <c r="G583" s="36">
        <f t="shared" si="23"/>
        <v>0</v>
      </c>
      <c r="H583" s="104" t="str">
        <f t="shared" si="19"/>
        <v>0 tubes and 0 shuttles</v>
      </c>
      <c r="I583" s="36">
        <f t="shared" si="20"/>
        <v>0</v>
      </c>
      <c r="J583" s="103" t="str">
        <f t="shared" si="21"/>
        <v>0 tubes and 0 shuttles</v>
      </c>
    </row>
    <row r="584" spans="1:10" ht="12.5" x14ac:dyDescent="0.25">
      <c r="A584" s="32">
        <f>'Profit &amp; Loss'!A584</f>
        <v>0</v>
      </c>
      <c r="B584" s="35">
        <f>'Profit &amp; Loss'!B584</f>
        <v>0</v>
      </c>
      <c r="C584" s="36"/>
      <c r="D584" s="33"/>
      <c r="E584" s="102">
        <f t="shared" si="22"/>
        <v>0</v>
      </c>
      <c r="F584" s="103" t="str">
        <f t="shared" si="18"/>
        <v>0 tubes and 0 shuttles</v>
      </c>
      <c r="G584" s="36">
        <f t="shared" si="23"/>
        <v>0</v>
      </c>
      <c r="H584" s="104" t="str">
        <f t="shared" si="19"/>
        <v>0 tubes and 0 shuttles</v>
      </c>
      <c r="I584" s="36">
        <f t="shared" si="20"/>
        <v>0</v>
      </c>
      <c r="J584" s="103" t="str">
        <f t="shared" si="21"/>
        <v>0 tubes and 0 shuttles</v>
      </c>
    </row>
    <row r="585" spans="1:10" ht="12.5" x14ac:dyDescent="0.25">
      <c r="A585" s="32">
        <f>'Profit &amp; Loss'!A585</f>
        <v>0</v>
      </c>
      <c r="B585" s="35">
        <f>'Profit &amp; Loss'!B585</f>
        <v>0</v>
      </c>
      <c r="C585" s="36"/>
      <c r="D585" s="33"/>
      <c r="E585" s="102">
        <f t="shared" si="22"/>
        <v>0</v>
      </c>
      <c r="F585" s="103" t="str">
        <f t="shared" si="18"/>
        <v>0 tubes and 0 shuttles</v>
      </c>
      <c r="G585" s="36">
        <f t="shared" si="23"/>
        <v>0</v>
      </c>
      <c r="H585" s="104" t="str">
        <f t="shared" si="19"/>
        <v>0 tubes and 0 shuttles</v>
      </c>
      <c r="I585" s="36">
        <f t="shared" si="20"/>
        <v>0</v>
      </c>
      <c r="J585" s="103" t="str">
        <f t="shared" si="21"/>
        <v>0 tubes and 0 shuttles</v>
      </c>
    </row>
    <row r="586" spans="1:10" ht="12.5" x14ac:dyDescent="0.25">
      <c r="A586" s="32">
        <f>'Profit &amp; Loss'!A586</f>
        <v>0</v>
      </c>
      <c r="B586" s="35">
        <f>'Profit &amp; Loss'!B586</f>
        <v>0</v>
      </c>
      <c r="C586" s="36"/>
      <c r="D586" s="33"/>
      <c r="E586" s="102">
        <f t="shared" si="22"/>
        <v>0</v>
      </c>
      <c r="F586" s="103" t="str">
        <f t="shared" si="18"/>
        <v>0 tubes and 0 shuttles</v>
      </c>
      <c r="G586" s="36">
        <f t="shared" si="23"/>
        <v>0</v>
      </c>
      <c r="H586" s="104" t="str">
        <f t="shared" si="19"/>
        <v>0 tubes and 0 shuttles</v>
      </c>
      <c r="I586" s="36">
        <f t="shared" si="20"/>
        <v>0</v>
      </c>
      <c r="J586" s="103" t="str">
        <f t="shared" si="21"/>
        <v>0 tubes and 0 shuttles</v>
      </c>
    </row>
    <row r="587" spans="1:10" ht="12.5" x14ac:dyDescent="0.25">
      <c r="A587" s="32">
        <f>'Profit &amp; Loss'!A587</f>
        <v>0</v>
      </c>
      <c r="B587" s="35">
        <f>'Profit &amp; Loss'!B587</f>
        <v>0</v>
      </c>
      <c r="C587" s="36"/>
      <c r="D587" s="33"/>
      <c r="E587" s="102">
        <f t="shared" si="22"/>
        <v>0</v>
      </c>
      <c r="F587" s="103" t="str">
        <f t="shared" si="18"/>
        <v>0 tubes and 0 shuttles</v>
      </c>
      <c r="G587" s="36">
        <f t="shared" si="23"/>
        <v>0</v>
      </c>
      <c r="H587" s="104" t="str">
        <f t="shared" si="19"/>
        <v>0 tubes and 0 shuttles</v>
      </c>
      <c r="I587" s="36">
        <f t="shared" si="20"/>
        <v>0</v>
      </c>
      <c r="J587" s="103" t="str">
        <f t="shared" si="21"/>
        <v>0 tubes and 0 shuttles</v>
      </c>
    </row>
    <row r="588" spans="1:10" ht="12.5" x14ac:dyDescent="0.25">
      <c r="A588" s="32">
        <f>'Profit &amp; Loss'!A588</f>
        <v>0</v>
      </c>
      <c r="B588" s="35">
        <f>'Profit &amp; Loss'!B588</f>
        <v>0</v>
      </c>
      <c r="C588" s="36"/>
      <c r="D588" s="33"/>
      <c r="E588" s="102">
        <f t="shared" si="22"/>
        <v>0</v>
      </c>
      <c r="F588" s="103" t="str">
        <f t="shared" si="18"/>
        <v>0 tubes and 0 shuttles</v>
      </c>
      <c r="G588" s="36">
        <f t="shared" si="23"/>
        <v>0</v>
      </c>
      <c r="H588" s="104" t="str">
        <f t="shared" si="19"/>
        <v>0 tubes and 0 shuttles</v>
      </c>
      <c r="I588" s="36">
        <f t="shared" si="20"/>
        <v>0</v>
      </c>
      <c r="J588" s="103" t="str">
        <f t="shared" si="21"/>
        <v>0 tubes and 0 shuttles</v>
      </c>
    </row>
    <row r="589" spans="1:10" ht="12.5" x14ac:dyDescent="0.25">
      <c r="A589" s="32">
        <f>'Profit &amp; Loss'!A589</f>
        <v>0</v>
      </c>
      <c r="B589" s="35">
        <f>'Profit &amp; Loss'!B589</f>
        <v>0</v>
      </c>
      <c r="C589" s="36"/>
      <c r="D589" s="33"/>
      <c r="E589" s="102">
        <f t="shared" si="22"/>
        <v>0</v>
      </c>
      <c r="F589" s="103" t="str">
        <f t="shared" si="18"/>
        <v>0 tubes and 0 shuttles</v>
      </c>
      <c r="G589" s="36">
        <f t="shared" si="23"/>
        <v>0</v>
      </c>
      <c r="H589" s="104" t="str">
        <f t="shared" si="19"/>
        <v>0 tubes and 0 shuttles</v>
      </c>
      <c r="I589" s="36">
        <f t="shared" si="20"/>
        <v>0</v>
      </c>
      <c r="J589" s="103" t="str">
        <f t="shared" si="21"/>
        <v>0 tubes and 0 shuttles</v>
      </c>
    </row>
    <row r="590" spans="1:10" ht="12.5" x14ac:dyDescent="0.25">
      <c r="A590" s="32">
        <f>'Profit &amp; Loss'!A590</f>
        <v>0</v>
      </c>
      <c r="B590" s="35">
        <f>'Profit &amp; Loss'!B590</f>
        <v>0</v>
      </c>
      <c r="C590" s="36"/>
      <c r="D590" s="33"/>
      <c r="E590" s="102">
        <f t="shared" si="22"/>
        <v>0</v>
      </c>
      <c r="F590" s="103" t="str">
        <f t="shared" si="18"/>
        <v>0 tubes and 0 shuttles</v>
      </c>
      <c r="G590" s="36">
        <f t="shared" si="23"/>
        <v>0</v>
      </c>
      <c r="H590" s="104" t="str">
        <f t="shared" si="19"/>
        <v>0 tubes and 0 shuttles</v>
      </c>
      <c r="I590" s="36">
        <f t="shared" si="20"/>
        <v>0</v>
      </c>
      <c r="J590" s="103" t="str">
        <f t="shared" si="21"/>
        <v>0 tubes and 0 shuttles</v>
      </c>
    </row>
    <row r="591" spans="1:10" ht="12.5" x14ac:dyDescent="0.25">
      <c r="A591" s="32">
        <f>'Profit &amp; Loss'!A591</f>
        <v>0</v>
      </c>
      <c r="B591" s="35">
        <f>'Profit &amp; Loss'!B591</f>
        <v>0</v>
      </c>
      <c r="C591" s="36"/>
      <c r="D591" s="33"/>
      <c r="E591" s="102">
        <f t="shared" si="22"/>
        <v>0</v>
      </c>
      <c r="F591" s="103" t="str">
        <f t="shared" si="18"/>
        <v>0 tubes and 0 shuttles</v>
      </c>
      <c r="G591" s="36">
        <f t="shared" si="23"/>
        <v>0</v>
      </c>
      <c r="H591" s="104" t="str">
        <f t="shared" si="19"/>
        <v>0 tubes and 0 shuttles</v>
      </c>
      <c r="I591" s="36">
        <f t="shared" si="20"/>
        <v>0</v>
      </c>
      <c r="J591" s="103" t="str">
        <f t="shared" si="21"/>
        <v>0 tubes and 0 shuttles</v>
      </c>
    </row>
    <row r="592" spans="1:10" ht="12.5" x14ac:dyDescent="0.25">
      <c r="A592" s="32">
        <f>'Profit &amp; Loss'!A592</f>
        <v>0</v>
      </c>
      <c r="B592" s="35">
        <f>'Profit &amp; Loss'!B592</f>
        <v>0</v>
      </c>
      <c r="C592" s="36"/>
      <c r="D592" s="33"/>
      <c r="E592" s="102">
        <f t="shared" si="22"/>
        <v>0</v>
      </c>
      <c r="F592" s="103" t="str">
        <f t="shared" si="18"/>
        <v>0 tubes and 0 shuttles</v>
      </c>
      <c r="G592" s="36">
        <f t="shared" si="23"/>
        <v>0</v>
      </c>
      <c r="H592" s="104" t="str">
        <f t="shared" si="19"/>
        <v>0 tubes and 0 shuttles</v>
      </c>
      <c r="I592" s="36">
        <f t="shared" si="20"/>
        <v>0</v>
      </c>
      <c r="J592" s="103" t="str">
        <f t="shared" si="21"/>
        <v>0 tubes and 0 shuttles</v>
      </c>
    </row>
    <row r="593" spans="1:10" ht="12.5" x14ac:dyDescent="0.25">
      <c r="A593" s="32">
        <f>'Profit &amp; Loss'!A593</f>
        <v>0</v>
      </c>
      <c r="B593" s="35">
        <f>'Profit &amp; Loss'!B593</f>
        <v>0</v>
      </c>
      <c r="C593" s="36"/>
      <c r="D593" s="33"/>
      <c r="E593" s="102">
        <f t="shared" si="22"/>
        <v>0</v>
      </c>
      <c r="F593" s="103" t="str">
        <f t="shared" si="18"/>
        <v>0 tubes and 0 shuttles</v>
      </c>
      <c r="G593" s="36">
        <f t="shared" si="23"/>
        <v>0</v>
      </c>
      <c r="H593" s="104" t="str">
        <f t="shared" si="19"/>
        <v>0 tubes and 0 shuttles</v>
      </c>
      <c r="I593" s="36">
        <f t="shared" si="20"/>
        <v>0</v>
      </c>
      <c r="J593" s="103" t="str">
        <f t="shared" si="21"/>
        <v>0 tubes and 0 shuttles</v>
      </c>
    </row>
    <row r="594" spans="1:10" ht="12.5" x14ac:dyDescent="0.25">
      <c r="A594" s="32">
        <f>'Profit &amp; Loss'!A594</f>
        <v>0</v>
      </c>
      <c r="B594" s="35">
        <f>'Profit &amp; Loss'!B594</f>
        <v>0</v>
      </c>
      <c r="C594" s="36"/>
      <c r="D594" s="33"/>
      <c r="E594" s="102">
        <f t="shared" si="22"/>
        <v>0</v>
      </c>
      <c r="F594" s="103" t="str">
        <f t="shared" si="18"/>
        <v>0 tubes and 0 shuttles</v>
      </c>
      <c r="G594" s="36">
        <f t="shared" si="23"/>
        <v>0</v>
      </c>
      <c r="H594" s="104" t="str">
        <f t="shared" si="19"/>
        <v>0 tubes and 0 shuttles</v>
      </c>
      <c r="I594" s="36">
        <f t="shared" si="20"/>
        <v>0</v>
      </c>
      <c r="J594" s="103" t="str">
        <f t="shared" si="21"/>
        <v>0 tubes and 0 shuttles</v>
      </c>
    </row>
    <row r="595" spans="1:10" ht="12.5" x14ac:dyDescent="0.25">
      <c r="A595" s="32">
        <f>'Profit &amp; Loss'!A595</f>
        <v>0</v>
      </c>
      <c r="B595" s="35">
        <f>'Profit &amp; Loss'!B595</f>
        <v>0</v>
      </c>
      <c r="C595" s="36"/>
      <c r="D595" s="33"/>
      <c r="E595" s="102">
        <f t="shared" si="22"/>
        <v>0</v>
      </c>
      <c r="F595" s="103" t="str">
        <f t="shared" si="18"/>
        <v>0 tubes and 0 shuttles</v>
      </c>
      <c r="G595" s="36">
        <f t="shared" si="23"/>
        <v>0</v>
      </c>
      <c r="H595" s="104" t="str">
        <f t="shared" si="19"/>
        <v>0 tubes and 0 shuttles</v>
      </c>
      <c r="I595" s="36">
        <f t="shared" si="20"/>
        <v>0</v>
      </c>
      <c r="J595" s="103" t="str">
        <f t="shared" si="21"/>
        <v>0 tubes and 0 shuttles</v>
      </c>
    </row>
    <row r="596" spans="1:10" ht="12.5" x14ac:dyDescent="0.25">
      <c r="A596" s="32">
        <f>'Profit &amp; Loss'!A596</f>
        <v>0</v>
      </c>
      <c r="B596" s="35">
        <f>'Profit &amp; Loss'!B596</f>
        <v>0</v>
      </c>
      <c r="C596" s="36"/>
      <c r="D596" s="33"/>
      <c r="E596" s="102">
        <f t="shared" si="22"/>
        <v>0</v>
      </c>
      <c r="F596" s="103" t="str">
        <f t="shared" si="18"/>
        <v>0 tubes and 0 shuttles</v>
      </c>
      <c r="G596" s="36">
        <f t="shared" si="23"/>
        <v>0</v>
      </c>
      <c r="H596" s="104" t="str">
        <f t="shared" si="19"/>
        <v>0 tubes and 0 shuttles</v>
      </c>
      <c r="I596" s="36">
        <f t="shared" si="20"/>
        <v>0</v>
      </c>
      <c r="J596" s="103" t="str">
        <f t="shared" si="21"/>
        <v>0 tubes and 0 shuttles</v>
      </c>
    </row>
    <row r="597" spans="1:10" ht="12.5" x14ac:dyDescent="0.25">
      <c r="A597" s="32">
        <f>'Profit &amp; Loss'!A597</f>
        <v>0</v>
      </c>
      <c r="B597" s="35">
        <f>'Profit &amp; Loss'!B597</f>
        <v>0</v>
      </c>
      <c r="C597" s="36"/>
      <c r="D597" s="33"/>
      <c r="E597" s="102">
        <f t="shared" si="22"/>
        <v>0</v>
      </c>
      <c r="F597" s="103" t="str">
        <f t="shared" si="18"/>
        <v>0 tubes and 0 shuttles</v>
      </c>
      <c r="G597" s="36">
        <f t="shared" si="23"/>
        <v>0</v>
      </c>
      <c r="H597" s="104" t="str">
        <f t="shared" si="19"/>
        <v>0 tubes and 0 shuttles</v>
      </c>
      <c r="I597" s="36">
        <f t="shared" si="20"/>
        <v>0</v>
      </c>
      <c r="J597" s="103" t="str">
        <f t="shared" si="21"/>
        <v>0 tubes and 0 shuttles</v>
      </c>
    </row>
    <row r="598" spans="1:10" ht="12.5" x14ac:dyDescent="0.25">
      <c r="A598" s="32">
        <f>'Profit &amp; Loss'!A598</f>
        <v>0</v>
      </c>
      <c r="B598" s="35">
        <f>'Profit &amp; Loss'!B598</f>
        <v>0</v>
      </c>
      <c r="C598" s="36"/>
      <c r="D598" s="33"/>
      <c r="E598" s="102">
        <f t="shared" si="22"/>
        <v>0</v>
      </c>
      <c r="F598" s="103" t="str">
        <f t="shared" si="18"/>
        <v>0 tubes and 0 shuttles</v>
      </c>
      <c r="G598" s="36">
        <f t="shared" si="23"/>
        <v>0</v>
      </c>
      <c r="H598" s="104" t="str">
        <f t="shared" si="19"/>
        <v>0 tubes and 0 shuttles</v>
      </c>
      <c r="I598" s="36">
        <f t="shared" si="20"/>
        <v>0</v>
      </c>
      <c r="J598" s="103" t="str">
        <f t="shared" si="21"/>
        <v>0 tubes and 0 shuttles</v>
      </c>
    </row>
    <row r="599" spans="1:10" ht="12.5" x14ac:dyDescent="0.25">
      <c r="A599" s="32">
        <f>'Profit &amp; Loss'!A599</f>
        <v>0</v>
      </c>
      <c r="B599" s="35">
        <f>'Profit &amp; Loss'!B599</f>
        <v>0</v>
      </c>
      <c r="C599" s="36"/>
      <c r="D599" s="33"/>
      <c r="E599" s="102">
        <f t="shared" si="22"/>
        <v>0</v>
      </c>
      <c r="F599" s="103" t="str">
        <f t="shared" si="18"/>
        <v>0 tubes and 0 shuttles</v>
      </c>
      <c r="G599" s="36">
        <f t="shared" si="23"/>
        <v>0</v>
      </c>
      <c r="H599" s="104" t="str">
        <f t="shared" si="19"/>
        <v>0 tubes and 0 shuttles</v>
      </c>
      <c r="I599" s="36">
        <f t="shared" si="20"/>
        <v>0</v>
      </c>
      <c r="J599" s="103" t="str">
        <f t="shared" si="21"/>
        <v>0 tubes and 0 shuttles</v>
      </c>
    </row>
    <row r="600" spans="1:10" ht="12.5" x14ac:dyDescent="0.25">
      <c r="A600" s="32">
        <f>'Profit &amp; Loss'!A600</f>
        <v>0</v>
      </c>
      <c r="B600" s="35">
        <f>'Profit &amp; Loss'!B600</f>
        <v>0</v>
      </c>
      <c r="C600" s="36"/>
      <c r="D600" s="33"/>
      <c r="E600" s="102">
        <f t="shared" si="22"/>
        <v>0</v>
      </c>
      <c r="F600" s="103" t="str">
        <f t="shared" si="18"/>
        <v>0 tubes and 0 shuttles</v>
      </c>
      <c r="G600" s="36">
        <f t="shared" si="23"/>
        <v>0</v>
      </c>
      <c r="H600" s="104" t="str">
        <f t="shared" si="19"/>
        <v>0 tubes and 0 shuttles</v>
      </c>
      <c r="I600" s="36">
        <f t="shared" si="20"/>
        <v>0</v>
      </c>
      <c r="J600" s="103" t="str">
        <f t="shared" si="21"/>
        <v>0 tubes and 0 shuttles</v>
      </c>
    </row>
    <row r="601" spans="1:10" ht="12.5" x14ac:dyDescent="0.25">
      <c r="A601" s="32">
        <f>'Profit &amp; Loss'!A601</f>
        <v>0</v>
      </c>
      <c r="B601" s="35">
        <f>'Profit &amp; Loss'!B601</f>
        <v>0</v>
      </c>
      <c r="C601" s="36"/>
      <c r="D601" s="33"/>
      <c r="E601" s="102">
        <f t="shared" si="22"/>
        <v>0</v>
      </c>
      <c r="F601" s="103" t="str">
        <f t="shared" si="18"/>
        <v>0 tubes and 0 shuttles</v>
      </c>
      <c r="G601" s="36">
        <f t="shared" si="23"/>
        <v>0</v>
      </c>
      <c r="H601" s="104" t="str">
        <f t="shared" si="19"/>
        <v>0 tubes and 0 shuttles</v>
      </c>
      <c r="I601" s="36">
        <f t="shared" si="20"/>
        <v>0</v>
      </c>
      <c r="J601" s="103" t="str">
        <f t="shared" si="21"/>
        <v>0 tubes and 0 shuttles</v>
      </c>
    </row>
    <row r="602" spans="1:10" ht="12.5" x14ac:dyDescent="0.25">
      <c r="A602" s="32">
        <f>'Profit &amp; Loss'!A602</f>
        <v>0</v>
      </c>
      <c r="B602" s="35">
        <f>'Profit &amp; Loss'!B602</f>
        <v>0</v>
      </c>
      <c r="C602" s="36"/>
      <c r="D602" s="33"/>
      <c r="E602" s="102">
        <f t="shared" si="22"/>
        <v>0</v>
      </c>
      <c r="F602" s="103" t="str">
        <f t="shared" si="18"/>
        <v>0 tubes and 0 shuttles</v>
      </c>
      <c r="G602" s="36">
        <f t="shared" si="23"/>
        <v>0</v>
      </c>
      <c r="H602" s="104" t="str">
        <f t="shared" si="19"/>
        <v>0 tubes and 0 shuttles</v>
      </c>
      <c r="I602" s="36">
        <f t="shared" si="20"/>
        <v>0</v>
      </c>
      <c r="J602" s="103" t="str">
        <f t="shared" si="21"/>
        <v>0 tubes and 0 shuttles</v>
      </c>
    </row>
    <row r="603" spans="1:10" ht="12.5" x14ac:dyDescent="0.25">
      <c r="A603" s="32">
        <f>'Profit &amp; Loss'!A603</f>
        <v>0</v>
      </c>
      <c r="B603" s="35">
        <f>'Profit &amp; Loss'!B603</f>
        <v>0</v>
      </c>
      <c r="C603" s="36"/>
      <c r="D603" s="33"/>
      <c r="E603" s="102">
        <f t="shared" si="22"/>
        <v>0</v>
      </c>
      <c r="F603" s="103" t="str">
        <f t="shared" si="18"/>
        <v>0 tubes and 0 shuttles</v>
      </c>
      <c r="G603" s="36">
        <f t="shared" si="23"/>
        <v>0</v>
      </c>
      <c r="H603" s="104" t="str">
        <f t="shared" si="19"/>
        <v>0 tubes and 0 shuttles</v>
      </c>
      <c r="I603" s="36">
        <f t="shared" si="20"/>
        <v>0</v>
      </c>
      <c r="J603" s="103" t="str">
        <f t="shared" si="21"/>
        <v>0 tubes and 0 shuttles</v>
      </c>
    </row>
    <row r="604" spans="1:10" ht="12.5" x14ac:dyDescent="0.25">
      <c r="A604" s="32">
        <f>'Profit &amp; Loss'!A604</f>
        <v>0</v>
      </c>
      <c r="B604" s="35">
        <f>'Profit &amp; Loss'!B604</f>
        <v>0</v>
      </c>
      <c r="C604" s="36"/>
      <c r="D604" s="33"/>
      <c r="E604" s="102">
        <f t="shared" si="22"/>
        <v>0</v>
      </c>
      <c r="F604" s="103" t="str">
        <f t="shared" si="18"/>
        <v>0 tubes and 0 shuttles</v>
      </c>
      <c r="G604" s="36">
        <f t="shared" si="23"/>
        <v>0</v>
      </c>
      <c r="H604" s="104" t="str">
        <f t="shared" si="19"/>
        <v>0 tubes and 0 shuttles</v>
      </c>
      <c r="I604" s="36">
        <f t="shared" si="20"/>
        <v>0</v>
      </c>
      <c r="J604" s="103" t="str">
        <f t="shared" si="21"/>
        <v>0 tubes and 0 shuttles</v>
      </c>
    </row>
    <row r="605" spans="1:10" ht="12.5" x14ac:dyDescent="0.25">
      <c r="A605" s="32">
        <f>'Profit &amp; Loss'!A605</f>
        <v>0</v>
      </c>
      <c r="B605" s="35">
        <f>'Profit &amp; Loss'!B605</f>
        <v>0</v>
      </c>
      <c r="C605" s="36"/>
      <c r="D605" s="33"/>
      <c r="E605" s="102">
        <f t="shared" si="22"/>
        <v>0</v>
      </c>
      <c r="F605" s="103" t="str">
        <f t="shared" si="18"/>
        <v>0 tubes and 0 shuttles</v>
      </c>
      <c r="G605" s="36">
        <f t="shared" si="23"/>
        <v>0</v>
      </c>
      <c r="H605" s="104" t="str">
        <f t="shared" si="19"/>
        <v>0 tubes and 0 shuttles</v>
      </c>
      <c r="I605" s="36">
        <f t="shared" si="20"/>
        <v>0</v>
      </c>
      <c r="J605" s="103" t="str">
        <f t="shared" si="21"/>
        <v>0 tubes and 0 shuttles</v>
      </c>
    </row>
    <row r="606" spans="1:10" ht="12.5" x14ac:dyDescent="0.25">
      <c r="A606" s="32">
        <f>'Profit &amp; Loss'!A606</f>
        <v>0</v>
      </c>
      <c r="B606" s="35">
        <f>'Profit &amp; Loss'!B606</f>
        <v>0</v>
      </c>
      <c r="C606" s="36"/>
      <c r="D606" s="33"/>
      <c r="E606" s="102">
        <f t="shared" si="22"/>
        <v>0</v>
      </c>
      <c r="F606" s="103" t="str">
        <f t="shared" si="18"/>
        <v>0 tubes and 0 shuttles</v>
      </c>
      <c r="G606" s="36">
        <f t="shared" si="23"/>
        <v>0</v>
      </c>
      <c r="H606" s="104" t="str">
        <f t="shared" si="19"/>
        <v>0 tubes and 0 shuttles</v>
      </c>
      <c r="I606" s="36">
        <f t="shared" si="20"/>
        <v>0</v>
      </c>
      <c r="J606" s="103" t="str">
        <f t="shared" si="21"/>
        <v>0 tubes and 0 shuttles</v>
      </c>
    </row>
    <row r="607" spans="1:10" ht="12.5" x14ac:dyDescent="0.25">
      <c r="A607" s="32">
        <f>'Profit &amp; Loss'!A607</f>
        <v>0</v>
      </c>
      <c r="B607" s="35">
        <f>'Profit &amp; Loss'!B607</f>
        <v>0</v>
      </c>
      <c r="C607" s="36"/>
      <c r="D607" s="33"/>
      <c r="E607" s="102">
        <f t="shared" si="22"/>
        <v>0</v>
      </c>
      <c r="F607" s="103" t="str">
        <f t="shared" si="18"/>
        <v>0 tubes and 0 shuttles</v>
      </c>
      <c r="G607" s="36">
        <f t="shared" si="23"/>
        <v>0</v>
      </c>
      <c r="H607" s="104" t="str">
        <f t="shared" si="19"/>
        <v>0 tubes and 0 shuttles</v>
      </c>
      <c r="I607" s="36">
        <f t="shared" si="20"/>
        <v>0</v>
      </c>
      <c r="J607" s="103" t="str">
        <f t="shared" si="21"/>
        <v>0 tubes and 0 shuttles</v>
      </c>
    </row>
    <row r="608" spans="1:10" ht="12.5" x14ac:dyDescent="0.25">
      <c r="A608" s="32">
        <f>'Profit &amp; Loss'!A608</f>
        <v>0</v>
      </c>
      <c r="B608" s="35">
        <f>'Profit &amp; Loss'!B608</f>
        <v>0</v>
      </c>
      <c r="C608" s="36"/>
      <c r="D608" s="33"/>
      <c r="E608" s="102">
        <f t="shared" si="22"/>
        <v>0</v>
      </c>
      <c r="F608" s="103" t="str">
        <f t="shared" si="18"/>
        <v>0 tubes and 0 shuttles</v>
      </c>
      <c r="G608" s="36">
        <f t="shared" si="23"/>
        <v>0</v>
      </c>
      <c r="H608" s="104" t="str">
        <f t="shared" si="19"/>
        <v>0 tubes and 0 shuttles</v>
      </c>
      <c r="I608" s="36">
        <f t="shared" si="20"/>
        <v>0</v>
      </c>
      <c r="J608" s="103" t="str">
        <f t="shared" si="21"/>
        <v>0 tubes and 0 shuttles</v>
      </c>
    </row>
    <row r="609" spans="1:10" ht="12.5" x14ac:dyDescent="0.25">
      <c r="A609" s="32">
        <f>'Profit &amp; Loss'!A609</f>
        <v>0</v>
      </c>
      <c r="B609" s="35">
        <f>'Profit &amp; Loss'!B609</f>
        <v>0</v>
      </c>
      <c r="C609" s="36"/>
      <c r="D609" s="33"/>
      <c r="E609" s="102">
        <f t="shared" si="22"/>
        <v>0</v>
      </c>
      <c r="F609" s="103" t="str">
        <f t="shared" si="18"/>
        <v>0 tubes and 0 shuttles</v>
      </c>
      <c r="G609" s="36">
        <f t="shared" si="23"/>
        <v>0</v>
      </c>
      <c r="H609" s="104" t="str">
        <f t="shared" si="19"/>
        <v>0 tubes and 0 shuttles</v>
      </c>
      <c r="I609" s="36">
        <f t="shared" si="20"/>
        <v>0</v>
      </c>
      <c r="J609" s="103" t="str">
        <f t="shared" si="21"/>
        <v>0 tubes and 0 shuttles</v>
      </c>
    </row>
    <row r="610" spans="1:10" ht="12.5" x14ac:dyDescent="0.25">
      <c r="A610" s="32">
        <f>'Profit &amp; Loss'!A610</f>
        <v>0</v>
      </c>
      <c r="B610" s="35">
        <f>'Profit &amp; Loss'!B610</f>
        <v>0</v>
      </c>
      <c r="C610" s="36"/>
      <c r="D610" s="33"/>
      <c r="E610" s="102">
        <f t="shared" si="22"/>
        <v>0</v>
      </c>
      <c r="F610" s="103" t="str">
        <f t="shared" si="18"/>
        <v>0 tubes and 0 shuttles</v>
      </c>
      <c r="G610" s="36">
        <f t="shared" si="23"/>
        <v>0</v>
      </c>
      <c r="H610" s="104" t="str">
        <f t="shared" si="19"/>
        <v>0 tubes and 0 shuttles</v>
      </c>
      <c r="I610" s="36">
        <f t="shared" si="20"/>
        <v>0</v>
      </c>
      <c r="J610" s="103" t="str">
        <f t="shared" si="21"/>
        <v>0 tubes and 0 shuttles</v>
      </c>
    </row>
    <row r="611" spans="1:10" ht="12.5" x14ac:dyDescent="0.25">
      <c r="A611" s="32">
        <f>'Profit &amp; Loss'!A611</f>
        <v>0</v>
      </c>
      <c r="B611" s="35">
        <f>'Profit &amp; Loss'!B611</f>
        <v>0</v>
      </c>
      <c r="C611" s="36"/>
      <c r="D611" s="33"/>
      <c r="E611" s="102">
        <f t="shared" si="22"/>
        <v>0</v>
      </c>
      <c r="F611" s="103" t="str">
        <f t="shared" si="18"/>
        <v>0 tubes and 0 shuttles</v>
      </c>
      <c r="G611" s="36">
        <f t="shared" si="23"/>
        <v>0</v>
      </c>
      <c r="H611" s="104" t="str">
        <f t="shared" si="19"/>
        <v>0 tubes and 0 shuttles</v>
      </c>
      <c r="I611" s="36">
        <f t="shared" si="20"/>
        <v>0</v>
      </c>
      <c r="J611" s="103" t="str">
        <f t="shared" si="21"/>
        <v>0 tubes and 0 shuttles</v>
      </c>
    </row>
    <row r="612" spans="1:10" ht="12.5" x14ac:dyDescent="0.25">
      <c r="A612" s="32">
        <f>'Profit &amp; Loss'!A612</f>
        <v>0</v>
      </c>
      <c r="B612" s="35">
        <f>'Profit &amp; Loss'!B612</f>
        <v>0</v>
      </c>
      <c r="C612" s="36"/>
      <c r="D612" s="33"/>
      <c r="E612" s="102">
        <f t="shared" si="22"/>
        <v>0</v>
      </c>
      <c r="F612" s="103" t="str">
        <f t="shared" si="18"/>
        <v>0 tubes and 0 shuttles</v>
      </c>
      <c r="G612" s="36">
        <f t="shared" si="23"/>
        <v>0</v>
      </c>
      <c r="H612" s="104" t="str">
        <f t="shared" si="19"/>
        <v>0 tubes and 0 shuttles</v>
      </c>
      <c r="I612" s="36">
        <f t="shared" si="20"/>
        <v>0</v>
      </c>
      <c r="J612" s="103" t="str">
        <f t="shared" si="21"/>
        <v>0 tubes and 0 shuttles</v>
      </c>
    </row>
    <row r="613" spans="1:10" ht="12.5" x14ac:dyDescent="0.25">
      <c r="A613" s="32">
        <f>'Profit &amp; Loss'!A613</f>
        <v>0</v>
      </c>
      <c r="B613" s="35">
        <f>'Profit &amp; Loss'!B613</f>
        <v>0</v>
      </c>
      <c r="C613" s="36"/>
      <c r="D613" s="33"/>
      <c r="E613" s="102">
        <f t="shared" si="22"/>
        <v>0</v>
      </c>
      <c r="F613" s="103" t="str">
        <f t="shared" si="18"/>
        <v>0 tubes and 0 shuttles</v>
      </c>
      <c r="G613" s="36">
        <f t="shared" si="23"/>
        <v>0</v>
      </c>
      <c r="H613" s="104" t="str">
        <f t="shared" si="19"/>
        <v>0 tubes and 0 shuttles</v>
      </c>
      <c r="I613" s="36">
        <f t="shared" si="20"/>
        <v>0</v>
      </c>
      <c r="J613" s="103" t="str">
        <f t="shared" si="21"/>
        <v>0 tubes and 0 shuttles</v>
      </c>
    </row>
    <row r="614" spans="1:10" ht="12.5" x14ac:dyDescent="0.25">
      <c r="A614" s="32">
        <f>'Profit &amp; Loss'!A614</f>
        <v>0</v>
      </c>
      <c r="B614" s="35">
        <f>'Profit &amp; Loss'!B614</f>
        <v>0</v>
      </c>
      <c r="C614" s="36"/>
      <c r="D614" s="33"/>
      <c r="E614" s="102">
        <f t="shared" si="22"/>
        <v>0</v>
      </c>
      <c r="F614" s="103" t="str">
        <f t="shared" si="18"/>
        <v>0 tubes and 0 shuttles</v>
      </c>
      <c r="G614" s="36">
        <f t="shared" si="23"/>
        <v>0</v>
      </c>
      <c r="H614" s="104" t="str">
        <f t="shared" si="19"/>
        <v>0 tubes and 0 shuttles</v>
      </c>
      <c r="I614" s="36">
        <f t="shared" si="20"/>
        <v>0</v>
      </c>
      <c r="J614" s="103" t="str">
        <f t="shared" si="21"/>
        <v>0 tubes and 0 shuttles</v>
      </c>
    </row>
    <row r="615" spans="1:10" ht="12.5" x14ac:dyDescent="0.25">
      <c r="A615" s="32">
        <f>'Profit &amp; Loss'!A615</f>
        <v>0</v>
      </c>
      <c r="B615" s="35">
        <f>'Profit &amp; Loss'!B615</f>
        <v>0</v>
      </c>
      <c r="C615" s="36"/>
      <c r="D615" s="33"/>
      <c r="E615" s="102">
        <f t="shared" si="22"/>
        <v>0</v>
      </c>
      <c r="F615" s="103" t="str">
        <f t="shared" si="18"/>
        <v>0 tubes and 0 shuttles</v>
      </c>
      <c r="G615" s="36">
        <f t="shared" si="23"/>
        <v>0</v>
      </c>
      <c r="H615" s="104" t="str">
        <f t="shared" si="19"/>
        <v>0 tubes and 0 shuttles</v>
      </c>
      <c r="I615" s="36">
        <f t="shared" si="20"/>
        <v>0</v>
      </c>
      <c r="J615" s="103" t="str">
        <f t="shared" si="21"/>
        <v>0 tubes and 0 shuttles</v>
      </c>
    </row>
    <row r="616" spans="1:10" ht="12.5" x14ac:dyDescent="0.25">
      <c r="A616" s="32">
        <f>'Profit &amp; Loss'!A616</f>
        <v>0</v>
      </c>
      <c r="B616" s="35">
        <f>'Profit &amp; Loss'!B616</f>
        <v>0</v>
      </c>
      <c r="C616" s="36"/>
      <c r="D616" s="33"/>
      <c r="E616" s="102">
        <f t="shared" si="22"/>
        <v>0</v>
      </c>
      <c r="F616" s="103" t="str">
        <f t="shared" si="18"/>
        <v>0 tubes and 0 shuttles</v>
      </c>
      <c r="G616" s="36">
        <f t="shared" si="23"/>
        <v>0</v>
      </c>
      <c r="H616" s="104" t="str">
        <f t="shared" si="19"/>
        <v>0 tubes and 0 shuttles</v>
      </c>
      <c r="I616" s="36">
        <f t="shared" si="20"/>
        <v>0</v>
      </c>
      <c r="J616" s="103" t="str">
        <f t="shared" si="21"/>
        <v>0 tubes and 0 shuttles</v>
      </c>
    </row>
    <row r="617" spans="1:10" ht="12.5" x14ac:dyDescent="0.25">
      <c r="A617" s="32">
        <f>'Profit &amp; Loss'!A617</f>
        <v>0</v>
      </c>
      <c r="B617" s="35">
        <f>'Profit &amp; Loss'!B617</f>
        <v>0</v>
      </c>
      <c r="C617" s="36"/>
      <c r="D617" s="33"/>
      <c r="E617" s="102">
        <f t="shared" si="22"/>
        <v>0</v>
      </c>
      <c r="F617" s="103" t="str">
        <f t="shared" si="18"/>
        <v>0 tubes and 0 shuttles</v>
      </c>
      <c r="G617" s="36">
        <f t="shared" si="23"/>
        <v>0</v>
      </c>
      <c r="H617" s="104" t="str">
        <f t="shared" si="19"/>
        <v>0 tubes and 0 shuttles</v>
      </c>
      <c r="I617" s="36">
        <f t="shared" si="20"/>
        <v>0</v>
      </c>
      <c r="J617" s="103" t="str">
        <f t="shared" si="21"/>
        <v>0 tubes and 0 shuttles</v>
      </c>
    </row>
    <row r="618" spans="1:10" ht="12.5" x14ac:dyDescent="0.25">
      <c r="A618" s="32">
        <f>'Profit &amp; Loss'!A618</f>
        <v>0</v>
      </c>
      <c r="B618" s="35">
        <f>'Profit &amp; Loss'!B618</f>
        <v>0</v>
      </c>
      <c r="C618" s="36"/>
      <c r="D618" s="33"/>
      <c r="E618" s="102">
        <f t="shared" si="22"/>
        <v>0</v>
      </c>
      <c r="F618" s="103" t="str">
        <f t="shared" si="18"/>
        <v>0 tubes and 0 shuttles</v>
      </c>
      <c r="G618" s="36">
        <f t="shared" si="23"/>
        <v>0</v>
      </c>
      <c r="H618" s="104" t="str">
        <f t="shared" si="19"/>
        <v>0 tubes and 0 shuttles</v>
      </c>
      <c r="I618" s="36">
        <f t="shared" si="20"/>
        <v>0</v>
      </c>
      <c r="J618" s="103" t="str">
        <f t="shared" si="21"/>
        <v>0 tubes and 0 shuttles</v>
      </c>
    </row>
    <row r="619" spans="1:10" ht="12.5" x14ac:dyDescent="0.25">
      <c r="A619" s="32">
        <f>'Profit &amp; Loss'!A619</f>
        <v>0</v>
      </c>
      <c r="B619" s="35">
        <f>'Profit &amp; Loss'!B619</f>
        <v>0</v>
      </c>
      <c r="C619" s="36"/>
      <c r="D619" s="33"/>
      <c r="E619" s="102">
        <f t="shared" si="22"/>
        <v>0</v>
      </c>
      <c r="F619" s="103" t="str">
        <f t="shared" si="18"/>
        <v>0 tubes and 0 shuttles</v>
      </c>
      <c r="G619" s="36">
        <f t="shared" si="23"/>
        <v>0</v>
      </c>
      <c r="H619" s="104" t="str">
        <f t="shared" si="19"/>
        <v>0 tubes and 0 shuttles</v>
      </c>
      <c r="I619" s="36">
        <f t="shared" si="20"/>
        <v>0</v>
      </c>
      <c r="J619" s="103" t="str">
        <f t="shared" si="21"/>
        <v>0 tubes and 0 shuttles</v>
      </c>
    </row>
    <row r="620" spans="1:10" ht="12.5" x14ac:dyDescent="0.25">
      <c r="A620" s="32">
        <f>'Profit &amp; Loss'!A620</f>
        <v>0</v>
      </c>
      <c r="B620" s="35">
        <f>'Profit &amp; Loss'!B620</f>
        <v>0</v>
      </c>
      <c r="C620" s="36"/>
      <c r="D620" s="33"/>
      <c r="E620" s="102">
        <f t="shared" si="22"/>
        <v>0</v>
      </c>
      <c r="F620" s="103" t="str">
        <f t="shared" si="18"/>
        <v>0 tubes and 0 shuttles</v>
      </c>
      <c r="G620" s="36">
        <f t="shared" si="23"/>
        <v>0</v>
      </c>
      <c r="H620" s="104" t="str">
        <f t="shared" si="19"/>
        <v>0 tubes and 0 shuttles</v>
      </c>
      <c r="I620" s="36">
        <f t="shared" si="20"/>
        <v>0</v>
      </c>
      <c r="J620" s="103" t="str">
        <f t="shared" si="21"/>
        <v>0 tubes and 0 shuttles</v>
      </c>
    </row>
    <row r="621" spans="1:10" ht="12.5" x14ac:dyDescent="0.25">
      <c r="A621" s="32">
        <f>'Profit &amp; Loss'!A621</f>
        <v>0</v>
      </c>
      <c r="B621" s="35">
        <f>'Profit &amp; Loss'!B621</f>
        <v>0</v>
      </c>
      <c r="C621" s="36"/>
      <c r="D621" s="33"/>
      <c r="E621" s="102">
        <f t="shared" si="22"/>
        <v>0</v>
      </c>
      <c r="F621" s="103" t="str">
        <f t="shared" si="18"/>
        <v>0 tubes and 0 shuttles</v>
      </c>
      <c r="G621" s="36">
        <f t="shared" si="23"/>
        <v>0</v>
      </c>
      <c r="H621" s="104" t="str">
        <f t="shared" si="19"/>
        <v>0 tubes and 0 shuttles</v>
      </c>
      <c r="I621" s="36">
        <f t="shared" si="20"/>
        <v>0</v>
      </c>
      <c r="J621" s="103" t="str">
        <f t="shared" si="21"/>
        <v>0 tubes and 0 shuttles</v>
      </c>
    </row>
    <row r="622" spans="1:10" ht="12.5" x14ac:dyDescent="0.25">
      <c r="A622" s="32">
        <f>'Profit &amp; Loss'!A622</f>
        <v>0</v>
      </c>
      <c r="B622" s="35">
        <f>'Profit &amp; Loss'!B622</f>
        <v>0</v>
      </c>
      <c r="C622" s="36"/>
      <c r="D622" s="33"/>
      <c r="E622" s="102">
        <f t="shared" si="22"/>
        <v>0</v>
      </c>
      <c r="F622" s="103" t="str">
        <f t="shared" si="18"/>
        <v>0 tubes and 0 shuttles</v>
      </c>
      <c r="G622" s="36">
        <f t="shared" si="23"/>
        <v>0</v>
      </c>
      <c r="H622" s="104" t="str">
        <f t="shared" si="19"/>
        <v>0 tubes and 0 shuttles</v>
      </c>
      <c r="I622" s="36">
        <f t="shared" si="20"/>
        <v>0</v>
      </c>
      <c r="J622" s="103" t="str">
        <f t="shared" si="21"/>
        <v>0 tubes and 0 shuttles</v>
      </c>
    </row>
    <row r="623" spans="1:10" ht="12.5" x14ac:dyDescent="0.25">
      <c r="A623" s="32">
        <f>'Profit &amp; Loss'!A623</f>
        <v>0</v>
      </c>
      <c r="B623" s="35">
        <f>'Profit &amp; Loss'!B623</f>
        <v>0</v>
      </c>
      <c r="C623" s="36"/>
      <c r="D623" s="33"/>
      <c r="E623" s="102">
        <f t="shared" si="22"/>
        <v>0</v>
      </c>
      <c r="F623" s="103" t="str">
        <f t="shared" si="18"/>
        <v>0 tubes and 0 shuttles</v>
      </c>
      <c r="G623" s="36">
        <f t="shared" si="23"/>
        <v>0</v>
      </c>
      <c r="H623" s="104" t="str">
        <f t="shared" si="19"/>
        <v>0 tubes and 0 shuttles</v>
      </c>
      <c r="I623" s="36">
        <f t="shared" si="20"/>
        <v>0</v>
      </c>
      <c r="J623" s="103" t="str">
        <f t="shared" si="21"/>
        <v>0 tubes and 0 shuttles</v>
      </c>
    </row>
    <row r="624" spans="1:10" ht="12.5" x14ac:dyDescent="0.25">
      <c r="A624" s="32">
        <f>'Profit &amp; Loss'!A624</f>
        <v>0</v>
      </c>
      <c r="B624" s="35">
        <f>'Profit &amp; Loss'!B624</f>
        <v>0</v>
      </c>
      <c r="C624" s="36"/>
      <c r="D624" s="33"/>
      <c r="E624" s="102">
        <f t="shared" si="22"/>
        <v>0</v>
      </c>
      <c r="F624" s="103" t="str">
        <f t="shared" si="18"/>
        <v>0 tubes and 0 shuttles</v>
      </c>
      <c r="G624" s="36">
        <f t="shared" si="23"/>
        <v>0</v>
      </c>
      <c r="H624" s="104" t="str">
        <f t="shared" si="19"/>
        <v>0 tubes and 0 shuttles</v>
      </c>
      <c r="I624" s="36">
        <f t="shared" si="20"/>
        <v>0</v>
      </c>
      <c r="J624" s="103" t="str">
        <f t="shared" si="21"/>
        <v>0 tubes and 0 shuttles</v>
      </c>
    </row>
    <row r="625" spans="1:10" ht="12.5" x14ac:dyDescent="0.25">
      <c r="A625" s="32">
        <f>'Profit &amp; Loss'!A625</f>
        <v>0</v>
      </c>
      <c r="B625" s="35">
        <f>'Profit &amp; Loss'!B625</f>
        <v>0</v>
      </c>
      <c r="C625" s="36"/>
      <c r="D625" s="33"/>
      <c r="E625" s="102">
        <f t="shared" si="22"/>
        <v>0</v>
      </c>
      <c r="F625" s="103" t="str">
        <f t="shared" si="18"/>
        <v>0 tubes and 0 shuttles</v>
      </c>
      <c r="G625" s="36">
        <f t="shared" si="23"/>
        <v>0</v>
      </c>
      <c r="H625" s="104" t="str">
        <f t="shared" si="19"/>
        <v>0 tubes and 0 shuttles</v>
      </c>
      <c r="I625" s="36">
        <f t="shared" si="20"/>
        <v>0</v>
      </c>
      <c r="J625" s="103" t="str">
        <f t="shared" si="21"/>
        <v>0 tubes and 0 shuttles</v>
      </c>
    </row>
    <row r="626" spans="1:10" ht="12.5" x14ac:dyDescent="0.25">
      <c r="A626" s="32">
        <f>'Profit &amp; Loss'!A626</f>
        <v>0</v>
      </c>
      <c r="B626" s="35">
        <f>'Profit &amp; Loss'!B626</f>
        <v>0</v>
      </c>
      <c r="C626" s="36"/>
      <c r="D626" s="33"/>
      <c r="E626" s="102">
        <f t="shared" si="22"/>
        <v>0</v>
      </c>
      <c r="F626" s="103" t="str">
        <f t="shared" si="18"/>
        <v>0 tubes and 0 shuttles</v>
      </c>
      <c r="G626" s="36">
        <f t="shared" si="23"/>
        <v>0</v>
      </c>
      <c r="H626" s="104" t="str">
        <f t="shared" si="19"/>
        <v>0 tubes and 0 shuttles</v>
      </c>
      <c r="I626" s="36">
        <f t="shared" si="20"/>
        <v>0</v>
      </c>
      <c r="J626" s="103" t="str">
        <f t="shared" si="21"/>
        <v>0 tubes and 0 shuttles</v>
      </c>
    </row>
    <row r="627" spans="1:10" ht="12.5" x14ac:dyDescent="0.25">
      <c r="A627" s="32">
        <f>'Profit &amp; Loss'!A627</f>
        <v>0</v>
      </c>
      <c r="B627" s="35">
        <f>'Profit &amp; Loss'!B627</f>
        <v>0</v>
      </c>
      <c r="C627" s="36"/>
      <c r="D627" s="33"/>
      <c r="E627" s="102">
        <f t="shared" si="22"/>
        <v>0</v>
      </c>
      <c r="F627" s="103" t="str">
        <f t="shared" si="18"/>
        <v>0 tubes and 0 shuttles</v>
      </c>
      <c r="G627" s="36">
        <f t="shared" si="23"/>
        <v>0</v>
      </c>
      <c r="H627" s="104" t="str">
        <f t="shared" si="19"/>
        <v>0 tubes and 0 shuttles</v>
      </c>
      <c r="I627" s="36">
        <f t="shared" si="20"/>
        <v>0</v>
      </c>
      <c r="J627" s="103" t="str">
        <f t="shared" si="21"/>
        <v>0 tubes and 0 shuttles</v>
      </c>
    </row>
    <row r="628" spans="1:10" ht="12.5" x14ac:dyDescent="0.25">
      <c r="A628" s="32">
        <f>'Profit &amp; Loss'!A628</f>
        <v>0</v>
      </c>
      <c r="B628" s="35">
        <f>'Profit &amp; Loss'!B628</f>
        <v>0</v>
      </c>
      <c r="C628" s="36"/>
      <c r="D628" s="33"/>
      <c r="E628" s="102">
        <f t="shared" si="22"/>
        <v>0</v>
      </c>
      <c r="F628" s="103" t="str">
        <f t="shared" si="18"/>
        <v>0 tubes and 0 shuttles</v>
      </c>
      <c r="G628" s="36">
        <f t="shared" si="23"/>
        <v>0</v>
      </c>
      <c r="H628" s="104" t="str">
        <f t="shared" si="19"/>
        <v>0 tubes and 0 shuttles</v>
      </c>
      <c r="I628" s="36">
        <f t="shared" si="20"/>
        <v>0</v>
      </c>
      <c r="J628" s="103" t="str">
        <f t="shared" si="21"/>
        <v>0 tubes and 0 shuttles</v>
      </c>
    </row>
    <row r="629" spans="1:10" ht="12.5" x14ac:dyDescent="0.25">
      <c r="A629" s="32">
        <f>'Profit &amp; Loss'!A629</f>
        <v>0</v>
      </c>
      <c r="B629" s="35">
        <f>'Profit &amp; Loss'!B629</f>
        <v>0</v>
      </c>
      <c r="C629" s="36"/>
      <c r="D629" s="33"/>
      <c r="E629" s="102">
        <f t="shared" si="22"/>
        <v>0</v>
      </c>
      <c r="F629" s="103" t="str">
        <f t="shared" si="18"/>
        <v>0 tubes and 0 shuttles</v>
      </c>
      <c r="G629" s="36">
        <f t="shared" si="23"/>
        <v>0</v>
      </c>
      <c r="H629" s="104" t="str">
        <f t="shared" si="19"/>
        <v>0 tubes and 0 shuttles</v>
      </c>
      <c r="I629" s="36">
        <f t="shared" si="20"/>
        <v>0</v>
      </c>
      <c r="J629" s="103" t="str">
        <f t="shared" si="21"/>
        <v>0 tubes and 0 shuttles</v>
      </c>
    </row>
    <row r="630" spans="1:10" ht="12.5" x14ac:dyDescent="0.25">
      <c r="A630" s="32">
        <f>'Profit &amp; Loss'!A630</f>
        <v>0</v>
      </c>
      <c r="B630" s="35">
        <f>'Profit &amp; Loss'!B630</f>
        <v>0</v>
      </c>
      <c r="C630" s="36"/>
      <c r="D630" s="33"/>
      <c r="E630" s="102">
        <f t="shared" si="22"/>
        <v>0</v>
      </c>
      <c r="F630" s="103" t="str">
        <f t="shared" si="18"/>
        <v>0 tubes and 0 shuttles</v>
      </c>
      <c r="G630" s="36">
        <f t="shared" si="23"/>
        <v>0</v>
      </c>
      <c r="H630" s="104" t="str">
        <f t="shared" si="19"/>
        <v>0 tubes and 0 shuttles</v>
      </c>
      <c r="I630" s="36">
        <f t="shared" si="20"/>
        <v>0</v>
      </c>
      <c r="J630" s="103" t="str">
        <f t="shared" si="21"/>
        <v>0 tubes and 0 shuttles</v>
      </c>
    </row>
    <row r="631" spans="1:10" ht="12.5" x14ac:dyDescent="0.25">
      <c r="A631" s="32">
        <f>'Profit &amp; Loss'!A631</f>
        <v>0</v>
      </c>
      <c r="B631" s="35">
        <f>'Profit &amp; Loss'!B631</f>
        <v>0</v>
      </c>
      <c r="C631" s="36"/>
      <c r="D631" s="33"/>
      <c r="E631" s="102">
        <f t="shared" si="22"/>
        <v>0</v>
      </c>
      <c r="F631" s="103" t="str">
        <f t="shared" si="18"/>
        <v>0 tubes and 0 shuttles</v>
      </c>
      <c r="G631" s="36">
        <f t="shared" si="23"/>
        <v>0</v>
      </c>
      <c r="H631" s="104" t="str">
        <f t="shared" si="19"/>
        <v>0 tubes and 0 shuttles</v>
      </c>
      <c r="I631" s="36">
        <f t="shared" si="20"/>
        <v>0</v>
      </c>
      <c r="J631" s="103" t="str">
        <f t="shared" si="21"/>
        <v>0 tubes and 0 shuttles</v>
      </c>
    </row>
    <row r="632" spans="1:10" ht="12.5" x14ac:dyDescent="0.25">
      <c r="A632" s="32">
        <f>'Profit &amp; Loss'!A632</f>
        <v>0</v>
      </c>
      <c r="B632" s="35">
        <f>'Profit &amp; Loss'!B632</f>
        <v>0</v>
      </c>
      <c r="C632" s="36"/>
      <c r="D632" s="33"/>
      <c r="E632" s="102">
        <f t="shared" si="22"/>
        <v>0</v>
      </c>
      <c r="F632" s="103" t="str">
        <f t="shared" si="18"/>
        <v>0 tubes and 0 shuttles</v>
      </c>
      <c r="G632" s="36">
        <f t="shared" si="23"/>
        <v>0</v>
      </c>
      <c r="H632" s="104" t="str">
        <f t="shared" si="19"/>
        <v>0 tubes and 0 shuttles</v>
      </c>
      <c r="I632" s="36">
        <f t="shared" si="20"/>
        <v>0</v>
      </c>
      <c r="J632" s="103" t="str">
        <f t="shared" si="21"/>
        <v>0 tubes and 0 shuttles</v>
      </c>
    </row>
    <row r="633" spans="1:10" ht="12.5" x14ac:dyDescent="0.25">
      <c r="A633" s="32">
        <f>'Profit &amp; Loss'!A633</f>
        <v>0</v>
      </c>
      <c r="B633" s="35">
        <f>'Profit &amp; Loss'!B633</f>
        <v>0</v>
      </c>
      <c r="C633" s="36"/>
      <c r="D633" s="33"/>
      <c r="E633" s="102">
        <f t="shared" si="22"/>
        <v>0</v>
      </c>
      <c r="F633" s="103" t="str">
        <f t="shared" si="18"/>
        <v>0 tubes and 0 shuttles</v>
      </c>
      <c r="G633" s="36">
        <f t="shared" si="23"/>
        <v>0</v>
      </c>
      <c r="H633" s="104" t="str">
        <f t="shared" si="19"/>
        <v>0 tubes and 0 shuttles</v>
      </c>
      <c r="I633" s="36">
        <f t="shared" si="20"/>
        <v>0</v>
      </c>
      <c r="J633" s="103" t="str">
        <f t="shared" si="21"/>
        <v>0 tubes and 0 shuttles</v>
      </c>
    </row>
    <row r="634" spans="1:10" ht="12.5" x14ac:dyDescent="0.25">
      <c r="A634" s="32">
        <f>'Profit &amp; Loss'!A634</f>
        <v>0</v>
      </c>
      <c r="B634" s="35">
        <f>'Profit &amp; Loss'!B634</f>
        <v>0</v>
      </c>
      <c r="C634" s="36"/>
      <c r="D634" s="33"/>
      <c r="E634" s="102">
        <f t="shared" si="22"/>
        <v>0</v>
      </c>
      <c r="F634" s="103" t="str">
        <f t="shared" si="18"/>
        <v>0 tubes and 0 shuttles</v>
      </c>
      <c r="G634" s="36">
        <f t="shared" si="23"/>
        <v>0</v>
      </c>
      <c r="H634" s="104" t="str">
        <f t="shared" si="19"/>
        <v>0 tubes and 0 shuttles</v>
      </c>
      <c r="I634" s="36">
        <f t="shared" si="20"/>
        <v>0</v>
      </c>
      <c r="J634" s="103" t="str">
        <f t="shared" si="21"/>
        <v>0 tubes and 0 shuttles</v>
      </c>
    </row>
    <row r="635" spans="1:10" ht="12.5" x14ac:dyDescent="0.25">
      <c r="A635" s="32">
        <f>'Profit &amp; Loss'!A635</f>
        <v>0</v>
      </c>
      <c r="B635" s="35">
        <f>'Profit &amp; Loss'!B635</f>
        <v>0</v>
      </c>
      <c r="C635" s="36"/>
      <c r="D635" s="33"/>
      <c r="E635" s="102">
        <f t="shared" si="22"/>
        <v>0</v>
      </c>
      <c r="F635" s="103" t="str">
        <f t="shared" si="18"/>
        <v>0 tubes and 0 shuttles</v>
      </c>
      <c r="G635" s="36">
        <f t="shared" si="23"/>
        <v>0</v>
      </c>
      <c r="H635" s="104" t="str">
        <f t="shared" si="19"/>
        <v>0 tubes and 0 shuttles</v>
      </c>
      <c r="I635" s="36">
        <f t="shared" si="20"/>
        <v>0</v>
      </c>
      <c r="J635" s="103" t="str">
        <f t="shared" si="21"/>
        <v>0 tubes and 0 shuttles</v>
      </c>
    </row>
    <row r="636" spans="1:10" ht="12.5" x14ac:dyDescent="0.25">
      <c r="A636" s="32">
        <f>'Profit &amp; Loss'!A636</f>
        <v>0</v>
      </c>
      <c r="B636" s="35">
        <f>'Profit &amp; Loss'!B636</f>
        <v>0</v>
      </c>
      <c r="C636" s="36"/>
      <c r="D636" s="33"/>
      <c r="E636" s="102">
        <f t="shared" si="22"/>
        <v>0</v>
      </c>
      <c r="F636" s="103" t="str">
        <f t="shared" si="18"/>
        <v>0 tubes and 0 shuttles</v>
      </c>
      <c r="G636" s="36">
        <f t="shared" si="23"/>
        <v>0</v>
      </c>
      <c r="H636" s="104" t="str">
        <f t="shared" si="19"/>
        <v>0 tubes and 0 shuttles</v>
      </c>
      <c r="I636" s="36">
        <f t="shared" si="20"/>
        <v>0</v>
      </c>
      <c r="J636" s="103" t="str">
        <f t="shared" si="21"/>
        <v>0 tubes and 0 shuttles</v>
      </c>
    </row>
    <row r="637" spans="1:10" ht="12.5" x14ac:dyDescent="0.25">
      <c r="A637" s="32">
        <f>'Profit &amp; Loss'!A637</f>
        <v>0</v>
      </c>
      <c r="B637" s="35">
        <f>'Profit &amp; Loss'!B637</f>
        <v>0</v>
      </c>
      <c r="C637" s="36"/>
      <c r="D637" s="33"/>
      <c r="E637" s="102">
        <f t="shared" si="22"/>
        <v>0</v>
      </c>
      <c r="F637" s="103" t="str">
        <f t="shared" si="18"/>
        <v>0 tubes and 0 shuttles</v>
      </c>
      <c r="G637" s="36">
        <f t="shared" si="23"/>
        <v>0</v>
      </c>
      <c r="H637" s="104" t="str">
        <f t="shared" si="19"/>
        <v>0 tubes and 0 shuttles</v>
      </c>
      <c r="I637" s="36">
        <f t="shared" si="20"/>
        <v>0</v>
      </c>
      <c r="J637" s="103" t="str">
        <f t="shared" si="21"/>
        <v>0 tubes and 0 shuttles</v>
      </c>
    </row>
    <row r="638" spans="1:10" ht="12.5" x14ac:dyDescent="0.25">
      <c r="A638" s="32">
        <f>'Profit &amp; Loss'!A638</f>
        <v>0</v>
      </c>
      <c r="B638" s="35">
        <f>'Profit &amp; Loss'!B638</f>
        <v>0</v>
      </c>
      <c r="C638" s="36"/>
      <c r="D638" s="33"/>
      <c r="E638" s="102">
        <f t="shared" si="22"/>
        <v>0</v>
      </c>
      <c r="F638" s="103" t="str">
        <f t="shared" si="18"/>
        <v>0 tubes and 0 shuttles</v>
      </c>
      <c r="G638" s="36">
        <f t="shared" si="23"/>
        <v>0</v>
      </c>
      <c r="H638" s="104" t="str">
        <f t="shared" si="19"/>
        <v>0 tubes and 0 shuttles</v>
      </c>
      <c r="I638" s="36">
        <f t="shared" si="20"/>
        <v>0</v>
      </c>
      <c r="J638" s="103" t="str">
        <f t="shared" si="21"/>
        <v>0 tubes and 0 shuttles</v>
      </c>
    </row>
    <row r="639" spans="1:10" ht="12.5" x14ac:dyDescent="0.25">
      <c r="A639" s="32">
        <f>'Profit &amp; Loss'!A639</f>
        <v>0</v>
      </c>
      <c r="B639" s="35">
        <f>'Profit &amp; Loss'!B639</f>
        <v>0</v>
      </c>
      <c r="C639" s="36"/>
      <c r="D639" s="33"/>
      <c r="E639" s="102">
        <f t="shared" si="22"/>
        <v>0</v>
      </c>
      <c r="F639" s="103" t="str">
        <f t="shared" si="18"/>
        <v>0 tubes and 0 shuttles</v>
      </c>
      <c r="G639" s="36">
        <f t="shared" si="23"/>
        <v>0</v>
      </c>
      <c r="H639" s="104" t="str">
        <f t="shared" si="19"/>
        <v>0 tubes and 0 shuttles</v>
      </c>
      <c r="I639" s="36">
        <f t="shared" si="20"/>
        <v>0</v>
      </c>
      <c r="J639" s="103" t="str">
        <f t="shared" si="21"/>
        <v>0 tubes and 0 shuttles</v>
      </c>
    </row>
    <row r="640" spans="1:10" ht="12.5" x14ac:dyDescent="0.25">
      <c r="A640" s="32">
        <f>'Profit &amp; Loss'!A640</f>
        <v>0</v>
      </c>
      <c r="B640" s="35">
        <f>'Profit &amp; Loss'!B640</f>
        <v>0</v>
      </c>
      <c r="C640" s="36"/>
      <c r="D640" s="33"/>
      <c r="E640" s="102">
        <f t="shared" si="22"/>
        <v>0</v>
      </c>
      <c r="F640" s="103" t="str">
        <f t="shared" si="18"/>
        <v>0 tubes and 0 shuttles</v>
      </c>
      <c r="G640" s="36">
        <f t="shared" si="23"/>
        <v>0</v>
      </c>
      <c r="H640" s="104" t="str">
        <f t="shared" si="19"/>
        <v>0 tubes and 0 shuttles</v>
      </c>
      <c r="I640" s="36">
        <f t="shared" si="20"/>
        <v>0</v>
      </c>
      <c r="J640" s="103" t="str">
        <f t="shared" si="21"/>
        <v>0 tubes and 0 shuttles</v>
      </c>
    </row>
    <row r="641" spans="1:10" ht="12.5" x14ac:dyDescent="0.25">
      <c r="A641" s="32">
        <f>'Profit &amp; Loss'!A641</f>
        <v>0</v>
      </c>
      <c r="B641" s="35">
        <f>'Profit &amp; Loss'!B641</f>
        <v>0</v>
      </c>
      <c r="C641" s="36"/>
      <c r="D641" s="33"/>
      <c r="E641" s="102">
        <f t="shared" si="22"/>
        <v>0</v>
      </c>
      <c r="F641" s="103" t="str">
        <f t="shared" si="18"/>
        <v>0 tubes and 0 shuttles</v>
      </c>
      <c r="G641" s="36">
        <f t="shared" si="23"/>
        <v>0</v>
      </c>
      <c r="H641" s="104" t="str">
        <f t="shared" si="19"/>
        <v>0 tubes and 0 shuttles</v>
      </c>
      <c r="I641" s="36">
        <f t="shared" si="20"/>
        <v>0</v>
      </c>
      <c r="J641" s="103" t="str">
        <f t="shared" si="21"/>
        <v>0 tubes and 0 shuttles</v>
      </c>
    </row>
    <row r="642" spans="1:10" ht="12.5" x14ac:dyDescent="0.25">
      <c r="A642" s="32">
        <f>'Profit &amp; Loss'!A642</f>
        <v>0</v>
      </c>
      <c r="B642" s="35">
        <f>'Profit &amp; Loss'!B642</f>
        <v>0</v>
      </c>
      <c r="C642" s="36"/>
      <c r="D642" s="33"/>
      <c r="E642" s="102">
        <f t="shared" si="22"/>
        <v>0</v>
      </c>
      <c r="F642" s="103" t="str">
        <f t="shared" si="18"/>
        <v>0 tubes and 0 shuttles</v>
      </c>
      <c r="G642" s="36">
        <f t="shared" si="23"/>
        <v>0</v>
      </c>
      <c r="H642" s="104" t="str">
        <f t="shared" si="19"/>
        <v>0 tubes and 0 shuttles</v>
      </c>
      <c r="I642" s="36">
        <f t="shared" si="20"/>
        <v>0</v>
      </c>
      <c r="J642" s="103" t="str">
        <f t="shared" si="21"/>
        <v>0 tubes and 0 shuttles</v>
      </c>
    </row>
    <row r="643" spans="1:10" ht="12.5" x14ac:dyDescent="0.25">
      <c r="A643" s="32">
        <f>'Profit &amp; Loss'!A643</f>
        <v>0</v>
      </c>
      <c r="B643" s="35">
        <f>'Profit &amp; Loss'!B643</f>
        <v>0</v>
      </c>
      <c r="C643" s="36"/>
      <c r="D643" s="33"/>
      <c r="E643" s="102">
        <f t="shared" si="22"/>
        <v>0</v>
      </c>
      <c r="F643" s="103" t="str">
        <f t="shared" si="18"/>
        <v>0 tubes and 0 shuttles</v>
      </c>
      <c r="G643" s="36">
        <f t="shared" si="23"/>
        <v>0</v>
      </c>
      <c r="H643" s="104" t="str">
        <f t="shared" si="19"/>
        <v>0 tubes and 0 shuttles</v>
      </c>
      <c r="I643" s="36">
        <f t="shared" si="20"/>
        <v>0</v>
      </c>
      <c r="J643" s="103" t="str">
        <f t="shared" si="21"/>
        <v>0 tubes and 0 shuttles</v>
      </c>
    </row>
    <row r="644" spans="1:10" ht="12.5" x14ac:dyDescent="0.25">
      <c r="A644" s="32">
        <f>'Profit &amp; Loss'!A644</f>
        <v>0</v>
      </c>
      <c r="B644" s="35">
        <f>'Profit &amp; Loss'!B644</f>
        <v>0</v>
      </c>
      <c r="C644" s="36"/>
      <c r="D644" s="33"/>
      <c r="E644" s="102">
        <f t="shared" si="22"/>
        <v>0</v>
      </c>
      <c r="F644" s="103" t="str">
        <f t="shared" si="18"/>
        <v>0 tubes and 0 shuttles</v>
      </c>
      <c r="G644" s="36">
        <f t="shared" si="23"/>
        <v>0</v>
      </c>
      <c r="H644" s="104" t="str">
        <f t="shared" si="19"/>
        <v>0 tubes and 0 shuttles</v>
      </c>
      <c r="I644" s="36">
        <f t="shared" si="20"/>
        <v>0</v>
      </c>
      <c r="J644" s="103" t="str">
        <f t="shared" si="21"/>
        <v>0 tubes and 0 shuttles</v>
      </c>
    </row>
    <row r="645" spans="1:10" ht="12.5" x14ac:dyDescent="0.25">
      <c r="A645" s="32">
        <f>'Profit &amp; Loss'!A645</f>
        <v>0</v>
      </c>
      <c r="B645" s="35">
        <f>'Profit &amp; Loss'!B645</f>
        <v>0</v>
      </c>
      <c r="C645" s="36"/>
      <c r="D645" s="33"/>
      <c r="E645" s="102">
        <f t="shared" si="22"/>
        <v>0</v>
      </c>
      <c r="F645" s="103" t="str">
        <f t="shared" si="18"/>
        <v>0 tubes and 0 shuttles</v>
      </c>
      <c r="G645" s="36">
        <f t="shared" si="23"/>
        <v>0</v>
      </c>
      <c r="H645" s="104" t="str">
        <f t="shared" si="19"/>
        <v>0 tubes and 0 shuttles</v>
      </c>
      <c r="I645" s="36">
        <f t="shared" si="20"/>
        <v>0</v>
      </c>
      <c r="J645" s="103" t="str">
        <f t="shared" si="21"/>
        <v>0 tubes and 0 shuttles</v>
      </c>
    </row>
    <row r="646" spans="1:10" ht="12.5" x14ac:dyDescent="0.25">
      <c r="A646" s="32">
        <f>'Profit &amp; Loss'!A646</f>
        <v>0</v>
      </c>
      <c r="B646" s="35">
        <f>'Profit &amp; Loss'!B646</f>
        <v>0</v>
      </c>
      <c r="C646" s="36"/>
      <c r="D646" s="33"/>
      <c r="E646" s="102">
        <f t="shared" si="22"/>
        <v>0</v>
      </c>
      <c r="F646" s="103" t="str">
        <f t="shared" si="18"/>
        <v>0 tubes and 0 shuttles</v>
      </c>
      <c r="G646" s="36">
        <f t="shared" si="23"/>
        <v>0</v>
      </c>
      <c r="H646" s="104" t="str">
        <f t="shared" si="19"/>
        <v>0 tubes and 0 shuttles</v>
      </c>
      <c r="I646" s="36">
        <f t="shared" si="20"/>
        <v>0</v>
      </c>
      <c r="J646" s="103" t="str">
        <f t="shared" si="21"/>
        <v>0 tubes and 0 shuttles</v>
      </c>
    </row>
    <row r="647" spans="1:10" ht="12.5" x14ac:dyDescent="0.25">
      <c r="A647" s="32">
        <f>'Profit &amp; Loss'!A647</f>
        <v>0</v>
      </c>
      <c r="B647" s="35">
        <f>'Profit &amp; Loss'!B647</f>
        <v>0</v>
      </c>
      <c r="C647" s="36"/>
      <c r="D647" s="33"/>
      <c r="E647" s="102">
        <f t="shared" si="22"/>
        <v>0</v>
      </c>
      <c r="F647" s="103" t="str">
        <f t="shared" si="18"/>
        <v>0 tubes and 0 shuttles</v>
      </c>
      <c r="G647" s="36">
        <f t="shared" si="23"/>
        <v>0</v>
      </c>
      <c r="H647" s="104" t="str">
        <f t="shared" si="19"/>
        <v>0 tubes and 0 shuttles</v>
      </c>
      <c r="I647" s="36">
        <f t="shared" si="20"/>
        <v>0</v>
      </c>
      <c r="J647" s="103" t="str">
        <f t="shared" si="21"/>
        <v>0 tubes and 0 shuttles</v>
      </c>
    </row>
    <row r="648" spans="1:10" ht="12.5" x14ac:dyDescent="0.25">
      <c r="A648" s="32">
        <f>'Profit &amp; Loss'!A648</f>
        <v>0</v>
      </c>
      <c r="B648" s="35">
        <f>'Profit &amp; Loss'!B648</f>
        <v>0</v>
      </c>
      <c r="C648" s="36"/>
      <c r="D648" s="33"/>
      <c r="E648" s="102">
        <f t="shared" si="22"/>
        <v>0</v>
      </c>
      <c r="F648" s="103" t="str">
        <f t="shared" si="18"/>
        <v>0 tubes and 0 shuttles</v>
      </c>
      <c r="G648" s="36">
        <f t="shared" si="23"/>
        <v>0</v>
      </c>
      <c r="H648" s="104" t="str">
        <f t="shared" si="19"/>
        <v>0 tubes and 0 shuttles</v>
      </c>
      <c r="I648" s="36">
        <f t="shared" si="20"/>
        <v>0</v>
      </c>
      <c r="J648" s="103" t="str">
        <f t="shared" si="21"/>
        <v>0 tubes and 0 shuttles</v>
      </c>
    </row>
    <row r="649" spans="1:10" ht="12.5" x14ac:dyDescent="0.25">
      <c r="A649" s="32">
        <f>'Profit &amp; Loss'!A649</f>
        <v>0</v>
      </c>
      <c r="B649" s="35">
        <f>'Profit &amp; Loss'!B649</f>
        <v>0</v>
      </c>
      <c r="C649" s="36"/>
      <c r="D649" s="33"/>
      <c r="E649" s="102">
        <f t="shared" si="22"/>
        <v>0</v>
      </c>
      <c r="F649" s="103" t="str">
        <f t="shared" si="18"/>
        <v>0 tubes and 0 shuttles</v>
      </c>
      <c r="G649" s="36">
        <f t="shared" si="23"/>
        <v>0</v>
      </c>
      <c r="H649" s="104" t="str">
        <f t="shared" si="19"/>
        <v>0 tubes and 0 shuttles</v>
      </c>
      <c r="I649" s="36">
        <f t="shared" si="20"/>
        <v>0</v>
      </c>
      <c r="J649" s="103" t="str">
        <f t="shared" si="21"/>
        <v>0 tubes and 0 shuttles</v>
      </c>
    </row>
    <row r="650" spans="1:10" ht="12.5" x14ac:dyDescent="0.25">
      <c r="A650" s="32">
        <f>'Profit &amp; Loss'!A650</f>
        <v>0</v>
      </c>
      <c r="B650" s="35">
        <f>'Profit &amp; Loss'!B650</f>
        <v>0</v>
      </c>
      <c r="C650" s="36"/>
      <c r="D650" s="33"/>
      <c r="E650" s="102">
        <f t="shared" si="22"/>
        <v>0</v>
      </c>
      <c r="F650" s="103" t="str">
        <f t="shared" si="18"/>
        <v>0 tubes and 0 shuttles</v>
      </c>
      <c r="G650" s="36">
        <f t="shared" si="23"/>
        <v>0</v>
      </c>
      <c r="H650" s="104" t="str">
        <f t="shared" si="19"/>
        <v>0 tubes and 0 shuttles</v>
      </c>
      <c r="I650" s="36">
        <f t="shared" si="20"/>
        <v>0</v>
      </c>
      <c r="J650" s="103" t="str">
        <f t="shared" si="21"/>
        <v>0 tubes and 0 shuttles</v>
      </c>
    </row>
    <row r="651" spans="1:10" ht="12.5" x14ac:dyDescent="0.25">
      <c r="A651" s="32">
        <f>'Profit &amp; Loss'!A651</f>
        <v>0</v>
      </c>
      <c r="B651" s="35">
        <f>'Profit &amp; Loss'!B651</f>
        <v>0</v>
      </c>
      <c r="C651" s="36"/>
      <c r="D651" s="33"/>
      <c r="E651" s="102">
        <f t="shared" si="22"/>
        <v>0</v>
      </c>
      <c r="F651" s="103" t="str">
        <f t="shared" si="18"/>
        <v>0 tubes and 0 shuttles</v>
      </c>
      <c r="G651" s="36">
        <f t="shared" si="23"/>
        <v>0</v>
      </c>
      <c r="H651" s="104" t="str">
        <f t="shared" si="19"/>
        <v>0 tubes and 0 shuttles</v>
      </c>
      <c r="I651" s="36">
        <f t="shared" si="20"/>
        <v>0</v>
      </c>
      <c r="J651" s="103" t="str">
        <f t="shared" si="21"/>
        <v>0 tubes and 0 shuttles</v>
      </c>
    </row>
    <row r="652" spans="1:10" ht="12.5" x14ac:dyDescent="0.25">
      <c r="A652" s="32">
        <f>'Profit &amp; Loss'!A652</f>
        <v>0</v>
      </c>
      <c r="B652" s="35">
        <f>'Profit &amp; Loss'!B652</f>
        <v>0</v>
      </c>
      <c r="C652" s="36"/>
      <c r="D652" s="33"/>
      <c r="E652" s="102">
        <f t="shared" si="22"/>
        <v>0</v>
      </c>
      <c r="F652" s="103" t="str">
        <f t="shared" si="18"/>
        <v>0 tubes and 0 shuttles</v>
      </c>
      <c r="G652" s="36">
        <f t="shared" si="23"/>
        <v>0</v>
      </c>
      <c r="H652" s="104" t="str">
        <f t="shared" si="19"/>
        <v>0 tubes and 0 shuttles</v>
      </c>
      <c r="I652" s="36">
        <f t="shared" si="20"/>
        <v>0</v>
      </c>
      <c r="J652" s="103" t="str">
        <f t="shared" si="21"/>
        <v>0 tubes and 0 shuttles</v>
      </c>
    </row>
    <row r="653" spans="1:10" ht="12.5" x14ac:dyDescent="0.25">
      <c r="A653" s="32">
        <f>'Profit &amp; Loss'!A653</f>
        <v>0</v>
      </c>
      <c r="B653" s="35">
        <f>'Profit &amp; Loss'!B653</f>
        <v>0</v>
      </c>
      <c r="C653" s="36"/>
      <c r="D653" s="33"/>
      <c r="E653" s="102">
        <f t="shared" si="22"/>
        <v>0</v>
      </c>
      <c r="F653" s="103" t="str">
        <f t="shared" si="18"/>
        <v>0 tubes and 0 shuttles</v>
      </c>
      <c r="G653" s="36">
        <f t="shared" si="23"/>
        <v>0</v>
      </c>
      <c r="H653" s="104" t="str">
        <f t="shared" si="19"/>
        <v>0 tubes and 0 shuttles</v>
      </c>
      <c r="I653" s="36">
        <f t="shared" si="20"/>
        <v>0</v>
      </c>
      <c r="J653" s="103" t="str">
        <f t="shared" si="21"/>
        <v>0 tubes and 0 shuttles</v>
      </c>
    </row>
    <row r="654" spans="1:10" ht="12.5" x14ac:dyDescent="0.25">
      <c r="A654" s="32">
        <f>'Profit &amp; Loss'!A654</f>
        <v>0</v>
      </c>
      <c r="B654" s="35">
        <f>'Profit &amp; Loss'!B654</f>
        <v>0</v>
      </c>
      <c r="C654" s="36"/>
      <c r="D654" s="33"/>
      <c r="E654" s="102">
        <f t="shared" si="22"/>
        <v>0</v>
      </c>
      <c r="F654" s="103" t="str">
        <f t="shared" si="18"/>
        <v>0 tubes and 0 shuttles</v>
      </c>
      <c r="G654" s="36">
        <f t="shared" si="23"/>
        <v>0</v>
      </c>
      <c r="H654" s="104" t="str">
        <f t="shared" si="19"/>
        <v>0 tubes and 0 shuttles</v>
      </c>
      <c r="I654" s="36">
        <f t="shared" si="20"/>
        <v>0</v>
      </c>
      <c r="J654" s="103" t="str">
        <f t="shared" si="21"/>
        <v>0 tubes and 0 shuttles</v>
      </c>
    </row>
    <row r="655" spans="1:10" ht="12.5" x14ac:dyDescent="0.25">
      <c r="A655" s="32">
        <f>'Profit &amp; Loss'!A655</f>
        <v>0</v>
      </c>
      <c r="B655" s="35">
        <f>'Profit &amp; Loss'!B655</f>
        <v>0</v>
      </c>
      <c r="C655" s="36"/>
      <c r="D655" s="33"/>
      <c r="E655" s="102">
        <f t="shared" si="22"/>
        <v>0</v>
      </c>
      <c r="F655" s="103" t="str">
        <f t="shared" si="18"/>
        <v>0 tubes and 0 shuttles</v>
      </c>
      <c r="G655" s="36">
        <f t="shared" si="23"/>
        <v>0</v>
      </c>
      <c r="H655" s="104" t="str">
        <f t="shared" si="19"/>
        <v>0 tubes and 0 shuttles</v>
      </c>
      <c r="I655" s="36">
        <f t="shared" si="20"/>
        <v>0</v>
      </c>
      <c r="J655" s="103" t="str">
        <f t="shared" si="21"/>
        <v>0 tubes and 0 shuttles</v>
      </c>
    </row>
    <row r="656" spans="1:10" ht="12.5" x14ac:dyDescent="0.25">
      <c r="A656" s="32">
        <f>'Profit &amp; Loss'!A656</f>
        <v>0</v>
      </c>
      <c r="B656" s="35">
        <f>'Profit &amp; Loss'!B656</f>
        <v>0</v>
      </c>
      <c r="C656" s="36"/>
      <c r="D656" s="33"/>
      <c r="E656" s="102">
        <f t="shared" si="22"/>
        <v>0</v>
      </c>
      <c r="F656" s="103" t="str">
        <f t="shared" si="18"/>
        <v>0 tubes and 0 shuttles</v>
      </c>
      <c r="G656" s="36">
        <f t="shared" si="23"/>
        <v>0</v>
      </c>
      <c r="H656" s="104" t="str">
        <f t="shared" si="19"/>
        <v>0 tubes and 0 shuttles</v>
      </c>
      <c r="I656" s="36">
        <f t="shared" si="20"/>
        <v>0</v>
      </c>
      <c r="J656" s="103" t="str">
        <f t="shared" si="21"/>
        <v>0 tubes and 0 shuttles</v>
      </c>
    </row>
    <row r="657" spans="1:10" ht="12.5" x14ac:dyDescent="0.25">
      <c r="A657" s="32">
        <f>'Profit &amp; Loss'!A657</f>
        <v>0</v>
      </c>
      <c r="B657" s="35">
        <f>'Profit &amp; Loss'!B657</f>
        <v>0</v>
      </c>
      <c r="C657" s="36"/>
      <c r="D657" s="33"/>
      <c r="E657" s="102">
        <f t="shared" si="22"/>
        <v>0</v>
      </c>
      <c r="F657" s="103" t="str">
        <f t="shared" si="18"/>
        <v>0 tubes and 0 shuttles</v>
      </c>
      <c r="G657" s="36">
        <f t="shared" si="23"/>
        <v>0</v>
      </c>
      <c r="H657" s="104" t="str">
        <f t="shared" si="19"/>
        <v>0 tubes and 0 shuttles</v>
      </c>
      <c r="I657" s="36">
        <f t="shared" si="20"/>
        <v>0</v>
      </c>
      <c r="J657" s="103" t="str">
        <f t="shared" si="21"/>
        <v>0 tubes and 0 shuttles</v>
      </c>
    </row>
    <row r="658" spans="1:10" ht="12.5" x14ac:dyDescent="0.25">
      <c r="A658" s="32">
        <f>'Profit &amp; Loss'!A658</f>
        <v>0</v>
      </c>
      <c r="B658" s="35">
        <f>'Profit &amp; Loss'!B658</f>
        <v>0</v>
      </c>
      <c r="C658" s="36"/>
      <c r="D658" s="33"/>
      <c r="E658" s="102">
        <f t="shared" si="22"/>
        <v>0</v>
      </c>
      <c r="F658" s="103" t="str">
        <f t="shared" si="18"/>
        <v>0 tubes and 0 shuttles</v>
      </c>
      <c r="G658" s="36">
        <f t="shared" si="23"/>
        <v>0</v>
      </c>
      <c r="H658" s="104" t="str">
        <f t="shared" si="19"/>
        <v>0 tubes and 0 shuttles</v>
      </c>
      <c r="I658" s="36">
        <f t="shared" si="20"/>
        <v>0</v>
      </c>
      <c r="J658" s="103" t="str">
        <f t="shared" si="21"/>
        <v>0 tubes and 0 shuttles</v>
      </c>
    </row>
    <row r="659" spans="1:10" ht="12.5" x14ac:dyDescent="0.25">
      <c r="A659" s="32">
        <f>'Profit &amp; Loss'!A659</f>
        <v>0</v>
      </c>
      <c r="B659" s="35">
        <f>'Profit &amp; Loss'!B659</f>
        <v>0</v>
      </c>
      <c r="C659" s="36"/>
      <c r="D659" s="33"/>
      <c r="E659" s="102">
        <f t="shared" si="22"/>
        <v>0</v>
      </c>
      <c r="F659" s="103" t="str">
        <f t="shared" si="18"/>
        <v>0 tubes and 0 shuttles</v>
      </c>
      <c r="G659" s="36">
        <f t="shared" si="23"/>
        <v>0</v>
      </c>
      <c r="H659" s="104" t="str">
        <f t="shared" si="19"/>
        <v>0 tubes and 0 shuttles</v>
      </c>
      <c r="I659" s="36">
        <f t="shared" si="20"/>
        <v>0</v>
      </c>
      <c r="J659" s="103" t="str">
        <f t="shared" si="21"/>
        <v>0 tubes and 0 shuttles</v>
      </c>
    </row>
    <row r="660" spans="1:10" ht="12.5" x14ac:dyDescent="0.25">
      <c r="A660" s="32">
        <f>'Profit &amp; Loss'!A660</f>
        <v>0</v>
      </c>
      <c r="B660" s="35">
        <f>'Profit &amp; Loss'!B660</f>
        <v>0</v>
      </c>
      <c r="C660" s="36"/>
      <c r="D660" s="33"/>
      <c r="E660" s="102">
        <f t="shared" si="22"/>
        <v>0</v>
      </c>
      <c r="F660" s="103" t="str">
        <f t="shared" si="18"/>
        <v>0 tubes and 0 shuttles</v>
      </c>
      <c r="G660" s="36">
        <f t="shared" si="23"/>
        <v>0</v>
      </c>
      <c r="H660" s="104" t="str">
        <f t="shared" si="19"/>
        <v>0 tubes and 0 shuttles</v>
      </c>
      <c r="I660" s="36">
        <f t="shared" si="20"/>
        <v>0</v>
      </c>
      <c r="J660" s="103" t="str">
        <f t="shared" si="21"/>
        <v>0 tubes and 0 shuttles</v>
      </c>
    </row>
    <row r="661" spans="1:10" ht="12.5" x14ac:dyDescent="0.25">
      <c r="A661" s="32">
        <f>'Profit &amp; Loss'!A661</f>
        <v>0</v>
      </c>
      <c r="B661" s="35">
        <f>'Profit &amp; Loss'!B661</f>
        <v>0</v>
      </c>
      <c r="C661" s="36"/>
      <c r="D661" s="33"/>
      <c r="E661" s="102">
        <f t="shared" si="22"/>
        <v>0</v>
      </c>
      <c r="F661" s="103" t="str">
        <f t="shared" si="18"/>
        <v>0 tubes and 0 shuttles</v>
      </c>
      <c r="G661" s="36">
        <f t="shared" si="23"/>
        <v>0</v>
      </c>
      <c r="H661" s="104" t="str">
        <f t="shared" si="19"/>
        <v>0 tubes and 0 shuttles</v>
      </c>
      <c r="I661" s="36">
        <f t="shared" si="20"/>
        <v>0</v>
      </c>
      <c r="J661" s="103" t="str">
        <f t="shared" si="21"/>
        <v>0 tubes and 0 shuttles</v>
      </c>
    </row>
    <row r="662" spans="1:10" ht="12.5" x14ac:dyDescent="0.25">
      <c r="A662" s="32">
        <f>'Profit &amp; Loss'!A662</f>
        <v>0</v>
      </c>
      <c r="B662" s="35">
        <f>'Profit &amp; Loss'!B662</f>
        <v>0</v>
      </c>
      <c r="C662" s="36"/>
      <c r="D662" s="33"/>
      <c r="E662" s="102">
        <f t="shared" si="22"/>
        <v>0</v>
      </c>
      <c r="F662" s="103" t="str">
        <f t="shared" si="18"/>
        <v>0 tubes and 0 shuttles</v>
      </c>
      <c r="G662" s="36">
        <f t="shared" si="23"/>
        <v>0</v>
      </c>
      <c r="H662" s="104" t="str">
        <f t="shared" si="19"/>
        <v>0 tubes and 0 shuttles</v>
      </c>
      <c r="I662" s="36">
        <f t="shared" si="20"/>
        <v>0</v>
      </c>
      <c r="J662" s="103" t="str">
        <f t="shared" si="21"/>
        <v>0 tubes and 0 shuttles</v>
      </c>
    </row>
    <row r="663" spans="1:10" ht="12.5" x14ac:dyDescent="0.25">
      <c r="A663" s="32">
        <f>'Profit &amp; Loss'!A663</f>
        <v>0</v>
      </c>
      <c r="B663" s="35">
        <f>'Profit &amp; Loss'!B663</f>
        <v>0</v>
      </c>
      <c r="C663" s="36"/>
      <c r="D663" s="33"/>
      <c r="E663" s="102">
        <f t="shared" si="22"/>
        <v>0</v>
      </c>
      <c r="F663" s="103" t="str">
        <f t="shared" si="18"/>
        <v>0 tubes and 0 shuttles</v>
      </c>
      <c r="G663" s="36">
        <f t="shared" si="23"/>
        <v>0</v>
      </c>
      <c r="H663" s="104" t="str">
        <f t="shared" si="19"/>
        <v>0 tubes and 0 shuttles</v>
      </c>
      <c r="I663" s="36">
        <f t="shared" si="20"/>
        <v>0</v>
      </c>
      <c r="J663" s="103" t="str">
        <f t="shared" si="21"/>
        <v>0 tubes and 0 shuttles</v>
      </c>
    </row>
    <row r="664" spans="1:10" ht="12.5" x14ac:dyDescent="0.25">
      <c r="A664" s="32">
        <f>'Profit &amp; Loss'!A664</f>
        <v>0</v>
      </c>
      <c r="B664" s="35">
        <f>'Profit &amp; Loss'!B664</f>
        <v>0</v>
      </c>
      <c r="C664" s="36"/>
      <c r="D664" s="33"/>
      <c r="E664" s="102">
        <f t="shared" si="22"/>
        <v>0</v>
      </c>
      <c r="F664" s="103" t="str">
        <f t="shared" si="18"/>
        <v>0 tubes and 0 shuttles</v>
      </c>
      <c r="G664" s="36">
        <f t="shared" si="23"/>
        <v>0</v>
      </c>
      <c r="H664" s="104" t="str">
        <f t="shared" si="19"/>
        <v>0 tubes and 0 shuttles</v>
      </c>
      <c r="I664" s="36">
        <f t="shared" si="20"/>
        <v>0</v>
      </c>
      <c r="J664" s="103" t="str">
        <f t="shared" si="21"/>
        <v>0 tubes and 0 shuttles</v>
      </c>
    </row>
    <row r="665" spans="1:10" ht="12.5" x14ac:dyDescent="0.25">
      <c r="A665" s="32">
        <f>'Profit &amp; Loss'!A665</f>
        <v>0</v>
      </c>
      <c r="B665" s="35">
        <f>'Profit &amp; Loss'!B665</f>
        <v>0</v>
      </c>
      <c r="C665" s="36"/>
      <c r="D665" s="33"/>
      <c r="E665" s="102">
        <f t="shared" si="22"/>
        <v>0</v>
      </c>
      <c r="F665" s="103" t="str">
        <f t="shared" si="18"/>
        <v>0 tubes and 0 shuttles</v>
      </c>
      <c r="G665" s="36">
        <f t="shared" si="23"/>
        <v>0</v>
      </c>
      <c r="H665" s="104" t="str">
        <f t="shared" si="19"/>
        <v>0 tubes and 0 shuttles</v>
      </c>
      <c r="I665" s="36">
        <f t="shared" si="20"/>
        <v>0</v>
      </c>
      <c r="J665" s="103" t="str">
        <f t="shared" si="21"/>
        <v>0 tubes and 0 shuttles</v>
      </c>
    </row>
    <row r="666" spans="1:10" ht="12.5" x14ac:dyDescent="0.25">
      <c r="A666" s="32">
        <f>'Profit &amp; Loss'!A666</f>
        <v>0</v>
      </c>
      <c r="B666" s="35">
        <f>'Profit &amp; Loss'!B666</f>
        <v>0</v>
      </c>
      <c r="C666" s="36"/>
      <c r="D666" s="33"/>
      <c r="E666" s="102">
        <f t="shared" si="22"/>
        <v>0</v>
      </c>
      <c r="F666" s="103" t="str">
        <f t="shared" si="18"/>
        <v>0 tubes and 0 shuttles</v>
      </c>
      <c r="G666" s="36">
        <f t="shared" si="23"/>
        <v>0</v>
      </c>
      <c r="H666" s="104" t="str">
        <f t="shared" si="19"/>
        <v>0 tubes and 0 shuttles</v>
      </c>
      <c r="I666" s="36">
        <f t="shared" si="20"/>
        <v>0</v>
      </c>
      <c r="J666" s="103" t="str">
        <f t="shared" si="21"/>
        <v>0 tubes and 0 shuttles</v>
      </c>
    </row>
    <row r="667" spans="1:10" ht="12.5" x14ac:dyDescent="0.25">
      <c r="A667" s="32">
        <f>'Profit &amp; Loss'!A667</f>
        <v>0</v>
      </c>
      <c r="B667" s="35">
        <f>'Profit &amp; Loss'!B667</f>
        <v>0</v>
      </c>
      <c r="C667" s="36"/>
      <c r="D667" s="33"/>
      <c r="E667" s="102">
        <f t="shared" si="22"/>
        <v>0</v>
      </c>
      <c r="F667" s="103" t="str">
        <f t="shared" si="18"/>
        <v>0 tubes and 0 shuttles</v>
      </c>
      <c r="G667" s="36">
        <f t="shared" si="23"/>
        <v>0</v>
      </c>
      <c r="H667" s="104" t="str">
        <f t="shared" si="19"/>
        <v>0 tubes and 0 shuttles</v>
      </c>
      <c r="I667" s="36">
        <f t="shared" si="20"/>
        <v>0</v>
      </c>
      <c r="J667" s="103" t="str">
        <f t="shared" si="21"/>
        <v>0 tubes and 0 shuttles</v>
      </c>
    </row>
    <row r="668" spans="1:10" ht="12.5" x14ac:dyDescent="0.25">
      <c r="A668" s="32">
        <f>'Profit &amp; Loss'!A668</f>
        <v>0</v>
      </c>
      <c r="B668" s="35">
        <f>'Profit &amp; Loss'!B668</f>
        <v>0</v>
      </c>
      <c r="C668" s="36"/>
      <c r="D668" s="33"/>
      <c r="E668" s="102">
        <f t="shared" si="22"/>
        <v>0</v>
      </c>
      <c r="F668" s="103" t="str">
        <f t="shared" si="18"/>
        <v>0 tubes and 0 shuttles</v>
      </c>
      <c r="G668" s="36">
        <f t="shared" si="23"/>
        <v>0</v>
      </c>
      <c r="H668" s="104" t="str">
        <f t="shared" si="19"/>
        <v>0 tubes and 0 shuttles</v>
      </c>
      <c r="I668" s="36">
        <f t="shared" si="20"/>
        <v>0</v>
      </c>
      <c r="J668" s="103" t="str">
        <f t="shared" si="21"/>
        <v>0 tubes and 0 shuttles</v>
      </c>
    </row>
    <row r="669" spans="1:10" ht="12.5" x14ac:dyDescent="0.25">
      <c r="A669" s="32">
        <f>'Profit &amp; Loss'!A669</f>
        <v>0</v>
      </c>
      <c r="B669" s="35">
        <f>'Profit &amp; Loss'!B669</f>
        <v>0</v>
      </c>
      <c r="C669" s="36"/>
      <c r="D669" s="33"/>
      <c r="E669" s="102">
        <f t="shared" si="22"/>
        <v>0</v>
      </c>
      <c r="F669" s="103" t="str">
        <f t="shared" si="18"/>
        <v>0 tubes and 0 shuttles</v>
      </c>
      <c r="G669" s="36">
        <f t="shared" si="23"/>
        <v>0</v>
      </c>
      <c r="H669" s="104" t="str">
        <f t="shared" si="19"/>
        <v>0 tubes and 0 shuttles</v>
      </c>
      <c r="I669" s="36">
        <f t="shared" si="20"/>
        <v>0</v>
      </c>
      <c r="J669" s="103" t="str">
        <f t="shared" si="21"/>
        <v>0 tubes and 0 shuttles</v>
      </c>
    </row>
    <row r="670" spans="1:10" ht="12.5" x14ac:dyDescent="0.25">
      <c r="A670" s="32">
        <f>'Profit &amp; Loss'!A670</f>
        <v>0</v>
      </c>
      <c r="B670" s="35">
        <f>'Profit &amp; Loss'!B670</f>
        <v>0</v>
      </c>
      <c r="C670" s="36"/>
      <c r="D670" s="33"/>
      <c r="E670" s="102">
        <f t="shared" si="22"/>
        <v>0</v>
      </c>
      <c r="F670" s="103" t="str">
        <f t="shared" si="18"/>
        <v>0 tubes and 0 shuttles</v>
      </c>
      <c r="G670" s="36">
        <f t="shared" si="23"/>
        <v>0</v>
      </c>
      <c r="H670" s="104" t="str">
        <f t="shared" si="19"/>
        <v>0 tubes and 0 shuttles</v>
      </c>
      <c r="I670" s="36">
        <f t="shared" si="20"/>
        <v>0</v>
      </c>
      <c r="J670" s="103" t="str">
        <f t="shared" si="21"/>
        <v>0 tubes and 0 shuttles</v>
      </c>
    </row>
    <row r="671" spans="1:10" ht="12.5" x14ac:dyDescent="0.25">
      <c r="A671" s="32">
        <f>'Profit &amp; Loss'!A671</f>
        <v>0</v>
      </c>
      <c r="B671" s="35">
        <f>'Profit &amp; Loss'!B671</f>
        <v>0</v>
      </c>
      <c r="C671" s="36"/>
      <c r="D671" s="33"/>
      <c r="E671" s="102">
        <f t="shared" si="22"/>
        <v>0</v>
      </c>
      <c r="F671" s="103" t="str">
        <f t="shared" si="18"/>
        <v>0 tubes and 0 shuttles</v>
      </c>
      <c r="G671" s="36">
        <f t="shared" si="23"/>
        <v>0</v>
      </c>
      <c r="H671" s="104" t="str">
        <f t="shared" si="19"/>
        <v>0 tubes and 0 shuttles</v>
      </c>
      <c r="I671" s="36">
        <f t="shared" si="20"/>
        <v>0</v>
      </c>
      <c r="J671" s="103" t="str">
        <f t="shared" si="21"/>
        <v>0 tubes and 0 shuttles</v>
      </c>
    </row>
    <row r="672" spans="1:10" ht="12.5" x14ac:dyDescent="0.25">
      <c r="A672" s="32">
        <f>'Profit &amp; Loss'!A672</f>
        <v>0</v>
      </c>
      <c r="B672" s="35">
        <f>'Profit &amp; Loss'!B672</f>
        <v>0</v>
      </c>
      <c r="C672" s="36"/>
      <c r="D672" s="33"/>
      <c r="E672" s="102">
        <f t="shared" si="22"/>
        <v>0</v>
      </c>
      <c r="F672" s="103" t="str">
        <f t="shared" si="18"/>
        <v>0 tubes and 0 shuttles</v>
      </c>
      <c r="G672" s="36">
        <f t="shared" si="23"/>
        <v>0</v>
      </c>
      <c r="H672" s="104" t="str">
        <f t="shared" si="19"/>
        <v>0 tubes and 0 shuttles</v>
      </c>
      <c r="I672" s="36">
        <f t="shared" si="20"/>
        <v>0</v>
      </c>
      <c r="J672" s="103" t="str">
        <f t="shared" si="21"/>
        <v>0 tubes and 0 shuttles</v>
      </c>
    </row>
    <row r="673" spans="1:10" ht="12.5" x14ac:dyDescent="0.25">
      <c r="A673" s="32">
        <f>'Profit &amp; Loss'!A673</f>
        <v>0</v>
      </c>
      <c r="B673" s="35">
        <f>'Profit &amp; Loss'!B673</f>
        <v>0</v>
      </c>
      <c r="C673" s="36"/>
      <c r="D673" s="33"/>
      <c r="E673" s="102">
        <f t="shared" si="22"/>
        <v>0</v>
      </c>
      <c r="F673" s="103" t="str">
        <f t="shared" si="18"/>
        <v>0 tubes and 0 shuttles</v>
      </c>
      <c r="G673" s="36">
        <f t="shared" si="23"/>
        <v>0</v>
      </c>
      <c r="H673" s="104" t="str">
        <f t="shared" si="19"/>
        <v>0 tubes and 0 shuttles</v>
      </c>
      <c r="I673" s="36">
        <f t="shared" si="20"/>
        <v>0</v>
      </c>
      <c r="J673" s="103" t="str">
        <f t="shared" si="21"/>
        <v>0 tubes and 0 shuttles</v>
      </c>
    </row>
    <row r="674" spans="1:10" ht="12.5" x14ac:dyDescent="0.25">
      <c r="A674" s="32">
        <f>'Profit &amp; Loss'!A674</f>
        <v>0</v>
      </c>
      <c r="B674" s="35">
        <f>'Profit &amp; Loss'!B674</f>
        <v>0</v>
      </c>
      <c r="C674" s="36"/>
      <c r="D674" s="33"/>
      <c r="E674" s="102">
        <f t="shared" si="22"/>
        <v>0</v>
      </c>
      <c r="F674" s="103" t="str">
        <f t="shared" si="18"/>
        <v>0 tubes and 0 shuttles</v>
      </c>
      <c r="G674" s="36">
        <f t="shared" si="23"/>
        <v>0</v>
      </c>
      <c r="H674" s="104" t="str">
        <f t="shared" si="19"/>
        <v>0 tubes and 0 shuttles</v>
      </c>
      <c r="I674" s="36">
        <f t="shared" si="20"/>
        <v>0</v>
      </c>
      <c r="J674" s="103" t="str">
        <f t="shared" si="21"/>
        <v>0 tubes and 0 shuttles</v>
      </c>
    </row>
    <row r="675" spans="1:10" ht="12.5" x14ac:dyDescent="0.25">
      <c r="A675" s="32">
        <f>'Profit &amp; Loss'!A675</f>
        <v>0</v>
      </c>
      <c r="B675" s="35">
        <f>'Profit &amp; Loss'!B675</f>
        <v>0</v>
      </c>
      <c r="C675" s="36"/>
      <c r="D675" s="33"/>
      <c r="E675" s="102">
        <f t="shared" si="22"/>
        <v>0</v>
      </c>
      <c r="F675" s="103" t="str">
        <f t="shared" si="18"/>
        <v>0 tubes and 0 shuttles</v>
      </c>
      <c r="G675" s="36">
        <f t="shared" si="23"/>
        <v>0</v>
      </c>
      <c r="H675" s="104" t="str">
        <f t="shared" si="19"/>
        <v>0 tubes and 0 shuttles</v>
      </c>
      <c r="I675" s="36">
        <f t="shared" si="20"/>
        <v>0</v>
      </c>
      <c r="J675" s="103" t="str">
        <f t="shared" si="21"/>
        <v>0 tubes and 0 shuttles</v>
      </c>
    </row>
    <row r="676" spans="1:10" ht="12.5" x14ac:dyDescent="0.25">
      <c r="A676" s="32">
        <f>'Profit &amp; Loss'!A676</f>
        <v>0</v>
      </c>
      <c r="B676" s="35">
        <f>'Profit &amp; Loss'!B676</f>
        <v>0</v>
      </c>
      <c r="C676" s="36"/>
      <c r="D676" s="33"/>
      <c r="E676" s="102">
        <f t="shared" si="22"/>
        <v>0</v>
      </c>
      <c r="F676" s="103" t="str">
        <f t="shared" si="18"/>
        <v>0 tubes and 0 shuttles</v>
      </c>
      <c r="G676" s="36">
        <f t="shared" si="23"/>
        <v>0</v>
      </c>
      <c r="H676" s="104" t="str">
        <f t="shared" si="19"/>
        <v>0 tubes and 0 shuttles</v>
      </c>
      <c r="I676" s="36">
        <f t="shared" si="20"/>
        <v>0</v>
      </c>
      <c r="J676" s="103" t="str">
        <f t="shared" si="21"/>
        <v>0 tubes and 0 shuttles</v>
      </c>
    </row>
    <row r="677" spans="1:10" ht="12.5" x14ac:dyDescent="0.25">
      <c r="A677" s="32">
        <f>'Profit &amp; Loss'!A677</f>
        <v>0</v>
      </c>
      <c r="B677" s="35">
        <f>'Profit &amp; Loss'!B677</f>
        <v>0</v>
      </c>
      <c r="C677" s="36"/>
      <c r="D677" s="33"/>
      <c r="E677" s="102">
        <f t="shared" si="22"/>
        <v>0</v>
      </c>
      <c r="F677" s="103" t="str">
        <f t="shared" si="18"/>
        <v>0 tubes and 0 shuttles</v>
      </c>
      <c r="G677" s="36">
        <f t="shared" si="23"/>
        <v>0</v>
      </c>
      <c r="H677" s="104" t="str">
        <f t="shared" si="19"/>
        <v>0 tubes and 0 shuttles</v>
      </c>
      <c r="I677" s="36">
        <f t="shared" si="20"/>
        <v>0</v>
      </c>
      <c r="J677" s="103" t="str">
        <f t="shared" si="21"/>
        <v>0 tubes and 0 shuttles</v>
      </c>
    </row>
    <row r="678" spans="1:10" ht="12.5" x14ac:dyDescent="0.25">
      <c r="A678" s="32">
        <f>'Profit &amp; Loss'!A678</f>
        <v>0</v>
      </c>
      <c r="B678" s="35">
        <f>'Profit &amp; Loss'!B678</f>
        <v>0</v>
      </c>
      <c r="C678" s="36"/>
      <c r="D678" s="33"/>
      <c r="E678" s="102">
        <f t="shared" si="22"/>
        <v>0</v>
      </c>
      <c r="F678" s="103" t="str">
        <f t="shared" si="18"/>
        <v>0 tubes and 0 shuttles</v>
      </c>
      <c r="G678" s="36">
        <f t="shared" si="23"/>
        <v>0</v>
      </c>
      <c r="H678" s="104" t="str">
        <f t="shared" si="19"/>
        <v>0 tubes and 0 shuttles</v>
      </c>
      <c r="I678" s="36">
        <f t="shared" si="20"/>
        <v>0</v>
      </c>
      <c r="J678" s="103" t="str">
        <f t="shared" si="21"/>
        <v>0 tubes and 0 shuttles</v>
      </c>
    </row>
    <row r="679" spans="1:10" ht="12.5" x14ac:dyDescent="0.25">
      <c r="A679" s="32">
        <f>'Profit &amp; Loss'!A679</f>
        <v>0</v>
      </c>
      <c r="B679" s="35">
        <f>'Profit &amp; Loss'!B679</f>
        <v>0</v>
      </c>
      <c r="C679" s="36"/>
      <c r="D679" s="33"/>
      <c r="E679" s="102">
        <f t="shared" si="22"/>
        <v>0</v>
      </c>
      <c r="F679" s="103" t="str">
        <f t="shared" si="18"/>
        <v>0 tubes and 0 shuttles</v>
      </c>
      <c r="G679" s="36">
        <f t="shared" si="23"/>
        <v>0</v>
      </c>
      <c r="H679" s="104" t="str">
        <f t="shared" si="19"/>
        <v>0 tubes and 0 shuttles</v>
      </c>
      <c r="I679" s="36">
        <f t="shared" si="20"/>
        <v>0</v>
      </c>
      <c r="J679" s="103" t="str">
        <f t="shared" si="21"/>
        <v>0 tubes and 0 shuttles</v>
      </c>
    </row>
    <row r="680" spans="1:10" ht="12.5" x14ac:dyDescent="0.25">
      <c r="A680" s="32">
        <f>'Profit &amp; Loss'!A680</f>
        <v>0</v>
      </c>
      <c r="B680" s="35">
        <f>'Profit &amp; Loss'!B680</f>
        <v>0</v>
      </c>
      <c r="C680" s="36"/>
      <c r="D680" s="33"/>
      <c r="E680" s="102">
        <f t="shared" si="22"/>
        <v>0</v>
      </c>
      <c r="F680" s="103" t="str">
        <f t="shared" si="18"/>
        <v>0 tubes and 0 shuttles</v>
      </c>
      <c r="G680" s="36">
        <f t="shared" si="23"/>
        <v>0</v>
      </c>
      <c r="H680" s="104" t="str">
        <f t="shared" si="19"/>
        <v>0 tubes and 0 shuttles</v>
      </c>
      <c r="I680" s="36">
        <f t="shared" si="20"/>
        <v>0</v>
      </c>
      <c r="J680" s="103" t="str">
        <f t="shared" si="21"/>
        <v>0 tubes and 0 shuttles</v>
      </c>
    </row>
    <row r="681" spans="1:10" ht="12.5" x14ac:dyDescent="0.25">
      <c r="A681" s="32">
        <f>'Profit &amp; Loss'!A681</f>
        <v>0</v>
      </c>
      <c r="B681" s="35">
        <f>'Profit &amp; Loss'!B681</f>
        <v>0</v>
      </c>
      <c r="C681" s="36"/>
      <c r="D681" s="33"/>
      <c r="E681" s="102">
        <f t="shared" si="22"/>
        <v>0</v>
      </c>
      <c r="F681" s="103" t="str">
        <f t="shared" si="18"/>
        <v>0 tubes and 0 shuttles</v>
      </c>
      <c r="G681" s="36">
        <f t="shared" si="23"/>
        <v>0</v>
      </c>
      <c r="H681" s="104" t="str">
        <f t="shared" si="19"/>
        <v>0 tubes and 0 shuttles</v>
      </c>
      <c r="I681" s="36">
        <f t="shared" si="20"/>
        <v>0</v>
      </c>
      <c r="J681" s="103" t="str">
        <f t="shared" si="21"/>
        <v>0 tubes and 0 shuttles</v>
      </c>
    </row>
    <row r="682" spans="1:10" ht="12.5" x14ac:dyDescent="0.25">
      <c r="A682" s="32">
        <f>'Profit &amp; Loss'!A682</f>
        <v>0</v>
      </c>
      <c r="B682" s="35">
        <f>'Profit &amp; Loss'!B682</f>
        <v>0</v>
      </c>
      <c r="C682" s="36"/>
      <c r="D682" s="33"/>
      <c r="E682" s="102">
        <f t="shared" si="22"/>
        <v>0</v>
      </c>
      <c r="F682" s="103" t="str">
        <f t="shared" si="18"/>
        <v>0 tubes and 0 shuttles</v>
      </c>
      <c r="G682" s="36">
        <f t="shared" si="23"/>
        <v>0</v>
      </c>
      <c r="H682" s="104" t="str">
        <f t="shared" si="19"/>
        <v>0 tubes and 0 shuttles</v>
      </c>
      <c r="I682" s="36">
        <f t="shared" si="20"/>
        <v>0</v>
      </c>
      <c r="J682" s="103" t="str">
        <f t="shared" si="21"/>
        <v>0 tubes and 0 shuttles</v>
      </c>
    </row>
    <row r="683" spans="1:10" ht="12.5" x14ac:dyDescent="0.25">
      <c r="A683" s="32">
        <f>'Profit &amp; Loss'!A683</f>
        <v>0</v>
      </c>
      <c r="B683" s="35">
        <f>'Profit &amp; Loss'!B683</f>
        <v>0</v>
      </c>
      <c r="C683" s="36"/>
      <c r="D683" s="33"/>
      <c r="E683" s="102">
        <f t="shared" si="22"/>
        <v>0</v>
      </c>
      <c r="F683" s="103" t="str">
        <f t="shared" si="18"/>
        <v>0 tubes and 0 shuttles</v>
      </c>
      <c r="G683" s="36">
        <f t="shared" si="23"/>
        <v>0</v>
      </c>
      <c r="H683" s="104" t="str">
        <f t="shared" si="19"/>
        <v>0 tubes and 0 shuttles</v>
      </c>
      <c r="I683" s="36">
        <f t="shared" si="20"/>
        <v>0</v>
      </c>
      <c r="J683" s="103" t="str">
        <f t="shared" si="21"/>
        <v>0 tubes and 0 shuttles</v>
      </c>
    </row>
    <row r="684" spans="1:10" ht="12.5" x14ac:dyDescent="0.25">
      <c r="A684" s="32">
        <f>'Profit &amp; Loss'!A684</f>
        <v>0</v>
      </c>
      <c r="B684" s="35">
        <f>'Profit &amp; Loss'!B684</f>
        <v>0</v>
      </c>
      <c r="C684" s="36"/>
      <c r="D684" s="33"/>
      <c r="E684" s="102">
        <f t="shared" si="22"/>
        <v>0</v>
      </c>
      <c r="F684" s="103" t="str">
        <f t="shared" si="18"/>
        <v>0 tubes and 0 shuttles</v>
      </c>
      <c r="G684" s="36">
        <f t="shared" si="23"/>
        <v>0</v>
      </c>
      <c r="H684" s="104" t="str">
        <f t="shared" si="19"/>
        <v>0 tubes and 0 shuttles</v>
      </c>
      <c r="I684" s="36">
        <f t="shared" si="20"/>
        <v>0</v>
      </c>
      <c r="J684" s="103" t="str">
        <f t="shared" si="21"/>
        <v>0 tubes and 0 shuttles</v>
      </c>
    </row>
    <row r="685" spans="1:10" ht="12.5" x14ac:dyDescent="0.25">
      <c r="A685" s="32">
        <f>'Profit &amp; Loss'!A685</f>
        <v>0</v>
      </c>
      <c r="B685" s="35">
        <f>'Profit &amp; Loss'!B685</f>
        <v>0</v>
      </c>
      <c r="C685" s="36"/>
      <c r="D685" s="33"/>
      <c r="E685" s="102">
        <f t="shared" si="22"/>
        <v>0</v>
      </c>
      <c r="F685" s="103" t="str">
        <f t="shared" si="18"/>
        <v>0 tubes and 0 shuttles</v>
      </c>
      <c r="G685" s="36">
        <f t="shared" si="23"/>
        <v>0</v>
      </c>
      <c r="H685" s="104" t="str">
        <f t="shared" si="19"/>
        <v>0 tubes and 0 shuttles</v>
      </c>
      <c r="I685" s="36">
        <f t="shared" si="20"/>
        <v>0</v>
      </c>
      <c r="J685" s="103" t="str">
        <f t="shared" si="21"/>
        <v>0 tubes and 0 shuttles</v>
      </c>
    </row>
    <row r="686" spans="1:10" ht="12.5" x14ac:dyDescent="0.25">
      <c r="A686" s="32">
        <f>'Profit &amp; Loss'!A686</f>
        <v>0</v>
      </c>
      <c r="B686" s="35">
        <f>'Profit &amp; Loss'!B686</f>
        <v>0</v>
      </c>
      <c r="C686" s="36"/>
      <c r="D686" s="33"/>
      <c r="E686" s="102">
        <f t="shared" si="22"/>
        <v>0</v>
      </c>
      <c r="F686" s="103" t="str">
        <f t="shared" si="18"/>
        <v>0 tubes and 0 shuttles</v>
      </c>
      <c r="G686" s="36">
        <f t="shared" si="23"/>
        <v>0</v>
      </c>
      <c r="H686" s="104" t="str">
        <f t="shared" si="19"/>
        <v>0 tubes and 0 shuttles</v>
      </c>
      <c r="I686" s="36">
        <f t="shared" si="20"/>
        <v>0</v>
      </c>
      <c r="J686" s="103" t="str">
        <f t="shared" si="21"/>
        <v>0 tubes and 0 shuttles</v>
      </c>
    </row>
    <row r="687" spans="1:10" ht="12.5" x14ac:dyDescent="0.25">
      <c r="A687" s="32">
        <f>'Profit &amp; Loss'!A687</f>
        <v>0</v>
      </c>
      <c r="B687" s="35">
        <f>'Profit &amp; Loss'!B687</f>
        <v>0</v>
      </c>
      <c r="C687" s="36"/>
      <c r="D687" s="33"/>
      <c r="E687" s="102">
        <f t="shared" si="22"/>
        <v>0</v>
      </c>
      <c r="F687" s="103" t="str">
        <f t="shared" si="18"/>
        <v>0 tubes and 0 shuttles</v>
      </c>
      <c r="G687" s="36">
        <f t="shared" si="23"/>
        <v>0</v>
      </c>
      <c r="H687" s="104" t="str">
        <f t="shared" si="19"/>
        <v>0 tubes and 0 shuttles</v>
      </c>
      <c r="I687" s="36">
        <f t="shared" si="20"/>
        <v>0</v>
      </c>
      <c r="J687" s="103" t="str">
        <f t="shared" si="21"/>
        <v>0 tubes and 0 shuttles</v>
      </c>
    </row>
    <row r="688" spans="1:10" ht="12.5" x14ac:dyDescent="0.25">
      <c r="A688" s="32">
        <f>'Profit &amp; Loss'!A688</f>
        <v>0</v>
      </c>
      <c r="B688" s="35">
        <f>'Profit &amp; Loss'!B688</f>
        <v>0</v>
      </c>
      <c r="C688" s="36"/>
      <c r="D688" s="33"/>
      <c r="E688" s="102">
        <f t="shared" si="22"/>
        <v>0</v>
      </c>
      <c r="F688" s="103" t="str">
        <f t="shared" si="18"/>
        <v>0 tubes and 0 shuttles</v>
      </c>
      <c r="G688" s="36">
        <f t="shared" si="23"/>
        <v>0</v>
      </c>
      <c r="H688" s="104" t="str">
        <f t="shared" si="19"/>
        <v>0 tubes and 0 shuttles</v>
      </c>
      <c r="I688" s="36">
        <f t="shared" si="20"/>
        <v>0</v>
      </c>
      <c r="J688" s="103" t="str">
        <f t="shared" si="21"/>
        <v>0 tubes and 0 shuttles</v>
      </c>
    </row>
    <row r="689" spans="1:10" ht="12.5" x14ac:dyDescent="0.25">
      <c r="A689" s="32">
        <f>'Profit &amp; Loss'!A689</f>
        <v>0</v>
      </c>
      <c r="B689" s="35">
        <f>'Profit &amp; Loss'!B689</f>
        <v>0</v>
      </c>
      <c r="C689" s="36"/>
      <c r="D689" s="33"/>
      <c r="E689" s="102">
        <f t="shared" si="22"/>
        <v>0</v>
      </c>
      <c r="F689" s="103" t="str">
        <f t="shared" si="18"/>
        <v>0 tubes and 0 shuttles</v>
      </c>
      <c r="G689" s="36">
        <f t="shared" si="23"/>
        <v>0</v>
      </c>
      <c r="H689" s="104" t="str">
        <f t="shared" si="19"/>
        <v>0 tubes and 0 shuttles</v>
      </c>
      <c r="I689" s="36">
        <f t="shared" si="20"/>
        <v>0</v>
      </c>
      <c r="J689" s="103" t="str">
        <f t="shared" si="21"/>
        <v>0 tubes and 0 shuttles</v>
      </c>
    </row>
    <row r="690" spans="1:10" ht="12.5" x14ac:dyDescent="0.25">
      <c r="A690" s="32">
        <f>'Profit &amp; Loss'!A690</f>
        <v>0</v>
      </c>
      <c r="B690" s="35">
        <f>'Profit &amp; Loss'!B690</f>
        <v>0</v>
      </c>
      <c r="C690" s="36"/>
      <c r="D690" s="33"/>
      <c r="E690" s="102">
        <f t="shared" si="22"/>
        <v>0</v>
      </c>
      <c r="F690" s="103" t="str">
        <f t="shared" si="18"/>
        <v>0 tubes and 0 shuttles</v>
      </c>
      <c r="G690" s="36">
        <f t="shared" si="23"/>
        <v>0</v>
      </c>
      <c r="H690" s="104" t="str">
        <f t="shared" si="19"/>
        <v>0 tubes and 0 shuttles</v>
      </c>
      <c r="I690" s="36">
        <f t="shared" si="20"/>
        <v>0</v>
      </c>
      <c r="J690" s="103" t="str">
        <f t="shared" si="21"/>
        <v>0 tubes and 0 shuttles</v>
      </c>
    </row>
    <row r="691" spans="1:10" ht="12.5" x14ac:dyDescent="0.25">
      <c r="A691" s="32">
        <f>'Profit &amp; Loss'!A691</f>
        <v>0</v>
      </c>
      <c r="B691" s="35">
        <f>'Profit &amp; Loss'!B691</f>
        <v>0</v>
      </c>
      <c r="C691" s="36"/>
      <c r="D691" s="33"/>
      <c r="E691" s="102">
        <f t="shared" si="22"/>
        <v>0</v>
      </c>
      <c r="F691" s="103" t="str">
        <f t="shared" si="18"/>
        <v>0 tubes and 0 shuttles</v>
      </c>
      <c r="G691" s="36">
        <f t="shared" si="23"/>
        <v>0</v>
      </c>
      <c r="H691" s="104" t="str">
        <f t="shared" si="19"/>
        <v>0 tubes and 0 shuttles</v>
      </c>
      <c r="I691" s="36">
        <f t="shared" si="20"/>
        <v>0</v>
      </c>
      <c r="J691" s="103" t="str">
        <f t="shared" si="21"/>
        <v>0 tubes and 0 shuttles</v>
      </c>
    </row>
    <row r="692" spans="1:10" ht="12.5" x14ac:dyDescent="0.25">
      <c r="A692" s="32">
        <f>'Profit &amp; Loss'!A692</f>
        <v>0</v>
      </c>
      <c r="B692" s="35">
        <f>'Profit &amp; Loss'!B692</f>
        <v>0</v>
      </c>
      <c r="C692" s="36"/>
      <c r="D692" s="33"/>
      <c r="E692" s="102">
        <f t="shared" si="22"/>
        <v>0</v>
      </c>
      <c r="F692" s="103" t="str">
        <f t="shared" si="18"/>
        <v>0 tubes and 0 shuttles</v>
      </c>
      <c r="G692" s="36">
        <f t="shared" si="23"/>
        <v>0</v>
      </c>
      <c r="H692" s="104" t="str">
        <f t="shared" si="19"/>
        <v>0 tubes and 0 shuttles</v>
      </c>
      <c r="I692" s="36">
        <f t="shared" si="20"/>
        <v>0</v>
      </c>
      <c r="J692" s="103" t="str">
        <f t="shared" si="21"/>
        <v>0 tubes and 0 shuttles</v>
      </c>
    </row>
    <row r="693" spans="1:10" ht="12.5" x14ac:dyDescent="0.25">
      <c r="A693" s="32">
        <f>'Profit &amp; Loss'!A693</f>
        <v>0</v>
      </c>
      <c r="B693" s="35">
        <f>'Profit &amp; Loss'!B693</f>
        <v>0</v>
      </c>
      <c r="C693" s="36"/>
      <c r="D693" s="33"/>
      <c r="E693" s="102">
        <f t="shared" si="22"/>
        <v>0</v>
      </c>
      <c r="F693" s="103" t="str">
        <f t="shared" si="18"/>
        <v>0 tubes and 0 shuttles</v>
      </c>
      <c r="G693" s="36">
        <f t="shared" si="23"/>
        <v>0</v>
      </c>
      <c r="H693" s="104" t="str">
        <f t="shared" si="19"/>
        <v>0 tubes and 0 shuttles</v>
      </c>
      <c r="I693" s="36">
        <f t="shared" si="20"/>
        <v>0</v>
      </c>
      <c r="J693" s="103" t="str">
        <f t="shared" si="21"/>
        <v>0 tubes and 0 shuttles</v>
      </c>
    </row>
    <row r="694" spans="1:10" ht="12.5" x14ac:dyDescent="0.25">
      <c r="A694" s="32">
        <f>'Profit &amp; Loss'!A694</f>
        <v>0</v>
      </c>
      <c r="B694" s="35">
        <f>'Profit &amp; Loss'!B694</f>
        <v>0</v>
      </c>
      <c r="C694" s="36"/>
      <c r="D694" s="33"/>
      <c r="E694" s="102">
        <f t="shared" si="22"/>
        <v>0</v>
      </c>
      <c r="F694" s="103" t="str">
        <f t="shared" si="18"/>
        <v>0 tubes and 0 shuttles</v>
      </c>
      <c r="G694" s="36">
        <f t="shared" si="23"/>
        <v>0</v>
      </c>
      <c r="H694" s="104" t="str">
        <f t="shared" si="19"/>
        <v>0 tubes and 0 shuttles</v>
      </c>
      <c r="I694" s="36">
        <f t="shared" si="20"/>
        <v>0</v>
      </c>
      <c r="J694" s="103" t="str">
        <f t="shared" si="21"/>
        <v>0 tubes and 0 shuttles</v>
      </c>
    </row>
    <row r="695" spans="1:10" ht="12.5" x14ac:dyDescent="0.25">
      <c r="A695" s="32">
        <f>'Profit &amp; Loss'!A695</f>
        <v>0</v>
      </c>
      <c r="B695" s="35">
        <f>'Profit &amp; Loss'!B695</f>
        <v>0</v>
      </c>
      <c r="C695" s="36"/>
      <c r="D695" s="33"/>
      <c r="E695" s="102">
        <f t="shared" si="22"/>
        <v>0</v>
      </c>
      <c r="F695" s="103" t="str">
        <f t="shared" si="18"/>
        <v>0 tubes and 0 shuttles</v>
      </c>
      <c r="G695" s="36">
        <f t="shared" si="23"/>
        <v>0</v>
      </c>
      <c r="H695" s="104" t="str">
        <f t="shared" si="19"/>
        <v>0 tubes and 0 shuttles</v>
      </c>
      <c r="I695" s="36">
        <f t="shared" si="20"/>
        <v>0</v>
      </c>
      <c r="J695" s="103" t="str">
        <f t="shared" si="21"/>
        <v>0 tubes and 0 shuttles</v>
      </c>
    </row>
    <row r="696" spans="1:10" ht="12.5" x14ac:dyDescent="0.25">
      <c r="A696" s="32">
        <f>'Profit &amp; Loss'!A696</f>
        <v>0</v>
      </c>
      <c r="B696" s="35">
        <f>'Profit &amp; Loss'!B696</f>
        <v>0</v>
      </c>
      <c r="C696" s="36"/>
      <c r="D696" s="33"/>
      <c r="E696" s="102">
        <f t="shared" si="22"/>
        <v>0</v>
      </c>
      <c r="F696" s="103" t="str">
        <f t="shared" si="18"/>
        <v>0 tubes and 0 shuttles</v>
      </c>
      <c r="G696" s="36">
        <f t="shared" si="23"/>
        <v>0</v>
      </c>
      <c r="H696" s="104" t="str">
        <f t="shared" si="19"/>
        <v>0 tubes and 0 shuttles</v>
      </c>
      <c r="I696" s="36">
        <f t="shared" si="20"/>
        <v>0</v>
      </c>
      <c r="J696" s="103" t="str">
        <f t="shared" si="21"/>
        <v>0 tubes and 0 shuttles</v>
      </c>
    </row>
    <row r="697" spans="1:10" ht="12.5" x14ac:dyDescent="0.25">
      <c r="A697" s="32">
        <f>'Profit &amp; Loss'!A697</f>
        <v>0</v>
      </c>
      <c r="B697" s="35">
        <f>'Profit &amp; Loss'!B697</f>
        <v>0</v>
      </c>
      <c r="C697" s="36"/>
      <c r="D697" s="33"/>
      <c r="E697" s="102">
        <f t="shared" si="22"/>
        <v>0</v>
      </c>
      <c r="F697" s="103" t="str">
        <f t="shared" si="18"/>
        <v>0 tubes and 0 shuttles</v>
      </c>
      <c r="G697" s="36">
        <f t="shared" si="23"/>
        <v>0</v>
      </c>
      <c r="H697" s="104" t="str">
        <f t="shared" si="19"/>
        <v>0 tubes and 0 shuttles</v>
      </c>
      <c r="I697" s="36">
        <f t="shared" si="20"/>
        <v>0</v>
      </c>
      <c r="J697" s="103" t="str">
        <f t="shared" si="21"/>
        <v>0 tubes and 0 shuttles</v>
      </c>
    </row>
    <row r="698" spans="1:10" ht="12.5" x14ac:dyDescent="0.25">
      <c r="A698" s="32">
        <f>'Profit &amp; Loss'!A698</f>
        <v>0</v>
      </c>
      <c r="B698" s="35">
        <f>'Profit &amp; Loss'!B698</f>
        <v>0</v>
      </c>
      <c r="C698" s="36"/>
      <c r="D698" s="33"/>
      <c r="E698" s="102">
        <f t="shared" si="22"/>
        <v>0</v>
      </c>
      <c r="F698" s="103" t="str">
        <f t="shared" si="18"/>
        <v>0 tubes and 0 shuttles</v>
      </c>
      <c r="G698" s="36">
        <f t="shared" si="23"/>
        <v>0</v>
      </c>
      <c r="H698" s="104" t="str">
        <f t="shared" si="19"/>
        <v>0 tubes and 0 shuttles</v>
      </c>
      <c r="I698" s="36">
        <f t="shared" si="20"/>
        <v>0</v>
      </c>
      <c r="J698" s="103" t="str">
        <f t="shared" si="21"/>
        <v>0 tubes and 0 shuttles</v>
      </c>
    </row>
    <row r="699" spans="1:10" ht="12.5" x14ac:dyDescent="0.25">
      <c r="A699" s="32">
        <f>'Profit &amp; Loss'!A699</f>
        <v>0</v>
      </c>
      <c r="B699" s="35">
        <f>'Profit &amp; Loss'!B699</f>
        <v>0</v>
      </c>
      <c r="C699" s="36"/>
      <c r="D699" s="33"/>
      <c r="E699" s="102">
        <f t="shared" si="22"/>
        <v>0</v>
      </c>
      <c r="F699" s="103" t="str">
        <f t="shared" si="18"/>
        <v>0 tubes and 0 shuttles</v>
      </c>
      <c r="G699" s="36">
        <f t="shared" si="23"/>
        <v>0</v>
      </c>
      <c r="H699" s="104" t="str">
        <f t="shared" si="19"/>
        <v>0 tubes and 0 shuttles</v>
      </c>
      <c r="I699" s="36">
        <f t="shared" si="20"/>
        <v>0</v>
      </c>
      <c r="J699" s="103" t="str">
        <f t="shared" si="21"/>
        <v>0 tubes and 0 shuttles</v>
      </c>
    </row>
    <row r="700" spans="1:10" ht="12.5" x14ac:dyDescent="0.25">
      <c r="A700" s="32">
        <f>'Profit &amp; Loss'!A700</f>
        <v>0</v>
      </c>
      <c r="B700" s="35">
        <f>'Profit &amp; Loss'!B700</f>
        <v>0</v>
      </c>
      <c r="C700" s="36"/>
      <c r="D700" s="33"/>
      <c r="E700" s="102">
        <f t="shared" si="22"/>
        <v>0</v>
      </c>
      <c r="F700" s="103" t="str">
        <f t="shared" si="18"/>
        <v>0 tubes and 0 shuttles</v>
      </c>
      <c r="G700" s="36">
        <f t="shared" si="23"/>
        <v>0</v>
      </c>
      <c r="H700" s="104" t="str">
        <f t="shared" si="19"/>
        <v>0 tubes and 0 shuttles</v>
      </c>
      <c r="I700" s="36">
        <f t="shared" si="20"/>
        <v>0</v>
      </c>
      <c r="J700" s="103" t="str">
        <f t="shared" si="21"/>
        <v>0 tubes and 0 shuttles</v>
      </c>
    </row>
    <row r="701" spans="1:10" ht="12.5" x14ac:dyDescent="0.25">
      <c r="A701" s="32">
        <f>'Profit &amp; Loss'!A701</f>
        <v>0</v>
      </c>
      <c r="B701" s="35">
        <f>'Profit &amp; Loss'!B701</f>
        <v>0</v>
      </c>
      <c r="C701" s="36"/>
      <c r="D701" s="33"/>
      <c r="E701" s="102">
        <f t="shared" si="22"/>
        <v>0</v>
      </c>
      <c r="F701" s="103" t="str">
        <f t="shared" si="18"/>
        <v>0 tubes and 0 shuttles</v>
      </c>
      <c r="G701" s="36">
        <f t="shared" si="23"/>
        <v>0</v>
      </c>
      <c r="H701" s="104" t="str">
        <f t="shared" si="19"/>
        <v>0 tubes and 0 shuttles</v>
      </c>
      <c r="I701" s="36">
        <f t="shared" si="20"/>
        <v>0</v>
      </c>
      <c r="J701" s="103" t="str">
        <f t="shared" si="21"/>
        <v>0 tubes and 0 shuttles</v>
      </c>
    </row>
    <row r="702" spans="1:10" ht="12.5" x14ac:dyDescent="0.25">
      <c r="A702" s="32">
        <f>'Profit &amp; Loss'!A702</f>
        <v>0</v>
      </c>
      <c r="B702" s="35">
        <f>'Profit &amp; Loss'!B702</f>
        <v>0</v>
      </c>
      <c r="C702" s="36"/>
      <c r="D702" s="33"/>
      <c r="E702" s="102">
        <f t="shared" si="22"/>
        <v>0</v>
      </c>
      <c r="F702" s="103" t="str">
        <f t="shared" si="18"/>
        <v>0 tubes and 0 shuttles</v>
      </c>
      <c r="G702" s="36">
        <f t="shared" si="23"/>
        <v>0</v>
      </c>
      <c r="H702" s="104" t="str">
        <f t="shared" si="19"/>
        <v>0 tubes and 0 shuttles</v>
      </c>
      <c r="I702" s="36">
        <f t="shared" si="20"/>
        <v>0</v>
      </c>
      <c r="J702" s="103" t="str">
        <f t="shared" si="21"/>
        <v>0 tubes and 0 shuttles</v>
      </c>
    </row>
    <row r="703" spans="1:10" ht="12.5" x14ac:dyDescent="0.25">
      <c r="A703" s="32">
        <f>'Profit &amp; Loss'!A703</f>
        <v>0</v>
      </c>
      <c r="B703" s="35">
        <f>'Profit &amp; Loss'!B703</f>
        <v>0</v>
      </c>
      <c r="C703" s="36"/>
      <c r="D703" s="33"/>
      <c r="E703" s="102">
        <f t="shared" si="22"/>
        <v>0</v>
      </c>
      <c r="F703" s="103" t="str">
        <f t="shared" si="18"/>
        <v>0 tubes and 0 shuttles</v>
      </c>
      <c r="G703" s="36">
        <f t="shared" si="23"/>
        <v>0</v>
      </c>
      <c r="H703" s="104" t="str">
        <f t="shared" si="19"/>
        <v>0 tubes and 0 shuttles</v>
      </c>
      <c r="I703" s="36">
        <f t="shared" si="20"/>
        <v>0</v>
      </c>
      <c r="J703" s="103" t="str">
        <f t="shared" si="21"/>
        <v>0 tubes and 0 shuttles</v>
      </c>
    </row>
    <row r="704" spans="1:10" ht="12.5" x14ac:dyDescent="0.25">
      <c r="A704" s="32">
        <f>'Profit &amp; Loss'!A704</f>
        <v>0</v>
      </c>
      <c r="B704" s="35">
        <f>'Profit &amp; Loss'!B704</f>
        <v>0</v>
      </c>
      <c r="C704" s="36"/>
      <c r="D704" s="33"/>
      <c r="E704" s="102">
        <f t="shared" si="22"/>
        <v>0</v>
      </c>
      <c r="F704" s="103" t="str">
        <f t="shared" si="18"/>
        <v>0 tubes and 0 shuttles</v>
      </c>
      <c r="G704" s="36">
        <f t="shared" si="23"/>
        <v>0</v>
      </c>
      <c r="H704" s="104" t="str">
        <f t="shared" si="19"/>
        <v>0 tubes and 0 shuttles</v>
      </c>
      <c r="I704" s="36">
        <f t="shared" si="20"/>
        <v>0</v>
      </c>
      <c r="J704" s="103" t="str">
        <f t="shared" si="21"/>
        <v>0 tubes and 0 shuttles</v>
      </c>
    </row>
    <row r="705" spans="1:10" ht="12.5" x14ac:dyDescent="0.25">
      <c r="A705" s="32">
        <f>'Profit &amp; Loss'!A705</f>
        <v>0</v>
      </c>
      <c r="B705" s="35">
        <f>'Profit &amp; Loss'!B705</f>
        <v>0</v>
      </c>
      <c r="C705" s="36"/>
      <c r="D705" s="33"/>
      <c r="E705" s="102">
        <f t="shared" si="22"/>
        <v>0</v>
      </c>
      <c r="F705" s="103" t="str">
        <f t="shared" si="18"/>
        <v>0 tubes and 0 shuttles</v>
      </c>
      <c r="G705" s="36">
        <f t="shared" si="23"/>
        <v>0</v>
      </c>
      <c r="H705" s="104" t="str">
        <f t="shared" si="19"/>
        <v>0 tubes and 0 shuttles</v>
      </c>
      <c r="I705" s="36">
        <f t="shared" si="20"/>
        <v>0</v>
      </c>
      <c r="J705" s="103" t="str">
        <f t="shared" si="21"/>
        <v>0 tubes and 0 shuttles</v>
      </c>
    </row>
    <row r="706" spans="1:10" ht="12.5" x14ac:dyDescent="0.25">
      <c r="A706" s="32">
        <f>'Profit &amp; Loss'!A706</f>
        <v>0</v>
      </c>
      <c r="B706" s="35">
        <f>'Profit &amp; Loss'!B706</f>
        <v>0</v>
      </c>
      <c r="C706" s="36"/>
      <c r="D706" s="33"/>
      <c r="E706" s="102">
        <f t="shared" si="22"/>
        <v>0</v>
      </c>
      <c r="F706" s="103" t="str">
        <f t="shared" si="18"/>
        <v>0 tubes and 0 shuttles</v>
      </c>
      <c r="G706" s="36">
        <f t="shared" si="23"/>
        <v>0</v>
      </c>
      <c r="H706" s="104" t="str">
        <f t="shared" si="19"/>
        <v>0 tubes and 0 shuttles</v>
      </c>
      <c r="I706" s="36">
        <f t="shared" si="20"/>
        <v>0</v>
      </c>
      <c r="J706" s="103" t="str">
        <f t="shared" si="21"/>
        <v>0 tubes and 0 shuttles</v>
      </c>
    </row>
    <row r="707" spans="1:10" ht="12.5" x14ac:dyDescent="0.25">
      <c r="A707" s="32">
        <f>'Profit &amp; Loss'!A707</f>
        <v>0</v>
      </c>
      <c r="B707" s="35">
        <f>'Profit &amp; Loss'!B707</f>
        <v>0</v>
      </c>
      <c r="C707" s="36"/>
      <c r="D707" s="33"/>
      <c r="E707" s="102">
        <f t="shared" si="22"/>
        <v>0</v>
      </c>
      <c r="F707" s="103" t="str">
        <f t="shared" si="18"/>
        <v>0 tubes and 0 shuttles</v>
      </c>
      <c r="G707" s="36">
        <f t="shared" si="23"/>
        <v>0</v>
      </c>
      <c r="H707" s="104" t="str">
        <f t="shared" si="19"/>
        <v>0 tubes and 0 shuttles</v>
      </c>
      <c r="I707" s="36">
        <f t="shared" si="20"/>
        <v>0</v>
      </c>
      <c r="J707" s="103" t="str">
        <f t="shared" si="21"/>
        <v>0 tubes and 0 shuttles</v>
      </c>
    </row>
    <row r="708" spans="1:10" ht="12.5" x14ac:dyDescent="0.25">
      <c r="A708" s="32">
        <f>'Profit &amp; Loss'!A708</f>
        <v>0</v>
      </c>
      <c r="B708" s="35">
        <f>'Profit &amp; Loss'!B708</f>
        <v>0</v>
      </c>
      <c r="C708" s="36"/>
      <c r="D708" s="33"/>
      <c r="E708" s="102">
        <f t="shared" si="22"/>
        <v>0</v>
      </c>
      <c r="F708" s="103" t="str">
        <f t="shared" si="18"/>
        <v>0 tubes and 0 shuttles</v>
      </c>
      <c r="G708" s="36">
        <f t="shared" si="23"/>
        <v>0</v>
      </c>
      <c r="H708" s="104" t="str">
        <f t="shared" si="19"/>
        <v>0 tubes and 0 shuttles</v>
      </c>
      <c r="I708" s="36">
        <f t="shared" si="20"/>
        <v>0</v>
      </c>
      <c r="J708" s="103" t="str">
        <f t="shared" si="21"/>
        <v>0 tubes and 0 shuttles</v>
      </c>
    </row>
    <row r="709" spans="1:10" ht="12.5" x14ac:dyDescent="0.25">
      <c r="A709" s="32">
        <f>'Profit &amp; Loss'!A709</f>
        <v>0</v>
      </c>
      <c r="B709" s="35">
        <f>'Profit &amp; Loss'!B709</f>
        <v>0</v>
      </c>
      <c r="C709" s="36"/>
      <c r="D709" s="33"/>
      <c r="E709" s="102">
        <f t="shared" si="22"/>
        <v>0</v>
      </c>
      <c r="F709" s="103" t="str">
        <f t="shared" si="18"/>
        <v>0 tubes and 0 shuttles</v>
      </c>
      <c r="G709" s="36">
        <f t="shared" si="23"/>
        <v>0</v>
      </c>
      <c r="H709" s="104" t="str">
        <f t="shared" si="19"/>
        <v>0 tubes and 0 shuttles</v>
      </c>
      <c r="I709" s="36">
        <f t="shared" si="20"/>
        <v>0</v>
      </c>
      <c r="J709" s="103" t="str">
        <f t="shared" si="21"/>
        <v>0 tubes and 0 shuttles</v>
      </c>
    </row>
    <row r="710" spans="1:10" ht="12.5" x14ac:dyDescent="0.25">
      <c r="A710" s="32">
        <f>'Profit &amp; Loss'!A710</f>
        <v>0</v>
      </c>
      <c r="B710" s="35">
        <f>'Profit &amp; Loss'!B710</f>
        <v>0</v>
      </c>
      <c r="C710" s="36"/>
      <c r="D710" s="33"/>
      <c r="E710" s="102">
        <f t="shared" si="22"/>
        <v>0</v>
      </c>
      <c r="F710" s="103" t="str">
        <f t="shared" si="18"/>
        <v>0 tubes and 0 shuttles</v>
      </c>
      <c r="G710" s="36">
        <f t="shared" si="23"/>
        <v>0</v>
      </c>
      <c r="H710" s="104" t="str">
        <f t="shared" si="19"/>
        <v>0 tubes and 0 shuttles</v>
      </c>
      <c r="I710" s="36">
        <f t="shared" si="20"/>
        <v>0</v>
      </c>
      <c r="J710" s="103" t="str">
        <f t="shared" si="21"/>
        <v>0 tubes and 0 shuttles</v>
      </c>
    </row>
    <row r="711" spans="1:10" ht="12.5" x14ac:dyDescent="0.25">
      <c r="A711" s="32">
        <f>'Profit &amp; Loss'!A711</f>
        <v>0</v>
      </c>
      <c r="B711" s="35">
        <f>'Profit &amp; Loss'!B711</f>
        <v>0</v>
      </c>
      <c r="C711" s="36"/>
      <c r="D711" s="33"/>
      <c r="E711" s="102">
        <f t="shared" si="22"/>
        <v>0</v>
      </c>
      <c r="F711" s="103" t="str">
        <f t="shared" si="18"/>
        <v>0 tubes and 0 shuttles</v>
      </c>
      <c r="G711" s="36">
        <f t="shared" si="23"/>
        <v>0</v>
      </c>
      <c r="H711" s="104" t="str">
        <f t="shared" si="19"/>
        <v>0 tubes and 0 shuttles</v>
      </c>
      <c r="I711" s="36">
        <f t="shared" si="20"/>
        <v>0</v>
      </c>
      <c r="J711" s="103" t="str">
        <f t="shared" si="21"/>
        <v>0 tubes and 0 shuttles</v>
      </c>
    </row>
    <row r="712" spans="1:10" ht="12.5" x14ac:dyDescent="0.25">
      <c r="A712" s="32">
        <f>'Profit &amp; Loss'!A712</f>
        <v>0</v>
      </c>
      <c r="B712" s="35">
        <f>'Profit &amp; Loss'!B712</f>
        <v>0</v>
      </c>
      <c r="C712" s="36"/>
      <c r="D712" s="33"/>
      <c r="E712" s="102">
        <f t="shared" si="22"/>
        <v>0</v>
      </c>
      <c r="F712" s="103" t="str">
        <f t="shared" si="18"/>
        <v>0 tubes and 0 shuttles</v>
      </c>
      <c r="G712" s="36">
        <f t="shared" si="23"/>
        <v>0</v>
      </c>
      <c r="H712" s="104" t="str">
        <f t="shared" si="19"/>
        <v>0 tubes and 0 shuttles</v>
      </c>
      <c r="I712" s="36">
        <f t="shared" si="20"/>
        <v>0</v>
      </c>
      <c r="J712" s="103" t="str">
        <f t="shared" si="21"/>
        <v>0 tubes and 0 shuttles</v>
      </c>
    </row>
    <row r="713" spans="1:10" ht="12.5" x14ac:dyDescent="0.25">
      <c r="A713" s="32">
        <f>'Profit &amp; Loss'!A713</f>
        <v>0</v>
      </c>
      <c r="B713" s="35">
        <f>'Profit &amp; Loss'!B713</f>
        <v>0</v>
      </c>
      <c r="C713" s="36"/>
      <c r="D713" s="33"/>
      <c r="E713" s="102">
        <f t="shared" si="22"/>
        <v>0</v>
      </c>
      <c r="F713" s="103" t="str">
        <f t="shared" si="18"/>
        <v>0 tubes and 0 shuttles</v>
      </c>
      <c r="G713" s="36">
        <f t="shared" si="23"/>
        <v>0</v>
      </c>
      <c r="H713" s="104" t="str">
        <f t="shared" si="19"/>
        <v>0 tubes and 0 shuttles</v>
      </c>
      <c r="I713" s="36">
        <f t="shared" si="20"/>
        <v>0</v>
      </c>
      <c r="J713" s="103" t="str">
        <f t="shared" si="21"/>
        <v>0 tubes and 0 shuttles</v>
      </c>
    </row>
    <row r="714" spans="1:10" ht="12.5" x14ac:dyDescent="0.25">
      <c r="A714" s="32">
        <f>'Profit &amp; Loss'!A714</f>
        <v>0</v>
      </c>
      <c r="B714" s="35">
        <f>'Profit &amp; Loss'!B714</f>
        <v>0</v>
      </c>
      <c r="C714" s="36"/>
      <c r="D714" s="33"/>
      <c r="E714" s="102">
        <f t="shared" si="22"/>
        <v>0</v>
      </c>
      <c r="F714" s="103" t="str">
        <f t="shared" si="18"/>
        <v>0 tubes and 0 shuttles</v>
      </c>
      <c r="G714" s="36">
        <f t="shared" si="23"/>
        <v>0</v>
      </c>
      <c r="H714" s="104" t="str">
        <f t="shared" si="19"/>
        <v>0 tubes and 0 shuttles</v>
      </c>
      <c r="I714" s="36">
        <f t="shared" si="20"/>
        <v>0</v>
      </c>
      <c r="J714" s="103" t="str">
        <f t="shared" si="21"/>
        <v>0 tubes and 0 shuttles</v>
      </c>
    </row>
    <row r="715" spans="1:10" ht="12.5" x14ac:dyDescent="0.25">
      <c r="A715" s="32">
        <f>'Profit &amp; Loss'!A715</f>
        <v>0</v>
      </c>
      <c r="B715" s="35">
        <f>'Profit &amp; Loss'!B715</f>
        <v>0</v>
      </c>
      <c r="C715" s="36"/>
      <c r="D715" s="33"/>
      <c r="E715" s="102">
        <f t="shared" si="22"/>
        <v>0</v>
      </c>
      <c r="F715" s="103" t="str">
        <f t="shared" si="18"/>
        <v>0 tubes and 0 shuttles</v>
      </c>
      <c r="G715" s="36">
        <f t="shared" si="23"/>
        <v>0</v>
      </c>
      <c r="H715" s="104" t="str">
        <f t="shared" si="19"/>
        <v>0 tubes and 0 shuttles</v>
      </c>
      <c r="I715" s="36">
        <f t="shared" si="20"/>
        <v>0</v>
      </c>
      <c r="J715" s="103" t="str">
        <f t="shared" si="21"/>
        <v>0 tubes and 0 shuttles</v>
      </c>
    </row>
    <row r="716" spans="1:10" ht="12.5" x14ac:dyDescent="0.25">
      <c r="A716" s="32">
        <f>'Profit &amp; Loss'!A716</f>
        <v>0</v>
      </c>
      <c r="B716" s="35">
        <f>'Profit &amp; Loss'!B716</f>
        <v>0</v>
      </c>
      <c r="C716" s="36"/>
      <c r="D716" s="33"/>
      <c r="E716" s="102">
        <f t="shared" si="22"/>
        <v>0</v>
      </c>
      <c r="F716" s="103" t="str">
        <f t="shared" si="18"/>
        <v>0 tubes and 0 shuttles</v>
      </c>
      <c r="G716" s="36">
        <f t="shared" si="23"/>
        <v>0</v>
      </c>
      <c r="H716" s="104" t="str">
        <f t="shared" si="19"/>
        <v>0 tubes and 0 shuttles</v>
      </c>
      <c r="I716" s="36">
        <f t="shared" si="20"/>
        <v>0</v>
      </c>
      <c r="J716" s="103" t="str">
        <f t="shared" si="21"/>
        <v>0 tubes and 0 shuttles</v>
      </c>
    </row>
    <row r="717" spans="1:10" ht="12.5" x14ac:dyDescent="0.25">
      <c r="A717" s="32">
        <f>'Profit &amp; Loss'!A717</f>
        <v>0</v>
      </c>
      <c r="B717" s="35">
        <f>'Profit &amp; Loss'!B717</f>
        <v>0</v>
      </c>
      <c r="C717" s="36"/>
      <c r="D717" s="33"/>
      <c r="E717" s="102">
        <f t="shared" si="22"/>
        <v>0</v>
      </c>
      <c r="F717" s="103" t="str">
        <f t="shared" si="18"/>
        <v>0 tubes and 0 shuttles</v>
      </c>
      <c r="G717" s="36">
        <f t="shared" si="23"/>
        <v>0</v>
      </c>
      <c r="H717" s="104" t="str">
        <f t="shared" si="19"/>
        <v>0 tubes and 0 shuttles</v>
      </c>
      <c r="I717" s="36">
        <f t="shared" si="20"/>
        <v>0</v>
      </c>
      <c r="J717" s="103" t="str">
        <f t="shared" si="21"/>
        <v>0 tubes and 0 shuttles</v>
      </c>
    </row>
    <row r="718" spans="1:10" ht="12.5" x14ac:dyDescent="0.25">
      <c r="A718" s="32">
        <f>'Profit &amp; Loss'!A718</f>
        <v>0</v>
      </c>
      <c r="B718" s="35">
        <f>'Profit &amp; Loss'!B718</f>
        <v>0</v>
      </c>
      <c r="C718" s="36"/>
      <c r="D718" s="33"/>
      <c r="E718" s="102">
        <f t="shared" si="22"/>
        <v>0</v>
      </c>
      <c r="F718" s="103" t="str">
        <f t="shared" si="18"/>
        <v>0 tubes and 0 shuttles</v>
      </c>
      <c r="G718" s="36">
        <f t="shared" si="23"/>
        <v>0</v>
      </c>
      <c r="H718" s="104" t="str">
        <f t="shared" si="19"/>
        <v>0 tubes and 0 shuttles</v>
      </c>
      <c r="I718" s="36">
        <f t="shared" si="20"/>
        <v>0</v>
      </c>
      <c r="J718" s="103" t="str">
        <f t="shared" si="21"/>
        <v>0 tubes and 0 shuttles</v>
      </c>
    </row>
    <row r="719" spans="1:10" ht="12.5" x14ac:dyDescent="0.25">
      <c r="A719" s="32">
        <f>'Profit &amp; Loss'!A719</f>
        <v>0</v>
      </c>
      <c r="B719" s="35">
        <f>'Profit &amp; Loss'!B719</f>
        <v>0</v>
      </c>
      <c r="C719" s="36"/>
      <c r="D719" s="33"/>
      <c r="E719" s="102">
        <f t="shared" si="22"/>
        <v>0</v>
      </c>
      <c r="F719" s="103" t="str">
        <f t="shared" si="18"/>
        <v>0 tubes and 0 shuttles</v>
      </c>
      <c r="G719" s="36">
        <f t="shared" si="23"/>
        <v>0</v>
      </c>
      <c r="H719" s="104" t="str">
        <f t="shared" si="19"/>
        <v>0 tubes and 0 shuttles</v>
      </c>
      <c r="I719" s="36">
        <f t="shared" si="20"/>
        <v>0</v>
      </c>
      <c r="J719" s="103" t="str">
        <f t="shared" si="21"/>
        <v>0 tubes and 0 shuttles</v>
      </c>
    </row>
    <row r="720" spans="1:10" ht="12.5" x14ac:dyDescent="0.25">
      <c r="A720" s="32">
        <f>'Profit &amp; Loss'!A720</f>
        <v>0</v>
      </c>
      <c r="B720" s="35">
        <f>'Profit &amp; Loss'!B720</f>
        <v>0</v>
      </c>
      <c r="C720" s="36"/>
      <c r="D720" s="33"/>
      <c r="E720" s="102">
        <f t="shared" si="22"/>
        <v>0</v>
      </c>
      <c r="F720" s="103" t="str">
        <f t="shared" si="18"/>
        <v>0 tubes and 0 shuttles</v>
      </c>
      <c r="G720" s="36">
        <f t="shared" si="23"/>
        <v>0</v>
      </c>
      <c r="H720" s="104" t="str">
        <f t="shared" si="19"/>
        <v>0 tubes and 0 shuttles</v>
      </c>
      <c r="I720" s="36">
        <f t="shared" si="20"/>
        <v>0</v>
      </c>
      <c r="J720" s="103" t="str">
        <f t="shared" si="21"/>
        <v>0 tubes and 0 shuttles</v>
      </c>
    </row>
    <row r="721" spans="1:10" ht="12.5" x14ac:dyDescent="0.25">
      <c r="A721" s="32">
        <f>'Profit &amp; Loss'!A721</f>
        <v>0</v>
      </c>
      <c r="B721" s="35">
        <f>'Profit &amp; Loss'!B721</f>
        <v>0</v>
      </c>
      <c r="C721" s="36"/>
      <c r="D721" s="33"/>
      <c r="E721" s="102">
        <f t="shared" si="22"/>
        <v>0</v>
      </c>
      <c r="F721" s="103" t="str">
        <f t="shared" si="18"/>
        <v>0 tubes and 0 shuttles</v>
      </c>
      <c r="G721" s="36">
        <f t="shared" si="23"/>
        <v>0</v>
      </c>
      <c r="H721" s="104" t="str">
        <f t="shared" si="19"/>
        <v>0 tubes and 0 shuttles</v>
      </c>
      <c r="I721" s="36">
        <f t="shared" si="20"/>
        <v>0</v>
      </c>
      <c r="J721" s="103" t="str">
        <f t="shared" si="21"/>
        <v>0 tubes and 0 shuttles</v>
      </c>
    </row>
    <row r="722" spans="1:10" ht="12.5" x14ac:dyDescent="0.25">
      <c r="A722" s="32">
        <f>'Profit &amp; Loss'!A722</f>
        <v>0</v>
      </c>
      <c r="B722" s="35">
        <f>'Profit &amp; Loss'!B722</f>
        <v>0</v>
      </c>
      <c r="C722" s="36"/>
      <c r="D722" s="33"/>
      <c r="E722" s="102">
        <f t="shared" si="22"/>
        <v>0</v>
      </c>
      <c r="F722" s="103" t="str">
        <f t="shared" si="18"/>
        <v>0 tubes and 0 shuttles</v>
      </c>
      <c r="G722" s="36">
        <f t="shared" si="23"/>
        <v>0</v>
      </c>
      <c r="H722" s="104" t="str">
        <f t="shared" si="19"/>
        <v>0 tubes and 0 shuttles</v>
      </c>
      <c r="I722" s="36">
        <f t="shared" si="20"/>
        <v>0</v>
      </c>
      <c r="J722" s="103" t="str">
        <f t="shared" si="21"/>
        <v>0 tubes and 0 shuttles</v>
      </c>
    </row>
    <row r="723" spans="1:10" ht="12.5" x14ac:dyDescent="0.25">
      <c r="A723" s="32">
        <f>'Profit &amp; Loss'!A723</f>
        <v>0</v>
      </c>
      <c r="B723" s="35">
        <f>'Profit &amp; Loss'!B723</f>
        <v>0</v>
      </c>
      <c r="C723" s="36"/>
      <c r="D723" s="33"/>
      <c r="E723" s="102">
        <f t="shared" si="22"/>
        <v>0</v>
      </c>
      <c r="F723" s="103" t="str">
        <f t="shared" si="18"/>
        <v>0 tubes and 0 shuttles</v>
      </c>
      <c r="G723" s="36">
        <f t="shared" si="23"/>
        <v>0</v>
      </c>
      <c r="H723" s="104" t="str">
        <f t="shared" si="19"/>
        <v>0 tubes and 0 shuttles</v>
      </c>
      <c r="I723" s="36">
        <f t="shared" si="20"/>
        <v>0</v>
      </c>
      <c r="J723" s="103" t="str">
        <f t="shared" si="21"/>
        <v>0 tubes and 0 shuttles</v>
      </c>
    </row>
    <row r="724" spans="1:10" ht="12.5" x14ac:dyDescent="0.25">
      <c r="A724" s="32">
        <f>'Profit &amp; Loss'!A724</f>
        <v>0</v>
      </c>
      <c r="B724" s="35">
        <f>'Profit &amp; Loss'!B724</f>
        <v>0</v>
      </c>
      <c r="C724" s="36"/>
      <c r="D724" s="33"/>
      <c r="E724" s="102">
        <f t="shared" si="22"/>
        <v>0</v>
      </c>
      <c r="F724" s="103" t="str">
        <f t="shared" si="18"/>
        <v>0 tubes and 0 shuttles</v>
      </c>
      <c r="G724" s="36">
        <f t="shared" si="23"/>
        <v>0</v>
      </c>
      <c r="H724" s="104" t="str">
        <f t="shared" si="19"/>
        <v>0 tubes and 0 shuttles</v>
      </c>
      <c r="I724" s="36">
        <f t="shared" si="20"/>
        <v>0</v>
      </c>
      <c r="J724" s="103" t="str">
        <f t="shared" si="21"/>
        <v>0 tubes and 0 shuttles</v>
      </c>
    </row>
    <row r="725" spans="1:10" ht="12.5" x14ac:dyDescent="0.25">
      <c r="A725" s="32">
        <f>'Profit &amp; Loss'!A725</f>
        <v>0</v>
      </c>
      <c r="B725" s="35">
        <f>'Profit &amp; Loss'!B725</f>
        <v>0</v>
      </c>
      <c r="C725" s="36"/>
      <c r="D725" s="33"/>
      <c r="E725" s="102">
        <f t="shared" si="22"/>
        <v>0</v>
      </c>
      <c r="F725" s="103" t="str">
        <f t="shared" si="18"/>
        <v>0 tubes and 0 shuttles</v>
      </c>
      <c r="G725" s="36">
        <f t="shared" si="23"/>
        <v>0</v>
      </c>
      <c r="H725" s="104" t="str">
        <f t="shared" si="19"/>
        <v>0 tubes and 0 shuttles</v>
      </c>
      <c r="I725" s="36">
        <f t="shared" si="20"/>
        <v>0</v>
      </c>
      <c r="J725" s="103" t="str">
        <f t="shared" si="21"/>
        <v>0 tubes and 0 shuttles</v>
      </c>
    </row>
    <row r="726" spans="1:10" ht="12.5" x14ac:dyDescent="0.25">
      <c r="A726" s="32">
        <f>'Profit &amp; Loss'!A726</f>
        <v>0</v>
      </c>
      <c r="B726" s="35">
        <f>'Profit &amp; Loss'!B726</f>
        <v>0</v>
      </c>
      <c r="C726" s="36"/>
      <c r="D726" s="33"/>
      <c r="E726" s="102">
        <f t="shared" si="22"/>
        <v>0</v>
      </c>
      <c r="F726" s="103" t="str">
        <f t="shared" si="18"/>
        <v>0 tubes and 0 shuttles</v>
      </c>
      <c r="G726" s="36">
        <f t="shared" si="23"/>
        <v>0</v>
      </c>
      <c r="H726" s="104" t="str">
        <f t="shared" si="19"/>
        <v>0 tubes and 0 shuttles</v>
      </c>
      <c r="I726" s="36">
        <f t="shared" si="20"/>
        <v>0</v>
      </c>
      <c r="J726" s="103" t="str">
        <f t="shared" si="21"/>
        <v>0 tubes and 0 shuttles</v>
      </c>
    </row>
    <row r="727" spans="1:10" ht="12.5" x14ac:dyDescent="0.25">
      <c r="A727" s="32">
        <f>'Profit &amp; Loss'!A727</f>
        <v>0</v>
      </c>
      <c r="B727" s="35">
        <f>'Profit &amp; Loss'!B727</f>
        <v>0</v>
      </c>
      <c r="C727" s="36"/>
      <c r="D727" s="33"/>
      <c r="E727" s="102">
        <f t="shared" si="22"/>
        <v>0</v>
      </c>
      <c r="F727" s="103" t="str">
        <f t="shared" si="18"/>
        <v>0 tubes and 0 shuttles</v>
      </c>
      <c r="G727" s="36">
        <f t="shared" si="23"/>
        <v>0</v>
      </c>
      <c r="H727" s="104" t="str">
        <f t="shared" si="19"/>
        <v>0 tubes and 0 shuttles</v>
      </c>
      <c r="I727" s="36">
        <f t="shared" si="20"/>
        <v>0</v>
      </c>
      <c r="J727" s="103" t="str">
        <f t="shared" si="21"/>
        <v>0 tubes and 0 shuttles</v>
      </c>
    </row>
    <row r="728" spans="1:10" ht="12.5" x14ac:dyDescent="0.25">
      <c r="A728" s="32">
        <f>'Profit &amp; Loss'!A728</f>
        <v>0</v>
      </c>
      <c r="B728" s="35">
        <f>'Profit &amp; Loss'!B728</f>
        <v>0</v>
      </c>
      <c r="C728" s="36"/>
      <c r="D728" s="33"/>
      <c r="E728" s="102">
        <f t="shared" si="22"/>
        <v>0</v>
      </c>
      <c r="F728" s="103" t="str">
        <f t="shared" si="18"/>
        <v>0 tubes and 0 shuttles</v>
      </c>
      <c r="G728" s="36">
        <f t="shared" si="23"/>
        <v>0</v>
      </c>
      <c r="H728" s="104" t="str">
        <f t="shared" si="19"/>
        <v>0 tubes and 0 shuttles</v>
      </c>
      <c r="I728" s="36">
        <f t="shared" si="20"/>
        <v>0</v>
      </c>
      <c r="J728" s="103" t="str">
        <f t="shared" si="21"/>
        <v>0 tubes and 0 shuttles</v>
      </c>
    </row>
    <row r="729" spans="1:10" ht="12.5" x14ac:dyDescent="0.25">
      <c r="A729" s="32">
        <f>'Profit &amp; Loss'!A729</f>
        <v>0</v>
      </c>
      <c r="B729" s="35">
        <f>'Profit &amp; Loss'!B729</f>
        <v>0</v>
      </c>
      <c r="C729" s="36"/>
      <c r="D729" s="33"/>
      <c r="E729" s="102">
        <f t="shared" si="22"/>
        <v>0</v>
      </c>
      <c r="F729" s="103" t="str">
        <f t="shared" si="18"/>
        <v>0 tubes and 0 shuttles</v>
      </c>
      <c r="G729" s="36">
        <f t="shared" si="23"/>
        <v>0</v>
      </c>
      <c r="H729" s="104" t="str">
        <f t="shared" si="19"/>
        <v>0 tubes and 0 shuttles</v>
      </c>
      <c r="I729" s="36">
        <f t="shared" si="20"/>
        <v>0</v>
      </c>
      <c r="J729" s="103" t="str">
        <f t="shared" si="21"/>
        <v>0 tubes and 0 shuttles</v>
      </c>
    </row>
    <row r="730" spans="1:10" ht="12.5" x14ac:dyDescent="0.25">
      <c r="A730" s="32">
        <f>'Profit &amp; Loss'!A730</f>
        <v>0</v>
      </c>
      <c r="B730" s="35">
        <f>'Profit &amp; Loss'!B730</f>
        <v>0</v>
      </c>
      <c r="C730" s="36"/>
      <c r="D730" s="33"/>
      <c r="E730" s="102">
        <f t="shared" si="22"/>
        <v>0</v>
      </c>
      <c r="F730" s="103" t="str">
        <f t="shared" si="18"/>
        <v>0 tubes and 0 shuttles</v>
      </c>
      <c r="G730" s="36">
        <f t="shared" si="23"/>
        <v>0</v>
      </c>
      <c r="H730" s="104" t="str">
        <f t="shared" si="19"/>
        <v>0 tubes and 0 shuttles</v>
      </c>
      <c r="I730" s="36">
        <f t="shared" si="20"/>
        <v>0</v>
      </c>
      <c r="J730" s="103" t="str">
        <f t="shared" si="21"/>
        <v>0 tubes and 0 shuttles</v>
      </c>
    </row>
    <row r="731" spans="1:10" ht="12.5" x14ac:dyDescent="0.25">
      <c r="A731" s="32">
        <f>'Profit &amp; Loss'!A731</f>
        <v>0</v>
      </c>
      <c r="B731" s="35">
        <f>'Profit &amp; Loss'!B731</f>
        <v>0</v>
      </c>
      <c r="C731" s="36"/>
      <c r="D731" s="33"/>
      <c r="E731" s="102">
        <f t="shared" si="22"/>
        <v>0</v>
      </c>
      <c r="F731" s="103" t="str">
        <f t="shared" si="18"/>
        <v>0 tubes and 0 shuttles</v>
      </c>
      <c r="G731" s="36">
        <f t="shared" si="23"/>
        <v>0</v>
      </c>
      <c r="H731" s="104" t="str">
        <f t="shared" si="19"/>
        <v>0 tubes and 0 shuttles</v>
      </c>
      <c r="I731" s="36">
        <f t="shared" si="20"/>
        <v>0</v>
      </c>
      <c r="J731" s="103" t="str">
        <f t="shared" si="21"/>
        <v>0 tubes and 0 shuttles</v>
      </c>
    </row>
    <row r="732" spans="1:10" ht="12.5" x14ac:dyDescent="0.25">
      <c r="A732" s="32">
        <f>'Profit &amp; Loss'!A732</f>
        <v>0</v>
      </c>
      <c r="B732" s="35">
        <f>'Profit &amp; Loss'!B732</f>
        <v>0</v>
      </c>
      <c r="C732" s="36"/>
      <c r="D732" s="33"/>
      <c r="E732" s="102">
        <f t="shared" si="22"/>
        <v>0</v>
      </c>
      <c r="F732" s="103" t="str">
        <f t="shared" si="18"/>
        <v>0 tubes and 0 shuttles</v>
      </c>
      <c r="G732" s="36">
        <f t="shared" si="23"/>
        <v>0</v>
      </c>
      <c r="H732" s="104" t="str">
        <f t="shared" si="19"/>
        <v>0 tubes and 0 shuttles</v>
      </c>
      <c r="I732" s="36">
        <f t="shared" si="20"/>
        <v>0</v>
      </c>
      <c r="J732" s="103" t="str">
        <f t="shared" si="21"/>
        <v>0 tubes and 0 shuttles</v>
      </c>
    </row>
    <row r="733" spans="1:10" ht="12.5" x14ac:dyDescent="0.25">
      <c r="A733" s="32">
        <f>'Profit &amp; Loss'!A733</f>
        <v>0</v>
      </c>
      <c r="B733" s="35">
        <f>'Profit &amp; Loss'!B733</f>
        <v>0</v>
      </c>
      <c r="C733" s="36"/>
      <c r="D733" s="33"/>
      <c r="E733" s="102">
        <f t="shared" si="22"/>
        <v>0</v>
      </c>
      <c r="F733" s="103" t="str">
        <f t="shared" si="18"/>
        <v>0 tubes and 0 shuttles</v>
      </c>
      <c r="G733" s="36">
        <f t="shared" si="23"/>
        <v>0</v>
      </c>
      <c r="H733" s="104" t="str">
        <f t="shared" si="19"/>
        <v>0 tubes and 0 shuttles</v>
      </c>
      <c r="I733" s="36">
        <f t="shared" si="20"/>
        <v>0</v>
      </c>
      <c r="J733" s="103" t="str">
        <f t="shared" si="21"/>
        <v>0 tubes and 0 shuttles</v>
      </c>
    </row>
    <row r="734" spans="1:10" ht="12.5" x14ac:dyDescent="0.25">
      <c r="A734" s="32">
        <f>'Profit &amp; Loss'!A734</f>
        <v>0</v>
      </c>
      <c r="B734" s="35">
        <f>'Profit &amp; Loss'!B734</f>
        <v>0</v>
      </c>
      <c r="C734" s="36"/>
      <c r="D734" s="33"/>
      <c r="E734" s="102">
        <f t="shared" si="22"/>
        <v>0</v>
      </c>
      <c r="F734" s="103" t="str">
        <f t="shared" si="18"/>
        <v>0 tubes and 0 shuttles</v>
      </c>
      <c r="G734" s="36">
        <f t="shared" si="23"/>
        <v>0</v>
      </c>
      <c r="H734" s="104" t="str">
        <f t="shared" si="19"/>
        <v>0 tubes and 0 shuttles</v>
      </c>
      <c r="I734" s="36">
        <f t="shared" si="20"/>
        <v>0</v>
      </c>
      <c r="J734" s="103" t="str">
        <f t="shared" si="21"/>
        <v>0 tubes and 0 shuttles</v>
      </c>
    </row>
    <row r="735" spans="1:10" ht="12.5" x14ac:dyDescent="0.25">
      <c r="A735" s="32">
        <f>'Profit &amp; Loss'!A735</f>
        <v>0</v>
      </c>
      <c r="B735" s="35">
        <f>'Profit &amp; Loss'!B735</f>
        <v>0</v>
      </c>
      <c r="C735" s="36"/>
      <c r="D735" s="33"/>
      <c r="E735" s="102">
        <f t="shared" si="22"/>
        <v>0</v>
      </c>
      <c r="F735" s="103" t="str">
        <f t="shared" si="18"/>
        <v>0 tubes and 0 shuttles</v>
      </c>
      <c r="G735" s="36">
        <f t="shared" si="23"/>
        <v>0</v>
      </c>
      <c r="H735" s="104" t="str">
        <f t="shared" si="19"/>
        <v>0 tubes and 0 shuttles</v>
      </c>
      <c r="I735" s="36">
        <f t="shared" si="20"/>
        <v>0</v>
      </c>
      <c r="J735" s="103" t="str">
        <f t="shared" si="21"/>
        <v>0 tubes and 0 shuttles</v>
      </c>
    </row>
    <row r="736" spans="1:10" ht="12.5" x14ac:dyDescent="0.25">
      <c r="A736" s="32">
        <f>'Profit &amp; Loss'!A736</f>
        <v>0</v>
      </c>
      <c r="B736" s="35">
        <f>'Profit &amp; Loss'!B736</f>
        <v>0</v>
      </c>
      <c r="C736" s="36"/>
      <c r="D736" s="33"/>
      <c r="E736" s="102">
        <f t="shared" si="22"/>
        <v>0</v>
      </c>
      <c r="F736" s="103" t="str">
        <f t="shared" si="18"/>
        <v>0 tubes and 0 shuttles</v>
      </c>
      <c r="G736" s="36">
        <f t="shared" si="23"/>
        <v>0</v>
      </c>
      <c r="H736" s="104" t="str">
        <f t="shared" si="19"/>
        <v>0 tubes and 0 shuttles</v>
      </c>
      <c r="I736" s="36">
        <f t="shared" si="20"/>
        <v>0</v>
      </c>
      <c r="J736" s="103" t="str">
        <f t="shared" si="21"/>
        <v>0 tubes and 0 shuttles</v>
      </c>
    </row>
    <row r="737" spans="1:10" ht="12.5" x14ac:dyDescent="0.25">
      <c r="A737" s="32">
        <f>'Profit &amp; Loss'!A737</f>
        <v>0</v>
      </c>
      <c r="B737" s="35">
        <f>'Profit &amp; Loss'!B737</f>
        <v>0</v>
      </c>
      <c r="C737" s="36"/>
      <c r="D737" s="33"/>
      <c r="E737" s="102">
        <f t="shared" si="22"/>
        <v>0</v>
      </c>
      <c r="F737" s="103" t="str">
        <f t="shared" si="18"/>
        <v>0 tubes and 0 shuttles</v>
      </c>
      <c r="G737" s="36">
        <f t="shared" si="23"/>
        <v>0</v>
      </c>
      <c r="H737" s="104" t="str">
        <f t="shared" si="19"/>
        <v>0 tubes and 0 shuttles</v>
      </c>
      <c r="I737" s="36">
        <f t="shared" si="20"/>
        <v>0</v>
      </c>
      <c r="J737" s="103" t="str">
        <f t="shared" si="21"/>
        <v>0 tubes and 0 shuttles</v>
      </c>
    </row>
    <row r="738" spans="1:10" ht="12.5" x14ac:dyDescent="0.25">
      <c r="A738" s="32">
        <f>'Profit &amp; Loss'!A738</f>
        <v>0</v>
      </c>
      <c r="B738" s="35">
        <f>'Profit &amp; Loss'!B738</f>
        <v>0</v>
      </c>
      <c r="C738" s="36"/>
      <c r="D738" s="33"/>
      <c r="E738" s="102">
        <f t="shared" si="22"/>
        <v>0</v>
      </c>
      <c r="F738" s="103" t="str">
        <f t="shared" si="18"/>
        <v>0 tubes and 0 shuttles</v>
      </c>
      <c r="G738" s="36">
        <f t="shared" si="23"/>
        <v>0</v>
      </c>
      <c r="H738" s="104" t="str">
        <f t="shared" si="19"/>
        <v>0 tubes and 0 shuttles</v>
      </c>
      <c r="I738" s="36">
        <f t="shared" si="20"/>
        <v>0</v>
      </c>
      <c r="J738" s="103" t="str">
        <f t="shared" si="21"/>
        <v>0 tubes and 0 shuttles</v>
      </c>
    </row>
    <row r="739" spans="1:10" ht="12.5" x14ac:dyDescent="0.25">
      <c r="A739" s="32">
        <f>'Profit &amp; Loss'!A739</f>
        <v>0</v>
      </c>
      <c r="B739" s="35">
        <f>'Profit &amp; Loss'!B739</f>
        <v>0</v>
      </c>
      <c r="C739" s="36"/>
      <c r="D739" s="33"/>
      <c r="E739" s="102">
        <f t="shared" si="22"/>
        <v>0</v>
      </c>
      <c r="F739" s="103" t="str">
        <f t="shared" si="18"/>
        <v>0 tubes and 0 shuttles</v>
      </c>
      <c r="G739" s="36">
        <f t="shared" si="23"/>
        <v>0</v>
      </c>
      <c r="H739" s="104" t="str">
        <f t="shared" si="19"/>
        <v>0 tubes and 0 shuttles</v>
      </c>
      <c r="I739" s="36">
        <f t="shared" si="20"/>
        <v>0</v>
      </c>
      <c r="J739" s="103" t="str">
        <f t="shared" si="21"/>
        <v>0 tubes and 0 shuttles</v>
      </c>
    </row>
    <row r="740" spans="1:10" ht="12.5" x14ac:dyDescent="0.25">
      <c r="A740" s="32">
        <f>'Profit &amp; Loss'!A740</f>
        <v>0</v>
      </c>
      <c r="B740" s="35">
        <f>'Profit &amp; Loss'!B740</f>
        <v>0</v>
      </c>
      <c r="C740" s="36"/>
      <c r="D740" s="33"/>
      <c r="E740" s="102">
        <f t="shared" si="22"/>
        <v>0</v>
      </c>
      <c r="F740" s="103" t="str">
        <f t="shared" si="18"/>
        <v>0 tubes and 0 shuttles</v>
      </c>
      <c r="G740" s="36">
        <f t="shared" si="23"/>
        <v>0</v>
      </c>
      <c r="H740" s="104" t="str">
        <f t="shared" si="19"/>
        <v>0 tubes and 0 shuttles</v>
      </c>
      <c r="I740" s="36">
        <f t="shared" si="20"/>
        <v>0</v>
      </c>
      <c r="J740" s="103" t="str">
        <f t="shared" si="21"/>
        <v>0 tubes and 0 shuttles</v>
      </c>
    </row>
    <row r="741" spans="1:10" ht="12.5" x14ac:dyDescent="0.25">
      <c r="A741" s="32">
        <f>'Profit &amp; Loss'!A741</f>
        <v>0</v>
      </c>
      <c r="B741" s="35">
        <f>'Profit &amp; Loss'!B741</f>
        <v>0</v>
      </c>
      <c r="C741" s="36"/>
      <c r="D741" s="33"/>
      <c r="E741" s="102">
        <f t="shared" si="22"/>
        <v>0</v>
      </c>
      <c r="F741" s="103" t="str">
        <f t="shared" si="18"/>
        <v>0 tubes and 0 shuttles</v>
      </c>
      <c r="G741" s="36">
        <f t="shared" si="23"/>
        <v>0</v>
      </c>
      <c r="H741" s="104" t="str">
        <f t="shared" si="19"/>
        <v>0 tubes and 0 shuttles</v>
      </c>
      <c r="I741" s="36">
        <f t="shared" si="20"/>
        <v>0</v>
      </c>
      <c r="J741" s="103" t="str">
        <f t="shared" si="21"/>
        <v>0 tubes and 0 shuttles</v>
      </c>
    </row>
    <row r="742" spans="1:10" ht="12.5" x14ac:dyDescent="0.25">
      <c r="A742" s="32">
        <f>'Profit &amp; Loss'!A742</f>
        <v>0</v>
      </c>
      <c r="B742" s="35">
        <f>'Profit &amp; Loss'!B742</f>
        <v>0</v>
      </c>
      <c r="C742" s="36"/>
      <c r="D742" s="33"/>
      <c r="E742" s="102">
        <f t="shared" si="22"/>
        <v>0</v>
      </c>
      <c r="F742" s="103" t="str">
        <f t="shared" si="18"/>
        <v>0 tubes and 0 shuttles</v>
      </c>
      <c r="G742" s="36">
        <f t="shared" si="23"/>
        <v>0</v>
      </c>
      <c r="H742" s="104" t="str">
        <f t="shared" si="19"/>
        <v>0 tubes and 0 shuttles</v>
      </c>
      <c r="I742" s="36">
        <f t="shared" si="20"/>
        <v>0</v>
      </c>
      <c r="J742" s="103" t="str">
        <f t="shared" si="21"/>
        <v>0 tubes and 0 shuttles</v>
      </c>
    </row>
    <row r="743" spans="1:10" ht="12.5" x14ac:dyDescent="0.25">
      <c r="A743" s="32">
        <f>'Profit &amp; Loss'!A743</f>
        <v>0</v>
      </c>
      <c r="B743" s="35">
        <f>'Profit &amp; Loss'!B743</f>
        <v>0</v>
      </c>
      <c r="C743" s="36"/>
      <c r="D743" s="33"/>
      <c r="E743" s="102">
        <f t="shared" si="22"/>
        <v>0</v>
      </c>
      <c r="F743" s="103" t="str">
        <f t="shared" si="18"/>
        <v>0 tubes and 0 shuttles</v>
      </c>
      <c r="G743" s="36">
        <f t="shared" si="23"/>
        <v>0</v>
      </c>
      <c r="H743" s="104" t="str">
        <f t="shared" si="19"/>
        <v>0 tubes and 0 shuttles</v>
      </c>
      <c r="I743" s="36">
        <f t="shared" si="20"/>
        <v>0</v>
      </c>
      <c r="J743" s="103" t="str">
        <f t="shared" si="21"/>
        <v>0 tubes and 0 shuttles</v>
      </c>
    </row>
    <row r="744" spans="1:10" ht="12.5" x14ac:dyDescent="0.25">
      <c r="A744" s="32">
        <f>'Profit &amp; Loss'!A744</f>
        <v>0</v>
      </c>
      <c r="B744" s="35">
        <f>'Profit &amp; Loss'!B744</f>
        <v>0</v>
      </c>
      <c r="C744" s="36"/>
      <c r="D744" s="33"/>
      <c r="E744" s="102">
        <f t="shared" si="22"/>
        <v>0</v>
      </c>
      <c r="F744" s="103" t="str">
        <f t="shared" si="18"/>
        <v>0 tubes and 0 shuttles</v>
      </c>
      <c r="G744" s="36">
        <f t="shared" si="23"/>
        <v>0</v>
      </c>
      <c r="H744" s="104" t="str">
        <f t="shared" si="19"/>
        <v>0 tubes and 0 shuttles</v>
      </c>
      <c r="I744" s="36">
        <f t="shared" si="20"/>
        <v>0</v>
      </c>
      <c r="J744" s="103" t="str">
        <f t="shared" si="21"/>
        <v>0 tubes and 0 shuttles</v>
      </c>
    </row>
    <row r="745" spans="1:10" ht="12.5" x14ac:dyDescent="0.25">
      <c r="A745" s="32">
        <f>'Profit &amp; Loss'!A745</f>
        <v>0</v>
      </c>
      <c r="B745" s="35">
        <f>'Profit &amp; Loss'!B745</f>
        <v>0</v>
      </c>
      <c r="C745" s="36"/>
      <c r="D745" s="33"/>
      <c r="E745" s="102">
        <f t="shared" si="22"/>
        <v>0</v>
      </c>
      <c r="F745" s="103" t="str">
        <f t="shared" si="18"/>
        <v>0 tubes and 0 shuttles</v>
      </c>
      <c r="G745" s="36">
        <f t="shared" si="23"/>
        <v>0</v>
      </c>
      <c r="H745" s="104" t="str">
        <f t="shared" si="19"/>
        <v>0 tubes and 0 shuttles</v>
      </c>
      <c r="I745" s="36">
        <f t="shared" si="20"/>
        <v>0</v>
      </c>
      <c r="J745" s="103" t="str">
        <f t="shared" si="21"/>
        <v>0 tubes and 0 shuttles</v>
      </c>
    </row>
    <row r="746" spans="1:10" ht="12.5" x14ac:dyDescent="0.25">
      <c r="A746" s="32">
        <f>'Profit &amp; Loss'!A746</f>
        <v>0</v>
      </c>
      <c r="B746" s="35">
        <f>'Profit &amp; Loss'!B746</f>
        <v>0</v>
      </c>
      <c r="C746" s="36"/>
      <c r="D746" s="33"/>
      <c r="E746" s="102">
        <f t="shared" si="22"/>
        <v>0</v>
      </c>
      <c r="F746" s="103" t="str">
        <f t="shared" si="18"/>
        <v>0 tubes and 0 shuttles</v>
      </c>
      <c r="G746" s="36">
        <f t="shared" si="23"/>
        <v>0</v>
      </c>
      <c r="H746" s="104" t="str">
        <f t="shared" si="19"/>
        <v>0 tubes and 0 shuttles</v>
      </c>
      <c r="I746" s="36">
        <f t="shared" si="20"/>
        <v>0</v>
      </c>
      <c r="J746" s="103" t="str">
        <f t="shared" si="21"/>
        <v>0 tubes and 0 shuttles</v>
      </c>
    </row>
    <row r="747" spans="1:10" ht="12.5" x14ac:dyDescent="0.25">
      <c r="A747" s="32">
        <f>'Profit &amp; Loss'!A747</f>
        <v>0</v>
      </c>
      <c r="B747" s="35">
        <f>'Profit &amp; Loss'!B747</f>
        <v>0</v>
      </c>
      <c r="C747" s="36"/>
      <c r="D747" s="33"/>
      <c r="E747" s="102">
        <f t="shared" si="22"/>
        <v>0</v>
      </c>
      <c r="F747" s="103" t="str">
        <f t="shared" si="18"/>
        <v>0 tubes and 0 shuttles</v>
      </c>
      <c r="G747" s="36">
        <f t="shared" si="23"/>
        <v>0</v>
      </c>
      <c r="H747" s="104" t="str">
        <f t="shared" si="19"/>
        <v>0 tubes and 0 shuttles</v>
      </c>
      <c r="I747" s="36">
        <f t="shared" si="20"/>
        <v>0</v>
      </c>
      <c r="J747" s="103" t="str">
        <f t="shared" si="21"/>
        <v>0 tubes and 0 shuttles</v>
      </c>
    </row>
    <row r="748" spans="1:10" ht="12.5" x14ac:dyDescent="0.25">
      <c r="A748" s="32">
        <f>'Profit &amp; Loss'!A748</f>
        <v>0</v>
      </c>
      <c r="B748" s="35">
        <f>'Profit &amp; Loss'!B748</f>
        <v>0</v>
      </c>
      <c r="C748" s="36"/>
      <c r="D748" s="33"/>
      <c r="E748" s="102">
        <f t="shared" si="22"/>
        <v>0</v>
      </c>
      <c r="F748" s="103" t="str">
        <f t="shared" si="18"/>
        <v>0 tubes and 0 shuttles</v>
      </c>
      <c r="G748" s="36">
        <f t="shared" si="23"/>
        <v>0</v>
      </c>
      <c r="H748" s="104" t="str">
        <f t="shared" si="19"/>
        <v>0 tubes and 0 shuttles</v>
      </c>
      <c r="I748" s="36">
        <f t="shared" si="20"/>
        <v>0</v>
      </c>
      <c r="J748" s="103" t="str">
        <f t="shared" si="21"/>
        <v>0 tubes and 0 shuttles</v>
      </c>
    </row>
    <row r="749" spans="1:10" ht="12.5" x14ac:dyDescent="0.25">
      <c r="A749" s="32">
        <f>'Profit &amp; Loss'!A749</f>
        <v>0</v>
      </c>
      <c r="B749" s="35">
        <f>'Profit &amp; Loss'!B749</f>
        <v>0</v>
      </c>
      <c r="C749" s="36"/>
      <c r="D749" s="33"/>
      <c r="E749" s="102">
        <f t="shared" si="22"/>
        <v>0</v>
      </c>
      <c r="F749" s="103" t="str">
        <f t="shared" si="18"/>
        <v>0 tubes and 0 shuttles</v>
      </c>
      <c r="G749" s="36">
        <f t="shared" si="23"/>
        <v>0</v>
      </c>
      <c r="H749" s="104" t="str">
        <f t="shared" si="19"/>
        <v>0 tubes and 0 shuttles</v>
      </c>
      <c r="I749" s="36">
        <f t="shared" si="20"/>
        <v>0</v>
      </c>
      <c r="J749" s="103" t="str">
        <f t="shared" si="21"/>
        <v>0 tubes and 0 shuttles</v>
      </c>
    </row>
    <row r="750" spans="1:10" ht="12.5" x14ac:dyDescent="0.25">
      <c r="A750" s="32">
        <f>'Profit &amp; Loss'!A750</f>
        <v>0</v>
      </c>
      <c r="B750" s="35">
        <f>'Profit &amp; Loss'!B750</f>
        <v>0</v>
      </c>
      <c r="C750" s="36"/>
      <c r="D750" s="33"/>
      <c r="E750" s="102">
        <f t="shared" si="22"/>
        <v>0</v>
      </c>
      <c r="F750" s="103" t="str">
        <f t="shared" si="18"/>
        <v>0 tubes and 0 shuttles</v>
      </c>
      <c r="G750" s="36">
        <f t="shared" si="23"/>
        <v>0</v>
      </c>
      <c r="H750" s="104" t="str">
        <f t="shared" si="19"/>
        <v>0 tubes and 0 shuttles</v>
      </c>
      <c r="I750" s="36">
        <f t="shared" si="20"/>
        <v>0</v>
      </c>
      <c r="J750" s="103" t="str">
        <f t="shared" si="21"/>
        <v>0 tubes and 0 shuttles</v>
      </c>
    </row>
    <row r="751" spans="1:10" ht="12.5" x14ac:dyDescent="0.25">
      <c r="A751" s="32">
        <f>'Profit &amp; Loss'!A751</f>
        <v>0</v>
      </c>
      <c r="B751" s="35">
        <f>'Profit &amp; Loss'!B751</f>
        <v>0</v>
      </c>
      <c r="C751" s="36"/>
      <c r="D751" s="33"/>
      <c r="E751" s="102">
        <f t="shared" si="22"/>
        <v>0</v>
      </c>
      <c r="F751" s="103" t="str">
        <f t="shared" si="18"/>
        <v>0 tubes and 0 shuttles</v>
      </c>
      <c r="G751" s="36">
        <f t="shared" si="23"/>
        <v>0</v>
      </c>
      <c r="H751" s="104" t="str">
        <f t="shared" si="19"/>
        <v>0 tubes and 0 shuttles</v>
      </c>
      <c r="I751" s="36">
        <f t="shared" si="20"/>
        <v>0</v>
      </c>
      <c r="J751" s="103" t="str">
        <f t="shared" si="21"/>
        <v>0 tubes and 0 shuttles</v>
      </c>
    </row>
    <row r="752" spans="1:10" ht="12.5" x14ac:dyDescent="0.25">
      <c r="A752" s="32">
        <f>'Profit &amp; Loss'!A752</f>
        <v>0</v>
      </c>
      <c r="B752" s="35">
        <f>'Profit &amp; Loss'!B752</f>
        <v>0</v>
      </c>
      <c r="C752" s="36"/>
      <c r="D752" s="33"/>
      <c r="E752" s="102">
        <f t="shared" si="22"/>
        <v>0</v>
      </c>
      <c r="F752" s="103" t="str">
        <f t="shared" si="18"/>
        <v>0 tubes and 0 shuttles</v>
      </c>
      <c r="G752" s="36">
        <f t="shared" si="23"/>
        <v>0</v>
      </c>
      <c r="H752" s="104" t="str">
        <f t="shared" si="19"/>
        <v>0 tubes and 0 shuttles</v>
      </c>
      <c r="I752" s="36">
        <f t="shared" si="20"/>
        <v>0</v>
      </c>
      <c r="J752" s="103" t="str">
        <f t="shared" si="21"/>
        <v>0 tubes and 0 shuttles</v>
      </c>
    </row>
    <row r="753" spans="1:10" ht="12.5" x14ac:dyDescent="0.25">
      <c r="A753" s="32">
        <f>'Profit &amp; Loss'!A753</f>
        <v>0</v>
      </c>
      <c r="B753" s="35">
        <f>'Profit &amp; Loss'!B753</f>
        <v>0</v>
      </c>
      <c r="C753" s="36"/>
      <c r="D753" s="33"/>
      <c r="E753" s="102">
        <f t="shared" si="22"/>
        <v>0</v>
      </c>
      <c r="F753" s="103" t="str">
        <f t="shared" si="18"/>
        <v>0 tubes and 0 shuttles</v>
      </c>
      <c r="G753" s="36">
        <f t="shared" si="23"/>
        <v>0</v>
      </c>
      <c r="H753" s="104" t="str">
        <f t="shared" si="19"/>
        <v>0 tubes and 0 shuttles</v>
      </c>
      <c r="I753" s="36">
        <f t="shared" si="20"/>
        <v>0</v>
      </c>
      <c r="J753" s="103" t="str">
        <f t="shared" si="21"/>
        <v>0 tubes and 0 shuttles</v>
      </c>
    </row>
    <row r="754" spans="1:10" ht="12.5" x14ac:dyDescent="0.25">
      <c r="A754" s="32">
        <f>'Profit &amp; Loss'!A754</f>
        <v>0</v>
      </c>
      <c r="B754" s="35">
        <f>'Profit &amp; Loss'!B754</f>
        <v>0</v>
      </c>
      <c r="C754" s="36"/>
      <c r="D754" s="33"/>
      <c r="E754" s="102">
        <f t="shared" si="22"/>
        <v>0</v>
      </c>
      <c r="F754" s="103" t="str">
        <f t="shared" si="18"/>
        <v>0 tubes and 0 shuttles</v>
      </c>
      <c r="G754" s="36">
        <f t="shared" si="23"/>
        <v>0</v>
      </c>
      <c r="H754" s="104" t="str">
        <f t="shared" si="19"/>
        <v>0 tubes and 0 shuttles</v>
      </c>
      <c r="I754" s="36">
        <f t="shared" si="20"/>
        <v>0</v>
      </c>
      <c r="J754" s="103" t="str">
        <f t="shared" si="21"/>
        <v>0 tubes and 0 shuttles</v>
      </c>
    </row>
    <row r="755" spans="1:10" ht="12.5" x14ac:dyDescent="0.25">
      <c r="A755" s="32">
        <f>'Profit &amp; Loss'!A755</f>
        <v>0</v>
      </c>
      <c r="B755" s="35">
        <f>'Profit &amp; Loss'!B755</f>
        <v>0</v>
      </c>
      <c r="C755" s="36"/>
      <c r="D755" s="33"/>
      <c r="E755" s="102">
        <f t="shared" si="22"/>
        <v>0</v>
      </c>
      <c r="F755" s="103" t="str">
        <f t="shared" si="18"/>
        <v>0 tubes and 0 shuttles</v>
      </c>
      <c r="G755" s="36">
        <f t="shared" si="23"/>
        <v>0</v>
      </c>
      <c r="H755" s="104" t="str">
        <f t="shared" si="19"/>
        <v>0 tubes and 0 shuttles</v>
      </c>
      <c r="I755" s="36">
        <f t="shared" si="20"/>
        <v>0</v>
      </c>
      <c r="J755" s="103" t="str">
        <f t="shared" si="21"/>
        <v>0 tubes and 0 shuttles</v>
      </c>
    </row>
    <row r="756" spans="1:10" ht="12.5" x14ac:dyDescent="0.25">
      <c r="A756" s="32">
        <f>'Profit &amp; Loss'!A756</f>
        <v>0</v>
      </c>
      <c r="B756" s="35">
        <f>'Profit &amp; Loss'!B756</f>
        <v>0</v>
      </c>
      <c r="C756" s="36"/>
      <c r="D756" s="33"/>
      <c r="E756" s="102">
        <f t="shared" si="22"/>
        <v>0</v>
      </c>
      <c r="F756" s="103" t="str">
        <f t="shared" si="18"/>
        <v>0 tubes and 0 shuttles</v>
      </c>
      <c r="G756" s="36">
        <f t="shared" si="23"/>
        <v>0</v>
      </c>
      <c r="H756" s="104" t="str">
        <f t="shared" si="19"/>
        <v>0 tubes and 0 shuttles</v>
      </c>
      <c r="I756" s="36">
        <f t="shared" si="20"/>
        <v>0</v>
      </c>
      <c r="J756" s="103" t="str">
        <f t="shared" si="21"/>
        <v>0 tubes and 0 shuttles</v>
      </c>
    </row>
    <row r="757" spans="1:10" ht="12.5" x14ac:dyDescent="0.25">
      <c r="A757" s="32">
        <f>'Profit &amp; Loss'!A757</f>
        <v>0</v>
      </c>
      <c r="B757" s="35">
        <f>'Profit &amp; Loss'!B757</f>
        <v>0</v>
      </c>
      <c r="C757" s="36"/>
      <c r="D757" s="33"/>
      <c r="E757" s="102">
        <f t="shared" si="22"/>
        <v>0</v>
      </c>
      <c r="F757" s="103" t="str">
        <f t="shared" si="18"/>
        <v>0 tubes and 0 shuttles</v>
      </c>
      <c r="G757" s="36">
        <f t="shared" si="23"/>
        <v>0</v>
      </c>
      <c r="H757" s="104" t="str">
        <f t="shared" si="19"/>
        <v>0 tubes and 0 shuttles</v>
      </c>
      <c r="I757" s="36">
        <f t="shared" si="20"/>
        <v>0</v>
      </c>
      <c r="J757" s="103" t="str">
        <f t="shared" si="21"/>
        <v>0 tubes and 0 shuttles</v>
      </c>
    </row>
    <row r="758" spans="1:10" ht="12.5" x14ac:dyDescent="0.25">
      <c r="A758" s="32">
        <f>'Profit &amp; Loss'!A758</f>
        <v>0</v>
      </c>
      <c r="B758" s="35">
        <f>'Profit &amp; Loss'!B758</f>
        <v>0</v>
      </c>
      <c r="C758" s="36"/>
      <c r="D758" s="33"/>
      <c r="E758" s="102">
        <f t="shared" si="22"/>
        <v>0</v>
      </c>
      <c r="F758" s="103" t="str">
        <f t="shared" si="18"/>
        <v>0 tubes and 0 shuttles</v>
      </c>
      <c r="G758" s="36">
        <f t="shared" si="23"/>
        <v>0</v>
      </c>
      <c r="H758" s="104" t="str">
        <f t="shared" si="19"/>
        <v>0 tubes and 0 shuttles</v>
      </c>
      <c r="I758" s="36">
        <f t="shared" si="20"/>
        <v>0</v>
      </c>
      <c r="J758" s="103" t="str">
        <f t="shared" si="21"/>
        <v>0 tubes and 0 shuttles</v>
      </c>
    </row>
    <row r="759" spans="1:10" ht="12.5" x14ac:dyDescent="0.25">
      <c r="A759" s="32">
        <f>'Profit &amp; Loss'!A759</f>
        <v>0</v>
      </c>
      <c r="B759" s="35">
        <f>'Profit &amp; Loss'!B759</f>
        <v>0</v>
      </c>
      <c r="C759" s="36"/>
      <c r="D759" s="33"/>
      <c r="E759" s="102">
        <f t="shared" si="22"/>
        <v>0</v>
      </c>
      <c r="F759" s="103" t="str">
        <f t="shared" si="18"/>
        <v>0 tubes and 0 shuttles</v>
      </c>
      <c r="G759" s="36">
        <f t="shared" si="23"/>
        <v>0</v>
      </c>
      <c r="H759" s="104" t="str">
        <f t="shared" si="19"/>
        <v>0 tubes and 0 shuttles</v>
      </c>
      <c r="I759" s="36">
        <f t="shared" si="20"/>
        <v>0</v>
      </c>
      <c r="J759" s="103" t="str">
        <f t="shared" si="21"/>
        <v>0 tubes and 0 shuttles</v>
      </c>
    </row>
    <row r="760" spans="1:10" ht="12.5" x14ac:dyDescent="0.25">
      <c r="A760" s="32">
        <f>'Profit &amp; Loss'!A760</f>
        <v>0</v>
      </c>
      <c r="B760" s="35">
        <f>'Profit &amp; Loss'!B760</f>
        <v>0</v>
      </c>
      <c r="C760" s="36"/>
      <c r="D760" s="33"/>
      <c r="E760" s="102">
        <f t="shared" si="22"/>
        <v>0</v>
      </c>
      <c r="F760" s="103" t="str">
        <f t="shared" si="18"/>
        <v>0 tubes and 0 shuttles</v>
      </c>
      <c r="G760" s="36">
        <f t="shared" si="23"/>
        <v>0</v>
      </c>
      <c r="H760" s="104" t="str">
        <f t="shared" si="19"/>
        <v>0 tubes and 0 shuttles</v>
      </c>
      <c r="I760" s="36">
        <f t="shared" si="20"/>
        <v>0</v>
      </c>
      <c r="J760" s="103" t="str">
        <f t="shared" si="21"/>
        <v>0 tubes and 0 shuttles</v>
      </c>
    </row>
    <row r="761" spans="1:10" ht="12.5" x14ac:dyDescent="0.25">
      <c r="A761" s="32">
        <f>'Profit &amp; Loss'!A761</f>
        <v>0</v>
      </c>
      <c r="B761" s="35">
        <f>'Profit &amp; Loss'!B761</f>
        <v>0</v>
      </c>
      <c r="C761" s="36"/>
      <c r="D761" s="33"/>
      <c r="E761" s="102">
        <f t="shared" si="22"/>
        <v>0</v>
      </c>
      <c r="F761" s="103" t="str">
        <f t="shared" si="18"/>
        <v>0 tubes and 0 shuttles</v>
      </c>
      <c r="G761" s="36">
        <f t="shared" si="23"/>
        <v>0</v>
      </c>
      <c r="H761" s="104" t="str">
        <f t="shared" si="19"/>
        <v>0 tubes and 0 shuttles</v>
      </c>
      <c r="I761" s="36">
        <f t="shared" si="20"/>
        <v>0</v>
      </c>
      <c r="J761" s="103" t="str">
        <f t="shared" si="21"/>
        <v>0 tubes and 0 shuttles</v>
      </c>
    </row>
    <row r="762" spans="1:10" ht="12.5" x14ac:dyDescent="0.25">
      <c r="A762" s="32">
        <f>'Profit &amp; Loss'!A762</f>
        <v>0</v>
      </c>
      <c r="B762" s="35">
        <f>'Profit &amp; Loss'!B762</f>
        <v>0</v>
      </c>
      <c r="C762" s="36"/>
      <c r="D762" s="33"/>
      <c r="E762" s="102">
        <f t="shared" si="22"/>
        <v>0</v>
      </c>
      <c r="F762" s="103" t="str">
        <f t="shared" si="18"/>
        <v>0 tubes and 0 shuttles</v>
      </c>
      <c r="G762" s="36">
        <f t="shared" si="23"/>
        <v>0</v>
      </c>
      <c r="H762" s="104" t="str">
        <f t="shared" si="19"/>
        <v>0 tubes and 0 shuttles</v>
      </c>
      <c r="I762" s="36">
        <f t="shared" si="20"/>
        <v>0</v>
      </c>
      <c r="J762" s="103" t="str">
        <f t="shared" si="21"/>
        <v>0 tubes and 0 shuttles</v>
      </c>
    </row>
    <row r="763" spans="1:10" ht="12.5" x14ac:dyDescent="0.25">
      <c r="A763" s="32">
        <f>'Profit &amp; Loss'!A763</f>
        <v>0</v>
      </c>
      <c r="B763" s="35">
        <f>'Profit &amp; Loss'!B763</f>
        <v>0</v>
      </c>
      <c r="C763" s="36"/>
      <c r="D763" s="33"/>
      <c r="E763" s="102">
        <f t="shared" si="22"/>
        <v>0</v>
      </c>
      <c r="F763" s="103" t="str">
        <f t="shared" si="18"/>
        <v>0 tubes and 0 shuttles</v>
      </c>
      <c r="G763" s="36">
        <f t="shared" si="23"/>
        <v>0</v>
      </c>
      <c r="H763" s="104" t="str">
        <f t="shared" si="19"/>
        <v>0 tubes and 0 shuttles</v>
      </c>
      <c r="I763" s="36">
        <f t="shared" si="20"/>
        <v>0</v>
      </c>
      <c r="J763" s="103" t="str">
        <f t="shared" si="21"/>
        <v>0 tubes and 0 shuttles</v>
      </c>
    </row>
    <row r="764" spans="1:10" ht="12.5" x14ac:dyDescent="0.25">
      <c r="A764" s="32">
        <f>'Profit &amp; Loss'!A764</f>
        <v>0</v>
      </c>
      <c r="B764" s="35">
        <f>'Profit &amp; Loss'!B764</f>
        <v>0</v>
      </c>
      <c r="C764" s="36"/>
      <c r="D764" s="33"/>
      <c r="E764" s="102">
        <f t="shared" si="22"/>
        <v>0</v>
      </c>
      <c r="F764" s="103" t="str">
        <f t="shared" si="18"/>
        <v>0 tubes and 0 shuttles</v>
      </c>
      <c r="G764" s="36">
        <f t="shared" si="23"/>
        <v>0</v>
      </c>
      <c r="H764" s="104" t="str">
        <f t="shared" si="19"/>
        <v>0 tubes and 0 shuttles</v>
      </c>
      <c r="I764" s="36">
        <f t="shared" si="20"/>
        <v>0</v>
      </c>
      <c r="J764" s="103" t="str">
        <f t="shared" si="21"/>
        <v>0 tubes and 0 shuttles</v>
      </c>
    </row>
    <row r="765" spans="1:10" ht="12.5" x14ac:dyDescent="0.25">
      <c r="A765" s="32">
        <f>'Profit &amp; Loss'!A765</f>
        <v>0</v>
      </c>
      <c r="B765" s="35">
        <f>'Profit &amp; Loss'!B765</f>
        <v>0</v>
      </c>
      <c r="C765" s="36"/>
      <c r="D765" s="33"/>
      <c r="E765" s="102">
        <f t="shared" si="22"/>
        <v>0</v>
      </c>
      <c r="F765" s="103" t="str">
        <f t="shared" si="18"/>
        <v>0 tubes and 0 shuttles</v>
      </c>
      <c r="G765" s="36">
        <f t="shared" si="23"/>
        <v>0</v>
      </c>
      <c r="H765" s="104" t="str">
        <f t="shared" si="19"/>
        <v>0 tubes and 0 shuttles</v>
      </c>
      <c r="I765" s="36">
        <f t="shared" si="20"/>
        <v>0</v>
      </c>
      <c r="J765" s="103" t="str">
        <f t="shared" si="21"/>
        <v>0 tubes and 0 shuttles</v>
      </c>
    </row>
    <row r="766" spans="1:10" ht="12.5" x14ac:dyDescent="0.25">
      <c r="A766" s="32">
        <f>'Profit &amp; Loss'!A766</f>
        <v>0</v>
      </c>
      <c r="B766" s="35">
        <f>'Profit &amp; Loss'!B766</f>
        <v>0</v>
      </c>
      <c r="C766" s="36"/>
      <c r="D766" s="33"/>
      <c r="E766" s="102">
        <f t="shared" si="22"/>
        <v>0</v>
      </c>
      <c r="F766" s="103" t="str">
        <f t="shared" si="18"/>
        <v>0 tubes and 0 shuttles</v>
      </c>
      <c r="G766" s="36">
        <f t="shared" si="23"/>
        <v>0</v>
      </c>
      <c r="H766" s="104" t="str">
        <f t="shared" si="19"/>
        <v>0 tubes and 0 shuttles</v>
      </c>
      <c r="I766" s="36">
        <f t="shared" si="20"/>
        <v>0</v>
      </c>
      <c r="J766" s="103" t="str">
        <f t="shared" si="21"/>
        <v>0 tubes and 0 shuttles</v>
      </c>
    </row>
    <row r="767" spans="1:10" ht="12.5" x14ac:dyDescent="0.25">
      <c r="A767" s="32">
        <f>'Profit &amp; Loss'!A767</f>
        <v>0</v>
      </c>
      <c r="B767" s="35">
        <f>'Profit &amp; Loss'!B767</f>
        <v>0</v>
      </c>
      <c r="C767" s="36"/>
      <c r="D767" s="33"/>
      <c r="E767" s="102">
        <f t="shared" si="22"/>
        <v>0</v>
      </c>
      <c r="F767" s="103" t="str">
        <f t="shared" si="18"/>
        <v>0 tubes and 0 shuttles</v>
      </c>
      <c r="G767" s="36">
        <f t="shared" si="23"/>
        <v>0</v>
      </c>
      <c r="H767" s="104" t="str">
        <f t="shared" si="19"/>
        <v>0 tubes and 0 shuttles</v>
      </c>
      <c r="I767" s="36">
        <f t="shared" si="20"/>
        <v>0</v>
      </c>
      <c r="J767" s="103" t="str">
        <f t="shared" si="21"/>
        <v>0 tubes and 0 shuttles</v>
      </c>
    </row>
    <row r="768" spans="1:10" ht="12.5" x14ac:dyDescent="0.25">
      <c r="A768" s="32">
        <f>'Profit &amp; Loss'!A768</f>
        <v>0</v>
      </c>
      <c r="B768" s="35">
        <f>'Profit &amp; Loss'!B768</f>
        <v>0</v>
      </c>
      <c r="C768" s="36"/>
      <c r="D768" s="33"/>
      <c r="E768" s="102">
        <f t="shared" si="22"/>
        <v>0</v>
      </c>
      <c r="F768" s="103" t="str">
        <f t="shared" si="18"/>
        <v>0 tubes and 0 shuttles</v>
      </c>
      <c r="G768" s="36">
        <f t="shared" si="23"/>
        <v>0</v>
      </c>
      <c r="H768" s="104" t="str">
        <f t="shared" si="19"/>
        <v>0 tubes and 0 shuttles</v>
      </c>
      <c r="I768" s="36">
        <f t="shared" si="20"/>
        <v>0</v>
      </c>
      <c r="J768" s="103" t="str">
        <f t="shared" si="21"/>
        <v>0 tubes and 0 shuttles</v>
      </c>
    </row>
    <row r="769" spans="1:10" ht="12.5" x14ac:dyDescent="0.25">
      <c r="A769" s="32">
        <f>'Profit &amp; Loss'!A769</f>
        <v>0</v>
      </c>
      <c r="B769" s="35">
        <f>'Profit &amp; Loss'!B769</f>
        <v>0</v>
      </c>
      <c r="C769" s="36"/>
      <c r="D769" s="33"/>
      <c r="E769" s="102">
        <f t="shared" si="22"/>
        <v>0</v>
      </c>
      <c r="F769" s="103" t="str">
        <f t="shared" si="18"/>
        <v>0 tubes and 0 shuttles</v>
      </c>
      <c r="G769" s="36">
        <f t="shared" si="23"/>
        <v>0</v>
      </c>
      <c r="H769" s="104" t="str">
        <f t="shared" si="19"/>
        <v>0 tubes and 0 shuttles</v>
      </c>
      <c r="I769" s="36">
        <f t="shared" si="20"/>
        <v>0</v>
      </c>
      <c r="J769" s="103" t="str">
        <f t="shared" si="21"/>
        <v>0 tubes and 0 shuttles</v>
      </c>
    </row>
    <row r="770" spans="1:10" ht="12.5" x14ac:dyDescent="0.25">
      <c r="A770" s="32">
        <f>'Profit &amp; Loss'!A770</f>
        <v>0</v>
      </c>
      <c r="B770" s="35">
        <f>'Profit &amp; Loss'!B770</f>
        <v>0</v>
      </c>
      <c r="C770" s="36"/>
      <c r="D770" s="33"/>
      <c r="E770" s="102">
        <f t="shared" si="22"/>
        <v>0</v>
      </c>
      <c r="F770" s="103" t="str">
        <f t="shared" si="18"/>
        <v>0 tubes and 0 shuttles</v>
      </c>
      <c r="G770" s="36">
        <f t="shared" si="23"/>
        <v>0</v>
      </c>
      <c r="H770" s="104" t="str">
        <f t="shared" si="19"/>
        <v>0 tubes and 0 shuttles</v>
      </c>
      <c r="I770" s="36">
        <f t="shared" si="20"/>
        <v>0</v>
      </c>
      <c r="J770" s="103" t="str">
        <f t="shared" si="21"/>
        <v>0 tubes and 0 shuttles</v>
      </c>
    </row>
    <row r="771" spans="1:10" ht="12.5" x14ac:dyDescent="0.25">
      <c r="A771" s="32">
        <f>'Profit &amp; Loss'!A771</f>
        <v>0</v>
      </c>
      <c r="B771" s="35">
        <f>'Profit &amp; Loss'!B771</f>
        <v>0</v>
      </c>
      <c r="C771" s="36"/>
      <c r="D771" s="33"/>
      <c r="E771" s="102">
        <f t="shared" si="22"/>
        <v>0</v>
      </c>
      <c r="F771" s="103" t="str">
        <f t="shared" ref="F771:F989" si="24">QUOTIENT(E771,12) &amp; " tubes and " &amp; MOD(E771,12) &amp; " shuttles"</f>
        <v>0 tubes and 0 shuttles</v>
      </c>
      <c r="G771" s="36">
        <f t="shared" si="23"/>
        <v>0</v>
      </c>
      <c r="H771" s="104" t="str">
        <f t="shared" ref="H771:H989" si="25">QUOTIENT(G771,12) &amp; " tubes and " &amp; MOD(G771,12) &amp; " shuttles"</f>
        <v>0 tubes and 0 shuttles</v>
      </c>
      <c r="I771" s="36">
        <f t="shared" ref="I771:I989" si="26">SUM(E771:H771)</f>
        <v>0</v>
      </c>
      <c r="J771" s="103" t="str">
        <f t="shared" ref="J771:J989" si="27">QUOTIENT(I771,12) &amp; " tubes and " &amp; MOD(I771,12) &amp; " shuttles"</f>
        <v>0 tubes and 0 shuttles</v>
      </c>
    </row>
    <row r="772" spans="1:10" ht="12.5" x14ac:dyDescent="0.25">
      <c r="A772" s="32">
        <f>'Profit &amp; Loss'!A772</f>
        <v>0</v>
      </c>
      <c r="B772" s="35">
        <f>'Profit &amp; Loss'!B772</f>
        <v>0</v>
      </c>
      <c r="C772" s="36"/>
      <c r="D772" s="33"/>
      <c r="E772" s="102">
        <f t="shared" si="22"/>
        <v>0</v>
      </c>
      <c r="F772" s="103" t="str">
        <f t="shared" si="24"/>
        <v>0 tubes and 0 shuttles</v>
      </c>
      <c r="G772" s="36">
        <f t="shared" si="23"/>
        <v>0</v>
      </c>
      <c r="H772" s="104" t="str">
        <f t="shared" si="25"/>
        <v>0 tubes and 0 shuttles</v>
      </c>
      <c r="I772" s="36">
        <f t="shared" si="26"/>
        <v>0</v>
      </c>
      <c r="J772" s="103" t="str">
        <f t="shared" si="27"/>
        <v>0 tubes and 0 shuttles</v>
      </c>
    </row>
    <row r="773" spans="1:10" ht="12.5" x14ac:dyDescent="0.25">
      <c r="A773" s="32">
        <f>'Profit &amp; Loss'!A773</f>
        <v>0</v>
      </c>
      <c r="B773" s="35">
        <f>'Profit &amp; Loss'!B773</f>
        <v>0</v>
      </c>
      <c r="C773" s="36"/>
      <c r="D773" s="33"/>
      <c r="E773" s="102">
        <f t="shared" si="22"/>
        <v>0</v>
      </c>
      <c r="F773" s="103" t="str">
        <f t="shared" si="24"/>
        <v>0 tubes and 0 shuttles</v>
      </c>
      <c r="G773" s="36">
        <f t="shared" si="23"/>
        <v>0</v>
      </c>
      <c r="H773" s="104" t="str">
        <f t="shared" si="25"/>
        <v>0 tubes and 0 shuttles</v>
      </c>
      <c r="I773" s="36">
        <f t="shared" si="26"/>
        <v>0</v>
      </c>
      <c r="J773" s="103" t="str">
        <f t="shared" si="27"/>
        <v>0 tubes and 0 shuttles</v>
      </c>
    </row>
    <row r="774" spans="1:10" ht="12.5" x14ac:dyDescent="0.25">
      <c r="A774" s="32">
        <f>'Profit &amp; Loss'!A774</f>
        <v>0</v>
      </c>
      <c r="B774" s="35">
        <f>'Profit &amp; Loss'!B774</f>
        <v>0</v>
      </c>
      <c r="C774" s="36"/>
      <c r="D774" s="33"/>
      <c r="E774" s="102">
        <f t="shared" si="22"/>
        <v>0</v>
      </c>
      <c r="F774" s="103" t="str">
        <f t="shared" si="24"/>
        <v>0 tubes and 0 shuttles</v>
      </c>
      <c r="G774" s="36">
        <f t="shared" si="23"/>
        <v>0</v>
      </c>
      <c r="H774" s="104" t="str">
        <f t="shared" si="25"/>
        <v>0 tubes and 0 shuttles</v>
      </c>
      <c r="I774" s="36">
        <f t="shared" si="26"/>
        <v>0</v>
      </c>
      <c r="J774" s="103" t="str">
        <f t="shared" si="27"/>
        <v>0 tubes and 0 shuttles</v>
      </c>
    </row>
    <row r="775" spans="1:10" ht="12.5" x14ac:dyDescent="0.25">
      <c r="A775" s="32">
        <f>'Profit &amp; Loss'!A775</f>
        <v>0</v>
      </c>
      <c r="B775" s="35">
        <f>'Profit &amp; Loss'!B775</f>
        <v>0</v>
      </c>
      <c r="C775" s="36"/>
      <c r="D775" s="33"/>
      <c r="E775" s="102">
        <f t="shared" si="22"/>
        <v>0</v>
      </c>
      <c r="F775" s="103" t="str">
        <f t="shared" si="24"/>
        <v>0 tubes and 0 shuttles</v>
      </c>
      <c r="G775" s="36">
        <f t="shared" si="23"/>
        <v>0</v>
      </c>
      <c r="H775" s="104" t="str">
        <f t="shared" si="25"/>
        <v>0 tubes and 0 shuttles</v>
      </c>
      <c r="I775" s="36">
        <f t="shared" si="26"/>
        <v>0</v>
      </c>
      <c r="J775" s="103" t="str">
        <f t="shared" si="27"/>
        <v>0 tubes and 0 shuttles</v>
      </c>
    </row>
    <row r="776" spans="1:10" ht="12.5" x14ac:dyDescent="0.25">
      <c r="A776" s="32">
        <f>'Profit &amp; Loss'!A776</f>
        <v>0</v>
      </c>
      <c r="B776" s="35">
        <f>'Profit &amp; Loss'!B776</f>
        <v>0</v>
      </c>
      <c r="C776" s="36"/>
      <c r="D776" s="33"/>
      <c r="E776" s="102">
        <f t="shared" si="22"/>
        <v>0</v>
      </c>
      <c r="F776" s="103" t="str">
        <f t="shared" si="24"/>
        <v>0 tubes and 0 shuttles</v>
      </c>
      <c r="G776" s="36">
        <f t="shared" si="23"/>
        <v>0</v>
      </c>
      <c r="H776" s="104" t="str">
        <f t="shared" si="25"/>
        <v>0 tubes and 0 shuttles</v>
      </c>
      <c r="I776" s="36">
        <f t="shared" si="26"/>
        <v>0</v>
      </c>
      <c r="J776" s="103" t="str">
        <f t="shared" si="27"/>
        <v>0 tubes and 0 shuttles</v>
      </c>
    </row>
    <row r="777" spans="1:10" ht="12.5" x14ac:dyDescent="0.25">
      <c r="A777" s="32">
        <f>'Profit &amp; Loss'!A777</f>
        <v>0</v>
      </c>
      <c r="B777" s="35">
        <f>'Profit &amp; Loss'!B777</f>
        <v>0</v>
      </c>
      <c r="C777" s="36"/>
      <c r="D777" s="33"/>
      <c r="E777" s="102">
        <f t="shared" si="22"/>
        <v>0</v>
      </c>
      <c r="F777" s="103" t="str">
        <f t="shared" si="24"/>
        <v>0 tubes and 0 shuttles</v>
      </c>
      <c r="G777" s="36">
        <f t="shared" si="23"/>
        <v>0</v>
      </c>
      <c r="H777" s="104" t="str">
        <f t="shared" si="25"/>
        <v>0 tubes and 0 shuttles</v>
      </c>
      <c r="I777" s="36">
        <f t="shared" si="26"/>
        <v>0</v>
      </c>
      <c r="J777" s="103" t="str">
        <f t="shared" si="27"/>
        <v>0 tubes and 0 shuttles</v>
      </c>
    </row>
    <row r="778" spans="1:10" ht="12.5" x14ac:dyDescent="0.25">
      <c r="A778" s="32">
        <f>'Profit &amp; Loss'!A778</f>
        <v>0</v>
      </c>
      <c r="B778" s="35">
        <f>'Profit &amp; Loss'!B778</f>
        <v>0</v>
      </c>
      <c r="C778" s="36"/>
      <c r="D778" s="33"/>
      <c r="E778" s="102">
        <f t="shared" si="22"/>
        <v>0</v>
      </c>
      <c r="F778" s="103" t="str">
        <f t="shared" si="24"/>
        <v>0 tubes and 0 shuttles</v>
      </c>
      <c r="G778" s="36">
        <f t="shared" si="23"/>
        <v>0</v>
      </c>
      <c r="H778" s="104" t="str">
        <f t="shared" si="25"/>
        <v>0 tubes and 0 shuttles</v>
      </c>
      <c r="I778" s="36">
        <f t="shared" si="26"/>
        <v>0</v>
      </c>
      <c r="J778" s="103" t="str">
        <f t="shared" si="27"/>
        <v>0 tubes and 0 shuttles</v>
      </c>
    </row>
    <row r="779" spans="1:10" ht="12.5" x14ac:dyDescent="0.25">
      <c r="A779" s="32">
        <f>'Profit &amp; Loss'!A779</f>
        <v>0</v>
      </c>
      <c r="B779" s="35">
        <f>'Profit &amp; Loss'!B779</f>
        <v>0</v>
      </c>
      <c r="C779" s="36"/>
      <c r="D779" s="33"/>
      <c r="E779" s="102">
        <f t="shared" si="22"/>
        <v>0</v>
      </c>
      <c r="F779" s="103" t="str">
        <f t="shared" si="24"/>
        <v>0 tubes and 0 shuttles</v>
      </c>
      <c r="G779" s="36">
        <f t="shared" si="23"/>
        <v>0</v>
      </c>
      <c r="H779" s="104" t="str">
        <f t="shared" si="25"/>
        <v>0 tubes and 0 shuttles</v>
      </c>
      <c r="I779" s="36">
        <f t="shared" si="26"/>
        <v>0</v>
      </c>
      <c r="J779" s="103" t="str">
        <f t="shared" si="27"/>
        <v>0 tubes and 0 shuttles</v>
      </c>
    </row>
    <row r="780" spans="1:10" ht="12.5" x14ac:dyDescent="0.25">
      <c r="A780" s="32">
        <f>'Profit &amp; Loss'!A780</f>
        <v>0</v>
      </c>
      <c r="B780" s="35">
        <f>'Profit &amp; Loss'!B780</f>
        <v>0</v>
      </c>
      <c r="C780" s="36"/>
      <c r="D780" s="33"/>
      <c r="E780" s="102">
        <f t="shared" si="22"/>
        <v>0</v>
      </c>
      <c r="F780" s="103" t="str">
        <f t="shared" si="24"/>
        <v>0 tubes and 0 shuttles</v>
      </c>
      <c r="G780" s="36">
        <f t="shared" si="23"/>
        <v>0</v>
      </c>
      <c r="H780" s="104" t="str">
        <f t="shared" si="25"/>
        <v>0 tubes and 0 shuttles</v>
      </c>
      <c r="I780" s="36">
        <f t="shared" si="26"/>
        <v>0</v>
      </c>
      <c r="J780" s="103" t="str">
        <f t="shared" si="27"/>
        <v>0 tubes and 0 shuttles</v>
      </c>
    </row>
    <row r="781" spans="1:10" ht="12.5" x14ac:dyDescent="0.25">
      <c r="A781" s="32">
        <f>'Profit &amp; Loss'!A781</f>
        <v>0</v>
      </c>
      <c r="B781" s="35">
        <f>'Profit &amp; Loss'!B781</f>
        <v>0</v>
      </c>
      <c r="C781" s="36"/>
      <c r="D781" s="33"/>
      <c r="E781" s="102">
        <f t="shared" si="22"/>
        <v>0</v>
      </c>
      <c r="F781" s="103" t="str">
        <f t="shared" si="24"/>
        <v>0 tubes and 0 shuttles</v>
      </c>
      <c r="G781" s="36">
        <f t="shared" si="23"/>
        <v>0</v>
      </c>
      <c r="H781" s="104" t="str">
        <f t="shared" si="25"/>
        <v>0 tubes and 0 shuttles</v>
      </c>
      <c r="I781" s="36">
        <f t="shared" si="26"/>
        <v>0</v>
      </c>
      <c r="J781" s="103" t="str">
        <f t="shared" si="27"/>
        <v>0 tubes and 0 shuttles</v>
      </c>
    </row>
    <row r="782" spans="1:10" ht="12.5" x14ac:dyDescent="0.25">
      <c r="A782" s="32">
        <f>'Profit &amp; Loss'!A782</f>
        <v>0</v>
      </c>
      <c r="B782" s="35">
        <f>'Profit &amp; Loss'!B782</f>
        <v>0</v>
      </c>
      <c r="C782" s="36"/>
      <c r="D782" s="33"/>
      <c r="E782" s="102">
        <f t="shared" si="22"/>
        <v>0</v>
      </c>
      <c r="F782" s="103" t="str">
        <f t="shared" si="24"/>
        <v>0 tubes and 0 shuttles</v>
      </c>
      <c r="G782" s="36">
        <f t="shared" si="23"/>
        <v>0</v>
      </c>
      <c r="H782" s="104" t="str">
        <f t="shared" si="25"/>
        <v>0 tubes and 0 shuttles</v>
      </c>
      <c r="I782" s="36">
        <f t="shared" si="26"/>
        <v>0</v>
      </c>
      <c r="J782" s="103" t="str">
        <f t="shared" si="27"/>
        <v>0 tubes and 0 shuttles</v>
      </c>
    </row>
    <row r="783" spans="1:10" ht="12.5" x14ac:dyDescent="0.25">
      <c r="A783" s="32">
        <f>'Profit &amp; Loss'!A783</f>
        <v>0</v>
      </c>
      <c r="B783" s="35">
        <f>'Profit &amp; Loss'!B783</f>
        <v>0</v>
      </c>
      <c r="C783" s="36"/>
      <c r="D783" s="33"/>
      <c r="E783" s="102">
        <f t="shared" si="22"/>
        <v>0</v>
      </c>
      <c r="F783" s="103" t="str">
        <f t="shared" si="24"/>
        <v>0 tubes and 0 shuttles</v>
      </c>
      <c r="G783" s="36">
        <f t="shared" si="23"/>
        <v>0</v>
      </c>
      <c r="H783" s="104" t="str">
        <f t="shared" si="25"/>
        <v>0 tubes and 0 shuttles</v>
      </c>
      <c r="I783" s="36">
        <f t="shared" si="26"/>
        <v>0</v>
      </c>
      <c r="J783" s="103" t="str">
        <f t="shared" si="27"/>
        <v>0 tubes and 0 shuttles</v>
      </c>
    </row>
    <row r="784" spans="1:10" ht="12.5" x14ac:dyDescent="0.25">
      <c r="A784" s="32">
        <f>'Profit &amp; Loss'!A784</f>
        <v>0</v>
      </c>
      <c r="B784" s="35">
        <f>'Profit &amp; Loss'!B784</f>
        <v>0</v>
      </c>
      <c r="C784" s="36"/>
      <c r="D784" s="33"/>
      <c r="E784" s="102">
        <f t="shared" si="22"/>
        <v>0</v>
      </c>
      <c r="F784" s="103" t="str">
        <f t="shared" si="24"/>
        <v>0 tubes and 0 shuttles</v>
      </c>
      <c r="G784" s="36">
        <f t="shared" si="23"/>
        <v>0</v>
      </c>
      <c r="H784" s="104" t="str">
        <f t="shared" si="25"/>
        <v>0 tubes and 0 shuttles</v>
      </c>
      <c r="I784" s="36">
        <f t="shared" si="26"/>
        <v>0</v>
      </c>
      <c r="J784" s="103" t="str">
        <f t="shared" si="27"/>
        <v>0 tubes and 0 shuttles</v>
      </c>
    </row>
    <row r="785" spans="1:10" ht="12.5" x14ac:dyDescent="0.25">
      <c r="A785" s="32">
        <f>'Profit &amp; Loss'!A785</f>
        <v>0</v>
      </c>
      <c r="B785" s="35">
        <f>'Profit &amp; Loss'!B785</f>
        <v>0</v>
      </c>
      <c r="C785" s="36"/>
      <c r="D785" s="33"/>
      <c r="E785" s="102">
        <f t="shared" si="22"/>
        <v>0</v>
      </c>
      <c r="F785" s="103" t="str">
        <f t="shared" si="24"/>
        <v>0 tubes and 0 shuttles</v>
      </c>
      <c r="G785" s="36">
        <f t="shared" si="23"/>
        <v>0</v>
      </c>
      <c r="H785" s="104" t="str">
        <f t="shared" si="25"/>
        <v>0 tubes and 0 shuttles</v>
      </c>
      <c r="I785" s="36">
        <f t="shared" si="26"/>
        <v>0</v>
      </c>
      <c r="J785" s="103" t="str">
        <f t="shared" si="27"/>
        <v>0 tubes and 0 shuttles</v>
      </c>
    </row>
    <row r="786" spans="1:10" ht="12.5" x14ac:dyDescent="0.25">
      <c r="A786" s="32">
        <f>'Profit &amp; Loss'!A786</f>
        <v>0</v>
      </c>
      <c r="B786" s="35">
        <f>'Profit &amp; Loss'!B786</f>
        <v>0</v>
      </c>
      <c r="C786" s="36"/>
      <c r="D786" s="33"/>
      <c r="E786" s="102">
        <f t="shared" si="22"/>
        <v>0</v>
      </c>
      <c r="F786" s="103" t="str">
        <f t="shared" si="24"/>
        <v>0 tubes and 0 shuttles</v>
      </c>
      <c r="G786" s="36">
        <f t="shared" si="23"/>
        <v>0</v>
      </c>
      <c r="H786" s="104" t="str">
        <f t="shared" si="25"/>
        <v>0 tubes and 0 shuttles</v>
      </c>
      <c r="I786" s="36">
        <f t="shared" si="26"/>
        <v>0</v>
      </c>
      <c r="J786" s="103" t="str">
        <f t="shared" si="27"/>
        <v>0 tubes and 0 shuttles</v>
      </c>
    </row>
    <row r="787" spans="1:10" ht="12.5" x14ac:dyDescent="0.25">
      <c r="A787" s="32">
        <f>'Profit &amp; Loss'!A787</f>
        <v>0</v>
      </c>
      <c r="B787" s="35">
        <f>'Profit &amp; Loss'!B787</f>
        <v>0</v>
      </c>
      <c r="C787" s="36"/>
      <c r="D787" s="33"/>
      <c r="E787" s="102">
        <f t="shared" si="22"/>
        <v>0</v>
      </c>
      <c r="F787" s="103" t="str">
        <f t="shared" si="24"/>
        <v>0 tubes and 0 shuttles</v>
      </c>
      <c r="G787" s="36">
        <f t="shared" si="23"/>
        <v>0</v>
      </c>
      <c r="H787" s="104" t="str">
        <f t="shared" si="25"/>
        <v>0 tubes and 0 shuttles</v>
      </c>
      <c r="I787" s="36">
        <f t="shared" si="26"/>
        <v>0</v>
      </c>
      <c r="J787" s="103" t="str">
        <f t="shared" si="27"/>
        <v>0 tubes and 0 shuttles</v>
      </c>
    </row>
    <row r="788" spans="1:10" ht="12.5" x14ac:dyDescent="0.25">
      <c r="A788" s="32">
        <f>'Profit &amp; Loss'!A788</f>
        <v>0</v>
      </c>
      <c r="B788" s="35">
        <f>'Profit &amp; Loss'!B788</f>
        <v>0</v>
      </c>
      <c r="C788" s="36"/>
      <c r="D788" s="33"/>
      <c r="E788" s="102">
        <f t="shared" si="22"/>
        <v>0</v>
      </c>
      <c r="F788" s="103" t="str">
        <f t="shared" si="24"/>
        <v>0 tubes and 0 shuttles</v>
      </c>
      <c r="G788" s="36">
        <f t="shared" si="23"/>
        <v>0</v>
      </c>
      <c r="H788" s="104" t="str">
        <f t="shared" si="25"/>
        <v>0 tubes and 0 shuttles</v>
      </c>
      <c r="I788" s="36">
        <f t="shared" si="26"/>
        <v>0</v>
      </c>
      <c r="J788" s="103" t="str">
        <f t="shared" si="27"/>
        <v>0 tubes and 0 shuttles</v>
      </c>
    </row>
    <row r="789" spans="1:10" ht="12.5" x14ac:dyDescent="0.25">
      <c r="A789" s="32">
        <f>'Profit &amp; Loss'!A789</f>
        <v>0</v>
      </c>
      <c r="B789" s="35">
        <f>'Profit &amp; Loss'!B789</f>
        <v>0</v>
      </c>
      <c r="C789" s="36"/>
      <c r="D789" s="33"/>
      <c r="E789" s="102">
        <f t="shared" si="22"/>
        <v>0</v>
      </c>
      <c r="F789" s="103" t="str">
        <f t="shared" si="24"/>
        <v>0 tubes and 0 shuttles</v>
      </c>
      <c r="G789" s="36">
        <f t="shared" si="23"/>
        <v>0</v>
      </c>
      <c r="H789" s="104" t="str">
        <f t="shared" si="25"/>
        <v>0 tubes and 0 shuttles</v>
      </c>
      <c r="I789" s="36">
        <f t="shared" si="26"/>
        <v>0</v>
      </c>
      <c r="J789" s="103" t="str">
        <f t="shared" si="27"/>
        <v>0 tubes and 0 shuttles</v>
      </c>
    </row>
    <row r="790" spans="1:10" ht="12.5" x14ac:dyDescent="0.25">
      <c r="A790" s="32">
        <f>'Profit &amp; Loss'!A790</f>
        <v>0</v>
      </c>
      <c r="B790" s="35">
        <f>'Profit &amp; Loss'!B790</f>
        <v>0</v>
      </c>
      <c r="C790" s="36"/>
      <c r="D790" s="33"/>
      <c r="E790" s="102">
        <f t="shared" si="22"/>
        <v>0</v>
      </c>
      <c r="F790" s="103" t="str">
        <f t="shared" si="24"/>
        <v>0 tubes and 0 shuttles</v>
      </c>
      <c r="G790" s="36">
        <f t="shared" si="23"/>
        <v>0</v>
      </c>
      <c r="H790" s="104" t="str">
        <f t="shared" si="25"/>
        <v>0 tubes and 0 shuttles</v>
      </c>
      <c r="I790" s="36">
        <f t="shared" si="26"/>
        <v>0</v>
      </c>
      <c r="J790" s="103" t="str">
        <f t="shared" si="27"/>
        <v>0 tubes and 0 shuttles</v>
      </c>
    </row>
    <row r="791" spans="1:10" ht="12.5" x14ac:dyDescent="0.25">
      <c r="A791" s="32">
        <f>'Profit &amp; Loss'!A791</f>
        <v>0</v>
      </c>
      <c r="B791" s="35">
        <f>'Profit &amp; Loss'!B791</f>
        <v>0</v>
      </c>
      <c r="C791" s="36"/>
      <c r="D791" s="33"/>
      <c r="E791" s="102">
        <f t="shared" si="22"/>
        <v>0</v>
      </c>
      <c r="F791" s="103" t="str">
        <f t="shared" si="24"/>
        <v>0 tubes and 0 shuttles</v>
      </c>
      <c r="G791" s="36">
        <f t="shared" si="23"/>
        <v>0</v>
      </c>
      <c r="H791" s="104" t="str">
        <f t="shared" si="25"/>
        <v>0 tubes and 0 shuttles</v>
      </c>
      <c r="I791" s="36">
        <f t="shared" si="26"/>
        <v>0</v>
      </c>
      <c r="J791" s="103" t="str">
        <f t="shared" si="27"/>
        <v>0 tubes and 0 shuttles</v>
      </c>
    </row>
    <row r="792" spans="1:10" ht="12.5" x14ac:dyDescent="0.25">
      <c r="A792" s="32">
        <f>'Profit &amp; Loss'!A792</f>
        <v>0</v>
      </c>
      <c r="B792" s="35">
        <f>'Profit &amp; Loss'!B792</f>
        <v>0</v>
      </c>
      <c r="C792" s="36"/>
      <c r="D792" s="33"/>
      <c r="E792" s="102">
        <f t="shared" si="22"/>
        <v>0</v>
      </c>
      <c r="F792" s="103" t="str">
        <f t="shared" si="24"/>
        <v>0 tubes and 0 shuttles</v>
      </c>
      <c r="G792" s="36">
        <f t="shared" si="23"/>
        <v>0</v>
      </c>
      <c r="H792" s="104" t="str">
        <f t="shared" si="25"/>
        <v>0 tubes and 0 shuttles</v>
      </c>
      <c r="I792" s="36">
        <f t="shared" si="26"/>
        <v>0</v>
      </c>
      <c r="J792" s="103" t="str">
        <f t="shared" si="27"/>
        <v>0 tubes and 0 shuttles</v>
      </c>
    </row>
    <row r="793" spans="1:10" ht="12.5" x14ac:dyDescent="0.25">
      <c r="A793" s="32">
        <f>'Profit &amp; Loss'!A793</f>
        <v>0</v>
      </c>
      <c r="B793" s="35">
        <f>'Profit &amp; Loss'!B793</f>
        <v>0</v>
      </c>
      <c r="C793" s="36"/>
      <c r="D793" s="33"/>
      <c r="E793" s="102">
        <f t="shared" si="22"/>
        <v>0</v>
      </c>
      <c r="F793" s="103" t="str">
        <f t="shared" si="24"/>
        <v>0 tubes and 0 shuttles</v>
      </c>
      <c r="G793" s="36">
        <f t="shared" si="23"/>
        <v>0</v>
      </c>
      <c r="H793" s="104" t="str">
        <f t="shared" si="25"/>
        <v>0 tubes and 0 shuttles</v>
      </c>
      <c r="I793" s="36">
        <f t="shared" si="26"/>
        <v>0</v>
      </c>
      <c r="J793" s="103" t="str">
        <f t="shared" si="27"/>
        <v>0 tubes and 0 shuttles</v>
      </c>
    </row>
    <row r="794" spans="1:10" ht="12.5" x14ac:dyDescent="0.25">
      <c r="A794" s="32">
        <f>'Profit &amp; Loss'!A794</f>
        <v>0</v>
      </c>
      <c r="B794" s="35">
        <f>'Profit &amp; Loss'!B794</f>
        <v>0</v>
      </c>
      <c r="C794" s="36"/>
      <c r="D794" s="33"/>
      <c r="E794" s="102">
        <f t="shared" si="22"/>
        <v>0</v>
      </c>
      <c r="F794" s="103" t="str">
        <f t="shared" si="24"/>
        <v>0 tubes and 0 shuttles</v>
      </c>
      <c r="G794" s="36">
        <f t="shared" si="23"/>
        <v>0</v>
      </c>
      <c r="H794" s="104" t="str">
        <f t="shared" si="25"/>
        <v>0 tubes and 0 shuttles</v>
      </c>
      <c r="I794" s="36">
        <f t="shared" si="26"/>
        <v>0</v>
      </c>
      <c r="J794" s="103" t="str">
        <f t="shared" si="27"/>
        <v>0 tubes and 0 shuttles</v>
      </c>
    </row>
    <row r="795" spans="1:10" ht="12.5" x14ac:dyDescent="0.25">
      <c r="A795" s="32">
        <f>'Profit &amp; Loss'!A795</f>
        <v>0</v>
      </c>
      <c r="B795" s="35">
        <f>'Profit &amp; Loss'!B795</f>
        <v>0</v>
      </c>
      <c r="C795" s="36"/>
      <c r="D795" s="33"/>
      <c r="E795" s="102">
        <f t="shared" si="22"/>
        <v>0</v>
      </c>
      <c r="F795" s="103" t="str">
        <f t="shared" si="24"/>
        <v>0 tubes and 0 shuttles</v>
      </c>
      <c r="G795" s="36">
        <f t="shared" si="23"/>
        <v>0</v>
      </c>
      <c r="H795" s="104" t="str">
        <f t="shared" si="25"/>
        <v>0 tubes and 0 shuttles</v>
      </c>
      <c r="I795" s="36">
        <f t="shared" si="26"/>
        <v>0</v>
      </c>
      <c r="J795" s="103" t="str">
        <f t="shared" si="27"/>
        <v>0 tubes and 0 shuttles</v>
      </c>
    </row>
    <row r="796" spans="1:10" ht="12.5" x14ac:dyDescent="0.25">
      <c r="A796" s="32">
        <f>'Profit &amp; Loss'!A796</f>
        <v>0</v>
      </c>
      <c r="B796" s="35">
        <f>'Profit &amp; Loss'!B796</f>
        <v>0</v>
      </c>
      <c r="C796" s="36"/>
      <c r="D796" s="33"/>
      <c r="E796" s="102">
        <f t="shared" si="22"/>
        <v>0</v>
      </c>
      <c r="F796" s="103" t="str">
        <f t="shared" si="24"/>
        <v>0 tubes and 0 shuttles</v>
      </c>
      <c r="G796" s="36">
        <f t="shared" si="23"/>
        <v>0</v>
      </c>
      <c r="H796" s="104" t="str">
        <f t="shared" si="25"/>
        <v>0 tubes and 0 shuttles</v>
      </c>
      <c r="I796" s="36">
        <f t="shared" si="26"/>
        <v>0</v>
      </c>
      <c r="J796" s="103" t="str">
        <f t="shared" si="27"/>
        <v>0 tubes and 0 shuttles</v>
      </c>
    </row>
    <row r="797" spans="1:10" ht="12.5" x14ac:dyDescent="0.25">
      <c r="A797" s="32">
        <f>'Profit &amp; Loss'!A797</f>
        <v>0</v>
      </c>
      <c r="B797" s="35">
        <f>'Profit &amp; Loss'!B797</f>
        <v>0</v>
      </c>
      <c r="C797" s="36"/>
      <c r="D797" s="33"/>
      <c r="E797" s="102">
        <f t="shared" si="22"/>
        <v>0</v>
      </c>
      <c r="F797" s="103" t="str">
        <f t="shared" si="24"/>
        <v>0 tubes and 0 shuttles</v>
      </c>
      <c r="G797" s="36">
        <f t="shared" si="23"/>
        <v>0</v>
      </c>
      <c r="H797" s="104" t="str">
        <f t="shared" si="25"/>
        <v>0 tubes and 0 shuttles</v>
      </c>
      <c r="I797" s="36">
        <f t="shared" si="26"/>
        <v>0</v>
      </c>
      <c r="J797" s="103" t="str">
        <f t="shared" si="27"/>
        <v>0 tubes and 0 shuttles</v>
      </c>
    </row>
    <row r="798" spans="1:10" ht="12.5" x14ac:dyDescent="0.25">
      <c r="A798" s="32">
        <f>'Profit &amp; Loss'!A798</f>
        <v>0</v>
      </c>
      <c r="B798" s="35">
        <f>'Profit &amp; Loss'!B798</f>
        <v>0</v>
      </c>
      <c r="C798" s="36"/>
      <c r="D798" s="33"/>
      <c r="E798" s="102">
        <f t="shared" si="22"/>
        <v>0</v>
      </c>
      <c r="F798" s="103" t="str">
        <f t="shared" si="24"/>
        <v>0 tubes and 0 shuttles</v>
      </c>
      <c r="G798" s="36">
        <f t="shared" si="23"/>
        <v>0</v>
      </c>
      <c r="H798" s="104" t="str">
        <f t="shared" si="25"/>
        <v>0 tubes and 0 shuttles</v>
      </c>
      <c r="I798" s="36">
        <f t="shared" si="26"/>
        <v>0</v>
      </c>
      <c r="J798" s="103" t="str">
        <f t="shared" si="27"/>
        <v>0 tubes and 0 shuttles</v>
      </c>
    </row>
    <row r="799" spans="1:10" ht="12.5" x14ac:dyDescent="0.25">
      <c r="A799" s="32">
        <f>'Profit &amp; Loss'!A799</f>
        <v>0</v>
      </c>
      <c r="B799" s="35">
        <f>'Profit &amp; Loss'!B799</f>
        <v>0</v>
      </c>
      <c r="C799" s="36"/>
      <c r="D799" s="33"/>
      <c r="E799" s="102">
        <f t="shared" si="22"/>
        <v>0</v>
      </c>
      <c r="F799" s="103" t="str">
        <f t="shared" si="24"/>
        <v>0 tubes and 0 shuttles</v>
      </c>
      <c r="G799" s="36">
        <f t="shared" si="23"/>
        <v>0</v>
      </c>
      <c r="H799" s="104" t="str">
        <f t="shared" si="25"/>
        <v>0 tubes and 0 shuttles</v>
      </c>
      <c r="I799" s="36">
        <f t="shared" si="26"/>
        <v>0</v>
      </c>
      <c r="J799" s="103" t="str">
        <f t="shared" si="27"/>
        <v>0 tubes and 0 shuttles</v>
      </c>
    </row>
    <row r="800" spans="1:10" ht="12.5" x14ac:dyDescent="0.25">
      <c r="A800" s="32">
        <f>'Profit &amp; Loss'!A800</f>
        <v>0</v>
      </c>
      <c r="B800" s="35">
        <f>'Profit &amp; Loss'!B800</f>
        <v>0</v>
      </c>
      <c r="C800" s="36"/>
      <c r="D800" s="33"/>
      <c r="E800" s="102">
        <f t="shared" si="22"/>
        <v>0</v>
      </c>
      <c r="F800" s="103" t="str">
        <f t="shared" si="24"/>
        <v>0 tubes and 0 shuttles</v>
      </c>
      <c r="G800" s="36">
        <f t="shared" si="23"/>
        <v>0</v>
      </c>
      <c r="H800" s="104" t="str">
        <f t="shared" si="25"/>
        <v>0 tubes and 0 shuttles</v>
      </c>
      <c r="I800" s="36">
        <f t="shared" si="26"/>
        <v>0</v>
      </c>
      <c r="J800" s="103" t="str">
        <f t="shared" si="27"/>
        <v>0 tubes and 0 shuttles</v>
      </c>
    </row>
    <row r="801" spans="1:10" ht="12.5" x14ac:dyDescent="0.25">
      <c r="A801" s="32">
        <f>'Profit &amp; Loss'!A801</f>
        <v>0</v>
      </c>
      <c r="B801" s="35">
        <f>'Profit &amp; Loss'!B801</f>
        <v>0</v>
      </c>
      <c r="C801" s="36"/>
      <c r="D801" s="33"/>
      <c r="E801" s="102">
        <f t="shared" si="22"/>
        <v>0</v>
      </c>
      <c r="F801" s="103" t="str">
        <f t="shared" si="24"/>
        <v>0 tubes and 0 shuttles</v>
      </c>
      <c r="G801" s="36">
        <f t="shared" si="23"/>
        <v>0</v>
      </c>
      <c r="H801" s="104" t="str">
        <f t="shared" si="25"/>
        <v>0 tubes and 0 shuttles</v>
      </c>
      <c r="I801" s="36">
        <f t="shared" si="26"/>
        <v>0</v>
      </c>
      <c r="J801" s="103" t="str">
        <f t="shared" si="27"/>
        <v>0 tubes and 0 shuttles</v>
      </c>
    </row>
    <row r="802" spans="1:10" ht="12.5" x14ac:dyDescent="0.25">
      <c r="A802" s="32">
        <f>'Profit &amp; Loss'!A802</f>
        <v>0</v>
      </c>
      <c r="B802" s="35">
        <f>'Profit &amp; Loss'!B802</f>
        <v>0</v>
      </c>
      <c r="C802" s="36"/>
      <c r="D802" s="33"/>
      <c r="E802" s="102">
        <f t="shared" si="22"/>
        <v>0</v>
      </c>
      <c r="F802" s="103" t="str">
        <f t="shared" si="24"/>
        <v>0 tubes and 0 shuttles</v>
      </c>
      <c r="G802" s="36">
        <f t="shared" si="23"/>
        <v>0</v>
      </c>
      <c r="H802" s="104" t="str">
        <f t="shared" si="25"/>
        <v>0 tubes and 0 shuttles</v>
      </c>
      <c r="I802" s="36">
        <f t="shared" si="26"/>
        <v>0</v>
      </c>
      <c r="J802" s="103" t="str">
        <f t="shared" si="27"/>
        <v>0 tubes and 0 shuttles</v>
      </c>
    </row>
    <row r="803" spans="1:10" ht="12.5" x14ac:dyDescent="0.25">
      <c r="A803" s="32">
        <f>'Profit &amp; Loss'!A803</f>
        <v>0</v>
      </c>
      <c r="B803" s="35">
        <f>'Profit &amp; Loss'!B803</f>
        <v>0</v>
      </c>
      <c r="C803" s="36"/>
      <c r="D803" s="33"/>
      <c r="E803" s="102">
        <f t="shared" si="22"/>
        <v>0</v>
      </c>
      <c r="F803" s="103" t="str">
        <f t="shared" si="24"/>
        <v>0 tubes and 0 shuttles</v>
      </c>
      <c r="G803" s="36">
        <f t="shared" si="23"/>
        <v>0</v>
      </c>
      <c r="H803" s="104" t="str">
        <f t="shared" si="25"/>
        <v>0 tubes and 0 shuttles</v>
      </c>
      <c r="I803" s="36">
        <f t="shared" si="26"/>
        <v>0</v>
      </c>
      <c r="J803" s="103" t="str">
        <f t="shared" si="27"/>
        <v>0 tubes and 0 shuttles</v>
      </c>
    </row>
    <row r="804" spans="1:10" ht="12.5" x14ac:dyDescent="0.25">
      <c r="A804" s="32">
        <f>'Profit &amp; Loss'!A804</f>
        <v>0</v>
      </c>
      <c r="B804" s="35">
        <f>'Profit &amp; Loss'!B804</f>
        <v>0</v>
      </c>
      <c r="C804" s="36"/>
      <c r="D804" s="33"/>
      <c r="E804" s="102">
        <f t="shared" ref="E804:E989" si="28">IF(C804=" ",E803,E803-C804)</f>
        <v>0</v>
      </c>
      <c r="F804" s="103" t="str">
        <f t="shared" si="24"/>
        <v>0 tubes and 0 shuttles</v>
      </c>
      <c r="G804" s="36">
        <f t="shared" ref="G804:G989" si="29">IF(D804=" ",G803,G803-D804)</f>
        <v>0</v>
      </c>
      <c r="H804" s="104" t="str">
        <f t="shared" si="25"/>
        <v>0 tubes and 0 shuttles</v>
      </c>
      <c r="I804" s="36">
        <f t="shared" si="26"/>
        <v>0</v>
      </c>
      <c r="J804" s="103" t="str">
        <f t="shared" si="27"/>
        <v>0 tubes and 0 shuttles</v>
      </c>
    </row>
    <row r="805" spans="1:10" ht="12.5" x14ac:dyDescent="0.25">
      <c r="A805" s="32">
        <f>'Profit &amp; Loss'!A805</f>
        <v>0</v>
      </c>
      <c r="B805" s="35">
        <f>'Profit &amp; Loss'!B805</f>
        <v>0</v>
      </c>
      <c r="C805" s="36"/>
      <c r="D805" s="33"/>
      <c r="E805" s="102">
        <f t="shared" si="28"/>
        <v>0</v>
      </c>
      <c r="F805" s="103" t="str">
        <f t="shared" si="24"/>
        <v>0 tubes and 0 shuttles</v>
      </c>
      <c r="G805" s="36">
        <f t="shared" si="29"/>
        <v>0</v>
      </c>
      <c r="H805" s="104" t="str">
        <f t="shared" si="25"/>
        <v>0 tubes and 0 shuttles</v>
      </c>
      <c r="I805" s="36">
        <f t="shared" si="26"/>
        <v>0</v>
      </c>
      <c r="J805" s="103" t="str">
        <f t="shared" si="27"/>
        <v>0 tubes and 0 shuttles</v>
      </c>
    </row>
    <row r="806" spans="1:10" ht="12.5" x14ac:dyDescent="0.25">
      <c r="A806" s="32">
        <f>'Profit &amp; Loss'!A806</f>
        <v>0</v>
      </c>
      <c r="B806" s="35">
        <f>'Profit &amp; Loss'!B806</f>
        <v>0</v>
      </c>
      <c r="C806" s="36"/>
      <c r="D806" s="33"/>
      <c r="E806" s="102">
        <f t="shared" si="28"/>
        <v>0</v>
      </c>
      <c r="F806" s="103" t="str">
        <f t="shared" si="24"/>
        <v>0 tubes and 0 shuttles</v>
      </c>
      <c r="G806" s="36">
        <f t="shared" si="29"/>
        <v>0</v>
      </c>
      <c r="H806" s="104" t="str">
        <f t="shared" si="25"/>
        <v>0 tubes and 0 shuttles</v>
      </c>
      <c r="I806" s="36">
        <f t="shared" si="26"/>
        <v>0</v>
      </c>
      <c r="J806" s="103" t="str">
        <f t="shared" si="27"/>
        <v>0 tubes and 0 shuttles</v>
      </c>
    </row>
    <row r="807" spans="1:10" ht="12.5" x14ac:dyDescent="0.25">
      <c r="A807" s="32">
        <f>'Profit &amp; Loss'!A807</f>
        <v>0</v>
      </c>
      <c r="B807" s="35">
        <f>'Profit &amp; Loss'!B807</f>
        <v>0</v>
      </c>
      <c r="C807" s="36"/>
      <c r="D807" s="33"/>
      <c r="E807" s="102">
        <f t="shared" si="28"/>
        <v>0</v>
      </c>
      <c r="F807" s="103" t="str">
        <f t="shared" si="24"/>
        <v>0 tubes and 0 shuttles</v>
      </c>
      <c r="G807" s="36">
        <f t="shared" si="29"/>
        <v>0</v>
      </c>
      <c r="H807" s="104" t="str">
        <f t="shared" si="25"/>
        <v>0 tubes and 0 shuttles</v>
      </c>
      <c r="I807" s="36">
        <f t="shared" si="26"/>
        <v>0</v>
      </c>
      <c r="J807" s="103" t="str">
        <f t="shared" si="27"/>
        <v>0 tubes and 0 shuttles</v>
      </c>
    </row>
    <row r="808" spans="1:10" ht="12.5" x14ac:dyDescent="0.25">
      <c r="A808" s="32">
        <f>'Profit &amp; Loss'!A808</f>
        <v>0</v>
      </c>
      <c r="B808" s="35">
        <f>'Profit &amp; Loss'!B808</f>
        <v>0</v>
      </c>
      <c r="C808" s="36"/>
      <c r="D808" s="33"/>
      <c r="E808" s="102">
        <f t="shared" si="28"/>
        <v>0</v>
      </c>
      <c r="F808" s="103" t="str">
        <f t="shared" si="24"/>
        <v>0 tubes and 0 shuttles</v>
      </c>
      <c r="G808" s="36">
        <f t="shared" si="29"/>
        <v>0</v>
      </c>
      <c r="H808" s="104" t="str">
        <f t="shared" si="25"/>
        <v>0 tubes and 0 shuttles</v>
      </c>
      <c r="I808" s="36">
        <f t="shared" si="26"/>
        <v>0</v>
      </c>
      <c r="J808" s="103" t="str">
        <f t="shared" si="27"/>
        <v>0 tubes and 0 shuttles</v>
      </c>
    </row>
    <row r="809" spans="1:10" ht="12.5" x14ac:dyDescent="0.25">
      <c r="A809" s="32">
        <f>'Profit &amp; Loss'!A809</f>
        <v>0</v>
      </c>
      <c r="B809" s="35">
        <f>'Profit &amp; Loss'!B809</f>
        <v>0</v>
      </c>
      <c r="C809" s="36"/>
      <c r="D809" s="33"/>
      <c r="E809" s="102">
        <f t="shared" si="28"/>
        <v>0</v>
      </c>
      <c r="F809" s="103" t="str">
        <f t="shared" si="24"/>
        <v>0 tubes and 0 shuttles</v>
      </c>
      <c r="G809" s="36">
        <f t="shared" si="29"/>
        <v>0</v>
      </c>
      <c r="H809" s="104" t="str">
        <f t="shared" si="25"/>
        <v>0 tubes and 0 shuttles</v>
      </c>
      <c r="I809" s="36">
        <f t="shared" si="26"/>
        <v>0</v>
      </c>
      <c r="J809" s="103" t="str">
        <f t="shared" si="27"/>
        <v>0 tubes and 0 shuttles</v>
      </c>
    </row>
    <row r="810" spans="1:10" ht="12.5" x14ac:dyDescent="0.25">
      <c r="A810" s="32">
        <f>'Profit &amp; Loss'!A810</f>
        <v>0</v>
      </c>
      <c r="B810" s="35">
        <f>'Profit &amp; Loss'!B810</f>
        <v>0</v>
      </c>
      <c r="C810" s="36"/>
      <c r="D810" s="33"/>
      <c r="E810" s="102">
        <f t="shared" si="28"/>
        <v>0</v>
      </c>
      <c r="F810" s="103" t="str">
        <f t="shared" si="24"/>
        <v>0 tubes and 0 shuttles</v>
      </c>
      <c r="G810" s="36">
        <f t="shared" si="29"/>
        <v>0</v>
      </c>
      <c r="H810" s="104" t="str">
        <f t="shared" si="25"/>
        <v>0 tubes and 0 shuttles</v>
      </c>
      <c r="I810" s="36">
        <f t="shared" si="26"/>
        <v>0</v>
      </c>
      <c r="J810" s="103" t="str">
        <f t="shared" si="27"/>
        <v>0 tubes and 0 shuttles</v>
      </c>
    </row>
    <row r="811" spans="1:10" ht="12.5" x14ac:dyDescent="0.25">
      <c r="A811" s="32">
        <f>'Profit &amp; Loss'!A811</f>
        <v>0</v>
      </c>
      <c r="B811" s="35">
        <f>'Profit &amp; Loss'!B811</f>
        <v>0</v>
      </c>
      <c r="C811" s="36"/>
      <c r="D811" s="33"/>
      <c r="E811" s="102">
        <f t="shared" si="28"/>
        <v>0</v>
      </c>
      <c r="F811" s="103" t="str">
        <f t="shared" si="24"/>
        <v>0 tubes and 0 shuttles</v>
      </c>
      <c r="G811" s="36">
        <f t="shared" si="29"/>
        <v>0</v>
      </c>
      <c r="H811" s="104" t="str">
        <f t="shared" si="25"/>
        <v>0 tubes and 0 shuttles</v>
      </c>
      <c r="I811" s="36">
        <f t="shared" si="26"/>
        <v>0</v>
      </c>
      <c r="J811" s="103" t="str">
        <f t="shared" si="27"/>
        <v>0 tubes and 0 shuttles</v>
      </c>
    </row>
    <row r="812" spans="1:10" ht="12.5" x14ac:dyDescent="0.25">
      <c r="A812" s="32">
        <f>'Profit &amp; Loss'!A812</f>
        <v>0</v>
      </c>
      <c r="B812" s="35">
        <f>'Profit &amp; Loss'!B812</f>
        <v>0</v>
      </c>
      <c r="C812" s="36"/>
      <c r="D812" s="33"/>
      <c r="E812" s="102">
        <f t="shared" si="28"/>
        <v>0</v>
      </c>
      <c r="F812" s="103" t="str">
        <f t="shared" si="24"/>
        <v>0 tubes and 0 shuttles</v>
      </c>
      <c r="G812" s="36">
        <f t="shared" si="29"/>
        <v>0</v>
      </c>
      <c r="H812" s="104" t="str">
        <f t="shared" si="25"/>
        <v>0 tubes and 0 shuttles</v>
      </c>
      <c r="I812" s="36">
        <f t="shared" si="26"/>
        <v>0</v>
      </c>
      <c r="J812" s="103" t="str">
        <f t="shared" si="27"/>
        <v>0 tubes and 0 shuttles</v>
      </c>
    </row>
    <row r="813" spans="1:10" ht="12.5" x14ac:dyDescent="0.25">
      <c r="A813" s="32">
        <f>'Profit &amp; Loss'!A813</f>
        <v>0</v>
      </c>
      <c r="B813" s="35">
        <f>'Profit &amp; Loss'!B813</f>
        <v>0</v>
      </c>
      <c r="C813" s="36"/>
      <c r="D813" s="33"/>
      <c r="E813" s="102">
        <f t="shared" si="28"/>
        <v>0</v>
      </c>
      <c r="F813" s="103" t="str">
        <f t="shared" si="24"/>
        <v>0 tubes and 0 shuttles</v>
      </c>
      <c r="G813" s="36">
        <f t="shared" si="29"/>
        <v>0</v>
      </c>
      <c r="H813" s="104" t="str">
        <f t="shared" si="25"/>
        <v>0 tubes and 0 shuttles</v>
      </c>
      <c r="I813" s="36">
        <f t="shared" si="26"/>
        <v>0</v>
      </c>
      <c r="J813" s="103" t="str">
        <f t="shared" si="27"/>
        <v>0 tubes and 0 shuttles</v>
      </c>
    </row>
    <row r="814" spans="1:10" ht="12.5" x14ac:dyDescent="0.25">
      <c r="A814" s="32">
        <f>'Profit &amp; Loss'!A814</f>
        <v>0</v>
      </c>
      <c r="B814" s="35">
        <f>'Profit &amp; Loss'!B814</f>
        <v>0</v>
      </c>
      <c r="C814" s="36"/>
      <c r="D814" s="33"/>
      <c r="E814" s="102">
        <f t="shared" si="28"/>
        <v>0</v>
      </c>
      <c r="F814" s="103" t="str">
        <f t="shared" si="24"/>
        <v>0 tubes and 0 shuttles</v>
      </c>
      <c r="G814" s="36">
        <f t="shared" si="29"/>
        <v>0</v>
      </c>
      <c r="H814" s="104" t="str">
        <f t="shared" si="25"/>
        <v>0 tubes and 0 shuttles</v>
      </c>
      <c r="I814" s="36">
        <f t="shared" si="26"/>
        <v>0</v>
      </c>
      <c r="J814" s="103" t="str">
        <f t="shared" si="27"/>
        <v>0 tubes and 0 shuttles</v>
      </c>
    </row>
    <row r="815" spans="1:10" ht="12.5" x14ac:dyDescent="0.25">
      <c r="A815" s="32">
        <f>'Profit &amp; Loss'!A815</f>
        <v>0</v>
      </c>
      <c r="B815" s="35">
        <f>'Profit &amp; Loss'!B815</f>
        <v>0</v>
      </c>
      <c r="C815" s="36"/>
      <c r="D815" s="33"/>
      <c r="E815" s="102">
        <f t="shared" si="28"/>
        <v>0</v>
      </c>
      <c r="F815" s="103" t="str">
        <f t="shared" si="24"/>
        <v>0 tubes and 0 shuttles</v>
      </c>
      <c r="G815" s="36">
        <f t="shared" si="29"/>
        <v>0</v>
      </c>
      <c r="H815" s="104" t="str">
        <f t="shared" si="25"/>
        <v>0 tubes and 0 shuttles</v>
      </c>
      <c r="I815" s="36">
        <f t="shared" si="26"/>
        <v>0</v>
      </c>
      <c r="J815" s="103" t="str">
        <f t="shared" si="27"/>
        <v>0 tubes and 0 shuttles</v>
      </c>
    </row>
    <row r="816" spans="1:10" ht="12.5" x14ac:dyDescent="0.25">
      <c r="A816" s="32">
        <f>'Profit &amp; Loss'!A816</f>
        <v>0</v>
      </c>
      <c r="B816" s="35">
        <f>'Profit &amp; Loss'!B816</f>
        <v>0</v>
      </c>
      <c r="C816" s="36"/>
      <c r="D816" s="33"/>
      <c r="E816" s="102">
        <f t="shared" si="28"/>
        <v>0</v>
      </c>
      <c r="F816" s="103" t="str">
        <f t="shared" si="24"/>
        <v>0 tubes and 0 shuttles</v>
      </c>
      <c r="G816" s="36">
        <f t="shared" si="29"/>
        <v>0</v>
      </c>
      <c r="H816" s="104" t="str">
        <f t="shared" si="25"/>
        <v>0 tubes and 0 shuttles</v>
      </c>
      <c r="I816" s="36">
        <f t="shared" si="26"/>
        <v>0</v>
      </c>
      <c r="J816" s="103" t="str">
        <f t="shared" si="27"/>
        <v>0 tubes and 0 shuttles</v>
      </c>
    </row>
    <row r="817" spans="1:10" ht="12.5" x14ac:dyDescent="0.25">
      <c r="A817" s="32">
        <f>'Profit &amp; Loss'!A817</f>
        <v>0</v>
      </c>
      <c r="B817" s="35">
        <f>'Profit &amp; Loss'!B817</f>
        <v>0</v>
      </c>
      <c r="C817" s="36"/>
      <c r="D817" s="33"/>
      <c r="E817" s="102">
        <f t="shared" si="28"/>
        <v>0</v>
      </c>
      <c r="F817" s="103" t="str">
        <f t="shared" si="24"/>
        <v>0 tubes and 0 shuttles</v>
      </c>
      <c r="G817" s="36">
        <f t="shared" si="29"/>
        <v>0</v>
      </c>
      <c r="H817" s="104" t="str">
        <f t="shared" si="25"/>
        <v>0 tubes and 0 shuttles</v>
      </c>
      <c r="I817" s="36">
        <f t="shared" si="26"/>
        <v>0</v>
      </c>
      <c r="J817" s="103" t="str">
        <f t="shared" si="27"/>
        <v>0 tubes and 0 shuttles</v>
      </c>
    </row>
    <row r="818" spans="1:10" ht="12.5" x14ac:dyDescent="0.25">
      <c r="A818" s="32">
        <f>'Profit &amp; Loss'!A818</f>
        <v>0</v>
      </c>
      <c r="B818" s="35">
        <f>'Profit &amp; Loss'!B818</f>
        <v>0</v>
      </c>
      <c r="C818" s="36"/>
      <c r="D818" s="33"/>
      <c r="E818" s="102">
        <f t="shared" si="28"/>
        <v>0</v>
      </c>
      <c r="F818" s="103" t="str">
        <f t="shared" si="24"/>
        <v>0 tubes and 0 shuttles</v>
      </c>
      <c r="G818" s="36">
        <f t="shared" si="29"/>
        <v>0</v>
      </c>
      <c r="H818" s="104" t="str">
        <f t="shared" si="25"/>
        <v>0 tubes and 0 shuttles</v>
      </c>
      <c r="I818" s="36">
        <f t="shared" si="26"/>
        <v>0</v>
      </c>
      <c r="J818" s="103" t="str">
        <f t="shared" si="27"/>
        <v>0 tubes and 0 shuttles</v>
      </c>
    </row>
    <row r="819" spans="1:10" ht="12.5" x14ac:dyDescent="0.25">
      <c r="A819" s="32">
        <f>'Profit &amp; Loss'!A819</f>
        <v>0</v>
      </c>
      <c r="B819" s="35">
        <f>'Profit &amp; Loss'!B819</f>
        <v>0</v>
      </c>
      <c r="C819" s="36"/>
      <c r="D819" s="33"/>
      <c r="E819" s="102">
        <f t="shared" si="28"/>
        <v>0</v>
      </c>
      <c r="F819" s="103" t="str">
        <f t="shared" si="24"/>
        <v>0 tubes and 0 shuttles</v>
      </c>
      <c r="G819" s="36">
        <f t="shared" si="29"/>
        <v>0</v>
      </c>
      <c r="H819" s="104" t="str">
        <f t="shared" si="25"/>
        <v>0 tubes and 0 shuttles</v>
      </c>
      <c r="I819" s="36">
        <f t="shared" si="26"/>
        <v>0</v>
      </c>
      <c r="J819" s="103" t="str">
        <f t="shared" si="27"/>
        <v>0 tubes and 0 shuttles</v>
      </c>
    </row>
    <row r="820" spans="1:10" ht="12.5" x14ac:dyDescent="0.25">
      <c r="A820" s="32">
        <f>'Profit &amp; Loss'!A820</f>
        <v>0</v>
      </c>
      <c r="B820" s="35">
        <f>'Profit &amp; Loss'!B820</f>
        <v>0</v>
      </c>
      <c r="C820" s="36"/>
      <c r="D820" s="33"/>
      <c r="E820" s="102">
        <f t="shared" si="28"/>
        <v>0</v>
      </c>
      <c r="F820" s="103" t="str">
        <f t="shared" si="24"/>
        <v>0 tubes and 0 shuttles</v>
      </c>
      <c r="G820" s="36">
        <f t="shared" si="29"/>
        <v>0</v>
      </c>
      <c r="H820" s="104" t="str">
        <f t="shared" si="25"/>
        <v>0 tubes and 0 shuttles</v>
      </c>
      <c r="I820" s="36">
        <f t="shared" si="26"/>
        <v>0</v>
      </c>
      <c r="J820" s="103" t="str">
        <f t="shared" si="27"/>
        <v>0 tubes and 0 shuttles</v>
      </c>
    </row>
    <row r="821" spans="1:10" ht="12.5" x14ac:dyDescent="0.25">
      <c r="A821" s="32">
        <f>'Profit &amp; Loss'!A821</f>
        <v>0</v>
      </c>
      <c r="B821" s="35">
        <f>'Profit &amp; Loss'!B821</f>
        <v>0</v>
      </c>
      <c r="C821" s="36"/>
      <c r="D821" s="33"/>
      <c r="E821" s="102">
        <f t="shared" si="28"/>
        <v>0</v>
      </c>
      <c r="F821" s="103" t="str">
        <f t="shared" si="24"/>
        <v>0 tubes and 0 shuttles</v>
      </c>
      <c r="G821" s="36">
        <f t="shared" si="29"/>
        <v>0</v>
      </c>
      <c r="H821" s="104" t="str">
        <f t="shared" si="25"/>
        <v>0 tubes and 0 shuttles</v>
      </c>
      <c r="I821" s="36">
        <f t="shared" si="26"/>
        <v>0</v>
      </c>
      <c r="J821" s="103" t="str">
        <f t="shared" si="27"/>
        <v>0 tubes and 0 shuttles</v>
      </c>
    </row>
    <row r="822" spans="1:10" ht="12.5" x14ac:dyDescent="0.25">
      <c r="A822" s="32">
        <f>'Profit &amp; Loss'!A822</f>
        <v>0</v>
      </c>
      <c r="B822" s="35">
        <f>'Profit &amp; Loss'!B822</f>
        <v>0</v>
      </c>
      <c r="C822" s="36"/>
      <c r="D822" s="33"/>
      <c r="E822" s="102">
        <f t="shared" si="28"/>
        <v>0</v>
      </c>
      <c r="F822" s="103" t="str">
        <f t="shared" si="24"/>
        <v>0 tubes and 0 shuttles</v>
      </c>
      <c r="G822" s="36">
        <f t="shared" si="29"/>
        <v>0</v>
      </c>
      <c r="H822" s="104" t="str">
        <f t="shared" si="25"/>
        <v>0 tubes and 0 shuttles</v>
      </c>
      <c r="I822" s="36">
        <f t="shared" si="26"/>
        <v>0</v>
      </c>
      <c r="J822" s="103" t="str">
        <f t="shared" si="27"/>
        <v>0 tubes and 0 shuttles</v>
      </c>
    </row>
    <row r="823" spans="1:10" ht="12.5" x14ac:dyDescent="0.25">
      <c r="A823" s="32">
        <f>'Profit &amp; Loss'!A823</f>
        <v>0</v>
      </c>
      <c r="B823" s="35">
        <f>'Profit &amp; Loss'!B823</f>
        <v>0</v>
      </c>
      <c r="C823" s="36"/>
      <c r="D823" s="33"/>
      <c r="E823" s="102">
        <f t="shared" si="28"/>
        <v>0</v>
      </c>
      <c r="F823" s="103" t="str">
        <f t="shared" si="24"/>
        <v>0 tubes and 0 shuttles</v>
      </c>
      <c r="G823" s="36">
        <f t="shared" si="29"/>
        <v>0</v>
      </c>
      <c r="H823" s="104" t="str">
        <f t="shared" si="25"/>
        <v>0 tubes and 0 shuttles</v>
      </c>
      <c r="I823" s="36">
        <f t="shared" si="26"/>
        <v>0</v>
      </c>
      <c r="J823" s="103" t="str">
        <f t="shared" si="27"/>
        <v>0 tubes and 0 shuttles</v>
      </c>
    </row>
    <row r="824" spans="1:10" ht="12.5" x14ac:dyDescent="0.25">
      <c r="A824" s="32">
        <f>'Profit &amp; Loss'!A824</f>
        <v>0</v>
      </c>
      <c r="B824" s="35">
        <f>'Profit &amp; Loss'!B824</f>
        <v>0</v>
      </c>
      <c r="C824" s="36"/>
      <c r="D824" s="33"/>
      <c r="E824" s="102">
        <f t="shared" si="28"/>
        <v>0</v>
      </c>
      <c r="F824" s="103" t="str">
        <f t="shared" si="24"/>
        <v>0 tubes and 0 shuttles</v>
      </c>
      <c r="G824" s="36">
        <f t="shared" si="29"/>
        <v>0</v>
      </c>
      <c r="H824" s="104" t="str">
        <f t="shared" si="25"/>
        <v>0 tubes and 0 shuttles</v>
      </c>
      <c r="I824" s="36">
        <f t="shared" si="26"/>
        <v>0</v>
      </c>
      <c r="J824" s="103" t="str">
        <f t="shared" si="27"/>
        <v>0 tubes and 0 shuttles</v>
      </c>
    </row>
    <row r="825" spans="1:10" ht="12.5" x14ac:dyDescent="0.25">
      <c r="A825" s="32">
        <f>'Profit &amp; Loss'!A825</f>
        <v>0</v>
      </c>
      <c r="B825" s="35">
        <f>'Profit &amp; Loss'!B825</f>
        <v>0</v>
      </c>
      <c r="C825" s="36"/>
      <c r="D825" s="33"/>
      <c r="E825" s="102">
        <f t="shared" si="28"/>
        <v>0</v>
      </c>
      <c r="F825" s="103" t="str">
        <f t="shared" si="24"/>
        <v>0 tubes and 0 shuttles</v>
      </c>
      <c r="G825" s="36">
        <f t="shared" si="29"/>
        <v>0</v>
      </c>
      <c r="H825" s="104" t="str">
        <f t="shared" si="25"/>
        <v>0 tubes and 0 shuttles</v>
      </c>
      <c r="I825" s="36">
        <f t="shared" si="26"/>
        <v>0</v>
      </c>
      <c r="J825" s="103" t="str">
        <f t="shared" si="27"/>
        <v>0 tubes and 0 shuttles</v>
      </c>
    </row>
    <row r="826" spans="1:10" ht="12.5" x14ac:dyDescent="0.25">
      <c r="A826" s="32">
        <f>'Profit &amp; Loss'!A826</f>
        <v>0</v>
      </c>
      <c r="B826" s="35">
        <f>'Profit &amp; Loss'!B826</f>
        <v>0</v>
      </c>
      <c r="C826" s="36"/>
      <c r="D826" s="33"/>
      <c r="E826" s="102">
        <f t="shared" si="28"/>
        <v>0</v>
      </c>
      <c r="F826" s="103" t="str">
        <f t="shared" si="24"/>
        <v>0 tubes and 0 shuttles</v>
      </c>
      <c r="G826" s="36">
        <f t="shared" si="29"/>
        <v>0</v>
      </c>
      <c r="H826" s="104" t="str">
        <f t="shared" si="25"/>
        <v>0 tubes and 0 shuttles</v>
      </c>
      <c r="I826" s="36">
        <f t="shared" si="26"/>
        <v>0</v>
      </c>
      <c r="J826" s="103" t="str">
        <f t="shared" si="27"/>
        <v>0 tubes and 0 shuttles</v>
      </c>
    </row>
    <row r="827" spans="1:10" ht="12.5" x14ac:dyDescent="0.25">
      <c r="A827" s="32">
        <f>'Profit &amp; Loss'!A827</f>
        <v>0</v>
      </c>
      <c r="B827" s="35">
        <f>'Profit &amp; Loss'!B827</f>
        <v>0</v>
      </c>
      <c r="C827" s="36"/>
      <c r="D827" s="33"/>
      <c r="E827" s="102">
        <f t="shared" si="28"/>
        <v>0</v>
      </c>
      <c r="F827" s="103" t="str">
        <f t="shared" si="24"/>
        <v>0 tubes and 0 shuttles</v>
      </c>
      <c r="G827" s="36">
        <f t="shared" si="29"/>
        <v>0</v>
      </c>
      <c r="H827" s="104" t="str">
        <f t="shared" si="25"/>
        <v>0 tubes and 0 shuttles</v>
      </c>
      <c r="I827" s="36">
        <f t="shared" si="26"/>
        <v>0</v>
      </c>
      <c r="J827" s="103" t="str">
        <f t="shared" si="27"/>
        <v>0 tubes and 0 shuttles</v>
      </c>
    </row>
    <row r="828" spans="1:10" ht="12.5" x14ac:dyDescent="0.25">
      <c r="A828" s="32">
        <f>'Profit &amp; Loss'!A828</f>
        <v>0</v>
      </c>
      <c r="B828" s="35">
        <f>'Profit &amp; Loss'!B828</f>
        <v>0</v>
      </c>
      <c r="C828" s="36"/>
      <c r="D828" s="33"/>
      <c r="E828" s="102">
        <f t="shared" si="28"/>
        <v>0</v>
      </c>
      <c r="F828" s="103" t="str">
        <f t="shared" si="24"/>
        <v>0 tubes and 0 shuttles</v>
      </c>
      <c r="G828" s="36">
        <f t="shared" si="29"/>
        <v>0</v>
      </c>
      <c r="H828" s="104" t="str">
        <f t="shared" si="25"/>
        <v>0 tubes and 0 shuttles</v>
      </c>
      <c r="I828" s="36">
        <f t="shared" si="26"/>
        <v>0</v>
      </c>
      <c r="J828" s="103" t="str">
        <f t="shared" si="27"/>
        <v>0 tubes and 0 shuttles</v>
      </c>
    </row>
    <row r="829" spans="1:10" ht="12.5" x14ac:dyDescent="0.25">
      <c r="A829" s="32">
        <f>'Profit &amp; Loss'!A829</f>
        <v>0</v>
      </c>
      <c r="B829" s="35">
        <f>'Profit &amp; Loss'!B829</f>
        <v>0</v>
      </c>
      <c r="C829" s="36"/>
      <c r="D829" s="33"/>
      <c r="E829" s="102">
        <f t="shared" si="28"/>
        <v>0</v>
      </c>
      <c r="F829" s="103" t="str">
        <f t="shared" si="24"/>
        <v>0 tubes and 0 shuttles</v>
      </c>
      <c r="G829" s="36">
        <f t="shared" si="29"/>
        <v>0</v>
      </c>
      <c r="H829" s="104" t="str">
        <f t="shared" si="25"/>
        <v>0 tubes and 0 shuttles</v>
      </c>
      <c r="I829" s="36">
        <f t="shared" si="26"/>
        <v>0</v>
      </c>
      <c r="J829" s="103" t="str">
        <f t="shared" si="27"/>
        <v>0 tubes and 0 shuttles</v>
      </c>
    </row>
    <row r="830" spans="1:10" ht="12.5" x14ac:dyDescent="0.25">
      <c r="A830" s="32">
        <f>'Profit &amp; Loss'!A830</f>
        <v>0</v>
      </c>
      <c r="B830" s="35">
        <f>'Profit &amp; Loss'!B830</f>
        <v>0</v>
      </c>
      <c r="C830" s="36"/>
      <c r="D830" s="33"/>
      <c r="E830" s="102">
        <f t="shared" si="28"/>
        <v>0</v>
      </c>
      <c r="F830" s="103" t="str">
        <f t="shared" si="24"/>
        <v>0 tubes and 0 shuttles</v>
      </c>
      <c r="G830" s="36">
        <f t="shared" si="29"/>
        <v>0</v>
      </c>
      <c r="H830" s="104" t="str">
        <f t="shared" si="25"/>
        <v>0 tubes and 0 shuttles</v>
      </c>
      <c r="I830" s="36">
        <f t="shared" si="26"/>
        <v>0</v>
      </c>
      <c r="J830" s="103" t="str">
        <f t="shared" si="27"/>
        <v>0 tubes and 0 shuttles</v>
      </c>
    </row>
    <row r="831" spans="1:10" ht="12.5" x14ac:dyDescent="0.25">
      <c r="A831" s="32">
        <f>'Profit &amp; Loss'!A831</f>
        <v>0</v>
      </c>
      <c r="B831" s="35">
        <f>'Profit &amp; Loss'!B831</f>
        <v>0</v>
      </c>
      <c r="C831" s="36"/>
      <c r="D831" s="33"/>
      <c r="E831" s="102">
        <f t="shared" si="28"/>
        <v>0</v>
      </c>
      <c r="F831" s="103" t="str">
        <f t="shared" si="24"/>
        <v>0 tubes and 0 shuttles</v>
      </c>
      <c r="G831" s="36">
        <f t="shared" si="29"/>
        <v>0</v>
      </c>
      <c r="H831" s="104" t="str">
        <f t="shared" si="25"/>
        <v>0 tubes and 0 shuttles</v>
      </c>
      <c r="I831" s="36">
        <f t="shared" si="26"/>
        <v>0</v>
      </c>
      <c r="J831" s="103" t="str">
        <f t="shared" si="27"/>
        <v>0 tubes and 0 shuttles</v>
      </c>
    </row>
    <row r="832" spans="1:10" ht="12.5" x14ac:dyDescent="0.25">
      <c r="A832" s="32">
        <f>'Profit &amp; Loss'!A832</f>
        <v>0</v>
      </c>
      <c r="B832" s="35">
        <f>'Profit &amp; Loss'!B832</f>
        <v>0</v>
      </c>
      <c r="C832" s="36"/>
      <c r="D832" s="33"/>
      <c r="E832" s="102">
        <f t="shared" si="28"/>
        <v>0</v>
      </c>
      <c r="F832" s="103" t="str">
        <f t="shared" si="24"/>
        <v>0 tubes and 0 shuttles</v>
      </c>
      <c r="G832" s="36">
        <f t="shared" si="29"/>
        <v>0</v>
      </c>
      <c r="H832" s="104" t="str">
        <f t="shared" si="25"/>
        <v>0 tubes and 0 shuttles</v>
      </c>
      <c r="I832" s="36">
        <f t="shared" si="26"/>
        <v>0</v>
      </c>
      <c r="J832" s="103" t="str">
        <f t="shared" si="27"/>
        <v>0 tubes and 0 shuttles</v>
      </c>
    </row>
    <row r="833" spans="1:10" ht="12.5" x14ac:dyDescent="0.25">
      <c r="A833" s="32">
        <f>'Profit &amp; Loss'!A833</f>
        <v>0</v>
      </c>
      <c r="B833" s="35">
        <f>'Profit &amp; Loss'!B833</f>
        <v>0</v>
      </c>
      <c r="C833" s="36"/>
      <c r="D833" s="33"/>
      <c r="E833" s="102">
        <f t="shared" si="28"/>
        <v>0</v>
      </c>
      <c r="F833" s="103" t="str">
        <f t="shared" si="24"/>
        <v>0 tubes and 0 shuttles</v>
      </c>
      <c r="G833" s="36">
        <f t="shared" si="29"/>
        <v>0</v>
      </c>
      <c r="H833" s="104" t="str">
        <f t="shared" si="25"/>
        <v>0 tubes and 0 shuttles</v>
      </c>
      <c r="I833" s="36">
        <f t="shared" si="26"/>
        <v>0</v>
      </c>
      <c r="J833" s="103" t="str">
        <f t="shared" si="27"/>
        <v>0 tubes and 0 shuttles</v>
      </c>
    </row>
    <row r="834" spans="1:10" ht="12.5" x14ac:dyDescent="0.25">
      <c r="A834" s="32">
        <f>'Profit &amp; Loss'!A834</f>
        <v>0</v>
      </c>
      <c r="B834" s="35">
        <f>'Profit &amp; Loss'!B834</f>
        <v>0</v>
      </c>
      <c r="C834" s="36"/>
      <c r="D834" s="33"/>
      <c r="E834" s="102">
        <f t="shared" si="28"/>
        <v>0</v>
      </c>
      <c r="F834" s="103" t="str">
        <f t="shared" si="24"/>
        <v>0 tubes and 0 shuttles</v>
      </c>
      <c r="G834" s="36">
        <f t="shared" si="29"/>
        <v>0</v>
      </c>
      <c r="H834" s="104" t="str">
        <f t="shared" si="25"/>
        <v>0 tubes and 0 shuttles</v>
      </c>
      <c r="I834" s="36">
        <f t="shared" si="26"/>
        <v>0</v>
      </c>
      <c r="J834" s="103" t="str">
        <f t="shared" si="27"/>
        <v>0 tubes and 0 shuttles</v>
      </c>
    </row>
    <row r="835" spans="1:10" ht="12.5" x14ac:dyDescent="0.25">
      <c r="A835" s="32">
        <f>'Profit &amp; Loss'!A835</f>
        <v>0</v>
      </c>
      <c r="B835" s="35">
        <f>'Profit &amp; Loss'!B835</f>
        <v>0</v>
      </c>
      <c r="C835" s="36"/>
      <c r="D835" s="33"/>
      <c r="E835" s="102">
        <f t="shared" si="28"/>
        <v>0</v>
      </c>
      <c r="F835" s="103" t="str">
        <f t="shared" si="24"/>
        <v>0 tubes and 0 shuttles</v>
      </c>
      <c r="G835" s="36">
        <f t="shared" si="29"/>
        <v>0</v>
      </c>
      <c r="H835" s="104" t="str">
        <f t="shared" si="25"/>
        <v>0 tubes and 0 shuttles</v>
      </c>
      <c r="I835" s="36">
        <f t="shared" si="26"/>
        <v>0</v>
      </c>
      <c r="J835" s="103" t="str">
        <f t="shared" si="27"/>
        <v>0 tubes and 0 shuttles</v>
      </c>
    </row>
    <row r="836" spans="1:10" ht="12.5" x14ac:dyDescent="0.25">
      <c r="A836" s="32">
        <f>'Profit &amp; Loss'!A836</f>
        <v>0</v>
      </c>
      <c r="B836" s="35">
        <f>'Profit &amp; Loss'!B836</f>
        <v>0</v>
      </c>
      <c r="C836" s="36"/>
      <c r="D836" s="33"/>
      <c r="E836" s="102">
        <f t="shared" si="28"/>
        <v>0</v>
      </c>
      <c r="F836" s="103" t="str">
        <f t="shared" si="24"/>
        <v>0 tubes and 0 shuttles</v>
      </c>
      <c r="G836" s="36">
        <f t="shared" si="29"/>
        <v>0</v>
      </c>
      <c r="H836" s="104" t="str">
        <f t="shared" si="25"/>
        <v>0 tubes and 0 shuttles</v>
      </c>
      <c r="I836" s="36">
        <f t="shared" si="26"/>
        <v>0</v>
      </c>
      <c r="J836" s="103" t="str">
        <f t="shared" si="27"/>
        <v>0 tubes and 0 shuttles</v>
      </c>
    </row>
    <row r="837" spans="1:10" ht="12.5" x14ac:dyDescent="0.25">
      <c r="A837" s="32">
        <f>'Profit &amp; Loss'!A837</f>
        <v>0</v>
      </c>
      <c r="B837" s="35">
        <f>'Profit &amp; Loss'!B837</f>
        <v>0</v>
      </c>
      <c r="C837" s="36"/>
      <c r="D837" s="33"/>
      <c r="E837" s="102">
        <f t="shared" si="28"/>
        <v>0</v>
      </c>
      <c r="F837" s="103" t="str">
        <f t="shared" si="24"/>
        <v>0 tubes and 0 shuttles</v>
      </c>
      <c r="G837" s="36">
        <f t="shared" si="29"/>
        <v>0</v>
      </c>
      <c r="H837" s="104" t="str">
        <f t="shared" si="25"/>
        <v>0 tubes and 0 shuttles</v>
      </c>
      <c r="I837" s="36">
        <f t="shared" si="26"/>
        <v>0</v>
      </c>
      <c r="J837" s="103" t="str">
        <f t="shared" si="27"/>
        <v>0 tubes and 0 shuttles</v>
      </c>
    </row>
    <row r="838" spans="1:10" ht="12.5" x14ac:dyDescent="0.25">
      <c r="A838" s="32">
        <f>'Profit &amp; Loss'!A838</f>
        <v>0</v>
      </c>
      <c r="B838" s="35">
        <f>'Profit &amp; Loss'!B838</f>
        <v>0</v>
      </c>
      <c r="C838" s="36"/>
      <c r="D838" s="33"/>
      <c r="E838" s="102">
        <f t="shared" si="28"/>
        <v>0</v>
      </c>
      <c r="F838" s="103" t="str">
        <f t="shared" si="24"/>
        <v>0 tubes and 0 shuttles</v>
      </c>
      <c r="G838" s="36">
        <f t="shared" si="29"/>
        <v>0</v>
      </c>
      <c r="H838" s="104" t="str">
        <f t="shared" si="25"/>
        <v>0 tubes and 0 shuttles</v>
      </c>
      <c r="I838" s="36">
        <f t="shared" si="26"/>
        <v>0</v>
      </c>
      <c r="J838" s="103" t="str">
        <f t="shared" si="27"/>
        <v>0 tubes and 0 shuttles</v>
      </c>
    </row>
    <row r="839" spans="1:10" ht="12.5" x14ac:dyDescent="0.25">
      <c r="A839" s="32">
        <f>'Profit &amp; Loss'!A839</f>
        <v>0</v>
      </c>
      <c r="B839" s="35">
        <f>'Profit &amp; Loss'!B839</f>
        <v>0</v>
      </c>
      <c r="C839" s="36"/>
      <c r="D839" s="33"/>
      <c r="E839" s="102">
        <f t="shared" si="28"/>
        <v>0</v>
      </c>
      <c r="F839" s="103" t="str">
        <f t="shared" si="24"/>
        <v>0 tubes and 0 shuttles</v>
      </c>
      <c r="G839" s="36">
        <f t="shared" si="29"/>
        <v>0</v>
      </c>
      <c r="H839" s="104" t="str">
        <f t="shared" si="25"/>
        <v>0 tubes and 0 shuttles</v>
      </c>
      <c r="I839" s="36">
        <f t="shared" si="26"/>
        <v>0</v>
      </c>
      <c r="J839" s="103" t="str">
        <f t="shared" si="27"/>
        <v>0 tubes and 0 shuttles</v>
      </c>
    </row>
    <row r="840" spans="1:10" ht="12.5" x14ac:dyDescent="0.25">
      <c r="A840" s="32">
        <f>'Profit &amp; Loss'!A840</f>
        <v>0</v>
      </c>
      <c r="B840" s="35">
        <f>'Profit &amp; Loss'!B840</f>
        <v>0</v>
      </c>
      <c r="C840" s="36"/>
      <c r="D840" s="33"/>
      <c r="E840" s="102">
        <f t="shared" si="28"/>
        <v>0</v>
      </c>
      <c r="F840" s="103" t="str">
        <f t="shared" si="24"/>
        <v>0 tubes and 0 shuttles</v>
      </c>
      <c r="G840" s="36">
        <f t="shared" si="29"/>
        <v>0</v>
      </c>
      <c r="H840" s="104" t="str">
        <f t="shared" si="25"/>
        <v>0 tubes and 0 shuttles</v>
      </c>
      <c r="I840" s="36">
        <f t="shared" si="26"/>
        <v>0</v>
      </c>
      <c r="J840" s="103" t="str">
        <f t="shared" si="27"/>
        <v>0 tubes and 0 shuttles</v>
      </c>
    </row>
    <row r="841" spans="1:10" ht="12.5" x14ac:dyDescent="0.25">
      <c r="A841" s="32">
        <f>'Profit &amp; Loss'!A841</f>
        <v>0</v>
      </c>
      <c r="B841" s="35">
        <f>'Profit &amp; Loss'!B841</f>
        <v>0</v>
      </c>
      <c r="C841" s="36"/>
      <c r="D841" s="33"/>
      <c r="E841" s="102">
        <f t="shared" si="28"/>
        <v>0</v>
      </c>
      <c r="F841" s="103" t="str">
        <f t="shared" si="24"/>
        <v>0 tubes and 0 shuttles</v>
      </c>
      <c r="G841" s="36">
        <f t="shared" si="29"/>
        <v>0</v>
      </c>
      <c r="H841" s="104" t="str">
        <f t="shared" si="25"/>
        <v>0 tubes and 0 shuttles</v>
      </c>
      <c r="I841" s="36">
        <f t="shared" si="26"/>
        <v>0</v>
      </c>
      <c r="J841" s="103" t="str">
        <f t="shared" si="27"/>
        <v>0 tubes and 0 shuttles</v>
      </c>
    </row>
    <row r="842" spans="1:10" ht="12.5" x14ac:dyDescent="0.25">
      <c r="A842" s="32">
        <f>'Profit &amp; Loss'!A842</f>
        <v>0</v>
      </c>
      <c r="B842" s="35">
        <f>'Profit &amp; Loss'!B842</f>
        <v>0</v>
      </c>
      <c r="C842" s="36"/>
      <c r="D842" s="33"/>
      <c r="E842" s="102">
        <f t="shared" si="28"/>
        <v>0</v>
      </c>
      <c r="F842" s="103" t="str">
        <f t="shared" si="24"/>
        <v>0 tubes and 0 shuttles</v>
      </c>
      <c r="G842" s="36">
        <f t="shared" si="29"/>
        <v>0</v>
      </c>
      <c r="H842" s="104" t="str">
        <f t="shared" si="25"/>
        <v>0 tubes and 0 shuttles</v>
      </c>
      <c r="I842" s="36">
        <f t="shared" si="26"/>
        <v>0</v>
      </c>
      <c r="J842" s="103" t="str">
        <f t="shared" si="27"/>
        <v>0 tubes and 0 shuttles</v>
      </c>
    </row>
    <row r="843" spans="1:10" ht="12.5" x14ac:dyDescent="0.25">
      <c r="A843" s="32">
        <f>'Profit &amp; Loss'!A843</f>
        <v>0</v>
      </c>
      <c r="B843" s="35">
        <f>'Profit &amp; Loss'!B843</f>
        <v>0</v>
      </c>
      <c r="C843" s="36"/>
      <c r="D843" s="33"/>
      <c r="E843" s="102">
        <f t="shared" si="28"/>
        <v>0</v>
      </c>
      <c r="F843" s="103" t="str">
        <f t="shared" si="24"/>
        <v>0 tubes and 0 shuttles</v>
      </c>
      <c r="G843" s="36">
        <f t="shared" si="29"/>
        <v>0</v>
      </c>
      <c r="H843" s="104" t="str">
        <f t="shared" si="25"/>
        <v>0 tubes and 0 shuttles</v>
      </c>
      <c r="I843" s="36">
        <f t="shared" si="26"/>
        <v>0</v>
      </c>
      <c r="J843" s="103" t="str">
        <f t="shared" si="27"/>
        <v>0 tubes and 0 shuttles</v>
      </c>
    </row>
    <row r="844" spans="1:10" ht="12.5" x14ac:dyDescent="0.25">
      <c r="A844" s="32">
        <f>'Profit &amp; Loss'!A844</f>
        <v>0</v>
      </c>
      <c r="B844" s="35">
        <f>'Profit &amp; Loss'!B844</f>
        <v>0</v>
      </c>
      <c r="C844" s="36"/>
      <c r="D844" s="33"/>
      <c r="E844" s="102">
        <f t="shared" si="28"/>
        <v>0</v>
      </c>
      <c r="F844" s="103" t="str">
        <f t="shared" si="24"/>
        <v>0 tubes and 0 shuttles</v>
      </c>
      <c r="G844" s="36">
        <f t="shared" si="29"/>
        <v>0</v>
      </c>
      <c r="H844" s="104" t="str">
        <f t="shared" si="25"/>
        <v>0 tubes and 0 shuttles</v>
      </c>
      <c r="I844" s="36">
        <f t="shared" si="26"/>
        <v>0</v>
      </c>
      <c r="J844" s="103" t="str">
        <f t="shared" si="27"/>
        <v>0 tubes and 0 shuttles</v>
      </c>
    </row>
    <row r="845" spans="1:10" ht="12.5" x14ac:dyDescent="0.25">
      <c r="A845" s="32">
        <f>'Profit &amp; Loss'!A845</f>
        <v>0</v>
      </c>
      <c r="B845" s="35">
        <f>'Profit &amp; Loss'!B845</f>
        <v>0</v>
      </c>
      <c r="C845" s="36"/>
      <c r="D845" s="33"/>
      <c r="E845" s="102">
        <f t="shared" si="28"/>
        <v>0</v>
      </c>
      <c r="F845" s="103" t="str">
        <f t="shared" si="24"/>
        <v>0 tubes and 0 shuttles</v>
      </c>
      <c r="G845" s="36">
        <f t="shared" si="29"/>
        <v>0</v>
      </c>
      <c r="H845" s="104" t="str">
        <f t="shared" si="25"/>
        <v>0 tubes and 0 shuttles</v>
      </c>
      <c r="I845" s="36">
        <f t="shared" si="26"/>
        <v>0</v>
      </c>
      <c r="J845" s="103" t="str">
        <f t="shared" si="27"/>
        <v>0 tubes and 0 shuttles</v>
      </c>
    </row>
    <row r="846" spans="1:10" ht="12.5" x14ac:dyDescent="0.25">
      <c r="A846" s="32">
        <f>'Profit &amp; Loss'!A846</f>
        <v>0</v>
      </c>
      <c r="B846" s="35">
        <f>'Profit &amp; Loss'!B846</f>
        <v>0</v>
      </c>
      <c r="C846" s="36"/>
      <c r="D846" s="33"/>
      <c r="E846" s="102">
        <f t="shared" si="28"/>
        <v>0</v>
      </c>
      <c r="F846" s="103" t="str">
        <f t="shared" si="24"/>
        <v>0 tubes and 0 shuttles</v>
      </c>
      <c r="G846" s="36">
        <f t="shared" si="29"/>
        <v>0</v>
      </c>
      <c r="H846" s="104" t="str">
        <f t="shared" si="25"/>
        <v>0 tubes and 0 shuttles</v>
      </c>
      <c r="I846" s="36">
        <f t="shared" si="26"/>
        <v>0</v>
      </c>
      <c r="J846" s="103" t="str">
        <f t="shared" si="27"/>
        <v>0 tubes and 0 shuttles</v>
      </c>
    </row>
    <row r="847" spans="1:10" ht="12.5" x14ac:dyDescent="0.25">
      <c r="A847" s="32">
        <f>'Profit &amp; Loss'!A847</f>
        <v>0</v>
      </c>
      <c r="B847" s="35">
        <f>'Profit &amp; Loss'!B847</f>
        <v>0</v>
      </c>
      <c r="C847" s="36"/>
      <c r="D847" s="33"/>
      <c r="E847" s="102">
        <f t="shared" si="28"/>
        <v>0</v>
      </c>
      <c r="F847" s="103" t="str">
        <f t="shared" si="24"/>
        <v>0 tubes and 0 shuttles</v>
      </c>
      <c r="G847" s="36">
        <f t="shared" si="29"/>
        <v>0</v>
      </c>
      <c r="H847" s="104" t="str">
        <f t="shared" si="25"/>
        <v>0 tubes and 0 shuttles</v>
      </c>
      <c r="I847" s="36">
        <f t="shared" si="26"/>
        <v>0</v>
      </c>
      <c r="J847" s="103" t="str">
        <f t="shared" si="27"/>
        <v>0 tubes and 0 shuttles</v>
      </c>
    </row>
    <row r="848" spans="1:10" ht="12.5" x14ac:dyDescent="0.25">
      <c r="A848" s="32">
        <f>'Profit &amp; Loss'!A848</f>
        <v>0</v>
      </c>
      <c r="B848" s="35">
        <f>'Profit &amp; Loss'!B848</f>
        <v>0</v>
      </c>
      <c r="C848" s="36"/>
      <c r="D848" s="33"/>
      <c r="E848" s="102">
        <f t="shared" si="28"/>
        <v>0</v>
      </c>
      <c r="F848" s="103" t="str">
        <f t="shared" si="24"/>
        <v>0 tubes and 0 shuttles</v>
      </c>
      <c r="G848" s="36">
        <f t="shared" si="29"/>
        <v>0</v>
      </c>
      <c r="H848" s="104" t="str">
        <f t="shared" si="25"/>
        <v>0 tubes and 0 shuttles</v>
      </c>
      <c r="I848" s="36">
        <f t="shared" si="26"/>
        <v>0</v>
      </c>
      <c r="J848" s="103" t="str">
        <f t="shared" si="27"/>
        <v>0 tubes and 0 shuttles</v>
      </c>
    </row>
    <row r="849" spans="1:10" ht="12.5" x14ac:dyDescent="0.25">
      <c r="A849" s="32">
        <f>'Profit &amp; Loss'!A849</f>
        <v>0</v>
      </c>
      <c r="B849" s="35">
        <f>'Profit &amp; Loss'!B849</f>
        <v>0</v>
      </c>
      <c r="C849" s="36"/>
      <c r="D849" s="33"/>
      <c r="E849" s="102">
        <f t="shared" si="28"/>
        <v>0</v>
      </c>
      <c r="F849" s="103" t="str">
        <f t="shared" si="24"/>
        <v>0 tubes and 0 shuttles</v>
      </c>
      <c r="G849" s="36">
        <f t="shared" si="29"/>
        <v>0</v>
      </c>
      <c r="H849" s="104" t="str">
        <f t="shared" si="25"/>
        <v>0 tubes and 0 shuttles</v>
      </c>
      <c r="I849" s="36">
        <f t="shared" si="26"/>
        <v>0</v>
      </c>
      <c r="J849" s="103" t="str">
        <f t="shared" si="27"/>
        <v>0 tubes and 0 shuttles</v>
      </c>
    </row>
    <row r="850" spans="1:10" ht="12.5" x14ac:dyDescent="0.25">
      <c r="A850" s="32">
        <f>'Profit &amp; Loss'!A850</f>
        <v>0</v>
      </c>
      <c r="B850" s="35">
        <f>'Profit &amp; Loss'!B850</f>
        <v>0</v>
      </c>
      <c r="C850" s="36"/>
      <c r="D850" s="33"/>
      <c r="E850" s="102">
        <f t="shared" si="28"/>
        <v>0</v>
      </c>
      <c r="F850" s="103" t="str">
        <f t="shared" si="24"/>
        <v>0 tubes and 0 shuttles</v>
      </c>
      <c r="G850" s="36">
        <f t="shared" si="29"/>
        <v>0</v>
      </c>
      <c r="H850" s="104" t="str">
        <f t="shared" si="25"/>
        <v>0 tubes and 0 shuttles</v>
      </c>
      <c r="I850" s="36">
        <f t="shared" si="26"/>
        <v>0</v>
      </c>
      <c r="J850" s="103" t="str">
        <f t="shared" si="27"/>
        <v>0 tubes and 0 shuttles</v>
      </c>
    </row>
    <row r="851" spans="1:10" ht="12.5" x14ac:dyDescent="0.25">
      <c r="A851" s="32">
        <f>'Profit &amp; Loss'!A851</f>
        <v>0</v>
      </c>
      <c r="B851" s="35">
        <f>'Profit &amp; Loss'!B851</f>
        <v>0</v>
      </c>
      <c r="C851" s="36"/>
      <c r="D851" s="33"/>
      <c r="E851" s="102">
        <f t="shared" si="28"/>
        <v>0</v>
      </c>
      <c r="F851" s="103" t="str">
        <f t="shared" si="24"/>
        <v>0 tubes and 0 shuttles</v>
      </c>
      <c r="G851" s="36">
        <f t="shared" si="29"/>
        <v>0</v>
      </c>
      <c r="H851" s="104" t="str">
        <f t="shared" si="25"/>
        <v>0 tubes and 0 shuttles</v>
      </c>
      <c r="I851" s="36">
        <f t="shared" si="26"/>
        <v>0</v>
      </c>
      <c r="J851" s="103" t="str">
        <f t="shared" si="27"/>
        <v>0 tubes and 0 shuttles</v>
      </c>
    </row>
    <row r="852" spans="1:10" ht="12.5" x14ac:dyDescent="0.25">
      <c r="A852" s="32">
        <f>'Profit &amp; Loss'!A852</f>
        <v>0</v>
      </c>
      <c r="B852" s="35">
        <f>'Profit &amp; Loss'!B852</f>
        <v>0</v>
      </c>
      <c r="C852" s="36"/>
      <c r="D852" s="33"/>
      <c r="E852" s="102">
        <f t="shared" si="28"/>
        <v>0</v>
      </c>
      <c r="F852" s="103" t="str">
        <f t="shared" si="24"/>
        <v>0 tubes and 0 shuttles</v>
      </c>
      <c r="G852" s="36">
        <f t="shared" si="29"/>
        <v>0</v>
      </c>
      <c r="H852" s="104" t="str">
        <f t="shared" si="25"/>
        <v>0 tubes and 0 shuttles</v>
      </c>
      <c r="I852" s="36">
        <f t="shared" si="26"/>
        <v>0</v>
      </c>
      <c r="J852" s="103" t="str">
        <f t="shared" si="27"/>
        <v>0 tubes and 0 shuttles</v>
      </c>
    </row>
    <row r="853" spans="1:10" ht="12.5" x14ac:dyDescent="0.25">
      <c r="A853" s="32">
        <f>'Profit &amp; Loss'!A853</f>
        <v>0</v>
      </c>
      <c r="B853" s="35">
        <f>'Profit &amp; Loss'!B853</f>
        <v>0</v>
      </c>
      <c r="C853" s="36"/>
      <c r="D853" s="33"/>
      <c r="E853" s="102">
        <f t="shared" si="28"/>
        <v>0</v>
      </c>
      <c r="F853" s="103" t="str">
        <f t="shared" si="24"/>
        <v>0 tubes and 0 shuttles</v>
      </c>
      <c r="G853" s="36">
        <f t="shared" si="29"/>
        <v>0</v>
      </c>
      <c r="H853" s="104" t="str">
        <f t="shared" si="25"/>
        <v>0 tubes and 0 shuttles</v>
      </c>
      <c r="I853" s="36">
        <f t="shared" si="26"/>
        <v>0</v>
      </c>
      <c r="J853" s="103" t="str">
        <f t="shared" si="27"/>
        <v>0 tubes and 0 shuttles</v>
      </c>
    </row>
    <row r="854" spans="1:10" ht="12.5" x14ac:dyDescent="0.25">
      <c r="A854" s="32">
        <f>'Profit &amp; Loss'!A854</f>
        <v>0</v>
      </c>
      <c r="B854" s="35">
        <f>'Profit &amp; Loss'!B854</f>
        <v>0</v>
      </c>
      <c r="C854" s="36"/>
      <c r="D854" s="33"/>
      <c r="E854" s="102">
        <f t="shared" si="28"/>
        <v>0</v>
      </c>
      <c r="F854" s="103" t="str">
        <f t="shared" si="24"/>
        <v>0 tubes and 0 shuttles</v>
      </c>
      <c r="G854" s="36">
        <f t="shared" si="29"/>
        <v>0</v>
      </c>
      <c r="H854" s="104" t="str">
        <f t="shared" si="25"/>
        <v>0 tubes and 0 shuttles</v>
      </c>
      <c r="I854" s="36">
        <f t="shared" si="26"/>
        <v>0</v>
      </c>
      <c r="J854" s="103" t="str">
        <f t="shared" si="27"/>
        <v>0 tubes and 0 shuttles</v>
      </c>
    </row>
    <row r="855" spans="1:10" ht="12.5" x14ac:dyDescent="0.25">
      <c r="A855" s="32">
        <f>'Profit &amp; Loss'!A855</f>
        <v>0</v>
      </c>
      <c r="B855" s="35">
        <f>'Profit &amp; Loss'!B855</f>
        <v>0</v>
      </c>
      <c r="C855" s="36"/>
      <c r="D855" s="33"/>
      <c r="E855" s="102">
        <f t="shared" si="28"/>
        <v>0</v>
      </c>
      <c r="F855" s="103" t="str">
        <f t="shared" si="24"/>
        <v>0 tubes and 0 shuttles</v>
      </c>
      <c r="G855" s="36">
        <f t="shared" si="29"/>
        <v>0</v>
      </c>
      <c r="H855" s="104" t="str">
        <f t="shared" si="25"/>
        <v>0 tubes and 0 shuttles</v>
      </c>
      <c r="I855" s="36">
        <f t="shared" si="26"/>
        <v>0</v>
      </c>
      <c r="J855" s="103" t="str">
        <f t="shared" si="27"/>
        <v>0 tubes and 0 shuttles</v>
      </c>
    </row>
    <row r="856" spans="1:10" ht="12.5" x14ac:dyDescent="0.25">
      <c r="A856" s="32">
        <f>'Profit &amp; Loss'!A856</f>
        <v>0</v>
      </c>
      <c r="B856" s="35">
        <f>'Profit &amp; Loss'!B856</f>
        <v>0</v>
      </c>
      <c r="C856" s="36"/>
      <c r="D856" s="33"/>
      <c r="E856" s="102">
        <f t="shared" si="28"/>
        <v>0</v>
      </c>
      <c r="F856" s="103" t="str">
        <f t="shared" si="24"/>
        <v>0 tubes and 0 shuttles</v>
      </c>
      <c r="G856" s="36">
        <f t="shared" si="29"/>
        <v>0</v>
      </c>
      <c r="H856" s="104" t="str">
        <f t="shared" si="25"/>
        <v>0 tubes and 0 shuttles</v>
      </c>
      <c r="I856" s="36">
        <f t="shared" si="26"/>
        <v>0</v>
      </c>
      <c r="J856" s="103" t="str">
        <f t="shared" si="27"/>
        <v>0 tubes and 0 shuttles</v>
      </c>
    </row>
    <row r="857" spans="1:10" ht="12.5" x14ac:dyDescent="0.25">
      <c r="A857" s="32">
        <f>'Profit &amp; Loss'!A857</f>
        <v>0</v>
      </c>
      <c r="B857" s="35">
        <f>'Profit &amp; Loss'!B857</f>
        <v>0</v>
      </c>
      <c r="C857" s="36"/>
      <c r="D857" s="33"/>
      <c r="E857" s="102">
        <f t="shared" si="28"/>
        <v>0</v>
      </c>
      <c r="F857" s="103" t="str">
        <f t="shared" si="24"/>
        <v>0 tubes and 0 shuttles</v>
      </c>
      <c r="G857" s="36">
        <f t="shared" si="29"/>
        <v>0</v>
      </c>
      <c r="H857" s="104" t="str">
        <f t="shared" si="25"/>
        <v>0 tubes and 0 shuttles</v>
      </c>
      <c r="I857" s="36">
        <f t="shared" si="26"/>
        <v>0</v>
      </c>
      <c r="J857" s="103" t="str">
        <f t="shared" si="27"/>
        <v>0 tubes and 0 shuttles</v>
      </c>
    </row>
    <row r="858" spans="1:10" ht="12.5" x14ac:dyDescent="0.25">
      <c r="A858" s="32">
        <f>'Profit &amp; Loss'!A858</f>
        <v>0</v>
      </c>
      <c r="B858" s="35">
        <f>'Profit &amp; Loss'!B858</f>
        <v>0</v>
      </c>
      <c r="C858" s="36"/>
      <c r="D858" s="33"/>
      <c r="E858" s="102">
        <f t="shared" si="28"/>
        <v>0</v>
      </c>
      <c r="F858" s="103" t="str">
        <f t="shared" si="24"/>
        <v>0 tubes and 0 shuttles</v>
      </c>
      <c r="G858" s="36">
        <f t="shared" si="29"/>
        <v>0</v>
      </c>
      <c r="H858" s="104" t="str">
        <f t="shared" si="25"/>
        <v>0 tubes and 0 shuttles</v>
      </c>
      <c r="I858" s="36">
        <f t="shared" si="26"/>
        <v>0</v>
      </c>
      <c r="J858" s="103" t="str">
        <f t="shared" si="27"/>
        <v>0 tubes and 0 shuttles</v>
      </c>
    </row>
    <row r="859" spans="1:10" ht="12.5" x14ac:dyDescent="0.25">
      <c r="A859" s="32">
        <f>'Profit &amp; Loss'!A859</f>
        <v>0</v>
      </c>
      <c r="B859" s="35">
        <f>'Profit &amp; Loss'!B859</f>
        <v>0</v>
      </c>
      <c r="C859" s="36"/>
      <c r="D859" s="33"/>
      <c r="E859" s="102">
        <f t="shared" si="28"/>
        <v>0</v>
      </c>
      <c r="F859" s="103" t="str">
        <f t="shared" si="24"/>
        <v>0 tubes and 0 shuttles</v>
      </c>
      <c r="G859" s="36">
        <f t="shared" si="29"/>
        <v>0</v>
      </c>
      <c r="H859" s="104" t="str">
        <f t="shared" si="25"/>
        <v>0 tubes and 0 shuttles</v>
      </c>
      <c r="I859" s="36">
        <f t="shared" si="26"/>
        <v>0</v>
      </c>
      <c r="J859" s="103" t="str">
        <f t="shared" si="27"/>
        <v>0 tubes and 0 shuttles</v>
      </c>
    </row>
    <row r="860" spans="1:10" ht="12.5" x14ac:dyDescent="0.25">
      <c r="A860" s="32">
        <f>'Profit &amp; Loss'!A860</f>
        <v>0</v>
      </c>
      <c r="B860" s="35">
        <f>'Profit &amp; Loss'!B860</f>
        <v>0</v>
      </c>
      <c r="C860" s="36"/>
      <c r="D860" s="33"/>
      <c r="E860" s="102">
        <f t="shared" si="28"/>
        <v>0</v>
      </c>
      <c r="F860" s="103" t="str">
        <f t="shared" si="24"/>
        <v>0 tubes and 0 shuttles</v>
      </c>
      <c r="G860" s="36">
        <f t="shared" si="29"/>
        <v>0</v>
      </c>
      <c r="H860" s="104" t="str">
        <f t="shared" si="25"/>
        <v>0 tubes and 0 shuttles</v>
      </c>
      <c r="I860" s="36">
        <f t="shared" si="26"/>
        <v>0</v>
      </c>
      <c r="J860" s="103" t="str">
        <f t="shared" si="27"/>
        <v>0 tubes and 0 shuttles</v>
      </c>
    </row>
    <row r="861" spans="1:10" ht="12.5" x14ac:dyDescent="0.25">
      <c r="A861" s="32">
        <f>'Profit &amp; Loss'!A861</f>
        <v>0</v>
      </c>
      <c r="B861" s="35">
        <f>'Profit &amp; Loss'!B861</f>
        <v>0</v>
      </c>
      <c r="C861" s="36"/>
      <c r="D861" s="33"/>
      <c r="E861" s="102">
        <f t="shared" si="28"/>
        <v>0</v>
      </c>
      <c r="F861" s="103" t="str">
        <f t="shared" si="24"/>
        <v>0 tubes and 0 shuttles</v>
      </c>
      <c r="G861" s="36">
        <f t="shared" si="29"/>
        <v>0</v>
      </c>
      <c r="H861" s="104" t="str">
        <f t="shared" si="25"/>
        <v>0 tubes and 0 shuttles</v>
      </c>
      <c r="I861" s="36">
        <f t="shared" si="26"/>
        <v>0</v>
      </c>
      <c r="J861" s="103" t="str">
        <f t="shared" si="27"/>
        <v>0 tubes and 0 shuttles</v>
      </c>
    </row>
    <row r="862" spans="1:10" ht="12.5" x14ac:dyDescent="0.25">
      <c r="A862" s="32">
        <f>'Profit &amp; Loss'!A862</f>
        <v>0</v>
      </c>
      <c r="B862" s="35">
        <f>'Profit &amp; Loss'!B862</f>
        <v>0</v>
      </c>
      <c r="C862" s="36"/>
      <c r="D862" s="33"/>
      <c r="E862" s="102">
        <f t="shared" si="28"/>
        <v>0</v>
      </c>
      <c r="F862" s="103" t="str">
        <f t="shared" si="24"/>
        <v>0 tubes and 0 shuttles</v>
      </c>
      <c r="G862" s="36">
        <f t="shared" si="29"/>
        <v>0</v>
      </c>
      <c r="H862" s="104" t="str">
        <f t="shared" si="25"/>
        <v>0 tubes and 0 shuttles</v>
      </c>
      <c r="I862" s="36">
        <f t="shared" si="26"/>
        <v>0</v>
      </c>
      <c r="J862" s="103" t="str">
        <f t="shared" si="27"/>
        <v>0 tubes and 0 shuttles</v>
      </c>
    </row>
    <row r="863" spans="1:10" ht="12.5" x14ac:dyDescent="0.25">
      <c r="A863" s="32">
        <f>'Profit &amp; Loss'!A863</f>
        <v>0</v>
      </c>
      <c r="B863" s="35">
        <f>'Profit &amp; Loss'!B863</f>
        <v>0</v>
      </c>
      <c r="C863" s="36"/>
      <c r="D863" s="33"/>
      <c r="E863" s="102">
        <f t="shared" si="28"/>
        <v>0</v>
      </c>
      <c r="F863" s="103" t="str">
        <f t="shared" si="24"/>
        <v>0 tubes and 0 shuttles</v>
      </c>
      <c r="G863" s="36">
        <f t="shared" si="29"/>
        <v>0</v>
      </c>
      <c r="H863" s="104" t="str">
        <f t="shared" si="25"/>
        <v>0 tubes and 0 shuttles</v>
      </c>
      <c r="I863" s="36">
        <f t="shared" si="26"/>
        <v>0</v>
      </c>
      <c r="J863" s="103" t="str">
        <f t="shared" si="27"/>
        <v>0 tubes and 0 shuttles</v>
      </c>
    </row>
    <row r="864" spans="1:10" ht="12.5" x14ac:dyDescent="0.25">
      <c r="A864" s="32">
        <f>'Profit &amp; Loss'!A864</f>
        <v>0</v>
      </c>
      <c r="B864" s="35">
        <f>'Profit &amp; Loss'!B864</f>
        <v>0</v>
      </c>
      <c r="C864" s="36"/>
      <c r="D864" s="33"/>
      <c r="E864" s="102">
        <f t="shared" si="28"/>
        <v>0</v>
      </c>
      <c r="F864" s="103" t="str">
        <f t="shared" si="24"/>
        <v>0 tubes and 0 shuttles</v>
      </c>
      <c r="G864" s="36">
        <f t="shared" si="29"/>
        <v>0</v>
      </c>
      <c r="H864" s="104" t="str">
        <f t="shared" si="25"/>
        <v>0 tubes and 0 shuttles</v>
      </c>
      <c r="I864" s="36">
        <f t="shared" si="26"/>
        <v>0</v>
      </c>
      <c r="J864" s="103" t="str">
        <f t="shared" si="27"/>
        <v>0 tubes and 0 shuttles</v>
      </c>
    </row>
    <row r="865" spans="1:10" ht="12.5" x14ac:dyDescent="0.25">
      <c r="A865" s="32">
        <f>'Profit &amp; Loss'!A865</f>
        <v>0</v>
      </c>
      <c r="B865" s="35">
        <f>'Profit &amp; Loss'!B865</f>
        <v>0</v>
      </c>
      <c r="C865" s="36"/>
      <c r="D865" s="33"/>
      <c r="E865" s="102">
        <f t="shared" si="28"/>
        <v>0</v>
      </c>
      <c r="F865" s="103" t="str">
        <f t="shared" si="24"/>
        <v>0 tubes and 0 shuttles</v>
      </c>
      <c r="G865" s="36">
        <f t="shared" si="29"/>
        <v>0</v>
      </c>
      <c r="H865" s="104" t="str">
        <f t="shared" si="25"/>
        <v>0 tubes and 0 shuttles</v>
      </c>
      <c r="I865" s="36">
        <f t="shared" si="26"/>
        <v>0</v>
      </c>
      <c r="J865" s="103" t="str">
        <f t="shared" si="27"/>
        <v>0 tubes and 0 shuttles</v>
      </c>
    </row>
    <row r="866" spans="1:10" ht="12.5" x14ac:dyDescent="0.25">
      <c r="A866" s="32">
        <f>'Profit &amp; Loss'!A866</f>
        <v>0</v>
      </c>
      <c r="B866" s="35">
        <f>'Profit &amp; Loss'!B866</f>
        <v>0</v>
      </c>
      <c r="C866" s="36"/>
      <c r="D866" s="33"/>
      <c r="E866" s="102">
        <f t="shared" si="28"/>
        <v>0</v>
      </c>
      <c r="F866" s="103" t="str">
        <f t="shared" si="24"/>
        <v>0 tubes and 0 shuttles</v>
      </c>
      <c r="G866" s="36">
        <f t="shared" si="29"/>
        <v>0</v>
      </c>
      <c r="H866" s="104" t="str">
        <f t="shared" si="25"/>
        <v>0 tubes and 0 shuttles</v>
      </c>
      <c r="I866" s="36">
        <f t="shared" si="26"/>
        <v>0</v>
      </c>
      <c r="J866" s="103" t="str">
        <f t="shared" si="27"/>
        <v>0 tubes and 0 shuttles</v>
      </c>
    </row>
    <row r="867" spans="1:10" ht="12.5" x14ac:dyDescent="0.25">
      <c r="A867" s="32">
        <f>'Profit &amp; Loss'!A867</f>
        <v>0</v>
      </c>
      <c r="B867" s="35">
        <f>'Profit &amp; Loss'!B867</f>
        <v>0</v>
      </c>
      <c r="C867" s="36"/>
      <c r="D867" s="33"/>
      <c r="E867" s="102">
        <f t="shared" si="28"/>
        <v>0</v>
      </c>
      <c r="F867" s="103" t="str">
        <f t="shared" si="24"/>
        <v>0 tubes and 0 shuttles</v>
      </c>
      <c r="G867" s="36">
        <f t="shared" si="29"/>
        <v>0</v>
      </c>
      <c r="H867" s="104" t="str">
        <f t="shared" si="25"/>
        <v>0 tubes and 0 shuttles</v>
      </c>
      <c r="I867" s="36">
        <f t="shared" si="26"/>
        <v>0</v>
      </c>
      <c r="J867" s="103" t="str">
        <f t="shared" si="27"/>
        <v>0 tubes and 0 shuttles</v>
      </c>
    </row>
    <row r="868" spans="1:10" ht="12.5" x14ac:dyDescent="0.25">
      <c r="A868" s="32">
        <f>'Profit &amp; Loss'!A868</f>
        <v>0</v>
      </c>
      <c r="B868" s="35">
        <f>'Profit &amp; Loss'!B868</f>
        <v>0</v>
      </c>
      <c r="C868" s="36"/>
      <c r="D868" s="33"/>
      <c r="E868" s="102">
        <f t="shared" si="28"/>
        <v>0</v>
      </c>
      <c r="F868" s="103" t="str">
        <f t="shared" si="24"/>
        <v>0 tubes and 0 shuttles</v>
      </c>
      <c r="G868" s="36">
        <f t="shared" si="29"/>
        <v>0</v>
      </c>
      <c r="H868" s="104" t="str">
        <f t="shared" si="25"/>
        <v>0 tubes and 0 shuttles</v>
      </c>
      <c r="I868" s="36">
        <f t="shared" si="26"/>
        <v>0</v>
      </c>
      <c r="J868" s="103" t="str">
        <f t="shared" si="27"/>
        <v>0 tubes and 0 shuttles</v>
      </c>
    </row>
    <row r="869" spans="1:10" ht="12.5" x14ac:dyDescent="0.25">
      <c r="A869" s="32">
        <f>'Profit &amp; Loss'!A869</f>
        <v>0</v>
      </c>
      <c r="B869" s="35">
        <f>'Profit &amp; Loss'!B869</f>
        <v>0</v>
      </c>
      <c r="C869" s="36"/>
      <c r="D869" s="33"/>
      <c r="E869" s="102">
        <f t="shared" si="28"/>
        <v>0</v>
      </c>
      <c r="F869" s="103" t="str">
        <f t="shared" si="24"/>
        <v>0 tubes and 0 shuttles</v>
      </c>
      <c r="G869" s="36">
        <f t="shared" si="29"/>
        <v>0</v>
      </c>
      <c r="H869" s="104" t="str">
        <f t="shared" si="25"/>
        <v>0 tubes and 0 shuttles</v>
      </c>
      <c r="I869" s="36">
        <f t="shared" si="26"/>
        <v>0</v>
      </c>
      <c r="J869" s="103" t="str">
        <f t="shared" si="27"/>
        <v>0 tubes and 0 shuttles</v>
      </c>
    </row>
    <row r="870" spans="1:10" ht="12.5" x14ac:dyDescent="0.25">
      <c r="A870" s="32">
        <f>'Profit &amp; Loss'!A870</f>
        <v>0</v>
      </c>
      <c r="B870" s="35">
        <f>'Profit &amp; Loss'!B870</f>
        <v>0</v>
      </c>
      <c r="C870" s="36"/>
      <c r="D870" s="33"/>
      <c r="E870" s="102">
        <f t="shared" si="28"/>
        <v>0</v>
      </c>
      <c r="F870" s="103" t="str">
        <f t="shared" si="24"/>
        <v>0 tubes and 0 shuttles</v>
      </c>
      <c r="G870" s="36">
        <f t="shared" si="29"/>
        <v>0</v>
      </c>
      <c r="H870" s="104" t="str">
        <f t="shared" si="25"/>
        <v>0 tubes and 0 shuttles</v>
      </c>
      <c r="I870" s="36">
        <f t="shared" si="26"/>
        <v>0</v>
      </c>
      <c r="J870" s="103" t="str">
        <f t="shared" si="27"/>
        <v>0 tubes and 0 shuttles</v>
      </c>
    </row>
    <row r="871" spans="1:10" ht="12.5" x14ac:dyDescent="0.25">
      <c r="A871" s="32">
        <f>'Profit &amp; Loss'!A871</f>
        <v>0</v>
      </c>
      <c r="B871" s="35">
        <f>'Profit &amp; Loss'!B871</f>
        <v>0</v>
      </c>
      <c r="C871" s="36"/>
      <c r="D871" s="33"/>
      <c r="E871" s="102">
        <f t="shared" si="28"/>
        <v>0</v>
      </c>
      <c r="F871" s="103" t="str">
        <f t="shared" si="24"/>
        <v>0 tubes and 0 shuttles</v>
      </c>
      <c r="G871" s="36">
        <f t="shared" si="29"/>
        <v>0</v>
      </c>
      <c r="H871" s="104" t="str">
        <f t="shared" si="25"/>
        <v>0 tubes and 0 shuttles</v>
      </c>
      <c r="I871" s="36">
        <f t="shared" si="26"/>
        <v>0</v>
      </c>
      <c r="J871" s="103" t="str">
        <f t="shared" si="27"/>
        <v>0 tubes and 0 shuttles</v>
      </c>
    </row>
    <row r="872" spans="1:10" ht="12.5" x14ac:dyDescent="0.25">
      <c r="A872" s="32">
        <f>'Profit &amp; Loss'!A872</f>
        <v>0</v>
      </c>
      <c r="B872" s="35">
        <f>'Profit &amp; Loss'!B872</f>
        <v>0</v>
      </c>
      <c r="C872" s="36"/>
      <c r="D872" s="33"/>
      <c r="E872" s="102">
        <f t="shared" si="28"/>
        <v>0</v>
      </c>
      <c r="F872" s="103" t="str">
        <f t="shared" si="24"/>
        <v>0 tubes and 0 shuttles</v>
      </c>
      <c r="G872" s="36">
        <f t="shared" si="29"/>
        <v>0</v>
      </c>
      <c r="H872" s="104" t="str">
        <f t="shared" si="25"/>
        <v>0 tubes and 0 shuttles</v>
      </c>
      <c r="I872" s="36">
        <f t="shared" si="26"/>
        <v>0</v>
      </c>
      <c r="J872" s="103" t="str">
        <f t="shared" si="27"/>
        <v>0 tubes and 0 shuttles</v>
      </c>
    </row>
    <row r="873" spans="1:10" ht="12.5" x14ac:dyDescent="0.25">
      <c r="A873" s="32">
        <f>'Profit &amp; Loss'!A873</f>
        <v>0</v>
      </c>
      <c r="B873" s="35">
        <f>'Profit &amp; Loss'!B873</f>
        <v>0</v>
      </c>
      <c r="C873" s="36"/>
      <c r="D873" s="33"/>
      <c r="E873" s="102">
        <f t="shared" si="28"/>
        <v>0</v>
      </c>
      <c r="F873" s="103" t="str">
        <f t="shared" si="24"/>
        <v>0 tubes and 0 shuttles</v>
      </c>
      <c r="G873" s="36">
        <f t="shared" si="29"/>
        <v>0</v>
      </c>
      <c r="H873" s="104" t="str">
        <f t="shared" si="25"/>
        <v>0 tubes and 0 shuttles</v>
      </c>
      <c r="I873" s="36">
        <f t="shared" si="26"/>
        <v>0</v>
      </c>
      <c r="J873" s="103" t="str">
        <f t="shared" si="27"/>
        <v>0 tubes and 0 shuttles</v>
      </c>
    </row>
    <row r="874" spans="1:10" ht="12.5" x14ac:dyDescent="0.25">
      <c r="A874" s="32">
        <f>'Profit &amp; Loss'!A874</f>
        <v>0</v>
      </c>
      <c r="B874" s="35">
        <f>'Profit &amp; Loss'!B874</f>
        <v>0</v>
      </c>
      <c r="C874" s="36"/>
      <c r="D874" s="33"/>
      <c r="E874" s="102">
        <f t="shared" si="28"/>
        <v>0</v>
      </c>
      <c r="F874" s="103" t="str">
        <f t="shared" si="24"/>
        <v>0 tubes and 0 shuttles</v>
      </c>
      <c r="G874" s="36">
        <f t="shared" si="29"/>
        <v>0</v>
      </c>
      <c r="H874" s="104" t="str">
        <f t="shared" si="25"/>
        <v>0 tubes and 0 shuttles</v>
      </c>
      <c r="I874" s="36">
        <f t="shared" si="26"/>
        <v>0</v>
      </c>
      <c r="J874" s="103" t="str">
        <f t="shared" si="27"/>
        <v>0 tubes and 0 shuttles</v>
      </c>
    </row>
    <row r="875" spans="1:10" ht="12.5" x14ac:dyDescent="0.25">
      <c r="A875" s="32">
        <f>'Profit &amp; Loss'!A875</f>
        <v>0</v>
      </c>
      <c r="B875" s="35">
        <f>'Profit &amp; Loss'!B875</f>
        <v>0</v>
      </c>
      <c r="C875" s="36"/>
      <c r="D875" s="33"/>
      <c r="E875" s="102">
        <f t="shared" si="28"/>
        <v>0</v>
      </c>
      <c r="F875" s="103" t="str">
        <f t="shared" si="24"/>
        <v>0 tubes and 0 shuttles</v>
      </c>
      <c r="G875" s="36">
        <f t="shared" si="29"/>
        <v>0</v>
      </c>
      <c r="H875" s="104" t="str">
        <f t="shared" si="25"/>
        <v>0 tubes and 0 shuttles</v>
      </c>
      <c r="I875" s="36">
        <f t="shared" si="26"/>
        <v>0</v>
      </c>
      <c r="J875" s="103" t="str">
        <f t="shared" si="27"/>
        <v>0 tubes and 0 shuttles</v>
      </c>
    </row>
    <row r="876" spans="1:10" ht="12.5" x14ac:dyDescent="0.25">
      <c r="A876" s="32">
        <f>'Profit &amp; Loss'!A876</f>
        <v>0</v>
      </c>
      <c r="B876" s="35">
        <f>'Profit &amp; Loss'!B876</f>
        <v>0</v>
      </c>
      <c r="C876" s="36"/>
      <c r="D876" s="33"/>
      <c r="E876" s="102">
        <f t="shared" si="28"/>
        <v>0</v>
      </c>
      <c r="F876" s="103" t="str">
        <f t="shared" si="24"/>
        <v>0 tubes and 0 shuttles</v>
      </c>
      <c r="G876" s="36">
        <f t="shared" si="29"/>
        <v>0</v>
      </c>
      <c r="H876" s="104" t="str">
        <f t="shared" si="25"/>
        <v>0 tubes and 0 shuttles</v>
      </c>
      <c r="I876" s="36">
        <f t="shared" si="26"/>
        <v>0</v>
      </c>
      <c r="J876" s="103" t="str">
        <f t="shared" si="27"/>
        <v>0 tubes and 0 shuttles</v>
      </c>
    </row>
    <row r="877" spans="1:10" ht="12.5" x14ac:dyDescent="0.25">
      <c r="A877" s="32">
        <f>'Profit &amp; Loss'!A877</f>
        <v>0</v>
      </c>
      <c r="B877" s="35">
        <f>'Profit &amp; Loss'!B877</f>
        <v>0</v>
      </c>
      <c r="C877" s="36"/>
      <c r="D877" s="33"/>
      <c r="E877" s="102">
        <f t="shared" si="28"/>
        <v>0</v>
      </c>
      <c r="F877" s="103" t="str">
        <f t="shared" si="24"/>
        <v>0 tubes and 0 shuttles</v>
      </c>
      <c r="G877" s="36">
        <f t="shared" si="29"/>
        <v>0</v>
      </c>
      <c r="H877" s="104" t="str">
        <f t="shared" si="25"/>
        <v>0 tubes and 0 shuttles</v>
      </c>
      <c r="I877" s="36">
        <f t="shared" si="26"/>
        <v>0</v>
      </c>
      <c r="J877" s="103" t="str">
        <f t="shared" si="27"/>
        <v>0 tubes and 0 shuttles</v>
      </c>
    </row>
    <row r="878" spans="1:10" ht="12.5" x14ac:dyDescent="0.25">
      <c r="A878" s="32">
        <f>'Profit &amp; Loss'!A878</f>
        <v>0</v>
      </c>
      <c r="B878" s="35">
        <f>'Profit &amp; Loss'!B878</f>
        <v>0</v>
      </c>
      <c r="C878" s="36"/>
      <c r="D878" s="33"/>
      <c r="E878" s="102">
        <f t="shared" si="28"/>
        <v>0</v>
      </c>
      <c r="F878" s="103" t="str">
        <f t="shared" si="24"/>
        <v>0 tubes and 0 shuttles</v>
      </c>
      <c r="G878" s="36">
        <f t="shared" si="29"/>
        <v>0</v>
      </c>
      <c r="H878" s="104" t="str">
        <f t="shared" si="25"/>
        <v>0 tubes and 0 shuttles</v>
      </c>
      <c r="I878" s="36">
        <f t="shared" si="26"/>
        <v>0</v>
      </c>
      <c r="J878" s="103" t="str">
        <f t="shared" si="27"/>
        <v>0 tubes and 0 shuttles</v>
      </c>
    </row>
    <row r="879" spans="1:10" ht="12.5" x14ac:dyDescent="0.25">
      <c r="A879" s="32">
        <f>'Profit &amp; Loss'!A879</f>
        <v>0</v>
      </c>
      <c r="B879" s="35">
        <f>'Profit &amp; Loss'!B879</f>
        <v>0</v>
      </c>
      <c r="C879" s="36"/>
      <c r="D879" s="33"/>
      <c r="E879" s="102">
        <f t="shared" si="28"/>
        <v>0</v>
      </c>
      <c r="F879" s="103" t="str">
        <f t="shared" si="24"/>
        <v>0 tubes and 0 shuttles</v>
      </c>
      <c r="G879" s="36">
        <f t="shared" si="29"/>
        <v>0</v>
      </c>
      <c r="H879" s="104" t="str">
        <f t="shared" si="25"/>
        <v>0 tubes and 0 shuttles</v>
      </c>
      <c r="I879" s="36">
        <f t="shared" si="26"/>
        <v>0</v>
      </c>
      <c r="J879" s="103" t="str">
        <f t="shared" si="27"/>
        <v>0 tubes and 0 shuttles</v>
      </c>
    </row>
    <row r="880" spans="1:10" ht="12.5" x14ac:dyDescent="0.25">
      <c r="A880" s="32">
        <f>'Profit &amp; Loss'!A880</f>
        <v>0</v>
      </c>
      <c r="B880" s="35">
        <f>'Profit &amp; Loss'!B880</f>
        <v>0</v>
      </c>
      <c r="C880" s="36"/>
      <c r="D880" s="33"/>
      <c r="E880" s="102">
        <f t="shared" si="28"/>
        <v>0</v>
      </c>
      <c r="F880" s="103" t="str">
        <f t="shared" si="24"/>
        <v>0 tubes and 0 shuttles</v>
      </c>
      <c r="G880" s="36">
        <f t="shared" si="29"/>
        <v>0</v>
      </c>
      <c r="H880" s="104" t="str">
        <f t="shared" si="25"/>
        <v>0 tubes and 0 shuttles</v>
      </c>
      <c r="I880" s="36">
        <f t="shared" si="26"/>
        <v>0</v>
      </c>
      <c r="J880" s="103" t="str">
        <f t="shared" si="27"/>
        <v>0 tubes and 0 shuttles</v>
      </c>
    </row>
    <row r="881" spans="1:10" ht="12.5" x14ac:dyDescent="0.25">
      <c r="A881" s="32">
        <f>'Profit &amp; Loss'!A881</f>
        <v>0</v>
      </c>
      <c r="B881" s="35">
        <f>'Profit &amp; Loss'!B881</f>
        <v>0</v>
      </c>
      <c r="C881" s="36"/>
      <c r="D881" s="33"/>
      <c r="E881" s="102">
        <f t="shared" si="28"/>
        <v>0</v>
      </c>
      <c r="F881" s="103" t="str">
        <f t="shared" si="24"/>
        <v>0 tubes and 0 shuttles</v>
      </c>
      <c r="G881" s="36">
        <f t="shared" si="29"/>
        <v>0</v>
      </c>
      <c r="H881" s="104" t="str">
        <f t="shared" si="25"/>
        <v>0 tubes and 0 shuttles</v>
      </c>
      <c r="I881" s="36">
        <f t="shared" si="26"/>
        <v>0</v>
      </c>
      <c r="J881" s="103" t="str">
        <f t="shared" si="27"/>
        <v>0 tubes and 0 shuttles</v>
      </c>
    </row>
    <row r="882" spans="1:10" ht="12.5" x14ac:dyDescent="0.25">
      <c r="A882" s="32">
        <f>'Profit &amp; Loss'!A882</f>
        <v>0</v>
      </c>
      <c r="B882" s="35">
        <f>'Profit &amp; Loss'!B882</f>
        <v>0</v>
      </c>
      <c r="C882" s="36"/>
      <c r="D882" s="33"/>
      <c r="E882" s="102">
        <f t="shared" si="28"/>
        <v>0</v>
      </c>
      <c r="F882" s="103" t="str">
        <f t="shared" si="24"/>
        <v>0 tubes and 0 shuttles</v>
      </c>
      <c r="G882" s="36">
        <f t="shared" si="29"/>
        <v>0</v>
      </c>
      <c r="H882" s="104" t="str">
        <f t="shared" si="25"/>
        <v>0 tubes and 0 shuttles</v>
      </c>
      <c r="I882" s="36">
        <f t="shared" si="26"/>
        <v>0</v>
      </c>
      <c r="J882" s="103" t="str">
        <f t="shared" si="27"/>
        <v>0 tubes and 0 shuttles</v>
      </c>
    </row>
    <row r="883" spans="1:10" ht="12.5" x14ac:dyDescent="0.25">
      <c r="A883" s="32">
        <f>'Profit &amp; Loss'!A883</f>
        <v>0</v>
      </c>
      <c r="B883" s="35">
        <f>'Profit &amp; Loss'!B883</f>
        <v>0</v>
      </c>
      <c r="C883" s="36"/>
      <c r="D883" s="33"/>
      <c r="E883" s="102">
        <f t="shared" si="28"/>
        <v>0</v>
      </c>
      <c r="F883" s="103" t="str">
        <f t="shared" si="24"/>
        <v>0 tubes and 0 shuttles</v>
      </c>
      <c r="G883" s="36">
        <f t="shared" si="29"/>
        <v>0</v>
      </c>
      <c r="H883" s="104" t="str">
        <f t="shared" si="25"/>
        <v>0 tubes and 0 shuttles</v>
      </c>
      <c r="I883" s="36">
        <f t="shared" si="26"/>
        <v>0</v>
      </c>
      <c r="J883" s="103" t="str">
        <f t="shared" si="27"/>
        <v>0 tubes and 0 shuttles</v>
      </c>
    </row>
    <row r="884" spans="1:10" ht="12.5" x14ac:dyDescent="0.25">
      <c r="A884" s="32">
        <f>'Profit &amp; Loss'!A884</f>
        <v>0</v>
      </c>
      <c r="B884" s="35">
        <f>'Profit &amp; Loss'!B884</f>
        <v>0</v>
      </c>
      <c r="C884" s="36"/>
      <c r="D884" s="33"/>
      <c r="E884" s="102">
        <f t="shared" si="28"/>
        <v>0</v>
      </c>
      <c r="F884" s="103" t="str">
        <f t="shared" si="24"/>
        <v>0 tubes and 0 shuttles</v>
      </c>
      <c r="G884" s="36">
        <f t="shared" si="29"/>
        <v>0</v>
      </c>
      <c r="H884" s="104" t="str">
        <f t="shared" si="25"/>
        <v>0 tubes and 0 shuttles</v>
      </c>
      <c r="I884" s="36">
        <f t="shared" si="26"/>
        <v>0</v>
      </c>
      <c r="J884" s="103" t="str">
        <f t="shared" si="27"/>
        <v>0 tubes and 0 shuttles</v>
      </c>
    </row>
    <row r="885" spans="1:10" ht="12.5" x14ac:dyDescent="0.25">
      <c r="A885" s="32">
        <f>'Profit &amp; Loss'!A885</f>
        <v>0</v>
      </c>
      <c r="B885" s="35">
        <f>'Profit &amp; Loss'!B885</f>
        <v>0</v>
      </c>
      <c r="C885" s="36"/>
      <c r="D885" s="33"/>
      <c r="E885" s="102">
        <f t="shared" si="28"/>
        <v>0</v>
      </c>
      <c r="F885" s="103" t="str">
        <f t="shared" si="24"/>
        <v>0 tubes and 0 shuttles</v>
      </c>
      <c r="G885" s="36">
        <f t="shared" si="29"/>
        <v>0</v>
      </c>
      <c r="H885" s="104" t="str">
        <f t="shared" si="25"/>
        <v>0 tubes and 0 shuttles</v>
      </c>
      <c r="I885" s="36">
        <f t="shared" si="26"/>
        <v>0</v>
      </c>
      <c r="J885" s="103" t="str">
        <f t="shared" si="27"/>
        <v>0 tubes and 0 shuttles</v>
      </c>
    </row>
    <row r="886" spans="1:10" ht="12.5" x14ac:dyDescent="0.25">
      <c r="A886" s="32">
        <f>'Profit &amp; Loss'!A886</f>
        <v>0</v>
      </c>
      <c r="B886" s="35">
        <f>'Profit &amp; Loss'!B886</f>
        <v>0</v>
      </c>
      <c r="C886" s="36"/>
      <c r="D886" s="33"/>
      <c r="E886" s="102">
        <f t="shared" si="28"/>
        <v>0</v>
      </c>
      <c r="F886" s="103" t="str">
        <f t="shared" si="24"/>
        <v>0 tubes and 0 shuttles</v>
      </c>
      <c r="G886" s="36">
        <f t="shared" si="29"/>
        <v>0</v>
      </c>
      <c r="H886" s="104" t="str">
        <f t="shared" si="25"/>
        <v>0 tubes and 0 shuttles</v>
      </c>
      <c r="I886" s="36">
        <f t="shared" si="26"/>
        <v>0</v>
      </c>
      <c r="J886" s="103" t="str">
        <f t="shared" si="27"/>
        <v>0 tubes and 0 shuttles</v>
      </c>
    </row>
    <row r="887" spans="1:10" ht="12.5" x14ac:dyDescent="0.25">
      <c r="A887" s="32">
        <f>'Profit &amp; Loss'!A887</f>
        <v>0</v>
      </c>
      <c r="B887" s="35">
        <f>'Profit &amp; Loss'!B887</f>
        <v>0</v>
      </c>
      <c r="C887" s="36"/>
      <c r="D887" s="33"/>
      <c r="E887" s="102">
        <f t="shared" si="28"/>
        <v>0</v>
      </c>
      <c r="F887" s="103" t="str">
        <f t="shared" si="24"/>
        <v>0 tubes and 0 shuttles</v>
      </c>
      <c r="G887" s="36">
        <f t="shared" si="29"/>
        <v>0</v>
      </c>
      <c r="H887" s="104" t="str">
        <f t="shared" si="25"/>
        <v>0 tubes and 0 shuttles</v>
      </c>
      <c r="I887" s="36">
        <f t="shared" si="26"/>
        <v>0</v>
      </c>
      <c r="J887" s="103" t="str">
        <f t="shared" si="27"/>
        <v>0 tubes and 0 shuttles</v>
      </c>
    </row>
    <row r="888" spans="1:10" ht="12.5" x14ac:dyDescent="0.25">
      <c r="A888" s="32">
        <f>'Profit &amp; Loss'!A888</f>
        <v>0</v>
      </c>
      <c r="B888" s="35">
        <f>'Profit &amp; Loss'!B888</f>
        <v>0</v>
      </c>
      <c r="C888" s="36"/>
      <c r="D888" s="33"/>
      <c r="E888" s="102">
        <f t="shared" si="28"/>
        <v>0</v>
      </c>
      <c r="F888" s="103" t="str">
        <f t="shared" si="24"/>
        <v>0 tubes and 0 shuttles</v>
      </c>
      <c r="G888" s="36">
        <f t="shared" si="29"/>
        <v>0</v>
      </c>
      <c r="H888" s="104" t="str">
        <f t="shared" si="25"/>
        <v>0 tubes and 0 shuttles</v>
      </c>
      <c r="I888" s="36">
        <f t="shared" si="26"/>
        <v>0</v>
      </c>
      <c r="J888" s="103" t="str">
        <f t="shared" si="27"/>
        <v>0 tubes and 0 shuttles</v>
      </c>
    </row>
    <row r="889" spans="1:10" ht="12.5" x14ac:dyDescent="0.25">
      <c r="A889" s="32">
        <f>'Profit &amp; Loss'!A889</f>
        <v>0</v>
      </c>
      <c r="B889" s="35">
        <f>'Profit &amp; Loss'!B889</f>
        <v>0</v>
      </c>
      <c r="C889" s="36"/>
      <c r="D889" s="33"/>
      <c r="E889" s="102">
        <f t="shared" si="28"/>
        <v>0</v>
      </c>
      <c r="F889" s="103" t="str">
        <f t="shared" si="24"/>
        <v>0 tubes and 0 shuttles</v>
      </c>
      <c r="G889" s="36">
        <f t="shared" si="29"/>
        <v>0</v>
      </c>
      <c r="H889" s="104" t="str">
        <f t="shared" si="25"/>
        <v>0 tubes and 0 shuttles</v>
      </c>
      <c r="I889" s="36">
        <f t="shared" si="26"/>
        <v>0</v>
      </c>
      <c r="J889" s="103" t="str">
        <f t="shared" si="27"/>
        <v>0 tubes and 0 shuttles</v>
      </c>
    </row>
    <row r="890" spans="1:10" ht="12.5" x14ac:dyDescent="0.25">
      <c r="A890" s="32">
        <f>'Profit &amp; Loss'!A890</f>
        <v>0</v>
      </c>
      <c r="B890" s="35">
        <f>'Profit &amp; Loss'!B890</f>
        <v>0</v>
      </c>
      <c r="C890" s="36"/>
      <c r="D890" s="33"/>
      <c r="E890" s="102">
        <f t="shared" si="28"/>
        <v>0</v>
      </c>
      <c r="F890" s="103" t="str">
        <f t="shared" si="24"/>
        <v>0 tubes and 0 shuttles</v>
      </c>
      <c r="G890" s="36">
        <f t="shared" si="29"/>
        <v>0</v>
      </c>
      <c r="H890" s="104" t="str">
        <f t="shared" si="25"/>
        <v>0 tubes and 0 shuttles</v>
      </c>
      <c r="I890" s="36">
        <f t="shared" si="26"/>
        <v>0</v>
      </c>
      <c r="J890" s="103" t="str">
        <f t="shared" si="27"/>
        <v>0 tubes and 0 shuttles</v>
      </c>
    </row>
    <row r="891" spans="1:10" ht="12.5" x14ac:dyDescent="0.25">
      <c r="A891" s="32">
        <f>'Profit &amp; Loss'!A891</f>
        <v>0</v>
      </c>
      <c r="B891" s="35">
        <f>'Profit &amp; Loss'!B891</f>
        <v>0</v>
      </c>
      <c r="C891" s="36"/>
      <c r="D891" s="33"/>
      <c r="E891" s="102">
        <f t="shared" si="28"/>
        <v>0</v>
      </c>
      <c r="F891" s="103" t="str">
        <f t="shared" si="24"/>
        <v>0 tubes and 0 shuttles</v>
      </c>
      <c r="G891" s="36">
        <f t="shared" si="29"/>
        <v>0</v>
      </c>
      <c r="H891" s="104" t="str">
        <f t="shared" si="25"/>
        <v>0 tubes and 0 shuttles</v>
      </c>
      <c r="I891" s="36">
        <f t="shared" si="26"/>
        <v>0</v>
      </c>
      <c r="J891" s="103" t="str">
        <f t="shared" si="27"/>
        <v>0 tubes and 0 shuttles</v>
      </c>
    </row>
    <row r="892" spans="1:10" ht="12.5" x14ac:dyDescent="0.25">
      <c r="A892" s="32">
        <f>'Profit &amp; Loss'!A892</f>
        <v>0</v>
      </c>
      <c r="B892" s="35">
        <f>'Profit &amp; Loss'!B892</f>
        <v>0</v>
      </c>
      <c r="C892" s="36"/>
      <c r="D892" s="33"/>
      <c r="E892" s="102">
        <f t="shared" si="28"/>
        <v>0</v>
      </c>
      <c r="F892" s="103" t="str">
        <f t="shared" si="24"/>
        <v>0 tubes and 0 shuttles</v>
      </c>
      <c r="G892" s="36">
        <f t="shared" si="29"/>
        <v>0</v>
      </c>
      <c r="H892" s="104" t="str">
        <f t="shared" si="25"/>
        <v>0 tubes and 0 shuttles</v>
      </c>
      <c r="I892" s="36">
        <f t="shared" si="26"/>
        <v>0</v>
      </c>
      <c r="J892" s="103" t="str">
        <f t="shared" si="27"/>
        <v>0 tubes and 0 shuttles</v>
      </c>
    </row>
    <row r="893" spans="1:10" ht="12.5" x14ac:dyDescent="0.25">
      <c r="A893" s="32">
        <f>'Profit &amp; Loss'!A893</f>
        <v>0</v>
      </c>
      <c r="B893" s="35">
        <f>'Profit &amp; Loss'!B893</f>
        <v>0</v>
      </c>
      <c r="C893" s="36"/>
      <c r="D893" s="33"/>
      <c r="E893" s="102">
        <f t="shared" si="28"/>
        <v>0</v>
      </c>
      <c r="F893" s="103" t="str">
        <f t="shared" si="24"/>
        <v>0 tubes and 0 shuttles</v>
      </c>
      <c r="G893" s="36">
        <f t="shared" si="29"/>
        <v>0</v>
      </c>
      <c r="H893" s="104" t="str">
        <f t="shared" si="25"/>
        <v>0 tubes and 0 shuttles</v>
      </c>
      <c r="I893" s="36">
        <f t="shared" si="26"/>
        <v>0</v>
      </c>
      <c r="J893" s="103" t="str">
        <f t="shared" si="27"/>
        <v>0 tubes and 0 shuttles</v>
      </c>
    </row>
    <row r="894" spans="1:10" ht="12.5" x14ac:dyDescent="0.25">
      <c r="A894" s="32">
        <f>'Profit &amp; Loss'!A894</f>
        <v>0</v>
      </c>
      <c r="B894" s="35">
        <f>'Profit &amp; Loss'!B894</f>
        <v>0</v>
      </c>
      <c r="C894" s="36"/>
      <c r="D894" s="33"/>
      <c r="E894" s="102">
        <f t="shared" si="28"/>
        <v>0</v>
      </c>
      <c r="F894" s="103" t="str">
        <f t="shared" si="24"/>
        <v>0 tubes and 0 shuttles</v>
      </c>
      <c r="G894" s="36">
        <f t="shared" si="29"/>
        <v>0</v>
      </c>
      <c r="H894" s="104" t="str">
        <f t="shared" si="25"/>
        <v>0 tubes and 0 shuttles</v>
      </c>
      <c r="I894" s="36">
        <f t="shared" si="26"/>
        <v>0</v>
      </c>
      <c r="J894" s="103" t="str">
        <f t="shared" si="27"/>
        <v>0 tubes and 0 shuttles</v>
      </c>
    </row>
    <row r="895" spans="1:10" ht="12.5" x14ac:dyDescent="0.25">
      <c r="A895" s="32">
        <f>'Profit &amp; Loss'!A895</f>
        <v>0</v>
      </c>
      <c r="B895" s="35">
        <f>'Profit &amp; Loss'!B895</f>
        <v>0</v>
      </c>
      <c r="C895" s="36"/>
      <c r="D895" s="33"/>
      <c r="E895" s="102">
        <f t="shared" si="28"/>
        <v>0</v>
      </c>
      <c r="F895" s="103" t="str">
        <f t="shared" si="24"/>
        <v>0 tubes and 0 shuttles</v>
      </c>
      <c r="G895" s="36">
        <f t="shared" si="29"/>
        <v>0</v>
      </c>
      <c r="H895" s="104" t="str">
        <f t="shared" si="25"/>
        <v>0 tubes and 0 shuttles</v>
      </c>
      <c r="I895" s="36">
        <f t="shared" si="26"/>
        <v>0</v>
      </c>
      <c r="J895" s="103" t="str">
        <f t="shared" si="27"/>
        <v>0 tubes and 0 shuttles</v>
      </c>
    </row>
    <row r="896" spans="1:10" ht="12.5" x14ac:dyDescent="0.25">
      <c r="A896" s="32">
        <f>'Profit &amp; Loss'!A896</f>
        <v>0</v>
      </c>
      <c r="B896" s="35">
        <f>'Profit &amp; Loss'!B896</f>
        <v>0</v>
      </c>
      <c r="C896" s="36"/>
      <c r="D896" s="33"/>
      <c r="E896" s="102">
        <f t="shared" si="28"/>
        <v>0</v>
      </c>
      <c r="F896" s="103" t="str">
        <f t="shared" si="24"/>
        <v>0 tubes and 0 shuttles</v>
      </c>
      <c r="G896" s="36">
        <f t="shared" si="29"/>
        <v>0</v>
      </c>
      <c r="H896" s="104" t="str">
        <f t="shared" si="25"/>
        <v>0 tubes and 0 shuttles</v>
      </c>
      <c r="I896" s="36">
        <f t="shared" si="26"/>
        <v>0</v>
      </c>
      <c r="J896" s="103" t="str">
        <f t="shared" si="27"/>
        <v>0 tubes and 0 shuttles</v>
      </c>
    </row>
    <row r="897" spans="1:10" ht="12.5" x14ac:dyDescent="0.25">
      <c r="A897" s="32">
        <f>'Profit &amp; Loss'!A897</f>
        <v>0</v>
      </c>
      <c r="B897" s="35">
        <f>'Profit &amp; Loss'!B897</f>
        <v>0</v>
      </c>
      <c r="C897" s="36"/>
      <c r="D897" s="33"/>
      <c r="E897" s="102">
        <f t="shared" si="28"/>
        <v>0</v>
      </c>
      <c r="F897" s="103" t="str">
        <f t="shared" si="24"/>
        <v>0 tubes and 0 shuttles</v>
      </c>
      <c r="G897" s="36">
        <f t="shared" si="29"/>
        <v>0</v>
      </c>
      <c r="H897" s="104" t="str">
        <f t="shared" si="25"/>
        <v>0 tubes and 0 shuttles</v>
      </c>
      <c r="I897" s="36">
        <f t="shared" si="26"/>
        <v>0</v>
      </c>
      <c r="J897" s="103" t="str">
        <f t="shared" si="27"/>
        <v>0 tubes and 0 shuttles</v>
      </c>
    </row>
    <row r="898" spans="1:10" ht="12.5" x14ac:dyDescent="0.25">
      <c r="A898" s="32">
        <f>'Profit &amp; Loss'!A898</f>
        <v>0</v>
      </c>
      <c r="B898" s="35">
        <f>'Profit &amp; Loss'!B898</f>
        <v>0</v>
      </c>
      <c r="C898" s="36"/>
      <c r="D898" s="33"/>
      <c r="E898" s="102">
        <f t="shared" si="28"/>
        <v>0</v>
      </c>
      <c r="F898" s="103" t="str">
        <f t="shared" si="24"/>
        <v>0 tubes and 0 shuttles</v>
      </c>
      <c r="G898" s="36">
        <f t="shared" si="29"/>
        <v>0</v>
      </c>
      <c r="H898" s="104" t="str">
        <f t="shared" si="25"/>
        <v>0 tubes and 0 shuttles</v>
      </c>
      <c r="I898" s="36">
        <f t="shared" si="26"/>
        <v>0</v>
      </c>
      <c r="J898" s="103" t="str">
        <f t="shared" si="27"/>
        <v>0 tubes and 0 shuttles</v>
      </c>
    </row>
    <row r="899" spans="1:10" ht="12.5" x14ac:dyDescent="0.25">
      <c r="A899" s="32">
        <f>'Profit &amp; Loss'!A899</f>
        <v>0</v>
      </c>
      <c r="B899" s="35">
        <f>'Profit &amp; Loss'!B899</f>
        <v>0</v>
      </c>
      <c r="C899" s="36"/>
      <c r="D899" s="33"/>
      <c r="E899" s="102">
        <f t="shared" si="28"/>
        <v>0</v>
      </c>
      <c r="F899" s="103" t="str">
        <f t="shared" si="24"/>
        <v>0 tubes and 0 shuttles</v>
      </c>
      <c r="G899" s="36">
        <f t="shared" si="29"/>
        <v>0</v>
      </c>
      <c r="H899" s="104" t="str">
        <f t="shared" si="25"/>
        <v>0 tubes and 0 shuttles</v>
      </c>
      <c r="I899" s="36">
        <f t="shared" si="26"/>
        <v>0</v>
      </c>
      <c r="J899" s="103" t="str">
        <f t="shared" si="27"/>
        <v>0 tubes and 0 shuttles</v>
      </c>
    </row>
    <row r="900" spans="1:10" ht="12.5" x14ac:dyDescent="0.25">
      <c r="A900" s="32">
        <f>'Profit &amp; Loss'!A900</f>
        <v>0</v>
      </c>
      <c r="B900" s="35">
        <f>'Profit &amp; Loss'!B900</f>
        <v>0</v>
      </c>
      <c r="C900" s="36"/>
      <c r="D900" s="33"/>
      <c r="E900" s="102">
        <f t="shared" si="28"/>
        <v>0</v>
      </c>
      <c r="F900" s="103" t="str">
        <f t="shared" si="24"/>
        <v>0 tubes and 0 shuttles</v>
      </c>
      <c r="G900" s="36">
        <f t="shared" si="29"/>
        <v>0</v>
      </c>
      <c r="H900" s="104" t="str">
        <f t="shared" si="25"/>
        <v>0 tubes and 0 shuttles</v>
      </c>
      <c r="I900" s="36">
        <f t="shared" si="26"/>
        <v>0</v>
      </c>
      <c r="J900" s="103" t="str">
        <f t="shared" si="27"/>
        <v>0 tubes and 0 shuttles</v>
      </c>
    </row>
    <row r="901" spans="1:10" ht="12.5" x14ac:dyDescent="0.25">
      <c r="A901" s="32">
        <f>'Profit &amp; Loss'!A901</f>
        <v>0</v>
      </c>
      <c r="B901" s="35">
        <f>'Profit &amp; Loss'!B901</f>
        <v>0</v>
      </c>
      <c r="C901" s="36"/>
      <c r="D901" s="33"/>
      <c r="E901" s="102">
        <f t="shared" si="28"/>
        <v>0</v>
      </c>
      <c r="F901" s="103" t="str">
        <f t="shared" si="24"/>
        <v>0 tubes and 0 shuttles</v>
      </c>
      <c r="G901" s="36">
        <f t="shared" si="29"/>
        <v>0</v>
      </c>
      <c r="H901" s="104" t="str">
        <f t="shared" si="25"/>
        <v>0 tubes and 0 shuttles</v>
      </c>
      <c r="I901" s="36">
        <f t="shared" si="26"/>
        <v>0</v>
      </c>
      <c r="J901" s="103" t="str">
        <f t="shared" si="27"/>
        <v>0 tubes and 0 shuttles</v>
      </c>
    </row>
    <row r="902" spans="1:10" ht="12.5" x14ac:dyDescent="0.25">
      <c r="A902" s="32">
        <f>'Profit &amp; Loss'!A902</f>
        <v>0</v>
      </c>
      <c r="B902" s="35">
        <f>'Profit &amp; Loss'!B902</f>
        <v>0</v>
      </c>
      <c r="C902" s="36"/>
      <c r="D902" s="33"/>
      <c r="E902" s="102">
        <f t="shared" si="28"/>
        <v>0</v>
      </c>
      <c r="F902" s="103" t="str">
        <f t="shared" si="24"/>
        <v>0 tubes and 0 shuttles</v>
      </c>
      <c r="G902" s="36">
        <f t="shared" si="29"/>
        <v>0</v>
      </c>
      <c r="H902" s="104" t="str">
        <f t="shared" si="25"/>
        <v>0 tubes and 0 shuttles</v>
      </c>
      <c r="I902" s="36">
        <f t="shared" si="26"/>
        <v>0</v>
      </c>
      <c r="J902" s="103" t="str">
        <f t="shared" si="27"/>
        <v>0 tubes and 0 shuttles</v>
      </c>
    </row>
    <row r="903" spans="1:10" ht="12.5" x14ac:dyDescent="0.25">
      <c r="A903" s="32">
        <f>'Profit &amp; Loss'!A903</f>
        <v>0</v>
      </c>
      <c r="B903" s="35">
        <f>'Profit &amp; Loss'!B903</f>
        <v>0</v>
      </c>
      <c r="C903" s="36"/>
      <c r="D903" s="33"/>
      <c r="E903" s="102">
        <f t="shared" si="28"/>
        <v>0</v>
      </c>
      <c r="F903" s="103" t="str">
        <f t="shared" si="24"/>
        <v>0 tubes and 0 shuttles</v>
      </c>
      <c r="G903" s="36">
        <f t="shared" si="29"/>
        <v>0</v>
      </c>
      <c r="H903" s="104" t="str">
        <f t="shared" si="25"/>
        <v>0 tubes and 0 shuttles</v>
      </c>
      <c r="I903" s="36">
        <f t="shared" si="26"/>
        <v>0</v>
      </c>
      <c r="J903" s="103" t="str">
        <f t="shared" si="27"/>
        <v>0 tubes and 0 shuttles</v>
      </c>
    </row>
    <row r="904" spans="1:10" ht="12.5" x14ac:dyDescent="0.25">
      <c r="A904" s="32">
        <f>'Profit &amp; Loss'!A904</f>
        <v>0</v>
      </c>
      <c r="B904" s="35">
        <f>'Profit &amp; Loss'!B904</f>
        <v>0</v>
      </c>
      <c r="C904" s="36"/>
      <c r="D904" s="33"/>
      <c r="E904" s="102">
        <f t="shared" si="28"/>
        <v>0</v>
      </c>
      <c r="F904" s="103" t="str">
        <f t="shared" si="24"/>
        <v>0 tubes and 0 shuttles</v>
      </c>
      <c r="G904" s="36">
        <f t="shared" si="29"/>
        <v>0</v>
      </c>
      <c r="H904" s="104" t="str">
        <f t="shared" si="25"/>
        <v>0 tubes and 0 shuttles</v>
      </c>
      <c r="I904" s="36">
        <f t="shared" si="26"/>
        <v>0</v>
      </c>
      <c r="J904" s="103" t="str">
        <f t="shared" si="27"/>
        <v>0 tubes and 0 shuttles</v>
      </c>
    </row>
    <row r="905" spans="1:10" ht="12.5" x14ac:dyDescent="0.25">
      <c r="A905" s="32">
        <f>'Profit &amp; Loss'!A905</f>
        <v>0</v>
      </c>
      <c r="B905" s="35">
        <f>'Profit &amp; Loss'!B905</f>
        <v>0</v>
      </c>
      <c r="C905" s="36"/>
      <c r="D905" s="33"/>
      <c r="E905" s="102">
        <f t="shared" si="28"/>
        <v>0</v>
      </c>
      <c r="F905" s="103" t="str">
        <f t="shared" si="24"/>
        <v>0 tubes and 0 shuttles</v>
      </c>
      <c r="G905" s="36">
        <f t="shared" si="29"/>
        <v>0</v>
      </c>
      <c r="H905" s="104" t="str">
        <f t="shared" si="25"/>
        <v>0 tubes and 0 shuttles</v>
      </c>
      <c r="I905" s="36">
        <f t="shared" si="26"/>
        <v>0</v>
      </c>
      <c r="J905" s="103" t="str">
        <f t="shared" si="27"/>
        <v>0 tubes and 0 shuttles</v>
      </c>
    </row>
    <row r="906" spans="1:10" ht="12.5" x14ac:dyDescent="0.25">
      <c r="A906" s="32">
        <f>'Profit &amp; Loss'!A906</f>
        <v>0</v>
      </c>
      <c r="B906" s="35">
        <f>'Profit &amp; Loss'!B906</f>
        <v>0</v>
      </c>
      <c r="C906" s="36"/>
      <c r="D906" s="33"/>
      <c r="E906" s="102">
        <f t="shared" si="28"/>
        <v>0</v>
      </c>
      <c r="F906" s="103" t="str">
        <f t="shared" si="24"/>
        <v>0 tubes and 0 shuttles</v>
      </c>
      <c r="G906" s="36">
        <f t="shared" si="29"/>
        <v>0</v>
      </c>
      <c r="H906" s="104" t="str">
        <f t="shared" si="25"/>
        <v>0 tubes and 0 shuttles</v>
      </c>
      <c r="I906" s="36">
        <f t="shared" si="26"/>
        <v>0</v>
      </c>
      <c r="J906" s="103" t="str">
        <f t="shared" si="27"/>
        <v>0 tubes and 0 shuttles</v>
      </c>
    </row>
    <row r="907" spans="1:10" ht="12.5" x14ac:dyDescent="0.25">
      <c r="A907" s="32">
        <f>'Profit &amp; Loss'!A907</f>
        <v>0</v>
      </c>
      <c r="B907" s="35">
        <f>'Profit &amp; Loss'!B907</f>
        <v>0</v>
      </c>
      <c r="C907" s="36"/>
      <c r="D907" s="33"/>
      <c r="E907" s="102">
        <f t="shared" si="28"/>
        <v>0</v>
      </c>
      <c r="F907" s="103" t="str">
        <f t="shared" si="24"/>
        <v>0 tubes and 0 shuttles</v>
      </c>
      <c r="G907" s="36">
        <f t="shared" si="29"/>
        <v>0</v>
      </c>
      <c r="H907" s="104" t="str">
        <f t="shared" si="25"/>
        <v>0 tubes and 0 shuttles</v>
      </c>
      <c r="I907" s="36">
        <f t="shared" si="26"/>
        <v>0</v>
      </c>
      <c r="J907" s="103" t="str">
        <f t="shared" si="27"/>
        <v>0 tubes and 0 shuttles</v>
      </c>
    </row>
    <row r="908" spans="1:10" ht="12.5" x14ac:dyDescent="0.25">
      <c r="A908" s="32">
        <f>'Profit &amp; Loss'!A908</f>
        <v>0</v>
      </c>
      <c r="B908" s="35">
        <f>'Profit &amp; Loss'!B908</f>
        <v>0</v>
      </c>
      <c r="C908" s="36"/>
      <c r="D908" s="33"/>
      <c r="E908" s="102">
        <f t="shared" si="28"/>
        <v>0</v>
      </c>
      <c r="F908" s="103" t="str">
        <f t="shared" si="24"/>
        <v>0 tubes and 0 shuttles</v>
      </c>
      <c r="G908" s="36">
        <f t="shared" si="29"/>
        <v>0</v>
      </c>
      <c r="H908" s="104" t="str">
        <f t="shared" si="25"/>
        <v>0 tubes and 0 shuttles</v>
      </c>
      <c r="I908" s="36">
        <f t="shared" si="26"/>
        <v>0</v>
      </c>
      <c r="J908" s="103" t="str">
        <f t="shared" si="27"/>
        <v>0 tubes and 0 shuttles</v>
      </c>
    </row>
    <row r="909" spans="1:10" ht="12.5" x14ac:dyDescent="0.25">
      <c r="A909" s="32">
        <f>'Profit &amp; Loss'!A909</f>
        <v>0</v>
      </c>
      <c r="B909" s="35">
        <f>'Profit &amp; Loss'!B909</f>
        <v>0</v>
      </c>
      <c r="C909" s="36"/>
      <c r="D909" s="33"/>
      <c r="E909" s="102">
        <f t="shared" si="28"/>
        <v>0</v>
      </c>
      <c r="F909" s="103" t="str">
        <f t="shared" si="24"/>
        <v>0 tubes and 0 shuttles</v>
      </c>
      <c r="G909" s="36">
        <f t="shared" si="29"/>
        <v>0</v>
      </c>
      <c r="H909" s="104" t="str">
        <f t="shared" si="25"/>
        <v>0 tubes and 0 shuttles</v>
      </c>
      <c r="I909" s="36">
        <f t="shared" si="26"/>
        <v>0</v>
      </c>
      <c r="J909" s="103" t="str">
        <f t="shared" si="27"/>
        <v>0 tubes and 0 shuttles</v>
      </c>
    </row>
    <row r="910" spans="1:10" ht="12.5" x14ac:dyDescent="0.25">
      <c r="A910" s="32">
        <f>'Profit &amp; Loss'!A910</f>
        <v>0</v>
      </c>
      <c r="B910" s="35">
        <f>'Profit &amp; Loss'!B910</f>
        <v>0</v>
      </c>
      <c r="C910" s="36"/>
      <c r="D910" s="33"/>
      <c r="E910" s="102">
        <f t="shared" si="28"/>
        <v>0</v>
      </c>
      <c r="F910" s="103" t="str">
        <f t="shared" si="24"/>
        <v>0 tubes and 0 shuttles</v>
      </c>
      <c r="G910" s="36">
        <f t="shared" si="29"/>
        <v>0</v>
      </c>
      <c r="H910" s="104" t="str">
        <f t="shared" si="25"/>
        <v>0 tubes and 0 shuttles</v>
      </c>
      <c r="I910" s="36">
        <f t="shared" si="26"/>
        <v>0</v>
      </c>
      <c r="J910" s="103" t="str">
        <f t="shared" si="27"/>
        <v>0 tubes and 0 shuttles</v>
      </c>
    </row>
    <row r="911" spans="1:10" ht="12.5" x14ac:dyDescent="0.25">
      <c r="A911" s="32">
        <f>'Profit &amp; Loss'!A911</f>
        <v>0</v>
      </c>
      <c r="B911" s="35">
        <f>'Profit &amp; Loss'!B911</f>
        <v>0</v>
      </c>
      <c r="C911" s="36"/>
      <c r="D911" s="33"/>
      <c r="E911" s="102">
        <f t="shared" si="28"/>
        <v>0</v>
      </c>
      <c r="F911" s="103" t="str">
        <f t="shared" si="24"/>
        <v>0 tubes and 0 shuttles</v>
      </c>
      <c r="G911" s="36">
        <f t="shared" si="29"/>
        <v>0</v>
      </c>
      <c r="H911" s="104" t="str">
        <f t="shared" si="25"/>
        <v>0 tubes and 0 shuttles</v>
      </c>
      <c r="I911" s="36">
        <f t="shared" si="26"/>
        <v>0</v>
      </c>
      <c r="J911" s="103" t="str">
        <f t="shared" si="27"/>
        <v>0 tubes and 0 shuttles</v>
      </c>
    </row>
    <row r="912" spans="1:10" ht="12.5" x14ac:dyDescent="0.25">
      <c r="A912" s="32">
        <f>'Profit &amp; Loss'!A912</f>
        <v>0</v>
      </c>
      <c r="B912" s="35">
        <f>'Profit &amp; Loss'!B912</f>
        <v>0</v>
      </c>
      <c r="C912" s="36"/>
      <c r="D912" s="33"/>
      <c r="E912" s="102">
        <f t="shared" si="28"/>
        <v>0</v>
      </c>
      <c r="F912" s="103" t="str">
        <f t="shared" si="24"/>
        <v>0 tubes and 0 shuttles</v>
      </c>
      <c r="G912" s="36">
        <f t="shared" si="29"/>
        <v>0</v>
      </c>
      <c r="H912" s="104" t="str">
        <f t="shared" si="25"/>
        <v>0 tubes and 0 shuttles</v>
      </c>
      <c r="I912" s="36">
        <f t="shared" si="26"/>
        <v>0</v>
      </c>
      <c r="J912" s="103" t="str">
        <f t="shared" si="27"/>
        <v>0 tubes and 0 shuttles</v>
      </c>
    </row>
    <row r="913" spans="1:10" ht="12.5" x14ac:dyDescent="0.25">
      <c r="A913" s="32">
        <f>'Profit &amp; Loss'!A913</f>
        <v>0</v>
      </c>
      <c r="B913" s="35">
        <f>'Profit &amp; Loss'!B913</f>
        <v>0</v>
      </c>
      <c r="C913" s="36"/>
      <c r="D913" s="33"/>
      <c r="E913" s="102">
        <f t="shared" si="28"/>
        <v>0</v>
      </c>
      <c r="F913" s="103" t="str">
        <f t="shared" si="24"/>
        <v>0 tubes and 0 shuttles</v>
      </c>
      <c r="G913" s="36">
        <f t="shared" si="29"/>
        <v>0</v>
      </c>
      <c r="H913" s="104" t="str">
        <f t="shared" si="25"/>
        <v>0 tubes and 0 shuttles</v>
      </c>
      <c r="I913" s="36">
        <f t="shared" si="26"/>
        <v>0</v>
      </c>
      <c r="J913" s="103" t="str">
        <f t="shared" si="27"/>
        <v>0 tubes and 0 shuttles</v>
      </c>
    </row>
    <row r="914" spans="1:10" ht="12.5" x14ac:dyDescent="0.25">
      <c r="A914" s="32">
        <f>'Profit &amp; Loss'!A914</f>
        <v>0</v>
      </c>
      <c r="B914" s="35">
        <f>'Profit &amp; Loss'!B914</f>
        <v>0</v>
      </c>
      <c r="C914" s="36"/>
      <c r="D914" s="33"/>
      <c r="E914" s="102">
        <f t="shared" si="28"/>
        <v>0</v>
      </c>
      <c r="F914" s="103" t="str">
        <f t="shared" si="24"/>
        <v>0 tubes and 0 shuttles</v>
      </c>
      <c r="G914" s="36">
        <f t="shared" si="29"/>
        <v>0</v>
      </c>
      <c r="H914" s="104" t="str">
        <f t="shared" si="25"/>
        <v>0 tubes and 0 shuttles</v>
      </c>
      <c r="I914" s="36">
        <f t="shared" si="26"/>
        <v>0</v>
      </c>
      <c r="J914" s="103" t="str">
        <f t="shared" si="27"/>
        <v>0 tubes and 0 shuttles</v>
      </c>
    </row>
    <row r="915" spans="1:10" ht="12.5" x14ac:dyDescent="0.25">
      <c r="A915" s="32">
        <f>'Profit &amp; Loss'!A915</f>
        <v>0</v>
      </c>
      <c r="B915" s="35">
        <f>'Profit &amp; Loss'!B915</f>
        <v>0</v>
      </c>
      <c r="C915" s="36"/>
      <c r="D915" s="33"/>
      <c r="E915" s="102">
        <f t="shared" si="28"/>
        <v>0</v>
      </c>
      <c r="F915" s="103" t="str">
        <f t="shared" si="24"/>
        <v>0 tubes and 0 shuttles</v>
      </c>
      <c r="G915" s="36">
        <f t="shared" si="29"/>
        <v>0</v>
      </c>
      <c r="H915" s="104" t="str">
        <f t="shared" si="25"/>
        <v>0 tubes and 0 shuttles</v>
      </c>
      <c r="I915" s="36">
        <f t="shared" si="26"/>
        <v>0</v>
      </c>
      <c r="J915" s="103" t="str">
        <f t="shared" si="27"/>
        <v>0 tubes and 0 shuttles</v>
      </c>
    </row>
    <row r="916" spans="1:10" ht="12.5" x14ac:dyDescent="0.25">
      <c r="A916" s="32">
        <f>'Profit &amp; Loss'!A916</f>
        <v>0</v>
      </c>
      <c r="B916" s="35">
        <f>'Profit &amp; Loss'!B916</f>
        <v>0</v>
      </c>
      <c r="C916" s="36"/>
      <c r="D916" s="33"/>
      <c r="E916" s="102">
        <f t="shared" si="28"/>
        <v>0</v>
      </c>
      <c r="F916" s="103" t="str">
        <f t="shared" si="24"/>
        <v>0 tubes and 0 shuttles</v>
      </c>
      <c r="G916" s="36">
        <f t="shared" si="29"/>
        <v>0</v>
      </c>
      <c r="H916" s="104" t="str">
        <f t="shared" si="25"/>
        <v>0 tubes and 0 shuttles</v>
      </c>
      <c r="I916" s="36">
        <f t="shared" si="26"/>
        <v>0</v>
      </c>
      <c r="J916" s="103" t="str">
        <f t="shared" si="27"/>
        <v>0 tubes and 0 shuttles</v>
      </c>
    </row>
    <row r="917" spans="1:10" ht="12.5" x14ac:dyDescent="0.25">
      <c r="A917" s="32">
        <f>'Profit &amp; Loss'!A917</f>
        <v>0</v>
      </c>
      <c r="B917" s="35">
        <f>'Profit &amp; Loss'!B917</f>
        <v>0</v>
      </c>
      <c r="C917" s="36"/>
      <c r="D917" s="33"/>
      <c r="E917" s="102">
        <f t="shared" si="28"/>
        <v>0</v>
      </c>
      <c r="F917" s="103" t="str">
        <f t="shared" si="24"/>
        <v>0 tubes and 0 shuttles</v>
      </c>
      <c r="G917" s="36">
        <f t="shared" si="29"/>
        <v>0</v>
      </c>
      <c r="H917" s="104" t="str">
        <f t="shared" si="25"/>
        <v>0 tubes and 0 shuttles</v>
      </c>
      <c r="I917" s="36">
        <f t="shared" si="26"/>
        <v>0</v>
      </c>
      <c r="J917" s="103" t="str">
        <f t="shared" si="27"/>
        <v>0 tubes and 0 shuttles</v>
      </c>
    </row>
    <row r="918" spans="1:10" ht="12.5" x14ac:dyDescent="0.25">
      <c r="A918" s="32">
        <f>'Profit &amp; Loss'!A918</f>
        <v>0</v>
      </c>
      <c r="B918" s="35">
        <f>'Profit &amp; Loss'!B918</f>
        <v>0</v>
      </c>
      <c r="C918" s="36"/>
      <c r="D918" s="33"/>
      <c r="E918" s="102">
        <f t="shared" si="28"/>
        <v>0</v>
      </c>
      <c r="F918" s="103" t="str">
        <f t="shared" si="24"/>
        <v>0 tubes and 0 shuttles</v>
      </c>
      <c r="G918" s="36">
        <f t="shared" si="29"/>
        <v>0</v>
      </c>
      <c r="H918" s="104" t="str">
        <f t="shared" si="25"/>
        <v>0 tubes and 0 shuttles</v>
      </c>
      <c r="I918" s="36">
        <f t="shared" si="26"/>
        <v>0</v>
      </c>
      <c r="J918" s="103" t="str">
        <f t="shared" si="27"/>
        <v>0 tubes and 0 shuttles</v>
      </c>
    </row>
    <row r="919" spans="1:10" ht="12.5" x14ac:dyDescent="0.25">
      <c r="A919" s="32">
        <f>'Profit &amp; Loss'!A919</f>
        <v>0</v>
      </c>
      <c r="B919" s="35">
        <f>'Profit &amp; Loss'!B919</f>
        <v>0</v>
      </c>
      <c r="C919" s="36"/>
      <c r="D919" s="33"/>
      <c r="E919" s="102">
        <f t="shared" si="28"/>
        <v>0</v>
      </c>
      <c r="F919" s="103" t="str">
        <f t="shared" si="24"/>
        <v>0 tubes and 0 shuttles</v>
      </c>
      <c r="G919" s="36">
        <f t="shared" si="29"/>
        <v>0</v>
      </c>
      <c r="H919" s="104" t="str">
        <f t="shared" si="25"/>
        <v>0 tubes and 0 shuttles</v>
      </c>
      <c r="I919" s="36">
        <f t="shared" si="26"/>
        <v>0</v>
      </c>
      <c r="J919" s="103" t="str">
        <f t="shared" si="27"/>
        <v>0 tubes and 0 shuttles</v>
      </c>
    </row>
    <row r="920" spans="1:10" ht="12.5" x14ac:dyDescent="0.25">
      <c r="A920" s="32">
        <f>'Profit &amp; Loss'!A920</f>
        <v>0</v>
      </c>
      <c r="B920" s="35">
        <f>'Profit &amp; Loss'!B920</f>
        <v>0</v>
      </c>
      <c r="C920" s="36"/>
      <c r="D920" s="33"/>
      <c r="E920" s="102">
        <f t="shared" si="28"/>
        <v>0</v>
      </c>
      <c r="F920" s="103" t="str">
        <f t="shared" si="24"/>
        <v>0 tubes and 0 shuttles</v>
      </c>
      <c r="G920" s="36">
        <f t="shared" si="29"/>
        <v>0</v>
      </c>
      <c r="H920" s="104" t="str">
        <f t="shared" si="25"/>
        <v>0 tubes and 0 shuttles</v>
      </c>
      <c r="I920" s="36">
        <f t="shared" si="26"/>
        <v>0</v>
      </c>
      <c r="J920" s="103" t="str">
        <f t="shared" si="27"/>
        <v>0 tubes and 0 shuttles</v>
      </c>
    </row>
    <row r="921" spans="1:10" ht="12.5" x14ac:dyDescent="0.25">
      <c r="A921" s="32">
        <f>'Profit &amp; Loss'!A921</f>
        <v>0</v>
      </c>
      <c r="B921" s="35">
        <f>'Profit &amp; Loss'!B921</f>
        <v>0</v>
      </c>
      <c r="C921" s="36"/>
      <c r="D921" s="33"/>
      <c r="E921" s="102">
        <f t="shared" si="28"/>
        <v>0</v>
      </c>
      <c r="F921" s="103" t="str">
        <f t="shared" si="24"/>
        <v>0 tubes and 0 shuttles</v>
      </c>
      <c r="G921" s="36">
        <f t="shared" si="29"/>
        <v>0</v>
      </c>
      <c r="H921" s="104" t="str">
        <f t="shared" si="25"/>
        <v>0 tubes and 0 shuttles</v>
      </c>
      <c r="I921" s="36">
        <f t="shared" si="26"/>
        <v>0</v>
      </c>
      <c r="J921" s="103" t="str">
        <f t="shared" si="27"/>
        <v>0 tubes and 0 shuttles</v>
      </c>
    </row>
    <row r="922" spans="1:10" ht="12.5" x14ac:dyDescent="0.25">
      <c r="A922" s="32">
        <f>'Profit &amp; Loss'!A922</f>
        <v>0</v>
      </c>
      <c r="B922" s="35">
        <f>'Profit &amp; Loss'!B922</f>
        <v>0</v>
      </c>
      <c r="C922" s="36"/>
      <c r="D922" s="33"/>
      <c r="E922" s="102">
        <f t="shared" si="28"/>
        <v>0</v>
      </c>
      <c r="F922" s="103" t="str">
        <f t="shared" si="24"/>
        <v>0 tubes and 0 shuttles</v>
      </c>
      <c r="G922" s="36">
        <f t="shared" si="29"/>
        <v>0</v>
      </c>
      <c r="H922" s="104" t="str">
        <f t="shared" si="25"/>
        <v>0 tubes and 0 shuttles</v>
      </c>
      <c r="I922" s="36">
        <f t="shared" si="26"/>
        <v>0</v>
      </c>
      <c r="J922" s="103" t="str">
        <f t="shared" si="27"/>
        <v>0 tubes and 0 shuttles</v>
      </c>
    </row>
    <row r="923" spans="1:10" ht="12.5" x14ac:dyDescent="0.25">
      <c r="A923" s="32">
        <f>'Profit &amp; Loss'!A923</f>
        <v>0</v>
      </c>
      <c r="B923" s="35">
        <f>'Profit &amp; Loss'!B923</f>
        <v>0</v>
      </c>
      <c r="C923" s="36"/>
      <c r="D923" s="33"/>
      <c r="E923" s="102">
        <f t="shared" si="28"/>
        <v>0</v>
      </c>
      <c r="F923" s="103" t="str">
        <f t="shared" si="24"/>
        <v>0 tubes and 0 shuttles</v>
      </c>
      <c r="G923" s="36">
        <f t="shared" si="29"/>
        <v>0</v>
      </c>
      <c r="H923" s="104" t="str">
        <f t="shared" si="25"/>
        <v>0 tubes and 0 shuttles</v>
      </c>
      <c r="I923" s="36">
        <f t="shared" si="26"/>
        <v>0</v>
      </c>
      <c r="J923" s="103" t="str">
        <f t="shared" si="27"/>
        <v>0 tubes and 0 shuttles</v>
      </c>
    </row>
    <row r="924" spans="1:10" ht="12.5" x14ac:dyDescent="0.25">
      <c r="A924" s="32">
        <f>'Profit &amp; Loss'!A924</f>
        <v>0</v>
      </c>
      <c r="B924" s="35">
        <f>'Profit &amp; Loss'!B924</f>
        <v>0</v>
      </c>
      <c r="C924" s="36"/>
      <c r="D924" s="33"/>
      <c r="E924" s="102">
        <f t="shared" si="28"/>
        <v>0</v>
      </c>
      <c r="F924" s="103" t="str">
        <f t="shared" si="24"/>
        <v>0 tubes and 0 shuttles</v>
      </c>
      <c r="G924" s="36">
        <f t="shared" si="29"/>
        <v>0</v>
      </c>
      <c r="H924" s="104" t="str">
        <f t="shared" si="25"/>
        <v>0 tubes and 0 shuttles</v>
      </c>
      <c r="I924" s="36">
        <f t="shared" si="26"/>
        <v>0</v>
      </c>
      <c r="J924" s="103" t="str">
        <f t="shared" si="27"/>
        <v>0 tubes and 0 shuttles</v>
      </c>
    </row>
    <row r="925" spans="1:10" ht="12.5" x14ac:dyDescent="0.25">
      <c r="A925" s="32">
        <f>'Profit &amp; Loss'!A925</f>
        <v>0</v>
      </c>
      <c r="B925" s="35">
        <f>'Profit &amp; Loss'!B925</f>
        <v>0</v>
      </c>
      <c r="C925" s="36"/>
      <c r="D925" s="33"/>
      <c r="E925" s="102">
        <f t="shared" si="28"/>
        <v>0</v>
      </c>
      <c r="F925" s="103" t="str">
        <f t="shared" si="24"/>
        <v>0 tubes and 0 shuttles</v>
      </c>
      <c r="G925" s="36">
        <f t="shared" si="29"/>
        <v>0</v>
      </c>
      <c r="H925" s="104" t="str">
        <f t="shared" si="25"/>
        <v>0 tubes and 0 shuttles</v>
      </c>
      <c r="I925" s="36">
        <f t="shared" si="26"/>
        <v>0</v>
      </c>
      <c r="J925" s="103" t="str">
        <f t="shared" si="27"/>
        <v>0 tubes and 0 shuttles</v>
      </c>
    </row>
    <row r="926" spans="1:10" ht="12.5" x14ac:dyDescent="0.25">
      <c r="A926" s="32">
        <f>'Profit &amp; Loss'!A926</f>
        <v>0</v>
      </c>
      <c r="B926" s="35">
        <f>'Profit &amp; Loss'!B926</f>
        <v>0</v>
      </c>
      <c r="C926" s="36"/>
      <c r="D926" s="33"/>
      <c r="E926" s="102">
        <f t="shared" si="28"/>
        <v>0</v>
      </c>
      <c r="F926" s="103" t="str">
        <f t="shared" si="24"/>
        <v>0 tubes and 0 shuttles</v>
      </c>
      <c r="G926" s="36">
        <f t="shared" si="29"/>
        <v>0</v>
      </c>
      <c r="H926" s="104" t="str">
        <f t="shared" si="25"/>
        <v>0 tubes and 0 shuttles</v>
      </c>
      <c r="I926" s="36">
        <f t="shared" si="26"/>
        <v>0</v>
      </c>
      <c r="J926" s="103" t="str">
        <f t="shared" si="27"/>
        <v>0 tubes and 0 shuttles</v>
      </c>
    </row>
    <row r="927" spans="1:10" ht="12.5" x14ac:dyDescent="0.25">
      <c r="A927" s="32">
        <f>'Profit &amp; Loss'!A927</f>
        <v>0</v>
      </c>
      <c r="B927" s="35">
        <f>'Profit &amp; Loss'!B927</f>
        <v>0</v>
      </c>
      <c r="C927" s="36"/>
      <c r="D927" s="33"/>
      <c r="E927" s="102">
        <f t="shared" si="28"/>
        <v>0</v>
      </c>
      <c r="F927" s="103" t="str">
        <f t="shared" si="24"/>
        <v>0 tubes and 0 shuttles</v>
      </c>
      <c r="G927" s="36">
        <f t="shared" si="29"/>
        <v>0</v>
      </c>
      <c r="H927" s="104" t="str">
        <f t="shared" si="25"/>
        <v>0 tubes and 0 shuttles</v>
      </c>
      <c r="I927" s="36">
        <f t="shared" si="26"/>
        <v>0</v>
      </c>
      <c r="J927" s="103" t="str">
        <f t="shared" si="27"/>
        <v>0 tubes and 0 shuttles</v>
      </c>
    </row>
    <row r="928" spans="1:10" ht="12.5" x14ac:dyDescent="0.25">
      <c r="A928" s="32">
        <f>'Profit &amp; Loss'!A928</f>
        <v>0</v>
      </c>
      <c r="B928" s="35">
        <f>'Profit &amp; Loss'!B928</f>
        <v>0</v>
      </c>
      <c r="C928" s="36"/>
      <c r="D928" s="33"/>
      <c r="E928" s="102">
        <f t="shared" si="28"/>
        <v>0</v>
      </c>
      <c r="F928" s="103" t="str">
        <f t="shared" si="24"/>
        <v>0 tubes and 0 shuttles</v>
      </c>
      <c r="G928" s="36">
        <f t="shared" si="29"/>
        <v>0</v>
      </c>
      <c r="H928" s="104" t="str">
        <f t="shared" si="25"/>
        <v>0 tubes and 0 shuttles</v>
      </c>
      <c r="I928" s="36">
        <f t="shared" si="26"/>
        <v>0</v>
      </c>
      <c r="J928" s="103" t="str">
        <f t="shared" si="27"/>
        <v>0 tubes and 0 shuttles</v>
      </c>
    </row>
    <row r="929" spans="1:10" ht="12.5" x14ac:dyDescent="0.25">
      <c r="A929" s="32">
        <f>'Profit &amp; Loss'!A929</f>
        <v>0</v>
      </c>
      <c r="B929" s="35">
        <f>'Profit &amp; Loss'!B929</f>
        <v>0</v>
      </c>
      <c r="C929" s="36"/>
      <c r="D929" s="33"/>
      <c r="E929" s="102">
        <f t="shared" si="28"/>
        <v>0</v>
      </c>
      <c r="F929" s="103" t="str">
        <f t="shared" si="24"/>
        <v>0 tubes and 0 shuttles</v>
      </c>
      <c r="G929" s="36">
        <f t="shared" si="29"/>
        <v>0</v>
      </c>
      <c r="H929" s="104" t="str">
        <f t="shared" si="25"/>
        <v>0 tubes and 0 shuttles</v>
      </c>
      <c r="I929" s="36">
        <f t="shared" si="26"/>
        <v>0</v>
      </c>
      <c r="J929" s="103" t="str">
        <f t="shared" si="27"/>
        <v>0 tubes and 0 shuttles</v>
      </c>
    </row>
    <row r="930" spans="1:10" ht="12.5" x14ac:dyDescent="0.25">
      <c r="A930" s="32">
        <f>'Profit &amp; Loss'!A930</f>
        <v>0</v>
      </c>
      <c r="B930" s="35">
        <f>'Profit &amp; Loss'!B930</f>
        <v>0</v>
      </c>
      <c r="C930" s="36"/>
      <c r="D930" s="33"/>
      <c r="E930" s="102">
        <f t="shared" si="28"/>
        <v>0</v>
      </c>
      <c r="F930" s="103" t="str">
        <f t="shared" si="24"/>
        <v>0 tubes and 0 shuttles</v>
      </c>
      <c r="G930" s="36">
        <f t="shared" si="29"/>
        <v>0</v>
      </c>
      <c r="H930" s="104" t="str">
        <f t="shared" si="25"/>
        <v>0 tubes and 0 shuttles</v>
      </c>
      <c r="I930" s="36">
        <f t="shared" si="26"/>
        <v>0</v>
      </c>
      <c r="J930" s="103" t="str">
        <f t="shared" si="27"/>
        <v>0 tubes and 0 shuttles</v>
      </c>
    </row>
    <row r="931" spans="1:10" ht="12.5" x14ac:dyDescent="0.25">
      <c r="A931" s="32">
        <f>'Profit &amp; Loss'!A931</f>
        <v>0</v>
      </c>
      <c r="B931" s="35">
        <f>'Profit &amp; Loss'!B931</f>
        <v>0</v>
      </c>
      <c r="C931" s="36"/>
      <c r="D931" s="33"/>
      <c r="E931" s="102">
        <f t="shared" si="28"/>
        <v>0</v>
      </c>
      <c r="F931" s="103" t="str">
        <f t="shared" si="24"/>
        <v>0 tubes and 0 shuttles</v>
      </c>
      <c r="G931" s="36">
        <f t="shared" si="29"/>
        <v>0</v>
      </c>
      <c r="H931" s="104" t="str">
        <f t="shared" si="25"/>
        <v>0 tubes and 0 shuttles</v>
      </c>
      <c r="I931" s="36">
        <f t="shared" si="26"/>
        <v>0</v>
      </c>
      <c r="J931" s="103" t="str">
        <f t="shared" si="27"/>
        <v>0 tubes and 0 shuttles</v>
      </c>
    </row>
    <row r="932" spans="1:10" ht="12.5" x14ac:dyDescent="0.25">
      <c r="A932" s="32">
        <f>'Profit &amp; Loss'!A932</f>
        <v>0</v>
      </c>
      <c r="B932" s="35">
        <f>'Profit &amp; Loss'!B932</f>
        <v>0</v>
      </c>
      <c r="C932" s="36"/>
      <c r="D932" s="33"/>
      <c r="E932" s="102">
        <f t="shared" si="28"/>
        <v>0</v>
      </c>
      <c r="F932" s="103" t="str">
        <f t="shared" si="24"/>
        <v>0 tubes and 0 shuttles</v>
      </c>
      <c r="G932" s="36">
        <f t="shared" si="29"/>
        <v>0</v>
      </c>
      <c r="H932" s="104" t="str">
        <f t="shared" si="25"/>
        <v>0 tubes and 0 shuttles</v>
      </c>
      <c r="I932" s="36">
        <f t="shared" si="26"/>
        <v>0</v>
      </c>
      <c r="J932" s="103" t="str">
        <f t="shared" si="27"/>
        <v>0 tubes and 0 shuttles</v>
      </c>
    </row>
    <row r="933" spans="1:10" ht="12.5" x14ac:dyDescent="0.25">
      <c r="A933" s="32">
        <f>'Profit &amp; Loss'!A933</f>
        <v>0</v>
      </c>
      <c r="B933" s="35">
        <f>'Profit &amp; Loss'!B933</f>
        <v>0</v>
      </c>
      <c r="C933" s="36"/>
      <c r="D933" s="33"/>
      <c r="E933" s="102">
        <f t="shared" si="28"/>
        <v>0</v>
      </c>
      <c r="F933" s="103" t="str">
        <f t="shared" si="24"/>
        <v>0 tubes and 0 shuttles</v>
      </c>
      <c r="G933" s="36">
        <f t="shared" si="29"/>
        <v>0</v>
      </c>
      <c r="H933" s="104" t="str">
        <f t="shared" si="25"/>
        <v>0 tubes and 0 shuttles</v>
      </c>
      <c r="I933" s="36">
        <f t="shared" si="26"/>
        <v>0</v>
      </c>
      <c r="J933" s="103" t="str">
        <f t="shared" si="27"/>
        <v>0 tubes and 0 shuttles</v>
      </c>
    </row>
    <row r="934" spans="1:10" ht="12.5" x14ac:dyDescent="0.25">
      <c r="A934" s="32">
        <f>'Profit &amp; Loss'!A934</f>
        <v>0</v>
      </c>
      <c r="B934" s="35">
        <f>'Profit &amp; Loss'!B934</f>
        <v>0</v>
      </c>
      <c r="C934" s="36"/>
      <c r="D934" s="33"/>
      <c r="E934" s="102">
        <f t="shared" si="28"/>
        <v>0</v>
      </c>
      <c r="F934" s="103" t="str">
        <f t="shared" si="24"/>
        <v>0 tubes and 0 shuttles</v>
      </c>
      <c r="G934" s="36">
        <f t="shared" si="29"/>
        <v>0</v>
      </c>
      <c r="H934" s="104" t="str">
        <f t="shared" si="25"/>
        <v>0 tubes and 0 shuttles</v>
      </c>
      <c r="I934" s="36">
        <f t="shared" si="26"/>
        <v>0</v>
      </c>
      <c r="J934" s="103" t="str">
        <f t="shared" si="27"/>
        <v>0 tubes and 0 shuttles</v>
      </c>
    </row>
    <row r="935" spans="1:10" ht="12.5" x14ac:dyDescent="0.25">
      <c r="A935" s="32">
        <f>'Profit &amp; Loss'!A935</f>
        <v>0</v>
      </c>
      <c r="B935" s="35">
        <f>'Profit &amp; Loss'!B935</f>
        <v>0</v>
      </c>
      <c r="C935" s="36"/>
      <c r="D935" s="33"/>
      <c r="E935" s="102">
        <f t="shared" si="28"/>
        <v>0</v>
      </c>
      <c r="F935" s="103" t="str">
        <f t="shared" si="24"/>
        <v>0 tubes and 0 shuttles</v>
      </c>
      <c r="G935" s="36">
        <f t="shared" si="29"/>
        <v>0</v>
      </c>
      <c r="H935" s="104" t="str">
        <f t="shared" si="25"/>
        <v>0 tubes and 0 shuttles</v>
      </c>
      <c r="I935" s="36">
        <f t="shared" si="26"/>
        <v>0</v>
      </c>
      <c r="J935" s="103" t="str">
        <f t="shared" si="27"/>
        <v>0 tubes and 0 shuttles</v>
      </c>
    </row>
    <row r="936" spans="1:10" ht="12.5" x14ac:dyDescent="0.25">
      <c r="A936" s="32">
        <f>'Profit &amp; Loss'!A936</f>
        <v>0</v>
      </c>
      <c r="B936" s="35">
        <f>'Profit &amp; Loss'!B936</f>
        <v>0</v>
      </c>
      <c r="C936" s="36"/>
      <c r="D936" s="33"/>
      <c r="E936" s="102">
        <f t="shared" si="28"/>
        <v>0</v>
      </c>
      <c r="F936" s="103" t="str">
        <f t="shared" si="24"/>
        <v>0 tubes and 0 shuttles</v>
      </c>
      <c r="G936" s="36">
        <f t="shared" si="29"/>
        <v>0</v>
      </c>
      <c r="H936" s="104" t="str">
        <f t="shared" si="25"/>
        <v>0 tubes and 0 shuttles</v>
      </c>
      <c r="I936" s="36">
        <f t="shared" si="26"/>
        <v>0</v>
      </c>
      <c r="J936" s="103" t="str">
        <f t="shared" si="27"/>
        <v>0 tubes and 0 shuttles</v>
      </c>
    </row>
    <row r="937" spans="1:10" ht="12.5" x14ac:dyDescent="0.25">
      <c r="A937" s="32">
        <f>'Profit &amp; Loss'!A937</f>
        <v>0</v>
      </c>
      <c r="B937" s="35">
        <f>'Profit &amp; Loss'!B937</f>
        <v>0</v>
      </c>
      <c r="C937" s="36"/>
      <c r="D937" s="33"/>
      <c r="E937" s="102">
        <f t="shared" si="28"/>
        <v>0</v>
      </c>
      <c r="F937" s="103" t="str">
        <f t="shared" si="24"/>
        <v>0 tubes and 0 shuttles</v>
      </c>
      <c r="G937" s="36">
        <f t="shared" si="29"/>
        <v>0</v>
      </c>
      <c r="H937" s="104" t="str">
        <f t="shared" si="25"/>
        <v>0 tubes and 0 shuttles</v>
      </c>
      <c r="I937" s="36">
        <f t="shared" si="26"/>
        <v>0</v>
      </c>
      <c r="J937" s="103" t="str">
        <f t="shared" si="27"/>
        <v>0 tubes and 0 shuttles</v>
      </c>
    </row>
    <row r="938" spans="1:10" ht="12.5" x14ac:dyDescent="0.25">
      <c r="A938" s="32">
        <f>'Profit &amp; Loss'!A938</f>
        <v>0</v>
      </c>
      <c r="B938" s="35">
        <f>'Profit &amp; Loss'!B938</f>
        <v>0</v>
      </c>
      <c r="C938" s="36"/>
      <c r="D938" s="33"/>
      <c r="E938" s="102">
        <f t="shared" si="28"/>
        <v>0</v>
      </c>
      <c r="F938" s="103" t="str">
        <f t="shared" si="24"/>
        <v>0 tubes and 0 shuttles</v>
      </c>
      <c r="G938" s="36">
        <f t="shared" si="29"/>
        <v>0</v>
      </c>
      <c r="H938" s="104" t="str">
        <f t="shared" si="25"/>
        <v>0 tubes and 0 shuttles</v>
      </c>
      <c r="I938" s="36">
        <f t="shared" si="26"/>
        <v>0</v>
      </c>
      <c r="J938" s="103" t="str">
        <f t="shared" si="27"/>
        <v>0 tubes and 0 shuttles</v>
      </c>
    </row>
    <row r="939" spans="1:10" ht="12.5" x14ac:dyDescent="0.25">
      <c r="A939" s="32">
        <f>'Profit &amp; Loss'!A939</f>
        <v>0</v>
      </c>
      <c r="B939" s="35">
        <f>'Profit &amp; Loss'!B939</f>
        <v>0</v>
      </c>
      <c r="C939" s="36"/>
      <c r="D939" s="33"/>
      <c r="E939" s="102">
        <f t="shared" si="28"/>
        <v>0</v>
      </c>
      <c r="F939" s="103" t="str">
        <f t="shared" si="24"/>
        <v>0 tubes and 0 shuttles</v>
      </c>
      <c r="G939" s="36">
        <f t="shared" si="29"/>
        <v>0</v>
      </c>
      <c r="H939" s="104" t="str">
        <f t="shared" si="25"/>
        <v>0 tubes and 0 shuttles</v>
      </c>
      <c r="I939" s="36">
        <f t="shared" si="26"/>
        <v>0</v>
      </c>
      <c r="J939" s="103" t="str">
        <f t="shared" si="27"/>
        <v>0 tubes and 0 shuttles</v>
      </c>
    </row>
    <row r="940" spans="1:10" ht="12.5" x14ac:dyDescent="0.25">
      <c r="A940" s="32">
        <f>'Profit &amp; Loss'!A940</f>
        <v>0</v>
      </c>
      <c r="B940" s="35">
        <f>'Profit &amp; Loss'!B940</f>
        <v>0</v>
      </c>
      <c r="C940" s="36"/>
      <c r="D940" s="33"/>
      <c r="E940" s="102">
        <f t="shared" si="28"/>
        <v>0</v>
      </c>
      <c r="F940" s="103" t="str">
        <f t="shared" si="24"/>
        <v>0 tubes and 0 shuttles</v>
      </c>
      <c r="G940" s="36">
        <f t="shared" si="29"/>
        <v>0</v>
      </c>
      <c r="H940" s="104" t="str">
        <f t="shared" si="25"/>
        <v>0 tubes and 0 shuttles</v>
      </c>
      <c r="I940" s="36">
        <f t="shared" si="26"/>
        <v>0</v>
      </c>
      <c r="J940" s="103" t="str">
        <f t="shared" si="27"/>
        <v>0 tubes and 0 shuttles</v>
      </c>
    </row>
    <row r="941" spans="1:10" ht="12.5" x14ac:dyDescent="0.25">
      <c r="A941" s="32">
        <f>'Profit &amp; Loss'!A941</f>
        <v>0</v>
      </c>
      <c r="B941" s="35">
        <f>'Profit &amp; Loss'!B941</f>
        <v>0</v>
      </c>
      <c r="C941" s="36"/>
      <c r="D941" s="33"/>
      <c r="E941" s="102">
        <f t="shared" si="28"/>
        <v>0</v>
      </c>
      <c r="F941" s="103" t="str">
        <f t="shared" si="24"/>
        <v>0 tubes and 0 shuttles</v>
      </c>
      <c r="G941" s="36">
        <f t="shared" si="29"/>
        <v>0</v>
      </c>
      <c r="H941" s="104" t="str">
        <f t="shared" si="25"/>
        <v>0 tubes and 0 shuttles</v>
      </c>
      <c r="I941" s="36">
        <f t="shared" si="26"/>
        <v>0</v>
      </c>
      <c r="J941" s="103" t="str">
        <f t="shared" si="27"/>
        <v>0 tubes and 0 shuttles</v>
      </c>
    </row>
    <row r="942" spans="1:10" ht="12.5" x14ac:dyDescent="0.25">
      <c r="A942" s="32">
        <f>'Profit &amp; Loss'!A942</f>
        <v>0</v>
      </c>
      <c r="B942" s="35">
        <f>'Profit &amp; Loss'!B942</f>
        <v>0</v>
      </c>
      <c r="C942" s="36"/>
      <c r="D942" s="33"/>
      <c r="E942" s="102">
        <f t="shared" si="28"/>
        <v>0</v>
      </c>
      <c r="F942" s="103" t="str">
        <f t="shared" si="24"/>
        <v>0 tubes and 0 shuttles</v>
      </c>
      <c r="G942" s="36">
        <f t="shared" si="29"/>
        <v>0</v>
      </c>
      <c r="H942" s="104" t="str">
        <f t="shared" si="25"/>
        <v>0 tubes and 0 shuttles</v>
      </c>
      <c r="I942" s="36">
        <f t="shared" si="26"/>
        <v>0</v>
      </c>
      <c r="J942" s="103" t="str">
        <f t="shared" si="27"/>
        <v>0 tubes and 0 shuttles</v>
      </c>
    </row>
    <row r="943" spans="1:10" ht="12.5" x14ac:dyDescent="0.25">
      <c r="A943" s="32">
        <f>'Profit &amp; Loss'!A943</f>
        <v>0</v>
      </c>
      <c r="B943" s="35">
        <f>'Profit &amp; Loss'!B943</f>
        <v>0</v>
      </c>
      <c r="C943" s="36"/>
      <c r="D943" s="33"/>
      <c r="E943" s="102">
        <f t="shared" si="28"/>
        <v>0</v>
      </c>
      <c r="F943" s="103" t="str">
        <f t="shared" si="24"/>
        <v>0 tubes and 0 shuttles</v>
      </c>
      <c r="G943" s="36">
        <f t="shared" si="29"/>
        <v>0</v>
      </c>
      <c r="H943" s="104" t="str">
        <f t="shared" si="25"/>
        <v>0 tubes and 0 shuttles</v>
      </c>
      <c r="I943" s="36">
        <f t="shared" si="26"/>
        <v>0</v>
      </c>
      <c r="J943" s="103" t="str">
        <f t="shared" si="27"/>
        <v>0 tubes and 0 shuttles</v>
      </c>
    </row>
    <row r="944" spans="1:10" ht="12.5" x14ac:dyDescent="0.25">
      <c r="A944" s="32">
        <f>'Profit &amp; Loss'!A944</f>
        <v>0</v>
      </c>
      <c r="B944" s="35">
        <f>'Profit &amp; Loss'!B944</f>
        <v>0</v>
      </c>
      <c r="C944" s="36"/>
      <c r="D944" s="33"/>
      <c r="E944" s="102">
        <f t="shared" si="28"/>
        <v>0</v>
      </c>
      <c r="F944" s="103" t="str">
        <f t="shared" si="24"/>
        <v>0 tubes and 0 shuttles</v>
      </c>
      <c r="G944" s="36">
        <f t="shared" si="29"/>
        <v>0</v>
      </c>
      <c r="H944" s="104" t="str">
        <f t="shared" si="25"/>
        <v>0 tubes and 0 shuttles</v>
      </c>
      <c r="I944" s="36">
        <f t="shared" si="26"/>
        <v>0</v>
      </c>
      <c r="J944" s="103" t="str">
        <f t="shared" si="27"/>
        <v>0 tubes and 0 shuttles</v>
      </c>
    </row>
    <row r="945" spans="1:10" ht="12.5" x14ac:dyDescent="0.25">
      <c r="A945" s="32">
        <f>'Profit &amp; Loss'!A945</f>
        <v>0</v>
      </c>
      <c r="B945" s="35">
        <f>'Profit &amp; Loss'!B945</f>
        <v>0</v>
      </c>
      <c r="C945" s="36"/>
      <c r="D945" s="33"/>
      <c r="E945" s="102">
        <f t="shared" si="28"/>
        <v>0</v>
      </c>
      <c r="F945" s="103" t="str">
        <f t="shared" si="24"/>
        <v>0 tubes and 0 shuttles</v>
      </c>
      <c r="G945" s="36">
        <f t="shared" si="29"/>
        <v>0</v>
      </c>
      <c r="H945" s="104" t="str">
        <f t="shared" si="25"/>
        <v>0 tubes and 0 shuttles</v>
      </c>
      <c r="I945" s="36">
        <f t="shared" si="26"/>
        <v>0</v>
      </c>
      <c r="J945" s="103" t="str">
        <f t="shared" si="27"/>
        <v>0 tubes and 0 shuttles</v>
      </c>
    </row>
    <row r="946" spans="1:10" ht="12.5" x14ac:dyDescent="0.25">
      <c r="A946" s="32">
        <f>'Profit &amp; Loss'!A946</f>
        <v>0</v>
      </c>
      <c r="B946" s="35">
        <f>'Profit &amp; Loss'!B946</f>
        <v>0</v>
      </c>
      <c r="C946" s="36"/>
      <c r="D946" s="33"/>
      <c r="E946" s="102">
        <f t="shared" si="28"/>
        <v>0</v>
      </c>
      <c r="F946" s="103" t="str">
        <f t="shared" si="24"/>
        <v>0 tubes and 0 shuttles</v>
      </c>
      <c r="G946" s="36">
        <f t="shared" si="29"/>
        <v>0</v>
      </c>
      <c r="H946" s="104" t="str">
        <f t="shared" si="25"/>
        <v>0 tubes and 0 shuttles</v>
      </c>
      <c r="I946" s="36">
        <f t="shared" si="26"/>
        <v>0</v>
      </c>
      <c r="J946" s="103" t="str">
        <f t="shared" si="27"/>
        <v>0 tubes and 0 shuttles</v>
      </c>
    </row>
    <row r="947" spans="1:10" ht="12.5" x14ac:dyDescent="0.25">
      <c r="A947" s="32">
        <f>'Profit &amp; Loss'!A947</f>
        <v>0</v>
      </c>
      <c r="B947" s="35">
        <f>'Profit &amp; Loss'!B947</f>
        <v>0</v>
      </c>
      <c r="C947" s="36"/>
      <c r="D947" s="33"/>
      <c r="E947" s="102">
        <f t="shared" si="28"/>
        <v>0</v>
      </c>
      <c r="F947" s="103" t="str">
        <f t="shared" si="24"/>
        <v>0 tubes and 0 shuttles</v>
      </c>
      <c r="G947" s="36">
        <f t="shared" si="29"/>
        <v>0</v>
      </c>
      <c r="H947" s="104" t="str">
        <f t="shared" si="25"/>
        <v>0 tubes and 0 shuttles</v>
      </c>
      <c r="I947" s="36">
        <f t="shared" si="26"/>
        <v>0</v>
      </c>
      <c r="J947" s="103" t="str">
        <f t="shared" si="27"/>
        <v>0 tubes and 0 shuttles</v>
      </c>
    </row>
    <row r="948" spans="1:10" ht="12.5" x14ac:dyDescent="0.25">
      <c r="A948" s="32">
        <f>'Profit &amp; Loss'!A948</f>
        <v>0</v>
      </c>
      <c r="B948" s="35">
        <f>'Profit &amp; Loss'!B948</f>
        <v>0</v>
      </c>
      <c r="C948" s="36"/>
      <c r="D948" s="33"/>
      <c r="E948" s="102">
        <f t="shared" si="28"/>
        <v>0</v>
      </c>
      <c r="F948" s="103" t="str">
        <f t="shared" si="24"/>
        <v>0 tubes and 0 shuttles</v>
      </c>
      <c r="G948" s="36">
        <f t="shared" si="29"/>
        <v>0</v>
      </c>
      <c r="H948" s="104" t="str">
        <f t="shared" si="25"/>
        <v>0 tubes and 0 shuttles</v>
      </c>
      <c r="I948" s="36">
        <f t="shared" si="26"/>
        <v>0</v>
      </c>
      <c r="J948" s="103" t="str">
        <f t="shared" si="27"/>
        <v>0 tubes and 0 shuttles</v>
      </c>
    </row>
    <row r="949" spans="1:10" ht="12.5" x14ac:dyDescent="0.25">
      <c r="A949" s="32">
        <f>'Profit &amp; Loss'!A949</f>
        <v>0</v>
      </c>
      <c r="B949" s="35">
        <f>'Profit &amp; Loss'!B949</f>
        <v>0</v>
      </c>
      <c r="C949" s="36"/>
      <c r="D949" s="33"/>
      <c r="E949" s="102">
        <f t="shared" si="28"/>
        <v>0</v>
      </c>
      <c r="F949" s="103" t="str">
        <f t="shared" si="24"/>
        <v>0 tubes and 0 shuttles</v>
      </c>
      <c r="G949" s="36">
        <f t="shared" si="29"/>
        <v>0</v>
      </c>
      <c r="H949" s="104" t="str">
        <f t="shared" si="25"/>
        <v>0 tubes and 0 shuttles</v>
      </c>
      <c r="I949" s="36">
        <f t="shared" si="26"/>
        <v>0</v>
      </c>
      <c r="J949" s="103" t="str">
        <f t="shared" si="27"/>
        <v>0 tubes and 0 shuttles</v>
      </c>
    </row>
    <row r="950" spans="1:10" ht="12.5" x14ac:dyDescent="0.25">
      <c r="A950" s="32">
        <f>'Profit &amp; Loss'!A950</f>
        <v>0</v>
      </c>
      <c r="B950" s="35">
        <f>'Profit &amp; Loss'!B950</f>
        <v>0</v>
      </c>
      <c r="C950" s="36"/>
      <c r="D950" s="33"/>
      <c r="E950" s="102">
        <f t="shared" si="28"/>
        <v>0</v>
      </c>
      <c r="F950" s="103" t="str">
        <f t="shared" si="24"/>
        <v>0 tubes and 0 shuttles</v>
      </c>
      <c r="G950" s="36">
        <f t="shared" si="29"/>
        <v>0</v>
      </c>
      <c r="H950" s="104" t="str">
        <f t="shared" si="25"/>
        <v>0 tubes and 0 shuttles</v>
      </c>
      <c r="I950" s="36">
        <f t="shared" si="26"/>
        <v>0</v>
      </c>
      <c r="J950" s="103" t="str">
        <f t="shared" si="27"/>
        <v>0 tubes and 0 shuttles</v>
      </c>
    </row>
    <row r="951" spans="1:10" ht="12.5" x14ac:dyDescent="0.25">
      <c r="A951" s="32">
        <f>'Profit &amp; Loss'!A951</f>
        <v>0</v>
      </c>
      <c r="B951" s="35">
        <f>'Profit &amp; Loss'!B951</f>
        <v>0</v>
      </c>
      <c r="C951" s="36"/>
      <c r="D951" s="33"/>
      <c r="E951" s="102">
        <f t="shared" si="28"/>
        <v>0</v>
      </c>
      <c r="F951" s="103" t="str">
        <f t="shared" si="24"/>
        <v>0 tubes and 0 shuttles</v>
      </c>
      <c r="G951" s="36">
        <f t="shared" si="29"/>
        <v>0</v>
      </c>
      <c r="H951" s="104" t="str">
        <f t="shared" si="25"/>
        <v>0 tubes and 0 shuttles</v>
      </c>
      <c r="I951" s="36">
        <f t="shared" si="26"/>
        <v>0</v>
      </c>
      <c r="J951" s="103" t="str">
        <f t="shared" si="27"/>
        <v>0 tubes and 0 shuttles</v>
      </c>
    </row>
    <row r="952" spans="1:10" ht="12.5" x14ac:dyDescent="0.25">
      <c r="A952" s="32">
        <f>'Profit &amp; Loss'!A952</f>
        <v>0</v>
      </c>
      <c r="B952" s="35">
        <f>'Profit &amp; Loss'!B952</f>
        <v>0</v>
      </c>
      <c r="C952" s="36"/>
      <c r="D952" s="33"/>
      <c r="E952" s="102">
        <f t="shared" si="28"/>
        <v>0</v>
      </c>
      <c r="F952" s="103" t="str">
        <f t="shared" si="24"/>
        <v>0 tubes and 0 shuttles</v>
      </c>
      <c r="G952" s="36">
        <f t="shared" si="29"/>
        <v>0</v>
      </c>
      <c r="H952" s="104" t="str">
        <f t="shared" si="25"/>
        <v>0 tubes and 0 shuttles</v>
      </c>
      <c r="I952" s="36">
        <f t="shared" si="26"/>
        <v>0</v>
      </c>
      <c r="J952" s="103" t="str">
        <f t="shared" si="27"/>
        <v>0 tubes and 0 shuttles</v>
      </c>
    </row>
    <row r="953" spans="1:10" ht="12.5" x14ac:dyDescent="0.25">
      <c r="A953" s="32">
        <f>'Profit &amp; Loss'!A953</f>
        <v>0</v>
      </c>
      <c r="B953" s="35">
        <f>'Profit &amp; Loss'!B953</f>
        <v>0</v>
      </c>
      <c r="C953" s="36"/>
      <c r="D953" s="33"/>
      <c r="E953" s="102">
        <f t="shared" si="28"/>
        <v>0</v>
      </c>
      <c r="F953" s="103" t="str">
        <f t="shared" si="24"/>
        <v>0 tubes and 0 shuttles</v>
      </c>
      <c r="G953" s="36">
        <f t="shared" si="29"/>
        <v>0</v>
      </c>
      <c r="H953" s="104" t="str">
        <f t="shared" si="25"/>
        <v>0 tubes and 0 shuttles</v>
      </c>
      <c r="I953" s="36">
        <f t="shared" si="26"/>
        <v>0</v>
      </c>
      <c r="J953" s="103" t="str">
        <f t="shared" si="27"/>
        <v>0 tubes and 0 shuttles</v>
      </c>
    </row>
    <row r="954" spans="1:10" ht="12.5" x14ac:dyDescent="0.25">
      <c r="A954" s="32">
        <f>'Profit &amp; Loss'!A954</f>
        <v>0</v>
      </c>
      <c r="B954" s="35">
        <f>'Profit &amp; Loss'!B954</f>
        <v>0</v>
      </c>
      <c r="C954" s="36"/>
      <c r="D954" s="33"/>
      <c r="E954" s="102">
        <f t="shared" si="28"/>
        <v>0</v>
      </c>
      <c r="F954" s="103" t="str">
        <f t="shared" si="24"/>
        <v>0 tubes and 0 shuttles</v>
      </c>
      <c r="G954" s="36">
        <f t="shared" si="29"/>
        <v>0</v>
      </c>
      <c r="H954" s="104" t="str">
        <f t="shared" si="25"/>
        <v>0 tubes and 0 shuttles</v>
      </c>
      <c r="I954" s="36">
        <f t="shared" si="26"/>
        <v>0</v>
      </c>
      <c r="J954" s="103" t="str">
        <f t="shared" si="27"/>
        <v>0 tubes and 0 shuttles</v>
      </c>
    </row>
    <row r="955" spans="1:10" ht="12.5" x14ac:dyDescent="0.25">
      <c r="A955" s="32">
        <f>'Profit &amp; Loss'!A955</f>
        <v>0</v>
      </c>
      <c r="B955" s="35">
        <f>'Profit &amp; Loss'!B955</f>
        <v>0</v>
      </c>
      <c r="C955" s="36"/>
      <c r="D955" s="33"/>
      <c r="E955" s="102">
        <f t="shared" si="28"/>
        <v>0</v>
      </c>
      <c r="F955" s="103" t="str">
        <f t="shared" si="24"/>
        <v>0 tubes and 0 shuttles</v>
      </c>
      <c r="G955" s="36">
        <f t="shared" si="29"/>
        <v>0</v>
      </c>
      <c r="H955" s="104" t="str">
        <f t="shared" si="25"/>
        <v>0 tubes and 0 shuttles</v>
      </c>
      <c r="I955" s="36">
        <f t="shared" si="26"/>
        <v>0</v>
      </c>
      <c r="J955" s="103" t="str">
        <f t="shared" si="27"/>
        <v>0 tubes and 0 shuttles</v>
      </c>
    </row>
    <row r="956" spans="1:10" ht="12.5" x14ac:dyDescent="0.25">
      <c r="A956" s="32">
        <f>'Profit &amp; Loss'!A956</f>
        <v>0</v>
      </c>
      <c r="B956" s="35">
        <f>'Profit &amp; Loss'!B956</f>
        <v>0</v>
      </c>
      <c r="C956" s="36"/>
      <c r="D956" s="33"/>
      <c r="E956" s="102">
        <f t="shared" si="28"/>
        <v>0</v>
      </c>
      <c r="F956" s="103" t="str">
        <f t="shared" si="24"/>
        <v>0 tubes and 0 shuttles</v>
      </c>
      <c r="G956" s="36">
        <f t="shared" si="29"/>
        <v>0</v>
      </c>
      <c r="H956" s="104" t="str">
        <f t="shared" si="25"/>
        <v>0 tubes and 0 shuttles</v>
      </c>
      <c r="I956" s="36">
        <f t="shared" si="26"/>
        <v>0</v>
      </c>
      <c r="J956" s="103" t="str">
        <f t="shared" si="27"/>
        <v>0 tubes and 0 shuttles</v>
      </c>
    </row>
    <row r="957" spans="1:10" ht="12.5" x14ac:dyDescent="0.25">
      <c r="A957" s="32">
        <f>'Profit &amp; Loss'!A957</f>
        <v>0</v>
      </c>
      <c r="B957" s="35">
        <f>'Profit &amp; Loss'!B957</f>
        <v>0</v>
      </c>
      <c r="C957" s="36"/>
      <c r="D957" s="33"/>
      <c r="E957" s="102">
        <f t="shared" si="28"/>
        <v>0</v>
      </c>
      <c r="F957" s="103" t="str">
        <f t="shared" si="24"/>
        <v>0 tubes and 0 shuttles</v>
      </c>
      <c r="G957" s="36">
        <f t="shared" si="29"/>
        <v>0</v>
      </c>
      <c r="H957" s="104" t="str">
        <f t="shared" si="25"/>
        <v>0 tubes and 0 shuttles</v>
      </c>
      <c r="I957" s="36">
        <f t="shared" si="26"/>
        <v>0</v>
      </c>
      <c r="J957" s="103" t="str">
        <f t="shared" si="27"/>
        <v>0 tubes and 0 shuttles</v>
      </c>
    </row>
    <row r="958" spans="1:10" ht="12.5" x14ac:dyDescent="0.25">
      <c r="A958" s="32">
        <f>'Profit &amp; Loss'!A958</f>
        <v>0</v>
      </c>
      <c r="B958" s="35">
        <f>'Profit &amp; Loss'!B958</f>
        <v>0</v>
      </c>
      <c r="C958" s="36"/>
      <c r="D958" s="33"/>
      <c r="E958" s="102">
        <f t="shared" si="28"/>
        <v>0</v>
      </c>
      <c r="F958" s="103" t="str">
        <f t="shared" si="24"/>
        <v>0 tubes and 0 shuttles</v>
      </c>
      <c r="G958" s="36">
        <f t="shared" si="29"/>
        <v>0</v>
      </c>
      <c r="H958" s="104" t="str">
        <f t="shared" si="25"/>
        <v>0 tubes and 0 shuttles</v>
      </c>
      <c r="I958" s="36">
        <f t="shared" si="26"/>
        <v>0</v>
      </c>
      <c r="J958" s="103" t="str">
        <f t="shared" si="27"/>
        <v>0 tubes and 0 shuttles</v>
      </c>
    </row>
    <row r="959" spans="1:10" ht="12.5" x14ac:dyDescent="0.25">
      <c r="A959" s="32">
        <f>'Profit &amp; Loss'!A959</f>
        <v>0</v>
      </c>
      <c r="B959" s="35">
        <f>'Profit &amp; Loss'!B959</f>
        <v>0</v>
      </c>
      <c r="C959" s="36"/>
      <c r="D959" s="33"/>
      <c r="E959" s="102">
        <f t="shared" si="28"/>
        <v>0</v>
      </c>
      <c r="F959" s="103" t="str">
        <f t="shared" si="24"/>
        <v>0 tubes and 0 shuttles</v>
      </c>
      <c r="G959" s="36">
        <f t="shared" si="29"/>
        <v>0</v>
      </c>
      <c r="H959" s="104" t="str">
        <f t="shared" si="25"/>
        <v>0 tubes and 0 shuttles</v>
      </c>
      <c r="I959" s="36">
        <f t="shared" si="26"/>
        <v>0</v>
      </c>
      <c r="J959" s="103" t="str">
        <f t="shared" si="27"/>
        <v>0 tubes and 0 shuttles</v>
      </c>
    </row>
    <row r="960" spans="1:10" ht="12.5" x14ac:dyDescent="0.25">
      <c r="A960" s="32">
        <f>'Profit &amp; Loss'!A960</f>
        <v>0</v>
      </c>
      <c r="B960" s="35">
        <f>'Profit &amp; Loss'!B960</f>
        <v>0</v>
      </c>
      <c r="C960" s="36"/>
      <c r="D960" s="33"/>
      <c r="E960" s="102">
        <f t="shared" si="28"/>
        <v>0</v>
      </c>
      <c r="F960" s="103" t="str">
        <f t="shared" si="24"/>
        <v>0 tubes and 0 shuttles</v>
      </c>
      <c r="G960" s="36">
        <f t="shared" si="29"/>
        <v>0</v>
      </c>
      <c r="H960" s="104" t="str">
        <f t="shared" si="25"/>
        <v>0 tubes and 0 shuttles</v>
      </c>
      <c r="I960" s="36">
        <f t="shared" si="26"/>
        <v>0</v>
      </c>
      <c r="J960" s="103" t="str">
        <f t="shared" si="27"/>
        <v>0 tubes and 0 shuttles</v>
      </c>
    </row>
    <row r="961" spans="1:10" ht="12.5" x14ac:dyDescent="0.25">
      <c r="A961" s="32">
        <f>'Profit &amp; Loss'!A961</f>
        <v>0</v>
      </c>
      <c r="B961" s="35">
        <f>'Profit &amp; Loss'!B961</f>
        <v>0</v>
      </c>
      <c r="C961" s="36"/>
      <c r="D961" s="33"/>
      <c r="E961" s="102">
        <f t="shared" si="28"/>
        <v>0</v>
      </c>
      <c r="F961" s="103" t="str">
        <f t="shared" si="24"/>
        <v>0 tubes and 0 shuttles</v>
      </c>
      <c r="G961" s="36">
        <f t="shared" si="29"/>
        <v>0</v>
      </c>
      <c r="H961" s="104" t="str">
        <f t="shared" si="25"/>
        <v>0 tubes and 0 shuttles</v>
      </c>
      <c r="I961" s="36">
        <f t="shared" si="26"/>
        <v>0</v>
      </c>
      <c r="J961" s="103" t="str">
        <f t="shared" si="27"/>
        <v>0 tubes and 0 shuttles</v>
      </c>
    </row>
    <row r="962" spans="1:10" ht="12.5" x14ac:dyDescent="0.25">
      <c r="A962" s="32">
        <f>'Profit &amp; Loss'!A962</f>
        <v>0</v>
      </c>
      <c r="B962" s="35">
        <f>'Profit &amp; Loss'!B962</f>
        <v>0</v>
      </c>
      <c r="C962" s="36"/>
      <c r="D962" s="33"/>
      <c r="E962" s="102">
        <f t="shared" si="28"/>
        <v>0</v>
      </c>
      <c r="F962" s="103" t="str">
        <f t="shared" si="24"/>
        <v>0 tubes and 0 shuttles</v>
      </c>
      <c r="G962" s="36">
        <f t="shared" si="29"/>
        <v>0</v>
      </c>
      <c r="H962" s="104" t="str">
        <f t="shared" si="25"/>
        <v>0 tubes and 0 shuttles</v>
      </c>
      <c r="I962" s="36">
        <f t="shared" si="26"/>
        <v>0</v>
      </c>
      <c r="J962" s="103" t="str">
        <f t="shared" si="27"/>
        <v>0 tubes and 0 shuttles</v>
      </c>
    </row>
    <row r="963" spans="1:10" ht="12.5" x14ac:dyDescent="0.25">
      <c r="A963" s="32">
        <f>'Profit &amp; Loss'!A963</f>
        <v>0</v>
      </c>
      <c r="B963" s="35">
        <f>'Profit &amp; Loss'!B963</f>
        <v>0</v>
      </c>
      <c r="C963" s="36"/>
      <c r="D963" s="33"/>
      <c r="E963" s="102">
        <f t="shared" si="28"/>
        <v>0</v>
      </c>
      <c r="F963" s="103" t="str">
        <f t="shared" si="24"/>
        <v>0 tubes and 0 shuttles</v>
      </c>
      <c r="G963" s="36">
        <f t="shared" si="29"/>
        <v>0</v>
      </c>
      <c r="H963" s="104" t="str">
        <f t="shared" si="25"/>
        <v>0 tubes and 0 shuttles</v>
      </c>
      <c r="I963" s="36">
        <f t="shared" si="26"/>
        <v>0</v>
      </c>
      <c r="J963" s="103" t="str">
        <f t="shared" si="27"/>
        <v>0 tubes and 0 shuttles</v>
      </c>
    </row>
    <row r="964" spans="1:10" ht="12.5" x14ac:dyDescent="0.25">
      <c r="A964" s="32">
        <f>'Profit &amp; Loss'!A964</f>
        <v>0</v>
      </c>
      <c r="B964" s="35">
        <f>'Profit &amp; Loss'!B964</f>
        <v>0</v>
      </c>
      <c r="C964" s="36"/>
      <c r="D964" s="33"/>
      <c r="E964" s="102">
        <f t="shared" si="28"/>
        <v>0</v>
      </c>
      <c r="F964" s="103" t="str">
        <f t="shared" si="24"/>
        <v>0 tubes and 0 shuttles</v>
      </c>
      <c r="G964" s="36">
        <f t="shared" si="29"/>
        <v>0</v>
      </c>
      <c r="H964" s="104" t="str">
        <f t="shared" si="25"/>
        <v>0 tubes and 0 shuttles</v>
      </c>
      <c r="I964" s="36">
        <f t="shared" si="26"/>
        <v>0</v>
      </c>
      <c r="J964" s="103" t="str">
        <f t="shared" si="27"/>
        <v>0 tubes and 0 shuttles</v>
      </c>
    </row>
    <row r="965" spans="1:10" ht="12.5" x14ac:dyDescent="0.25">
      <c r="A965" s="32">
        <f>'Profit &amp; Loss'!A965</f>
        <v>0</v>
      </c>
      <c r="B965" s="35">
        <f>'Profit &amp; Loss'!B965</f>
        <v>0</v>
      </c>
      <c r="C965" s="36"/>
      <c r="D965" s="33"/>
      <c r="E965" s="102">
        <f t="shared" si="28"/>
        <v>0</v>
      </c>
      <c r="F965" s="103" t="str">
        <f t="shared" si="24"/>
        <v>0 tubes and 0 shuttles</v>
      </c>
      <c r="G965" s="36">
        <f t="shared" si="29"/>
        <v>0</v>
      </c>
      <c r="H965" s="104" t="str">
        <f t="shared" si="25"/>
        <v>0 tubes and 0 shuttles</v>
      </c>
      <c r="I965" s="36">
        <f t="shared" si="26"/>
        <v>0</v>
      </c>
      <c r="J965" s="103" t="str">
        <f t="shared" si="27"/>
        <v>0 tubes and 0 shuttles</v>
      </c>
    </row>
    <row r="966" spans="1:10" ht="12.5" x14ac:dyDescent="0.25">
      <c r="A966" s="32">
        <f>'Profit &amp; Loss'!A966</f>
        <v>0</v>
      </c>
      <c r="B966" s="35">
        <f>'Profit &amp; Loss'!B966</f>
        <v>0</v>
      </c>
      <c r="C966" s="36"/>
      <c r="D966" s="33"/>
      <c r="E966" s="102">
        <f t="shared" si="28"/>
        <v>0</v>
      </c>
      <c r="F966" s="103" t="str">
        <f t="shared" si="24"/>
        <v>0 tubes and 0 shuttles</v>
      </c>
      <c r="G966" s="36">
        <f t="shared" si="29"/>
        <v>0</v>
      </c>
      <c r="H966" s="104" t="str">
        <f t="shared" si="25"/>
        <v>0 tubes and 0 shuttles</v>
      </c>
      <c r="I966" s="36">
        <f t="shared" si="26"/>
        <v>0</v>
      </c>
      <c r="J966" s="103" t="str">
        <f t="shared" si="27"/>
        <v>0 tubes and 0 shuttles</v>
      </c>
    </row>
    <row r="967" spans="1:10" ht="12.5" x14ac:dyDescent="0.25">
      <c r="A967" s="32">
        <f>'Profit &amp; Loss'!A967</f>
        <v>0</v>
      </c>
      <c r="B967" s="35">
        <f>'Profit &amp; Loss'!B967</f>
        <v>0</v>
      </c>
      <c r="C967" s="36"/>
      <c r="D967" s="33"/>
      <c r="E967" s="102">
        <f t="shared" si="28"/>
        <v>0</v>
      </c>
      <c r="F967" s="103" t="str">
        <f t="shared" si="24"/>
        <v>0 tubes and 0 shuttles</v>
      </c>
      <c r="G967" s="36">
        <f t="shared" si="29"/>
        <v>0</v>
      </c>
      <c r="H967" s="104" t="str">
        <f t="shared" si="25"/>
        <v>0 tubes and 0 shuttles</v>
      </c>
      <c r="I967" s="36">
        <f t="shared" si="26"/>
        <v>0</v>
      </c>
      <c r="J967" s="103" t="str">
        <f t="shared" si="27"/>
        <v>0 tubes and 0 shuttles</v>
      </c>
    </row>
    <row r="968" spans="1:10" ht="12.5" x14ac:dyDescent="0.25">
      <c r="A968" s="32">
        <f>'Profit &amp; Loss'!A968</f>
        <v>0</v>
      </c>
      <c r="B968" s="35">
        <f>'Profit &amp; Loss'!B968</f>
        <v>0</v>
      </c>
      <c r="C968" s="36"/>
      <c r="D968" s="33"/>
      <c r="E968" s="102">
        <f t="shared" si="28"/>
        <v>0</v>
      </c>
      <c r="F968" s="103" t="str">
        <f t="shared" si="24"/>
        <v>0 tubes and 0 shuttles</v>
      </c>
      <c r="G968" s="36">
        <f t="shared" si="29"/>
        <v>0</v>
      </c>
      <c r="H968" s="104" t="str">
        <f t="shared" si="25"/>
        <v>0 tubes and 0 shuttles</v>
      </c>
      <c r="I968" s="36">
        <f t="shared" si="26"/>
        <v>0</v>
      </c>
      <c r="J968" s="103" t="str">
        <f t="shared" si="27"/>
        <v>0 tubes and 0 shuttles</v>
      </c>
    </row>
    <row r="969" spans="1:10" ht="12.5" x14ac:dyDescent="0.25">
      <c r="A969" s="32">
        <f>'Profit &amp; Loss'!A969</f>
        <v>0</v>
      </c>
      <c r="B969" s="35">
        <f>'Profit &amp; Loss'!B969</f>
        <v>0</v>
      </c>
      <c r="C969" s="36"/>
      <c r="D969" s="33"/>
      <c r="E969" s="102">
        <f t="shared" si="28"/>
        <v>0</v>
      </c>
      <c r="F969" s="103" t="str">
        <f t="shared" si="24"/>
        <v>0 tubes and 0 shuttles</v>
      </c>
      <c r="G969" s="36">
        <f t="shared" si="29"/>
        <v>0</v>
      </c>
      <c r="H969" s="104" t="str">
        <f t="shared" si="25"/>
        <v>0 tubes and 0 shuttles</v>
      </c>
      <c r="I969" s="36">
        <f t="shared" si="26"/>
        <v>0</v>
      </c>
      <c r="J969" s="103" t="str">
        <f t="shared" si="27"/>
        <v>0 tubes and 0 shuttles</v>
      </c>
    </row>
    <row r="970" spans="1:10" ht="12.5" x14ac:dyDescent="0.25">
      <c r="A970" s="32">
        <f>'Profit &amp; Loss'!A970</f>
        <v>0</v>
      </c>
      <c r="B970" s="35">
        <f>'Profit &amp; Loss'!B970</f>
        <v>0</v>
      </c>
      <c r="C970" s="36"/>
      <c r="D970" s="33"/>
      <c r="E970" s="102">
        <f t="shared" si="28"/>
        <v>0</v>
      </c>
      <c r="F970" s="103" t="str">
        <f t="shared" si="24"/>
        <v>0 tubes and 0 shuttles</v>
      </c>
      <c r="G970" s="36">
        <f t="shared" si="29"/>
        <v>0</v>
      </c>
      <c r="H970" s="104" t="str">
        <f t="shared" si="25"/>
        <v>0 tubes and 0 shuttles</v>
      </c>
      <c r="I970" s="36">
        <f t="shared" si="26"/>
        <v>0</v>
      </c>
      <c r="J970" s="103" t="str">
        <f t="shared" si="27"/>
        <v>0 tubes and 0 shuttles</v>
      </c>
    </row>
    <row r="971" spans="1:10" ht="12.5" x14ac:dyDescent="0.25">
      <c r="A971" s="32">
        <f>'Profit &amp; Loss'!A971</f>
        <v>0</v>
      </c>
      <c r="B971" s="35">
        <f>'Profit &amp; Loss'!B971</f>
        <v>0</v>
      </c>
      <c r="C971" s="36"/>
      <c r="D971" s="33"/>
      <c r="E971" s="102">
        <f t="shared" si="28"/>
        <v>0</v>
      </c>
      <c r="F971" s="103" t="str">
        <f t="shared" si="24"/>
        <v>0 tubes and 0 shuttles</v>
      </c>
      <c r="G971" s="36">
        <f t="shared" si="29"/>
        <v>0</v>
      </c>
      <c r="H971" s="104" t="str">
        <f t="shared" si="25"/>
        <v>0 tubes and 0 shuttles</v>
      </c>
      <c r="I971" s="36">
        <f t="shared" si="26"/>
        <v>0</v>
      </c>
      <c r="J971" s="103" t="str">
        <f t="shared" si="27"/>
        <v>0 tubes and 0 shuttles</v>
      </c>
    </row>
    <row r="972" spans="1:10" ht="12.5" x14ac:dyDescent="0.25">
      <c r="A972" s="32">
        <f>'Profit &amp; Loss'!A972</f>
        <v>0</v>
      </c>
      <c r="B972" s="35">
        <f>'Profit &amp; Loss'!B972</f>
        <v>0</v>
      </c>
      <c r="C972" s="36"/>
      <c r="D972" s="33"/>
      <c r="E972" s="102">
        <f t="shared" si="28"/>
        <v>0</v>
      </c>
      <c r="F972" s="103" t="str">
        <f t="shared" si="24"/>
        <v>0 tubes and 0 shuttles</v>
      </c>
      <c r="G972" s="36">
        <f t="shared" si="29"/>
        <v>0</v>
      </c>
      <c r="H972" s="104" t="str">
        <f t="shared" si="25"/>
        <v>0 tubes and 0 shuttles</v>
      </c>
      <c r="I972" s="36">
        <f t="shared" si="26"/>
        <v>0</v>
      </c>
      <c r="J972" s="103" t="str">
        <f t="shared" si="27"/>
        <v>0 tubes and 0 shuttles</v>
      </c>
    </row>
    <row r="973" spans="1:10" ht="12.5" x14ac:dyDescent="0.25">
      <c r="A973" s="32">
        <f>'Profit &amp; Loss'!A973</f>
        <v>0</v>
      </c>
      <c r="B973" s="35">
        <f>'Profit &amp; Loss'!B973</f>
        <v>0</v>
      </c>
      <c r="C973" s="36"/>
      <c r="D973" s="33"/>
      <c r="E973" s="102">
        <f t="shared" si="28"/>
        <v>0</v>
      </c>
      <c r="F973" s="103" t="str">
        <f t="shared" si="24"/>
        <v>0 tubes and 0 shuttles</v>
      </c>
      <c r="G973" s="36">
        <f t="shared" si="29"/>
        <v>0</v>
      </c>
      <c r="H973" s="104" t="str">
        <f t="shared" si="25"/>
        <v>0 tubes and 0 shuttles</v>
      </c>
      <c r="I973" s="36">
        <f t="shared" si="26"/>
        <v>0</v>
      </c>
      <c r="J973" s="103" t="str">
        <f t="shared" si="27"/>
        <v>0 tubes and 0 shuttles</v>
      </c>
    </row>
    <row r="974" spans="1:10" ht="12.5" x14ac:dyDescent="0.25">
      <c r="A974" s="32">
        <f>'Profit &amp; Loss'!A974</f>
        <v>0</v>
      </c>
      <c r="B974" s="35">
        <f>'Profit &amp; Loss'!B974</f>
        <v>0</v>
      </c>
      <c r="C974" s="36"/>
      <c r="D974" s="33"/>
      <c r="E974" s="102">
        <f t="shared" si="28"/>
        <v>0</v>
      </c>
      <c r="F974" s="103" t="str">
        <f t="shared" si="24"/>
        <v>0 tubes and 0 shuttles</v>
      </c>
      <c r="G974" s="36">
        <f t="shared" si="29"/>
        <v>0</v>
      </c>
      <c r="H974" s="104" t="str">
        <f t="shared" si="25"/>
        <v>0 tubes and 0 shuttles</v>
      </c>
      <c r="I974" s="36">
        <f t="shared" si="26"/>
        <v>0</v>
      </c>
      <c r="J974" s="103" t="str">
        <f t="shared" si="27"/>
        <v>0 tubes and 0 shuttles</v>
      </c>
    </row>
    <row r="975" spans="1:10" ht="12.5" x14ac:dyDescent="0.25">
      <c r="A975" s="32">
        <f>'Profit &amp; Loss'!A975</f>
        <v>0</v>
      </c>
      <c r="B975" s="35">
        <f>'Profit &amp; Loss'!B975</f>
        <v>0</v>
      </c>
      <c r="C975" s="36"/>
      <c r="D975" s="33"/>
      <c r="E975" s="102">
        <f t="shared" si="28"/>
        <v>0</v>
      </c>
      <c r="F975" s="103" t="str">
        <f t="shared" si="24"/>
        <v>0 tubes and 0 shuttles</v>
      </c>
      <c r="G975" s="36">
        <f t="shared" si="29"/>
        <v>0</v>
      </c>
      <c r="H975" s="104" t="str">
        <f t="shared" si="25"/>
        <v>0 tubes and 0 shuttles</v>
      </c>
      <c r="I975" s="36">
        <f t="shared" si="26"/>
        <v>0</v>
      </c>
      <c r="J975" s="103" t="str">
        <f t="shared" si="27"/>
        <v>0 tubes and 0 shuttles</v>
      </c>
    </row>
    <row r="976" spans="1:10" ht="12.5" x14ac:dyDescent="0.25">
      <c r="A976" s="32">
        <f>'Profit &amp; Loss'!A976</f>
        <v>0</v>
      </c>
      <c r="B976" s="35">
        <f>'Profit &amp; Loss'!B976</f>
        <v>0</v>
      </c>
      <c r="C976" s="36"/>
      <c r="D976" s="33"/>
      <c r="E976" s="102">
        <f t="shared" si="28"/>
        <v>0</v>
      </c>
      <c r="F976" s="103" t="str">
        <f t="shared" si="24"/>
        <v>0 tubes and 0 shuttles</v>
      </c>
      <c r="G976" s="36">
        <f t="shared" si="29"/>
        <v>0</v>
      </c>
      <c r="H976" s="104" t="str">
        <f t="shared" si="25"/>
        <v>0 tubes and 0 shuttles</v>
      </c>
      <c r="I976" s="36">
        <f t="shared" si="26"/>
        <v>0</v>
      </c>
      <c r="J976" s="103" t="str">
        <f t="shared" si="27"/>
        <v>0 tubes and 0 shuttles</v>
      </c>
    </row>
    <row r="977" spans="1:10" ht="12.5" x14ac:dyDescent="0.25">
      <c r="A977" s="32">
        <f>'Profit &amp; Loss'!A977</f>
        <v>0</v>
      </c>
      <c r="B977" s="35">
        <f>'Profit &amp; Loss'!B977</f>
        <v>0</v>
      </c>
      <c r="C977" s="36"/>
      <c r="D977" s="33"/>
      <c r="E977" s="102">
        <f t="shared" si="28"/>
        <v>0</v>
      </c>
      <c r="F977" s="103" t="str">
        <f t="shared" si="24"/>
        <v>0 tubes and 0 shuttles</v>
      </c>
      <c r="G977" s="36">
        <f t="shared" si="29"/>
        <v>0</v>
      </c>
      <c r="H977" s="104" t="str">
        <f t="shared" si="25"/>
        <v>0 tubes and 0 shuttles</v>
      </c>
      <c r="I977" s="36">
        <f t="shared" si="26"/>
        <v>0</v>
      </c>
      <c r="J977" s="103" t="str">
        <f t="shared" si="27"/>
        <v>0 tubes and 0 shuttles</v>
      </c>
    </row>
    <row r="978" spans="1:10" ht="12.5" x14ac:dyDescent="0.25">
      <c r="A978" s="32">
        <f>'Profit &amp; Loss'!A978</f>
        <v>0</v>
      </c>
      <c r="B978" s="35">
        <f>'Profit &amp; Loss'!B978</f>
        <v>0</v>
      </c>
      <c r="C978" s="36"/>
      <c r="D978" s="33"/>
      <c r="E978" s="102">
        <f t="shared" si="28"/>
        <v>0</v>
      </c>
      <c r="F978" s="103" t="str">
        <f t="shared" si="24"/>
        <v>0 tubes and 0 shuttles</v>
      </c>
      <c r="G978" s="36">
        <f t="shared" si="29"/>
        <v>0</v>
      </c>
      <c r="H978" s="104" t="str">
        <f t="shared" si="25"/>
        <v>0 tubes and 0 shuttles</v>
      </c>
      <c r="I978" s="36">
        <f t="shared" si="26"/>
        <v>0</v>
      </c>
      <c r="J978" s="103" t="str">
        <f t="shared" si="27"/>
        <v>0 tubes and 0 shuttles</v>
      </c>
    </row>
    <row r="979" spans="1:10" ht="12.5" x14ac:dyDescent="0.25">
      <c r="A979" s="32">
        <f>'Profit &amp; Loss'!A979</f>
        <v>0</v>
      </c>
      <c r="B979" s="35">
        <f>'Profit &amp; Loss'!B979</f>
        <v>0</v>
      </c>
      <c r="C979" s="36"/>
      <c r="D979" s="33"/>
      <c r="E979" s="102">
        <f t="shared" si="28"/>
        <v>0</v>
      </c>
      <c r="F979" s="103" t="str">
        <f t="shared" si="24"/>
        <v>0 tubes and 0 shuttles</v>
      </c>
      <c r="G979" s="36">
        <f t="shared" si="29"/>
        <v>0</v>
      </c>
      <c r="H979" s="104" t="str">
        <f t="shared" si="25"/>
        <v>0 tubes and 0 shuttles</v>
      </c>
      <c r="I979" s="36">
        <f t="shared" si="26"/>
        <v>0</v>
      </c>
      <c r="J979" s="103" t="str">
        <f t="shared" si="27"/>
        <v>0 tubes and 0 shuttles</v>
      </c>
    </row>
    <row r="980" spans="1:10" ht="12.5" x14ac:dyDescent="0.25">
      <c r="A980" s="32">
        <f>'Profit &amp; Loss'!A980</f>
        <v>0</v>
      </c>
      <c r="B980" s="35">
        <f>'Profit &amp; Loss'!B980</f>
        <v>0</v>
      </c>
      <c r="C980" s="36"/>
      <c r="D980" s="33"/>
      <c r="E980" s="102">
        <f t="shared" si="28"/>
        <v>0</v>
      </c>
      <c r="F980" s="103" t="str">
        <f t="shared" si="24"/>
        <v>0 tubes and 0 shuttles</v>
      </c>
      <c r="G980" s="36">
        <f t="shared" si="29"/>
        <v>0</v>
      </c>
      <c r="H980" s="104" t="str">
        <f t="shared" si="25"/>
        <v>0 tubes and 0 shuttles</v>
      </c>
      <c r="I980" s="36">
        <f t="shared" si="26"/>
        <v>0</v>
      </c>
      <c r="J980" s="103" t="str">
        <f t="shared" si="27"/>
        <v>0 tubes and 0 shuttles</v>
      </c>
    </row>
    <row r="981" spans="1:10" ht="12.5" x14ac:dyDescent="0.25">
      <c r="A981" s="32">
        <f>'Profit &amp; Loss'!A981</f>
        <v>0</v>
      </c>
      <c r="B981" s="35">
        <f>'Profit &amp; Loss'!B981</f>
        <v>0</v>
      </c>
      <c r="C981" s="36"/>
      <c r="D981" s="33"/>
      <c r="E981" s="102">
        <f t="shared" si="28"/>
        <v>0</v>
      </c>
      <c r="F981" s="103" t="str">
        <f t="shared" si="24"/>
        <v>0 tubes and 0 shuttles</v>
      </c>
      <c r="G981" s="36">
        <f t="shared" si="29"/>
        <v>0</v>
      </c>
      <c r="H981" s="104" t="str">
        <f t="shared" si="25"/>
        <v>0 tubes and 0 shuttles</v>
      </c>
      <c r="I981" s="36">
        <f t="shared" si="26"/>
        <v>0</v>
      </c>
      <c r="J981" s="103" t="str">
        <f t="shared" si="27"/>
        <v>0 tubes and 0 shuttles</v>
      </c>
    </row>
    <row r="982" spans="1:10" ht="12.5" x14ac:dyDescent="0.25">
      <c r="A982" s="32">
        <f>'Profit &amp; Loss'!A982</f>
        <v>0</v>
      </c>
      <c r="B982" s="35">
        <f>'Profit &amp; Loss'!B982</f>
        <v>0</v>
      </c>
      <c r="C982" s="36"/>
      <c r="D982" s="33"/>
      <c r="E982" s="102">
        <f t="shared" si="28"/>
        <v>0</v>
      </c>
      <c r="F982" s="103" t="str">
        <f t="shared" si="24"/>
        <v>0 tubes and 0 shuttles</v>
      </c>
      <c r="G982" s="36">
        <f t="shared" si="29"/>
        <v>0</v>
      </c>
      <c r="H982" s="104" t="str">
        <f t="shared" si="25"/>
        <v>0 tubes and 0 shuttles</v>
      </c>
      <c r="I982" s="36">
        <f t="shared" si="26"/>
        <v>0</v>
      </c>
      <c r="J982" s="103" t="str">
        <f t="shared" si="27"/>
        <v>0 tubes and 0 shuttles</v>
      </c>
    </row>
    <row r="983" spans="1:10" ht="12.5" x14ac:dyDescent="0.25">
      <c r="A983" s="32">
        <f>'Profit &amp; Loss'!A983</f>
        <v>0</v>
      </c>
      <c r="B983" s="35">
        <f>'Profit &amp; Loss'!B983</f>
        <v>0</v>
      </c>
      <c r="C983" s="36"/>
      <c r="D983" s="33"/>
      <c r="E983" s="102">
        <f t="shared" si="28"/>
        <v>0</v>
      </c>
      <c r="F983" s="103" t="str">
        <f t="shared" si="24"/>
        <v>0 tubes and 0 shuttles</v>
      </c>
      <c r="G983" s="36">
        <f t="shared" si="29"/>
        <v>0</v>
      </c>
      <c r="H983" s="104" t="str">
        <f t="shared" si="25"/>
        <v>0 tubes and 0 shuttles</v>
      </c>
      <c r="I983" s="36">
        <f t="shared" si="26"/>
        <v>0</v>
      </c>
      <c r="J983" s="103" t="str">
        <f t="shared" si="27"/>
        <v>0 tubes and 0 shuttles</v>
      </c>
    </row>
    <row r="984" spans="1:10" ht="12.5" x14ac:dyDescent="0.25">
      <c r="A984" s="32">
        <f>'Profit &amp; Loss'!A984</f>
        <v>0</v>
      </c>
      <c r="B984" s="35">
        <f>'Profit &amp; Loss'!B984</f>
        <v>0</v>
      </c>
      <c r="C984" s="36"/>
      <c r="D984" s="33"/>
      <c r="E984" s="102">
        <f t="shared" si="28"/>
        <v>0</v>
      </c>
      <c r="F984" s="103" t="str">
        <f t="shared" si="24"/>
        <v>0 tubes and 0 shuttles</v>
      </c>
      <c r="G984" s="36">
        <f t="shared" si="29"/>
        <v>0</v>
      </c>
      <c r="H984" s="104" t="str">
        <f t="shared" si="25"/>
        <v>0 tubes and 0 shuttles</v>
      </c>
      <c r="I984" s="36">
        <f t="shared" si="26"/>
        <v>0</v>
      </c>
      <c r="J984" s="103" t="str">
        <f t="shared" si="27"/>
        <v>0 tubes and 0 shuttles</v>
      </c>
    </row>
    <row r="985" spans="1:10" ht="12.5" x14ac:dyDescent="0.25">
      <c r="A985" s="32">
        <f>'Profit &amp; Loss'!A985</f>
        <v>0</v>
      </c>
      <c r="B985" s="35">
        <f>'Profit &amp; Loss'!B985</f>
        <v>0</v>
      </c>
      <c r="C985" s="36"/>
      <c r="D985" s="33"/>
      <c r="E985" s="102">
        <f t="shared" si="28"/>
        <v>0</v>
      </c>
      <c r="F985" s="103" t="str">
        <f t="shared" si="24"/>
        <v>0 tubes and 0 shuttles</v>
      </c>
      <c r="G985" s="36">
        <f t="shared" si="29"/>
        <v>0</v>
      </c>
      <c r="H985" s="104" t="str">
        <f t="shared" si="25"/>
        <v>0 tubes and 0 shuttles</v>
      </c>
      <c r="I985" s="36">
        <f t="shared" si="26"/>
        <v>0</v>
      </c>
      <c r="J985" s="103" t="str">
        <f t="shared" si="27"/>
        <v>0 tubes and 0 shuttles</v>
      </c>
    </row>
    <row r="986" spans="1:10" ht="12.5" x14ac:dyDescent="0.25">
      <c r="A986" s="32">
        <f>'Profit &amp; Loss'!A986</f>
        <v>0</v>
      </c>
      <c r="B986" s="35">
        <f>'Profit &amp; Loss'!B986</f>
        <v>0</v>
      </c>
      <c r="C986" s="36"/>
      <c r="D986" s="33"/>
      <c r="E986" s="102">
        <f t="shared" si="28"/>
        <v>0</v>
      </c>
      <c r="F986" s="103" t="str">
        <f t="shared" si="24"/>
        <v>0 tubes and 0 shuttles</v>
      </c>
      <c r="G986" s="36">
        <f t="shared" si="29"/>
        <v>0</v>
      </c>
      <c r="H986" s="104" t="str">
        <f t="shared" si="25"/>
        <v>0 tubes and 0 shuttles</v>
      </c>
      <c r="I986" s="36">
        <f t="shared" si="26"/>
        <v>0</v>
      </c>
      <c r="J986" s="103" t="str">
        <f t="shared" si="27"/>
        <v>0 tubes and 0 shuttles</v>
      </c>
    </row>
    <row r="987" spans="1:10" ht="12.5" x14ac:dyDescent="0.25">
      <c r="A987" s="32">
        <f>'Profit &amp; Loss'!A987</f>
        <v>0</v>
      </c>
      <c r="B987" s="35">
        <f>'Profit &amp; Loss'!B987</f>
        <v>0</v>
      </c>
      <c r="C987" s="36"/>
      <c r="D987" s="33"/>
      <c r="E987" s="102">
        <f t="shared" si="28"/>
        <v>0</v>
      </c>
      <c r="F987" s="103" t="str">
        <f t="shared" si="24"/>
        <v>0 tubes and 0 shuttles</v>
      </c>
      <c r="G987" s="36">
        <f t="shared" si="29"/>
        <v>0</v>
      </c>
      <c r="H987" s="104" t="str">
        <f t="shared" si="25"/>
        <v>0 tubes and 0 shuttles</v>
      </c>
      <c r="I987" s="36">
        <f t="shared" si="26"/>
        <v>0</v>
      </c>
      <c r="J987" s="103" t="str">
        <f t="shared" si="27"/>
        <v>0 tubes and 0 shuttles</v>
      </c>
    </row>
    <row r="988" spans="1:10" ht="12.5" x14ac:dyDescent="0.25">
      <c r="A988" s="32">
        <f>'Profit &amp; Loss'!A988</f>
        <v>0</v>
      </c>
      <c r="B988" s="35">
        <f>'Profit &amp; Loss'!B988</f>
        <v>0</v>
      </c>
      <c r="C988" s="36"/>
      <c r="D988" s="33"/>
      <c r="E988" s="102">
        <f t="shared" si="28"/>
        <v>0</v>
      </c>
      <c r="F988" s="103" t="str">
        <f t="shared" si="24"/>
        <v>0 tubes and 0 shuttles</v>
      </c>
      <c r="G988" s="36">
        <f t="shared" si="29"/>
        <v>0</v>
      </c>
      <c r="H988" s="104" t="str">
        <f t="shared" si="25"/>
        <v>0 tubes and 0 shuttles</v>
      </c>
      <c r="I988" s="36">
        <f t="shared" si="26"/>
        <v>0</v>
      </c>
      <c r="J988" s="103" t="str">
        <f t="shared" si="27"/>
        <v>0 tubes and 0 shuttles</v>
      </c>
    </row>
    <row r="989" spans="1:10" ht="12.5" x14ac:dyDescent="0.25">
      <c r="A989" s="49">
        <f>'Profit &amp; Loss'!A989</f>
        <v>0</v>
      </c>
      <c r="B989" s="51">
        <f>'Profit &amp; Loss'!B989</f>
        <v>0</v>
      </c>
      <c r="C989" s="49"/>
      <c r="D989" s="50"/>
      <c r="E989" s="117">
        <f t="shared" si="28"/>
        <v>0</v>
      </c>
      <c r="F989" s="118" t="str">
        <f t="shared" si="24"/>
        <v>0 tubes and 0 shuttles</v>
      </c>
      <c r="G989" s="49">
        <f t="shared" si="29"/>
        <v>0</v>
      </c>
      <c r="H989" s="119" t="str">
        <f t="shared" si="25"/>
        <v>0 tubes and 0 shuttles</v>
      </c>
      <c r="I989" s="49">
        <f t="shared" si="26"/>
        <v>0</v>
      </c>
      <c r="J989" s="118" t="str">
        <f t="shared" si="27"/>
        <v>0 tubes and 0 shuttles</v>
      </c>
    </row>
  </sheetData>
  <mergeCells count="5">
    <mergeCell ref="C4:D4"/>
    <mergeCell ref="E4:H4"/>
    <mergeCell ref="I4:J5"/>
    <mergeCell ref="E5:F5"/>
    <mergeCell ref="G5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showGridLines="0" workbookViewId="0"/>
  </sheetViews>
  <sheetFormatPr defaultColWidth="12.6328125" defaultRowHeight="15.75" customHeight="1" x14ac:dyDescent="0.25"/>
  <cols>
    <col min="3" max="3" width="25.6328125" customWidth="1"/>
  </cols>
  <sheetData>
    <row r="1" spans="1:4" x14ac:dyDescent="0.3">
      <c r="A1" s="1" t="s">
        <v>276</v>
      </c>
    </row>
    <row r="3" spans="1:4" x14ac:dyDescent="0.3">
      <c r="A3" s="121" t="s">
        <v>277</v>
      </c>
      <c r="B3" s="121" t="s">
        <v>278</v>
      </c>
      <c r="C3" s="121" t="s">
        <v>279</v>
      </c>
      <c r="D3" s="121" t="s">
        <v>280</v>
      </c>
    </row>
    <row r="4" spans="1:4" ht="15.75" customHeight="1" x14ac:dyDescent="0.25">
      <c r="A4" s="122" t="s">
        <v>145</v>
      </c>
      <c r="B4" s="122"/>
      <c r="C4" s="122"/>
      <c r="D4" s="122"/>
    </row>
    <row r="5" spans="1:4" ht="15.75" customHeight="1" x14ac:dyDescent="0.25">
      <c r="A5" s="122" t="s">
        <v>101</v>
      </c>
      <c r="B5" s="122"/>
      <c r="C5" s="122"/>
      <c r="D5" s="122"/>
    </row>
    <row r="6" spans="1:4" ht="15.75" customHeight="1" x14ac:dyDescent="0.25">
      <c r="A6" s="122" t="s">
        <v>281</v>
      </c>
      <c r="B6" s="122" t="s">
        <v>282</v>
      </c>
      <c r="C6" s="122"/>
      <c r="D6" s="122"/>
    </row>
    <row r="7" spans="1:4" ht="15.75" customHeight="1" x14ac:dyDescent="0.25">
      <c r="A7" s="122" t="s">
        <v>102</v>
      </c>
      <c r="B7" s="122"/>
      <c r="C7" s="122"/>
      <c r="D7" s="122"/>
    </row>
    <row r="8" spans="1:4" ht="15.75" customHeight="1" x14ac:dyDescent="0.25">
      <c r="A8" s="122" t="s">
        <v>110</v>
      </c>
      <c r="B8" s="122"/>
      <c r="C8" s="122"/>
      <c r="D8" s="122"/>
    </row>
    <row r="9" spans="1:4" ht="15.75" customHeight="1" x14ac:dyDescent="0.25">
      <c r="A9" s="122" t="s">
        <v>103</v>
      </c>
      <c r="B9" s="122"/>
      <c r="C9" s="122"/>
      <c r="D9" s="122"/>
    </row>
    <row r="10" spans="1:4" ht="15.75" customHeight="1" x14ac:dyDescent="0.25">
      <c r="A10" s="122" t="s">
        <v>116</v>
      </c>
      <c r="B10" s="122"/>
      <c r="C10" s="122"/>
      <c r="D10" s="122"/>
    </row>
    <row r="11" spans="1:4" ht="15.75" customHeight="1" x14ac:dyDescent="0.25">
      <c r="A11" s="122" t="s">
        <v>120</v>
      </c>
      <c r="B11" s="122"/>
      <c r="C11" s="122"/>
      <c r="D11" s="122"/>
    </row>
    <row r="12" spans="1:4" ht="15.75" customHeight="1" x14ac:dyDescent="0.25">
      <c r="A12" s="122" t="s">
        <v>100</v>
      </c>
      <c r="B12" s="122"/>
      <c r="C12" s="122"/>
      <c r="D12" s="122"/>
    </row>
    <row r="13" spans="1:4" ht="15.75" customHeight="1" x14ac:dyDescent="0.25">
      <c r="A13" s="122" t="s">
        <v>128</v>
      </c>
      <c r="B13" s="122"/>
      <c r="C13" s="122"/>
      <c r="D13" s="122"/>
    </row>
    <row r="14" spans="1:4" ht="15.75" customHeight="1" x14ac:dyDescent="0.25">
      <c r="A14" s="122" t="s">
        <v>104</v>
      </c>
      <c r="B14" s="122"/>
      <c r="C14" s="122"/>
      <c r="D14" s="122"/>
    </row>
    <row r="15" spans="1:4" ht="15.75" customHeight="1" x14ac:dyDescent="0.25">
      <c r="A15" s="122" t="s">
        <v>204</v>
      </c>
      <c r="B15" s="122"/>
      <c r="C15" s="122"/>
      <c r="D15" s="122"/>
    </row>
    <row r="16" spans="1:4" ht="15.75" customHeight="1" x14ac:dyDescent="0.25">
      <c r="A16" s="122" t="s">
        <v>112</v>
      </c>
      <c r="B16" s="122"/>
      <c r="C16" s="122"/>
      <c r="D16" s="122"/>
    </row>
    <row r="17" spans="1:4" ht="15.75" customHeight="1" x14ac:dyDescent="0.25">
      <c r="A17" s="122" t="s">
        <v>111</v>
      </c>
      <c r="B17" s="122"/>
      <c r="C17" s="122"/>
      <c r="D17" s="122"/>
    </row>
    <row r="18" spans="1:4" ht="15.75" customHeight="1" x14ac:dyDescent="0.25">
      <c r="A18" s="122" t="s">
        <v>119</v>
      </c>
      <c r="B18" s="122"/>
      <c r="C18" s="122"/>
      <c r="D18" s="122"/>
    </row>
    <row r="19" spans="1:4" ht="15.75" customHeight="1" x14ac:dyDescent="0.25">
      <c r="A19" s="122" t="s">
        <v>230</v>
      </c>
      <c r="B19" s="122"/>
      <c r="C19" s="122"/>
      <c r="D19" s="122"/>
    </row>
    <row r="20" spans="1:4" ht="15.75" customHeight="1" x14ac:dyDescent="0.25">
      <c r="A20" s="122" t="s">
        <v>108</v>
      </c>
      <c r="B20" s="122"/>
      <c r="C20" s="122"/>
      <c r="D20" s="122"/>
    </row>
    <row r="21" spans="1:4" ht="15.75" customHeight="1" x14ac:dyDescent="0.25">
      <c r="A21" s="122" t="s">
        <v>109</v>
      </c>
      <c r="B21" s="122"/>
      <c r="C21" s="122"/>
      <c r="D21" s="122"/>
    </row>
    <row r="22" spans="1:4" ht="15.75" customHeight="1" x14ac:dyDescent="0.25">
      <c r="A22" s="122" t="s">
        <v>118</v>
      </c>
      <c r="B22" s="122"/>
      <c r="C22" s="122"/>
      <c r="D22" s="122"/>
    </row>
    <row r="23" spans="1:4" ht="15.75" customHeight="1" x14ac:dyDescent="0.25">
      <c r="A23" s="122" t="s">
        <v>283</v>
      </c>
      <c r="B23" s="122"/>
      <c r="C23" s="122"/>
      <c r="D23" s="122"/>
    </row>
    <row r="24" spans="1:4" ht="15.75" customHeight="1" x14ac:dyDescent="0.25">
      <c r="A24" s="122" t="s">
        <v>105</v>
      </c>
      <c r="B24" s="122"/>
      <c r="C24" s="122"/>
      <c r="D24" s="122"/>
    </row>
    <row r="25" spans="1:4" ht="15.75" customHeight="1" x14ac:dyDescent="0.25">
      <c r="A25" s="122" t="s">
        <v>106</v>
      </c>
      <c r="B25" s="122"/>
      <c r="C25" s="122"/>
      <c r="D25" s="122"/>
    </row>
    <row r="26" spans="1:4" ht="15.75" customHeight="1" x14ac:dyDescent="0.25">
      <c r="A26" s="122" t="s">
        <v>107</v>
      </c>
      <c r="B26" s="122"/>
      <c r="C26" s="122"/>
      <c r="D26" s="122"/>
    </row>
    <row r="27" spans="1:4" ht="15.75" customHeight="1" x14ac:dyDescent="0.25">
      <c r="A27" s="122" t="s">
        <v>113</v>
      </c>
      <c r="B27" s="122" t="s">
        <v>284</v>
      </c>
      <c r="C27" s="122"/>
      <c r="D27" s="122"/>
    </row>
    <row r="28" spans="1:4" ht="12.5" x14ac:dyDescent="0.25">
      <c r="A28" s="122" t="s">
        <v>114</v>
      </c>
      <c r="B28" s="122" t="s">
        <v>285</v>
      </c>
      <c r="C28" s="122" t="s">
        <v>286</v>
      </c>
      <c r="D28" s="122"/>
    </row>
    <row r="29" spans="1:4" ht="12.5" x14ac:dyDescent="0.25">
      <c r="A29" s="122" t="s">
        <v>115</v>
      </c>
      <c r="B29" s="122"/>
      <c r="C29" s="122"/>
      <c r="D29" s="122"/>
    </row>
    <row r="30" spans="1:4" ht="12.5" x14ac:dyDescent="0.25">
      <c r="A30" s="122" t="s">
        <v>117</v>
      </c>
      <c r="B30" s="122"/>
      <c r="C30" s="122"/>
      <c r="D30" s="122"/>
    </row>
    <row r="31" spans="1:4" ht="12.5" x14ac:dyDescent="0.25">
      <c r="A31" s="122" t="s">
        <v>121</v>
      </c>
      <c r="B31" s="122" t="s">
        <v>285</v>
      </c>
      <c r="C31" s="122" t="s">
        <v>287</v>
      </c>
      <c r="D31" s="122"/>
    </row>
    <row r="32" spans="1:4" ht="12.5" x14ac:dyDescent="0.25">
      <c r="A32" s="122" t="s">
        <v>122</v>
      </c>
      <c r="B32" s="122" t="s">
        <v>285</v>
      </c>
      <c r="C32" s="122"/>
      <c r="D32" s="122"/>
    </row>
    <row r="33" spans="1:4" ht="12.5" x14ac:dyDescent="0.25">
      <c r="A33" s="122" t="s">
        <v>131</v>
      </c>
      <c r="B33" s="122"/>
      <c r="C33" s="122"/>
      <c r="D33" s="122"/>
    </row>
    <row r="34" spans="1:4" ht="12.5" x14ac:dyDescent="0.25">
      <c r="A34" s="122" t="s">
        <v>132</v>
      </c>
      <c r="B34" s="122"/>
      <c r="C34" s="122"/>
      <c r="D34" s="122"/>
    </row>
    <row r="35" spans="1:4" ht="12.5" x14ac:dyDescent="0.25">
      <c r="A35" s="122" t="s">
        <v>123</v>
      </c>
      <c r="B35" s="122"/>
      <c r="C35" s="122"/>
      <c r="D35" s="122"/>
    </row>
    <row r="36" spans="1:4" ht="12.5" x14ac:dyDescent="0.25">
      <c r="A36" s="122" t="s">
        <v>124</v>
      </c>
      <c r="B36" s="122"/>
      <c r="C36" s="122"/>
      <c r="D36" s="122"/>
    </row>
    <row r="37" spans="1:4" ht="12.5" x14ac:dyDescent="0.25">
      <c r="A37" s="122" t="s">
        <v>125</v>
      </c>
      <c r="B37" s="122"/>
      <c r="C37" s="122" t="s">
        <v>288</v>
      </c>
      <c r="D37" s="122"/>
    </row>
    <row r="38" spans="1:4" ht="12.5" x14ac:dyDescent="0.25">
      <c r="A38" s="122" t="s">
        <v>126</v>
      </c>
      <c r="B38" s="122"/>
      <c r="C38" s="122" t="s">
        <v>288</v>
      </c>
      <c r="D38" s="122"/>
    </row>
    <row r="39" spans="1:4" ht="12.5" x14ac:dyDescent="0.25">
      <c r="A39" s="122" t="s">
        <v>127</v>
      </c>
      <c r="B39" s="122"/>
      <c r="C39" s="122" t="s">
        <v>288</v>
      </c>
      <c r="D39" s="122"/>
    </row>
    <row r="40" spans="1:4" ht="12.5" x14ac:dyDescent="0.25">
      <c r="A40" s="122" t="s">
        <v>133</v>
      </c>
      <c r="B40" s="122"/>
      <c r="C40" s="122"/>
      <c r="D40" s="122"/>
    </row>
    <row r="41" spans="1:4" ht="12.5" x14ac:dyDescent="0.25">
      <c r="A41" s="122" t="s">
        <v>134</v>
      </c>
      <c r="B41" s="122"/>
      <c r="C41" s="122"/>
      <c r="D41" s="122"/>
    </row>
    <row r="42" spans="1:4" ht="12.5" x14ac:dyDescent="0.25">
      <c r="A42" s="122" t="s">
        <v>129</v>
      </c>
      <c r="B42" s="122"/>
      <c r="C42" s="122"/>
      <c r="D42" s="122"/>
    </row>
    <row r="43" spans="1:4" ht="12.5" x14ac:dyDescent="0.25">
      <c r="A43" s="122" t="s">
        <v>130</v>
      </c>
      <c r="B43" s="122"/>
      <c r="C43" s="122"/>
      <c r="D43" s="122"/>
    </row>
    <row r="44" spans="1:4" ht="12.5" x14ac:dyDescent="0.25">
      <c r="A44" s="122" t="s">
        <v>135</v>
      </c>
      <c r="B44" s="122"/>
      <c r="C44" s="122"/>
      <c r="D44" s="122"/>
    </row>
    <row r="45" spans="1:4" ht="12.5" x14ac:dyDescent="0.25">
      <c r="A45" s="122" t="s">
        <v>136</v>
      </c>
      <c r="B45" s="122"/>
      <c r="C45" s="122"/>
      <c r="D45" s="122"/>
    </row>
    <row r="46" spans="1:4" ht="12.5" x14ac:dyDescent="0.25">
      <c r="A46" s="122" t="s">
        <v>137</v>
      </c>
      <c r="B46" s="122" t="s">
        <v>289</v>
      </c>
      <c r="C46" s="122" t="s">
        <v>290</v>
      </c>
      <c r="D46" s="122"/>
    </row>
    <row r="47" spans="1:4" ht="12.5" x14ac:dyDescent="0.25">
      <c r="A47" s="122" t="s">
        <v>138</v>
      </c>
      <c r="B47" s="122"/>
      <c r="C47" s="122"/>
      <c r="D47" s="122"/>
    </row>
    <row r="48" spans="1:4" ht="12.5" x14ac:dyDescent="0.25">
      <c r="A48" s="122" t="s">
        <v>139</v>
      </c>
      <c r="B48" s="122"/>
      <c r="C48" s="122"/>
      <c r="D48" s="122"/>
    </row>
    <row r="49" spans="1:4" ht="12.5" x14ac:dyDescent="0.25">
      <c r="A49" s="122" t="s">
        <v>189</v>
      </c>
      <c r="B49" s="122" t="s">
        <v>291</v>
      </c>
      <c r="C49" s="122" t="s">
        <v>292</v>
      </c>
      <c r="D49" s="122"/>
    </row>
    <row r="50" spans="1:4" ht="12.5" x14ac:dyDescent="0.25">
      <c r="A50" s="122" t="s">
        <v>143</v>
      </c>
      <c r="B50" s="122"/>
      <c r="C50" s="122"/>
      <c r="D50" s="122"/>
    </row>
    <row r="51" spans="1:4" ht="12.5" x14ac:dyDescent="0.25">
      <c r="A51" s="122" t="s">
        <v>144</v>
      </c>
      <c r="B51" s="122"/>
      <c r="C51" s="122"/>
      <c r="D51" s="122"/>
    </row>
    <row r="52" spans="1:4" ht="12.5" x14ac:dyDescent="0.25">
      <c r="A52" s="122" t="s">
        <v>141</v>
      </c>
      <c r="B52" s="122" t="s">
        <v>285</v>
      </c>
      <c r="C52" s="122" t="s">
        <v>293</v>
      </c>
      <c r="D52" s="122"/>
    </row>
    <row r="53" spans="1:4" ht="12.5" x14ac:dyDescent="0.25">
      <c r="A53" s="122" t="s">
        <v>142</v>
      </c>
      <c r="B53" s="122" t="s">
        <v>285</v>
      </c>
      <c r="C53" s="122" t="s">
        <v>294</v>
      </c>
      <c r="D53" s="122"/>
    </row>
    <row r="54" spans="1:4" ht="12.5" x14ac:dyDescent="0.25">
      <c r="A54" s="122" t="s">
        <v>146</v>
      </c>
      <c r="B54" s="122"/>
      <c r="C54" s="122"/>
      <c r="D54" s="122"/>
    </row>
    <row r="55" spans="1:4" ht="12.5" x14ac:dyDescent="0.25">
      <c r="A55" s="122" t="s">
        <v>147</v>
      </c>
      <c r="B55" s="122" t="s">
        <v>289</v>
      </c>
      <c r="C55" s="122" t="s">
        <v>295</v>
      </c>
      <c r="D55" s="122"/>
    </row>
    <row r="56" spans="1:4" ht="12.5" x14ac:dyDescent="0.25">
      <c r="A56" s="122" t="s">
        <v>148</v>
      </c>
      <c r="B56" s="122"/>
      <c r="C56" s="122"/>
      <c r="D56" s="122"/>
    </row>
    <row r="57" spans="1:4" ht="12.5" x14ac:dyDescent="0.25">
      <c r="A57" s="122" t="s">
        <v>149</v>
      </c>
      <c r="B57" s="122"/>
      <c r="C57" s="122"/>
      <c r="D57" s="122"/>
    </row>
    <row r="58" spans="1:4" ht="12.5" x14ac:dyDescent="0.25">
      <c r="A58" s="122" t="s">
        <v>150</v>
      </c>
      <c r="B58" s="122"/>
      <c r="C58" s="122"/>
      <c r="D58" s="122"/>
    </row>
    <row r="59" spans="1:4" ht="12.5" x14ac:dyDescent="0.25">
      <c r="A59" s="122" t="s">
        <v>151</v>
      </c>
      <c r="B59" s="122"/>
      <c r="C59" s="122"/>
      <c r="D59" s="122"/>
    </row>
    <row r="60" spans="1:4" ht="12.5" x14ac:dyDescent="0.25">
      <c r="A60" s="122" t="s">
        <v>152</v>
      </c>
      <c r="B60" s="122" t="s">
        <v>289</v>
      </c>
      <c r="C60" s="122"/>
      <c r="D60" s="122"/>
    </row>
    <row r="61" spans="1:4" ht="12.5" x14ac:dyDescent="0.25">
      <c r="A61" s="122" t="s">
        <v>153</v>
      </c>
      <c r="B61" s="122" t="s">
        <v>289</v>
      </c>
      <c r="C61" s="122" t="s">
        <v>296</v>
      </c>
      <c r="D61" s="122"/>
    </row>
    <row r="62" spans="1:4" ht="12.5" x14ac:dyDescent="0.25">
      <c r="A62" s="122" t="s">
        <v>297</v>
      </c>
      <c r="B62" s="122"/>
      <c r="C62" s="122"/>
      <c r="D62" s="122"/>
    </row>
    <row r="63" spans="1:4" ht="12.5" x14ac:dyDescent="0.25">
      <c r="A63" s="122" t="s">
        <v>154</v>
      </c>
      <c r="B63" s="122"/>
      <c r="C63" s="122" t="s">
        <v>298</v>
      </c>
      <c r="D63" s="122"/>
    </row>
    <row r="64" spans="1:4" ht="12.5" x14ac:dyDescent="0.25">
      <c r="A64" s="122" t="s">
        <v>155</v>
      </c>
      <c r="B64" s="122" t="s">
        <v>284</v>
      </c>
      <c r="C64" s="122" t="s">
        <v>299</v>
      </c>
      <c r="D64" s="122"/>
    </row>
    <row r="65" spans="1:4" ht="12.5" x14ac:dyDescent="0.25">
      <c r="A65" s="122" t="s">
        <v>156</v>
      </c>
      <c r="B65" s="122"/>
      <c r="C65" s="122"/>
      <c r="D65" s="122"/>
    </row>
    <row r="66" spans="1:4" ht="12.5" x14ac:dyDescent="0.25">
      <c r="A66" s="122" t="s">
        <v>157</v>
      </c>
      <c r="B66" s="122" t="s">
        <v>300</v>
      </c>
      <c r="C66" s="122" t="s">
        <v>301</v>
      </c>
      <c r="D66" s="122"/>
    </row>
    <row r="67" spans="1:4" ht="12.5" x14ac:dyDescent="0.25">
      <c r="A67" s="122" t="s">
        <v>158</v>
      </c>
      <c r="B67" s="122" t="s">
        <v>285</v>
      </c>
      <c r="C67" s="122" t="s">
        <v>302</v>
      </c>
      <c r="D67" s="122"/>
    </row>
    <row r="68" spans="1:4" ht="12.5" x14ac:dyDescent="0.25">
      <c r="A68" s="122" t="s">
        <v>159</v>
      </c>
      <c r="B68" s="122" t="s">
        <v>291</v>
      </c>
      <c r="C68" s="122" t="s">
        <v>303</v>
      </c>
      <c r="D68" s="122"/>
    </row>
    <row r="69" spans="1:4" ht="12.5" x14ac:dyDescent="0.25">
      <c r="A69" s="122" t="s">
        <v>160</v>
      </c>
      <c r="B69" s="122" t="s">
        <v>285</v>
      </c>
      <c r="C69" s="122"/>
      <c r="D69" s="122"/>
    </row>
    <row r="70" spans="1:4" ht="12.5" x14ac:dyDescent="0.25">
      <c r="A70" s="122" t="s">
        <v>161</v>
      </c>
      <c r="B70" s="122" t="s">
        <v>285</v>
      </c>
      <c r="C70" s="122"/>
      <c r="D70" s="122"/>
    </row>
    <row r="71" spans="1:4" ht="12.5" x14ac:dyDescent="0.25">
      <c r="A71" s="122" t="s">
        <v>162</v>
      </c>
      <c r="B71" s="122" t="s">
        <v>304</v>
      </c>
      <c r="C71" s="122" t="s">
        <v>305</v>
      </c>
      <c r="D71" s="122"/>
    </row>
    <row r="72" spans="1:4" ht="12.5" x14ac:dyDescent="0.25">
      <c r="A72" s="122" t="s">
        <v>163</v>
      </c>
      <c r="B72" s="122" t="s">
        <v>285</v>
      </c>
      <c r="C72" s="122" t="s">
        <v>306</v>
      </c>
      <c r="D72" s="122"/>
    </row>
    <row r="73" spans="1:4" ht="12.5" x14ac:dyDescent="0.25">
      <c r="A73" s="122" t="s">
        <v>164</v>
      </c>
      <c r="B73" s="122"/>
      <c r="C73" s="122"/>
      <c r="D73" s="122"/>
    </row>
    <row r="74" spans="1:4" ht="12.5" x14ac:dyDescent="0.25">
      <c r="A74" s="122" t="s">
        <v>165</v>
      </c>
      <c r="B74" s="122" t="s">
        <v>291</v>
      </c>
      <c r="C74" s="122" t="s">
        <v>306</v>
      </c>
      <c r="D74" s="122"/>
    </row>
    <row r="75" spans="1:4" ht="12.5" x14ac:dyDescent="0.25">
      <c r="A75" s="122" t="s">
        <v>166</v>
      </c>
      <c r="B75" s="122"/>
      <c r="C75" s="122"/>
      <c r="D75" s="122"/>
    </row>
    <row r="76" spans="1:4" ht="12.5" x14ac:dyDescent="0.25">
      <c r="A76" s="122" t="s">
        <v>169</v>
      </c>
      <c r="B76" s="122" t="s">
        <v>289</v>
      </c>
      <c r="C76" s="122" t="s">
        <v>307</v>
      </c>
      <c r="D76" s="122"/>
    </row>
    <row r="77" spans="1:4" ht="12.5" x14ac:dyDescent="0.25">
      <c r="A77" s="122" t="s">
        <v>131</v>
      </c>
      <c r="B77" s="122"/>
      <c r="C77" s="122"/>
      <c r="D77" s="122"/>
    </row>
    <row r="78" spans="1:4" ht="12.5" x14ac:dyDescent="0.25">
      <c r="A78" s="122" t="s">
        <v>132</v>
      </c>
      <c r="B78" s="122"/>
      <c r="C78" s="122"/>
      <c r="D78" s="122"/>
    </row>
    <row r="79" spans="1:4" ht="12.5" x14ac:dyDescent="0.25">
      <c r="A79" s="122" t="s">
        <v>178</v>
      </c>
      <c r="B79" s="122"/>
      <c r="C79" s="122"/>
      <c r="D79" s="122"/>
    </row>
    <row r="80" spans="1:4" ht="12.5" x14ac:dyDescent="0.25">
      <c r="A80" s="123" t="s">
        <v>167</v>
      </c>
      <c r="B80" s="122" t="s">
        <v>289</v>
      </c>
      <c r="C80" s="122" t="s">
        <v>308</v>
      </c>
      <c r="D80" s="122"/>
    </row>
    <row r="81" spans="1:4" ht="12.5" x14ac:dyDescent="0.25">
      <c r="A81" s="122" t="s">
        <v>171</v>
      </c>
      <c r="B81" s="122"/>
      <c r="C81" s="122"/>
      <c r="D81" s="122"/>
    </row>
    <row r="82" spans="1:4" ht="12.5" x14ac:dyDescent="0.25">
      <c r="A82" s="122" t="s">
        <v>170</v>
      </c>
      <c r="B82" s="122" t="s">
        <v>289</v>
      </c>
      <c r="C82" s="122" t="s">
        <v>309</v>
      </c>
      <c r="D82" s="122"/>
    </row>
    <row r="83" spans="1:4" ht="12.5" x14ac:dyDescent="0.25">
      <c r="A83" s="122" t="s">
        <v>172</v>
      </c>
      <c r="B83" s="122"/>
      <c r="C83" s="122"/>
      <c r="D83" s="122"/>
    </row>
    <row r="84" spans="1:4" ht="12.5" x14ac:dyDescent="0.25">
      <c r="A84" s="122" t="s">
        <v>173</v>
      </c>
      <c r="B84" s="122"/>
      <c r="C84" s="122" t="s">
        <v>310</v>
      </c>
      <c r="D84" s="122"/>
    </row>
    <row r="85" spans="1:4" ht="12.5" x14ac:dyDescent="0.25">
      <c r="A85" s="122" t="s">
        <v>174</v>
      </c>
      <c r="B85" s="122"/>
      <c r="C85" s="122"/>
      <c r="D85" s="122"/>
    </row>
    <row r="86" spans="1:4" ht="12.5" x14ac:dyDescent="0.25">
      <c r="A86" s="122" t="s">
        <v>175</v>
      </c>
      <c r="B86" s="122"/>
      <c r="C86" s="122"/>
      <c r="D86" s="122"/>
    </row>
    <row r="87" spans="1:4" ht="12.5" x14ac:dyDescent="0.25">
      <c r="A87" s="122" t="s">
        <v>176</v>
      </c>
      <c r="B87" s="122"/>
      <c r="C87" s="122"/>
      <c r="D87" s="122"/>
    </row>
    <row r="88" spans="1:4" ht="12.5" x14ac:dyDescent="0.25">
      <c r="A88" s="122" t="s">
        <v>181</v>
      </c>
      <c r="B88" s="122"/>
      <c r="C88" s="122"/>
      <c r="D88" s="122"/>
    </row>
    <row r="89" spans="1:4" ht="12.5" x14ac:dyDescent="0.25">
      <c r="A89" s="122" t="s">
        <v>177</v>
      </c>
      <c r="B89" s="122"/>
      <c r="C89" s="122"/>
      <c r="D89" s="122"/>
    </row>
    <row r="90" spans="1:4" ht="12.5" x14ac:dyDescent="0.25">
      <c r="A90" s="122" t="s">
        <v>179</v>
      </c>
      <c r="B90" s="122"/>
      <c r="C90" s="122"/>
      <c r="D90" s="122"/>
    </row>
    <row r="91" spans="1:4" ht="12.5" x14ac:dyDescent="0.25">
      <c r="A91" s="122" t="s">
        <v>180</v>
      </c>
      <c r="B91" s="122"/>
      <c r="C91" s="122"/>
      <c r="D91" s="122"/>
    </row>
    <row r="92" spans="1:4" ht="12.5" x14ac:dyDescent="0.25">
      <c r="A92" s="122" t="s">
        <v>183</v>
      </c>
      <c r="B92" s="122" t="s">
        <v>285</v>
      </c>
      <c r="C92" s="122" t="s">
        <v>311</v>
      </c>
      <c r="D92" s="122"/>
    </row>
    <row r="93" spans="1:4" ht="12.5" x14ac:dyDescent="0.25">
      <c r="A93" s="122" t="s">
        <v>185</v>
      </c>
      <c r="B93" s="122"/>
      <c r="C93" s="122"/>
      <c r="D93" s="122"/>
    </row>
    <row r="94" spans="1:4" ht="12.5" x14ac:dyDescent="0.25">
      <c r="A94" s="122" t="s">
        <v>186</v>
      </c>
      <c r="B94" s="122"/>
      <c r="C94" s="122"/>
      <c r="D94" s="122"/>
    </row>
    <row r="95" spans="1:4" ht="12.5" x14ac:dyDescent="0.25">
      <c r="A95" s="122" t="s">
        <v>184</v>
      </c>
      <c r="B95" s="122" t="s">
        <v>285</v>
      </c>
      <c r="C95" s="122" t="s">
        <v>311</v>
      </c>
      <c r="D95" s="122"/>
    </row>
    <row r="96" spans="1:4" ht="12.5" x14ac:dyDescent="0.25">
      <c r="A96" s="122" t="s">
        <v>187</v>
      </c>
      <c r="B96" s="122" t="s">
        <v>285</v>
      </c>
      <c r="C96" s="122" t="s">
        <v>312</v>
      </c>
      <c r="D96" s="122"/>
    </row>
    <row r="97" spans="1:4" ht="12.5" x14ac:dyDescent="0.25">
      <c r="A97" s="122" t="s">
        <v>188</v>
      </c>
      <c r="B97" s="122"/>
      <c r="C97" s="122"/>
      <c r="D97" s="122"/>
    </row>
    <row r="98" spans="1:4" ht="12.5" x14ac:dyDescent="0.25">
      <c r="A98" s="122" t="s">
        <v>190</v>
      </c>
      <c r="B98" s="122"/>
      <c r="C98" s="122"/>
      <c r="D98" s="122"/>
    </row>
    <row r="99" spans="1:4" ht="12.5" x14ac:dyDescent="0.25">
      <c r="A99" s="122" t="s">
        <v>191</v>
      </c>
      <c r="B99" s="122"/>
      <c r="C99" s="122"/>
      <c r="D99" s="122"/>
    </row>
    <row r="100" spans="1:4" ht="12.5" x14ac:dyDescent="0.25">
      <c r="A100" s="122" t="s">
        <v>156</v>
      </c>
      <c r="B100" s="122"/>
      <c r="C100" s="122"/>
      <c r="D100" s="122"/>
    </row>
    <row r="101" spans="1:4" ht="12.5" x14ac:dyDescent="0.25">
      <c r="A101" s="122" t="s">
        <v>192</v>
      </c>
      <c r="B101" s="122" t="s">
        <v>285</v>
      </c>
      <c r="C101" s="122" t="s">
        <v>312</v>
      </c>
      <c r="D101" s="122"/>
    </row>
    <row r="102" spans="1:4" ht="12.5" x14ac:dyDescent="0.25">
      <c r="A102" s="122" t="s">
        <v>193</v>
      </c>
      <c r="B102" s="122" t="s">
        <v>313</v>
      </c>
      <c r="C102" s="122" t="s">
        <v>312</v>
      </c>
      <c r="D102" s="122"/>
    </row>
    <row r="103" spans="1:4" ht="12.5" x14ac:dyDescent="0.25">
      <c r="A103" s="122" t="s">
        <v>194</v>
      </c>
      <c r="B103" s="122" t="s">
        <v>289</v>
      </c>
      <c r="C103" s="122" t="s">
        <v>314</v>
      </c>
      <c r="D103" s="122"/>
    </row>
    <row r="104" spans="1:4" ht="12.5" x14ac:dyDescent="0.25">
      <c r="A104" s="122" t="s">
        <v>195</v>
      </c>
      <c r="B104" s="122"/>
      <c r="C104" s="122"/>
      <c r="D104" s="122"/>
    </row>
    <row r="105" spans="1:4" ht="12.5" x14ac:dyDescent="0.25">
      <c r="A105" s="122" t="s">
        <v>196</v>
      </c>
      <c r="B105" s="122"/>
      <c r="C105" s="122"/>
      <c r="D105" s="122"/>
    </row>
    <row r="106" spans="1:4" ht="12.5" x14ac:dyDescent="0.25">
      <c r="A106" s="122" t="s">
        <v>197</v>
      </c>
      <c r="B106" s="122"/>
      <c r="C106" s="122"/>
      <c r="D106" s="122"/>
    </row>
    <row r="107" spans="1:4" ht="12.5" x14ac:dyDescent="0.25">
      <c r="A107" s="122" t="s">
        <v>199</v>
      </c>
      <c r="B107" s="122"/>
      <c r="C107" s="122"/>
      <c r="D107" s="122"/>
    </row>
    <row r="108" spans="1:4" ht="12.5" x14ac:dyDescent="0.25">
      <c r="A108" s="122" t="s">
        <v>200</v>
      </c>
      <c r="B108" s="122"/>
      <c r="C108" s="122"/>
      <c r="D108" s="122"/>
    </row>
    <row r="109" spans="1:4" ht="12.5" x14ac:dyDescent="0.25">
      <c r="A109" s="122" t="s">
        <v>202</v>
      </c>
      <c r="B109" s="122"/>
      <c r="C109" s="122"/>
      <c r="D109" s="122"/>
    </row>
    <row r="110" spans="1:4" ht="12.5" x14ac:dyDescent="0.25">
      <c r="A110" s="122" t="s">
        <v>203</v>
      </c>
      <c r="B110" s="122"/>
      <c r="C110" s="122"/>
      <c r="D110" s="122"/>
    </row>
    <row r="111" spans="1:4" ht="12.5" x14ac:dyDescent="0.25">
      <c r="A111" s="122" t="s">
        <v>204</v>
      </c>
      <c r="B111" s="122"/>
      <c r="C111" s="122"/>
      <c r="D111" s="122"/>
    </row>
    <row r="112" spans="1:4" ht="12.5" x14ac:dyDescent="0.25">
      <c r="A112" s="122" t="s">
        <v>205</v>
      </c>
      <c r="B112" s="122"/>
      <c r="C112" s="122"/>
      <c r="D112" s="122"/>
    </row>
    <row r="113" spans="1:4" ht="12.5" x14ac:dyDescent="0.25">
      <c r="A113" s="122" t="s">
        <v>206</v>
      </c>
      <c r="B113" s="122"/>
      <c r="C113" s="122"/>
      <c r="D113" s="122"/>
    </row>
    <row r="114" spans="1:4" ht="12.5" x14ac:dyDescent="0.25">
      <c r="A114" s="122" t="s">
        <v>207</v>
      </c>
      <c r="B114" s="122"/>
      <c r="C114" s="122"/>
      <c r="D114" s="122"/>
    </row>
    <row r="115" spans="1:4" ht="12.5" x14ac:dyDescent="0.25">
      <c r="A115" s="122" t="s">
        <v>208</v>
      </c>
      <c r="B115" s="122"/>
      <c r="C115" s="122"/>
      <c r="D115" s="122"/>
    </row>
    <row r="116" spans="1:4" ht="12.5" x14ac:dyDescent="0.25">
      <c r="A116" s="122" t="s">
        <v>149</v>
      </c>
      <c r="B116" s="122"/>
      <c r="C116" s="122"/>
      <c r="D116" s="122"/>
    </row>
    <row r="117" spans="1:4" ht="12.5" x14ac:dyDescent="0.25">
      <c r="A117" s="122" t="s">
        <v>209</v>
      </c>
      <c r="B117" s="122"/>
      <c r="C117" s="122"/>
      <c r="D117" s="122"/>
    </row>
    <row r="118" spans="1:4" ht="12.5" x14ac:dyDescent="0.25">
      <c r="A118" s="122" t="s">
        <v>214</v>
      </c>
      <c r="B118" s="122"/>
      <c r="C118" s="122"/>
      <c r="D118" s="122"/>
    </row>
    <row r="119" spans="1:4" ht="12.5" x14ac:dyDescent="0.25">
      <c r="A119" s="122" t="s">
        <v>210</v>
      </c>
      <c r="B119" s="122"/>
      <c r="C119" s="122"/>
      <c r="D119" s="122"/>
    </row>
    <row r="120" spans="1:4" ht="12.5" x14ac:dyDescent="0.25">
      <c r="A120" s="122" t="s">
        <v>211</v>
      </c>
      <c r="B120" s="122"/>
      <c r="C120" s="122"/>
      <c r="D120" s="122"/>
    </row>
    <row r="121" spans="1:4" ht="12.5" x14ac:dyDescent="0.25">
      <c r="A121" s="122" t="s">
        <v>212</v>
      </c>
      <c r="B121" s="122"/>
      <c r="C121" s="122"/>
      <c r="D121" s="122"/>
    </row>
    <row r="122" spans="1:4" ht="12.5" x14ac:dyDescent="0.25">
      <c r="A122" s="122" t="s">
        <v>213</v>
      </c>
      <c r="B122" s="122"/>
      <c r="C122" s="122"/>
      <c r="D122" s="122"/>
    </row>
    <row r="123" spans="1:4" ht="12.5" x14ac:dyDescent="0.25">
      <c r="A123" s="122" t="s">
        <v>215</v>
      </c>
      <c r="B123" s="122"/>
      <c r="C123" s="122"/>
      <c r="D123" s="122"/>
    </row>
    <row r="124" spans="1:4" ht="12.5" x14ac:dyDescent="0.25">
      <c r="A124" s="122" t="s">
        <v>178</v>
      </c>
      <c r="B124" s="122"/>
      <c r="C124" s="122"/>
      <c r="D124" s="122"/>
    </row>
    <row r="125" spans="1:4" ht="12.5" x14ac:dyDescent="0.25">
      <c r="A125" s="122" t="s">
        <v>216</v>
      </c>
      <c r="B125" s="122"/>
      <c r="C125" s="122"/>
      <c r="D125" s="122"/>
    </row>
    <row r="126" spans="1:4" ht="12.5" x14ac:dyDescent="0.25">
      <c r="A126" s="122" t="s">
        <v>315</v>
      </c>
      <c r="B126" s="122"/>
      <c r="C126" s="122"/>
      <c r="D126" s="122"/>
    </row>
    <row r="127" spans="1:4" ht="12.5" x14ac:dyDescent="0.25">
      <c r="A127" s="122" t="s">
        <v>219</v>
      </c>
      <c r="B127" s="122"/>
      <c r="C127" s="122"/>
      <c r="D127" s="122"/>
    </row>
    <row r="128" spans="1:4" ht="12.5" x14ac:dyDescent="0.25">
      <c r="A128" s="122" t="s">
        <v>218</v>
      </c>
      <c r="B128" s="122"/>
      <c r="C128" s="122"/>
      <c r="D128" s="122"/>
    </row>
    <row r="129" spans="1:4" ht="12.5" x14ac:dyDescent="0.25">
      <c r="A129" s="122" t="s">
        <v>220</v>
      </c>
      <c r="B129" s="122" t="s">
        <v>316</v>
      </c>
      <c r="C129" s="122"/>
      <c r="D129" s="122"/>
    </row>
    <row r="130" spans="1:4" ht="12.5" x14ac:dyDescent="0.25">
      <c r="A130" s="122" t="s">
        <v>217</v>
      </c>
      <c r="B130" s="122"/>
      <c r="C130" s="122" t="s">
        <v>317</v>
      </c>
      <c r="D130" s="122"/>
    </row>
    <row r="131" spans="1:4" ht="12.5" x14ac:dyDescent="0.25">
      <c r="A131" s="122" t="s">
        <v>223</v>
      </c>
      <c r="B131" s="122"/>
      <c r="C131" s="122"/>
      <c r="D131" s="122"/>
    </row>
    <row r="132" spans="1:4" ht="12.5" x14ac:dyDescent="0.25">
      <c r="A132" s="122" t="s">
        <v>222</v>
      </c>
      <c r="B132" s="122"/>
      <c r="C132" s="122"/>
      <c r="D132" s="122"/>
    </row>
    <row r="133" spans="1:4" ht="12.5" x14ac:dyDescent="0.25">
      <c r="A133" s="122" t="s">
        <v>221</v>
      </c>
      <c r="B133" s="122"/>
      <c r="C133" s="122"/>
      <c r="D133" s="122"/>
    </row>
    <row r="134" spans="1:4" ht="12.5" x14ac:dyDescent="0.25">
      <c r="A134" s="122" t="s">
        <v>224</v>
      </c>
      <c r="B134" s="122"/>
      <c r="C134" s="122"/>
      <c r="D134" s="122"/>
    </row>
    <row r="135" spans="1:4" ht="12.5" x14ac:dyDescent="0.25">
      <c r="A135" s="122" t="s">
        <v>225</v>
      </c>
      <c r="B135" s="122"/>
      <c r="C135" s="122"/>
      <c r="D135" s="122"/>
    </row>
    <row r="136" spans="1:4" ht="12.5" x14ac:dyDescent="0.25">
      <c r="A136" s="122" t="s">
        <v>226</v>
      </c>
      <c r="B136" s="122"/>
      <c r="C136" s="122"/>
      <c r="D136" s="122"/>
    </row>
    <row r="137" spans="1:4" ht="12.5" x14ac:dyDescent="0.25">
      <c r="A137" s="122" t="s">
        <v>228</v>
      </c>
      <c r="B137" s="122"/>
      <c r="C137" s="122"/>
      <c r="D137" s="122"/>
    </row>
    <row r="138" spans="1:4" ht="12.5" x14ac:dyDescent="0.25">
      <c r="A138" s="122" t="s">
        <v>227</v>
      </c>
      <c r="B138" s="122"/>
      <c r="C138" s="122"/>
      <c r="D138" s="122"/>
    </row>
    <row r="139" spans="1:4" ht="12.5" x14ac:dyDescent="0.25">
      <c r="A139" s="122" t="s">
        <v>231</v>
      </c>
      <c r="B139" s="122"/>
      <c r="C139" s="122"/>
      <c r="D139" s="122"/>
    </row>
    <row r="140" spans="1:4" ht="12.5" x14ac:dyDescent="0.25">
      <c r="A140" s="122" t="s">
        <v>229</v>
      </c>
      <c r="B140" s="122"/>
      <c r="C140" s="122"/>
      <c r="D140" s="122"/>
    </row>
    <row r="141" spans="1:4" ht="12.5" x14ac:dyDescent="0.25">
      <c r="A141" s="122" t="s">
        <v>232</v>
      </c>
      <c r="B141" s="122"/>
      <c r="C141" s="122"/>
      <c r="D141" s="122"/>
    </row>
    <row r="142" spans="1:4" ht="12.5" x14ac:dyDescent="0.25">
      <c r="A142" s="122" t="s">
        <v>233</v>
      </c>
      <c r="B142" s="122"/>
      <c r="C142" s="122"/>
      <c r="D142" s="122"/>
    </row>
    <row r="143" spans="1:4" ht="12.5" x14ac:dyDescent="0.25">
      <c r="A143" s="122" t="s">
        <v>234</v>
      </c>
      <c r="B143" s="122"/>
      <c r="C143" s="122"/>
      <c r="D143" s="122"/>
    </row>
    <row r="144" spans="1:4" ht="12.5" x14ac:dyDescent="0.25">
      <c r="A144" s="122" t="s">
        <v>235</v>
      </c>
      <c r="B144" s="122"/>
      <c r="C144" s="122"/>
      <c r="D144" s="122"/>
    </row>
    <row r="145" spans="1:4" ht="12.5" x14ac:dyDescent="0.25">
      <c r="A145" s="122" t="s">
        <v>236</v>
      </c>
      <c r="B145" s="122"/>
      <c r="C145" s="122"/>
      <c r="D145" s="122"/>
    </row>
    <row r="146" spans="1:4" ht="12.5" x14ac:dyDescent="0.25">
      <c r="A146" s="122" t="s">
        <v>237</v>
      </c>
      <c r="B146" s="122" t="s">
        <v>318</v>
      </c>
      <c r="C146" s="122"/>
      <c r="D146" s="122"/>
    </row>
    <row r="147" spans="1:4" ht="12.5" x14ac:dyDescent="0.25">
      <c r="A147" s="122" t="s">
        <v>238</v>
      </c>
      <c r="B147" s="122" t="s">
        <v>312</v>
      </c>
      <c r="C147" s="122"/>
      <c r="D147" s="122"/>
    </row>
    <row r="148" spans="1:4" ht="12.5" x14ac:dyDescent="0.25">
      <c r="A148" s="122"/>
      <c r="B148" s="122"/>
      <c r="C148" s="122"/>
      <c r="D148" s="122"/>
    </row>
    <row r="149" spans="1:4" ht="12.5" x14ac:dyDescent="0.25">
      <c r="A149" s="122"/>
      <c r="B149" s="122"/>
      <c r="C149" s="122"/>
      <c r="D149" s="122"/>
    </row>
    <row r="150" spans="1:4" ht="12.5" x14ac:dyDescent="0.25">
      <c r="A150" s="122"/>
      <c r="B150" s="122"/>
      <c r="C150" s="122"/>
      <c r="D150" s="122"/>
    </row>
    <row r="151" spans="1:4" ht="12.5" x14ac:dyDescent="0.25">
      <c r="A151" s="122"/>
      <c r="B151" s="122"/>
      <c r="C151" s="122"/>
      <c r="D151" s="122"/>
    </row>
    <row r="152" spans="1:4" ht="12.5" x14ac:dyDescent="0.25">
      <c r="A152" s="122"/>
      <c r="B152" s="122"/>
      <c r="C152" s="122"/>
      <c r="D152" s="122"/>
    </row>
    <row r="153" spans="1:4" ht="12.5" x14ac:dyDescent="0.25">
      <c r="A153" s="122"/>
      <c r="B153" s="122"/>
      <c r="C153" s="122"/>
      <c r="D153" s="122"/>
    </row>
    <row r="154" spans="1:4" ht="12.5" x14ac:dyDescent="0.25">
      <c r="A154" s="122"/>
      <c r="B154" s="122"/>
      <c r="C154" s="122"/>
      <c r="D154" s="122"/>
    </row>
    <row r="155" spans="1:4" ht="12.5" x14ac:dyDescent="0.25">
      <c r="A155" s="122"/>
      <c r="B155" s="122"/>
      <c r="C155" s="122"/>
      <c r="D155" s="122"/>
    </row>
    <row r="156" spans="1:4" ht="12.5" x14ac:dyDescent="0.25">
      <c r="A156" s="122"/>
      <c r="B156" s="122"/>
      <c r="C156" s="122"/>
      <c r="D156" s="122"/>
    </row>
    <row r="157" spans="1:4" ht="12.5" x14ac:dyDescent="0.25">
      <c r="A157" s="122"/>
      <c r="B157" s="122"/>
      <c r="C157" s="122"/>
      <c r="D157" s="122"/>
    </row>
    <row r="158" spans="1:4" ht="12.5" x14ac:dyDescent="0.25">
      <c r="A158" s="122"/>
      <c r="B158" s="122"/>
      <c r="C158" s="122"/>
      <c r="D158" s="122"/>
    </row>
    <row r="159" spans="1:4" ht="12.5" x14ac:dyDescent="0.25">
      <c r="A159" s="122"/>
      <c r="B159" s="122"/>
      <c r="C159" s="122"/>
      <c r="D159" s="122"/>
    </row>
    <row r="160" spans="1:4" ht="12.5" x14ac:dyDescent="0.25">
      <c r="A160" s="122"/>
      <c r="B160" s="122"/>
      <c r="C160" s="122"/>
      <c r="D160" s="122"/>
    </row>
    <row r="161" spans="1:4" ht="12.5" x14ac:dyDescent="0.25">
      <c r="A161" s="122"/>
      <c r="B161" s="122"/>
      <c r="C161" s="122"/>
      <c r="D161" s="122"/>
    </row>
    <row r="162" spans="1:4" ht="12.5" x14ac:dyDescent="0.25">
      <c r="A162" s="122"/>
      <c r="B162" s="122"/>
      <c r="C162" s="122"/>
      <c r="D162" s="122"/>
    </row>
    <row r="163" spans="1:4" ht="12.5" x14ac:dyDescent="0.25">
      <c r="A163" s="122"/>
      <c r="B163" s="122"/>
      <c r="C163" s="122"/>
      <c r="D163" s="122"/>
    </row>
    <row r="164" spans="1:4" ht="12.5" x14ac:dyDescent="0.25">
      <c r="A164" s="122"/>
      <c r="B164" s="122"/>
      <c r="C164" s="122"/>
      <c r="D164" s="122"/>
    </row>
    <row r="165" spans="1:4" ht="12.5" x14ac:dyDescent="0.25">
      <c r="A165" s="122"/>
      <c r="B165" s="122"/>
      <c r="C165" s="122"/>
      <c r="D165" s="122"/>
    </row>
    <row r="166" spans="1:4" ht="12.5" x14ac:dyDescent="0.25">
      <c r="A166" s="122"/>
      <c r="B166" s="122"/>
      <c r="C166" s="122"/>
      <c r="D166" s="122"/>
    </row>
    <row r="167" spans="1:4" ht="12.5" x14ac:dyDescent="0.25">
      <c r="A167" s="122"/>
      <c r="B167" s="122"/>
      <c r="C167" s="122"/>
      <c r="D167" s="122"/>
    </row>
    <row r="168" spans="1:4" ht="12.5" x14ac:dyDescent="0.25">
      <c r="A168" s="122"/>
      <c r="B168" s="122"/>
      <c r="C168" s="122"/>
      <c r="D168" s="122"/>
    </row>
    <row r="169" spans="1:4" ht="12.5" x14ac:dyDescent="0.25">
      <c r="A169" s="122"/>
      <c r="B169" s="122"/>
      <c r="C169" s="122"/>
      <c r="D169" s="122"/>
    </row>
    <row r="170" spans="1:4" ht="12.5" x14ac:dyDescent="0.25">
      <c r="A170" s="122"/>
      <c r="B170" s="122"/>
      <c r="C170" s="122"/>
      <c r="D170" s="122"/>
    </row>
    <row r="171" spans="1:4" ht="12.5" x14ac:dyDescent="0.25">
      <c r="A171" s="122"/>
      <c r="B171" s="122"/>
      <c r="C171" s="122"/>
      <c r="D171" s="122"/>
    </row>
    <row r="172" spans="1:4" ht="12.5" x14ac:dyDescent="0.25">
      <c r="A172" s="122"/>
      <c r="B172" s="122"/>
      <c r="C172" s="122"/>
      <c r="D172" s="122"/>
    </row>
    <row r="173" spans="1:4" ht="12.5" x14ac:dyDescent="0.25">
      <c r="A173" s="122"/>
      <c r="B173" s="122"/>
      <c r="C173" s="122"/>
      <c r="D173" s="122"/>
    </row>
    <row r="174" spans="1:4" ht="12.5" x14ac:dyDescent="0.25">
      <c r="A174" s="122"/>
      <c r="B174" s="122"/>
      <c r="C174" s="122"/>
      <c r="D174" s="122"/>
    </row>
    <row r="175" spans="1:4" ht="12.5" x14ac:dyDescent="0.25">
      <c r="A175" s="122"/>
      <c r="B175" s="122"/>
      <c r="C175" s="122"/>
      <c r="D175" s="122"/>
    </row>
    <row r="176" spans="1:4" ht="12.5" x14ac:dyDescent="0.25">
      <c r="A176" s="122"/>
      <c r="B176" s="122"/>
      <c r="C176" s="122"/>
      <c r="D176" s="122"/>
    </row>
    <row r="177" spans="1:4" ht="12.5" x14ac:dyDescent="0.25">
      <c r="A177" s="122"/>
      <c r="B177" s="122"/>
      <c r="C177" s="122"/>
      <c r="D177" s="122"/>
    </row>
    <row r="178" spans="1:4" ht="12.5" x14ac:dyDescent="0.25">
      <c r="A178" s="122"/>
      <c r="B178" s="122"/>
      <c r="C178" s="122"/>
      <c r="D178" s="122"/>
    </row>
    <row r="179" spans="1:4" ht="12.5" x14ac:dyDescent="0.25">
      <c r="A179" s="122"/>
      <c r="B179" s="122"/>
      <c r="C179" s="122"/>
      <c r="D179" s="122"/>
    </row>
    <row r="180" spans="1:4" ht="12.5" x14ac:dyDescent="0.25">
      <c r="A180" s="122"/>
      <c r="B180" s="122"/>
      <c r="C180" s="122"/>
      <c r="D180" s="122"/>
    </row>
    <row r="181" spans="1:4" ht="12.5" x14ac:dyDescent="0.25">
      <c r="A181" s="122"/>
      <c r="B181" s="122"/>
      <c r="C181" s="122"/>
      <c r="D181" s="122"/>
    </row>
    <row r="182" spans="1:4" ht="12.5" x14ac:dyDescent="0.25">
      <c r="A182" s="122"/>
      <c r="B182" s="122"/>
      <c r="C182" s="122"/>
      <c r="D182" s="122"/>
    </row>
    <row r="183" spans="1:4" ht="12.5" x14ac:dyDescent="0.25">
      <c r="A183" s="122"/>
      <c r="B183" s="122"/>
      <c r="C183" s="122"/>
      <c r="D183" s="122"/>
    </row>
    <row r="184" spans="1:4" ht="12.5" x14ac:dyDescent="0.25">
      <c r="A184" s="122"/>
      <c r="B184" s="122"/>
      <c r="C184" s="122"/>
      <c r="D184" s="122"/>
    </row>
    <row r="185" spans="1:4" ht="12.5" x14ac:dyDescent="0.25">
      <c r="A185" s="122"/>
      <c r="B185" s="122"/>
      <c r="C185" s="122"/>
      <c r="D185" s="122"/>
    </row>
    <row r="186" spans="1:4" ht="12.5" x14ac:dyDescent="0.25">
      <c r="A186" s="122"/>
      <c r="B186" s="122"/>
      <c r="C186" s="122"/>
      <c r="D186" s="122"/>
    </row>
    <row r="187" spans="1:4" ht="12.5" x14ac:dyDescent="0.25">
      <c r="A187" s="122"/>
      <c r="B187" s="122"/>
      <c r="C187" s="122"/>
      <c r="D187" s="122"/>
    </row>
    <row r="188" spans="1:4" ht="12.5" x14ac:dyDescent="0.25">
      <c r="A188" s="122"/>
      <c r="B188" s="122"/>
      <c r="C188" s="122"/>
      <c r="D188" s="122"/>
    </row>
    <row r="189" spans="1:4" ht="12.5" x14ac:dyDescent="0.25">
      <c r="A189" s="122"/>
      <c r="B189" s="122"/>
      <c r="C189" s="122"/>
      <c r="D189" s="122"/>
    </row>
    <row r="190" spans="1:4" ht="12.5" x14ac:dyDescent="0.25">
      <c r="A190" s="122"/>
      <c r="B190" s="122"/>
      <c r="C190" s="122"/>
      <c r="D190" s="122"/>
    </row>
    <row r="191" spans="1:4" ht="12.5" x14ac:dyDescent="0.25">
      <c r="A191" s="122"/>
      <c r="B191" s="122"/>
      <c r="C191" s="122"/>
      <c r="D191" s="122"/>
    </row>
    <row r="192" spans="1:4" ht="12.5" x14ac:dyDescent="0.25">
      <c r="A192" s="122"/>
      <c r="B192" s="122"/>
      <c r="C192" s="122"/>
      <c r="D192" s="122"/>
    </row>
    <row r="193" spans="1:4" ht="12.5" x14ac:dyDescent="0.25">
      <c r="A193" s="122"/>
      <c r="B193" s="122"/>
      <c r="C193" s="122"/>
      <c r="D193" s="122"/>
    </row>
    <row r="194" spans="1:4" ht="12.5" x14ac:dyDescent="0.25">
      <c r="A194" s="122"/>
      <c r="B194" s="122"/>
      <c r="C194" s="122"/>
      <c r="D194" s="122"/>
    </row>
    <row r="195" spans="1:4" ht="12.5" x14ac:dyDescent="0.25">
      <c r="A195" s="122"/>
      <c r="B195" s="122"/>
      <c r="C195" s="122"/>
      <c r="D195" s="122"/>
    </row>
    <row r="196" spans="1:4" ht="12.5" x14ac:dyDescent="0.25">
      <c r="A196" s="122"/>
      <c r="B196" s="122"/>
      <c r="C196" s="122"/>
      <c r="D196" s="122"/>
    </row>
    <row r="197" spans="1:4" ht="12.5" x14ac:dyDescent="0.25">
      <c r="A197" s="122"/>
      <c r="B197" s="122"/>
      <c r="C197" s="122"/>
      <c r="D197" s="122"/>
    </row>
    <row r="198" spans="1:4" ht="12.5" x14ac:dyDescent="0.25">
      <c r="A198" s="122"/>
      <c r="B198" s="122"/>
      <c r="C198" s="122"/>
      <c r="D198" s="122"/>
    </row>
    <row r="199" spans="1:4" ht="12.5" x14ac:dyDescent="0.25">
      <c r="A199" s="122"/>
      <c r="B199" s="122"/>
      <c r="C199" s="122"/>
      <c r="D199" s="122"/>
    </row>
    <row r="200" spans="1:4" ht="12.5" x14ac:dyDescent="0.25">
      <c r="A200" s="122"/>
      <c r="B200" s="122"/>
      <c r="C200" s="122"/>
      <c r="D200" s="122"/>
    </row>
    <row r="201" spans="1:4" ht="12.5" x14ac:dyDescent="0.25">
      <c r="A201" s="122"/>
      <c r="B201" s="122"/>
      <c r="C201" s="122"/>
      <c r="D201" s="122"/>
    </row>
    <row r="202" spans="1:4" ht="12.5" x14ac:dyDescent="0.25">
      <c r="A202" s="122"/>
      <c r="B202" s="122"/>
      <c r="C202" s="122"/>
      <c r="D202" s="122"/>
    </row>
    <row r="203" spans="1:4" ht="12.5" x14ac:dyDescent="0.25">
      <c r="A203" s="122"/>
      <c r="B203" s="122"/>
      <c r="C203" s="122"/>
      <c r="D203" s="122"/>
    </row>
    <row r="204" spans="1:4" ht="12.5" x14ac:dyDescent="0.25">
      <c r="A204" s="122"/>
      <c r="B204" s="122"/>
      <c r="C204" s="122"/>
      <c r="D204" s="122"/>
    </row>
    <row r="205" spans="1:4" ht="12.5" x14ac:dyDescent="0.25">
      <c r="A205" s="122"/>
      <c r="B205" s="122"/>
      <c r="C205" s="122"/>
      <c r="D205" s="122"/>
    </row>
    <row r="206" spans="1:4" ht="12.5" x14ac:dyDescent="0.25">
      <c r="A206" s="122"/>
      <c r="B206" s="122"/>
      <c r="C206" s="122"/>
      <c r="D206" s="122"/>
    </row>
    <row r="207" spans="1:4" ht="12.5" x14ac:dyDescent="0.25">
      <c r="A207" s="122"/>
      <c r="B207" s="122"/>
      <c r="C207" s="122"/>
      <c r="D207" s="122"/>
    </row>
    <row r="208" spans="1:4" ht="12.5" x14ac:dyDescent="0.25">
      <c r="A208" s="122"/>
      <c r="B208" s="122"/>
      <c r="C208" s="122"/>
      <c r="D208" s="122"/>
    </row>
    <row r="209" spans="1:4" ht="12.5" x14ac:dyDescent="0.25">
      <c r="A209" s="122"/>
      <c r="B209" s="122"/>
      <c r="C209" s="122"/>
      <c r="D209" s="122"/>
    </row>
    <row r="210" spans="1:4" ht="12.5" x14ac:dyDescent="0.25">
      <c r="A210" s="122"/>
      <c r="B210" s="122"/>
      <c r="C210" s="122"/>
      <c r="D210" s="122"/>
    </row>
    <row r="211" spans="1:4" ht="12.5" x14ac:dyDescent="0.25">
      <c r="A211" s="122"/>
      <c r="B211" s="122"/>
      <c r="C211" s="122"/>
      <c r="D211" s="122"/>
    </row>
    <row r="212" spans="1:4" ht="12.5" x14ac:dyDescent="0.25">
      <c r="A212" s="122"/>
      <c r="B212" s="122"/>
      <c r="C212" s="122"/>
      <c r="D212" s="122"/>
    </row>
    <row r="213" spans="1:4" ht="12.5" x14ac:dyDescent="0.25">
      <c r="A213" s="122"/>
      <c r="B213" s="122"/>
      <c r="C213" s="122"/>
      <c r="D213" s="122"/>
    </row>
    <row r="214" spans="1:4" ht="12.5" x14ac:dyDescent="0.25">
      <c r="A214" s="122"/>
      <c r="B214" s="122"/>
      <c r="C214" s="122"/>
      <c r="D214" s="122"/>
    </row>
    <row r="215" spans="1:4" ht="12.5" x14ac:dyDescent="0.25">
      <c r="A215" s="122"/>
      <c r="B215" s="122"/>
      <c r="C215" s="122"/>
      <c r="D215" s="122"/>
    </row>
    <row r="216" spans="1:4" ht="12.5" x14ac:dyDescent="0.25">
      <c r="A216" s="122"/>
      <c r="B216" s="122"/>
      <c r="C216" s="122"/>
      <c r="D216" s="122"/>
    </row>
    <row r="217" spans="1:4" ht="12.5" x14ac:dyDescent="0.25">
      <c r="A217" s="122"/>
      <c r="B217" s="122"/>
      <c r="C217" s="122"/>
      <c r="D217" s="122"/>
    </row>
    <row r="218" spans="1:4" ht="12.5" x14ac:dyDescent="0.25">
      <c r="A218" s="122"/>
      <c r="B218" s="122"/>
      <c r="C218" s="122"/>
      <c r="D218" s="122"/>
    </row>
    <row r="219" spans="1:4" ht="12.5" x14ac:dyDescent="0.25">
      <c r="A219" s="122"/>
      <c r="B219" s="122"/>
      <c r="C219" s="122"/>
      <c r="D219" s="122"/>
    </row>
    <row r="220" spans="1:4" ht="12.5" x14ac:dyDescent="0.25">
      <c r="A220" s="122"/>
      <c r="B220" s="122"/>
      <c r="C220" s="122"/>
      <c r="D220" s="122"/>
    </row>
    <row r="221" spans="1:4" ht="12.5" x14ac:dyDescent="0.25">
      <c r="A221" s="122"/>
      <c r="B221" s="122"/>
      <c r="C221" s="122"/>
      <c r="D221" s="122"/>
    </row>
    <row r="222" spans="1:4" ht="12.5" x14ac:dyDescent="0.25">
      <c r="A222" s="122"/>
      <c r="B222" s="122"/>
      <c r="C222" s="122"/>
      <c r="D222" s="122"/>
    </row>
    <row r="223" spans="1:4" ht="12.5" x14ac:dyDescent="0.25">
      <c r="A223" s="122"/>
      <c r="B223" s="122"/>
      <c r="C223" s="122"/>
      <c r="D223" s="122"/>
    </row>
    <row r="224" spans="1:4" ht="12.5" x14ac:dyDescent="0.25">
      <c r="A224" s="122"/>
      <c r="B224" s="122"/>
      <c r="C224" s="122"/>
      <c r="D224" s="122"/>
    </row>
    <row r="225" spans="1:4" ht="12.5" x14ac:dyDescent="0.25">
      <c r="A225" s="122"/>
      <c r="B225" s="122"/>
      <c r="C225" s="122"/>
      <c r="D225" s="122"/>
    </row>
    <row r="226" spans="1:4" ht="12.5" x14ac:dyDescent="0.25">
      <c r="A226" s="122"/>
      <c r="B226" s="122"/>
      <c r="C226" s="122"/>
      <c r="D226" s="122"/>
    </row>
    <row r="227" spans="1:4" ht="12.5" x14ac:dyDescent="0.25">
      <c r="A227" s="122"/>
      <c r="B227" s="122"/>
      <c r="C227" s="122"/>
      <c r="D227" s="122"/>
    </row>
    <row r="228" spans="1:4" ht="12.5" x14ac:dyDescent="0.25">
      <c r="A228" s="122"/>
      <c r="B228" s="122"/>
      <c r="C228" s="122"/>
      <c r="D228" s="122"/>
    </row>
    <row r="229" spans="1:4" ht="12.5" x14ac:dyDescent="0.25">
      <c r="A229" s="122"/>
      <c r="B229" s="122"/>
      <c r="C229" s="122"/>
      <c r="D229" s="122"/>
    </row>
    <row r="230" spans="1:4" ht="12.5" x14ac:dyDescent="0.25">
      <c r="A230" s="122"/>
      <c r="B230" s="122"/>
      <c r="C230" s="122"/>
      <c r="D230" s="122"/>
    </row>
    <row r="231" spans="1:4" ht="12.5" x14ac:dyDescent="0.25">
      <c r="A231" s="122"/>
      <c r="B231" s="122"/>
      <c r="C231" s="122"/>
      <c r="D231" s="122"/>
    </row>
    <row r="232" spans="1:4" ht="12.5" x14ac:dyDescent="0.25">
      <c r="A232" s="122"/>
      <c r="B232" s="122"/>
      <c r="C232" s="122"/>
      <c r="D232" s="122"/>
    </row>
    <row r="233" spans="1:4" ht="12.5" x14ac:dyDescent="0.25">
      <c r="A233" s="122"/>
      <c r="B233" s="122"/>
      <c r="C233" s="122"/>
      <c r="D233" s="122"/>
    </row>
    <row r="234" spans="1:4" ht="12.5" x14ac:dyDescent="0.25">
      <c r="A234" s="122"/>
      <c r="B234" s="122"/>
      <c r="C234" s="122"/>
      <c r="D234" s="122"/>
    </row>
    <row r="235" spans="1:4" ht="12.5" x14ac:dyDescent="0.25">
      <c r="A235" s="122"/>
      <c r="B235" s="122"/>
      <c r="C235" s="122"/>
      <c r="D235" s="122"/>
    </row>
    <row r="236" spans="1:4" ht="12.5" x14ac:dyDescent="0.25">
      <c r="A236" s="122"/>
      <c r="B236" s="122"/>
      <c r="C236" s="122"/>
      <c r="D236" s="122"/>
    </row>
    <row r="237" spans="1:4" ht="12.5" x14ac:dyDescent="0.25">
      <c r="A237" s="122"/>
      <c r="B237" s="122"/>
      <c r="C237" s="122"/>
      <c r="D237" s="122"/>
    </row>
    <row r="238" spans="1:4" ht="12.5" x14ac:dyDescent="0.25">
      <c r="A238" s="122"/>
      <c r="B238" s="122"/>
      <c r="C238" s="122"/>
      <c r="D238" s="122"/>
    </row>
    <row r="239" spans="1:4" ht="12.5" x14ac:dyDescent="0.25">
      <c r="A239" s="122"/>
      <c r="B239" s="122"/>
      <c r="C239" s="122"/>
      <c r="D239" s="122"/>
    </row>
    <row r="240" spans="1:4" ht="12.5" x14ac:dyDescent="0.25">
      <c r="A240" s="122"/>
      <c r="B240" s="122"/>
      <c r="C240" s="122"/>
      <c r="D240" s="122"/>
    </row>
    <row r="241" spans="1:4" ht="12.5" x14ac:dyDescent="0.25">
      <c r="A241" s="122"/>
      <c r="B241" s="122"/>
      <c r="C241" s="122"/>
      <c r="D241" s="122"/>
    </row>
    <row r="242" spans="1:4" ht="12.5" x14ac:dyDescent="0.25">
      <c r="A242" s="122"/>
      <c r="B242" s="122"/>
      <c r="C242" s="122"/>
      <c r="D242" s="122"/>
    </row>
    <row r="243" spans="1:4" ht="12.5" x14ac:dyDescent="0.25">
      <c r="A243" s="122"/>
      <c r="B243" s="122"/>
      <c r="C243" s="122"/>
      <c r="D243" s="122"/>
    </row>
    <row r="244" spans="1:4" ht="12.5" x14ac:dyDescent="0.25">
      <c r="A244" s="122"/>
      <c r="B244" s="122"/>
      <c r="C244" s="122"/>
      <c r="D244" s="122"/>
    </row>
    <row r="245" spans="1:4" ht="12.5" x14ac:dyDescent="0.25">
      <c r="A245" s="122"/>
      <c r="B245" s="122"/>
      <c r="C245" s="122"/>
      <c r="D245" s="122"/>
    </row>
    <row r="246" spans="1:4" ht="12.5" x14ac:dyDescent="0.25">
      <c r="A246" s="122"/>
      <c r="B246" s="122"/>
      <c r="C246" s="122"/>
      <c r="D246" s="122"/>
    </row>
    <row r="247" spans="1:4" ht="12.5" x14ac:dyDescent="0.25">
      <c r="A247" s="122"/>
      <c r="B247" s="122"/>
      <c r="C247" s="122"/>
      <c r="D247" s="122"/>
    </row>
    <row r="248" spans="1:4" ht="12.5" x14ac:dyDescent="0.25">
      <c r="A248" s="122"/>
      <c r="B248" s="122"/>
      <c r="C248" s="122"/>
      <c r="D248" s="122"/>
    </row>
    <row r="249" spans="1:4" ht="12.5" x14ac:dyDescent="0.25">
      <c r="A249" s="122"/>
      <c r="B249" s="122"/>
      <c r="C249" s="122"/>
      <c r="D249" s="122"/>
    </row>
    <row r="250" spans="1:4" ht="12.5" x14ac:dyDescent="0.25">
      <c r="A250" s="122"/>
      <c r="B250" s="122"/>
      <c r="C250" s="122"/>
      <c r="D250" s="122"/>
    </row>
    <row r="251" spans="1:4" ht="12.5" x14ac:dyDescent="0.25">
      <c r="A251" s="122"/>
      <c r="B251" s="122"/>
      <c r="C251" s="122"/>
      <c r="D251" s="122"/>
    </row>
    <row r="252" spans="1:4" ht="12.5" x14ac:dyDescent="0.25">
      <c r="A252" s="122"/>
      <c r="B252" s="122"/>
      <c r="C252" s="122"/>
      <c r="D252" s="122"/>
    </row>
    <row r="253" spans="1:4" ht="12.5" x14ac:dyDescent="0.25">
      <c r="A253" s="122"/>
      <c r="B253" s="122"/>
      <c r="C253" s="122"/>
      <c r="D253" s="122"/>
    </row>
    <row r="254" spans="1:4" ht="12.5" x14ac:dyDescent="0.25">
      <c r="A254" s="122"/>
      <c r="B254" s="122"/>
      <c r="C254" s="122"/>
      <c r="D254" s="122"/>
    </row>
    <row r="255" spans="1:4" ht="12.5" x14ac:dyDescent="0.25">
      <c r="A255" s="122"/>
      <c r="B255" s="122"/>
      <c r="C255" s="122"/>
      <c r="D255" s="122"/>
    </row>
    <row r="256" spans="1:4" ht="12.5" x14ac:dyDescent="0.25">
      <c r="A256" s="122"/>
      <c r="B256" s="122"/>
      <c r="C256" s="122"/>
      <c r="D256" s="122"/>
    </row>
    <row r="257" spans="1:4" ht="12.5" x14ac:dyDescent="0.25">
      <c r="A257" s="122"/>
      <c r="B257" s="122"/>
      <c r="C257" s="122"/>
      <c r="D257" s="122"/>
    </row>
    <row r="258" spans="1:4" ht="12.5" x14ac:dyDescent="0.25">
      <c r="A258" s="122"/>
      <c r="B258" s="122"/>
      <c r="C258" s="122"/>
      <c r="D258" s="122"/>
    </row>
    <row r="259" spans="1:4" ht="12.5" x14ac:dyDescent="0.25">
      <c r="A259" s="122"/>
      <c r="B259" s="122"/>
      <c r="C259" s="122"/>
      <c r="D259" s="122"/>
    </row>
    <row r="260" spans="1:4" ht="12.5" x14ac:dyDescent="0.25">
      <c r="A260" s="122"/>
      <c r="B260" s="122"/>
      <c r="C260" s="122"/>
      <c r="D260" s="122"/>
    </row>
    <row r="261" spans="1:4" ht="12.5" x14ac:dyDescent="0.25">
      <c r="A261" s="122"/>
      <c r="B261" s="122"/>
      <c r="C261" s="122"/>
      <c r="D261" s="122"/>
    </row>
    <row r="262" spans="1:4" ht="12.5" x14ac:dyDescent="0.25">
      <c r="A262" s="122"/>
      <c r="B262" s="122"/>
      <c r="C262" s="122"/>
      <c r="D262" s="122"/>
    </row>
    <row r="263" spans="1:4" ht="12.5" x14ac:dyDescent="0.25">
      <c r="A263" s="122"/>
      <c r="B263" s="122"/>
      <c r="C263" s="122"/>
      <c r="D263" s="122"/>
    </row>
    <row r="264" spans="1:4" ht="12.5" x14ac:dyDescent="0.25">
      <c r="A264" s="122"/>
      <c r="B264" s="122"/>
      <c r="C264" s="122"/>
      <c r="D264" s="122"/>
    </row>
    <row r="265" spans="1:4" ht="12.5" x14ac:dyDescent="0.25">
      <c r="A265" s="122"/>
      <c r="B265" s="122"/>
      <c r="C265" s="122"/>
      <c r="D265" s="122"/>
    </row>
    <row r="266" spans="1:4" ht="12.5" x14ac:dyDescent="0.25">
      <c r="A266" s="122"/>
      <c r="B266" s="122"/>
      <c r="C266" s="122"/>
      <c r="D266" s="122"/>
    </row>
    <row r="267" spans="1:4" ht="12.5" x14ac:dyDescent="0.25">
      <c r="A267" s="122"/>
      <c r="B267" s="122"/>
      <c r="C267" s="122"/>
      <c r="D267" s="122"/>
    </row>
    <row r="268" spans="1:4" ht="12.5" x14ac:dyDescent="0.25">
      <c r="A268" s="122"/>
      <c r="B268" s="122"/>
      <c r="C268" s="122"/>
      <c r="D268" s="122"/>
    </row>
    <row r="269" spans="1:4" ht="12.5" x14ac:dyDescent="0.25">
      <c r="A269" s="122"/>
      <c r="B269" s="122"/>
      <c r="C269" s="122"/>
      <c r="D269" s="122"/>
    </row>
    <row r="270" spans="1:4" ht="12.5" x14ac:dyDescent="0.25">
      <c r="A270" s="122"/>
      <c r="B270" s="122"/>
      <c r="C270" s="122"/>
      <c r="D270" s="122"/>
    </row>
    <row r="271" spans="1:4" ht="12.5" x14ac:dyDescent="0.25">
      <c r="A271" s="122"/>
      <c r="B271" s="122"/>
      <c r="C271" s="122"/>
      <c r="D271" s="122"/>
    </row>
    <row r="272" spans="1:4" ht="12.5" x14ac:dyDescent="0.25">
      <c r="A272" s="122"/>
      <c r="B272" s="122"/>
      <c r="C272" s="122"/>
      <c r="D272" s="122"/>
    </row>
    <row r="273" spans="1:4" ht="12.5" x14ac:dyDescent="0.25">
      <c r="A273" s="122"/>
      <c r="B273" s="122"/>
      <c r="C273" s="122"/>
      <c r="D273" s="122"/>
    </row>
    <row r="274" spans="1:4" ht="12.5" x14ac:dyDescent="0.25">
      <c r="A274" s="122"/>
      <c r="B274" s="122"/>
      <c r="C274" s="122"/>
      <c r="D274" s="122"/>
    </row>
    <row r="275" spans="1:4" ht="12.5" x14ac:dyDescent="0.25">
      <c r="A275" s="122"/>
      <c r="B275" s="122"/>
      <c r="C275" s="122"/>
      <c r="D275" s="122"/>
    </row>
    <row r="276" spans="1:4" ht="12.5" x14ac:dyDescent="0.25">
      <c r="A276" s="122"/>
      <c r="B276" s="122"/>
      <c r="C276" s="122"/>
      <c r="D276" s="122"/>
    </row>
    <row r="277" spans="1:4" ht="12.5" x14ac:dyDescent="0.25">
      <c r="A277" s="122"/>
      <c r="B277" s="122"/>
      <c r="C277" s="122"/>
      <c r="D277" s="122"/>
    </row>
    <row r="278" spans="1:4" ht="12.5" x14ac:dyDescent="0.25">
      <c r="A278" s="122"/>
      <c r="B278" s="122"/>
      <c r="C278" s="122"/>
      <c r="D278" s="122"/>
    </row>
    <row r="279" spans="1:4" ht="12.5" x14ac:dyDescent="0.25">
      <c r="A279" s="122"/>
      <c r="B279" s="122"/>
      <c r="C279" s="122"/>
      <c r="D279" s="122"/>
    </row>
    <row r="280" spans="1:4" ht="12.5" x14ac:dyDescent="0.25">
      <c r="A280" s="122"/>
      <c r="B280" s="122"/>
      <c r="C280" s="122"/>
      <c r="D280" s="122"/>
    </row>
    <row r="281" spans="1:4" ht="12.5" x14ac:dyDescent="0.25">
      <c r="A281" s="122"/>
      <c r="B281" s="122"/>
      <c r="C281" s="122"/>
      <c r="D281" s="122"/>
    </row>
    <row r="282" spans="1:4" ht="12.5" x14ac:dyDescent="0.25">
      <c r="A282" s="122"/>
      <c r="B282" s="122"/>
      <c r="C282" s="122"/>
      <c r="D282" s="122"/>
    </row>
    <row r="283" spans="1:4" ht="12.5" x14ac:dyDescent="0.25">
      <c r="A283" s="122"/>
      <c r="B283" s="122"/>
      <c r="C283" s="122"/>
      <c r="D283" s="122"/>
    </row>
    <row r="284" spans="1:4" ht="12.5" x14ac:dyDescent="0.25">
      <c r="A284" s="122"/>
      <c r="B284" s="122"/>
      <c r="C284" s="122"/>
      <c r="D284" s="122"/>
    </row>
    <row r="285" spans="1:4" ht="12.5" x14ac:dyDescent="0.25">
      <c r="A285" s="122"/>
      <c r="B285" s="122"/>
      <c r="C285" s="122"/>
      <c r="D285" s="122"/>
    </row>
    <row r="286" spans="1:4" ht="12.5" x14ac:dyDescent="0.25">
      <c r="A286" s="122"/>
      <c r="B286" s="122"/>
      <c r="C286" s="122"/>
      <c r="D286" s="122"/>
    </row>
    <row r="287" spans="1:4" ht="12.5" x14ac:dyDescent="0.25">
      <c r="A287" s="122"/>
      <c r="B287" s="122"/>
      <c r="C287" s="122"/>
      <c r="D287" s="122"/>
    </row>
    <row r="288" spans="1:4" ht="12.5" x14ac:dyDescent="0.25">
      <c r="A288" s="122"/>
      <c r="B288" s="122"/>
      <c r="C288" s="122"/>
      <c r="D288" s="122"/>
    </row>
    <row r="289" spans="1:4" ht="12.5" x14ac:dyDescent="0.25">
      <c r="A289" s="122"/>
      <c r="B289" s="122"/>
      <c r="C289" s="122"/>
      <c r="D289" s="122"/>
    </row>
    <row r="290" spans="1:4" ht="12.5" x14ac:dyDescent="0.25">
      <c r="A290" s="122"/>
      <c r="B290" s="122"/>
      <c r="C290" s="122"/>
      <c r="D290" s="122"/>
    </row>
    <row r="291" spans="1:4" ht="12.5" x14ac:dyDescent="0.25">
      <c r="A291" s="122"/>
      <c r="B291" s="122"/>
      <c r="C291" s="122"/>
      <c r="D291" s="122"/>
    </row>
    <row r="292" spans="1:4" ht="12.5" x14ac:dyDescent="0.25">
      <c r="A292" s="122"/>
      <c r="B292" s="122"/>
      <c r="C292" s="122"/>
      <c r="D292" s="122"/>
    </row>
    <row r="293" spans="1:4" ht="12.5" x14ac:dyDescent="0.25">
      <c r="A293" s="122"/>
      <c r="B293" s="122"/>
      <c r="C293" s="122"/>
      <c r="D293" s="122"/>
    </row>
    <row r="294" spans="1:4" ht="12.5" x14ac:dyDescent="0.25">
      <c r="A294" s="122"/>
      <c r="B294" s="122"/>
      <c r="C294" s="122"/>
      <c r="D294" s="122"/>
    </row>
    <row r="295" spans="1:4" ht="12.5" x14ac:dyDescent="0.25">
      <c r="A295" s="122"/>
      <c r="B295" s="122"/>
      <c r="C295" s="122"/>
      <c r="D295" s="122"/>
    </row>
    <row r="296" spans="1:4" ht="12.5" x14ac:dyDescent="0.25">
      <c r="A296" s="122"/>
      <c r="B296" s="122"/>
      <c r="C296" s="122"/>
      <c r="D296" s="122"/>
    </row>
    <row r="297" spans="1:4" ht="12.5" x14ac:dyDescent="0.25">
      <c r="A297" s="122"/>
      <c r="B297" s="122"/>
      <c r="C297" s="122"/>
      <c r="D297" s="122"/>
    </row>
    <row r="298" spans="1:4" ht="12.5" x14ac:dyDescent="0.25">
      <c r="A298" s="122"/>
      <c r="B298" s="122"/>
      <c r="C298" s="122"/>
      <c r="D298" s="122"/>
    </row>
    <row r="299" spans="1:4" ht="12.5" x14ac:dyDescent="0.25">
      <c r="A299" s="122"/>
      <c r="B299" s="122"/>
      <c r="C299" s="122"/>
      <c r="D299" s="122"/>
    </row>
    <row r="300" spans="1:4" ht="12.5" x14ac:dyDescent="0.25">
      <c r="A300" s="122"/>
      <c r="B300" s="122"/>
      <c r="C300" s="122"/>
      <c r="D300" s="122"/>
    </row>
    <row r="301" spans="1:4" ht="12.5" x14ac:dyDescent="0.25">
      <c r="A301" s="122"/>
      <c r="B301" s="122"/>
      <c r="C301" s="122"/>
      <c r="D301" s="122"/>
    </row>
    <row r="302" spans="1:4" ht="12.5" x14ac:dyDescent="0.25">
      <c r="A302" s="122"/>
      <c r="B302" s="122"/>
      <c r="C302" s="122"/>
      <c r="D302" s="122"/>
    </row>
    <row r="303" spans="1:4" ht="12.5" x14ac:dyDescent="0.25">
      <c r="A303" s="122"/>
      <c r="B303" s="122"/>
      <c r="C303" s="122"/>
      <c r="D303" s="122"/>
    </row>
    <row r="304" spans="1:4" ht="12.5" x14ac:dyDescent="0.25">
      <c r="A304" s="122"/>
      <c r="B304" s="122"/>
      <c r="C304" s="122"/>
      <c r="D304" s="122"/>
    </row>
    <row r="305" spans="1:4" ht="12.5" x14ac:dyDescent="0.25">
      <c r="A305" s="122"/>
      <c r="B305" s="122"/>
      <c r="C305" s="122"/>
      <c r="D305" s="122"/>
    </row>
    <row r="306" spans="1:4" ht="12.5" x14ac:dyDescent="0.25">
      <c r="A306" s="122"/>
      <c r="B306" s="122"/>
      <c r="C306" s="122"/>
      <c r="D306" s="122"/>
    </row>
    <row r="307" spans="1:4" ht="12.5" x14ac:dyDescent="0.25">
      <c r="A307" s="122"/>
      <c r="B307" s="122"/>
      <c r="C307" s="122"/>
      <c r="D307" s="122"/>
    </row>
    <row r="308" spans="1:4" ht="12.5" x14ac:dyDescent="0.25">
      <c r="A308" s="122"/>
      <c r="B308" s="122"/>
      <c r="C308" s="122"/>
      <c r="D308" s="122"/>
    </row>
    <row r="309" spans="1:4" ht="12.5" x14ac:dyDescent="0.25">
      <c r="A309" s="122"/>
      <c r="B309" s="122"/>
      <c r="C309" s="122"/>
      <c r="D309" s="122"/>
    </row>
    <row r="310" spans="1:4" ht="12.5" x14ac:dyDescent="0.25">
      <c r="A310" s="122"/>
      <c r="B310" s="122"/>
      <c r="C310" s="122"/>
      <c r="D310" s="122"/>
    </row>
    <row r="311" spans="1:4" ht="12.5" x14ac:dyDescent="0.25">
      <c r="A311" s="122"/>
      <c r="B311" s="122"/>
      <c r="C311" s="122"/>
      <c r="D311" s="122"/>
    </row>
    <row r="312" spans="1:4" ht="12.5" x14ac:dyDescent="0.25">
      <c r="A312" s="122"/>
      <c r="B312" s="122"/>
      <c r="C312" s="122"/>
      <c r="D312" s="122"/>
    </row>
    <row r="313" spans="1:4" ht="12.5" x14ac:dyDescent="0.25">
      <c r="A313" s="122"/>
      <c r="B313" s="122"/>
      <c r="C313" s="122"/>
      <c r="D313" s="122"/>
    </row>
    <row r="314" spans="1:4" ht="12.5" x14ac:dyDescent="0.25">
      <c r="A314" s="122"/>
      <c r="B314" s="122"/>
      <c r="C314" s="122"/>
      <c r="D314" s="122"/>
    </row>
    <row r="315" spans="1:4" ht="12.5" x14ac:dyDescent="0.25">
      <c r="A315" s="122"/>
      <c r="B315" s="122"/>
      <c r="C315" s="122"/>
      <c r="D315" s="122"/>
    </row>
    <row r="316" spans="1:4" ht="12.5" x14ac:dyDescent="0.25">
      <c r="A316" s="122"/>
      <c r="B316" s="122"/>
      <c r="C316" s="122"/>
      <c r="D316" s="122"/>
    </row>
    <row r="317" spans="1:4" ht="12.5" x14ac:dyDescent="0.25">
      <c r="A317" s="122"/>
      <c r="B317" s="122"/>
      <c r="C317" s="122"/>
      <c r="D317" s="122"/>
    </row>
    <row r="318" spans="1:4" ht="12.5" x14ac:dyDescent="0.25">
      <c r="A318" s="122"/>
      <c r="B318" s="122"/>
      <c r="C318" s="122"/>
      <c r="D318" s="122"/>
    </row>
    <row r="319" spans="1:4" ht="12.5" x14ac:dyDescent="0.25">
      <c r="A319" s="122"/>
      <c r="B319" s="122"/>
      <c r="C319" s="122"/>
      <c r="D319" s="122"/>
    </row>
    <row r="320" spans="1:4" ht="12.5" x14ac:dyDescent="0.25">
      <c r="A320" s="122"/>
      <c r="B320" s="122"/>
      <c r="C320" s="122"/>
      <c r="D320" s="122"/>
    </row>
    <row r="321" spans="1:4" ht="12.5" x14ac:dyDescent="0.25">
      <c r="A321" s="122"/>
      <c r="B321" s="122"/>
      <c r="C321" s="122"/>
      <c r="D321" s="122"/>
    </row>
    <row r="322" spans="1:4" ht="12.5" x14ac:dyDescent="0.25">
      <c r="A322" s="122"/>
      <c r="B322" s="122"/>
      <c r="C322" s="122"/>
      <c r="D322" s="122"/>
    </row>
    <row r="323" spans="1:4" ht="12.5" x14ac:dyDescent="0.25">
      <c r="A323" s="122"/>
      <c r="B323" s="122"/>
      <c r="C323" s="122"/>
      <c r="D323" s="122"/>
    </row>
    <row r="324" spans="1:4" ht="12.5" x14ac:dyDescent="0.25">
      <c r="A324" s="122"/>
      <c r="B324" s="122"/>
      <c r="C324" s="122"/>
      <c r="D324" s="122"/>
    </row>
    <row r="325" spans="1:4" ht="12.5" x14ac:dyDescent="0.25">
      <c r="A325" s="122"/>
      <c r="B325" s="122"/>
      <c r="C325" s="122"/>
      <c r="D325" s="122"/>
    </row>
    <row r="326" spans="1:4" ht="12.5" x14ac:dyDescent="0.25">
      <c r="A326" s="122"/>
      <c r="B326" s="122"/>
      <c r="C326" s="122"/>
      <c r="D326" s="122"/>
    </row>
    <row r="327" spans="1:4" ht="12.5" x14ac:dyDescent="0.25">
      <c r="A327" s="122"/>
      <c r="B327" s="122"/>
      <c r="C327" s="122"/>
      <c r="D327" s="122"/>
    </row>
    <row r="328" spans="1:4" ht="12.5" x14ac:dyDescent="0.25">
      <c r="A328" s="122"/>
      <c r="B328" s="122"/>
      <c r="C328" s="122"/>
      <c r="D328" s="122"/>
    </row>
    <row r="329" spans="1:4" ht="12.5" x14ac:dyDescent="0.25">
      <c r="A329" s="122"/>
      <c r="B329" s="122"/>
      <c r="C329" s="122"/>
      <c r="D329" s="122"/>
    </row>
    <row r="330" spans="1:4" ht="12.5" x14ac:dyDescent="0.25">
      <c r="A330" s="122"/>
      <c r="B330" s="122"/>
      <c r="C330" s="122"/>
      <c r="D330" s="122"/>
    </row>
    <row r="331" spans="1:4" ht="12.5" x14ac:dyDescent="0.25">
      <c r="A331" s="122"/>
      <c r="B331" s="122"/>
      <c r="C331" s="122"/>
      <c r="D331" s="122"/>
    </row>
    <row r="332" spans="1:4" ht="12.5" x14ac:dyDescent="0.25">
      <c r="A332" s="122"/>
      <c r="B332" s="122"/>
      <c r="C332" s="122"/>
      <c r="D332" s="122"/>
    </row>
    <row r="333" spans="1:4" ht="12.5" x14ac:dyDescent="0.25">
      <c r="A333" s="122"/>
      <c r="B333" s="122"/>
      <c r="C333" s="122"/>
      <c r="D333" s="122"/>
    </row>
    <row r="334" spans="1:4" ht="12.5" x14ac:dyDescent="0.25">
      <c r="A334" s="122"/>
      <c r="B334" s="122"/>
      <c r="C334" s="122"/>
      <c r="D334" s="122"/>
    </row>
    <row r="335" spans="1:4" ht="12.5" x14ac:dyDescent="0.25">
      <c r="A335" s="122"/>
      <c r="B335" s="122"/>
      <c r="C335" s="122"/>
      <c r="D335" s="122"/>
    </row>
    <row r="336" spans="1:4" ht="12.5" x14ac:dyDescent="0.25">
      <c r="A336" s="122"/>
      <c r="B336" s="122"/>
      <c r="C336" s="122"/>
      <c r="D336" s="122"/>
    </row>
    <row r="337" spans="1:4" ht="12.5" x14ac:dyDescent="0.25">
      <c r="A337" s="122"/>
      <c r="B337" s="122"/>
      <c r="C337" s="122"/>
      <c r="D337" s="122"/>
    </row>
    <row r="338" spans="1:4" ht="12.5" x14ac:dyDescent="0.25">
      <c r="A338" s="122"/>
      <c r="B338" s="122"/>
      <c r="C338" s="122"/>
      <c r="D338" s="122"/>
    </row>
    <row r="339" spans="1:4" ht="12.5" x14ac:dyDescent="0.25">
      <c r="A339" s="122"/>
      <c r="B339" s="122"/>
      <c r="C339" s="122"/>
      <c r="D339" s="122"/>
    </row>
    <row r="340" spans="1:4" ht="12.5" x14ac:dyDescent="0.25">
      <c r="A340" s="122"/>
      <c r="B340" s="122"/>
      <c r="C340" s="122"/>
      <c r="D340" s="122"/>
    </row>
    <row r="341" spans="1:4" ht="12.5" x14ac:dyDescent="0.25">
      <c r="A341" s="122"/>
      <c r="B341" s="122"/>
      <c r="C341" s="122"/>
      <c r="D341" s="122"/>
    </row>
    <row r="342" spans="1:4" ht="12.5" x14ac:dyDescent="0.25">
      <c r="A342" s="122"/>
      <c r="B342" s="122"/>
      <c r="C342" s="122"/>
      <c r="D342" s="122"/>
    </row>
    <row r="343" spans="1:4" ht="12.5" x14ac:dyDescent="0.25">
      <c r="A343" s="122"/>
      <c r="B343" s="122"/>
      <c r="C343" s="122"/>
      <c r="D343" s="122"/>
    </row>
    <row r="344" spans="1:4" ht="12.5" x14ac:dyDescent="0.25">
      <c r="A344" s="122"/>
      <c r="B344" s="122"/>
      <c r="C344" s="122"/>
      <c r="D344" s="122"/>
    </row>
    <row r="345" spans="1:4" ht="12.5" x14ac:dyDescent="0.25">
      <c r="A345" s="122"/>
      <c r="B345" s="122"/>
      <c r="C345" s="122"/>
      <c r="D345" s="122"/>
    </row>
    <row r="346" spans="1:4" ht="12.5" x14ac:dyDescent="0.25">
      <c r="A346" s="122"/>
      <c r="B346" s="122"/>
      <c r="C346" s="122"/>
      <c r="D346" s="122"/>
    </row>
    <row r="347" spans="1:4" ht="12.5" x14ac:dyDescent="0.25">
      <c r="A347" s="122"/>
      <c r="B347" s="122"/>
      <c r="C347" s="122"/>
      <c r="D347" s="122"/>
    </row>
    <row r="348" spans="1:4" ht="12.5" x14ac:dyDescent="0.25">
      <c r="A348" s="122"/>
      <c r="B348" s="122"/>
      <c r="C348" s="122"/>
      <c r="D348" s="122"/>
    </row>
    <row r="349" spans="1:4" ht="12.5" x14ac:dyDescent="0.25">
      <c r="A349" s="122"/>
      <c r="B349" s="122"/>
      <c r="C349" s="122"/>
      <c r="D349" s="122"/>
    </row>
    <row r="350" spans="1:4" ht="12.5" x14ac:dyDescent="0.25">
      <c r="A350" s="122"/>
      <c r="B350" s="122"/>
      <c r="C350" s="122"/>
      <c r="D350" s="122"/>
    </row>
    <row r="351" spans="1:4" ht="12.5" x14ac:dyDescent="0.25">
      <c r="A351" s="122"/>
      <c r="B351" s="122"/>
      <c r="C351" s="122"/>
      <c r="D351" s="122"/>
    </row>
    <row r="352" spans="1:4" ht="12.5" x14ac:dyDescent="0.25">
      <c r="A352" s="122"/>
      <c r="B352" s="122"/>
      <c r="C352" s="122"/>
      <c r="D352" s="122"/>
    </row>
    <row r="353" spans="1:4" ht="12.5" x14ac:dyDescent="0.25">
      <c r="A353" s="122"/>
      <c r="B353" s="122"/>
      <c r="C353" s="122"/>
      <c r="D353" s="122"/>
    </row>
    <row r="354" spans="1:4" ht="12.5" x14ac:dyDescent="0.25">
      <c r="A354" s="122"/>
      <c r="B354" s="122"/>
      <c r="C354" s="122"/>
      <c r="D354" s="122"/>
    </row>
    <row r="355" spans="1:4" ht="12.5" x14ac:dyDescent="0.25">
      <c r="A355" s="122"/>
      <c r="B355" s="122"/>
      <c r="C355" s="122"/>
      <c r="D355" s="122"/>
    </row>
    <row r="356" spans="1:4" ht="12.5" x14ac:dyDescent="0.25">
      <c r="A356" s="122"/>
      <c r="B356" s="122"/>
      <c r="C356" s="122"/>
      <c r="D356" s="122"/>
    </row>
    <row r="357" spans="1:4" ht="12.5" x14ac:dyDescent="0.25">
      <c r="A357" s="122"/>
      <c r="B357" s="122"/>
      <c r="C357" s="122"/>
      <c r="D357" s="122"/>
    </row>
    <row r="358" spans="1:4" ht="12.5" x14ac:dyDescent="0.25">
      <c r="A358" s="122"/>
      <c r="B358" s="122"/>
      <c r="C358" s="122"/>
      <c r="D358" s="122"/>
    </row>
    <row r="359" spans="1:4" ht="12.5" x14ac:dyDescent="0.25">
      <c r="A359" s="122"/>
      <c r="B359" s="122"/>
      <c r="C359" s="122"/>
      <c r="D359" s="122"/>
    </row>
    <row r="360" spans="1:4" ht="12.5" x14ac:dyDescent="0.25">
      <c r="A360" s="122"/>
      <c r="B360" s="122"/>
      <c r="C360" s="122"/>
      <c r="D360" s="122"/>
    </row>
    <row r="361" spans="1:4" ht="12.5" x14ac:dyDescent="0.25">
      <c r="A361" s="122"/>
      <c r="B361" s="122"/>
      <c r="C361" s="122"/>
      <c r="D361" s="122"/>
    </row>
    <row r="362" spans="1:4" ht="12.5" x14ac:dyDescent="0.25">
      <c r="A362" s="122"/>
      <c r="B362" s="122"/>
      <c r="C362" s="122"/>
      <c r="D362" s="122"/>
    </row>
    <row r="363" spans="1:4" ht="12.5" x14ac:dyDescent="0.25">
      <c r="A363" s="122"/>
      <c r="B363" s="122"/>
      <c r="C363" s="122"/>
      <c r="D363" s="122"/>
    </row>
    <row r="364" spans="1:4" ht="12.5" x14ac:dyDescent="0.25">
      <c r="A364" s="122"/>
      <c r="B364" s="122"/>
      <c r="C364" s="122"/>
      <c r="D364" s="122"/>
    </row>
    <row r="365" spans="1:4" ht="12.5" x14ac:dyDescent="0.25">
      <c r="A365" s="122"/>
      <c r="B365" s="122"/>
      <c r="C365" s="122"/>
      <c r="D365" s="122"/>
    </row>
    <row r="366" spans="1:4" ht="12.5" x14ac:dyDescent="0.25">
      <c r="A366" s="122"/>
      <c r="B366" s="122"/>
      <c r="C366" s="122"/>
      <c r="D366" s="122"/>
    </row>
    <row r="367" spans="1:4" ht="12.5" x14ac:dyDescent="0.25">
      <c r="A367" s="122"/>
      <c r="B367" s="122"/>
      <c r="C367" s="122"/>
      <c r="D367" s="122"/>
    </row>
    <row r="368" spans="1:4" ht="12.5" x14ac:dyDescent="0.25">
      <c r="A368" s="122"/>
      <c r="B368" s="122"/>
      <c r="C368" s="122"/>
      <c r="D368" s="122"/>
    </row>
    <row r="369" spans="1:4" ht="12.5" x14ac:dyDescent="0.25">
      <c r="A369" s="122"/>
      <c r="B369" s="122"/>
      <c r="C369" s="122"/>
      <c r="D369" s="122"/>
    </row>
    <row r="370" spans="1:4" ht="12.5" x14ac:dyDescent="0.25">
      <c r="A370" s="122"/>
      <c r="B370" s="122"/>
      <c r="C370" s="122"/>
      <c r="D370" s="122"/>
    </row>
    <row r="371" spans="1:4" ht="12.5" x14ac:dyDescent="0.25">
      <c r="A371" s="122"/>
      <c r="B371" s="122"/>
      <c r="C371" s="122"/>
      <c r="D371" s="122"/>
    </row>
    <row r="372" spans="1:4" ht="12.5" x14ac:dyDescent="0.25">
      <c r="A372" s="122"/>
      <c r="B372" s="122"/>
      <c r="C372" s="122"/>
      <c r="D372" s="122"/>
    </row>
    <row r="373" spans="1:4" ht="12.5" x14ac:dyDescent="0.25">
      <c r="A373" s="122"/>
      <c r="B373" s="122"/>
      <c r="C373" s="122"/>
      <c r="D373" s="122"/>
    </row>
    <row r="374" spans="1:4" ht="12.5" x14ac:dyDescent="0.25">
      <c r="A374" s="122"/>
      <c r="B374" s="122"/>
      <c r="C374" s="122"/>
      <c r="D374" s="122"/>
    </row>
    <row r="375" spans="1:4" ht="12.5" x14ac:dyDescent="0.25">
      <c r="A375" s="122"/>
      <c r="B375" s="122"/>
      <c r="C375" s="122"/>
      <c r="D375" s="122"/>
    </row>
    <row r="376" spans="1:4" ht="12.5" x14ac:dyDescent="0.25">
      <c r="A376" s="122"/>
      <c r="B376" s="122"/>
      <c r="C376" s="122"/>
      <c r="D376" s="122"/>
    </row>
    <row r="377" spans="1:4" ht="12.5" x14ac:dyDescent="0.25">
      <c r="A377" s="122"/>
      <c r="B377" s="122"/>
      <c r="C377" s="122"/>
      <c r="D377" s="122"/>
    </row>
    <row r="378" spans="1:4" ht="12.5" x14ac:dyDescent="0.25">
      <c r="A378" s="122"/>
      <c r="B378" s="122"/>
      <c r="C378" s="122"/>
      <c r="D378" s="122"/>
    </row>
    <row r="379" spans="1:4" ht="12.5" x14ac:dyDescent="0.25">
      <c r="A379" s="122"/>
      <c r="B379" s="122"/>
      <c r="C379" s="122"/>
      <c r="D379" s="122"/>
    </row>
    <row r="380" spans="1:4" ht="12.5" x14ac:dyDescent="0.25">
      <c r="A380" s="122"/>
      <c r="B380" s="122"/>
      <c r="C380" s="122"/>
      <c r="D380" s="122"/>
    </row>
    <row r="381" spans="1:4" ht="12.5" x14ac:dyDescent="0.25">
      <c r="A381" s="122"/>
      <c r="B381" s="122"/>
      <c r="C381" s="122"/>
      <c r="D381" s="122"/>
    </row>
    <row r="382" spans="1:4" ht="12.5" x14ac:dyDescent="0.25">
      <c r="A382" s="122"/>
      <c r="B382" s="122"/>
      <c r="C382" s="122"/>
      <c r="D382" s="122"/>
    </row>
    <row r="383" spans="1:4" ht="12.5" x14ac:dyDescent="0.25">
      <c r="A383" s="122"/>
      <c r="B383" s="122"/>
      <c r="C383" s="122"/>
      <c r="D383" s="122"/>
    </row>
    <row r="384" spans="1:4" ht="12.5" x14ac:dyDescent="0.25">
      <c r="A384" s="122"/>
      <c r="B384" s="122"/>
      <c r="C384" s="122"/>
      <c r="D384" s="122"/>
    </row>
    <row r="385" spans="1:4" ht="12.5" x14ac:dyDescent="0.25">
      <c r="A385" s="122"/>
      <c r="B385" s="122"/>
      <c r="C385" s="122"/>
      <c r="D385" s="122"/>
    </row>
    <row r="386" spans="1:4" ht="12.5" x14ac:dyDescent="0.25">
      <c r="A386" s="122"/>
      <c r="B386" s="122"/>
      <c r="C386" s="122"/>
      <c r="D386" s="122"/>
    </row>
    <row r="387" spans="1:4" ht="12.5" x14ac:dyDescent="0.25">
      <c r="A387" s="122"/>
      <c r="B387" s="122"/>
      <c r="C387" s="122"/>
      <c r="D387" s="122"/>
    </row>
    <row r="388" spans="1:4" ht="12.5" x14ac:dyDescent="0.25">
      <c r="A388" s="122"/>
      <c r="B388" s="122"/>
      <c r="C388" s="122"/>
      <c r="D388" s="122"/>
    </row>
    <row r="389" spans="1:4" ht="12.5" x14ac:dyDescent="0.25">
      <c r="A389" s="122"/>
      <c r="B389" s="122"/>
      <c r="C389" s="122"/>
      <c r="D389" s="122"/>
    </row>
    <row r="390" spans="1:4" ht="12.5" x14ac:dyDescent="0.25">
      <c r="A390" s="122"/>
      <c r="B390" s="122"/>
      <c r="C390" s="122"/>
      <c r="D390" s="122"/>
    </row>
    <row r="391" spans="1:4" ht="12.5" x14ac:dyDescent="0.25">
      <c r="A391" s="122"/>
      <c r="B391" s="122"/>
      <c r="C391" s="122"/>
      <c r="D391" s="122"/>
    </row>
    <row r="392" spans="1:4" ht="12.5" x14ac:dyDescent="0.25">
      <c r="A392" s="122"/>
      <c r="B392" s="122"/>
      <c r="C392" s="122"/>
      <c r="D392" s="122"/>
    </row>
    <row r="393" spans="1:4" ht="12.5" x14ac:dyDescent="0.25">
      <c r="A393" s="122"/>
      <c r="B393" s="122"/>
      <c r="C393" s="122"/>
      <c r="D393" s="122"/>
    </row>
    <row r="394" spans="1:4" ht="12.5" x14ac:dyDescent="0.25">
      <c r="A394" s="122"/>
      <c r="B394" s="122"/>
      <c r="C394" s="122"/>
      <c r="D394" s="122"/>
    </row>
    <row r="395" spans="1:4" ht="12.5" x14ac:dyDescent="0.25">
      <c r="A395" s="122"/>
      <c r="B395" s="122"/>
      <c r="C395" s="122"/>
      <c r="D395" s="122"/>
    </row>
    <row r="396" spans="1:4" ht="12.5" x14ac:dyDescent="0.25">
      <c r="A396" s="122"/>
      <c r="B396" s="122"/>
      <c r="C396" s="122"/>
      <c r="D396" s="122"/>
    </row>
    <row r="397" spans="1:4" ht="12.5" x14ac:dyDescent="0.25">
      <c r="A397" s="122"/>
      <c r="B397" s="122"/>
      <c r="C397" s="122"/>
      <c r="D397" s="122"/>
    </row>
    <row r="398" spans="1:4" ht="12.5" x14ac:dyDescent="0.25">
      <c r="A398" s="122"/>
      <c r="B398" s="122"/>
      <c r="C398" s="122"/>
      <c r="D398" s="122"/>
    </row>
    <row r="399" spans="1:4" ht="12.5" x14ac:dyDescent="0.25">
      <c r="A399" s="122"/>
      <c r="B399" s="122"/>
      <c r="C399" s="122"/>
      <c r="D399" s="122"/>
    </row>
    <row r="400" spans="1:4" ht="12.5" x14ac:dyDescent="0.25">
      <c r="A400" s="122"/>
      <c r="B400" s="122"/>
      <c r="C400" s="122"/>
      <c r="D400" s="122"/>
    </row>
    <row r="401" spans="1:4" ht="12.5" x14ac:dyDescent="0.25">
      <c r="A401" s="122"/>
      <c r="B401" s="122"/>
      <c r="C401" s="122"/>
      <c r="D401" s="122"/>
    </row>
    <row r="402" spans="1:4" ht="12.5" x14ac:dyDescent="0.25">
      <c r="A402" s="122"/>
      <c r="B402" s="122"/>
      <c r="C402" s="122"/>
      <c r="D402" s="122"/>
    </row>
    <row r="403" spans="1:4" ht="12.5" x14ac:dyDescent="0.25">
      <c r="A403" s="122"/>
      <c r="B403" s="122"/>
      <c r="C403" s="122"/>
      <c r="D403" s="122"/>
    </row>
    <row r="404" spans="1:4" ht="12.5" x14ac:dyDescent="0.25">
      <c r="A404" s="122"/>
      <c r="B404" s="122"/>
      <c r="C404" s="122"/>
      <c r="D404" s="122"/>
    </row>
    <row r="405" spans="1:4" ht="12.5" x14ac:dyDescent="0.25">
      <c r="A405" s="122"/>
      <c r="B405" s="122"/>
      <c r="C405" s="122"/>
      <c r="D405" s="122"/>
    </row>
    <row r="406" spans="1:4" ht="12.5" x14ac:dyDescent="0.25">
      <c r="A406" s="122"/>
      <c r="B406" s="122"/>
      <c r="C406" s="122"/>
      <c r="D406" s="122"/>
    </row>
    <row r="407" spans="1:4" ht="12.5" x14ac:dyDescent="0.25">
      <c r="A407" s="122"/>
      <c r="B407" s="122"/>
      <c r="C407" s="122"/>
      <c r="D407" s="122"/>
    </row>
    <row r="408" spans="1:4" ht="12.5" x14ac:dyDescent="0.25">
      <c r="A408" s="122"/>
      <c r="B408" s="122"/>
      <c r="C408" s="122"/>
      <c r="D408" s="122"/>
    </row>
    <row r="409" spans="1:4" ht="12.5" x14ac:dyDescent="0.25">
      <c r="A409" s="122"/>
      <c r="B409" s="122"/>
      <c r="C409" s="122"/>
      <c r="D409" s="122"/>
    </row>
    <row r="410" spans="1:4" ht="12.5" x14ac:dyDescent="0.25">
      <c r="A410" s="122"/>
      <c r="B410" s="122"/>
      <c r="C410" s="122"/>
      <c r="D410" s="122"/>
    </row>
    <row r="411" spans="1:4" ht="12.5" x14ac:dyDescent="0.25">
      <c r="A411" s="122"/>
      <c r="B411" s="122"/>
      <c r="C411" s="122"/>
      <c r="D411" s="122"/>
    </row>
    <row r="412" spans="1:4" ht="12.5" x14ac:dyDescent="0.25">
      <c r="A412" s="122"/>
      <c r="B412" s="122"/>
      <c r="C412" s="122"/>
      <c r="D412" s="122"/>
    </row>
    <row r="413" spans="1:4" ht="12.5" x14ac:dyDescent="0.25">
      <c r="A413" s="122"/>
      <c r="B413" s="122"/>
      <c r="C413" s="122"/>
      <c r="D413" s="122"/>
    </row>
    <row r="414" spans="1:4" ht="12.5" x14ac:dyDescent="0.25">
      <c r="A414" s="122"/>
      <c r="B414" s="122"/>
      <c r="C414" s="122"/>
      <c r="D414" s="122"/>
    </row>
    <row r="415" spans="1:4" ht="12.5" x14ac:dyDescent="0.25">
      <c r="A415" s="122"/>
      <c r="B415" s="122"/>
      <c r="C415" s="122"/>
      <c r="D415" s="122"/>
    </row>
    <row r="416" spans="1:4" ht="12.5" x14ac:dyDescent="0.25">
      <c r="A416" s="122"/>
      <c r="B416" s="122"/>
      <c r="C416" s="122"/>
      <c r="D416" s="122"/>
    </row>
    <row r="417" spans="1:4" ht="12.5" x14ac:dyDescent="0.25">
      <c r="A417" s="122"/>
      <c r="B417" s="122"/>
      <c r="C417" s="122"/>
      <c r="D417" s="122"/>
    </row>
    <row r="418" spans="1:4" ht="12.5" x14ac:dyDescent="0.25">
      <c r="A418" s="122"/>
      <c r="B418" s="122"/>
      <c r="C418" s="122"/>
      <c r="D418" s="122"/>
    </row>
    <row r="419" spans="1:4" ht="12.5" x14ac:dyDescent="0.25">
      <c r="A419" s="122"/>
      <c r="B419" s="122"/>
      <c r="C419" s="122"/>
      <c r="D419" s="122"/>
    </row>
    <row r="420" spans="1:4" ht="12.5" x14ac:dyDescent="0.25">
      <c r="A420" s="122"/>
      <c r="B420" s="122"/>
      <c r="C420" s="122"/>
      <c r="D420" s="122"/>
    </row>
    <row r="421" spans="1:4" ht="12.5" x14ac:dyDescent="0.25">
      <c r="A421" s="122"/>
      <c r="B421" s="122"/>
      <c r="C421" s="122"/>
      <c r="D421" s="122"/>
    </row>
    <row r="422" spans="1:4" ht="12.5" x14ac:dyDescent="0.25">
      <c r="A422" s="122"/>
      <c r="B422" s="122"/>
      <c r="C422" s="122"/>
      <c r="D422" s="122"/>
    </row>
    <row r="423" spans="1:4" ht="12.5" x14ac:dyDescent="0.25">
      <c r="A423" s="122"/>
      <c r="B423" s="122"/>
      <c r="C423" s="122"/>
      <c r="D423" s="122"/>
    </row>
    <row r="424" spans="1:4" ht="12.5" x14ac:dyDescent="0.25">
      <c r="A424" s="122"/>
      <c r="B424" s="122"/>
      <c r="C424" s="122"/>
      <c r="D424" s="122"/>
    </row>
    <row r="425" spans="1:4" ht="12.5" x14ac:dyDescent="0.25">
      <c r="A425" s="122"/>
      <c r="B425" s="122"/>
      <c r="C425" s="122"/>
      <c r="D425" s="122"/>
    </row>
    <row r="426" spans="1:4" ht="12.5" x14ac:dyDescent="0.25">
      <c r="A426" s="122"/>
      <c r="B426" s="122"/>
      <c r="C426" s="122"/>
      <c r="D426" s="122"/>
    </row>
    <row r="427" spans="1:4" ht="12.5" x14ac:dyDescent="0.25">
      <c r="A427" s="122"/>
      <c r="B427" s="122"/>
      <c r="C427" s="122"/>
      <c r="D427" s="122"/>
    </row>
    <row r="428" spans="1:4" ht="12.5" x14ac:dyDescent="0.25">
      <c r="A428" s="122"/>
      <c r="B428" s="122"/>
      <c r="C428" s="122"/>
      <c r="D428" s="122"/>
    </row>
    <row r="429" spans="1:4" ht="12.5" x14ac:dyDescent="0.25">
      <c r="A429" s="122"/>
      <c r="B429" s="122"/>
      <c r="C429" s="122"/>
      <c r="D429" s="122"/>
    </row>
    <row r="430" spans="1:4" ht="12.5" x14ac:dyDescent="0.25">
      <c r="A430" s="122"/>
      <c r="B430" s="122"/>
      <c r="C430" s="122"/>
      <c r="D430" s="122"/>
    </row>
    <row r="431" spans="1:4" ht="12.5" x14ac:dyDescent="0.25">
      <c r="A431" s="122"/>
      <c r="B431" s="122"/>
      <c r="C431" s="122"/>
      <c r="D431" s="122"/>
    </row>
    <row r="432" spans="1:4" ht="12.5" x14ac:dyDescent="0.25">
      <c r="A432" s="122"/>
      <c r="B432" s="122"/>
      <c r="C432" s="122"/>
      <c r="D432" s="122"/>
    </row>
    <row r="433" spans="1:4" ht="12.5" x14ac:dyDescent="0.25">
      <c r="A433" s="122"/>
      <c r="B433" s="122"/>
      <c r="C433" s="122"/>
      <c r="D433" s="122"/>
    </row>
    <row r="434" spans="1:4" ht="12.5" x14ac:dyDescent="0.25">
      <c r="A434" s="122"/>
      <c r="B434" s="122"/>
      <c r="C434" s="122"/>
      <c r="D434" s="122"/>
    </row>
    <row r="435" spans="1:4" ht="12.5" x14ac:dyDescent="0.25">
      <c r="A435" s="122"/>
      <c r="B435" s="122"/>
      <c r="C435" s="122"/>
      <c r="D435" s="122"/>
    </row>
    <row r="436" spans="1:4" ht="12.5" x14ac:dyDescent="0.25">
      <c r="A436" s="122"/>
      <c r="B436" s="122"/>
      <c r="C436" s="122"/>
      <c r="D436" s="122"/>
    </row>
    <row r="437" spans="1:4" ht="12.5" x14ac:dyDescent="0.25">
      <c r="A437" s="122"/>
      <c r="B437" s="122"/>
      <c r="C437" s="122"/>
      <c r="D437" s="122"/>
    </row>
    <row r="438" spans="1:4" ht="12.5" x14ac:dyDescent="0.25">
      <c r="A438" s="122"/>
      <c r="B438" s="122"/>
      <c r="C438" s="122"/>
      <c r="D438" s="122"/>
    </row>
    <row r="439" spans="1:4" ht="12.5" x14ac:dyDescent="0.25">
      <c r="A439" s="122"/>
      <c r="B439" s="122"/>
      <c r="C439" s="122"/>
      <c r="D439" s="122"/>
    </row>
    <row r="440" spans="1:4" ht="12.5" x14ac:dyDescent="0.25">
      <c r="A440" s="122"/>
      <c r="B440" s="122"/>
      <c r="C440" s="122"/>
      <c r="D440" s="122"/>
    </row>
    <row r="441" spans="1:4" ht="12.5" x14ac:dyDescent="0.25">
      <c r="A441" s="122"/>
      <c r="B441" s="122"/>
      <c r="C441" s="122"/>
      <c r="D441" s="122"/>
    </row>
    <row r="442" spans="1:4" ht="12.5" x14ac:dyDescent="0.25">
      <c r="A442" s="122"/>
      <c r="B442" s="122"/>
      <c r="C442" s="122"/>
      <c r="D442" s="122"/>
    </row>
    <row r="443" spans="1:4" ht="12.5" x14ac:dyDescent="0.25">
      <c r="A443" s="122"/>
      <c r="B443" s="122"/>
      <c r="C443" s="122"/>
      <c r="D443" s="122"/>
    </row>
    <row r="444" spans="1:4" ht="12.5" x14ac:dyDescent="0.25">
      <c r="A444" s="122"/>
      <c r="B444" s="122"/>
      <c r="C444" s="122"/>
      <c r="D444" s="122"/>
    </row>
    <row r="445" spans="1:4" ht="12.5" x14ac:dyDescent="0.25">
      <c r="A445" s="122"/>
      <c r="B445" s="122"/>
      <c r="C445" s="122"/>
      <c r="D445" s="122"/>
    </row>
    <row r="446" spans="1:4" ht="12.5" x14ac:dyDescent="0.25">
      <c r="A446" s="122"/>
      <c r="B446" s="122"/>
      <c r="C446" s="122"/>
      <c r="D446" s="122"/>
    </row>
    <row r="447" spans="1:4" ht="12.5" x14ac:dyDescent="0.25">
      <c r="A447" s="122"/>
      <c r="B447" s="122"/>
      <c r="C447" s="122"/>
      <c r="D447" s="122"/>
    </row>
    <row r="448" spans="1:4" ht="12.5" x14ac:dyDescent="0.25">
      <c r="A448" s="122"/>
      <c r="B448" s="122"/>
      <c r="C448" s="122"/>
      <c r="D448" s="122"/>
    </row>
    <row r="449" spans="1:4" ht="12.5" x14ac:dyDescent="0.25">
      <c r="A449" s="122"/>
      <c r="B449" s="122"/>
      <c r="C449" s="122"/>
      <c r="D449" s="122"/>
    </row>
    <row r="450" spans="1:4" ht="12.5" x14ac:dyDescent="0.25">
      <c r="A450" s="122"/>
      <c r="B450" s="122"/>
      <c r="C450" s="122"/>
      <c r="D450" s="122"/>
    </row>
    <row r="451" spans="1:4" ht="12.5" x14ac:dyDescent="0.25">
      <c r="A451" s="122"/>
      <c r="B451" s="122"/>
      <c r="C451" s="122"/>
      <c r="D451" s="122"/>
    </row>
    <row r="452" spans="1:4" ht="12.5" x14ac:dyDescent="0.25">
      <c r="A452" s="122"/>
      <c r="B452" s="122"/>
      <c r="C452" s="122"/>
      <c r="D452" s="122"/>
    </row>
    <row r="453" spans="1:4" ht="12.5" x14ac:dyDescent="0.25">
      <c r="A453" s="122"/>
      <c r="B453" s="122"/>
      <c r="C453" s="122"/>
      <c r="D453" s="122"/>
    </row>
    <row r="454" spans="1:4" ht="12.5" x14ac:dyDescent="0.25">
      <c r="A454" s="122"/>
      <c r="B454" s="122"/>
      <c r="C454" s="122"/>
      <c r="D454" s="122"/>
    </row>
    <row r="455" spans="1:4" ht="12.5" x14ac:dyDescent="0.25">
      <c r="A455" s="122"/>
      <c r="B455" s="122"/>
      <c r="C455" s="122"/>
      <c r="D455" s="122"/>
    </row>
    <row r="456" spans="1:4" ht="12.5" x14ac:dyDescent="0.25">
      <c r="A456" s="122"/>
      <c r="B456" s="122"/>
      <c r="C456" s="122"/>
      <c r="D456" s="122"/>
    </row>
    <row r="457" spans="1:4" ht="12.5" x14ac:dyDescent="0.25">
      <c r="A457" s="122"/>
      <c r="B457" s="122"/>
      <c r="C457" s="122"/>
      <c r="D457" s="122"/>
    </row>
    <row r="458" spans="1:4" ht="12.5" x14ac:dyDescent="0.25">
      <c r="A458" s="122"/>
      <c r="B458" s="122"/>
      <c r="C458" s="122"/>
      <c r="D458" s="122"/>
    </row>
    <row r="459" spans="1:4" ht="12.5" x14ac:dyDescent="0.25">
      <c r="A459" s="122"/>
      <c r="B459" s="122"/>
      <c r="C459" s="122"/>
      <c r="D459" s="122"/>
    </row>
    <row r="460" spans="1:4" ht="12.5" x14ac:dyDescent="0.25">
      <c r="A460" s="122"/>
      <c r="B460" s="122"/>
      <c r="C460" s="122"/>
      <c r="D460" s="122"/>
    </row>
    <row r="461" spans="1:4" ht="12.5" x14ac:dyDescent="0.25">
      <c r="A461" s="122"/>
      <c r="B461" s="122"/>
      <c r="C461" s="122"/>
      <c r="D461" s="122"/>
    </row>
    <row r="462" spans="1:4" ht="12.5" x14ac:dyDescent="0.25">
      <c r="A462" s="122"/>
      <c r="B462" s="122"/>
      <c r="C462" s="122"/>
      <c r="D462" s="122"/>
    </row>
    <row r="463" spans="1:4" ht="12.5" x14ac:dyDescent="0.25">
      <c r="A463" s="122"/>
      <c r="B463" s="122"/>
      <c r="C463" s="122"/>
      <c r="D463" s="122"/>
    </row>
    <row r="464" spans="1:4" ht="12.5" x14ac:dyDescent="0.25">
      <c r="A464" s="122"/>
      <c r="B464" s="122"/>
      <c r="C464" s="122"/>
      <c r="D464" s="122"/>
    </row>
    <row r="465" spans="1:4" ht="12.5" x14ac:dyDescent="0.25">
      <c r="A465" s="122"/>
      <c r="B465" s="122"/>
      <c r="C465" s="122"/>
      <c r="D465" s="122"/>
    </row>
    <row r="466" spans="1:4" ht="12.5" x14ac:dyDescent="0.25">
      <c r="A466" s="122"/>
      <c r="B466" s="122"/>
      <c r="C466" s="122"/>
      <c r="D466" s="122"/>
    </row>
    <row r="467" spans="1:4" ht="12.5" x14ac:dyDescent="0.25">
      <c r="A467" s="122"/>
      <c r="B467" s="122"/>
      <c r="C467" s="122"/>
      <c r="D467" s="122"/>
    </row>
    <row r="468" spans="1:4" ht="12.5" x14ac:dyDescent="0.25">
      <c r="A468" s="122"/>
      <c r="B468" s="122"/>
      <c r="C468" s="122"/>
      <c r="D468" s="122"/>
    </row>
    <row r="469" spans="1:4" ht="12.5" x14ac:dyDescent="0.25">
      <c r="A469" s="122"/>
      <c r="B469" s="122"/>
      <c r="C469" s="122"/>
      <c r="D469" s="122"/>
    </row>
    <row r="470" spans="1:4" ht="12.5" x14ac:dyDescent="0.25">
      <c r="A470" s="122"/>
      <c r="B470" s="122"/>
      <c r="C470" s="122"/>
      <c r="D470" s="122"/>
    </row>
    <row r="471" spans="1:4" ht="12.5" x14ac:dyDescent="0.25">
      <c r="A471" s="122"/>
      <c r="B471" s="122"/>
      <c r="C471" s="122"/>
      <c r="D471" s="122"/>
    </row>
    <row r="472" spans="1:4" ht="12.5" x14ac:dyDescent="0.25">
      <c r="A472" s="122"/>
      <c r="B472" s="122"/>
      <c r="C472" s="122"/>
      <c r="D472" s="122"/>
    </row>
    <row r="473" spans="1:4" ht="12.5" x14ac:dyDescent="0.25">
      <c r="A473" s="122"/>
      <c r="B473" s="122"/>
      <c r="C473" s="122"/>
      <c r="D473" s="122"/>
    </row>
    <row r="474" spans="1:4" ht="12.5" x14ac:dyDescent="0.25">
      <c r="A474" s="122"/>
      <c r="B474" s="122"/>
      <c r="C474" s="122"/>
      <c r="D474" s="122"/>
    </row>
    <row r="475" spans="1:4" ht="12.5" x14ac:dyDescent="0.25">
      <c r="A475" s="122"/>
      <c r="B475" s="122"/>
      <c r="C475" s="122"/>
      <c r="D475" s="122"/>
    </row>
    <row r="476" spans="1:4" ht="12.5" x14ac:dyDescent="0.25">
      <c r="A476" s="122"/>
      <c r="B476" s="122"/>
      <c r="C476" s="122"/>
      <c r="D476" s="122"/>
    </row>
    <row r="477" spans="1:4" ht="12.5" x14ac:dyDescent="0.25">
      <c r="A477" s="122"/>
      <c r="B477" s="122"/>
      <c r="C477" s="122"/>
      <c r="D477" s="122"/>
    </row>
    <row r="478" spans="1:4" ht="12.5" x14ac:dyDescent="0.25">
      <c r="A478" s="122"/>
      <c r="B478" s="122"/>
      <c r="C478" s="122"/>
      <c r="D478" s="122"/>
    </row>
    <row r="479" spans="1:4" ht="12.5" x14ac:dyDescent="0.25">
      <c r="A479" s="122"/>
      <c r="B479" s="122"/>
      <c r="C479" s="122"/>
      <c r="D479" s="122"/>
    </row>
    <row r="480" spans="1:4" ht="12.5" x14ac:dyDescent="0.25">
      <c r="A480" s="122"/>
      <c r="B480" s="122"/>
      <c r="C480" s="122"/>
      <c r="D480" s="122"/>
    </row>
    <row r="481" spans="1:4" ht="12.5" x14ac:dyDescent="0.25">
      <c r="A481" s="122"/>
      <c r="B481" s="122"/>
      <c r="C481" s="122"/>
      <c r="D481" s="122"/>
    </row>
    <row r="482" spans="1:4" ht="12.5" x14ac:dyDescent="0.25">
      <c r="A482" s="122"/>
      <c r="B482" s="122"/>
      <c r="C482" s="122"/>
      <c r="D482" s="122"/>
    </row>
    <row r="483" spans="1:4" ht="12.5" x14ac:dyDescent="0.25">
      <c r="A483" s="122"/>
      <c r="B483" s="122"/>
      <c r="C483" s="122"/>
      <c r="D483" s="122"/>
    </row>
    <row r="484" spans="1:4" ht="12.5" x14ac:dyDescent="0.25">
      <c r="A484" s="122"/>
      <c r="B484" s="122"/>
      <c r="C484" s="122"/>
      <c r="D484" s="122"/>
    </row>
    <row r="485" spans="1:4" ht="12.5" x14ac:dyDescent="0.25">
      <c r="A485" s="122"/>
      <c r="B485" s="122"/>
      <c r="C485" s="122"/>
      <c r="D485" s="122"/>
    </row>
    <row r="486" spans="1:4" ht="12.5" x14ac:dyDescent="0.25">
      <c r="A486" s="122"/>
      <c r="B486" s="122"/>
      <c r="C486" s="122"/>
      <c r="D486" s="122"/>
    </row>
    <row r="487" spans="1:4" ht="12.5" x14ac:dyDescent="0.25">
      <c r="A487" s="122"/>
      <c r="B487" s="122"/>
      <c r="C487" s="122"/>
      <c r="D487" s="122"/>
    </row>
    <row r="488" spans="1:4" ht="12.5" x14ac:dyDescent="0.25">
      <c r="A488" s="122"/>
      <c r="B488" s="122"/>
      <c r="C488" s="122"/>
      <c r="D488" s="122"/>
    </row>
    <row r="489" spans="1:4" ht="12.5" x14ac:dyDescent="0.25">
      <c r="A489" s="122"/>
      <c r="B489" s="122"/>
      <c r="C489" s="122"/>
      <c r="D489" s="122"/>
    </row>
    <row r="490" spans="1:4" ht="12.5" x14ac:dyDescent="0.25">
      <c r="A490" s="122"/>
      <c r="B490" s="122"/>
      <c r="C490" s="122"/>
      <c r="D490" s="122"/>
    </row>
    <row r="491" spans="1:4" ht="12.5" x14ac:dyDescent="0.25">
      <c r="A491" s="122"/>
      <c r="B491" s="122"/>
      <c r="C491" s="122"/>
      <c r="D491" s="122"/>
    </row>
    <row r="492" spans="1:4" ht="12.5" x14ac:dyDescent="0.25">
      <c r="A492" s="122"/>
      <c r="B492" s="122"/>
      <c r="C492" s="122"/>
      <c r="D492" s="122"/>
    </row>
    <row r="493" spans="1:4" ht="12.5" x14ac:dyDescent="0.25">
      <c r="A493" s="122"/>
      <c r="B493" s="122"/>
      <c r="C493" s="122"/>
      <c r="D493" s="122"/>
    </row>
    <row r="494" spans="1:4" ht="12.5" x14ac:dyDescent="0.25">
      <c r="A494" s="122"/>
      <c r="B494" s="122"/>
      <c r="C494" s="122"/>
      <c r="D494" s="122"/>
    </row>
    <row r="495" spans="1:4" ht="12.5" x14ac:dyDescent="0.25">
      <c r="A495" s="122"/>
      <c r="B495" s="122"/>
      <c r="C495" s="122"/>
      <c r="D495" s="122"/>
    </row>
    <row r="496" spans="1:4" ht="12.5" x14ac:dyDescent="0.25">
      <c r="A496" s="122"/>
      <c r="B496" s="122"/>
      <c r="C496" s="122"/>
      <c r="D496" s="122"/>
    </row>
    <row r="497" spans="1:4" ht="12.5" x14ac:dyDescent="0.25">
      <c r="A497" s="122"/>
      <c r="B497" s="122"/>
      <c r="C497" s="122"/>
      <c r="D497" s="122"/>
    </row>
    <row r="498" spans="1:4" ht="12.5" x14ac:dyDescent="0.25">
      <c r="A498" s="122"/>
      <c r="B498" s="122"/>
      <c r="C498" s="122"/>
      <c r="D498" s="122"/>
    </row>
    <row r="499" spans="1:4" ht="12.5" x14ac:dyDescent="0.25">
      <c r="A499" s="122"/>
      <c r="B499" s="122"/>
      <c r="C499" s="122"/>
      <c r="D499" s="122"/>
    </row>
    <row r="500" spans="1:4" ht="12.5" x14ac:dyDescent="0.25">
      <c r="A500" s="122"/>
      <c r="B500" s="122"/>
      <c r="C500" s="122"/>
      <c r="D500" s="122"/>
    </row>
    <row r="501" spans="1:4" ht="12.5" x14ac:dyDescent="0.25">
      <c r="A501" s="122"/>
      <c r="B501" s="122"/>
      <c r="C501" s="122"/>
      <c r="D501" s="122"/>
    </row>
    <row r="502" spans="1:4" ht="12.5" x14ac:dyDescent="0.25">
      <c r="A502" s="122"/>
      <c r="B502" s="122"/>
      <c r="C502" s="122"/>
      <c r="D502" s="122"/>
    </row>
    <row r="503" spans="1:4" ht="12.5" x14ac:dyDescent="0.25">
      <c r="A503" s="122"/>
      <c r="B503" s="122"/>
      <c r="C503" s="122"/>
      <c r="D503" s="122"/>
    </row>
    <row r="504" spans="1:4" ht="12.5" x14ac:dyDescent="0.25">
      <c r="A504" s="122"/>
      <c r="B504" s="122"/>
      <c r="C504" s="122"/>
      <c r="D504" s="122"/>
    </row>
    <row r="505" spans="1:4" ht="12.5" x14ac:dyDescent="0.25">
      <c r="A505" s="122"/>
      <c r="B505" s="122"/>
      <c r="C505" s="122"/>
      <c r="D505" s="122"/>
    </row>
    <row r="506" spans="1:4" ht="12.5" x14ac:dyDescent="0.25">
      <c r="A506" s="122"/>
      <c r="B506" s="122"/>
      <c r="C506" s="122"/>
      <c r="D506" s="122"/>
    </row>
    <row r="507" spans="1:4" ht="12.5" x14ac:dyDescent="0.25">
      <c r="A507" s="122"/>
      <c r="B507" s="122"/>
      <c r="C507" s="122"/>
      <c r="D507" s="122"/>
    </row>
    <row r="508" spans="1:4" ht="12.5" x14ac:dyDescent="0.25">
      <c r="A508" s="122"/>
      <c r="B508" s="122"/>
      <c r="C508" s="122"/>
      <c r="D508" s="122"/>
    </row>
    <row r="509" spans="1:4" ht="12.5" x14ac:dyDescent="0.25">
      <c r="A509" s="122"/>
      <c r="B509" s="122"/>
      <c r="C509" s="122"/>
      <c r="D509" s="122"/>
    </row>
    <row r="510" spans="1:4" ht="12.5" x14ac:dyDescent="0.25">
      <c r="A510" s="122"/>
      <c r="B510" s="122"/>
      <c r="C510" s="122"/>
      <c r="D510" s="122"/>
    </row>
    <row r="511" spans="1:4" ht="12.5" x14ac:dyDescent="0.25">
      <c r="A511" s="122"/>
      <c r="B511" s="122"/>
      <c r="C511" s="122"/>
      <c r="D511" s="122"/>
    </row>
    <row r="512" spans="1:4" ht="12.5" x14ac:dyDescent="0.25">
      <c r="A512" s="122"/>
      <c r="B512" s="122"/>
      <c r="C512" s="122"/>
      <c r="D512" s="122"/>
    </row>
    <row r="513" spans="1:4" ht="12.5" x14ac:dyDescent="0.25">
      <c r="A513" s="122"/>
      <c r="B513" s="122"/>
      <c r="C513" s="122"/>
      <c r="D513" s="122"/>
    </row>
    <row r="514" spans="1:4" ht="12.5" x14ac:dyDescent="0.25">
      <c r="A514" s="122"/>
      <c r="B514" s="122"/>
      <c r="C514" s="122"/>
      <c r="D514" s="122"/>
    </row>
    <row r="515" spans="1:4" ht="12.5" x14ac:dyDescent="0.25">
      <c r="A515" s="122"/>
      <c r="B515" s="122"/>
      <c r="C515" s="122"/>
      <c r="D515" s="122"/>
    </row>
    <row r="516" spans="1:4" ht="12.5" x14ac:dyDescent="0.25">
      <c r="A516" s="122"/>
      <c r="B516" s="122"/>
      <c r="C516" s="122"/>
      <c r="D516" s="122"/>
    </row>
    <row r="517" spans="1:4" ht="12.5" x14ac:dyDescent="0.25">
      <c r="A517" s="122"/>
      <c r="B517" s="122"/>
      <c r="C517" s="122"/>
      <c r="D517" s="122"/>
    </row>
    <row r="518" spans="1:4" ht="12.5" x14ac:dyDescent="0.25">
      <c r="A518" s="122"/>
      <c r="B518" s="122"/>
      <c r="C518" s="122"/>
      <c r="D518" s="122"/>
    </row>
    <row r="519" spans="1:4" ht="12.5" x14ac:dyDescent="0.25">
      <c r="A519" s="122"/>
      <c r="B519" s="122"/>
      <c r="C519" s="122"/>
      <c r="D519" s="122"/>
    </row>
    <row r="520" spans="1:4" ht="12.5" x14ac:dyDescent="0.25">
      <c r="A520" s="122"/>
      <c r="B520" s="122"/>
      <c r="C520" s="122"/>
      <c r="D520" s="122"/>
    </row>
    <row r="521" spans="1:4" ht="12.5" x14ac:dyDescent="0.25">
      <c r="A521" s="122"/>
      <c r="B521" s="122"/>
      <c r="C521" s="122"/>
      <c r="D521" s="122"/>
    </row>
    <row r="522" spans="1:4" ht="12.5" x14ac:dyDescent="0.25">
      <c r="A522" s="122"/>
      <c r="B522" s="122"/>
      <c r="C522" s="122"/>
      <c r="D522" s="122"/>
    </row>
    <row r="523" spans="1:4" ht="12.5" x14ac:dyDescent="0.25">
      <c r="A523" s="122"/>
      <c r="B523" s="122"/>
      <c r="C523" s="122"/>
      <c r="D523" s="122"/>
    </row>
    <row r="524" spans="1:4" ht="12.5" x14ac:dyDescent="0.25">
      <c r="A524" s="122"/>
      <c r="B524" s="122"/>
      <c r="C524" s="122"/>
      <c r="D524" s="122"/>
    </row>
    <row r="525" spans="1:4" ht="12.5" x14ac:dyDescent="0.25">
      <c r="A525" s="122"/>
      <c r="B525" s="122"/>
      <c r="C525" s="122"/>
      <c r="D525" s="122"/>
    </row>
    <row r="526" spans="1:4" ht="12.5" x14ac:dyDescent="0.25">
      <c r="A526" s="122"/>
      <c r="B526" s="122"/>
      <c r="C526" s="122"/>
      <c r="D526" s="122"/>
    </row>
    <row r="527" spans="1:4" ht="12.5" x14ac:dyDescent="0.25">
      <c r="A527" s="122"/>
      <c r="B527" s="122"/>
      <c r="C527" s="122"/>
      <c r="D527" s="122"/>
    </row>
    <row r="528" spans="1:4" ht="12.5" x14ac:dyDescent="0.25">
      <c r="A528" s="122"/>
      <c r="B528" s="122"/>
      <c r="C528" s="122"/>
      <c r="D528" s="122"/>
    </row>
    <row r="529" spans="1:4" ht="12.5" x14ac:dyDescent="0.25">
      <c r="A529" s="122"/>
      <c r="B529" s="122"/>
      <c r="C529" s="122"/>
      <c r="D529" s="122"/>
    </row>
    <row r="530" spans="1:4" ht="12.5" x14ac:dyDescent="0.25">
      <c r="A530" s="122"/>
      <c r="B530" s="122"/>
      <c r="C530" s="122"/>
      <c r="D530" s="122"/>
    </row>
    <row r="531" spans="1:4" ht="12.5" x14ac:dyDescent="0.25">
      <c r="A531" s="122"/>
      <c r="B531" s="122"/>
      <c r="C531" s="122"/>
      <c r="D531" s="122"/>
    </row>
    <row r="532" spans="1:4" ht="12.5" x14ac:dyDescent="0.25">
      <c r="A532" s="122"/>
      <c r="B532" s="122"/>
      <c r="C532" s="122"/>
      <c r="D532" s="122"/>
    </row>
    <row r="533" spans="1:4" ht="12.5" x14ac:dyDescent="0.25">
      <c r="A533" s="122"/>
      <c r="B533" s="122"/>
      <c r="C533" s="122"/>
      <c r="D533" s="122"/>
    </row>
    <row r="534" spans="1:4" ht="12.5" x14ac:dyDescent="0.25">
      <c r="A534" s="122"/>
      <c r="B534" s="122"/>
      <c r="C534" s="122"/>
      <c r="D534" s="122"/>
    </row>
    <row r="535" spans="1:4" ht="12.5" x14ac:dyDescent="0.25">
      <c r="A535" s="122"/>
      <c r="B535" s="122"/>
      <c r="C535" s="122"/>
      <c r="D535" s="122"/>
    </row>
    <row r="536" spans="1:4" ht="12.5" x14ac:dyDescent="0.25">
      <c r="A536" s="122"/>
      <c r="B536" s="122"/>
      <c r="C536" s="122"/>
      <c r="D536" s="122"/>
    </row>
    <row r="537" spans="1:4" ht="12.5" x14ac:dyDescent="0.25">
      <c r="A537" s="122"/>
      <c r="B537" s="122"/>
      <c r="C537" s="122"/>
      <c r="D537" s="122"/>
    </row>
    <row r="538" spans="1:4" ht="12.5" x14ac:dyDescent="0.25">
      <c r="A538" s="122"/>
      <c r="B538" s="122"/>
      <c r="C538" s="122"/>
      <c r="D538" s="122"/>
    </row>
    <row r="539" spans="1:4" ht="12.5" x14ac:dyDescent="0.25">
      <c r="A539" s="122"/>
      <c r="B539" s="122"/>
      <c r="C539" s="122"/>
      <c r="D539" s="122"/>
    </row>
    <row r="540" spans="1:4" ht="12.5" x14ac:dyDescent="0.25">
      <c r="A540" s="122"/>
      <c r="B540" s="122"/>
      <c r="C540" s="122"/>
      <c r="D540" s="122"/>
    </row>
    <row r="541" spans="1:4" ht="12.5" x14ac:dyDescent="0.25">
      <c r="A541" s="122"/>
      <c r="B541" s="122"/>
      <c r="C541" s="122"/>
      <c r="D541" s="122"/>
    </row>
    <row r="542" spans="1:4" ht="12.5" x14ac:dyDescent="0.25">
      <c r="A542" s="122"/>
      <c r="B542" s="122"/>
      <c r="C542" s="122"/>
      <c r="D542" s="122"/>
    </row>
    <row r="543" spans="1:4" ht="12.5" x14ac:dyDescent="0.25">
      <c r="A543" s="122"/>
      <c r="B543" s="122"/>
      <c r="C543" s="122"/>
      <c r="D543" s="122"/>
    </row>
    <row r="544" spans="1:4" ht="12.5" x14ac:dyDescent="0.25">
      <c r="A544" s="122"/>
      <c r="B544" s="122"/>
      <c r="C544" s="122"/>
      <c r="D544" s="122"/>
    </row>
    <row r="545" spans="1:4" ht="12.5" x14ac:dyDescent="0.25">
      <c r="A545" s="122"/>
      <c r="B545" s="122"/>
      <c r="C545" s="122"/>
      <c r="D545" s="122"/>
    </row>
    <row r="546" spans="1:4" ht="12.5" x14ac:dyDescent="0.25">
      <c r="A546" s="122"/>
      <c r="B546" s="122"/>
      <c r="C546" s="122"/>
      <c r="D546" s="122"/>
    </row>
    <row r="547" spans="1:4" ht="12.5" x14ac:dyDescent="0.25">
      <c r="A547" s="122"/>
      <c r="B547" s="122"/>
      <c r="C547" s="122"/>
      <c r="D547" s="122"/>
    </row>
    <row r="548" spans="1:4" ht="12.5" x14ac:dyDescent="0.25">
      <c r="A548" s="122"/>
      <c r="B548" s="122"/>
      <c r="C548" s="122"/>
      <c r="D548" s="122"/>
    </row>
    <row r="549" spans="1:4" ht="12.5" x14ac:dyDescent="0.25">
      <c r="A549" s="122"/>
      <c r="B549" s="122"/>
      <c r="C549" s="122"/>
      <c r="D549" s="122"/>
    </row>
    <row r="550" spans="1:4" ht="12.5" x14ac:dyDescent="0.25">
      <c r="A550" s="122"/>
      <c r="B550" s="122"/>
      <c r="C550" s="122"/>
      <c r="D550" s="122"/>
    </row>
    <row r="551" spans="1:4" ht="12.5" x14ac:dyDescent="0.25">
      <c r="A551" s="122"/>
      <c r="B551" s="122"/>
      <c r="C551" s="122"/>
      <c r="D551" s="122"/>
    </row>
    <row r="552" spans="1:4" ht="12.5" x14ac:dyDescent="0.25">
      <c r="A552" s="122"/>
      <c r="B552" s="122"/>
      <c r="C552" s="122"/>
      <c r="D552" s="122"/>
    </row>
    <row r="553" spans="1:4" ht="12.5" x14ac:dyDescent="0.25">
      <c r="A553" s="122"/>
      <c r="B553" s="122"/>
      <c r="C553" s="122"/>
      <c r="D553" s="122"/>
    </row>
    <row r="554" spans="1:4" ht="12.5" x14ac:dyDescent="0.25">
      <c r="A554" s="122"/>
      <c r="B554" s="122"/>
      <c r="C554" s="122"/>
      <c r="D554" s="122"/>
    </row>
    <row r="555" spans="1:4" ht="12.5" x14ac:dyDescent="0.25">
      <c r="A555" s="122"/>
      <c r="B555" s="122"/>
      <c r="C555" s="122"/>
      <c r="D555" s="122"/>
    </row>
    <row r="556" spans="1:4" ht="12.5" x14ac:dyDescent="0.25">
      <c r="A556" s="122"/>
      <c r="B556" s="122"/>
      <c r="C556" s="122"/>
      <c r="D556" s="122"/>
    </row>
    <row r="557" spans="1:4" ht="12.5" x14ac:dyDescent="0.25">
      <c r="A557" s="122"/>
      <c r="B557" s="122"/>
      <c r="C557" s="122"/>
      <c r="D557" s="122"/>
    </row>
    <row r="558" spans="1:4" ht="12.5" x14ac:dyDescent="0.25">
      <c r="A558" s="122"/>
      <c r="B558" s="122"/>
      <c r="C558" s="122"/>
      <c r="D558" s="122"/>
    </row>
    <row r="559" spans="1:4" ht="12.5" x14ac:dyDescent="0.25">
      <c r="A559" s="122"/>
      <c r="B559" s="122"/>
      <c r="C559" s="122"/>
      <c r="D559" s="122"/>
    </row>
    <row r="560" spans="1:4" ht="12.5" x14ac:dyDescent="0.25">
      <c r="A560" s="122"/>
      <c r="B560" s="122"/>
      <c r="C560" s="122"/>
      <c r="D560" s="122"/>
    </row>
    <row r="561" spans="1:4" ht="12.5" x14ac:dyDescent="0.25">
      <c r="A561" s="122"/>
      <c r="B561" s="122"/>
      <c r="C561" s="122"/>
      <c r="D561" s="122"/>
    </row>
    <row r="562" spans="1:4" ht="12.5" x14ac:dyDescent="0.25">
      <c r="A562" s="122"/>
      <c r="B562" s="122"/>
      <c r="C562" s="122"/>
      <c r="D562" s="122"/>
    </row>
    <row r="563" spans="1:4" ht="12.5" x14ac:dyDescent="0.25">
      <c r="A563" s="122"/>
      <c r="B563" s="122"/>
      <c r="C563" s="122"/>
      <c r="D563" s="122"/>
    </row>
    <row r="564" spans="1:4" ht="12.5" x14ac:dyDescent="0.25">
      <c r="A564" s="122"/>
      <c r="B564" s="122"/>
      <c r="C564" s="122"/>
      <c r="D564" s="122"/>
    </row>
    <row r="565" spans="1:4" ht="12.5" x14ac:dyDescent="0.25">
      <c r="A565" s="122"/>
      <c r="B565" s="122"/>
      <c r="C565" s="122"/>
      <c r="D565" s="122"/>
    </row>
    <row r="566" spans="1:4" ht="12.5" x14ac:dyDescent="0.25">
      <c r="A566" s="122"/>
      <c r="B566" s="122"/>
      <c r="C566" s="122"/>
      <c r="D566" s="122"/>
    </row>
    <row r="567" spans="1:4" ht="12.5" x14ac:dyDescent="0.25">
      <c r="A567" s="122"/>
      <c r="B567" s="122"/>
      <c r="C567" s="122"/>
      <c r="D567" s="122"/>
    </row>
    <row r="568" spans="1:4" ht="12.5" x14ac:dyDescent="0.25">
      <c r="A568" s="122"/>
      <c r="B568" s="122"/>
      <c r="C568" s="122"/>
      <c r="D568" s="122"/>
    </row>
    <row r="569" spans="1:4" ht="12.5" x14ac:dyDescent="0.25">
      <c r="A569" s="122"/>
      <c r="B569" s="122"/>
      <c r="C569" s="122"/>
      <c r="D569" s="122"/>
    </row>
    <row r="570" spans="1:4" ht="12.5" x14ac:dyDescent="0.25">
      <c r="A570" s="122"/>
      <c r="B570" s="122"/>
      <c r="C570" s="122"/>
      <c r="D570" s="122"/>
    </row>
    <row r="571" spans="1:4" ht="12.5" x14ac:dyDescent="0.25">
      <c r="A571" s="122"/>
      <c r="B571" s="122"/>
      <c r="C571" s="122"/>
      <c r="D571" s="122"/>
    </row>
    <row r="572" spans="1:4" ht="12.5" x14ac:dyDescent="0.25">
      <c r="A572" s="122"/>
      <c r="B572" s="122"/>
      <c r="C572" s="122"/>
      <c r="D572" s="122"/>
    </row>
    <row r="573" spans="1:4" ht="12.5" x14ac:dyDescent="0.25">
      <c r="A573" s="122"/>
      <c r="B573" s="122"/>
      <c r="C573" s="122"/>
      <c r="D573" s="122"/>
    </row>
    <row r="574" spans="1:4" ht="12.5" x14ac:dyDescent="0.25">
      <c r="A574" s="122"/>
      <c r="B574" s="122"/>
      <c r="C574" s="122"/>
      <c r="D574" s="122"/>
    </row>
    <row r="575" spans="1:4" ht="12.5" x14ac:dyDescent="0.25">
      <c r="A575" s="122"/>
      <c r="B575" s="122"/>
      <c r="C575" s="122"/>
      <c r="D575" s="122"/>
    </row>
    <row r="576" spans="1:4" ht="12.5" x14ac:dyDescent="0.25">
      <c r="A576" s="122"/>
      <c r="B576" s="122"/>
      <c r="C576" s="122"/>
      <c r="D576" s="122"/>
    </row>
    <row r="577" spans="1:4" ht="12.5" x14ac:dyDescent="0.25">
      <c r="A577" s="122"/>
      <c r="B577" s="122"/>
      <c r="C577" s="122"/>
      <c r="D577" s="122"/>
    </row>
    <row r="578" spans="1:4" ht="12.5" x14ac:dyDescent="0.25">
      <c r="A578" s="122"/>
      <c r="B578" s="122"/>
      <c r="C578" s="122"/>
      <c r="D578" s="122"/>
    </row>
    <row r="579" spans="1:4" ht="12.5" x14ac:dyDescent="0.25">
      <c r="A579" s="122"/>
      <c r="B579" s="122"/>
      <c r="C579" s="122"/>
      <c r="D579" s="122"/>
    </row>
    <row r="580" spans="1:4" ht="12.5" x14ac:dyDescent="0.25">
      <c r="A580" s="122"/>
      <c r="B580" s="122"/>
      <c r="C580" s="122"/>
      <c r="D580" s="122"/>
    </row>
    <row r="581" spans="1:4" ht="12.5" x14ac:dyDescent="0.25">
      <c r="A581" s="122"/>
      <c r="B581" s="122"/>
      <c r="C581" s="122"/>
      <c r="D581" s="122"/>
    </row>
    <row r="582" spans="1:4" ht="12.5" x14ac:dyDescent="0.25">
      <c r="A582" s="122"/>
      <c r="B582" s="122"/>
      <c r="C582" s="122"/>
      <c r="D582" s="122"/>
    </row>
    <row r="583" spans="1:4" ht="12.5" x14ac:dyDescent="0.25">
      <c r="A583" s="122"/>
      <c r="B583" s="122"/>
      <c r="C583" s="122"/>
      <c r="D583" s="122"/>
    </row>
    <row r="584" spans="1:4" ht="12.5" x14ac:dyDescent="0.25">
      <c r="A584" s="122"/>
      <c r="B584" s="122"/>
      <c r="C584" s="122"/>
      <c r="D584" s="122"/>
    </row>
    <row r="585" spans="1:4" ht="12.5" x14ac:dyDescent="0.25">
      <c r="A585" s="122"/>
      <c r="B585" s="122"/>
      <c r="C585" s="122"/>
      <c r="D585" s="122"/>
    </row>
    <row r="586" spans="1:4" ht="12.5" x14ac:dyDescent="0.25">
      <c r="A586" s="122"/>
      <c r="B586" s="122"/>
      <c r="C586" s="122"/>
      <c r="D586" s="122"/>
    </row>
    <row r="587" spans="1:4" ht="12.5" x14ac:dyDescent="0.25">
      <c r="A587" s="122"/>
      <c r="B587" s="122"/>
      <c r="C587" s="122"/>
      <c r="D587" s="122"/>
    </row>
    <row r="588" spans="1:4" ht="12.5" x14ac:dyDescent="0.25">
      <c r="A588" s="122"/>
      <c r="B588" s="122"/>
      <c r="C588" s="122"/>
      <c r="D588" s="122"/>
    </row>
    <row r="589" spans="1:4" ht="12.5" x14ac:dyDescent="0.25">
      <c r="A589" s="122"/>
      <c r="B589" s="122"/>
      <c r="C589" s="122"/>
      <c r="D589" s="122"/>
    </row>
    <row r="590" spans="1:4" ht="12.5" x14ac:dyDescent="0.25">
      <c r="A590" s="122"/>
      <c r="B590" s="122"/>
      <c r="C590" s="122"/>
      <c r="D590" s="122"/>
    </row>
    <row r="591" spans="1:4" ht="12.5" x14ac:dyDescent="0.25">
      <c r="A591" s="122"/>
      <c r="B591" s="122"/>
      <c r="C591" s="122"/>
      <c r="D591" s="122"/>
    </row>
    <row r="592" spans="1:4" ht="12.5" x14ac:dyDescent="0.25">
      <c r="A592" s="122"/>
      <c r="B592" s="122"/>
      <c r="C592" s="122"/>
      <c r="D592" s="122"/>
    </row>
    <row r="593" spans="1:4" ht="12.5" x14ac:dyDescent="0.25">
      <c r="A593" s="122"/>
      <c r="B593" s="122"/>
      <c r="C593" s="122"/>
      <c r="D593" s="122"/>
    </row>
    <row r="594" spans="1:4" ht="12.5" x14ac:dyDescent="0.25">
      <c r="A594" s="122"/>
      <c r="B594" s="122"/>
      <c r="C594" s="122"/>
      <c r="D594" s="122"/>
    </row>
    <row r="595" spans="1:4" ht="12.5" x14ac:dyDescent="0.25">
      <c r="A595" s="122"/>
      <c r="B595" s="122"/>
      <c r="C595" s="122"/>
      <c r="D595" s="122"/>
    </row>
    <row r="596" spans="1:4" ht="12.5" x14ac:dyDescent="0.25">
      <c r="A596" s="122"/>
      <c r="B596" s="122"/>
      <c r="C596" s="122"/>
      <c r="D596" s="122"/>
    </row>
    <row r="597" spans="1:4" ht="12.5" x14ac:dyDescent="0.25">
      <c r="A597" s="122"/>
      <c r="B597" s="122"/>
      <c r="C597" s="122"/>
      <c r="D597" s="122"/>
    </row>
    <row r="598" spans="1:4" ht="12.5" x14ac:dyDescent="0.25">
      <c r="A598" s="122"/>
      <c r="B598" s="122"/>
      <c r="C598" s="122"/>
      <c r="D598" s="122"/>
    </row>
    <row r="599" spans="1:4" ht="12.5" x14ac:dyDescent="0.25">
      <c r="A599" s="122"/>
      <c r="B599" s="122"/>
      <c r="C599" s="122"/>
      <c r="D599" s="122"/>
    </row>
    <row r="600" spans="1:4" ht="12.5" x14ac:dyDescent="0.25">
      <c r="A600" s="122"/>
      <c r="B600" s="122"/>
      <c r="C600" s="122"/>
      <c r="D600" s="122"/>
    </row>
    <row r="601" spans="1:4" ht="12.5" x14ac:dyDescent="0.25">
      <c r="A601" s="122"/>
      <c r="B601" s="122"/>
      <c r="C601" s="122"/>
      <c r="D601" s="122"/>
    </row>
    <row r="602" spans="1:4" ht="12.5" x14ac:dyDescent="0.25">
      <c r="A602" s="122"/>
      <c r="B602" s="122"/>
      <c r="C602" s="122"/>
      <c r="D602" s="122"/>
    </row>
    <row r="603" spans="1:4" ht="12.5" x14ac:dyDescent="0.25">
      <c r="A603" s="122"/>
      <c r="B603" s="122"/>
      <c r="C603" s="122"/>
      <c r="D603" s="122"/>
    </row>
    <row r="604" spans="1:4" ht="12.5" x14ac:dyDescent="0.25">
      <c r="A604" s="122"/>
      <c r="B604" s="122"/>
      <c r="C604" s="122"/>
      <c r="D604" s="122"/>
    </row>
    <row r="605" spans="1:4" ht="12.5" x14ac:dyDescent="0.25">
      <c r="A605" s="122"/>
      <c r="B605" s="122"/>
      <c r="C605" s="122"/>
      <c r="D605" s="122"/>
    </row>
    <row r="606" spans="1:4" ht="12.5" x14ac:dyDescent="0.25">
      <c r="A606" s="122"/>
      <c r="B606" s="122"/>
      <c r="C606" s="122"/>
      <c r="D606" s="122"/>
    </row>
    <row r="607" spans="1:4" ht="12.5" x14ac:dyDescent="0.25">
      <c r="A607" s="122"/>
      <c r="B607" s="122"/>
      <c r="C607" s="122"/>
      <c r="D607" s="122"/>
    </row>
    <row r="608" spans="1:4" ht="12.5" x14ac:dyDescent="0.25">
      <c r="A608" s="122"/>
      <c r="B608" s="122"/>
      <c r="C608" s="122"/>
      <c r="D608" s="122"/>
    </row>
    <row r="609" spans="1:4" ht="12.5" x14ac:dyDescent="0.25">
      <c r="A609" s="122"/>
      <c r="B609" s="122"/>
      <c r="C609" s="122"/>
      <c r="D609" s="122"/>
    </row>
    <row r="610" spans="1:4" ht="12.5" x14ac:dyDescent="0.25">
      <c r="A610" s="122"/>
      <c r="B610" s="122"/>
      <c r="C610" s="122"/>
      <c r="D610" s="122"/>
    </row>
    <row r="611" spans="1:4" ht="12.5" x14ac:dyDescent="0.25">
      <c r="A611" s="122"/>
      <c r="B611" s="122"/>
      <c r="C611" s="122"/>
      <c r="D611" s="122"/>
    </row>
    <row r="612" spans="1:4" ht="12.5" x14ac:dyDescent="0.25">
      <c r="A612" s="122"/>
      <c r="B612" s="122"/>
      <c r="C612" s="122"/>
      <c r="D612" s="122"/>
    </row>
    <row r="613" spans="1:4" ht="12.5" x14ac:dyDescent="0.25">
      <c r="A613" s="122"/>
      <c r="B613" s="122"/>
      <c r="C613" s="122"/>
      <c r="D613" s="122"/>
    </row>
    <row r="614" spans="1:4" ht="12.5" x14ac:dyDescent="0.25">
      <c r="A614" s="122"/>
      <c r="B614" s="122"/>
      <c r="C614" s="122"/>
      <c r="D614" s="122"/>
    </row>
    <row r="615" spans="1:4" ht="12.5" x14ac:dyDescent="0.25">
      <c r="A615" s="122"/>
      <c r="B615" s="122"/>
      <c r="C615" s="122"/>
      <c r="D615" s="122"/>
    </row>
    <row r="616" spans="1:4" ht="12.5" x14ac:dyDescent="0.25">
      <c r="A616" s="122"/>
      <c r="B616" s="122"/>
      <c r="C616" s="122"/>
      <c r="D616" s="122"/>
    </row>
    <row r="617" spans="1:4" ht="12.5" x14ac:dyDescent="0.25">
      <c r="A617" s="122"/>
      <c r="B617" s="122"/>
      <c r="C617" s="122"/>
      <c r="D617" s="122"/>
    </row>
    <row r="618" spans="1:4" ht="12.5" x14ac:dyDescent="0.25">
      <c r="A618" s="122"/>
      <c r="B618" s="122"/>
      <c r="C618" s="122"/>
      <c r="D618" s="122"/>
    </row>
    <row r="619" spans="1:4" ht="12.5" x14ac:dyDescent="0.25">
      <c r="A619" s="122"/>
      <c r="B619" s="122"/>
      <c r="C619" s="122"/>
      <c r="D619" s="122"/>
    </row>
    <row r="620" spans="1:4" ht="12.5" x14ac:dyDescent="0.25">
      <c r="A620" s="122"/>
      <c r="B620" s="122"/>
      <c r="C620" s="122"/>
      <c r="D620" s="122"/>
    </row>
    <row r="621" spans="1:4" ht="12.5" x14ac:dyDescent="0.25">
      <c r="A621" s="122"/>
      <c r="B621" s="122"/>
      <c r="C621" s="122"/>
      <c r="D621" s="122"/>
    </row>
    <row r="622" spans="1:4" ht="12.5" x14ac:dyDescent="0.25">
      <c r="A622" s="122"/>
      <c r="B622" s="122"/>
      <c r="C622" s="122"/>
      <c r="D622" s="122"/>
    </row>
    <row r="623" spans="1:4" ht="12.5" x14ac:dyDescent="0.25">
      <c r="A623" s="122"/>
      <c r="B623" s="122"/>
      <c r="C623" s="122"/>
      <c r="D623" s="122"/>
    </row>
    <row r="624" spans="1:4" ht="12.5" x14ac:dyDescent="0.25">
      <c r="A624" s="122"/>
      <c r="B624" s="122"/>
      <c r="C624" s="122"/>
      <c r="D624" s="122"/>
    </row>
    <row r="625" spans="1:4" ht="12.5" x14ac:dyDescent="0.25">
      <c r="A625" s="122"/>
      <c r="B625" s="122"/>
      <c r="C625" s="122"/>
      <c r="D625" s="122"/>
    </row>
    <row r="626" spans="1:4" ht="12.5" x14ac:dyDescent="0.25">
      <c r="A626" s="122"/>
      <c r="B626" s="122"/>
      <c r="C626" s="122"/>
      <c r="D626" s="122"/>
    </row>
    <row r="627" spans="1:4" ht="12.5" x14ac:dyDescent="0.25">
      <c r="A627" s="122"/>
      <c r="B627" s="122"/>
      <c r="C627" s="122"/>
      <c r="D627" s="122"/>
    </row>
    <row r="628" spans="1:4" ht="12.5" x14ac:dyDescent="0.25">
      <c r="A628" s="122"/>
      <c r="B628" s="122"/>
      <c r="C628" s="122"/>
      <c r="D628" s="122"/>
    </row>
    <row r="629" spans="1:4" ht="12.5" x14ac:dyDescent="0.25">
      <c r="A629" s="122"/>
      <c r="B629" s="122"/>
      <c r="C629" s="122"/>
      <c r="D629" s="122"/>
    </row>
    <row r="630" spans="1:4" ht="12.5" x14ac:dyDescent="0.25">
      <c r="A630" s="122"/>
      <c r="B630" s="122"/>
      <c r="C630" s="122"/>
      <c r="D630" s="122"/>
    </row>
    <row r="631" spans="1:4" ht="12.5" x14ac:dyDescent="0.25">
      <c r="A631" s="122"/>
      <c r="B631" s="122"/>
      <c r="C631" s="122"/>
      <c r="D631" s="122"/>
    </row>
    <row r="632" spans="1:4" ht="12.5" x14ac:dyDescent="0.25">
      <c r="A632" s="122"/>
      <c r="B632" s="122"/>
      <c r="C632" s="122"/>
      <c r="D632" s="122"/>
    </row>
    <row r="633" spans="1:4" ht="12.5" x14ac:dyDescent="0.25">
      <c r="A633" s="122"/>
      <c r="B633" s="122"/>
      <c r="C633" s="122"/>
      <c r="D633" s="122"/>
    </row>
    <row r="634" spans="1:4" ht="12.5" x14ac:dyDescent="0.25">
      <c r="A634" s="122"/>
      <c r="B634" s="122"/>
      <c r="C634" s="122"/>
      <c r="D634" s="122"/>
    </row>
    <row r="635" spans="1:4" ht="12.5" x14ac:dyDescent="0.25">
      <c r="A635" s="122"/>
      <c r="B635" s="122"/>
      <c r="C635" s="122"/>
      <c r="D635" s="122"/>
    </row>
    <row r="636" spans="1:4" ht="12.5" x14ac:dyDescent="0.25">
      <c r="A636" s="122"/>
      <c r="B636" s="122"/>
      <c r="C636" s="122"/>
      <c r="D636" s="122"/>
    </row>
    <row r="637" spans="1:4" ht="12.5" x14ac:dyDescent="0.25">
      <c r="A637" s="122"/>
      <c r="B637" s="122"/>
      <c r="C637" s="122"/>
      <c r="D637" s="122"/>
    </row>
    <row r="638" spans="1:4" ht="12.5" x14ac:dyDescent="0.25">
      <c r="A638" s="122"/>
      <c r="B638" s="122"/>
      <c r="C638" s="122"/>
      <c r="D638" s="122"/>
    </row>
    <row r="639" spans="1:4" ht="12.5" x14ac:dyDescent="0.25">
      <c r="A639" s="122"/>
      <c r="B639" s="122"/>
      <c r="C639" s="122"/>
      <c r="D639" s="122"/>
    </row>
    <row r="640" spans="1:4" ht="12.5" x14ac:dyDescent="0.25">
      <c r="A640" s="122"/>
      <c r="B640" s="122"/>
      <c r="C640" s="122"/>
      <c r="D640" s="122"/>
    </row>
    <row r="641" spans="1:4" ht="12.5" x14ac:dyDescent="0.25">
      <c r="A641" s="122"/>
      <c r="B641" s="122"/>
      <c r="C641" s="122"/>
      <c r="D641" s="122"/>
    </row>
    <row r="642" spans="1:4" ht="12.5" x14ac:dyDescent="0.25">
      <c r="A642" s="122"/>
      <c r="B642" s="122"/>
      <c r="C642" s="122"/>
      <c r="D642" s="122"/>
    </row>
    <row r="643" spans="1:4" ht="12.5" x14ac:dyDescent="0.25">
      <c r="A643" s="122"/>
      <c r="B643" s="122"/>
      <c r="C643" s="122"/>
      <c r="D643" s="122"/>
    </row>
    <row r="644" spans="1:4" ht="12.5" x14ac:dyDescent="0.25">
      <c r="A644" s="122"/>
      <c r="B644" s="122"/>
      <c r="C644" s="122"/>
      <c r="D644" s="122"/>
    </row>
    <row r="645" spans="1:4" ht="12.5" x14ac:dyDescent="0.25">
      <c r="A645" s="122"/>
      <c r="B645" s="122"/>
      <c r="C645" s="122"/>
      <c r="D645" s="122"/>
    </row>
    <row r="646" spans="1:4" ht="12.5" x14ac:dyDescent="0.25">
      <c r="A646" s="122"/>
      <c r="B646" s="122"/>
      <c r="C646" s="122"/>
      <c r="D646" s="122"/>
    </row>
    <row r="647" spans="1:4" ht="12.5" x14ac:dyDescent="0.25">
      <c r="A647" s="122"/>
      <c r="B647" s="122"/>
      <c r="C647" s="122"/>
      <c r="D647" s="122"/>
    </row>
    <row r="648" spans="1:4" ht="12.5" x14ac:dyDescent="0.25">
      <c r="A648" s="122"/>
      <c r="B648" s="122"/>
      <c r="C648" s="122"/>
      <c r="D648" s="122"/>
    </row>
    <row r="649" spans="1:4" ht="12.5" x14ac:dyDescent="0.25">
      <c r="A649" s="122"/>
      <c r="B649" s="122"/>
      <c r="C649" s="122"/>
      <c r="D649" s="122"/>
    </row>
    <row r="650" spans="1:4" ht="12.5" x14ac:dyDescent="0.25">
      <c r="A650" s="122"/>
      <c r="B650" s="122"/>
      <c r="C650" s="122"/>
      <c r="D650" s="122"/>
    </row>
    <row r="651" spans="1:4" ht="12.5" x14ac:dyDescent="0.25">
      <c r="A651" s="122"/>
      <c r="B651" s="122"/>
      <c r="C651" s="122"/>
      <c r="D651" s="122"/>
    </row>
    <row r="652" spans="1:4" ht="12.5" x14ac:dyDescent="0.25">
      <c r="A652" s="122"/>
      <c r="B652" s="122"/>
      <c r="C652" s="122"/>
      <c r="D652" s="122"/>
    </row>
    <row r="653" spans="1:4" ht="12.5" x14ac:dyDescent="0.25">
      <c r="A653" s="122"/>
      <c r="B653" s="122"/>
      <c r="C653" s="122"/>
      <c r="D653" s="122"/>
    </row>
    <row r="654" spans="1:4" ht="12.5" x14ac:dyDescent="0.25">
      <c r="A654" s="122"/>
      <c r="B654" s="122"/>
      <c r="C654" s="122"/>
      <c r="D654" s="122"/>
    </row>
    <row r="655" spans="1:4" ht="12.5" x14ac:dyDescent="0.25">
      <c r="A655" s="122"/>
      <c r="B655" s="122"/>
      <c r="C655" s="122"/>
      <c r="D655" s="122"/>
    </row>
    <row r="656" spans="1:4" ht="12.5" x14ac:dyDescent="0.25">
      <c r="A656" s="122"/>
      <c r="B656" s="122"/>
      <c r="C656" s="122"/>
      <c r="D656" s="122"/>
    </row>
    <row r="657" spans="1:4" ht="12.5" x14ac:dyDescent="0.25">
      <c r="A657" s="122"/>
      <c r="B657" s="122"/>
      <c r="C657" s="122"/>
      <c r="D657" s="122"/>
    </row>
    <row r="658" spans="1:4" ht="12.5" x14ac:dyDescent="0.25">
      <c r="A658" s="122"/>
      <c r="B658" s="122"/>
      <c r="C658" s="122"/>
      <c r="D658" s="122"/>
    </row>
    <row r="659" spans="1:4" ht="12.5" x14ac:dyDescent="0.25">
      <c r="A659" s="122"/>
      <c r="B659" s="122"/>
      <c r="C659" s="122"/>
      <c r="D659" s="122"/>
    </row>
    <row r="660" spans="1:4" ht="12.5" x14ac:dyDescent="0.25">
      <c r="A660" s="122"/>
      <c r="B660" s="122"/>
      <c r="C660" s="122"/>
      <c r="D660" s="122"/>
    </row>
    <row r="661" spans="1:4" ht="12.5" x14ac:dyDescent="0.25">
      <c r="A661" s="122"/>
      <c r="B661" s="122"/>
      <c r="C661" s="122"/>
      <c r="D661" s="122"/>
    </row>
    <row r="662" spans="1:4" ht="12.5" x14ac:dyDescent="0.25">
      <c r="A662" s="122"/>
      <c r="B662" s="122"/>
      <c r="C662" s="122"/>
      <c r="D662" s="122"/>
    </row>
    <row r="663" spans="1:4" ht="12.5" x14ac:dyDescent="0.25">
      <c r="A663" s="122"/>
      <c r="B663" s="122"/>
      <c r="C663" s="122"/>
      <c r="D663" s="122"/>
    </row>
    <row r="664" spans="1:4" ht="12.5" x14ac:dyDescent="0.25">
      <c r="A664" s="122"/>
      <c r="B664" s="122"/>
      <c r="C664" s="122"/>
      <c r="D664" s="122"/>
    </row>
    <row r="665" spans="1:4" ht="12.5" x14ac:dyDescent="0.25">
      <c r="A665" s="122"/>
      <c r="B665" s="122"/>
      <c r="C665" s="122"/>
      <c r="D665" s="122"/>
    </row>
    <row r="666" spans="1:4" ht="12.5" x14ac:dyDescent="0.25">
      <c r="A666" s="122"/>
      <c r="B666" s="122"/>
      <c r="C666" s="122"/>
      <c r="D666" s="122"/>
    </row>
    <row r="667" spans="1:4" ht="12.5" x14ac:dyDescent="0.25">
      <c r="A667" s="122"/>
      <c r="B667" s="122"/>
      <c r="C667" s="122"/>
      <c r="D667" s="122"/>
    </row>
    <row r="668" spans="1:4" ht="12.5" x14ac:dyDescent="0.25">
      <c r="A668" s="122"/>
      <c r="B668" s="122"/>
      <c r="C668" s="122"/>
      <c r="D668" s="122"/>
    </row>
    <row r="669" spans="1:4" ht="12.5" x14ac:dyDescent="0.25">
      <c r="A669" s="122"/>
      <c r="B669" s="122"/>
      <c r="C669" s="122"/>
      <c r="D669" s="122"/>
    </row>
    <row r="670" spans="1:4" ht="12.5" x14ac:dyDescent="0.25">
      <c r="A670" s="122"/>
      <c r="B670" s="122"/>
      <c r="C670" s="122"/>
      <c r="D670" s="122"/>
    </row>
    <row r="671" spans="1:4" ht="12.5" x14ac:dyDescent="0.25">
      <c r="A671" s="122"/>
      <c r="B671" s="122"/>
      <c r="C671" s="122"/>
      <c r="D671" s="122"/>
    </row>
    <row r="672" spans="1:4" ht="12.5" x14ac:dyDescent="0.25">
      <c r="A672" s="122"/>
      <c r="B672" s="122"/>
      <c r="C672" s="122"/>
      <c r="D672" s="122"/>
    </row>
    <row r="673" spans="1:4" ht="12.5" x14ac:dyDescent="0.25">
      <c r="A673" s="122"/>
      <c r="B673" s="122"/>
      <c r="C673" s="122"/>
      <c r="D673" s="122"/>
    </row>
    <row r="674" spans="1:4" ht="12.5" x14ac:dyDescent="0.25">
      <c r="A674" s="122"/>
      <c r="B674" s="122"/>
      <c r="C674" s="122"/>
      <c r="D674" s="122"/>
    </row>
    <row r="675" spans="1:4" ht="12.5" x14ac:dyDescent="0.25">
      <c r="A675" s="122"/>
      <c r="B675" s="122"/>
      <c r="C675" s="122"/>
      <c r="D675" s="122"/>
    </row>
    <row r="676" spans="1:4" ht="12.5" x14ac:dyDescent="0.25">
      <c r="A676" s="122"/>
      <c r="B676" s="122"/>
      <c r="C676" s="122"/>
      <c r="D676" s="122"/>
    </row>
    <row r="677" spans="1:4" ht="12.5" x14ac:dyDescent="0.25">
      <c r="A677" s="122"/>
      <c r="B677" s="122"/>
      <c r="C677" s="122"/>
      <c r="D677" s="122"/>
    </row>
    <row r="678" spans="1:4" ht="12.5" x14ac:dyDescent="0.25">
      <c r="A678" s="122"/>
      <c r="B678" s="122"/>
      <c r="C678" s="122"/>
      <c r="D678" s="122"/>
    </row>
    <row r="679" spans="1:4" ht="12.5" x14ac:dyDescent="0.25">
      <c r="A679" s="122"/>
      <c r="B679" s="122"/>
      <c r="C679" s="122"/>
      <c r="D679" s="122"/>
    </row>
    <row r="680" spans="1:4" ht="12.5" x14ac:dyDescent="0.25">
      <c r="A680" s="122"/>
      <c r="B680" s="122"/>
      <c r="C680" s="122"/>
      <c r="D680" s="122"/>
    </row>
    <row r="681" spans="1:4" ht="12.5" x14ac:dyDescent="0.25">
      <c r="A681" s="122"/>
      <c r="B681" s="122"/>
      <c r="C681" s="122"/>
      <c r="D681" s="122"/>
    </row>
    <row r="682" spans="1:4" ht="12.5" x14ac:dyDescent="0.25">
      <c r="A682" s="122"/>
      <c r="B682" s="122"/>
      <c r="C682" s="122"/>
      <c r="D682" s="122"/>
    </row>
    <row r="683" spans="1:4" ht="12.5" x14ac:dyDescent="0.25">
      <c r="A683" s="122"/>
      <c r="B683" s="122"/>
      <c r="C683" s="122"/>
      <c r="D683" s="122"/>
    </row>
    <row r="684" spans="1:4" ht="12.5" x14ac:dyDescent="0.25">
      <c r="A684" s="122"/>
      <c r="B684" s="122"/>
      <c r="C684" s="122"/>
      <c r="D684" s="122"/>
    </row>
    <row r="685" spans="1:4" ht="12.5" x14ac:dyDescent="0.25">
      <c r="A685" s="122"/>
      <c r="B685" s="122"/>
      <c r="C685" s="122"/>
      <c r="D685" s="122"/>
    </row>
    <row r="686" spans="1:4" ht="12.5" x14ac:dyDescent="0.25">
      <c r="A686" s="122"/>
      <c r="B686" s="122"/>
      <c r="C686" s="122"/>
      <c r="D686" s="122"/>
    </row>
    <row r="687" spans="1:4" ht="12.5" x14ac:dyDescent="0.25">
      <c r="A687" s="122"/>
      <c r="B687" s="122"/>
      <c r="C687" s="122"/>
      <c r="D687" s="122"/>
    </row>
    <row r="688" spans="1:4" ht="12.5" x14ac:dyDescent="0.25">
      <c r="A688" s="122"/>
      <c r="B688" s="122"/>
      <c r="C688" s="122"/>
      <c r="D688" s="122"/>
    </row>
    <row r="689" spans="1:4" ht="12.5" x14ac:dyDescent="0.25">
      <c r="A689" s="122"/>
      <c r="B689" s="122"/>
      <c r="C689" s="122"/>
      <c r="D689" s="122"/>
    </row>
    <row r="690" spans="1:4" ht="12.5" x14ac:dyDescent="0.25">
      <c r="A690" s="122"/>
      <c r="B690" s="122"/>
      <c r="C690" s="122"/>
      <c r="D690" s="122"/>
    </row>
    <row r="691" spans="1:4" ht="12.5" x14ac:dyDescent="0.25">
      <c r="A691" s="122"/>
      <c r="B691" s="122"/>
      <c r="C691" s="122"/>
      <c r="D691" s="122"/>
    </row>
    <row r="692" spans="1:4" ht="12.5" x14ac:dyDescent="0.25">
      <c r="A692" s="122"/>
      <c r="B692" s="122"/>
      <c r="C692" s="122"/>
      <c r="D692" s="122"/>
    </row>
    <row r="693" spans="1:4" ht="12.5" x14ac:dyDescent="0.25">
      <c r="A693" s="122"/>
      <c r="B693" s="122"/>
      <c r="C693" s="122"/>
      <c r="D693" s="122"/>
    </row>
    <row r="694" spans="1:4" ht="12.5" x14ac:dyDescent="0.25">
      <c r="A694" s="122"/>
      <c r="B694" s="122"/>
      <c r="C694" s="122"/>
      <c r="D694" s="122"/>
    </row>
    <row r="695" spans="1:4" ht="12.5" x14ac:dyDescent="0.25">
      <c r="A695" s="122"/>
      <c r="B695" s="122"/>
      <c r="C695" s="122"/>
      <c r="D695" s="122"/>
    </row>
    <row r="696" spans="1:4" ht="12.5" x14ac:dyDescent="0.25">
      <c r="A696" s="122"/>
      <c r="B696" s="122"/>
      <c r="C696" s="122"/>
      <c r="D696" s="122"/>
    </row>
    <row r="697" spans="1:4" ht="12.5" x14ac:dyDescent="0.25">
      <c r="A697" s="122"/>
      <c r="B697" s="122"/>
      <c r="C697" s="122"/>
      <c r="D697" s="122"/>
    </row>
    <row r="698" spans="1:4" ht="12.5" x14ac:dyDescent="0.25">
      <c r="A698" s="122"/>
      <c r="B698" s="122"/>
      <c r="C698" s="122"/>
      <c r="D698" s="122"/>
    </row>
    <row r="699" spans="1:4" ht="12.5" x14ac:dyDescent="0.25">
      <c r="A699" s="122"/>
      <c r="B699" s="122"/>
      <c r="C699" s="122"/>
      <c r="D699" s="122"/>
    </row>
    <row r="700" spans="1:4" ht="12.5" x14ac:dyDescent="0.25">
      <c r="A700" s="122"/>
      <c r="B700" s="122"/>
      <c r="C700" s="122"/>
      <c r="D700" s="122"/>
    </row>
    <row r="701" spans="1:4" ht="12.5" x14ac:dyDescent="0.25">
      <c r="A701" s="122"/>
      <c r="B701" s="122"/>
      <c r="C701" s="122"/>
      <c r="D701" s="122"/>
    </row>
    <row r="702" spans="1:4" ht="12.5" x14ac:dyDescent="0.25">
      <c r="A702" s="122"/>
      <c r="B702" s="122"/>
      <c r="C702" s="122"/>
      <c r="D702" s="122"/>
    </row>
    <row r="703" spans="1:4" ht="12.5" x14ac:dyDescent="0.25">
      <c r="A703" s="122"/>
      <c r="B703" s="122"/>
      <c r="C703" s="122"/>
      <c r="D703" s="122"/>
    </row>
    <row r="704" spans="1:4" ht="12.5" x14ac:dyDescent="0.25">
      <c r="A704" s="122"/>
      <c r="B704" s="122"/>
      <c r="C704" s="122"/>
      <c r="D704" s="122"/>
    </row>
    <row r="705" spans="1:4" ht="12.5" x14ac:dyDescent="0.25">
      <c r="A705" s="122"/>
      <c r="B705" s="122"/>
      <c r="C705" s="122"/>
      <c r="D705" s="122"/>
    </row>
    <row r="706" spans="1:4" ht="12.5" x14ac:dyDescent="0.25">
      <c r="A706" s="122"/>
      <c r="B706" s="122"/>
      <c r="C706" s="122"/>
      <c r="D706" s="122"/>
    </row>
    <row r="707" spans="1:4" ht="12.5" x14ac:dyDescent="0.25">
      <c r="A707" s="122"/>
      <c r="B707" s="122"/>
      <c r="C707" s="122"/>
      <c r="D707" s="122"/>
    </row>
    <row r="708" spans="1:4" ht="12.5" x14ac:dyDescent="0.25">
      <c r="A708" s="122"/>
      <c r="B708" s="122"/>
      <c r="C708" s="122"/>
      <c r="D708" s="122"/>
    </row>
    <row r="709" spans="1:4" ht="12.5" x14ac:dyDescent="0.25">
      <c r="A709" s="122"/>
      <c r="B709" s="122"/>
      <c r="C709" s="122"/>
      <c r="D709" s="122"/>
    </row>
    <row r="710" spans="1:4" ht="12.5" x14ac:dyDescent="0.25">
      <c r="A710" s="122"/>
      <c r="B710" s="122"/>
      <c r="C710" s="122"/>
      <c r="D710" s="122"/>
    </row>
    <row r="711" spans="1:4" ht="12.5" x14ac:dyDescent="0.25">
      <c r="A711" s="122"/>
      <c r="B711" s="122"/>
      <c r="C711" s="122"/>
      <c r="D711" s="122"/>
    </row>
    <row r="712" spans="1:4" ht="12.5" x14ac:dyDescent="0.25">
      <c r="A712" s="122"/>
      <c r="B712" s="122"/>
      <c r="C712" s="122"/>
      <c r="D712" s="122"/>
    </row>
    <row r="713" spans="1:4" ht="12.5" x14ac:dyDescent="0.25">
      <c r="A713" s="122"/>
      <c r="B713" s="122"/>
      <c r="C713" s="122"/>
      <c r="D713" s="122"/>
    </row>
    <row r="714" spans="1:4" ht="12.5" x14ac:dyDescent="0.25">
      <c r="A714" s="122"/>
      <c r="B714" s="122"/>
      <c r="C714" s="122"/>
      <c r="D714" s="122"/>
    </row>
    <row r="715" spans="1:4" ht="12.5" x14ac:dyDescent="0.25">
      <c r="A715" s="122"/>
      <c r="B715" s="122"/>
      <c r="C715" s="122"/>
      <c r="D715" s="122"/>
    </row>
    <row r="716" spans="1:4" ht="12.5" x14ac:dyDescent="0.25">
      <c r="A716" s="122"/>
      <c r="B716" s="122"/>
      <c r="C716" s="122"/>
      <c r="D716" s="122"/>
    </row>
    <row r="717" spans="1:4" ht="12.5" x14ac:dyDescent="0.25">
      <c r="A717" s="122"/>
      <c r="B717" s="122"/>
      <c r="C717" s="122"/>
      <c r="D717" s="122"/>
    </row>
    <row r="718" spans="1:4" ht="12.5" x14ac:dyDescent="0.25">
      <c r="A718" s="122"/>
      <c r="B718" s="122"/>
      <c r="C718" s="122"/>
      <c r="D718" s="122"/>
    </row>
    <row r="719" spans="1:4" ht="12.5" x14ac:dyDescent="0.25">
      <c r="A719" s="122"/>
      <c r="B719" s="122"/>
      <c r="C719" s="122"/>
      <c r="D719" s="122"/>
    </row>
    <row r="720" spans="1:4" ht="12.5" x14ac:dyDescent="0.25">
      <c r="A720" s="122"/>
      <c r="B720" s="122"/>
      <c r="C720" s="122"/>
      <c r="D720" s="122"/>
    </row>
    <row r="721" spans="1:4" ht="12.5" x14ac:dyDescent="0.25">
      <c r="A721" s="122"/>
      <c r="B721" s="122"/>
      <c r="C721" s="122"/>
      <c r="D721" s="122"/>
    </row>
    <row r="722" spans="1:4" ht="12.5" x14ac:dyDescent="0.25">
      <c r="A722" s="122"/>
      <c r="B722" s="122"/>
      <c r="C722" s="122"/>
      <c r="D722" s="122"/>
    </row>
    <row r="723" spans="1:4" ht="12.5" x14ac:dyDescent="0.25">
      <c r="A723" s="122"/>
      <c r="B723" s="122"/>
      <c r="C723" s="122"/>
      <c r="D723" s="122"/>
    </row>
    <row r="724" spans="1:4" ht="12.5" x14ac:dyDescent="0.25">
      <c r="A724" s="122"/>
      <c r="B724" s="122"/>
      <c r="C724" s="122"/>
      <c r="D724" s="122"/>
    </row>
    <row r="725" spans="1:4" ht="12.5" x14ac:dyDescent="0.25">
      <c r="A725" s="122"/>
      <c r="B725" s="122"/>
      <c r="C725" s="122"/>
      <c r="D725" s="122"/>
    </row>
    <row r="726" spans="1:4" ht="12.5" x14ac:dyDescent="0.25">
      <c r="A726" s="122"/>
      <c r="B726" s="122"/>
      <c r="C726" s="122"/>
      <c r="D726" s="122"/>
    </row>
    <row r="727" spans="1:4" ht="12.5" x14ac:dyDescent="0.25">
      <c r="A727" s="122"/>
      <c r="B727" s="122"/>
      <c r="C727" s="122"/>
      <c r="D727" s="122"/>
    </row>
    <row r="728" spans="1:4" ht="12.5" x14ac:dyDescent="0.25">
      <c r="A728" s="122"/>
      <c r="B728" s="122"/>
      <c r="C728" s="122"/>
      <c r="D728" s="122"/>
    </row>
    <row r="729" spans="1:4" ht="12.5" x14ac:dyDescent="0.25">
      <c r="A729" s="122"/>
      <c r="B729" s="122"/>
      <c r="C729" s="122"/>
      <c r="D729" s="122"/>
    </row>
    <row r="730" spans="1:4" ht="12.5" x14ac:dyDescent="0.25">
      <c r="A730" s="122"/>
      <c r="B730" s="122"/>
      <c r="C730" s="122"/>
      <c r="D730" s="122"/>
    </row>
    <row r="731" spans="1:4" ht="12.5" x14ac:dyDescent="0.25">
      <c r="A731" s="122"/>
      <c r="B731" s="122"/>
      <c r="C731" s="122"/>
      <c r="D731" s="122"/>
    </row>
    <row r="732" spans="1:4" ht="12.5" x14ac:dyDescent="0.25">
      <c r="A732" s="122"/>
      <c r="B732" s="122"/>
      <c r="C732" s="122"/>
      <c r="D732" s="122"/>
    </row>
    <row r="733" spans="1:4" ht="12.5" x14ac:dyDescent="0.25">
      <c r="A733" s="122"/>
      <c r="B733" s="122"/>
      <c r="C733" s="122"/>
      <c r="D733" s="122"/>
    </row>
    <row r="734" spans="1:4" ht="12.5" x14ac:dyDescent="0.25">
      <c r="A734" s="122"/>
      <c r="B734" s="122"/>
      <c r="C734" s="122"/>
      <c r="D734" s="122"/>
    </row>
    <row r="735" spans="1:4" ht="12.5" x14ac:dyDescent="0.25">
      <c r="A735" s="122"/>
      <c r="B735" s="122"/>
      <c r="C735" s="122"/>
      <c r="D735" s="122"/>
    </row>
    <row r="736" spans="1:4" ht="12.5" x14ac:dyDescent="0.25">
      <c r="A736" s="122"/>
      <c r="B736" s="122"/>
      <c r="C736" s="122"/>
      <c r="D736" s="122"/>
    </row>
    <row r="737" spans="1:4" ht="12.5" x14ac:dyDescent="0.25">
      <c r="A737" s="122"/>
      <c r="B737" s="122"/>
      <c r="C737" s="122"/>
      <c r="D737" s="122"/>
    </row>
    <row r="738" spans="1:4" ht="12.5" x14ac:dyDescent="0.25">
      <c r="A738" s="122"/>
      <c r="B738" s="122"/>
      <c r="C738" s="122"/>
      <c r="D738" s="122"/>
    </row>
    <row r="739" spans="1:4" ht="12.5" x14ac:dyDescent="0.25">
      <c r="A739" s="122"/>
      <c r="B739" s="122"/>
      <c r="C739" s="122"/>
      <c r="D739" s="122"/>
    </row>
    <row r="740" spans="1:4" ht="12.5" x14ac:dyDescent="0.25">
      <c r="A740" s="122"/>
      <c r="B740" s="122"/>
      <c r="C740" s="122"/>
      <c r="D740" s="122"/>
    </row>
    <row r="741" spans="1:4" ht="12.5" x14ac:dyDescent="0.25">
      <c r="A741" s="122"/>
      <c r="B741" s="122"/>
      <c r="C741" s="122"/>
      <c r="D741" s="122"/>
    </row>
    <row r="742" spans="1:4" ht="12.5" x14ac:dyDescent="0.25">
      <c r="A742" s="122"/>
      <c r="B742" s="122"/>
      <c r="C742" s="122"/>
      <c r="D742" s="122"/>
    </row>
    <row r="743" spans="1:4" ht="12.5" x14ac:dyDescent="0.25">
      <c r="A743" s="122"/>
      <c r="B743" s="122"/>
      <c r="C743" s="122"/>
      <c r="D743" s="122"/>
    </row>
    <row r="744" spans="1:4" ht="12.5" x14ac:dyDescent="0.25">
      <c r="A744" s="122"/>
      <c r="B744" s="122"/>
      <c r="C744" s="122"/>
      <c r="D744" s="122"/>
    </row>
    <row r="745" spans="1:4" ht="12.5" x14ac:dyDescent="0.25">
      <c r="A745" s="122"/>
      <c r="B745" s="122"/>
      <c r="C745" s="122"/>
      <c r="D745" s="122"/>
    </row>
    <row r="746" spans="1:4" ht="12.5" x14ac:dyDescent="0.25">
      <c r="A746" s="122"/>
      <c r="B746" s="122"/>
      <c r="C746" s="122"/>
      <c r="D746" s="122"/>
    </row>
    <row r="747" spans="1:4" ht="12.5" x14ac:dyDescent="0.25">
      <c r="A747" s="122"/>
      <c r="B747" s="122"/>
      <c r="C747" s="122"/>
      <c r="D747" s="122"/>
    </row>
    <row r="748" spans="1:4" ht="12.5" x14ac:dyDescent="0.25">
      <c r="A748" s="122"/>
      <c r="B748" s="122"/>
      <c r="C748" s="122"/>
      <c r="D748" s="122"/>
    </row>
    <row r="749" spans="1:4" ht="12.5" x14ac:dyDescent="0.25">
      <c r="A749" s="122"/>
      <c r="B749" s="122"/>
      <c r="C749" s="122"/>
      <c r="D749" s="122"/>
    </row>
    <row r="750" spans="1:4" ht="12.5" x14ac:dyDescent="0.25">
      <c r="A750" s="122"/>
      <c r="B750" s="122"/>
      <c r="C750" s="122"/>
      <c r="D750" s="122"/>
    </row>
    <row r="751" spans="1:4" ht="12.5" x14ac:dyDescent="0.25">
      <c r="A751" s="122"/>
      <c r="B751" s="122"/>
      <c r="C751" s="122"/>
      <c r="D751" s="122"/>
    </row>
    <row r="752" spans="1:4" ht="12.5" x14ac:dyDescent="0.25">
      <c r="A752" s="122"/>
      <c r="B752" s="122"/>
      <c r="C752" s="122"/>
      <c r="D752" s="122"/>
    </row>
    <row r="753" spans="1:4" ht="12.5" x14ac:dyDescent="0.25">
      <c r="A753" s="122"/>
      <c r="B753" s="122"/>
      <c r="C753" s="122"/>
      <c r="D753" s="122"/>
    </row>
    <row r="754" spans="1:4" ht="12.5" x14ac:dyDescent="0.25">
      <c r="A754" s="122"/>
      <c r="B754" s="122"/>
      <c r="C754" s="122"/>
      <c r="D754" s="122"/>
    </row>
    <row r="755" spans="1:4" ht="12.5" x14ac:dyDescent="0.25">
      <c r="A755" s="122"/>
      <c r="B755" s="122"/>
      <c r="C755" s="122"/>
      <c r="D755" s="122"/>
    </row>
    <row r="756" spans="1:4" ht="12.5" x14ac:dyDescent="0.25">
      <c r="A756" s="122"/>
      <c r="B756" s="122"/>
      <c r="C756" s="122"/>
      <c r="D756" s="122"/>
    </row>
    <row r="757" spans="1:4" ht="12.5" x14ac:dyDescent="0.25">
      <c r="A757" s="122"/>
      <c r="B757" s="122"/>
      <c r="C757" s="122"/>
      <c r="D757" s="122"/>
    </row>
    <row r="758" spans="1:4" ht="12.5" x14ac:dyDescent="0.25">
      <c r="A758" s="122"/>
      <c r="B758" s="122"/>
      <c r="C758" s="122"/>
      <c r="D758" s="122"/>
    </row>
    <row r="759" spans="1:4" ht="12.5" x14ac:dyDescent="0.25">
      <c r="A759" s="122"/>
      <c r="B759" s="122"/>
      <c r="C759" s="122"/>
      <c r="D759" s="122"/>
    </row>
    <row r="760" spans="1:4" ht="12.5" x14ac:dyDescent="0.25">
      <c r="A760" s="122"/>
      <c r="B760" s="122"/>
      <c r="C760" s="122"/>
      <c r="D760" s="122"/>
    </row>
    <row r="761" spans="1:4" ht="12.5" x14ac:dyDescent="0.25">
      <c r="A761" s="122"/>
      <c r="B761" s="122"/>
      <c r="C761" s="122"/>
      <c r="D761" s="122"/>
    </row>
    <row r="762" spans="1:4" ht="12.5" x14ac:dyDescent="0.25">
      <c r="A762" s="122"/>
      <c r="B762" s="122"/>
      <c r="C762" s="122"/>
      <c r="D762" s="122"/>
    </row>
    <row r="763" spans="1:4" ht="12.5" x14ac:dyDescent="0.25">
      <c r="A763" s="122"/>
      <c r="B763" s="122"/>
      <c r="C763" s="122"/>
      <c r="D763" s="122"/>
    </row>
    <row r="764" spans="1:4" ht="12.5" x14ac:dyDescent="0.25">
      <c r="A764" s="122"/>
      <c r="B764" s="122"/>
      <c r="C764" s="122"/>
      <c r="D764" s="122"/>
    </row>
    <row r="765" spans="1:4" ht="12.5" x14ac:dyDescent="0.25">
      <c r="A765" s="122"/>
      <c r="B765" s="122"/>
      <c r="C765" s="122"/>
      <c r="D765" s="122"/>
    </row>
    <row r="766" spans="1:4" ht="12.5" x14ac:dyDescent="0.25">
      <c r="A766" s="122"/>
      <c r="B766" s="122"/>
      <c r="C766" s="122"/>
      <c r="D766" s="122"/>
    </row>
    <row r="767" spans="1:4" ht="12.5" x14ac:dyDescent="0.25">
      <c r="A767" s="122"/>
      <c r="B767" s="122"/>
      <c r="C767" s="122"/>
      <c r="D767" s="122"/>
    </row>
    <row r="768" spans="1:4" ht="12.5" x14ac:dyDescent="0.25">
      <c r="A768" s="122"/>
      <c r="B768" s="122"/>
      <c r="C768" s="122"/>
      <c r="D768" s="122"/>
    </row>
    <row r="769" spans="1:4" ht="12.5" x14ac:dyDescent="0.25">
      <c r="A769" s="122"/>
      <c r="B769" s="122"/>
      <c r="C769" s="122"/>
      <c r="D769" s="122"/>
    </row>
    <row r="770" spans="1:4" ht="12.5" x14ac:dyDescent="0.25">
      <c r="A770" s="122"/>
      <c r="B770" s="122"/>
      <c r="C770" s="122"/>
      <c r="D770" s="122"/>
    </row>
    <row r="771" spans="1:4" ht="12.5" x14ac:dyDescent="0.25">
      <c r="A771" s="122"/>
      <c r="B771" s="122"/>
      <c r="C771" s="122"/>
      <c r="D771" s="122"/>
    </row>
    <row r="772" spans="1:4" ht="12.5" x14ac:dyDescent="0.25">
      <c r="A772" s="122"/>
      <c r="B772" s="122"/>
      <c r="C772" s="122"/>
      <c r="D772" s="122"/>
    </row>
    <row r="773" spans="1:4" ht="12.5" x14ac:dyDescent="0.25">
      <c r="A773" s="122"/>
      <c r="B773" s="122"/>
      <c r="C773" s="122"/>
      <c r="D773" s="122"/>
    </row>
    <row r="774" spans="1:4" ht="12.5" x14ac:dyDescent="0.25">
      <c r="A774" s="122"/>
      <c r="B774" s="122"/>
      <c r="C774" s="122"/>
      <c r="D774" s="122"/>
    </row>
    <row r="775" spans="1:4" ht="12.5" x14ac:dyDescent="0.25">
      <c r="A775" s="122"/>
      <c r="B775" s="122"/>
      <c r="C775" s="122"/>
      <c r="D775" s="122"/>
    </row>
    <row r="776" spans="1:4" ht="12.5" x14ac:dyDescent="0.25">
      <c r="A776" s="122"/>
      <c r="B776" s="122"/>
      <c r="C776" s="122"/>
      <c r="D776" s="122"/>
    </row>
    <row r="777" spans="1:4" ht="12.5" x14ac:dyDescent="0.25">
      <c r="A777" s="122"/>
      <c r="B777" s="122"/>
      <c r="C777" s="122"/>
      <c r="D777" s="122"/>
    </row>
    <row r="778" spans="1:4" ht="12.5" x14ac:dyDescent="0.25">
      <c r="A778" s="122"/>
      <c r="B778" s="122"/>
      <c r="C778" s="122"/>
      <c r="D778" s="122"/>
    </row>
    <row r="779" spans="1:4" ht="12.5" x14ac:dyDescent="0.25">
      <c r="A779" s="122"/>
      <c r="B779" s="122"/>
      <c r="C779" s="122"/>
      <c r="D779" s="122"/>
    </row>
    <row r="780" spans="1:4" ht="12.5" x14ac:dyDescent="0.25">
      <c r="A780" s="122"/>
      <c r="B780" s="122"/>
      <c r="C780" s="122"/>
      <c r="D780" s="122"/>
    </row>
    <row r="781" spans="1:4" ht="12.5" x14ac:dyDescent="0.25">
      <c r="A781" s="122"/>
      <c r="B781" s="122"/>
      <c r="C781" s="122"/>
      <c r="D781" s="122"/>
    </row>
    <row r="782" spans="1:4" ht="12.5" x14ac:dyDescent="0.25">
      <c r="A782" s="122"/>
      <c r="B782" s="122"/>
      <c r="C782" s="122"/>
      <c r="D782" s="122"/>
    </row>
    <row r="783" spans="1:4" ht="12.5" x14ac:dyDescent="0.25">
      <c r="A783" s="122"/>
      <c r="B783" s="122"/>
      <c r="C783" s="122"/>
      <c r="D783" s="122"/>
    </row>
    <row r="784" spans="1:4" ht="12.5" x14ac:dyDescent="0.25">
      <c r="A784" s="122"/>
      <c r="B784" s="122"/>
      <c r="C784" s="122"/>
      <c r="D784" s="122"/>
    </row>
    <row r="785" spans="1:4" ht="12.5" x14ac:dyDescent="0.25">
      <c r="A785" s="122"/>
      <c r="B785" s="122"/>
      <c r="C785" s="122"/>
      <c r="D785" s="122"/>
    </row>
    <row r="786" spans="1:4" ht="12.5" x14ac:dyDescent="0.25">
      <c r="A786" s="122"/>
      <c r="B786" s="122"/>
      <c r="C786" s="122"/>
      <c r="D786" s="122"/>
    </row>
    <row r="787" spans="1:4" ht="12.5" x14ac:dyDescent="0.25">
      <c r="A787" s="122"/>
      <c r="B787" s="122"/>
      <c r="C787" s="122"/>
      <c r="D787" s="122"/>
    </row>
    <row r="788" spans="1:4" ht="12.5" x14ac:dyDescent="0.25">
      <c r="A788" s="122"/>
      <c r="B788" s="122"/>
      <c r="C788" s="122"/>
      <c r="D788" s="122"/>
    </row>
    <row r="789" spans="1:4" ht="12.5" x14ac:dyDescent="0.25">
      <c r="A789" s="122"/>
      <c r="B789" s="122"/>
      <c r="C789" s="122"/>
      <c r="D789" s="122"/>
    </row>
    <row r="790" spans="1:4" ht="12.5" x14ac:dyDescent="0.25">
      <c r="A790" s="122"/>
      <c r="B790" s="122"/>
      <c r="C790" s="122"/>
      <c r="D790" s="122"/>
    </row>
    <row r="791" spans="1:4" ht="12.5" x14ac:dyDescent="0.25">
      <c r="A791" s="122"/>
      <c r="B791" s="122"/>
      <c r="C791" s="122"/>
      <c r="D791" s="122"/>
    </row>
    <row r="792" spans="1:4" ht="12.5" x14ac:dyDescent="0.25">
      <c r="A792" s="122"/>
      <c r="B792" s="122"/>
      <c r="C792" s="122"/>
      <c r="D792" s="122"/>
    </row>
    <row r="793" spans="1:4" ht="12.5" x14ac:dyDescent="0.25">
      <c r="A793" s="122"/>
      <c r="B793" s="122"/>
      <c r="C793" s="122"/>
      <c r="D793" s="122"/>
    </row>
    <row r="794" spans="1:4" ht="12.5" x14ac:dyDescent="0.25">
      <c r="A794" s="122"/>
      <c r="B794" s="122"/>
      <c r="C794" s="122"/>
      <c r="D794" s="122"/>
    </row>
    <row r="795" spans="1:4" ht="12.5" x14ac:dyDescent="0.25">
      <c r="A795" s="122"/>
      <c r="B795" s="122"/>
      <c r="C795" s="122"/>
      <c r="D795" s="122"/>
    </row>
    <row r="796" spans="1:4" ht="12.5" x14ac:dyDescent="0.25">
      <c r="A796" s="122"/>
      <c r="B796" s="122"/>
      <c r="C796" s="122"/>
      <c r="D796" s="122"/>
    </row>
    <row r="797" spans="1:4" ht="12.5" x14ac:dyDescent="0.25">
      <c r="A797" s="122"/>
      <c r="B797" s="122"/>
      <c r="C797" s="122"/>
      <c r="D797" s="122"/>
    </row>
    <row r="798" spans="1:4" ht="12.5" x14ac:dyDescent="0.25">
      <c r="A798" s="122"/>
      <c r="B798" s="122"/>
      <c r="C798" s="122"/>
      <c r="D798" s="122"/>
    </row>
    <row r="799" spans="1:4" ht="12.5" x14ac:dyDescent="0.25">
      <c r="A799" s="122"/>
      <c r="B799" s="122"/>
      <c r="C799" s="122"/>
      <c r="D799" s="122"/>
    </row>
    <row r="800" spans="1:4" ht="12.5" x14ac:dyDescent="0.25">
      <c r="A800" s="122"/>
      <c r="B800" s="122"/>
      <c r="C800" s="122"/>
      <c r="D800" s="122"/>
    </row>
    <row r="801" spans="1:4" ht="12.5" x14ac:dyDescent="0.25">
      <c r="A801" s="122"/>
      <c r="B801" s="122"/>
      <c r="C801" s="122"/>
      <c r="D801" s="122"/>
    </row>
    <row r="802" spans="1:4" ht="12.5" x14ac:dyDescent="0.25">
      <c r="A802" s="122"/>
      <c r="B802" s="122"/>
      <c r="C802" s="122"/>
      <c r="D802" s="122"/>
    </row>
    <row r="803" spans="1:4" ht="12.5" x14ac:dyDescent="0.25">
      <c r="A803" s="122"/>
      <c r="B803" s="122"/>
      <c r="C803" s="122"/>
      <c r="D803" s="122"/>
    </row>
    <row r="804" spans="1:4" ht="12.5" x14ac:dyDescent="0.25">
      <c r="A804" s="122"/>
      <c r="B804" s="122"/>
      <c r="C804" s="122"/>
      <c r="D804" s="122"/>
    </row>
    <row r="805" spans="1:4" ht="12.5" x14ac:dyDescent="0.25">
      <c r="A805" s="122"/>
      <c r="B805" s="122"/>
      <c r="C805" s="122"/>
      <c r="D805" s="122"/>
    </row>
    <row r="806" spans="1:4" ht="12.5" x14ac:dyDescent="0.25">
      <c r="A806" s="122"/>
      <c r="B806" s="122"/>
      <c r="C806" s="122"/>
      <c r="D806" s="122"/>
    </row>
    <row r="807" spans="1:4" ht="12.5" x14ac:dyDescent="0.25">
      <c r="A807" s="122"/>
      <c r="B807" s="122"/>
      <c r="C807" s="122"/>
      <c r="D807" s="122"/>
    </row>
    <row r="808" spans="1:4" ht="12.5" x14ac:dyDescent="0.25">
      <c r="A808" s="122"/>
      <c r="B808" s="122"/>
      <c r="C808" s="122"/>
      <c r="D808" s="122"/>
    </row>
    <row r="809" spans="1:4" ht="12.5" x14ac:dyDescent="0.25">
      <c r="A809" s="122"/>
      <c r="B809" s="122"/>
      <c r="C809" s="122"/>
      <c r="D809" s="122"/>
    </row>
    <row r="810" spans="1:4" ht="12.5" x14ac:dyDescent="0.25">
      <c r="A810" s="122"/>
      <c r="B810" s="122"/>
      <c r="C810" s="122"/>
      <c r="D810" s="122"/>
    </row>
    <row r="811" spans="1:4" ht="12.5" x14ac:dyDescent="0.25">
      <c r="A811" s="122"/>
      <c r="B811" s="122"/>
      <c r="C811" s="122"/>
      <c r="D811" s="122"/>
    </row>
    <row r="812" spans="1:4" ht="12.5" x14ac:dyDescent="0.25">
      <c r="A812" s="122"/>
      <c r="B812" s="122"/>
      <c r="C812" s="122"/>
      <c r="D812" s="122"/>
    </row>
    <row r="813" spans="1:4" ht="12.5" x14ac:dyDescent="0.25">
      <c r="A813" s="122"/>
      <c r="B813" s="122"/>
      <c r="C813" s="122"/>
      <c r="D813" s="122"/>
    </row>
    <row r="814" spans="1:4" ht="12.5" x14ac:dyDescent="0.25">
      <c r="A814" s="122"/>
      <c r="B814" s="122"/>
      <c r="C814" s="122"/>
      <c r="D814" s="122"/>
    </row>
    <row r="815" spans="1:4" ht="12.5" x14ac:dyDescent="0.25">
      <c r="A815" s="122"/>
      <c r="B815" s="122"/>
      <c r="C815" s="122"/>
      <c r="D815" s="122"/>
    </row>
    <row r="816" spans="1:4" ht="12.5" x14ac:dyDescent="0.25">
      <c r="A816" s="122"/>
      <c r="B816" s="122"/>
      <c r="C816" s="122"/>
      <c r="D816" s="122"/>
    </row>
    <row r="817" spans="1:4" ht="12.5" x14ac:dyDescent="0.25">
      <c r="A817" s="122"/>
      <c r="B817" s="122"/>
      <c r="C817" s="122"/>
      <c r="D817" s="122"/>
    </row>
    <row r="818" spans="1:4" ht="12.5" x14ac:dyDescent="0.25">
      <c r="A818" s="122"/>
      <c r="B818" s="122"/>
      <c r="C818" s="122"/>
      <c r="D818" s="122"/>
    </row>
    <row r="819" spans="1:4" ht="12.5" x14ac:dyDescent="0.25">
      <c r="A819" s="122"/>
      <c r="B819" s="122"/>
      <c r="C819" s="122"/>
      <c r="D819" s="122"/>
    </row>
    <row r="820" spans="1:4" ht="12.5" x14ac:dyDescent="0.25">
      <c r="A820" s="122"/>
      <c r="B820" s="122"/>
      <c r="C820" s="122"/>
      <c r="D820" s="122"/>
    </row>
    <row r="821" spans="1:4" ht="12.5" x14ac:dyDescent="0.25">
      <c r="A821" s="122"/>
      <c r="B821" s="122"/>
      <c r="C821" s="122"/>
      <c r="D821" s="122"/>
    </row>
    <row r="822" spans="1:4" ht="12.5" x14ac:dyDescent="0.25">
      <c r="A822" s="122"/>
      <c r="B822" s="122"/>
      <c r="C822" s="122"/>
      <c r="D822" s="122"/>
    </row>
    <row r="823" spans="1:4" ht="12.5" x14ac:dyDescent="0.25">
      <c r="A823" s="122"/>
      <c r="B823" s="122"/>
      <c r="C823" s="122"/>
      <c r="D823" s="122"/>
    </row>
    <row r="824" spans="1:4" ht="12.5" x14ac:dyDescent="0.25">
      <c r="A824" s="122"/>
      <c r="B824" s="122"/>
      <c r="C824" s="122"/>
      <c r="D824" s="122"/>
    </row>
    <row r="825" spans="1:4" ht="12.5" x14ac:dyDescent="0.25">
      <c r="A825" s="122"/>
      <c r="B825" s="122"/>
      <c r="C825" s="122"/>
      <c r="D825" s="122"/>
    </row>
    <row r="826" spans="1:4" ht="12.5" x14ac:dyDescent="0.25">
      <c r="A826" s="122"/>
      <c r="B826" s="122"/>
      <c r="C826" s="122"/>
      <c r="D826" s="122"/>
    </row>
    <row r="827" spans="1:4" ht="12.5" x14ac:dyDescent="0.25">
      <c r="A827" s="122"/>
      <c r="B827" s="122"/>
      <c r="C827" s="122"/>
      <c r="D827" s="122"/>
    </row>
    <row r="828" spans="1:4" ht="12.5" x14ac:dyDescent="0.25">
      <c r="A828" s="122"/>
      <c r="B828" s="122"/>
      <c r="C828" s="122"/>
      <c r="D828" s="122"/>
    </row>
    <row r="829" spans="1:4" ht="12.5" x14ac:dyDescent="0.25">
      <c r="A829" s="122"/>
      <c r="B829" s="122"/>
      <c r="C829" s="122"/>
      <c r="D829" s="122"/>
    </row>
    <row r="830" spans="1:4" ht="12.5" x14ac:dyDescent="0.25">
      <c r="A830" s="122"/>
      <c r="B830" s="122"/>
      <c r="C830" s="122"/>
      <c r="D830" s="122"/>
    </row>
    <row r="831" spans="1:4" ht="12.5" x14ac:dyDescent="0.25">
      <c r="A831" s="122"/>
      <c r="B831" s="122"/>
      <c r="C831" s="122"/>
      <c r="D831" s="122"/>
    </row>
    <row r="832" spans="1:4" ht="12.5" x14ac:dyDescent="0.25">
      <c r="A832" s="122"/>
      <c r="B832" s="122"/>
      <c r="C832" s="122"/>
      <c r="D832" s="122"/>
    </row>
    <row r="833" spans="1:4" ht="12.5" x14ac:dyDescent="0.25">
      <c r="A833" s="122"/>
      <c r="B833" s="122"/>
      <c r="C833" s="122"/>
      <c r="D833" s="122"/>
    </row>
    <row r="834" spans="1:4" ht="12.5" x14ac:dyDescent="0.25">
      <c r="A834" s="122"/>
      <c r="B834" s="122"/>
      <c r="C834" s="122"/>
      <c r="D834" s="122"/>
    </row>
    <row r="835" spans="1:4" ht="12.5" x14ac:dyDescent="0.25">
      <c r="A835" s="122"/>
      <c r="B835" s="122"/>
      <c r="C835" s="122"/>
      <c r="D835" s="122"/>
    </row>
    <row r="836" spans="1:4" ht="12.5" x14ac:dyDescent="0.25">
      <c r="A836" s="122"/>
      <c r="B836" s="122"/>
      <c r="C836" s="122"/>
      <c r="D836" s="122"/>
    </row>
    <row r="837" spans="1:4" ht="12.5" x14ac:dyDescent="0.25">
      <c r="A837" s="122"/>
      <c r="B837" s="122"/>
      <c r="C837" s="122"/>
      <c r="D837" s="122"/>
    </row>
    <row r="838" spans="1:4" ht="12.5" x14ac:dyDescent="0.25">
      <c r="A838" s="122"/>
      <c r="B838" s="122"/>
      <c r="C838" s="122"/>
      <c r="D838" s="122"/>
    </row>
    <row r="839" spans="1:4" ht="12.5" x14ac:dyDescent="0.25">
      <c r="A839" s="122"/>
      <c r="B839" s="122"/>
      <c r="C839" s="122"/>
      <c r="D839" s="122"/>
    </row>
    <row r="840" spans="1:4" ht="12.5" x14ac:dyDescent="0.25">
      <c r="A840" s="122"/>
      <c r="B840" s="122"/>
      <c r="C840" s="122"/>
      <c r="D840" s="122"/>
    </row>
    <row r="841" spans="1:4" ht="12.5" x14ac:dyDescent="0.25">
      <c r="A841" s="122"/>
      <c r="B841" s="122"/>
      <c r="C841" s="122"/>
      <c r="D841" s="122"/>
    </row>
    <row r="842" spans="1:4" ht="12.5" x14ac:dyDescent="0.25">
      <c r="A842" s="122"/>
      <c r="B842" s="122"/>
      <c r="C842" s="122"/>
      <c r="D842" s="122"/>
    </row>
    <row r="843" spans="1:4" ht="12.5" x14ac:dyDescent="0.25">
      <c r="A843" s="122"/>
      <c r="B843" s="122"/>
      <c r="C843" s="122"/>
      <c r="D843" s="122"/>
    </row>
    <row r="844" spans="1:4" ht="12.5" x14ac:dyDescent="0.25">
      <c r="A844" s="122"/>
      <c r="B844" s="122"/>
      <c r="C844" s="122"/>
      <c r="D844" s="122"/>
    </row>
    <row r="845" spans="1:4" ht="12.5" x14ac:dyDescent="0.25">
      <c r="A845" s="122"/>
      <c r="B845" s="122"/>
      <c r="C845" s="122"/>
      <c r="D845" s="122"/>
    </row>
    <row r="846" spans="1:4" ht="12.5" x14ac:dyDescent="0.25">
      <c r="A846" s="122"/>
      <c r="B846" s="122"/>
      <c r="C846" s="122"/>
      <c r="D846" s="122"/>
    </row>
    <row r="847" spans="1:4" ht="12.5" x14ac:dyDescent="0.25">
      <c r="A847" s="122"/>
      <c r="B847" s="122"/>
      <c r="C847" s="122"/>
      <c r="D847" s="122"/>
    </row>
    <row r="848" spans="1:4" ht="12.5" x14ac:dyDescent="0.25">
      <c r="A848" s="122"/>
      <c r="B848" s="122"/>
      <c r="C848" s="122"/>
      <c r="D848" s="122"/>
    </row>
    <row r="849" spans="1:4" ht="12.5" x14ac:dyDescent="0.25">
      <c r="A849" s="122"/>
      <c r="B849" s="122"/>
      <c r="C849" s="122"/>
      <c r="D849" s="122"/>
    </row>
    <row r="850" spans="1:4" ht="12.5" x14ac:dyDescent="0.25">
      <c r="A850" s="122"/>
      <c r="B850" s="122"/>
      <c r="C850" s="122"/>
      <c r="D850" s="122"/>
    </row>
    <row r="851" spans="1:4" ht="12.5" x14ac:dyDescent="0.25">
      <c r="A851" s="122"/>
      <c r="B851" s="122"/>
      <c r="C851" s="122"/>
      <c r="D851" s="122"/>
    </row>
    <row r="852" spans="1:4" ht="12.5" x14ac:dyDescent="0.25">
      <c r="A852" s="122"/>
      <c r="B852" s="122"/>
      <c r="C852" s="122"/>
      <c r="D852" s="122"/>
    </row>
    <row r="853" spans="1:4" ht="12.5" x14ac:dyDescent="0.25">
      <c r="A853" s="122"/>
      <c r="B853" s="122"/>
      <c r="C853" s="122"/>
      <c r="D853" s="122"/>
    </row>
    <row r="854" spans="1:4" ht="12.5" x14ac:dyDescent="0.25">
      <c r="A854" s="122"/>
      <c r="B854" s="122"/>
      <c r="C854" s="122"/>
      <c r="D854" s="122"/>
    </row>
    <row r="855" spans="1:4" ht="12.5" x14ac:dyDescent="0.25">
      <c r="A855" s="122"/>
      <c r="B855" s="122"/>
      <c r="C855" s="122"/>
      <c r="D855" s="122"/>
    </row>
    <row r="856" spans="1:4" ht="12.5" x14ac:dyDescent="0.25">
      <c r="A856" s="122"/>
      <c r="B856" s="122"/>
      <c r="C856" s="122"/>
      <c r="D856" s="122"/>
    </row>
    <row r="857" spans="1:4" ht="12.5" x14ac:dyDescent="0.25">
      <c r="A857" s="122"/>
      <c r="B857" s="122"/>
      <c r="C857" s="122"/>
      <c r="D857" s="122"/>
    </row>
    <row r="858" spans="1:4" ht="12.5" x14ac:dyDescent="0.25">
      <c r="A858" s="122"/>
      <c r="B858" s="122"/>
      <c r="C858" s="122"/>
      <c r="D858" s="122"/>
    </row>
    <row r="859" spans="1:4" ht="12.5" x14ac:dyDescent="0.25">
      <c r="A859" s="122"/>
      <c r="B859" s="122"/>
      <c r="C859" s="122"/>
      <c r="D859" s="122"/>
    </row>
    <row r="860" spans="1:4" ht="12.5" x14ac:dyDescent="0.25">
      <c r="A860" s="122"/>
      <c r="B860" s="122"/>
      <c r="C860" s="122"/>
      <c r="D860" s="122"/>
    </row>
    <row r="861" spans="1:4" ht="12.5" x14ac:dyDescent="0.25">
      <c r="A861" s="122"/>
      <c r="B861" s="122"/>
      <c r="C861" s="122"/>
      <c r="D861" s="122"/>
    </row>
    <row r="862" spans="1:4" ht="12.5" x14ac:dyDescent="0.25">
      <c r="A862" s="122"/>
      <c r="B862" s="122"/>
      <c r="C862" s="122"/>
      <c r="D862" s="122"/>
    </row>
    <row r="863" spans="1:4" ht="12.5" x14ac:dyDescent="0.25">
      <c r="A863" s="122"/>
      <c r="B863" s="122"/>
      <c r="C863" s="122"/>
      <c r="D863" s="122"/>
    </row>
    <row r="864" spans="1:4" ht="12.5" x14ac:dyDescent="0.25">
      <c r="A864" s="122"/>
      <c r="B864" s="122"/>
      <c r="C864" s="122"/>
      <c r="D864" s="122"/>
    </row>
    <row r="865" spans="1:4" ht="12.5" x14ac:dyDescent="0.25">
      <c r="A865" s="122"/>
      <c r="B865" s="122"/>
      <c r="C865" s="122"/>
      <c r="D865" s="122"/>
    </row>
    <row r="866" spans="1:4" ht="12.5" x14ac:dyDescent="0.25">
      <c r="A866" s="122"/>
      <c r="B866" s="122"/>
      <c r="C866" s="122"/>
      <c r="D866" s="122"/>
    </row>
    <row r="867" spans="1:4" ht="12.5" x14ac:dyDescent="0.25">
      <c r="A867" s="122"/>
      <c r="B867" s="122"/>
      <c r="C867" s="122"/>
      <c r="D867" s="122"/>
    </row>
    <row r="868" spans="1:4" ht="12.5" x14ac:dyDescent="0.25">
      <c r="A868" s="122"/>
      <c r="B868" s="122"/>
      <c r="C868" s="122"/>
      <c r="D868" s="122"/>
    </row>
    <row r="869" spans="1:4" ht="12.5" x14ac:dyDescent="0.25">
      <c r="A869" s="122"/>
      <c r="B869" s="122"/>
      <c r="C869" s="122"/>
      <c r="D869" s="122"/>
    </row>
    <row r="870" spans="1:4" ht="12.5" x14ac:dyDescent="0.25">
      <c r="A870" s="122"/>
      <c r="B870" s="122"/>
      <c r="C870" s="122"/>
      <c r="D870" s="122"/>
    </row>
    <row r="871" spans="1:4" ht="12.5" x14ac:dyDescent="0.25">
      <c r="A871" s="122"/>
      <c r="B871" s="122"/>
      <c r="C871" s="122"/>
      <c r="D871" s="122"/>
    </row>
    <row r="872" spans="1:4" ht="12.5" x14ac:dyDescent="0.25">
      <c r="A872" s="122"/>
      <c r="B872" s="122"/>
      <c r="C872" s="122"/>
      <c r="D872" s="122"/>
    </row>
    <row r="873" spans="1:4" ht="12.5" x14ac:dyDescent="0.25">
      <c r="A873" s="122"/>
      <c r="B873" s="122"/>
      <c r="C873" s="122"/>
      <c r="D873" s="122"/>
    </row>
    <row r="874" spans="1:4" ht="12.5" x14ac:dyDescent="0.25">
      <c r="A874" s="122"/>
      <c r="B874" s="122"/>
      <c r="C874" s="122"/>
      <c r="D874" s="122"/>
    </row>
    <row r="875" spans="1:4" ht="12.5" x14ac:dyDescent="0.25">
      <c r="A875" s="122"/>
      <c r="B875" s="122"/>
      <c r="C875" s="122"/>
      <c r="D875" s="122"/>
    </row>
    <row r="876" spans="1:4" ht="12.5" x14ac:dyDescent="0.25">
      <c r="A876" s="122"/>
      <c r="B876" s="122"/>
      <c r="C876" s="122"/>
      <c r="D876" s="122"/>
    </row>
    <row r="877" spans="1:4" ht="12.5" x14ac:dyDescent="0.25">
      <c r="A877" s="122"/>
      <c r="B877" s="122"/>
      <c r="C877" s="122"/>
      <c r="D877" s="122"/>
    </row>
    <row r="878" spans="1:4" ht="12.5" x14ac:dyDescent="0.25">
      <c r="A878" s="122"/>
      <c r="B878" s="122"/>
      <c r="C878" s="122"/>
      <c r="D878" s="122"/>
    </row>
    <row r="879" spans="1:4" ht="12.5" x14ac:dyDescent="0.25">
      <c r="A879" s="122"/>
      <c r="B879" s="122"/>
      <c r="C879" s="122"/>
      <c r="D879" s="122"/>
    </row>
    <row r="880" spans="1:4" ht="12.5" x14ac:dyDescent="0.25">
      <c r="A880" s="122"/>
      <c r="B880" s="122"/>
      <c r="C880" s="122"/>
      <c r="D880" s="122"/>
    </row>
    <row r="881" spans="1:4" ht="12.5" x14ac:dyDescent="0.25">
      <c r="A881" s="122"/>
      <c r="B881" s="122"/>
      <c r="C881" s="122"/>
      <c r="D881" s="122"/>
    </row>
    <row r="882" spans="1:4" ht="12.5" x14ac:dyDescent="0.25">
      <c r="A882" s="122"/>
      <c r="B882" s="122"/>
      <c r="C882" s="122"/>
      <c r="D882" s="122"/>
    </row>
    <row r="883" spans="1:4" ht="12.5" x14ac:dyDescent="0.25">
      <c r="A883" s="122"/>
      <c r="B883" s="122"/>
      <c r="C883" s="122"/>
      <c r="D883" s="122"/>
    </row>
    <row r="884" spans="1:4" ht="12.5" x14ac:dyDescent="0.25">
      <c r="A884" s="122"/>
      <c r="B884" s="122"/>
      <c r="C884" s="122"/>
      <c r="D884" s="122"/>
    </row>
    <row r="885" spans="1:4" ht="12.5" x14ac:dyDescent="0.25">
      <c r="A885" s="122"/>
      <c r="B885" s="122"/>
      <c r="C885" s="122"/>
      <c r="D885" s="122"/>
    </row>
    <row r="886" spans="1:4" ht="12.5" x14ac:dyDescent="0.25">
      <c r="A886" s="122"/>
      <c r="B886" s="122"/>
      <c r="C886" s="122"/>
      <c r="D886" s="122"/>
    </row>
    <row r="887" spans="1:4" ht="12.5" x14ac:dyDescent="0.25">
      <c r="A887" s="122"/>
      <c r="B887" s="122"/>
      <c r="C887" s="122"/>
      <c r="D887" s="122"/>
    </row>
    <row r="888" spans="1:4" ht="12.5" x14ac:dyDescent="0.25">
      <c r="A888" s="122"/>
      <c r="B888" s="122"/>
      <c r="C888" s="122"/>
      <c r="D888" s="122"/>
    </row>
    <row r="889" spans="1:4" ht="12.5" x14ac:dyDescent="0.25">
      <c r="A889" s="122"/>
      <c r="B889" s="122"/>
      <c r="C889" s="122"/>
      <c r="D889" s="122"/>
    </row>
    <row r="890" spans="1:4" ht="12.5" x14ac:dyDescent="0.25">
      <c r="A890" s="122"/>
      <c r="B890" s="122"/>
      <c r="C890" s="122"/>
      <c r="D890" s="122"/>
    </row>
    <row r="891" spans="1:4" ht="12.5" x14ac:dyDescent="0.25">
      <c r="A891" s="122"/>
      <c r="B891" s="122"/>
      <c r="C891" s="122"/>
      <c r="D891" s="122"/>
    </row>
    <row r="892" spans="1:4" ht="12.5" x14ac:dyDescent="0.25">
      <c r="A892" s="122"/>
      <c r="B892" s="122"/>
      <c r="C892" s="122"/>
      <c r="D892" s="122"/>
    </row>
    <row r="893" spans="1:4" ht="12.5" x14ac:dyDescent="0.25">
      <c r="A893" s="122"/>
      <c r="B893" s="122"/>
      <c r="C893" s="122"/>
      <c r="D893" s="122"/>
    </row>
    <row r="894" spans="1:4" ht="12.5" x14ac:dyDescent="0.25">
      <c r="A894" s="122"/>
      <c r="B894" s="122"/>
      <c r="C894" s="122"/>
      <c r="D894" s="122"/>
    </row>
    <row r="895" spans="1:4" ht="12.5" x14ac:dyDescent="0.25">
      <c r="A895" s="122"/>
      <c r="B895" s="122"/>
      <c r="C895" s="122"/>
      <c r="D895" s="122"/>
    </row>
    <row r="896" spans="1:4" ht="12.5" x14ac:dyDescent="0.25">
      <c r="A896" s="122"/>
      <c r="B896" s="122"/>
      <c r="C896" s="122"/>
      <c r="D896" s="122"/>
    </row>
    <row r="897" spans="1:4" ht="12.5" x14ac:dyDescent="0.25">
      <c r="A897" s="122"/>
      <c r="B897" s="122"/>
      <c r="C897" s="122"/>
      <c r="D897" s="122"/>
    </row>
    <row r="898" spans="1:4" ht="12.5" x14ac:dyDescent="0.25">
      <c r="A898" s="122"/>
      <c r="B898" s="122"/>
      <c r="C898" s="122"/>
      <c r="D898" s="122"/>
    </row>
    <row r="899" spans="1:4" ht="12.5" x14ac:dyDescent="0.25">
      <c r="A899" s="122"/>
      <c r="B899" s="122"/>
      <c r="C899" s="122"/>
      <c r="D899" s="122"/>
    </row>
    <row r="900" spans="1:4" ht="12.5" x14ac:dyDescent="0.25">
      <c r="A900" s="122"/>
      <c r="B900" s="122"/>
      <c r="C900" s="122"/>
      <c r="D900" s="122"/>
    </row>
    <row r="901" spans="1:4" ht="12.5" x14ac:dyDescent="0.25">
      <c r="A901" s="122"/>
      <c r="B901" s="122"/>
      <c r="C901" s="122"/>
      <c r="D901" s="122"/>
    </row>
    <row r="902" spans="1:4" ht="12.5" x14ac:dyDescent="0.25">
      <c r="A902" s="122"/>
      <c r="B902" s="122"/>
      <c r="C902" s="122"/>
      <c r="D902" s="122"/>
    </row>
    <row r="903" spans="1:4" ht="12.5" x14ac:dyDescent="0.25">
      <c r="A903" s="122"/>
      <c r="B903" s="122"/>
      <c r="C903" s="122"/>
      <c r="D903" s="122"/>
    </row>
    <row r="904" spans="1:4" ht="12.5" x14ac:dyDescent="0.25">
      <c r="A904" s="122"/>
      <c r="B904" s="122"/>
      <c r="C904" s="122"/>
      <c r="D904" s="122"/>
    </row>
    <row r="905" spans="1:4" ht="12.5" x14ac:dyDescent="0.25">
      <c r="A905" s="122"/>
      <c r="B905" s="122"/>
      <c r="C905" s="122"/>
      <c r="D905" s="122"/>
    </row>
    <row r="906" spans="1:4" ht="12.5" x14ac:dyDescent="0.25">
      <c r="A906" s="122"/>
      <c r="B906" s="122"/>
      <c r="C906" s="122"/>
      <c r="D906" s="122"/>
    </row>
    <row r="907" spans="1:4" ht="12.5" x14ac:dyDescent="0.25">
      <c r="A907" s="122"/>
      <c r="B907" s="122"/>
      <c r="C907" s="122"/>
      <c r="D907" s="122"/>
    </row>
    <row r="908" spans="1:4" ht="12.5" x14ac:dyDescent="0.25">
      <c r="A908" s="122"/>
      <c r="B908" s="122"/>
      <c r="C908" s="122"/>
      <c r="D908" s="122"/>
    </row>
    <row r="909" spans="1:4" ht="12.5" x14ac:dyDescent="0.25">
      <c r="A909" s="122"/>
      <c r="B909" s="122"/>
      <c r="C909" s="122"/>
      <c r="D909" s="122"/>
    </row>
    <row r="910" spans="1:4" ht="12.5" x14ac:dyDescent="0.25">
      <c r="A910" s="122"/>
      <c r="B910" s="122"/>
      <c r="C910" s="122"/>
      <c r="D910" s="122"/>
    </row>
    <row r="911" spans="1:4" ht="12.5" x14ac:dyDescent="0.25">
      <c r="A911" s="122"/>
      <c r="B911" s="122"/>
      <c r="C911" s="122"/>
      <c r="D911" s="122"/>
    </row>
    <row r="912" spans="1:4" ht="12.5" x14ac:dyDescent="0.25">
      <c r="A912" s="122"/>
      <c r="B912" s="122"/>
      <c r="C912" s="122"/>
      <c r="D912" s="122"/>
    </row>
    <row r="913" spans="1:4" ht="12.5" x14ac:dyDescent="0.25">
      <c r="A913" s="122"/>
      <c r="B913" s="122"/>
      <c r="C913" s="122"/>
      <c r="D913" s="122"/>
    </row>
    <row r="914" spans="1:4" ht="12.5" x14ac:dyDescent="0.25">
      <c r="A914" s="122"/>
      <c r="B914" s="122"/>
      <c r="C914" s="122"/>
      <c r="D914" s="122"/>
    </row>
    <row r="915" spans="1:4" ht="12.5" x14ac:dyDescent="0.25">
      <c r="A915" s="122"/>
      <c r="B915" s="122"/>
      <c r="C915" s="122"/>
      <c r="D915" s="122"/>
    </row>
    <row r="916" spans="1:4" ht="12.5" x14ac:dyDescent="0.25">
      <c r="A916" s="122"/>
      <c r="B916" s="122"/>
      <c r="C916" s="122"/>
      <c r="D916" s="122"/>
    </row>
    <row r="917" spans="1:4" ht="12.5" x14ac:dyDescent="0.25">
      <c r="A917" s="122"/>
      <c r="B917" s="122"/>
      <c r="C917" s="122"/>
      <c r="D917" s="122"/>
    </row>
    <row r="918" spans="1:4" ht="12.5" x14ac:dyDescent="0.25">
      <c r="A918" s="122"/>
      <c r="B918" s="122"/>
      <c r="C918" s="122"/>
      <c r="D918" s="122"/>
    </row>
    <row r="919" spans="1:4" ht="12.5" x14ac:dyDescent="0.25">
      <c r="A919" s="122"/>
      <c r="B919" s="122"/>
      <c r="C919" s="122"/>
      <c r="D919" s="122"/>
    </row>
    <row r="920" spans="1:4" ht="12.5" x14ac:dyDescent="0.25">
      <c r="A920" s="122"/>
      <c r="B920" s="122"/>
      <c r="C920" s="122"/>
      <c r="D920" s="122"/>
    </row>
    <row r="921" spans="1:4" ht="12.5" x14ac:dyDescent="0.25">
      <c r="A921" s="122"/>
      <c r="B921" s="122"/>
      <c r="C921" s="122"/>
      <c r="D921" s="122"/>
    </row>
    <row r="922" spans="1:4" ht="12.5" x14ac:dyDescent="0.25">
      <c r="A922" s="122"/>
      <c r="B922" s="122"/>
      <c r="C922" s="122"/>
      <c r="D922" s="122"/>
    </row>
    <row r="923" spans="1:4" ht="12.5" x14ac:dyDescent="0.25">
      <c r="A923" s="122"/>
      <c r="B923" s="122"/>
      <c r="C923" s="122"/>
      <c r="D923" s="122"/>
    </row>
    <row r="924" spans="1:4" ht="12.5" x14ac:dyDescent="0.25">
      <c r="A924" s="122"/>
      <c r="B924" s="122"/>
      <c r="C924" s="122"/>
      <c r="D924" s="122"/>
    </row>
    <row r="925" spans="1:4" ht="12.5" x14ac:dyDescent="0.25">
      <c r="A925" s="122"/>
      <c r="B925" s="122"/>
      <c r="C925" s="122"/>
      <c r="D925" s="122"/>
    </row>
    <row r="926" spans="1:4" ht="12.5" x14ac:dyDescent="0.25">
      <c r="A926" s="122"/>
      <c r="B926" s="122"/>
      <c r="C926" s="122"/>
      <c r="D926" s="122"/>
    </row>
    <row r="927" spans="1:4" ht="12.5" x14ac:dyDescent="0.25">
      <c r="A927" s="122"/>
      <c r="B927" s="122"/>
      <c r="C927" s="122"/>
      <c r="D927" s="122"/>
    </row>
    <row r="928" spans="1:4" ht="12.5" x14ac:dyDescent="0.25">
      <c r="A928" s="122"/>
      <c r="B928" s="122"/>
      <c r="C928" s="122"/>
      <c r="D928" s="122"/>
    </row>
    <row r="929" spans="1:4" ht="12.5" x14ac:dyDescent="0.25">
      <c r="A929" s="122"/>
      <c r="B929" s="122"/>
      <c r="C929" s="122"/>
      <c r="D929" s="122"/>
    </row>
    <row r="930" spans="1:4" ht="12.5" x14ac:dyDescent="0.25">
      <c r="A930" s="122"/>
      <c r="B930" s="122"/>
      <c r="C930" s="122"/>
      <c r="D930" s="122"/>
    </row>
    <row r="931" spans="1:4" ht="12.5" x14ac:dyDescent="0.25">
      <c r="A931" s="122"/>
      <c r="B931" s="122"/>
      <c r="C931" s="122"/>
      <c r="D931" s="122"/>
    </row>
    <row r="932" spans="1:4" ht="12.5" x14ac:dyDescent="0.25">
      <c r="A932" s="122"/>
      <c r="B932" s="122"/>
      <c r="C932" s="122"/>
      <c r="D932" s="122"/>
    </row>
    <row r="933" spans="1:4" ht="12.5" x14ac:dyDescent="0.25">
      <c r="A933" s="122"/>
      <c r="B933" s="122"/>
      <c r="C933" s="122"/>
      <c r="D933" s="122"/>
    </row>
    <row r="934" spans="1:4" ht="12.5" x14ac:dyDescent="0.25">
      <c r="A934" s="122"/>
      <c r="B934" s="122"/>
      <c r="C934" s="122"/>
      <c r="D934" s="122"/>
    </row>
    <row r="935" spans="1:4" ht="12.5" x14ac:dyDescent="0.25">
      <c r="A935" s="122"/>
      <c r="B935" s="122"/>
      <c r="C935" s="122"/>
      <c r="D935" s="122"/>
    </row>
    <row r="936" spans="1:4" ht="12.5" x14ac:dyDescent="0.25">
      <c r="A936" s="122"/>
      <c r="B936" s="122"/>
      <c r="C936" s="122"/>
      <c r="D936" s="122"/>
    </row>
    <row r="937" spans="1:4" ht="12.5" x14ac:dyDescent="0.25">
      <c r="A937" s="122"/>
      <c r="B937" s="122"/>
      <c r="C937" s="122"/>
      <c r="D937" s="122"/>
    </row>
    <row r="938" spans="1:4" ht="12.5" x14ac:dyDescent="0.25">
      <c r="A938" s="122"/>
      <c r="B938" s="122"/>
      <c r="C938" s="122"/>
      <c r="D938" s="122"/>
    </row>
    <row r="939" spans="1:4" ht="12.5" x14ac:dyDescent="0.25">
      <c r="A939" s="122"/>
      <c r="B939" s="122"/>
      <c r="C939" s="122"/>
      <c r="D939" s="122"/>
    </row>
    <row r="940" spans="1:4" ht="12.5" x14ac:dyDescent="0.25">
      <c r="A940" s="122"/>
      <c r="B940" s="122"/>
      <c r="C940" s="122"/>
      <c r="D940" s="122"/>
    </row>
    <row r="941" spans="1:4" ht="12.5" x14ac:dyDescent="0.25">
      <c r="A941" s="122"/>
      <c r="B941" s="122"/>
      <c r="C941" s="122"/>
      <c r="D941" s="122"/>
    </row>
    <row r="942" spans="1:4" ht="12.5" x14ac:dyDescent="0.25">
      <c r="A942" s="122"/>
      <c r="B942" s="122"/>
      <c r="C942" s="122"/>
      <c r="D942" s="122"/>
    </row>
    <row r="943" spans="1:4" ht="12.5" x14ac:dyDescent="0.25">
      <c r="A943" s="122"/>
      <c r="B943" s="122"/>
      <c r="C943" s="122"/>
      <c r="D943" s="122"/>
    </row>
    <row r="944" spans="1:4" ht="12.5" x14ac:dyDescent="0.25">
      <c r="A944" s="122"/>
      <c r="B944" s="122"/>
      <c r="C944" s="122"/>
      <c r="D944" s="122"/>
    </row>
    <row r="945" spans="1:4" ht="12.5" x14ac:dyDescent="0.25">
      <c r="A945" s="122"/>
      <c r="B945" s="122"/>
      <c r="C945" s="122"/>
      <c r="D945" s="122"/>
    </row>
    <row r="946" spans="1:4" ht="12.5" x14ac:dyDescent="0.25">
      <c r="A946" s="122"/>
      <c r="B946" s="122"/>
      <c r="C946" s="122"/>
      <c r="D946" s="122"/>
    </row>
    <row r="947" spans="1:4" ht="12.5" x14ac:dyDescent="0.25">
      <c r="A947" s="122"/>
      <c r="B947" s="122"/>
      <c r="C947" s="122"/>
      <c r="D947" s="122"/>
    </row>
    <row r="948" spans="1:4" ht="12.5" x14ac:dyDescent="0.25">
      <c r="A948" s="122"/>
      <c r="B948" s="122"/>
      <c r="C948" s="122"/>
      <c r="D948" s="122"/>
    </row>
    <row r="949" spans="1:4" ht="12.5" x14ac:dyDescent="0.25">
      <c r="A949" s="122"/>
      <c r="B949" s="122"/>
      <c r="C949" s="122"/>
      <c r="D949" s="122"/>
    </row>
    <row r="950" spans="1:4" ht="12.5" x14ac:dyDescent="0.25">
      <c r="A950" s="122"/>
      <c r="B950" s="122"/>
      <c r="C950" s="122"/>
      <c r="D950" s="122"/>
    </row>
    <row r="951" spans="1:4" ht="12.5" x14ac:dyDescent="0.25">
      <c r="A951" s="122"/>
      <c r="B951" s="122"/>
      <c r="C951" s="122"/>
      <c r="D951" s="122"/>
    </row>
    <row r="952" spans="1:4" ht="12.5" x14ac:dyDescent="0.25">
      <c r="A952" s="122"/>
      <c r="B952" s="122"/>
      <c r="C952" s="122"/>
      <c r="D952" s="122"/>
    </row>
    <row r="953" spans="1:4" ht="12.5" x14ac:dyDescent="0.25">
      <c r="A953" s="122"/>
      <c r="B953" s="122"/>
      <c r="C953" s="122"/>
      <c r="D953" s="122"/>
    </row>
    <row r="954" spans="1:4" ht="12.5" x14ac:dyDescent="0.25">
      <c r="A954" s="122"/>
      <c r="B954" s="122"/>
      <c r="C954" s="122"/>
      <c r="D954" s="122"/>
    </row>
    <row r="955" spans="1:4" ht="12.5" x14ac:dyDescent="0.25">
      <c r="A955" s="122"/>
      <c r="B955" s="122"/>
      <c r="C955" s="122"/>
      <c r="D955" s="122"/>
    </row>
    <row r="956" spans="1:4" ht="12.5" x14ac:dyDescent="0.25">
      <c r="A956" s="122"/>
      <c r="B956" s="122"/>
      <c r="C956" s="122"/>
      <c r="D956" s="122"/>
    </row>
    <row r="957" spans="1:4" ht="12.5" x14ac:dyDescent="0.25">
      <c r="A957" s="122"/>
      <c r="B957" s="122"/>
      <c r="C957" s="122"/>
      <c r="D957" s="122"/>
    </row>
    <row r="958" spans="1:4" ht="12.5" x14ac:dyDescent="0.25">
      <c r="A958" s="122"/>
      <c r="B958" s="122"/>
      <c r="C958" s="122"/>
      <c r="D958" s="122"/>
    </row>
    <row r="959" spans="1:4" ht="12.5" x14ac:dyDescent="0.25">
      <c r="A959" s="122"/>
      <c r="B959" s="122"/>
      <c r="C959" s="122"/>
      <c r="D959" s="122"/>
    </row>
    <row r="960" spans="1:4" ht="12.5" x14ac:dyDescent="0.25">
      <c r="A960" s="122"/>
      <c r="B960" s="122"/>
      <c r="C960" s="122"/>
      <c r="D960" s="122"/>
    </row>
    <row r="961" spans="1:4" ht="12.5" x14ac:dyDescent="0.25">
      <c r="A961" s="122"/>
      <c r="B961" s="122"/>
      <c r="C961" s="122"/>
      <c r="D961" s="122"/>
    </row>
    <row r="962" spans="1:4" ht="12.5" x14ac:dyDescent="0.25">
      <c r="A962" s="122"/>
      <c r="B962" s="122"/>
      <c r="C962" s="122"/>
      <c r="D962" s="122"/>
    </row>
    <row r="963" spans="1:4" ht="12.5" x14ac:dyDescent="0.25">
      <c r="A963" s="122"/>
      <c r="B963" s="122"/>
      <c r="C963" s="122"/>
      <c r="D963" s="122"/>
    </row>
    <row r="964" spans="1:4" ht="12.5" x14ac:dyDescent="0.25">
      <c r="A964" s="122"/>
      <c r="B964" s="122"/>
      <c r="C964" s="122"/>
      <c r="D964" s="122"/>
    </row>
    <row r="965" spans="1:4" ht="12.5" x14ac:dyDescent="0.25">
      <c r="A965" s="122"/>
      <c r="B965" s="122"/>
      <c r="C965" s="122"/>
      <c r="D965" s="122"/>
    </row>
    <row r="966" spans="1:4" ht="12.5" x14ac:dyDescent="0.25">
      <c r="A966" s="122"/>
      <c r="B966" s="122"/>
      <c r="C966" s="122"/>
      <c r="D966" s="122"/>
    </row>
    <row r="967" spans="1:4" ht="12.5" x14ac:dyDescent="0.25">
      <c r="A967" s="122"/>
      <c r="B967" s="122"/>
      <c r="C967" s="122"/>
      <c r="D967" s="122"/>
    </row>
    <row r="968" spans="1:4" ht="12.5" x14ac:dyDescent="0.25">
      <c r="A968" s="122"/>
      <c r="B968" s="122"/>
      <c r="C968" s="122"/>
      <c r="D968" s="122"/>
    </row>
    <row r="969" spans="1:4" ht="12.5" x14ac:dyDescent="0.25">
      <c r="A969" s="122"/>
      <c r="B969" s="122"/>
      <c r="C969" s="122"/>
      <c r="D969" s="122"/>
    </row>
    <row r="970" spans="1:4" ht="12.5" x14ac:dyDescent="0.25">
      <c r="A970" s="122"/>
      <c r="B970" s="122"/>
      <c r="C970" s="122"/>
      <c r="D970" s="122"/>
    </row>
    <row r="971" spans="1:4" ht="12.5" x14ac:dyDescent="0.25">
      <c r="A971" s="122"/>
      <c r="B971" s="122"/>
      <c r="C971" s="122"/>
      <c r="D971" s="122"/>
    </row>
    <row r="972" spans="1:4" ht="12.5" x14ac:dyDescent="0.25">
      <c r="A972" s="122"/>
      <c r="B972" s="122"/>
      <c r="C972" s="122"/>
      <c r="D972" s="122"/>
    </row>
    <row r="973" spans="1:4" ht="12.5" x14ac:dyDescent="0.25">
      <c r="A973" s="122"/>
      <c r="B973" s="122"/>
      <c r="C973" s="122"/>
      <c r="D973" s="122"/>
    </row>
    <row r="974" spans="1:4" ht="12.5" x14ac:dyDescent="0.25">
      <c r="A974" s="122"/>
      <c r="B974" s="122"/>
      <c r="C974" s="122"/>
      <c r="D974" s="122"/>
    </row>
    <row r="975" spans="1:4" ht="12.5" x14ac:dyDescent="0.25">
      <c r="A975" s="122"/>
      <c r="B975" s="122"/>
      <c r="C975" s="122"/>
      <c r="D975" s="122"/>
    </row>
    <row r="976" spans="1:4" ht="12.5" x14ac:dyDescent="0.25">
      <c r="A976" s="122"/>
      <c r="B976" s="122"/>
      <c r="C976" s="122"/>
      <c r="D976" s="122"/>
    </row>
    <row r="977" spans="1:4" ht="12.5" x14ac:dyDescent="0.25">
      <c r="A977" s="122"/>
      <c r="B977" s="122"/>
      <c r="C977" s="122"/>
      <c r="D977" s="122"/>
    </row>
    <row r="978" spans="1:4" ht="12.5" x14ac:dyDescent="0.25">
      <c r="A978" s="122"/>
      <c r="B978" s="122"/>
      <c r="C978" s="122"/>
      <c r="D978" s="122"/>
    </row>
    <row r="979" spans="1:4" ht="12.5" x14ac:dyDescent="0.25">
      <c r="A979" s="122"/>
      <c r="B979" s="122"/>
      <c r="C979" s="122"/>
      <c r="D979" s="122"/>
    </row>
    <row r="980" spans="1:4" ht="12.5" x14ac:dyDescent="0.25">
      <c r="A980" s="122"/>
      <c r="B980" s="122"/>
      <c r="C980" s="122"/>
      <c r="D980" s="122"/>
    </row>
    <row r="981" spans="1:4" ht="12.5" x14ac:dyDescent="0.25">
      <c r="A981" s="122"/>
      <c r="B981" s="122"/>
      <c r="C981" s="122"/>
      <c r="D981" s="122"/>
    </row>
    <row r="982" spans="1:4" ht="12.5" x14ac:dyDescent="0.25">
      <c r="A982" s="122"/>
      <c r="B982" s="122"/>
      <c r="C982" s="122"/>
      <c r="D982" s="122"/>
    </row>
    <row r="983" spans="1:4" ht="12.5" x14ac:dyDescent="0.25">
      <c r="A983" s="122"/>
      <c r="B983" s="122"/>
      <c r="C983" s="122"/>
      <c r="D983" s="122"/>
    </row>
    <row r="984" spans="1:4" ht="12.5" x14ac:dyDescent="0.25">
      <c r="A984" s="122"/>
      <c r="B984" s="122"/>
      <c r="C984" s="122"/>
      <c r="D984" s="122"/>
    </row>
    <row r="985" spans="1:4" ht="12.5" x14ac:dyDescent="0.25">
      <c r="A985" s="122"/>
      <c r="B985" s="122"/>
      <c r="C985" s="122"/>
      <c r="D985" s="122"/>
    </row>
    <row r="986" spans="1:4" ht="12.5" x14ac:dyDescent="0.25">
      <c r="A986" s="122"/>
      <c r="B986" s="122"/>
      <c r="C986" s="122"/>
      <c r="D986" s="122"/>
    </row>
    <row r="987" spans="1:4" ht="12.5" x14ac:dyDescent="0.25">
      <c r="A987" s="122"/>
      <c r="B987" s="122"/>
      <c r="C987" s="122"/>
      <c r="D987" s="122"/>
    </row>
    <row r="988" spans="1:4" ht="12.5" x14ac:dyDescent="0.25">
      <c r="A988" s="122"/>
      <c r="B988" s="122"/>
      <c r="C988" s="122"/>
      <c r="D988" s="122"/>
    </row>
    <row r="989" spans="1:4" ht="12.5" x14ac:dyDescent="0.25">
      <c r="A989" s="122"/>
      <c r="B989" s="122"/>
      <c r="C989" s="122"/>
      <c r="D989" s="122"/>
    </row>
    <row r="990" spans="1:4" ht="12.5" x14ac:dyDescent="0.25">
      <c r="A990" s="122"/>
      <c r="B990" s="122"/>
      <c r="C990" s="122"/>
      <c r="D990" s="122"/>
    </row>
    <row r="991" spans="1:4" ht="12.5" x14ac:dyDescent="0.25">
      <c r="A991" s="122"/>
      <c r="B991" s="122"/>
      <c r="C991" s="122"/>
      <c r="D991" s="122"/>
    </row>
    <row r="992" spans="1:4" ht="12.5" x14ac:dyDescent="0.25">
      <c r="A992" s="122"/>
      <c r="B992" s="122"/>
      <c r="C992" s="122"/>
      <c r="D992" s="122"/>
    </row>
    <row r="993" spans="1:4" ht="12.5" x14ac:dyDescent="0.25">
      <c r="A993" s="122"/>
      <c r="B993" s="122"/>
      <c r="C993" s="122"/>
      <c r="D993" s="122"/>
    </row>
    <row r="994" spans="1:4" ht="12.5" x14ac:dyDescent="0.25">
      <c r="A994" s="122"/>
      <c r="B994" s="122"/>
      <c r="C994" s="122"/>
      <c r="D994" s="122"/>
    </row>
    <row r="995" spans="1:4" ht="12.5" x14ac:dyDescent="0.25">
      <c r="A995" s="122"/>
      <c r="B995" s="122"/>
      <c r="C995" s="122"/>
      <c r="D995" s="122"/>
    </row>
    <row r="996" spans="1:4" ht="12.5" x14ac:dyDescent="0.25">
      <c r="A996" s="122"/>
      <c r="B996" s="122"/>
      <c r="C996" s="122"/>
      <c r="D996" s="122"/>
    </row>
    <row r="997" spans="1:4" ht="12.5" x14ac:dyDescent="0.25">
      <c r="A997" s="122"/>
      <c r="B997" s="122"/>
      <c r="C997" s="122"/>
      <c r="D997" s="122"/>
    </row>
    <row r="998" spans="1:4" ht="12.5" x14ac:dyDescent="0.25">
      <c r="A998" s="122"/>
      <c r="B998" s="122"/>
      <c r="C998" s="122"/>
      <c r="D998" s="122"/>
    </row>
    <row r="999" spans="1:4" ht="12.5" x14ac:dyDescent="0.25">
      <c r="A999" s="122"/>
      <c r="B999" s="122"/>
      <c r="C999" s="122"/>
      <c r="D999" s="122"/>
    </row>
    <row r="1000" spans="1:4" ht="12.5" x14ac:dyDescent="0.25">
      <c r="A1000" s="122"/>
      <c r="B1000" s="122"/>
      <c r="C1000" s="122"/>
      <c r="D1000" s="1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00"/>
  <sheetViews>
    <sheetView showGridLines="0" workbookViewId="0"/>
  </sheetViews>
  <sheetFormatPr defaultColWidth="12.6328125" defaultRowHeight="15.75" customHeight="1" x14ac:dyDescent="0.25"/>
  <cols>
    <col min="1" max="1" width="15" customWidth="1"/>
    <col min="3" max="3" width="17.26953125" customWidth="1"/>
  </cols>
  <sheetData>
    <row r="1" spans="1:3" x14ac:dyDescent="0.3">
      <c r="A1" s="3" t="s">
        <v>319</v>
      </c>
      <c r="B1" s="4"/>
      <c r="C1" s="4"/>
    </row>
    <row r="2" spans="1:3" ht="15.75" customHeight="1" x14ac:dyDescent="0.25">
      <c r="A2" s="4"/>
      <c r="B2" s="4"/>
      <c r="C2" s="4"/>
    </row>
    <row r="3" spans="1:3" ht="15.75" customHeight="1" x14ac:dyDescent="0.25">
      <c r="A3" s="124" t="s">
        <v>13</v>
      </c>
      <c r="B3" s="124" t="s">
        <v>15</v>
      </c>
      <c r="C3" s="33" t="s">
        <v>23</v>
      </c>
    </row>
    <row r="4" spans="1:3" ht="15.75" customHeight="1" x14ac:dyDescent="0.25">
      <c r="A4" s="33" t="s">
        <v>320</v>
      </c>
      <c r="B4" s="125">
        <v>27.25</v>
      </c>
      <c r="C4" s="125">
        <v>16</v>
      </c>
    </row>
    <row r="5" spans="1:3" ht="15.75" customHeight="1" x14ac:dyDescent="0.25">
      <c r="A5" s="33" t="s">
        <v>49</v>
      </c>
      <c r="B5" s="125">
        <v>26</v>
      </c>
      <c r="C5" s="125">
        <v>16</v>
      </c>
    </row>
    <row r="6" spans="1:3" ht="15.75" customHeight="1" x14ac:dyDescent="0.25">
      <c r="A6" s="33" t="s">
        <v>39</v>
      </c>
      <c r="B6" s="125">
        <v>18</v>
      </c>
      <c r="C6" s="125">
        <v>14</v>
      </c>
    </row>
    <row r="7" spans="1:3" ht="15.75" customHeight="1" x14ac:dyDescent="0.25">
      <c r="A7" s="33" t="s">
        <v>50</v>
      </c>
      <c r="B7" s="125">
        <v>6</v>
      </c>
      <c r="C7" s="125">
        <v>12</v>
      </c>
    </row>
    <row r="8" spans="1:3" ht="15.75" customHeight="1" x14ac:dyDescent="0.25">
      <c r="A8" s="33" t="s">
        <v>44</v>
      </c>
      <c r="B8" s="125">
        <v>8</v>
      </c>
      <c r="C8" s="125">
        <v>12</v>
      </c>
    </row>
    <row r="9" spans="1:3" ht="15.75" customHeight="1" x14ac:dyDescent="0.25">
      <c r="A9" s="33" t="s">
        <v>42</v>
      </c>
      <c r="B9" s="125">
        <v>6</v>
      </c>
      <c r="C9" s="125">
        <v>12</v>
      </c>
    </row>
    <row r="10" spans="1:3" ht="15.75" customHeight="1" x14ac:dyDescent="0.25">
      <c r="A10" s="33" t="s">
        <v>47</v>
      </c>
      <c r="B10" s="125">
        <v>6</v>
      </c>
      <c r="C10" s="125">
        <v>12</v>
      </c>
    </row>
    <row r="11" spans="1:3" ht="15.75" customHeight="1" x14ac:dyDescent="0.25">
      <c r="A11" s="33" t="s">
        <v>51</v>
      </c>
      <c r="B11" s="125">
        <v>7.4</v>
      </c>
      <c r="C11" s="125">
        <v>12</v>
      </c>
    </row>
    <row r="12" spans="1:3" ht="15.75" customHeight="1" x14ac:dyDescent="0.25">
      <c r="A12" s="33" t="s">
        <v>77</v>
      </c>
      <c r="B12" s="125">
        <v>7.4</v>
      </c>
      <c r="C12" s="125">
        <v>12</v>
      </c>
    </row>
    <row r="13" spans="1:3" ht="15.75" customHeight="1" x14ac:dyDescent="0.25">
      <c r="A13" s="4"/>
      <c r="B13" s="5"/>
      <c r="C13" s="5"/>
    </row>
    <row r="14" spans="1:3" ht="15.75" customHeight="1" x14ac:dyDescent="0.25">
      <c r="A14" s="4"/>
      <c r="B14" s="5"/>
      <c r="C14" s="5"/>
    </row>
    <row r="15" spans="1:3" ht="15.75" customHeight="1" x14ac:dyDescent="0.25">
      <c r="A15" s="4"/>
      <c r="B15" s="5"/>
      <c r="C15" s="5"/>
    </row>
    <row r="16" spans="1:3" ht="15.75" customHeight="1" x14ac:dyDescent="0.25">
      <c r="A16" s="4"/>
      <c r="B16" s="5"/>
      <c r="C16" s="5"/>
    </row>
    <row r="17" spans="1:3" ht="15.75" customHeight="1" x14ac:dyDescent="0.25">
      <c r="A17" s="4"/>
      <c r="B17" s="5"/>
      <c r="C17" s="5"/>
    </row>
    <row r="18" spans="1:3" ht="15.75" customHeight="1" x14ac:dyDescent="0.25">
      <c r="A18" s="4"/>
      <c r="B18" s="5"/>
      <c r="C18" s="5"/>
    </row>
    <row r="19" spans="1:3" ht="15.75" customHeight="1" x14ac:dyDescent="0.25">
      <c r="A19" s="4"/>
      <c r="B19" s="5"/>
      <c r="C19" s="5"/>
    </row>
    <row r="20" spans="1:3" ht="15.75" customHeight="1" x14ac:dyDescent="0.25">
      <c r="A20" s="4"/>
      <c r="B20" s="5"/>
      <c r="C20" s="5"/>
    </row>
    <row r="21" spans="1:3" ht="15.75" customHeight="1" x14ac:dyDescent="0.25">
      <c r="A21" s="4"/>
      <c r="B21" s="5"/>
      <c r="C21" s="5"/>
    </row>
    <row r="22" spans="1:3" ht="15.75" customHeight="1" x14ac:dyDescent="0.25">
      <c r="A22" s="4"/>
      <c r="B22" s="5"/>
      <c r="C22" s="5"/>
    </row>
    <row r="23" spans="1:3" ht="15.75" customHeight="1" x14ac:dyDescent="0.25">
      <c r="A23" s="4"/>
      <c r="B23" s="5"/>
      <c r="C23" s="5"/>
    </row>
    <row r="24" spans="1:3" ht="15.75" customHeight="1" x14ac:dyDescent="0.25">
      <c r="A24" s="4"/>
      <c r="B24" s="5"/>
      <c r="C24" s="5"/>
    </row>
    <row r="25" spans="1:3" ht="15.75" customHeight="1" x14ac:dyDescent="0.25">
      <c r="A25" s="4"/>
      <c r="B25" s="5"/>
      <c r="C25" s="5"/>
    </row>
    <row r="26" spans="1:3" ht="15.75" customHeight="1" x14ac:dyDescent="0.25">
      <c r="A26" s="4"/>
      <c r="B26" s="5"/>
      <c r="C26" s="5"/>
    </row>
    <row r="27" spans="1:3" ht="15.75" customHeight="1" x14ac:dyDescent="0.25">
      <c r="A27" s="4"/>
      <c r="B27" s="5"/>
      <c r="C27" s="5"/>
    </row>
    <row r="28" spans="1:3" ht="12.5" x14ac:dyDescent="0.25">
      <c r="A28" s="4"/>
      <c r="B28" s="5"/>
      <c r="C28" s="5"/>
    </row>
    <row r="29" spans="1:3" ht="12.5" x14ac:dyDescent="0.25">
      <c r="A29" s="4"/>
      <c r="B29" s="5"/>
      <c r="C29" s="5"/>
    </row>
    <row r="30" spans="1:3" ht="12.5" x14ac:dyDescent="0.25">
      <c r="A30" s="4"/>
      <c r="B30" s="5"/>
      <c r="C30" s="5"/>
    </row>
    <row r="31" spans="1:3" ht="12.5" x14ac:dyDescent="0.25">
      <c r="A31" s="4"/>
      <c r="B31" s="5"/>
      <c r="C31" s="5"/>
    </row>
    <row r="32" spans="1:3" ht="12.5" x14ac:dyDescent="0.25">
      <c r="A32" s="4"/>
      <c r="B32" s="5"/>
      <c r="C32" s="5"/>
    </row>
    <row r="33" spans="1:3" ht="12.5" x14ac:dyDescent="0.25">
      <c r="A33" s="4"/>
      <c r="B33" s="5"/>
      <c r="C33" s="5"/>
    </row>
    <row r="34" spans="1:3" ht="12.5" x14ac:dyDescent="0.25">
      <c r="A34" s="4"/>
      <c r="B34" s="5"/>
      <c r="C34" s="5"/>
    </row>
    <row r="35" spans="1:3" ht="12.5" x14ac:dyDescent="0.25">
      <c r="A35" s="4"/>
      <c r="B35" s="5"/>
      <c r="C35" s="5"/>
    </row>
    <row r="36" spans="1:3" ht="12.5" x14ac:dyDescent="0.25">
      <c r="A36" s="4"/>
      <c r="B36" s="5"/>
      <c r="C36" s="5"/>
    </row>
    <row r="37" spans="1:3" ht="12.5" x14ac:dyDescent="0.25">
      <c r="A37" s="4"/>
      <c r="B37" s="5"/>
      <c r="C37" s="5"/>
    </row>
    <row r="38" spans="1:3" ht="12.5" x14ac:dyDescent="0.25">
      <c r="A38" s="4"/>
      <c r="B38" s="5"/>
      <c r="C38" s="5"/>
    </row>
    <row r="39" spans="1:3" ht="12.5" x14ac:dyDescent="0.25">
      <c r="A39" s="4"/>
      <c r="B39" s="5"/>
      <c r="C39" s="5"/>
    </row>
    <row r="40" spans="1:3" ht="12.5" x14ac:dyDescent="0.25">
      <c r="A40" s="4"/>
      <c r="B40" s="5"/>
      <c r="C40" s="5"/>
    </row>
    <row r="41" spans="1:3" ht="12.5" x14ac:dyDescent="0.25">
      <c r="A41" s="4"/>
      <c r="B41" s="5"/>
      <c r="C41" s="5"/>
    </row>
    <row r="42" spans="1:3" ht="12.5" x14ac:dyDescent="0.25">
      <c r="A42" s="4"/>
      <c r="B42" s="5"/>
      <c r="C42" s="5"/>
    </row>
    <row r="43" spans="1:3" ht="12.5" x14ac:dyDescent="0.25">
      <c r="A43" s="4"/>
      <c r="B43" s="5"/>
      <c r="C43" s="5"/>
    </row>
    <row r="44" spans="1:3" ht="12.5" x14ac:dyDescent="0.25">
      <c r="A44" s="4"/>
      <c r="B44" s="5"/>
      <c r="C44" s="5"/>
    </row>
    <row r="45" spans="1:3" ht="12.5" x14ac:dyDescent="0.25">
      <c r="A45" s="4"/>
      <c r="B45" s="5"/>
      <c r="C45" s="5"/>
    </row>
    <row r="46" spans="1:3" ht="12.5" x14ac:dyDescent="0.25">
      <c r="A46" s="4"/>
      <c r="B46" s="5"/>
      <c r="C46" s="5"/>
    </row>
    <row r="47" spans="1:3" ht="12.5" x14ac:dyDescent="0.25">
      <c r="A47" s="4"/>
      <c r="B47" s="5"/>
      <c r="C47" s="5"/>
    </row>
    <row r="48" spans="1:3" ht="12.5" x14ac:dyDescent="0.25">
      <c r="A48" s="4"/>
      <c r="B48" s="5"/>
      <c r="C48" s="5"/>
    </row>
    <row r="49" spans="1:3" ht="12.5" x14ac:dyDescent="0.25">
      <c r="A49" s="4"/>
      <c r="B49" s="5"/>
      <c r="C49" s="5"/>
    </row>
    <row r="50" spans="1:3" ht="12.5" x14ac:dyDescent="0.25">
      <c r="A50" s="4"/>
      <c r="B50" s="5"/>
      <c r="C50" s="5"/>
    </row>
    <row r="51" spans="1:3" ht="12.5" x14ac:dyDescent="0.25">
      <c r="A51" s="4"/>
      <c r="B51" s="5"/>
      <c r="C51" s="5"/>
    </row>
    <row r="52" spans="1:3" ht="12.5" x14ac:dyDescent="0.25">
      <c r="A52" s="4"/>
      <c r="B52" s="5"/>
      <c r="C52" s="5"/>
    </row>
    <row r="53" spans="1:3" ht="12.5" x14ac:dyDescent="0.25">
      <c r="A53" s="4"/>
      <c r="B53" s="5"/>
      <c r="C53" s="5"/>
    </row>
    <row r="54" spans="1:3" ht="12.5" x14ac:dyDescent="0.25">
      <c r="A54" s="4"/>
      <c r="B54" s="5"/>
      <c r="C54" s="5"/>
    </row>
    <row r="55" spans="1:3" ht="12.5" x14ac:dyDescent="0.25">
      <c r="A55" s="4"/>
      <c r="B55" s="5"/>
      <c r="C55" s="5"/>
    </row>
    <row r="56" spans="1:3" ht="12.5" x14ac:dyDescent="0.25">
      <c r="A56" s="4"/>
      <c r="B56" s="5"/>
      <c r="C56" s="5"/>
    </row>
    <row r="57" spans="1:3" ht="12.5" x14ac:dyDescent="0.25">
      <c r="A57" s="4"/>
      <c r="B57" s="5"/>
      <c r="C57" s="5"/>
    </row>
    <row r="58" spans="1:3" ht="12.5" x14ac:dyDescent="0.25">
      <c r="A58" s="4"/>
      <c r="B58" s="5"/>
      <c r="C58" s="5"/>
    </row>
    <row r="59" spans="1:3" ht="12.5" x14ac:dyDescent="0.25">
      <c r="A59" s="4"/>
      <c r="B59" s="5"/>
      <c r="C59" s="5"/>
    </row>
    <row r="60" spans="1:3" ht="12.5" x14ac:dyDescent="0.25">
      <c r="A60" s="4"/>
      <c r="B60" s="5"/>
      <c r="C60" s="5"/>
    </row>
    <row r="61" spans="1:3" ht="12.5" x14ac:dyDescent="0.25">
      <c r="A61" s="4"/>
      <c r="B61" s="5"/>
      <c r="C61" s="5"/>
    </row>
    <row r="62" spans="1:3" ht="12.5" x14ac:dyDescent="0.25">
      <c r="A62" s="4"/>
      <c r="B62" s="5"/>
      <c r="C62" s="5"/>
    </row>
    <row r="63" spans="1:3" ht="12.5" x14ac:dyDescent="0.25">
      <c r="A63" s="4"/>
      <c r="B63" s="5"/>
      <c r="C63" s="5"/>
    </row>
    <row r="64" spans="1:3" ht="12.5" x14ac:dyDescent="0.25">
      <c r="A64" s="4"/>
      <c r="B64" s="5"/>
      <c r="C64" s="5"/>
    </row>
    <row r="65" spans="1:3" ht="12.5" x14ac:dyDescent="0.25">
      <c r="A65" s="4"/>
      <c r="B65" s="5"/>
      <c r="C65" s="5"/>
    </row>
    <row r="66" spans="1:3" ht="12.5" x14ac:dyDescent="0.25">
      <c r="A66" s="4"/>
      <c r="B66" s="5"/>
      <c r="C66" s="5"/>
    </row>
    <row r="67" spans="1:3" ht="12.5" x14ac:dyDescent="0.25">
      <c r="A67" s="4"/>
      <c r="B67" s="5"/>
      <c r="C67" s="5"/>
    </row>
    <row r="68" spans="1:3" ht="12.5" x14ac:dyDescent="0.25">
      <c r="A68" s="4"/>
      <c r="B68" s="5"/>
      <c r="C68" s="5"/>
    </row>
    <row r="69" spans="1:3" ht="12.5" x14ac:dyDescent="0.25">
      <c r="A69" s="4"/>
      <c r="B69" s="5"/>
      <c r="C69" s="5"/>
    </row>
    <row r="70" spans="1:3" ht="12.5" x14ac:dyDescent="0.25">
      <c r="A70" s="4"/>
      <c r="B70" s="5"/>
      <c r="C70" s="5"/>
    </row>
    <row r="71" spans="1:3" ht="12.5" x14ac:dyDescent="0.25">
      <c r="A71" s="4"/>
      <c r="B71" s="5"/>
      <c r="C71" s="5"/>
    </row>
    <row r="72" spans="1:3" ht="12.5" x14ac:dyDescent="0.25">
      <c r="A72" s="4"/>
      <c r="B72" s="5"/>
      <c r="C72" s="5"/>
    </row>
    <row r="73" spans="1:3" ht="12.5" x14ac:dyDescent="0.25">
      <c r="A73" s="4"/>
      <c r="B73" s="5"/>
      <c r="C73" s="5"/>
    </row>
    <row r="74" spans="1:3" ht="12.5" x14ac:dyDescent="0.25">
      <c r="A74" s="4"/>
      <c r="B74" s="5"/>
      <c r="C74" s="5"/>
    </row>
    <row r="75" spans="1:3" ht="12.5" x14ac:dyDescent="0.25">
      <c r="A75" s="4"/>
      <c r="B75" s="5"/>
      <c r="C75" s="5"/>
    </row>
    <row r="76" spans="1:3" ht="12.5" x14ac:dyDescent="0.25">
      <c r="A76" s="4"/>
      <c r="B76" s="5"/>
      <c r="C76" s="5"/>
    </row>
    <row r="77" spans="1:3" ht="12.5" x14ac:dyDescent="0.25">
      <c r="A77" s="4"/>
      <c r="B77" s="5"/>
      <c r="C77" s="5"/>
    </row>
    <row r="78" spans="1:3" ht="12.5" x14ac:dyDescent="0.25">
      <c r="A78" s="4"/>
      <c r="B78" s="5"/>
      <c r="C78" s="5"/>
    </row>
    <row r="79" spans="1:3" ht="12.5" x14ac:dyDescent="0.25">
      <c r="A79" s="4"/>
      <c r="B79" s="5"/>
      <c r="C79" s="5"/>
    </row>
    <row r="80" spans="1:3" ht="12.5" x14ac:dyDescent="0.25">
      <c r="A80" s="4"/>
      <c r="B80" s="5"/>
      <c r="C80" s="5"/>
    </row>
    <row r="81" spans="1:3" ht="12.5" x14ac:dyDescent="0.25">
      <c r="A81" s="4"/>
      <c r="B81" s="5"/>
      <c r="C81" s="5"/>
    </row>
    <row r="82" spans="1:3" ht="12.5" x14ac:dyDescent="0.25">
      <c r="A82" s="4"/>
      <c r="B82" s="5"/>
      <c r="C82" s="5"/>
    </row>
    <row r="83" spans="1:3" ht="12.5" x14ac:dyDescent="0.25">
      <c r="A83" s="4"/>
      <c r="B83" s="5"/>
      <c r="C83" s="5"/>
    </row>
    <row r="84" spans="1:3" ht="12.5" x14ac:dyDescent="0.25">
      <c r="A84" s="4"/>
      <c r="B84" s="5"/>
      <c r="C84" s="5"/>
    </row>
    <row r="85" spans="1:3" ht="12.5" x14ac:dyDescent="0.25">
      <c r="A85" s="4"/>
      <c r="B85" s="5"/>
      <c r="C85" s="5"/>
    </row>
    <row r="86" spans="1:3" ht="12.5" x14ac:dyDescent="0.25">
      <c r="A86" s="4"/>
      <c r="B86" s="5"/>
      <c r="C86" s="5"/>
    </row>
    <row r="87" spans="1:3" ht="12.5" x14ac:dyDescent="0.25">
      <c r="A87" s="4"/>
      <c r="B87" s="5"/>
      <c r="C87" s="5"/>
    </row>
    <row r="88" spans="1:3" ht="12.5" x14ac:dyDescent="0.25">
      <c r="A88" s="4"/>
      <c r="B88" s="5"/>
      <c r="C88" s="5"/>
    </row>
    <row r="89" spans="1:3" ht="12.5" x14ac:dyDescent="0.25">
      <c r="A89" s="4"/>
      <c r="B89" s="5"/>
      <c r="C89" s="5"/>
    </row>
    <row r="90" spans="1:3" ht="12.5" x14ac:dyDescent="0.25">
      <c r="A90" s="4"/>
      <c r="B90" s="5"/>
      <c r="C90" s="5"/>
    </row>
    <row r="91" spans="1:3" ht="12.5" x14ac:dyDescent="0.25">
      <c r="A91" s="4"/>
      <c r="B91" s="5"/>
      <c r="C91" s="5"/>
    </row>
    <row r="92" spans="1:3" ht="12.5" x14ac:dyDescent="0.25">
      <c r="A92" s="4"/>
      <c r="B92" s="5"/>
      <c r="C92" s="5"/>
    </row>
    <row r="93" spans="1:3" ht="12.5" x14ac:dyDescent="0.25">
      <c r="A93" s="4"/>
      <c r="B93" s="5"/>
      <c r="C93" s="5"/>
    </row>
    <row r="94" spans="1:3" ht="12.5" x14ac:dyDescent="0.25">
      <c r="A94" s="4"/>
      <c r="B94" s="5"/>
      <c r="C94" s="5"/>
    </row>
    <row r="95" spans="1:3" ht="12.5" x14ac:dyDescent="0.25">
      <c r="A95" s="4"/>
      <c r="B95" s="5"/>
      <c r="C95" s="5"/>
    </row>
    <row r="96" spans="1:3" ht="12.5" x14ac:dyDescent="0.25">
      <c r="A96" s="4"/>
      <c r="B96" s="5"/>
      <c r="C96" s="5"/>
    </row>
    <row r="97" spans="1:3" ht="12.5" x14ac:dyDescent="0.25">
      <c r="A97" s="4"/>
      <c r="B97" s="5"/>
      <c r="C97" s="5"/>
    </row>
    <row r="98" spans="1:3" ht="12.5" x14ac:dyDescent="0.25">
      <c r="A98" s="4"/>
      <c r="B98" s="5"/>
      <c r="C98" s="5"/>
    </row>
    <row r="99" spans="1:3" ht="12.5" x14ac:dyDescent="0.25">
      <c r="A99" s="4"/>
      <c r="B99" s="5"/>
      <c r="C99" s="5"/>
    </row>
    <row r="100" spans="1:3" ht="12.5" x14ac:dyDescent="0.25">
      <c r="A100" s="4"/>
      <c r="B100" s="5"/>
      <c r="C100" s="5"/>
    </row>
    <row r="101" spans="1:3" ht="12.5" x14ac:dyDescent="0.25">
      <c r="A101" s="4"/>
      <c r="B101" s="5"/>
      <c r="C101" s="5"/>
    </row>
    <row r="102" spans="1:3" ht="12.5" x14ac:dyDescent="0.25">
      <c r="A102" s="4"/>
      <c r="B102" s="5"/>
      <c r="C102" s="5"/>
    </row>
    <row r="103" spans="1:3" ht="12.5" x14ac:dyDescent="0.25">
      <c r="A103" s="4"/>
      <c r="B103" s="5"/>
      <c r="C103" s="5"/>
    </row>
    <row r="104" spans="1:3" ht="12.5" x14ac:dyDescent="0.25">
      <c r="A104" s="4"/>
      <c r="B104" s="5"/>
      <c r="C104" s="5"/>
    </row>
    <row r="105" spans="1:3" ht="12.5" x14ac:dyDescent="0.25">
      <c r="A105" s="4"/>
      <c r="B105" s="5"/>
      <c r="C105" s="5"/>
    </row>
    <row r="106" spans="1:3" ht="12.5" x14ac:dyDescent="0.25">
      <c r="A106" s="4"/>
      <c r="B106" s="5"/>
      <c r="C106" s="5"/>
    </row>
    <row r="107" spans="1:3" ht="12.5" x14ac:dyDescent="0.25">
      <c r="A107" s="4"/>
      <c r="B107" s="5"/>
      <c r="C107" s="5"/>
    </row>
    <row r="108" spans="1:3" ht="12.5" x14ac:dyDescent="0.25">
      <c r="A108" s="4"/>
      <c r="B108" s="5"/>
      <c r="C108" s="5"/>
    </row>
    <row r="109" spans="1:3" ht="12.5" x14ac:dyDescent="0.25">
      <c r="A109" s="4"/>
      <c r="B109" s="5"/>
      <c r="C109" s="5"/>
    </row>
    <row r="110" spans="1:3" ht="12.5" x14ac:dyDescent="0.25">
      <c r="A110" s="4"/>
      <c r="B110" s="5"/>
      <c r="C110" s="5"/>
    </row>
    <row r="111" spans="1:3" ht="12.5" x14ac:dyDescent="0.25">
      <c r="A111" s="4"/>
      <c r="B111" s="5"/>
      <c r="C111" s="5"/>
    </row>
    <row r="112" spans="1:3" ht="12.5" x14ac:dyDescent="0.25">
      <c r="A112" s="4"/>
      <c r="B112" s="5"/>
      <c r="C112" s="5"/>
    </row>
    <row r="113" spans="1:3" ht="12.5" x14ac:dyDescent="0.25">
      <c r="A113" s="4"/>
      <c r="B113" s="5"/>
      <c r="C113" s="5"/>
    </row>
    <row r="114" spans="1:3" ht="12.5" x14ac:dyDescent="0.25">
      <c r="A114" s="4"/>
      <c r="B114" s="5"/>
      <c r="C114" s="5"/>
    </row>
    <row r="115" spans="1:3" ht="12.5" x14ac:dyDescent="0.25">
      <c r="A115" s="4"/>
      <c r="B115" s="5"/>
      <c r="C115" s="5"/>
    </row>
    <row r="116" spans="1:3" ht="12.5" x14ac:dyDescent="0.25">
      <c r="A116" s="4"/>
      <c r="B116" s="5"/>
      <c r="C116" s="5"/>
    </row>
    <row r="117" spans="1:3" ht="12.5" x14ac:dyDescent="0.25">
      <c r="A117" s="4"/>
      <c r="B117" s="5"/>
      <c r="C117" s="5"/>
    </row>
    <row r="118" spans="1:3" ht="12.5" x14ac:dyDescent="0.25">
      <c r="A118" s="4"/>
      <c r="B118" s="5"/>
      <c r="C118" s="5"/>
    </row>
    <row r="119" spans="1:3" ht="12.5" x14ac:dyDescent="0.25">
      <c r="A119" s="4"/>
      <c r="B119" s="5"/>
      <c r="C119" s="5"/>
    </row>
    <row r="120" spans="1:3" ht="12.5" x14ac:dyDescent="0.25">
      <c r="A120" s="4"/>
      <c r="B120" s="5"/>
      <c r="C120" s="5"/>
    </row>
    <row r="121" spans="1:3" ht="12.5" x14ac:dyDescent="0.25">
      <c r="A121" s="4"/>
      <c r="B121" s="5"/>
      <c r="C121" s="5"/>
    </row>
    <row r="122" spans="1:3" ht="12.5" x14ac:dyDescent="0.25">
      <c r="A122" s="4"/>
      <c r="B122" s="5"/>
      <c r="C122" s="5"/>
    </row>
    <row r="123" spans="1:3" ht="12.5" x14ac:dyDescent="0.25">
      <c r="A123" s="4"/>
      <c r="B123" s="5"/>
      <c r="C123" s="5"/>
    </row>
    <row r="124" spans="1:3" ht="12.5" x14ac:dyDescent="0.25">
      <c r="A124" s="4"/>
      <c r="B124" s="5"/>
      <c r="C124" s="5"/>
    </row>
    <row r="125" spans="1:3" ht="12.5" x14ac:dyDescent="0.25">
      <c r="A125" s="4"/>
      <c r="B125" s="5"/>
      <c r="C125" s="5"/>
    </row>
    <row r="126" spans="1:3" ht="12.5" x14ac:dyDescent="0.25">
      <c r="A126" s="4"/>
      <c r="B126" s="5"/>
      <c r="C126" s="5"/>
    </row>
    <row r="127" spans="1:3" ht="12.5" x14ac:dyDescent="0.25">
      <c r="A127" s="4"/>
      <c r="B127" s="5"/>
      <c r="C127" s="5"/>
    </row>
    <row r="128" spans="1:3" ht="12.5" x14ac:dyDescent="0.25">
      <c r="A128" s="4"/>
      <c r="B128" s="5"/>
      <c r="C128" s="5"/>
    </row>
    <row r="129" spans="1:3" ht="12.5" x14ac:dyDescent="0.25">
      <c r="A129" s="4"/>
      <c r="B129" s="5"/>
      <c r="C129" s="5"/>
    </row>
    <row r="130" spans="1:3" ht="12.5" x14ac:dyDescent="0.25">
      <c r="A130" s="4"/>
      <c r="B130" s="5"/>
      <c r="C130" s="5"/>
    </row>
    <row r="131" spans="1:3" ht="12.5" x14ac:dyDescent="0.25">
      <c r="A131" s="4"/>
      <c r="B131" s="5"/>
      <c r="C131" s="5"/>
    </row>
    <row r="132" spans="1:3" ht="12.5" x14ac:dyDescent="0.25">
      <c r="A132" s="4"/>
      <c r="B132" s="5"/>
      <c r="C132" s="5"/>
    </row>
    <row r="133" spans="1:3" ht="12.5" x14ac:dyDescent="0.25">
      <c r="A133" s="4"/>
      <c r="B133" s="5"/>
      <c r="C133" s="5"/>
    </row>
    <row r="134" spans="1:3" ht="12.5" x14ac:dyDescent="0.25">
      <c r="A134" s="4"/>
      <c r="B134" s="5"/>
      <c r="C134" s="5"/>
    </row>
    <row r="135" spans="1:3" ht="12.5" x14ac:dyDescent="0.25">
      <c r="A135" s="4"/>
      <c r="B135" s="5"/>
      <c r="C135" s="5"/>
    </row>
    <row r="136" spans="1:3" ht="12.5" x14ac:dyDescent="0.25">
      <c r="A136" s="4"/>
      <c r="B136" s="5"/>
      <c r="C136" s="5"/>
    </row>
    <row r="137" spans="1:3" ht="12.5" x14ac:dyDescent="0.25">
      <c r="A137" s="4"/>
      <c r="B137" s="5"/>
      <c r="C137" s="5"/>
    </row>
    <row r="138" spans="1:3" ht="12.5" x14ac:dyDescent="0.25">
      <c r="A138" s="4"/>
      <c r="B138" s="5"/>
      <c r="C138" s="5"/>
    </row>
    <row r="139" spans="1:3" ht="12.5" x14ac:dyDescent="0.25">
      <c r="A139" s="4"/>
      <c r="B139" s="5"/>
      <c r="C139" s="5"/>
    </row>
    <row r="140" spans="1:3" ht="12.5" x14ac:dyDescent="0.25">
      <c r="A140" s="4"/>
      <c r="B140" s="5"/>
      <c r="C140" s="5"/>
    </row>
    <row r="141" spans="1:3" ht="12.5" x14ac:dyDescent="0.25">
      <c r="A141" s="4"/>
      <c r="B141" s="5"/>
      <c r="C141" s="5"/>
    </row>
    <row r="142" spans="1:3" ht="12.5" x14ac:dyDescent="0.25">
      <c r="A142" s="4"/>
      <c r="B142" s="5"/>
      <c r="C142" s="5"/>
    </row>
    <row r="143" spans="1:3" ht="12.5" x14ac:dyDescent="0.25">
      <c r="A143" s="4"/>
      <c r="B143" s="5"/>
      <c r="C143" s="5"/>
    </row>
    <row r="144" spans="1:3" ht="12.5" x14ac:dyDescent="0.25">
      <c r="A144" s="4"/>
      <c r="B144" s="5"/>
      <c r="C144" s="5"/>
    </row>
    <row r="145" spans="1:3" ht="12.5" x14ac:dyDescent="0.25">
      <c r="A145" s="4"/>
      <c r="B145" s="5"/>
      <c r="C145" s="5"/>
    </row>
    <row r="146" spans="1:3" ht="12.5" x14ac:dyDescent="0.25">
      <c r="A146" s="4"/>
      <c r="B146" s="5"/>
      <c r="C146" s="5"/>
    </row>
    <row r="147" spans="1:3" ht="12.5" x14ac:dyDescent="0.25">
      <c r="A147" s="4"/>
      <c r="B147" s="5"/>
      <c r="C147" s="5"/>
    </row>
    <row r="148" spans="1:3" ht="12.5" x14ac:dyDescent="0.25">
      <c r="A148" s="4"/>
      <c r="B148" s="5"/>
      <c r="C148" s="5"/>
    </row>
    <row r="149" spans="1:3" ht="12.5" x14ac:dyDescent="0.25">
      <c r="A149" s="4"/>
      <c r="B149" s="5"/>
      <c r="C149" s="5"/>
    </row>
    <row r="150" spans="1:3" ht="12.5" x14ac:dyDescent="0.25">
      <c r="A150" s="4"/>
      <c r="B150" s="5"/>
      <c r="C150" s="5"/>
    </row>
    <row r="151" spans="1:3" ht="12.5" x14ac:dyDescent="0.25">
      <c r="A151" s="4"/>
      <c r="B151" s="5"/>
      <c r="C151" s="5"/>
    </row>
    <row r="152" spans="1:3" ht="12.5" x14ac:dyDescent="0.25">
      <c r="A152" s="4"/>
      <c r="B152" s="5"/>
      <c r="C152" s="5"/>
    </row>
    <row r="153" spans="1:3" ht="12.5" x14ac:dyDescent="0.25">
      <c r="A153" s="4"/>
      <c r="B153" s="5"/>
      <c r="C153" s="5"/>
    </row>
    <row r="154" spans="1:3" ht="12.5" x14ac:dyDescent="0.25">
      <c r="A154" s="4"/>
      <c r="B154" s="5"/>
      <c r="C154" s="5"/>
    </row>
    <row r="155" spans="1:3" ht="12.5" x14ac:dyDescent="0.25">
      <c r="A155" s="4"/>
      <c r="B155" s="5"/>
      <c r="C155" s="5"/>
    </row>
    <row r="156" spans="1:3" ht="12.5" x14ac:dyDescent="0.25">
      <c r="A156" s="4"/>
      <c r="B156" s="5"/>
      <c r="C156" s="5"/>
    </row>
    <row r="157" spans="1:3" ht="12.5" x14ac:dyDescent="0.25">
      <c r="A157" s="4"/>
      <c r="B157" s="5"/>
      <c r="C157" s="5"/>
    </row>
    <row r="158" spans="1:3" ht="12.5" x14ac:dyDescent="0.25">
      <c r="A158" s="4"/>
      <c r="B158" s="5"/>
      <c r="C158" s="5"/>
    </row>
    <row r="159" spans="1:3" ht="12.5" x14ac:dyDescent="0.25">
      <c r="A159" s="4"/>
      <c r="B159" s="5"/>
      <c r="C159" s="5"/>
    </row>
    <row r="160" spans="1:3" ht="12.5" x14ac:dyDescent="0.25">
      <c r="A160" s="4"/>
      <c r="B160" s="5"/>
      <c r="C160" s="5"/>
    </row>
    <row r="161" spans="1:3" ht="12.5" x14ac:dyDescent="0.25">
      <c r="A161" s="4"/>
      <c r="B161" s="5"/>
      <c r="C161" s="5"/>
    </row>
    <row r="162" spans="1:3" ht="12.5" x14ac:dyDescent="0.25">
      <c r="A162" s="4"/>
      <c r="B162" s="5"/>
      <c r="C162" s="5"/>
    </row>
    <row r="163" spans="1:3" ht="12.5" x14ac:dyDescent="0.25">
      <c r="A163" s="4"/>
      <c r="B163" s="5"/>
      <c r="C163" s="5"/>
    </row>
    <row r="164" spans="1:3" ht="12.5" x14ac:dyDescent="0.25">
      <c r="A164" s="4"/>
      <c r="B164" s="5"/>
      <c r="C164" s="5"/>
    </row>
    <row r="165" spans="1:3" ht="12.5" x14ac:dyDescent="0.25">
      <c r="A165" s="4"/>
      <c r="B165" s="5"/>
      <c r="C165" s="5"/>
    </row>
    <row r="166" spans="1:3" ht="12.5" x14ac:dyDescent="0.25">
      <c r="A166" s="4"/>
      <c r="B166" s="5"/>
      <c r="C166" s="5"/>
    </row>
    <row r="167" spans="1:3" ht="12.5" x14ac:dyDescent="0.25">
      <c r="A167" s="4"/>
      <c r="B167" s="5"/>
      <c r="C167" s="5"/>
    </row>
    <row r="168" spans="1:3" ht="12.5" x14ac:dyDescent="0.25">
      <c r="A168" s="4"/>
      <c r="B168" s="5"/>
      <c r="C168" s="5"/>
    </row>
    <row r="169" spans="1:3" ht="12.5" x14ac:dyDescent="0.25">
      <c r="A169" s="4"/>
      <c r="B169" s="5"/>
      <c r="C169" s="5"/>
    </row>
    <row r="170" spans="1:3" ht="12.5" x14ac:dyDescent="0.25">
      <c r="A170" s="4"/>
      <c r="B170" s="5"/>
      <c r="C170" s="5"/>
    </row>
    <row r="171" spans="1:3" ht="12.5" x14ac:dyDescent="0.25">
      <c r="A171" s="4"/>
      <c r="B171" s="5"/>
      <c r="C171" s="5"/>
    </row>
    <row r="172" spans="1:3" ht="12.5" x14ac:dyDescent="0.25">
      <c r="A172" s="4"/>
      <c r="B172" s="5"/>
      <c r="C172" s="5"/>
    </row>
    <row r="173" spans="1:3" ht="12.5" x14ac:dyDescent="0.25">
      <c r="A173" s="4"/>
      <c r="B173" s="5"/>
      <c r="C173" s="5"/>
    </row>
    <row r="174" spans="1:3" ht="12.5" x14ac:dyDescent="0.25">
      <c r="A174" s="4"/>
      <c r="B174" s="5"/>
      <c r="C174" s="5"/>
    </row>
    <row r="175" spans="1:3" ht="12.5" x14ac:dyDescent="0.25">
      <c r="A175" s="4"/>
      <c r="B175" s="5"/>
      <c r="C175" s="5"/>
    </row>
    <row r="176" spans="1:3" ht="12.5" x14ac:dyDescent="0.25">
      <c r="A176" s="4"/>
      <c r="B176" s="5"/>
      <c r="C176" s="5"/>
    </row>
    <row r="177" spans="1:3" ht="12.5" x14ac:dyDescent="0.25">
      <c r="A177" s="4"/>
      <c r="B177" s="5"/>
      <c r="C177" s="5"/>
    </row>
    <row r="178" spans="1:3" ht="12.5" x14ac:dyDescent="0.25">
      <c r="A178" s="4"/>
      <c r="B178" s="5"/>
      <c r="C178" s="5"/>
    </row>
    <row r="179" spans="1:3" ht="12.5" x14ac:dyDescent="0.25">
      <c r="A179" s="4"/>
      <c r="B179" s="5"/>
      <c r="C179" s="5"/>
    </row>
    <row r="180" spans="1:3" ht="12.5" x14ac:dyDescent="0.25">
      <c r="A180" s="4"/>
      <c r="B180" s="5"/>
      <c r="C180" s="5"/>
    </row>
    <row r="181" spans="1:3" ht="12.5" x14ac:dyDescent="0.25">
      <c r="A181" s="4"/>
      <c r="B181" s="5"/>
      <c r="C181" s="5"/>
    </row>
    <row r="182" spans="1:3" ht="12.5" x14ac:dyDescent="0.25">
      <c r="A182" s="4"/>
      <c r="B182" s="5"/>
      <c r="C182" s="5"/>
    </row>
    <row r="183" spans="1:3" ht="12.5" x14ac:dyDescent="0.25">
      <c r="A183" s="4"/>
      <c r="B183" s="5"/>
      <c r="C183" s="5"/>
    </row>
    <row r="184" spans="1:3" ht="12.5" x14ac:dyDescent="0.25">
      <c r="A184" s="4"/>
      <c r="B184" s="5"/>
      <c r="C184" s="5"/>
    </row>
    <row r="185" spans="1:3" ht="12.5" x14ac:dyDescent="0.25">
      <c r="A185" s="4"/>
      <c r="B185" s="5"/>
      <c r="C185" s="5"/>
    </row>
    <row r="186" spans="1:3" ht="12.5" x14ac:dyDescent="0.25">
      <c r="A186" s="4"/>
      <c r="B186" s="5"/>
      <c r="C186" s="5"/>
    </row>
    <row r="187" spans="1:3" ht="12.5" x14ac:dyDescent="0.25">
      <c r="A187" s="4"/>
      <c r="B187" s="5"/>
      <c r="C187" s="5"/>
    </row>
    <row r="188" spans="1:3" ht="12.5" x14ac:dyDescent="0.25">
      <c r="A188" s="4"/>
      <c r="B188" s="5"/>
      <c r="C188" s="5"/>
    </row>
    <row r="189" spans="1:3" ht="12.5" x14ac:dyDescent="0.25">
      <c r="A189" s="4"/>
      <c r="B189" s="5"/>
      <c r="C189" s="5"/>
    </row>
    <row r="190" spans="1:3" ht="12.5" x14ac:dyDescent="0.25">
      <c r="A190" s="4"/>
      <c r="B190" s="5"/>
      <c r="C190" s="5"/>
    </row>
    <row r="191" spans="1:3" ht="12.5" x14ac:dyDescent="0.25">
      <c r="A191" s="4"/>
      <c r="B191" s="5"/>
      <c r="C191" s="5"/>
    </row>
    <row r="192" spans="1:3" ht="12.5" x14ac:dyDescent="0.25">
      <c r="A192" s="4"/>
      <c r="B192" s="5"/>
      <c r="C192" s="5"/>
    </row>
    <row r="193" spans="1:3" ht="12.5" x14ac:dyDescent="0.25">
      <c r="A193" s="4"/>
      <c r="B193" s="5"/>
      <c r="C193" s="5"/>
    </row>
    <row r="194" spans="1:3" ht="12.5" x14ac:dyDescent="0.25">
      <c r="A194" s="4"/>
      <c r="B194" s="5"/>
      <c r="C194" s="5"/>
    </row>
    <row r="195" spans="1:3" ht="12.5" x14ac:dyDescent="0.25">
      <c r="A195" s="4"/>
      <c r="B195" s="5"/>
      <c r="C195" s="5"/>
    </row>
    <row r="196" spans="1:3" ht="12.5" x14ac:dyDescent="0.25">
      <c r="A196" s="4"/>
      <c r="B196" s="5"/>
      <c r="C196" s="5"/>
    </row>
    <row r="197" spans="1:3" ht="12.5" x14ac:dyDescent="0.25">
      <c r="A197" s="4"/>
      <c r="B197" s="5"/>
      <c r="C197" s="5"/>
    </row>
    <row r="198" spans="1:3" ht="12.5" x14ac:dyDescent="0.25">
      <c r="A198" s="4"/>
      <c r="B198" s="5"/>
      <c r="C198" s="5"/>
    </row>
    <row r="199" spans="1:3" ht="12.5" x14ac:dyDescent="0.25">
      <c r="A199" s="4"/>
      <c r="B199" s="5"/>
      <c r="C199" s="5"/>
    </row>
    <row r="200" spans="1:3" ht="12.5" x14ac:dyDescent="0.25">
      <c r="A200" s="4"/>
      <c r="B200" s="5"/>
      <c r="C200" s="5"/>
    </row>
    <row r="201" spans="1:3" ht="12.5" x14ac:dyDescent="0.25">
      <c r="A201" s="4"/>
      <c r="B201" s="5"/>
      <c r="C201" s="5"/>
    </row>
    <row r="202" spans="1:3" ht="12.5" x14ac:dyDescent="0.25">
      <c r="A202" s="4"/>
      <c r="B202" s="5"/>
      <c r="C202" s="5"/>
    </row>
    <row r="203" spans="1:3" ht="12.5" x14ac:dyDescent="0.25">
      <c r="A203" s="4"/>
      <c r="B203" s="5"/>
      <c r="C203" s="5"/>
    </row>
    <row r="204" spans="1:3" ht="12.5" x14ac:dyDescent="0.25">
      <c r="A204" s="4"/>
      <c r="B204" s="5"/>
      <c r="C204" s="5"/>
    </row>
    <row r="205" spans="1:3" ht="12.5" x14ac:dyDescent="0.25">
      <c r="A205" s="4"/>
      <c r="B205" s="5"/>
      <c r="C205" s="5"/>
    </row>
    <row r="206" spans="1:3" ht="12.5" x14ac:dyDescent="0.25">
      <c r="A206" s="4"/>
      <c r="B206" s="5"/>
      <c r="C206" s="5"/>
    </row>
    <row r="207" spans="1:3" ht="12.5" x14ac:dyDescent="0.25">
      <c r="A207" s="4"/>
      <c r="B207" s="5"/>
      <c r="C207" s="5"/>
    </row>
    <row r="208" spans="1:3" ht="12.5" x14ac:dyDescent="0.25">
      <c r="A208" s="4"/>
      <c r="B208" s="5"/>
      <c r="C208" s="5"/>
    </row>
    <row r="209" spans="1:3" ht="12.5" x14ac:dyDescent="0.25">
      <c r="A209" s="4"/>
      <c r="B209" s="5"/>
      <c r="C209" s="5"/>
    </row>
    <row r="210" spans="1:3" ht="12.5" x14ac:dyDescent="0.25">
      <c r="A210" s="4"/>
      <c r="B210" s="5"/>
      <c r="C210" s="5"/>
    </row>
    <row r="211" spans="1:3" ht="12.5" x14ac:dyDescent="0.25">
      <c r="A211" s="4"/>
      <c r="B211" s="5"/>
      <c r="C211" s="5"/>
    </row>
    <row r="212" spans="1:3" ht="12.5" x14ac:dyDescent="0.25">
      <c r="A212" s="4"/>
      <c r="B212" s="5"/>
      <c r="C212" s="5"/>
    </row>
    <row r="213" spans="1:3" ht="12.5" x14ac:dyDescent="0.25">
      <c r="A213" s="4"/>
      <c r="B213" s="5"/>
      <c r="C213" s="5"/>
    </row>
    <row r="214" spans="1:3" ht="12.5" x14ac:dyDescent="0.25">
      <c r="A214" s="4"/>
      <c r="B214" s="5"/>
      <c r="C214" s="5"/>
    </row>
    <row r="215" spans="1:3" ht="12.5" x14ac:dyDescent="0.25">
      <c r="A215" s="4"/>
      <c r="B215" s="5"/>
      <c r="C215" s="5"/>
    </row>
    <row r="216" spans="1:3" ht="12.5" x14ac:dyDescent="0.25">
      <c r="A216" s="4"/>
      <c r="B216" s="5"/>
      <c r="C216" s="5"/>
    </row>
    <row r="217" spans="1:3" ht="12.5" x14ac:dyDescent="0.25">
      <c r="A217" s="4"/>
      <c r="B217" s="5"/>
      <c r="C217" s="5"/>
    </row>
    <row r="218" spans="1:3" ht="12.5" x14ac:dyDescent="0.25">
      <c r="A218" s="4"/>
      <c r="B218" s="5"/>
      <c r="C218" s="5"/>
    </row>
    <row r="219" spans="1:3" ht="12.5" x14ac:dyDescent="0.25">
      <c r="A219" s="4"/>
      <c r="B219" s="5"/>
      <c r="C219" s="5"/>
    </row>
    <row r="220" spans="1:3" ht="12.5" x14ac:dyDescent="0.25">
      <c r="A220" s="4"/>
      <c r="B220" s="5"/>
      <c r="C220" s="5"/>
    </row>
    <row r="221" spans="1:3" ht="12.5" x14ac:dyDescent="0.25">
      <c r="A221" s="4"/>
      <c r="B221" s="5"/>
      <c r="C221" s="5"/>
    </row>
    <row r="222" spans="1:3" ht="12.5" x14ac:dyDescent="0.25">
      <c r="A222" s="4"/>
      <c r="B222" s="5"/>
      <c r="C222" s="5"/>
    </row>
    <row r="223" spans="1:3" ht="12.5" x14ac:dyDescent="0.25">
      <c r="A223" s="4"/>
      <c r="B223" s="5"/>
      <c r="C223" s="5"/>
    </row>
    <row r="224" spans="1:3" ht="12.5" x14ac:dyDescent="0.25">
      <c r="A224" s="4"/>
      <c r="B224" s="5"/>
      <c r="C224" s="5"/>
    </row>
    <row r="225" spans="1:3" ht="12.5" x14ac:dyDescent="0.25">
      <c r="A225" s="4"/>
      <c r="B225" s="5"/>
      <c r="C225" s="5"/>
    </row>
    <row r="226" spans="1:3" ht="12.5" x14ac:dyDescent="0.25">
      <c r="A226" s="4"/>
      <c r="B226" s="5"/>
      <c r="C226" s="5"/>
    </row>
    <row r="227" spans="1:3" ht="12.5" x14ac:dyDescent="0.25">
      <c r="A227" s="4"/>
      <c r="B227" s="5"/>
      <c r="C227" s="5"/>
    </row>
    <row r="228" spans="1:3" ht="12.5" x14ac:dyDescent="0.25">
      <c r="A228" s="4"/>
      <c r="B228" s="5"/>
      <c r="C228" s="5"/>
    </row>
    <row r="229" spans="1:3" ht="12.5" x14ac:dyDescent="0.25">
      <c r="A229" s="4"/>
      <c r="B229" s="5"/>
      <c r="C229" s="5"/>
    </row>
    <row r="230" spans="1:3" ht="12.5" x14ac:dyDescent="0.25">
      <c r="A230" s="4"/>
      <c r="B230" s="5"/>
      <c r="C230" s="5"/>
    </row>
    <row r="231" spans="1:3" ht="12.5" x14ac:dyDescent="0.25">
      <c r="A231" s="4"/>
      <c r="B231" s="5"/>
      <c r="C231" s="5"/>
    </row>
    <row r="232" spans="1:3" ht="12.5" x14ac:dyDescent="0.25">
      <c r="A232" s="4"/>
      <c r="B232" s="5"/>
      <c r="C232" s="5"/>
    </row>
    <row r="233" spans="1:3" ht="12.5" x14ac:dyDescent="0.25">
      <c r="A233" s="4"/>
      <c r="B233" s="5"/>
      <c r="C233" s="5"/>
    </row>
    <row r="234" spans="1:3" ht="12.5" x14ac:dyDescent="0.25">
      <c r="A234" s="4"/>
      <c r="B234" s="5"/>
      <c r="C234" s="5"/>
    </row>
    <row r="235" spans="1:3" ht="12.5" x14ac:dyDescent="0.25">
      <c r="A235" s="4"/>
      <c r="B235" s="5"/>
      <c r="C235" s="5"/>
    </row>
    <row r="236" spans="1:3" ht="12.5" x14ac:dyDescent="0.25">
      <c r="A236" s="4"/>
      <c r="B236" s="5"/>
      <c r="C236" s="5"/>
    </row>
    <row r="237" spans="1:3" ht="12.5" x14ac:dyDescent="0.25">
      <c r="A237" s="4"/>
      <c r="B237" s="5"/>
      <c r="C237" s="5"/>
    </row>
    <row r="238" spans="1:3" ht="12.5" x14ac:dyDescent="0.25">
      <c r="A238" s="4"/>
      <c r="B238" s="5"/>
      <c r="C238" s="5"/>
    </row>
    <row r="239" spans="1:3" ht="12.5" x14ac:dyDescent="0.25">
      <c r="A239" s="4"/>
      <c r="B239" s="5"/>
      <c r="C239" s="5"/>
    </row>
    <row r="240" spans="1:3" ht="12.5" x14ac:dyDescent="0.25">
      <c r="A240" s="4"/>
      <c r="B240" s="5"/>
      <c r="C240" s="5"/>
    </row>
    <row r="241" spans="1:3" ht="12.5" x14ac:dyDescent="0.25">
      <c r="A241" s="4"/>
      <c r="B241" s="5"/>
      <c r="C241" s="5"/>
    </row>
    <row r="242" spans="1:3" ht="12.5" x14ac:dyDescent="0.25">
      <c r="A242" s="4"/>
      <c r="B242" s="5"/>
      <c r="C242" s="5"/>
    </row>
    <row r="243" spans="1:3" ht="12.5" x14ac:dyDescent="0.25">
      <c r="A243" s="4"/>
      <c r="B243" s="5"/>
      <c r="C243" s="5"/>
    </row>
    <row r="244" spans="1:3" ht="12.5" x14ac:dyDescent="0.25">
      <c r="A244" s="4"/>
      <c r="B244" s="5"/>
      <c r="C244" s="5"/>
    </row>
    <row r="245" spans="1:3" ht="12.5" x14ac:dyDescent="0.25">
      <c r="A245" s="4"/>
      <c r="B245" s="5"/>
      <c r="C245" s="5"/>
    </row>
    <row r="246" spans="1:3" ht="12.5" x14ac:dyDescent="0.25">
      <c r="A246" s="4"/>
      <c r="B246" s="5"/>
      <c r="C246" s="5"/>
    </row>
    <row r="247" spans="1:3" ht="12.5" x14ac:dyDescent="0.25">
      <c r="A247" s="4"/>
      <c r="B247" s="5"/>
      <c r="C247" s="5"/>
    </row>
    <row r="248" spans="1:3" ht="12.5" x14ac:dyDescent="0.25">
      <c r="A248" s="4"/>
      <c r="B248" s="5"/>
      <c r="C248" s="5"/>
    </row>
    <row r="249" spans="1:3" ht="12.5" x14ac:dyDescent="0.25">
      <c r="A249" s="4"/>
      <c r="B249" s="5"/>
      <c r="C249" s="5"/>
    </row>
    <row r="250" spans="1:3" ht="12.5" x14ac:dyDescent="0.25">
      <c r="A250" s="4"/>
      <c r="B250" s="5"/>
      <c r="C250" s="5"/>
    </row>
    <row r="251" spans="1:3" ht="12.5" x14ac:dyDescent="0.25">
      <c r="A251" s="4"/>
      <c r="B251" s="5"/>
      <c r="C251" s="5"/>
    </row>
    <row r="252" spans="1:3" ht="12.5" x14ac:dyDescent="0.25">
      <c r="A252" s="4"/>
      <c r="B252" s="5"/>
      <c r="C252" s="5"/>
    </row>
    <row r="253" spans="1:3" ht="12.5" x14ac:dyDescent="0.25">
      <c r="A253" s="4"/>
      <c r="B253" s="5"/>
      <c r="C253" s="5"/>
    </row>
    <row r="254" spans="1:3" ht="12.5" x14ac:dyDescent="0.25">
      <c r="A254" s="4"/>
      <c r="B254" s="5"/>
      <c r="C254" s="5"/>
    </row>
    <row r="255" spans="1:3" ht="12.5" x14ac:dyDescent="0.25">
      <c r="A255" s="4"/>
      <c r="B255" s="5"/>
      <c r="C255" s="5"/>
    </row>
    <row r="256" spans="1:3" ht="12.5" x14ac:dyDescent="0.25">
      <c r="A256" s="4"/>
      <c r="B256" s="5"/>
      <c r="C256" s="5"/>
    </row>
    <row r="257" spans="1:3" ht="12.5" x14ac:dyDescent="0.25">
      <c r="A257" s="4"/>
      <c r="B257" s="5"/>
      <c r="C257" s="5"/>
    </row>
    <row r="258" spans="1:3" ht="12.5" x14ac:dyDescent="0.25">
      <c r="A258" s="4"/>
      <c r="B258" s="5"/>
      <c r="C258" s="5"/>
    </row>
    <row r="259" spans="1:3" ht="12.5" x14ac:dyDescent="0.25">
      <c r="A259" s="4"/>
      <c r="B259" s="5"/>
      <c r="C259" s="5"/>
    </row>
    <row r="260" spans="1:3" ht="12.5" x14ac:dyDescent="0.25">
      <c r="A260" s="4"/>
      <c r="B260" s="5"/>
      <c r="C260" s="5"/>
    </row>
    <row r="261" spans="1:3" ht="12.5" x14ac:dyDescent="0.25">
      <c r="A261" s="4"/>
      <c r="B261" s="5"/>
      <c r="C261" s="5"/>
    </row>
    <row r="262" spans="1:3" ht="12.5" x14ac:dyDescent="0.25">
      <c r="A262" s="4"/>
      <c r="B262" s="5"/>
      <c r="C262" s="5"/>
    </row>
    <row r="263" spans="1:3" ht="12.5" x14ac:dyDescent="0.25">
      <c r="A263" s="4"/>
      <c r="B263" s="5"/>
      <c r="C263" s="5"/>
    </row>
    <row r="264" spans="1:3" ht="12.5" x14ac:dyDescent="0.25">
      <c r="A264" s="4"/>
      <c r="B264" s="5"/>
      <c r="C264" s="5"/>
    </row>
    <row r="265" spans="1:3" ht="12.5" x14ac:dyDescent="0.25">
      <c r="A265" s="4"/>
      <c r="B265" s="5"/>
      <c r="C265" s="5"/>
    </row>
    <row r="266" spans="1:3" ht="12.5" x14ac:dyDescent="0.25">
      <c r="A266" s="4"/>
      <c r="B266" s="5"/>
      <c r="C266" s="5"/>
    </row>
    <row r="267" spans="1:3" ht="12.5" x14ac:dyDescent="0.25">
      <c r="A267" s="4"/>
      <c r="B267" s="5"/>
      <c r="C267" s="5"/>
    </row>
    <row r="268" spans="1:3" ht="12.5" x14ac:dyDescent="0.25">
      <c r="A268" s="4"/>
      <c r="B268" s="5"/>
      <c r="C268" s="5"/>
    </row>
    <row r="269" spans="1:3" ht="12.5" x14ac:dyDescent="0.25">
      <c r="A269" s="4"/>
      <c r="B269" s="5"/>
      <c r="C269" s="5"/>
    </row>
    <row r="270" spans="1:3" ht="12.5" x14ac:dyDescent="0.25">
      <c r="A270" s="4"/>
      <c r="B270" s="5"/>
      <c r="C270" s="5"/>
    </row>
    <row r="271" spans="1:3" ht="12.5" x14ac:dyDescent="0.25">
      <c r="A271" s="4"/>
      <c r="B271" s="5"/>
      <c r="C271" s="5"/>
    </row>
    <row r="272" spans="1:3" ht="12.5" x14ac:dyDescent="0.25">
      <c r="A272" s="4"/>
      <c r="B272" s="5"/>
      <c r="C272" s="5"/>
    </row>
    <row r="273" spans="1:3" ht="12.5" x14ac:dyDescent="0.25">
      <c r="A273" s="4"/>
      <c r="B273" s="5"/>
      <c r="C273" s="5"/>
    </row>
    <row r="274" spans="1:3" ht="12.5" x14ac:dyDescent="0.25">
      <c r="A274" s="4"/>
      <c r="B274" s="5"/>
      <c r="C274" s="5"/>
    </row>
    <row r="275" spans="1:3" ht="12.5" x14ac:dyDescent="0.25">
      <c r="A275" s="4"/>
      <c r="B275" s="5"/>
      <c r="C275" s="5"/>
    </row>
    <row r="276" spans="1:3" ht="12.5" x14ac:dyDescent="0.25">
      <c r="A276" s="4"/>
      <c r="B276" s="5"/>
      <c r="C276" s="5"/>
    </row>
    <row r="277" spans="1:3" ht="12.5" x14ac:dyDescent="0.25">
      <c r="A277" s="4"/>
      <c r="B277" s="5"/>
      <c r="C277" s="5"/>
    </row>
    <row r="278" spans="1:3" ht="12.5" x14ac:dyDescent="0.25">
      <c r="A278" s="4"/>
      <c r="B278" s="5"/>
      <c r="C278" s="5"/>
    </row>
    <row r="279" spans="1:3" ht="12.5" x14ac:dyDescent="0.25">
      <c r="A279" s="4"/>
      <c r="B279" s="5"/>
      <c r="C279" s="5"/>
    </row>
    <row r="280" spans="1:3" ht="12.5" x14ac:dyDescent="0.25">
      <c r="A280" s="4"/>
      <c r="B280" s="5"/>
      <c r="C280" s="5"/>
    </row>
    <row r="281" spans="1:3" ht="12.5" x14ac:dyDescent="0.25">
      <c r="A281" s="4"/>
      <c r="B281" s="5"/>
      <c r="C281" s="5"/>
    </row>
    <row r="282" spans="1:3" ht="12.5" x14ac:dyDescent="0.25">
      <c r="A282" s="4"/>
      <c r="B282" s="5"/>
      <c r="C282" s="5"/>
    </row>
    <row r="283" spans="1:3" ht="12.5" x14ac:dyDescent="0.25">
      <c r="A283" s="4"/>
      <c r="B283" s="5"/>
      <c r="C283" s="5"/>
    </row>
    <row r="284" spans="1:3" ht="12.5" x14ac:dyDescent="0.25">
      <c r="A284" s="4"/>
      <c r="B284" s="5"/>
      <c r="C284" s="5"/>
    </row>
    <row r="285" spans="1:3" ht="12.5" x14ac:dyDescent="0.25">
      <c r="A285" s="4"/>
      <c r="B285" s="5"/>
      <c r="C285" s="5"/>
    </row>
    <row r="286" spans="1:3" ht="12.5" x14ac:dyDescent="0.25">
      <c r="A286" s="4"/>
      <c r="B286" s="5"/>
      <c r="C286" s="5"/>
    </row>
    <row r="287" spans="1:3" ht="12.5" x14ac:dyDescent="0.25">
      <c r="A287" s="4"/>
      <c r="B287" s="5"/>
      <c r="C287" s="5"/>
    </row>
    <row r="288" spans="1:3" ht="12.5" x14ac:dyDescent="0.25">
      <c r="A288" s="4"/>
      <c r="B288" s="5"/>
      <c r="C288" s="5"/>
    </row>
    <row r="289" spans="1:3" ht="12.5" x14ac:dyDescent="0.25">
      <c r="A289" s="4"/>
      <c r="B289" s="5"/>
      <c r="C289" s="5"/>
    </row>
    <row r="290" spans="1:3" ht="12.5" x14ac:dyDescent="0.25">
      <c r="A290" s="4"/>
      <c r="B290" s="5"/>
      <c r="C290" s="5"/>
    </row>
    <row r="291" spans="1:3" ht="12.5" x14ac:dyDescent="0.25">
      <c r="A291" s="4"/>
      <c r="B291" s="5"/>
      <c r="C291" s="5"/>
    </row>
    <row r="292" spans="1:3" ht="12.5" x14ac:dyDescent="0.25">
      <c r="A292" s="4"/>
      <c r="B292" s="5"/>
      <c r="C292" s="5"/>
    </row>
    <row r="293" spans="1:3" ht="12.5" x14ac:dyDescent="0.25">
      <c r="A293" s="4"/>
      <c r="B293" s="5"/>
      <c r="C293" s="5"/>
    </row>
    <row r="294" spans="1:3" ht="12.5" x14ac:dyDescent="0.25">
      <c r="A294" s="4"/>
      <c r="B294" s="5"/>
      <c r="C294" s="5"/>
    </row>
    <row r="295" spans="1:3" ht="12.5" x14ac:dyDescent="0.25">
      <c r="A295" s="4"/>
      <c r="B295" s="5"/>
      <c r="C295" s="5"/>
    </row>
    <row r="296" spans="1:3" ht="12.5" x14ac:dyDescent="0.25">
      <c r="A296" s="4"/>
      <c r="B296" s="5"/>
      <c r="C296" s="5"/>
    </row>
    <row r="297" spans="1:3" ht="12.5" x14ac:dyDescent="0.25">
      <c r="A297" s="4"/>
      <c r="B297" s="5"/>
      <c r="C297" s="5"/>
    </row>
    <row r="298" spans="1:3" ht="12.5" x14ac:dyDescent="0.25">
      <c r="A298" s="4"/>
      <c r="B298" s="5"/>
      <c r="C298" s="5"/>
    </row>
    <row r="299" spans="1:3" ht="12.5" x14ac:dyDescent="0.25">
      <c r="A299" s="4"/>
      <c r="B299" s="5"/>
      <c r="C299" s="5"/>
    </row>
    <row r="300" spans="1:3" ht="12.5" x14ac:dyDescent="0.25">
      <c r="A300" s="4"/>
      <c r="B300" s="5"/>
      <c r="C300" s="5"/>
    </row>
    <row r="301" spans="1:3" ht="12.5" x14ac:dyDescent="0.25">
      <c r="A301" s="4"/>
      <c r="B301" s="5"/>
      <c r="C301" s="5"/>
    </row>
    <row r="302" spans="1:3" ht="12.5" x14ac:dyDescent="0.25">
      <c r="A302" s="4"/>
      <c r="B302" s="5"/>
      <c r="C302" s="5"/>
    </row>
    <row r="303" spans="1:3" ht="12.5" x14ac:dyDescent="0.25">
      <c r="A303" s="4"/>
      <c r="B303" s="5"/>
      <c r="C303" s="5"/>
    </row>
    <row r="304" spans="1:3" ht="12.5" x14ac:dyDescent="0.25">
      <c r="A304" s="4"/>
      <c r="B304" s="5"/>
      <c r="C304" s="5"/>
    </row>
    <row r="305" spans="1:3" ht="12.5" x14ac:dyDescent="0.25">
      <c r="A305" s="4"/>
      <c r="B305" s="5"/>
      <c r="C305" s="5"/>
    </row>
    <row r="306" spans="1:3" ht="12.5" x14ac:dyDescent="0.25">
      <c r="A306" s="4"/>
      <c r="B306" s="5"/>
      <c r="C306" s="5"/>
    </row>
    <row r="307" spans="1:3" ht="12.5" x14ac:dyDescent="0.25">
      <c r="A307" s="4"/>
      <c r="B307" s="5"/>
      <c r="C307" s="5"/>
    </row>
    <row r="308" spans="1:3" ht="12.5" x14ac:dyDescent="0.25">
      <c r="A308" s="4"/>
      <c r="B308" s="5"/>
      <c r="C308" s="5"/>
    </row>
    <row r="309" spans="1:3" ht="12.5" x14ac:dyDescent="0.25">
      <c r="A309" s="4"/>
      <c r="B309" s="5"/>
      <c r="C309" s="5"/>
    </row>
    <row r="310" spans="1:3" ht="12.5" x14ac:dyDescent="0.25">
      <c r="A310" s="4"/>
      <c r="B310" s="5"/>
      <c r="C310" s="5"/>
    </row>
    <row r="311" spans="1:3" ht="12.5" x14ac:dyDescent="0.25">
      <c r="A311" s="4"/>
      <c r="B311" s="5"/>
      <c r="C311" s="5"/>
    </row>
    <row r="312" spans="1:3" ht="12.5" x14ac:dyDescent="0.25">
      <c r="A312" s="4"/>
      <c r="B312" s="5"/>
      <c r="C312" s="5"/>
    </row>
    <row r="313" spans="1:3" ht="12.5" x14ac:dyDescent="0.25">
      <c r="A313" s="4"/>
      <c r="B313" s="5"/>
      <c r="C313" s="5"/>
    </row>
    <row r="314" spans="1:3" ht="12.5" x14ac:dyDescent="0.25">
      <c r="A314" s="4"/>
      <c r="B314" s="5"/>
      <c r="C314" s="5"/>
    </row>
    <row r="315" spans="1:3" ht="12.5" x14ac:dyDescent="0.25">
      <c r="A315" s="4"/>
      <c r="B315" s="5"/>
      <c r="C315" s="5"/>
    </row>
    <row r="316" spans="1:3" ht="12.5" x14ac:dyDescent="0.25">
      <c r="A316" s="4"/>
      <c r="B316" s="5"/>
      <c r="C316" s="5"/>
    </row>
    <row r="317" spans="1:3" ht="12.5" x14ac:dyDescent="0.25">
      <c r="A317" s="4"/>
      <c r="B317" s="5"/>
      <c r="C317" s="5"/>
    </row>
    <row r="318" spans="1:3" ht="12.5" x14ac:dyDescent="0.25">
      <c r="A318" s="4"/>
      <c r="B318" s="5"/>
      <c r="C318" s="5"/>
    </row>
    <row r="319" spans="1:3" ht="12.5" x14ac:dyDescent="0.25">
      <c r="A319" s="4"/>
      <c r="B319" s="5"/>
      <c r="C319" s="5"/>
    </row>
    <row r="320" spans="1:3" ht="12.5" x14ac:dyDescent="0.25">
      <c r="A320" s="4"/>
      <c r="B320" s="5"/>
      <c r="C320" s="5"/>
    </row>
    <row r="321" spans="1:3" ht="12.5" x14ac:dyDescent="0.25">
      <c r="A321" s="4"/>
      <c r="B321" s="5"/>
      <c r="C321" s="5"/>
    </row>
    <row r="322" spans="1:3" ht="12.5" x14ac:dyDescent="0.25">
      <c r="A322" s="4"/>
      <c r="B322" s="5"/>
      <c r="C322" s="5"/>
    </row>
    <row r="323" spans="1:3" ht="12.5" x14ac:dyDescent="0.25">
      <c r="A323" s="4"/>
      <c r="B323" s="5"/>
      <c r="C323" s="5"/>
    </row>
    <row r="324" spans="1:3" ht="12.5" x14ac:dyDescent="0.25">
      <c r="A324" s="4"/>
      <c r="B324" s="5"/>
      <c r="C324" s="5"/>
    </row>
    <row r="325" spans="1:3" ht="12.5" x14ac:dyDescent="0.25">
      <c r="A325" s="4"/>
      <c r="B325" s="5"/>
      <c r="C325" s="5"/>
    </row>
    <row r="326" spans="1:3" ht="12.5" x14ac:dyDescent="0.25">
      <c r="A326" s="4"/>
      <c r="B326" s="5"/>
      <c r="C326" s="5"/>
    </row>
    <row r="327" spans="1:3" ht="12.5" x14ac:dyDescent="0.25">
      <c r="A327" s="4"/>
      <c r="B327" s="5"/>
      <c r="C327" s="5"/>
    </row>
    <row r="328" spans="1:3" ht="12.5" x14ac:dyDescent="0.25">
      <c r="A328" s="4"/>
      <c r="B328" s="5"/>
      <c r="C328" s="5"/>
    </row>
    <row r="329" spans="1:3" ht="12.5" x14ac:dyDescent="0.25">
      <c r="A329" s="4"/>
      <c r="B329" s="5"/>
      <c r="C329" s="5"/>
    </row>
    <row r="330" spans="1:3" ht="12.5" x14ac:dyDescent="0.25">
      <c r="A330" s="4"/>
      <c r="B330" s="5"/>
      <c r="C330" s="5"/>
    </row>
    <row r="331" spans="1:3" ht="12.5" x14ac:dyDescent="0.25">
      <c r="A331" s="4"/>
      <c r="B331" s="5"/>
      <c r="C331" s="5"/>
    </row>
    <row r="332" spans="1:3" ht="12.5" x14ac:dyDescent="0.25">
      <c r="A332" s="4"/>
      <c r="B332" s="5"/>
      <c r="C332" s="5"/>
    </row>
    <row r="333" spans="1:3" ht="12.5" x14ac:dyDescent="0.25">
      <c r="A333" s="4"/>
      <c r="B333" s="5"/>
      <c r="C333" s="5"/>
    </row>
    <row r="334" spans="1:3" ht="12.5" x14ac:dyDescent="0.25">
      <c r="A334" s="4"/>
      <c r="B334" s="5"/>
      <c r="C334" s="5"/>
    </row>
    <row r="335" spans="1:3" ht="12.5" x14ac:dyDescent="0.25">
      <c r="A335" s="4"/>
      <c r="B335" s="5"/>
      <c r="C335" s="5"/>
    </row>
    <row r="336" spans="1:3" ht="12.5" x14ac:dyDescent="0.25">
      <c r="A336" s="4"/>
      <c r="B336" s="5"/>
      <c r="C336" s="5"/>
    </row>
    <row r="337" spans="1:3" ht="12.5" x14ac:dyDescent="0.25">
      <c r="A337" s="4"/>
      <c r="B337" s="5"/>
      <c r="C337" s="5"/>
    </row>
    <row r="338" spans="1:3" ht="12.5" x14ac:dyDescent="0.25">
      <c r="A338" s="4"/>
      <c r="B338" s="5"/>
      <c r="C338" s="5"/>
    </row>
    <row r="339" spans="1:3" ht="12.5" x14ac:dyDescent="0.25">
      <c r="A339" s="4"/>
      <c r="B339" s="5"/>
      <c r="C339" s="5"/>
    </row>
    <row r="340" spans="1:3" ht="12.5" x14ac:dyDescent="0.25">
      <c r="A340" s="4"/>
      <c r="B340" s="5"/>
      <c r="C340" s="5"/>
    </row>
    <row r="341" spans="1:3" ht="12.5" x14ac:dyDescent="0.25">
      <c r="A341" s="4"/>
      <c r="B341" s="5"/>
      <c r="C341" s="5"/>
    </row>
    <row r="342" spans="1:3" ht="12.5" x14ac:dyDescent="0.25">
      <c r="A342" s="4"/>
      <c r="B342" s="5"/>
      <c r="C342" s="5"/>
    </row>
    <row r="343" spans="1:3" ht="12.5" x14ac:dyDescent="0.25">
      <c r="A343" s="4"/>
      <c r="B343" s="5"/>
      <c r="C343" s="5"/>
    </row>
    <row r="344" spans="1:3" ht="12.5" x14ac:dyDescent="0.25">
      <c r="A344" s="4"/>
      <c r="B344" s="5"/>
      <c r="C344" s="5"/>
    </row>
    <row r="345" spans="1:3" ht="12.5" x14ac:dyDescent="0.25">
      <c r="A345" s="4"/>
      <c r="B345" s="5"/>
      <c r="C345" s="5"/>
    </row>
    <row r="346" spans="1:3" ht="12.5" x14ac:dyDescent="0.25">
      <c r="A346" s="4"/>
      <c r="B346" s="5"/>
      <c r="C346" s="5"/>
    </row>
    <row r="347" spans="1:3" ht="12.5" x14ac:dyDescent="0.25">
      <c r="A347" s="4"/>
      <c r="B347" s="5"/>
      <c r="C347" s="5"/>
    </row>
    <row r="348" spans="1:3" ht="12.5" x14ac:dyDescent="0.25">
      <c r="A348" s="4"/>
      <c r="B348" s="5"/>
      <c r="C348" s="5"/>
    </row>
    <row r="349" spans="1:3" ht="12.5" x14ac:dyDescent="0.25">
      <c r="A349" s="4"/>
      <c r="B349" s="5"/>
      <c r="C349" s="5"/>
    </row>
    <row r="350" spans="1:3" ht="12.5" x14ac:dyDescent="0.25">
      <c r="A350" s="4"/>
      <c r="B350" s="5"/>
      <c r="C350" s="5"/>
    </row>
    <row r="351" spans="1:3" ht="12.5" x14ac:dyDescent="0.25">
      <c r="A351" s="4"/>
      <c r="B351" s="5"/>
      <c r="C351" s="5"/>
    </row>
    <row r="352" spans="1:3" ht="12.5" x14ac:dyDescent="0.25">
      <c r="A352" s="4"/>
      <c r="B352" s="5"/>
      <c r="C352" s="5"/>
    </row>
    <row r="353" spans="1:3" ht="12.5" x14ac:dyDescent="0.25">
      <c r="A353" s="4"/>
      <c r="B353" s="5"/>
      <c r="C353" s="5"/>
    </row>
    <row r="354" spans="1:3" ht="12.5" x14ac:dyDescent="0.25">
      <c r="A354" s="4"/>
      <c r="B354" s="5"/>
      <c r="C354" s="5"/>
    </row>
    <row r="355" spans="1:3" ht="12.5" x14ac:dyDescent="0.25">
      <c r="A355" s="4"/>
      <c r="B355" s="5"/>
      <c r="C355" s="5"/>
    </row>
    <row r="356" spans="1:3" ht="12.5" x14ac:dyDescent="0.25">
      <c r="A356" s="4"/>
      <c r="B356" s="5"/>
      <c r="C356" s="5"/>
    </row>
    <row r="357" spans="1:3" ht="12.5" x14ac:dyDescent="0.25">
      <c r="A357" s="4"/>
      <c r="B357" s="5"/>
      <c r="C357" s="5"/>
    </row>
    <row r="358" spans="1:3" ht="12.5" x14ac:dyDescent="0.25">
      <c r="A358" s="4"/>
      <c r="B358" s="5"/>
      <c r="C358" s="5"/>
    </row>
    <row r="359" spans="1:3" ht="12.5" x14ac:dyDescent="0.25">
      <c r="A359" s="4"/>
      <c r="B359" s="5"/>
      <c r="C359" s="5"/>
    </row>
    <row r="360" spans="1:3" ht="12.5" x14ac:dyDescent="0.25">
      <c r="A360" s="4"/>
      <c r="B360" s="5"/>
      <c r="C360" s="5"/>
    </row>
    <row r="361" spans="1:3" ht="12.5" x14ac:dyDescent="0.25">
      <c r="A361" s="4"/>
      <c r="B361" s="5"/>
      <c r="C361" s="5"/>
    </row>
    <row r="362" spans="1:3" ht="12.5" x14ac:dyDescent="0.25">
      <c r="A362" s="4"/>
      <c r="B362" s="5"/>
      <c r="C362" s="5"/>
    </row>
    <row r="363" spans="1:3" ht="12.5" x14ac:dyDescent="0.25">
      <c r="A363" s="4"/>
      <c r="B363" s="5"/>
      <c r="C363" s="5"/>
    </row>
    <row r="364" spans="1:3" ht="12.5" x14ac:dyDescent="0.25">
      <c r="A364" s="4"/>
      <c r="B364" s="5"/>
      <c r="C364" s="5"/>
    </row>
    <row r="365" spans="1:3" ht="12.5" x14ac:dyDescent="0.25">
      <c r="A365" s="4"/>
      <c r="B365" s="5"/>
      <c r="C365" s="5"/>
    </row>
    <row r="366" spans="1:3" ht="12.5" x14ac:dyDescent="0.25">
      <c r="A366" s="4"/>
      <c r="B366" s="5"/>
      <c r="C366" s="5"/>
    </row>
    <row r="367" spans="1:3" ht="12.5" x14ac:dyDescent="0.25">
      <c r="A367" s="4"/>
      <c r="B367" s="5"/>
      <c r="C367" s="5"/>
    </row>
    <row r="368" spans="1:3" ht="12.5" x14ac:dyDescent="0.25">
      <c r="A368" s="4"/>
      <c r="B368" s="5"/>
      <c r="C368" s="5"/>
    </row>
    <row r="369" spans="1:3" ht="12.5" x14ac:dyDescent="0.25">
      <c r="A369" s="4"/>
      <c r="B369" s="5"/>
      <c r="C369" s="5"/>
    </row>
    <row r="370" spans="1:3" ht="12.5" x14ac:dyDescent="0.25">
      <c r="A370" s="4"/>
      <c r="B370" s="5"/>
      <c r="C370" s="5"/>
    </row>
    <row r="371" spans="1:3" ht="12.5" x14ac:dyDescent="0.25">
      <c r="A371" s="4"/>
      <c r="B371" s="5"/>
      <c r="C371" s="5"/>
    </row>
    <row r="372" spans="1:3" ht="12.5" x14ac:dyDescent="0.25">
      <c r="A372" s="4"/>
      <c r="B372" s="5"/>
      <c r="C372" s="5"/>
    </row>
    <row r="373" spans="1:3" ht="12.5" x14ac:dyDescent="0.25">
      <c r="A373" s="4"/>
      <c r="B373" s="5"/>
      <c r="C373" s="5"/>
    </row>
    <row r="374" spans="1:3" ht="12.5" x14ac:dyDescent="0.25">
      <c r="A374" s="4"/>
      <c r="B374" s="5"/>
      <c r="C374" s="5"/>
    </row>
    <row r="375" spans="1:3" ht="12.5" x14ac:dyDescent="0.25">
      <c r="A375" s="4"/>
      <c r="B375" s="5"/>
      <c r="C375" s="5"/>
    </row>
    <row r="376" spans="1:3" ht="12.5" x14ac:dyDescent="0.25">
      <c r="A376" s="4"/>
      <c r="B376" s="5"/>
      <c r="C376" s="5"/>
    </row>
    <row r="377" spans="1:3" ht="12.5" x14ac:dyDescent="0.25">
      <c r="A377" s="4"/>
      <c r="B377" s="5"/>
      <c r="C377" s="5"/>
    </row>
    <row r="378" spans="1:3" ht="12.5" x14ac:dyDescent="0.25">
      <c r="A378" s="4"/>
      <c r="B378" s="5"/>
      <c r="C378" s="5"/>
    </row>
    <row r="379" spans="1:3" ht="12.5" x14ac:dyDescent="0.25">
      <c r="A379" s="4"/>
      <c r="B379" s="5"/>
      <c r="C379" s="5"/>
    </row>
    <row r="380" spans="1:3" ht="12.5" x14ac:dyDescent="0.25">
      <c r="A380" s="4"/>
      <c r="B380" s="5"/>
      <c r="C380" s="5"/>
    </row>
    <row r="381" spans="1:3" ht="12.5" x14ac:dyDescent="0.25">
      <c r="A381" s="4"/>
      <c r="B381" s="5"/>
      <c r="C381" s="5"/>
    </row>
    <row r="382" spans="1:3" ht="12.5" x14ac:dyDescent="0.25">
      <c r="A382" s="4"/>
      <c r="B382" s="5"/>
      <c r="C382" s="5"/>
    </row>
    <row r="383" spans="1:3" ht="12.5" x14ac:dyDescent="0.25">
      <c r="A383" s="4"/>
      <c r="B383" s="5"/>
      <c r="C383" s="5"/>
    </row>
    <row r="384" spans="1:3" ht="12.5" x14ac:dyDescent="0.25">
      <c r="A384" s="4"/>
      <c r="B384" s="5"/>
      <c r="C384" s="5"/>
    </row>
    <row r="385" spans="1:3" ht="12.5" x14ac:dyDescent="0.25">
      <c r="A385" s="4"/>
      <c r="B385" s="5"/>
      <c r="C385" s="5"/>
    </row>
    <row r="386" spans="1:3" ht="12.5" x14ac:dyDescent="0.25">
      <c r="A386" s="4"/>
      <c r="B386" s="5"/>
      <c r="C386" s="5"/>
    </row>
    <row r="387" spans="1:3" ht="12.5" x14ac:dyDescent="0.25">
      <c r="A387" s="4"/>
      <c r="B387" s="5"/>
      <c r="C387" s="5"/>
    </row>
    <row r="388" spans="1:3" ht="12.5" x14ac:dyDescent="0.25">
      <c r="A388" s="4"/>
      <c r="B388" s="5"/>
      <c r="C388" s="5"/>
    </row>
    <row r="389" spans="1:3" ht="12.5" x14ac:dyDescent="0.25">
      <c r="A389" s="4"/>
      <c r="B389" s="5"/>
      <c r="C389" s="5"/>
    </row>
    <row r="390" spans="1:3" ht="12.5" x14ac:dyDescent="0.25">
      <c r="A390" s="4"/>
      <c r="B390" s="5"/>
      <c r="C390" s="5"/>
    </row>
    <row r="391" spans="1:3" ht="12.5" x14ac:dyDescent="0.25">
      <c r="A391" s="4"/>
      <c r="B391" s="5"/>
      <c r="C391" s="5"/>
    </row>
    <row r="392" spans="1:3" ht="12.5" x14ac:dyDescent="0.25">
      <c r="A392" s="4"/>
      <c r="B392" s="5"/>
      <c r="C392" s="5"/>
    </row>
    <row r="393" spans="1:3" ht="12.5" x14ac:dyDescent="0.25">
      <c r="A393" s="4"/>
      <c r="B393" s="5"/>
      <c r="C393" s="5"/>
    </row>
    <row r="394" spans="1:3" ht="12.5" x14ac:dyDescent="0.25">
      <c r="A394" s="4"/>
      <c r="B394" s="5"/>
      <c r="C394" s="5"/>
    </row>
    <row r="395" spans="1:3" ht="12.5" x14ac:dyDescent="0.25">
      <c r="A395" s="4"/>
      <c r="B395" s="5"/>
      <c r="C395" s="5"/>
    </row>
    <row r="396" spans="1:3" ht="12.5" x14ac:dyDescent="0.25">
      <c r="A396" s="4"/>
      <c r="B396" s="5"/>
      <c r="C396" s="5"/>
    </row>
    <row r="397" spans="1:3" ht="12.5" x14ac:dyDescent="0.25">
      <c r="A397" s="4"/>
      <c r="B397" s="5"/>
      <c r="C397" s="5"/>
    </row>
    <row r="398" spans="1:3" ht="12.5" x14ac:dyDescent="0.25">
      <c r="A398" s="4"/>
      <c r="B398" s="5"/>
      <c r="C398" s="5"/>
    </row>
    <row r="399" spans="1:3" ht="12.5" x14ac:dyDescent="0.25">
      <c r="A399" s="4"/>
      <c r="B399" s="5"/>
      <c r="C399" s="5"/>
    </row>
    <row r="400" spans="1:3" ht="12.5" x14ac:dyDescent="0.25">
      <c r="A400" s="4"/>
      <c r="B400" s="5"/>
      <c r="C400" s="5"/>
    </row>
    <row r="401" spans="1:3" ht="12.5" x14ac:dyDescent="0.25">
      <c r="A401" s="4"/>
      <c r="B401" s="5"/>
      <c r="C401" s="5"/>
    </row>
    <row r="402" spans="1:3" ht="12.5" x14ac:dyDescent="0.25">
      <c r="A402" s="4"/>
      <c r="B402" s="5"/>
      <c r="C402" s="5"/>
    </row>
    <row r="403" spans="1:3" ht="12.5" x14ac:dyDescent="0.25">
      <c r="A403" s="4"/>
      <c r="B403" s="5"/>
      <c r="C403" s="5"/>
    </row>
    <row r="404" spans="1:3" ht="12.5" x14ac:dyDescent="0.25">
      <c r="A404" s="4"/>
      <c r="B404" s="5"/>
      <c r="C404" s="5"/>
    </row>
    <row r="405" spans="1:3" ht="12.5" x14ac:dyDescent="0.25">
      <c r="A405" s="4"/>
      <c r="B405" s="5"/>
      <c r="C405" s="5"/>
    </row>
    <row r="406" spans="1:3" ht="12.5" x14ac:dyDescent="0.25">
      <c r="A406" s="4"/>
      <c r="B406" s="5"/>
      <c r="C406" s="5"/>
    </row>
    <row r="407" spans="1:3" ht="12.5" x14ac:dyDescent="0.25">
      <c r="A407" s="4"/>
      <c r="B407" s="5"/>
      <c r="C407" s="5"/>
    </row>
    <row r="408" spans="1:3" ht="12.5" x14ac:dyDescent="0.25">
      <c r="A408" s="4"/>
      <c r="B408" s="5"/>
      <c r="C408" s="5"/>
    </row>
    <row r="409" spans="1:3" ht="12.5" x14ac:dyDescent="0.25">
      <c r="A409" s="4"/>
      <c r="B409" s="5"/>
      <c r="C409" s="5"/>
    </row>
    <row r="410" spans="1:3" ht="12.5" x14ac:dyDescent="0.25">
      <c r="A410" s="4"/>
      <c r="B410" s="5"/>
      <c r="C410" s="5"/>
    </row>
    <row r="411" spans="1:3" ht="12.5" x14ac:dyDescent="0.25">
      <c r="A411" s="4"/>
      <c r="B411" s="5"/>
      <c r="C411" s="5"/>
    </row>
    <row r="412" spans="1:3" ht="12.5" x14ac:dyDescent="0.25">
      <c r="A412" s="4"/>
      <c r="B412" s="5"/>
      <c r="C412" s="5"/>
    </row>
    <row r="413" spans="1:3" ht="12.5" x14ac:dyDescent="0.25">
      <c r="A413" s="4"/>
      <c r="B413" s="5"/>
      <c r="C413" s="5"/>
    </row>
    <row r="414" spans="1:3" ht="12.5" x14ac:dyDescent="0.25">
      <c r="A414" s="4"/>
      <c r="B414" s="5"/>
      <c r="C414" s="5"/>
    </row>
    <row r="415" spans="1:3" ht="12.5" x14ac:dyDescent="0.25">
      <c r="A415" s="4"/>
      <c r="B415" s="5"/>
      <c r="C415" s="5"/>
    </row>
    <row r="416" spans="1:3" ht="12.5" x14ac:dyDescent="0.25">
      <c r="A416" s="4"/>
      <c r="B416" s="5"/>
      <c r="C416" s="5"/>
    </row>
    <row r="417" spans="1:3" ht="12.5" x14ac:dyDescent="0.25">
      <c r="A417" s="4"/>
      <c r="B417" s="5"/>
      <c r="C417" s="5"/>
    </row>
    <row r="418" spans="1:3" ht="12.5" x14ac:dyDescent="0.25">
      <c r="A418" s="4"/>
      <c r="B418" s="5"/>
      <c r="C418" s="5"/>
    </row>
    <row r="419" spans="1:3" ht="12.5" x14ac:dyDescent="0.25">
      <c r="A419" s="4"/>
      <c r="B419" s="5"/>
      <c r="C419" s="5"/>
    </row>
    <row r="420" spans="1:3" ht="12.5" x14ac:dyDescent="0.25">
      <c r="A420" s="4"/>
      <c r="B420" s="5"/>
      <c r="C420" s="5"/>
    </row>
    <row r="421" spans="1:3" ht="12.5" x14ac:dyDescent="0.25">
      <c r="A421" s="4"/>
      <c r="B421" s="5"/>
      <c r="C421" s="5"/>
    </row>
    <row r="422" spans="1:3" ht="12.5" x14ac:dyDescent="0.25">
      <c r="A422" s="4"/>
      <c r="B422" s="5"/>
      <c r="C422" s="5"/>
    </row>
    <row r="423" spans="1:3" ht="12.5" x14ac:dyDescent="0.25">
      <c r="A423" s="4"/>
      <c r="B423" s="5"/>
      <c r="C423" s="5"/>
    </row>
    <row r="424" spans="1:3" ht="12.5" x14ac:dyDescent="0.25">
      <c r="A424" s="4"/>
      <c r="B424" s="5"/>
      <c r="C424" s="5"/>
    </row>
    <row r="425" spans="1:3" ht="12.5" x14ac:dyDescent="0.25">
      <c r="A425" s="4"/>
      <c r="B425" s="5"/>
      <c r="C425" s="5"/>
    </row>
    <row r="426" spans="1:3" ht="12.5" x14ac:dyDescent="0.25">
      <c r="A426" s="4"/>
      <c r="B426" s="5"/>
      <c r="C426" s="5"/>
    </row>
    <row r="427" spans="1:3" ht="12.5" x14ac:dyDescent="0.25">
      <c r="A427" s="4"/>
      <c r="B427" s="5"/>
      <c r="C427" s="5"/>
    </row>
    <row r="428" spans="1:3" ht="12.5" x14ac:dyDescent="0.25">
      <c r="A428" s="4"/>
      <c r="B428" s="5"/>
      <c r="C428" s="5"/>
    </row>
    <row r="429" spans="1:3" ht="12.5" x14ac:dyDescent="0.25">
      <c r="A429" s="4"/>
      <c r="B429" s="5"/>
      <c r="C429" s="5"/>
    </row>
    <row r="430" spans="1:3" ht="12.5" x14ac:dyDescent="0.25">
      <c r="A430" s="4"/>
      <c r="B430" s="5"/>
      <c r="C430" s="5"/>
    </row>
    <row r="431" spans="1:3" ht="12.5" x14ac:dyDescent="0.25">
      <c r="A431" s="4"/>
      <c r="B431" s="5"/>
      <c r="C431" s="5"/>
    </row>
    <row r="432" spans="1:3" ht="12.5" x14ac:dyDescent="0.25">
      <c r="A432" s="4"/>
      <c r="B432" s="5"/>
      <c r="C432" s="5"/>
    </row>
    <row r="433" spans="1:3" ht="12.5" x14ac:dyDescent="0.25">
      <c r="A433" s="4"/>
      <c r="B433" s="5"/>
      <c r="C433" s="5"/>
    </row>
    <row r="434" spans="1:3" ht="12.5" x14ac:dyDescent="0.25">
      <c r="A434" s="4"/>
      <c r="B434" s="5"/>
      <c r="C434" s="5"/>
    </row>
    <row r="435" spans="1:3" ht="12.5" x14ac:dyDescent="0.25">
      <c r="A435" s="4"/>
      <c r="B435" s="5"/>
      <c r="C435" s="5"/>
    </row>
    <row r="436" spans="1:3" ht="12.5" x14ac:dyDescent="0.25">
      <c r="A436" s="4"/>
      <c r="B436" s="5"/>
      <c r="C436" s="5"/>
    </row>
    <row r="437" spans="1:3" ht="12.5" x14ac:dyDescent="0.25">
      <c r="A437" s="4"/>
      <c r="B437" s="5"/>
      <c r="C437" s="5"/>
    </row>
    <row r="438" spans="1:3" ht="12.5" x14ac:dyDescent="0.25">
      <c r="A438" s="4"/>
      <c r="B438" s="5"/>
      <c r="C438" s="5"/>
    </row>
    <row r="439" spans="1:3" ht="12.5" x14ac:dyDescent="0.25">
      <c r="A439" s="4"/>
      <c r="B439" s="5"/>
      <c r="C439" s="5"/>
    </row>
    <row r="440" spans="1:3" ht="12.5" x14ac:dyDescent="0.25">
      <c r="A440" s="4"/>
      <c r="B440" s="5"/>
      <c r="C440" s="5"/>
    </row>
    <row r="441" spans="1:3" ht="12.5" x14ac:dyDescent="0.25">
      <c r="A441" s="4"/>
      <c r="B441" s="5"/>
      <c r="C441" s="5"/>
    </row>
    <row r="442" spans="1:3" ht="12.5" x14ac:dyDescent="0.25">
      <c r="A442" s="4"/>
      <c r="B442" s="5"/>
      <c r="C442" s="5"/>
    </row>
    <row r="443" spans="1:3" ht="12.5" x14ac:dyDescent="0.25">
      <c r="A443" s="4"/>
      <c r="B443" s="5"/>
      <c r="C443" s="5"/>
    </row>
    <row r="444" spans="1:3" ht="12.5" x14ac:dyDescent="0.25">
      <c r="A444" s="4"/>
      <c r="B444" s="5"/>
      <c r="C444" s="5"/>
    </row>
    <row r="445" spans="1:3" ht="12.5" x14ac:dyDescent="0.25">
      <c r="A445" s="4"/>
      <c r="B445" s="5"/>
      <c r="C445" s="5"/>
    </row>
    <row r="446" spans="1:3" ht="12.5" x14ac:dyDescent="0.25">
      <c r="A446" s="4"/>
      <c r="B446" s="5"/>
      <c r="C446" s="5"/>
    </row>
    <row r="447" spans="1:3" ht="12.5" x14ac:dyDescent="0.25">
      <c r="A447" s="4"/>
      <c r="B447" s="5"/>
      <c r="C447" s="5"/>
    </row>
    <row r="448" spans="1:3" ht="12.5" x14ac:dyDescent="0.25">
      <c r="A448" s="4"/>
      <c r="B448" s="5"/>
      <c r="C448" s="5"/>
    </row>
    <row r="449" spans="1:3" ht="12.5" x14ac:dyDescent="0.25">
      <c r="A449" s="4"/>
      <c r="B449" s="5"/>
      <c r="C449" s="5"/>
    </row>
    <row r="450" spans="1:3" ht="12.5" x14ac:dyDescent="0.25">
      <c r="A450" s="4"/>
      <c r="B450" s="5"/>
      <c r="C450" s="5"/>
    </row>
    <row r="451" spans="1:3" ht="12.5" x14ac:dyDescent="0.25">
      <c r="A451" s="4"/>
      <c r="B451" s="5"/>
      <c r="C451" s="5"/>
    </row>
    <row r="452" spans="1:3" ht="12.5" x14ac:dyDescent="0.25">
      <c r="A452" s="4"/>
      <c r="B452" s="5"/>
      <c r="C452" s="5"/>
    </row>
    <row r="453" spans="1:3" ht="12.5" x14ac:dyDescent="0.25">
      <c r="A453" s="4"/>
      <c r="B453" s="5"/>
      <c r="C453" s="5"/>
    </row>
    <row r="454" spans="1:3" ht="12.5" x14ac:dyDescent="0.25">
      <c r="A454" s="4"/>
      <c r="B454" s="5"/>
      <c r="C454" s="5"/>
    </row>
    <row r="455" spans="1:3" ht="12.5" x14ac:dyDescent="0.25">
      <c r="A455" s="4"/>
      <c r="B455" s="5"/>
      <c r="C455" s="5"/>
    </row>
    <row r="456" spans="1:3" ht="12.5" x14ac:dyDescent="0.25">
      <c r="A456" s="4"/>
      <c r="B456" s="5"/>
      <c r="C456" s="5"/>
    </row>
    <row r="457" spans="1:3" ht="12.5" x14ac:dyDescent="0.25">
      <c r="A457" s="4"/>
      <c r="B457" s="5"/>
      <c r="C457" s="5"/>
    </row>
    <row r="458" spans="1:3" ht="12.5" x14ac:dyDescent="0.25">
      <c r="A458" s="4"/>
      <c r="B458" s="5"/>
      <c r="C458" s="5"/>
    </row>
    <row r="459" spans="1:3" ht="12.5" x14ac:dyDescent="0.25">
      <c r="A459" s="4"/>
      <c r="B459" s="5"/>
      <c r="C459" s="5"/>
    </row>
    <row r="460" spans="1:3" ht="12.5" x14ac:dyDescent="0.25">
      <c r="A460" s="4"/>
      <c r="B460" s="5"/>
      <c r="C460" s="5"/>
    </row>
    <row r="461" spans="1:3" ht="12.5" x14ac:dyDescent="0.25">
      <c r="A461" s="4"/>
      <c r="B461" s="5"/>
      <c r="C461" s="5"/>
    </row>
    <row r="462" spans="1:3" ht="12.5" x14ac:dyDescent="0.25">
      <c r="A462" s="4"/>
      <c r="B462" s="5"/>
      <c r="C462" s="5"/>
    </row>
    <row r="463" spans="1:3" ht="12.5" x14ac:dyDescent="0.25">
      <c r="A463" s="4"/>
      <c r="B463" s="5"/>
      <c r="C463" s="5"/>
    </row>
    <row r="464" spans="1:3" ht="12.5" x14ac:dyDescent="0.25">
      <c r="A464" s="4"/>
      <c r="B464" s="5"/>
      <c r="C464" s="5"/>
    </row>
    <row r="465" spans="1:3" ht="12.5" x14ac:dyDescent="0.25">
      <c r="A465" s="4"/>
      <c r="B465" s="5"/>
      <c r="C465" s="5"/>
    </row>
    <row r="466" spans="1:3" ht="12.5" x14ac:dyDescent="0.25">
      <c r="A466" s="4"/>
      <c r="B466" s="5"/>
      <c r="C466" s="5"/>
    </row>
    <row r="467" spans="1:3" ht="12.5" x14ac:dyDescent="0.25">
      <c r="A467" s="4"/>
      <c r="B467" s="5"/>
      <c r="C467" s="5"/>
    </row>
    <row r="468" spans="1:3" ht="12.5" x14ac:dyDescent="0.25">
      <c r="A468" s="4"/>
      <c r="B468" s="5"/>
      <c r="C468" s="5"/>
    </row>
    <row r="469" spans="1:3" ht="12.5" x14ac:dyDescent="0.25">
      <c r="A469" s="4"/>
      <c r="B469" s="5"/>
      <c r="C469" s="5"/>
    </row>
    <row r="470" spans="1:3" ht="12.5" x14ac:dyDescent="0.25">
      <c r="A470" s="4"/>
      <c r="B470" s="5"/>
      <c r="C470" s="5"/>
    </row>
    <row r="471" spans="1:3" ht="12.5" x14ac:dyDescent="0.25">
      <c r="A471" s="4"/>
      <c r="B471" s="5"/>
      <c r="C471" s="5"/>
    </row>
    <row r="472" spans="1:3" ht="12.5" x14ac:dyDescent="0.25">
      <c r="A472" s="4"/>
      <c r="B472" s="5"/>
      <c r="C472" s="5"/>
    </row>
    <row r="473" spans="1:3" ht="12.5" x14ac:dyDescent="0.25">
      <c r="A473" s="4"/>
      <c r="B473" s="5"/>
      <c r="C473" s="5"/>
    </row>
    <row r="474" spans="1:3" ht="12.5" x14ac:dyDescent="0.25">
      <c r="A474" s="4"/>
      <c r="B474" s="5"/>
      <c r="C474" s="5"/>
    </row>
    <row r="475" spans="1:3" ht="12.5" x14ac:dyDescent="0.25">
      <c r="A475" s="4"/>
      <c r="B475" s="5"/>
      <c r="C475" s="5"/>
    </row>
    <row r="476" spans="1:3" ht="12.5" x14ac:dyDescent="0.25">
      <c r="A476" s="4"/>
      <c r="B476" s="5"/>
      <c r="C476" s="5"/>
    </row>
    <row r="477" spans="1:3" ht="12.5" x14ac:dyDescent="0.25">
      <c r="A477" s="4"/>
      <c r="B477" s="5"/>
      <c r="C477" s="5"/>
    </row>
    <row r="478" spans="1:3" ht="12.5" x14ac:dyDescent="0.25">
      <c r="A478" s="4"/>
      <c r="B478" s="5"/>
      <c r="C478" s="5"/>
    </row>
    <row r="479" spans="1:3" ht="12.5" x14ac:dyDescent="0.25">
      <c r="A479" s="4"/>
      <c r="B479" s="5"/>
      <c r="C479" s="5"/>
    </row>
    <row r="480" spans="1:3" ht="12.5" x14ac:dyDescent="0.25">
      <c r="A480" s="4"/>
      <c r="B480" s="5"/>
      <c r="C480" s="5"/>
    </row>
    <row r="481" spans="1:3" ht="12.5" x14ac:dyDescent="0.25">
      <c r="A481" s="4"/>
      <c r="B481" s="5"/>
      <c r="C481" s="5"/>
    </row>
    <row r="482" spans="1:3" ht="12.5" x14ac:dyDescent="0.25">
      <c r="A482" s="4"/>
      <c r="B482" s="5"/>
      <c r="C482" s="5"/>
    </row>
    <row r="483" spans="1:3" ht="12.5" x14ac:dyDescent="0.25">
      <c r="A483" s="4"/>
      <c r="B483" s="5"/>
      <c r="C483" s="5"/>
    </row>
    <row r="484" spans="1:3" ht="12.5" x14ac:dyDescent="0.25">
      <c r="A484" s="4"/>
      <c r="B484" s="5"/>
      <c r="C484" s="5"/>
    </row>
    <row r="485" spans="1:3" ht="12.5" x14ac:dyDescent="0.25">
      <c r="A485" s="4"/>
      <c r="B485" s="5"/>
      <c r="C485" s="5"/>
    </row>
    <row r="486" spans="1:3" ht="12.5" x14ac:dyDescent="0.25">
      <c r="A486" s="4"/>
      <c r="B486" s="5"/>
      <c r="C486" s="5"/>
    </row>
    <row r="487" spans="1:3" ht="12.5" x14ac:dyDescent="0.25">
      <c r="A487" s="4"/>
      <c r="B487" s="5"/>
      <c r="C487" s="5"/>
    </row>
    <row r="488" spans="1:3" ht="12.5" x14ac:dyDescent="0.25">
      <c r="A488" s="4"/>
      <c r="B488" s="5"/>
      <c r="C488" s="5"/>
    </row>
    <row r="489" spans="1:3" ht="12.5" x14ac:dyDescent="0.25">
      <c r="A489" s="4"/>
      <c r="B489" s="5"/>
      <c r="C489" s="5"/>
    </row>
    <row r="490" spans="1:3" ht="12.5" x14ac:dyDescent="0.25">
      <c r="A490" s="4"/>
      <c r="B490" s="5"/>
      <c r="C490" s="5"/>
    </row>
    <row r="491" spans="1:3" ht="12.5" x14ac:dyDescent="0.25">
      <c r="A491" s="4"/>
      <c r="B491" s="5"/>
      <c r="C491" s="5"/>
    </row>
    <row r="492" spans="1:3" ht="12.5" x14ac:dyDescent="0.25">
      <c r="A492" s="4"/>
      <c r="B492" s="5"/>
      <c r="C492" s="5"/>
    </row>
    <row r="493" spans="1:3" ht="12.5" x14ac:dyDescent="0.25">
      <c r="A493" s="4"/>
      <c r="B493" s="5"/>
      <c r="C493" s="5"/>
    </row>
    <row r="494" spans="1:3" ht="12.5" x14ac:dyDescent="0.25">
      <c r="A494" s="4"/>
      <c r="B494" s="5"/>
      <c r="C494" s="5"/>
    </row>
    <row r="495" spans="1:3" ht="12.5" x14ac:dyDescent="0.25">
      <c r="A495" s="4"/>
      <c r="B495" s="5"/>
      <c r="C495" s="5"/>
    </row>
    <row r="496" spans="1:3" ht="12.5" x14ac:dyDescent="0.25">
      <c r="A496" s="4"/>
      <c r="B496" s="5"/>
      <c r="C496" s="5"/>
    </row>
    <row r="497" spans="1:3" ht="12.5" x14ac:dyDescent="0.25">
      <c r="A497" s="4"/>
      <c r="B497" s="5"/>
      <c r="C497" s="5"/>
    </row>
    <row r="498" spans="1:3" ht="12.5" x14ac:dyDescent="0.25">
      <c r="A498" s="4"/>
      <c r="B498" s="5"/>
      <c r="C498" s="5"/>
    </row>
    <row r="499" spans="1:3" ht="12.5" x14ac:dyDescent="0.25">
      <c r="A499" s="4"/>
      <c r="B499" s="5"/>
      <c r="C499" s="5"/>
    </row>
    <row r="500" spans="1:3" ht="12.5" x14ac:dyDescent="0.25">
      <c r="A500" s="4"/>
      <c r="B500" s="5"/>
      <c r="C500" s="5"/>
    </row>
    <row r="501" spans="1:3" ht="12.5" x14ac:dyDescent="0.25">
      <c r="A501" s="4"/>
      <c r="B501" s="5"/>
      <c r="C501" s="5"/>
    </row>
    <row r="502" spans="1:3" ht="12.5" x14ac:dyDescent="0.25">
      <c r="A502" s="4"/>
      <c r="B502" s="5"/>
      <c r="C502" s="5"/>
    </row>
    <row r="503" spans="1:3" ht="12.5" x14ac:dyDescent="0.25">
      <c r="A503" s="4"/>
      <c r="B503" s="5"/>
      <c r="C503" s="5"/>
    </row>
    <row r="504" spans="1:3" ht="12.5" x14ac:dyDescent="0.25">
      <c r="A504" s="4"/>
      <c r="B504" s="5"/>
      <c r="C504" s="5"/>
    </row>
    <row r="505" spans="1:3" ht="12.5" x14ac:dyDescent="0.25">
      <c r="A505" s="4"/>
      <c r="B505" s="5"/>
      <c r="C505" s="5"/>
    </row>
    <row r="506" spans="1:3" ht="12.5" x14ac:dyDescent="0.25">
      <c r="A506" s="4"/>
      <c r="B506" s="5"/>
      <c r="C506" s="5"/>
    </row>
    <row r="507" spans="1:3" ht="12.5" x14ac:dyDescent="0.25">
      <c r="A507" s="4"/>
      <c r="B507" s="5"/>
      <c r="C507" s="5"/>
    </row>
    <row r="508" spans="1:3" ht="12.5" x14ac:dyDescent="0.25">
      <c r="A508" s="4"/>
      <c r="B508" s="5"/>
      <c r="C508" s="5"/>
    </row>
    <row r="509" spans="1:3" ht="12.5" x14ac:dyDescent="0.25">
      <c r="A509" s="4"/>
      <c r="B509" s="5"/>
      <c r="C509" s="5"/>
    </row>
    <row r="510" spans="1:3" ht="12.5" x14ac:dyDescent="0.25">
      <c r="A510" s="4"/>
      <c r="B510" s="5"/>
      <c r="C510" s="5"/>
    </row>
    <row r="511" spans="1:3" ht="12.5" x14ac:dyDescent="0.25">
      <c r="A511" s="4"/>
      <c r="B511" s="5"/>
      <c r="C511" s="5"/>
    </row>
    <row r="512" spans="1:3" ht="12.5" x14ac:dyDescent="0.25">
      <c r="A512" s="4"/>
      <c r="B512" s="5"/>
      <c r="C512" s="5"/>
    </row>
    <row r="513" spans="1:3" ht="12.5" x14ac:dyDescent="0.25">
      <c r="A513" s="4"/>
      <c r="B513" s="5"/>
      <c r="C513" s="5"/>
    </row>
    <row r="514" spans="1:3" ht="12.5" x14ac:dyDescent="0.25">
      <c r="A514" s="4"/>
      <c r="B514" s="5"/>
      <c r="C514" s="5"/>
    </row>
    <row r="515" spans="1:3" ht="12.5" x14ac:dyDescent="0.25">
      <c r="A515" s="4"/>
      <c r="B515" s="5"/>
      <c r="C515" s="5"/>
    </row>
    <row r="516" spans="1:3" ht="12.5" x14ac:dyDescent="0.25">
      <c r="A516" s="4"/>
      <c r="B516" s="5"/>
      <c r="C516" s="5"/>
    </row>
    <row r="517" spans="1:3" ht="12.5" x14ac:dyDescent="0.25">
      <c r="A517" s="4"/>
      <c r="B517" s="5"/>
      <c r="C517" s="5"/>
    </row>
    <row r="518" spans="1:3" ht="12.5" x14ac:dyDescent="0.25">
      <c r="A518" s="4"/>
      <c r="B518" s="5"/>
      <c r="C518" s="5"/>
    </row>
    <row r="519" spans="1:3" ht="12.5" x14ac:dyDescent="0.25">
      <c r="A519" s="4"/>
      <c r="B519" s="5"/>
      <c r="C519" s="5"/>
    </row>
    <row r="520" spans="1:3" ht="12.5" x14ac:dyDescent="0.25">
      <c r="A520" s="4"/>
      <c r="B520" s="5"/>
      <c r="C520" s="5"/>
    </row>
    <row r="521" spans="1:3" ht="12.5" x14ac:dyDescent="0.25">
      <c r="A521" s="4"/>
      <c r="B521" s="5"/>
      <c r="C521" s="5"/>
    </row>
    <row r="522" spans="1:3" ht="12.5" x14ac:dyDescent="0.25">
      <c r="A522" s="4"/>
      <c r="B522" s="5"/>
      <c r="C522" s="5"/>
    </row>
    <row r="523" spans="1:3" ht="12.5" x14ac:dyDescent="0.25">
      <c r="A523" s="4"/>
      <c r="B523" s="5"/>
      <c r="C523" s="5"/>
    </row>
    <row r="524" spans="1:3" ht="12.5" x14ac:dyDescent="0.25">
      <c r="A524" s="4"/>
      <c r="B524" s="5"/>
      <c r="C524" s="5"/>
    </row>
    <row r="525" spans="1:3" ht="12.5" x14ac:dyDescent="0.25">
      <c r="A525" s="4"/>
      <c r="B525" s="5"/>
      <c r="C525" s="5"/>
    </row>
    <row r="526" spans="1:3" ht="12.5" x14ac:dyDescent="0.25">
      <c r="A526" s="4"/>
      <c r="B526" s="5"/>
      <c r="C526" s="5"/>
    </row>
    <row r="527" spans="1:3" ht="12.5" x14ac:dyDescent="0.25">
      <c r="A527" s="4"/>
      <c r="B527" s="5"/>
      <c r="C527" s="5"/>
    </row>
    <row r="528" spans="1:3" ht="12.5" x14ac:dyDescent="0.25">
      <c r="A528" s="4"/>
      <c r="B528" s="5"/>
      <c r="C528" s="5"/>
    </row>
    <row r="529" spans="1:3" ht="12.5" x14ac:dyDescent="0.25">
      <c r="A529" s="4"/>
      <c r="B529" s="5"/>
      <c r="C529" s="5"/>
    </row>
    <row r="530" spans="1:3" ht="12.5" x14ac:dyDescent="0.25">
      <c r="A530" s="4"/>
      <c r="B530" s="5"/>
      <c r="C530" s="5"/>
    </row>
    <row r="531" spans="1:3" ht="12.5" x14ac:dyDescent="0.25">
      <c r="A531" s="4"/>
      <c r="B531" s="5"/>
      <c r="C531" s="5"/>
    </row>
    <row r="532" spans="1:3" ht="12.5" x14ac:dyDescent="0.25">
      <c r="A532" s="4"/>
      <c r="B532" s="5"/>
      <c r="C532" s="5"/>
    </row>
    <row r="533" spans="1:3" ht="12.5" x14ac:dyDescent="0.25">
      <c r="A533" s="4"/>
      <c r="B533" s="5"/>
      <c r="C533" s="5"/>
    </row>
    <row r="534" spans="1:3" ht="12.5" x14ac:dyDescent="0.25">
      <c r="A534" s="4"/>
      <c r="B534" s="5"/>
      <c r="C534" s="5"/>
    </row>
    <row r="535" spans="1:3" ht="12.5" x14ac:dyDescent="0.25">
      <c r="A535" s="4"/>
      <c r="B535" s="5"/>
      <c r="C535" s="5"/>
    </row>
    <row r="536" spans="1:3" ht="12.5" x14ac:dyDescent="0.25">
      <c r="A536" s="4"/>
      <c r="B536" s="5"/>
      <c r="C536" s="5"/>
    </row>
    <row r="537" spans="1:3" ht="12.5" x14ac:dyDescent="0.25">
      <c r="A537" s="4"/>
      <c r="B537" s="5"/>
      <c r="C537" s="5"/>
    </row>
    <row r="538" spans="1:3" ht="12.5" x14ac:dyDescent="0.25">
      <c r="A538" s="4"/>
      <c r="B538" s="5"/>
      <c r="C538" s="5"/>
    </row>
    <row r="539" spans="1:3" ht="12.5" x14ac:dyDescent="0.25">
      <c r="A539" s="4"/>
      <c r="B539" s="5"/>
      <c r="C539" s="5"/>
    </row>
    <row r="540" spans="1:3" ht="12.5" x14ac:dyDescent="0.25">
      <c r="A540" s="4"/>
      <c r="B540" s="5"/>
      <c r="C540" s="5"/>
    </row>
    <row r="541" spans="1:3" ht="12.5" x14ac:dyDescent="0.25">
      <c r="A541" s="4"/>
      <c r="B541" s="5"/>
      <c r="C541" s="5"/>
    </row>
    <row r="542" spans="1:3" ht="12.5" x14ac:dyDescent="0.25">
      <c r="A542" s="4"/>
      <c r="B542" s="5"/>
      <c r="C542" s="5"/>
    </row>
    <row r="543" spans="1:3" ht="12.5" x14ac:dyDescent="0.25">
      <c r="A543" s="4"/>
      <c r="B543" s="5"/>
      <c r="C543" s="5"/>
    </row>
    <row r="544" spans="1:3" ht="12.5" x14ac:dyDescent="0.25">
      <c r="A544" s="4"/>
      <c r="B544" s="5"/>
      <c r="C544" s="5"/>
    </row>
    <row r="545" spans="1:3" ht="12.5" x14ac:dyDescent="0.25">
      <c r="A545" s="4"/>
      <c r="B545" s="5"/>
      <c r="C545" s="5"/>
    </row>
    <row r="546" spans="1:3" ht="12.5" x14ac:dyDescent="0.25">
      <c r="A546" s="4"/>
      <c r="B546" s="5"/>
      <c r="C546" s="5"/>
    </row>
    <row r="547" spans="1:3" ht="12.5" x14ac:dyDescent="0.25">
      <c r="A547" s="4"/>
      <c r="B547" s="5"/>
      <c r="C547" s="5"/>
    </row>
    <row r="548" spans="1:3" ht="12.5" x14ac:dyDescent="0.25">
      <c r="A548" s="4"/>
      <c r="B548" s="5"/>
      <c r="C548" s="5"/>
    </row>
    <row r="549" spans="1:3" ht="12.5" x14ac:dyDescent="0.25">
      <c r="A549" s="4"/>
      <c r="B549" s="5"/>
      <c r="C549" s="5"/>
    </row>
    <row r="550" spans="1:3" ht="12.5" x14ac:dyDescent="0.25">
      <c r="A550" s="4"/>
      <c r="B550" s="5"/>
      <c r="C550" s="5"/>
    </row>
    <row r="551" spans="1:3" ht="12.5" x14ac:dyDescent="0.25">
      <c r="A551" s="4"/>
      <c r="B551" s="5"/>
      <c r="C551" s="5"/>
    </row>
    <row r="552" spans="1:3" ht="12.5" x14ac:dyDescent="0.25">
      <c r="A552" s="4"/>
      <c r="B552" s="5"/>
      <c r="C552" s="5"/>
    </row>
    <row r="553" spans="1:3" ht="12.5" x14ac:dyDescent="0.25">
      <c r="A553" s="4"/>
      <c r="B553" s="5"/>
      <c r="C553" s="5"/>
    </row>
    <row r="554" spans="1:3" ht="12.5" x14ac:dyDescent="0.25">
      <c r="A554" s="4"/>
      <c r="B554" s="5"/>
      <c r="C554" s="5"/>
    </row>
    <row r="555" spans="1:3" ht="12.5" x14ac:dyDescent="0.25">
      <c r="A555" s="4"/>
      <c r="B555" s="5"/>
      <c r="C555" s="5"/>
    </row>
    <row r="556" spans="1:3" ht="12.5" x14ac:dyDescent="0.25">
      <c r="A556" s="4"/>
      <c r="B556" s="5"/>
      <c r="C556" s="5"/>
    </row>
    <row r="557" spans="1:3" ht="12.5" x14ac:dyDescent="0.25">
      <c r="A557" s="4"/>
      <c r="B557" s="5"/>
      <c r="C557" s="5"/>
    </row>
    <row r="558" spans="1:3" ht="12.5" x14ac:dyDescent="0.25">
      <c r="A558" s="4"/>
      <c r="B558" s="5"/>
      <c r="C558" s="5"/>
    </row>
    <row r="559" spans="1:3" ht="12.5" x14ac:dyDescent="0.25">
      <c r="A559" s="4"/>
      <c r="B559" s="5"/>
      <c r="C559" s="5"/>
    </row>
    <row r="560" spans="1:3" ht="12.5" x14ac:dyDescent="0.25">
      <c r="A560" s="4"/>
      <c r="B560" s="5"/>
      <c r="C560" s="5"/>
    </row>
    <row r="561" spans="1:3" ht="12.5" x14ac:dyDescent="0.25">
      <c r="A561" s="4"/>
      <c r="B561" s="5"/>
      <c r="C561" s="5"/>
    </row>
    <row r="562" spans="1:3" ht="12.5" x14ac:dyDescent="0.25">
      <c r="A562" s="4"/>
      <c r="B562" s="5"/>
      <c r="C562" s="5"/>
    </row>
    <row r="563" spans="1:3" ht="12.5" x14ac:dyDescent="0.25">
      <c r="A563" s="4"/>
      <c r="B563" s="5"/>
      <c r="C563" s="5"/>
    </row>
    <row r="564" spans="1:3" ht="12.5" x14ac:dyDescent="0.25">
      <c r="A564" s="4"/>
      <c r="B564" s="5"/>
      <c r="C564" s="5"/>
    </row>
    <row r="565" spans="1:3" ht="12.5" x14ac:dyDescent="0.25">
      <c r="A565" s="4"/>
      <c r="B565" s="5"/>
      <c r="C565" s="5"/>
    </row>
    <row r="566" spans="1:3" ht="12.5" x14ac:dyDescent="0.25">
      <c r="A566" s="4"/>
      <c r="B566" s="5"/>
      <c r="C566" s="5"/>
    </row>
    <row r="567" spans="1:3" ht="12.5" x14ac:dyDescent="0.25">
      <c r="A567" s="4"/>
      <c r="B567" s="5"/>
      <c r="C567" s="5"/>
    </row>
    <row r="568" spans="1:3" ht="12.5" x14ac:dyDescent="0.25">
      <c r="A568" s="4"/>
      <c r="B568" s="5"/>
      <c r="C568" s="5"/>
    </row>
    <row r="569" spans="1:3" ht="12.5" x14ac:dyDescent="0.25">
      <c r="A569" s="4"/>
      <c r="B569" s="5"/>
      <c r="C569" s="5"/>
    </row>
    <row r="570" spans="1:3" ht="12.5" x14ac:dyDescent="0.25">
      <c r="A570" s="4"/>
      <c r="B570" s="5"/>
      <c r="C570" s="5"/>
    </row>
    <row r="571" spans="1:3" ht="12.5" x14ac:dyDescent="0.25">
      <c r="A571" s="4"/>
      <c r="B571" s="5"/>
      <c r="C571" s="5"/>
    </row>
    <row r="572" spans="1:3" ht="12.5" x14ac:dyDescent="0.25">
      <c r="A572" s="4"/>
      <c r="B572" s="5"/>
      <c r="C572" s="5"/>
    </row>
    <row r="573" spans="1:3" ht="12.5" x14ac:dyDescent="0.25">
      <c r="A573" s="4"/>
      <c r="B573" s="5"/>
      <c r="C573" s="5"/>
    </row>
    <row r="574" spans="1:3" ht="12.5" x14ac:dyDescent="0.25">
      <c r="A574" s="4"/>
      <c r="B574" s="5"/>
      <c r="C574" s="5"/>
    </row>
    <row r="575" spans="1:3" ht="12.5" x14ac:dyDescent="0.25">
      <c r="A575" s="4"/>
      <c r="B575" s="5"/>
      <c r="C575" s="5"/>
    </row>
    <row r="576" spans="1:3" ht="12.5" x14ac:dyDescent="0.25">
      <c r="A576" s="4"/>
      <c r="B576" s="5"/>
      <c r="C576" s="5"/>
    </row>
    <row r="577" spans="1:3" ht="12.5" x14ac:dyDescent="0.25">
      <c r="A577" s="4"/>
      <c r="B577" s="5"/>
      <c r="C577" s="5"/>
    </row>
    <row r="578" spans="1:3" ht="12.5" x14ac:dyDescent="0.25">
      <c r="A578" s="4"/>
      <c r="B578" s="5"/>
      <c r="C578" s="5"/>
    </row>
    <row r="579" spans="1:3" ht="12.5" x14ac:dyDescent="0.25">
      <c r="A579" s="4"/>
      <c r="B579" s="5"/>
      <c r="C579" s="5"/>
    </row>
    <row r="580" spans="1:3" ht="12.5" x14ac:dyDescent="0.25">
      <c r="A580" s="4"/>
      <c r="B580" s="5"/>
      <c r="C580" s="5"/>
    </row>
    <row r="581" spans="1:3" ht="12.5" x14ac:dyDescent="0.25">
      <c r="A581" s="4"/>
      <c r="B581" s="5"/>
      <c r="C581" s="5"/>
    </row>
    <row r="582" spans="1:3" ht="12.5" x14ac:dyDescent="0.25">
      <c r="A582" s="4"/>
      <c r="B582" s="5"/>
      <c r="C582" s="5"/>
    </row>
    <row r="583" spans="1:3" ht="12.5" x14ac:dyDescent="0.25">
      <c r="A583" s="4"/>
      <c r="B583" s="5"/>
      <c r="C583" s="5"/>
    </row>
    <row r="584" spans="1:3" ht="12.5" x14ac:dyDescent="0.25">
      <c r="A584" s="4"/>
      <c r="B584" s="5"/>
      <c r="C584" s="5"/>
    </row>
    <row r="585" spans="1:3" ht="12.5" x14ac:dyDescent="0.25">
      <c r="A585" s="4"/>
      <c r="B585" s="5"/>
      <c r="C585" s="5"/>
    </row>
    <row r="586" spans="1:3" ht="12.5" x14ac:dyDescent="0.25">
      <c r="A586" s="4"/>
      <c r="B586" s="5"/>
      <c r="C586" s="5"/>
    </row>
    <row r="587" spans="1:3" ht="12.5" x14ac:dyDescent="0.25">
      <c r="A587" s="4"/>
      <c r="B587" s="5"/>
      <c r="C587" s="5"/>
    </row>
    <row r="588" spans="1:3" ht="12.5" x14ac:dyDescent="0.25">
      <c r="A588" s="4"/>
      <c r="B588" s="5"/>
      <c r="C588" s="5"/>
    </row>
    <row r="589" spans="1:3" ht="12.5" x14ac:dyDescent="0.25">
      <c r="A589" s="4"/>
      <c r="B589" s="5"/>
      <c r="C589" s="5"/>
    </row>
    <row r="590" spans="1:3" ht="12.5" x14ac:dyDescent="0.25">
      <c r="A590" s="4"/>
      <c r="B590" s="5"/>
      <c r="C590" s="5"/>
    </row>
    <row r="591" spans="1:3" ht="12.5" x14ac:dyDescent="0.25">
      <c r="A591" s="4"/>
      <c r="B591" s="5"/>
      <c r="C591" s="5"/>
    </row>
    <row r="592" spans="1:3" ht="12.5" x14ac:dyDescent="0.25">
      <c r="A592" s="4"/>
      <c r="B592" s="5"/>
      <c r="C592" s="5"/>
    </row>
    <row r="593" spans="1:3" ht="12.5" x14ac:dyDescent="0.25">
      <c r="A593" s="4"/>
      <c r="B593" s="5"/>
      <c r="C593" s="5"/>
    </row>
    <row r="594" spans="1:3" ht="12.5" x14ac:dyDescent="0.25">
      <c r="A594" s="4"/>
      <c r="B594" s="5"/>
      <c r="C594" s="5"/>
    </row>
    <row r="595" spans="1:3" ht="12.5" x14ac:dyDescent="0.25">
      <c r="A595" s="4"/>
      <c r="B595" s="5"/>
      <c r="C595" s="5"/>
    </row>
    <row r="596" spans="1:3" ht="12.5" x14ac:dyDescent="0.25">
      <c r="A596" s="4"/>
      <c r="B596" s="5"/>
      <c r="C596" s="5"/>
    </row>
    <row r="597" spans="1:3" ht="12.5" x14ac:dyDescent="0.25">
      <c r="A597" s="4"/>
      <c r="B597" s="5"/>
      <c r="C597" s="5"/>
    </row>
    <row r="598" spans="1:3" ht="12.5" x14ac:dyDescent="0.25">
      <c r="A598" s="4"/>
      <c r="B598" s="5"/>
      <c r="C598" s="5"/>
    </row>
    <row r="599" spans="1:3" ht="12.5" x14ac:dyDescent="0.25">
      <c r="A599" s="4"/>
      <c r="B599" s="5"/>
      <c r="C599" s="5"/>
    </row>
    <row r="600" spans="1:3" ht="12.5" x14ac:dyDescent="0.25">
      <c r="A600" s="4"/>
      <c r="B600" s="5"/>
      <c r="C600" s="5"/>
    </row>
    <row r="601" spans="1:3" ht="12.5" x14ac:dyDescent="0.25">
      <c r="A601" s="4"/>
      <c r="B601" s="5"/>
      <c r="C601" s="5"/>
    </row>
    <row r="602" spans="1:3" ht="12.5" x14ac:dyDescent="0.25">
      <c r="A602" s="4"/>
      <c r="B602" s="5"/>
      <c r="C602" s="5"/>
    </row>
    <row r="603" spans="1:3" ht="12.5" x14ac:dyDescent="0.25">
      <c r="A603" s="4"/>
      <c r="B603" s="5"/>
      <c r="C603" s="5"/>
    </row>
    <row r="604" spans="1:3" ht="12.5" x14ac:dyDescent="0.25">
      <c r="A604" s="4"/>
      <c r="B604" s="5"/>
      <c r="C604" s="5"/>
    </row>
    <row r="605" spans="1:3" ht="12.5" x14ac:dyDescent="0.25">
      <c r="A605" s="4"/>
      <c r="B605" s="5"/>
      <c r="C605" s="5"/>
    </row>
    <row r="606" spans="1:3" ht="12.5" x14ac:dyDescent="0.25">
      <c r="A606" s="4"/>
      <c r="B606" s="5"/>
      <c r="C606" s="5"/>
    </row>
    <row r="607" spans="1:3" ht="12.5" x14ac:dyDescent="0.25">
      <c r="A607" s="4"/>
      <c r="B607" s="5"/>
      <c r="C607" s="5"/>
    </row>
    <row r="608" spans="1:3" ht="12.5" x14ac:dyDescent="0.25">
      <c r="A608" s="4"/>
      <c r="B608" s="5"/>
      <c r="C608" s="5"/>
    </row>
    <row r="609" spans="1:3" ht="12.5" x14ac:dyDescent="0.25">
      <c r="A609" s="4"/>
      <c r="B609" s="5"/>
      <c r="C609" s="5"/>
    </row>
    <row r="610" spans="1:3" ht="12.5" x14ac:dyDescent="0.25">
      <c r="A610" s="4"/>
      <c r="B610" s="5"/>
      <c r="C610" s="5"/>
    </row>
    <row r="611" spans="1:3" ht="12.5" x14ac:dyDescent="0.25">
      <c r="A611" s="4"/>
      <c r="B611" s="5"/>
      <c r="C611" s="5"/>
    </row>
    <row r="612" spans="1:3" ht="12.5" x14ac:dyDescent="0.25">
      <c r="A612" s="4"/>
      <c r="B612" s="5"/>
      <c r="C612" s="5"/>
    </row>
    <row r="613" spans="1:3" ht="12.5" x14ac:dyDescent="0.25">
      <c r="A613" s="4"/>
      <c r="B613" s="5"/>
      <c r="C613" s="5"/>
    </row>
    <row r="614" spans="1:3" ht="12.5" x14ac:dyDescent="0.25">
      <c r="A614" s="4"/>
      <c r="B614" s="5"/>
      <c r="C614" s="5"/>
    </row>
    <row r="615" spans="1:3" ht="12.5" x14ac:dyDescent="0.25">
      <c r="A615" s="4"/>
      <c r="B615" s="5"/>
      <c r="C615" s="5"/>
    </row>
    <row r="616" spans="1:3" ht="12.5" x14ac:dyDescent="0.25">
      <c r="A616" s="4"/>
      <c r="B616" s="5"/>
      <c r="C616" s="5"/>
    </row>
    <row r="617" spans="1:3" ht="12.5" x14ac:dyDescent="0.25">
      <c r="A617" s="4"/>
      <c r="B617" s="5"/>
      <c r="C617" s="5"/>
    </row>
    <row r="618" spans="1:3" ht="12.5" x14ac:dyDescent="0.25">
      <c r="A618" s="4"/>
      <c r="B618" s="5"/>
      <c r="C618" s="5"/>
    </row>
    <row r="619" spans="1:3" ht="12.5" x14ac:dyDescent="0.25">
      <c r="A619" s="4"/>
      <c r="B619" s="5"/>
      <c r="C619" s="5"/>
    </row>
    <row r="620" spans="1:3" ht="12.5" x14ac:dyDescent="0.25">
      <c r="A620" s="4"/>
      <c r="B620" s="5"/>
      <c r="C620" s="5"/>
    </row>
    <row r="621" spans="1:3" ht="12.5" x14ac:dyDescent="0.25">
      <c r="A621" s="4"/>
      <c r="B621" s="5"/>
      <c r="C621" s="5"/>
    </row>
    <row r="622" spans="1:3" ht="12.5" x14ac:dyDescent="0.25">
      <c r="A622" s="4"/>
      <c r="B622" s="5"/>
      <c r="C622" s="5"/>
    </row>
    <row r="623" spans="1:3" ht="12.5" x14ac:dyDescent="0.25">
      <c r="A623" s="4"/>
      <c r="B623" s="5"/>
      <c r="C623" s="5"/>
    </row>
    <row r="624" spans="1:3" ht="12.5" x14ac:dyDescent="0.25">
      <c r="A624" s="4"/>
      <c r="B624" s="5"/>
      <c r="C624" s="5"/>
    </row>
    <row r="625" spans="1:3" ht="12.5" x14ac:dyDescent="0.25">
      <c r="A625" s="4"/>
      <c r="B625" s="5"/>
      <c r="C625" s="5"/>
    </row>
    <row r="626" spans="1:3" ht="12.5" x14ac:dyDescent="0.25">
      <c r="A626" s="4"/>
      <c r="B626" s="5"/>
      <c r="C626" s="5"/>
    </row>
    <row r="627" spans="1:3" ht="12.5" x14ac:dyDescent="0.25">
      <c r="A627" s="4"/>
      <c r="B627" s="5"/>
      <c r="C627" s="5"/>
    </row>
    <row r="628" spans="1:3" ht="12.5" x14ac:dyDescent="0.25">
      <c r="A628" s="4"/>
      <c r="B628" s="5"/>
      <c r="C628" s="5"/>
    </row>
    <row r="629" spans="1:3" ht="12.5" x14ac:dyDescent="0.25">
      <c r="A629" s="4"/>
      <c r="B629" s="5"/>
      <c r="C629" s="5"/>
    </row>
    <row r="630" spans="1:3" ht="12.5" x14ac:dyDescent="0.25">
      <c r="A630" s="4"/>
      <c r="B630" s="5"/>
      <c r="C630" s="5"/>
    </row>
    <row r="631" spans="1:3" ht="12.5" x14ac:dyDescent="0.25">
      <c r="A631" s="4"/>
      <c r="B631" s="5"/>
      <c r="C631" s="5"/>
    </row>
    <row r="632" spans="1:3" ht="12.5" x14ac:dyDescent="0.25">
      <c r="A632" s="4"/>
      <c r="B632" s="5"/>
      <c r="C632" s="5"/>
    </row>
    <row r="633" spans="1:3" ht="12.5" x14ac:dyDescent="0.25">
      <c r="A633" s="4"/>
      <c r="B633" s="5"/>
      <c r="C633" s="5"/>
    </row>
    <row r="634" spans="1:3" ht="12.5" x14ac:dyDescent="0.25">
      <c r="A634" s="4"/>
      <c r="B634" s="5"/>
      <c r="C634" s="5"/>
    </row>
    <row r="635" spans="1:3" ht="12.5" x14ac:dyDescent="0.25">
      <c r="A635" s="4"/>
      <c r="B635" s="5"/>
      <c r="C635" s="5"/>
    </row>
    <row r="636" spans="1:3" ht="12.5" x14ac:dyDescent="0.25">
      <c r="A636" s="4"/>
      <c r="B636" s="5"/>
      <c r="C636" s="5"/>
    </row>
    <row r="637" spans="1:3" ht="12.5" x14ac:dyDescent="0.25">
      <c r="A637" s="4"/>
      <c r="B637" s="5"/>
      <c r="C637" s="5"/>
    </row>
    <row r="638" spans="1:3" ht="12.5" x14ac:dyDescent="0.25">
      <c r="A638" s="4"/>
      <c r="B638" s="5"/>
      <c r="C638" s="5"/>
    </row>
    <row r="639" spans="1:3" ht="12.5" x14ac:dyDescent="0.25">
      <c r="A639" s="4"/>
      <c r="B639" s="5"/>
      <c r="C639" s="5"/>
    </row>
    <row r="640" spans="1:3" ht="12.5" x14ac:dyDescent="0.25">
      <c r="A640" s="4"/>
      <c r="B640" s="5"/>
      <c r="C640" s="5"/>
    </row>
    <row r="641" spans="1:3" ht="12.5" x14ac:dyDescent="0.25">
      <c r="A641" s="4"/>
      <c r="B641" s="5"/>
      <c r="C641" s="5"/>
    </row>
    <row r="642" spans="1:3" ht="12.5" x14ac:dyDescent="0.25">
      <c r="A642" s="4"/>
      <c r="B642" s="5"/>
      <c r="C642" s="5"/>
    </row>
    <row r="643" spans="1:3" ht="12.5" x14ac:dyDescent="0.25">
      <c r="A643" s="4"/>
      <c r="B643" s="5"/>
      <c r="C643" s="5"/>
    </row>
    <row r="644" spans="1:3" ht="12.5" x14ac:dyDescent="0.25">
      <c r="A644" s="4"/>
      <c r="B644" s="5"/>
      <c r="C644" s="5"/>
    </row>
    <row r="645" spans="1:3" ht="12.5" x14ac:dyDescent="0.25">
      <c r="A645" s="4"/>
      <c r="B645" s="5"/>
      <c r="C645" s="5"/>
    </row>
    <row r="646" spans="1:3" ht="12.5" x14ac:dyDescent="0.25">
      <c r="A646" s="4"/>
      <c r="B646" s="5"/>
      <c r="C646" s="5"/>
    </row>
    <row r="647" spans="1:3" ht="12.5" x14ac:dyDescent="0.25">
      <c r="A647" s="4"/>
      <c r="B647" s="5"/>
      <c r="C647" s="5"/>
    </row>
    <row r="648" spans="1:3" ht="12.5" x14ac:dyDescent="0.25">
      <c r="A648" s="4"/>
      <c r="B648" s="5"/>
      <c r="C648" s="5"/>
    </row>
    <row r="649" spans="1:3" ht="12.5" x14ac:dyDescent="0.25">
      <c r="A649" s="4"/>
      <c r="B649" s="5"/>
      <c r="C649" s="5"/>
    </row>
    <row r="650" spans="1:3" ht="12.5" x14ac:dyDescent="0.25">
      <c r="A650" s="4"/>
      <c r="B650" s="5"/>
      <c r="C650" s="5"/>
    </row>
    <row r="651" spans="1:3" ht="12.5" x14ac:dyDescent="0.25">
      <c r="A651" s="4"/>
      <c r="B651" s="5"/>
      <c r="C651" s="5"/>
    </row>
    <row r="652" spans="1:3" ht="12.5" x14ac:dyDescent="0.25">
      <c r="A652" s="4"/>
      <c r="B652" s="5"/>
      <c r="C652" s="5"/>
    </row>
    <row r="653" spans="1:3" ht="12.5" x14ac:dyDescent="0.25">
      <c r="A653" s="4"/>
      <c r="B653" s="5"/>
      <c r="C653" s="5"/>
    </row>
    <row r="654" spans="1:3" ht="12.5" x14ac:dyDescent="0.25">
      <c r="A654" s="4"/>
      <c r="B654" s="5"/>
      <c r="C654" s="5"/>
    </row>
    <row r="655" spans="1:3" ht="12.5" x14ac:dyDescent="0.25">
      <c r="A655" s="4"/>
      <c r="B655" s="5"/>
      <c r="C655" s="5"/>
    </row>
    <row r="656" spans="1:3" ht="12.5" x14ac:dyDescent="0.25">
      <c r="A656" s="4"/>
      <c r="B656" s="5"/>
      <c r="C656" s="5"/>
    </row>
    <row r="657" spans="1:3" ht="12.5" x14ac:dyDescent="0.25">
      <c r="A657" s="4"/>
      <c r="B657" s="5"/>
      <c r="C657" s="5"/>
    </row>
    <row r="658" spans="1:3" ht="12.5" x14ac:dyDescent="0.25">
      <c r="A658" s="4"/>
      <c r="B658" s="5"/>
      <c r="C658" s="5"/>
    </row>
    <row r="659" spans="1:3" ht="12.5" x14ac:dyDescent="0.25">
      <c r="A659" s="4"/>
      <c r="B659" s="5"/>
      <c r="C659" s="5"/>
    </row>
    <row r="660" spans="1:3" ht="12.5" x14ac:dyDescent="0.25">
      <c r="A660" s="4"/>
      <c r="B660" s="5"/>
      <c r="C660" s="5"/>
    </row>
    <row r="661" spans="1:3" ht="12.5" x14ac:dyDescent="0.25">
      <c r="A661" s="4"/>
      <c r="B661" s="5"/>
      <c r="C661" s="5"/>
    </row>
    <row r="662" spans="1:3" ht="12.5" x14ac:dyDescent="0.25">
      <c r="A662" s="4"/>
      <c r="B662" s="5"/>
      <c r="C662" s="5"/>
    </row>
    <row r="663" spans="1:3" ht="12.5" x14ac:dyDescent="0.25">
      <c r="A663" s="4"/>
      <c r="B663" s="5"/>
      <c r="C663" s="5"/>
    </row>
    <row r="664" spans="1:3" ht="12.5" x14ac:dyDescent="0.25">
      <c r="A664" s="4"/>
      <c r="B664" s="5"/>
      <c r="C664" s="5"/>
    </row>
    <row r="665" spans="1:3" ht="12.5" x14ac:dyDescent="0.25">
      <c r="A665" s="4"/>
      <c r="B665" s="5"/>
      <c r="C665" s="5"/>
    </row>
    <row r="666" spans="1:3" ht="12.5" x14ac:dyDescent="0.25">
      <c r="A666" s="4"/>
      <c r="B666" s="5"/>
      <c r="C666" s="5"/>
    </row>
    <row r="667" spans="1:3" ht="12.5" x14ac:dyDescent="0.25">
      <c r="A667" s="4"/>
      <c r="B667" s="5"/>
      <c r="C667" s="5"/>
    </row>
    <row r="668" spans="1:3" ht="12.5" x14ac:dyDescent="0.25">
      <c r="A668" s="4"/>
      <c r="B668" s="5"/>
      <c r="C668" s="5"/>
    </row>
    <row r="669" spans="1:3" ht="12.5" x14ac:dyDescent="0.25">
      <c r="A669" s="4"/>
      <c r="B669" s="5"/>
      <c r="C669" s="5"/>
    </row>
    <row r="670" spans="1:3" ht="12.5" x14ac:dyDescent="0.25">
      <c r="A670" s="4"/>
      <c r="B670" s="5"/>
      <c r="C670" s="5"/>
    </row>
    <row r="671" spans="1:3" ht="12.5" x14ac:dyDescent="0.25">
      <c r="A671" s="4"/>
      <c r="B671" s="5"/>
      <c r="C671" s="5"/>
    </row>
    <row r="672" spans="1:3" ht="12.5" x14ac:dyDescent="0.25">
      <c r="A672" s="4"/>
      <c r="B672" s="5"/>
      <c r="C672" s="5"/>
    </row>
    <row r="673" spans="1:3" ht="12.5" x14ac:dyDescent="0.25">
      <c r="A673" s="4"/>
      <c r="B673" s="5"/>
      <c r="C673" s="5"/>
    </row>
    <row r="674" spans="1:3" ht="12.5" x14ac:dyDescent="0.25">
      <c r="A674" s="4"/>
      <c r="B674" s="5"/>
      <c r="C674" s="5"/>
    </row>
    <row r="675" spans="1:3" ht="12.5" x14ac:dyDescent="0.25">
      <c r="A675" s="4"/>
      <c r="B675" s="5"/>
      <c r="C675" s="5"/>
    </row>
    <row r="676" spans="1:3" ht="12.5" x14ac:dyDescent="0.25">
      <c r="A676" s="4"/>
      <c r="B676" s="5"/>
      <c r="C676" s="5"/>
    </row>
    <row r="677" spans="1:3" ht="12.5" x14ac:dyDescent="0.25">
      <c r="A677" s="4"/>
      <c r="B677" s="5"/>
      <c r="C677" s="5"/>
    </row>
    <row r="678" spans="1:3" ht="12.5" x14ac:dyDescent="0.25">
      <c r="A678" s="4"/>
      <c r="B678" s="5"/>
      <c r="C678" s="5"/>
    </row>
    <row r="679" spans="1:3" ht="12.5" x14ac:dyDescent="0.25">
      <c r="A679" s="4"/>
      <c r="B679" s="5"/>
      <c r="C679" s="5"/>
    </row>
    <row r="680" spans="1:3" ht="12.5" x14ac:dyDescent="0.25">
      <c r="A680" s="4"/>
      <c r="B680" s="5"/>
      <c r="C680" s="5"/>
    </row>
    <row r="681" spans="1:3" ht="12.5" x14ac:dyDescent="0.25">
      <c r="A681" s="4"/>
      <c r="B681" s="5"/>
      <c r="C681" s="5"/>
    </row>
    <row r="682" spans="1:3" ht="12.5" x14ac:dyDescent="0.25">
      <c r="A682" s="4"/>
      <c r="B682" s="5"/>
      <c r="C682" s="5"/>
    </row>
    <row r="683" spans="1:3" ht="12.5" x14ac:dyDescent="0.25">
      <c r="A683" s="4"/>
      <c r="B683" s="5"/>
      <c r="C683" s="5"/>
    </row>
    <row r="684" spans="1:3" ht="12.5" x14ac:dyDescent="0.25">
      <c r="A684" s="4"/>
      <c r="B684" s="5"/>
      <c r="C684" s="5"/>
    </row>
    <row r="685" spans="1:3" ht="12.5" x14ac:dyDescent="0.25">
      <c r="A685" s="4"/>
      <c r="B685" s="5"/>
      <c r="C685" s="5"/>
    </row>
    <row r="686" spans="1:3" ht="12.5" x14ac:dyDescent="0.25">
      <c r="A686" s="4"/>
      <c r="B686" s="5"/>
      <c r="C686" s="5"/>
    </row>
    <row r="687" spans="1:3" ht="12.5" x14ac:dyDescent="0.25">
      <c r="A687" s="4"/>
      <c r="B687" s="5"/>
      <c r="C687" s="5"/>
    </row>
    <row r="688" spans="1:3" ht="12.5" x14ac:dyDescent="0.25">
      <c r="A688" s="4"/>
      <c r="B688" s="5"/>
      <c r="C688" s="5"/>
    </row>
    <row r="689" spans="1:3" ht="12.5" x14ac:dyDescent="0.25">
      <c r="A689" s="4"/>
      <c r="B689" s="5"/>
      <c r="C689" s="5"/>
    </row>
    <row r="690" spans="1:3" ht="12.5" x14ac:dyDescent="0.25">
      <c r="A690" s="4"/>
      <c r="B690" s="5"/>
      <c r="C690" s="5"/>
    </row>
    <row r="691" spans="1:3" ht="12.5" x14ac:dyDescent="0.25">
      <c r="A691" s="4"/>
      <c r="B691" s="5"/>
      <c r="C691" s="5"/>
    </row>
    <row r="692" spans="1:3" ht="12.5" x14ac:dyDescent="0.25">
      <c r="A692" s="4"/>
      <c r="B692" s="5"/>
      <c r="C692" s="5"/>
    </row>
    <row r="693" spans="1:3" ht="12.5" x14ac:dyDescent="0.25">
      <c r="A693" s="4"/>
      <c r="B693" s="5"/>
      <c r="C693" s="5"/>
    </row>
    <row r="694" spans="1:3" ht="12.5" x14ac:dyDescent="0.25">
      <c r="A694" s="4"/>
      <c r="B694" s="5"/>
      <c r="C694" s="5"/>
    </row>
    <row r="695" spans="1:3" ht="12.5" x14ac:dyDescent="0.25">
      <c r="A695" s="4"/>
      <c r="B695" s="5"/>
      <c r="C695" s="5"/>
    </row>
    <row r="696" spans="1:3" ht="12.5" x14ac:dyDescent="0.25">
      <c r="A696" s="4"/>
      <c r="B696" s="5"/>
      <c r="C696" s="5"/>
    </row>
    <row r="697" spans="1:3" ht="12.5" x14ac:dyDescent="0.25">
      <c r="A697" s="4"/>
      <c r="B697" s="5"/>
      <c r="C697" s="5"/>
    </row>
    <row r="698" spans="1:3" ht="12.5" x14ac:dyDescent="0.25">
      <c r="A698" s="4"/>
      <c r="B698" s="5"/>
      <c r="C698" s="5"/>
    </row>
    <row r="699" spans="1:3" ht="12.5" x14ac:dyDescent="0.25">
      <c r="A699" s="4"/>
      <c r="B699" s="5"/>
      <c r="C699" s="5"/>
    </row>
    <row r="700" spans="1:3" ht="12.5" x14ac:dyDescent="0.25">
      <c r="A700" s="4"/>
      <c r="B700" s="5"/>
      <c r="C700" s="5"/>
    </row>
    <row r="701" spans="1:3" ht="12.5" x14ac:dyDescent="0.25">
      <c r="A701" s="4"/>
      <c r="B701" s="5"/>
      <c r="C701" s="5"/>
    </row>
    <row r="702" spans="1:3" ht="12.5" x14ac:dyDescent="0.25">
      <c r="A702" s="4"/>
      <c r="B702" s="5"/>
      <c r="C702" s="5"/>
    </row>
    <row r="703" spans="1:3" ht="12.5" x14ac:dyDescent="0.25">
      <c r="A703" s="4"/>
      <c r="B703" s="5"/>
      <c r="C703" s="5"/>
    </row>
    <row r="704" spans="1:3" ht="12.5" x14ac:dyDescent="0.25">
      <c r="A704" s="4"/>
      <c r="B704" s="5"/>
      <c r="C704" s="5"/>
    </row>
    <row r="705" spans="1:3" ht="12.5" x14ac:dyDescent="0.25">
      <c r="A705" s="4"/>
      <c r="B705" s="5"/>
      <c r="C705" s="5"/>
    </row>
    <row r="706" spans="1:3" ht="12.5" x14ac:dyDescent="0.25">
      <c r="A706" s="4"/>
      <c r="B706" s="5"/>
      <c r="C706" s="5"/>
    </row>
    <row r="707" spans="1:3" ht="12.5" x14ac:dyDescent="0.25">
      <c r="A707" s="4"/>
      <c r="B707" s="5"/>
      <c r="C707" s="5"/>
    </row>
    <row r="708" spans="1:3" ht="12.5" x14ac:dyDescent="0.25">
      <c r="A708" s="4"/>
      <c r="B708" s="5"/>
      <c r="C708" s="5"/>
    </row>
    <row r="709" spans="1:3" ht="12.5" x14ac:dyDescent="0.25">
      <c r="A709" s="4"/>
      <c r="B709" s="5"/>
      <c r="C709" s="5"/>
    </row>
    <row r="710" spans="1:3" ht="12.5" x14ac:dyDescent="0.25">
      <c r="A710" s="4"/>
      <c r="B710" s="5"/>
      <c r="C710" s="5"/>
    </row>
    <row r="711" spans="1:3" ht="12.5" x14ac:dyDescent="0.25">
      <c r="A711" s="4"/>
      <c r="B711" s="5"/>
      <c r="C711" s="5"/>
    </row>
    <row r="712" spans="1:3" ht="12.5" x14ac:dyDescent="0.25">
      <c r="A712" s="4"/>
      <c r="B712" s="5"/>
      <c r="C712" s="5"/>
    </row>
    <row r="713" spans="1:3" ht="12.5" x14ac:dyDescent="0.25">
      <c r="A713" s="4"/>
      <c r="B713" s="5"/>
      <c r="C713" s="5"/>
    </row>
    <row r="714" spans="1:3" ht="12.5" x14ac:dyDescent="0.25">
      <c r="A714" s="4"/>
      <c r="B714" s="5"/>
      <c r="C714" s="5"/>
    </row>
    <row r="715" spans="1:3" ht="12.5" x14ac:dyDescent="0.25">
      <c r="A715" s="4"/>
      <c r="B715" s="5"/>
      <c r="C715" s="5"/>
    </row>
    <row r="716" spans="1:3" ht="12.5" x14ac:dyDescent="0.25">
      <c r="A716" s="4"/>
      <c r="B716" s="5"/>
      <c r="C716" s="5"/>
    </row>
    <row r="717" spans="1:3" ht="12.5" x14ac:dyDescent="0.25">
      <c r="A717" s="4"/>
      <c r="B717" s="5"/>
      <c r="C717" s="5"/>
    </row>
    <row r="718" spans="1:3" ht="12.5" x14ac:dyDescent="0.25">
      <c r="A718" s="4"/>
      <c r="B718" s="5"/>
      <c r="C718" s="5"/>
    </row>
    <row r="719" spans="1:3" ht="12.5" x14ac:dyDescent="0.25">
      <c r="A719" s="4"/>
      <c r="B719" s="5"/>
      <c r="C719" s="5"/>
    </row>
    <row r="720" spans="1:3" ht="12.5" x14ac:dyDescent="0.25">
      <c r="A720" s="4"/>
      <c r="B720" s="5"/>
      <c r="C720" s="5"/>
    </row>
    <row r="721" spans="1:3" ht="12.5" x14ac:dyDescent="0.25">
      <c r="A721" s="4"/>
      <c r="B721" s="5"/>
      <c r="C721" s="5"/>
    </row>
    <row r="722" spans="1:3" ht="12.5" x14ac:dyDescent="0.25">
      <c r="A722" s="4"/>
      <c r="B722" s="5"/>
      <c r="C722" s="5"/>
    </row>
    <row r="723" spans="1:3" ht="12.5" x14ac:dyDescent="0.25">
      <c r="A723" s="4"/>
      <c r="B723" s="5"/>
      <c r="C723" s="5"/>
    </row>
    <row r="724" spans="1:3" ht="12.5" x14ac:dyDescent="0.25">
      <c r="A724" s="4"/>
      <c r="B724" s="5"/>
      <c r="C724" s="5"/>
    </row>
    <row r="725" spans="1:3" ht="12.5" x14ac:dyDescent="0.25">
      <c r="A725" s="4"/>
      <c r="B725" s="5"/>
      <c r="C725" s="5"/>
    </row>
    <row r="726" spans="1:3" ht="12.5" x14ac:dyDescent="0.25">
      <c r="A726" s="4"/>
      <c r="B726" s="5"/>
      <c r="C726" s="5"/>
    </row>
    <row r="727" spans="1:3" ht="12.5" x14ac:dyDescent="0.25">
      <c r="A727" s="4"/>
      <c r="B727" s="5"/>
      <c r="C727" s="5"/>
    </row>
    <row r="728" spans="1:3" ht="12.5" x14ac:dyDescent="0.25">
      <c r="A728" s="4"/>
      <c r="B728" s="5"/>
      <c r="C728" s="5"/>
    </row>
    <row r="729" spans="1:3" ht="12.5" x14ac:dyDescent="0.25">
      <c r="A729" s="4"/>
      <c r="B729" s="5"/>
      <c r="C729" s="5"/>
    </row>
    <row r="730" spans="1:3" ht="12.5" x14ac:dyDescent="0.25">
      <c r="A730" s="4"/>
      <c r="B730" s="5"/>
      <c r="C730" s="5"/>
    </row>
    <row r="731" spans="1:3" ht="12.5" x14ac:dyDescent="0.25">
      <c r="A731" s="4"/>
      <c r="B731" s="5"/>
      <c r="C731" s="5"/>
    </row>
    <row r="732" spans="1:3" ht="12.5" x14ac:dyDescent="0.25">
      <c r="A732" s="4"/>
      <c r="B732" s="5"/>
      <c r="C732" s="5"/>
    </row>
    <row r="733" spans="1:3" ht="12.5" x14ac:dyDescent="0.25">
      <c r="A733" s="4"/>
      <c r="B733" s="5"/>
      <c r="C733" s="5"/>
    </row>
    <row r="734" spans="1:3" ht="12.5" x14ac:dyDescent="0.25">
      <c r="A734" s="4"/>
      <c r="B734" s="5"/>
      <c r="C734" s="5"/>
    </row>
    <row r="735" spans="1:3" ht="12.5" x14ac:dyDescent="0.25">
      <c r="A735" s="4"/>
      <c r="B735" s="5"/>
      <c r="C735" s="5"/>
    </row>
    <row r="736" spans="1:3" ht="12.5" x14ac:dyDescent="0.25">
      <c r="A736" s="4"/>
      <c r="B736" s="5"/>
      <c r="C736" s="5"/>
    </row>
    <row r="737" spans="1:3" ht="12.5" x14ac:dyDescent="0.25">
      <c r="A737" s="4"/>
      <c r="B737" s="5"/>
      <c r="C737" s="5"/>
    </row>
    <row r="738" spans="1:3" ht="12.5" x14ac:dyDescent="0.25">
      <c r="A738" s="4"/>
      <c r="B738" s="5"/>
      <c r="C738" s="5"/>
    </row>
    <row r="739" spans="1:3" ht="12.5" x14ac:dyDescent="0.25">
      <c r="A739" s="4"/>
      <c r="B739" s="5"/>
      <c r="C739" s="5"/>
    </row>
    <row r="740" spans="1:3" ht="12.5" x14ac:dyDescent="0.25">
      <c r="A740" s="4"/>
      <c r="B740" s="5"/>
      <c r="C740" s="5"/>
    </row>
    <row r="741" spans="1:3" ht="12.5" x14ac:dyDescent="0.25">
      <c r="A741" s="4"/>
      <c r="B741" s="5"/>
      <c r="C741" s="5"/>
    </row>
    <row r="742" spans="1:3" ht="12.5" x14ac:dyDescent="0.25">
      <c r="A742" s="4"/>
      <c r="B742" s="5"/>
      <c r="C742" s="5"/>
    </row>
    <row r="743" spans="1:3" ht="12.5" x14ac:dyDescent="0.25">
      <c r="A743" s="4"/>
      <c r="B743" s="5"/>
      <c r="C743" s="5"/>
    </row>
    <row r="744" spans="1:3" ht="12.5" x14ac:dyDescent="0.25">
      <c r="A744" s="4"/>
      <c r="B744" s="5"/>
      <c r="C744" s="5"/>
    </row>
    <row r="745" spans="1:3" ht="12.5" x14ac:dyDescent="0.25">
      <c r="A745" s="4"/>
      <c r="B745" s="5"/>
      <c r="C745" s="5"/>
    </row>
    <row r="746" spans="1:3" ht="12.5" x14ac:dyDescent="0.25">
      <c r="A746" s="4"/>
      <c r="B746" s="5"/>
      <c r="C746" s="5"/>
    </row>
    <row r="747" spans="1:3" ht="12.5" x14ac:dyDescent="0.25">
      <c r="A747" s="4"/>
      <c r="B747" s="5"/>
      <c r="C747" s="5"/>
    </row>
    <row r="748" spans="1:3" ht="12.5" x14ac:dyDescent="0.25">
      <c r="A748" s="4"/>
      <c r="B748" s="5"/>
      <c r="C748" s="5"/>
    </row>
    <row r="749" spans="1:3" ht="12.5" x14ac:dyDescent="0.25">
      <c r="A749" s="4"/>
      <c r="B749" s="5"/>
      <c r="C749" s="5"/>
    </row>
    <row r="750" spans="1:3" ht="12.5" x14ac:dyDescent="0.25">
      <c r="A750" s="4"/>
      <c r="B750" s="5"/>
      <c r="C750" s="5"/>
    </row>
    <row r="751" spans="1:3" ht="12.5" x14ac:dyDescent="0.25">
      <c r="A751" s="4"/>
      <c r="B751" s="5"/>
      <c r="C751" s="5"/>
    </row>
    <row r="752" spans="1:3" ht="12.5" x14ac:dyDescent="0.25">
      <c r="A752" s="4"/>
      <c r="B752" s="5"/>
      <c r="C752" s="5"/>
    </row>
    <row r="753" spans="1:3" ht="12.5" x14ac:dyDescent="0.25">
      <c r="A753" s="4"/>
      <c r="B753" s="5"/>
      <c r="C753" s="5"/>
    </row>
    <row r="754" spans="1:3" ht="12.5" x14ac:dyDescent="0.25">
      <c r="A754" s="4"/>
      <c r="B754" s="5"/>
      <c r="C754" s="5"/>
    </row>
    <row r="755" spans="1:3" ht="12.5" x14ac:dyDescent="0.25">
      <c r="A755" s="4"/>
      <c r="B755" s="5"/>
      <c r="C755" s="5"/>
    </row>
    <row r="756" spans="1:3" ht="12.5" x14ac:dyDescent="0.25">
      <c r="A756" s="4"/>
      <c r="B756" s="5"/>
      <c r="C756" s="5"/>
    </row>
    <row r="757" spans="1:3" ht="12.5" x14ac:dyDescent="0.25">
      <c r="A757" s="4"/>
      <c r="B757" s="5"/>
      <c r="C757" s="5"/>
    </row>
    <row r="758" spans="1:3" ht="12.5" x14ac:dyDescent="0.25">
      <c r="A758" s="4"/>
      <c r="B758" s="5"/>
      <c r="C758" s="5"/>
    </row>
    <row r="759" spans="1:3" ht="12.5" x14ac:dyDescent="0.25">
      <c r="A759" s="4"/>
      <c r="B759" s="5"/>
      <c r="C759" s="5"/>
    </row>
    <row r="760" spans="1:3" ht="12.5" x14ac:dyDescent="0.25">
      <c r="A760" s="4"/>
      <c r="B760" s="5"/>
      <c r="C760" s="5"/>
    </row>
    <row r="761" spans="1:3" ht="12.5" x14ac:dyDescent="0.25">
      <c r="A761" s="4"/>
      <c r="B761" s="5"/>
      <c r="C761" s="5"/>
    </row>
    <row r="762" spans="1:3" ht="12.5" x14ac:dyDescent="0.25">
      <c r="A762" s="4"/>
      <c r="B762" s="5"/>
      <c r="C762" s="5"/>
    </row>
    <row r="763" spans="1:3" ht="12.5" x14ac:dyDescent="0.25">
      <c r="A763" s="4"/>
      <c r="B763" s="5"/>
      <c r="C763" s="5"/>
    </row>
    <row r="764" spans="1:3" ht="12.5" x14ac:dyDescent="0.25">
      <c r="A764" s="4"/>
      <c r="B764" s="5"/>
      <c r="C764" s="5"/>
    </row>
    <row r="765" spans="1:3" ht="12.5" x14ac:dyDescent="0.25">
      <c r="A765" s="4"/>
      <c r="B765" s="5"/>
      <c r="C765" s="5"/>
    </row>
    <row r="766" spans="1:3" ht="12.5" x14ac:dyDescent="0.25">
      <c r="A766" s="4"/>
      <c r="B766" s="5"/>
      <c r="C766" s="5"/>
    </row>
    <row r="767" spans="1:3" ht="12.5" x14ac:dyDescent="0.25">
      <c r="A767" s="4"/>
      <c r="B767" s="5"/>
      <c r="C767" s="5"/>
    </row>
    <row r="768" spans="1:3" ht="12.5" x14ac:dyDescent="0.25">
      <c r="A768" s="4"/>
      <c r="B768" s="5"/>
      <c r="C768" s="5"/>
    </row>
    <row r="769" spans="1:3" ht="12.5" x14ac:dyDescent="0.25">
      <c r="A769" s="4"/>
      <c r="B769" s="5"/>
      <c r="C769" s="5"/>
    </row>
    <row r="770" spans="1:3" ht="12.5" x14ac:dyDescent="0.25">
      <c r="A770" s="4"/>
      <c r="B770" s="5"/>
      <c r="C770" s="5"/>
    </row>
    <row r="771" spans="1:3" ht="12.5" x14ac:dyDescent="0.25">
      <c r="A771" s="4"/>
      <c r="B771" s="5"/>
      <c r="C771" s="5"/>
    </row>
    <row r="772" spans="1:3" ht="12.5" x14ac:dyDescent="0.25">
      <c r="A772" s="4"/>
      <c r="B772" s="5"/>
      <c r="C772" s="5"/>
    </row>
    <row r="773" spans="1:3" ht="12.5" x14ac:dyDescent="0.25">
      <c r="A773" s="4"/>
      <c r="B773" s="5"/>
      <c r="C773" s="5"/>
    </row>
    <row r="774" spans="1:3" ht="12.5" x14ac:dyDescent="0.25">
      <c r="A774" s="4"/>
      <c r="B774" s="5"/>
      <c r="C774" s="5"/>
    </row>
    <row r="775" spans="1:3" ht="12.5" x14ac:dyDescent="0.25">
      <c r="A775" s="4"/>
      <c r="B775" s="5"/>
      <c r="C775" s="5"/>
    </row>
    <row r="776" spans="1:3" ht="12.5" x14ac:dyDescent="0.25">
      <c r="A776" s="4"/>
      <c r="B776" s="5"/>
      <c r="C776" s="5"/>
    </row>
    <row r="777" spans="1:3" ht="12.5" x14ac:dyDescent="0.25">
      <c r="A777" s="4"/>
      <c r="B777" s="5"/>
      <c r="C777" s="5"/>
    </row>
    <row r="778" spans="1:3" ht="12.5" x14ac:dyDescent="0.25">
      <c r="A778" s="4"/>
      <c r="B778" s="5"/>
      <c r="C778" s="5"/>
    </row>
    <row r="779" spans="1:3" ht="12.5" x14ac:dyDescent="0.25">
      <c r="A779" s="4"/>
      <c r="B779" s="5"/>
      <c r="C779" s="5"/>
    </row>
    <row r="780" spans="1:3" ht="12.5" x14ac:dyDescent="0.25">
      <c r="A780" s="4"/>
      <c r="B780" s="5"/>
      <c r="C780" s="5"/>
    </row>
    <row r="781" spans="1:3" ht="12.5" x14ac:dyDescent="0.25">
      <c r="A781" s="4"/>
      <c r="B781" s="5"/>
      <c r="C781" s="5"/>
    </row>
    <row r="782" spans="1:3" ht="12.5" x14ac:dyDescent="0.25">
      <c r="A782" s="4"/>
      <c r="B782" s="5"/>
      <c r="C782" s="5"/>
    </row>
    <row r="783" spans="1:3" ht="12.5" x14ac:dyDescent="0.25">
      <c r="A783" s="4"/>
      <c r="B783" s="5"/>
      <c r="C783" s="5"/>
    </row>
    <row r="784" spans="1:3" ht="12.5" x14ac:dyDescent="0.25">
      <c r="A784" s="4"/>
      <c r="B784" s="5"/>
      <c r="C784" s="5"/>
    </row>
    <row r="785" spans="1:3" ht="12.5" x14ac:dyDescent="0.25">
      <c r="A785" s="4"/>
      <c r="B785" s="5"/>
      <c r="C785" s="5"/>
    </row>
    <row r="786" spans="1:3" ht="12.5" x14ac:dyDescent="0.25">
      <c r="A786" s="4"/>
      <c r="B786" s="5"/>
      <c r="C786" s="5"/>
    </row>
    <row r="787" spans="1:3" ht="12.5" x14ac:dyDescent="0.25">
      <c r="A787" s="4"/>
      <c r="B787" s="5"/>
      <c r="C787" s="5"/>
    </row>
    <row r="788" spans="1:3" ht="12.5" x14ac:dyDescent="0.25">
      <c r="A788" s="4"/>
      <c r="B788" s="5"/>
      <c r="C788" s="5"/>
    </row>
    <row r="789" spans="1:3" ht="12.5" x14ac:dyDescent="0.25">
      <c r="A789" s="4"/>
      <c r="B789" s="5"/>
      <c r="C789" s="5"/>
    </row>
    <row r="790" spans="1:3" ht="12.5" x14ac:dyDescent="0.25">
      <c r="A790" s="4"/>
      <c r="B790" s="5"/>
      <c r="C790" s="5"/>
    </row>
    <row r="791" spans="1:3" ht="12.5" x14ac:dyDescent="0.25">
      <c r="A791" s="4"/>
      <c r="B791" s="5"/>
      <c r="C791" s="5"/>
    </row>
    <row r="792" spans="1:3" ht="12.5" x14ac:dyDescent="0.25">
      <c r="A792" s="4"/>
      <c r="B792" s="5"/>
      <c r="C792" s="5"/>
    </row>
    <row r="793" spans="1:3" ht="12.5" x14ac:dyDescent="0.25">
      <c r="A793" s="4"/>
      <c r="B793" s="5"/>
      <c r="C793" s="5"/>
    </row>
    <row r="794" spans="1:3" ht="12.5" x14ac:dyDescent="0.25">
      <c r="A794" s="4"/>
      <c r="B794" s="5"/>
      <c r="C794" s="5"/>
    </row>
    <row r="795" spans="1:3" ht="12.5" x14ac:dyDescent="0.25">
      <c r="A795" s="4"/>
      <c r="B795" s="5"/>
      <c r="C795" s="5"/>
    </row>
    <row r="796" spans="1:3" ht="12.5" x14ac:dyDescent="0.25">
      <c r="A796" s="4"/>
      <c r="B796" s="5"/>
      <c r="C796" s="5"/>
    </row>
    <row r="797" spans="1:3" ht="12.5" x14ac:dyDescent="0.25">
      <c r="A797" s="4"/>
      <c r="B797" s="5"/>
      <c r="C797" s="5"/>
    </row>
    <row r="798" spans="1:3" ht="12.5" x14ac:dyDescent="0.25">
      <c r="A798" s="4"/>
      <c r="B798" s="5"/>
      <c r="C798" s="5"/>
    </row>
    <row r="799" spans="1:3" ht="12.5" x14ac:dyDescent="0.25">
      <c r="A799" s="4"/>
      <c r="B799" s="5"/>
      <c r="C799" s="5"/>
    </row>
    <row r="800" spans="1:3" ht="12.5" x14ac:dyDescent="0.25">
      <c r="A800" s="4"/>
      <c r="B800" s="5"/>
      <c r="C800" s="5"/>
    </row>
    <row r="801" spans="1:3" ht="12.5" x14ac:dyDescent="0.25">
      <c r="A801" s="4"/>
      <c r="B801" s="5"/>
      <c r="C801" s="5"/>
    </row>
    <row r="802" spans="1:3" ht="12.5" x14ac:dyDescent="0.25">
      <c r="A802" s="4"/>
      <c r="B802" s="5"/>
      <c r="C802" s="5"/>
    </row>
    <row r="803" spans="1:3" ht="12.5" x14ac:dyDescent="0.25">
      <c r="A803" s="4"/>
      <c r="B803" s="5"/>
      <c r="C803" s="5"/>
    </row>
    <row r="804" spans="1:3" ht="12.5" x14ac:dyDescent="0.25">
      <c r="A804" s="4"/>
      <c r="B804" s="5"/>
      <c r="C804" s="5"/>
    </row>
    <row r="805" spans="1:3" ht="12.5" x14ac:dyDescent="0.25">
      <c r="A805" s="4"/>
      <c r="B805" s="5"/>
      <c r="C805" s="5"/>
    </row>
    <row r="806" spans="1:3" ht="12.5" x14ac:dyDescent="0.25">
      <c r="A806" s="4"/>
      <c r="B806" s="5"/>
      <c r="C806" s="5"/>
    </row>
    <row r="807" spans="1:3" ht="12.5" x14ac:dyDescent="0.25">
      <c r="A807" s="4"/>
      <c r="B807" s="5"/>
      <c r="C807" s="5"/>
    </row>
    <row r="808" spans="1:3" ht="12.5" x14ac:dyDescent="0.25">
      <c r="A808" s="4"/>
      <c r="B808" s="5"/>
      <c r="C808" s="5"/>
    </row>
    <row r="809" spans="1:3" ht="12.5" x14ac:dyDescent="0.25">
      <c r="A809" s="4"/>
      <c r="B809" s="5"/>
      <c r="C809" s="5"/>
    </row>
    <row r="810" spans="1:3" ht="12.5" x14ac:dyDescent="0.25">
      <c r="A810" s="4"/>
      <c r="B810" s="5"/>
      <c r="C810" s="5"/>
    </row>
    <row r="811" spans="1:3" ht="12.5" x14ac:dyDescent="0.25">
      <c r="A811" s="4"/>
      <c r="B811" s="5"/>
      <c r="C811" s="5"/>
    </row>
    <row r="812" spans="1:3" ht="12.5" x14ac:dyDescent="0.25">
      <c r="A812" s="4"/>
      <c r="B812" s="5"/>
      <c r="C812" s="5"/>
    </row>
    <row r="813" spans="1:3" ht="12.5" x14ac:dyDescent="0.25">
      <c r="A813" s="4"/>
      <c r="B813" s="5"/>
      <c r="C813" s="5"/>
    </row>
    <row r="814" spans="1:3" ht="12.5" x14ac:dyDescent="0.25">
      <c r="A814" s="4"/>
      <c r="B814" s="5"/>
      <c r="C814" s="5"/>
    </row>
    <row r="815" spans="1:3" ht="12.5" x14ac:dyDescent="0.25">
      <c r="A815" s="4"/>
      <c r="B815" s="5"/>
      <c r="C815" s="5"/>
    </row>
    <row r="816" spans="1:3" ht="12.5" x14ac:dyDescent="0.25">
      <c r="A816" s="4"/>
      <c r="B816" s="5"/>
      <c r="C816" s="5"/>
    </row>
    <row r="817" spans="1:3" ht="12.5" x14ac:dyDescent="0.25">
      <c r="A817" s="4"/>
      <c r="B817" s="5"/>
      <c r="C817" s="5"/>
    </row>
    <row r="818" spans="1:3" ht="12.5" x14ac:dyDescent="0.25">
      <c r="A818" s="4"/>
      <c r="B818" s="5"/>
      <c r="C818" s="5"/>
    </row>
    <row r="819" spans="1:3" ht="12.5" x14ac:dyDescent="0.25">
      <c r="A819" s="4"/>
      <c r="B819" s="5"/>
      <c r="C819" s="5"/>
    </row>
    <row r="820" spans="1:3" ht="12.5" x14ac:dyDescent="0.25">
      <c r="A820" s="4"/>
      <c r="B820" s="5"/>
      <c r="C820" s="5"/>
    </row>
    <row r="821" spans="1:3" ht="12.5" x14ac:dyDescent="0.25">
      <c r="A821" s="4"/>
      <c r="B821" s="5"/>
      <c r="C821" s="5"/>
    </row>
    <row r="822" spans="1:3" ht="12.5" x14ac:dyDescent="0.25">
      <c r="A822" s="4"/>
      <c r="B822" s="5"/>
      <c r="C822" s="5"/>
    </row>
    <row r="823" spans="1:3" ht="12.5" x14ac:dyDescent="0.25">
      <c r="A823" s="4"/>
      <c r="B823" s="5"/>
      <c r="C823" s="5"/>
    </row>
    <row r="824" spans="1:3" ht="12.5" x14ac:dyDescent="0.25">
      <c r="A824" s="4"/>
      <c r="B824" s="5"/>
      <c r="C824" s="5"/>
    </row>
    <row r="825" spans="1:3" ht="12.5" x14ac:dyDescent="0.25">
      <c r="A825" s="4"/>
      <c r="B825" s="5"/>
      <c r="C825" s="5"/>
    </row>
    <row r="826" spans="1:3" ht="12.5" x14ac:dyDescent="0.25">
      <c r="A826" s="4"/>
      <c r="B826" s="5"/>
      <c r="C826" s="5"/>
    </row>
    <row r="827" spans="1:3" ht="12.5" x14ac:dyDescent="0.25">
      <c r="A827" s="4"/>
      <c r="B827" s="5"/>
      <c r="C827" s="5"/>
    </row>
    <row r="828" spans="1:3" ht="12.5" x14ac:dyDescent="0.25">
      <c r="A828" s="4"/>
      <c r="B828" s="5"/>
      <c r="C828" s="5"/>
    </row>
    <row r="829" spans="1:3" ht="12.5" x14ac:dyDescent="0.25">
      <c r="A829" s="4"/>
      <c r="B829" s="5"/>
      <c r="C829" s="5"/>
    </row>
    <row r="830" spans="1:3" ht="12.5" x14ac:dyDescent="0.25">
      <c r="A830" s="4"/>
      <c r="B830" s="5"/>
      <c r="C830" s="5"/>
    </row>
    <row r="831" spans="1:3" ht="12.5" x14ac:dyDescent="0.25">
      <c r="A831" s="4"/>
      <c r="B831" s="5"/>
      <c r="C831" s="5"/>
    </row>
    <row r="832" spans="1:3" ht="12.5" x14ac:dyDescent="0.25">
      <c r="A832" s="4"/>
      <c r="B832" s="5"/>
      <c r="C832" s="5"/>
    </row>
    <row r="833" spans="1:3" ht="12.5" x14ac:dyDescent="0.25">
      <c r="A833" s="4"/>
      <c r="B833" s="5"/>
      <c r="C833" s="5"/>
    </row>
    <row r="834" spans="1:3" ht="12.5" x14ac:dyDescent="0.25">
      <c r="A834" s="4"/>
      <c r="B834" s="5"/>
      <c r="C834" s="5"/>
    </row>
    <row r="835" spans="1:3" ht="12.5" x14ac:dyDescent="0.25">
      <c r="A835" s="4"/>
      <c r="B835" s="5"/>
      <c r="C835" s="5"/>
    </row>
    <row r="836" spans="1:3" ht="12.5" x14ac:dyDescent="0.25">
      <c r="A836" s="4"/>
      <c r="B836" s="5"/>
      <c r="C836" s="5"/>
    </row>
    <row r="837" spans="1:3" ht="12.5" x14ac:dyDescent="0.25">
      <c r="A837" s="4"/>
      <c r="B837" s="5"/>
      <c r="C837" s="5"/>
    </row>
    <row r="838" spans="1:3" ht="12.5" x14ac:dyDescent="0.25">
      <c r="A838" s="4"/>
      <c r="B838" s="5"/>
      <c r="C838" s="5"/>
    </row>
    <row r="839" spans="1:3" ht="12.5" x14ac:dyDescent="0.25">
      <c r="A839" s="4"/>
      <c r="B839" s="5"/>
      <c r="C839" s="5"/>
    </row>
    <row r="840" spans="1:3" ht="12.5" x14ac:dyDescent="0.25">
      <c r="A840" s="4"/>
      <c r="B840" s="5"/>
      <c r="C840" s="5"/>
    </row>
    <row r="841" spans="1:3" ht="12.5" x14ac:dyDescent="0.25">
      <c r="A841" s="4"/>
      <c r="B841" s="5"/>
      <c r="C841" s="5"/>
    </row>
    <row r="842" spans="1:3" ht="12.5" x14ac:dyDescent="0.25">
      <c r="A842" s="4"/>
      <c r="B842" s="5"/>
      <c r="C842" s="5"/>
    </row>
    <row r="843" spans="1:3" ht="12.5" x14ac:dyDescent="0.25">
      <c r="A843" s="4"/>
      <c r="B843" s="5"/>
      <c r="C843" s="5"/>
    </row>
    <row r="844" spans="1:3" ht="12.5" x14ac:dyDescent="0.25">
      <c r="A844" s="4"/>
      <c r="B844" s="5"/>
      <c r="C844" s="5"/>
    </row>
    <row r="845" spans="1:3" ht="12.5" x14ac:dyDescent="0.25">
      <c r="A845" s="4"/>
      <c r="B845" s="5"/>
      <c r="C845" s="5"/>
    </row>
    <row r="846" spans="1:3" ht="12.5" x14ac:dyDescent="0.25">
      <c r="A846" s="4"/>
      <c r="B846" s="5"/>
      <c r="C846" s="5"/>
    </row>
    <row r="847" spans="1:3" ht="12.5" x14ac:dyDescent="0.25">
      <c r="A847" s="4"/>
      <c r="B847" s="5"/>
      <c r="C847" s="5"/>
    </row>
    <row r="848" spans="1:3" ht="12.5" x14ac:dyDescent="0.25">
      <c r="A848" s="4"/>
      <c r="B848" s="5"/>
      <c r="C848" s="5"/>
    </row>
    <row r="849" spans="1:3" ht="12.5" x14ac:dyDescent="0.25">
      <c r="A849" s="4"/>
      <c r="B849" s="5"/>
      <c r="C849" s="5"/>
    </row>
    <row r="850" spans="1:3" ht="12.5" x14ac:dyDescent="0.25">
      <c r="A850" s="4"/>
      <c r="B850" s="5"/>
      <c r="C850" s="5"/>
    </row>
    <row r="851" spans="1:3" ht="12.5" x14ac:dyDescent="0.25">
      <c r="A851" s="4"/>
      <c r="B851" s="5"/>
      <c r="C851" s="5"/>
    </row>
    <row r="852" spans="1:3" ht="12.5" x14ac:dyDescent="0.25">
      <c r="A852" s="4"/>
      <c r="B852" s="5"/>
      <c r="C852" s="5"/>
    </row>
    <row r="853" spans="1:3" ht="12.5" x14ac:dyDescent="0.25">
      <c r="A853" s="4"/>
      <c r="B853" s="5"/>
      <c r="C853" s="5"/>
    </row>
    <row r="854" spans="1:3" ht="12.5" x14ac:dyDescent="0.25">
      <c r="A854" s="4"/>
      <c r="B854" s="5"/>
      <c r="C854" s="5"/>
    </row>
    <row r="855" spans="1:3" ht="12.5" x14ac:dyDescent="0.25">
      <c r="A855" s="4"/>
      <c r="B855" s="5"/>
      <c r="C855" s="5"/>
    </row>
    <row r="856" spans="1:3" ht="12.5" x14ac:dyDescent="0.25">
      <c r="A856" s="4"/>
      <c r="B856" s="5"/>
      <c r="C856" s="5"/>
    </row>
    <row r="857" spans="1:3" ht="12.5" x14ac:dyDescent="0.25">
      <c r="A857" s="4"/>
      <c r="B857" s="5"/>
      <c r="C857" s="5"/>
    </row>
    <row r="858" spans="1:3" ht="12.5" x14ac:dyDescent="0.25">
      <c r="A858" s="4"/>
      <c r="B858" s="5"/>
      <c r="C858" s="5"/>
    </row>
    <row r="859" spans="1:3" ht="12.5" x14ac:dyDescent="0.25">
      <c r="A859" s="4"/>
      <c r="B859" s="5"/>
      <c r="C859" s="5"/>
    </row>
    <row r="860" spans="1:3" ht="12.5" x14ac:dyDescent="0.25">
      <c r="A860" s="4"/>
      <c r="B860" s="5"/>
      <c r="C860" s="5"/>
    </row>
    <row r="861" spans="1:3" ht="12.5" x14ac:dyDescent="0.25">
      <c r="A861" s="4"/>
      <c r="B861" s="5"/>
      <c r="C861" s="5"/>
    </row>
    <row r="862" spans="1:3" ht="12.5" x14ac:dyDescent="0.25">
      <c r="A862" s="4"/>
      <c r="B862" s="5"/>
      <c r="C862" s="5"/>
    </row>
    <row r="863" spans="1:3" ht="12.5" x14ac:dyDescent="0.25">
      <c r="A863" s="4"/>
      <c r="B863" s="5"/>
      <c r="C863" s="5"/>
    </row>
    <row r="864" spans="1:3" ht="12.5" x14ac:dyDescent="0.25">
      <c r="A864" s="4"/>
      <c r="B864" s="5"/>
      <c r="C864" s="5"/>
    </row>
    <row r="865" spans="1:3" ht="12.5" x14ac:dyDescent="0.25">
      <c r="A865" s="4"/>
      <c r="B865" s="5"/>
      <c r="C865" s="5"/>
    </row>
    <row r="866" spans="1:3" ht="12.5" x14ac:dyDescent="0.25">
      <c r="A866" s="4"/>
      <c r="B866" s="5"/>
      <c r="C866" s="5"/>
    </row>
    <row r="867" spans="1:3" ht="12.5" x14ac:dyDescent="0.25">
      <c r="A867" s="4"/>
      <c r="B867" s="5"/>
      <c r="C867" s="5"/>
    </row>
    <row r="868" spans="1:3" ht="12.5" x14ac:dyDescent="0.25">
      <c r="A868" s="4"/>
      <c r="B868" s="5"/>
      <c r="C868" s="5"/>
    </row>
    <row r="869" spans="1:3" ht="12.5" x14ac:dyDescent="0.25">
      <c r="A869" s="4"/>
      <c r="B869" s="5"/>
      <c r="C869" s="5"/>
    </row>
    <row r="870" spans="1:3" ht="12.5" x14ac:dyDescent="0.25">
      <c r="A870" s="4"/>
      <c r="B870" s="5"/>
      <c r="C870" s="5"/>
    </row>
    <row r="871" spans="1:3" ht="12.5" x14ac:dyDescent="0.25">
      <c r="A871" s="4"/>
      <c r="B871" s="5"/>
      <c r="C871" s="5"/>
    </row>
    <row r="872" spans="1:3" ht="12.5" x14ac:dyDescent="0.25">
      <c r="A872" s="4"/>
      <c r="B872" s="5"/>
      <c r="C872" s="5"/>
    </row>
    <row r="873" spans="1:3" ht="12.5" x14ac:dyDescent="0.25">
      <c r="A873" s="4"/>
      <c r="B873" s="5"/>
      <c r="C873" s="5"/>
    </row>
    <row r="874" spans="1:3" ht="12.5" x14ac:dyDescent="0.25">
      <c r="A874" s="4"/>
      <c r="B874" s="5"/>
      <c r="C874" s="5"/>
    </row>
    <row r="875" spans="1:3" ht="12.5" x14ac:dyDescent="0.25">
      <c r="A875" s="4"/>
      <c r="B875" s="5"/>
      <c r="C875" s="5"/>
    </row>
    <row r="876" spans="1:3" ht="12.5" x14ac:dyDescent="0.25">
      <c r="A876" s="4"/>
      <c r="B876" s="5"/>
      <c r="C876" s="5"/>
    </row>
    <row r="877" spans="1:3" ht="12.5" x14ac:dyDescent="0.25">
      <c r="A877" s="4"/>
      <c r="B877" s="5"/>
      <c r="C877" s="5"/>
    </row>
    <row r="878" spans="1:3" ht="12.5" x14ac:dyDescent="0.25">
      <c r="A878" s="4"/>
      <c r="B878" s="5"/>
      <c r="C878" s="5"/>
    </row>
    <row r="879" spans="1:3" ht="12.5" x14ac:dyDescent="0.25">
      <c r="A879" s="4"/>
      <c r="B879" s="5"/>
      <c r="C879" s="5"/>
    </row>
    <row r="880" spans="1:3" ht="12.5" x14ac:dyDescent="0.25">
      <c r="A880" s="4"/>
      <c r="B880" s="5"/>
      <c r="C880" s="5"/>
    </row>
    <row r="881" spans="1:3" ht="12.5" x14ac:dyDescent="0.25">
      <c r="A881" s="4"/>
      <c r="B881" s="5"/>
      <c r="C881" s="5"/>
    </row>
    <row r="882" spans="1:3" ht="12.5" x14ac:dyDescent="0.25">
      <c r="A882" s="4"/>
      <c r="B882" s="5"/>
      <c r="C882" s="5"/>
    </row>
    <row r="883" spans="1:3" ht="12.5" x14ac:dyDescent="0.25">
      <c r="A883" s="4"/>
      <c r="B883" s="5"/>
      <c r="C883" s="5"/>
    </row>
    <row r="884" spans="1:3" ht="12.5" x14ac:dyDescent="0.25">
      <c r="A884" s="4"/>
      <c r="B884" s="5"/>
      <c r="C884" s="5"/>
    </row>
    <row r="885" spans="1:3" ht="12.5" x14ac:dyDescent="0.25">
      <c r="A885" s="4"/>
      <c r="B885" s="5"/>
      <c r="C885" s="5"/>
    </row>
    <row r="886" spans="1:3" ht="12.5" x14ac:dyDescent="0.25">
      <c r="A886" s="4"/>
      <c r="B886" s="5"/>
      <c r="C886" s="5"/>
    </row>
    <row r="887" spans="1:3" ht="12.5" x14ac:dyDescent="0.25">
      <c r="A887" s="4"/>
      <c r="B887" s="5"/>
      <c r="C887" s="5"/>
    </row>
    <row r="888" spans="1:3" ht="12.5" x14ac:dyDescent="0.25">
      <c r="A888" s="4"/>
      <c r="B888" s="5"/>
      <c r="C888" s="5"/>
    </row>
    <row r="889" spans="1:3" ht="12.5" x14ac:dyDescent="0.25">
      <c r="A889" s="4"/>
      <c r="B889" s="5"/>
      <c r="C889" s="5"/>
    </row>
    <row r="890" spans="1:3" ht="12.5" x14ac:dyDescent="0.25">
      <c r="A890" s="4"/>
      <c r="B890" s="5"/>
      <c r="C890" s="5"/>
    </row>
    <row r="891" spans="1:3" ht="12.5" x14ac:dyDescent="0.25">
      <c r="A891" s="4"/>
      <c r="B891" s="5"/>
      <c r="C891" s="5"/>
    </row>
    <row r="892" spans="1:3" ht="12.5" x14ac:dyDescent="0.25">
      <c r="A892" s="4"/>
      <c r="B892" s="5"/>
      <c r="C892" s="5"/>
    </row>
    <row r="893" spans="1:3" ht="12.5" x14ac:dyDescent="0.25">
      <c r="A893" s="4"/>
      <c r="B893" s="5"/>
      <c r="C893" s="5"/>
    </row>
    <row r="894" spans="1:3" ht="12.5" x14ac:dyDescent="0.25">
      <c r="A894" s="4"/>
      <c r="B894" s="5"/>
      <c r="C894" s="5"/>
    </row>
    <row r="895" spans="1:3" ht="12.5" x14ac:dyDescent="0.25">
      <c r="A895" s="4"/>
      <c r="B895" s="5"/>
      <c r="C895" s="5"/>
    </row>
    <row r="896" spans="1:3" ht="12.5" x14ac:dyDescent="0.25">
      <c r="A896" s="4"/>
      <c r="B896" s="5"/>
      <c r="C896" s="5"/>
    </row>
    <row r="897" spans="1:3" ht="12.5" x14ac:dyDescent="0.25">
      <c r="A897" s="4"/>
      <c r="B897" s="5"/>
      <c r="C897" s="5"/>
    </row>
    <row r="898" spans="1:3" ht="12.5" x14ac:dyDescent="0.25">
      <c r="A898" s="4"/>
      <c r="B898" s="5"/>
      <c r="C898" s="5"/>
    </row>
    <row r="899" spans="1:3" ht="12.5" x14ac:dyDescent="0.25">
      <c r="A899" s="4"/>
      <c r="B899" s="5"/>
      <c r="C899" s="5"/>
    </row>
    <row r="900" spans="1:3" ht="12.5" x14ac:dyDescent="0.25">
      <c r="A900" s="4"/>
      <c r="B900" s="5"/>
      <c r="C900" s="5"/>
    </row>
    <row r="901" spans="1:3" ht="12.5" x14ac:dyDescent="0.25">
      <c r="A901" s="4"/>
      <c r="B901" s="5"/>
      <c r="C901" s="5"/>
    </row>
    <row r="902" spans="1:3" ht="12.5" x14ac:dyDescent="0.25">
      <c r="A902" s="4"/>
      <c r="B902" s="5"/>
      <c r="C902" s="5"/>
    </row>
    <row r="903" spans="1:3" ht="12.5" x14ac:dyDescent="0.25">
      <c r="A903" s="4"/>
      <c r="B903" s="5"/>
      <c r="C903" s="5"/>
    </row>
    <row r="904" spans="1:3" ht="12.5" x14ac:dyDescent="0.25">
      <c r="A904" s="4"/>
      <c r="B904" s="5"/>
      <c r="C904" s="5"/>
    </row>
    <row r="905" spans="1:3" ht="12.5" x14ac:dyDescent="0.25">
      <c r="A905" s="4"/>
      <c r="B905" s="5"/>
      <c r="C905" s="5"/>
    </row>
    <row r="906" spans="1:3" ht="12.5" x14ac:dyDescent="0.25">
      <c r="A906" s="4"/>
      <c r="B906" s="5"/>
      <c r="C906" s="5"/>
    </row>
    <row r="907" spans="1:3" ht="12.5" x14ac:dyDescent="0.25">
      <c r="A907" s="4"/>
      <c r="B907" s="5"/>
      <c r="C907" s="5"/>
    </row>
    <row r="908" spans="1:3" ht="12.5" x14ac:dyDescent="0.25">
      <c r="A908" s="4"/>
      <c r="B908" s="5"/>
      <c r="C908" s="5"/>
    </row>
    <row r="909" spans="1:3" ht="12.5" x14ac:dyDescent="0.25">
      <c r="A909" s="4"/>
      <c r="B909" s="5"/>
      <c r="C909" s="5"/>
    </row>
    <row r="910" spans="1:3" ht="12.5" x14ac:dyDescent="0.25">
      <c r="A910" s="4"/>
      <c r="B910" s="5"/>
      <c r="C910" s="5"/>
    </row>
    <row r="911" spans="1:3" ht="12.5" x14ac:dyDescent="0.25">
      <c r="A911" s="4"/>
      <c r="B911" s="5"/>
      <c r="C911" s="5"/>
    </row>
    <row r="912" spans="1:3" ht="12.5" x14ac:dyDescent="0.25">
      <c r="A912" s="4"/>
      <c r="B912" s="5"/>
      <c r="C912" s="5"/>
    </row>
    <row r="913" spans="1:3" ht="12.5" x14ac:dyDescent="0.25">
      <c r="A913" s="4"/>
      <c r="B913" s="5"/>
      <c r="C913" s="5"/>
    </row>
    <row r="914" spans="1:3" ht="12.5" x14ac:dyDescent="0.25">
      <c r="A914" s="4"/>
      <c r="B914" s="5"/>
      <c r="C914" s="5"/>
    </row>
    <row r="915" spans="1:3" ht="12.5" x14ac:dyDescent="0.25">
      <c r="A915" s="4"/>
      <c r="B915" s="5"/>
      <c r="C915" s="5"/>
    </row>
    <row r="916" spans="1:3" ht="12.5" x14ac:dyDescent="0.25">
      <c r="A916" s="4"/>
      <c r="B916" s="5"/>
      <c r="C916" s="5"/>
    </row>
    <row r="917" spans="1:3" ht="12.5" x14ac:dyDescent="0.25">
      <c r="A917" s="4"/>
      <c r="B917" s="5"/>
      <c r="C917" s="5"/>
    </row>
    <row r="918" spans="1:3" ht="12.5" x14ac:dyDescent="0.25">
      <c r="A918" s="4"/>
      <c r="B918" s="5"/>
      <c r="C918" s="5"/>
    </row>
    <row r="919" spans="1:3" ht="12.5" x14ac:dyDescent="0.25">
      <c r="A919" s="4"/>
      <c r="B919" s="5"/>
      <c r="C919" s="5"/>
    </row>
    <row r="920" spans="1:3" ht="12.5" x14ac:dyDescent="0.25">
      <c r="A920" s="4"/>
      <c r="B920" s="5"/>
      <c r="C920" s="5"/>
    </row>
    <row r="921" spans="1:3" ht="12.5" x14ac:dyDescent="0.25">
      <c r="A921" s="4"/>
      <c r="B921" s="5"/>
      <c r="C921" s="5"/>
    </row>
    <row r="922" spans="1:3" ht="12.5" x14ac:dyDescent="0.25">
      <c r="A922" s="4"/>
      <c r="B922" s="5"/>
      <c r="C922" s="5"/>
    </row>
    <row r="923" spans="1:3" ht="12.5" x14ac:dyDescent="0.25">
      <c r="A923" s="4"/>
      <c r="B923" s="5"/>
      <c r="C923" s="5"/>
    </row>
    <row r="924" spans="1:3" ht="12.5" x14ac:dyDescent="0.25">
      <c r="A924" s="4"/>
      <c r="B924" s="5"/>
      <c r="C924" s="5"/>
    </row>
    <row r="925" spans="1:3" ht="12.5" x14ac:dyDescent="0.25">
      <c r="A925" s="4"/>
      <c r="B925" s="5"/>
      <c r="C925" s="5"/>
    </row>
    <row r="926" spans="1:3" ht="12.5" x14ac:dyDescent="0.25">
      <c r="A926" s="4"/>
      <c r="B926" s="5"/>
      <c r="C926" s="5"/>
    </row>
    <row r="927" spans="1:3" ht="12.5" x14ac:dyDescent="0.25">
      <c r="A927" s="4"/>
      <c r="B927" s="5"/>
      <c r="C927" s="5"/>
    </row>
    <row r="928" spans="1:3" ht="12.5" x14ac:dyDescent="0.25">
      <c r="A928" s="4"/>
      <c r="B928" s="5"/>
      <c r="C928" s="5"/>
    </row>
    <row r="929" spans="1:3" ht="12.5" x14ac:dyDescent="0.25">
      <c r="A929" s="4"/>
      <c r="B929" s="5"/>
      <c r="C929" s="5"/>
    </row>
    <row r="930" spans="1:3" ht="12.5" x14ac:dyDescent="0.25">
      <c r="A930" s="4"/>
      <c r="B930" s="5"/>
      <c r="C930" s="5"/>
    </row>
    <row r="931" spans="1:3" ht="12.5" x14ac:dyDescent="0.25">
      <c r="A931" s="4"/>
      <c r="B931" s="5"/>
      <c r="C931" s="5"/>
    </row>
    <row r="932" spans="1:3" ht="12.5" x14ac:dyDescent="0.25">
      <c r="A932" s="4"/>
      <c r="B932" s="5"/>
      <c r="C932" s="5"/>
    </row>
    <row r="933" spans="1:3" ht="12.5" x14ac:dyDescent="0.25">
      <c r="A933" s="4"/>
      <c r="B933" s="5"/>
      <c r="C933" s="5"/>
    </row>
    <row r="934" spans="1:3" ht="12.5" x14ac:dyDescent="0.25">
      <c r="A934" s="4"/>
      <c r="B934" s="5"/>
      <c r="C934" s="5"/>
    </row>
    <row r="935" spans="1:3" ht="12.5" x14ac:dyDescent="0.25">
      <c r="A935" s="4"/>
      <c r="B935" s="5"/>
      <c r="C935" s="5"/>
    </row>
    <row r="936" spans="1:3" ht="12.5" x14ac:dyDescent="0.25">
      <c r="A936" s="4"/>
      <c r="B936" s="5"/>
      <c r="C936" s="5"/>
    </row>
    <row r="937" spans="1:3" ht="12.5" x14ac:dyDescent="0.25">
      <c r="A937" s="4"/>
      <c r="B937" s="5"/>
      <c r="C937" s="5"/>
    </row>
    <row r="938" spans="1:3" ht="12.5" x14ac:dyDescent="0.25">
      <c r="A938" s="4"/>
      <c r="B938" s="5"/>
      <c r="C938" s="5"/>
    </row>
    <row r="939" spans="1:3" ht="12.5" x14ac:dyDescent="0.25">
      <c r="A939" s="4"/>
      <c r="B939" s="5"/>
      <c r="C939" s="5"/>
    </row>
    <row r="940" spans="1:3" ht="12.5" x14ac:dyDescent="0.25">
      <c r="A940" s="4"/>
      <c r="B940" s="5"/>
      <c r="C940" s="5"/>
    </row>
    <row r="941" spans="1:3" ht="12.5" x14ac:dyDescent="0.25">
      <c r="A941" s="4"/>
      <c r="B941" s="5"/>
      <c r="C941" s="5"/>
    </row>
    <row r="942" spans="1:3" ht="12.5" x14ac:dyDescent="0.25">
      <c r="A942" s="4"/>
      <c r="B942" s="5"/>
      <c r="C942" s="5"/>
    </row>
    <row r="943" spans="1:3" ht="12.5" x14ac:dyDescent="0.25">
      <c r="A943" s="4"/>
      <c r="B943" s="5"/>
      <c r="C943" s="5"/>
    </row>
    <row r="944" spans="1:3" ht="12.5" x14ac:dyDescent="0.25">
      <c r="A944" s="4"/>
      <c r="B944" s="5"/>
      <c r="C944" s="5"/>
    </row>
    <row r="945" spans="1:3" ht="12.5" x14ac:dyDescent="0.25">
      <c r="A945" s="4"/>
      <c r="B945" s="5"/>
      <c r="C945" s="5"/>
    </row>
    <row r="946" spans="1:3" ht="12.5" x14ac:dyDescent="0.25">
      <c r="A946" s="4"/>
      <c r="B946" s="5"/>
      <c r="C946" s="5"/>
    </row>
    <row r="947" spans="1:3" ht="12.5" x14ac:dyDescent="0.25">
      <c r="A947" s="4"/>
      <c r="B947" s="5"/>
      <c r="C947" s="5"/>
    </row>
    <row r="948" spans="1:3" ht="12.5" x14ac:dyDescent="0.25">
      <c r="A948" s="4"/>
      <c r="B948" s="5"/>
      <c r="C948" s="5"/>
    </row>
    <row r="949" spans="1:3" ht="12.5" x14ac:dyDescent="0.25">
      <c r="A949" s="4"/>
      <c r="B949" s="5"/>
      <c r="C949" s="5"/>
    </row>
    <row r="950" spans="1:3" ht="12.5" x14ac:dyDescent="0.25">
      <c r="A950" s="4"/>
      <c r="B950" s="5"/>
      <c r="C950" s="5"/>
    </row>
    <row r="951" spans="1:3" ht="12.5" x14ac:dyDescent="0.25">
      <c r="A951" s="4"/>
      <c r="B951" s="5"/>
      <c r="C951" s="5"/>
    </row>
    <row r="952" spans="1:3" ht="12.5" x14ac:dyDescent="0.25">
      <c r="A952" s="4"/>
      <c r="B952" s="5"/>
      <c r="C952" s="5"/>
    </row>
    <row r="953" spans="1:3" ht="12.5" x14ac:dyDescent="0.25">
      <c r="A953" s="4"/>
      <c r="B953" s="5"/>
      <c r="C953" s="5"/>
    </row>
    <row r="954" spans="1:3" ht="12.5" x14ac:dyDescent="0.25">
      <c r="A954" s="4"/>
      <c r="B954" s="5"/>
      <c r="C954" s="5"/>
    </row>
    <row r="955" spans="1:3" ht="12.5" x14ac:dyDescent="0.25">
      <c r="A955" s="4"/>
      <c r="B955" s="5"/>
      <c r="C955" s="5"/>
    </row>
    <row r="956" spans="1:3" ht="12.5" x14ac:dyDescent="0.25">
      <c r="A956" s="4"/>
      <c r="B956" s="5"/>
      <c r="C956" s="5"/>
    </row>
    <row r="957" spans="1:3" ht="12.5" x14ac:dyDescent="0.25">
      <c r="A957" s="4"/>
      <c r="B957" s="5"/>
      <c r="C957" s="5"/>
    </row>
    <row r="958" spans="1:3" ht="12.5" x14ac:dyDescent="0.25">
      <c r="A958" s="4"/>
      <c r="B958" s="5"/>
      <c r="C958" s="5"/>
    </row>
    <row r="959" spans="1:3" ht="12.5" x14ac:dyDescent="0.25">
      <c r="A959" s="4"/>
      <c r="B959" s="5"/>
      <c r="C959" s="5"/>
    </row>
    <row r="960" spans="1:3" ht="12.5" x14ac:dyDescent="0.25">
      <c r="A960" s="4"/>
      <c r="B960" s="5"/>
      <c r="C960" s="5"/>
    </row>
    <row r="961" spans="1:3" ht="12.5" x14ac:dyDescent="0.25">
      <c r="A961" s="4"/>
      <c r="B961" s="5"/>
      <c r="C961" s="5"/>
    </row>
    <row r="962" spans="1:3" ht="12.5" x14ac:dyDescent="0.25">
      <c r="A962" s="4"/>
      <c r="B962" s="5"/>
      <c r="C962" s="5"/>
    </row>
    <row r="963" spans="1:3" ht="12.5" x14ac:dyDescent="0.25">
      <c r="A963" s="4"/>
      <c r="B963" s="5"/>
      <c r="C963" s="5"/>
    </row>
    <row r="964" spans="1:3" ht="12.5" x14ac:dyDescent="0.25">
      <c r="A964" s="4"/>
      <c r="B964" s="5"/>
      <c r="C964" s="5"/>
    </row>
    <row r="965" spans="1:3" ht="12.5" x14ac:dyDescent="0.25">
      <c r="A965" s="4"/>
      <c r="B965" s="5"/>
      <c r="C965" s="5"/>
    </row>
    <row r="966" spans="1:3" ht="12.5" x14ac:dyDescent="0.25">
      <c r="A966" s="4"/>
      <c r="B966" s="5"/>
      <c r="C966" s="5"/>
    </row>
    <row r="967" spans="1:3" ht="12.5" x14ac:dyDescent="0.25">
      <c r="A967" s="4"/>
      <c r="B967" s="5"/>
      <c r="C967" s="5"/>
    </row>
    <row r="968" spans="1:3" ht="12.5" x14ac:dyDescent="0.25">
      <c r="A968" s="4"/>
      <c r="B968" s="5"/>
      <c r="C968" s="5"/>
    </row>
    <row r="969" spans="1:3" ht="12.5" x14ac:dyDescent="0.25">
      <c r="A969" s="4"/>
      <c r="B969" s="5"/>
      <c r="C969" s="5"/>
    </row>
    <row r="970" spans="1:3" ht="12.5" x14ac:dyDescent="0.25">
      <c r="A970" s="4"/>
      <c r="B970" s="5"/>
      <c r="C970" s="5"/>
    </row>
    <row r="971" spans="1:3" ht="12.5" x14ac:dyDescent="0.25">
      <c r="A971" s="4"/>
      <c r="B971" s="5"/>
      <c r="C971" s="5"/>
    </row>
    <row r="972" spans="1:3" ht="12.5" x14ac:dyDescent="0.25">
      <c r="A972" s="4"/>
      <c r="B972" s="5"/>
      <c r="C972" s="5"/>
    </row>
    <row r="973" spans="1:3" ht="12.5" x14ac:dyDescent="0.25">
      <c r="A973" s="4"/>
      <c r="B973" s="5"/>
      <c r="C973" s="5"/>
    </row>
    <row r="974" spans="1:3" ht="12.5" x14ac:dyDescent="0.25">
      <c r="A974" s="4"/>
      <c r="B974" s="5"/>
      <c r="C974" s="5"/>
    </row>
    <row r="975" spans="1:3" ht="12.5" x14ac:dyDescent="0.25">
      <c r="A975" s="4"/>
      <c r="B975" s="5"/>
      <c r="C975" s="5"/>
    </row>
    <row r="976" spans="1:3" ht="12.5" x14ac:dyDescent="0.25">
      <c r="A976" s="4"/>
      <c r="B976" s="5"/>
      <c r="C976" s="5"/>
    </row>
    <row r="977" spans="1:3" ht="12.5" x14ac:dyDescent="0.25">
      <c r="A977" s="4"/>
      <c r="B977" s="5"/>
      <c r="C977" s="5"/>
    </row>
    <row r="978" spans="1:3" ht="12.5" x14ac:dyDescent="0.25">
      <c r="A978" s="4"/>
      <c r="B978" s="5"/>
      <c r="C978" s="5"/>
    </row>
    <row r="979" spans="1:3" ht="12.5" x14ac:dyDescent="0.25">
      <c r="A979" s="4"/>
      <c r="B979" s="5"/>
      <c r="C979" s="5"/>
    </row>
    <row r="980" spans="1:3" ht="12.5" x14ac:dyDescent="0.25">
      <c r="A980" s="4"/>
      <c r="B980" s="5"/>
      <c r="C980" s="5"/>
    </row>
    <row r="981" spans="1:3" ht="12.5" x14ac:dyDescent="0.25">
      <c r="A981" s="4"/>
      <c r="B981" s="5"/>
      <c r="C981" s="5"/>
    </row>
    <row r="982" spans="1:3" ht="12.5" x14ac:dyDescent="0.25">
      <c r="A982" s="4"/>
      <c r="B982" s="5"/>
      <c r="C982" s="5"/>
    </row>
    <row r="983" spans="1:3" ht="12.5" x14ac:dyDescent="0.25">
      <c r="A983" s="4"/>
      <c r="B983" s="5"/>
      <c r="C983" s="5"/>
    </row>
    <row r="984" spans="1:3" ht="12.5" x14ac:dyDescent="0.25">
      <c r="A984" s="4"/>
      <c r="B984" s="5"/>
      <c r="C984" s="5"/>
    </row>
    <row r="985" spans="1:3" ht="12.5" x14ac:dyDescent="0.25">
      <c r="A985" s="4"/>
      <c r="B985" s="5"/>
      <c r="C985" s="5"/>
    </row>
    <row r="986" spans="1:3" ht="12.5" x14ac:dyDescent="0.25">
      <c r="A986" s="4"/>
      <c r="B986" s="5"/>
      <c r="C986" s="5"/>
    </row>
    <row r="987" spans="1:3" ht="12.5" x14ac:dyDescent="0.25">
      <c r="A987" s="4"/>
      <c r="B987" s="5"/>
      <c r="C987" s="5"/>
    </row>
    <row r="988" spans="1:3" ht="12.5" x14ac:dyDescent="0.25">
      <c r="A988" s="4"/>
      <c r="B988" s="5"/>
      <c r="C988" s="5"/>
    </row>
    <row r="989" spans="1:3" ht="12.5" x14ac:dyDescent="0.25">
      <c r="A989" s="4"/>
      <c r="B989" s="5"/>
      <c r="C989" s="5"/>
    </row>
    <row r="990" spans="1:3" ht="12.5" x14ac:dyDescent="0.25">
      <c r="A990" s="4"/>
      <c r="B990" s="5"/>
      <c r="C990" s="5"/>
    </row>
    <row r="991" spans="1:3" ht="12.5" x14ac:dyDescent="0.25">
      <c r="A991" s="4"/>
      <c r="B991" s="5"/>
      <c r="C991" s="5"/>
    </row>
    <row r="992" spans="1:3" ht="12.5" x14ac:dyDescent="0.25">
      <c r="A992" s="4"/>
      <c r="B992" s="5"/>
      <c r="C992" s="5"/>
    </row>
    <row r="993" spans="1:3" ht="12.5" x14ac:dyDescent="0.25">
      <c r="A993" s="4"/>
      <c r="B993" s="5"/>
      <c r="C993" s="5"/>
    </row>
    <row r="994" spans="1:3" ht="12.5" x14ac:dyDescent="0.25">
      <c r="A994" s="4"/>
      <c r="B994" s="5"/>
      <c r="C994" s="5"/>
    </row>
    <row r="995" spans="1:3" ht="12.5" x14ac:dyDescent="0.25">
      <c r="A995" s="4"/>
      <c r="B995" s="5"/>
      <c r="C995" s="5"/>
    </row>
    <row r="996" spans="1:3" ht="12.5" x14ac:dyDescent="0.25">
      <c r="A996" s="4"/>
      <c r="B996" s="5"/>
      <c r="C996" s="5"/>
    </row>
    <row r="997" spans="1:3" ht="12.5" x14ac:dyDescent="0.25">
      <c r="A997" s="4"/>
      <c r="B997" s="5"/>
      <c r="C997" s="5"/>
    </row>
    <row r="998" spans="1:3" ht="12.5" x14ac:dyDescent="0.25">
      <c r="A998" s="4"/>
      <c r="B998" s="5"/>
      <c r="C998" s="5"/>
    </row>
    <row r="999" spans="1:3" ht="12.5" x14ac:dyDescent="0.25">
      <c r="A999" s="4"/>
      <c r="B999" s="5"/>
      <c r="C999" s="5"/>
    </row>
    <row r="1000" spans="1:3" ht="12.5" x14ac:dyDescent="0.25">
      <c r="A1000" s="4"/>
      <c r="B1000" s="5"/>
      <c r="C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Messages</vt:lpstr>
      <vt:lpstr>Profit &amp; Loss</vt:lpstr>
      <vt:lpstr>Pub List</vt:lpstr>
      <vt:lpstr>Member List</vt:lpstr>
      <vt:lpstr>Shuttle Purchase</vt:lpstr>
      <vt:lpstr>Shuttle Count - Ultimate (Sep 2</vt:lpstr>
      <vt:lpstr>Shuttle Count - Supreme (Nov 20</vt:lpstr>
      <vt:lpstr>Shuttle Count - Ultimate (Nov 2</vt:lpstr>
      <vt:lpstr>Pub List-Selection</vt:lpstr>
      <vt:lpstr>Court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Chryston Boo</cp:lastModifiedBy>
  <dcterms:modified xsi:type="dcterms:W3CDTF">2026-05-25T05:45:22Z</dcterms:modified>
</cp:coreProperties>
</file>